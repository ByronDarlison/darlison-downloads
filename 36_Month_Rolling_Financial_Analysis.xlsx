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Marketing" sheetId="3" state="visible" r:id="rId3"/>
    <sheet xmlns:r="http://schemas.openxmlformats.org/officeDocument/2006/relationships" name="Sales" sheetId="4" state="visible" r:id="rId4"/>
    <sheet xmlns:r="http://schemas.openxmlformats.org/officeDocument/2006/relationships" name="Customer Success" sheetId="5" state="visible" r:id="rId5"/>
    <sheet xmlns:r="http://schemas.openxmlformats.org/officeDocument/2006/relationships" name="Support" sheetId="6" state="visible" r:id="rId6"/>
    <sheet xmlns:r="http://schemas.openxmlformats.org/officeDocument/2006/relationships" name="Engineering" sheetId="7" state="visible" r:id="rId7"/>
    <sheet xmlns:r="http://schemas.openxmlformats.org/officeDocument/2006/relationships" name="Finance" sheetId="8" state="visible" r:id="rId8"/>
    <sheet xmlns:r="http://schemas.openxmlformats.org/officeDocument/2006/relationships" name="Checks" sheetId="9" state="visible" r:id="rId9"/>
  </sheets>
  <definedNames/>
  <calcPr calcId="124519" fullCalcOnLoad="1"/>
</workbook>
</file>

<file path=xl/styles.xml><?xml version="1.0" encoding="utf-8"?>
<styleSheet xmlns="http://schemas.openxmlformats.org/spreadsheetml/2006/main">
  <numFmts count="9">
    <numFmt numFmtId="164" formatCode="mmm-yyyy"/>
    <numFmt numFmtId="165" formatCode="0.0%"/>
    <numFmt numFmtId="166" formatCode="$#,##0;($#,##0);-"/>
    <numFmt numFmtId="167" formatCode="$#,##0"/>
    <numFmt numFmtId="168" formatCode="0.0"/>
    <numFmt numFmtId="169" formatCode="0.000"/>
    <numFmt numFmtId="170" formatCode="$#,##0.00"/>
    <numFmt numFmtId="171" formatCode="0.0000"/>
    <numFmt numFmtId="172" formatCode="yyyy-mm-dd"/>
  </numFmts>
  <fonts count="6">
    <font>
      <name val="Calibri"/>
      <family val="2"/>
      <color theme="1"/>
      <sz val="11"/>
      <scheme val="minor"/>
    </font>
    <font>
      <name val="Arial"/>
      <sz val="10"/>
    </font>
    <font>
      <name val="Arial"/>
      <i val="1"/>
      <sz val="10"/>
    </font>
    <font>
      <name val="Arial"/>
      <b val="1"/>
      <sz val="13"/>
    </font>
    <font>
      <name val="Arial"/>
      <b val="1"/>
      <color rgb="00326AB5"/>
      <sz val="14"/>
    </font>
    <font>
      <name val="Arial"/>
      <b val="1"/>
      <sz val="10"/>
    </font>
  </fonts>
  <fills count="3">
    <fill>
      <patternFill/>
    </fill>
    <fill>
      <patternFill patternType="gray125"/>
    </fill>
    <fill>
      <patternFill patternType="solid">
        <fgColor rgb="00EFEFEF"/>
      </patternFill>
    </fill>
  </fills>
  <borders count="3">
    <border>
      <left/>
      <right/>
      <top/>
      <bottom/>
      <diagonal/>
    </border>
    <border>
      <top style="thin">
        <color rgb="00000000"/>
      </top>
    </border>
    <border>
      <bottom style="thin">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1" fillId="0" borderId="0" pivotButton="0" quotePrefix="0" xfId="0"/>
    <xf numFmtId="0" fontId="5" fillId="0" borderId="0" pivotButton="0" quotePrefix="0" xfId="0"/>
    <xf numFmtId="0" fontId="0" fillId="2" borderId="0" applyAlignment="1" pivotButton="0" quotePrefix="0" xfId="0">
      <alignment horizontal="centerContinuous"/>
    </xf>
    <xf numFmtId="0" fontId="0" fillId="0" borderId="0" applyAlignment="1" pivotButton="0" quotePrefix="0" xfId="0">
      <alignment horizontal="centerContinuous"/>
    </xf>
    <xf numFmtId="164" fontId="0" fillId="0" borderId="0" applyAlignment="1" pivotButton="0" quotePrefix="0" xfId="0">
      <alignment horizontal="centerContinuous"/>
    </xf>
    <xf numFmtId="164" fontId="0" fillId="2" borderId="0" applyAlignment="1" pivotButton="0" quotePrefix="0" xfId="0">
      <alignment horizontal="centerContinuous"/>
    </xf>
    <xf numFmtId="0" fontId="0" fillId="0" borderId="2" pivotButton="0" quotePrefix="0" xfId="0"/>
    <xf numFmtId="0" fontId="0" fillId="2" borderId="2" pivotButton="0" quotePrefix="0" xfId="0"/>
    <xf numFmtId="166" fontId="1" fillId="2" borderId="0" pivotButton="0" quotePrefix="0" xfId="0"/>
    <xf numFmtId="166" fontId="1" fillId="0" borderId="0" pivotButton="0" quotePrefix="0" xfId="0"/>
    <xf numFmtId="0" fontId="1" fillId="0" borderId="1" pivotButton="0" quotePrefix="0" xfId="0"/>
    <xf numFmtId="166" fontId="1" fillId="2" borderId="1" pivotButton="0" quotePrefix="0" xfId="0"/>
    <xf numFmtId="166" fontId="1" fillId="0" borderId="1" pivotButton="0" quotePrefix="0" xfId="0"/>
    <xf numFmtId="0" fontId="2" fillId="0" borderId="0" pivotButton="0" quotePrefix="0" xfId="0"/>
    <xf numFmtId="165" fontId="2" fillId="2" borderId="0" pivotButton="0" quotePrefix="0" xfId="0"/>
    <xf numFmtId="165" fontId="2" fillId="0" borderId="0" pivotButton="0" quotePrefix="0" xfId="0"/>
    <xf numFmtId="0" fontId="2" fillId="0" borderId="2" pivotButton="0" quotePrefix="0" xfId="0"/>
    <xf numFmtId="165" fontId="2" fillId="2" borderId="2" pivotButton="0" quotePrefix="0" xfId="0"/>
    <xf numFmtId="165" fontId="2" fillId="0" borderId="2" pivotButton="0" quotePrefix="0" xfId="0"/>
    <xf numFmtId="0" fontId="1" fillId="2" borderId="0" pivotButton="0" quotePrefix="0" xfId="0"/>
    <xf numFmtId="167" fontId="1" fillId="2" borderId="0" pivotButton="0" quotePrefix="0" xfId="0"/>
    <xf numFmtId="167" fontId="1" fillId="0" borderId="0" pivotButton="0" quotePrefix="0" xfId="0"/>
    <xf numFmtId="0" fontId="1" fillId="0" borderId="2" pivotButton="0" quotePrefix="0" xfId="0"/>
    <xf numFmtId="166" fontId="1" fillId="2" borderId="2" pivotButton="0" quotePrefix="0" xfId="0"/>
    <xf numFmtId="166" fontId="1" fillId="0" borderId="2" pivotButton="0" quotePrefix="0" xfId="0"/>
    <xf numFmtId="168" fontId="1" fillId="0" borderId="0" pivotButton="0" quotePrefix="0" xfId="0"/>
    <xf numFmtId="2" fontId="1" fillId="0" borderId="0" pivotButton="0" quotePrefix="0" xfId="0"/>
    <xf numFmtId="165" fontId="1" fillId="0" borderId="0" pivotButton="0" quotePrefix="0" xfId="0"/>
    <xf numFmtId="3" fontId="1" fillId="2" borderId="0" pivotButton="0" quotePrefix="0" xfId="0"/>
    <xf numFmtId="3" fontId="1" fillId="0" borderId="0" pivotButton="0" quotePrefix="0" xfId="0"/>
    <xf numFmtId="9" fontId="2" fillId="2" borderId="0" pivotButton="0" quotePrefix="0" xfId="0"/>
    <xf numFmtId="9" fontId="2" fillId="0" borderId="0" pivotButton="0" quotePrefix="0" xfId="0"/>
    <xf numFmtId="0" fontId="1" fillId="2" borderId="2" pivotButton="0" quotePrefix="0" xfId="0"/>
    <xf numFmtId="0" fontId="0" fillId="2" borderId="0" pivotButton="0" quotePrefix="0" xfId="0"/>
    <xf numFmtId="1" fontId="2" fillId="2" borderId="0" pivotButton="0" quotePrefix="0" xfId="0"/>
    <xf numFmtId="1" fontId="2" fillId="0" borderId="0" pivotButton="0" quotePrefix="0" xfId="0"/>
    <xf numFmtId="167" fontId="2" fillId="2" borderId="2" pivotButton="0" quotePrefix="0" xfId="0"/>
    <xf numFmtId="167" fontId="2" fillId="0" borderId="2" pivotButton="0" quotePrefix="0" xfId="0"/>
    <xf numFmtId="167" fontId="1" fillId="0" borderId="2" pivotButton="0" quotePrefix="0" xfId="0"/>
    <xf numFmtId="167" fontId="1" fillId="2" borderId="2" pivotButton="0" quotePrefix="0" xfId="0"/>
    <xf numFmtId="1" fontId="1" fillId="0" borderId="0" pivotButton="0" quotePrefix="0" xfId="0"/>
    <xf numFmtId="10" fontId="2" fillId="2" borderId="0" pivotButton="0" quotePrefix="0" xfId="0"/>
    <xf numFmtId="10" fontId="2" fillId="0" borderId="0" pivotButton="0" quotePrefix="0" xfId="0"/>
    <xf numFmtId="10" fontId="1" fillId="0" borderId="0" pivotButton="0" quotePrefix="0" xfId="0"/>
    <xf numFmtId="10" fontId="1" fillId="2" borderId="0" pivotButton="0" quotePrefix="0" xfId="0"/>
    <xf numFmtId="165" fontId="1" fillId="2" borderId="0" pivotButton="0" quotePrefix="0" xfId="0"/>
    <xf numFmtId="169" fontId="2" fillId="2" borderId="0" pivotButton="0" quotePrefix="0" xfId="0"/>
    <xf numFmtId="169" fontId="2" fillId="0" borderId="0" pivotButton="0" quotePrefix="0" xfId="0"/>
    <xf numFmtId="169" fontId="1" fillId="0" borderId="0" pivotButton="0" quotePrefix="0" xfId="0"/>
    <xf numFmtId="169" fontId="1" fillId="2" borderId="0" pivotButton="0" quotePrefix="0" xfId="0"/>
    <xf numFmtId="9" fontId="1" fillId="0" borderId="0" pivotButton="0" quotePrefix="0" xfId="0"/>
    <xf numFmtId="9" fontId="1" fillId="2" borderId="0" pivotButton="0" quotePrefix="0" xfId="0"/>
    <xf numFmtId="168" fontId="2" fillId="2" borderId="0" pivotButton="0" quotePrefix="0" xfId="0"/>
    <xf numFmtId="168" fontId="2" fillId="0" borderId="0" pivotButton="0" quotePrefix="0" xfId="0"/>
    <xf numFmtId="168" fontId="1" fillId="2" borderId="0" pivotButton="0" quotePrefix="0" xfId="0"/>
    <xf numFmtId="170" fontId="2" fillId="2" borderId="0" pivotButton="0" quotePrefix="0" xfId="0"/>
    <xf numFmtId="170" fontId="2" fillId="0" borderId="0" pivotButton="0" quotePrefix="0" xfId="0"/>
    <xf numFmtId="170" fontId="1" fillId="0" borderId="0" pivotButton="0" quotePrefix="0" xfId="0"/>
    <xf numFmtId="170" fontId="1" fillId="2" borderId="0" pivotButton="0" quotePrefix="0" xfId="0"/>
    <xf numFmtId="171" fontId="2" fillId="2" borderId="0" pivotButton="0" quotePrefix="0" xfId="0"/>
    <xf numFmtId="171" fontId="2" fillId="0" borderId="0" pivotButton="0" quotePrefix="0" xfId="0"/>
    <xf numFmtId="171" fontId="1" fillId="0" borderId="0" pivotButton="0" quotePrefix="0" xfId="0"/>
    <xf numFmtId="171" fontId="1" fillId="2" borderId="0" pivotButton="0" quotePrefix="0" xfId="0"/>
    <xf numFmtId="1" fontId="1" fillId="2" borderId="0" pivotButton="0" quotePrefix="0" xfId="0"/>
    <xf numFmtId="165" fontId="1" fillId="2" borderId="2" pivotButton="0" quotePrefix="0" xfId="0"/>
    <xf numFmtId="165" fontId="1" fillId="0" borderId="2" pivotButton="0" quotePrefix="0" xfId="0"/>
    <xf numFmtId="167" fontId="2" fillId="2" borderId="0" pivotButton="0" quotePrefix="0" xfId="0"/>
    <xf numFmtId="167" fontId="2" fillId="0" borderId="0" pivotButton="0" quotePrefix="0" xfId="0"/>
    <xf numFmtId="164"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Definition</author>
  </authors>
  <commentList>
    <comment ref="A3" authorId="0" shapeId="0">
      <text>
        <t>Last month's closing balance.</t>
      </text>
    </comment>
    <comment ref="A4" authorId="0" shapeId="0">
      <text>
        <t>From sales: closes times contract value.</t>
      </text>
    </comment>
    <comment ref="A5" authorId="0" shapeId="0">
      <text>
        <t>From customer success: expansion less contraction less churn.</t>
      </text>
    </comment>
    <comment ref="A6" authorId="0" shapeId="0">
      <text>
        <t>Opening plus new plus the net change.</t>
      </text>
    </comment>
    <comment ref="A7" authorId="0" shapeId="0">
      <text>
        <t>The profit and loss line. For a month it equals the closing balance. For a year it is the sum of the twelve months.</t>
      </text>
    </comment>
    <comment ref="A8" authorId="0" shapeId="0">
      <text>
        <t>Revenue less hosting and support, the two costs of serving customers.</t>
      </text>
    </comment>
    <comment ref="A9" authorId="0" shapeId="0">
      <text>
        <t>Gross profit as a share of revenue.</t>
      </text>
    </comment>
    <comment ref="A10" authorId="0" shapeId="0">
      <text>
        <t>The five function totals, excluding hosting and support. Cash costs only.</t>
      </text>
    </comment>
    <comment ref="A11" authorId="0" shapeId="0">
      <text>
        <t>Equipment written off over its life, from the Finance tab. An expense that never leaves the bank, which is why cash and profit differ.</t>
      </text>
    </comment>
    <comment ref="A12" authorId="0" shapeId="0">
      <text>
        <t>Gross profit less operating expenses.</t>
      </text>
    </comment>
    <comment ref="A13" authorId="0" shapeId="0">
      <text>
        <t>Operating profit as a share of revenue.</t>
      </text>
    </comment>
    <comment ref="A14" authorId="0" shapeId="0">
      <text>
        <t>From the Finance tab: the stated rate on operating profit, after any carried-forward losses are used.</t>
      </text>
    </comment>
    <comment ref="A15" authorId="0" shapeId="0">
      <text>
        <t>Operating profit less income tax. What the company actually keeps.</t>
      </text>
    </comment>
    <comment ref="A16" authorId="0" shapeId="0">
      <text>
        <t>The X in Profit per X. Prior month plus closes less customers lost.</t>
      </text>
    </comment>
    <comment ref="A17" authorId="0" shapeId="0">
      <text>
        <t>Closing recurring revenue divided by customers.</t>
      </text>
    </comment>
    <comment ref="A18" authorId="0" shapeId="0">
      <text>
        <t>Operating profit divided by customers, on a moving annual basis: the trailing twelve months of profit, annualised while fewer than twelve exist.</t>
      </text>
    </comment>
    <comment ref="A19" authorId="0" shapeId="0">
      <text>
        <t>Headcount across all six functions.</t>
      </text>
    </comment>
    <comment ref="A20" authorId="0" shapeId="0">
      <text>
        <t>From the Finance tab, after the one month collections lag.</t>
      </text>
    </comment>
    <comment ref="A21" authorId="0" shapeId="0">
      <text>
        <t>Closing cash divided by one month of the payments that repeat. Marked here as the CEO's critical number, with a target of a full year held in reserve, but that is a choice. If you are building to sell rather than to hold, the Rule of 40 below may be the better number to carry.</t>
      </text>
    </comment>
    <comment ref="A22" authorId="0" shapeId="0">
      <text>
        <t>The CEO's leading indicator. New recurring revenue from sales, annualised, divided by what sales and marketing cost in the same period. It measures only what those two functions bought, so what the existing base does on its own is excluded.</t>
      </text>
    </comment>
    <comment ref="A23" authorId="0" shapeId="0">
      <text>
        <t>The CEO's lagging indicator. Growth in recurring revenue plus operating margin. Both halves use an expanding window: whatever history exists, growing to twelve months and then holding there.</t>
      </text>
    </comment>
  </commentList>
</comments>
</file>

<file path=xl/comments/comment2.xml><?xml version="1.0" encoding="utf-8"?>
<comments xmlns="http://schemas.openxmlformats.org/spreadsheetml/2006/main">
  <authors>
    <author>Definition</author>
  </authors>
  <commentList>
    <comment ref="A3" authorId="0" shapeId="0">
      <text>
        <t>People in the target market reached this month, counted once each.</t>
      </text>
    </comment>
    <comment ref="A4" authorId="0" shapeId="0">
      <text>
        <t>The share of people reached who become a marketing qualified lead. Marketing defends this assumption.</t>
      </text>
    </comment>
    <comment ref="A5" authorId="0" shapeId="0">
      <text>
        <t>Marketing's critical number. A lead marketing judges worth passing to sales. Reach times the rate above.</t>
      </text>
    </comment>
    <comment ref="A6" authorId="0" shapeId="0">
      <text>
        <t>The share of marketing qualified leads that sales accepts.</t>
      </text>
    </comment>
    <comment ref="A7" authorId="0" shapeId="0">
      <text>
        <t>Marketing's output. Leads sales has accepted, and the same number as Sales' input.</t>
      </text>
    </comment>
  </commentList>
</comments>
</file>

<file path=xl/comments/comment3.xml><?xml version="1.0" encoding="utf-8"?>
<comments xmlns="http://schemas.openxmlformats.org/spreadsheetml/2006/main">
  <authors>
    <author>Definition</author>
  </authors>
  <commentList>
    <comment ref="A3" authorId="0" shapeId="0">
      <text>
        <t>Sales' input. Leads accepted from marketing this month. They close later, after the sales cycle below.</t>
      </text>
    </comment>
    <comment ref="A4" authorId="0" shapeId="0">
      <text>
        <t>How long a lead takes from accepted to signed. Sales defends this assumption. It is the reason a marketing miss shows up in revenue later than it happened, and the reason a good month of leads does not rescue the month it lands in. Change this cell and every month re-points at the leads that produced it.</t>
      </text>
    </comment>
    <comment ref="A5" authorId="0" shapeId="0">
      <text>
        <t>The share of accepted leads that become signed contracts, measured against the leads that actually produced them one sales cycle earlier. Sales defends this assumption.</t>
      </text>
    </comment>
    <comment ref="A6" authorId="0" shapeId="0">
      <text>
        <t>Signed contracts in the month. The leads accepted one sales cycle ago, times the close rate.</t>
      </text>
    </comment>
    <comment ref="A7" authorId="0" shapeId="0">
      <text>
        <t>The monthly recurring value of a new customer. Rises as engineering ships product releases.</t>
      </text>
    </comment>
    <comment ref="A8" authorId="0" shapeId="0">
      <text>
        <t>Sales' critical number and its output. Closes times contract value.</t>
      </text>
    </comment>
  </commentList>
</comments>
</file>

<file path=xl/comments/comment4.xml><?xml version="1.0" encoding="utf-8"?>
<comments xmlns="http://schemas.openxmlformats.org/spreadsheetml/2006/main">
  <authors>
    <author>Definition</author>
  </authors>
  <commentList>
    <comment ref="A3" authorId="0" shapeId="0">
      <text>
        <t>Customer success's input. The recurring revenue the month starts with.</t>
      </text>
    </comment>
    <comment ref="A4" authorId="0" shapeId="0">
      <text>
        <t>The share of opening revenue added by existing customers buying more. Customer success defends this assumption.</t>
      </text>
    </comment>
    <comment ref="A5" authorId="0" shapeId="0">
      <text>
        <t>Opening revenue times the expansion rate.</t>
      </text>
    </comment>
    <comment ref="A6" authorId="0" shapeId="0">
      <text>
        <t>The share of opening revenue lost to customers who downgrade but stay. Customer success defends this assumption.</t>
      </text>
    </comment>
    <comment ref="A7" authorId="0" shapeId="0">
      <text>
        <t>Opening revenue times the contraction rate.</t>
      </text>
    </comment>
    <comment ref="A8" authorId="0" shapeId="0">
      <text>
        <t>The share of opening revenue lost to customers who leave. Follows the blended customer churn rate below.</t>
      </text>
    </comment>
    <comment ref="A9" authorId="0" shapeId="0">
      <text>
        <t>Opening revenue times the revenue churn rate.</t>
      </text>
    </comment>
    <comment ref="A10" authorId="0" shapeId="0">
      <text>
        <t>Customer success's critical number. Opening revenue plus the net change, divided by opening revenue. Above one hundred per cent means the existing base grows on its own.</t>
      </text>
    </comment>
    <comment ref="A11" authorId="0" shapeId="0">
      <text>
        <t>Customer success's output. Expansion less contraction less churn.</t>
      </text>
    </comment>
    <comment ref="A12" authorId="0" shapeId="0">
      <text>
        <t>Customers at the start of the month.</t>
      </text>
    </comment>
    <comment ref="A13" authorId="0" shapeId="0">
      <text>
        <t>Customers support could not put right. They churn at the at-risk rate below.</t>
      </text>
    </comment>
    <comment ref="A14" authorId="0" shapeId="0">
      <text>
        <t>Monthly churn among customers with no unresolved issue.</t>
      </text>
    </comment>
    <comment ref="A15" authorId="0" shapeId="0">
      <text>
        <t>Monthly churn among customers carrying an unresolved issue.</t>
      </text>
    </comment>
    <comment ref="A16" authorId="0" shapeId="0">
      <text>
        <t>The blend of the two rates above, weighted by how many customers are at risk.</t>
      </text>
    </comment>
    <comment ref="A17" authorId="0" shapeId="0">
      <text>
        <t>The customer base times the blended churn rate.</t>
      </text>
    </comment>
  </commentList>
</comments>
</file>

<file path=xl/comments/comment5.xml><?xml version="1.0" encoding="utf-8"?>
<comments xmlns="http://schemas.openxmlformats.org/spreadsheetml/2006/main">
  <authors>
    <author>Definition</author>
  </authors>
  <commentList>
    <comment ref="A3" authorId="0" shapeId="0">
      <text>
        <t>The customer base at the start of the month.</t>
      </text>
    </comment>
    <comment ref="A4" authorId="0" shapeId="0">
      <text>
        <t>How much support each customer needs. Falls as engineering ships quality releases.</t>
      </text>
    </comment>
    <comment ref="A5" authorId="0" shapeId="0">
      <text>
        <t>Support's input. Customers times tickets per customer.</t>
      </text>
    </comment>
    <comment ref="A6" authorId="0" shapeId="0">
      <text>
        <t>The share of tickets resolved inside the promised time. Support defends this assumption.</t>
      </text>
    </comment>
    <comment ref="A7" authorId="0" shapeId="0">
      <text>
        <t>Support's critical number. Tickets received times the SLA resolution rate.</t>
      </text>
    </comment>
    <comment ref="A8" authorId="0" shapeId="0">
      <text>
        <t>Tickets received less tickets resolved within the promised time.</t>
      </text>
    </comment>
    <comment ref="A9" authorId="0" shapeId="0">
      <text>
        <t>How many open tickets a struggling customer typically has.</t>
      </text>
    </comment>
    <comment ref="A10" authorId="0" shapeId="0">
      <text>
        <t>Support's output, handed to customer success. Unresolved tickets divided by the rate above.</t>
      </text>
    </comment>
  </commentList>
</comments>
</file>

<file path=xl/comments/comment6.xml><?xml version="1.0" encoding="utf-8"?>
<comments xmlns="http://schemas.openxmlformats.org/spreadsheetml/2006/main">
  <authors>
    <author>Definition</author>
  </authors>
  <commentList>
    <comment ref="A3" authorId="0" shapeId="0">
      <text>
        <t>Engineering's input. Engineer-weeks available this month, counting only the seats that build. Managers, design and operations seats carry cost but not capacity, so hiring one does not add throughput the team cannot deliver.</t>
      </text>
    </comment>
    <comment ref="A4" authorId="0" shapeId="0">
      <text>
        <t>How much capacity one release consumes. Engineering defends this assumption.</t>
      </text>
    </comment>
    <comment ref="A5" authorId="0" shapeId="0">
      <text>
        <t>Engineering's critical number. Work that reached customers and passed its acceptance criteria. Capacity divided by engineer-weeks per release.</t>
      </text>
    </comment>
    <comment ref="A6" authorId="0" shapeId="0">
      <text>
        <t>The share of releases aimed at new value.</t>
      </text>
    </comment>
    <comment ref="A7" authorId="0" shapeId="0">
      <text>
        <t>Engineering's output to sales. Each one lifts average contract value by the uplift below.</t>
      </text>
    </comment>
    <comment ref="A8" authorId="0" shapeId="0">
      <text>
        <t>Engineering's output to support. Each one cuts tickets per customer by the reduction below.</t>
      </text>
    </comment>
    <comment ref="A9" authorId="0" shapeId="0">
      <text>
        <t>How much monthly contract value one product release adds. Engineering and sales agree this assumption.</t>
      </text>
    </comment>
    <comment ref="A10" authorId="0" shapeId="0">
      <text>
        <t>How much one quality release cuts tickets per customer. Engineering and support agree this assumption.</t>
      </text>
    </comment>
    <comment ref="A11" authorId="0" shapeId="0">
      <text>
        <t>The cost of serving customers. Sits in cost of sales.</t>
      </text>
    </comment>
  </commentList>
</comments>
</file>

<file path=xl/comments/comment7.xml><?xml version="1.0" encoding="utf-8"?>
<comments xmlns="http://schemas.openxmlformats.org/spreadsheetml/2006/main">
  <authors>
    <author>Definition</author>
  </authors>
  <commentList>
    <comment ref="A3" authorId="0" shapeId="0">
      <text>
        <t>Finance's input. What sales and customer success invoiced this month.</t>
      </text>
    </comment>
    <comment ref="A4" authorId="0" shapeId="0">
      <text>
        <t>How long customers take to pay. Finance defends this assumption.</t>
      </text>
    </comment>
    <comment ref="A5" authorId="0" shapeId="0">
      <text>
        <t>Finance's critical number. Money received in the month.</t>
      </text>
    </comment>
    <comment ref="A6" authorId="0" shapeId="0">
      <text>
        <t>Last month's closing balance.</t>
      </text>
    </comment>
    <comment ref="A7" authorId="0" shapeId="0">
      <text>
        <t>What the operation paid out: the cost of serving customers plus every function's operating cost. Depreciation is deliberately not here. It is an expense, not a payment.</t>
      </text>
    </comment>
    <comment ref="A8" authorId="0" shapeId="0">
      <text>
        <t>Tax leaving the bank, one month after it was charged.</t>
      </text>
    </comment>
    <comment ref="A9" authorId="0" shapeId="0">
      <text>
        <t>Kit for each person added: laptop, desk, phone. It leaves the bank in full this month but reaches the profit and loss slowly, through depreciation.</t>
      </text>
    </comment>
    <comment ref="A10" authorId="0" shapeId="0">
      <text>
        <t>Cash collected less operating payments, tax paid and equipment.</t>
      </text>
    </comment>
    <comment ref="A11" authorId="0" shapeId="0">
      <text>
        <t>Finance's output. Opening cash plus the net movement.</t>
      </text>
    </comment>
    <comment ref="A12" authorId="0" shapeId="0">
      <text>
        <t>Closing cash divided by one month of the payments that repeat: operating payments and tax. Equipment is excluded because it is lumpy and can be deferred when cash is short. The target is a full year held in reserve.</t>
      </text>
    </comment>
    <comment ref="A13" authorId="0" shapeId="0">
      <text>
        <t>How close a forecast came to the Approved plan, measured on revenue. The Actual column grades a month that has closed. The Rolling column shows how far the current estimate sits from plan. Blank under Approved.</t>
      </text>
    </comment>
    <comment ref="A14" authorId="0" shapeId="0">
      <text>
        <t>The combined rate the company pays on taxable profit. Finance defends this assumption.</t>
      </text>
    </comment>
    <comment ref="A15" authorId="0" shapeId="0">
      <text>
        <t>Losses from earlier months that have not yet been used. They shelter profit before tax is charged, so a company does not pay tax on a recovery until it has earned back what it lost.</t>
      </text>
    </comment>
    <comment ref="A16" authorId="0" shapeId="0">
      <text>
        <t>The rate applied to operating profit after any carried-forward losses are used. It is charged this month and paid next.</t>
      </text>
    </comment>
    <comment ref="A17" authorId="0" shapeId="0">
      <text>
        <t>What is left of the loss pool after this month either added to it or used some of it.</t>
      </text>
    </comment>
    <comment ref="A18" authorId="0" shapeId="0">
      <text>
        <t>What it costs to equip one new person. Finance defends this assumption.</t>
      </text>
    </comment>
    <comment ref="A19" authorId="0" shapeId="0">
      <text>
        <t>How long equipment is written off over. Change this cell and every month follows.</t>
      </text>
    </comment>
    <comment ref="A20" authorId="0" shapeId="0">
      <text>
        <t>The equipment on hand at the start plus everything bought since, spread evenly over its life. An expense on the profit and loss, never a payment. Assets are not retired inside the thirty six months.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A129"/>
  <sheetViews>
    <sheetView workbookViewId="0">
      <selection activeCell="A1" sqref="A1"/>
    </sheetView>
  </sheetViews>
  <sheetFormatPr baseColWidth="8" defaultRowHeight="15"/>
  <cols>
    <col width="106" customWidth="1" min="1" max="1"/>
  </cols>
  <sheetData>
    <row r="1">
      <c r="A1" s="1" t="inlineStr">
        <is>
          <t>36-Month Rolling Financial Analysis</t>
        </is>
      </c>
    </row>
    <row r="3">
      <c r="A3" s="2" t="inlineStr">
        <is>
          <t>A complete, fictional worked example of a 36 month rolling forecast built the way a cash</t>
        </is>
      </c>
    </row>
    <row r="4">
      <c r="A4" s="2" t="inlineStr">
        <is>
          <t>system is actually run. It accompanies the article Cash! Who Owns the Forecast? at</t>
        </is>
      </c>
    </row>
    <row r="5">
      <c r="A5" s="2" t="inlineStr">
        <is>
          <t>https://www.darlison.com/who-owns-the-forecast/</t>
        </is>
      </c>
    </row>
    <row r="6">
      <c r="A6" s="2" t="inlineStr"/>
    </row>
    <row r="7">
      <c r="A7" s="3" t="inlineStr">
        <is>
          <t>HOW TO READ IT</t>
        </is>
      </c>
    </row>
    <row r="8">
      <c r="A8" s="2" t="inlineStr">
        <is>
          <t>Columns run NEWEST FIRST. The far end of the plan, December 2028, is at the left, and time</t>
        </is>
      </c>
    </row>
    <row r="9">
      <c r="A9" s="2" t="inlineStr">
        <is>
          <t>walks right into the past. Every month carries three columns: Actual, Rolling and Approved.</t>
        </is>
      </c>
    </row>
    <row r="10">
      <c r="A10" s="2" t="inlineStr">
        <is>
          <t>Actual is what happened, and fills in as each month closes. Rolling is the current best</t>
        </is>
      </c>
    </row>
    <row r="11">
      <c r="A11" s="2" t="inlineStr">
        <is>
          <t>estimate. Approved is the plan, and does not move until the annual reset.</t>
        </is>
      </c>
    </row>
    <row r="12">
      <c r="A12" s="2" t="inlineStr"/>
    </row>
    <row r="13">
      <c r="A13" s="2" t="inlineStr">
        <is>
          <t>The weekly Scoreboard takes its targets from APPROVED, never from Rolling. Rolling moves</t>
        </is>
      </c>
    </row>
    <row r="14">
      <c r="A14" s="2" t="inlineStr">
        <is>
          <t>every month, so a forecast drifting downwards would quietly lower the weekly target and hide</t>
        </is>
      </c>
    </row>
    <row r="15">
      <c r="A15" s="2" t="inlineStr">
        <is>
          <t>the miss the board exists to show you.</t>
        </is>
      </c>
    </row>
    <row r="16">
      <c r="A16" s="2" t="inlineStr">
        <is>
          <t>Each tab opens with three fiscal year blocks carrying the same three columns.</t>
        </is>
      </c>
    </row>
    <row r="17">
      <c r="A17" s="2" t="inlineStr">
        <is>
          <t>Month blocks alternate a light band so each group of three reads as one month.</t>
        </is>
      </c>
    </row>
    <row r="18">
      <c r="A18" s="2" t="inlineStr"/>
    </row>
    <row r="19">
      <c r="A19" s="3" t="inlineStr">
        <is>
          <t>EVERY WIDGET IS DEFINED IN PLACE</t>
        </is>
      </c>
    </row>
    <row r="20">
      <c r="A20" s="2" t="inlineStr">
        <is>
          <t>Hover the label in column A. Each widget carries a note saying what it is, who is</t>
        </is>
      </c>
    </row>
    <row r="21">
      <c r="A21" s="2" t="inlineStr">
        <is>
          <t>accountable for it, how it is derived and why it is the number it is rather than an</t>
        </is>
      </c>
    </row>
    <row r="22">
      <c r="A22" s="2" t="inlineStr">
        <is>
          <t>easier one. There are eighty two of them.</t>
        </is>
      </c>
    </row>
    <row r="23">
      <c r="A23" s="2" t="inlineStr"/>
    </row>
    <row r="24">
      <c r="A24" s="3" t="inlineStr">
        <is>
          <t>WHERE THE NUMBERS COME FROM</t>
        </is>
      </c>
    </row>
    <row r="25">
      <c r="A25" s="2" t="inlineStr">
        <is>
          <t>Nothing is typed twice. Cells you enter are the Actual columns of a month that has closed,</t>
        </is>
      </c>
    </row>
    <row r="26">
      <c r="A26" s="2" t="inlineStr">
        <is>
          <t>and the italic rate rows, which are the assumptions each function defends. Everything else</t>
        </is>
      </c>
    </row>
    <row r="27">
      <c r="A27" s="2" t="inlineStr">
        <is>
          <t>is a formula. Three seed values sit in the Opening position block at the foot of the</t>
        </is>
      </c>
    </row>
    <row r="28">
      <c r="A28" s="2" t="inlineStr">
        <is>
          <t>Finance tab, with the opening contract value on Sales and hosting cost per customer on</t>
        </is>
      </c>
    </row>
    <row r="29">
      <c r="A29" s="2" t="inlineStr">
        <is>
          <t>Engineering.</t>
        </is>
      </c>
    </row>
    <row r="30">
      <c r="A30" s="2" t="inlineStr"/>
    </row>
    <row r="31">
      <c r="A31" s="3" t="inlineStr">
        <is>
          <t>THE DATES</t>
        </is>
      </c>
    </row>
    <row r="32">
      <c r="A32" s="2" t="inlineStr">
        <is>
          <t>Set one date, First month of the model, on the Finance tab. Every month heading on every tab</t>
        </is>
      </c>
    </row>
    <row r="33">
      <c r="A33" s="2" t="inlineStr">
        <is>
          <t>steps off it, and the fiscal year headings follow, each named for the year its block ends in.</t>
        </is>
      </c>
    </row>
    <row r="34">
      <c r="A34" s="2" t="inlineStr">
        <is>
          <t>Change that one cell and the whole 36 months rolls.</t>
        </is>
      </c>
    </row>
    <row r="35">
      <c r="A35" s="2" t="inlineStr"/>
    </row>
    <row r="36">
      <c r="A36" s="3" t="inlineStr">
        <is>
          <t>THE SALES CYCLE, TAX AND EQUIPMENT</t>
        </is>
      </c>
    </row>
    <row r="37">
      <c r="A37" s="2" t="inlineStr">
        <is>
          <t>A lead does not close in the month it arrives. Sales carries a Sales Cycle in Months, and</t>
        </is>
      </c>
    </row>
    <row r="38">
      <c r="A38" s="2" t="inlineStr">
        <is>
          <t>each month's closes come from the leads accepted that many months earlier. Change the cell</t>
        </is>
      </c>
    </row>
    <row r="39">
      <c r="A39" s="2" t="inlineStr">
        <is>
          <t>and every month re-points itself. That lag is why a marketing miss reaches revenue later</t>
        </is>
      </c>
    </row>
    <row r="40">
      <c r="A40" s="2" t="inlineStr">
        <is>
          <t>than it happened, and why a strong month of leads cannot rescue the month it lands in.</t>
        </is>
      </c>
    </row>
    <row r="41">
      <c r="A41" s="2" t="inlineStr"/>
    </row>
    <row r="42">
      <c r="A42" s="2" t="inlineStr">
        <is>
          <t>Finance charges income tax at a stated rate on operating profit, after any losses carried</t>
        </is>
      </c>
    </row>
    <row r="43">
      <c r="A43" s="2" t="inlineStr">
        <is>
          <t>forward are used, and pays it the following month. Equipment is bought for every person</t>
        </is>
      </c>
    </row>
    <row r="44">
      <c r="A44" s="2" t="inlineStr">
        <is>
          <t>added: it leaves the bank in full that month and reaches the profit and loss slowly through</t>
        </is>
      </c>
    </row>
    <row r="45">
      <c r="A45" s="2" t="inlineStr">
        <is>
          <t>depreciation. That is the reason profit and cash are different numbers here, and the reason</t>
        </is>
      </c>
    </row>
    <row r="46">
      <c r="A46" s="2" t="inlineStr">
        <is>
          <t>the model needs both.</t>
        </is>
      </c>
    </row>
    <row r="47">
      <c r="A47" s="2" t="inlineStr"/>
    </row>
    <row r="48">
      <c r="A48" s="3" t="inlineStr">
        <is>
          <t>THE CEO'S NUMBERS</t>
        </is>
      </c>
    </row>
    <row r="49">
      <c r="A49" s="2" t="inlineStr">
        <is>
          <t>The Summary carries three: Reserve in Months, Growth Efficiency and the Rule of 40. Reserve</t>
        </is>
      </c>
    </row>
    <row r="50">
      <c r="A50" s="2" t="inlineStr">
        <is>
          <t>is marked as the critical one here, but that is a choice, not a rule. Which number belongs</t>
        </is>
      </c>
    </row>
    <row r="51">
      <c r="A51" s="2" t="inlineStr">
        <is>
          <t>to the head of the company depends on what the owner wants from it. Building something to</t>
        </is>
      </c>
    </row>
    <row r="52">
      <c r="A52" s="2" t="inlineStr">
        <is>
          <t>hold, and Reserve represents it well. Building to sell, and the Rule of 40 may serve better,</t>
        </is>
      </c>
    </row>
    <row r="53">
      <c r="A53" s="2" t="inlineStr">
        <is>
          <t>because growth plus margin is what a buyer prices. Move the mark to whichever number</t>
        </is>
      </c>
    </row>
    <row r="54">
      <c r="A54" s="2" t="inlineStr">
        <is>
          <t>reflects the trade-off between growth and profit that you are actually making.</t>
        </is>
      </c>
    </row>
    <row r="55">
      <c r="A55" s="2" t="inlineStr"/>
    </row>
    <row r="56">
      <c r="A56" s="3" t="inlineStr">
        <is>
          <t>THE CHAIN</t>
        </is>
      </c>
    </row>
    <row r="57">
      <c r="A57" s="2" t="inlineStr">
        <is>
          <t>Marketing reaches people, converts them to marketing qualified leads, and hands sales the</t>
        </is>
      </c>
    </row>
    <row r="58">
      <c r="A58" s="2" t="inlineStr">
        <is>
          <t>ones sales accepts. Sales closes them at a contract value and produces new recurring revenue.</t>
        </is>
      </c>
    </row>
    <row r="59">
      <c r="A59" s="2" t="inlineStr">
        <is>
          <t>Customer success owns what happens to revenue you already have: expansion, contraction and</t>
        </is>
      </c>
    </row>
    <row r="60">
      <c r="A60" s="2" t="inlineStr">
        <is>
          <t>churn. Support turns the customer base into tickets and hands customer success the customers</t>
        </is>
      </c>
    </row>
    <row r="61">
      <c r="A61" s="2" t="inlineStr">
        <is>
          <t>it could not put right, which churn ten times harder. Engineering turns capacity into</t>
        </is>
      </c>
    </row>
    <row r="62">
      <c r="A62" s="2" t="inlineStr">
        <is>
          <t>releases: product releases lift contract value, quality releases cut tickets per customer.</t>
        </is>
      </c>
    </row>
    <row r="63">
      <c r="A63" s="2" t="inlineStr">
        <is>
          <t>Finance collects the cash and owns the closing balance.</t>
        </is>
      </c>
    </row>
    <row r="64">
      <c r="A64" s="2" t="inlineStr"/>
    </row>
    <row r="65">
      <c r="A65" s="2" t="inlineStr">
        <is>
          <t>So a support backlog, an engineering quality problem or a discounted deal all end up in the</t>
        </is>
      </c>
    </row>
    <row r="66">
      <c r="A66" s="2" t="inlineStr">
        <is>
          <t>same place: the December 2028 cash number.</t>
        </is>
      </c>
    </row>
    <row r="67">
      <c r="A67" s="2" t="inlineStr"/>
    </row>
    <row r="68">
      <c r="A68" s="3" t="inlineStr">
        <is>
          <t>HOW REVENUE IS BUILT</t>
        </is>
      </c>
    </row>
    <row r="69">
      <c r="A69" s="2" t="inlineStr">
        <is>
          <t>Revenue is a balance that rolls forward, not a count multiplied by a price. Each month:</t>
        </is>
      </c>
    </row>
    <row r="70">
      <c r="A70" s="2" t="inlineStr">
        <is>
          <t>opening recurring revenue, plus new from sales, plus the net change on the existing base</t>
        </is>
      </c>
    </row>
    <row r="71">
      <c r="A71" s="2" t="inlineStr">
        <is>
          <t>from customer success, gives closing recurring revenue. For a month that balance is the</t>
        </is>
      </c>
    </row>
    <row r="72">
      <c r="A72" s="2" t="inlineStr">
        <is>
          <t>revenue; for a year, revenue is the sum of the twelve months.</t>
        </is>
      </c>
    </row>
    <row r="73">
      <c r="A73" s="2" t="inlineStr"/>
    </row>
    <row r="74">
      <c r="A74" s="3" t="inlineStr">
        <is>
          <t>HOW EACH FUNCTION TAB IS BUILT</t>
        </is>
      </c>
    </row>
    <row r="75">
      <c r="A75" s="2" t="inlineStr">
        <is>
          <t>The widgets first. Then the same nine standard department accounts every function carries,</t>
        </is>
      </c>
    </row>
    <row r="76">
      <c r="A76" s="2" t="inlineStr">
        <is>
          <t>so the cost structure is identical everywhere. Then that function's own programme lines.</t>
        </is>
      </c>
    </row>
    <row r="77">
      <c r="A77" s="2" t="inlineStr">
        <is>
          <t>Then a People roster: one row per seat, with its monthly cost, blank until the month the</t>
        </is>
      </c>
    </row>
    <row r="78">
      <c r="A78" s="2" t="inlineStr">
        <is>
          <t>seat starts. The roster drives salaries and headcount, so adding a row with a start month</t>
        </is>
      </c>
    </row>
    <row r="79">
      <c r="A79" s="2" t="inlineStr">
        <is>
          <t>flows through to the department total, to operating profit and to cash.</t>
        </is>
      </c>
    </row>
    <row r="80">
      <c r="A80" s="2" t="inlineStr"/>
    </row>
    <row r="81">
      <c r="A81" s="3" t="inlineStr">
        <is>
          <t>WHO OWNS WHAT</t>
        </is>
      </c>
    </row>
    <row r="82">
      <c r="A82" s="2" t="inlineStr">
        <is>
          <t>Ownership of each function and its critical number is defined on the Functional</t>
        </is>
      </c>
    </row>
    <row r="83">
      <c r="A83" s="2" t="inlineStr">
        <is>
          <t>Accountability Chart, and the tab names match it. The roster names seats rather than people,</t>
        </is>
      </c>
    </row>
    <row r="84">
      <c r="A84" s="2" t="inlineStr">
        <is>
          <t>so this model does not go stale when somebody changes job.</t>
        </is>
      </c>
    </row>
    <row r="85">
      <c r="A85" s="2" t="inlineStr"/>
    </row>
    <row r="86">
      <c r="A86" s="3" t="inlineStr">
        <is>
          <t>MONTHLY CLOSE</t>
        </is>
      </c>
    </row>
    <row r="87">
      <c r="A87" s="2" t="inlineStr">
        <is>
          <t>1. Enter the finished month's actuals in each function tab's Actual column.</t>
        </is>
      </c>
    </row>
    <row r="88">
      <c r="A88" s="2" t="inlineStr">
        <is>
          <t>2. Set that month's Rolling inputs equal to the actuals. The Checks tab verifies this.</t>
        </is>
      </c>
    </row>
    <row r="89">
      <c r="A89" s="2" t="inlineStr">
        <is>
          <t>3. Revise each open month's Rolling assumptions: rates first, then spend.</t>
        </is>
      </c>
    </row>
    <row r="90">
      <c r="A90" s="2" t="inlineStr">
        <is>
          <t>4. Read Closing Cash at the far end of the Summary. That is the monthly review conversation.</t>
        </is>
      </c>
    </row>
    <row r="91">
      <c r="A91" s="2" t="inlineStr"/>
    </row>
    <row r="92">
      <c r="A92" s="3" t="inlineStr">
        <is>
          <t>TRACE THE MISS</t>
        </is>
      </c>
    </row>
    <row r="93">
      <c r="A93" s="2" t="inlineStr">
        <is>
          <t>February 2026: sales closed 11 new customers against 19 approved. Those 11 came out of the</t>
        </is>
      </c>
    </row>
    <row r="94">
      <c r="A94" s="2" t="inlineStr">
        <is>
          <t>76 leads January accepted, because a lead takes a sales cycle to close, so the close rate</t>
        </is>
      </c>
    </row>
    <row r="95">
      <c r="A95" s="2" t="inlineStr">
        <is>
          <t>was 14.5 per cent against an assumption of 26. Follow it from the Sales tab into the</t>
        </is>
      </c>
    </row>
    <row r="96">
      <c r="A96" s="2" t="inlineStr">
        <is>
          <t>Summary and on to Closing Cash at the far left. The gap at December 2028 is 779,265</t>
        </is>
      </c>
    </row>
    <row r="97">
      <c r="A97" s="2" t="inlineStr">
        <is>
          <t>dollars, which is the February miss itself plus the March onward reforecast it triggered.</t>
        </is>
      </c>
    </row>
    <row r="98">
      <c r="A98" s="2" t="inlineStr">
        <is>
          <t>Two months into a three year plan, the owner already knows.</t>
        </is>
      </c>
    </row>
    <row r="99">
      <c r="A99" s="2" t="inlineStr"/>
    </row>
    <row r="100">
      <c r="A100" s="3" t="inlineStr">
        <is>
          <t>THE CHECKS TAB</t>
        </is>
      </c>
    </row>
    <row r="101">
      <c r="A101" s="2" t="inlineStr">
        <is>
          <t>Twenty one tests that should all read OK: the closed month mirror rule, cash rolling forward</t>
        </is>
      </c>
    </row>
    <row r="102">
      <c r="A102" s="2" t="inlineStr">
        <is>
          <t>on both bases, consolidation of the function totals into the Summary, the revenue bridge</t>
        </is>
      </c>
    </row>
    <row r="103">
      <c r="A103" s="2" t="inlineStr">
        <is>
          <t>footing, the four handoffs between functions, the rosters against the salary lines, benefits</t>
        </is>
      </c>
    </row>
    <row r="104">
      <c r="A104" s="2" t="inlineStr">
        <is>
          <t>against salaries, Reserve agreeing on both tabs where it appears, the sales cycle pulling</t>
        </is>
      </c>
    </row>
    <row r="105">
      <c r="A105" s="2" t="inlineStr">
        <is>
          <t>from the right month, tax at the stated rate after losses, the cash statement footing,</t>
        </is>
      </c>
    </row>
    <row r="106">
      <c r="A106" s="2" t="inlineStr">
        <is>
          <t>depreciation staying out of payments, commissions following the closes, unit costs dividing</t>
        </is>
      </c>
    </row>
    <row r="107">
      <c r="A107" s="2" t="inlineStr">
        <is>
          <t>by a count rather than a rate, days sales outstanding actually moving collections, and a</t>
        </is>
      </c>
    </row>
    <row r="108">
      <c r="A108" s="2" t="inlineStr">
        <is>
          <t>sweep for formula errors on every sheet, every sheet read to its own last row.</t>
        </is>
      </c>
    </row>
    <row r="109">
      <c r="A109" s="2" t="inlineStr">
        <is>
          <t>Every one of them has been deliberately broken to prove it can fail.</t>
        </is>
      </c>
    </row>
    <row r="110">
      <c r="A110" s="2" t="inlineStr"/>
    </row>
    <row r="111">
      <c r="A111" s="3" t="inlineStr">
        <is>
          <t>AT YEAR END</t>
        </is>
      </c>
    </row>
    <row r="112">
      <c r="A112" s="2" t="inlineStr">
        <is>
          <t>Add twelve new month blocks at the LEFT of every tab, refine the open months, and have the</t>
        </is>
      </c>
    </row>
    <row r="113">
      <c r="A113" s="2" t="inlineStr">
        <is>
          <t>leadership team approve the full 36 months as the new Approved plan.</t>
        </is>
      </c>
    </row>
    <row r="114">
      <c r="A114" s="2" t="inlineStr"/>
    </row>
    <row r="115">
      <c r="A115" s="3" t="inlineStr">
        <is>
          <t>WHAT THIS MODEL DELIBERATELY LEAVES OUT</t>
        </is>
      </c>
    </row>
    <row r="116">
      <c r="A116" s="2" t="inlineStr">
        <is>
          <t>Payables timing, financing and distributions. Revenue gives each end of month customer a</t>
        </is>
      </c>
    </row>
    <row r="117">
      <c r="A117" s="2" t="inlineStr">
        <is>
          <t>full month rather than pro-rating the sign-up date. Churned revenue follows the blended</t>
        </is>
      </c>
    </row>
    <row r="118">
      <c r="A118" s="2" t="inlineStr">
        <is>
          <t>customer churn rate rather than being tracked by cohort, so a month where the customers who</t>
        </is>
      </c>
    </row>
    <row r="119">
      <c r="A119" s="2" t="inlineStr">
        <is>
          <t>left were unusually large or unusually small will not show. Equipment is not retired inside</t>
        </is>
      </c>
    </row>
    <row r="120">
      <c r="A120" s="2" t="inlineStr">
        <is>
          <t>the thirty six months. These are documented simplifications: add what is material in your</t>
        </is>
      </c>
    </row>
    <row r="121">
      <c r="A121" s="2" t="inlineStr">
        <is>
          <t>business.</t>
        </is>
      </c>
    </row>
    <row r="122">
      <c r="A122" s="2" t="inlineStr"/>
    </row>
    <row r="123">
      <c r="A123" s="3" t="inlineStr">
        <is>
          <t>A NOTE ON THE SHAPE OF THIS PLAN</t>
        </is>
      </c>
    </row>
    <row r="124">
      <c r="A124" s="2" t="inlineStr">
        <is>
          <t>Reserve starts near one month and reaches about seven by December 2028, so the plan closes</t>
        </is>
      </c>
    </row>
    <row r="125">
      <c r="A125" s="2" t="inlineStr">
        <is>
          <t>short of the full year the target asks for. That is deliberate. Building a year of cash</t>
        </is>
      </c>
    </row>
    <row r="126">
      <c r="A126" s="2" t="inlineStr">
        <is>
          <t>takes longer than three years from this starting point, and a plan that pretended otherwise</t>
        </is>
      </c>
    </row>
    <row r="127">
      <c r="A127" s="2" t="inlineStr">
        <is>
          <t>would be teaching the wrong thing. The number to watch is the direction.</t>
        </is>
      </c>
    </row>
    <row r="128">
      <c r="A128" s="2" t="inlineStr"/>
    </row>
    <row r="129">
      <c r="A129" s="2" t="inlineStr">
        <is>
          <t>All numbers are fictional.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N23"/>
  <sheetViews>
    <sheetView workbookViewId="0">
      <pane xSplit="10" ySplit="2" topLeftCell="K3"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s>
  <sheetData>
    <row r="1">
      <c r="B1" s="4">
        <f>"FY"&amp;YEAR(K$1)</f>
        <v/>
      </c>
      <c r="C1" s="4" t="n"/>
      <c r="D1" s="4" t="n"/>
      <c r="E1" s="5">
        <f>"FY"&amp;YEAR(AU$1)</f>
        <v/>
      </c>
      <c r="F1" s="5" t="n"/>
      <c r="G1" s="5" t="n"/>
      <c r="H1" s="4">
        <f>"FY"&amp;YEAR(CE$1)</f>
        <v/>
      </c>
      <c r="I1" s="4" t="n"/>
      <c r="J1" s="4" t="n"/>
      <c r="K1" s="6">
        <f>EOMONTH(N$1,1)</f>
        <v/>
      </c>
      <c r="L1" s="5" t="n"/>
      <c r="M1" s="5" t="n"/>
      <c r="N1" s="7">
        <f>EOMONTH(Q$1,1)</f>
        <v/>
      </c>
      <c r="O1" s="4" t="n"/>
      <c r="P1" s="4" t="n"/>
      <c r="Q1" s="6">
        <f>EOMONTH(T$1,1)</f>
        <v/>
      </c>
      <c r="R1" s="5" t="n"/>
      <c r="S1" s="5" t="n"/>
      <c r="T1" s="7">
        <f>EOMONTH(W$1,1)</f>
        <v/>
      </c>
      <c r="U1" s="4" t="n"/>
      <c r="V1" s="4" t="n"/>
      <c r="W1" s="6">
        <f>EOMONTH(Z$1,1)</f>
        <v/>
      </c>
      <c r="X1" s="5" t="n"/>
      <c r="Y1" s="5" t="n"/>
      <c r="Z1" s="7">
        <f>EOMONTH(AC$1,1)</f>
        <v/>
      </c>
      <c r="AA1" s="4" t="n"/>
      <c r="AB1" s="4" t="n"/>
      <c r="AC1" s="6">
        <f>EOMONTH(AF$1,1)</f>
        <v/>
      </c>
      <c r="AD1" s="5" t="n"/>
      <c r="AE1" s="5" t="n"/>
      <c r="AF1" s="7">
        <f>EOMONTH(AI$1,1)</f>
        <v/>
      </c>
      <c r="AG1" s="4" t="n"/>
      <c r="AH1" s="4" t="n"/>
      <c r="AI1" s="6">
        <f>EOMONTH(AL$1,1)</f>
        <v/>
      </c>
      <c r="AJ1" s="5" t="n"/>
      <c r="AK1" s="5" t="n"/>
      <c r="AL1" s="7">
        <f>EOMONTH(AO$1,1)</f>
        <v/>
      </c>
      <c r="AM1" s="4" t="n"/>
      <c r="AN1" s="4" t="n"/>
      <c r="AO1" s="6">
        <f>EOMONTH(AR$1,1)</f>
        <v/>
      </c>
      <c r="AP1" s="5" t="n"/>
      <c r="AQ1" s="5" t="n"/>
      <c r="AR1" s="7">
        <f>EOMONTH(AU$1,1)</f>
        <v/>
      </c>
      <c r="AS1" s="4" t="n"/>
      <c r="AT1" s="4" t="n"/>
      <c r="AU1" s="6">
        <f>EOMONTH(AX$1,1)</f>
        <v/>
      </c>
      <c r="AV1" s="5" t="n"/>
      <c r="AW1" s="5" t="n"/>
      <c r="AX1" s="7">
        <f>EOMONTH(BA$1,1)</f>
        <v/>
      </c>
      <c r="AY1" s="4" t="n"/>
      <c r="AZ1" s="4" t="n"/>
      <c r="BA1" s="6">
        <f>EOMONTH(BD$1,1)</f>
        <v/>
      </c>
      <c r="BB1" s="5" t="n"/>
      <c r="BC1" s="5" t="n"/>
      <c r="BD1" s="7">
        <f>EOMONTH(BG$1,1)</f>
        <v/>
      </c>
      <c r="BE1" s="4" t="n"/>
      <c r="BF1" s="4" t="n"/>
      <c r="BG1" s="6">
        <f>EOMONTH(BJ$1,1)</f>
        <v/>
      </c>
      <c r="BH1" s="5" t="n"/>
      <c r="BI1" s="5" t="n"/>
      <c r="BJ1" s="7">
        <f>EOMONTH(BM$1,1)</f>
        <v/>
      </c>
      <c r="BK1" s="4" t="n"/>
      <c r="BL1" s="4" t="n"/>
      <c r="BM1" s="6">
        <f>EOMONTH(BP$1,1)</f>
        <v/>
      </c>
      <c r="BN1" s="5" t="n"/>
      <c r="BO1" s="5" t="n"/>
      <c r="BP1" s="7">
        <f>EOMONTH(BS$1,1)</f>
        <v/>
      </c>
      <c r="BQ1" s="4" t="n"/>
      <c r="BR1" s="4" t="n"/>
      <c r="BS1" s="6">
        <f>EOMONTH(BV$1,1)</f>
        <v/>
      </c>
      <c r="BT1" s="5" t="n"/>
      <c r="BU1" s="5" t="n"/>
      <c r="BV1" s="7">
        <f>EOMONTH(BY$1,1)</f>
        <v/>
      </c>
      <c r="BW1" s="4" t="n"/>
      <c r="BX1" s="4" t="n"/>
      <c r="BY1" s="6">
        <f>EOMONTH(CB$1,1)</f>
        <v/>
      </c>
      <c r="BZ1" s="5" t="n"/>
      <c r="CA1" s="5" t="n"/>
      <c r="CB1" s="7">
        <f>EOMONTH(CE$1,1)</f>
        <v/>
      </c>
      <c r="CC1" s="4" t="n"/>
      <c r="CD1" s="4" t="n"/>
      <c r="CE1" s="6">
        <f>EOMONTH(CH$1,1)</f>
        <v/>
      </c>
      <c r="CF1" s="5" t="n"/>
      <c r="CG1" s="5" t="n"/>
      <c r="CH1" s="7">
        <f>EOMONTH(CK$1,1)</f>
        <v/>
      </c>
      <c r="CI1" s="4" t="n"/>
      <c r="CJ1" s="4" t="n"/>
      <c r="CK1" s="6">
        <f>EOMONTH(CN$1,1)</f>
        <v/>
      </c>
      <c r="CL1" s="5" t="n"/>
      <c r="CM1" s="5" t="n"/>
      <c r="CN1" s="7">
        <f>EOMONTH(CQ$1,1)</f>
        <v/>
      </c>
      <c r="CO1" s="4" t="n"/>
      <c r="CP1" s="4" t="n"/>
      <c r="CQ1" s="6">
        <f>EOMONTH(CT$1,1)</f>
        <v/>
      </c>
      <c r="CR1" s="5" t="n"/>
      <c r="CS1" s="5" t="n"/>
      <c r="CT1" s="7">
        <f>EOMONTH(CW$1,1)</f>
        <v/>
      </c>
      <c r="CU1" s="4" t="n"/>
      <c r="CV1" s="4" t="n"/>
      <c r="CW1" s="6">
        <f>EOMONTH(CZ$1,1)</f>
        <v/>
      </c>
      <c r="CX1" s="5" t="n"/>
      <c r="CY1" s="5" t="n"/>
      <c r="CZ1" s="7">
        <f>EOMONTH(DC$1,1)</f>
        <v/>
      </c>
      <c r="DA1" s="4" t="n"/>
      <c r="DB1" s="4" t="n"/>
      <c r="DC1" s="6">
        <f>EOMONTH(DF$1,1)</f>
        <v/>
      </c>
      <c r="DD1" s="5" t="n"/>
      <c r="DE1" s="5" t="n"/>
      <c r="DF1" s="7">
        <f>EOMONTH(DI$1,1)</f>
        <v/>
      </c>
      <c r="DG1" s="4" t="n"/>
      <c r="DH1" s="4" t="n"/>
      <c r="DI1" s="6">
        <f>EOMONTH(DL$1,1)</f>
        <v/>
      </c>
      <c r="DJ1" s="5" t="n"/>
      <c r="DK1" s="5" t="n"/>
      <c r="DL1" s="7">
        <f>Finance!$B$61</f>
        <v/>
      </c>
      <c r="DM1" s="4" t="n"/>
      <c r="DN1" s="4" t="n"/>
    </row>
    <row r="2">
      <c r="A2" s="8" t="n"/>
      <c r="B2" s="9" t="inlineStr">
        <is>
          <t>Actual</t>
        </is>
      </c>
      <c r="C2" s="9" t="inlineStr">
        <is>
          <t>Rolling</t>
        </is>
      </c>
      <c r="D2" s="9" t="inlineStr">
        <is>
          <t>Approved</t>
        </is>
      </c>
      <c r="E2" s="8" t="inlineStr">
        <is>
          <t>Actual</t>
        </is>
      </c>
      <c r="F2" s="8" t="inlineStr">
        <is>
          <t>Rolling</t>
        </is>
      </c>
      <c r="G2" s="8" t="inlineStr">
        <is>
          <t>Approved</t>
        </is>
      </c>
      <c r="H2" s="9" t="inlineStr">
        <is>
          <t>Actual</t>
        </is>
      </c>
      <c r="I2" s="9" t="inlineStr">
        <is>
          <t>Rolling</t>
        </is>
      </c>
      <c r="J2" s="9" t="inlineStr">
        <is>
          <t>Approved</t>
        </is>
      </c>
      <c r="K2" s="8" t="inlineStr">
        <is>
          <t>Actual</t>
        </is>
      </c>
      <c r="L2" s="8" t="inlineStr">
        <is>
          <t>Rolling</t>
        </is>
      </c>
      <c r="M2" s="8" t="inlineStr">
        <is>
          <t>Approved</t>
        </is>
      </c>
      <c r="N2" s="9" t="inlineStr">
        <is>
          <t>Actual</t>
        </is>
      </c>
      <c r="O2" s="9" t="inlineStr">
        <is>
          <t>Rolling</t>
        </is>
      </c>
      <c r="P2" s="9" t="inlineStr">
        <is>
          <t>Approved</t>
        </is>
      </c>
      <c r="Q2" s="8" t="inlineStr">
        <is>
          <t>Actual</t>
        </is>
      </c>
      <c r="R2" s="8" t="inlineStr">
        <is>
          <t>Rolling</t>
        </is>
      </c>
      <c r="S2" s="8" t="inlineStr">
        <is>
          <t>Approved</t>
        </is>
      </c>
      <c r="T2" s="9" t="inlineStr">
        <is>
          <t>Actual</t>
        </is>
      </c>
      <c r="U2" s="9" t="inlineStr">
        <is>
          <t>Rolling</t>
        </is>
      </c>
      <c r="V2" s="9" t="inlineStr">
        <is>
          <t>Approved</t>
        </is>
      </c>
      <c r="W2" s="8" t="inlineStr">
        <is>
          <t>Actual</t>
        </is>
      </c>
      <c r="X2" s="8" t="inlineStr">
        <is>
          <t>Rolling</t>
        </is>
      </c>
      <c r="Y2" s="8" t="inlineStr">
        <is>
          <t>Approved</t>
        </is>
      </c>
      <c r="Z2" s="9" t="inlineStr">
        <is>
          <t>Actual</t>
        </is>
      </c>
      <c r="AA2" s="9" t="inlineStr">
        <is>
          <t>Rolling</t>
        </is>
      </c>
      <c r="AB2" s="9" t="inlineStr">
        <is>
          <t>Approved</t>
        </is>
      </c>
      <c r="AC2" s="8" t="inlineStr">
        <is>
          <t>Actual</t>
        </is>
      </c>
      <c r="AD2" s="8" t="inlineStr">
        <is>
          <t>Rolling</t>
        </is>
      </c>
      <c r="AE2" s="8" t="inlineStr">
        <is>
          <t>Approved</t>
        </is>
      </c>
      <c r="AF2" s="9" t="inlineStr">
        <is>
          <t>Actual</t>
        </is>
      </c>
      <c r="AG2" s="9" t="inlineStr">
        <is>
          <t>Rolling</t>
        </is>
      </c>
      <c r="AH2" s="9" t="inlineStr">
        <is>
          <t>Approved</t>
        </is>
      </c>
      <c r="AI2" s="8" t="inlineStr">
        <is>
          <t>Actual</t>
        </is>
      </c>
      <c r="AJ2" s="8" t="inlineStr">
        <is>
          <t>Rolling</t>
        </is>
      </c>
      <c r="AK2" s="8" t="inlineStr">
        <is>
          <t>Approved</t>
        </is>
      </c>
      <c r="AL2" s="9" t="inlineStr">
        <is>
          <t>Actual</t>
        </is>
      </c>
      <c r="AM2" s="9" t="inlineStr">
        <is>
          <t>Rolling</t>
        </is>
      </c>
      <c r="AN2" s="9" t="inlineStr">
        <is>
          <t>Approved</t>
        </is>
      </c>
      <c r="AO2" s="8" t="inlineStr">
        <is>
          <t>Actual</t>
        </is>
      </c>
      <c r="AP2" s="8" t="inlineStr">
        <is>
          <t>Rolling</t>
        </is>
      </c>
      <c r="AQ2" s="8" t="inlineStr">
        <is>
          <t>Approved</t>
        </is>
      </c>
      <c r="AR2" s="9" t="inlineStr">
        <is>
          <t>Actual</t>
        </is>
      </c>
      <c r="AS2" s="9" t="inlineStr">
        <is>
          <t>Rolling</t>
        </is>
      </c>
      <c r="AT2" s="9" t="inlineStr">
        <is>
          <t>Approved</t>
        </is>
      </c>
      <c r="AU2" s="8" t="inlineStr">
        <is>
          <t>Actual</t>
        </is>
      </c>
      <c r="AV2" s="8" t="inlineStr">
        <is>
          <t>Rolling</t>
        </is>
      </c>
      <c r="AW2" s="8" t="inlineStr">
        <is>
          <t>Approved</t>
        </is>
      </c>
      <c r="AX2" s="9" t="inlineStr">
        <is>
          <t>Actual</t>
        </is>
      </c>
      <c r="AY2" s="9" t="inlineStr">
        <is>
          <t>Rolling</t>
        </is>
      </c>
      <c r="AZ2" s="9" t="inlineStr">
        <is>
          <t>Approved</t>
        </is>
      </c>
      <c r="BA2" s="8" t="inlineStr">
        <is>
          <t>Actual</t>
        </is>
      </c>
      <c r="BB2" s="8" t="inlineStr">
        <is>
          <t>Rolling</t>
        </is>
      </c>
      <c r="BC2" s="8" t="inlineStr">
        <is>
          <t>Approved</t>
        </is>
      </c>
      <c r="BD2" s="9" t="inlineStr">
        <is>
          <t>Actual</t>
        </is>
      </c>
      <c r="BE2" s="9" t="inlineStr">
        <is>
          <t>Rolling</t>
        </is>
      </c>
      <c r="BF2" s="9" t="inlineStr">
        <is>
          <t>Approved</t>
        </is>
      </c>
      <c r="BG2" s="8" t="inlineStr">
        <is>
          <t>Actual</t>
        </is>
      </c>
      <c r="BH2" s="8" t="inlineStr">
        <is>
          <t>Rolling</t>
        </is>
      </c>
      <c r="BI2" s="8" t="inlineStr">
        <is>
          <t>Approved</t>
        </is>
      </c>
      <c r="BJ2" s="9" t="inlineStr">
        <is>
          <t>Actual</t>
        </is>
      </c>
      <c r="BK2" s="9" t="inlineStr">
        <is>
          <t>Rolling</t>
        </is>
      </c>
      <c r="BL2" s="9" t="inlineStr">
        <is>
          <t>Approved</t>
        </is>
      </c>
      <c r="BM2" s="8" t="inlineStr">
        <is>
          <t>Actual</t>
        </is>
      </c>
      <c r="BN2" s="8" t="inlineStr">
        <is>
          <t>Rolling</t>
        </is>
      </c>
      <c r="BO2" s="8" t="inlineStr">
        <is>
          <t>Approved</t>
        </is>
      </c>
      <c r="BP2" s="9" t="inlineStr">
        <is>
          <t>Actual</t>
        </is>
      </c>
      <c r="BQ2" s="9" t="inlineStr">
        <is>
          <t>Rolling</t>
        </is>
      </c>
      <c r="BR2" s="9" t="inlineStr">
        <is>
          <t>Approved</t>
        </is>
      </c>
      <c r="BS2" s="8" t="inlineStr">
        <is>
          <t>Actual</t>
        </is>
      </c>
      <c r="BT2" s="8" t="inlineStr">
        <is>
          <t>Rolling</t>
        </is>
      </c>
      <c r="BU2" s="8" t="inlineStr">
        <is>
          <t>Approved</t>
        </is>
      </c>
      <c r="BV2" s="9" t="inlineStr">
        <is>
          <t>Actual</t>
        </is>
      </c>
      <c r="BW2" s="9" t="inlineStr">
        <is>
          <t>Rolling</t>
        </is>
      </c>
      <c r="BX2" s="9" t="inlineStr">
        <is>
          <t>Approved</t>
        </is>
      </c>
      <c r="BY2" s="8" t="inlineStr">
        <is>
          <t>Actual</t>
        </is>
      </c>
      <c r="BZ2" s="8" t="inlineStr">
        <is>
          <t>Rolling</t>
        </is>
      </c>
      <c r="CA2" s="8" t="inlineStr">
        <is>
          <t>Approved</t>
        </is>
      </c>
      <c r="CB2" s="9" t="inlineStr">
        <is>
          <t>Actual</t>
        </is>
      </c>
      <c r="CC2" s="9" t="inlineStr">
        <is>
          <t>Rolling</t>
        </is>
      </c>
      <c r="CD2" s="9" t="inlineStr">
        <is>
          <t>Approved</t>
        </is>
      </c>
      <c r="CE2" s="8" t="inlineStr">
        <is>
          <t>Actual</t>
        </is>
      </c>
      <c r="CF2" s="8" t="inlineStr">
        <is>
          <t>Rolling</t>
        </is>
      </c>
      <c r="CG2" s="8" t="inlineStr">
        <is>
          <t>Approved</t>
        </is>
      </c>
      <c r="CH2" s="9" t="inlineStr">
        <is>
          <t>Actual</t>
        </is>
      </c>
      <c r="CI2" s="9" t="inlineStr">
        <is>
          <t>Rolling</t>
        </is>
      </c>
      <c r="CJ2" s="9" t="inlineStr">
        <is>
          <t>Approved</t>
        </is>
      </c>
      <c r="CK2" s="8" t="inlineStr">
        <is>
          <t>Actual</t>
        </is>
      </c>
      <c r="CL2" s="8" t="inlineStr">
        <is>
          <t>Rolling</t>
        </is>
      </c>
      <c r="CM2" s="8" t="inlineStr">
        <is>
          <t>Approved</t>
        </is>
      </c>
      <c r="CN2" s="9" t="inlineStr">
        <is>
          <t>Actual</t>
        </is>
      </c>
      <c r="CO2" s="9" t="inlineStr">
        <is>
          <t>Rolling</t>
        </is>
      </c>
      <c r="CP2" s="9" t="inlineStr">
        <is>
          <t>Approved</t>
        </is>
      </c>
      <c r="CQ2" s="8" t="inlineStr">
        <is>
          <t>Actual</t>
        </is>
      </c>
      <c r="CR2" s="8" t="inlineStr">
        <is>
          <t>Rolling</t>
        </is>
      </c>
      <c r="CS2" s="8" t="inlineStr">
        <is>
          <t>Approved</t>
        </is>
      </c>
      <c r="CT2" s="9" t="inlineStr">
        <is>
          <t>Actual</t>
        </is>
      </c>
      <c r="CU2" s="9" t="inlineStr">
        <is>
          <t>Rolling</t>
        </is>
      </c>
      <c r="CV2" s="9" t="inlineStr">
        <is>
          <t>Approved</t>
        </is>
      </c>
      <c r="CW2" s="8" t="inlineStr">
        <is>
          <t>Actual</t>
        </is>
      </c>
      <c r="CX2" s="8" t="inlineStr">
        <is>
          <t>Rolling</t>
        </is>
      </c>
      <c r="CY2" s="8" t="inlineStr">
        <is>
          <t>Approved</t>
        </is>
      </c>
      <c r="CZ2" s="9" t="inlineStr">
        <is>
          <t>Actual</t>
        </is>
      </c>
      <c r="DA2" s="9" t="inlineStr">
        <is>
          <t>Rolling</t>
        </is>
      </c>
      <c r="DB2" s="9" t="inlineStr">
        <is>
          <t>Approved</t>
        </is>
      </c>
      <c r="DC2" s="8" t="inlineStr">
        <is>
          <t>Actual</t>
        </is>
      </c>
      <c r="DD2" s="8" t="inlineStr">
        <is>
          <t>Rolling</t>
        </is>
      </c>
      <c r="DE2" s="8" t="inlineStr">
        <is>
          <t>Approved</t>
        </is>
      </c>
      <c r="DF2" s="9" t="inlineStr">
        <is>
          <t>Actual</t>
        </is>
      </c>
      <c r="DG2" s="9" t="inlineStr">
        <is>
          <t>Rolling</t>
        </is>
      </c>
      <c r="DH2" s="9" t="inlineStr">
        <is>
          <t>Approved</t>
        </is>
      </c>
      <c r="DI2" s="8" t="inlineStr">
        <is>
          <t>Actual</t>
        </is>
      </c>
      <c r="DJ2" s="8" t="inlineStr">
        <is>
          <t>Rolling</t>
        </is>
      </c>
      <c r="DK2" s="8" t="inlineStr">
        <is>
          <t>Approved</t>
        </is>
      </c>
      <c r="DL2" s="9" t="inlineStr">
        <is>
          <t>Actual</t>
        </is>
      </c>
      <c r="DM2" s="9" t="inlineStr">
        <is>
          <t>Rolling</t>
        </is>
      </c>
      <c r="DN2" s="9" t="inlineStr">
        <is>
          <t>Approved</t>
        </is>
      </c>
    </row>
    <row r="3">
      <c r="A3" s="2" t="inlineStr">
        <is>
          <t>Opening Recurring Revenue</t>
        </is>
      </c>
      <c r="B3" s="10">
        <f>IF(AR3&lt;&gt;"",AR3,IF(AO3&lt;&gt;"",AO3,IF(AL3&lt;&gt;"",AL3,IF(AI3&lt;&gt;"",AI3,IF(AF3&lt;&gt;"",AF3,IF(AC3&lt;&gt;"",AC3,IF(Z3&lt;&gt;"",Z3,IF(W3&lt;&gt;"",W3,IF(T3&lt;&gt;"",T3,IF(Q3&lt;&gt;"",Q3,IF(N3&lt;&gt;"",N3,IF(K3&lt;&gt;"",K3,""))))))))))))</f>
        <v/>
      </c>
      <c r="C3" s="10">
        <f>IF(AS3&lt;&gt;"",AS3,IF(AP3&lt;&gt;"",AP3,IF(AM3&lt;&gt;"",AM3,IF(AJ3&lt;&gt;"",AJ3,IF(AG3&lt;&gt;"",AG3,IF(AD3&lt;&gt;"",AD3,IF(AA3&lt;&gt;"",AA3,IF(X3&lt;&gt;"",X3,IF(U3&lt;&gt;"",U3,IF(R3&lt;&gt;"",R3,IF(O3&lt;&gt;"",O3,IF(L3&lt;&gt;"",L3,""))))))))))))</f>
        <v/>
      </c>
      <c r="D3" s="10">
        <f>IF(AT3&lt;&gt;"",AT3,IF(AQ3&lt;&gt;"",AQ3,IF(AN3&lt;&gt;"",AN3,IF(AK3&lt;&gt;"",AK3,IF(AH3&lt;&gt;"",AH3,IF(AE3&lt;&gt;"",AE3,IF(AB3&lt;&gt;"",AB3,IF(Y3&lt;&gt;"",Y3,IF(V3&lt;&gt;"",V3,IF(S3&lt;&gt;"",S3,IF(P3&lt;&gt;"",P3,IF(M3&lt;&gt;"",M3,""))))))))))))</f>
        <v/>
      </c>
      <c r="E3" s="11">
        <f>IF(CB3&lt;&gt;"",CB3,IF(BY3&lt;&gt;"",BY3,IF(BV3&lt;&gt;"",BV3,IF(BS3&lt;&gt;"",BS3,IF(BP3&lt;&gt;"",BP3,IF(BM3&lt;&gt;"",BM3,IF(BJ3&lt;&gt;"",BJ3,IF(BG3&lt;&gt;"",BG3,IF(BD3&lt;&gt;"",BD3,IF(BA3&lt;&gt;"",BA3,IF(AX3&lt;&gt;"",AX3,IF(AU3&lt;&gt;"",AU3,""))))))))))))</f>
        <v/>
      </c>
      <c r="F3" s="11">
        <f>IF(CC3&lt;&gt;"",CC3,IF(BZ3&lt;&gt;"",BZ3,IF(BW3&lt;&gt;"",BW3,IF(BT3&lt;&gt;"",BT3,IF(BQ3&lt;&gt;"",BQ3,IF(BN3&lt;&gt;"",BN3,IF(BK3&lt;&gt;"",BK3,IF(BH3&lt;&gt;"",BH3,IF(BE3&lt;&gt;"",BE3,IF(BB3&lt;&gt;"",BB3,IF(AY3&lt;&gt;"",AY3,IF(AV3&lt;&gt;"",AV3,""))))))))))))</f>
        <v/>
      </c>
      <c r="G3" s="11">
        <f>IF(CD3&lt;&gt;"",CD3,IF(CA3&lt;&gt;"",CA3,IF(BX3&lt;&gt;"",BX3,IF(BU3&lt;&gt;"",BU3,IF(BR3&lt;&gt;"",BR3,IF(BO3&lt;&gt;"",BO3,IF(BL3&lt;&gt;"",BL3,IF(BI3&lt;&gt;"",BI3,IF(BF3&lt;&gt;"",BF3,IF(BC3&lt;&gt;"",BC3,IF(AZ3&lt;&gt;"",AZ3,IF(AW3&lt;&gt;"",AW3,""))))))))))))</f>
        <v/>
      </c>
      <c r="H3" s="10">
        <f>IF(DL3&lt;&gt;"",DL3,IF(DI3&lt;&gt;"",DI3,IF(DF3&lt;&gt;"",DF3,IF(DC3&lt;&gt;"",DC3,IF(CZ3&lt;&gt;"",CZ3,IF(CW3&lt;&gt;"",CW3,IF(CT3&lt;&gt;"",CT3,IF(CQ3&lt;&gt;"",CQ3,IF(CN3&lt;&gt;"",CN3,IF(CK3&lt;&gt;"",CK3,IF(CH3&lt;&gt;"",CH3,IF(CE3&lt;&gt;"",CE3,""))))))))))))</f>
        <v/>
      </c>
      <c r="I3" s="10">
        <f>IF(DM3&lt;&gt;"",DM3,IF(DJ3&lt;&gt;"",DJ3,IF(DG3&lt;&gt;"",DG3,IF(DD3&lt;&gt;"",DD3,IF(DA3&lt;&gt;"",DA3,IF(CX3&lt;&gt;"",CX3,IF(CU3&lt;&gt;"",CU3,IF(CR3&lt;&gt;"",CR3,IF(CO3&lt;&gt;"",CO3,IF(CL3&lt;&gt;"",CL3,IF(CI3&lt;&gt;"",CI3,IF(CF3&lt;&gt;"",CF3,""))))))))))))</f>
        <v/>
      </c>
      <c r="J3" s="10">
        <f>IF(DN3&lt;&gt;"",DN3,IF(DK3&lt;&gt;"",DK3,IF(DH3&lt;&gt;"",DH3,IF(DE3&lt;&gt;"",DE3,IF(DB3&lt;&gt;"",DB3,IF(CY3&lt;&gt;"",CY3,IF(CV3&lt;&gt;"",CV3,IF(CS3&lt;&gt;"",CS3,IF(CP3&lt;&gt;"",CP3,IF(CM3&lt;&gt;"",CM3,IF(CJ3&lt;&gt;"",CJ3,IF(CG3&lt;&gt;"",CG3,""))))))))))))</f>
        <v/>
      </c>
      <c r="K3" s="11">
        <f>IF(COUNT('Summary'!N6)=1,'Summary'!N6,"")</f>
        <v/>
      </c>
      <c r="L3" s="11">
        <f>'Summary'!O6</f>
        <v/>
      </c>
      <c r="M3" s="11">
        <f>'Summary'!P6</f>
        <v/>
      </c>
      <c r="N3" s="10">
        <f>IF(COUNT('Summary'!Q6)=1,'Summary'!Q6,"")</f>
        <v/>
      </c>
      <c r="O3" s="10">
        <f>'Summary'!R6</f>
        <v/>
      </c>
      <c r="P3" s="10">
        <f>'Summary'!S6</f>
        <v/>
      </c>
      <c r="Q3" s="11">
        <f>IF(COUNT('Summary'!T6)=1,'Summary'!T6,"")</f>
        <v/>
      </c>
      <c r="R3" s="11">
        <f>'Summary'!U6</f>
        <v/>
      </c>
      <c r="S3" s="11">
        <f>'Summary'!V6</f>
        <v/>
      </c>
      <c r="T3" s="10">
        <f>IF(COUNT('Summary'!W6)=1,'Summary'!W6,"")</f>
        <v/>
      </c>
      <c r="U3" s="10">
        <f>'Summary'!X6</f>
        <v/>
      </c>
      <c r="V3" s="10">
        <f>'Summary'!Y6</f>
        <v/>
      </c>
      <c r="W3" s="11">
        <f>IF(COUNT('Summary'!Z6)=1,'Summary'!Z6,"")</f>
        <v/>
      </c>
      <c r="X3" s="11">
        <f>'Summary'!AA6</f>
        <v/>
      </c>
      <c r="Y3" s="11">
        <f>'Summary'!AB6</f>
        <v/>
      </c>
      <c r="Z3" s="10">
        <f>IF(COUNT('Summary'!AC6)=1,'Summary'!AC6,"")</f>
        <v/>
      </c>
      <c r="AA3" s="10">
        <f>'Summary'!AD6</f>
        <v/>
      </c>
      <c r="AB3" s="10">
        <f>'Summary'!AE6</f>
        <v/>
      </c>
      <c r="AC3" s="11">
        <f>IF(COUNT('Summary'!AF6)=1,'Summary'!AF6,"")</f>
        <v/>
      </c>
      <c r="AD3" s="11">
        <f>'Summary'!AG6</f>
        <v/>
      </c>
      <c r="AE3" s="11">
        <f>'Summary'!AH6</f>
        <v/>
      </c>
      <c r="AF3" s="10">
        <f>IF(COUNT('Summary'!AI6)=1,'Summary'!AI6,"")</f>
        <v/>
      </c>
      <c r="AG3" s="10">
        <f>'Summary'!AJ6</f>
        <v/>
      </c>
      <c r="AH3" s="10">
        <f>'Summary'!AK6</f>
        <v/>
      </c>
      <c r="AI3" s="11">
        <f>IF(COUNT('Summary'!AL6)=1,'Summary'!AL6,"")</f>
        <v/>
      </c>
      <c r="AJ3" s="11">
        <f>'Summary'!AM6</f>
        <v/>
      </c>
      <c r="AK3" s="11">
        <f>'Summary'!AN6</f>
        <v/>
      </c>
      <c r="AL3" s="10">
        <f>IF(COUNT('Summary'!AO6)=1,'Summary'!AO6,"")</f>
        <v/>
      </c>
      <c r="AM3" s="10">
        <f>'Summary'!AP6</f>
        <v/>
      </c>
      <c r="AN3" s="10">
        <f>'Summary'!AQ6</f>
        <v/>
      </c>
      <c r="AO3" s="11">
        <f>IF(COUNT('Summary'!AR6)=1,'Summary'!AR6,"")</f>
        <v/>
      </c>
      <c r="AP3" s="11">
        <f>'Summary'!AS6</f>
        <v/>
      </c>
      <c r="AQ3" s="11">
        <f>'Summary'!AT6</f>
        <v/>
      </c>
      <c r="AR3" s="10">
        <f>IF(COUNT('Summary'!AU6)=1,'Summary'!AU6,"")</f>
        <v/>
      </c>
      <c r="AS3" s="10">
        <f>'Summary'!AV6</f>
        <v/>
      </c>
      <c r="AT3" s="10">
        <f>'Summary'!AW6</f>
        <v/>
      </c>
      <c r="AU3" s="11">
        <f>IF(COUNT('Summary'!AX6)=1,'Summary'!AX6,"")</f>
        <v/>
      </c>
      <c r="AV3" s="11">
        <f>'Summary'!AY6</f>
        <v/>
      </c>
      <c r="AW3" s="11">
        <f>'Summary'!AZ6</f>
        <v/>
      </c>
      <c r="AX3" s="10">
        <f>IF(COUNT('Summary'!BA6)=1,'Summary'!BA6,"")</f>
        <v/>
      </c>
      <c r="AY3" s="10">
        <f>'Summary'!BB6</f>
        <v/>
      </c>
      <c r="AZ3" s="10">
        <f>'Summary'!BC6</f>
        <v/>
      </c>
      <c r="BA3" s="11">
        <f>IF(COUNT('Summary'!BD6)=1,'Summary'!BD6,"")</f>
        <v/>
      </c>
      <c r="BB3" s="11">
        <f>'Summary'!BE6</f>
        <v/>
      </c>
      <c r="BC3" s="11">
        <f>'Summary'!BF6</f>
        <v/>
      </c>
      <c r="BD3" s="10">
        <f>IF(COUNT('Summary'!BG6)=1,'Summary'!BG6,"")</f>
        <v/>
      </c>
      <c r="BE3" s="10">
        <f>'Summary'!BH6</f>
        <v/>
      </c>
      <c r="BF3" s="10">
        <f>'Summary'!BI6</f>
        <v/>
      </c>
      <c r="BG3" s="11">
        <f>IF(COUNT('Summary'!BJ6)=1,'Summary'!BJ6,"")</f>
        <v/>
      </c>
      <c r="BH3" s="11">
        <f>'Summary'!BK6</f>
        <v/>
      </c>
      <c r="BI3" s="11">
        <f>'Summary'!BL6</f>
        <v/>
      </c>
      <c r="BJ3" s="10">
        <f>IF(COUNT('Summary'!BM6)=1,'Summary'!BM6,"")</f>
        <v/>
      </c>
      <c r="BK3" s="10">
        <f>'Summary'!BN6</f>
        <v/>
      </c>
      <c r="BL3" s="10">
        <f>'Summary'!BO6</f>
        <v/>
      </c>
      <c r="BM3" s="11">
        <f>IF(COUNT('Summary'!BP6)=1,'Summary'!BP6,"")</f>
        <v/>
      </c>
      <c r="BN3" s="11">
        <f>'Summary'!BQ6</f>
        <v/>
      </c>
      <c r="BO3" s="11">
        <f>'Summary'!BR6</f>
        <v/>
      </c>
      <c r="BP3" s="10">
        <f>IF(COUNT('Summary'!BS6)=1,'Summary'!BS6,"")</f>
        <v/>
      </c>
      <c r="BQ3" s="10">
        <f>'Summary'!BT6</f>
        <v/>
      </c>
      <c r="BR3" s="10">
        <f>'Summary'!BU6</f>
        <v/>
      </c>
      <c r="BS3" s="11">
        <f>IF(COUNT('Summary'!BV6)=1,'Summary'!BV6,"")</f>
        <v/>
      </c>
      <c r="BT3" s="11">
        <f>'Summary'!BW6</f>
        <v/>
      </c>
      <c r="BU3" s="11">
        <f>'Summary'!BX6</f>
        <v/>
      </c>
      <c r="BV3" s="10">
        <f>IF(COUNT('Summary'!BY6)=1,'Summary'!BY6,"")</f>
        <v/>
      </c>
      <c r="BW3" s="10">
        <f>'Summary'!BZ6</f>
        <v/>
      </c>
      <c r="BX3" s="10">
        <f>'Summary'!CA6</f>
        <v/>
      </c>
      <c r="BY3" s="11">
        <f>IF(COUNT('Summary'!CB6)=1,'Summary'!CB6,"")</f>
        <v/>
      </c>
      <c r="BZ3" s="11">
        <f>'Summary'!CC6</f>
        <v/>
      </c>
      <c r="CA3" s="11">
        <f>'Summary'!CD6</f>
        <v/>
      </c>
      <c r="CB3" s="10">
        <f>IF(COUNT('Summary'!CE6)=1,'Summary'!CE6,"")</f>
        <v/>
      </c>
      <c r="CC3" s="10">
        <f>'Summary'!CF6</f>
        <v/>
      </c>
      <c r="CD3" s="10">
        <f>'Summary'!CG6</f>
        <v/>
      </c>
      <c r="CE3" s="11">
        <f>IF(COUNT('Summary'!CH6)=1,'Summary'!CH6,"")</f>
        <v/>
      </c>
      <c r="CF3" s="11">
        <f>'Summary'!CI6</f>
        <v/>
      </c>
      <c r="CG3" s="11">
        <f>'Summary'!CJ6</f>
        <v/>
      </c>
      <c r="CH3" s="10">
        <f>IF(COUNT('Summary'!CK6)=1,'Summary'!CK6,"")</f>
        <v/>
      </c>
      <c r="CI3" s="10">
        <f>'Summary'!CL6</f>
        <v/>
      </c>
      <c r="CJ3" s="10">
        <f>'Summary'!CM6</f>
        <v/>
      </c>
      <c r="CK3" s="11">
        <f>IF(COUNT('Summary'!CN6)=1,'Summary'!CN6,"")</f>
        <v/>
      </c>
      <c r="CL3" s="11">
        <f>'Summary'!CO6</f>
        <v/>
      </c>
      <c r="CM3" s="11">
        <f>'Summary'!CP6</f>
        <v/>
      </c>
      <c r="CN3" s="10">
        <f>IF(COUNT('Summary'!CQ6)=1,'Summary'!CQ6,"")</f>
        <v/>
      </c>
      <c r="CO3" s="10">
        <f>'Summary'!CR6</f>
        <v/>
      </c>
      <c r="CP3" s="10">
        <f>'Summary'!CS6</f>
        <v/>
      </c>
      <c r="CQ3" s="11">
        <f>IF(COUNT('Summary'!CT6)=1,'Summary'!CT6,"")</f>
        <v/>
      </c>
      <c r="CR3" s="11">
        <f>'Summary'!CU6</f>
        <v/>
      </c>
      <c r="CS3" s="11">
        <f>'Summary'!CV6</f>
        <v/>
      </c>
      <c r="CT3" s="10">
        <f>IF(COUNT('Summary'!CW6)=1,'Summary'!CW6,"")</f>
        <v/>
      </c>
      <c r="CU3" s="10">
        <f>'Summary'!CX6</f>
        <v/>
      </c>
      <c r="CV3" s="10">
        <f>'Summary'!CY6</f>
        <v/>
      </c>
      <c r="CW3" s="11">
        <f>IF(COUNT('Summary'!CZ6)=1,'Summary'!CZ6,"")</f>
        <v/>
      </c>
      <c r="CX3" s="11">
        <f>'Summary'!DA6</f>
        <v/>
      </c>
      <c r="CY3" s="11">
        <f>'Summary'!DB6</f>
        <v/>
      </c>
      <c r="CZ3" s="10">
        <f>IF(COUNT('Summary'!DC6)=1,'Summary'!DC6,"")</f>
        <v/>
      </c>
      <c r="DA3" s="10">
        <f>'Summary'!DD6</f>
        <v/>
      </c>
      <c r="DB3" s="10">
        <f>'Summary'!DE6</f>
        <v/>
      </c>
      <c r="DC3" s="11">
        <f>IF(COUNT('Summary'!DF6)=1,'Summary'!DF6,"")</f>
        <v/>
      </c>
      <c r="DD3" s="11">
        <f>'Summary'!DG6</f>
        <v/>
      </c>
      <c r="DE3" s="11">
        <f>'Summary'!DH6</f>
        <v/>
      </c>
      <c r="DF3" s="10">
        <f>IF(COUNT('Summary'!DI6)=1,'Summary'!DI6,"")</f>
        <v/>
      </c>
      <c r="DG3" s="10">
        <f>'Summary'!DJ6</f>
        <v/>
      </c>
      <c r="DH3" s="10">
        <f>'Summary'!DK6</f>
        <v/>
      </c>
      <c r="DI3" s="11">
        <f>IF(COUNT('Summary'!DL6)=1,'Summary'!DL6,"")</f>
        <v/>
      </c>
      <c r="DJ3" s="11">
        <f>'Summary'!DM6</f>
        <v/>
      </c>
      <c r="DK3" s="11">
        <f>'Summary'!DN6</f>
        <v/>
      </c>
      <c r="DL3" s="10">
        <f>IF(COUNT(Finance!$B$63)=1,Finance!$B$63,"")</f>
        <v/>
      </c>
      <c r="DM3" s="10">
        <f>Finance!$B$63</f>
        <v/>
      </c>
      <c r="DN3" s="10">
        <f>Finance!$B$63</f>
        <v/>
      </c>
    </row>
    <row r="4">
      <c r="A4" s="2" t="inlineStr">
        <is>
          <t>New Recurring Revenue</t>
        </is>
      </c>
      <c r="B4" s="10">
        <f>IF(COUNT(AR4,AO4,AL4,AI4,AF4,AC4,Z4,W4,T4,Q4,N4,K4)=0,"",SUM(AR4,AO4,AL4,AI4,AF4,AC4,Z4,W4,T4,Q4,N4,K4))</f>
        <v/>
      </c>
      <c r="C4" s="10">
        <f>IF(COUNT(AS4,AP4,AM4,AJ4,AG4,AD4,AA4,X4,U4,R4,O4,L4)=0,"",SUM(AS4,AP4,AM4,AJ4,AG4,AD4,AA4,X4,U4,R4,O4,L4))</f>
        <v/>
      </c>
      <c r="D4" s="10">
        <f>IF(COUNT(AT4,AQ4,AN4,AK4,AH4,AE4,AB4,Y4,V4,S4,P4,M4)=0,"",SUM(AT4,AQ4,AN4,AK4,AH4,AE4,AB4,Y4,V4,S4,P4,M4))</f>
        <v/>
      </c>
      <c r="E4" s="11">
        <f>IF(COUNT(CB4,BY4,BV4,BS4,BP4,BM4,BJ4,BG4,BD4,BA4,AX4,AU4)=0,"",SUM(CB4,BY4,BV4,BS4,BP4,BM4,BJ4,BG4,BD4,BA4,AX4,AU4))</f>
        <v/>
      </c>
      <c r="F4" s="11">
        <f>IF(COUNT(CC4,BZ4,BW4,BT4,BQ4,BN4,BK4,BH4,BE4,BB4,AY4,AV4)=0,"",SUM(CC4,BZ4,BW4,BT4,BQ4,BN4,BK4,BH4,BE4,BB4,AY4,AV4))</f>
        <v/>
      </c>
      <c r="G4" s="11">
        <f>IF(COUNT(CD4,CA4,BX4,BU4,BR4,BO4,BL4,BI4,BF4,BC4,AZ4,AW4)=0,"",SUM(CD4,CA4,BX4,BU4,BR4,BO4,BL4,BI4,BF4,BC4,AZ4,AW4))</f>
        <v/>
      </c>
      <c r="H4" s="10">
        <f>IF(COUNT(DL4,DI4,DF4,DC4,CZ4,CW4,CT4,CQ4,CN4,CK4,CH4,CE4)=0,"",SUM(DL4,DI4,DF4,DC4,CZ4,CW4,CT4,CQ4,CN4,CK4,CH4,CE4))</f>
        <v/>
      </c>
      <c r="I4" s="10">
        <f>IF(COUNT(DM4,DJ4,DG4,DD4,DA4,CX4,CU4,CR4,CO4,CL4,CI4,CF4)=0,"",SUM(DM4,DJ4,DG4,DD4,DA4,CX4,CU4,CR4,CO4,CL4,CI4,CF4))</f>
        <v/>
      </c>
      <c r="J4" s="10">
        <f>IF(COUNT(DN4,DK4,DH4,DE4,DB4,CY4,CV4,CS4,CP4,CM4,CJ4,CG4)=0,"",SUM(DN4,DK4,DH4,DE4,DB4,CY4,CV4,CS4,CP4,CM4,CJ4,CG4))</f>
        <v/>
      </c>
      <c r="K4" s="11">
        <f>IF(COUNT('Sales'!K8)=1,'Sales'!K8,"")</f>
        <v/>
      </c>
      <c r="L4" s="11">
        <f>'Sales'!L8</f>
        <v/>
      </c>
      <c r="M4" s="11">
        <f>'Sales'!M8</f>
        <v/>
      </c>
      <c r="N4" s="10">
        <f>IF(COUNT('Sales'!N8)=1,'Sales'!N8,"")</f>
        <v/>
      </c>
      <c r="O4" s="10">
        <f>'Sales'!O8</f>
        <v/>
      </c>
      <c r="P4" s="10">
        <f>'Sales'!P8</f>
        <v/>
      </c>
      <c r="Q4" s="11">
        <f>IF(COUNT('Sales'!Q8)=1,'Sales'!Q8,"")</f>
        <v/>
      </c>
      <c r="R4" s="11">
        <f>'Sales'!R8</f>
        <v/>
      </c>
      <c r="S4" s="11">
        <f>'Sales'!S8</f>
        <v/>
      </c>
      <c r="T4" s="10">
        <f>IF(COUNT('Sales'!T8)=1,'Sales'!T8,"")</f>
        <v/>
      </c>
      <c r="U4" s="10">
        <f>'Sales'!U8</f>
        <v/>
      </c>
      <c r="V4" s="10">
        <f>'Sales'!V8</f>
        <v/>
      </c>
      <c r="W4" s="11">
        <f>IF(COUNT('Sales'!W8)=1,'Sales'!W8,"")</f>
        <v/>
      </c>
      <c r="X4" s="11">
        <f>'Sales'!X8</f>
        <v/>
      </c>
      <c r="Y4" s="11">
        <f>'Sales'!Y8</f>
        <v/>
      </c>
      <c r="Z4" s="10">
        <f>IF(COUNT('Sales'!Z8)=1,'Sales'!Z8,"")</f>
        <v/>
      </c>
      <c r="AA4" s="10">
        <f>'Sales'!AA8</f>
        <v/>
      </c>
      <c r="AB4" s="10">
        <f>'Sales'!AB8</f>
        <v/>
      </c>
      <c r="AC4" s="11">
        <f>IF(COUNT('Sales'!AC8)=1,'Sales'!AC8,"")</f>
        <v/>
      </c>
      <c r="AD4" s="11">
        <f>'Sales'!AD8</f>
        <v/>
      </c>
      <c r="AE4" s="11">
        <f>'Sales'!AE8</f>
        <v/>
      </c>
      <c r="AF4" s="10">
        <f>IF(COUNT('Sales'!AF8)=1,'Sales'!AF8,"")</f>
        <v/>
      </c>
      <c r="AG4" s="10">
        <f>'Sales'!AG8</f>
        <v/>
      </c>
      <c r="AH4" s="10">
        <f>'Sales'!AH8</f>
        <v/>
      </c>
      <c r="AI4" s="11">
        <f>IF(COUNT('Sales'!AI8)=1,'Sales'!AI8,"")</f>
        <v/>
      </c>
      <c r="AJ4" s="11">
        <f>'Sales'!AJ8</f>
        <v/>
      </c>
      <c r="AK4" s="11">
        <f>'Sales'!AK8</f>
        <v/>
      </c>
      <c r="AL4" s="10">
        <f>IF(COUNT('Sales'!AL8)=1,'Sales'!AL8,"")</f>
        <v/>
      </c>
      <c r="AM4" s="10">
        <f>'Sales'!AM8</f>
        <v/>
      </c>
      <c r="AN4" s="10">
        <f>'Sales'!AN8</f>
        <v/>
      </c>
      <c r="AO4" s="11">
        <f>IF(COUNT('Sales'!AO8)=1,'Sales'!AO8,"")</f>
        <v/>
      </c>
      <c r="AP4" s="11">
        <f>'Sales'!AP8</f>
        <v/>
      </c>
      <c r="AQ4" s="11">
        <f>'Sales'!AQ8</f>
        <v/>
      </c>
      <c r="AR4" s="10">
        <f>IF(COUNT('Sales'!AR8)=1,'Sales'!AR8,"")</f>
        <v/>
      </c>
      <c r="AS4" s="10">
        <f>'Sales'!AS8</f>
        <v/>
      </c>
      <c r="AT4" s="10">
        <f>'Sales'!AT8</f>
        <v/>
      </c>
      <c r="AU4" s="11">
        <f>IF(COUNT('Sales'!AU8)=1,'Sales'!AU8,"")</f>
        <v/>
      </c>
      <c r="AV4" s="11">
        <f>'Sales'!AV8</f>
        <v/>
      </c>
      <c r="AW4" s="11">
        <f>'Sales'!AW8</f>
        <v/>
      </c>
      <c r="AX4" s="10">
        <f>IF(COUNT('Sales'!AX8)=1,'Sales'!AX8,"")</f>
        <v/>
      </c>
      <c r="AY4" s="10">
        <f>'Sales'!AY8</f>
        <v/>
      </c>
      <c r="AZ4" s="10">
        <f>'Sales'!AZ8</f>
        <v/>
      </c>
      <c r="BA4" s="11">
        <f>IF(COUNT('Sales'!BA8)=1,'Sales'!BA8,"")</f>
        <v/>
      </c>
      <c r="BB4" s="11">
        <f>'Sales'!BB8</f>
        <v/>
      </c>
      <c r="BC4" s="11">
        <f>'Sales'!BC8</f>
        <v/>
      </c>
      <c r="BD4" s="10">
        <f>IF(COUNT('Sales'!BD8)=1,'Sales'!BD8,"")</f>
        <v/>
      </c>
      <c r="BE4" s="10">
        <f>'Sales'!BE8</f>
        <v/>
      </c>
      <c r="BF4" s="10">
        <f>'Sales'!BF8</f>
        <v/>
      </c>
      <c r="BG4" s="11">
        <f>IF(COUNT('Sales'!BG8)=1,'Sales'!BG8,"")</f>
        <v/>
      </c>
      <c r="BH4" s="11">
        <f>'Sales'!BH8</f>
        <v/>
      </c>
      <c r="BI4" s="11">
        <f>'Sales'!BI8</f>
        <v/>
      </c>
      <c r="BJ4" s="10">
        <f>IF(COUNT('Sales'!BJ8)=1,'Sales'!BJ8,"")</f>
        <v/>
      </c>
      <c r="BK4" s="10">
        <f>'Sales'!BK8</f>
        <v/>
      </c>
      <c r="BL4" s="10">
        <f>'Sales'!BL8</f>
        <v/>
      </c>
      <c r="BM4" s="11">
        <f>IF(COUNT('Sales'!BM8)=1,'Sales'!BM8,"")</f>
        <v/>
      </c>
      <c r="BN4" s="11">
        <f>'Sales'!BN8</f>
        <v/>
      </c>
      <c r="BO4" s="11">
        <f>'Sales'!BO8</f>
        <v/>
      </c>
      <c r="BP4" s="10">
        <f>IF(COUNT('Sales'!BP8)=1,'Sales'!BP8,"")</f>
        <v/>
      </c>
      <c r="BQ4" s="10">
        <f>'Sales'!BQ8</f>
        <v/>
      </c>
      <c r="BR4" s="10">
        <f>'Sales'!BR8</f>
        <v/>
      </c>
      <c r="BS4" s="11">
        <f>IF(COUNT('Sales'!BS8)=1,'Sales'!BS8,"")</f>
        <v/>
      </c>
      <c r="BT4" s="11">
        <f>'Sales'!BT8</f>
        <v/>
      </c>
      <c r="BU4" s="11">
        <f>'Sales'!BU8</f>
        <v/>
      </c>
      <c r="BV4" s="10">
        <f>IF(COUNT('Sales'!BV8)=1,'Sales'!BV8,"")</f>
        <v/>
      </c>
      <c r="BW4" s="10">
        <f>'Sales'!BW8</f>
        <v/>
      </c>
      <c r="BX4" s="10">
        <f>'Sales'!BX8</f>
        <v/>
      </c>
      <c r="BY4" s="11">
        <f>IF(COUNT('Sales'!BY8)=1,'Sales'!BY8,"")</f>
        <v/>
      </c>
      <c r="BZ4" s="11">
        <f>'Sales'!BZ8</f>
        <v/>
      </c>
      <c r="CA4" s="11">
        <f>'Sales'!CA8</f>
        <v/>
      </c>
      <c r="CB4" s="10">
        <f>IF(COUNT('Sales'!CB8)=1,'Sales'!CB8,"")</f>
        <v/>
      </c>
      <c r="CC4" s="10">
        <f>'Sales'!CC8</f>
        <v/>
      </c>
      <c r="CD4" s="10">
        <f>'Sales'!CD8</f>
        <v/>
      </c>
      <c r="CE4" s="11">
        <f>IF(COUNT('Sales'!CE8)=1,'Sales'!CE8,"")</f>
        <v/>
      </c>
      <c r="CF4" s="11">
        <f>'Sales'!CF8</f>
        <v/>
      </c>
      <c r="CG4" s="11">
        <f>'Sales'!CG8</f>
        <v/>
      </c>
      <c r="CH4" s="10">
        <f>IF(COUNT('Sales'!CH8)=1,'Sales'!CH8,"")</f>
        <v/>
      </c>
      <c r="CI4" s="10">
        <f>'Sales'!CI8</f>
        <v/>
      </c>
      <c r="CJ4" s="10">
        <f>'Sales'!CJ8</f>
        <v/>
      </c>
      <c r="CK4" s="11">
        <f>IF(COUNT('Sales'!CK8)=1,'Sales'!CK8,"")</f>
        <v/>
      </c>
      <c r="CL4" s="11">
        <f>'Sales'!CL8</f>
        <v/>
      </c>
      <c r="CM4" s="11">
        <f>'Sales'!CM8</f>
        <v/>
      </c>
      <c r="CN4" s="10">
        <f>IF(COUNT('Sales'!CN8)=1,'Sales'!CN8,"")</f>
        <v/>
      </c>
      <c r="CO4" s="10">
        <f>'Sales'!CO8</f>
        <v/>
      </c>
      <c r="CP4" s="10">
        <f>'Sales'!CP8</f>
        <v/>
      </c>
      <c r="CQ4" s="11">
        <f>IF(COUNT('Sales'!CQ8)=1,'Sales'!CQ8,"")</f>
        <v/>
      </c>
      <c r="CR4" s="11">
        <f>'Sales'!CR8</f>
        <v/>
      </c>
      <c r="CS4" s="11">
        <f>'Sales'!CS8</f>
        <v/>
      </c>
      <c r="CT4" s="10">
        <f>IF(COUNT('Sales'!CT8)=1,'Sales'!CT8,"")</f>
        <v/>
      </c>
      <c r="CU4" s="10">
        <f>'Sales'!CU8</f>
        <v/>
      </c>
      <c r="CV4" s="10">
        <f>'Sales'!CV8</f>
        <v/>
      </c>
      <c r="CW4" s="11">
        <f>IF(COUNT('Sales'!CW8)=1,'Sales'!CW8,"")</f>
        <v/>
      </c>
      <c r="CX4" s="11">
        <f>'Sales'!CX8</f>
        <v/>
      </c>
      <c r="CY4" s="11">
        <f>'Sales'!CY8</f>
        <v/>
      </c>
      <c r="CZ4" s="10">
        <f>IF(COUNT('Sales'!CZ8)=1,'Sales'!CZ8,"")</f>
        <v/>
      </c>
      <c r="DA4" s="10">
        <f>'Sales'!DA8</f>
        <v/>
      </c>
      <c r="DB4" s="10">
        <f>'Sales'!DB8</f>
        <v/>
      </c>
      <c r="DC4" s="11">
        <f>IF(COUNT('Sales'!DC8)=1,'Sales'!DC8,"")</f>
        <v/>
      </c>
      <c r="DD4" s="11">
        <f>'Sales'!DD8</f>
        <v/>
      </c>
      <c r="DE4" s="11">
        <f>'Sales'!DE8</f>
        <v/>
      </c>
      <c r="DF4" s="10">
        <f>IF(COUNT('Sales'!DF8)=1,'Sales'!DF8,"")</f>
        <v/>
      </c>
      <c r="DG4" s="10">
        <f>'Sales'!DG8</f>
        <v/>
      </c>
      <c r="DH4" s="10">
        <f>'Sales'!DH8</f>
        <v/>
      </c>
      <c r="DI4" s="11">
        <f>IF(COUNT('Sales'!DI8)=1,'Sales'!DI8,"")</f>
        <v/>
      </c>
      <c r="DJ4" s="11">
        <f>'Sales'!DJ8</f>
        <v/>
      </c>
      <c r="DK4" s="11">
        <f>'Sales'!DK8</f>
        <v/>
      </c>
      <c r="DL4" s="10">
        <f>IF(COUNT('Sales'!DL8)=1,'Sales'!DL8,"")</f>
        <v/>
      </c>
      <c r="DM4" s="10">
        <f>'Sales'!DM8</f>
        <v/>
      </c>
      <c r="DN4" s="10">
        <f>'Sales'!DN8</f>
        <v/>
      </c>
    </row>
    <row r="5">
      <c r="A5" s="2" t="inlineStr">
        <is>
          <t>Net Change on Existing</t>
        </is>
      </c>
      <c r="B5" s="10">
        <f>IF(COUNT(AR5,AO5,AL5,AI5,AF5,AC5,Z5,W5,T5,Q5,N5,K5)=0,"",SUM(AR5,AO5,AL5,AI5,AF5,AC5,Z5,W5,T5,Q5,N5,K5))</f>
        <v/>
      </c>
      <c r="C5" s="10">
        <f>IF(COUNT(AS5,AP5,AM5,AJ5,AG5,AD5,AA5,X5,U5,R5,O5,L5)=0,"",SUM(AS5,AP5,AM5,AJ5,AG5,AD5,AA5,X5,U5,R5,O5,L5))</f>
        <v/>
      </c>
      <c r="D5" s="10">
        <f>IF(COUNT(AT5,AQ5,AN5,AK5,AH5,AE5,AB5,Y5,V5,S5,P5,M5)=0,"",SUM(AT5,AQ5,AN5,AK5,AH5,AE5,AB5,Y5,V5,S5,P5,M5))</f>
        <v/>
      </c>
      <c r="E5" s="11">
        <f>IF(COUNT(CB5,BY5,BV5,BS5,BP5,BM5,BJ5,BG5,BD5,BA5,AX5,AU5)=0,"",SUM(CB5,BY5,BV5,BS5,BP5,BM5,BJ5,BG5,BD5,BA5,AX5,AU5))</f>
        <v/>
      </c>
      <c r="F5" s="11">
        <f>IF(COUNT(CC5,BZ5,BW5,BT5,BQ5,BN5,BK5,BH5,BE5,BB5,AY5,AV5)=0,"",SUM(CC5,BZ5,BW5,BT5,BQ5,BN5,BK5,BH5,BE5,BB5,AY5,AV5))</f>
        <v/>
      </c>
      <c r="G5" s="11">
        <f>IF(COUNT(CD5,CA5,BX5,BU5,BR5,BO5,BL5,BI5,BF5,BC5,AZ5,AW5)=0,"",SUM(CD5,CA5,BX5,BU5,BR5,BO5,BL5,BI5,BF5,BC5,AZ5,AW5))</f>
        <v/>
      </c>
      <c r="H5" s="10">
        <f>IF(COUNT(DL5,DI5,DF5,DC5,CZ5,CW5,CT5,CQ5,CN5,CK5,CH5,CE5)=0,"",SUM(DL5,DI5,DF5,DC5,CZ5,CW5,CT5,CQ5,CN5,CK5,CH5,CE5))</f>
        <v/>
      </c>
      <c r="I5" s="10">
        <f>IF(COUNT(DM5,DJ5,DG5,DD5,DA5,CX5,CU5,CR5,CO5,CL5,CI5,CF5)=0,"",SUM(DM5,DJ5,DG5,DD5,DA5,CX5,CU5,CR5,CO5,CL5,CI5,CF5))</f>
        <v/>
      </c>
      <c r="J5" s="10">
        <f>IF(COUNT(DN5,DK5,DH5,DE5,DB5,CY5,CV5,CS5,CP5,CM5,CJ5,CG5)=0,"",SUM(DN5,DK5,DH5,DE5,DB5,CY5,CV5,CS5,CP5,CM5,CJ5,CG5))</f>
        <v/>
      </c>
      <c r="K5" s="11">
        <f>IF(COUNT('Customer Success'!K11)=1,'Customer Success'!K11,"")</f>
        <v/>
      </c>
      <c r="L5" s="11">
        <f>'Customer Success'!L11</f>
        <v/>
      </c>
      <c r="M5" s="11">
        <f>'Customer Success'!M11</f>
        <v/>
      </c>
      <c r="N5" s="10">
        <f>IF(COUNT('Customer Success'!N11)=1,'Customer Success'!N11,"")</f>
        <v/>
      </c>
      <c r="O5" s="10">
        <f>'Customer Success'!O11</f>
        <v/>
      </c>
      <c r="P5" s="10">
        <f>'Customer Success'!P11</f>
        <v/>
      </c>
      <c r="Q5" s="11">
        <f>IF(COUNT('Customer Success'!Q11)=1,'Customer Success'!Q11,"")</f>
        <v/>
      </c>
      <c r="R5" s="11">
        <f>'Customer Success'!R11</f>
        <v/>
      </c>
      <c r="S5" s="11">
        <f>'Customer Success'!S11</f>
        <v/>
      </c>
      <c r="T5" s="10">
        <f>IF(COUNT('Customer Success'!T11)=1,'Customer Success'!T11,"")</f>
        <v/>
      </c>
      <c r="U5" s="10">
        <f>'Customer Success'!U11</f>
        <v/>
      </c>
      <c r="V5" s="10">
        <f>'Customer Success'!V11</f>
        <v/>
      </c>
      <c r="W5" s="11">
        <f>IF(COUNT('Customer Success'!W11)=1,'Customer Success'!W11,"")</f>
        <v/>
      </c>
      <c r="X5" s="11">
        <f>'Customer Success'!X11</f>
        <v/>
      </c>
      <c r="Y5" s="11">
        <f>'Customer Success'!Y11</f>
        <v/>
      </c>
      <c r="Z5" s="10">
        <f>IF(COUNT('Customer Success'!Z11)=1,'Customer Success'!Z11,"")</f>
        <v/>
      </c>
      <c r="AA5" s="10">
        <f>'Customer Success'!AA11</f>
        <v/>
      </c>
      <c r="AB5" s="10">
        <f>'Customer Success'!AB11</f>
        <v/>
      </c>
      <c r="AC5" s="11">
        <f>IF(COUNT('Customer Success'!AC11)=1,'Customer Success'!AC11,"")</f>
        <v/>
      </c>
      <c r="AD5" s="11">
        <f>'Customer Success'!AD11</f>
        <v/>
      </c>
      <c r="AE5" s="11">
        <f>'Customer Success'!AE11</f>
        <v/>
      </c>
      <c r="AF5" s="10">
        <f>IF(COUNT('Customer Success'!AF11)=1,'Customer Success'!AF11,"")</f>
        <v/>
      </c>
      <c r="AG5" s="10">
        <f>'Customer Success'!AG11</f>
        <v/>
      </c>
      <c r="AH5" s="10">
        <f>'Customer Success'!AH11</f>
        <v/>
      </c>
      <c r="AI5" s="11">
        <f>IF(COUNT('Customer Success'!AI11)=1,'Customer Success'!AI11,"")</f>
        <v/>
      </c>
      <c r="AJ5" s="11">
        <f>'Customer Success'!AJ11</f>
        <v/>
      </c>
      <c r="AK5" s="11">
        <f>'Customer Success'!AK11</f>
        <v/>
      </c>
      <c r="AL5" s="10">
        <f>IF(COUNT('Customer Success'!AL11)=1,'Customer Success'!AL11,"")</f>
        <v/>
      </c>
      <c r="AM5" s="10">
        <f>'Customer Success'!AM11</f>
        <v/>
      </c>
      <c r="AN5" s="10">
        <f>'Customer Success'!AN11</f>
        <v/>
      </c>
      <c r="AO5" s="11">
        <f>IF(COUNT('Customer Success'!AO11)=1,'Customer Success'!AO11,"")</f>
        <v/>
      </c>
      <c r="AP5" s="11">
        <f>'Customer Success'!AP11</f>
        <v/>
      </c>
      <c r="AQ5" s="11">
        <f>'Customer Success'!AQ11</f>
        <v/>
      </c>
      <c r="AR5" s="10">
        <f>IF(COUNT('Customer Success'!AR11)=1,'Customer Success'!AR11,"")</f>
        <v/>
      </c>
      <c r="AS5" s="10">
        <f>'Customer Success'!AS11</f>
        <v/>
      </c>
      <c r="AT5" s="10">
        <f>'Customer Success'!AT11</f>
        <v/>
      </c>
      <c r="AU5" s="11">
        <f>IF(COUNT('Customer Success'!AU11)=1,'Customer Success'!AU11,"")</f>
        <v/>
      </c>
      <c r="AV5" s="11">
        <f>'Customer Success'!AV11</f>
        <v/>
      </c>
      <c r="AW5" s="11">
        <f>'Customer Success'!AW11</f>
        <v/>
      </c>
      <c r="AX5" s="10">
        <f>IF(COUNT('Customer Success'!AX11)=1,'Customer Success'!AX11,"")</f>
        <v/>
      </c>
      <c r="AY5" s="10">
        <f>'Customer Success'!AY11</f>
        <v/>
      </c>
      <c r="AZ5" s="10">
        <f>'Customer Success'!AZ11</f>
        <v/>
      </c>
      <c r="BA5" s="11">
        <f>IF(COUNT('Customer Success'!BA11)=1,'Customer Success'!BA11,"")</f>
        <v/>
      </c>
      <c r="BB5" s="11">
        <f>'Customer Success'!BB11</f>
        <v/>
      </c>
      <c r="BC5" s="11">
        <f>'Customer Success'!BC11</f>
        <v/>
      </c>
      <c r="BD5" s="10">
        <f>IF(COUNT('Customer Success'!BD11)=1,'Customer Success'!BD11,"")</f>
        <v/>
      </c>
      <c r="BE5" s="10">
        <f>'Customer Success'!BE11</f>
        <v/>
      </c>
      <c r="BF5" s="10">
        <f>'Customer Success'!BF11</f>
        <v/>
      </c>
      <c r="BG5" s="11">
        <f>IF(COUNT('Customer Success'!BG11)=1,'Customer Success'!BG11,"")</f>
        <v/>
      </c>
      <c r="BH5" s="11">
        <f>'Customer Success'!BH11</f>
        <v/>
      </c>
      <c r="BI5" s="11">
        <f>'Customer Success'!BI11</f>
        <v/>
      </c>
      <c r="BJ5" s="10">
        <f>IF(COUNT('Customer Success'!BJ11)=1,'Customer Success'!BJ11,"")</f>
        <v/>
      </c>
      <c r="BK5" s="10">
        <f>'Customer Success'!BK11</f>
        <v/>
      </c>
      <c r="BL5" s="10">
        <f>'Customer Success'!BL11</f>
        <v/>
      </c>
      <c r="BM5" s="11">
        <f>IF(COUNT('Customer Success'!BM11)=1,'Customer Success'!BM11,"")</f>
        <v/>
      </c>
      <c r="BN5" s="11">
        <f>'Customer Success'!BN11</f>
        <v/>
      </c>
      <c r="BO5" s="11">
        <f>'Customer Success'!BO11</f>
        <v/>
      </c>
      <c r="BP5" s="10">
        <f>IF(COUNT('Customer Success'!BP11)=1,'Customer Success'!BP11,"")</f>
        <v/>
      </c>
      <c r="BQ5" s="10">
        <f>'Customer Success'!BQ11</f>
        <v/>
      </c>
      <c r="BR5" s="10">
        <f>'Customer Success'!BR11</f>
        <v/>
      </c>
      <c r="BS5" s="11">
        <f>IF(COUNT('Customer Success'!BS11)=1,'Customer Success'!BS11,"")</f>
        <v/>
      </c>
      <c r="BT5" s="11">
        <f>'Customer Success'!BT11</f>
        <v/>
      </c>
      <c r="BU5" s="11">
        <f>'Customer Success'!BU11</f>
        <v/>
      </c>
      <c r="BV5" s="10">
        <f>IF(COUNT('Customer Success'!BV11)=1,'Customer Success'!BV11,"")</f>
        <v/>
      </c>
      <c r="BW5" s="10">
        <f>'Customer Success'!BW11</f>
        <v/>
      </c>
      <c r="BX5" s="10">
        <f>'Customer Success'!BX11</f>
        <v/>
      </c>
      <c r="BY5" s="11">
        <f>IF(COUNT('Customer Success'!BY11)=1,'Customer Success'!BY11,"")</f>
        <v/>
      </c>
      <c r="BZ5" s="11">
        <f>'Customer Success'!BZ11</f>
        <v/>
      </c>
      <c r="CA5" s="11">
        <f>'Customer Success'!CA11</f>
        <v/>
      </c>
      <c r="CB5" s="10">
        <f>IF(COUNT('Customer Success'!CB11)=1,'Customer Success'!CB11,"")</f>
        <v/>
      </c>
      <c r="CC5" s="10">
        <f>'Customer Success'!CC11</f>
        <v/>
      </c>
      <c r="CD5" s="10">
        <f>'Customer Success'!CD11</f>
        <v/>
      </c>
      <c r="CE5" s="11">
        <f>IF(COUNT('Customer Success'!CE11)=1,'Customer Success'!CE11,"")</f>
        <v/>
      </c>
      <c r="CF5" s="11">
        <f>'Customer Success'!CF11</f>
        <v/>
      </c>
      <c r="CG5" s="11">
        <f>'Customer Success'!CG11</f>
        <v/>
      </c>
      <c r="CH5" s="10">
        <f>IF(COUNT('Customer Success'!CH11)=1,'Customer Success'!CH11,"")</f>
        <v/>
      </c>
      <c r="CI5" s="10">
        <f>'Customer Success'!CI11</f>
        <v/>
      </c>
      <c r="CJ5" s="10">
        <f>'Customer Success'!CJ11</f>
        <v/>
      </c>
      <c r="CK5" s="11">
        <f>IF(COUNT('Customer Success'!CK11)=1,'Customer Success'!CK11,"")</f>
        <v/>
      </c>
      <c r="CL5" s="11">
        <f>'Customer Success'!CL11</f>
        <v/>
      </c>
      <c r="CM5" s="11">
        <f>'Customer Success'!CM11</f>
        <v/>
      </c>
      <c r="CN5" s="10">
        <f>IF(COUNT('Customer Success'!CN11)=1,'Customer Success'!CN11,"")</f>
        <v/>
      </c>
      <c r="CO5" s="10">
        <f>'Customer Success'!CO11</f>
        <v/>
      </c>
      <c r="CP5" s="10">
        <f>'Customer Success'!CP11</f>
        <v/>
      </c>
      <c r="CQ5" s="11">
        <f>IF(COUNT('Customer Success'!CQ11)=1,'Customer Success'!CQ11,"")</f>
        <v/>
      </c>
      <c r="CR5" s="11">
        <f>'Customer Success'!CR11</f>
        <v/>
      </c>
      <c r="CS5" s="11">
        <f>'Customer Success'!CS11</f>
        <v/>
      </c>
      <c r="CT5" s="10">
        <f>IF(COUNT('Customer Success'!CT11)=1,'Customer Success'!CT11,"")</f>
        <v/>
      </c>
      <c r="CU5" s="10">
        <f>'Customer Success'!CU11</f>
        <v/>
      </c>
      <c r="CV5" s="10">
        <f>'Customer Success'!CV11</f>
        <v/>
      </c>
      <c r="CW5" s="11">
        <f>IF(COUNT('Customer Success'!CW11)=1,'Customer Success'!CW11,"")</f>
        <v/>
      </c>
      <c r="CX5" s="11">
        <f>'Customer Success'!CX11</f>
        <v/>
      </c>
      <c r="CY5" s="11">
        <f>'Customer Success'!CY11</f>
        <v/>
      </c>
      <c r="CZ5" s="10">
        <f>IF(COUNT('Customer Success'!CZ11)=1,'Customer Success'!CZ11,"")</f>
        <v/>
      </c>
      <c r="DA5" s="10">
        <f>'Customer Success'!DA11</f>
        <v/>
      </c>
      <c r="DB5" s="10">
        <f>'Customer Success'!DB11</f>
        <v/>
      </c>
      <c r="DC5" s="11">
        <f>IF(COUNT('Customer Success'!DC11)=1,'Customer Success'!DC11,"")</f>
        <v/>
      </c>
      <c r="DD5" s="11">
        <f>'Customer Success'!DD11</f>
        <v/>
      </c>
      <c r="DE5" s="11">
        <f>'Customer Success'!DE11</f>
        <v/>
      </c>
      <c r="DF5" s="10">
        <f>IF(COUNT('Customer Success'!DF11)=1,'Customer Success'!DF11,"")</f>
        <v/>
      </c>
      <c r="DG5" s="10">
        <f>'Customer Success'!DG11</f>
        <v/>
      </c>
      <c r="DH5" s="10">
        <f>'Customer Success'!DH11</f>
        <v/>
      </c>
      <c r="DI5" s="11">
        <f>IF(COUNT('Customer Success'!DI11)=1,'Customer Success'!DI11,"")</f>
        <v/>
      </c>
      <c r="DJ5" s="11">
        <f>'Customer Success'!DJ11</f>
        <v/>
      </c>
      <c r="DK5" s="11">
        <f>'Customer Success'!DK11</f>
        <v/>
      </c>
      <c r="DL5" s="10">
        <f>IF(COUNT('Customer Success'!DL11)=1,'Customer Success'!DL11,"")</f>
        <v/>
      </c>
      <c r="DM5" s="10">
        <f>'Customer Success'!DM11</f>
        <v/>
      </c>
      <c r="DN5" s="10">
        <f>'Customer Success'!DN11</f>
        <v/>
      </c>
    </row>
    <row r="6">
      <c r="A6" s="12" t="inlineStr">
        <is>
          <t>Closing Recurring Revenue</t>
        </is>
      </c>
      <c r="B6" s="13">
        <f>IF(K6&lt;&gt;"",K6,IF(N6&lt;&gt;"",N6,IF(Q6&lt;&gt;"",Q6,IF(T6&lt;&gt;"",T6,IF(W6&lt;&gt;"",W6,IF(Z6&lt;&gt;"",Z6,IF(AC6&lt;&gt;"",AC6,IF(AF6&lt;&gt;"",AF6,IF(AI6&lt;&gt;"",AI6,IF(AL6&lt;&gt;"",AL6,IF(AO6&lt;&gt;"",AO6,IF(AR6&lt;&gt;"",AR6,""))))))))))))</f>
        <v/>
      </c>
      <c r="C6" s="13">
        <f>IF(L6&lt;&gt;"",L6,IF(O6&lt;&gt;"",O6,IF(R6&lt;&gt;"",R6,IF(U6&lt;&gt;"",U6,IF(X6&lt;&gt;"",X6,IF(AA6&lt;&gt;"",AA6,IF(AD6&lt;&gt;"",AD6,IF(AG6&lt;&gt;"",AG6,IF(AJ6&lt;&gt;"",AJ6,IF(AM6&lt;&gt;"",AM6,IF(AP6&lt;&gt;"",AP6,IF(AS6&lt;&gt;"",AS6,""))))))))))))</f>
        <v/>
      </c>
      <c r="D6" s="13">
        <f>IF(M6&lt;&gt;"",M6,IF(P6&lt;&gt;"",P6,IF(S6&lt;&gt;"",S6,IF(V6&lt;&gt;"",V6,IF(Y6&lt;&gt;"",Y6,IF(AB6&lt;&gt;"",AB6,IF(AE6&lt;&gt;"",AE6,IF(AH6&lt;&gt;"",AH6,IF(AK6&lt;&gt;"",AK6,IF(AN6&lt;&gt;"",AN6,IF(AQ6&lt;&gt;"",AQ6,IF(AT6&lt;&gt;"",AT6,""))))))))))))</f>
        <v/>
      </c>
      <c r="E6" s="14">
        <f>IF(AU6&lt;&gt;"",AU6,IF(AX6&lt;&gt;"",AX6,IF(BA6&lt;&gt;"",BA6,IF(BD6&lt;&gt;"",BD6,IF(BG6&lt;&gt;"",BG6,IF(BJ6&lt;&gt;"",BJ6,IF(BM6&lt;&gt;"",BM6,IF(BP6&lt;&gt;"",BP6,IF(BS6&lt;&gt;"",BS6,IF(BV6&lt;&gt;"",BV6,IF(BY6&lt;&gt;"",BY6,IF(CB6&lt;&gt;"",CB6,""))))))))))))</f>
        <v/>
      </c>
      <c r="F6" s="14">
        <f>IF(AV6&lt;&gt;"",AV6,IF(AY6&lt;&gt;"",AY6,IF(BB6&lt;&gt;"",BB6,IF(BE6&lt;&gt;"",BE6,IF(BH6&lt;&gt;"",BH6,IF(BK6&lt;&gt;"",BK6,IF(BN6&lt;&gt;"",BN6,IF(BQ6&lt;&gt;"",BQ6,IF(BT6&lt;&gt;"",BT6,IF(BW6&lt;&gt;"",BW6,IF(BZ6&lt;&gt;"",BZ6,IF(CC6&lt;&gt;"",CC6,""))))))))))))</f>
        <v/>
      </c>
      <c r="G6" s="14">
        <f>IF(AW6&lt;&gt;"",AW6,IF(AZ6&lt;&gt;"",AZ6,IF(BC6&lt;&gt;"",BC6,IF(BF6&lt;&gt;"",BF6,IF(BI6&lt;&gt;"",BI6,IF(BL6&lt;&gt;"",BL6,IF(BO6&lt;&gt;"",BO6,IF(BR6&lt;&gt;"",BR6,IF(BU6&lt;&gt;"",BU6,IF(BX6&lt;&gt;"",BX6,IF(CA6&lt;&gt;"",CA6,IF(CD6&lt;&gt;"",CD6,""))))))))))))</f>
        <v/>
      </c>
      <c r="H6" s="13">
        <f>IF(CE6&lt;&gt;"",CE6,IF(CH6&lt;&gt;"",CH6,IF(CK6&lt;&gt;"",CK6,IF(CN6&lt;&gt;"",CN6,IF(CQ6&lt;&gt;"",CQ6,IF(CT6&lt;&gt;"",CT6,IF(CW6&lt;&gt;"",CW6,IF(CZ6&lt;&gt;"",CZ6,IF(DC6&lt;&gt;"",DC6,IF(DF6&lt;&gt;"",DF6,IF(DI6&lt;&gt;"",DI6,IF(DL6&lt;&gt;"",DL6,""))))))))))))</f>
        <v/>
      </c>
      <c r="I6" s="13">
        <f>IF(CF6&lt;&gt;"",CF6,IF(CI6&lt;&gt;"",CI6,IF(CL6&lt;&gt;"",CL6,IF(CO6&lt;&gt;"",CO6,IF(CR6&lt;&gt;"",CR6,IF(CU6&lt;&gt;"",CU6,IF(CX6&lt;&gt;"",CX6,IF(DA6&lt;&gt;"",DA6,IF(DD6&lt;&gt;"",DD6,IF(DG6&lt;&gt;"",DG6,IF(DJ6&lt;&gt;"",DJ6,IF(DM6&lt;&gt;"",DM6,""))))))))))))</f>
        <v/>
      </c>
      <c r="J6" s="13">
        <f>IF(CG6&lt;&gt;"",CG6,IF(CJ6&lt;&gt;"",CJ6,IF(CM6&lt;&gt;"",CM6,IF(CP6&lt;&gt;"",CP6,IF(CS6&lt;&gt;"",CS6,IF(CV6&lt;&gt;"",CV6,IF(CY6&lt;&gt;"",CY6,IF(DB6&lt;&gt;"",DB6,IF(DE6&lt;&gt;"",DE6,IF(DH6&lt;&gt;"",DH6,IF(DK6&lt;&gt;"",DK6,IF(DN6&lt;&gt;"",DN6,""))))))))))))</f>
        <v/>
      </c>
      <c r="K6" s="14">
        <f>IF(COUNT(K3,K4,K5)=3,K3+K4+K5,"")</f>
        <v/>
      </c>
      <c r="L6" s="14">
        <f>L3+L4+L5</f>
        <v/>
      </c>
      <c r="M6" s="14">
        <f>M3+M4+M5</f>
        <v/>
      </c>
      <c r="N6" s="13">
        <f>IF(COUNT(N3,N4,N5)=3,N3+N4+N5,"")</f>
        <v/>
      </c>
      <c r="O6" s="13">
        <f>O3+O4+O5</f>
        <v/>
      </c>
      <c r="P6" s="13">
        <f>P3+P4+P5</f>
        <v/>
      </c>
      <c r="Q6" s="14">
        <f>IF(COUNT(Q3,Q4,Q5)=3,Q3+Q4+Q5,"")</f>
        <v/>
      </c>
      <c r="R6" s="14">
        <f>R3+R4+R5</f>
        <v/>
      </c>
      <c r="S6" s="14">
        <f>S3+S4+S5</f>
        <v/>
      </c>
      <c r="T6" s="13">
        <f>IF(COUNT(T3,T4,T5)=3,T3+T4+T5,"")</f>
        <v/>
      </c>
      <c r="U6" s="13">
        <f>U3+U4+U5</f>
        <v/>
      </c>
      <c r="V6" s="13">
        <f>V3+V4+V5</f>
        <v/>
      </c>
      <c r="W6" s="14">
        <f>IF(COUNT(W3,W4,W5)=3,W3+W4+W5,"")</f>
        <v/>
      </c>
      <c r="X6" s="14">
        <f>X3+X4+X5</f>
        <v/>
      </c>
      <c r="Y6" s="14">
        <f>Y3+Y4+Y5</f>
        <v/>
      </c>
      <c r="Z6" s="13">
        <f>IF(COUNT(Z3,Z4,Z5)=3,Z3+Z4+Z5,"")</f>
        <v/>
      </c>
      <c r="AA6" s="13">
        <f>AA3+AA4+AA5</f>
        <v/>
      </c>
      <c r="AB6" s="13">
        <f>AB3+AB4+AB5</f>
        <v/>
      </c>
      <c r="AC6" s="14">
        <f>IF(COUNT(AC3,AC4,AC5)=3,AC3+AC4+AC5,"")</f>
        <v/>
      </c>
      <c r="AD6" s="14">
        <f>AD3+AD4+AD5</f>
        <v/>
      </c>
      <c r="AE6" s="14">
        <f>AE3+AE4+AE5</f>
        <v/>
      </c>
      <c r="AF6" s="13">
        <f>IF(COUNT(AF3,AF4,AF5)=3,AF3+AF4+AF5,"")</f>
        <v/>
      </c>
      <c r="AG6" s="13">
        <f>AG3+AG4+AG5</f>
        <v/>
      </c>
      <c r="AH6" s="13">
        <f>AH3+AH4+AH5</f>
        <v/>
      </c>
      <c r="AI6" s="14">
        <f>IF(COUNT(AI3,AI4,AI5)=3,AI3+AI4+AI5,"")</f>
        <v/>
      </c>
      <c r="AJ6" s="14">
        <f>AJ3+AJ4+AJ5</f>
        <v/>
      </c>
      <c r="AK6" s="14">
        <f>AK3+AK4+AK5</f>
        <v/>
      </c>
      <c r="AL6" s="13">
        <f>IF(COUNT(AL3,AL4,AL5)=3,AL3+AL4+AL5,"")</f>
        <v/>
      </c>
      <c r="AM6" s="13">
        <f>AM3+AM4+AM5</f>
        <v/>
      </c>
      <c r="AN6" s="13">
        <f>AN3+AN4+AN5</f>
        <v/>
      </c>
      <c r="AO6" s="14">
        <f>IF(COUNT(AO3,AO4,AO5)=3,AO3+AO4+AO5,"")</f>
        <v/>
      </c>
      <c r="AP6" s="14">
        <f>AP3+AP4+AP5</f>
        <v/>
      </c>
      <c r="AQ6" s="14">
        <f>AQ3+AQ4+AQ5</f>
        <v/>
      </c>
      <c r="AR6" s="13">
        <f>IF(COUNT(AR3,AR4,AR5)=3,AR3+AR4+AR5,"")</f>
        <v/>
      </c>
      <c r="AS6" s="13">
        <f>AS3+AS4+AS5</f>
        <v/>
      </c>
      <c r="AT6" s="13">
        <f>AT3+AT4+AT5</f>
        <v/>
      </c>
      <c r="AU6" s="14">
        <f>IF(COUNT(AU3,AU4,AU5)=3,AU3+AU4+AU5,"")</f>
        <v/>
      </c>
      <c r="AV6" s="14">
        <f>AV3+AV4+AV5</f>
        <v/>
      </c>
      <c r="AW6" s="14">
        <f>AW3+AW4+AW5</f>
        <v/>
      </c>
      <c r="AX6" s="13">
        <f>IF(COUNT(AX3,AX4,AX5)=3,AX3+AX4+AX5,"")</f>
        <v/>
      </c>
      <c r="AY6" s="13">
        <f>AY3+AY4+AY5</f>
        <v/>
      </c>
      <c r="AZ6" s="13">
        <f>AZ3+AZ4+AZ5</f>
        <v/>
      </c>
      <c r="BA6" s="14">
        <f>IF(COUNT(BA3,BA4,BA5)=3,BA3+BA4+BA5,"")</f>
        <v/>
      </c>
      <c r="BB6" s="14">
        <f>BB3+BB4+BB5</f>
        <v/>
      </c>
      <c r="BC6" s="14">
        <f>BC3+BC4+BC5</f>
        <v/>
      </c>
      <c r="BD6" s="13">
        <f>IF(COUNT(BD3,BD4,BD5)=3,BD3+BD4+BD5,"")</f>
        <v/>
      </c>
      <c r="BE6" s="13">
        <f>BE3+BE4+BE5</f>
        <v/>
      </c>
      <c r="BF6" s="13">
        <f>BF3+BF4+BF5</f>
        <v/>
      </c>
      <c r="BG6" s="14">
        <f>IF(COUNT(BG3,BG4,BG5)=3,BG3+BG4+BG5,"")</f>
        <v/>
      </c>
      <c r="BH6" s="14">
        <f>BH3+BH4+BH5</f>
        <v/>
      </c>
      <c r="BI6" s="14">
        <f>BI3+BI4+BI5</f>
        <v/>
      </c>
      <c r="BJ6" s="13">
        <f>IF(COUNT(BJ3,BJ4,BJ5)=3,BJ3+BJ4+BJ5,"")</f>
        <v/>
      </c>
      <c r="BK6" s="13">
        <f>BK3+BK4+BK5</f>
        <v/>
      </c>
      <c r="BL6" s="13">
        <f>BL3+BL4+BL5</f>
        <v/>
      </c>
      <c r="BM6" s="14">
        <f>IF(COUNT(BM3,BM4,BM5)=3,BM3+BM4+BM5,"")</f>
        <v/>
      </c>
      <c r="BN6" s="14">
        <f>BN3+BN4+BN5</f>
        <v/>
      </c>
      <c r="BO6" s="14">
        <f>BO3+BO4+BO5</f>
        <v/>
      </c>
      <c r="BP6" s="13">
        <f>IF(COUNT(BP3,BP4,BP5)=3,BP3+BP4+BP5,"")</f>
        <v/>
      </c>
      <c r="BQ6" s="13">
        <f>BQ3+BQ4+BQ5</f>
        <v/>
      </c>
      <c r="BR6" s="13">
        <f>BR3+BR4+BR5</f>
        <v/>
      </c>
      <c r="BS6" s="14">
        <f>IF(COUNT(BS3,BS4,BS5)=3,BS3+BS4+BS5,"")</f>
        <v/>
      </c>
      <c r="BT6" s="14">
        <f>BT3+BT4+BT5</f>
        <v/>
      </c>
      <c r="BU6" s="14">
        <f>BU3+BU4+BU5</f>
        <v/>
      </c>
      <c r="BV6" s="13">
        <f>IF(COUNT(BV3,BV4,BV5)=3,BV3+BV4+BV5,"")</f>
        <v/>
      </c>
      <c r="BW6" s="13">
        <f>BW3+BW4+BW5</f>
        <v/>
      </c>
      <c r="BX6" s="13">
        <f>BX3+BX4+BX5</f>
        <v/>
      </c>
      <c r="BY6" s="14">
        <f>IF(COUNT(BY3,BY4,BY5)=3,BY3+BY4+BY5,"")</f>
        <v/>
      </c>
      <c r="BZ6" s="14">
        <f>BZ3+BZ4+BZ5</f>
        <v/>
      </c>
      <c r="CA6" s="14">
        <f>CA3+CA4+CA5</f>
        <v/>
      </c>
      <c r="CB6" s="13">
        <f>IF(COUNT(CB3,CB4,CB5)=3,CB3+CB4+CB5,"")</f>
        <v/>
      </c>
      <c r="CC6" s="13">
        <f>CC3+CC4+CC5</f>
        <v/>
      </c>
      <c r="CD6" s="13">
        <f>CD3+CD4+CD5</f>
        <v/>
      </c>
      <c r="CE6" s="14">
        <f>IF(COUNT(CE3,CE4,CE5)=3,CE3+CE4+CE5,"")</f>
        <v/>
      </c>
      <c r="CF6" s="14">
        <f>CF3+CF4+CF5</f>
        <v/>
      </c>
      <c r="CG6" s="14">
        <f>CG3+CG4+CG5</f>
        <v/>
      </c>
      <c r="CH6" s="13">
        <f>IF(COUNT(CH3,CH4,CH5)=3,CH3+CH4+CH5,"")</f>
        <v/>
      </c>
      <c r="CI6" s="13">
        <f>CI3+CI4+CI5</f>
        <v/>
      </c>
      <c r="CJ6" s="13">
        <f>CJ3+CJ4+CJ5</f>
        <v/>
      </c>
      <c r="CK6" s="14">
        <f>IF(COUNT(CK3,CK4,CK5)=3,CK3+CK4+CK5,"")</f>
        <v/>
      </c>
      <c r="CL6" s="14">
        <f>CL3+CL4+CL5</f>
        <v/>
      </c>
      <c r="CM6" s="14">
        <f>CM3+CM4+CM5</f>
        <v/>
      </c>
      <c r="CN6" s="13">
        <f>IF(COUNT(CN3,CN4,CN5)=3,CN3+CN4+CN5,"")</f>
        <v/>
      </c>
      <c r="CO6" s="13">
        <f>CO3+CO4+CO5</f>
        <v/>
      </c>
      <c r="CP6" s="13">
        <f>CP3+CP4+CP5</f>
        <v/>
      </c>
      <c r="CQ6" s="14">
        <f>IF(COUNT(CQ3,CQ4,CQ5)=3,CQ3+CQ4+CQ5,"")</f>
        <v/>
      </c>
      <c r="CR6" s="14">
        <f>CR3+CR4+CR5</f>
        <v/>
      </c>
      <c r="CS6" s="14">
        <f>CS3+CS4+CS5</f>
        <v/>
      </c>
      <c r="CT6" s="13">
        <f>IF(COUNT(CT3,CT4,CT5)=3,CT3+CT4+CT5,"")</f>
        <v/>
      </c>
      <c r="CU6" s="13">
        <f>CU3+CU4+CU5</f>
        <v/>
      </c>
      <c r="CV6" s="13">
        <f>CV3+CV4+CV5</f>
        <v/>
      </c>
      <c r="CW6" s="14">
        <f>IF(COUNT(CW3,CW4,CW5)=3,CW3+CW4+CW5,"")</f>
        <v/>
      </c>
      <c r="CX6" s="14">
        <f>CX3+CX4+CX5</f>
        <v/>
      </c>
      <c r="CY6" s="14">
        <f>CY3+CY4+CY5</f>
        <v/>
      </c>
      <c r="CZ6" s="13">
        <f>IF(COUNT(CZ3,CZ4,CZ5)=3,CZ3+CZ4+CZ5,"")</f>
        <v/>
      </c>
      <c r="DA6" s="13">
        <f>DA3+DA4+DA5</f>
        <v/>
      </c>
      <c r="DB6" s="13">
        <f>DB3+DB4+DB5</f>
        <v/>
      </c>
      <c r="DC6" s="14">
        <f>IF(COUNT(DC3,DC4,DC5)=3,DC3+DC4+DC5,"")</f>
        <v/>
      </c>
      <c r="DD6" s="14">
        <f>DD3+DD4+DD5</f>
        <v/>
      </c>
      <c r="DE6" s="14">
        <f>DE3+DE4+DE5</f>
        <v/>
      </c>
      <c r="DF6" s="13">
        <f>IF(COUNT(DF3,DF4,DF5)=3,DF3+DF4+DF5,"")</f>
        <v/>
      </c>
      <c r="DG6" s="13">
        <f>DG3+DG4+DG5</f>
        <v/>
      </c>
      <c r="DH6" s="13">
        <f>DH3+DH4+DH5</f>
        <v/>
      </c>
      <c r="DI6" s="14">
        <f>IF(COUNT(DI3,DI4,DI5)=3,DI3+DI4+DI5,"")</f>
        <v/>
      </c>
      <c r="DJ6" s="14">
        <f>DJ3+DJ4+DJ5</f>
        <v/>
      </c>
      <c r="DK6" s="14">
        <f>DK3+DK4+DK5</f>
        <v/>
      </c>
      <c r="DL6" s="13">
        <f>IF(COUNT(DL3,DL4,DL5)=3,DL3+DL4+DL5,"")</f>
        <v/>
      </c>
      <c r="DM6" s="13">
        <f>DM3+DM4+DM5</f>
        <v/>
      </c>
      <c r="DN6" s="13">
        <f>DN3+DN4+DN5</f>
        <v/>
      </c>
    </row>
    <row r="7">
      <c r="A7" s="2" t="inlineStr">
        <is>
          <t>Revenue</t>
        </is>
      </c>
      <c r="B7" s="10">
        <f>IF(COUNT(AR7,AO7,AL7,AI7,AF7,AC7,Z7,W7,T7,Q7,N7,K7)=0,"",SUM(AR7,AO7,AL7,AI7,AF7,AC7,Z7,W7,T7,Q7,N7,K7))</f>
        <v/>
      </c>
      <c r="C7" s="10">
        <f>IF(COUNT(AS7,AP7,AM7,AJ7,AG7,AD7,AA7,X7,U7,R7,O7,L7)=0,"",SUM(AS7,AP7,AM7,AJ7,AG7,AD7,AA7,X7,U7,R7,O7,L7))</f>
        <v/>
      </c>
      <c r="D7" s="10">
        <f>IF(COUNT(AT7,AQ7,AN7,AK7,AH7,AE7,AB7,Y7,V7,S7,P7,M7)=0,"",SUM(AT7,AQ7,AN7,AK7,AH7,AE7,AB7,Y7,V7,S7,P7,M7))</f>
        <v/>
      </c>
      <c r="E7" s="11">
        <f>IF(COUNT(CB7,BY7,BV7,BS7,BP7,BM7,BJ7,BG7,BD7,BA7,AX7,AU7)=0,"",SUM(CB7,BY7,BV7,BS7,BP7,BM7,BJ7,BG7,BD7,BA7,AX7,AU7))</f>
        <v/>
      </c>
      <c r="F7" s="11">
        <f>IF(COUNT(CC7,BZ7,BW7,BT7,BQ7,BN7,BK7,BH7,BE7,BB7,AY7,AV7)=0,"",SUM(CC7,BZ7,BW7,BT7,BQ7,BN7,BK7,BH7,BE7,BB7,AY7,AV7))</f>
        <v/>
      </c>
      <c r="G7" s="11">
        <f>IF(COUNT(CD7,CA7,BX7,BU7,BR7,BO7,BL7,BI7,BF7,BC7,AZ7,AW7)=0,"",SUM(CD7,CA7,BX7,BU7,BR7,BO7,BL7,BI7,BF7,BC7,AZ7,AW7))</f>
        <v/>
      </c>
      <c r="H7" s="10">
        <f>IF(COUNT(DL7,DI7,DF7,DC7,CZ7,CW7,CT7,CQ7,CN7,CK7,CH7,CE7)=0,"",SUM(DL7,DI7,DF7,DC7,CZ7,CW7,CT7,CQ7,CN7,CK7,CH7,CE7))</f>
        <v/>
      </c>
      <c r="I7" s="10">
        <f>IF(COUNT(DM7,DJ7,DG7,DD7,DA7,CX7,CU7,CR7,CO7,CL7,CI7,CF7)=0,"",SUM(DM7,DJ7,DG7,DD7,DA7,CX7,CU7,CR7,CO7,CL7,CI7,CF7))</f>
        <v/>
      </c>
      <c r="J7" s="10">
        <f>IF(COUNT(DN7,DK7,DH7,DE7,DB7,CY7,CV7,CS7,CP7,CM7,CJ7,CG7)=0,"",SUM(DN7,DK7,DH7,DE7,DB7,CY7,CV7,CS7,CP7,CM7,CJ7,CG7))</f>
        <v/>
      </c>
      <c r="K7" s="11">
        <f>IF(COUNT(K6)=1,K6,"")</f>
        <v/>
      </c>
      <c r="L7" s="11">
        <f>L6</f>
        <v/>
      </c>
      <c r="M7" s="11">
        <f>M6</f>
        <v/>
      </c>
      <c r="N7" s="10">
        <f>IF(COUNT(N6)=1,N6,"")</f>
        <v/>
      </c>
      <c r="O7" s="10">
        <f>O6</f>
        <v/>
      </c>
      <c r="P7" s="10">
        <f>P6</f>
        <v/>
      </c>
      <c r="Q7" s="11">
        <f>IF(COUNT(Q6)=1,Q6,"")</f>
        <v/>
      </c>
      <c r="R7" s="11">
        <f>R6</f>
        <v/>
      </c>
      <c r="S7" s="11">
        <f>S6</f>
        <v/>
      </c>
      <c r="T7" s="10">
        <f>IF(COUNT(T6)=1,T6,"")</f>
        <v/>
      </c>
      <c r="U7" s="10">
        <f>U6</f>
        <v/>
      </c>
      <c r="V7" s="10">
        <f>V6</f>
        <v/>
      </c>
      <c r="W7" s="11">
        <f>IF(COUNT(W6)=1,W6,"")</f>
        <v/>
      </c>
      <c r="X7" s="11">
        <f>X6</f>
        <v/>
      </c>
      <c r="Y7" s="11">
        <f>Y6</f>
        <v/>
      </c>
      <c r="Z7" s="10">
        <f>IF(COUNT(Z6)=1,Z6,"")</f>
        <v/>
      </c>
      <c r="AA7" s="10">
        <f>AA6</f>
        <v/>
      </c>
      <c r="AB7" s="10">
        <f>AB6</f>
        <v/>
      </c>
      <c r="AC7" s="11">
        <f>IF(COUNT(AC6)=1,AC6,"")</f>
        <v/>
      </c>
      <c r="AD7" s="11">
        <f>AD6</f>
        <v/>
      </c>
      <c r="AE7" s="11">
        <f>AE6</f>
        <v/>
      </c>
      <c r="AF7" s="10">
        <f>IF(COUNT(AF6)=1,AF6,"")</f>
        <v/>
      </c>
      <c r="AG7" s="10">
        <f>AG6</f>
        <v/>
      </c>
      <c r="AH7" s="10">
        <f>AH6</f>
        <v/>
      </c>
      <c r="AI7" s="11">
        <f>IF(COUNT(AI6)=1,AI6,"")</f>
        <v/>
      </c>
      <c r="AJ7" s="11">
        <f>AJ6</f>
        <v/>
      </c>
      <c r="AK7" s="11">
        <f>AK6</f>
        <v/>
      </c>
      <c r="AL7" s="10">
        <f>IF(COUNT(AL6)=1,AL6,"")</f>
        <v/>
      </c>
      <c r="AM7" s="10">
        <f>AM6</f>
        <v/>
      </c>
      <c r="AN7" s="10">
        <f>AN6</f>
        <v/>
      </c>
      <c r="AO7" s="11">
        <f>IF(COUNT(AO6)=1,AO6,"")</f>
        <v/>
      </c>
      <c r="AP7" s="11">
        <f>AP6</f>
        <v/>
      </c>
      <c r="AQ7" s="11">
        <f>AQ6</f>
        <v/>
      </c>
      <c r="AR7" s="10">
        <f>IF(COUNT(AR6)=1,AR6,"")</f>
        <v/>
      </c>
      <c r="AS7" s="10">
        <f>AS6</f>
        <v/>
      </c>
      <c r="AT7" s="10">
        <f>AT6</f>
        <v/>
      </c>
      <c r="AU7" s="11">
        <f>IF(COUNT(AU6)=1,AU6,"")</f>
        <v/>
      </c>
      <c r="AV7" s="11">
        <f>AV6</f>
        <v/>
      </c>
      <c r="AW7" s="11">
        <f>AW6</f>
        <v/>
      </c>
      <c r="AX7" s="10">
        <f>IF(COUNT(AX6)=1,AX6,"")</f>
        <v/>
      </c>
      <c r="AY7" s="10">
        <f>AY6</f>
        <v/>
      </c>
      <c r="AZ7" s="10">
        <f>AZ6</f>
        <v/>
      </c>
      <c r="BA7" s="11">
        <f>IF(COUNT(BA6)=1,BA6,"")</f>
        <v/>
      </c>
      <c r="BB7" s="11">
        <f>BB6</f>
        <v/>
      </c>
      <c r="BC7" s="11">
        <f>BC6</f>
        <v/>
      </c>
      <c r="BD7" s="10">
        <f>IF(COUNT(BD6)=1,BD6,"")</f>
        <v/>
      </c>
      <c r="BE7" s="10">
        <f>BE6</f>
        <v/>
      </c>
      <c r="BF7" s="10">
        <f>BF6</f>
        <v/>
      </c>
      <c r="BG7" s="11">
        <f>IF(COUNT(BG6)=1,BG6,"")</f>
        <v/>
      </c>
      <c r="BH7" s="11">
        <f>BH6</f>
        <v/>
      </c>
      <c r="BI7" s="11">
        <f>BI6</f>
        <v/>
      </c>
      <c r="BJ7" s="10">
        <f>IF(COUNT(BJ6)=1,BJ6,"")</f>
        <v/>
      </c>
      <c r="BK7" s="10">
        <f>BK6</f>
        <v/>
      </c>
      <c r="BL7" s="10">
        <f>BL6</f>
        <v/>
      </c>
      <c r="BM7" s="11">
        <f>IF(COUNT(BM6)=1,BM6,"")</f>
        <v/>
      </c>
      <c r="BN7" s="11">
        <f>BN6</f>
        <v/>
      </c>
      <c r="BO7" s="11">
        <f>BO6</f>
        <v/>
      </c>
      <c r="BP7" s="10">
        <f>IF(COUNT(BP6)=1,BP6,"")</f>
        <v/>
      </c>
      <c r="BQ7" s="10">
        <f>BQ6</f>
        <v/>
      </c>
      <c r="BR7" s="10">
        <f>BR6</f>
        <v/>
      </c>
      <c r="BS7" s="11">
        <f>IF(COUNT(BS6)=1,BS6,"")</f>
        <v/>
      </c>
      <c r="BT7" s="11">
        <f>BT6</f>
        <v/>
      </c>
      <c r="BU7" s="11">
        <f>BU6</f>
        <v/>
      </c>
      <c r="BV7" s="10">
        <f>IF(COUNT(BV6)=1,BV6,"")</f>
        <v/>
      </c>
      <c r="BW7" s="10">
        <f>BW6</f>
        <v/>
      </c>
      <c r="BX7" s="10">
        <f>BX6</f>
        <v/>
      </c>
      <c r="BY7" s="11">
        <f>IF(COUNT(BY6)=1,BY6,"")</f>
        <v/>
      </c>
      <c r="BZ7" s="11">
        <f>BZ6</f>
        <v/>
      </c>
      <c r="CA7" s="11">
        <f>CA6</f>
        <v/>
      </c>
      <c r="CB7" s="10">
        <f>IF(COUNT(CB6)=1,CB6,"")</f>
        <v/>
      </c>
      <c r="CC7" s="10">
        <f>CC6</f>
        <v/>
      </c>
      <c r="CD7" s="10">
        <f>CD6</f>
        <v/>
      </c>
      <c r="CE7" s="11">
        <f>IF(COUNT(CE6)=1,CE6,"")</f>
        <v/>
      </c>
      <c r="CF7" s="11">
        <f>CF6</f>
        <v/>
      </c>
      <c r="CG7" s="11">
        <f>CG6</f>
        <v/>
      </c>
      <c r="CH7" s="10">
        <f>IF(COUNT(CH6)=1,CH6,"")</f>
        <v/>
      </c>
      <c r="CI7" s="10">
        <f>CI6</f>
        <v/>
      </c>
      <c r="CJ7" s="10">
        <f>CJ6</f>
        <v/>
      </c>
      <c r="CK7" s="11">
        <f>IF(COUNT(CK6)=1,CK6,"")</f>
        <v/>
      </c>
      <c r="CL7" s="11">
        <f>CL6</f>
        <v/>
      </c>
      <c r="CM7" s="11">
        <f>CM6</f>
        <v/>
      </c>
      <c r="CN7" s="10">
        <f>IF(COUNT(CN6)=1,CN6,"")</f>
        <v/>
      </c>
      <c r="CO7" s="10">
        <f>CO6</f>
        <v/>
      </c>
      <c r="CP7" s="10">
        <f>CP6</f>
        <v/>
      </c>
      <c r="CQ7" s="11">
        <f>IF(COUNT(CQ6)=1,CQ6,"")</f>
        <v/>
      </c>
      <c r="CR7" s="11">
        <f>CR6</f>
        <v/>
      </c>
      <c r="CS7" s="11">
        <f>CS6</f>
        <v/>
      </c>
      <c r="CT7" s="10">
        <f>IF(COUNT(CT6)=1,CT6,"")</f>
        <v/>
      </c>
      <c r="CU7" s="10">
        <f>CU6</f>
        <v/>
      </c>
      <c r="CV7" s="10">
        <f>CV6</f>
        <v/>
      </c>
      <c r="CW7" s="11">
        <f>IF(COUNT(CW6)=1,CW6,"")</f>
        <v/>
      </c>
      <c r="CX7" s="11">
        <f>CX6</f>
        <v/>
      </c>
      <c r="CY7" s="11">
        <f>CY6</f>
        <v/>
      </c>
      <c r="CZ7" s="10">
        <f>IF(COUNT(CZ6)=1,CZ6,"")</f>
        <v/>
      </c>
      <c r="DA7" s="10">
        <f>DA6</f>
        <v/>
      </c>
      <c r="DB7" s="10">
        <f>DB6</f>
        <v/>
      </c>
      <c r="DC7" s="11">
        <f>IF(COUNT(DC6)=1,DC6,"")</f>
        <v/>
      </c>
      <c r="DD7" s="11">
        <f>DD6</f>
        <v/>
      </c>
      <c r="DE7" s="11">
        <f>DE6</f>
        <v/>
      </c>
      <c r="DF7" s="10">
        <f>IF(COUNT(DF6)=1,DF6,"")</f>
        <v/>
      </c>
      <c r="DG7" s="10">
        <f>DG6</f>
        <v/>
      </c>
      <c r="DH7" s="10">
        <f>DH6</f>
        <v/>
      </c>
      <c r="DI7" s="11">
        <f>IF(COUNT(DI6)=1,DI6,"")</f>
        <v/>
      </c>
      <c r="DJ7" s="11">
        <f>DJ6</f>
        <v/>
      </c>
      <c r="DK7" s="11">
        <f>DK6</f>
        <v/>
      </c>
      <c r="DL7" s="10">
        <f>IF(COUNT(DL6)=1,DL6,"")</f>
        <v/>
      </c>
      <c r="DM7" s="10">
        <f>DM6</f>
        <v/>
      </c>
      <c r="DN7" s="10">
        <f>DN6</f>
        <v/>
      </c>
    </row>
    <row r="8">
      <c r="A8" s="2" t="inlineStr">
        <is>
          <t>Gross Profit</t>
        </is>
      </c>
      <c r="B8" s="10">
        <f>IF(COUNT(AR8,AO8,AL8,AI8,AF8,AC8,Z8,W8,T8,Q8,N8,K8)=0,"",SUM(AR8,AO8,AL8,AI8,AF8,AC8,Z8,W8,T8,Q8,N8,K8))</f>
        <v/>
      </c>
      <c r="C8" s="10">
        <f>IF(COUNT(AS8,AP8,AM8,AJ8,AG8,AD8,AA8,X8,U8,R8,O8,L8)=0,"",SUM(AS8,AP8,AM8,AJ8,AG8,AD8,AA8,X8,U8,R8,O8,L8))</f>
        <v/>
      </c>
      <c r="D8" s="10">
        <f>IF(COUNT(AT8,AQ8,AN8,AK8,AH8,AE8,AB8,Y8,V8,S8,P8,M8)=0,"",SUM(AT8,AQ8,AN8,AK8,AH8,AE8,AB8,Y8,V8,S8,P8,M8))</f>
        <v/>
      </c>
      <c r="E8" s="11">
        <f>IF(COUNT(CB8,BY8,BV8,BS8,BP8,BM8,BJ8,BG8,BD8,BA8,AX8,AU8)=0,"",SUM(CB8,BY8,BV8,BS8,BP8,BM8,BJ8,BG8,BD8,BA8,AX8,AU8))</f>
        <v/>
      </c>
      <c r="F8" s="11">
        <f>IF(COUNT(CC8,BZ8,BW8,BT8,BQ8,BN8,BK8,BH8,BE8,BB8,AY8,AV8)=0,"",SUM(CC8,BZ8,BW8,BT8,BQ8,BN8,BK8,BH8,BE8,BB8,AY8,AV8))</f>
        <v/>
      </c>
      <c r="G8" s="11">
        <f>IF(COUNT(CD8,CA8,BX8,BU8,BR8,BO8,BL8,BI8,BF8,BC8,AZ8,AW8)=0,"",SUM(CD8,CA8,BX8,BU8,BR8,BO8,BL8,BI8,BF8,BC8,AZ8,AW8))</f>
        <v/>
      </c>
      <c r="H8" s="10">
        <f>IF(COUNT(DL8,DI8,DF8,DC8,CZ8,CW8,CT8,CQ8,CN8,CK8,CH8,CE8)=0,"",SUM(DL8,DI8,DF8,DC8,CZ8,CW8,CT8,CQ8,CN8,CK8,CH8,CE8))</f>
        <v/>
      </c>
      <c r="I8" s="10">
        <f>IF(COUNT(DM8,DJ8,DG8,DD8,DA8,CX8,CU8,CR8,CO8,CL8,CI8,CF8)=0,"",SUM(DM8,DJ8,DG8,DD8,DA8,CX8,CU8,CR8,CO8,CL8,CI8,CF8))</f>
        <v/>
      </c>
      <c r="J8" s="10">
        <f>IF(COUNT(DN8,DK8,DH8,DE8,DB8,CY8,CV8,CS8,CP8,CM8,CJ8,CG8)=0,"",SUM(DN8,DK8,DH8,DE8,DB8,CY8,CV8,CS8,CP8,CM8,CJ8,CG8))</f>
        <v/>
      </c>
      <c r="K8" s="11">
        <f>IF(COUNT(K7,'Engineering'!K11,'Support'!K25)=3,K7-('Engineering'!K11+'Support'!K25),"")</f>
        <v/>
      </c>
      <c r="L8" s="11">
        <f>L7-('Engineering'!L11+'Support'!L25)</f>
        <v/>
      </c>
      <c r="M8" s="11">
        <f>M7-('Engineering'!M11+'Support'!M25)</f>
        <v/>
      </c>
      <c r="N8" s="10">
        <f>IF(COUNT(N7,'Engineering'!N11,'Support'!N25)=3,N7-('Engineering'!N11+'Support'!N25),"")</f>
        <v/>
      </c>
      <c r="O8" s="10">
        <f>O7-('Engineering'!O11+'Support'!O25)</f>
        <v/>
      </c>
      <c r="P8" s="10">
        <f>P7-('Engineering'!P11+'Support'!P25)</f>
        <v/>
      </c>
      <c r="Q8" s="11">
        <f>IF(COUNT(Q7,'Engineering'!Q11,'Support'!Q25)=3,Q7-('Engineering'!Q11+'Support'!Q25),"")</f>
        <v/>
      </c>
      <c r="R8" s="11">
        <f>R7-('Engineering'!R11+'Support'!R25)</f>
        <v/>
      </c>
      <c r="S8" s="11">
        <f>S7-('Engineering'!S11+'Support'!S25)</f>
        <v/>
      </c>
      <c r="T8" s="10">
        <f>IF(COUNT(T7,'Engineering'!T11,'Support'!T25)=3,T7-('Engineering'!T11+'Support'!T25),"")</f>
        <v/>
      </c>
      <c r="U8" s="10">
        <f>U7-('Engineering'!U11+'Support'!U25)</f>
        <v/>
      </c>
      <c r="V8" s="10">
        <f>V7-('Engineering'!V11+'Support'!V25)</f>
        <v/>
      </c>
      <c r="W8" s="11">
        <f>IF(COUNT(W7,'Engineering'!W11,'Support'!W25)=3,W7-('Engineering'!W11+'Support'!W25),"")</f>
        <v/>
      </c>
      <c r="X8" s="11">
        <f>X7-('Engineering'!X11+'Support'!X25)</f>
        <v/>
      </c>
      <c r="Y8" s="11">
        <f>Y7-('Engineering'!Y11+'Support'!Y25)</f>
        <v/>
      </c>
      <c r="Z8" s="10">
        <f>IF(COUNT(Z7,'Engineering'!Z11,'Support'!Z25)=3,Z7-('Engineering'!Z11+'Support'!Z25),"")</f>
        <v/>
      </c>
      <c r="AA8" s="10">
        <f>AA7-('Engineering'!AA11+'Support'!AA25)</f>
        <v/>
      </c>
      <c r="AB8" s="10">
        <f>AB7-('Engineering'!AB11+'Support'!AB25)</f>
        <v/>
      </c>
      <c r="AC8" s="11">
        <f>IF(COUNT(AC7,'Engineering'!AC11,'Support'!AC25)=3,AC7-('Engineering'!AC11+'Support'!AC25),"")</f>
        <v/>
      </c>
      <c r="AD8" s="11">
        <f>AD7-('Engineering'!AD11+'Support'!AD25)</f>
        <v/>
      </c>
      <c r="AE8" s="11">
        <f>AE7-('Engineering'!AE11+'Support'!AE25)</f>
        <v/>
      </c>
      <c r="AF8" s="10">
        <f>IF(COUNT(AF7,'Engineering'!AF11,'Support'!AF25)=3,AF7-('Engineering'!AF11+'Support'!AF25),"")</f>
        <v/>
      </c>
      <c r="AG8" s="10">
        <f>AG7-('Engineering'!AG11+'Support'!AG25)</f>
        <v/>
      </c>
      <c r="AH8" s="10">
        <f>AH7-('Engineering'!AH11+'Support'!AH25)</f>
        <v/>
      </c>
      <c r="AI8" s="11">
        <f>IF(COUNT(AI7,'Engineering'!AI11,'Support'!AI25)=3,AI7-('Engineering'!AI11+'Support'!AI25),"")</f>
        <v/>
      </c>
      <c r="AJ8" s="11">
        <f>AJ7-('Engineering'!AJ11+'Support'!AJ25)</f>
        <v/>
      </c>
      <c r="AK8" s="11">
        <f>AK7-('Engineering'!AK11+'Support'!AK25)</f>
        <v/>
      </c>
      <c r="AL8" s="10">
        <f>IF(COUNT(AL7,'Engineering'!AL11,'Support'!AL25)=3,AL7-('Engineering'!AL11+'Support'!AL25),"")</f>
        <v/>
      </c>
      <c r="AM8" s="10">
        <f>AM7-('Engineering'!AM11+'Support'!AM25)</f>
        <v/>
      </c>
      <c r="AN8" s="10">
        <f>AN7-('Engineering'!AN11+'Support'!AN25)</f>
        <v/>
      </c>
      <c r="AO8" s="11">
        <f>IF(COUNT(AO7,'Engineering'!AO11,'Support'!AO25)=3,AO7-('Engineering'!AO11+'Support'!AO25),"")</f>
        <v/>
      </c>
      <c r="AP8" s="11">
        <f>AP7-('Engineering'!AP11+'Support'!AP25)</f>
        <v/>
      </c>
      <c r="AQ8" s="11">
        <f>AQ7-('Engineering'!AQ11+'Support'!AQ25)</f>
        <v/>
      </c>
      <c r="AR8" s="10">
        <f>IF(COUNT(AR7,'Engineering'!AR11,'Support'!AR25)=3,AR7-('Engineering'!AR11+'Support'!AR25),"")</f>
        <v/>
      </c>
      <c r="AS8" s="10">
        <f>AS7-('Engineering'!AS11+'Support'!AS25)</f>
        <v/>
      </c>
      <c r="AT8" s="10">
        <f>AT7-('Engineering'!AT11+'Support'!AT25)</f>
        <v/>
      </c>
      <c r="AU8" s="11">
        <f>IF(COUNT(AU7,'Engineering'!AU11,'Support'!AU25)=3,AU7-('Engineering'!AU11+'Support'!AU25),"")</f>
        <v/>
      </c>
      <c r="AV8" s="11">
        <f>AV7-('Engineering'!AV11+'Support'!AV25)</f>
        <v/>
      </c>
      <c r="AW8" s="11">
        <f>AW7-('Engineering'!AW11+'Support'!AW25)</f>
        <v/>
      </c>
      <c r="AX8" s="10">
        <f>IF(COUNT(AX7,'Engineering'!AX11,'Support'!AX25)=3,AX7-('Engineering'!AX11+'Support'!AX25),"")</f>
        <v/>
      </c>
      <c r="AY8" s="10">
        <f>AY7-('Engineering'!AY11+'Support'!AY25)</f>
        <v/>
      </c>
      <c r="AZ8" s="10">
        <f>AZ7-('Engineering'!AZ11+'Support'!AZ25)</f>
        <v/>
      </c>
      <c r="BA8" s="11">
        <f>IF(COUNT(BA7,'Engineering'!BA11,'Support'!BA25)=3,BA7-('Engineering'!BA11+'Support'!BA25),"")</f>
        <v/>
      </c>
      <c r="BB8" s="11">
        <f>BB7-('Engineering'!BB11+'Support'!BB25)</f>
        <v/>
      </c>
      <c r="BC8" s="11">
        <f>BC7-('Engineering'!BC11+'Support'!BC25)</f>
        <v/>
      </c>
      <c r="BD8" s="10">
        <f>IF(COUNT(BD7,'Engineering'!BD11,'Support'!BD25)=3,BD7-('Engineering'!BD11+'Support'!BD25),"")</f>
        <v/>
      </c>
      <c r="BE8" s="10">
        <f>BE7-('Engineering'!BE11+'Support'!BE25)</f>
        <v/>
      </c>
      <c r="BF8" s="10">
        <f>BF7-('Engineering'!BF11+'Support'!BF25)</f>
        <v/>
      </c>
      <c r="BG8" s="11">
        <f>IF(COUNT(BG7,'Engineering'!BG11,'Support'!BG25)=3,BG7-('Engineering'!BG11+'Support'!BG25),"")</f>
        <v/>
      </c>
      <c r="BH8" s="11">
        <f>BH7-('Engineering'!BH11+'Support'!BH25)</f>
        <v/>
      </c>
      <c r="BI8" s="11">
        <f>BI7-('Engineering'!BI11+'Support'!BI25)</f>
        <v/>
      </c>
      <c r="BJ8" s="10">
        <f>IF(COUNT(BJ7,'Engineering'!BJ11,'Support'!BJ25)=3,BJ7-('Engineering'!BJ11+'Support'!BJ25),"")</f>
        <v/>
      </c>
      <c r="BK8" s="10">
        <f>BK7-('Engineering'!BK11+'Support'!BK25)</f>
        <v/>
      </c>
      <c r="BL8" s="10">
        <f>BL7-('Engineering'!BL11+'Support'!BL25)</f>
        <v/>
      </c>
      <c r="BM8" s="11">
        <f>IF(COUNT(BM7,'Engineering'!BM11,'Support'!BM25)=3,BM7-('Engineering'!BM11+'Support'!BM25),"")</f>
        <v/>
      </c>
      <c r="BN8" s="11">
        <f>BN7-('Engineering'!BN11+'Support'!BN25)</f>
        <v/>
      </c>
      <c r="BO8" s="11">
        <f>BO7-('Engineering'!BO11+'Support'!BO25)</f>
        <v/>
      </c>
      <c r="BP8" s="10">
        <f>IF(COUNT(BP7,'Engineering'!BP11,'Support'!BP25)=3,BP7-('Engineering'!BP11+'Support'!BP25),"")</f>
        <v/>
      </c>
      <c r="BQ8" s="10">
        <f>BQ7-('Engineering'!BQ11+'Support'!BQ25)</f>
        <v/>
      </c>
      <c r="BR8" s="10">
        <f>BR7-('Engineering'!BR11+'Support'!BR25)</f>
        <v/>
      </c>
      <c r="BS8" s="11">
        <f>IF(COUNT(BS7,'Engineering'!BS11,'Support'!BS25)=3,BS7-('Engineering'!BS11+'Support'!BS25),"")</f>
        <v/>
      </c>
      <c r="BT8" s="11">
        <f>BT7-('Engineering'!BT11+'Support'!BT25)</f>
        <v/>
      </c>
      <c r="BU8" s="11">
        <f>BU7-('Engineering'!BU11+'Support'!BU25)</f>
        <v/>
      </c>
      <c r="BV8" s="10">
        <f>IF(COUNT(BV7,'Engineering'!BV11,'Support'!BV25)=3,BV7-('Engineering'!BV11+'Support'!BV25),"")</f>
        <v/>
      </c>
      <c r="BW8" s="10">
        <f>BW7-('Engineering'!BW11+'Support'!BW25)</f>
        <v/>
      </c>
      <c r="BX8" s="10">
        <f>BX7-('Engineering'!BX11+'Support'!BX25)</f>
        <v/>
      </c>
      <c r="BY8" s="11">
        <f>IF(COUNT(BY7,'Engineering'!BY11,'Support'!BY25)=3,BY7-('Engineering'!BY11+'Support'!BY25),"")</f>
        <v/>
      </c>
      <c r="BZ8" s="11">
        <f>BZ7-('Engineering'!BZ11+'Support'!BZ25)</f>
        <v/>
      </c>
      <c r="CA8" s="11">
        <f>CA7-('Engineering'!CA11+'Support'!CA25)</f>
        <v/>
      </c>
      <c r="CB8" s="10">
        <f>IF(COUNT(CB7,'Engineering'!CB11,'Support'!CB25)=3,CB7-('Engineering'!CB11+'Support'!CB25),"")</f>
        <v/>
      </c>
      <c r="CC8" s="10">
        <f>CC7-('Engineering'!CC11+'Support'!CC25)</f>
        <v/>
      </c>
      <c r="CD8" s="10">
        <f>CD7-('Engineering'!CD11+'Support'!CD25)</f>
        <v/>
      </c>
      <c r="CE8" s="11">
        <f>IF(COUNT(CE7,'Engineering'!CE11,'Support'!CE25)=3,CE7-('Engineering'!CE11+'Support'!CE25),"")</f>
        <v/>
      </c>
      <c r="CF8" s="11">
        <f>CF7-('Engineering'!CF11+'Support'!CF25)</f>
        <v/>
      </c>
      <c r="CG8" s="11">
        <f>CG7-('Engineering'!CG11+'Support'!CG25)</f>
        <v/>
      </c>
      <c r="CH8" s="10">
        <f>IF(COUNT(CH7,'Engineering'!CH11,'Support'!CH25)=3,CH7-('Engineering'!CH11+'Support'!CH25),"")</f>
        <v/>
      </c>
      <c r="CI8" s="10">
        <f>CI7-('Engineering'!CI11+'Support'!CI25)</f>
        <v/>
      </c>
      <c r="CJ8" s="10">
        <f>CJ7-('Engineering'!CJ11+'Support'!CJ25)</f>
        <v/>
      </c>
      <c r="CK8" s="11">
        <f>IF(COUNT(CK7,'Engineering'!CK11,'Support'!CK25)=3,CK7-('Engineering'!CK11+'Support'!CK25),"")</f>
        <v/>
      </c>
      <c r="CL8" s="11">
        <f>CL7-('Engineering'!CL11+'Support'!CL25)</f>
        <v/>
      </c>
      <c r="CM8" s="11">
        <f>CM7-('Engineering'!CM11+'Support'!CM25)</f>
        <v/>
      </c>
      <c r="CN8" s="10">
        <f>IF(COUNT(CN7,'Engineering'!CN11,'Support'!CN25)=3,CN7-('Engineering'!CN11+'Support'!CN25),"")</f>
        <v/>
      </c>
      <c r="CO8" s="10">
        <f>CO7-('Engineering'!CO11+'Support'!CO25)</f>
        <v/>
      </c>
      <c r="CP8" s="10">
        <f>CP7-('Engineering'!CP11+'Support'!CP25)</f>
        <v/>
      </c>
      <c r="CQ8" s="11">
        <f>IF(COUNT(CQ7,'Engineering'!CQ11,'Support'!CQ25)=3,CQ7-('Engineering'!CQ11+'Support'!CQ25),"")</f>
        <v/>
      </c>
      <c r="CR8" s="11">
        <f>CR7-('Engineering'!CR11+'Support'!CR25)</f>
        <v/>
      </c>
      <c r="CS8" s="11">
        <f>CS7-('Engineering'!CS11+'Support'!CS25)</f>
        <v/>
      </c>
      <c r="CT8" s="10">
        <f>IF(COUNT(CT7,'Engineering'!CT11,'Support'!CT25)=3,CT7-('Engineering'!CT11+'Support'!CT25),"")</f>
        <v/>
      </c>
      <c r="CU8" s="10">
        <f>CU7-('Engineering'!CU11+'Support'!CU25)</f>
        <v/>
      </c>
      <c r="CV8" s="10">
        <f>CV7-('Engineering'!CV11+'Support'!CV25)</f>
        <v/>
      </c>
      <c r="CW8" s="11">
        <f>IF(COUNT(CW7,'Engineering'!CW11,'Support'!CW25)=3,CW7-('Engineering'!CW11+'Support'!CW25),"")</f>
        <v/>
      </c>
      <c r="CX8" s="11">
        <f>CX7-('Engineering'!CX11+'Support'!CX25)</f>
        <v/>
      </c>
      <c r="CY8" s="11">
        <f>CY7-('Engineering'!CY11+'Support'!CY25)</f>
        <v/>
      </c>
      <c r="CZ8" s="10">
        <f>IF(COUNT(CZ7,'Engineering'!CZ11,'Support'!CZ25)=3,CZ7-('Engineering'!CZ11+'Support'!CZ25),"")</f>
        <v/>
      </c>
      <c r="DA8" s="10">
        <f>DA7-('Engineering'!DA11+'Support'!DA25)</f>
        <v/>
      </c>
      <c r="DB8" s="10">
        <f>DB7-('Engineering'!DB11+'Support'!DB25)</f>
        <v/>
      </c>
      <c r="DC8" s="11">
        <f>IF(COUNT(DC7,'Engineering'!DC11,'Support'!DC25)=3,DC7-('Engineering'!DC11+'Support'!DC25),"")</f>
        <v/>
      </c>
      <c r="DD8" s="11">
        <f>DD7-('Engineering'!DD11+'Support'!DD25)</f>
        <v/>
      </c>
      <c r="DE8" s="11">
        <f>DE7-('Engineering'!DE11+'Support'!DE25)</f>
        <v/>
      </c>
      <c r="DF8" s="10">
        <f>IF(COUNT(DF7,'Engineering'!DF11,'Support'!DF25)=3,DF7-('Engineering'!DF11+'Support'!DF25),"")</f>
        <v/>
      </c>
      <c r="DG8" s="10">
        <f>DG7-('Engineering'!DG11+'Support'!DG25)</f>
        <v/>
      </c>
      <c r="DH8" s="10">
        <f>DH7-('Engineering'!DH11+'Support'!DH25)</f>
        <v/>
      </c>
      <c r="DI8" s="11">
        <f>IF(COUNT(DI7,'Engineering'!DI11,'Support'!DI25)=3,DI7-('Engineering'!DI11+'Support'!DI25),"")</f>
        <v/>
      </c>
      <c r="DJ8" s="11">
        <f>DJ7-('Engineering'!DJ11+'Support'!DJ25)</f>
        <v/>
      </c>
      <c r="DK8" s="11">
        <f>DK7-('Engineering'!DK11+'Support'!DK25)</f>
        <v/>
      </c>
      <c r="DL8" s="10">
        <f>IF(COUNT(DL7,'Engineering'!DL11,'Support'!DL25)=3,DL7-('Engineering'!DL11+'Support'!DL25),"")</f>
        <v/>
      </c>
      <c r="DM8" s="10">
        <f>DM7-('Engineering'!DM11+'Support'!DM25)</f>
        <v/>
      </c>
      <c r="DN8" s="10">
        <f>DN7-('Engineering'!DN11+'Support'!DN25)</f>
        <v/>
      </c>
    </row>
    <row r="9">
      <c r="A9" s="15" t="inlineStr">
        <is>
          <t>Gross Margin</t>
        </is>
      </c>
      <c r="B9" s="16">
        <f>IF(N(B7)=0,"",B8/B7)</f>
        <v/>
      </c>
      <c r="C9" s="16">
        <f>IF(N(C7)=0,"",C8/C7)</f>
        <v/>
      </c>
      <c r="D9" s="16">
        <f>IF(N(D7)=0,"",D8/D7)</f>
        <v/>
      </c>
      <c r="E9" s="17">
        <f>IF(N(E7)=0,"",E8/E7)</f>
        <v/>
      </c>
      <c r="F9" s="17">
        <f>IF(N(F7)=0,"",F8/F7)</f>
        <v/>
      </c>
      <c r="G9" s="17">
        <f>IF(N(G7)=0,"",G8/G7)</f>
        <v/>
      </c>
      <c r="H9" s="16">
        <f>IF(N(H7)=0,"",H8/H7)</f>
        <v/>
      </c>
      <c r="I9" s="16">
        <f>IF(N(I7)=0,"",I8/I7)</f>
        <v/>
      </c>
      <c r="J9" s="16">
        <f>IF(N(J7)=0,"",J8/J7)</f>
        <v/>
      </c>
      <c r="K9" s="17">
        <f>IF(COUNT(K7,K8)=2,IF(K7=0,"",K8/K7),"")</f>
        <v/>
      </c>
      <c r="L9" s="17">
        <f>IF(L7=0,"",L8/L7)</f>
        <v/>
      </c>
      <c r="M9" s="17">
        <f>IF(M7=0,"",M8/M7)</f>
        <v/>
      </c>
      <c r="N9" s="16">
        <f>IF(COUNT(N7,N8)=2,IF(N7=0,"",N8/N7),"")</f>
        <v/>
      </c>
      <c r="O9" s="16">
        <f>IF(O7=0,"",O8/O7)</f>
        <v/>
      </c>
      <c r="P9" s="16">
        <f>IF(P7=0,"",P8/P7)</f>
        <v/>
      </c>
      <c r="Q9" s="17">
        <f>IF(COUNT(Q7,Q8)=2,IF(Q7=0,"",Q8/Q7),"")</f>
        <v/>
      </c>
      <c r="R9" s="17">
        <f>IF(R7=0,"",R8/R7)</f>
        <v/>
      </c>
      <c r="S9" s="17">
        <f>IF(S7=0,"",S8/S7)</f>
        <v/>
      </c>
      <c r="T9" s="16">
        <f>IF(COUNT(T7,T8)=2,IF(T7=0,"",T8/T7),"")</f>
        <v/>
      </c>
      <c r="U9" s="16">
        <f>IF(U7=0,"",U8/U7)</f>
        <v/>
      </c>
      <c r="V9" s="16">
        <f>IF(V7=0,"",V8/V7)</f>
        <v/>
      </c>
      <c r="W9" s="17">
        <f>IF(COUNT(W7,W8)=2,IF(W7=0,"",W8/W7),"")</f>
        <v/>
      </c>
      <c r="X9" s="17">
        <f>IF(X7=0,"",X8/X7)</f>
        <v/>
      </c>
      <c r="Y9" s="17">
        <f>IF(Y7=0,"",Y8/Y7)</f>
        <v/>
      </c>
      <c r="Z9" s="16">
        <f>IF(COUNT(Z7,Z8)=2,IF(Z7=0,"",Z8/Z7),"")</f>
        <v/>
      </c>
      <c r="AA9" s="16">
        <f>IF(AA7=0,"",AA8/AA7)</f>
        <v/>
      </c>
      <c r="AB9" s="16">
        <f>IF(AB7=0,"",AB8/AB7)</f>
        <v/>
      </c>
      <c r="AC9" s="17">
        <f>IF(COUNT(AC7,AC8)=2,IF(AC7=0,"",AC8/AC7),"")</f>
        <v/>
      </c>
      <c r="AD9" s="17">
        <f>IF(AD7=0,"",AD8/AD7)</f>
        <v/>
      </c>
      <c r="AE9" s="17">
        <f>IF(AE7=0,"",AE8/AE7)</f>
        <v/>
      </c>
      <c r="AF9" s="16">
        <f>IF(COUNT(AF7,AF8)=2,IF(AF7=0,"",AF8/AF7),"")</f>
        <v/>
      </c>
      <c r="AG9" s="16">
        <f>IF(AG7=0,"",AG8/AG7)</f>
        <v/>
      </c>
      <c r="AH9" s="16">
        <f>IF(AH7=0,"",AH8/AH7)</f>
        <v/>
      </c>
      <c r="AI9" s="17">
        <f>IF(COUNT(AI7,AI8)=2,IF(AI7=0,"",AI8/AI7),"")</f>
        <v/>
      </c>
      <c r="AJ9" s="17">
        <f>IF(AJ7=0,"",AJ8/AJ7)</f>
        <v/>
      </c>
      <c r="AK9" s="17">
        <f>IF(AK7=0,"",AK8/AK7)</f>
        <v/>
      </c>
      <c r="AL9" s="16">
        <f>IF(COUNT(AL7,AL8)=2,IF(AL7=0,"",AL8/AL7),"")</f>
        <v/>
      </c>
      <c r="AM9" s="16">
        <f>IF(AM7=0,"",AM8/AM7)</f>
        <v/>
      </c>
      <c r="AN9" s="16">
        <f>IF(AN7=0,"",AN8/AN7)</f>
        <v/>
      </c>
      <c r="AO9" s="17">
        <f>IF(COUNT(AO7,AO8)=2,IF(AO7=0,"",AO8/AO7),"")</f>
        <v/>
      </c>
      <c r="AP9" s="17">
        <f>IF(AP7=0,"",AP8/AP7)</f>
        <v/>
      </c>
      <c r="AQ9" s="17">
        <f>IF(AQ7=0,"",AQ8/AQ7)</f>
        <v/>
      </c>
      <c r="AR9" s="16">
        <f>IF(COUNT(AR7,AR8)=2,IF(AR7=0,"",AR8/AR7),"")</f>
        <v/>
      </c>
      <c r="AS9" s="16">
        <f>IF(AS7=0,"",AS8/AS7)</f>
        <v/>
      </c>
      <c r="AT9" s="16">
        <f>IF(AT7=0,"",AT8/AT7)</f>
        <v/>
      </c>
      <c r="AU9" s="17">
        <f>IF(COUNT(AU7,AU8)=2,IF(AU7=0,"",AU8/AU7),"")</f>
        <v/>
      </c>
      <c r="AV9" s="17">
        <f>IF(AV7=0,"",AV8/AV7)</f>
        <v/>
      </c>
      <c r="AW9" s="17">
        <f>IF(AW7=0,"",AW8/AW7)</f>
        <v/>
      </c>
      <c r="AX9" s="16">
        <f>IF(COUNT(AX7,AX8)=2,IF(AX7=0,"",AX8/AX7),"")</f>
        <v/>
      </c>
      <c r="AY9" s="16">
        <f>IF(AY7=0,"",AY8/AY7)</f>
        <v/>
      </c>
      <c r="AZ9" s="16">
        <f>IF(AZ7=0,"",AZ8/AZ7)</f>
        <v/>
      </c>
      <c r="BA9" s="17">
        <f>IF(COUNT(BA7,BA8)=2,IF(BA7=0,"",BA8/BA7),"")</f>
        <v/>
      </c>
      <c r="BB9" s="17">
        <f>IF(BB7=0,"",BB8/BB7)</f>
        <v/>
      </c>
      <c r="BC9" s="17">
        <f>IF(BC7=0,"",BC8/BC7)</f>
        <v/>
      </c>
      <c r="BD9" s="16">
        <f>IF(COUNT(BD7,BD8)=2,IF(BD7=0,"",BD8/BD7),"")</f>
        <v/>
      </c>
      <c r="BE9" s="16">
        <f>IF(BE7=0,"",BE8/BE7)</f>
        <v/>
      </c>
      <c r="BF9" s="16">
        <f>IF(BF7=0,"",BF8/BF7)</f>
        <v/>
      </c>
      <c r="BG9" s="17">
        <f>IF(COUNT(BG7,BG8)=2,IF(BG7=0,"",BG8/BG7),"")</f>
        <v/>
      </c>
      <c r="BH9" s="17">
        <f>IF(BH7=0,"",BH8/BH7)</f>
        <v/>
      </c>
      <c r="BI9" s="17">
        <f>IF(BI7=0,"",BI8/BI7)</f>
        <v/>
      </c>
      <c r="BJ9" s="16">
        <f>IF(COUNT(BJ7,BJ8)=2,IF(BJ7=0,"",BJ8/BJ7),"")</f>
        <v/>
      </c>
      <c r="BK9" s="16">
        <f>IF(BK7=0,"",BK8/BK7)</f>
        <v/>
      </c>
      <c r="BL9" s="16">
        <f>IF(BL7=0,"",BL8/BL7)</f>
        <v/>
      </c>
      <c r="BM9" s="17">
        <f>IF(COUNT(BM7,BM8)=2,IF(BM7=0,"",BM8/BM7),"")</f>
        <v/>
      </c>
      <c r="BN9" s="17">
        <f>IF(BN7=0,"",BN8/BN7)</f>
        <v/>
      </c>
      <c r="BO9" s="17">
        <f>IF(BO7=0,"",BO8/BO7)</f>
        <v/>
      </c>
      <c r="BP9" s="16">
        <f>IF(COUNT(BP7,BP8)=2,IF(BP7=0,"",BP8/BP7),"")</f>
        <v/>
      </c>
      <c r="BQ9" s="16">
        <f>IF(BQ7=0,"",BQ8/BQ7)</f>
        <v/>
      </c>
      <c r="BR9" s="16">
        <f>IF(BR7=0,"",BR8/BR7)</f>
        <v/>
      </c>
      <c r="BS9" s="17">
        <f>IF(COUNT(BS7,BS8)=2,IF(BS7=0,"",BS8/BS7),"")</f>
        <v/>
      </c>
      <c r="BT9" s="17">
        <f>IF(BT7=0,"",BT8/BT7)</f>
        <v/>
      </c>
      <c r="BU9" s="17">
        <f>IF(BU7=0,"",BU8/BU7)</f>
        <v/>
      </c>
      <c r="BV9" s="16">
        <f>IF(COUNT(BV7,BV8)=2,IF(BV7=0,"",BV8/BV7),"")</f>
        <v/>
      </c>
      <c r="BW9" s="16">
        <f>IF(BW7=0,"",BW8/BW7)</f>
        <v/>
      </c>
      <c r="BX9" s="16">
        <f>IF(BX7=0,"",BX8/BX7)</f>
        <v/>
      </c>
      <c r="BY9" s="17">
        <f>IF(COUNT(BY7,BY8)=2,IF(BY7=0,"",BY8/BY7),"")</f>
        <v/>
      </c>
      <c r="BZ9" s="17">
        <f>IF(BZ7=0,"",BZ8/BZ7)</f>
        <v/>
      </c>
      <c r="CA9" s="17">
        <f>IF(CA7=0,"",CA8/CA7)</f>
        <v/>
      </c>
      <c r="CB9" s="16">
        <f>IF(COUNT(CB7,CB8)=2,IF(CB7=0,"",CB8/CB7),"")</f>
        <v/>
      </c>
      <c r="CC9" s="16">
        <f>IF(CC7=0,"",CC8/CC7)</f>
        <v/>
      </c>
      <c r="CD9" s="16">
        <f>IF(CD7=0,"",CD8/CD7)</f>
        <v/>
      </c>
      <c r="CE9" s="17">
        <f>IF(COUNT(CE7,CE8)=2,IF(CE7=0,"",CE8/CE7),"")</f>
        <v/>
      </c>
      <c r="CF9" s="17">
        <f>IF(CF7=0,"",CF8/CF7)</f>
        <v/>
      </c>
      <c r="CG9" s="17">
        <f>IF(CG7=0,"",CG8/CG7)</f>
        <v/>
      </c>
      <c r="CH9" s="16">
        <f>IF(COUNT(CH7,CH8)=2,IF(CH7=0,"",CH8/CH7),"")</f>
        <v/>
      </c>
      <c r="CI9" s="16">
        <f>IF(CI7=0,"",CI8/CI7)</f>
        <v/>
      </c>
      <c r="CJ9" s="16">
        <f>IF(CJ7=0,"",CJ8/CJ7)</f>
        <v/>
      </c>
      <c r="CK9" s="17">
        <f>IF(COUNT(CK7,CK8)=2,IF(CK7=0,"",CK8/CK7),"")</f>
        <v/>
      </c>
      <c r="CL9" s="17">
        <f>IF(CL7=0,"",CL8/CL7)</f>
        <v/>
      </c>
      <c r="CM9" s="17">
        <f>IF(CM7=0,"",CM8/CM7)</f>
        <v/>
      </c>
      <c r="CN9" s="16">
        <f>IF(COUNT(CN7,CN8)=2,IF(CN7=0,"",CN8/CN7),"")</f>
        <v/>
      </c>
      <c r="CO9" s="16">
        <f>IF(CO7=0,"",CO8/CO7)</f>
        <v/>
      </c>
      <c r="CP9" s="16">
        <f>IF(CP7=0,"",CP8/CP7)</f>
        <v/>
      </c>
      <c r="CQ9" s="17">
        <f>IF(COUNT(CQ7,CQ8)=2,IF(CQ7=0,"",CQ8/CQ7),"")</f>
        <v/>
      </c>
      <c r="CR9" s="17">
        <f>IF(CR7=0,"",CR8/CR7)</f>
        <v/>
      </c>
      <c r="CS9" s="17">
        <f>IF(CS7=0,"",CS8/CS7)</f>
        <v/>
      </c>
      <c r="CT9" s="16">
        <f>IF(COUNT(CT7,CT8)=2,IF(CT7=0,"",CT8/CT7),"")</f>
        <v/>
      </c>
      <c r="CU9" s="16">
        <f>IF(CU7=0,"",CU8/CU7)</f>
        <v/>
      </c>
      <c r="CV9" s="16">
        <f>IF(CV7=0,"",CV8/CV7)</f>
        <v/>
      </c>
      <c r="CW9" s="17">
        <f>IF(COUNT(CW7,CW8)=2,IF(CW7=0,"",CW8/CW7),"")</f>
        <v/>
      </c>
      <c r="CX9" s="17">
        <f>IF(CX7=0,"",CX8/CX7)</f>
        <v/>
      </c>
      <c r="CY9" s="17">
        <f>IF(CY7=0,"",CY8/CY7)</f>
        <v/>
      </c>
      <c r="CZ9" s="16">
        <f>IF(COUNT(CZ7,CZ8)=2,IF(CZ7=0,"",CZ8/CZ7),"")</f>
        <v/>
      </c>
      <c r="DA9" s="16">
        <f>IF(DA7=0,"",DA8/DA7)</f>
        <v/>
      </c>
      <c r="DB9" s="16">
        <f>IF(DB7=0,"",DB8/DB7)</f>
        <v/>
      </c>
      <c r="DC9" s="17">
        <f>IF(COUNT(DC7,DC8)=2,IF(DC7=0,"",DC8/DC7),"")</f>
        <v/>
      </c>
      <c r="DD9" s="17">
        <f>IF(DD7=0,"",DD8/DD7)</f>
        <v/>
      </c>
      <c r="DE9" s="17">
        <f>IF(DE7=0,"",DE8/DE7)</f>
        <v/>
      </c>
      <c r="DF9" s="16">
        <f>IF(COUNT(DF7,DF8)=2,IF(DF7=0,"",DF8/DF7),"")</f>
        <v/>
      </c>
      <c r="DG9" s="16">
        <f>IF(DG7=0,"",DG8/DG7)</f>
        <v/>
      </c>
      <c r="DH9" s="16">
        <f>IF(DH7=0,"",DH8/DH7)</f>
        <v/>
      </c>
      <c r="DI9" s="17">
        <f>IF(COUNT(DI7,DI8)=2,IF(DI7=0,"",DI8/DI7),"")</f>
        <v/>
      </c>
      <c r="DJ9" s="17">
        <f>IF(DJ7=0,"",DJ8/DJ7)</f>
        <v/>
      </c>
      <c r="DK9" s="17">
        <f>IF(DK7=0,"",DK8/DK7)</f>
        <v/>
      </c>
      <c r="DL9" s="16">
        <f>IF(COUNT(DL7,DL8)=2,IF(DL7=0,"",DL8/DL7),"")</f>
        <v/>
      </c>
      <c r="DM9" s="16">
        <f>IF(DM7=0,"",DM8/DM7)</f>
        <v/>
      </c>
      <c r="DN9" s="16">
        <f>IF(DN7=0,"",DN8/DN7)</f>
        <v/>
      </c>
    </row>
    <row r="10">
      <c r="A10" s="2" t="inlineStr">
        <is>
          <t>Operating Expenses</t>
        </is>
      </c>
      <c r="B10" s="10">
        <f>IF(COUNT(AR10,AO10,AL10,AI10,AF10,AC10,Z10,W10,T10,Q10,N10,K10)=0,"",SUM(AR10,AO10,AL10,AI10,AF10,AC10,Z10,W10,T10,Q10,N10,K10))</f>
        <v/>
      </c>
      <c r="C10" s="10">
        <f>IF(COUNT(AS10,AP10,AM10,AJ10,AG10,AD10,AA10,X10,U10,R10,O10,L10)=0,"",SUM(AS10,AP10,AM10,AJ10,AG10,AD10,AA10,X10,U10,R10,O10,L10))</f>
        <v/>
      </c>
      <c r="D10" s="10">
        <f>IF(COUNT(AT10,AQ10,AN10,AK10,AH10,AE10,AB10,Y10,V10,S10,P10,M10)=0,"",SUM(AT10,AQ10,AN10,AK10,AH10,AE10,AB10,Y10,V10,S10,P10,M10))</f>
        <v/>
      </c>
      <c r="E10" s="11">
        <f>IF(COUNT(CB10,BY10,BV10,BS10,BP10,BM10,BJ10,BG10,BD10,BA10,AX10,AU10)=0,"",SUM(CB10,BY10,BV10,BS10,BP10,BM10,BJ10,BG10,BD10,BA10,AX10,AU10))</f>
        <v/>
      </c>
      <c r="F10" s="11">
        <f>IF(COUNT(CC10,BZ10,BW10,BT10,BQ10,BN10,BK10,BH10,BE10,BB10,AY10,AV10)=0,"",SUM(CC10,BZ10,BW10,BT10,BQ10,BN10,BK10,BH10,BE10,BB10,AY10,AV10))</f>
        <v/>
      </c>
      <c r="G10" s="11">
        <f>IF(COUNT(CD10,CA10,BX10,BU10,BR10,BO10,BL10,BI10,BF10,BC10,AZ10,AW10)=0,"",SUM(CD10,CA10,BX10,BU10,BR10,BO10,BL10,BI10,BF10,BC10,AZ10,AW10))</f>
        <v/>
      </c>
      <c r="H10" s="10">
        <f>IF(COUNT(DL10,DI10,DF10,DC10,CZ10,CW10,CT10,CQ10,CN10,CK10,CH10,CE10)=0,"",SUM(DL10,DI10,DF10,DC10,CZ10,CW10,CT10,CQ10,CN10,CK10,CH10,CE10))</f>
        <v/>
      </c>
      <c r="I10" s="10">
        <f>IF(COUNT(DM10,DJ10,DG10,DD10,DA10,CX10,CU10,CR10,CO10,CL10,CI10,CF10)=0,"",SUM(DM10,DJ10,DG10,DD10,DA10,CX10,CU10,CR10,CO10,CL10,CI10,CF10))</f>
        <v/>
      </c>
      <c r="J10" s="10">
        <f>IF(COUNT(DN10,DK10,DH10,DE10,DB10,CY10,CV10,CS10,CP10,CM10,CJ10,CG10)=0,"",SUM(DN10,DK10,DH10,DE10,DB10,CY10,CV10,CS10,CP10,CM10,CJ10,CG10))</f>
        <v/>
      </c>
      <c r="K10" s="11">
        <f>IF(COUNT('Marketing'!K28,'Sales'!K24,'Customer Success'!K33,'Engineering'!K27,'Finance'!K38,'Engineering'!K11)=6,'Marketing'!K28+'Sales'!K24+'Customer Success'!K33+'Engineering'!K27-'Engineering'!K11+'Finance'!K38,"")</f>
        <v/>
      </c>
      <c r="L10" s="11">
        <f>'Marketing'!L28+'Sales'!L24+'Customer Success'!L33+'Engineering'!L27-'Engineering'!L11+'Finance'!L38</f>
        <v/>
      </c>
      <c r="M10" s="11">
        <f>'Marketing'!M28+'Sales'!M24+'Customer Success'!M33+'Engineering'!M27-'Engineering'!M11+'Finance'!M38</f>
        <v/>
      </c>
      <c r="N10" s="10">
        <f>IF(COUNT('Marketing'!N28,'Sales'!N24,'Customer Success'!N33,'Engineering'!N27,'Finance'!N38,'Engineering'!N11)=6,'Marketing'!N28+'Sales'!N24+'Customer Success'!N33+'Engineering'!N27-'Engineering'!N11+'Finance'!N38,"")</f>
        <v/>
      </c>
      <c r="O10" s="10">
        <f>'Marketing'!O28+'Sales'!O24+'Customer Success'!O33+'Engineering'!O27-'Engineering'!O11+'Finance'!O38</f>
        <v/>
      </c>
      <c r="P10" s="10">
        <f>'Marketing'!P28+'Sales'!P24+'Customer Success'!P33+'Engineering'!P27-'Engineering'!P11+'Finance'!P38</f>
        <v/>
      </c>
      <c r="Q10" s="11">
        <f>IF(COUNT('Marketing'!Q28,'Sales'!Q24,'Customer Success'!Q33,'Engineering'!Q27,'Finance'!Q38,'Engineering'!Q11)=6,'Marketing'!Q28+'Sales'!Q24+'Customer Success'!Q33+'Engineering'!Q27-'Engineering'!Q11+'Finance'!Q38,"")</f>
        <v/>
      </c>
      <c r="R10" s="11">
        <f>'Marketing'!R28+'Sales'!R24+'Customer Success'!R33+'Engineering'!R27-'Engineering'!R11+'Finance'!R38</f>
        <v/>
      </c>
      <c r="S10" s="11">
        <f>'Marketing'!S28+'Sales'!S24+'Customer Success'!S33+'Engineering'!S27-'Engineering'!S11+'Finance'!S38</f>
        <v/>
      </c>
      <c r="T10" s="10">
        <f>IF(COUNT('Marketing'!T28,'Sales'!T24,'Customer Success'!T33,'Engineering'!T27,'Finance'!T38,'Engineering'!T11)=6,'Marketing'!T28+'Sales'!T24+'Customer Success'!T33+'Engineering'!T27-'Engineering'!T11+'Finance'!T38,"")</f>
        <v/>
      </c>
      <c r="U10" s="10">
        <f>'Marketing'!U28+'Sales'!U24+'Customer Success'!U33+'Engineering'!U27-'Engineering'!U11+'Finance'!U38</f>
        <v/>
      </c>
      <c r="V10" s="10">
        <f>'Marketing'!V28+'Sales'!V24+'Customer Success'!V33+'Engineering'!V27-'Engineering'!V11+'Finance'!V38</f>
        <v/>
      </c>
      <c r="W10" s="11">
        <f>IF(COUNT('Marketing'!W28,'Sales'!W24,'Customer Success'!W33,'Engineering'!W27,'Finance'!W38,'Engineering'!W11)=6,'Marketing'!W28+'Sales'!W24+'Customer Success'!W33+'Engineering'!W27-'Engineering'!W11+'Finance'!W38,"")</f>
        <v/>
      </c>
      <c r="X10" s="11">
        <f>'Marketing'!X28+'Sales'!X24+'Customer Success'!X33+'Engineering'!X27-'Engineering'!X11+'Finance'!X38</f>
        <v/>
      </c>
      <c r="Y10" s="11">
        <f>'Marketing'!Y28+'Sales'!Y24+'Customer Success'!Y33+'Engineering'!Y27-'Engineering'!Y11+'Finance'!Y38</f>
        <v/>
      </c>
      <c r="Z10" s="10">
        <f>IF(COUNT('Marketing'!Z28,'Sales'!Z24,'Customer Success'!Z33,'Engineering'!Z27,'Finance'!Z38,'Engineering'!Z11)=6,'Marketing'!Z28+'Sales'!Z24+'Customer Success'!Z33+'Engineering'!Z27-'Engineering'!Z11+'Finance'!Z38,"")</f>
        <v/>
      </c>
      <c r="AA10" s="10">
        <f>'Marketing'!AA28+'Sales'!AA24+'Customer Success'!AA33+'Engineering'!AA27-'Engineering'!AA11+'Finance'!AA38</f>
        <v/>
      </c>
      <c r="AB10" s="10">
        <f>'Marketing'!AB28+'Sales'!AB24+'Customer Success'!AB33+'Engineering'!AB27-'Engineering'!AB11+'Finance'!AB38</f>
        <v/>
      </c>
      <c r="AC10" s="11">
        <f>IF(COUNT('Marketing'!AC28,'Sales'!AC24,'Customer Success'!AC33,'Engineering'!AC27,'Finance'!AC38,'Engineering'!AC11)=6,'Marketing'!AC28+'Sales'!AC24+'Customer Success'!AC33+'Engineering'!AC27-'Engineering'!AC11+'Finance'!AC38,"")</f>
        <v/>
      </c>
      <c r="AD10" s="11">
        <f>'Marketing'!AD28+'Sales'!AD24+'Customer Success'!AD33+'Engineering'!AD27-'Engineering'!AD11+'Finance'!AD38</f>
        <v/>
      </c>
      <c r="AE10" s="11">
        <f>'Marketing'!AE28+'Sales'!AE24+'Customer Success'!AE33+'Engineering'!AE27-'Engineering'!AE11+'Finance'!AE38</f>
        <v/>
      </c>
      <c r="AF10" s="10">
        <f>IF(COUNT('Marketing'!AF28,'Sales'!AF24,'Customer Success'!AF33,'Engineering'!AF27,'Finance'!AF38,'Engineering'!AF11)=6,'Marketing'!AF28+'Sales'!AF24+'Customer Success'!AF33+'Engineering'!AF27-'Engineering'!AF11+'Finance'!AF38,"")</f>
        <v/>
      </c>
      <c r="AG10" s="10">
        <f>'Marketing'!AG28+'Sales'!AG24+'Customer Success'!AG33+'Engineering'!AG27-'Engineering'!AG11+'Finance'!AG38</f>
        <v/>
      </c>
      <c r="AH10" s="10">
        <f>'Marketing'!AH28+'Sales'!AH24+'Customer Success'!AH33+'Engineering'!AH27-'Engineering'!AH11+'Finance'!AH38</f>
        <v/>
      </c>
      <c r="AI10" s="11">
        <f>IF(COUNT('Marketing'!AI28,'Sales'!AI24,'Customer Success'!AI33,'Engineering'!AI27,'Finance'!AI38,'Engineering'!AI11)=6,'Marketing'!AI28+'Sales'!AI24+'Customer Success'!AI33+'Engineering'!AI27-'Engineering'!AI11+'Finance'!AI38,"")</f>
        <v/>
      </c>
      <c r="AJ10" s="11">
        <f>'Marketing'!AJ28+'Sales'!AJ24+'Customer Success'!AJ33+'Engineering'!AJ27-'Engineering'!AJ11+'Finance'!AJ38</f>
        <v/>
      </c>
      <c r="AK10" s="11">
        <f>'Marketing'!AK28+'Sales'!AK24+'Customer Success'!AK33+'Engineering'!AK27-'Engineering'!AK11+'Finance'!AK38</f>
        <v/>
      </c>
      <c r="AL10" s="10">
        <f>IF(COUNT('Marketing'!AL28,'Sales'!AL24,'Customer Success'!AL33,'Engineering'!AL27,'Finance'!AL38,'Engineering'!AL11)=6,'Marketing'!AL28+'Sales'!AL24+'Customer Success'!AL33+'Engineering'!AL27-'Engineering'!AL11+'Finance'!AL38,"")</f>
        <v/>
      </c>
      <c r="AM10" s="10">
        <f>'Marketing'!AM28+'Sales'!AM24+'Customer Success'!AM33+'Engineering'!AM27-'Engineering'!AM11+'Finance'!AM38</f>
        <v/>
      </c>
      <c r="AN10" s="10">
        <f>'Marketing'!AN28+'Sales'!AN24+'Customer Success'!AN33+'Engineering'!AN27-'Engineering'!AN11+'Finance'!AN38</f>
        <v/>
      </c>
      <c r="AO10" s="11">
        <f>IF(COUNT('Marketing'!AO28,'Sales'!AO24,'Customer Success'!AO33,'Engineering'!AO27,'Finance'!AO38,'Engineering'!AO11)=6,'Marketing'!AO28+'Sales'!AO24+'Customer Success'!AO33+'Engineering'!AO27-'Engineering'!AO11+'Finance'!AO38,"")</f>
        <v/>
      </c>
      <c r="AP10" s="11">
        <f>'Marketing'!AP28+'Sales'!AP24+'Customer Success'!AP33+'Engineering'!AP27-'Engineering'!AP11+'Finance'!AP38</f>
        <v/>
      </c>
      <c r="AQ10" s="11">
        <f>'Marketing'!AQ28+'Sales'!AQ24+'Customer Success'!AQ33+'Engineering'!AQ27-'Engineering'!AQ11+'Finance'!AQ38</f>
        <v/>
      </c>
      <c r="AR10" s="10">
        <f>IF(COUNT('Marketing'!AR28,'Sales'!AR24,'Customer Success'!AR33,'Engineering'!AR27,'Finance'!AR38,'Engineering'!AR11)=6,'Marketing'!AR28+'Sales'!AR24+'Customer Success'!AR33+'Engineering'!AR27-'Engineering'!AR11+'Finance'!AR38,"")</f>
        <v/>
      </c>
      <c r="AS10" s="10">
        <f>'Marketing'!AS28+'Sales'!AS24+'Customer Success'!AS33+'Engineering'!AS27-'Engineering'!AS11+'Finance'!AS38</f>
        <v/>
      </c>
      <c r="AT10" s="10">
        <f>'Marketing'!AT28+'Sales'!AT24+'Customer Success'!AT33+'Engineering'!AT27-'Engineering'!AT11+'Finance'!AT38</f>
        <v/>
      </c>
      <c r="AU10" s="11">
        <f>IF(COUNT('Marketing'!AU28,'Sales'!AU24,'Customer Success'!AU33,'Engineering'!AU27,'Finance'!AU38,'Engineering'!AU11)=6,'Marketing'!AU28+'Sales'!AU24+'Customer Success'!AU33+'Engineering'!AU27-'Engineering'!AU11+'Finance'!AU38,"")</f>
        <v/>
      </c>
      <c r="AV10" s="11">
        <f>'Marketing'!AV28+'Sales'!AV24+'Customer Success'!AV33+'Engineering'!AV27-'Engineering'!AV11+'Finance'!AV38</f>
        <v/>
      </c>
      <c r="AW10" s="11">
        <f>'Marketing'!AW28+'Sales'!AW24+'Customer Success'!AW33+'Engineering'!AW27-'Engineering'!AW11+'Finance'!AW38</f>
        <v/>
      </c>
      <c r="AX10" s="10">
        <f>IF(COUNT('Marketing'!AX28,'Sales'!AX24,'Customer Success'!AX33,'Engineering'!AX27,'Finance'!AX38,'Engineering'!AX11)=6,'Marketing'!AX28+'Sales'!AX24+'Customer Success'!AX33+'Engineering'!AX27-'Engineering'!AX11+'Finance'!AX38,"")</f>
        <v/>
      </c>
      <c r="AY10" s="10">
        <f>'Marketing'!AY28+'Sales'!AY24+'Customer Success'!AY33+'Engineering'!AY27-'Engineering'!AY11+'Finance'!AY38</f>
        <v/>
      </c>
      <c r="AZ10" s="10">
        <f>'Marketing'!AZ28+'Sales'!AZ24+'Customer Success'!AZ33+'Engineering'!AZ27-'Engineering'!AZ11+'Finance'!AZ38</f>
        <v/>
      </c>
      <c r="BA10" s="11">
        <f>IF(COUNT('Marketing'!BA28,'Sales'!BA24,'Customer Success'!BA33,'Engineering'!BA27,'Finance'!BA38,'Engineering'!BA11)=6,'Marketing'!BA28+'Sales'!BA24+'Customer Success'!BA33+'Engineering'!BA27-'Engineering'!BA11+'Finance'!BA38,"")</f>
        <v/>
      </c>
      <c r="BB10" s="11">
        <f>'Marketing'!BB28+'Sales'!BB24+'Customer Success'!BB33+'Engineering'!BB27-'Engineering'!BB11+'Finance'!BB38</f>
        <v/>
      </c>
      <c r="BC10" s="11">
        <f>'Marketing'!BC28+'Sales'!BC24+'Customer Success'!BC33+'Engineering'!BC27-'Engineering'!BC11+'Finance'!BC38</f>
        <v/>
      </c>
      <c r="BD10" s="10">
        <f>IF(COUNT('Marketing'!BD28,'Sales'!BD24,'Customer Success'!BD33,'Engineering'!BD27,'Finance'!BD38,'Engineering'!BD11)=6,'Marketing'!BD28+'Sales'!BD24+'Customer Success'!BD33+'Engineering'!BD27-'Engineering'!BD11+'Finance'!BD38,"")</f>
        <v/>
      </c>
      <c r="BE10" s="10">
        <f>'Marketing'!BE28+'Sales'!BE24+'Customer Success'!BE33+'Engineering'!BE27-'Engineering'!BE11+'Finance'!BE38</f>
        <v/>
      </c>
      <c r="BF10" s="10">
        <f>'Marketing'!BF28+'Sales'!BF24+'Customer Success'!BF33+'Engineering'!BF27-'Engineering'!BF11+'Finance'!BF38</f>
        <v/>
      </c>
      <c r="BG10" s="11">
        <f>IF(COUNT('Marketing'!BG28,'Sales'!BG24,'Customer Success'!BG33,'Engineering'!BG27,'Finance'!BG38,'Engineering'!BG11)=6,'Marketing'!BG28+'Sales'!BG24+'Customer Success'!BG33+'Engineering'!BG27-'Engineering'!BG11+'Finance'!BG38,"")</f>
        <v/>
      </c>
      <c r="BH10" s="11">
        <f>'Marketing'!BH28+'Sales'!BH24+'Customer Success'!BH33+'Engineering'!BH27-'Engineering'!BH11+'Finance'!BH38</f>
        <v/>
      </c>
      <c r="BI10" s="11">
        <f>'Marketing'!BI28+'Sales'!BI24+'Customer Success'!BI33+'Engineering'!BI27-'Engineering'!BI11+'Finance'!BI38</f>
        <v/>
      </c>
      <c r="BJ10" s="10">
        <f>IF(COUNT('Marketing'!BJ28,'Sales'!BJ24,'Customer Success'!BJ33,'Engineering'!BJ27,'Finance'!BJ38,'Engineering'!BJ11)=6,'Marketing'!BJ28+'Sales'!BJ24+'Customer Success'!BJ33+'Engineering'!BJ27-'Engineering'!BJ11+'Finance'!BJ38,"")</f>
        <v/>
      </c>
      <c r="BK10" s="10">
        <f>'Marketing'!BK28+'Sales'!BK24+'Customer Success'!BK33+'Engineering'!BK27-'Engineering'!BK11+'Finance'!BK38</f>
        <v/>
      </c>
      <c r="BL10" s="10">
        <f>'Marketing'!BL28+'Sales'!BL24+'Customer Success'!BL33+'Engineering'!BL27-'Engineering'!BL11+'Finance'!BL38</f>
        <v/>
      </c>
      <c r="BM10" s="11">
        <f>IF(COUNT('Marketing'!BM28,'Sales'!BM24,'Customer Success'!BM33,'Engineering'!BM27,'Finance'!BM38,'Engineering'!BM11)=6,'Marketing'!BM28+'Sales'!BM24+'Customer Success'!BM33+'Engineering'!BM27-'Engineering'!BM11+'Finance'!BM38,"")</f>
        <v/>
      </c>
      <c r="BN10" s="11">
        <f>'Marketing'!BN28+'Sales'!BN24+'Customer Success'!BN33+'Engineering'!BN27-'Engineering'!BN11+'Finance'!BN38</f>
        <v/>
      </c>
      <c r="BO10" s="11">
        <f>'Marketing'!BO28+'Sales'!BO24+'Customer Success'!BO33+'Engineering'!BO27-'Engineering'!BO11+'Finance'!BO38</f>
        <v/>
      </c>
      <c r="BP10" s="10">
        <f>IF(COUNT('Marketing'!BP28,'Sales'!BP24,'Customer Success'!BP33,'Engineering'!BP27,'Finance'!BP38,'Engineering'!BP11)=6,'Marketing'!BP28+'Sales'!BP24+'Customer Success'!BP33+'Engineering'!BP27-'Engineering'!BP11+'Finance'!BP38,"")</f>
        <v/>
      </c>
      <c r="BQ10" s="10">
        <f>'Marketing'!BQ28+'Sales'!BQ24+'Customer Success'!BQ33+'Engineering'!BQ27-'Engineering'!BQ11+'Finance'!BQ38</f>
        <v/>
      </c>
      <c r="BR10" s="10">
        <f>'Marketing'!BR28+'Sales'!BR24+'Customer Success'!BR33+'Engineering'!BR27-'Engineering'!BR11+'Finance'!BR38</f>
        <v/>
      </c>
      <c r="BS10" s="11">
        <f>IF(COUNT('Marketing'!BS28,'Sales'!BS24,'Customer Success'!BS33,'Engineering'!BS27,'Finance'!BS38,'Engineering'!BS11)=6,'Marketing'!BS28+'Sales'!BS24+'Customer Success'!BS33+'Engineering'!BS27-'Engineering'!BS11+'Finance'!BS38,"")</f>
        <v/>
      </c>
      <c r="BT10" s="11">
        <f>'Marketing'!BT28+'Sales'!BT24+'Customer Success'!BT33+'Engineering'!BT27-'Engineering'!BT11+'Finance'!BT38</f>
        <v/>
      </c>
      <c r="BU10" s="11">
        <f>'Marketing'!BU28+'Sales'!BU24+'Customer Success'!BU33+'Engineering'!BU27-'Engineering'!BU11+'Finance'!BU38</f>
        <v/>
      </c>
      <c r="BV10" s="10">
        <f>IF(COUNT('Marketing'!BV28,'Sales'!BV24,'Customer Success'!BV33,'Engineering'!BV27,'Finance'!BV38,'Engineering'!BV11)=6,'Marketing'!BV28+'Sales'!BV24+'Customer Success'!BV33+'Engineering'!BV27-'Engineering'!BV11+'Finance'!BV38,"")</f>
        <v/>
      </c>
      <c r="BW10" s="10">
        <f>'Marketing'!BW28+'Sales'!BW24+'Customer Success'!BW33+'Engineering'!BW27-'Engineering'!BW11+'Finance'!BW38</f>
        <v/>
      </c>
      <c r="BX10" s="10">
        <f>'Marketing'!BX28+'Sales'!BX24+'Customer Success'!BX33+'Engineering'!BX27-'Engineering'!BX11+'Finance'!BX38</f>
        <v/>
      </c>
      <c r="BY10" s="11">
        <f>IF(COUNT('Marketing'!BY28,'Sales'!BY24,'Customer Success'!BY33,'Engineering'!BY27,'Finance'!BY38,'Engineering'!BY11)=6,'Marketing'!BY28+'Sales'!BY24+'Customer Success'!BY33+'Engineering'!BY27-'Engineering'!BY11+'Finance'!BY38,"")</f>
        <v/>
      </c>
      <c r="BZ10" s="11">
        <f>'Marketing'!BZ28+'Sales'!BZ24+'Customer Success'!BZ33+'Engineering'!BZ27-'Engineering'!BZ11+'Finance'!BZ38</f>
        <v/>
      </c>
      <c r="CA10" s="11">
        <f>'Marketing'!CA28+'Sales'!CA24+'Customer Success'!CA33+'Engineering'!CA27-'Engineering'!CA11+'Finance'!CA38</f>
        <v/>
      </c>
      <c r="CB10" s="10">
        <f>IF(COUNT('Marketing'!CB28,'Sales'!CB24,'Customer Success'!CB33,'Engineering'!CB27,'Finance'!CB38,'Engineering'!CB11)=6,'Marketing'!CB28+'Sales'!CB24+'Customer Success'!CB33+'Engineering'!CB27-'Engineering'!CB11+'Finance'!CB38,"")</f>
        <v/>
      </c>
      <c r="CC10" s="10">
        <f>'Marketing'!CC28+'Sales'!CC24+'Customer Success'!CC33+'Engineering'!CC27-'Engineering'!CC11+'Finance'!CC38</f>
        <v/>
      </c>
      <c r="CD10" s="10">
        <f>'Marketing'!CD28+'Sales'!CD24+'Customer Success'!CD33+'Engineering'!CD27-'Engineering'!CD11+'Finance'!CD38</f>
        <v/>
      </c>
      <c r="CE10" s="11">
        <f>IF(COUNT('Marketing'!CE28,'Sales'!CE24,'Customer Success'!CE33,'Engineering'!CE27,'Finance'!CE38,'Engineering'!CE11)=6,'Marketing'!CE28+'Sales'!CE24+'Customer Success'!CE33+'Engineering'!CE27-'Engineering'!CE11+'Finance'!CE38,"")</f>
        <v/>
      </c>
      <c r="CF10" s="11">
        <f>'Marketing'!CF28+'Sales'!CF24+'Customer Success'!CF33+'Engineering'!CF27-'Engineering'!CF11+'Finance'!CF38</f>
        <v/>
      </c>
      <c r="CG10" s="11">
        <f>'Marketing'!CG28+'Sales'!CG24+'Customer Success'!CG33+'Engineering'!CG27-'Engineering'!CG11+'Finance'!CG38</f>
        <v/>
      </c>
      <c r="CH10" s="10">
        <f>IF(COUNT('Marketing'!CH28,'Sales'!CH24,'Customer Success'!CH33,'Engineering'!CH27,'Finance'!CH38,'Engineering'!CH11)=6,'Marketing'!CH28+'Sales'!CH24+'Customer Success'!CH33+'Engineering'!CH27-'Engineering'!CH11+'Finance'!CH38,"")</f>
        <v/>
      </c>
      <c r="CI10" s="10">
        <f>'Marketing'!CI28+'Sales'!CI24+'Customer Success'!CI33+'Engineering'!CI27-'Engineering'!CI11+'Finance'!CI38</f>
        <v/>
      </c>
      <c r="CJ10" s="10">
        <f>'Marketing'!CJ28+'Sales'!CJ24+'Customer Success'!CJ33+'Engineering'!CJ27-'Engineering'!CJ11+'Finance'!CJ38</f>
        <v/>
      </c>
      <c r="CK10" s="11">
        <f>IF(COUNT('Marketing'!CK28,'Sales'!CK24,'Customer Success'!CK33,'Engineering'!CK27,'Finance'!CK38,'Engineering'!CK11)=6,'Marketing'!CK28+'Sales'!CK24+'Customer Success'!CK33+'Engineering'!CK27-'Engineering'!CK11+'Finance'!CK38,"")</f>
        <v/>
      </c>
      <c r="CL10" s="11">
        <f>'Marketing'!CL28+'Sales'!CL24+'Customer Success'!CL33+'Engineering'!CL27-'Engineering'!CL11+'Finance'!CL38</f>
        <v/>
      </c>
      <c r="CM10" s="11">
        <f>'Marketing'!CM28+'Sales'!CM24+'Customer Success'!CM33+'Engineering'!CM27-'Engineering'!CM11+'Finance'!CM38</f>
        <v/>
      </c>
      <c r="CN10" s="10">
        <f>IF(COUNT('Marketing'!CN28,'Sales'!CN24,'Customer Success'!CN33,'Engineering'!CN27,'Finance'!CN38,'Engineering'!CN11)=6,'Marketing'!CN28+'Sales'!CN24+'Customer Success'!CN33+'Engineering'!CN27-'Engineering'!CN11+'Finance'!CN38,"")</f>
        <v/>
      </c>
      <c r="CO10" s="10">
        <f>'Marketing'!CO28+'Sales'!CO24+'Customer Success'!CO33+'Engineering'!CO27-'Engineering'!CO11+'Finance'!CO38</f>
        <v/>
      </c>
      <c r="CP10" s="10">
        <f>'Marketing'!CP28+'Sales'!CP24+'Customer Success'!CP33+'Engineering'!CP27-'Engineering'!CP11+'Finance'!CP38</f>
        <v/>
      </c>
      <c r="CQ10" s="11">
        <f>IF(COUNT('Marketing'!CQ28,'Sales'!CQ24,'Customer Success'!CQ33,'Engineering'!CQ27,'Finance'!CQ38,'Engineering'!CQ11)=6,'Marketing'!CQ28+'Sales'!CQ24+'Customer Success'!CQ33+'Engineering'!CQ27-'Engineering'!CQ11+'Finance'!CQ38,"")</f>
        <v/>
      </c>
      <c r="CR10" s="11">
        <f>'Marketing'!CR28+'Sales'!CR24+'Customer Success'!CR33+'Engineering'!CR27-'Engineering'!CR11+'Finance'!CR38</f>
        <v/>
      </c>
      <c r="CS10" s="11">
        <f>'Marketing'!CS28+'Sales'!CS24+'Customer Success'!CS33+'Engineering'!CS27-'Engineering'!CS11+'Finance'!CS38</f>
        <v/>
      </c>
      <c r="CT10" s="10">
        <f>IF(COUNT('Marketing'!CT28,'Sales'!CT24,'Customer Success'!CT33,'Engineering'!CT27,'Finance'!CT38,'Engineering'!CT11)=6,'Marketing'!CT28+'Sales'!CT24+'Customer Success'!CT33+'Engineering'!CT27-'Engineering'!CT11+'Finance'!CT38,"")</f>
        <v/>
      </c>
      <c r="CU10" s="10">
        <f>'Marketing'!CU28+'Sales'!CU24+'Customer Success'!CU33+'Engineering'!CU27-'Engineering'!CU11+'Finance'!CU38</f>
        <v/>
      </c>
      <c r="CV10" s="10">
        <f>'Marketing'!CV28+'Sales'!CV24+'Customer Success'!CV33+'Engineering'!CV27-'Engineering'!CV11+'Finance'!CV38</f>
        <v/>
      </c>
      <c r="CW10" s="11">
        <f>IF(COUNT('Marketing'!CW28,'Sales'!CW24,'Customer Success'!CW33,'Engineering'!CW27,'Finance'!CW38,'Engineering'!CW11)=6,'Marketing'!CW28+'Sales'!CW24+'Customer Success'!CW33+'Engineering'!CW27-'Engineering'!CW11+'Finance'!CW38,"")</f>
        <v/>
      </c>
      <c r="CX10" s="11">
        <f>'Marketing'!CX28+'Sales'!CX24+'Customer Success'!CX33+'Engineering'!CX27-'Engineering'!CX11+'Finance'!CX38</f>
        <v/>
      </c>
      <c r="CY10" s="11">
        <f>'Marketing'!CY28+'Sales'!CY24+'Customer Success'!CY33+'Engineering'!CY27-'Engineering'!CY11+'Finance'!CY38</f>
        <v/>
      </c>
      <c r="CZ10" s="10">
        <f>IF(COUNT('Marketing'!CZ28,'Sales'!CZ24,'Customer Success'!CZ33,'Engineering'!CZ27,'Finance'!CZ38,'Engineering'!CZ11)=6,'Marketing'!CZ28+'Sales'!CZ24+'Customer Success'!CZ33+'Engineering'!CZ27-'Engineering'!CZ11+'Finance'!CZ38,"")</f>
        <v/>
      </c>
      <c r="DA10" s="10">
        <f>'Marketing'!DA28+'Sales'!DA24+'Customer Success'!DA33+'Engineering'!DA27-'Engineering'!DA11+'Finance'!DA38</f>
        <v/>
      </c>
      <c r="DB10" s="10">
        <f>'Marketing'!DB28+'Sales'!DB24+'Customer Success'!DB33+'Engineering'!DB27-'Engineering'!DB11+'Finance'!DB38</f>
        <v/>
      </c>
      <c r="DC10" s="11">
        <f>IF(COUNT('Marketing'!DC28,'Sales'!DC24,'Customer Success'!DC33,'Engineering'!DC27,'Finance'!DC38,'Engineering'!DC11)=6,'Marketing'!DC28+'Sales'!DC24+'Customer Success'!DC33+'Engineering'!DC27-'Engineering'!DC11+'Finance'!DC38,"")</f>
        <v/>
      </c>
      <c r="DD10" s="11">
        <f>'Marketing'!DD28+'Sales'!DD24+'Customer Success'!DD33+'Engineering'!DD27-'Engineering'!DD11+'Finance'!DD38</f>
        <v/>
      </c>
      <c r="DE10" s="11">
        <f>'Marketing'!DE28+'Sales'!DE24+'Customer Success'!DE33+'Engineering'!DE27-'Engineering'!DE11+'Finance'!DE38</f>
        <v/>
      </c>
      <c r="DF10" s="10">
        <f>IF(COUNT('Marketing'!DF28,'Sales'!DF24,'Customer Success'!DF33,'Engineering'!DF27,'Finance'!DF38,'Engineering'!DF11)=6,'Marketing'!DF28+'Sales'!DF24+'Customer Success'!DF33+'Engineering'!DF27-'Engineering'!DF11+'Finance'!DF38,"")</f>
        <v/>
      </c>
      <c r="DG10" s="10">
        <f>'Marketing'!DG28+'Sales'!DG24+'Customer Success'!DG33+'Engineering'!DG27-'Engineering'!DG11+'Finance'!DG38</f>
        <v/>
      </c>
      <c r="DH10" s="10">
        <f>'Marketing'!DH28+'Sales'!DH24+'Customer Success'!DH33+'Engineering'!DH27-'Engineering'!DH11+'Finance'!DH38</f>
        <v/>
      </c>
      <c r="DI10" s="11">
        <f>IF(COUNT('Marketing'!DI28,'Sales'!DI24,'Customer Success'!DI33,'Engineering'!DI27,'Finance'!DI38,'Engineering'!DI11)=6,'Marketing'!DI28+'Sales'!DI24+'Customer Success'!DI33+'Engineering'!DI27-'Engineering'!DI11+'Finance'!DI38,"")</f>
        <v/>
      </c>
      <c r="DJ10" s="11">
        <f>'Marketing'!DJ28+'Sales'!DJ24+'Customer Success'!DJ33+'Engineering'!DJ27-'Engineering'!DJ11+'Finance'!DJ38</f>
        <v/>
      </c>
      <c r="DK10" s="11">
        <f>'Marketing'!DK28+'Sales'!DK24+'Customer Success'!DK33+'Engineering'!DK27-'Engineering'!DK11+'Finance'!DK38</f>
        <v/>
      </c>
      <c r="DL10" s="10">
        <f>IF(COUNT('Marketing'!DL28,'Sales'!DL24,'Customer Success'!DL33,'Engineering'!DL27,'Finance'!DL38,'Engineering'!DL11)=6,'Marketing'!DL28+'Sales'!DL24+'Customer Success'!DL33+'Engineering'!DL27-'Engineering'!DL11+'Finance'!DL38,"")</f>
        <v/>
      </c>
      <c r="DM10" s="10">
        <f>'Marketing'!DM28+'Sales'!DM24+'Customer Success'!DM33+'Engineering'!DM27-'Engineering'!DM11+'Finance'!DM38</f>
        <v/>
      </c>
      <c r="DN10" s="10">
        <f>'Marketing'!DN28+'Sales'!DN24+'Customer Success'!DN33+'Engineering'!DN27-'Engineering'!DN11+'Finance'!DN38</f>
        <v/>
      </c>
    </row>
    <row r="11">
      <c r="A11" s="2" t="inlineStr">
        <is>
          <t>Depreciation</t>
        </is>
      </c>
      <c r="B11" s="10">
        <f>IF(COUNT(AR11,AO11,AL11,AI11,AF11,AC11,Z11,W11,T11,Q11,N11,K11)=0,"",SUM(AR11,AO11,AL11,AI11,AF11,AC11,Z11,W11,T11,Q11,N11,K11))</f>
        <v/>
      </c>
      <c r="C11" s="10">
        <f>IF(COUNT(AS11,AP11,AM11,AJ11,AG11,AD11,AA11,X11,U11,R11,O11,L11)=0,"",SUM(AS11,AP11,AM11,AJ11,AG11,AD11,AA11,X11,U11,R11,O11,L11))</f>
        <v/>
      </c>
      <c r="D11" s="10">
        <f>IF(COUNT(AT11,AQ11,AN11,AK11,AH11,AE11,AB11,Y11,V11,S11,P11,M11)=0,"",SUM(AT11,AQ11,AN11,AK11,AH11,AE11,AB11,Y11,V11,S11,P11,M11))</f>
        <v/>
      </c>
      <c r="E11" s="11">
        <f>IF(COUNT(CB11,BY11,BV11,BS11,BP11,BM11,BJ11,BG11,BD11,BA11,AX11,AU11)=0,"",SUM(CB11,BY11,BV11,BS11,BP11,BM11,BJ11,BG11,BD11,BA11,AX11,AU11))</f>
        <v/>
      </c>
      <c r="F11" s="11">
        <f>IF(COUNT(CC11,BZ11,BW11,BT11,BQ11,BN11,BK11,BH11,BE11,BB11,AY11,AV11)=0,"",SUM(CC11,BZ11,BW11,BT11,BQ11,BN11,BK11,BH11,BE11,BB11,AY11,AV11))</f>
        <v/>
      </c>
      <c r="G11" s="11">
        <f>IF(COUNT(CD11,CA11,BX11,BU11,BR11,BO11,BL11,BI11,BF11,BC11,AZ11,AW11)=0,"",SUM(CD11,CA11,BX11,BU11,BR11,BO11,BL11,BI11,BF11,BC11,AZ11,AW11))</f>
        <v/>
      </c>
      <c r="H11" s="10">
        <f>IF(COUNT(DL11,DI11,DF11,DC11,CZ11,CW11,CT11,CQ11,CN11,CK11,CH11,CE11)=0,"",SUM(DL11,DI11,DF11,DC11,CZ11,CW11,CT11,CQ11,CN11,CK11,CH11,CE11))</f>
        <v/>
      </c>
      <c r="I11" s="10">
        <f>IF(COUNT(DM11,DJ11,DG11,DD11,DA11,CX11,CU11,CR11,CO11,CL11,CI11,CF11)=0,"",SUM(DM11,DJ11,DG11,DD11,DA11,CX11,CU11,CR11,CO11,CL11,CI11,CF11))</f>
        <v/>
      </c>
      <c r="J11" s="10">
        <f>IF(COUNT(DN11,DK11,DH11,DE11,DB11,CY11,CV11,CS11,CP11,CM11,CJ11,CG11)=0,"",SUM(DN11,DK11,DH11,DE11,DB11,CY11,CV11,CS11,CP11,CM11,CJ11,CG11))</f>
        <v/>
      </c>
      <c r="K11" s="11">
        <f>IF(COUNT('Finance'!K20)=1,'Finance'!K20,"")</f>
        <v/>
      </c>
      <c r="L11" s="11">
        <f>'Finance'!L20</f>
        <v/>
      </c>
      <c r="M11" s="11">
        <f>'Finance'!M20</f>
        <v/>
      </c>
      <c r="N11" s="10">
        <f>IF(COUNT('Finance'!N20)=1,'Finance'!N20,"")</f>
        <v/>
      </c>
      <c r="O11" s="10">
        <f>'Finance'!O20</f>
        <v/>
      </c>
      <c r="P11" s="10">
        <f>'Finance'!P20</f>
        <v/>
      </c>
      <c r="Q11" s="11">
        <f>IF(COUNT('Finance'!Q20)=1,'Finance'!Q20,"")</f>
        <v/>
      </c>
      <c r="R11" s="11">
        <f>'Finance'!R20</f>
        <v/>
      </c>
      <c r="S11" s="11">
        <f>'Finance'!S20</f>
        <v/>
      </c>
      <c r="T11" s="10">
        <f>IF(COUNT('Finance'!T20)=1,'Finance'!T20,"")</f>
        <v/>
      </c>
      <c r="U11" s="10">
        <f>'Finance'!U20</f>
        <v/>
      </c>
      <c r="V11" s="10">
        <f>'Finance'!V20</f>
        <v/>
      </c>
      <c r="W11" s="11">
        <f>IF(COUNT('Finance'!W20)=1,'Finance'!W20,"")</f>
        <v/>
      </c>
      <c r="X11" s="11">
        <f>'Finance'!X20</f>
        <v/>
      </c>
      <c r="Y11" s="11">
        <f>'Finance'!Y20</f>
        <v/>
      </c>
      <c r="Z11" s="10">
        <f>IF(COUNT('Finance'!Z20)=1,'Finance'!Z20,"")</f>
        <v/>
      </c>
      <c r="AA11" s="10">
        <f>'Finance'!AA20</f>
        <v/>
      </c>
      <c r="AB11" s="10">
        <f>'Finance'!AB20</f>
        <v/>
      </c>
      <c r="AC11" s="11">
        <f>IF(COUNT('Finance'!AC20)=1,'Finance'!AC20,"")</f>
        <v/>
      </c>
      <c r="AD11" s="11">
        <f>'Finance'!AD20</f>
        <v/>
      </c>
      <c r="AE11" s="11">
        <f>'Finance'!AE20</f>
        <v/>
      </c>
      <c r="AF11" s="10">
        <f>IF(COUNT('Finance'!AF20)=1,'Finance'!AF20,"")</f>
        <v/>
      </c>
      <c r="AG11" s="10">
        <f>'Finance'!AG20</f>
        <v/>
      </c>
      <c r="AH11" s="10">
        <f>'Finance'!AH20</f>
        <v/>
      </c>
      <c r="AI11" s="11">
        <f>IF(COUNT('Finance'!AI20)=1,'Finance'!AI20,"")</f>
        <v/>
      </c>
      <c r="AJ11" s="11">
        <f>'Finance'!AJ20</f>
        <v/>
      </c>
      <c r="AK11" s="11">
        <f>'Finance'!AK20</f>
        <v/>
      </c>
      <c r="AL11" s="10">
        <f>IF(COUNT('Finance'!AL20)=1,'Finance'!AL20,"")</f>
        <v/>
      </c>
      <c r="AM11" s="10">
        <f>'Finance'!AM20</f>
        <v/>
      </c>
      <c r="AN11" s="10">
        <f>'Finance'!AN20</f>
        <v/>
      </c>
      <c r="AO11" s="11">
        <f>IF(COUNT('Finance'!AO20)=1,'Finance'!AO20,"")</f>
        <v/>
      </c>
      <c r="AP11" s="11">
        <f>'Finance'!AP20</f>
        <v/>
      </c>
      <c r="AQ11" s="11">
        <f>'Finance'!AQ20</f>
        <v/>
      </c>
      <c r="AR11" s="10">
        <f>IF(COUNT('Finance'!AR20)=1,'Finance'!AR20,"")</f>
        <v/>
      </c>
      <c r="AS11" s="10">
        <f>'Finance'!AS20</f>
        <v/>
      </c>
      <c r="AT11" s="10">
        <f>'Finance'!AT20</f>
        <v/>
      </c>
      <c r="AU11" s="11">
        <f>IF(COUNT('Finance'!AU20)=1,'Finance'!AU20,"")</f>
        <v/>
      </c>
      <c r="AV11" s="11">
        <f>'Finance'!AV20</f>
        <v/>
      </c>
      <c r="AW11" s="11">
        <f>'Finance'!AW20</f>
        <v/>
      </c>
      <c r="AX11" s="10">
        <f>IF(COUNT('Finance'!AX20)=1,'Finance'!AX20,"")</f>
        <v/>
      </c>
      <c r="AY11" s="10">
        <f>'Finance'!AY20</f>
        <v/>
      </c>
      <c r="AZ11" s="10">
        <f>'Finance'!AZ20</f>
        <v/>
      </c>
      <c r="BA11" s="11">
        <f>IF(COUNT('Finance'!BA20)=1,'Finance'!BA20,"")</f>
        <v/>
      </c>
      <c r="BB11" s="11">
        <f>'Finance'!BB20</f>
        <v/>
      </c>
      <c r="BC11" s="11">
        <f>'Finance'!BC20</f>
        <v/>
      </c>
      <c r="BD11" s="10">
        <f>IF(COUNT('Finance'!BD20)=1,'Finance'!BD20,"")</f>
        <v/>
      </c>
      <c r="BE11" s="10">
        <f>'Finance'!BE20</f>
        <v/>
      </c>
      <c r="BF11" s="10">
        <f>'Finance'!BF20</f>
        <v/>
      </c>
      <c r="BG11" s="11">
        <f>IF(COUNT('Finance'!BG20)=1,'Finance'!BG20,"")</f>
        <v/>
      </c>
      <c r="BH11" s="11">
        <f>'Finance'!BH20</f>
        <v/>
      </c>
      <c r="BI11" s="11">
        <f>'Finance'!BI20</f>
        <v/>
      </c>
      <c r="BJ11" s="10">
        <f>IF(COUNT('Finance'!BJ20)=1,'Finance'!BJ20,"")</f>
        <v/>
      </c>
      <c r="BK11" s="10">
        <f>'Finance'!BK20</f>
        <v/>
      </c>
      <c r="BL11" s="10">
        <f>'Finance'!BL20</f>
        <v/>
      </c>
      <c r="BM11" s="11">
        <f>IF(COUNT('Finance'!BM20)=1,'Finance'!BM20,"")</f>
        <v/>
      </c>
      <c r="BN11" s="11">
        <f>'Finance'!BN20</f>
        <v/>
      </c>
      <c r="BO11" s="11">
        <f>'Finance'!BO20</f>
        <v/>
      </c>
      <c r="BP11" s="10">
        <f>IF(COUNT('Finance'!BP20)=1,'Finance'!BP20,"")</f>
        <v/>
      </c>
      <c r="BQ11" s="10">
        <f>'Finance'!BQ20</f>
        <v/>
      </c>
      <c r="BR11" s="10">
        <f>'Finance'!BR20</f>
        <v/>
      </c>
      <c r="BS11" s="11">
        <f>IF(COUNT('Finance'!BS20)=1,'Finance'!BS20,"")</f>
        <v/>
      </c>
      <c r="BT11" s="11">
        <f>'Finance'!BT20</f>
        <v/>
      </c>
      <c r="BU11" s="11">
        <f>'Finance'!BU20</f>
        <v/>
      </c>
      <c r="BV11" s="10">
        <f>IF(COUNT('Finance'!BV20)=1,'Finance'!BV20,"")</f>
        <v/>
      </c>
      <c r="BW11" s="10">
        <f>'Finance'!BW20</f>
        <v/>
      </c>
      <c r="BX11" s="10">
        <f>'Finance'!BX20</f>
        <v/>
      </c>
      <c r="BY11" s="11">
        <f>IF(COUNT('Finance'!BY20)=1,'Finance'!BY20,"")</f>
        <v/>
      </c>
      <c r="BZ11" s="11">
        <f>'Finance'!BZ20</f>
        <v/>
      </c>
      <c r="CA11" s="11">
        <f>'Finance'!CA20</f>
        <v/>
      </c>
      <c r="CB11" s="10">
        <f>IF(COUNT('Finance'!CB20)=1,'Finance'!CB20,"")</f>
        <v/>
      </c>
      <c r="CC11" s="10">
        <f>'Finance'!CC20</f>
        <v/>
      </c>
      <c r="CD11" s="10">
        <f>'Finance'!CD20</f>
        <v/>
      </c>
      <c r="CE11" s="11">
        <f>IF(COUNT('Finance'!CE20)=1,'Finance'!CE20,"")</f>
        <v/>
      </c>
      <c r="CF11" s="11">
        <f>'Finance'!CF20</f>
        <v/>
      </c>
      <c r="CG11" s="11">
        <f>'Finance'!CG20</f>
        <v/>
      </c>
      <c r="CH11" s="10">
        <f>IF(COUNT('Finance'!CH20)=1,'Finance'!CH20,"")</f>
        <v/>
      </c>
      <c r="CI11" s="10">
        <f>'Finance'!CI20</f>
        <v/>
      </c>
      <c r="CJ11" s="10">
        <f>'Finance'!CJ20</f>
        <v/>
      </c>
      <c r="CK11" s="11">
        <f>IF(COUNT('Finance'!CK20)=1,'Finance'!CK20,"")</f>
        <v/>
      </c>
      <c r="CL11" s="11">
        <f>'Finance'!CL20</f>
        <v/>
      </c>
      <c r="CM11" s="11">
        <f>'Finance'!CM20</f>
        <v/>
      </c>
      <c r="CN11" s="10">
        <f>IF(COUNT('Finance'!CN20)=1,'Finance'!CN20,"")</f>
        <v/>
      </c>
      <c r="CO11" s="10">
        <f>'Finance'!CO20</f>
        <v/>
      </c>
      <c r="CP11" s="10">
        <f>'Finance'!CP20</f>
        <v/>
      </c>
      <c r="CQ11" s="11">
        <f>IF(COUNT('Finance'!CQ20)=1,'Finance'!CQ20,"")</f>
        <v/>
      </c>
      <c r="CR11" s="11">
        <f>'Finance'!CR20</f>
        <v/>
      </c>
      <c r="CS11" s="11">
        <f>'Finance'!CS20</f>
        <v/>
      </c>
      <c r="CT11" s="10">
        <f>IF(COUNT('Finance'!CT20)=1,'Finance'!CT20,"")</f>
        <v/>
      </c>
      <c r="CU11" s="10">
        <f>'Finance'!CU20</f>
        <v/>
      </c>
      <c r="CV11" s="10">
        <f>'Finance'!CV20</f>
        <v/>
      </c>
      <c r="CW11" s="11">
        <f>IF(COUNT('Finance'!CW20)=1,'Finance'!CW20,"")</f>
        <v/>
      </c>
      <c r="CX11" s="11">
        <f>'Finance'!CX20</f>
        <v/>
      </c>
      <c r="CY11" s="11">
        <f>'Finance'!CY20</f>
        <v/>
      </c>
      <c r="CZ11" s="10">
        <f>IF(COUNT('Finance'!CZ20)=1,'Finance'!CZ20,"")</f>
        <v/>
      </c>
      <c r="DA11" s="10">
        <f>'Finance'!DA20</f>
        <v/>
      </c>
      <c r="DB11" s="10">
        <f>'Finance'!DB20</f>
        <v/>
      </c>
      <c r="DC11" s="11">
        <f>IF(COUNT('Finance'!DC20)=1,'Finance'!DC20,"")</f>
        <v/>
      </c>
      <c r="DD11" s="11">
        <f>'Finance'!DD20</f>
        <v/>
      </c>
      <c r="DE11" s="11">
        <f>'Finance'!DE20</f>
        <v/>
      </c>
      <c r="DF11" s="10">
        <f>IF(COUNT('Finance'!DF20)=1,'Finance'!DF20,"")</f>
        <v/>
      </c>
      <c r="DG11" s="10">
        <f>'Finance'!DG20</f>
        <v/>
      </c>
      <c r="DH11" s="10">
        <f>'Finance'!DH20</f>
        <v/>
      </c>
      <c r="DI11" s="11">
        <f>IF(COUNT('Finance'!DI20)=1,'Finance'!DI20,"")</f>
        <v/>
      </c>
      <c r="DJ11" s="11">
        <f>'Finance'!DJ20</f>
        <v/>
      </c>
      <c r="DK11" s="11">
        <f>'Finance'!DK20</f>
        <v/>
      </c>
      <c r="DL11" s="10">
        <f>IF(COUNT('Finance'!DL20)=1,'Finance'!DL20,"")</f>
        <v/>
      </c>
      <c r="DM11" s="10">
        <f>'Finance'!DM20</f>
        <v/>
      </c>
      <c r="DN11" s="10">
        <f>'Finance'!DN20</f>
        <v/>
      </c>
    </row>
    <row r="12">
      <c r="A12" s="2" t="inlineStr">
        <is>
          <t>Operating Profit</t>
        </is>
      </c>
      <c r="B12" s="10">
        <f>IF(COUNT(B8,B10)&lt;2,"",B8-B10-N(B11))</f>
        <v/>
      </c>
      <c r="C12" s="10">
        <f>IF(COUNT(C8,C10)&lt;2,"",C8-C10-N(C11))</f>
        <v/>
      </c>
      <c r="D12" s="10">
        <f>IF(COUNT(D8,D10)&lt;2,"",D8-D10-N(D11))</f>
        <v/>
      </c>
      <c r="E12" s="11">
        <f>IF(COUNT(E8,E10)&lt;2,"",E8-E10-N(E11))</f>
        <v/>
      </c>
      <c r="F12" s="11">
        <f>IF(COUNT(F8,F10)&lt;2,"",F8-F10-N(F11))</f>
        <v/>
      </c>
      <c r="G12" s="11">
        <f>IF(COUNT(G8,G10)&lt;2,"",G8-G10-N(G11))</f>
        <v/>
      </c>
      <c r="H12" s="10">
        <f>IF(COUNT(H8,H10)&lt;2,"",H8-H10-N(H11))</f>
        <v/>
      </c>
      <c r="I12" s="10">
        <f>IF(COUNT(I8,I10)&lt;2,"",I8-I10-N(I11))</f>
        <v/>
      </c>
      <c r="J12" s="10">
        <f>IF(COUNT(J8,J10)&lt;2,"",J8-J10-N(J11))</f>
        <v/>
      </c>
      <c r="K12" s="11">
        <f>IF(COUNT(K8,K10,K11)=3,K8-K10-K11,"")</f>
        <v/>
      </c>
      <c r="L12" s="11">
        <f>L8-L10-L11</f>
        <v/>
      </c>
      <c r="M12" s="11">
        <f>M8-M10-M11</f>
        <v/>
      </c>
      <c r="N12" s="10">
        <f>IF(COUNT(N8,N10,N11)=3,N8-N10-N11,"")</f>
        <v/>
      </c>
      <c r="O12" s="10">
        <f>O8-O10-O11</f>
        <v/>
      </c>
      <c r="P12" s="10">
        <f>P8-P10-P11</f>
        <v/>
      </c>
      <c r="Q12" s="11">
        <f>IF(COUNT(Q8,Q10,Q11)=3,Q8-Q10-Q11,"")</f>
        <v/>
      </c>
      <c r="R12" s="11">
        <f>R8-R10-R11</f>
        <v/>
      </c>
      <c r="S12" s="11">
        <f>S8-S10-S11</f>
        <v/>
      </c>
      <c r="T12" s="10">
        <f>IF(COUNT(T8,T10,T11)=3,T8-T10-T11,"")</f>
        <v/>
      </c>
      <c r="U12" s="10">
        <f>U8-U10-U11</f>
        <v/>
      </c>
      <c r="V12" s="10">
        <f>V8-V10-V11</f>
        <v/>
      </c>
      <c r="W12" s="11">
        <f>IF(COUNT(W8,W10,W11)=3,W8-W10-W11,"")</f>
        <v/>
      </c>
      <c r="X12" s="11">
        <f>X8-X10-X11</f>
        <v/>
      </c>
      <c r="Y12" s="11">
        <f>Y8-Y10-Y11</f>
        <v/>
      </c>
      <c r="Z12" s="10">
        <f>IF(COUNT(Z8,Z10,Z11)=3,Z8-Z10-Z11,"")</f>
        <v/>
      </c>
      <c r="AA12" s="10">
        <f>AA8-AA10-AA11</f>
        <v/>
      </c>
      <c r="AB12" s="10">
        <f>AB8-AB10-AB11</f>
        <v/>
      </c>
      <c r="AC12" s="11">
        <f>IF(COUNT(AC8,AC10,AC11)=3,AC8-AC10-AC11,"")</f>
        <v/>
      </c>
      <c r="AD12" s="11">
        <f>AD8-AD10-AD11</f>
        <v/>
      </c>
      <c r="AE12" s="11">
        <f>AE8-AE10-AE11</f>
        <v/>
      </c>
      <c r="AF12" s="10">
        <f>IF(COUNT(AF8,AF10,AF11)=3,AF8-AF10-AF11,"")</f>
        <v/>
      </c>
      <c r="AG12" s="10">
        <f>AG8-AG10-AG11</f>
        <v/>
      </c>
      <c r="AH12" s="10">
        <f>AH8-AH10-AH11</f>
        <v/>
      </c>
      <c r="AI12" s="11">
        <f>IF(COUNT(AI8,AI10,AI11)=3,AI8-AI10-AI11,"")</f>
        <v/>
      </c>
      <c r="AJ12" s="11">
        <f>AJ8-AJ10-AJ11</f>
        <v/>
      </c>
      <c r="AK12" s="11">
        <f>AK8-AK10-AK11</f>
        <v/>
      </c>
      <c r="AL12" s="10">
        <f>IF(COUNT(AL8,AL10,AL11)=3,AL8-AL10-AL11,"")</f>
        <v/>
      </c>
      <c r="AM12" s="10">
        <f>AM8-AM10-AM11</f>
        <v/>
      </c>
      <c r="AN12" s="10">
        <f>AN8-AN10-AN11</f>
        <v/>
      </c>
      <c r="AO12" s="11">
        <f>IF(COUNT(AO8,AO10,AO11)=3,AO8-AO10-AO11,"")</f>
        <v/>
      </c>
      <c r="AP12" s="11">
        <f>AP8-AP10-AP11</f>
        <v/>
      </c>
      <c r="AQ12" s="11">
        <f>AQ8-AQ10-AQ11</f>
        <v/>
      </c>
      <c r="AR12" s="10">
        <f>IF(COUNT(AR8,AR10,AR11)=3,AR8-AR10-AR11,"")</f>
        <v/>
      </c>
      <c r="AS12" s="10">
        <f>AS8-AS10-AS11</f>
        <v/>
      </c>
      <c r="AT12" s="10">
        <f>AT8-AT10-AT11</f>
        <v/>
      </c>
      <c r="AU12" s="11">
        <f>IF(COUNT(AU8,AU10,AU11)=3,AU8-AU10-AU11,"")</f>
        <v/>
      </c>
      <c r="AV12" s="11">
        <f>AV8-AV10-AV11</f>
        <v/>
      </c>
      <c r="AW12" s="11">
        <f>AW8-AW10-AW11</f>
        <v/>
      </c>
      <c r="AX12" s="10">
        <f>IF(COUNT(AX8,AX10,AX11)=3,AX8-AX10-AX11,"")</f>
        <v/>
      </c>
      <c r="AY12" s="10">
        <f>AY8-AY10-AY11</f>
        <v/>
      </c>
      <c r="AZ12" s="10">
        <f>AZ8-AZ10-AZ11</f>
        <v/>
      </c>
      <c r="BA12" s="11">
        <f>IF(COUNT(BA8,BA10,BA11)=3,BA8-BA10-BA11,"")</f>
        <v/>
      </c>
      <c r="BB12" s="11">
        <f>BB8-BB10-BB11</f>
        <v/>
      </c>
      <c r="BC12" s="11">
        <f>BC8-BC10-BC11</f>
        <v/>
      </c>
      <c r="BD12" s="10">
        <f>IF(COUNT(BD8,BD10,BD11)=3,BD8-BD10-BD11,"")</f>
        <v/>
      </c>
      <c r="BE12" s="10">
        <f>BE8-BE10-BE11</f>
        <v/>
      </c>
      <c r="BF12" s="10">
        <f>BF8-BF10-BF11</f>
        <v/>
      </c>
      <c r="BG12" s="11">
        <f>IF(COUNT(BG8,BG10,BG11)=3,BG8-BG10-BG11,"")</f>
        <v/>
      </c>
      <c r="BH12" s="11">
        <f>BH8-BH10-BH11</f>
        <v/>
      </c>
      <c r="BI12" s="11">
        <f>BI8-BI10-BI11</f>
        <v/>
      </c>
      <c r="BJ12" s="10">
        <f>IF(COUNT(BJ8,BJ10,BJ11)=3,BJ8-BJ10-BJ11,"")</f>
        <v/>
      </c>
      <c r="BK12" s="10">
        <f>BK8-BK10-BK11</f>
        <v/>
      </c>
      <c r="BL12" s="10">
        <f>BL8-BL10-BL11</f>
        <v/>
      </c>
      <c r="BM12" s="11">
        <f>IF(COUNT(BM8,BM10,BM11)=3,BM8-BM10-BM11,"")</f>
        <v/>
      </c>
      <c r="BN12" s="11">
        <f>BN8-BN10-BN11</f>
        <v/>
      </c>
      <c r="BO12" s="11">
        <f>BO8-BO10-BO11</f>
        <v/>
      </c>
      <c r="BP12" s="10">
        <f>IF(COUNT(BP8,BP10,BP11)=3,BP8-BP10-BP11,"")</f>
        <v/>
      </c>
      <c r="BQ12" s="10">
        <f>BQ8-BQ10-BQ11</f>
        <v/>
      </c>
      <c r="BR12" s="10">
        <f>BR8-BR10-BR11</f>
        <v/>
      </c>
      <c r="BS12" s="11">
        <f>IF(COUNT(BS8,BS10,BS11)=3,BS8-BS10-BS11,"")</f>
        <v/>
      </c>
      <c r="BT12" s="11">
        <f>BT8-BT10-BT11</f>
        <v/>
      </c>
      <c r="BU12" s="11">
        <f>BU8-BU10-BU11</f>
        <v/>
      </c>
      <c r="BV12" s="10">
        <f>IF(COUNT(BV8,BV10,BV11)=3,BV8-BV10-BV11,"")</f>
        <v/>
      </c>
      <c r="BW12" s="10">
        <f>BW8-BW10-BW11</f>
        <v/>
      </c>
      <c r="BX12" s="10">
        <f>BX8-BX10-BX11</f>
        <v/>
      </c>
      <c r="BY12" s="11">
        <f>IF(COUNT(BY8,BY10,BY11)=3,BY8-BY10-BY11,"")</f>
        <v/>
      </c>
      <c r="BZ12" s="11">
        <f>BZ8-BZ10-BZ11</f>
        <v/>
      </c>
      <c r="CA12" s="11">
        <f>CA8-CA10-CA11</f>
        <v/>
      </c>
      <c r="CB12" s="10">
        <f>IF(COUNT(CB8,CB10,CB11)=3,CB8-CB10-CB11,"")</f>
        <v/>
      </c>
      <c r="CC12" s="10">
        <f>CC8-CC10-CC11</f>
        <v/>
      </c>
      <c r="CD12" s="10">
        <f>CD8-CD10-CD11</f>
        <v/>
      </c>
      <c r="CE12" s="11">
        <f>IF(COUNT(CE8,CE10,CE11)=3,CE8-CE10-CE11,"")</f>
        <v/>
      </c>
      <c r="CF12" s="11">
        <f>CF8-CF10-CF11</f>
        <v/>
      </c>
      <c r="CG12" s="11">
        <f>CG8-CG10-CG11</f>
        <v/>
      </c>
      <c r="CH12" s="10">
        <f>IF(COUNT(CH8,CH10,CH11)=3,CH8-CH10-CH11,"")</f>
        <v/>
      </c>
      <c r="CI12" s="10">
        <f>CI8-CI10-CI11</f>
        <v/>
      </c>
      <c r="CJ12" s="10">
        <f>CJ8-CJ10-CJ11</f>
        <v/>
      </c>
      <c r="CK12" s="11">
        <f>IF(COUNT(CK8,CK10,CK11)=3,CK8-CK10-CK11,"")</f>
        <v/>
      </c>
      <c r="CL12" s="11">
        <f>CL8-CL10-CL11</f>
        <v/>
      </c>
      <c r="CM12" s="11">
        <f>CM8-CM10-CM11</f>
        <v/>
      </c>
      <c r="CN12" s="10">
        <f>IF(COUNT(CN8,CN10,CN11)=3,CN8-CN10-CN11,"")</f>
        <v/>
      </c>
      <c r="CO12" s="10">
        <f>CO8-CO10-CO11</f>
        <v/>
      </c>
      <c r="CP12" s="10">
        <f>CP8-CP10-CP11</f>
        <v/>
      </c>
      <c r="CQ12" s="11">
        <f>IF(COUNT(CQ8,CQ10,CQ11)=3,CQ8-CQ10-CQ11,"")</f>
        <v/>
      </c>
      <c r="CR12" s="11">
        <f>CR8-CR10-CR11</f>
        <v/>
      </c>
      <c r="CS12" s="11">
        <f>CS8-CS10-CS11</f>
        <v/>
      </c>
      <c r="CT12" s="10">
        <f>IF(COUNT(CT8,CT10,CT11)=3,CT8-CT10-CT11,"")</f>
        <v/>
      </c>
      <c r="CU12" s="10">
        <f>CU8-CU10-CU11</f>
        <v/>
      </c>
      <c r="CV12" s="10">
        <f>CV8-CV10-CV11</f>
        <v/>
      </c>
      <c r="CW12" s="11">
        <f>IF(COUNT(CW8,CW10,CW11)=3,CW8-CW10-CW11,"")</f>
        <v/>
      </c>
      <c r="CX12" s="11">
        <f>CX8-CX10-CX11</f>
        <v/>
      </c>
      <c r="CY12" s="11">
        <f>CY8-CY10-CY11</f>
        <v/>
      </c>
      <c r="CZ12" s="10">
        <f>IF(COUNT(CZ8,CZ10,CZ11)=3,CZ8-CZ10-CZ11,"")</f>
        <v/>
      </c>
      <c r="DA12" s="10">
        <f>DA8-DA10-DA11</f>
        <v/>
      </c>
      <c r="DB12" s="10">
        <f>DB8-DB10-DB11</f>
        <v/>
      </c>
      <c r="DC12" s="11">
        <f>IF(COUNT(DC8,DC10,DC11)=3,DC8-DC10-DC11,"")</f>
        <v/>
      </c>
      <c r="DD12" s="11">
        <f>DD8-DD10-DD11</f>
        <v/>
      </c>
      <c r="DE12" s="11">
        <f>DE8-DE10-DE11</f>
        <v/>
      </c>
      <c r="DF12" s="10">
        <f>IF(COUNT(DF8,DF10,DF11)=3,DF8-DF10-DF11,"")</f>
        <v/>
      </c>
      <c r="DG12" s="10">
        <f>DG8-DG10-DG11</f>
        <v/>
      </c>
      <c r="DH12" s="10">
        <f>DH8-DH10-DH11</f>
        <v/>
      </c>
      <c r="DI12" s="11">
        <f>IF(COUNT(DI8,DI10,DI11)=3,DI8-DI10-DI11,"")</f>
        <v/>
      </c>
      <c r="DJ12" s="11">
        <f>DJ8-DJ10-DJ11</f>
        <v/>
      </c>
      <c r="DK12" s="11">
        <f>DK8-DK10-DK11</f>
        <v/>
      </c>
      <c r="DL12" s="10">
        <f>IF(COUNT(DL8,DL10,DL11)=3,DL8-DL10-DL11,"")</f>
        <v/>
      </c>
      <c r="DM12" s="10">
        <f>DM8-DM10-DM11</f>
        <v/>
      </c>
      <c r="DN12" s="10">
        <f>DN8-DN10-DN11</f>
        <v/>
      </c>
    </row>
    <row r="13">
      <c r="A13" s="18" t="inlineStr">
        <is>
          <t>Operating Margin</t>
        </is>
      </c>
      <c r="B13" s="19">
        <f>IF(N(B7)=0,"",B12/B7)</f>
        <v/>
      </c>
      <c r="C13" s="19">
        <f>IF(N(C7)=0,"",C12/C7)</f>
        <v/>
      </c>
      <c r="D13" s="19">
        <f>IF(N(D7)=0,"",D12/D7)</f>
        <v/>
      </c>
      <c r="E13" s="20">
        <f>IF(N(E7)=0,"",E12/E7)</f>
        <v/>
      </c>
      <c r="F13" s="20">
        <f>IF(N(F7)=0,"",F12/F7)</f>
        <v/>
      </c>
      <c r="G13" s="20">
        <f>IF(N(G7)=0,"",G12/G7)</f>
        <v/>
      </c>
      <c r="H13" s="19">
        <f>IF(N(H7)=0,"",H12/H7)</f>
        <v/>
      </c>
      <c r="I13" s="19">
        <f>IF(N(I7)=0,"",I12/I7)</f>
        <v/>
      </c>
      <c r="J13" s="19">
        <f>IF(N(J7)=0,"",J12/J7)</f>
        <v/>
      </c>
      <c r="K13" s="20">
        <f>IF(COUNT(K7,K12)=2,IF(K7=0,"",K12/K7),"")</f>
        <v/>
      </c>
      <c r="L13" s="20">
        <f>IF(L7=0,"",L12/L7)</f>
        <v/>
      </c>
      <c r="M13" s="20">
        <f>IF(M7=0,"",M12/M7)</f>
        <v/>
      </c>
      <c r="N13" s="19">
        <f>IF(COUNT(N7,N12)=2,IF(N7=0,"",N12/N7),"")</f>
        <v/>
      </c>
      <c r="O13" s="19">
        <f>IF(O7=0,"",O12/O7)</f>
        <v/>
      </c>
      <c r="P13" s="19">
        <f>IF(P7=0,"",P12/P7)</f>
        <v/>
      </c>
      <c r="Q13" s="20">
        <f>IF(COUNT(Q7,Q12)=2,IF(Q7=0,"",Q12/Q7),"")</f>
        <v/>
      </c>
      <c r="R13" s="20">
        <f>IF(R7=0,"",R12/R7)</f>
        <v/>
      </c>
      <c r="S13" s="20">
        <f>IF(S7=0,"",S12/S7)</f>
        <v/>
      </c>
      <c r="T13" s="19">
        <f>IF(COUNT(T7,T12)=2,IF(T7=0,"",T12/T7),"")</f>
        <v/>
      </c>
      <c r="U13" s="19">
        <f>IF(U7=0,"",U12/U7)</f>
        <v/>
      </c>
      <c r="V13" s="19">
        <f>IF(V7=0,"",V12/V7)</f>
        <v/>
      </c>
      <c r="W13" s="20">
        <f>IF(COUNT(W7,W12)=2,IF(W7=0,"",W12/W7),"")</f>
        <v/>
      </c>
      <c r="X13" s="20">
        <f>IF(X7=0,"",X12/X7)</f>
        <v/>
      </c>
      <c r="Y13" s="20">
        <f>IF(Y7=0,"",Y12/Y7)</f>
        <v/>
      </c>
      <c r="Z13" s="19">
        <f>IF(COUNT(Z7,Z12)=2,IF(Z7=0,"",Z12/Z7),"")</f>
        <v/>
      </c>
      <c r="AA13" s="19">
        <f>IF(AA7=0,"",AA12/AA7)</f>
        <v/>
      </c>
      <c r="AB13" s="19">
        <f>IF(AB7=0,"",AB12/AB7)</f>
        <v/>
      </c>
      <c r="AC13" s="20">
        <f>IF(COUNT(AC7,AC12)=2,IF(AC7=0,"",AC12/AC7),"")</f>
        <v/>
      </c>
      <c r="AD13" s="20">
        <f>IF(AD7=0,"",AD12/AD7)</f>
        <v/>
      </c>
      <c r="AE13" s="20">
        <f>IF(AE7=0,"",AE12/AE7)</f>
        <v/>
      </c>
      <c r="AF13" s="19">
        <f>IF(COUNT(AF7,AF12)=2,IF(AF7=0,"",AF12/AF7),"")</f>
        <v/>
      </c>
      <c r="AG13" s="19">
        <f>IF(AG7=0,"",AG12/AG7)</f>
        <v/>
      </c>
      <c r="AH13" s="19">
        <f>IF(AH7=0,"",AH12/AH7)</f>
        <v/>
      </c>
      <c r="AI13" s="20">
        <f>IF(COUNT(AI7,AI12)=2,IF(AI7=0,"",AI12/AI7),"")</f>
        <v/>
      </c>
      <c r="AJ13" s="20">
        <f>IF(AJ7=0,"",AJ12/AJ7)</f>
        <v/>
      </c>
      <c r="AK13" s="20">
        <f>IF(AK7=0,"",AK12/AK7)</f>
        <v/>
      </c>
      <c r="AL13" s="19">
        <f>IF(COUNT(AL7,AL12)=2,IF(AL7=0,"",AL12/AL7),"")</f>
        <v/>
      </c>
      <c r="AM13" s="19">
        <f>IF(AM7=0,"",AM12/AM7)</f>
        <v/>
      </c>
      <c r="AN13" s="19">
        <f>IF(AN7=0,"",AN12/AN7)</f>
        <v/>
      </c>
      <c r="AO13" s="20">
        <f>IF(COUNT(AO7,AO12)=2,IF(AO7=0,"",AO12/AO7),"")</f>
        <v/>
      </c>
      <c r="AP13" s="20">
        <f>IF(AP7=0,"",AP12/AP7)</f>
        <v/>
      </c>
      <c r="AQ13" s="20">
        <f>IF(AQ7=0,"",AQ12/AQ7)</f>
        <v/>
      </c>
      <c r="AR13" s="19">
        <f>IF(COUNT(AR7,AR12)=2,IF(AR7=0,"",AR12/AR7),"")</f>
        <v/>
      </c>
      <c r="AS13" s="19">
        <f>IF(AS7=0,"",AS12/AS7)</f>
        <v/>
      </c>
      <c r="AT13" s="19">
        <f>IF(AT7=0,"",AT12/AT7)</f>
        <v/>
      </c>
      <c r="AU13" s="20">
        <f>IF(COUNT(AU7,AU12)=2,IF(AU7=0,"",AU12/AU7),"")</f>
        <v/>
      </c>
      <c r="AV13" s="20">
        <f>IF(AV7=0,"",AV12/AV7)</f>
        <v/>
      </c>
      <c r="AW13" s="20">
        <f>IF(AW7=0,"",AW12/AW7)</f>
        <v/>
      </c>
      <c r="AX13" s="19">
        <f>IF(COUNT(AX7,AX12)=2,IF(AX7=0,"",AX12/AX7),"")</f>
        <v/>
      </c>
      <c r="AY13" s="19">
        <f>IF(AY7=0,"",AY12/AY7)</f>
        <v/>
      </c>
      <c r="AZ13" s="19">
        <f>IF(AZ7=0,"",AZ12/AZ7)</f>
        <v/>
      </c>
      <c r="BA13" s="20">
        <f>IF(COUNT(BA7,BA12)=2,IF(BA7=0,"",BA12/BA7),"")</f>
        <v/>
      </c>
      <c r="BB13" s="20">
        <f>IF(BB7=0,"",BB12/BB7)</f>
        <v/>
      </c>
      <c r="BC13" s="20">
        <f>IF(BC7=0,"",BC12/BC7)</f>
        <v/>
      </c>
      <c r="BD13" s="19">
        <f>IF(COUNT(BD7,BD12)=2,IF(BD7=0,"",BD12/BD7),"")</f>
        <v/>
      </c>
      <c r="BE13" s="19">
        <f>IF(BE7=0,"",BE12/BE7)</f>
        <v/>
      </c>
      <c r="BF13" s="19">
        <f>IF(BF7=0,"",BF12/BF7)</f>
        <v/>
      </c>
      <c r="BG13" s="20">
        <f>IF(COUNT(BG7,BG12)=2,IF(BG7=0,"",BG12/BG7),"")</f>
        <v/>
      </c>
      <c r="BH13" s="20">
        <f>IF(BH7=0,"",BH12/BH7)</f>
        <v/>
      </c>
      <c r="BI13" s="20">
        <f>IF(BI7=0,"",BI12/BI7)</f>
        <v/>
      </c>
      <c r="BJ13" s="19">
        <f>IF(COUNT(BJ7,BJ12)=2,IF(BJ7=0,"",BJ12/BJ7),"")</f>
        <v/>
      </c>
      <c r="BK13" s="19">
        <f>IF(BK7=0,"",BK12/BK7)</f>
        <v/>
      </c>
      <c r="BL13" s="19">
        <f>IF(BL7=0,"",BL12/BL7)</f>
        <v/>
      </c>
      <c r="BM13" s="20">
        <f>IF(COUNT(BM7,BM12)=2,IF(BM7=0,"",BM12/BM7),"")</f>
        <v/>
      </c>
      <c r="BN13" s="20">
        <f>IF(BN7=0,"",BN12/BN7)</f>
        <v/>
      </c>
      <c r="BO13" s="20">
        <f>IF(BO7=0,"",BO12/BO7)</f>
        <v/>
      </c>
      <c r="BP13" s="19">
        <f>IF(COUNT(BP7,BP12)=2,IF(BP7=0,"",BP12/BP7),"")</f>
        <v/>
      </c>
      <c r="BQ13" s="19">
        <f>IF(BQ7=0,"",BQ12/BQ7)</f>
        <v/>
      </c>
      <c r="BR13" s="19">
        <f>IF(BR7=0,"",BR12/BR7)</f>
        <v/>
      </c>
      <c r="BS13" s="20">
        <f>IF(COUNT(BS7,BS12)=2,IF(BS7=0,"",BS12/BS7),"")</f>
        <v/>
      </c>
      <c r="BT13" s="20">
        <f>IF(BT7=0,"",BT12/BT7)</f>
        <v/>
      </c>
      <c r="BU13" s="20">
        <f>IF(BU7=0,"",BU12/BU7)</f>
        <v/>
      </c>
      <c r="BV13" s="19">
        <f>IF(COUNT(BV7,BV12)=2,IF(BV7=0,"",BV12/BV7),"")</f>
        <v/>
      </c>
      <c r="BW13" s="19">
        <f>IF(BW7=0,"",BW12/BW7)</f>
        <v/>
      </c>
      <c r="BX13" s="19">
        <f>IF(BX7=0,"",BX12/BX7)</f>
        <v/>
      </c>
      <c r="BY13" s="20">
        <f>IF(COUNT(BY7,BY12)=2,IF(BY7=0,"",BY12/BY7),"")</f>
        <v/>
      </c>
      <c r="BZ13" s="20">
        <f>IF(BZ7=0,"",BZ12/BZ7)</f>
        <v/>
      </c>
      <c r="CA13" s="20">
        <f>IF(CA7=0,"",CA12/CA7)</f>
        <v/>
      </c>
      <c r="CB13" s="19">
        <f>IF(COUNT(CB7,CB12)=2,IF(CB7=0,"",CB12/CB7),"")</f>
        <v/>
      </c>
      <c r="CC13" s="19">
        <f>IF(CC7=0,"",CC12/CC7)</f>
        <v/>
      </c>
      <c r="CD13" s="19">
        <f>IF(CD7=0,"",CD12/CD7)</f>
        <v/>
      </c>
      <c r="CE13" s="20">
        <f>IF(COUNT(CE7,CE12)=2,IF(CE7=0,"",CE12/CE7),"")</f>
        <v/>
      </c>
      <c r="CF13" s="20">
        <f>IF(CF7=0,"",CF12/CF7)</f>
        <v/>
      </c>
      <c r="CG13" s="20">
        <f>IF(CG7=0,"",CG12/CG7)</f>
        <v/>
      </c>
      <c r="CH13" s="19">
        <f>IF(COUNT(CH7,CH12)=2,IF(CH7=0,"",CH12/CH7),"")</f>
        <v/>
      </c>
      <c r="CI13" s="19">
        <f>IF(CI7=0,"",CI12/CI7)</f>
        <v/>
      </c>
      <c r="CJ13" s="19">
        <f>IF(CJ7=0,"",CJ12/CJ7)</f>
        <v/>
      </c>
      <c r="CK13" s="20">
        <f>IF(COUNT(CK7,CK12)=2,IF(CK7=0,"",CK12/CK7),"")</f>
        <v/>
      </c>
      <c r="CL13" s="20">
        <f>IF(CL7=0,"",CL12/CL7)</f>
        <v/>
      </c>
      <c r="CM13" s="20">
        <f>IF(CM7=0,"",CM12/CM7)</f>
        <v/>
      </c>
      <c r="CN13" s="19">
        <f>IF(COUNT(CN7,CN12)=2,IF(CN7=0,"",CN12/CN7),"")</f>
        <v/>
      </c>
      <c r="CO13" s="19">
        <f>IF(CO7=0,"",CO12/CO7)</f>
        <v/>
      </c>
      <c r="CP13" s="19">
        <f>IF(CP7=0,"",CP12/CP7)</f>
        <v/>
      </c>
      <c r="CQ13" s="20">
        <f>IF(COUNT(CQ7,CQ12)=2,IF(CQ7=0,"",CQ12/CQ7),"")</f>
        <v/>
      </c>
      <c r="CR13" s="20">
        <f>IF(CR7=0,"",CR12/CR7)</f>
        <v/>
      </c>
      <c r="CS13" s="20">
        <f>IF(CS7=0,"",CS12/CS7)</f>
        <v/>
      </c>
      <c r="CT13" s="19">
        <f>IF(COUNT(CT7,CT12)=2,IF(CT7=0,"",CT12/CT7),"")</f>
        <v/>
      </c>
      <c r="CU13" s="19">
        <f>IF(CU7=0,"",CU12/CU7)</f>
        <v/>
      </c>
      <c r="CV13" s="19">
        <f>IF(CV7=0,"",CV12/CV7)</f>
        <v/>
      </c>
      <c r="CW13" s="20">
        <f>IF(COUNT(CW7,CW12)=2,IF(CW7=0,"",CW12/CW7),"")</f>
        <v/>
      </c>
      <c r="CX13" s="20">
        <f>IF(CX7=0,"",CX12/CX7)</f>
        <v/>
      </c>
      <c r="CY13" s="20">
        <f>IF(CY7=0,"",CY12/CY7)</f>
        <v/>
      </c>
      <c r="CZ13" s="19">
        <f>IF(COUNT(CZ7,CZ12)=2,IF(CZ7=0,"",CZ12/CZ7),"")</f>
        <v/>
      </c>
      <c r="DA13" s="19">
        <f>IF(DA7=0,"",DA12/DA7)</f>
        <v/>
      </c>
      <c r="DB13" s="19">
        <f>IF(DB7=0,"",DB12/DB7)</f>
        <v/>
      </c>
      <c r="DC13" s="20">
        <f>IF(COUNT(DC7,DC12)=2,IF(DC7=0,"",DC12/DC7),"")</f>
        <v/>
      </c>
      <c r="DD13" s="20">
        <f>IF(DD7=0,"",DD12/DD7)</f>
        <v/>
      </c>
      <c r="DE13" s="20">
        <f>IF(DE7=0,"",DE12/DE7)</f>
        <v/>
      </c>
      <c r="DF13" s="19">
        <f>IF(COUNT(DF7,DF12)=2,IF(DF7=0,"",DF12/DF7),"")</f>
        <v/>
      </c>
      <c r="DG13" s="19">
        <f>IF(DG7=0,"",DG12/DG7)</f>
        <v/>
      </c>
      <c r="DH13" s="19">
        <f>IF(DH7=0,"",DH12/DH7)</f>
        <v/>
      </c>
      <c r="DI13" s="20">
        <f>IF(COUNT(DI7,DI12)=2,IF(DI7=0,"",DI12/DI7),"")</f>
        <v/>
      </c>
      <c r="DJ13" s="20">
        <f>IF(DJ7=0,"",DJ12/DJ7)</f>
        <v/>
      </c>
      <c r="DK13" s="20">
        <f>IF(DK7=0,"",DK12/DK7)</f>
        <v/>
      </c>
      <c r="DL13" s="19">
        <f>IF(COUNT(DL7,DL12)=2,IF(DL7=0,"",DL12/DL7),"")</f>
        <v/>
      </c>
      <c r="DM13" s="19">
        <f>IF(DM7=0,"",DM12/DM7)</f>
        <v/>
      </c>
      <c r="DN13" s="19">
        <f>IF(DN7=0,"",DN12/DN7)</f>
        <v/>
      </c>
    </row>
    <row r="14">
      <c r="A14" s="2" t="inlineStr">
        <is>
          <t>Income Tax</t>
        </is>
      </c>
      <c r="B14" s="10">
        <f>IF(COUNT(AR14,AO14,AL14,AI14,AF14,AC14,Z14,W14,T14,Q14,N14,K14)=0,"",SUM(AR14,AO14,AL14,AI14,AF14,AC14,Z14,W14,T14,Q14,N14,K14))</f>
        <v/>
      </c>
      <c r="C14" s="10">
        <f>IF(COUNT(AS14,AP14,AM14,AJ14,AG14,AD14,AA14,X14,U14,R14,O14,L14)=0,"",SUM(AS14,AP14,AM14,AJ14,AG14,AD14,AA14,X14,U14,R14,O14,L14))</f>
        <v/>
      </c>
      <c r="D14" s="10">
        <f>IF(COUNT(AT14,AQ14,AN14,AK14,AH14,AE14,AB14,Y14,V14,S14,P14,M14)=0,"",SUM(AT14,AQ14,AN14,AK14,AH14,AE14,AB14,Y14,V14,S14,P14,M14))</f>
        <v/>
      </c>
      <c r="E14" s="11">
        <f>IF(COUNT(CB14,BY14,BV14,BS14,BP14,BM14,BJ14,BG14,BD14,BA14,AX14,AU14)=0,"",SUM(CB14,BY14,BV14,BS14,BP14,BM14,BJ14,BG14,BD14,BA14,AX14,AU14))</f>
        <v/>
      </c>
      <c r="F14" s="11">
        <f>IF(COUNT(CC14,BZ14,BW14,BT14,BQ14,BN14,BK14,BH14,BE14,BB14,AY14,AV14)=0,"",SUM(CC14,BZ14,BW14,BT14,BQ14,BN14,BK14,BH14,BE14,BB14,AY14,AV14))</f>
        <v/>
      </c>
      <c r="G14" s="11">
        <f>IF(COUNT(CD14,CA14,BX14,BU14,BR14,BO14,BL14,BI14,BF14,BC14,AZ14,AW14)=0,"",SUM(CD14,CA14,BX14,BU14,BR14,BO14,BL14,BI14,BF14,BC14,AZ14,AW14))</f>
        <v/>
      </c>
      <c r="H14" s="10">
        <f>IF(COUNT(DL14,DI14,DF14,DC14,CZ14,CW14,CT14,CQ14,CN14,CK14,CH14,CE14)=0,"",SUM(DL14,DI14,DF14,DC14,CZ14,CW14,CT14,CQ14,CN14,CK14,CH14,CE14))</f>
        <v/>
      </c>
      <c r="I14" s="10">
        <f>IF(COUNT(DM14,DJ14,DG14,DD14,DA14,CX14,CU14,CR14,CO14,CL14,CI14,CF14)=0,"",SUM(DM14,DJ14,DG14,DD14,DA14,CX14,CU14,CR14,CO14,CL14,CI14,CF14))</f>
        <v/>
      </c>
      <c r="J14" s="10">
        <f>IF(COUNT(DN14,DK14,DH14,DE14,DB14,CY14,CV14,CS14,CP14,CM14,CJ14,CG14)=0,"",SUM(DN14,DK14,DH14,DE14,DB14,CY14,CV14,CS14,CP14,CM14,CJ14,CG14))</f>
        <v/>
      </c>
      <c r="K14" s="11">
        <f>IF(COUNT('Finance'!K16)=1,'Finance'!K16,"")</f>
        <v/>
      </c>
      <c r="L14" s="11">
        <f>'Finance'!L16</f>
        <v/>
      </c>
      <c r="M14" s="11">
        <f>'Finance'!M16</f>
        <v/>
      </c>
      <c r="N14" s="10">
        <f>IF(COUNT('Finance'!N16)=1,'Finance'!N16,"")</f>
        <v/>
      </c>
      <c r="O14" s="10">
        <f>'Finance'!O16</f>
        <v/>
      </c>
      <c r="P14" s="10">
        <f>'Finance'!P16</f>
        <v/>
      </c>
      <c r="Q14" s="11">
        <f>IF(COUNT('Finance'!Q16)=1,'Finance'!Q16,"")</f>
        <v/>
      </c>
      <c r="R14" s="11">
        <f>'Finance'!R16</f>
        <v/>
      </c>
      <c r="S14" s="11">
        <f>'Finance'!S16</f>
        <v/>
      </c>
      <c r="T14" s="10">
        <f>IF(COUNT('Finance'!T16)=1,'Finance'!T16,"")</f>
        <v/>
      </c>
      <c r="U14" s="10">
        <f>'Finance'!U16</f>
        <v/>
      </c>
      <c r="V14" s="10">
        <f>'Finance'!V16</f>
        <v/>
      </c>
      <c r="W14" s="11">
        <f>IF(COUNT('Finance'!W16)=1,'Finance'!W16,"")</f>
        <v/>
      </c>
      <c r="X14" s="11">
        <f>'Finance'!X16</f>
        <v/>
      </c>
      <c r="Y14" s="11">
        <f>'Finance'!Y16</f>
        <v/>
      </c>
      <c r="Z14" s="10">
        <f>IF(COUNT('Finance'!Z16)=1,'Finance'!Z16,"")</f>
        <v/>
      </c>
      <c r="AA14" s="10">
        <f>'Finance'!AA16</f>
        <v/>
      </c>
      <c r="AB14" s="10">
        <f>'Finance'!AB16</f>
        <v/>
      </c>
      <c r="AC14" s="11">
        <f>IF(COUNT('Finance'!AC16)=1,'Finance'!AC16,"")</f>
        <v/>
      </c>
      <c r="AD14" s="11">
        <f>'Finance'!AD16</f>
        <v/>
      </c>
      <c r="AE14" s="11">
        <f>'Finance'!AE16</f>
        <v/>
      </c>
      <c r="AF14" s="10">
        <f>IF(COUNT('Finance'!AF16)=1,'Finance'!AF16,"")</f>
        <v/>
      </c>
      <c r="AG14" s="10">
        <f>'Finance'!AG16</f>
        <v/>
      </c>
      <c r="AH14" s="10">
        <f>'Finance'!AH16</f>
        <v/>
      </c>
      <c r="AI14" s="11">
        <f>IF(COUNT('Finance'!AI16)=1,'Finance'!AI16,"")</f>
        <v/>
      </c>
      <c r="AJ14" s="11">
        <f>'Finance'!AJ16</f>
        <v/>
      </c>
      <c r="AK14" s="11">
        <f>'Finance'!AK16</f>
        <v/>
      </c>
      <c r="AL14" s="10">
        <f>IF(COUNT('Finance'!AL16)=1,'Finance'!AL16,"")</f>
        <v/>
      </c>
      <c r="AM14" s="10">
        <f>'Finance'!AM16</f>
        <v/>
      </c>
      <c r="AN14" s="10">
        <f>'Finance'!AN16</f>
        <v/>
      </c>
      <c r="AO14" s="11">
        <f>IF(COUNT('Finance'!AO16)=1,'Finance'!AO16,"")</f>
        <v/>
      </c>
      <c r="AP14" s="11">
        <f>'Finance'!AP16</f>
        <v/>
      </c>
      <c r="AQ14" s="11">
        <f>'Finance'!AQ16</f>
        <v/>
      </c>
      <c r="AR14" s="10">
        <f>IF(COUNT('Finance'!AR16)=1,'Finance'!AR16,"")</f>
        <v/>
      </c>
      <c r="AS14" s="10">
        <f>'Finance'!AS16</f>
        <v/>
      </c>
      <c r="AT14" s="10">
        <f>'Finance'!AT16</f>
        <v/>
      </c>
      <c r="AU14" s="11">
        <f>IF(COUNT('Finance'!AU16)=1,'Finance'!AU16,"")</f>
        <v/>
      </c>
      <c r="AV14" s="11">
        <f>'Finance'!AV16</f>
        <v/>
      </c>
      <c r="AW14" s="11">
        <f>'Finance'!AW16</f>
        <v/>
      </c>
      <c r="AX14" s="10">
        <f>IF(COUNT('Finance'!AX16)=1,'Finance'!AX16,"")</f>
        <v/>
      </c>
      <c r="AY14" s="10">
        <f>'Finance'!AY16</f>
        <v/>
      </c>
      <c r="AZ14" s="10">
        <f>'Finance'!AZ16</f>
        <v/>
      </c>
      <c r="BA14" s="11">
        <f>IF(COUNT('Finance'!BA16)=1,'Finance'!BA16,"")</f>
        <v/>
      </c>
      <c r="BB14" s="11">
        <f>'Finance'!BB16</f>
        <v/>
      </c>
      <c r="BC14" s="11">
        <f>'Finance'!BC16</f>
        <v/>
      </c>
      <c r="BD14" s="10">
        <f>IF(COUNT('Finance'!BD16)=1,'Finance'!BD16,"")</f>
        <v/>
      </c>
      <c r="BE14" s="10">
        <f>'Finance'!BE16</f>
        <v/>
      </c>
      <c r="BF14" s="10">
        <f>'Finance'!BF16</f>
        <v/>
      </c>
      <c r="BG14" s="11">
        <f>IF(COUNT('Finance'!BG16)=1,'Finance'!BG16,"")</f>
        <v/>
      </c>
      <c r="BH14" s="11">
        <f>'Finance'!BH16</f>
        <v/>
      </c>
      <c r="BI14" s="11">
        <f>'Finance'!BI16</f>
        <v/>
      </c>
      <c r="BJ14" s="10">
        <f>IF(COUNT('Finance'!BJ16)=1,'Finance'!BJ16,"")</f>
        <v/>
      </c>
      <c r="BK14" s="10">
        <f>'Finance'!BK16</f>
        <v/>
      </c>
      <c r="BL14" s="10">
        <f>'Finance'!BL16</f>
        <v/>
      </c>
      <c r="BM14" s="11">
        <f>IF(COUNT('Finance'!BM16)=1,'Finance'!BM16,"")</f>
        <v/>
      </c>
      <c r="BN14" s="11">
        <f>'Finance'!BN16</f>
        <v/>
      </c>
      <c r="BO14" s="11">
        <f>'Finance'!BO16</f>
        <v/>
      </c>
      <c r="BP14" s="10">
        <f>IF(COUNT('Finance'!BP16)=1,'Finance'!BP16,"")</f>
        <v/>
      </c>
      <c r="BQ14" s="10">
        <f>'Finance'!BQ16</f>
        <v/>
      </c>
      <c r="BR14" s="10">
        <f>'Finance'!BR16</f>
        <v/>
      </c>
      <c r="BS14" s="11">
        <f>IF(COUNT('Finance'!BS16)=1,'Finance'!BS16,"")</f>
        <v/>
      </c>
      <c r="BT14" s="11">
        <f>'Finance'!BT16</f>
        <v/>
      </c>
      <c r="BU14" s="11">
        <f>'Finance'!BU16</f>
        <v/>
      </c>
      <c r="BV14" s="10">
        <f>IF(COUNT('Finance'!BV16)=1,'Finance'!BV16,"")</f>
        <v/>
      </c>
      <c r="BW14" s="10">
        <f>'Finance'!BW16</f>
        <v/>
      </c>
      <c r="BX14" s="10">
        <f>'Finance'!BX16</f>
        <v/>
      </c>
      <c r="BY14" s="11">
        <f>IF(COUNT('Finance'!BY16)=1,'Finance'!BY16,"")</f>
        <v/>
      </c>
      <c r="BZ14" s="11">
        <f>'Finance'!BZ16</f>
        <v/>
      </c>
      <c r="CA14" s="11">
        <f>'Finance'!CA16</f>
        <v/>
      </c>
      <c r="CB14" s="10">
        <f>IF(COUNT('Finance'!CB16)=1,'Finance'!CB16,"")</f>
        <v/>
      </c>
      <c r="CC14" s="10">
        <f>'Finance'!CC16</f>
        <v/>
      </c>
      <c r="CD14" s="10">
        <f>'Finance'!CD16</f>
        <v/>
      </c>
      <c r="CE14" s="11">
        <f>IF(COUNT('Finance'!CE16)=1,'Finance'!CE16,"")</f>
        <v/>
      </c>
      <c r="CF14" s="11">
        <f>'Finance'!CF16</f>
        <v/>
      </c>
      <c r="CG14" s="11">
        <f>'Finance'!CG16</f>
        <v/>
      </c>
      <c r="CH14" s="10">
        <f>IF(COUNT('Finance'!CH16)=1,'Finance'!CH16,"")</f>
        <v/>
      </c>
      <c r="CI14" s="10">
        <f>'Finance'!CI16</f>
        <v/>
      </c>
      <c r="CJ14" s="10">
        <f>'Finance'!CJ16</f>
        <v/>
      </c>
      <c r="CK14" s="11">
        <f>IF(COUNT('Finance'!CK16)=1,'Finance'!CK16,"")</f>
        <v/>
      </c>
      <c r="CL14" s="11">
        <f>'Finance'!CL16</f>
        <v/>
      </c>
      <c r="CM14" s="11">
        <f>'Finance'!CM16</f>
        <v/>
      </c>
      <c r="CN14" s="10">
        <f>IF(COUNT('Finance'!CN16)=1,'Finance'!CN16,"")</f>
        <v/>
      </c>
      <c r="CO14" s="10">
        <f>'Finance'!CO16</f>
        <v/>
      </c>
      <c r="CP14" s="10">
        <f>'Finance'!CP16</f>
        <v/>
      </c>
      <c r="CQ14" s="11">
        <f>IF(COUNT('Finance'!CQ16)=1,'Finance'!CQ16,"")</f>
        <v/>
      </c>
      <c r="CR14" s="11">
        <f>'Finance'!CR16</f>
        <v/>
      </c>
      <c r="CS14" s="11">
        <f>'Finance'!CS16</f>
        <v/>
      </c>
      <c r="CT14" s="10">
        <f>IF(COUNT('Finance'!CT16)=1,'Finance'!CT16,"")</f>
        <v/>
      </c>
      <c r="CU14" s="10">
        <f>'Finance'!CU16</f>
        <v/>
      </c>
      <c r="CV14" s="10">
        <f>'Finance'!CV16</f>
        <v/>
      </c>
      <c r="CW14" s="11">
        <f>IF(COUNT('Finance'!CW16)=1,'Finance'!CW16,"")</f>
        <v/>
      </c>
      <c r="CX14" s="11">
        <f>'Finance'!CX16</f>
        <v/>
      </c>
      <c r="CY14" s="11">
        <f>'Finance'!CY16</f>
        <v/>
      </c>
      <c r="CZ14" s="10">
        <f>IF(COUNT('Finance'!CZ16)=1,'Finance'!CZ16,"")</f>
        <v/>
      </c>
      <c r="DA14" s="10">
        <f>'Finance'!DA16</f>
        <v/>
      </c>
      <c r="DB14" s="10">
        <f>'Finance'!DB16</f>
        <v/>
      </c>
      <c r="DC14" s="11">
        <f>IF(COUNT('Finance'!DC16)=1,'Finance'!DC16,"")</f>
        <v/>
      </c>
      <c r="DD14" s="11">
        <f>'Finance'!DD16</f>
        <v/>
      </c>
      <c r="DE14" s="11">
        <f>'Finance'!DE16</f>
        <v/>
      </c>
      <c r="DF14" s="10">
        <f>IF(COUNT('Finance'!DF16)=1,'Finance'!DF16,"")</f>
        <v/>
      </c>
      <c r="DG14" s="10">
        <f>'Finance'!DG16</f>
        <v/>
      </c>
      <c r="DH14" s="10">
        <f>'Finance'!DH16</f>
        <v/>
      </c>
      <c r="DI14" s="11">
        <f>IF(COUNT('Finance'!DI16)=1,'Finance'!DI16,"")</f>
        <v/>
      </c>
      <c r="DJ14" s="11">
        <f>'Finance'!DJ16</f>
        <v/>
      </c>
      <c r="DK14" s="11">
        <f>'Finance'!DK16</f>
        <v/>
      </c>
      <c r="DL14" s="10">
        <f>IF(COUNT('Finance'!DL16)=1,'Finance'!DL16,"")</f>
        <v/>
      </c>
      <c r="DM14" s="10">
        <f>'Finance'!DM16</f>
        <v/>
      </c>
      <c r="DN14" s="10">
        <f>'Finance'!DN16</f>
        <v/>
      </c>
    </row>
    <row r="15">
      <c r="A15" s="2" t="inlineStr">
        <is>
          <t>Net Profit</t>
        </is>
      </c>
      <c r="B15" s="10">
        <f>IF(COUNT(B12)=0,"",B12-N(B14))</f>
        <v/>
      </c>
      <c r="C15" s="10">
        <f>IF(COUNT(C12)=0,"",C12-N(C14))</f>
        <v/>
      </c>
      <c r="D15" s="10">
        <f>IF(COUNT(D12)=0,"",D12-N(D14))</f>
        <v/>
      </c>
      <c r="E15" s="11">
        <f>IF(COUNT(E12)=0,"",E12-N(E14))</f>
        <v/>
      </c>
      <c r="F15" s="11">
        <f>IF(COUNT(F12)=0,"",F12-N(F14))</f>
        <v/>
      </c>
      <c r="G15" s="11">
        <f>IF(COUNT(G12)=0,"",G12-N(G14))</f>
        <v/>
      </c>
      <c r="H15" s="10">
        <f>IF(COUNT(H12)=0,"",H12-N(H14))</f>
        <v/>
      </c>
      <c r="I15" s="10">
        <f>IF(COUNT(I12)=0,"",I12-N(I14))</f>
        <v/>
      </c>
      <c r="J15" s="10">
        <f>IF(COUNT(J12)=0,"",J12-N(J14))</f>
        <v/>
      </c>
      <c r="K15" s="11">
        <f>IF(COUNT(K12,K14)=2,K12-K14,"")</f>
        <v/>
      </c>
      <c r="L15" s="11">
        <f>L12-L14</f>
        <v/>
      </c>
      <c r="M15" s="11">
        <f>M12-M14</f>
        <v/>
      </c>
      <c r="N15" s="10">
        <f>IF(COUNT(N12,N14)=2,N12-N14,"")</f>
        <v/>
      </c>
      <c r="O15" s="10">
        <f>O12-O14</f>
        <v/>
      </c>
      <c r="P15" s="10">
        <f>P12-P14</f>
        <v/>
      </c>
      <c r="Q15" s="11">
        <f>IF(COUNT(Q12,Q14)=2,Q12-Q14,"")</f>
        <v/>
      </c>
      <c r="R15" s="11">
        <f>R12-R14</f>
        <v/>
      </c>
      <c r="S15" s="11">
        <f>S12-S14</f>
        <v/>
      </c>
      <c r="T15" s="10">
        <f>IF(COUNT(T12,T14)=2,T12-T14,"")</f>
        <v/>
      </c>
      <c r="U15" s="10">
        <f>U12-U14</f>
        <v/>
      </c>
      <c r="V15" s="10">
        <f>V12-V14</f>
        <v/>
      </c>
      <c r="W15" s="11">
        <f>IF(COUNT(W12,W14)=2,W12-W14,"")</f>
        <v/>
      </c>
      <c r="X15" s="11">
        <f>X12-X14</f>
        <v/>
      </c>
      <c r="Y15" s="11">
        <f>Y12-Y14</f>
        <v/>
      </c>
      <c r="Z15" s="10">
        <f>IF(COUNT(Z12,Z14)=2,Z12-Z14,"")</f>
        <v/>
      </c>
      <c r="AA15" s="10">
        <f>AA12-AA14</f>
        <v/>
      </c>
      <c r="AB15" s="10">
        <f>AB12-AB14</f>
        <v/>
      </c>
      <c r="AC15" s="11">
        <f>IF(COUNT(AC12,AC14)=2,AC12-AC14,"")</f>
        <v/>
      </c>
      <c r="AD15" s="11">
        <f>AD12-AD14</f>
        <v/>
      </c>
      <c r="AE15" s="11">
        <f>AE12-AE14</f>
        <v/>
      </c>
      <c r="AF15" s="10">
        <f>IF(COUNT(AF12,AF14)=2,AF12-AF14,"")</f>
        <v/>
      </c>
      <c r="AG15" s="10">
        <f>AG12-AG14</f>
        <v/>
      </c>
      <c r="AH15" s="10">
        <f>AH12-AH14</f>
        <v/>
      </c>
      <c r="AI15" s="11">
        <f>IF(COUNT(AI12,AI14)=2,AI12-AI14,"")</f>
        <v/>
      </c>
      <c r="AJ15" s="11">
        <f>AJ12-AJ14</f>
        <v/>
      </c>
      <c r="AK15" s="11">
        <f>AK12-AK14</f>
        <v/>
      </c>
      <c r="AL15" s="10">
        <f>IF(COUNT(AL12,AL14)=2,AL12-AL14,"")</f>
        <v/>
      </c>
      <c r="AM15" s="10">
        <f>AM12-AM14</f>
        <v/>
      </c>
      <c r="AN15" s="10">
        <f>AN12-AN14</f>
        <v/>
      </c>
      <c r="AO15" s="11">
        <f>IF(COUNT(AO12,AO14)=2,AO12-AO14,"")</f>
        <v/>
      </c>
      <c r="AP15" s="11">
        <f>AP12-AP14</f>
        <v/>
      </c>
      <c r="AQ15" s="11">
        <f>AQ12-AQ14</f>
        <v/>
      </c>
      <c r="AR15" s="10">
        <f>IF(COUNT(AR12,AR14)=2,AR12-AR14,"")</f>
        <v/>
      </c>
      <c r="AS15" s="10">
        <f>AS12-AS14</f>
        <v/>
      </c>
      <c r="AT15" s="10">
        <f>AT12-AT14</f>
        <v/>
      </c>
      <c r="AU15" s="11">
        <f>IF(COUNT(AU12,AU14)=2,AU12-AU14,"")</f>
        <v/>
      </c>
      <c r="AV15" s="11">
        <f>AV12-AV14</f>
        <v/>
      </c>
      <c r="AW15" s="11">
        <f>AW12-AW14</f>
        <v/>
      </c>
      <c r="AX15" s="10">
        <f>IF(COUNT(AX12,AX14)=2,AX12-AX14,"")</f>
        <v/>
      </c>
      <c r="AY15" s="10">
        <f>AY12-AY14</f>
        <v/>
      </c>
      <c r="AZ15" s="10">
        <f>AZ12-AZ14</f>
        <v/>
      </c>
      <c r="BA15" s="11">
        <f>IF(COUNT(BA12,BA14)=2,BA12-BA14,"")</f>
        <v/>
      </c>
      <c r="BB15" s="11">
        <f>BB12-BB14</f>
        <v/>
      </c>
      <c r="BC15" s="11">
        <f>BC12-BC14</f>
        <v/>
      </c>
      <c r="BD15" s="10">
        <f>IF(COUNT(BD12,BD14)=2,BD12-BD14,"")</f>
        <v/>
      </c>
      <c r="BE15" s="10">
        <f>BE12-BE14</f>
        <v/>
      </c>
      <c r="BF15" s="10">
        <f>BF12-BF14</f>
        <v/>
      </c>
      <c r="BG15" s="11">
        <f>IF(COUNT(BG12,BG14)=2,BG12-BG14,"")</f>
        <v/>
      </c>
      <c r="BH15" s="11">
        <f>BH12-BH14</f>
        <v/>
      </c>
      <c r="BI15" s="11">
        <f>BI12-BI14</f>
        <v/>
      </c>
      <c r="BJ15" s="10">
        <f>IF(COUNT(BJ12,BJ14)=2,BJ12-BJ14,"")</f>
        <v/>
      </c>
      <c r="BK15" s="10">
        <f>BK12-BK14</f>
        <v/>
      </c>
      <c r="BL15" s="10">
        <f>BL12-BL14</f>
        <v/>
      </c>
      <c r="BM15" s="11">
        <f>IF(COUNT(BM12,BM14)=2,BM12-BM14,"")</f>
        <v/>
      </c>
      <c r="BN15" s="11">
        <f>BN12-BN14</f>
        <v/>
      </c>
      <c r="BO15" s="11">
        <f>BO12-BO14</f>
        <v/>
      </c>
      <c r="BP15" s="10">
        <f>IF(COUNT(BP12,BP14)=2,BP12-BP14,"")</f>
        <v/>
      </c>
      <c r="BQ15" s="10">
        <f>BQ12-BQ14</f>
        <v/>
      </c>
      <c r="BR15" s="10">
        <f>BR12-BR14</f>
        <v/>
      </c>
      <c r="BS15" s="11">
        <f>IF(COUNT(BS12,BS14)=2,BS12-BS14,"")</f>
        <v/>
      </c>
      <c r="BT15" s="11">
        <f>BT12-BT14</f>
        <v/>
      </c>
      <c r="BU15" s="11">
        <f>BU12-BU14</f>
        <v/>
      </c>
      <c r="BV15" s="10">
        <f>IF(COUNT(BV12,BV14)=2,BV12-BV14,"")</f>
        <v/>
      </c>
      <c r="BW15" s="10">
        <f>BW12-BW14</f>
        <v/>
      </c>
      <c r="BX15" s="10">
        <f>BX12-BX14</f>
        <v/>
      </c>
      <c r="BY15" s="11">
        <f>IF(COUNT(BY12,BY14)=2,BY12-BY14,"")</f>
        <v/>
      </c>
      <c r="BZ15" s="11">
        <f>BZ12-BZ14</f>
        <v/>
      </c>
      <c r="CA15" s="11">
        <f>CA12-CA14</f>
        <v/>
      </c>
      <c r="CB15" s="10">
        <f>IF(COUNT(CB12,CB14)=2,CB12-CB14,"")</f>
        <v/>
      </c>
      <c r="CC15" s="10">
        <f>CC12-CC14</f>
        <v/>
      </c>
      <c r="CD15" s="10">
        <f>CD12-CD14</f>
        <v/>
      </c>
      <c r="CE15" s="11">
        <f>IF(COUNT(CE12,CE14)=2,CE12-CE14,"")</f>
        <v/>
      </c>
      <c r="CF15" s="11">
        <f>CF12-CF14</f>
        <v/>
      </c>
      <c r="CG15" s="11">
        <f>CG12-CG14</f>
        <v/>
      </c>
      <c r="CH15" s="10">
        <f>IF(COUNT(CH12,CH14)=2,CH12-CH14,"")</f>
        <v/>
      </c>
      <c r="CI15" s="10">
        <f>CI12-CI14</f>
        <v/>
      </c>
      <c r="CJ15" s="10">
        <f>CJ12-CJ14</f>
        <v/>
      </c>
      <c r="CK15" s="11">
        <f>IF(COUNT(CK12,CK14)=2,CK12-CK14,"")</f>
        <v/>
      </c>
      <c r="CL15" s="11">
        <f>CL12-CL14</f>
        <v/>
      </c>
      <c r="CM15" s="11">
        <f>CM12-CM14</f>
        <v/>
      </c>
      <c r="CN15" s="10">
        <f>IF(COUNT(CN12,CN14)=2,CN12-CN14,"")</f>
        <v/>
      </c>
      <c r="CO15" s="10">
        <f>CO12-CO14</f>
        <v/>
      </c>
      <c r="CP15" s="10">
        <f>CP12-CP14</f>
        <v/>
      </c>
      <c r="CQ15" s="11">
        <f>IF(COUNT(CQ12,CQ14)=2,CQ12-CQ14,"")</f>
        <v/>
      </c>
      <c r="CR15" s="11">
        <f>CR12-CR14</f>
        <v/>
      </c>
      <c r="CS15" s="11">
        <f>CS12-CS14</f>
        <v/>
      </c>
      <c r="CT15" s="10">
        <f>IF(COUNT(CT12,CT14)=2,CT12-CT14,"")</f>
        <v/>
      </c>
      <c r="CU15" s="10">
        <f>CU12-CU14</f>
        <v/>
      </c>
      <c r="CV15" s="10">
        <f>CV12-CV14</f>
        <v/>
      </c>
      <c r="CW15" s="11">
        <f>IF(COUNT(CW12,CW14)=2,CW12-CW14,"")</f>
        <v/>
      </c>
      <c r="CX15" s="11">
        <f>CX12-CX14</f>
        <v/>
      </c>
      <c r="CY15" s="11">
        <f>CY12-CY14</f>
        <v/>
      </c>
      <c r="CZ15" s="10">
        <f>IF(COUNT(CZ12,CZ14)=2,CZ12-CZ14,"")</f>
        <v/>
      </c>
      <c r="DA15" s="10">
        <f>DA12-DA14</f>
        <v/>
      </c>
      <c r="DB15" s="10">
        <f>DB12-DB14</f>
        <v/>
      </c>
      <c r="DC15" s="11">
        <f>IF(COUNT(DC12,DC14)=2,DC12-DC14,"")</f>
        <v/>
      </c>
      <c r="DD15" s="11">
        <f>DD12-DD14</f>
        <v/>
      </c>
      <c r="DE15" s="11">
        <f>DE12-DE14</f>
        <v/>
      </c>
      <c r="DF15" s="10">
        <f>IF(COUNT(DF12,DF14)=2,DF12-DF14,"")</f>
        <v/>
      </c>
      <c r="DG15" s="10">
        <f>DG12-DG14</f>
        <v/>
      </c>
      <c r="DH15" s="10">
        <f>DH12-DH14</f>
        <v/>
      </c>
      <c r="DI15" s="11">
        <f>IF(COUNT(DI12,DI14)=2,DI12-DI14,"")</f>
        <v/>
      </c>
      <c r="DJ15" s="11">
        <f>DJ12-DJ14</f>
        <v/>
      </c>
      <c r="DK15" s="11">
        <f>DK12-DK14</f>
        <v/>
      </c>
      <c r="DL15" s="10">
        <f>IF(COUNT(DL12,DL14)=2,DL12-DL14,"")</f>
        <v/>
      </c>
      <c r="DM15" s="10">
        <f>DM12-DM14</f>
        <v/>
      </c>
      <c r="DN15" s="10">
        <f>DN12-DN14</f>
        <v/>
      </c>
    </row>
    <row r="16">
      <c r="A16" s="2" t="inlineStr">
        <is>
          <t>Customers, End of Month</t>
        </is>
      </c>
      <c r="B16" s="21">
        <f>IF(K16&lt;&gt;"",K16,IF(N16&lt;&gt;"",N16,IF(Q16&lt;&gt;"",Q16,IF(T16&lt;&gt;"",T16,IF(W16&lt;&gt;"",W16,IF(Z16&lt;&gt;"",Z16,IF(AC16&lt;&gt;"",AC16,IF(AF16&lt;&gt;"",AF16,IF(AI16&lt;&gt;"",AI16,IF(AL16&lt;&gt;"",AL16,IF(AO16&lt;&gt;"",AO16,IF(AR16&lt;&gt;"",AR16,""))))))))))))</f>
        <v/>
      </c>
      <c r="C16" s="21">
        <f>IF(L16&lt;&gt;"",L16,IF(O16&lt;&gt;"",O16,IF(R16&lt;&gt;"",R16,IF(U16&lt;&gt;"",U16,IF(X16&lt;&gt;"",X16,IF(AA16&lt;&gt;"",AA16,IF(AD16&lt;&gt;"",AD16,IF(AG16&lt;&gt;"",AG16,IF(AJ16&lt;&gt;"",AJ16,IF(AM16&lt;&gt;"",AM16,IF(AP16&lt;&gt;"",AP16,IF(AS16&lt;&gt;"",AS16,""))))))))))))</f>
        <v/>
      </c>
      <c r="D16" s="21">
        <f>IF(M16&lt;&gt;"",M16,IF(P16&lt;&gt;"",P16,IF(S16&lt;&gt;"",S16,IF(V16&lt;&gt;"",V16,IF(Y16&lt;&gt;"",Y16,IF(AB16&lt;&gt;"",AB16,IF(AE16&lt;&gt;"",AE16,IF(AH16&lt;&gt;"",AH16,IF(AK16&lt;&gt;"",AK16,IF(AN16&lt;&gt;"",AN16,IF(AQ16&lt;&gt;"",AQ16,IF(AT16&lt;&gt;"",AT16,""))))))))))))</f>
        <v/>
      </c>
      <c r="E16" s="2">
        <f>IF(AU16&lt;&gt;"",AU16,IF(AX16&lt;&gt;"",AX16,IF(BA16&lt;&gt;"",BA16,IF(BD16&lt;&gt;"",BD16,IF(BG16&lt;&gt;"",BG16,IF(BJ16&lt;&gt;"",BJ16,IF(BM16&lt;&gt;"",BM16,IF(BP16&lt;&gt;"",BP16,IF(BS16&lt;&gt;"",BS16,IF(BV16&lt;&gt;"",BV16,IF(BY16&lt;&gt;"",BY16,IF(CB16&lt;&gt;"",CB16,""))))))))))))</f>
        <v/>
      </c>
      <c r="F16" s="2">
        <f>IF(AV16&lt;&gt;"",AV16,IF(AY16&lt;&gt;"",AY16,IF(BB16&lt;&gt;"",BB16,IF(BE16&lt;&gt;"",BE16,IF(BH16&lt;&gt;"",BH16,IF(BK16&lt;&gt;"",BK16,IF(BN16&lt;&gt;"",BN16,IF(BQ16&lt;&gt;"",BQ16,IF(BT16&lt;&gt;"",BT16,IF(BW16&lt;&gt;"",BW16,IF(BZ16&lt;&gt;"",BZ16,IF(CC16&lt;&gt;"",CC16,""))))))))))))</f>
        <v/>
      </c>
      <c r="G16" s="2">
        <f>IF(AW16&lt;&gt;"",AW16,IF(AZ16&lt;&gt;"",AZ16,IF(BC16&lt;&gt;"",BC16,IF(BF16&lt;&gt;"",BF16,IF(BI16&lt;&gt;"",BI16,IF(BL16&lt;&gt;"",BL16,IF(BO16&lt;&gt;"",BO16,IF(BR16&lt;&gt;"",BR16,IF(BU16&lt;&gt;"",BU16,IF(BX16&lt;&gt;"",BX16,IF(CA16&lt;&gt;"",CA16,IF(CD16&lt;&gt;"",CD16,""))))))))))))</f>
        <v/>
      </c>
      <c r="H16" s="21">
        <f>IF(CE16&lt;&gt;"",CE16,IF(CH16&lt;&gt;"",CH16,IF(CK16&lt;&gt;"",CK16,IF(CN16&lt;&gt;"",CN16,IF(CQ16&lt;&gt;"",CQ16,IF(CT16&lt;&gt;"",CT16,IF(CW16&lt;&gt;"",CW16,IF(CZ16&lt;&gt;"",CZ16,IF(DC16&lt;&gt;"",DC16,IF(DF16&lt;&gt;"",DF16,IF(DI16&lt;&gt;"",DI16,IF(DL16&lt;&gt;"",DL16,""))))))))))))</f>
        <v/>
      </c>
      <c r="I16" s="21">
        <f>IF(CF16&lt;&gt;"",CF16,IF(CI16&lt;&gt;"",CI16,IF(CL16&lt;&gt;"",CL16,IF(CO16&lt;&gt;"",CO16,IF(CR16&lt;&gt;"",CR16,IF(CU16&lt;&gt;"",CU16,IF(CX16&lt;&gt;"",CX16,IF(DA16&lt;&gt;"",DA16,IF(DD16&lt;&gt;"",DD16,IF(DG16&lt;&gt;"",DG16,IF(DJ16&lt;&gt;"",DJ16,IF(DM16&lt;&gt;"",DM16,""))))))))))))</f>
        <v/>
      </c>
      <c r="J16" s="21">
        <f>IF(CG16&lt;&gt;"",CG16,IF(CJ16&lt;&gt;"",CJ16,IF(CM16&lt;&gt;"",CM16,IF(CP16&lt;&gt;"",CP16,IF(CS16&lt;&gt;"",CS16,IF(CV16&lt;&gt;"",CV16,IF(CY16&lt;&gt;"",CY16,IF(DB16&lt;&gt;"",DB16,IF(DE16&lt;&gt;"",DE16,IF(DH16&lt;&gt;"",DH16,IF(DK16&lt;&gt;"",DK16,IF(DN16&lt;&gt;"",DN16,""))))))))))))</f>
        <v/>
      </c>
      <c r="K16" s="2">
        <f>IF(COUNT('Summary'!N16,'Sales'!K6,'Customer Success'!K17)=3,'Summary'!N16+'Sales'!K6-'Customer Success'!K17,"")</f>
        <v/>
      </c>
      <c r="L16" s="2">
        <f>'Summary'!O16+'Sales'!L6-'Customer Success'!L17</f>
        <v/>
      </c>
      <c r="M16" s="2">
        <f>'Summary'!P16+'Sales'!M6-'Customer Success'!M17</f>
        <v/>
      </c>
      <c r="N16" s="21">
        <f>IF(COUNT('Summary'!Q16,'Sales'!N6,'Customer Success'!N17)=3,'Summary'!Q16+'Sales'!N6-'Customer Success'!N17,"")</f>
        <v/>
      </c>
      <c r="O16" s="21">
        <f>'Summary'!R16+'Sales'!O6-'Customer Success'!O17</f>
        <v/>
      </c>
      <c r="P16" s="21">
        <f>'Summary'!S16+'Sales'!P6-'Customer Success'!P17</f>
        <v/>
      </c>
      <c r="Q16" s="2">
        <f>IF(COUNT('Summary'!T16,'Sales'!Q6,'Customer Success'!Q17)=3,'Summary'!T16+'Sales'!Q6-'Customer Success'!Q17,"")</f>
        <v/>
      </c>
      <c r="R16" s="2">
        <f>'Summary'!U16+'Sales'!R6-'Customer Success'!R17</f>
        <v/>
      </c>
      <c r="S16" s="2">
        <f>'Summary'!V16+'Sales'!S6-'Customer Success'!S17</f>
        <v/>
      </c>
      <c r="T16" s="21">
        <f>IF(COUNT('Summary'!W16,'Sales'!T6,'Customer Success'!T17)=3,'Summary'!W16+'Sales'!T6-'Customer Success'!T17,"")</f>
        <v/>
      </c>
      <c r="U16" s="21">
        <f>'Summary'!X16+'Sales'!U6-'Customer Success'!U17</f>
        <v/>
      </c>
      <c r="V16" s="21">
        <f>'Summary'!Y16+'Sales'!V6-'Customer Success'!V17</f>
        <v/>
      </c>
      <c r="W16" s="2">
        <f>IF(COUNT('Summary'!Z16,'Sales'!W6,'Customer Success'!W17)=3,'Summary'!Z16+'Sales'!W6-'Customer Success'!W17,"")</f>
        <v/>
      </c>
      <c r="X16" s="2">
        <f>'Summary'!AA16+'Sales'!X6-'Customer Success'!X17</f>
        <v/>
      </c>
      <c r="Y16" s="2">
        <f>'Summary'!AB16+'Sales'!Y6-'Customer Success'!Y17</f>
        <v/>
      </c>
      <c r="Z16" s="21">
        <f>IF(COUNT('Summary'!AC16,'Sales'!Z6,'Customer Success'!Z17)=3,'Summary'!AC16+'Sales'!Z6-'Customer Success'!Z17,"")</f>
        <v/>
      </c>
      <c r="AA16" s="21">
        <f>'Summary'!AD16+'Sales'!AA6-'Customer Success'!AA17</f>
        <v/>
      </c>
      <c r="AB16" s="21">
        <f>'Summary'!AE16+'Sales'!AB6-'Customer Success'!AB17</f>
        <v/>
      </c>
      <c r="AC16" s="2">
        <f>IF(COUNT('Summary'!AF16,'Sales'!AC6,'Customer Success'!AC17)=3,'Summary'!AF16+'Sales'!AC6-'Customer Success'!AC17,"")</f>
        <v/>
      </c>
      <c r="AD16" s="2">
        <f>'Summary'!AG16+'Sales'!AD6-'Customer Success'!AD17</f>
        <v/>
      </c>
      <c r="AE16" s="2">
        <f>'Summary'!AH16+'Sales'!AE6-'Customer Success'!AE17</f>
        <v/>
      </c>
      <c r="AF16" s="21">
        <f>IF(COUNT('Summary'!AI16,'Sales'!AF6,'Customer Success'!AF17)=3,'Summary'!AI16+'Sales'!AF6-'Customer Success'!AF17,"")</f>
        <v/>
      </c>
      <c r="AG16" s="21">
        <f>'Summary'!AJ16+'Sales'!AG6-'Customer Success'!AG17</f>
        <v/>
      </c>
      <c r="AH16" s="21">
        <f>'Summary'!AK16+'Sales'!AH6-'Customer Success'!AH17</f>
        <v/>
      </c>
      <c r="AI16" s="2">
        <f>IF(COUNT('Summary'!AL16,'Sales'!AI6,'Customer Success'!AI17)=3,'Summary'!AL16+'Sales'!AI6-'Customer Success'!AI17,"")</f>
        <v/>
      </c>
      <c r="AJ16" s="2">
        <f>'Summary'!AM16+'Sales'!AJ6-'Customer Success'!AJ17</f>
        <v/>
      </c>
      <c r="AK16" s="2">
        <f>'Summary'!AN16+'Sales'!AK6-'Customer Success'!AK17</f>
        <v/>
      </c>
      <c r="AL16" s="21">
        <f>IF(COUNT('Summary'!AO16,'Sales'!AL6,'Customer Success'!AL17)=3,'Summary'!AO16+'Sales'!AL6-'Customer Success'!AL17,"")</f>
        <v/>
      </c>
      <c r="AM16" s="21">
        <f>'Summary'!AP16+'Sales'!AM6-'Customer Success'!AM17</f>
        <v/>
      </c>
      <c r="AN16" s="21">
        <f>'Summary'!AQ16+'Sales'!AN6-'Customer Success'!AN17</f>
        <v/>
      </c>
      <c r="AO16" s="2">
        <f>IF(COUNT('Summary'!AR16,'Sales'!AO6,'Customer Success'!AO17)=3,'Summary'!AR16+'Sales'!AO6-'Customer Success'!AO17,"")</f>
        <v/>
      </c>
      <c r="AP16" s="2">
        <f>'Summary'!AS16+'Sales'!AP6-'Customer Success'!AP17</f>
        <v/>
      </c>
      <c r="AQ16" s="2">
        <f>'Summary'!AT16+'Sales'!AQ6-'Customer Success'!AQ17</f>
        <v/>
      </c>
      <c r="AR16" s="21">
        <f>IF(COUNT('Summary'!AU16,'Sales'!AR6,'Customer Success'!AR17)=3,'Summary'!AU16+'Sales'!AR6-'Customer Success'!AR17,"")</f>
        <v/>
      </c>
      <c r="AS16" s="21">
        <f>'Summary'!AV16+'Sales'!AS6-'Customer Success'!AS17</f>
        <v/>
      </c>
      <c r="AT16" s="21">
        <f>'Summary'!AW16+'Sales'!AT6-'Customer Success'!AT17</f>
        <v/>
      </c>
      <c r="AU16" s="2">
        <f>IF(COUNT('Summary'!AX16,'Sales'!AU6,'Customer Success'!AU17)=3,'Summary'!AX16+'Sales'!AU6-'Customer Success'!AU17,"")</f>
        <v/>
      </c>
      <c r="AV16" s="2">
        <f>'Summary'!AY16+'Sales'!AV6-'Customer Success'!AV17</f>
        <v/>
      </c>
      <c r="AW16" s="2">
        <f>'Summary'!AZ16+'Sales'!AW6-'Customer Success'!AW17</f>
        <v/>
      </c>
      <c r="AX16" s="21">
        <f>IF(COUNT('Summary'!BA16,'Sales'!AX6,'Customer Success'!AX17)=3,'Summary'!BA16+'Sales'!AX6-'Customer Success'!AX17,"")</f>
        <v/>
      </c>
      <c r="AY16" s="21">
        <f>'Summary'!BB16+'Sales'!AY6-'Customer Success'!AY17</f>
        <v/>
      </c>
      <c r="AZ16" s="21">
        <f>'Summary'!BC16+'Sales'!AZ6-'Customer Success'!AZ17</f>
        <v/>
      </c>
      <c r="BA16" s="2">
        <f>IF(COUNT('Summary'!BD16,'Sales'!BA6,'Customer Success'!BA17)=3,'Summary'!BD16+'Sales'!BA6-'Customer Success'!BA17,"")</f>
        <v/>
      </c>
      <c r="BB16" s="2">
        <f>'Summary'!BE16+'Sales'!BB6-'Customer Success'!BB17</f>
        <v/>
      </c>
      <c r="BC16" s="2">
        <f>'Summary'!BF16+'Sales'!BC6-'Customer Success'!BC17</f>
        <v/>
      </c>
      <c r="BD16" s="21">
        <f>IF(COUNT('Summary'!BG16,'Sales'!BD6,'Customer Success'!BD17)=3,'Summary'!BG16+'Sales'!BD6-'Customer Success'!BD17,"")</f>
        <v/>
      </c>
      <c r="BE16" s="21">
        <f>'Summary'!BH16+'Sales'!BE6-'Customer Success'!BE17</f>
        <v/>
      </c>
      <c r="BF16" s="21">
        <f>'Summary'!BI16+'Sales'!BF6-'Customer Success'!BF17</f>
        <v/>
      </c>
      <c r="BG16" s="2">
        <f>IF(COUNT('Summary'!BJ16,'Sales'!BG6,'Customer Success'!BG17)=3,'Summary'!BJ16+'Sales'!BG6-'Customer Success'!BG17,"")</f>
        <v/>
      </c>
      <c r="BH16" s="2">
        <f>'Summary'!BK16+'Sales'!BH6-'Customer Success'!BH17</f>
        <v/>
      </c>
      <c r="BI16" s="2">
        <f>'Summary'!BL16+'Sales'!BI6-'Customer Success'!BI17</f>
        <v/>
      </c>
      <c r="BJ16" s="21">
        <f>IF(COUNT('Summary'!BM16,'Sales'!BJ6,'Customer Success'!BJ17)=3,'Summary'!BM16+'Sales'!BJ6-'Customer Success'!BJ17,"")</f>
        <v/>
      </c>
      <c r="BK16" s="21">
        <f>'Summary'!BN16+'Sales'!BK6-'Customer Success'!BK17</f>
        <v/>
      </c>
      <c r="BL16" s="21">
        <f>'Summary'!BO16+'Sales'!BL6-'Customer Success'!BL17</f>
        <v/>
      </c>
      <c r="BM16" s="2">
        <f>IF(COUNT('Summary'!BP16,'Sales'!BM6,'Customer Success'!BM17)=3,'Summary'!BP16+'Sales'!BM6-'Customer Success'!BM17,"")</f>
        <v/>
      </c>
      <c r="BN16" s="2">
        <f>'Summary'!BQ16+'Sales'!BN6-'Customer Success'!BN17</f>
        <v/>
      </c>
      <c r="BO16" s="2">
        <f>'Summary'!BR16+'Sales'!BO6-'Customer Success'!BO17</f>
        <v/>
      </c>
      <c r="BP16" s="21">
        <f>IF(COUNT('Summary'!BS16,'Sales'!BP6,'Customer Success'!BP17)=3,'Summary'!BS16+'Sales'!BP6-'Customer Success'!BP17,"")</f>
        <v/>
      </c>
      <c r="BQ16" s="21">
        <f>'Summary'!BT16+'Sales'!BQ6-'Customer Success'!BQ17</f>
        <v/>
      </c>
      <c r="BR16" s="21">
        <f>'Summary'!BU16+'Sales'!BR6-'Customer Success'!BR17</f>
        <v/>
      </c>
      <c r="BS16" s="2">
        <f>IF(COUNT('Summary'!BV16,'Sales'!BS6,'Customer Success'!BS17)=3,'Summary'!BV16+'Sales'!BS6-'Customer Success'!BS17,"")</f>
        <v/>
      </c>
      <c r="BT16" s="2">
        <f>'Summary'!BW16+'Sales'!BT6-'Customer Success'!BT17</f>
        <v/>
      </c>
      <c r="BU16" s="2">
        <f>'Summary'!BX16+'Sales'!BU6-'Customer Success'!BU17</f>
        <v/>
      </c>
      <c r="BV16" s="21">
        <f>IF(COUNT('Summary'!BY16,'Sales'!BV6,'Customer Success'!BV17)=3,'Summary'!BY16+'Sales'!BV6-'Customer Success'!BV17,"")</f>
        <v/>
      </c>
      <c r="BW16" s="21">
        <f>'Summary'!BZ16+'Sales'!BW6-'Customer Success'!BW17</f>
        <v/>
      </c>
      <c r="BX16" s="21">
        <f>'Summary'!CA16+'Sales'!BX6-'Customer Success'!BX17</f>
        <v/>
      </c>
      <c r="BY16" s="2">
        <f>IF(COUNT('Summary'!CB16,'Sales'!BY6,'Customer Success'!BY17)=3,'Summary'!CB16+'Sales'!BY6-'Customer Success'!BY17,"")</f>
        <v/>
      </c>
      <c r="BZ16" s="2">
        <f>'Summary'!CC16+'Sales'!BZ6-'Customer Success'!BZ17</f>
        <v/>
      </c>
      <c r="CA16" s="2">
        <f>'Summary'!CD16+'Sales'!CA6-'Customer Success'!CA17</f>
        <v/>
      </c>
      <c r="CB16" s="21">
        <f>IF(COUNT('Summary'!CE16,'Sales'!CB6,'Customer Success'!CB17)=3,'Summary'!CE16+'Sales'!CB6-'Customer Success'!CB17,"")</f>
        <v/>
      </c>
      <c r="CC16" s="21">
        <f>'Summary'!CF16+'Sales'!CC6-'Customer Success'!CC17</f>
        <v/>
      </c>
      <c r="CD16" s="21">
        <f>'Summary'!CG16+'Sales'!CD6-'Customer Success'!CD17</f>
        <v/>
      </c>
      <c r="CE16" s="2">
        <f>IF(COUNT('Summary'!CH16,'Sales'!CE6,'Customer Success'!CE17)=3,'Summary'!CH16+'Sales'!CE6-'Customer Success'!CE17,"")</f>
        <v/>
      </c>
      <c r="CF16" s="2">
        <f>'Summary'!CI16+'Sales'!CF6-'Customer Success'!CF17</f>
        <v/>
      </c>
      <c r="CG16" s="2">
        <f>'Summary'!CJ16+'Sales'!CG6-'Customer Success'!CG17</f>
        <v/>
      </c>
      <c r="CH16" s="21">
        <f>IF(COUNT('Summary'!CK16,'Sales'!CH6,'Customer Success'!CH17)=3,'Summary'!CK16+'Sales'!CH6-'Customer Success'!CH17,"")</f>
        <v/>
      </c>
      <c r="CI16" s="21">
        <f>'Summary'!CL16+'Sales'!CI6-'Customer Success'!CI17</f>
        <v/>
      </c>
      <c r="CJ16" s="21">
        <f>'Summary'!CM16+'Sales'!CJ6-'Customer Success'!CJ17</f>
        <v/>
      </c>
      <c r="CK16" s="2">
        <f>IF(COUNT('Summary'!CN16,'Sales'!CK6,'Customer Success'!CK17)=3,'Summary'!CN16+'Sales'!CK6-'Customer Success'!CK17,"")</f>
        <v/>
      </c>
      <c r="CL16" s="2">
        <f>'Summary'!CO16+'Sales'!CL6-'Customer Success'!CL17</f>
        <v/>
      </c>
      <c r="CM16" s="2">
        <f>'Summary'!CP16+'Sales'!CM6-'Customer Success'!CM17</f>
        <v/>
      </c>
      <c r="CN16" s="21">
        <f>IF(COUNT('Summary'!CQ16,'Sales'!CN6,'Customer Success'!CN17)=3,'Summary'!CQ16+'Sales'!CN6-'Customer Success'!CN17,"")</f>
        <v/>
      </c>
      <c r="CO16" s="21">
        <f>'Summary'!CR16+'Sales'!CO6-'Customer Success'!CO17</f>
        <v/>
      </c>
      <c r="CP16" s="21">
        <f>'Summary'!CS16+'Sales'!CP6-'Customer Success'!CP17</f>
        <v/>
      </c>
      <c r="CQ16" s="2">
        <f>IF(COUNT('Summary'!CT16,'Sales'!CQ6,'Customer Success'!CQ17)=3,'Summary'!CT16+'Sales'!CQ6-'Customer Success'!CQ17,"")</f>
        <v/>
      </c>
      <c r="CR16" s="2">
        <f>'Summary'!CU16+'Sales'!CR6-'Customer Success'!CR17</f>
        <v/>
      </c>
      <c r="CS16" s="2">
        <f>'Summary'!CV16+'Sales'!CS6-'Customer Success'!CS17</f>
        <v/>
      </c>
      <c r="CT16" s="21">
        <f>IF(COUNT('Summary'!CW16,'Sales'!CT6,'Customer Success'!CT17)=3,'Summary'!CW16+'Sales'!CT6-'Customer Success'!CT17,"")</f>
        <v/>
      </c>
      <c r="CU16" s="21">
        <f>'Summary'!CX16+'Sales'!CU6-'Customer Success'!CU17</f>
        <v/>
      </c>
      <c r="CV16" s="21">
        <f>'Summary'!CY16+'Sales'!CV6-'Customer Success'!CV17</f>
        <v/>
      </c>
      <c r="CW16" s="2">
        <f>IF(COUNT('Summary'!CZ16,'Sales'!CW6,'Customer Success'!CW17)=3,'Summary'!CZ16+'Sales'!CW6-'Customer Success'!CW17,"")</f>
        <v/>
      </c>
      <c r="CX16" s="2">
        <f>'Summary'!DA16+'Sales'!CX6-'Customer Success'!CX17</f>
        <v/>
      </c>
      <c r="CY16" s="2">
        <f>'Summary'!DB16+'Sales'!CY6-'Customer Success'!CY17</f>
        <v/>
      </c>
      <c r="CZ16" s="21">
        <f>IF(COUNT('Summary'!DC16,'Sales'!CZ6,'Customer Success'!CZ17)=3,'Summary'!DC16+'Sales'!CZ6-'Customer Success'!CZ17,"")</f>
        <v/>
      </c>
      <c r="DA16" s="21">
        <f>'Summary'!DD16+'Sales'!DA6-'Customer Success'!DA17</f>
        <v/>
      </c>
      <c r="DB16" s="21">
        <f>'Summary'!DE16+'Sales'!DB6-'Customer Success'!DB17</f>
        <v/>
      </c>
      <c r="DC16" s="2">
        <f>IF(COUNT('Summary'!DF16,'Sales'!DC6,'Customer Success'!DC17)=3,'Summary'!DF16+'Sales'!DC6-'Customer Success'!DC17,"")</f>
        <v/>
      </c>
      <c r="DD16" s="2">
        <f>'Summary'!DG16+'Sales'!DD6-'Customer Success'!DD17</f>
        <v/>
      </c>
      <c r="DE16" s="2">
        <f>'Summary'!DH16+'Sales'!DE6-'Customer Success'!DE17</f>
        <v/>
      </c>
      <c r="DF16" s="21">
        <f>IF(COUNT('Summary'!DI16,'Sales'!DF6,'Customer Success'!DF17)=3,'Summary'!DI16+'Sales'!DF6-'Customer Success'!DF17,"")</f>
        <v/>
      </c>
      <c r="DG16" s="21">
        <f>'Summary'!DJ16+'Sales'!DG6-'Customer Success'!DG17</f>
        <v/>
      </c>
      <c r="DH16" s="21">
        <f>'Summary'!DK16+'Sales'!DH6-'Customer Success'!DH17</f>
        <v/>
      </c>
      <c r="DI16" s="2">
        <f>IF(COUNT('Summary'!DL16,'Sales'!DI6,'Customer Success'!DI17)=3,'Summary'!DL16+'Sales'!DI6-'Customer Success'!DI17,"")</f>
        <v/>
      </c>
      <c r="DJ16" s="2">
        <f>'Summary'!DM16+'Sales'!DJ6-'Customer Success'!DJ17</f>
        <v/>
      </c>
      <c r="DK16" s="2">
        <f>'Summary'!DN16+'Sales'!DK6-'Customer Success'!DK17</f>
        <v/>
      </c>
      <c r="DL16" s="21">
        <f>IF(COUNT(Finance!$B$62,'Sales'!DL6,'Customer Success'!DL17)=3,Finance!$B$62+'Sales'!DL6-'Customer Success'!DL17,"")</f>
        <v/>
      </c>
      <c r="DM16" s="21">
        <f>Finance!$B$62+'Sales'!DM6-'Customer Success'!DM17</f>
        <v/>
      </c>
      <c r="DN16" s="21">
        <f>Finance!$B$62+'Sales'!DN6-'Customer Success'!DN17</f>
        <v/>
      </c>
    </row>
    <row r="17">
      <c r="A17" s="2" t="inlineStr">
        <is>
          <t>Average Revenue per Customer</t>
        </is>
      </c>
      <c r="B17" s="22">
        <f>IF(N(B16)=0,"",B6/B16)</f>
        <v/>
      </c>
      <c r="C17" s="22">
        <f>IF(N(C16)=0,"",C6/C16)</f>
        <v/>
      </c>
      <c r="D17" s="22">
        <f>IF(N(D16)=0,"",D6/D16)</f>
        <v/>
      </c>
      <c r="E17" s="23">
        <f>IF(N(E16)=0,"",E6/E16)</f>
        <v/>
      </c>
      <c r="F17" s="23">
        <f>IF(N(F16)=0,"",F6/F16)</f>
        <v/>
      </c>
      <c r="G17" s="23">
        <f>IF(N(G16)=0,"",G6/G16)</f>
        <v/>
      </c>
      <c r="H17" s="22">
        <f>IF(N(H16)=0,"",H6/H16)</f>
        <v/>
      </c>
      <c r="I17" s="22">
        <f>IF(N(I16)=0,"",I6/I16)</f>
        <v/>
      </c>
      <c r="J17" s="22">
        <f>IF(N(J16)=0,"",J6/J16)</f>
        <v/>
      </c>
      <c r="K17" s="23">
        <f>IF(COUNT(K6,K16)=2,IF(N(K16)=0,"",K6/K16),"")</f>
        <v/>
      </c>
      <c r="L17" s="23">
        <f>IF(N(L16)=0,"",L6/L16)</f>
        <v/>
      </c>
      <c r="M17" s="23">
        <f>IF(N(M16)=0,"",M6/M16)</f>
        <v/>
      </c>
      <c r="N17" s="22">
        <f>IF(COUNT(N6,N16)=2,IF(N(N16)=0,"",N6/N16),"")</f>
        <v/>
      </c>
      <c r="O17" s="22">
        <f>IF(N(O16)=0,"",O6/O16)</f>
        <v/>
      </c>
      <c r="P17" s="22">
        <f>IF(N(P16)=0,"",P6/P16)</f>
        <v/>
      </c>
      <c r="Q17" s="23">
        <f>IF(COUNT(Q6,Q16)=2,IF(N(Q16)=0,"",Q6/Q16),"")</f>
        <v/>
      </c>
      <c r="R17" s="23">
        <f>IF(N(R16)=0,"",R6/R16)</f>
        <v/>
      </c>
      <c r="S17" s="23">
        <f>IF(N(S16)=0,"",S6/S16)</f>
        <v/>
      </c>
      <c r="T17" s="22">
        <f>IF(COUNT(T6,T16)=2,IF(N(T16)=0,"",T6/T16),"")</f>
        <v/>
      </c>
      <c r="U17" s="22">
        <f>IF(N(U16)=0,"",U6/U16)</f>
        <v/>
      </c>
      <c r="V17" s="22">
        <f>IF(N(V16)=0,"",V6/V16)</f>
        <v/>
      </c>
      <c r="W17" s="23">
        <f>IF(COUNT(W6,W16)=2,IF(N(W16)=0,"",W6/W16),"")</f>
        <v/>
      </c>
      <c r="X17" s="23">
        <f>IF(N(X16)=0,"",X6/X16)</f>
        <v/>
      </c>
      <c r="Y17" s="23">
        <f>IF(N(Y16)=0,"",Y6/Y16)</f>
        <v/>
      </c>
      <c r="Z17" s="22">
        <f>IF(COUNT(Z6,Z16)=2,IF(N(Z16)=0,"",Z6/Z16),"")</f>
        <v/>
      </c>
      <c r="AA17" s="22">
        <f>IF(N(AA16)=0,"",AA6/AA16)</f>
        <v/>
      </c>
      <c r="AB17" s="22">
        <f>IF(N(AB16)=0,"",AB6/AB16)</f>
        <v/>
      </c>
      <c r="AC17" s="23">
        <f>IF(COUNT(AC6,AC16)=2,IF(N(AC16)=0,"",AC6/AC16),"")</f>
        <v/>
      </c>
      <c r="AD17" s="23">
        <f>IF(N(AD16)=0,"",AD6/AD16)</f>
        <v/>
      </c>
      <c r="AE17" s="23">
        <f>IF(N(AE16)=0,"",AE6/AE16)</f>
        <v/>
      </c>
      <c r="AF17" s="22">
        <f>IF(COUNT(AF6,AF16)=2,IF(N(AF16)=0,"",AF6/AF16),"")</f>
        <v/>
      </c>
      <c r="AG17" s="22">
        <f>IF(N(AG16)=0,"",AG6/AG16)</f>
        <v/>
      </c>
      <c r="AH17" s="22">
        <f>IF(N(AH16)=0,"",AH6/AH16)</f>
        <v/>
      </c>
      <c r="AI17" s="23">
        <f>IF(COUNT(AI6,AI16)=2,IF(N(AI16)=0,"",AI6/AI16),"")</f>
        <v/>
      </c>
      <c r="AJ17" s="23">
        <f>IF(N(AJ16)=0,"",AJ6/AJ16)</f>
        <v/>
      </c>
      <c r="AK17" s="23">
        <f>IF(N(AK16)=0,"",AK6/AK16)</f>
        <v/>
      </c>
      <c r="AL17" s="22">
        <f>IF(COUNT(AL6,AL16)=2,IF(N(AL16)=0,"",AL6/AL16),"")</f>
        <v/>
      </c>
      <c r="AM17" s="22">
        <f>IF(N(AM16)=0,"",AM6/AM16)</f>
        <v/>
      </c>
      <c r="AN17" s="22">
        <f>IF(N(AN16)=0,"",AN6/AN16)</f>
        <v/>
      </c>
      <c r="AO17" s="23">
        <f>IF(COUNT(AO6,AO16)=2,IF(N(AO16)=0,"",AO6/AO16),"")</f>
        <v/>
      </c>
      <c r="AP17" s="23">
        <f>IF(N(AP16)=0,"",AP6/AP16)</f>
        <v/>
      </c>
      <c r="AQ17" s="23">
        <f>IF(N(AQ16)=0,"",AQ6/AQ16)</f>
        <v/>
      </c>
      <c r="AR17" s="22">
        <f>IF(COUNT(AR6,AR16)=2,IF(N(AR16)=0,"",AR6/AR16),"")</f>
        <v/>
      </c>
      <c r="AS17" s="22">
        <f>IF(N(AS16)=0,"",AS6/AS16)</f>
        <v/>
      </c>
      <c r="AT17" s="22">
        <f>IF(N(AT16)=0,"",AT6/AT16)</f>
        <v/>
      </c>
      <c r="AU17" s="23">
        <f>IF(COUNT(AU6,AU16)=2,IF(N(AU16)=0,"",AU6/AU16),"")</f>
        <v/>
      </c>
      <c r="AV17" s="23">
        <f>IF(N(AV16)=0,"",AV6/AV16)</f>
        <v/>
      </c>
      <c r="AW17" s="23">
        <f>IF(N(AW16)=0,"",AW6/AW16)</f>
        <v/>
      </c>
      <c r="AX17" s="22">
        <f>IF(COUNT(AX6,AX16)=2,IF(N(AX16)=0,"",AX6/AX16),"")</f>
        <v/>
      </c>
      <c r="AY17" s="22">
        <f>IF(N(AY16)=0,"",AY6/AY16)</f>
        <v/>
      </c>
      <c r="AZ17" s="22">
        <f>IF(N(AZ16)=0,"",AZ6/AZ16)</f>
        <v/>
      </c>
      <c r="BA17" s="23">
        <f>IF(COUNT(BA6,BA16)=2,IF(N(BA16)=0,"",BA6/BA16),"")</f>
        <v/>
      </c>
      <c r="BB17" s="23">
        <f>IF(N(BB16)=0,"",BB6/BB16)</f>
        <v/>
      </c>
      <c r="BC17" s="23">
        <f>IF(N(BC16)=0,"",BC6/BC16)</f>
        <v/>
      </c>
      <c r="BD17" s="22">
        <f>IF(COUNT(BD6,BD16)=2,IF(N(BD16)=0,"",BD6/BD16),"")</f>
        <v/>
      </c>
      <c r="BE17" s="22">
        <f>IF(N(BE16)=0,"",BE6/BE16)</f>
        <v/>
      </c>
      <c r="BF17" s="22">
        <f>IF(N(BF16)=0,"",BF6/BF16)</f>
        <v/>
      </c>
      <c r="BG17" s="23">
        <f>IF(COUNT(BG6,BG16)=2,IF(N(BG16)=0,"",BG6/BG16),"")</f>
        <v/>
      </c>
      <c r="BH17" s="23">
        <f>IF(N(BH16)=0,"",BH6/BH16)</f>
        <v/>
      </c>
      <c r="BI17" s="23">
        <f>IF(N(BI16)=0,"",BI6/BI16)</f>
        <v/>
      </c>
      <c r="BJ17" s="22">
        <f>IF(COUNT(BJ6,BJ16)=2,IF(N(BJ16)=0,"",BJ6/BJ16),"")</f>
        <v/>
      </c>
      <c r="BK17" s="22">
        <f>IF(N(BK16)=0,"",BK6/BK16)</f>
        <v/>
      </c>
      <c r="BL17" s="22">
        <f>IF(N(BL16)=0,"",BL6/BL16)</f>
        <v/>
      </c>
      <c r="BM17" s="23">
        <f>IF(COUNT(BM6,BM16)=2,IF(N(BM16)=0,"",BM6/BM16),"")</f>
        <v/>
      </c>
      <c r="BN17" s="23">
        <f>IF(N(BN16)=0,"",BN6/BN16)</f>
        <v/>
      </c>
      <c r="BO17" s="23">
        <f>IF(N(BO16)=0,"",BO6/BO16)</f>
        <v/>
      </c>
      <c r="BP17" s="22">
        <f>IF(COUNT(BP6,BP16)=2,IF(N(BP16)=0,"",BP6/BP16),"")</f>
        <v/>
      </c>
      <c r="BQ17" s="22">
        <f>IF(N(BQ16)=0,"",BQ6/BQ16)</f>
        <v/>
      </c>
      <c r="BR17" s="22">
        <f>IF(N(BR16)=0,"",BR6/BR16)</f>
        <v/>
      </c>
      <c r="BS17" s="23">
        <f>IF(COUNT(BS6,BS16)=2,IF(N(BS16)=0,"",BS6/BS16),"")</f>
        <v/>
      </c>
      <c r="BT17" s="23">
        <f>IF(N(BT16)=0,"",BT6/BT16)</f>
        <v/>
      </c>
      <c r="BU17" s="23">
        <f>IF(N(BU16)=0,"",BU6/BU16)</f>
        <v/>
      </c>
      <c r="BV17" s="22">
        <f>IF(COUNT(BV6,BV16)=2,IF(N(BV16)=0,"",BV6/BV16),"")</f>
        <v/>
      </c>
      <c r="BW17" s="22">
        <f>IF(N(BW16)=0,"",BW6/BW16)</f>
        <v/>
      </c>
      <c r="BX17" s="22">
        <f>IF(N(BX16)=0,"",BX6/BX16)</f>
        <v/>
      </c>
      <c r="BY17" s="23">
        <f>IF(COUNT(BY6,BY16)=2,IF(N(BY16)=0,"",BY6/BY16),"")</f>
        <v/>
      </c>
      <c r="BZ17" s="23">
        <f>IF(N(BZ16)=0,"",BZ6/BZ16)</f>
        <v/>
      </c>
      <c r="CA17" s="23">
        <f>IF(N(CA16)=0,"",CA6/CA16)</f>
        <v/>
      </c>
      <c r="CB17" s="22">
        <f>IF(COUNT(CB6,CB16)=2,IF(N(CB16)=0,"",CB6/CB16),"")</f>
        <v/>
      </c>
      <c r="CC17" s="22">
        <f>IF(N(CC16)=0,"",CC6/CC16)</f>
        <v/>
      </c>
      <c r="CD17" s="22">
        <f>IF(N(CD16)=0,"",CD6/CD16)</f>
        <v/>
      </c>
      <c r="CE17" s="23">
        <f>IF(COUNT(CE6,CE16)=2,IF(N(CE16)=0,"",CE6/CE16),"")</f>
        <v/>
      </c>
      <c r="CF17" s="23">
        <f>IF(N(CF16)=0,"",CF6/CF16)</f>
        <v/>
      </c>
      <c r="CG17" s="23">
        <f>IF(N(CG16)=0,"",CG6/CG16)</f>
        <v/>
      </c>
      <c r="CH17" s="22">
        <f>IF(COUNT(CH6,CH16)=2,IF(N(CH16)=0,"",CH6/CH16),"")</f>
        <v/>
      </c>
      <c r="CI17" s="22">
        <f>IF(N(CI16)=0,"",CI6/CI16)</f>
        <v/>
      </c>
      <c r="CJ17" s="22">
        <f>IF(N(CJ16)=0,"",CJ6/CJ16)</f>
        <v/>
      </c>
      <c r="CK17" s="23">
        <f>IF(COUNT(CK6,CK16)=2,IF(N(CK16)=0,"",CK6/CK16),"")</f>
        <v/>
      </c>
      <c r="CL17" s="23">
        <f>IF(N(CL16)=0,"",CL6/CL16)</f>
        <v/>
      </c>
      <c r="CM17" s="23">
        <f>IF(N(CM16)=0,"",CM6/CM16)</f>
        <v/>
      </c>
      <c r="CN17" s="22">
        <f>IF(COUNT(CN6,CN16)=2,IF(N(CN16)=0,"",CN6/CN16),"")</f>
        <v/>
      </c>
      <c r="CO17" s="22">
        <f>IF(N(CO16)=0,"",CO6/CO16)</f>
        <v/>
      </c>
      <c r="CP17" s="22">
        <f>IF(N(CP16)=0,"",CP6/CP16)</f>
        <v/>
      </c>
      <c r="CQ17" s="23">
        <f>IF(COUNT(CQ6,CQ16)=2,IF(N(CQ16)=0,"",CQ6/CQ16),"")</f>
        <v/>
      </c>
      <c r="CR17" s="23">
        <f>IF(N(CR16)=0,"",CR6/CR16)</f>
        <v/>
      </c>
      <c r="CS17" s="23">
        <f>IF(N(CS16)=0,"",CS6/CS16)</f>
        <v/>
      </c>
      <c r="CT17" s="22">
        <f>IF(COUNT(CT6,CT16)=2,IF(N(CT16)=0,"",CT6/CT16),"")</f>
        <v/>
      </c>
      <c r="CU17" s="22">
        <f>IF(N(CU16)=0,"",CU6/CU16)</f>
        <v/>
      </c>
      <c r="CV17" s="22">
        <f>IF(N(CV16)=0,"",CV6/CV16)</f>
        <v/>
      </c>
      <c r="CW17" s="23">
        <f>IF(COUNT(CW6,CW16)=2,IF(N(CW16)=0,"",CW6/CW16),"")</f>
        <v/>
      </c>
      <c r="CX17" s="23">
        <f>IF(N(CX16)=0,"",CX6/CX16)</f>
        <v/>
      </c>
      <c r="CY17" s="23">
        <f>IF(N(CY16)=0,"",CY6/CY16)</f>
        <v/>
      </c>
      <c r="CZ17" s="22">
        <f>IF(COUNT(CZ6,CZ16)=2,IF(N(CZ16)=0,"",CZ6/CZ16),"")</f>
        <v/>
      </c>
      <c r="DA17" s="22">
        <f>IF(N(DA16)=0,"",DA6/DA16)</f>
        <v/>
      </c>
      <c r="DB17" s="22">
        <f>IF(N(DB16)=0,"",DB6/DB16)</f>
        <v/>
      </c>
      <c r="DC17" s="23">
        <f>IF(COUNT(DC6,DC16)=2,IF(N(DC16)=0,"",DC6/DC16),"")</f>
        <v/>
      </c>
      <c r="DD17" s="23">
        <f>IF(N(DD16)=0,"",DD6/DD16)</f>
        <v/>
      </c>
      <c r="DE17" s="23">
        <f>IF(N(DE16)=0,"",DE6/DE16)</f>
        <v/>
      </c>
      <c r="DF17" s="22">
        <f>IF(COUNT(DF6,DF16)=2,IF(N(DF16)=0,"",DF6/DF16),"")</f>
        <v/>
      </c>
      <c r="DG17" s="22">
        <f>IF(N(DG16)=0,"",DG6/DG16)</f>
        <v/>
      </c>
      <c r="DH17" s="22">
        <f>IF(N(DH16)=0,"",DH6/DH16)</f>
        <v/>
      </c>
      <c r="DI17" s="23">
        <f>IF(COUNT(DI6,DI16)=2,IF(N(DI16)=0,"",DI6/DI16),"")</f>
        <v/>
      </c>
      <c r="DJ17" s="23">
        <f>IF(N(DJ16)=0,"",DJ6/DJ16)</f>
        <v/>
      </c>
      <c r="DK17" s="23">
        <f>IF(N(DK16)=0,"",DK6/DK16)</f>
        <v/>
      </c>
      <c r="DL17" s="22">
        <f>IF(COUNT(DL6,DL16)=2,IF(N(DL16)=0,"",DL6/DL16),"")</f>
        <v/>
      </c>
      <c r="DM17" s="22">
        <f>IF(N(DM16)=0,"",DM6/DM16)</f>
        <v/>
      </c>
      <c r="DN17" s="22">
        <f>IF(N(DN16)=0,"",DN6/DN16)</f>
        <v/>
      </c>
    </row>
    <row r="18">
      <c r="A18" s="2" t="inlineStr">
        <is>
          <t>Profit per Customer</t>
        </is>
      </c>
      <c r="B18" s="22">
        <f>IF(COUNT(AR12,AO12,AL12,AI12,AF12,AC12,Z12,W12,T12,Q12,N12,K12)=0,"",IF(N(B16)=0,"",SUM(AR12,AO12,AL12,AI12,AF12,AC12,Z12,W12,T12,Q12,N12,K12)/COUNT(AR12,AO12,AL12,AI12,AF12,AC12,Z12,W12,T12,Q12,N12,K12)*12/B16))</f>
        <v/>
      </c>
      <c r="C18" s="22">
        <f>IF(COUNT(AS12,AP12,AM12,AJ12,AG12,AD12,AA12,X12,U12,R12,O12,L12)=0,"",IF(N(C16)=0,"",SUM(AS12,AP12,AM12,AJ12,AG12,AD12,AA12,X12,U12,R12,O12,L12)/COUNT(AS12,AP12,AM12,AJ12,AG12,AD12,AA12,X12,U12,R12,O12,L12)*12/C16))</f>
        <v/>
      </c>
      <c r="D18" s="22">
        <f>IF(COUNT(AT12,AQ12,AN12,AK12,AH12,AE12,AB12,Y12,V12,S12,P12,M12)=0,"",IF(N(D16)=0,"",SUM(AT12,AQ12,AN12,AK12,AH12,AE12,AB12,Y12,V12,S12,P12,M12)/COUNT(AT12,AQ12,AN12,AK12,AH12,AE12,AB12,Y12,V12,S12,P12,M12)*12/D16))</f>
        <v/>
      </c>
      <c r="E18" s="23">
        <f>IF(COUNT(CB12,BY12,BV12,BS12,BP12,BM12,BJ12,BG12,BD12,BA12,AX12,AU12)=0,"",IF(N(E16)=0,"",SUM(CB12,BY12,BV12,BS12,BP12,BM12,BJ12,BG12,BD12,BA12,AX12,AU12)/COUNT(CB12,BY12,BV12,BS12,BP12,BM12,BJ12,BG12,BD12,BA12,AX12,AU12)*12/E16))</f>
        <v/>
      </c>
      <c r="F18" s="23">
        <f>IF(COUNT(CC12,BZ12,BW12,BT12,BQ12,BN12,BK12,BH12,BE12,BB12,AY12,AV12)=0,"",IF(N(F16)=0,"",SUM(CC12,BZ12,BW12,BT12,BQ12,BN12,BK12,BH12,BE12,BB12,AY12,AV12)/COUNT(CC12,BZ12,BW12,BT12,BQ12,BN12,BK12,BH12,BE12,BB12,AY12,AV12)*12/F16))</f>
        <v/>
      </c>
      <c r="G18" s="23">
        <f>IF(COUNT(CD12,CA12,BX12,BU12,BR12,BO12,BL12,BI12,BF12,BC12,AZ12,AW12)=0,"",IF(N(G16)=0,"",SUM(CD12,CA12,BX12,BU12,BR12,BO12,BL12,BI12,BF12,BC12,AZ12,AW12)/COUNT(CD12,CA12,BX12,BU12,BR12,BO12,BL12,BI12,BF12,BC12,AZ12,AW12)*12/G16))</f>
        <v/>
      </c>
      <c r="H18" s="22">
        <f>IF(COUNT(DL12,DI12,DF12,DC12,CZ12,CW12,CT12,CQ12,CN12,CK12,CH12,CE12)=0,"",IF(N(H16)=0,"",SUM(DL12,DI12,DF12,DC12,CZ12,CW12,CT12,CQ12,CN12,CK12,CH12,CE12)/COUNT(DL12,DI12,DF12,DC12,CZ12,CW12,CT12,CQ12,CN12,CK12,CH12,CE12)*12/H16))</f>
        <v/>
      </c>
      <c r="I18" s="22">
        <f>IF(COUNT(DM12,DJ12,DG12,DD12,DA12,CX12,CU12,CR12,CO12,CL12,CI12,CF12)=0,"",IF(N(I16)=0,"",SUM(DM12,DJ12,DG12,DD12,DA12,CX12,CU12,CR12,CO12,CL12,CI12,CF12)/COUNT(DM12,DJ12,DG12,DD12,DA12,CX12,CU12,CR12,CO12,CL12,CI12,CF12)*12/I16))</f>
        <v/>
      </c>
      <c r="J18" s="22">
        <f>IF(COUNT(DN12,DK12,DH12,DE12,DB12,CY12,CV12,CS12,CP12,CM12,CJ12,CG12)=0,"",IF(N(J16)=0,"",SUM(DN12,DK12,DH12,DE12,DB12,CY12,CV12,CS12,CP12,CM12,CJ12,CG12)/COUNT(DN12,DK12,DH12,DE12,DB12,CY12,CV12,CS12,CP12,CM12,CJ12,CG12)*12/J16))</f>
        <v/>
      </c>
      <c r="K18" s="23">
        <f>IF(COUNT(AR12,AO12,AL12,AI12,AF12,AC12,Z12,W12,T12,Q12,N12,K12)=0,"",IF(N(K16)=0,"",SUM(AR12,AO12,AL12,AI12,AF12,AC12,Z12,W12,T12,Q12,N12,K12)/COUNT(AR12,AO12,AL12,AI12,AF12,AC12,Z12,W12,T12,Q12,N12,K12)*12/K16))</f>
        <v/>
      </c>
      <c r="L18" s="23">
        <f>IF(COUNT(AS12,AP12,AM12,AJ12,AG12,AD12,AA12,X12,U12,R12,O12,L12)=0,"",IF(N(L16)=0,"",SUM(AS12,AP12,AM12,AJ12,AG12,AD12,AA12,X12,U12,R12,O12,L12)/COUNT(AS12,AP12,AM12,AJ12,AG12,AD12,AA12,X12,U12,R12,O12,L12)*12/L16))</f>
        <v/>
      </c>
      <c r="M18" s="23">
        <f>IF(COUNT(AT12,AQ12,AN12,AK12,AH12,AE12,AB12,Y12,V12,S12,P12,M12)=0,"",IF(N(M16)=0,"",SUM(AT12,AQ12,AN12,AK12,AH12,AE12,AB12,Y12,V12,S12,P12,M12)/COUNT(AT12,AQ12,AN12,AK12,AH12,AE12,AB12,Y12,V12,S12,P12,M12)*12/M16))</f>
        <v/>
      </c>
      <c r="N18" s="22">
        <f>IF(COUNT(AU12,AR12,AO12,AL12,AI12,AF12,AC12,Z12,W12,T12,Q12,N12)=0,"",IF(N(N16)=0,"",SUM(AU12,AR12,AO12,AL12,AI12,AF12,AC12,Z12,W12,T12,Q12,N12)/COUNT(AU12,AR12,AO12,AL12,AI12,AF12,AC12,Z12,W12,T12,Q12,N12)*12/N16))</f>
        <v/>
      </c>
      <c r="O18" s="22">
        <f>IF(COUNT(AV12,AS12,AP12,AM12,AJ12,AG12,AD12,AA12,X12,U12,R12,O12)=0,"",IF(N(O16)=0,"",SUM(AV12,AS12,AP12,AM12,AJ12,AG12,AD12,AA12,X12,U12,R12,O12)/COUNT(AV12,AS12,AP12,AM12,AJ12,AG12,AD12,AA12,X12,U12,R12,O12)*12/O16))</f>
        <v/>
      </c>
      <c r="P18" s="22">
        <f>IF(COUNT(AW12,AT12,AQ12,AN12,AK12,AH12,AE12,AB12,Y12,V12,S12,P12)=0,"",IF(N(P16)=0,"",SUM(AW12,AT12,AQ12,AN12,AK12,AH12,AE12,AB12,Y12,V12,S12,P12)/COUNT(AW12,AT12,AQ12,AN12,AK12,AH12,AE12,AB12,Y12,V12,S12,P12)*12/P16))</f>
        <v/>
      </c>
      <c r="Q18" s="23">
        <f>IF(COUNT(AX12,AU12,AR12,AO12,AL12,AI12,AF12,AC12,Z12,W12,T12,Q12)=0,"",IF(N(Q16)=0,"",SUM(AX12,AU12,AR12,AO12,AL12,AI12,AF12,AC12,Z12,W12,T12,Q12)/COUNT(AX12,AU12,AR12,AO12,AL12,AI12,AF12,AC12,Z12,W12,T12,Q12)*12/Q16))</f>
        <v/>
      </c>
      <c r="R18" s="23">
        <f>IF(COUNT(AY12,AV12,AS12,AP12,AM12,AJ12,AG12,AD12,AA12,X12,U12,R12)=0,"",IF(N(R16)=0,"",SUM(AY12,AV12,AS12,AP12,AM12,AJ12,AG12,AD12,AA12,X12,U12,R12)/COUNT(AY12,AV12,AS12,AP12,AM12,AJ12,AG12,AD12,AA12,X12,U12,R12)*12/R16))</f>
        <v/>
      </c>
      <c r="S18" s="23">
        <f>IF(COUNT(AZ12,AW12,AT12,AQ12,AN12,AK12,AH12,AE12,AB12,Y12,V12,S12)=0,"",IF(N(S16)=0,"",SUM(AZ12,AW12,AT12,AQ12,AN12,AK12,AH12,AE12,AB12,Y12,V12,S12)/COUNT(AZ12,AW12,AT12,AQ12,AN12,AK12,AH12,AE12,AB12,Y12,V12,S12)*12/S16))</f>
        <v/>
      </c>
      <c r="T18" s="22">
        <f>IF(COUNT(BA12,AX12,AU12,AR12,AO12,AL12,AI12,AF12,AC12,Z12,W12,T12)=0,"",IF(N(T16)=0,"",SUM(BA12,AX12,AU12,AR12,AO12,AL12,AI12,AF12,AC12,Z12,W12,T12)/COUNT(BA12,AX12,AU12,AR12,AO12,AL12,AI12,AF12,AC12,Z12,W12,T12)*12/T16))</f>
        <v/>
      </c>
      <c r="U18" s="22">
        <f>IF(COUNT(BB12,AY12,AV12,AS12,AP12,AM12,AJ12,AG12,AD12,AA12,X12,U12)=0,"",IF(N(U16)=0,"",SUM(BB12,AY12,AV12,AS12,AP12,AM12,AJ12,AG12,AD12,AA12,X12,U12)/COUNT(BB12,AY12,AV12,AS12,AP12,AM12,AJ12,AG12,AD12,AA12,X12,U12)*12/U16))</f>
        <v/>
      </c>
      <c r="V18" s="22">
        <f>IF(COUNT(BC12,AZ12,AW12,AT12,AQ12,AN12,AK12,AH12,AE12,AB12,Y12,V12)=0,"",IF(N(V16)=0,"",SUM(BC12,AZ12,AW12,AT12,AQ12,AN12,AK12,AH12,AE12,AB12,Y12,V12)/COUNT(BC12,AZ12,AW12,AT12,AQ12,AN12,AK12,AH12,AE12,AB12,Y12,V12)*12/V16))</f>
        <v/>
      </c>
      <c r="W18" s="23">
        <f>IF(COUNT(BD12,BA12,AX12,AU12,AR12,AO12,AL12,AI12,AF12,AC12,Z12,W12)=0,"",IF(N(W16)=0,"",SUM(BD12,BA12,AX12,AU12,AR12,AO12,AL12,AI12,AF12,AC12,Z12,W12)/COUNT(BD12,BA12,AX12,AU12,AR12,AO12,AL12,AI12,AF12,AC12,Z12,W12)*12/W16))</f>
        <v/>
      </c>
      <c r="X18" s="23">
        <f>IF(COUNT(BE12,BB12,AY12,AV12,AS12,AP12,AM12,AJ12,AG12,AD12,AA12,X12)=0,"",IF(N(X16)=0,"",SUM(BE12,BB12,AY12,AV12,AS12,AP12,AM12,AJ12,AG12,AD12,AA12,X12)/COUNT(BE12,BB12,AY12,AV12,AS12,AP12,AM12,AJ12,AG12,AD12,AA12,X12)*12/X16))</f>
        <v/>
      </c>
      <c r="Y18" s="23">
        <f>IF(COUNT(BF12,BC12,AZ12,AW12,AT12,AQ12,AN12,AK12,AH12,AE12,AB12,Y12)=0,"",IF(N(Y16)=0,"",SUM(BF12,BC12,AZ12,AW12,AT12,AQ12,AN12,AK12,AH12,AE12,AB12,Y12)/COUNT(BF12,BC12,AZ12,AW12,AT12,AQ12,AN12,AK12,AH12,AE12,AB12,Y12)*12/Y16))</f>
        <v/>
      </c>
      <c r="Z18" s="22">
        <f>IF(COUNT(BG12,BD12,BA12,AX12,AU12,AR12,AO12,AL12,AI12,AF12,AC12,Z12)=0,"",IF(N(Z16)=0,"",SUM(BG12,BD12,BA12,AX12,AU12,AR12,AO12,AL12,AI12,AF12,AC12,Z12)/COUNT(BG12,BD12,BA12,AX12,AU12,AR12,AO12,AL12,AI12,AF12,AC12,Z12)*12/Z16))</f>
        <v/>
      </c>
      <c r="AA18" s="22">
        <f>IF(COUNT(BH12,BE12,BB12,AY12,AV12,AS12,AP12,AM12,AJ12,AG12,AD12,AA12)=0,"",IF(N(AA16)=0,"",SUM(BH12,BE12,BB12,AY12,AV12,AS12,AP12,AM12,AJ12,AG12,AD12,AA12)/COUNT(BH12,BE12,BB12,AY12,AV12,AS12,AP12,AM12,AJ12,AG12,AD12,AA12)*12/AA16))</f>
        <v/>
      </c>
      <c r="AB18" s="22">
        <f>IF(COUNT(BI12,BF12,BC12,AZ12,AW12,AT12,AQ12,AN12,AK12,AH12,AE12,AB12)=0,"",IF(N(AB16)=0,"",SUM(BI12,BF12,BC12,AZ12,AW12,AT12,AQ12,AN12,AK12,AH12,AE12,AB12)/COUNT(BI12,BF12,BC12,AZ12,AW12,AT12,AQ12,AN12,AK12,AH12,AE12,AB12)*12/AB16))</f>
        <v/>
      </c>
      <c r="AC18" s="23">
        <f>IF(COUNT(BJ12,BG12,BD12,BA12,AX12,AU12,AR12,AO12,AL12,AI12,AF12,AC12)=0,"",IF(N(AC16)=0,"",SUM(BJ12,BG12,BD12,BA12,AX12,AU12,AR12,AO12,AL12,AI12,AF12,AC12)/COUNT(BJ12,BG12,BD12,BA12,AX12,AU12,AR12,AO12,AL12,AI12,AF12,AC12)*12/AC16))</f>
        <v/>
      </c>
      <c r="AD18" s="23">
        <f>IF(COUNT(BK12,BH12,BE12,BB12,AY12,AV12,AS12,AP12,AM12,AJ12,AG12,AD12)=0,"",IF(N(AD16)=0,"",SUM(BK12,BH12,BE12,BB12,AY12,AV12,AS12,AP12,AM12,AJ12,AG12,AD12)/COUNT(BK12,BH12,BE12,BB12,AY12,AV12,AS12,AP12,AM12,AJ12,AG12,AD12)*12/AD16))</f>
        <v/>
      </c>
      <c r="AE18" s="23">
        <f>IF(COUNT(BL12,BI12,BF12,BC12,AZ12,AW12,AT12,AQ12,AN12,AK12,AH12,AE12)=0,"",IF(N(AE16)=0,"",SUM(BL12,BI12,BF12,BC12,AZ12,AW12,AT12,AQ12,AN12,AK12,AH12,AE12)/COUNT(BL12,BI12,BF12,BC12,AZ12,AW12,AT12,AQ12,AN12,AK12,AH12,AE12)*12/AE16))</f>
        <v/>
      </c>
      <c r="AF18" s="22">
        <f>IF(COUNT(BM12,BJ12,BG12,BD12,BA12,AX12,AU12,AR12,AO12,AL12,AI12,AF12)=0,"",IF(N(AF16)=0,"",SUM(BM12,BJ12,BG12,BD12,BA12,AX12,AU12,AR12,AO12,AL12,AI12,AF12)/COUNT(BM12,BJ12,BG12,BD12,BA12,AX12,AU12,AR12,AO12,AL12,AI12,AF12)*12/AF16))</f>
        <v/>
      </c>
      <c r="AG18" s="22">
        <f>IF(COUNT(BN12,BK12,BH12,BE12,BB12,AY12,AV12,AS12,AP12,AM12,AJ12,AG12)=0,"",IF(N(AG16)=0,"",SUM(BN12,BK12,BH12,BE12,BB12,AY12,AV12,AS12,AP12,AM12,AJ12,AG12)/COUNT(BN12,BK12,BH12,BE12,BB12,AY12,AV12,AS12,AP12,AM12,AJ12,AG12)*12/AG16))</f>
        <v/>
      </c>
      <c r="AH18" s="22">
        <f>IF(COUNT(BO12,BL12,BI12,BF12,BC12,AZ12,AW12,AT12,AQ12,AN12,AK12,AH12)=0,"",IF(N(AH16)=0,"",SUM(BO12,BL12,BI12,BF12,BC12,AZ12,AW12,AT12,AQ12,AN12,AK12,AH12)/COUNT(BO12,BL12,BI12,BF12,BC12,AZ12,AW12,AT12,AQ12,AN12,AK12,AH12)*12/AH16))</f>
        <v/>
      </c>
      <c r="AI18" s="23">
        <f>IF(COUNT(BP12,BM12,BJ12,BG12,BD12,BA12,AX12,AU12,AR12,AO12,AL12,AI12)=0,"",IF(N(AI16)=0,"",SUM(BP12,BM12,BJ12,BG12,BD12,BA12,AX12,AU12,AR12,AO12,AL12,AI12)/COUNT(BP12,BM12,BJ12,BG12,BD12,BA12,AX12,AU12,AR12,AO12,AL12,AI12)*12/AI16))</f>
        <v/>
      </c>
      <c r="AJ18" s="23">
        <f>IF(COUNT(BQ12,BN12,BK12,BH12,BE12,BB12,AY12,AV12,AS12,AP12,AM12,AJ12)=0,"",IF(N(AJ16)=0,"",SUM(BQ12,BN12,BK12,BH12,BE12,BB12,AY12,AV12,AS12,AP12,AM12,AJ12)/COUNT(BQ12,BN12,BK12,BH12,BE12,BB12,AY12,AV12,AS12,AP12,AM12,AJ12)*12/AJ16))</f>
        <v/>
      </c>
      <c r="AK18" s="23">
        <f>IF(COUNT(BR12,BO12,BL12,BI12,BF12,BC12,AZ12,AW12,AT12,AQ12,AN12,AK12)=0,"",IF(N(AK16)=0,"",SUM(BR12,BO12,BL12,BI12,BF12,BC12,AZ12,AW12,AT12,AQ12,AN12,AK12)/COUNT(BR12,BO12,BL12,BI12,BF12,BC12,AZ12,AW12,AT12,AQ12,AN12,AK12)*12/AK16))</f>
        <v/>
      </c>
      <c r="AL18" s="22">
        <f>IF(COUNT(BS12,BP12,BM12,BJ12,BG12,BD12,BA12,AX12,AU12,AR12,AO12,AL12)=0,"",IF(N(AL16)=0,"",SUM(BS12,BP12,BM12,BJ12,BG12,BD12,BA12,AX12,AU12,AR12,AO12,AL12)/COUNT(BS12,BP12,BM12,BJ12,BG12,BD12,BA12,AX12,AU12,AR12,AO12,AL12)*12/AL16))</f>
        <v/>
      </c>
      <c r="AM18" s="22">
        <f>IF(COUNT(BT12,BQ12,BN12,BK12,BH12,BE12,BB12,AY12,AV12,AS12,AP12,AM12)=0,"",IF(N(AM16)=0,"",SUM(BT12,BQ12,BN12,BK12,BH12,BE12,BB12,AY12,AV12,AS12,AP12,AM12)/COUNT(BT12,BQ12,BN12,BK12,BH12,BE12,BB12,AY12,AV12,AS12,AP12,AM12)*12/AM16))</f>
        <v/>
      </c>
      <c r="AN18" s="22">
        <f>IF(COUNT(BU12,BR12,BO12,BL12,BI12,BF12,BC12,AZ12,AW12,AT12,AQ12,AN12)=0,"",IF(N(AN16)=0,"",SUM(BU12,BR12,BO12,BL12,BI12,BF12,BC12,AZ12,AW12,AT12,AQ12,AN12)/COUNT(BU12,BR12,BO12,BL12,BI12,BF12,BC12,AZ12,AW12,AT12,AQ12,AN12)*12/AN16))</f>
        <v/>
      </c>
      <c r="AO18" s="23">
        <f>IF(COUNT(BV12,BS12,BP12,BM12,BJ12,BG12,BD12,BA12,AX12,AU12,AR12,AO12)=0,"",IF(N(AO16)=0,"",SUM(BV12,BS12,BP12,BM12,BJ12,BG12,BD12,BA12,AX12,AU12,AR12,AO12)/COUNT(BV12,BS12,BP12,BM12,BJ12,BG12,BD12,BA12,AX12,AU12,AR12,AO12)*12/AO16))</f>
        <v/>
      </c>
      <c r="AP18" s="23">
        <f>IF(COUNT(BW12,BT12,BQ12,BN12,BK12,BH12,BE12,BB12,AY12,AV12,AS12,AP12)=0,"",IF(N(AP16)=0,"",SUM(BW12,BT12,BQ12,BN12,BK12,BH12,BE12,BB12,AY12,AV12,AS12,AP12)/COUNT(BW12,BT12,BQ12,BN12,BK12,BH12,BE12,BB12,AY12,AV12,AS12,AP12)*12/AP16))</f>
        <v/>
      </c>
      <c r="AQ18" s="23">
        <f>IF(COUNT(BX12,BU12,BR12,BO12,BL12,BI12,BF12,BC12,AZ12,AW12,AT12,AQ12)=0,"",IF(N(AQ16)=0,"",SUM(BX12,BU12,BR12,BO12,BL12,BI12,BF12,BC12,AZ12,AW12,AT12,AQ12)/COUNT(BX12,BU12,BR12,BO12,BL12,BI12,BF12,BC12,AZ12,AW12,AT12,AQ12)*12/AQ16))</f>
        <v/>
      </c>
      <c r="AR18" s="22">
        <f>IF(COUNT(BY12,BV12,BS12,BP12,BM12,BJ12,BG12,BD12,BA12,AX12,AU12,AR12)=0,"",IF(N(AR16)=0,"",SUM(BY12,BV12,BS12,BP12,BM12,BJ12,BG12,BD12,BA12,AX12,AU12,AR12)/COUNT(BY12,BV12,BS12,BP12,BM12,BJ12,BG12,BD12,BA12,AX12,AU12,AR12)*12/AR16))</f>
        <v/>
      </c>
      <c r="AS18" s="22">
        <f>IF(COUNT(BZ12,BW12,BT12,BQ12,BN12,BK12,BH12,BE12,BB12,AY12,AV12,AS12)=0,"",IF(N(AS16)=0,"",SUM(BZ12,BW12,BT12,BQ12,BN12,BK12,BH12,BE12,BB12,AY12,AV12,AS12)/COUNT(BZ12,BW12,BT12,BQ12,BN12,BK12,BH12,BE12,BB12,AY12,AV12,AS12)*12/AS16))</f>
        <v/>
      </c>
      <c r="AT18" s="22">
        <f>IF(COUNT(CA12,BX12,BU12,BR12,BO12,BL12,BI12,BF12,BC12,AZ12,AW12,AT12)=0,"",IF(N(AT16)=0,"",SUM(CA12,BX12,BU12,BR12,BO12,BL12,BI12,BF12,BC12,AZ12,AW12,AT12)/COUNT(CA12,BX12,BU12,BR12,BO12,BL12,BI12,BF12,BC12,AZ12,AW12,AT12)*12/AT16))</f>
        <v/>
      </c>
      <c r="AU18" s="23">
        <f>IF(COUNT(CB12,BY12,BV12,BS12,BP12,BM12,BJ12,BG12,BD12,BA12,AX12,AU12)=0,"",IF(N(AU16)=0,"",SUM(CB12,BY12,BV12,BS12,BP12,BM12,BJ12,BG12,BD12,BA12,AX12,AU12)/COUNT(CB12,BY12,BV12,BS12,BP12,BM12,BJ12,BG12,BD12,BA12,AX12,AU12)*12/AU16))</f>
        <v/>
      </c>
      <c r="AV18" s="23">
        <f>IF(COUNT(CC12,BZ12,BW12,BT12,BQ12,BN12,BK12,BH12,BE12,BB12,AY12,AV12)=0,"",IF(N(AV16)=0,"",SUM(CC12,BZ12,BW12,BT12,BQ12,BN12,BK12,BH12,BE12,BB12,AY12,AV12)/COUNT(CC12,BZ12,BW12,BT12,BQ12,BN12,BK12,BH12,BE12,BB12,AY12,AV12)*12/AV16))</f>
        <v/>
      </c>
      <c r="AW18" s="23">
        <f>IF(COUNT(CD12,CA12,BX12,BU12,BR12,BO12,BL12,BI12,BF12,BC12,AZ12,AW12)=0,"",IF(N(AW16)=0,"",SUM(CD12,CA12,BX12,BU12,BR12,BO12,BL12,BI12,BF12,BC12,AZ12,AW12)/COUNT(CD12,CA12,BX12,BU12,BR12,BO12,BL12,BI12,BF12,BC12,AZ12,AW12)*12/AW16))</f>
        <v/>
      </c>
      <c r="AX18" s="22">
        <f>IF(COUNT(CE12,CB12,BY12,BV12,BS12,BP12,BM12,BJ12,BG12,BD12,BA12,AX12)=0,"",IF(N(AX16)=0,"",SUM(CE12,CB12,BY12,BV12,BS12,BP12,BM12,BJ12,BG12,BD12,BA12,AX12)/COUNT(CE12,CB12,BY12,BV12,BS12,BP12,BM12,BJ12,BG12,BD12,BA12,AX12)*12/AX16))</f>
        <v/>
      </c>
      <c r="AY18" s="22">
        <f>IF(COUNT(CF12,CC12,BZ12,BW12,BT12,BQ12,BN12,BK12,BH12,BE12,BB12,AY12)=0,"",IF(N(AY16)=0,"",SUM(CF12,CC12,BZ12,BW12,BT12,BQ12,BN12,BK12,BH12,BE12,BB12,AY12)/COUNT(CF12,CC12,BZ12,BW12,BT12,BQ12,BN12,BK12,BH12,BE12,BB12,AY12)*12/AY16))</f>
        <v/>
      </c>
      <c r="AZ18" s="22">
        <f>IF(COUNT(CG12,CD12,CA12,BX12,BU12,BR12,BO12,BL12,BI12,BF12,BC12,AZ12)=0,"",IF(N(AZ16)=0,"",SUM(CG12,CD12,CA12,BX12,BU12,BR12,BO12,BL12,BI12,BF12,BC12,AZ12)/COUNT(CG12,CD12,CA12,BX12,BU12,BR12,BO12,BL12,BI12,BF12,BC12,AZ12)*12/AZ16))</f>
        <v/>
      </c>
      <c r="BA18" s="23">
        <f>IF(COUNT(CH12,CE12,CB12,BY12,BV12,BS12,BP12,BM12,BJ12,BG12,BD12,BA12)=0,"",IF(N(BA16)=0,"",SUM(CH12,CE12,CB12,BY12,BV12,BS12,BP12,BM12,BJ12,BG12,BD12,BA12)/COUNT(CH12,CE12,CB12,BY12,BV12,BS12,BP12,BM12,BJ12,BG12,BD12,BA12)*12/BA16))</f>
        <v/>
      </c>
      <c r="BB18" s="23">
        <f>IF(COUNT(CI12,CF12,CC12,BZ12,BW12,BT12,BQ12,BN12,BK12,BH12,BE12,BB12)=0,"",IF(N(BB16)=0,"",SUM(CI12,CF12,CC12,BZ12,BW12,BT12,BQ12,BN12,BK12,BH12,BE12,BB12)/COUNT(CI12,CF12,CC12,BZ12,BW12,BT12,BQ12,BN12,BK12,BH12,BE12,BB12)*12/BB16))</f>
        <v/>
      </c>
      <c r="BC18" s="23">
        <f>IF(COUNT(CJ12,CG12,CD12,CA12,BX12,BU12,BR12,BO12,BL12,BI12,BF12,BC12)=0,"",IF(N(BC16)=0,"",SUM(CJ12,CG12,CD12,CA12,BX12,BU12,BR12,BO12,BL12,BI12,BF12,BC12)/COUNT(CJ12,CG12,CD12,CA12,BX12,BU12,BR12,BO12,BL12,BI12,BF12,BC12)*12/BC16))</f>
        <v/>
      </c>
      <c r="BD18" s="22">
        <f>IF(COUNT(CK12,CH12,CE12,CB12,BY12,BV12,BS12,BP12,BM12,BJ12,BG12,BD12)=0,"",IF(N(BD16)=0,"",SUM(CK12,CH12,CE12,CB12,BY12,BV12,BS12,BP12,BM12,BJ12,BG12,BD12)/COUNT(CK12,CH12,CE12,CB12,BY12,BV12,BS12,BP12,BM12,BJ12,BG12,BD12)*12/BD16))</f>
        <v/>
      </c>
      <c r="BE18" s="22">
        <f>IF(COUNT(CL12,CI12,CF12,CC12,BZ12,BW12,BT12,BQ12,BN12,BK12,BH12,BE12)=0,"",IF(N(BE16)=0,"",SUM(CL12,CI12,CF12,CC12,BZ12,BW12,BT12,BQ12,BN12,BK12,BH12,BE12)/COUNT(CL12,CI12,CF12,CC12,BZ12,BW12,BT12,BQ12,BN12,BK12,BH12,BE12)*12/BE16))</f>
        <v/>
      </c>
      <c r="BF18" s="22">
        <f>IF(COUNT(CM12,CJ12,CG12,CD12,CA12,BX12,BU12,BR12,BO12,BL12,BI12,BF12)=0,"",IF(N(BF16)=0,"",SUM(CM12,CJ12,CG12,CD12,CA12,BX12,BU12,BR12,BO12,BL12,BI12,BF12)/COUNT(CM12,CJ12,CG12,CD12,CA12,BX12,BU12,BR12,BO12,BL12,BI12,BF12)*12/BF16))</f>
        <v/>
      </c>
      <c r="BG18" s="23">
        <f>IF(COUNT(CN12,CK12,CH12,CE12,CB12,BY12,BV12,BS12,BP12,BM12,BJ12,BG12)=0,"",IF(N(BG16)=0,"",SUM(CN12,CK12,CH12,CE12,CB12,BY12,BV12,BS12,BP12,BM12,BJ12,BG12)/COUNT(CN12,CK12,CH12,CE12,CB12,BY12,BV12,BS12,BP12,BM12,BJ12,BG12)*12/BG16))</f>
        <v/>
      </c>
      <c r="BH18" s="23">
        <f>IF(COUNT(CO12,CL12,CI12,CF12,CC12,BZ12,BW12,BT12,BQ12,BN12,BK12,BH12)=0,"",IF(N(BH16)=0,"",SUM(CO12,CL12,CI12,CF12,CC12,BZ12,BW12,BT12,BQ12,BN12,BK12,BH12)/COUNT(CO12,CL12,CI12,CF12,CC12,BZ12,BW12,BT12,BQ12,BN12,BK12,BH12)*12/BH16))</f>
        <v/>
      </c>
      <c r="BI18" s="23">
        <f>IF(COUNT(CP12,CM12,CJ12,CG12,CD12,CA12,BX12,BU12,BR12,BO12,BL12,BI12)=0,"",IF(N(BI16)=0,"",SUM(CP12,CM12,CJ12,CG12,CD12,CA12,BX12,BU12,BR12,BO12,BL12,BI12)/COUNT(CP12,CM12,CJ12,CG12,CD12,CA12,BX12,BU12,BR12,BO12,BL12,BI12)*12/BI16))</f>
        <v/>
      </c>
      <c r="BJ18" s="22">
        <f>IF(COUNT(CQ12,CN12,CK12,CH12,CE12,CB12,BY12,BV12,BS12,BP12,BM12,BJ12)=0,"",IF(N(BJ16)=0,"",SUM(CQ12,CN12,CK12,CH12,CE12,CB12,BY12,BV12,BS12,BP12,BM12,BJ12)/COUNT(CQ12,CN12,CK12,CH12,CE12,CB12,BY12,BV12,BS12,BP12,BM12,BJ12)*12/BJ16))</f>
        <v/>
      </c>
      <c r="BK18" s="22">
        <f>IF(COUNT(CR12,CO12,CL12,CI12,CF12,CC12,BZ12,BW12,BT12,BQ12,BN12,BK12)=0,"",IF(N(BK16)=0,"",SUM(CR12,CO12,CL12,CI12,CF12,CC12,BZ12,BW12,BT12,BQ12,BN12,BK12)/COUNT(CR12,CO12,CL12,CI12,CF12,CC12,BZ12,BW12,BT12,BQ12,BN12,BK12)*12/BK16))</f>
        <v/>
      </c>
      <c r="BL18" s="22">
        <f>IF(COUNT(CS12,CP12,CM12,CJ12,CG12,CD12,CA12,BX12,BU12,BR12,BO12,BL12)=0,"",IF(N(BL16)=0,"",SUM(CS12,CP12,CM12,CJ12,CG12,CD12,CA12,BX12,BU12,BR12,BO12,BL12)/COUNT(CS12,CP12,CM12,CJ12,CG12,CD12,CA12,BX12,BU12,BR12,BO12,BL12)*12/BL16))</f>
        <v/>
      </c>
      <c r="BM18" s="23">
        <f>IF(COUNT(CT12,CQ12,CN12,CK12,CH12,CE12,CB12,BY12,BV12,BS12,BP12,BM12)=0,"",IF(N(BM16)=0,"",SUM(CT12,CQ12,CN12,CK12,CH12,CE12,CB12,BY12,BV12,BS12,BP12,BM12)/COUNT(CT12,CQ12,CN12,CK12,CH12,CE12,CB12,BY12,BV12,BS12,BP12,BM12)*12/BM16))</f>
        <v/>
      </c>
      <c r="BN18" s="23">
        <f>IF(COUNT(CU12,CR12,CO12,CL12,CI12,CF12,CC12,BZ12,BW12,BT12,BQ12,BN12)=0,"",IF(N(BN16)=0,"",SUM(CU12,CR12,CO12,CL12,CI12,CF12,CC12,BZ12,BW12,BT12,BQ12,BN12)/COUNT(CU12,CR12,CO12,CL12,CI12,CF12,CC12,BZ12,BW12,BT12,BQ12,BN12)*12/BN16))</f>
        <v/>
      </c>
      <c r="BO18" s="23">
        <f>IF(COUNT(CV12,CS12,CP12,CM12,CJ12,CG12,CD12,CA12,BX12,BU12,BR12,BO12)=0,"",IF(N(BO16)=0,"",SUM(CV12,CS12,CP12,CM12,CJ12,CG12,CD12,CA12,BX12,BU12,BR12,BO12)/COUNT(CV12,CS12,CP12,CM12,CJ12,CG12,CD12,CA12,BX12,BU12,BR12,BO12)*12/BO16))</f>
        <v/>
      </c>
      <c r="BP18" s="22">
        <f>IF(COUNT(CW12,CT12,CQ12,CN12,CK12,CH12,CE12,CB12,BY12,BV12,BS12,BP12)=0,"",IF(N(BP16)=0,"",SUM(CW12,CT12,CQ12,CN12,CK12,CH12,CE12,CB12,BY12,BV12,BS12,BP12)/COUNT(CW12,CT12,CQ12,CN12,CK12,CH12,CE12,CB12,BY12,BV12,BS12,BP12)*12/BP16))</f>
        <v/>
      </c>
      <c r="BQ18" s="22">
        <f>IF(COUNT(CX12,CU12,CR12,CO12,CL12,CI12,CF12,CC12,BZ12,BW12,BT12,BQ12)=0,"",IF(N(BQ16)=0,"",SUM(CX12,CU12,CR12,CO12,CL12,CI12,CF12,CC12,BZ12,BW12,BT12,BQ12)/COUNT(CX12,CU12,CR12,CO12,CL12,CI12,CF12,CC12,BZ12,BW12,BT12,BQ12)*12/BQ16))</f>
        <v/>
      </c>
      <c r="BR18" s="22">
        <f>IF(COUNT(CY12,CV12,CS12,CP12,CM12,CJ12,CG12,CD12,CA12,BX12,BU12,BR12)=0,"",IF(N(BR16)=0,"",SUM(CY12,CV12,CS12,CP12,CM12,CJ12,CG12,CD12,CA12,BX12,BU12,BR12)/COUNT(CY12,CV12,CS12,CP12,CM12,CJ12,CG12,CD12,CA12,BX12,BU12,BR12)*12/BR16))</f>
        <v/>
      </c>
      <c r="BS18" s="23">
        <f>IF(COUNT(CZ12,CW12,CT12,CQ12,CN12,CK12,CH12,CE12,CB12,BY12,BV12,BS12)=0,"",IF(N(BS16)=0,"",SUM(CZ12,CW12,CT12,CQ12,CN12,CK12,CH12,CE12,CB12,BY12,BV12,BS12)/COUNT(CZ12,CW12,CT12,CQ12,CN12,CK12,CH12,CE12,CB12,BY12,BV12,BS12)*12/BS16))</f>
        <v/>
      </c>
      <c r="BT18" s="23">
        <f>IF(COUNT(DA12,CX12,CU12,CR12,CO12,CL12,CI12,CF12,CC12,BZ12,BW12,BT12)=0,"",IF(N(BT16)=0,"",SUM(DA12,CX12,CU12,CR12,CO12,CL12,CI12,CF12,CC12,BZ12,BW12,BT12)/COUNT(DA12,CX12,CU12,CR12,CO12,CL12,CI12,CF12,CC12,BZ12,BW12,BT12)*12/BT16))</f>
        <v/>
      </c>
      <c r="BU18" s="23">
        <f>IF(COUNT(DB12,CY12,CV12,CS12,CP12,CM12,CJ12,CG12,CD12,CA12,BX12,BU12)=0,"",IF(N(BU16)=0,"",SUM(DB12,CY12,CV12,CS12,CP12,CM12,CJ12,CG12,CD12,CA12,BX12,BU12)/COUNT(DB12,CY12,CV12,CS12,CP12,CM12,CJ12,CG12,CD12,CA12,BX12,BU12)*12/BU16))</f>
        <v/>
      </c>
      <c r="BV18" s="22">
        <f>IF(COUNT(DC12,CZ12,CW12,CT12,CQ12,CN12,CK12,CH12,CE12,CB12,BY12,BV12)=0,"",IF(N(BV16)=0,"",SUM(DC12,CZ12,CW12,CT12,CQ12,CN12,CK12,CH12,CE12,CB12,BY12,BV12)/COUNT(DC12,CZ12,CW12,CT12,CQ12,CN12,CK12,CH12,CE12,CB12,BY12,BV12)*12/BV16))</f>
        <v/>
      </c>
      <c r="BW18" s="22">
        <f>IF(COUNT(DD12,DA12,CX12,CU12,CR12,CO12,CL12,CI12,CF12,CC12,BZ12,BW12)=0,"",IF(N(BW16)=0,"",SUM(DD12,DA12,CX12,CU12,CR12,CO12,CL12,CI12,CF12,CC12,BZ12,BW12)/COUNT(DD12,DA12,CX12,CU12,CR12,CO12,CL12,CI12,CF12,CC12,BZ12,BW12)*12/BW16))</f>
        <v/>
      </c>
      <c r="BX18" s="22">
        <f>IF(COUNT(DE12,DB12,CY12,CV12,CS12,CP12,CM12,CJ12,CG12,CD12,CA12,BX12)=0,"",IF(N(BX16)=0,"",SUM(DE12,DB12,CY12,CV12,CS12,CP12,CM12,CJ12,CG12,CD12,CA12,BX12)/COUNT(DE12,DB12,CY12,CV12,CS12,CP12,CM12,CJ12,CG12,CD12,CA12,BX12)*12/BX16))</f>
        <v/>
      </c>
      <c r="BY18" s="23">
        <f>IF(COUNT(DF12,DC12,CZ12,CW12,CT12,CQ12,CN12,CK12,CH12,CE12,CB12,BY12)=0,"",IF(N(BY16)=0,"",SUM(DF12,DC12,CZ12,CW12,CT12,CQ12,CN12,CK12,CH12,CE12,CB12,BY12)/COUNT(DF12,DC12,CZ12,CW12,CT12,CQ12,CN12,CK12,CH12,CE12,CB12,BY12)*12/BY16))</f>
        <v/>
      </c>
      <c r="BZ18" s="23">
        <f>IF(COUNT(DG12,DD12,DA12,CX12,CU12,CR12,CO12,CL12,CI12,CF12,CC12,BZ12)=0,"",IF(N(BZ16)=0,"",SUM(DG12,DD12,DA12,CX12,CU12,CR12,CO12,CL12,CI12,CF12,CC12,BZ12)/COUNT(DG12,DD12,DA12,CX12,CU12,CR12,CO12,CL12,CI12,CF12,CC12,BZ12)*12/BZ16))</f>
        <v/>
      </c>
      <c r="CA18" s="23">
        <f>IF(COUNT(DH12,DE12,DB12,CY12,CV12,CS12,CP12,CM12,CJ12,CG12,CD12,CA12)=0,"",IF(N(CA16)=0,"",SUM(DH12,DE12,DB12,CY12,CV12,CS12,CP12,CM12,CJ12,CG12,CD12,CA12)/COUNT(DH12,DE12,DB12,CY12,CV12,CS12,CP12,CM12,CJ12,CG12,CD12,CA12)*12/CA16))</f>
        <v/>
      </c>
      <c r="CB18" s="22">
        <f>IF(COUNT(DI12,DF12,DC12,CZ12,CW12,CT12,CQ12,CN12,CK12,CH12,CE12,CB12)=0,"",IF(N(CB16)=0,"",SUM(DI12,DF12,DC12,CZ12,CW12,CT12,CQ12,CN12,CK12,CH12,CE12,CB12)/COUNT(DI12,DF12,DC12,CZ12,CW12,CT12,CQ12,CN12,CK12,CH12,CE12,CB12)*12/CB16))</f>
        <v/>
      </c>
      <c r="CC18" s="22">
        <f>IF(COUNT(DJ12,DG12,DD12,DA12,CX12,CU12,CR12,CO12,CL12,CI12,CF12,CC12)=0,"",IF(N(CC16)=0,"",SUM(DJ12,DG12,DD12,DA12,CX12,CU12,CR12,CO12,CL12,CI12,CF12,CC12)/COUNT(DJ12,DG12,DD12,DA12,CX12,CU12,CR12,CO12,CL12,CI12,CF12,CC12)*12/CC16))</f>
        <v/>
      </c>
      <c r="CD18" s="22">
        <f>IF(COUNT(DK12,DH12,DE12,DB12,CY12,CV12,CS12,CP12,CM12,CJ12,CG12,CD12)=0,"",IF(N(CD16)=0,"",SUM(DK12,DH12,DE12,DB12,CY12,CV12,CS12,CP12,CM12,CJ12,CG12,CD12)/COUNT(DK12,DH12,DE12,DB12,CY12,CV12,CS12,CP12,CM12,CJ12,CG12,CD12)*12/CD16))</f>
        <v/>
      </c>
      <c r="CE18" s="23">
        <f>IF(COUNT(DL12,DI12,DF12,DC12,CZ12,CW12,CT12,CQ12,CN12,CK12,CH12,CE12)=0,"",IF(N(CE16)=0,"",SUM(DL12,DI12,DF12,DC12,CZ12,CW12,CT12,CQ12,CN12,CK12,CH12,CE12)/COUNT(DL12,DI12,DF12,DC12,CZ12,CW12,CT12,CQ12,CN12,CK12,CH12,CE12)*12/CE16))</f>
        <v/>
      </c>
      <c r="CF18" s="23">
        <f>IF(COUNT(DM12,DJ12,DG12,DD12,DA12,CX12,CU12,CR12,CO12,CL12,CI12,CF12)=0,"",IF(N(CF16)=0,"",SUM(DM12,DJ12,DG12,DD12,DA12,CX12,CU12,CR12,CO12,CL12,CI12,CF12)/COUNT(DM12,DJ12,DG12,DD12,DA12,CX12,CU12,CR12,CO12,CL12,CI12,CF12)*12/CF16))</f>
        <v/>
      </c>
      <c r="CG18" s="23">
        <f>IF(COUNT(DN12,DK12,DH12,DE12,DB12,CY12,CV12,CS12,CP12,CM12,CJ12,CG12)=0,"",IF(N(CG16)=0,"",SUM(DN12,DK12,DH12,DE12,DB12,CY12,CV12,CS12,CP12,CM12,CJ12,CG12)/COUNT(DN12,DK12,DH12,DE12,DB12,CY12,CV12,CS12,CP12,CM12,CJ12,CG12)*12/CG16))</f>
        <v/>
      </c>
      <c r="CH18" s="22">
        <f>IF(COUNT(DL12,DI12,DF12,DC12,CZ12,CW12,CT12,CQ12,CN12,CK12,CH12)=0,"",IF(N(CH16)=0,"",SUM(DL12,DI12,DF12,DC12,CZ12,CW12,CT12,CQ12,CN12,CK12,CH12)/COUNT(DL12,DI12,DF12,DC12,CZ12,CW12,CT12,CQ12,CN12,CK12,CH12)*12/CH16))</f>
        <v/>
      </c>
      <c r="CI18" s="22">
        <f>IF(COUNT(DM12,DJ12,DG12,DD12,DA12,CX12,CU12,CR12,CO12,CL12,CI12)=0,"",IF(N(CI16)=0,"",SUM(DM12,DJ12,DG12,DD12,DA12,CX12,CU12,CR12,CO12,CL12,CI12)/COUNT(DM12,DJ12,DG12,DD12,DA12,CX12,CU12,CR12,CO12,CL12,CI12)*12/CI16))</f>
        <v/>
      </c>
      <c r="CJ18" s="22">
        <f>IF(COUNT(DN12,DK12,DH12,DE12,DB12,CY12,CV12,CS12,CP12,CM12,CJ12)=0,"",IF(N(CJ16)=0,"",SUM(DN12,DK12,DH12,DE12,DB12,CY12,CV12,CS12,CP12,CM12,CJ12)/COUNT(DN12,DK12,DH12,DE12,DB12,CY12,CV12,CS12,CP12,CM12,CJ12)*12/CJ16))</f>
        <v/>
      </c>
      <c r="CK18" s="23">
        <f>IF(COUNT(DL12,DI12,DF12,DC12,CZ12,CW12,CT12,CQ12,CN12,CK12)=0,"",IF(N(CK16)=0,"",SUM(DL12,DI12,DF12,DC12,CZ12,CW12,CT12,CQ12,CN12,CK12)/COUNT(DL12,DI12,DF12,DC12,CZ12,CW12,CT12,CQ12,CN12,CK12)*12/CK16))</f>
        <v/>
      </c>
      <c r="CL18" s="23">
        <f>IF(COUNT(DM12,DJ12,DG12,DD12,DA12,CX12,CU12,CR12,CO12,CL12)=0,"",IF(N(CL16)=0,"",SUM(DM12,DJ12,DG12,DD12,DA12,CX12,CU12,CR12,CO12,CL12)/COUNT(DM12,DJ12,DG12,DD12,DA12,CX12,CU12,CR12,CO12,CL12)*12/CL16))</f>
        <v/>
      </c>
      <c r="CM18" s="23">
        <f>IF(COUNT(DN12,DK12,DH12,DE12,DB12,CY12,CV12,CS12,CP12,CM12)=0,"",IF(N(CM16)=0,"",SUM(DN12,DK12,DH12,DE12,DB12,CY12,CV12,CS12,CP12,CM12)/COUNT(DN12,DK12,DH12,DE12,DB12,CY12,CV12,CS12,CP12,CM12)*12/CM16))</f>
        <v/>
      </c>
      <c r="CN18" s="22">
        <f>IF(COUNT(DL12,DI12,DF12,DC12,CZ12,CW12,CT12,CQ12,CN12)=0,"",IF(N(CN16)=0,"",SUM(DL12,DI12,DF12,DC12,CZ12,CW12,CT12,CQ12,CN12)/COUNT(DL12,DI12,DF12,DC12,CZ12,CW12,CT12,CQ12,CN12)*12/CN16))</f>
        <v/>
      </c>
      <c r="CO18" s="22">
        <f>IF(COUNT(DM12,DJ12,DG12,DD12,DA12,CX12,CU12,CR12,CO12)=0,"",IF(N(CO16)=0,"",SUM(DM12,DJ12,DG12,DD12,DA12,CX12,CU12,CR12,CO12)/COUNT(DM12,DJ12,DG12,DD12,DA12,CX12,CU12,CR12,CO12)*12/CO16))</f>
        <v/>
      </c>
      <c r="CP18" s="22">
        <f>IF(COUNT(DN12,DK12,DH12,DE12,DB12,CY12,CV12,CS12,CP12)=0,"",IF(N(CP16)=0,"",SUM(DN12,DK12,DH12,DE12,DB12,CY12,CV12,CS12,CP12)/COUNT(DN12,DK12,DH12,DE12,DB12,CY12,CV12,CS12,CP12)*12/CP16))</f>
        <v/>
      </c>
      <c r="CQ18" s="23">
        <f>IF(COUNT(DL12,DI12,DF12,DC12,CZ12,CW12,CT12,CQ12)=0,"",IF(N(CQ16)=0,"",SUM(DL12,DI12,DF12,DC12,CZ12,CW12,CT12,CQ12)/COUNT(DL12,DI12,DF12,DC12,CZ12,CW12,CT12,CQ12)*12/CQ16))</f>
        <v/>
      </c>
      <c r="CR18" s="23">
        <f>IF(COUNT(DM12,DJ12,DG12,DD12,DA12,CX12,CU12,CR12)=0,"",IF(N(CR16)=0,"",SUM(DM12,DJ12,DG12,DD12,DA12,CX12,CU12,CR12)/COUNT(DM12,DJ12,DG12,DD12,DA12,CX12,CU12,CR12)*12/CR16))</f>
        <v/>
      </c>
      <c r="CS18" s="23">
        <f>IF(COUNT(DN12,DK12,DH12,DE12,DB12,CY12,CV12,CS12)=0,"",IF(N(CS16)=0,"",SUM(DN12,DK12,DH12,DE12,DB12,CY12,CV12,CS12)/COUNT(DN12,DK12,DH12,DE12,DB12,CY12,CV12,CS12)*12/CS16))</f>
        <v/>
      </c>
      <c r="CT18" s="22">
        <f>IF(COUNT(DL12,DI12,DF12,DC12,CZ12,CW12,CT12)=0,"",IF(N(CT16)=0,"",SUM(DL12,DI12,DF12,DC12,CZ12,CW12,CT12)/COUNT(DL12,DI12,DF12,DC12,CZ12,CW12,CT12)*12/CT16))</f>
        <v/>
      </c>
      <c r="CU18" s="22">
        <f>IF(COUNT(DM12,DJ12,DG12,DD12,DA12,CX12,CU12)=0,"",IF(N(CU16)=0,"",SUM(DM12,DJ12,DG12,DD12,DA12,CX12,CU12)/COUNT(DM12,DJ12,DG12,DD12,DA12,CX12,CU12)*12/CU16))</f>
        <v/>
      </c>
      <c r="CV18" s="22">
        <f>IF(COUNT(DN12,DK12,DH12,DE12,DB12,CY12,CV12)=0,"",IF(N(CV16)=0,"",SUM(DN12,DK12,DH12,DE12,DB12,CY12,CV12)/COUNT(DN12,DK12,DH12,DE12,DB12,CY12,CV12)*12/CV16))</f>
        <v/>
      </c>
      <c r="CW18" s="23">
        <f>IF(COUNT(DL12,DI12,DF12,DC12,CZ12,CW12)=0,"",IF(N(CW16)=0,"",SUM(DL12,DI12,DF12,DC12,CZ12,CW12)/COUNT(DL12,DI12,DF12,DC12,CZ12,CW12)*12/CW16))</f>
        <v/>
      </c>
      <c r="CX18" s="23">
        <f>IF(COUNT(DM12,DJ12,DG12,DD12,DA12,CX12)=0,"",IF(N(CX16)=0,"",SUM(DM12,DJ12,DG12,DD12,DA12,CX12)/COUNT(DM12,DJ12,DG12,DD12,DA12,CX12)*12/CX16))</f>
        <v/>
      </c>
      <c r="CY18" s="23">
        <f>IF(COUNT(DN12,DK12,DH12,DE12,DB12,CY12)=0,"",IF(N(CY16)=0,"",SUM(DN12,DK12,DH12,DE12,DB12,CY12)/COUNT(DN12,DK12,DH12,DE12,DB12,CY12)*12/CY16))</f>
        <v/>
      </c>
      <c r="CZ18" s="22">
        <f>IF(COUNT(DL12,DI12,DF12,DC12,CZ12)=0,"",IF(N(CZ16)=0,"",SUM(DL12,DI12,DF12,DC12,CZ12)/COUNT(DL12,DI12,DF12,DC12,CZ12)*12/CZ16))</f>
        <v/>
      </c>
      <c r="DA18" s="22">
        <f>IF(COUNT(DM12,DJ12,DG12,DD12,DA12)=0,"",IF(N(DA16)=0,"",SUM(DM12,DJ12,DG12,DD12,DA12)/COUNT(DM12,DJ12,DG12,DD12,DA12)*12/DA16))</f>
        <v/>
      </c>
      <c r="DB18" s="22">
        <f>IF(COUNT(DN12,DK12,DH12,DE12,DB12)=0,"",IF(N(DB16)=0,"",SUM(DN12,DK12,DH12,DE12,DB12)/COUNT(DN12,DK12,DH12,DE12,DB12)*12/DB16))</f>
        <v/>
      </c>
      <c r="DC18" s="23">
        <f>IF(COUNT(DL12,DI12,DF12,DC12)=0,"",IF(N(DC16)=0,"",SUM(DL12,DI12,DF12,DC12)/COUNT(DL12,DI12,DF12,DC12)*12/DC16))</f>
        <v/>
      </c>
      <c r="DD18" s="23">
        <f>IF(COUNT(DM12,DJ12,DG12,DD12)=0,"",IF(N(DD16)=0,"",SUM(DM12,DJ12,DG12,DD12)/COUNT(DM12,DJ12,DG12,DD12)*12/DD16))</f>
        <v/>
      </c>
      <c r="DE18" s="23">
        <f>IF(COUNT(DN12,DK12,DH12,DE12)=0,"",IF(N(DE16)=0,"",SUM(DN12,DK12,DH12,DE12)/COUNT(DN12,DK12,DH12,DE12)*12/DE16))</f>
        <v/>
      </c>
      <c r="DF18" s="22">
        <f>IF(COUNT(DL12,DI12,DF12)=0,"",IF(N(DF16)=0,"",SUM(DL12,DI12,DF12)/COUNT(DL12,DI12,DF12)*12/DF16))</f>
        <v/>
      </c>
      <c r="DG18" s="22">
        <f>IF(COUNT(DM12,DJ12,DG12)=0,"",IF(N(DG16)=0,"",SUM(DM12,DJ12,DG12)/COUNT(DM12,DJ12,DG12)*12/DG16))</f>
        <v/>
      </c>
      <c r="DH18" s="22">
        <f>IF(COUNT(DN12,DK12,DH12)=0,"",IF(N(DH16)=0,"",SUM(DN12,DK12,DH12)/COUNT(DN12,DK12,DH12)*12/DH16))</f>
        <v/>
      </c>
      <c r="DI18" s="23">
        <f>IF(COUNT(DL12,DI12)=0,"",IF(N(DI16)=0,"",SUM(DL12,DI12)/COUNT(DL12,DI12)*12/DI16))</f>
        <v/>
      </c>
      <c r="DJ18" s="23">
        <f>IF(COUNT(DM12,DJ12)=0,"",IF(N(DJ16)=0,"",SUM(DM12,DJ12)/COUNT(DM12,DJ12)*12/DJ16))</f>
        <v/>
      </c>
      <c r="DK18" s="23">
        <f>IF(COUNT(DN12,DK12)=0,"",IF(N(DK16)=0,"",SUM(DN12,DK12)/COUNT(DN12,DK12)*12/DK16))</f>
        <v/>
      </c>
      <c r="DL18" s="22">
        <f>IF(COUNT(DL12)=0,"",IF(N(DL16)=0,"",SUM(DL12)/COUNT(DL12)*12/DL16))</f>
        <v/>
      </c>
      <c r="DM18" s="22">
        <f>IF(COUNT(DM12)=0,"",IF(N(DM16)=0,"",SUM(DM12)/COUNT(DM12)*12/DM16))</f>
        <v/>
      </c>
      <c r="DN18" s="22">
        <f>IF(COUNT(DN12)=0,"",IF(N(DN16)=0,"",SUM(DN12)/COUNT(DN12)*12/DN16))</f>
        <v/>
      </c>
    </row>
    <row r="19">
      <c r="A19" s="2" t="inlineStr">
        <is>
          <t>People</t>
        </is>
      </c>
      <c r="B19" s="21">
        <f>IF(K19&lt;&gt;"",K19,IF(N19&lt;&gt;"",N19,IF(Q19&lt;&gt;"",Q19,IF(T19&lt;&gt;"",T19,IF(W19&lt;&gt;"",W19,IF(Z19&lt;&gt;"",Z19,IF(AC19&lt;&gt;"",AC19,IF(AF19&lt;&gt;"",AF19,IF(AI19&lt;&gt;"",AI19,IF(AL19&lt;&gt;"",AL19,IF(AO19&lt;&gt;"",AO19,IF(AR19&lt;&gt;"",AR19,""))))))))))))</f>
        <v/>
      </c>
      <c r="C19" s="21">
        <f>IF(L19&lt;&gt;"",L19,IF(O19&lt;&gt;"",O19,IF(R19&lt;&gt;"",R19,IF(U19&lt;&gt;"",U19,IF(X19&lt;&gt;"",X19,IF(AA19&lt;&gt;"",AA19,IF(AD19&lt;&gt;"",AD19,IF(AG19&lt;&gt;"",AG19,IF(AJ19&lt;&gt;"",AJ19,IF(AM19&lt;&gt;"",AM19,IF(AP19&lt;&gt;"",AP19,IF(AS19&lt;&gt;"",AS19,""))))))))))))</f>
        <v/>
      </c>
      <c r="D19" s="21">
        <f>IF(M19&lt;&gt;"",M19,IF(P19&lt;&gt;"",P19,IF(S19&lt;&gt;"",S19,IF(V19&lt;&gt;"",V19,IF(Y19&lt;&gt;"",Y19,IF(AB19&lt;&gt;"",AB19,IF(AE19&lt;&gt;"",AE19,IF(AH19&lt;&gt;"",AH19,IF(AK19&lt;&gt;"",AK19,IF(AN19&lt;&gt;"",AN19,IF(AQ19&lt;&gt;"",AQ19,IF(AT19&lt;&gt;"",AT19,""))))))))))))</f>
        <v/>
      </c>
      <c r="E19" s="2">
        <f>IF(AU19&lt;&gt;"",AU19,IF(AX19&lt;&gt;"",AX19,IF(BA19&lt;&gt;"",BA19,IF(BD19&lt;&gt;"",BD19,IF(BG19&lt;&gt;"",BG19,IF(BJ19&lt;&gt;"",BJ19,IF(BM19&lt;&gt;"",BM19,IF(BP19&lt;&gt;"",BP19,IF(BS19&lt;&gt;"",BS19,IF(BV19&lt;&gt;"",BV19,IF(BY19&lt;&gt;"",BY19,IF(CB19&lt;&gt;"",CB19,""))))))))))))</f>
        <v/>
      </c>
      <c r="F19" s="2">
        <f>IF(AV19&lt;&gt;"",AV19,IF(AY19&lt;&gt;"",AY19,IF(BB19&lt;&gt;"",BB19,IF(BE19&lt;&gt;"",BE19,IF(BH19&lt;&gt;"",BH19,IF(BK19&lt;&gt;"",BK19,IF(BN19&lt;&gt;"",BN19,IF(BQ19&lt;&gt;"",BQ19,IF(BT19&lt;&gt;"",BT19,IF(BW19&lt;&gt;"",BW19,IF(BZ19&lt;&gt;"",BZ19,IF(CC19&lt;&gt;"",CC19,""))))))))))))</f>
        <v/>
      </c>
      <c r="G19" s="2">
        <f>IF(AW19&lt;&gt;"",AW19,IF(AZ19&lt;&gt;"",AZ19,IF(BC19&lt;&gt;"",BC19,IF(BF19&lt;&gt;"",BF19,IF(BI19&lt;&gt;"",BI19,IF(BL19&lt;&gt;"",BL19,IF(BO19&lt;&gt;"",BO19,IF(BR19&lt;&gt;"",BR19,IF(BU19&lt;&gt;"",BU19,IF(BX19&lt;&gt;"",BX19,IF(CA19&lt;&gt;"",CA19,IF(CD19&lt;&gt;"",CD19,""))))))))))))</f>
        <v/>
      </c>
      <c r="H19" s="21">
        <f>IF(CE19&lt;&gt;"",CE19,IF(CH19&lt;&gt;"",CH19,IF(CK19&lt;&gt;"",CK19,IF(CN19&lt;&gt;"",CN19,IF(CQ19&lt;&gt;"",CQ19,IF(CT19&lt;&gt;"",CT19,IF(CW19&lt;&gt;"",CW19,IF(CZ19&lt;&gt;"",CZ19,IF(DC19&lt;&gt;"",DC19,IF(DF19&lt;&gt;"",DF19,IF(DI19&lt;&gt;"",DI19,IF(DL19&lt;&gt;"",DL19,""))))))))))))</f>
        <v/>
      </c>
      <c r="I19" s="21">
        <f>IF(CF19&lt;&gt;"",CF19,IF(CI19&lt;&gt;"",CI19,IF(CL19&lt;&gt;"",CL19,IF(CO19&lt;&gt;"",CO19,IF(CR19&lt;&gt;"",CR19,IF(CU19&lt;&gt;"",CU19,IF(CX19&lt;&gt;"",CX19,IF(DA19&lt;&gt;"",DA19,IF(DD19&lt;&gt;"",DD19,IF(DG19&lt;&gt;"",DG19,IF(DJ19&lt;&gt;"",DJ19,IF(DM19&lt;&gt;"",DM19,""))))))))))))</f>
        <v/>
      </c>
      <c r="J19" s="21">
        <f>IF(CG19&lt;&gt;"",CG19,IF(CJ19&lt;&gt;"",CJ19,IF(CM19&lt;&gt;"",CM19,IF(CP19&lt;&gt;"",CP19,IF(CS19&lt;&gt;"",CS19,IF(CV19&lt;&gt;"",CV19,IF(CY19&lt;&gt;"",CY19,IF(DB19&lt;&gt;"",DB19,IF(DE19&lt;&gt;"",DE19,IF(DH19&lt;&gt;"",DH19,IF(DK19&lt;&gt;"",DK19,IF(DN19&lt;&gt;"",DN19,""))))))))))))</f>
        <v/>
      </c>
      <c r="K19" s="2">
        <f>IF(COUNT('Marketing'!K39,'Sales'!K52,'Customer Success'!K48,'Support'!K42,'Engineering'!K47,'Finance'!K50)=6,'Marketing'!K39+'Sales'!K52+'Customer Success'!K48+'Support'!K42+'Engineering'!K47+'Finance'!K50,"")</f>
        <v/>
      </c>
      <c r="L19" s="2">
        <f>'Marketing'!L39+'Sales'!L52+'Customer Success'!L48+'Support'!L42+'Engineering'!L47+'Finance'!L50</f>
        <v/>
      </c>
      <c r="M19" s="2">
        <f>'Marketing'!M39+'Sales'!M52+'Customer Success'!M48+'Support'!M42+'Engineering'!M47+'Finance'!M50</f>
        <v/>
      </c>
      <c r="N19" s="21">
        <f>IF(COUNT('Marketing'!N39,'Sales'!N52,'Customer Success'!N48,'Support'!N42,'Engineering'!N47,'Finance'!N50)=6,'Marketing'!N39+'Sales'!N52+'Customer Success'!N48+'Support'!N42+'Engineering'!N47+'Finance'!N50,"")</f>
        <v/>
      </c>
      <c r="O19" s="21">
        <f>'Marketing'!O39+'Sales'!O52+'Customer Success'!O48+'Support'!O42+'Engineering'!O47+'Finance'!O50</f>
        <v/>
      </c>
      <c r="P19" s="21">
        <f>'Marketing'!P39+'Sales'!P52+'Customer Success'!P48+'Support'!P42+'Engineering'!P47+'Finance'!P50</f>
        <v/>
      </c>
      <c r="Q19" s="2">
        <f>IF(COUNT('Marketing'!Q39,'Sales'!Q52,'Customer Success'!Q48,'Support'!Q42,'Engineering'!Q47,'Finance'!Q50)=6,'Marketing'!Q39+'Sales'!Q52+'Customer Success'!Q48+'Support'!Q42+'Engineering'!Q47+'Finance'!Q50,"")</f>
        <v/>
      </c>
      <c r="R19" s="2">
        <f>'Marketing'!R39+'Sales'!R52+'Customer Success'!R48+'Support'!R42+'Engineering'!R47+'Finance'!R50</f>
        <v/>
      </c>
      <c r="S19" s="2">
        <f>'Marketing'!S39+'Sales'!S52+'Customer Success'!S48+'Support'!S42+'Engineering'!S47+'Finance'!S50</f>
        <v/>
      </c>
      <c r="T19" s="21">
        <f>IF(COUNT('Marketing'!T39,'Sales'!T52,'Customer Success'!T48,'Support'!T42,'Engineering'!T47,'Finance'!T50)=6,'Marketing'!T39+'Sales'!T52+'Customer Success'!T48+'Support'!T42+'Engineering'!T47+'Finance'!T50,"")</f>
        <v/>
      </c>
      <c r="U19" s="21">
        <f>'Marketing'!U39+'Sales'!U52+'Customer Success'!U48+'Support'!U42+'Engineering'!U47+'Finance'!U50</f>
        <v/>
      </c>
      <c r="V19" s="21">
        <f>'Marketing'!V39+'Sales'!V52+'Customer Success'!V48+'Support'!V42+'Engineering'!V47+'Finance'!V50</f>
        <v/>
      </c>
      <c r="W19" s="2">
        <f>IF(COUNT('Marketing'!W39,'Sales'!W52,'Customer Success'!W48,'Support'!W42,'Engineering'!W47,'Finance'!W50)=6,'Marketing'!W39+'Sales'!W52+'Customer Success'!W48+'Support'!W42+'Engineering'!W47+'Finance'!W50,"")</f>
        <v/>
      </c>
      <c r="X19" s="2">
        <f>'Marketing'!X39+'Sales'!X52+'Customer Success'!X48+'Support'!X42+'Engineering'!X47+'Finance'!X50</f>
        <v/>
      </c>
      <c r="Y19" s="2">
        <f>'Marketing'!Y39+'Sales'!Y52+'Customer Success'!Y48+'Support'!Y42+'Engineering'!Y47+'Finance'!Y50</f>
        <v/>
      </c>
      <c r="Z19" s="21">
        <f>IF(COUNT('Marketing'!Z39,'Sales'!Z52,'Customer Success'!Z48,'Support'!Z42,'Engineering'!Z47,'Finance'!Z50)=6,'Marketing'!Z39+'Sales'!Z52+'Customer Success'!Z48+'Support'!Z42+'Engineering'!Z47+'Finance'!Z50,"")</f>
        <v/>
      </c>
      <c r="AA19" s="21">
        <f>'Marketing'!AA39+'Sales'!AA52+'Customer Success'!AA48+'Support'!AA42+'Engineering'!AA47+'Finance'!AA50</f>
        <v/>
      </c>
      <c r="AB19" s="21">
        <f>'Marketing'!AB39+'Sales'!AB52+'Customer Success'!AB48+'Support'!AB42+'Engineering'!AB47+'Finance'!AB50</f>
        <v/>
      </c>
      <c r="AC19" s="2">
        <f>IF(COUNT('Marketing'!AC39,'Sales'!AC52,'Customer Success'!AC48,'Support'!AC42,'Engineering'!AC47,'Finance'!AC50)=6,'Marketing'!AC39+'Sales'!AC52+'Customer Success'!AC48+'Support'!AC42+'Engineering'!AC47+'Finance'!AC50,"")</f>
        <v/>
      </c>
      <c r="AD19" s="2">
        <f>'Marketing'!AD39+'Sales'!AD52+'Customer Success'!AD48+'Support'!AD42+'Engineering'!AD47+'Finance'!AD50</f>
        <v/>
      </c>
      <c r="AE19" s="2">
        <f>'Marketing'!AE39+'Sales'!AE52+'Customer Success'!AE48+'Support'!AE42+'Engineering'!AE47+'Finance'!AE50</f>
        <v/>
      </c>
      <c r="AF19" s="21">
        <f>IF(COUNT('Marketing'!AF39,'Sales'!AF52,'Customer Success'!AF48,'Support'!AF42,'Engineering'!AF47,'Finance'!AF50)=6,'Marketing'!AF39+'Sales'!AF52+'Customer Success'!AF48+'Support'!AF42+'Engineering'!AF47+'Finance'!AF50,"")</f>
        <v/>
      </c>
      <c r="AG19" s="21">
        <f>'Marketing'!AG39+'Sales'!AG52+'Customer Success'!AG48+'Support'!AG42+'Engineering'!AG47+'Finance'!AG50</f>
        <v/>
      </c>
      <c r="AH19" s="21">
        <f>'Marketing'!AH39+'Sales'!AH52+'Customer Success'!AH48+'Support'!AH42+'Engineering'!AH47+'Finance'!AH50</f>
        <v/>
      </c>
      <c r="AI19" s="2">
        <f>IF(COUNT('Marketing'!AI39,'Sales'!AI52,'Customer Success'!AI48,'Support'!AI42,'Engineering'!AI47,'Finance'!AI50)=6,'Marketing'!AI39+'Sales'!AI52+'Customer Success'!AI48+'Support'!AI42+'Engineering'!AI47+'Finance'!AI50,"")</f>
        <v/>
      </c>
      <c r="AJ19" s="2">
        <f>'Marketing'!AJ39+'Sales'!AJ52+'Customer Success'!AJ48+'Support'!AJ42+'Engineering'!AJ47+'Finance'!AJ50</f>
        <v/>
      </c>
      <c r="AK19" s="2">
        <f>'Marketing'!AK39+'Sales'!AK52+'Customer Success'!AK48+'Support'!AK42+'Engineering'!AK47+'Finance'!AK50</f>
        <v/>
      </c>
      <c r="AL19" s="21">
        <f>IF(COUNT('Marketing'!AL39,'Sales'!AL52,'Customer Success'!AL48,'Support'!AL42,'Engineering'!AL47,'Finance'!AL50)=6,'Marketing'!AL39+'Sales'!AL52+'Customer Success'!AL48+'Support'!AL42+'Engineering'!AL47+'Finance'!AL50,"")</f>
        <v/>
      </c>
      <c r="AM19" s="21">
        <f>'Marketing'!AM39+'Sales'!AM52+'Customer Success'!AM48+'Support'!AM42+'Engineering'!AM47+'Finance'!AM50</f>
        <v/>
      </c>
      <c r="AN19" s="21">
        <f>'Marketing'!AN39+'Sales'!AN52+'Customer Success'!AN48+'Support'!AN42+'Engineering'!AN47+'Finance'!AN50</f>
        <v/>
      </c>
      <c r="AO19" s="2">
        <f>IF(COUNT('Marketing'!AO39,'Sales'!AO52,'Customer Success'!AO48,'Support'!AO42,'Engineering'!AO47,'Finance'!AO50)=6,'Marketing'!AO39+'Sales'!AO52+'Customer Success'!AO48+'Support'!AO42+'Engineering'!AO47+'Finance'!AO50,"")</f>
        <v/>
      </c>
      <c r="AP19" s="2">
        <f>'Marketing'!AP39+'Sales'!AP52+'Customer Success'!AP48+'Support'!AP42+'Engineering'!AP47+'Finance'!AP50</f>
        <v/>
      </c>
      <c r="AQ19" s="2">
        <f>'Marketing'!AQ39+'Sales'!AQ52+'Customer Success'!AQ48+'Support'!AQ42+'Engineering'!AQ47+'Finance'!AQ50</f>
        <v/>
      </c>
      <c r="AR19" s="21">
        <f>IF(COUNT('Marketing'!AR39,'Sales'!AR52,'Customer Success'!AR48,'Support'!AR42,'Engineering'!AR47,'Finance'!AR50)=6,'Marketing'!AR39+'Sales'!AR52+'Customer Success'!AR48+'Support'!AR42+'Engineering'!AR47+'Finance'!AR50,"")</f>
        <v/>
      </c>
      <c r="AS19" s="21">
        <f>'Marketing'!AS39+'Sales'!AS52+'Customer Success'!AS48+'Support'!AS42+'Engineering'!AS47+'Finance'!AS50</f>
        <v/>
      </c>
      <c r="AT19" s="21">
        <f>'Marketing'!AT39+'Sales'!AT52+'Customer Success'!AT48+'Support'!AT42+'Engineering'!AT47+'Finance'!AT50</f>
        <v/>
      </c>
      <c r="AU19" s="2">
        <f>IF(COUNT('Marketing'!AU39,'Sales'!AU52,'Customer Success'!AU48,'Support'!AU42,'Engineering'!AU47,'Finance'!AU50)=6,'Marketing'!AU39+'Sales'!AU52+'Customer Success'!AU48+'Support'!AU42+'Engineering'!AU47+'Finance'!AU50,"")</f>
        <v/>
      </c>
      <c r="AV19" s="2">
        <f>'Marketing'!AV39+'Sales'!AV52+'Customer Success'!AV48+'Support'!AV42+'Engineering'!AV47+'Finance'!AV50</f>
        <v/>
      </c>
      <c r="AW19" s="2">
        <f>'Marketing'!AW39+'Sales'!AW52+'Customer Success'!AW48+'Support'!AW42+'Engineering'!AW47+'Finance'!AW50</f>
        <v/>
      </c>
      <c r="AX19" s="21">
        <f>IF(COUNT('Marketing'!AX39,'Sales'!AX52,'Customer Success'!AX48,'Support'!AX42,'Engineering'!AX47,'Finance'!AX50)=6,'Marketing'!AX39+'Sales'!AX52+'Customer Success'!AX48+'Support'!AX42+'Engineering'!AX47+'Finance'!AX50,"")</f>
        <v/>
      </c>
      <c r="AY19" s="21">
        <f>'Marketing'!AY39+'Sales'!AY52+'Customer Success'!AY48+'Support'!AY42+'Engineering'!AY47+'Finance'!AY50</f>
        <v/>
      </c>
      <c r="AZ19" s="21">
        <f>'Marketing'!AZ39+'Sales'!AZ52+'Customer Success'!AZ48+'Support'!AZ42+'Engineering'!AZ47+'Finance'!AZ50</f>
        <v/>
      </c>
      <c r="BA19" s="2">
        <f>IF(COUNT('Marketing'!BA39,'Sales'!BA52,'Customer Success'!BA48,'Support'!BA42,'Engineering'!BA47,'Finance'!BA50)=6,'Marketing'!BA39+'Sales'!BA52+'Customer Success'!BA48+'Support'!BA42+'Engineering'!BA47+'Finance'!BA50,"")</f>
        <v/>
      </c>
      <c r="BB19" s="2">
        <f>'Marketing'!BB39+'Sales'!BB52+'Customer Success'!BB48+'Support'!BB42+'Engineering'!BB47+'Finance'!BB50</f>
        <v/>
      </c>
      <c r="BC19" s="2">
        <f>'Marketing'!BC39+'Sales'!BC52+'Customer Success'!BC48+'Support'!BC42+'Engineering'!BC47+'Finance'!BC50</f>
        <v/>
      </c>
      <c r="BD19" s="21">
        <f>IF(COUNT('Marketing'!BD39,'Sales'!BD52,'Customer Success'!BD48,'Support'!BD42,'Engineering'!BD47,'Finance'!BD50)=6,'Marketing'!BD39+'Sales'!BD52+'Customer Success'!BD48+'Support'!BD42+'Engineering'!BD47+'Finance'!BD50,"")</f>
        <v/>
      </c>
      <c r="BE19" s="21">
        <f>'Marketing'!BE39+'Sales'!BE52+'Customer Success'!BE48+'Support'!BE42+'Engineering'!BE47+'Finance'!BE50</f>
        <v/>
      </c>
      <c r="BF19" s="21">
        <f>'Marketing'!BF39+'Sales'!BF52+'Customer Success'!BF48+'Support'!BF42+'Engineering'!BF47+'Finance'!BF50</f>
        <v/>
      </c>
      <c r="BG19" s="2">
        <f>IF(COUNT('Marketing'!BG39,'Sales'!BG52,'Customer Success'!BG48,'Support'!BG42,'Engineering'!BG47,'Finance'!BG50)=6,'Marketing'!BG39+'Sales'!BG52+'Customer Success'!BG48+'Support'!BG42+'Engineering'!BG47+'Finance'!BG50,"")</f>
        <v/>
      </c>
      <c r="BH19" s="2">
        <f>'Marketing'!BH39+'Sales'!BH52+'Customer Success'!BH48+'Support'!BH42+'Engineering'!BH47+'Finance'!BH50</f>
        <v/>
      </c>
      <c r="BI19" s="2">
        <f>'Marketing'!BI39+'Sales'!BI52+'Customer Success'!BI48+'Support'!BI42+'Engineering'!BI47+'Finance'!BI50</f>
        <v/>
      </c>
      <c r="BJ19" s="21">
        <f>IF(COUNT('Marketing'!BJ39,'Sales'!BJ52,'Customer Success'!BJ48,'Support'!BJ42,'Engineering'!BJ47,'Finance'!BJ50)=6,'Marketing'!BJ39+'Sales'!BJ52+'Customer Success'!BJ48+'Support'!BJ42+'Engineering'!BJ47+'Finance'!BJ50,"")</f>
        <v/>
      </c>
      <c r="BK19" s="21">
        <f>'Marketing'!BK39+'Sales'!BK52+'Customer Success'!BK48+'Support'!BK42+'Engineering'!BK47+'Finance'!BK50</f>
        <v/>
      </c>
      <c r="BL19" s="21">
        <f>'Marketing'!BL39+'Sales'!BL52+'Customer Success'!BL48+'Support'!BL42+'Engineering'!BL47+'Finance'!BL50</f>
        <v/>
      </c>
      <c r="BM19" s="2">
        <f>IF(COUNT('Marketing'!BM39,'Sales'!BM52,'Customer Success'!BM48,'Support'!BM42,'Engineering'!BM47,'Finance'!BM50)=6,'Marketing'!BM39+'Sales'!BM52+'Customer Success'!BM48+'Support'!BM42+'Engineering'!BM47+'Finance'!BM50,"")</f>
        <v/>
      </c>
      <c r="BN19" s="2">
        <f>'Marketing'!BN39+'Sales'!BN52+'Customer Success'!BN48+'Support'!BN42+'Engineering'!BN47+'Finance'!BN50</f>
        <v/>
      </c>
      <c r="BO19" s="2">
        <f>'Marketing'!BO39+'Sales'!BO52+'Customer Success'!BO48+'Support'!BO42+'Engineering'!BO47+'Finance'!BO50</f>
        <v/>
      </c>
      <c r="BP19" s="21">
        <f>IF(COUNT('Marketing'!BP39,'Sales'!BP52,'Customer Success'!BP48,'Support'!BP42,'Engineering'!BP47,'Finance'!BP50)=6,'Marketing'!BP39+'Sales'!BP52+'Customer Success'!BP48+'Support'!BP42+'Engineering'!BP47+'Finance'!BP50,"")</f>
        <v/>
      </c>
      <c r="BQ19" s="21">
        <f>'Marketing'!BQ39+'Sales'!BQ52+'Customer Success'!BQ48+'Support'!BQ42+'Engineering'!BQ47+'Finance'!BQ50</f>
        <v/>
      </c>
      <c r="BR19" s="21">
        <f>'Marketing'!BR39+'Sales'!BR52+'Customer Success'!BR48+'Support'!BR42+'Engineering'!BR47+'Finance'!BR50</f>
        <v/>
      </c>
      <c r="BS19" s="2">
        <f>IF(COUNT('Marketing'!BS39,'Sales'!BS52,'Customer Success'!BS48,'Support'!BS42,'Engineering'!BS47,'Finance'!BS50)=6,'Marketing'!BS39+'Sales'!BS52+'Customer Success'!BS48+'Support'!BS42+'Engineering'!BS47+'Finance'!BS50,"")</f>
        <v/>
      </c>
      <c r="BT19" s="2">
        <f>'Marketing'!BT39+'Sales'!BT52+'Customer Success'!BT48+'Support'!BT42+'Engineering'!BT47+'Finance'!BT50</f>
        <v/>
      </c>
      <c r="BU19" s="2">
        <f>'Marketing'!BU39+'Sales'!BU52+'Customer Success'!BU48+'Support'!BU42+'Engineering'!BU47+'Finance'!BU50</f>
        <v/>
      </c>
      <c r="BV19" s="21">
        <f>IF(COUNT('Marketing'!BV39,'Sales'!BV52,'Customer Success'!BV48,'Support'!BV42,'Engineering'!BV47,'Finance'!BV50)=6,'Marketing'!BV39+'Sales'!BV52+'Customer Success'!BV48+'Support'!BV42+'Engineering'!BV47+'Finance'!BV50,"")</f>
        <v/>
      </c>
      <c r="BW19" s="21">
        <f>'Marketing'!BW39+'Sales'!BW52+'Customer Success'!BW48+'Support'!BW42+'Engineering'!BW47+'Finance'!BW50</f>
        <v/>
      </c>
      <c r="BX19" s="21">
        <f>'Marketing'!BX39+'Sales'!BX52+'Customer Success'!BX48+'Support'!BX42+'Engineering'!BX47+'Finance'!BX50</f>
        <v/>
      </c>
      <c r="BY19" s="2">
        <f>IF(COUNT('Marketing'!BY39,'Sales'!BY52,'Customer Success'!BY48,'Support'!BY42,'Engineering'!BY47,'Finance'!BY50)=6,'Marketing'!BY39+'Sales'!BY52+'Customer Success'!BY48+'Support'!BY42+'Engineering'!BY47+'Finance'!BY50,"")</f>
        <v/>
      </c>
      <c r="BZ19" s="2">
        <f>'Marketing'!BZ39+'Sales'!BZ52+'Customer Success'!BZ48+'Support'!BZ42+'Engineering'!BZ47+'Finance'!BZ50</f>
        <v/>
      </c>
      <c r="CA19" s="2">
        <f>'Marketing'!CA39+'Sales'!CA52+'Customer Success'!CA48+'Support'!CA42+'Engineering'!CA47+'Finance'!CA50</f>
        <v/>
      </c>
      <c r="CB19" s="21">
        <f>IF(COUNT('Marketing'!CB39,'Sales'!CB52,'Customer Success'!CB48,'Support'!CB42,'Engineering'!CB47,'Finance'!CB50)=6,'Marketing'!CB39+'Sales'!CB52+'Customer Success'!CB48+'Support'!CB42+'Engineering'!CB47+'Finance'!CB50,"")</f>
        <v/>
      </c>
      <c r="CC19" s="21">
        <f>'Marketing'!CC39+'Sales'!CC52+'Customer Success'!CC48+'Support'!CC42+'Engineering'!CC47+'Finance'!CC50</f>
        <v/>
      </c>
      <c r="CD19" s="21">
        <f>'Marketing'!CD39+'Sales'!CD52+'Customer Success'!CD48+'Support'!CD42+'Engineering'!CD47+'Finance'!CD50</f>
        <v/>
      </c>
      <c r="CE19" s="2">
        <f>IF(COUNT('Marketing'!CE39,'Sales'!CE52,'Customer Success'!CE48,'Support'!CE42,'Engineering'!CE47,'Finance'!CE50)=6,'Marketing'!CE39+'Sales'!CE52+'Customer Success'!CE48+'Support'!CE42+'Engineering'!CE47+'Finance'!CE50,"")</f>
        <v/>
      </c>
      <c r="CF19" s="2">
        <f>'Marketing'!CF39+'Sales'!CF52+'Customer Success'!CF48+'Support'!CF42+'Engineering'!CF47+'Finance'!CF50</f>
        <v/>
      </c>
      <c r="CG19" s="2">
        <f>'Marketing'!CG39+'Sales'!CG52+'Customer Success'!CG48+'Support'!CG42+'Engineering'!CG47+'Finance'!CG50</f>
        <v/>
      </c>
      <c r="CH19" s="21">
        <f>IF(COUNT('Marketing'!CH39,'Sales'!CH52,'Customer Success'!CH48,'Support'!CH42,'Engineering'!CH47,'Finance'!CH50)=6,'Marketing'!CH39+'Sales'!CH52+'Customer Success'!CH48+'Support'!CH42+'Engineering'!CH47+'Finance'!CH50,"")</f>
        <v/>
      </c>
      <c r="CI19" s="21">
        <f>'Marketing'!CI39+'Sales'!CI52+'Customer Success'!CI48+'Support'!CI42+'Engineering'!CI47+'Finance'!CI50</f>
        <v/>
      </c>
      <c r="CJ19" s="21">
        <f>'Marketing'!CJ39+'Sales'!CJ52+'Customer Success'!CJ48+'Support'!CJ42+'Engineering'!CJ47+'Finance'!CJ50</f>
        <v/>
      </c>
      <c r="CK19" s="2">
        <f>IF(COUNT('Marketing'!CK39,'Sales'!CK52,'Customer Success'!CK48,'Support'!CK42,'Engineering'!CK47,'Finance'!CK50)=6,'Marketing'!CK39+'Sales'!CK52+'Customer Success'!CK48+'Support'!CK42+'Engineering'!CK47+'Finance'!CK50,"")</f>
        <v/>
      </c>
      <c r="CL19" s="2">
        <f>'Marketing'!CL39+'Sales'!CL52+'Customer Success'!CL48+'Support'!CL42+'Engineering'!CL47+'Finance'!CL50</f>
        <v/>
      </c>
      <c r="CM19" s="2">
        <f>'Marketing'!CM39+'Sales'!CM52+'Customer Success'!CM48+'Support'!CM42+'Engineering'!CM47+'Finance'!CM50</f>
        <v/>
      </c>
      <c r="CN19" s="21">
        <f>IF(COUNT('Marketing'!CN39,'Sales'!CN52,'Customer Success'!CN48,'Support'!CN42,'Engineering'!CN47,'Finance'!CN50)=6,'Marketing'!CN39+'Sales'!CN52+'Customer Success'!CN48+'Support'!CN42+'Engineering'!CN47+'Finance'!CN50,"")</f>
        <v/>
      </c>
      <c r="CO19" s="21">
        <f>'Marketing'!CO39+'Sales'!CO52+'Customer Success'!CO48+'Support'!CO42+'Engineering'!CO47+'Finance'!CO50</f>
        <v/>
      </c>
      <c r="CP19" s="21">
        <f>'Marketing'!CP39+'Sales'!CP52+'Customer Success'!CP48+'Support'!CP42+'Engineering'!CP47+'Finance'!CP50</f>
        <v/>
      </c>
      <c r="CQ19" s="2">
        <f>IF(COUNT('Marketing'!CQ39,'Sales'!CQ52,'Customer Success'!CQ48,'Support'!CQ42,'Engineering'!CQ47,'Finance'!CQ50)=6,'Marketing'!CQ39+'Sales'!CQ52+'Customer Success'!CQ48+'Support'!CQ42+'Engineering'!CQ47+'Finance'!CQ50,"")</f>
        <v/>
      </c>
      <c r="CR19" s="2">
        <f>'Marketing'!CR39+'Sales'!CR52+'Customer Success'!CR48+'Support'!CR42+'Engineering'!CR47+'Finance'!CR50</f>
        <v/>
      </c>
      <c r="CS19" s="2">
        <f>'Marketing'!CS39+'Sales'!CS52+'Customer Success'!CS48+'Support'!CS42+'Engineering'!CS47+'Finance'!CS50</f>
        <v/>
      </c>
      <c r="CT19" s="21">
        <f>IF(COUNT('Marketing'!CT39,'Sales'!CT52,'Customer Success'!CT48,'Support'!CT42,'Engineering'!CT47,'Finance'!CT50)=6,'Marketing'!CT39+'Sales'!CT52+'Customer Success'!CT48+'Support'!CT42+'Engineering'!CT47+'Finance'!CT50,"")</f>
        <v/>
      </c>
      <c r="CU19" s="21">
        <f>'Marketing'!CU39+'Sales'!CU52+'Customer Success'!CU48+'Support'!CU42+'Engineering'!CU47+'Finance'!CU50</f>
        <v/>
      </c>
      <c r="CV19" s="21">
        <f>'Marketing'!CV39+'Sales'!CV52+'Customer Success'!CV48+'Support'!CV42+'Engineering'!CV47+'Finance'!CV50</f>
        <v/>
      </c>
      <c r="CW19" s="2">
        <f>IF(COUNT('Marketing'!CW39,'Sales'!CW52,'Customer Success'!CW48,'Support'!CW42,'Engineering'!CW47,'Finance'!CW50)=6,'Marketing'!CW39+'Sales'!CW52+'Customer Success'!CW48+'Support'!CW42+'Engineering'!CW47+'Finance'!CW50,"")</f>
        <v/>
      </c>
      <c r="CX19" s="2">
        <f>'Marketing'!CX39+'Sales'!CX52+'Customer Success'!CX48+'Support'!CX42+'Engineering'!CX47+'Finance'!CX50</f>
        <v/>
      </c>
      <c r="CY19" s="2">
        <f>'Marketing'!CY39+'Sales'!CY52+'Customer Success'!CY48+'Support'!CY42+'Engineering'!CY47+'Finance'!CY50</f>
        <v/>
      </c>
      <c r="CZ19" s="21">
        <f>IF(COUNT('Marketing'!CZ39,'Sales'!CZ52,'Customer Success'!CZ48,'Support'!CZ42,'Engineering'!CZ47,'Finance'!CZ50)=6,'Marketing'!CZ39+'Sales'!CZ52+'Customer Success'!CZ48+'Support'!CZ42+'Engineering'!CZ47+'Finance'!CZ50,"")</f>
        <v/>
      </c>
      <c r="DA19" s="21">
        <f>'Marketing'!DA39+'Sales'!DA52+'Customer Success'!DA48+'Support'!DA42+'Engineering'!DA47+'Finance'!DA50</f>
        <v/>
      </c>
      <c r="DB19" s="21">
        <f>'Marketing'!DB39+'Sales'!DB52+'Customer Success'!DB48+'Support'!DB42+'Engineering'!DB47+'Finance'!DB50</f>
        <v/>
      </c>
      <c r="DC19" s="2">
        <f>IF(COUNT('Marketing'!DC39,'Sales'!DC52,'Customer Success'!DC48,'Support'!DC42,'Engineering'!DC47,'Finance'!DC50)=6,'Marketing'!DC39+'Sales'!DC52+'Customer Success'!DC48+'Support'!DC42+'Engineering'!DC47+'Finance'!DC50,"")</f>
        <v/>
      </c>
      <c r="DD19" s="2">
        <f>'Marketing'!DD39+'Sales'!DD52+'Customer Success'!DD48+'Support'!DD42+'Engineering'!DD47+'Finance'!DD50</f>
        <v/>
      </c>
      <c r="DE19" s="2">
        <f>'Marketing'!DE39+'Sales'!DE52+'Customer Success'!DE48+'Support'!DE42+'Engineering'!DE47+'Finance'!DE50</f>
        <v/>
      </c>
      <c r="DF19" s="21">
        <f>IF(COUNT('Marketing'!DF39,'Sales'!DF52,'Customer Success'!DF48,'Support'!DF42,'Engineering'!DF47,'Finance'!DF50)=6,'Marketing'!DF39+'Sales'!DF52+'Customer Success'!DF48+'Support'!DF42+'Engineering'!DF47+'Finance'!DF50,"")</f>
        <v/>
      </c>
      <c r="DG19" s="21">
        <f>'Marketing'!DG39+'Sales'!DG52+'Customer Success'!DG48+'Support'!DG42+'Engineering'!DG47+'Finance'!DG50</f>
        <v/>
      </c>
      <c r="DH19" s="21">
        <f>'Marketing'!DH39+'Sales'!DH52+'Customer Success'!DH48+'Support'!DH42+'Engineering'!DH47+'Finance'!DH50</f>
        <v/>
      </c>
      <c r="DI19" s="2">
        <f>IF(COUNT('Marketing'!DI39,'Sales'!DI52,'Customer Success'!DI48,'Support'!DI42,'Engineering'!DI47,'Finance'!DI50)=6,'Marketing'!DI39+'Sales'!DI52+'Customer Success'!DI48+'Support'!DI42+'Engineering'!DI47+'Finance'!DI50,"")</f>
        <v/>
      </c>
      <c r="DJ19" s="2">
        <f>'Marketing'!DJ39+'Sales'!DJ52+'Customer Success'!DJ48+'Support'!DJ42+'Engineering'!DJ47+'Finance'!DJ50</f>
        <v/>
      </c>
      <c r="DK19" s="2">
        <f>'Marketing'!DK39+'Sales'!DK52+'Customer Success'!DK48+'Support'!DK42+'Engineering'!DK47+'Finance'!DK50</f>
        <v/>
      </c>
      <c r="DL19" s="21">
        <f>IF(COUNT('Marketing'!DL39,'Sales'!DL52,'Customer Success'!DL48,'Support'!DL42,'Engineering'!DL47,'Finance'!DL50)=6,'Marketing'!DL39+'Sales'!DL52+'Customer Success'!DL48+'Support'!DL42+'Engineering'!DL47+'Finance'!DL50,"")</f>
        <v/>
      </c>
      <c r="DM19" s="21">
        <f>'Marketing'!DM39+'Sales'!DM52+'Customer Success'!DM48+'Support'!DM42+'Engineering'!DM47+'Finance'!DM50</f>
        <v/>
      </c>
      <c r="DN19" s="21">
        <f>'Marketing'!DN39+'Sales'!DN52+'Customer Success'!DN48+'Support'!DN42+'Engineering'!DN47+'Finance'!DN50</f>
        <v/>
      </c>
    </row>
    <row r="20">
      <c r="A20" s="24" t="inlineStr">
        <is>
          <t>Closing Cash</t>
        </is>
      </c>
      <c r="B20" s="25">
        <f>IF(K20&lt;&gt;"",K20,IF(N20&lt;&gt;"",N20,IF(Q20&lt;&gt;"",Q20,IF(T20&lt;&gt;"",T20,IF(W20&lt;&gt;"",W20,IF(Z20&lt;&gt;"",Z20,IF(AC20&lt;&gt;"",AC20,IF(AF20&lt;&gt;"",AF20,IF(AI20&lt;&gt;"",AI20,IF(AL20&lt;&gt;"",AL20,IF(AO20&lt;&gt;"",AO20,IF(AR20&lt;&gt;"",AR20,""))))))))))))</f>
        <v/>
      </c>
      <c r="C20" s="25">
        <f>IF(L20&lt;&gt;"",L20,IF(O20&lt;&gt;"",O20,IF(R20&lt;&gt;"",R20,IF(U20&lt;&gt;"",U20,IF(X20&lt;&gt;"",X20,IF(AA20&lt;&gt;"",AA20,IF(AD20&lt;&gt;"",AD20,IF(AG20&lt;&gt;"",AG20,IF(AJ20&lt;&gt;"",AJ20,IF(AM20&lt;&gt;"",AM20,IF(AP20&lt;&gt;"",AP20,IF(AS20&lt;&gt;"",AS20,""))))))))))))</f>
        <v/>
      </c>
      <c r="D20" s="25">
        <f>IF(M20&lt;&gt;"",M20,IF(P20&lt;&gt;"",P20,IF(S20&lt;&gt;"",S20,IF(V20&lt;&gt;"",V20,IF(Y20&lt;&gt;"",Y20,IF(AB20&lt;&gt;"",AB20,IF(AE20&lt;&gt;"",AE20,IF(AH20&lt;&gt;"",AH20,IF(AK20&lt;&gt;"",AK20,IF(AN20&lt;&gt;"",AN20,IF(AQ20&lt;&gt;"",AQ20,IF(AT20&lt;&gt;"",AT20,""))))))))))))</f>
        <v/>
      </c>
      <c r="E20" s="26">
        <f>IF(AU20&lt;&gt;"",AU20,IF(AX20&lt;&gt;"",AX20,IF(BA20&lt;&gt;"",BA20,IF(BD20&lt;&gt;"",BD20,IF(BG20&lt;&gt;"",BG20,IF(BJ20&lt;&gt;"",BJ20,IF(BM20&lt;&gt;"",BM20,IF(BP20&lt;&gt;"",BP20,IF(BS20&lt;&gt;"",BS20,IF(BV20&lt;&gt;"",BV20,IF(BY20&lt;&gt;"",BY20,IF(CB20&lt;&gt;"",CB20,""))))))))))))</f>
        <v/>
      </c>
      <c r="F20" s="26">
        <f>IF(AV20&lt;&gt;"",AV20,IF(AY20&lt;&gt;"",AY20,IF(BB20&lt;&gt;"",BB20,IF(BE20&lt;&gt;"",BE20,IF(BH20&lt;&gt;"",BH20,IF(BK20&lt;&gt;"",BK20,IF(BN20&lt;&gt;"",BN20,IF(BQ20&lt;&gt;"",BQ20,IF(BT20&lt;&gt;"",BT20,IF(BW20&lt;&gt;"",BW20,IF(BZ20&lt;&gt;"",BZ20,IF(CC20&lt;&gt;"",CC20,""))))))))))))</f>
        <v/>
      </c>
      <c r="G20" s="26">
        <f>IF(AW20&lt;&gt;"",AW20,IF(AZ20&lt;&gt;"",AZ20,IF(BC20&lt;&gt;"",BC20,IF(BF20&lt;&gt;"",BF20,IF(BI20&lt;&gt;"",BI20,IF(BL20&lt;&gt;"",BL20,IF(BO20&lt;&gt;"",BO20,IF(BR20&lt;&gt;"",BR20,IF(BU20&lt;&gt;"",BU20,IF(BX20&lt;&gt;"",BX20,IF(CA20&lt;&gt;"",CA20,IF(CD20&lt;&gt;"",CD20,""))))))))))))</f>
        <v/>
      </c>
      <c r="H20" s="25">
        <f>IF(CE20&lt;&gt;"",CE20,IF(CH20&lt;&gt;"",CH20,IF(CK20&lt;&gt;"",CK20,IF(CN20&lt;&gt;"",CN20,IF(CQ20&lt;&gt;"",CQ20,IF(CT20&lt;&gt;"",CT20,IF(CW20&lt;&gt;"",CW20,IF(CZ20&lt;&gt;"",CZ20,IF(DC20&lt;&gt;"",DC20,IF(DF20&lt;&gt;"",DF20,IF(DI20&lt;&gt;"",DI20,IF(DL20&lt;&gt;"",DL20,""))))))))))))</f>
        <v/>
      </c>
      <c r="I20" s="25">
        <f>IF(CF20&lt;&gt;"",CF20,IF(CI20&lt;&gt;"",CI20,IF(CL20&lt;&gt;"",CL20,IF(CO20&lt;&gt;"",CO20,IF(CR20&lt;&gt;"",CR20,IF(CU20&lt;&gt;"",CU20,IF(CX20&lt;&gt;"",CX20,IF(DA20&lt;&gt;"",DA20,IF(DD20&lt;&gt;"",DD20,IF(DG20&lt;&gt;"",DG20,IF(DJ20&lt;&gt;"",DJ20,IF(DM20&lt;&gt;"",DM20,""))))))))))))</f>
        <v/>
      </c>
      <c r="J20" s="25">
        <f>IF(CG20&lt;&gt;"",CG20,IF(CJ20&lt;&gt;"",CJ20,IF(CM20&lt;&gt;"",CM20,IF(CP20&lt;&gt;"",CP20,IF(CS20&lt;&gt;"",CS20,IF(CV20&lt;&gt;"",CV20,IF(CY20&lt;&gt;"",CY20,IF(DB20&lt;&gt;"",DB20,IF(DE20&lt;&gt;"",DE20,IF(DH20&lt;&gt;"",DH20,IF(DK20&lt;&gt;"",DK20,IF(DN20&lt;&gt;"",DN20,""))))))))))))</f>
        <v/>
      </c>
      <c r="K20" s="26">
        <f>IF(COUNT('Finance'!K11)=1,'Finance'!K11,"")</f>
        <v/>
      </c>
      <c r="L20" s="26">
        <f>'Finance'!L11</f>
        <v/>
      </c>
      <c r="M20" s="26">
        <f>'Finance'!M11</f>
        <v/>
      </c>
      <c r="N20" s="25">
        <f>IF(COUNT('Finance'!N11)=1,'Finance'!N11,"")</f>
        <v/>
      </c>
      <c r="O20" s="25">
        <f>'Finance'!O11</f>
        <v/>
      </c>
      <c r="P20" s="25">
        <f>'Finance'!P11</f>
        <v/>
      </c>
      <c r="Q20" s="26">
        <f>IF(COUNT('Finance'!Q11)=1,'Finance'!Q11,"")</f>
        <v/>
      </c>
      <c r="R20" s="26">
        <f>'Finance'!R11</f>
        <v/>
      </c>
      <c r="S20" s="26">
        <f>'Finance'!S11</f>
        <v/>
      </c>
      <c r="T20" s="25">
        <f>IF(COUNT('Finance'!T11)=1,'Finance'!T11,"")</f>
        <v/>
      </c>
      <c r="U20" s="25">
        <f>'Finance'!U11</f>
        <v/>
      </c>
      <c r="V20" s="25">
        <f>'Finance'!V11</f>
        <v/>
      </c>
      <c r="W20" s="26">
        <f>IF(COUNT('Finance'!W11)=1,'Finance'!W11,"")</f>
        <v/>
      </c>
      <c r="X20" s="26">
        <f>'Finance'!X11</f>
        <v/>
      </c>
      <c r="Y20" s="26">
        <f>'Finance'!Y11</f>
        <v/>
      </c>
      <c r="Z20" s="25">
        <f>IF(COUNT('Finance'!Z11)=1,'Finance'!Z11,"")</f>
        <v/>
      </c>
      <c r="AA20" s="25">
        <f>'Finance'!AA11</f>
        <v/>
      </c>
      <c r="AB20" s="25">
        <f>'Finance'!AB11</f>
        <v/>
      </c>
      <c r="AC20" s="26">
        <f>IF(COUNT('Finance'!AC11)=1,'Finance'!AC11,"")</f>
        <v/>
      </c>
      <c r="AD20" s="26">
        <f>'Finance'!AD11</f>
        <v/>
      </c>
      <c r="AE20" s="26">
        <f>'Finance'!AE11</f>
        <v/>
      </c>
      <c r="AF20" s="25">
        <f>IF(COUNT('Finance'!AF11)=1,'Finance'!AF11,"")</f>
        <v/>
      </c>
      <c r="AG20" s="25">
        <f>'Finance'!AG11</f>
        <v/>
      </c>
      <c r="AH20" s="25">
        <f>'Finance'!AH11</f>
        <v/>
      </c>
      <c r="AI20" s="26">
        <f>IF(COUNT('Finance'!AI11)=1,'Finance'!AI11,"")</f>
        <v/>
      </c>
      <c r="AJ20" s="26">
        <f>'Finance'!AJ11</f>
        <v/>
      </c>
      <c r="AK20" s="26">
        <f>'Finance'!AK11</f>
        <v/>
      </c>
      <c r="AL20" s="25">
        <f>IF(COUNT('Finance'!AL11)=1,'Finance'!AL11,"")</f>
        <v/>
      </c>
      <c r="AM20" s="25">
        <f>'Finance'!AM11</f>
        <v/>
      </c>
      <c r="AN20" s="25">
        <f>'Finance'!AN11</f>
        <v/>
      </c>
      <c r="AO20" s="26">
        <f>IF(COUNT('Finance'!AO11)=1,'Finance'!AO11,"")</f>
        <v/>
      </c>
      <c r="AP20" s="26">
        <f>'Finance'!AP11</f>
        <v/>
      </c>
      <c r="AQ20" s="26">
        <f>'Finance'!AQ11</f>
        <v/>
      </c>
      <c r="AR20" s="25">
        <f>IF(COUNT('Finance'!AR11)=1,'Finance'!AR11,"")</f>
        <v/>
      </c>
      <c r="AS20" s="25">
        <f>'Finance'!AS11</f>
        <v/>
      </c>
      <c r="AT20" s="25">
        <f>'Finance'!AT11</f>
        <v/>
      </c>
      <c r="AU20" s="26">
        <f>IF(COUNT('Finance'!AU11)=1,'Finance'!AU11,"")</f>
        <v/>
      </c>
      <c r="AV20" s="26">
        <f>'Finance'!AV11</f>
        <v/>
      </c>
      <c r="AW20" s="26">
        <f>'Finance'!AW11</f>
        <v/>
      </c>
      <c r="AX20" s="25">
        <f>IF(COUNT('Finance'!AX11)=1,'Finance'!AX11,"")</f>
        <v/>
      </c>
      <c r="AY20" s="25">
        <f>'Finance'!AY11</f>
        <v/>
      </c>
      <c r="AZ20" s="25">
        <f>'Finance'!AZ11</f>
        <v/>
      </c>
      <c r="BA20" s="26">
        <f>IF(COUNT('Finance'!BA11)=1,'Finance'!BA11,"")</f>
        <v/>
      </c>
      <c r="BB20" s="26">
        <f>'Finance'!BB11</f>
        <v/>
      </c>
      <c r="BC20" s="26">
        <f>'Finance'!BC11</f>
        <v/>
      </c>
      <c r="BD20" s="25">
        <f>IF(COUNT('Finance'!BD11)=1,'Finance'!BD11,"")</f>
        <v/>
      </c>
      <c r="BE20" s="25">
        <f>'Finance'!BE11</f>
        <v/>
      </c>
      <c r="BF20" s="25">
        <f>'Finance'!BF11</f>
        <v/>
      </c>
      <c r="BG20" s="26">
        <f>IF(COUNT('Finance'!BG11)=1,'Finance'!BG11,"")</f>
        <v/>
      </c>
      <c r="BH20" s="26">
        <f>'Finance'!BH11</f>
        <v/>
      </c>
      <c r="BI20" s="26">
        <f>'Finance'!BI11</f>
        <v/>
      </c>
      <c r="BJ20" s="25">
        <f>IF(COUNT('Finance'!BJ11)=1,'Finance'!BJ11,"")</f>
        <v/>
      </c>
      <c r="BK20" s="25">
        <f>'Finance'!BK11</f>
        <v/>
      </c>
      <c r="BL20" s="25">
        <f>'Finance'!BL11</f>
        <v/>
      </c>
      <c r="BM20" s="26">
        <f>IF(COUNT('Finance'!BM11)=1,'Finance'!BM11,"")</f>
        <v/>
      </c>
      <c r="BN20" s="26">
        <f>'Finance'!BN11</f>
        <v/>
      </c>
      <c r="BO20" s="26">
        <f>'Finance'!BO11</f>
        <v/>
      </c>
      <c r="BP20" s="25">
        <f>IF(COUNT('Finance'!BP11)=1,'Finance'!BP11,"")</f>
        <v/>
      </c>
      <c r="BQ20" s="25">
        <f>'Finance'!BQ11</f>
        <v/>
      </c>
      <c r="BR20" s="25">
        <f>'Finance'!BR11</f>
        <v/>
      </c>
      <c r="BS20" s="26">
        <f>IF(COUNT('Finance'!BS11)=1,'Finance'!BS11,"")</f>
        <v/>
      </c>
      <c r="BT20" s="26">
        <f>'Finance'!BT11</f>
        <v/>
      </c>
      <c r="BU20" s="26">
        <f>'Finance'!BU11</f>
        <v/>
      </c>
      <c r="BV20" s="25">
        <f>IF(COUNT('Finance'!BV11)=1,'Finance'!BV11,"")</f>
        <v/>
      </c>
      <c r="BW20" s="25">
        <f>'Finance'!BW11</f>
        <v/>
      </c>
      <c r="BX20" s="25">
        <f>'Finance'!BX11</f>
        <v/>
      </c>
      <c r="BY20" s="26">
        <f>IF(COUNT('Finance'!BY11)=1,'Finance'!BY11,"")</f>
        <v/>
      </c>
      <c r="BZ20" s="26">
        <f>'Finance'!BZ11</f>
        <v/>
      </c>
      <c r="CA20" s="26">
        <f>'Finance'!CA11</f>
        <v/>
      </c>
      <c r="CB20" s="25">
        <f>IF(COUNT('Finance'!CB11)=1,'Finance'!CB11,"")</f>
        <v/>
      </c>
      <c r="CC20" s="25">
        <f>'Finance'!CC11</f>
        <v/>
      </c>
      <c r="CD20" s="25">
        <f>'Finance'!CD11</f>
        <v/>
      </c>
      <c r="CE20" s="26">
        <f>IF(COUNT('Finance'!CE11)=1,'Finance'!CE11,"")</f>
        <v/>
      </c>
      <c r="CF20" s="26">
        <f>'Finance'!CF11</f>
        <v/>
      </c>
      <c r="CG20" s="26">
        <f>'Finance'!CG11</f>
        <v/>
      </c>
      <c r="CH20" s="25">
        <f>IF(COUNT('Finance'!CH11)=1,'Finance'!CH11,"")</f>
        <v/>
      </c>
      <c r="CI20" s="25">
        <f>'Finance'!CI11</f>
        <v/>
      </c>
      <c r="CJ20" s="25">
        <f>'Finance'!CJ11</f>
        <v/>
      </c>
      <c r="CK20" s="26">
        <f>IF(COUNT('Finance'!CK11)=1,'Finance'!CK11,"")</f>
        <v/>
      </c>
      <c r="CL20" s="26">
        <f>'Finance'!CL11</f>
        <v/>
      </c>
      <c r="CM20" s="26">
        <f>'Finance'!CM11</f>
        <v/>
      </c>
      <c r="CN20" s="25">
        <f>IF(COUNT('Finance'!CN11)=1,'Finance'!CN11,"")</f>
        <v/>
      </c>
      <c r="CO20" s="25">
        <f>'Finance'!CO11</f>
        <v/>
      </c>
      <c r="CP20" s="25">
        <f>'Finance'!CP11</f>
        <v/>
      </c>
      <c r="CQ20" s="26">
        <f>IF(COUNT('Finance'!CQ11)=1,'Finance'!CQ11,"")</f>
        <v/>
      </c>
      <c r="CR20" s="26">
        <f>'Finance'!CR11</f>
        <v/>
      </c>
      <c r="CS20" s="26">
        <f>'Finance'!CS11</f>
        <v/>
      </c>
      <c r="CT20" s="25">
        <f>IF(COUNT('Finance'!CT11)=1,'Finance'!CT11,"")</f>
        <v/>
      </c>
      <c r="CU20" s="25">
        <f>'Finance'!CU11</f>
        <v/>
      </c>
      <c r="CV20" s="25">
        <f>'Finance'!CV11</f>
        <v/>
      </c>
      <c r="CW20" s="26">
        <f>IF(COUNT('Finance'!CW11)=1,'Finance'!CW11,"")</f>
        <v/>
      </c>
      <c r="CX20" s="26">
        <f>'Finance'!CX11</f>
        <v/>
      </c>
      <c r="CY20" s="26">
        <f>'Finance'!CY11</f>
        <v/>
      </c>
      <c r="CZ20" s="25">
        <f>IF(COUNT('Finance'!CZ11)=1,'Finance'!CZ11,"")</f>
        <v/>
      </c>
      <c r="DA20" s="25">
        <f>'Finance'!DA11</f>
        <v/>
      </c>
      <c r="DB20" s="25">
        <f>'Finance'!DB11</f>
        <v/>
      </c>
      <c r="DC20" s="26">
        <f>IF(COUNT('Finance'!DC11)=1,'Finance'!DC11,"")</f>
        <v/>
      </c>
      <c r="DD20" s="26">
        <f>'Finance'!DD11</f>
        <v/>
      </c>
      <c r="DE20" s="26">
        <f>'Finance'!DE11</f>
        <v/>
      </c>
      <c r="DF20" s="25">
        <f>IF(COUNT('Finance'!DF11)=1,'Finance'!DF11,"")</f>
        <v/>
      </c>
      <c r="DG20" s="25">
        <f>'Finance'!DG11</f>
        <v/>
      </c>
      <c r="DH20" s="25">
        <f>'Finance'!DH11</f>
        <v/>
      </c>
      <c r="DI20" s="26">
        <f>IF(COUNT('Finance'!DI11)=1,'Finance'!DI11,"")</f>
        <v/>
      </c>
      <c r="DJ20" s="26">
        <f>'Finance'!DJ11</f>
        <v/>
      </c>
      <c r="DK20" s="26">
        <f>'Finance'!DK11</f>
        <v/>
      </c>
      <c r="DL20" s="25">
        <f>IF(COUNT('Finance'!DL11)=1,'Finance'!DL11,"")</f>
        <v/>
      </c>
      <c r="DM20" s="25">
        <f>'Finance'!DM11</f>
        <v/>
      </c>
      <c r="DN20" s="25">
        <f>'Finance'!DN11</f>
        <v/>
      </c>
    </row>
    <row r="21">
      <c r="A21" s="2" t="inlineStr">
        <is>
          <t>Reserve in Months</t>
        </is>
      </c>
      <c r="B21" s="27">
        <f>IF(K21&lt;&gt;"",K21,IF(N21&lt;&gt;"",N21,IF(Q21&lt;&gt;"",Q21,IF(T21&lt;&gt;"",T21,IF(W21&lt;&gt;"",W21,IF(Z21&lt;&gt;"",Z21,IF(AC21&lt;&gt;"",AC21,IF(AF21&lt;&gt;"",AF21,IF(AI21&lt;&gt;"",AI21,IF(AL21&lt;&gt;"",AL21,IF(AO21&lt;&gt;"",AO21,IF(AR21&lt;&gt;"",AR21,""))))))))))))</f>
        <v/>
      </c>
      <c r="C21" s="27">
        <f>IF(L21&lt;&gt;"",L21,IF(O21&lt;&gt;"",O21,IF(R21&lt;&gt;"",R21,IF(U21&lt;&gt;"",U21,IF(X21&lt;&gt;"",X21,IF(AA21&lt;&gt;"",AA21,IF(AD21&lt;&gt;"",AD21,IF(AG21&lt;&gt;"",AG21,IF(AJ21&lt;&gt;"",AJ21,IF(AM21&lt;&gt;"",AM21,IF(AP21&lt;&gt;"",AP21,IF(AS21&lt;&gt;"",AS21,""))))))))))))</f>
        <v/>
      </c>
      <c r="D21" s="27">
        <f>IF(M21&lt;&gt;"",M21,IF(P21&lt;&gt;"",P21,IF(S21&lt;&gt;"",S21,IF(V21&lt;&gt;"",V21,IF(Y21&lt;&gt;"",Y21,IF(AB21&lt;&gt;"",AB21,IF(AE21&lt;&gt;"",AE21,IF(AH21&lt;&gt;"",AH21,IF(AK21&lt;&gt;"",AK21,IF(AN21&lt;&gt;"",AN21,IF(AQ21&lt;&gt;"",AQ21,IF(AT21&lt;&gt;"",AT21,""))))))))))))</f>
        <v/>
      </c>
      <c r="E21" s="27">
        <f>IF(AU21&lt;&gt;"",AU21,IF(AX21&lt;&gt;"",AX21,IF(BA21&lt;&gt;"",BA21,IF(BD21&lt;&gt;"",BD21,IF(BG21&lt;&gt;"",BG21,IF(BJ21&lt;&gt;"",BJ21,IF(BM21&lt;&gt;"",BM21,IF(BP21&lt;&gt;"",BP21,IF(BS21&lt;&gt;"",BS21,IF(BV21&lt;&gt;"",BV21,IF(BY21&lt;&gt;"",BY21,IF(CB21&lt;&gt;"",CB21,""))))))))))))</f>
        <v/>
      </c>
      <c r="F21" s="27">
        <f>IF(AV21&lt;&gt;"",AV21,IF(AY21&lt;&gt;"",AY21,IF(BB21&lt;&gt;"",BB21,IF(BE21&lt;&gt;"",BE21,IF(BH21&lt;&gt;"",BH21,IF(BK21&lt;&gt;"",BK21,IF(BN21&lt;&gt;"",BN21,IF(BQ21&lt;&gt;"",BQ21,IF(BT21&lt;&gt;"",BT21,IF(BW21&lt;&gt;"",BW21,IF(BZ21&lt;&gt;"",BZ21,IF(CC21&lt;&gt;"",CC21,""))))))))))))</f>
        <v/>
      </c>
      <c r="G21" s="27">
        <f>IF(AW21&lt;&gt;"",AW21,IF(AZ21&lt;&gt;"",AZ21,IF(BC21&lt;&gt;"",BC21,IF(BF21&lt;&gt;"",BF21,IF(BI21&lt;&gt;"",BI21,IF(BL21&lt;&gt;"",BL21,IF(BO21&lt;&gt;"",BO21,IF(BR21&lt;&gt;"",BR21,IF(BU21&lt;&gt;"",BU21,IF(BX21&lt;&gt;"",BX21,IF(CA21&lt;&gt;"",CA21,IF(CD21&lt;&gt;"",CD21,""))))))))))))</f>
        <v/>
      </c>
      <c r="H21" s="27">
        <f>IF(CE21&lt;&gt;"",CE21,IF(CH21&lt;&gt;"",CH21,IF(CK21&lt;&gt;"",CK21,IF(CN21&lt;&gt;"",CN21,IF(CQ21&lt;&gt;"",CQ21,IF(CT21&lt;&gt;"",CT21,IF(CW21&lt;&gt;"",CW21,IF(CZ21&lt;&gt;"",CZ21,IF(DC21&lt;&gt;"",DC21,IF(DF21&lt;&gt;"",DF21,IF(DI21&lt;&gt;"",DI21,IF(DL21&lt;&gt;"",DL21,""))))))))))))</f>
        <v/>
      </c>
      <c r="I21" s="27">
        <f>IF(CF21&lt;&gt;"",CF21,IF(CI21&lt;&gt;"",CI21,IF(CL21&lt;&gt;"",CL21,IF(CO21&lt;&gt;"",CO21,IF(CR21&lt;&gt;"",CR21,IF(CU21&lt;&gt;"",CU21,IF(CX21&lt;&gt;"",CX21,IF(DA21&lt;&gt;"",DA21,IF(DD21&lt;&gt;"",DD21,IF(DG21&lt;&gt;"",DG21,IF(DJ21&lt;&gt;"",DJ21,IF(DM21&lt;&gt;"",DM21,""))))))))))))</f>
        <v/>
      </c>
      <c r="J21" s="27">
        <f>IF(CG21&lt;&gt;"",CG21,IF(CJ21&lt;&gt;"",CJ21,IF(CM21&lt;&gt;"",CM21,IF(CP21&lt;&gt;"",CP21,IF(CS21&lt;&gt;"",CS21,IF(CV21&lt;&gt;"",CV21,IF(CY21&lt;&gt;"",CY21,IF(DB21&lt;&gt;"",DB21,IF(DE21&lt;&gt;"",DE21,IF(DH21&lt;&gt;"",DH21,IF(DK21&lt;&gt;"",DK21,IF(DN21&lt;&gt;"",DN21,""))))))))))))</f>
        <v/>
      </c>
      <c r="K21" s="27">
        <f>IF(COUNT('Finance'!K12)=1,'Finance'!K12,"")</f>
        <v/>
      </c>
      <c r="L21" s="27">
        <f>'Finance'!L12</f>
        <v/>
      </c>
      <c r="M21" s="27">
        <f>'Finance'!M12</f>
        <v/>
      </c>
      <c r="N21" s="27">
        <f>IF(COUNT('Finance'!N12)=1,'Finance'!N12,"")</f>
        <v/>
      </c>
      <c r="O21" s="27">
        <f>'Finance'!O12</f>
        <v/>
      </c>
      <c r="P21" s="27">
        <f>'Finance'!P12</f>
        <v/>
      </c>
      <c r="Q21" s="27">
        <f>IF(COUNT('Finance'!Q12)=1,'Finance'!Q12,"")</f>
        <v/>
      </c>
      <c r="R21" s="27">
        <f>'Finance'!R12</f>
        <v/>
      </c>
      <c r="S21" s="27">
        <f>'Finance'!S12</f>
        <v/>
      </c>
      <c r="T21" s="27">
        <f>IF(COUNT('Finance'!T12)=1,'Finance'!T12,"")</f>
        <v/>
      </c>
      <c r="U21" s="27">
        <f>'Finance'!U12</f>
        <v/>
      </c>
      <c r="V21" s="27">
        <f>'Finance'!V12</f>
        <v/>
      </c>
      <c r="W21" s="27">
        <f>IF(COUNT('Finance'!W12)=1,'Finance'!W12,"")</f>
        <v/>
      </c>
      <c r="X21" s="27">
        <f>'Finance'!X12</f>
        <v/>
      </c>
      <c r="Y21" s="27">
        <f>'Finance'!Y12</f>
        <v/>
      </c>
      <c r="Z21" s="27">
        <f>IF(COUNT('Finance'!Z12)=1,'Finance'!Z12,"")</f>
        <v/>
      </c>
      <c r="AA21" s="27">
        <f>'Finance'!AA12</f>
        <v/>
      </c>
      <c r="AB21" s="27">
        <f>'Finance'!AB12</f>
        <v/>
      </c>
      <c r="AC21" s="27">
        <f>IF(COUNT('Finance'!AC12)=1,'Finance'!AC12,"")</f>
        <v/>
      </c>
      <c r="AD21" s="27">
        <f>'Finance'!AD12</f>
        <v/>
      </c>
      <c r="AE21" s="27">
        <f>'Finance'!AE12</f>
        <v/>
      </c>
      <c r="AF21" s="27">
        <f>IF(COUNT('Finance'!AF12)=1,'Finance'!AF12,"")</f>
        <v/>
      </c>
      <c r="AG21" s="27">
        <f>'Finance'!AG12</f>
        <v/>
      </c>
      <c r="AH21" s="27">
        <f>'Finance'!AH12</f>
        <v/>
      </c>
      <c r="AI21" s="27">
        <f>IF(COUNT('Finance'!AI12)=1,'Finance'!AI12,"")</f>
        <v/>
      </c>
      <c r="AJ21" s="27">
        <f>'Finance'!AJ12</f>
        <v/>
      </c>
      <c r="AK21" s="27">
        <f>'Finance'!AK12</f>
        <v/>
      </c>
      <c r="AL21" s="27">
        <f>IF(COUNT('Finance'!AL12)=1,'Finance'!AL12,"")</f>
        <v/>
      </c>
      <c r="AM21" s="27">
        <f>'Finance'!AM12</f>
        <v/>
      </c>
      <c r="AN21" s="27">
        <f>'Finance'!AN12</f>
        <v/>
      </c>
      <c r="AO21" s="27">
        <f>IF(COUNT('Finance'!AO12)=1,'Finance'!AO12,"")</f>
        <v/>
      </c>
      <c r="AP21" s="27">
        <f>'Finance'!AP12</f>
        <v/>
      </c>
      <c r="AQ21" s="27">
        <f>'Finance'!AQ12</f>
        <v/>
      </c>
      <c r="AR21" s="27">
        <f>IF(COUNT('Finance'!AR12)=1,'Finance'!AR12,"")</f>
        <v/>
      </c>
      <c r="AS21" s="27">
        <f>'Finance'!AS12</f>
        <v/>
      </c>
      <c r="AT21" s="27">
        <f>'Finance'!AT12</f>
        <v/>
      </c>
      <c r="AU21" s="27">
        <f>IF(COUNT('Finance'!AU12)=1,'Finance'!AU12,"")</f>
        <v/>
      </c>
      <c r="AV21" s="27">
        <f>'Finance'!AV12</f>
        <v/>
      </c>
      <c r="AW21" s="27">
        <f>'Finance'!AW12</f>
        <v/>
      </c>
      <c r="AX21" s="27">
        <f>IF(COUNT('Finance'!AX12)=1,'Finance'!AX12,"")</f>
        <v/>
      </c>
      <c r="AY21" s="27">
        <f>'Finance'!AY12</f>
        <v/>
      </c>
      <c r="AZ21" s="27">
        <f>'Finance'!AZ12</f>
        <v/>
      </c>
      <c r="BA21" s="27">
        <f>IF(COUNT('Finance'!BA12)=1,'Finance'!BA12,"")</f>
        <v/>
      </c>
      <c r="BB21" s="27">
        <f>'Finance'!BB12</f>
        <v/>
      </c>
      <c r="BC21" s="27">
        <f>'Finance'!BC12</f>
        <v/>
      </c>
      <c r="BD21" s="27">
        <f>IF(COUNT('Finance'!BD12)=1,'Finance'!BD12,"")</f>
        <v/>
      </c>
      <c r="BE21" s="27">
        <f>'Finance'!BE12</f>
        <v/>
      </c>
      <c r="BF21" s="27">
        <f>'Finance'!BF12</f>
        <v/>
      </c>
      <c r="BG21" s="27">
        <f>IF(COUNT('Finance'!BG12)=1,'Finance'!BG12,"")</f>
        <v/>
      </c>
      <c r="BH21" s="27">
        <f>'Finance'!BH12</f>
        <v/>
      </c>
      <c r="BI21" s="27">
        <f>'Finance'!BI12</f>
        <v/>
      </c>
      <c r="BJ21" s="27">
        <f>IF(COUNT('Finance'!BJ12)=1,'Finance'!BJ12,"")</f>
        <v/>
      </c>
      <c r="BK21" s="27">
        <f>'Finance'!BK12</f>
        <v/>
      </c>
      <c r="BL21" s="27">
        <f>'Finance'!BL12</f>
        <v/>
      </c>
      <c r="BM21" s="27">
        <f>IF(COUNT('Finance'!BM12)=1,'Finance'!BM12,"")</f>
        <v/>
      </c>
      <c r="BN21" s="27">
        <f>'Finance'!BN12</f>
        <v/>
      </c>
      <c r="BO21" s="27">
        <f>'Finance'!BO12</f>
        <v/>
      </c>
      <c r="BP21" s="27">
        <f>IF(COUNT('Finance'!BP12)=1,'Finance'!BP12,"")</f>
        <v/>
      </c>
      <c r="BQ21" s="27">
        <f>'Finance'!BQ12</f>
        <v/>
      </c>
      <c r="BR21" s="27">
        <f>'Finance'!BR12</f>
        <v/>
      </c>
      <c r="BS21" s="27">
        <f>IF(COUNT('Finance'!BS12)=1,'Finance'!BS12,"")</f>
        <v/>
      </c>
      <c r="BT21" s="27">
        <f>'Finance'!BT12</f>
        <v/>
      </c>
      <c r="BU21" s="27">
        <f>'Finance'!BU12</f>
        <v/>
      </c>
      <c r="BV21" s="27">
        <f>IF(COUNT('Finance'!BV12)=1,'Finance'!BV12,"")</f>
        <v/>
      </c>
      <c r="BW21" s="27">
        <f>'Finance'!BW12</f>
        <v/>
      </c>
      <c r="BX21" s="27">
        <f>'Finance'!BX12</f>
        <v/>
      </c>
      <c r="BY21" s="27">
        <f>IF(COUNT('Finance'!BY12)=1,'Finance'!BY12,"")</f>
        <v/>
      </c>
      <c r="BZ21" s="27">
        <f>'Finance'!BZ12</f>
        <v/>
      </c>
      <c r="CA21" s="27">
        <f>'Finance'!CA12</f>
        <v/>
      </c>
      <c r="CB21" s="27">
        <f>IF(COUNT('Finance'!CB12)=1,'Finance'!CB12,"")</f>
        <v/>
      </c>
      <c r="CC21" s="27">
        <f>'Finance'!CC12</f>
        <v/>
      </c>
      <c r="CD21" s="27">
        <f>'Finance'!CD12</f>
        <v/>
      </c>
      <c r="CE21" s="27">
        <f>IF(COUNT('Finance'!CE12)=1,'Finance'!CE12,"")</f>
        <v/>
      </c>
      <c r="CF21" s="27">
        <f>'Finance'!CF12</f>
        <v/>
      </c>
      <c r="CG21" s="27">
        <f>'Finance'!CG12</f>
        <v/>
      </c>
      <c r="CH21" s="27">
        <f>IF(COUNT('Finance'!CH12)=1,'Finance'!CH12,"")</f>
        <v/>
      </c>
      <c r="CI21" s="27">
        <f>'Finance'!CI12</f>
        <v/>
      </c>
      <c r="CJ21" s="27">
        <f>'Finance'!CJ12</f>
        <v/>
      </c>
      <c r="CK21" s="27">
        <f>IF(COUNT('Finance'!CK12)=1,'Finance'!CK12,"")</f>
        <v/>
      </c>
      <c r="CL21" s="27">
        <f>'Finance'!CL12</f>
        <v/>
      </c>
      <c r="CM21" s="27">
        <f>'Finance'!CM12</f>
        <v/>
      </c>
      <c r="CN21" s="27">
        <f>IF(COUNT('Finance'!CN12)=1,'Finance'!CN12,"")</f>
        <v/>
      </c>
      <c r="CO21" s="27">
        <f>'Finance'!CO12</f>
        <v/>
      </c>
      <c r="CP21" s="27">
        <f>'Finance'!CP12</f>
        <v/>
      </c>
      <c r="CQ21" s="27">
        <f>IF(COUNT('Finance'!CQ12)=1,'Finance'!CQ12,"")</f>
        <v/>
      </c>
      <c r="CR21" s="27">
        <f>'Finance'!CR12</f>
        <v/>
      </c>
      <c r="CS21" s="27">
        <f>'Finance'!CS12</f>
        <v/>
      </c>
      <c r="CT21" s="27">
        <f>IF(COUNT('Finance'!CT12)=1,'Finance'!CT12,"")</f>
        <v/>
      </c>
      <c r="CU21" s="27">
        <f>'Finance'!CU12</f>
        <v/>
      </c>
      <c r="CV21" s="27">
        <f>'Finance'!CV12</f>
        <v/>
      </c>
      <c r="CW21" s="27">
        <f>IF(COUNT('Finance'!CW12)=1,'Finance'!CW12,"")</f>
        <v/>
      </c>
      <c r="CX21" s="27">
        <f>'Finance'!CX12</f>
        <v/>
      </c>
      <c r="CY21" s="27">
        <f>'Finance'!CY12</f>
        <v/>
      </c>
      <c r="CZ21" s="27">
        <f>IF(COUNT('Finance'!CZ12)=1,'Finance'!CZ12,"")</f>
        <v/>
      </c>
      <c r="DA21" s="27">
        <f>'Finance'!DA12</f>
        <v/>
      </c>
      <c r="DB21" s="27">
        <f>'Finance'!DB12</f>
        <v/>
      </c>
      <c r="DC21" s="27">
        <f>IF(COUNT('Finance'!DC12)=1,'Finance'!DC12,"")</f>
        <v/>
      </c>
      <c r="DD21" s="27">
        <f>'Finance'!DD12</f>
        <v/>
      </c>
      <c r="DE21" s="27">
        <f>'Finance'!DE12</f>
        <v/>
      </c>
      <c r="DF21" s="27">
        <f>IF(COUNT('Finance'!DF12)=1,'Finance'!DF12,"")</f>
        <v/>
      </c>
      <c r="DG21" s="27">
        <f>'Finance'!DG12</f>
        <v/>
      </c>
      <c r="DH21" s="27">
        <f>'Finance'!DH12</f>
        <v/>
      </c>
      <c r="DI21" s="27">
        <f>IF(COUNT('Finance'!DI12)=1,'Finance'!DI12,"")</f>
        <v/>
      </c>
      <c r="DJ21" s="27">
        <f>'Finance'!DJ12</f>
        <v/>
      </c>
      <c r="DK21" s="27">
        <f>'Finance'!DK12</f>
        <v/>
      </c>
      <c r="DL21" s="27">
        <f>IF(COUNT('Finance'!DL12)=1,'Finance'!DL12,"")</f>
        <v/>
      </c>
      <c r="DM21" s="27">
        <f>'Finance'!DM12</f>
        <v/>
      </c>
      <c r="DN21" s="27">
        <f>'Finance'!DN12</f>
        <v/>
      </c>
    </row>
    <row r="22">
      <c r="A22" s="2" t="inlineStr">
        <is>
          <t>Growth Efficiency</t>
        </is>
      </c>
      <c r="B22" s="28">
        <f>IF(OR(N(SUM('Marketing'!AR28,'Sales'!AR24,'Marketing'!AO28,'Sales'!AO24,'Marketing'!AL28,'Sales'!AL24,'Marketing'!AI28,'Sales'!AI24,'Marketing'!AF28,'Sales'!AF24,'Marketing'!AC28,'Sales'!AC24,'Marketing'!Z28,'Sales'!Z24,'Marketing'!W28,'Sales'!W24,'Marketing'!T28,'Sales'!T24,'Marketing'!Q28,'Sales'!Q24,'Marketing'!N28,'Sales'!N24,'Marketing'!K28,'Sales'!K24))=0,N(B4)=0),"",B4*12/(SUM('Marketing'!AR28,'Sales'!AR24,'Marketing'!AO28,'Sales'!AO24,'Marketing'!AL28,'Sales'!AL24,'Marketing'!AI28,'Sales'!AI24,'Marketing'!AF28,'Sales'!AF24,'Marketing'!AC28,'Sales'!AC24,'Marketing'!Z28,'Sales'!Z24,'Marketing'!W28,'Sales'!W24,'Marketing'!T28,'Sales'!T24,'Marketing'!Q28,'Sales'!Q24,'Marketing'!N28,'Sales'!N24,'Marketing'!K28,'Sales'!K24)))</f>
        <v/>
      </c>
      <c r="C22" s="28">
        <f>IF(OR(N(SUM('Marketing'!AS28,'Sales'!AS24,'Marketing'!AP28,'Sales'!AP24,'Marketing'!AM28,'Sales'!AM24,'Marketing'!AJ28,'Sales'!AJ24,'Marketing'!AG28,'Sales'!AG24,'Marketing'!AD28,'Sales'!AD24,'Marketing'!AA28,'Sales'!AA24,'Marketing'!X28,'Sales'!X24,'Marketing'!U28,'Sales'!U24,'Marketing'!R28,'Sales'!R24,'Marketing'!O28,'Sales'!O24,'Marketing'!L28,'Sales'!L24))=0,N(C4)=0),"",C4*12/(SUM('Marketing'!AS28,'Sales'!AS24,'Marketing'!AP28,'Sales'!AP24,'Marketing'!AM28,'Sales'!AM24,'Marketing'!AJ28,'Sales'!AJ24,'Marketing'!AG28,'Sales'!AG24,'Marketing'!AD28,'Sales'!AD24,'Marketing'!AA28,'Sales'!AA24,'Marketing'!X28,'Sales'!X24,'Marketing'!U28,'Sales'!U24,'Marketing'!R28,'Sales'!R24,'Marketing'!O28,'Sales'!O24,'Marketing'!L28,'Sales'!L24)))</f>
        <v/>
      </c>
      <c r="D22" s="28">
        <f>IF(OR(N(SUM('Marketing'!AT28,'Sales'!AT24,'Marketing'!AQ28,'Sales'!AQ24,'Marketing'!AN28,'Sales'!AN24,'Marketing'!AK28,'Sales'!AK24,'Marketing'!AH28,'Sales'!AH24,'Marketing'!AE28,'Sales'!AE24,'Marketing'!AB28,'Sales'!AB24,'Marketing'!Y28,'Sales'!Y24,'Marketing'!V28,'Sales'!V24,'Marketing'!S28,'Sales'!S24,'Marketing'!P28,'Sales'!P24,'Marketing'!M28,'Sales'!M24))=0,N(D4)=0),"",D4*12/(SUM('Marketing'!AT28,'Sales'!AT24,'Marketing'!AQ28,'Sales'!AQ24,'Marketing'!AN28,'Sales'!AN24,'Marketing'!AK28,'Sales'!AK24,'Marketing'!AH28,'Sales'!AH24,'Marketing'!AE28,'Sales'!AE24,'Marketing'!AB28,'Sales'!AB24,'Marketing'!Y28,'Sales'!Y24,'Marketing'!V28,'Sales'!V24,'Marketing'!S28,'Sales'!S24,'Marketing'!P28,'Sales'!P24,'Marketing'!M28,'Sales'!M24)))</f>
        <v/>
      </c>
      <c r="E22" s="28">
        <f>IF(OR(N(SUM('Marketing'!CB28,'Sales'!CB24,'Marketing'!BY28,'Sales'!BY24,'Marketing'!BV28,'Sales'!BV24,'Marketing'!BS28,'Sales'!BS24,'Marketing'!BP28,'Sales'!BP24,'Marketing'!BM28,'Sales'!BM24,'Marketing'!BJ28,'Sales'!BJ24,'Marketing'!BG28,'Sales'!BG24,'Marketing'!BD28,'Sales'!BD24,'Marketing'!BA28,'Sales'!BA24,'Marketing'!AX28,'Sales'!AX24,'Marketing'!AU28,'Sales'!AU24))=0,N(E4)=0),"",E4*12/(SUM('Marketing'!CB28,'Sales'!CB24,'Marketing'!BY28,'Sales'!BY24,'Marketing'!BV28,'Sales'!BV24,'Marketing'!BS28,'Sales'!BS24,'Marketing'!BP28,'Sales'!BP24,'Marketing'!BM28,'Sales'!BM24,'Marketing'!BJ28,'Sales'!BJ24,'Marketing'!BG28,'Sales'!BG24,'Marketing'!BD28,'Sales'!BD24,'Marketing'!BA28,'Sales'!BA24,'Marketing'!AX28,'Sales'!AX24,'Marketing'!AU28,'Sales'!AU24)))</f>
        <v/>
      </c>
      <c r="F22" s="28">
        <f>IF(OR(N(SUM('Marketing'!CC28,'Sales'!CC24,'Marketing'!BZ28,'Sales'!BZ24,'Marketing'!BW28,'Sales'!BW24,'Marketing'!BT28,'Sales'!BT24,'Marketing'!BQ28,'Sales'!BQ24,'Marketing'!BN28,'Sales'!BN24,'Marketing'!BK28,'Sales'!BK24,'Marketing'!BH28,'Sales'!BH24,'Marketing'!BE28,'Sales'!BE24,'Marketing'!BB28,'Sales'!BB24,'Marketing'!AY28,'Sales'!AY24,'Marketing'!AV28,'Sales'!AV24))=0,N(F4)=0),"",F4*12/(SUM('Marketing'!CC28,'Sales'!CC24,'Marketing'!BZ28,'Sales'!BZ24,'Marketing'!BW28,'Sales'!BW24,'Marketing'!BT28,'Sales'!BT24,'Marketing'!BQ28,'Sales'!BQ24,'Marketing'!BN28,'Sales'!BN24,'Marketing'!BK28,'Sales'!BK24,'Marketing'!BH28,'Sales'!BH24,'Marketing'!BE28,'Sales'!BE24,'Marketing'!BB28,'Sales'!BB24,'Marketing'!AY28,'Sales'!AY24,'Marketing'!AV28,'Sales'!AV24)))</f>
        <v/>
      </c>
      <c r="G22" s="28">
        <f>IF(OR(N(SUM('Marketing'!CD28,'Sales'!CD24,'Marketing'!CA28,'Sales'!CA24,'Marketing'!BX28,'Sales'!BX24,'Marketing'!BU28,'Sales'!BU24,'Marketing'!BR28,'Sales'!BR24,'Marketing'!BO28,'Sales'!BO24,'Marketing'!BL28,'Sales'!BL24,'Marketing'!BI28,'Sales'!BI24,'Marketing'!BF28,'Sales'!BF24,'Marketing'!BC28,'Sales'!BC24,'Marketing'!AZ28,'Sales'!AZ24,'Marketing'!AW28,'Sales'!AW24))=0,N(G4)=0),"",G4*12/(SUM('Marketing'!CD28,'Sales'!CD24,'Marketing'!CA28,'Sales'!CA24,'Marketing'!BX28,'Sales'!BX24,'Marketing'!BU28,'Sales'!BU24,'Marketing'!BR28,'Sales'!BR24,'Marketing'!BO28,'Sales'!BO24,'Marketing'!BL28,'Sales'!BL24,'Marketing'!BI28,'Sales'!BI24,'Marketing'!BF28,'Sales'!BF24,'Marketing'!BC28,'Sales'!BC24,'Marketing'!AZ28,'Sales'!AZ24,'Marketing'!AW28,'Sales'!AW24)))</f>
        <v/>
      </c>
      <c r="H22" s="28">
        <f>IF(OR(N(SUM('Marketing'!DL28,'Sales'!DL24,'Marketing'!DI28,'Sales'!DI24,'Marketing'!DF28,'Sales'!DF24,'Marketing'!DC28,'Sales'!DC24,'Marketing'!CZ28,'Sales'!CZ24,'Marketing'!CW28,'Sales'!CW24,'Marketing'!CT28,'Sales'!CT24,'Marketing'!CQ28,'Sales'!CQ24,'Marketing'!CN28,'Sales'!CN24,'Marketing'!CK28,'Sales'!CK24,'Marketing'!CH28,'Sales'!CH24,'Marketing'!CE28,'Sales'!CE24))=0,N(H4)=0),"",H4*12/(SUM('Marketing'!DL28,'Sales'!DL24,'Marketing'!DI28,'Sales'!DI24,'Marketing'!DF28,'Sales'!DF24,'Marketing'!DC28,'Sales'!DC24,'Marketing'!CZ28,'Sales'!CZ24,'Marketing'!CW28,'Sales'!CW24,'Marketing'!CT28,'Sales'!CT24,'Marketing'!CQ28,'Sales'!CQ24,'Marketing'!CN28,'Sales'!CN24,'Marketing'!CK28,'Sales'!CK24,'Marketing'!CH28,'Sales'!CH24,'Marketing'!CE28,'Sales'!CE24)))</f>
        <v/>
      </c>
      <c r="I22" s="28">
        <f>IF(OR(N(SUM('Marketing'!DM28,'Sales'!DM24,'Marketing'!DJ28,'Sales'!DJ24,'Marketing'!DG28,'Sales'!DG24,'Marketing'!DD28,'Sales'!DD24,'Marketing'!DA28,'Sales'!DA24,'Marketing'!CX28,'Sales'!CX24,'Marketing'!CU28,'Sales'!CU24,'Marketing'!CR28,'Sales'!CR24,'Marketing'!CO28,'Sales'!CO24,'Marketing'!CL28,'Sales'!CL24,'Marketing'!CI28,'Sales'!CI24,'Marketing'!CF28,'Sales'!CF24))=0,N(I4)=0),"",I4*12/(SUM('Marketing'!DM28,'Sales'!DM24,'Marketing'!DJ28,'Sales'!DJ24,'Marketing'!DG28,'Sales'!DG24,'Marketing'!DD28,'Sales'!DD24,'Marketing'!DA28,'Sales'!DA24,'Marketing'!CX28,'Sales'!CX24,'Marketing'!CU28,'Sales'!CU24,'Marketing'!CR28,'Sales'!CR24,'Marketing'!CO28,'Sales'!CO24,'Marketing'!CL28,'Sales'!CL24,'Marketing'!CI28,'Sales'!CI24,'Marketing'!CF28,'Sales'!CF24)))</f>
        <v/>
      </c>
      <c r="J22" s="28">
        <f>IF(OR(N(SUM('Marketing'!DN28,'Sales'!DN24,'Marketing'!DK28,'Sales'!DK24,'Marketing'!DH28,'Sales'!DH24,'Marketing'!DE28,'Sales'!DE24,'Marketing'!DB28,'Sales'!DB24,'Marketing'!CY28,'Sales'!CY24,'Marketing'!CV28,'Sales'!CV24,'Marketing'!CS28,'Sales'!CS24,'Marketing'!CP28,'Sales'!CP24,'Marketing'!CM28,'Sales'!CM24,'Marketing'!CJ28,'Sales'!CJ24,'Marketing'!CG28,'Sales'!CG24))=0,N(J4)=0),"",J4*12/(SUM('Marketing'!DN28,'Sales'!DN24,'Marketing'!DK28,'Sales'!DK24,'Marketing'!DH28,'Sales'!DH24,'Marketing'!DE28,'Sales'!DE24,'Marketing'!DB28,'Sales'!DB24,'Marketing'!CY28,'Sales'!CY24,'Marketing'!CV28,'Sales'!CV24,'Marketing'!CS28,'Sales'!CS24,'Marketing'!CP28,'Sales'!CP24,'Marketing'!CM28,'Sales'!CM24,'Marketing'!CJ28,'Sales'!CJ24,'Marketing'!CG28,'Sales'!CG24)))</f>
        <v/>
      </c>
      <c r="K22" s="28">
        <f>IF(COUNT(K4,'Marketing'!N28,'Sales'!N24)=3,IF(N(SUM('Marketing'!N28,'Sales'!N24))=0,"",K4*12/(SUM('Marketing'!N28,'Sales'!N24))),"")</f>
        <v/>
      </c>
      <c r="L22" s="28">
        <f>IF(N(SUM('Marketing'!O28,'Sales'!O24))=0,"",L4*12/(SUM('Marketing'!O28,'Sales'!O24)))</f>
        <v/>
      </c>
      <c r="M22" s="28">
        <f>IF(N(SUM('Marketing'!P28,'Sales'!P24))=0,"",M4*12/(SUM('Marketing'!P28,'Sales'!P24)))</f>
        <v/>
      </c>
      <c r="N22" s="28">
        <f>IF(COUNT(N4,'Marketing'!Q28,'Sales'!Q24)=3,IF(N(SUM('Marketing'!Q28,'Sales'!Q24))=0,"",N4*12/(SUM('Marketing'!Q28,'Sales'!Q24))),"")</f>
        <v/>
      </c>
      <c r="O22" s="28">
        <f>IF(N(SUM('Marketing'!R28,'Sales'!R24))=0,"",O4*12/(SUM('Marketing'!R28,'Sales'!R24)))</f>
        <v/>
      </c>
      <c r="P22" s="28">
        <f>IF(N(SUM('Marketing'!S28,'Sales'!S24))=0,"",P4*12/(SUM('Marketing'!S28,'Sales'!S24)))</f>
        <v/>
      </c>
      <c r="Q22" s="28">
        <f>IF(COUNT(Q4,'Marketing'!T28,'Sales'!T24)=3,IF(N(SUM('Marketing'!T28,'Sales'!T24))=0,"",Q4*12/(SUM('Marketing'!T28,'Sales'!T24))),"")</f>
        <v/>
      </c>
      <c r="R22" s="28">
        <f>IF(N(SUM('Marketing'!U28,'Sales'!U24))=0,"",R4*12/(SUM('Marketing'!U28,'Sales'!U24)))</f>
        <v/>
      </c>
      <c r="S22" s="28">
        <f>IF(N(SUM('Marketing'!V28,'Sales'!V24))=0,"",S4*12/(SUM('Marketing'!V28,'Sales'!V24)))</f>
        <v/>
      </c>
      <c r="T22" s="28">
        <f>IF(COUNT(T4,'Marketing'!W28,'Sales'!W24)=3,IF(N(SUM('Marketing'!W28,'Sales'!W24))=0,"",T4*12/(SUM('Marketing'!W28,'Sales'!W24))),"")</f>
        <v/>
      </c>
      <c r="U22" s="28">
        <f>IF(N(SUM('Marketing'!X28,'Sales'!X24))=0,"",U4*12/(SUM('Marketing'!X28,'Sales'!X24)))</f>
        <v/>
      </c>
      <c r="V22" s="28">
        <f>IF(N(SUM('Marketing'!Y28,'Sales'!Y24))=0,"",V4*12/(SUM('Marketing'!Y28,'Sales'!Y24)))</f>
        <v/>
      </c>
      <c r="W22" s="28">
        <f>IF(COUNT(W4,'Marketing'!Z28,'Sales'!Z24)=3,IF(N(SUM('Marketing'!Z28,'Sales'!Z24))=0,"",W4*12/(SUM('Marketing'!Z28,'Sales'!Z24))),"")</f>
        <v/>
      </c>
      <c r="X22" s="28">
        <f>IF(N(SUM('Marketing'!AA28,'Sales'!AA24))=0,"",X4*12/(SUM('Marketing'!AA28,'Sales'!AA24)))</f>
        <v/>
      </c>
      <c r="Y22" s="28">
        <f>IF(N(SUM('Marketing'!AB28,'Sales'!AB24))=0,"",Y4*12/(SUM('Marketing'!AB28,'Sales'!AB24)))</f>
        <v/>
      </c>
      <c r="Z22" s="28">
        <f>IF(COUNT(Z4,'Marketing'!AC28,'Sales'!AC24)=3,IF(N(SUM('Marketing'!AC28,'Sales'!AC24))=0,"",Z4*12/(SUM('Marketing'!AC28,'Sales'!AC24))),"")</f>
        <v/>
      </c>
      <c r="AA22" s="28">
        <f>IF(N(SUM('Marketing'!AD28,'Sales'!AD24))=0,"",AA4*12/(SUM('Marketing'!AD28,'Sales'!AD24)))</f>
        <v/>
      </c>
      <c r="AB22" s="28">
        <f>IF(N(SUM('Marketing'!AE28,'Sales'!AE24))=0,"",AB4*12/(SUM('Marketing'!AE28,'Sales'!AE24)))</f>
        <v/>
      </c>
      <c r="AC22" s="28">
        <f>IF(COUNT(AC4,'Marketing'!AF28,'Sales'!AF24)=3,IF(N(SUM('Marketing'!AF28,'Sales'!AF24))=0,"",AC4*12/(SUM('Marketing'!AF28,'Sales'!AF24))),"")</f>
        <v/>
      </c>
      <c r="AD22" s="28">
        <f>IF(N(SUM('Marketing'!AG28,'Sales'!AG24))=0,"",AD4*12/(SUM('Marketing'!AG28,'Sales'!AG24)))</f>
        <v/>
      </c>
      <c r="AE22" s="28">
        <f>IF(N(SUM('Marketing'!AH28,'Sales'!AH24))=0,"",AE4*12/(SUM('Marketing'!AH28,'Sales'!AH24)))</f>
        <v/>
      </c>
      <c r="AF22" s="28">
        <f>IF(COUNT(AF4,'Marketing'!AI28,'Sales'!AI24)=3,IF(N(SUM('Marketing'!AI28,'Sales'!AI24))=0,"",AF4*12/(SUM('Marketing'!AI28,'Sales'!AI24))),"")</f>
        <v/>
      </c>
      <c r="AG22" s="28">
        <f>IF(N(SUM('Marketing'!AJ28,'Sales'!AJ24))=0,"",AG4*12/(SUM('Marketing'!AJ28,'Sales'!AJ24)))</f>
        <v/>
      </c>
      <c r="AH22" s="28">
        <f>IF(N(SUM('Marketing'!AK28,'Sales'!AK24))=0,"",AH4*12/(SUM('Marketing'!AK28,'Sales'!AK24)))</f>
        <v/>
      </c>
      <c r="AI22" s="28">
        <f>IF(COUNT(AI4,'Marketing'!AL28,'Sales'!AL24)=3,IF(N(SUM('Marketing'!AL28,'Sales'!AL24))=0,"",AI4*12/(SUM('Marketing'!AL28,'Sales'!AL24))),"")</f>
        <v/>
      </c>
      <c r="AJ22" s="28">
        <f>IF(N(SUM('Marketing'!AM28,'Sales'!AM24))=0,"",AJ4*12/(SUM('Marketing'!AM28,'Sales'!AM24)))</f>
        <v/>
      </c>
      <c r="AK22" s="28">
        <f>IF(N(SUM('Marketing'!AN28,'Sales'!AN24))=0,"",AK4*12/(SUM('Marketing'!AN28,'Sales'!AN24)))</f>
        <v/>
      </c>
      <c r="AL22" s="28">
        <f>IF(COUNT(AL4,'Marketing'!AO28,'Sales'!AO24)=3,IF(N(SUM('Marketing'!AO28,'Sales'!AO24))=0,"",AL4*12/(SUM('Marketing'!AO28,'Sales'!AO24))),"")</f>
        <v/>
      </c>
      <c r="AM22" s="28">
        <f>IF(N(SUM('Marketing'!AP28,'Sales'!AP24))=0,"",AM4*12/(SUM('Marketing'!AP28,'Sales'!AP24)))</f>
        <v/>
      </c>
      <c r="AN22" s="28">
        <f>IF(N(SUM('Marketing'!AQ28,'Sales'!AQ24))=0,"",AN4*12/(SUM('Marketing'!AQ28,'Sales'!AQ24)))</f>
        <v/>
      </c>
      <c r="AO22" s="28">
        <f>IF(COUNT(AO4,'Marketing'!AR28,'Sales'!AR24)=3,IF(N(SUM('Marketing'!AR28,'Sales'!AR24))=0,"",AO4*12/(SUM('Marketing'!AR28,'Sales'!AR24))),"")</f>
        <v/>
      </c>
      <c r="AP22" s="28">
        <f>IF(N(SUM('Marketing'!AS28,'Sales'!AS24))=0,"",AP4*12/(SUM('Marketing'!AS28,'Sales'!AS24)))</f>
        <v/>
      </c>
      <c r="AQ22" s="28">
        <f>IF(N(SUM('Marketing'!AT28,'Sales'!AT24))=0,"",AQ4*12/(SUM('Marketing'!AT28,'Sales'!AT24)))</f>
        <v/>
      </c>
      <c r="AR22" s="28">
        <f>IF(COUNT(AR4,'Marketing'!AU28,'Sales'!AU24)=3,IF(N(SUM('Marketing'!AU28,'Sales'!AU24))=0,"",AR4*12/(SUM('Marketing'!AU28,'Sales'!AU24))),"")</f>
        <v/>
      </c>
      <c r="AS22" s="28">
        <f>IF(N(SUM('Marketing'!AV28,'Sales'!AV24))=0,"",AS4*12/(SUM('Marketing'!AV28,'Sales'!AV24)))</f>
        <v/>
      </c>
      <c r="AT22" s="28">
        <f>IF(N(SUM('Marketing'!AW28,'Sales'!AW24))=0,"",AT4*12/(SUM('Marketing'!AW28,'Sales'!AW24)))</f>
        <v/>
      </c>
      <c r="AU22" s="28">
        <f>IF(COUNT(AU4,'Marketing'!AX28,'Sales'!AX24)=3,IF(N(SUM('Marketing'!AX28,'Sales'!AX24))=0,"",AU4*12/(SUM('Marketing'!AX28,'Sales'!AX24))),"")</f>
        <v/>
      </c>
      <c r="AV22" s="28">
        <f>IF(N(SUM('Marketing'!AY28,'Sales'!AY24))=0,"",AV4*12/(SUM('Marketing'!AY28,'Sales'!AY24)))</f>
        <v/>
      </c>
      <c r="AW22" s="28">
        <f>IF(N(SUM('Marketing'!AZ28,'Sales'!AZ24))=0,"",AW4*12/(SUM('Marketing'!AZ28,'Sales'!AZ24)))</f>
        <v/>
      </c>
      <c r="AX22" s="28">
        <f>IF(COUNT(AX4,'Marketing'!BA28,'Sales'!BA24)=3,IF(N(SUM('Marketing'!BA28,'Sales'!BA24))=0,"",AX4*12/(SUM('Marketing'!BA28,'Sales'!BA24))),"")</f>
        <v/>
      </c>
      <c r="AY22" s="28">
        <f>IF(N(SUM('Marketing'!BB28,'Sales'!BB24))=0,"",AY4*12/(SUM('Marketing'!BB28,'Sales'!BB24)))</f>
        <v/>
      </c>
      <c r="AZ22" s="28">
        <f>IF(N(SUM('Marketing'!BC28,'Sales'!BC24))=0,"",AZ4*12/(SUM('Marketing'!BC28,'Sales'!BC24)))</f>
        <v/>
      </c>
      <c r="BA22" s="28">
        <f>IF(COUNT(BA4,'Marketing'!BD28,'Sales'!BD24)=3,IF(N(SUM('Marketing'!BD28,'Sales'!BD24))=0,"",BA4*12/(SUM('Marketing'!BD28,'Sales'!BD24))),"")</f>
        <v/>
      </c>
      <c r="BB22" s="28">
        <f>IF(N(SUM('Marketing'!BE28,'Sales'!BE24))=0,"",BB4*12/(SUM('Marketing'!BE28,'Sales'!BE24)))</f>
        <v/>
      </c>
      <c r="BC22" s="28">
        <f>IF(N(SUM('Marketing'!BF28,'Sales'!BF24))=0,"",BC4*12/(SUM('Marketing'!BF28,'Sales'!BF24)))</f>
        <v/>
      </c>
      <c r="BD22" s="28">
        <f>IF(COUNT(BD4,'Marketing'!BG28,'Sales'!BG24)=3,IF(N(SUM('Marketing'!BG28,'Sales'!BG24))=0,"",BD4*12/(SUM('Marketing'!BG28,'Sales'!BG24))),"")</f>
        <v/>
      </c>
      <c r="BE22" s="28">
        <f>IF(N(SUM('Marketing'!BH28,'Sales'!BH24))=0,"",BE4*12/(SUM('Marketing'!BH28,'Sales'!BH24)))</f>
        <v/>
      </c>
      <c r="BF22" s="28">
        <f>IF(N(SUM('Marketing'!BI28,'Sales'!BI24))=0,"",BF4*12/(SUM('Marketing'!BI28,'Sales'!BI24)))</f>
        <v/>
      </c>
      <c r="BG22" s="28">
        <f>IF(COUNT(BG4,'Marketing'!BJ28,'Sales'!BJ24)=3,IF(N(SUM('Marketing'!BJ28,'Sales'!BJ24))=0,"",BG4*12/(SUM('Marketing'!BJ28,'Sales'!BJ24))),"")</f>
        <v/>
      </c>
      <c r="BH22" s="28">
        <f>IF(N(SUM('Marketing'!BK28,'Sales'!BK24))=0,"",BH4*12/(SUM('Marketing'!BK28,'Sales'!BK24)))</f>
        <v/>
      </c>
      <c r="BI22" s="28">
        <f>IF(N(SUM('Marketing'!BL28,'Sales'!BL24))=0,"",BI4*12/(SUM('Marketing'!BL28,'Sales'!BL24)))</f>
        <v/>
      </c>
      <c r="BJ22" s="28">
        <f>IF(COUNT(BJ4,'Marketing'!BM28,'Sales'!BM24)=3,IF(N(SUM('Marketing'!BM28,'Sales'!BM24))=0,"",BJ4*12/(SUM('Marketing'!BM28,'Sales'!BM24))),"")</f>
        <v/>
      </c>
      <c r="BK22" s="28">
        <f>IF(N(SUM('Marketing'!BN28,'Sales'!BN24))=0,"",BK4*12/(SUM('Marketing'!BN28,'Sales'!BN24)))</f>
        <v/>
      </c>
      <c r="BL22" s="28">
        <f>IF(N(SUM('Marketing'!BO28,'Sales'!BO24))=0,"",BL4*12/(SUM('Marketing'!BO28,'Sales'!BO24)))</f>
        <v/>
      </c>
      <c r="BM22" s="28">
        <f>IF(COUNT(BM4,'Marketing'!BP28,'Sales'!BP24)=3,IF(N(SUM('Marketing'!BP28,'Sales'!BP24))=0,"",BM4*12/(SUM('Marketing'!BP28,'Sales'!BP24))),"")</f>
        <v/>
      </c>
      <c r="BN22" s="28">
        <f>IF(N(SUM('Marketing'!BQ28,'Sales'!BQ24))=0,"",BN4*12/(SUM('Marketing'!BQ28,'Sales'!BQ24)))</f>
        <v/>
      </c>
      <c r="BO22" s="28">
        <f>IF(N(SUM('Marketing'!BR28,'Sales'!BR24))=0,"",BO4*12/(SUM('Marketing'!BR28,'Sales'!BR24)))</f>
        <v/>
      </c>
      <c r="BP22" s="28">
        <f>IF(COUNT(BP4,'Marketing'!BS28,'Sales'!BS24)=3,IF(N(SUM('Marketing'!BS28,'Sales'!BS24))=0,"",BP4*12/(SUM('Marketing'!BS28,'Sales'!BS24))),"")</f>
        <v/>
      </c>
      <c r="BQ22" s="28">
        <f>IF(N(SUM('Marketing'!BT28,'Sales'!BT24))=0,"",BQ4*12/(SUM('Marketing'!BT28,'Sales'!BT24)))</f>
        <v/>
      </c>
      <c r="BR22" s="28">
        <f>IF(N(SUM('Marketing'!BU28,'Sales'!BU24))=0,"",BR4*12/(SUM('Marketing'!BU28,'Sales'!BU24)))</f>
        <v/>
      </c>
      <c r="BS22" s="28">
        <f>IF(COUNT(BS4,'Marketing'!BV28,'Sales'!BV24)=3,IF(N(SUM('Marketing'!BV28,'Sales'!BV24))=0,"",BS4*12/(SUM('Marketing'!BV28,'Sales'!BV24))),"")</f>
        <v/>
      </c>
      <c r="BT22" s="28">
        <f>IF(N(SUM('Marketing'!BW28,'Sales'!BW24))=0,"",BT4*12/(SUM('Marketing'!BW28,'Sales'!BW24)))</f>
        <v/>
      </c>
      <c r="BU22" s="28">
        <f>IF(N(SUM('Marketing'!BX28,'Sales'!BX24))=0,"",BU4*12/(SUM('Marketing'!BX28,'Sales'!BX24)))</f>
        <v/>
      </c>
      <c r="BV22" s="28">
        <f>IF(COUNT(BV4,'Marketing'!BY28,'Sales'!BY24)=3,IF(N(SUM('Marketing'!BY28,'Sales'!BY24))=0,"",BV4*12/(SUM('Marketing'!BY28,'Sales'!BY24))),"")</f>
        <v/>
      </c>
      <c r="BW22" s="28">
        <f>IF(N(SUM('Marketing'!BZ28,'Sales'!BZ24))=0,"",BW4*12/(SUM('Marketing'!BZ28,'Sales'!BZ24)))</f>
        <v/>
      </c>
      <c r="BX22" s="28">
        <f>IF(N(SUM('Marketing'!CA28,'Sales'!CA24))=0,"",BX4*12/(SUM('Marketing'!CA28,'Sales'!CA24)))</f>
        <v/>
      </c>
      <c r="BY22" s="28">
        <f>IF(COUNT(BY4,'Marketing'!CB28,'Sales'!CB24)=3,IF(N(SUM('Marketing'!CB28,'Sales'!CB24))=0,"",BY4*12/(SUM('Marketing'!CB28,'Sales'!CB24))),"")</f>
        <v/>
      </c>
      <c r="BZ22" s="28">
        <f>IF(N(SUM('Marketing'!CC28,'Sales'!CC24))=0,"",BZ4*12/(SUM('Marketing'!CC28,'Sales'!CC24)))</f>
        <v/>
      </c>
      <c r="CA22" s="28">
        <f>IF(N(SUM('Marketing'!CD28,'Sales'!CD24))=0,"",CA4*12/(SUM('Marketing'!CD28,'Sales'!CD24)))</f>
        <v/>
      </c>
      <c r="CB22" s="28">
        <f>IF(COUNT(CB4,'Marketing'!CE28,'Sales'!CE24)=3,IF(N(SUM('Marketing'!CE28,'Sales'!CE24))=0,"",CB4*12/(SUM('Marketing'!CE28,'Sales'!CE24))),"")</f>
        <v/>
      </c>
      <c r="CC22" s="28">
        <f>IF(N(SUM('Marketing'!CF28,'Sales'!CF24))=0,"",CC4*12/(SUM('Marketing'!CF28,'Sales'!CF24)))</f>
        <v/>
      </c>
      <c r="CD22" s="28">
        <f>IF(N(SUM('Marketing'!CG28,'Sales'!CG24))=0,"",CD4*12/(SUM('Marketing'!CG28,'Sales'!CG24)))</f>
        <v/>
      </c>
      <c r="CE22" s="28">
        <f>IF(COUNT(CE4,'Marketing'!CH28,'Sales'!CH24)=3,IF(N(SUM('Marketing'!CH28,'Sales'!CH24))=0,"",CE4*12/(SUM('Marketing'!CH28,'Sales'!CH24))),"")</f>
        <v/>
      </c>
      <c r="CF22" s="28">
        <f>IF(N(SUM('Marketing'!CI28,'Sales'!CI24))=0,"",CF4*12/(SUM('Marketing'!CI28,'Sales'!CI24)))</f>
        <v/>
      </c>
      <c r="CG22" s="28">
        <f>IF(N(SUM('Marketing'!CJ28,'Sales'!CJ24))=0,"",CG4*12/(SUM('Marketing'!CJ28,'Sales'!CJ24)))</f>
        <v/>
      </c>
      <c r="CH22" s="28">
        <f>IF(COUNT(CH4,'Marketing'!CK28,'Sales'!CK24)=3,IF(N(SUM('Marketing'!CK28,'Sales'!CK24))=0,"",CH4*12/(SUM('Marketing'!CK28,'Sales'!CK24))),"")</f>
        <v/>
      </c>
      <c r="CI22" s="28">
        <f>IF(N(SUM('Marketing'!CL28,'Sales'!CL24))=0,"",CI4*12/(SUM('Marketing'!CL28,'Sales'!CL24)))</f>
        <v/>
      </c>
      <c r="CJ22" s="28">
        <f>IF(N(SUM('Marketing'!CM28,'Sales'!CM24))=0,"",CJ4*12/(SUM('Marketing'!CM28,'Sales'!CM24)))</f>
        <v/>
      </c>
      <c r="CK22" s="28">
        <f>IF(COUNT(CK4,'Marketing'!CN28,'Sales'!CN24)=3,IF(N(SUM('Marketing'!CN28,'Sales'!CN24))=0,"",CK4*12/(SUM('Marketing'!CN28,'Sales'!CN24))),"")</f>
        <v/>
      </c>
      <c r="CL22" s="28">
        <f>IF(N(SUM('Marketing'!CO28,'Sales'!CO24))=0,"",CL4*12/(SUM('Marketing'!CO28,'Sales'!CO24)))</f>
        <v/>
      </c>
      <c r="CM22" s="28">
        <f>IF(N(SUM('Marketing'!CP28,'Sales'!CP24))=0,"",CM4*12/(SUM('Marketing'!CP28,'Sales'!CP24)))</f>
        <v/>
      </c>
      <c r="CN22" s="28">
        <f>IF(COUNT(CN4,'Marketing'!CQ28,'Sales'!CQ24)=3,IF(N(SUM('Marketing'!CQ28,'Sales'!CQ24))=0,"",CN4*12/(SUM('Marketing'!CQ28,'Sales'!CQ24))),"")</f>
        <v/>
      </c>
      <c r="CO22" s="28">
        <f>IF(N(SUM('Marketing'!CR28,'Sales'!CR24))=0,"",CO4*12/(SUM('Marketing'!CR28,'Sales'!CR24)))</f>
        <v/>
      </c>
      <c r="CP22" s="28">
        <f>IF(N(SUM('Marketing'!CS28,'Sales'!CS24))=0,"",CP4*12/(SUM('Marketing'!CS28,'Sales'!CS24)))</f>
        <v/>
      </c>
      <c r="CQ22" s="28">
        <f>IF(COUNT(CQ4,'Marketing'!CT28,'Sales'!CT24)=3,IF(N(SUM('Marketing'!CT28,'Sales'!CT24))=0,"",CQ4*12/(SUM('Marketing'!CT28,'Sales'!CT24))),"")</f>
        <v/>
      </c>
      <c r="CR22" s="28">
        <f>IF(N(SUM('Marketing'!CU28,'Sales'!CU24))=0,"",CR4*12/(SUM('Marketing'!CU28,'Sales'!CU24)))</f>
        <v/>
      </c>
      <c r="CS22" s="28">
        <f>IF(N(SUM('Marketing'!CV28,'Sales'!CV24))=0,"",CS4*12/(SUM('Marketing'!CV28,'Sales'!CV24)))</f>
        <v/>
      </c>
      <c r="CT22" s="28">
        <f>IF(COUNT(CT4,'Marketing'!CW28,'Sales'!CW24)=3,IF(N(SUM('Marketing'!CW28,'Sales'!CW24))=0,"",CT4*12/(SUM('Marketing'!CW28,'Sales'!CW24))),"")</f>
        <v/>
      </c>
      <c r="CU22" s="28">
        <f>IF(N(SUM('Marketing'!CX28,'Sales'!CX24))=0,"",CU4*12/(SUM('Marketing'!CX28,'Sales'!CX24)))</f>
        <v/>
      </c>
      <c r="CV22" s="28">
        <f>IF(N(SUM('Marketing'!CY28,'Sales'!CY24))=0,"",CV4*12/(SUM('Marketing'!CY28,'Sales'!CY24)))</f>
        <v/>
      </c>
      <c r="CW22" s="28">
        <f>IF(COUNT(CW4,'Marketing'!CZ28,'Sales'!CZ24)=3,IF(N(SUM('Marketing'!CZ28,'Sales'!CZ24))=0,"",CW4*12/(SUM('Marketing'!CZ28,'Sales'!CZ24))),"")</f>
        <v/>
      </c>
      <c r="CX22" s="28">
        <f>IF(N(SUM('Marketing'!DA28,'Sales'!DA24))=0,"",CX4*12/(SUM('Marketing'!DA28,'Sales'!DA24)))</f>
        <v/>
      </c>
      <c r="CY22" s="28">
        <f>IF(N(SUM('Marketing'!DB28,'Sales'!DB24))=0,"",CY4*12/(SUM('Marketing'!DB28,'Sales'!DB24)))</f>
        <v/>
      </c>
      <c r="CZ22" s="28">
        <f>IF(COUNT(CZ4,'Marketing'!DC28,'Sales'!DC24)=3,IF(N(SUM('Marketing'!DC28,'Sales'!DC24))=0,"",CZ4*12/(SUM('Marketing'!DC28,'Sales'!DC24))),"")</f>
        <v/>
      </c>
      <c r="DA22" s="28">
        <f>IF(N(SUM('Marketing'!DD28,'Sales'!DD24))=0,"",DA4*12/(SUM('Marketing'!DD28,'Sales'!DD24)))</f>
        <v/>
      </c>
      <c r="DB22" s="28">
        <f>IF(N(SUM('Marketing'!DE28,'Sales'!DE24))=0,"",DB4*12/(SUM('Marketing'!DE28,'Sales'!DE24)))</f>
        <v/>
      </c>
      <c r="DC22" s="28">
        <f>IF(COUNT(DC4,'Marketing'!DF28,'Sales'!DF24)=3,IF(N(SUM('Marketing'!DF28,'Sales'!DF24))=0,"",DC4*12/(SUM('Marketing'!DF28,'Sales'!DF24))),"")</f>
        <v/>
      </c>
      <c r="DD22" s="28">
        <f>IF(N(SUM('Marketing'!DG28,'Sales'!DG24))=0,"",DD4*12/(SUM('Marketing'!DG28,'Sales'!DG24)))</f>
        <v/>
      </c>
      <c r="DE22" s="28">
        <f>IF(N(SUM('Marketing'!DH28,'Sales'!DH24))=0,"",DE4*12/(SUM('Marketing'!DH28,'Sales'!DH24)))</f>
        <v/>
      </c>
      <c r="DF22" s="28">
        <f>IF(COUNT(DF4,'Marketing'!DI28,'Sales'!DI24)=3,IF(N(SUM('Marketing'!DI28,'Sales'!DI24))=0,"",DF4*12/(SUM('Marketing'!DI28,'Sales'!DI24))),"")</f>
        <v/>
      </c>
      <c r="DG22" s="28">
        <f>IF(N(SUM('Marketing'!DJ28,'Sales'!DJ24))=0,"",DG4*12/(SUM('Marketing'!DJ28,'Sales'!DJ24)))</f>
        <v/>
      </c>
      <c r="DH22" s="28">
        <f>IF(N(SUM('Marketing'!DK28,'Sales'!DK24))=0,"",DH4*12/(SUM('Marketing'!DK28,'Sales'!DK24)))</f>
        <v/>
      </c>
      <c r="DI22" s="28">
        <f>IF(COUNT(DI4,'Marketing'!DL28,'Sales'!DL24)=3,IF(N(SUM('Marketing'!DL28,'Sales'!DL24))=0,"",DI4*12/(SUM('Marketing'!DL28,'Sales'!DL24))),"")</f>
        <v/>
      </c>
      <c r="DJ22" s="28">
        <f>IF(N(SUM('Marketing'!DM28,'Sales'!DM24))=0,"",DJ4*12/(SUM('Marketing'!DM28,'Sales'!DM24)))</f>
        <v/>
      </c>
      <c r="DK22" s="28">
        <f>IF(N(SUM('Marketing'!DN28,'Sales'!DN24))=0,"",DK4*12/(SUM('Marketing'!DN28,'Sales'!DN24)))</f>
        <v/>
      </c>
      <c r="DL22" s="28">
        <f>IF(COUNT(DL4,'Marketing'!DL28,'Sales'!DL24)=3,IF(N(SUM('Marketing'!DL28,'Sales'!DL24))=0,"",DL4*12/(SUM('Marketing'!DL28,'Sales'!DL24))),"")</f>
        <v/>
      </c>
      <c r="DM22" s="28">
        <f>IF(N(SUM('Marketing'!DM28,'Sales'!DM24))=0,"",DM4*12/(SUM('Marketing'!DM28,'Sales'!DM24)))</f>
        <v/>
      </c>
      <c r="DN22" s="28">
        <f>IF(N(SUM('Marketing'!DN28,'Sales'!DN24))=0,"",DN4*12/(SUM('Marketing'!DN28,'Sales'!DN24)))</f>
        <v/>
      </c>
    </row>
    <row r="23">
      <c r="A23" s="2" t="inlineStr">
        <is>
          <t>Rule of 40</t>
        </is>
      </c>
      <c r="B23" s="29">
        <f>IF(OR(N(IF(AR3&lt;&gt;"",AR3,IF(AO3&lt;&gt;"",AO3,IF(AL3&lt;&gt;"",AL3,IF(AI3&lt;&gt;"",AI3,IF(AF3&lt;&gt;"",AF3,IF(AC3&lt;&gt;"",AC3,IF(Z3&lt;&gt;"",Z3,IF(W3&lt;&gt;"",W3,IF(T3&lt;&gt;"",T3,IF(Q3&lt;&gt;"",Q3,IF(N3&lt;&gt;"",N3,IF(K3&lt;&gt;"",K3,"")))))))))))))=0,N(B7)=0),"",B6/N(IF(AR3&lt;&gt;"",AR3,IF(AO3&lt;&gt;"",AO3,IF(AL3&lt;&gt;"",AL3,IF(AI3&lt;&gt;"",AI3,IF(AF3&lt;&gt;"",AF3,IF(AC3&lt;&gt;"",AC3,IF(Z3&lt;&gt;"",Z3,IF(W3&lt;&gt;"",W3,IF(T3&lt;&gt;"",T3,IF(Q3&lt;&gt;"",Q3,IF(N3&lt;&gt;"",N3,IF(K3&lt;&gt;"",K3,"")))))))))))))-1+B12/B7)</f>
        <v/>
      </c>
      <c r="C23" s="29">
        <f>IF(OR(N(IF(AS3&lt;&gt;"",AS3,IF(AP3&lt;&gt;"",AP3,IF(AM3&lt;&gt;"",AM3,IF(AJ3&lt;&gt;"",AJ3,IF(AG3&lt;&gt;"",AG3,IF(AD3&lt;&gt;"",AD3,IF(AA3&lt;&gt;"",AA3,IF(X3&lt;&gt;"",X3,IF(U3&lt;&gt;"",U3,IF(R3&lt;&gt;"",R3,IF(O3&lt;&gt;"",O3,IF(L3&lt;&gt;"",L3,"")))))))))))))=0,N(C7)=0),"",C6/N(IF(AS3&lt;&gt;"",AS3,IF(AP3&lt;&gt;"",AP3,IF(AM3&lt;&gt;"",AM3,IF(AJ3&lt;&gt;"",AJ3,IF(AG3&lt;&gt;"",AG3,IF(AD3&lt;&gt;"",AD3,IF(AA3&lt;&gt;"",AA3,IF(X3&lt;&gt;"",X3,IF(U3&lt;&gt;"",U3,IF(R3&lt;&gt;"",R3,IF(O3&lt;&gt;"",O3,IF(L3&lt;&gt;"",L3,"")))))))))))))-1+C12/C7)</f>
        <v/>
      </c>
      <c r="D23" s="29">
        <f>IF(OR(N(IF(AT3&lt;&gt;"",AT3,IF(AQ3&lt;&gt;"",AQ3,IF(AN3&lt;&gt;"",AN3,IF(AK3&lt;&gt;"",AK3,IF(AH3&lt;&gt;"",AH3,IF(AE3&lt;&gt;"",AE3,IF(AB3&lt;&gt;"",AB3,IF(Y3&lt;&gt;"",Y3,IF(V3&lt;&gt;"",V3,IF(S3&lt;&gt;"",S3,IF(P3&lt;&gt;"",P3,IF(M3&lt;&gt;"",M3,"")))))))))))))=0,N(D7)=0),"",D6/N(IF(AT3&lt;&gt;"",AT3,IF(AQ3&lt;&gt;"",AQ3,IF(AN3&lt;&gt;"",AN3,IF(AK3&lt;&gt;"",AK3,IF(AH3&lt;&gt;"",AH3,IF(AE3&lt;&gt;"",AE3,IF(AB3&lt;&gt;"",AB3,IF(Y3&lt;&gt;"",Y3,IF(V3&lt;&gt;"",V3,IF(S3&lt;&gt;"",S3,IF(P3&lt;&gt;"",P3,IF(M3&lt;&gt;"",M3,"")))))))))))))-1+D12/D7)</f>
        <v/>
      </c>
      <c r="E23" s="29">
        <f>IF(OR(N(IF(CB3&lt;&gt;"",CB3,IF(BY3&lt;&gt;"",BY3,IF(BV3&lt;&gt;"",BV3,IF(BS3&lt;&gt;"",BS3,IF(BP3&lt;&gt;"",BP3,IF(BM3&lt;&gt;"",BM3,IF(BJ3&lt;&gt;"",BJ3,IF(BG3&lt;&gt;"",BG3,IF(BD3&lt;&gt;"",BD3,IF(BA3&lt;&gt;"",BA3,IF(AX3&lt;&gt;"",AX3,IF(AU3&lt;&gt;"",AU3,"")))))))))))))=0,N(E7)=0),"",E6/N(IF(CB3&lt;&gt;"",CB3,IF(BY3&lt;&gt;"",BY3,IF(BV3&lt;&gt;"",BV3,IF(BS3&lt;&gt;"",BS3,IF(BP3&lt;&gt;"",BP3,IF(BM3&lt;&gt;"",BM3,IF(BJ3&lt;&gt;"",BJ3,IF(BG3&lt;&gt;"",BG3,IF(BD3&lt;&gt;"",BD3,IF(BA3&lt;&gt;"",BA3,IF(AX3&lt;&gt;"",AX3,IF(AU3&lt;&gt;"",AU3,"")))))))))))))-1+E12/E7)</f>
        <v/>
      </c>
      <c r="F23" s="29">
        <f>IF(OR(N(IF(CC3&lt;&gt;"",CC3,IF(BZ3&lt;&gt;"",BZ3,IF(BW3&lt;&gt;"",BW3,IF(BT3&lt;&gt;"",BT3,IF(BQ3&lt;&gt;"",BQ3,IF(BN3&lt;&gt;"",BN3,IF(BK3&lt;&gt;"",BK3,IF(BH3&lt;&gt;"",BH3,IF(BE3&lt;&gt;"",BE3,IF(BB3&lt;&gt;"",BB3,IF(AY3&lt;&gt;"",AY3,IF(AV3&lt;&gt;"",AV3,"")))))))))))))=0,N(F7)=0),"",F6/N(IF(CC3&lt;&gt;"",CC3,IF(BZ3&lt;&gt;"",BZ3,IF(BW3&lt;&gt;"",BW3,IF(BT3&lt;&gt;"",BT3,IF(BQ3&lt;&gt;"",BQ3,IF(BN3&lt;&gt;"",BN3,IF(BK3&lt;&gt;"",BK3,IF(BH3&lt;&gt;"",BH3,IF(BE3&lt;&gt;"",BE3,IF(BB3&lt;&gt;"",BB3,IF(AY3&lt;&gt;"",AY3,IF(AV3&lt;&gt;"",AV3,"")))))))))))))-1+F12/F7)</f>
        <v/>
      </c>
      <c r="G23" s="29">
        <f>IF(OR(N(IF(CD3&lt;&gt;"",CD3,IF(CA3&lt;&gt;"",CA3,IF(BX3&lt;&gt;"",BX3,IF(BU3&lt;&gt;"",BU3,IF(BR3&lt;&gt;"",BR3,IF(BO3&lt;&gt;"",BO3,IF(BL3&lt;&gt;"",BL3,IF(BI3&lt;&gt;"",BI3,IF(BF3&lt;&gt;"",BF3,IF(BC3&lt;&gt;"",BC3,IF(AZ3&lt;&gt;"",AZ3,IF(AW3&lt;&gt;"",AW3,"")))))))))))))=0,N(G7)=0),"",G6/N(IF(CD3&lt;&gt;"",CD3,IF(CA3&lt;&gt;"",CA3,IF(BX3&lt;&gt;"",BX3,IF(BU3&lt;&gt;"",BU3,IF(BR3&lt;&gt;"",BR3,IF(BO3&lt;&gt;"",BO3,IF(BL3&lt;&gt;"",BL3,IF(BI3&lt;&gt;"",BI3,IF(BF3&lt;&gt;"",BF3,IF(BC3&lt;&gt;"",BC3,IF(AZ3&lt;&gt;"",AZ3,IF(AW3&lt;&gt;"",AW3,"")))))))))))))-1+G12/G7)</f>
        <v/>
      </c>
      <c r="H23" s="29">
        <f>IF(OR(N(IF(DL3&lt;&gt;"",DL3,IF(DI3&lt;&gt;"",DI3,IF(DF3&lt;&gt;"",DF3,IF(DC3&lt;&gt;"",DC3,IF(CZ3&lt;&gt;"",CZ3,IF(CW3&lt;&gt;"",CW3,IF(CT3&lt;&gt;"",CT3,IF(CQ3&lt;&gt;"",CQ3,IF(CN3&lt;&gt;"",CN3,IF(CK3&lt;&gt;"",CK3,IF(CH3&lt;&gt;"",CH3,IF(CE3&lt;&gt;"",CE3,"")))))))))))))=0,N(H7)=0),"",H6/N(IF(DL3&lt;&gt;"",DL3,IF(DI3&lt;&gt;"",DI3,IF(DF3&lt;&gt;"",DF3,IF(DC3&lt;&gt;"",DC3,IF(CZ3&lt;&gt;"",CZ3,IF(CW3&lt;&gt;"",CW3,IF(CT3&lt;&gt;"",CT3,IF(CQ3&lt;&gt;"",CQ3,IF(CN3&lt;&gt;"",CN3,IF(CK3&lt;&gt;"",CK3,IF(CH3&lt;&gt;"",CH3,IF(CE3&lt;&gt;"",CE3,"")))))))))))))-1+H12/H7)</f>
        <v/>
      </c>
      <c r="I23" s="29">
        <f>IF(OR(N(IF(DM3&lt;&gt;"",DM3,IF(DJ3&lt;&gt;"",DJ3,IF(DG3&lt;&gt;"",DG3,IF(DD3&lt;&gt;"",DD3,IF(DA3&lt;&gt;"",DA3,IF(CX3&lt;&gt;"",CX3,IF(CU3&lt;&gt;"",CU3,IF(CR3&lt;&gt;"",CR3,IF(CO3&lt;&gt;"",CO3,IF(CL3&lt;&gt;"",CL3,IF(CI3&lt;&gt;"",CI3,IF(CF3&lt;&gt;"",CF3,"")))))))))))))=0,N(I7)=0),"",I6/N(IF(DM3&lt;&gt;"",DM3,IF(DJ3&lt;&gt;"",DJ3,IF(DG3&lt;&gt;"",DG3,IF(DD3&lt;&gt;"",DD3,IF(DA3&lt;&gt;"",DA3,IF(CX3&lt;&gt;"",CX3,IF(CU3&lt;&gt;"",CU3,IF(CR3&lt;&gt;"",CR3,IF(CO3&lt;&gt;"",CO3,IF(CL3&lt;&gt;"",CL3,IF(CI3&lt;&gt;"",CI3,IF(CF3&lt;&gt;"",CF3,"")))))))))))))-1+I12/I7)</f>
        <v/>
      </c>
      <c r="J23" s="29">
        <f>IF(OR(N(IF(DN3&lt;&gt;"",DN3,IF(DK3&lt;&gt;"",DK3,IF(DH3&lt;&gt;"",DH3,IF(DE3&lt;&gt;"",DE3,IF(DB3&lt;&gt;"",DB3,IF(CY3&lt;&gt;"",CY3,IF(CV3&lt;&gt;"",CV3,IF(CS3&lt;&gt;"",CS3,IF(CP3&lt;&gt;"",CP3,IF(CM3&lt;&gt;"",CM3,IF(CJ3&lt;&gt;"",CJ3,IF(CG3&lt;&gt;"",CG3,"")))))))))))))=0,N(J7)=0),"",J6/N(IF(DN3&lt;&gt;"",DN3,IF(DK3&lt;&gt;"",DK3,IF(DH3&lt;&gt;"",DH3,IF(DE3&lt;&gt;"",DE3,IF(DB3&lt;&gt;"",DB3,IF(CY3&lt;&gt;"",CY3,IF(CV3&lt;&gt;"",CV3,IF(CS3&lt;&gt;"",CS3,IF(CP3&lt;&gt;"",CP3,IF(CM3&lt;&gt;"",CM3,IF(CJ3&lt;&gt;"",CJ3,IF(CG3&lt;&gt;"",CG3,"")))))))))))))-1+J12/J7)</f>
        <v/>
      </c>
      <c r="K23" s="29">
        <f>IF(OR(N(AR3)=0,N(K6)=0,SUM(AR7,AO7,AL7,AI7,AF7,AC7,Z7,W7,T7,Q7,N7,K7)=0),"",(K6/AR3)^(12/12)-1+SUM(AR12,AO12,AL12,AI12,AF12,AC12,Z12,W12,T12,Q12,N12,K12)/SUM(AR7,AO7,AL7,AI7,AF7,AC7,Z7,W7,T7,Q7,N7,K7))</f>
        <v/>
      </c>
      <c r="L23" s="29">
        <f>IF(OR(N(AS3)=0,N(L6)=0,SUM(AS7,AP7,AM7,AJ7,AG7,AD7,AA7,X7,U7,R7,O7,L7)=0),"",(L6/AS3)^(12/12)-1+SUM(AS12,AP12,AM12,AJ12,AG12,AD12,AA12,X12,U12,R12,O12,L12)/SUM(AS7,AP7,AM7,AJ7,AG7,AD7,AA7,X7,U7,R7,O7,L7))</f>
        <v/>
      </c>
      <c r="M23" s="29">
        <f>IF(OR(N(AT3)=0,N(M6)=0,SUM(AT7,AQ7,AN7,AK7,AH7,AE7,AB7,Y7,V7,S7,P7,M7)=0),"",(M6/AT3)^(12/12)-1+SUM(AT12,AQ12,AN12,AK12,AH12,AE12,AB12,Y12,V12,S12,P12,M12)/SUM(AT7,AQ7,AN7,AK7,AH7,AE7,AB7,Y7,V7,S7,P7,M7))</f>
        <v/>
      </c>
      <c r="N23" s="29">
        <f>IF(OR(N(AU3)=0,N(N6)=0,SUM(AU7,AR7,AO7,AL7,AI7,AF7,AC7,Z7,W7,T7,Q7,N7)=0),"",(N6/AU3)^(12/12)-1+SUM(AU12,AR12,AO12,AL12,AI12,AF12,AC12,Z12,W12,T12,Q12,N12)/SUM(AU7,AR7,AO7,AL7,AI7,AF7,AC7,Z7,W7,T7,Q7,N7))</f>
        <v/>
      </c>
      <c r="O23" s="29">
        <f>IF(OR(N(AV3)=0,N(O6)=0,SUM(AV7,AS7,AP7,AM7,AJ7,AG7,AD7,AA7,X7,U7,R7,O7)=0),"",(O6/AV3)^(12/12)-1+SUM(AV12,AS12,AP12,AM12,AJ12,AG12,AD12,AA12,X12,U12,R12,O12)/SUM(AV7,AS7,AP7,AM7,AJ7,AG7,AD7,AA7,X7,U7,R7,O7))</f>
        <v/>
      </c>
      <c r="P23" s="29">
        <f>IF(OR(N(AW3)=0,N(P6)=0,SUM(AW7,AT7,AQ7,AN7,AK7,AH7,AE7,AB7,Y7,V7,S7,P7)=0),"",(P6/AW3)^(12/12)-1+SUM(AW12,AT12,AQ12,AN12,AK12,AH12,AE12,AB12,Y12,V12,S12,P12)/SUM(AW7,AT7,AQ7,AN7,AK7,AH7,AE7,AB7,Y7,V7,S7,P7))</f>
        <v/>
      </c>
      <c r="Q23" s="29">
        <f>IF(OR(N(AX3)=0,N(Q6)=0,SUM(AX7,AU7,AR7,AO7,AL7,AI7,AF7,AC7,Z7,W7,T7,Q7)=0),"",(Q6/AX3)^(12/12)-1+SUM(AX12,AU12,AR12,AO12,AL12,AI12,AF12,AC12,Z12,W12,T12,Q12)/SUM(AX7,AU7,AR7,AO7,AL7,AI7,AF7,AC7,Z7,W7,T7,Q7))</f>
        <v/>
      </c>
      <c r="R23" s="29">
        <f>IF(OR(N(AY3)=0,N(R6)=0,SUM(AY7,AV7,AS7,AP7,AM7,AJ7,AG7,AD7,AA7,X7,U7,R7)=0),"",(R6/AY3)^(12/12)-1+SUM(AY12,AV12,AS12,AP12,AM12,AJ12,AG12,AD12,AA12,X12,U12,R12)/SUM(AY7,AV7,AS7,AP7,AM7,AJ7,AG7,AD7,AA7,X7,U7,R7))</f>
        <v/>
      </c>
      <c r="S23" s="29">
        <f>IF(OR(N(AZ3)=0,N(S6)=0,SUM(AZ7,AW7,AT7,AQ7,AN7,AK7,AH7,AE7,AB7,Y7,V7,S7)=0),"",(S6/AZ3)^(12/12)-1+SUM(AZ12,AW12,AT12,AQ12,AN12,AK12,AH12,AE12,AB12,Y12,V12,S12)/SUM(AZ7,AW7,AT7,AQ7,AN7,AK7,AH7,AE7,AB7,Y7,V7,S7))</f>
        <v/>
      </c>
      <c r="T23" s="29">
        <f>IF(OR(N(BA3)=0,N(T6)=0,SUM(BA7,AX7,AU7,AR7,AO7,AL7,AI7,AF7,AC7,Z7,W7,T7)=0),"",(T6/BA3)^(12/12)-1+SUM(BA12,AX12,AU12,AR12,AO12,AL12,AI12,AF12,AC12,Z12,W12,T12)/SUM(BA7,AX7,AU7,AR7,AO7,AL7,AI7,AF7,AC7,Z7,W7,T7))</f>
        <v/>
      </c>
      <c r="U23" s="29">
        <f>IF(OR(N(BB3)=0,N(U6)=0,SUM(BB7,AY7,AV7,AS7,AP7,AM7,AJ7,AG7,AD7,AA7,X7,U7)=0),"",(U6/BB3)^(12/12)-1+SUM(BB12,AY12,AV12,AS12,AP12,AM12,AJ12,AG12,AD12,AA12,X12,U12)/SUM(BB7,AY7,AV7,AS7,AP7,AM7,AJ7,AG7,AD7,AA7,X7,U7))</f>
        <v/>
      </c>
      <c r="V23" s="29">
        <f>IF(OR(N(BC3)=0,N(V6)=0,SUM(BC7,AZ7,AW7,AT7,AQ7,AN7,AK7,AH7,AE7,AB7,Y7,V7)=0),"",(V6/BC3)^(12/12)-1+SUM(BC12,AZ12,AW12,AT12,AQ12,AN12,AK12,AH12,AE12,AB12,Y12,V12)/SUM(BC7,AZ7,AW7,AT7,AQ7,AN7,AK7,AH7,AE7,AB7,Y7,V7))</f>
        <v/>
      </c>
      <c r="W23" s="29">
        <f>IF(OR(N(BD3)=0,N(W6)=0,SUM(BD7,BA7,AX7,AU7,AR7,AO7,AL7,AI7,AF7,AC7,Z7,W7)=0),"",(W6/BD3)^(12/12)-1+SUM(BD12,BA12,AX12,AU12,AR12,AO12,AL12,AI12,AF12,AC12,Z12,W12)/SUM(BD7,BA7,AX7,AU7,AR7,AO7,AL7,AI7,AF7,AC7,Z7,W7))</f>
        <v/>
      </c>
      <c r="X23" s="29">
        <f>IF(OR(N(BE3)=0,N(X6)=0,SUM(BE7,BB7,AY7,AV7,AS7,AP7,AM7,AJ7,AG7,AD7,AA7,X7)=0),"",(X6/BE3)^(12/12)-1+SUM(BE12,BB12,AY12,AV12,AS12,AP12,AM12,AJ12,AG12,AD12,AA12,X12)/SUM(BE7,BB7,AY7,AV7,AS7,AP7,AM7,AJ7,AG7,AD7,AA7,X7))</f>
        <v/>
      </c>
      <c r="Y23" s="29">
        <f>IF(OR(N(BF3)=0,N(Y6)=0,SUM(BF7,BC7,AZ7,AW7,AT7,AQ7,AN7,AK7,AH7,AE7,AB7,Y7)=0),"",(Y6/BF3)^(12/12)-1+SUM(BF12,BC12,AZ12,AW12,AT12,AQ12,AN12,AK12,AH12,AE12,AB12,Y12)/SUM(BF7,BC7,AZ7,AW7,AT7,AQ7,AN7,AK7,AH7,AE7,AB7,Y7))</f>
        <v/>
      </c>
      <c r="Z23" s="29">
        <f>IF(OR(N(BG3)=0,N(Z6)=0,SUM(BG7,BD7,BA7,AX7,AU7,AR7,AO7,AL7,AI7,AF7,AC7,Z7)=0),"",(Z6/BG3)^(12/12)-1+SUM(BG12,BD12,BA12,AX12,AU12,AR12,AO12,AL12,AI12,AF12,AC12,Z12)/SUM(BG7,BD7,BA7,AX7,AU7,AR7,AO7,AL7,AI7,AF7,AC7,Z7))</f>
        <v/>
      </c>
      <c r="AA23" s="29">
        <f>IF(OR(N(BH3)=0,N(AA6)=0,SUM(BH7,BE7,BB7,AY7,AV7,AS7,AP7,AM7,AJ7,AG7,AD7,AA7)=0),"",(AA6/BH3)^(12/12)-1+SUM(BH12,BE12,BB12,AY12,AV12,AS12,AP12,AM12,AJ12,AG12,AD12,AA12)/SUM(BH7,BE7,BB7,AY7,AV7,AS7,AP7,AM7,AJ7,AG7,AD7,AA7))</f>
        <v/>
      </c>
      <c r="AB23" s="29">
        <f>IF(OR(N(BI3)=0,N(AB6)=0,SUM(BI7,BF7,BC7,AZ7,AW7,AT7,AQ7,AN7,AK7,AH7,AE7,AB7)=0),"",(AB6/BI3)^(12/12)-1+SUM(BI12,BF12,BC12,AZ12,AW12,AT12,AQ12,AN12,AK12,AH12,AE12,AB12)/SUM(BI7,BF7,BC7,AZ7,AW7,AT7,AQ7,AN7,AK7,AH7,AE7,AB7))</f>
        <v/>
      </c>
      <c r="AC23" s="29">
        <f>IF(OR(N(BJ3)=0,N(AC6)=0,SUM(BJ7,BG7,BD7,BA7,AX7,AU7,AR7,AO7,AL7,AI7,AF7,AC7)=0),"",(AC6/BJ3)^(12/12)-1+SUM(BJ12,BG12,BD12,BA12,AX12,AU12,AR12,AO12,AL12,AI12,AF12,AC12)/SUM(BJ7,BG7,BD7,BA7,AX7,AU7,AR7,AO7,AL7,AI7,AF7,AC7))</f>
        <v/>
      </c>
      <c r="AD23" s="29">
        <f>IF(OR(N(BK3)=0,N(AD6)=0,SUM(BK7,BH7,BE7,BB7,AY7,AV7,AS7,AP7,AM7,AJ7,AG7,AD7)=0),"",(AD6/BK3)^(12/12)-1+SUM(BK12,BH12,BE12,BB12,AY12,AV12,AS12,AP12,AM12,AJ12,AG12,AD12)/SUM(BK7,BH7,BE7,BB7,AY7,AV7,AS7,AP7,AM7,AJ7,AG7,AD7))</f>
        <v/>
      </c>
      <c r="AE23" s="29">
        <f>IF(OR(N(BL3)=0,N(AE6)=0,SUM(BL7,BI7,BF7,BC7,AZ7,AW7,AT7,AQ7,AN7,AK7,AH7,AE7)=0),"",(AE6/BL3)^(12/12)-1+SUM(BL12,BI12,BF12,BC12,AZ12,AW12,AT12,AQ12,AN12,AK12,AH12,AE12)/SUM(BL7,BI7,BF7,BC7,AZ7,AW7,AT7,AQ7,AN7,AK7,AH7,AE7))</f>
        <v/>
      </c>
      <c r="AF23" s="29">
        <f>IF(OR(N(BM3)=0,N(AF6)=0,SUM(BM7,BJ7,BG7,BD7,BA7,AX7,AU7,AR7,AO7,AL7,AI7,AF7)=0),"",(AF6/BM3)^(12/12)-1+SUM(BM12,BJ12,BG12,BD12,BA12,AX12,AU12,AR12,AO12,AL12,AI12,AF12)/SUM(BM7,BJ7,BG7,BD7,BA7,AX7,AU7,AR7,AO7,AL7,AI7,AF7))</f>
        <v/>
      </c>
      <c r="AG23" s="29">
        <f>IF(OR(N(BN3)=0,N(AG6)=0,SUM(BN7,BK7,BH7,BE7,BB7,AY7,AV7,AS7,AP7,AM7,AJ7,AG7)=0),"",(AG6/BN3)^(12/12)-1+SUM(BN12,BK12,BH12,BE12,BB12,AY12,AV12,AS12,AP12,AM12,AJ12,AG12)/SUM(BN7,BK7,BH7,BE7,BB7,AY7,AV7,AS7,AP7,AM7,AJ7,AG7))</f>
        <v/>
      </c>
      <c r="AH23" s="29">
        <f>IF(OR(N(BO3)=0,N(AH6)=0,SUM(BO7,BL7,BI7,BF7,BC7,AZ7,AW7,AT7,AQ7,AN7,AK7,AH7)=0),"",(AH6/BO3)^(12/12)-1+SUM(BO12,BL12,BI12,BF12,BC12,AZ12,AW12,AT12,AQ12,AN12,AK12,AH12)/SUM(BO7,BL7,BI7,BF7,BC7,AZ7,AW7,AT7,AQ7,AN7,AK7,AH7))</f>
        <v/>
      </c>
      <c r="AI23" s="29">
        <f>IF(OR(N(BP3)=0,N(AI6)=0,SUM(BP7,BM7,BJ7,BG7,BD7,BA7,AX7,AU7,AR7,AO7,AL7,AI7)=0),"",(AI6/BP3)^(12/12)-1+SUM(BP12,BM12,BJ12,BG12,BD12,BA12,AX12,AU12,AR12,AO12,AL12,AI12)/SUM(BP7,BM7,BJ7,BG7,BD7,BA7,AX7,AU7,AR7,AO7,AL7,AI7))</f>
        <v/>
      </c>
      <c r="AJ23" s="29">
        <f>IF(OR(N(BQ3)=0,N(AJ6)=0,SUM(BQ7,BN7,BK7,BH7,BE7,BB7,AY7,AV7,AS7,AP7,AM7,AJ7)=0),"",(AJ6/BQ3)^(12/12)-1+SUM(BQ12,BN12,BK12,BH12,BE12,BB12,AY12,AV12,AS12,AP12,AM12,AJ12)/SUM(BQ7,BN7,BK7,BH7,BE7,BB7,AY7,AV7,AS7,AP7,AM7,AJ7))</f>
        <v/>
      </c>
      <c r="AK23" s="29">
        <f>IF(OR(N(BR3)=0,N(AK6)=0,SUM(BR7,BO7,BL7,BI7,BF7,BC7,AZ7,AW7,AT7,AQ7,AN7,AK7)=0),"",(AK6/BR3)^(12/12)-1+SUM(BR12,BO12,BL12,BI12,BF12,BC12,AZ12,AW12,AT12,AQ12,AN12,AK12)/SUM(BR7,BO7,BL7,BI7,BF7,BC7,AZ7,AW7,AT7,AQ7,AN7,AK7))</f>
        <v/>
      </c>
      <c r="AL23" s="29">
        <f>IF(OR(N(BS3)=0,N(AL6)=0,SUM(BS7,BP7,BM7,BJ7,BG7,BD7,BA7,AX7,AU7,AR7,AO7,AL7)=0),"",(AL6/BS3)^(12/12)-1+SUM(BS12,BP12,BM12,BJ12,BG12,BD12,BA12,AX12,AU12,AR12,AO12,AL12)/SUM(BS7,BP7,BM7,BJ7,BG7,BD7,BA7,AX7,AU7,AR7,AO7,AL7))</f>
        <v/>
      </c>
      <c r="AM23" s="29">
        <f>IF(OR(N(BT3)=0,N(AM6)=0,SUM(BT7,BQ7,BN7,BK7,BH7,BE7,BB7,AY7,AV7,AS7,AP7,AM7)=0),"",(AM6/BT3)^(12/12)-1+SUM(BT12,BQ12,BN12,BK12,BH12,BE12,BB12,AY12,AV12,AS12,AP12,AM12)/SUM(BT7,BQ7,BN7,BK7,BH7,BE7,BB7,AY7,AV7,AS7,AP7,AM7))</f>
        <v/>
      </c>
      <c r="AN23" s="29">
        <f>IF(OR(N(BU3)=0,N(AN6)=0,SUM(BU7,BR7,BO7,BL7,BI7,BF7,BC7,AZ7,AW7,AT7,AQ7,AN7)=0),"",(AN6/BU3)^(12/12)-1+SUM(BU12,BR12,BO12,BL12,BI12,BF12,BC12,AZ12,AW12,AT12,AQ12,AN12)/SUM(BU7,BR7,BO7,BL7,BI7,BF7,BC7,AZ7,AW7,AT7,AQ7,AN7))</f>
        <v/>
      </c>
      <c r="AO23" s="29">
        <f>IF(OR(N(BV3)=0,N(AO6)=0,SUM(BV7,BS7,BP7,BM7,BJ7,BG7,BD7,BA7,AX7,AU7,AR7,AO7)=0),"",(AO6/BV3)^(12/12)-1+SUM(BV12,BS12,BP12,BM12,BJ12,BG12,BD12,BA12,AX12,AU12,AR12,AO12)/SUM(BV7,BS7,BP7,BM7,BJ7,BG7,BD7,BA7,AX7,AU7,AR7,AO7))</f>
        <v/>
      </c>
      <c r="AP23" s="29">
        <f>IF(OR(N(BW3)=0,N(AP6)=0,SUM(BW7,BT7,BQ7,BN7,BK7,BH7,BE7,BB7,AY7,AV7,AS7,AP7)=0),"",(AP6/BW3)^(12/12)-1+SUM(BW12,BT12,BQ12,BN12,BK12,BH12,BE12,BB12,AY12,AV12,AS12,AP12)/SUM(BW7,BT7,BQ7,BN7,BK7,BH7,BE7,BB7,AY7,AV7,AS7,AP7))</f>
        <v/>
      </c>
      <c r="AQ23" s="29">
        <f>IF(OR(N(BX3)=0,N(AQ6)=0,SUM(BX7,BU7,BR7,BO7,BL7,BI7,BF7,BC7,AZ7,AW7,AT7,AQ7)=0),"",(AQ6/BX3)^(12/12)-1+SUM(BX12,BU12,BR12,BO12,BL12,BI12,BF12,BC12,AZ12,AW12,AT12,AQ12)/SUM(BX7,BU7,BR7,BO7,BL7,BI7,BF7,BC7,AZ7,AW7,AT7,AQ7))</f>
        <v/>
      </c>
      <c r="AR23" s="29">
        <f>IF(OR(N(BY3)=0,N(AR6)=0,SUM(BY7,BV7,BS7,BP7,BM7,BJ7,BG7,BD7,BA7,AX7,AU7,AR7)=0),"",(AR6/BY3)^(12/12)-1+SUM(BY12,BV12,BS12,BP12,BM12,BJ12,BG12,BD12,BA12,AX12,AU12,AR12)/SUM(BY7,BV7,BS7,BP7,BM7,BJ7,BG7,BD7,BA7,AX7,AU7,AR7))</f>
        <v/>
      </c>
      <c r="AS23" s="29">
        <f>IF(OR(N(BZ3)=0,N(AS6)=0,SUM(BZ7,BW7,BT7,BQ7,BN7,BK7,BH7,BE7,BB7,AY7,AV7,AS7)=0),"",(AS6/BZ3)^(12/12)-1+SUM(BZ12,BW12,BT12,BQ12,BN12,BK12,BH12,BE12,BB12,AY12,AV12,AS12)/SUM(BZ7,BW7,BT7,BQ7,BN7,BK7,BH7,BE7,BB7,AY7,AV7,AS7))</f>
        <v/>
      </c>
      <c r="AT23" s="29">
        <f>IF(OR(N(CA3)=0,N(AT6)=0,SUM(CA7,BX7,BU7,BR7,BO7,BL7,BI7,BF7,BC7,AZ7,AW7,AT7)=0),"",(AT6/CA3)^(12/12)-1+SUM(CA12,BX12,BU12,BR12,BO12,BL12,BI12,BF12,BC12,AZ12,AW12,AT12)/SUM(CA7,BX7,BU7,BR7,BO7,BL7,BI7,BF7,BC7,AZ7,AW7,AT7))</f>
        <v/>
      </c>
      <c r="AU23" s="29">
        <f>IF(OR(N(CB3)=0,N(AU6)=0,SUM(CB7,BY7,BV7,BS7,BP7,BM7,BJ7,BG7,BD7,BA7,AX7,AU7)=0),"",(AU6/CB3)^(12/12)-1+SUM(CB12,BY12,BV12,BS12,BP12,BM12,BJ12,BG12,BD12,BA12,AX12,AU12)/SUM(CB7,BY7,BV7,BS7,BP7,BM7,BJ7,BG7,BD7,BA7,AX7,AU7))</f>
        <v/>
      </c>
      <c r="AV23" s="29">
        <f>IF(OR(N(CC3)=0,N(AV6)=0,SUM(CC7,BZ7,BW7,BT7,BQ7,BN7,BK7,BH7,BE7,BB7,AY7,AV7)=0),"",(AV6/CC3)^(12/12)-1+SUM(CC12,BZ12,BW12,BT12,BQ12,BN12,BK12,BH12,BE12,BB12,AY12,AV12)/SUM(CC7,BZ7,BW7,BT7,BQ7,BN7,BK7,BH7,BE7,BB7,AY7,AV7))</f>
        <v/>
      </c>
      <c r="AW23" s="29">
        <f>IF(OR(N(CD3)=0,N(AW6)=0,SUM(CD7,CA7,BX7,BU7,BR7,BO7,BL7,BI7,BF7,BC7,AZ7,AW7)=0),"",(AW6/CD3)^(12/12)-1+SUM(CD12,CA12,BX12,BU12,BR12,BO12,BL12,BI12,BF12,BC12,AZ12,AW12)/SUM(CD7,CA7,BX7,BU7,BR7,BO7,BL7,BI7,BF7,BC7,AZ7,AW7))</f>
        <v/>
      </c>
      <c r="AX23" s="29">
        <f>IF(OR(N(CE3)=0,N(AX6)=0,SUM(CE7,CB7,BY7,BV7,BS7,BP7,BM7,BJ7,BG7,BD7,BA7,AX7)=0),"",(AX6/CE3)^(12/12)-1+SUM(CE12,CB12,BY12,BV12,BS12,BP12,BM12,BJ12,BG12,BD12,BA12,AX12)/SUM(CE7,CB7,BY7,BV7,BS7,BP7,BM7,BJ7,BG7,BD7,BA7,AX7))</f>
        <v/>
      </c>
      <c r="AY23" s="29">
        <f>IF(OR(N(CF3)=0,N(AY6)=0,SUM(CF7,CC7,BZ7,BW7,BT7,BQ7,BN7,BK7,BH7,BE7,BB7,AY7)=0),"",(AY6/CF3)^(12/12)-1+SUM(CF12,CC12,BZ12,BW12,BT12,BQ12,BN12,BK12,BH12,BE12,BB12,AY12)/SUM(CF7,CC7,BZ7,BW7,BT7,BQ7,BN7,BK7,BH7,BE7,BB7,AY7))</f>
        <v/>
      </c>
      <c r="AZ23" s="29">
        <f>IF(OR(N(CG3)=0,N(AZ6)=0,SUM(CG7,CD7,CA7,BX7,BU7,BR7,BO7,BL7,BI7,BF7,BC7,AZ7)=0),"",(AZ6/CG3)^(12/12)-1+SUM(CG12,CD12,CA12,BX12,BU12,BR12,BO12,BL12,BI12,BF12,BC12,AZ12)/SUM(CG7,CD7,CA7,BX7,BU7,BR7,BO7,BL7,BI7,BF7,BC7,AZ7))</f>
        <v/>
      </c>
      <c r="BA23" s="29">
        <f>IF(OR(N(CH3)=0,N(BA6)=0,SUM(CH7,CE7,CB7,BY7,BV7,BS7,BP7,BM7,BJ7,BG7,BD7,BA7)=0),"",(BA6/CH3)^(12/12)-1+SUM(CH12,CE12,CB12,BY12,BV12,BS12,BP12,BM12,BJ12,BG12,BD12,BA12)/SUM(CH7,CE7,CB7,BY7,BV7,BS7,BP7,BM7,BJ7,BG7,BD7,BA7))</f>
        <v/>
      </c>
      <c r="BB23" s="29">
        <f>IF(OR(N(CI3)=0,N(BB6)=0,SUM(CI7,CF7,CC7,BZ7,BW7,BT7,BQ7,BN7,BK7,BH7,BE7,BB7)=0),"",(BB6/CI3)^(12/12)-1+SUM(CI12,CF12,CC12,BZ12,BW12,BT12,BQ12,BN12,BK12,BH12,BE12,BB12)/SUM(CI7,CF7,CC7,BZ7,BW7,BT7,BQ7,BN7,BK7,BH7,BE7,BB7))</f>
        <v/>
      </c>
      <c r="BC23" s="29">
        <f>IF(OR(N(CJ3)=0,N(BC6)=0,SUM(CJ7,CG7,CD7,CA7,BX7,BU7,BR7,BO7,BL7,BI7,BF7,BC7)=0),"",(BC6/CJ3)^(12/12)-1+SUM(CJ12,CG12,CD12,CA12,BX12,BU12,BR12,BO12,BL12,BI12,BF12,BC12)/SUM(CJ7,CG7,CD7,CA7,BX7,BU7,BR7,BO7,BL7,BI7,BF7,BC7))</f>
        <v/>
      </c>
      <c r="BD23" s="29">
        <f>IF(OR(N(CK3)=0,N(BD6)=0,SUM(CK7,CH7,CE7,CB7,BY7,BV7,BS7,BP7,BM7,BJ7,BG7,BD7)=0),"",(BD6/CK3)^(12/12)-1+SUM(CK12,CH12,CE12,CB12,BY12,BV12,BS12,BP12,BM12,BJ12,BG12,BD12)/SUM(CK7,CH7,CE7,CB7,BY7,BV7,BS7,BP7,BM7,BJ7,BG7,BD7))</f>
        <v/>
      </c>
      <c r="BE23" s="29">
        <f>IF(OR(N(CL3)=0,N(BE6)=0,SUM(CL7,CI7,CF7,CC7,BZ7,BW7,BT7,BQ7,BN7,BK7,BH7,BE7)=0),"",(BE6/CL3)^(12/12)-1+SUM(CL12,CI12,CF12,CC12,BZ12,BW12,BT12,BQ12,BN12,BK12,BH12,BE12)/SUM(CL7,CI7,CF7,CC7,BZ7,BW7,BT7,BQ7,BN7,BK7,BH7,BE7))</f>
        <v/>
      </c>
      <c r="BF23" s="29">
        <f>IF(OR(N(CM3)=0,N(BF6)=0,SUM(CM7,CJ7,CG7,CD7,CA7,BX7,BU7,BR7,BO7,BL7,BI7,BF7)=0),"",(BF6/CM3)^(12/12)-1+SUM(CM12,CJ12,CG12,CD12,CA12,BX12,BU12,BR12,BO12,BL12,BI12,BF12)/SUM(CM7,CJ7,CG7,CD7,CA7,BX7,BU7,BR7,BO7,BL7,BI7,BF7))</f>
        <v/>
      </c>
      <c r="BG23" s="29">
        <f>IF(OR(N(CN3)=0,N(BG6)=0,SUM(CN7,CK7,CH7,CE7,CB7,BY7,BV7,BS7,BP7,BM7,BJ7,BG7)=0),"",(BG6/CN3)^(12/12)-1+SUM(CN12,CK12,CH12,CE12,CB12,BY12,BV12,BS12,BP12,BM12,BJ12,BG12)/SUM(CN7,CK7,CH7,CE7,CB7,BY7,BV7,BS7,BP7,BM7,BJ7,BG7))</f>
        <v/>
      </c>
      <c r="BH23" s="29">
        <f>IF(OR(N(CO3)=0,N(BH6)=0,SUM(CO7,CL7,CI7,CF7,CC7,BZ7,BW7,BT7,BQ7,BN7,BK7,BH7)=0),"",(BH6/CO3)^(12/12)-1+SUM(CO12,CL12,CI12,CF12,CC12,BZ12,BW12,BT12,BQ12,BN12,BK12,BH12)/SUM(CO7,CL7,CI7,CF7,CC7,BZ7,BW7,BT7,BQ7,BN7,BK7,BH7))</f>
        <v/>
      </c>
      <c r="BI23" s="29">
        <f>IF(OR(N(CP3)=0,N(BI6)=0,SUM(CP7,CM7,CJ7,CG7,CD7,CA7,BX7,BU7,BR7,BO7,BL7,BI7)=0),"",(BI6/CP3)^(12/12)-1+SUM(CP12,CM12,CJ12,CG12,CD12,CA12,BX12,BU12,BR12,BO12,BL12,BI12)/SUM(CP7,CM7,CJ7,CG7,CD7,CA7,BX7,BU7,BR7,BO7,BL7,BI7))</f>
        <v/>
      </c>
      <c r="BJ23" s="29">
        <f>IF(OR(N(CQ3)=0,N(BJ6)=0,SUM(CQ7,CN7,CK7,CH7,CE7,CB7,BY7,BV7,BS7,BP7,BM7,BJ7)=0),"",(BJ6/CQ3)^(12/12)-1+SUM(CQ12,CN12,CK12,CH12,CE12,CB12,BY12,BV12,BS12,BP12,BM12,BJ12)/SUM(CQ7,CN7,CK7,CH7,CE7,CB7,BY7,BV7,BS7,BP7,BM7,BJ7))</f>
        <v/>
      </c>
      <c r="BK23" s="29">
        <f>IF(OR(N(CR3)=0,N(BK6)=0,SUM(CR7,CO7,CL7,CI7,CF7,CC7,BZ7,BW7,BT7,BQ7,BN7,BK7)=0),"",(BK6/CR3)^(12/12)-1+SUM(CR12,CO12,CL12,CI12,CF12,CC12,BZ12,BW12,BT12,BQ12,BN12,BK12)/SUM(CR7,CO7,CL7,CI7,CF7,CC7,BZ7,BW7,BT7,BQ7,BN7,BK7))</f>
        <v/>
      </c>
      <c r="BL23" s="29">
        <f>IF(OR(N(CS3)=0,N(BL6)=0,SUM(CS7,CP7,CM7,CJ7,CG7,CD7,CA7,BX7,BU7,BR7,BO7,BL7)=0),"",(BL6/CS3)^(12/12)-1+SUM(CS12,CP12,CM12,CJ12,CG12,CD12,CA12,BX12,BU12,BR12,BO12,BL12)/SUM(CS7,CP7,CM7,CJ7,CG7,CD7,CA7,BX7,BU7,BR7,BO7,BL7))</f>
        <v/>
      </c>
      <c r="BM23" s="29">
        <f>IF(OR(N(CT3)=0,N(BM6)=0,SUM(CT7,CQ7,CN7,CK7,CH7,CE7,CB7,BY7,BV7,BS7,BP7,BM7)=0),"",(BM6/CT3)^(12/12)-1+SUM(CT12,CQ12,CN12,CK12,CH12,CE12,CB12,BY12,BV12,BS12,BP12,BM12)/SUM(CT7,CQ7,CN7,CK7,CH7,CE7,CB7,BY7,BV7,BS7,BP7,BM7))</f>
        <v/>
      </c>
      <c r="BN23" s="29">
        <f>IF(OR(N(CU3)=0,N(BN6)=0,SUM(CU7,CR7,CO7,CL7,CI7,CF7,CC7,BZ7,BW7,BT7,BQ7,BN7)=0),"",(BN6/CU3)^(12/12)-1+SUM(CU12,CR12,CO12,CL12,CI12,CF12,CC12,BZ12,BW12,BT12,BQ12,BN12)/SUM(CU7,CR7,CO7,CL7,CI7,CF7,CC7,BZ7,BW7,BT7,BQ7,BN7))</f>
        <v/>
      </c>
      <c r="BO23" s="29">
        <f>IF(OR(N(CV3)=0,N(BO6)=0,SUM(CV7,CS7,CP7,CM7,CJ7,CG7,CD7,CA7,BX7,BU7,BR7,BO7)=0),"",(BO6/CV3)^(12/12)-1+SUM(CV12,CS12,CP12,CM12,CJ12,CG12,CD12,CA12,BX12,BU12,BR12,BO12)/SUM(CV7,CS7,CP7,CM7,CJ7,CG7,CD7,CA7,BX7,BU7,BR7,BO7))</f>
        <v/>
      </c>
      <c r="BP23" s="29">
        <f>IF(OR(N(CW3)=0,N(BP6)=0,SUM(CW7,CT7,CQ7,CN7,CK7,CH7,CE7,CB7,BY7,BV7,BS7,BP7)=0),"",(BP6/CW3)^(12/12)-1+SUM(CW12,CT12,CQ12,CN12,CK12,CH12,CE12,CB12,BY12,BV12,BS12,BP12)/SUM(CW7,CT7,CQ7,CN7,CK7,CH7,CE7,CB7,BY7,BV7,BS7,BP7))</f>
        <v/>
      </c>
      <c r="BQ23" s="29">
        <f>IF(OR(N(CX3)=0,N(BQ6)=0,SUM(CX7,CU7,CR7,CO7,CL7,CI7,CF7,CC7,BZ7,BW7,BT7,BQ7)=0),"",(BQ6/CX3)^(12/12)-1+SUM(CX12,CU12,CR12,CO12,CL12,CI12,CF12,CC12,BZ12,BW12,BT12,BQ12)/SUM(CX7,CU7,CR7,CO7,CL7,CI7,CF7,CC7,BZ7,BW7,BT7,BQ7))</f>
        <v/>
      </c>
      <c r="BR23" s="29">
        <f>IF(OR(N(CY3)=0,N(BR6)=0,SUM(CY7,CV7,CS7,CP7,CM7,CJ7,CG7,CD7,CA7,BX7,BU7,BR7)=0),"",(BR6/CY3)^(12/12)-1+SUM(CY12,CV12,CS12,CP12,CM12,CJ12,CG12,CD12,CA12,BX12,BU12,BR12)/SUM(CY7,CV7,CS7,CP7,CM7,CJ7,CG7,CD7,CA7,BX7,BU7,BR7))</f>
        <v/>
      </c>
      <c r="BS23" s="29">
        <f>IF(OR(N(CZ3)=0,N(BS6)=0,SUM(CZ7,CW7,CT7,CQ7,CN7,CK7,CH7,CE7,CB7,BY7,BV7,BS7)=0),"",(BS6/CZ3)^(12/12)-1+SUM(CZ12,CW12,CT12,CQ12,CN12,CK12,CH12,CE12,CB12,BY12,BV12,BS12)/SUM(CZ7,CW7,CT7,CQ7,CN7,CK7,CH7,CE7,CB7,BY7,BV7,BS7))</f>
        <v/>
      </c>
      <c r="BT23" s="29">
        <f>IF(OR(N(DA3)=0,N(BT6)=0,SUM(DA7,CX7,CU7,CR7,CO7,CL7,CI7,CF7,CC7,BZ7,BW7,BT7)=0),"",(BT6/DA3)^(12/12)-1+SUM(DA12,CX12,CU12,CR12,CO12,CL12,CI12,CF12,CC12,BZ12,BW12,BT12)/SUM(DA7,CX7,CU7,CR7,CO7,CL7,CI7,CF7,CC7,BZ7,BW7,BT7))</f>
        <v/>
      </c>
      <c r="BU23" s="29">
        <f>IF(OR(N(DB3)=0,N(BU6)=0,SUM(DB7,CY7,CV7,CS7,CP7,CM7,CJ7,CG7,CD7,CA7,BX7,BU7)=0),"",(BU6/DB3)^(12/12)-1+SUM(DB12,CY12,CV12,CS12,CP12,CM12,CJ12,CG12,CD12,CA12,BX12,BU12)/SUM(DB7,CY7,CV7,CS7,CP7,CM7,CJ7,CG7,CD7,CA7,BX7,BU7))</f>
        <v/>
      </c>
      <c r="BV23" s="29">
        <f>IF(OR(N(DC3)=0,N(BV6)=0,SUM(DC7,CZ7,CW7,CT7,CQ7,CN7,CK7,CH7,CE7,CB7,BY7,BV7)=0),"",(BV6/DC3)^(12/12)-1+SUM(DC12,CZ12,CW12,CT12,CQ12,CN12,CK12,CH12,CE12,CB12,BY12,BV12)/SUM(DC7,CZ7,CW7,CT7,CQ7,CN7,CK7,CH7,CE7,CB7,BY7,BV7))</f>
        <v/>
      </c>
      <c r="BW23" s="29">
        <f>IF(OR(N(DD3)=0,N(BW6)=0,SUM(DD7,DA7,CX7,CU7,CR7,CO7,CL7,CI7,CF7,CC7,BZ7,BW7)=0),"",(BW6/DD3)^(12/12)-1+SUM(DD12,DA12,CX12,CU12,CR12,CO12,CL12,CI12,CF12,CC12,BZ12,BW12)/SUM(DD7,DA7,CX7,CU7,CR7,CO7,CL7,CI7,CF7,CC7,BZ7,BW7))</f>
        <v/>
      </c>
      <c r="BX23" s="29">
        <f>IF(OR(N(DE3)=0,N(BX6)=0,SUM(DE7,DB7,CY7,CV7,CS7,CP7,CM7,CJ7,CG7,CD7,CA7,BX7)=0),"",(BX6/DE3)^(12/12)-1+SUM(DE12,DB12,CY12,CV12,CS12,CP12,CM12,CJ12,CG12,CD12,CA12,BX12)/SUM(DE7,DB7,CY7,CV7,CS7,CP7,CM7,CJ7,CG7,CD7,CA7,BX7))</f>
        <v/>
      </c>
      <c r="BY23" s="29">
        <f>IF(OR(N(DF3)=0,N(BY6)=0,SUM(DF7,DC7,CZ7,CW7,CT7,CQ7,CN7,CK7,CH7,CE7,CB7,BY7)=0),"",(BY6/DF3)^(12/12)-1+SUM(DF12,DC12,CZ12,CW12,CT12,CQ12,CN12,CK12,CH12,CE12,CB12,BY12)/SUM(DF7,DC7,CZ7,CW7,CT7,CQ7,CN7,CK7,CH7,CE7,CB7,BY7))</f>
        <v/>
      </c>
      <c r="BZ23" s="29">
        <f>IF(OR(N(DG3)=0,N(BZ6)=0,SUM(DG7,DD7,DA7,CX7,CU7,CR7,CO7,CL7,CI7,CF7,CC7,BZ7)=0),"",(BZ6/DG3)^(12/12)-1+SUM(DG12,DD12,DA12,CX12,CU12,CR12,CO12,CL12,CI12,CF12,CC12,BZ12)/SUM(DG7,DD7,DA7,CX7,CU7,CR7,CO7,CL7,CI7,CF7,CC7,BZ7))</f>
        <v/>
      </c>
      <c r="CA23" s="29">
        <f>IF(OR(N(DH3)=0,N(CA6)=0,SUM(DH7,DE7,DB7,CY7,CV7,CS7,CP7,CM7,CJ7,CG7,CD7,CA7)=0),"",(CA6/DH3)^(12/12)-1+SUM(DH12,DE12,DB12,CY12,CV12,CS12,CP12,CM12,CJ12,CG12,CD12,CA12)/SUM(DH7,DE7,DB7,CY7,CV7,CS7,CP7,CM7,CJ7,CG7,CD7,CA7))</f>
        <v/>
      </c>
      <c r="CB23" s="29">
        <f>IF(OR(N(DI3)=0,N(CB6)=0,SUM(DI7,DF7,DC7,CZ7,CW7,CT7,CQ7,CN7,CK7,CH7,CE7,CB7)=0),"",(CB6/DI3)^(12/12)-1+SUM(DI12,DF12,DC12,CZ12,CW12,CT12,CQ12,CN12,CK12,CH12,CE12,CB12)/SUM(DI7,DF7,DC7,CZ7,CW7,CT7,CQ7,CN7,CK7,CH7,CE7,CB7))</f>
        <v/>
      </c>
      <c r="CC23" s="29">
        <f>IF(OR(N(DJ3)=0,N(CC6)=0,SUM(DJ7,DG7,DD7,DA7,CX7,CU7,CR7,CO7,CL7,CI7,CF7,CC7)=0),"",(CC6/DJ3)^(12/12)-1+SUM(DJ12,DG12,DD12,DA12,CX12,CU12,CR12,CO12,CL12,CI12,CF12,CC12)/SUM(DJ7,DG7,DD7,DA7,CX7,CU7,CR7,CO7,CL7,CI7,CF7,CC7))</f>
        <v/>
      </c>
      <c r="CD23" s="29">
        <f>IF(OR(N(DK3)=0,N(CD6)=0,SUM(DK7,DH7,DE7,DB7,CY7,CV7,CS7,CP7,CM7,CJ7,CG7,CD7)=0),"",(CD6/DK3)^(12/12)-1+SUM(DK12,DH12,DE12,DB12,CY12,CV12,CS12,CP12,CM12,CJ12,CG12,CD12)/SUM(DK7,DH7,DE7,DB7,CY7,CV7,CS7,CP7,CM7,CJ7,CG7,CD7))</f>
        <v/>
      </c>
      <c r="CE23" s="29">
        <f>IF(OR(N(DL3)=0,N(CE6)=0,SUM(DL7,DI7,DF7,DC7,CZ7,CW7,CT7,CQ7,CN7,CK7,CH7,CE7)=0),"",(CE6/DL3)^(12/12)-1+SUM(DL12,DI12,DF12,DC12,CZ12,CW12,CT12,CQ12,CN12,CK12,CH12,CE12)/SUM(DL7,DI7,DF7,DC7,CZ7,CW7,CT7,CQ7,CN7,CK7,CH7,CE7))</f>
        <v/>
      </c>
      <c r="CF23" s="29">
        <f>IF(OR(N(DM3)=0,N(CF6)=0,SUM(DM7,DJ7,DG7,DD7,DA7,CX7,CU7,CR7,CO7,CL7,CI7,CF7)=0),"",(CF6/DM3)^(12/12)-1+SUM(DM12,DJ12,DG12,DD12,DA12,CX12,CU12,CR12,CO12,CL12,CI12,CF12)/SUM(DM7,DJ7,DG7,DD7,DA7,CX7,CU7,CR7,CO7,CL7,CI7,CF7))</f>
        <v/>
      </c>
      <c r="CG23" s="29">
        <f>IF(OR(N(DN3)=0,N(CG6)=0,SUM(DN7,DK7,DH7,DE7,DB7,CY7,CV7,CS7,CP7,CM7,CJ7,CG7)=0),"",(CG6/DN3)^(12/12)-1+SUM(DN12,DK12,DH12,DE12,DB12,CY12,CV12,CS12,CP12,CM12,CJ12,CG12)/SUM(DN7,DK7,DH7,DE7,DB7,CY7,CV7,CS7,CP7,CM7,CJ7,CG7))</f>
        <v/>
      </c>
      <c r="CH23" s="29">
        <f>IF(OR(N(DL3)=0,N(CH6)=0,SUM(DL7,DI7,DF7,DC7,CZ7,CW7,CT7,CQ7,CN7,CK7,CH7)=0),"",(CH6/DL3)^(12/11)-1+SUM(DL12,DI12,DF12,DC12,CZ12,CW12,CT12,CQ12,CN12,CK12,CH12)/SUM(DL7,DI7,DF7,DC7,CZ7,CW7,CT7,CQ7,CN7,CK7,CH7))</f>
        <v/>
      </c>
      <c r="CI23" s="29">
        <f>IF(OR(N(DM3)=0,N(CI6)=0,SUM(DM7,DJ7,DG7,DD7,DA7,CX7,CU7,CR7,CO7,CL7,CI7)=0),"",(CI6/DM3)^(12/11)-1+SUM(DM12,DJ12,DG12,DD12,DA12,CX12,CU12,CR12,CO12,CL12,CI12)/SUM(DM7,DJ7,DG7,DD7,DA7,CX7,CU7,CR7,CO7,CL7,CI7))</f>
        <v/>
      </c>
      <c r="CJ23" s="29">
        <f>IF(OR(N(DN3)=0,N(CJ6)=0,SUM(DN7,DK7,DH7,DE7,DB7,CY7,CV7,CS7,CP7,CM7,CJ7)=0),"",(CJ6/DN3)^(12/11)-1+SUM(DN12,DK12,DH12,DE12,DB12,CY12,CV12,CS12,CP12,CM12,CJ12)/SUM(DN7,DK7,DH7,DE7,DB7,CY7,CV7,CS7,CP7,CM7,CJ7))</f>
        <v/>
      </c>
      <c r="CK23" s="29">
        <f>IF(OR(N(DL3)=0,N(CK6)=0,SUM(DL7,DI7,DF7,DC7,CZ7,CW7,CT7,CQ7,CN7,CK7)=0),"",(CK6/DL3)^(12/10)-1+SUM(DL12,DI12,DF12,DC12,CZ12,CW12,CT12,CQ12,CN12,CK12)/SUM(DL7,DI7,DF7,DC7,CZ7,CW7,CT7,CQ7,CN7,CK7))</f>
        <v/>
      </c>
      <c r="CL23" s="29">
        <f>IF(OR(N(DM3)=0,N(CL6)=0,SUM(DM7,DJ7,DG7,DD7,DA7,CX7,CU7,CR7,CO7,CL7)=0),"",(CL6/DM3)^(12/10)-1+SUM(DM12,DJ12,DG12,DD12,DA12,CX12,CU12,CR12,CO12,CL12)/SUM(DM7,DJ7,DG7,DD7,DA7,CX7,CU7,CR7,CO7,CL7))</f>
        <v/>
      </c>
      <c r="CM23" s="29">
        <f>IF(OR(N(DN3)=0,N(CM6)=0,SUM(DN7,DK7,DH7,DE7,DB7,CY7,CV7,CS7,CP7,CM7)=0),"",(CM6/DN3)^(12/10)-1+SUM(DN12,DK12,DH12,DE12,DB12,CY12,CV12,CS12,CP12,CM12)/SUM(DN7,DK7,DH7,DE7,DB7,CY7,CV7,CS7,CP7,CM7))</f>
        <v/>
      </c>
      <c r="CN23" s="29">
        <f>IF(OR(N(DL3)=0,N(CN6)=0,SUM(DL7,DI7,DF7,DC7,CZ7,CW7,CT7,CQ7,CN7)=0),"",(CN6/DL3)^(12/9)-1+SUM(DL12,DI12,DF12,DC12,CZ12,CW12,CT12,CQ12,CN12)/SUM(DL7,DI7,DF7,DC7,CZ7,CW7,CT7,CQ7,CN7))</f>
        <v/>
      </c>
      <c r="CO23" s="29">
        <f>IF(OR(N(DM3)=0,N(CO6)=0,SUM(DM7,DJ7,DG7,DD7,DA7,CX7,CU7,CR7,CO7)=0),"",(CO6/DM3)^(12/9)-1+SUM(DM12,DJ12,DG12,DD12,DA12,CX12,CU12,CR12,CO12)/SUM(DM7,DJ7,DG7,DD7,DA7,CX7,CU7,CR7,CO7))</f>
        <v/>
      </c>
      <c r="CP23" s="29">
        <f>IF(OR(N(DN3)=0,N(CP6)=0,SUM(DN7,DK7,DH7,DE7,DB7,CY7,CV7,CS7,CP7)=0),"",(CP6/DN3)^(12/9)-1+SUM(DN12,DK12,DH12,DE12,DB12,CY12,CV12,CS12,CP12)/SUM(DN7,DK7,DH7,DE7,DB7,CY7,CV7,CS7,CP7))</f>
        <v/>
      </c>
      <c r="CQ23" s="29">
        <f>IF(OR(N(DL3)=0,N(CQ6)=0,SUM(DL7,DI7,DF7,DC7,CZ7,CW7,CT7,CQ7)=0),"",(CQ6/DL3)^(12/8)-1+SUM(DL12,DI12,DF12,DC12,CZ12,CW12,CT12,CQ12)/SUM(DL7,DI7,DF7,DC7,CZ7,CW7,CT7,CQ7))</f>
        <v/>
      </c>
      <c r="CR23" s="29">
        <f>IF(OR(N(DM3)=0,N(CR6)=0,SUM(DM7,DJ7,DG7,DD7,DA7,CX7,CU7,CR7)=0),"",(CR6/DM3)^(12/8)-1+SUM(DM12,DJ12,DG12,DD12,DA12,CX12,CU12,CR12)/SUM(DM7,DJ7,DG7,DD7,DA7,CX7,CU7,CR7))</f>
        <v/>
      </c>
      <c r="CS23" s="29">
        <f>IF(OR(N(DN3)=0,N(CS6)=0,SUM(DN7,DK7,DH7,DE7,DB7,CY7,CV7,CS7)=0),"",(CS6/DN3)^(12/8)-1+SUM(DN12,DK12,DH12,DE12,DB12,CY12,CV12,CS12)/SUM(DN7,DK7,DH7,DE7,DB7,CY7,CV7,CS7))</f>
        <v/>
      </c>
      <c r="CT23" s="29">
        <f>IF(OR(N(DL3)=0,N(CT6)=0,SUM(DL7,DI7,DF7,DC7,CZ7,CW7,CT7)=0),"",(CT6/DL3)^(12/7)-1+SUM(DL12,DI12,DF12,DC12,CZ12,CW12,CT12)/SUM(DL7,DI7,DF7,DC7,CZ7,CW7,CT7))</f>
        <v/>
      </c>
      <c r="CU23" s="29">
        <f>IF(OR(N(DM3)=0,N(CU6)=0,SUM(DM7,DJ7,DG7,DD7,DA7,CX7,CU7)=0),"",(CU6/DM3)^(12/7)-1+SUM(DM12,DJ12,DG12,DD12,DA12,CX12,CU12)/SUM(DM7,DJ7,DG7,DD7,DA7,CX7,CU7))</f>
        <v/>
      </c>
      <c r="CV23" s="29">
        <f>IF(OR(N(DN3)=0,N(CV6)=0,SUM(DN7,DK7,DH7,DE7,DB7,CY7,CV7)=0),"",(CV6/DN3)^(12/7)-1+SUM(DN12,DK12,DH12,DE12,DB12,CY12,CV12)/SUM(DN7,DK7,DH7,DE7,DB7,CY7,CV7))</f>
        <v/>
      </c>
      <c r="CW23" s="29">
        <f>IF(OR(N(DL3)=0,N(CW6)=0,SUM(DL7,DI7,DF7,DC7,CZ7,CW7)=0),"",(CW6/DL3)^(12/6)-1+SUM(DL12,DI12,DF12,DC12,CZ12,CW12)/SUM(DL7,DI7,DF7,DC7,CZ7,CW7))</f>
        <v/>
      </c>
      <c r="CX23" s="29">
        <f>IF(OR(N(DM3)=0,N(CX6)=0,SUM(DM7,DJ7,DG7,DD7,DA7,CX7)=0),"",(CX6/DM3)^(12/6)-1+SUM(DM12,DJ12,DG12,DD12,DA12,CX12)/SUM(DM7,DJ7,DG7,DD7,DA7,CX7))</f>
        <v/>
      </c>
      <c r="CY23" s="29">
        <f>IF(OR(N(DN3)=0,N(CY6)=0,SUM(DN7,DK7,DH7,DE7,DB7,CY7)=0),"",(CY6/DN3)^(12/6)-1+SUM(DN12,DK12,DH12,DE12,DB12,CY12)/SUM(DN7,DK7,DH7,DE7,DB7,CY7))</f>
        <v/>
      </c>
      <c r="CZ23" s="29">
        <f>IF(OR(N(DL3)=0,N(CZ6)=0,SUM(DL7,DI7,DF7,DC7,CZ7)=0),"",(CZ6/DL3)^(12/5)-1+SUM(DL12,DI12,DF12,DC12,CZ12)/SUM(DL7,DI7,DF7,DC7,CZ7))</f>
        <v/>
      </c>
      <c r="DA23" s="29">
        <f>IF(OR(N(DM3)=0,N(DA6)=0,SUM(DM7,DJ7,DG7,DD7,DA7)=0),"",(DA6/DM3)^(12/5)-1+SUM(DM12,DJ12,DG12,DD12,DA12)/SUM(DM7,DJ7,DG7,DD7,DA7))</f>
        <v/>
      </c>
      <c r="DB23" s="29">
        <f>IF(OR(N(DN3)=0,N(DB6)=0,SUM(DN7,DK7,DH7,DE7,DB7)=0),"",(DB6/DN3)^(12/5)-1+SUM(DN12,DK12,DH12,DE12,DB12)/SUM(DN7,DK7,DH7,DE7,DB7))</f>
        <v/>
      </c>
      <c r="DC23" s="29">
        <f>IF(OR(N(DL3)=0,N(DC6)=0,SUM(DL7,DI7,DF7,DC7)=0),"",(DC6/DL3)^(12/4)-1+SUM(DL12,DI12,DF12,DC12)/SUM(DL7,DI7,DF7,DC7))</f>
        <v/>
      </c>
      <c r="DD23" s="29">
        <f>IF(OR(N(DM3)=0,N(DD6)=0,SUM(DM7,DJ7,DG7,DD7)=0),"",(DD6/DM3)^(12/4)-1+SUM(DM12,DJ12,DG12,DD12)/SUM(DM7,DJ7,DG7,DD7))</f>
        <v/>
      </c>
      <c r="DE23" s="29">
        <f>IF(OR(N(DN3)=0,N(DE6)=0,SUM(DN7,DK7,DH7,DE7)=0),"",(DE6/DN3)^(12/4)-1+SUM(DN12,DK12,DH12,DE12)/SUM(DN7,DK7,DH7,DE7))</f>
        <v/>
      </c>
      <c r="DF23" s="29">
        <f>IF(OR(N(DL3)=0,N(DF6)=0,SUM(DL7,DI7,DF7)=0),"",(DF6/DL3)^(12/3)-1+SUM(DL12,DI12,DF12)/SUM(DL7,DI7,DF7))</f>
        <v/>
      </c>
      <c r="DG23" s="29">
        <f>IF(OR(N(DM3)=0,N(DG6)=0,SUM(DM7,DJ7,DG7)=0),"",(DG6/DM3)^(12/3)-1+SUM(DM12,DJ12,DG12)/SUM(DM7,DJ7,DG7))</f>
        <v/>
      </c>
      <c r="DH23" s="29">
        <f>IF(OR(N(DN3)=0,N(DH6)=0,SUM(DN7,DK7,DH7)=0),"",(DH6/DN3)^(12/3)-1+SUM(DN12,DK12,DH12)/SUM(DN7,DK7,DH7))</f>
        <v/>
      </c>
      <c r="DI23" s="29">
        <f>IF(OR(N(DL3)=0,N(DI6)=0,SUM(DL7,DI7)=0),"",(DI6/DL3)^(12/2)-1+SUM(DL12,DI12)/SUM(DL7,DI7))</f>
        <v/>
      </c>
      <c r="DJ23" s="29">
        <f>IF(OR(N(DM3)=0,N(DJ6)=0,SUM(DM7,DJ7)=0),"",(DJ6/DM3)^(12/2)-1+SUM(DM12,DJ12)/SUM(DM7,DJ7))</f>
        <v/>
      </c>
      <c r="DK23" s="29">
        <f>IF(OR(N(DN3)=0,N(DK6)=0,SUM(DN7,DK7)=0),"",(DK6/DN3)^(12/2)-1+SUM(DN12,DK12)/SUM(DN7,DK7))</f>
        <v/>
      </c>
      <c r="DL23" s="29">
        <f>IF(OR(N(DL3)=0,N(DL6)=0,SUM(DL7)=0),"",(DL6/DL3)^(12/1)-1+SUM(DL12)/SUM(DL7))</f>
        <v/>
      </c>
      <c r="DM23" s="29">
        <f>IF(OR(N(DM3)=0,N(DM6)=0,SUM(DM7)=0),"",(DM6/DM3)^(12/1)-1+SUM(DM12)/SUM(DM7))</f>
        <v/>
      </c>
      <c r="DN23" s="29">
        <f>IF(OR(N(DN3)=0,N(DN6)=0,SUM(DN7)=0),"",(DN6/DN3)^(12/1)-1+SUM(DN12)/SUM(DN7))</f>
        <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N39"/>
  <sheetViews>
    <sheetView workbookViewId="0">
      <pane xSplit="10" ySplit="2" topLeftCell="K3"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s>
  <sheetData>
    <row r="1">
      <c r="B1" s="4">
        <f>"FY"&amp;YEAR(K$1)</f>
        <v/>
      </c>
      <c r="C1" s="4" t="n"/>
      <c r="D1" s="4" t="n"/>
      <c r="E1" s="5">
        <f>"FY"&amp;YEAR(AU$1)</f>
        <v/>
      </c>
      <c r="F1" s="5" t="n"/>
      <c r="G1" s="5" t="n"/>
      <c r="H1" s="4">
        <f>"FY"&amp;YEAR(CE$1)</f>
        <v/>
      </c>
      <c r="I1" s="4" t="n"/>
      <c r="J1" s="4" t="n"/>
      <c r="K1" s="6">
        <f>EOMONTH(N$1,1)</f>
        <v/>
      </c>
      <c r="L1" s="5" t="n"/>
      <c r="M1" s="5" t="n"/>
      <c r="N1" s="7">
        <f>EOMONTH(Q$1,1)</f>
        <v/>
      </c>
      <c r="O1" s="4" t="n"/>
      <c r="P1" s="4" t="n"/>
      <c r="Q1" s="6">
        <f>EOMONTH(T$1,1)</f>
        <v/>
      </c>
      <c r="R1" s="5" t="n"/>
      <c r="S1" s="5" t="n"/>
      <c r="T1" s="7">
        <f>EOMONTH(W$1,1)</f>
        <v/>
      </c>
      <c r="U1" s="4" t="n"/>
      <c r="V1" s="4" t="n"/>
      <c r="W1" s="6">
        <f>EOMONTH(Z$1,1)</f>
        <v/>
      </c>
      <c r="X1" s="5" t="n"/>
      <c r="Y1" s="5" t="n"/>
      <c r="Z1" s="7">
        <f>EOMONTH(AC$1,1)</f>
        <v/>
      </c>
      <c r="AA1" s="4" t="n"/>
      <c r="AB1" s="4" t="n"/>
      <c r="AC1" s="6">
        <f>EOMONTH(AF$1,1)</f>
        <v/>
      </c>
      <c r="AD1" s="5" t="n"/>
      <c r="AE1" s="5" t="n"/>
      <c r="AF1" s="7">
        <f>EOMONTH(AI$1,1)</f>
        <v/>
      </c>
      <c r="AG1" s="4" t="n"/>
      <c r="AH1" s="4" t="n"/>
      <c r="AI1" s="6">
        <f>EOMONTH(AL$1,1)</f>
        <v/>
      </c>
      <c r="AJ1" s="5" t="n"/>
      <c r="AK1" s="5" t="n"/>
      <c r="AL1" s="7">
        <f>EOMONTH(AO$1,1)</f>
        <v/>
      </c>
      <c r="AM1" s="4" t="n"/>
      <c r="AN1" s="4" t="n"/>
      <c r="AO1" s="6">
        <f>EOMONTH(AR$1,1)</f>
        <v/>
      </c>
      <c r="AP1" s="5" t="n"/>
      <c r="AQ1" s="5" t="n"/>
      <c r="AR1" s="7">
        <f>EOMONTH(AU$1,1)</f>
        <v/>
      </c>
      <c r="AS1" s="4" t="n"/>
      <c r="AT1" s="4" t="n"/>
      <c r="AU1" s="6">
        <f>EOMONTH(AX$1,1)</f>
        <v/>
      </c>
      <c r="AV1" s="5" t="n"/>
      <c r="AW1" s="5" t="n"/>
      <c r="AX1" s="7">
        <f>EOMONTH(BA$1,1)</f>
        <v/>
      </c>
      <c r="AY1" s="4" t="n"/>
      <c r="AZ1" s="4" t="n"/>
      <c r="BA1" s="6">
        <f>EOMONTH(BD$1,1)</f>
        <v/>
      </c>
      <c r="BB1" s="5" t="n"/>
      <c r="BC1" s="5" t="n"/>
      <c r="BD1" s="7">
        <f>EOMONTH(BG$1,1)</f>
        <v/>
      </c>
      <c r="BE1" s="4" t="n"/>
      <c r="BF1" s="4" t="n"/>
      <c r="BG1" s="6">
        <f>EOMONTH(BJ$1,1)</f>
        <v/>
      </c>
      <c r="BH1" s="5" t="n"/>
      <c r="BI1" s="5" t="n"/>
      <c r="BJ1" s="7">
        <f>EOMONTH(BM$1,1)</f>
        <v/>
      </c>
      <c r="BK1" s="4" t="n"/>
      <c r="BL1" s="4" t="n"/>
      <c r="BM1" s="6">
        <f>EOMONTH(BP$1,1)</f>
        <v/>
      </c>
      <c r="BN1" s="5" t="n"/>
      <c r="BO1" s="5" t="n"/>
      <c r="BP1" s="7">
        <f>EOMONTH(BS$1,1)</f>
        <v/>
      </c>
      <c r="BQ1" s="4" t="n"/>
      <c r="BR1" s="4" t="n"/>
      <c r="BS1" s="6">
        <f>EOMONTH(BV$1,1)</f>
        <v/>
      </c>
      <c r="BT1" s="5" t="n"/>
      <c r="BU1" s="5" t="n"/>
      <c r="BV1" s="7">
        <f>EOMONTH(BY$1,1)</f>
        <v/>
      </c>
      <c r="BW1" s="4" t="n"/>
      <c r="BX1" s="4" t="n"/>
      <c r="BY1" s="6">
        <f>EOMONTH(CB$1,1)</f>
        <v/>
      </c>
      <c r="BZ1" s="5" t="n"/>
      <c r="CA1" s="5" t="n"/>
      <c r="CB1" s="7">
        <f>EOMONTH(CE$1,1)</f>
        <v/>
      </c>
      <c r="CC1" s="4" t="n"/>
      <c r="CD1" s="4" t="n"/>
      <c r="CE1" s="6">
        <f>EOMONTH(CH$1,1)</f>
        <v/>
      </c>
      <c r="CF1" s="5" t="n"/>
      <c r="CG1" s="5" t="n"/>
      <c r="CH1" s="7">
        <f>EOMONTH(CK$1,1)</f>
        <v/>
      </c>
      <c r="CI1" s="4" t="n"/>
      <c r="CJ1" s="4" t="n"/>
      <c r="CK1" s="6">
        <f>EOMONTH(CN$1,1)</f>
        <v/>
      </c>
      <c r="CL1" s="5" t="n"/>
      <c r="CM1" s="5" t="n"/>
      <c r="CN1" s="7">
        <f>EOMONTH(CQ$1,1)</f>
        <v/>
      </c>
      <c r="CO1" s="4" t="n"/>
      <c r="CP1" s="4" t="n"/>
      <c r="CQ1" s="6">
        <f>EOMONTH(CT$1,1)</f>
        <v/>
      </c>
      <c r="CR1" s="5" t="n"/>
      <c r="CS1" s="5" t="n"/>
      <c r="CT1" s="7">
        <f>EOMONTH(CW$1,1)</f>
        <v/>
      </c>
      <c r="CU1" s="4" t="n"/>
      <c r="CV1" s="4" t="n"/>
      <c r="CW1" s="6">
        <f>EOMONTH(CZ$1,1)</f>
        <v/>
      </c>
      <c r="CX1" s="5" t="n"/>
      <c r="CY1" s="5" t="n"/>
      <c r="CZ1" s="7">
        <f>EOMONTH(DC$1,1)</f>
        <v/>
      </c>
      <c r="DA1" s="4" t="n"/>
      <c r="DB1" s="4" t="n"/>
      <c r="DC1" s="6">
        <f>EOMONTH(DF$1,1)</f>
        <v/>
      </c>
      <c r="DD1" s="5" t="n"/>
      <c r="DE1" s="5" t="n"/>
      <c r="DF1" s="7">
        <f>EOMONTH(DI$1,1)</f>
        <v/>
      </c>
      <c r="DG1" s="4" t="n"/>
      <c r="DH1" s="4" t="n"/>
      <c r="DI1" s="6">
        <f>EOMONTH(DL$1,1)</f>
        <v/>
      </c>
      <c r="DJ1" s="5" t="n"/>
      <c r="DK1" s="5" t="n"/>
      <c r="DL1" s="7">
        <f>Finance!$B$61</f>
        <v/>
      </c>
      <c r="DM1" s="4" t="n"/>
      <c r="DN1" s="4" t="n"/>
    </row>
    <row r="2">
      <c r="A2" s="8" t="n"/>
      <c r="B2" s="9" t="inlineStr">
        <is>
          <t>Actual</t>
        </is>
      </c>
      <c r="C2" s="9" t="inlineStr">
        <is>
          <t>Rolling</t>
        </is>
      </c>
      <c r="D2" s="9" t="inlineStr">
        <is>
          <t>Approved</t>
        </is>
      </c>
      <c r="E2" s="8" t="inlineStr">
        <is>
          <t>Actual</t>
        </is>
      </c>
      <c r="F2" s="8" t="inlineStr">
        <is>
          <t>Rolling</t>
        </is>
      </c>
      <c r="G2" s="8" t="inlineStr">
        <is>
          <t>Approved</t>
        </is>
      </c>
      <c r="H2" s="9" t="inlineStr">
        <is>
          <t>Actual</t>
        </is>
      </c>
      <c r="I2" s="9" t="inlineStr">
        <is>
          <t>Rolling</t>
        </is>
      </c>
      <c r="J2" s="9" t="inlineStr">
        <is>
          <t>Approved</t>
        </is>
      </c>
      <c r="K2" s="8" t="inlineStr">
        <is>
          <t>Actual</t>
        </is>
      </c>
      <c r="L2" s="8" t="inlineStr">
        <is>
          <t>Rolling</t>
        </is>
      </c>
      <c r="M2" s="8" t="inlineStr">
        <is>
          <t>Approved</t>
        </is>
      </c>
      <c r="N2" s="9" t="inlineStr">
        <is>
          <t>Actual</t>
        </is>
      </c>
      <c r="O2" s="9" t="inlineStr">
        <is>
          <t>Rolling</t>
        </is>
      </c>
      <c r="P2" s="9" t="inlineStr">
        <is>
          <t>Approved</t>
        </is>
      </c>
      <c r="Q2" s="8" t="inlineStr">
        <is>
          <t>Actual</t>
        </is>
      </c>
      <c r="R2" s="8" t="inlineStr">
        <is>
          <t>Rolling</t>
        </is>
      </c>
      <c r="S2" s="8" t="inlineStr">
        <is>
          <t>Approved</t>
        </is>
      </c>
      <c r="T2" s="9" t="inlineStr">
        <is>
          <t>Actual</t>
        </is>
      </c>
      <c r="U2" s="9" t="inlineStr">
        <is>
          <t>Rolling</t>
        </is>
      </c>
      <c r="V2" s="9" t="inlineStr">
        <is>
          <t>Approved</t>
        </is>
      </c>
      <c r="W2" s="8" t="inlineStr">
        <is>
          <t>Actual</t>
        </is>
      </c>
      <c r="X2" s="8" t="inlineStr">
        <is>
          <t>Rolling</t>
        </is>
      </c>
      <c r="Y2" s="8" t="inlineStr">
        <is>
          <t>Approved</t>
        </is>
      </c>
      <c r="Z2" s="9" t="inlineStr">
        <is>
          <t>Actual</t>
        </is>
      </c>
      <c r="AA2" s="9" t="inlineStr">
        <is>
          <t>Rolling</t>
        </is>
      </c>
      <c r="AB2" s="9" t="inlineStr">
        <is>
          <t>Approved</t>
        </is>
      </c>
      <c r="AC2" s="8" t="inlineStr">
        <is>
          <t>Actual</t>
        </is>
      </c>
      <c r="AD2" s="8" t="inlineStr">
        <is>
          <t>Rolling</t>
        </is>
      </c>
      <c r="AE2" s="8" t="inlineStr">
        <is>
          <t>Approved</t>
        </is>
      </c>
      <c r="AF2" s="9" t="inlineStr">
        <is>
          <t>Actual</t>
        </is>
      </c>
      <c r="AG2" s="9" t="inlineStr">
        <is>
          <t>Rolling</t>
        </is>
      </c>
      <c r="AH2" s="9" t="inlineStr">
        <is>
          <t>Approved</t>
        </is>
      </c>
      <c r="AI2" s="8" t="inlineStr">
        <is>
          <t>Actual</t>
        </is>
      </c>
      <c r="AJ2" s="8" t="inlineStr">
        <is>
          <t>Rolling</t>
        </is>
      </c>
      <c r="AK2" s="8" t="inlineStr">
        <is>
          <t>Approved</t>
        </is>
      </c>
      <c r="AL2" s="9" t="inlineStr">
        <is>
          <t>Actual</t>
        </is>
      </c>
      <c r="AM2" s="9" t="inlineStr">
        <is>
          <t>Rolling</t>
        </is>
      </c>
      <c r="AN2" s="9" t="inlineStr">
        <is>
          <t>Approved</t>
        </is>
      </c>
      <c r="AO2" s="8" t="inlineStr">
        <is>
          <t>Actual</t>
        </is>
      </c>
      <c r="AP2" s="8" t="inlineStr">
        <is>
          <t>Rolling</t>
        </is>
      </c>
      <c r="AQ2" s="8" t="inlineStr">
        <is>
          <t>Approved</t>
        </is>
      </c>
      <c r="AR2" s="9" t="inlineStr">
        <is>
          <t>Actual</t>
        </is>
      </c>
      <c r="AS2" s="9" t="inlineStr">
        <is>
          <t>Rolling</t>
        </is>
      </c>
      <c r="AT2" s="9" t="inlineStr">
        <is>
          <t>Approved</t>
        </is>
      </c>
      <c r="AU2" s="8" t="inlineStr">
        <is>
          <t>Actual</t>
        </is>
      </c>
      <c r="AV2" s="8" t="inlineStr">
        <is>
          <t>Rolling</t>
        </is>
      </c>
      <c r="AW2" s="8" t="inlineStr">
        <is>
          <t>Approved</t>
        </is>
      </c>
      <c r="AX2" s="9" t="inlineStr">
        <is>
          <t>Actual</t>
        </is>
      </c>
      <c r="AY2" s="9" t="inlineStr">
        <is>
          <t>Rolling</t>
        </is>
      </c>
      <c r="AZ2" s="9" t="inlineStr">
        <is>
          <t>Approved</t>
        </is>
      </c>
      <c r="BA2" s="8" t="inlineStr">
        <is>
          <t>Actual</t>
        </is>
      </c>
      <c r="BB2" s="8" t="inlineStr">
        <is>
          <t>Rolling</t>
        </is>
      </c>
      <c r="BC2" s="8" t="inlineStr">
        <is>
          <t>Approved</t>
        </is>
      </c>
      <c r="BD2" s="9" t="inlineStr">
        <is>
          <t>Actual</t>
        </is>
      </c>
      <c r="BE2" s="9" t="inlineStr">
        <is>
          <t>Rolling</t>
        </is>
      </c>
      <c r="BF2" s="9" t="inlineStr">
        <is>
          <t>Approved</t>
        </is>
      </c>
      <c r="BG2" s="8" t="inlineStr">
        <is>
          <t>Actual</t>
        </is>
      </c>
      <c r="BH2" s="8" t="inlineStr">
        <is>
          <t>Rolling</t>
        </is>
      </c>
      <c r="BI2" s="8" t="inlineStr">
        <is>
          <t>Approved</t>
        </is>
      </c>
      <c r="BJ2" s="9" t="inlineStr">
        <is>
          <t>Actual</t>
        </is>
      </c>
      <c r="BK2" s="9" t="inlineStr">
        <is>
          <t>Rolling</t>
        </is>
      </c>
      <c r="BL2" s="9" t="inlineStr">
        <is>
          <t>Approved</t>
        </is>
      </c>
      <c r="BM2" s="8" t="inlineStr">
        <is>
          <t>Actual</t>
        </is>
      </c>
      <c r="BN2" s="8" t="inlineStr">
        <is>
          <t>Rolling</t>
        </is>
      </c>
      <c r="BO2" s="8" t="inlineStr">
        <is>
          <t>Approved</t>
        </is>
      </c>
      <c r="BP2" s="9" t="inlineStr">
        <is>
          <t>Actual</t>
        </is>
      </c>
      <c r="BQ2" s="9" t="inlineStr">
        <is>
          <t>Rolling</t>
        </is>
      </c>
      <c r="BR2" s="9" t="inlineStr">
        <is>
          <t>Approved</t>
        </is>
      </c>
      <c r="BS2" s="8" t="inlineStr">
        <is>
          <t>Actual</t>
        </is>
      </c>
      <c r="BT2" s="8" t="inlineStr">
        <is>
          <t>Rolling</t>
        </is>
      </c>
      <c r="BU2" s="8" t="inlineStr">
        <is>
          <t>Approved</t>
        </is>
      </c>
      <c r="BV2" s="9" t="inlineStr">
        <is>
          <t>Actual</t>
        </is>
      </c>
      <c r="BW2" s="9" t="inlineStr">
        <is>
          <t>Rolling</t>
        </is>
      </c>
      <c r="BX2" s="9" t="inlineStr">
        <is>
          <t>Approved</t>
        </is>
      </c>
      <c r="BY2" s="8" t="inlineStr">
        <is>
          <t>Actual</t>
        </is>
      </c>
      <c r="BZ2" s="8" t="inlineStr">
        <is>
          <t>Rolling</t>
        </is>
      </c>
      <c r="CA2" s="8" t="inlineStr">
        <is>
          <t>Approved</t>
        </is>
      </c>
      <c r="CB2" s="9" t="inlineStr">
        <is>
          <t>Actual</t>
        </is>
      </c>
      <c r="CC2" s="9" t="inlineStr">
        <is>
          <t>Rolling</t>
        </is>
      </c>
      <c r="CD2" s="9" t="inlineStr">
        <is>
          <t>Approved</t>
        </is>
      </c>
      <c r="CE2" s="8" t="inlineStr">
        <is>
          <t>Actual</t>
        </is>
      </c>
      <c r="CF2" s="8" t="inlineStr">
        <is>
          <t>Rolling</t>
        </is>
      </c>
      <c r="CG2" s="8" t="inlineStr">
        <is>
          <t>Approved</t>
        </is>
      </c>
      <c r="CH2" s="9" t="inlineStr">
        <is>
          <t>Actual</t>
        </is>
      </c>
      <c r="CI2" s="9" t="inlineStr">
        <is>
          <t>Rolling</t>
        </is>
      </c>
      <c r="CJ2" s="9" t="inlineStr">
        <is>
          <t>Approved</t>
        </is>
      </c>
      <c r="CK2" s="8" t="inlineStr">
        <is>
          <t>Actual</t>
        </is>
      </c>
      <c r="CL2" s="8" t="inlineStr">
        <is>
          <t>Rolling</t>
        </is>
      </c>
      <c r="CM2" s="8" t="inlineStr">
        <is>
          <t>Approved</t>
        </is>
      </c>
      <c r="CN2" s="9" t="inlineStr">
        <is>
          <t>Actual</t>
        </is>
      </c>
      <c r="CO2" s="9" t="inlineStr">
        <is>
          <t>Rolling</t>
        </is>
      </c>
      <c r="CP2" s="9" t="inlineStr">
        <is>
          <t>Approved</t>
        </is>
      </c>
      <c r="CQ2" s="8" t="inlineStr">
        <is>
          <t>Actual</t>
        </is>
      </c>
      <c r="CR2" s="8" t="inlineStr">
        <is>
          <t>Rolling</t>
        </is>
      </c>
      <c r="CS2" s="8" t="inlineStr">
        <is>
          <t>Approved</t>
        </is>
      </c>
      <c r="CT2" s="9" t="inlineStr">
        <is>
          <t>Actual</t>
        </is>
      </c>
      <c r="CU2" s="9" t="inlineStr">
        <is>
          <t>Rolling</t>
        </is>
      </c>
      <c r="CV2" s="9" t="inlineStr">
        <is>
          <t>Approved</t>
        </is>
      </c>
      <c r="CW2" s="8" t="inlineStr">
        <is>
          <t>Actual</t>
        </is>
      </c>
      <c r="CX2" s="8" t="inlineStr">
        <is>
          <t>Rolling</t>
        </is>
      </c>
      <c r="CY2" s="8" t="inlineStr">
        <is>
          <t>Approved</t>
        </is>
      </c>
      <c r="CZ2" s="9" t="inlineStr">
        <is>
          <t>Actual</t>
        </is>
      </c>
      <c r="DA2" s="9" t="inlineStr">
        <is>
          <t>Rolling</t>
        </is>
      </c>
      <c r="DB2" s="9" t="inlineStr">
        <is>
          <t>Approved</t>
        </is>
      </c>
      <c r="DC2" s="8" t="inlineStr">
        <is>
          <t>Actual</t>
        </is>
      </c>
      <c r="DD2" s="8" t="inlineStr">
        <is>
          <t>Rolling</t>
        </is>
      </c>
      <c r="DE2" s="8" t="inlineStr">
        <is>
          <t>Approved</t>
        </is>
      </c>
      <c r="DF2" s="9" t="inlineStr">
        <is>
          <t>Actual</t>
        </is>
      </c>
      <c r="DG2" s="9" t="inlineStr">
        <is>
          <t>Rolling</t>
        </is>
      </c>
      <c r="DH2" s="9" t="inlineStr">
        <is>
          <t>Approved</t>
        </is>
      </c>
      <c r="DI2" s="8" t="inlineStr">
        <is>
          <t>Actual</t>
        </is>
      </c>
      <c r="DJ2" s="8" t="inlineStr">
        <is>
          <t>Rolling</t>
        </is>
      </c>
      <c r="DK2" s="8" t="inlineStr">
        <is>
          <t>Approved</t>
        </is>
      </c>
      <c r="DL2" s="9" t="inlineStr">
        <is>
          <t>Actual</t>
        </is>
      </c>
      <c r="DM2" s="9" t="inlineStr">
        <is>
          <t>Rolling</t>
        </is>
      </c>
      <c r="DN2" s="9" t="inlineStr">
        <is>
          <t>Approved</t>
        </is>
      </c>
    </row>
    <row r="3">
      <c r="A3" s="2" t="inlineStr">
        <is>
          <t>Reach</t>
        </is>
      </c>
      <c r="B3" s="30">
        <f>IF(COUNT(AR3,AO3,AL3,AI3,AF3,AC3,Z3,W3,T3,Q3,N3,K3)=0,"",SUM(AR3,AO3,AL3,AI3,AF3,AC3,Z3,W3,T3,Q3,N3,K3))</f>
        <v/>
      </c>
      <c r="C3" s="30">
        <f>IF(COUNT(AS3,AP3,AM3,AJ3,AG3,AD3,AA3,X3,U3,R3,O3,L3)=0,"",SUM(AS3,AP3,AM3,AJ3,AG3,AD3,AA3,X3,U3,R3,O3,L3))</f>
        <v/>
      </c>
      <c r="D3" s="30">
        <f>IF(COUNT(AT3,AQ3,AN3,AK3,AH3,AE3,AB3,Y3,V3,S3,P3,M3)=0,"",SUM(AT3,AQ3,AN3,AK3,AH3,AE3,AB3,Y3,V3,S3,P3,M3))</f>
        <v/>
      </c>
      <c r="E3" s="31">
        <f>IF(COUNT(CB3,BY3,BV3,BS3,BP3,BM3,BJ3,BG3,BD3,BA3,AX3,AU3)=0,"",SUM(CB3,BY3,BV3,BS3,BP3,BM3,BJ3,BG3,BD3,BA3,AX3,AU3))</f>
        <v/>
      </c>
      <c r="F3" s="31">
        <f>IF(COUNT(CC3,BZ3,BW3,BT3,BQ3,BN3,BK3,BH3,BE3,BB3,AY3,AV3)=0,"",SUM(CC3,BZ3,BW3,BT3,BQ3,BN3,BK3,BH3,BE3,BB3,AY3,AV3))</f>
        <v/>
      </c>
      <c r="G3" s="31">
        <f>IF(COUNT(CD3,CA3,BX3,BU3,BR3,BO3,BL3,BI3,BF3,BC3,AZ3,AW3)=0,"",SUM(CD3,CA3,BX3,BU3,BR3,BO3,BL3,BI3,BF3,BC3,AZ3,AW3))</f>
        <v/>
      </c>
      <c r="H3" s="30">
        <f>IF(COUNT(DL3,DI3,DF3,DC3,CZ3,CW3,CT3,CQ3,CN3,CK3,CH3,CE3)=0,"",SUM(DL3,DI3,DF3,DC3,CZ3,CW3,CT3,CQ3,CN3,CK3,CH3,CE3))</f>
        <v/>
      </c>
      <c r="I3" s="30">
        <f>IF(COUNT(DM3,DJ3,DG3,DD3,DA3,CX3,CU3,CR3,CO3,CL3,CI3,CF3)=0,"",SUM(DM3,DJ3,DG3,DD3,DA3,CX3,CU3,CR3,CO3,CL3,CI3,CF3))</f>
        <v/>
      </c>
      <c r="J3" s="30">
        <f>IF(COUNT(DN3,DK3,DH3,DE3,DB3,CY3,CV3,CS3,CP3,CM3,CJ3,CG3)=0,"",SUM(DN3,DK3,DH3,DE3,DB3,CY3,CV3,CS3,CP3,CM3,CJ3,CG3))</f>
        <v/>
      </c>
      <c r="K3" s="31" t="n"/>
      <c r="L3" s="31" t="n">
        <v>9900</v>
      </c>
      <c r="M3" s="31" t="n">
        <v>9900</v>
      </c>
      <c r="N3" s="30" t="n"/>
      <c r="O3" s="30" t="n">
        <v>9900</v>
      </c>
      <c r="P3" s="30" t="n">
        <v>9900</v>
      </c>
      <c r="Q3" s="31" t="n"/>
      <c r="R3" s="31" t="n">
        <v>9900</v>
      </c>
      <c r="S3" s="31" t="n">
        <v>9900</v>
      </c>
      <c r="T3" s="30" t="n"/>
      <c r="U3" s="30" t="n">
        <v>9900</v>
      </c>
      <c r="V3" s="30" t="n">
        <v>9900</v>
      </c>
      <c r="W3" s="31" t="n"/>
      <c r="X3" s="31" t="n">
        <v>9900</v>
      </c>
      <c r="Y3" s="31" t="n">
        <v>9900</v>
      </c>
      <c r="Z3" s="30" t="n"/>
      <c r="AA3" s="30" t="n">
        <v>9900</v>
      </c>
      <c r="AB3" s="30" t="n">
        <v>9900</v>
      </c>
      <c r="AC3" s="31" t="n"/>
      <c r="AD3" s="31" t="n">
        <v>9900</v>
      </c>
      <c r="AE3" s="31" t="n">
        <v>9900</v>
      </c>
      <c r="AF3" s="30" t="n"/>
      <c r="AG3" s="30" t="n">
        <v>9900</v>
      </c>
      <c r="AH3" s="30" t="n">
        <v>9900</v>
      </c>
      <c r="AI3" s="31" t="n"/>
      <c r="AJ3" s="31" t="n">
        <v>9900</v>
      </c>
      <c r="AK3" s="31" t="n">
        <v>9900</v>
      </c>
      <c r="AL3" s="30" t="n"/>
      <c r="AM3" s="30" t="n">
        <v>9900</v>
      </c>
      <c r="AN3" s="30" t="n">
        <v>9900</v>
      </c>
      <c r="AO3" s="31" t="n"/>
      <c r="AP3" s="31" t="n">
        <v>9900</v>
      </c>
      <c r="AQ3" s="31" t="n">
        <v>9900</v>
      </c>
      <c r="AR3" s="30" t="n"/>
      <c r="AS3" s="30" t="n">
        <v>9900</v>
      </c>
      <c r="AT3" s="30" t="n">
        <v>9900</v>
      </c>
      <c r="AU3" s="31" t="n"/>
      <c r="AV3" s="31" t="n">
        <v>7200</v>
      </c>
      <c r="AW3" s="31" t="n">
        <v>7200</v>
      </c>
      <c r="AX3" s="30" t="n"/>
      <c r="AY3" s="30" t="n">
        <v>7200</v>
      </c>
      <c r="AZ3" s="30" t="n">
        <v>7200</v>
      </c>
      <c r="BA3" s="31" t="n"/>
      <c r="BB3" s="31" t="n">
        <v>7200</v>
      </c>
      <c r="BC3" s="31" t="n">
        <v>7200</v>
      </c>
      <c r="BD3" s="30" t="n"/>
      <c r="BE3" s="30" t="n">
        <v>7200</v>
      </c>
      <c r="BF3" s="30" t="n">
        <v>7200</v>
      </c>
      <c r="BG3" s="31" t="n"/>
      <c r="BH3" s="31" t="n">
        <v>7200</v>
      </c>
      <c r="BI3" s="31" t="n">
        <v>7200</v>
      </c>
      <c r="BJ3" s="30" t="n"/>
      <c r="BK3" s="30" t="n">
        <v>7200</v>
      </c>
      <c r="BL3" s="30" t="n">
        <v>7200</v>
      </c>
      <c r="BM3" s="31" t="n"/>
      <c r="BN3" s="31" t="n">
        <v>7200</v>
      </c>
      <c r="BO3" s="31" t="n">
        <v>7200</v>
      </c>
      <c r="BP3" s="30" t="n"/>
      <c r="BQ3" s="30" t="n">
        <v>7200</v>
      </c>
      <c r="BR3" s="30" t="n">
        <v>7200</v>
      </c>
      <c r="BS3" s="31" t="n"/>
      <c r="BT3" s="31" t="n">
        <v>7200</v>
      </c>
      <c r="BU3" s="31" t="n">
        <v>7200</v>
      </c>
      <c r="BV3" s="30" t="n"/>
      <c r="BW3" s="30" t="n">
        <v>7200</v>
      </c>
      <c r="BX3" s="30" t="n">
        <v>7200</v>
      </c>
      <c r="BY3" s="31" t="n"/>
      <c r="BZ3" s="31" t="n">
        <v>7200</v>
      </c>
      <c r="CA3" s="31" t="n">
        <v>7200</v>
      </c>
      <c r="CB3" s="30" t="n"/>
      <c r="CC3" s="30" t="n">
        <v>7200</v>
      </c>
      <c r="CD3" s="30" t="n">
        <v>7200</v>
      </c>
      <c r="CE3" s="31" t="n"/>
      <c r="CF3" s="31" t="n">
        <v>5000</v>
      </c>
      <c r="CG3" s="31" t="n">
        <v>5000</v>
      </c>
      <c r="CH3" s="30" t="n"/>
      <c r="CI3" s="30" t="n">
        <v>5000</v>
      </c>
      <c r="CJ3" s="30" t="n">
        <v>5000</v>
      </c>
      <c r="CK3" s="31" t="n"/>
      <c r="CL3" s="31" t="n">
        <v>5000</v>
      </c>
      <c r="CM3" s="31" t="n">
        <v>5000</v>
      </c>
      <c r="CN3" s="30" t="n"/>
      <c r="CO3" s="30" t="n">
        <v>5000</v>
      </c>
      <c r="CP3" s="30" t="n">
        <v>5000</v>
      </c>
      <c r="CQ3" s="31" t="n"/>
      <c r="CR3" s="31" t="n">
        <v>5000</v>
      </c>
      <c r="CS3" s="31" t="n">
        <v>5000</v>
      </c>
      <c r="CT3" s="30" t="n"/>
      <c r="CU3" s="30" t="n">
        <v>5000</v>
      </c>
      <c r="CV3" s="30" t="n">
        <v>5000</v>
      </c>
      <c r="CW3" s="31" t="n"/>
      <c r="CX3" s="31" t="n">
        <v>5000</v>
      </c>
      <c r="CY3" s="31" t="n">
        <v>5000</v>
      </c>
      <c r="CZ3" s="30" t="n"/>
      <c r="DA3" s="30" t="n">
        <v>5000</v>
      </c>
      <c r="DB3" s="30" t="n">
        <v>5000</v>
      </c>
      <c r="DC3" s="31" t="n"/>
      <c r="DD3" s="31" t="n">
        <v>5000</v>
      </c>
      <c r="DE3" s="31" t="n">
        <v>5000</v>
      </c>
      <c r="DF3" s="30" t="n"/>
      <c r="DG3" s="30" t="n">
        <v>5000</v>
      </c>
      <c r="DH3" s="30" t="n">
        <v>5000</v>
      </c>
      <c r="DI3" s="31" t="n">
        <v>5000</v>
      </c>
      <c r="DJ3" s="31">
        <f>DI3</f>
        <v/>
      </c>
      <c r="DK3" s="31" t="n">
        <v>5000</v>
      </c>
      <c r="DL3" s="30" t="n">
        <v>5100</v>
      </c>
      <c r="DM3" s="30">
        <f>DL3</f>
        <v/>
      </c>
      <c r="DN3" s="30" t="n">
        <v>5000</v>
      </c>
    </row>
    <row r="4">
      <c r="A4" s="15" t="inlineStr">
        <is>
          <t>Reach to MQL Rate</t>
        </is>
      </c>
      <c r="B4" s="16">
        <f>IF(SUM(AR3,AO3,AL3,AI3,AF3,AC3,Z3,W3,T3,Q3,N3,K3)=0,"",SUM(AR5,AO5,AL5,AI5,AF5,AC5,Z5,W5,T5,Q5,N5,K5)/SUM(AR3,AO3,AL3,AI3,AF3,AC3,Z3,W3,T3,Q3,N3,K3))</f>
        <v/>
      </c>
      <c r="C4" s="16">
        <f>IF(SUM(AS3,AP3,AM3,AJ3,AG3,AD3,AA3,X3,U3,R3,O3,L3)=0,"",SUM(AS5,AP5,AM5,AJ5,AG5,AD5,AA5,X5,U5,R5,O5,L5)/SUM(AS3,AP3,AM3,AJ3,AG3,AD3,AA3,X3,U3,R3,O3,L3))</f>
        <v/>
      </c>
      <c r="D4" s="16">
        <f>IF(SUM(AT3,AQ3,AN3,AK3,AH3,AE3,AB3,Y3,V3,S3,P3,M3)=0,"",SUM(AT5,AQ5,AN5,AK5,AH5,AE5,AB5,Y5,V5,S5,P5,M5)/SUM(AT3,AQ3,AN3,AK3,AH3,AE3,AB3,Y3,V3,S3,P3,M3))</f>
        <v/>
      </c>
      <c r="E4" s="17">
        <f>IF(SUM(CB3,BY3,BV3,BS3,BP3,BM3,BJ3,BG3,BD3,BA3,AX3,AU3)=0,"",SUM(CB5,BY5,BV5,BS5,BP5,BM5,BJ5,BG5,BD5,BA5,AX5,AU5)/SUM(CB3,BY3,BV3,BS3,BP3,BM3,BJ3,BG3,BD3,BA3,AX3,AU3))</f>
        <v/>
      </c>
      <c r="F4" s="17">
        <f>IF(SUM(CC3,BZ3,BW3,BT3,BQ3,BN3,BK3,BH3,BE3,BB3,AY3,AV3)=0,"",SUM(CC5,BZ5,BW5,BT5,BQ5,BN5,BK5,BH5,BE5,BB5,AY5,AV5)/SUM(CC3,BZ3,BW3,BT3,BQ3,BN3,BK3,BH3,BE3,BB3,AY3,AV3))</f>
        <v/>
      </c>
      <c r="G4" s="17">
        <f>IF(SUM(CD3,CA3,BX3,BU3,BR3,BO3,BL3,BI3,BF3,BC3,AZ3,AW3)=0,"",SUM(CD5,CA5,BX5,BU5,BR5,BO5,BL5,BI5,BF5,BC5,AZ5,AW5)/SUM(CD3,CA3,BX3,BU3,BR3,BO3,BL3,BI3,BF3,BC3,AZ3,AW3))</f>
        <v/>
      </c>
      <c r="H4" s="16">
        <f>IF(SUM(DL3,DI3,DF3,DC3,CZ3,CW3,CT3,CQ3,CN3,CK3,CH3,CE3)=0,"",SUM(DL5,DI5,DF5,DC5,CZ5,CW5,CT5,CQ5,CN5,CK5,CH5,CE5)/SUM(DL3,DI3,DF3,DC3,CZ3,CW3,CT3,CQ3,CN3,CK3,CH3,CE3))</f>
        <v/>
      </c>
      <c r="I4" s="16">
        <f>IF(SUM(DM3,DJ3,DG3,DD3,DA3,CX3,CU3,CR3,CO3,CL3,CI3,CF3)=0,"",SUM(DM5,DJ5,DG5,DD5,DA5,CX5,CU5,CR5,CO5,CL5,CI5,CF5)/SUM(DM3,DJ3,DG3,DD3,DA3,CX3,CU3,CR3,CO3,CL3,CI3,CF3))</f>
        <v/>
      </c>
      <c r="J4" s="16">
        <f>IF(SUM(DN3,DK3,DH3,DE3,DB3,CY3,CV3,CS3,CP3,CM3,CJ3,CG3)=0,"",SUM(DN5,DK5,DH5,DE5,DB5,CY5,CV5,CS5,CP5,CM5,CJ5,CG5)/SUM(DN3,DK3,DH3,DE3,DB3,CY3,CV3,CS3,CP3,CM3,CJ3,CG3))</f>
        <v/>
      </c>
      <c r="K4" s="17">
        <f>IF(COUNT(K3,K5)=2,IF(K3=0,"",K5/K3),"")</f>
        <v/>
      </c>
      <c r="L4" s="17" t="n">
        <v>0.024</v>
      </c>
      <c r="M4" s="17" t="n">
        <v>0.024</v>
      </c>
      <c r="N4" s="16">
        <f>IF(COUNT(N3,N5)=2,IF(N3=0,"",N5/N3),"")</f>
        <v/>
      </c>
      <c r="O4" s="16" t="n">
        <v>0.024</v>
      </c>
      <c r="P4" s="16" t="n">
        <v>0.024</v>
      </c>
      <c r="Q4" s="17">
        <f>IF(COUNT(Q3,Q5)=2,IF(Q3=0,"",Q5/Q3),"")</f>
        <v/>
      </c>
      <c r="R4" s="17" t="n">
        <v>0.024</v>
      </c>
      <c r="S4" s="17" t="n">
        <v>0.024</v>
      </c>
      <c r="T4" s="16">
        <f>IF(COUNT(T3,T5)=2,IF(T3=0,"",T5/T3),"")</f>
        <v/>
      </c>
      <c r="U4" s="16" t="n">
        <v>0.024</v>
      </c>
      <c r="V4" s="16" t="n">
        <v>0.024</v>
      </c>
      <c r="W4" s="17">
        <f>IF(COUNT(W3,W5)=2,IF(W3=0,"",W5/W3),"")</f>
        <v/>
      </c>
      <c r="X4" s="17" t="n">
        <v>0.024</v>
      </c>
      <c r="Y4" s="17" t="n">
        <v>0.024</v>
      </c>
      <c r="Z4" s="16">
        <f>IF(COUNT(Z3,Z5)=2,IF(Z3=0,"",Z5/Z3),"")</f>
        <v/>
      </c>
      <c r="AA4" s="16" t="n">
        <v>0.024</v>
      </c>
      <c r="AB4" s="16" t="n">
        <v>0.024</v>
      </c>
      <c r="AC4" s="17">
        <f>IF(COUNT(AC3,AC5)=2,IF(AC3=0,"",AC5/AC3),"")</f>
        <v/>
      </c>
      <c r="AD4" s="17" t="n">
        <v>0.024</v>
      </c>
      <c r="AE4" s="17" t="n">
        <v>0.024</v>
      </c>
      <c r="AF4" s="16">
        <f>IF(COUNT(AF3,AF5)=2,IF(AF3=0,"",AF5/AF3),"")</f>
        <v/>
      </c>
      <c r="AG4" s="16" t="n">
        <v>0.024</v>
      </c>
      <c r="AH4" s="16" t="n">
        <v>0.024</v>
      </c>
      <c r="AI4" s="17">
        <f>IF(COUNT(AI3,AI5)=2,IF(AI3=0,"",AI5/AI3),"")</f>
        <v/>
      </c>
      <c r="AJ4" s="17" t="n">
        <v>0.024</v>
      </c>
      <c r="AK4" s="17" t="n">
        <v>0.024</v>
      </c>
      <c r="AL4" s="16">
        <f>IF(COUNT(AL3,AL5)=2,IF(AL3=0,"",AL5/AL3),"")</f>
        <v/>
      </c>
      <c r="AM4" s="16" t="n">
        <v>0.024</v>
      </c>
      <c r="AN4" s="16" t="n">
        <v>0.024</v>
      </c>
      <c r="AO4" s="17">
        <f>IF(COUNT(AO3,AO5)=2,IF(AO3=0,"",AO5/AO3),"")</f>
        <v/>
      </c>
      <c r="AP4" s="17" t="n">
        <v>0.024</v>
      </c>
      <c r="AQ4" s="17" t="n">
        <v>0.024</v>
      </c>
      <c r="AR4" s="16">
        <f>IF(COUNT(AR3,AR5)=2,IF(AR3=0,"",AR5/AR3),"")</f>
        <v/>
      </c>
      <c r="AS4" s="16" t="n">
        <v>0.024</v>
      </c>
      <c r="AT4" s="16" t="n">
        <v>0.024</v>
      </c>
      <c r="AU4" s="17">
        <f>IF(COUNT(AU3,AU5)=2,IF(AU3=0,"",AU5/AU3),"")</f>
        <v/>
      </c>
      <c r="AV4" s="17" t="n">
        <v>0.024</v>
      </c>
      <c r="AW4" s="17" t="n">
        <v>0.024</v>
      </c>
      <c r="AX4" s="16">
        <f>IF(COUNT(AX3,AX5)=2,IF(AX3=0,"",AX5/AX3),"")</f>
        <v/>
      </c>
      <c r="AY4" s="16" t="n">
        <v>0.024</v>
      </c>
      <c r="AZ4" s="16" t="n">
        <v>0.024</v>
      </c>
      <c r="BA4" s="17">
        <f>IF(COUNT(BA3,BA5)=2,IF(BA3=0,"",BA5/BA3),"")</f>
        <v/>
      </c>
      <c r="BB4" s="17" t="n">
        <v>0.024</v>
      </c>
      <c r="BC4" s="17" t="n">
        <v>0.024</v>
      </c>
      <c r="BD4" s="16">
        <f>IF(COUNT(BD3,BD5)=2,IF(BD3=0,"",BD5/BD3),"")</f>
        <v/>
      </c>
      <c r="BE4" s="16" t="n">
        <v>0.024</v>
      </c>
      <c r="BF4" s="16" t="n">
        <v>0.024</v>
      </c>
      <c r="BG4" s="17">
        <f>IF(COUNT(BG3,BG5)=2,IF(BG3=0,"",BG5/BG3),"")</f>
        <v/>
      </c>
      <c r="BH4" s="17" t="n">
        <v>0.024</v>
      </c>
      <c r="BI4" s="17" t="n">
        <v>0.024</v>
      </c>
      <c r="BJ4" s="16">
        <f>IF(COUNT(BJ3,BJ5)=2,IF(BJ3=0,"",BJ5/BJ3),"")</f>
        <v/>
      </c>
      <c r="BK4" s="16" t="n">
        <v>0.024</v>
      </c>
      <c r="BL4" s="16" t="n">
        <v>0.024</v>
      </c>
      <c r="BM4" s="17">
        <f>IF(COUNT(BM3,BM5)=2,IF(BM3=0,"",BM5/BM3),"")</f>
        <v/>
      </c>
      <c r="BN4" s="17" t="n">
        <v>0.024</v>
      </c>
      <c r="BO4" s="17" t="n">
        <v>0.024</v>
      </c>
      <c r="BP4" s="16">
        <f>IF(COUNT(BP3,BP5)=2,IF(BP3=0,"",BP5/BP3),"")</f>
        <v/>
      </c>
      <c r="BQ4" s="16" t="n">
        <v>0.024</v>
      </c>
      <c r="BR4" s="16" t="n">
        <v>0.024</v>
      </c>
      <c r="BS4" s="17">
        <f>IF(COUNT(BS3,BS5)=2,IF(BS3=0,"",BS5/BS3),"")</f>
        <v/>
      </c>
      <c r="BT4" s="17" t="n">
        <v>0.024</v>
      </c>
      <c r="BU4" s="17" t="n">
        <v>0.024</v>
      </c>
      <c r="BV4" s="16">
        <f>IF(COUNT(BV3,BV5)=2,IF(BV3=0,"",BV5/BV3),"")</f>
        <v/>
      </c>
      <c r="BW4" s="16" t="n">
        <v>0.024</v>
      </c>
      <c r="BX4" s="16" t="n">
        <v>0.024</v>
      </c>
      <c r="BY4" s="17">
        <f>IF(COUNT(BY3,BY5)=2,IF(BY3=0,"",BY5/BY3),"")</f>
        <v/>
      </c>
      <c r="BZ4" s="17" t="n">
        <v>0.024</v>
      </c>
      <c r="CA4" s="17" t="n">
        <v>0.024</v>
      </c>
      <c r="CB4" s="16">
        <f>IF(COUNT(CB3,CB5)=2,IF(CB3=0,"",CB5/CB3),"")</f>
        <v/>
      </c>
      <c r="CC4" s="16" t="n">
        <v>0.024</v>
      </c>
      <c r="CD4" s="16" t="n">
        <v>0.024</v>
      </c>
      <c r="CE4" s="17">
        <f>IF(COUNT(CE3,CE5)=2,IF(CE3=0,"",CE5/CE3),"")</f>
        <v/>
      </c>
      <c r="CF4" s="17" t="n">
        <v>0.024</v>
      </c>
      <c r="CG4" s="17" t="n">
        <v>0.024</v>
      </c>
      <c r="CH4" s="16">
        <f>IF(COUNT(CH3,CH5)=2,IF(CH3=0,"",CH5/CH3),"")</f>
        <v/>
      </c>
      <c r="CI4" s="16" t="n">
        <v>0.024</v>
      </c>
      <c r="CJ4" s="16" t="n">
        <v>0.024</v>
      </c>
      <c r="CK4" s="17">
        <f>IF(COUNT(CK3,CK5)=2,IF(CK3=0,"",CK5/CK3),"")</f>
        <v/>
      </c>
      <c r="CL4" s="17" t="n">
        <v>0.024</v>
      </c>
      <c r="CM4" s="17" t="n">
        <v>0.024</v>
      </c>
      <c r="CN4" s="16">
        <f>IF(COUNT(CN3,CN5)=2,IF(CN3=0,"",CN5/CN3),"")</f>
        <v/>
      </c>
      <c r="CO4" s="16" t="n">
        <v>0.024</v>
      </c>
      <c r="CP4" s="16" t="n">
        <v>0.024</v>
      </c>
      <c r="CQ4" s="17">
        <f>IF(COUNT(CQ3,CQ5)=2,IF(CQ3=0,"",CQ5/CQ3),"")</f>
        <v/>
      </c>
      <c r="CR4" s="17" t="n">
        <v>0.024</v>
      </c>
      <c r="CS4" s="17" t="n">
        <v>0.024</v>
      </c>
      <c r="CT4" s="16">
        <f>IF(COUNT(CT3,CT5)=2,IF(CT3=0,"",CT5/CT3),"")</f>
        <v/>
      </c>
      <c r="CU4" s="16" t="n">
        <v>0.024</v>
      </c>
      <c r="CV4" s="16" t="n">
        <v>0.024</v>
      </c>
      <c r="CW4" s="17">
        <f>IF(COUNT(CW3,CW5)=2,IF(CW3=0,"",CW5/CW3),"")</f>
        <v/>
      </c>
      <c r="CX4" s="17" t="n">
        <v>0.024</v>
      </c>
      <c r="CY4" s="17" t="n">
        <v>0.024</v>
      </c>
      <c r="CZ4" s="16">
        <f>IF(COUNT(CZ3,CZ5)=2,IF(CZ3=0,"",CZ5/CZ3),"")</f>
        <v/>
      </c>
      <c r="DA4" s="16" t="n">
        <v>0.024</v>
      </c>
      <c r="DB4" s="16" t="n">
        <v>0.024</v>
      </c>
      <c r="DC4" s="17">
        <f>IF(COUNT(DC3,DC5)=2,IF(DC3=0,"",DC5/DC3),"")</f>
        <v/>
      </c>
      <c r="DD4" s="17" t="n">
        <v>0.024</v>
      </c>
      <c r="DE4" s="17" t="n">
        <v>0.024</v>
      </c>
      <c r="DF4" s="16">
        <f>IF(COUNT(DF3,DF5)=2,IF(DF3=0,"",DF5/DF3),"")</f>
        <v/>
      </c>
      <c r="DG4" s="16" t="n">
        <v>0.024</v>
      </c>
      <c r="DH4" s="16" t="n">
        <v>0.024</v>
      </c>
      <c r="DI4" s="17">
        <f>IF(COUNT(DI3,DI5)=2,IF(DI3=0,"",DI5/DI3),"")</f>
        <v/>
      </c>
      <c r="DJ4" s="17">
        <f>DI4</f>
        <v/>
      </c>
      <c r="DK4" s="17" t="n">
        <v>0.024</v>
      </c>
      <c r="DL4" s="16">
        <f>IF(COUNT(DL3,DL5)=2,IF(DL3=0,"",DL5/DL3),"")</f>
        <v/>
      </c>
      <c r="DM4" s="16">
        <f>DL4</f>
        <v/>
      </c>
      <c r="DN4" s="16" t="n">
        <v>0.024</v>
      </c>
    </row>
    <row r="5">
      <c r="A5" s="2" t="inlineStr">
        <is>
          <t>Marketing Qualified Leads</t>
        </is>
      </c>
      <c r="B5" s="21">
        <f>IF(COUNT(AR5,AO5,AL5,AI5,AF5,AC5,Z5,W5,T5,Q5,N5,K5)=0,"",SUM(AR5,AO5,AL5,AI5,AF5,AC5,Z5,W5,T5,Q5,N5,K5))</f>
        <v/>
      </c>
      <c r="C5" s="21">
        <f>IF(COUNT(AS5,AP5,AM5,AJ5,AG5,AD5,AA5,X5,U5,R5,O5,L5)=0,"",SUM(AS5,AP5,AM5,AJ5,AG5,AD5,AA5,X5,U5,R5,O5,L5))</f>
        <v/>
      </c>
      <c r="D5" s="21">
        <f>IF(COUNT(AT5,AQ5,AN5,AK5,AH5,AE5,AB5,Y5,V5,S5,P5,M5)=0,"",SUM(AT5,AQ5,AN5,AK5,AH5,AE5,AB5,Y5,V5,S5,P5,M5))</f>
        <v/>
      </c>
      <c r="E5" s="2">
        <f>IF(COUNT(CB5,BY5,BV5,BS5,BP5,BM5,BJ5,BG5,BD5,BA5,AX5,AU5)=0,"",SUM(CB5,BY5,BV5,BS5,BP5,BM5,BJ5,BG5,BD5,BA5,AX5,AU5))</f>
        <v/>
      </c>
      <c r="F5" s="2">
        <f>IF(COUNT(CC5,BZ5,BW5,BT5,BQ5,BN5,BK5,BH5,BE5,BB5,AY5,AV5)=0,"",SUM(CC5,BZ5,BW5,BT5,BQ5,BN5,BK5,BH5,BE5,BB5,AY5,AV5))</f>
        <v/>
      </c>
      <c r="G5" s="2">
        <f>IF(COUNT(CD5,CA5,BX5,BU5,BR5,BO5,BL5,BI5,BF5,BC5,AZ5,AW5)=0,"",SUM(CD5,CA5,BX5,BU5,BR5,BO5,BL5,BI5,BF5,BC5,AZ5,AW5))</f>
        <v/>
      </c>
      <c r="H5" s="21">
        <f>IF(COUNT(DL5,DI5,DF5,DC5,CZ5,CW5,CT5,CQ5,CN5,CK5,CH5,CE5)=0,"",SUM(DL5,DI5,DF5,DC5,CZ5,CW5,CT5,CQ5,CN5,CK5,CH5,CE5))</f>
        <v/>
      </c>
      <c r="I5" s="21">
        <f>IF(COUNT(DM5,DJ5,DG5,DD5,DA5,CX5,CU5,CR5,CO5,CL5,CI5,CF5)=0,"",SUM(DM5,DJ5,DG5,DD5,DA5,CX5,CU5,CR5,CO5,CL5,CI5,CF5))</f>
        <v/>
      </c>
      <c r="J5" s="21">
        <f>IF(COUNT(DN5,DK5,DH5,DE5,DB5,CY5,CV5,CS5,CP5,CM5,CJ5,CG5)=0,"",SUM(DN5,DK5,DH5,DE5,DB5,CY5,CV5,CS5,CP5,CM5,CJ5,CG5))</f>
        <v/>
      </c>
      <c r="K5" s="2" t="n"/>
      <c r="L5" s="2">
        <f>ROUND(L3*L4,0)</f>
        <v/>
      </c>
      <c r="M5" s="2">
        <f>ROUND(M3*M4,0)</f>
        <v/>
      </c>
      <c r="N5" s="21" t="n"/>
      <c r="O5" s="21">
        <f>ROUND(O3*O4,0)</f>
        <v/>
      </c>
      <c r="P5" s="21">
        <f>ROUND(P3*P4,0)</f>
        <v/>
      </c>
      <c r="Q5" s="2" t="n"/>
      <c r="R5" s="2">
        <f>ROUND(R3*R4,0)</f>
        <v/>
      </c>
      <c r="S5" s="2">
        <f>ROUND(S3*S4,0)</f>
        <v/>
      </c>
      <c r="T5" s="21" t="n"/>
      <c r="U5" s="21">
        <f>ROUND(U3*U4,0)</f>
        <v/>
      </c>
      <c r="V5" s="21">
        <f>ROUND(V3*V4,0)</f>
        <v/>
      </c>
      <c r="W5" s="2" t="n"/>
      <c r="X5" s="2">
        <f>ROUND(X3*X4,0)</f>
        <v/>
      </c>
      <c r="Y5" s="2">
        <f>ROUND(Y3*Y4,0)</f>
        <v/>
      </c>
      <c r="Z5" s="21" t="n"/>
      <c r="AA5" s="21">
        <f>ROUND(AA3*AA4,0)</f>
        <v/>
      </c>
      <c r="AB5" s="21">
        <f>ROUND(AB3*AB4,0)</f>
        <v/>
      </c>
      <c r="AC5" s="2" t="n"/>
      <c r="AD5" s="2">
        <f>ROUND(AD3*AD4,0)</f>
        <v/>
      </c>
      <c r="AE5" s="2">
        <f>ROUND(AE3*AE4,0)</f>
        <v/>
      </c>
      <c r="AF5" s="21" t="n"/>
      <c r="AG5" s="21">
        <f>ROUND(AG3*AG4,0)</f>
        <v/>
      </c>
      <c r="AH5" s="21">
        <f>ROUND(AH3*AH4,0)</f>
        <v/>
      </c>
      <c r="AI5" s="2" t="n"/>
      <c r="AJ5" s="2">
        <f>ROUND(AJ3*AJ4,0)</f>
        <v/>
      </c>
      <c r="AK5" s="2">
        <f>ROUND(AK3*AK4,0)</f>
        <v/>
      </c>
      <c r="AL5" s="21" t="n"/>
      <c r="AM5" s="21">
        <f>ROUND(AM3*AM4,0)</f>
        <v/>
      </c>
      <c r="AN5" s="21">
        <f>ROUND(AN3*AN4,0)</f>
        <v/>
      </c>
      <c r="AO5" s="2" t="n"/>
      <c r="AP5" s="2">
        <f>ROUND(AP3*AP4,0)</f>
        <v/>
      </c>
      <c r="AQ5" s="2">
        <f>ROUND(AQ3*AQ4,0)</f>
        <v/>
      </c>
      <c r="AR5" s="21" t="n"/>
      <c r="AS5" s="21">
        <f>ROUND(AS3*AS4,0)</f>
        <v/>
      </c>
      <c r="AT5" s="21">
        <f>ROUND(AT3*AT4,0)</f>
        <v/>
      </c>
      <c r="AU5" s="2" t="n"/>
      <c r="AV5" s="2">
        <f>ROUND(AV3*AV4,0)</f>
        <v/>
      </c>
      <c r="AW5" s="2">
        <f>ROUND(AW3*AW4,0)</f>
        <v/>
      </c>
      <c r="AX5" s="21" t="n"/>
      <c r="AY5" s="21">
        <f>ROUND(AY3*AY4,0)</f>
        <v/>
      </c>
      <c r="AZ5" s="21">
        <f>ROUND(AZ3*AZ4,0)</f>
        <v/>
      </c>
      <c r="BA5" s="2" t="n"/>
      <c r="BB5" s="2">
        <f>ROUND(BB3*BB4,0)</f>
        <v/>
      </c>
      <c r="BC5" s="2">
        <f>ROUND(BC3*BC4,0)</f>
        <v/>
      </c>
      <c r="BD5" s="21" t="n"/>
      <c r="BE5" s="21">
        <f>ROUND(BE3*BE4,0)</f>
        <v/>
      </c>
      <c r="BF5" s="21">
        <f>ROUND(BF3*BF4,0)</f>
        <v/>
      </c>
      <c r="BG5" s="2" t="n"/>
      <c r="BH5" s="2">
        <f>ROUND(BH3*BH4,0)</f>
        <v/>
      </c>
      <c r="BI5" s="2">
        <f>ROUND(BI3*BI4,0)</f>
        <v/>
      </c>
      <c r="BJ5" s="21" t="n"/>
      <c r="BK5" s="21">
        <f>ROUND(BK3*BK4,0)</f>
        <v/>
      </c>
      <c r="BL5" s="21">
        <f>ROUND(BL3*BL4,0)</f>
        <v/>
      </c>
      <c r="BM5" s="2" t="n"/>
      <c r="BN5" s="2">
        <f>ROUND(BN3*BN4,0)</f>
        <v/>
      </c>
      <c r="BO5" s="2">
        <f>ROUND(BO3*BO4,0)</f>
        <v/>
      </c>
      <c r="BP5" s="21" t="n"/>
      <c r="BQ5" s="21">
        <f>ROUND(BQ3*BQ4,0)</f>
        <v/>
      </c>
      <c r="BR5" s="21">
        <f>ROUND(BR3*BR4,0)</f>
        <v/>
      </c>
      <c r="BS5" s="2" t="n"/>
      <c r="BT5" s="2">
        <f>ROUND(BT3*BT4,0)</f>
        <v/>
      </c>
      <c r="BU5" s="2">
        <f>ROUND(BU3*BU4,0)</f>
        <v/>
      </c>
      <c r="BV5" s="21" t="n"/>
      <c r="BW5" s="21">
        <f>ROUND(BW3*BW4,0)</f>
        <v/>
      </c>
      <c r="BX5" s="21">
        <f>ROUND(BX3*BX4,0)</f>
        <v/>
      </c>
      <c r="BY5" s="2" t="n"/>
      <c r="BZ5" s="2">
        <f>ROUND(BZ3*BZ4,0)</f>
        <v/>
      </c>
      <c r="CA5" s="2">
        <f>ROUND(CA3*CA4,0)</f>
        <v/>
      </c>
      <c r="CB5" s="21" t="n"/>
      <c r="CC5" s="21">
        <f>ROUND(CC3*CC4,0)</f>
        <v/>
      </c>
      <c r="CD5" s="21">
        <f>ROUND(CD3*CD4,0)</f>
        <v/>
      </c>
      <c r="CE5" s="2" t="n"/>
      <c r="CF5" s="2">
        <f>ROUND(CF3*CF4,0)</f>
        <v/>
      </c>
      <c r="CG5" s="2">
        <f>ROUND(CG3*CG4,0)</f>
        <v/>
      </c>
      <c r="CH5" s="21" t="n"/>
      <c r="CI5" s="21">
        <f>ROUND(CI3*CI4,0)</f>
        <v/>
      </c>
      <c r="CJ5" s="21">
        <f>ROUND(CJ3*CJ4,0)</f>
        <v/>
      </c>
      <c r="CK5" s="2" t="n"/>
      <c r="CL5" s="2">
        <f>ROUND(CL3*CL4,0)</f>
        <v/>
      </c>
      <c r="CM5" s="2">
        <f>ROUND(CM3*CM4,0)</f>
        <v/>
      </c>
      <c r="CN5" s="21" t="n"/>
      <c r="CO5" s="21">
        <f>ROUND(CO3*CO4,0)</f>
        <v/>
      </c>
      <c r="CP5" s="21">
        <f>ROUND(CP3*CP4,0)</f>
        <v/>
      </c>
      <c r="CQ5" s="2" t="n"/>
      <c r="CR5" s="2">
        <f>ROUND(CR3*CR4,0)</f>
        <v/>
      </c>
      <c r="CS5" s="2">
        <f>ROUND(CS3*CS4,0)</f>
        <v/>
      </c>
      <c r="CT5" s="21" t="n"/>
      <c r="CU5" s="21">
        <f>ROUND(CU3*CU4,0)</f>
        <v/>
      </c>
      <c r="CV5" s="21">
        <f>ROUND(CV3*CV4,0)</f>
        <v/>
      </c>
      <c r="CW5" s="2" t="n"/>
      <c r="CX5" s="2">
        <f>ROUND(CX3*CX4,0)</f>
        <v/>
      </c>
      <c r="CY5" s="2">
        <f>ROUND(CY3*CY4,0)</f>
        <v/>
      </c>
      <c r="CZ5" s="21" t="n"/>
      <c r="DA5" s="21">
        <f>ROUND(DA3*DA4,0)</f>
        <v/>
      </c>
      <c r="DB5" s="21">
        <f>ROUND(DB3*DB4,0)</f>
        <v/>
      </c>
      <c r="DC5" s="2" t="n"/>
      <c r="DD5" s="2">
        <f>ROUND(DD3*DD4,0)</f>
        <v/>
      </c>
      <c r="DE5" s="2">
        <f>ROUND(DE3*DE4,0)</f>
        <v/>
      </c>
      <c r="DF5" s="21" t="n"/>
      <c r="DG5" s="21">
        <f>ROUND(DG3*DG4,0)</f>
        <v/>
      </c>
      <c r="DH5" s="21">
        <f>ROUND(DH3*DH4,0)</f>
        <v/>
      </c>
      <c r="DI5" s="2" t="n">
        <v>120</v>
      </c>
      <c r="DJ5" s="2">
        <f>DI5</f>
        <v/>
      </c>
      <c r="DK5" s="2">
        <f>ROUND(DK3*DK4,0)</f>
        <v/>
      </c>
      <c r="DL5" s="21" t="n">
        <v>122</v>
      </c>
      <c r="DM5" s="21">
        <f>DL5</f>
        <v/>
      </c>
      <c r="DN5" s="21">
        <f>ROUND(DN3*DN4,0)</f>
        <v/>
      </c>
    </row>
    <row r="6">
      <c r="A6" s="15" t="inlineStr">
        <is>
          <t>MQL Acceptance Rate</t>
        </is>
      </c>
      <c r="B6" s="32">
        <f>IF(SUM(AR5,AO5,AL5,AI5,AF5,AC5,Z5,W5,T5,Q5,N5,K5)=0,"",SUM(AR7,AO7,AL7,AI7,AF7,AC7,Z7,W7,T7,Q7,N7,K7)/SUM(AR5,AO5,AL5,AI5,AF5,AC5,Z5,W5,T5,Q5,N5,K5))</f>
        <v/>
      </c>
      <c r="C6" s="32">
        <f>IF(SUM(AS5,AP5,AM5,AJ5,AG5,AD5,AA5,X5,U5,R5,O5,L5)=0,"",SUM(AS7,AP7,AM7,AJ7,AG7,AD7,AA7,X7,U7,R7,O7,L7)/SUM(AS5,AP5,AM5,AJ5,AG5,AD5,AA5,X5,U5,R5,O5,L5))</f>
        <v/>
      </c>
      <c r="D6" s="32">
        <f>IF(SUM(AT5,AQ5,AN5,AK5,AH5,AE5,AB5,Y5,V5,S5,P5,M5)=0,"",SUM(AT7,AQ7,AN7,AK7,AH7,AE7,AB7,Y7,V7,S7,P7,M7)/SUM(AT5,AQ5,AN5,AK5,AH5,AE5,AB5,Y5,V5,S5,P5,M5))</f>
        <v/>
      </c>
      <c r="E6" s="33">
        <f>IF(SUM(CB5,BY5,BV5,BS5,BP5,BM5,BJ5,BG5,BD5,BA5,AX5,AU5)=0,"",SUM(CB7,BY7,BV7,BS7,BP7,BM7,BJ7,BG7,BD7,BA7,AX7,AU7)/SUM(CB5,BY5,BV5,BS5,BP5,BM5,BJ5,BG5,BD5,BA5,AX5,AU5))</f>
        <v/>
      </c>
      <c r="F6" s="33">
        <f>IF(SUM(CC5,BZ5,BW5,BT5,BQ5,BN5,BK5,BH5,BE5,BB5,AY5,AV5)=0,"",SUM(CC7,BZ7,BW7,BT7,BQ7,BN7,BK7,BH7,BE7,BB7,AY7,AV7)/SUM(CC5,BZ5,BW5,BT5,BQ5,BN5,BK5,BH5,BE5,BB5,AY5,AV5))</f>
        <v/>
      </c>
      <c r="G6" s="33">
        <f>IF(SUM(CD5,CA5,BX5,BU5,BR5,BO5,BL5,BI5,BF5,BC5,AZ5,AW5)=0,"",SUM(CD7,CA7,BX7,BU7,BR7,BO7,BL7,BI7,BF7,BC7,AZ7,AW7)/SUM(CD5,CA5,BX5,BU5,BR5,BO5,BL5,BI5,BF5,BC5,AZ5,AW5))</f>
        <v/>
      </c>
      <c r="H6" s="32">
        <f>IF(SUM(DL5,DI5,DF5,DC5,CZ5,CW5,CT5,CQ5,CN5,CK5,CH5,CE5)=0,"",SUM(DL7,DI7,DF7,DC7,CZ7,CW7,CT7,CQ7,CN7,CK7,CH7,CE7)/SUM(DL5,DI5,DF5,DC5,CZ5,CW5,CT5,CQ5,CN5,CK5,CH5,CE5))</f>
        <v/>
      </c>
      <c r="I6" s="32">
        <f>IF(SUM(DM5,DJ5,DG5,DD5,DA5,CX5,CU5,CR5,CO5,CL5,CI5,CF5)=0,"",SUM(DM7,DJ7,DG7,DD7,DA7,CX7,CU7,CR7,CO7,CL7,CI7,CF7)/SUM(DM5,DJ5,DG5,DD5,DA5,CX5,CU5,CR5,CO5,CL5,CI5,CF5))</f>
        <v/>
      </c>
      <c r="J6" s="32">
        <f>IF(SUM(DN5,DK5,DH5,DE5,DB5,CY5,CV5,CS5,CP5,CM5,CJ5,CG5)=0,"",SUM(DN7,DK7,DH7,DE7,DB7,CY7,CV7,CS7,CP7,CM7,CJ7,CG7)/SUM(DN5,DK5,DH5,DE5,DB5,CY5,CV5,CS5,CP5,CM5,CJ5,CG5))</f>
        <v/>
      </c>
      <c r="K6" s="33">
        <f>IF(COUNT(K5,K7)=2,IF(K5=0,"",K7/K5),"")</f>
        <v/>
      </c>
      <c r="L6" s="33" t="n">
        <v>0.62</v>
      </c>
      <c r="M6" s="33" t="n">
        <v>0.62</v>
      </c>
      <c r="N6" s="32">
        <f>IF(COUNT(N5,N7)=2,IF(N5=0,"",N7/N5),"")</f>
        <v/>
      </c>
      <c r="O6" s="32" t="n">
        <v>0.62</v>
      </c>
      <c r="P6" s="32" t="n">
        <v>0.62</v>
      </c>
      <c r="Q6" s="33">
        <f>IF(COUNT(Q5,Q7)=2,IF(Q5=0,"",Q7/Q5),"")</f>
        <v/>
      </c>
      <c r="R6" s="33" t="n">
        <v>0.62</v>
      </c>
      <c r="S6" s="33" t="n">
        <v>0.62</v>
      </c>
      <c r="T6" s="32">
        <f>IF(COUNT(T5,T7)=2,IF(T5=0,"",T7/T5),"")</f>
        <v/>
      </c>
      <c r="U6" s="32" t="n">
        <v>0.62</v>
      </c>
      <c r="V6" s="32" t="n">
        <v>0.62</v>
      </c>
      <c r="W6" s="33">
        <f>IF(COUNT(W5,W7)=2,IF(W5=0,"",W7/W5),"")</f>
        <v/>
      </c>
      <c r="X6" s="33" t="n">
        <v>0.62</v>
      </c>
      <c r="Y6" s="33" t="n">
        <v>0.62</v>
      </c>
      <c r="Z6" s="32">
        <f>IF(COUNT(Z5,Z7)=2,IF(Z5=0,"",Z7/Z5),"")</f>
        <v/>
      </c>
      <c r="AA6" s="32" t="n">
        <v>0.62</v>
      </c>
      <c r="AB6" s="32" t="n">
        <v>0.62</v>
      </c>
      <c r="AC6" s="33">
        <f>IF(COUNT(AC5,AC7)=2,IF(AC5=0,"",AC7/AC5),"")</f>
        <v/>
      </c>
      <c r="AD6" s="33" t="n">
        <v>0.62</v>
      </c>
      <c r="AE6" s="33" t="n">
        <v>0.62</v>
      </c>
      <c r="AF6" s="32">
        <f>IF(COUNT(AF5,AF7)=2,IF(AF5=0,"",AF7/AF5),"")</f>
        <v/>
      </c>
      <c r="AG6" s="32" t="n">
        <v>0.62</v>
      </c>
      <c r="AH6" s="32" t="n">
        <v>0.62</v>
      </c>
      <c r="AI6" s="33">
        <f>IF(COUNT(AI5,AI7)=2,IF(AI5=0,"",AI7/AI5),"")</f>
        <v/>
      </c>
      <c r="AJ6" s="33" t="n">
        <v>0.62</v>
      </c>
      <c r="AK6" s="33" t="n">
        <v>0.62</v>
      </c>
      <c r="AL6" s="32">
        <f>IF(COUNT(AL5,AL7)=2,IF(AL5=0,"",AL7/AL5),"")</f>
        <v/>
      </c>
      <c r="AM6" s="32" t="n">
        <v>0.62</v>
      </c>
      <c r="AN6" s="32" t="n">
        <v>0.62</v>
      </c>
      <c r="AO6" s="33">
        <f>IF(COUNT(AO5,AO7)=2,IF(AO5=0,"",AO7/AO5),"")</f>
        <v/>
      </c>
      <c r="AP6" s="33" t="n">
        <v>0.62</v>
      </c>
      <c r="AQ6" s="33" t="n">
        <v>0.62</v>
      </c>
      <c r="AR6" s="32">
        <f>IF(COUNT(AR5,AR7)=2,IF(AR5=0,"",AR7/AR5),"")</f>
        <v/>
      </c>
      <c r="AS6" s="32" t="n">
        <v>0.62</v>
      </c>
      <c r="AT6" s="32" t="n">
        <v>0.62</v>
      </c>
      <c r="AU6" s="33">
        <f>IF(COUNT(AU5,AU7)=2,IF(AU5=0,"",AU7/AU5),"")</f>
        <v/>
      </c>
      <c r="AV6" s="33" t="n">
        <v>0.62</v>
      </c>
      <c r="AW6" s="33" t="n">
        <v>0.62</v>
      </c>
      <c r="AX6" s="32">
        <f>IF(COUNT(AX5,AX7)=2,IF(AX5=0,"",AX7/AX5),"")</f>
        <v/>
      </c>
      <c r="AY6" s="32" t="n">
        <v>0.62</v>
      </c>
      <c r="AZ6" s="32" t="n">
        <v>0.62</v>
      </c>
      <c r="BA6" s="33">
        <f>IF(COUNT(BA5,BA7)=2,IF(BA5=0,"",BA7/BA5),"")</f>
        <v/>
      </c>
      <c r="BB6" s="33" t="n">
        <v>0.62</v>
      </c>
      <c r="BC6" s="33" t="n">
        <v>0.62</v>
      </c>
      <c r="BD6" s="32">
        <f>IF(COUNT(BD5,BD7)=2,IF(BD5=0,"",BD7/BD5),"")</f>
        <v/>
      </c>
      <c r="BE6" s="32" t="n">
        <v>0.62</v>
      </c>
      <c r="BF6" s="32" t="n">
        <v>0.62</v>
      </c>
      <c r="BG6" s="33">
        <f>IF(COUNT(BG5,BG7)=2,IF(BG5=0,"",BG7/BG5),"")</f>
        <v/>
      </c>
      <c r="BH6" s="33" t="n">
        <v>0.62</v>
      </c>
      <c r="BI6" s="33" t="n">
        <v>0.62</v>
      </c>
      <c r="BJ6" s="32">
        <f>IF(COUNT(BJ5,BJ7)=2,IF(BJ5=0,"",BJ7/BJ5),"")</f>
        <v/>
      </c>
      <c r="BK6" s="32" t="n">
        <v>0.62</v>
      </c>
      <c r="BL6" s="32" t="n">
        <v>0.62</v>
      </c>
      <c r="BM6" s="33">
        <f>IF(COUNT(BM5,BM7)=2,IF(BM5=0,"",BM7/BM5),"")</f>
        <v/>
      </c>
      <c r="BN6" s="33" t="n">
        <v>0.62</v>
      </c>
      <c r="BO6" s="33" t="n">
        <v>0.62</v>
      </c>
      <c r="BP6" s="32">
        <f>IF(COUNT(BP5,BP7)=2,IF(BP5=0,"",BP7/BP5),"")</f>
        <v/>
      </c>
      <c r="BQ6" s="32" t="n">
        <v>0.62</v>
      </c>
      <c r="BR6" s="32" t="n">
        <v>0.62</v>
      </c>
      <c r="BS6" s="33">
        <f>IF(COUNT(BS5,BS7)=2,IF(BS5=0,"",BS7/BS5),"")</f>
        <v/>
      </c>
      <c r="BT6" s="33" t="n">
        <v>0.62</v>
      </c>
      <c r="BU6" s="33" t="n">
        <v>0.62</v>
      </c>
      <c r="BV6" s="32">
        <f>IF(COUNT(BV5,BV7)=2,IF(BV5=0,"",BV7/BV5),"")</f>
        <v/>
      </c>
      <c r="BW6" s="32" t="n">
        <v>0.62</v>
      </c>
      <c r="BX6" s="32" t="n">
        <v>0.62</v>
      </c>
      <c r="BY6" s="33">
        <f>IF(COUNT(BY5,BY7)=2,IF(BY5=0,"",BY7/BY5),"")</f>
        <v/>
      </c>
      <c r="BZ6" s="33" t="n">
        <v>0.62</v>
      </c>
      <c r="CA6" s="33" t="n">
        <v>0.62</v>
      </c>
      <c r="CB6" s="32">
        <f>IF(COUNT(CB5,CB7)=2,IF(CB5=0,"",CB7/CB5),"")</f>
        <v/>
      </c>
      <c r="CC6" s="32" t="n">
        <v>0.62</v>
      </c>
      <c r="CD6" s="32" t="n">
        <v>0.62</v>
      </c>
      <c r="CE6" s="33">
        <f>IF(COUNT(CE5,CE7)=2,IF(CE5=0,"",CE7/CE5),"")</f>
        <v/>
      </c>
      <c r="CF6" s="33" t="n">
        <v>0.62</v>
      </c>
      <c r="CG6" s="33" t="n">
        <v>0.62</v>
      </c>
      <c r="CH6" s="32">
        <f>IF(COUNT(CH5,CH7)=2,IF(CH5=0,"",CH7/CH5),"")</f>
        <v/>
      </c>
      <c r="CI6" s="32" t="n">
        <v>0.62</v>
      </c>
      <c r="CJ6" s="32" t="n">
        <v>0.62</v>
      </c>
      <c r="CK6" s="33">
        <f>IF(COUNT(CK5,CK7)=2,IF(CK5=0,"",CK7/CK5),"")</f>
        <v/>
      </c>
      <c r="CL6" s="33" t="n">
        <v>0.62</v>
      </c>
      <c r="CM6" s="33" t="n">
        <v>0.62</v>
      </c>
      <c r="CN6" s="32">
        <f>IF(COUNT(CN5,CN7)=2,IF(CN5=0,"",CN7/CN5),"")</f>
        <v/>
      </c>
      <c r="CO6" s="32" t="n">
        <v>0.62</v>
      </c>
      <c r="CP6" s="32" t="n">
        <v>0.62</v>
      </c>
      <c r="CQ6" s="33">
        <f>IF(COUNT(CQ5,CQ7)=2,IF(CQ5=0,"",CQ7/CQ5),"")</f>
        <v/>
      </c>
      <c r="CR6" s="33" t="n">
        <v>0.62</v>
      </c>
      <c r="CS6" s="33" t="n">
        <v>0.62</v>
      </c>
      <c r="CT6" s="32">
        <f>IF(COUNT(CT5,CT7)=2,IF(CT5=0,"",CT7/CT5),"")</f>
        <v/>
      </c>
      <c r="CU6" s="32" t="n">
        <v>0.62</v>
      </c>
      <c r="CV6" s="32" t="n">
        <v>0.62</v>
      </c>
      <c r="CW6" s="33">
        <f>IF(COUNT(CW5,CW7)=2,IF(CW5=0,"",CW7/CW5),"")</f>
        <v/>
      </c>
      <c r="CX6" s="33" t="n">
        <v>0.62</v>
      </c>
      <c r="CY6" s="33" t="n">
        <v>0.62</v>
      </c>
      <c r="CZ6" s="32">
        <f>IF(COUNT(CZ5,CZ7)=2,IF(CZ5=0,"",CZ7/CZ5),"")</f>
        <v/>
      </c>
      <c r="DA6" s="32" t="n">
        <v>0.62</v>
      </c>
      <c r="DB6" s="32" t="n">
        <v>0.62</v>
      </c>
      <c r="DC6" s="33">
        <f>IF(COUNT(DC5,DC7)=2,IF(DC5=0,"",DC7/DC5),"")</f>
        <v/>
      </c>
      <c r="DD6" s="33" t="n">
        <v>0.62</v>
      </c>
      <c r="DE6" s="33" t="n">
        <v>0.62</v>
      </c>
      <c r="DF6" s="32">
        <f>IF(COUNT(DF5,DF7)=2,IF(DF5=0,"",DF7/DF5),"")</f>
        <v/>
      </c>
      <c r="DG6" s="32" t="n">
        <v>0.62</v>
      </c>
      <c r="DH6" s="32" t="n">
        <v>0.62</v>
      </c>
      <c r="DI6" s="33">
        <f>IF(COUNT(DI5,DI7)=2,IF(DI5=0,"",DI7/DI5),"")</f>
        <v/>
      </c>
      <c r="DJ6" s="33">
        <f>DI6</f>
        <v/>
      </c>
      <c r="DK6" s="33" t="n">
        <v>0.62</v>
      </c>
      <c r="DL6" s="32">
        <f>IF(COUNT(DL5,DL7)=2,IF(DL5=0,"",DL7/DL5),"")</f>
        <v/>
      </c>
      <c r="DM6" s="32">
        <f>DL6</f>
        <v/>
      </c>
      <c r="DN6" s="32" t="n">
        <v>0.62</v>
      </c>
    </row>
    <row r="7">
      <c r="A7" s="24" t="inlineStr">
        <is>
          <t>Sales Qualified Leads</t>
        </is>
      </c>
      <c r="B7" s="34">
        <f>IF(COUNT(AR7,AO7,AL7,AI7,AF7,AC7,Z7,W7,T7,Q7,N7,K7)=0,"",SUM(AR7,AO7,AL7,AI7,AF7,AC7,Z7,W7,T7,Q7,N7,K7))</f>
        <v/>
      </c>
      <c r="C7" s="34">
        <f>IF(COUNT(AS7,AP7,AM7,AJ7,AG7,AD7,AA7,X7,U7,R7,O7,L7)=0,"",SUM(AS7,AP7,AM7,AJ7,AG7,AD7,AA7,X7,U7,R7,O7,L7))</f>
        <v/>
      </c>
      <c r="D7" s="34">
        <f>IF(COUNT(AT7,AQ7,AN7,AK7,AH7,AE7,AB7,Y7,V7,S7,P7,M7)=0,"",SUM(AT7,AQ7,AN7,AK7,AH7,AE7,AB7,Y7,V7,S7,P7,M7))</f>
        <v/>
      </c>
      <c r="E7" s="24">
        <f>IF(COUNT(CB7,BY7,BV7,BS7,BP7,BM7,BJ7,BG7,BD7,BA7,AX7,AU7)=0,"",SUM(CB7,BY7,BV7,BS7,BP7,BM7,BJ7,BG7,BD7,BA7,AX7,AU7))</f>
        <v/>
      </c>
      <c r="F7" s="24">
        <f>IF(COUNT(CC7,BZ7,BW7,BT7,BQ7,BN7,BK7,BH7,BE7,BB7,AY7,AV7)=0,"",SUM(CC7,BZ7,BW7,BT7,BQ7,BN7,BK7,BH7,BE7,BB7,AY7,AV7))</f>
        <v/>
      </c>
      <c r="G7" s="24">
        <f>IF(COUNT(CD7,CA7,BX7,BU7,BR7,BO7,BL7,BI7,BF7,BC7,AZ7,AW7)=0,"",SUM(CD7,CA7,BX7,BU7,BR7,BO7,BL7,BI7,BF7,BC7,AZ7,AW7))</f>
        <v/>
      </c>
      <c r="H7" s="34">
        <f>IF(COUNT(DL7,DI7,DF7,DC7,CZ7,CW7,CT7,CQ7,CN7,CK7,CH7,CE7)=0,"",SUM(DL7,DI7,DF7,DC7,CZ7,CW7,CT7,CQ7,CN7,CK7,CH7,CE7))</f>
        <v/>
      </c>
      <c r="I7" s="34">
        <f>IF(COUNT(DM7,DJ7,DG7,DD7,DA7,CX7,CU7,CR7,CO7,CL7,CI7,CF7)=0,"",SUM(DM7,DJ7,DG7,DD7,DA7,CX7,CU7,CR7,CO7,CL7,CI7,CF7))</f>
        <v/>
      </c>
      <c r="J7" s="34">
        <f>IF(COUNT(DN7,DK7,DH7,DE7,DB7,CY7,CV7,CS7,CP7,CM7,CJ7,CG7)=0,"",SUM(DN7,DK7,DH7,DE7,DB7,CY7,CV7,CS7,CP7,CM7,CJ7,CG7))</f>
        <v/>
      </c>
      <c r="K7" s="24" t="n"/>
      <c r="L7" s="24">
        <f>ROUND(L5*L6,0)</f>
        <v/>
      </c>
      <c r="M7" s="24">
        <f>ROUND(M5*M6,0)</f>
        <v/>
      </c>
      <c r="N7" s="34" t="n"/>
      <c r="O7" s="34">
        <f>ROUND(O5*O6,0)</f>
        <v/>
      </c>
      <c r="P7" s="34">
        <f>ROUND(P5*P6,0)</f>
        <v/>
      </c>
      <c r="Q7" s="24" t="n"/>
      <c r="R7" s="24">
        <f>ROUND(R5*R6,0)</f>
        <v/>
      </c>
      <c r="S7" s="24">
        <f>ROUND(S5*S6,0)</f>
        <v/>
      </c>
      <c r="T7" s="34" t="n"/>
      <c r="U7" s="34">
        <f>ROUND(U5*U6,0)</f>
        <v/>
      </c>
      <c r="V7" s="34">
        <f>ROUND(V5*V6,0)</f>
        <v/>
      </c>
      <c r="W7" s="24" t="n"/>
      <c r="X7" s="24">
        <f>ROUND(X5*X6,0)</f>
        <v/>
      </c>
      <c r="Y7" s="24">
        <f>ROUND(Y5*Y6,0)</f>
        <v/>
      </c>
      <c r="Z7" s="34" t="n"/>
      <c r="AA7" s="34">
        <f>ROUND(AA5*AA6,0)</f>
        <v/>
      </c>
      <c r="AB7" s="34">
        <f>ROUND(AB5*AB6,0)</f>
        <v/>
      </c>
      <c r="AC7" s="24" t="n"/>
      <c r="AD7" s="24">
        <f>ROUND(AD5*AD6,0)</f>
        <v/>
      </c>
      <c r="AE7" s="24">
        <f>ROUND(AE5*AE6,0)</f>
        <v/>
      </c>
      <c r="AF7" s="34" t="n"/>
      <c r="AG7" s="34">
        <f>ROUND(AG5*AG6,0)</f>
        <v/>
      </c>
      <c r="AH7" s="34">
        <f>ROUND(AH5*AH6,0)</f>
        <v/>
      </c>
      <c r="AI7" s="24" t="n"/>
      <c r="AJ7" s="24">
        <f>ROUND(AJ5*AJ6,0)</f>
        <v/>
      </c>
      <c r="AK7" s="24">
        <f>ROUND(AK5*AK6,0)</f>
        <v/>
      </c>
      <c r="AL7" s="34" t="n"/>
      <c r="AM7" s="34">
        <f>ROUND(AM5*AM6,0)</f>
        <v/>
      </c>
      <c r="AN7" s="34">
        <f>ROUND(AN5*AN6,0)</f>
        <v/>
      </c>
      <c r="AO7" s="24" t="n"/>
      <c r="AP7" s="24">
        <f>ROUND(AP5*AP6,0)</f>
        <v/>
      </c>
      <c r="AQ7" s="24">
        <f>ROUND(AQ5*AQ6,0)</f>
        <v/>
      </c>
      <c r="AR7" s="34" t="n"/>
      <c r="AS7" s="34">
        <f>ROUND(AS5*AS6,0)</f>
        <v/>
      </c>
      <c r="AT7" s="34">
        <f>ROUND(AT5*AT6,0)</f>
        <v/>
      </c>
      <c r="AU7" s="24" t="n"/>
      <c r="AV7" s="24">
        <f>ROUND(AV5*AV6,0)</f>
        <v/>
      </c>
      <c r="AW7" s="24">
        <f>ROUND(AW5*AW6,0)</f>
        <v/>
      </c>
      <c r="AX7" s="34" t="n"/>
      <c r="AY7" s="34">
        <f>ROUND(AY5*AY6,0)</f>
        <v/>
      </c>
      <c r="AZ7" s="34">
        <f>ROUND(AZ5*AZ6,0)</f>
        <v/>
      </c>
      <c r="BA7" s="24" t="n"/>
      <c r="BB7" s="24">
        <f>ROUND(BB5*BB6,0)</f>
        <v/>
      </c>
      <c r="BC7" s="24">
        <f>ROUND(BC5*BC6,0)</f>
        <v/>
      </c>
      <c r="BD7" s="34" t="n"/>
      <c r="BE7" s="34">
        <f>ROUND(BE5*BE6,0)</f>
        <v/>
      </c>
      <c r="BF7" s="34">
        <f>ROUND(BF5*BF6,0)</f>
        <v/>
      </c>
      <c r="BG7" s="24" t="n"/>
      <c r="BH7" s="24">
        <f>ROUND(BH5*BH6,0)</f>
        <v/>
      </c>
      <c r="BI7" s="24">
        <f>ROUND(BI5*BI6,0)</f>
        <v/>
      </c>
      <c r="BJ7" s="34" t="n"/>
      <c r="BK7" s="34">
        <f>ROUND(BK5*BK6,0)</f>
        <v/>
      </c>
      <c r="BL7" s="34">
        <f>ROUND(BL5*BL6,0)</f>
        <v/>
      </c>
      <c r="BM7" s="24" t="n"/>
      <c r="BN7" s="24">
        <f>ROUND(BN5*BN6,0)</f>
        <v/>
      </c>
      <c r="BO7" s="24">
        <f>ROUND(BO5*BO6,0)</f>
        <v/>
      </c>
      <c r="BP7" s="34" t="n"/>
      <c r="BQ7" s="34">
        <f>ROUND(BQ5*BQ6,0)</f>
        <v/>
      </c>
      <c r="BR7" s="34">
        <f>ROUND(BR5*BR6,0)</f>
        <v/>
      </c>
      <c r="BS7" s="24" t="n"/>
      <c r="BT7" s="24">
        <f>ROUND(BT5*BT6,0)</f>
        <v/>
      </c>
      <c r="BU7" s="24">
        <f>ROUND(BU5*BU6,0)</f>
        <v/>
      </c>
      <c r="BV7" s="34" t="n"/>
      <c r="BW7" s="34">
        <f>ROUND(BW5*BW6,0)</f>
        <v/>
      </c>
      <c r="BX7" s="34">
        <f>ROUND(BX5*BX6,0)</f>
        <v/>
      </c>
      <c r="BY7" s="24" t="n"/>
      <c r="BZ7" s="24">
        <f>ROUND(BZ5*BZ6,0)</f>
        <v/>
      </c>
      <c r="CA7" s="24">
        <f>ROUND(CA5*CA6,0)</f>
        <v/>
      </c>
      <c r="CB7" s="34" t="n"/>
      <c r="CC7" s="34">
        <f>ROUND(CC5*CC6,0)</f>
        <v/>
      </c>
      <c r="CD7" s="34">
        <f>ROUND(CD5*CD6,0)</f>
        <v/>
      </c>
      <c r="CE7" s="24" t="n"/>
      <c r="CF7" s="24">
        <f>ROUND(CF5*CF6,0)</f>
        <v/>
      </c>
      <c r="CG7" s="24">
        <f>ROUND(CG5*CG6,0)</f>
        <v/>
      </c>
      <c r="CH7" s="34" t="n"/>
      <c r="CI7" s="34">
        <f>ROUND(CI5*CI6,0)</f>
        <v/>
      </c>
      <c r="CJ7" s="34">
        <f>ROUND(CJ5*CJ6,0)</f>
        <v/>
      </c>
      <c r="CK7" s="24" t="n"/>
      <c r="CL7" s="24">
        <f>ROUND(CL5*CL6,0)</f>
        <v/>
      </c>
      <c r="CM7" s="24">
        <f>ROUND(CM5*CM6,0)</f>
        <v/>
      </c>
      <c r="CN7" s="34" t="n"/>
      <c r="CO7" s="34">
        <f>ROUND(CO5*CO6,0)</f>
        <v/>
      </c>
      <c r="CP7" s="34">
        <f>ROUND(CP5*CP6,0)</f>
        <v/>
      </c>
      <c r="CQ7" s="24" t="n"/>
      <c r="CR7" s="24">
        <f>ROUND(CR5*CR6,0)</f>
        <v/>
      </c>
      <c r="CS7" s="24">
        <f>ROUND(CS5*CS6,0)</f>
        <v/>
      </c>
      <c r="CT7" s="34" t="n"/>
      <c r="CU7" s="34">
        <f>ROUND(CU5*CU6,0)</f>
        <v/>
      </c>
      <c r="CV7" s="34">
        <f>ROUND(CV5*CV6,0)</f>
        <v/>
      </c>
      <c r="CW7" s="24" t="n"/>
      <c r="CX7" s="24">
        <f>ROUND(CX5*CX6,0)</f>
        <v/>
      </c>
      <c r="CY7" s="24">
        <f>ROUND(CY5*CY6,0)</f>
        <v/>
      </c>
      <c r="CZ7" s="34" t="n"/>
      <c r="DA7" s="34">
        <f>ROUND(DA5*DA6,0)</f>
        <v/>
      </c>
      <c r="DB7" s="34">
        <f>ROUND(DB5*DB6,0)</f>
        <v/>
      </c>
      <c r="DC7" s="24" t="n"/>
      <c r="DD7" s="24">
        <f>ROUND(DD5*DD6,0)</f>
        <v/>
      </c>
      <c r="DE7" s="24">
        <f>ROUND(DE5*DE6,0)</f>
        <v/>
      </c>
      <c r="DF7" s="34" t="n"/>
      <c r="DG7" s="34">
        <f>ROUND(DG5*DG6,0)</f>
        <v/>
      </c>
      <c r="DH7" s="34">
        <f>ROUND(DH5*DH6,0)</f>
        <v/>
      </c>
      <c r="DI7" s="24" t="n">
        <v>74</v>
      </c>
      <c r="DJ7" s="24">
        <f>DI7</f>
        <v/>
      </c>
      <c r="DK7" s="24">
        <f>ROUND(DK5*DK6,0)</f>
        <v/>
      </c>
      <c r="DL7" s="34" t="n">
        <v>76</v>
      </c>
      <c r="DM7" s="34">
        <f>DL7</f>
        <v/>
      </c>
      <c r="DN7" s="34">
        <f>ROUND(DN5*DN6,0)</f>
        <v/>
      </c>
    </row>
    <row r="8">
      <c r="A8" s="2" t="inlineStr">
        <is>
          <t>Salaries and Wages</t>
        </is>
      </c>
      <c r="B8" s="10">
        <f>IF(COUNT(AR8,AO8,AL8,AI8,AF8,AC8,Z8,W8,T8,Q8,N8,K8)=0,"",SUM(AR8,AO8,AL8,AI8,AF8,AC8,Z8,W8,T8,Q8,N8,K8))</f>
        <v/>
      </c>
      <c r="C8" s="10">
        <f>IF(COUNT(AS8,AP8,AM8,AJ8,AG8,AD8,AA8,X8,U8,R8,O8,L8)=0,"",SUM(AS8,AP8,AM8,AJ8,AG8,AD8,AA8,X8,U8,R8,O8,L8))</f>
        <v/>
      </c>
      <c r="D8" s="10">
        <f>IF(COUNT(AT8,AQ8,AN8,AK8,AH8,AE8,AB8,Y8,V8,S8,P8,M8)=0,"",SUM(AT8,AQ8,AN8,AK8,AH8,AE8,AB8,Y8,V8,S8,P8,M8))</f>
        <v/>
      </c>
      <c r="E8" s="11">
        <f>IF(COUNT(CB8,BY8,BV8,BS8,BP8,BM8,BJ8,BG8,BD8,BA8,AX8,AU8)=0,"",SUM(CB8,BY8,BV8,BS8,BP8,BM8,BJ8,BG8,BD8,BA8,AX8,AU8))</f>
        <v/>
      </c>
      <c r="F8" s="11">
        <f>IF(COUNT(CC8,BZ8,BW8,BT8,BQ8,BN8,BK8,BH8,BE8,BB8,AY8,AV8)=0,"",SUM(CC8,BZ8,BW8,BT8,BQ8,BN8,BK8,BH8,BE8,BB8,AY8,AV8))</f>
        <v/>
      </c>
      <c r="G8" s="11">
        <f>IF(COUNT(CD8,CA8,BX8,BU8,BR8,BO8,BL8,BI8,BF8,BC8,AZ8,AW8)=0,"",SUM(CD8,CA8,BX8,BU8,BR8,BO8,BL8,BI8,BF8,BC8,AZ8,AW8))</f>
        <v/>
      </c>
      <c r="H8" s="10">
        <f>IF(COUNT(DL8,DI8,DF8,DC8,CZ8,CW8,CT8,CQ8,CN8,CK8,CH8,CE8)=0,"",SUM(DL8,DI8,DF8,DC8,CZ8,CW8,CT8,CQ8,CN8,CK8,CH8,CE8))</f>
        <v/>
      </c>
      <c r="I8" s="10">
        <f>IF(COUNT(DM8,DJ8,DG8,DD8,DA8,CX8,CU8,CR8,CO8,CL8,CI8,CF8)=0,"",SUM(DM8,DJ8,DG8,DD8,DA8,CX8,CU8,CR8,CO8,CL8,CI8,CF8))</f>
        <v/>
      </c>
      <c r="J8" s="10">
        <f>IF(COUNT(DN8,DK8,DH8,DE8,DB8,CY8,CV8,CS8,CP8,CM8,CJ8,CG8)=0,"",SUM(DN8,DK8,DH8,DE8,DB8,CY8,CV8,CS8,CP8,CM8,CJ8,CG8))</f>
        <v/>
      </c>
      <c r="K8" s="11">
        <f>IF(COUNT(K38)=1,K38,"")</f>
        <v/>
      </c>
      <c r="L8" s="11">
        <f>L38</f>
        <v/>
      </c>
      <c r="M8" s="11">
        <f>M38</f>
        <v/>
      </c>
      <c r="N8" s="10">
        <f>IF(COUNT(N38)=1,N38,"")</f>
        <v/>
      </c>
      <c r="O8" s="10">
        <f>O38</f>
        <v/>
      </c>
      <c r="P8" s="10">
        <f>P38</f>
        <v/>
      </c>
      <c r="Q8" s="11">
        <f>IF(COUNT(Q38)=1,Q38,"")</f>
        <v/>
      </c>
      <c r="R8" s="11">
        <f>R38</f>
        <v/>
      </c>
      <c r="S8" s="11">
        <f>S38</f>
        <v/>
      </c>
      <c r="T8" s="10">
        <f>IF(COUNT(T38)=1,T38,"")</f>
        <v/>
      </c>
      <c r="U8" s="10">
        <f>U38</f>
        <v/>
      </c>
      <c r="V8" s="10">
        <f>V38</f>
        <v/>
      </c>
      <c r="W8" s="11">
        <f>IF(COUNT(W38)=1,W38,"")</f>
        <v/>
      </c>
      <c r="X8" s="11">
        <f>X38</f>
        <v/>
      </c>
      <c r="Y8" s="11">
        <f>Y38</f>
        <v/>
      </c>
      <c r="Z8" s="10">
        <f>IF(COUNT(Z38)=1,Z38,"")</f>
        <v/>
      </c>
      <c r="AA8" s="10">
        <f>AA38</f>
        <v/>
      </c>
      <c r="AB8" s="10">
        <f>AB38</f>
        <v/>
      </c>
      <c r="AC8" s="11">
        <f>IF(COUNT(AC38)=1,AC38,"")</f>
        <v/>
      </c>
      <c r="AD8" s="11">
        <f>AD38</f>
        <v/>
      </c>
      <c r="AE8" s="11">
        <f>AE38</f>
        <v/>
      </c>
      <c r="AF8" s="10">
        <f>IF(COUNT(AF38)=1,AF38,"")</f>
        <v/>
      </c>
      <c r="AG8" s="10">
        <f>AG38</f>
        <v/>
      </c>
      <c r="AH8" s="10">
        <f>AH38</f>
        <v/>
      </c>
      <c r="AI8" s="11">
        <f>IF(COUNT(AI38)=1,AI38,"")</f>
        <v/>
      </c>
      <c r="AJ8" s="11">
        <f>AJ38</f>
        <v/>
      </c>
      <c r="AK8" s="11">
        <f>AK38</f>
        <v/>
      </c>
      <c r="AL8" s="10">
        <f>IF(COUNT(AL38)=1,AL38,"")</f>
        <v/>
      </c>
      <c r="AM8" s="10">
        <f>AM38</f>
        <v/>
      </c>
      <c r="AN8" s="10">
        <f>AN38</f>
        <v/>
      </c>
      <c r="AO8" s="11">
        <f>IF(COUNT(AO38)=1,AO38,"")</f>
        <v/>
      </c>
      <c r="AP8" s="11">
        <f>AP38</f>
        <v/>
      </c>
      <c r="AQ8" s="11">
        <f>AQ38</f>
        <v/>
      </c>
      <c r="AR8" s="10">
        <f>IF(COUNT(AR38)=1,AR38,"")</f>
        <v/>
      </c>
      <c r="AS8" s="10">
        <f>AS38</f>
        <v/>
      </c>
      <c r="AT8" s="10">
        <f>AT38</f>
        <v/>
      </c>
      <c r="AU8" s="11">
        <f>IF(COUNT(AU38)=1,AU38,"")</f>
        <v/>
      </c>
      <c r="AV8" s="11">
        <f>AV38</f>
        <v/>
      </c>
      <c r="AW8" s="11">
        <f>AW38</f>
        <v/>
      </c>
      <c r="AX8" s="10">
        <f>IF(COUNT(AX38)=1,AX38,"")</f>
        <v/>
      </c>
      <c r="AY8" s="10">
        <f>AY38</f>
        <v/>
      </c>
      <c r="AZ8" s="10">
        <f>AZ38</f>
        <v/>
      </c>
      <c r="BA8" s="11">
        <f>IF(COUNT(BA38)=1,BA38,"")</f>
        <v/>
      </c>
      <c r="BB8" s="11">
        <f>BB38</f>
        <v/>
      </c>
      <c r="BC8" s="11">
        <f>BC38</f>
        <v/>
      </c>
      <c r="BD8" s="10">
        <f>IF(COUNT(BD38)=1,BD38,"")</f>
        <v/>
      </c>
      <c r="BE8" s="10">
        <f>BE38</f>
        <v/>
      </c>
      <c r="BF8" s="10">
        <f>BF38</f>
        <v/>
      </c>
      <c r="BG8" s="11">
        <f>IF(COUNT(BG38)=1,BG38,"")</f>
        <v/>
      </c>
      <c r="BH8" s="11">
        <f>BH38</f>
        <v/>
      </c>
      <c r="BI8" s="11">
        <f>BI38</f>
        <v/>
      </c>
      <c r="BJ8" s="10">
        <f>IF(COUNT(BJ38)=1,BJ38,"")</f>
        <v/>
      </c>
      <c r="BK8" s="10">
        <f>BK38</f>
        <v/>
      </c>
      <c r="BL8" s="10">
        <f>BL38</f>
        <v/>
      </c>
      <c r="BM8" s="11">
        <f>IF(COUNT(BM38)=1,BM38,"")</f>
        <v/>
      </c>
      <c r="BN8" s="11">
        <f>BN38</f>
        <v/>
      </c>
      <c r="BO8" s="11">
        <f>BO38</f>
        <v/>
      </c>
      <c r="BP8" s="10">
        <f>IF(COUNT(BP38)=1,BP38,"")</f>
        <v/>
      </c>
      <c r="BQ8" s="10">
        <f>BQ38</f>
        <v/>
      </c>
      <c r="BR8" s="10">
        <f>BR38</f>
        <v/>
      </c>
      <c r="BS8" s="11">
        <f>IF(COUNT(BS38)=1,BS38,"")</f>
        <v/>
      </c>
      <c r="BT8" s="11">
        <f>BT38</f>
        <v/>
      </c>
      <c r="BU8" s="11">
        <f>BU38</f>
        <v/>
      </c>
      <c r="BV8" s="10">
        <f>IF(COUNT(BV38)=1,BV38,"")</f>
        <v/>
      </c>
      <c r="BW8" s="10">
        <f>BW38</f>
        <v/>
      </c>
      <c r="BX8" s="10">
        <f>BX38</f>
        <v/>
      </c>
      <c r="BY8" s="11">
        <f>IF(COUNT(BY38)=1,BY38,"")</f>
        <v/>
      </c>
      <c r="BZ8" s="11">
        <f>BZ38</f>
        <v/>
      </c>
      <c r="CA8" s="11">
        <f>CA38</f>
        <v/>
      </c>
      <c r="CB8" s="10">
        <f>IF(COUNT(CB38)=1,CB38,"")</f>
        <v/>
      </c>
      <c r="CC8" s="10">
        <f>CC38</f>
        <v/>
      </c>
      <c r="CD8" s="10">
        <f>CD38</f>
        <v/>
      </c>
      <c r="CE8" s="11">
        <f>IF(COUNT(CE38)=1,CE38,"")</f>
        <v/>
      </c>
      <c r="CF8" s="11">
        <f>CF38</f>
        <v/>
      </c>
      <c r="CG8" s="11">
        <f>CG38</f>
        <v/>
      </c>
      <c r="CH8" s="10">
        <f>IF(COUNT(CH38)=1,CH38,"")</f>
        <v/>
      </c>
      <c r="CI8" s="10">
        <f>CI38</f>
        <v/>
      </c>
      <c r="CJ8" s="10">
        <f>CJ38</f>
        <v/>
      </c>
      <c r="CK8" s="11">
        <f>IF(COUNT(CK38)=1,CK38,"")</f>
        <v/>
      </c>
      <c r="CL8" s="11">
        <f>CL38</f>
        <v/>
      </c>
      <c r="CM8" s="11">
        <f>CM38</f>
        <v/>
      </c>
      <c r="CN8" s="10">
        <f>IF(COUNT(CN38)=1,CN38,"")</f>
        <v/>
      </c>
      <c r="CO8" s="10">
        <f>CO38</f>
        <v/>
      </c>
      <c r="CP8" s="10">
        <f>CP38</f>
        <v/>
      </c>
      <c r="CQ8" s="11">
        <f>IF(COUNT(CQ38)=1,CQ38,"")</f>
        <v/>
      </c>
      <c r="CR8" s="11">
        <f>CR38</f>
        <v/>
      </c>
      <c r="CS8" s="11">
        <f>CS38</f>
        <v/>
      </c>
      <c r="CT8" s="10">
        <f>IF(COUNT(CT38)=1,CT38,"")</f>
        <v/>
      </c>
      <c r="CU8" s="10">
        <f>CU38</f>
        <v/>
      </c>
      <c r="CV8" s="10">
        <f>CV38</f>
        <v/>
      </c>
      <c r="CW8" s="11">
        <f>IF(COUNT(CW38)=1,CW38,"")</f>
        <v/>
      </c>
      <c r="CX8" s="11">
        <f>CX38</f>
        <v/>
      </c>
      <c r="CY8" s="11">
        <f>CY38</f>
        <v/>
      </c>
      <c r="CZ8" s="10">
        <f>IF(COUNT(CZ38)=1,CZ38,"")</f>
        <v/>
      </c>
      <c r="DA8" s="10">
        <f>DA38</f>
        <v/>
      </c>
      <c r="DB8" s="10">
        <f>DB38</f>
        <v/>
      </c>
      <c r="DC8" s="11">
        <f>IF(COUNT(DC38)=1,DC38,"")</f>
        <v/>
      </c>
      <c r="DD8" s="11">
        <f>DD38</f>
        <v/>
      </c>
      <c r="DE8" s="11">
        <f>DE38</f>
        <v/>
      </c>
      <c r="DF8" s="10">
        <f>IF(COUNT(DF38)=1,DF38,"")</f>
        <v/>
      </c>
      <c r="DG8" s="10">
        <f>DG38</f>
        <v/>
      </c>
      <c r="DH8" s="10">
        <f>DH38</f>
        <v/>
      </c>
      <c r="DI8" s="11">
        <f>IF(COUNT(DI38)=1,DI38,"")</f>
        <v/>
      </c>
      <c r="DJ8" s="11">
        <f>DJ38</f>
        <v/>
      </c>
      <c r="DK8" s="11">
        <f>DK38</f>
        <v/>
      </c>
      <c r="DL8" s="10">
        <f>IF(COUNT(DL38)=1,DL38,"")</f>
        <v/>
      </c>
      <c r="DM8" s="10">
        <f>DM38</f>
        <v/>
      </c>
      <c r="DN8" s="10">
        <f>DN38</f>
        <v/>
      </c>
    </row>
    <row r="9">
      <c r="A9" s="2" t="inlineStr">
        <is>
          <t>Bonuses</t>
        </is>
      </c>
      <c r="B9" s="10">
        <f>IF(COUNT(AR9,AO9,AL9,AI9,AF9,AC9,Z9,W9,T9,Q9,N9,K9)=0,"",SUM(AR9,AO9,AL9,AI9,AF9,AC9,Z9,W9,T9,Q9,N9,K9))</f>
        <v/>
      </c>
      <c r="C9" s="10">
        <f>IF(COUNT(AS9,AP9,AM9,AJ9,AG9,AD9,AA9,X9,U9,R9,O9,L9)=0,"",SUM(AS9,AP9,AM9,AJ9,AG9,AD9,AA9,X9,U9,R9,O9,L9))</f>
        <v/>
      </c>
      <c r="D9" s="10">
        <f>IF(COUNT(AT9,AQ9,AN9,AK9,AH9,AE9,AB9,Y9,V9,S9,P9,M9)=0,"",SUM(AT9,AQ9,AN9,AK9,AH9,AE9,AB9,Y9,V9,S9,P9,M9))</f>
        <v/>
      </c>
      <c r="E9" s="11">
        <f>IF(COUNT(CB9,BY9,BV9,BS9,BP9,BM9,BJ9,BG9,BD9,BA9,AX9,AU9)=0,"",SUM(CB9,BY9,BV9,BS9,BP9,BM9,BJ9,BG9,BD9,BA9,AX9,AU9))</f>
        <v/>
      </c>
      <c r="F9" s="11">
        <f>IF(COUNT(CC9,BZ9,BW9,BT9,BQ9,BN9,BK9,BH9,BE9,BB9,AY9,AV9)=0,"",SUM(CC9,BZ9,BW9,BT9,BQ9,BN9,BK9,BH9,BE9,BB9,AY9,AV9))</f>
        <v/>
      </c>
      <c r="G9" s="11">
        <f>IF(COUNT(CD9,CA9,BX9,BU9,BR9,BO9,BL9,BI9,BF9,BC9,AZ9,AW9)=0,"",SUM(CD9,CA9,BX9,BU9,BR9,BO9,BL9,BI9,BF9,BC9,AZ9,AW9))</f>
        <v/>
      </c>
      <c r="H9" s="10">
        <f>IF(COUNT(DL9,DI9,DF9,DC9,CZ9,CW9,CT9,CQ9,CN9,CK9,CH9,CE9)=0,"",SUM(DL9,DI9,DF9,DC9,CZ9,CW9,CT9,CQ9,CN9,CK9,CH9,CE9))</f>
        <v/>
      </c>
      <c r="I9" s="10">
        <f>IF(COUNT(DM9,DJ9,DG9,DD9,DA9,CX9,CU9,CR9,CO9,CL9,CI9,CF9)=0,"",SUM(DM9,DJ9,DG9,DD9,DA9,CX9,CU9,CR9,CO9,CL9,CI9,CF9))</f>
        <v/>
      </c>
      <c r="J9" s="10">
        <f>IF(COUNT(DN9,DK9,DH9,DE9,DB9,CY9,CV9,CS9,CP9,CM9,CJ9,CG9)=0,"",SUM(DN9,DK9,DH9,DE9,DB9,CY9,CV9,CS9,CP9,CM9,CJ9,CG9))</f>
        <v/>
      </c>
      <c r="K9" s="11" t="n"/>
      <c r="L9" s="11" t="n">
        <v>2000</v>
      </c>
      <c r="M9" s="11" t="n">
        <v>2000</v>
      </c>
      <c r="N9" s="10" t="n"/>
      <c r="O9" s="10" t="n">
        <v>2000</v>
      </c>
      <c r="P9" s="10" t="n">
        <v>2000</v>
      </c>
      <c r="Q9" s="11" t="n"/>
      <c r="R9" s="11" t="n">
        <v>2000</v>
      </c>
      <c r="S9" s="11" t="n">
        <v>2000</v>
      </c>
      <c r="T9" s="10" t="n"/>
      <c r="U9" s="10" t="n">
        <v>2000</v>
      </c>
      <c r="V9" s="10" t="n">
        <v>2000</v>
      </c>
      <c r="W9" s="11" t="n"/>
      <c r="X9" s="11" t="n">
        <v>2000</v>
      </c>
      <c r="Y9" s="11" t="n">
        <v>2000</v>
      </c>
      <c r="Z9" s="10" t="n"/>
      <c r="AA9" s="10" t="n">
        <v>2000</v>
      </c>
      <c r="AB9" s="10" t="n">
        <v>2000</v>
      </c>
      <c r="AC9" s="11" t="n"/>
      <c r="AD9" s="11" t="n">
        <v>2000</v>
      </c>
      <c r="AE9" s="11" t="n">
        <v>2000</v>
      </c>
      <c r="AF9" s="10" t="n"/>
      <c r="AG9" s="10" t="n">
        <v>2000</v>
      </c>
      <c r="AH9" s="10" t="n">
        <v>2000</v>
      </c>
      <c r="AI9" s="11" t="n"/>
      <c r="AJ9" s="11" t="n">
        <v>2000</v>
      </c>
      <c r="AK9" s="11" t="n">
        <v>2000</v>
      </c>
      <c r="AL9" s="10" t="n"/>
      <c r="AM9" s="10" t="n">
        <v>2000</v>
      </c>
      <c r="AN9" s="10" t="n">
        <v>2000</v>
      </c>
      <c r="AO9" s="11" t="n"/>
      <c r="AP9" s="11" t="n">
        <v>2000</v>
      </c>
      <c r="AQ9" s="11" t="n">
        <v>2000</v>
      </c>
      <c r="AR9" s="10" t="n"/>
      <c r="AS9" s="10" t="n">
        <v>2000</v>
      </c>
      <c r="AT9" s="10" t="n">
        <v>2000</v>
      </c>
      <c r="AU9" s="11" t="n"/>
      <c r="AV9" s="11" t="n">
        <v>2000</v>
      </c>
      <c r="AW9" s="11" t="n">
        <v>2000</v>
      </c>
      <c r="AX9" s="10" t="n"/>
      <c r="AY9" s="10" t="n">
        <v>2000</v>
      </c>
      <c r="AZ9" s="10" t="n">
        <v>2000</v>
      </c>
      <c r="BA9" s="11" t="n"/>
      <c r="BB9" s="11" t="n">
        <v>2000</v>
      </c>
      <c r="BC9" s="11" t="n">
        <v>2000</v>
      </c>
      <c r="BD9" s="10" t="n"/>
      <c r="BE9" s="10" t="n">
        <v>2000</v>
      </c>
      <c r="BF9" s="10" t="n">
        <v>2000</v>
      </c>
      <c r="BG9" s="11" t="n"/>
      <c r="BH9" s="11" t="n">
        <v>2000</v>
      </c>
      <c r="BI9" s="11" t="n">
        <v>2000</v>
      </c>
      <c r="BJ9" s="10" t="n"/>
      <c r="BK9" s="10" t="n">
        <v>2000</v>
      </c>
      <c r="BL9" s="10" t="n">
        <v>2000</v>
      </c>
      <c r="BM9" s="11" t="n"/>
      <c r="BN9" s="11" t="n">
        <v>2000</v>
      </c>
      <c r="BO9" s="11" t="n">
        <v>2000</v>
      </c>
      <c r="BP9" s="10" t="n"/>
      <c r="BQ9" s="10" t="n">
        <v>2000</v>
      </c>
      <c r="BR9" s="10" t="n">
        <v>2000</v>
      </c>
      <c r="BS9" s="11" t="n"/>
      <c r="BT9" s="11" t="n">
        <v>2000</v>
      </c>
      <c r="BU9" s="11" t="n">
        <v>2000</v>
      </c>
      <c r="BV9" s="10" t="n"/>
      <c r="BW9" s="10" t="n">
        <v>2000</v>
      </c>
      <c r="BX9" s="10" t="n">
        <v>2000</v>
      </c>
      <c r="BY9" s="11" t="n"/>
      <c r="BZ9" s="11" t="n">
        <v>2000</v>
      </c>
      <c r="CA9" s="11" t="n">
        <v>2000</v>
      </c>
      <c r="CB9" s="10" t="n"/>
      <c r="CC9" s="10" t="n">
        <v>2000</v>
      </c>
      <c r="CD9" s="10" t="n">
        <v>2000</v>
      </c>
      <c r="CE9" s="11" t="n"/>
      <c r="CF9" s="11" t="n">
        <v>2000</v>
      </c>
      <c r="CG9" s="11" t="n">
        <v>2000</v>
      </c>
      <c r="CH9" s="10" t="n"/>
      <c r="CI9" s="10" t="n">
        <v>2000</v>
      </c>
      <c r="CJ9" s="10" t="n">
        <v>2000</v>
      </c>
      <c r="CK9" s="11" t="n"/>
      <c r="CL9" s="11" t="n">
        <v>2000</v>
      </c>
      <c r="CM9" s="11" t="n">
        <v>2000</v>
      </c>
      <c r="CN9" s="10" t="n"/>
      <c r="CO9" s="10" t="n">
        <v>2000</v>
      </c>
      <c r="CP9" s="10" t="n">
        <v>2000</v>
      </c>
      <c r="CQ9" s="11" t="n"/>
      <c r="CR9" s="11" t="n">
        <v>2000</v>
      </c>
      <c r="CS9" s="11" t="n">
        <v>2000</v>
      </c>
      <c r="CT9" s="10" t="n"/>
      <c r="CU9" s="10" t="n">
        <v>2000</v>
      </c>
      <c r="CV9" s="10" t="n">
        <v>2000</v>
      </c>
      <c r="CW9" s="11" t="n"/>
      <c r="CX9" s="11" t="n">
        <v>2000</v>
      </c>
      <c r="CY9" s="11" t="n">
        <v>2000</v>
      </c>
      <c r="CZ9" s="10" t="n"/>
      <c r="DA9" s="10" t="n">
        <v>2000</v>
      </c>
      <c r="DB9" s="10" t="n">
        <v>2000</v>
      </c>
      <c r="DC9" s="11" t="n"/>
      <c r="DD9" s="11" t="n">
        <v>2000</v>
      </c>
      <c r="DE9" s="11" t="n">
        <v>2000</v>
      </c>
      <c r="DF9" s="10" t="n"/>
      <c r="DG9" s="10" t="n">
        <v>2000</v>
      </c>
      <c r="DH9" s="10" t="n">
        <v>2000</v>
      </c>
      <c r="DI9" s="11" t="n">
        <v>2000</v>
      </c>
      <c r="DJ9" s="11" t="n">
        <v>2000</v>
      </c>
      <c r="DK9" s="11" t="n">
        <v>2000</v>
      </c>
      <c r="DL9" s="10" t="n">
        <v>2000</v>
      </c>
      <c r="DM9" s="10" t="n">
        <v>2000</v>
      </c>
      <c r="DN9" s="10" t="n">
        <v>2000</v>
      </c>
    </row>
    <row r="10">
      <c r="A10" s="2" t="inlineStr">
        <is>
          <t>Payroll Taxes and Benefits</t>
        </is>
      </c>
      <c r="B10" s="10">
        <f>IF(COUNT(AR10,AO10,AL10,AI10,AF10,AC10,Z10,W10,T10,Q10,N10,K10)=0,"",SUM(AR10,AO10,AL10,AI10,AF10,AC10,Z10,W10,T10,Q10,N10,K10))</f>
        <v/>
      </c>
      <c r="C10" s="10">
        <f>IF(COUNT(AS10,AP10,AM10,AJ10,AG10,AD10,AA10,X10,U10,R10,O10,L10)=0,"",SUM(AS10,AP10,AM10,AJ10,AG10,AD10,AA10,X10,U10,R10,O10,L10))</f>
        <v/>
      </c>
      <c r="D10" s="10">
        <f>IF(COUNT(AT10,AQ10,AN10,AK10,AH10,AE10,AB10,Y10,V10,S10,P10,M10)=0,"",SUM(AT10,AQ10,AN10,AK10,AH10,AE10,AB10,Y10,V10,S10,P10,M10))</f>
        <v/>
      </c>
      <c r="E10" s="11">
        <f>IF(COUNT(CB10,BY10,BV10,BS10,BP10,BM10,BJ10,BG10,BD10,BA10,AX10,AU10)=0,"",SUM(CB10,BY10,BV10,BS10,BP10,BM10,BJ10,BG10,BD10,BA10,AX10,AU10))</f>
        <v/>
      </c>
      <c r="F10" s="11">
        <f>IF(COUNT(CC10,BZ10,BW10,BT10,BQ10,BN10,BK10,BH10,BE10,BB10,AY10,AV10)=0,"",SUM(CC10,BZ10,BW10,BT10,BQ10,BN10,BK10,BH10,BE10,BB10,AY10,AV10))</f>
        <v/>
      </c>
      <c r="G10" s="11">
        <f>IF(COUNT(CD10,CA10,BX10,BU10,BR10,BO10,BL10,BI10,BF10,BC10,AZ10,AW10)=0,"",SUM(CD10,CA10,BX10,BU10,BR10,BO10,BL10,BI10,BF10,BC10,AZ10,AW10))</f>
        <v/>
      </c>
      <c r="H10" s="10">
        <f>IF(COUNT(DL10,DI10,DF10,DC10,CZ10,CW10,CT10,CQ10,CN10,CK10,CH10,CE10)=0,"",SUM(DL10,DI10,DF10,DC10,CZ10,CW10,CT10,CQ10,CN10,CK10,CH10,CE10))</f>
        <v/>
      </c>
      <c r="I10" s="10">
        <f>IF(COUNT(DM10,DJ10,DG10,DD10,DA10,CX10,CU10,CR10,CO10,CL10,CI10,CF10)=0,"",SUM(DM10,DJ10,DG10,DD10,DA10,CX10,CU10,CR10,CO10,CL10,CI10,CF10))</f>
        <v/>
      </c>
      <c r="J10" s="10">
        <f>IF(COUNT(DN10,DK10,DH10,DE10,DB10,CY10,CV10,CS10,CP10,CM10,CJ10,CG10)=0,"",SUM(DN10,DK10,DH10,DE10,DB10,CY10,CV10,CS10,CP10,CM10,CJ10,CG10))</f>
        <v/>
      </c>
      <c r="K10" s="11">
        <f>IF(COUNT(K8)=1,K8*0.22,"")</f>
        <v/>
      </c>
      <c r="L10" s="11">
        <f>L8*0.22</f>
        <v/>
      </c>
      <c r="M10" s="11">
        <f>M8*0.22</f>
        <v/>
      </c>
      <c r="N10" s="10">
        <f>IF(COUNT(N8)=1,N8*0.22,"")</f>
        <v/>
      </c>
      <c r="O10" s="10">
        <f>O8*0.22</f>
        <v/>
      </c>
      <c r="P10" s="10">
        <f>P8*0.22</f>
        <v/>
      </c>
      <c r="Q10" s="11">
        <f>IF(COUNT(Q8)=1,Q8*0.22,"")</f>
        <v/>
      </c>
      <c r="R10" s="11">
        <f>R8*0.22</f>
        <v/>
      </c>
      <c r="S10" s="11">
        <f>S8*0.22</f>
        <v/>
      </c>
      <c r="T10" s="10">
        <f>IF(COUNT(T8)=1,T8*0.22,"")</f>
        <v/>
      </c>
      <c r="U10" s="10">
        <f>U8*0.22</f>
        <v/>
      </c>
      <c r="V10" s="10">
        <f>V8*0.22</f>
        <v/>
      </c>
      <c r="W10" s="11">
        <f>IF(COUNT(W8)=1,W8*0.22,"")</f>
        <v/>
      </c>
      <c r="X10" s="11">
        <f>X8*0.22</f>
        <v/>
      </c>
      <c r="Y10" s="11">
        <f>Y8*0.22</f>
        <v/>
      </c>
      <c r="Z10" s="10">
        <f>IF(COUNT(Z8)=1,Z8*0.22,"")</f>
        <v/>
      </c>
      <c r="AA10" s="10">
        <f>AA8*0.22</f>
        <v/>
      </c>
      <c r="AB10" s="10">
        <f>AB8*0.22</f>
        <v/>
      </c>
      <c r="AC10" s="11">
        <f>IF(COUNT(AC8)=1,AC8*0.22,"")</f>
        <v/>
      </c>
      <c r="AD10" s="11">
        <f>AD8*0.22</f>
        <v/>
      </c>
      <c r="AE10" s="11">
        <f>AE8*0.22</f>
        <v/>
      </c>
      <c r="AF10" s="10">
        <f>IF(COUNT(AF8)=1,AF8*0.22,"")</f>
        <v/>
      </c>
      <c r="AG10" s="10">
        <f>AG8*0.22</f>
        <v/>
      </c>
      <c r="AH10" s="10">
        <f>AH8*0.22</f>
        <v/>
      </c>
      <c r="AI10" s="11">
        <f>IF(COUNT(AI8)=1,AI8*0.22,"")</f>
        <v/>
      </c>
      <c r="AJ10" s="11">
        <f>AJ8*0.22</f>
        <v/>
      </c>
      <c r="AK10" s="11">
        <f>AK8*0.22</f>
        <v/>
      </c>
      <c r="AL10" s="10">
        <f>IF(COUNT(AL8)=1,AL8*0.22,"")</f>
        <v/>
      </c>
      <c r="AM10" s="10">
        <f>AM8*0.22</f>
        <v/>
      </c>
      <c r="AN10" s="10">
        <f>AN8*0.22</f>
        <v/>
      </c>
      <c r="AO10" s="11">
        <f>IF(COUNT(AO8)=1,AO8*0.22,"")</f>
        <v/>
      </c>
      <c r="AP10" s="11">
        <f>AP8*0.22</f>
        <v/>
      </c>
      <c r="AQ10" s="11">
        <f>AQ8*0.22</f>
        <v/>
      </c>
      <c r="AR10" s="10">
        <f>IF(COUNT(AR8)=1,AR8*0.22,"")</f>
        <v/>
      </c>
      <c r="AS10" s="10">
        <f>AS8*0.22</f>
        <v/>
      </c>
      <c r="AT10" s="10">
        <f>AT8*0.22</f>
        <v/>
      </c>
      <c r="AU10" s="11">
        <f>IF(COUNT(AU8)=1,AU8*0.22,"")</f>
        <v/>
      </c>
      <c r="AV10" s="11">
        <f>AV8*0.22</f>
        <v/>
      </c>
      <c r="AW10" s="11">
        <f>AW8*0.22</f>
        <v/>
      </c>
      <c r="AX10" s="10">
        <f>IF(COUNT(AX8)=1,AX8*0.22,"")</f>
        <v/>
      </c>
      <c r="AY10" s="10">
        <f>AY8*0.22</f>
        <v/>
      </c>
      <c r="AZ10" s="10">
        <f>AZ8*0.22</f>
        <v/>
      </c>
      <c r="BA10" s="11">
        <f>IF(COUNT(BA8)=1,BA8*0.22,"")</f>
        <v/>
      </c>
      <c r="BB10" s="11">
        <f>BB8*0.22</f>
        <v/>
      </c>
      <c r="BC10" s="11">
        <f>BC8*0.22</f>
        <v/>
      </c>
      <c r="BD10" s="10">
        <f>IF(COUNT(BD8)=1,BD8*0.22,"")</f>
        <v/>
      </c>
      <c r="BE10" s="10">
        <f>BE8*0.22</f>
        <v/>
      </c>
      <c r="BF10" s="10">
        <f>BF8*0.22</f>
        <v/>
      </c>
      <c r="BG10" s="11">
        <f>IF(COUNT(BG8)=1,BG8*0.22,"")</f>
        <v/>
      </c>
      <c r="BH10" s="11">
        <f>BH8*0.22</f>
        <v/>
      </c>
      <c r="BI10" s="11">
        <f>BI8*0.22</f>
        <v/>
      </c>
      <c r="BJ10" s="10">
        <f>IF(COUNT(BJ8)=1,BJ8*0.22,"")</f>
        <v/>
      </c>
      <c r="BK10" s="10">
        <f>BK8*0.22</f>
        <v/>
      </c>
      <c r="BL10" s="10">
        <f>BL8*0.22</f>
        <v/>
      </c>
      <c r="BM10" s="11">
        <f>IF(COUNT(BM8)=1,BM8*0.22,"")</f>
        <v/>
      </c>
      <c r="BN10" s="11">
        <f>BN8*0.22</f>
        <v/>
      </c>
      <c r="BO10" s="11">
        <f>BO8*0.22</f>
        <v/>
      </c>
      <c r="BP10" s="10">
        <f>IF(COUNT(BP8)=1,BP8*0.22,"")</f>
        <v/>
      </c>
      <c r="BQ10" s="10">
        <f>BQ8*0.22</f>
        <v/>
      </c>
      <c r="BR10" s="10">
        <f>BR8*0.22</f>
        <v/>
      </c>
      <c r="BS10" s="11">
        <f>IF(COUNT(BS8)=1,BS8*0.22,"")</f>
        <v/>
      </c>
      <c r="BT10" s="11">
        <f>BT8*0.22</f>
        <v/>
      </c>
      <c r="BU10" s="11">
        <f>BU8*0.22</f>
        <v/>
      </c>
      <c r="BV10" s="10">
        <f>IF(COUNT(BV8)=1,BV8*0.22,"")</f>
        <v/>
      </c>
      <c r="BW10" s="10">
        <f>BW8*0.22</f>
        <v/>
      </c>
      <c r="BX10" s="10">
        <f>BX8*0.22</f>
        <v/>
      </c>
      <c r="BY10" s="11">
        <f>IF(COUNT(BY8)=1,BY8*0.22,"")</f>
        <v/>
      </c>
      <c r="BZ10" s="11">
        <f>BZ8*0.22</f>
        <v/>
      </c>
      <c r="CA10" s="11">
        <f>CA8*0.22</f>
        <v/>
      </c>
      <c r="CB10" s="10">
        <f>IF(COUNT(CB8)=1,CB8*0.22,"")</f>
        <v/>
      </c>
      <c r="CC10" s="10">
        <f>CC8*0.22</f>
        <v/>
      </c>
      <c r="CD10" s="10">
        <f>CD8*0.22</f>
        <v/>
      </c>
      <c r="CE10" s="11">
        <f>IF(COUNT(CE8)=1,CE8*0.22,"")</f>
        <v/>
      </c>
      <c r="CF10" s="11">
        <f>CF8*0.22</f>
        <v/>
      </c>
      <c r="CG10" s="11">
        <f>CG8*0.22</f>
        <v/>
      </c>
      <c r="CH10" s="10">
        <f>IF(COUNT(CH8)=1,CH8*0.22,"")</f>
        <v/>
      </c>
      <c r="CI10" s="10">
        <f>CI8*0.22</f>
        <v/>
      </c>
      <c r="CJ10" s="10">
        <f>CJ8*0.22</f>
        <v/>
      </c>
      <c r="CK10" s="11">
        <f>IF(COUNT(CK8)=1,CK8*0.22,"")</f>
        <v/>
      </c>
      <c r="CL10" s="11">
        <f>CL8*0.22</f>
        <v/>
      </c>
      <c r="CM10" s="11">
        <f>CM8*0.22</f>
        <v/>
      </c>
      <c r="CN10" s="10">
        <f>IF(COUNT(CN8)=1,CN8*0.22,"")</f>
        <v/>
      </c>
      <c r="CO10" s="10">
        <f>CO8*0.22</f>
        <v/>
      </c>
      <c r="CP10" s="10">
        <f>CP8*0.22</f>
        <v/>
      </c>
      <c r="CQ10" s="11">
        <f>IF(COUNT(CQ8)=1,CQ8*0.22,"")</f>
        <v/>
      </c>
      <c r="CR10" s="11">
        <f>CR8*0.22</f>
        <v/>
      </c>
      <c r="CS10" s="11">
        <f>CS8*0.22</f>
        <v/>
      </c>
      <c r="CT10" s="10">
        <f>IF(COUNT(CT8)=1,CT8*0.22,"")</f>
        <v/>
      </c>
      <c r="CU10" s="10">
        <f>CU8*0.22</f>
        <v/>
      </c>
      <c r="CV10" s="10">
        <f>CV8*0.22</f>
        <v/>
      </c>
      <c r="CW10" s="11">
        <f>IF(COUNT(CW8)=1,CW8*0.22,"")</f>
        <v/>
      </c>
      <c r="CX10" s="11">
        <f>CX8*0.22</f>
        <v/>
      </c>
      <c r="CY10" s="11">
        <f>CY8*0.22</f>
        <v/>
      </c>
      <c r="CZ10" s="10">
        <f>IF(COUNT(CZ8)=1,CZ8*0.22,"")</f>
        <v/>
      </c>
      <c r="DA10" s="10">
        <f>DA8*0.22</f>
        <v/>
      </c>
      <c r="DB10" s="10">
        <f>DB8*0.22</f>
        <v/>
      </c>
      <c r="DC10" s="11">
        <f>IF(COUNT(DC8)=1,DC8*0.22,"")</f>
        <v/>
      </c>
      <c r="DD10" s="11">
        <f>DD8*0.22</f>
        <v/>
      </c>
      <c r="DE10" s="11">
        <f>DE8*0.22</f>
        <v/>
      </c>
      <c r="DF10" s="10">
        <f>IF(COUNT(DF8)=1,DF8*0.22,"")</f>
        <v/>
      </c>
      <c r="DG10" s="10">
        <f>DG8*0.22</f>
        <v/>
      </c>
      <c r="DH10" s="10">
        <f>DH8*0.22</f>
        <v/>
      </c>
      <c r="DI10" s="11">
        <f>IF(COUNT(DI8)=1,DI8*0.22,"")</f>
        <v/>
      </c>
      <c r="DJ10" s="11">
        <f>DJ8*0.22</f>
        <v/>
      </c>
      <c r="DK10" s="11">
        <f>DK8*0.22</f>
        <v/>
      </c>
      <c r="DL10" s="10">
        <f>IF(COUNT(DL8)=1,DL8*0.22,"")</f>
        <v/>
      </c>
      <c r="DM10" s="10">
        <f>DM8*0.22</f>
        <v/>
      </c>
      <c r="DN10" s="10">
        <f>DN8*0.22</f>
        <v/>
      </c>
    </row>
    <row r="11">
      <c r="A11" s="2" t="inlineStr">
        <is>
          <t>Contractors and Freelancers</t>
        </is>
      </c>
      <c r="B11" s="10">
        <f>IF(COUNT(AR11,AO11,AL11,AI11,AF11,AC11,Z11,W11,T11,Q11,N11,K11)=0,"",SUM(AR11,AO11,AL11,AI11,AF11,AC11,Z11,W11,T11,Q11,N11,K11))</f>
        <v/>
      </c>
      <c r="C11" s="10">
        <f>IF(COUNT(AS11,AP11,AM11,AJ11,AG11,AD11,AA11,X11,U11,R11,O11,L11)=0,"",SUM(AS11,AP11,AM11,AJ11,AG11,AD11,AA11,X11,U11,R11,O11,L11))</f>
        <v/>
      </c>
      <c r="D11" s="10">
        <f>IF(COUNT(AT11,AQ11,AN11,AK11,AH11,AE11,AB11,Y11,V11,S11,P11,M11)=0,"",SUM(AT11,AQ11,AN11,AK11,AH11,AE11,AB11,Y11,V11,S11,P11,M11))</f>
        <v/>
      </c>
      <c r="E11" s="11">
        <f>IF(COUNT(CB11,BY11,BV11,BS11,BP11,BM11,BJ11,BG11,BD11,BA11,AX11,AU11)=0,"",SUM(CB11,BY11,BV11,BS11,BP11,BM11,BJ11,BG11,BD11,BA11,AX11,AU11))</f>
        <v/>
      </c>
      <c r="F11" s="11">
        <f>IF(COUNT(CC11,BZ11,BW11,BT11,BQ11,BN11,BK11,BH11,BE11,BB11,AY11,AV11)=0,"",SUM(CC11,BZ11,BW11,BT11,BQ11,BN11,BK11,BH11,BE11,BB11,AY11,AV11))</f>
        <v/>
      </c>
      <c r="G11" s="11">
        <f>IF(COUNT(CD11,CA11,BX11,BU11,BR11,BO11,BL11,BI11,BF11,BC11,AZ11,AW11)=0,"",SUM(CD11,CA11,BX11,BU11,BR11,BO11,BL11,BI11,BF11,BC11,AZ11,AW11))</f>
        <v/>
      </c>
      <c r="H11" s="10">
        <f>IF(COUNT(DL11,DI11,DF11,DC11,CZ11,CW11,CT11,CQ11,CN11,CK11,CH11,CE11)=0,"",SUM(DL11,DI11,DF11,DC11,CZ11,CW11,CT11,CQ11,CN11,CK11,CH11,CE11))</f>
        <v/>
      </c>
      <c r="I11" s="10">
        <f>IF(COUNT(DM11,DJ11,DG11,DD11,DA11,CX11,CU11,CR11,CO11,CL11,CI11,CF11)=0,"",SUM(DM11,DJ11,DG11,DD11,DA11,CX11,CU11,CR11,CO11,CL11,CI11,CF11))</f>
        <v/>
      </c>
      <c r="J11" s="10">
        <f>IF(COUNT(DN11,DK11,DH11,DE11,DB11,CY11,CV11,CS11,CP11,CM11,CJ11,CG11)=0,"",SUM(DN11,DK11,DH11,DE11,DB11,CY11,CV11,CS11,CP11,CM11,CJ11,CG11))</f>
        <v/>
      </c>
      <c r="K11" s="11" t="n"/>
      <c r="L11" s="11" t="n">
        <v>3000</v>
      </c>
      <c r="M11" s="11" t="n">
        <v>3000</v>
      </c>
      <c r="N11" s="10" t="n"/>
      <c r="O11" s="10" t="n">
        <v>3000</v>
      </c>
      <c r="P11" s="10" t="n">
        <v>3000</v>
      </c>
      <c r="Q11" s="11" t="n"/>
      <c r="R11" s="11" t="n">
        <v>3000</v>
      </c>
      <c r="S11" s="11" t="n">
        <v>3000</v>
      </c>
      <c r="T11" s="10" t="n"/>
      <c r="U11" s="10" t="n">
        <v>3000</v>
      </c>
      <c r="V11" s="10" t="n">
        <v>3000</v>
      </c>
      <c r="W11" s="11" t="n"/>
      <c r="X11" s="11" t="n">
        <v>3000</v>
      </c>
      <c r="Y11" s="11" t="n">
        <v>3000</v>
      </c>
      <c r="Z11" s="10" t="n"/>
      <c r="AA11" s="10" t="n">
        <v>3000</v>
      </c>
      <c r="AB11" s="10" t="n">
        <v>3000</v>
      </c>
      <c r="AC11" s="11" t="n"/>
      <c r="AD11" s="11" t="n">
        <v>3000</v>
      </c>
      <c r="AE11" s="11" t="n">
        <v>3000</v>
      </c>
      <c r="AF11" s="10" t="n"/>
      <c r="AG11" s="10" t="n">
        <v>3000</v>
      </c>
      <c r="AH11" s="10" t="n">
        <v>3000</v>
      </c>
      <c r="AI11" s="11" t="n"/>
      <c r="AJ11" s="11" t="n">
        <v>3000</v>
      </c>
      <c r="AK11" s="11" t="n">
        <v>3000</v>
      </c>
      <c r="AL11" s="10" t="n"/>
      <c r="AM11" s="10" t="n">
        <v>3000</v>
      </c>
      <c r="AN11" s="10" t="n">
        <v>3000</v>
      </c>
      <c r="AO11" s="11" t="n"/>
      <c r="AP11" s="11" t="n">
        <v>3000</v>
      </c>
      <c r="AQ11" s="11" t="n">
        <v>3000</v>
      </c>
      <c r="AR11" s="10" t="n"/>
      <c r="AS11" s="10" t="n">
        <v>3000</v>
      </c>
      <c r="AT11" s="10" t="n">
        <v>3000</v>
      </c>
      <c r="AU11" s="11" t="n"/>
      <c r="AV11" s="11" t="n">
        <v>3000</v>
      </c>
      <c r="AW11" s="11" t="n">
        <v>3000</v>
      </c>
      <c r="AX11" s="10" t="n"/>
      <c r="AY11" s="10" t="n">
        <v>3000</v>
      </c>
      <c r="AZ11" s="10" t="n">
        <v>3000</v>
      </c>
      <c r="BA11" s="11" t="n"/>
      <c r="BB11" s="11" t="n">
        <v>3000</v>
      </c>
      <c r="BC11" s="11" t="n">
        <v>3000</v>
      </c>
      <c r="BD11" s="10" t="n"/>
      <c r="BE11" s="10" t="n">
        <v>3000</v>
      </c>
      <c r="BF11" s="10" t="n">
        <v>3000</v>
      </c>
      <c r="BG11" s="11" t="n"/>
      <c r="BH11" s="11" t="n">
        <v>3000</v>
      </c>
      <c r="BI11" s="11" t="n">
        <v>3000</v>
      </c>
      <c r="BJ11" s="10" t="n"/>
      <c r="BK11" s="10" t="n">
        <v>3000</v>
      </c>
      <c r="BL11" s="10" t="n">
        <v>3000</v>
      </c>
      <c r="BM11" s="11" t="n"/>
      <c r="BN11" s="11" t="n">
        <v>3000</v>
      </c>
      <c r="BO11" s="11" t="n">
        <v>3000</v>
      </c>
      <c r="BP11" s="10" t="n"/>
      <c r="BQ11" s="10" t="n">
        <v>3000</v>
      </c>
      <c r="BR11" s="10" t="n">
        <v>3000</v>
      </c>
      <c r="BS11" s="11" t="n"/>
      <c r="BT11" s="11" t="n">
        <v>3000</v>
      </c>
      <c r="BU11" s="11" t="n">
        <v>3000</v>
      </c>
      <c r="BV11" s="10" t="n"/>
      <c r="BW11" s="10" t="n">
        <v>3000</v>
      </c>
      <c r="BX11" s="10" t="n">
        <v>3000</v>
      </c>
      <c r="BY11" s="11" t="n"/>
      <c r="BZ11" s="11" t="n">
        <v>3000</v>
      </c>
      <c r="CA11" s="11" t="n">
        <v>3000</v>
      </c>
      <c r="CB11" s="10" t="n"/>
      <c r="CC11" s="10" t="n">
        <v>3000</v>
      </c>
      <c r="CD11" s="10" t="n">
        <v>3000</v>
      </c>
      <c r="CE11" s="11" t="n"/>
      <c r="CF11" s="11" t="n">
        <v>3000</v>
      </c>
      <c r="CG11" s="11" t="n">
        <v>3000</v>
      </c>
      <c r="CH11" s="10" t="n"/>
      <c r="CI11" s="10" t="n">
        <v>3000</v>
      </c>
      <c r="CJ11" s="10" t="n">
        <v>3000</v>
      </c>
      <c r="CK11" s="11" t="n"/>
      <c r="CL11" s="11" t="n">
        <v>3000</v>
      </c>
      <c r="CM11" s="11" t="n">
        <v>3000</v>
      </c>
      <c r="CN11" s="10" t="n"/>
      <c r="CO11" s="10" t="n">
        <v>3000</v>
      </c>
      <c r="CP11" s="10" t="n">
        <v>3000</v>
      </c>
      <c r="CQ11" s="11" t="n"/>
      <c r="CR11" s="11" t="n">
        <v>3000</v>
      </c>
      <c r="CS11" s="11" t="n">
        <v>3000</v>
      </c>
      <c r="CT11" s="10" t="n"/>
      <c r="CU11" s="10" t="n">
        <v>3000</v>
      </c>
      <c r="CV11" s="10" t="n">
        <v>3000</v>
      </c>
      <c r="CW11" s="11" t="n"/>
      <c r="CX11" s="11" t="n">
        <v>3000</v>
      </c>
      <c r="CY11" s="11" t="n">
        <v>3000</v>
      </c>
      <c r="CZ11" s="10" t="n"/>
      <c r="DA11" s="10" t="n">
        <v>3000</v>
      </c>
      <c r="DB11" s="10" t="n">
        <v>3000</v>
      </c>
      <c r="DC11" s="11" t="n"/>
      <c r="DD11" s="11" t="n">
        <v>3000</v>
      </c>
      <c r="DE11" s="11" t="n">
        <v>3000</v>
      </c>
      <c r="DF11" s="10" t="n"/>
      <c r="DG11" s="10" t="n">
        <v>3000</v>
      </c>
      <c r="DH11" s="10" t="n">
        <v>3000</v>
      </c>
      <c r="DI11" s="11" t="n">
        <v>3000</v>
      </c>
      <c r="DJ11" s="11" t="n">
        <v>3000</v>
      </c>
      <c r="DK11" s="11" t="n">
        <v>3000</v>
      </c>
      <c r="DL11" s="10" t="n">
        <v>3000</v>
      </c>
      <c r="DM11" s="10" t="n">
        <v>3000</v>
      </c>
      <c r="DN11" s="10" t="n">
        <v>3000</v>
      </c>
    </row>
    <row r="12">
      <c r="A12" s="2" t="inlineStr">
        <is>
          <t>Recruiting</t>
        </is>
      </c>
      <c r="B12" s="10">
        <f>IF(COUNT(AR12,AO12,AL12,AI12,AF12,AC12,Z12,W12,T12,Q12,N12,K12)=0,"",SUM(AR12,AO12,AL12,AI12,AF12,AC12,Z12,W12,T12,Q12,N12,K12))</f>
        <v/>
      </c>
      <c r="C12" s="10">
        <f>IF(COUNT(AS12,AP12,AM12,AJ12,AG12,AD12,AA12,X12,U12,R12,O12,L12)=0,"",SUM(AS12,AP12,AM12,AJ12,AG12,AD12,AA12,X12,U12,R12,O12,L12))</f>
        <v/>
      </c>
      <c r="D12" s="10">
        <f>IF(COUNT(AT12,AQ12,AN12,AK12,AH12,AE12,AB12,Y12,V12,S12,P12,M12)=0,"",SUM(AT12,AQ12,AN12,AK12,AH12,AE12,AB12,Y12,V12,S12,P12,M12))</f>
        <v/>
      </c>
      <c r="E12" s="11">
        <f>IF(COUNT(CB12,BY12,BV12,BS12,BP12,BM12,BJ12,BG12,BD12,BA12,AX12,AU12)=0,"",SUM(CB12,BY12,BV12,BS12,BP12,BM12,BJ12,BG12,BD12,BA12,AX12,AU12))</f>
        <v/>
      </c>
      <c r="F12" s="11">
        <f>IF(COUNT(CC12,BZ12,BW12,BT12,BQ12,BN12,BK12,BH12,BE12,BB12,AY12,AV12)=0,"",SUM(CC12,BZ12,BW12,BT12,BQ12,BN12,BK12,BH12,BE12,BB12,AY12,AV12))</f>
        <v/>
      </c>
      <c r="G12" s="11">
        <f>IF(COUNT(CD12,CA12,BX12,BU12,BR12,BO12,BL12,BI12,BF12,BC12,AZ12,AW12)=0,"",SUM(CD12,CA12,BX12,BU12,BR12,BO12,BL12,BI12,BF12,BC12,AZ12,AW12))</f>
        <v/>
      </c>
      <c r="H12" s="10">
        <f>IF(COUNT(DL12,DI12,DF12,DC12,CZ12,CW12,CT12,CQ12,CN12,CK12,CH12,CE12)=0,"",SUM(DL12,DI12,DF12,DC12,CZ12,CW12,CT12,CQ12,CN12,CK12,CH12,CE12))</f>
        <v/>
      </c>
      <c r="I12" s="10">
        <f>IF(COUNT(DM12,DJ12,DG12,DD12,DA12,CX12,CU12,CR12,CO12,CL12,CI12,CF12)=0,"",SUM(DM12,DJ12,DG12,DD12,DA12,CX12,CU12,CR12,CO12,CL12,CI12,CF12))</f>
        <v/>
      </c>
      <c r="J12" s="10">
        <f>IF(COUNT(DN12,DK12,DH12,DE12,DB12,CY12,CV12,CS12,CP12,CM12,CJ12,CG12)=0,"",SUM(DN12,DK12,DH12,DE12,DB12,CY12,CV12,CS12,CP12,CM12,CJ12,CG12))</f>
        <v/>
      </c>
      <c r="K12" s="11" t="n"/>
      <c r="L12" s="11" t="n">
        <v>500</v>
      </c>
      <c r="M12" s="11" t="n">
        <v>500</v>
      </c>
      <c r="N12" s="10" t="n"/>
      <c r="O12" s="10" t="n">
        <v>500</v>
      </c>
      <c r="P12" s="10" t="n">
        <v>500</v>
      </c>
      <c r="Q12" s="11" t="n"/>
      <c r="R12" s="11" t="n">
        <v>500</v>
      </c>
      <c r="S12" s="11" t="n">
        <v>500</v>
      </c>
      <c r="T12" s="10" t="n"/>
      <c r="U12" s="10" t="n">
        <v>500</v>
      </c>
      <c r="V12" s="10" t="n">
        <v>500</v>
      </c>
      <c r="W12" s="11" t="n"/>
      <c r="X12" s="11" t="n">
        <v>500</v>
      </c>
      <c r="Y12" s="11" t="n">
        <v>500</v>
      </c>
      <c r="Z12" s="10" t="n"/>
      <c r="AA12" s="10" t="n">
        <v>500</v>
      </c>
      <c r="AB12" s="10" t="n">
        <v>500</v>
      </c>
      <c r="AC12" s="11" t="n"/>
      <c r="AD12" s="11" t="n">
        <v>500</v>
      </c>
      <c r="AE12" s="11" t="n">
        <v>500</v>
      </c>
      <c r="AF12" s="10" t="n"/>
      <c r="AG12" s="10" t="n">
        <v>500</v>
      </c>
      <c r="AH12" s="10" t="n">
        <v>500</v>
      </c>
      <c r="AI12" s="11" t="n"/>
      <c r="AJ12" s="11" t="n">
        <v>500</v>
      </c>
      <c r="AK12" s="11" t="n">
        <v>500</v>
      </c>
      <c r="AL12" s="10" t="n"/>
      <c r="AM12" s="10" t="n">
        <v>500</v>
      </c>
      <c r="AN12" s="10" t="n">
        <v>500</v>
      </c>
      <c r="AO12" s="11" t="n"/>
      <c r="AP12" s="11" t="n">
        <v>500</v>
      </c>
      <c r="AQ12" s="11" t="n">
        <v>500</v>
      </c>
      <c r="AR12" s="10" t="n"/>
      <c r="AS12" s="10" t="n">
        <v>500</v>
      </c>
      <c r="AT12" s="10" t="n">
        <v>500</v>
      </c>
      <c r="AU12" s="11" t="n"/>
      <c r="AV12" s="11" t="n">
        <v>500</v>
      </c>
      <c r="AW12" s="11" t="n">
        <v>500</v>
      </c>
      <c r="AX12" s="10" t="n"/>
      <c r="AY12" s="10" t="n">
        <v>500</v>
      </c>
      <c r="AZ12" s="10" t="n">
        <v>500</v>
      </c>
      <c r="BA12" s="11" t="n"/>
      <c r="BB12" s="11" t="n">
        <v>500</v>
      </c>
      <c r="BC12" s="11" t="n">
        <v>500</v>
      </c>
      <c r="BD12" s="10" t="n"/>
      <c r="BE12" s="10" t="n">
        <v>500</v>
      </c>
      <c r="BF12" s="10" t="n">
        <v>500</v>
      </c>
      <c r="BG12" s="11" t="n"/>
      <c r="BH12" s="11" t="n">
        <v>500</v>
      </c>
      <c r="BI12" s="11" t="n">
        <v>500</v>
      </c>
      <c r="BJ12" s="10" t="n"/>
      <c r="BK12" s="10" t="n">
        <v>500</v>
      </c>
      <c r="BL12" s="10" t="n">
        <v>500</v>
      </c>
      <c r="BM12" s="11" t="n"/>
      <c r="BN12" s="11" t="n">
        <v>500</v>
      </c>
      <c r="BO12" s="11" t="n">
        <v>500</v>
      </c>
      <c r="BP12" s="10" t="n"/>
      <c r="BQ12" s="10" t="n">
        <v>500</v>
      </c>
      <c r="BR12" s="10" t="n">
        <v>500</v>
      </c>
      <c r="BS12" s="11" t="n"/>
      <c r="BT12" s="11" t="n">
        <v>500</v>
      </c>
      <c r="BU12" s="11" t="n">
        <v>500</v>
      </c>
      <c r="BV12" s="10" t="n"/>
      <c r="BW12" s="10" t="n">
        <v>500</v>
      </c>
      <c r="BX12" s="10" t="n">
        <v>500</v>
      </c>
      <c r="BY12" s="11" t="n"/>
      <c r="BZ12" s="11" t="n">
        <v>500</v>
      </c>
      <c r="CA12" s="11" t="n">
        <v>500</v>
      </c>
      <c r="CB12" s="10" t="n"/>
      <c r="CC12" s="10" t="n">
        <v>500</v>
      </c>
      <c r="CD12" s="10" t="n">
        <v>500</v>
      </c>
      <c r="CE12" s="11" t="n"/>
      <c r="CF12" s="11" t="n">
        <v>500</v>
      </c>
      <c r="CG12" s="11" t="n">
        <v>500</v>
      </c>
      <c r="CH12" s="10" t="n"/>
      <c r="CI12" s="10" t="n">
        <v>500</v>
      </c>
      <c r="CJ12" s="10" t="n">
        <v>500</v>
      </c>
      <c r="CK12" s="11" t="n"/>
      <c r="CL12" s="11" t="n">
        <v>500</v>
      </c>
      <c r="CM12" s="11" t="n">
        <v>500</v>
      </c>
      <c r="CN12" s="10" t="n"/>
      <c r="CO12" s="10" t="n">
        <v>500</v>
      </c>
      <c r="CP12" s="10" t="n">
        <v>500</v>
      </c>
      <c r="CQ12" s="11" t="n"/>
      <c r="CR12" s="11" t="n">
        <v>500</v>
      </c>
      <c r="CS12" s="11" t="n">
        <v>500</v>
      </c>
      <c r="CT12" s="10" t="n"/>
      <c r="CU12" s="10" t="n">
        <v>500</v>
      </c>
      <c r="CV12" s="10" t="n">
        <v>500</v>
      </c>
      <c r="CW12" s="11" t="n"/>
      <c r="CX12" s="11" t="n">
        <v>500</v>
      </c>
      <c r="CY12" s="11" t="n">
        <v>500</v>
      </c>
      <c r="CZ12" s="10" t="n"/>
      <c r="DA12" s="10" t="n">
        <v>500</v>
      </c>
      <c r="DB12" s="10" t="n">
        <v>500</v>
      </c>
      <c r="DC12" s="11" t="n"/>
      <c r="DD12" s="11" t="n">
        <v>500</v>
      </c>
      <c r="DE12" s="11" t="n">
        <v>500</v>
      </c>
      <c r="DF12" s="10" t="n"/>
      <c r="DG12" s="10" t="n">
        <v>500</v>
      </c>
      <c r="DH12" s="10" t="n">
        <v>500</v>
      </c>
      <c r="DI12" s="11" t="n">
        <v>500</v>
      </c>
      <c r="DJ12" s="11" t="n">
        <v>500</v>
      </c>
      <c r="DK12" s="11" t="n">
        <v>500</v>
      </c>
      <c r="DL12" s="10" t="n">
        <v>500</v>
      </c>
      <c r="DM12" s="10" t="n">
        <v>500</v>
      </c>
      <c r="DN12" s="10" t="n">
        <v>500</v>
      </c>
    </row>
    <row r="13">
      <c r="A13" s="2" t="inlineStr">
        <is>
          <t>Training and Development</t>
        </is>
      </c>
      <c r="B13" s="10">
        <f>IF(COUNT(AR13,AO13,AL13,AI13,AF13,AC13,Z13,W13,T13,Q13,N13,K13)=0,"",SUM(AR13,AO13,AL13,AI13,AF13,AC13,Z13,W13,T13,Q13,N13,K13))</f>
        <v/>
      </c>
      <c r="C13" s="10">
        <f>IF(COUNT(AS13,AP13,AM13,AJ13,AG13,AD13,AA13,X13,U13,R13,O13,L13)=0,"",SUM(AS13,AP13,AM13,AJ13,AG13,AD13,AA13,X13,U13,R13,O13,L13))</f>
        <v/>
      </c>
      <c r="D13" s="10">
        <f>IF(COUNT(AT13,AQ13,AN13,AK13,AH13,AE13,AB13,Y13,V13,S13,P13,M13)=0,"",SUM(AT13,AQ13,AN13,AK13,AH13,AE13,AB13,Y13,V13,S13,P13,M13))</f>
        <v/>
      </c>
      <c r="E13" s="11">
        <f>IF(COUNT(CB13,BY13,BV13,BS13,BP13,BM13,BJ13,BG13,BD13,BA13,AX13,AU13)=0,"",SUM(CB13,BY13,BV13,BS13,BP13,BM13,BJ13,BG13,BD13,BA13,AX13,AU13))</f>
        <v/>
      </c>
      <c r="F13" s="11">
        <f>IF(COUNT(CC13,BZ13,BW13,BT13,BQ13,BN13,BK13,BH13,BE13,BB13,AY13,AV13)=0,"",SUM(CC13,BZ13,BW13,BT13,BQ13,BN13,BK13,BH13,BE13,BB13,AY13,AV13))</f>
        <v/>
      </c>
      <c r="G13" s="11">
        <f>IF(COUNT(CD13,CA13,BX13,BU13,BR13,BO13,BL13,BI13,BF13,BC13,AZ13,AW13)=0,"",SUM(CD13,CA13,BX13,BU13,BR13,BO13,BL13,BI13,BF13,BC13,AZ13,AW13))</f>
        <v/>
      </c>
      <c r="H13" s="10">
        <f>IF(COUNT(DL13,DI13,DF13,DC13,CZ13,CW13,CT13,CQ13,CN13,CK13,CH13,CE13)=0,"",SUM(DL13,DI13,DF13,DC13,CZ13,CW13,CT13,CQ13,CN13,CK13,CH13,CE13))</f>
        <v/>
      </c>
      <c r="I13" s="10">
        <f>IF(COUNT(DM13,DJ13,DG13,DD13,DA13,CX13,CU13,CR13,CO13,CL13,CI13,CF13)=0,"",SUM(DM13,DJ13,DG13,DD13,DA13,CX13,CU13,CR13,CO13,CL13,CI13,CF13))</f>
        <v/>
      </c>
      <c r="J13" s="10">
        <f>IF(COUNT(DN13,DK13,DH13,DE13,DB13,CY13,CV13,CS13,CP13,CM13,CJ13,CG13)=0,"",SUM(DN13,DK13,DH13,DE13,DB13,CY13,CV13,CS13,CP13,CM13,CJ13,CG13))</f>
        <v/>
      </c>
      <c r="K13" s="11" t="n"/>
      <c r="L13" s="11" t="n">
        <v>500</v>
      </c>
      <c r="M13" s="11" t="n">
        <v>500</v>
      </c>
      <c r="N13" s="10" t="n"/>
      <c r="O13" s="10" t="n">
        <v>500</v>
      </c>
      <c r="P13" s="10" t="n">
        <v>500</v>
      </c>
      <c r="Q13" s="11" t="n"/>
      <c r="R13" s="11" t="n">
        <v>500</v>
      </c>
      <c r="S13" s="11" t="n">
        <v>500</v>
      </c>
      <c r="T13" s="10" t="n"/>
      <c r="U13" s="10" t="n">
        <v>500</v>
      </c>
      <c r="V13" s="10" t="n">
        <v>500</v>
      </c>
      <c r="W13" s="11" t="n"/>
      <c r="X13" s="11" t="n">
        <v>500</v>
      </c>
      <c r="Y13" s="11" t="n">
        <v>500</v>
      </c>
      <c r="Z13" s="10" t="n"/>
      <c r="AA13" s="10" t="n">
        <v>500</v>
      </c>
      <c r="AB13" s="10" t="n">
        <v>500</v>
      </c>
      <c r="AC13" s="11" t="n"/>
      <c r="AD13" s="11" t="n">
        <v>500</v>
      </c>
      <c r="AE13" s="11" t="n">
        <v>500</v>
      </c>
      <c r="AF13" s="10" t="n"/>
      <c r="AG13" s="10" t="n">
        <v>500</v>
      </c>
      <c r="AH13" s="10" t="n">
        <v>500</v>
      </c>
      <c r="AI13" s="11" t="n"/>
      <c r="AJ13" s="11" t="n">
        <v>500</v>
      </c>
      <c r="AK13" s="11" t="n">
        <v>500</v>
      </c>
      <c r="AL13" s="10" t="n"/>
      <c r="AM13" s="10" t="n">
        <v>500</v>
      </c>
      <c r="AN13" s="10" t="n">
        <v>500</v>
      </c>
      <c r="AO13" s="11" t="n"/>
      <c r="AP13" s="11" t="n">
        <v>500</v>
      </c>
      <c r="AQ13" s="11" t="n">
        <v>500</v>
      </c>
      <c r="AR13" s="10" t="n"/>
      <c r="AS13" s="10" t="n">
        <v>500</v>
      </c>
      <c r="AT13" s="10" t="n">
        <v>500</v>
      </c>
      <c r="AU13" s="11" t="n"/>
      <c r="AV13" s="11" t="n">
        <v>500</v>
      </c>
      <c r="AW13" s="11" t="n">
        <v>500</v>
      </c>
      <c r="AX13" s="10" t="n"/>
      <c r="AY13" s="10" t="n">
        <v>500</v>
      </c>
      <c r="AZ13" s="10" t="n">
        <v>500</v>
      </c>
      <c r="BA13" s="11" t="n"/>
      <c r="BB13" s="11" t="n">
        <v>500</v>
      </c>
      <c r="BC13" s="11" t="n">
        <v>500</v>
      </c>
      <c r="BD13" s="10" t="n"/>
      <c r="BE13" s="10" t="n">
        <v>500</v>
      </c>
      <c r="BF13" s="10" t="n">
        <v>500</v>
      </c>
      <c r="BG13" s="11" t="n"/>
      <c r="BH13" s="11" t="n">
        <v>500</v>
      </c>
      <c r="BI13" s="11" t="n">
        <v>500</v>
      </c>
      <c r="BJ13" s="10" t="n"/>
      <c r="BK13" s="10" t="n">
        <v>500</v>
      </c>
      <c r="BL13" s="10" t="n">
        <v>500</v>
      </c>
      <c r="BM13" s="11" t="n"/>
      <c r="BN13" s="11" t="n">
        <v>500</v>
      </c>
      <c r="BO13" s="11" t="n">
        <v>500</v>
      </c>
      <c r="BP13" s="10" t="n"/>
      <c r="BQ13" s="10" t="n">
        <v>500</v>
      </c>
      <c r="BR13" s="10" t="n">
        <v>500</v>
      </c>
      <c r="BS13" s="11" t="n"/>
      <c r="BT13" s="11" t="n">
        <v>500</v>
      </c>
      <c r="BU13" s="11" t="n">
        <v>500</v>
      </c>
      <c r="BV13" s="10" t="n"/>
      <c r="BW13" s="10" t="n">
        <v>500</v>
      </c>
      <c r="BX13" s="10" t="n">
        <v>500</v>
      </c>
      <c r="BY13" s="11" t="n"/>
      <c r="BZ13" s="11" t="n">
        <v>500</v>
      </c>
      <c r="CA13" s="11" t="n">
        <v>500</v>
      </c>
      <c r="CB13" s="10" t="n"/>
      <c r="CC13" s="10" t="n">
        <v>500</v>
      </c>
      <c r="CD13" s="10" t="n">
        <v>500</v>
      </c>
      <c r="CE13" s="11" t="n"/>
      <c r="CF13" s="11" t="n">
        <v>500</v>
      </c>
      <c r="CG13" s="11" t="n">
        <v>500</v>
      </c>
      <c r="CH13" s="10" t="n"/>
      <c r="CI13" s="10" t="n">
        <v>500</v>
      </c>
      <c r="CJ13" s="10" t="n">
        <v>500</v>
      </c>
      <c r="CK13" s="11" t="n"/>
      <c r="CL13" s="11" t="n">
        <v>500</v>
      </c>
      <c r="CM13" s="11" t="n">
        <v>500</v>
      </c>
      <c r="CN13" s="10" t="n"/>
      <c r="CO13" s="10" t="n">
        <v>500</v>
      </c>
      <c r="CP13" s="10" t="n">
        <v>500</v>
      </c>
      <c r="CQ13" s="11" t="n"/>
      <c r="CR13" s="11" t="n">
        <v>500</v>
      </c>
      <c r="CS13" s="11" t="n">
        <v>500</v>
      </c>
      <c r="CT13" s="10" t="n"/>
      <c r="CU13" s="10" t="n">
        <v>500</v>
      </c>
      <c r="CV13" s="10" t="n">
        <v>500</v>
      </c>
      <c r="CW13" s="11" t="n"/>
      <c r="CX13" s="11" t="n">
        <v>500</v>
      </c>
      <c r="CY13" s="11" t="n">
        <v>500</v>
      </c>
      <c r="CZ13" s="10" t="n"/>
      <c r="DA13" s="10" t="n">
        <v>500</v>
      </c>
      <c r="DB13" s="10" t="n">
        <v>500</v>
      </c>
      <c r="DC13" s="11" t="n"/>
      <c r="DD13" s="11" t="n">
        <v>500</v>
      </c>
      <c r="DE13" s="11" t="n">
        <v>500</v>
      </c>
      <c r="DF13" s="10" t="n"/>
      <c r="DG13" s="10" t="n">
        <v>500</v>
      </c>
      <c r="DH13" s="10" t="n">
        <v>500</v>
      </c>
      <c r="DI13" s="11" t="n">
        <v>500</v>
      </c>
      <c r="DJ13" s="11" t="n">
        <v>500</v>
      </c>
      <c r="DK13" s="11" t="n">
        <v>500</v>
      </c>
      <c r="DL13" s="10" t="n">
        <v>500</v>
      </c>
      <c r="DM13" s="10" t="n">
        <v>500</v>
      </c>
      <c r="DN13" s="10" t="n">
        <v>500</v>
      </c>
    </row>
    <row r="14">
      <c r="A14" s="2" t="inlineStr">
        <is>
          <t>Software Subscriptions</t>
        </is>
      </c>
      <c r="B14" s="10">
        <f>IF(COUNT(AR14,AO14,AL14,AI14,AF14,AC14,Z14,W14,T14,Q14,N14,K14)=0,"",SUM(AR14,AO14,AL14,AI14,AF14,AC14,Z14,W14,T14,Q14,N14,K14))</f>
        <v/>
      </c>
      <c r="C14" s="10">
        <f>IF(COUNT(AS14,AP14,AM14,AJ14,AG14,AD14,AA14,X14,U14,R14,O14,L14)=0,"",SUM(AS14,AP14,AM14,AJ14,AG14,AD14,AA14,X14,U14,R14,O14,L14))</f>
        <v/>
      </c>
      <c r="D14" s="10">
        <f>IF(COUNT(AT14,AQ14,AN14,AK14,AH14,AE14,AB14,Y14,V14,S14,P14,M14)=0,"",SUM(AT14,AQ14,AN14,AK14,AH14,AE14,AB14,Y14,V14,S14,P14,M14))</f>
        <v/>
      </c>
      <c r="E14" s="11">
        <f>IF(COUNT(CB14,BY14,BV14,BS14,BP14,BM14,BJ14,BG14,BD14,BA14,AX14,AU14)=0,"",SUM(CB14,BY14,BV14,BS14,BP14,BM14,BJ14,BG14,BD14,BA14,AX14,AU14))</f>
        <v/>
      </c>
      <c r="F14" s="11">
        <f>IF(COUNT(CC14,BZ14,BW14,BT14,BQ14,BN14,BK14,BH14,BE14,BB14,AY14,AV14)=0,"",SUM(CC14,BZ14,BW14,BT14,BQ14,BN14,BK14,BH14,BE14,BB14,AY14,AV14))</f>
        <v/>
      </c>
      <c r="G14" s="11">
        <f>IF(COUNT(CD14,CA14,BX14,BU14,BR14,BO14,BL14,BI14,BF14,BC14,AZ14,AW14)=0,"",SUM(CD14,CA14,BX14,BU14,BR14,BO14,BL14,BI14,BF14,BC14,AZ14,AW14))</f>
        <v/>
      </c>
      <c r="H14" s="10">
        <f>IF(COUNT(DL14,DI14,DF14,DC14,CZ14,CW14,CT14,CQ14,CN14,CK14,CH14,CE14)=0,"",SUM(DL14,DI14,DF14,DC14,CZ14,CW14,CT14,CQ14,CN14,CK14,CH14,CE14))</f>
        <v/>
      </c>
      <c r="I14" s="10">
        <f>IF(COUNT(DM14,DJ14,DG14,DD14,DA14,CX14,CU14,CR14,CO14,CL14,CI14,CF14)=0,"",SUM(DM14,DJ14,DG14,DD14,DA14,CX14,CU14,CR14,CO14,CL14,CI14,CF14))</f>
        <v/>
      </c>
      <c r="J14" s="10">
        <f>IF(COUNT(DN14,DK14,DH14,DE14,DB14,CY14,CV14,CS14,CP14,CM14,CJ14,CG14)=0,"",SUM(DN14,DK14,DH14,DE14,DB14,CY14,CV14,CS14,CP14,CM14,CJ14,CG14))</f>
        <v/>
      </c>
      <c r="K14" s="11" t="n"/>
      <c r="L14" s="11" t="n">
        <v>4000</v>
      </c>
      <c r="M14" s="11" t="n">
        <v>4000</v>
      </c>
      <c r="N14" s="10" t="n"/>
      <c r="O14" s="10" t="n">
        <v>4000</v>
      </c>
      <c r="P14" s="10" t="n">
        <v>4000</v>
      </c>
      <c r="Q14" s="11" t="n"/>
      <c r="R14" s="11" t="n">
        <v>4000</v>
      </c>
      <c r="S14" s="11" t="n">
        <v>4000</v>
      </c>
      <c r="T14" s="10" t="n"/>
      <c r="U14" s="10" t="n">
        <v>4000</v>
      </c>
      <c r="V14" s="10" t="n">
        <v>4000</v>
      </c>
      <c r="W14" s="11" t="n"/>
      <c r="X14" s="11" t="n">
        <v>4000</v>
      </c>
      <c r="Y14" s="11" t="n">
        <v>4000</v>
      </c>
      <c r="Z14" s="10" t="n"/>
      <c r="AA14" s="10" t="n">
        <v>4000</v>
      </c>
      <c r="AB14" s="10" t="n">
        <v>4000</v>
      </c>
      <c r="AC14" s="11" t="n"/>
      <c r="AD14" s="11" t="n">
        <v>4000</v>
      </c>
      <c r="AE14" s="11" t="n">
        <v>4000</v>
      </c>
      <c r="AF14" s="10" t="n"/>
      <c r="AG14" s="10" t="n">
        <v>4000</v>
      </c>
      <c r="AH14" s="10" t="n">
        <v>4000</v>
      </c>
      <c r="AI14" s="11" t="n"/>
      <c r="AJ14" s="11" t="n">
        <v>4000</v>
      </c>
      <c r="AK14" s="11" t="n">
        <v>4000</v>
      </c>
      <c r="AL14" s="10" t="n"/>
      <c r="AM14" s="10" t="n">
        <v>4000</v>
      </c>
      <c r="AN14" s="10" t="n">
        <v>4000</v>
      </c>
      <c r="AO14" s="11" t="n"/>
      <c r="AP14" s="11" t="n">
        <v>4000</v>
      </c>
      <c r="AQ14" s="11" t="n">
        <v>4000</v>
      </c>
      <c r="AR14" s="10" t="n"/>
      <c r="AS14" s="10" t="n">
        <v>4000</v>
      </c>
      <c r="AT14" s="10" t="n">
        <v>4000</v>
      </c>
      <c r="AU14" s="11" t="n"/>
      <c r="AV14" s="11" t="n">
        <v>4000</v>
      </c>
      <c r="AW14" s="11" t="n">
        <v>4000</v>
      </c>
      <c r="AX14" s="10" t="n"/>
      <c r="AY14" s="10" t="n">
        <v>4000</v>
      </c>
      <c r="AZ14" s="10" t="n">
        <v>4000</v>
      </c>
      <c r="BA14" s="11" t="n"/>
      <c r="BB14" s="11" t="n">
        <v>4000</v>
      </c>
      <c r="BC14" s="11" t="n">
        <v>4000</v>
      </c>
      <c r="BD14" s="10" t="n"/>
      <c r="BE14" s="10" t="n">
        <v>4000</v>
      </c>
      <c r="BF14" s="10" t="n">
        <v>4000</v>
      </c>
      <c r="BG14" s="11" t="n"/>
      <c r="BH14" s="11" t="n">
        <v>4000</v>
      </c>
      <c r="BI14" s="11" t="n">
        <v>4000</v>
      </c>
      <c r="BJ14" s="10" t="n"/>
      <c r="BK14" s="10" t="n">
        <v>4000</v>
      </c>
      <c r="BL14" s="10" t="n">
        <v>4000</v>
      </c>
      <c r="BM14" s="11" t="n"/>
      <c r="BN14" s="11" t="n">
        <v>4000</v>
      </c>
      <c r="BO14" s="11" t="n">
        <v>4000</v>
      </c>
      <c r="BP14" s="10" t="n"/>
      <c r="BQ14" s="10" t="n">
        <v>4000</v>
      </c>
      <c r="BR14" s="10" t="n">
        <v>4000</v>
      </c>
      <c r="BS14" s="11" t="n"/>
      <c r="BT14" s="11" t="n">
        <v>4000</v>
      </c>
      <c r="BU14" s="11" t="n">
        <v>4000</v>
      </c>
      <c r="BV14" s="10" t="n"/>
      <c r="BW14" s="10" t="n">
        <v>4000</v>
      </c>
      <c r="BX14" s="10" t="n">
        <v>4000</v>
      </c>
      <c r="BY14" s="11" t="n"/>
      <c r="BZ14" s="11" t="n">
        <v>4000</v>
      </c>
      <c r="CA14" s="11" t="n">
        <v>4000</v>
      </c>
      <c r="CB14" s="10" t="n"/>
      <c r="CC14" s="10" t="n">
        <v>4000</v>
      </c>
      <c r="CD14" s="10" t="n">
        <v>4000</v>
      </c>
      <c r="CE14" s="11" t="n"/>
      <c r="CF14" s="11" t="n">
        <v>4000</v>
      </c>
      <c r="CG14" s="11" t="n">
        <v>4000</v>
      </c>
      <c r="CH14" s="10" t="n"/>
      <c r="CI14" s="10" t="n">
        <v>4000</v>
      </c>
      <c r="CJ14" s="10" t="n">
        <v>4000</v>
      </c>
      <c r="CK14" s="11" t="n"/>
      <c r="CL14" s="11" t="n">
        <v>4000</v>
      </c>
      <c r="CM14" s="11" t="n">
        <v>4000</v>
      </c>
      <c r="CN14" s="10" t="n"/>
      <c r="CO14" s="10" t="n">
        <v>4000</v>
      </c>
      <c r="CP14" s="10" t="n">
        <v>4000</v>
      </c>
      <c r="CQ14" s="11" t="n"/>
      <c r="CR14" s="11" t="n">
        <v>4000</v>
      </c>
      <c r="CS14" s="11" t="n">
        <v>4000</v>
      </c>
      <c r="CT14" s="10" t="n"/>
      <c r="CU14" s="10" t="n">
        <v>4000</v>
      </c>
      <c r="CV14" s="10" t="n">
        <v>4000</v>
      </c>
      <c r="CW14" s="11" t="n"/>
      <c r="CX14" s="11" t="n">
        <v>4000</v>
      </c>
      <c r="CY14" s="11" t="n">
        <v>4000</v>
      </c>
      <c r="CZ14" s="10" t="n"/>
      <c r="DA14" s="10" t="n">
        <v>4000</v>
      </c>
      <c r="DB14" s="10" t="n">
        <v>4000</v>
      </c>
      <c r="DC14" s="11" t="n"/>
      <c r="DD14" s="11" t="n">
        <v>4000</v>
      </c>
      <c r="DE14" s="11" t="n">
        <v>4000</v>
      </c>
      <c r="DF14" s="10" t="n"/>
      <c r="DG14" s="10" t="n">
        <v>4000</v>
      </c>
      <c r="DH14" s="10" t="n">
        <v>4000</v>
      </c>
      <c r="DI14" s="11" t="n">
        <v>4000</v>
      </c>
      <c r="DJ14" s="11" t="n">
        <v>4000</v>
      </c>
      <c r="DK14" s="11" t="n">
        <v>4000</v>
      </c>
      <c r="DL14" s="10" t="n">
        <v>4000</v>
      </c>
      <c r="DM14" s="10" t="n">
        <v>4000</v>
      </c>
      <c r="DN14" s="10" t="n">
        <v>4000</v>
      </c>
    </row>
    <row r="15">
      <c r="A15" s="2" t="inlineStr">
        <is>
          <t>Dues and Subscriptions</t>
        </is>
      </c>
      <c r="B15" s="10">
        <f>IF(COUNT(AR15,AO15,AL15,AI15,AF15,AC15,Z15,W15,T15,Q15,N15,K15)=0,"",SUM(AR15,AO15,AL15,AI15,AF15,AC15,Z15,W15,T15,Q15,N15,K15))</f>
        <v/>
      </c>
      <c r="C15" s="10">
        <f>IF(COUNT(AS15,AP15,AM15,AJ15,AG15,AD15,AA15,X15,U15,R15,O15,L15)=0,"",SUM(AS15,AP15,AM15,AJ15,AG15,AD15,AA15,X15,U15,R15,O15,L15))</f>
        <v/>
      </c>
      <c r="D15" s="10">
        <f>IF(COUNT(AT15,AQ15,AN15,AK15,AH15,AE15,AB15,Y15,V15,S15,P15,M15)=0,"",SUM(AT15,AQ15,AN15,AK15,AH15,AE15,AB15,Y15,V15,S15,P15,M15))</f>
        <v/>
      </c>
      <c r="E15" s="11">
        <f>IF(COUNT(CB15,BY15,BV15,BS15,BP15,BM15,BJ15,BG15,BD15,BA15,AX15,AU15)=0,"",SUM(CB15,BY15,BV15,BS15,BP15,BM15,BJ15,BG15,BD15,BA15,AX15,AU15))</f>
        <v/>
      </c>
      <c r="F15" s="11">
        <f>IF(COUNT(CC15,BZ15,BW15,BT15,BQ15,BN15,BK15,BH15,BE15,BB15,AY15,AV15)=0,"",SUM(CC15,BZ15,BW15,BT15,BQ15,BN15,BK15,BH15,BE15,BB15,AY15,AV15))</f>
        <v/>
      </c>
      <c r="G15" s="11">
        <f>IF(COUNT(CD15,CA15,BX15,BU15,BR15,BO15,BL15,BI15,BF15,BC15,AZ15,AW15)=0,"",SUM(CD15,CA15,BX15,BU15,BR15,BO15,BL15,BI15,BF15,BC15,AZ15,AW15))</f>
        <v/>
      </c>
      <c r="H15" s="10">
        <f>IF(COUNT(DL15,DI15,DF15,DC15,CZ15,CW15,CT15,CQ15,CN15,CK15,CH15,CE15)=0,"",SUM(DL15,DI15,DF15,DC15,CZ15,CW15,CT15,CQ15,CN15,CK15,CH15,CE15))</f>
        <v/>
      </c>
      <c r="I15" s="10">
        <f>IF(COUNT(DM15,DJ15,DG15,DD15,DA15,CX15,CU15,CR15,CO15,CL15,CI15,CF15)=0,"",SUM(DM15,DJ15,DG15,DD15,DA15,CX15,CU15,CR15,CO15,CL15,CI15,CF15))</f>
        <v/>
      </c>
      <c r="J15" s="10">
        <f>IF(COUNT(DN15,DK15,DH15,DE15,DB15,CY15,CV15,CS15,CP15,CM15,CJ15,CG15)=0,"",SUM(DN15,DK15,DH15,DE15,DB15,CY15,CV15,CS15,CP15,CM15,CJ15,CG15))</f>
        <v/>
      </c>
      <c r="K15" s="11" t="n"/>
      <c r="L15" s="11" t="n">
        <v>1000</v>
      </c>
      <c r="M15" s="11" t="n">
        <v>1000</v>
      </c>
      <c r="N15" s="10" t="n"/>
      <c r="O15" s="10" t="n">
        <v>1000</v>
      </c>
      <c r="P15" s="10" t="n">
        <v>1000</v>
      </c>
      <c r="Q15" s="11" t="n"/>
      <c r="R15" s="11" t="n">
        <v>1000</v>
      </c>
      <c r="S15" s="11" t="n">
        <v>1000</v>
      </c>
      <c r="T15" s="10" t="n"/>
      <c r="U15" s="10" t="n">
        <v>1000</v>
      </c>
      <c r="V15" s="10" t="n">
        <v>1000</v>
      </c>
      <c r="W15" s="11" t="n"/>
      <c r="X15" s="11" t="n">
        <v>1000</v>
      </c>
      <c r="Y15" s="11" t="n">
        <v>1000</v>
      </c>
      <c r="Z15" s="10" t="n"/>
      <c r="AA15" s="10" t="n">
        <v>1000</v>
      </c>
      <c r="AB15" s="10" t="n">
        <v>1000</v>
      </c>
      <c r="AC15" s="11" t="n"/>
      <c r="AD15" s="11" t="n">
        <v>1000</v>
      </c>
      <c r="AE15" s="11" t="n">
        <v>1000</v>
      </c>
      <c r="AF15" s="10" t="n"/>
      <c r="AG15" s="10" t="n">
        <v>1000</v>
      </c>
      <c r="AH15" s="10" t="n">
        <v>1000</v>
      </c>
      <c r="AI15" s="11" t="n"/>
      <c r="AJ15" s="11" t="n">
        <v>1000</v>
      </c>
      <c r="AK15" s="11" t="n">
        <v>1000</v>
      </c>
      <c r="AL15" s="10" t="n"/>
      <c r="AM15" s="10" t="n">
        <v>1000</v>
      </c>
      <c r="AN15" s="10" t="n">
        <v>1000</v>
      </c>
      <c r="AO15" s="11" t="n"/>
      <c r="AP15" s="11" t="n">
        <v>1000</v>
      </c>
      <c r="AQ15" s="11" t="n">
        <v>1000</v>
      </c>
      <c r="AR15" s="10" t="n"/>
      <c r="AS15" s="10" t="n">
        <v>1000</v>
      </c>
      <c r="AT15" s="10" t="n">
        <v>1000</v>
      </c>
      <c r="AU15" s="11" t="n"/>
      <c r="AV15" s="11" t="n">
        <v>1000</v>
      </c>
      <c r="AW15" s="11" t="n">
        <v>1000</v>
      </c>
      <c r="AX15" s="10" t="n"/>
      <c r="AY15" s="10" t="n">
        <v>1000</v>
      </c>
      <c r="AZ15" s="10" t="n">
        <v>1000</v>
      </c>
      <c r="BA15" s="11" t="n"/>
      <c r="BB15" s="11" t="n">
        <v>1000</v>
      </c>
      <c r="BC15" s="11" t="n">
        <v>1000</v>
      </c>
      <c r="BD15" s="10" t="n"/>
      <c r="BE15" s="10" t="n">
        <v>1000</v>
      </c>
      <c r="BF15" s="10" t="n">
        <v>1000</v>
      </c>
      <c r="BG15" s="11" t="n"/>
      <c r="BH15" s="11" t="n">
        <v>1000</v>
      </c>
      <c r="BI15" s="11" t="n">
        <v>1000</v>
      </c>
      <c r="BJ15" s="10" t="n"/>
      <c r="BK15" s="10" t="n">
        <v>1000</v>
      </c>
      <c r="BL15" s="10" t="n">
        <v>1000</v>
      </c>
      <c r="BM15" s="11" t="n"/>
      <c r="BN15" s="11" t="n">
        <v>1000</v>
      </c>
      <c r="BO15" s="11" t="n">
        <v>1000</v>
      </c>
      <c r="BP15" s="10" t="n"/>
      <c r="BQ15" s="10" t="n">
        <v>1000</v>
      </c>
      <c r="BR15" s="10" t="n">
        <v>1000</v>
      </c>
      <c r="BS15" s="11" t="n"/>
      <c r="BT15" s="11" t="n">
        <v>1000</v>
      </c>
      <c r="BU15" s="11" t="n">
        <v>1000</v>
      </c>
      <c r="BV15" s="10" t="n"/>
      <c r="BW15" s="10" t="n">
        <v>1000</v>
      </c>
      <c r="BX15" s="10" t="n">
        <v>1000</v>
      </c>
      <c r="BY15" s="11" t="n"/>
      <c r="BZ15" s="11" t="n">
        <v>1000</v>
      </c>
      <c r="CA15" s="11" t="n">
        <v>1000</v>
      </c>
      <c r="CB15" s="10" t="n"/>
      <c r="CC15" s="10" t="n">
        <v>1000</v>
      </c>
      <c r="CD15" s="10" t="n">
        <v>1000</v>
      </c>
      <c r="CE15" s="11" t="n"/>
      <c r="CF15" s="11" t="n">
        <v>1000</v>
      </c>
      <c r="CG15" s="11" t="n">
        <v>1000</v>
      </c>
      <c r="CH15" s="10" t="n"/>
      <c r="CI15" s="10" t="n">
        <v>1000</v>
      </c>
      <c r="CJ15" s="10" t="n">
        <v>1000</v>
      </c>
      <c r="CK15" s="11" t="n"/>
      <c r="CL15" s="11" t="n">
        <v>1000</v>
      </c>
      <c r="CM15" s="11" t="n">
        <v>1000</v>
      </c>
      <c r="CN15" s="10" t="n"/>
      <c r="CO15" s="10" t="n">
        <v>1000</v>
      </c>
      <c r="CP15" s="10" t="n">
        <v>1000</v>
      </c>
      <c r="CQ15" s="11" t="n"/>
      <c r="CR15" s="11" t="n">
        <v>1000</v>
      </c>
      <c r="CS15" s="11" t="n">
        <v>1000</v>
      </c>
      <c r="CT15" s="10" t="n"/>
      <c r="CU15" s="10" t="n">
        <v>1000</v>
      </c>
      <c r="CV15" s="10" t="n">
        <v>1000</v>
      </c>
      <c r="CW15" s="11" t="n"/>
      <c r="CX15" s="11" t="n">
        <v>1000</v>
      </c>
      <c r="CY15" s="11" t="n">
        <v>1000</v>
      </c>
      <c r="CZ15" s="10" t="n"/>
      <c r="DA15" s="10" t="n">
        <v>1000</v>
      </c>
      <c r="DB15" s="10" t="n">
        <v>1000</v>
      </c>
      <c r="DC15" s="11" t="n"/>
      <c r="DD15" s="11" t="n">
        <v>1000</v>
      </c>
      <c r="DE15" s="11" t="n">
        <v>1000</v>
      </c>
      <c r="DF15" s="10" t="n"/>
      <c r="DG15" s="10" t="n">
        <v>1000</v>
      </c>
      <c r="DH15" s="10" t="n">
        <v>1000</v>
      </c>
      <c r="DI15" s="11" t="n">
        <v>1000</v>
      </c>
      <c r="DJ15" s="11" t="n">
        <v>1000</v>
      </c>
      <c r="DK15" s="11" t="n">
        <v>1000</v>
      </c>
      <c r="DL15" s="10" t="n">
        <v>1000</v>
      </c>
      <c r="DM15" s="10" t="n">
        <v>1000</v>
      </c>
      <c r="DN15" s="10" t="n">
        <v>1000</v>
      </c>
    </row>
    <row r="16">
      <c r="A16" s="2" t="inlineStr">
        <is>
          <t>Travel, Meals and Entertainment</t>
        </is>
      </c>
      <c r="B16" s="10">
        <f>IF(COUNT(AR16,AO16,AL16,AI16,AF16,AC16,Z16,W16,T16,Q16,N16,K16)=0,"",SUM(AR16,AO16,AL16,AI16,AF16,AC16,Z16,W16,T16,Q16,N16,K16))</f>
        <v/>
      </c>
      <c r="C16" s="10">
        <f>IF(COUNT(AS16,AP16,AM16,AJ16,AG16,AD16,AA16,X16,U16,R16,O16,L16)=0,"",SUM(AS16,AP16,AM16,AJ16,AG16,AD16,AA16,X16,U16,R16,O16,L16))</f>
        <v/>
      </c>
      <c r="D16" s="10">
        <f>IF(COUNT(AT16,AQ16,AN16,AK16,AH16,AE16,AB16,Y16,V16,S16,P16,M16)=0,"",SUM(AT16,AQ16,AN16,AK16,AH16,AE16,AB16,Y16,V16,S16,P16,M16))</f>
        <v/>
      </c>
      <c r="E16" s="11">
        <f>IF(COUNT(CB16,BY16,BV16,BS16,BP16,BM16,BJ16,BG16,BD16,BA16,AX16,AU16)=0,"",SUM(CB16,BY16,BV16,BS16,BP16,BM16,BJ16,BG16,BD16,BA16,AX16,AU16))</f>
        <v/>
      </c>
      <c r="F16" s="11">
        <f>IF(COUNT(CC16,BZ16,BW16,BT16,BQ16,BN16,BK16,BH16,BE16,BB16,AY16,AV16)=0,"",SUM(CC16,BZ16,BW16,BT16,BQ16,BN16,BK16,BH16,BE16,BB16,AY16,AV16))</f>
        <v/>
      </c>
      <c r="G16" s="11">
        <f>IF(COUNT(CD16,CA16,BX16,BU16,BR16,BO16,BL16,BI16,BF16,BC16,AZ16,AW16)=0,"",SUM(CD16,CA16,BX16,BU16,BR16,BO16,BL16,BI16,BF16,BC16,AZ16,AW16))</f>
        <v/>
      </c>
      <c r="H16" s="10">
        <f>IF(COUNT(DL16,DI16,DF16,DC16,CZ16,CW16,CT16,CQ16,CN16,CK16,CH16,CE16)=0,"",SUM(DL16,DI16,DF16,DC16,CZ16,CW16,CT16,CQ16,CN16,CK16,CH16,CE16))</f>
        <v/>
      </c>
      <c r="I16" s="10">
        <f>IF(COUNT(DM16,DJ16,DG16,DD16,DA16,CX16,CU16,CR16,CO16,CL16,CI16,CF16)=0,"",SUM(DM16,DJ16,DG16,DD16,DA16,CX16,CU16,CR16,CO16,CL16,CI16,CF16))</f>
        <v/>
      </c>
      <c r="J16" s="10">
        <f>IF(COUNT(DN16,DK16,DH16,DE16,DB16,CY16,CV16,CS16,CP16,CM16,CJ16,CG16)=0,"",SUM(DN16,DK16,DH16,DE16,DB16,CY16,CV16,CS16,CP16,CM16,CJ16,CG16))</f>
        <v/>
      </c>
      <c r="K16" s="11" t="n"/>
      <c r="L16" s="11" t="n">
        <v>2000</v>
      </c>
      <c r="M16" s="11" t="n">
        <v>2000</v>
      </c>
      <c r="N16" s="10" t="n"/>
      <c r="O16" s="10" t="n">
        <v>2000</v>
      </c>
      <c r="P16" s="10" t="n">
        <v>2000</v>
      </c>
      <c r="Q16" s="11" t="n"/>
      <c r="R16" s="11" t="n">
        <v>2000</v>
      </c>
      <c r="S16" s="11" t="n">
        <v>2000</v>
      </c>
      <c r="T16" s="10" t="n"/>
      <c r="U16" s="10" t="n">
        <v>2000</v>
      </c>
      <c r="V16" s="10" t="n">
        <v>2000</v>
      </c>
      <c r="W16" s="11" t="n"/>
      <c r="X16" s="11" t="n">
        <v>2000</v>
      </c>
      <c r="Y16" s="11" t="n">
        <v>2000</v>
      </c>
      <c r="Z16" s="10" t="n"/>
      <c r="AA16" s="10" t="n">
        <v>2000</v>
      </c>
      <c r="AB16" s="10" t="n">
        <v>2000</v>
      </c>
      <c r="AC16" s="11" t="n"/>
      <c r="AD16" s="11" t="n">
        <v>2000</v>
      </c>
      <c r="AE16" s="11" t="n">
        <v>2000</v>
      </c>
      <c r="AF16" s="10" t="n"/>
      <c r="AG16" s="10" t="n">
        <v>2000</v>
      </c>
      <c r="AH16" s="10" t="n">
        <v>2000</v>
      </c>
      <c r="AI16" s="11" t="n"/>
      <c r="AJ16" s="11" t="n">
        <v>2000</v>
      </c>
      <c r="AK16" s="11" t="n">
        <v>2000</v>
      </c>
      <c r="AL16" s="10" t="n"/>
      <c r="AM16" s="10" t="n">
        <v>2000</v>
      </c>
      <c r="AN16" s="10" t="n">
        <v>2000</v>
      </c>
      <c r="AO16" s="11" t="n"/>
      <c r="AP16" s="11" t="n">
        <v>2000</v>
      </c>
      <c r="AQ16" s="11" t="n">
        <v>2000</v>
      </c>
      <c r="AR16" s="10" t="n"/>
      <c r="AS16" s="10" t="n">
        <v>2000</v>
      </c>
      <c r="AT16" s="10" t="n">
        <v>2000</v>
      </c>
      <c r="AU16" s="11" t="n"/>
      <c r="AV16" s="11" t="n">
        <v>2000</v>
      </c>
      <c r="AW16" s="11" t="n">
        <v>2000</v>
      </c>
      <c r="AX16" s="10" t="n"/>
      <c r="AY16" s="10" t="n">
        <v>2000</v>
      </c>
      <c r="AZ16" s="10" t="n">
        <v>2000</v>
      </c>
      <c r="BA16" s="11" t="n"/>
      <c r="BB16" s="11" t="n">
        <v>2000</v>
      </c>
      <c r="BC16" s="11" t="n">
        <v>2000</v>
      </c>
      <c r="BD16" s="10" t="n"/>
      <c r="BE16" s="10" t="n">
        <v>2000</v>
      </c>
      <c r="BF16" s="10" t="n">
        <v>2000</v>
      </c>
      <c r="BG16" s="11" t="n"/>
      <c r="BH16" s="11" t="n">
        <v>2000</v>
      </c>
      <c r="BI16" s="11" t="n">
        <v>2000</v>
      </c>
      <c r="BJ16" s="10" t="n"/>
      <c r="BK16" s="10" t="n">
        <v>2000</v>
      </c>
      <c r="BL16" s="10" t="n">
        <v>2000</v>
      </c>
      <c r="BM16" s="11" t="n"/>
      <c r="BN16" s="11" t="n">
        <v>2000</v>
      </c>
      <c r="BO16" s="11" t="n">
        <v>2000</v>
      </c>
      <c r="BP16" s="10" t="n"/>
      <c r="BQ16" s="10" t="n">
        <v>2000</v>
      </c>
      <c r="BR16" s="10" t="n">
        <v>2000</v>
      </c>
      <c r="BS16" s="11" t="n"/>
      <c r="BT16" s="11" t="n">
        <v>2000</v>
      </c>
      <c r="BU16" s="11" t="n">
        <v>2000</v>
      </c>
      <c r="BV16" s="10" t="n"/>
      <c r="BW16" s="10" t="n">
        <v>2000</v>
      </c>
      <c r="BX16" s="10" t="n">
        <v>2000</v>
      </c>
      <c r="BY16" s="11" t="n"/>
      <c r="BZ16" s="11" t="n">
        <v>2000</v>
      </c>
      <c r="CA16" s="11" t="n">
        <v>2000</v>
      </c>
      <c r="CB16" s="10" t="n"/>
      <c r="CC16" s="10" t="n">
        <v>2000</v>
      </c>
      <c r="CD16" s="10" t="n">
        <v>2000</v>
      </c>
      <c r="CE16" s="11" t="n"/>
      <c r="CF16" s="11" t="n">
        <v>2000</v>
      </c>
      <c r="CG16" s="11" t="n">
        <v>2000</v>
      </c>
      <c r="CH16" s="10" t="n"/>
      <c r="CI16" s="10" t="n">
        <v>2000</v>
      </c>
      <c r="CJ16" s="10" t="n">
        <v>2000</v>
      </c>
      <c r="CK16" s="11" t="n"/>
      <c r="CL16" s="11" t="n">
        <v>2000</v>
      </c>
      <c r="CM16" s="11" t="n">
        <v>2000</v>
      </c>
      <c r="CN16" s="10" t="n"/>
      <c r="CO16" s="10" t="n">
        <v>2000</v>
      </c>
      <c r="CP16" s="10" t="n">
        <v>2000</v>
      </c>
      <c r="CQ16" s="11" t="n"/>
      <c r="CR16" s="11" t="n">
        <v>2000</v>
      </c>
      <c r="CS16" s="11" t="n">
        <v>2000</v>
      </c>
      <c r="CT16" s="10" t="n"/>
      <c r="CU16" s="10" t="n">
        <v>2000</v>
      </c>
      <c r="CV16" s="10" t="n">
        <v>2000</v>
      </c>
      <c r="CW16" s="11" t="n"/>
      <c r="CX16" s="11" t="n">
        <v>2000</v>
      </c>
      <c r="CY16" s="11" t="n">
        <v>2000</v>
      </c>
      <c r="CZ16" s="10" t="n"/>
      <c r="DA16" s="10" t="n">
        <v>2000</v>
      </c>
      <c r="DB16" s="10" t="n">
        <v>2000</v>
      </c>
      <c r="DC16" s="11" t="n"/>
      <c r="DD16" s="11" t="n">
        <v>2000</v>
      </c>
      <c r="DE16" s="11" t="n">
        <v>2000</v>
      </c>
      <c r="DF16" s="10" t="n"/>
      <c r="DG16" s="10" t="n">
        <v>2000</v>
      </c>
      <c r="DH16" s="10" t="n">
        <v>2000</v>
      </c>
      <c r="DI16" s="11" t="n">
        <v>2000</v>
      </c>
      <c r="DJ16" s="11" t="n">
        <v>2000</v>
      </c>
      <c r="DK16" s="11" t="n">
        <v>2000</v>
      </c>
      <c r="DL16" s="10" t="n">
        <v>2000</v>
      </c>
      <c r="DM16" s="10" t="n">
        <v>2000</v>
      </c>
      <c r="DN16" s="10" t="n">
        <v>2000</v>
      </c>
    </row>
    <row r="17">
      <c r="A17" s="12" t="inlineStr">
        <is>
          <t>Total Standard Department Cost</t>
        </is>
      </c>
      <c r="B17" s="13">
        <f>IF(COUNT(AR17,AO17,AL17,AI17,AF17,AC17,Z17,W17,T17,Q17,N17,K17)=0,"",SUM(AR17,AO17,AL17,AI17,AF17,AC17,Z17,W17,T17,Q17,N17,K17))</f>
        <v/>
      </c>
      <c r="C17" s="13">
        <f>IF(COUNT(AS17,AP17,AM17,AJ17,AG17,AD17,AA17,X17,U17,R17,O17,L17)=0,"",SUM(AS17,AP17,AM17,AJ17,AG17,AD17,AA17,X17,U17,R17,O17,L17))</f>
        <v/>
      </c>
      <c r="D17" s="13">
        <f>IF(COUNT(AT17,AQ17,AN17,AK17,AH17,AE17,AB17,Y17,V17,S17,P17,M17)=0,"",SUM(AT17,AQ17,AN17,AK17,AH17,AE17,AB17,Y17,V17,S17,P17,M17))</f>
        <v/>
      </c>
      <c r="E17" s="14">
        <f>IF(COUNT(CB17,BY17,BV17,BS17,BP17,BM17,BJ17,BG17,BD17,BA17,AX17,AU17)=0,"",SUM(CB17,BY17,BV17,BS17,BP17,BM17,BJ17,BG17,BD17,BA17,AX17,AU17))</f>
        <v/>
      </c>
      <c r="F17" s="14">
        <f>IF(COUNT(CC17,BZ17,BW17,BT17,BQ17,BN17,BK17,BH17,BE17,BB17,AY17,AV17)=0,"",SUM(CC17,BZ17,BW17,BT17,BQ17,BN17,BK17,BH17,BE17,BB17,AY17,AV17))</f>
        <v/>
      </c>
      <c r="G17" s="14">
        <f>IF(COUNT(CD17,CA17,BX17,BU17,BR17,BO17,BL17,BI17,BF17,BC17,AZ17,AW17)=0,"",SUM(CD17,CA17,BX17,BU17,BR17,BO17,BL17,BI17,BF17,BC17,AZ17,AW17))</f>
        <v/>
      </c>
      <c r="H17" s="13">
        <f>IF(COUNT(DL17,DI17,DF17,DC17,CZ17,CW17,CT17,CQ17,CN17,CK17,CH17,CE17)=0,"",SUM(DL17,DI17,DF17,DC17,CZ17,CW17,CT17,CQ17,CN17,CK17,CH17,CE17))</f>
        <v/>
      </c>
      <c r="I17" s="13">
        <f>IF(COUNT(DM17,DJ17,DG17,DD17,DA17,CX17,CU17,CR17,CO17,CL17,CI17,CF17)=0,"",SUM(DM17,DJ17,DG17,DD17,DA17,CX17,CU17,CR17,CO17,CL17,CI17,CF17))</f>
        <v/>
      </c>
      <c r="J17" s="13">
        <f>IF(COUNT(DN17,DK17,DH17,DE17,DB17,CY17,CV17,CS17,CP17,CM17,CJ17,CG17)=0,"",SUM(DN17,DK17,DH17,DE17,DB17,CY17,CV17,CS17,CP17,CM17,CJ17,CG17))</f>
        <v/>
      </c>
      <c r="K17" s="14">
        <f>IF(COUNT(K8,K9,K10,K11,K12,K13,K14,K15,K16)=0,"",SUM(K8:K16))</f>
        <v/>
      </c>
      <c r="L17" s="14">
        <f>SUM(L8:L16)</f>
        <v/>
      </c>
      <c r="M17" s="14">
        <f>SUM(M8:M16)</f>
        <v/>
      </c>
      <c r="N17" s="13">
        <f>IF(COUNT(N8,N9,N10,N11,N12,N13,N14,N15,N16)=0,"",SUM(N8:N16))</f>
        <v/>
      </c>
      <c r="O17" s="13">
        <f>SUM(O8:O16)</f>
        <v/>
      </c>
      <c r="P17" s="13">
        <f>SUM(P8:P16)</f>
        <v/>
      </c>
      <c r="Q17" s="14">
        <f>IF(COUNT(Q8,Q9,Q10,Q11,Q12,Q13,Q14,Q15,Q16)=0,"",SUM(Q8:Q16))</f>
        <v/>
      </c>
      <c r="R17" s="14">
        <f>SUM(R8:R16)</f>
        <v/>
      </c>
      <c r="S17" s="14">
        <f>SUM(S8:S16)</f>
        <v/>
      </c>
      <c r="T17" s="13">
        <f>IF(COUNT(T8,T9,T10,T11,T12,T13,T14,T15,T16)=0,"",SUM(T8:T16))</f>
        <v/>
      </c>
      <c r="U17" s="13">
        <f>SUM(U8:U16)</f>
        <v/>
      </c>
      <c r="V17" s="13">
        <f>SUM(V8:V16)</f>
        <v/>
      </c>
      <c r="W17" s="14">
        <f>IF(COUNT(W8,W9,W10,W11,W12,W13,W14,W15,W16)=0,"",SUM(W8:W16))</f>
        <v/>
      </c>
      <c r="X17" s="14">
        <f>SUM(X8:X16)</f>
        <v/>
      </c>
      <c r="Y17" s="14">
        <f>SUM(Y8:Y16)</f>
        <v/>
      </c>
      <c r="Z17" s="13">
        <f>IF(COUNT(Z8,Z9,Z10,Z11,Z12,Z13,Z14,Z15,Z16)=0,"",SUM(Z8:Z16))</f>
        <v/>
      </c>
      <c r="AA17" s="13">
        <f>SUM(AA8:AA16)</f>
        <v/>
      </c>
      <c r="AB17" s="13">
        <f>SUM(AB8:AB16)</f>
        <v/>
      </c>
      <c r="AC17" s="14">
        <f>IF(COUNT(AC8,AC9,AC10,AC11,AC12,AC13,AC14,AC15,AC16)=0,"",SUM(AC8:AC16))</f>
        <v/>
      </c>
      <c r="AD17" s="14">
        <f>SUM(AD8:AD16)</f>
        <v/>
      </c>
      <c r="AE17" s="14">
        <f>SUM(AE8:AE16)</f>
        <v/>
      </c>
      <c r="AF17" s="13">
        <f>IF(COUNT(AF8,AF9,AF10,AF11,AF12,AF13,AF14,AF15,AF16)=0,"",SUM(AF8:AF16))</f>
        <v/>
      </c>
      <c r="AG17" s="13">
        <f>SUM(AG8:AG16)</f>
        <v/>
      </c>
      <c r="AH17" s="13">
        <f>SUM(AH8:AH16)</f>
        <v/>
      </c>
      <c r="AI17" s="14">
        <f>IF(COUNT(AI8,AI9,AI10,AI11,AI12,AI13,AI14,AI15,AI16)=0,"",SUM(AI8:AI16))</f>
        <v/>
      </c>
      <c r="AJ17" s="14">
        <f>SUM(AJ8:AJ16)</f>
        <v/>
      </c>
      <c r="AK17" s="14">
        <f>SUM(AK8:AK16)</f>
        <v/>
      </c>
      <c r="AL17" s="13">
        <f>IF(COUNT(AL8,AL9,AL10,AL11,AL12,AL13,AL14,AL15,AL16)=0,"",SUM(AL8:AL16))</f>
        <v/>
      </c>
      <c r="AM17" s="13">
        <f>SUM(AM8:AM16)</f>
        <v/>
      </c>
      <c r="AN17" s="13">
        <f>SUM(AN8:AN16)</f>
        <v/>
      </c>
      <c r="AO17" s="14">
        <f>IF(COUNT(AO8,AO9,AO10,AO11,AO12,AO13,AO14,AO15,AO16)=0,"",SUM(AO8:AO16))</f>
        <v/>
      </c>
      <c r="AP17" s="14">
        <f>SUM(AP8:AP16)</f>
        <v/>
      </c>
      <c r="AQ17" s="14">
        <f>SUM(AQ8:AQ16)</f>
        <v/>
      </c>
      <c r="AR17" s="13">
        <f>IF(COUNT(AR8,AR9,AR10,AR11,AR12,AR13,AR14,AR15,AR16)=0,"",SUM(AR8:AR16))</f>
        <v/>
      </c>
      <c r="AS17" s="13">
        <f>SUM(AS8:AS16)</f>
        <v/>
      </c>
      <c r="AT17" s="13">
        <f>SUM(AT8:AT16)</f>
        <v/>
      </c>
      <c r="AU17" s="14">
        <f>IF(COUNT(AU8,AU9,AU10,AU11,AU12,AU13,AU14,AU15,AU16)=0,"",SUM(AU8:AU16))</f>
        <v/>
      </c>
      <c r="AV17" s="14">
        <f>SUM(AV8:AV16)</f>
        <v/>
      </c>
      <c r="AW17" s="14">
        <f>SUM(AW8:AW16)</f>
        <v/>
      </c>
      <c r="AX17" s="13">
        <f>IF(COUNT(AX8,AX9,AX10,AX11,AX12,AX13,AX14,AX15,AX16)=0,"",SUM(AX8:AX16))</f>
        <v/>
      </c>
      <c r="AY17" s="13">
        <f>SUM(AY8:AY16)</f>
        <v/>
      </c>
      <c r="AZ17" s="13">
        <f>SUM(AZ8:AZ16)</f>
        <v/>
      </c>
      <c r="BA17" s="14">
        <f>IF(COUNT(BA8,BA9,BA10,BA11,BA12,BA13,BA14,BA15,BA16)=0,"",SUM(BA8:BA16))</f>
        <v/>
      </c>
      <c r="BB17" s="14">
        <f>SUM(BB8:BB16)</f>
        <v/>
      </c>
      <c r="BC17" s="14">
        <f>SUM(BC8:BC16)</f>
        <v/>
      </c>
      <c r="BD17" s="13">
        <f>IF(COUNT(BD8,BD9,BD10,BD11,BD12,BD13,BD14,BD15,BD16)=0,"",SUM(BD8:BD16))</f>
        <v/>
      </c>
      <c r="BE17" s="13">
        <f>SUM(BE8:BE16)</f>
        <v/>
      </c>
      <c r="BF17" s="13">
        <f>SUM(BF8:BF16)</f>
        <v/>
      </c>
      <c r="BG17" s="14">
        <f>IF(COUNT(BG8,BG9,BG10,BG11,BG12,BG13,BG14,BG15,BG16)=0,"",SUM(BG8:BG16))</f>
        <v/>
      </c>
      <c r="BH17" s="14">
        <f>SUM(BH8:BH16)</f>
        <v/>
      </c>
      <c r="BI17" s="14">
        <f>SUM(BI8:BI16)</f>
        <v/>
      </c>
      <c r="BJ17" s="13">
        <f>IF(COUNT(BJ8,BJ9,BJ10,BJ11,BJ12,BJ13,BJ14,BJ15,BJ16)=0,"",SUM(BJ8:BJ16))</f>
        <v/>
      </c>
      <c r="BK17" s="13">
        <f>SUM(BK8:BK16)</f>
        <v/>
      </c>
      <c r="BL17" s="13">
        <f>SUM(BL8:BL16)</f>
        <v/>
      </c>
      <c r="BM17" s="14">
        <f>IF(COUNT(BM8,BM9,BM10,BM11,BM12,BM13,BM14,BM15,BM16)=0,"",SUM(BM8:BM16))</f>
        <v/>
      </c>
      <c r="BN17" s="14">
        <f>SUM(BN8:BN16)</f>
        <v/>
      </c>
      <c r="BO17" s="14">
        <f>SUM(BO8:BO16)</f>
        <v/>
      </c>
      <c r="BP17" s="13">
        <f>IF(COUNT(BP8,BP9,BP10,BP11,BP12,BP13,BP14,BP15,BP16)=0,"",SUM(BP8:BP16))</f>
        <v/>
      </c>
      <c r="BQ17" s="13">
        <f>SUM(BQ8:BQ16)</f>
        <v/>
      </c>
      <c r="BR17" s="13">
        <f>SUM(BR8:BR16)</f>
        <v/>
      </c>
      <c r="BS17" s="14">
        <f>IF(COUNT(BS8,BS9,BS10,BS11,BS12,BS13,BS14,BS15,BS16)=0,"",SUM(BS8:BS16))</f>
        <v/>
      </c>
      <c r="BT17" s="14">
        <f>SUM(BT8:BT16)</f>
        <v/>
      </c>
      <c r="BU17" s="14">
        <f>SUM(BU8:BU16)</f>
        <v/>
      </c>
      <c r="BV17" s="13">
        <f>IF(COUNT(BV8,BV9,BV10,BV11,BV12,BV13,BV14,BV15,BV16)=0,"",SUM(BV8:BV16))</f>
        <v/>
      </c>
      <c r="BW17" s="13">
        <f>SUM(BW8:BW16)</f>
        <v/>
      </c>
      <c r="BX17" s="13">
        <f>SUM(BX8:BX16)</f>
        <v/>
      </c>
      <c r="BY17" s="14">
        <f>IF(COUNT(BY8,BY9,BY10,BY11,BY12,BY13,BY14,BY15,BY16)=0,"",SUM(BY8:BY16))</f>
        <v/>
      </c>
      <c r="BZ17" s="14">
        <f>SUM(BZ8:BZ16)</f>
        <v/>
      </c>
      <c r="CA17" s="14">
        <f>SUM(CA8:CA16)</f>
        <v/>
      </c>
      <c r="CB17" s="13">
        <f>IF(COUNT(CB8,CB9,CB10,CB11,CB12,CB13,CB14,CB15,CB16)=0,"",SUM(CB8:CB16))</f>
        <v/>
      </c>
      <c r="CC17" s="13">
        <f>SUM(CC8:CC16)</f>
        <v/>
      </c>
      <c r="CD17" s="13">
        <f>SUM(CD8:CD16)</f>
        <v/>
      </c>
      <c r="CE17" s="14">
        <f>IF(COUNT(CE8,CE9,CE10,CE11,CE12,CE13,CE14,CE15,CE16)=0,"",SUM(CE8:CE16))</f>
        <v/>
      </c>
      <c r="CF17" s="14">
        <f>SUM(CF8:CF16)</f>
        <v/>
      </c>
      <c r="CG17" s="14">
        <f>SUM(CG8:CG16)</f>
        <v/>
      </c>
      <c r="CH17" s="13">
        <f>IF(COUNT(CH8,CH9,CH10,CH11,CH12,CH13,CH14,CH15,CH16)=0,"",SUM(CH8:CH16))</f>
        <v/>
      </c>
      <c r="CI17" s="13">
        <f>SUM(CI8:CI16)</f>
        <v/>
      </c>
      <c r="CJ17" s="13">
        <f>SUM(CJ8:CJ16)</f>
        <v/>
      </c>
      <c r="CK17" s="14">
        <f>IF(COUNT(CK8,CK9,CK10,CK11,CK12,CK13,CK14,CK15,CK16)=0,"",SUM(CK8:CK16))</f>
        <v/>
      </c>
      <c r="CL17" s="14">
        <f>SUM(CL8:CL16)</f>
        <v/>
      </c>
      <c r="CM17" s="14">
        <f>SUM(CM8:CM16)</f>
        <v/>
      </c>
      <c r="CN17" s="13">
        <f>IF(COUNT(CN8,CN9,CN10,CN11,CN12,CN13,CN14,CN15,CN16)=0,"",SUM(CN8:CN16))</f>
        <v/>
      </c>
      <c r="CO17" s="13">
        <f>SUM(CO8:CO16)</f>
        <v/>
      </c>
      <c r="CP17" s="13">
        <f>SUM(CP8:CP16)</f>
        <v/>
      </c>
      <c r="CQ17" s="14">
        <f>IF(COUNT(CQ8,CQ9,CQ10,CQ11,CQ12,CQ13,CQ14,CQ15,CQ16)=0,"",SUM(CQ8:CQ16))</f>
        <v/>
      </c>
      <c r="CR17" s="14">
        <f>SUM(CR8:CR16)</f>
        <v/>
      </c>
      <c r="CS17" s="14">
        <f>SUM(CS8:CS16)</f>
        <v/>
      </c>
      <c r="CT17" s="13">
        <f>IF(COUNT(CT8,CT9,CT10,CT11,CT12,CT13,CT14,CT15,CT16)=0,"",SUM(CT8:CT16))</f>
        <v/>
      </c>
      <c r="CU17" s="13">
        <f>SUM(CU8:CU16)</f>
        <v/>
      </c>
      <c r="CV17" s="13">
        <f>SUM(CV8:CV16)</f>
        <v/>
      </c>
      <c r="CW17" s="14">
        <f>IF(COUNT(CW8,CW9,CW10,CW11,CW12,CW13,CW14,CW15,CW16)=0,"",SUM(CW8:CW16))</f>
        <v/>
      </c>
      <c r="CX17" s="14">
        <f>SUM(CX8:CX16)</f>
        <v/>
      </c>
      <c r="CY17" s="14">
        <f>SUM(CY8:CY16)</f>
        <v/>
      </c>
      <c r="CZ17" s="13">
        <f>IF(COUNT(CZ8,CZ9,CZ10,CZ11,CZ12,CZ13,CZ14,CZ15,CZ16)=0,"",SUM(CZ8:CZ16))</f>
        <v/>
      </c>
      <c r="DA17" s="13">
        <f>SUM(DA8:DA16)</f>
        <v/>
      </c>
      <c r="DB17" s="13">
        <f>SUM(DB8:DB16)</f>
        <v/>
      </c>
      <c r="DC17" s="14">
        <f>IF(COUNT(DC8,DC9,DC10,DC11,DC12,DC13,DC14,DC15,DC16)=0,"",SUM(DC8:DC16))</f>
        <v/>
      </c>
      <c r="DD17" s="14">
        <f>SUM(DD8:DD16)</f>
        <v/>
      </c>
      <c r="DE17" s="14">
        <f>SUM(DE8:DE16)</f>
        <v/>
      </c>
      <c r="DF17" s="13">
        <f>IF(COUNT(DF8,DF9,DF10,DF11,DF12,DF13,DF14,DF15,DF16)=0,"",SUM(DF8:DF16))</f>
        <v/>
      </c>
      <c r="DG17" s="13">
        <f>SUM(DG8:DG16)</f>
        <v/>
      </c>
      <c r="DH17" s="13">
        <f>SUM(DH8:DH16)</f>
        <v/>
      </c>
      <c r="DI17" s="14">
        <f>IF(COUNT(DI8,DI9,DI10,DI11,DI12,DI13,DI14,DI15,DI16)=0,"",SUM(DI8:DI16))</f>
        <v/>
      </c>
      <c r="DJ17" s="14">
        <f>SUM(DJ8:DJ16)</f>
        <v/>
      </c>
      <c r="DK17" s="14">
        <f>SUM(DK8:DK16)</f>
        <v/>
      </c>
      <c r="DL17" s="13">
        <f>IF(COUNT(DL8,DL9,DL10,DL11,DL12,DL13,DL14,DL15,DL16)=0,"",SUM(DL8:DL16))</f>
        <v/>
      </c>
      <c r="DM17" s="13">
        <f>SUM(DM8:DM16)</f>
        <v/>
      </c>
      <c r="DN17" s="13">
        <f>SUM(DN8:DN16)</f>
        <v/>
      </c>
    </row>
    <row r="18">
      <c r="A18" s="2" t="inlineStr">
        <is>
          <t>Advertising and Paid Media</t>
        </is>
      </c>
      <c r="B18" s="10">
        <f>IF(COUNT(AR18,AO18,AL18,AI18,AF18,AC18,Z18,W18,T18,Q18,N18,K18)=0,"",SUM(AR18,AO18,AL18,AI18,AF18,AC18,Z18,W18,T18,Q18,N18,K18))</f>
        <v/>
      </c>
      <c r="C18" s="10">
        <f>IF(COUNT(AS18,AP18,AM18,AJ18,AG18,AD18,AA18,X18,U18,R18,O18,L18)=0,"",SUM(AS18,AP18,AM18,AJ18,AG18,AD18,AA18,X18,U18,R18,O18,L18))</f>
        <v/>
      </c>
      <c r="D18" s="10">
        <f>IF(COUNT(AT18,AQ18,AN18,AK18,AH18,AE18,AB18,Y18,V18,S18,P18,M18)=0,"",SUM(AT18,AQ18,AN18,AK18,AH18,AE18,AB18,Y18,V18,S18,P18,M18))</f>
        <v/>
      </c>
      <c r="E18" s="11">
        <f>IF(COUNT(CB18,BY18,BV18,BS18,BP18,BM18,BJ18,BG18,BD18,BA18,AX18,AU18)=0,"",SUM(CB18,BY18,BV18,BS18,BP18,BM18,BJ18,BG18,BD18,BA18,AX18,AU18))</f>
        <v/>
      </c>
      <c r="F18" s="11">
        <f>IF(COUNT(CC18,BZ18,BW18,BT18,BQ18,BN18,BK18,BH18,BE18,BB18,AY18,AV18)=0,"",SUM(CC18,BZ18,BW18,BT18,BQ18,BN18,BK18,BH18,BE18,BB18,AY18,AV18))</f>
        <v/>
      </c>
      <c r="G18" s="11">
        <f>IF(COUNT(CD18,CA18,BX18,BU18,BR18,BO18,BL18,BI18,BF18,BC18,AZ18,AW18)=0,"",SUM(CD18,CA18,BX18,BU18,BR18,BO18,BL18,BI18,BF18,BC18,AZ18,AW18))</f>
        <v/>
      </c>
      <c r="H18" s="10">
        <f>IF(COUNT(DL18,DI18,DF18,DC18,CZ18,CW18,CT18,CQ18,CN18,CK18,CH18,CE18)=0,"",SUM(DL18,DI18,DF18,DC18,CZ18,CW18,CT18,CQ18,CN18,CK18,CH18,CE18))</f>
        <v/>
      </c>
      <c r="I18" s="10">
        <f>IF(COUNT(DM18,DJ18,DG18,DD18,DA18,CX18,CU18,CR18,CO18,CL18,CI18,CF18)=0,"",SUM(DM18,DJ18,DG18,DD18,DA18,CX18,CU18,CR18,CO18,CL18,CI18,CF18))</f>
        <v/>
      </c>
      <c r="J18" s="10">
        <f>IF(COUNT(DN18,DK18,DH18,DE18,DB18,CY18,CV18,CS18,CP18,CM18,CJ18,CG18)=0,"",SUM(DN18,DK18,DH18,DE18,DB18,CY18,CV18,CS18,CP18,CM18,CJ18,CG18))</f>
        <v/>
      </c>
      <c r="K18" s="11" t="n"/>
      <c r="L18" s="11" t="n">
        <v>44000</v>
      </c>
      <c r="M18" s="11" t="n">
        <v>44000</v>
      </c>
      <c r="N18" s="10" t="n"/>
      <c r="O18" s="10" t="n">
        <v>44000</v>
      </c>
      <c r="P18" s="10" t="n">
        <v>44000</v>
      </c>
      <c r="Q18" s="11" t="n"/>
      <c r="R18" s="11" t="n">
        <v>44000</v>
      </c>
      <c r="S18" s="11" t="n">
        <v>44000</v>
      </c>
      <c r="T18" s="10" t="n"/>
      <c r="U18" s="10" t="n">
        <v>44000</v>
      </c>
      <c r="V18" s="10" t="n">
        <v>44000</v>
      </c>
      <c r="W18" s="11" t="n"/>
      <c r="X18" s="11" t="n">
        <v>44000</v>
      </c>
      <c r="Y18" s="11" t="n">
        <v>44000</v>
      </c>
      <c r="Z18" s="10" t="n"/>
      <c r="AA18" s="10" t="n">
        <v>44000</v>
      </c>
      <c r="AB18" s="10" t="n">
        <v>44000</v>
      </c>
      <c r="AC18" s="11" t="n"/>
      <c r="AD18" s="11" t="n">
        <v>44000</v>
      </c>
      <c r="AE18" s="11" t="n">
        <v>44000</v>
      </c>
      <c r="AF18" s="10" t="n"/>
      <c r="AG18" s="10" t="n">
        <v>44000</v>
      </c>
      <c r="AH18" s="10" t="n">
        <v>44000</v>
      </c>
      <c r="AI18" s="11" t="n"/>
      <c r="AJ18" s="11" t="n">
        <v>44000</v>
      </c>
      <c r="AK18" s="11" t="n">
        <v>44000</v>
      </c>
      <c r="AL18" s="10" t="n"/>
      <c r="AM18" s="10" t="n">
        <v>44000</v>
      </c>
      <c r="AN18" s="10" t="n">
        <v>44000</v>
      </c>
      <c r="AO18" s="11" t="n"/>
      <c r="AP18" s="11" t="n">
        <v>44000</v>
      </c>
      <c r="AQ18" s="11" t="n">
        <v>44000</v>
      </c>
      <c r="AR18" s="10" t="n"/>
      <c r="AS18" s="10" t="n">
        <v>44000</v>
      </c>
      <c r="AT18" s="10" t="n">
        <v>44000</v>
      </c>
      <c r="AU18" s="11" t="n"/>
      <c r="AV18" s="11" t="n">
        <v>44000</v>
      </c>
      <c r="AW18" s="11" t="n">
        <v>44000</v>
      </c>
      <c r="AX18" s="10" t="n"/>
      <c r="AY18" s="10" t="n">
        <v>44000</v>
      </c>
      <c r="AZ18" s="10" t="n">
        <v>44000</v>
      </c>
      <c r="BA18" s="11" t="n"/>
      <c r="BB18" s="11" t="n">
        <v>44000</v>
      </c>
      <c r="BC18" s="11" t="n">
        <v>44000</v>
      </c>
      <c r="BD18" s="10" t="n"/>
      <c r="BE18" s="10" t="n">
        <v>44000</v>
      </c>
      <c r="BF18" s="10" t="n">
        <v>44000</v>
      </c>
      <c r="BG18" s="11" t="n"/>
      <c r="BH18" s="11" t="n">
        <v>44000</v>
      </c>
      <c r="BI18" s="11" t="n">
        <v>44000</v>
      </c>
      <c r="BJ18" s="10" t="n"/>
      <c r="BK18" s="10" t="n">
        <v>44000</v>
      </c>
      <c r="BL18" s="10" t="n">
        <v>44000</v>
      </c>
      <c r="BM18" s="11" t="n"/>
      <c r="BN18" s="11" t="n">
        <v>44000</v>
      </c>
      <c r="BO18" s="11" t="n">
        <v>44000</v>
      </c>
      <c r="BP18" s="10" t="n"/>
      <c r="BQ18" s="10" t="n">
        <v>44000</v>
      </c>
      <c r="BR18" s="10" t="n">
        <v>44000</v>
      </c>
      <c r="BS18" s="11" t="n"/>
      <c r="BT18" s="11" t="n">
        <v>44000</v>
      </c>
      <c r="BU18" s="11" t="n">
        <v>44000</v>
      </c>
      <c r="BV18" s="10" t="n"/>
      <c r="BW18" s="10" t="n">
        <v>44000</v>
      </c>
      <c r="BX18" s="10" t="n">
        <v>44000</v>
      </c>
      <c r="BY18" s="11" t="n"/>
      <c r="BZ18" s="11" t="n">
        <v>44000</v>
      </c>
      <c r="CA18" s="11" t="n">
        <v>44000</v>
      </c>
      <c r="CB18" s="10" t="n"/>
      <c r="CC18" s="10" t="n">
        <v>44000</v>
      </c>
      <c r="CD18" s="10" t="n">
        <v>44000</v>
      </c>
      <c r="CE18" s="11" t="n"/>
      <c r="CF18" s="11" t="n">
        <v>44000</v>
      </c>
      <c r="CG18" s="11" t="n">
        <v>44000</v>
      </c>
      <c r="CH18" s="10" t="n"/>
      <c r="CI18" s="10" t="n">
        <v>44000</v>
      </c>
      <c r="CJ18" s="10" t="n">
        <v>44000</v>
      </c>
      <c r="CK18" s="11" t="n"/>
      <c r="CL18" s="11" t="n">
        <v>44000</v>
      </c>
      <c r="CM18" s="11" t="n">
        <v>44000</v>
      </c>
      <c r="CN18" s="10" t="n"/>
      <c r="CO18" s="10" t="n">
        <v>44000</v>
      </c>
      <c r="CP18" s="10" t="n">
        <v>44000</v>
      </c>
      <c r="CQ18" s="11" t="n"/>
      <c r="CR18" s="11" t="n">
        <v>44000</v>
      </c>
      <c r="CS18" s="11" t="n">
        <v>44000</v>
      </c>
      <c r="CT18" s="10" t="n"/>
      <c r="CU18" s="10" t="n">
        <v>44000</v>
      </c>
      <c r="CV18" s="10" t="n">
        <v>44000</v>
      </c>
      <c r="CW18" s="11" t="n"/>
      <c r="CX18" s="11" t="n">
        <v>44000</v>
      </c>
      <c r="CY18" s="11" t="n">
        <v>44000</v>
      </c>
      <c r="CZ18" s="10" t="n"/>
      <c r="DA18" s="10" t="n">
        <v>44000</v>
      </c>
      <c r="DB18" s="10" t="n">
        <v>44000</v>
      </c>
      <c r="DC18" s="11" t="n"/>
      <c r="DD18" s="11" t="n">
        <v>44000</v>
      </c>
      <c r="DE18" s="11" t="n">
        <v>44000</v>
      </c>
      <c r="DF18" s="10" t="n"/>
      <c r="DG18" s="10" t="n">
        <v>44000</v>
      </c>
      <c r="DH18" s="10" t="n">
        <v>44000</v>
      </c>
      <c r="DI18" s="11" t="n">
        <v>44000</v>
      </c>
      <c r="DJ18" s="11" t="n">
        <v>44000</v>
      </c>
      <c r="DK18" s="11" t="n">
        <v>44000</v>
      </c>
      <c r="DL18" s="10" t="n">
        <v>44000</v>
      </c>
      <c r="DM18" s="10" t="n">
        <v>44000</v>
      </c>
      <c r="DN18" s="10" t="n">
        <v>44000</v>
      </c>
    </row>
    <row r="19">
      <c r="A19" s="2" t="inlineStr">
        <is>
          <t>Content and Creative Production</t>
        </is>
      </c>
      <c r="B19" s="10">
        <f>IF(COUNT(AR19,AO19,AL19,AI19,AF19,AC19,Z19,W19,T19,Q19,N19,K19)=0,"",SUM(AR19,AO19,AL19,AI19,AF19,AC19,Z19,W19,T19,Q19,N19,K19))</f>
        <v/>
      </c>
      <c r="C19" s="10">
        <f>IF(COUNT(AS19,AP19,AM19,AJ19,AG19,AD19,AA19,X19,U19,R19,O19,L19)=0,"",SUM(AS19,AP19,AM19,AJ19,AG19,AD19,AA19,X19,U19,R19,O19,L19))</f>
        <v/>
      </c>
      <c r="D19" s="10">
        <f>IF(COUNT(AT19,AQ19,AN19,AK19,AH19,AE19,AB19,Y19,V19,S19,P19,M19)=0,"",SUM(AT19,AQ19,AN19,AK19,AH19,AE19,AB19,Y19,V19,S19,P19,M19))</f>
        <v/>
      </c>
      <c r="E19" s="11">
        <f>IF(COUNT(CB19,BY19,BV19,BS19,BP19,BM19,BJ19,BG19,BD19,BA19,AX19,AU19)=0,"",SUM(CB19,BY19,BV19,BS19,BP19,BM19,BJ19,BG19,BD19,BA19,AX19,AU19))</f>
        <v/>
      </c>
      <c r="F19" s="11">
        <f>IF(COUNT(CC19,BZ19,BW19,BT19,BQ19,BN19,BK19,BH19,BE19,BB19,AY19,AV19)=0,"",SUM(CC19,BZ19,BW19,BT19,BQ19,BN19,BK19,BH19,BE19,BB19,AY19,AV19))</f>
        <v/>
      </c>
      <c r="G19" s="11">
        <f>IF(COUNT(CD19,CA19,BX19,BU19,BR19,BO19,BL19,BI19,BF19,BC19,AZ19,AW19)=0,"",SUM(CD19,CA19,BX19,BU19,BR19,BO19,BL19,BI19,BF19,BC19,AZ19,AW19))</f>
        <v/>
      </c>
      <c r="H19" s="10">
        <f>IF(COUNT(DL19,DI19,DF19,DC19,CZ19,CW19,CT19,CQ19,CN19,CK19,CH19,CE19)=0,"",SUM(DL19,DI19,DF19,DC19,CZ19,CW19,CT19,CQ19,CN19,CK19,CH19,CE19))</f>
        <v/>
      </c>
      <c r="I19" s="10">
        <f>IF(COUNT(DM19,DJ19,DG19,DD19,DA19,CX19,CU19,CR19,CO19,CL19,CI19,CF19)=0,"",SUM(DM19,DJ19,DG19,DD19,DA19,CX19,CU19,CR19,CO19,CL19,CI19,CF19))</f>
        <v/>
      </c>
      <c r="J19" s="10">
        <f>IF(COUNT(DN19,DK19,DH19,DE19,DB19,CY19,CV19,CS19,CP19,CM19,CJ19,CG19)=0,"",SUM(DN19,DK19,DH19,DE19,DB19,CY19,CV19,CS19,CP19,CM19,CJ19,CG19))</f>
        <v/>
      </c>
      <c r="K19" s="11" t="n"/>
      <c r="L19" s="11" t="n">
        <v>10000</v>
      </c>
      <c r="M19" s="11" t="n">
        <v>10000</v>
      </c>
      <c r="N19" s="10" t="n"/>
      <c r="O19" s="10" t="n">
        <v>10000</v>
      </c>
      <c r="P19" s="10" t="n">
        <v>10000</v>
      </c>
      <c r="Q19" s="11" t="n"/>
      <c r="R19" s="11" t="n">
        <v>10000</v>
      </c>
      <c r="S19" s="11" t="n">
        <v>10000</v>
      </c>
      <c r="T19" s="10" t="n"/>
      <c r="U19" s="10" t="n">
        <v>10000</v>
      </c>
      <c r="V19" s="10" t="n">
        <v>10000</v>
      </c>
      <c r="W19" s="11" t="n"/>
      <c r="X19" s="11" t="n">
        <v>10000</v>
      </c>
      <c r="Y19" s="11" t="n">
        <v>10000</v>
      </c>
      <c r="Z19" s="10" t="n"/>
      <c r="AA19" s="10" t="n">
        <v>10000</v>
      </c>
      <c r="AB19" s="10" t="n">
        <v>10000</v>
      </c>
      <c r="AC19" s="11" t="n"/>
      <c r="AD19" s="11" t="n">
        <v>10000</v>
      </c>
      <c r="AE19" s="11" t="n">
        <v>10000</v>
      </c>
      <c r="AF19" s="10" t="n"/>
      <c r="AG19" s="10" t="n">
        <v>10000</v>
      </c>
      <c r="AH19" s="10" t="n">
        <v>10000</v>
      </c>
      <c r="AI19" s="11" t="n"/>
      <c r="AJ19" s="11" t="n">
        <v>10000</v>
      </c>
      <c r="AK19" s="11" t="n">
        <v>10000</v>
      </c>
      <c r="AL19" s="10" t="n"/>
      <c r="AM19" s="10" t="n">
        <v>10000</v>
      </c>
      <c r="AN19" s="10" t="n">
        <v>10000</v>
      </c>
      <c r="AO19" s="11" t="n"/>
      <c r="AP19" s="11" t="n">
        <v>10000</v>
      </c>
      <c r="AQ19" s="11" t="n">
        <v>10000</v>
      </c>
      <c r="AR19" s="10" t="n"/>
      <c r="AS19" s="10" t="n">
        <v>10000</v>
      </c>
      <c r="AT19" s="10" t="n">
        <v>10000</v>
      </c>
      <c r="AU19" s="11" t="n"/>
      <c r="AV19" s="11" t="n">
        <v>10000</v>
      </c>
      <c r="AW19" s="11" t="n">
        <v>10000</v>
      </c>
      <c r="AX19" s="10" t="n"/>
      <c r="AY19" s="10" t="n">
        <v>10000</v>
      </c>
      <c r="AZ19" s="10" t="n">
        <v>10000</v>
      </c>
      <c r="BA19" s="11" t="n"/>
      <c r="BB19" s="11" t="n">
        <v>10000</v>
      </c>
      <c r="BC19" s="11" t="n">
        <v>10000</v>
      </c>
      <c r="BD19" s="10" t="n"/>
      <c r="BE19" s="10" t="n">
        <v>10000</v>
      </c>
      <c r="BF19" s="10" t="n">
        <v>10000</v>
      </c>
      <c r="BG19" s="11" t="n"/>
      <c r="BH19" s="11" t="n">
        <v>10000</v>
      </c>
      <c r="BI19" s="11" t="n">
        <v>10000</v>
      </c>
      <c r="BJ19" s="10" t="n"/>
      <c r="BK19" s="10" t="n">
        <v>10000</v>
      </c>
      <c r="BL19" s="10" t="n">
        <v>10000</v>
      </c>
      <c r="BM19" s="11" t="n"/>
      <c r="BN19" s="11" t="n">
        <v>10000</v>
      </c>
      <c r="BO19" s="11" t="n">
        <v>10000</v>
      </c>
      <c r="BP19" s="10" t="n"/>
      <c r="BQ19" s="10" t="n">
        <v>10000</v>
      </c>
      <c r="BR19" s="10" t="n">
        <v>10000</v>
      </c>
      <c r="BS19" s="11" t="n"/>
      <c r="BT19" s="11" t="n">
        <v>10000</v>
      </c>
      <c r="BU19" s="11" t="n">
        <v>10000</v>
      </c>
      <c r="BV19" s="10" t="n"/>
      <c r="BW19" s="10" t="n">
        <v>10000</v>
      </c>
      <c r="BX19" s="10" t="n">
        <v>10000</v>
      </c>
      <c r="BY19" s="11" t="n"/>
      <c r="BZ19" s="11" t="n">
        <v>10000</v>
      </c>
      <c r="CA19" s="11" t="n">
        <v>10000</v>
      </c>
      <c r="CB19" s="10" t="n"/>
      <c r="CC19" s="10" t="n">
        <v>10000</v>
      </c>
      <c r="CD19" s="10" t="n">
        <v>10000</v>
      </c>
      <c r="CE19" s="11" t="n"/>
      <c r="CF19" s="11" t="n">
        <v>10000</v>
      </c>
      <c r="CG19" s="11" t="n">
        <v>10000</v>
      </c>
      <c r="CH19" s="10" t="n"/>
      <c r="CI19" s="10" t="n">
        <v>10000</v>
      </c>
      <c r="CJ19" s="10" t="n">
        <v>10000</v>
      </c>
      <c r="CK19" s="11" t="n"/>
      <c r="CL19" s="11" t="n">
        <v>10000</v>
      </c>
      <c r="CM19" s="11" t="n">
        <v>10000</v>
      </c>
      <c r="CN19" s="10" t="n"/>
      <c r="CO19" s="10" t="n">
        <v>10000</v>
      </c>
      <c r="CP19" s="10" t="n">
        <v>10000</v>
      </c>
      <c r="CQ19" s="11" t="n"/>
      <c r="CR19" s="11" t="n">
        <v>10000</v>
      </c>
      <c r="CS19" s="11" t="n">
        <v>10000</v>
      </c>
      <c r="CT19" s="10" t="n"/>
      <c r="CU19" s="10" t="n">
        <v>10000</v>
      </c>
      <c r="CV19" s="10" t="n">
        <v>10000</v>
      </c>
      <c r="CW19" s="11" t="n"/>
      <c r="CX19" s="11" t="n">
        <v>10000</v>
      </c>
      <c r="CY19" s="11" t="n">
        <v>10000</v>
      </c>
      <c r="CZ19" s="10" t="n"/>
      <c r="DA19" s="10" t="n">
        <v>10000</v>
      </c>
      <c r="DB19" s="10" t="n">
        <v>10000</v>
      </c>
      <c r="DC19" s="11" t="n"/>
      <c r="DD19" s="11" t="n">
        <v>10000</v>
      </c>
      <c r="DE19" s="11" t="n">
        <v>10000</v>
      </c>
      <c r="DF19" s="10" t="n"/>
      <c r="DG19" s="10" t="n">
        <v>10000</v>
      </c>
      <c r="DH19" s="10" t="n">
        <v>10000</v>
      </c>
      <c r="DI19" s="11" t="n">
        <v>10000</v>
      </c>
      <c r="DJ19" s="11" t="n">
        <v>10000</v>
      </c>
      <c r="DK19" s="11" t="n">
        <v>10000</v>
      </c>
      <c r="DL19" s="10" t="n">
        <v>10000</v>
      </c>
      <c r="DM19" s="10" t="n">
        <v>10000</v>
      </c>
      <c r="DN19" s="10" t="n">
        <v>10000</v>
      </c>
    </row>
    <row r="20">
      <c r="A20" s="2" t="inlineStr">
        <is>
          <t>Website and SEO</t>
        </is>
      </c>
      <c r="B20" s="10">
        <f>IF(COUNT(AR20,AO20,AL20,AI20,AF20,AC20,Z20,W20,T20,Q20,N20,K20)=0,"",SUM(AR20,AO20,AL20,AI20,AF20,AC20,Z20,W20,T20,Q20,N20,K20))</f>
        <v/>
      </c>
      <c r="C20" s="10">
        <f>IF(COUNT(AS20,AP20,AM20,AJ20,AG20,AD20,AA20,X20,U20,R20,O20,L20)=0,"",SUM(AS20,AP20,AM20,AJ20,AG20,AD20,AA20,X20,U20,R20,O20,L20))</f>
        <v/>
      </c>
      <c r="D20" s="10">
        <f>IF(COUNT(AT20,AQ20,AN20,AK20,AH20,AE20,AB20,Y20,V20,S20,P20,M20)=0,"",SUM(AT20,AQ20,AN20,AK20,AH20,AE20,AB20,Y20,V20,S20,P20,M20))</f>
        <v/>
      </c>
      <c r="E20" s="11">
        <f>IF(COUNT(CB20,BY20,BV20,BS20,BP20,BM20,BJ20,BG20,BD20,BA20,AX20,AU20)=0,"",SUM(CB20,BY20,BV20,BS20,BP20,BM20,BJ20,BG20,BD20,BA20,AX20,AU20))</f>
        <v/>
      </c>
      <c r="F20" s="11">
        <f>IF(COUNT(CC20,BZ20,BW20,BT20,BQ20,BN20,BK20,BH20,BE20,BB20,AY20,AV20)=0,"",SUM(CC20,BZ20,BW20,BT20,BQ20,BN20,BK20,BH20,BE20,BB20,AY20,AV20))</f>
        <v/>
      </c>
      <c r="G20" s="11">
        <f>IF(COUNT(CD20,CA20,BX20,BU20,BR20,BO20,BL20,BI20,BF20,BC20,AZ20,AW20)=0,"",SUM(CD20,CA20,BX20,BU20,BR20,BO20,BL20,BI20,BF20,BC20,AZ20,AW20))</f>
        <v/>
      </c>
      <c r="H20" s="10">
        <f>IF(COUNT(DL20,DI20,DF20,DC20,CZ20,CW20,CT20,CQ20,CN20,CK20,CH20,CE20)=0,"",SUM(DL20,DI20,DF20,DC20,CZ20,CW20,CT20,CQ20,CN20,CK20,CH20,CE20))</f>
        <v/>
      </c>
      <c r="I20" s="10">
        <f>IF(COUNT(DM20,DJ20,DG20,DD20,DA20,CX20,CU20,CR20,CO20,CL20,CI20,CF20)=0,"",SUM(DM20,DJ20,DG20,DD20,DA20,CX20,CU20,CR20,CO20,CL20,CI20,CF20))</f>
        <v/>
      </c>
      <c r="J20" s="10">
        <f>IF(COUNT(DN20,DK20,DH20,DE20,DB20,CY20,CV20,CS20,CP20,CM20,CJ20,CG20)=0,"",SUM(DN20,DK20,DH20,DE20,DB20,CY20,CV20,CS20,CP20,CM20,CJ20,CG20))</f>
        <v/>
      </c>
      <c r="K20" s="11" t="n"/>
      <c r="L20" s="11" t="n">
        <v>6000</v>
      </c>
      <c r="M20" s="11" t="n">
        <v>6000</v>
      </c>
      <c r="N20" s="10" t="n"/>
      <c r="O20" s="10" t="n">
        <v>6000</v>
      </c>
      <c r="P20" s="10" t="n">
        <v>6000</v>
      </c>
      <c r="Q20" s="11" t="n"/>
      <c r="R20" s="11" t="n">
        <v>6000</v>
      </c>
      <c r="S20" s="11" t="n">
        <v>6000</v>
      </c>
      <c r="T20" s="10" t="n"/>
      <c r="U20" s="10" t="n">
        <v>6000</v>
      </c>
      <c r="V20" s="10" t="n">
        <v>6000</v>
      </c>
      <c r="W20" s="11" t="n"/>
      <c r="X20" s="11" t="n">
        <v>6000</v>
      </c>
      <c r="Y20" s="11" t="n">
        <v>6000</v>
      </c>
      <c r="Z20" s="10" t="n"/>
      <c r="AA20" s="10" t="n">
        <v>6000</v>
      </c>
      <c r="AB20" s="10" t="n">
        <v>6000</v>
      </c>
      <c r="AC20" s="11" t="n"/>
      <c r="AD20" s="11" t="n">
        <v>6000</v>
      </c>
      <c r="AE20" s="11" t="n">
        <v>6000</v>
      </c>
      <c r="AF20" s="10" t="n"/>
      <c r="AG20" s="10" t="n">
        <v>6000</v>
      </c>
      <c r="AH20" s="10" t="n">
        <v>6000</v>
      </c>
      <c r="AI20" s="11" t="n"/>
      <c r="AJ20" s="11" t="n">
        <v>6000</v>
      </c>
      <c r="AK20" s="11" t="n">
        <v>6000</v>
      </c>
      <c r="AL20" s="10" t="n"/>
      <c r="AM20" s="10" t="n">
        <v>6000</v>
      </c>
      <c r="AN20" s="10" t="n">
        <v>6000</v>
      </c>
      <c r="AO20" s="11" t="n"/>
      <c r="AP20" s="11" t="n">
        <v>6000</v>
      </c>
      <c r="AQ20" s="11" t="n">
        <v>6000</v>
      </c>
      <c r="AR20" s="10" t="n"/>
      <c r="AS20" s="10" t="n">
        <v>6000</v>
      </c>
      <c r="AT20" s="10" t="n">
        <v>6000</v>
      </c>
      <c r="AU20" s="11" t="n"/>
      <c r="AV20" s="11" t="n">
        <v>6000</v>
      </c>
      <c r="AW20" s="11" t="n">
        <v>6000</v>
      </c>
      <c r="AX20" s="10" t="n"/>
      <c r="AY20" s="10" t="n">
        <v>6000</v>
      </c>
      <c r="AZ20" s="10" t="n">
        <v>6000</v>
      </c>
      <c r="BA20" s="11" t="n"/>
      <c r="BB20" s="11" t="n">
        <v>6000</v>
      </c>
      <c r="BC20" s="11" t="n">
        <v>6000</v>
      </c>
      <c r="BD20" s="10" t="n"/>
      <c r="BE20" s="10" t="n">
        <v>6000</v>
      </c>
      <c r="BF20" s="10" t="n">
        <v>6000</v>
      </c>
      <c r="BG20" s="11" t="n"/>
      <c r="BH20" s="11" t="n">
        <v>6000</v>
      </c>
      <c r="BI20" s="11" t="n">
        <v>6000</v>
      </c>
      <c r="BJ20" s="10" t="n"/>
      <c r="BK20" s="10" t="n">
        <v>6000</v>
      </c>
      <c r="BL20" s="10" t="n">
        <v>6000</v>
      </c>
      <c r="BM20" s="11" t="n"/>
      <c r="BN20" s="11" t="n">
        <v>6000</v>
      </c>
      <c r="BO20" s="11" t="n">
        <v>6000</v>
      </c>
      <c r="BP20" s="10" t="n"/>
      <c r="BQ20" s="10" t="n">
        <v>6000</v>
      </c>
      <c r="BR20" s="10" t="n">
        <v>6000</v>
      </c>
      <c r="BS20" s="11" t="n"/>
      <c r="BT20" s="11" t="n">
        <v>6000</v>
      </c>
      <c r="BU20" s="11" t="n">
        <v>6000</v>
      </c>
      <c r="BV20" s="10" t="n"/>
      <c r="BW20" s="10" t="n">
        <v>6000</v>
      </c>
      <c r="BX20" s="10" t="n">
        <v>6000</v>
      </c>
      <c r="BY20" s="11" t="n"/>
      <c r="BZ20" s="11" t="n">
        <v>6000</v>
      </c>
      <c r="CA20" s="11" t="n">
        <v>6000</v>
      </c>
      <c r="CB20" s="10" t="n"/>
      <c r="CC20" s="10" t="n">
        <v>6000</v>
      </c>
      <c r="CD20" s="10" t="n">
        <v>6000</v>
      </c>
      <c r="CE20" s="11" t="n"/>
      <c r="CF20" s="11" t="n">
        <v>6000</v>
      </c>
      <c r="CG20" s="11" t="n">
        <v>6000</v>
      </c>
      <c r="CH20" s="10" t="n"/>
      <c r="CI20" s="10" t="n">
        <v>6000</v>
      </c>
      <c r="CJ20" s="10" t="n">
        <v>6000</v>
      </c>
      <c r="CK20" s="11" t="n"/>
      <c r="CL20" s="11" t="n">
        <v>6000</v>
      </c>
      <c r="CM20" s="11" t="n">
        <v>6000</v>
      </c>
      <c r="CN20" s="10" t="n"/>
      <c r="CO20" s="10" t="n">
        <v>6000</v>
      </c>
      <c r="CP20" s="10" t="n">
        <v>6000</v>
      </c>
      <c r="CQ20" s="11" t="n"/>
      <c r="CR20" s="11" t="n">
        <v>6000</v>
      </c>
      <c r="CS20" s="11" t="n">
        <v>6000</v>
      </c>
      <c r="CT20" s="10" t="n"/>
      <c r="CU20" s="10" t="n">
        <v>6000</v>
      </c>
      <c r="CV20" s="10" t="n">
        <v>6000</v>
      </c>
      <c r="CW20" s="11" t="n"/>
      <c r="CX20" s="11" t="n">
        <v>6000</v>
      </c>
      <c r="CY20" s="11" t="n">
        <v>6000</v>
      </c>
      <c r="CZ20" s="10" t="n"/>
      <c r="DA20" s="10" t="n">
        <v>6000</v>
      </c>
      <c r="DB20" s="10" t="n">
        <v>6000</v>
      </c>
      <c r="DC20" s="11" t="n"/>
      <c r="DD20" s="11" t="n">
        <v>6000</v>
      </c>
      <c r="DE20" s="11" t="n">
        <v>6000</v>
      </c>
      <c r="DF20" s="10" t="n"/>
      <c r="DG20" s="10" t="n">
        <v>6000</v>
      </c>
      <c r="DH20" s="10" t="n">
        <v>6000</v>
      </c>
      <c r="DI20" s="11" t="n">
        <v>6000</v>
      </c>
      <c r="DJ20" s="11" t="n">
        <v>6000</v>
      </c>
      <c r="DK20" s="11" t="n">
        <v>6000</v>
      </c>
      <c r="DL20" s="10" t="n">
        <v>6000</v>
      </c>
      <c r="DM20" s="10" t="n">
        <v>6000</v>
      </c>
      <c r="DN20" s="10" t="n">
        <v>6000</v>
      </c>
    </row>
    <row r="21">
      <c r="A21" s="2" t="inlineStr">
        <is>
          <t>Events and Trade Shows</t>
        </is>
      </c>
      <c r="B21" s="10">
        <f>IF(COUNT(AR21,AO21,AL21,AI21,AF21,AC21,Z21,W21,T21,Q21,N21,K21)=0,"",SUM(AR21,AO21,AL21,AI21,AF21,AC21,Z21,W21,T21,Q21,N21,K21))</f>
        <v/>
      </c>
      <c r="C21" s="10">
        <f>IF(COUNT(AS21,AP21,AM21,AJ21,AG21,AD21,AA21,X21,U21,R21,O21,L21)=0,"",SUM(AS21,AP21,AM21,AJ21,AG21,AD21,AA21,X21,U21,R21,O21,L21))</f>
        <v/>
      </c>
      <c r="D21" s="10">
        <f>IF(COUNT(AT21,AQ21,AN21,AK21,AH21,AE21,AB21,Y21,V21,S21,P21,M21)=0,"",SUM(AT21,AQ21,AN21,AK21,AH21,AE21,AB21,Y21,V21,S21,P21,M21))</f>
        <v/>
      </c>
      <c r="E21" s="11">
        <f>IF(COUNT(CB21,BY21,BV21,BS21,BP21,BM21,BJ21,BG21,BD21,BA21,AX21,AU21)=0,"",SUM(CB21,BY21,BV21,BS21,BP21,BM21,BJ21,BG21,BD21,BA21,AX21,AU21))</f>
        <v/>
      </c>
      <c r="F21" s="11">
        <f>IF(COUNT(CC21,BZ21,BW21,BT21,BQ21,BN21,BK21,BH21,BE21,BB21,AY21,AV21)=0,"",SUM(CC21,BZ21,BW21,BT21,BQ21,BN21,BK21,BH21,BE21,BB21,AY21,AV21))</f>
        <v/>
      </c>
      <c r="G21" s="11">
        <f>IF(COUNT(CD21,CA21,BX21,BU21,BR21,BO21,BL21,BI21,BF21,BC21,AZ21,AW21)=0,"",SUM(CD21,CA21,BX21,BU21,BR21,BO21,BL21,BI21,BF21,BC21,AZ21,AW21))</f>
        <v/>
      </c>
      <c r="H21" s="10">
        <f>IF(COUNT(DL21,DI21,DF21,DC21,CZ21,CW21,CT21,CQ21,CN21,CK21,CH21,CE21)=0,"",SUM(DL21,DI21,DF21,DC21,CZ21,CW21,CT21,CQ21,CN21,CK21,CH21,CE21))</f>
        <v/>
      </c>
      <c r="I21" s="10">
        <f>IF(COUNT(DM21,DJ21,DG21,DD21,DA21,CX21,CU21,CR21,CO21,CL21,CI21,CF21)=0,"",SUM(DM21,DJ21,DG21,DD21,DA21,CX21,CU21,CR21,CO21,CL21,CI21,CF21))</f>
        <v/>
      </c>
      <c r="J21" s="10">
        <f>IF(COUNT(DN21,DK21,DH21,DE21,DB21,CY21,CV21,CS21,CP21,CM21,CJ21,CG21)=0,"",SUM(DN21,DK21,DH21,DE21,DB21,CY21,CV21,CS21,CP21,CM21,CJ21,CG21))</f>
        <v/>
      </c>
      <c r="K21" s="11" t="n"/>
      <c r="L21" s="11" t="n">
        <v>14000</v>
      </c>
      <c r="M21" s="11" t="n">
        <v>14000</v>
      </c>
      <c r="N21" s="10" t="n"/>
      <c r="O21" s="10" t="n">
        <v>14000</v>
      </c>
      <c r="P21" s="10" t="n">
        <v>14000</v>
      </c>
      <c r="Q21" s="11" t="n"/>
      <c r="R21" s="11" t="n">
        <v>14000</v>
      </c>
      <c r="S21" s="11" t="n">
        <v>14000</v>
      </c>
      <c r="T21" s="10" t="n"/>
      <c r="U21" s="10" t="n">
        <v>14000</v>
      </c>
      <c r="V21" s="10" t="n">
        <v>14000</v>
      </c>
      <c r="W21" s="11" t="n"/>
      <c r="X21" s="11" t="n">
        <v>14000</v>
      </c>
      <c r="Y21" s="11" t="n">
        <v>14000</v>
      </c>
      <c r="Z21" s="10" t="n"/>
      <c r="AA21" s="10" t="n">
        <v>14000</v>
      </c>
      <c r="AB21" s="10" t="n">
        <v>14000</v>
      </c>
      <c r="AC21" s="11" t="n"/>
      <c r="AD21" s="11" t="n">
        <v>14000</v>
      </c>
      <c r="AE21" s="11" t="n">
        <v>14000</v>
      </c>
      <c r="AF21" s="10" t="n"/>
      <c r="AG21" s="10" t="n">
        <v>14000</v>
      </c>
      <c r="AH21" s="10" t="n">
        <v>14000</v>
      </c>
      <c r="AI21" s="11" t="n"/>
      <c r="AJ21" s="11" t="n">
        <v>14000</v>
      </c>
      <c r="AK21" s="11" t="n">
        <v>14000</v>
      </c>
      <c r="AL21" s="10" t="n"/>
      <c r="AM21" s="10" t="n">
        <v>14000</v>
      </c>
      <c r="AN21" s="10" t="n">
        <v>14000</v>
      </c>
      <c r="AO21" s="11" t="n"/>
      <c r="AP21" s="11" t="n">
        <v>14000</v>
      </c>
      <c r="AQ21" s="11" t="n">
        <v>14000</v>
      </c>
      <c r="AR21" s="10" t="n"/>
      <c r="AS21" s="10" t="n">
        <v>14000</v>
      </c>
      <c r="AT21" s="10" t="n">
        <v>14000</v>
      </c>
      <c r="AU21" s="11" t="n"/>
      <c r="AV21" s="11" t="n">
        <v>14000</v>
      </c>
      <c r="AW21" s="11" t="n">
        <v>14000</v>
      </c>
      <c r="AX21" s="10" t="n"/>
      <c r="AY21" s="10" t="n">
        <v>14000</v>
      </c>
      <c r="AZ21" s="10" t="n">
        <v>14000</v>
      </c>
      <c r="BA21" s="11" t="n"/>
      <c r="BB21" s="11" t="n">
        <v>14000</v>
      </c>
      <c r="BC21" s="11" t="n">
        <v>14000</v>
      </c>
      <c r="BD21" s="10" t="n"/>
      <c r="BE21" s="10" t="n">
        <v>14000</v>
      </c>
      <c r="BF21" s="10" t="n">
        <v>14000</v>
      </c>
      <c r="BG21" s="11" t="n"/>
      <c r="BH21" s="11" t="n">
        <v>14000</v>
      </c>
      <c r="BI21" s="11" t="n">
        <v>14000</v>
      </c>
      <c r="BJ21" s="10" t="n"/>
      <c r="BK21" s="10" t="n">
        <v>14000</v>
      </c>
      <c r="BL21" s="10" t="n">
        <v>14000</v>
      </c>
      <c r="BM21" s="11" t="n"/>
      <c r="BN21" s="11" t="n">
        <v>14000</v>
      </c>
      <c r="BO21" s="11" t="n">
        <v>14000</v>
      </c>
      <c r="BP21" s="10" t="n"/>
      <c r="BQ21" s="10" t="n">
        <v>14000</v>
      </c>
      <c r="BR21" s="10" t="n">
        <v>14000</v>
      </c>
      <c r="BS21" s="11" t="n"/>
      <c r="BT21" s="11" t="n">
        <v>14000</v>
      </c>
      <c r="BU21" s="11" t="n">
        <v>14000</v>
      </c>
      <c r="BV21" s="10" t="n"/>
      <c r="BW21" s="10" t="n">
        <v>14000</v>
      </c>
      <c r="BX21" s="10" t="n">
        <v>14000</v>
      </c>
      <c r="BY21" s="11" t="n"/>
      <c r="BZ21" s="11" t="n">
        <v>14000</v>
      </c>
      <c r="CA21" s="11" t="n">
        <v>14000</v>
      </c>
      <c r="CB21" s="10" t="n"/>
      <c r="CC21" s="10" t="n">
        <v>14000</v>
      </c>
      <c r="CD21" s="10" t="n">
        <v>14000</v>
      </c>
      <c r="CE21" s="11" t="n"/>
      <c r="CF21" s="11" t="n">
        <v>14000</v>
      </c>
      <c r="CG21" s="11" t="n">
        <v>14000</v>
      </c>
      <c r="CH21" s="10" t="n"/>
      <c r="CI21" s="10" t="n">
        <v>14000</v>
      </c>
      <c r="CJ21" s="10" t="n">
        <v>14000</v>
      </c>
      <c r="CK21" s="11" t="n"/>
      <c r="CL21" s="11" t="n">
        <v>14000</v>
      </c>
      <c r="CM21" s="11" t="n">
        <v>14000</v>
      </c>
      <c r="CN21" s="10" t="n"/>
      <c r="CO21" s="10" t="n">
        <v>14000</v>
      </c>
      <c r="CP21" s="10" t="n">
        <v>14000</v>
      </c>
      <c r="CQ21" s="11" t="n"/>
      <c r="CR21" s="11" t="n">
        <v>14000</v>
      </c>
      <c r="CS21" s="11" t="n">
        <v>14000</v>
      </c>
      <c r="CT21" s="10" t="n"/>
      <c r="CU21" s="10" t="n">
        <v>14000</v>
      </c>
      <c r="CV21" s="10" t="n">
        <v>14000</v>
      </c>
      <c r="CW21" s="11" t="n"/>
      <c r="CX21" s="11" t="n">
        <v>14000</v>
      </c>
      <c r="CY21" s="11" t="n">
        <v>14000</v>
      </c>
      <c r="CZ21" s="10" t="n"/>
      <c r="DA21" s="10" t="n">
        <v>14000</v>
      </c>
      <c r="DB21" s="10" t="n">
        <v>14000</v>
      </c>
      <c r="DC21" s="11" t="n"/>
      <c r="DD21" s="11" t="n">
        <v>14000</v>
      </c>
      <c r="DE21" s="11" t="n">
        <v>14000</v>
      </c>
      <c r="DF21" s="10" t="n"/>
      <c r="DG21" s="10" t="n">
        <v>14000</v>
      </c>
      <c r="DH21" s="10" t="n">
        <v>14000</v>
      </c>
      <c r="DI21" s="11" t="n">
        <v>14000</v>
      </c>
      <c r="DJ21" s="11" t="n">
        <v>14000</v>
      </c>
      <c r="DK21" s="11" t="n">
        <v>14000</v>
      </c>
      <c r="DL21" s="10" t="n">
        <v>14000</v>
      </c>
      <c r="DM21" s="10" t="n">
        <v>14000</v>
      </c>
      <c r="DN21" s="10" t="n">
        <v>14000</v>
      </c>
    </row>
    <row r="22">
      <c r="A22" s="2" t="inlineStr">
        <is>
          <t>Public Relations</t>
        </is>
      </c>
      <c r="B22" s="10">
        <f>IF(COUNT(AR22,AO22,AL22,AI22,AF22,AC22,Z22,W22,T22,Q22,N22,K22)=0,"",SUM(AR22,AO22,AL22,AI22,AF22,AC22,Z22,W22,T22,Q22,N22,K22))</f>
        <v/>
      </c>
      <c r="C22" s="10">
        <f>IF(COUNT(AS22,AP22,AM22,AJ22,AG22,AD22,AA22,X22,U22,R22,O22,L22)=0,"",SUM(AS22,AP22,AM22,AJ22,AG22,AD22,AA22,X22,U22,R22,O22,L22))</f>
        <v/>
      </c>
      <c r="D22" s="10">
        <f>IF(COUNT(AT22,AQ22,AN22,AK22,AH22,AE22,AB22,Y22,V22,S22,P22,M22)=0,"",SUM(AT22,AQ22,AN22,AK22,AH22,AE22,AB22,Y22,V22,S22,P22,M22))</f>
        <v/>
      </c>
      <c r="E22" s="11">
        <f>IF(COUNT(CB22,BY22,BV22,BS22,BP22,BM22,BJ22,BG22,BD22,BA22,AX22,AU22)=0,"",SUM(CB22,BY22,BV22,BS22,BP22,BM22,BJ22,BG22,BD22,BA22,AX22,AU22))</f>
        <v/>
      </c>
      <c r="F22" s="11">
        <f>IF(COUNT(CC22,BZ22,BW22,BT22,BQ22,BN22,BK22,BH22,BE22,BB22,AY22,AV22)=0,"",SUM(CC22,BZ22,BW22,BT22,BQ22,BN22,BK22,BH22,BE22,BB22,AY22,AV22))</f>
        <v/>
      </c>
      <c r="G22" s="11">
        <f>IF(COUNT(CD22,CA22,BX22,BU22,BR22,BO22,BL22,BI22,BF22,BC22,AZ22,AW22)=0,"",SUM(CD22,CA22,BX22,BU22,BR22,BO22,BL22,BI22,BF22,BC22,AZ22,AW22))</f>
        <v/>
      </c>
      <c r="H22" s="10">
        <f>IF(COUNT(DL22,DI22,DF22,DC22,CZ22,CW22,CT22,CQ22,CN22,CK22,CH22,CE22)=0,"",SUM(DL22,DI22,DF22,DC22,CZ22,CW22,CT22,CQ22,CN22,CK22,CH22,CE22))</f>
        <v/>
      </c>
      <c r="I22" s="10">
        <f>IF(COUNT(DM22,DJ22,DG22,DD22,DA22,CX22,CU22,CR22,CO22,CL22,CI22,CF22)=0,"",SUM(DM22,DJ22,DG22,DD22,DA22,CX22,CU22,CR22,CO22,CL22,CI22,CF22))</f>
        <v/>
      </c>
      <c r="J22" s="10">
        <f>IF(COUNT(DN22,DK22,DH22,DE22,DB22,CY22,CV22,CS22,CP22,CM22,CJ22,CG22)=0,"",SUM(DN22,DK22,DH22,DE22,DB22,CY22,CV22,CS22,CP22,CM22,CJ22,CG22))</f>
        <v/>
      </c>
      <c r="K22" s="11" t="n"/>
      <c r="L22" s="11" t="n">
        <v>3000</v>
      </c>
      <c r="M22" s="11" t="n">
        <v>3000</v>
      </c>
      <c r="N22" s="10" t="n"/>
      <c r="O22" s="10" t="n">
        <v>3000</v>
      </c>
      <c r="P22" s="10" t="n">
        <v>3000</v>
      </c>
      <c r="Q22" s="11" t="n"/>
      <c r="R22" s="11" t="n">
        <v>3000</v>
      </c>
      <c r="S22" s="11" t="n">
        <v>3000</v>
      </c>
      <c r="T22" s="10" t="n"/>
      <c r="U22" s="10" t="n">
        <v>3000</v>
      </c>
      <c r="V22" s="10" t="n">
        <v>3000</v>
      </c>
      <c r="W22" s="11" t="n"/>
      <c r="X22" s="11" t="n">
        <v>3000</v>
      </c>
      <c r="Y22" s="11" t="n">
        <v>3000</v>
      </c>
      <c r="Z22" s="10" t="n"/>
      <c r="AA22" s="10" t="n">
        <v>3000</v>
      </c>
      <c r="AB22" s="10" t="n">
        <v>3000</v>
      </c>
      <c r="AC22" s="11" t="n"/>
      <c r="AD22" s="11" t="n">
        <v>3000</v>
      </c>
      <c r="AE22" s="11" t="n">
        <v>3000</v>
      </c>
      <c r="AF22" s="10" t="n"/>
      <c r="AG22" s="10" t="n">
        <v>3000</v>
      </c>
      <c r="AH22" s="10" t="n">
        <v>3000</v>
      </c>
      <c r="AI22" s="11" t="n"/>
      <c r="AJ22" s="11" t="n">
        <v>3000</v>
      </c>
      <c r="AK22" s="11" t="n">
        <v>3000</v>
      </c>
      <c r="AL22" s="10" t="n"/>
      <c r="AM22" s="10" t="n">
        <v>3000</v>
      </c>
      <c r="AN22" s="10" t="n">
        <v>3000</v>
      </c>
      <c r="AO22" s="11" t="n"/>
      <c r="AP22" s="11" t="n">
        <v>3000</v>
      </c>
      <c r="AQ22" s="11" t="n">
        <v>3000</v>
      </c>
      <c r="AR22" s="10" t="n"/>
      <c r="AS22" s="10" t="n">
        <v>3000</v>
      </c>
      <c r="AT22" s="10" t="n">
        <v>3000</v>
      </c>
      <c r="AU22" s="11" t="n"/>
      <c r="AV22" s="11" t="n">
        <v>3000</v>
      </c>
      <c r="AW22" s="11" t="n">
        <v>3000</v>
      </c>
      <c r="AX22" s="10" t="n"/>
      <c r="AY22" s="10" t="n">
        <v>3000</v>
      </c>
      <c r="AZ22" s="10" t="n">
        <v>3000</v>
      </c>
      <c r="BA22" s="11" t="n"/>
      <c r="BB22" s="11" t="n">
        <v>3000</v>
      </c>
      <c r="BC22" s="11" t="n">
        <v>3000</v>
      </c>
      <c r="BD22" s="10" t="n"/>
      <c r="BE22" s="10" t="n">
        <v>3000</v>
      </c>
      <c r="BF22" s="10" t="n">
        <v>3000</v>
      </c>
      <c r="BG22" s="11" t="n"/>
      <c r="BH22" s="11" t="n">
        <v>3000</v>
      </c>
      <c r="BI22" s="11" t="n">
        <v>3000</v>
      </c>
      <c r="BJ22" s="10" t="n"/>
      <c r="BK22" s="10" t="n">
        <v>3000</v>
      </c>
      <c r="BL22" s="10" t="n">
        <v>3000</v>
      </c>
      <c r="BM22" s="11" t="n"/>
      <c r="BN22" s="11" t="n">
        <v>3000</v>
      </c>
      <c r="BO22" s="11" t="n">
        <v>3000</v>
      </c>
      <c r="BP22" s="10" t="n"/>
      <c r="BQ22" s="10" t="n">
        <v>3000</v>
      </c>
      <c r="BR22" s="10" t="n">
        <v>3000</v>
      </c>
      <c r="BS22" s="11" t="n"/>
      <c r="BT22" s="11" t="n">
        <v>3000</v>
      </c>
      <c r="BU22" s="11" t="n">
        <v>3000</v>
      </c>
      <c r="BV22" s="10" t="n"/>
      <c r="BW22" s="10" t="n">
        <v>3000</v>
      </c>
      <c r="BX22" s="10" t="n">
        <v>3000</v>
      </c>
      <c r="BY22" s="11" t="n"/>
      <c r="BZ22" s="11" t="n">
        <v>3000</v>
      </c>
      <c r="CA22" s="11" t="n">
        <v>3000</v>
      </c>
      <c r="CB22" s="10" t="n"/>
      <c r="CC22" s="10" t="n">
        <v>3000</v>
      </c>
      <c r="CD22" s="10" t="n">
        <v>3000</v>
      </c>
      <c r="CE22" s="11" t="n"/>
      <c r="CF22" s="11" t="n">
        <v>3000</v>
      </c>
      <c r="CG22" s="11" t="n">
        <v>3000</v>
      </c>
      <c r="CH22" s="10" t="n"/>
      <c r="CI22" s="10" t="n">
        <v>3000</v>
      </c>
      <c r="CJ22" s="10" t="n">
        <v>3000</v>
      </c>
      <c r="CK22" s="11" t="n"/>
      <c r="CL22" s="11" t="n">
        <v>3000</v>
      </c>
      <c r="CM22" s="11" t="n">
        <v>3000</v>
      </c>
      <c r="CN22" s="10" t="n"/>
      <c r="CO22" s="10" t="n">
        <v>3000</v>
      </c>
      <c r="CP22" s="10" t="n">
        <v>3000</v>
      </c>
      <c r="CQ22" s="11" t="n"/>
      <c r="CR22" s="11" t="n">
        <v>3000</v>
      </c>
      <c r="CS22" s="11" t="n">
        <v>3000</v>
      </c>
      <c r="CT22" s="10" t="n"/>
      <c r="CU22" s="10" t="n">
        <v>3000</v>
      </c>
      <c r="CV22" s="10" t="n">
        <v>3000</v>
      </c>
      <c r="CW22" s="11" t="n"/>
      <c r="CX22" s="11" t="n">
        <v>3000</v>
      </c>
      <c r="CY22" s="11" t="n">
        <v>3000</v>
      </c>
      <c r="CZ22" s="10" t="n"/>
      <c r="DA22" s="10" t="n">
        <v>3000</v>
      </c>
      <c r="DB22" s="10" t="n">
        <v>3000</v>
      </c>
      <c r="DC22" s="11" t="n"/>
      <c r="DD22" s="11" t="n">
        <v>3000</v>
      </c>
      <c r="DE22" s="11" t="n">
        <v>3000</v>
      </c>
      <c r="DF22" s="10" t="n"/>
      <c r="DG22" s="10" t="n">
        <v>3000</v>
      </c>
      <c r="DH22" s="10" t="n">
        <v>3000</v>
      </c>
      <c r="DI22" s="11" t="n">
        <v>3000</v>
      </c>
      <c r="DJ22" s="11" t="n">
        <v>3000</v>
      </c>
      <c r="DK22" s="11" t="n">
        <v>3000</v>
      </c>
      <c r="DL22" s="10" t="n">
        <v>3000</v>
      </c>
      <c r="DM22" s="10" t="n">
        <v>3000</v>
      </c>
      <c r="DN22" s="10" t="n">
        <v>3000</v>
      </c>
    </row>
    <row r="23">
      <c r="A23" s="2" t="inlineStr">
        <is>
          <t>Market Research</t>
        </is>
      </c>
      <c r="B23" s="10">
        <f>IF(COUNT(AR23,AO23,AL23,AI23,AF23,AC23,Z23,W23,T23,Q23,N23,K23)=0,"",SUM(AR23,AO23,AL23,AI23,AF23,AC23,Z23,W23,T23,Q23,N23,K23))</f>
        <v/>
      </c>
      <c r="C23" s="10">
        <f>IF(COUNT(AS23,AP23,AM23,AJ23,AG23,AD23,AA23,X23,U23,R23,O23,L23)=0,"",SUM(AS23,AP23,AM23,AJ23,AG23,AD23,AA23,X23,U23,R23,O23,L23))</f>
        <v/>
      </c>
      <c r="D23" s="10">
        <f>IF(COUNT(AT23,AQ23,AN23,AK23,AH23,AE23,AB23,Y23,V23,S23,P23,M23)=0,"",SUM(AT23,AQ23,AN23,AK23,AH23,AE23,AB23,Y23,V23,S23,P23,M23))</f>
        <v/>
      </c>
      <c r="E23" s="11">
        <f>IF(COUNT(CB23,BY23,BV23,BS23,BP23,BM23,BJ23,BG23,BD23,BA23,AX23,AU23)=0,"",SUM(CB23,BY23,BV23,BS23,BP23,BM23,BJ23,BG23,BD23,BA23,AX23,AU23))</f>
        <v/>
      </c>
      <c r="F23" s="11">
        <f>IF(COUNT(CC23,BZ23,BW23,BT23,BQ23,BN23,BK23,BH23,BE23,BB23,AY23,AV23)=0,"",SUM(CC23,BZ23,BW23,BT23,BQ23,BN23,BK23,BH23,BE23,BB23,AY23,AV23))</f>
        <v/>
      </c>
      <c r="G23" s="11">
        <f>IF(COUNT(CD23,CA23,BX23,BU23,BR23,BO23,BL23,BI23,BF23,BC23,AZ23,AW23)=0,"",SUM(CD23,CA23,BX23,BU23,BR23,BO23,BL23,BI23,BF23,BC23,AZ23,AW23))</f>
        <v/>
      </c>
      <c r="H23" s="10">
        <f>IF(COUNT(DL23,DI23,DF23,DC23,CZ23,CW23,CT23,CQ23,CN23,CK23,CH23,CE23)=0,"",SUM(DL23,DI23,DF23,DC23,CZ23,CW23,CT23,CQ23,CN23,CK23,CH23,CE23))</f>
        <v/>
      </c>
      <c r="I23" s="10">
        <f>IF(COUNT(DM23,DJ23,DG23,DD23,DA23,CX23,CU23,CR23,CO23,CL23,CI23,CF23)=0,"",SUM(DM23,DJ23,DG23,DD23,DA23,CX23,CU23,CR23,CO23,CL23,CI23,CF23))</f>
        <v/>
      </c>
      <c r="J23" s="10">
        <f>IF(COUNT(DN23,DK23,DH23,DE23,DB23,CY23,CV23,CS23,CP23,CM23,CJ23,CG23)=0,"",SUM(DN23,DK23,DH23,DE23,DB23,CY23,CV23,CS23,CP23,CM23,CJ23,CG23))</f>
        <v/>
      </c>
      <c r="K23" s="11" t="n"/>
      <c r="L23" s="11" t="n">
        <v>2000</v>
      </c>
      <c r="M23" s="11" t="n">
        <v>2000</v>
      </c>
      <c r="N23" s="10" t="n"/>
      <c r="O23" s="10" t="n">
        <v>2000</v>
      </c>
      <c r="P23" s="10" t="n">
        <v>2000</v>
      </c>
      <c r="Q23" s="11" t="n"/>
      <c r="R23" s="11" t="n">
        <v>2000</v>
      </c>
      <c r="S23" s="11" t="n">
        <v>2000</v>
      </c>
      <c r="T23" s="10" t="n"/>
      <c r="U23" s="10" t="n">
        <v>2000</v>
      </c>
      <c r="V23" s="10" t="n">
        <v>2000</v>
      </c>
      <c r="W23" s="11" t="n"/>
      <c r="X23" s="11" t="n">
        <v>2000</v>
      </c>
      <c r="Y23" s="11" t="n">
        <v>2000</v>
      </c>
      <c r="Z23" s="10" t="n"/>
      <c r="AA23" s="10" t="n">
        <v>2000</v>
      </c>
      <c r="AB23" s="10" t="n">
        <v>2000</v>
      </c>
      <c r="AC23" s="11" t="n"/>
      <c r="AD23" s="11" t="n">
        <v>2000</v>
      </c>
      <c r="AE23" s="11" t="n">
        <v>2000</v>
      </c>
      <c r="AF23" s="10" t="n"/>
      <c r="AG23" s="10" t="n">
        <v>2000</v>
      </c>
      <c r="AH23" s="10" t="n">
        <v>2000</v>
      </c>
      <c r="AI23" s="11" t="n"/>
      <c r="AJ23" s="11" t="n">
        <v>2000</v>
      </c>
      <c r="AK23" s="11" t="n">
        <v>2000</v>
      </c>
      <c r="AL23" s="10" t="n"/>
      <c r="AM23" s="10" t="n">
        <v>2000</v>
      </c>
      <c r="AN23" s="10" t="n">
        <v>2000</v>
      </c>
      <c r="AO23" s="11" t="n"/>
      <c r="AP23" s="11" t="n">
        <v>2000</v>
      </c>
      <c r="AQ23" s="11" t="n">
        <v>2000</v>
      </c>
      <c r="AR23" s="10" t="n"/>
      <c r="AS23" s="10" t="n">
        <v>2000</v>
      </c>
      <c r="AT23" s="10" t="n">
        <v>2000</v>
      </c>
      <c r="AU23" s="11" t="n"/>
      <c r="AV23" s="11" t="n">
        <v>2000</v>
      </c>
      <c r="AW23" s="11" t="n">
        <v>2000</v>
      </c>
      <c r="AX23" s="10" t="n"/>
      <c r="AY23" s="10" t="n">
        <v>2000</v>
      </c>
      <c r="AZ23" s="10" t="n">
        <v>2000</v>
      </c>
      <c r="BA23" s="11" t="n"/>
      <c r="BB23" s="11" t="n">
        <v>2000</v>
      </c>
      <c r="BC23" s="11" t="n">
        <v>2000</v>
      </c>
      <c r="BD23" s="10" t="n"/>
      <c r="BE23" s="10" t="n">
        <v>2000</v>
      </c>
      <c r="BF23" s="10" t="n">
        <v>2000</v>
      </c>
      <c r="BG23" s="11" t="n"/>
      <c r="BH23" s="11" t="n">
        <v>2000</v>
      </c>
      <c r="BI23" s="11" t="n">
        <v>2000</v>
      </c>
      <c r="BJ23" s="10" t="n"/>
      <c r="BK23" s="10" t="n">
        <v>2000</v>
      </c>
      <c r="BL23" s="10" t="n">
        <v>2000</v>
      </c>
      <c r="BM23" s="11" t="n"/>
      <c r="BN23" s="11" t="n">
        <v>2000</v>
      </c>
      <c r="BO23" s="11" t="n">
        <v>2000</v>
      </c>
      <c r="BP23" s="10" t="n"/>
      <c r="BQ23" s="10" t="n">
        <v>2000</v>
      </c>
      <c r="BR23" s="10" t="n">
        <v>2000</v>
      </c>
      <c r="BS23" s="11" t="n"/>
      <c r="BT23" s="11" t="n">
        <v>2000</v>
      </c>
      <c r="BU23" s="11" t="n">
        <v>2000</v>
      </c>
      <c r="BV23" s="10" t="n"/>
      <c r="BW23" s="10" t="n">
        <v>2000</v>
      </c>
      <c r="BX23" s="10" t="n">
        <v>2000</v>
      </c>
      <c r="BY23" s="11" t="n"/>
      <c r="BZ23" s="11" t="n">
        <v>2000</v>
      </c>
      <c r="CA23" s="11" t="n">
        <v>2000</v>
      </c>
      <c r="CB23" s="10" t="n"/>
      <c r="CC23" s="10" t="n">
        <v>2000</v>
      </c>
      <c r="CD23" s="10" t="n">
        <v>2000</v>
      </c>
      <c r="CE23" s="11" t="n"/>
      <c r="CF23" s="11" t="n">
        <v>2000</v>
      </c>
      <c r="CG23" s="11" t="n">
        <v>2000</v>
      </c>
      <c r="CH23" s="10" t="n"/>
      <c r="CI23" s="10" t="n">
        <v>2000</v>
      </c>
      <c r="CJ23" s="10" t="n">
        <v>2000</v>
      </c>
      <c r="CK23" s="11" t="n"/>
      <c r="CL23" s="11" t="n">
        <v>2000</v>
      </c>
      <c r="CM23" s="11" t="n">
        <v>2000</v>
      </c>
      <c r="CN23" s="10" t="n"/>
      <c r="CO23" s="10" t="n">
        <v>2000</v>
      </c>
      <c r="CP23" s="10" t="n">
        <v>2000</v>
      </c>
      <c r="CQ23" s="11" t="n"/>
      <c r="CR23" s="11" t="n">
        <v>2000</v>
      </c>
      <c r="CS23" s="11" t="n">
        <v>2000</v>
      </c>
      <c r="CT23" s="10" t="n"/>
      <c r="CU23" s="10" t="n">
        <v>2000</v>
      </c>
      <c r="CV23" s="10" t="n">
        <v>2000</v>
      </c>
      <c r="CW23" s="11" t="n"/>
      <c r="CX23" s="11" t="n">
        <v>2000</v>
      </c>
      <c r="CY23" s="11" t="n">
        <v>2000</v>
      </c>
      <c r="CZ23" s="10" t="n"/>
      <c r="DA23" s="10" t="n">
        <v>2000</v>
      </c>
      <c r="DB23" s="10" t="n">
        <v>2000</v>
      </c>
      <c r="DC23" s="11" t="n"/>
      <c r="DD23" s="11" t="n">
        <v>2000</v>
      </c>
      <c r="DE23" s="11" t="n">
        <v>2000</v>
      </c>
      <c r="DF23" s="10" t="n"/>
      <c r="DG23" s="10" t="n">
        <v>2000</v>
      </c>
      <c r="DH23" s="10" t="n">
        <v>2000</v>
      </c>
      <c r="DI23" s="11" t="n">
        <v>2000</v>
      </c>
      <c r="DJ23" s="11" t="n">
        <v>2000</v>
      </c>
      <c r="DK23" s="11" t="n">
        <v>2000</v>
      </c>
      <c r="DL23" s="10" t="n">
        <v>2000</v>
      </c>
      <c r="DM23" s="10" t="n">
        <v>2000</v>
      </c>
      <c r="DN23" s="10" t="n">
        <v>2000</v>
      </c>
    </row>
    <row r="24">
      <c r="A24" s="2" t="inlineStr">
        <is>
          <t>Lead Lists and Data</t>
        </is>
      </c>
      <c r="B24" s="10">
        <f>IF(COUNT(AR24,AO24,AL24,AI24,AF24,AC24,Z24,W24,T24,Q24,N24,K24)=0,"",SUM(AR24,AO24,AL24,AI24,AF24,AC24,Z24,W24,T24,Q24,N24,K24))</f>
        <v/>
      </c>
      <c r="C24" s="10">
        <f>IF(COUNT(AS24,AP24,AM24,AJ24,AG24,AD24,AA24,X24,U24,R24,O24,L24)=0,"",SUM(AS24,AP24,AM24,AJ24,AG24,AD24,AA24,X24,U24,R24,O24,L24))</f>
        <v/>
      </c>
      <c r="D24" s="10">
        <f>IF(COUNT(AT24,AQ24,AN24,AK24,AH24,AE24,AB24,Y24,V24,S24,P24,M24)=0,"",SUM(AT24,AQ24,AN24,AK24,AH24,AE24,AB24,Y24,V24,S24,P24,M24))</f>
        <v/>
      </c>
      <c r="E24" s="11">
        <f>IF(COUNT(CB24,BY24,BV24,BS24,BP24,BM24,BJ24,BG24,BD24,BA24,AX24,AU24)=0,"",SUM(CB24,BY24,BV24,BS24,BP24,BM24,BJ24,BG24,BD24,BA24,AX24,AU24))</f>
        <v/>
      </c>
      <c r="F24" s="11">
        <f>IF(COUNT(CC24,BZ24,BW24,BT24,BQ24,BN24,BK24,BH24,BE24,BB24,AY24,AV24)=0,"",SUM(CC24,BZ24,BW24,BT24,BQ24,BN24,BK24,BH24,BE24,BB24,AY24,AV24))</f>
        <v/>
      </c>
      <c r="G24" s="11">
        <f>IF(COUNT(CD24,CA24,BX24,BU24,BR24,BO24,BL24,BI24,BF24,BC24,AZ24,AW24)=0,"",SUM(CD24,CA24,BX24,BU24,BR24,BO24,BL24,BI24,BF24,BC24,AZ24,AW24))</f>
        <v/>
      </c>
      <c r="H24" s="10">
        <f>IF(COUNT(DL24,DI24,DF24,DC24,CZ24,CW24,CT24,CQ24,CN24,CK24,CH24,CE24)=0,"",SUM(DL24,DI24,DF24,DC24,CZ24,CW24,CT24,CQ24,CN24,CK24,CH24,CE24))</f>
        <v/>
      </c>
      <c r="I24" s="10">
        <f>IF(COUNT(DM24,DJ24,DG24,DD24,DA24,CX24,CU24,CR24,CO24,CL24,CI24,CF24)=0,"",SUM(DM24,DJ24,DG24,DD24,DA24,CX24,CU24,CR24,CO24,CL24,CI24,CF24))</f>
        <v/>
      </c>
      <c r="J24" s="10">
        <f>IF(COUNT(DN24,DK24,DH24,DE24,DB24,CY24,CV24,CS24,CP24,CM24,CJ24,CG24)=0,"",SUM(DN24,DK24,DH24,DE24,DB24,CY24,CV24,CS24,CP24,CM24,CJ24,CG24))</f>
        <v/>
      </c>
      <c r="K24" s="11" t="n"/>
      <c r="L24" s="11" t="n">
        <v>3000</v>
      </c>
      <c r="M24" s="11" t="n">
        <v>3000</v>
      </c>
      <c r="N24" s="10" t="n"/>
      <c r="O24" s="10" t="n">
        <v>3000</v>
      </c>
      <c r="P24" s="10" t="n">
        <v>3000</v>
      </c>
      <c r="Q24" s="11" t="n"/>
      <c r="R24" s="11" t="n">
        <v>3000</v>
      </c>
      <c r="S24" s="11" t="n">
        <v>3000</v>
      </c>
      <c r="T24" s="10" t="n"/>
      <c r="U24" s="10" t="n">
        <v>3000</v>
      </c>
      <c r="V24" s="10" t="n">
        <v>3000</v>
      </c>
      <c r="W24" s="11" t="n"/>
      <c r="X24" s="11" t="n">
        <v>3000</v>
      </c>
      <c r="Y24" s="11" t="n">
        <v>3000</v>
      </c>
      <c r="Z24" s="10" t="n"/>
      <c r="AA24" s="10" t="n">
        <v>3000</v>
      </c>
      <c r="AB24" s="10" t="n">
        <v>3000</v>
      </c>
      <c r="AC24" s="11" t="n"/>
      <c r="AD24" s="11" t="n">
        <v>3000</v>
      </c>
      <c r="AE24" s="11" t="n">
        <v>3000</v>
      </c>
      <c r="AF24" s="10" t="n"/>
      <c r="AG24" s="10" t="n">
        <v>3000</v>
      </c>
      <c r="AH24" s="10" t="n">
        <v>3000</v>
      </c>
      <c r="AI24" s="11" t="n"/>
      <c r="AJ24" s="11" t="n">
        <v>3000</v>
      </c>
      <c r="AK24" s="11" t="n">
        <v>3000</v>
      </c>
      <c r="AL24" s="10" t="n"/>
      <c r="AM24" s="10" t="n">
        <v>3000</v>
      </c>
      <c r="AN24" s="10" t="n">
        <v>3000</v>
      </c>
      <c r="AO24" s="11" t="n"/>
      <c r="AP24" s="11" t="n">
        <v>3000</v>
      </c>
      <c r="AQ24" s="11" t="n">
        <v>3000</v>
      </c>
      <c r="AR24" s="10" t="n"/>
      <c r="AS24" s="10" t="n">
        <v>3000</v>
      </c>
      <c r="AT24" s="10" t="n">
        <v>3000</v>
      </c>
      <c r="AU24" s="11" t="n"/>
      <c r="AV24" s="11" t="n">
        <v>3000</v>
      </c>
      <c r="AW24" s="11" t="n">
        <v>3000</v>
      </c>
      <c r="AX24" s="10" t="n"/>
      <c r="AY24" s="10" t="n">
        <v>3000</v>
      </c>
      <c r="AZ24" s="10" t="n">
        <v>3000</v>
      </c>
      <c r="BA24" s="11" t="n"/>
      <c r="BB24" s="11" t="n">
        <v>3000</v>
      </c>
      <c r="BC24" s="11" t="n">
        <v>3000</v>
      </c>
      <c r="BD24" s="10" t="n"/>
      <c r="BE24" s="10" t="n">
        <v>3000</v>
      </c>
      <c r="BF24" s="10" t="n">
        <v>3000</v>
      </c>
      <c r="BG24" s="11" t="n"/>
      <c r="BH24" s="11" t="n">
        <v>3000</v>
      </c>
      <c r="BI24" s="11" t="n">
        <v>3000</v>
      </c>
      <c r="BJ24" s="10" t="n"/>
      <c r="BK24" s="10" t="n">
        <v>3000</v>
      </c>
      <c r="BL24" s="10" t="n">
        <v>3000</v>
      </c>
      <c r="BM24" s="11" t="n"/>
      <c r="BN24" s="11" t="n">
        <v>3000</v>
      </c>
      <c r="BO24" s="11" t="n">
        <v>3000</v>
      </c>
      <c r="BP24" s="10" t="n"/>
      <c r="BQ24" s="10" t="n">
        <v>3000</v>
      </c>
      <c r="BR24" s="10" t="n">
        <v>3000</v>
      </c>
      <c r="BS24" s="11" t="n"/>
      <c r="BT24" s="11" t="n">
        <v>3000</v>
      </c>
      <c r="BU24" s="11" t="n">
        <v>3000</v>
      </c>
      <c r="BV24" s="10" t="n"/>
      <c r="BW24" s="10" t="n">
        <v>3000</v>
      </c>
      <c r="BX24" s="10" t="n">
        <v>3000</v>
      </c>
      <c r="BY24" s="11" t="n"/>
      <c r="BZ24" s="11" t="n">
        <v>3000</v>
      </c>
      <c r="CA24" s="11" t="n">
        <v>3000</v>
      </c>
      <c r="CB24" s="10" t="n"/>
      <c r="CC24" s="10" t="n">
        <v>3000</v>
      </c>
      <c r="CD24" s="10" t="n">
        <v>3000</v>
      </c>
      <c r="CE24" s="11" t="n"/>
      <c r="CF24" s="11" t="n">
        <v>3000</v>
      </c>
      <c r="CG24" s="11" t="n">
        <v>3000</v>
      </c>
      <c r="CH24" s="10" t="n"/>
      <c r="CI24" s="10" t="n">
        <v>3000</v>
      </c>
      <c r="CJ24" s="10" t="n">
        <v>3000</v>
      </c>
      <c r="CK24" s="11" t="n"/>
      <c r="CL24" s="11" t="n">
        <v>3000</v>
      </c>
      <c r="CM24" s="11" t="n">
        <v>3000</v>
      </c>
      <c r="CN24" s="10" t="n"/>
      <c r="CO24" s="10" t="n">
        <v>3000</v>
      </c>
      <c r="CP24" s="10" t="n">
        <v>3000</v>
      </c>
      <c r="CQ24" s="11" t="n"/>
      <c r="CR24" s="11" t="n">
        <v>3000</v>
      </c>
      <c r="CS24" s="11" t="n">
        <v>3000</v>
      </c>
      <c r="CT24" s="10" t="n"/>
      <c r="CU24" s="10" t="n">
        <v>3000</v>
      </c>
      <c r="CV24" s="10" t="n">
        <v>3000</v>
      </c>
      <c r="CW24" s="11" t="n"/>
      <c r="CX24" s="11" t="n">
        <v>3000</v>
      </c>
      <c r="CY24" s="11" t="n">
        <v>3000</v>
      </c>
      <c r="CZ24" s="10" t="n"/>
      <c r="DA24" s="10" t="n">
        <v>3000</v>
      </c>
      <c r="DB24" s="10" t="n">
        <v>3000</v>
      </c>
      <c r="DC24" s="11" t="n"/>
      <c r="DD24" s="11" t="n">
        <v>3000</v>
      </c>
      <c r="DE24" s="11" t="n">
        <v>3000</v>
      </c>
      <c r="DF24" s="10" t="n"/>
      <c r="DG24" s="10" t="n">
        <v>3000</v>
      </c>
      <c r="DH24" s="10" t="n">
        <v>3000</v>
      </c>
      <c r="DI24" s="11" t="n">
        <v>3000</v>
      </c>
      <c r="DJ24" s="11" t="n">
        <v>3000</v>
      </c>
      <c r="DK24" s="11" t="n">
        <v>3000</v>
      </c>
      <c r="DL24" s="10" t="n">
        <v>3000</v>
      </c>
      <c r="DM24" s="10" t="n">
        <v>3000</v>
      </c>
      <c r="DN24" s="10" t="n">
        <v>3000</v>
      </c>
    </row>
    <row r="25">
      <c r="A25" s="2" t="inlineStr">
        <is>
          <t>Promotional Items and Collateral</t>
        </is>
      </c>
      <c r="B25" s="10">
        <f>IF(COUNT(AR25,AO25,AL25,AI25,AF25,AC25,Z25,W25,T25,Q25,N25,K25)=0,"",SUM(AR25,AO25,AL25,AI25,AF25,AC25,Z25,W25,T25,Q25,N25,K25))</f>
        <v/>
      </c>
      <c r="C25" s="10">
        <f>IF(COUNT(AS25,AP25,AM25,AJ25,AG25,AD25,AA25,X25,U25,R25,O25,L25)=0,"",SUM(AS25,AP25,AM25,AJ25,AG25,AD25,AA25,X25,U25,R25,O25,L25))</f>
        <v/>
      </c>
      <c r="D25" s="10">
        <f>IF(COUNT(AT25,AQ25,AN25,AK25,AH25,AE25,AB25,Y25,V25,S25,P25,M25)=0,"",SUM(AT25,AQ25,AN25,AK25,AH25,AE25,AB25,Y25,V25,S25,P25,M25))</f>
        <v/>
      </c>
      <c r="E25" s="11">
        <f>IF(COUNT(CB25,BY25,BV25,BS25,BP25,BM25,BJ25,BG25,BD25,BA25,AX25,AU25)=0,"",SUM(CB25,BY25,BV25,BS25,BP25,BM25,BJ25,BG25,BD25,BA25,AX25,AU25))</f>
        <v/>
      </c>
      <c r="F25" s="11">
        <f>IF(COUNT(CC25,BZ25,BW25,BT25,BQ25,BN25,BK25,BH25,BE25,BB25,AY25,AV25)=0,"",SUM(CC25,BZ25,BW25,BT25,BQ25,BN25,BK25,BH25,BE25,BB25,AY25,AV25))</f>
        <v/>
      </c>
      <c r="G25" s="11">
        <f>IF(COUNT(CD25,CA25,BX25,BU25,BR25,BO25,BL25,BI25,BF25,BC25,AZ25,AW25)=0,"",SUM(CD25,CA25,BX25,BU25,BR25,BO25,BL25,BI25,BF25,BC25,AZ25,AW25))</f>
        <v/>
      </c>
      <c r="H25" s="10">
        <f>IF(COUNT(DL25,DI25,DF25,DC25,CZ25,CW25,CT25,CQ25,CN25,CK25,CH25,CE25)=0,"",SUM(DL25,DI25,DF25,DC25,CZ25,CW25,CT25,CQ25,CN25,CK25,CH25,CE25))</f>
        <v/>
      </c>
      <c r="I25" s="10">
        <f>IF(COUNT(DM25,DJ25,DG25,DD25,DA25,CX25,CU25,CR25,CO25,CL25,CI25,CF25)=0,"",SUM(DM25,DJ25,DG25,DD25,DA25,CX25,CU25,CR25,CO25,CL25,CI25,CF25))</f>
        <v/>
      </c>
      <c r="J25" s="10">
        <f>IF(COUNT(DN25,DK25,DH25,DE25,DB25,CY25,CV25,CS25,CP25,CM25,CJ25,CG25)=0,"",SUM(DN25,DK25,DH25,DE25,DB25,CY25,CV25,CS25,CP25,CM25,CJ25,CG25))</f>
        <v/>
      </c>
      <c r="K25" s="11" t="n"/>
      <c r="L25" s="11" t="n">
        <v>2000</v>
      </c>
      <c r="M25" s="11" t="n">
        <v>2000</v>
      </c>
      <c r="N25" s="10" t="n"/>
      <c r="O25" s="10" t="n">
        <v>2000</v>
      </c>
      <c r="P25" s="10" t="n">
        <v>2000</v>
      </c>
      <c r="Q25" s="11" t="n"/>
      <c r="R25" s="11" t="n">
        <v>2000</v>
      </c>
      <c r="S25" s="11" t="n">
        <v>2000</v>
      </c>
      <c r="T25" s="10" t="n"/>
      <c r="U25" s="10" t="n">
        <v>2000</v>
      </c>
      <c r="V25" s="10" t="n">
        <v>2000</v>
      </c>
      <c r="W25" s="11" t="n"/>
      <c r="X25" s="11" t="n">
        <v>2000</v>
      </c>
      <c r="Y25" s="11" t="n">
        <v>2000</v>
      </c>
      <c r="Z25" s="10" t="n"/>
      <c r="AA25" s="10" t="n">
        <v>2000</v>
      </c>
      <c r="AB25" s="10" t="n">
        <v>2000</v>
      </c>
      <c r="AC25" s="11" t="n"/>
      <c r="AD25" s="11" t="n">
        <v>2000</v>
      </c>
      <c r="AE25" s="11" t="n">
        <v>2000</v>
      </c>
      <c r="AF25" s="10" t="n"/>
      <c r="AG25" s="10" t="n">
        <v>2000</v>
      </c>
      <c r="AH25" s="10" t="n">
        <v>2000</v>
      </c>
      <c r="AI25" s="11" t="n"/>
      <c r="AJ25" s="11" t="n">
        <v>2000</v>
      </c>
      <c r="AK25" s="11" t="n">
        <v>2000</v>
      </c>
      <c r="AL25" s="10" t="n"/>
      <c r="AM25" s="10" t="n">
        <v>2000</v>
      </c>
      <c r="AN25" s="10" t="n">
        <v>2000</v>
      </c>
      <c r="AO25" s="11" t="n"/>
      <c r="AP25" s="11" t="n">
        <v>2000</v>
      </c>
      <c r="AQ25" s="11" t="n">
        <v>2000</v>
      </c>
      <c r="AR25" s="10" t="n"/>
      <c r="AS25" s="10" t="n">
        <v>2000</v>
      </c>
      <c r="AT25" s="10" t="n">
        <v>2000</v>
      </c>
      <c r="AU25" s="11" t="n"/>
      <c r="AV25" s="11" t="n">
        <v>2000</v>
      </c>
      <c r="AW25" s="11" t="n">
        <v>2000</v>
      </c>
      <c r="AX25" s="10" t="n"/>
      <c r="AY25" s="10" t="n">
        <v>2000</v>
      </c>
      <c r="AZ25" s="10" t="n">
        <v>2000</v>
      </c>
      <c r="BA25" s="11" t="n"/>
      <c r="BB25" s="11" t="n">
        <v>2000</v>
      </c>
      <c r="BC25" s="11" t="n">
        <v>2000</v>
      </c>
      <c r="BD25" s="10" t="n"/>
      <c r="BE25" s="10" t="n">
        <v>2000</v>
      </c>
      <c r="BF25" s="10" t="n">
        <v>2000</v>
      </c>
      <c r="BG25" s="11" t="n"/>
      <c r="BH25" s="11" t="n">
        <v>2000</v>
      </c>
      <c r="BI25" s="11" t="n">
        <v>2000</v>
      </c>
      <c r="BJ25" s="10" t="n"/>
      <c r="BK25" s="10" t="n">
        <v>2000</v>
      </c>
      <c r="BL25" s="10" t="n">
        <v>2000</v>
      </c>
      <c r="BM25" s="11" t="n"/>
      <c r="BN25" s="11" t="n">
        <v>2000</v>
      </c>
      <c r="BO25" s="11" t="n">
        <v>2000</v>
      </c>
      <c r="BP25" s="10" t="n"/>
      <c r="BQ25" s="10" t="n">
        <v>2000</v>
      </c>
      <c r="BR25" s="10" t="n">
        <v>2000</v>
      </c>
      <c r="BS25" s="11" t="n"/>
      <c r="BT25" s="11" t="n">
        <v>2000</v>
      </c>
      <c r="BU25" s="11" t="n">
        <v>2000</v>
      </c>
      <c r="BV25" s="10" t="n"/>
      <c r="BW25" s="10" t="n">
        <v>2000</v>
      </c>
      <c r="BX25" s="10" t="n">
        <v>2000</v>
      </c>
      <c r="BY25" s="11" t="n"/>
      <c r="BZ25" s="11" t="n">
        <v>2000</v>
      </c>
      <c r="CA25" s="11" t="n">
        <v>2000</v>
      </c>
      <c r="CB25" s="10" t="n"/>
      <c r="CC25" s="10" t="n">
        <v>2000</v>
      </c>
      <c r="CD25" s="10" t="n">
        <v>2000</v>
      </c>
      <c r="CE25" s="11" t="n"/>
      <c r="CF25" s="11" t="n">
        <v>2000</v>
      </c>
      <c r="CG25" s="11" t="n">
        <v>2000</v>
      </c>
      <c r="CH25" s="10" t="n"/>
      <c r="CI25" s="10" t="n">
        <v>2000</v>
      </c>
      <c r="CJ25" s="10" t="n">
        <v>2000</v>
      </c>
      <c r="CK25" s="11" t="n"/>
      <c r="CL25" s="11" t="n">
        <v>2000</v>
      </c>
      <c r="CM25" s="11" t="n">
        <v>2000</v>
      </c>
      <c r="CN25" s="10" t="n"/>
      <c r="CO25" s="10" t="n">
        <v>2000</v>
      </c>
      <c r="CP25" s="10" t="n">
        <v>2000</v>
      </c>
      <c r="CQ25" s="11" t="n"/>
      <c r="CR25" s="11" t="n">
        <v>2000</v>
      </c>
      <c r="CS25" s="11" t="n">
        <v>2000</v>
      </c>
      <c r="CT25" s="10" t="n"/>
      <c r="CU25" s="10" t="n">
        <v>2000</v>
      </c>
      <c r="CV25" s="10" t="n">
        <v>2000</v>
      </c>
      <c r="CW25" s="11" t="n"/>
      <c r="CX25" s="11" t="n">
        <v>2000</v>
      </c>
      <c r="CY25" s="11" t="n">
        <v>2000</v>
      </c>
      <c r="CZ25" s="10" t="n"/>
      <c r="DA25" s="10" t="n">
        <v>2000</v>
      </c>
      <c r="DB25" s="10" t="n">
        <v>2000</v>
      </c>
      <c r="DC25" s="11" t="n"/>
      <c r="DD25" s="11" t="n">
        <v>2000</v>
      </c>
      <c r="DE25" s="11" t="n">
        <v>2000</v>
      </c>
      <c r="DF25" s="10" t="n"/>
      <c r="DG25" s="10" t="n">
        <v>2000</v>
      </c>
      <c r="DH25" s="10" t="n">
        <v>2000</v>
      </c>
      <c r="DI25" s="11" t="n">
        <v>2000</v>
      </c>
      <c r="DJ25" s="11" t="n">
        <v>2000</v>
      </c>
      <c r="DK25" s="11" t="n">
        <v>2000</v>
      </c>
      <c r="DL25" s="10" t="n">
        <v>2000</v>
      </c>
      <c r="DM25" s="10" t="n">
        <v>2000</v>
      </c>
      <c r="DN25" s="10" t="n">
        <v>2000</v>
      </c>
    </row>
    <row r="26">
      <c r="A26" s="2" t="inlineStr">
        <is>
          <t>Agency Fees</t>
        </is>
      </c>
      <c r="B26" s="10">
        <f>IF(COUNT(AR26,AO26,AL26,AI26,AF26,AC26,Z26,W26,T26,Q26,N26,K26)=0,"",SUM(AR26,AO26,AL26,AI26,AF26,AC26,Z26,W26,T26,Q26,N26,K26))</f>
        <v/>
      </c>
      <c r="C26" s="10">
        <f>IF(COUNT(AS26,AP26,AM26,AJ26,AG26,AD26,AA26,X26,U26,R26,O26,L26)=0,"",SUM(AS26,AP26,AM26,AJ26,AG26,AD26,AA26,X26,U26,R26,O26,L26))</f>
        <v/>
      </c>
      <c r="D26" s="10">
        <f>IF(COUNT(AT26,AQ26,AN26,AK26,AH26,AE26,AB26,Y26,V26,S26,P26,M26)=0,"",SUM(AT26,AQ26,AN26,AK26,AH26,AE26,AB26,Y26,V26,S26,P26,M26))</f>
        <v/>
      </c>
      <c r="E26" s="11">
        <f>IF(COUNT(CB26,BY26,BV26,BS26,BP26,BM26,BJ26,BG26,BD26,BA26,AX26,AU26)=0,"",SUM(CB26,BY26,BV26,BS26,BP26,BM26,BJ26,BG26,BD26,BA26,AX26,AU26))</f>
        <v/>
      </c>
      <c r="F26" s="11">
        <f>IF(COUNT(CC26,BZ26,BW26,BT26,BQ26,BN26,BK26,BH26,BE26,BB26,AY26,AV26)=0,"",SUM(CC26,BZ26,BW26,BT26,BQ26,BN26,BK26,BH26,BE26,BB26,AY26,AV26))</f>
        <v/>
      </c>
      <c r="G26" s="11">
        <f>IF(COUNT(CD26,CA26,BX26,BU26,BR26,BO26,BL26,BI26,BF26,BC26,AZ26,AW26)=0,"",SUM(CD26,CA26,BX26,BU26,BR26,BO26,BL26,BI26,BF26,BC26,AZ26,AW26))</f>
        <v/>
      </c>
      <c r="H26" s="10">
        <f>IF(COUNT(DL26,DI26,DF26,DC26,CZ26,CW26,CT26,CQ26,CN26,CK26,CH26,CE26)=0,"",SUM(DL26,DI26,DF26,DC26,CZ26,CW26,CT26,CQ26,CN26,CK26,CH26,CE26))</f>
        <v/>
      </c>
      <c r="I26" s="10">
        <f>IF(COUNT(DM26,DJ26,DG26,DD26,DA26,CX26,CU26,CR26,CO26,CL26,CI26,CF26)=0,"",SUM(DM26,DJ26,DG26,DD26,DA26,CX26,CU26,CR26,CO26,CL26,CI26,CF26))</f>
        <v/>
      </c>
      <c r="J26" s="10">
        <f>IF(COUNT(DN26,DK26,DH26,DE26,DB26,CY26,CV26,CS26,CP26,CM26,CJ26,CG26)=0,"",SUM(DN26,DK26,DH26,DE26,DB26,CY26,CV26,CS26,CP26,CM26,CJ26,CG26))</f>
        <v/>
      </c>
      <c r="K26" s="11" t="n"/>
      <c r="L26" s="11" t="n">
        <v>5000</v>
      </c>
      <c r="M26" s="11" t="n">
        <v>5000</v>
      </c>
      <c r="N26" s="10" t="n"/>
      <c r="O26" s="10" t="n">
        <v>5000</v>
      </c>
      <c r="P26" s="10" t="n">
        <v>5000</v>
      </c>
      <c r="Q26" s="11" t="n"/>
      <c r="R26" s="11" t="n">
        <v>5000</v>
      </c>
      <c r="S26" s="11" t="n">
        <v>5000</v>
      </c>
      <c r="T26" s="10" t="n"/>
      <c r="U26" s="10" t="n">
        <v>5000</v>
      </c>
      <c r="V26" s="10" t="n">
        <v>5000</v>
      </c>
      <c r="W26" s="11" t="n"/>
      <c r="X26" s="11" t="n">
        <v>5000</v>
      </c>
      <c r="Y26" s="11" t="n">
        <v>5000</v>
      </c>
      <c r="Z26" s="10" t="n"/>
      <c r="AA26" s="10" t="n">
        <v>5000</v>
      </c>
      <c r="AB26" s="10" t="n">
        <v>5000</v>
      </c>
      <c r="AC26" s="11" t="n"/>
      <c r="AD26" s="11" t="n">
        <v>5000</v>
      </c>
      <c r="AE26" s="11" t="n">
        <v>5000</v>
      </c>
      <c r="AF26" s="10" t="n"/>
      <c r="AG26" s="10" t="n">
        <v>5000</v>
      </c>
      <c r="AH26" s="10" t="n">
        <v>5000</v>
      </c>
      <c r="AI26" s="11" t="n"/>
      <c r="AJ26" s="11" t="n">
        <v>5000</v>
      </c>
      <c r="AK26" s="11" t="n">
        <v>5000</v>
      </c>
      <c r="AL26" s="10" t="n"/>
      <c r="AM26" s="10" t="n">
        <v>5000</v>
      </c>
      <c r="AN26" s="10" t="n">
        <v>5000</v>
      </c>
      <c r="AO26" s="11" t="n"/>
      <c r="AP26" s="11" t="n">
        <v>5000</v>
      </c>
      <c r="AQ26" s="11" t="n">
        <v>5000</v>
      </c>
      <c r="AR26" s="10" t="n"/>
      <c r="AS26" s="10" t="n">
        <v>5000</v>
      </c>
      <c r="AT26" s="10" t="n">
        <v>5000</v>
      </c>
      <c r="AU26" s="11" t="n"/>
      <c r="AV26" s="11" t="n">
        <v>5000</v>
      </c>
      <c r="AW26" s="11" t="n">
        <v>5000</v>
      </c>
      <c r="AX26" s="10" t="n"/>
      <c r="AY26" s="10" t="n">
        <v>5000</v>
      </c>
      <c r="AZ26" s="10" t="n">
        <v>5000</v>
      </c>
      <c r="BA26" s="11" t="n"/>
      <c r="BB26" s="11" t="n">
        <v>5000</v>
      </c>
      <c r="BC26" s="11" t="n">
        <v>5000</v>
      </c>
      <c r="BD26" s="10" t="n"/>
      <c r="BE26" s="10" t="n">
        <v>5000</v>
      </c>
      <c r="BF26" s="10" t="n">
        <v>5000</v>
      </c>
      <c r="BG26" s="11" t="n"/>
      <c r="BH26" s="11" t="n">
        <v>5000</v>
      </c>
      <c r="BI26" s="11" t="n">
        <v>5000</v>
      </c>
      <c r="BJ26" s="10" t="n"/>
      <c r="BK26" s="10" t="n">
        <v>5000</v>
      </c>
      <c r="BL26" s="10" t="n">
        <v>5000</v>
      </c>
      <c r="BM26" s="11" t="n"/>
      <c r="BN26" s="11" t="n">
        <v>5000</v>
      </c>
      <c r="BO26" s="11" t="n">
        <v>5000</v>
      </c>
      <c r="BP26" s="10" t="n"/>
      <c r="BQ26" s="10" t="n">
        <v>5000</v>
      </c>
      <c r="BR26" s="10" t="n">
        <v>5000</v>
      </c>
      <c r="BS26" s="11" t="n"/>
      <c r="BT26" s="11" t="n">
        <v>5000</v>
      </c>
      <c r="BU26" s="11" t="n">
        <v>5000</v>
      </c>
      <c r="BV26" s="10" t="n"/>
      <c r="BW26" s="10" t="n">
        <v>5000</v>
      </c>
      <c r="BX26" s="10" t="n">
        <v>5000</v>
      </c>
      <c r="BY26" s="11" t="n"/>
      <c r="BZ26" s="11" t="n">
        <v>5000</v>
      </c>
      <c r="CA26" s="11" t="n">
        <v>5000</v>
      </c>
      <c r="CB26" s="10" t="n"/>
      <c r="CC26" s="10" t="n">
        <v>5000</v>
      </c>
      <c r="CD26" s="10" t="n">
        <v>5000</v>
      </c>
      <c r="CE26" s="11" t="n"/>
      <c r="CF26" s="11" t="n">
        <v>5000</v>
      </c>
      <c r="CG26" s="11" t="n">
        <v>5000</v>
      </c>
      <c r="CH26" s="10" t="n"/>
      <c r="CI26" s="10" t="n">
        <v>5000</v>
      </c>
      <c r="CJ26" s="10" t="n">
        <v>5000</v>
      </c>
      <c r="CK26" s="11" t="n"/>
      <c r="CL26" s="11" t="n">
        <v>5000</v>
      </c>
      <c r="CM26" s="11" t="n">
        <v>5000</v>
      </c>
      <c r="CN26" s="10" t="n"/>
      <c r="CO26" s="10" t="n">
        <v>5000</v>
      </c>
      <c r="CP26" s="10" t="n">
        <v>5000</v>
      </c>
      <c r="CQ26" s="11" t="n"/>
      <c r="CR26" s="11" t="n">
        <v>5000</v>
      </c>
      <c r="CS26" s="11" t="n">
        <v>5000</v>
      </c>
      <c r="CT26" s="10" t="n"/>
      <c r="CU26" s="10" t="n">
        <v>5000</v>
      </c>
      <c r="CV26" s="10" t="n">
        <v>5000</v>
      </c>
      <c r="CW26" s="11" t="n"/>
      <c r="CX26" s="11" t="n">
        <v>5000</v>
      </c>
      <c r="CY26" s="11" t="n">
        <v>5000</v>
      </c>
      <c r="CZ26" s="10" t="n"/>
      <c r="DA26" s="10" t="n">
        <v>5000</v>
      </c>
      <c r="DB26" s="10" t="n">
        <v>5000</v>
      </c>
      <c r="DC26" s="11" t="n"/>
      <c r="DD26" s="11" t="n">
        <v>5000</v>
      </c>
      <c r="DE26" s="11" t="n">
        <v>5000</v>
      </c>
      <c r="DF26" s="10" t="n"/>
      <c r="DG26" s="10" t="n">
        <v>5000</v>
      </c>
      <c r="DH26" s="10" t="n">
        <v>5000</v>
      </c>
      <c r="DI26" s="11" t="n">
        <v>5000</v>
      </c>
      <c r="DJ26" s="11" t="n">
        <v>5000</v>
      </c>
      <c r="DK26" s="11" t="n">
        <v>5000</v>
      </c>
      <c r="DL26" s="10" t="n">
        <v>5000</v>
      </c>
      <c r="DM26" s="10" t="n">
        <v>5000</v>
      </c>
      <c r="DN26" s="10" t="n">
        <v>5000</v>
      </c>
    </row>
    <row r="27">
      <c r="A27" s="12" t="inlineStr">
        <is>
          <t>Total Marketing Programs</t>
        </is>
      </c>
      <c r="B27" s="13">
        <f>IF(COUNT(AR27,AO27,AL27,AI27,AF27,AC27,Z27,W27,T27,Q27,N27,K27)=0,"",SUM(AR27,AO27,AL27,AI27,AF27,AC27,Z27,W27,T27,Q27,N27,K27))</f>
        <v/>
      </c>
      <c r="C27" s="13">
        <f>IF(COUNT(AS27,AP27,AM27,AJ27,AG27,AD27,AA27,X27,U27,R27,O27,L27)=0,"",SUM(AS27,AP27,AM27,AJ27,AG27,AD27,AA27,X27,U27,R27,O27,L27))</f>
        <v/>
      </c>
      <c r="D27" s="13">
        <f>IF(COUNT(AT27,AQ27,AN27,AK27,AH27,AE27,AB27,Y27,V27,S27,P27,M27)=0,"",SUM(AT27,AQ27,AN27,AK27,AH27,AE27,AB27,Y27,V27,S27,P27,M27))</f>
        <v/>
      </c>
      <c r="E27" s="14">
        <f>IF(COUNT(CB27,BY27,BV27,BS27,BP27,BM27,BJ27,BG27,BD27,BA27,AX27,AU27)=0,"",SUM(CB27,BY27,BV27,BS27,BP27,BM27,BJ27,BG27,BD27,BA27,AX27,AU27))</f>
        <v/>
      </c>
      <c r="F27" s="14">
        <f>IF(COUNT(CC27,BZ27,BW27,BT27,BQ27,BN27,BK27,BH27,BE27,BB27,AY27,AV27)=0,"",SUM(CC27,BZ27,BW27,BT27,BQ27,BN27,BK27,BH27,BE27,BB27,AY27,AV27))</f>
        <v/>
      </c>
      <c r="G27" s="14">
        <f>IF(COUNT(CD27,CA27,BX27,BU27,BR27,BO27,BL27,BI27,BF27,BC27,AZ27,AW27)=0,"",SUM(CD27,CA27,BX27,BU27,BR27,BO27,BL27,BI27,BF27,BC27,AZ27,AW27))</f>
        <v/>
      </c>
      <c r="H27" s="13">
        <f>IF(COUNT(DL27,DI27,DF27,DC27,CZ27,CW27,CT27,CQ27,CN27,CK27,CH27,CE27)=0,"",SUM(DL27,DI27,DF27,DC27,CZ27,CW27,CT27,CQ27,CN27,CK27,CH27,CE27))</f>
        <v/>
      </c>
      <c r="I27" s="13">
        <f>IF(COUNT(DM27,DJ27,DG27,DD27,DA27,CX27,CU27,CR27,CO27,CL27,CI27,CF27)=0,"",SUM(DM27,DJ27,DG27,DD27,DA27,CX27,CU27,CR27,CO27,CL27,CI27,CF27))</f>
        <v/>
      </c>
      <c r="J27" s="13">
        <f>IF(COUNT(DN27,DK27,DH27,DE27,DB27,CY27,CV27,CS27,CP27,CM27,CJ27,CG27)=0,"",SUM(DN27,DK27,DH27,DE27,DB27,CY27,CV27,CS27,CP27,CM27,CJ27,CG27))</f>
        <v/>
      </c>
      <c r="K27" s="14">
        <f>IF(COUNT(K18,K19,K20,K21,K22,K23,K24,K25,K26)=0,"",SUM(K18:K26))</f>
        <v/>
      </c>
      <c r="L27" s="14">
        <f>SUM(L18:L26)</f>
        <v/>
      </c>
      <c r="M27" s="14">
        <f>SUM(M18:M26)</f>
        <v/>
      </c>
      <c r="N27" s="13">
        <f>IF(COUNT(N18,N19,N20,N21,N22,N23,N24,N25,N26)=0,"",SUM(N18:N26))</f>
        <v/>
      </c>
      <c r="O27" s="13">
        <f>SUM(O18:O26)</f>
        <v/>
      </c>
      <c r="P27" s="13">
        <f>SUM(P18:P26)</f>
        <v/>
      </c>
      <c r="Q27" s="14">
        <f>IF(COUNT(Q18,Q19,Q20,Q21,Q22,Q23,Q24,Q25,Q26)=0,"",SUM(Q18:Q26))</f>
        <v/>
      </c>
      <c r="R27" s="14">
        <f>SUM(R18:R26)</f>
        <v/>
      </c>
      <c r="S27" s="14">
        <f>SUM(S18:S26)</f>
        <v/>
      </c>
      <c r="T27" s="13">
        <f>IF(COUNT(T18,T19,T20,T21,T22,T23,T24,T25,T26)=0,"",SUM(T18:T26))</f>
        <v/>
      </c>
      <c r="U27" s="13">
        <f>SUM(U18:U26)</f>
        <v/>
      </c>
      <c r="V27" s="13">
        <f>SUM(V18:V26)</f>
        <v/>
      </c>
      <c r="W27" s="14">
        <f>IF(COUNT(W18,W19,W20,W21,W22,W23,W24,W25,W26)=0,"",SUM(W18:W26))</f>
        <v/>
      </c>
      <c r="X27" s="14">
        <f>SUM(X18:X26)</f>
        <v/>
      </c>
      <c r="Y27" s="14">
        <f>SUM(Y18:Y26)</f>
        <v/>
      </c>
      <c r="Z27" s="13">
        <f>IF(COUNT(Z18,Z19,Z20,Z21,Z22,Z23,Z24,Z25,Z26)=0,"",SUM(Z18:Z26))</f>
        <v/>
      </c>
      <c r="AA27" s="13">
        <f>SUM(AA18:AA26)</f>
        <v/>
      </c>
      <c r="AB27" s="13">
        <f>SUM(AB18:AB26)</f>
        <v/>
      </c>
      <c r="AC27" s="14">
        <f>IF(COUNT(AC18,AC19,AC20,AC21,AC22,AC23,AC24,AC25,AC26)=0,"",SUM(AC18:AC26))</f>
        <v/>
      </c>
      <c r="AD27" s="14">
        <f>SUM(AD18:AD26)</f>
        <v/>
      </c>
      <c r="AE27" s="14">
        <f>SUM(AE18:AE26)</f>
        <v/>
      </c>
      <c r="AF27" s="13">
        <f>IF(COUNT(AF18,AF19,AF20,AF21,AF22,AF23,AF24,AF25,AF26)=0,"",SUM(AF18:AF26))</f>
        <v/>
      </c>
      <c r="AG27" s="13">
        <f>SUM(AG18:AG26)</f>
        <v/>
      </c>
      <c r="AH27" s="13">
        <f>SUM(AH18:AH26)</f>
        <v/>
      </c>
      <c r="AI27" s="14">
        <f>IF(COUNT(AI18,AI19,AI20,AI21,AI22,AI23,AI24,AI25,AI26)=0,"",SUM(AI18:AI26))</f>
        <v/>
      </c>
      <c r="AJ27" s="14">
        <f>SUM(AJ18:AJ26)</f>
        <v/>
      </c>
      <c r="AK27" s="14">
        <f>SUM(AK18:AK26)</f>
        <v/>
      </c>
      <c r="AL27" s="13">
        <f>IF(COUNT(AL18,AL19,AL20,AL21,AL22,AL23,AL24,AL25,AL26)=0,"",SUM(AL18:AL26))</f>
        <v/>
      </c>
      <c r="AM27" s="13">
        <f>SUM(AM18:AM26)</f>
        <v/>
      </c>
      <c r="AN27" s="13">
        <f>SUM(AN18:AN26)</f>
        <v/>
      </c>
      <c r="AO27" s="14">
        <f>IF(COUNT(AO18,AO19,AO20,AO21,AO22,AO23,AO24,AO25,AO26)=0,"",SUM(AO18:AO26))</f>
        <v/>
      </c>
      <c r="AP27" s="14">
        <f>SUM(AP18:AP26)</f>
        <v/>
      </c>
      <c r="AQ27" s="14">
        <f>SUM(AQ18:AQ26)</f>
        <v/>
      </c>
      <c r="AR27" s="13">
        <f>IF(COUNT(AR18,AR19,AR20,AR21,AR22,AR23,AR24,AR25,AR26)=0,"",SUM(AR18:AR26))</f>
        <v/>
      </c>
      <c r="AS27" s="13">
        <f>SUM(AS18:AS26)</f>
        <v/>
      </c>
      <c r="AT27" s="13">
        <f>SUM(AT18:AT26)</f>
        <v/>
      </c>
      <c r="AU27" s="14">
        <f>IF(COUNT(AU18,AU19,AU20,AU21,AU22,AU23,AU24,AU25,AU26)=0,"",SUM(AU18:AU26))</f>
        <v/>
      </c>
      <c r="AV27" s="14">
        <f>SUM(AV18:AV26)</f>
        <v/>
      </c>
      <c r="AW27" s="14">
        <f>SUM(AW18:AW26)</f>
        <v/>
      </c>
      <c r="AX27" s="13">
        <f>IF(COUNT(AX18,AX19,AX20,AX21,AX22,AX23,AX24,AX25,AX26)=0,"",SUM(AX18:AX26))</f>
        <v/>
      </c>
      <c r="AY27" s="13">
        <f>SUM(AY18:AY26)</f>
        <v/>
      </c>
      <c r="AZ27" s="13">
        <f>SUM(AZ18:AZ26)</f>
        <v/>
      </c>
      <c r="BA27" s="14">
        <f>IF(COUNT(BA18,BA19,BA20,BA21,BA22,BA23,BA24,BA25,BA26)=0,"",SUM(BA18:BA26))</f>
        <v/>
      </c>
      <c r="BB27" s="14">
        <f>SUM(BB18:BB26)</f>
        <v/>
      </c>
      <c r="BC27" s="14">
        <f>SUM(BC18:BC26)</f>
        <v/>
      </c>
      <c r="BD27" s="13">
        <f>IF(COUNT(BD18,BD19,BD20,BD21,BD22,BD23,BD24,BD25,BD26)=0,"",SUM(BD18:BD26))</f>
        <v/>
      </c>
      <c r="BE27" s="13">
        <f>SUM(BE18:BE26)</f>
        <v/>
      </c>
      <c r="BF27" s="13">
        <f>SUM(BF18:BF26)</f>
        <v/>
      </c>
      <c r="BG27" s="14">
        <f>IF(COUNT(BG18,BG19,BG20,BG21,BG22,BG23,BG24,BG25,BG26)=0,"",SUM(BG18:BG26))</f>
        <v/>
      </c>
      <c r="BH27" s="14">
        <f>SUM(BH18:BH26)</f>
        <v/>
      </c>
      <c r="BI27" s="14">
        <f>SUM(BI18:BI26)</f>
        <v/>
      </c>
      <c r="BJ27" s="13">
        <f>IF(COUNT(BJ18,BJ19,BJ20,BJ21,BJ22,BJ23,BJ24,BJ25,BJ26)=0,"",SUM(BJ18:BJ26))</f>
        <v/>
      </c>
      <c r="BK27" s="13">
        <f>SUM(BK18:BK26)</f>
        <v/>
      </c>
      <c r="BL27" s="13">
        <f>SUM(BL18:BL26)</f>
        <v/>
      </c>
      <c r="BM27" s="14">
        <f>IF(COUNT(BM18,BM19,BM20,BM21,BM22,BM23,BM24,BM25,BM26)=0,"",SUM(BM18:BM26))</f>
        <v/>
      </c>
      <c r="BN27" s="14">
        <f>SUM(BN18:BN26)</f>
        <v/>
      </c>
      <c r="BO27" s="14">
        <f>SUM(BO18:BO26)</f>
        <v/>
      </c>
      <c r="BP27" s="13">
        <f>IF(COUNT(BP18,BP19,BP20,BP21,BP22,BP23,BP24,BP25,BP26)=0,"",SUM(BP18:BP26))</f>
        <v/>
      </c>
      <c r="BQ27" s="13">
        <f>SUM(BQ18:BQ26)</f>
        <v/>
      </c>
      <c r="BR27" s="13">
        <f>SUM(BR18:BR26)</f>
        <v/>
      </c>
      <c r="BS27" s="14">
        <f>IF(COUNT(BS18,BS19,BS20,BS21,BS22,BS23,BS24,BS25,BS26)=0,"",SUM(BS18:BS26))</f>
        <v/>
      </c>
      <c r="BT27" s="14">
        <f>SUM(BT18:BT26)</f>
        <v/>
      </c>
      <c r="BU27" s="14">
        <f>SUM(BU18:BU26)</f>
        <v/>
      </c>
      <c r="BV27" s="13">
        <f>IF(COUNT(BV18,BV19,BV20,BV21,BV22,BV23,BV24,BV25,BV26)=0,"",SUM(BV18:BV26))</f>
        <v/>
      </c>
      <c r="BW27" s="13">
        <f>SUM(BW18:BW26)</f>
        <v/>
      </c>
      <c r="BX27" s="13">
        <f>SUM(BX18:BX26)</f>
        <v/>
      </c>
      <c r="BY27" s="14">
        <f>IF(COUNT(BY18,BY19,BY20,BY21,BY22,BY23,BY24,BY25,BY26)=0,"",SUM(BY18:BY26))</f>
        <v/>
      </c>
      <c r="BZ27" s="14">
        <f>SUM(BZ18:BZ26)</f>
        <v/>
      </c>
      <c r="CA27" s="14">
        <f>SUM(CA18:CA26)</f>
        <v/>
      </c>
      <c r="CB27" s="13">
        <f>IF(COUNT(CB18,CB19,CB20,CB21,CB22,CB23,CB24,CB25,CB26)=0,"",SUM(CB18:CB26))</f>
        <v/>
      </c>
      <c r="CC27" s="13">
        <f>SUM(CC18:CC26)</f>
        <v/>
      </c>
      <c r="CD27" s="13">
        <f>SUM(CD18:CD26)</f>
        <v/>
      </c>
      <c r="CE27" s="14">
        <f>IF(COUNT(CE18,CE19,CE20,CE21,CE22,CE23,CE24,CE25,CE26)=0,"",SUM(CE18:CE26))</f>
        <v/>
      </c>
      <c r="CF27" s="14">
        <f>SUM(CF18:CF26)</f>
        <v/>
      </c>
      <c r="CG27" s="14">
        <f>SUM(CG18:CG26)</f>
        <v/>
      </c>
      <c r="CH27" s="13">
        <f>IF(COUNT(CH18,CH19,CH20,CH21,CH22,CH23,CH24,CH25,CH26)=0,"",SUM(CH18:CH26))</f>
        <v/>
      </c>
      <c r="CI27" s="13">
        <f>SUM(CI18:CI26)</f>
        <v/>
      </c>
      <c r="CJ27" s="13">
        <f>SUM(CJ18:CJ26)</f>
        <v/>
      </c>
      <c r="CK27" s="14">
        <f>IF(COUNT(CK18,CK19,CK20,CK21,CK22,CK23,CK24,CK25,CK26)=0,"",SUM(CK18:CK26))</f>
        <v/>
      </c>
      <c r="CL27" s="14">
        <f>SUM(CL18:CL26)</f>
        <v/>
      </c>
      <c r="CM27" s="14">
        <f>SUM(CM18:CM26)</f>
        <v/>
      </c>
      <c r="CN27" s="13">
        <f>IF(COUNT(CN18,CN19,CN20,CN21,CN22,CN23,CN24,CN25,CN26)=0,"",SUM(CN18:CN26))</f>
        <v/>
      </c>
      <c r="CO27" s="13">
        <f>SUM(CO18:CO26)</f>
        <v/>
      </c>
      <c r="CP27" s="13">
        <f>SUM(CP18:CP26)</f>
        <v/>
      </c>
      <c r="CQ27" s="14">
        <f>IF(COUNT(CQ18,CQ19,CQ20,CQ21,CQ22,CQ23,CQ24,CQ25,CQ26)=0,"",SUM(CQ18:CQ26))</f>
        <v/>
      </c>
      <c r="CR27" s="14">
        <f>SUM(CR18:CR26)</f>
        <v/>
      </c>
      <c r="CS27" s="14">
        <f>SUM(CS18:CS26)</f>
        <v/>
      </c>
      <c r="CT27" s="13">
        <f>IF(COUNT(CT18,CT19,CT20,CT21,CT22,CT23,CT24,CT25,CT26)=0,"",SUM(CT18:CT26))</f>
        <v/>
      </c>
      <c r="CU27" s="13">
        <f>SUM(CU18:CU26)</f>
        <v/>
      </c>
      <c r="CV27" s="13">
        <f>SUM(CV18:CV26)</f>
        <v/>
      </c>
      <c r="CW27" s="14">
        <f>IF(COUNT(CW18,CW19,CW20,CW21,CW22,CW23,CW24,CW25,CW26)=0,"",SUM(CW18:CW26))</f>
        <v/>
      </c>
      <c r="CX27" s="14">
        <f>SUM(CX18:CX26)</f>
        <v/>
      </c>
      <c r="CY27" s="14">
        <f>SUM(CY18:CY26)</f>
        <v/>
      </c>
      <c r="CZ27" s="13">
        <f>IF(COUNT(CZ18,CZ19,CZ20,CZ21,CZ22,CZ23,CZ24,CZ25,CZ26)=0,"",SUM(CZ18:CZ26))</f>
        <v/>
      </c>
      <c r="DA27" s="13">
        <f>SUM(DA18:DA26)</f>
        <v/>
      </c>
      <c r="DB27" s="13">
        <f>SUM(DB18:DB26)</f>
        <v/>
      </c>
      <c r="DC27" s="14">
        <f>IF(COUNT(DC18,DC19,DC20,DC21,DC22,DC23,DC24,DC25,DC26)=0,"",SUM(DC18:DC26))</f>
        <v/>
      </c>
      <c r="DD27" s="14">
        <f>SUM(DD18:DD26)</f>
        <v/>
      </c>
      <c r="DE27" s="14">
        <f>SUM(DE18:DE26)</f>
        <v/>
      </c>
      <c r="DF27" s="13">
        <f>IF(COUNT(DF18,DF19,DF20,DF21,DF22,DF23,DF24,DF25,DF26)=0,"",SUM(DF18:DF26))</f>
        <v/>
      </c>
      <c r="DG27" s="13">
        <f>SUM(DG18:DG26)</f>
        <v/>
      </c>
      <c r="DH27" s="13">
        <f>SUM(DH18:DH26)</f>
        <v/>
      </c>
      <c r="DI27" s="14">
        <f>IF(COUNT(DI18,DI19,DI20,DI21,DI22,DI23,DI24,DI25,DI26)=0,"",SUM(DI18:DI26))</f>
        <v/>
      </c>
      <c r="DJ27" s="14">
        <f>SUM(DJ18:DJ26)</f>
        <v/>
      </c>
      <c r="DK27" s="14">
        <f>SUM(DK18:DK26)</f>
        <v/>
      </c>
      <c r="DL27" s="13">
        <f>IF(COUNT(DL18,DL19,DL20,DL21,DL22,DL23,DL24,DL25,DL26)=0,"",SUM(DL18:DL26))</f>
        <v/>
      </c>
      <c r="DM27" s="13">
        <f>SUM(DM18:DM26)</f>
        <v/>
      </c>
      <c r="DN27" s="13">
        <f>SUM(DN18:DN26)</f>
        <v/>
      </c>
    </row>
    <row r="28">
      <c r="A28" s="12" t="inlineStr">
        <is>
          <t>Total Marketing Cost</t>
        </is>
      </c>
      <c r="B28" s="13">
        <f>IF(COUNT(AR28,AO28,AL28,AI28,AF28,AC28,Z28,W28,T28,Q28,N28,K28)=0,"",SUM(AR28,AO28,AL28,AI28,AF28,AC28,Z28,W28,T28,Q28,N28,K28))</f>
        <v/>
      </c>
      <c r="C28" s="13">
        <f>IF(COUNT(AS28,AP28,AM28,AJ28,AG28,AD28,AA28,X28,U28,R28,O28,L28)=0,"",SUM(AS28,AP28,AM28,AJ28,AG28,AD28,AA28,X28,U28,R28,O28,L28))</f>
        <v/>
      </c>
      <c r="D28" s="13">
        <f>IF(COUNT(AT28,AQ28,AN28,AK28,AH28,AE28,AB28,Y28,V28,S28,P28,M28)=0,"",SUM(AT28,AQ28,AN28,AK28,AH28,AE28,AB28,Y28,V28,S28,P28,M28))</f>
        <v/>
      </c>
      <c r="E28" s="14">
        <f>IF(COUNT(CB28,BY28,BV28,BS28,BP28,BM28,BJ28,BG28,BD28,BA28,AX28,AU28)=0,"",SUM(CB28,BY28,BV28,BS28,BP28,BM28,BJ28,BG28,BD28,BA28,AX28,AU28))</f>
        <v/>
      </c>
      <c r="F28" s="14">
        <f>IF(COUNT(CC28,BZ28,BW28,BT28,BQ28,BN28,BK28,BH28,BE28,BB28,AY28,AV28)=0,"",SUM(CC28,BZ28,BW28,BT28,BQ28,BN28,BK28,BH28,BE28,BB28,AY28,AV28))</f>
        <v/>
      </c>
      <c r="G28" s="14">
        <f>IF(COUNT(CD28,CA28,BX28,BU28,BR28,BO28,BL28,BI28,BF28,BC28,AZ28,AW28)=0,"",SUM(CD28,CA28,BX28,BU28,BR28,BO28,BL28,BI28,BF28,BC28,AZ28,AW28))</f>
        <v/>
      </c>
      <c r="H28" s="13">
        <f>IF(COUNT(DL28,DI28,DF28,DC28,CZ28,CW28,CT28,CQ28,CN28,CK28,CH28,CE28)=0,"",SUM(DL28,DI28,DF28,DC28,CZ28,CW28,CT28,CQ28,CN28,CK28,CH28,CE28))</f>
        <v/>
      </c>
      <c r="I28" s="13">
        <f>IF(COUNT(DM28,DJ28,DG28,DD28,DA28,CX28,CU28,CR28,CO28,CL28,CI28,CF28)=0,"",SUM(DM28,DJ28,DG28,DD28,DA28,CX28,CU28,CR28,CO28,CL28,CI28,CF28))</f>
        <v/>
      </c>
      <c r="J28" s="13">
        <f>IF(COUNT(DN28,DK28,DH28,DE28,DB28,CY28,CV28,CS28,CP28,CM28,CJ28,CG28)=0,"",SUM(DN28,DK28,DH28,DE28,DB28,CY28,CV28,CS28,CP28,CM28,CJ28,CG28))</f>
        <v/>
      </c>
      <c r="K28" s="14">
        <f>IF(COUNT(K17,K27)=0,"",K17+K27)</f>
        <v/>
      </c>
      <c r="L28" s="14">
        <f>L17+L27</f>
        <v/>
      </c>
      <c r="M28" s="14">
        <f>M17+M27</f>
        <v/>
      </c>
      <c r="N28" s="13">
        <f>IF(COUNT(N17,N27)=0,"",N17+N27)</f>
        <v/>
      </c>
      <c r="O28" s="13">
        <f>O17+O27</f>
        <v/>
      </c>
      <c r="P28" s="13">
        <f>P17+P27</f>
        <v/>
      </c>
      <c r="Q28" s="14">
        <f>IF(COUNT(Q17,Q27)=0,"",Q17+Q27)</f>
        <v/>
      </c>
      <c r="R28" s="14">
        <f>R17+R27</f>
        <v/>
      </c>
      <c r="S28" s="14">
        <f>S17+S27</f>
        <v/>
      </c>
      <c r="T28" s="13">
        <f>IF(COUNT(T17,T27)=0,"",T17+T27)</f>
        <v/>
      </c>
      <c r="U28" s="13">
        <f>U17+U27</f>
        <v/>
      </c>
      <c r="V28" s="13">
        <f>V17+V27</f>
        <v/>
      </c>
      <c r="W28" s="14">
        <f>IF(COUNT(W17,W27)=0,"",W17+W27)</f>
        <v/>
      </c>
      <c r="X28" s="14">
        <f>X17+X27</f>
        <v/>
      </c>
      <c r="Y28" s="14">
        <f>Y17+Y27</f>
        <v/>
      </c>
      <c r="Z28" s="13">
        <f>IF(COUNT(Z17,Z27)=0,"",Z17+Z27)</f>
        <v/>
      </c>
      <c r="AA28" s="13">
        <f>AA17+AA27</f>
        <v/>
      </c>
      <c r="AB28" s="13">
        <f>AB17+AB27</f>
        <v/>
      </c>
      <c r="AC28" s="14">
        <f>IF(COUNT(AC17,AC27)=0,"",AC17+AC27)</f>
        <v/>
      </c>
      <c r="AD28" s="14">
        <f>AD17+AD27</f>
        <v/>
      </c>
      <c r="AE28" s="14">
        <f>AE17+AE27</f>
        <v/>
      </c>
      <c r="AF28" s="13">
        <f>IF(COUNT(AF17,AF27)=0,"",AF17+AF27)</f>
        <v/>
      </c>
      <c r="AG28" s="13">
        <f>AG17+AG27</f>
        <v/>
      </c>
      <c r="AH28" s="13">
        <f>AH17+AH27</f>
        <v/>
      </c>
      <c r="AI28" s="14">
        <f>IF(COUNT(AI17,AI27)=0,"",AI17+AI27)</f>
        <v/>
      </c>
      <c r="AJ28" s="14">
        <f>AJ17+AJ27</f>
        <v/>
      </c>
      <c r="AK28" s="14">
        <f>AK17+AK27</f>
        <v/>
      </c>
      <c r="AL28" s="13">
        <f>IF(COUNT(AL17,AL27)=0,"",AL17+AL27)</f>
        <v/>
      </c>
      <c r="AM28" s="13">
        <f>AM17+AM27</f>
        <v/>
      </c>
      <c r="AN28" s="13">
        <f>AN17+AN27</f>
        <v/>
      </c>
      <c r="AO28" s="14">
        <f>IF(COUNT(AO17,AO27)=0,"",AO17+AO27)</f>
        <v/>
      </c>
      <c r="AP28" s="14">
        <f>AP17+AP27</f>
        <v/>
      </c>
      <c r="AQ28" s="14">
        <f>AQ17+AQ27</f>
        <v/>
      </c>
      <c r="AR28" s="13">
        <f>IF(COUNT(AR17,AR27)=0,"",AR17+AR27)</f>
        <v/>
      </c>
      <c r="AS28" s="13">
        <f>AS17+AS27</f>
        <v/>
      </c>
      <c r="AT28" s="13">
        <f>AT17+AT27</f>
        <v/>
      </c>
      <c r="AU28" s="14">
        <f>IF(COUNT(AU17,AU27)=0,"",AU17+AU27)</f>
        <v/>
      </c>
      <c r="AV28" s="14">
        <f>AV17+AV27</f>
        <v/>
      </c>
      <c r="AW28" s="14">
        <f>AW17+AW27</f>
        <v/>
      </c>
      <c r="AX28" s="13">
        <f>IF(COUNT(AX17,AX27)=0,"",AX17+AX27)</f>
        <v/>
      </c>
      <c r="AY28" s="13">
        <f>AY17+AY27</f>
        <v/>
      </c>
      <c r="AZ28" s="13">
        <f>AZ17+AZ27</f>
        <v/>
      </c>
      <c r="BA28" s="14">
        <f>IF(COUNT(BA17,BA27)=0,"",BA17+BA27)</f>
        <v/>
      </c>
      <c r="BB28" s="14">
        <f>BB17+BB27</f>
        <v/>
      </c>
      <c r="BC28" s="14">
        <f>BC17+BC27</f>
        <v/>
      </c>
      <c r="BD28" s="13">
        <f>IF(COUNT(BD17,BD27)=0,"",BD17+BD27)</f>
        <v/>
      </c>
      <c r="BE28" s="13">
        <f>BE17+BE27</f>
        <v/>
      </c>
      <c r="BF28" s="13">
        <f>BF17+BF27</f>
        <v/>
      </c>
      <c r="BG28" s="14">
        <f>IF(COUNT(BG17,BG27)=0,"",BG17+BG27)</f>
        <v/>
      </c>
      <c r="BH28" s="14">
        <f>BH17+BH27</f>
        <v/>
      </c>
      <c r="BI28" s="14">
        <f>BI17+BI27</f>
        <v/>
      </c>
      <c r="BJ28" s="13">
        <f>IF(COUNT(BJ17,BJ27)=0,"",BJ17+BJ27)</f>
        <v/>
      </c>
      <c r="BK28" s="13">
        <f>BK17+BK27</f>
        <v/>
      </c>
      <c r="BL28" s="13">
        <f>BL17+BL27</f>
        <v/>
      </c>
      <c r="BM28" s="14">
        <f>IF(COUNT(BM17,BM27)=0,"",BM17+BM27)</f>
        <v/>
      </c>
      <c r="BN28" s="14">
        <f>BN17+BN27</f>
        <v/>
      </c>
      <c r="BO28" s="14">
        <f>BO17+BO27</f>
        <v/>
      </c>
      <c r="BP28" s="13">
        <f>IF(COUNT(BP17,BP27)=0,"",BP17+BP27)</f>
        <v/>
      </c>
      <c r="BQ28" s="13">
        <f>BQ17+BQ27</f>
        <v/>
      </c>
      <c r="BR28" s="13">
        <f>BR17+BR27</f>
        <v/>
      </c>
      <c r="BS28" s="14">
        <f>IF(COUNT(BS17,BS27)=0,"",BS17+BS27)</f>
        <v/>
      </c>
      <c r="BT28" s="14">
        <f>BT17+BT27</f>
        <v/>
      </c>
      <c r="BU28" s="14">
        <f>BU17+BU27</f>
        <v/>
      </c>
      <c r="BV28" s="13">
        <f>IF(COUNT(BV17,BV27)=0,"",BV17+BV27)</f>
        <v/>
      </c>
      <c r="BW28" s="13">
        <f>BW17+BW27</f>
        <v/>
      </c>
      <c r="BX28" s="13">
        <f>BX17+BX27</f>
        <v/>
      </c>
      <c r="BY28" s="14">
        <f>IF(COUNT(BY17,BY27)=0,"",BY17+BY27)</f>
        <v/>
      </c>
      <c r="BZ28" s="14">
        <f>BZ17+BZ27</f>
        <v/>
      </c>
      <c r="CA28" s="14">
        <f>CA17+CA27</f>
        <v/>
      </c>
      <c r="CB28" s="13">
        <f>IF(COUNT(CB17,CB27)=0,"",CB17+CB27)</f>
        <v/>
      </c>
      <c r="CC28" s="13">
        <f>CC17+CC27</f>
        <v/>
      </c>
      <c r="CD28" s="13">
        <f>CD17+CD27</f>
        <v/>
      </c>
      <c r="CE28" s="14">
        <f>IF(COUNT(CE17,CE27)=0,"",CE17+CE27)</f>
        <v/>
      </c>
      <c r="CF28" s="14">
        <f>CF17+CF27</f>
        <v/>
      </c>
      <c r="CG28" s="14">
        <f>CG17+CG27</f>
        <v/>
      </c>
      <c r="CH28" s="13">
        <f>IF(COUNT(CH17,CH27)=0,"",CH17+CH27)</f>
        <v/>
      </c>
      <c r="CI28" s="13">
        <f>CI17+CI27</f>
        <v/>
      </c>
      <c r="CJ28" s="13">
        <f>CJ17+CJ27</f>
        <v/>
      </c>
      <c r="CK28" s="14">
        <f>IF(COUNT(CK17,CK27)=0,"",CK17+CK27)</f>
        <v/>
      </c>
      <c r="CL28" s="14">
        <f>CL17+CL27</f>
        <v/>
      </c>
      <c r="CM28" s="14">
        <f>CM17+CM27</f>
        <v/>
      </c>
      <c r="CN28" s="13">
        <f>IF(COUNT(CN17,CN27)=0,"",CN17+CN27)</f>
        <v/>
      </c>
      <c r="CO28" s="13">
        <f>CO17+CO27</f>
        <v/>
      </c>
      <c r="CP28" s="13">
        <f>CP17+CP27</f>
        <v/>
      </c>
      <c r="CQ28" s="14">
        <f>IF(COUNT(CQ17,CQ27)=0,"",CQ17+CQ27)</f>
        <v/>
      </c>
      <c r="CR28" s="14">
        <f>CR17+CR27</f>
        <v/>
      </c>
      <c r="CS28" s="14">
        <f>CS17+CS27</f>
        <v/>
      </c>
      <c r="CT28" s="13">
        <f>IF(COUNT(CT17,CT27)=0,"",CT17+CT27)</f>
        <v/>
      </c>
      <c r="CU28" s="13">
        <f>CU17+CU27</f>
        <v/>
      </c>
      <c r="CV28" s="13">
        <f>CV17+CV27</f>
        <v/>
      </c>
      <c r="CW28" s="14">
        <f>IF(COUNT(CW17,CW27)=0,"",CW17+CW27)</f>
        <v/>
      </c>
      <c r="CX28" s="14">
        <f>CX17+CX27</f>
        <v/>
      </c>
      <c r="CY28" s="14">
        <f>CY17+CY27</f>
        <v/>
      </c>
      <c r="CZ28" s="13">
        <f>IF(COUNT(CZ17,CZ27)=0,"",CZ17+CZ27)</f>
        <v/>
      </c>
      <c r="DA28" s="13">
        <f>DA17+DA27</f>
        <v/>
      </c>
      <c r="DB28" s="13">
        <f>DB17+DB27</f>
        <v/>
      </c>
      <c r="DC28" s="14">
        <f>IF(COUNT(DC17,DC27)=0,"",DC17+DC27)</f>
        <v/>
      </c>
      <c r="DD28" s="14">
        <f>DD17+DD27</f>
        <v/>
      </c>
      <c r="DE28" s="14">
        <f>DE17+DE27</f>
        <v/>
      </c>
      <c r="DF28" s="13">
        <f>IF(COUNT(DF17,DF27)=0,"",DF17+DF27)</f>
        <v/>
      </c>
      <c r="DG28" s="13">
        <f>DG17+DG27</f>
        <v/>
      </c>
      <c r="DH28" s="13">
        <f>DH17+DH27</f>
        <v/>
      </c>
      <c r="DI28" s="14">
        <f>IF(COUNT(DI17,DI27)=0,"",DI17+DI27)</f>
        <v/>
      </c>
      <c r="DJ28" s="14">
        <f>DJ17+DJ27</f>
        <v/>
      </c>
      <c r="DK28" s="14">
        <f>DK17+DK27</f>
        <v/>
      </c>
      <c r="DL28" s="13">
        <f>IF(COUNT(DL17,DL27)=0,"",DL17+DL27)</f>
        <v/>
      </c>
      <c r="DM28" s="13">
        <f>DM17+DM27</f>
        <v/>
      </c>
      <c r="DN28" s="13">
        <f>DN17+DN27</f>
        <v/>
      </c>
    </row>
    <row r="29">
      <c r="A29" s="2" t="inlineStr">
        <is>
          <t>Cost per MQL</t>
        </is>
      </c>
      <c r="B29" s="22">
        <f>IF(SUM(AR5,AO5,AL5,AI5,AF5,AC5,Z5,W5,T5,Q5,N5,K5)=0,"",SUM(AR28,AO28,AL28,AI28,AF28,AC28,Z28,W28,T28,Q28,N28,K28)/SUM(AR5,AO5,AL5,AI5,AF5,AC5,Z5,W5,T5,Q5,N5,K5))</f>
        <v/>
      </c>
      <c r="C29" s="22">
        <f>IF(SUM(AS5,AP5,AM5,AJ5,AG5,AD5,AA5,X5,U5,R5,O5,L5)=0,"",SUM(AS28,AP28,AM28,AJ28,AG28,AD28,AA28,X28,U28,R28,O28,L28)/SUM(AS5,AP5,AM5,AJ5,AG5,AD5,AA5,X5,U5,R5,O5,L5))</f>
        <v/>
      </c>
      <c r="D29" s="22">
        <f>IF(SUM(AT5,AQ5,AN5,AK5,AH5,AE5,AB5,Y5,V5,S5,P5,M5)=0,"",SUM(AT28,AQ28,AN28,AK28,AH28,AE28,AB28,Y28,V28,S28,P28,M28)/SUM(AT5,AQ5,AN5,AK5,AH5,AE5,AB5,Y5,V5,S5,P5,M5))</f>
        <v/>
      </c>
      <c r="E29" s="23">
        <f>IF(SUM(CB5,BY5,BV5,BS5,BP5,BM5,BJ5,BG5,BD5,BA5,AX5,AU5)=0,"",SUM(CB28,BY28,BV28,BS28,BP28,BM28,BJ28,BG28,BD28,BA28,AX28,AU28)/SUM(CB5,BY5,BV5,BS5,BP5,BM5,BJ5,BG5,BD5,BA5,AX5,AU5))</f>
        <v/>
      </c>
      <c r="F29" s="23">
        <f>IF(SUM(CC5,BZ5,BW5,BT5,BQ5,BN5,BK5,BH5,BE5,BB5,AY5,AV5)=0,"",SUM(CC28,BZ28,BW28,BT28,BQ28,BN28,BK28,BH28,BE28,BB28,AY28,AV28)/SUM(CC5,BZ5,BW5,BT5,BQ5,BN5,BK5,BH5,BE5,BB5,AY5,AV5))</f>
        <v/>
      </c>
      <c r="G29" s="23">
        <f>IF(SUM(CD5,CA5,BX5,BU5,BR5,BO5,BL5,BI5,BF5,BC5,AZ5,AW5)=0,"",SUM(CD28,CA28,BX28,BU28,BR28,BO28,BL28,BI28,BF28,BC28,AZ28,AW28)/SUM(CD5,CA5,BX5,BU5,BR5,BO5,BL5,BI5,BF5,BC5,AZ5,AW5))</f>
        <v/>
      </c>
      <c r="H29" s="22">
        <f>IF(SUM(DL5,DI5,DF5,DC5,CZ5,CW5,CT5,CQ5,CN5,CK5,CH5,CE5)=0,"",SUM(DL28,DI28,DF28,DC28,CZ28,CW28,CT28,CQ28,CN28,CK28,CH28,CE28)/SUM(DL5,DI5,DF5,DC5,CZ5,CW5,CT5,CQ5,CN5,CK5,CH5,CE5))</f>
        <v/>
      </c>
      <c r="I29" s="22">
        <f>IF(SUM(DM5,DJ5,DG5,DD5,DA5,CX5,CU5,CR5,CO5,CL5,CI5,CF5)=0,"",SUM(DM28,DJ28,DG28,DD28,DA28,CX28,CU28,CR28,CO28,CL28,CI28,CF28)/SUM(DM5,DJ5,DG5,DD5,DA5,CX5,CU5,CR5,CO5,CL5,CI5,CF5))</f>
        <v/>
      </c>
      <c r="J29" s="22">
        <f>IF(SUM(DN5,DK5,DH5,DE5,DB5,CY5,CV5,CS5,CP5,CM5,CJ5,CG5)=0,"",SUM(DN28,DK28,DH28,DE28,DB28,CY28,CV28,CS28,CP28,CM28,CJ28,CG28)/SUM(DN5,DK5,DH5,DE5,DB5,CY5,CV5,CS5,CP5,CM5,CJ5,CG5))</f>
        <v/>
      </c>
      <c r="K29" s="23">
        <f>IF(COUNT(K28,K5)=2,IF(N(K5)=0,"",K28/K5),"")</f>
        <v/>
      </c>
      <c r="L29" s="23">
        <f>IF(N(L5)=0,"",L28/L5)</f>
        <v/>
      </c>
      <c r="M29" s="23">
        <f>IF(N(M5)=0,"",M28/M5)</f>
        <v/>
      </c>
      <c r="N29" s="22">
        <f>IF(COUNT(N28,N5)=2,IF(N(N5)=0,"",N28/N5),"")</f>
        <v/>
      </c>
      <c r="O29" s="22">
        <f>IF(N(O5)=0,"",O28/O5)</f>
        <v/>
      </c>
      <c r="P29" s="22">
        <f>IF(N(P5)=0,"",P28/P5)</f>
        <v/>
      </c>
      <c r="Q29" s="23">
        <f>IF(COUNT(Q28,Q5)=2,IF(N(Q5)=0,"",Q28/Q5),"")</f>
        <v/>
      </c>
      <c r="R29" s="23">
        <f>IF(N(R5)=0,"",R28/R5)</f>
        <v/>
      </c>
      <c r="S29" s="23">
        <f>IF(N(S5)=0,"",S28/S5)</f>
        <v/>
      </c>
      <c r="T29" s="22">
        <f>IF(COUNT(T28,T5)=2,IF(N(T5)=0,"",T28/T5),"")</f>
        <v/>
      </c>
      <c r="U29" s="22">
        <f>IF(N(U5)=0,"",U28/U5)</f>
        <v/>
      </c>
      <c r="V29" s="22">
        <f>IF(N(V5)=0,"",V28/V5)</f>
        <v/>
      </c>
      <c r="W29" s="23">
        <f>IF(COUNT(W28,W5)=2,IF(N(W5)=0,"",W28/W5),"")</f>
        <v/>
      </c>
      <c r="X29" s="23">
        <f>IF(N(X5)=0,"",X28/X5)</f>
        <v/>
      </c>
      <c r="Y29" s="23">
        <f>IF(N(Y5)=0,"",Y28/Y5)</f>
        <v/>
      </c>
      <c r="Z29" s="22">
        <f>IF(COUNT(Z28,Z5)=2,IF(N(Z5)=0,"",Z28/Z5),"")</f>
        <v/>
      </c>
      <c r="AA29" s="22">
        <f>IF(N(AA5)=0,"",AA28/AA5)</f>
        <v/>
      </c>
      <c r="AB29" s="22">
        <f>IF(N(AB5)=0,"",AB28/AB5)</f>
        <v/>
      </c>
      <c r="AC29" s="23">
        <f>IF(COUNT(AC28,AC5)=2,IF(N(AC5)=0,"",AC28/AC5),"")</f>
        <v/>
      </c>
      <c r="AD29" s="23">
        <f>IF(N(AD5)=0,"",AD28/AD5)</f>
        <v/>
      </c>
      <c r="AE29" s="23">
        <f>IF(N(AE5)=0,"",AE28/AE5)</f>
        <v/>
      </c>
      <c r="AF29" s="22">
        <f>IF(COUNT(AF28,AF5)=2,IF(N(AF5)=0,"",AF28/AF5),"")</f>
        <v/>
      </c>
      <c r="AG29" s="22">
        <f>IF(N(AG5)=0,"",AG28/AG5)</f>
        <v/>
      </c>
      <c r="AH29" s="22">
        <f>IF(N(AH5)=0,"",AH28/AH5)</f>
        <v/>
      </c>
      <c r="AI29" s="23">
        <f>IF(COUNT(AI28,AI5)=2,IF(N(AI5)=0,"",AI28/AI5),"")</f>
        <v/>
      </c>
      <c r="AJ29" s="23">
        <f>IF(N(AJ5)=0,"",AJ28/AJ5)</f>
        <v/>
      </c>
      <c r="AK29" s="23">
        <f>IF(N(AK5)=0,"",AK28/AK5)</f>
        <v/>
      </c>
      <c r="AL29" s="22">
        <f>IF(COUNT(AL28,AL5)=2,IF(N(AL5)=0,"",AL28/AL5),"")</f>
        <v/>
      </c>
      <c r="AM29" s="22">
        <f>IF(N(AM5)=0,"",AM28/AM5)</f>
        <v/>
      </c>
      <c r="AN29" s="22">
        <f>IF(N(AN5)=0,"",AN28/AN5)</f>
        <v/>
      </c>
      <c r="AO29" s="23">
        <f>IF(COUNT(AO28,AO5)=2,IF(N(AO5)=0,"",AO28/AO5),"")</f>
        <v/>
      </c>
      <c r="AP29" s="23">
        <f>IF(N(AP5)=0,"",AP28/AP5)</f>
        <v/>
      </c>
      <c r="AQ29" s="23">
        <f>IF(N(AQ5)=0,"",AQ28/AQ5)</f>
        <v/>
      </c>
      <c r="AR29" s="22">
        <f>IF(COUNT(AR28,AR5)=2,IF(N(AR5)=0,"",AR28/AR5),"")</f>
        <v/>
      </c>
      <c r="AS29" s="22">
        <f>IF(N(AS5)=0,"",AS28/AS5)</f>
        <v/>
      </c>
      <c r="AT29" s="22">
        <f>IF(N(AT5)=0,"",AT28/AT5)</f>
        <v/>
      </c>
      <c r="AU29" s="23">
        <f>IF(COUNT(AU28,AU5)=2,IF(N(AU5)=0,"",AU28/AU5),"")</f>
        <v/>
      </c>
      <c r="AV29" s="23">
        <f>IF(N(AV5)=0,"",AV28/AV5)</f>
        <v/>
      </c>
      <c r="AW29" s="23">
        <f>IF(N(AW5)=0,"",AW28/AW5)</f>
        <v/>
      </c>
      <c r="AX29" s="22">
        <f>IF(COUNT(AX28,AX5)=2,IF(N(AX5)=0,"",AX28/AX5),"")</f>
        <v/>
      </c>
      <c r="AY29" s="22">
        <f>IF(N(AY5)=0,"",AY28/AY5)</f>
        <v/>
      </c>
      <c r="AZ29" s="22">
        <f>IF(N(AZ5)=0,"",AZ28/AZ5)</f>
        <v/>
      </c>
      <c r="BA29" s="23">
        <f>IF(COUNT(BA28,BA5)=2,IF(N(BA5)=0,"",BA28/BA5),"")</f>
        <v/>
      </c>
      <c r="BB29" s="23">
        <f>IF(N(BB5)=0,"",BB28/BB5)</f>
        <v/>
      </c>
      <c r="BC29" s="23">
        <f>IF(N(BC5)=0,"",BC28/BC5)</f>
        <v/>
      </c>
      <c r="BD29" s="22">
        <f>IF(COUNT(BD28,BD5)=2,IF(N(BD5)=0,"",BD28/BD5),"")</f>
        <v/>
      </c>
      <c r="BE29" s="22">
        <f>IF(N(BE5)=0,"",BE28/BE5)</f>
        <v/>
      </c>
      <c r="BF29" s="22">
        <f>IF(N(BF5)=0,"",BF28/BF5)</f>
        <v/>
      </c>
      <c r="BG29" s="23">
        <f>IF(COUNT(BG28,BG5)=2,IF(N(BG5)=0,"",BG28/BG5),"")</f>
        <v/>
      </c>
      <c r="BH29" s="23">
        <f>IF(N(BH5)=0,"",BH28/BH5)</f>
        <v/>
      </c>
      <c r="BI29" s="23">
        <f>IF(N(BI5)=0,"",BI28/BI5)</f>
        <v/>
      </c>
      <c r="BJ29" s="22">
        <f>IF(COUNT(BJ28,BJ5)=2,IF(N(BJ5)=0,"",BJ28/BJ5),"")</f>
        <v/>
      </c>
      <c r="BK29" s="22">
        <f>IF(N(BK5)=0,"",BK28/BK5)</f>
        <v/>
      </c>
      <c r="BL29" s="22">
        <f>IF(N(BL5)=0,"",BL28/BL5)</f>
        <v/>
      </c>
      <c r="BM29" s="23">
        <f>IF(COUNT(BM28,BM5)=2,IF(N(BM5)=0,"",BM28/BM5),"")</f>
        <v/>
      </c>
      <c r="BN29" s="23">
        <f>IF(N(BN5)=0,"",BN28/BN5)</f>
        <v/>
      </c>
      <c r="BO29" s="23">
        <f>IF(N(BO5)=0,"",BO28/BO5)</f>
        <v/>
      </c>
      <c r="BP29" s="22">
        <f>IF(COUNT(BP28,BP5)=2,IF(N(BP5)=0,"",BP28/BP5),"")</f>
        <v/>
      </c>
      <c r="BQ29" s="22">
        <f>IF(N(BQ5)=0,"",BQ28/BQ5)</f>
        <v/>
      </c>
      <c r="BR29" s="22">
        <f>IF(N(BR5)=0,"",BR28/BR5)</f>
        <v/>
      </c>
      <c r="BS29" s="23">
        <f>IF(COUNT(BS28,BS5)=2,IF(N(BS5)=0,"",BS28/BS5),"")</f>
        <v/>
      </c>
      <c r="BT29" s="23">
        <f>IF(N(BT5)=0,"",BT28/BT5)</f>
        <v/>
      </c>
      <c r="BU29" s="23">
        <f>IF(N(BU5)=0,"",BU28/BU5)</f>
        <v/>
      </c>
      <c r="BV29" s="22">
        <f>IF(COUNT(BV28,BV5)=2,IF(N(BV5)=0,"",BV28/BV5),"")</f>
        <v/>
      </c>
      <c r="BW29" s="22">
        <f>IF(N(BW5)=0,"",BW28/BW5)</f>
        <v/>
      </c>
      <c r="BX29" s="22">
        <f>IF(N(BX5)=0,"",BX28/BX5)</f>
        <v/>
      </c>
      <c r="BY29" s="23">
        <f>IF(COUNT(BY28,BY5)=2,IF(N(BY5)=0,"",BY28/BY5),"")</f>
        <v/>
      </c>
      <c r="BZ29" s="23">
        <f>IF(N(BZ5)=0,"",BZ28/BZ5)</f>
        <v/>
      </c>
      <c r="CA29" s="23">
        <f>IF(N(CA5)=0,"",CA28/CA5)</f>
        <v/>
      </c>
      <c r="CB29" s="22">
        <f>IF(COUNT(CB28,CB5)=2,IF(N(CB5)=0,"",CB28/CB5),"")</f>
        <v/>
      </c>
      <c r="CC29" s="22">
        <f>IF(N(CC5)=0,"",CC28/CC5)</f>
        <v/>
      </c>
      <c r="CD29" s="22">
        <f>IF(N(CD5)=0,"",CD28/CD5)</f>
        <v/>
      </c>
      <c r="CE29" s="23">
        <f>IF(COUNT(CE28,CE5)=2,IF(N(CE5)=0,"",CE28/CE5),"")</f>
        <v/>
      </c>
      <c r="CF29" s="23">
        <f>IF(N(CF5)=0,"",CF28/CF5)</f>
        <v/>
      </c>
      <c r="CG29" s="23">
        <f>IF(N(CG5)=0,"",CG28/CG5)</f>
        <v/>
      </c>
      <c r="CH29" s="22">
        <f>IF(COUNT(CH28,CH5)=2,IF(N(CH5)=0,"",CH28/CH5),"")</f>
        <v/>
      </c>
      <c r="CI29" s="22">
        <f>IF(N(CI5)=0,"",CI28/CI5)</f>
        <v/>
      </c>
      <c r="CJ29" s="22">
        <f>IF(N(CJ5)=0,"",CJ28/CJ5)</f>
        <v/>
      </c>
      <c r="CK29" s="23">
        <f>IF(COUNT(CK28,CK5)=2,IF(N(CK5)=0,"",CK28/CK5),"")</f>
        <v/>
      </c>
      <c r="CL29" s="23">
        <f>IF(N(CL5)=0,"",CL28/CL5)</f>
        <v/>
      </c>
      <c r="CM29" s="23">
        <f>IF(N(CM5)=0,"",CM28/CM5)</f>
        <v/>
      </c>
      <c r="CN29" s="22">
        <f>IF(COUNT(CN28,CN5)=2,IF(N(CN5)=0,"",CN28/CN5),"")</f>
        <v/>
      </c>
      <c r="CO29" s="22">
        <f>IF(N(CO5)=0,"",CO28/CO5)</f>
        <v/>
      </c>
      <c r="CP29" s="22">
        <f>IF(N(CP5)=0,"",CP28/CP5)</f>
        <v/>
      </c>
      <c r="CQ29" s="23">
        <f>IF(COUNT(CQ28,CQ5)=2,IF(N(CQ5)=0,"",CQ28/CQ5),"")</f>
        <v/>
      </c>
      <c r="CR29" s="23">
        <f>IF(N(CR5)=0,"",CR28/CR5)</f>
        <v/>
      </c>
      <c r="CS29" s="23">
        <f>IF(N(CS5)=0,"",CS28/CS5)</f>
        <v/>
      </c>
      <c r="CT29" s="22">
        <f>IF(COUNT(CT28,CT5)=2,IF(N(CT5)=0,"",CT28/CT5),"")</f>
        <v/>
      </c>
      <c r="CU29" s="22">
        <f>IF(N(CU5)=0,"",CU28/CU5)</f>
        <v/>
      </c>
      <c r="CV29" s="22">
        <f>IF(N(CV5)=0,"",CV28/CV5)</f>
        <v/>
      </c>
      <c r="CW29" s="23">
        <f>IF(COUNT(CW28,CW5)=2,IF(N(CW5)=0,"",CW28/CW5),"")</f>
        <v/>
      </c>
      <c r="CX29" s="23">
        <f>IF(N(CX5)=0,"",CX28/CX5)</f>
        <v/>
      </c>
      <c r="CY29" s="23">
        <f>IF(N(CY5)=0,"",CY28/CY5)</f>
        <v/>
      </c>
      <c r="CZ29" s="22">
        <f>IF(COUNT(CZ28,CZ5)=2,IF(N(CZ5)=0,"",CZ28/CZ5),"")</f>
        <v/>
      </c>
      <c r="DA29" s="22">
        <f>IF(N(DA5)=0,"",DA28/DA5)</f>
        <v/>
      </c>
      <c r="DB29" s="22">
        <f>IF(N(DB5)=0,"",DB28/DB5)</f>
        <v/>
      </c>
      <c r="DC29" s="23">
        <f>IF(COUNT(DC28,DC5)=2,IF(N(DC5)=0,"",DC28/DC5),"")</f>
        <v/>
      </c>
      <c r="DD29" s="23">
        <f>IF(N(DD5)=0,"",DD28/DD5)</f>
        <v/>
      </c>
      <c r="DE29" s="23">
        <f>IF(N(DE5)=0,"",DE28/DE5)</f>
        <v/>
      </c>
      <c r="DF29" s="22">
        <f>IF(COUNT(DF28,DF5)=2,IF(N(DF5)=0,"",DF28/DF5),"")</f>
        <v/>
      </c>
      <c r="DG29" s="22">
        <f>IF(N(DG5)=0,"",DG28/DG5)</f>
        <v/>
      </c>
      <c r="DH29" s="22">
        <f>IF(N(DH5)=0,"",DH28/DH5)</f>
        <v/>
      </c>
      <c r="DI29" s="23">
        <f>IF(COUNT(DI28,DI5)=2,IF(N(DI5)=0,"",DI28/DI5),"")</f>
        <v/>
      </c>
      <c r="DJ29" s="23">
        <f>IF(N(DJ5)=0,"",DJ28/DJ5)</f>
        <v/>
      </c>
      <c r="DK29" s="23">
        <f>IF(N(DK5)=0,"",DK28/DK5)</f>
        <v/>
      </c>
      <c r="DL29" s="22">
        <f>IF(COUNT(DL28,DL5)=2,IF(N(DL5)=0,"",DL28/DL5),"")</f>
        <v/>
      </c>
      <c r="DM29" s="22">
        <f>IF(N(DM5)=0,"",DM28/DM5)</f>
        <v/>
      </c>
      <c r="DN29" s="22">
        <f>IF(N(DN5)=0,"",DN28/DN5)</f>
        <v/>
      </c>
    </row>
    <row r="30">
      <c r="A30" s="2" t="inlineStr">
        <is>
          <t>Cost per SQL</t>
        </is>
      </c>
      <c r="B30" s="22">
        <f>IF(SUM(AR7,AO7,AL7,AI7,AF7,AC7,Z7,W7,T7,Q7,N7,K7)=0,"",SUM(AR28,AO28,AL28,AI28,AF28,AC28,Z28,W28,T28,Q28,N28,K28)/SUM(AR7,AO7,AL7,AI7,AF7,AC7,Z7,W7,T7,Q7,N7,K7))</f>
        <v/>
      </c>
      <c r="C30" s="22">
        <f>IF(SUM(AS7,AP7,AM7,AJ7,AG7,AD7,AA7,X7,U7,R7,O7,L7)=0,"",SUM(AS28,AP28,AM28,AJ28,AG28,AD28,AA28,X28,U28,R28,O28,L28)/SUM(AS7,AP7,AM7,AJ7,AG7,AD7,AA7,X7,U7,R7,O7,L7))</f>
        <v/>
      </c>
      <c r="D30" s="22">
        <f>IF(SUM(AT7,AQ7,AN7,AK7,AH7,AE7,AB7,Y7,V7,S7,P7,M7)=0,"",SUM(AT28,AQ28,AN28,AK28,AH28,AE28,AB28,Y28,V28,S28,P28,M28)/SUM(AT7,AQ7,AN7,AK7,AH7,AE7,AB7,Y7,V7,S7,P7,M7))</f>
        <v/>
      </c>
      <c r="E30" s="23">
        <f>IF(SUM(CB7,BY7,BV7,BS7,BP7,BM7,BJ7,BG7,BD7,BA7,AX7,AU7)=0,"",SUM(CB28,BY28,BV28,BS28,BP28,BM28,BJ28,BG28,BD28,BA28,AX28,AU28)/SUM(CB7,BY7,BV7,BS7,BP7,BM7,BJ7,BG7,BD7,BA7,AX7,AU7))</f>
        <v/>
      </c>
      <c r="F30" s="23">
        <f>IF(SUM(CC7,BZ7,BW7,BT7,BQ7,BN7,BK7,BH7,BE7,BB7,AY7,AV7)=0,"",SUM(CC28,BZ28,BW28,BT28,BQ28,BN28,BK28,BH28,BE28,BB28,AY28,AV28)/SUM(CC7,BZ7,BW7,BT7,BQ7,BN7,BK7,BH7,BE7,BB7,AY7,AV7))</f>
        <v/>
      </c>
      <c r="G30" s="23">
        <f>IF(SUM(CD7,CA7,BX7,BU7,BR7,BO7,BL7,BI7,BF7,BC7,AZ7,AW7)=0,"",SUM(CD28,CA28,BX28,BU28,BR28,BO28,BL28,BI28,BF28,BC28,AZ28,AW28)/SUM(CD7,CA7,BX7,BU7,BR7,BO7,BL7,BI7,BF7,BC7,AZ7,AW7))</f>
        <v/>
      </c>
      <c r="H30" s="22">
        <f>IF(SUM(DL7,DI7,DF7,DC7,CZ7,CW7,CT7,CQ7,CN7,CK7,CH7,CE7)=0,"",SUM(DL28,DI28,DF28,DC28,CZ28,CW28,CT28,CQ28,CN28,CK28,CH28,CE28)/SUM(DL7,DI7,DF7,DC7,CZ7,CW7,CT7,CQ7,CN7,CK7,CH7,CE7))</f>
        <v/>
      </c>
      <c r="I30" s="22">
        <f>IF(SUM(DM7,DJ7,DG7,DD7,DA7,CX7,CU7,CR7,CO7,CL7,CI7,CF7)=0,"",SUM(DM28,DJ28,DG28,DD28,DA28,CX28,CU28,CR28,CO28,CL28,CI28,CF28)/SUM(DM7,DJ7,DG7,DD7,DA7,CX7,CU7,CR7,CO7,CL7,CI7,CF7))</f>
        <v/>
      </c>
      <c r="J30" s="22">
        <f>IF(SUM(DN7,DK7,DH7,DE7,DB7,CY7,CV7,CS7,CP7,CM7,CJ7,CG7)=0,"",SUM(DN28,DK28,DH28,DE28,DB28,CY28,CV28,CS28,CP28,CM28,CJ28,CG28)/SUM(DN7,DK7,DH7,DE7,DB7,CY7,CV7,CS7,CP7,CM7,CJ7,CG7))</f>
        <v/>
      </c>
      <c r="K30" s="23">
        <f>IF(COUNT(K28,K7)=2,IF(N(K7)=0,"",K28/K7),"")</f>
        <v/>
      </c>
      <c r="L30" s="23">
        <f>IF(N(L7)=0,"",L28/L7)</f>
        <v/>
      </c>
      <c r="M30" s="23">
        <f>IF(N(M7)=0,"",M28/M7)</f>
        <v/>
      </c>
      <c r="N30" s="22">
        <f>IF(COUNT(N28,N7)=2,IF(N(N7)=0,"",N28/N7),"")</f>
        <v/>
      </c>
      <c r="O30" s="22">
        <f>IF(N(O7)=0,"",O28/O7)</f>
        <v/>
      </c>
      <c r="P30" s="22">
        <f>IF(N(P7)=0,"",P28/P7)</f>
        <v/>
      </c>
      <c r="Q30" s="23">
        <f>IF(COUNT(Q28,Q7)=2,IF(N(Q7)=0,"",Q28/Q7),"")</f>
        <v/>
      </c>
      <c r="R30" s="23">
        <f>IF(N(R7)=0,"",R28/R7)</f>
        <v/>
      </c>
      <c r="S30" s="23">
        <f>IF(N(S7)=0,"",S28/S7)</f>
        <v/>
      </c>
      <c r="T30" s="22">
        <f>IF(COUNT(T28,T7)=2,IF(N(T7)=0,"",T28/T7),"")</f>
        <v/>
      </c>
      <c r="U30" s="22">
        <f>IF(N(U7)=0,"",U28/U7)</f>
        <v/>
      </c>
      <c r="V30" s="22">
        <f>IF(N(V7)=0,"",V28/V7)</f>
        <v/>
      </c>
      <c r="W30" s="23">
        <f>IF(COUNT(W28,W7)=2,IF(N(W7)=0,"",W28/W7),"")</f>
        <v/>
      </c>
      <c r="X30" s="23">
        <f>IF(N(X7)=0,"",X28/X7)</f>
        <v/>
      </c>
      <c r="Y30" s="23">
        <f>IF(N(Y7)=0,"",Y28/Y7)</f>
        <v/>
      </c>
      <c r="Z30" s="22">
        <f>IF(COUNT(Z28,Z7)=2,IF(N(Z7)=0,"",Z28/Z7),"")</f>
        <v/>
      </c>
      <c r="AA30" s="22">
        <f>IF(N(AA7)=0,"",AA28/AA7)</f>
        <v/>
      </c>
      <c r="AB30" s="22">
        <f>IF(N(AB7)=0,"",AB28/AB7)</f>
        <v/>
      </c>
      <c r="AC30" s="23">
        <f>IF(COUNT(AC28,AC7)=2,IF(N(AC7)=0,"",AC28/AC7),"")</f>
        <v/>
      </c>
      <c r="AD30" s="23">
        <f>IF(N(AD7)=0,"",AD28/AD7)</f>
        <v/>
      </c>
      <c r="AE30" s="23">
        <f>IF(N(AE7)=0,"",AE28/AE7)</f>
        <v/>
      </c>
      <c r="AF30" s="22">
        <f>IF(COUNT(AF28,AF7)=2,IF(N(AF7)=0,"",AF28/AF7),"")</f>
        <v/>
      </c>
      <c r="AG30" s="22">
        <f>IF(N(AG7)=0,"",AG28/AG7)</f>
        <v/>
      </c>
      <c r="AH30" s="22">
        <f>IF(N(AH7)=0,"",AH28/AH7)</f>
        <v/>
      </c>
      <c r="AI30" s="23">
        <f>IF(COUNT(AI28,AI7)=2,IF(N(AI7)=0,"",AI28/AI7),"")</f>
        <v/>
      </c>
      <c r="AJ30" s="23">
        <f>IF(N(AJ7)=0,"",AJ28/AJ7)</f>
        <v/>
      </c>
      <c r="AK30" s="23">
        <f>IF(N(AK7)=0,"",AK28/AK7)</f>
        <v/>
      </c>
      <c r="AL30" s="22">
        <f>IF(COUNT(AL28,AL7)=2,IF(N(AL7)=0,"",AL28/AL7),"")</f>
        <v/>
      </c>
      <c r="AM30" s="22">
        <f>IF(N(AM7)=0,"",AM28/AM7)</f>
        <v/>
      </c>
      <c r="AN30" s="22">
        <f>IF(N(AN7)=0,"",AN28/AN7)</f>
        <v/>
      </c>
      <c r="AO30" s="23">
        <f>IF(COUNT(AO28,AO7)=2,IF(N(AO7)=0,"",AO28/AO7),"")</f>
        <v/>
      </c>
      <c r="AP30" s="23">
        <f>IF(N(AP7)=0,"",AP28/AP7)</f>
        <v/>
      </c>
      <c r="AQ30" s="23">
        <f>IF(N(AQ7)=0,"",AQ28/AQ7)</f>
        <v/>
      </c>
      <c r="AR30" s="22">
        <f>IF(COUNT(AR28,AR7)=2,IF(N(AR7)=0,"",AR28/AR7),"")</f>
        <v/>
      </c>
      <c r="AS30" s="22">
        <f>IF(N(AS7)=0,"",AS28/AS7)</f>
        <v/>
      </c>
      <c r="AT30" s="22">
        <f>IF(N(AT7)=0,"",AT28/AT7)</f>
        <v/>
      </c>
      <c r="AU30" s="23">
        <f>IF(COUNT(AU28,AU7)=2,IF(N(AU7)=0,"",AU28/AU7),"")</f>
        <v/>
      </c>
      <c r="AV30" s="23">
        <f>IF(N(AV7)=0,"",AV28/AV7)</f>
        <v/>
      </c>
      <c r="AW30" s="23">
        <f>IF(N(AW7)=0,"",AW28/AW7)</f>
        <v/>
      </c>
      <c r="AX30" s="22">
        <f>IF(COUNT(AX28,AX7)=2,IF(N(AX7)=0,"",AX28/AX7),"")</f>
        <v/>
      </c>
      <c r="AY30" s="22">
        <f>IF(N(AY7)=0,"",AY28/AY7)</f>
        <v/>
      </c>
      <c r="AZ30" s="22">
        <f>IF(N(AZ7)=0,"",AZ28/AZ7)</f>
        <v/>
      </c>
      <c r="BA30" s="23">
        <f>IF(COUNT(BA28,BA7)=2,IF(N(BA7)=0,"",BA28/BA7),"")</f>
        <v/>
      </c>
      <c r="BB30" s="23">
        <f>IF(N(BB7)=0,"",BB28/BB7)</f>
        <v/>
      </c>
      <c r="BC30" s="23">
        <f>IF(N(BC7)=0,"",BC28/BC7)</f>
        <v/>
      </c>
      <c r="BD30" s="22">
        <f>IF(COUNT(BD28,BD7)=2,IF(N(BD7)=0,"",BD28/BD7),"")</f>
        <v/>
      </c>
      <c r="BE30" s="22">
        <f>IF(N(BE7)=0,"",BE28/BE7)</f>
        <v/>
      </c>
      <c r="BF30" s="22">
        <f>IF(N(BF7)=0,"",BF28/BF7)</f>
        <v/>
      </c>
      <c r="BG30" s="23">
        <f>IF(COUNT(BG28,BG7)=2,IF(N(BG7)=0,"",BG28/BG7),"")</f>
        <v/>
      </c>
      <c r="BH30" s="23">
        <f>IF(N(BH7)=0,"",BH28/BH7)</f>
        <v/>
      </c>
      <c r="BI30" s="23">
        <f>IF(N(BI7)=0,"",BI28/BI7)</f>
        <v/>
      </c>
      <c r="BJ30" s="22">
        <f>IF(COUNT(BJ28,BJ7)=2,IF(N(BJ7)=0,"",BJ28/BJ7),"")</f>
        <v/>
      </c>
      <c r="BK30" s="22">
        <f>IF(N(BK7)=0,"",BK28/BK7)</f>
        <v/>
      </c>
      <c r="BL30" s="22">
        <f>IF(N(BL7)=0,"",BL28/BL7)</f>
        <v/>
      </c>
      <c r="BM30" s="23">
        <f>IF(COUNT(BM28,BM7)=2,IF(N(BM7)=0,"",BM28/BM7),"")</f>
        <v/>
      </c>
      <c r="BN30" s="23">
        <f>IF(N(BN7)=0,"",BN28/BN7)</f>
        <v/>
      </c>
      <c r="BO30" s="23">
        <f>IF(N(BO7)=0,"",BO28/BO7)</f>
        <v/>
      </c>
      <c r="BP30" s="22">
        <f>IF(COUNT(BP28,BP7)=2,IF(N(BP7)=0,"",BP28/BP7),"")</f>
        <v/>
      </c>
      <c r="BQ30" s="22">
        <f>IF(N(BQ7)=0,"",BQ28/BQ7)</f>
        <v/>
      </c>
      <c r="BR30" s="22">
        <f>IF(N(BR7)=0,"",BR28/BR7)</f>
        <v/>
      </c>
      <c r="BS30" s="23">
        <f>IF(COUNT(BS28,BS7)=2,IF(N(BS7)=0,"",BS28/BS7),"")</f>
        <v/>
      </c>
      <c r="BT30" s="23">
        <f>IF(N(BT7)=0,"",BT28/BT7)</f>
        <v/>
      </c>
      <c r="BU30" s="23">
        <f>IF(N(BU7)=0,"",BU28/BU7)</f>
        <v/>
      </c>
      <c r="BV30" s="22">
        <f>IF(COUNT(BV28,BV7)=2,IF(N(BV7)=0,"",BV28/BV7),"")</f>
        <v/>
      </c>
      <c r="BW30" s="22">
        <f>IF(N(BW7)=0,"",BW28/BW7)</f>
        <v/>
      </c>
      <c r="BX30" s="22">
        <f>IF(N(BX7)=0,"",BX28/BX7)</f>
        <v/>
      </c>
      <c r="BY30" s="23">
        <f>IF(COUNT(BY28,BY7)=2,IF(N(BY7)=0,"",BY28/BY7),"")</f>
        <v/>
      </c>
      <c r="BZ30" s="23">
        <f>IF(N(BZ7)=0,"",BZ28/BZ7)</f>
        <v/>
      </c>
      <c r="CA30" s="23">
        <f>IF(N(CA7)=0,"",CA28/CA7)</f>
        <v/>
      </c>
      <c r="CB30" s="22">
        <f>IF(COUNT(CB28,CB7)=2,IF(N(CB7)=0,"",CB28/CB7),"")</f>
        <v/>
      </c>
      <c r="CC30" s="22">
        <f>IF(N(CC7)=0,"",CC28/CC7)</f>
        <v/>
      </c>
      <c r="CD30" s="22">
        <f>IF(N(CD7)=0,"",CD28/CD7)</f>
        <v/>
      </c>
      <c r="CE30" s="23">
        <f>IF(COUNT(CE28,CE7)=2,IF(N(CE7)=0,"",CE28/CE7),"")</f>
        <v/>
      </c>
      <c r="CF30" s="23">
        <f>IF(N(CF7)=0,"",CF28/CF7)</f>
        <v/>
      </c>
      <c r="CG30" s="23">
        <f>IF(N(CG7)=0,"",CG28/CG7)</f>
        <v/>
      </c>
      <c r="CH30" s="22">
        <f>IF(COUNT(CH28,CH7)=2,IF(N(CH7)=0,"",CH28/CH7),"")</f>
        <v/>
      </c>
      <c r="CI30" s="22">
        <f>IF(N(CI7)=0,"",CI28/CI7)</f>
        <v/>
      </c>
      <c r="CJ30" s="22">
        <f>IF(N(CJ7)=0,"",CJ28/CJ7)</f>
        <v/>
      </c>
      <c r="CK30" s="23">
        <f>IF(COUNT(CK28,CK7)=2,IF(N(CK7)=0,"",CK28/CK7),"")</f>
        <v/>
      </c>
      <c r="CL30" s="23">
        <f>IF(N(CL7)=0,"",CL28/CL7)</f>
        <v/>
      </c>
      <c r="CM30" s="23">
        <f>IF(N(CM7)=0,"",CM28/CM7)</f>
        <v/>
      </c>
      <c r="CN30" s="22">
        <f>IF(COUNT(CN28,CN7)=2,IF(N(CN7)=0,"",CN28/CN7),"")</f>
        <v/>
      </c>
      <c r="CO30" s="22">
        <f>IF(N(CO7)=0,"",CO28/CO7)</f>
        <v/>
      </c>
      <c r="CP30" s="22">
        <f>IF(N(CP7)=0,"",CP28/CP7)</f>
        <v/>
      </c>
      <c r="CQ30" s="23">
        <f>IF(COUNT(CQ28,CQ7)=2,IF(N(CQ7)=0,"",CQ28/CQ7),"")</f>
        <v/>
      </c>
      <c r="CR30" s="23">
        <f>IF(N(CR7)=0,"",CR28/CR7)</f>
        <v/>
      </c>
      <c r="CS30" s="23">
        <f>IF(N(CS7)=0,"",CS28/CS7)</f>
        <v/>
      </c>
      <c r="CT30" s="22">
        <f>IF(COUNT(CT28,CT7)=2,IF(N(CT7)=0,"",CT28/CT7),"")</f>
        <v/>
      </c>
      <c r="CU30" s="22">
        <f>IF(N(CU7)=0,"",CU28/CU7)</f>
        <v/>
      </c>
      <c r="CV30" s="22">
        <f>IF(N(CV7)=0,"",CV28/CV7)</f>
        <v/>
      </c>
      <c r="CW30" s="23">
        <f>IF(COUNT(CW28,CW7)=2,IF(N(CW7)=0,"",CW28/CW7),"")</f>
        <v/>
      </c>
      <c r="CX30" s="23">
        <f>IF(N(CX7)=0,"",CX28/CX7)</f>
        <v/>
      </c>
      <c r="CY30" s="23">
        <f>IF(N(CY7)=0,"",CY28/CY7)</f>
        <v/>
      </c>
      <c r="CZ30" s="22">
        <f>IF(COUNT(CZ28,CZ7)=2,IF(N(CZ7)=0,"",CZ28/CZ7),"")</f>
        <v/>
      </c>
      <c r="DA30" s="22">
        <f>IF(N(DA7)=0,"",DA28/DA7)</f>
        <v/>
      </c>
      <c r="DB30" s="22">
        <f>IF(N(DB7)=0,"",DB28/DB7)</f>
        <v/>
      </c>
      <c r="DC30" s="23">
        <f>IF(COUNT(DC28,DC7)=2,IF(N(DC7)=0,"",DC28/DC7),"")</f>
        <v/>
      </c>
      <c r="DD30" s="23">
        <f>IF(N(DD7)=0,"",DD28/DD7)</f>
        <v/>
      </c>
      <c r="DE30" s="23">
        <f>IF(N(DE7)=0,"",DE28/DE7)</f>
        <v/>
      </c>
      <c r="DF30" s="22">
        <f>IF(COUNT(DF28,DF7)=2,IF(N(DF7)=0,"",DF28/DF7),"")</f>
        <v/>
      </c>
      <c r="DG30" s="22">
        <f>IF(N(DG7)=0,"",DG28/DG7)</f>
        <v/>
      </c>
      <c r="DH30" s="22">
        <f>IF(N(DH7)=0,"",DH28/DH7)</f>
        <v/>
      </c>
      <c r="DI30" s="23">
        <f>IF(COUNT(DI28,DI7)=2,IF(N(DI7)=0,"",DI28/DI7),"")</f>
        <v/>
      </c>
      <c r="DJ30" s="23">
        <f>IF(N(DJ7)=0,"",DJ28/DJ7)</f>
        <v/>
      </c>
      <c r="DK30" s="23">
        <f>IF(N(DK7)=0,"",DK28/DK7)</f>
        <v/>
      </c>
      <c r="DL30" s="22">
        <f>IF(COUNT(DL28,DL7)=2,IF(N(DL7)=0,"",DL28/DL7),"")</f>
        <v/>
      </c>
      <c r="DM30" s="22">
        <f>IF(N(DM7)=0,"",DM28/DM7)</f>
        <v/>
      </c>
      <c r="DN30" s="22">
        <f>IF(N(DN7)=0,"",DN28/DN7)</f>
        <v/>
      </c>
    </row>
    <row r="31">
      <c r="A31" s="15" t="inlineStr">
        <is>
          <t>People</t>
        </is>
      </c>
      <c r="B31" s="35" t="n"/>
      <c r="C31" s="35" t="n"/>
      <c r="D31" s="35" t="n"/>
      <c r="H31" s="35" t="n"/>
      <c r="I31" s="35" t="n"/>
      <c r="J31" s="35" t="n"/>
      <c r="N31" s="35" t="n"/>
      <c r="O31" s="35" t="n"/>
      <c r="P31" s="35" t="n"/>
      <c r="T31" s="35" t="n"/>
      <c r="U31" s="35" t="n"/>
      <c r="V31" s="35" t="n"/>
      <c r="Z31" s="35" t="n"/>
      <c r="AA31" s="35" t="n"/>
      <c r="AB31" s="35" t="n"/>
      <c r="AF31" s="35" t="n"/>
      <c r="AG31" s="35" t="n"/>
      <c r="AH31" s="35" t="n"/>
      <c r="AL31" s="35" t="n"/>
      <c r="AM31" s="35" t="n"/>
      <c r="AN31" s="35" t="n"/>
      <c r="AR31" s="35" t="n"/>
      <c r="AS31" s="35" t="n"/>
      <c r="AT31" s="35" t="n"/>
      <c r="AX31" s="35" t="n"/>
      <c r="AY31" s="35" t="n"/>
      <c r="AZ31" s="35" t="n"/>
      <c r="BD31" s="35" t="n"/>
      <c r="BE31" s="35" t="n"/>
      <c r="BF31" s="35" t="n"/>
      <c r="BJ31" s="35" t="n"/>
      <c r="BK31" s="35" t="n"/>
      <c r="BL31" s="35" t="n"/>
      <c r="BP31" s="35" t="n"/>
      <c r="BQ31" s="35" t="n"/>
      <c r="BR31" s="35" t="n"/>
      <c r="BV31" s="35" t="n"/>
      <c r="BW31" s="35" t="n"/>
      <c r="BX31" s="35" t="n"/>
      <c r="CB31" s="35" t="n"/>
      <c r="CC31" s="35" t="n"/>
      <c r="CD31" s="35" t="n"/>
      <c r="CH31" s="35" t="n"/>
      <c r="CI31" s="35" t="n"/>
      <c r="CJ31" s="35" t="n"/>
      <c r="CN31" s="35" t="n"/>
      <c r="CO31" s="35" t="n"/>
      <c r="CP31" s="35" t="n"/>
      <c r="CT31" s="35" t="n"/>
      <c r="CU31" s="35" t="n"/>
      <c r="CV31" s="35" t="n"/>
      <c r="CZ31" s="35" t="n"/>
      <c r="DA31" s="35" t="n"/>
      <c r="DB31" s="35" t="n"/>
      <c r="DF31" s="35" t="n"/>
      <c r="DG31" s="35" t="n"/>
      <c r="DH31" s="35" t="n"/>
      <c r="DL31" s="35" t="n"/>
      <c r="DM31" s="35" t="n"/>
      <c r="DN31" s="35" t="n"/>
    </row>
    <row r="32">
      <c r="A32" s="2" t="inlineStr">
        <is>
          <t>Head of Marketing</t>
        </is>
      </c>
      <c r="B32" s="10">
        <f>IF(COUNT(AR32,AO32,AL32,AI32,AF32,AC32,Z32,W32,T32,Q32,N32,K32)=0,"",SUM(AR32,AO32,AL32,AI32,AF32,AC32,Z32,W32,T32,Q32,N32,K32))</f>
        <v/>
      </c>
      <c r="C32" s="10">
        <f>IF(COUNT(AS32,AP32,AM32,AJ32,AG32,AD32,AA32,X32,U32,R32,O32,L32)=0,"",SUM(AS32,AP32,AM32,AJ32,AG32,AD32,AA32,X32,U32,R32,O32,L32))</f>
        <v/>
      </c>
      <c r="D32" s="10">
        <f>IF(COUNT(AT32,AQ32,AN32,AK32,AH32,AE32,AB32,Y32,V32,S32,P32,M32)=0,"",SUM(AT32,AQ32,AN32,AK32,AH32,AE32,AB32,Y32,V32,S32,P32,M32))</f>
        <v/>
      </c>
      <c r="E32" s="11">
        <f>IF(COUNT(CB32,BY32,BV32,BS32,BP32,BM32,BJ32,BG32,BD32,BA32,AX32,AU32)=0,"",SUM(CB32,BY32,BV32,BS32,BP32,BM32,BJ32,BG32,BD32,BA32,AX32,AU32))</f>
        <v/>
      </c>
      <c r="F32" s="11">
        <f>IF(COUNT(CC32,BZ32,BW32,BT32,BQ32,BN32,BK32,BH32,BE32,BB32,AY32,AV32)=0,"",SUM(CC32,BZ32,BW32,BT32,BQ32,BN32,BK32,BH32,BE32,BB32,AY32,AV32))</f>
        <v/>
      </c>
      <c r="G32" s="11">
        <f>IF(COUNT(CD32,CA32,BX32,BU32,BR32,BO32,BL32,BI32,BF32,BC32,AZ32,AW32)=0,"",SUM(CD32,CA32,BX32,BU32,BR32,BO32,BL32,BI32,BF32,BC32,AZ32,AW32))</f>
        <v/>
      </c>
      <c r="H32" s="10">
        <f>IF(COUNT(DL32,DI32,DF32,DC32,CZ32,CW32,CT32,CQ32,CN32,CK32,CH32,CE32)=0,"",SUM(DL32,DI32,DF32,DC32,CZ32,CW32,CT32,CQ32,CN32,CK32,CH32,CE32))</f>
        <v/>
      </c>
      <c r="I32" s="10">
        <f>IF(COUNT(DM32,DJ32,DG32,DD32,DA32,CX32,CU32,CR32,CO32,CL32,CI32,CF32)=0,"",SUM(DM32,DJ32,DG32,DD32,DA32,CX32,CU32,CR32,CO32,CL32,CI32,CF32))</f>
        <v/>
      </c>
      <c r="J32" s="10">
        <f>IF(COUNT(DN32,DK32,DH32,DE32,DB32,CY32,CV32,CS32,CP32,CM32,CJ32,CG32)=0,"",SUM(DN32,DK32,DH32,DE32,DB32,CY32,CV32,CS32,CP32,CM32,CJ32,CG32))</f>
        <v/>
      </c>
      <c r="K32" s="11" t="n"/>
      <c r="L32" s="11" t="n">
        <v>16000</v>
      </c>
      <c r="M32" s="11" t="n">
        <v>16000</v>
      </c>
      <c r="N32" s="10" t="n"/>
      <c r="O32" s="10" t="n">
        <v>16000</v>
      </c>
      <c r="P32" s="10" t="n">
        <v>16000</v>
      </c>
      <c r="Q32" s="11" t="n"/>
      <c r="R32" s="11" t="n">
        <v>16000</v>
      </c>
      <c r="S32" s="11" t="n">
        <v>16000</v>
      </c>
      <c r="T32" s="10" t="n"/>
      <c r="U32" s="10" t="n">
        <v>16000</v>
      </c>
      <c r="V32" s="10" t="n">
        <v>16000</v>
      </c>
      <c r="W32" s="11" t="n"/>
      <c r="X32" s="11" t="n">
        <v>16000</v>
      </c>
      <c r="Y32" s="11" t="n">
        <v>16000</v>
      </c>
      <c r="Z32" s="10" t="n"/>
      <c r="AA32" s="10" t="n">
        <v>16000</v>
      </c>
      <c r="AB32" s="10" t="n">
        <v>16000</v>
      </c>
      <c r="AC32" s="11" t="n"/>
      <c r="AD32" s="11" t="n">
        <v>16000</v>
      </c>
      <c r="AE32" s="11" t="n">
        <v>16000</v>
      </c>
      <c r="AF32" s="10" t="n"/>
      <c r="AG32" s="10" t="n">
        <v>16000</v>
      </c>
      <c r="AH32" s="10" t="n">
        <v>16000</v>
      </c>
      <c r="AI32" s="11" t="n"/>
      <c r="AJ32" s="11" t="n">
        <v>16000</v>
      </c>
      <c r="AK32" s="11" t="n">
        <v>16000</v>
      </c>
      <c r="AL32" s="10" t="n"/>
      <c r="AM32" s="10" t="n">
        <v>16000</v>
      </c>
      <c r="AN32" s="10" t="n">
        <v>16000</v>
      </c>
      <c r="AO32" s="11" t="n"/>
      <c r="AP32" s="11" t="n">
        <v>16000</v>
      </c>
      <c r="AQ32" s="11" t="n">
        <v>16000</v>
      </c>
      <c r="AR32" s="10" t="n"/>
      <c r="AS32" s="10" t="n">
        <v>16000</v>
      </c>
      <c r="AT32" s="10" t="n">
        <v>16000</v>
      </c>
      <c r="AU32" s="11" t="n"/>
      <c r="AV32" s="11" t="n">
        <v>16000</v>
      </c>
      <c r="AW32" s="11" t="n">
        <v>16000</v>
      </c>
      <c r="AX32" s="10" t="n"/>
      <c r="AY32" s="10" t="n">
        <v>16000</v>
      </c>
      <c r="AZ32" s="10" t="n">
        <v>16000</v>
      </c>
      <c r="BA32" s="11" t="n"/>
      <c r="BB32" s="11" t="n">
        <v>16000</v>
      </c>
      <c r="BC32" s="11" t="n">
        <v>16000</v>
      </c>
      <c r="BD32" s="10" t="n"/>
      <c r="BE32" s="10" t="n">
        <v>16000</v>
      </c>
      <c r="BF32" s="10" t="n">
        <v>16000</v>
      </c>
      <c r="BG32" s="11" t="n"/>
      <c r="BH32" s="11" t="n">
        <v>16000</v>
      </c>
      <c r="BI32" s="11" t="n">
        <v>16000</v>
      </c>
      <c r="BJ32" s="10" t="n"/>
      <c r="BK32" s="10" t="n">
        <v>16000</v>
      </c>
      <c r="BL32" s="10" t="n">
        <v>16000</v>
      </c>
      <c r="BM32" s="11" t="n"/>
      <c r="BN32" s="11" t="n">
        <v>16000</v>
      </c>
      <c r="BO32" s="11" t="n">
        <v>16000</v>
      </c>
      <c r="BP32" s="10" t="n"/>
      <c r="BQ32" s="10" t="n">
        <v>16000</v>
      </c>
      <c r="BR32" s="10" t="n">
        <v>16000</v>
      </c>
      <c r="BS32" s="11" t="n"/>
      <c r="BT32" s="11" t="n">
        <v>16000</v>
      </c>
      <c r="BU32" s="11" t="n">
        <v>16000</v>
      </c>
      <c r="BV32" s="10" t="n"/>
      <c r="BW32" s="10" t="n">
        <v>16000</v>
      </c>
      <c r="BX32" s="10" t="n">
        <v>16000</v>
      </c>
      <c r="BY32" s="11" t="n"/>
      <c r="BZ32" s="11" t="n">
        <v>16000</v>
      </c>
      <c r="CA32" s="11" t="n">
        <v>16000</v>
      </c>
      <c r="CB32" s="10" t="n"/>
      <c r="CC32" s="10" t="n">
        <v>16000</v>
      </c>
      <c r="CD32" s="10" t="n">
        <v>16000</v>
      </c>
      <c r="CE32" s="11" t="n"/>
      <c r="CF32" s="11" t="n">
        <v>16000</v>
      </c>
      <c r="CG32" s="11" t="n">
        <v>16000</v>
      </c>
      <c r="CH32" s="10" t="n"/>
      <c r="CI32" s="10" t="n">
        <v>16000</v>
      </c>
      <c r="CJ32" s="10" t="n">
        <v>16000</v>
      </c>
      <c r="CK32" s="11" t="n"/>
      <c r="CL32" s="11" t="n">
        <v>16000</v>
      </c>
      <c r="CM32" s="11" t="n">
        <v>16000</v>
      </c>
      <c r="CN32" s="10" t="n"/>
      <c r="CO32" s="10" t="n">
        <v>16000</v>
      </c>
      <c r="CP32" s="10" t="n">
        <v>16000</v>
      </c>
      <c r="CQ32" s="11" t="n"/>
      <c r="CR32" s="11" t="n">
        <v>16000</v>
      </c>
      <c r="CS32" s="11" t="n">
        <v>16000</v>
      </c>
      <c r="CT32" s="10" t="n"/>
      <c r="CU32" s="10" t="n">
        <v>16000</v>
      </c>
      <c r="CV32" s="10" t="n">
        <v>16000</v>
      </c>
      <c r="CW32" s="11" t="n"/>
      <c r="CX32" s="11" t="n">
        <v>16000</v>
      </c>
      <c r="CY32" s="11" t="n">
        <v>16000</v>
      </c>
      <c r="CZ32" s="10" t="n"/>
      <c r="DA32" s="10" t="n">
        <v>16000</v>
      </c>
      <c r="DB32" s="10" t="n">
        <v>16000</v>
      </c>
      <c r="DC32" s="11" t="n"/>
      <c r="DD32" s="11" t="n">
        <v>16000</v>
      </c>
      <c r="DE32" s="11" t="n">
        <v>16000</v>
      </c>
      <c r="DF32" s="10" t="n"/>
      <c r="DG32" s="10" t="n">
        <v>16000</v>
      </c>
      <c r="DH32" s="10" t="n">
        <v>16000</v>
      </c>
      <c r="DI32" s="11" t="n">
        <v>16000</v>
      </c>
      <c r="DJ32" s="11" t="n">
        <v>16000</v>
      </c>
      <c r="DK32" s="11" t="n">
        <v>16000</v>
      </c>
      <c r="DL32" s="10" t="n">
        <v>16000</v>
      </c>
      <c r="DM32" s="10" t="n">
        <v>16000</v>
      </c>
      <c r="DN32" s="10" t="n">
        <v>16000</v>
      </c>
    </row>
    <row r="33">
      <c r="A33" s="2" t="inlineStr">
        <is>
          <t>Demand Generation Manager</t>
        </is>
      </c>
      <c r="B33" s="10">
        <f>IF(COUNT(AR33,AO33,AL33,AI33,AF33,AC33,Z33,W33,T33,Q33,N33,K33)=0,"",SUM(AR33,AO33,AL33,AI33,AF33,AC33,Z33,W33,T33,Q33,N33,K33))</f>
        <v/>
      </c>
      <c r="C33" s="10">
        <f>IF(COUNT(AS33,AP33,AM33,AJ33,AG33,AD33,AA33,X33,U33,R33,O33,L33)=0,"",SUM(AS33,AP33,AM33,AJ33,AG33,AD33,AA33,X33,U33,R33,O33,L33))</f>
        <v/>
      </c>
      <c r="D33" s="10">
        <f>IF(COUNT(AT33,AQ33,AN33,AK33,AH33,AE33,AB33,Y33,V33,S33,P33,M33)=0,"",SUM(AT33,AQ33,AN33,AK33,AH33,AE33,AB33,Y33,V33,S33,P33,M33))</f>
        <v/>
      </c>
      <c r="E33" s="11">
        <f>IF(COUNT(CB33,BY33,BV33,BS33,BP33,BM33,BJ33,BG33,BD33,BA33,AX33,AU33)=0,"",SUM(CB33,BY33,BV33,BS33,BP33,BM33,BJ33,BG33,BD33,BA33,AX33,AU33))</f>
        <v/>
      </c>
      <c r="F33" s="11">
        <f>IF(COUNT(CC33,BZ33,BW33,BT33,BQ33,BN33,BK33,BH33,BE33,BB33,AY33,AV33)=0,"",SUM(CC33,BZ33,BW33,BT33,BQ33,BN33,BK33,BH33,BE33,BB33,AY33,AV33))</f>
        <v/>
      </c>
      <c r="G33" s="11">
        <f>IF(COUNT(CD33,CA33,BX33,BU33,BR33,BO33,BL33,BI33,BF33,BC33,AZ33,AW33)=0,"",SUM(CD33,CA33,BX33,BU33,BR33,BO33,BL33,BI33,BF33,BC33,AZ33,AW33))</f>
        <v/>
      </c>
      <c r="H33" s="10">
        <f>IF(COUNT(DL33,DI33,DF33,DC33,CZ33,CW33,CT33,CQ33,CN33,CK33,CH33,CE33)=0,"",SUM(DL33,DI33,DF33,DC33,CZ33,CW33,CT33,CQ33,CN33,CK33,CH33,CE33))</f>
        <v/>
      </c>
      <c r="I33" s="10">
        <f>IF(COUNT(DM33,DJ33,DG33,DD33,DA33,CX33,CU33,CR33,CO33,CL33,CI33,CF33)=0,"",SUM(DM33,DJ33,DG33,DD33,DA33,CX33,CU33,CR33,CO33,CL33,CI33,CF33))</f>
        <v/>
      </c>
      <c r="J33" s="10">
        <f>IF(COUNT(DN33,DK33,DH33,DE33,DB33,CY33,CV33,CS33,CP33,CM33,CJ33,CG33)=0,"",SUM(DN33,DK33,DH33,DE33,DB33,CY33,CV33,CS33,CP33,CM33,CJ33,CG33))</f>
        <v/>
      </c>
      <c r="K33" s="11" t="n"/>
      <c r="L33" s="11" t="n">
        <v>12000</v>
      </c>
      <c r="M33" s="11" t="n">
        <v>12000</v>
      </c>
      <c r="N33" s="10" t="n"/>
      <c r="O33" s="10" t="n">
        <v>12000</v>
      </c>
      <c r="P33" s="10" t="n">
        <v>12000</v>
      </c>
      <c r="Q33" s="11" t="n"/>
      <c r="R33" s="11" t="n">
        <v>12000</v>
      </c>
      <c r="S33" s="11" t="n">
        <v>12000</v>
      </c>
      <c r="T33" s="10" t="n"/>
      <c r="U33" s="10" t="n">
        <v>12000</v>
      </c>
      <c r="V33" s="10" t="n">
        <v>12000</v>
      </c>
      <c r="W33" s="11" t="n"/>
      <c r="X33" s="11" t="n">
        <v>12000</v>
      </c>
      <c r="Y33" s="11" t="n">
        <v>12000</v>
      </c>
      <c r="Z33" s="10" t="n"/>
      <c r="AA33" s="10" t="n">
        <v>12000</v>
      </c>
      <c r="AB33" s="10" t="n">
        <v>12000</v>
      </c>
      <c r="AC33" s="11" t="n"/>
      <c r="AD33" s="11" t="n">
        <v>12000</v>
      </c>
      <c r="AE33" s="11" t="n">
        <v>12000</v>
      </c>
      <c r="AF33" s="10" t="n"/>
      <c r="AG33" s="10" t="n">
        <v>12000</v>
      </c>
      <c r="AH33" s="10" t="n">
        <v>12000</v>
      </c>
      <c r="AI33" s="11" t="n"/>
      <c r="AJ33" s="11" t="n">
        <v>12000</v>
      </c>
      <c r="AK33" s="11" t="n">
        <v>12000</v>
      </c>
      <c r="AL33" s="10" t="n"/>
      <c r="AM33" s="10" t="n">
        <v>12000</v>
      </c>
      <c r="AN33" s="10" t="n">
        <v>12000</v>
      </c>
      <c r="AO33" s="11" t="n"/>
      <c r="AP33" s="11" t="n">
        <v>12000</v>
      </c>
      <c r="AQ33" s="11" t="n">
        <v>12000</v>
      </c>
      <c r="AR33" s="10" t="n"/>
      <c r="AS33" s="10" t="n">
        <v>12000</v>
      </c>
      <c r="AT33" s="10" t="n">
        <v>12000</v>
      </c>
      <c r="AU33" s="11" t="n"/>
      <c r="AV33" s="11" t="n">
        <v>12000</v>
      </c>
      <c r="AW33" s="11" t="n">
        <v>12000</v>
      </c>
      <c r="AX33" s="10" t="n"/>
      <c r="AY33" s="10" t="n">
        <v>12000</v>
      </c>
      <c r="AZ33" s="10" t="n">
        <v>12000</v>
      </c>
      <c r="BA33" s="11" t="n"/>
      <c r="BB33" s="11" t="n">
        <v>12000</v>
      </c>
      <c r="BC33" s="11" t="n">
        <v>12000</v>
      </c>
      <c r="BD33" s="10" t="n"/>
      <c r="BE33" s="10" t="n">
        <v>12000</v>
      </c>
      <c r="BF33" s="10" t="n">
        <v>12000</v>
      </c>
      <c r="BG33" s="11" t="n"/>
      <c r="BH33" s="11" t="n">
        <v>12000</v>
      </c>
      <c r="BI33" s="11" t="n">
        <v>12000</v>
      </c>
      <c r="BJ33" s="10" t="n"/>
      <c r="BK33" s="10" t="n">
        <v>12000</v>
      </c>
      <c r="BL33" s="10" t="n">
        <v>12000</v>
      </c>
      <c r="BM33" s="11" t="n"/>
      <c r="BN33" s="11" t="n">
        <v>12000</v>
      </c>
      <c r="BO33" s="11" t="n">
        <v>12000</v>
      </c>
      <c r="BP33" s="10" t="n"/>
      <c r="BQ33" s="10" t="n">
        <v>12000</v>
      </c>
      <c r="BR33" s="10" t="n">
        <v>12000</v>
      </c>
      <c r="BS33" s="11" t="n"/>
      <c r="BT33" s="11" t="n">
        <v>12000</v>
      </c>
      <c r="BU33" s="11" t="n">
        <v>12000</v>
      </c>
      <c r="BV33" s="10" t="n"/>
      <c r="BW33" s="10" t="n">
        <v>12000</v>
      </c>
      <c r="BX33" s="10" t="n">
        <v>12000</v>
      </c>
      <c r="BY33" s="11" t="n"/>
      <c r="BZ33" s="11" t="n">
        <v>12000</v>
      </c>
      <c r="CA33" s="11" t="n">
        <v>12000</v>
      </c>
      <c r="CB33" s="10" t="n"/>
      <c r="CC33" s="10" t="n">
        <v>12000</v>
      </c>
      <c r="CD33" s="10" t="n">
        <v>12000</v>
      </c>
      <c r="CE33" s="11" t="n"/>
      <c r="CF33" s="11" t="n">
        <v>12000</v>
      </c>
      <c r="CG33" s="11" t="n">
        <v>12000</v>
      </c>
      <c r="CH33" s="10" t="n"/>
      <c r="CI33" s="10" t="n">
        <v>12000</v>
      </c>
      <c r="CJ33" s="10" t="n">
        <v>12000</v>
      </c>
      <c r="CK33" s="11" t="n"/>
      <c r="CL33" s="11" t="n">
        <v>12000</v>
      </c>
      <c r="CM33" s="11" t="n">
        <v>12000</v>
      </c>
      <c r="CN33" s="10" t="n"/>
      <c r="CO33" s="10" t="n">
        <v>12000</v>
      </c>
      <c r="CP33" s="10" t="n">
        <v>12000</v>
      </c>
      <c r="CQ33" s="11" t="n"/>
      <c r="CR33" s="11" t="n">
        <v>12000</v>
      </c>
      <c r="CS33" s="11" t="n">
        <v>12000</v>
      </c>
      <c r="CT33" s="10" t="n"/>
      <c r="CU33" s="10" t="n">
        <v>12000</v>
      </c>
      <c r="CV33" s="10" t="n">
        <v>12000</v>
      </c>
      <c r="CW33" s="11" t="n"/>
      <c r="CX33" s="11" t="n">
        <v>12000</v>
      </c>
      <c r="CY33" s="11" t="n">
        <v>12000</v>
      </c>
      <c r="CZ33" s="10" t="n"/>
      <c r="DA33" s="10" t="n">
        <v>12000</v>
      </c>
      <c r="DB33" s="10" t="n">
        <v>12000</v>
      </c>
      <c r="DC33" s="11" t="n"/>
      <c r="DD33" s="11" t="n">
        <v>12000</v>
      </c>
      <c r="DE33" s="11" t="n">
        <v>12000</v>
      </c>
      <c r="DF33" s="10" t="n"/>
      <c r="DG33" s="10" t="n">
        <v>12000</v>
      </c>
      <c r="DH33" s="10" t="n">
        <v>12000</v>
      </c>
      <c r="DI33" s="11" t="n">
        <v>12000</v>
      </c>
      <c r="DJ33" s="11" t="n">
        <v>12000</v>
      </c>
      <c r="DK33" s="11" t="n">
        <v>12000</v>
      </c>
      <c r="DL33" s="10" t="n">
        <v>12000</v>
      </c>
      <c r="DM33" s="10" t="n">
        <v>12000</v>
      </c>
      <c r="DN33" s="10" t="n">
        <v>12000</v>
      </c>
    </row>
    <row r="34">
      <c r="A34" s="2" t="inlineStr">
        <is>
          <t>Product Marketing Manager</t>
        </is>
      </c>
      <c r="B34" s="10">
        <f>IF(COUNT(AR34,AO34,AL34,AI34,AF34,AC34,Z34,W34,T34,Q34,N34,K34)=0,"",SUM(AR34,AO34,AL34,AI34,AF34,AC34,Z34,W34,T34,Q34,N34,K34))</f>
        <v/>
      </c>
      <c r="C34" s="10">
        <f>IF(COUNT(AS34,AP34,AM34,AJ34,AG34,AD34,AA34,X34,U34,R34,O34,L34)=0,"",SUM(AS34,AP34,AM34,AJ34,AG34,AD34,AA34,X34,U34,R34,O34,L34))</f>
        <v/>
      </c>
      <c r="D34" s="10">
        <f>IF(COUNT(AT34,AQ34,AN34,AK34,AH34,AE34,AB34,Y34,V34,S34,P34,M34)=0,"",SUM(AT34,AQ34,AN34,AK34,AH34,AE34,AB34,Y34,V34,S34,P34,M34))</f>
        <v/>
      </c>
      <c r="E34" s="11">
        <f>IF(COUNT(CB34,BY34,BV34,BS34,BP34,BM34,BJ34,BG34,BD34,BA34,AX34,AU34)=0,"",SUM(CB34,BY34,BV34,BS34,BP34,BM34,BJ34,BG34,BD34,BA34,AX34,AU34))</f>
        <v/>
      </c>
      <c r="F34" s="11">
        <f>IF(COUNT(CC34,BZ34,BW34,BT34,BQ34,BN34,BK34,BH34,BE34,BB34,AY34,AV34)=0,"",SUM(CC34,BZ34,BW34,BT34,BQ34,BN34,BK34,BH34,BE34,BB34,AY34,AV34))</f>
        <v/>
      </c>
      <c r="G34" s="11">
        <f>IF(COUNT(CD34,CA34,BX34,BU34,BR34,BO34,BL34,BI34,BF34,BC34,AZ34,AW34)=0,"",SUM(CD34,CA34,BX34,BU34,BR34,BO34,BL34,BI34,BF34,BC34,AZ34,AW34))</f>
        <v/>
      </c>
      <c r="H34" s="10">
        <f>IF(COUNT(DL34,DI34,DF34,DC34,CZ34,CW34,CT34,CQ34,CN34,CK34,CH34,CE34)=0,"",SUM(DL34,DI34,DF34,DC34,CZ34,CW34,CT34,CQ34,CN34,CK34,CH34,CE34))</f>
        <v/>
      </c>
      <c r="I34" s="10">
        <f>IF(COUNT(DM34,DJ34,DG34,DD34,DA34,CX34,CU34,CR34,CO34,CL34,CI34,CF34)=0,"",SUM(DM34,DJ34,DG34,DD34,DA34,CX34,CU34,CR34,CO34,CL34,CI34,CF34))</f>
        <v/>
      </c>
      <c r="J34" s="10">
        <f>IF(COUNT(DN34,DK34,DH34,DE34,DB34,CY34,CV34,CS34,CP34,CM34,CJ34,CG34)=0,"",SUM(DN34,DK34,DH34,DE34,DB34,CY34,CV34,CS34,CP34,CM34,CJ34,CG34))</f>
        <v/>
      </c>
      <c r="K34" s="11" t="n"/>
      <c r="L34" s="11" t="n">
        <v>12000</v>
      </c>
      <c r="M34" s="11" t="n">
        <v>12000</v>
      </c>
      <c r="N34" s="10" t="n"/>
      <c r="O34" s="10" t="n">
        <v>12000</v>
      </c>
      <c r="P34" s="10" t="n">
        <v>12000</v>
      </c>
      <c r="Q34" s="11" t="n"/>
      <c r="R34" s="11" t="n">
        <v>12000</v>
      </c>
      <c r="S34" s="11" t="n">
        <v>12000</v>
      </c>
      <c r="T34" s="10" t="n"/>
      <c r="U34" s="10" t="n">
        <v>12000</v>
      </c>
      <c r="V34" s="10" t="n">
        <v>12000</v>
      </c>
      <c r="W34" s="11" t="n"/>
      <c r="X34" s="11" t="n">
        <v>12000</v>
      </c>
      <c r="Y34" s="11" t="n">
        <v>12000</v>
      </c>
      <c r="Z34" s="10" t="n"/>
      <c r="AA34" s="10" t="n">
        <v>12000</v>
      </c>
      <c r="AB34" s="10" t="n">
        <v>12000</v>
      </c>
      <c r="AC34" s="11" t="n"/>
      <c r="AD34" s="11" t="n">
        <v>12000</v>
      </c>
      <c r="AE34" s="11" t="n">
        <v>12000</v>
      </c>
      <c r="AF34" s="10" t="n"/>
      <c r="AG34" s="10" t="n">
        <v>12000</v>
      </c>
      <c r="AH34" s="10" t="n">
        <v>12000</v>
      </c>
      <c r="AI34" s="11" t="n"/>
      <c r="AJ34" s="11" t="n">
        <v>12000</v>
      </c>
      <c r="AK34" s="11" t="n">
        <v>12000</v>
      </c>
      <c r="AL34" s="10" t="n"/>
      <c r="AM34" s="10" t="n">
        <v>12000</v>
      </c>
      <c r="AN34" s="10" t="n">
        <v>12000</v>
      </c>
      <c r="AO34" s="11" t="n"/>
      <c r="AP34" s="11" t="n">
        <v>12000</v>
      </c>
      <c r="AQ34" s="11" t="n">
        <v>12000</v>
      </c>
      <c r="AR34" s="10" t="n"/>
      <c r="AS34" s="10" t="n">
        <v>12000</v>
      </c>
      <c r="AT34" s="10" t="n">
        <v>12000</v>
      </c>
      <c r="AU34" s="11" t="n"/>
      <c r="AV34" s="11" t="n">
        <v>12000</v>
      </c>
      <c r="AW34" s="11" t="n">
        <v>12000</v>
      </c>
      <c r="AX34" s="10" t="n"/>
      <c r="AY34" s="10" t="n">
        <v>12000</v>
      </c>
      <c r="AZ34" s="10" t="n">
        <v>12000</v>
      </c>
      <c r="BA34" s="11" t="n"/>
      <c r="BB34" s="11" t="n">
        <v>12000</v>
      </c>
      <c r="BC34" s="11" t="n">
        <v>12000</v>
      </c>
      <c r="BD34" s="10" t="n"/>
      <c r="BE34" s="10" t="n">
        <v>12000</v>
      </c>
      <c r="BF34" s="10" t="n">
        <v>12000</v>
      </c>
      <c r="BG34" s="11" t="n"/>
      <c r="BH34" s="11" t="n">
        <v>12000</v>
      </c>
      <c r="BI34" s="11" t="n">
        <v>12000</v>
      </c>
      <c r="BJ34" s="10" t="n"/>
      <c r="BK34" s="10" t="n">
        <v>12000</v>
      </c>
      <c r="BL34" s="10" t="n">
        <v>12000</v>
      </c>
      <c r="BM34" s="11" t="n"/>
      <c r="BN34" s="11" t="n">
        <v>12000</v>
      </c>
      <c r="BO34" s="11" t="n">
        <v>12000</v>
      </c>
      <c r="BP34" s="10" t="n"/>
      <c r="BQ34" s="10" t="n">
        <v>12000</v>
      </c>
      <c r="BR34" s="10" t="n">
        <v>12000</v>
      </c>
      <c r="BS34" s="11" t="n"/>
      <c r="BT34" s="11" t="n">
        <v>12000</v>
      </c>
      <c r="BU34" s="11" t="n">
        <v>12000</v>
      </c>
      <c r="BV34" s="10" t="n"/>
      <c r="BW34" s="10" t="n">
        <v>12000</v>
      </c>
      <c r="BX34" s="10" t="n">
        <v>12000</v>
      </c>
      <c r="BY34" s="11" t="n"/>
      <c r="BZ34" s="11" t="n">
        <v>12000</v>
      </c>
      <c r="CA34" s="11" t="n">
        <v>12000</v>
      </c>
      <c r="CB34" s="10" t="n"/>
      <c r="CC34" s="10" t="n">
        <v>12000</v>
      </c>
      <c r="CD34" s="10" t="n">
        <v>12000</v>
      </c>
      <c r="CE34" s="11" t="n"/>
      <c r="CF34" s="11" t="n">
        <v>12000</v>
      </c>
      <c r="CG34" s="11" t="n">
        <v>12000</v>
      </c>
      <c r="CH34" s="10" t="n"/>
      <c r="CI34" s="10" t="n">
        <v>12000</v>
      </c>
      <c r="CJ34" s="10" t="n">
        <v>12000</v>
      </c>
      <c r="CK34" s="11" t="n"/>
      <c r="CL34" s="11" t="n">
        <v>12000</v>
      </c>
      <c r="CM34" s="11" t="n">
        <v>12000</v>
      </c>
      <c r="CN34" s="10" t="n"/>
      <c r="CO34" s="10" t="n">
        <v>12000</v>
      </c>
      <c r="CP34" s="10" t="n">
        <v>12000</v>
      </c>
      <c r="CQ34" s="11" t="n"/>
      <c r="CR34" s="11" t="n">
        <v>12000</v>
      </c>
      <c r="CS34" s="11" t="n">
        <v>12000</v>
      </c>
      <c r="CT34" s="10" t="n"/>
      <c r="CU34" s="10" t="n">
        <v>12000</v>
      </c>
      <c r="CV34" s="10" t="n">
        <v>12000</v>
      </c>
      <c r="CW34" s="11" t="n"/>
      <c r="CX34" s="11" t="n">
        <v>12000</v>
      </c>
      <c r="CY34" s="11" t="n">
        <v>12000</v>
      </c>
      <c r="CZ34" s="10" t="n"/>
      <c r="DA34" s="10" t="n">
        <v>12000</v>
      </c>
      <c r="DB34" s="10" t="n">
        <v>12000</v>
      </c>
      <c r="DC34" s="11" t="n"/>
      <c r="DD34" s="11" t="n">
        <v>12000</v>
      </c>
      <c r="DE34" s="11" t="n">
        <v>12000</v>
      </c>
      <c r="DF34" s="10" t="n"/>
      <c r="DG34" s="10" t="n">
        <v>12000</v>
      </c>
      <c r="DH34" s="10" t="n">
        <v>12000</v>
      </c>
      <c r="DI34" s="11" t="n">
        <v>12000</v>
      </c>
      <c r="DJ34" s="11" t="n">
        <v>12000</v>
      </c>
      <c r="DK34" s="11" t="n">
        <v>12000</v>
      </c>
      <c r="DL34" s="10" t="n">
        <v>12000</v>
      </c>
      <c r="DM34" s="10" t="n">
        <v>12000</v>
      </c>
      <c r="DN34" s="10" t="n">
        <v>12000</v>
      </c>
    </row>
    <row r="35">
      <c r="A35" s="2" t="inlineStr">
        <is>
          <t>Content and Brand Lead</t>
        </is>
      </c>
      <c r="B35" s="10">
        <f>IF(COUNT(AR35,AO35,AL35,AI35,AF35,AC35,Z35,W35,T35,Q35,N35,K35)=0,"",SUM(AR35,AO35,AL35,AI35,AF35,AC35,Z35,W35,T35,Q35,N35,K35))</f>
        <v/>
      </c>
      <c r="C35" s="10">
        <f>IF(COUNT(AS35,AP35,AM35,AJ35,AG35,AD35,AA35,X35,U35,R35,O35,L35)=0,"",SUM(AS35,AP35,AM35,AJ35,AG35,AD35,AA35,X35,U35,R35,O35,L35))</f>
        <v/>
      </c>
      <c r="D35" s="10">
        <f>IF(COUNT(AT35,AQ35,AN35,AK35,AH35,AE35,AB35,Y35,V35,S35,P35,M35)=0,"",SUM(AT35,AQ35,AN35,AK35,AH35,AE35,AB35,Y35,V35,S35,P35,M35))</f>
        <v/>
      </c>
      <c r="E35" s="11">
        <f>IF(COUNT(CB35,BY35,BV35,BS35,BP35,BM35,BJ35,BG35,BD35,BA35,AX35,AU35)=0,"",SUM(CB35,BY35,BV35,BS35,BP35,BM35,BJ35,BG35,BD35,BA35,AX35,AU35))</f>
        <v/>
      </c>
      <c r="F35" s="11">
        <f>IF(COUNT(CC35,BZ35,BW35,BT35,BQ35,BN35,BK35,BH35,BE35,BB35,AY35,AV35)=0,"",SUM(CC35,BZ35,BW35,BT35,BQ35,BN35,BK35,BH35,BE35,BB35,AY35,AV35))</f>
        <v/>
      </c>
      <c r="G35" s="11">
        <f>IF(COUNT(CD35,CA35,BX35,BU35,BR35,BO35,BL35,BI35,BF35,BC35,AZ35,AW35)=0,"",SUM(CD35,CA35,BX35,BU35,BR35,BO35,BL35,BI35,BF35,BC35,AZ35,AW35))</f>
        <v/>
      </c>
      <c r="H35" s="10">
        <f>IF(COUNT(DL35,DI35,DF35,DC35,CZ35,CW35,CT35,CQ35,CN35,CK35,CH35,CE35)=0,"",SUM(DL35,DI35,DF35,DC35,CZ35,CW35,CT35,CQ35,CN35,CK35,CH35,CE35))</f>
        <v/>
      </c>
      <c r="I35" s="10">
        <f>IF(COUNT(DM35,DJ35,DG35,DD35,DA35,CX35,CU35,CR35,CO35,CL35,CI35,CF35)=0,"",SUM(DM35,DJ35,DG35,DD35,DA35,CX35,CU35,CR35,CO35,CL35,CI35,CF35))</f>
        <v/>
      </c>
      <c r="J35" s="10">
        <f>IF(COUNT(DN35,DK35,DH35,DE35,DB35,CY35,CV35,CS35,CP35,CM35,CJ35,CG35)=0,"",SUM(DN35,DK35,DH35,DE35,DB35,CY35,CV35,CS35,CP35,CM35,CJ35,CG35))</f>
        <v/>
      </c>
      <c r="K35" s="11" t="n"/>
      <c r="L35" s="11" t="n">
        <v>11000</v>
      </c>
      <c r="M35" s="11" t="n">
        <v>11000</v>
      </c>
      <c r="N35" s="10" t="n"/>
      <c r="O35" s="10" t="n">
        <v>11000</v>
      </c>
      <c r="P35" s="10" t="n">
        <v>11000</v>
      </c>
      <c r="Q35" s="11" t="n"/>
      <c r="R35" s="11" t="n">
        <v>11000</v>
      </c>
      <c r="S35" s="11" t="n">
        <v>11000</v>
      </c>
      <c r="T35" s="10" t="n"/>
      <c r="U35" s="10" t="n">
        <v>11000</v>
      </c>
      <c r="V35" s="10" t="n">
        <v>11000</v>
      </c>
      <c r="W35" s="11" t="n"/>
      <c r="X35" s="11" t="n">
        <v>11000</v>
      </c>
      <c r="Y35" s="11" t="n">
        <v>11000</v>
      </c>
      <c r="Z35" s="10" t="n"/>
      <c r="AA35" s="10" t="n">
        <v>11000</v>
      </c>
      <c r="AB35" s="10" t="n">
        <v>11000</v>
      </c>
      <c r="AC35" s="11" t="n"/>
      <c r="AD35" s="11" t="n">
        <v>11000</v>
      </c>
      <c r="AE35" s="11" t="n">
        <v>11000</v>
      </c>
      <c r="AF35" s="10" t="n"/>
      <c r="AG35" s="10" t="n">
        <v>11000</v>
      </c>
      <c r="AH35" s="10" t="n">
        <v>11000</v>
      </c>
      <c r="AI35" s="11" t="n"/>
      <c r="AJ35" s="11" t="n">
        <v>11000</v>
      </c>
      <c r="AK35" s="11" t="n">
        <v>11000</v>
      </c>
      <c r="AL35" s="10" t="n"/>
      <c r="AM35" s="10" t="n">
        <v>11000</v>
      </c>
      <c r="AN35" s="10" t="n">
        <v>11000</v>
      </c>
      <c r="AO35" s="11" t="n"/>
      <c r="AP35" s="11" t="n">
        <v>11000</v>
      </c>
      <c r="AQ35" s="11" t="n">
        <v>11000</v>
      </c>
      <c r="AR35" s="10" t="n"/>
      <c r="AS35" s="10" t="n">
        <v>11000</v>
      </c>
      <c r="AT35" s="10" t="n">
        <v>11000</v>
      </c>
      <c r="AU35" s="11" t="n"/>
      <c r="AV35" s="11" t="n">
        <v>11000</v>
      </c>
      <c r="AW35" s="11" t="n">
        <v>11000</v>
      </c>
      <c r="AX35" s="10" t="n"/>
      <c r="AY35" s="10" t="n">
        <v>11000</v>
      </c>
      <c r="AZ35" s="10" t="n">
        <v>11000</v>
      </c>
      <c r="BA35" s="11" t="n"/>
      <c r="BB35" s="11" t="n">
        <v>11000</v>
      </c>
      <c r="BC35" s="11" t="n">
        <v>11000</v>
      </c>
      <c r="BD35" s="10" t="n"/>
      <c r="BE35" s="10" t="n">
        <v>11000</v>
      </c>
      <c r="BF35" s="10" t="n">
        <v>11000</v>
      </c>
      <c r="BG35" s="11" t="n"/>
      <c r="BH35" s="11" t="n">
        <v>11000</v>
      </c>
      <c r="BI35" s="11" t="n">
        <v>11000</v>
      </c>
      <c r="BJ35" s="10" t="n"/>
      <c r="BK35" s="10" t="n">
        <v>11000</v>
      </c>
      <c r="BL35" s="10" t="n">
        <v>11000</v>
      </c>
      <c r="BM35" s="11" t="n"/>
      <c r="BN35" s="11" t="n">
        <v>11000</v>
      </c>
      <c r="BO35" s="11" t="n">
        <v>11000</v>
      </c>
      <c r="BP35" s="10" t="n"/>
      <c r="BQ35" s="10" t="n">
        <v>11000</v>
      </c>
      <c r="BR35" s="10" t="n">
        <v>11000</v>
      </c>
      <c r="BS35" s="11" t="n"/>
      <c r="BT35" s="11" t="n">
        <v>11000</v>
      </c>
      <c r="BU35" s="11" t="n">
        <v>11000</v>
      </c>
      <c r="BV35" s="10" t="n"/>
      <c r="BW35" s="10" t="n">
        <v>11000</v>
      </c>
      <c r="BX35" s="10" t="n">
        <v>11000</v>
      </c>
      <c r="BY35" s="11" t="n"/>
      <c r="BZ35" s="11" t="n">
        <v>11000</v>
      </c>
      <c r="CA35" s="11" t="n">
        <v>11000</v>
      </c>
      <c r="CB35" s="10" t="n"/>
      <c r="CC35" s="10" t="n">
        <v>11000</v>
      </c>
      <c r="CD35" s="10" t="n">
        <v>11000</v>
      </c>
      <c r="CE35" s="11" t="n"/>
      <c r="CF35" s="11" t="n">
        <v>11000</v>
      </c>
      <c r="CG35" s="11" t="n">
        <v>11000</v>
      </c>
      <c r="CH35" s="10" t="n"/>
      <c r="CI35" s="10" t="n">
        <v>11000</v>
      </c>
      <c r="CJ35" s="10" t="n">
        <v>11000</v>
      </c>
      <c r="CK35" s="11" t="n"/>
      <c r="CL35" s="11" t="n">
        <v>11000</v>
      </c>
      <c r="CM35" s="11" t="n">
        <v>11000</v>
      </c>
      <c r="CN35" s="10" t="n"/>
      <c r="CO35" s="10" t="n">
        <v>11000</v>
      </c>
      <c r="CP35" s="10" t="n">
        <v>11000</v>
      </c>
      <c r="CQ35" s="11" t="n"/>
      <c r="CR35" s="11" t="n">
        <v>11000</v>
      </c>
      <c r="CS35" s="11" t="n">
        <v>11000</v>
      </c>
      <c r="CT35" s="10" t="n"/>
      <c r="CU35" s="10" t="n">
        <v>11000</v>
      </c>
      <c r="CV35" s="10" t="n">
        <v>11000</v>
      </c>
      <c r="CW35" s="11" t="n"/>
      <c r="CX35" s="11" t="n">
        <v>11000</v>
      </c>
      <c r="CY35" s="11" t="n">
        <v>11000</v>
      </c>
      <c r="CZ35" s="10" t="n"/>
      <c r="DA35" s="10" t="n">
        <v>11000</v>
      </c>
      <c r="DB35" s="10" t="n">
        <v>11000</v>
      </c>
      <c r="DC35" s="11" t="n"/>
      <c r="DD35" s="11" t="n">
        <v>11000</v>
      </c>
      <c r="DE35" s="11" t="n">
        <v>11000</v>
      </c>
      <c r="DF35" s="10" t="n"/>
      <c r="DG35" s="10" t="n">
        <v>11000</v>
      </c>
      <c r="DH35" s="10" t="n">
        <v>11000</v>
      </c>
      <c r="DI35" s="11" t="n">
        <v>11000</v>
      </c>
      <c r="DJ35" s="11" t="n">
        <v>11000</v>
      </c>
      <c r="DK35" s="11" t="n">
        <v>11000</v>
      </c>
      <c r="DL35" s="10" t="n">
        <v>11000</v>
      </c>
      <c r="DM35" s="10" t="n">
        <v>11000</v>
      </c>
      <c r="DN35" s="10" t="n">
        <v>11000</v>
      </c>
    </row>
    <row r="36">
      <c r="A36" s="2" t="inlineStr">
        <is>
          <t>Field Marketing Manager</t>
        </is>
      </c>
      <c r="B36" s="10">
        <f>IF(COUNT(AR36,AO36,AL36,AI36,AF36,AC36,Z36,W36,T36,Q36,N36,K36)=0,"",SUM(AR36,AO36,AL36,AI36,AF36,AC36,Z36,W36,T36,Q36,N36,K36))</f>
        <v/>
      </c>
      <c r="C36" s="10">
        <f>IF(COUNT(AS36,AP36,AM36,AJ36,AG36,AD36,AA36,X36,U36,R36,O36,L36)=0,"",SUM(AS36,AP36,AM36,AJ36,AG36,AD36,AA36,X36,U36,R36,O36,L36))</f>
        <v/>
      </c>
      <c r="D36" s="10">
        <f>IF(COUNT(AT36,AQ36,AN36,AK36,AH36,AE36,AB36,Y36,V36,S36,P36,M36)=0,"",SUM(AT36,AQ36,AN36,AK36,AH36,AE36,AB36,Y36,V36,S36,P36,M36))</f>
        <v/>
      </c>
      <c r="E36" s="11">
        <f>IF(COUNT(CB36,BY36,BV36,BS36,BP36,BM36,BJ36,BG36,BD36,BA36,AX36,AU36)=0,"",SUM(CB36,BY36,BV36,BS36,BP36,BM36,BJ36,BG36,BD36,BA36,AX36,AU36))</f>
        <v/>
      </c>
      <c r="F36" s="11">
        <f>IF(COUNT(CC36,BZ36,BW36,BT36,BQ36,BN36,BK36,BH36,BE36,BB36,AY36,AV36)=0,"",SUM(CC36,BZ36,BW36,BT36,BQ36,BN36,BK36,BH36,BE36,BB36,AY36,AV36))</f>
        <v/>
      </c>
      <c r="G36" s="11">
        <f>IF(COUNT(CD36,CA36,BX36,BU36,BR36,BO36,BL36,BI36,BF36,BC36,AZ36,AW36)=0,"",SUM(CD36,CA36,BX36,BU36,BR36,BO36,BL36,BI36,BF36,BC36,AZ36,AW36))</f>
        <v/>
      </c>
      <c r="H36" s="10">
        <f>IF(COUNT(DL36,DI36,DF36,DC36,CZ36,CW36,CT36,CQ36,CN36,CK36,CH36,CE36)=0,"",SUM(DL36,DI36,DF36,DC36,CZ36,CW36,CT36,CQ36,CN36,CK36,CH36,CE36))</f>
        <v/>
      </c>
      <c r="I36" s="10">
        <f>IF(COUNT(DM36,DJ36,DG36,DD36,DA36,CX36,CU36,CR36,CO36,CL36,CI36,CF36)=0,"",SUM(DM36,DJ36,DG36,DD36,DA36,CX36,CU36,CR36,CO36,CL36,CI36,CF36))</f>
        <v/>
      </c>
      <c r="J36" s="10">
        <f>IF(COUNT(DN36,DK36,DH36,DE36,DB36,CY36,CV36,CS36,CP36,CM36,CJ36,CG36)=0,"",SUM(DN36,DK36,DH36,DE36,DB36,CY36,CV36,CS36,CP36,CM36,CJ36,CG36))</f>
        <v/>
      </c>
      <c r="K36" s="11" t="n"/>
      <c r="L36" s="11" t="n">
        <v>9000</v>
      </c>
      <c r="M36" s="11" t="n">
        <v>9000</v>
      </c>
      <c r="N36" s="10" t="n"/>
      <c r="O36" s="10" t="n">
        <v>9000</v>
      </c>
      <c r="P36" s="10" t="n">
        <v>9000</v>
      </c>
      <c r="Q36" s="11" t="n"/>
      <c r="R36" s="11" t="n">
        <v>9000</v>
      </c>
      <c r="S36" s="11" t="n">
        <v>9000</v>
      </c>
      <c r="T36" s="10" t="n"/>
      <c r="U36" s="10" t="n">
        <v>9000</v>
      </c>
      <c r="V36" s="10" t="n">
        <v>9000</v>
      </c>
      <c r="W36" s="11" t="n"/>
      <c r="X36" s="11" t="n">
        <v>9000</v>
      </c>
      <c r="Y36" s="11" t="n">
        <v>9000</v>
      </c>
      <c r="Z36" s="10" t="n"/>
      <c r="AA36" s="10" t="n">
        <v>9000</v>
      </c>
      <c r="AB36" s="10" t="n">
        <v>9000</v>
      </c>
      <c r="AC36" s="11" t="n"/>
      <c r="AD36" s="11" t="n">
        <v>9000</v>
      </c>
      <c r="AE36" s="11" t="n">
        <v>9000</v>
      </c>
      <c r="AF36" s="10" t="n"/>
      <c r="AG36" s="10" t="n">
        <v>9000</v>
      </c>
      <c r="AH36" s="10" t="n">
        <v>9000</v>
      </c>
      <c r="AI36" s="11" t="n"/>
      <c r="AJ36" s="11" t="n">
        <v>9000</v>
      </c>
      <c r="AK36" s="11" t="n">
        <v>9000</v>
      </c>
      <c r="AL36" s="10" t="n"/>
      <c r="AM36" s="10" t="n">
        <v>9000</v>
      </c>
      <c r="AN36" s="10" t="n">
        <v>9000</v>
      </c>
      <c r="AO36" s="11" t="n"/>
      <c r="AP36" s="11" t="n">
        <v>9000</v>
      </c>
      <c r="AQ36" s="11" t="n">
        <v>9000</v>
      </c>
      <c r="AR36" s="10" t="n"/>
      <c r="AS36" s="10" t="n">
        <v>9000</v>
      </c>
      <c r="AT36" s="10" t="n">
        <v>9000</v>
      </c>
      <c r="AU36" s="11" t="n"/>
      <c r="AV36" s="11" t="n">
        <v>9000</v>
      </c>
      <c r="AW36" s="11" t="n">
        <v>9000</v>
      </c>
      <c r="AX36" s="10" t="n"/>
      <c r="AY36" s="10" t="n">
        <v>9000</v>
      </c>
      <c r="AZ36" s="10" t="n">
        <v>9000</v>
      </c>
      <c r="BA36" s="11" t="n"/>
      <c r="BB36" s="11" t="n">
        <v>9000</v>
      </c>
      <c r="BC36" s="11" t="n">
        <v>9000</v>
      </c>
      <c r="BD36" s="10" t="n"/>
      <c r="BE36" s="10" t="n">
        <v>9000</v>
      </c>
      <c r="BF36" s="10" t="n">
        <v>9000</v>
      </c>
      <c r="BG36" s="11" t="n"/>
      <c r="BH36" s="11" t="n">
        <v>9000</v>
      </c>
      <c r="BI36" s="11" t="n">
        <v>9000</v>
      </c>
      <c r="BJ36" s="10" t="n"/>
      <c r="BK36" s="10" t="n">
        <v>9000</v>
      </c>
      <c r="BL36" s="10" t="n">
        <v>9000</v>
      </c>
      <c r="BM36" s="11" t="n"/>
      <c r="BN36" s="11" t="n">
        <v>9000</v>
      </c>
      <c r="BO36" s="11" t="n">
        <v>9000</v>
      </c>
      <c r="BP36" s="10" t="n"/>
      <c r="BQ36" s="10" t="n">
        <v>9000</v>
      </c>
      <c r="BR36" s="10" t="n">
        <v>9000</v>
      </c>
      <c r="BS36" s="11" t="n"/>
      <c r="BT36" s="11" t="n">
        <v>9000</v>
      </c>
      <c r="BU36" s="11" t="n">
        <v>9000</v>
      </c>
      <c r="BV36" s="10" t="n"/>
      <c r="BW36" s="10" t="n">
        <v>9000</v>
      </c>
      <c r="BX36" s="10" t="n">
        <v>9000</v>
      </c>
      <c r="BY36" s="11" t="n"/>
      <c r="BZ36" s="11" t="n">
        <v>9000</v>
      </c>
      <c r="CA36" s="11" t="n">
        <v>9000</v>
      </c>
      <c r="CB36" s="10" t="n"/>
      <c r="CC36" s="10" t="n">
        <v>9000</v>
      </c>
      <c r="CD36" s="10" t="n">
        <v>9000</v>
      </c>
      <c r="CE36" s="11" t="n"/>
      <c r="CF36" s="11" t="n">
        <v>9000</v>
      </c>
      <c r="CG36" s="11" t="n">
        <v>9000</v>
      </c>
      <c r="CH36" s="10" t="n"/>
      <c r="CI36" s="10" t="n">
        <v>9000</v>
      </c>
      <c r="CJ36" s="10" t="n">
        <v>9000</v>
      </c>
      <c r="CK36" s="11" t="n"/>
      <c r="CL36" s="11" t="n">
        <v>9000</v>
      </c>
      <c r="CM36" s="11" t="n">
        <v>9000</v>
      </c>
      <c r="CN36" s="10" t="n"/>
      <c r="CO36" s="10" t="n">
        <v>9000</v>
      </c>
      <c r="CP36" s="10" t="n">
        <v>9000</v>
      </c>
      <c r="CT36" s="35" t="n"/>
      <c r="CU36" s="35" t="n"/>
      <c r="CV36" s="35" t="n"/>
      <c r="CZ36" s="35" t="n"/>
      <c r="DA36" s="35" t="n"/>
      <c r="DB36" s="35" t="n"/>
      <c r="DF36" s="35" t="n"/>
      <c r="DG36" s="35" t="n"/>
      <c r="DH36" s="35" t="n"/>
      <c r="DL36" s="35" t="n"/>
      <c r="DM36" s="35" t="n"/>
      <c r="DN36" s="35" t="n"/>
    </row>
    <row r="37">
      <c r="A37" s="2" t="inlineStr">
        <is>
          <t>Demand Generation Manager</t>
        </is>
      </c>
      <c r="B37" s="10">
        <f>IF(COUNT(AR37,AO37,AL37,AI37,AF37,AC37,Z37,W37,T37,Q37,N37,K37)=0,"",SUM(AR37,AO37,AL37,AI37,AF37,AC37,Z37,W37,T37,Q37,N37,K37))</f>
        <v/>
      </c>
      <c r="C37" s="10">
        <f>IF(COUNT(AS37,AP37,AM37,AJ37,AG37,AD37,AA37,X37,U37,R37,O37,L37)=0,"",SUM(AS37,AP37,AM37,AJ37,AG37,AD37,AA37,X37,U37,R37,O37,L37))</f>
        <v/>
      </c>
      <c r="D37" s="10">
        <f>IF(COUNT(AT37,AQ37,AN37,AK37,AH37,AE37,AB37,Y37,V37,S37,P37,M37)=0,"",SUM(AT37,AQ37,AN37,AK37,AH37,AE37,AB37,Y37,V37,S37,P37,M37))</f>
        <v/>
      </c>
      <c r="E37" s="11">
        <f>IF(COUNT(CB37,BY37,BV37,BS37,BP37,BM37,BJ37,BG37,BD37,BA37,AX37,AU37)=0,"",SUM(CB37,BY37,BV37,BS37,BP37,BM37,BJ37,BG37,BD37,BA37,AX37,AU37))</f>
        <v/>
      </c>
      <c r="F37" s="11">
        <f>IF(COUNT(CC37,BZ37,BW37,BT37,BQ37,BN37,BK37,BH37,BE37,BB37,AY37,AV37)=0,"",SUM(CC37,BZ37,BW37,BT37,BQ37,BN37,BK37,BH37,BE37,BB37,AY37,AV37))</f>
        <v/>
      </c>
      <c r="G37" s="11">
        <f>IF(COUNT(CD37,CA37,BX37,BU37,BR37,BO37,BL37,BI37,BF37,BC37,AZ37,AW37)=0,"",SUM(CD37,CA37,BX37,BU37,BR37,BO37,BL37,BI37,BF37,BC37,AZ37,AW37))</f>
        <v/>
      </c>
      <c r="H37" s="10">
        <f>IF(COUNT(DL37,DI37,DF37,DC37,CZ37,CW37,CT37,CQ37,CN37,CK37,CH37,CE37)=0,"",SUM(DL37,DI37,DF37,DC37,CZ37,CW37,CT37,CQ37,CN37,CK37,CH37,CE37))</f>
        <v/>
      </c>
      <c r="I37" s="10">
        <f>IF(COUNT(DM37,DJ37,DG37,DD37,DA37,CX37,CU37,CR37,CO37,CL37,CI37,CF37)=0,"",SUM(DM37,DJ37,DG37,DD37,DA37,CX37,CU37,CR37,CO37,CL37,CI37,CF37))</f>
        <v/>
      </c>
      <c r="J37" s="10">
        <f>IF(COUNT(DN37,DK37,DH37,DE37,DB37,CY37,CV37,CS37,CP37,CM37,CJ37,CG37)=0,"",SUM(DN37,DK37,DH37,DE37,DB37,CY37,CV37,CS37,CP37,CM37,CJ37,CG37))</f>
        <v/>
      </c>
      <c r="K37" s="11" t="n"/>
      <c r="L37" s="11" t="n">
        <v>12000</v>
      </c>
      <c r="M37" s="11" t="n">
        <v>12000</v>
      </c>
      <c r="N37" s="10" t="n"/>
      <c r="O37" s="10" t="n">
        <v>12000</v>
      </c>
      <c r="P37" s="10" t="n">
        <v>12000</v>
      </c>
      <c r="Q37" s="11" t="n"/>
      <c r="R37" s="11" t="n">
        <v>12000</v>
      </c>
      <c r="S37" s="11" t="n">
        <v>12000</v>
      </c>
      <c r="T37" s="10" t="n"/>
      <c r="U37" s="10" t="n">
        <v>12000</v>
      </c>
      <c r="V37" s="10" t="n">
        <v>12000</v>
      </c>
      <c r="W37" s="11" t="n"/>
      <c r="X37" s="11" t="n">
        <v>12000</v>
      </c>
      <c r="Y37" s="11" t="n">
        <v>12000</v>
      </c>
      <c r="Z37" s="10" t="n"/>
      <c r="AA37" s="10" t="n">
        <v>12000</v>
      </c>
      <c r="AB37" s="10" t="n">
        <v>12000</v>
      </c>
      <c r="AC37" s="11" t="n"/>
      <c r="AD37" s="11" t="n">
        <v>12000</v>
      </c>
      <c r="AE37" s="11" t="n">
        <v>12000</v>
      </c>
      <c r="AF37" s="10" t="n"/>
      <c r="AG37" s="10" t="n">
        <v>12000</v>
      </c>
      <c r="AH37" s="10" t="n">
        <v>12000</v>
      </c>
      <c r="AI37" s="11" t="n"/>
      <c r="AJ37" s="11" t="n">
        <v>12000</v>
      </c>
      <c r="AK37" s="11" t="n">
        <v>12000</v>
      </c>
      <c r="AL37" s="10" t="n"/>
      <c r="AM37" s="10" t="n">
        <v>12000</v>
      </c>
      <c r="AN37" s="10" t="n">
        <v>12000</v>
      </c>
      <c r="AO37" s="11" t="n"/>
      <c r="AP37" s="11" t="n">
        <v>12000</v>
      </c>
      <c r="AQ37" s="11" t="n">
        <v>12000</v>
      </c>
      <c r="AR37" s="10" t="n"/>
      <c r="AS37" s="10" t="n">
        <v>12000</v>
      </c>
      <c r="AT37" s="10" t="n">
        <v>12000</v>
      </c>
      <c r="AU37" s="11" t="n"/>
      <c r="AV37" s="11" t="n">
        <v>12000</v>
      </c>
      <c r="AW37" s="11" t="n">
        <v>12000</v>
      </c>
      <c r="AX37" s="10" t="n"/>
      <c r="AY37" s="10" t="n">
        <v>12000</v>
      </c>
      <c r="AZ37" s="10" t="n">
        <v>12000</v>
      </c>
      <c r="BA37" s="11" t="n"/>
      <c r="BB37" s="11" t="n">
        <v>12000</v>
      </c>
      <c r="BC37" s="11" t="n">
        <v>12000</v>
      </c>
      <c r="BD37" s="35" t="n"/>
      <c r="BE37" s="35" t="n"/>
      <c r="BF37" s="35" t="n"/>
      <c r="BJ37" s="35" t="n"/>
      <c r="BK37" s="35" t="n"/>
      <c r="BL37" s="35" t="n"/>
      <c r="BP37" s="35" t="n"/>
      <c r="BQ37" s="35" t="n"/>
      <c r="BR37" s="35" t="n"/>
      <c r="BV37" s="35" t="n"/>
      <c r="BW37" s="35" t="n"/>
      <c r="BX37" s="35" t="n"/>
      <c r="CB37" s="35" t="n"/>
      <c r="CC37" s="35" t="n"/>
      <c r="CD37" s="35" t="n"/>
      <c r="CH37" s="35" t="n"/>
      <c r="CI37" s="35" t="n"/>
      <c r="CJ37" s="35" t="n"/>
      <c r="CN37" s="35" t="n"/>
      <c r="CO37" s="35" t="n"/>
      <c r="CP37" s="35" t="n"/>
      <c r="CT37" s="35" t="n"/>
      <c r="CU37" s="35" t="n"/>
      <c r="CV37" s="35" t="n"/>
      <c r="CZ37" s="35" t="n"/>
      <c r="DA37" s="35" t="n"/>
      <c r="DB37" s="35" t="n"/>
      <c r="DF37" s="35" t="n"/>
      <c r="DG37" s="35" t="n"/>
      <c r="DH37" s="35" t="n"/>
      <c r="DL37" s="35" t="n"/>
      <c r="DM37" s="35" t="n"/>
      <c r="DN37" s="35" t="n"/>
    </row>
    <row r="38">
      <c r="A38" s="12" t="inlineStr">
        <is>
          <t>Total People Cost</t>
        </is>
      </c>
      <c r="B38" s="13">
        <f>IF(COUNT(AR38,AO38,AL38,AI38,AF38,AC38,Z38,W38,T38,Q38,N38,K38)=0,"",SUM(AR38,AO38,AL38,AI38,AF38,AC38,Z38,W38,T38,Q38,N38,K38))</f>
        <v/>
      </c>
      <c r="C38" s="13">
        <f>IF(COUNT(AS38,AP38,AM38,AJ38,AG38,AD38,AA38,X38,U38,R38,O38,L38)=0,"",SUM(AS38,AP38,AM38,AJ38,AG38,AD38,AA38,X38,U38,R38,O38,L38))</f>
        <v/>
      </c>
      <c r="D38" s="13">
        <f>IF(COUNT(AT38,AQ38,AN38,AK38,AH38,AE38,AB38,Y38,V38,S38,P38,M38)=0,"",SUM(AT38,AQ38,AN38,AK38,AH38,AE38,AB38,Y38,V38,S38,P38,M38))</f>
        <v/>
      </c>
      <c r="E38" s="14">
        <f>IF(COUNT(CB38,BY38,BV38,BS38,BP38,BM38,BJ38,BG38,BD38,BA38,AX38,AU38)=0,"",SUM(CB38,BY38,BV38,BS38,BP38,BM38,BJ38,BG38,BD38,BA38,AX38,AU38))</f>
        <v/>
      </c>
      <c r="F38" s="14">
        <f>IF(COUNT(CC38,BZ38,BW38,BT38,BQ38,BN38,BK38,BH38,BE38,BB38,AY38,AV38)=0,"",SUM(CC38,BZ38,BW38,BT38,BQ38,BN38,BK38,BH38,BE38,BB38,AY38,AV38))</f>
        <v/>
      </c>
      <c r="G38" s="14">
        <f>IF(COUNT(CD38,CA38,BX38,BU38,BR38,BO38,BL38,BI38,BF38,BC38,AZ38,AW38)=0,"",SUM(CD38,CA38,BX38,BU38,BR38,BO38,BL38,BI38,BF38,BC38,AZ38,AW38))</f>
        <v/>
      </c>
      <c r="H38" s="13">
        <f>IF(COUNT(DL38,DI38,DF38,DC38,CZ38,CW38,CT38,CQ38,CN38,CK38,CH38,CE38)=0,"",SUM(DL38,DI38,DF38,DC38,CZ38,CW38,CT38,CQ38,CN38,CK38,CH38,CE38))</f>
        <v/>
      </c>
      <c r="I38" s="13">
        <f>IF(COUNT(DM38,DJ38,DG38,DD38,DA38,CX38,CU38,CR38,CO38,CL38,CI38,CF38)=0,"",SUM(DM38,DJ38,DG38,DD38,DA38,CX38,CU38,CR38,CO38,CL38,CI38,CF38))</f>
        <v/>
      </c>
      <c r="J38" s="13">
        <f>IF(COUNT(DN38,DK38,DH38,DE38,DB38,CY38,CV38,CS38,CP38,CM38,CJ38,CG38)=0,"",SUM(DN38,DK38,DH38,DE38,DB38,CY38,CV38,CS38,CP38,CM38,CJ38,CG38))</f>
        <v/>
      </c>
      <c r="K38" s="14">
        <f>IF(COUNT(K32,K33,K34,K35,K36,K37)=0,"",SUM(K32:K37))</f>
        <v/>
      </c>
      <c r="L38" s="14">
        <f>SUM(L32:L37)</f>
        <v/>
      </c>
      <c r="M38" s="14">
        <f>SUM(M32:M37)</f>
        <v/>
      </c>
      <c r="N38" s="13">
        <f>IF(COUNT(N32,N33,N34,N35,N36,N37)=0,"",SUM(N32:N37))</f>
        <v/>
      </c>
      <c r="O38" s="13">
        <f>SUM(O32:O37)</f>
        <v/>
      </c>
      <c r="P38" s="13">
        <f>SUM(P32:P37)</f>
        <v/>
      </c>
      <c r="Q38" s="14">
        <f>IF(COUNT(Q32,Q33,Q34,Q35,Q36,Q37)=0,"",SUM(Q32:Q37))</f>
        <v/>
      </c>
      <c r="R38" s="14">
        <f>SUM(R32:R37)</f>
        <v/>
      </c>
      <c r="S38" s="14">
        <f>SUM(S32:S37)</f>
        <v/>
      </c>
      <c r="T38" s="13">
        <f>IF(COUNT(T32,T33,T34,T35,T36,T37)=0,"",SUM(T32:T37))</f>
        <v/>
      </c>
      <c r="U38" s="13">
        <f>SUM(U32:U37)</f>
        <v/>
      </c>
      <c r="V38" s="13">
        <f>SUM(V32:V37)</f>
        <v/>
      </c>
      <c r="W38" s="14">
        <f>IF(COUNT(W32,W33,W34,W35,W36,W37)=0,"",SUM(W32:W37))</f>
        <v/>
      </c>
      <c r="X38" s="14">
        <f>SUM(X32:X37)</f>
        <v/>
      </c>
      <c r="Y38" s="14">
        <f>SUM(Y32:Y37)</f>
        <v/>
      </c>
      <c r="Z38" s="13">
        <f>IF(COUNT(Z32,Z33,Z34,Z35,Z36,Z37)=0,"",SUM(Z32:Z37))</f>
        <v/>
      </c>
      <c r="AA38" s="13">
        <f>SUM(AA32:AA37)</f>
        <v/>
      </c>
      <c r="AB38" s="13">
        <f>SUM(AB32:AB37)</f>
        <v/>
      </c>
      <c r="AC38" s="14">
        <f>IF(COUNT(AC32,AC33,AC34,AC35,AC36,AC37)=0,"",SUM(AC32:AC37))</f>
        <v/>
      </c>
      <c r="AD38" s="14">
        <f>SUM(AD32:AD37)</f>
        <v/>
      </c>
      <c r="AE38" s="14">
        <f>SUM(AE32:AE37)</f>
        <v/>
      </c>
      <c r="AF38" s="13">
        <f>IF(COUNT(AF32,AF33,AF34,AF35,AF36,AF37)=0,"",SUM(AF32:AF37))</f>
        <v/>
      </c>
      <c r="AG38" s="13">
        <f>SUM(AG32:AG37)</f>
        <v/>
      </c>
      <c r="AH38" s="13">
        <f>SUM(AH32:AH37)</f>
        <v/>
      </c>
      <c r="AI38" s="14">
        <f>IF(COUNT(AI32,AI33,AI34,AI35,AI36,AI37)=0,"",SUM(AI32:AI37))</f>
        <v/>
      </c>
      <c r="AJ38" s="14">
        <f>SUM(AJ32:AJ37)</f>
        <v/>
      </c>
      <c r="AK38" s="14">
        <f>SUM(AK32:AK37)</f>
        <v/>
      </c>
      <c r="AL38" s="13">
        <f>IF(COUNT(AL32,AL33,AL34,AL35,AL36,AL37)=0,"",SUM(AL32:AL37))</f>
        <v/>
      </c>
      <c r="AM38" s="13">
        <f>SUM(AM32:AM37)</f>
        <v/>
      </c>
      <c r="AN38" s="13">
        <f>SUM(AN32:AN37)</f>
        <v/>
      </c>
      <c r="AO38" s="14">
        <f>IF(COUNT(AO32,AO33,AO34,AO35,AO36,AO37)=0,"",SUM(AO32:AO37))</f>
        <v/>
      </c>
      <c r="AP38" s="14">
        <f>SUM(AP32:AP37)</f>
        <v/>
      </c>
      <c r="AQ38" s="14">
        <f>SUM(AQ32:AQ37)</f>
        <v/>
      </c>
      <c r="AR38" s="13">
        <f>IF(COUNT(AR32,AR33,AR34,AR35,AR36,AR37)=0,"",SUM(AR32:AR37))</f>
        <v/>
      </c>
      <c r="AS38" s="13">
        <f>SUM(AS32:AS37)</f>
        <v/>
      </c>
      <c r="AT38" s="13">
        <f>SUM(AT32:AT37)</f>
        <v/>
      </c>
      <c r="AU38" s="14">
        <f>IF(COUNT(AU32,AU33,AU34,AU35,AU36,AU37)=0,"",SUM(AU32:AU37))</f>
        <v/>
      </c>
      <c r="AV38" s="14">
        <f>SUM(AV32:AV37)</f>
        <v/>
      </c>
      <c r="AW38" s="14">
        <f>SUM(AW32:AW37)</f>
        <v/>
      </c>
      <c r="AX38" s="13">
        <f>IF(COUNT(AX32,AX33,AX34,AX35,AX36,AX37)=0,"",SUM(AX32:AX37))</f>
        <v/>
      </c>
      <c r="AY38" s="13">
        <f>SUM(AY32:AY37)</f>
        <v/>
      </c>
      <c r="AZ38" s="13">
        <f>SUM(AZ32:AZ37)</f>
        <v/>
      </c>
      <c r="BA38" s="14">
        <f>IF(COUNT(BA32,BA33,BA34,BA35,BA36,BA37)=0,"",SUM(BA32:BA37))</f>
        <v/>
      </c>
      <c r="BB38" s="14">
        <f>SUM(BB32:BB37)</f>
        <v/>
      </c>
      <c r="BC38" s="14">
        <f>SUM(BC32:BC37)</f>
        <v/>
      </c>
      <c r="BD38" s="13">
        <f>IF(COUNT(BD32,BD33,BD34,BD35,BD36)=0,"",SUM(BD32:BD37))</f>
        <v/>
      </c>
      <c r="BE38" s="13">
        <f>SUM(BE32:BE37)</f>
        <v/>
      </c>
      <c r="BF38" s="13">
        <f>SUM(BF32:BF37)</f>
        <v/>
      </c>
      <c r="BG38" s="14">
        <f>IF(COUNT(BG32,BG33,BG34,BG35,BG36)=0,"",SUM(BG32:BG37))</f>
        <v/>
      </c>
      <c r="BH38" s="14">
        <f>SUM(BH32:BH37)</f>
        <v/>
      </c>
      <c r="BI38" s="14">
        <f>SUM(BI32:BI37)</f>
        <v/>
      </c>
      <c r="BJ38" s="13">
        <f>IF(COUNT(BJ32,BJ33,BJ34,BJ35,BJ36)=0,"",SUM(BJ32:BJ37))</f>
        <v/>
      </c>
      <c r="BK38" s="13">
        <f>SUM(BK32:BK37)</f>
        <v/>
      </c>
      <c r="BL38" s="13">
        <f>SUM(BL32:BL37)</f>
        <v/>
      </c>
      <c r="BM38" s="14">
        <f>IF(COUNT(BM32,BM33,BM34,BM35,BM36)=0,"",SUM(BM32:BM37))</f>
        <v/>
      </c>
      <c r="BN38" s="14">
        <f>SUM(BN32:BN37)</f>
        <v/>
      </c>
      <c r="BO38" s="14">
        <f>SUM(BO32:BO37)</f>
        <v/>
      </c>
      <c r="BP38" s="13">
        <f>IF(COUNT(BP32,BP33,BP34,BP35,BP36)=0,"",SUM(BP32:BP37))</f>
        <v/>
      </c>
      <c r="BQ38" s="13">
        <f>SUM(BQ32:BQ37)</f>
        <v/>
      </c>
      <c r="BR38" s="13">
        <f>SUM(BR32:BR37)</f>
        <v/>
      </c>
      <c r="BS38" s="14">
        <f>IF(COUNT(BS32,BS33,BS34,BS35,BS36)=0,"",SUM(BS32:BS37))</f>
        <v/>
      </c>
      <c r="BT38" s="14">
        <f>SUM(BT32:BT37)</f>
        <v/>
      </c>
      <c r="BU38" s="14">
        <f>SUM(BU32:BU37)</f>
        <v/>
      </c>
      <c r="BV38" s="13">
        <f>IF(COUNT(BV32,BV33,BV34,BV35,BV36)=0,"",SUM(BV32:BV37))</f>
        <v/>
      </c>
      <c r="BW38" s="13">
        <f>SUM(BW32:BW37)</f>
        <v/>
      </c>
      <c r="BX38" s="13">
        <f>SUM(BX32:BX37)</f>
        <v/>
      </c>
      <c r="BY38" s="14">
        <f>IF(COUNT(BY32,BY33,BY34,BY35,BY36)=0,"",SUM(BY32:BY37))</f>
        <v/>
      </c>
      <c r="BZ38" s="14">
        <f>SUM(BZ32:BZ37)</f>
        <v/>
      </c>
      <c r="CA38" s="14">
        <f>SUM(CA32:CA37)</f>
        <v/>
      </c>
      <c r="CB38" s="13">
        <f>IF(COUNT(CB32,CB33,CB34,CB35,CB36)=0,"",SUM(CB32:CB37))</f>
        <v/>
      </c>
      <c r="CC38" s="13">
        <f>SUM(CC32:CC37)</f>
        <v/>
      </c>
      <c r="CD38" s="13">
        <f>SUM(CD32:CD37)</f>
        <v/>
      </c>
      <c r="CE38" s="14">
        <f>IF(COUNT(CE32,CE33,CE34,CE35,CE36)=0,"",SUM(CE32:CE37))</f>
        <v/>
      </c>
      <c r="CF38" s="14">
        <f>SUM(CF32:CF37)</f>
        <v/>
      </c>
      <c r="CG38" s="14">
        <f>SUM(CG32:CG37)</f>
        <v/>
      </c>
      <c r="CH38" s="13">
        <f>IF(COUNT(CH32,CH33,CH34,CH35,CH36)=0,"",SUM(CH32:CH37))</f>
        <v/>
      </c>
      <c r="CI38" s="13">
        <f>SUM(CI32:CI37)</f>
        <v/>
      </c>
      <c r="CJ38" s="13">
        <f>SUM(CJ32:CJ37)</f>
        <v/>
      </c>
      <c r="CK38" s="14">
        <f>IF(COUNT(CK32,CK33,CK34,CK35,CK36)=0,"",SUM(CK32:CK37))</f>
        <v/>
      </c>
      <c r="CL38" s="14">
        <f>SUM(CL32:CL37)</f>
        <v/>
      </c>
      <c r="CM38" s="14">
        <f>SUM(CM32:CM37)</f>
        <v/>
      </c>
      <c r="CN38" s="13">
        <f>IF(COUNT(CN32,CN33,CN34,CN35,CN36)=0,"",SUM(CN32:CN37))</f>
        <v/>
      </c>
      <c r="CO38" s="13">
        <f>SUM(CO32:CO37)</f>
        <v/>
      </c>
      <c r="CP38" s="13">
        <f>SUM(CP32:CP37)</f>
        <v/>
      </c>
      <c r="CQ38" s="14">
        <f>IF(COUNT(CQ32,CQ33,CQ34,CQ35)=0,"",SUM(CQ32:CQ37))</f>
        <v/>
      </c>
      <c r="CR38" s="14">
        <f>SUM(CR32:CR37)</f>
        <v/>
      </c>
      <c r="CS38" s="14">
        <f>SUM(CS32:CS37)</f>
        <v/>
      </c>
      <c r="CT38" s="13">
        <f>IF(COUNT(CT32,CT33,CT34,CT35)=0,"",SUM(CT32:CT37))</f>
        <v/>
      </c>
      <c r="CU38" s="13">
        <f>SUM(CU32:CU37)</f>
        <v/>
      </c>
      <c r="CV38" s="13">
        <f>SUM(CV32:CV37)</f>
        <v/>
      </c>
      <c r="CW38" s="14">
        <f>IF(COUNT(CW32,CW33,CW34,CW35)=0,"",SUM(CW32:CW37))</f>
        <v/>
      </c>
      <c r="CX38" s="14">
        <f>SUM(CX32:CX37)</f>
        <v/>
      </c>
      <c r="CY38" s="14">
        <f>SUM(CY32:CY37)</f>
        <v/>
      </c>
      <c r="CZ38" s="13">
        <f>IF(COUNT(CZ32,CZ33,CZ34,CZ35)=0,"",SUM(CZ32:CZ37))</f>
        <v/>
      </c>
      <c r="DA38" s="13">
        <f>SUM(DA32:DA37)</f>
        <v/>
      </c>
      <c r="DB38" s="13">
        <f>SUM(DB32:DB37)</f>
        <v/>
      </c>
      <c r="DC38" s="14">
        <f>IF(COUNT(DC32,DC33,DC34,DC35)=0,"",SUM(DC32:DC37))</f>
        <v/>
      </c>
      <c r="DD38" s="14">
        <f>SUM(DD32:DD37)</f>
        <v/>
      </c>
      <c r="DE38" s="14">
        <f>SUM(DE32:DE37)</f>
        <v/>
      </c>
      <c r="DF38" s="13">
        <f>IF(COUNT(DF32,DF33,DF34,DF35)=0,"",SUM(DF32:DF37))</f>
        <v/>
      </c>
      <c r="DG38" s="13">
        <f>SUM(DG32:DG37)</f>
        <v/>
      </c>
      <c r="DH38" s="13">
        <f>SUM(DH32:DH37)</f>
        <v/>
      </c>
      <c r="DI38" s="14">
        <f>IF(COUNT(DI32,DI33,DI34,DI35)=0,"",SUM(DI32:DI37))</f>
        <v/>
      </c>
      <c r="DJ38" s="14">
        <f>SUM(DJ32:DJ37)</f>
        <v/>
      </c>
      <c r="DK38" s="14">
        <f>SUM(DK32:DK37)</f>
        <v/>
      </c>
      <c r="DL38" s="13">
        <f>IF(COUNT(DL32,DL33,DL34,DL35)=0,"",SUM(DL32:DL37))</f>
        <v/>
      </c>
      <c r="DM38" s="13">
        <f>SUM(DM32:DM37)</f>
        <v/>
      </c>
      <c r="DN38" s="13">
        <f>SUM(DN32:DN37)</f>
        <v/>
      </c>
    </row>
    <row r="39">
      <c r="A39" s="2" t="inlineStr">
        <is>
          <t>Headcount</t>
        </is>
      </c>
      <c r="B39" s="21">
        <f>IF(K39&lt;&gt;"",K39,IF(N39&lt;&gt;"",N39,IF(Q39&lt;&gt;"",Q39,IF(T39&lt;&gt;"",T39,IF(W39&lt;&gt;"",W39,IF(Z39&lt;&gt;"",Z39,IF(AC39&lt;&gt;"",AC39,IF(AF39&lt;&gt;"",AF39,IF(AI39&lt;&gt;"",AI39,IF(AL39&lt;&gt;"",AL39,IF(AO39&lt;&gt;"",AO39,IF(AR39&lt;&gt;"",AR39,""))))))))))))</f>
        <v/>
      </c>
      <c r="C39" s="21">
        <f>IF(L39&lt;&gt;"",L39,IF(O39&lt;&gt;"",O39,IF(R39&lt;&gt;"",R39,IF(U39&lt;&gt;"",U39,IF(X39&lt;&gt;"",X39,IF(AA39&lt;&gt;"",AA39,IF(AD39&lt;&gt;"",AD39,IF(AG39&lt;&gt;"",AG39,IF(AJ39&lt;&gt;"",AJ39,IF(AM39&lt;&gt;"",AM39,IF(AP39&lt;&gt;"",AP39,IF(AS39&lt;&gt;"",AS39,""))))))))))))</f>
        <v/>
      </c>
      <c r="D39" s="21">
        <f>IF(M39&lt;&gt;"",M39,IF(P39&lt;&gt;"",P39,IF(S39&lt;&gt;"",S39,IF(V39&lt;&gt;"",V39,IF(Y39&lt;&gt;"",Y39,IF(AB39&lt;&gt;"",AB39,IF(AE39&lt;&gt;"",AE39,IF(AH39&lt;&gt;"",AH39,IF(AK39&lt;&gt;"",AK39,IF(AN39&lt;&gt;"",AN39,IF(AQ39&lt;&gt;"",AQ39,IF(AT39&lt;&gt;"",AT39,""))))))))))))</f>
        <v/>
      </c>
      <c r="E39" s="2">
        <f>IF(AU39&lt;&gt;"",AU39,IF(AX39&lt;&gt;"",AX39,IF(BA39&lt;&gt;"",BA39,IF(BD39&lt;&gt;"",BD39,IF(BG39&lt;&gt;"",BG39,IF(BJ39&lt;&gt;"",BJ39,IF(BM39&lt;&gt;"",BM39,IF(BP39&lt;&gt;"",BP39,IF(BS39&lt;&gt;"",BS39,IF(BV39&lt;&gt;"",BV39,IF(BY39&lt;&gt;"",BY39,IF(CB39&lt;&gt;"",CB39,""))))))))))))</f>
        <v/>
      </c>
      <c r="F39" s="2">
        <f>IF(AV39&lt;&gt;"",AV39,IF(AY39&lt;&gt;"",AY39,IF(BB39&lt;&gt;"",BB39,IF(BE39&lt;&gt;"",BE39,IF(BH39&lt;&gt;"",BH39,IF(BK39&lt;&gt;"",BK39,IF(BN39&lt;&gt;"",BN39,IF(BQ39&lt;&gt;"",BQ39,IF(BT39&lt;&gt;"",BT39,IF(BW39&lt;&gt;"",BW39,IF(BZ39&lt;&gt;"",BZ39,IF(CC39&lt;&gt;"",CC39,""))))))))))))</f>
        <v/>
      </c>
      <c r="G39" s="2">
        <f>IF(AW39&lt;&gt;"",AW39,IF(AZ39&lt;&gt;"",AZ39,IF(BC39&lt;&gt;"",BC39,IF(BF39&lt;&gt;"",BF39,IF(BI39&lt;&gt;"",BI39,IF(BL39&lt;&gt;"",BL39,IF(BO39&lt;&gt;"",BO39,IF(BR39&lt;&gt;"",BR39,IF(BU39&lt;&gt;"",BU39,IF(BX39&lt;&gt;"",BX39,IF(CA39&lt;&gt;"",CA39,IF(CD39&lt;&gt;"",CD39,""))))))))))))</f>
        <v/>
      </c>
      <c r="H39" s="21">
        <f>IF(CE39&lt;&gt;"",CE39,IF(CH39&lt;&gt;"",CH39,IF(CK39&lt;&gt;"",CK39,IF(CN39&lt;&gt;"",CN39,IF(CQ39&lt;&gt;"",CQ39,IF(CT39&lt;&gt;"",CT39,IF(CW39&lt;&gt;"",CW39,IF(CZ39&lt;&gt;"",CZ39,IF(DC39&lt;&gt;"",DC39,IF(DF39&lt;&gt;"",DF39,IF(DI39&lt;&gt;"",DI39,IF(DL39&lt;&gt;"",DL39,""))))))))))))</f>
        <v/>
      </c>
      <c r="I39" s="21">
        <f>IF(CF39&lt;&gt;"",CF39,IF(CI39&lt;&gt;"",CI39,IF(CL39&lt;&gt;"",CL39,IF(CO39&lt;&gt;"",CO39,IF(CR39&lt;&gt;"",CR39,IF(CU39&lt;&gt;"",CU39,IF(CX39&lt;&gt;"",CX39,IF(DA39&lt;&gt;"",DA39,IF(DD39&lt;&gt;"",DD39,IF(DG39&lt;&gt;"",DG39,IF(DJ39&lt;&gt;"",DJ39,IF(DM39&lt;&gt;"",DM39,""))))))))))))</f>
        <v/>
      </c>
      <c r="J39" s="21">
        <f>IF(CG39&lt;&gt;"",CG39,IF(CJ39&lt;&gt;"",CJ39,IF(CM39&lt;&gt;"",CM39,IF(CP39&lt;&gt;"",CP39,IF(CS39&lt;&gt;"",CS39,IF(CV39&lt;&gt;"",CV39,IF(CY39&lt;&gt;"",CY39,IF(DB39&lt;&gt;"",DB39,IF(DE39&lt;&gt;"",DE39,IF(DH39&lt;&gt;"",DH39,IF(DK39&lt;&gt;"",DK39,IF(DN39&lt;&gt;"",DN39,""))))))))))))</f>
        <v/>
      </c>
      <c r="K39" s="2">
        <f>IF(COUNT(K32,K33,K34,K35,K36,K37)=0,"",COUNT(K32:K37))</f>
        <v/>
      </c>
      <c r="L39" s="2">
        <f>COUNT(L32:L37)</f>
        <v/>
      </c>
      <c r="M39" s="2">
        <f>COUNT(M32:M37)</f>
        <v/>
      </c>
      <c r="N39" s="21">
        <f>IF(COUNT(N32,N33,N34,N35,N36,N37)=0,"",COUNT(N32:N37))</f>
        <v/>
      </c>
      <c r="O39" s="21">
        <f>COUNT(O32:O37)</f>
        <v/>
      </c>
      <c r="P39" s="21">
        <f>COUNT(P32:P37)</f>
        <v/>
      </c>
      <c r="Q39" s="2">
        <f>IF(COUNT(Q32,Q33,Q34,Q35,Q36,Q37)=0,"",COUNT(Q32:Q37))</f>
        <v/>
      </c>
      <c r="R39" s="2">
        <f>COUNT(R32:R37)</f>
        <v/>
      </c>
      <c r="S39" s="2">
        <f>COUNT(S32:S37)</f>
        <v/>
      </c>
      <c r="T39" s="21">
        <f>IF(COUNT(T32,T33,T34,T35,T36,T37)=0,"",COUNT(T32:T37))</f>
        <v/>
      </c>
      <c r="U39" s="21">
        <f>COUNT(U32:U37)</f>
        <v/>
      </c>
      <c r="V39" s="21">
        <f>COUNT(V32:V37)</f>
        <v/>
      </c>
      <c r="W39" s="2">
        <f>IF(COUNT(W32,W33,W34,W35,W36,W37)=0,"",COUNT(W32:W37))</f>
        <v/>
      </c>
      <c r="X39" s="2">
        <f>COUNT(X32:X37)</f>
        <v/>
      </c>
      <c r="Y39" s="2">
        <f>COUNT(Y32:Y37)</f>
        <v/>
      </c>
      <c r="Z39" s="21">
        <f>IF(COUNT(Z32,Z33,Z34,Z35,Z36,Z37)=0,"",COUNT(Z32:Z37))</f>
        <v/>
      </c>
      <c r="AA39" s="21">
        <f>COUNT(AA32:AA37)</f>
        <v/>
      </c>
      <c r="AB39" s="21">
        <f>COUNT(AB32:AB37)</f>
        <v/>
      </c>
      <c r="AC39" s="2">
        <f>IF(COUNT(AC32,AC33,AC34,AC35,AC36,AC37)=0,"",COUNT(AC32:AC37))</f>
        <v/>
      </c>
      <c r="AD39" s="2">
        <f>COUNT(AD32:AD37)</f>
        <v/>
      </c>
      <c r="AE39" s="2">
        <f>COUNT(AE32:AE37)</f>
        <v/>
      </c>
      <c r="AF39" s="21">
        <f>IF(COUNT(AF32,AF33,AF34,AF35,AF36,AF37)=0,"",COUNT(AF32:AF37))</f>
        <v/>
      </c>
      <c r="AG39" s="21">
        <f>COUNT(AG32:AG37)</f>
        <v/>
      </c>
      <c r="AH39" s="21">
        <f>COUNT(AH32:AH37)</f>
        <v/>
      </c>
      <c r="AI39" s="2">
        <f>IF(COUNT(AI32,AI33,AI34,AI35,AI36,AI37)=0,"",COUNT(AI32:AI37))</f>
        <v/>
      </c>
      <c r="AJ39" s="2">
        <f>COUNT(AJ32:AJ37)</f>
        <v/>
      </c>
      <c r="AK39" s="2">
        <f>COUNT(AK32:AK37)</f>
        <v/>
      </c>
      <c r="AL39" s="21">
        <f>IF(COUNT(AL32,AL33,AL34,AL35,AL36,AL37)=0,"",COUNT(AL32:AL37))</f>
        <v/>
      </c>
      <c r="AM39" s="21">
        <f>COUNT(AM32:AM37)</f>
        <v/>
      </c>
      <c r="AN39" s="21">
        <f>COUNT(AN32:AN37)</f>
        <v/>
      </c>
      <c r="AO39" s="2">
        <f>IF(COUNT(AO32,AO33,AO34,AO35,AO36,AO37)=0,"",COUNT(AO32:AO37))</f>
        <v/>
      </c>
      <c r="AP39" s="2">
        <f>COUNT(AP32:AP37)</f>
        <v/>
      </c>
      <c r="AQ39" s="2">
        <f>COUNT(AQ32:AQ37)</f>
        <v/>
      </c>
      <c r="AR39" s="21">
        <f>IF(COUNT(AR32,AR33,AR34,AR35,AR36,AR37)=0,"",COUNT(AR32:AR37))</f>
        <v/>
      </c>
      <c r="AS39" s="21">
        <f>COUNT(AS32:AS37)</f>
        <v/>
      </c>
      <c r="AT39" s="21">
        <f>COUNT(AT32:AT37)</f>
        <v/>
      </c>
      <c r="AU39" s="2">
        <f>IF(COUNT(AU32,AU33,AU34,AU35,AU36,AU37)=0,"",COUNT(AU32:AU37))</f>
        <v/>
      </c>
      <c r="AV39" s="2">
        <f>COUNT(AV32:AV37)</f>
        <v/>
      </c>
      <c r="AW39" s="2">
        <f>COUNT(AW32:AW37)</f>
        <v/>
      </c>
      <c r="AX39" s="21">
        <f>IF(COUNT(AX32,AX33,AX34,AX35,AX36,AX37)=0,"",COUNT(AX32:AX37))</f>
        <v/>
      </c>
      <c r="AY39" s="21">
        <f>COUNT(AY32:AY37)</f>
        <v/>
      </c>
      <c r="AZ39" s="21">
        <f>COUNT(AZ32:AZ37)</f>
        <v/>
      </c>
      <c r="BA39" s="2">
        <f>IF(COUNT(BA32,BA33,BA34,BA35,BA36,BA37)=0,"",COUNT(BA32:BA37))</f>
        <v/>
      </c>
      <c r="BB39" s="2">
        <f>COUNT(BB32:BB37)</f>
        <v/>
      </c>
      <c r="BC39" s="2">
        <f>COUNT(BC32:BC37)</f>
        <v/>
      </c>
      <c r="BD39" s="21">
        <f>IF(COUNT(BD32,BD33,BD34,BD35,BD36)=0,"",COUNT(BD32:BD37))</f>
        <v/>
      </c>
      <c r="BE39" s="21">
        <f>COUNT(BE32:BE37)</f>
        <v/>
      </c>
      <c r="BF39" s="21">
        <f>COUNT(BF32:BF37)</f>
        <v/>
      </c>
      <c r="BG39" s="2">
        <f>IF(COUNT(BG32,BG33,BG34,BG35,BG36)=0,"",COUNT(BG32:BG37))</f>
        <v/>
      </c>
      <c r="BH39" s="2">
        <f>COUNT(BH32:BH37)</f>
        <v/>
      </c>
      <c r="BI39" s="2">
        <f>COUNT(BI32:BI37)</f>
        <v/>
      </c>
      <c r="BJ39" s="21">
        <f>IF(COUNT(BJ32,BJ33,BJ34,BJ35,BJ36)=0,"",COUNT(BJ32:BJ37))</f>
        <v/>
      </c>
      <c r="BK39" s="21">
        <f>COUNT(BK32:BK37)</f>
        <v/>
      </c>
      <c r="BL39" s="21">
        <f>COUNT(BL32:BL37)</f>
        <v/>
      </c>
      <c r="BM39" s="2">
        <f>IF(COUNT(BM32,BM33,BM34,BM35,BM36)=0,"",COUNT(BM32:BM37))</f>
        <v/>
      </c>
      <c r="BN39" s="2">
        <f>COUNT(BN32:BN37)</f>
        <v/>
      </c>
      <c r="BO39" s="2">
        <f>COUNT(BO32:BO37)</f>
        <v/>
      </c>
      <c r="BP39" s="21">
        <f>IF(COUNT(BP32,BP33,BP34,BP35,BP36)=0,"",COUNT(BP32:BP37))</f>
        <v/>
      </c>
      <c r="BQ39" s="21">
        <f>COUNT(BQ32:BQ37)</f>
        <v/>
      </c>
      <c r="BR39" s="21">
        <f>COUNT(BR32:BR37)</f>
        <v/>
      </c>
      <c r="BS39" s="2">
        <f>IF(COUNT(BS32,BS33,BS34,BS35,BS36)=0,"",COUNT(BS32:BS37))</f>
        <v/>
      </c>
      <c r="BT39" s="2">
        <f>COUNT(BT32:BT37)</f>
        <v/>
      </c>
      <c r="BU39" s="2">
        <f>COUNT(BU32:BU37)</f>
        <v/>
      </c>
      <c r="BV39" s="21">
        <f>IF(COUNT(BV32,BV33,BV34,BV35,BV36)=0,"",COUNT(BV32:BV37))</f>
        <v/>
      </c>
      <c r="BW39" s="21">
        <f>COUNT(BW32:BW37)</f>
        <v/>
      </c>
      <c r="BX39" s="21">
        <f>COUNT(BX32:BX37)</f>
        <v/>
      </c>
      <c r="BY39" s="2">
        <f>IF(COUNT(BY32,BY33,BY34,BY35,BY36)=0,"",COUNT(BY32:BY37))</f>
        <v/>
      </c>
      <c r="BZ39" s="2">
        <f>COUNT(BZ32:BZ37)</f>
        <v/>
      </c>
      <c r="CA39" s="2">
        <f>COUNT(CA32:CA37)</f>
        <v/>
      </c>
      <c r="CB39" s="21">
        <f>IF(COUNT(CB32,CB33,CB34,CB35,CB36)=0,"",COUNT(CB32:CB37))</f>
        <v/>
      </c>
      <c r="CC39" s="21">
        <f>COUNT(CC32:CC37)</f>
        <v/>
      </c>
      <c r="CD39" s="21">
        <f>COUNT(CD32:CD37)</f>
        <v/>
      </c>
      <c r="CE39" s="2">
        <f>IF(COUNT(CE32,CE33,CE34,CE35,CE36)=0,"",COUNT(CE32:CE37))</f>
        <v/>
      </c>
      <c r="CF39" s="2">
        <f>COUNT(CF32:CF37)</f>
        <v/>
      </c>
      <c r="CG39" s="2">
        <f>COUNT(CG32:CG37)</f>
        <v/>
      </c>
      <c r="CH39" s="21">
        <f>IF(COUNT(CH32,CH33,CH34,CH35,CH36)=0,"",COUNT(CH32:CH37))</f>
        <v/>
      </c>
      <c r="CI39" s="21">
        <f>COUNT(CI32:CI37)</f>
        <v/>
      </c>
      <c r="CJ39" s="21">
        <f>COUNT(CJ32:CJ37)</f>
        <v/>
      </c>
      <c r="CK39" s="2">
        <f>IF(COUNT(CK32,CK33,CK34,CK35,CK36)=0,"",COUNT(CK32:CK37))</f>
        <v/>
      </c>
      <c r="CL39" s="2">
        <f>COUNT(CL32:CL37)</f>
        <v/>
      </c>
      <c r="CM39" s="2">
        <f>COUNT(CM32:CM37)</f>
        <v/>
      </c>
      <c r="CN39" s="21">
        <f>IF(COUNT(CN32,CN33,CN34,CN35,CN36)=0,"",COUNT(CN32:CN37))</f>
        <v/>
      </c>
      <c r="CO39" s="21">
        <f>COUNT(CO32:CO37)</f>
        <v/>
      </c>
      <c r="CP39" s="21">
        <f>COUNT(CP32:CP37)</f>
        <v/>
      </c>
      <c r="CQ39" s="2">
        <f>IF(COUNT(CQ32,CQ33,CQ34,CQ35)=0,"",COUNT(CQ32:CQ37))</f>
        <v/>
      </c>
      <c r="CR39" s="2">
        <f>COUNT(CR32:CR37)</f>
        <v/>
      </c>
      <c r="CS39" s="2">
        <f>COUNT(CS32:CS37)</f>
        <v/>
      </c>
      <c r="CT39" s="21">
        <f>IF(COUNT(CT32,CT33,CT34,CT35)=0,"",COUNT(CT32:CT37))</f>
        <v/>
      </c>
      <c r="CU39" s="21">
        <f>COUNT(CU32:CU37)</f>
        <v/>
      </c>
      <c r="CV39" s="21">
        <f>COUNT(CV32:CV37)</f>
        <v/>
      </c>
      <c r="CW39" s="2">
        <f>IF(COUNT(CW32,CW33,CW34,CW35)=0,"",COUNT(CW32:CW37))</f>
        <v/>
      </c>
      <c r="CX39" s="2">
        <f>COUNT(CX32:CX37)</f>
        <v/>
      </c>
      <c r="CY39" s="2">
        <f>COUNT(CY32:CY37)</f>
        <v/>
      </c>
      <c r="CZ39" s="21">
        <f>IF(COUNT(CZ32,CZ33,CZ34,CZ35)=0,"",COUNT(CZ32:CZ37))</f>
        <v/>
      </c>
      <c r="DA39" s="21">
        <f>COUNT(DA32:DA37)</f>
        <v/>
      </c>
      <c r="DB39" s="21">
        <f>COUNT(DB32:DB37)</f>
        <v/>
      </c>
      <c r="DC39" s="2">
        <f>IF(COUNT(DC32,DC33,DC34,DC35)=0,"",COUNT(DC32:DC37))</f>
        <v/>
      </c>
      <c r="DD39" s="2">
        <f>COUNT(DD32:DD37)</f>
        <v/>
      </c>
      <c r="DE39" s="2">
        <f>COUNT(DE32:DE37)</f>
        <v/>
      </c>
      <c r="DF39" s="21">
        <f>IF(COUNT(DF32,DF33,DF34,DF35)=0,"",COUNT(DF32:DF37))</f>
        <v/>
      </c>
      <c r="DG39" s="21">
        <f>COUNT(DG32:DG37)</f>
        <v/>
      </c>
      <c r="DH39" s="21">
        <f>COUNT(DH32:DH37)</f>
        <v/>
      </c>
      <c r="DI39" s="2">
        <f>IF(COUNT(DI32,DI33,DI34,DI35)=0,"",COUNT(DI32:DI37))</f>
        <v/>
      </c>
      <c r="DJ39" s="2">
        <f>COUNT(DJ32:DJ37)</f>
        <v/>
      </c>
      <c r="DK39" s="2">
        <f>COUNT(DK32:DK37)</f>
        <v/>
      </c>
      <c r="DL39" s="21">
        <f>IF(COUNT(DL32,DL33,DL34,DL35)=0,"",COUNT(DL32:DL37))</f>
        <v/>
      </c>
      <c r="DM39" s="21">
        <f>COUNT(DM32:DM37)</f>
        <v/>
      </c>
      <c r="DN39" s="21">
        <f>COUNT(DN32:DN37)</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N61"/>
  <sheetViews>
    <sheetView workbookViewId="0">
      <pane xSplit="10" ySplit="2" topLeftCell="K3" activePane="bottomRight" state="frozen"/>
      <selection pane="topRight"/>
      <selection pane="bottomLeft"/>
      <selection pane="bottomRight" activeCell="A1" sqref="A1"/>
    </sheetView>
  </sheetViews>
  <sheetFormatPr baseColWidth="8" defaultRowHeight="15"/>
  <cols>
    <col width="5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s>
  <sheetData>
    <row r="1">
      <c r="B1" s="4">
        <f>"FY"&amp;YEAR(K$1)</f>
        <v/>
      </c>
      <c r="C1" s="4" t="n"/>
      <c r="D1" s="4" t="n"/>
      <c r="E1" s="5">
        <f>"FY"&amp;YEAR(AU$1)</f>
        <v/>
      </c>
      <c r="F1" s="5" t="n"/>
      <c r="G1" s="5" t="n"/>
      <c r="H1" s="4">
        <f>"FY"&amp;YEAR(CE$1)</f>
        <v/>
      </c>
      <c r="I1" s="4" t="n"/>
      <c r="J1" s="4" t="n"/>
      <c r="K1" s="6">
        <f>EOMONTH(N$1,1)</f>
        <v/>
      </c>
      <c r="L1" s="5" t="n"/>
      <c r="M1" s="5" t="n"/>
      <c r="N1" s="7">
        <f>EOMONTH(Q$1,1)</f>
        <v/>
      </c>
      <c r="O1" s="4" t="n"/>
      <c r="P1" s="4" t="n"/>
      <c r="Q1" s="6">
        <f>EOMONTH(T$1,1)</f>
        <v/>
      </c>
      <c r="R1" s="5" t="n"/>
      <c r="S1" s="5" t="n"/>
      <c r="T1" s="7">
        <f>EOMONTH(W$1,1)</f>
        <v/>
      </c>
      <c r="U1" s="4" t="n"/>
      <c r="V1" s="4" t="n"/>
      <c r="W1" s="6">
        <f>EOMONTH(Z$1,1)</f>
        <v/>
      </c>
      <c r="X1" s="5" t="n"/>
      <c r="Y1" s="5" t="n"/>
      <c r="Z1" s="7">
        <f>EOMONTH(AC$1,1)</f>
        <v/>
      </c>
      <c r="AA1" s="4" t="n"/>
      <c r="AB1" s="4" t="n"/>
      <c r="AC1" s="6">
        <f>EOMONTH(AF$1,1)</f>
        <v/>
      </c>
      <c r="AD1" s="5" t="n"/>
      <c r="AE1" s="5" t="n"/>
      <c r="AF1" s="7">
        <f>EOMONTH(AI$1,1)</f>
        <v/>
      </c>
      <c r="AG1" s="4" t="n"/>
      <c r="AH1" s="4" t="n"/>
      <c r="AI1" s="6">
        <f>EOMONTH(AL$1,1)</f>
        <v/>
      </c>
      <c r="AJ1" s="5" t="n"/>
      <c r="AK1" s="5" t="n"/>
      <c r="AL1" s="7">
        <f>EOMONTH(AO$1,1)</f>
        <v/>
      </c>
      <c r="AM1" s="4" t="n"/>
      <c r="AN1" s="4" t="n"/>
      <c r="AO1" s="6">
        <f>EOMONTH(AR$1,1)</f>
        <v/>
      </c>
      <c r="AP1" s="5" t="n"/>
      <c r="AQ1" s="5" t="n"/>
      <c r="AR1" s="7">
        <f>EOMONTH(AU$1,1)</f>
        <v/>
      </c>
      <c r="AS1" s="4" t="n"/>
      <c r="AT1" s="4" t="n"/>
      <c r="AU1" s="6">
        <f>EOMONTH(AX$1,1)</f>
        <v/>
      </c>
      <c r="AV1" s="5" t="n"/>
      <c r="AW1" s="5" t="n"/>
      <c r="AX1" s="7">
        <f>EOMONTH(BA$1,1)</f>
        <v/>
      </c>
      <c r="AY1" s="4" t="n"/>
      <c r="AZ1" s="4" t="n"/>
      <c r="BA1" s="6">
        <f>EOMONTH(BD$1,1)</f>
        <v/>
      </c>
      <c r="BB1" s="5" t="n"/>
      <c r="BC1" s="5" t="n"/>
      <c r="BD1" s="7">
        <f>EOMONTH(BG$1,1)</f>
        <v/>
      </c>
      <c r="BE1" s="4" t="n"/>
      <c r="BF1" s="4" t="n"/>
      <c r="BG1" s="6">
        <f>EOMONTH(BJ$1,1)</f>
        <v/>
      </c>
      <c r="BH1" s="5" t="n"/>
      <c r="BI1" s="5" t="n"/>
      <c r="BJ1" s="7">
        <f>EOMONTH(BM$1,1)</f>
        <v/>
      </c>
      <c r="BK1" s="4" t="n"/>
      <c r="BL1" s="4" t="n"/>
      <c r="BM1" s="6">
        <f>EOMONTH(BP$1,1)</f>
        <v/>
      </c>
      <c r="BN1" s="5" t="n"/>
      <c r="BO1" s="5" t="n"/>
      <c r="BP1" s="7">
        <f>EOMONTH(BS$1,1)</f>
        <v/>
      </c>
      <c r="BQ1" s="4" t="n"/>
      <c r="BR1" s="4" t="n"/>
      <c r="BS1" s="6">
        <f>EOMONTH(BV$1,1)</f>
        <v/>
      </c>
      <c r="BT1" s="5" t="n"/>
      <c r="BU1" s="5" t="n"/>
      <c r="BV1" s="7">
        <f>EOMONTH(BY$1,1)</f>
        <v/>
      </c>
      <c r="BW1" s="4" t="n"/>
      <c r="BX1" s="4" t="n"/>
      <c r="BY1" s="6">
        <f>EOMONTH(CB$1,1)</f>
        <v/>
      </c>
      <c r="BZ1" s="5" t="n"/>
      <c r="CA1" s="5" t="n"/>
      <c r="CB1" s="7">
        <f>EOMONTH(CE$1,1)</f>
        <v/>
      </c>
      <c r="CC1" s="4" t="n"/>
      <c r="CD1" s="4" t="n"/>
      <c r="CE1" s="6">
        <f>EOMONTH(CH$1,1)</f>
        <v/>
      </c>
      <c r="CF1" s="5" t="n"/>
      <c r="CG1" s="5" t="n"/>
      <c r="CH1" s="7">
        <f>EOMONTH(CK$1,1)</f>
        <v/>
      </c>
      <c r="CI1" s="4" t="n"/>
      <c r="CJ1" s="4" t="n"/>
      <c r="CK1" s="6">
        <f>EOMONTH(CN$1,1)</f>
        <v/>
      </c>
      <c r="CL1" s="5" t="n"/>
      <c r="CM1" s="5" t="n"/>
      <c r="CN1" s="7">
        <f>EOMONTH(CQ$1,1)</f>
        <v/>
      </c>
      <c r="CO1" s="4" t="n"/>
      <c r="CP1" s="4" t="n"/>
      <c r="CQ1" s="6">
        <f>EOMONTH(CT$1,1)</f>
        <v/>
      </c>
      <c r="CR1" s="5" t="n"/>
      <c r="CS1" s="5" t="n"/>
      <c r="CT1" s="7">
        <f>EOMONTH(CW$1,1)</f>
        <v/>
      </c>
      <c r="CU1" s="4" t="n"/>
      <c r="CV1" s="4" t="n"/>
      <c r="CW1" s="6">
        <f>EOMONTH(CZ$1,1)</f>
        <v/>
      </c>
      <c r="CX1" s="5" t="n"/>
      <c r="CY1" s="5" t="n"/>
      <c r="CZ1" s="7">
        <f>EOMONTH(DC$1,1)</f>
        <v/>
      </c>
      <c r="DA1" s="4" t="n"/>
      <c r="DB1" s="4" t="n"/>
      <c r="DC1" s="6">
        <f>EOMONTH(DF$1,1)</f>
        <v/>
      </c>
      <c r="DD1" s="5" t="n"/>
      <c r="DE1" s="5" t="n"/>
      <c r="DF1" s="7">
        <f>EOMONTH(DI$1,1)</f>
        <v/>
      </c>
      <c r="DG1" s="4" t="n"/>
      <c r="DH1" s="4" t="n"/>
      <c r="DI1" s="6">
        <f>EOMONTH(DL$1,1)</f>
        <v/>
      </c>
      <c r="DJ1" s="5" t="n"/>
      <c r="DK1" s="5" t="n"/>
      <c r="DL1" s="7">
        <f>Finance!$B$61</f>
        <v/>
      </c>
      <c r="DM1" s="4" t="n"/>
      <c r="DN1" s="4" t="n"/>
    </row>
    <row r="2">
      <c r="A2" s="8" t="n"/>
      <c r="B2" s="9" t="inlineStr">
        <is>
          <t>Actual</t>
        </is>
      </c>
      <c r="C2" s="9" t="inlineStr">
        <is>
          <t>Rolling</t>
        </is>
      </c>
      <c r="D2" s="9" t="inlineStr">
        <is>
          <t>Approved</t>
        </is>
      </c>
      <c r="E2" s="8" t="inlineStr">
        <is>
          <t>Actual</t>
        </is>
      </c>
      <c r="F2" s="8" t="inlineStr">
        <is>
          <t>Rolling</t>
        </is>
      </c>
      <c r="G2" s="8" t="inlineStr">
        <is>
          <t>Approved</t>
        </is>
      </c>
      <c r="H2" s="9" t="inlineStr">
        <is>
          <t>Actual</t>
        </is>
      </c>
      <c r="I2" s="9" t="inlineStr">
        <is>
          <t>Rolling</t>
        </is>
      </c>
      <c r="J2" s="9" t="inlineStr">
        <is>
          <t>Approved</t>
        </is>
      </c>
      <c r="K2" s="8" t="inlineStr">
        <is>
          <t>Actual</t>
        </is>
      </c>
      <c r="L2" s="8" t="inlineStr">
        <is>
          <t>Rolling</t>
        </is>
      </c>
      <c r="M2" s="8" t="inlineStr">
        <is>
          <t>Approved</t>
        </is>
      </c>
      <c r="N2" s="9" t="inlineStr">
        <is>
          <t>Actual</t>
        </is>
      </c>
      <c r="O2" s="9" t="inlineStr">
        <is>
          <t>Rolling</t>
        </is>
      </c>
      <c r="P2" s="9" t="inlineStr">
        <is>
          <t>Approved</t>
        </is>
      </c>
      <c r="Q2" s="8" t="inlineStr">
        <is>
          <t>Actual</t>
        </is>
      </c>
      <c r="R2" s="8" t="inlineStr">
        <is>
          <t>Rolling</t>
        </is>
      </c>
      <c r="S2" s="8" t="inlineStr">
        <is>
          <t>Approved</t>
        </is>
      </c>
      <c r="T2" s="9" t="inlineStr">
        <is>
          <t>Actual</t>
        </is>
      </c>
      <c r="U2" s="9" t="inlineStr">
        <is>
          <t>Rolling</t>
        </is>
      </c>
      <c r="V2" s="9" t="inlineStr">
        <is>
          <t>Approved</t>
        </is>
      </c>
      <c r="W2" s="8" t="inlineStr">
        <is>
          <t>Actual</t>
        </is>
      </c>
      <c r="X2" s="8" t="inlineStr">
        <is>
          <t>Rolling</t>
        </is>
      </c>
      <c r="Y2" s="8" t="inlineStr">
        <is>
          <t>Approved</t>
        </is>
      </c>
      <c r="Z2" s="9" t="inlineStr">
        <is>
          <t>Actual</t>
        </is>
      </c>
      <c r="AA2" s="9" t="inlineStr">
        <is>
          <t>Rolling</t>
        </is>
      </c>
      <c r="AB2" s="9" t="inlineStr">
        <is>
          <t>Approved</t>
        </is>
      </c>
      <c r="AC2" s="8" t="inlineStr">
        <is>
          <t>Actual</t>
        </is>
      </c>
      <c r="AD2" s="8" t="inlineStr">
        <is>
          <t>Rolling</t>
        </is>
      </c>
      <c r="AE2" s="8" t="inlineStr">
        <is>
          <t>Approved</t>
        </is>
      </c>
      <c r="AF2" s="9" t="inlineStr">
        <is>
          <t>Actual</t>
        </is>
      </c>
      <c r="AG2" s="9" t="inlineStr">
        <is>
          <t>Rolling</t>
        </is>
      </c>
      <c r="AH2" s="9" t="inlineStr">
        <is>
          <t>Approved</t>
        </is>
      </c>
      <c r="AI2" s="8" t="inlineStr">
        <is>
          <t>Actual</t>
        </is>
      </c>
      <c r="AJ2" s="8" t="inlineStr">
        <is>
          <t>Rolling</t>
        </is>
      </c>
      <c r="AK2" s="8" t="inlineStr">
        <is>
          <t>Approved</t>
        </is>
      </c>
      <c r="AL2" s="9" t="inlineStr">
        <is>
          <t>Actual</t>
        </is>
      </c>
      <c r="AM2" s="9" t="inlineStr">
        <is>
          <t>Rolling</t>
        </is>
      </c>
      <c r="AN2" s="9" t="inlineStr">
        <is>
          <t>Approved</t>
        </is>
      </c>
      <c r="AO2" s="8" t="inlineStr">
        <is>
          <t>Actual</t>
        </is>
      </c>
      <c r="AP2" s="8" t="inlineStr">
        <is>
          <t>Rolling</t>
        </is>
      </c>
      <c r="AQ2" s="8" t="inlineStr">
        <is>
          <t>Approved</t>
        </is>
      </c>
      <c r="AR2" s="9" t="inlineStr">
        <is>
          <t>Actual</t>
        </is>
      </c>
      <c r="AS2" s="9" t="inlineStr">
        <is>
          <t>Rolling</t>
        </is>
      </c>
      <c r="AT2" s="9" t="inlineStr">
        <is>
          <t>Approved</t>
        </is>
      </c>
      <c r="AU2" s="8" t="inlineStr">
        <is>
          <t>Actual</t>
        </is>
      </c>
      <c r="AV2" s="8" t="inlineStr">
        <is>
          <t>Rolling</t>
        </is>
      </c>
      <c r="AW2" s="8" t="inlineStr">
        <is>
          <t>Approved</t>
        </is>
      </c>
      <c r="AX2" s="9" t="inlineStr">
        <is>
          <t>Actual</t>
        </is>
      </c>
      <c r="AY2" s="9" t="inlineStr">
        <is>
          <t>Rolling</t>
        </is>
      </c>
      <c r="AZ2" s="9" t="inlineStr">
        <is>
          <t>Approved</t>
        </is>
      </c>
      <c r="BA2" s="8" t="inlineStr">
        <is>
          <t>Actual</t>
        </is>
      </c>
      <c r="BB2" s="8" t="inlineStr">
        <is>
          <t>Rolling</t>
        </is>
      </c>
      <c r="BC2" s="8" t="inlineStr">
        <is>
          <t>Approved</t>
        </is>
      </c>
      <c r="BD2" s="9" t="inlineStr">
        <is>
          <t>Actual</t>
        </is>
      </c>
      <c r="BE2" s="9" t="inlineStr">
        <is>
          <t>Rolling</t>
        </is>
      </c>
      <c r="BF2" s="9" t="inlineStr">
        <is>
          <t>Approved</t>
        </is>
      </c>
      <c r="BG2" s="8" t="inlineStr">
        <is>
          <t>Actual</t>
        </is>
      </c>
      <c r="BH2" s="8" t="inlineStr">
        <is>
          <t>Rolling</t>
        </is>
      </c>
      <c r="BI2" s="8" t="inlineStr">
        <is>
          <t>Approved</t>
        </is>
      </c>
      <c r="BJ2" s="9" t="inlineStr">
        <is>
          <t>Actual</t>
        </is>
      </c>
      <c r="BK2" s="9" t="inlineStr">
        <is>
          <t>Rolling</t>
        </is>
      </c>
      <c r="BL2" s="9" t="inlineStr">
        <is>
          <t>Approved</t>
        </is>
      </c>
      <c r="BM2" s="8" t="inlineStr">
        <is>
          <t>Actual</t>
        </is>
      </c>
      <c r="BN2" s="8" t="inlineStr">
        <is>
          <t>Rolling</t>
        </is>
      </c>
      <c r="BO2" s="8" t="inlineStr">
        <is>
          <t>Approved</t>
        </is>
      </c>
      <c r="BP2" s="9" t="inlineStr">
        <is>
          <t>Actual</t>
        </is>
      </c>
      <c r="BQ2" s="9" t="inlineStr">
        <is>
          <t>Rolling</t>
        </is>
      </c>
      <c r="BR2" s="9" t="inlineStr">
        <is>
          <t>Approved</t>
        </is>
      </c>
      <c r="BS2" s="8" t="inlineStr">
        <is>
          <t>Actual</t>
        </is>
      </c>
      <c r="BT2" s="8" t="inlineStr">
        <is>
          <t>Rolling</t>
        </is>
      </c>
      <c r="BU2" s="8" t="inlineStr">
        <is>
          <t>Approved</t>
        </is>
      </c>
      <c r="BV2" s="9" t="inlineStr">
        <is>
          <t>Actual</t>
        </is>
      </c>
      <c r="BW2" s="9" t="inlineStr">
        <is>
          <t>Rolling</t>
        </is>
      </c>
      <c r="BX2" s="9" t="inlineStr">
        <is>
          <t>Approved</t>
        </is>
      </c>
      <c r="BY2" s="8" t="inlineStr">
        <is>
          <t>Actual</t>
        </is>
      </c>
      <c r="BZ2" s="8" t="inlineStr">
        <is>
          <t>Rolling</t>
        </is>
      </c>
      <c r="CA2" s="8" t="inlineStr">
        <is>
          <t>Approved</t>
        </is>
      </c>
      <c r="CB2" s="9" t="inlineStr">
        <is>
          <t>Actual</t>
        </is>
      </c>
      <c r="CC2" s="9" t="inlineStr">
        <is>
          <t>Rolling</t>
        </is>
      </c>
      <c r="CD2" s="9" t="inlineStr">
        <is>
          <t>Approved</t>
        </is>
      </c>
      <c r="CE2" s="8" t="inlineStr">
        <is>
          <t>Actual</t>
        </is>
      </c>
      <c r="CF2" s="8" t="inlineStr">
        <is>
          <t>Rolling</t>
        </is>
      </c>
      <c r="CG2" s="8" t="inlineStr">
        <is>
          <t>Approved</t>
        </is>
      </c>
      <c r="CH2" s="9" t="inlineStr">
        <is>
          <t>Actual</t>
        </is>
      </c>
      <c r="CI2" s="9" t="inlineStr">
        <is>
          <t>Rolling</t>
        </is>
      </c>
      <c r="CJ2" s="9" t="inlineStr">
        <is>
          <t>Approved</t>
        </is>
      </c>
      <c r="CK2" s="8" t="inlineStr">
        <is>
          <t>Actual</t>
        </is>
      </c>
      <c r="CL2" s="8" t="inlineStr">
        <is>
          <t>Rolling</t>
        </is>
      </c>
      <c r="CM2" s="8" t="inlineStr">
        <is>
          <t>Approved</t>
        </is>
      </c>
      <c r="CN2" s="9" t="inlineStr">
        <is>
          <t>Actual</t>
        </is>
      </c>
      <c r="CO2" s="9" t="inlineStr">
        <is>
          <t>Rolling</t>
        </is>
      </c>
      <c r="CP2" s="9" t="inlineStr">
        <is>
          <t>Approved</t>
        </is>
      </c>
      <c r="CQ2" s="8" t="inlineStr">
        <is>
          <t>Actual</t>
        </is>
      </c>
      <c r="CR2" s="8" t="inlineStr">
        <is>
          <t>Rolling</t>
        </is>
      </c>
      <c r="CS2" s="8" t="inlineStr">
        <is>
          <t>Approved</t>
        </is>
      </c>
      <c r="CT2" s="9" t="inlineStr">
        <is>
          <t>Actual</t>
        </is>
      </c>
      <c r="CU2" s="9" t="inlineStr">
        <is>
          <t>Rolling</t>
        </is>
      </c>
      <c r="CV2" s="9" t="inlineStr">
        <is>
          <t>Approved</t>
        </is>
      </c>
      <c r="CW2" s="8" t="inlineStr">
        <is>
          <t>Actual</t>
        </is>
      </c>
      <c r="CX2" s="8" t="inlineStr">
        <is>
          <t>Rolling</t>
        </is>
      </c>
      <c r="CY2" s="8" t="inlineStr">
        <is>
          <t>Approved</t>
        </is>
      </c>
      <c r="CZ2" s="9" t="inlineStr">
        <is>
          <t>Actual</t>
        </is>
      </c>
      <c r="DA2" s="9" t="inlineStr">
        <is>
          <t>Rolling</t>
        </is>
      </c>
      <c r="DB2" s="9" t="inlineStr">
        <is>
          <t>Approved</t>
        </is>
      </c>
      <c r="DC2" s="8" t="inlineStr">
        <is>
          <t>Actual</t>
        </is>
      </c>
      <c r="DD2" s="8" t="inlineStr">
        <is>
          <t>Rolling</t>
        </is>
      </c>
      <c r="DE2" s="8" t="inlineStr">
        <is>
          <t>Approved</t>
        </is>
      </c>
      <c r="DF2" s="9" t="inlineStr">
        <is>
          <t>Actual</t>
        </is>
      </c>
      <c r="DG2" s="9" t="inlineStr">
        <is>
          <t>Rolling</t>
        </is>
      </c>
      <c r="DH2" s="9" t="inlineStr">
        <is>
          <t>Approved</t>
        </is>
      </c>
      <c r="DI2" s="8" t="inlineStr">
        <is>
          <t>Actual</t>
        </is>
      </c>
      <c r="DJ2" s="8" t="inlineStr">
        <is>
          <t>Rolling</t>
        </is>
      </c>
      <c r="DK2" s="8" t="inlineStr">
        <is>
          <t>Approved</t>
        </is>
      </c>
      <c r="DL2" s="9" t="inlineStr">
        <is>
          <t>Actual</t>
        </is>
      </c>
      <c r="DM2" s="9" t="inlineStr">
        <is>
          <t>Rolling</t>
        </is>
      </c>
      <c r="DN2" s="9" t="inlineStr">
        <is>
          <t>Approved</t>
        </is>
      </c>
    </row>
    <row r="3">
      <c r="A3" s="2" t="inlineStr">
        <is>
          <t>Sales Qualified Leads</t>
        </is>
      </c>
      <c r="B3" s="21">
        <f>IF(COUNT(AR3,AO3,AL3,AI3,AF3,AC3,Z3,W3,T3,Q3,N3,K3)=0,"",SUM(AR3,AO3,AL3,AI3,AF3,AC3,Z3,W3,T3,Q3,N3,K3))</f>
        <v/>
      </c>
      <c r="C3" s="21">
        <f>IF(COUNT(AS3,AP3,AM3,AJ3,AG3,AD3,AA3,X3,U3,R3,O3,L3)=0,"",SUM(AS3,AP3,AM3,AJ3,AG3,AD3,AA3,X3,U3,R3,O3,L3))</f>
        <v/>
      </c>
      <c r="D3" s="21">
        <f>IF(COUNT(AT3,AQ3,AN3,AK3,AH3,AE3,AB3,Y3,V3,S3,P3,M3)=0,"",SUM(AT3,AQ3,AN3,AK3,AH3,AE3,AB3,Y3,V3,S3,P3,M3))</f>
        <v/>
      </c>
      <c r="E3" s="2">
        <f>IF(COUNT(CB3,BY3,BV3,BS3,BP3,BM3,BJ3,BG3,BD3,BA3,AX3,AU3)=0,"",SUM(CB3,BY3,BV3,BS3,BP3,BM3,BJ3,BG3,BD3,BA3,AX3,AU3))</f>
        <v/>
      </c>
      <c r="F3" s="2">
        <f>IF(COUNT(CC3,BZ3,BW3,BT3,BQ3,BN3,BK3,BH3,BE3,BB3,AY3,AV3)=0,"",SUM(CC3,BZ3,BW3,BT3,BQ3,BN3,BK3,BH3,BE3,BB3,AY3,AV3))</f>
        <v/>
      </c>
      <c r="G3" s="2">
        <f>IF(COUNT(CD3,CA3,BX3,BU3,BR3,BO3,BL3,BI3,BF3,BC3,AZ3,AW3)=0,"",SUM(CD3,CA3,BX3,BU3,BR3,BO3,BL3,BI3,BF3,BC3,AZ3,AW3))</f>
        <v/>
      </c>
      <c r="H3" s="21">
        <f>IF(COUNT(DL3,DI3,DF3,DC3,CZ3,CW3,CT3,CQ3,CN3,CK3,CH3,CE3)=0,"",SUM(DL3,DI3,DF3,DC3,CZ3,CW3,CT3,CQ3,CN3,CK3,CH3,CE3))</f>
        <v/>
      </c>
      <c r="I3" s="21">
        <f>IF(COUNT(DM3,DJ3,DG3,DD3,DA3,CX3,CU3,CR3,CO3,CL3,CI3,CF3)=0,"",SUM(DM3,DJ3,DG3,DD3,DA3,CX3,CU3,CR3,CO3,CL3,CI3,CF3))</f>
        <v/>
      </c>
      <c r="J3" s="21">
        <f>IF(COUNT(DN3,DK3,DH3,DE3,DB3,CY3,CV3,CS3,CP3,CM3,CJ3,CG3)=0,"",SUM(DN3,DK3,DH3,DE3,DB3,CY3,CV3,CS3,CP3,CM3,CJ3,CG3))</f>
        <v/>
      </c>
      <c r="K3" s="2">
        <f>IF(COUNT('Marketing'!K7)=1,'Marketing'!K7,"")</f>
        <v/>
      </c>
      <c r="L3" s="2">
        <f>'Marketing'!L7</f>
        <v/>
      </c>
      <c r="M3" s="2">
        <f>'Marketing'!M7</f>
        <v/>
      </c>
      <c r="N3" s="21">
        <f>IF(COUNT('Marketing'!N7)=1,'Marketing'!N7,"")</f>
        <v/>
      </c>
      <c r="O3" s="21">
        <f>'Marketing'!O7</f>
        <v/>
      </c>
      <c r="P3" s="21">
        <f>'Marketing'!P7</f>
        <v/>
      </c>
      <c r="Q3" s="2">
        <f>IF(COUNT('Marketing'!Q7)=1,'Marketing'!Q7,"")</f>
        <v/>
      </c>
      <c r="R3" s="2">
        <f>'Marketing'!R7</f>
        <v/>
      </c>
      <c r="S3" s="2">
        <f>'Marketing'!S7</f>
        <v/>
      </c>
      <c r="T3" s="21">
        <f>IF(COUNT('Marketing'!T7)=1,'Marketing'!T7,"")</f>
        <v/>
      </c>
      <c r="U3" s="21">
        <f>'Marketing'!U7</f>
        <v/>
      </c>
      <c r="V3" s="21">
        <f>'Marketing'!V7</f>
        <v/>
      </c>
      <c r="W3" s="2">
        <f>IF(COUNT('Marketing'!W7)=1,'Marketing'!W7,"")</f>
        <v/>
      </c>
      <c r="X3" s="2">
        <f>'Marketing'!X7</f>
        <v/>
      </c>
      <c r="Y3" s="2">
        <f>'Marketing'!Y7</f>
        <v/>
      </c>
      <c r="Z3" s="21">
        <f>IF(COUNT('Marketing'!Z7)=1,'Marketing'!Z7,"")</f>
        <v/>
      </c>
      <c r="AA3" s="21">
        <f>'Marketing'!AA7</f>
        <v/>
      </c>
      <c r="AB3" s="21">
        <f>'Marketing'!AB7</f>
        <v/>
      </c>
      <c r="AC3" s="2">
        <f>IF(COUNT('Marketing'!AC7)=1,'Marketing'!AC7,"")</f>
        <v/>
      </c>
      <c r="AD3" s="2">
        <f>'Marketing'!AD7</f>
        <v/>
      </c>
      <c r="AE3" s="2">
        <f>'Marketing'!AE7</f>
        <v/>
      </c>
      <c r="AF3" s="21">
        <f>IF(COUNT('Marketing'!AF7)=1,'Marketing'!AF7,"")</f>
        <v/>
      </c>
      <c r="AG3" s="21">
        <f>'Marketing'!AG7</f>
        <v/>
      </c>
      <c r="AH3" s="21">
        <f>'Marketing'!AH7</f>
        <v/>
      </c>
      <c r="AI3" s="2">
        <f>IF(COUNT('Marketing'!AI7)=1,'Marketing'!AI7,"")</f>
        <v/>
      </c>
      <c r="AJ3" s="2">
        <f>'Marketing'!AJ7</f>
        <v/>
      </c>
      <c r="AK3" s="2">
        <f>'Marketing'!AK7</f>
        <v/>
      </c>
      <c r="AL3" s="21">
        <f>IF(COUNT('Marketing'!AL7)=1,'Marketing'!AL7,"")</f>
        <v/>
      </c>
      <c r="AM3" s="21">
        <f>'Marketing'!AM7</f>
        <v/>
      </c>
      <c r="AN3" s="21">
        <f>'Marketing'!AN7</f>
        <v/>
      </c>
      <c r="AO3" s="2">
        <f>IF(COUNT('Marketing'!AO7)=1,'Marketing'!AO7,"")</f>
        <v/>
      </c>
      <c r="AP3" s="2">
        <f>'Marketing'!AP7</f>
        <v/>
      </c>
      <c r="AQ3" s="2">
        <f>'Marketing'!AQ7</f>
        <v/>
      </c>
      <c r="AR3" s="21">
        <f>IF(COUNT('Marketing'!AR7)=1,'Marketing'!AR7,"")</f>
        <v/>
      </c>
      <c r="AS3" s="21">
        <f>'Marketing'!AS7</f>
        <v/>
      </c>
      <c r="AT3" s="21">
        <f>'Marketing'!AT7</f>
        <v/>
      </c>
      <c r="AU3" s="2">
        <f>IF(COUNT('Marketing'!AU7)=1,'Marketing'!AU7,"")</f>
        <v/>
      </c>
      <c r="AV3" s="2">
        <f>'Marketing'!AV7</f>
        <v/>
      </c>
      <c r="AW3" s="2">
        <f>'Marketing'!AW7</f>
        <v/>
      </c>
      <c r="AX3" s="21">
        <f>IF(COUNT('Marketing'!AX7)=1,'Marketing'!AX7,"")</f>
        <v/>
      </c>
      <c r="AY3" s="21">
        <f>'Marketing'!AY7</f>
        <v/>
      </c>
      <c r="AZ3" s="21">
        <f>'Marketing'!AZ7</f>
        <v/>
      </c>
      <c r="BA3" s="2">
        <f>IF(COUNT('Marketing'!BA7)=1,'Marketing'!BA7,"")</f>
        <v/>
      </c>
      <c r="BB3" s="2">
        <f>'Marketing'!BB7</f>
        <v/>
      </c>
      <c r="BC3" s="2">
        <f>'Marketing'!BC7</f>
        <v/>
      </c>
      <c r="BD3" s="21">
        <f>IF(COUNT('Marketing'!BD7)=1,'Marketing'!BD7,"")</f>
        <v/>
      </c>
      <c r="BE3" s="21">
        <f>'Marketing'!BE7</f>
        <v/>
      </c>
      <c r="BF3" s="21">
        <f>'Marketing'!BF7</f>
        <v/>
      </c>
      <c r="BG3" s="2">
        <f>IF(COUNT('Marketing'!BG7)=1,'Marketing'!BG7,"")</f>
        <v/>
      </c>
      <c r="BH3" s="2">
        <f>'Marketing'!BH7</f>
        <v/>
      </c>
      <c r="BI3" s="2">
        <f>'Marketing'!BI7</f>
        <v/>
      </c>
      <c r="BJ3" s="21">
        <f>IF(COUNT('Marketing'!BJ7)=1,'Marketing'!BJ7,"")</f>
        <v/>
      </c>
      <c r="BK3" s="21">
        <f>'Marketing'!BK7</f>
        <v/>
      </c>
      <c r="BL3" s="21">
        <f>'Marketing'!BL7</f>
        <v/>
      </c>
      <c r="BM3" s="2">
        <f>IF(COUNT('Marketing'!BM7)=1,'Marketing'!BM7,"")</f>
        <v/>
      </c>
      <c r="BN3" s="2">
        <f>'Marketing'!BN7</f>
        <v/>
      </c>
      <c r="BO3" s="2">
        <f>'Marketing'!BO7</f>
        <v/>
      </c>
      <c r="BP3" s="21">
        <f>IF(COUNT('Marketing'!BP7)=1,'Marketing'!BP7,"")</f>
        <v/>
      </c>
      <c r="BQ3" s="21">
        <f>'Marketing'!BQ7</f>
        <v/>
      </c>
      <c r="BR3" s="21">
        <f>'Marketing'!BR7</f>
        <v/>
      </c>
      <c r="BS3" s="2">
        <f>IF(COUNT('Marketing'!BS7)=1,'Marketing'!BS7,"")</f>
        <v/>
      </c>
      <c r="BT3" s="2">
        <f>'Marketing'!BT7</f>
        <v/>
      </c>
      <c r="BU3" s="2">
        <f>'Marketing'!BU7</f>
        <v/>
      </c>
      <c r="BV3" s="21">
        <f>IF(COUNT('Marketing'!BV7)=1,'Marketing'!BV7,"")</f>
        <v/>
      </c>
      <c r="BW3" s="21">
        <f>'Marketing'!BW7</f>
        <v/>
      </c>
      <c r="BX3" s="21">
        <f>'Marketing'!BX7</f>
        <v/>
      </c>
      <c r="BY3" s="2">
        <f>IF(COUNT('Marketing'!BY7)=1,'Marketing'!BY7,"")</f>
        <v/>
      </c>
      <c r="BZ3" s="2">
        <f>'Marketing'!BZ7</f>
        <v/>
      </c>
      <c r="CA3" s="2">
        <f>'Marketing'!CA7</f>
        <v/>
      </c>
      <c r="CB3" s="21">
        <f>IF(COUNT('Marketing'!CB7)=1,'Marketing'!CB7,"")</f>
        <v/>
      </c>
      <c r="CC3" s="21">
        <f>'Marketing'!CC7</f>
        <v/>
      </c>
      <c r="CD3" s="21">
        <f>'Marketing'!CD7</f>
        <v/>
      </c>
      <c r="CE3" s="2">
        <f>IF(COUNT('Marketing'!CE7)=1,'Marketing'!CE7,"")</f>
        <v/>
      </c>
      <c r="CF3" s="2">
        <f>'Marketing'!CF7</f>
        <v/>
      </c>
      <c r="CG3" s="2">
        <f>'Marketing'!CG7</f>
        <v/>
      </c>
      <c r="CH3" s="21">
        <f>IF(COUNT('Marketing'!CH7)=1,'Marketing'!CH7,"")</f>
        <v/>
      </c>
      <c r="CI3" s="21">
        <f>'Marketing'!CI7</f>
        <v/>
      </c>
      <c r="CJ3" s="21">
        <f>'Marketing'!CJ7</f>
        <v/>
      </c>
      <c r="CK3" s="2">
        <f>IF(COUNT('Marketing'!CK7)=1,'Marketing'!CK7,"")</f>
        <v/>
      </c>
      <c r="CL3" s="2">
        <f>'Marketing'!CL7</f>
        <v/>
      </c>
      <c r="CM3" s="2">
        <f>'Marketing'!CM7</f>
        <v/>
      </c>
      <c r="CN3" s="21">
        <f>IF(COUNT('Marketing'!CN7)=1,'Marketing'!CN7,"")</f>
        <v/>
      </c>
      <c r="CO3" s="21">
        <f>'Marketing'!CO7</f>
        <v/>
      </c>
      <c r="CP3" s="21">
        <f>'Marketing'!CP7</f>
        <v/>
      </c>
      <c r="CQ3" s="2">
        <f>IF(COUNT('Marketing'!CQ7)=1,'Marketing'!CQ7,"")</f>
        <v/>
      </c>
      <c r="CR3" s="2">
        <f>'Marketing'!CR7</f>
        <v/>
      </c>
      <c r="CS3" s="2">
        <f>'Marketing'!CS7</f>
        <v/>
      </c>
      <c r="CT3" s="21">
        <f>IF(COUNT('Marketing'!CT7)=1,'Marketing'!CT7,"")</f>
        <v/>
      </c>
      <c r="CU3" s="21">
        <f>'Marketing'!CU7</f>
        <v/>
      </c>
      <c r="CV3" s="21">
        <f>'Marketing'!CV7</f>
        <v/>
      </c>
      <c r="CW3" s="2">
        <f>IF(COUNT('Marketing'!CW7)=1,'Marketing'!CW7,"")</f>
        <v/>
      </c>
      <c r="CX3" s="2">
        <f>'Marketing'!CX7</f>
        <v/>
      </c>
      <c r="CY3" s="2">
        <f>'Marketing'!CY7</f>
        <v/>
      </c>
      <c r="CZ3" s="21">
        <f>IF(COUNT('Marketing'!CZ7)=1,'Marketing'!CZ7,"")</f>
        <v/>
      </c>
      <c r="DA3" s="21">
        <f>'Marketing'!DA7</f>
        <v/>
      </c>
      <c r="DB3" s="21">
        <f>'Marketing'!DB7</f>
        <v/>
      </c>
      <c r="DC3" s="2">
        <f>IF(COUNT('Marketing'!DC7)=1,'Marketing'!DC7,"")</f>
        <v/>
      </c>
      <c r="DD3" s="2">
        <f>'Marketing'!DD7</f>
        <v/>
      </c>
      <c r="DE3" s="2">
        <f>'Marketing'!DE7</f>
        <v/>
      </c>
      <c r="DF3" s="21">
        <f>IF(COUNT('Marketing'!DF7)=1,'Marketing'!DF7,"")</f>
        <v/>
      </c>
      <c r="DG3" s="21">
        <f>'Marketing'!DG7</f>
        <v/>
      </c>
      <c r="DH3" s="21">
        <f>'Marketing'!DH7</f>
        <v/>
      </c>
      <c r="DI3" s="2">
        <f>IF(COUNT('Marketing'!DI7)=1,'Marketing'!DI7,"")</f>
        <v/>
      </c>
      <c r="DJ3" s="2">
        <f>'Marketing'!DJ7</f>
        <v/>
      </c>
      <c r="DK3" s="2">
        <f>'Marketing'!DK7</f>
        <v/>
      </c>
      <c r="DL3" s="21">
        <f>IF(COUNT('Marketing'!DL7)=1,'Marketing'!DL7,"")</f>
        <v/>
      </c>
      <c r="DM3" s="21">
        <f>'Marketing'!DM7</f>
        <v/>
      </c>
      <c r="DN3" s="21">
        <f>'Marketing'!DN7</f>
        <v/>
      </c>
    </row>
    <row r="4">
      <c r="A4" s="15" t="inlineStr">
        <is>
          <t>Sales Cycle in Months</t>
        </is>
      </c>
      <c r="B4" s="36">
        <f>IF(K4&lt;&gt;"",K4,IF(N4&lt;&gt;"",N4,IF(Q4&lt;&gt;"",Q4,IF(T4&lt;&gt;"",T4,IF(W4&lt;&gt;"",W4,IF(Z4&lt;&gt;"",Z4,IF(AC4&lt;&gt;"",AC4,IF(AF4&lt;&gt;"",AF4,IF(AI4&lt;&gt;"",AI4,IF(AL4&lt;&gt;"",AL4,IF(AO4&lt;&gt;"",AO4,IF(AR4&lt;&gt;"",AR4,""))))))))))))</f>
        <v/>
      </c>
      <c r="C4" s="36">
        <f>IF(L4&lt;&gt;"",L4,IF(O4&lt;&gt;"",O4,IF(R4&lt;&gt;"",R4,IF(U4&lt;&gt;"",U4,IF(X4&lt;&gt;"",X4,IF(AA4&lt;&gt;"",AA4,IF(AD4&lt;&gt;"",AD4,IF(AG4&lt;&gt;"",AG4,IF(AJ4&lt;&gt;"",AJ4,IF(AM4&lt;&gt;"",AM4,IF(AP4&lt;&gt;"",AP4,IF(AS4&lt;&gt;"",AS4,""))))))))))))</f>
        <v/>
      </c>
      <c r="D4" s="36">
        <f>IF(M4&lt;&gt;"",M4,IF(P4&lt;&gt;"",P4,IF(S4&lt;&gt;"",S4,IF(V4&lt;&gt;"",V4,IF(Y4&lt;&gt;"",Y4,IF(AB4&lt;&gt;"",AB4,IF(AE4&lt;&gt;"",AE4,IF(AH4&lt;&gt;"",AH4,IF(AK4&lt;&gt;"",AK4,IF(AN4&lt;&gt;"",AN4,IF(AQ4&lt;&gt;"",AQ4,IF(AT4&lt;&gt;"",AT4,""))))))))))))</f>
        <v/>
      </c>
      <c r="E4" s="37">
        <f>IF(AU4&lt;&gt;"",AU4,IF(AX4&lt;&gt;"",AX4,IF(BA4&lt;&gt;"",BA4,IF(BD4&lt;&gt;"",BD4,IF(BG4&lt;&gt;"",BG4,IF(BJ4&lt;&gt;"",BJ4,IF(BM4&lt;&gt;"",BM4,IF(BP4&lt;&gt;"",BP4,IF(BS4&lt;&gt;"",BS4,IF(BV4&lt;&gt;"",BV4,IF(BY4&lt;&gt;"",BY4,IF(CB4&lt;&gt;"",CB4,""))))))))))))</f>
        <v/>
      </c>
      <c r="F4" s="37">
        <f>IF(AV4&lt;&gt;"",AV4,IF(AY4&lt;&gt;"",AY4,IF(BB4&lt;&gt;"",BB4,IF(BE4&lt;&gt;"",BE4,IF(BH4&lt;&gt;"",BH4,IF(BK4&lt;&gt;"",BK4,IF(BN4&lt;&gt;"",BN4,IF(BQ4&lt;&gt;"",BQ4,IF(BT4&lt;&gt;"",BT4,IF(BW4&lt;&gt;"",BW4,IF(BZ4&lt;&gt;"",BZ4,IF(CC4&lt;&gt;"",CC4,""))))))))))))</f>
        <v/>
      </c>
      <c r="G4" s="37">
        <f>IF(AW4&lt;&gt;"",AW4,IF(AZ4&lt;&gt;"",AZ4,IF(BC4&lt;&gt;"",BC4,IF(BF4&lt;&gt;"",BF4,IF(BI4&lt;&gt;"",BI4,IF(BL4&lt;&gt;"",BL4,IF(BO4&lt;&gt;"",BO4,IF(BR4&lt;&gt;"",BR4,IF(BU4&lt;&gt;"",BU4,IF(BX4&lt;&gt;"",BX4,IF(CA4&lt;&gt;"",CA4,IF(CD4&lt;&gt;"",CD4,""))))))))))))</f>
        <v/>
      </c>
      <c r="H4" s="36">
        <f>IF(CE4&lt;&gt;"",CE4,IF(CH4&lt;&gt;"",CH4,IF(CK4&lt;&gt;"",CK4,IF(CN4&lt;&gt;"",CN4,IF(CQ4&lt;&gt;"",CQ4,IF(CT4&lt;&gt;"",CT4,IF(CW4&lt;&gt;"",CW4,IF(CZ4&lt;&gt;"",CZ4,IF(DC4&lt;&gt;"",DC4,IF(DF4&lt;&gt;"",DF4,IF(DI4&lt;&gt;"",DI4,IF(DL4&lt;&gt;"",DL4,""))))))))))))</f>
        <v/>
      </c>
      <c r="I4" s="36">
        <f>IF(CF4&lt;&gt;"",CF4,IF(CI4&lt;&gt;"",CI4,IF(CL4&lt;&gt;"",CL4,IF(CO4&lt;&gt;"",CO4,IF(CR4&lt;&gt;"",CR4,IF(CU4&lt;&gt;"",CU4,IF(CX4&lt;&gt;"",CX4,IF(DA4&lt;&gt;"",DA4,IF(DD4&lt;&gt;"",DD4,IF(DG4&lt;&gt;"",DG4,IF(DJ4&lt;&gt;"",DJ4,IF(DM4&lt;&gt;"",DM4,""))))))))))))</f>
        <v/>
      </c>
      <c r="J4" s="36">
        <f>IF(CG4&lt;&gt;"",CG4,IF(CJ4&lt;&gt;"",CJ4,IF(CM4&lt;&gt;"",CM4,IF(CP4&lt;&gt;"",CP4,IF(CS4&lt;&gt;"",CS4,IF(CV4&lt;&gt;"",CV4,IF(CY4&lt;&gt;"",CY4,IF(DB4&lt;&gt;"",DB4,IF(DE4&lt;&gt;"",DE4,IF(DH4&lt;&gt;"",DH4,IF(DK4&lt;&gt;"",DK4,IF(DN4&lt;&gt;"",DN4,""))))))))))))</f>
        <v/>
      </c>
      <c r="K4" s="37" t="n">
        <v>1</v>
      </c>
      <c r="L4" s="37" t="n">
        <v>1</v>
      </c>
      <c r="M4" s="37" t="n">
        <v>1</v>
      </c>
      <c r="N4" s="36" t="n">
        <v>1</v>
      </c>
      <c r="O4" s="36" t="n">
        <v>1</v>
      </c>
      <c r="P4" s="36" t="n">
        <v>1</v>
      </c>
      <c r="Q4" s="37" t="n">
        <v>1</v>
      </c>
      <c r="R4" s="37" t="n">
        <v>1</v>
      </c>
      <c r="S4" s="37" t="n">
        <v>1</v>
      </c>
      <c r="T4" s="36" t="n">
        <v>1</v>
      </c>
      <c r="U4" s="36" t="n">
        <v>1</v>
      </c>
      <c r="V4" s="36" t="n">
        <v>1</v>
      </c>
      <c r="W4" s="37" t="n">
        <v>1</v>
      </c>
      <c r="X4" s="37" t="n">
        <v>1</v>
      </c>
      <c r="Y4" s="37" t="n">
        <v>1</v>
      </c>
      <c r="Z4" s="36" t="n">
        <v>1</v>
      </c>
      <c r="AA4" s="36" t="n">
        <v>1</v>
      </c>
      <c r="AB4" s="36" t="n">
        <v>1</v>
      </c>
      <c r="AC4" s="37" t="n">
        <v>1</v>
      </c>
      <c r="AD4" s="37" t="n">
        <v>1</v>
      </c>
      <c r="AE4" s="37" t="n">
        <v>1</v>
      </c>
      <c r="AF4" s="36" t="n">
        <v>1</v>
      </c>
      <c r="AG4" s="36" t="n">
        <v>1</v>
      </c>
      <c r="AH4" s="36" t="n">
        <v>1</v>
      </c>
      <c r="AI4" s="37" t="n">
        <v>1</v>
      </c>
      <c r="AJ4" s="37" t="n">
        <v>1</v>
      </c>
      <c r="AK4" s="37" t="n">
        <v>1</v>
      </c>
      <c r="AL4" s="36" t="n">
        <v>1</v>
      </c>
      <c r="AM4" s="36" t="n">
        <v>1</v>
      </c>
      <c r="AN4" s="36" t="n">
        <v>1</v>
      </c>
      <c r="AO4" s="37" t="n">
        <v>1</v>
      </c>
      <c r="AP4" s="37" t="n">
        <v>1</v>
      </c>
      <c r="AQ4" s="37" t="n">
        <v>1</v>
      </c>
      <c r="AR4" s="36" t="n">
        <v>1</v>
      </c>
      <c r="AS4" s="36" t="n">
        <v>1</v>
      </c>
      <c r="AT4" s="36" t="n">
        <v>1</v>
      </c>
      <c r="AU4" s="37" t="n">
        <v>1</v>
      </c>
      <c r="AV4" s="37" t="n">
        <v>1</v>
      </c>
      <c r="AW4" s="37" t="n">
        <v>1</v>
      </c>
      <c r="AX4" s="36" t="n">
        <v>1</v>
      </c>
      <c r="AY4" s="36" t="n">
        <v>1</v>
      </c>
      <c r="AZ4" s="36" t="n">
        <v>1</v>
      </c>
      <c r="BA4" s="37" t="n">
        <v>1</v>
      </c>
      <c r="BB4" s="37" t="n">
        <v>1</v>
      </c>
      <c r="BC4" s="37" t="n">
        <v>1</v>
      </c>
      <c r="BD4" s="36" t="n">
        <v>1</v>
      </c>
      <c r="BE4" s="36" t="n">
        <v>1</v>
      </c>
      <c r="BF4" s="36" t="n">
        <v>1</v>
      </c>
      <c r="BG4" s="37" t="n">
        <v>1</v>
      </c>
      <c r="BH4" s="37" t="n">
        <v>1</v>
      </c>
      <c r="BI4" s="37" t="n">
        <v>1</v>
      </c>
      <c r="BJ4" s="36" t="n">
        <v>1</v>
      </c>
      <c r="BK4" s="36" t="n">
        <v>1</v>
      </c>
      <c r="BL4" s="36" t="n">
        <v>1</v>
      </c>
      <c r="BM4" s="37" t="n">
        <v>1</v>
      </c>
      <c r="BN4" s="37" t="n">
        <v>1</v>
      </c>
      <c r="BO4" s="37" t="n">
        <v>1</v>
      </c>
      <c r="BP4" s="36" t="n">
        <v>1</v>
      </c>
      <c r="BQ4" s="36" t="n">
        <v>1</v>
      </c>
      <c r="BR4" s="36" t="n">
        <v>1</v>
      </c>
      <c r="BS4" s="37" t="n">
        <v>1</v>
      </c>
      <c r="BT4" s="37" t="n">
        <v>1</v>
      </c>
      <c r="BU4" s="37" t="n">
        <v>1</v>
      </c>
      <c r="BV4" s="36" t="n">
        <v>1</v>
      </c>
      <c r="BW4" s="36" t="n">
        <v>1</v>
      </c>
      <c r="BX4" s="36" t="n">
        <v>1</v>
      </c>
      <c r="BY4" s="37" t="n">
        <v>1</v>
      </c>
      <c r="BZ4" s="37" t="n">
        <v>1</v>
      </c>
      <c r="CA4" s="37" t="n">
        <v>1</v>
      </c>
      <c r="CB4" s="36" t="n">
        <v>1</v>
      </c>
      <c r="CC4" s="36" t="n">
        <v>1</v>
      </c>
      <c r="CD4" s="36" t="n">
        <v>1</v>
      </c>
      <c r="CE4" s="37" t="n">
        <v>1</v>
      </c>
      <c r="CF4" s="37" t="n">
        <v>1</v>
      </c>
      <c r="CG4" s="37" t="n">
        <v>1</v>
      </c>
      <c r="CH4" s="36" t="n">
        <v>1</v>
      </c>
      <c r="CI4" s="36" t="n">
        <v>1</v>
      </c>
      <c r="CJ4" s="36" t="n">
        <v>1</v>
      </c>
      <c r="CK4" s="37" t="n">
        <v>1</v>
      </c>
      <c r="CL4" s="37" t="n">
        <v>1</v>
      </c>
      <c r="CM4" s="37" t="n">
        <v>1</v>
      </c>
      <c r="CN4" s="36" t="n">
        <v>1</v>
      </c>
      <c r="CO4" s="36" t="n">
        <v>1</v>
      </c>
      <c r="CP4" s="36" t="n">
        <v>1</v>
      </c>
      <c r="CQ4" s="37" t="n">
        <v>1</v>
      </c>
      <c r="CR4" s="37" t="n">
        <v>1</v>
      </c>
      <c r="CS4" s="37" t="n">
        <v>1</v>
      </c>
      <c r="CT4" s="36" t="n">
        <v>1</v>
      </c>
      <c r="CU4" s="36" t="n">
        <v>1</v>
      </c>
      <c r="CV4" s="36" t="n">
        <v>1</v>
      </c>
      <c r="CW4" s="37" t="n">
        <v>1</v>
      </c>
      <c r="CX4" s="37" t="n">
        <v>1</v>
      </c>
      <c r="CY4" s="37" t="n">
        <v>1</v>
      </c>
      <c r="CZ4" s="36" t="n">
        <v>1</v>
      </c>
      <c r="DA4" s="36" t="n">
        <v>1</v>
      </c>
      <c r="DB4" s="36" t="n">
        <v>1</v>
      </c>
      <c r="DC4" s="37" t="n">
        <v>1</v>
      </c>
      <c r="DD4" s="37" t="n">
        <v>1</v>
      </c>
      <c r="DE4" s="37" t="n">
        <v>1</v>
      </c>
      <c r="DF4" s="36" t="n">
        <v>1</v>
      </c>
      <c r="DG4" s="36" t="n">
        <v>1</v>
      </c>
      <c r="DH4" s="36" t="n">
        <v>1</v>
      </c>
      <c r="DI4" s="37" t="n">
        <v>1</v>
      </c>
      <c r="DJ4" s="37" t="n">
        <v>1</v>
      </c>
      <c r="DK4" s="37" t="n">
        <v>1</v>
      </c>
      <c r="DL4" s="36" t="n">
        <v>1</v>
      </c>
      <c r="DM4" s="36" t="n">
        <v>1</v>
      </c>
      <c r="DN4" s="36" t="n">
        <v>1</v>
      </c>
    </row>
    <row r="5">
      <c r="A5" s="15" t="inlineStr">
        <is>
          <t>Close Rate</t>
        </is>
      </c>
      <c r="B5" s="16">
        <f>IF(SUM(AR3,AO3,AL3,AI3,AF3,AC3,Z3,W3,T3,Q3,N3,K3)=0,"",SUM(AR6,AO6,AL6,AI6,AF6,AC6,Z6,W6,T6,Q6,N6,K6)/SUM(AR3,AO3,AL3,AI3,AF3,AC3,Z3,W3,T3,Q3,N3,K3))</f>
        <v/>
      </c>
      <c r="C5" s="16">
        <f>IF(SUM(AS3,AP3,AM3,AJ3,AG3,AD3,AA3,X3,U3,R3,O3,L3)=0,"",SUM(AS6,AP6,AM6,AJ6,AG6,AD6,AA6,X6,U6,R6,O6,L6)/SUM(AS3,AP3,AM3,AJ3,AG3,AD3,AA3,X3,U3,R3,O3,L3))</f>
        <v/>
      </c>
      <c r="D5" s="16">
        <f>IF(SUM(AT3,AQ3,AN3,AK3,AH3,AE3,AB3,Y3,V3,S3,P3,M3)=0,"",SUM(AT6,AQ6,AN6,AK6,AH6,AE6,AB6,Y6,V6,S6,P6,M6)/SUM(AT3,AQ3,AN3,AK3,AH3,AE3,AB3,Y3,V3,S3,P3,M3))</f>
        <v/>
      </c>
      <c r="E5" s="17">
        <f>IF(SUM(CB3,BY3,BV3,BS3,BP3,BM3,BJ3,BG3,BD3,BA3,AX3,AU3)=0,"",SUM(CB6,BY6,BV6,BS6,BP6,BM6,BJ6,BG6,BD6,BA6,AX6,AU6)/SUM(CB3,BY3,BV3,BS3,BP3,BM3,BJ3,BG3,BD3,BA3,AX3,AU3))</f>
        <v/>
      </c>
      <c r="F5" s="17">
        <f>IF(SUM(CC3,BZ3,BW3,BT3,BQ3,BN3,BK3,BH3,BE3,BB3,AY3,AV3)=0,"",SUM(CC6,BZ6,BW6,BT6,BQ6,BN6,BK6,BH6,BE6,BB6,AY6,AV6)/SUM(CC3,BZ3,BW3,BT3,BQ3,BN3,BK3,BH3,BE3,BB3,AY3,AV3))</f>
        <v/>
      </c>
      <c r="G5" s="17">
        <f>IF(SUM(CD3,CA3,BX3,BU3,BR3,BO3,BL3,BI3,BF3,BC3,AZ3,AW3)=0,"",SUM(CD6,CA6,BX6,BU6,BR6,BO6,BL6,BI6,BF6,BC6,AZ6,AW6)/SUM(CD3,CA3,BX3,BU3,BR3,BO3,BL3,BI3,BF3,BC3,AZ3,AW3))</f>
        <v/>
      </c>
      <c r="H5" s="16">
        <f>IF(SUM(DL3,DI3,DF3,DC3,CZ3,CW3,CT3,CQ3,CN3,CK3,CH3,CE3)=0,"",SUM(DL6,DI6,DF6,DC6,CZ6,CW6,CT6,CQ6,CN6,CK6,CH6,CE6)/SUM(DL3,DI3,DF3,DC3,CZ3,CW3,CT3,CQ3,CN3,CK3,CH3,CE3))</f>
        <v/>
      </c>
      <c r="I5" s="16">
        <f>IF(SUM(DM3,DJ3,DG3,DD3,DA3,CX3,CU3,CR3,CO3,CL3,CI3,CF3)=0,"",SUM(DM6,DJ6,DG6,DD6,DA6,CX6,CU6,CR6,CO6,CL6,CI6,CF6)/SUM(DM3,DJ3,DG3,DD3,DA3,CX3,CU3,CR3,CO3,CL3,CI3,CF3))</f>
        <v/>
      </c>
      <c r="J5" s="16">
        <f>IF(SUM(DN3,DK3,DH3,DE3,DB3,CY3,CV3,CS3,CP3,CM3,CJ3,CG3)=0,"",SUM(DN6,DK6,DH6,DE6,DB6,CY6,CV6,CS6,CP6,CM6,CJ6,CG6)/SUM(DN3,DK3,DH3,DE3,DB3,CY3,CV3,CS3,CP3,CM3,CJ3,CG3))</f>
        <v/>
      </c>
      <c r="K5" s="17">
        <f>IF(COUNT(K6)=1,IF(N(IF(K4&gt;35,Sales!$B$61,OFFSET(K3,0,3*K4)))=0,"",K6/(IF(K4&gt;35,Sales!$B$61,OFFSET(K3,0,3*K4)))),"")</f>
        <v/>
      </c>
      <c r="L5" s="17" t="n">
        <v>0.26</v>
      </c>
      <c r="M5" s="17" t="n">
        <v>0.26</v>
      </c>
      <c r="N5" s="16">
        <f>IF(COUNT(N6)=1,IF(N(IF(N4&gt;34,Sales!$B$61,OFFSET(N3,0,3*N4)))=0,"",N6/(IF(N4&gt;34,Sales!$B$61,OFFSET(N3,0,3*N4)))),"")</f>
        <v/>
      </c>
      <c r="O5" s="16" t="n">
        <v>0.26</v>
      </c>
      <c r="P5" s="16" t="n">
        <v>0.26</v>
      </c>
      <c r="Q5" s="17">
        <f>IF(COUNT(Q6)=1,IF(N(IF(Q4&gt;33,Sales!$B$61,OFFSET(Q3,0,3*Q4)))=0,"",Q6/(IF(Q4&gt;33,Sales!$B$61,OFFSET(Q3,0,3*Q4)))),"")</f>
        <v/>
      </c>
      <c r="R5" s="17" t="n">
        <v>0.26</v>
      </c>
      <c r="S5" s="17" t="n">
        <v>0.26</v>
      </c>
      <c r="T5" s="16">
        <f>IF(COUNT(T6)=1,IF(N(IF(T4&gt;32,Sales!$B$61,OFFSET(T3,0,3*T4)))=0,"",T6/(IF(T4&gt;32,Sales!$B$61,OFFSET(T3,0,3*T4)))),"")</f>
        <v/>
      </c>
      <c r="U5" s="16" t="n">
        <v>0.26</v>
      </c>
      <c r="V5" s="16" t="n">
        <v>0.26</v>
      </c>
      <c r="W5" s="17">
        <f>IF(COUNT(W6)=1,IF(N(IF(W4&gt;31,Sales!$B$61,OFFSET(W3,0,3*W4)))=0,"",W6/(IF(W4&gt;31,Sales!$B$61,OFFSET(W3,0,3*W4)))),"")</f>
        <v/>
      </c>
      <c r="X5" s="17" t="n">
        <v>0.26</v>
      </c>
      <c r="Y5" s="17" t="n">
        <v>0.26</v>
      </c>
      <c r="Z5" s="16">
        <f>IF(COUNT(Z6)=1,IF(N(IF(Z4&gt;30,Sales!$B$61,OFFSET(Z3,0,3*Z4)))=0,"",Z6/(IF(Z4&gt;30,Sales!$B$61,OFFSET(Z3,0,3*Z4)))),"")</f>
        <v/>
      </c>
      <c r="AA5" s="16" t="n">
        <v>0.26</v>
      </c>
      <c r="AB5" s="16" t="n">
        <v>0.26</v>
      </c>
      <c r="AC5" s="17">
        <f>IF(COUNT(AC6)=1,IF(N(IF(AC4&gt;29,Sales!$B$61,OFFSET(AC3,0,3*AC4)))=0,"",AC6/(IF(AC4&gt;29,Sales!$B$61,OFFSET(AC3,0,3*AC4)))),"")</f>
        <v/>
      </c>
      <c r="AD5" s="17" t="n">
        <v>0.26</v>
      </c>
      <c r="AE5" s="17" t="n">
        <v>0.26</v>
      </c>
      <c r="AF5" s="16">
        <f>IF(COUNT(AF6)=1,IF(N(IF(AF4&gt;28,Sales!$B$61,OFFSET(AF3,0,3*AF4)))=0,"",AF6/(IF(AF4&gt;28,Sales!$B$61,OFFSET(AF3,0,3*AF4)))),"")</f>
        <v/>
      </c>
      <c r="AG5" s="16" t="n">
        <v>0.26</v>
      </c>
      <c r="AH5" s="16" t="n">
        <v>0.26</v>
      </c>
      <c r="AI5" s="17">
        <f>IF(COUNT(AI6)=1,IF(N(IF(AI4&gt;27,Sales!$B$61,OFFSET(AI3,0,3*AI4)))=0,"",AI6/(IF(AI4&gt;27,Sales!$B$61,OFFSET(AI3,0,3*AI4)))),"")</f>
        <v/>
      </c>
      <c r="AJ5" s="17" t="n">
        <v>0.26</v>
      </c>
      <c r="AK5" s="17" t="n">
        <v>0.26</v>
      </c>
      <c r="AL5" s="16">
        <f>IF(COUNT(AL6)=1,IF(N(IF(AL4&gt;26,Sales!$B$61,OFFSET(AL3,0,3*AL4)))=0,"",AL6/(IF(AL4&gt;26,Sales!$B$61,OFFSET(AL3,0,3*AL4)))),"")</f>
        <v/>
      </c>
      <c r="AM5" s="16" t="n">
        <v>0.26</v>
      </c>
      <c r="AN5" s="16" t="n">
        <v>0.26</v>
      </c>
      <c r="AO5" s="17">
        <f>IF(COUNT(AO6)=1,IF(N(IF(AO4&gt;25,Sales!$B$61,OFFSET(AO3,0,3*AO4)))=0,"",AO6/(IF(AO4&gt;25,Sales!$B$61,OFFSET(AO3,0,3*AO4)))),"")</f>
        <v/>
      </c>
      <c r="AP5" s="17" t="n">
        <v>0.26</v>
      </c>
      <c r="AQ5" s="17" t="n">
        <v>0.26</v>
      </c>
      <c r="AR5" s="16">
        <f>IF(COUNT(AR6)=1,IF(N(IF(AR4&gt;24,Sales!$B$61,OFFSET(AR3,0,3*AR4)))=0,"",AR6/(IF(AR4&gt;24,Sales!$B$61,OFFSET(AR3,0,3*AR4)))),"")</f>
        <v/>
      </c>
      <c r="AS5" s="16" t="n">
        <v>0.26</v>
      </c>
      <c r="AT5" s="16" t="n">
        <v>0.26</v>
      </c>
      <c r="AU5" s="17">
        <f>IF(COUNT(AU6)=1,IF(N(IF(AU4&gt;23,Sales!$B$61,OFFSET(AU3,0,3*AU4)))=0,"",AU6/(IF(AU4&gt;23,Sales!$B$61,OFFSET(AU3,0,3*AU4)))),"")</f>
        <v/>
      </c>
      <c r="AV5" s="17" t="n">
        <v>0.26</v>
      </c>
      <c r="AW5" s="17" t="n">
        <v>0.26</v>
      </c>
      <c r="AX5" s="16">
        <f>IF(COUNT(AX6)=1,IF(N(IF(AX4&gt;22,Sales!$B$61,OFFSET(AX3,0,3*AX4)))=0,"",AX6/(IF(AX4&gt;22,Sales!$B$61,OFFSET(AX3,0,3*AX4)))),"")</f>
        <v/>
      </c>
      <c r="AY5" s="16" t="n">
        <v>0.26</v>
      </c>
      <c r="AZ5" s="16" t="n">
        <v>0.26</v>
      </c>
      <c r="BA5" s="17">
        <f>IF(COUNT(BA6)=1,IF(N(IF(BA4&gt;21,Sales!$B$61,OFFSET(BA3,0,3*BA4)))=0,"",BA6/(IF(BA4&gt;21,Sales!$B$61,OFFSET(BA3,0,3*BA4)))),"")</f>
        <v/>
      </c>
      <c r="BB5" s="17" t="n">
        <v>0.26</v>
      </c>
      <c r="BC5" s="17" t="n">
        <v>0.26</v>
      </c>
      <c r="BD5" s="16">
        <f>IF(COUNT(BD6)=1,IF(N(IF(BD4&gt;20,Sales!$B$61,OFFSET(BD3,0,3*BD4)))=0,"",BD6/(IF(BD4&gt;20,Sales!$B$61,OFFSET(BD3,0,3*BD4)))),"")</f>
        <v/>
      </c>
      <c r="BE5" s="16" t="n">
        <v>0.26</v>
      </c>
      <c r="BF5" s="16" t="n">
        <v>0.26</v>
      </c>
      <c r="BG5" s="17">
        <f>IF(COUNT(BG6)=1,IF(N(IF(BG4&gt;19,Sales!$B$61,OFFSET(BG3,0,3*BG4)))=0,"",BG6/(IF(BG4&gt;19,Sales!$B$61,OFFSET(BG3,0,3*BG4)))),"")</f>
        <v/>
      </c>
      <c r="BH5" s="17" t="n">
        <v>0.26</v>
      </c>
      <c r="BI5" s="17" t="n">
        <v>0.26</v>
      </c>
      <c r="BJ5" s="16">
        <f>IF(COUNT(BJ6)=1,IF(N(IF(BJ4&gt;18,Sales!$B$61,OFFSET(BJ3,0,3*BJ4)))=0,"",BJ6/(IF(BJ4&gt;18,Sales!$B$61,OFFSET(BJ3,0,3*BJ4)))),"")</f>
        <v/>
      </c>
      <c r="BK5" s="16" t="n">
        <v>0.26</v>
      </c>
      <c r="BL5" s="16" t="n">
        <v>0.26</v>
      </c>
      <c r="BM5" s="17">
        <f>IF(COUNT(BM6)=1,IF(N(IF(BM4&gt;17,Sales!$B$61,OFFSET(BM3,0,3*BM4)))=0,"",BM6/(IF(BM4&gt;17,Sales!$B$61,OFFSET(BM3,0,3*BM4)))),"")</f>
        <v/>
      </c>
      <c r="BN5" s="17" t="n">
        <v>0.26</v>
      </c>
      <c r="BO5" s="17" t="n">
        <v>0.26</v>
      </c>
      <c r="BP5" s="16">
        <f>IF(COUNT(BP6)=1,IF(N(IF(BP4&gt;16,Sales!$B$61,OFFSET(BP3,0,3*BP4)))=0,"",BP6/(IF(BP4&gt;16,Sales!$B$61,OFFSET(BP3,0,3*BP4)))),"")</f>
        <v/>
      </c>
      <c r="BQ5" s="16" t="n">
        <v>0.26</v>
      </c>
      <c r="BR5" s="16" t="n">
        <v>0.26</v>
      </c>
      <c r="BS5" s="17">
        <f>IF(COUNT(BS6)=1,IF(N(IF(BS4&gt;15,Sales!$B$61,OFFSET(BS3,0,3*BS4)))=0,"",BS6/(IF(BS4&gt;15,Sales!$B$61,OFFSET(BS3,0,3*BS4)))),"")</f>
        <v/>
      </c>
      <c r="BT5" s="17" t="n">
        <v>0.26</v>
      </c>
      <c r="BU5" s="17" t="n">
        <v>0.26</v>
      </c>
      <c r="BV5" s="16">
        <f>IF(COUNT(BV6)=1,IF(N(IF(BV4&gt;14,Sales!$B$61,OFFSET(BV3,0,3*BV4)))=0,"",BV6/(IF(BV4&gt;14,Sales!$B$61,OFFSET(BV3,0,3*BV4)))),"")</f>
        <v/>
      </c>
      <c r="BW5" s="16" t="n">
        <v>0.26</v>
      </c>
      <c r="BX5" s="16" t="n">
        <v>0.26</v>
      </c>
      <c r="BY5" s="17">
        <f>IF(COUNT(BY6)=1,IF(N(IF(BY4&gt;13,Sales!$B$61,OFFSET(BY3,0,3*BY4)))=0,"",BY6/(IF(BY4&gt;13,Sales!$B$61,OFFSET(BY3,0,3*BY4)))),"")</f>
        <v/>
      </c>
      <c r="BZ5" s="17" t="n">
        <v>0.26</v>
      </c>
      <c r="CA5" s="17" t="n">
        <v>0.26</v>
      </c>
      <c r="CB5" s="16">
        <f>IF(COUNT(CB6)=1,IF(N(IF(CB4&gt;12,Sales!$B$61,OFFSET(CB3,0,3*CB4)))=0,"",CB6/(IF(CB4&gt;12,Sales!$B$61,OFFSET(CB3,0,3*CB4)))),"")</f>
        <v/>
      </c>
      <c r="CC5" s="16" t="n">
        <v>0.26</v>
      </c>
      <c r="CD5" s="16" t="n">
        <v>0.26</v>
      </c>
      <c r="CE5" s="17">
        <f>IF(COUNT(CE6)=1,IF(N(IF(CE4&gt;11,Sales!$B$61,OFFSET(CE3,0,3*CE4)))=0,"",CE6/(IF(CE4&gt;11,Sales!$B$61,OFFSET(CE3,0,3*CE4)))),"")</f>
        <v/>
      </c>
      <c r="CF5" s="17" t="n">
        <v>0.26</v>
      </c>
      <c r="CG5" s="17" t="n">
        <v>0.26</v>
      </c>
      <c r="CH5" s="16">
        <f>IF(COUNT(CH6)=1,IF(N(IF(CH4&gt;10,Sales!$B$61,OFFSET(CH3,0,3*CH4)))=0,"",CH6/(IF(CH4&gt;10,Sales!$B$61,OFFSET(CH3,0,3*CH4)))),"")</f>
        <v/>
      </c>
      <c r="CI5" s="16" t="n">
        <v>0.26</v>
      </c>
      <c r="CJ5" s="16" t="n">
        <v>0.26</v>
      </c>
      <c r="CK5" s="17">
        <f>IF(COUNT(CK6)=1,IF(N(IF(CK4&gt;9,Sales!$B$61,OFFSET(CK3,0,3*CK4)))=0,"",CK6/(IF(CK4&gt;9,Sales!$B$61,OFFSET(CK3,0,3*CK4)))),"")</f>
        <v/>
      </c>
      <c r="CL5" s="17" t="n">
        <v>0.26</v>
      </c>
      <c r="CM5" s="17" t="n">
        <v>0.26</v>
      </c>
      <c r="CN5" s="16">
        <f>IF(COUNT(CN6)=1,IF(N(IF(CN4&gt;8,Sales!$B$61,OFFSET(CN3,0,3*CN4)))=0,"",CN6/(IF(CN4&gt;8,Sales!$B$61,OFFSET(CN3,0,3*CN4)))),"")</f>
        <v/>
      </c>
      <c r="CO5" s="16" t="n">
        <v>0.23</v>
      </c>
      <c r="CP5" s="16" t="n">
        <v>0.26</v>
      </c>
      <c r="CQ5" s="17">
        <f>IF(COUNT(CQ6)=1,IF(N(IF(CQ4&gt;7,Sales!$B$61,OFFSET(CQ3,0,3*CQ4)))=0,"",CQ6/(IF(CQ4&gt;7,Sales!$B$61,OFFSET(CQ3,0,3*CQ4)))),"")</f>
        <v/>
      </c>
      <c r="CR5" s="17" t="n">
        <v>0.23</v>
      </c>
      <c r="CS5" s="17" t="n">
        <v>0.26</v>
      </c>
      <c r="CT5" s="16">
        <f>IF(COUNT(CT6)=1,IF(N(IF(CT4&gt;6,Sales!$B$61,OFFSET(CT3,0,3*CT4)))=0,"",CT6/(IF(CT4&gt;6,Sales!$B$61,OFFSET(CT3,0,3*CT4)))),"")</f>
        <v/>
      </c>
      <c r="CU5" s="16" t="n">
        <v>0.23</v>
      </c>
      <c r="CV5" s="16" t="n">
        <v>0.26</v>
      </c>
      <c r="CW5" s="17">
        <f>IF(COUNT(CW6)=1,IF(N(IF(CW4&gt;5,Sales!$B$61,OFFSET(CW3,0,3*CW4)))=0,"",CW6/(IF(CW4&gt;5,Sales!$B$61,OFFSET(CW3,0,3*CW4)))),"")</f>
        <v/>
      </c>
      <c r="CX5" s="17" t="n">
        <v>0.2</v>
      </c>
      <c r="CY5" s="17" t="n">
        <v>0.26</v>
      </c>
      <c r="CZ5" s="16">
        <f>IF(COUNT(CZ6)=1,IF(N(IF(CZ4&gt;4,Sales!$B$61,OFFSET(CZ3,0,3*CZ4)))=0,"",CZ6/(IF(CZ4&gt;4,Sales!$B$61,OFFSET(CZ3,0,3*CZ4)))),"")</f>
        <v/>
      </c>
      <c r="DA5" s="16" t="n">
        <v>0.2</v>
      </c>
      <c r="DB5" s="16" t="n">
        <v>0.26</v>
      </c>
      <c r="DC5" s="17">
        <f>IF(COUNT(DC6)=1,IF(N(IF(DC4&gt;3,Sales!$B$61,OFFSET(DC3,0,3*DC4)))=0,"",DC6/(IF(DC4&gt;3,Sales!$B$61,OFFSET(DC3,0,3*DC4)))),"")</f>
        <v/>
      </c>
      <c r="DD5" s="17" t="n">
        <v>0.2</v>
      </c>
      <c r="DE5" s="17" t="n">
        <v>0.26</v>
      </c>
      <c r="DF5" s="16">
        <f>IF(COUNT(DF6)=1,IF(N(IF(DF4&gt;2,Sales!$B$61,OFFSET(DF3,0,3*DF4)))=0,"",DF6/(IF(DF4&gt;2,Sales!$B$61,OFFSET(DF3,0,3*DF4)))),"")</f>
        <v/>
      </c>
      <c r="DG5" s="16" t="n">
        <v>0.2</v>
      </c>
      <c r="DH5" s="16" t="n">
        <v>0.26</v>
      </c>
      <c r="DI5" s="17">
        <f>IF(COUNT(DI6)=1,IF(N(IF(DI4&gt;1,Sales!$B$61,OFFSET(DI3,0,3*DI4)))=0,"",DI6/(IF(DI4&gt;1,Sales!$B$61,OFFSET(DI3,0,3*DI4)))),"")</f>
        <v/>
      </c>
      <c r="DJ5" s="17">
        <f>DI5</f>
        <v/>
      </c>
      <c r="DK5" s="17" t="n">
        <v>0.26</v>
      </c>
      <c r="DL5" s="16">
        <f>IF(COUNT(DL6)=1,IF(N(IF(DL4&gt;0,Sales!$B$61,OFFSET(DL3,0,3*DL4)))=0,"",DL6/(IF(DL4&gt;0,Sales!$B$61,OFFSET(DL3,0,3*DL4)))),"")</f>
        <v/>
      </c>
      <c r="DM5" s="16">
        <f>DL5</f>
        <v/>
      </c>
      <c r="DN5" s="16" t="n">
        <v>0.26</v>
      </c>
    </row>
    <row r="6">
      <c r="A6" s="2" t="inlineStr">
        <is>
          <t>New Customers Closed</t>
        </is>
      </c>
      <c r="B6" s="21">
        <f>IF(COUNT(AR6,AO6,AL6,AI6,AF6,AC6,Z6,W6,T6,Q6,N6,K6)=0,"",SUM(AR6,AO6,AL6,AI6,AF6,AC6,Z6,W6,T6,Q6,N6,K6))</f>
        <v/>
      </c>
      <c r="C6" s="21">
        <f>IF(COUNT(AS6,AP6,AM6,AJ6,AG6,AD6,AA6,X6,U6,R6,O6,L6)=0,"",SUM(AS6,AP6,AM6,AJ6,AG6,AD6,AA6,X6,U6,R6,O6,L6))</f>
        <v/>
      </c>
      <c r="D6" s="21">
        <f>IF(COUNT(AT6,AQ6,AN6,AK6,AH6,AE6,AB6,Y6,V6,S6,P6,M6)=0,"",SUM(AT6,AQ6,AN6,AK6,AH6,AE6,AB6,Y6,V6,S6,P6,M6))</f>
        <v/>
      </c>
      <c r="E6" s="2">
        <f>IF(COUNT(CB6,BY6,BV6,BS6,BP6,BM6,BJ6,BG6,BD6,BA6,AX6,AU6)=0,"",SUM(CB6,BY6,BV6,BS6,BP6,BM6,BJ6,BG6,BD6,BA6,AX6,AU6))</f>
        <v/>
      </c>
      <c r="F6" s="2">
        <f>IF(COUNT(CC6,BZ6,BW6,BT6,BQ6,BN6,BK6,BH6,BE6,BB6,AY6,AV6)=0,"",SUM(CC6,BZ6,BW6,BT6,BQ6,BN6,BK6,BH6,BE6,BB6,AY6,AV6))</f>
        <v/>
      </c>
      <c r="G6" s="2">
        <f>IF(COUNT(CD6,CA6,BX6,BU6,BR6,BO6,BL6,BI6,BF6,BC6,AZ6,AW6)=0,"",SUM(CD6,CA6,BX6,BU6,BR6,BO6,BL6,BI6,BF6,BC6,AZ6,AW6))</f>
        <v/>
      </c>
      <c r="H6" s="21">
        <f>IF(COUNT(DL6,DI6,DF6,DC6,CZ6,CW6,CT6,CQ6,CN6,CK6,CH6,CE6)=0,"",SUM(DL6,DI6,DF6,DC6,CZ6,CW6,CT6,CQ6,CN6,CK6,CH6,CE6))</f>
        <v/>
      </c>
      <c r="I6" s="21">
        <f>IF(COUNT(DM6,DJ6,DG6,DD6,DA6,CX6,CU6,CR6,CO6,CL6,CI6,CF6)=0,"",SUM(DM6,DJ6,DG6,DD6,DA6,CX6,CU6,CR6,CO6,CL6,CI6,CF6))</f>
        <v/>
      </c>
      <c r="J6" s="21">
        <f>IF(COUNT(DN6,DK6,DH6,DE6,DB6,CY6,CV6,CS6,CP6,CM6,CJ6,CG6)=0,"",SUM(DN6,DK6,DH6,DE6,DB6,CY6,CV6,CS6,CP6,CM6,CJ6,CG6))</f>
        <v/>
      </c>
      <c r="K6" s="2" t="n"/>
      <c r="L6" s="2">
        <f>ROUND((IF(L4&gt;35,Sales!$B$61,OFFSET(L3,0,3*L4)))*L5,0)</f>
        <v/>
      </c>
      <c r="M6" s="2">
        <f>ROUND((IF(M4&gt;35,Sales!$B$61,OFFSET(M3,0,3*M4)))*M5,0)</f>
        <v/>
      </c>
      <c r="N6" s="21" t="n"/>
      <c r="O6" s="21">
        <f>ROUND((IF(O4&gt;34,Sales!$B$61,OFFSET(O3,0,3*O4)))*O5,0)</f>
        <v/>
      </c>
      <c r="P6" s="21">
        <f>ROUND((IF(P4&gt;34,Sales!$B$61,OFFSET(P3,0,3*P4)))*P5,0)</f>
        <v/>
      </c>
      <c r="Q6" s="2" t="n"/>
      <c r="R6" s="2">
        <f>ROUND((IF(R4&gt;33,Sales!$B$61,OFFSET(R3,0,3*R4)))*R5,0)</f>
        <v/>
      </c>
      <c r="S6" s="2">
        <f>ROUND((IF(S4&gt;33,Sales!$B$61,OFFSET(S3,0,3*S4)))*S5,0)</f>
        <v/>
      </c>
      <c r="T6" s="21" t="n"/>
      <c r="U6" s="21">
        <f>ROUND((IF(U4&gt;32,Sales!$B$61,OFFSET(U3,0,3*U4)))*U5,0)</f>
        <v/>
      </c>
      <c r="V6" s="21">
        <f>ROUND((IF(V4&gt;32,Sales!$B$61,OFFSET(V3,0,3*V4)))*V5,0)</f>
        <v/>
      </c>
      <c r="W6" s="2" t="n"/>
      <c r="X6" s="2">
        <f>ROUND((IF(X4&gt;31,Sales!$B$61,OFFSET(X3,0,3*X4)))*X5,0)</f>
        <v/>
      </c>
      <c r="Y6" s="2">
        <f>ROUND((IF(Y4&gt;31,Sales!$B$61,OFFSET(Y3,0,3*Y4)))*Y5,0)</f>
        <v/>
      </c>
      <c r="Z6" s="21" t="n"/>
      <c r="AA6" s="21">
        <f>ROUND((IF(AA4&gt;30,Sales!$B$61,OFFSET(AA3,0,3*AA4)))*AA5,0)</f>
        <v/>
      </c>
      <c r="AB6" s="21">
        <f>ROUND((IF(AB4&gt;30,Sales!$B$61,OFFSET(AB3,0,3*AB4)))*AB5,0)</f>
        <v/>
      </c>
      <c r="AC6" s="2" t="n"/>
      <c r="AD6" s="2">
        <f>ROUND((IF(AD4&gt;29,Sales!$B$61,OFFSET(AD3,0,3*AD4)))*AD5,0)</f>
        <v/>
      </c>
      <c r="AE6" s="2">
        <f>ROUND((IF(AE4&gt;29,Sales!$B$61,OFFSET(AE3,0,3*AE4)))*AE5,0)</f>
        <v/>
      </c>
      <c r="AF6" s="21" t="n"/>
      <c r="AG6" s="21">
        <f>ROUND((IF(AG4&gt;28,Sales!$B$61,OFFSET(AG3,0,3*AG4)))*AG5,0)</f>
        <v/>
      </c>
      <c r="AH6" s="21">
        <f>ROUND((IF(AH4&gt;28,Sales!$B$61,OFFSET(AH3,0,3*AH4)))*AH5,0)</f>
        <v/>
      </c>
      <c r="AI6" s="2" t="n"/>
      <c r="AJ6" s="2">
        <f>ROUND((IF(AJ4&gt;27,Sales!$B$61,OFFSET(AJ3,0,3*AJ4)))*AJ5,0)</f>
        <v/>
      </c>
      <c r="AK6" s="2">
        <f>ROUND((IF(AK4&gt;27,Sales!$B$61,OFFSET(AK3,0,3*AK4)))*AK5,0)</f>
        <v/>
      </c>
      <c r="AL6" s="21" t="n"/>
      <c r="AM6" s="21">
        <f>ROUND((IF(AM4&gt;26,Sales!$B$61,OFFSET(AM3,0,3*AM4)))*AM5,0)</f>
        <v/>
      </c>
      <c r="AN6" s="21">
        <f>ROUND((IF(AN4&gt;26,Sales!$B$61,OFFSET(AN3,0,3*AN4)))*AN5,0)</f>
        <v/>
      </c>
      <c r="AO6" s="2" t="n"/>
      <c r="AP6" s="2">
        <f>ROUND((IF(AP4&gt;25,Sales!$B$61,OFFSET(AP3,0,3*AP4)))*AP5,0)</f>
        <v/>
      </c>
      <c r="AQ6" s="2">
        <f>ROUND((IF(AQ4&gt;25,Sales!$B$61,OFFSET(AQ3,0,3*AQ4)))*AQ5,0)</f>
        <v/>
      </c>
      <c r="AR6" s="21" t="n"/>
      <c r="AS6" s="21">
        <f>ROUND((IF(AS4&gt;24,Sales!$B$61,OFFSET(AS3,0,3*AS4)))*AS5,0)</f>
        <v/>
      </c>
      <c r="AT6" s="21">
        <f>ROUND((IF(AT4&gt;24,Sales!$B$61,OFFSET(AT3,0,3*AT4)))*AT5,0)</f>
        <v/>
      </c>
      <c r="AU6" s="2" t="n"/>
      <c r="AV6" s="2">
        <f>ROUND((IF(AV4&gt;23,Sales!$B$61,OFFSET(AV3,0,3*AV4)))*AV5,0)</f>
        <v/>
      </c>
      <c r="AW6" s="2">
        <f>ROUND((IF(AW4&gt;23,Sales!$B$61,OFFSET(AW3,0,3*AW4)))*AW5,0)</f>
        <v/>
      </c>
      <c r="AX6" s="21" t="n"/>
      <c r="AY6" s="21">
        <f>ROUND((IF(AY4&gt;22,Sales!$B$61,OFFSET(AY3,0,3*AY4)))*AY5,0)</f>
        <v/>
      </c>
      <c r="AZ6" s="21">
        <f>ROUND((IF(AZ4&gt;22,Sales!$B$61,OFFSET(AZ3,0,3*AZ4)))*AZ5,0)</f>
        <v/>
      </c>
      <c r="BA6" s="2" t="n"/>
      <c r="BB6" s="2">
        <f>ROUND((IF(BB4&gt;21,Sales!$B$61,OFFSET(BB3,0,3*BB4)))*BB5,0)</f>
        <v/>
      </c>
      <c r="BC6" s="2">
        <f>ROUND((IF(BC4&gt;21,Sales!$B$61,OFFSET(BC3,0,3*BC4)))*BC5,0)</f>
        <v/>
      </c>
      <c r="BD6" s="21" t="n"/>
      <c r="BE6" s="21">
        <f>ROUND((IF(BE4&gt;20,Sales!$B$61,OFFSET(BE3,0,3*BE4)))*BE5,0)</f>
        <v/>
      </c>
      <c r="BF6" s="21">
        <f>ROUND((IF(BF4&gt;20,Sales!$B$61,OFFSET(BF3,0,3*BF4)))*BF5,0)</f>
        <v/>
      </c>
      <c r="BG6" s="2" t="n"/>
      <c r="BH6" s="2">
        <f>ROUND((IF(BH4&gt;19,Sales!$B$61,OFFSET(BH3,0,3*BH4)))*BH5,0)</f>
        <v/>
      </c>
      <c r="BI6" s="2">
        <f>ROUND((IF(BI4&gt;19,Sales!$B$61,OFFSET(BI3,0,3*BI4)))*BI5,0)</f>
        <v/>
      </c>
      <c r="BJ6" s="21" t="n"/>
      <c r="BK6" s="21">
        <f>ROUND((IF(BK4&gt;18,Sales!$B$61,OFFSET(BK3,0,3*BK4)))*BK5,0)</f>
        <v/>
      </c>
      <c r="BL6" s="21">
        <f>ROUND((IF(BL4&gt;18,Sales!$B$61,OFFSET(BL3,0,3*BL4)))*BL5,0)</f>
        <v/>
      </c>
      <c r="BM6" s="2" t="n"/>
      <c r="BN6" s="2">
        <f>ROUND((IF(BN4&gt;17,Sales!$B$61,OFFSET(BN3,0,3*BN4)))*BN5,0)</f>
        <v/>
      </c>
      <c r="BO6" s="2">
        <f>ROUND((IF(BO4&gt;17,Sales!$B$61,OFFSET(BO3,0,3*BO4)))*BO5,0)</f>
        <v/>
      </c>
      <c r="BP6" s="21" t="n"/>
      <c r="BQ6" s="21">
        <f>ROUND((IF(BQ4&gt;16,Sales!$B$61,OFFSET(BQ3,0,3*BQ4)))*BQ5,0)</f>
        <v/>
      </c>
      <c r="BR6" s="21">
        <f>ROUND((IF(BR4&gt;16,Sales!$B$61,OFFSET(BR3,0,3*BR4)))*BR5,0)</f>
        <v/>
      </c>
      <c r="BS6" s="2" t="n"/>
      <c r="BT6" s="2">
        <f>ROUND((IF(BT4&gt;15,Sales!$B$61,OFFSET(BT3,0,3*BT4)))*BT5,0)</f>
        <v/>
      </c>
      <c r="BU6" s="2">
        <f>ROUND((IF(BU4&gt;15,Sales!$B$61,OFFSET(BU3,0,3*BU4)))*BU5,0)</f>
        <v/>
      </c>
      <c r="BV6" s="21" t="n"/>
      <c r="BW6" s="21">
        <f>ROUND((IF(BW4&gt;14,Sales!$B$61,OFFSET(BW3,0,3*BW4)))*BW5,0)</f>
        <v/>
      </c>
      <c r="BX6" s="21">
        <f>ROUND((IF(BX4&gt;14,Sales!$B$61,OFFSET(BX3,0,3*BX4)))*BX5,0)</f>
        <v/>
      </c>
      <c r="BY6" s="2" t="n"/>
      <c r="BZ6" s="2">
        <f>ROUND((IF(BZ4&gt;13,Sales!$B$61,OFFSET(BZ3,0,3*BZ4)))*BZ5,0)</f>
        <v/>
      </c>
      <c r="CA6" s="2">
        <f>ROUND((IF(CA4&gt;13,Sales!$B$61,OFFSET(CA3,0,3*CA4)))*CA5,0)</f>
        <v/>
      </c>
      <c r="CB6" s="21" t="n"/>
      <c r="CC6" s="21">
        <f>ROUND((IF(CC4&gt;12,Sales!$B$61,OFFSET(CC3,0,3*CC4)))*CC5,0)</f>
        <v/>
      </c>
      <c r="CD6" s="21">
        <f>ROUND((IF(CD4&gt;12,Sales!$B$61,OFFSET(CD3,0,3*CD4)))*CD5,0)</f>
        <v/>
      </c>
      <c r="CE6" s="2" t="n"/>
      <c r="CF6" s="2">
        <f>ROUND((IF(CF4&gt;11,Sales!$B$61,OFFSET(CF3,0,3*CF4)))*CF5,0)</f>
        <v/>
      </c>
      <c r="CG6" s="2">
        <f>ROUND((IF(CG4&gt;11,Sales!$B$61,OFFSET(CG3,0,3*CG4)))*CG5,0)</f>
        <v/>
      </c>
      <c r="CH6" s="21" t="n"/>
      <c r="CI6" s="21">
        <f>ROUND((IF(CI4&gt;10,Sales!$B$61,OFFSET(CI3,0,3*CI4)))*CI5,0)</f>
        <v/>
      </c>
      <c r="CJ6" s="21">
        <f>ROUND((IF(CJ4&gt;10,Sales!$B$61,OFFSET(CJ3,0,3*CJ4)))*CJ5,0)</f>
        <v/>
      </c>
      <c r="CK6" s="2" t="n"/>
      <c r="CL6" s="2">
        <f>ROUND((IF(CL4&gt;9,Sales!$B$61,OFFSET(CL3,0,3*CL4)))*CL5,0)</f>
        <v/>
      </c>
      <c r="CM6" s="2">
        <f>ROUND((IF(CM4&gt;9,Sales!$B$61,OFFSET(CM3,0,3*CM4)))*CM5,0)</f>
        <v/>
      </c>
      <c r="CN6" s="21" t="n"/>
      <c r="CO6" s="21">
        <f>ROUND((IF(CO4&gt;8,Sales!$B$61,OFFSET(CO3,0,3*CO4)))*CO5,0)</f>
        <v/>
      </c>
      <c r="CP6" s="21">
        <f>ROUND((IF(CP4&gt;8,Sales!$B$61,OFFSET(CP3,0,3*CP4)))*CP5,0)</f>
        <v/>
      </c>
      <c r="CQ6" s="2" t="n"/>
      <c r="CR6" s="2">
        <f>ROUND((IF(CR4&gt;7,Sales!$B$61,OFFSET(CR3,0,3*CR4)))*CR5,0)</f>
        <v/>
      </c>
      <c r="CS6" s="2">
        <f>ROUND((IF(CS4&gt;7,Sales!$B$61,OFFSET(CS3,0,3*CS4)))*CS5,0)</f>
        <v/>
      </c>
      <c r="CT6" s="21" t="n"/>
      <c r="CU6" s="21">
        <f>ROUND((IF(CU4&gt;6,Sales!$B$61,OFFSET(CU3,0,3*CU4)))*CU5,0)</f>
        <v/>
      </c>
      <c r="CV6" s="21">
        <f>ROUND((IF(CV4&gt;6,Sales!$B$61,OFFSET(CV3,0,3*CV4)))*CV5,0)</f>
        <v/>
      </c>
      <c r="CW6" s="2" t="n"/>
      <c r="CX6" s="2">
        <f>ROUND((IF(CX4&gt;5,Sales!$B$61,OFFSET(CX3,0,3*CX4)))*CX5,0)</f>
        <v/>
      </c>
      <c r="CY6" s="2">
        <f>ROUND((IF(CY4&gt;5,Sales!$B$61,OFFSET(CY3,0,3*CY4)))*CY5,0)</f>
        <v/>
      </c>
      <c r="CZ6" s="21" t="n"/>
      <c r="DA6" s="21">
        <f>ROUND((IF(DA4&gt;4,Sales!$B$61,OFFSET(DA3,0,3*DA4)))*DA5,0)</f>
        <v/>
      </c>
      <c r="DB6" s="21">
        <f>ROUND((IF(DB4&gt;4,Sales!$B$61,OFFSET(DB3,0,3*DB4)))*DB5,0)</f>
        <v/>
      </c>
      <c r="DC6" s="2" t="n"/>
      <c r="DD6" s="2">
        <f>ROUND((IF(DD4&gt;3,Sales!$B$61,OFFSET(DD3,0,3*DD4)))*DD5,0)</f>
        <v/>
      </c>
      <c r="DE6" s="2">
        <f>ROUND((IF(DE4&gt;3,Sales!$B$61,OFFSET(DE3,0,3*DE4)))*DE5,0)</f>
        <v/>
      </c>
      <c r="DF6" s="21" t="n"/>
      <c r="DG6" s="21">
        <f>ROUND((IF(DG4&gt;2,Sales!$B$61,OFFSET(DG3,0,3*DG4)))*DG5,0)</f>
        <v/>
      </c>
      <c r="DH6" s="21">
        <f>ROUND((IF(DH4&gt;2,Sales!$B$61,OFFSET(DH3,0,3*DH4)))*DH5,0)</f>
        <v/>
      </c>
      <c r="DI6" s="2" t="n">
        <v>11</v>
      </c>
      <c r="DJ6" s="2">
        <f>DI6</f>
        <v/>
      </c>
      <c r="DK6" s="2">
        <f>ROUND((IF(DK4&gt;1,Sales!$B$61,OFFSET(DK3,0,3*DK4)))*DK5,0)</f>
        <v/>
      </c>
      <c r="DL6" s="21" t="n">
        <v>19</v>
      </c>
      <c r="DM6" s="21">
        <f>DL6</f>
        <v/>
      </c>
      <c r="DN6" s="21">
        <f>ROUND((IF(DN4&gt;0,Sales!$B$61,OFFSET(DN3,0,3*DN4)))*DN5,0)</f>
        <v/>
      </c>
    </row>
    <row r="7">
      <c r="A7" s="18" t="inlineStr">
        <is>
          <t>Average Contract Value</t>
        </is>
      </c>
      <c r="B7" s="38">
        <f>IF(SUM(AR6,AO6,AL6,AI6,AF6,AC6,Z6,W6,T6,Q6,N6,K6)=0,"",SUM(AR8,AO8,AL8,AI8,AF8,AC8,Z8,W8,T8,Q8,N8,K8)/SUM(AR6,AO6,AL6,AI6,AF6,AC6,Z6,W6,T6,Q6,N6,K6))</f>
        <v/>
      </c>
      <c r="C7" s="38">
        <f>IF(SUM(AS6,AP6,AM6,AJ6,AG6,AD6,AA6,X6,U6,R6,O6,L6)=0,"",SUM(AS8,AP8,AM8,AJ8,AG8,AD8,AA8,X8,U8,R8,O8,L8)/SUM(AS6,AP6,AM6,AJ6,AG6,AD6,AA6,X6,U6,R6,O6,L6))</f>
        <v/>
      </c>
      <c r="D7" s="38">
        <f>IF(SUM(AT6,AQ6,AN6,AK6,AH6,AE6,AB6,Y6,V6,S6,P6,M6)=0,"",SUM(AT8,AQ8,AN8,AK8,AH8,AE8,AB8,Y8,V8,S8,P8,M8)/SUM(AT6,AQ6,AN6,AK6,AH6,AE6,AB6,Y6,V6,S6,P6,M6))</f>
        <v/>
      </c>
      <c r="E7" s="39">
        <f>IF(SUM(CB6,BY6,BV6,BS6,BP6,BM6,BJ6,BG6,BD6,BA6,AX6,AU6)=0,"",SUM(CB8,BY8,BV8,BS8,BP8,BM8,BJ8,BG8,BD8,BA8,AX8,AU8)/SUM(CB6,BY6,BV6,BS6,BP6,BM6,BJ6,BG6,BD6,BA6,AX6,AU6))</f>
        <v/>
      </c>
      <c r="F7" s="39">
        <f>IF(SUM(CC6,BZ6,BW6,BT6,BQ6,BN6,BK6,BH6,BE6,BB6,AY6,AV6)=0,"",SUM(CC8,BZ8,BW8,BT8,BQ8,BN8,BK8,BH8,BE8,BB8,AY8,AV8)/SUM(CC6,BZ6,BW6,BT6,BQ6,BN6,BK6,BH6,BE6,BB6,AY6,AV6))</f>
        <v/>
      </c>
      <c r="G7" s="39">
        <f>IF(SUM(CD6,CA6,BX6,BU6,BR6,BO6,BL6,BI6,BF6,BC6,AZ6,AW6)=0,"",SUM(CD8,CA8,BX8,BU8,BR8,BO8,BL8,BI8,BF8,BC8,AZ8,AW8)/SUM(CD6,CA6,BX6,BU6,BR6,BO6,BL6,BI6,BF6,BC6,AZ6,AW6))</f>
        <v/>
      </c>
      <c r="H7" s="38">
        <f>IF(SUM(DL6,DI6,DF6,DC6,CZ6,CW6,CT6,CQ6,CN6,CK6,CH6,CE6)=0,"",SUM(DL8,DI8,DF8,DC8,CZ8,CW8,CT8,CQ8,CN8,CK8,CH8,CE8)/SUM(DL6,DI6,DF6,DC6,CZ6,CW6,CT6,CQ6,CN6,CK6,CH6,CE6))</f>
        <v/>
      </c>
      <c r="I7" s="38">
        <f>IF(SUM(DM6,DJ6,DG6,DD6,DA6,CX6,CU6,CR6,CO6,CL6,CI6,CF6)=0,"",SUM(DM8,DJ8,DG8,DD8,DA8,CX8,CU8,CR8,CO8,CL8,CI8,CF8)/SUM(DM6,DJ6,DG6,DD6,DA6,CX6,CU6,CR6,CO6,CL6,CI6,CF6))</f>
        <v/>
      </c>
      <c r="J7" s="38">
        <f>IF(SUM(DN6,DK6,DH6,DE6,DB6,CY6,CV6,CS6,CP6,CM6,CJ6,CG6)=0,"",SUM(DN8,DK8,DH8,DE8,DB8,CY8,CV8,CS8,CP8,CM8,CJ8,CG8)/SUM(DN6,DK6,DH6,DE6,DB6,CY6,CV6,CS6,CP6,CM6,CJ6,CG6))</f>
        <v/>
      </c>
      <c r="K7" s="40" t="n"/>
      <c r="L7" s="39">
        <f>O7+'Engineering'!O7*'Engineering'!O9</f>
        <v/>
      </c>
      <c r="M7" s="39">
        <f>P7+'Engineering'!P7*'Engineering'!P9</f>
        <v/>
      </c>
      <c r="N7" s="41" t="n"/>
      <c r="O7" s="38">
        <f>R7+'Engineering'!R7*'Engineering'!R9</f>
        <v/>
      </c>
      <c r="P7" s="38">
        <f>S7+'Engineering'!S7*'Engineering'!S9</f>
        <v/>
      </c>
      <c r="Q7" s="40" t="n"/>
      <c r="R7" s="39">
        <f>U7+'Engineering'!U7*'Engineering'!U9</f>
        <v/>
      </c>
      <c r="S7" s="39">
        <f>V7+'Engineering'!V7*'Engineering'!V9</f>
        <v/>
      </c>
      <c r="T7" s="41" t="n"/>
      <c r="U7" s="38">
        <f>X7+'Engineering'!X7*'Engineering'!X9</f>
        <v/>
      </c>
      <c r="V7" s="38">
        <f>Y7+'Engineering'!Y7*'Engineering'!Y9</f>
        <v/>
      </c>
      <c r="W7" s="40" t="n"/>
      <c r="X7" s="39">
        <f>AA7+'Engineering'!AA7*'Engineering'!AA9</f>
        <v/>
      </c>
      <c r="Y7" s="39">
        <f>AB7+'Engineering'!AB7*'Engineering'!AB9</f>
        <v/>
      </c>
      <c r="Z7" s="41" t="n"/>
      <c r="AA7" s="38">
        <f>AD7+'Engineering'!AD7*'Engineering'!AD9</f>
        <v/>
      </c>
      <c r="AB7" s="38">
        <f>AE7+'Engineering'!AE7*'Engineering'!AE9</f>
        <v/>
      </c>
      <c r="AC7" s="40" t="n"/>
      <c r="AD7" s="39">
        <f>AG7+'Engineering'!AG7*'Engineering'!AG9</f>
        <v/>
      </c>
      <c r="AE7" s="39">
        <f>AH7+'Engineering'!AH7*'Engineering'!AH9</f>
        <v/>
      </c>
      <c r="AF7" s="41" t="n"/>
      <c r="AG7" s="38">
        <f>AJ7+'Engineering'!AJ7*'Engineering'!AJ9</f>
        <v/>
      </c>
      <c r="AH7" s="38">
        <f>AK7+'Engineering'!AK7*'Engineering'!AK9</f>
        <v/>
      </c>
      <c r="AI7" s="40" t="n"/>
      <c r="AJ7" s="39">
        <f>AM7+'Engineering'!AM7*'Engineering'!AM9</f>
        <v/>
      </c>
      <c r="AK7" s="39">
        <f>AN7+'Engineering'!AN7*'Engineering'!AN9</f>
        <v/>
      </c>
      <c r="AL7" s="41" t="n"/>
      <c r="AM7" s="38">
        <f>AP7+'Engineering'!AP7*'Engineering'!AP9</f>
        <v/>
      </c>
      <c r="AN7" s="38">
        <f>AQ7+'Engineering'!AQ7*'Engineering'!AQ9</f>
        <v/>
      </c>
      <c r="AO7" s="40" t="n"/>
      <c r="AP7" s="39">
        <f>AS7+'Engineering'!AS7*'Engineering'!AS9</f>
        <v/>
      </c>
      <c r="AQ7" s="39">
        <f>AT7+'Engineering'!AT7*'Engineering'!AT9</f>
        <v/>
      </c>
      <c r="AR7" s="41" t="n"/>
      <c r="AS7" s="38">
        <f>AV7+'Engineering'!AV7*'Engineering'!AV9</f>
        <v/>
      </c>
      <c r="AT7" s="38">
        <f>AW7+'Engineering'!AW7*'Engineering'!AW9</f>
        <v/>
      </c>
      <c r="AU7" s="40" t="n"/>
      <c r="AV7" s="39">
        <f>AY7+'Engineering'!AY7*'Engineering'!AY9</f>
        <v/>
      </c>
      <c r="AW7" s="39">
        <f>AZ7+'Engineering'!AZ7*'Engineering'!AZ9</f>
        <v/>
      </c>
      <c r="AX7" s="41" t="n"/>
      <c r="AY7" s="38">
        <f>BB7+'Engineering'!BB7*'Engineering'!BB9</f>
        <v/>
      </c>
      <c r="AZ7" s="38">
        <f>BC7+'Engineering'!BC7*'Engineering'!BC9</f>
        <v/>
      </c>
      <c r="BA7" s="40" t="n"/>
      <c r="BB7" s="39">
        <f>BE7+'Engineering'!BE7*'Engineering'!BE9</f>
        <v/>
      </c>
      <c r="BC7" s="39">
        <f>BF7+'Engineering'!BF7*'Engineering'!BF9</f>
        <v/>
      </c>
      <c r="BD7" s="41" t="n"/>
      <c r="BE7" s="38">
        <f>BH7+'Engineering'!BH7*'Engineering'!BH9</f>
        <v/>
      </c>
      <c r="BF7" s="38">
        <f>BI7+'Engineering'!BI7*'Engineering'!BI9</f>
        <v/>
      </c>
      <c r="BG7" s="40" t="n"/>
      <c r="BH7" s="39">
        <f>BK7+'Engineering'!BK7*'Engineering'!BK9</f>
        <v/>
      </c>
      <c r="BI7" s="39">
        <f>BL7+'Engineering'!BL7*'Engineering'!BL9</f>
        <v/>
      </c>
      <c r="BJ7" s="41" t="n"/>
      <c r="BK7" s="38">
        <f>BN7+'Engineering'!BN7*'Engineering'!BN9</f>
        <v/>
      </c>
      <c r="BL7" s="38">
        <f>BO7+'Engineering'!BO7*'Engineering'!BO9</f>
        <v/>
      </c>
      <c r="BM7" s="40" t="n"/>
      <c r="BN7" s="39">
        <f>BQ7+'Engineering'!BQ7*'Engineering'!BQ9</f>
        <v/>
      </c>
      <c r="BO7" s="39">
        <f>BR7+'Engineering'!BR7*'Engineering'!BR9</f>
        <v/>
      </c>
      <c r="BP7" s="41" t="n"/>
      <c r="BQ7" s="38">
        <f>BT7+'Engineering'!BT7*'Engineering'!BT9</f>
        <v/>
      </c>
      <c r="BR7" s="38">
        <f>BU7+'Engineering'!BU7*'Engineering'!BU9</f>
        <v/>
      </c>
      <c r="BS7" s="40" t="n"/>
      <c r="BT7" s="39">
        <f>BW7+'Engineering'!BW7*'Engineering'!BW9</f>
        <v/>
      </c>
      <c r="BU7" s="39">
        <f>BX7+'Engineering'!BX7*'Engineering'!BX9</f>
        <v/>
      </c>
      <c r="BV7" s="41" t="n"/>
      <c r="BW7" s="38">
        <f>BZ7+'Engineering'!BZ7*'Engineering'!BZ9</f>
        <v/>
      </c>
      <c r="BX7" s="38">
        <f>CA7+'Engineering'!CA7*'Engineering'!CA9</f>
        <v/>
      </c>
      <c r="BY7" s="40" t="n"/>
      <c r="BZ7" s="39">
        <f>CC7+'Engineering'!CC7*'Engineering'!CC9</f>
        <v/>
      </c>
      <c r="CA7" s="39">
        <f>CD7+'Engineering'!CD7*'Engineering'!CD9</f>
        <v/>
      </c>
      <c r="CB7" s="41" t="n"/>
      <c r="CC7" s="38">
        <f>CF7+'Engineering'!CF7*'Engineering'!CF9</f>
        <v/>
      </c>
      <c r="CD7" s="38">
        <f>CG7+'Engineering'!CG7*'Engineering'!CG9</f>
        <v/>
      </c>
      <c r="CE7" s="40" t="n"/>
      <c r="CF7" s="39">
        <f>CI7+'Engineering'!CI7*'Engineering'!CI9</f>
        <v/>
      </c>
      <c r="CG7" s="39">
        <f>CJ7+'Engineering'!CJ7*'Engineering'!CJ9</f>
        <v/>
      </c>
      <c r="CH7" s="41" t="n"/>
      <c r="CI7" s="38">
        <f>CL7+'Engineering'!CL7*'Engineering'!CL9</f>
        <v/>
      </c>
      <c r="CJ7" s="38">
        <f>CM7+'Engineering'!CM7*'Engineering'!CM9</f>
        <v/>
      </c>
      <c r="CK7" s="40" t="n"/>
      <c r="CL7" s="39">
        <f>CO7+'Engineering'!CO7*'Engineering'!CO9</f>
        <v/>
      </c>
      <c r="CM7" s="39">
        <f>CP7+'Engineering'!CP7*'Engineering'!CP9</f>
        <v/>
      </c>
      <c r="CN7" s="41" t="n"/>
      <c r="CO7" s="38">
        <f>CR7+'Engineering'!CR7*'Engineering'!CR9</f>
        <v/>
      </c>
      <c r="CP7" s="38">
        <f>CS7+'Engineering'!CS7*'Engineering'!CS9</f>
        <v/>
      </c>
      <c r="CQ7" s="40" t="n"/>
      <c r="CR7" s="39">
        <f>CU7+'Engineering'!CU7*'Engineering'!CU9</f>
        <v/>
      </c>
      <c r="CS7" s="39">
        <f>CV7+'Engineering'!CV7*'Engineering'!CV9</f>
        <v/>
      </c>
      <c r="CT7" s="41" t="n"/>
      <c r="CU7" s="38">
        <f>CX7+'Engineering'!CX7*'Engineering'!CX9</f>
        <v/>
      </c>
      <c r="CV7" s="38">
        <f>CY7+'Engineering'!CY7*'Engineering'!CY9</f>
        <v/>
      </c>
      <c r="CW7" s="40" t="n"/>
      <c r="CX7" s="39">
        <f>DA7+'Engineering'!DA7*'Engineering'!DA9</f>
        <v/>
      </c>
      <c r="CY7" s="39">
        <f>DB7+'Engineering'!DB7*'Engineering'!DB9</f>
        <v/>
      </c>
      <c r="CZ7" s="41" t="n"/>
      <c r="DA7" s="38">
        <f>DD7+'Engineering'!DD7*'Engineering'!DD9</f>
        <v/>
      </c>
      <c r="DB7" s="38">
        <f>DE7+'Engineering'!DE7*'Engineering'!DE9</f>
        <v/>
      </c>
      <c r="DC7" s="40" t="n"/>
      <c r="DD7" s="39">
        <f>DG7+'Engineering'!DG7*'Engineering'!DG9</f>
        <v/>
      </c>
      <c r="DE7" s="39">
        <f>DH7+'Engineering'!DH7*'Engineering'!DH9</f>
        <v/>
      </c>
      <c r="DF7" s="41" t="n"/>
      <c r="DG7" s="38">
        <f>DJ7+'Engineering'!DJ7*'Engineering'!DJ9</f>
        <v/>
      </c>
      <c r="DH7" s="38">
        <f>DK7+'Engineering'!DK7*'Engineering'!DK9</f>
        <v/>
      </c>
      <c r="DI7" s="40" t="n">
        <v>1200</v>
      </c>
      <c r="DJ7" s="39">
        <f>DI7</f>
        <v/>
      </c>
      <c r="DK7" s="39">
        <f>DN7+'Engineering'!DN7*'Engineering'!DN9</f>
        <v/>
      </c>
      <c r="DL7" s="41" t="n">
        <v>1200</v>
      </c>
      <c r="DM7" s="38">
        <f>DL7</f>
        <v/>
      </c>
      <c r="DN7" s="38">
        <f>Sales!$B$60</f>
        <v/>
      </c>
    </row>
    <row r="8">
      <c r="A8" s="2" t="inlineStr">
        <is>
          <t>New Recurring Revenue Added</t>
        </is>
      </c>
      <c r="B8" s="10">
        <f>IF(COUNT(AR8,AO8,AL8,AI8,AF8,AC8,Z8,W8,T8,Q8,N8,K8)=0,"",SUM(AR8,AO8,AL8,AI8,AF8,AC8,Z8,W8,T8,Q8,N8,K8))</f>
        <v/>
      </c>
      <c r="C8" s="10">
        <f>IF(COUNT(AS8,AP8,AM8,AJ8,AG8,AD8,AA8,X8,U8,R8,O8,L8)=0,"",SUM(AS8,AP8,AM8,AJ8,AG8,AD8,AA8,X8,U8,R8,O8,L8))</f>
        <v/>
      </c>
      <c r="D8" s="10">
        <f>IF(COUNT(AT8,AQ8,AN8,AK8,AH8,AE8,AB8,Y8,V8,S8,P8,M8)=0,"",SUM(AT8,AQ8,AN8,AK8,AH8,AE8,AB8,Y8,V8,S8,P8,M8))</f>
        <v/>
      </c>
      <c r="E8" s="11">
        <f>IF(COUNT(CB8,BY8,BV8,BS8,BP8,BM8,BJ8,BG8,BD8,BA8,AX8,AU8)=0,"",SUM(CB8,BY8,BV8,BS8,BP8,BM8,BJ8,BG8,BD8,BA8,AX8,AU8))</f>
        <v/>
      </c>
      <c r="F8" s="11">
        <f>IF(COUNT(CC8,BZ8,BW8,BT8,BQ8,BN8,BK8,BH8,BE8,BB8,AY8,AV8)=0,"",SUM(CC8,BZ8,BW8,BT8,BQ8,BN8,BK8,BH8,BE8,BB8,AY8,AV8))</f>
        <v/>
      </c>
      <c r="G8" s="11">
        <f>IF(COUNT(CD8,CA8,BX8,BU8,BR8,BO8,BL8,BI8,BF8,BC8,AZ8,AW8)=0,"",SUM(CD8,CA8,BX8,BU8,BR8,BO8,BL8,BI8,BF8,BC8,AZ8,AW8))</f>
        <v/>
      </c>
      <c r="H8" s="10">
        <f>IF(COUNT(DL8,DI8,DF8,DC8,CZ8,CW8,CT8,CQ8,CN8,CK8,CH8,CE8)=0,"",SUM(DL8,DI8,DF8,DC8,CZ8,CW8,CT8,CQ8,CN8,CK8,CH8,CE8))</f>
        <v/>
      </c>
      <c r="I8" s="10">
        <f>IF(COUNT(DM8,DJ8,DG8,DD8,DA8,CX8,CU8,CR8,CO8,CL8,CI8,CF8)=0,"",SUM(DM8,DJ8,DG8,DD8,DA8,CX8,CU8,CR8,CO8,CL8,CI8,CF8))</f>
        <v/>
      </c>
      <c r="J8" s="10">
        <f>IF(COUNT(DN8,DK8,DH8,DE8,DB8,CY8,CV8,CS8,CP8,CM8,CJ8,CG8)=0,"",SUM(DN8,DK8,DH8,DE8,DB8,CY8,CV8,CS8,CP8,CM8,CJ8,CG8))</f>
        <v/>
      </c>
      <c r="K8" s="11">
        <f>IF(COUNT(K6,K7)=2,K6*K7,"")</f>
        <v/>
      </c>
      <c r="L8" s="11">
        <f>L6*L7</f>
        <v/>
      </c>
      <c r="M8" s="11">
        <f>M6*M7</f>
        <v/>
      </c>
      <c r="N8" s="10">
        <f>IF(COUNT(N6,N7)=2,N6*N7,"")</f>
        <v/>
      </c>
      <c r="O8" s="10">
        <f>O6*O7</f>
        <v/>
      </c>
      <c r="P8" s="10">
        <f>P6*P7</f>
        <v/>
      </c>
      <c r="Q8" s="11">
        <f>IF(COUNT(Q6,Q7)=2,Q6*Q7,"")</f>
        <v/>
      </c>
      <c r="R8" s="11">
        <f>R6*R7</f>
        <v/>
      </c>
      <c r="S8" s="11">
        <f>S6*S7</f>
        <v/>
      </c>
      <c r="T8" s="10">
        <f>IF(COUNT(T6,T7)=2,T6*T7,"")</f>
        <v/>
      </c>
      <c r="U8" s="10">
        <f>U6*U7</f>
        <v/>
      </c>
      <c r="V8" s="10">
        <f>V6*V7</f>
        <v/>
      </c>
      <c r="W8" s="11">
        <f>IF(COUNT(W6,W7)=2,W6*W7,"")</f>
        <v/>
      </c>
      <c r="X8" s="11">
        <f>X6*X7</f>
        <v/>
      </c>
      <c r="Y8" s="11">
        <f>Y6*Y7</f>
        <v/>
      </c>
      <c r="Z8" s="10">
        <f>IF(COUNT(Z6,Z7)=2,Z6*Z7,"")</f>
        <v/>
      </c>
      <c r="AA8" s="10">
        <f>AA6*AA7</f>
        <v/>
      </c>
      <c r="AB8" s="10">
        <f>AB6*AB7</f>
        <v/>
      </c>
      <c r="AC8" s="11">
        <f>IF(COUNT(AC6,AC7)=2,AC6*AC7,"")</f>
        <v/>
      </c>
      <c r="AD8" s="11">
        <f>AD6*AD7</f>
        <v/>
      </c>
      <c r="AE8" s="11">
        <f>AE6*AE7</f>
        <v/>
      </c>
      <c r="AF8" s="10">
        <f>IF(COUNT(AF6,AF7)=2,AF6*AF7,"")</f>
        <v/>
      </c>
      <c r="AG8" s="10">
        <f>AG6*AG7</f>
        <v/>
      </c>
      <c r="AH8" s="10">
        <f>AH6*AH7</f>
        <v/>
      </c>
      <c r="AI8" s="11">
        <f>IF(COUNT(AI6,AI7)=2,AI6*AI7,"")</f>
        <v/>
      </c>
      <c r="AJ8" s="11">
        <f>AJ6*AJ7</f>
        <v/>
      </c>
      <c r="AK8" s="11">
        <f>AK6*AK7</f>
        <v/>
      </c>
      <c r="AL8" s="10">
        <f>IF(COUNT(AL6,AL7)=2,AL6*AL7,"")</f>
        <v/>
      </c>
      <c r="AM8" s="10">
        <f>AM6*AM7</f>
        <v/>
      </c>
      <c r="AN8" s="10">
        <f>AN6*AN7</f>
        <v/>
      </c>
      <c r="AO8" s="11">
        <f>IF(COUNT(AO6,AO7)=2,AO6*AO7,"")</f>
        <v/>
      </c>
      <c r="AP8" s="11">
        <f>AP6*AP7</f>
        <v/>
      </c>
      <c r="AQ8" s="11">
        <f>AQ6*AQ7</f>
        <v/>
      </c>
      <c r="AR8" s="10">
        <f>IF(COUNT(AR6,AR7)=2,AR6*AR7,"")</f>
        <v/>
      </c>
      <c r="AS8" s="10">
        <f>AS6*AS7</f>
        <v/>
      </c>
      <c r="AT8" s="10">
        <f>AT6*AT7</f>
        <v/>
      </c>
      <c r="AU8" s="11">
        <f>IF(COUNT(AU6,AU7)=2,AU6*AU7,"")</f>
        <v/>
      </c>
      <c r="AV8" s="11">
        <f>AV6*AV7</f>
        <v/>
      </c>
      <c r="AW8" s="11">
        <f>AW6*AW7</f>
        <v/>
      </c>
      <c r="AX8" s="10">
        <f>IF(COUNT(AX6,AX7)=2,AX6*AX7,"")</f>
        <v/>
      </c>
      <c r="AY8" s="10">
        <f>AY6*AY7</f>
        <v/>
      </c>
      <c r="AZ8" s="10">
        <f>AZ6*AZ7</f>
        <v/>
      </c>
      <c r="BA8" s="11">
        <f>IF(COUNT(BA6,BA7)=2,BA6*BA7,"")</f>
        <v/>
      </c>
      <c r="BB8" s="11">
        <f>BB6*BB7</f>
        <v/>
      </c>
      <c r="BC8" s="11">
        <f>BC6*BC7</f>
        <v/>
      </c>
      <c r="BD8" s="10">
        <f>IF(COUNT(BD6,BD7)=2,BD6*BD7,"")</f>
        <v/>
      </c>
      <c r="BE8" s="10">
        <f>BE6*BE7</f>
        <v/>
      </c>
      <c r="BF8" s="10">
        <f>BF6*BF7</f>
        <v/>
      </c>
      <c r="BG8" s="11">
        <f>IF(COUNT(BG6,BG7)=2,BG6*BG7,"")</f>
        <v/>
      </c>
      <c r="BH8" s="11">
        <f>BH6*BH7</f>
        <v/>
      </c>
      <c r="BI8" s="11">
        <f>BI6*BI7</f>
        <v/>
      </c>
      <c r="BJ8" s="10">
        <f>IF(COUNT(BJ6,BJ7)=2,BJ6*BJ7,"")</f>
        <v/>
      </c>
      <c r="BK8" s="10">
        <f>BK6*BK7</f>
        <v/>
      </c>
      <c r="BL8" s="10">
        <f>BL6*BL7</f>
        <v/>
      </c>
      <c r="BM8" s="11">
        <f>IF(COUNT(BM6,BM7)=2,BM6*BM7,"")</f>
        <v/>
      </c>
      <c r="BN8" s="11">
        <f>BN6*BN7</f>
        <v/>
      </c>
      <c r="BO8" s="11">
        <f>BO6*BO7</f>
        <v/>
      </c>
      <c r="BP8" s="10">
        <f>IF(COUNT(BP6,BP7)=2,BP6*BP7,"")</f>
        <v/>
      </c>
      <c r="BQ8" s="10">
        <f>BQ6*BQ7</f>
        <v/>
      </c>
      <c r="BR8" s="10">
        <f>BR6*BR7</f>
        <v/>
      </c>
      <c r="BS8" s="11">
        <f>IF(COUNT(BS6,BS7)=2,BS6*BS7,"")</f>
        <v/>
      </c>
      <c r="BT8" s="11">
        <f>BT6*BT7</f>
        <v/>
      </c>
      <c r="BU8" s="11">
        <f>BU6*BU7</f>
        <v/>
      </c>
      <c r="BV8" s="10">
        <f>IF(COUNT(BV6,BV7)=2,BV6*BV7,"")</f>
        <v/>
      </c>
      <c r="BW8" s="10">
        <f>BW6*BW7</f>
        <v/>
      </c>
      <c r="BX8" s="10">
        <f>BX6*BX7</f>
        <v/>
      </c>
      <c r="BY8" s="11">
        <f>IF(COUNT(BY6,BY7)=2,BY6*BY7,"")</f>
        <v/>
      </c>
      <c r="BZ8" s="11">
        <f>BZ6*BZ7</f>
        <v/>
      </c>
      <c r="CA8" s="11">
        <f>CA6*CA7</f>
        <v/>
      </c>
      <c r="CB8" s="10">
        <f>IF(COUNT(CB6,CB7)=2,CB6*CB7,"")</f>
        <v/>
      </c>
      <c r="CC8" s="10">
        <f>CC6*CC7</f>
        <v/>
      </c>
      <c r="CD8" s="10">
        <f>CD6*CD7</f>
        <v/>
      </c>
      <c r="CE8" s="11">
        <f>IF(COUNT(CE6,CE7)=2,CE6*CE7,"")</f>
        <v/>
      </c>
      <c r="CF8" s="11">
        <f>CF6*CF7</f>
        <v/>
      </c>
      <c r="CG8" s="11">
        <f>CG6*CG7</f>
        <v/>
      </c>
      <c r="CH8" s="10">
        <f>IF(COUNT(CH6,CH7)=2,CH6*CH7,"")</f>
        <v/>
      </c>
      <c r="CI8" s="10">
        <f>CI6*CI7</f>
        <v/>
      </c>
      <c r="CJ8" s="10">
        <f>CJ6*CJ7</f>
        <v/>
      </c>
      <c r="CK8" s="11">
        <f>IF(COUNT(CK6,CK7)=2,CK6*CK7,"")</f>
        <v/>
      </c>
      <c r="CL8" s="11">
        <f>CL6*CL7</f>
        <v/>
      </c>
      <c r="CM8" s="11">
        <f>CM6*CM7</f>
        <v/>
      </c>
      <c r="CN8" s="10">
        <f>IF(COUNT(CN6,CN7)=2,CN6*CN7,"")</f>
        <v/>
      </c>
      <c r="CO8" s="10">
        <f>CO6*CO7</f>
        <v/>
      </c>
      <c r="CP8" s="10">
        <f>CP6*CP7</f>
        <v/>
      </c>
      <c r="CQ8" s="11">
        <f>IF(COUNT(CQ6,CQ7)=2,CQ6*CQ7,"")</f>
        <v/>
      </c>
      <c r="CR8" s="11">
        <f>CR6*CR7</f>
        <v/>
      </c>
      <c r="CS8" s="11">
        <f>CS6*CS7</f>
        <v/>
      </c>
      <c r="CT8" s="10">
        <f>IF(COUNT(CT6,CT7)=2,CT6*CT7,"")</f>
        <v/>
      </c>
      <c r="CU8" s="10">
        <f>CU6*CU7</f>
        <v/>
      </c>
      <c r="CV8" s="10">
        <f>CV6*CV7</f>
        <v/>
      </c>
      <c r="CW8" s="11">
        <f>IF(COUNT(CW6,CW7)=2,CW6*CW7,"")</f>
        <v/>
      </c>
      <c r="CX8" s="11">
        <f>CX6*CX7</f>
        <v/>
      </c>
      <c r="CY8" s="11">
        <f>CY6*CY7</f>
        <v/>
      </c>
      <c r="CZ8" s="10">
        <f>IF(COUNT(CZ6,CZ7)=2,CZ6*CZ7,"")</f>
        <v/>
      </c>
      <c r="DA8" s="10">
        <f>DA6*DA7</f>
        <v/>
      </c>
      <c r="DB8" s="10">
        <f>DB6*DB7</f>
        <v/>
      </c>
      <c r="DC8" s="11">
        <f>IF(COUNT(DC6,DC7)=2,DC6*DC7,"")</f>
        <v/>
      </c>
      <c r="DD8" s="11">
        <f>DD6*DD7</f>
        <v/>
      </c>
      <c r="DE8" s="11">
        <f>DE6*DE7</f>
        <v/>
      </c>
      <c r="DF8" s="10">
        <f>IF(COUNT(DF6,DF7)=2,DF6*DF7,"")</f>
        <v/>
      </c>
      <c r="DG8" s="10">
        <f>DG6*DG7</f>
        <v/>
      </c>
      <c r="DH8" s="10">
        <f>DH6*DH7</f>
        <v/>
      </c>
      <c r="DI8" s="11">
        <f>IF(COUNT(DI6,DI7)=2,DI6*DI7,"")</f>
        <v/>
      </c>
      <c r="DJ8" s="11">
        <f>DJ6*DJ7</f>
        <v/>
      </c>
      <c r="DK8" s="11">
        <f>DK6*DK7</f>
        <v/>
      </c>
      <c r="DL8" s="10">
        <f>IF(COUNT(DL6,DL7)=2,DL6*DL7,"")</f>
        <v/>
      </c>
      <c r="DM8" s="10">
        <f>DM6*DM7</f>
        <v/>
      </c>
      <c r="DN8" s="10">
        <f>DN6*DN7</f>
        <v/>
      </c>
    </row>
    <row r="9">
      <c r="A9" s="2" t="inlineStr">
        <is>
          <t>Salaries and Wages</t>
        </is>
      </c>
      <c r="B9" s="10">
        <f>IF(COUNT(AR9,AO9,AL9,AI9,AF9,AC9,Z9,W9,T9,Q9,N9,K9)=0,"",SUM(AR9,AO9,AL9,AI9,AF9,AC9,Z9,W9,T9,Q9,N9,K9))</f>
        <v/>
      </c>
      <c r="C9" s="10">
        <f>IF(COUNT(AS9,AP9,AM9,AJ9,AG9,AD9,AA9,X9,U9,R9,O9,L9)=0,"",SUM(AS9,AP9,AM9,AJ9,AG9,AD9,AA9,X9,U9,R9,O9,L9))</f>
        <v/>
      </c>
      <c r="D9" s="10">
        <f>IF(COUNT(AT9,AQ9,AN9,AK9,AH9,AE9,AB9,Y9,V9,S9,P9,M9)=0,"",SUM(AT9,AQ9,AN9,AK9,AH9,AE9,AB9,Y9,V9,S9,P9,M9))</f>
        <v/>
      </c>
      <c r="E9" s="11">
        <f>IF(COUNT(CB9,BY9,BV9,BS9,BP9,BM9,BJ9,BG9,BD9,BA9,AX9,AU9)=0,"",SUM(CB9,BY9,BV9,BS9,BP9,BM9,BJ9,BG9,BD9,BA9,AX9,AU9))</f>
        <v/>
      </c>
      <c r="F9" s="11">
        <f>IF(COUNT(CC9,BZ9,BW9,BT9,BQ9,BN9,BK9,BH9,BE9,BB9,AY9,AV9)=0,"",SUM(CC9,BZ9,BW9,BT9,BQ9,BN9,BK9,BH9,BE9,BB9,AY9,AV9))</f>
        <v/>
      </c>
      <c r="G9" s="11">
        <f>IF(COUNT(CD9,CA9,BX9,BU9,BR9,BO9,BL9,BI9,BF9,BC9,AZ9,AW9)=0,"",SUM(CD9,CA9,BX9,BU9,BR9,BO9,BL9,BI9,BF9,BC9,AZ9,AW9))</f>
        <v/>
      </c>
      <c r="H9" s="10">
        <f>IF(COUNT(DL9,DI9,DF9,DC9,CZ9,CW9,CT9,CQ9,CN9,CK9,CH9,CE9)=0,"",SUM(DL9,DI9,DF9,DC9,CZ9,CW9,CT9,CQ9,CN9,CK9,CH9,CE9))</f>
        <v/>
      </c>
      <c r="I9" s="10">
        <f>IF(COUNT(DM9,DJ9,DG9,DD9,DA9,CX9,CU9,CR9,CO9,CL9,CI9,CF9)=0,"",SUM(DM9,DJ9,DG9,DD9,DA9,CX9,CU9,CR9,CO9,CL9,CI9,CF9))</f>
        <v/>
      </c>
      <c r="J9" s="10">
        <f>IF(COUNT(DN9,DK9,DH9,DE9,DB9,CY9,CV9,CS9,CP9,CM9,CJ9,CG9)=0,"",SUM(DN9,DK9,DH9,DE9,DB9,CY9,CV9,CS9,CP9,CM9,CJ9,CG9))</f>
        <v/>
      </c>
      <c r="K9" s="11">
        <f>IF(COUNT(K51)=1,K51,"")</f>
        <v/>
      </c>
      <c r="L9" s="11">
        <f>L51</f>
        <v/>
      </c>
      <c r="M9" s="11">
        <f>M51</f>
        <v/>
      </c>
      <c r="N9" s="10">
        <f>IF(COUNT(N51)=1,N51,"")</f>
        <v/>
      </c>
      <c r="O9" s="10">
        <f>O51</f>
        <v/>
      </c>
      <c r="P9" s="10">
        <f>P51</f>
        <v/>
      </c>
      <c r="Q9" s="11">
        <f>IF(COUNT(Q51)=1,Q51,"")</f>
        <v/>
      </c>
      <c r="R9" s="11">
        <f>R51</f>
        <v/>
      </c>
      <c r="S9" s="11">
        <f>S51</f>
        <v/>
      </c>
      <c r="T9" s="10">
        <f>IF(COUNT(T51)=1,T51,"")</f>
        <v/>
      </c>
      <c r="U9" s="10">
        <f>U51</f>
        <v/>
      </c>
      <c r="V9" s="10">
        <f>V51</f>
        <v/>
      </c>
      <c r="W9" s="11">
        <f>IF(COUNT(W51)=1,W51,"")</f>
        <v/>
      </c>
      <c r="X9" s="11">
        <f>X51</f>
        <v/>
      </c>
      <c r="Y9" s="11">
        <f>Y51</f>
        <v/>
      </c>
      <c r="Z9" s="10">
        <f>IF(COUNT(Z51)=1,Z51,"")</f>
        <v/>
      </c>
      <c r="AA9" s="10">
        <f>AA51</f>
        <v/>
      </c>
      <c r="AB9" s="10">
        <f>AB51</f>
        <v/>
      </c>
      <c r="AC9" s="11">
        <f>IF(COUNT(AC51)=1,AC51,"")</f>
        <v/>
      </c>
      <c r="AD9" s="11">
        <f>AD51</f>
        <v/>
      </c>
      <c r="AE9" s="11">
        <f>AE51</f>
        <v/>
      </c>
      <c r="AF9" s="10">
        <f>IF(COUNT(AF51)=1,AF51,"")</f>
        <v/>
      </c>
      <c r="AG9" s="10">
        <f>AG51</f>
        <v/>
      </c>
      <c r="AH9" s="10">
        <f>AH51</f>
        <v/>
      </c>
      <c r="AI9" s="11">
        <f>IF(COUNT(AI51)=1,AI51,"")</f>
        <v/>
      </c>
      <c r="AJ9" s="11">
        <f>AJ51</f>
        <v/>
      </c>
      <c r="AK9" s="11">
        <f>AK51</f>
        <v/>
      </c>
      <c r="AL9" s="10">
        <f>IF(COUNT(AL51)=1,AL51,"")</f>
        <v/>
      </c>
      <c r="AM9" s="10">
        <f>AM51</f>
        <v/>
      </c>
      <c r="AN9" s="10">
        <f>AN51</f>
        <v/>
      </c>
      <c r="AO9" s="11">
        <f>IF(COUNT(AO51)=1,AO51,"")</f>
        <v/>
      </c>
      <c r="AP9" s="11">
        <f>AP51</f>
        <v/>
      </c>
      <c r="AQ9" s="11">
        <f>AQ51</f>
        <v/>
      </c>
      <c r="AR9" s="10">
        <f>IF(COUNT(AR51)=1,AR51,"")</f>
        <v/>
      </c>
      <c r="AS9" s="10">
        <f>AS51</f>
        <v/>
      </c>
      <c r="AT9" s="10">
        <f>AT51</f>
        <v/>
      </c>
      <c r="AU9" s="11">
        <f>IF(COUNT(AU51)=1,AU51,"")</f>
        <v/>
      </c>
      <c r="AV9" s="11">
        <f>AV51</f>
        <v/>
      </c>
      <c r="AW9" s="11">
        <f>AW51</f>
        <v/>
      </c>
      <c r="AX9" s="10">
        <f>IF(COUNT(AX51)=1,AX51,"")</f>
        <v/>
      </c>
      <c r="AY9" s="10">
        <f>AY51</f>
        <v/>
      </c>
      <c r="AZ9" s="10">
        <f>AZ51</f>
        <v/>
      </c>
      <c r="BA9" s="11">
        <f>IF(COUNT(BA51)=1,BA51,"")</f>
        <v/>
      </c>
      <c r="BB9" s="11">
        <f>BB51</f>
        <v/>
      </c>
      <c r="BC9" s="11">
        <f>BC51</f>
        <v/>
      </c>
      <c r="BD9" s="10">
        <f>IF(COUNT(BD51)=1,BD51,"")</f>
        <v/>
      </c>
      <c r="BE9" s="10">
        <f>BE51</f>
        <v/>
      </c>
      <c r="BF9" s="10">
        <f>BF51</f>
        <v/>
      </c>
      <c r="BG9" s="11">
        <f>IF(COUNT(BG51)=1,BG51,"")</f>
        <v/>
      </c>
      <c r="BH9" s="11">
        <f>BH51</f>
        <v/>
      </c>
      <c r="BI9" s="11">
        <f>BI51</f>
        <v/>
      </c>
      <c r="BJ9" s="10">
        <f>IF(COUNT(BJ51)=1,BJ51,"")</f>
        <v/>
      </c>
      <c r="BK9" s="10">
        <f>BK51</f>
        <v/>
      </c>
      <c r="BL9" s="10">
        <f>BL51</f>
        <v/>
      </c>
      <c r="BM9" s="11">
        <f>IF(COUNT(BM51)=1,BM51,"")</f>
        <v/>
      </c>
      <c r="BN9" s="11">
        <f>BN51</f>
        <v/>
      </c>
      <c r="BO9" s="11">
        <f>BO51</f>
        <v/>
      </c>
      <c r="BP9" s="10">
        <f>IF(COUNT(BP51)=1,BP51,"")</f>
        <v/>
      </c>
      <c r="BQ9" s="10">
        <f>BQ51</f>
        <v/>
      </c>
      <c r="BR9" s="10">
        <f>BR51</f>
        <v/>
      </c>
      <c r="BS9" s="11">
        <f>IF(COUNT(BS51)=1,BS51,"")</f>
        <v/>
      </c>
      <c r="BT9" s="11">
        <f>BT51</f>
        <v/>
      </c>
      <c r="BU9" s="11">
        <f>BU51</f>
        <v/>
      </c>
      <c r="BV9" s="10">
        <f>IF(COUNT(BV51)=1,BV51,"")</f>
        <v/>
      </c>
      <c r="BW9" s="10">
        <f>BW51</f>
        <v/>
      </c>
      <c r="BX9" s="10">
        <f>BX51</f>
        <v/>
      </c>
      <c r="BY9" s="11">
        <f>IF(COUNT(BY51)=1,BY51,"")</f>
        <v/>
      </c>
      <c r="BZ9" s="11">
        <f>BZ51</f>
        <v/>
      </c>
      <c r="CA9" s="11">
        <f>CA51</f>
        <v/>
      </c>
      <c r="CB9" s="10">
        <f>IF(COUNT(CB51)=1,CB51,"")</f>
        <v/>
      </c>
      <c r="CC9" s="10">
        <f>CC51</f>
        <v/>
      </c>
      <c r="CD9" s="10">
        <f>CD51</f>
        <v/>
      </c>
      <c r="CE9" s="11">
        <f>IF(COUNT(CE51)=1,CE51,"")</f>
        <v/>
      </c>
      <c r="CF9" s="11">
        <f>CF51</f>
        <v/>
      </c>
      <c r="CG9" s="11">
        <f>CG51</f>
        <v/>
      </c>
      <c r="CH9" s="10">
        <f>IF(COUNT(CH51)=1,CH51,"")</f>
        <v/>
      </c>
      <c r="CI9" s="10">
        <f>CI51</f>
        <v/>
      </c>
      <c r="CJ9" s="10">
        <f>CJ51</f>
        <v/>
      </c>
      <c r="CK9" s="11">
        <f>IF(COUNT(CK51)=1,CK51,"")</f>
        <v/>
      </c>
      <c r="CL9" s="11">
        <f>CL51</f>
        <v/>
      </c>
      <c r="CM9" s="11">
        <f>CM51</f>
        <v/>
      </c>
      <c r="CN9" s="10">
        <f>IF(COUNT(CN51)=1,CN51,"")</f>
        <v/>
      </c>
      <c r="CO9" s="10">
        <f>CO51</f>
        <v/>
      </c>
      <c r="CP9" s="10">
        <f>CP51</f>
        <v/>
      </c>
      <c r="CQ9" s="11">
        <f>IF(COUNT(CQ51)=1,CQ51,"")</f>
        <v/>
      </c>
      <c r="CR9" s="11">
        <f>CR51</f>
        <v/>
      </c>
      <c r="CS9" s="11">
        <f>CS51</f>
        <v/>
      </c>
      <c r="CT9" s="10">
        <f>IF(COUNT(CT51)=1,CT51,"")</f>
        <v/>
      </c>
      <c r="CU9" s="10">
        <f>CU51</f>
        <v/>
      </c>
      <c r="CV9" s="10">
        <f>CV51</f>
        <v/>
      </c>
      <c r="CW9" s="11">
        <f>IF(COUNT(CW51)=1,CW51,"")</f>
        <v/>
      </c>
      <c r="CX9" s="11">
        <f>CX51</f>
        <v/>
      </c>
      <c r="CY9" s="11">
        <f>CY51</f>
        <v/>
      </c>
      <c r="CZ9" s="10">
        <f>IF(COUNT(CZ51)=1,CZ51,"")</f>
        <v/>
      </c>
      <c r="DA9" s="10">
        <f>DA51</f>
        <v/>
      </c>
      <c r="DB9" s="10">
        <f>DB51</f>
        <v/>
      </c>
      <c r="DC9" s="11">
        <f>IF(COUNT(DC51)=1,DC51,"")</f>
        <v/>
      </c>
      <c r="DD9" s="11">
        <f>DD51</f>
        <v/>
      </c>
      <c r="DE9" s="11">
        <f>DE51</f>
        <v/>
      </c>
      <c r="DF9" s="10">
        <f>IF(COUNT(DF51)=1,DF51,"")</f>
        <v/>
      </c>
      <c r="DG9" s="10">
        <f>DG51</f>
        <v/>
      </c>
      <c r="DH9" s="10">
        <f>DH51</f>
        <v/>
      </c>
      <c r="DI9" s="11">
        <f>IF(COUNT(DI51)=1,DI51,"")</f>
        <v/>
      </c>
      <c r="DJ9" s="11">
        <f>DJ51</f>
        <v/>
      </c>
      <c r="DK9" s="11">
        <f>DK51</f>
        <v/>
      </c>
      <c r="DL9" s="10">
        <f>IF(COUNT(DL51)=1,DL51,"")</f>
        <v/>
      </c>
      <c r="DM9" s="10">
        <f>DM51</f>
        <v/>
      </c>
      <c r="DN9" s="10">
        <f>DN51</f>
        <v/>
      </c>
    </row>
    <row r="10">
      <c r="A10" s="2" t="inlineStr">
        <is>
          <t>Bonuses</t>
        </is>
      </c>
      <c r="B10" s="10">
        <f>IF(COUNT(AR10,AO10,AL10,AI10,AF10,AC10,Z10,W10,T10,Q10,N10,K10)=0,"",SUM(AR10,AO10,AL10,AI10,AF10,AC10,Z10,W10,T10,Q10,N10,K10))</f>
        <v/>
      </c>
      <c r="C10" s="10">
        <f>IF(COUNT(AS10,AP10,AM10,AJ10,AG10,AD10,AA10,X10,U10,R10,O10,L10)=0,"",SUM(AS10,AP10,AM10,AJ10,AG10,AD10,AA10,X10,U10,R10,O10,L10))</f>
        <v/>
      </c>
      <c r="D10" s="10">
        <f>IF(COUNT(AT10,AQ10,AN10,AK10,AH10,AE10,AB10,Y10,V10,S10,P10,M10)=0,"",SUM(AT10,AQ10,AN10,AK10,AH10,AE10,AB10,Y10,V10,S10,P10,M10))</f>
        <v/>
      </c>
      <c r="E10" s="11">
        <f>IF(COUNT(CB10,BY10,BV10,BS10,BP10,BM10,BJ10,BG10,BD10,BA10,AX10,AU10)=0,"",SUM(CB10,BY10,BV10,BS10,BP10,BM10,BJ10,BG10,BD10,BA10,AX10,AU10))</f>
        <v/>
      </c>
      <c r="F10" s="11">
        <f>IF(COUNT(CC10,BZ10,BW10,BT10,BQ10,BN10,BK10,BH10,BE10,BB10,AY10,AV10)=0,"",SUM(CC10,BZ10,BW10,BT10,BQ10,BN10,BK10,BH10,BE10,BB10,AY10,AV10))</f>
        <v/>
      </c>
      <c r="G10" s="11">
        <f>IF(COUNT(CD10,CA10,BX10,BU10,BR10,BO10,BL10,BI10,BF10,BC10,AZ10,AW10)=0,"",SUM(CD10,CA10,BX10,BU10,BR10,BO10,BL10,BI10,BF10,BC10,AZ10,AW10))</f>
        <v/>
      </c>
      <c r="H10" s="10">
        <f>IF(COUNT(DL10,DI10,DF10,DC10,CZ10,CW10,CT10,CQ10,CN10,CK10,CH10,CE10)=0,"",SUM(DL10,DI10,DF10,DC10,CZ10,CW10,CT10,CQ10,CN10,CK10,CH10,CE10))</f>
        <v/>
      </c>
      <c r="I10" s="10">
        <f>IF(COUNT(DM10,DJ10,DG10,DD10,DA10,CX10,CU10,CR10,CO10,CL10,CI10,CF10)=0,"",SUM(DM10,DJ10,DG10,DD10,DA10,CX10,CU10,CR10,CO10,CL10,CI10,CF10))</f>
        <v/>
      </c>
      <c r="J10" s="10">
        <f>IF(COUNT(DN10,DK10,DH10,DE10,DB10,CY10,CV10,CS10,CP10,CM10,CJ10,CG10)=0,"",SUM(DN10,DK10,DH10,DE10,DB10,CY10,CV10,CS10,CP10,CM10,CJ10,CG10))</f>
        <v/>
      </c>
      <c r="K10" s="11" t="n"/>
      <c r="L10" s="11" t="n">
        <v>2000</v>
      </c>
      <c r="M10" s="11" t="n">
        <v>2000</v>
      </c>
      <c r="N10" s="10" t="n"/>
      <c r="O10" s="10" t="n">
        <v>2000</v>
      </c>
      <c r="P10" s="10" t="n">
        <v>2000</v>
      </c>
      <c r="Q10" s="11" t="n"/>
      <c r="R10" s="11" t="n">
        <v>2000</v>
      </c>
      <c r="S10" s="11" t="n">
        <v>2000</v>
      </c>
      <c r="T10" s="10" t="n"/>
      <c r="U10" s="10" t="n">
        <v>2000</v>
      </c>
      <c r="V10" s="10" t="n">
        <v>2000</v>
      </c>
      <c r="W10" s="11" t="n"/>
      <c r="X10" s="11" t="n">
        <v>2000</v>
      </c>
      <c r="Y10" s="11" t="n">
        <v>2000</v>
      </c>
      <c r="Z10" s="10" t="n"/>
      <c r="AA10" s="10" t="n">
        <v>2000</v>
      </c>
      <c r="AB10" s="10" t="n">
        <v>2000</v>
      </c>
      <c r="AC10" s="11" t="n"/>
      <c r="AD10" s="11" t="n">
        <v>2000</v>
      </c>
      <c r="AE10" s="11" t="n">
        <v>2000</v>
      </c>
      <c r="AF10" s="10" t="n"/>
      <c r="AG10" s="10" t="n">
        <v>2000</v>
      </c>
      <c r="AH10" s="10" t="n">
        <v>2000</v>
      </c>
      <c r="AI10" s="11" t="n"/>
      <c r="AJ10" s="11" t="n">
        <v>2000</v>
      </c>
      <c r="AK10" s="11" t="n">
        <v>2000</v>
      </c>
      <c r="AL10" s="10" t="n"/>
      <c r="AM10" s="10" t="n">
        <v>2000</v>
      </c>
      <c r="AN10" s="10" t="n">
        <v>2000</v>
      </c>
      <c r="AO10" s="11" t="n"/>
      <c r="AP10" s="11" t="n">
        <v>2000</v>
      </c>
      <c r="AQ10" s="11" t="n">
        <v>2000</v>
      </c>
      <c r="AR10" s="10" t="n"/>
      <c r="AS10" s="10" t="n">
        <v>2000</v>
      </c>
      <c r="AT10" s="10" t="n">
        <v>2000</v>
      </c>
      <c r="AU10" s="11" t="n"/>
      <c r="AV10" s="11" t="n">
        <v>2000</v>
      </c>
      <c r="AW10" s="11" t="n">
        <v>2000</v>
      </c>
      <c r="AX10" s="10" t="n"/>
      <c r="AY10" s="10" t="n">
        <v>2000</v>
      </c>
      <c r="AZ10" s="10" t="n">
        <v>2000</v>
      </c>
      <c r="BA10" s="11" t="n"/>
      <c r="BB10" s="11" t="n">
        <v>2000</v>
      </c>
      <c r="BC10" s="11" t="n">
        <v>2000</v>
      </c>
      <c r="BD10" s="10" t="n"/>
      <c r="BE10" s="10" t="n">
        <v>2000</v>
      </c>
      <c r="BF10" s="10" t="n">
        <v>2000</v>
      </c>
      <c r="BG10" s="11" t="n"/>
      <c r="BH10" s="11" t="n">
        <v>2000</v>
      </c>
      <c r="BI10" s="11" t="n">
        <v>2000</v>
      </c>
      <c r="BJ10" s="10" t="n"/>
      <c r="BK10" s="10" t="n">
        <v>2000</v>
      </c>
      <c r="BL10" s="10" t="n">
        <v>2000</v>
      </c>
      <c r="BM10" s="11" t="n"/>
      <c r="BN10" s="11" t="n">
        <v>2000</v>
      </c>
      <c r="BO10" s="11" t="n">
        <v>2000</v>
      </c>
      <c r="BP10" s="10" t="n"/>
      <c r="BQ10" s="10" t="n">
        <v>2000</v>
      </c>
      <c r="BR10" s="10" t="n">
        <v>2000</v>
      </c>
      <c r="BS10" s="11" t="n"/>
      <c r="BT10" s="11" t="n">
        <v>2000</v>
      </c>
      <c r="BU10" s="11" t="n">
        <v>2000</v>
      </c>
      <c r="BV10" s="10" t="n"/>
      <c r="BW10" s="10" t="n">
        <v>2000</v>
      </c>
      <c r="BX10" s="10" t="n">
        <v>2000</v>
      </c>
      <c r="BY10" s="11" t="n"/>
      <c r="BZ10" s="11" t="n">
        <v>2000</v>
      </c>
      <c r="CA10" s="11" t="n">
        <v>2000</v>
      </c>
      <c r="CB10" s="10" t="n"/>
      <c r="CC10" s="10" t="n">
        <v>2000</v>
      </c>
      <c r="CD10" s="10" t="n">
        <v>2000</v>
      </c>
      <c r="CE10" s="11" t="n"/>
      <c r="CF10" s="11" t="n">
        <v>2000</v>
      </c>
      <c r="CG10" s="11" t="n">
        <v>2000</v>
      </c>
      <c r="CH10" s="10" t="n"/>
      <c r="CI10" s="10" t="n">
        <v>2000</v>
      </c>
      <c r="CJ10" s="10" t="n">
        <v>2000</v>
      </c>
      <c r="CK10" s="11" t="n"/>
      <c r="CL10" s="11" t="n">
        <v>2000</v>
      </c>
      <c r="CM10" s="11" t="n">
        <v>2000</v>
      </c>
      <c r="CN10" s="10" t="n"/>
      <c r="CO10" s="10" t="n">
        <v>2000</v>
      </c>
      <c r="CP10" s="10" t="n">
        <v>2000</v>
      </c>
      <c r="CQ10" s="11" t="n"/>
      <c r="CR10" s="11" t="n">
        <v>2000</v>
      </c>
      <c r="CS10" s="11" t="n">
        <v>2000</v>
      </c>
      <c r="CT10" s="10" t="n"/>
      <c r="CU10" s="10" t="n">
        <v>2000</v>
      </c>
      <c r="CV10" s="10" t="n">
        <v>2000</v>
      </c>
      <c r="CW10" s="11" t="n"/>
      <c r="CX10" s="11" t="n">
        <v>2000</v>
      </c>
      <c r="CY10" s="11" t="n">
        <v>2000</v>
      </c>
      <c r="CZ10" s="10" t="n"/>
      <c r="DA10" s="10" t="n">
        <v>2000</v>
      </c>
      <c r="DB10" s="10" t="n">
        <v>2000</v>
      </c>
      <c r="DC10" s="11" t="n"/>
      <c r="DD10" s="11" t="n">
        <v>2000</v>
      </c>
      <c r="DE10" s="11" t="n">
        <v>2000</v>
      </c>
      <c r="DF10" s="10" t="n"/>
      <c r="DG10" s="10" t="n">
        <v>2000</v>
      </c>
      <c r="DH10" s="10" t="n">
        <v>2000</v>
      </c>
      <c r="DI10" s="11" t="n">
        <v>2000</v>
      </c>
      <c r="DJ10" s="11" t="n">
        <v>2000</v>
      </c>
      <c r="DK10" s="11" t="n">
        <v>2000</v>
      </c>
      <c r="DL10" s="10" t="n">
        <v>2000</v>
      </c>
      <c r="DM10" s="10" t="n">
        <v>2000</v>
      </c>
      <c r="DN10" s="10" t="n">
        <v>2000</v>
      </c>
    </row>
    <row r="11">
      <c r="A11" s="2" t="inlineStr">
        <is>
          <t>Payroll Taxes and Benefits</t>
        </is>
      </c>
      <c r="B11" s="10">
        <f>IF(COUNT(AR11,AO11,AL11,AI11,AF11,AC11,Z11,W11,T11,Q11,N11,K11)=0,"",SUM(AR11,AO11,AL11,AI11,AF11,AC11,Z11,W11,T11,Q11,N11,K11))</f>
        <v/>
      </c>
      <c r="C11" s="10">
        <f>IF(COUNT(AS11,AP11,AM11,AJ11,AG11,AD11,AA11,X11,U11,R11,O11,L11)=0,"",SUM(AS11,AP11,AM11,AJ11,AG11,AD11,AA11,X11,U11,R11,O11,L11))</f>
        <v/>
      </c>
      <c r="D11" s="10">
        <f>IF(COUNT(AT11,AQ11,AN11,AK11,AH11,AE11,AB11,Y11,V11,S11,P11,M11)=0,"",SUM(AT11,AQ11,AN11,AK11,AH11,AE11,AB11,Y11,V11,S11,P11,M11))</f>
        <v/>
      </c>
      <c r="E11" s="11">
        <f>IF(COUNT(CB11,BY11,BV11,BS11,BP11,BM11,BJ11,BG11,BD11,BA11,AX11,AU11)=0,"",SUM(CB11,BY11,BV11,BS11,BP11,BM11,BJ11,BG11,BD11,BA11,AX11,AU11))</f>
        <v/>
      </c>
      <c r="F11" s="11">
        <f>IF(COUNT(CC11,BZ11,BW11,BT11,BQ11,BN11,BK11,BH11,BE11,BB11,AY11,AV11)=0,"",SUM(CC11,BZ11,BW11,BT11,BQ11,BN11,BK11,BH11,BE11,BB11,AY11,AV11))</f>
        <v/>
      </c>
      <c r="G11" s="11">
        <f>IF(COUNT(CD11,CA11,BX11,BU11,BR11,BO11,BL11,BI11,BF11,BC11,AZ11,AW11)=0,"",SUM(CD11,CA11,BX11,BU11,BR11,BO11,BL11,BI11,BF11,BC11,AZ11,AW11))</f>
        <v/>
      </c>
      <c r="H11" s="10">
        <f>IF(COUNT(DL11,DI11,DF11,DC11,CZ11,CW11,CT11,CQ11,CN11,CK11,CH11,CE11)=0,"",SUM(DL11,DI11,DF11,DC11,CZ11,CW11,CT11,CQ11,CN11,CK11,CH11,CE11))</f>
        <v/>
      </c>
      <c r="I11" s="10">
        <f>IF(COUNT(DM11,DJ11,DG11,DD11,DA11,CX11,CU11,CR11,CO11,CL11,CI11,CF11)=0,"",SUM(DM11,DJ11,DG11,DD11,DA11,CX11,CU11,CR11,CO11,CL11,CI11,CF11))</f>
        <v/>
      </c>
      <c r="J11" s="10">
        <f>IF(COUNT(DN11,DK11,DH11,DE11,DB11,CY11,CV11,CS11,CP11,CM11,CJ11,CG11)=0,"",SUM(DN11,DK11,DH11,DE11,DB11,CY11,CV11,CS11,CP11,CM11,CJ11,CG11))</f>
        <v/>
      </c>
      <c r="K11" s="11">
        <f>IF(COUNT(K9)=1,K9*0.22,"")</f>
        <v/>
      </c>
      <c r="L11" s="11">
        <f>L9*0.22</f>
        <v/>
      </c>
      <c r="M11" s="11">
        <f>M9*0.22</f>
        <v/>
      </c>
      <c r="N11" s="10">
        <f>IF(COUNT(N9)=1,N9*0.22,"")</f>
        <v/>
      </c>
      <c r="O11" s="10">
        <f>O9*0.22</f>
        <v/>
      </c>
      <c r="P11" s="10">
        <f>P9*0.22</f>
        <v/>
      </c>
      <c r="Q11" s="11">
        <f>IF(COUNT(Q9)=1,Q9*0.22,"")</f>
        <v/>
      </c>
      <c r="R11" s="11">
        <f>R9*0.22</f>
        <v/>
      </c>
      <c r="S11" s="11">
        <f>S9*0.22</f>
        <v/>
      </c>
      <c r="T11" s="10">
        <f>IF(COUNT(T9)=1,T9*0.22,"")</f>
        <v/>
      </c>
      <c r="U11" s="10">
        <f>U9*0.22</f>
        <v/>
      </c>
      <c r="V11" s="10">
        <f>V9*0.22</f>
        <v/>
      </c>
      <c r="W11" s="11">
        <f>IF(COUNT(W9)=1,W9*0.22,"")</f>
        <v/>
      </c>
      <c r="X11" s="11">
        <f>X9*0.22</f>
        <v/>
      </c>
      <c r="Y11" s="11">
        <f>Y9*0.22</f>
        <v/>
      </c>
      <c r="Z11" s="10">
        <f>IF(COUNT(Z9)=1,Z9*0.22,"")</f>
        <v/>
      </c>
      <c r="AA11" s="10">
        <f>AA9*0.22</f>
        <v/>
      </c>
      <c r="AB11" s="10">
        <f>AB9*0.22</f>
        <v/>
      </c>
      <c r="AC11" s="11">
        <f>IF(COUNT(AC9)=1,AC9*0.22,"")</f>
        <v/>
      </c>
      <c r="AD11" s="11">
        <f>AD9*0.22</f>
        <v/>
      </c>
      <c r="AE11" s="11">
        <f>AE9*0.22</f>
        <v/>
      </c>
      <c r="AF11" s="10">
        <f>IF(COUNT(AF9)=1,AF9*0.22,"")</f>
        <v/>
      </c>
      <c r="AG11" s="10">
        <f>AG9*0.22</f>
        <v/>
      </c>
      <c r="AH11" s="10">
        <f>AH9*0.22</f>
        <v/>
      </c>
      <c r="AI11" s="11">
        <f>IF(COUNT(AI9)=1,AI9*0.22,"")</f>
        <v/>
      </c>
      <c r="AJ11" s="11">
        <f>AJ9*0.22</f>
        <v/>
      </c>
      <c r="AK11" s="11">
        <f>AK9*0.22</f>
        <v/>
      </c>
      <c r="AL11" s="10">
        <f>IF(COUNT(AL9)=1,AL9*0.22,"")</f>
        <v/>
      </c>
      <c r="AM11" s="10">
        <f>AM9*0.22</f>
        <v/>
      </c>
      <c r="AN11" s="10">
        <f>AN9*0.22</f>
        <v/>
      </c>
      <c r="AO11" s="11">
        <f>IF(COUNT(AO9)=1,AO9*0.22,"")</f>
        <v/>
      </c>
      <c r="AP11" s="11">
        <f>AP9*0.22</f>
        <v/>
      </c>
      <c r="AQ11" s="11">
        <f>AQ9*0.22</f>
        <v/>
      </c>
      <c r="AR11" s="10">
        <f>IF(COUNT(AR9)=1,AR9*0.22,"")</f>
        <v/>
      </c>
      <c r="AS11" s="10">
        <f>AS9*0.22</f>
        <v/>
      </c>
      <c r="AT11" s="10">
        <f>AT9*0.22</f>
        <v/>
      </c>
      <c r="AU11" s="11">
        <f>IF(COUNT(AU9)=1,AU9*0.22,"")</f>
        <v/>
      </c>
      <c r="AV11" s="11">
        <f>AV9*0.22</f>
        <v/>
      </c>
      <c r="AW11" s="11">
        <f>AW9*0.22</f>
        <v/>
      </c>
      <c r="AX11" s="10">
        <f>IF(COUNT(AX9)=1,AX9*0.22,"")</f>
        <v/>
      </c>
      <c r="AY11" s="10">
        <f>AY9*0.22</f>
        <v/>
      </c>
      <c r="AZ11" s="10">
        <f>AZ9*0.22</f>
        <v/>
      </c>
      <c r="BA11" s="11">
        <f>IF(COUNT(BA9)=1,BA9*0.22,"")</f>
        <v/>
      </c>
      <c r="BB11" s="11">
        <f>BB9*0.22</f>
        <v/>
      </c>
      <c r="BC11" s="11">
        <f>BC9*0.22</f>
        <v/>
      </c>
      <c r="BD11" s="10">
        <f>IF(COUNT(BD9)=1,BD9*0.22,"")</f>
        <v/>
      </c>
      <c r="BE11" s="10">
        <f>BE9*0.22</f>
        <v/>
      </c>
      <c r="BF11" s="10">
        <f>BF9*0.22</f>
        <v/>
      </c>
      <c r="BG11" s="11">
        <f>IF(COUNT(BG9)=1,BG9*0.22,"")</f>
        <v/>
      </c>
      <c r="BH11" s="11">
        <f>BH9*0.22</f>
        <v/>
      </c>
      <c r="BI11" s="11">
        <f>BI9*0.22</f>
        <v/>
      </c>
      <c r="BJ11" s="10">
        <f>IF(COUNT(BJ9)=1,BJ9*0.22,"")</f>
        <v/>
      </c>
      <c r="BK11" s="10">
        <f>BK9*0.22</f>
        <v/>
      </c>
      <c r="BL11" s="10">
        <f>BL9*0.22</f>
        <v/>
      </c>
      <c r="BM11" s="11">
        <f>IF(COUNT(BM9)=1,BM9*0.22,"")</f>
        <v/>
      </c>
      <c r="BN11" s="11">
        <f>BN9*0.22</f>
        <v/>
      </c>
      <c r="BO11" s="11">
        <f>BO9*0.22</f>
        <v/>
      </c>
      <c r="BP11" s="10">
        <f>IF(COUNT(BP9)=1,BP9*0.22,"")</f>
        <v/>
      </c>
      <c r="BQ11" s="10">
        <f>BQ9*0.22</f>
        <v/>
      </c>
      <c r="BR11" s="10">
        <f>BR9*0.22</f>
        <v/>
      </c>
      <c r="BS11" s="11">
        <f>IF(COUNT(BS9)=1,BS9*0.22,"")</f>
        <v/>
      </c>
      <c r="BT11" s="11">
        <f>BT9*0.22</f>
        <v/>
      </c>
      <c r="BU11" s="11">
        <f>BU9*0.22</f>
        <v/>
      </c>
      <c r="BV11" s="10">
        <f>IF(COUNT(BV9)=1,BV9*0.22,"")</f>
        <v/>
      </c>
      <c r="BW11" s="10">
        <f>BW9*0.22</f>
        <v/>
      </c>
      <c r="BX11" s="10">
        <f>BX9*0.22</f>
        <v/>
      </c>
      <c r="BY11" s="11">
        <f>IF(COUNT(BY9)=1,BY9*0.22,"")</f>
        <v/>
      </c>
      <c r="BZ11" s="11">
        <f>BZ9*0.22</f>
        <v/>
      </c>
      <c r="CA11" s="11">
        <f>CA9*0.22</f>
        <v/>
      </c>
      <c r="CB11" s="10">
        <f>IF(COUNT(CB9)=1,CB9*0.22,"")</f>
        <v/>
      </c>
      <c r="CC11" s="10">
        <f>CC9*0.22</f>
        <v/>
      </c>
      <c r="CD11" s="10">
        <f>CD9*0.22</f>
        <v/>
      </c>
      <c r="CE11" s="11">
        <f>IF(COUNT(CE9)=1,CE9*0.22,"")</f>
        <v/>
      </c>
      <c r="CF11" s="11">
        <f>CF9*0.22</f>
        <v/>
      </c>
      <c r="CG11" s="11">
        <f>CG9*0.22</f>
        <v/>
      </c>
      <c r="CH11" s="10">
        <f>IF(COUNT(CH9)=1,CH9*0.22,"")</f>
        <v/>
      </c>
      <c r="CI11" s="10">
        <f>CI9*0.22</f>
        <v/>
      </c>
      <c r="CJ11" s="10">
        <f>CJ9*0.22</f>
        <v/>
      </c>
      <c r="CK11" s="11">
        <f>IF(COUNT(CK9)=1,CK9*0.22,"")</f>
        <v/>
      </c>
      <c r="CL11" s="11">
        <f>CL9*0.22</f>
        <v/>
      </c>
      <c r="CM11" s="11">
        <f>CM9*0.22</f>
        <v/>
      </c>
      <c r="CN11" s="10">
        <f>IF(COUNT(CN9)=1,CN9*0.22,"")</f>
        <v/>
      </c>
      <c r="CO11" s="10">
        <f>CO9*0.22</f>
        <v/>
      </c>
      <c r="CP11" s="10">
        <f>CP9*0.22</f>
        <v/>
      </c>
      <c r="CQ11" s="11">
        <f>IF(COUNT(CQ9)=1,CQ9*0.22,"")</f>
        <v/>
      </c>
      <c r="CR11" s="11">
        <f>CR9*0.22</f>
        <v/>
      </c>
      <c r="CS11" s="11">
        <f>CS9*0.22</f>
        <v/>
      </c>
      <c r="CT11" s="10">
        <f>IF(COUNT(CT9)=1,CT9*0.22,"")</f>
        <v/>
      </c>
      <c r="CU11" s="10">
        <f>CU9*0.22</f>
        <v/>
      </c>
      <c r="CV11" s="10">
        <f>CV9*0.22</f>
        <v/>
      </c>
      <c r="CW11" s="11">
        <f>IF(COUNT(CW9)=1,CW9*0.22,"")</f>
        <v/>
      </c>
      <c r="CX11" s="11">
        <f>CX9*0.22</f>
        <v/>
      </c>
      <c r="CY11" s="11">
        <f>CY9*0.22</f>
        <v/>
      </c>
      <c r="CZ11" s="10">
        <f>IF(COUNT(CZ9)=1,CZ9*0.22,"")</f>
        <v/>
      </c>
      <c r="DA11" s="10">
        <f>DA9*0.22</f>
        <v/>
      </c>
      <c r="DB11" s="10">
        <f>DB9*0.22</f>
        <v/>
      </c>
      <c r="DC11" s="11">
        <f>IF(COUNT(DC9)=1,DC9*0.22,"")</f>
        <v/>
      </c>
      <c r="DD11" s="11">
        <f>DD9*0.22</f>
        <v/>
      </c>
      <c r="DE11" s="11">
        <f>DE9*0.22</f>
        <v/>
      </c>
      <c r="DF11" s="10">
        <f>IF(COUNT(DF9)=1,DF9*0.22,"")</f>
        <v/>
      </c>
      <c r="DG11" s="10">
        <f>DG9*0.22</f>
        <v/>
      </c>
      <c r="DH11" s="10">
        <f>DH9*0.22</f>
        <v/>
      </c>
      <c r="DI11" s="11">
        <f>IF(COUNT(DI9)=1,DI9*0.22,"")</f>
        <v/>
      </c>
      <c r="DJ11" s="11">
        <f>DJ9*0.22</f>
        <v/>
      </c>
      <c r="DK11" s="11">
        <f>DK9*0.22</f>
        <v/>
      </c>
      <c r="DL11" s="10">
        <f>IF(COUNT(DL9)=1,DL9*0.22,"")</f>
        <v/>
      </c>
      <c r="DM11" s="10">
        <f>DM9*0.22</f>
        <v/>
      </c>
      <c r="DN11" s="10">
        <f>DN9*0.22</f>
        <v/>
      </c>
    </row>
    <row r="12">
      <c r="A12" s="2" t="inlineStr">
        <is>
          <t>Contractors and Freelancers</t>
        </is>
      </c>
      <c r="B12" s="10">
        <f>IF(COUNT(AR12,AO12,AL12,AI12,AF12,AC12,Z12,W12,T12,Q12,N12,K12)=0,"",SUM(AR12,AO12,AL12,AI12,AF12,AC12,Z12,W12,T12,Q12,N12,K12))</f>
        <v/>
      </c>
      <c r="C12" s="10">
        <f>IF(COUNT(AS12,AP12,AM12,AJ12,AG12,AD12,AA12,X12,U12,R12,O12,L12)=0,"",SUM(AS12,AP12,AM12,AJ12,AG12,AD12,AA12,X12,U12,R12,O12,L12))</f>
        <v/>
      </c>
      <c r="D12" s="10">
        <f>IF(COUNT(AT12,AQ12,AN12,AK12,AH12,AE12,AB12,Y12,V12,S12,P12,M12)=0,"",SUM(AT12,AQ12,AN12,AK12,AH12,AE12,AB12,Y12,V12,S12,P12,M12))</f>
        <v/>
      </c>
      <c r="E12" s="11">
        <f>IF(COUNT(CB12,BY12,BV12,BS12,BP12,BM12,BJ12,BG12,BD12,BA12,AX12,AU12)=0,"",SUM(CB12,BY12,BV12,BS12,BP12,BM12,BJ12,BG12,BD12,BA12,AX12,AU12))</f>
        <v/>
      </c>
      <c r="F12" s="11">
        <f>IF(COUNT(CC12,BZ12,BW12,BT12,BQ12,BN12,BK12,BH12,BE12,BB12,AY12,AV12)=0,"",SUM(CC12,BZ12,BW12,BT12,BQ12,BN12,BK12,BH12,BE12,BB12,AY12,AV12))</f>
        <v/>
      </c>
      <c r="G12" s="11">
        <f>IF(COUNT(CD12,CA12,BX12,BU12,BR12,BO12,BL12,BI12,BF12,BC12,AZ12,AW12)=0,"",SUM(CD12,CA12,BX12,BU12,BR12,BO12,BL12,BI12,BF12,BC12,AZ12,AW12))</f>
        <v/>
      </c>
      <c r="H12" s="10">
        <f>IF(COUNT(DL12,DI12,DF12,DC12,CZ12,CW12,CT12,CQ12,CN12,CK12,CH12,CE12)=0,"",SUM(DL12,DI12,DF12,DC12,CZ12,CW12,CT12,CQ12,CN12,CK12,CH12,CE12))</f>
        <v/>
      </c>
      <c r="I12" s="10">
        <f>IF(COUNT(DM12,DJ12,DG12,DD12,DA12,CX12,CU12,CR12,CO12,CL12,CI12,CF12)=0,"",SUM(DM12,DJ12,DG12,DD12,DA12,CX12,CU12,CR12,CO12,CL12,CI12,CF12))</f>
        <v/>
      </c>
      <c r="J12" s="10">
        <f>IF(COUNT(DN12,DK12,DH12,DE12,DB12,CY12,CV12,CS12,CP12,CM12,CJ12,CG12)=0,"",SUM(DN12,DK12,DH12,DE12,DB12,CY12,CV12,CS12,CP12,CM12,CJ12,CG12))</f>
        <v/>
      </c>
      <c r="K12" s="11" t="n"/>
      <c r="L12" s="11" t="n">
        <v>3000</v>
      </c>
      <c r="M12" s="11" t="n">
        <v>3000</v>
      </c>
      <c r="N12" s="10" t="n"/>
      <c r="O12" s="10" t="n">
        <v>3000</v>
      </c>
      <c r="P12" s="10" t="n">
        <v>3000</v>
      </c>
      <c r="Q12" s="11" t="n"/>
      <c r="R12" s="11" t="n">
        <v>3000</v>
      </c>
      <c r="S12" s="11" t="n">
        <v>3000</v>
      </c>
      <c r="T12" s="10" t="n"/>
      <c r="U12" s="10" t="n">
        <v>3000</v>
      </c>
      <c r="V12" s="10" t="n">
        <v>3000</v>
      </c>
      <c r="W12" s="11" t="n"/>
      <c r="X12" s="11" t="n">
        <v>3000</v>
      </c>
      <c r="Y12" s="11" t="n">
        <v>3000</v>
      </c>
      <c r="Z12" s="10" t="n"/>
      <c r="AA12" s="10" t="n">
        <v>3000</v>
      </c>
      <c r="AB12" s="10" t="n">
        <v>3000</v>
      </c>
      <c r="AC12" s="11" t="n"/>
      <c r="AD12" s="11" t="n">
        <v>3000</v>
      </c>
      <c r="AE12" s="11" t="n">
        <v>3000</v>
      </c>
      <c r="AF12" s="10" t="n"/>
      <c r="AG12" s="10" t="n">
        <v>3000</v>
      </c>
      <c r="AH12" s="10" t="n">
        <v>3000</v>
      </c>
      <c r="AI12" s="11" t="n"/>
      <c r="AJ12" s="11" t="n">
        <v>3000</v>
      </c>
      <c r="AK12" s="11" t="n">
        <v>3000</v>
      </c>
      <c r="AL12" s="10" t="n"/>
      <c r="AM12" s="10" t="n">
        <v>3000</v>
      </c>
      <c r="AN12" s="10" t="n">
        <v>3000</v>
      </c>
      <c r="AO12" s="11" t="n"/>
      <c r="AP12" s="11" t="n">
        <v>3000</v>
      </c>
      <c r="AQ12" s="11" t="n">
        <v>3000</v>
      </c>
      <c r="AR12" s="10" t="n"/>
      <c r="AS12" s="10" t="n">
        <v>3000</v>
      </c>
      <c r="AT12" s="10" t="n">
        <v>3000</v>
      </c>
      <c r="AU12" s="11" t="n"/>
      <c r="AV12" s="11" t="n">
        <v>3000</v>
      </c>
      <c r="AW12" s="11" t="n">
        <v>3000</v>
      </c>
      <c r="AX12" s="10" t="n"/>
      <c r="AY12" s="10" t="n">
        <v>3000</v>
      </c>
      <c r="AZ12" s="10" t="n">
        <v>3000</v>
      </c>
      <c r="BA12" s="11" t="n"/>
      <c r="BB12" s="11" t="n">
        <v>3000</v>
      </c>
      <c r="BC12" s="11" t="n">
        <v>3000</v>
      </c>
      <c r="BD12" s="10" t="n"/>
      <c r="BE12" s="10" t="n">
        <v>3000</v>
      </c>
      <c r="BF12" s="10" t="n">
        <v>3000</v>
      </c>
      <c r="BG12" s="11" t="n"/>
      <c r="BH12" s="11" t="n">
        <v>3000</v>
      </c>
      <c r="BI12" s="11" t="n">
        <v>3000</v>
      </c>
      <c r="BJ12" s="10" t="n"/>
      <c r="BK12" s="10" t="n">
        <v>3000</v>
      </c>
      <c r="BL12" s="10" t="n">
        <v>3000</v>
      </c>
      <c r="BM12" s="11" t="n"/>
      <c r="BN12" s="11" t="n">
        <v>3000</v>
      </c>
      <c r="BO12" s="11" t="n">
        <v>3000</v>
      </c>
      <c r="BP12" s="10" t="n"/>
      <c r="BQ12" s="10" t="n">
        <v>3000</v>
      </c>
      <c r="BR12" s="10" t="n">
        <v>3000</v>
      </c>
      <c r="BS12" s="11" t="n"/>
      <c r="BT12" s="11" t="n">
        <v>3000</v>
      </c>
      <c r="BU12" s="11" t="n">
        <v>3000</v>
      </c>
      <c r="BV12" s="10" t="n"/>
      <c r="BW12" s="10" t="n">
        <v>3000</v>
      </c>
      <c r="BX12" s="10" t="n">
        <v>3000</v>
      </c>
      <c r="BY12" s="11" t="n"/>
      <c r="BZ12" s="11" t="n">
        <v>3000</v>
      </c>
      <c r="CA12" s="11" t="n">
        <v>3000</v>
      </c>
      <c r="CB12" s="10" t="n"/>
      <c r="CC12" s="10" t="n">
        <v>3000</v>
      </c>
      <c r="CD12" s="10" t="n">
        <v>3000</v>
      </c>
      <c r="CE12" s="11" t="n"/>
      <c r="CF12" s="11" t="n">
        <v>3000</v>
      </c>
      <c r="CG12" s="11" t="n">
        <v>3000</v>
      </c>
      <c r="CH12" s="10" t="n"/>
      <c r="CI12" s="10" t="n">
        <v>3000</v>
      </c>
      <c r="CJ12" s="10" t="n">
        <v>3000</v>
      </c>
      <c r="CK12" s="11" t="n"/>
      <c r="CL12" s="11" t="n">
        <v>3000</v>
      </c>
      <c r="CM12" s="11" t="n">
        <v>3000</v>
      </c>
      <c r="CN12" s="10" t="n"/>
      <c r="CO12" s="10" t="n">
        <v>3000</v>
      </c>
      <c r="CP12" s="10" t="n">
        <v>3000</v>
      </c>
      <c r="CQ12" s="11" t="n"/>
      <c r="CR12" s="11" t="n">
        <v>3000</v>
      </c>
      <c r="CS12" s="11" t="n">
        <v>3000</v>
      </c>
      <c r="CT12" s="10" t="n"/>
      <c r="CU12" s="10" t="n">
        <v>3000</v>
      </c>
      <c r="CV12" s="10" t="n">
        <v>3000</v>
      </c>
      <c r="CW12" s="11" t="n"/>
      <c r="CX12" s="11" t="n">
        <v>3000</v>
      </c>
      <c r="CY12" s="11" t="n">
        <v>3000</v>
      </c>
      <c r="CZ12" s="10" t="n"/>
      <c r="DA12" s="10" t="n">
        <v>3000</v>
      </c>
      <c r="DB12" s="10" t="n">
        <v>3000</v>
      </c>
      <c r="DC12" s="11" t="n"/>
      <c r="DD12" s="11" t="n">
        <v>3000</v>
      </c>
      <c r="DE12" s="11" t="n">
        <v>3000</v>
      </c>
      <c r="DF12" s="10" t="n"/>
      <c r="DG12" s="10" t="n">
        <v>3000</v>
      </c>
      <c r="DH12" s="10" t="n">
        <v>3000</v>
      </c>
      <c r="DI12" s="11" t="n">
        <v>3000</v>
      </c>
      <c r="DJ12" s="11" t="n">
        <v>3000</v>
      </c>
      <c r="DK12" s="11" t="n">
        <v>3000</v>
      </c>
      <c r="DL12" s="10" t="n">
        <v>3000</v>
      </c>
      <c r="DM12" s="10" t="n">
        <v>3000</v>
      </c>
      <c r="DN12" s="10" t="n">
        <v>3000</v>
      </c>
    </row>
    <row r="13">
      <c r="A13" s="2" t="inlineStr">
        <is>
          <t>Recruiting</t>
        </is>
      </c>
      <c r="B13" s="10">
        <f>IF(COUNT(AR13,AO13,AL13,AI13,AF13,AC13,Z13,W13,T13,Q13,N13,K13)=0,"",SUM(AR13,AO13,AL13,AI13,AF13,AC13,Z13,W13,T13,Q13,N13,K13))</f>
        <v/>
      </c>
      <c r="C13" s="10">
        <f>IF(COUNT(AS13,AP13,AM13,AJ13,AG13,AD13,AA13,X13,U13,R13,O13,L13)=0,"",SUM(AS13,AP13,AM13,AJ13,AG13,AD13,AA13,X13,U13,R13,O13,L13))</f>
        <v/>
      </c>
      <c r="D13" s="10">
        <f>IF(COUNT(AT13,AQ13,AN13,AK13,AH13,AE13,AB13,Y13,V13,S13,P13,M13)=0,"",SUM(AT13,AQ13,AN13,AK13,AH13,AE13,AB13,Y13,V13,S13,P13,M13))</f>
        <v/>
      </c>
      <c r="E13" s="11">
        <f>IF(COUNT(CB13,BY13,BV13,BS13,BP13,BM13,BJ13,BG13,BD13,BA13,AX13,AU13)=0,"",SUM(CB13,BY13,BV13,BS13,BP13,BM13,BJ13,BG13,BD13,BA13,AX13,AU13))</f>
        <v/>
      </c>
      <c r="F13" s="11">
        <f>IF(COUNT(CC13,BZ13,BW13,BT13,BQ13,BN13,BK13,BH13,BE13,BB13,AY13,AV13)=0,"",SUM(CC13,BZ13,BW13,BT13,BQ13,BN13,BK13,BH13,BE13,BB13,AY13,AV13))</f>
        <v/>
      </c>
      <c r="G13" s="11">
        <f>IF(COUNT(CD13,CA13,BX13,BU13,BR13,BO13,BL13,BI13,BF13,BC13,AZ13,AW13)=0,"",SUM(CD13,CA13,BX13,BU13,BR13,BO13,BL13,BI13,BF13,BC13,AZ13,AW13))</f>
        <v/>
      </c>
      <c r="H13" s="10">
        <f>IF(COUNT(DL13,DI13,DF13,DC13,CZ13,CW13,CT13,CQ13,CN13,CK13,CH13,CE13)=0,"",SUM(DL13,DI13,DF13,DC13,CZ13,CW13,CT13,CQ13,CN13,CK13,CH13,CE13))</f>
        <v/>
      </c>
      <c r="I13" s="10">
        <f>IF(COUNT(DM13,DJ13,DG13,DD13,DA13,CX13,CU13,CR13,CO13,CL13,CI13,CF13)=0,"",SUM(DM13,DJ13,DG13,DD13,DA13,CX13,CU13,CR13,CO13,CL13,CI13,CF13))</f>
        <v/>
      </c>
      <c r="J13" s="10">
        <f>IF(COUNT(DN13,DK13,DH13,DE13,DB13,CY13,CV13,CS13,CP13,CM13,CJ13,CG13)=0,"",SUM(DN13,DK13,DH13,DE13,DB13,CY13,CV13,CS13,CP13,CM13,CJ13,CG13))</f>
        <v/>
      </c>
      <c r="K13" s="11" t="n"/>
      <c r="L13" s="11" t="n">
        <v>500</v>
      </c>
      <c r="M13" s="11" t="n">
        <v>500</v>
      </c>
      <c r="N13" s="10" t="n"/>
      <c r="O13" s="10" t="n">
        <v>500</v>
      </c>
      <c r="P13" s="10" t="n">
        <v>500</v>
      </c>
      <c r="Q13" s="11" t="n"/>
      <c r="R13" s="11" t="n">
        <v>500</v>
      </c>
      <c r="S13" s="11" t="n">
        <v>500</v>
      </c>
      <c r="T13" s="10" t="n"/>
      <c r="U13" s="10" t="n">
        <v>500</v>
      </c>
      <c r="V13" s="10" t="n">
        <v>500</v>
      </c>
      <c r="W13" s="11" t="n"/>
      <c r="X13" s="11" t="n">
        <v>500</v>
      </c>
      <c r="Y13" s="11" t="n">
        <v>500</v>
      </c>
      <c r="Z13" s="10" t="n"/>
      <c r="AA13" s="10" t="n">
        <v>500</v>
      </c>
      <c r="AB13" s="10" t="n">
        <v>500</v>
      </c>
      <c r="AC13" s="11" t="n"/>
      <c r="AD13" s="11" t="n">
        <v>500</v>
      </c>
      <c r="AE13" s="11" t="n">
        <v>500</v>
      </c>
      <c r="AF13" s="10" t="n"/>
      <c r="AG13" s="10" t="n">
        <v>500</v>
      </c>
      <c r="AH13" s="10" t="n">
        <v>500</v>
      </c>
      <c r="AI13" s="11" t="n"/>
      <c r="AJ13" s="11" t="n">
        <v>500</v>
      </c>
      <c r="AK13" s="11" t="n">
        <v>500</v>
      </c>
      <c r="AL13" s="10" t="n"/>
      <c r="AM13" s="10" t="n">
        <v>500</v>
      </c>
      <c r="AN13" s="10" t="n">
        <v>500</v>
      </c>
      <c r="AO13" s="11" t="n"/>
      <c r="AP13" s="11" t="n">
        <v>500</v>
      </c>
      <c r="AQ13" s="11" t="n">
        <v>500</v>
      </c>
      <c r="AR13" s="10" t="n"/>
      <c r="AS13" s="10" t="n">
        <v>500</v>
      </c>
      <c r="AT13" s="10" t="n">
        <v>500</v>
      </c>
      <c r="AU13" s="11" t="n"/>
      <c r="AV13" s="11" t="n">
        <v>500</v>
      </c>
      <c r="AW13" s="11" t="n">
        <v>500</v>
      </c>
      <c r="AX13" s="10" t="n"/>
      <c r="AY13" s="10" t="n">
        <v>500</v>
      </c>
      <c r="AZ13" s="10" t="n">
        <v>500</v>
      </c>
      <c r="BA13" s="11" t="n"/>
      <c r="BB13" s="11" t="n">
        <v>500</v>
      </c>
      <c r="BC13" s="11" t="n">
        <v>500</v>
      </c>
      <c r="BD13" s="10" t="n"/>
      <c r="BE13" s="10" t="n">
        <v>500</v>
      </c>
      <c r="BF13" s="10" t="n">
        <v>500</v>
      </c>
      <c r="BG13" s="11" t="n"/>
      <c r="BH13" s="11" t="n">
        <v>500</v>
      </c>
      <c r="BI13" s="11" t="n">
        <v>500</v>
      </c>
      <c r="BJ13" s="10" t="n"/>
      <c r="BK13" s="10" t="n">
        <v>500</v>
      </c>
      <c r="BL13" s="10" t="n">
        <v>500</v>
      </c>
      <c r="BM13" s="11" t="n"/>
      <c r="BN13" s="11" t="n">
        <v>500</v>
      </c>
      <c r="BO13" s="11" t="n">
        <v>500</v>
      </c>
      <c r="BP13" s="10" t="n"/>
      <c r="BQ13" s="10" t="n">
        <v>500</v>
      </c>
      <c r="BR13" s="10" t="n">
        <v>500</v>
      </c>
      <c r="BS13" s="11" t="n"/>
      <c r="BT13" s="11" t="n">
        <v>500</v>
      </c>
      <c r="BU13" s="11" t="n">
        <v>500</v>
      </c>
      <c r="BV13" s="10" t="n"/>
      <c r="BW13" s="10" t="n">
        <v>500</v>
      </c>
      <c r="BX13" s="10" t="n">
        <v>500</v>
      </c>
      <c r="BY13" s="11" t="n"/>
      <c r="BZ13" s="11" t="n">
        <v>500</v>
      </c>
      <c r="CA13" s="11" t="n">
        <v>500</v>
      </c>
      <c r="CB13" s="10" t="n"/>
      <c r="CC13" s="10" t="n">
        <v>500</v>
      </c>
      <c r="CD13" s="10" t="n">
        <v>500</v>
      </c>
      <c r="CE13" s="11" t="n"/>
      <c r="CF13" s="11" t="n">
        <v>500</v>
      </c>
      <c r="CG13" s="11" t="n">
        <v>500</v>
      </c>
      <c r="CH13" s="10" t="n"/>
      <c r="CI13" s="10" t="n">
        <v>500</v>
      </c>
      <c r="CJ13" s="10" t="n">
        <v>500</v>
      </c>
      <c r="CK13" s="11" t="n"/>
      <c r="CL13" s="11" t="n">
        <v>500</v>
      </c>
      <c r="CM13" s="11" t="n">
        <v>500</v>
      </c>
      <c r="CN13" s="10" t="n"/>
      <c r="CO13" s="10" t="n">
        <v>500</v>
      </c>
      <c r="CP13" s="10" t="n">
        <v>500</v>
      </c>
      <c r="CQ13" s="11" t="n"/>
      <c r="CR13" s="11" t="n">
        <v>500</v>
      </c>
      <c r="CS13" s="11" t="n">
        <v>500</v>
      </c>
      <c r="CT13" s="10" t="n"/>
      <c r="CU13" s="10" t="n">
        <v>500</v>
      </c>
      <c r="CV13" s="10" t="n">
        <v>500</v>
      </c>
      <c r="CW13" s="11" t="n"/>
      <c r="CX13" s="11" t="n">
        <v>500</v>
      </c>
      <c r="CY13" s="11" t="n">
        <v>500</v>
      </c>
      <c r="CZ13" s="10" t="n"/>
      <c r="DA13" s="10" t="n">
        <v>500</v>
      </c>
      <c r="DB13" s="10" t="n">
        <v>500</v>
      </c>
      <c r="DC13" s="11" t="n"/>
      <c r="DD13" s="11" t="n">
        <v>500</v>
      </c>
      <c r="DE13" s="11" t="n">
        <v>500</v>
      </c>
      <c r="DF13" s="10" t="n"/>
      <c r="DG13" s="10" t="n">
        <v>500</v>
      </c>
      <c r="DH13" s="10" t="n">
        <v>500</v>
      </c>
      <c r="DI13" s="11" t="n">
        <v>500</v>
      </c>
      <c r="DJ13" s="11" t="n">
        <v>500</v>
      </c>
      <c r="DK13" s="11" t="n">
        <v>500</v>
      </c>
      <c r="DL13" s="10" t="n">
        <v>500</v>
      </c>
      <c r="DM13" s="10" t="n">
        <v>500</v>
      </c>
      <c r="DN13" s="10" t="n">
        <v>500</v>
      </c>
    </row>
    <row r="14">
      <c r="A14" s="2" t="inlineStr">
        <is>
          <t>Training and Development</t>
        </is>
      </c>
      <c r="B14" s="10">
        <f>IF(COUNT(AR14,AO14,AL14,AI14,AF14,AC14,Z14,W14,T14,Q14,N14,K14)=0,"",SUM(AR14,AO14,AL14,AI14,AF14,AC14,Z14,W14,T14,Q14,N14,K14))</f>
        <v/>
      </c>
      <c r="C14" s="10">
        <f>IF(COUNT(AS14,AP14,AM14,AJ14,AG14,AD14,AA14,X14,U14,R14,O14,L14)=0,"",SUM(AS14,AP14,AM14,AJ14,AG14,AD14,AA14,X14,U14,R14,O14,L14))</f>
        <v/>
      </c>
      <c r="D14" s="10">
        <f>IF(COUNT(AT14,AQ14,AN14,AK14,AH14,AE14,AB14,Y14,V14,S14,P14,M14)=0,"",SUM(AT14,AQ14,AN14,AK14,AH14,AE14,AB14,Y14,V14,S14,P14,M14))</f>
        <v/>
      </c>
      <c r="E14" s="11">
        <f>IF(COUNT(CB14,BY14,BV14,BS14,BP14,BM14,BJ14,BG14,BD14,BA14,AX14,AU14)=0,"",SUM(CB14,BY14,BV14,BS14,BP14,BM14,BJ14,BG14,BD14,BA14,AX14,AU14))</f>
        <v/>
      </c>
      <c r="F14" s="11">
        <f>IF(COUNT(CC14,BZ14,BW14,BT14,BQ14,BN14,BK14,BH14,BE14,BB14,AY14,AV14)=0,"",SUM(CC14,BZ14,BW14,BT14,BQ14,BN14,BK14,BH14,BE14,BB14,AY14,AV14))</f>
        <v/>
      </c>
      <c r="G14" s="11">
        <f>IF(COUNT(CD14,CA14,BX14,BU14,BR14,BO14,BL14,BI14,BF14,BC14,AZ14,AW14)=0,"",SUM(CD14,CA14,BX14,BU14,BR14,BO14,BL14,BI14,BF14,BC14,AZ14,AW14))</f>
        <v/>
      </c>
      <c r="H14" s="10">
        <f>IF(COUNT(DL14,DI14,DF14,DC14,CZ14,CW14,CT14,CQ14,CN14,CK14,CH14,CE14)=0,"",SUM(DL14,DI14,DF14,DC14,CZ14,CW14,CT14,CQ14,CN14,CK14,CH14,CE14))</f>
        <v/>
      </c>
      <c r="I14" s="10">
        <f>IF(COUNT(DM14,DJ14,DG14,DD14,DA14,CX14,CU14,CR14,CO14,CL14,CI14,CF14)=0,"",SUM(DM14,DJ14,DG14,DD14,DA14,CX14,CU14,CR14,CO14,CL14,CI14,CF14))</f>
        <v/>
      </c>
      <c r="J14" s="10">
        <f>IF(COUNT(DN14,DK14,DH14,DE14,DB14,CY14,CV14,CS14,CP14,CM14,CJ14,CG14)=0,"",SUM(DN14,DK14,DH14,DE14,DB14,CY14,CV14,CS14,CP14,CM14,CJ14,CG14))</f>
        <v/>
      </c>
      <c r="K14" s="11" t="n"/>
      <c r="L14" s="11" t="n">
        <v>500</v>
      </c>
      <c r="M14" s="11" t="n">
        <v>500</v>
      </c>
      <c r="N14" s="10" t="n"/>
      <c r="O14" s="10" t="n">
        <v>500</v>
      </c>
      <c r="P14" s="10" t="n">
        <v>500</v>
      </c>
      <c r="Q14" s="11" t="n"/>
      <c r="R14" s="11" t="n">
        <v>500</v>
      </c>
      <c r="S14" s="11" t="n">
        <v>500</v>
      </c>
      <c r="T14" s="10" t="n"/>
      <c r="U14" s="10" t="n">
        <v>500</v>
      </c>
      <c r="V14" s="10" t="n">
        <v>500</v>
      </c>
      <c r="W14" s="11" t="n"/>
      <c r="X14" s="11" t="n">
        <v>500</v>
      </c>
      <c r="Y14" s="11" t="n">
        <v>500</v>
      </c>
      <c r="Z14" s="10" t="n"/>
      <c r="AA14" s="10" t="n">
        <v>500</v>
      </c>
      <c r="AB14" s="10" t="n">
        <v>500</v>
      </c>
      <c r="AC14" s="11" t="n"/>
      <c r="AD14" s="11" t="n">
        <v>500</v>
      </c>
      <c r="AE14" s="11" t="n">
        <v>500</v>
      </c>
      <c r="AF14" s="10" t="n"/>
      <c r="AG14" s="10" t="n">
        <v>500</v>
      </c>
      <c r="AH14" s="10" t="n">
        <v>500</v>
      </c>
      <c r="AI14" s="11" t="n"/>
      <c r="AJ14" s="11" t="n">
        <v>500</v>
      </c>
      <c r="AK14" s="11" t="n">
        <v>500</v>
      </c>
      <c r="AL14" s="10" t="n"/>
      <c r="AM14" s="10" t="n">
        <v>500</v>
      </c>
      <c r="AN14" s="10" t="n">
        <v>500</v>
      </c>
      <c r="AO14" s="11" t="n"/>
      <c r="AP14" s="11" t="n">
        <v>500</v>
      </c>
      <c r="AQ14" s="11" t="n">
        <v>500</v>
      </c>
      <c r="AR14" s="10" t="n"/>
      <c r="AS14" s="10" t="n">
        <v>500</v>
      </c>
      <c r="AT14" s="10" t="n">
        <v>500</v>
      </c>
      <c r="AU14" s="11" t="n"/>
      <c r="AV14" s="11" t="n">
        <v>500</v>
      </c>
      <c r="AW14" s="11" t="n">
        <v>500</v>
      </c>
      <c r="AX14" s="10" t="n"/>
      <c r="AY14" s="10" t="n">
        <v>500</v>
      </c>
      <c r="AZ14" s="10" t="n">
        <v>500</v>
      </c>
      <c r="BA14" s="11" t="n"/>
      <c r="BB14" s="11" t="n">
        <v>500</v>
      </c>
      <c r="BC14" s="11" t="n">
        <v>500</v>
      </c>
      <c r="BD14" s="10" t="n"/>
      <c r="BE14" s="10" t="n">
        <v>500</v>
      </c>
      <c r="BF14" s="10" t="n">
        <v>500</v>
      </c>
      <c r="BG14" s="11" t="n"/>
      <c r="BH14" s="11" t="n">
        <v>500</v>
      </c>
      <c r="BI14" s="11" t="n">
        <v>500</v>
      </c>
      <c r="BJ14" s="10" t="n"/>
      <c r="BK14" s="10" t="n">
        <v>500</v>
      </c>
      <c r="BL14" s="10" t="n">
        <v>500</v>
      </c>
      <c r="BM14" s="11" t="n"/>
      <c r="BN14" s="11" t="n">
        <v>500</v>
      </c>
      <c r="BO14" s="11" t="n">
        <v>500</v>
      </c>
      <c r="BP14" s="10" t="n"/>
      <c r="BQ14" s="10" t="n">
        <v>500</v>
      </c>
      <c r="BR14" s="10" t="n">
        <v>500</v>
      </c>
      <c r="BS14" s="11" t="n"/>
      <c r="BT14" s="11" t="n">
        <v>500</v>
      </c>
      <c r="BU14" s="11" t="n">
        <v>500</v>
      </c>
      <c r="BV14" s="10" t="n"/>
      <c r="BW14" s="10" t="n">
        <v>500</v>
      </c>
      <c r="BX14" s="10" t="n">
        <v>500</v>
      </c>
      <c r="BY14" s="11" t="n"/>
      <c r="BZ14" s="11" t="n">
        <v>500</v>
      </c>
      <c r="CA14" s="11" t="n">
        <v>500</v>
      </c>
      <c r="CB14" s="10" t="n"/>
      <c r="CC14" s="10" t="n">
        <v>500</v>
      </c>
      <c r="CD14" s="10" t="n">
        <v>500</v>
      </c>
      <c r="CE14" s="11" t="n"/>
      <c r="CF14" s="11" t="n">
        <v>500</v>
      </c>
      <c r="CG14" s="11" t="n">
        <v>500</v>
      </c>
      <c r="CH14" s="10" t="n"/>
      <c r="CI14" s="10" t="n">
        <v>500</v>
      </c>
      <c r="CJ14" s="10" t="n">
        <v>500</v>
      </c>
      <c r="CK14" s="11" t="n"/>
      <c r="CL14" s="11" t="n">
        <v>500</v>
      </c>
      <c r="CM14" s="11" t="n">
        <v>500</v>
      </c>
      <c r="CN14" s="10" t="n"/>
      <c r="CO14" s="10" t="n">
        <v>500</v>
      </c>
      <c r="CP14" s="10" t="n">
        <v>500</v>
      </c>
      <c r="CQ14" s="11" t="n"/>
      <c r="CR14" s="11" t="n">
        <v>500</v>
      </c>
      <c r="CS14" s="11" t="n">
        <v>500</v>
      </c>
      <c r="CT14" s="10" t="n"/>
      <c r="CU14" s="10" t="n">
        <v>500</v>
      </c>
      <c r="CV14" s="10" t="n">
        <v>500</v>
      </c>
      <c r="CW14" s="11" t="n"/>
      <c r="CX14" s="11" t="n">
        <v>500</v>
      </c>
      <c r="CY14" s="11" t="n">
        <v>500</v>
      </c>
      <c r="CZ14" s="10" t="n"/>
      <c r="DA14" s="10" t="n">
        <v>500</v>
      </c>
      <c r="DB14" s="10" t="n">
        <v>500</v>
      </c>
      <c r="DC14" s="11" t="n"/>
      <c r="DD14" s="11" t="n">
        <v>500</v>
      </c>
      <c r="DE14" s="11" t="n">
        <v>500</v>
      </c>
      <c r="DF14" s="10" t="n"/>
      <c r="DG14" s="10" t="n">
        <v>500</v>
      </c>
      <c r="DH14" s="10" t="n">
        <v>500</v>
      </c>
      <c r="DI14" s="11" t="n">
        <v>500</v>
      </c>
      <c r="DJ14" s="11" t="n">
        <v>500</v>
      </c>
      <c r="DK14" s="11" t="n">
        <v>500</v>
      </c>
      <c r="DL14" s="10" t="n">
        <v>500</v>
      </c>
      <c r="DM14" s="10" t="n">
        <v>500</v>
      </c>
      <c r="DN14" s="10" t="n">
        <v>500</v>
      </c>
    </row>
    <row r="15">
      <c r="A15" s="2" t="inlineStr">
        <is>
          <t>Software Subscriptions</t>
        </is>
      </c>
      <c r="B15" s="10">
        <f>IF(COUNT(AR15,AO15,AL15,AI15,AF15,AC15,Z15,W15,T15,Q15,N15,K15)=0,"",SUM(AR15,AO15,AL15,AI15,AF15,AC15,Z15,W15,T15,Q15,N15,K15))</f>
        <v/>
      </c>
      <c r="C15" s="10">
        <f>IF(COUNT(AS15,AP15,AM15,AJ15,AG15,AD15,AA15,X15,U15,R15,O15,L15)=0,"",SUM(AS15,AP15,AM15,AJ15,AG15,AD15,AA15,X15,U15,R15,O15,L15))</f>
        <v/>
      </c>
      <c r="D15" s="10">
        <f>IF(COUNT(AT15,AQ15,AN15,AK15,AH15,AE15,AB15,Y15,V15,S15,P15,M15)=0,"",SUM(AT15,AQ15,AN15,AK15,AH15,AE15,AB15,Y15,V15,S15,P15,M15))</f>
        <v/>
      </c>
      <c r="E15" s="11">
        <f>IF(COUNT(CB15,BY15,BV15,BS15,BP15,BM15,BJ15,BG15,BD15,BA15,AX15,AU15)=0,"",SUM(CB15,BY15,BV15,BS15,BP15,BM15,BJ15,BG15,BD15,BA15,AX15,AU15))</f>
        <v/>
      </c>
      <c r="F15" s="11">
        <f>IF(COUNT(CC15,BZ15,BW15,BT15,BQ15,BN15,BK15,BH15,BE15,BB15,AY15,AV15)=0,"",SUM(CC15,BZ15,BW15,BT15,BQ15,BN15,BK15,BH15,BE15,BB15,AY15,AV15))</f>
        <v/>
      </c>
      <c r="G15" s="11">
        <f>IF(COUNT(CD15,CA15,BX15,BU15,BR15,BO15,BL15,BI15,BF15,BC15,AZ15,AW15)=0,"",SUM(CD15,CA15,BX15,BU15,BR15,BO15,BL15,BI15,BF15,BC15,AZ15,AW15))</f>
        <v/>
      </c>
      <c r="H15" s="10">
        <f>IF(COUNT(DL15,DI15,DF15,DC15,CZ15,CW15,CT15,CQ15,CN15,CK15,CH15,CE15)=0,"",SUM(DL15,DI15,DF15,DC15,CZ15,CW15,CT15,CQ15,CN15,CK15,CH15,CE15))</f>
        <v/>
      </c>
      <c r="I15" s="10">
        <f>IF(COUNT(DM15,DJ15,DG15,DD15,DA15,CX15,CU15,CR15,CO15,CL15,CI15,CF15)=0,"",SUM(DM15,DJ15,DG15,DD15,DA15,CX15,CU15,CR15,CO15,CL15,CI15,CF15))</f>
        <v/>
      </c>
      <c r="J15" s="10">
        <f>IF(COUNT(DN15,DK15,DH15,DE15,DB15,CY15,CV15,CS15,CP15,CM15,CJ15,CG15)=0,"",SUM(DN15,DK15,DH15,DE15,DB15,CY15,CV15,CS15,CP15,CM15,CJ15,CG15))</f>
        <v/>
      </c>
      <c r="K15" s="11" t="n"/>
      <c r="L15" s="11" t="n">
        <v>4000</v>
      </c>
      <c r="M15" s="11" t="n">
        <v>4000</v>
      </c>
      <c r="N15" s="10" t="n"/>
      <c r="O15" s="10" t="n">
        <v>4000</v>
      </c>
      <c r="P15" s="10" t="n">
        <v>4000</v>
      </c>
      <c r="Q15" s="11" t="n"/>
      <c r="R15" s="11" t="n">
        <v>4000</v>
      </c>
      <c r="S15" s="11" t="n">
        <v>4000</v>
      </c>
      <c r="T15" s="10" t="n"/>
      <c r="U15" s="10" t="n">
        <v>4000</v>
      </c>
      <c r="V15" s="10" t="n">
        <v>4000</v>
      </c>
      <c r="W15" s="11" t="n"/>
      <c r="X15" s="11" t="n">
        <v>4000</v>
      </c>
      <c r="Y15" s="11" t="n">
        <v>4000</v>
      </c>
      <c r="Z15" s="10" t="n"/>
      <c r="AA15" s="10" t="n">
        <v>4000</v>
      </c>
      <c r="AB15" s="10" t="n">
        <v>4000</v>
      </c>
      <c r="AC15" s="11" t="n"/>
      <c r="AD15" s="11" t="n">
        <v>4000</v>
      </c>
      <c r="AE15" s="11" t="n">
        <v>4000</v>
      </c>
      <c r="AF15" s="10" t="n"/>
      <c r="AG15" s="10" t="n">
        <v>4000</v>
      </c>
      <c r="AH15" s="10" t="n">
        <v>4000</v>
      </c>
      <c r="AI15" s="11" t="n"/>
      <c r="AJ15" s="11" t="n">
        <v>4000</v>
      </c>
      <c r="AK15" s="11" t="n">
        <v>4000</v>
      </c>
      <c r="AL15" s="10" t="n"/>
      <c r="AM15" s="10" t="n">
        <v>4000</v>
      </c>
      <c r="AN15" s="10" t="n">
        <v>4000</v>
      </c>
      <c r="AO15" s="11" t="n"/>
      <c r="AP15" s="11" t="n">
        <v>4000</v>
      </c>
      <c r="AQ15" s="11" t="n">
        <v>4000</v>
      </c>
      <c r="AR15" s="10" t="n"/>
      <c r="AS15" s="10" t="n">
        <v>4000</v>
      </c>
      <c r="AT15" s="10" t="n">
        <v>4000</v>
      </c>
      <c r="AU15" s="11" t="n"/>
      <c r="AV15" s="11" t="n">
        <v>4000</v>
      </c>
      <c r="AW15" s="11" t="n">
        <v>4000</v>
      </c>
      <c r="AX15" s="10" t="n"/>
      <c r="AY15" s="10" t="n">
        <v>4000</v>
      </c>
      <c r="AZ15" s="10" t="n">
        <v>4000</v>
      </c>
      <c r="BA15" s="11" t="n"/>
      <c r="BB15" s="11" t="n">
        <v>4000</v>
      </c>
      <c r="BC15" s="11" t="n">
        <v>4000</v>
      </c>
      <c r="BD15" s="10" t="n"/>
      <c r="BE15" s="10" t="n">
        <v>4000</v>
      </c>
      <c r="BF15" s="10" t="n">
        <v>4000</v>
      </c>
      <c r="BG15" s="11" t="n"/>
      <c r="BH15" s="11" t="n">
        <v>4000</v>
      </c>
      <c r="BI15" s="11" t="n">
        <v>4000</v>
      </c>
      <c r="BJ15" s="10" t="n"/>
      <c r="BK15" s="10" t="n">
        <v>4000</v>
      </c>
      <c r="BL15" s="10" t="n">
        <v>4000</v>
      </c>
      <c r="BM15" s="11" t="n"/>
      <c r="BN15" s="11" t="n">
        <v>4000</v>
      </c>
      <c r="BO15" s="11" t="n">
        <v>4000</v>
      </c>
      <c r="BP15" s="10" t="n"/>
      <c r="BQ15" s="10" t="n">
        <v>4000</v>
      </c>
      <c r="BR15" s="10" t="n">
        <v>4000</v>
      </c>
      <c r="BS15" s="11" t="n"/>
      <c r="BT15" s="11" t="n">
        <v>4000</v>
      </c>
      <c r="BU15" s="11" t="n">
        <v>4000</v>
      </c>
      <c r="BV15" s="10" t="n"/>
      <c r="BW15" s="10" t="n">
        <v>4000</v>
      </c>
      <c r="BX15" s="10" t="n">
        <v>4000</v>
      </c>
      <c r="BY15" s="11" t="n"/>
      <c r="BZ15" s="11" t="n">
        <v>4000</v>
      </c>
      <c r="CA15" s="11" t="n">
        <v>4000</v>
      </c>
      <c r="CB15" s="10" t="n"/>
      <c r="CC15" s="10" t="n">
        <v>4000</v>
      </c>
      <c r="CD15" s="10" t="n">
        <v>4000</v>
      </c>
      <c r="CE15" s="11" t="n"/>
      <c r="CF15" s="11" t="n">
        <v>4000</v>
      </c>
      <c r="CG15" s="11" t="n">
        <v>4000</v>
      </c>
      <c r="CH15" s="10" t="n"/>
      <c r="CI15" s="10" t="n">
        <v>4000</v>
      </c>
      <c r="CJ15" s="10" t="n">
        <v>4000</v>
      </c>
      <c r="CK15" s="11" t="n"/>
      <c r="CL15" s="11" t="n">
        <v>4000</v>
      </c>
      <c r="CM15" s="11" t="n">
        <v>4000</v>
      </c>
      <c r="CN15" s="10" t="n"/>
      <c r="CO15" s="10" t="n">
        <v>4000</v>
      </c>
      <c r="CP15" s="10" t="n">
        <v>4000</v>
      </c>
      <c r="CQ15" s="11" t="n"/>
      <c r="CR15" s="11" t="n">
        <v>4000</v>
      </c>
      <c r="CS15" s="11" t="n">
        <v>4000</v>
      </c>
      <c r="CT15" s="10" t="n"/>
      <c r="CU15" s="10" t="n">
        <v>4000</v>
      </c>
      <c r="CV15" s="10" t="n">
        <v>4000</v>
      </c>
      <c r="CW15" s="11" t="n"/>
      <c r="CX15" s="11" t="n">
        <v>4000</v>
      </c>
      <c r="CY15" s="11" t="n">
        <v>4000</v>
      </c>
      <c r="CZ15" s="10" t="n"/>
      <c r="DA15" s="10" t="n">
        <v>4000</v>
      </c>
      <c r="DB15" s="10" t="n">
        <v>4000</v>
      </c>
      <c r="DC15" s="11" t="n"/>
      <c r="DD15" s="11" t="n">
        <v>4000</v>
      </c>
      <c r="DE15" s="11" t="n">
        <v>4000</v>
      </c>
      <c r="DF15" s="10" t="n"/>
      <c r="DG15" s="10" t="n">
        <v>4000</v>
      </c>
      <c r="DH15" s="10" t="n">
        <v>4000</v>
      </c>
      <c r="DI15" s="11" t="n">
        <v>4000</v>
      </c>
      <c r="DJ15" s="11" t="n">
        <v>4000</v>
      </c>
      <c r="DK15" s="11" t="n">
        <v>4000</v>
      </c>
      <c r="DL15" s="10" t="n">
        <v>4000</v>
      </c>
      <c r="DM15" s="10" t="n">
        <v>4000</v>
      </c>
      <c r="DN15" s="10" t="n">
        <v>4000</v>
      </c>
    </row>
    <row r="16">
      <c r="A16" s="2" t="inlineStr">
        <is>
          <t>Dues and Subscriptions</t>
        </is>
      </c>
      <c r="B16" s="10">
        <f>IF(COUNT(AR16,AO16,AL16,AI16,AF16,AC16,Z16,W16,T16,Q16,N16,K16)=0,"",SUM(AR16,AO16,AL16,AI16,AF16,AC16,Z16,W16,T16,Q16,N16,K16))</f>
        <v/>
      </c>
      <c r="C16" s="10">
        <f>IF(COUNT(AS16,AP16,AM16,AJ16,AG16,AD16,AA16,X16,U16,R16,O16,L16)=0,"",SUM(AS16,AP16,AM16,AJ16,AG16,AD16,AA16,X16,U16,R16,O16,L16))</f>
        <v/>
      </c>
      <c r="D16" s="10">
        <f>IF(COUNT(AT16,AQ16,AN16,AK16,AH16,AE16,AB16,Y16,V16,S16,P16,M16)=0,"",SUM(AT16,AQ16,AN16,AK16,AH16,AE16,AB16,Y16,V16,S16,P16,M16))</f>
        <v/>
      </c>
      <c r="E16" s="11">
        <f>IF(COUNT(CB16,BY16,BV16,BS16,BP16,BM16,BJ16,BG16,BD16,BA16,AX16,AU16)=0,"",SUM(CB16,BY16,BV16,BS16,BP16,BM16,BJ16,BG16,BD16,BA16,AX16,AU16))</f>
        <v/>
      </c>
      <c r="F16" s="11">
        <f>IF(COUNT(CC16,BZ16,BW16,BT16,BQ16,BN16,BK16,BH16,BE16,BB16,AY16,AV16)=0,"",SUM(CC16,BZ16,BW16,BT16,BQ16,BN16,BK16,BH16,BE16,BB16,AY16,AV16))</f>
        <v/>
      </c>
      <c r="G16" s="11">
        <f>IF(COUNT(CD16,CA16,BX16,BU16,BR16,BO16,BL16,BI16,BF16,BC16,AZ16,AW16)=0,"",SUM(CD16,CA16,BX16,BU16,BR16,BO16,BL16,BI16,BF16,BC16,AZ16,AW16))</f>
        <v/>
      </c>
      <c r="H16" s="10">
        <f>IF(COUNT(DL16,DI16,DF16,DC16,CZ16,CW16,CT16,CQ16,CN16,CK16,CH16,CE16)=0,"",SUM(DL16,DI16,DF16,DC16,CZ16,CW16,CT16,CQ16,CN16,CK16,CH16,CE16))</f>
        <v/>
      </c>
      <c r="I16" s="10">
        <f>IF(COUNT(DM16,DJ16,DG16,DD16,DA16,CX16,CU16,CR16,CO16,CL16,CI16,CF16)=0,"",SUM(DM16,DJ16,DG16,DD16,DA16,CX16,CU16,CR16,CO16,CL16,CI16,CF16))</f>
        <v/>
      </c>
      <c r="J16" s="10">
        <f>IF(COUNT(DN16,DK16,DH16,DE16,DB16,CY16,CV16,CS16,CP16,CM16,CJ16,CG16)=0,"",SUM(DN16,DK16,DH16,DE16,DB16,CY16,CV16,CS16,CP16,CM16,CJ16,CG16))</f>
        <v/>
      </c>
      <c r="K16" s="11" t="n"/>
      <c r="L16" s="11" t="n">
        <v>1000</v>
      </c>
      <c r="M16" s="11" t="n">
        <v>1000</v>
      </c>
      <c r="N16" s="10" t="n"/>
      <c r="O16" s="10" t="n">
        <v>1000</v>
      </c>
      <c r="P16" s="10" t="n">
        <v>1000</v>
      </c>
      <c r="Q16" s="11" t="n"/>
      <c r="R16" s="11" t="n">
        <v>1000</v>
      </c>
      <c r="S16" s="11" t="n">
        <v>1000</v>
      </c>
      <c r="T16" s="10" t="n"/>
      <c r="U16" s="10" t="n">
        <v>1000</v>
      </c>
      <c r="V16" s="10" t="n">
        <v>1000</v>
      </c>
      <c r="W16" s="11" t="n"/>
      <c r="X16" s="11" t="n">
        <v>1000</v>
      </c>
      <c r="Y16" s="11" t="n">
        <v>1000</v>
      </c>
      <c r="Z16" s="10" t="n"/>
      <c r="AA16" s="10" t="n">
        <v>1000</v>
      </c>
      <c r="AB16" s="10" t="n">
        <v>1000</v>
      </c>
      <c r="AC16" s="11" t="n"/>
      <c r="AD16" s="11" t="n">
        <v>1000</v>
      </c>
      <c r="AE16" s="11" t="n">
        <v>1000</v>
      </c>
      <c r="AF16" s="10" t="n"/>
      <c r="AG16" s="10" t="n">
        <v>1000</v>
      </c>
      <c r="AH16" s="10" t="n">
        <v>1000</v>
      </c>
      <c r="AI16" s="11" t="n"/>
      <c r="AJ16" s="11" t="n">
        <v>1000</v>
      </c>
      <c r="AK16" s="11" t="n">
        <v>1000</v>
      </c>
      <c r="AL16" s="10" t="n"/>
      <c r="AM16" s="10" t="n">
        <v>1000</v>
      </c>
      <c r="AN16" s="10" t="n">
        <v>1000</v>
      </c>
      <c r="AO16" s="11" t="n"/>
      <c r="AP16" s="11" t="n">
        <v>1000</v>
      </c>
      <c r="AQ16" s="11" t="n">
        <v>1000</v>
      </c>
      <c r="AR16" s="10" t="n"/>
      <c r="AS16" s="10" t="n">
        <v>1000</v>
      </c>
      <c r="AT16" s="10" t="n">
        <v>1000</v>
      </c>
      <c r="AU16" s="11" t="n"/>
      <c r="AV16" s="11" t="n">
        <v>1000</v>
      </c>
      <c r="AW16" s="11" t="n">
        <v>1000</v>
      </c>
      <c r="AX16" s="10" t="n"/>
      <c r="AY16" s="10" t="n">
        <v>1000</v>
      </c>
      <c r="AZ16" s="10" t="n">
        <v>1000</v>
      </c>
      <c r="BA16" s="11" t="n"/>
      <c r="BB16" s="11" t="n">
        <v>1000</v>
      </c>
      <c r="BC16" s="11" t="n">
        <v>1000</v>
      </c>
      <c r="BD16" s="10" t="n"/>
      <c r="BE16" s="10" t="n">
        <v>1000</v>
      </c>
      <c r="BF16" s="10" t="n">
        <v>1000</v>
      </c>
      <c r="BG16" s="11" t="n"/>
      <c r="BH16" s="11" t="n">
        <v>1000</v>
      </c>
      <c r="BI16" s="11" t="n">
        <v>1000</v>
      </c>
      <c r="BJ16" s="10" t="n"/>
      <c r="BK16" s="10" t="n">
        <v>1000</v>
      </c>
      <c r="BL16" s="10" t="n">
        <v>1000</v>
      </c>
      <c r="BM16" s="11" t="n"/>
      <c r="BN16" s="11" t="n">
        <v>1000</v>
      </c>
      <c r="BO16" s="11" t="n">
        <v>1000</v>
      </c>
      <c r="BP16" s="10" t="n"/>
      <c r="BQ16" s="10" t="n">
        <v>1000</v>
      </c>
      <c r="BR16" s="10" t="n">
        <v>1000</v>
      </c>
      <c r="BS16" s="11" t="n"/>
      <c r="BT16" s="11" t="n">
        <v>1000</v>
      </c>
      <c r="BU16" s="11" t="n">
        <v>1000</v>
      </c>
      <c r="BV16" s="10" t="n"/>
      <c r="BW16" s="10" t="n">
        <v>1000</v>
      </c>
      <c r="BX16" s="10" t="n">
        <v>1000</v>
      </c>
      <c r="BY16" s="11" t="n"/>
      <c r="BZ16" s="11" t="n">
        <v>1000</v>
      </c>
      <c r="CA16" s="11" t="n">
        <v>1000</v>
      </c>
      <c r="CB16" s="10" t="n"/>
      <c r="CC16" s="10" t="n">
        <v>1000</v>
      </c>
      <c r="CD16" s="10" t="n">
        <v>1000</v>
      </c>
      <c r="CE16" s="11" t="n"/>
      <c r="CF16" s="11" t="n">
        <v>1000</v>
      </c>
      <c r="CG16" s="11" t="n">
        <v>1000</v>
      </c>
      <c r="CH16" s="10" t="n"/>
      <c r="CI16" s="10" t="n">
        <v>1000</v>
      </c>
      <c r="CJ16" s="10" t="n">
        <v>1000</v>
      </c>
      <c r="CK16" s="11" t="n"/>
      <c r="CL16" s="11" t="n">
        <v>1000</v>
      </c>
      <c r="CM16" s="11" t="n">
        <v>1000</v>
      </c>
      <c r="CN16" s="10" t="n"/>
      <c r="CO16" s="10" t="n">
        <v>1000</v>
      </c>
      <c r="CP16" s="10" t="n">
        <v>1000</v>
      </c>
      <c r="CQ16" s="11" t="n"/>
      <c r="CR16" s="11" t="n">
        <v>1000</v>
      </c>
      <c r="CS16" s="11" t="n">
        <v>1000</v>
      </c>
      <c r="CT16" s="10" t="n"/>
      <c r="CU16" s="10" t="n">
        <v>1000</v>
      </c>
      <c r="CV16" s="10" t="n">
        <v>1000</v>
      </c>
      <c r="CW16" s="11" t="n"/>
      <c r="CX16" s="11" t="n">
        <v>1000</v>
      </c>
      <c r="CY16" s="11" t="n">
        <v>1000</v>
      </c>
      <c r="CZ16" s="10" t="n"/>
      <c r="DA16" s="10" t="n">
        <v>1000</v>
      </c>
      <c r="DB16" s="10" t="n">
        <v>1000</v>
      </c>
      <c r="DC16" s="11" t="n"/>
      <c r="DD16" s="11" t="n">
        <v>1000</v>
      </c>
      <c r="DE16" s="11" t="n">
        <v>1000</v>
      </c>
      <c r="DF16" s="10" t="n"/>
      <c r="DG16" s="10" t="n">
        <v>1000</v>
      </c>
      <c r="DH16" s="10" t="n">
        <v>1000</v>
      </c>
      <c r="DI16" s="11" t="n">
        <v>1000</v>
      </c>
      <c r="DJ16" s="11" t="n">
        <v>1000</v>
      </c>
      <c r="DK16" s="11" t="n">
        <v>1000</v>
      </c>
      <c r="DL16" s="10" t="n">
        <v>1000</v>
      </c>
      <c r="DM16" s="10" t="n">
        <v>1000</v>
      </c>
      <c r="DN16" s="10" t="n">
        <v>1000</v>
      </c>
    </row>
    <row r="17">
      <c r="A17" s="2" t="inlineStr">
        <is>
          <t>Travel, Meals and Entertainment</t>
        </is>
      </c>
      <c r="B17" s="10">
        <f>IF(COUNT(AR17,AO17,AL17,AI17,AF17,AC17,Z17,W17,T17,Q17,N17,K17)=0,"",SUM(AR17,AO17,AL17,AI17,AF17,AC17,Z17,W17,T17,Q17,N17,K17))</f>
        <v/>
      </c>
      <c r="C17" s="10">
        <f>IF(COUNT(AS17,AP17,AM17,AJ17,AG17,AD17,AA17,X17,U17,R17,O17,L17)=0,"",SUM(AS17,AP17,AM17,AJ17,AG17,AD17,AA17,X17,U17,R17,O17,L17))</f>
        <v/>
      </c>
      <c r="D17" s="10">
        <f>IF(COUNT(AT17,AQ17,AN17,AK17,AH17,AE17,AB17,Y17,V17,S17,P17,M17)=0,"",SUM(AT17,AQ17,AN17,AK17,AH17,AE17,AB17,Y17,V17,S17,P17,M17))</f>
        <v/>
      </c>
      <c r="E17" s="11">
        <f>IF(COUNT(CB17,BY17,BV17,BS17,BP17,BM17,BJ17,BG17,BD17,BA17,AX17,AU17)=0,"",SUM(CB17,BY17,BV17,BS17,BP17,BM17,BJ17,BG17,BD17,BA17,AX17,AU17))</f>
        <v/>
      </c>
      <c r="F17" s="11">
        <f>IF(COUNT(CC17,BZ17,BW17,BT17,BQ17,BN17,BK17,BH17,BE17,BB17,AY17,AV17)=0,"",SUM(CC17,BZ17,BW17,BT17,BQ17,BN17,BK17,BH17,BE17,BB17,AY17,AV17))</f>
        <v/>
      </c>
      <c r="G17" s="11">
        <f>IF(COUNT(CD17,CA17,BX17,BU17,BR17,BO17,BL17,BI17,BF17,BC17,AZ17,AW17)=0,"",SUM(CD17,CA17,BX17,BU17,BR17,BO17,BL17,BI17,BF17,BC17,AZ17,AW17))</f>
        <v/>
      </c>
      <c r="H17" s="10">
        <f>IF(COUNT(DL17,DI17,DF17,DC17,CZ17,CW17,CT17,CQ17,CN17,CK17,CH17,CE17)=0,"",SUM(DL17,DI17,DF17,DC17,CZ17,CW17,CT17,CQ17,CN17,CK17,CH17,CE17))</f>
        <v/>
      </c>
      <c r="I17" s="10">
        <f>IF(COUNT(DM17,DJ17,DG17,DD17,DA17,CX17,CU17,CR17,CO17,CL17,CI17,CF17)=0,"",SUM(DM17,DJ17,DG17,DD17,DA17,CX17,CU17,CR17,CO17,CL17,CI17,CF17))</f>
        <v/>
      </c>
      <c r="J17" s="10">
        <f>IF(COUNT(DN17,DK17,DH17,DE17,DB17,CY17,CV17,CS17,CP17,CM17,CJ17,CG17)=0,"",SUM(DN17,DK17,DH17,DE17,DB17,CY17,CV17,CS17,CP17,CM17,CJ17,CG17))</f>
        <v/>
      </c>
      <c r="K17" s="11" t="n"/>
      <c r="L17" s="11" t="n">
        <v>2000</v>
      </c>
      <c r="M17" s="11" t="n">
        <v>2000</v>
      </c>
      <c r="N17" s="10" t="n"/>
      <c r="O17" s="10" t="n">
        <v>2000</v>
      </c>
      <c r="P17" s="10" t="n">
        <v>2000</v>
      </c>
      <c r="Q17" s="11" t="n"/>
      <c r="R17" s="11" t="n">
        <v>2000</v>
      </c>
      <c r="S17" s="11" t="n">
        <v>2000</v>
      </c>
      <c r="T17" s="10" t="n"/>
      <c r="U17" s="10" t="n">
        <v>2000</v>
      </c>
      <c r="V17" s="10" t="n">
        <v>2000</v>
      </c>
      <c r="W17" s="11" t="n"/>
      <c r="X17" s="11" t="n">
        <v>2000</v>
      </c>
      <c r="Y17" s="11" t="n">
        <v>2000</v>
      </c>
      <c r="Z17" s="10" t="n"/>
      <c r="AA17" s="10" t="n">
        <v>2000</v>
      </c>
      <c r="AB17" s="10" t="n">
        <v>2000</v>
      </c>
      <c r="AC17" s="11" t="n"/>
      <c r="AD17" s="11" t="n">
        <v>2000</v>
      </c>
      <c r="AE17" s="11" t="n">
        <v>2000</v>
      </c>
      <c r="AF17" s="10" t="n"/>
      <c r="AG17" s="10" t="n">
        <v>2000</v>
      </c>
      <c r="AH17" s="10" t="n">
        <v>2000</v>
      </c>
      <c r="AI17" s="11" t="n"/>
      <c r="AJ17" s="11" t="n">
        <v>2000</v>
      </c>
      <c r="AK17" s="11" t="n">
        <v>2000</v>
      </c>
      <c r="AL17" s="10" t="n"/>
      <c r="AM17" s="10" t="n">
        <v>2000</v>
      </c>
      <c r="AN17" s="10" t="n">
        <v>2000</v>
      </c>
      <c r="AO17" s="11" t="n"/>
      <c r="AP17" s="11" t="n">
        <v>2000</v>
      </c>
      <c r="AQ17" s="11" t="n">
        <v>2000</v>
      </c>
      <c r="AR17" s="10" t="n"/>
      <c r="AS17" s="10" t="n">
        <v>2000</v>
      </c>
      <c r="AT17" s="10" t="n">
        <v>2000</v>
      </c>
      <c r="AU17" s="11" t="n"/>
      <c r="AV17" s="11" t="n">
        <v>2000</v>
      </c>
      <c r="AW17" s="11" t="n">
        <v>2000</v>
      </c>
      <c r="AX17" s="10" t="n"/>
      <c r="AY17" s="10" t="n">
        <v>2000</v>
      </c>
      <c r="AZ17" s="10" t="n">
        <v>2000</v>
      </c>
      <c r="BA17" s="11" t="n"/>
      <c r="BB17" s="11" t="n">
        <v>2000</v>
      </c>
      <c r="BC17" s="11" t="n">
        <v>2000</v>
      </c>
      <c r="BD17" s="10" t="n"/>
      <c r="BE17" s="10" t="n">
        <v>2000</v>
      </c>
      <c r="BF17" s="10" t="n">
        <v>2000</v>
      </c>
      <c r="BG17" s="11" t="n"/>
      <c r="BH17" s="11" t="n">
        <v>2000</v>
      </c>
      <c r="BI17" s="11" t="n">
        <v>2000</v>
      </c>
      <c r="BJ17" s="10" t="n"/>
      <c r="BK17" s="10" t="n">
        <v>2000</v>
      </c>
      <c r="BL17" s="10" t="n">
        <v>2000</v>
      </c>
      <c r="BM17" s="11" t="n"/>
      <c r="BN17" s="11" t="n">
        <v>2000</v>
      </c>
      <c r="BO17" s="11" t="n">
        <v>2000</v>
      </c>
      <c r="BP17" s="10" t="n"/>
      <c r="BQ17" s="10" t="n">
        <v>2000</v>
      </c>
      <c r="BR17" s="10" t="n">
        <v>2000</v>
      </c>
      <c r="BS17" s="11" t="n"/>
      <c r="BT17" s="11" t="n">
        <v>2000</v>
      </c>
      <c r="BU17" s="11" t="n">
        <v>2000</v>
      </c>
      <c r="BV17" s="10" t="n"/>
      <c r="BW17" s="10" t="n">
        <v>2000</v>
      </c>
      <c r="BX17" s="10" t="n">
        <v>2000</v>
      </c>
      <c r="BY17" s="11" t="n"/>
      <c r="BZ17" s="11" t="n">
        <v>2000</v>
      </c>
      <c r="CA17" s="11" t="n">
        <v>2000</v>
      </c>
      <c r="CB17" s="10" t="n"/>
      <c r="CC17" s="10" t="n">
        <v>2000</v>
      </c>
      <c r="CD17" s="10" t="n">
        <v>2000</v>
      </c>
      <c r="CE17" s="11" t="n"/>
      <c r="CF17" s="11" t="n">
        <v>2000</v>
      </c>
      <c r="CG17" s="11" t="n">
        <v>2000</v>
      </c>
      <c r="CH17" s="10" t="n"/>
      <c r="CI17" s="10" t="n">
        <v>2000</v>
      </c>
      <c r="CJ17" s="10" t="n">
        <v>2000</v>
      </c>
      <c r="CK17" s="11" t="n"/>
      <c r="CL17" s="11" t="n">
        <v>2000</v>
      </c>
      <c r="CM17" s="11" t="n">
        <v>2000</v>
      </c>
      <c r="CN17" s="10" t="n"/>
      <c r="CO17" s="10" t="n">
        <v>2000</v>
      </c>
      <c r="CP17" s="10" t="n">
        <v>2000</v>
      </c>
      <c r="CQ17" s="11" t="n"/>
      <c r="CR17" s="11" t="n">
        <v>2000</v>
      </c>
      <c r="CS17" s="11" t="n">
        <v>2000</v>
      </c>
      <c r="CT17" s="10" t="n"/>
      <c r="CU17" s="10" t="n">
        <v>2000</v>
      </c>
      <c r="CV17" s="10" t="n">
        <v>2000</v>
      </c>
      <c r="CW17" s="11" t="n"/>
      <c r="CX17" s="11" t="n">
        <v>2000</v>
      </c>
      <c r="CY17" s="11" t="n">
        <v>2000</v>
      </c>
      <c r="CZ17" s="10" t="n"/>
      <c r="DA17" s="10" t="n">
        <v>2000</v>
      </c>
      <c r="DB17" s="10" t="n">
        <v>2000</v>
      </c>
      <c r="DC17" s="11" t="n"/>
      <c r="DD17" s="11" t="n">
        <v>2000</v>
      </c>
      <c r="DE17" s="11" t="n">
        <v>2000</v>
      </c>
      <c r="DF17" s="10" t="n"/>
      <c r="DG17" s="10" t="n">
        <v>2000</v>
      </c>
      <c r="DH17" s="10" t="n">
        <v>2000</v>
      </c>
      <c r="DI17" s="11" t="n">
        <v>2000</v>
      </c>
      <c r="DJ17" s="11" t="n">
        <v>2000</v>
      </c>
      <c r="DK17" s="11" t="n">
        <v>2000</v>
      </c>
      <c r="DL17" s="10" t="n">
        <v>2000</v>
      </c>
      <c r="DM17" s="10" t="n">
        <v>2000</v>
      </c>
      <c r="DN17" s="10" t="n">
        <v>2000</v>
      </c>
    </row>
    <row r="18">
      <c r="A18" s="12" t="inlineStr">
        <is>
          <t>Total Standard Department Cost</t>
        </is>
      </c>
      <c r="B18" s="13">
        <f>IF(COUNT(AR18,AO18,AL18,AI18,AF18,AC18,Z18,W18,T18,Q18,N18,K18)=0,"",SUM(AR18,AO18,AL18,AI18,AF18,AC18,Z18,W18,T18,Q18,N18,K18))</f>
        <v/>
      </c>
      <c r="C18" s="13">
        <f>IF(COUNT(AS18,AP18,AM18,AJ18,AG18,AD18,AA18,X18,U18,R18,O18,L18)=0,"",SUM(AS18,AP18,AM18,AJ18,AG18,AD18,AA18,X18,U18,R18,O18,L18))</f>
        <v/>
      </c>
      <c r="D18" s="13">
        <f>IF(COUNT(AT18,AQ18,AN18,AK18,AH18,AE18,AB18,Y18,V18,S18,P18,M18)=0,"",SUM(AT18,AQ18,AN18,AK18,AH18,AE18,AB18,Y18,V18,S18,P18,M18))</f>
        <v/>
      </c>
      <c r="E18" s="14">
        <f>IF(COUNT(CB18,BY18,BV18,BS18,BP18,BM18,BJ18,BG18,BD18,BA18,AX18,AU18)=0,"",SUM(CB18,BY18,BV18,BS18,BP18,BM18,BJ18,BG18,BD18,BA18,AX18,AU18))</f>
        <v/>
      </c>
      <c r="F18" s="14">
        <f>IF(COUNT(CC18,BZ18,BW18,BT18,BQ18,BN18,BK18,BH18,BE18,BB18,AY18,AV18)=0,"",SUM(CC18,BZ18,BW18,BT18,BQ18,BN18,BK18,BH18,BE18,BB18,AY18,AV18))</f>
        <v/>
      </c>
      <c r="G18" s="14">
        <f>IF(COUNT(CD18,CA18,BX18,BU18,BR18,BO18,BL18,BI18,BF18,BC18,AZ18,AW18)=0,"",SUM(CD18,CA18,BX18,BU18,BR18,BO18,BL18,BI18,BF18,BC18,AZ18,AW18))</f>
        <v/>
      </c>
      <c r="H18" s="13">
        <f>IF(COUNT(DL18,DI18,DF18,DC18,CZ18,CW18,CT18,CQ18,CN18,CK18,CH18,CE18)=0,"",SUM(DL18,DI18,DF18,DC18,CZ18,CW18,CT18,CQ18,CN18,CK18,CH18,CE18))</f>
        <v/>
      </c>
      <c r="I18" s="13">
        <f>IF(COUNT(DM18,DJ18,DG18,DD18,DA18,CX18,CU18,CR18,CO18,CL18,CI18,CF18)=0,"",SUM(DM18,DJ18,DG18,DD18,DA18,CX18,CU18,CR18,CO18,CL18,CI18,CF18))</f>
        <v/>
      </c>
      <c r="J18" s="13">
        <f>IF(COUNT(DN18,DK18,DH18,DE18,DB18,CY18,CV18,CS18,CP18,CM18,CJ18,CG18)=0,"",SUM(DN18,DK18,DH18,DE18,DB18,CY18,CV18,CS18,CP18,CM18,CJ18,CG18))</f>
        <v/>
      </c>
      <c r="K18" s="14">
        <f>IF(COUNT(K9,K10,K11,K12,K13,K14,K15,K16,K17)=0,"",SUM(K9:K17))</f>
        <v/>
      </c>
      <c r="L18" s="14">
        <f>SUM(L9:L17)</f>
        <v/>
      </c>
      <c r="M18" s="14">
        <f>SUM(M9:M17)</f>
        <v/>
      </c>
      <c r="N18" s="13">
        <f>IF(COUNT(N9,N10,N11,N12,N13,N14,N15,N16,N17)=0,"",SUM(N9:N17))</f>
        <v/>
      </c>
      <c r="O18" s="13">
        <f>SUM(O9:O17)</f>
        <v/>
      </c>
      <c r="P18" s="13">
        <f>SUM(P9:P17)</f>
        <v/>
      </c>
      <c r="Q18" s="14">
        <f>IF(COUNT(Q9,Q10,Q11,Q12,Q13,Q14,Q15,Q16,Q17)=0,"",SUM(Q9:Q17))</f>
        <v/>
      </c>
      <c r="R18" s="14">
        <f>SUM(R9:R17)</f>
        <v/>
      </c>
      <c r="S18" s="14">
        <f>SUM(S9:S17)</f>
        <v/>
      </c>
      <c r="T18" s="13">
        <f>IF(COUNT(T9,T10,T11,T12,T13,T14,T15,T16,T17)=0,"",SUM(T9:T17))</f>
        <v/>
      </c>
      <c r="U18" s="13">
        <f>SUM(U9:U17)</f>
        <v/>
      </c>
      <c r="V18" s="13">
        <f>SUM(V9:V17)</f>
        <v/>
      </c>
      <c r="W18" s="14">
        <f>IF(COUNT(W9,W10,W11,W12,W13,W14,W15,W16,W17)=0,"",SUM(W9:W17))</f>
        <v/>
      </c>
      <c r="X18" s="14">
        <f>SUM(X9:X17)</f>
        <v/>
      </c>
      <c r="Y18" s="14">
        <f>SUM(Y9:Y17)</f>
        <v/>
      </c>
      <c r="Z18" s="13">
        <f>IF(COUNT(Z9,Z10,Z11,Z12,Z13,Z14,Z15,Z16,Z17)=0,"",SUM(Z9:Z17))</f>
        <v/>
      </c>
      <c r="AA18" s="13">
        <f>SUM(AA9:AA17)</f>
        <v/>
      </c>
      <c r="AB18" s="13">
        <f>SUM(AB9:AB17)</f>
        <v/>
      </c>
      <c r="AC18" s="14">
        <f>IF(COUNT(AC9,AC10,AC11,AC12,AC13,AC14,AC15,AC16,AC17)=0,"",SUM(AC9:AC17))</f>
        <v/>
      </c>
      <c r="AD18" s="14">
        <f>SUM(AD9:AD17)</f>
        <v/>
      </c>
      <c r="AE18" s="14">
        <f>SUM(AE9:AE17)</f>
        <v/>
      </c>
      <c r="AF18" s="13">
        <f>IF(COUNT(AF9,AF10,AF11,AF12,AF13,AF14,AF15,AF16,AF17)=0,"",SUM(AF9:AF17))</f>
        <v/>
      </c>
      <c r="AG18" s="13">
        <f>SUM(AG9:AG17)</f>
        <v/>
      </c>
      <c r="AH18" s="13">
        <f>SUM(AH9:AH17)</f>
        <v/>
      </c>
      <c r="AI18" s="14">
        <f>IF(COUNT(AI9,AI10,AI11,AI12,AI13,AI14,AI15,AI16,AI17)=0,"",SUM(AI9:AI17))</f>
        <v/>
      </c>
      <c r="AJ18" s="14">
        <f>SUM(AJ9:AJ17)</f>
        <v/>
      </c>
      <c r="AK18" s="14">
        <f>SUM(AK9:AK17)</f>
        <v/>
      </c>
      <c r="AL18" s="13">
        <f>IF(COUNT(AL9,AL10,AL11,AL12,AL13,AL14,AL15,AL16,AL17)=0,"",SUM(AL9:AL17))</f>
        <v/>
      </c>
      <c r="AM18" s="13">
        <f>SUM(AM9:AM17)</f>
        <v/>
      </c>
      <c r="AN18" s="13">
        <f>SUM(AN9:AN17)</f>
        <v/>
      </c>
      <c r="AO18" s="14">
        <f>IF(COUNT(AO9,AO10,AO11,AO12,AO13,AO14,AO15,AO16,AO17)=0,"",SUM(AO9:AO17))</f>
        <v/>
      </c>
      <c r="AP18" s="14">
        <f>SUM(AP9:AP17)</f>
        <v/>
      </c>
      <c r="AQ18" s="14">
        <f>SUM(AQ9:AQ17)</f>
        <v/>
      </c>
      <c r="AR18" s="13">
        <f>IF(COUNT(AR9,AR10,AR11,AR12,AR13,AR14,AR15,AR16,AR17)=0,"",SUM(AR9:AR17))</f>
        <v/>
      </c>
      <c r="AS18" s="13">
        <f>SUM(AS9:AS17)</f>
        <v/>
      </c>
      <c r="AT18" s="13">
        <f>SUM(AT9:AT17)</f>
        <v/>
      </c>
      <c r="AU18" s="14">
        <f>IF(COUNT(AU9,AU10,AU11,AU12,AU13,AU14,AU15,AU16,AU17)=0,"",SUM(AU9:AU17))</f>
        <v/>
      </c>
      <c r="AV18" s="14">
        <f>SUM(AV9:AV17)</f>
        <v/>
      </c>
      <c r="AW18" s="14">
        <f>SUM(AW9:AW17)</f>
        <v/>
      </c>
      <c r="AX18" s="13">
        <f>IF(COUNT(AX9,AX10,AX11,AX12,AX13,AX14,AX15,AX16,AX17)=0,"",SUM(AX9:AX17))</f>
        <v/>
      </c>
      <c r="AY18" s="13">
        <f>SUM(AY9:AY17)</f>
        <v/>
      </c>
      <c r="AZ18" s="13">
        <f>SUM(AZ9:AZ17)</f>
        <v/>
      </c>
      <c r="BA18" s="14">
        <f>IF(COUNT(BA9,BA10,BA11,BA12,BA13,BA14,BA15,BA16,BA17)=0,"",SUM(BA9:BA17))</f>
        <v/>
      </c>
      <c r="BB18" s="14">
        <f>SUM(BB9:BB17)</f>
        <v/>
      </c>
      <c r="BC18" s="14">
        <f>SUM(BC9:BC17)</f>
        <v/>
      </c>
      <c r="BD18" s="13">
        <f>IF(COUNT(BD9,BD10,BD11,BD12,BD13,BD14,BD15,BD16,BD17)=0,"",SUM(BD9:BD17))</f>
        <v/>
      </c>
      <c r="BE18" s="13">
        <f>SUM(BE9:BE17)</f>
        <v/>
      </c>
      <c r="BF18" s="13">
        <f>SUM(BF9:BF17)</f>
        <v/>
      </c>
      <c r="BG18" s="14">
        <f>IF(COUNT(BG9,BG10,BG11,BG12,BG13,BG14,BG15,BG16,BG17)=0,"",SUM(BG9:BG17))</f>
        <v/>
      </c>
      <c r="BH18" s="14">
        <f>SUM(BH9:BH17)</f>
        <v/>
      </c>
      <c r="BI18" s="14">
        <f>SUM(BI9:BI17)</f>
        <v/>
      </c>
      <c r="BJ18" s="13">
        <f>IF(COUNT(BJ9,BJ10,BJ11,BJ12,BJ13,BJ14,BJ15,BJ16,BJ17)=0,"",SUM(BJ9:BJ17))</f>
        <v/>
      </c>
      <c r="BK18" s="13">
        <f>SUM(BK9:BK17)</f>
        <v/>
      </c>
      <c r="BL18" s="13">
        <f>SUM(BL9:BL17)</f>
        <v/>
      </c>
      <c r="BM18" s="14">
        <f>IF(COUNT(BM9,BM10,BM11,BM12,BM13,BM14,BM15,BM16,BM17)=0,"",SUM(BM9:BM17))</f>
        <v/>
      </c>
      <c r="BN18" s="14">
        <f>SUM(BN9:BN17)</f>
        <v/>
      </c>
      <c r="BO18" s="14">
        <f>SUM(BO9:BO17)</f>
        <v/>
      </c>
      <c r="BP18" s="13">
        <f>IF(COUNT(BP9,BP10,BP11,BP12,BP13,BP14,BP15,BP16,BP17)=0,"",SUM(BP9:BP17))</f>
        <v/>
      </c>
      <c r="BQ18" s="13">
        <f>SUM(BQ9:BQ17)</f>
        <v/>
      </c>
      <c r="BR18" s="13">
        <f>SUM(BR9:BR17)</f>
        <v/>
      </c>
      <c r="BS18" s="14">
        <f>IF(COUNT(BS9,BS10,BS11,BS12,BS13,BS14,BS15,BS16,BS17)=0,"",SUM(BS9:BS17))</f>
        <v/>
      </c>
      <c r="BT18" s="14">
        <f>SUM(BT9:BT17)</f>
        <v/>
      </c>
      <c r="BU18" s="14">
        <f>SUM(BU9:BU17)</f>
        <v/>
      </c>
      <c r="BV18" s="13">
        <f>IF(COUNT(BV9,BV10,BV11,BV12,BV13,BV14,BV15,BV16,BV17)=0,"",SUM(BV9:BV17))</f>
        <v/>
      </c>
      <c r="BW18" s="13">
        <f>SUM(BW9:BW17)</f>
        <v/>
      </c>
      <c r="BX18" s="13">
        <f>SUM(BX9:BX17)</f>
        <v/>
      </c>
      <c r="BY18" s="14">
        <f>IF(COUNT(BY9,BY10,BY11,BY12,BY13,BY14,BY15,BY16,BY17)=0,"",SUM(BY9:BY17))</f>
        <v/>
      </c>
      <c r="BZ18" s="14">
        <f>SUM(BZ9:BZ17)</f>
        <v/>
      </c>
      <c r="CA18" s="14">
        <f>SUM(CA9:CA17)</f>
        <v/>
      </c>
      <c r="CB18" s="13">
        <f>IF(COUNT(CB9,CB10,CB11,CB12,CB13,CB14,CB15,CB16,CB17)=0,"",SUM(CB9:CB17))</f>
        <v/>
      </c>
      <c r="CC18" s="13">
        <f>SUM(CC9:CC17)</f>
        <v/>
      </c>
      <c r="CD18" s="13">
        <f>SUM(CD9:CD17)</f>
        <v/>
      </c>
      <c r="CE18" s="14">
        <f>IF(COUNT(CE9,CE10,CE11,CE12,CE13,CE14,CE15,CE16,CE17)=0,"",SUM(CE9:CE17))</f>
        <v/>
      </c>
      <c r="CF18" s="14">
        <f>SUM(CF9:CF17)</f>
        <v/>
      </c>
      <c r="CG18" s="14">
        <f>SUM(CG9:CG17)</f>
        <v/>
      </c>
      <c r="CH18" s="13">
        <f>IF(COUNT(CH9,CH10,CH11,CH12,CH13,CH14,CH15,CH16,CH17)=0,"",SUM(CH9:CH17))</f>
        <v/>
      </c>
      <c r="CI18" s="13">
        <f>SUM(CI9:CI17)</f>
        <v/>
      </c>
      <c r="CJ18" s="13">
        <f>SUM(CJ9:CJ17)</f>
        <v/>
      </c>
      <c r="CK18" s="14">
        <f>IF(COUNT(CK9,CK10,CK11,CK12,CK13,CK14,CK15,CK16,CK17)=0,"",SUM(CK9:CK17))</f>
        <v/>
      </c>
      <c r="CL18" s="14">
        <f>SUM(CL9:CL17)</f>
        <v/>
      </c>
      <c r="CM18" s="14">
        <f>SUM(CM9:CM17)</f>
        <v/>
      </c>
      <c r="CN18" s="13">
        <f>IF(COUNT(CN9,CN10,CN11,CN12,CN13,CN14,CN15,CN16,CN17)=0,"",SUM(CN9:CN17))</f>
        <v/>
      </c>
      <c r="CO18" s="13">
        <f>SUM(CO9:CO17)</f>
        <v/>
      </c>
      <c r="CP18" s="13">
        <f>SUM(CP9:CP17)</f>
        <v/>
      </c>
      <c r="CQ18" s="14">
        <f>IF(COUNT(CQ9,CQ10,CQ11,CQ12,CQ13,CQ14,CQ15,CQ16,CQ17)=0,"",SUM(CQ9:CQ17))</f>
        <v/>
      </c>
      <c r="CR18" s="14">
        <f>SUM(CR9:CR17)</f>
        <v/>
      </c>
      <c r="CS18" s="14">
        <f>SUM(CS9:CS17)</f>
        <v/>
      </c>
      <c r="CT18" s="13">
        <f>IF(COUNT(CT9,CT10,CT11,CT12,CT13,CT14,CT15,CT16,CT17)=0,"",SUM(CT9:CT17))</f>
        <v/>
      </c>
      <c r="CU18" s="13">
        <f>SUM(CU9:CU17)</f>
        <v/>
      </c>
      <c r="CV18" s="13">
        <f>SUM(CV9:CV17)</f>
        <v/>
      </c>
      <c r="CW18" s="14">
        <f>IF(COUNT(CW9,CW10,CW11,CW12,CW13,CW14,CW15,CW16,CW17)=0,"",SUM(CW9:CW17))</f>
        <v/>
      </c>
      <c r="CX18" s="14">
        <f>SUM(CX9:CX17)</f>
        <v/>
      </c>
      <c r="CY18" s="14">
        <f>SUM(CY9:CY17)</f>
        <v/>
      </c>
      <c r="CZ18" s="13">
        <f>IF(COUNT(CZ9,CZ10,CZ11,CZ12,CZ13,CZ14,CZ15,CZ16,CZ17)=0,"",SUM(CZ9:CZ17))</f>
        <v/>
      </c>
      <c r="DA18" s="13">
        <f>SUM(DA9:DA17)</f>
        <v/>
      </c>
      <c r="DB18" s="13">
        <f>SUM(DB9:DB17)</f>
        <v/>
      </c>
      <c r="DC18" s="14">
        <f>IF(COUNT(DC9,DC10,DC11,DC12,DC13,DC14,DC15,DC16,DC17)=0,"",SUM(DC9:DC17))</f>
        <v/>
      </c>
      <c r="DD18" s="14">
        <f>SUM(DD9:DD17)</f>
        <v/>
      </c>
      <c r="DE18" s="14">
        <f>SUM(DE9:DE17)</f>
        <v/>
      </c>
      <c r="DF18" s="13">
        <f>IF(COUNT(DF9,DF10,DF11,DF12,DF13,DF14,DF15,DF16,DF17)=0,"",SUM(DF9:DF17))</f>
        <v/>
      </c>
      <c r="DG18" s="13">
        <f>SUM(DG9:DG17)</f>
        <v/>
      </c>
      <c r="DH18" s="13">
        <f>SUM(DH9:DH17)</f>
        <v/>
      </c>
      <c r="DI18" s="14">
        <f>IF(COUNT(DI9,DI10,DI11,DI12,DI13,DI14,DI15,DI16,DI17)=0,"",SUM(DI9:DI17))</f>
        <v/>
      </c>
      <c r="DJ18" s="14">
        <f>SUM(DJ9:DJ17)</f>
        <v/>
      </c>
      <c r="DK18" s="14">
        <f>SUM(DK9:DK17)</f>
        <v/>
      </c>
      <c r="DL18" s="13">
        <f>IF(COUNT(DL9,DL10,DL11,DL12,DL13,DL14,DL15,DL16,DL17)=0,"",SUM(DL9:DL17))</f>
        <v/>
      </c>
      <c r="DM18" s="13">
        <f>SUM(DM9:DM17)</f>
        <v/>
      </c>
      <c r="DN18" s="13">
        <f>SUM(DN9:DN17)</f>
        <v/>
      </c>
    </row>
    <row r="19">
      <c r="A19" s="2" t="inlineStr">
        <is>
          <t>Sales Commissions</t>
        </is>
      </c>
      <c r="B19" s="10">
        <f>IF(COUNT(AR19,AO19,AL19,AI19,AF19,AC19,Z19,W19,T19,Q19,N19,K19)=0,"",SUM(AR19,AO19,AL19,AI19,AF19,AC19,Z19,W19,T19,Q19,N19,K19))</f>
        <v/>
      </c>
      <c r="C19" s="10">
        <f>IF(COUNT(AS19,AP19,AM19,AJ19,AG19,AD19,AA19,X19,U19,R19,O19,L19)=0,"",SUM(AS19,AP19,AM19,AJ19,AG19,AD19,AA19,X19,U19,R19,O19,L19))</f>
        <v/>
      </c>
      <c r="D19" s="10">
        <f>IF(COUNT(AT19,AQ19,AN19,AK19,AH19,AE19,AB19,Y19,V19,S19,P19,M19)=0,"",SUM(AT19,AQ19,AN19,AK19,AH19,AE19,AB19,Y19,V19,S19,P19,M19))</f>
        <v/>
      </c>
      <c r="E19" s="11">
        <f>IF(COUNT(CB19,BY19,BV19,BS19,BP19,BM19,BJ19,BG19,BD19,BA19,AX19,AU19)=0,"",SUM(CB19,BY19,BV19,BS19,BP19,BM19,BJ19,BG19,BD19,BA19,AX19,AU19))</f>
        <v/>
      </c>
      <c r="F19" s="11">
        <f>IF(COUNT(CC19,BZ19,BW19,BT19,BQ19,BN19,BK19,BH19,BE19,BB19,AY19,AV19)=0,"",SUM(CC19,BZ19,BW19,BT19,BQ19,BN19,BK19,BH19,BE19,BB19,AY19,AV19))</f>
        <v/>
      </c>
      <c r="G19" s="11">
        <f>IF(COUNT(CD19,CA19,BX19,BU19,BR19,BO19,BL19,BI19,BF19,BC19,AZ19,AW19)=0,"",SUM(CD19,CA19,BX19,BU19,BR19,BO19,BL19,BI19,BF19,BC19,AZ19,AW19))</f>
        <v/>
      </c>
      <c r="H19" s="10">
        <f>IF(COUNT(DL19,DI19,DF19,DC19,CZ19,CW19,CT19,CQ19,CN19,CK19,CH19,CE19)=0,"",SUM(DL19,DI19,DF19,DC19,CZ19,CW19,CT19,CQ19,CN19,CK19,CH19,CE19))</f>
        <v/>
      </c>
      <c r="I19" s="10">
        <f>IF(COUNT(DM19,DJ19,DG19,DD19,DA19,CX19,CU19,CR19,CO19,CL19,CI19,CF19)=0,"",SUM(DM19,DJ19,DG19,DD19,DA19,CX19,CU19,CR19,CO19,CL19,CI19,CF19))</f>
        <v/>
      </c>
      <c r="J19" s="10">
        <f>IF(COUNT(DN19,DK19,DH19,DE19,DB19,CY19,CV19,CS19,CP19,CM19,CJ19,CG19)=0,"",SUM(DN19,DK19,DH19,DE19,DB19,CY19,CV19,CS19,CP19,CM19,CJ19,CG19))</f>
        <v/>
      </c>
      <c r="K19" s="11">
        <f>IF(COUNT(K6)=1,K6*2000,"")</f>
        <v/>
      </c>
      <c r="L19" s="11">
        <f>L6*2000</f>
        <v/>
      </c>
      <c r="M19" s="11">
        <f>M6*2000</f>
        <v/>
      </c>
      <c r="N19" s="10">
        <f>IF(COUNT(N6)=1,N6*2000,"")</f>
        <v/>
      </c>
      <c r="O19" s="10">
        <f>O6*2000</f>
        <v/>
      </c>
      <c r="P19" s="10">
        <f>P6*2000</f>
        <v/>
      </c>
      <c r="Q19" s="11">
        <f>IF(COUNT(Q6)=1,Q6*2000,"")</f>
        <v/>
      </c>
      <c r="R19" s="11">
        <f>R6*2000</f>
        <v/>
      </c>
      <c r="S19" s="11">
        <f>S6*2000</f>
        <v/>
      </c>
      <c r="T19" s="10">
        <f>IF(COUNT(T6)=1,T6*2000,"")</f>
        <v/>
      </c>
      <c r="U19" s="10">
        <f>U6*2000</f>
        <v/>
      </c>
      <c r="V19" s="10">
        <f>V6*2000</f>
        <v/>
      </c>
      <c r="W19" s="11">
        <f>IF(COUNT(W6)=1,W6*2000,"")</f>
        <v/>
      </c>
      <c r="X19" s="11">
        <f>X6*2000</f>
        <v/>
      </c>
      <c r="Y19" s="11">
        <f>Y6*2000</f>
        <v/>
      </c>
      <c r="Z19" s="10">
        <f>IF(COUNT(Z6)=1,Z6*2000,"")</f>
        <v/>
      </c>
      <c r="AA19" s="10">
        <f>AA6*2000</f>
        <v/>
      </c>
      <c r="AB19" s="10">
        <f>AB6*2000</f>
        <v/>
      </c>
      <c r="AC19" s="11">
        <f>IF(COUNT(AC6)=1,AC6*2000,"")</f>
        <v/>
      </c>
      <c r="AD19" s="11">
        <f>AD6*2000</f>
        <v/>
      </c>
      <c r="AE19" s="11">
        <f>AE6*2000</f>
        <v/>
      </c>
      <c r="AF19" s="10">
        <f>IF(COUNT(AF6)=1,AF6*2000,"")</f>
        <v/>
      </c>
      <c r="AG19" s="10">
        <f>AG6*2000</f>
        <v/>
      </c>
      <c r="AH19" s="10">
        <f>AH6*2000</f>
        <v/>
      </c>
      <c r="AI19" s="11">
        <f>IF(COUNT(AI6)=1,AI6*2000,"")</f>
        <v/>
      </c>
      <c r="AJ19" s="11">
        <f>AJ6*2000</f>
        <v/>
      </c>
      <c r="AK19" s="11">
        <f>AK6*2000</f>
        <v/>
      </c>
      <c r="AL19" s="10">
        <f>IF(COUNT(AL6)=1,AL6*2000,"")</f>
        <v/>
      </c>
      <c r="AM19" s="10">
        <f>AM6*2000</f>
        <v/>
      </c>
      <c r="AN19" s="10">
        <f>AN6*2000</f>
        <v/>
      </c>
      <c r="AO19" s="11">
        <f>IF(COUNT(AO6)=1,AO6*2000,"")</f>
        <v/>
      </c>
      <c r="AP19" s="11">
        <f>AP6*2000</f>
        <v/>
      </c>
      <c r="AQ19" s="11">
        <f>AQ6*2000</f>
        <v/>
      </c>
      <c r="AR19" s="10">
        <f>IF(COUNT(AR6)=1,AR6*2000,"")</f>
        <v/>
      </c>
      <c r="AS19" s="10">
        <f>AS6*2000</f>
        <v/>
      </c>
      <c r="AT19" s="10">
        <f>AT6*2000</f>
        <v/>
      </c>
      <c r="AU19" s="11">
        <f>IF(COUNT(AU6)=1,AU6*2000,"")</f>
        <v/>
      </c>
      <c r="AV19" s="11">
        <f>AV6*2000</f>
        <v/>
      </c>
      <c r="AW19" s="11">
        <f>AW6*2000</f>
        <v/>
      </c>
      <c r="AX19" s="10">
        <f>IF(COUNT(AX6)=1,AX6*2000,"")</f>
        <v/>
      </c>
      <c r="AY19" s="10">
        <f>AY6*2000</f>
        <v/>
      </c>
      <c r="AZ19" s="10">
        <f>AZ6*2000</f>
        <v/>
      </c>
      <c r="BA19" s="11">
        <f>IF(COUNT(BA6)=1,BA6*2000,"")</f>
        <v/>
      </c>
      <c r="BB19" s="11">
        <f>BB6*2000</f>
        <v/>
      </c>
      <c r="BC19" s="11">
        <f>BC6*2000</f>
        <v/>
      </c>
      <c r="BD19" s="10">
        <f>IF(COUNT(BD6)=1,BD6*2000,"")</f>
        <v/>
      </c>
      <c r="BE19" s="10">
        <f>BE6*2000</f>
        <v/>
      </c>
      <c r="BF19" s="10">
        <f>BF6*2000</f>
        <v/>
      </c>
      <c r="BG19" s="11">
        <f>IF(COUNT(BG6)=1,BG6*2000,"")</f>
        <v/>
      </c>
      <c r="BH19" s="11">
        <f>BH6*2000</f>
        <v/>
      </c>
      <c r="BI19" s="11">
        <f>BI6*2000</f>
        <v/>
      </c>
      <c r="BJ19" s="10">
        <f>IF(COUNT(BJ6)=1,BJ6*2000,"")</f>
        <v/>
      </c>
      <c r="BK19" s="10">
        <f>BK6*2000</f>
        <v/>
      </c>
      <c r="BL19" s="10">
        <f>BL6*2000</f>
        <v/>
      </c>
      <c r="BM19" s="11">
        <f>IF(COUNT(BM6)=1,BM6*2000,"")</f>
        <v/>
      </c>
      <c r="BN19" s="11">
        <f>BN6*2000</f>
        <v/>
      </c>
      <c r="BO19" s="11">
        <f>BO6*2000</f>
        <v/>
      </c>
      <c r="BP19" s="10">
        <f>IF(COUNT(BP6)=1,BP6*2000,"")</f>
        <v/>
      </c>
      <c r="BQ19" s="10">
        <f>BQ6*2000</f>
        <v/>
      </c>
      <c r="BR19" s="10">
        <f>BR6*2000</f>
        <v/>
      </c>
      <c r="BS19" s="11">
        <f>IF(COUNT(BS6)=1,BS6*2000,"")</f>
        <v/>
      </c>
      <c r="BT19" s="11">
        <f>BT6*2000</f>
        <v/>
      </c>
      <c r="BU19" s="11">
        <f>BU6*2000</f>
        <v/>
      </c>
      <c r="BV19" s="10">
        <f>IF(COUNT(BV6)=1,BV6*2000,"")</f>
        <v/>
      </c>
      <c r="BW19" s="10">
        <f>BW6*2000</f>
        <v/>
      </c>
      <c r="BX19" s="10">
        <f>BX6*2000</f>
        <v/>
      </c>
      <c r="BY19" s="11">
        <f>IF(COUNT(BY6)=1,BY6*2000,"")</f>
        <v/>
      </c>
      <c r="BZ19" s="11">
        <f>BZ6*2000</f>
        <v/>
      </c>
      <c r="CA19" s="11">
        <f>CA6*2000</f>
        <v/>
      </c>
      <c r="CB19" s="10">
        <f>IF(COUNT(CB6)=1,CB6*2000,"")</f>
        <v/>
      </c>
      <c r="CC19" s="10">
        <f>CC6*2000</f>
        <v/>
      </c>
      <c r="CD19" s="10">
        <f>CD6*2000</f>
        <v/>
      </c>
      <c r="CE19" s="11">
        <f>IF(COUNT(CE6)=1,CE6*2000,"")</f>
        <v/>
      </c>
      <c r="CF19" s="11">
        <f>CF6*2000</f>
        <v/>
      </c>
      <c r="CG19" s="11">
        <f>CG6*2000</f>
        <v/>
      </c>
      <c r="CH19" s="10">
        <f>IF(COUNT(CH6)=1,CH6*2000,"")</f>
        <v/>
      </c>
      <c r="CI19" s="10">
        <f>CI6*2000</f>
        <v/>
      </c>
      <c r="CJ19" s="10">
        <f>CJ6*2000</f>
        <v/>
      </c>
      <c r="CK19" s="11">
        <f>IF(COUNT(CK6)=1,CK6*2000,"")</f>
        <v/>
      </c>
      <c r="CL19" s="11">
        <f>CL6*2000</f>
        <v/>
      </c>
      <c r="CM19" s="11">
        <f>CM6*2000</f>
        <v/>
      </c>
      <c r="CN19" s="10">
        <f>IF(COUNT(CN6)=1,CN6*2000,"")</f>
        <v/>
      </c>
      <c r="CO19" s="10">
        <f>CO6*2000</f>
        <v/>
      </c>
      <c r="CP19" s="10">
        <f>CP6*2000</f>
        <v/>
      </c>
      <c r="CQ19" s="11">
        <f>IF(COUNT(CQ6)=1,CQ6*2000,"")</f>
        <v/>
      </c>
      <c r="CR19" s="11">
        <f>CR6*2000</f>
        <v/>
      </c>
      <c r="CS19" s="11">
        <f>CS6*2000</f>
        <v/>
      </c>
      <c r="CT19" s="10">
        <f>IF(COUNT(CT6)=1,CT6*2000,"")</f>
        <v/>
      </c>
      <c r="CU19" s="10">
        <f>CU6*2000</f>
        <v/>
      </c>
      <c r="CV19" s="10">
        <f>CV6*2000</f>
        <v/>
      </c>
      <c r="CW19" s="11">
        <f>IF(COUNT(CW6)=1,CW6*2000,"")</f>
        <v/>
      </c>
      <c r="CX19" s="11">
        <f>CX6*2000</f>
        <v/>
      </c>
      <c r="CY19" s="11">
        <f>CY6*2000</f>
        <v/>
      </c>
      <c r="CZ19" s="10">
        <f>IF(COUNT(CZ6)=1,CZ6*2000,"")</f>
        <v/>
      </c>
      <c r="DA19" s="10">
        <f>DA6*2000</f>
        <v/>
      </c>
      <c r="DB19" s="10">
        <f>DB6*2000</f>
        <v/>
      </c>
      <c r="DC19" s="11">
        <f>IF(COUNT(DC6)=1,DC6*2000,"")</f>
        <v/>
      </c>
      <c r="DD19" s="11">
        <f>DD6*2000</f>
        <v/>
      </c>
      <c r="DE19" s="11">
        <f>DE6*2000</f>
        <v/>
      </c>
      <c r="DF19" s="10">
        <f>IF(COUNT(DF6)=1,DF6*2000,"")</f>
        <v/>
      </c>
      <c r="DG19" s="10">
        <f>DG6*2000</f>
        <v/>
      </c>
      <c r="DH19" s="10">
        <f>DH6*2000</f>
        <v/>
      </c>
      <c r="DI19" s="11">
        <f>IF(COUNT(DI6)=1,DI6*2000,"")</f>
        <v/>
      </c>
      <c r="DJ19" s="11">
        <f>DJ6*2000</f>
        <v/>
      </c>
      <c r="DK19" s="11">
        <f>DK6*2000</f>
        <v/>
      </c>
      <c r="DL19" s="10">
        <f>IF(COUNT(DL6)=1,DL6*2000,"")</f>
        <v/>
      </c>
      <c r="DM19" s="10">
        <f>DM6*2000</f>
        <v/>
      </c>
      <c r="DN19" s="10">
        <f>DN6*2000</f>
        <v/>
      </c>
    </row>
    <row r="20">
      <c r="A20" s="2" t="inlineStr">
        <is>
          <t>Sales Tools and CRM</t>
        </is>
      </c>
      <c r="B20" s="10">
        <f>IF(COUNT(AR20,AO20,AL20,AI20,AF20,AC20,Z20,W20,T20,Q20,N20,K20)=0,"",SUM(AR20,AO20,AL20,AI20,AF20,AC20,Z20,W20,T20,Q20,N20,K20))</f>
        <v/>
      </c>
      <c r="C20" s="10">
        <f>IF(COUNT(AS20,AP20,AM20,AJ20,AG20,AD20,AA20,X20,U20,R20,O20,L20)=0,"",SUM(AS20,AP20,AM20,AJ20,AG20,AD20,AA20,X20,U20,R20,O20,L20))</f>
        <v/>
      </c>
      <c r="D20" s="10">
        <f>IF(COUNT(AT20,AQ20,AN20,AK20,AH20,AE20,AB20,Y20,V20,S20,P20,M20)=0,"",SUM(AT20,AQ20,AN20,AK20,AH20,AE20,AB20,Y20,V20,S20,P20,M20))</f>
        <v/>
      </c>
      <c r="E20" s="11">
        <f>IF(COUNT(CB20,BY20,BV20,BS20,BP20,BM20,BJ20,BG20,BD20,BA20,AX20,AU20)=0,"",SUM(CB20,BY20,BV20,BS20,BP20,BM20,BJ20,BG20,BD20,BA20,AX20,AU20))</f>
        <v/>
      </c>
      <c r="F20" s="11">
        <f>IF(COUNT(CC20,BZ20,BW20,BT20,BQ20,BN20,BK20,BH20,BE20,BB20,AY20,AV20)=0,"",SUM(CC20,BZ20,BW20,BT20,BQ20,BN20,BK20,BH20,BE20,BB20,AY20,AV20))</f>
        <v/>
      </c>
      <c r="G20" s="11">
        <f>IF(COUNT(CD20,CA20,BX20,BU20,BR20,BO20,BL20,BI20,BF20,BC20,AZ20,AW20)=0,"",SUM(CD20,CA20,BX20,BU20,BR20,BO20,BL20,BI20,BF20,BC20,AZ20,AW20))</f>
        <v/>
      </c>
      <c r="H20" s="10">
        <f>IF(COUNT(DL20,DI20,DF20,DC20,CZ20,CW20,CT20,CQ20,CN20,CK20,CH20,CE20)=0,"",SUM(DL20,DI20,DF20,DC20,CZ20,CW20,CT20,CQ20,CN20,CK20,CH20,CE20))</f>
        <v/>
      </c>
      <c r="I20" s="10">
        <f>IF(COUNT(DM20,DJ20,DG20,DD20,DA20,CX20,CU20,CR20,CO20,CL20,CI20,CF20)=0,"",SUM(DM20,DJ20,DG20,DD20,DA20,CX20,CU20,CR20,CO20,CL20,CI20,CF20))</f>
        <v/>
      </c>
      <c r="J20" s="10">
        <f>IF(COUNT(DN20,DK20,DH20,DE20,DB20,CY20,CV20,CS20,CP20,CM20,CJ20,CG20)=0,"",SUM(DN20,DK20,DH20,DE20,DB20,CY20,CV20,CS20,CP20,CM20,CJ20,CG20))</f>
        <v/>
      </c>
      <c r="K20" s="11" t="n"/>
      <c r="L20" s="11" t="n">
        <v>5000</v>
      </c>
      <c r="M20" s="11" t="n">
        <v>5000</v>
      </c>
      <c r="N20" s="10" t="n"/>
      <c r="O20" s="10" t="n">
        <v>5000</v>
      </c>
      <c r="P20" s="10" t="n">
        <v>5000</v>
      </c>
      <c r="Q20" s="11" t="n"/>
      <c r="R20" s="11" t="n">
        <v>5000</v>
      </c>
      <c r="S20" s="11" t="n">
        <v>5000</v>
      </c>
      <c r="T20" s="10" t="n"/>
      <c r="U20" s="10" t="n">
        <v>5000</v>
      </c>
      <c r="V20" s="10" t="n">
        <v>5000</v>
      </c>
      <c r="W20" s="11" t="n"/>
      <c r="X20" s="11" t="n">
        <v>5000</v>
      </c>
      <c r="Y20" s="11" t="n">
        <v>5000</v>
      </c>
      <c r="Z20" s="10" t="n"/>
      <c r="AA20" s="10" t="n">
        <v>5000</v>
      </c>
      <c r="AB20" s="10" t="n">
        <v>5000</v>
      </c>
      <c r="AC20" s="11" t="n"/>
      <c r="AD20" s="11" t="n">
        <v>5000</v>
      </c>
      <c r="AE20" s="11" t="n">
        <v>5000</v>
      </c>
      <c r="AF20" s="10" t="n"/>
      <c r="AG20" s="10" t="n">
        <v>5000</v>
      </c>
      <c r="AH20" s="10" t="n">
        <v>5000</v>
      </c>
      <c r="AI20" s="11" t="n"/>
      <c r="AJ20" s="11" t="n">
        <v>5000</v>
      </c>
      <c r="AK20" s="11" t="n">
        <v>5000</v>
      </c>
      <c r="AL20" s="10" t="n"/>
      <c r="AM20" s="10" t="n">
        <v>5000</v>
      </c>
      <c r="AN20" s="10" t="n">
        <v>5000</v>
      </c>
      <c r="AO20" s="11" t="n"/>
      <c r="AP20" s="11" t="n">
        <v>5000</v>
      </c>
      <c r="AQ20" s="11" t="n">
        <v>5000</v>
      </c>
      <c r="AR20" s="10" t="n"/>
      <c r="AS20" s="10" t="n">
        <v>5000</v>
      </c>
      <c r="AT20" s="10" t="n">
        <v>5000</v>
      </c>
      <c r="AU20" s="11" t="n"/>
      <c r="AV20" s="11" t="n">
        <v>5000</v>
      </c>
      <c r="AW20" s="11" t="n">
        <v>5000</v>
      </c>
      <c r="AX20" s="10" t="n"/>
      <c r="AY20" s="10" t="n">
        <v>5000</v>
      </c>
      <c r="AZ20" s="10" t="n">
        <v>5000</v>
      </c>
      <c r="BA20" s="11" t="n"/>
      <c r="BB20" s="11" t="n">
        <v>5000</v>
      </c>
      <c r="BC20" s="11" t="n">
        <v>5000</v>
      </c>
      <c r="BD20" s="10" t="n"/>
      <c r="BE20" s="10" t="n">
        <v>5000</v>
      </c>
      <c r="BF20" s="10" t="n">
        <v>5000</v>
      </c>
      <c r="BG20" s="11" t="n"/>
      <c r="BH20" s="11" t="n">
        <v>5000</v>
      </c>
      <c r="BI20" s="11" t="n">
        <v>5000</v>
      </c>
      <c r="BJ20" s="10" t="n"/>
      <c r="BK20" s="10" t="n">
        <v>5000</v>
      </c>
      <c r="BL20" s="10" t="n">
        <v>5000</v>
      </c>
      <c r="BM20" s="11" t="n"/>
      <c r="BN20" s="11" t="n">
        <v>5000</v>
      </c>
      <c r="BO20" s="11" t="n">
        <v>5000</v>
      </c>
      <c r="BP20" s="10" t="n"/>
      <c r="BQ20" s="10" t="n">
        <v>5000</v>
      </c>
      <c r="BR20" s="10" t="n">
        <v>5000</v>
      </c>
      <c r="BS20" s="11" t="n"/>
      <c r="BT20" s="11" t="n">
        <v>5000</v>
      </c>
      <c r="BU20" s="11" t="n">
        <v>5000</v>
      </c>
      <c r="BV20" s="10" t="n"/>
      <c r="BW20" s="10" t="n">
        <v>5000</v>
      </c>
      <c r="BX20" s="10" t="n">
        <v>5000</v>
      </c>
      <c r="BY20" s="11" t="n"/>
      <c r="BZ20" s="11" t="n">
        <v>5000</v>
      </c>
      <c r="CA20" s="11" t="n">
        <v>5000</v>
      </c>
      <c r="CB20" s="10" t="n"/>
      <c r="CC20" s="10" t="n">
        <v>5000</v>
      </c>
      <c r="CD20" s="10" t="n">
        <v>5000</v>
      </c>
      <c r="CE20" s="11" t="n"/>
      <c r="CF20" s="11" t="n">
        <v>5000</v>
      </c>
      <c r="CG20" s="11" t="n">
        <v>5000</v>
      </c>
      <c r="CH20" s="10" t="n"/>
      <c r="CI20" s="10" t="n">
        <v>5000</v>
      </c>
      <c r="CJ20" s="10" t="n">
        <v>5000</v>
      </c>
      <c r="CK20" s="11" t="n"/>
      <c r="CL20" s="11" t="n">
        <v>5000</v>
      </c>
      <c r="CM20" s="11" t="n">
        <v>5000</v>
      </c>
      <c r="CN20" s="10" t="n"/>
      <c r="CO20" s="10" t="n">
        <v>5000</v>
      </c>
      <c r="CP20" s="10" t="n">
        <v>5000</v>
      </c>
      <c r="CQ20" s="11" t="n"/>
      <c r="CR20" s="11" t="n">
        <v>5000</v>
      </c>
      <c r="CS20" s="11" t="n">
        <v>5000</v>
      </c>
      <c r="CT20" s="10" t="n"/>
      <c r="CU20" s="10" t="n">
        <v>5000</v>
      </c>
      <c r="CV20" s="10" t="n">
        <v>5000</v>
      </c>
      <c r="CW20" s="11" t="n"/>
      <c r="CX20" s="11" t="n">
        <v>5000</v>
      </c>
      <c r="CY20" s="11" t="n">
        <v>5000</v>
      </c>
      <c r="CZ20" s="10" t="n"/>
      <c r="DA20" s="10" t="n">
        <v>5000</v>
      </c>
      <c r="DB20" s="10" t="n">
        <v>5000</v>
      </c>
      <c r="DC20" s="11" t="n"/>
      <c r="DD20" s="11" t="n">
        <v>5000</v>
      </c>
      <c r="DE20" s="11" t="n">
        <v>5000</v>
      </c>
      <c r="DF20" s="10" t="n"/>
      <c r="DG20" s="10" t="n">
        <v>5000</v>
      </c>
      <c r="DH20" s="10" t="n">
        <v>5000</v>
      </c>
      <c r="DI20" s="11" t="n">
        <v>5000</v>
      </c>
      <c r="DJ20" s="11" t="n">
        <v>5000</v>
      </c>
      <c r="DK20" s="11" t="n">
        <v>5000</v>
      </c>
      <c r="DL20" s="10" t="n">
        <v>5000</v>
      </c>
      <c r="DM20" s="10" t="n">
        <v>5000</v>
      </c>
      <c r="DN20" s="10" t="n">
        <v>5000</v>
      </c>
    </row>
    <row r="21">
      <c r="A21" s="2" t="inlineStr">
        <is>
          <t>Prospecting Data</t>
        </is>
      </c>
      <c r="B21" s="10">
        <f>IF(COUNT(AR21,AO21,AL21,AI21,AF21,AC21,Z21,W21,T21,Q21,N21,K21)=0,"",SUM(AR21,AO21,AL21,AI21,AF21,AC21,Z21,W21,T21,Q21,N21,K21))</f>
        <v/>
      </c>
      <c r="C21" s="10">
        <f>IF(COUNT(AS21,AP21,AM21,AJ21,AG21,AD21,AA21,X21,U21,R21,O21,L21)=0,"",SUM(AS21,AP21,AM21,AJ21,AG21,AD21,AA21,X21,U21,R21,O21,L21))</f>
        <v/>
      </c>
      <c r="D21" s="10">
        <f>IF(COUNT(AT21,AQ21,AN21,AK21,AH21,AE21,AB21,Y21,V21,S21,P21,M21)=0,"",SUM(AT21,AQ21,AN21,AK21,AH21,AE21,AB21,Y21,V21,S21,P21,M21))</f>
        <v/>
      </c>
      <c r="E21" s="11">
        <f>IF(COUNT(CB21,BY21,BV21,BS21,BP21,BM21,BJ21,BG21,BD21,BA21,AX21,AU21)=0,"",SUM(CB21,BY21,BV21,BS21,BP21,BM21,BJ21,BG21,BD21,BA21,AX21,AU21))</f>
        <v/>
      </c>
      <c r="F21" s="11">
        <f>IF(COUNT(CC21,BZ21,BW21,BT21,BQ21,BN21,BK21,BH21,BE21,BB21,AY21,AV21)=0,"",SUM(CC21,BZ21,BW21,BT21,BQ21,BN21,BK21,BH21,BE21,BB21,AY21,AV21))</f>
        <v/>
      </c>
      <c r="G21" s="11">
        <f>IF(COUNT(CD21,CA21,BX21,BU21,BR21,BO21,BL21,BI21,BF21,BC21,AZ21,AW21)=0,"",SUM(CD21,CA21,BX21,BU21,BR21,BO21,BL21,BI21,BF21,BC21,AZ21,AW21))</f>
        <v/>
      </c>
      <c r="H21" s="10">
        <f>IF(COUNT(DL21,DI21,DF21,DC21,CZ21,CW21,CT21,CQ21,CN21,CK21,CH21,CE21)=0,"",SUM(DL21,DI21,DF21,DC21,CZ21,CW21,CT21,CQ21,CN21,CK21,CH21,CE21))</f>
        <v/>
      </c>
      <c r="I21" s="10">
        <f>IF(COUNT(DM21,DJ21,DG21,DD21,DA21,CX21,CU21,CR21,CO21,CL21,CI21,CF21)=0,"",SUM(DM21,DJ21,DG21,DD21,DA21,CX21,CU21,CR21,CO21,CL21,CI21,CF21))</f>
        <v/>
      </c>
      <c r="J21" s="10">
        <f>IF(COUNT(DN21,DK21,DH21,DE21,DB21,CY21,CV21,CS21,CP21,CM21,CJ21,CG21)=0,"",SUM(DN21,DK21,DH21,DE21,DB21,CY21,CV21,CS21,CP21,CM21,CJ21,CG21))</f>
        <v/>
      </c>
      <c r="K21" s="11" t="n"/>
      <c r="L21" s="11" t="n">
        <v>3000</v>
      </c>
      <c r="M21" s="11" t="n">
        <v>3000</v>
      </c>
      <c r="N21" s="10" t="n"/>
      <c r="O21" s="10" t="n">
        <v>3000</v>
      </c>
      <c r="P21" s="10" t="n">
        <v>3000</v>
      </c>
      <c r="Q21" s="11" t="n"/>
      <c r="R21" s="11" t="n">
        <v>3000</v>
      </c>
      <c r="S21" s="11" t="n">
        <v>3000</v>
      </c>
      <c r="T21" s="10" t="n"/>
      <c r="U21" s="10" t="n">
        <v>3000</v>
      </c>
      <c r="V21" s="10" t="n">
        <v>3000</v>
      </c>
      <c r="W21" s="11" t="n"/>
      <c r="X21" s="11" t="n">
        <v>3000</v>
      </c>
      <c r="Y21" s="11" t="n">
        <v>3000</v>
      </c>
      <c r="Z21" s="10" t="n"/>
      <c r="AA21" s="10" t="n">
        <v>3000</v>
      </c>
      <c r="AB21" s="10" t="n">
        <v>3000</v>
      </c>
      <c r="AC21" s="11" t="n"/>
      <c r="AD21" s="11" t="n">
        <v>3000</v>
      </c>
      <c r="AE21" s="11" t="n">
        <v>3000</v>
      </c>
      <c r="AF21" s="10" t="n"/>
      <c r="AG21" s="10" t="n">
        <v>3000</v>
      </c>
      <c r="AH21" s="10" t="n">
        <v>3000</v>
      </c>
      <c r="AI21" s="11" t="n"/>
      <c r="AJ21" s="11" t="n">
        <v>3000</v>
      </c>
      <c r="AK21" s="11" t="n">
        <v>3000</v>
      </c>
      <c r="AL21" s="10" t="n"/>
      <c r="AM21" s="10" t="n">
        <v>3000</v>
      </c>
      <c r="AN21" s="10" t="n">
        <v>3000</v>
      </c>
      <c r="AO21" s="11" t="n"/>
      <c r="AP21" s="11" t="n">
        <v>3000</v>
      </c>
      <c r="AQ21" s="11" t="n">
        <v>3000</v>
      </c>
      <c r="AR21" s="10" t="n"/>
      <c r="AS21" s="10" t="n">
        <v>3000</v>
      </c>
      <c r="AT21" s="10" t="n">
        <v>3000</v>
      </c>
      <c r="AU21" s="11" t="n"/>
      <c r="AV21" s="11" t="n">
        <v>3000</v>
      </c>
      <c r="AW21" s="11" t="n">
        <v>3000</v>
      </c>
      <c r="AX21" s="10" t="n"/>
      <c r="AY21" s="10" t="n">
        <v>3000</v>
      </c>
      <c r="AZ21" s="10" t="n">
        <v>3000</v>
      </c>
      <c r="BA21" s="11" t="n"/>
      <c r="BB21" s="11" t="n">
        <v>3000</v>
      </c>
      <c r="BC21" s="11" t="n">
        <v>3000</v>
      </c>
      <c r="BD21" s="10" t="n"/>
      <c r="BE21" s="10" t="n">
        <v>3000</v>
      </c>
      <c r="BF21" s="10" t="n">
        <v>3000</v>
      </c>
      <c r="BG21" s="11" t="n"/>
      <c r="BH21" s="11" t="n">
        <v>3000</v>
      </c>
      <c r="BI21" s="11" t="n">
        <v>3000</v>
      </c>
      <c r="BJ21" s="10" t="n"/>
      <c r="BK21" s="10" t="n">
        <v>3000</v>
      </c>
      <c r="BL21" s="10" t="n">
        <v>3000</v>
      </c>
      <c r="BM21" s="11" t="n"/>
      <c r="BN21" s="11" t="n">
        <v>3000</v>
      </c>
      <c r="BO21" s="11" t="n">
        <v>3000</v>
      </c>
      <c r="BP21" s="10" t="n"/>
      <c r="BQ21" s="10" t="n">
        <v>3000</v>
      </c>
      <c r="BR21" s="10" t="n">
        <v>3000</v>
      </c>
      <c r="BS21" s="11" t="n"/>
      <c r="BT21" s="11" t="n">
        <v>3000</v>
      </c>
      <c r="BU21" s="11" t="n">
        <v>3000</v>
      </c>
      <c r="BV21" s="10" t="n"/>
      <c r="BW21" s="10" t="n">
        <v>3000</v>
      </c>
      <c r="BX21" s="10" t="n">
        <v>3000</v>
      </c>
      <c r="BY21" s="11" t="n"/>
      <c r="BZ21" s="11" t="n">
        <v>3000</v>
      </c>
      <c r="CA21" s="11" t="n">
        <v>3000</v>
      </c>
      <c r="CB21" s="10" t="n"/>
      <c r="CC21" s="10" t="n">
        <v>3000</v>
      </c>
      <c r="CD21" s="10" t="n">
        <v>3000</v>
      </c>
      <c r="CE21" s="11" t="n"/>
      <c r="CF21" s="11" t="n">
        <v>3000</v>
      </c>
      <c r="CG21" s="11" t="n">
        <v>3000</v>
      </c>
      <c r="CH21" s="10" t="n"/>
      <c r="CI21" s="10" t="n">
        <v>3000</v>
      </c>
      <c r="CJ21" s="10" t="n">
        <v>3000</v>
      </c>
      <c r="CK21" s="11" t="n"/>
      <c r="CL21" s="11" t="n">
        <v>3000</v>
      </c>
      <c r="CM21" s="11" t="n">
        <v>3000</v>
      </c>
      <c r="CN21" s="10" t="n"/>
      <c r="CO21" s="10" t="n">
        <v>3000</v>
      </c>
      <c r="CP21" s="10" t="n">
        <v>3000</v>
      </c>
      <c r="CQ21" s="11" t="n"/>
      <c r="CR21" s="11" t="n">
        <v>3000</v>
      </c>
      <c r="CS21" s="11" t="n">
        <v>3000</v>
      </c>
      <c r="CT21" s="10" t="n"/>
      <c r="CU21" s="10" t="n">
        <v>3000</v>
      </c>
      <c r="CV21" s="10" t="n">
        <v>3000</v>
      </c>
      <c r="CW21" s="11" t="n"/>
      <c r="CX21" s="11" t="n">
        <v>3000</v>
      </c>
      <c r="CY21" s="11" t="n">
        <v>3000</v>
      </c>
      <c r="CZ21" s="10" t="n"/>
      <c r="DA21" s="10" t="n">
        <v>3000</v>
      </c>
      <c r="DB21" s="10" t="n">
        <v>3000</v>
      </c>
      <c r="DC21" s="11" t="n"/>
      <c r="DD21" s="11" t="n">
        <v>3000</v>
      </c>
      <c r="DE21" s="11" t="n">
        <v>3000</v>
      </c>
      <c r="DF21" s="10" t="n"/>
      <c r="DG21" s="10" t="n">
        <v>3000</v>
      </c>
      <c r="DH21" s="10" t="n">
        <v>3000</v>
      </c>
      <c r="DI21" s="11" t="n">
        <v>3000</v>
      </c>
      <c r="DJ21" s="11" t="n">
        <v>3000</v>
      </c>
      <c r="DK21" s="11" t="n">
        <v>3000</v>
      </c>
      <c r="DL21" s="10" t="n">
        <v>3000</v>
      </c>
      <c r="DM21" s="10" t="n">
        <v>3000</v>
      </c>
      <c r="DN21" s="10" t="n">
        <v>3000</v>
      </c>
    </row>
    <row r="22">
      <c r="A22" s="2" t="inlineStr">
        <is>
          <t>Partner and Channel Fees</t>
        </is>
      </c>
      <c r="B22" s="10">
        <f>IF(COUNT(AR22,AO22,AL22,AI22,AF22,AC22,Z22,W22,T22,Q22,N22,K22)=0,"",SUM(AR22,AO22,AL22,AI22,AF22,AC22,Z22,W22,T22,Q22,N22,K22))</f>
        <v/>
      </c>
      <c r="C22" s="10">
        <f>IF(COUNT(AS22,AP22,AM22,AJ22,AG22,AD22,AA22,X22,U22,R22,O22,L22)=0,"",SUM(AS22,AP22,AM22,AJ22,AG22,AD22,AA22,X22,U22,R22,O22,L22))</f>
        <v/>
      </c>
      <c r="D22" s="10">
        <f>IF(COUNT(AT22,AQ22,AN22,AK22,AH22,AE22,AB22,Y22,V22,S22,P22,M22)=0,"",SUM(AT22,AQ22,AN22,AK22,AH22,AE22,AB22,Y22,V22,S22,P22,M22))</f>
        <v/>
      </c>
      <c r="E22" s="11">
        <f>IF(COUNT(CB22,BY22,BV22,BS22,BP22,BM22,BJ22,BG22,BD22,BA22,AX22,AU22)=0,"",SUM(CB22,BY22,BV22,BS22,BP22,BM22,BJ22,BG22,BD22,BA22,AX22,AU22))</f>
        <v/>
      </c>
      <c r="F22" s="11">
        <f>IF(COUNT(CC22,BZ22,BW22,BT22,BQ22,BN22,BK22,BH22,BE22,BB22,AY22,AV22)=0,"",SUM(CC22,BZ22,BW22,BT22,BQ22,BN22,BK22,BH22,BE22,BB22,AY22,AV22))</f>
        <v/>
      </c>
      <c r="G22" s="11">
        <f>IF(COUNT(CD22,CA22,BX22,BU22,BR22,BO22,BL22,BI22,BF22,BC22,AZ22,AW22)=0,"",SUM(CD22,CA22,BX22,BU22,BR22,BO22,BL22,BI22,BF22,BC22,AZ22,AW22))</f>
        <v/>
      </c>
      <c r="H22" s="10">
        <f>IF(COUNT(DL22,DI22,DF22,DC22,CZ22,CW22,CT22,CQ22,CN22,CK22,CH22,CE22)=0,"",SUM(DL22,DI22,DF22,DC22,CZ22,CW22,CT22,CQ22,CN22,CK22,CH22,CE22))</f>
        <v/>
      </c>
      <c r="I22" s="10">
        <f>IF(COUNT(DM22,DJ22,DG22,DD22,DA22,CX22,CU22,CR22,CO22,CL22,CI22,CF22)=0,"",SUM(DM22,DJ22,DG22,DD22,DA22,CX22,CU22,CR22,CO22,CL22,CI22,CF22))</f>
        <v/>
      </c>
      <c r="J22" s="10">
        <f>IF(COUNT(DN22,DK22,DH22,DE22,DB22,CY22,CV22,CS22,CP22,CM22,CJ22,CG22)=0,"",SUM(DN22,DK22,DH22,DE22,DB22,CY22,CV22,CS22,CP22,CM22,CJ22,CG22))</f>
        <v/>
      </c>
      <c r="K22" s="11" t="n"/>
      <c r="L22" s="11" t="n">
        <v>3000</v>
      </c>
      <c r="M22" s="11" t="n">
        <v>3000</v>
      </c>
      <c r="N22" s="10" t="n"/>
      <c r="O22" s="10" t="n">
        <v>3000</v>
      </c>
      <c r="P22" s="10" t="n">
        <v>3000</v>
      </c>
      <c r="Q22" s="11" t="n"/>
      <c r="R22" s="11" t="n">
        <v>3000</v>
      </c>
      <c r="S22" s="11" t="n">
        <v>3000</v>
      </c>
      <c r="T22" s="10" t="n"/>
      <c r="U22" s="10" t="n">
        <v>3000</v>
      </c>
      <c r="V22" s="10" t="n">
        <v>3000</v>
      </c>
      <c r="W22" s="11" t="n"/>
      <c r="X22" s="11" t="n">
        <v>3000</v>
      </c>
      <c r="Y22" s="11" t="n">
        <v>3000</v>
      </c>
      <c r="Z22" s="10" t="n"/>
      <c r="AA22" s="10" t="n">
        <v>3000</v>
      </c>
      <c r="AB22" s="10" t="n">
        <v>3000</v>
      </c>
      <c r="AC22" s="11" t="n"/>
      <c r="AD22" s="11" t="n">
        <v>3000</v>
      </c>
      <c r="AE22" s="11" t="n">
        <v>3000</v>
      </c>
      <c r="AF22" s="10" t="n"/>
      <c r="AG22" s="10" t="n">
        <v>3000</v>
      </c>
      <c r="AH22" s="10" t="n">
        <v>3000</v>
      </c>
      <c r="AI22" s="11" t="n"/>
      <c r="AJ22" s="11" t="n">
        <v>3000</v>
      </c>
      <c r="AK22" s="11" t="n">
        <v>3000</v>
      </c>
      <c r="AL22" s="10" t="n"/>
      <c r="AM22" s="10" t="n">
        <v>3000</v>
      </c>
      <c r="AN22" s="10" t="n">
        <v>3000</v>
      </c>
      <c r="AO22" s="11" t="n"/>
      <c r="AP22" s="11" t="n">
        <v>3000</v>
      </c>
      <c r="AQ22" s="11" t="n">
        <v>3000</v>
      </c>
      <c r="AR22" s="10" t="n"/>
      <c r="AS22" s="10" t="n">
        <v>3000</v>
      </c>
      <c r="AT22" s="10" t="n">
        <v>3000</v>
      </c>
      <c r="AU22" s="11" t="n"/>
      <c r="AV22" s="11" t="n">
        <v>3000</v>
      </c>
      <c r="AW22" s="11" t="n">
        <v>3000</v>
      </c>
      <c r="AX22" s="10" t="n"/>
      <c r="AY22" s="10" t="n">
        <v>3000</v>
      </c>
      <c r="AZ22" s="10" t="n">
        <v>3000</v>
      </c>
      <c r="BA22" s="11" t="n"/>
      <c r="BB22" s="11" t="n">
        <v>3000</v>
      </c>
      <c r="BC22" s="11" t="n">
        <v>3000</v>
      </c>
      <c r="BD22" s="10" t="n"/>
      <c r="BE22" s="10" t="n">
        <v>3000</v>
      </c>
      <c r="BF22" s="10" t="n">
        <v>3000</v>
      </c>
      <c r="BG22" s="11" t="n"/>
      <c r="BH22" s="11" t="n">
        <v>3000</v>
      </c>
      <c r="BI22" s="11" t="n">
        <v>3000</v>
      </c>
      <c r="BJ22" s="10" t="n"/>
      <c r="BK22" s="10" t="n">
        <v>3000</v>
      </c>
      <c r="BL22" s="10" t="n">
        <v>3000</v>
      </c>
      <c r="BM22" s="11" t="n"/>
      <c r="BN22" s="11" t="n">
        <v>3000</v>
      </c>
      <c r="BO22" s="11" t="n">
        <v>3000</v>
      </c>
      <c r="BP22" s="10" t="n"/>
      <c r="BQ22" s="10" t="n">
        <v>3000</v>
      </c>
      <c r="BR22" s="10" t="n">
        <v>3000</v>
      </c>
      <c r="BS22" s="11" t="n"/>
      <c r="BT22" s="11" t="n">
        <v>3000</v>
      </c>
      <c r="BU22" s="11" t="n">
        <v>3000</v>
      </c>
      <c r="BV22" s="10" t="n"/>
      <c r="BW22" s="10" t="n">
        <v>3000</v>
      </c>
      <c r="BX22" s="10" t="n">
        <v>3000</v>
      </c>
      <c r="BY22" s="11" t="n"/>
      <c r="BZ22" s="11" t="n">
        <v>3000</v>
      </c>
      <c r="CA22" s="11" t="n">
        <v>3000</v>
      </c>
      <c r="CB22" s="10" t="n"/>
      <c r="CC22" s="10" t="n">
        <v>3000</v>
      </c>
      <c r="CD22" s="10" t="n">
        <v>3000</v>
      </c>
      <c r="CE22" s="11" t="n"/>
      <c r="CF22" s="11" t="n">
        <v>3000</v>
      </c>
      <c r="CG22" s="11" t="n">
        <v>3000</v>
      </c>
      <c r="CH22" s="10" t="n"/>
      <c r="CI22" s="10" t="n">
        <v>3000</v>
      </c>
      <c r="CJ22" s="10" t="n">
        <v>3000</v>
      </c>
      <c r="CK22" s="11" t="n"/>
      <c r="CL22" s="11" t="n">
        <v>3000</v>
      </c>
      <c r="CM22" s="11" t="n">
        <v>3000</v>
      </c>
      <c r="CN22" s="10" t="n"/>
      <c r="CO22" s="10" t="n">
        <v>3000</v>
      </c>
      <c r="CP22" s="10" t="n">
        <v>3000</v>
      </c>
      <c r="CQ22" s="11" t="n"/>
      <c r="CR22" s="11" t="n">
        <v>3000</v>
      </c>
      <c r="CS22" s="11" t="n">
        <v>3000</v>
      </c>
      <c r="CT22" s="10" t="n"/>
      <c r="CU22" s="10" t="n">
        <v>3000</v>
      </c>
      <c r="CV22" s="10" t="n">
        <v>3000</v>
      </c>
      <c r="CW22" s="11" t="n"/>
      <c r="CX22" s="11" t="n">
        <v>3000</v>
      </c>
      <c r="CY22" s="11" t="n">
        <v>3000</v>
      </c>
      <c r="CZ22" s="10" t="n"/>
      <c r="DA22" s="10" t="n">
        <v>3000</v>
      </c>
      <c r="DB22" s="10" t="n">
        <v>3000</v>
      </c>
      <c r="DC22" s="11" t="n"/>
      <c r="DD22" s="11" t="n">
        <v>3000</v>
      </c>
      <c r="DE22" s="11" t="n">
        <v>3000</v>
      </c>
      <c r="DF22" s="10" t="n"/>
      <c r="DG22" s="10" t="n">
        <v>3000</v>
      </c>
      <c r="DH22" s="10" t="n">
        <v>3000</v>
      </c>
      <c r="DI22" s="11" t="n">
        <v>3000</v>
      </c>
      <c r="DJ22" s="11" t="n">
        <v>3000</v>
      </c>
      <c r="DK22" s="11" t="n">
        <v>3000</v>
      </c>
      <c r="DL22" s="10" t="n">
        <v>3000</v>
      </c>
      <c r="DM22" s="10" t="n">
        <v>3000</v>
      </c>
      <c r="DN22" s="10" t="n">
        <v>3000</v>
      </c>
    </row>
    <row r="23">
      <c r="A23" s="12" t="inlineStr">
        <is>
          <t>Total Sales Programs</t>
        </is>
      </c>
      <c r="B23" s="13">
        <f>IF(COUNT(AR23,AO23,AL23,AI23,AF23,AC23,Z23,W23,T23,Q23,N23,K23)=0,"",SUM(AR23,AO23,AL23,AI23,AF23,AC23,Z23,W23,T23,Q23,N23,K23))</f>
        <v/>
      </c>
      <c r="C23" s="13">
        <f>IF(COUNT(AS23,AP23,AM23,AJ23,AG23,AD23,AA23,X23,U23,R23,O23,L23)=0,"",SUM(AS23,AP23,AM23,AJ23,AG23,AD23,AA23,X23,U23,R23,O23,L23))</f>
        <v/>
      </c>
      <c r="D23" s="13">
        <f>IF(COUNT(AT23,AQ23,AN23,AK23,AH23,AE23,AB23,Y23,V23,S23,P23,M23)=0,"",SUM(AT23,AQ23,AN23,AK23,AH23,AE23,AB23,Y23,V23,S23,P23,M23))</f>
        <v/>
      </c>
      <c r="E23" s="14">
        <f>IF(COUNT(CB23,BY23,BV23,BS23,BP23,BM23,BJ23,BG23,BD23,BA23,AX23,AU23)=0,"",SUM(CB23,BY23,BV23,BS23,BP23,BM23,BJ23,BG23,BD23,BA23,AX23,AU23))</f>
        <v/>
      </c>
      <c r="F23" s="14">
        <f>IF(COUNT(CC23,BZ23,BW23,BT23,BQ23,BN23,BK23,BH23,BE23,BB23,AY23,AV23)=0,"",SUM(CC23,BZ23,BW23,BT23,BQ23,BN23,BK23,BH23,BE23,BB23,AY23,AV23))</f>
        <v/>
      </c>
      <c r="G23" s="14">
        <f>IF(COUNT(CD23,CA23,BX23,BU23,BR23,BO23,BL23,BI23,BF23,BC23,AZ23,AW23)=0,"",SUM(CD23,CA23,BX23,BU23,BR23,BO23,BL23,BI23,BF23,BC23,AZ23,AW23))</f>
        <v/>
      </c>
      <c r="H23" s="13">
        <f>IF(COUNT(DL23,DI23,DF23,DC23,CZ23,CW23,CT23,CQ23,CN23,CK23,CH23,CE23)=0,"",SUM(DL23,DI23,DF23,DC23,CZ23,CW23,CT23,CQ23,CN23,CK23,CH23,CE23))</f>
        <v/>
      </c>
      <c r="I23" s="13">
        <f>IF(COUNT(DM23,DJ23,DG23,DD23,DA23,CX23,CU23,CR23,CO23,CL23,CI23,CF23)=0,"",SUM(DM23,DJ23,DG23,DD23,DA23,CX23,CU23,CR23,CO23,CL23,CI23,CF23))</f>
        <v/>
      </c>
      <c r="J23" s="13">
        <f>IF(COUNT(DN23,DK23,DH23,DE23,DB23,CY23,CV23,CS23,CP23,CM23,CJ23,CG23)=0,"",SUM(DN23,DK23,DH23,DE23,DB23,CY23,CV23,CS23,CP23,CM23,CJ23,CG23))</f>
        <v/>
      </c>
      <c r="K23" s="14">
        <f>IF(COUNT(K19,K20,K21,K22)=0,"",SUM(K19:K22))</f>
        <v/>
      </c>
      <c r="L23" s="14">
        <f>SUM(L19:L22)</f>
        <v/>
      </c>
      <c r="M23" s="14">
        <f>SUM(M19:M22)</f>
        <v/>
      </c>
      <c r="N23" s="13">
        <f>IF(COUNT(N19,N20,N21,N22)=0,"",SUM(N19:N22))</f>
        <v/>
      </c>
      <c r="O23" s="13">
        <f>SUM(O19:O22)</f>
        <v/>
      </c>
      <c r="P23" s="13">
        <f>SUM(P19:P22)</f>
        <v/>
      </c>
      <c r="Q23" s="14">
        <f>IF(COUNT(Q19,Q20,Q21,Q22)=0,"",SUM(Q19:Q22))</f>
        <v/>
      </c>
      <c r="R23" s="14">
        <f>SUM(R19:R22)</f>
        <v/>
      </c>
      <c r="S23" s="14">
        <f>SUM(S19:S22)</f>
        <v/>
      </c>
      <c r="T23" s="13">
        <f>IF(COUNT(T19,T20,T21,T22)=0,"",SUM(T19:T22))</f>
        <v/>
      </c>
      <c r="U23" s="13">
        <f>SUM(U19:U22)</f>
        <v/>
      </c>
      <c r="V23" s="13">
        <f>SUM(V19:V22)</f>
        <v/>
      </c>
      <c r="W23" s="14">
        <f>IF(COUNT(W19,W20,W21,W22)=0,"",SUM(W19:W22))</f>
        <v/>
      </c>
      <c r="X23" s="14">
        <f>SUM(X19:X22)</f>
        <v/>
      </c>
      <c r="Y23" s="14">
        <f>SUM(Y19:Y22)</f>
        <v/>
      </c>
      <c r="Z23" s="13">
        <f>IF(COUNT(Z19,Z20,Z21,Z22)=0,"",SUM(Z19:Z22))</f>
        <v/>
      </c>
      <c r="AA23" s="13">
        <f>SUM(AA19:AA22)</f>
        <v/>
      </c>
      <c r="AB23" s="13">
        <f>SUM(AB19:AB22)</f>
        <v/>
      </c>
      <c r="AC23" s="14">
        <f>IF(COUNT(AC19,AC20,AC21,AC22)=0,"",SUM(AC19:AC22))</f>
        <v/>
      </c>
      <c r="AD23" s="14">
        <f>SUM(AD19:AD22)</f>
        <v/>
      </c>
      <c r="AE23" s="14">
        <f>SUM(AE19:AE22)</f>
        <v/>
      </c>
      <c r="AF23" s="13">
        <f>IF(COUNT(AF19,AF20,AF21,AF22)=0,"",SUM(AF19:AF22))</f>
        <v/>
      </c>
      <c r="AG23" s="13">
        <f>SUM(AG19:AG22)</f>
        <v/>
      </c>
      <c r="AH23" s="13">
        <f>SUM(AH19:AH22)</f>
        <v/>
      </c>
      <c r="AI23" s="14">
        <f>IF(COUNT(AI19,AI20,AI21,AI22)=0,"",SUM(AI19:AI22))</f>
        <v/>
      </c>
      <c r="AJ23" s="14">
        <f>SUM(AJ19:AJ22)</f>
        <v/>
      </c>
      <c r="AK23" s="14">
        <f>SUM(AK19:AK22)</f>
        <v/>
      </c>
      <c r="AL23" s="13">
        <f>IF(COUNT(AL19,AL20,AL21,AL22)=0,"",SUM(AL19:AL22))</f>
        <v/>
      </c>
      <c r="AM23" s="13">
        <f>SUM(AM19:AM22)</f>
        <v/>
      </c>
      <c r="AN23" s="13">
        <f>SUM(AN19:AN22)</f>
        <v/>
      </c>
      <c r="AO23" s="14">
        <f>IF(COUNT(AO19,AO20,AO21,AO22)=0,"",SUM(AO19:AO22))</f>
        <v/>
      </c>
      <c r="AP23" s="14">
        <f>SUM(AP19:AP22)</f>
        <v/>
      </c>
      <c r="AQ23" s="14">
        <f>SUM(AQ19:AQ22)</f>
        <v/>
      </c>
      <c r="AR23" s="13">
        <f>IF(COUNT(AR19,AR20,AR21,AR22)=0,"",SUM(AR19:AR22))</f>
        <v/>
      </c>
      <c r="AS23" s="13">
        <f>SUM(AS19:AS22)</f>
        <v/>
      </c>
      <c r="AT23" s="13">
        <f>SUM(AT19:AT22)</f>
        <v/>
      </c>
      <c r="AU23" s="14">
        <f>IF(COUNT(AU19,AU20,AU21,AU22)=0,"",SUM(AU19:AU22))</f>
        <v/>
      </c>
      <c r="AV23" s="14">
        <f>SUM(AV19:AV22)</f>
        <v/>
      </c>
      <c r="AW23" s="14">
        <f>SUM(AW19:AW22)</f>
        <v/>
      </c>
      <c r="AX23" s="13">
        <f>IF(COUNT(AX19,AX20,AX21,AX22)=0,"",SUM(AX19:AX22))</f>
        <v/>
      </c>
      <c r="AY23" s="13">
        <f>SUM(AY19:AY22)</f>
        <v/>
      </c>
      <c r="AZ23" s="13">
        <f>SUM(AZ19:AZ22)</f>
        <v/>
      </c>
      <c r="BA23" s="14">
        <f>IF(COUNT(BA19,BA20,BA21,BA22)=0,"",SUM(BA19:BA22))</f>
        <v/>
      </c>
      <c r="BB23" s="14">
        <f>SUM(BB19:BB22)</f>
        <v/>
      </c>
      <c r="BC23" s="14">
        <f>SUM(BC19:BC22)</f>
        <v/>
      </c>
      <c r="BD23" s="13">
        <f>IF(COUNT(BD19,BD20,BD21,BD22)=0,"",SUM(BD19:BD22))</f>
        <v/>
      </c>
      <c r="BE23" s="13">
        <f>SUM(BE19:BE22)</f>
        <v/>
      </c>
      <c r="BF23" s="13">
        <f>SUM(BF19:BF22)</f>
        <v/>
      </c>
      <c r="BG23" s="14">
        <f>IF(COUNT(BG19,BG20,BG21,BG22)=0,"",SUM(BG19:BG22))</f>
        <v/>
      </c>
      <c r="BH23" s="14">
        <f>SUM(BH19:BH22)</f>
        <v/>
      </c>
      <c r="BI23" s="14">
        <f>SUM(BI19:BI22)</f>
        <v/>
      </c>
      <c r="BJ23" s="13">
        <f>IF(COUNT(BJ19,BJ20,BJ21,BJ22)=0,"",SUM(BJ19:BJ22))</f>
        <v/>
      </c>
      <c r="BK23" s="13">
        <f>SUM(BK19:BK22)</f>
        <v/>
      </c>
      <c r="BL23" s="13">
        <f>SUM(BL19:BL22)</f>
        <v/>
      </c>
      <c r="BM23" s="14">
        <f>IF(COUNT(BM19,BM20,BM21,BM22)=0,"",SUM(BM19:BM22))</f>
        <v/>
      </c>
      <c r="BN23" s="14">
        <f>SUM(BN19:BN22)</f>
        <v/>
      </c>
      <c r="BO23" s="14">
        <f>SUM(BO19:BO22)</f>
        <v/>
      </c>
      <c r="BP23" s="13">
        <f>IF(COUNT(BP19,BP20,BP21,BP22)=0,"",SUM(BP19:BP22))</f>
        <v/>
      </c>
      <c r="BQ23" s="13">
        <f>SUM(BQ19:BQ22)</f>
        <v/>
      </c>
      <c r="BR23" s="13">
        <f>SUM(BR19:BR22)</f>
        <v/>
      </c>
      <c r="BS23" s="14">
        <f>IF(COUNT(BS19,BS20,BS21,BS22)=0,"",SUM(BS19:BS22))</f>
        <v/>
      </c>
      <c r="BT23" s="14">
        <f>SUM(BT19:BT22)</f>
        <v/>
      </c>
      <c r="BU23" s="14">
        <f>SUM(BU19:BU22)</f>
        <v/>
      </c>
      <c r="BV23" s="13">
        <f>IF(COUNT(BV19,BV20,BV21,BV22)=0,"",SUM(BV19:BV22))</f>
        <v/>
      </c>
      <c r="BW23" s="13">
        <f>SUM(BW19:BW22)</f>
        <v/>
      </c>
      <c r="BX23" s="13">
        <f>SUM(BX19:BX22)</f>
        <v/>
      </c>
      <c r="BY23" s="14">
        <f>IF(COUNT(BY19,BY20,BY21,BY22)=0,"",SUM(BY19:BY22))</f>
        <v/>
      </c>
      <c r="BZ23" s="14">
        <f>SUM(BZ19:BZ22)</f>
        <v/>
      </c>
      <c r="CA23" s="14">
        <f>SUM(CA19:CA22)</f>
        <v/>
      </c>
      <c r="CB23" s="13">
        <f>IF(COUNT(CB19,CB20,CB21,CB22)=0,"",SUM(CB19:CB22))</f>
        <v/>
      </c>
      <c r="CC23" s="13">
        <f>SUM(CC19:CC22)</f>
        <v/>
      </c>
      <c r="CD23" s="13">
        <f>SUM(CD19:CD22)</f>
        <v/>
      </c>
      <c r="CE23" s="14">
        <f>IF(COUNT(CE19,CE20,CE21,CE22)=0,"",SUM(CE19:CE22))</f>
        <v/>
      </c>
      <c r="CF23" s="14">
        <f>SUM(CF19:CF22)</f>
        <v/>
      </c>
      <c r="CG23" s="14">
        <f>SUM(CG19:CG22)</f>
        <v/>
      </c>
      <c r="CH23" s="13">
        <f>IF(COUNT(CH19,CH20,CH21,CH22)=0,"",SUM(CH19:CH22))</f>
        <v/>
      </c>
      <c r="CI23" s="13">
        <f>SUM(CI19:CI22)</f>
        <v/>
      </c>
      <c r="CJ23" s="13">
        <f>SUM(CJ19:CJ22)</f>
        <v/>
      </c>
      <c r="CK23" s="14">
        <f>IF(COUNT(CK19,CK20,CK21,CK22)=0,"",SUM(CK19:CK22))</f>
        <v/>
      </c>
      <c r="CL23" s="14">
        <f>SUM(CL19:CL22)</f>
        <v/>
      </c>
      <c r="CM23" s="14">
        <f>SUM(CM19:CM22)</f>
        <v/>
      </c>
      <c r="CN23" s="13">
        <f>IF(COUNT(CN19,CN20,CN21,CN22)=0,"",SUM(CN19:CN22))</f>
        <v/>
      </c>
      <c r="CO23" s="13">
        <f>SUM(CO19:CO22)</f>
        <v/>
      </c>
      <c r="CP23" s="13">
        <f>SUM(CP19:CP22)</f>
        <v/>
      </c>
      <c r="CQ23" s="14">
        <f>IF(COUNT(CQ19,CQ20,CQ21,CQ22)=0,"",SUM(CQ19:CQ22))</f>
        <v/>
      </c>
      <c r="CR23" s="14">
        <f>SUM(CR19:CR22)</f>
        <v/>
      </c>
      <c r="CS23" s="14">
        <f>SUM(CS19:CS22)</f>
        <v/>
      </c>
      <c r="CT23" s="13">
        <f>IF(COUNT(CT19,CT20,CT21,CT22)=0,"",SUM(CT19:CT22))</f>
        <v/>
      </c>
      <c r="CU23" s="13">
        <f>SUM(CU19:CU22)</f>
        <v/>
      </c>
      <c r="CV23" s="13">
        <f>SUM(CV19:CV22)</f>
        <v/>
      </c>
      <c r="CW23" s="14">
        <f>IF(COUNT(CW19,CW20,CW21,CW22)=0,"",SUM(CW19:CW22))</f>
        <v/>
      </c>
      <c r="CX23" s="14">
        <f>SUM(CX19:CX22)</f>
        <v/>
      </c>
      <c r="CY23" s="14">
        <f>SUM(CY19:CY22)</f>
        <v/>
      </c>
      <c r="CZ23" s="13">
        <f>IF(COUNT(CZ19,CZ20,CZ21,CZ22)=0,"",SUM(CZ19:CZ22))</f>
        <v/>
      </c>
      <c r="DA23" s="13">
        <f>SUM(DA19:DA22)</f>
        <v/>
      </c>
      <c r="DB23" s="13">
        <f>SUM(DB19:DB22)</f>
        <v/>
      </c>
      <c r="DC23" s="14">
        <f>IF(COUNT(DC19,DC20,DC21,DC22)=0,"",SUM(DC19:DC22))</f>
        <v/>
      </c>
      <c r="DD23" s="14">
        <f>SUM(DD19:DD22)</f>
        <v/>
      </c>
      <c r="DE23" s="14">
        <f>SUM(DE19:DE22)</f>
        <v/>
      </c>
      <c r="DF23" s="13">
        <f>IF(COUNT(DF19,DF20,DF21,DF22)=0,"",SUM(DF19:DF22))</f>
        <v/>
      </c>
      <c r="DG23" s="13">
        <f>SUM(DG19:DG22)</f>
        <v/>
      </c>
      <c r="DH23" s="13">
        <f>SUM(DH19:DH22)</f>
        <v/>
      </c>
      <c r="DI23" s="14">
        <f>IF(COUNT(DI19,DI20,DI21,DI22)=0,"",SUM(DI19:DI22))</f>
        <v/>
      </c>
      <c r="DJ23" s="14">
        <f>SUM(DJ19:DJ22)</f>
        <v/>
      </c>
      <c r="DK23" s="14">
        <f>SUM(DK19:DK22)</f>
        <v/>
      </c>
      <c r="DL23" s="13">
        <f>IF(COUNT(DL19,DL20,DL21,DL22)=0,"",SUM(DL19:DL22))</f>
        <v/>
      </c>
      <c r="DM23" s="13">
        <f>SUM(DM19:DM22)</f>
        <v/>
      </c>
      <c r="DN23" s="13">
        <f>SUM(DN19:DN22)</f>
        <v/>
      </c>
    </row>
    <row r="24">
      <c r="A24" s="12" t="inlineStr">
        <is>
          <t>Total Sales Cost</t>
        </is>
      </c>
      <c r="B24" s="13">
        <f>IF(COUNT(AR24,AO24,AL24,AI24,AF24,AC24,Z24,W24,T24,Q24,N24,K24)=0,"",SUM(AR24,AO24,AL24,AI24,AF24,AC24,Z24,W24,T24,Q24,N24,K24))</f>
        <v/>
      </c>
      <c r="C24" s="13">
        <f>IF(COUNT(AS24,AP24,AM24,AJ24,AG24,AD24,AA24,X24,U24,R24,O24,L24)=0,"",SUM(AS24,AP24,AM24,AJ24,AG24,AD24,AA24,X24,U24,R24,O24,L24))</f>
        <v/>
      </c>
      <c r="D24" s="13">
        <f>IF(COUNT(AT24,AQ24,AN24,AK24,AH24,AE24,AB24,Y24,V24,S24,P24,M24)=0,"",SUM(AT24,AQ24,AN24,AK24,AH24,AE24,AB24,Y24,V24,S24,P24,M24))</f>
        <v/>
      </c>
      <c r="E24" s="14">
        <f>IF(COUNT(CB24,BY24,BV24,BS24,BP24,BM24,BJ24,BG24,BD24,BA24,AX24,AU24)=0,"",SUM(CB24,BY24,BV24,BS24,BP24,BM24,BJ24,BG24,BD24,BA24,AX24,AU24))</f>
        <v/>
      </c>
      <c r="F24" s="14">
        <f>IF(COUNT(CC24,BZ24,BW24,BT24,BQ24,BN24,BK24,BH24,BE24,BB24,AY24,AV24)=0,"",SUM(CC24,BZ24,BW24,BT24,BQ24,BN24,BK24,BH24,BE24,BB24,AY24,AV24))</f>
        <v/>
      </c>
      <c r="G24" s="14">
        <f>IF(COUNT(CD24,CA24,BX24,BU24,BR24,BO24,BL24,BI24,BF24,BC24,AZ24,AW24)=0,"",SUM(CD24,CA24,BX24,BU24,BR24,BO24,BL24,BI24,BF24,BC24,AZ24,AW24))</f>
        <v/>
      </c>
      <c r="H24" s="13">
        <f>IF(COUNT(DL24,DI24,DF24,DC24,CZ24,CW24,CT24,CQ24,CN24,CK24,CH24,CE24)=0,"",SUM(DL24,DI24,DF24,DC24,CZ24,CW24,CT24,CQ24,CN24,CK24,CH24,CE24))</f>
        <v/>
      </c>
      <c r="I24" s="13">
        <f>IF(COUNT(DM24,DJ24,DG24,DD24,DA24,CX24,CU24,CR24,CO24,CL24,CI24,CF24)=0,"",SUM(DM24,DJ24,DG24,DD24,DA24,CX24,CU24,CR24,CO24,CL24,CI24,CF24))</f>
        <v/>
      </c>
      <c r="J24" s="13">
        <f>IF(COUNT(DN24,DK24,DH24,DE24,DB24,CY24,CV24,CS24,CP24,CM24,CJ24,CG24)=0,"",SUM(DN24,DK24,DH24,DE24,DB24,CY24,CV24,CS24,CP24,CM24,CJ24,CG24))</f>
        <v/>
      </c>
      <c r="K24" s="14">
        <f>IF(COUNT(K18,K23)=0,"",K18+K23)</f>
        <v/>
      </c>
      <c r="L24" s="14">
        <f>L18+L23</f>
        <v/>
      </c>
      <c r="M24" s="14">
        <f>M18+M23</f>
        <v/>
      </c>
      <c r="N24" s="13">
        <f>IF(COUNT(N18,N23)=0,"",N18+N23)</f>
        <v/>
      </c>
      <c r="O24" s="13">
        <f>O18+O23</f>
        <v/>
      </c>
      <c r="P24" s="13">
        <f>P18+P23</f>
        <v/>
      </c>
      <c r="Q24" s="14">
        <f>IF(COUNT(Q18,Q23)=0,"",Q18+Q23)</f>
        <v/>
      </c>
      <c r="R24" s="14">
        <f>R18+R23</f>
        <v/>
      </c>
      <c r="S24" s="14">
        <f>S18+S23</f>
        <v/>
      </c>
      <c r="T24" s="13">
        <f>IF(COUNT(T18,T23)=0,"",T18+T23)</f>
        <v/>
      </c>
      <c r="U24" s="13">
        <f>U18+U23</f>
        <v/>
      </c>
      <c r="V24" s="13">
        <f>V18+V23</f>
        <v/>
      </c>
      <c r="W24" s="14">
        <f>IF(COUNT(W18,W23)=0,"",W18+W23)</f>
        <v/>
      </c>
      <c r="X24" s="14">
        <f>X18+X23</f>
        <v/>
      </c>
      <c r="Y24" s="14">
        <f>Y18+Y23</f>
        <v/>
      </c>
      <c r="Z24" s="13">
        <f>IF(COUNT(Z18,Z23)=0,"",Z18+Z23)</f>
        <v/>
      </c>
      <c r="AA24" s="13">
        <f>AA18+AA23</f>
        <v/>
      </c>
      <c r="AB24" s="13">
        <f>AB18+AB23</f>
        <v/>
      </c>
      <c r="AC24" s="14">
        <f>IF(COUNT(AC18,AC23)=0,"",AC18+AC23)</f>
        <v/>
      </c>
      <c r="AD24" s="14">
        <f>AD18+AD23</f>
        <v/>
      </c>
      <c r="AE24" s="14">
        <f>AE18+AE23</f>
        <v/>
      </c>
      <c r="AF24" s="13">
        <f>IF(COUNT(AF18,AF23)=0,"",AF18+AF23)</f>
        <v/>
      </c>
      <c r="AG24" s="13">
        <f>AG18+AG23</f>
        <v/>
      </c>
      <c r="AH24" s="13">
        <f>AH18+AH23</f>
        <v/>
      </c>
      <c r="AI24" s="14">
        <f>IF(COUNT(AI18,AI23)=0,"",AI18+AI23)</f>
        <v/>
      </c>
      <c r="AJ24" s="14">
        <f>AJ18+AJ23</f>
        <v/>
      </c>
      <c r="AK24" s="14">
        <f>AK18+AK23</f>
        <v/>
      </c>
      <c r="AL24" s="13">
        <f>IF(COUNT(AL18,AL23)=0,"",AL18+AL23)</f>
        <v/>
      </c>
      <c r="AM24" s="13">
        <f>AM18+AM23</f>
        <v/>
      </c>
      <c r="AN24" s="13">
        <f>AN18+AN23</f>
        <v/>
      </c>
      <c r="AO24" s="14">
        <f>IF(COUNT(AO18,AO23)=0,"",AO18+AO23)</f>
        <v/>
      </c>
      <c r="AP24" s="14">
        <f>AP18+AP23</f>
        <v/>
      </c>
      <c r="AQ24" s="14">
        <f>AQ18+AQ23</f>
        <v/>
      </c>
      <c r="AR24" s="13">
        <f>IF(COUNT(AR18,AR23)=0,"",AR18+AR23)</f>
        <v/>
      </c>
      <c r="AS24" s="13">
        <f>AS18+AS23</f>
        <v/>
      </c>
      <c r="AT24" s="13">
        <f>AT18+AT23</f>
        <v/>
      </c>
      <c r="AU24" s="14">
        <f>IF(COUNT(AU18,AU23)=0,"",AU18+AU23)</f>
        <v/>
      </c>
      <c r="AV24" s="14">
        <f>AV18+AV23</f>
        <v/>
      </c>
      <c r="AW24" s="14">
        <f>AW18+AW23</f>
        <v/>
      </c>
      <c r="AX24" s="13">
        <f>IF(COUNT(AX18,AX23)=0,"",AX18+AX23)</f>
        <v/>
      </c>
      <c r="AY24" s="13">
        <f>AY18+AY23</f>
        <v/>
      </c>
      <c r="AZ24" s="13">
        <f>AZ18+AZ23</f>
        <v/>
      </c>
      <c r="BA24" s="14">
        <f>IF(COUNT(BA18,BA23)=0,"",BA18+BA23)</f>
        <v/>
      </c>
      <c r="BB24" s="14">
        <f>BB18+BB23</f>
        <v/>
      </c>
      <c r="BC24" s="14">
        <f>BC18+BC23</f>
        <v/>
      </c>
      <c r="BD24" s="13">
        <f>IF(COUNT(BD18,BD23)=0,"",BD18+BD23)</f>
        <v/>
      </c>
      <c r="BE24" s="13">
        <f>BE18+BE23</f>
        <v/>
      </c>
      <c r="BF24" s="13">
        <f>BF18+BF23</f>
        <v/>
      </c>
      <c r="BG24" s="14">
        <f>IF(COUNT(BG18,BG23)=0,"",BG18+BG23)</f>
        <v/>
      </c>
      <c r="BH24" s="14">
        <f>BH18+BH23</f>
        <v/>
      </c>
      <c r="BI24" s="14">
        <f>BI18+BI23</f>
        <v/>
      </c>
      <c r="BJ24" s="13">
        <f>IF(COUNT(BJ18,BJ23)=0,"",BJ18+BJ23)</f>
        <v/>
      </c>
      <c r="BK24" s="13">
        <f>BK18+BK23</f>
        <v/>
      </c>
      <c r="BL24" s="13">
        <f>BL18+BL23</f>
        <v/>
      </c>
      <c r="BM24" s="14">
        <f>IF(COUNT(BM18,BM23)=0,"",BM18+BM23)</f>
        <v/>
      </c>
      <c r="BN24" s="14">
        <f>BN18+BN23</f>
        <v/>
      </c>
      <c r="BO24" s="14">
        <f>BO18+BO23</f>
        <v/>
      </c>
      <c r="BP24" s="13">
        <f>IF(COUNT(BP18,BP23)=0,"",BP18+BP23)</f>
        <v/>
      </c>
      <c r="BQ24" s="13">
        <f>BQ18+BQ23</f>
        <v/>
      </c>
      <c r="BR24" s="13">
        <f>BR18+BR23</f>
        <v/>
      </c>
      <c r="BS24" s="14">
        <f>IF(COUNT(BS18,BS23)=0,"",BS18+BS23)</f>
        <v/>
      </c>
      <c r="BT24" s="14">
        <f>BT18+BT23</f>
        <v/>
      </c>
      <c r="BU24" s="14">
        <f>BU18+BU23</f>
        <v/>
      </c>
      <c r="BV24" s="13">
        <f>IF(COUNT(BV18,BV23)=0,"",BV18+BV23)</f>
        <v/>
      </c>
      <c r="BW24" s="13">
        <f>BW18+BW23</f>
        <v/>
      </c>
      <c r="BX24" s="13">
        <f>BX18+BX23</f>
        <v/>
      </c>
      <c r="BY24" s="14">
        <f>IF(COUNT(BY18,BY23)=0,"",BY18+BY23)</f>
        <v/>
      </c>
      <c r="BZ24" s="14">
        <f>BZ18+BZ23</f>
        <v/>
      </c>
      <c r="CA24" s="14">
        <f>CA18+CA23</f>
        <v/>
      </c>
      <c r="CB24" s="13">
        <f>IF(COUNT(CB18,CB23)=0,"",CB18+CB23)</f>
        <v/>
      </c>
      <c r="CC24" s="13">
        <f>CC18+CC23</f>
        <v/>
      </c>
      <c r="CD24" s="13">
        <f>CD18+CD23</f>
        <v/>
      </c>
      <c r="CE24" s="14">
        <f>IF(COUNT(CE18,CE23)=0,"",CE18+CE23)</f>
        <v/>
      </c>
      <c r="CF24" s="14">
        <f>CF18+CF23</f>
        <v/>
      </c>
      <c r="CG24" s="14">
        <f>CG18+CG23</f>
        <v/>
      </c>
      <c r="CH24" s="13">
        <f>IF(COUNT(CH18,CH23)=0,"",CH18+CH23)</f>
        <v/>
      </c>
      <c r="CI24" s="13">
        <f>CI18+CI23</f>
        <v/>
      </c>
      <c r="CJ24" s="13">
        <f>CJ18+CJ23</f>
        <v/>
      </c>
      <c r="CK24" s="14">
        <f>IF(COUNT(CK18,CK23)=0,"",CK18+CK23)</f>
        <v/>
      </c>
      <c r="CL24" s="14">
        <f>CL18+CL23</f>
        <v/>
      </c>
      <c r="CM24" s="14">
        <f>CM18+CM23</f>
        <v/>
      </c>
      <c r="CN24" s="13">
        <f>IF(COUNT(CN18,CN23)=0,"",CN18+CN23)</f>
        <v/>
      </c>
      <c r="CO24" s="13">
        <f>CO18+CO23</f>
        <v/>
      </c>
      <c r="CP24" s="13">
        <f>CP18+CP23</f>
        <v/>
      </c>
      <c r="CQ24" s="14">
        <f>IF(COUNT(CQ18,CQ23)=0,"",CQ18+CQ23)</f>
        <v/>
      </c>
      <c r="CR24" s="14">
        <f>CR18+CR23</f>
        <v/>
      </c>
      <c r="CS24" s="14">
        <f>CS18+CS23</f>
        <v/>
      </c>
      <c r="CT24" s="13">
        <f>IF(COUNT(CT18,CT23)=0,"",CT18+CT23)</f>
        <v/>
      </c>
      <c r="CU24" s="13">
        <f>CU18+CU23</f>
        <v/>
      </c>
      <c r="CV24" s="13">
        <f>CV18+CV23</f>
        <v/>
      </c>
      <c r="CW24" s="14">
        <f>IF(COUNT(CW18,CW23)=0,"",CW18+CW23)</f>
        <v/>
      </c>
      <c r="CX24" s="14">
        <f>CX18+CX23</f>
        <v/>
      </c>
      <c r="CY24" s="14">
        <f>CY18+CY23</f>
        <v/>
      </c>
      <c r="CZ24" s="13">
        <f>IF(COUNT(CZ18,CZ23)=0,"",CZ18+CZ23)</f>
        <v/>
      </c>
      <c r="DA24" s="13">
        <f>DA18+DA23</f>
        <v/>
      </c>
      <c r="DB24" s="13">
        <f>DB18+DB23</f>
        <v/>
      </c>
      <c r="DC24" s="14">
        <f>IF(COUNT(DC18,DC23)=0,"",DC18+DC23)</f>
        <v/>
      </c>
      <c r="DD24" s="14">
        <f>DD18+DD23</f>
        <v/>
      </c>
      <c r="DE24" s="14">
        <f>DE18+DE23</f>
        <v/>
      </c>
      <c r="DF24" s="13">
        <f>IF(COUNT(DF18,DF23)=0,"",DF18+DF23)</f>
        <v/>
      </c>
      <c r="DG24" s="13">
        <f>DG18+DG23</f>
        <v/>
      </c>
      <c r="DH24" s="13">
        <f>DH18+DH23</f>
        <v/>
      </c>
      <c r="DI24" s="14">
        <f>IF(COUNT(DI18,DI23)=0,"",DI18+DI23)</f>
        <v/>
      </c>
      <c r="DJ24" s="14">
        <f>DJ18+DJ23</f>
        <v/>
      </c>
      <c r="DK24" s="14">
        <f>DK18+DK23</f>
        <v/>
      </c>
      <c r="DL24" s="13">
        <f>IF(COUNT(DL18,DL23)=0,"",DL18+DL23)</f>
        <v/>
      </c>
      <c r="DM24" s="13">
        <f>DM18+DM23</f>
        <v/>
      </c>
      <c r="DN24" s="13">
        <f>DN18+DN23</f>
        <v/>
      </c>
    </row>
    <row r="25">
      <c r="A25" s="2" t="inlineStr">
        <is>
          <t>Cost per New Customer</t>
        </is>
      </c>
      <c r="B25" s="22">
        <f>IF(SUM(AR6,AO6,AL6,AI6,AF6,AC6,Z6,W6,T6,Q6,N6,K6)=0,"",SUM(AR24,AO24,AL24,AI24,AF24,AC24,Z24,W24,T24,Q24,N24,K24)/SUM(AR6,AO6,AL6,AI6,AF6,AC6,Z6,W6,T6,Q6,N6,K6))</f>
        <v/>
      </c>
      <c r="C25" s="22">
        <f>IF(SUM(AS6,AP6,AM6,AJ6,AG6,AD6,AA6,X6,U6,R6,O6,L6)=0,"",SUM(AS24,AP24,AM24,AJ24,AG24,AD24,AA24,X24,U24,R24,O24,L24)/SUM(AS6,AP6,AM6,AJ6,AG6,AD6,AA6,X6,U6,R6,O6,L6))</f>
        <v/>
      </c>
      <c r="D25" s="22">
        <f>IF(SUM(AT6,AQ6,AN6,AK6,AH6,AE6,AB6,Y6,V6,S6,P6,M6)=0,"",SUM(AT24,AQ24,AN24,AK24,AH24,AE24,AB24,Y24,V24,S24,P24,M24)/SUM(AT6,AQ6,AN6,AK6,AH6,AE6,AB6,Y6,V6,S6,P6,M6))</f>
        <v/>
      </c>
      <c r="E25" s="23">
        <f>IF(SUM(CB6,BY6,BV6,BS6,BP6,BM6,BJ6,BG6,BD6,BA6,AX6,AU6)=0,"",SUM(CB24,BY24,BV24,BS24,BP24,BM24,BJ24,BG24,BD24,BA24,AX24,AU24)/SUM(CB6,BY6,BV6,BS6,BP6,BM6,BJ6,BG6,BD6,BA6,AX6,AU6))</f>
        <v/>
      </c>
      <c r="F25" s="23">
        <f>IF(SUM(CC6,BZ6,BW6,BT6,BQ6,BN6,BK6,BH6,BE6,BB6,AY6,AV6)=0,"",SUM(CC24,BZ24,BW24,BT24,BQ24,BN24,BK24,BH24,BE24,BB24,AY24,AV24)/SUM(CC6,BZ6,BW6,BT6,BQ6,BN6,BK6,BH6,BE6,BB6,AY6,AV6))</f>
        <v/>
      </c>
      <c r="G25" s="23">
        <f>IF(SUM(CD6,CA6,BX6,BU6,BR6,BO6,BL6,BI6,BF6,BC6,AZ6,AW6)=0,"",SUM(CD24,CA24,BX24,BU24,BR24,BO24,BL24,BI24,BF24,BC24,AZ24,AW24)/SUM(CD6,CA6,BX6,BU6,BR6,BO6,BL6,BI6,BF6,BC6,AZ6,AW6))</f>
        <v/>
      </c>
      <c r="H25" s="22">
        <f>IF(SUM(DL6,DI6,DF6,DC6,CZ6,CW6,CT6,CQ6,CN6,CK6,CH6,CE6)=0,"",SUM(DL24,DI24,DF24,DC24,CZ24,CW24,CT24,CQ24,CN24,CK24,CH24,CE24)/SUM(DL6,DI6,DF6,DC6,CZ6,CW6,CT6,CQ6,CN6,CK6,CH6,CE6))</f>
        <v/>
      </c>
      <c r="I25" s="22">
        <f>IF(SUM(DM6,DJ6,DG6,DD6,DA6,CX6,CU6,CR6,CO6,CL6,CI6,CF6)=0,"",SUM(DM24,DJ24,DG24,DD24,DA24,CX24,CU24,CR24,CO24,CL24,CI24,CF24)/SUM(DM6,DJ6,DG6,DD6,DA6,CX6,CU6,CR6,CO6,CL6,CI6,CF6))</f>
        <v/>
      </c>
      <c r="J25" s="22">
        <f>IF(SUM(DN6,DK6,DH6,DE6,DB6,CY6,CV6,CS6,CP6,CM6,CJ6,CG6)=0,"",SUM(DN24,DK24,DH24,DE24,DB24,CY24,CV24,CS24,CP24,CM24,CJ24,CG24)/SUM(DN6,DK6,DH6,DE6,DB6,CY6,CV6,CS6,CP6,CM6,CJ6,CG6))</f>
        <v/>
      </c>
      <c r="K25" s="23">
        <f>IF(COUNT(K24,K6)=2,IF(N(K6)=0,"",K24/K6),"")</f>
        <v/>
      </c>
      <c r="L25" s="23">
        <f>IF(N(L6)=0,"",L24/L6)</f>
        <v/>
      </c>
      <c r="M25" s="23">
        <f>IF(N(M6)=0,"",M24/M6)</f>
        <v/>
      </c>
      <c r="N25" s="22">
        <f>IF(COUNT(N24,N6)=2,IF(N(N6)=0,"",N24/N6),"")</f>
        <v/>
      </c>
      <c r="O25" s="22">
        <f>IF(N(O6)=0,"",O24/O6)</f>
        <v/>
      </c>
      <c r="P25" s="22">
        <f>IF(N(P6)=0,"",P24/P6)</f>
        <v/>
      </c>
      <c r="Q25" s="23">
        <f>IF(COUNT(Q24,Q6)=2,IF(N(Q6)=0,"",Q24/Q6),"")</f>
        <v/>
      </c>
      <c r="R25" s="23">
        <f>IF(N(R6)=0,"",R24/R6)</f>
        <v/>
      </c>
      <c r="S25" s="23">
        <f>IF(N(S6)=0,"",S24/S6)</f>
        <v/>
      </c>
      <c r="T25" s="22">
        <f>IF(COUNT(T24,T6)=2,IF(N(T6)=0,"",T24/T6),"")</f>
        <v/>
      </c>
      <c r="U25" s="22">
        <f>IF(N(U6)=0,"",U24/U6)</f>
        <v/>
      </c>
      <c r="V25" s="22">
        <f>IF(N(V6)=0,"",V24/V6)</f>
        <v/>
      </c>
      <c r="W25" s="23">
        <f>IF(COUNT(W24,W6)=2,IF(N(W6)=0,"",W24/W6),"")</f>
        <v/>
      </c>
      <c r="X25" s="23">
        <f>IF(N(X6)=0,"",X24/X6)</f>
        <v/>
      </c>
      <c r="Y25" s="23">
        <f>IF(N(Y6)=0,"",Y24/Y6)</f>
        <v/>
      </c>
      <c r="Z25" s="22">
        <f>IF(COUNT(Z24,Z6)=2,IF(N(Z6)=0,"",Z24/Z6),"")</f>
        <v/>
      </c>
      <c r="AA25" s="22">
        <f>IF(N(AA6)=0,"",AA24/AA6)</f>
        <v/>
      </c>
      <c r="AB25" s="22">
        <f>IF(N(AB6)=0,"",AB24/AB6)</f>
        <v/>
      </c>
      <c r="AC25" s="23">
        <f>IF(COUNT(AC24,AC6)=2,IF(N(AC6)=0,"",AC24/AC6),"")</f>
        <v/>
      </c>
      <c r="AD25" s="23">
        <f>IF(N(AD6)=0,"",AD24/AD6)</f>
        <v/>
      </c>
      <c r="AE25" s="23">
        <f>IF(N(AE6)=0,"",AE24/AE6)</f>
        <v/>
      </c>
      <c r="AF25" s="22">
        <f>IF(COUNT(AF24,AF6)=2,IF(N(AF6)=0,"",AF24/AF6),"")</f>
        <v/>
      </c>
      <c r="AG25" s="22">
        <f>IF(N(AG6)=0,"",AG24/AG6)</f>
        <v/>
      </c>
      <c r="AH25" s="22">
        <f>IF(N(AH6)=0,"",AH24/AH6)</f>
        <v/>
      </c>
      <c r="AI25" s="23">
        <f>IF(COUNT(AI24,AI6)=2,IF(N(AI6)=0,"",AI24/AI6),"")</f>
        <v/>
      </c>
      <c r="AJ25" s="23">
        <f>IF(N(AJ6)=0,"",AJ24/AJ6)</f>
        <v/>
      </c>
      <c r="AK25" s="23">
        <f>IF(N(AK6)=0,"",AK24/AK6)</f>
        <v/>
      </c>
      <c r="AL25" s="22">
        <f>IF(COUNT(AL24,AL6)=2,IF(N(AL6)=0,"",AL24/AL6),"")</f>
        <v/>
      </c>
      <c r="AM25" s="22">
        <f>IF(N(AM6)=0,"",AM24/AM6)</f>
        <v/>
      </c>
      <c r="AN25" s="22">
        <f>IF(N(AN6)=0,"",AN24/AN6)</f>
        <v/>
      </c>
      <c r="AO25" s="23">
        <f>IF(COUNT(AO24,AO6)=2,IF(N(AO6)=0,"",AO24/AO6),"")</f>
        <v/>
      </c>
      <c r="AP25" s="23">
        <f>IF(N(AP6)=0,"",AP24/AP6)</f>
        <v/>
      </c>
      <c r="AQ25" s="23">
        <f>IF(N(AQ6)=0,"",AQ24/AQ6)</f>
        <v/>
      </c>
      <c r="AR25" s="22">
        <f>IF(COUNT(AR24,AR6)=2,IF(N(AR6)=0,"",AR24/AR6),"")</f>
        <v/>
      </c>
      <c r="AS25" s="22">
        <f>IF(N(AS6)=0,"",AS24/AS6)</f>
        <v/>
      </c>
      <c r="AT25" s="22">
        <f>IF(N(AT6)=0,"",AT24/AT6)</f>
        <v/>
      </c>
      <c r="AU25" s="23">
        <f>IF(COUNT(AU24,AU6)=2,IF(N(AU6)=0,"",AU24/AU6),"")</f>
        <v/>
      </c>
      <c r="AV25" s="23">
        <f>IF(N(AV6)=0,"",AV24/AV6)</f>
        <v/>
      </c>
      <c r="AW25" s="23">
        <f>IF(N(AW6)=0,"",AW24/AW6)</f>
        <v/>
      </c>
      <c r="AX25" s="22">
        <f>IF(COUNT(AX24,AX6)=2,IF(N(AX6)=0,"",AX24/AX6),"")</f>
        <v/>
      </c>
      <c r="AY25" s="22">
        <f>IF(N(AY6)=0,"",AY24/AY6)</f>
        <v/>
      </c>
      <c r="AZ25" s="22">
        <f>IF(N(AZ6)=0,"",AZ24/AZ6)</f>
        <v/>
      </c>
      <c r="BA25" s="23">
        <f>IF(COUNT(BA24,BA6)=2,IF(N(BA6)=0,"",BA24/BA6),"")</f>
        <v/>
      </c>
      <c r="BB25" s="23">
        <f>IF(N(BB6)=0,"",BB24/BB6)</f>
        <v/>
      </c>
      <c r="BC25" s="23">
        <f>IF(N(BC6)=0,"",BC24/BC6)</f>
        <v/>
      </c>
      <c r="BD25" s="22">
        <f>IF(COUNT(BD24,BD6)=2,IF(N(BD6)=0,"",BD24/BD6),"")</f>
        <v/>
      </c>
      <c r="BE25" s="22">
        <f>IF(N(BE6)=0,"",BE24/BE6)</f>
        <v/>
      </c>
      <c r="BF25" s="22">
        <f>IF(N(BF6)=0,"",BF24/BF6)</f>
        <v/>
      </c>
      <c r="BG25" s="23">
        <f>IF(COUNT(BG24,BG6)=2,IF(N(BG6)=0,"",BG24/BG6),"")</f>
        <v/>
      </c>
      <c r="BH25" s="23">
        <f>IF(N(BH6)=0,"",BH24/BH6)</f>
        <v/>
      </c>
      <c r="BI25" s="23">
        <f>IF(N(BI6)=0,"",BI24/BI6)</f>
        <v/>
      </c>
      <c r="BJ25" s="22">
        <f>IF(COUNT(BJ24,BJ6)=2,IF(N(BJ6)=0,"",BJ24/BJ6),"")</f>
        <v/>
      </c>
      <c r="BK25" s="22">
        <f>IF(N(BK6)=0,"",BK24/BK6)</f>
        <v/>
      </c>
      <c r="BL25" s="22">
        <f>IF(N(BL6)=0,"",BL24/BL6)</f>
        <v/>
      </c>
      <c r="BM25" s="23">
        <f>IF(COUNT(BM24,BM6)=2,IF(N(BM6)=0,"",BM24/BM6),"")</f>
        <v/>
      </c>
      <c r="BN25" s="23">
        <f>IF(N(BN6)=0,"",BN24/BN6)</f>
        <v/>
      </c>
      <c r="BO25" s="23">
        <f>IF(N(BO6)=0,"",BO24/BO6)</f>
        <v/>
      </c>
      <c r="BP25" s="22">
        <f>IF(COUNT(BP24,BP6)=2,IF(N(BP6)=0,"",BP24/BP6),"")</f>
        <v/>
      </c>
      <c r="BQ25" s="22">
        <f>IF(N(BQ6)=0,"",BQ24/BQ6)</f>
        <v/>
      </c>
      <c r="BR25" s="22">
        <f>IF(N(BR6)=0,"",BR24/BR6)</f>
        <v/>
      </c>
      <c r="BS25" s="23">
        <f>IF(COUNT(BS24,BS6)=2,IF(N(BS6)=0,"",BS24/BS6),"")</f>
        <v/>
      </c>
      <c r="BT25" s="23">
        <f>IF(N(BT6)=0,"",BT24/BT6)</f>
        <v/>
      </c>
      <c r="BU25" s="23">
        <f>IF(N(BU6)=0,"",BU24/BU6)</f>
        <v/>
      </c>
      <c r="BV25" s="22">
        <f>IF(COUNT(BV24,BV6)=2,IF(N(BV6)=0,"",BV24/BV6),"")</f>
        <v/>
      </c>
      <c r="BW25" s="22">
        <f>IF(N(BW6)=0,"",BW24/BW6)</f>
        <v/>
      </c>
      <c r="BX25" s="22">
        <f>IF(N(BX6)=0,"",BX24/BX6)</f>
        <v/>
      </c>
      <c r="BY25" s="23">
        <f>IF(COUNT(BY24,BY6)=2,IF(N(BY6)=0,"",BY24/BY6),"")</f>
        <v/>
      </c>
      <c r="BZ25" s="23">
        <f>IF(N(BZ6)=0,"",BZ24/BZ6)</f>
        <v/>
      </c>
      <c r="CA25" s="23">
        <f>IF(N(CA6)=0,"",CA24/CA6)</f>
        <v/>
      </c>
      <c r="CB25" s="22">
        <f>IF(COUNT(CB24,CB6)=2,IF(N(CB6)=0,"",CB24/CB6),"")</f>
        <v/>
      </c>
      <c r="CC25" s="22">
        <f>IF(N(CC6)=0,"",CC24/CC6)</f>
        <v/>
      </c>
      <c r="CD25" s="22">
        <f>IF(N(CD6)=0,"",CD24/CD6)</f>
        <v/>
      </c>
      <c r="CE25" s="23">
        <f>IF(COUNT(CE24,CE6)=2,IF(N(CE6)=0,"",CE24/CE6),"")</f>
        <v/>
      </c>
      <c r="CF25" s="23">
        <f>IF(N(CF6)=0,"",CF24/CF6)</f>
        <v/>
      </c>
      <c r="CG25" s="23">
        <f>IF(N(CG6)=0,"",CG24/CG6)</f>
        <v/>
      </c>
      <c r="CH25" s="22">
        <f>IF(COUNT(CH24,CH6)=2,IF(N(CH6)=0,"",CH24/CH6),"")</f>
        <v/>
      </c>
      <c r="CI25" s="22">
        <f>IF(N(CI6)=0,"",CI24/CI6)</f>
        <v/>
      </c>
      <c r="CJ25" s="22">
        <f>IF(N(CJ6)=0,"",CJ24/CJ6)</f>
        <v/>
      </c>
      <c r="CK25" s="23">
        <f>IF(COUNT(CK24,CK6)=2,IF(N(CK6)=0,"",CK24/CK6),"")</f>
        <v/>
      </c>
      <c r="CL25" s="23">
        <f>IF(N(CL6)=0,"",CL24/CL6)</f>
        <v/>
      </c>
      <c r="CM25" s="23">
        <f>IF(N(CM6)=0,"",CM24/CM6)</f>
        <v/>
      </c>
      <c r="CN25" s="22">
        <f>IF(COUNT(CN24,CN6)=2,IF(N(CN6)=0,"",CN24/CN6),"")</f>
        <v/>
      </c>
      <c r="CO25" s="22">
        <f>IF(N(CO6)=0,"",CO24/CO6)</f>
        <v/>
      </c>
      <c r="CP25" s="22">
        <f>IF(N(CP6)=0,"",CP24/CP6)</f>
        <v/>
      </c>
      <c r="CQ25" s="23">
        <f>IF(COUNT(CQ24,CQ6)=2,IF(N(CQ6)=0,"",CQ24/CQ6),"")</f>
        <v/>
      </c>
      <c r="CR25" s="23">
        <f>IF(N(CR6)=0,"",CR24/CR6)</f>
        <v/>
      </c>
      <c r="CS25" s="23">
        <f>IF(N(CS6)=0,"",CS24/CS6)</f>
        <v/>
      </c>
      <c r="CT25" s="22">
        <f>IF(COUNT(CT24,CT6)=2,IF(N(CT6)=0,"",CT24/CT6),"")</f>
        <v/>
      </c>
      <c r="CU25" s="22">
        <f>IF(N(CU6)=0,"",CU24/CU6)</f>
        <v/>
      </c>
      <c r="CV25" s="22">
        <f>IF(N(CV6)=0,"",CV24/CV6)</f>
        <v/>
      </c>
      <c r="CW25" s="23">
        <f>IF(COUNT(CW24,CW6)=2,IF(N(CW6)=0,"",CW24/CW6),"")</f>
        <v/>
      </c>
      <c r="CX25" s="23">
        <f>IF(N(CX6)=0,"",CX24/CX6)</f>
        <v/>
      </c>
      <c r="CY25" s="23">
        <f>IF(N(CY6)=0,"",CY24/CY6)</f>
        <v/>
      </c>
      <c r="CZ25" s="22">
        <f>IF(COUNT(CZ24,CZ6)=2,IF(N(CZ6)=0,"",CZ24/CZ6),"")</f>
        <v/>
      </c>
      <c r="DA25" s="22">
        <f>IF(N(DA6)=0,"",DA24/DA6)</f>
        <v/>
      </c>
      <c r="DB25" s="22">
        <f>IF(N(DB6)=0,"",DB24/DB6)</f>
        <v/>
      </c>
      <c r="DC25" s="23">
        <f>IF(COUNT(DC24,DC6)=2,IF(N(DC6)=0,"",DC24/DC6),"")</f>
        <v/>
      </c>
      <c r="DD25" s="23">
        <f>IF(N(DD6)=0,"",DD24/DD6)</f>
        <v/>
      </c>
      <c r="DE25" s="23">
        <f>IF(N(DE6)=0,"",DE24/DE6)</f>
        <v/>
      </c>
      <c r="DF25" s="22">
        <f>IF(COUNT(DF24,DF6)=2,IF(N(DF6)=0,"",DF24/DF6),"")</f>
        <v/>
      </c>
      <c r="DG25" s="22">
        <f>IF(N(DG6)=0,"",DG24/DG6)</f>
        <v/>
      </c>
      <c r="DH25" s="22">
        <f>IF(N(DH6)=0,"",DH24/DH6)</f>
        <v/>
      </c>
      <c r="DI25" s="23">
        <f>IF(COUNT(DI24,DI6)=2,IF(N(DI6)=0,"",DI24/DI6),"")</f>
        <v/>
      </c>
      <c r="DJ25" s="23">
        <f>IF(N(DJ6)=0,"",DJ24/DJ6)</f>
        <v/>
      </c>
      <c r="DK25" s="23">
        <f>IF(N(DK6)=0,"",DK24/DK6)</f>
        <v/>
      </c>
      <c r="DL25" s="22">
        <f>IF(COUNT(DL24,DL6)=2,IF(N(DL6)=0,"",DL24/DL6),"")</f>
        <v/>
      </c>
      <c r="DM25" s="22">
        <f>IF(N(DM6)=0,"",DM24/DM6)</f>
        <v/>
      </c>
      <c r="DN25" s="22">
        <f>IF(N(DN6)=0,"",DN24/DN6)</f>
        <v/>
      </c>
    </row>
    <row r="26">
      <c r="A26" s="15" t="inlineStr">
        <is>
          <t>People</t>
        </is>
      </c>
      <c r="B26" s="35" t="n"/>
      <c r="C26" s="35" t="n"/>
      <c r="D26" s="35" t="n"/>
      <c r="H26" s="35" t="n"/>
      <c r="I26" s="35" t="n"/>
      <c r="J26" s="35" t="n"/>
      <c r="N26" s="35" t="n"/>
      <c r="O26" s="35" t="n"/>
      <c r="P26" s="35" t="n"/>
      <c r="T26" s="35" t="n"/>
      <c r="U26" s="35" t="n"/>
      <c r="V26" s="35" t="n"/>
      <c r="Z26" s="35" t="n"/>
      <c r="AA26" s="35" t="n"/>
      <c r="AB26" s="35" t="n"/>
      <c r="AF26" s="35" t="n"/>
      <c r="AG26" s="35" t="n"/>
      <c r="AH26" s="35" t="n"/>
      <c r="AL26" s="35" t="n"/>
      <c r="AM26" s="35" t="n"/>
      <c r="AN26" s="35" t="n"/>
      <c r="AR26" s="35" t="n"/>
      <c r="AS26" s="35" t="n"/>
      <c r="AT26" s="35" t="n"/>
      <c r="AX26" s="35" t="n"/>
      <c r="AY26" s="35" t="n"/>
      <c r="AZ26" s="35" t="n"/>
      <c r="BD26" s="35" t="n"/>
      <c r="BE26" s="35" t="n"/>
      <c r="BF26" s="35" t="n"/>
      <c r="BJ26" s="35" t="n"/>
      <c r="BK26" s="35" t="n"/>
      <c r="BL26" s="35" t="n"/>
      <c r="BP26" s="35" t="n"/>
      <c r="BQ26" s="35" t="n"/>
      <c r="BR26" s="35" t="n"/>
      <c r="BV26" s="35" t="n"/>
      <c r="BW26" s="35" t="n"/>
      <c r="BX26" s="35" t="n"/>
      <c r="CB26" s="35" t="n"/>
      <c r="CC26" s="35" t="n"/>
      <c r="CD26" s="35" t="n"/>
      <c r="CH26" s="35" t="n"/>
      <c r="CI26" s="35" t="n"/>
      <c r="CJ26" s="35" t="n"/>
      <c r="CN26" s="35" t="n"/>
      <c r="CO26" s="35" t="n"/>
      <c r="CP26" s="35" t="n"/>
      <c r="CT26" s="35" t="n"/>
      <c r="CU26" s="35" t="n"/>
      <c r="CV26" s="35" t="n"/>
      <c r="CZ26" s="35" t="n"/>
      <c r="DA26" s="35" t="n"/>
      <c r="DB26" s="35" t="n"/>
      <c r="DF26" s="35" t="n"/>
      <c r="DG26" s="35" t="n"/>
      <c r="DH26" s="35" t="n"/>
      <c r="DL26" s="35" t="n"/>
      <c r="DM26" s="35" t="n"/>
      <c r="DN26" s="35" t="n"/>
    </row>
    <row r="27">
      <c r="A27" s="2" t="inlineStr">
        <is>
          <t>VP Sales</t>
        </is>
      </c>
      <c r="B27" s="10">
        <f>IF(COUNT(AR27,AO27,AL27,AI27,AF27,AC27,Z27,W27,T27,Q27,N27,K27)=0,"",SUM(AR27,AO27,AL27,AI27,AF27,AC27,Z27,W27,T27,Q27,N27,K27))</f>
        <v/>
      </c>
      <c r="C27" s="10">
        <f>IF(COUNT(AS27,AP27,AM27,AJ27,AG27,AD27,AA27,X27,U27,R27,O27,L27)=0,"",SUM(AS27,AP27,AM27,AJ27,AG27,AD27,AA27,X27,U27,R27,O27,L27))</f>
        <v/>
      </c>
      <c r="D27" s="10">
        <f>IF(COUNT(AT27,AQ27,AN27,AK27,AH27,AE27,AB27,Y27,V27,S27,P27,M27)=0,"",SUM(AT27,AQ27,AN27,AK27,AH27,AE27,AB27,Y27,V27,S27,P27,M27))</f>
        <v/>
      </c>
      <c r="E27" s="11">
        <f>IF(COUNT(CB27,BY27,BV27,BS27,BP27,BM27,BJ27,BG27,BD27,BA27,AX27,AU27)=0,"",SUM(CB27,BY27,BV27,BS27,BP27,BM27,BJ27,BG27,BD27,BA27,AX27,AU27))</f>
        <v/>
      </c>
      <c r="F27" s="11">
        <f>IF(COUNT(CC27,BZ27,BW27,BT27,BQ27,BN27,BK27,BH27,BE27,BB27,AY27,AV27)=0,"",SUM(CC27,BZ27,BW27,BT27,BQ27,BN27,BK27,BH27,BE27,BB27,AY27,AV27))</f>
        <v/>
      </c>
      <c r="G27" s="11">
        <f>IF(COUNT(CD27,CA27,BX27,BU27,BR27,BO27,BL27,BI27,BF27,BC27,AZ27,AW27)=0,"",SUM(CD27,CA27,BX27,BU27,BR27,BO27,BL27,BI27,BF27,BC27,AZ27,AW27))</f>
        <v/>
      </c>
      <c r="H27" s="10">
        <f>IF(COUNT(DL27,DI27,DF27,DC27,CZ27,CW27,CT27,CQ27,CN27,CK27,CH27,CE27)=0,"",SUM(DL27,DI27,DF27,DC27,CZ27,CW27,CT27,CQ27,CN27,CK27,CH27,CE27))</f>
        <v/>
      </c>
      <c r="I27" s="10">
        <f>IF(COUNT(DM27,DJ27,DG27,DD27,DA27,CX27,CU27,CR27,CO27,CL27,CI27,CF27)=0,"",SUM(DM27,DJ27,DG27,DD27,DA27,CX27,CU27,CR27,CO27,CL27,CI27,CF27))</f>
        <v/>
      </c>
      <c r="J27" s="10">
        <f>IF(COUNT(DN27,DK27,DH27,DE27,DB27,CY27,CV27,CS27,CP27,CM27,CJ27,CG27)=0,"",SUM(DN27,DK27,DH27,DE27,DB27,CY27,CV27,CS27,CP27,CM27,CJ27,CG27))</f>
        <v/>
      </c>
      <c r="K27" s="11" t="n"/>
      <c r="L27" s="11" t="n">
        <v>16000</v>
      </c>
      <c r="M27" s="11" t="n">
        <v>16000</v>
      </c>
      <c r="N27" s="10" t="n"/>
      <c r="O27" s="10" t="n">
        <v>16000</v>
      </c>
      <c r="P27" s="10" t="n">
        <v>16000</v>
      </c>
      <c r="Q27" s="11" t="n"/>
      <c r="R27" s="11" t="n">
        <v>16000</v>
      </c>
      <c r="S27" s="11" t="n">
        <v>16000</v>
      </c>
      <c r="T27" s="10" t="n"/>
      <c r="U27" s="10" t="n">
        <v>16000</v>
      </c>
      <c r="V27" s="10" t="n">
        <v>16000</v>
      </c>
      <c r="W27" s="11" t="n"/>
      <c r="X27" s="11" t="n">
        <v>16000</v>
      </c>
      <c r="Y27" s="11" t="n">
        <v>16000</v>
      </c>
      <c r="Z27" s="10" t="n"/>
      <c r="AA27" s="10" t="n">
        <v>16000</v>
      </c>
      <c r="AB27" s="10" t="n">
        <v>16000</v>
      </c>
      <c r="AC27" s="11" t="n"/>
      <c r="AD27" s="11" t="n">
        <v>16000</v>
      </c>
      <c r="AE27" s="11" t="n">
        <v>16000</v>
      </c>
      <c r="AF27" s="10" t="n"/>
      <c r="AG27" s="10" t="n">
        <v>16000</v>
      </c>
      <c r="AH27" s="10" t="n">
        <v>16000</v>
      </c>
      <c r="AI27" s="11" t="n"/>
      <c r="AJ27" s="11" t="n">
        <v>16000</v>
      </c>
      <c r="AK27" s="11" t="n">
        <v>16000</v>
      </c>
      <c r="AL27" s="10" t="n"/>
      <c r="AM27" s="10" t="n">
        <v>16000</v>
      </c>
      <c r="AN27" s="10" t="n">
        <v>16000</v>
      </c>
      <c r="AO27" s="11" t="n"/>
      <c r="AP27" s="11" t="n">
        <v>16000</v>
      </c>
      <c r="AQ27" s="11" t="n">
        <v>16000</v>
      </c>
      <c r="AR27" s="10" t="n"/>
      <c r="AS27" s="10" t="n">
        <v>16000</v>
      </c>
      <c r="AT27" s="10" t="n">
        <v>16000</v>
      </c>
      <c r="AU27" s="11" t="n"/>
      <c r="AV27" s="11" t="n">
        <v>16000</v>
      </c>
      <c r="AW27" s="11" t="n">
        <v>16000</v>
      </c>
      <c r="AX27" s="10" t="n"/>
      <c r="AY27" s="10" t="n">
        <v>16000</v>
      </c>
      <c r="AZ27" s="10" t="n">
        <v>16000</v>
      </c>
      <c r="BA27" s="11" t="n"/>
      <c r="BB27" s="11" t="n">
        <v>16000</v>
      </c>
      <c r="BC27" s="11" t="n">
        <v>16000</v>
      </c>
      <c r="BD27" s="10" t="n"/>
      <c r="BE27" s="10" t="n">
        <v>16000</v>
      </c>
      <c r="BF27" s="10" t="n">
        <v>16000</v>
      </c>
      <c r="BG27" s="11" t="n"/>
      <c r="BH27" s="11" t="n">
        <v>16000</v>
      </c>
      <c r="BI27" s="11" t="n">
        <v>16000</v>
      </c>
      <c r="BJ27" s="10" t="n"/>
      <c r="BK27" s="10" t="n">
        <v>16000</v>
      </c>
      <c r="BL27" s="10" t="n">
        <v>16000</v>
      </c>
      <c r="BM27" s="11" t="n"/>
      <c r="BN27" s="11" t="n">
        <v>16000</v>
      </c>
      <c r="BO27" s="11" t="n">
        <v>16000</v>
      </c>
      <c r="BP27" s="10" t="n"/>
      <c r="BQ27" s="10" t="n">
        <v>16000</v>
      </c>
      <c r="BR27" s="10" t="n">
        <v>16000</v>
      </c>
      <c r="BS27" s="11" t="n"/>
      <c r="BT27" s="11" t="n">
        <v>16000</v>
      </c>
      <c r="BU27" s="11" t="n">
        <v>16000</v>
      </c>
      <c r="BV27" s="10" t="n"/>
      <c r="BW27" s="10" t="n">
        <v>16000</v>
      </c>
      <c r="BX27" s="10" t="n">
        <v>16000</v>
      </c>
      <c r="BY27" s="11" t="n"/>
      <c r="BZ27" s="11" t="n">
        <v>16000</v>
      </c>
      <c r="CA27" s="11" t="n">
        <v>16000</v>
      </c>
      <c r="CB27" s="10" t="n"/>
      <c r="CC27" s="10" t="n">
        <v>16000</v>
      </c>
      <c r="CD27" s="10" t="n">
        <v>16000</v>
      </c>
      <c r="CE27" s="11" t="n"/>
      <c r="CF27" s="11" t="n">
        <v>16000</v>
      </c>
      <c r="CG27" s="11" t="n">
        <v>16000</v>
      </c>
      <c r="CH27" s="10" t="n"/>
      <c r="CI27" s="10" t="n">
        <v>16000</v>
      </c>
      <c r="CJ27" s="10" t="n">
        <v>16000</v>
      </c>
      <c r="CK27" s="11" t="n"/>
      <c r="CL27" s="11" t="n">
        <v>16000</v>
      </c>
      <c r="CM27" s="11" t="n">
        <v>16000</v>
      </c>
      <c r="CN27" s="10" t="n"/>
      <c r="CO27" s="10" t="n">
        <v>16000</v>
      </c>
      <c r="CP27" s="10" t="n">
        <v>16000</v>
      </c>
      <c r="CQ27" s="11" t="n"/>
      <c r="CR27" s="11" t="n">
        <v>16000</v>
      </c>
      <c r="CS27" s="11" t="n">
        <v>16000</v>
      </c>
      <c r="CT27" s="10" t="n"/>
      <c r="CU27" s="10" t="n">
        <v>16000</v>
      </c>
      <c r="CV27" s="10" t="n">
        <v>16000</v>
      </c>
      <c r="CW27" s="11" t="n"/>
      <c r="CX27" s="11" t="n">
        <v>16000</v>
      </c>
      <c r="CY27" s="11" t="n">
        <v>16000</v>
      </c>
      <c r="CZ27" s="10" t="n"/>
      <c r="DA27" s="10" t="n">
        <v>16000</v>
      </c>
      <c r="DB27" s="10" t="n">
        <v>16000</v>
      </c>
      <c r="DC27" s="11" t="n"/>
      <c r="DD27" s="11" t="n">
        <v>16000</v>
      </c>
      <c r="DE27" s="11" t="n">
        <v>16000</v>
      </c>
      <c r="DF27" s="10" t="n"/>
      <c r="DG27" s="10" t="n">
        <v>16000</v>
      </c>
      <c r="DH27" s="10" t="n">
        <v>16000</v>
      </c>
      <c r="DI27" s="11" t="n">
        <v>16000</v>
      </c>
      <c r="DJ27" s="11" t="n">
        <v>16000</v>
      </c>
      <c r="DK27" s="11" t="n">
        <v>16000</v>
      </c>
      <c r="DL27" s="10" t="n">
        <v>16000</v>
      </c>
      <c r="DM27" s="10" t="n">
        <v>16000</v>
      </c>
      <c r="DN27" s="10" t="n">
        <v>16000</v>
      </c>
    </row>
    <row r="28">
      <c r="A28" s="2" t="inlineStr">
        <is>
          <t>Sales Manager</t>
        </is>
      </c>
      <c r="B28" s="10">
        <f>IF(COUNT(AR28,AO28,AL28,AI28,AF28,AC28,Z28,W28,T28,Q28,N28,K28)=0,"",SUM(AR28,AO28,AL28,AI28,AF28,AC28,Z28,W28,T28,Q28,N28,K28))</f>
        <v/>
      </c>
      <c r="C28" s="10">
        <f>IF(COUNT(AS28,AP28,AM28,AJ28,AG28,AD28,AA28,X28,U28,R28,O28,L28)=0,"",SUM(AS28,AP28,AM28,AJ28,AG28,AD28,AA28,X28,U28,R28,O28,L28))</f>
        <v/>
      </c>
      <c r="D28" s="10">
        <f>IF(COUNT(AT28,AQ28,AN28,AK28,AH28,AE28,AB28,Y28,V28,S28,P28,M28)=0,"",SUM(AT28,AQ28,AN28,AK28,AH28,AE28,AB28,Y28,V28,S28,P28,M28))</f>
        <v/>
      </c>
      <c r="E28" s="11">
        <f>IF(COUNT(CB28,BY28,BV28,BS28,BP28,BM28,BJ28,BG28,BD28,BA28,AX28,AU28)=0,"",SUM(CB28,BY28,BV28,BS28,BP28,BM28,BJ28,BG28,BD28,BA28,AX28,AU28))</f>
        <v/>
      </c>
      <c r="F28" s="11">
        <f>IF(COUNT(CC28,BZ28,BW28,BT28,BQ28,BN28,BK28,BH28,BE28,BB28,AY28,AV28)=0,"",SUM(CC28,BZ28,BW28,BT28,BQ28,BN28,BK28,BH28,BE28,BB28,AY28,AV28))</f>
        <v/>
      </c>
      <c r="G28" s="11">
        <f>IF(COUNT(CD28,CA28,BX28,BU28,BR28,BO28,BL28,BI28,BF28,BC28,AZ28,AW28)=0,"",SUM(CD28,CA28,BX28,BU28,BR28,BO28,BL28,BI28,BF28,BC28,AZ28,AW28))</f>
        <v/>
      </c>
      <c r="H28" s="10">
        <f>IF(COUNT(DL28,DI28,DF28,DC28,CZ28,CW28,CT28,CQ28,CN28,CK28,CH28,CE28)=0,"",SUM(DL28,DI28,DF28,DC28,CZ28,CW28,CT28,CQ28,CN28,CK28,CH28,CE28))</f>
        <v/>
      </c>
      <c r="I28" s="10">
        <f>IF(COUNT(DM28,DJ28,DG28,DD28,DA28,CX28,CU28,CR28,CO28,CL28,CI28,CF28)=0,"",SUM(DM28,DJ28,DG28,DD28,DA28,CX28,CU28,CR28,CO28,CL28,CI28,CF28))</f>
        <v/>
      </c>
      <c r="J28" s="10">
        <f>IF(COUNT(DN28,DK28,DH28,DE28,DB28,CY28,CV28,CS28,CP28,CM28,CJ28,CG28)=0,"",SUM(DN28,DK28,DH28,DE28,DB28,CY28,CV28,CS28,CP28,CM28,CJ28,CG28))</f>
        <v/>
      </c>
      <c r="K28" s="11" t="n"/>
      <c r="L28" s="11" t="n">
        <v>12000</v>
      </c>
      <c r="M28" s="11" t="n">
        <v>12000</v>
      </c>
      <c r="N28" s="10" t="n"/>
      <c r="O28" s="10" t="n">
        <v>12000</v>
      </c>
      <c r="P28" s="10" t="n">
        <v>12000</v>
      </c>
      <c r="Q28" s="11" t="n"/>
      <c r="R28" s="11" t="n">
        <v>12000</v>
      </c>
      <c r="S28" s="11" t="n">
        <v>12000</v>
      </c>
      <c r="T28" s="10" t="n"/>
      <c r="U28" s="10" t="n">
        <v>12000</v>
      </c>
      <c r="V28" s="10" t="n">
        <v>12000</v>
      </c>
      <c r="W28" s="11" t="n"/>
      <c r="X28" s="11" t="n">
        <v>12000</v>
      </c>
      <c r="Y28" s="11" t="n">
        <v>12000</v>
      </c>
      <c r="Z28" s="10" t="n"/>
      <c r="AA28" s="10" t="n">
        <v>12000</v>
      </c>
      <c r="AB28" s="10" t="n">
        <v>12000</v>
      </c>
      <c r="AC28" s="11" t="n"/>
      <c r="AD28" s="11" t="n">
        <v>12000</v>
      </c>
      <c r="AE28" s="11" t="n">
        <v>12000</v>
      </c>
      <c r="AF28" s="10" t="n"/>
      <c r="AG28" s="10" t="n">
        <v>12000</v>
      </c>
      <c r="AH28" s="10" t="n">
        <v>12000</v>
      </c>
      <c r="AI28" s="11" t="n"/>
      <c r="AJ28" s="11" t="n">
        <v>12000</v>
      </c>
      <c r="AK28" s="11" t="n">
        <v>12000</v>
      </c>
      <c r="AL28" s="10" t="n"/>
      <c r="AM28" s="10" t="n">
        <v>12000</v>
      </c>
      <c r="AN28" s="10" t="n">
        <v>12000</v>
      </c>
      <c r="AO28" s="11" t="n"/>
      <c r="AP28" s="11" t="n">
        <v>12000</v>
      </c>
      <c r="AQ28" s="11" t="n">
        <v>12000</v>
      </c>
      <c r="AR28" s="10" t="n"/>
      <c r="AS28" s="10" t="n">
        <v>12000</v>
      </c>
      <c r="AT28" s="10" t="n">
        <v>12000</v>
      </c>
      <c r="AU28" s="11" t="n"/>
      <c r="AV28" s="11" t="n">
        <v>12000</v>
      </c>
      <c r="AW28" s="11" t="n">
        <v>12000</v>
      </c>
      <c r="AX28" s="10" t="n"/>
      <c r="AY28" s="10" t="n">
        <v>12000</v>
      </c>
      <c r="AZ28" s="10" t="n">
        <v>12000</v>
      </c>
      <c r="BA28" s="11" t="n"/>
      <c r="BB28" s="11" t="n">
        <v>12000</v>
      </c>
      <c r="BC28" s="11" t="n">
        <v>12000</v>
      </c>
      <c r="BD28" s="10" t="n"/>
      <c r="BE28" s="10" t="n">
        <v>12000</v>
      </c>
      <c r="BF28" s="10" t="n">
        <v>12000</v>
      </c>
      <c r="BG28" s="11" t="n"/>
      <c r="BH28" s="11" t="n">
        <v>12000</v>
      </c>
      <c r="BI28" s="11" t="n">
        <v>12000</v>
      </c>
      <c r="BJ28" s="10" t="n"/>
      <c r="BK28" s="10" t="n">
        <v>12000</v>
      </c>
      <c r="BL28" s="10" t="n">
        <v>12000</v>
      </c>
      <c r="BM28" s="11" t="n"/>
      <c r="BN28" s="11" t="n">
        <v>12000</v>
      </c>
      <c r="BO28" s="11" t="n">
        <v>12000</v>
      </c>
      <c r="BP28" s="10" t="n"/>
      <c r="BQ28" s="10" t="n">
        <v>12000</v>
      </c>
      <c r="BR28" s="10" t="n">
        <v>12000</v>
      </c>
      <c r="BS28" s="11" t="n"/>
      <c r="BT28" s="11" t="n">
        <v>12000</v>
      </c>
      <c r="BU28" s="11" t="n">
        <v>12000</v>
      </c>
      <c r="BV28" s="10" t="n"/>
      <c r="BW28" s="10" t="n">
        <v>12000</v>
      </c>
      <c r="BX28" s="10" t="n">
        <v>12000</v>
      </c>
      <c r="BY28" s="11" t="n"/>
      <c r="BZ28" s="11" t="n">
        <v>12000</v>
      </c>
      <c r="CA28" s="11" t="n">
        <v>12000</v>
      </c>
      <c r="CB28" s="10" t="n"/>
      <c r="CC28" s="10" t="n">
        <v>12000</v>
      </c>
      <c r="CD28" s="10" t="n">
        <v>12000</v>
      </c>
      <c r="CE28" s="11" t="n"/>
      <c r="CF28" s="11" t="n">
        <v>12000</v>
      </c>
      <c r="CG28" s="11" t="n">
        <v>12000</v>
      </c>
      <c r="CH28" s="10" t="n"/>
      <c r="CI28" s="10" t="n">
        <v>12000</v>
      </c>
      <c r="CJ28" s="10" t="n">
        <v>12000</v>
      </c>
      <c r="CK28" s="11" t="n"/>
      <c r="CL28" s="11" t="n">
        <v>12000</v>
      </c>
      <c r="CM28" s="11" t="n">
        <v>12000</v>
      </c>
      <c r="CN28" s="10" t="n"/>
      <c r="CO28" s="10" t="n">
        <v>12000</v>
      </c>
      <c r="CP28" s="10" t="n">
        <v>12000</v>
      </c>
      <c r="CQ28" s="11" t="n"/>
      <c r="CR28" s="11" t="n">
        <v>12000</v>
      </c>
      <c r="CS28" s="11" t="n">
        <v>12000</v>
      </c>
      <c r="CT28" s="10" t="n"/>
      <c r="CU28" s="10" t="n">
        <v>12000</v>
      </c>
      <c r="CV28" s="10" t="n">
        <v>12000</v>
      </c>
      <c r="CW28" s="11" t="n"/>
      <c r="CX28" s="11" t="n">
        <v>12000</v>
      </c>
      <c r="CY28" s="11" t="n">
        <v>12000</v>
      </c>
      <c r="CZ28" s="10" t="n"/>
      <c r="DA28" s="10" t="n">
        <v>12000</v>
      </c>
      <c r="DB28" s="10" t="n">
        <v>12000</v>
      </c>
      <c r="DC28" s="11" t="n"/>
      <c r="DD28" s="11" t="n">
        <v>12000</v>
      </c>
      <c r="DE28" s="11" t="n">
        <v>12000</v>
      </c>
      <c r="DF28" s="10" t="n"/>
      <c r="DG28" s="10" t="n">
        <v>12000</v>
      </c>
      <c r="DH28" s="10" t="n">
        <v>12000</v>
      </c>
      <c r="DI28" s="11" t="n">
        <v>12000</v>
      </c>
      <c r="DJ28" s="11" t="n">
        <v>12000</v>
      </c>
      <c r="DK28" s="11" t="n">
        <v>12000</v>
      </c>
      <c r="DL28" s="10" t="n">
        <v>12000</v>
      </c>
      <c r="DM28" s="10" t="n">
        <v>12000</v>
      </c>
      <c r="DN28" s="10" t="n">
        <v>12000</v>
      </c>
    </row>
    <row r="29">
      <c r="A29" s="2" t="inlineStr">
        <is>
          <t>Senior Account Executive</t>
        </is>
      </c>
      <c r="B29" s="10">
        <f>IF(COUNT(AR29,AO29,AL29,AI29,AF29,AC29,Z29,W29,T29,Q29,N29,K29)=0,"",SUM(AR29,AO29,AL29,AI29,AF29,AC29,Z29,W29,T29,Q29,N29,K29))</f>
        <v/>
      </c>
      <c r="C29" s="10">
        <f>IF(COUNT(AS29,AP29,AM29,AJ29,AG29,AD29,AA29,X29,U29,R29,O29,L29)=0,"",SUM(AS29,AP29,AM29,AJ29,AG29,AD29,AA29,X29,U29,R29,O29,L29))</f>
        <v/>
      </c>
      <c r="D29" s="10">
        <f>IF(COUNT(AT29,AQ29,AN29,AK29,AH29,AE29,AB29,Y29,V29,S29,P29,M29)=0,"",SUM(AT29,AQ29,AN29,AK29,AH29,AE29,AB29,Y29,V29,S29,P29,M29))</f>
        <v/>
      </c>
      <c r="E29" s="11">
        <f>IF(COUNT(CB29,BY29,BV29,BS29,BP29,BM29,BJ29,BG29,BD29,BA29,AX29,AU29)=0,"",SUM(CB29,BY29,BV29,BS29,BP29,BM29,BJ29,BG29,BD29,BA29,AX29,AU29))</f>
        <v/>
      </c>
      <c r="F29" s="11">
        <f>IF(COUNT(CC29,BZ29,BW29,BT29,BQ29,BN29,BK29,BH29,BE29,BB29,AY29,AV29)=0,"",SUM(CC29,BZ29,BW29,BT29,BQ29,BN29,BK29,BH29,BE29,BB29,AY29,AV29))</f>
        <v/>
      </c>
      <c r="G29" s="11">
        <f>IF(COUNT(CD29,CA29,BX29,BU29,BR29,BO29,BL29,BI29,BF29,BC29,AZ29,AW29)=0,"",SUM(CD29,CA29,BX29,BU29,BR29,BO29,BL29,BI29,BF29,BC29,AZ29,AW29))</f>
        <v/>
      </c>
      <c r="H29" s="10">
        <f>IF(COUNT(DL29,DI29,DF29,DC29,CZ29,CW29,CT29,CQ29,CN29,CK29,CH29,CE29)=0,"",SUM(DL29,DI29,DF29,DC29,CZ29,CW29,CT29,CQ29,CN29,CK29,CH29,CE29))</f>
        <v/>
      </c>
      <c r="I29" s="10">
        <f>IF(COUNT(DM29,DJ29,DG29,DD29,DA29,CX29,CU29,CR29,CO29,CL29,CI29,CF29)=0,"",SUM(DM29,DJ29,DG29,DD29,DA29,CX29,CU29,CR29,CO29,CL29,CI29,CF29))</f>
        <v/>
      </c>
      <c r="J29" s="10">
        <f>IF(COUNT(DN29,DK29,DH29,DE29,DB29,CY29,CV29,CS29,CP29,CM29,CJ29,CG29)=0,"",SUM(DN29,DK29,DH29,DE29,DB29,CY29,CV29,CS29,CP29,CM29,CJ29,CG29))</f>
        <v/>
      </c>
      <c r="K29" s="11" t="n"/>
      <c r="L29" s="11" t="n">
        <v>12000</v>
      </c>
      <c r="M29" s="11" t="n">
        <v>12000</v>
      </c>
      <c r="N29" s="10" t="n"/>
      <c r="O29" s="10" t="n">
        <v>12000</v>
      </c>
      <c r="P29" s="10" t="n">
        <v>12000</v>
      </c>
      <c r="Q29" s="11" t="n"/>
      <c r="R29" s="11" t="n">
        <v>12000</v>
      </c>
      <c r="S29" s="11" t="n">
        <v>12000</v>
      </c>
      <c r="T29" s="10" t="n"/>
      <c r="U29" s="10" t="n">
        <v>12000</v>
      </c>
      <c r="V29" s="10" t="n">
        <v>12000</v>
      </c>
      <c r="W29" s="11" t="n"/>
      <c r="X29" s="11" t="n">
        <v>12000</v>
      </c>
      <c r="Y29" s="11" t="n">
        <v>12000</v>
      </c>
      <c r="Z29" s="10" t="n"/>
      <c r="AA29" s="10" t="n">
        <v>12000</v>
      </c>
      <c r="AB29" s="10" t="n">
        <v>12000</v>
      </c>
      <c r="AC29" s="11" t="n"/>
      <c r="AD29" s="11" t="n">
        <v>12000</v>
      </c>
      <c r="AE29" s="11" t="n">
        <v>12000</v>
      </c>
      <c r="AF29" s="10" t="n"/>
      <c r="AG29" s="10" t="n">
        <v>12000</v>
      </c>
      <c r="AH29" s="10" t="n">
        <v>12000</v>
      </c>
      <c r="AI29" s="11" t="n"/>
      <c r="AJ29" s="11" t="n">
        <v>12000</v>
      </c>
      <c r="AK29" s="11" t="n">
        <v>12000</v>
      </c>
      <c r="AL29" s="10" t="n"/>
      <c r="AM29" s="10" t="n">
        <v>12000</v>
      </c>
      <c r="AN29" s="10" t="n">
        <v>12000</v>
      </c>
      <c r="AO29" s="11" t="n"/>
      <c r="AP29" s="11" t="n">
        <v>12000</v>
      </c>
      <c r="AQ29" s="11" t="n">
        <v>12000</v>
      </c>
      <c r="AR29" s="10" t="n"/>
      <c r="AS29" s="10" t="n">
        <v>12000</v>
      </c>
      <c r="AT29" s="10" t="n">
        <v>12000</v>
      </c>
      <c r="AU29" s="11" t="n"/>
      <c r="AV29" s="11" t="n">
        <v>12000</v>
      </c>
      <c r="AW29" s="11" t="n">
        <v>12000</v>
      </c>
      <c r="AX29" s="10" t="n"/>
      <c r="AY29" s="10" t="n">
        <v>12000</v>
      </c>
      <c r="AZ29" s="10" t="n">
        <v>12000</v>
      </c>
      <c r="BA29" s="11" t="n"/>
      <c r="BB29" s="11" t="n">
        <v>12000</v>
      </c>
      <c r="BC29" s="11" t="n">
        <v>12000</v>
      </c>
      <c r="BD29" s="10" t="n"/>
      <c r="BE29" s="10" t="n">
        <v>12000</v>
      </c>
      <c r="BF29" s="10" t="n">
        <v>12000</v>
      </c>
      <c r="BG29" s="11" t="n"/>
      <c r="BH29" s="11" t="n">
        <v>12000</v>
      </c>
      <c r="BI29" s="11" t="n">
        <v>12000</v>
      </c>
      <c r="BJ29" s="10" t="n"/>
      <c r="BK29" s="10" t="n">
        <v>12000</v>
      </c>
      <c r="BL29" s="10" t="n">
        <v>12000</v>
      </c>
      <c r="BM29" s="11" t="n"/>
      <c r="BN29" s="11" t="n">
        <v>12000</v>
      </c>
      <c r="BO29" s="11" t="n">
        <v>12000</v>
      </c>
      <c r="BP29" s="10" t="n"/>
      <c r="BQ29" s="10" t="n">
        <v>12000</v>
      </c>
      <c r="BR29" s="10" t="n">
        <v>12000</v>
      </c>
      <c r="BS29" s="11" t="n"/>
      <c r="BT29" s="11" t="n">
        <v>12000</v>
      </c>
      <c r="BU29" s="11" t="n">
        <v>12000</v>
      </c>
      <c r="BV29" s="10" t="n"/>
      <c r="BW29" s="10" t="n">
        <v>12000</v>
      </c>
      <c r="BX29" s="10" t="n">
        <v>12000</v>
      </c>
      <c r="BY29" s="11" t="n"/>
      <c r="BZ29" s="11" t="n">
        <v>12000</v>
      </c>
      <c r="CA29" s="11" t="n">
        <v>12000</v>
      </c>
      <c r="CB29" s="10" t="n"/>
      <c r="CC29" s="10" t="n">
        <v>12000</v>
      </c>
      <c r="CD29" s="10" t="n">
        <v>12000</v>
      </c>
      <c r="CE29" s="11" t="n"/>
      <c r="CF29" s="11" t="n">
        <v>12000</v>
      </c>
      <c r="CG29" s="11" t="n">
        <v>12000</v>
      </c>
      <c r="CH29" s="10" t="n"/>
      <c r="CI29" s="10" t="n">
        <v>12000</v>
      </c>
      <c r="CJ29" s="10" t="n">
        <v>12000</v>
      </c>
      <c r="CK29" s="11" t="n"/>
      <c r="CL29" s="11" t="n">
        <v>12000</v>
      </c>
      <c r="CM29" s="11" t="n">
        <v>12000</v>
      </c>
      <c r="CN29" s="10" t="n"/>
      <c r="CO29" s="10" t="n">
        <v>12000</v>
      </c>
      <c r="CP29" s="10" t="n">
        <v>12000</v>
      </c>
      <c r="CQ29" s="11" t="n"/>
      <c r="CR29" s="11" t="n">
        <v>12000</v>
      </c>
      <c r="CS29" s="11" t="n">
        <v>12000</v>
      </c>
      <c r="CT29" s="10" t="n"/>
      <c r="CU29" s="10" t="n">
        <v>12000</v>
      </c>
      <c r="CV29" s="10" t="n">
        <v>12000</v>
      </c>
      <c r="CW29" s="11" t="n"/>
      <c r="CX29" s="11" t="n">
        <v>12000</v>
      </c>
      <c r="CY29" s="11" t="n">
        <v>12000</v>
      </c>
      <c r="CZ29" s="10" t="n"/>
      <c r="DA29" s="10" t="n">
        <v>12000</v>
      </c>
      <c r="DB29" s="10" t="n">
        <v>12000</v>
      </c>
      <c r="DC29" s="11" t="n"/>
      <c r="DD29" s="11" t="n">
        <v>12000</v>
      </c>
      <c r="DE29" s="11" t="n">
        <v>12000</v>
      </c>
      <c r="DF29" s="10" t="n"/>
      <c r="DG29" s="10" t="n">
        <v>12000</v>
      </c>
      <c r="DH29" s="10" t="n">
        <v>12000</v>
      </c>
      <c r="DI29" s="11" t="n">
        <v>12000</v>
      </c>
      <c r="DJ29" s="11" t="n">
        <v>12000</v>
      </c>
      <c r="DK29" s="11" t="n">
        <v>12000</v>
      </c>
      <c r="DL29" s="10" t="n">
        <v>12000</v>
      </c>
      <c r="DM29" s="10" t="n">
        <v>12000</v>
      </c>
      <c r="DN29" s="10" t="n">
        <v>12000</v>
      </c>
    </row>
    <row r="30">
      <c r="A30" s="2" t="inlineStr">
        <is>
          <t>Account Executive</t>
        </is>
      </c>
      <c r="B30" s="10">
        <f>IF(COUNT(AR30,AO30,AL30,AI30,AF30,AC30,Z30,W30,T30,Q30,N30,K30)=0,"",SUM(AR30,AO30,AL30,AI30,AF30,AC30,Z30,W30,T30,Q30,N30,K30))</f>
        <v/>
      </c>
      <c r="C30" s="10">
        <f>IF(COUNT(AS30,AP30,AM30,AJ30,AG30,AD30,AA30,X30,U30,R30,O30,L30)=0,"",SUM(AS30,AP30,AM30,AJ30,AG30,AD30,AA30,X30,U30,R30,O30,L30))</f>
        <v/>
      </c>
      <c r="D30" s="10">
        <f>IF(COUNT(AT30,AQ30,AN30,AK30,AH30,AE30,AB30,Y30,V30,S30,P30,M30)=0,"",SUM(AT30,AQ30,AN30,AK30,AH30,AE30,AB30,Y30,V30,S30,P30,M30))</f>
        <v/>
      </c>
      <c r="E30" s="11">
        <f>IF(COUNT(CB30,BY30,BV30,BS30,BP30,BM30,BJ30,BG30,BD30,BA30,AX30,AU30)=0,"",SUM(CB30,BY30,BV30,BS30,BP30,BM30,BJ30,BG30,BD30,BA30,AX30,AU30))</f>
        <v/>
      </c>
      <c r="F30" s="11">
        <f>IF(COUNT(CC30,BZ30,BW30,BT30,BQ30,BN30,BK30,BH30,BE30,BB30,AY30,AV30)=0,"",SUM(CC30,BZ30,BW30,BT30,BQ30,BN30,BK30,BH30,BE30,BB30,AY30,AV30))</f>
        <v/>
      </c>
      <c r="G30" s="11">
        <f>IF(COUNT(CD30,CA30,BX30,BU30,BR30,BO30,BL30,BI30,BF30,BC30,AZ30,AW30)=0,"",SUM(CD30,CA30,BX30,BU30,BR30,BO30,BL30,BI30,BF30,BC30,AZ30,AW30))</f>
        <v/>
      </c>
      <c r="H30" s="10">
        <f>IF(COUNT(DL30,DI30,DF30,DC30,CZ30,CW30,CT30,CQ30,CN30,CK30,CH30,CE30)=0,"",SUM(DL30,DI30,DF30,DC30,CZ30,CW30,CT30,CQ30,CN30,CK30,CH30,CE30))</f>
        <v/>
      </c>
      <c r="I30" s="10">
        <f>IF(COUNT(DM30,DJ30,DG30,DD30,DA30,CX30,CU30,CR30,CO30,CL30,CI30,CF30)=0,"",SUM(DM30,DJ30,DG30,DD30,DA30,CX30,CU30,CR30,CO30,CL30,CI30,CF30))</f>
        <v/>
      </c>
      <c r="J30" s="10">
        <f>IF(COUNT(DN30,DK30,DH30,DE30,DB30,CY30,CV30,CS30,CP30,CM30,CJ30,CG30)=0,"",SUM(DN30,DK30,DH30,DE30,DB30,CY30,CV30,CS30,CP30,CM30,CJ30,CG30))</f>
        <v/>
      </c>
      <c r="K30" s="11" t="n"/>
      <c r="L30" s="11" t="n">
        <v>10000</v>
      </c>
      <c r="M30" s="11" t="n">
        <v>10000</v>
      </c>
      <c r="N30" s="10" t="n"/>
      <c r="O30" s="10" t="n">
        <v>10000</v>
      </c>
      <c r="P30" s="10" t="n">
        <v>10000</v>
      </c>
      <c r="Q30" s="11" t="n"/>
      <c r="R30" s="11" t="n">
        <v>10000</v>
      </c>
      <c r="S30" s="11" t="n">
        <v>10000</v>
      </c>
      <c r="T30" s="10" t="n"/>
      <c r="U30" s="10" t="n">
        <v>10000</v>
      </c>
      <c r="V30" s="10" t="n">
        <v>10000</v>
      </c>
      <c r="W30" s="11" t="n"/>
      <c r="X30" s="11" t="n">
        <v>10000</v>
      </c>
      <c r="Y30" s="11" t="n">
        <v>10000</v>
      </c>
      <c r="Z30" s="10" t="n"/>
      <c r="AA30" s="10" t="n">
        <v>10000</v>
      </c>
      <c r="AB30" s="10" t="n">
        <v>10000</v>
      </c>
      <c r="AC30" s="11" t="n"/>
      <c r="AD30" s="11" t="n">
        <v>10000</v>
      </c>
      <c r="AE30" s="11" t="n">
        <v>10000</v>
      </c>
      <c r="AF30" s="10" t="n"/>
      <c r="AG30" s="10" t="n">
        <v>10000</v>
      </c>
      <c r="AH30" s="10" t="n">
        <v>10000</v>
      </c>
      <c r="AI30" s="11" t="n"/>
      <c r="AJ30" s="11" t="n">
        <v>10000</v>
      </c>
      <c r="AK30" s="11" t="n">
        <v>10000</v>
      </c>
      <c r="AL30" s="10" t="n"/>
      <c r="AM30" s="10" t="n">
        <v>10000</v>
      </c>
      <c r="AN30" s="10" t="n">
        <v>10000</v>
      </c>
      <c r="AO30" s="11" t="n"/>
      <c r="AP30" s="11" t="n">
        <v>10000</v>
      </c>
      <c r="AQ30" s="11" t="n">
        <v>10000</v>
      </c>
      <c r="AR30" s="10" t="n"/>
      <c r="AS30" s="10" t="n">
        <v>10000</v>
      </c>
      <c r="AT30" s="10" t="n">
        <v>10000</v>
      </c>
      <c r="AU30" s="11" t="n"/>
      <c r="AV30" s="11" t="n">
        <v>10000</v>
      </c>
      <c r="AW30" s="11" t="n">
        <v>10000</v>
      </c>
      <c r="AX30" s="10" t="n"/>
      <c r="AY30" s="10" t="n">
        <v>10000</v>
      </c>
      <c r="AZ30" s="10" t="n">
        <v>10000</v>
      </c>
      <c r="BA30" s="11" t="n"/>
      <c r="BB30" s="11" t="n">
        <v>10000</v>
      </c>
      <c r="BC30" s="11" t="n">
        <v>10000</v>
      </c>
      <c r="BD30" s="10" t="n"/>
      <c r="BE30" s="10" t="n">
        <v>10000</v>
      </c>
      <c r="BF30" s="10" t="n">
        <v>10000</v>
      </c>
      <c r="BG30" s="11" t="n"/>
      <c r="BH30" s="11" t="n">
        <v>10000</v>
      </c>
      <c r="BI30" s="11" t="n">
        <v>10000</v>
      </c>
      <c r="BJ30" s="10" t="n"/>
      <c r="BK30" s="10" t="n">
        <v>10000</v>
      </c>
      <c r="BL30" s="10" t="n">
        <v>10000</v>
      </c>
      <c r="BM30" s="11" t="n"/>
      <c r="BN30" s="11" t="n">
        <v>10000</v>
      </c>
      <c r="BO30" s="11" t="n">
        <v>10000</v>
      </c>
      <c r="BP30" s="10" t="n"/>
      <c r="BQ30" s="10" t="n">
        <v>10000</v>
      </c>
      <c r="BR30" s="10" t="n">
        <v>10000</v>
      </c>
      <c r="BS30" s="11" t="n"/>
      <c r="BT30" s="11" t="n">
        <v>10000</v>
      </c>
      <c r="BU30" s="11" t="n">
        <v>10000</v>
      </c>
      <c r="BV30" s="10" t="n"/>
      <c r="BW30" s="10" t="n">
        <v>10000</v>
      </c>
      <c r="BX30" s="10" t="n">
        <v>10000</v>
      </c>
      <c r="BY30" s="11" t="n"/>
      <c r="BZ30" s="11" t="n">
        <v>10000</v>
      </c>
      <c r="CA30" s="11" t="n">
        <v>10000</v>
      </c>
      <c r="CB30" s="10" t="n"/>
      <c r="CC30" s="10" t="n">
        <v>10000</v>
      </c>
      <c r="CD30" s="10" t="n">
        <v>10000</v>
      </c>
      <c r="CE30" s="11" t="n"/>
      <c r="CF30" s="11" t="n">
        <v>10000</v>
      </c>
      <c r="CG30" s="11" t="n">
        <v>10000</v>
      </c>
      <c r="CH30" s="10" t="n"/>
      <c r="CI30" s="10" t="n">
        <v>10000</v>
      </c>
      <c r="CJ30" s="10" t="n">
        <v>10000</v>
      </c>
      <c r="CK30" s="11" t="n"/>
      <c r="CL30" s="11" t="n">
        <v>10000</v>
      </c>
      <c r="CM30" s="11" t="n">
        <v>10000</v>
      </c>
      <c r="CN30" s="10" t="n"/>
      <c r="CO30" s="10" t="n">
        <v>10000</v>
      </c>
      <c r="CP30" s="10" t="n">
        <v>10000</v>
      </c>
      <c r="CQ30" s="11" t="n"/>
      <c r="CR30" s="11" t="n">
        <v>10000</v>
      </c>
      <c r="CS30" s="11" t="n">
        <v>10000</v>
      </c>
      <c r="CT30" s="10" t="n"/>
      <c r="CU30" s="10" t="n">
        <v>10000</v>
      </c>
      <c r="CV30" s="10" t="n">
        <v>10000</v>
      </c>
      <c r="CW30" s="11" t="n"/>
      <c r="CX30" s="11" t="n">
        <v>10000</v>
      </c>
      <c r="CY30" s="11" t="n">
        <v>10000</v>
      </c>
      <c r="CZ30" s="10" t="n"/>
      <c r="DA30" s="10" t="n">
        <v>10000</v>
      </c>
      <c r="DB30" s="10" t="n">
        <v>10000</v>
      </c>
      <c r="DC30" s="11" t="n"/>
      <c r="DD30" s="11" t="n">
        <v>10000</v>
      </c>
      <c r="DE30" s="11" t="n">
        <v>10000</v>
      </c>
      <c r="DF30" s="10" t="n"/>
      <c r="DG30" s="10" t="n">
        <v>10000</v>
      </c>
      <c r="DH30" s="10" t="n">
        <v>10000</v>
      </c>
      <c r="DI30" s="11" t="n">
        <v>10000</v>
      </c>
      <c r="DJ30" s="11" t="n">
        <v>10000</v>
      </c>
      <c r="DK30" s="11" t="n">
        <v>10000</v>
      </c>
      <c r="DL30" s="10" t="n">
        <v>10000</v>
      </c>
      <c r="DM30" s="10" t="n">
        <v>10000</v>
      </c>
      <c r="DN30" s="10" t="n">
        <v>10000</v>
      </c>
    </row>
    <row r="31">
      <c r="A31" s="2" t="inlineStr">
        <is>
          <t>Account Executive</t>
        </is>
      </c>
      <c r="B31" s="10">
        <f>IF(COUNT(AR31,AO31,AL31,AI31,AF31,AC31,Z31,W31,T31,Q31,N31,K31)=0,"",SUM(AR31,AO31,AL31,AI31,AF31,AC31,Z31,W31,T31,Q31,N31,K31))</f>
        <v/>
      </c>
      <c r="C31" s="10">
        <f>IF(COUNT(AS31,AP31,AM31,AJ31,AG31,AD31,AA31,X31,U31,R31,O31,L31)=0,"",SUM(AS31,AP31,AM31,AJ31,AG31,AD31,AA31,X31,U31,R31,O31,L31))</f>
        <v/>
      </c>
      <c r="D31" s="10">
        <f>IF(COUNT(AT31,AQ31,AN31,AK31,AH31,AE31,AB31,Y31,V31,S31,P31,M31)=0,"",SUM(AT31,AQ31,AN31,AK31,AH31,AE31,AB31,Y31,V31,S31,P31,M31))</f>
        <v/>
      </c>
      <c r="E31" s="11">
        <f>IF(COUNT(CB31,BY31,BV31,BS31,BP31,BM31,BJ31,BG31,BD31,BA31,AX31,AU31)=0,"",SUM(CB31,BY31,BV31,BS31,BP31,BM31,BJ31,BG31,BD31,BA31,AX31,AU31))</f>
        <v/>
      </c>
      <c r="F31" s="11">
        <f>IF(COUNT(CC31,BZ31,BW31,BT31,BQ31,BN31,BK31,BH31,BE31,BB31,AY31,AV31)=0,"",SUM(CC31,BZ31,BW31,BT31,BQ31,BN31,BK31,BH31,BE31,BB31,AY31,AV31))</f>
        <v/>
      </c>
      <c r="G31" s="11">
        <f>IF(COUNT(CD31,CA31,BX31,BU31,BR31,BO31,BL31,BI31,BF31,BC31,AZ31,AW31)=0,"",SUM(CD31,CA31,BX31,BU31,BR31,BO31,BL31,BI31,BF31,BC31,AZ31,AW31))</f>
        <v/>
      </c>
      <c r="H31" s="10">
        <f>IF(COUNT(DL31,DI31,DF31,DC31,CZ31,CW31,CT31,CQ31,CN31,CK31,CH31,CE31)=0,"",SUM(DL31,DI31,DF31,DC31,CZ31,CW31,CT31,CQ31,CN31,CK31,CH31,CE31))</f>
        <v/>
      </c>
      <c r="I31" s="10">
        <f>IF(COUNT(DM31,DJ31,DG31,DD31,DA31,CX31,CU31,CR31,CO31,CL31,CI31,CF31)=0,"",SUM(DM31,DJ31,DG31,DD31,DA31,CX31,CU31,CR31,CO31,CL31,CI31,CF31))</f>
        <v/>
      </c>
      <c r="J31" s="10">
        <f>IF(COUNT(DN31,DK31,DH31,DE31,DB31,CY31,CV31,CS31,CP31,CM31,CJ31,CG31)=0,"",SUM(DN31,DK31,DH31,DE31,DB31,CY31,CV31,CS31,CP31,CM31,CJ31,CG31))</f>
        <v/>
      </c>
      <c r="K31" s="11" t="n"/>
      <c r="L31" s="11" t="n">
        <v>10000</v>
      </c>
      <c r="M31" s="11" t="n">
        <v>10000</v>
      </c>
      <c r="N31" s="10" t="n"/>
      <c r="O31" s="10" t="n">
        <v>10000</v>
      </c>
      <c r="P31" s="10" t="n">
        <v>10000</v>
      </c>
      <c r="Q31" s="11" t="n"/>
      <c r="R31" s="11" t="n">
        <v>10000</v>
      </c>
      <c r="S31" s="11" t="n">
        <v>10000</v>
      </c>
      <c r="T31" s="10" t="n"/>
      <c r="U31" s="10" t="n">
        <v>10000</v>
      </c>
      <c r="V31" s="10" t="n">
        <v>10000</v>
      </c>
      <c r="W31" s="11" t="n"/>
      <c r="X31" s="11" t="n">
        <v>10000</v>
      </c>
      <c r="Y31" s="11" t="n">
        <v>10000</v>
      </c>
      <c r="Z31" s="10" t="n"/>
      <c r="AA31" s="10" t="n">
        <v>10000</v>
      </c>
      <c r="AB31" s="10" t="n">
        <v>10000</v>
      </c>
      <c r="AC31" s="11" t="n"/>
      <c r="AD31" s="11" t="n">
        <v>10000</v>
      </c>
      <c r="AE31" s="11" t="n">
        <v>10000</v>
      </c>
      <c r="AF31" s="10" t="n"/>
      <c r="AG31" s="10" t="n">
        <v>10000</v>
      </c>
      <c r="AH31" s="10" t="n">
        <v>10000</v>
      </c>
      <c r="AI31" s="11" t="n"/>
      <c r="AJ31" s="11" t="n">
        <v>10000</v>
      </c>
      <c r="AK31" s="11" t="n">
        <v>10000</v>
      </c>
      <c r="AL31" s="10" t="n"/>
      <c r="AM31" s="10" t="n">
        <v>10000</v>
      </c>
      <c r="AN31" s="10" t="n">
        <v>10000</v>
      </c>
      <c r="AO31" s="11" t="n"/>
      <c r="AP31" s="11" t="n">
        <v>10000</v>
      </c>
      <c r="AQ31" s="11" t="n">
        <v>10000</v>
      </c>
      <c r="AR31" s="10" t="n"/>
      <c r="AS31" s="10" t="n">
        <v>10000</v>
      </c>
      <c r="AT31" s="10" t="n">
        <v>10000</v>
      </c>
      <c r="AU31" s="11" t="n"/>
      <c r="AV31" s="11" t="n">
        <v>10000</v>
      </c>
      <c r="AW31" s="11" t="n">
        <v>10000</v>
      </c>
      <c r="AX31" s="10" t="n"/>
      <c r="AY31" s="10" t="n">
        <v>10000</v>
      </c>
      <c r="AZ31" s="10" t="n">
        <v>10000</v>
      </c>
      <c r="BA31" s="11" t="n"/>
      <c r="BB31" s="11" t="n">
        <v>10000</v>
      </c>
      <c r="BC31" s="11" t="n">
        <v>10000</v>
      </c>
      <c r="BD31" s="10" t="n"/>
      <c r="BE31" s="10" t="n">
        <v>10000</v>
      </c>
      <c r="BF31" s="10" t="n">
        <v>10000</v>
      </c>
      <c r="BG31" s="11" t="n"/>
      <c r="BH31" s="11" t="n">
        <v>10000</v>
      </c>
      <c r="BI31" s="11" t="n">
        <v>10000</v>
      </c>
      <c r="BJ31" s="10" t="n"/>
      <c r="BK31" s="10" t="n">
        <v>10000</v>
      </c>
      <c r="BL31" s="10" t="n">
        <v>10000</v>
      </c>
      <c r="BM31" s="11" t="n"/>
      <c r="BN31" s="11" t="n">
        <v>10000</v>
      </c>
      <c r="BO31" s="11" t="n">
        <v>10000</v>
      </c>
      <c r="BP31" s="10" t="n"/>
      <c r="BQ31" s="10" t="n">
        <v>10000</v>
      </c>
      <c r="BR31" s="10" t="n">
        <v>10000</v>
      </c>
      <c r="BS31" s="11" t="n"/>
      <c r="BT31" s="11" t="n">
        <v>10000</v>
      </c>
      <c r="BU31" s="11" t="n">
        <v>10000</v>
      </c>
      <c r="BV31" s="10" t="n"/>
      <c r="BW31" s="10" t="n">
        <v>10000</v>
      </c>
      <c r="BX31" s="10" t="n">
        <v>10000</v>
      </c>
      <c r="BY31" s="11" t="n"/>
      <c r="BZ31" s="11" t="n">
        <v>10000</v>
      </c>
      <c r="CA31" s="11" t="n">
        <v>10000</v>
      </c>
      <c r="CB31" s="10" t="n"/>
      <c r="CC31" s="10" t="n">
        <v>10000</v>
      </c>
      <c r="CD31" s="10" t="n">
        <v>10000</v>
      </c>
      <c r="CE31" s="11" t="n"/>
      <c r="CF31" s="11" t="n">
        <v>10000</v>
      </c>
      <c r="CG31" s="11" t="n">
        <v>10000</v>
      </c>
      <c r="CH31" s="10" t="n"/>
      <c r="CI31" s="10" t="n">
        <v>10000</v>
      </c>
      <c r="CJ31" s="10" t="n">
        <v>10000</v>
      </c>
      <c r="CK31" s="11" t="n"/>
      <c r="CL31" s="11" t="n">
        <v>10000</v>
      </c>
      <c r="CM31" s="11" t="n">
        <v>10000</v>
      </c>
      <c r="CN31" s="10" t="n"/>
      <c r="CO31" s="10" t="n">
        <v>10000</v>
      </c>
      <c r="CP31" s="10" t="n">
        <v>10000</v>
      </c>
      <c r="CQ31" s="11" t="n"/>
      <c r="CR31" s="11" t="n">
        <v>10000</v>
      </c>
      <c r="CS31" s="11" t="n">
        <v>10000</v>
      </c>
      <c r="CT31" s="10" t="n"/>
      <c r="CU31" s="10" t="n">
        <v>10000</v>
      </c>
      <c r="CV31" s="10" t="n">
        <v>10000</v>
      </c>
      <c r="CW31" s="11" t="n"/>
      <c r="CX31" s="11" t="n">
        <v>10000</v>
      </c>
      <c r="CY31" s="11" t="n">
        <v>10000</v>
      </c>
      <c r="CZ31" s="10" t="n"/>
      <c r="DA31" s="10" t="n">
        <v>10000</v>
      </c>
      <c r="DB31" s="10" t="n">
        <v>10000</v>
      </c>
      <c r="DC31" s="11" t="n"/>
      <c r="DD31" s="11" t="n">
        <v>10000</v>
      </c>
      <c r="DE31" s="11" t="n">
        <v>10000</v>
      </c>
      <c r="DF31" s="10" t="n"/>
      <c r="DG31" s="10" t="n">
        <v>10000</v>
      </c>
      <c r="DH31" s="10" t="n">
        <v>10000</v>
      </c>
      <c r="DI31" s="11" t="n">
        <v>10000</v>
      </c>
      <c r="DJ31" s="11" t="n">
        <v>10000</v>
      </c>
      <c r="DK31" s="11" t="n">
        <v>10000</v>
      </c>
      <c r="DL31" s="10" t="n">
        <v>10000</v>
      </c>
      <c r="DM31" s="10" t="n">
        <v>10000</v>
      </c>
      <c r="DN31" s="10" t="n">
        <v>10000</v>
      </c>
    </row>
    <row r="32">
      <c r="A32" s="2" t="inlineStr">
        <is>
          <t>Account Executive</t>
        </is>
      </c>
      <c r="B32" s="10">
        <f>IF(COUNT(AR32,AO32,AL32,AI32,AF32,AC32,Z32,W32,T32,Q32,N32,K32)=0,"",SUM(AR32,AO32,AL32,AI32,AF32,AC32,Z32,W32,T32,Q32,N32,K32))</f>
        <v/>
      </c>
      <c r="C32" s="10">
        <f>IF(COUNT(AS32,AP32,AM32,AJ32,AG32,AD32,AA32,X32,U32,R32,O32,L32)=0,"",SUM(AS32,AP32,AM32,AJ32,AG32,AD32,AA32,X32,U32,R32,O32,L32))</f>
        <v/>
      </c>
      <c r="D32" s="10">
        <f>IF(COUNT(AT32,AQ32,AN32,AK32,AH32,AE32,AB32,Y32,V32,S32,P32,M32)=0,"",SUM(AT32,AQ32,AN32,AK32,AH32,AE32,AB32,Y32,V32,S32,P32,M32))</f>
        <v/>
      </c>
      <c r="E32" s="11">
        <f>IF(COUNT(CB32,BY32,BV32,BS32,BP32,BM32,BJ32,BG32,BD32,BA32,AX32,AU32)=0,"",SUM(CB32,BY32,BV32,BS32,BP32,BM32,BJ32,BG32,BD32,BA32,AX32,AU32))</f>
        <v/>
      </c>
      <c r="F32" s="11">
        <f>IF(COUNT(CC32,BZ32,BW32,BT32,BQ32,BN32,BK32,BH32,BE32,BB32,AY32,AV32)=0,"",SUM(CC32,BZ32,BW32,BT32,BQ32,BN32,BK32,BH32,BE32,BB32,AY32,AV32))</f>
        <v/>
      </c>
      <c r="G32" s="11">
        <f>IF(COUNT(CD32,CA32,BX32,BU32,BR32,BO32,BL32,BI32,BF32,BC32,AZ32,AW32)=0,"",SUM(CD32,CA32,BX32,BU32,BR32,BO32,BL32,BI32,BF32,BC32,AZ32,AW32))</f>
        <v/>
      </c>
      <c r="H32" s="10">
        <f>IF(COUNT(DL32,DI32,DF32,DC32,CZ32,CW32,CT32,CQ32,CN32,CK32,CH32,CE32)=0,"",SUM(DL32,DI32,DF32,DC32,CZ32,CW32,CT32,CQ32,CN32,CK32,CH32,CE32))</f>
        <v/>
      </c>
      <c r="I32" s="10">
        <f>IF(COUNT(DM32,DJ32,DG32,DD32,DA32,CX32,CU32,CR32,CO32,CL32,CI32,CF32)=0,"",SUM(DM32,DJ32,DG32,DD32,DA32,CX32,CU32,CR32,CO32,CL32,CI32,CF32))</f>
        <v/>
      </c>
      <c r="J32" s="10">
        <f>IF(COUNT(DN32,DK32,DH32,DE32,DB32,CY32,CV32,CS32,CP32,CM32,CJ32,CG32)=0,"",SUM(DN32,DK32,DH32,DE32,DB32,CY32,CV32,CS32,CP32,CM32,CJ32,CG32))</f>
        <v/>
      </c>
      <c r="K32" s="11" t="n"/>
      <c r="L32" s="11" t="n">
        <v>10000</v>
      </c>
      <c r="M32" s="11" t="n">
        <v>10000</v>
      </c>
      <c r="N32" s="10" t="n"/>
      <c r="O32" s="10" t="n">
        <v>10000</v>
      </c>
      <c r="P32" s="10" t="n">
        <v>10000</v>
      </c>
      <c r="Q32" s="11" t="n"/>
      <c r="R32" s="11" t="n">
        <v>10000</v>
      </c>
      <c r="S32" s="11" t="n">
        <v>10000</v>
      </c>
      <c r="T32" s="10" t="n"/>
      <c r="U32" s="10" t="n">
        <v>10000</v>
      </c>
      <c r="V32" s="10" t="n">
        <v>10000</v>
      </c>
      <c r="W32" s="11" t="n"/>
      <c r="X32" s="11" t="n">
        <v>10000</v>
      </c>
      <c r="Y32" s="11" t="n">
        <v>10000</v>
      </c>
      <c r="Z32" s="10" t="n"/>
      <c r="AA32" s="10" t="n">
        <v>10000</v>
      </c>
      <c r="AB32" s="10" t="n">
        <v>10000</v>
      </c>
      <c r="AC32" s="11" t="n"/>
      <c r="AD32" s="11" t="n">
        <v>10000</v>
      </c>
      <c r="AE32" s="11" t="n">
        <v>10000</v>
      </c>
      <c r="AF32" s="10" t="n"/>
      <c r="AG32" s="10" t="n">
        <v>10000</v>
      </c>
      <c r="AH32" s="10" t="n">
        <v>10000</v>
      </c>
      <c r="AI32" s="11" t="n"/>
      <c r="AJ32" s="11" t="n">
        <v>10000</v>
      </c>
      <c r="AK32" s="11" t="n">
        <v>10000</v>
      </c>
      <c r="AL32" s="10" t="n"/>
      <c r="AM32" s="10" t="n">
        <v>10000</v>
      </c>
      <c r="AN32" s="10" t="n">
        <v>10000</v>
      </c>
      <c r="AO32" s="11" t="n"/>
      <c r="AP32" s="11" t="n">
        <v>10000</v>
      </c>
      <c r="AQ32" s="11" t="n">
        <v>10000</v>
      </c>
      <c r="AR32" s="10" t="n"/>
      <c r="AS32" s="10" t="n">
        <v>10000</v>
      </c>
      <c r="AT32" s="10" t="n">
        <v>10000</v>
      </c>
      <c r="AU32" s="11" t="n"/>
      <c r="AV32" s="11" t="n">
        <v>10000</v>
      </c>
      <c r="AW32" s="11" t="n">
        <v>10000</v>
      </c>
      <c r="AX32" s="10" t="n"/>
      <c r="AY32" s="10" t="n">
        <v>10000</v>
      </c>
      <c r="AZ32" s="10" t="n">
        <v>10000</v>
      </c>
      <c r="BA32" s="11" t="n"/>
      <c r="BB32" s="11" t="n">
        <v>10000</v>
      </c>
      <c r="BC32" s="11" t="n">
        <v>10000</v>
      </c>
      <c r="BD32" s="10" t="n"/>
      <c r="BE32" s="10" t="n">
        <v>10000</v>
      </c>
      <c r="BF32" s="10" t="n">
        <v>10000</v>
      </c>
      <c r="BG32" s="11" t="n"/>
      <c r="BH32" s="11" t="n">
        <v>10000</v>
      </c>
      <c r="BI32" s="11" t="n">
        <v>10000</v>
      </c>
      <c r="BJ32" s="10" t="n"/>
      <c r="BK32" s="10" t="n">
        <v>10000</v>
      </c>
      <c r="BL32" s="10" t="n">
        <v>10000</v>
      </c>
      <c r="BM32" s="11" t="n"/>
      <c r="BN32" s="11" t="n">
        <v>10000</v>
      </c>
      <c r="BO32" s="11" t="n">
        <v>10000</v>
      </c>
      <c r="BP32" s="10" t="n"/>
      <c r="BQ32" s="10" t="n">
        <v>10000</v>
      </c>
      <c r="BR32" s="10" t="n">
        <v>10000</v>
      </c>
      <c r="BS32" s="11" t="n"/>
      <c r="BT32" s="11" t="n">
        <v>10000</v>
      </c>
      <c r="BU32" s="11" t="n">
        <v>10000</v>
      </c>
      <c r="BV32" s="10" t="n"/>
      <c r="BW32" s="10" t="n">
        <v>10000</v>
      </c>
      <c r="BX32" s="10" t="n">
        <v>10000</v>
      </c>
      <c r="BY32" s="11" t="n"/>
      <c r="BZ32" s="11" t="n">
        <v>10000</v>
      </c>
      <c r="CA32" s="11" t="n">
        <v>10000</v>
      </c>
      <c r="CB32" s="10" t="n"/>
      <c r="CC32" s="10" t="n">
        <v>10000</v>
      </c>
      <c r="CD32" s="10" t="n">
        <v>10000</v>
      </c>
      <c r="CE32" s="11" t="n"/>
      <c r="CF32" s="11" t="n">
        <v>10000</v>
      </c>
      <c r="CG32" s="11" t="n">
        <v>10000</v>
      </c>
      <c r="CH32" s="10" t="n"/>
      <c r="CI32" s="10" t="n">
        <v>10000</v>
      </c>
      <c r="CJ32" s="10" t="n">
        <v>10000</v>
      </c>
      <c r="CK32" s="11" t="n"/>
      <c r="CL32" s="11" t="n">
        <v>10000</v>
      </c>
      <c r="CM32" s="11" t="n">
        <v>10000</v>
      </c>
      <c r="CN32" s="10" t="n"/>
      <c r="CO32" s="10" t="n">
        <v>10000</v>
      </c>
      <c r="CP32" s="10" t="n">
        <v>10000</v>
      </c>
      <c r="CQ32" s="11" t="n"/>
      <c r="CR32" s="11" t="n">
        <v>10000</v>
      </c>
      <c r="CS32" s="11" t="n">
        <v>10000</v>
      </c>
      <c r="CT32" s="10" t="n"/>
      <c r="CU32" s="10" t="n">
        <v>10000</v>
      </c>
      <c r="CV32" s="10" t="n">
        <v>10000</v>
      </c>
      <c r="CW32" s="11" t="n"/>
      <c r="CX32" s="11" t="n">
        <v>10000</v>
      </c>
      <c r="CY32" s="11" t="n">
        <v>10000</v>
      </c>
      <c r="CZ32" s="10" t="n"/>
      <c r="DA32" s="10" t="n">
        <v>10000</v>
      </c>
      <c r="DB32" s="10" t="n">
        <v>10000</v>
      </c>
      <c r="DC32" s="11" t="n"/>
      <c r="DD32" s="11" t="n">
        <v>10000</v>
      </c>
      <c r="DE32" s="11" t="n">
        <v>10000</v>
      </c>
      <c r="DF32" s="10" t="n"/>
      <c r="DG32" s="10" t="n">
        <v>10000</v>
      </c>
      <c r="DH32" s="10" t="n">
        <v>10000</v>
      </c>
      <c r="DI32" s="11" t="n">
        <v>10000</v>
      </c>
      <c r="DJ32" s="11" t="n">
        <v>10000</v>
      </c>
      <c r="DK32" s="11" t="n">
        <v>10000</v>
      </c>
      <c r="DL32" s="10" t="n">
        <v>10000</v>
      </c>
      <c r="DM32" s="10" t="n">
        <v>10000</v>
      </c>
      <c r="DN32" s="10" t="n">
        <v>10000</v>
      </c>
    </row>
    <row r="33">
      <c r="A33" s="2" t="inlineStr">
        <is>
          <t>Account Executive</t>
        </is>
      </c>
      <c r="B33" s="10">
        <f>IF(COUNT(AR33,AO33,AL33,AI33,AF33,AC33,Z33,W33,T33,Q33,N33,K33)=0,"",SUM(AR33,AO33,AL33,AI33,AF33,AC33,Z33,W33,T33,Q33,N33,K33))</f>
        <v/>
      </c>
      <c r="C33" s="10">
        <f>IF(COUNT(AS33,AP33,AM33,AJ33,AG33,AD33,AA33,X33,U33,R33,O33,L33)=0,"",SUM(AS33,AP33,AM33,AJ33,AG33,AD33,AA33,X33,U33,R33,O33,L33))</f>
        <v/>
      </c>
      <c r="D33" s="10">
        <f>IF(COUNT(AT33,AQ33,AN33,AK33,AH33,AE33,AB33,Y33,V33,S33,P33,M33)=0,"",SUM(AT33,AQ33,AN33,AK33,AH33,AE33,AB33,Y33,V33,S33,P33,M33))</f>
        <v/>
      </c>
      <c r="E33" s="11">
        <f>IF(COUNT(CB33,BY33,BV33,BS33,BP33,BM33,BJ33,BG33,BD33,BA33,AX33,AU33)=0,"",SUM(CB33,BY33,BV33,BS33,BP33,BM33,BJ33,BG33,BD33,BA33,AX33,AU33))</f>
        <v/>
      </c>
      <c r="F33" s="11">
        <f>IF(COUNT(CC33,BZ33,BW33,BT33,BQ33,BN33,BK33,BH33,BE33,BB33,AY33,AV33)=0,"",SUM(CC33,BZ33,BW33,BT33,BQ33,BN33,BK33,BH33,BE33,BB33,AY33,AV33))</f>
        <v/>
      </c>
      <c r="G33" s="11">
        <f>IF(COUNT(CD33,CA33,BX33,BU33,BR33,BO33,BL33,BI33,BF33,BC33,AZ33,AW33)=0,"",SUM(CD33,CA33,BX33,BU33,BR33,BO33,BL33,BI33,BF33,BC33,AZ33,AW33))</f>
        <v/>
      </c>
      <c r="H33" s="10">
        <f>IF(COUNT(DL33,DI33,DF33,DC33,CZ33,CW33,CT33,CQ33,CN33,CK33,CH33,CE33)=0,"",SUM(DL33,DI33,DF33,DC33,CZ33,CW33,CT33,CQ33,CN33,CK33,CH33,CE33))</f>
        <v/>
      </c>
      <c r="I33" s="10">
        <f>IF(COUNT(DM33,DJ33,DG33,DD33,DA33,CX33,CU33,CR33,CO33,CL33,CI33,CF33)=0,"",SUM(DM33,DJ33,DG33,DD33,DA33,CX33,CU33,CR33,CO33,CL33,CI33,CF33))</f>
        <v/>
      </c>
      <c r="J33" s="10">
        <f>IF(COUNT(DN33,DK33,DH33,DE33,DB33,CY33,CV33,CS33,CP33,CM33,CJ33,CG33)=0,"",SUM(DN33,DK33,DH33,DE33,DB33,CY33,CV33,CS33,CP33,CM33,CJ33,CG33))</f>
        <v/>
      </c>
      <c r="K33" s="11" t="n"/>
      <c r="L33" s="11" t="n">
        <v>12000</v>
      </c>
      <c r="M33" s="11" t="n">
        <v>12000</v>
      </c>
      <c r="N33" s="10" t="n"/>
      <c r="O33" s="10" t="n">
        <v>12000</v>
      </c>
      <c r="P33" s="10" t="n">
        <v>12000</v>
      </c>
      <c r="Q33" s="11" t="n"/>
      <c r="R33" s="11" t="n">
        <v>12000</v>
      </c>
      <c r="S33" s="11" t="n">
        <v>12000</v>
      </c>
      <c r="T33" s="10" t="n"/>
      <c r="U33" s="10" t="n">
        <v>12000</v>
      </c>
      <c r="V33" s="10" t="n">
        <v>12000</v>
      </c>
      <c r="W33" s="11" t="n"/>
      <c r="X33" s="11" t="n">
        <v>12000</v>
      </c>
      <c r="Y33" s="11" t="n">
        <v>12000</v>
      </c>
      <c r="Z33" s="10" t="n"/>
      <c r="AA33" s="10" t="n">
        <v>12000</v>
      </c>
      <c r="AB33" s="10" t="n">
        <v>12000</v>
      </c>
      <c r="AC33" s="11" t="n"/>
      <c r="AD33" s="11" t="n">
        <v>12000</v>
      </c>
      <c r="AE33" s="11" t="n">
        <v>12000</v>
      </c>
      <c r="AF33" s="10" t="n"/>
      <c r="AG33" s="10" t="n">
        <v>12000</v>
      </c>
      <c r="AH33" s="10" t="n">
        <v>12000</v>
      </c>
      <c r="AI33" s="11" t="n"/>
      <c r="AJ33" s="11" t="n">
        <v>12000</v>
      </c>
      <c r="AK33" s="11" t="n">
        <v>12000</v>
      </c>
      <c r="AL33" s="10" t="n"/>
      <c r="AM33" s="10" t="n">
        <v>12000</v>
      </c>
      <c r="AN33" s="10" t="n">
        <v>12000</v>
      </c>
      <c r="AO33" s="11" t="n"/>
      <c r="AP33" s="11" t="n">
        <v>12000</v>
      </c>
      <c r="AQ33" s="11" t="n">
        <v>12000</v>
      </c>
      <c r="AR33" s="10" t="n"/>
      <c r="AS33" s="10" t="n">
        <v>12000</v>
      </c>
      <c r="AT33" s="10" t="n">
        <v>12000</v>
      </c>
      <c r="AU33" s="11" t="n"/>
      <c r="AV33" s="11" t="n">
        <v>12000</v>
      </c>
      <c r="AW33" s="11" t="n">
        <v>12000</v>
      </c>
      <c r="AX33" s="10" t="n"/>
      <c r="AY33" s="10" t="n">
        <v>12000</v>
      </c>
      <c r="AZ33" s="10" t="n">
        <v>12000</v>
      </c>
      <c r="BA33" s="11" t="n"/>
      <c r="BB33" s="11" t="n">
        <v>12000</v>
      </c>
      <c r="BC33" s="11" t="n">
        <v>12000</v>
      </c>
      <c r="BD33" s="10" t="n"/>
      <c r="BE33" s="10" t="n">
        <v>12000</v>
      </c>
      <c r="BF33" s="10" t="n">
        <v>12000</v>
      </c>
      <c r="BG33" s="11" t="n"/>
      <c r="BH33" s="11" t="n">
        <v>12000</v>
      </c>
      <c r="BI33" s="11" t="n">
        <v>12000</v>
      </c>
      <c r="BJ33" s="10" t="n"/>
      <c r="BK33" s="10" t="n">
        <v>12000</v>
      </c>
      <c r="BL33" s="10" t="n">
        <v>12000</v>
      </c>
      <c r="BM33" s="11" t="n"/>
      <c r="BN33" s="11" t="n">
        <v>12000</v>
      </c>
      <c r="BO33" s="11" t="n">
        <v>12000</v>
      </c>
      <c r="BP33" s="10" t="n"/>
      <c r="BQ33" s="10" t="n">
        <v>12000</v>
      </c>
      <c r="BR33" s="10" t="n">
        <v>12000</v>
      </c>
      <c r="BS33" s="11" t="n"/>
      <c r="BT33" s="11" t="n">
        <v>12000</v>
      </c>
      <c r="BU33" s="11" t="n">
        <v>12000</v>
      </c>
      <c r="BV33" s="10" t="n"/>
      <c r="BW33" s="10" t="n">
        <v>12000</v>
      </c>
      <c r="BX33" s="10" t="n">
        <v>12000</v>
      </c>
      <c r="BY33" s="11" t="n"/>
      <c r="BZ33" s="11" t="n">
        <v>12000</v>
      </c>
      <c r="CA33" s="11" t="n">
        <v>12000</v>
      </c>
      <c r="CB33" s="10" t="n"/>
      <c r="CC33" s="10" t="n">
        <v>12000</v>
      </c>
      <c r="CD33" s="10" t="n">
        <v>12000</v>
      </c>
      <c r="CE33" s="11" t="n"/>
      <c r="CF33" s="11" t="n">
        <v>12000</v>
      </c>
      <c r="CG33" s="11" t="n">
        <v>12000</v>
      </c>
      <c r="CH33" s="10" t="n"/>
      <c r="CI33" s="10" t="n">
        <v>12000</v>
      </c>
      <c r="CJ33" s="10" t="n">
        <v>12000</v>
      </c>
      <c r="CK33" s="11" t="n"/>
      <c r="CL33" s="11" t="n">
        <v>12000</v>
      </c>
      <c r="CM33" s="11" t="n">
        <v>12000</v>
      </c>
      <c r="CN33" s="10" t="n"/>
      <c r="CO33" s="10" t="n">
        <v>12000</v>
      </c>
      <c r="CP33" s="10" t="n">
        <v>12000</v>
      </c>
      <c r="CQ33" s="11" t="n"/>
      <c r="CR33" s="11" t="n">
        <v>12000</v>
      </c>
      <c r="CS33" s="11" t="n">
        <v>12000</v>
      </c>
      <c r="CT33" s="10" t="n"/>
      <c r="CU33" s="10" t="n">
        <v>12000</v>
      </c>
      <c r="CV33" s="10" t="n">
        <v>12000</v>
      </c>
      <c r="CZ33" s="35" t="n"/>
      <c r="DA33" s="35" t="n"/>
      <c r="DB33" s="35" t="n"/>
      <c r="DF33" s="35" t="n"/>
      <c r="DG33" s="35" t="n"/>
      <c r="DH33" s="35" t="n"/>
      <c r="DL33" s="35" t="n"/>
      <c r="DM33" s="35" t="n"/>
      <c r="DN33" s="35" t="n"/>
    </row>
    <row r="34">
      <c r="A34" s="2" t="inlineStr">
        <is>
          <t>Account Executive</t>
        </is>
      </c>
      <c r="B34" s="10">
        <f>IF(COUNT(AR34,AO34,AL34,AI34,AF34,AC34,Z34,W34,T34,Q34,N34,K34)=0,"",SUM(AR34,AO34,AL34,AI34,AF34,AC34,Z34,W34,T34,Q34,N34,K34))</f>
        <v/>
      </c>
      <c r="C34" s="10">
        <f>IF(COUNT(AS34,AP34,AM34,AJ34,AG34,AD34,AA34,X34,U34,R34,O34,L34)=0,"",SUM(AS34,AP34,AM34,AJ34,AG34,AD34,AA34,X34,U34,R34,O34,L34))</f>
        <v/>
      </c>
      <c r="D34" s="10">
        <f>IF(COUNT(AT34,AQ34,AN34,AK34,AH34,AE34,AB34,Y34,V34,S34,P34,M34)=0,"",SUM(AT34,AQ34,AN34,AK34,AH34,AE34,AB34,Y34,V34,S34,P34,M34))</f>
        <v/>
      </c>
      <c r="E34" s="11">
        <f>IF(COUNT(CB34,BY34,BV34,BS34,BP34,BM34,BJ34,BG34,BD34,BA34,AX34,AU34)=0,"",SUM(CB34,BY34,BV34,BS34,BP34,BM34,BJ34,BG34,BD34,BA34,AX34,AU34))</f>
        <v/>
      </c>
      <c r="F34" s="11">
        <f>IF(COUNT(CC34,BZ34,BW34,BT34,BQ34,BN34,BK34,BH34,BE34,BB34,AY34,AV34)=0,"",SUM(CC34,BZ34,BW34,BT34,BQ34,BN34,BK34,BH34,BE34,BB34,AY34,AV34))</f>
        <v/>
      </c>
      <c r="G34" s="11">
        <f>IF(COUNT(CD34,CA34,BX34,BU34,BR34,BO34,BL34,BI34,BF34,BC34,AZ34,AW34)=0,"",SUM(CD34,CA34,BX34,BU34,BR34,BO34,BL34,BI34,BF34,BC34,AZ34,AW34))</f>
        <v/>
      </c>
      <c r="H34" s="10">
        <f>IF(COUNT(DL34,DI34,DF34,DC34,CZ34,CW34,CT34,CQ34,CN34,CK34,CH34,CE34)=0,"",SUM(DL34,DI34,DF34,DC34,CZ34,CW34,CT34,CQ34,CN34,CK34,CH34,CE34))</f>
        <v/>
      </c>
      <c r="I34" s="10">
        <f>IF(COUNT(DM34,DJ34,DG34,DD34,DA34,CX34,CU34,CR34,CO34,CL34,CI34,CF34)=0,"",SUM(DM34,DJ34,DG34,DD34,DA34,CX34,CU34,CR34,CO34,CL34,CI34,CF34))</f>
        <v/>
      </c>
      <c r="J34" s="10">
        <f>IF(COUNT(DN34,DK34,DH34,DE34,DB34,CY34,CV34,CS34,CP34,CM34,CJ34,CG34)=0,"",SUM(DN34,DK34,DH34,DE34,DB34,CY34,CV34,CS34,CP34,CM34,CJ34,CG34))</f>
        <v/>
      </c>
      <c r="K34" s="11" t="n"/>
      <c r="L34" s="11" t="n">
        <v>12000</v>
      </c>
      <c r="M34" s="11" t="n">
        <v>12000</v>
      </c>
      <c r="N34" s="10" t="n"/>
      <c r="O34" s="10" t="n">
        <v>12000</v>
      </c>
      <c r="P34" s="10" t="n">
        <v>12000</v>
      </c>
      <c r="Q34" s="11" t="n"/>
      <c r="R34" s="11" t="n">
        <v>12000</v>
      </c>
      <c r="S34" s="11" t="n">
        <v>12000</v>
      </c>
      <c r="T34" s="10" t="n"/>
      <c r="U34" s="10" t="n">
        <v>12000</v>
      </c>
      <c r="V34" s="10" t="n">
        <v>12000</v>
      </c>
      <c r="W34" s="11" t="n"/>
      <c r="X34" s="11" t="n">
        <v>12000</v>
      </c>
      <c r="Y34" s="11" t="n">
        <v>12000</v>
      </c>
      <c r="Z34" s="10" t="n"/>
      <c r="AA34" s="10" t="n">
        <v>12000</v>
      </c>
      <c r="AB34" s="10" t="n">
        <v>12000</v>
      </c>
      <c r="AC34" s="11" t="n"/>
      <c r="AD34" s="11" t="n">
        <v>12000</v>
      </c>
      <c r="AE34" s="11" t="n">
        <v>12000</v>
      </c>
      <c r="AF34" s="10" t="n"/>
      <c r="AG34" s="10" t="n">
        <v>12000</v>
      </c>
      <c r="AH34" s="10" t="n">
        <v>12000</v>
      </c>
      <c r="AI34" s="11" t="n"/>
      <c r="AJ34" s="11" t="n">
        <v>12000</v>
      </c>
      <c r="AK34" s="11" t="n">
        <v>12000</v>
      </c>
      <c r="AL34" s="10" t="n"/>
      <c r="AM34" s="10" t="n">
        <v>12000</v>
      </c>
      <c r="AN34" s="10" t="n">
        <v>12000</v>
      </c>
      <c r="AO34" s="11" t="n"/>
      <c r="AP34" s="11" t="n">
        <v>12000</v>
      </c>
      <c r="AQ34" s="11" t="n">
        <v>12000</v>
      </c>
      <c r="AR34" s="10" t="n"/>
      <c r="AS34" s="10" t="n">
        <v>12000</v>
      </c>
      <c r="AT34" s="10" t="n">
        <v>12000</v>
      </c>
      <c r="AU34" s="11" t="n"/>
      <c r="AV34" s="11" t="n">
        <v>12000</v>
      </c>
      <c r="AW34" s="11" t="n">
        <v>12000</v>
      </c>
      <c r="AX34" s="10" t="n"/>
      <c r="AY34" s="10" t="n">
        <v>12000</v>
      </c>
      <c r="AZ34" s="10" t="n">
        <v>12000</v>
      </c>
      <c r="BA34" s="11" t="n"/>
      <c r="BB34" s="11" t="n">
        <v>12000</v>
      </c>
      <c r="BC34" s="11" t="n">
        <v>12000</v>
      </c>
      <c r="BD34" s="10" t="n"/>
      <c r="BE34" s="10" t="n">
        <v>12000</v>
      </c>
      <c r="BF34" s="10" t="n">
        <v>12000</v>
      </c>
      <c r="BG34" s="11" t="n"/>
      <c r="BH34" s="11" t="n">
        <v>12000</v>
      </c>
      <c r="BI34" s="11" t="n">
        <v>12000</v>
      </c>
      <c r="BJ34" s="10" t="n"/>
      <c r="BK34" s="10" t="n">
        <v>12000</v>
      </c>
      <c r="BL34" s="10" t="n">
        <v>12000</v>
      </c>
      <c r="BM34" s="11" t="n"/>
      <c r="BN34" s="11" t="n">
        <v>12000</v>
      </c>
      <c r="BO34" s="11" t="n">
        <v>12000</v>
      </c>
      <c r="BP34" s="10" t="n"/>
      <c r="BQ34" s="10" t="n">
        <v>12000</v>
      </c>
      <c r="BR34" s="10" t="n">
        <v>12000</v>
      </c>
      <c r="BS34" s="11" t="n"/>
      <c r="BT34" s="11" t="n">
        <v>12000</v>
      </c>
      <c r="BU34" s="11" t="n">
        <v>12000</v>
      </c>
      <c r="BV34" s="10" t="n"/>
      <c r="BW34" s="10" t="n">
        <v>12000</v>
      </c>
      <c r="BX34" s="10" t="n">
        <v>12000</v>
      </c>
      <c r="BY34" s="11" t="n"/>
      <c r="BZ34" s="11" t="n">
        <v>12000</v>
      </c>
      <c r="CA34" s="11" t="n">
        <v>12000</v>
      </c>
      <c r="CB34" s="10" t="n"/>
      <c r="CC34" s="10" t="n">
        <v>12000</v>
      </c>
      <c r="CD34" s="10" t="n">
        <v>12000</v>
      </c>
      <c r="CH34" s="35" t="n"/>
      <c r="CI34" s="35" t="n"/>
      <c r="CJ34" s="35" t="n"/>
      <c r="CN34" s="35" t="n"/>
      <c r="CO34" s="35" t="n"/>
      <c r="CP34" s="35" t="n"/>
      <c r="CT34" s="35" t="n"/>
      <c r="CU34" s="35" t="n"/>
      <c r="CV34" s="35" t="n"/>
      <c r="CZ34" s="35" t="n"/>
      <c r="DA34" s="35" t="n"/>
      <c r="DB34" s="35" t="n"/>
      <c r="DF34" s="35" t="n"/>
      <c r="DG34" s="35" t="n"/>
      <c r="DH34" s="35" t="n"/>
      <c r="DL34" s="35" t="n"/>
      <c r="DM34" s="35" t="n"/>
      <c r="DN34" s="35" t="n"/>
    </row>
    <row r="35">
      <c r="A35" s="2" t="inlineStr">
        <is>
          <t>Account Executive</t>
        </is>
      </c>
      <c r="B35" s="10">
        <f>IF(COUNT(AR35,AO35,AL35,AI35,AF35,AC35,Z35,W35,T35,Q35,N35,K35)=0,"",SUM(AR35,AO35,AL35,AI35,AF35,AC35,Z35,W35,T35,Q35,N35,K35))</f>
        <v/>
      </c>
      <c r="C35" s="10">
        <f>IF(COUNT(AS35,AP35,AM35,AJ35,AG35,AD35,AA35,X35,U35,R35,O35,L35)=0,"",SUM(AS35,AP35,AM35,AJ35,AG35,AD35,AA35,X35,U35,R35,O35,L35))</f>
        <v/>
      </c>
      <c r="D35" s="10">
        <f>IF(COUNT(AT35,AQ35,AN35,AK35,AH35,AE35,AB35,Y35,V35,S35,P35,M35)=0,"",SUM(AT35,AQ35,AN35,AK35,AH35,AE35,AB35,Y35,V35,S35,P35,M35))</f>
        <v/>
      </c>
      <c r="E35" s="11">
        <f>IF(COUNT(CB35,BY35,BV35,BS35,BP35,BM35,BJ35,BG35,BD35,BA35,AX35,AU35)=0,"",SUM(CB35,BY35,BV35,BS35,BP35,BM35,BJ35,BG35,BD35,BA35,AX35,AU35))</f>
        <v/>
      </c>
      <c r="F35" s="11">
        <f>IF(COUNT(CC35,BZ35,BW35,BT35,BQ35,BN35,BK35,BH35,BE35,BB35,AY35,AV35)=0,"",SUM(CC35,BZ35,BW35,BT35,BQ35,BN35,BK35,BH35,BE35,BB35,AY35,AV35))</f>
        <v/>
      </c>
      <c r="G35" s="11">
        <f>IF(COUNT(CD35,CA35,BX35,BU35,BR35,BO35,BL35,BI35,BF35,BC35,AZ35,AW35)=0,"",SUM(CD35,CA35,BX35,BU35,BR35,BO35,BL35,BI35,BF35,BC35,AZ35,AW35))</f>
        <v/>
      </c>
      <c r="H35" s="10">
        <f>IF(COUNT(DL35,DI35,DF35,DC35,CZ35,CW35,CT35,CQ35,CN35,CK35,CH35,CE35)=0,"",SUM(DL35,DI35,DF35,DC35,CZ35,CW35,CT35,CQ35,CN35,CK35,CH35,CE35))</f>
        <v/>
      </c>
      <c r="I35" s="10">
        <f>IF(COUNT(DM35,DJ35,DG35,DD35,DA35,CX35,CU35,CR35,CO35,CL35,CI35,CF35)=0,"",SUM(DM35,DJ35,DG35,DD35,DA35,CX35,CU35,CR35,CO35,CL35,CI35,CF35))</f>
        <v/>
      </c>
      <c r="J35" s="10">
        <f>IF(COUNT(DN35,DK35,DH35,DE35,DB35,CY35,CV35,CS35,CP35,CM35,CJ35,CG35)=0,"",SUM(DN35,DK35,DH35,DE35,DB35,CY35,CV35,CS35,CP35,CM35,CJ35,CG35))</f>
        <v/>
      </c>
      <c r="K35" s="11" t="n"/>
      <c r="L35" s="11" t="n">
        <v>12000</v>
      </c>
      <c r="M35" s="11" t="n">
        <v>12000</v>
      </c>
      <c r="N35" s="10" t="n"/>
      <c r="O35" s="10" t="n">
        <v>12000</v>
      </c>
      <c r="P35" s="10" t="n">
        <v>12000</v>
      </c>
      <c r="Q35" s="11" t="n"/>
      <c r="R35" s="11" t="n">
        <v>12000</v>
      </c>
      <c r="S35" s="11" t="n">
        <v>12000</v>
      </c>
      <c r="T35" s="10" t="n"/>
      <c r="U35" s="10" t="n">
        <v>12000</v>
      </c>
      <c r="V35" s="10" t="n">
        <v>12000</v>
      </c>
      <c r="W35" s="11" t="n"/>
      <c r="X35" s="11" t="n">
        <v>12000</v>
      </c>
      <c r="Y35" s="11" t="n">
        <v>12000</v>
      </c>
      <c r="Z35" s="10" t="n"/>
      <c r="AA35" s="10" t="n">
        <v>12000</v>
      </c>
      <c r="AB35" s="10" t="n">
        <v>12000</v>
      </c>
      <c r="AF35" s="35" t="n"/>
      <c r="AG35" s="35" t="n"/>
      <c r="AH35" s="35" t="n"/>
      <c r="AL35" s="35" t="n"/>
      <c r="AM35" s="35" t="n"/>
      <c r="AN35" s="35" t="n"/>
      <c r="AR35" s="35" t="n"/>
      <c r="AS35" s="35" t="n"/>
      <c r="AT35" s="35" t="n"/>
      <c r="AX35" s="35" t="n"/>
      <c r="AY35" s="35" t="n"/>
      <c r="AZ35" s="35" t="n"/>
      <c r="BD35" s="35" t="n"/>
      <c r="BE35" s="35" t="n"/>
      <c r="BF35" s="35" t="n"/>
      <c r="BJ35" s="35" t="n"/>
      <c r="BK35" s="35" t="n"/>
      <c r="BL35" s="35" t="n"/>
      <c r="BP35" s="35" t="n"/>
      <c r="BQ35" s="35" t="n"/>
      <c r="BR35" s="35" t="n"/>
      <c r="BV35" s="35" t="n"/>
      <c r="BW35" s="35" t="n"/>
      <c r="BX35" s="35" t="n"/>
      <c r="CB35" s="35" t="n"/>
      <c r="CC35" s="35" t="n"/>
      <c r="CD35" s="35" t="n"/>
      <c r="CH35" s="35" t="n"/>
      <c r="CI35" s="35" t="n"/>
      <c r="CJ35" s="35" t="n"/>
      <c r="CN35" s="35" t="n"/>
      <c r="CO35" s="35" t="n"/>
      <c r="CP35" s="35" t="n"/>
      <c r="CT35" s="35" t="n"/>
      <c r="CU35" s="35" t="n"/>
      <c r="CV35" s="35" t="n"/>
      <c r="CZ35" s="35" t="n"/>
      <c r="DA35" s="35" t="n"/>
      <c r="DB35" s="35" t="n"/>
      <c r="DF35" s="35" t="n"/>
      <c r="DG35" s="35" t="n"/>
      <c r="DH35" s="35" t="n"/>
      <c r="DL35" s="35" t="n"/>
      <c r="DM35" s="35" t="n"/>
      <c r="DN35" s="35" t="n"/>
    </row>
    <row r="36">
      <c r="A36" s="2" t="inlineStr">
        <is>
          <t>Account Executive</t>
        </is>
      </c>
      <c r="B36" s="10">
        <f>IF(COUNT(AR36,AO36,AL36,AI36,AF36,AC36,Z36,W36,T36,Q36,N36,K36)=0,"",SUM(AR36,AO36,AL36,AI36,AF36,AC36,Z36,W36,T36,Q36,N36,K36))</f>
        <v/>
      </c>
      <c r="C36" s="10">
        <f>IF(COUNT(AS36,AP36,AM36,AJ36,AG36,AD36,AA36,X36,U36,R36,O36,L36)=0,"",SUM(AS36,AP36,AM36,AJ36,AG36,AD36,AA36,X36,U36,R36,O36,L36))</f>
        <v/>
      </c>
      <c r="D36" s="10">
        <f>IF(COUNT(AT36,AQ36,AN36,AK36,AH36,AE36,AB36,Y36,V36,S36,P36,M36)=0,"",SUM(AT36,AQ36,AN36,AK36,AH36,AE36,AB36,Y36,V36,S36,P36,M36))</f>
        <v/>
      </c>
      <c r="E36" s="11">
        <f>IF(COUNT(CB36,BY36,BV36,BS36,BP36,BM36,BJ36,BG36,BD36,BA36,AX36,AU36)=0,"",SUM(CB36,BY36,BV36,BS36,BP36,BM36,BJ36,BG36,BD36,BA36,AX36,AU36))</f>
        <v/>
      </c>
      <c r="F36" s="11">
        <f>IF(COUNT(CC36,BZ36,BW36,BT36,BQ36,BN36,BK36,BH36,BE36,BB36,AY36,AV36)=0,"",SUM(CC36,BZ36,BW36,BT36,BQ36,BN36,BK36,BH36,BE36,BB36,AY36,AV36))</f>
        <v/>
      </c>
      <c r="G36" s="11">
        <f>IF(COUNT(CD36,CA36,BX36,BU36,BR36,BO36,BL36,BI36,BF36,BC36,AZ36,AW36)=0,"",SUM(CD36,CA36,BX36,BU36,BR36,BO36,BL36,BI36,BF36,BC36,AZ36,AW36))</f>
        <v/>
      </c>
      <c r="H36" s="10">
        <f>IF(COUNT(DL36,DI36,DF36,DC36,CZ36,CW36,CT36,CQ36,CN36,CK36,CH36,CE36)=0,"",SUM(DL36,DI36,DF36,DC36,CZ36,CW36,CT36,CQ36,CN36,CK36,CH36,CE36))</f>
        <v/>
      </c>
      <c r="I36" s="10">
        <f>IF(COUNT(DM36,DJ36,DG36,DD36,DA36,CX36,CU36,CR36,CO36,CL36,CI36,CF36)=0,"",SUM(DM36,DJ36,DG36,DD36,DA36,CX36,CU36,CR36,CO36,CL36,CI36,CF36))</f>
        <v/>
      </c>
      <c r="J36" s="10">
        <f>IF(COUNT(DN36,DK36,DH36,DE36,DB36,CY36,CV36,CS36,CP36,CM36,CJ36,CG36)=0,"",SUM(DN36,DK36,DH36,DE36,DB36,CY36,CV36,CS36,CP36,CM36,CJ36,CG36))</f>
        <v/>
      </c>
      <c r="K36" s="11" t="n"/>
      <c r="L36" s="11" t="n">
        <v>12000</v>
      </c>
      <c r="M36" s="11" t="n">
        <v>12000</v>
      </c>
      <c r="N36" s="10" t="n"/>
      <c r="O36" s="10" t="n">
        <v>12000</v>
      </c>
      <c r="P36" s="10" t="n">
        <v>12000</v>
      </c>
      <c r="Q36" s="11" t="n"/>
      <c r="R36" s="11" t="n">
        <v>12000</v>
      </c>
      <c r="S36" s="11" t="n">
        <v>12000</v>
      </c>
      <c r="T36" s="10" t="n"/>
      <c r="U36" s="10" t="n">
        <v>12000</v>
      </c>
      <c r="V36" s="10" t="n">
        <v>12000</v>
      </c>
      <c r="W36" s="11" t="n"/>
      <c r="X36" s="11" t="n">
        <v>12000</v>
      </c>
      <c r="Y36" s="11" t="n">
        <v>12000</v>
      </c>
      <c r="Z36" s="10" t="n"/>
      <c r="AA36" s="10" t="n">
        <v>12000</v>
      </c>
      <c r="AB36" s="10" t="n">
        <v>12000</v>
      </c>
      <c r="AC36" s="11" t="n"/>
      <c r="AD36" s="11" t="n">
        <v>12000</v>
      </c>
      <c r="AE36" s="11" t="n">
        <v>12000</v>
      </c>
      <c r="AF36" s="10" t="n"/>
      <c r="AG36" s="10" t="n">
        <v>12000</v>
      </c>
      <c r="AH36" s="10" t="n">
        <v>12000</v>
      </c>
      <c r="AI36" s="11" t="n"/>
      <c r="AJ36" s="11" t="n">
        <v>12000</v>
      </c>
      <c r="AK36" s="11" t="n">
        <v>12000</v>
      </c>
      <c r="AL36" s="10" t="n"/>
      <c r="AM36" s="10" t="n">
        <v>12000</v>
      </c>
      <c r="AN36" s="10" t="n">
        <v>12000</v>
      </c>
      <c r="AO36" s="11" t="n"/>
      <c r="AP36" s="11" t="n">
        <v>12000</v>
      </c>
      <c r="AQ36" s="11" t="n">
        <v>12000</v>
      </c>
      <c r="AR36" s="10" t="n"/>
      <c r="AS36" s="10" t="n">
        <v>12000</v>
      </c>
      <c r="AT36" s="10" t="n">
        <v>12000</v>
      </c>
      <c r="AU36" s="11" t="n"/>
      <c r="AV36" s="11" t="n">
        <v>12000</v>
      </c>
      <c r="AW36" s="11" t="n">
        <v>12000</v>
      </c>
      <c r="AX36" s="10" t="n"/>
      <c r="AY36" s="10" t="n">
        <v>12000</v>
      </c>
      <c r="AZ36" s="10" t="n">
        <v>12000</v>
      </c>
      <c r="BA36" s="11" t="n"/>
      <c r="BB36" s="11" t="n">
        <v>12000</v>
      </c>
      <c r="BC36" s="11" t="n">
        <v>12000</v>
      </c>
      <c r="BD36" s="10" t="n"/>
      <c r="BE36" s="10" t="n">
        <v>12000</v>
      </c>
      <c r="BF36" s="10" t="n">
        <v>12000</v>
      </c>
      <c r="BG36" s="11" t="n"/>
      <c r="BH36" s="11" t="n">
        <v>12000</v>
      </c>
      <c r="BI36" s="11" t="n">
        <v>12000</v>
      </c>
      <c r="BJ36" s="10" t="n"/>
      <c r="BK36" s="10" t="n">
        <v>12000</v>
      </c>
      <c r="BL36" s="10" t="n">
        <v>12000</v>
      </c>
      <c r="BM36" s="11" t="n"/>
      <c r="BN36" s="11" t="n">
        <v>12000</v>
      </c>
      <c r="BO36" s="11" t="n">
        <v>12000</v>
      </c>
      <c r="BP36" s="10" t="n"/>
      <c r="BQ36" s="10" t="n">
        <v>12000</v>
      </c>
      <c r="BR36" s="10" t="n">
        <v>12000</v>
      </c>
      <c r="BS36" s="11" t="n"/>
      <c r="BT36" s="11" t="n">
        <v>12000</v>
      </c>
      <c r="BU36" s="11" t="n">
        <v>12000</v>
      </c>
      <c r="BV36" s="10" t="n"/>
      <c r="BW36" s="10" t="n">
        <v>12000</v>
      </c>
      <c r="BX36" s="10" t="n">
        <v>12000</v>
      </c>
      <c r="BY36" s="11" t="n"/>
      <c r="BZ36" s="11" t="n">
        <v>12000</v>
      </c>
      <c r="CA36" s="11" t="n">
        <v>12000</v>
      </c>
      <c r="CB36" s="35" t="n"/>
      <c r="CC36" s="35" t="n"/>
      <c r="CD36" s="35" t="n"/>
      <c r="CH36" s="35" t="n"/>
      <c r="CI36" s="35" t="n"/>
      <c r="CJ36" s="35" t="n"/>
      <c r="CN36" s="35" t="n"/>
      <c r="CO36" s="35" t="n"/>
      <c r="CP36" s="35" t="n"/>
      <c r="CT36" s="35" t="n"/>
      <c r="CU36" s="35" t="n"/>
      <c r="CV36" s="35" t="n"/>
      <c r="CZ36" s="35" t="n"/>
      <c r="DA36" s="35" t="n"/>
      <c r="DB36" s="35" t="n"/>
      <c r="DF36" s="35" t="n"/>
      <c r="DG36" s="35" t="n"/>
      <c r="DH36" s="35" t="n"/>
      <c r="DL36" s="35" t="n"/>
      <c r="DM36" s="35" t="n"/>
      <c r="DN36" s="35" t="n"/>
    </row>
    <row r="37">
      <c r="A37" s="2" t="inlineStr">
        <is>
          <t>Account Executive</t>
        </is>
      </c>
      <c r="B37" s="10">
        <f>IF(COUNT(AR37,AO37,AL37,AI37,AF37,AC37,Z37,W37,T37,Q37,N37,K37)=0,"",SUM(AR37,AO37,AL37,AI37,AF37,AC37,Z37,W37,T37,Q37,N37,K37))</f>
        <v/>
      </c>
      <c r="C37" s="10">
        <f>IF(COUNT(AS37,AP37,AM37,AJ37,AG37,AD37,AA37,X37,U37,R37,O37,L37)=0,"",SUM(AS37,AP37,AM37,AJ37,AG37,AD37,AA37,X37,U37,R37,O37,L37))</f>
        <v/>
      </c>
      <c r="D37" s="10">
        <f>IF(COUNT(AT37,AQ37,AN37,AK37,AH37,AE37,AB37,Y37,V37,S37,P37,M37)=0,"",SUM(AT37,AQ37,AN37,AK37,AH37,AE37,AB37,Y37,V37,S37,P37,M37))</f>
        <v/>
      </c>
      <c r="E37" s="11">
        <f>IF(COUNT(CB37,BY37,BV37,BS37,BP37,BM37,BJ37,BG37,BD37,BA37,AX37,AU37)=0,"",SUM(CB37,BY37,BV37,BS37,BP37,BM37,BJ37,BG37,BD37,BA37,AX37,AU37))</f>
        <v/>
      </c>
      <c r="F37" s="11">
        <f>IF(COUNT(CC37,BZ37,BW37,BT37,BQ37,BN37,BK37,BH37,BE37,BB37,AY37,AV37)=0,"",SUM(CC37,BZ37,BW37,BT37,BQ37,BN37,BK37,BH37,BE37,BB37,AY37,AV37))</f>
        <v/>
      </c>
      <c r="G37" s="11">
        <f>IF(COUNT(CD37,CA37,BX37,BU37,BR37,BO37,BL37,BI37,BF37,BC37,AZ37,AW37)=0,"",SUM(CD37,CA37,BX37,BU37,BR37,BO37,BL37,BI37,BF37,BC37,AZ37,AW37))</f>
        <v/>
      </c>
      <c r="H37" s="10">
        <f>IF(COUNT(DL37,DI37,DF37,DC37,CZ37,CW37,CT37,CQ37,CN37,CK37,CH37,CE37)=0,"",SUM(DL37,DI37,DF37,DC37,CZ37,CW37,CT37,CQ37,CN37,CK37,CH37,CE37))</f>
        <v/>
      </c>
      <c r="I37" s="10">
        <f>IF(COUNT(DM37,DJ37,DG37,DD37,DA37,CX37,CU37,CR37,CO37,CL37,CI37,CF37)=0,"",SUM(DM37,DJ37,DG37,DD37,DA37,CX37,CU37,CR37,CO37,CL37,CI37,CF37))</f>
        <v/>
      </c>
      <c r="J37" s="10">
        <f>IF(COUNT(DN37,DK37,DH37,DE37,DB37,CY37,CV37,CS37,CP37,CM37,CJ37,CG37)=0,"",SUM(DN37,DK37,DH37,DE37,DB37,CY37,CV37,CS37,CP37,CM37,CJ37,CG37))</f>
        <v/>
      </c>
      <c r="K37" s="11" t="n"/>
      <c r="L37" s="11" t="n">
        <v>12000</v>
      </c>
      <c r="M37" s="11" t="n">
        <v>12000</v>
      </c>
      <c r="N37" s="10" t="n"/>
      <c r="O37" s="10" t="n">
        <v>12000</v>
      </c>
      <c r="P37" s="10" t="n">
        <v>12000</v>
      </c>
      <c r="Q37" s="11" t="n"/>
      <c r="R37" s="11" t="n">
        <v>12000</v>
      </c>
      <c r="S37" s="11" t="n">
        <v>12000</v>
      </c>
      <c r="T37" s="10" t="n"/>
      <c r="U37" s="10" t="n">
        <v>12000</v>
      </c>
      <c r="V37" s="10" t="n">
        <v>12000</v>
      </c>
      <c r="W37" s="11" t="n"/>
      <c r="X37" s="11" t="n">
        <v>12000</v>
      </c>
      <c r="Y37" s="11" t="n">
        <v>12000</v>
      </c>
      <c r="Z37" s="10" t="n"/>
      <c r="AA37" s="10" t="n">
        <v>12000</v>
      </c>
      <c r="AB37" s="10" t="n">
        <v>12000</v>
      </c>
      <c r="AC37" s="11" t="n"/>
      <c r="AD37" s="11" t="n">
        <v>12000</v>
      </c>
      <c r="AE37" s="11" t="n">
        <v>12000</v>
      </c>
      <c r="AF37" s="10" t="n"/>
      <c r="AG37" s="10" t="n">
        <v>12000</v>
      </c>
      <c r="AH37" s="10" t="n">
        <v>12000</v>
      </c>
      <c r="AI37" s="11" t="n"/>
      <c r="AJ37" s="11" t="n">
        <v>12000</v>
      </c>
      <c r="AK37" s="11" t="n">
        <v>12000</v>
      </c>
      <c r="AL37" s="10" t="n"/>
      <c r="AM37" s="10" t="n">
        <v>12000</v>
      </c>
      <c r="AN37" s="10" t="n">
        <v>12000</v>
      </c>
      <c r="AO37" s="11" t="n"/>
      <c r="AP37" s="11" t="n">
        <v>12000</v>
      </c>
      <c r="AQ37" s="11" t="n">
        <v>12000</v>
      </c>
      <c r="AR37" s="10" t="n"/>
      <c r="AS37" s="10" t="n">
        <v>12000</v>
      </c>
      <c r="AT37" s="10" t="n">
        <v>12000</v>
      </c>
      <c r="AU37" s="11" t="n"/>
      <c r="AV37" s="11" t="n">
        <v>12000</v>
      </c>
      <c r="AW37" s="11" t="n">
        <v>12000</v>
      </c>
      <c r="AX37" s="10" t="n"/>
      <c r="AY37" s="10" t="n">
        <v>12000</v>
      </c>
      <c r="AZ37" s="10" t="n">
        <v>12000</v>
      </c>
      <c r="BA37" s="11" t="n"/>
      <c r="BB37" s="11" t="n">
        <v>12000</v>
      </c>
      <c r="BC37" s="11" t="n">
        <v>12000</v>
      </c>
      <c r="BD37" s="10" t="n"/>
      <c r="BE37" s="10" t="n">
        <v>12000</v>
      </c>
      <c r="BF37" s="10" t="n">
        <v>12000</v>
      </c>
      <c r="BG37" s="11" t="n"/>
      <c r="BH37" s="11" t="n">
        <v>12000</v>
      </c>
      <c r="BI37" s="11" t="n">
        <v>12000</v>
      </c>
      <c r="BJ37" s="10" t="n"/>
      <c r="BK37" s="10" t="n">
        <v>12000</v>
      </c>
      <c r="BL37" s="10" t="n">
        <v>12000</v>
      </c>
      <c r="BM37" s="11" t="n"/>
      <c r="BN37" s="11" t="n">
        <v>12000</v>
      </c>
      <c r="BO37" s="11" t="n">
        <v>12000</v>
      </c>
      <c r="BP37" s="10" t="n"/>
      <c r="BQ37" s="10" t="n">
        <v>12000</v>
      </c>
      <c r="BR37" s="10" t="n">
        <v>12000</v>
      </c>
      <c r="BS37" s="11" t="n"/>
      <c r="BT37" s="11" t="n">
        <v>12000</v>
      </c>
      <c r="BU37" s="11" t="n">
        <v>12000</v>
      </c>
      <c r="BV37" s="35" t="n"/>
      <c r="BW37" s="35" t="n"/>
      <c r="BX37" s="35" t="n"/>
      <c r="CB37" s="35" t="n"/>
      <c r="CC37" s="35" t="n"/>
      <c r="CD37" s="35" t="n"/>
      <c r="CH37" s="35" t="n"/>
      <c r="CI37" s="35" t="n"/>
      <c r="CJ37" s="35" t="n"/>
      <c r="CN37" s="35" t="n"/>
      <c r="CO37" s="35" t="n"/>
      <c r="CP37" s="35" t="n"/>
      <c r="CT37" s="35" t="n"/>
      <c r="CU37" s="35" t="n"/>
      <c r="CV37" s="35" t="n"/>
      <c r="CZ37" s="35" t="n"/>
      <c r="DA37" s="35" t="n"/>
      <c r="DB37" s="35" t="n"/>
      <c r="DF37" s="35" t="n"/>
      <c r="DG37" s="35" t="n"/>
      <c r="DH37" s="35" t="n"/>
      <c r="DL37" s="35" t="n"/>
      <c r="DM37" s="35" t="n"/>
      <c r="DN37" s="35" t="n"/>
    </row>
    <row r="38">
      <c r="A38" s="2" t="inlineStr">
        <is>
          <t>Account Executive</t>
        </is>
      </c>
      <c r="B38" s="10">
        <f>IF(COUNT(AR38,AO38,AL38,AI38,AF38,AC38,Z38,W38,T38,Q38,N38,K38)=0,"",SUM(AR38,AO38,AL38,AI38,AF38,AC38,Z38,W38,T38,Q38,N38,K38))</f>
        <v/>
      </c>
      <c r="C38" s="10">
        <f>IF(COUNT(AS38,AP38,AM38,AJ38,AG38,AD38,AA38,X38,U38,R38,O38,L38)=0,"",SUM(AS38,AP38,AM38,AJ38,AG38,AD38,AA38,X38,U38,R38,O38,L38))</f>
        <v/>
      </c>
      <c r="D38" s="10">
        <f>IF(COUNT(AT38,AQ38,AN38,AK38,AH38,AE38,AB38,Y38,V38,S38,P38,M38)=0,"",SUM(AT38,AQ38,AN38,AK38,AH38,AE38,AB38,Y38,V38,S38,P38,M38))</f>
        <v/>
      </c>
      <c r="E38" s="11">
        <f>IF(COUNT(CB38,BY38,BV38,BS38,BP38,BM38,BJ38,BG38,BD38,BA38,AX38,AU38)=0,"",SUM(CB38,BY38,BV38,BS38,BP38,BM38,BJ38,BG38,BD38,BA38,AX38,AU38))</f>
        <v/>
      </c>
      <c r="F38" s="11">
        <f>IF(COUNT(CC38,BZ38,BW38,BT38,BQ38,BN38,BK38,BH38,BE38,BB38,AY38,AV38)=0,"",SUM(CC38,BZ38,BW38,BT38,BQ38,BN38,BK38,BH38,BE38,BB38,AY38,AV38))</f>
        <v/>
      </c>
      <c r="G38" s="11">
        <f>IF(COUNT(CD38,CA38,BX38,BU38,BR38,BO38,BL38,BI38,BF38,BC38,AZ38,AW38)=0,"",SUM(CD38,CA38,BX38,BU38,BR38,BO38,BL38,BI38,BF38,BC38,AZ38,AW38))</f>
        <v/>
      </c>
      <c r="H38" s="10">
        <f>IF(COUNT(DL38,DI38,DF38,DC38,CZ38,CW38,CT38,CQ38,CN38,CK38,CH38,CE38)=0,"",SUM(DL38,DI38,DF38,DC38,CZ38,CW38,CT38,CQ38,CN38,CK38,CH38,CE38))</f>
        <v/>
      </c>
      <c r="I38" s="10">
        <f>IF(COUNT(DM38,DJ38,DG38,DD38,DA38,CX38,CU38,CR38,CO38,CL38,CI38,CF38)=0,"",SUM(DM38,DJ38,DG38,DD38,DA38,CX38,CU38,CR38,CO38,CL38,CI38,CF38))</f>
        <v/>
      </c>
      <c r="J38" s="10">
        <f>IF(COUNT(DN38,DK38,DH38,DE38,DB38,CY38,CV38,CS38,CP38,CM38,CJ38,CG38)=0,"",SUM(DN38,DK38,DH38,DE38,DB38,CY38,CV38,CS38,CP38,CM38,CJ38,CG38))</f>
        <v/>
      </c>
      <c r="K38" s="11" t="n"/>
      <c r="L38" s="11" t="n">
        <v>12000</v>
      </c>
      <c r="M38" s="11" t="n">
        <v>12000</v>
      </c>
      <c r="N38" s="10" t="n"/>
      <c r="O38" s="10" t="n">
        <v>12000</v>
      </c>
      <c r="P38" s="10" t="n">
        <v>12000</v>
      </c>
      <c r="Q38" s="11" t="n"/>
      <c r="R38" s="11" t="n">
        <v>12000</v>
      </c>
      <c r="S38" s="11" t="n">
        <v>12000</v>
      </c>
      <c r="T38" s="10" t="n"/>
      <c r="U38" s="10" t="n">
        <v>12000</v>
      </c>
      <c r="V38" s="10" t="n">
        <v>12000</v>
      </c>
      <c r="W38" s="11" t="n"/>
      <c r="X38" s="11" t="n">
        <v>12000</v>
      </c>
      <c r="Y38" s="11" t="n">
        <v>12000</v>
      </c>
      <c r="Z38" s="10" t="n"/>
      <c r="AA38" s="10" t="n">
        <v>12000</v>
      </c>
      <c r="AB38" s="10" t="n">
        <v>12000</v>
      </c>
      <c r="AC38" s="11" t="n"/>
      <c r="AD38" s="11" t="n">
        <v>12000</v>
      </c>
      <c r="AE38" s="11" t="n">
        <v>12000</v>
      </c>
      <c r="AF38" s="10" t="n"/>
      <c r="AG38" s="10" t="n">
        <v>12000</v>
      </c>
      <c r="AH38" s="10" t="n">
        <v>12000</v>
      </c>
      <c r="AI38" s="11" t="n"/>
      <c r="AJ38" s="11" t="n">
        <v>12000</v>
      </c>
      <c r="AK38" s="11" t="n">
        <v>12000</v>
      </c>
      <c r="AL38" s="10" t="n"/>
      <c r="AM38" s="10" t="n">
        <v>12000</v>
      </c>
      <c r="AN38" s="10" t="n">
        <v>12000</v>
      </c>
      <c r="AO38" s="11" t="n"/>
      <c r="AP38" s="11" t="n">
        <v>12000</v>
      </c>
      <c r="AQ38" s="11" t="n">
        <v>12000</v>
      </c>
      <c r="AR38" s="10" t="n"/>
      <c r="AS38" s="10" t="n">
        <v>12000</v>
      </c>
      <c r="AT38" s="10" t="n">
        <v>12000</v>
      </c>
      <c r="AU38" s="11" t="n"/>
      <c r="AV38" s="11" t="n">
        <v>12000</v>
      </c>
      <c r="AW38" s="11" t="n">
        <v>12000</v>
      </c>
      <c r="AX38" s="10" t="n"/>
      <c r="AY38" s="10" t="n">
        <v>12000</v>
      </c>
      <c r="AZ38" s="10" t="n">
        <v>12000</v>
      </c>
      <c r="BA38" s="11" t="n"/>
      <c r="BB38" s="11" t="n">
        <v>12000</v>
      </c>
      <c r="BC38" s="11" t="n">
        <v>12000</v>
      </c>
      <c r="BD38" s="35" t="n"/>
      <c r="BE38" s="35" t="n"/>
      <c r="BF38" s="35" t="n"/>
      <c r="BJ38" s="35" t="n"/>
      <c r="BK38" s="35" t="n"/>
      <c r="BL38" s="35" t="n"/>
      <c r="BP38" s="35" t="n"/>
      <c r="BQ38" s="35" t="n"/>
      <c r="BR38" s="35" t="n"/>
      <c r="BV38" s="35" t="n"/>
      <c r="BW38" s="35" t="n"/>
      <c r="BX38" s="35" t="n"/>
      <c r="CB38" s="35" t="n"/>
      <c r="CC38" s="35" t="n"/>
      <c r="CD38" s="35" t="n"/>
      <c r="CH38" s="35" t="n"/>
      <c r="CI38" s="35" t="n"/>
      <c r="CJ38" s="35" t="n"/>
      <c r="CN38" s="35" t="n"/>
      <c r="CO38" s="35" t="n"/>
      <c r="CP38" s="35" t="n"/>
      <c r="CT38" s="35" t="n"/>
      <c r="CU38" s="35" t="n"/>
      <c r="CV38" s="35" t="n"/>
      <c r="CZ38" s="35" t="n"/>
      <c r="DA38" s="35" t="n"/>
      <c r="DB38" s="35" t="n"/>
      <c r="DF38" s="35" t="n"/>
      <c r="DG38" s="35" t="n"/>
      <c r="DH38" s="35" t="n"/>
      <c r="DL38" s="35" t="n"/>
      <c r="DM38" s="35" t="n"/>
      <c r="DN38" s="35" t="n"/>
    </row>
    <row r="39">
      <c r="A39" s="2" t="inlineStr">
        <is>
          <t>Account Executive</t>
        </is>
      </c>
      <c r="B39" s="10">
        <f>IF(COUNT(AR39,AO39,AL39,AI39,AF39,AC39,Z39,W39,T39,Q39,N39,K39)=0,"",SUM(AR39,AO39,AL39,AI39,AF39,AC39,Z39,W39,T39,Q39,N39,K39))</f>
        <v/>
      </c>
      <c r="C39" s="10">
        <f>IF(COUNT(AS39,AP39,AM39,AJ39,AG39,AD39,AA39,X39,U39,R39,O39,L39)=0,"",SUM(AS39,AP39,AM39,AJ39,AG39,AD39,AA39,X39,U39,R39,O39,L39))</f>
        <v/>
      </c>
      <c r="D39" s="10">
        <f>IF(COUNT(AT39,AQ39,AN39,AK39,AH39,AE39,AB39,Y39,V39,S39,P39,M39)=0,"",SUM(AT39,AQ39,AN39,AK39,AH39,AE39,AB39,Y39,V39,S39,P39,M39))</f>
        <v/>
      </c>
      <c r="E39" s="11">
        <f>IF(COUNT(CB39,BY39,BV39,BS39,BP39,BM39,BJ39,BG39,BD39,BA39,AX39,AU39)=0,"",SUM(CB39,BY39,BV39,BS39,BP39,BM39,BJ39,BG39,BD39,BA39,AX39,AU39))</f>
        <v/>
      </c>
      <c r="F39" s="11">
        <f>IF(COUNT(CC39,BZ39,BW39,BT39,BQ39,BN39,BK39,BH39,BE39,BB39,AY39,AV39)=0,"",SUM(CC39,BZ39,BW39,BT39,BQ39,BN39,BK39,BH39,BE39,BB39,AY39,AV39))</f>
        <v/>
      </c>
      <c r="G39" s="11">
        <f>IF(COUNT(CD39,CA39,BX39,BU39,BR39,BO39,BL39,BI39,BF39,BC39,AZ39,AW39)=0,"",SUM(CD39,CA39,BX39,BU39,BR39,BO39,BL39,BI39,BF39,BC39,AZ39,AW39))</f>
        <v/>
      </c>
      <c r="H39" s="10">
        <f>IF(COUNT(DL39,DI39,DF39,DC39,CZ39,CW39,CT39,CQ39,CN39,CK39,CH39,CE39)=0,"",SUM(DL39,DI39,DF39,DC39,CZ39,CW39,CT39,CQ39,CN39,CK39,CH39,CE39))</f>
        <v/>
      </c>
      <c r="I39" s="10">
        <f>IF(COUNT(DM39,DJ39,DG39,DD39,DA39,CX39,CU39,CR39,CO39,CL39,CI39,CF39)=0,"",SUM(DM39,DJ39,DG39,DD39,DA39,CX39,CU39,CR39,CO39,CL39,CI39,CF39))</f>
        <v/>
      </c>
      <c r="J39" s="10">
        <f>IF(COUNT(DN39,DK39,DH39,DE39,DB39,CY39,CV39,CS39,CP39,CM39,CJ39,CG39)=0,"",SUM(DN39,DK39,DH39,DE39,DB39,CY39,CV39,CS39,CP39,CM39,CJ39,CG39))</f>
        <v/>
      </c>
      <c r="K39" s="11" t="n"/>
      <c r="L39" s="11" t="n">
        <v>12000</v>
      </c>
      <c r="M39" s="11" t="n">
        <v>12000</v>
      </c>
      <c r="N39" s="10" t="n"/>
      <c r="O39" s="10" t="n">
        <v>12000</v>
      </c>
      <c r="P39" s="10" t="n">
        <v>12000</v>
      </c>
      <c r="Q39" s="11" t="n"/>
      <c r="R39" s="11" t="n">
        <v>12000</v>
      </c>
      <c r="S39" s="11" t="n">
        <v>12000</v>
      </c>
      <c r="T39" s="10" t="n"/>
      <c r="U39" s="10" t="n">
        <v>12000</v>
      </c>
      <c r="V39" s="10" t="n">
        <v>12000</v>
      </c>
      <c r="W39" s="11" t="n"/>
      <c r="X39" s="11" t="n">
        <v>12000</v>
      </c>
      <c r="Y39" s="11" t="n">
        <v>12000</v>
      </c>
      <c r="Z39" s="10" t="n"/>
      <c r="AA39" s="10" t="n">
        <v>12000</v>
      </c>
      <c r="AB39" s="10" t="n">
        <v>12000</v>
      </c>
      <c r="AC39" s="11" t="n"/>
      <c r="AD39" s="11" t="n">
        <v>12000</v>
      </c>
      <c r="AE39" s="11" t="n">
        <v>12000</v>
      </c>
      <c r="AF39" s="10" t="n"/>
      <c r="AG39" s="10" t="n">
        <v>12000</v>
      </c>
      <c r="AH39" s="10" t="n">
        <v>12000</v>
      </c>
      <c r="AI39" s="11" t="n"/>
      <c r="AJ39" s="11" t="n">
        <v>12000</v>
      </c>
      <c r="AK39" s="11" t="n">
        <v>12000</v>
      </c>
      <c r="AL39" s="10" t="n"/>
      <c r="AM39" s="10" t="n">
        <v>12000</v>
      </c>
      <c r="AN39" s="10" t="n">
        <v>12000</v>
      </c>
      <c r="AO39" s="11" t="n"/>
      <c r="AP39" s="11" t="n">
        <v>12000</v>
      </c>
      <c r="AQ39" s="11" t="n">
        <v>12000</v>
      </c>
      <c r="AR39" s="10" t="n"/>
      <c r="AS39" s="10" t="n">
        <v>12000</v>
      </c>
      <c r="AT39" s="10" t="n">
        <v>12000</v>
      </c>
      <c r="AX39" s="35" t="n"/>
      <c r="AY39" s="35" t="n"/>
      <c r="AZ39" s="35" t="n"/>
      <c r="BD39" s="35" t="n"/>
      <c r="BE39" s="35" t="n"/>
      <c r="BF39" s="35" t="n"/>
      <c r="BJ39" s="35" t="n"/>
      <c r="BK39" s="35" t="n"/>
      <c r="BL39" s="35" t="n"/>
      <c r="BP39" s="35" t="n"/>
      <c r="BQ39" s="35" t="n"/>
      <c r="BR39" s="35" t="n"/>
      <c r="BV39" s="35" t="n"/>
      <c r="BW39" s="35" t="n"/>
      <c r="BX39" s="35" t="n"/>
      <c r="CB39" s="35" t="n"/>
      <c r="CC39" s="35" t="n"/>
      <c r="CD39" s="35" t="n"/>
      <c r="CH39" s="35" t="n"/>
      <c r="CI39" s="35" t="n"/>
      <c r="CJ39" s="35" t="n"/>
      <c r="CN39" s="35" t="n"/>
      <c r="CO39" s="35" t="n"/>
      <c r="CP39" s="35" t="n"/>
      <c r="CT39" s="35" t="n"/>
      <c r="CU39" s="35" t="n"/>
      <c r="CV39" s="35" t="n"/>
      <c r="CZ39" s="35" t="n"/>
      <c r="DA39" s="35" t="n"/>
      <c r="DB39" s="35" t="n"/>
      <c r="DF39" s="35" t="n"/>
      <c r="DG39" s="35" t="n"/>
      <c r="DH39" s="35" t="n"/>
      <c r="DL39" s="35" t="n"/>
      <c r="DM39" s="35" t="n"/>
      <c r="DN39" s="35" t="n"/>
    </row>
    <row r="40">
      <c r="A40" s="2" t="inlineStr">
        <is>
          <t>Account Executive</t>
        </is>
      </c>
      <c r="B40" s="10">
        <f>IF(COUNT(AR40,AO40,AL40,AI40,AF40,AC40,Z40,W40,T40,Q40,N40,K40)=0,"",SUM(AR40,AO40,AL40,AI40,AF40,AC40,Z40,W40,T40,Q40,N40,K40))</f>
        <v/>
      </c>
      <c r="C40" s="10">
        <f>IF(COUNT(AS40,AP40,AM40,AJ40,AG40,AD40,AA40,X40,U40,R40,O40,L40)=0,"",SUM(AS40,AP40,AM40,AJ40,AG40,AD40,AA40,X40,U40,R40,O40,L40))</f>
        <v/>
      </c>
      <c r="D40" s="10">
        <f>IF(COUNT(AT40,AQ40,AN40,AK40,AH40,AE40,AB40,Y40,V40,S40,P40,M40)=0,"",SUM(AT40,AQ40,AN40,AK40,AH40,AE40,AB40,Y40,V40,S40,P40,M40))</f>
        <v/>
      </c>
      <c r="E40" s="11">
        <f>IF(COUNT(CB40,BY40,BV40,BS40,BP40,BM40,BJ40,BG40,BD40,BA40,AX40,AU40)=0,"",SUM(CB40,BY40,BV40,BS40,BP40,BM40,BJ40,BG40,BD40,BA40,AX40,AU40))</f>
        <v/>
      </c>
      <c r="F40" s="11">
        <f>IF(COUNT(CC40,BZ40,BW40,BT40,BQ40,BN40,BK40,BH40,BE40,BB40,AY40,AV40)=0,"",SUM(CC40,BZ40,BW40,BT40,BQ40,BN40,BK40,BH40,BE40,BB40,AY40,AV40))</f>
        <v/>
      </c>
      <c r="G40" s="11">
        <f>IF(COUNT(CD40,CA40,BX40,BU40,BR40,BO40,BL40,BI40,BF40,BC40,AZ40,AW40)=0,"",SUM(CD40,CA40,BX40,BU40,BR40,BO40,BL40,BI40,BF40,BC40,AZ40,AW40))</f>
        <v/>
      </c>
      <c r="H40" s="10">
        <f>IF(COUNT(DL40,DI40,DF40,DC40,CZ40,CW40,CT40,CQ40,CN40,CK40,CH40,CE40)=0,"",SUM(DL40,DI40,DF40,DC40,CZ40,CW40,CT40,CQ40,CN40,CK40,CH40,CE40))</f>
        <v/>
      </c>
      <c r="I40" s="10">
        <f>IF(COUNT(DM40,DJ40,DG40,DD40,DA40,CX40,CU40,CR40,CO40,CL40,CI40,CF40)=0,"",SUM(DM40,DJ40,DG40,DD40,DA40,CX40,CU40,CR40,CO40,CL40,CI40,CF40))</f>
        <v/>
      </c>
      <c r="J40" s="10">
        <f>IF(COUNT(DN40,DK40,DH40,DE40,DB40,CY40,CV40,CS40,CP40,CM40,CJ40,CG40)=0,"",SUM(DN40,DK40,DH40,DE40,DB40,CY40,CV40,CS40,CP40,CM40,CJ40,CG40))</f>
        <v/>
      </c>
      <c r="K40" s="11" t="n"/>
      <c r="L40" s="11" t="n">
        <v>12000</v>
      </c>
      <c r="M40" s="11" t="n">
        <v>12000</v>
      </c>
      <c r="N40" s="10" t="n"/>
      <c r="O40" s="10" t="n">
        <v>12000</v>
      </c>
      <c r="P40" s="10" t="n">
        <v>12000</v>
      </c>
      <c r="Q40" s="11" t="n"/>
      <c r="R40" s="11" t="n">
        <v>12000</v>
      </c>
      <c r="S40" s="11" t="n">
        <v>12000</v>
      </c>
      <c r="T40" s="10" t="n"/>
      <c r="U40" s="10" t="n">
        <v>12000</v>
      </c>
      <c r="V40" s="10" t="n">
        <v>12000</v>
      </c>
      <c r="W40" s="11" t="n"/>
      <c r="X40" s="11" t="n">
        <v>12000</v>
      </c>
      <c r="Y40" s="11" t="n">
        <v>12000</v>
      </c>
      <c r="Z40" s="10" t="n"/>
      <c r="AA40" s="10" t="n">
        <v>12000</v>
      </c>
      <c r="AB40" s="10" t="n">
        <v>12000</v>
      </c>
      <c r="AC40" s="11" t="n"/>
      <c r="AD40" s="11" t="n">
        <v>12000</v>
      </c>
      <c r="AE40" s="11" t="n">
        <v>12000</v>
      </c>
      <c r="AF40" s="10" t="n"/>
      <c r="AG40" s="10" t="n">
        <v>12000</v>
      </c>
      <c r="AH40" s="10" t="n">
        <v>12000</v>
      </c>
      <c r="AI40" s="11" t="n"/>
      <c r="AJ40" s="11" t="n">
        <v>12000</v>
      </c>
      <c r="AK40" s="11" t="n">
        <v>12000</v>
      </c>
      <c r="AL40" s="35" t="n"/>
      <c r="AM40" s="35" t="n"/>
      <c r="AN40" s="35" t="n"/>
      <c r="AR40" s="35" t="n"/>
      <c r="AS40" s="35" t="n"/>
      <c r="AT40" s="35" t="n"/>
      <c r="AX40" s="35" t="n"/>
      <c r="AY40" s="35" t="n"/>
      <c r="AZ40" s="35" t="n"/>
      <c r="BD40" s="35" t="n"/>
      <c r="BE40" s="35" t="n"/>
      <c r="BF40" s="35" t="n"/>
      <c r="BJ40" s="35" t="n"/>
      <c r="BK40" s="35" t="n"/>
      <c r="BL40" s="35" t="n"/>
      <c r="BP40" s="35" t="n"/>
      <c r="BQ40" s="35" t="n"/>
      <c r="BR40" s="35" t="n"/>
      <c r="BV40" s="35" t="n"/>
      <c r="BW40" s="35" t="n"/>
      <c r="BX40" s="35" t="n"/>
      <c r="CB40" s="35" t="n"/>
      <c r="CC40" s="35" t="n"/>
      <c r="CD40" s="35" t="n"/>
      <c r="CH40" s="35" t="n"/>
      <c r="CI40" s="35" t="n"/>
      <c r="CJ40" s="35" t="n"/>
      <c r="CN40" s="35" t="n"/>
      <c r="CO40" s="35" t="n"/>
      <c r="CP40" s="35" t="n"/>
      <c r="CT40" s="35" t="n"/>
      <c r="CU40" s="35" t="n"/>
      <c r="CV40" s="35" t="n"/>
      <c r="CZ40" s="35" t="n"/>
      <c r="DA40" s="35" t="n"/>
      <c r="DB40" s="35" t="n"/>
      <c r="DF40" s="35" t="n"/>
      <c r="DG40" s="35" t="n"/>
      <c r="DH40" s="35" t="n"/>
      <c r="DL40" s="35" t="n"/>
      <c r="DM40" s="35" t="n"/>
      <c r="DN40" s="35" t="n"/>
    </row>
    <row r="41">
      <c r="A41" s="2" t="inlineStr">
        <is>
          <t>Senior Account Executive</t>
        </is>
      </c>
      <c r="B41" s="10">
        <f>IF(COUNT(AR41,AO41,AL41,AI41,AF41,AC41,Z41,W41,T41,Q41,N41,K41)=0,"",SUM(AR41,AO41,AL41,AI41,AF41,AC41,Z41,W41,T41,Q41,N41,K41))</f>
        <v/>
      </c>
      <c r="C41" s="10">
        <f>IF(COUNT(AS41,AP41,AM41,AJ41,AG41,AD41,AA41,X41,U41,R41,O41,L41)=0,"",SUM(AS41,AP41,AM41,AJ41,AG41,AD41,AA41,X41,U41,R41,O41,L41))</f>
        <v/>
      </c>
      <c r="D41" s="10">
        <f>IF(COUNT(AT41,AQ41,AN41,AK41,AH41,AE41,AB41,Y41,V41,S41,P41,M41)=0,"",SUM(AT41,AQ41,AN41,AK41,AH41,AE41,AB41,Y41,V41,S41,P41,M41))</f>
        <v/>
      </c>
      <c r="E41" s="11">
        <f>IF(COUNT(CB41,BY41,BV41,BS41,BP41,BM41,BJ41,BG41,BD41,BA41,AX41,AU41)=0,"",SUM(CB41,BY41,BV41,BS41,BP41,BM41,BJ41,BG41,BD41,BA41,AX41,AU41))</f>
        <v/>
      </c>
      <c r="F41" s="11">
        <f>IF(COUNT(CC41,BZ41,BW41,BT41,BQ41,BN41,BK41,BH41,BE41,BB41,AY41,AV41)=0,"",SUM(CC41,BZ41,BW41,BT41,BQ41,BN41,BK41,BH41,BE41,BB41,AY41,AV41))</f>
        <v/>
      </c>
      <c r="G41" s="11">
        <f>IF(COUNT(CD41,CA41,BX41,BU41,BR41,BO41,BL41,BI41,BF41,BC41,AZ41,AW41)=0,"",SUM(CD41,CA41,BX41,BU41,BR41,BO41,BL41,BI41,BF41,BC41,AZ41,AW41))</f>
        <v/>
      </c>
      <c r="H41" s="10">
        <f>IF(COUNT(DL41,DI41,DF41,DC41,CZ41,CW41,CT41,CQ41,CN41,CK41,CH41,CE41)=0,"",SUM(DL41,DI41,DF41,DC41,CZ41,CW41,CT41,CQ41,CN41,CK41,CH41,CE41))</f>
        <v/>
      </c>
      <c r="I41" s="10">
        <f>IF(COUNT(DM41,DJ41,DG41,DD41,DA41,CX41,CU41,CR41,CO41,CL41,CI41,CF41)=0,"",SUM(DM41,DJ41,DG41,DD41,DA41,CX41,CU41,CR41,CO41,CL41,CI41,CF41))</f>
        <v/>
      </c>
      <c r="J41" s="10">
        <f>IF(COUNT(DN41,DK41,DH41,DE41,DB41,CY41,CV41,CS41,CP41,CM41,CJ41,CG41)=0,"",SUM(DN41,DK41,DH41,DE41,DB41,CY41,CV41,CS41,CP41,CM41,CJ41,CG41))</f>
        <v/>
      </c>
      <c r="K41" s="11" t="n"/>
      <c r="L41" s="11" t="n">
        <v>13000</v>
      </c>
      <c r="M41" s="11" t="n">
        <v>13000</v>
      </c>
      <c r="N41" s="10" t="n"/>
      <c r="O41" s="10" t="n">
        <v>13000</v>
      </c>
      <c r="P41" s="10" t="n">
        <v>13000</v>
      </c>
      <c r="Q41" s="11" t="n"/>
      <c r="R41" s="11" t="n">
        <v>13000</v>
      </c>
      <c r="S41" s="11" t="n">
        <v>13000</v>
      </c>
      <c r="T41" s="10" t="n"/>
      <c r="U41" s="10" t="n">
        <v>13000</v>
      </c>
      <c r="V41" s="10" t="n">
        <v>13000</v>
      </c>
      <c r="W41" s="11" t="n"/>
      <c r="X41" s="11" t="n">
        <v>13000</v>
      </c>
      <c r="Y41" s="11" t="n">
        <v>13000</v>
      </c>
      <c r="Z41" s="10" t="n"/>
      <c r="AA41" s="10" t="n">
        <v>13000</v>
      </c>
      <c r="AB41" s="10" t="n">
        <v>13000</v>
      </c>
      <c r="AC41" s="11" t="n"/>
      <c r="AD41" s="11" t="n">
        <v>13000</v>
      </c>
      <c r="AE41" s="11" t="n">
        <v>13000</v>
      </c>
      <c r="AF41" s="10" t="n"/>
      <c r="AG41" s="10" t="n">
        <v>13000</v>
      </c>
      <c r="AH41" s="10" t="n">
        <v>13000</v>
      </c>
      <c r="AI41" s="11" t="n"/>
      <c r="AJ41" s="11" t="n">
        <v>13000</v>
      </c>
      <c r="AK41" s="11" t="n">
        <v>13000</v>
      </c>
      <c r="AL41" s="10" t="n"/>
      <c r="AM41" s="10" t="n">
        <v>13000</v>
      </c>
      <c r="AN41" s="10" t="n">
        <v>13000</v>
      </c>
      <c r="AO41" s="11" t="n"/>
      <c r="AP41" s="11" t="n">
        <v>13000</v>
      </c>
      <c r="AQ41" s="11" t="n">
        <v>13000</v>
      </c>
      <c r="AR41" s="10" t="n"/>
      <c r="AS41" s="10" t="n">
        <v>13000</v>
      </c>
      <c r="AT41" s="10" t="n">
        <v>13000</v>
      </c>
      <c r="AU41" s="11" t="n"/>
      <c r="AV41" s="11" t="n">
        <v>13000</v>
      </c>
      <c r="AW41" s="11" t="n">
        <v>13000</v>
      </c>
      <c r="AX41" s="10" t="n"/>
      <c r="AY41" s="10" t="n">
        <v>13000</v>
      </c>
      <c r="AZ41" s="10" t="n">
        <v>13000</v>
      </c>
      <c r="BA41" s="11" t="n"/>
      <c r="BB41" s="11" t="n">
        <v>13000</v>
      </c>
      <c r="BC41" s="11" t="n">
        <v>13000</v>
      </c>
      <c r="BD41" s="10" t="n"/>
      <c r="BE41" s="10" t="n">
        <v>13000</v>
      </c>
      <c r="BF41" s="10" t="n">
        <v>13000</v>
      </c>
      <c r="BG41" s="11" t="n"/>
      <c r="BH41" s="11" t="n">
        <v>13000</v>
      </c>
      <c r="BI41" s="11" t="n">
        <v>13000</v>
      </c>
      <c r="BJ41" s="35" t="n"/>
      <c r="BK41" s="35" t="n"/>
      <c r="BL41" s="35" t="n"/>
      <c r="BP41" s="35" t="n"/>
      <c r="BQ41" s="35" t="n"/>
      <c r="BR41" s="35" t="n"/>
      <c r="BV41" s="35" t="n"/>
      <c r="BW41" s="35" t="n"/>
      <c r="BX41" s="35" t="n"/>
      <c r="CB41" s="35" t="n"/>
      <c r="CC41" s="35" t="n"/>
      <c r="CD41" s="35" t="n"/>
      <c r="CH41" s="35" t="n"/>
      <c r="CI41" s="35" t="n"/>
      <c r="CJ41" s="35" t="n"/>
      <c r="CN41" s="35" t="n"/>
      <c r="CO41" s="35" t="n"/>
      <c r="CP41" s="35" t="n"/>
      <c r="CT41" s="35" t="n"/>
      <c r="CU41" s="35" t="n"/>
      <c r="CV41" s="35" t="n"/>
      <c r="CZ41" s="35" t="n"/>
      <c r="DA41" s="35" t="n"/>
      <c r="DB41" s="35" t="n"/>
      <c r="DF41" s="35" t="n"/>
      <c r="DG41" s="35" t="n"/>
      <c r="DH41" s="35" t="n"/>
      <c r="DL41" s="35" t="n"/>
      <c r="DM41" s="35" t="n"/>
      <c r="DN41" s="35" t="n"/>
    </row>
    <row r="42">
      <c r="A42" s="2" t="inlineStr">
        <is>
          <t>Account Executive</t>
        </is>
      </c>
      <c r="B42" s="10">
        <f>IF(COUNT(AR42,AO42,AL42,AI42,AF42,AC42,Z42,W42,T42,Q42,N42,K42)=0,"",SUM(AR42,AO42,AL42,AI42,AF42,AC42,Z42,W42,T42,Q42,N42,K42))</f>
        <v/>
      </c>
      <c r="C42" s="10">
        <f>IF(COUNT(AS42,AP42,AM42,AJ42,AG42,AD42,AA42,X42,U42,R42,O42,L42)=0,"",SUM(AS42,AP42,AM42,AJ42,AG42,AD42,AA42,X42,U42,R42,O42,L42))</f>
        <v/>
      </c>
      <c r="D42" s="10">
        <f>IF(COUNT(AT42,AQ42,AN42,AK42,AH42,AE42,AB42,Y42,V42,S42,P42,M42)=0,"",SUM(AT42,AQ42,AN42,AK42,AH42,AE42,AB42,Y42,V42,S42,P42,M42))</f>
        <v/>
      </c>
      <c r="E42" s="11">
        <f>IF(COUNT(CB42,BY42,BV42,BS42,BP42,BM42,BJ42,BG42,BD42,BA42,AX42,AU42)=0,"",SUM(CB42,BY42,BV42,BS42,BP42,BM42,BJ42,BG42,BD42,BA42,AX42,AU42))</f>
        <v/>
      </c>
      <c r="F42" s="11">
        <f>IF(COUNT(CC42,BZ42,BW42,BT42,BQ42,BN42,BK42,BH42,BE42,BB42,AY42,AV42)=0,"",SUM(CC42,BZ42,BW42,BT42,BQ42,BN42,BK42,BH42,BE42,BB42,AY42,AV42))</f>
        <v/>
      </c>
      <c r="G42" s="11">
        <f>IF(COUNT(CD42,CA42,BX42,BU42,BR42,BO42,BL42,BI42,BF42,BC42,AZ42,AW42)=0,"",SUM(CD42,CA42,BX42,BU42,BR42,BO42,BL42,BI42,BF42,BC42,AZ42,AW42))</f>
        <v/>
      </c>
      <c r="H42" s="10">
        <f>IF(COUNT(DL42,DI42,DF42,DC42,CZ42,CW42,CT42,CQ42,CN42,CK42,CH42,CE42)=0,"",SUM(DL42,DI42,DF42,DC42,CZ42,CW42,CT42,CQ42,CN42,CK42,CH42,CE42))</f>
        <v/>
      </c>
      <c r="I42" s="10">
        <f>IF(COUNT(DM42,DJ42,DG42,DD42,DA42,CX42,CU42,CR42,CO42,CL42,CI42,CF42)=0,"",SUM(DM42,DJ42,DG42,DD42,DA42,CX42,CU42,CR42,CO42,CL42,CI42,CF42))</f>
        <v/>
      </c>
      <c r="J42" s="10">
        <f>IF(COUNT(DN42,DK42,DH42,DE42,DB42,CY42,CV42,CS42,CP42,CM42,CJ42,CG42)=0,"",SUM(DN42,DK42,DH42,DE42,DB42,CY42,CV42,CS42,CP42,CM42,CJ42,CG42))</f>
        <v/>
      </c>
      <c r="K42" s="11" t="n"/>
      <c r="L42" s="11" t="n">
        <v>10000</v>
      </c>
      <c r="M42" s="11" t="n">
        <v>10000</v>
      </c>
      <c r="N42" s="10" t="n"/>
      <c r="O42" s="10" t="n">
        <v>10000</v>
      </c>
      <c r="P42" s="10" t="n">
        <v>10000</v>
      </c>
      <c r="Q42" s="11" t="n"/>
      <c r="R42" s="11" t="n">
        <v>10000</v>
      </c>
      <c r="S42" s="11" t="n">
        <v>10000</v>
      </c>
      <c r="T42" s="10" t="n"/>
      <c r="U42" s="10" t="n">
        <v>10000</v>
      </c>
      <c r="V42" s="10" t="n">
        <v>10000</v>
      </c>
      <c r="W42" s="11" t="n"/>
      <c r="X42" s="11" t="n">
        <v>10000</v>
      </c>
      <c r="Y42" s="11" t="n">
        <v>10000</v>
      </c>
      <c r="Z42" s="10" t="n"/>
      <c r="AA42" s="10" t="n">
        <v>10000</v>
      </c>
      <c r="AB42" s="10" t="n">
        <v>10000</v>
      </c>
      <c r="AC42" s="11" t="n"/>
      <c r="AD42" s="11" t="n">
        <v>10000</v>
      </c>
      <c r="AE42" s="11" t="n">
        <v>10000</v>
      </c>
      <c r="AF42" s="10" t="n"/>
      <c r="AG42" s="10" t="n">
        <v>10000</v>
      </c>
      <c r="AH42" s="10" t="n">
        <v>10000</v>
      </c>
      <c r="AI42" s="11" t="n"/>
      <c r="AJ42" s="11" t="n">
        <v>10000</v>
      </c>
      <c r="AK42" s="11" t="n">
        <v>10000</v>
      </c>
      <c r="AL42" s="10" t="n"/>
      <c r="AM42" s="10" t="n">
        <v>10000</v>
      </c>
      <c r="AN42" s="10" t="n">
        <v>10000</v>
      </c>
      <c r="AO42" s="11" t="n"/>
      <c r="AP42" s="11" t="n">
        <v>10000</v>
      </c>
      <c r="AQ42" s="11" t="n">
        <v>10000</v>
      </c>
      <c r="AR42" s="10" t="n"/>
      <c r="AS42" s="10" t="n">
        <v>10000</v>
      </c>
      <c r="AT42" s="10" t="n">
        <v>10000</v>
      </c>
      <c r="AU42" s="11" t="n"/>
      <c r="AV42" s="11" t="n">
        <v>10000</v>
      </c>
      <c r="AW42" s="11" t="n">
        <v>10000</v>
      </c>
      <c r="AX42" s="10" t="n"/>
      <c r="AY42" s="10" t="n">
        <v>10000</v>
      </c>
      <c r="AZ42" s="10" t="n">
        <v>10000</v>
      </c>
      <c r="BA42" s="11" t="n"/>
      <c r="BB42" s="11" t="n">
        <v>10000</v>
      </c>
      <c r="BC42" s="11" t="n">
        <v>10000</v>
      </c>
      <c r="BD42" s="10" t="n"/>
      <c r="BE42" s="10" t="n">
        <v>10000</v>
      </c>
      <c r="BF42" s="10" t="n">
        <v>10000</v>
      </c>
      <c r="BG42" s="11" t="n"/>
      <c r="BH42" s="11" t="n">
        <v>10000</v>
      </c>
      <c r="BI42" s="11" t="n">
        <v>10000</v>
      </c>
      <c r="BJ42" s="10" t="n"/>
      <c r="BK42" s="10" t="n">
        <v>10000</v>
      </c>
      <c r="BL42" s="10" t="n">
        <v>10000</v>
      </c>
      <c r="BM42" s="11" t="n"/>
      <c r="BN42" s="11" t="n">
        <v>10000</v>
      </c>
      <c r="BO42" s="11" t="n">
        <v>10000</v>
      </c>
      <c r="BP42" s="10" t="n"/>
      <c r="BQ42" s="10" t="n">
        <v>10000</v>
      </c>
      <c r="BR42" s="10" t="n">
        <v>10000</v>
      </c>
      <c r="BS42" s="11" t="n"/>
      <c r="BT42" s="11" t="n">
        <v>10000</v>
      </c>
      <c r="BU42" s="11" t="n">
        <v>10000</v>
      </c>
      <c r="BV42" s="10" t="n"/>
      <c r="BW42" s="10" t="n">
        <v>10000</v>
      </c>
      <c r="BX42" s="10" t="n">
        <v>10000</v>
      </c>
      <c r="BY42" s="11" t="n"/>
      <c r="BZ42" s="11" t="n">
        <v>10000</v>
      </c>
      <c r="CA42" s="11" t="n">
        <v>10000</v>
      </c>
      <c r="CB42" s="10" t="n"/>
      <c r="CC42" s="10" t="n">
        <v>10000</v>
      </c>
      <c r="CD42" s="10" t="n">
        <v>10000</v>
      </c>
      <c r="CE42" s="11" t="n"/>
      <c r="CF42" s="11" t="n">
        <v>10000</v>
      </c>
      <c r="CG42" s="11" t="n">
        <v>10000</v>
      </c>
      <c r="CH42" s="10" t="n"/>
      <c r="CI42" s="10" t="n">
        <v>10000</v>
      </c>
      <c r="CJ42" s="10" t="n">
        <v>10000</v>
      </c>
      <c r="CK42" s="11" t="n"/>
      <c r="CL42" s="11" t="n">
        <v>10000</v>
      </c>
      <c r="CM42" s="11" t="n">
        <v>10000</v>
      </c>
      <c r="CN42" s="10" t="n"/>
      <c r="CO42" s="10" t="n">
        <v>10000</v>
      </c>
      <c r="CP42" s="10" t="n">
        <v>10000</v>
      </c>
      <c r="CQ42" s="11" t="n"/>
      <c r="CR42" s="11" t="n">
        <v>10000</v>
      </c>
      <c r="CS42" s="11" t="n">
        <v>10000</v>
      </c>
      <c r="CT42" s="10" t="n"/>
      <c r="CU42" s="10" t="n">
        <v>10000</v>
      </c>
      <c r="CV42" s="10" t="n">
        <v>10000</v>
      </c>
      <c r="CW42" s="11" t="n"/>
      <c r="CX42" s="11" t="n">
        <v>10000</v>
      </c>
      <c r="CY42" s="11" t="n">
        <v>10000</v>
      </c>
      <c r="CZ42" s="10" t="n"/>
      <c r="DA42" s="10" t="n">
        <v>10000</v>
      </c>
      <c r="DB42" s="10" t="n">
        <v>10000</v>
      </c>
      <c r="DC42" s="11" t="n"/>
      <c r="DD42" s="11" t="n">
        <v>10000</v>
      </c>
      <c r="DE42" s="11" t="n">
        <v>10000</v>
      </c>
      <c r="DF42" s="10" t="n"/>
      <c r="DG42" s="10" t="n">
        <v>10000</v>
      </c>
      <c r="DH42" s="10" t="n">
        <v>10000</v>
      </c>
      <c r="DI42" s="11" t="n">
        <v>10000</v>
      </c>
      <c r="DJ42" s="11" t="n">
        <v>10000</v>
      </c>
      <c r="DK42" s="11" t="n">
        <v>10000</v>
      </c>
      <c r="DL42" s="10" t="n">
        <v>10000</v>
      </c>
      <c r="DM42" s="10" t="n">
        <v>10000</v>
      </c>
      <c r="DN42" s="10" t="n">
        <v>10000</v>
      </c>
    </row>
    <row r="43">
      <c r="A43" s="2" t="inlineStr">
        <is>
          <t>Sales Development Rep</t>
        </is>
      </c>
      <c r="B43" s="10">
        <f>IF(COUNT(AR43,AO43,AL43,AI43,AF43,AC43,Z43,W43,T43,Q43,N43,K43)=0,"",SUM(AR43,AO43,AL43,AI43,AF43,AC43,Z43,W43,T43,Q43,N43,K43))</f>
        <v/>
      </c>
      <c r="C43" s="10">
        <f>IF(COUNT(AS43,AP43,AM43,AJ43,AG43,AD43,AA43,X43,U43,R43,O43,L43)=0,"",SUM(AS43,AP43,AM43,AJ43,AG43,AD43,AA43,X43,U43,R43,O43,L43))</f>
        <v/>
      </c>
      <c r="D43" s="10">
        <f>IF(COUNT(AT43,AQ43,AN43,AK43,AH43,AE43,AB43,Y43,V43,S43,P43,M43)=0,"",SUM(AT43,AQ43,AN43,AK43,AH43,AE43,AB43,Y43,V43,S43,P43,M43))</f>
        <v/>
      </c>
      <c r="E43" s="11">
        <f>IF(COUNT(CB43,BY43,BV43,BS43,BP43,BM43,BJ43,BG43,BD43,BA43,AX43,AU43)=0,"",SUM(CB43,BY43,BV43,BS43,BP43,BM43,BJ43,BG43,BD43,BA43,AX43,AU43))</f>
        <v/>
      </c>
      <c r="F43" s="11">
        <f>IF(COUNT(CC43,BZ43,BW43,BT43,BQ43,BN43,BK43,BH43,BE43,BB43,AY43,AV43)=0,"",SUM(CC43,BZ43,BW43,BT43,BQ43,BN43,BK43,BH43,BE43,BB43,AY43,AV43))</f>
        <v/>
      </c>
      <c r="G43" s="11">
        <f>IF(COUNT(CD43,CA43,BX43,BU43,BR43,BO43,BL43,BI43,BF43,BC43,AZ43,AW43)=0,"",SUM(CD43,CA43,BX43,BU43,BR43,BO43,BL43,BI43,BF43,BC43,AZ43,AW43))</f>
        <v/>
      </c>
      <c r="H43" s="10">
        <f>IF(COUNT(DL43,DI43,DF43,DC43,CZ43,CW43,CT43,CQ43,CN43,CK43,CH43,CE43)=0,"",SUM(DL43,DI43,DF43,DC43,CZ43,CW43,CT43,CQ43,CN43,CK43,CH43,CE43))</f>
        <v/>
      </c>
      <c r="I43" s="10">
        <f>IF(COUNT(DM43,DJ43,DG43,DD43,DA43,CX43,CU43,CR43,CO43,CL43,CI43,CF43)=0,"",SUM(DM43,DJ43,DG43,DD43,DA43,CX43,CU43,CR43,CO43,CL43,CI43,CF43))</f>
        <v/>
      </c>
      <c r="J43" s="10">
        <f>IF(COUNT(DN43,DK43,DH43,DE43,DB43,CY43,CV43,CS43,CP43,CM43,CJ43,CG43)=0,"",SUM(DN43,DK43,DH43,DE43,DB43,CY43,CV43,CS43,CP43,CM43,CJ43,CG43))</f>
        <v/>
      </c>
      <c r="K43" s="11" t="n"/>
      <c r="L43" s="11" t="n">
        <v>8000</v>
      </c>
      <c r="M43" s="11" t="n">
        <v>8000</v>
      </c>
      <c r="N43" s="10" t="n"/>
      <c r="O43" s="10" t="n">
        <v>8000</v>
      </c>
      <c r="P43" s="10" t="n">
        <v>8000</v>
      </c>
      <c r="Q43" s="11" t="n"/>
      <c r="R43" s="11" t="n">
        <v>8000</v>
      </c>
      <c r="S43" s="11" t="n">
        <v>8000</v>
      </c>
      <c r="T43" s="10" t="n"/>
      <c r="U43" s="10" t="n">
        <v>8000</v>
      </c>
      <c r="V43" s="10" t="n">
        <v>8000</v>
      </c>
      <c r="W43" s="11" t="n"/>
      <c r="X43" s="11" t="n">
        <v>8000</v>
      </c>
      <c r="Y43" s="11" t="n">
        <v>8000</v>
      </c>
      <c r="Z43" s="10" t="n"/>
      <c r="AA43" s="10" t="n">
        <v>8000</v>
      </c>
      <c r="AB43" s="10" t="n">
        <v>8000</v>
      </c>
      <c r="AC43" s="11" t="n"/>
      <c r="AD43" s="11" t="n">
        <v>8000</v>
      </c>
      <c r="AE43" s="11" t="n">
        <v>8000</v>
      </c>
      <c r="AF43" s="10" t="n"/>
      <c r="AG43" s="10" t="n">
        <v>8000</v>
      </c>
      <c r="AH43" s="10" t="n">
        <v>8000</v>
      </c>
      <c r="AI43" s="11" t="n"/>
      <c r="AJ43" s="11" t="n">
        <v>8000</v>
      </c>
      <c r="AK43" s="11" t="n">
        <v>8000</v>
      </c>
      <c r="AL43" s="10" t="n"/>
      <c r="AM43" s="10" t="n">
        <v>8000</v>
      </c>
      <c r="AN43" s="10" t="n">
        <v>8000</v>
      </c>
      <c r="AO43" s="11" t="n"/>
      <c r="AP43" s="11" t="n">
        <v>8000</v>
      </c>
      <c r="AQ43" s="11" t="n">
        <v>8000</v>
      </c>
      <c r="AR43" s="10" t="n"/>
      <c r="AS43" s="10" t="n">
        <v>8000</v>
      </c>
      <c r="AT43" s="10" t="n">
        <v>8000</v>
      </c>
      <c r="AU43" s="11" t="n"/>
      <c r="AV43" s="11" t="n">
        <v>8000</v>
      </c>
      <c r="AW43" s="11" t="n">
        <v>8000</v>
      </c>
      <c r="AX43" s="10" t="n"/>
      <c r="AY43" s="10" t="n">
        <v>8000</v>
      </c>
      <c r="AZ43" s="10" t="n">
        <v>8000</v>
      </c>
      <c r="BA43" s="11" t="n"/>
      <c r="BB43" s="11" t="n">
        <v>8000</v>
      </c>
      <c r="BC43" s="11" t="n">
        <v>8000</v>
      </c>
      <c r="BD43" s="10" t="n"/>
      <c r="BE43" s="10" t="n">
        <v>8000</v>
      </c>
      <c r="BF43" s="10" t="n">
        <v>8000</v>
      </c>
      <c r="BG43" s="11" t="n"/>
      <c r="BH43" s="11" t="n">
        <v>8000</v>
      </c>
      <c r="BI43" s="11" t="n">
        <v>8000</v>
      </c>
      <c r="BJ43" s="10" t="n"/>
      <c r="BK43" s="10" t="n">
        <v>8000</v>
      </c>
      <c r="BL43" s="10" t="n">
        <v>8000</v>
      </c>
      <c r="BM43" s="11" t="n"/>
      <c r="BN43" s="11" t="n">
        <v>8000</v>
      </c>
      <c r="BO43" s="11" t="n">
        <v>8000</v>
      </c>
      <c r="BP43" s="10" t="n"/>
      <c r="BQ43" s="10" t="n">
        <v>8000</v>
      </c>
      <c r="BR43" s="10" t="n">
        <v>8000</v>
      </c>
      <c r="BS43" s="11" t="n"/>
      <c r="BT43" s="11" t="n">
        <v>8000</v>
      </c>
      <c r="BU43" s="11" t="n">
        <v>8000</v>
      </c>
      <c r="BV43" s="10" t="n"/>
      <c r="BW43" s="10" t="n">
        <v>8000</v>
      </c>
      <c r="BX43" s="10" t="n">
        <v>8000</v>
      </c>
      <c r="BY43" s="11" t="n"/>
      <c r="BZ43" s="11" t="n">
        <v>8000</v>
      </c>
      <c r="CA43" s="11" t="n">
        <v>8000</v>
      </c>
      <c r="CB43" s="10" t="n"/>
      <c r="CC43" s="10" t="n">
        <v>8000</v>
      </c>
      <c r="CD43" s="10" t="n">
        <v>8000</v>
      </c>
      <c r="CE43" s="11" t="n"/>
      <c r="CF43" s="11" t="n">
        <v>8000</v>
      </c>
      <c r="CG43" s="11" t="n">
        <v>8000</v>
      </c>
      <c r="CH43" s="10" t="n"/>
      <c r="CI43" s="10" t="n">
        <v>8000</v>
      </c>
      <c r="CJ43" s="10" t="n">
        <v>8000</v>
      </c>
      <c r="CK43" s="11" t="n"/>
      <c r="CL43" s="11" t="n">
        <v>8000</v>
      </c>
      <c r="CM43" s="11" t="n">
        <v>8000</v>
      </c>
      <c r="CN43" s="10" t="n"/>
      <c r="CO43" s="10" t="n">
        <v>8000</v>
      </c>
      <c r="CP43" s="10" t="n">
        <v>8000</v>
      </c>
      <c r="CQ43" s="11" t="n"/>
      <c r="CR43" s="11" t="n">
        <v>8000</v>
      </c>
      <c r="CS43" s="11" t="n">
        <v>8000</v>
      </c>
      <c r="CT43" s="10" t="n"/>
      <c r="CU43" s="10" t="n">
        <v>8000</v>
      </c>
      <c r="CV43" s="10" t="n">
        <v>8000</v>
      </c>
      <c r="CW43" s="11" t="n"/>
      <c r="CX43" s="11" t="n">
        <v>8000</v>
      </c>
      <c r="CY43" s="11" t="n">
        <v>8000</v>
      </c>
      <c r="CZ43" s="10" t="n"/>
      <c r="DA43" s="10" t="n">
        <v>8000</v>
      </c>
      <c r="DB43" s="10" t="n">
        <v>8000</v>
      </c>
      <c r="DC43" s="11" t="n"/>
      <c r="DD43" s="11" t="n">
        <v>8000</v>
      </c>
      <c r="DE43" s="11" t="n">
        <v>8000</v>
      </c>
      <c r="DF43" s="10" t="n"/>
      <c r="DG43" s="10" t="n">
        <v>8000</v>
      </c>
      <c r="DH43" s="10" t="n">
        <v>8000</v>
      </c>
      <c r="DI43" s="11" t="n">
        <v>8000</v>
      </c>
      <c r="DJ43" s="11" t="n">
        <v>8000</v>
      </c>
      <c r="DK43" s="11" t="n">
        <v>8000</v>
      </c>
      <c r="DL43" s="10" t="n">
        <v>8000</v>
      </c>
      <c r="DM43" s="10" t="n">
        <v>8000</v>
      </c>
      <c r="DN43" s="10" t="n">
        <v>8000</v>
      </c>
    </row>
    <row r="44">
      <c r="A44" s="2" t="inlineStr">
        <is>
          <t>Sales Development Rep</t>
        </is>
      </c>
      <c r="B44" s="10">
        <f>IF(COUNT(AR44,AO44,AL44,AI44,AF44,AC44,Z44,W44,T44,Q44,N44,K44)=0,"",SUM(AR44,AO44,AL44,AI44,AF44,AC44,Z44,W44,T44,Q44,N44,K44))</f>
        <v/>
      </c>
      <c r="C44" s="10">
        <f>IF(COUNT(AS44,AP44,AM44,AJ44,AG44,AD44,AA44,X44,U44,R44,O44,L44)=0,"",SUM(AS44,AP44,AM44,AJ44,AG44,AD44,AA44,X44,U44,R44,O44,L44))</f>
        <v/>
      </c>
      <c r="D44" s="10">
        <f>IF(COUNT(AT44,AQ44,AN44,AK44,AH44,AE44,AB44,Y44,V44,S44,P44,M44)=0,"",SUM(AT44,AQ44,AN44,AK44,AH44,AE44,AB44,Y44,V44,S44,P44,M44))</f>
        <v/>
      </c>
      <c r="E44" s="11">
        <f>IF(COUNT(CB44,BY44,BV44,BS44,BP44,BM44,BJ44,BG44,BD44,BA44,AX44,AU44)=0,"",SUM(CB44,BY44,BV44,BS44,BP44,BM44,BJ44,BG44,BD44,BA44,AX44,AU44))</f>
        <v/>
      </c>
      <c r="F44" s="11">
        <f>IF(COUNT(CC44,BZ44,BW44,BT44,BQ44,BN44,BK44,BH44,BE44,BB44,AY44,AV44)=0,"",SUM(CC44,BZ44,BW44,BT44,BQ44,BN44,BK44,BH44,BE44,BB44,AY44,AV44))</f>
        <v/>
      </c>
      <c r="G44" s="11">
        <f>IF(COUNT(CD44,CA44,BX44,BU44,BR44,BO44,BL44,BI44,BF44,BC44,AZ44,AW44)=0,"",SUM(CD44,CA44,BX44,BU44,BR44,BO44,BL44,BI44,BF44,BC44,AZ44,AW44))</f>
        <v/>
      </c>
      <c r="H44" s="10">
        <f>IF(COUNT(DL44,DI44,DF44,DC44,CZ44,CW44,CT44,CQ44,CN44,CK44,CH44,CE44)=0,"",SUM(DL44,DI44,DF44,DC44,CZ44,CW44,CT44,CQ44,CN44,CK44,CH44,CE44))</f>
        <v/>
      </c>
      <c r="I44" s="10">
        <f>IF(COUNT(DM44,DJ44,DG44,DD44,DA44,CX44,CU44,CR44,CO44,CL44,CI44,CF44)=0,"",SUM(DM44,DJ44,DG44,DD44,DA44,CX44,CU44,CR44,CO44,CL44,CI44,CF44))</f>
        <v/>
      </c>
      <c r="J44" s="10">
        <f>IF(COUNT(DN44,DK44,DH44,DE44,DB44,CY44,CV44,CS44,CP44,CM44,CJ44,CG44)=0,"",SUM(DN44,DK44,DH44,DE44,DB44,CY44,CV44,CS44,CP44,CM44,CJ44,CG44))</f>
        <v/>
      </c>
      <c r="K44" s="11" t="n"/>
      <c r="L44" s="11" t="n">
        <v>8000</v>
      </c>
      <c r="M44" s="11" t="n">
        <v>8000</v>
      </c>
      <c r="N44" s="10" t="n"/>
      <c r="O44" s="10" t="n">
        <v>8000</v>
      </c>
      <c r="P44" s="10" t="n">
        <v>8000</v>
      </c>
      <c r="Q44" s="11" t="n"/>
      <c r="R44" s="11" t="n">
        <v>8000</v>
      </c>
      <c r="S44" s="11" t="n">
        <v>8000</v>
      </c>
      <c r="T44" s="10" t="n"/>
      <c r="U44" s="10" t="n">
        <v>8000</v>
      </c>
      <c r="V44" s="10" t="n">
        <v>8000</v>
      </c>
      <c r="W44" s="11" t="n"/>
      <c r="X44" s="11" t="n">
        <v>8000</v>
      </c>
      <c r="Y44" s="11" t="n">
        <v>8000</v>
      </c>
      <c r="Z44" s="10" t="n"/>
      <c r="AA44" s="10" t="n">
        <v>8000</v>
      </c>
      <c r="AB44" s="10" t="n">
        <v>8000</v>
      </c>
      <c r="AC44" s="11" t="n"/>
      <c r="AD44" s="11" t="n">
        <v>8000</v>
      </c>
      <c r="AE44" s="11" t="n">
        <v>8000</v>
      </c>
      <c r="AF44" s="10" t="n"/>
      <c r="AG44" s="10" t="n">
        <v>8000</v>
      </c>
      <c r="AH44" s="10" t="n">
        <v>8000</v>
      </c>
      <c r="AI44" s="11" t="n"/>
      <c r="AJ44" s="11" t="n">
        <v>8000</v>
      </c>
      <c r="AK44" s="11" t="n">
        <v>8000</v>
      </c>
      <c r="AL44" s="10" t="n"/>
      <c r="AM44" s="10" t="n">
        <v>8000</v>
      </c>
      <c r="AN44" s="10" t="n">
        <v>8000</v>
      </c>
      <c r="AO44" s="11" t="n"/>
      <c r="AP44" s="11" t="n">
        <v>8000</v>
      </c>
      <c r="AQ44" s="11" t="n">
        <v>8000</v>
      </c>
      <c r="AR44" s="10" t="n"/>
      <c r="AS44" s="10" t="n">
        <v>8000</v>
      </c>
      <c r="AT44" s="10" t="n">
        <v>8000</v>
      </c>
      <c r="AU44" s="11" t="n"/>
      <c r="AV44" s="11" t="n">
        <v>8000</v>
      </c>
      <c r="AW44" s="11" t="n">
        <v>8000</v>
      </c>
      <c r="AX44" s="10" t="n"/>
      <c r="AY44" s="10" t="n">
        <v>8000</v>
      </c>
      <c r="AZ44" s="10" t="n">
        <v>8000</v>
      </c>
      <c r="BA44" s="11" t="n"/>
      <c r="BB44" s="11" t="n">
        <v>8000</v>
      </c>
      <c r="BC44" s="11" t="n">
        <v>8000</v>
      </c>
      <c r="BD44" s="10" t="n"/>
      <c r="BE44" s="10" t="n">
        <v>8000</v>
      </c>
      <c r="BF44" s="10" t="n">
        <v>8000</v>
      </c>
      <c r="BG44" s="11" t="n"/>
      <c r="BH44" s="11" t="n">
        <v>8000</v>
      </c>
      <c r="BI44" s="11" t="n">
        <v>8000</v>
      </c>
      <c r="BJ44" s="10" t="n"/>
      <c r="BK44" s="10" t="n">
        <v>8000</v>
      </c>
      <c r="BL44" s="10" t="n">
        <v>8000</v>
      </c>
      <c r="BM44" s="11" t="n"/>
      <c r="BN44" s="11" t="n">
        <v>8000</v>
      </c>
      <c r="BO44" s="11" t="n">
        <v>8000</v>
      </c>
      <c r="BP44" s="10" t="n"/>
      <c r="BQ44" s="10" t="n">
        <v>8000</v>
      </c>
      <c r="BR44" s="10" t="n">
        <v>8000</v>
      </c>
      <c r="BS44" s="11" t="n"/>
      <c r="BT44" s="11" t="n">
        <v>8000</v>
      </c>
      <c r="BU44" s="11" t="n">
        <v>8000</v>
      </c>
      <c r="BV44" s="10" t="n"/>
      <c r="BW44" s="10" t="n">
        <v>8000</v>
      </c>
      <c r="BX44" s="10" t="n">
        <v>8000</v>
      </c>
      <c r="BY44" s="11" t="n"/>
      <c r="BZ44" s="11" t="n">
        <v>8000</v>
      </c>
      <c r="CA44" s="11" t="n">
        <v>8000</v>
      </c>
      <c r="CB44" s="10" t="n"/>
      <c r="CC44" s="10" t="n">
        <v>8000</v>
      </c>
      <c r="CD44" s="10" t="n">
        <v>8000</v>
      </c>
      <c r="CE44" s="11" t="n"/>
      <c r="CF44" s="11" t="n">
        <v>8000</v>
      </c>
      <c r="CG44" s="11" t="n">
        <v>8000</v>
      </c>
      <c r="CH44" s="10" t="n"/>
      <c r="CI44" s="10" t="n">
        <v>8000</v>
      </c>
      <c r="CJ44" s="10" t="n">
        <v>8000</v>
      </c>
      <c r="CK44" s="11" t="n"/>
      <c r="CL44" s="11" t="n">
        <v>8000</v>
      </c>
      <c r="CM44" s="11" t="n">
        <v>8000</v>
      </c>
      <c r="CN44" s="10" t="n"/>
      <c r="CO44" s="10" t="n">
        <v>8000</v>
      </c>
      <c r="CP44" s="10" t="n">
        <v>8000</v>
      </c>
      <c r="CQ44" s="11" t="n"/>
      <c r="CR44" s="11" t="n">
        <v>8000</v>
      </c>
      <c r="CS44" s="11" t="n">
        <v>8000</v>
      </c>
      <c r="CT44" s="10" t="n"/>
      <c r="CU44" s="10" t="n">
        <v>8000</v>
      </c>
      <c r="CV44" s="10" t="n">
        <v>8000</v>
      </c>
      <c r="CW44" s="11" t="n"/>
      <c r="CX44" s="11" t="n">
        <v>8000</v>
      </c>
      <c r="CY44" s="11" t="n">
        <v>8000</v>
      </c>
      <c r="CZ44" s="10" t="n"/>
      <c r="DA44" s="10" t="n">
        <v>8000</v>
      </c>
      <c r="DB44" s="10" t="n">
        <v>8000</v>
      </c>
      <c r="DC44" s="11" t="n"/>
      <c r="DD44" s="11" t="n">
        <v>8000</v>
      </c>
      <c r="DE44" s="11" t="n">
        <v>8000</v>
      </c>
      <c r="DF44" s="10" t="n"/>
      <c r="DG44" s="10" t="n">
        <v>8000</v>
      </c>
      <c r="DH44" s="10" t="n">
        <v>8000</v>
      </c>
      <c r="DI44" s="11" t="n">
        <v>8000</v>
      </c>
      <c r="DJ44" s="11" t="n">
        <v>8000</v>
      </c>
      <c r="DK44" s="11" t="n">
        <v>8000</v>
      </c>
      <c r="DL44" s="10" t="n">
        <v>8000</v>
      </c>
      <c r="DM44" s="10" t="n">
        <v>8000</v>
      </c>
      <c r="DN44" s="10" t="n">
        <v>8000</v>
      </c>
    </row>
    <row r="45">
      <c r="A45" s="2" t="inlineStr">
        <is>
          <t>Sales Development Rep</t>
        </is>
      </c>
      <c r="B45" s="10">
        <f>IF(COUNT(AR45,AO45,AL45,AI45,AF45,AC45,Z45,W45,T45,Q45,N45,K45)=0,"",SUM(AR45,AO45,AL45,AI45,AF45,AC45,Z45,W45,T45,Q45,N45,K45))</f>
        <v/>
      </c>
      <c r="C45" s="10">
        <f>IF(COUNT(AS45,AP45,AM45,AJ45,AG45,AD45,AA45,X45,U45,R45,O45,L45)=0,"",SUM(AS45,AP45,AM45,AJ45,AG45,AD45,AA45,X45,U45,R45,O45,L45))</f>
        <v/>
      </c>
      <c r="D45" s="10">
        <f>IF(COUNT(AT45,AQ45,AN45,AK45,AH45,AE45,AB45,Y45,V45,S45,P45,M45)=0,"",SUM(AT45,AQ45,AN45,AK45,AH45,AE45,AB45,Y45,V45,S45,P45,M45))</f>
        <v/>
      </c>
      <c r="E45" s="11">
        <f>IF(COUNT(CB45,BY45,BV45,BS45,BP45,BM45,BJ45,BG45,BD45,BA45,AX45,AU45)=0,"",SUM(CB45,BY45,BV45,BS45,BP45,BM45,BJ45,BG45,BD45,BA45,AX45,AU45))</f>
        <v/>
      </c>
      <c r="F45" s="11">
        <f>IF(COUNT(CC45,BZ45,BW45,BT45,BQ45,BN45,BK45,BH45,BE45,BB45,AY45,AV45)=0,"",SUM(CC45,BZ45,BW45,BT45,BQ45,BN45,BK45,BH45,BE45,BB45,AY45,AV45))</f>
        <v/>
      </c>
      <c r="G45" s="11">
        <f>IF(COUNT(CD45,CA45,BX45,BU45,BR45,BO45,BL45,BI45,BF45,BC45,AZ45,AW45)=0,"",SUM(CD45,CA45,BX45,BU45,BR45,BO45,BL45,BI45,BF45,BC45,AZ45,AW45))</f>
        <v/>
      </c>
      <c r="H45" s="10">
        <f>IF(COUNT(DL45,DI45,DF45,DC45,CZ45,CW45,CT45,CQ45,CN45,CK45,CH45,CE45)=0,"",SUM(DL45,DI45,DF45,DC45,CZ45,CW45,CT45,CQ45,CN45,CK45,CH45,CE45))</f>
        <v/>
      </c>
      <c r="I45" s="10">
        <f>IF(COUNT(DM45,DJ45,DG45,DD45,DA45,CX45,CU45,CR45,CO45,CL45,CI45,CF45)=0,"",SUM(DM45,DJ45,DG45,DD45,DA45,CX45,CU45,CR45,CO45,CL45,CI45,CF45))</f>
        <v/>
      </c>
      <c r="J45" s="10">
        <f>IF(COUNT(DN45,DK45,DH45,DE45,DB45,CY45,CV45,CS45,CP45,CM45,CJ45,CG45)=0,"",SUM(DN45,DK45,DH45,DE45,DB45,CY45,CV45,CS45,CP45,CM45,CJ45,CG45))</f>
        <v/>
      </c>
      <c r="K45" s="11" t="n"/>
      <c r="L45" s="11" t="n">
        <v>8000</v>
      </c>
      <c r="M45" s="11" t="n">
        <v>8000</v>
      </c>
      <c r="N45" s="10" t="n"/>
      <c r="O45" s="10" t="n">
        <v>8000</v>
      </c>
      <c r="P45" s="10" t="n">
        <v>8000</v>
      </c>
      <c r="Q45" s="11" t="n"/>
      <c r="R45" s="11" t="n">
        <v>8000</v>
      </c>
      <c r="S45" s="11" t="n">
        <v>8000</v>
      </c>
      <c r="T45" s="10" t="n"/>
      <c r="U45" s="10" t="n">
        <v>8000</v>
      </c>
      <c r="V45" s="10" t="n">
        <v>8000</v>
      </c>
      <c r="W45" s="11" t="n"/>
      <c r="X45" s="11" t="n">
        <v>8000</v>
      </c>
      <c r="Y45" s="11" t="n">
        <v>8000</v>
      </c>
      <c r="Z45" s="10" t="n"/>
      <c r="AA45" s="10" t="n">
        <v>8000</v>
      </c>
      <c r="AB45" s="10" t="n">
        <v>8000</v>
      </c>
      <c r="AC45" s="11" t="n"/>
      <c r="AD45" s="11" t="n">
        <v>8000</v>
      </c>
      <c r="AE45" s="11" t="n">
        <v>8000</v>
      </c>
      <c r="AF45" s="10" t="n"/>
      <c r="AG45" s="10" t="n">
        <v>8000</v>
      </c>
      <c r="AH45" s="10" t="n">
        <v>8000</v>
      </c>
      <c r="AI45" s="11" t="n"/>
      <c r="AJ45" s="11" t="n">
        <v>8000</v>
      </c>
      <c r="AK45" s="11" t="n">
        <v>8000</v>
      </c>
      <c r="AL45" s="10" t="n"/>
      <c r="AM45" s="10" t="n">
        <v>8000</v>
      </c>
      <c r="AN45" s="10" t="n">
        <v>8000</v>
      </c>
      <c r="AO45" s="11" t="n"/>
      <c r="AP45" s="11" t="n">
        <v>8000</v>
      </c>
      <c r="AQ45" s="11" t="n">
        <v>8000</v>
      </c>
      <c r="AR45" s="10" t="n"/>
      <c r="AS45" s="10" t="n">
        <v>8000</v>
      </c>
      <c r="AT45" s="10" t="n">
        <v>8000</v>
      </c>
      <c r="AU45" s="11" t="n"/>
      <c r="AV45" s="11" t="n">
        <v>8000</v>
      </c>
      <c r="AW45" s="11" t="n">
        <v>8000</v>
      </c>
      <c r="AX45" s="10" t="n"/>
      <c r="AY45" s="10" t="n">
        <v>8000</v>
      </c>
      <c r="AZ45" s="10" t="n">
        <v>8000</v>
      </c>
      <c r="BA45" s="11" t="n"/>
      <c r="BB45" s="11" t="n">
        <v>8000</v>
      </c>
      <c r="BC45" s="11" t="n">
        <v>8000</v>
      </c>
      <c r="BD45" s="10" t="n"/>
      <c r="BE45" s="10" t="n">
        <v>8000</v>
      </c>
      <c r="BF45" s="10" t="n">
        <v>8000</v>
      </c>
      <c r="BG45" s="11" t="n"/>
      <c r="BH45" s="11" t="n">
        <v>8000</v>
      </c>
      <c r="BI45" s="11" t="n">
        <v>8000</v>
      </c>
      <c r="BJ45" s="10" t="n"/>
      <c r="BK45" s="10" t="n">
        <v>8000</v>
      </c>
      <c r="BL45" s="10" t="n">
        <v>8000</v>
      </c>
      <c r="BP45" s="35" t="n"/>
      <c r="BQ45" s="35" t="n"/>
      <c r="BR45" s="35" t="n"/>
      <c r="BV45" s="35" t="n"/>
      <c r="BW45" s="35" t="n"/>
      <c r="BX45" s="35" t="n"/>
      <c r="CB45" s="35" t="n"/>
      <c r="CC45" s="35" t="n"/>
      <c r="CD45" s="35" t="n"/>
      <c r="CH45" s="35" t="n"/>
      <c r="CI45" s="35" t="n"/>
      <c r="CJ45" s="35" t="n"/>
      <c r="CN45" s="35" t="n"/>
      <c r="CO45" s="35" t="n"/>
      <c r="CP45" s="35" t="n"/>
      <c r="CT45" s="35" t="n"/>
      <c r="CU45" s="35" t="n"/>
      <c r="CV45" s="35" t="n"/>
      <c r="CZ45" s="35" t="n"/>
      <c r="DA45" s="35" t="n"/>
      <c r="DB45" s="35" t="n"/>
      <c r="DF45" s="35" t="n"/>
      <c r="DG45" s="35" t="n"/>
      <c r="DH45" s="35" t="n"/>
      <c r="DL45" s="35" t="n"/>
      <c r="DM45" s="35" t="n"/>
      <c r="DN45" s="35" t="n"/>
    </row>
    <row r="46">
      <c r="A46" s="2" t="inlineStr">
        <is>
          <t>Sales Development Rep</t>
        </is>
      </c>
      <c r="B46" s="10">
        <f>IF(COUNT(AR46,AO46,AL46,AI46,AF46,AC46,Z46,W46,T46,Q46,N46,K46)=0,"",SUM(AR46,AO46,AL46,AI46,AF46,AC46,Z46,W46,T46,Q46,N46,K46))</f>
        <v/>
      </c>
      <c r="C46" s="10">
        <f>IF(COUNT(AS46,AP46,AM46,AJ46,AG46,AD46,AA46,X46,U46,R46,O46,L46)=0,"",SUM(AS46,AP46,AM46,AJ46,AG46,AD46,AA46,X46,U46,R46,O46,L46))</f>
        <v/>
      </c>
      <c r="D46" s="10">
        <f>IF(COUNT(AT46,AQ46,AN46,AK46,AH46,AE46,AB46,Y46,V46,S46,P46,M46)=0,"",SUM(AT46,AQ46,AN46,AK46,AH46,AE46,AB46,Y46,V46,S46,P46,M46))</f>
        <v/>
      </c>
      <c r="E46" s="11">
        <f>IF(COUNT(CB46,BY46,BV46,BS46,BP46,BM46,BJ46,BG46,BD46,BA46,AX46,AU46)=0,"",SUM(CB46,BY46,BV46,BS46,BP46,BM46,BJ46,BG46,BD46,BA46,AX46,AU46))</f>
        <v/>
      </c>
      <c r="F46" s="11">
        <f>IF(COUNT(CC46,BZ46,BW46,BT46,BQ46,BN46,BK46,BH46,BE46,BB46,AY46,AV46)=0,"",SUM(CC46,BZ46,BW46,BT46,BQ46,BN46,BK46,BH46,BE46,BB46,AY46,AV46))</f>
        <v/>
      </c>
      <c r="G46" s="11">
        <f>IF(COUNT(CD46,CA46,BX46,BU46,BR46,BO46,BL46,BI46,BF46,BC46,AZ46,AW46)=0,"",SUM(CD46,CA46,BX46,BU46,BR46,BO46,BL46,BI46,BF46,BC46,AZ46,AW46))</f>
        <v/>
      </c>
      <c r="H46" s="10">
        <f>IF(COUNT(DL46,DI46,DF46,DC46,CZ46,CW46,CT46,CQ46,CN46,CK46,CH46,CE46)=0,"",SUM(DL46,DI46,DF46,DC46,CZ46,CW46,CT46,CQ46,CN46,CK46,CH46,CE46))</f>
        <v/>
      </c>
      <c r="I46" s="10">
        <f>IF(COUNT(DM46,DJ46,DG46,DD46,DA46,CX46,CU46,CR46,CO46,CL46,CI46,CF46)=0,"",SUM(DM46,DJ46,DG46,DD46,DA46,CX46,CU46,CR46,CO46,CL46,CI46,CF46))</f>
        <v/>
      </c>
      <c r="J46" s="10">
        <f>IF(COUNT(DN46,DK46,DH46,DE46,DB46,CY46,CV46,CS46,CP46,CM46,CJ46,CG46)=0,"",SUM(DN46,DK46,DH46,DE46,DB46,CY46,CV46,CS46,CP46,CM46,CJ46,CG46))</f>
        <v/>
      </c>
      <c r="K46" s="11" t="n"/>
      <c r="L46" s="11" t="n">
        <v>8000</v>
      </c>
      <c r="M46" s="11" t="n">
        <v>8000</v>
      </c>
      <c r="N46" s="10" t="n"/>
      <c r="O46" s="10" t="n">
        <v>8000</v>
      </c>
      <c r="P46" s="10" t="n">
        <v>8000</v>
      </c>
      <c r="Q46" s="11" t="n"/>
      <c r="R46" s="11" t="n">
        <v>8000</v>
      </c>
      <c r="S46" s="11" t="n">
        <v>8000</v>
      </c>
      <c r="T46" s="10" t="n"/>
      <c r="U46" s="10" t="n">
        <v>8000</v>
      </c>
      <c r="V46" s="10" t="n">
        <v>8000</v>
      </c>
      <c r="W46" s="11" t="n"/>
      <c r="X46" s="11" t="n">
        <v>8000</v>
      </c>
      <c r="Y46" s="11" t="n">
        <v>8000</v>
      </c>
      <c r="Z46" s="10" t="n"/>
      <c r="AA46" s="10" t="n">
        <v>8000</v>
      </c>
      <c r="AB46" s="10" t="n">
        <v>8000</v>
      </c>
      <c r="AC46" s="11" t="n"/>
      <c r="AD46" s="11" t="n">
        <v>8000</v>
      </c>
      <c r="AE46" s="11" t="n">
        <v>8000</v>
      </c>
      <c r="AF46" s="10" t="n"/>
      <c r="AG46" s="10" t="n">
        <v>8000</v>
      </c>
      <c r="AH46" s="10" t="n">
        <v>8000</v>
      </c>
      <c r="AI46" s="11" t="n"/>
      <c r="AJ46" s="11" t="n">
        <v>8000</v>
      </c>
      <c r="AK46" s="11" t="n">
        <v>8000</v>
      </c>
      <c r="AL46" s="10" t="n"/>
      <c r="AM46" s="10" t="n">
        <v>8000</v>
      </c>
      <c r="AN46" s="10" t="n">
        <v>8000</v>
      </c>
      <c r="AO46" s="11" t="n"/>
      <c r="AP46" s="11" t="n">
        <v>8000</v>
      </c>
      <c r="AQ46" s="11" t="n">
        <v>8000</v>
      </c>
      <c r="AR46" s="10" t="n"/>
      <c r="AS46" s="10" t="n">
        <v>8000</v>
      </c>
      <c r="AT46" s="10" t="n">
        <v>8000</v>
      </c>
      <c r="AU46" s="11" t="n"/>
      <c r="AV46" s="11" t="n">
        <v>8000</v>
      </c>
      <c r="AW46" s="11" t="n">
        <v>8000</v>
      </c>
      <c r="AX46" s="10" t="n"/>
      <c r="AY46" s="10" t="n">
        <v>8000</v>
      </c>
      <c r="AZ46" s="10" t="n">
        <v>8000</v>
      </c>
      <c r="BA46" s="11" t="n"/>
      <c r="BB46" s="11" t="n">
        <v>8000</v>
      </c>
      <c r="BC46" s="11" t="n">
        <v>8000</v>
      </c>
      <c r="BD46" s="10" t="n"/>
      <c r="BE46" s="10" t="n">
        <v>8000</v>
      </c>
      <c r="BF46" s="10" t="n">
        <v>8000</v>
      </c>
      <c r="BG46" s="11" t="n"/>
      <c r="BH46" s="11" t="n">
        <v>8000</v>
      </c>
      <c r="BI46" s="11" t="n">
        <v>8000</v>
      </c>
      <c r="BJ46" s="10" t="n"/>
      <c r="BK46" s="10" t="n">
        <v>8000</v>
      </c>
      <c r="BL46" s="10" t="n">
        <v>8000</v>
      </c>
      <c r="BM46" s="11" t="n"/>
      <c r="BN46" s="11" t="n">
        <v>8000</v>
      </c>
      <c r="BO46" s="11" t="n">
        <v>8000</v>
      </c>
      <c r="BP46" s="10" t="n"/>
      <c r="BQ46" s="10" t="n">
        <v>8000</v>
      </c>
      <c r="BR46" s="10" t="n">
        <v>8000</v>
      </c>
      <c r="BS46" s="11" t="n"/>
      <c r="BT46" s="11" t="n">
        <v>8000</v>
      </c>
      <c r="BU46" s="11" t="n">
        <v>8000</v>
      </c>
      <c r="BV46" s="10" t="n"/>
      <c r="BW46" s="10" t="n">
        <v>8000</v>
      </c>
      <c r="BX46" s="10" t="n">
        <v>8000</v>
      </c>
      <c r="CB46" s="35" t="n"/>
      <c r="CC46" s="35" t="n"/>
      <c r="CD46" s="35" t="n"/>
      <c r="CH46" s="35" t="n"/>
      <c r="CI46" s="35" t="n"/>
      <c r="CJ46" s="35" t="n"/>
      <c r="CN46" s="35" t="n"/>
      <c r="CO46" s="35" t="n"/>
      <c r="CP46" s="35" t="n"/>
      <c r="CT46" s="35" t="n"/>
      <c r="CU46" s="35" t="n"/>
      <c r="CV46" s="35" t="n"/>
      <c r="CZ46" s="35" t="n"/>
      <c r="DA46" s="35" t="n"/>
      <c r="DB46" s="35" t="n"/>
      <c r="DF46" s="35" t="n"/>
      <c r="DG46" s="35" t="n"/>
      <c r="DH46" s="35" t="n"/>
      <c r="DL46" s="35" t="n"/>
      <c r="DM46" s="35" t="n"/>
      <c r="DN46" s="35" t="n"/>
    </row>
    <row r="47">
      <c r="A47" s="2" t="inlineStr">
        <is>
          <t>Sales Development Rep</t>
        </is>
      </c>
      <c r="B47" s="10">
        <f>IF(COUNT(AR47,AO47,AL47,AI47,AF47,AC47,Z47,W47,T47,Q47,N47,K47)=0,"",SUM(AR47,AO47,AL47,AI47,AF47,AC47,Z47,W47,T47,Q47,N47,K47))</f>
        <v/>
      </c>
      <c r="C47" s="10">
        <f>IF(COUNT(AS47,AP47,AM47,AJ47,AG47,AD47,AA47,X47,U47,R47,O47,L47)=0,"",SUM(AS47,AP47,AM47,AJ47,AG47,AD47,AA47,X47,U47,R47,O47,L47))</f>
        <v/>
      </c>
      <c r="D47" s="10">
        <f>IF(COUNT(AT47,AQ47,AN47,AK47,AH47,AE47,AB47,Y47,V47,S47,P47,M47)=0,"",SUM(AT47,AQ47,AN47,AK47,AH47,AE47,AB47,Y47,V47,S47,P47,M47))</f>
        <v/>
      </c>
      <c r="E47" s="11">
        <f>IF(COUNT(CB47,BY47,BV47,BS47,BP47,BM47,BJ47,BG47,BD47,BA47,AX47,AU47)=0,"",SUM(CB47,BY47,BV47,BS47,BP47,BM47,BJ47,BG47,BD47,BA47,AX47,AU47))</f>
        <v/>
      </c>
      <c r="F47" s="11">
        <f>IF(COUNT(CC47,BZ47,BW47,BT47,BQ47,BN47,BK47,BH47,BE47,BB47,AY47,AV47)=0,"",SUM(CC47,BZ47,BW47,BT47,BQ47,BN47,BK47,BH47,BE47,BB47,AY47,AV47))</f>
        <v/>
      </c>
      <c r="G47" s="11">
        <f>IF(COUNT(CD47,CA47,BX47,BU47,BR47,BO47,BL47,BI47,BF47,BC47,AZ47,AW47)=0,"",SUM(CD47,CA47,BX47,BU47,BR47,BO47,BL47,BI47,BF47,BC47,AZ47,AW47))</f>
        <v/>
      </c>
      <c r="H47" s="10">
        <f>IF(COUNT(DL47,DI47,DF47,DC47,CZ47,CW47,CT47,CQ47,CN47,CK47,CH47,CE47)=0,"",SUM(DL47,DI47,DF47,DC47,CZ47,CW47,CT47,CQ47,CN47,CK47,CH47,CE47))</f>
        <v/>
      </c>
      <c r="I47" s="10">
        <f>IF(COUNT(DM47,DJ47,DG47,DD47,DA47,CX47,CU47,CR47,CO47,CL47,CI47,CF47)=0,"",SUM(DM47,DJ47,DG47,DD47,DA47,CX47,CU47,CR47,CO47,CL47,CI47,CF47))</f>
        <v/>
      </c>
      <c r="J47" s="10">
        <f>IF(COUNT(DN47,DK47,DH47,DE47,DB47,CY47,CV47,CS47,CP47,CM47,CJ47,CG47)=0,"",SUM(DN47,DK47,DH47,DE47,DB47,CY47,CV47,CS47,CP47,CM47,CJ47,CG47))</f>
        <v/>
      </c>
      <c r="K47" s="11" t="n"/>
      <c r="L47" s="11" t="n">
        <v>8000</v>
      </c>
      <c r="M47" s="11" t="n">
        <v>8000</v>
      </c>
      <c r="N47" s="10" t="n"/>
      <c r="O47" s="10" t="n">
        <v>8000</v>
      </c>
      <c r="P47" s="10" t="n">
        <v>8000</v>
      </c>
      <c r="Q47" s="11" t="n"/>
      <c r="R47" s="11" t="n">
        <v>8000</v>
      </c>
      <c r="S47" s="11" t="n">
        <v>8000</v>
      </c>
      <c r="T47" s="10" t="n"/>
      <c r="U47" s="10" t="n">
        <v>8000</v>
      </c>
      <c r="V47" s="10" t="n">
        <v>8000</v>
      </c>
      <c r="W47" s="11" t="n"/>
      <c r="X47" s="11" t="n">
        <v>8000</v>
      </c>
      <c r="Y47" s="11" t="n">
        <v>8000</v>
      </c>
      <c r="Z47" s="10" t="n"/>
      <c r="AA47" s="10" t="n">
        <v>8000</v>
      </c>
      <c r="AB47" s="10" t="n">
        <v>8000</v>
      </c>
      <c r="AC47" s="11" t="n"/>
      <c r="AD47" s="11" t="n">
        <v>8000</v>
      </c>
      <c r="AE47" s="11" t="n">
        <v>8000</v>
      </c>
      <c r="AF47" s="10" t="n"/>
      <c r="AG47" s="10" t="n">
        <v>8000</v>
      </c>
      <c r="AH47" s="10" t="n">
        <v>8000</v>
      </c>
      <c r="AI47" s="11" t="n"/>
      <c r="AJ47" s="11" t="n">
        <v>8000</v>
      </c>
      <c r="AK47" s="11" t="n">
        <v>8000</v>
      </c>
      <c r="AL47" s="10" t="n"/>
      <c r="AM47" s="10" t="n">
        <v>8000</v>
      </c>
      <c r="AN47" s="10" t="n">
        <v>8000</v>
      </c>
      <c r="AO47" s="11" t="n"/>
      <c r="AP47" s="11" t="n">
        <v>8000</v>
      </c>
      <c r="AQ47" s="11" t="n">
        <v>8000</v>
      </c>
      <c r="AR47" s="10" t="n"/>
      <c r="AS47" s="10" t="n">
        <v>8000</v>
      </c>
      <c r="AT47" s="10" t="n">
        <v>8000</v>
      </c>
      <c r="AU47" s="11" t="n"/>
      <c r="AV47" s="11" t="n">
        <v>8000</v>
      </c>
      <c r="AW47" s="11" t="n">
        <v>8000</v>
      </c>
      <c r="AX47" s="10" t="n"/>
      <c r="AY47" s="10" t="n">
        <v>8000</v>
      </c>
      <c r="AZ47" s="10" t="n">
        <v>8000</v>
      </c>
      <c r="BD47" s="35" t="n"/>
      <c r="BE47" s="35" t="n"/>
      <c r="BF47" s="35" t="n"/>
      <c r="BJ47" s="35" t="n"/>
      <c r="BK47" s="35" t="n"/>
      <c r="BL47" s="35" t="n"/>
      <c r="BP47" s="35" t="n"/>
      <c r="BQ47" s="35" t="n"/>
      <c r="BR47" s="35" t="n"/>
      <c r="BV47" s="35" t="n"/>
      <c r="BW47" s="35" t="n"/>
      <c r="BX47" s="35" t="n"/>
      <c r="CB47" s="35" t="n"/>
      <c r="CC47" s="35" t="n"/>
      <c r="CD47" s="35" t="n"/>
      <c r="CH47" s="35" t="n"/>
      <c r="CI47" s="35" t="n"/>
      <c r="CJ47" s="35" t="n"/>
      <c r="CN47" s="35" t="n"/>
      <c r="CO47" s="35" t="n"/>
      <c r="CP47" s="35" t="n"/>
      <c r="CT47" s="35" t="n"/>
      <c r="CU47" s="35" t="n"/>
      <c r="CV47" s="35" t="n"/>
      <c r="CZ47" s="35" t="n"/>
      <c r="DA47" s="35" t="n"/>
      <c r="DB47" s="35" t="n"/>
      <c r="DF47" s="35" t="n"/>
      <c r="DG47" s="35" t="n"/>
      <c r="DH47" s="35" t="n"/>
      <c r="DL47" s="35" t="n"/>
      <c r="DM47" s="35" t="n"/>
      <c r="DN47" s="35" t="n"/>
    </row>
    <row r="48">
      <c r="A48" s="2" t="inlineStr">
        <is>
          <t>Sales Development Rep</t>
        </is>
      </c>
      <c r="B48" s="10">
        <f>IF(COUNT(AR48,AO48,AL48,AI48,AF48,AC48,Z48,W48,T48,Q48,N48,K48)=0,"",SUM(AR48,AO48,AL48,AI48,AF48,AC48,Z48,W48,T48,Q48,N48,K48))</f>
        <v/>
      </c>
      <c r="C48" s="10">
        <f>IF(COUNT(AS48,AP48,AM48,AJ48,AG48,AD48,AA48,X48,U48,R48,O48,L48)=0,"",SUM(AS48,AP48,AM48,AJ48,AG48,AD48,AA48,X48,U48,R48,O48,L48))</f>
        <v/>
      </c>
      <c r="D48" s="10">
        <f>IF(COUNT(AT48,AQ48,AN48,AK48,AH48,AE48,AB48,Y48,V48,S48,P48,M48)=0,"",SUM(AT48,AQ48,AN48,AK48,AH48,AE48,AB48,Y48,V48,S48,P48,M48))</f>
        <v/>
      </c>
      <c r="E48" s="11">
        <f>IF(COUNT(CB48,BY48,BV48,BS48,BP48,BM48,BJ48,BG48,BD48,BA48,AX48,AU48)=0,"",SUM(CB48,BY48,BV48,BS48,BP48,BM48,BJ48,BG48,BD48,BA48,AX48,AU48))</f>
        <v/>
      </c>
      <c r="F48" s="11">
        <f>IF(COUNT(CC48,BZ48,BW48,BT48,BQ48,BN48,BK48,BH48,BE48,BB48,AY48,AV48)=0,"",SUM(CC48,BZ48,BW48,BT48,BQ48,BN48,BK48,BH48,BE48,BB48,AY48,AV48))</f>
        <v/>
      </c>
      <c r="G48" s="11">
        <f>IF(COUNT(CD48,CA48,BX48,BU48,BR48,BO48,BL48,BI48,BF48,BC48,AZ48,AW48)=0,"",SUM(CD48,CA48,BX48,BU48,BR48,BO48,BL48,BI48,BF48,BC48,AZ48,AW48))</f>
        <v/>
      </c>
      <c r="H48" s="10">
        <f>IF(COUNT(DL48,DI48,DF48,DC48,CZ48,CW48,CT48,CQ48,CN48,CK48,CH48,CE48)=0,"",SUM(DL48,DI48,DF48,DC48,CZ48,CW48,CT48,CQ48,CN48,CK48,CH48,CE48))</f>
        <v/>
      </c>
      <c r="I48" s="10">
        <f>IF(COUNT(DM48,DJ48,DG48,DD48,DA48,CX48,CU48,CR48,CO48,CL48,CI48,CF48)=0,"",SUM(DM48,DJ48,DG48,DD48,DA48,CX48,CU48,CR48,CO48,CL48,CI48,CF48))</f>
        <v/>
      </c>
      <c r="J48" s="10">
        <f>IF(COUNT(DN48,DK48,DH48,DE48,DB48,CY48,CV48,CS48,CP48,CM48,CJ48,CG48)=0,"",SUM(DN48,DK48,DH48,DE48,DB48,CY48,CV48,CS48,CP48,CM48,CJ48,CG48))</f>
        <v/>
      </c>
      <c r="K48" s="11" t="n"/>
      <c r="L48" s="11" t="n">
        <v>8000</v>
      </c>
      <c r="M48" s="11" t="n">
        <v>8000</v>
      </c>
      <c r="N48" s="10" t="n"/>
      <c r="O48" s="10" t="n">
        <v>8000</v>
      </c>
      <c r="P48" s="10" t="n">
        <v>8000</v>
      </c>
      <c r="Q48" s="11" t="n"/>
      <c r="R48" s="11" t="n">
        <v>8000</v>
      </c>
      <c r="S48" s="11" t="n">
        <v>8000</v>
      </c>
      <c r="T48" s="10" t="n"/>
      <c r="U48" s="10" t="n">
        <v>8000</v>
      </c>
      <c r="V48" s="10" t="n">
        <v>8000</v>
      </c>
      <c r="W48" s="11" t="n"/>
      <c r="X48" s="11" t="n">
        <v>8000</v>
      </c>
      <c r="Y48" s="11" t="n">
        <v>8000</v>
      </c>
      <c r="Z48" s="10" t="n"/>
      <c r="AA48" s="10" t="n">
        <v>8000</v>
      </c>
      <c r="AB48" s="10" t="n">
        <v>8000</v>
      </c>
      <c r="AC48" s="11" t="n"/>
      <c r="AD48" s="11" t="n">
        <v>8000</v>
      </c>
      <c r="AE48" s="11" t="n">
        <v>8000</v>
      </c>
      <c r="AF48" s="10" t="n"/>
      <c r="AG48" s="10" t="n">
        <v>8000</v>
      </c>
      <c r="AH48" s="10" t="n">
        <v>8000</v>
      </c>
      <c r="AI48" s="11" t="n"/>
      <c r="AJ48" s="11" t="n">
        <v>8000</v>
      </c>
      <c r="AK48" s="11" t="n">
        <v>8000</v>
      </c>
      <c r="AL48" s="10" t="n"/>
      <c r="AM48" s="10" t="n">
        <v>8000</v>
      </c>
      <c r="AN48" s="10" t="n">
        <v>8000</v>
      </c>
      <c r="AR48" s="35" t="n"/>
      <c r="AS48" s="35" t="n"/>
      <c r="AT48" s="35" t="n"/>
      <c r="AX48" s="35" t="n"/>
      <c r="AY48" s="35" t="n"/>
      <c r="AZ48" s="35" t="n"/>
      <c r="BD48" s="35" t="n"/>
      <c r="BE48" s="35" t="n"/>
      <c r="BF48" s="35" t="n"/>
      <c r="BJ48" s="35" t="n"/>
      <c r="BK48" s="35" t="n"/>
      <c r="BL48" s="35" t="n"/>
      <c r="BP48" s="35" t="n"/>
      <c r="BQ48" s="35" t="n"/>
      <c r="BR48" s="35" t="n"/>
      <c r="BV48" s="35" t="n"/>
      <c r="BW48" s="35" t="n"/>
      <c r="BX48" s="35" t="n"/>
      <c r="CB48" s="35" t="n"/>
      <c r="CC48" s="35" t="n"/>
      <c r="CD48" s="35" t="n"/>
      <c r="CH48" s="35" t="n"/>
      <c r="CI48" s="35" t="n"/>
      <c r="CJ48" s="35" t="n"/>
      <c r="CN48" s="35" t="n"/>
      <c r="CO48" s="35" t="n"/>
      <c r="CP48" s="35" t="n"/>
      <c r="CT48" s="35" t="n"/>
      <c r="CU48" s="35" t="n"/>
      <c r="CV48" s="35" t="n"/>
      <c r="CZ48" s="35" t="n"/>
      <c r="DA48" s="35" t="n"/>
      <c r="DB48" s="35" t="n"/>
      <c r="DF48" s="35" t="n"/>
      <c r="DG48" s="35" t="n"/>
      <c r="DH48" s="35" t="n"/>
      <c r="DL48" s="35" t="n"/>
      <c r="DM48" s="35" t="n"/>
      <c r="DN48" s="35" t="n"/>
    </row>
    <row r="49">
      <c r="A49" s="2" t="inlineStr">
        <is>
          <t>Solutions Engineer</t>
        </is>
      </c>
      <c r="B49" s="10">
        <f>IF(COUNT(AR49,AO49,AL49,AI49,AF49,AC49,Z49,W49,T49,Q49,N49,K49)=0,"",SUM(AR49,AO49,AL49,AI49,AF49,AC49,Z49,W49,T49,Q49,N49,K49))</f>
        <v/>
      </c>
      <c r="C49" s="10">
        <f>IF(COUNT(AS49,AP49,AM49,AJ49,AG49,AD49,AA49,X49,U49,R49,O49,L49)=0,"",SUM(AS49,AP49,AM49,AJ49,AG49,AD49,AA49,X49,U49,R49,O49,L49))</f>
        <v/>
      </c>
      <c r="D49" s="10">
        <f>IF(COUNT(AT49,AQ49,AN49,AK49,AH49,AE49,AB49,Y49,V49,S49,P49,M49)=0,"",SUM(AT49,AQ49,AN49,AK49,AH49,AE49,AB49,Y49,V49,S49,P49,M49))</f>
        <v/>
      </c>
      <c r="E49" s="11">
        <f>IF(COUNT(CB49,BY49,BV49,BS49,BP49,BM49,BJ49,BG49,BD49,BA49,AX49,AU49)=0,"",SUM(CB49,BY49,BV49,BS49,BP49,BM49,BJ49,BG49,BD49,BA49,AX49,AU49))</f>
        <v/>
      </c>
      <c r="F49" s="11">
        <f>IF(COUNT(CC49,BZ49,BW49,BT49,BQ49,BN49,BK49,BH49,BE49,BB49,AY49,AV49)=0,"",SUM(CC49,BZ49,BW49,BT49,BQ49,BN49,BK49,BH49,BE49,BB49,AY49,AV49))</f>
        <v/>
      </c>
      <c r="G49" s="11">
        <f>IF(COUNT(CD49,CA49,BX49,BU49,BR49,BO49,BL49,BI49,BF49,BC49,AZ49,AW49)=0,"",SUM(CD49,CA49,BX49,BU49,BR49,BO49,BL49,BI49,BF49,BC49,AZ49,AW49))</f>
        <v/>
      </c>
      <c r="H49" s="10">
        <f>IF(COUNT(DL49,DI49,DF49,DC49,CZ49,CW49,CT49,CQ49,CN49,CK49,CH49,CE49)=0,"",SUM(DL49,DI49,DF49,DC49,CZ49,CW49,CT49,CQ49,CN49,CK49,CH49,CE49))</f>
        <v/>
      </c>
      <c r="I49" s="10">
        <f>IF(COUNT(DM49,DJ49,DG49,DD49,DA49,CX49,CU49,CR49,CO49,CL49,CI49,CF49)=0,"",SUM(DM49,DJ49,DG49,DD49,DA49,CX49,CU49,CR49,CO49,CL49,CI49,CF49))</f>
        <v/>
      </c>
      <c r="J49" s="10">
        <f>IF(COUNT(DN49,DK49,DH49,DE49,DB49,CY49,CV49,CS49,CP49,CM49,CJ49,CG49)=0,"",SUM(DN49,DK49,DH49,DE49,DB49,CY49,CV49,CS49,CP49,CM49,CJ49,CG49))</f>
        <v/>
      </c>
      <c r="K49" s="11" t="n"/>
      <c r="L49" s="11" t="n">
        <v>12000</v>
      </c>
      <c r="M49" s="11" t="n">
        <v>12000</v>
      </c>
      <c r="N49" s="10" t="n"/>
      <c r="O49" s="10" t="n">
        <v>12000</v>
      </c>
      <c r="P49" s="10" t="n">
        <v>12000</v>
      </c>
      <c r="Q49" s="11" t="n"/>
      <c r="R49" s="11" t="n">
        <v>12000</v>
      </c>
      <c r="S49" s="11" t="n">
        <v>12000</v>
      </c>
      <c r="T49" s="10" t="n"/>
      <c r="U49" s="10" t="n">
        <v>12000</v>
      </c>
      <c r="V49" s="10" t="n">
        <v>12000</v>
      </c>
      <c r="W49" s="11" t="n"/>
      <c r="X49" s="11" t="n">
        <v>12000</v>
      </c>
      <c r="Y49" s="11" t="n">
        <v>12000</v>
      </c>
      <c r="Z49" s="10" t="n"/>
      <c r="AA49" s="10" t="n">
        <v>12000</v>
      </c>
      <c r="AB49" s="10" t="n">
        <v>12000</v>
      </c>
      <c r="AC49" s="11" t="n"/>
      <c r="AD49" s="11" t="n">
        <v>12000</v>
      </c>
      <c r="AE49" s="11" t="n">
        <v>12000</v>
      </c>
      <c r="AF49" s="10" t="n"/>
      <c r="AG49" s="10" t="n">
        <v>12000</v>
      </c>
      <c r="AH49" s="10" t="n">
        <v>12000</v>
      </c>
      <c r="AI49" s="11" t="n"/>
      <c r="AJ49" s="11" t="n">
        <v>12000</v>
      </c>
      <c r="AK49" s="11" t="n">
        <v>12000</v>
      </c>
      <c r="AL49" s="10" t="n"/>
      <c r="AM49" s="10" t="n">
        <v>12000</v>
      </c>
      <c r="AN49" s="10" t="n">
        <v>12000</v>
      </c>
      <c r="AO49" s="11" t="n"/>
      <c r="AP49" s="11" t="n">
        <v>12000</v>
      </c>
      <c r="AQ49" s="11" t="n">
        <v>12000</v>
      </c>
      <c r="AR49" s="10" t="n"/>
      <c r="AS49" s="10" t="n">
        <v>12000</v>
      </c>
      <c r="AT49" s="10" t="n">
        <v>12000</v>
      </c>
      <c r="AU49" s="11" t="n"/>
      <c r="AV49" s="11" t="n">
        <v>12000</v>
      </c>
      <c r="AW49" s="11" t="n">
        <v>12000</v>
      </c>
      <c r="AX49" s="10" t="n"/>
      <c r="AY49" s="10" t="n">
        <v>12000</v>
      </c>
      <c r="AZ49" s="10" t="n">
        <v>12000</v>
      </c>
      <c r="BA49" s="11" t="n"/>
      <c r="BB49" s="11" t="n">
        <v>12000</v>
      </c>
      <c r="BC49" s="11" t="n">
        <v>12000</v>
      </c>
      <c r="BD49" s="10" t="n"/>
      <c r="BE49" s="10" t="n">
        <v>12000</v>
      </c>
      <c r="BF49" s="10" t="n">
        <v>12000</v>
      </c>
      <c r="BG49" s="11" t="n"/>
      <c r="BH49" s="11" t="n">
        <v>12000</v>
      </c>
      <c r="BI49" s="11" t="n">
        <v>12000</v>
      </c>
      <c r="BJ49" s="10" t="n"/>
      <c r="BK49" s="10" t="n">
        <v>12000</v>
      </c>
      <c r="BL49" s="10" t="n">
        <v>12000</v>
      </c>
      <c r="BM49" s="11" t="n"/>
      <c r="BN49" s="11" t="n">
        <v>12000</v>
      </c>
      <c r="BO49" s="11" t="n">
        <v>12000</v>
      </c>
      <c r="BP49" s="10" t="n"/>
      <c r="BQ49" s="10" t="n">
        <v>12000</v>
      </c>
      <c r="BR49" s="10" t="n">
        <v>12000</v>
      </c>
      <c r="BS49" s="11" t="n"/>
      <c r="BT49" s="11" t="n">
        <v>12000</v>
      </c>
      <c r="BU49" s="11" t="n">
        <v>12000</v>
      </c>
      <c r="BV49" s="10" t="n"/>
      <c r="BW49" s="10" t="n">
        <v>12000</v>
      </c>
      <c r="BX49" s="10" t="n">
        <v>12000</v>
      </c>
      <c r="BY49" s="11" t="n"/>
      <c r="BZ49" s="11" t="n">
        <v>12000</v>
      </c>
      <c r="CA49" s="11" t="n">
        <v>12000</v>
      </c>
      <c r="CB49" s="10" t="n"/>
      <c r="CC49" s="10" t="n">
        <v>12000</v>
      </c>
      <c r="CD49" s="10" t="n">
        <v>12000</v>
      </c>
      <c r="CE49" s="11" t="n"/>
      <c r="CF49" s="11" t="n">
        <v>12000</v>
      </c>
      <c r="CG49" s="11" t="n">
        <v>12000</v>
      </c>
      <c r="CH49" s="10" t="n"/>
      <c r="CI49" s="10" t="n">
        <v>12000</v>
      </c>
      <c r="CJ49" s="10" t="n">
        <v>12000</v>
      </c>
      <c r="CK49" s="11" t="n"/>
      <c r="CL49" s="11" t="n">
        <v>12000</v>
      </c>
      <c r="CM49" s="11" t="n">
        <v>12000</v>
      </c>
      <c r="CN49" s="10" t="n"/>
      <c r="CO49" s="10" t="n">
        <v>12000</v>
      </c>
      <c r="CP49" s="10" t="n">
        <v>12000</v>
      </c>
      <c r="CQ49" s="11" t="n"/>
      <c r="CR49" s="11" t="n">
        <v>12000</v>
      </c>
      <c r="CS49" s="11" t="n">
        <v>12000</v>
      </c>
      <c r="CT49" s="10" t="n"/>
      <c r="CU49" s="10" t="n">
        <v>12000</v>
      </c>
      <c r="CV49" s="10" t="n">
        <v>12000</v>
      </c>
      <c r="CW49" s="11" t="n"/>
      <c r="CX49" s="11" t="n">
        <v>12000</v>
      </c>
      <c r="CY49" s="11" t="n">
        <v>12000</v>
      </c>
      <c r="CZ49" s="10" t="n"/>
      <c r="DA49" s="10" t="n">
        <v>12000</v>
      </c>
      <c r="DB49" s="10" t="n">
        <v>12000</v>
      </c>
      <c r="DC49" s="11" t="n"/>
      <c r="DD49" s="11" t="n">
        <v>12000</v>
      </c>
      <c r="DE49" s="11" t="n">
        <v>12000</v>
      </c>
      <c r="DF49" s="10" t="n"/>
      <c r="DG49" s="10" t="n">
        <v>12000</v>
      </c>
      <c r="DH49" s="10" t="n">
        <v>12000</v>
      </c>
      <c r="DI49" s="11" t="n">
        <v>12000</v>
      </c>
      <c r="DJ49" s="11" t="n">
        <v>12000</v>
      </c>
      <c r="DK49" s="11" t="n">
        <v>12000</v>
      </c>
      <c r="DL49" s="10" t="n">
        <v>12000</v>
      </c>
      <c r="DM49" s="10" t="n">
        <v>12000</v>
      </c>
      <c r="DN49" s="10" t="n">
        <v>12000</v>
      </c>
    </row>
    <row r="50">
      <c r="A50" s="2" t="inlineStr">
        <is>
          <t>Sales Operations Analyst</t>
        </is>
      </c>
      <c r="B50" s="10">
        <f>IF(COUNT(AR50,AO50,AL50,AI50,AF50,AC50,Z50,W50,T50,Q50,N50,K50)=0,"",SUM(AR50,AO50,AL50,AI50,AF50,AC50,Z50,W50,T50,Q50,N50,K50))</f>
        <v/>
      </c>
      <c r="C50" s="10">
        <f>IF(COUNT(AS50,AP50,AM50,AJ50,AG50,AD50,AA50,X50,U50,R50,O50,L50)=0,"",SUM(AS50,AP50,AM50,AJ50,AG50,AD50,AA50,X50,U50,R50,O50,L50))</f>
        <v/>
      </c>
      <c r="D50" s="10">
        <f>IF(COUNT(AT50,AQ50,AN50,AK50,AH50,AE50,AB50,Y50,V50,S50,P50,M50)=0,"",SUM(AT50,AQ50,AN50,AK50,AH50,AE50,AB50,Y50,V50,S50,P50,M50))</f>
        <v/>
      </c>
      <c r="E50" s="11">
        <f>IF(COUNT(CB50,BY50,BV50,BS50,BP50,BM50,BJ50,BG50,BD50,BA50,AX50,AU50)=0,"",SUM(CB50,BY50,BV50,BS50,BP50,BM50,BJ50,BG50,BD50,BA50,AX50,AU50))</f>
        <v/>
      </c>
      <c r="F50" s="11">
        <f>IF(COUNT(CC50,BZ50,BW50,BT50,BQ50,BN50,BK50,BH50,BE50,BB50,AY50,AV50)=0,"",SUM(CC50,BZ50,BW50,BT50,BQ50,BN50,BK50,BH50,BE50,BB50,AY50,AV50))</f>
        <v/>
      </c>
      <c r="G50" s="11">
        <f>IF(COUNT(CD50,CA50,BX50,BU50,BR50,BO50,BL50,BI50,BF50,BC50,AZ50,AW50)=0,"",SUM(CD50,CA50,BX50,BU50,BR50,BO50,BL50,BI50,BF50,BC50,AZ50,AW50))</f>
        <v/>
      </c>
      <c r="H50" s="10">
        <f>IF(COUNT(DL50,DI50,DF50,DC50,CZ50,CW50,CT50,CQ50,CN50,CK50,CH50,CE50)=0,"",SUM(DL50,DI50,DF50,DC50,CZ50,CW50,CT50,CQ50,CN50,CK50,CH50,CE50))</f>
        <v/>
      </c>
      <c r="I50" s="10">
        <f>IF(COUNT(DM50,DJ50,DG50,DD50,DA50,CX50,CU50,CR50,CO50,CL50,CI50,CF50)=0,"",SUM(DM50,DJ50,DG50,DD50,DA50,CX50,CU50,CR50,CO50,CL50,CI50,CF50))</f>
        <v/>
      </c>
      <c r="J50" s="10">
        <f>IF(COUNT(DN50,DK50,DH50,DE50,DB50,CY50,CV50,CS50,CP50,CM50,CJ50,CG50)=0,"",SUM(DN50,DK50,DH50,DE50,DB50,CY50,CV50,CS50,CP50,CM50,CJ50,CG50))</f>
        <v/>
      </c>
      <c r="K50" s="11" t="n"/>
      <c r="L50" s="11" t="n">
        <v>9000</v>
      </c>
      <c r="M50" s="11" t="n">
        <v>9000</v>
      </c>
      <c r="N50" s="10" t="n"/>
      <c r="O50" s="10" t="n">
        <v>9000</v>
      </c>
      <c r="P50" s="10" t="n">
        <v>9000</v>
      </c>
      <c r="Q50" s="11" t="n"/>
      <c r="R50" s="11" t="n">
        <v>9000</v>
      </c>
      <c r="S50" s="11" t="n">
        <v>9000</v>
      </c>
      <c r="T50" s="10" t="n"/>
      <c r="U50" s="10" t="n">
        <v>9000</v>
      </c>
      <c r="V50" s="10" t="n">
        <v>9000</v>
      </c>
      <c r="W50" s="11" t="n"/>
      <c r="X50" s="11" t="n">
        <v>9000</v>
      </c>
      <c r="Y50" s="11" t="n">
        <v>9000</v>
      </c>
      <c r="Z50" s="10" t="n"/>
      <c r="AA50" s="10" t="n">
        <v>9000</v>
      </c>
      <c r="AB50" s="10" t="n">
        <v>9000</v>
      </c>
      <c r="AC50" s="11" t="n"/>
      <c r="AD50" s="11" t="n">
        <v>9000</v>
      </c>
      <c r="AE50" s="11" t="n">
        <v>9000</v>
      </c>
      <c r="AF50" s="10" t="n"/>
      <c r="AG50" s="10" t="n">
        <v>9000</v>
      </c>
      <c r="AH50" s="10" t="n">
        <v>9000</v>
      </c>
      <c r="AI50" s="11" t="n"/>
      <c r="AJ50" s="11" t="n">
        <v>9000</v>
      </c>
      <c r="AK50" s="11" t="n">
        <v>9000</v>
      </c>
      <c r="AL50" s="10" t="n"/>
      <c r="AM50" s="10" t="n">
        <v>9000</v>
      </c>
      <c r="AN50" s="10" t="n">
        <v>9000</v>
      </c>
      <c r="AO50" s="11" t="n"/>
      <c r="AP50" s="11" t="n">
        <v>9000</v>
      </c>
      <c r="AQ50" s="11" t="n">
        <v>9000</v>
      </c>
      <c r="AR50" s="10" t="n"/>
      <c r="AS50" s="10" t="n">
        <v>9000</v>
      </c>
      <c r="AT50" s="10" t="n">
        <v>9000</v>
      </c>
      <c r="AU50" s="11" t="n"/>
      <c r="AV50" s="11" t="n">
        <v>9000</v>
      </c>
      <c r="AW50" s="11" t="n">
        <v>9000</v>
      </c>
      <c r="AX50" s="10" t="n"/>
      <c r="AY50" s="10" t="n">
        <v>9000</v>
      </c>
      <c r="AZ50" s="10" t="n">
        <v>9000</v>
      </c>
      <c r="BA50" s="11" t="n"/>
      <c r="BB50" s="11" t="n">
        <v>9000</v>
      </c>
      <c r="BC50" s="11" t="n">
        <v>9000</v>
      </c>
      <c r="BD50" s="10" t="n"/>
      <c r="BE50" s="10" t="n">
        <v>9000</v>
      </c>
      <c r="BF50" s="10" t="n">
        <v>9000</v>
      </c>
      <c r="BG50" s="11" t="n"/>
      <c r="BH50" s="11" t="n">
        <v>9000</v>
      </c>
      <c r="BI50" s="11" t="n">
        <v>9000</v>
      </c>
      <c r="BJ50" s="10" t="n"/>
      <c r="BK50" s="10" t="n">
        <v>9000</v>
      </c>
      <c r="BL50" s="10" t="n">
        <v>9000</v>
      </c>
      <c r="BM50" s="11" t="n"/>
      <c r="BN50" s="11" t="n">
        <v>9000</v>
      </c>
      <c r="BO50" s="11" t="n">
        <v>9000</v>
      </c>
      <c r="BP50" s="10" t="n"/>
      <c r="BQ50" s="10" t="n">
        <v>9000</v>
      </c>
      <c r="BR50" s="10" t="n">
        <v>9000</v>
      </c>
      <c r="BS50" s="11" t="n"/>
      <c r="BT50" s="11" t="n">
        <v>9000</v>
      </c>
      <c r="BU50" s="11" t="n">
        <v>9000</v>
      </c>
      <c r="BV50" s="10" t="n"/>
      <c r="BW50" s="10" t="n">
        <v>9000</v>
      </c>
      <c r="BX50" s="10" t="n">
        <v>9000</v>
      </c>
      <c r="BY50" s="11" t="n"/>
      <c r="BZ50" s="11" t="n">
        <v>9000</v>
      </c>
      <c r="CA50" s="11" t="n">
        <v>9000</v>
      </c>
      <c r="CB50" s="10" t="n"/>
      <c r="CC50" s="10" t="n">
        <v>9000</v>
      </c>
      <c r="CD50" s="10" t="n">
        <v>9000</v>
      </c>
      <c r="CE50" s="11" t="n"/>
      <c r="CF50" s="11" t="n">
        <v>9000</v>
      </c>
      <c r="CG50" s="11" t="n">
        <v>9000</v>
      </c>
      <c r="CH50" s="10" t="n"/>
      <c r="CI50" s="10" t="n">
        <v>9000</v>
      </c>
      <c r="CJ50" s="10" t="n">
        <v>9000</v>
      </c>
      <c r="CK50" s="11" t="n"/>
      <c r="CL50" s="11" t="n">
        <v>9000</v>
      </c>
      <c r="CM50" s="11" t="n">
        <v>9000</v>
      </c>
      <c r="CN50" s="10" t="n"/>
      <c r="CO50" s="10" t="n">
        <v>9000</v>
      </c>
      <c r="CP50" s="10" t="n">
        <v>9000</v>
      </c>
      <c r="CQ50" s="11" t="n"/>
      <c r="CR50" s="11" t="n">
        <v>9000</v>
      </c>
      <c r="CS50" s="11" t="n">
        <v>9000</v>
      </c>
      <c r="CT50" s="10" t="n"/>
      <c r="CU50" s="10" t="n">
        <v>9000</v>
      </c>
      <c r="CV50" s="10" t="n">
        <v>9000</v>
      </c>
      <c r="CW50" s="11" t="n"/>
      <c r="CX50" s="11" t="n">
        <v>9000</v>
      </c>
      <c r="CY50" s="11" t="n">
        <v>9000</v>
      </c>
      <c r="CZ50" s="10" t="n"/>
      <c r="DA50" s="10" t="n">
        <v>9000</v>
      </c>
      <c r="DB50" s="10" t="n">
        <v>9000</v>
      </c>
      <c r="DC50" s="11" t="n"/>
      <c r="DD50" s="11" t="n">
        <v>9000</v>
      </c>
      <c r="DE50" s="11" t="n">
        <v>9000</v>
      </c>
      <c r="DF50" s="10" t="n"/>
      <c r="DG50" s="10" t="n">
        <v>9000</v>
      </c>
      <c r="DH50" s="10" t="n">
        <v>9000</v>
      </c>
      <c r="DI50" s="11" t="n">
        <v>9000</v>
      </c>
      <c r="DJ50" s="11" t="n">
        <v>9000</v>
      </c>
      <c r="DK50" s="11" t="n">
        <v>9000</v>
      </c>
      <c r="DL50" s="10" t="n">
        <v>9000</v>
      </c>
      <c r="DM50" s="10" t="n">
        <v>9000</v>
      </c>
      <c r="DN50" s="10" t="n">
        <v>9000</v>
      </c>
    </row>
    <row r="51">
      <c r="A51" s="12" t="inlineStr">
        <is>
          <t>Total People Cost</t>
        </is>
      </c>
      <c r="B51" s="13">
        <f>IF(COUNT(AR51,AO51,AL51,AI51,AF51,AC51,Z51,W51,T51,Q51,N51,K51)=0,"",SUM(AR51,AO51,AL51,AI51,AF51,AC51,Z51,W51,T51,Q51,N51,K51))</f>
        <v/>
      </c>
      <c r="C51" s="13">
        <f>IF(COUNT(AS51,AP51,AM51,AJ51,AG51,AD51,AA51,X51,U51,R51,O51,L51)=0,"",SUM(AS51,AP51,AM51,AJ51,AG51,AD51,AA51,X51,U51,R51,O51,L51))</f>
        <v/>
      </c>
      <c r="D51" s="13">
        <f>IF(COUNT(AT51,AQ51,AN51,AK51,AH51,AE51,AB51,Y51,V51,S51,P51,M51)=0,"",SUM(AT51,AQ51,AN51,AK51,AH51,AE51,AB51,Y51,V51,S51,P51,M51))</f>
        <v/>
      </c>
      <c r="E51" s="14">
        <f>IF(COUNT(CB51,BY51,BV51,BS51,BP51,BM51,BJ51,BG51,BD51,BA51,AX51,AU51)=0,"",SUM(CB51,BY51,BV51,BS51,BP51,BM51,BJ51,BG51,BD51,BA51,AX51,AU51))</f>
        <v/>
      </c>
      <c r="F51" s="14">
        <f>IF(COUNT(CC51,BZ51,BW51,BT51,BQ51,BN51,BK51,BH51,BE51,BB51,AY51,AV51)=0,"",SUM(CC51,BZ51,BW51,BT51,BQ51,BN51,BK51,BH51,BE51,BB51,AY51,AV51))</f>
        <v/>
      </c>
      <c r="G51" s="14">
        <f>IF(COUNT(CD51,CA51,BX51,BU51,BR51,BO51,BL51,BI51,BF51,BC51,AZ51,AW51)=0,"",SUM(CD51,CA51,BX51,BU51,BR51,BO51,BL51,BI51,BF51,BC51,AZ51,AW51))</f>
        <v/>
      </c>
      <c r="H51" s="13">
        <f>IF(COUNT(DL51,DI51,DF51,DC51,CZ51,CW51,CT51,CQ51,CN51,CK51,CH51,CE51)=0,"",SUM(DL51,DI51,DF51,DC51,CZ51,CW51,CT51,CQ51,CN51,CK51,CH51,CE51))</f>
        <v/>
      </c>
      <c r="I51" s="13">
        <f>IF(COUNT(DM51,DJ51,DG51,DD51,DA51,CX51,CU51,CR51,CO51,CL51,CI51,CF51)=0,"",SUM(DM51,DJ51,DG51,DD51,DA51,CX51,CU51,CR51,CO51,CL51,CI51,CF51))</f>
        <v/>
      </c>
      <c r="J51" s="13">
        <f>IF(COUNT(DN51,DK51,DH51,DE51,DB51,CY51,CV51,CS51,CP51,CM51,CJ51,CG51)=0,"",SUM(DN51,DK51,DH51,DE51,DB51,CY51,CV51,CS51,CP51,CM51,CJ51,CG51))</f>
        <v/>
      </c>
      <c r="K51" s="14">
        <f>IF(COUNT(K27,K28,K29,K30,K31,K32,K33,K34,K35,K36,K37,K38,K39,K40,K41,K42,K43,K44,K45,K46,K47,K48,K49,K50)=0,"",SUM(K27:K50))</f>
        <v/>
      </c>
      <c r="L51" s="14">
        <f>SUM(L27:L50)</f>
        <v/>
      </c>
      <c r="M51" s="14">
        <f>SUM(M27:M50)</f>
        <v/>
      </c>
      <c r="N51" s="13">
        <f>IF(COUNT(N27,N28,N29,N30,N31,N32,N33,N34,N35,N36,N37,N38,N39,N40,N41,N42,N43,N44,N45,N46,N47,N48,N49,N50)=0,"",SUM(N27:N50))</f>
        <v/>
      </c>
      <c r="O51" s="13">
        <f>SUM(O27:O50)</f>
        <v/>
      </c>
      <c r="P51" s="13">
        <f>SUM(P27:P50)</f>
        <v/>
      </c>
      <c r="Q51" s="14">
        <f>IF(COUNT(Q27,Q28,Q29,Q30,Q31,Q32,Q33,Q34,Q35,Q36,Q37,Q38,Q39,Q40,Q41,Q42,Q43,Q44,Q45,Q46,Q47,Q48,Q49,Q50)=0,"",SUM(Q27:Q50))</f>
        <v/>
      </c>
      <c r="R51" s="14">
        <f>SUM(R27:R50)</f>
        <v/>
      </c>
      <c r="S51" s="14">
        <f>SUM(S27:S50)</f>
        <v/>
      </c>
      <c r="T51" s="13">
        <f>IF(COUNT(T27,T28,T29,T30,T31,T32,T33,T34,T35,T36,T37,T38,T39,T40,T41,T42,T43,T44,T45,T46,T47,T48,T49,T50)=0,"",SUM(T27:T50))</f>
        <v/>
      </c>
      <c r="U51" s="13">
        <f>SUM(U27:U50)</f>
        <v/>
      </c>
      <c r="V51" s="13">
        <f>SUM(V27:V50)</f>
        <v/>
      </c>
      <c r="W51" s="14">
        <f>IF(COUNT(W27,W28,W29,W30,W31,W32,W33,W34,W35,W36,W37,W38,W39,W40,W41,W42,W43,W44,W45,W46,W47,W48,W49,W50)=0,"",SUM(W27:W50))</f>
        <v/>
      </c>
      <c r="X51" s="14">
        <f>SUM(X27:X50)</f>
        <v/>
      </c>
      <c r="Y51" s="14">
        <f>SUM(Y27:Y50)</f>
        <v/>
      </c>
      <c r="Z51" s="13">
        <f>IF(COUNT(Z27,Z28,Z29,Z30,Z31,Z32,Z33,Z34,Z35,Z36,Z37,Z38,Z39,Z40,Z41,Z42,Z43,Z44,Z45,Z46,Z47,Z48,Z49,Z50)=0,"",SUM(Z27:Z50))</f>
        <v/>
      </c>
      <c r="AA51" s="13">
        <f>SUM(AA27:AA50)</f>
        <v/>
      </c>
      <c r="AB51" s="13">
        <f>SUM(AB27:AB50)</f>
        <v/>
      </c>
      <c r="AC51" s="14">
        <f>IF(COUNT(AC27,AC28,AC29,AC30,AC31,AC32,AC33,AC34,AC36,AC37,AC38,AC39,AC40,AC41,AC42,AC43,AC44,AC45,AC46,AC47,AC48,AC49,AC50)=0,"",SUM(AC27:AC50))</f>
        <v/>
      </c>
      <c r="AD51" s="14">
        <f>SUM(AD27:AD50)</f>
        <v/>
      </c>
      <c r="AE51" s="14">
        <f>SUM(AE27:AE50)</f>
        <v/>
      </c>
      <c r="AF51" s="13">
        <f>IF(COUNT(AF27,AF28,AF29,AF30,AF31,AF32,AF33,AF34,AF36,AF37,AF38,AF39,AF40,AF41,AF42,AF43,AF44,AF45,AF46,AF47,AF48,AF49,AF50)=0,"",SUM(AF27:AF50))</f>
        <v/>
      </c>
      <c r="AG51" s="13">
        <f>SUM(AG27:AG50)</f>
        <v/>
      </c>
      <c r="AH51" s="13">
        <f>SUM(AH27:AH50)</f>
        <v/>
      </c>
      <c r="AI51" s="14">
        <f>IF(COUNT(AI27,AI28,AI29,AI30,AI31,AI32,AI33,AI34,AI36,AI37,AI38,AI39,AI40,AI41,AI42,AI43,AI44,AI45,AI46,AI47,AI48,AI49,AI50)=0,"",SUM(AI27:AI50))</f>
        <v/>
      </c>
      <c r="AJ51" s="14">
        <f>SUM(AJ27:AJ50)</f>
        <v/>
      </c>
      <c r="AK51" s="14">
        <f>SUM(AK27:AK50)</f>
        <v/>
      </c>
      <c r="AL51" s="13">
        <f>IF(COUNT(AL27,AL28,AL29,AL30,AL31,AL32,AL33,AL34,AL36,AL37,AL38,AL39,AL41,AL42,AL43,AL44,AL45,AL46,AL47,AL48,AL49,AL50)=0,"",SUM(AL27:AL50))</f>
        <v/>
      </c>
      <c r="AM51" s="13">
        <f>SUM(AM27:AM50)</f>
        <v/>
      </c>
      <c r="AN51" s="13">
        <f>SUM(AN27:AN50)</f>
        <v/>
      </c>
      <c r="AO51" s="14">
        <f>IF(COUNT(AO27,AO28,AO29,AO30,AO31,AO32,AO33,AO34,AO36,AO37,AO38,AO39,AO41,AO42,AO43,AO44,AO45,AO46,AO47,AO49,AO50)=0,"",SUM(AO27:AO50))</f>
        <v/>
      </c>
      <c r="AP51" s="14">
        <f>SUM(AP27:AP50)</f>
        <v/>
      </c>
      <c r="AQ51" s="14">
        <f>SUM(AQ27:AQ50)</f>
        <v/>
      </c>
      <c r="AR51" s="13">
        <f>IF(COUNT(AR27,AR28,AR29,AR30,AR31,AR32,AR33,AR34,AR36,AR37,AR38,AR39,AR41,AR42,AR43,AR44,AR45,AR46,AR47,AR49,AR50)=0,"",SUM(AR27:AR50))</f>
        <v/>
      </c>
      <c r="AS51" s="13">
        <f>SUM(AS27:AS50)</f>
        <v/>
      </c>
      <c r="AT51" s="13">
        <f>SUM(AT27:AT50)</f>
        <v/>
      </c>
      <c r="AU51" s="14">
        <f>IF(COUNT(AU27,AU28,AU29,AU30,AU31,AU32,AU33,AU34,AU36,AU37,AU38,AU41,AU42,AU43,AU44,AU45,AU46,AU47,AU49,AU50)=0,"",SUM(AU27:AU50))</f>
        <v/>
      </c>
      <c r="AV51" s="14">
        <f>SUM(AV27:AV50)</f>
        <v/>
      </c>
      <c r="AW51" s="14">
        <f>SUM(AW27:AW50)</f>
        <v/>
      </c>
      <c r="AX51" s="13">
        <f>IF(COUNT(AX27,AX28,AX29,AX30,AX31,AX32,AX33,AX34,AX36,AX37,AX38,AX41,AX42,AX43,AX44,AX45,AX46,AX47,AX49,AX50)=0,"",SUM(AX27:AX50))</f>
        <v/>
      </c>
      <c r="AY51" s="13">
        <f>SUM(AY27:AY50)</f>
        <v/>
      </c>
      <c r="AZ51" s="13">
        <f>SUM(AZ27:AZ50)</f>
        <v/>
      </c>
      <c r="BA51" s="14">
        <f>IF(COUNT(BA27,BA28,BA29,BA30,BA31,BA32,BA33,BA34,BA36,BA37,BA38,BA41,BA42,BA43,BA44,BA45,BA46,BA49,BA50)=0,"",SUM(BA27:BA50))</f>
        <v/>
      </c>
      <c r="BB51" s="14">
        <f>SUM(BB27:BB50)</f>
        <v/>
      </c>
      <c r="BC51" s="14">
        <f>SUM(BC27:BC50)</f>
        <v/>
      </c>
      <c r="BD51" s="13">
        <f>IF(COUNT(BD27,BD28,BD29,BD30,BD31,BD32,BD33,BD34,BD36,BD37,BD41,BD42,BD43,BD44,BD45,BD46,BD49,BD50)=0,"",SUM(BD27:BD50))</f>
        <v/>
      </c>
      <c r="BE51" s="13">
        <f>SUM(BE27:BE50)</f>
        <v/>
      </c>
      <c r="BF51" s="13">
        <f>SUM(BF27:BF50)</f>
        <v/>
      </c>
      <c r="BG51" s="14">
        <f>IF(COUNT(BG27,BG28,BG29,BG30,BG31,BG32,BG33,BG34,BG36,BG37,BG41,BG42,BG43,BG44,BG45,BG46,BG49,BG50)=0,"",SUM(BG27:BG50))</f>
        <v/>
      </c>
      <c r="BH51" s="14">
        <f>SUM(BH27:BH50)</f>
        <v/>
      </c>
      <c r="BI51" s="14">
        <f>SUM(BI27:BI50)</f>
        <v/>
      </c>
      <c r="BJ51" s="13">
        <f>IF(COUNT(BJ27,BJ28,BJ29,BJ30,BJ31,BJ32,BJ33,BJ34,BJ36,BJ37,BJ42,BJ43,BJ44,BJ45,BJ46,BJ49,BJ50)=0,"",SUM(BJ27:BJ50))</f>
        <v/>
      </c>
      <c r="BK51" s="13">
        <f>SUM(BK27:BK50)</f>
        <v/>
      </c>
      <c r="BL51" s="13">
        <f>SUM(BL27:BL50)</f>
        <v/>
      </c>
      <c r="BM51" s="14">
        <f>IF(COUNT(BM27,BM28,BM29,BM30,BM31,BM32,BM33,BM34,BM36,BM37,BM42,BM43,BM44,BM46,BM49,BM50)=0,"",SUM(BM27:BM50))</f>
        <v/>
      </c>
      <c r="BN51" s="14">
        <f>SUM(BN27:BN50)</f>
        <v/>
      </c>
      <c r="BO51" s="14">
        <f>SUM(BO27:BO50)</f>
        <v/>
      </c>
      <c r="BP51" s="13">
        <f>IF(COUNT(BP27,BP28,BP29,BP30,BP31,BP32,BP33,BP34,BP36,BP37,BP42,BP43,BP44,BP46,BP49,BP50)=0,"",SUM(BP27:BP50))</f>
        <v/>
      </c>
      <c r="BQ51" s="13">
        <f>SUM(BQ27:BQ50)</f>
        <v/>
      </c>
      <c r="BR51" s="13">
        <f>SUM(BR27:BR50)</f>
        <v/>
      </c>
      <c r="BS51" s="14">
        <f>IF(COUNT(BS27,BS28,BS29,BS30,BS31,BS32,BS33,BS34,BS36,BS37,BS42,BS43,BS44,BS46,BS49,BS50)=0,"",SUM(BS27:BS50))</f>
        <v/>
      </c>
      <c r="BT51" s="14">
        <f>SUM(BT27:BT50)</f>
        <v/>
      </c>
      <c r="BU51" s="14">
        <f>SUM(BU27:BU50)</f>
        <v/>
      </c>
      <c r="BV51" s="13">
        <f>IF(COUNT(BV27,BV28,BV29,BV30,BV31,BV32,BV33,BV34,BV36,BV42,BV43,BV44,BV46,BV49,BV50)=0,"",SUM(BV27:BV50))</f>
        <v/>
      </c>
      <c r="BW51" s="13">
        <f>SUM(BW27:BW50)</f>
        <v/>
      </c>
      <c r="BX51" s="13">
        <f>SUM(BX27:BX50)</f>
        <v/>
      </c>
      <c r="BY51" s="14">
        <f>IF(COUNT(BY27,BY28,BY29,BY30,BY31,BY32,BY33,BY34,BY36,BY42,BY43,BY44,BY49,BY50)=0,"",SUM(BY27:BY50))</f>
        <v/>
      </c>
      <c r="BZ51" s="14">
        <f>SUM(BZ27:BZ50)</f>
        <v/>
      </c>
      <c r="CA51" s="14">
        <f>SUM(CA27:CA50)</f>
        <v/>
      </c>
      <c r="CB51" s="13">
        <f>IF(COUNT(CB27,CB28,CB29,CB30,CB31,CB32,CB33,CB34,CB42,CB43,CB44,CB49,CB50)=0,"",SUM(CB27:CB50))</f>
        <v/>
      </c>
      <c r="CC51" s="13">
        <f>SUM(CC27:CC50)</f>
        <v/>
      </c>
      <c r="CD51" s="13">
        <f>SUM(CD27:CD50)</f>
        <v/>
      </c>
      <c r="CE51" s="14">
        <f>IF(COUNT(CE27,CE28,CE29,CE30,CE31,CE32,CE33,CE42,CE43,CE44,CE49,CE50)=0,"",SUM(CE27:CE50))</f>
        <v/>
      </c>
      <c r="CF51" s="14">
        <f>SUM(CF27:CF50)</f>
        <v/>
      </c>
      <c r="CG51" s="14">
        <f>SUM(CG27:CG50)</f>
        <v/>
      </c>
      <c r="CH51" s="13">
        <f>IF(COUNT(CH27,CH28,CH29,CH30,CH31,CH32,CH33,CH42,CH43,CH44,CH49,CH50)=0,"",SUM(CH27:CH50))</f>
        <v/>
      </c>
      <c r="CI51" s="13">
        <f>SUM(CI27:CI50)</f>
        <v/>
      </c>
      <c r="CJ51" s="13">
        <f>SUM(CJ27:CJ50)</f>
        <v/>
      </c>
      <c r="CK51" s="14">
        <f>IF(COUNT(CK27,CK28,CK29,CK30,CK31,CK32,CK33,CK42,CK43,CK44,CK49,CK50)=0,"",SUM(CK27:CK50))</f>
        <v/>
      </c>
      <c r="CL51" s="14">
        <f>SUM(CL27:CL50)</f>
        <v/>
      </c>
      <c r="CM51" s="14">
        <f>SUM(CM27:CM50)</f>
        <v/>
      </c>
      <c r="CN51" s="13">
        <f>IF(COUNT(CN27,CN28,CN29,CN30,CN31,CN32,CN33,CN42,CN43,CN44,CN49,CN50)=0,"",SUM(CN27:CN50))</f>
        <v/>
      </c>
      <c r="CO51" s="13">
        <f>SUM(CO27:CO50)</f>
        <v/>
      </c>
      <c r="CP51" s="13">
        <f>SUM(CP27:CP50)</f>
        <v/>
      </c>
      <c r="CQ51" s="14">
        <f>IF(COUNT(CQ27,CQ28,CQ29,CQ30,CQ31,CQ32,CQ33,CQ42,CQ43,CQ44,CQ49,CQ50)=0,"",SUM(CQ27:CQ50))</f>
        <v/>
      </c>
      <c r="CR51" s="14">
        <f>SUM(CR27:CR50)</f>
        <v/>
      </c>
      <c r="CS51" s="14">
        <f>SUM(CS27:CS50)</f>
        <v/>
      </c>
      <c r="CT51" s="13">
        <f>IF(COUNT(CT27,CT28,CT29,CT30,CT31,CT32,CT33,CT42,CT43,CT44,CT49,CT50)=0,"",SUM(CT27:CT50))</f>
        <v/>
      </c>
      <c r="CU51" s="13">
        <f>SUM(CU27:CU50)</f>
        <v/>
      </c>
      <c r="CV51" s="13">
        <f>SUM(CV27:CV50)</f>
        <v/>
      </c>
      <c r="CW51" s="14">
        <f>IF(COUNT(CW27,CW28,CW29,CW30,CW31,CW32,CW42,CW43,CW44,CW49,CW50)=0,"",SUM(CW27:CW50))</f>
        <v/>
      </c>
      <c r="CX51" s="14">
        <f>SUM(CX27:CX50)</f>
        <v/>
      </c>
      <c r="CY51" s="14">
        <f>SUM(CY27:CY50)</f>
        <v/>
      </c>
      <c r="CZ51" s="13">
        <f>IF(COUNT(CZ27,CZ28,CZ29,CZ30,CZ31,CZ32,CZ42,CZ43,CZ44,CZ49,CZ50)=0,"",SUM(CZ27:CZ50))</f>
        <v/>
      </c>
      <c r="DA51" s="13">
        <f>SUM(DA27:DA50)</f>
        <v/>
      </c>
      <c r="DB51" s="13">
        <f>SUM(DB27:DB50)</f>
        <v/>
      </c>
      <c r="DC51" s="14">
        <f>IF(COUNT(DC27,DC28,DC29,DC30,DC31,DC32,DC42,DC43,DC44,DC49,DC50)=0,"",SUM(DC27:DC50))</f>
        <v/>
      </c>
      <c r="DD51" s="14">
        <f>SUM(DD27:DD50)</f>
        <v/>
      </c>
      <c r="DE51" s="14">
        <f>SUM(DE27:DE50)</f>
        <v/>
      </c>
      <c r="DF51" s="13">
        <f>IF(COUNT(DF27,DF28,DF29,DF30,DF31,DF32,DF42,DF43,DF44,DF49,DF50)=0,"",SUM(DF27:DF50))</f>
        <v/>
      </c>
      <c r="DG51" s="13">
        <f>SUM(DG27:DG50)</f>
        <v/>
      </c>
      <c r="DH51" s="13">
        <f>SUM(DH27:DH50)</f>
        <v/>
      </c>
      <c r="DI51" s="14">
        <f>IF(COUNT(DI27,DI28,DI29,DI30,DI31,DI32,DI42,DI43,DI44,DI49,DI50)=0,"",SUM(DI27:DI50))</f>
        <v/>
      </c>
      <c r="DJ51" s="14">
        <f>SUM(DJ27:DJ50)</f>
        <v/>
      </c>
      <c r="DK51" s="14">
        <f>SUM(DK27:DK50)</f>
        <v/>
      </c>
      <c r="DL51" s="13">
        <f>IF(COUNT(DL27,DL28,DL29,DL30,DL31,DL32,DL42,DL43,DL44,DL49,DL50)=0,"",SUM(DL27:DL50))</f>
        <v/>
      </c>
      <c r="DM51" s="13">
        <f>SUM(DM27:DM50)</f>
        <v/>
      </c>
      <c r="DN51" s="13">
        <f>SUM(DN27:DN50)</f>
        <v/>
      </c>
    </row>
    <row r="52">
      <c r="A52" s="2" t="inlineStr">
        <is>
          <t>Headcount</t>
        </is>
      </c>
      <c r="B52" s="21">
        <f>IF(K52&lt;&gt;"",K52,IF(N52&lt;&gt;"",N52,IF(Q52&lt;&gt;"",Q52,IF(T52&lt;&gt;"",T52,IF(W52&lt;&gt;"",W52,IF(Z52&lt;&gt;"",Z52,IF(AC52&lt;&gt;"",AC52,IF(AF52&lt;&gt;"",AF52,IF(AI52&lt;&gt;"",AI52,IF(AL52&lt;&gt;"",AL52,IF(AO52&lt;&gt;"",AO52,IF(AR52&lt;&gt;"",AR52,""))))))))))))</f>
        <v/>
      </c>
      <c r="C52" s="21">
        <f>IF(L52&lt;&gt;"",L52,IF(O52&lt;&gt;"",O52,IF(R52&lt;&gt;"",R52,IF(U52&lt;&gt;"",U52,IF(X52&lt;&gt;"",X52,IF(AA52&lt;&gt;"",AA52,IF(AD52&lt;&gt;"",AD52,IF(AG52&lt;&gt;"",AG52,IF(AJ52&lt;&gt;"",AJ52,IF(AM52&lt;&gt;"",AM52,IF(AP52&lt;&gt;"",AP52,IF(AS52&lt;&gt;"",AS52,""))))))))))))</f>
        <v/>
      </c>
      <c r="D52" s="21">
        <f>IF(M52&lt;&gt;"",M52,IF(P52&lt;&gt;"",P52,IF(S52&lt;&gt;"",S52,IF(V52&lt;&gt;"",V52,IF(Y52&lt;&gt;"",Y52,IF(AB52&lt;&gt;"",AB52,IF(AE52&lt;&gt;"",AE52,IF(AH52&lt;&gt;"",AH52,IF(AK52&lt;&gt;"",AK52,IF(AN52&lt;&gt;"",AN52,IF(AQ52&lt;&gt;"",AQ52,IF(AT52&lt;&gt;"",AT52,""))))))))))))</f>
        <v/>
      </c>
      <c r="E52" s="2">
        <f>IF(AU52&lt;&gt;"",AU52,IF(AX52&lt;&gt;"",AX52,IF(BA52&lt;&gt;"",BA52,IF(BD52&lt;&gt;"",BD52,IF(BG52&lt;&gt;"",BG52,IF(BJ52&lt;&gt;"",BJ52,IF(BM52&lt;&gt;"",BM52,IF(BP52&lt;&gt;"",BP52,IF(BS52&lt;&gt;"",BS52,IF(BV52&lt;&gt;"",BV52,IF(BY52&lt;&gt;"",BY52,IF(CB52&lt;&gt;"",CB52,""))))))))))))</f>
        <v/>
      </c>
      <c r="F52" s="2">
        <f>IF(AV52&lt;&gt;"",AV52,IF(AY52&lt;&gt;"",AY52,IF(BB52&lt;&gt;"",BB52,IF(BE52&lt;&gt;"",BE52,IF(BH52&lt;&gt;"",BH52,IF(BK52&lt;&gt;"",BK52,IF(BN52&lt;&gt;"",BN52,IF(BQ52&lt;&gt;"",BQ52,IF(BT52&lt;&gt;"",BT52,IF(BW52&lt;&gt;"",BW52,IF(BZ52&lt;&gt;"",BZ52,IF(CC52&lt;&gt;"",CC52,""))))))))))))</f>
        <v/>
      </c>
      <c r="G52" s="2">
        <f>IF(AW52&lt;&gt;"",AW52,IF(AZ52&lt;&gt;"",AZ52,IF(BC52&lt;&gt;"",BC52,IF(BF52&lt;&gt;"",BF52,IF(BI52&lt;&gt;"",BI52,IF(BL52&lt;&gt;"",BL52,IF(BO52&lt;&gt;"",BO52,IF(BR52&lt;&gt;"",BR52,IF(BU52&lt;&gt;"",BU52,IF(BX52&lt;&gt;"",BX52,IF(CA52&lt;&gt;"",CA52,IF(CD52&lt;&gt;"",CD52,""))))))))))))</f>
        <v/>
      </c>
      <c r="H52" s="21">
        <f>IF(CE52&lt;&gt;"",CE52,IF(CH52&lt;&gt;"",CH52,IF(CK52&lt;&gt;"",CK52,IF(CN52&lt;&gt;"",CN52,IF(CQ52&lt;&gt;"",CQ52,IF(CT52&lt;&gt;"",CT52,IF(CW52&lt;&gt;"",CW52,IF(CZ52&lt;&gt;"",CZ52,IF(DC52&lt;&gt;"",DC52,IF(DF52&lt;&gt;"",DF52,IF(DI52&lt;&gt;"",DI52,IF(DL52&lt;&gt;"",DL52,""))))))))))))</f>
        <v/>
      </c>
      <c r="I52" s="21">
        <f>IF(CF52&lt;&gt;"",CF52,IF(CI52&lt;&gt;"",CI52,IF(CL52&lt;&gt;"",CL52,IF(CO52&lt;&gt;"",CO52,IF(CR52&lt;&gt;"",CR52,IF(CU52&lt;&gt;"",CU52,IF(CX52&lt;&gt;"",CX52,IF(DA52&lt;&gt;"",DA52,IF(DD52&lt;&gt;"",DD52,IF(DG52&lt;&gt;"",DG52,IF(DJ52&lt;&gt;"",DJ52,IF(DM52&lt;&gt;"",DM52,""))))))))))))</f>
        <v/>
      </c>
      <c r="J52" s="21">
        <f>IF(CG52&lt;&gt;"",CG52,IF(CJ52&lt;&gt;"",CJ52,IF(CM52&lt;&gt;"",CM52,IF(CP52&lt;&gt;"",CP52,IF(CS52&lt;&gt;"",CS52,IF(CV52&lt;&gt;"",CV52,IF(CY52&lt;&gt;"",CY52,IF(DB52&lt;&gt;"",DB52,IF(DE52&lt;&gt;"",DE52,IF(DH52&lt;&gt;"",DH52,IF(DK52&lt;&gt;"",DK52,IF(DN52&lt;&gt;"",DN52,""))))))))))))</f>
        <v/>
      </c>
      <c r="K52" s="2">
        <f>IF(COUNT(K27,K28,K29,K30,K31,K32,K33,K34,K35,K36,K37,K38,K39,K40,K41,K42,K43,K44,K45,K46,K47,K48,K49,K50)=0,"",COUNT(K27:K50))</f>
        <v/>
      </c>
      <c r="L52" s="2">
        <f>COUNT(L27:L50)</f>
        <v/>
      </c>
      <c r="M52" s="2">
        <f>COUNT(M27:M50)</f>
        <v/>
      </c>
      <c r="N52" s="21">
        <f>IF(COUNT(N27,N28,N29,N30,N31,N32,N33,N34,N35,N36,N37,N38,N39,N40,N41,N42,N43,N44,N45,N46,N47,N48,N49,N50)=0,"",COUNT(N27:N50))</f>
        <v/>
      </c>
      <c r="O52" s="21">
        <f>COUNT(O27:O50)</f>
        <v/>
      </c>
      <c r="P52" s="21">
        <f>COUNT(P27:P50)</f>
        <v/>
      </c>
      <c r="Q52" s="2">
        <f>IF(COUNT(Q27,Q28,Q29,Q30,Q31,Q32,Q33,Q34,Q35,Q36,Q37,Q38,Q39,Q40,Q41,Q42,Q43,Q44,Q45,Q46,Q47,Q48,Q49,Q50)=0,"",COUNT(Q27:Q50))</f>
        <v/>
      </c>
      <c r="R52" s="2">
        <f>COUNT(R27:R50)</f>
        <v/>
      </c>
      <c r="S52" s="2">
        <f>COUNT(S27:S50)</f>
        <v/>
      </c>
      <c r="T52" s="21">
        <f>IF(COUNT(T27,T28,T29,T30,T31,T32,T33,T34,T35,T36,T37,T38,T39,T40,T41,T42,T43,T44,T45,T46,T47,T48,T49,T50)=0,"",COUNT(T27:T50))</f>
        <v/>
      </c>
      <c r="U52" s="21">
        <f>COUNT(U27:U50)</f>
        <v/>
      </c>
      <c r="V52" s="21">
        <f>COUNT(V27:V50)</f>
        <v/>
      </c>
      <c r="W52" s="2">
        <f>IF(COUNT(W27,W28,W29,W30,W31,W32,W33,W34,W35,W36,W37,W38,W39,W40,W41,W42,W43,W44,W45,W46,W47,W48,W49,W50)=0,"",COUNT(W27:W50))</f>
        <v/>
      </c>
      <c r="X52" s="2">
        <f>COUNT(X27:X50)</f>
        <v/>
      </c>
      <c r="Y52" s="2">
        <f>COUNT(Y27:Y50)</f>
        <v/>
      </c>
      <c r="Z52" s="21">
        <f>IF(COUNT(Z27,Z28,Z29,Z30,Z31,Z32,Z33,Z34,Z35,Z36,Z37,Z38,Z39,Z40,Z41,Z42,Z43,Z44,Z45,Z46,Z47,Z48,Z49,Z50)=0,"",COUNT(Z27:Z50))</f>
        <v/>
      </c>
      <c r="AA52" s="21">
        <f>COUNT(AA27:AA50)</f>
        <v/>
      </c>
      <c r="AB52" s="21">
        <f>COUNT(AB27:AB50)</f>
        <v/>
      </c>
      <c r="AC52" s="2">
        <f>IF(COUNT(AC27,AC28,AC29,AC30,AC31,AC32,AC33,AC34,AC36,AC37,AC38,AC39,AC40,AC41,AC42,AC43,AC44,AC45,AC46,AC47,AC48,AC49,AC50)=0,"",COUNT(AC27:AC50))</f>
        <v/>
      </c>
      <c r="AD52" s="2">
        <f>COUNT(AD27:AD50)</f>
        <v/>
      </c>
      <c r="AE52" s="2">
        <f>COUNT(AE27:AE50)</f>
        <v/>
      </c>
      <c r="AF52" s="21">
        <f>IF(COUNT(AF27,AF28,AF29,AF30,AF31,AF32,AF33,AF34,AF36,AF37,AF38,AF39,AF40,AF41,AF42,AF43,AF44,AF45,AF46,AF47,AF48,AF49,AF50)=0,"",COUNT(AF27:AF50))</f>
        <v/>
      </c>
      <c r="AG52" s="21">
        <f>COUNT(AG27:AG50)</f>
        <v/>
      </c>
      <c r="AH52" s="21">
        <f>COUNT(AH27:AH50)</f>
        <v/>
      </c>
      <c r="AI52" s="2">
        <f>IF(COUNT(AI27,AI28,AI29,AI30,AI31,AI32,AI33,AI34,AI36,AI37,AI38,AI39,AI40,AI41,AI42,AI43,AI44,AI45,AI46,AI47,AI48,AI49,AI50)=0,"",COUNT(AI27:AI50))</f>
        <v/>
      </c>
      <c r="AJ52" s="2">
        <f>COUNT(AJ27:AJ50)</f>
        <v/>
      </c>
      <c r="AK52" s="2">
        <f>COUNT(AK27:AK50)</f>
        <v/>
      </c>
      <c r="AL52" s="21">
        <f>IF(COUNT(AL27,AL28,AL29,AL30,AL31,AL32,AL33,AL34,AL36,AL37,AL38,AL39,AL41,AL42,AL43,AL44,AL45,AL46,AL47,AL48,AL49,AL50)=0,"",COUNT(AL27:AL50))</f>
        <v/>
      </c>
      <c r="AM52" s="21">
        <f>COUNT(AM27:AM50)</f>
        <v/>
      </c>
      <c r="AN52" s="21">
        <f>COUNT(AN27:AN50)</f>
        <v/>
      </c>
      <c r="AO52" s="2">
        <f>IF(COUNT(AO27,AO28,AO29,AO30,AO31,AO32,AO33,AO34,AO36,AO37,AO38,AO39,AO41,AO42,AO43,AO44,AO45,AO46,AO47,AO49,AO50)=0,"",COUNT(AO27:AO50))</f>
        <v/>
      </c>
      <c r="AP52" s="2">
        <f>COUNT(AP27:AP50)</f>
        <v/>
      </c>
      <c r="AQ52" s="2">
        <f>COUNT(AQ27:AQ50)</f>
        <v/>
      </c>
      <c r="AR52" s="21">
        <f>IF(COUNT(AR27,AR28,AR29,AR30,AR31,AR32,AR33,AR34,AR36,AR37,AR38,AR39,AR41,AR42,AR43,AR44,AR45,AR46,AR47,AR49,AR50)=0,"",COUNT(AR27:AR50))</f>
        <v/>
      </c>
      <c r="AS52" s="21">
        <f>COUNT(AS27:AS50)</f>
        <v/>
      </c>
      <c r="AT52" s="21">
        <f>COUNT(AT27:AT50)</f>
        <v/>
      </c>
      <c r="AU52" s="2">
        <f>IF(COUNT(AU27,AU28,AU29,AU30,AU31,AU32,AU33,AU34,AU36,AU37,AU38,AU41,AU42,AU43,AU44,AU45,AU46,AU47,AU49,AU50)=0,"",COUNT(AU27:AU50))</f>
        <v/>
      </c>
      <c r="AV52" s="2">
        <f>COUNT(AV27:AV50)</f>
        <v/>
      </c>
      <c r="AW52" s="2">
        <f>COUNT(AW27:AW50)</f>
        <v/>
      </c>
      <c r="AX52" s="21">
        <f>IF(COUNT(AX27,AX28,AX29,AX30,AX31,AX32,AX33,AX34,AX36,AX37,AX38,AX41,AX42,AX43,AX44,AX45,AX46,AX47,AX49,AX50)=0,"",COUNT(AX27:AX50))</f>
        <v/>
      </c>
      <c r="AY52" s="21">
        <f>COUNT(AY27:AY50)</f>
        <v/>
      </c>
      <c r="AZ52" s="21">
        <f>COUNT(AZ27:AZ50)</f>
        <v/>
      </c>
      <c r="BA52" s="2">
        <f>IF(COUNT(BA27,BA28,BA29,BA30,BA31,BA32,BA33,BA34,BA36,BA37,BA38,BA41,BA42,BA43,BA44,BA45,BA46,BA49,BA50)=0,"",COUNT(BA27:BA50))</f>
        <v/>
      </c>
      <c r="BB52" s="2">
        <f>COUNT(BB27:BB50)</f>
        <v/>
      </c>
      <c r="BC52" s="2">
        <f>COUNT(BC27:BC50)</f>
        <v/>
      </c>
      <c r="BD52" s="21">
        <f>IF(COUNT(BD27,BD28,BD29,BD30,BD31,BD32,BD33,BD34,BD36,BD37,BD41,BD42,BD43,BD44,BD45,BD46,BD49,BD50)=0,"",COUNT(BD27:BD50))</f>
        <v/>
      </c>
      <c r="BE52" s="21">
        <f>COUNT(BE27:BE50)</f>
        <v/>
      </c>
      <c r="BF52" s="21">
        <f>COUNT(BF27:BF50)</f>
        <v/>
      </c>
      <c r="BG52" s="2">
        <f>IF(COUNT(BG27,BG28,BG29,BG30,BG31,BG32,BG33,BG34,BG36,BG37,BG41,BG42,BG43,BG44,BG45,BG46,BG49,BG50)=0,"",COUNT(BG27:BG50))</f>
        <v/>
      </c>
      <c r="BH52" s="2">
        <f>COUNT(BH27:BH50)</f>
        <v/>
      </c>
      <c r="BI52" s="2">
        <f>COUNT(BI27:BI50)</f>
        <v/>
      </c>
      <c r="BJ52" s="21">
        <f>IF(COUNT(BJ27,BJ28,BJ29,BJ30,BJ31,BJ32,BJ33,BJ34,BJ36,BJ37,BJ42,BJ43,BJ44,BJ45,BJ46,BJ49,BJ50)=0,"",COUNT(BJ27:BJ50))</f>
        <v/>
      </c>
      <c r="BK52" s="21">
        <f>COUNT(BK27:BK50)</f>
        <v/>
      </c>
      <c r="BL52" s="21">
        <f>COUNT(BL27:BL50)</f>
        <v/>
      </c>
      <c r="BM52" s="2">
        <f>IF(COUNT(BM27,BM28,BM29,BM30,BM31,BM32,BM33,BM34,BM36,BM37,BM42,BM43,BM44,BM46,BM49,BM50)=0,"",COUNT(BM27:BM50))</f>
        <v/>
      </c>
      <c r="BN52" s="2">
        <f>COUNT(BN27:BN50)</f>
        <v/>
      </c>
      <c r="BO52" s="2">
        <f>COUNT(BO27:BO50)</f>
        <v/>
      </c>
      <c r="BP52" s="21">
        <f>IF(COUNT(BP27,BP28,BP29,BP30,BP31,BP32,BP33,BP34,BP36,BP37,BP42,BP43,BP44,BP46,BP49,BP50)=0,"",COUNT(BP27:BP50))</f>
        <v/>
      </c>
      <c r="BQ52" s="21">
        <f>COUNT(BQ27:BQ50)</f>
        <v/>
      </c>
      <c r="BR52" s="21">
        <f>COUNT(BR27:BR50)</f>
        <v/>
      </c>
      <c r="BS52" s="2">
        <f>IF(COUNT(BS27,BS28,BS29,BS30,BS31,BS32,BS33,BS34,BS36,BS37,BS42,BS43,BS44,BS46,BS49,BS50)=0,"",COUNT(BS27:BS50))</f>
        <v/>
      </c>
      <c r="BT52" s="2">
        <f>COUNT(BT27:BT50)</f>
        <v/>
      </c>
      <c r="BU52" s="2">
        <f>COUNT(BU27:BU50)</f>
        <v/>
      </c>
      <c r="BV52" s="21">
        <f>IF(COUNT(BV27,BV28,BV29,BV30,BV31,BV32,BV33,BV34,BV36,BV42,BV43,BV44,BV46,BV49,BV50)=0,"",COUNT(BV27:BV50))</f>
        <v/>
      </c>
      <c r="BW52" s="21">
        <f>COUNT(BW27:BW50)</f>
        <v/>
      </c>
      <c r="BX52" s="21">
        <f>COUNT(BX27:BX50)</f>
        <v/>
      </c>
      <c r="BY52" s="2">
        <f>IF(COUNT(BY27,BY28,BY29,BY30,BY31,BY32,BY33,BY34,BY36,BY42,BY43,BY44,BY49,BY50)=0,"",COUNT(BY27:BY50))</f>
        <v/>
      </c>
      <c r="BZ52" s="2">
        <f>COUNT(BZ27:BZ50)</f>
        <v/>
      </c>
      <c r="CA52" s="2">
        <f>COUNT(CA27:CA50)</f>
        <v/>
      </c>
      <c r="CB52" s="21">
        <f>IF(COUNT(CB27,CB28,CB29,CB30,CB31,CB32,CB33,CB34,CB42,CB43,CB44,CB49,CB50)=0,"",COUNT(CB27:CB50))</f>
        <v/>
      </c>
      <c r="CC52" s="21">
        <f>COUNT(CC27:CC50)</f>
        <v/>
      </c>
      <c r="CD52" s="21">
        <f>COUNT(CD27:CD50)</f>
        <v/>
      </c>
      <c r="CE52" s="2">
        <f>IF(COUNT(CE27,CE28,CE29,CE30,CE31,CE32,CE33,CE42,CE43,CE44,CE49,CE50)=0,"",COUNT(CE27:CE50))</f>
        <v/>
      </c>
      <c r="CF52" s="2">
        <f>COUNT(CF27:CF50)</f>
        <v/>
      </c>
      <c r="CG52" s="2">
        <f>COUNT(CG27:CG50)</f>
        <v/>
      </c>
      <c r="CH52" s="21">
        <f>IF(COUNT(CH27,CH28,CH29,CH30,CH31,CH32,CH33,CH42,CH43,CH44,CH49,CH50)=0,"",COUNT(CH27:CH50))</f>
        <v/>
      </c>
      <c r="CI52" s="21">
        <f>COUNT(CI27:CI50)</f>
        <v/>
      </c>
      <c r="CJ52" s="21">
        <f>COUNT(CJ27:CJ50)</f>
        <v/>
      </c>
      <c r="CK52" s="2">
        <f>IF(COUNT(CK27,CK28,CK29,CK30,CK31,CK32,CK33,CK42,CK43,CK44,CK49,CK50)=0,"",COUNT(CK27:CK50))</f>
        <v/>
      </c>
      <c r="CL52" s="2">
        <f>COUNT(CL27:CL50)</f>
        <v/>
      </c>
      <c r="CM52" s="2">
        <f>COUNT(CM27:CM50)</f>
        <v/>
      </c>
      <c r="CN52" s="21">
        <f>IF(COUNT(CN27,CN28,CN29,CN30,CN31,CN32,CN33,CN42,CN43,CN44,CN49,CN50)=0,"",COUNT(CN27:CN50))</f>
        <v/>
      </c>
      <c r="CO52" s="21">
        <f>COUNT(CO27:CO50)</f>
        <v/>
      </c>
      <c r="CP52" s="21">
        <f>COUNT(CP27:CP50)</f>
        <v/>
      </c>
      <c r="CQ52" s="2">
        <f>IF(COUNT(CQ27,CQ28,CQ29,CQ30,CQ31,CQ32,CQ33,CQ42,CQ43,CQ44,CQ49,CQ50)=0,"",COUNT(CQ27:CQ50))</f>
        <v/>
      </c>
      <c r="CR52" s="2">
        <f>COUNT(CR27:CR50)</f>
        <v/>
      </c>
      <c r="CS52" s="2">
        <f>COUNT(CS27:CS50)</f>
        <v/>
      </c>
      <c r="CT52" s="21">
        <f>IF(COUNT(CT27,CT28,CT29,CT30,CT31,CT32,CT33,CT42,CT43,CT44,CT49,CT50)=0,"",COUNT(CT27:CT50))</f>
        <v/>
      </c>
      <c r="CU52" s="21">
        <f>COUNT(CU27:CU50)</f>
        <v/>
      </c>
      <c r="CV52" s="21">
        <f>COUNT(CV27:CV50)</f>
        <v/>
      </c>
      <c r="CW52" s="2">
        <f>IF(COUNT(CW27,CW28,CW29,CW30,CW31,CW32,CW42,CW43,CW44,CW49,CW50)=0,"",COUNT(CW27:CW50))</f>
        <v/>
      </c>
      <c r="CX52" s="2">
        <f>COUNT(CX27:CX50)</f>
        <v/>
      </c>
      <c r="CY52" s="2">
        <f>COUNT(CY27:CY50)</f>
        <v/>
      </c>
      <c r="CZ52" s="21">
        <f>IF(COUNT(CZ27,CZ28,CZ29,CZ30,CZ31,CZ32,CZ42,CZ43,CZ44,CZ49,CZ50)=0,"",COUNT(CZ27:CZ50))</f>
        <v/>
      </c>
      <c r="DA52" s="21">
        <f>COUNT(DA27:DA50)</f>
        <v/>
      </c>
      <c r="DB52" s="21">
        <f>COUNT(DB27:DB50)</f>
        <v/>
      </c>
      <c r="DC52" s="2">
        <f>IF(COUNT(DC27,DC28,DC29,DC30,DC31,DC32,DC42,DC43,DC44,DC49,DC50)=0,"",COUNT(DC27:DC50))</f>
        <v/>
      </c>
      <c r="DD52" s="2">
        <f>COUNT(DD27:DD50)</f>
        <v/>
      </c>
      <c r="DE52" s="2">
        <f>COUNT(DE27:DE50)</f>
        <v/>
      </c>
      <c r="DF52" s="21">
        <f>IF(COUNT(DF27,DF28,DF29,DF30,DF31,DF32,DF42,DF43,DF44,DF49,DF50)=0,"",COUNT(DF27:DF50))</f>
        <v/>
      </c>
      <c r="DG52" s="21">
        <f>COUNT(DG27:DG50)</f>
        <v/>
      </c>
      <c r="DH52" s="21">
        <f>COUNT(DH27:DH50)</f>
        <v/>
      </c>
      <c r="DI52" s="2">
        <f>IF(COUNT(DI27,DI28,DI29,DI30,DI31,DI32,DI42,DI43,DI44,DI49,DI50)=0,"",COUNT(DI27:DI50))</f>
        <v/>
      </c>
      <c r="DJ52" s="2">
        <f>COUNT(DJ27:DJ50)</f>
        <v/>
      </c>
      <c r="DK52" s="2">
        <f>COUNT(DK27:DK50)</f>
        <v/>
      </c>
      <c r="DL52" s="21">
        <f>IF(COUNT(DL27,DL28,DL29,DL30,DL31,DL32,DL42,DL43,DL44,DL49,DL50)=0,"",COUNT(DL27:DL50))</f>
        <v/>
      </c>
      <c r="DM52" s="21">
        <f>COUNT(DM27:DM50)</f>
        <v/>
      </c>
      <c r="DN52" s="21">
        <f>COUNT(DN27:DN50)</f>
        <v/>
      </c>
    </row>
    <row r="53"/>
    <row r="54"/>
    <row r="55"/>
    <row r="56"/>
    <row r="57"/>
    <row r="58"/>
    <row r="59"/>
    <row r="60">
      <c r="A60" s="2" t="inlineStr">
        <is>
          <t>Opening contract value</t>
        </is>
      </c>
      <c r="B60" s="23" t="n">
        <v>1200</v>
      </c>
    </row>
    <row r="61">
      <c r="A61" s="2" t="inlineStr">
        <is>
          <t>Accepted leads per month before the model opens</t>
        </is>
      </c>
      <c r="B61" s="42" t="n">
        <v>74</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N48"/>
  <sheetViews>
    <sheetView workbookViewId="0">
      <pane xSplit="10" ySplit="2" topLeftCell="K3"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s>
  <sheetData>
    <row r="1">
      <c r="B1" s="4">
        <f>"FY"&amp;YEAR(K$1)</f>
        <v/>
      </c>
      <c r="C1" s="4" t="n"/>
      <c r="D1" s="4" t="n"/>
      <c r="E1" s="5">
        <f>"FY"&amp;YEAR(AU$1)</f>
        <v/>
      </c>
      <c r="F1" s="5" t="n"/>
      <c r="G1" s="5" t="n"/>
      <c r="H1" s="4">
        <f>"FY"&amp;YEAR(CE$1)</f>
        <v/>
      </c>
      <c r="I1" s="4" t="n"/>
      <c r="J1" s="4" t="n"/>
      <c r="K1" s="6">
        <f>EOMONTH(N$1,1)</f>
        <v/>
      </c>
      <c r="L1" s="5" t="n"/>
      <c r="M1" s="5" t="n"/>
      <c r="N1" s="7">
        <f>EOMONTH(Q$1,1)</f>
        <v/>
      </c>
      <c r="O1" s="4" t="n"/>
      <c r="P1" s="4" t="n"/>
      <c r="Q1" s="6">
        <f>EOMONTH(T$1,1)</f>
        <v/>
      </c>
      <c r="R1" s="5" t="n"/>
      <c r="S1" s="5" t="n"/>
      <c r="T1" s="7">
        <f>EOMONTH(W$1,1)</f>
        <v/>
      </c>
      <c r="U1" s="4" t="n"/>
      <c r="V1" s="4" t="n"/>
      <c r="W1" s="6">
        <f>EOMONTH(Z$1,1)</f>
        <v/>
      </c>
      <c r="X1" s="5" t="n"/>
      <c r="Y1" s="5" t="n"/>
      <c r="Z1" s="7">
        <f>EOMONTH(AC$1,1)</f>
        <v/>
      </c>
      <c r="AA1" s="4" t="n"/>
      <c r="AB1" s="4" t="n"/>
      <c r="AC1" s="6">
        <f>EOMONTH(AF$1,1)</f>
        <v/>
      </c>
      <c r="AD1" s="5" t="n"/>
      <c r="AE1" s="5" t="n"/>
      <c r="AF1" s="7">
        <f>EOMONTH(AI$1,1)</f>
        <v/>
      </c>
      <c r="AG1" s="4" t="n"/>
      <c r="AH1" s="4" t="n"/>
      <c r="AI1" s="6">
        <f>EOMONTH(AL$1,1)</f>
        <v/>
      </c>
      <c r="AJ1" s="5" t="n"/>
      <c r="AK1" s="5" t="n"/>
      <c r="AL1" s="7">
        <f>EOMONTH(AO$1,1)</f>
        <v/>
      </c>
      <c r="AM1" s="4" t="n"/>
      <c r="AN1" s="4" t="n"/>
      <c r="AO1" s="6">
        <f>EOMONTH(AR$1,1)</f>
        <v/>
      </c>
      <c r="AP1" s="5" t="n"/>
      <c r="AQ1" s="5" t="n"/>
      <c r="AR1" s="7">
        <f>EOMONTH(AU$1,1)</f>
        <v/>
      </c>
      <c r="AS1" s="4" t="n"/>
      <c r="AT1" s="4" t="n"/>
      <c r="AU1" s="6">
        <f>EOMONTH(AX$1,1)</f>
        <v/>
      </c>
      <c r="AV1" s="5" t="n"/>
      <c r="AW1" s="5" t="n"/>
      <c r="AX1" s="7">
        <f>EOMONTH(BA$1,1)</f>
        <v/>
      </c>
      <c r="AY1" s="4" t="n"/>
      <c r="AZ1" s="4" t="n"/>
      <c r="BA1" s="6">
        <f>EOMONTH(BD$1,1)</f>
        <v/>
      </c>
      <c r="BB1" s="5" t="n"/>
      <c r="BC1" s="5" t="n"/>
      <c r="BD1" s="7">
        <f>EOMONTH(BG$1,1)</f>
        <v/>
      </c>
      <c r="BE1" s="4" t="n"/>
      <c r="BF1" s="4" t="n"/>
      <c r="BG1" s="6">
        <f>EOMONTH(BJ$1,1)</f>
        <v/>
      </c>
      <c r="BH1" s="5" t="n"/>
      <c r="BI1" s="5" t="n"/>
      <c r="BJ1" s="7">
        <f>EOMONTH(BM$1,1)</f>
        <v/>
      </c>
      <c r="BK1" s="4" t="n"/>
      <c r="BL1" s="4" t="n"/>
      <c r="BM1" s="6">
        <f>EOMONTH(BP$1,1)</f>
        <v/>
      </c>
      <c r="BN1" s="5" t="n"/>
      <c r="BO1" s="5" t="n"/>
      <c r="BP1" s="7">
        <f>EOMONTH(BS$1,1)</f>
        <v/>
      </c>
      <c r="BQ1" s="4" t="n"/>
      <c r="BR1" s="4" t="n"/>
      <c r="BS1" s="6">
        <f>EOMONTH(BV$1,1)</f>
        <v/>
      </c>
      <c r="BT1" s="5" t="n"/>
      <c r="BU1" s="5" t="n"/>
      <c r="BV1" s="7">
        <f>EOMONTH(BY$1,1)</f>
        <v/>
      </c>
      <c r="BW1" s="4" t="n"/>
      <c r="BX1" s="4" t="n"/>
      <c r="BY1" s="6">
        <f>EOMONTH(CB$1,1)</f>
        <v/>
      </c>
      <c r="BZ1" s="5" t="n"/>
      <c r="CA1" s="5" t="n"/>
      <c r="CB1" s="7">
        <f>EOMONTH(CE$1,1)</f>
        <v/>
      </c>
      <c r="CC1" s="4" t="n"/>
      <c r="CD1" s="4" t="n"/>
      <c r="CE1" s="6">
        <f>EOMONTH(CH$1,1)</f>
        <v/>
      </c>
      <c r="CF1" s="5" t="n"/>
      <c r="CG1" s="5" t="n"/>
      <c r="CH1" s="7">
        <f>EOMONTH(CK$1,1)</f>
        <v/>
      </c>
      <c r="CI1" s="4" t="n"/>
      <c r="CJ1" s="4" t="n"/>
      <c r="CK1" s="6">
        <f>EOMONTH(CN$1,1)</f>
        <v/>
      </c>
      <c r="CL1" s="5" t="n"/>
      <c r="CM1" s="5" t="n"/>
      <c r="CN1" s="7">
        <f>EOMONTH(CQ$1,1)</f>
        <v/>
      </c>
      <c r="CO1" s="4" t="n"/>
      <c r="CP1" s="4" t="n"/>
      <c r="CQ1" s="6">
        <f>EOMONTH(CT$1,1)</f>
        <v/>
      </c>
      <c r="CR1" s="5" t="n"/>
      <c r="CS1" s="5" t="n"/>
      <c r="CT1" s="7">
        <f>EOMONTH(CW$1,1)</f>
        <v/>
      </c>
      <c r="CU1" s="4" t="n"/>
      <c r="CV1" s="4" t="n"/>
      <c r="CW1" s="6">
        <f>EOMONTH(CZ$1,1)</f>
        <v/>
      </c>
      <c r="CX1" s="5" t="n"/>
      <c r="CY1" s="5" t="n"/>
      <c r="CZ1" s="7">
        <f>EOMONTH(DC$1,1)</f>
        <v/>
      </c>
      <c r="DA1" s="4" t="n"/>
      <c r="DB1" s="4" t="n"/>
      <c r="DC1" s="6">
        <f>EOMONTH(DF$1,1)</f>
        <v/>
      </c>
      <c r="DD1" s="5" t="n"/>
      <c r="DE1" s="5" t="n"/>
      <c r="DF1" s="7">
        <f>EOMONTH(DI$1,1)</f>
        <v/>
      </c>
      <c r="DG1" s="4" t="n"/>
      <c r="DH1" s="4" t="n"/>
      <c r="DI1" s="6">
        <f>EOMONTH(DL$1,1)</f>
        <v/>
      </c>
      <c r="DJ1" s="5" t="n"/>
      <c r="DK1" s="5" t="n"/>
      <c r="DL1" s="7">
        <f>Finance!$B$61</f>
        <v/>
      </c>
      <c r="DM1" s="4" t="n"/>
      <c r="DN1" s="4" t="n"/>
    </row>
    <row r="2">
      <c r="A2" s="8" t="n"/>
      <c r="B2" s="9" t="inlineStr">
        <is>
          <t>Actual</t>
        </is>
      </c>
      <c r="C2" s="9" t="inlineStr">
        <is>
          <t>Rolling</t>
        </is>
      </c>
      <c r="D2" s="9" t="inlineStr">
        <is>
          <t>Approved</t>
        </is>
      </c>
      <c r="E2" s="8" t="inlineStr">
        <is>
          <t>Actual</t>
        </is>
      </c>
      <c r="F2" s="8" t="inlineStr">
        <is>
          <t>Rolling</t>
        </is>
      </c>
      <c r="G2" s="8" t="inlineStr">
        <is>
          <t>Approved</t>
        </is>
      </c>
      <c r="H2" s="9" t="inlineStr">
        <is>
          <t>Actual</t>
        </is>
      </c>
      <c r="I2" s="9" t="inlineStr">
        <is>
          <t>Rolling</t>
        </is>
      </c>
      <c r="J2" s="9" t="inlineStr">
        <is>
          <t>Approved</t>
        </is>
      </c>
      <c r="K2" s="8" t="inlineStr">
        <is>
          <t>Actual</t>
        </is>
      </c>
      <c r="L2" s="8" t="inlineStr">
        <is>
          <t>Rolling</t>
        </is>
      </c>
      <c r="M2" s="8" t="inlineStr">
        <is>
          <t>Approved</t>
        </is>
      </c>
      <c r="N2" s="9" t="inlineStr">
        <is>
          <t>Actual</t>
        </is>
      </c>
      <c r="O2" s="9" t="inlineStr">
        <is>
          <t>Rolling</t>
        </is>
      </c>
      <c r="P2" s="9" t="inlineStr">
        <is>
          <t>Approved</t>
        </is>
      </c>
      <c r="Q2" s="8" t="inlineStr">
        <is>
          <t>Actual</t>
        </is>
      </c>
      <c r="R2" s="8" t="inlineStr">
        <is>
          <t>Rolling</t>
        </is>
      </c>
      <c r="S2" s="8" t="inlineStr">
        <is>
          <t>Approved</t>
        </is>
      </c>
      <c r="T2" s="9" t="inlineStr">
        <is>
          <t>Actual</t>
        </is>
      </c>
      <c r="U2" s="9" t="inlineStr">
        <is>
          <t>Rolling</t>
        </is>
      </c>
      <c r="V2" s="9" t="inlineStr">
        <is>
          <t>Approved</t>
        </is>
      </c>
      <c r="W2" s="8" t="inlineStr">
        <is>
          <t>Actual</t>
        </is>
      </c>
      <c r="X2" s="8" t="inlineStr">
        <is>
          <t>Rolling</t>
        </is>
      </c>
      <c r="Y2" s="8" t="inlineStr">
        <is>
          <t>Approved</t>
        </is>
      </c>
      <c r="Z2" s="9" t="inlineStr">
        <is>
          <t>Actual</t>
        </is>
      </c>
      <c r="AA2" s="9" t="inlineStr">
        <is>
          <t>Rolling</t>
        </is>
      </c>
      <c r="AB2" s="9" t="inlineStr">
        <is>
          <t>Approved</t>
        </is>
      </c>
      <c r="AC2" s="8" t="inlineStr">
        <is>
          <t>Actual</t>
        </is>
      </c>
      <c r="AD2" s="8" t="inlineStr">
        <is>
          <t>Rolling</t>
        </is>
      </c>
      <c r="AE2" s="8" t="inlineStr">
        <is>
          <t>Approved</t>
        </is>
      </c>
      <c r="AF2" s="9" t="inlineStr">
        <is>
          <t>Actual</t>
        </is>
      </c>
      <c r="AG2" s="9" t="inlineStr">
        <is>
          <t>Rolling</t>
        </is>
      </c>
      <c r="AH2" s="9" t="inlineStr">
        <is>
          <t>Approved</t>
        </is>
      </c>
      <c r="AI2" s="8" t="inlineStr">
        <is>
          <t>Actual</t>
        </is>
      </c>
      <c r="AJ2" s="8" t="inlineStr">
        <is>
          <t>Rolling</t>
        </is>
      </c>
      <c r="AK2" s="8" t="inlineStr">
        <is>
          <t>Approved</t>
        </is>
      </c>
      <c r="AL2" s="9" t="inlineStr">
        <is>
          <t>Actual</t>
        </is>
      </c>
      <c r="AM2" s="9" t="inlineStr">
        <is>
          <t>Rolling</t>
        </is>
      </c>
      <c r="AN2" s="9" t="inlineStr">
        <is>
          <t>Approved</t>
        </is>
      </c>
      <c r="AO2" s="8" t="inlineStr">
        <is>
          <t>Actual</t>
        </is>
      </c>
      <c r="AP2" s="8" t="inlineStr">
        <is>
          <t>Rolling</t>
        </is>
      </c>
      <c r="AQ2" s="8" t="inlineStr">
        <is>
          <t>Approved</t>
        </is>
      </c>
      <c r="AR2" s="9" t="inlineStr">
        <is>
          <t>Actual</t>
        </is>
      </c>
      <c r="AS2" s="9" t="inlineStr">
        <is>
          <t>Rolling</t>
        </is>
      </c>
      <c r="AT2" s="9" t="inlineStr">
        <is>
          <t>Approved</t>
        </is>
      </c>
      <c r="AU2" s="8" t="inlineStr">
        <is>
          <t>Actual</t>
        </is>
      </c>
      <c r="AV2" s="8" t="inlineStr">
        <is>
          <t>Rolling</t>
        </is>
      </c>
      <c r="AW2" s="8" t="inlineStr">
        <is>
          <t>Approved</t>
        </is>
      </c>
      <c r="AX2" s="9" t="inlineStr">
        <is>
          <t>Actual</t>
        </is>
      </c>
      <c r="AY2" s="9" t="inlineStr">
        <is>
          <t>Rolling</t>
        </is>
      </c>
      <c r="AZ2" s="9" t="inlineStr">
        <is>
          <t>Approved</t>
        </is>
      </c>
      <c r="BA2" s="8" t="inlineStr">
        <is>
          <t>Actual</t>
        </is>
      </c>
      <c r="BB2" s="8" t="inlineStr">
        <is>
          <t>Rolling</t>
        </is>
      </c>
      <c r="BC2" s="8" t="inlineStr">
        <is>
          <t>Approved</t>
        </is>
      </c>
      <c r="BD2" s="9" t="inlineStr">
        <is>
          <t>Actual</t>
        </is>
      </c>
      <c r="BE2" s="9" t="inlineStr">
        <is>
          <t>Rolling</t>
        </is>
      </c>
      <c r="BF2" s="9" t="inlineStr">
        <is>
          <t>Approved</t>
        </is>
      </c>
      <c r="BG2" s="8" t="inlineStr">
        <is>
          <t>Actual</t>
        </is>
      </c>
      <c r="BH2" s="8" t="inlineStr">
        <is>
          <t>Rolling</t>
        </is>
      </c>
      <c r="BI2" s="8" t="inlineStr">
        <is>
          <t>Approved</t>
        </is>
      </c>
      <c r="BJ2" s="9" t="inlineStr">
        <is>
          <t>Actual</t>
        </is>
      </c>
      <c r="BK2" s="9" t="inlineStr">
        <is>
          <t>Rolling</t>
        </is>
      </c>
      <c r="BL2" s="9" t="inlineStr">
        <is>
          <t>Approved</t>
        </is>
      </c>
      <c r="BM2" s="8" t="inlineStr">
        <is>
          <t>Actual</t>
        </is>
      </c>
      <c r="BN2" s="8" t="inlineStr">
        <is>
          <t>Rolling</t>
        </is>
      </c>
      <c r="BO2" s="8" t="inlineStr">
        <is>
          <t>Approved</t>
        </is>
      </c>
      <c r="BP2" s="9" t="inlineStr">
        <is>
          <t>Actual</t>
        </is>
      </c>
      <c r="BQ2" s="9" t="inlineStr">
        <is>
          <t>Rolling</t>
        </is>
      </c>
      <c r="BR2" s="9" t="inlineStr">
        <is>
          <t>Approved</t>
        </is>
      </c>
      <c r="BS2" s="8" t="inlineStr">
        <is>
          <t>Actual</t>
        </is>
      </c>
      <c r="BT2" s="8" t="inlineStr">
        <is>
          <t>Rolling</t>
        </is>
      </c>
      <c r="BU2" s="8" t="inlineStr">
        <is>
          <t>Approved</t>
        </is>
      </c>
      <c r="BV2" s="9" t="inlineStr">
        <is>
          <t>Actual</t>
        </is>
      </c>
      <c r="BW2" s="9" t="inlineStr">
        <is>
          <t>Rolling</t>
        </is>
      </c>
      <c r="BX2" s="9" t="inlineStr">
        <is>
          <t>Approved</t>
        </is>
      </c>
      <c r="BY2" s="8" t="inlineStr">
        <is>
          <t>Actual</t>
        </is>
      </c>
      <c r="BZ2" s="8" t="inlineStr">
        <is>
          <t>Rolling</t>
        </is>
      </c>
      <c r="CA2" s="8" t="inlineStr">
        <is>
          <t>Approved</t>
        </is>
      </c>
      <c r="CB2" s="9" t="inlineStr">
        <is>
          <t>Actual</t>
        </is>
      </c>
      <c r="CC2" s="9" t="inlineStr">
        <is>
          <t>Rolling</t>
        </is>
      </c>
      <c r="CD2" s="9" t="inlineStr">
        <is>
          <t>Approved</t>
        </is>
      </c>
      <c r="CE2" s="8" t="inlineStr">
        <is>
          <t>Actual</t>
        </is>
      </c>
      <c r="CF2" s="8" t="inlineStr">
        <is>
          <t>Rolling</t>
        </is>
      </c>
      <c r="CG2" s="8" t="inlineStr">
        <is>
          <t>Approved</t>
        </is>
      </c>
      <c r="CH2" s="9" t="inlineStr">
        <is>
          <t>Actual</t>
        </is>
      </c>
      <c r="CI2" s="9" t="inlineStr">
        <is>
          <t>Rolling</t>
        </is>
      </c>
      <c r="CJ2" s="9" t="inlineStr">
        <is>
          <t>Approved</t>
        </is>
      </c>
      <c r="CK2" s="8" t="inlineStr">
        <is>
          <t>Actual</t>
        </is>
      </c>
      <c r="CL2" s="8" t="inlineStr">
        <is>
          <t>Rolling</t>
        </is>
      </c>
      <c r="CM2" s="8" t="inlineStr">
        <is>
          <t>Approved</t>
        </is>
      </c>
      <c r="CN2" s="9" t="inlineStr">
        <is>
          <t>Actual</t>
        </is>
      </c>
      <c r="CO2" s="9" t="inlineStr">
        <is>
          <t>Rolling</t>
        </is>
      </c>
      <c r="CP2" s="9" t="inlineStr">
        <is>
          <t>Approved</t>
        </is>
      </c>
      <c r="CQ2" s="8" t="inlineStr">
        <is>
          <t>Actual</t>
        </is>
      </c>
      <c r="CR2" s="8" t="inlineStr">
        <is>
          <t>Rolling</t>
        </is>
      </c>
      <c r="CS2" s="8" t="inlineStr">
        <is>
          <t>Approved</t>
        </is>
      </c>
      <c r="CT2" s="9" t="inlineStr">
        <is>
          <t>Actual</t>
        </is>
      </c>
      <c r="CU2" s="9" t="inlineStr">
        <is>
          <t>Rolling</t>
        </is>
      </c>
      <c r="CV2" s="9" t="inlineStr">
        <is>
          <t>Approved</t>
        </is>
      </c>
      <c r="CW2" s="8" t="inlineStr">
        <is>
          <t>Actual</t>
        </is>
      </c>
      <c r="CX2" s="8" t="inlineStr">
        <is>
          <t>Rolling</t>
        </is>
      </c>
      <c r="CY2" s="8" t="inlineStr">
        <is>
          <t>Approved</t>
        </is>
      </c>
      <c r="CZ2" s="9" t="inlineStr">
        <is>
          <t>Actual</t>
        </is>
      </c>
      <c r="DA2" s="9" t="inlineStr">
        <is>
          <t>Rolling</t>
        </is>
      </c>
      <c r="DB2" s="9" t="inlineStr">
        <is>
          <t>Approved</t>
        </is>
      </c>
      <c r="DC2" s="8" t="inlineStr">
        <is>
          <t>Actual</t>
        </is>
      </c>
      <c r="DD2" s="8" t="inlineStr">
        <is>
          <t>Rolling</t>
        </is>
      </c>
      <c r="DE2" s="8" t="inlineStr">
        <is>
          <t>Approved</t>
        </is>
      </c>
      <c r="DF2" s="9" t="inlineStr">
        <is>
          <t>Actual</t>
        </is>
      </c>
      <c r="DG2" s="9" t="inlineStr">
        <is>
          <t>Rolling</t>
        </is>
      </c>
      <c r="DH2" s="9" t="inlineStr">
        <is>
          <t>Approved</t>
        </is>
      </c>
      <c r="DI2" s="8" t="inlineStr">
        <is>
          <t>Actual</t>
        </is>
      </c>
      <c r="DJ2" s="8" t="inlineStr">
        <is>
          <t>Rolling</t>
        </is>
      </c>
      <c r="DK2" s="8" t="inlineStr">
        <is>
          <t>Approved</t>
        </is>
      </c>
      <c r="DL2" s="9" t="inlineStr">
        <is>
          <t>Actual</t>
        </is>
      </c>
      <c r="DM2" s="9" t="inlineStr">
        <is>
          <t>Rolling</t>
        </is>
      </c>
      <c r="DN2" s="9" t="inlineStr">
        <is>
          <t>Approved</t>
        </is>
      </c>
    </row>
    <row r="3">
      <c r="A3" s="2" t="inlineStr">
        <is>
          <t>Opening Recurring Revenue</t>
        </is>
      </c>
      <c r="B3" s="10">
        <f>IF(K3&lt;&gt;"",K3,IF(N3&lt;&gt;"",N3,IF(Q3&lt;&gt;"",Q3,IF(T3&lt;&gt;"",T3,IF(W3&lt;&gt;"",W3,IF(Z3&lt;&gt;"",Z3,IF(AC3&lt;&gt;"",AC3,IF(AF3&lt;&gt;"",AF3,IF(AI3&lt;&gt;"",AI3,IF(AL3&lt;&gt;"",AL3,IF(AO3&lt;&gt;"",AO3,IF(AR3&lt;&gt;"",AR3,""))))))))))))</f>
        <v/>
      </c>
      <c r="C3" s="10">
        <f>IF(L3&lt;&gt;"",L3,IF(O3&lt;&gt;"",O3,IF(R3&lt;&gt;"",R3,IF(U3&lt;&gt;"",U3,IF(X3&lt;&gt;"",X3,IF(AA3&lt;&gt;"",AA3,IF(AD3&lt;&gt;"",AD3,IF(AG3&lt;&gt;"",AG3,IF(AJ3&lt;&gt;"",AJ3,IF(AM3&lt;&gt;"",AM3,IF(AP3&lt;&gt;"",AP3,IF(AS3&lt;&gt;"",AS3,""))))))))))))</f>
        <v/>
      </c>
      <c r="D3" s="10">
        <f>IF(M3&lt;&gt;"",M3,IF(P3&lt;&gt;"",P3,IF(S3&lt;&gt;"",S3,IF(V3&lt;&gt;"",V3,IF(Y3&lt;&gt;"",Y3,IF(AB3&lt;&gt;"",AB3,IF(AE3&lt;&gt;"",AE3,IF(AH3&lt;&gt;"",AH3,IF(AK3&lt;&gt;"",AK3,IF(AN3&lt;&gt;"",AN3,IF(AQ3&lt;&gt;"",AQ3,IF(AT3&lt;&gt;"",AT3,""))))))))))))</f>
        <v/>
      </c>
      <c r="E3" s="11">
        <f>IF(AU3&lt;&gt;"",AU3,IF(AX3&lt;&gt;"",AX3,IF(BA3&lt;&gt;"",BA3,IF(BD3&lt;&gt;"",BD3,IF(BG3&lt;&gt;"",BG3,IF(BJ3&lt;&gt;"",BJ3,IF(BM3&lt;&gt;"",BM3,IF(BP3&lt;&gt;"",BP3,IF(BS3&lt;&gt;"",BS3,IF(BV3&lt;&gt;"",BV3,IF(BY3&lt;&gt;"",BY3,IF(CB3&lt;&gt;"",CB3,""))))))))))))</f>
        <v/>
      </c>
      <c r="F3" s="11">
        <f>IF(AV3&lt;&gt;"",AV3,IF(AY3&lt;&gt;"",AY3,IF(BB3&lt;&gt;"",BB3,IF(BE3&lt;&gt;"",BE3,IF(BH3&lt;&gt;"",BH3,IF(BK3&lt;&gt;"",BK3,IF(BN3&lt;&gt;"",BN3,IF(BQ3&lt;&gt;"",BQ3,IF(BT3&lt;&gt;"",BT3,IF(BW3&lt;&gt;"",BW3,IF(BZ3&lt;&gt;"",BZ3,IF(CC3&lt;&gt;"",CC3,""))))))))))))</f>
        <v/>
      </c>
      <c r="G3" s="11">
        <f>IF(AW3&lt;&gt;"",AW3,IF(AZ3&lt;&gt;"",AZ3,IF(BC3&lt;&gt;"",BC3,IF(BF3&lt;&gt;"",BF3,IF(BI3&lt;&gt;"",BI3,IF(BL3&lt;&gt;"",BL3,IF(BO3&lt;&gt;"",BO3,IF(BR3&lt;&gt;"",BR3,IF(BU3&lt;&gt;"",BU3,IF(BX3&lt;&gt;"",BX3,IF(CA3&lt;&gt;"",CA3,IF(CD3&lt;&gt;"",CD3,""))))))))))))</f>
        <v/>
      </c>
      <c r="H3" s="10">
        <f>IF(CE3&lt;&gt;"",CE3,IF(CH3&lt;&gt;"",CH3,IF(CK3&lt;&gt;"",CK3,IF(CN3&lt;&gt;"",CN3,IF(CQ3&lt;&gt;"",CQ3,IF(CT3&lt;&gt;"",CT3,IF(CW3&lt;&gt;"",CW3,IF(CZ3&lt;&gt;"",CZ3,IF(DC3&lt;&gt;"",DC3,IF(DF3&lt;&gt;"",DF3,IF(DI3&lt;&gt;"",DI3,IF(DL3&lt;&gt;"",DL3,""))))))))))))</f>
        <v/>
      </c>
      <c r="I3" s="10">
        <f>IF(CF3&lt;&gt;"",CF3,IF(CI3&lt;&gt;"",CI3,IF(CL3&lt;&gt;"",CL3,IF(CO3&lt;&gt;"",CO3,IF(CR3&lt;&gt;"",CR3,IF(CU3&lt;&gt;"",CU3,IF(CX3&lt;&gt;"",CX3,IF(DA3&lt;&gt;"",DA3,IF(DD3&lt;&gt;"",DD3,IF(DG3&lt;&gt;"",DG3,IF(DJ3&lt;&gt;"",DJ3,IF(DM3&lt;&gt;"",DM3,""))))))))))))</f>
        <v/>
      </c>
      <c r="J3" s="10">
        <f>IF(CG3&lt;&gt;"",CG3,IF(CJ3&lt;&gt;"",CJ3,IF(CM3&lt;&gt;"",CM3,IF(CP3&lt;&gt;"",CP3,IF(CS3&lt;&gt;"",CS3,IF(CV3&lt;&gt;"",CV3,IF(CY3&lt;&gt;"",CY3,IF(DB3&lt;&gt;"",DB3,IF(DE3&lt;&gt;"",DE3,IF(DH3&lt;&gt;"",DH3,IF(DK3&lt;&gt;"",DK3,IF(DN3&lt;&gt;"",DN3,""))))))))))))</f>
        <v/>
      </c>
      <c r="K3" s="11">
        <f>IF(COUNT('Summary'!N6)=1,'Summary'!N6,"")</f>
        <v/>
      </c>
      <c r="L3" s="11">
        <f>'Summary'!O6</f>
        <v/>
      </c>
      <c r="M3" s="11">
        <f>'Summary'!P6</f>
        <v/>
      </c>
      <c r="N3" s="10">
        <f>IF(COUNT('Summary'!Q6)=1,'Summary'!Q6,"")</f>
        <v/>
      </c>
      <c r="O3" s="10">
        <f>'Summary'!R6</f>
        <v/>
      </c>
      <c r="P3" s="10">
        <f>'Summary'!S6</f>
        <v/>
      </c>
      <c r="Q3" s="11">
        <f>IF(COUNT('Summary'!T6)=1,'Summary'!T6,"")</f>
        <v/>
      </c>
      <c r="R3" s="11">
        <f>'Summary'!U6</f>
        <v/>
      </c>
      <c r="S3" s="11">
        <f>'Summary'!V6</f>
        <v/>
      </c>
      <c r="T3" s="10">
        <f>IF(COUNT('Summary'!W6)=1,'Summary'!W6,"")</f>
        <v/>
      </c>
      <c r="U3" s="10">
        <f>'Summary'!X6</f>
        <v/>
      </c>
      <c r="V3" s="10">
        <f>'Summary'!Y6</f>
        <v/>
      </c>
      <c r="W3" s="11">
        <f>IF(COUNT('Summary'!Z6)=1,'Summary'!Z6,"")</f>
        <v/>
      </c>
      <c r="X3" s="11">
        <f>'Summary'!AA6</f>
        <v/>
      </c>
      <c r="Y3" s="11">
        <f>'Summary'!AB6</f>
        <v/>
      </c>
      <c r="Z3" s="10">
        <f>IF(COUNT('Summary'!AC6)=1,'Summary'!AC6,"")</f>
        <v/>
      </c>
      <c r="AA3" s="10">
        <f>'Summary'!AD6</f>
        <v/>
      </c>
      <c r="AB3" s="10">
        <f>'Summary'!AE6</f>
        <v/>
      </c>
      <c r="AC3" s="11">
        <f>IF(COUNT('Summary'!AF6)=1,'Summary'!AF6,"")</f>
        <v/>
      </c>
      <c r="AD3" s="11">
        <f>'Summary'!AG6</f>
        <v/>
      </c>
      <c r="AE3" s="11">
        <f>'Summary'!AH6</f>
        <v/>
      </c>
      <c r="AF3" s="10">
        <f>IF(COUNT('Summary'!AI6)=1,'Summary'!AI6,"")</f>
        <v/>
      </c>
      <c r="AG3" s="10">
        <f>'Summary'!AJ6</f>
        <v/>
      </c>
      <c r="AH3" s="10">
        <f>'Summary'!AK6</f>
        <v/>
      </c>
      <c r="AI3" s="11">
        <f>IF(COUNT('Summary'!AL6)=1,'Summary'!AL6,"")</f>
        <v/>
      </c>
      <c r="AJ3" s="11">
        <f>'Summary'!AM6</f>
        <v/>
      </c>
      <c r="AK3" s="11">
        <f>'Summary'!AN6</f>
        <v/>
      </c>
      <c r="AL3" s="10">
        <f>IF(COUNT('Summary'!AO6)=1,'Summary'!AO6,"")</f>
        <v/>
      </c>
      <c r="AM3" s="10">
        <f>'Summary'!AP6</f>
        <v/>
      </c>
      <c r="AN3" s="10">
        <f>'Summary'!AQ6</f>
        <v/>
      </c>
      <c r="AO3" s="11">
        <f>IF(COUNT('Summary'!AR6)=1,'Summary'!AR6,"")</f>
        <v/>
      </c>
      <c r="AP3" s="11">
        <f>'Summary'!AS6</f>
        <v/>
      </c>
      <c r="AQ3" s="11">
        <f>'Summary'!AT6</f>
        <v/>
      </c>
      <c r="AR3" s="10">
        <f>IF(COUNT('Summary'!AU6)=1,'Summary'!AU6,"")</f>
        <v/>
      </c>
      <c r="AS3" s="10">
        <f>'Summary'!AV6</f>
        <v/>
      </c>
      <c r="AT3" s="10">
        <f>'Summary'!AW6</f>
        <v/>
      </c>
      <c r="AU3" s="11">
        <f>IF(COUNT('Summary'!AX6)=1,'Summary'!AX6,"")</f>
        <v/>
      </c>
      <c r="AV3" s="11">
        <f>'Summary'!AY6</f>
        <v/>
      </c>
      <c r="AW3" s="11">
        <f>'Summary'!AZ6</f>
        <v/>
      </c>
      <c r="AX3" s="10">
        <f>IF(COUNT('Summary'!BA6)=1,'Summary'!BA6,"")</f>
        <v/>
      </c>
      <c r="AY3" s="10">
        <f>'Summary'!BB6</f>
        <v/>
      </c>
      <c r="AZ3" s="10">
        <f>'Summary'!BC6</f>
        <v/>
      </c>
      <c r="BA3" s="11">
        <f>IF(COUNT('Summary'!BD6)=1,'Summary'!BD6,"")</f>
        <v/>
      </c>
      <c r="BB3" s="11">
        <f>'Summary'!BE6</f>
        <v/>
      </c>
      <c r="BC3" s="11">
        <f>'Summary'!BF6</f>
        <v/>
      </c>
      <c r="BD3" s="10">
        <f>IF(COUNT('Summary'!BG6)=1,'Summary'!BG6,"")</f>
        <v/>
      </c>
      <c r="BE3" s="10">
        <f>'Summary'!BH6</f>
        <v/>
      </c>
      <c r="BF3" s="10">
        <f>'Summary'!BI6</f>
        <v/>
      </c>
      <c r="BG3" s="11">
        <f>IF(COUNT('Summary'!BJ6)=1,'Summary'!BJ6,"")</f>
        <v/>
      </c>
      <c r="BH3" s="11">
        <f>'Summary'!BK6</f>
        <v/>
      </c>
      <c r="BI3" s="11">
        <f>'Summary'!BL6</f>
        <v/>
      </c>
      <c r="BJ3" s="10">
        <f>IF(COUNT('Summary'!BM6)=1,'Summary'!BM6,"")</f>
        <v/>
      </c>
      <c r="BK3" s="10">
        <f>'Summary'!BN6</f>
        <v/>
      </c>
      <c r="BL3" s="10">
        <f>'Summary'!BO6</f>
        <v/>
      </c>
      <c r="BM3" s="11">
        <f>IF(COUNT('Summary'!BP6)=1,'Summary'!BP6,"")</f>
        <v/>
      </c>
      <c r="BN3" s="11">
        <f>'Summary'!BQ6</f>
        <v/>
      </c>
      <c r="BO3" s="11">
        <f>'Summary'!BR6</f>
        <v/>
      </c>
      <c r="BP3" s="10">
        <f>IF(COUNT('Summary'!BS6)=1,'Summary'!BS6,"")</f>
        <v/>
      </c>
      <c r="BQ3" s="10">
        <f>'Summary'!BT6</f>
        <v/>
      </c>
      <c r="BR3" s="10">
        <f>'Summary'!BU6</f>
        <v/>
      </c>
      <c r="BS3" s="11">
        <f>IF(COUNT('Summary'!BV6)=1,'Summary'!BV6,"")</f>
        <v/>
      </c>
      <c r="BT3" s="11">
        <f>'Summary'!BW6</f>
        <v/>
      </c>
      <c r="BU3" s="11">
        <f>'Summary'!BX6</f>
        <v/>
      </c>
      <c r="BV3" s="10">
        <f>IF(COUNT('Summary'!BY6)=1,'Summary'!BY6,"")</f>
        <v/>
      </c>
      <c r="BW3" s="10">
        <f>'Summary'!BZ6</f>
        <v/>
      </c>
      <c r="BX3" s="10">
        <f>'Summary'!CA6</f>
        <v/>
      </c>
      <c r="BY3" s="11">
        <f>IF(COUNT('Summary'!CB6)=1,'Summary'!CB6,"")</f>
        <v/>
      </c>
      <c r="BZ3" s="11">
        <f>'Summary'!CC6</f>
        <v/>
      </c>
      <c r="CA3" s="11">
        <f>'Summary'!CD6</f>
        <v/>
      </c>
      <c r="CB3" s="10">
        <f>IF(COUNT('Summary'!CE6)=1,'Summary'!CE6,"")</f>
        <v/>
      </c>
      <c r="CC3" s="10">
        <f>'Summary'!CF6</f>
        <v/>
      </c>
      <c r="CD3" s="10">
        <f>'Summary'!CG6</f>
        <v/>
      </c>
      <c r="CE3" s="11">
        <f>IF(COUNT('Summary'!CH6)=1,'Summary'!CH6,"")</f>
        <v/>
      </c>
      <c r="CF3" s="11">
        <f>'Summary'!CI6</f>
        <v/>
      </c>
      <c r="CG3" s="11">
        <f>'Summary'!CJ6</f>
        <v/>
      </c>
      <c r="CH3" s="10">
        <f>IF(COUNT('Summary'!CK6)=1,'Summary'!CK6,"")</f>
        <v/>
      </c>
      <c r="CI3" s="10">
        <f>'Summary'!CL6</f>
        <v/>
      </c>
      <c r="CJ3" s="10">
        <f>'Summary'!CM6</f>
        <v/>
      </c>
      <c r="CK3" s="11">
        <f>IF(COUNT('Summary'!CN6)=1,'Summary'!CN6,"")</f>
        <v/>
      </c>
      <c r="CL3" s="11">
        <f>'Summary'!CO6</f>
        <v/>
      </c>
      <c r="CM3" s="11">
        <f>'Summary'!CP6</f>
        <v/>
      </c>
      <c r="CN3" s="10">
        <f>IF(COUNT('Summary'!CQ6)=1,'Summary'!CQ6,"")</f>
        <v/>
      </c>
      <c r="CO3" s="10">
        <f>'Summary'!CR6</f>
        <v/>
      </c>
      <c r="CP3" s="10">
        <f>'Summary'!CS6</f>
        <v/>
      </c>
      <c r="CQ3" s="11">
        <f>IF(COUNT('Summary'!CT6)=1,'Summary'!CT6,"")</f>
        <v/>
      </c>
      <c r="CR3" s="11">
        <f>'Summary'!CU6</f>
        <v/>
      </c>
      <c r="CS3" s="11">
        <f>'Summary'!CV6</f>
        <v/>
      </c>
      <c r="CT3" s="10">
        <f>IF(COUNT('Summary'!CW6)=1,'Summary'!CW6,"")</f>
        <v/>
      </c>
      <c r="CU3" s="10">
        <f>'Summary'!CX6</f>
        <v/>
      </c>
      <c r="CV3" s="10">
        <f>'Summary'!CY6</f>
        <v/>
      </c>
      <c r="CW3" s="11">
        <f>IF(COUNT('Summary'!CZ6)=1,'Summary'!CZ6,"")</f>
        <v/>
      </c>
      <c r="CX3" s="11">
        <f>'Summary'!DA6</f>
        <v/>
      </c>
      <c r="CY3" s="11">
        <f>'Summary'!DB6</f>
        <v/>
      </c>
      <c r="CZ3" s="10">
        <f>IF(COUNT('Summary'!DC6)=1,'Summary'!DC6,"")</f>
        <v/>
      </c>
      <c r="DA3" s="10">
        <f>'Summary'!DD6</f>
        <v/>
      </c>
      <c r="DB3" s="10">
        <f>'Summary'!DE6</f>
        <v/>
      </c>
      <c r="DC3" s="11">
        <f>IF(COUNT('Summary'!DF6)=1,'Summary'!DF6,"")</f>
        <v/>
      </c>
      <c r="DD3" s="11">
        <f>'Summary'!DG6</f>
        <v/>
      </c>
      <c r="DE3" s="11">
        <f>'Summary'!DH6</f>
        <v/>
      </c>
      <c r="DF3" s="10">
        <f>IF(COUNT('Summary'!DI6)=1,'Summary'!DI6,"")</f>
        <v/>
      </c>
      <c r="DG3" s="10">
        <f>'Summary'!DJ6</f>
        <v/>
      </c>
      <c r="DH3" s="10">
        <f>'Summary'!DK6</f>
        <v/>
      </c>
      <c r="DI3" s="11">
        <f>IF(COUNT('Summary'!DL6)=1,'Summary'!DL6,"")</f>
        <v/>
      </c>
      <c r="DJ3" s="11">
        <f>'Summary'!DM6</f>
        <v/>
      </c>
      <c r="DK3" s="11">
        <f>'Summary'!DN6</f>
        <v/>
      </c>
      <c r="DL3" s="10">
        <f>IF(COUNT(Finance!$B$63)=1,Finance!$B$63,"")</f>
        <v/>
      </c>
      <c r="DM3" s="10">
        <f>Finance!$B$63</f>
        <v/>
      </c>
      <c r="DN3" s="10">
        <f>Finance!$B$63</f>
        <v/>
      </c>
    </row>
    <row r="4">
      <c r="A4" s="15" t="inlineStr">
        <is>
          <t>Expansion Rate</t>
        </is>
      </c>
      <c r="B4" s="43">
        <f>IF(SUM(AR3,AO3,AL3,AI3,AF3,AC3,Z3,W3,T3,Q3,N3,K3)=0,"",SUM(AR5,AO5,AL5,AI5,AF5,AC5,Z5,W5,T5,Q5,N5,K5)/SUM(AR3,AO3,AL3,AI3,AF3,AC3,Z3,W3,T3,Q3,N3,K3))</f>
        <v/>
      </c>
      <c r="C4" s="43">
        <f>IF(SUM(AS3,AP3,AM3,AJ3,AG3,AD3,AA3,X3,U3,R3,O3,L3)=0,"",SUM(AS5,AP5,AM5,AJ5,AG5,AD5,AA5,X5,U5,R5,O5,L5)/SUM(AS3,AP3,AM3,AJ3,AG3,AD3,AA3,X3,U3,R3,O3,L3))</f>
        <v/>
      </c>
      <c r="D4" s="43">
        <f>IF(SUM(AT3,AQ3,AN3,AK3,AH3,AE3,AB3,Y3,V3,S3,P3,M3)=0,"",SUM(AT5,AQ5,AN5,AK5,AH5,AE5,AB5,Y5,V5,S5,P5,M5)/SUM(AT3,AQ3,AN3,AK3,AH3,AE3,AB3,Y3,V3,S3,P3,M3))</f>
        <v/>
      </c>
      <c r="E4" s="44">
        <f>IF(SUM(CB3,BY3,BV3,BS3,BP3,BM3,BJ3,BG3,BD3,BA3,AX3,AU3)=0,"",SUM(CB5,BY5,BV5,BS5,BP5,BM5,BJ5,BG5,BD5,BA5,AX5,AU5)/SUM(CB3,BY3,BV3,BS3,BP3,BM3,BJ3,BG3,BD3,BA3,AX3,AU3))</f>
        <v/>
      </c>
      <c r="F4" s="44">
        <f>IF(SUM(CC3,BZ3,BW3,BT3,BQ3,BN3,BK3,BH3,BE3,BB3,AY3,AV3)=0,"",SUM(CC5,BZ5,BW5,BT5,BQ5,BN5,BK5,BH5,BE5,BB5,AY5,AV5)/SUM(CC3,BZ3,BW3,BT3,BQ3,BN3,BK3,BH3,BE3,BB3,AY3,AV3))</f>
        <v/>
      </c>
      <c r="G4" s="44">
        <f>IF(SUM(CD3,CA3,BX3,BU3,BR3,BO3,BL3,BI3,BF3,BC3,AZ3,AW3)=0,"",SUM(CD5,CA5,BX5,BU5,BR5,BO5,BL5,BI5,BF5,BC5,AZ5,AW5)/SUM(CD3,CA3,BX3,BU3,BR3,BO3,BL3,BI3,BF3,BC3,AZ3,AW3))</f>
        <v/>
      </c>
      <c r="H4" s="43">
        <f>IF(SUM(DL3,DI3,DF3,DC3,CZ3,CW3,CT3,CQ3,CN3,CK3,CH3,CE3)=0,"",SUM(DL5,DI5,DF5,DC5,CZ5,CW5,CT5,CQ5,CN5,CK5,CH5,CE5)/SUM(DL3,DI3,DF3,DC3,CZ3,CW3,CT3,CQ3,CN3,CK3,CH3,CE3))</f>
        <v/>
      </c>
      <c r="I4" s="43">
        <f>IF(SUM(DM3,DJ3,DG3,DD3,DA3,CX3,CU3,CR3,CO3,CL3,CI3,CF3)=0,"",SUM(DM5,DJ5,DG5,DD5,DA5,CX5,CU5,CR5,CO5,CL5,CI5,CF5)/SUM(DM3,DJ3,DG3,DD3,DA3,CX3,CU3,CR3,CO3,CL3,CI3,CF3))</f>
        <v/>
      </c>
      <c r="J4" s="43">
        <f>IF(SUM(DN3,DK3,DH3,DE3,DB3,CY3,CV3,CS3,CP3,CM3,CJ3,CG3)=0,"",SUM(DN5,DK5,DH5,DE5,DB5,CY5,CV5,CS5,CP5,CM5,CJ5,CG5)/SUM(DN3,DK3,DH3,DE3,DB3,CY3,CV3,CS3,CP3,CM3,CJ3,CG3))</f>
        <v/>
      </c>
      <c r="K4" s="45" t="n"/>
      <c r="L4" s="44" t="n">
        <v>0.012</v>
      </c>
      <c r="M4" s="44" t="n">
        <v>0.012</v>
      </c>
      <c r="N4" s="46" t="n"/>
      <c r="O4" s="43" t="n">
        <v>0.012</v>
      </c>
      <c r="P4" s="43" t="n">
        <v>0.012</v>
      </c>
      <c r="Q4" s="45" t="n"/>
      <c r="R4" s="44" t="n">
        <v>0.012</v>
      </c>
      <c r="S4" s="44" t="n">
        <v>0.012</v>
      </c>
      <c r="T4" s="46" t="n"/>
      <c r="U4" s="43" t="n">
        <v>0.012</v>
      </c>
      <c r="V4" s="43" t="n">
        <v>0.012</v>
      </c>
      <c r="W4" s="45" t="n"/>
      <c r="X4" s="44" t="n">
        <v>0.012</v>
      </c>
      <c r="Y4" s="44" t="n">
        <v>0.012</v>
      </c>
      <c r="Z4" s="46" t="n"/>
      <c r="AA4" s="43" t="n">
        <v>0.012</v>
      </c>
      <c r="AB4" s="43" t="n">
        <v>0.012</v>
      </c>
      <c r="AC4" s="45" t="n"/>
      <c r="AD4" s="44" t="n">
        <v>0.012</v>
      </c>
      <c r="AE4" s="44" t="n">
        <v>0.012</v>
      </c>
      <c r="AF4" s="46" t="n"/>
      <c r="AG4" s="43" t="n">
        <v>0.012</v>
      </c>
      <c r="AH4" s="43" t="n">
        <v>0.012</v>
      </c>
      <c r="AI4" s="45" t="n"/>
      <c r="AJ4" s="44" t="n">
        <v>0.012</v>
      </c>
      <c r="AK4" s="44" t="n">
        <v>0.012</v>
      </c>
      <c r="AL4" s="46" t="n"/>
      <c r="AM4" s="43" t="n">
        <v>0.012</v>
      </c>
      <c r="AN4" s="43" t="n">
        <v>0.012</v>
      </c>
      <c r="AO4" s="45" t="n"/>
      <c r="AP4" s="44" t="n">
        <v>0.012</v>
      </c>
      <c r="AQ4" s="44" t="n">
        <v>0.012</v>
      </c>
      <c r="AR4" s="46" t="n"/>
      <c r="AS4" s="43" t="n">
        <v>0.012</v>
      </c>
      <c r="AT4" s="43" t="n">
        <v>0.012</v>
      </c>
      <c r="AU4" s="45" t="n"/>
      <c r="AV4" s="44" t="n">
        <v>0.012</v>
      </c>
      <c r="AW4" s="44" t="n">
        <v>0.012</v>
      </c>
      <c r="AX4" s="46" t="n"/>
      <c r="AY4" s="43" t="n">
        <v>0.012</v>
      </c>
      <c r="AZ4" s="43" t="n">
        <v>0.012</v>
      </c>
      <c r="BA4" s="45" t="n"/>
      <c r="BB4" s="44" t="n">
        <v>0.012</v>
      </c>
      <c r="BC4" s="44" t="n">
        <v>0.012</v>
      </c>
      <c r="BD4" s="46" t="n"/>
      <c r="BE4" s="43" t="n">
        <v>0.012</v>
      </c>
      <c r="BF4" s="43" t="n">
        <v>0.012</v>
      </c>
      <c r="BG4" s="45" t="n"/>
      <c r="BH4" s="44" t="n">
        <v>0.012</v>
      </c>
      <c r="BI4" s="44" t="n">
        <v>0.012</v>
      </c>
      <c r="BJ4" s="46" t="n"/>
      <c r="BK4" s="43" t="n">
        <v>0.012</v>
      </c>
      <c r="BL4" s="43" t="n">
        <v>0.012</v>
      </c>
      <c r="BM4" s="45" t="n"/>
      <c r="BN4" s="44" t="n">
        <v>0.012</v>
      </c>
      <c r="BO4" s="44" t="n">
        <v>0.012</v>
      </c>
      <c r="BP4" s="46" t="n"/>
      <c r="BQ4" s="43" t="n">
        <v>0.012</v>
      </c>
      <c r="BR4" s="43" t="n">
        <v>0.012</v>
      </c>
      <c r="BS4" s="45" t="n"/>
      <c r="BT4" s="44" t="n">
        <v>0.012</v>
      </c>
      <c r="BU4" s="44" t="n">
        <v>0.012</v>
      </c>
      <c r="BV4" s="46" t="n"/>
      <c r="BW4" s="43" t="n">
        <v>0.012</v>
      </c>
      <c r="BX4" s="43" t="n">
        <v>0.012</v>
      </c>
      <c r="BY4" s="45" t="n"/>
      <c r="BZ4" s="44" t="n">
        <v>0.012</v>
      </c>
      <c r="CA4" s="44" t="n">
        <v>0.012</v>
      </c>
      <c r="CB4" s="46" t="n"/>
      <c r="CC4" s="43" t="n">
        <v>0.012</v>
      </c>
      <c r="CD4" s="43" t="n">
        <v>0.012</v>
      </c>
      <c r="CE4" s="45" t="n"/>
      <c r="CF4" s="44" t="n">
        <v>0.012</v>
      </c>
      <c r="CG4" s="44" t="n">
        <v>0.012</v>
      </c>
      <c r="CH4" s="46" t="n"/>
      <c r="CI4" s="43" t="n">
        <v>0.012</v>
      </c>
      <c r="CJ4" s="43" t="n">
        <v>0.012</v>
      </c>
      <c r="CK4" s="45" t="n"/>
      <c r="CL4" s="44" t="n">
        <v>0.012</v>
      </c>
      <c r="CM4" s="44" t="n">
        <v>0.012</v>
      </c>
      <c r="CN4" s="46" t="n"/>
      <c r="CO4" s="43" t="n">
        <v>0.012</v>
      </c>
      <c r="CP4" s="43" t="n">
        <v>0.012</v>
      </c>
      <c r="CQ4" s="45" t="n"/>
      <c r="CR4" s="44" t="n">
        <v>0.012</v>
      </c>
      <c r="CS4" s="44" t="n">
        <v>0.012</v>
      </c>
      <c r="CT4" s="46" t="n"/>
      <c r="CU4" s="43" t="n">
        <v>0.012</v>
      </c>
      <c r="CV4" s="43" t="n">
        <v>0.012</v>
      </c>
      <c r="CW4" s="45" t="n"/>
      <c r="CX4" s="44" t="n">
        <v>0.012</v>
      </c>
      <c r="CY4" s="44" t="n">
        <v>0.012</v>
      </c>
      <c r="CZ4" s="46" t="n"/>
      <c r="DA4" s="43" t="n">
        <v>0.012</v>
      </c>
      <c r="DB4" s="43" t="n">
        <v>0.012</v>
      </c>
      <c r="DC4" s="45" t="n"/>
      <c r="DD4" s="44" t="n">
        <v>0.012</v>
      </c>
      <c r="DE4" s="44" t="n">
        <v>0.012</v>
      </c>
      <c r="DF4" s="46" t="n"/>
      <c r="DG4" s="43" t="n">
        <v>0.012</v>
      </c>
      <c r="DH4" s="43" t="n">
        <v>0.012</v>
      </c>
      <c r="DI4" s="44" t="n">
        <v>0.012</v>
      </c>
      <c r="DJ4" s="44" t="n">
        <v>0.012</v>
      </c>
      <c r="DK4" s="44" t="n">
        <v>0.012</v>
      </c>
      <c r="DL4" s="43" t="n">
        <v>0.012</v>
      </c>
      <c r="DM4" s="43" t="n">
        <v>0.012</v>
      </c>
      <c r="DN4" s="43" t="n">
        <v>0.012</v>
      </c>
    </row>
    <row r="5">
      <c r="A5" s="2" t="inlineStr">
        <is>
          <t>Expansion Revenue</t>
        </is>
      </c>
      <c r="B5" s="10">
        <f>IF(COUNT(AR5,AO5,AL5,AI5,AF5,AC5,Z5,W5,T5,Q5,N5,K5)=0,"",SUM(AR5,AO5,AL5,AI5,AF5,AC5,Z5,W5,T5,Q5,N5,K5))</f>
        <v/>
      </c>
      <c r="C5" s="10">
        <f>IF(COUNT(AS5,AP5,AM5,AJ5,AG5,AD5,AA5,X5,U5,R5,O5,L5)=0,"",SUM(AS5,AP5,AM5,AJ5,AG5,AD5,AA5,X5,U5,R5,O5,L5))</f>
        <v/>
      </c>
      <c r="D5" s="10">
        <f>IF(COUNT(AT5,AQ5,AN5,AK5,AH5,AE5,AB5,Y5,V5,S5,P5,M5)=0,"",SUM(AT5,AQ5,AN5,AK5,AH5,AE5,AB5,Y5,V5,S5,P5,M5))</f>
        <v/>
      </c>
      <c r="E5" s="11">
        <f>IF(COUNT(CB5,BY5,BV5,BS5,BP5,BM5,BJ5,BG5,BD5,BA5,AX5,AU5)=0,"",SUM(CB5,BY5,BV5,BS5,BP5,BM5,BJ5,BG5,BD5,BA5,AX5,AU5))</f>
        <v/>
      </c>
      <c r="F5" s="11">
        <f>IF(COUNT(CC5,BZ5,BW5,BT5,BQ5,BN5,BK5,BH5,BE5,BB5,AY5,AV5)=0,"",SUM(CC5,BZ5,BW5,BT5,BQ5,BN5,BK5,BH5,BE5,BB5,AY5,AV5))</f>
        <v/>
      </c>
      <c r="G5" s="11">
        <f>IF(COUNT(CD5,CA5,BX5,BU5,BR5,BO5,BL5,BI5,BF5,BC5,AZ5,AW5)=0,"",SUM(CD5,CA5,BX5,BU5,BR5,BO5,BL5,BI5,BF5,BC5,AZ5,AW5))</f>
        <v/>
      </c>
      <c r="H5" s="10">
        <f>IF(COUNT(DL5,DI5,DF5,DC5,CZ5,CW5,CT5,CQ5,CN5,CK5,CH5,CE5)=0,"",SUM(DL5,DI5,DF5,DC5,CZ5,CW5,CT5,CQ5,CN5,CK5,CH5,CE5))</f>
        <v/>
      </c>
      <c r="I5" s="10">
        <f>IF(COUNT(DM5,DJ5,DG5,DD5,DA5,CX5,CU5,CR5,CO5,CL5,CI5,CF5)=0,"",SUM(DM5,DJ5,DG5,DD5,DA5,CX5,CU5,CR5,CO5,CL5,CI5,CF5))</f>
        <v/>
      </c>
      <c r="J5" s="10">
        <f>IF(COUNT(DN5,DK5,DH5,DE5,DB5,CY5,CV5,CS5,CP5,CM5,CJ5,CG5)=0,"",SUM(DN5,DK5,DH5,DE5,DB5,CY5,CV5,CS5,CP5,CM5,CJ5,CG5))</f>
        <v/>
      </c>
      <c r="K5" s="11">
        <f>IF(COUNT(K3,K4)=2,K3*K4,"")</f>
        <v/>
      </c>
      <c r="L5" s="11">
        <f>L3*L4</f>
        <v/>
      </c>
      <c r="M5" s="11">
        <f>M3*M4</f>
        <v/>
      </c>
      <c r="N5" s="10">
        <f>IF(COUNT(N3,N4)=2,N3*N4,"")</f>
        <v/>
      </c>
      <c r="O5" s="10">
        <f>O3*O4</f>
        <v/>
      </c>
      <c r="P5" s="10">
        <f>P3*P4</f>
        <v/>
      </c>
      <c r="Q5" s="11">
        <f>IF(COUNT(Q3,Q4)=2,Q3*Q4,"")</f>
        <v/>
      </c>
      <c r="R5" s="11">
        <f>R3*R4</f>
        <v/>
      </c>
      <c r="S5" s="11">
        <f>S3*S4</f>
        <v/>
      </c>
      <c r="T5" s="10">
        <f>IF(COUNT(T3,T4)=2,T3*T4,"")</f>
        <v/>
      </c>
      <c r="U5" s="10">
        <f>U3*U4</f>
        <v/>
      </c>
      <c r="V5" s="10">
        <f>V3*V4</f>
        <v/>
      </c>
      <c r="W5" s="11">
        <f>IF(COUNT(W3,W4)=2,W3*W4,"")</f>
        <v/>
      </c>
      <c r="X5" s="11">
        <f>X3*X4</f>
        <v/>
      </c>
      <c r="Y5" s="11">
        <f>Y3*Y4</f>
        <v/>
      </c>
      <c r="Z5" s="10">
        <f>IF(COUNT(Z3,Z4)=2,Z3*Z4,"")</f>
        <v/>
      </c>
      <c r="AA5" s="10">
        <f>AA3*AA4</f>
        <v/>
      </c>
      <c r="AB5" s="10">
        <f>AB3*AB4</f>
        <v/>
      </c>
      <c r="AC5" s="11">
        <f>IF(COUNT(AC3,AC4)=2,AC3*AC4,"")</f>
        <v/>
      </c>
      <c r="AD5" s="11">
        <f>AD3*AD4</f>
        <v/>
      </c>
      <c r="AE5" s="11">
        <f>AE3*AE4</f>
        <v/>
      </c>
      <c r="AF5" s="10">
        <f>IF(COUNT(AF3,AF4)=2,AF3*AF4,"")</f>
        <v/>
      </c>
      <c r="AG5" s="10">
        <f>AG3*AG4</f>
        <v/>
      </c>
      <c r="AH5" s="10">
        <f>AH3*AH4</f>
        <v/>
      </c>
      <c r="AI5" s="11">
        <f>IF(COUNT(AI3,AI4)=2,AI3*AI4,"")</f>
        <v/>
      </c>
      <c r="AJ5" s="11">
        <f>AJ3*AJ4</f>
        <v/>
      </c>
      <c r="AK5" s="11">
        <f>AK3*AK4</f>
        <v/>
      </c>
      <c r="AL5" s="10">
        <f>IF(COUNT(AL3,AL4)=2,AL3*AL4,"")</f>
        <v/>
      </c>
      <c r="AM5" s="10">
        <f>AM3*AM4</f>
        <v/>
      </c>
      <c r="AN5" s="10">
        <f>AN3*AN4</f>
        <v/>
      </c>
      <c r="AO5" s="11">
        <f>IF(COUNT(AO3,AO4)=2,AO3*AO4,"")</f>
        <v/>
      </c>
      <c r="AP5" s="11">
        <f>AP3*AP4</f>
        <v/>
      </c>
      <c r="AQ5" s="11">
        <f>AQ3*AQ4</f>
        <v/>
      </c>
      <c r="AR5" s="10">
        <f>IF(COUNT(AR3,AR4)=2,AR3*AR4,"")</f>
        <v/>
      </c>
      <c r="AS5" s="10">
        <f>AS3*AS4</f>
        <v/>
      </c>
      <c r="AT5" s="10">
        <f>AT3*AT4</f>
        <v/>
      </c>
      <c r="AU5" s="11">
        <f>IF(COUNT(AU3,AU4)=2,AU3*AU4,"")</f>
        <v/>
      </c>
      <c r="AV5" s="11">
        <f>AV3*AV4</f>
        <v/>
      </c>
      <c r="AW5" s="11">
        <f>AW3*AW4</f>
        <v/>
      </c>
      <c r="AX5" s="10">
        <f>IF(COUNT(AX3,AX4)=2,AX3*AX4,"")</f>
        <v/>
      </c>
      <c r="AY5" s="10">
        <f>AY3*AY4</f>
        <v/>
      </c>
      <c r="AZ5" s="10">
        <f>AZ3*AZ4</f>
        <v/>
      </c>
      <c r="BA5" s="11">
        <f>IF(COUNT(BA3,BA4)=2,BA3*BA4,"")</f>
        <v/>
      </c>
      <c r="BB5" s="11">
        <f>BB3*BB4</f>
        <v/>
      </c>
      <c r="BC5" s="11">
        <f>BC3*BC4</f>
        <v/>
      </c>
      <c r="BD5" s="10">
        <f>IF(COUNT(BD3,BD4)=2,BD3*BD4,"")</f>
        <v/>
      </c>
      <c r="BE5" s="10">
        <f>BE3*BE4</f>
        <v/>
      </c>
      <c r="BF5" s="10">
        <f>BF3*BF4</f>
        <v/>
      </c>
      <c r="BG5" s="11">
        <f>IF(COUNT(BG3,BG4)=2,BG3*BG4,"")</f>
        <v/>
      </c>
      <c r="BH5" s="11">
        <f>BH3*BH4</f>
        <v/>
      </c>
      <c r="BI5" s="11">
        <f>BI3*BI4</f>
        <v/>
      </c>
      <c r="BJ5" s="10">
        <f>IF(COUNT(BJ3,BJ4)=2,BJ3*BJ4,"")</f>
        <v/>
      </c>
      <c r="BK5" s="10">
        <f>BK3*BK4</f>
        <v/>
      </c>
      <c r="BL5" s="10">
        <f>BL3*BL4</f>
        <v/>
      </c>
      <c r="BM5" s="11">
        <f>IF(COUNT(BM3,BM4)=2,BM3*BM4,"")</f>
        <v/>
      </c>
      <c r="BN5" s="11">
        <f>BN3*BN4</f>
        <v/>
      </c>
      <c r="BO5" s="11">
        <f>BO3*BO4</f>
        <v/>
      </c>
      <c r="BP5" s="10">
        <f>IF(COUNT(BP3,BP4)=2,BP3*BP4,"")</f>
        <v/>
      </c>
      <c r="BQ5" s="10">
        <f>BQ3*BQ4</f>
        <v/>
      </c>
      <c r="BR5" s="10">
        <f>BR3*BR4</f>
        <v/>
      </c>
      <c r="BS5" s="11">
        <f>IF(COUNT(BS3,BS4)=2,BS3*BS4,"")</f>
        <v/>
      </c>
      <c r="BT5" s="11">
        <f>BT3*BT4</f>
        <v/>
      </c>
      <c r="BU5" s="11">
        <f>BU3*BU4</f>
        <v/>
      </c>
      <c r="BV5" s="10">
        <f>IF(COUNT(BV3,BV4)=2,BV3*BV4,"")</f>
        <v/>
      </c>
      <c r="BW5" s="10">
        <f>BW3*BW4</f>
        <v/>
      </c>
      <c r="BX5" s="10">
        <f>BX3*BX4</f>
        <v/>
      </c>
      <c r="BY5" s="11">
        <f>IF(COUNT(BY3,BY4)=2,BY3*BY4,"")</f>
        <v/>
      </c>
      <c r="BZ5" s="11">
        <f>BZ3*BZ4</f>
        <v/>
      </c>
      <c r="CA5" s="11">
        <f>CA3*CA4</f>
        <v/>
      </c>
      <c r="CB5" s="10">
        <f>IF(COUNT(CB3,CB4)=2,CB3*CB4,"")</f>
        <v/>
      </c>
      <c r="CC5" s="10">
        <f>CC3*CC4</f>
        <v/>
      </c>
      <c r="CD5" s="10">
        <f>CD3*CD4</f>
        <v/>
      </c>
      <c r="CE5" s="11">
        <f>IF(COUNT(CE3,CE4)=2,CE3*CE4,"")</f>
        <v/>
      </c>
      <c r="CF5" s="11">
        <f>CF3*CF4</f>
        <v/>
      </c>
      <c r="CG5" s="11">
        <f>CG3*CG4</f>
        <v/>
      </c>
      <c r="CH5" s="10">
        <f>IF(COUNT(CH3,CH4)=2,CH3*CH4,"")</f>
        <v/>
      </c>
      <c r="CI5" s="10">
        <f>CI3*CI4</f>
        <v/>
      </c>
      <c r="CJ5" s="10">
        <f>CJ3*CJ4</f>
        <v/>
      </c>
      <c r="CK5" s="11">
        <f>IF(COUNT(CK3,CK4)=2,CK3*CK4,"")</f>
        <v/>
      </c>
      <c r="CL5" s="11">
        <f>CL3*CL4</f>
        <v/>
      </c>
      <c r="CM5" s="11">
        <f>CM3*CM4</f>
        <v/>
      </c>
      <c r="CN5" s="10">
        <f>IF(COUNT(CN3,CN4)=2,CN3*CN4,"")</f>
        <v/>
      </c>
      <c r="CO5" s="10">
        <f>CO3*CO4</f>
        <v/>
      </c>
      <c r="CP5" s="10">
        <f>CP3*CP4</f>
        <v/>
      </c>
      <c r="CQ5" s="11">
        <f>IF(COUNT(CQ3,CQ4)=2,CQ3*CQ4,"")</f>
        <v/>
      </c>
      <c r="CR5" s="11">
        <f>CR3*CR4</f>
        <v/>
      </c>
      <c r="CS5" s="11">
        <f>CS3*CS4</f>
        <v/>
      </c>
      <c r="CT5" s="10">
        <f>IF(COUNT(CT3,CT4)=2,CT3*CT4,"")</f>
        <v/>
      </c>
      <c r="CU5" s="10">
        <f>CU3*CU4</f>
        <v/>
      </c>
      <c r="CV5" s="10">
        <f>CV3*CV4</f>
        <v/>
      </c>
      <c r="CW5" s="11">
        <f>IF(COUNT(CW3,CW4)=2,CW3*CW4,"")</f>
        <v/>
      </c>
      <c r="CX5" s="11">
        <f>CX3*CX4</f>
        <v/>
      </c>
      <c r="CY5" s="11">
        <f>CY3*CY4</f>
        <v/>
      </c>
      <c r="CZ5" s="10">
        <f>IF(COUNT(CZ3,CZ4)=2,CZ3*CZ4,"")</f>
        <v/>
      </c>
      <c r="DA5" s="10">
        <f>DA3*DA4</f>
        <v/>
      </c>
      <c r="DB5" s="10">
        <f>DB3*DB4</f>
        <v/>
      </c>
      <c r="DC5" s="11">
        <f>IF(COUNT(DC3,DC4)=2,DC3*DC4,"")</f>
        <v/>
      </c>
      <c r="DD5" s="11">
        <f>DD3*DD4</f>
        <v/>
      </c>
      <c r="DE5" s="11">
        <f>DE3*DE4</f>
        <v/>
      </c>
      <c r="DF5" s="10">
        <f>IF(COUNT(DF3,DF4)=2,DF3*DF4,"")</f>
        <v/>
      </c>
      <c r="DG5" s="10">
        <f>DG3*DG4</f>
        <v/>
      </c>
      <c r="DH5" s="10">
        <f>DH3*DH4</f>
        <v/>
      </c>
      <c r="DI5" s="11">
        <f>IF(COUNT(DI3,DI4)=2,DI3*DI4,"")</f>
        <v/>
      </c>
      <c r="DJ5" s="11">
        <f>DJ3*DJ4</f>
        <v/>
      </c>
      <c r="DK5" s="11">
        <f>DK3*DK4</f>
        <v/>
      </c>
      <c r="DL5" s="10">
        <f>IF(COUNT(DL3,DL4)=2,DL3*DL4,"")</f>
        <v/>
      </c>
      <c r="DM5" s="10">
        <f>DM3*DM4</f>
        <v/>
      </c>
      <c r="DN5" s="10">
        <f>DN3*DN4</f>
        <v/>
      </c>
    </row>
    <row r="6">
      <c r="A6" s="15" t="inlineStr">
        <is>
          <t>Contraction Rate</t>
        </is>
      </c>
      <c r="B6" s="43">
        <f>IF(SUM(AR3,AO3,AL3,AI3,AF3,AC3,Z3,W3,T3,Q3,N3,K3)=0,"",SUM(AR7,AO7,AL7,AI7,AF7,AC7,Z7,W7,T7,Q7,N7,K7)/SUM(AR3,AO3,AL3,AI3,AF3,AC3,Z3,W3,T3,Q3,N3,K3))</f>
        <v/>
      </c>
      <c r="C6" s="43">
        <f>IF(SUM(AS3,AP3,AM3,AJ3,AG3,AD3,AA3,X3,U3,R3,O3,L3)=0,"",SUM(AS7,AP7,AM7,AJ7,AG7,AD7,AA7,X7,U7,R7,O7,L7)/SUM(AS3,AP3,AM3,AJ3,AG3,AD3,AA3,X3,U3,R3,O3,L3))</f>
        <v/>
      </c>
      <c r="D6" s="43">
        <f>IF(SUM(AT3,AQ3,AN3,AK3,AH3,AE3,AB3,Y3,V3,S3,P3,M3)=0,"",SUM(AT7,AQ7,AN7,AK7,AH7,AE7,AB7,Y7,V7,S7,P7,M7)/SUM(AT3,AQ3,AN3,AK3,AH3,AE3,AB3,Y3,V3,S3,P3,M3))</f>
        <v/>
      </c>
      <c r="E6" s="44">
        <f>IF(SUM(CB3,BY3,BV3,BS3,BP3,BM3,BJ3,BG3,BD3,BA3,AX3,AU3)=0,"",SUM(CB7,BY7,BV7,BS7,BP7,BM7,BJ7,BG7,BD7,BA7,AX7,AU7)/SUM(CB3,BY3,BV3,BS3,BP3,BM3,BJ3,BG3,BD3,BA3,AX3,AU3))</f>
        <v/>
      </c>
      <c r="F6" s="44">
        <f>IF(SUM(CC3,BZ3,BW3,BT3,BQ3,BN3,BK3,BH3,BE3,BB3,AY3,AV3)=0,"",SUM(CC7,BZ7,BW7,BT7,BQ7,BN7,BK7,BH7,BE7,BB7,AY7,AV7)/SUM(CC3,BZ3,BW3,BT3,BQ3,BN3,BK3,BH3,BE3,BB3,AY3,AV3))</f>
        <v/>
      </c>
      <c r="G6" s="44">
        <f>IF(SUM(CD3,CA3,BX3,BU3,BR3,BO3,BL3,BI3,BF3,BC3,AZ3,AW3)=0,"",SUM(CD7,CA7,BX7,BU7,BR7,BO7,BL7,BI7,BF7,BC7,AZ7,AW7)/SUM(CD3,CA3,BX3,BU3,BR3,BO3,BL3,BI3,BF3,BC3,AZ3,AW3))</f>
        <v/>
      </c>
      <c r="H6" s="43">
        <f>IF(SUM(DL3,DI3,DF3,DC3,CZ3,CW3,CT3,CQ3,CN3,CK3,CH3,CE3)=0,"",SUM(DL7,DI7,DF7,DC7,CZ7,CW7,CT7,CQ7,CN7,CK7,CH7,CE7)/SUM(DL3,DI3,DF3,DC3,CZ3,CW3,CT3,CQ3,CN3,CK3,CH3,CE3))</f>
        <v/>
      </c>
      <c r="I6" s="43">
        <f>IF(SUM(DM3,DJ3,DG3,DD3,DA3,CX3,CU3,CR3,CO3,CL3,CI3,CF3)=0,"",SUM(DM7,DJ7,DG7,DD7,DA7,CX7,CU7,CR7,CO7,CL7,CI7,CF7)/SUM(DM3,DJ3,DG3,DD3,DA3,CX3,CU3,CR3,CO3,CL3,CI3,CF3))</f>
        <v/>
      </c>
      <c r="J6" s="43">
        <f>IF(SUM(DN3,DK3,DH3,DE3,DB3,CY3,CV3,CS3,CP3,CM3,CJ3,CG3)=0,"",SUM(DN7,DK7,DH7,DE7,DB7,CY7,CV7,CS7,CP7,CM7,CJ7,CG7)/SUM(DN3,DK3,DH3,DE3,DB3,CY3,CV3,CS3,CP3,CM3,CJ3,CG3))</f>
        <v/>
      </c>
      <c r="K6" s="45" t="n"/>
      <c r="L6" s="44" t="n">
        <v>0.003</v>
      </c>
      <c r="M6" s="44" t="n">
        <v>0.003</v>
      </c>
      <c r="N6" s="46" t="n"/>
      <c r="O6" s="43" t="n">
        <v>0.003</v>
      </c>
      <c r="P6" s="43" t="n">
        <v>0.003</v>
      </c>
      <c r="Q6" s="45" t="n"/>
      <c r="R6" s="44" t="n">
        <v>0.003</v>
      </c>
      <c r="S6" s="44" t="n">
        <v>0.003</v>
      </c>
      <c r="T6" s="46" t="n"/>
      <c r="U6" s="43" t="n">
        <v>0.003</v>
      </c>
      <c r="V6" s="43" t="n">
        <v>0.003</v>
      </c>
      <c r="W6" s="45" t="n"/>
      <c r="X6" s="44" t="n">
        <v>0.003</v>
      </c>
      <c r="Y6" s="44" t="n">
        <v>0.003</v>
      </c>
      <c r="Z6" s="46" t="n"/>
      <c r="AA6" s="43" t="n">
        <v>0.003</v>
      </c>
      <c r="AB6" s="43" t="n">
        <v>0.003</v>
      </c>
      <c r="AC6" s="45" t="n"/>
      <c r="AD6" s="44" t="n">
        <v>0.003</v>
      </c>
      <c r="AE6" s="44" t="n">
        <v>0.003</v>
      </c>
      <c r="AF6" s="46" t="n"/>
      <c r="AG6" s="43" t="n">
        <v>0.003</v>
      </c>
      <c r="AH6" s="43" t="n">
        <v>0.003</v>
      </c>
      <c r="AI6" s="45" t="n"/>
      <c r="AJ6" s="44" t="n">
        <v>0.003</v>
      </c>
      <c r="AK6" s="44" t="n">
        <v>0.003</v>
      </c>
      <c r="AL6" s="46" t="n"/>
      <c r="AM6" s="43" t="n">
        <v>0.003</v>
      </c>
      <c r="AN6" s="43" t="n">
        <v>0.003</v>
      </c>
      <c r="AO6" s="45" t="n"/>
      <c r="AP6" s="44" t="n">
        <v>0.003</v>
      </c>
      <c r="AQ6" s="44" t="n">
        <v>0.003</v>
      </c>
      <c r="AR6" s="46" t="n"/>
      <c r="AS6" s="43" t="n">
        <v>0.003</v>
      </c>
      <c r="AT6" s="43" t="n">
        <v>0.003</v>
      </c>
      <c r="AU6" s="45" t="n"/>
      <c r="AV6" s="44" t="n">
        <v>0.003</v>
      </c>
      <c r="AW6" s="44" t="n">
        <v>0.003</v>
      </c>
      <c r="AX6" s="46" t="n"/>
      <c r="AY6" s="43" t="n">
        <v>0.003</v>
      </c>
      <c r="AZ6" s="43" t="n">
        <v>0.003</v>
      </c>
      <c r="BA6" s="45" t="n"/>
      <c r="BB6" s="44" t="n">
        <v>0.003</v>
      </c>
      <c r="BC6" s="44" t="n">
        <v>0.003</v>
      </c>
      <c r="BD6" s="46" t="n"/>
      <c r="BE6" s="43" t="n">
        <v>0.003</v>
      </c>
      <c r="BF6" s="43" t="n">
        <v>0.003</v>
      </c>
      <c r="BG6" s="45" t="n"/>
      <c r="BH6" s="44" t="n">
        <v>0.003</v>
      </c>
      <c r="BI6" s="44" t="n">
        <v>0.003</v>
      </c>
      <c r="BJ6" s="46" t="n"/>
      <c r="BK6" s="43" t="n">
        <v>0.003</v>
      </c>
      <c r="BL6" s="43" t="n">
        <v>0.003</v>
      </c>
      <c r="BM6" s="45" t="n"/>
      <c r="BN6" s="44" t="n">
        <v>0.003</v>
      </c>
      <c r="BO6" s="44" t="n">
        <v>0.003</v>
      </c>
      <c r="BP6" s="46" t="n"/>
      <c r="BQ6" s="43" t="n">
        <v>0.003</v>
      </c>
      <c r="BR6" s="43" t="n">
        <v>0.003</v>
      </c>
      <c r="BS6" s="45" t="n"/>
      <c r="BT6" s="44" t="n">
        <v>0.003</v>
      </c>
      <c r="BU6" s="44" t="n">
        <v>0.003</v>
      </c>
      <c r="BV6" s="46" t="n"/>
      <c r="BW6" s="43" t="n">
        <v>0.003</v>
      </c>
      <c r="BX6" s="43" t="n">
        <v>0.003</v>
      </c>
      <c r="BY6" s="45" t="n"/>
      <c r="BZ6" s="44" t="n">
        <v>0.003</v>
      </c>
      <c r="CA6" s="44" t="n">
        <v>0.003</v>
      </c>
      <c r="CB6" s="46" t="n"/>
      <c r="CC6" s="43" t="n">
        <v>0.003</v>
      </c>
      <c r="CD6" s="43" t="n">
        <v>0.003</v>
      </c>
      <c r="CE6" s="45" t="n"/>
      <c r="CF6" s="44" t="n">
        <v>0.003</v>
      </c>
      <c r="CG6" s="44" t="n">
        <v>0.003</v>
      </c>
      <c r="CH6" s="46" t="n"/>
      <c r="CI6" s="43" t="n">
        <v>0.003</v>
      </c>
      <c r="CJ6" s="43" t="n">
        <v>0.003</v>
      </c>
      <c r="CK6" s="45" t="n"/>
      <c r="CL6" s="44" t="n">
        <v>0.003</v>
      </c>
      <c r="CM6" s="44" t="n">
        <v>0.003</v>
      </c>
      <c r="CN6" s="46" t="n"/>
      <c r="CO6" s="43" t="n">
        <v>0.003</v>
      </c>
      <c r="CP6" s="43" t="n">
        <v>0.003</v>
      </c>
      <c r="CQ6" s="45" t="n"/>
      <c r="CR6" s="44" t="n">
        <v>0.003</v>
      </c>
      <c r="CS6" s="44" t="n">
        <v>0.003</v>
      </c>
      <c r="CT6" s="46" t="n"/>
      <c r="CU6" s="43" t="n">
        <v>0.003</v>
      </c>
      <c r="CV6" s="43" t="n">
        <v>0.003</v>
      </c>
      <c r="CW6" s="45" t="n"/>
      <c r="CX6" s="44" t="n">
        <v>0.003</v>
      </c>
      <c r="CY6" s="44" t="n">
        <v>0.003</v>
      </c>
      <c r="CZ6" s="46" t="n"/>
      <c r="DA6" s="43" t="n">
        <v>0.003</v>
      </c>
      <c r="DB6" s="43" t="n">
        <v>0.003</v>
      </c>
      <c r="DC6" s="45" t="n"/>
      <c r="DD6" s="44" t="n">
        <v>0.003</v>
      </c>
      <c r="DE6" s="44" t="n">
        <v>0.003</v>
      </c>
      <c r="DF6" s="46" t="n"/>
      <c r="DG6" s="43" t="n">
        <v>0.003</v>
      </c>
      <c r="DH6" s="43" t="n">
        <v>0.003</v>
      </c>
      <c r="DI6" s="44" t="n">
        <v>0.003</v>
      </c>
      <c r="DJ6" s="44" t="n">
        <v>0.003</v>
      </c>
      <c r="DK6" s="44" t="n">
        <v>0.003</v>
      </c>
      <c r="DL6" s="43" t="n">
        <v>0.003</v>
      </c>
      <c r="DM6" s="43" t="n">
        <v>0.003</v>
      </c>
      <c r="DN6" s="43" t="n">
        <v>0.003</v>
      </c>
    </row>
    <row r="7">
      <c r="A7" s="2" t="inlineStr">
        <is>
          <t>Contraction Revenue</t>
        </is>
      </c>
      <c r="B7" s="10">
        <f>IF(COUNT(AR7,AO7,AL7,AI7,AF7,AC7,Z7,W7,T7,Q7,N7,K7)=0,"",SUM(AR7,AO7,AL7,AI7,AF7,AC7,Z7,W7,T7,Q7,N7,K7))</f>
        <v/>
      </c>
      <c r="C7" s="10">
        <f>IF(COUNT(AS7,AP7,AM7,AJ7,AG7,AD7,AA7,X7,U7,R7,O7,L7)=0,"",SUM(AS7,AP7,AM7,AJ7,AG7,AD7,AA7,X7,U7,R7,O7,L7))</f>
        <v/>
      </c>
      <c r="D7" s="10">
        <f>IF(COUNT(AT7,AQ7,AN7,AK7,AH7,AE7,AB7,Y7,V7,S7,P7,M7)=0,"",SUM(AT7,AQ7,AN7,AK7,AH7,AE7,AB7,Y7,V7,S7,P7,M7))</f>
        <v/>
      </c>
      <c r="E7" s="11">
        <f>IF(COUNT(CB7,BY7,BV7,BS7,BP7,BM7,BJ7,BG7,BD7,BA7,AX7,AU7)=0,"",SUM(CB7,BY7,BV7,BS7,BP7,BM7,BJ7,BG7,BD7,BA7,AX7,AU7))</f>
        <v/>
      </c>
      <c r="F7" s="11">
        <f>IF(COUNT(CC7,BZ7,BW7,BT7,BQ7,BN7,BK7,BH7,BE7,BB7,AY7,AV7)=0,"",SUM(CC7,BZ7,BW7,BT7,BQ7,BN7,BK7,BH7,BE7,BB7,AY7,AV7))</f>
        <v/>
      </c>
      <c r="G7" s="11">
        <f>IF(COUNT(CD7,CA7,BX7,BU7,BR7,BO7,BL7,BI7,BF7,BC7,AZ7,AW7)=0,"",SUM(CD7,CA7,BX7,BU7,BR7,BO7,BL7,BI7,BF7,BC7,AZ7,AW7))</f>
        <v/>
      </c>
      <c r="H7" s="10">
        <f>IF(COUNT(DL7,DI7,DF7,DC7,CZ7,CW7,CT7,CQ7,CN7,CK7,CH7,CE7)=0,"",SUM(DL7,DI7,DF7,DC7,CZ7,CW7,CT7,CQ7,CN7,CK7,CH7,CE7))</f>
        <v/>
      </c>
      <c r="I7" s="10">
        <f>IF(COUNT(DM7,DJ7,DG7,DD7,DA7,CX7,CU7,CR7,CO7,CL7,CI7,CF7)=0,"",SUM(DM7,DJ7,DG7,DD7,DA7,CX7,CU7,CR7,CO7,CL7,CI7,CF7))</f>
        <v/>
      </c>
      <c r="J7" s="10">
        <f>IF(COUNT(DN7,DK7,DH7,DE7,DB7,CY7,CV7,CS7,CP7,CM7,CJ7,CG7)=0,"",SUM(DN7,DK7,DH7,DE7,DB7,CY7,CV7,CS7,CP7,CM7,CJ7,CG7))</f>
        <v/>
      </c>
      <c r="K7" s="11">
        <f>IF(COUNT(K3,K6)=2,K3*K6,"")</f>
        <v/>
      </c>
      <c r="L7" s="11">
        <f>L3*L6</f>
        <v/>
      </c>
      <c r="M7" s="11">
        <f>M3*M6</f>
        <v/>
      </c>
      <c r="N7" s="10">
        <f>IF(COUNT(N3,N6)=2,N3*N6,"")</f>
        <v/>
      </c>
      <c r="O7" s="10">
        <f>O3*O6</f>
        <v/>
      </c>
      <c r="P7" s="10">
        <f>P3*P6</f>
        <v/>
      </c>
      <c r="Q7" s="11">
        <f>IF(COUNT(Q3,Q6)=2,Q3*Q6,"")</f>
        <v/>
      </c>
      <c r="R7" s="11">
        <f>R3*R6</f>
        <v/>
      </c>
      <c r="S7" s="11">
        <f>S3*S6</f>
        <v/>
      </c>
      <c r="T7" s="10">
        <f>IF(COUNT(T3,T6)=2,T3*T6,"")</f>
        <v/>
      </c>
      <c r="U7" s="10">
        <f>U3*U6</f>
        <v/>
      </c>
      <c r="V7" s="10">
        <f>V3*V6</f>
        <v/>
      </c>
      <c r="W7" s="11">
        <f>IF(COUNT(W3,W6)=2,W3*W6,"")</f>
        <v/>
      </c>
      <c r="X7" s="11">
        <f>X3*X6</f>
        <v/>
      </c>
      <c r="Y7" s="11">
        <f>Y3*Y6</f>
        <v/>
      </c>
      <c r="Z7" s="10">
        <f>IF(COUNT(Z3,Z6)=2,Z3*Z6,"")</f>
        <v/>
      </c>
      <c r="AA7" s="10">
        <f>AA3*AA6</f>
        <v/>
      </c>
      <c r="AB7" s="10">
        <f>AB3*AB6</f>
        <v/>
      </c>
      <c r="AC7" s="11">
        <f>IF(COUNT(AC3,AC6)=2,AC3*AC6,"")</f>
        <v/>
      </c>
      <c r="AD7" s="11">
        <f>AD3*AD6</f>
        <v/>
      </c>
      <c r="AE7" s="11">
        <f>AE3*AE6</f>
        <v/>
      </c>
      <c r="AF7" s="10">
        <f>IF(COUNT(AF3,AF6)=2,AF3*AF6,"")</f>
        <v/>
      </c>
      <c r="AG7" s="10">
        <f>AG3*AG6</f>
        <v/>
      </c>
      <c r="AH7" s="10">
        <f>AH3*AH6</f>
        <v/>
      </c>
      <c r="AI7" s="11">
        <f>IF(COUNT(AI3,AI6)=2,AI3*AI6,"")</f>
        <v/>
      </c>
      <c r="AJ7" s="11">
        <f>AJ3*AJ6</f>
        <v/>
      </c>
      <c r="AK7" s="11">
        <f>AK3*AK6</f>
        <v/>
      </c>
      <c r="AL7" s="10">
        <f>IF(COUNT(AL3,AL6)=2,AL3*AL6,"")</f>
        <v/>
      </c>
      <c r="AM7" s="10">
        <f>AM3*AM6</f>
        <v/>
      </c>
      <c r="AN7" s="10">
        <f>AN3*AN6</f>
        <v/>
      </c>
      <c r="AO7" s="11">
        <f>IF(COUNT(AO3,AO6)=2,AO3*AO6,"")</f>
        <v/>
      </c>
      <c r="AP7" s="11">
        <f>AP3*AP6</f>
        <v/>
      </c>
      <c r="AQ7" s="11">
        <f>AQ3*AQ6</f>
        <v/>
      </c>
      <c r="AR7" s="10">
        <f>IF(COUNT(AR3,AR6)=2,AR3*AR6,"")</f>
        <v/>
      </c>
      <c r="AS7" s="10">
        <f>AS3*AS6</f>
        <v/>
      </c>
      <c r="AT7" s="10">
        <f>AT3*AT6</f>
        <v/>
      </c>
      <c r="AU7" s="11">
        <f>IF(COUNT(AU3,AU6)=2,AU3*AU6,"")</f>
        <v/>
      </c>
      <c r="AV7" s="11">
        <f>AV3*AV6</f>
        <v/>
      </c>
      <c r="AW7" s="11">
        <f>AW3*AW6</f>
        <v/>
      </c>
      <c r="AX7" s="10">
        <f>IF(COUNT(AX3,AX6)=2,AX3*AX6,"")</f>
        <v/>
      </c>
      <c r="AY7" s="10">
        <f>AY3*AY6</f>
        <v/>
      </c>
      <c r="AZ7" s="10">
        <f>AZ3*AZ6</f>
        <v/>
      </c>
      <c r="BA7" s="11">
        <f>IF(COUNT(BA3,BA6)=2,BA3*BA6,"")</f>
        <v/>
      </c>
      <c r="BB7" s="11">
        <f>BB3*BB6</f>
        <v/>
      </c>
      <c r="BC7" s="11">
        <f>BC3*BC6</f>
        <v/>
      </c>
      <c r="BD7" s="10">
        <f>IF(COUNT(BD3,BD6)=2,BD3*BD6,"")</f>
        <v/>
      </c>
      <c r="BE7" s="10">
        <f>BE3*BE6</f>
        <v/>
      </c>
      <c r="BF7" s="10">
        <f>BF3*BF6</f>
        <v/>
      </c>
      <c r="BG7" s="11">
        <f>IF(COUNT(BG3,BG6)=2,BG3*BG6,"")</f>
        <v/>
      </c>
      <c r="BH7" s="11">
        <f>BH3*BH6</f>
        <v/>
      </c>
      <c r="BI7" s="11">
        <f>BI3*BI6</f>
        <v/>
      </c>
      <c r="BJ7" s="10">
        <f>IF(COUNT(BJ3,BJ6)=2,BJ3*BJ6,"")</f>
        <v/>
      </c>
      <c r="BK7" s="10">
        <f>BK3*BK6</f>
        <v/>
      </c>
      <c r="BL7" s="10">
        <f>BL3*BL6</f>
        <v/>
      </c>
      <c r="BM7" s="11">
        <f>IF(COUNT(BM3,BM6)=2,BM3*BM6,"")</f>
        <v/>
      </c>
      <c r="BN7" s="11">
        <f>BN3*BN6</f>
        <v/>
      </c>
      <c r="BO7" s="11">
        <f>BO3*BO6</f>
        <v/>
      </c>
      <c r="BP7" s="10">
        <f>IF(COUNT(BP3,BP6)=2,BP3*BP6,"")</f>
        <v/>
      </c>
      <c r="BQ7" s="10">
        <f>BQ3*BQ6</f>
        <v/>
      </c>
      <c r="BR7" s="10">
        <f>BR3*BR6</f>
        <v/>
      </c>
      <c r="BS7" s="11">
        <f>IF(COUNT(BS3,BS6)=2,BS3*BS6,"")</f>
        <v/>
      </c>
      <c r="BT7" s="11">
        <f>BT3*BT6</f>
        <v/>
      </c>
      <c r="BU7" s="11">
        <f>BU3*BU6</f>
        <v/>
      </c>
      <c r="BV7" s="10">
        <f>IF(COUNT(BV3,BV6)=2,BV3*BV6,"")</f>
        <v/>
      </c>
      <c r="BW7" s="10">
        <f>BW3*BW6</f>
        <v/>
      </c>
      <c r="BX7" s="10">
        <f>BX3*BX6</f>
        <v/>
      </c>
      <c r="BY7" s="11">
        <f>IF(COUNT(BY3,BY6)=2,BY3*BY6,"")</f>
        <v/>
      </c>
      <c r="BZ7" s="11">
        <f>BZ3*BZ6</f>
        <v/>
      </c>
      <c r="CA7" s="11">
        <f>CA3*CA6</f>
        <v/>
      </c>
      <c r="CB7" s="10">
        <f>IF(COUNT(CB3,CB6)=2,CB3*CB6,"")</f>
        <v/>
      </c>
      <c r="CC7" s="10">
        <f>CC3*CC6</f>
        <v/>
      </c>
      <c r="CD7" s="10">
        <f>CD3*CD6</f>
        <v/>
      </c>
      <c r="CE7" s="11">
        <f>IF(COUNT(CE3,CE6)=2,CE3*CE6,"")</f>
        <v/>
      </c>
      <c r="CF7" s="11">
        <f>CF3*CF6</f>
        <v/>
      </c>
      <c r="CG7" s="11">
        <f>CG3*CG6</f>
        <v/>
      </c>
      <c r="CH7" s="10">
        <f>IF(COUNT(CH3,CH6)=2,CH3*CH6,"")</f>
        <v/>
      </c>
      <c r="CI7" s="10">
        <f>CI3*CI6</f>
        <v/>
      </c>
      <c r="CJ7" s="10">
        <f>CJ3*CJ6</f>
        <v/>
      </c>
      <c r="CK7" s="11">
        <f>IF(COUNT(CK3,CK6)=2,CK3*CK6,"")</f>
        <v/>
      </c>
      <c r="CL7" s="11">
        <f>CL3*CL6</f>
        <v/>
      </c>
      <c r="CM7" s="11">
        <f>CM3*CM6</f>
        <v/>
      </c>
      <c r="CN7" s="10">
        <f>IF(COUNT(CN3,CN6)=2,CN3*CN6,"")</f>
        <v/>
      </c>
      <c r="CO7" s="10">
        <f>CO3*CO6</f>
        <v/>
      </c>
      <c r="CP7" s="10">
        <f>CP3*CP6</f>
        <v/>
      </c>
      <c r="CQ7" s="11">
        <f>IF(COUNT(CQ3,CQ6)=2,CQ3*CQ6,"")</f>
        <v/>
      </c>
      <c r="CR7" s="11">
        <f>CR3*CR6</f>
        <v/>
      </c>
      <c r="CS7" s="11">
        <f>CS3*CS6</f>
        <v/>
      </c>
      <c r="CT7" s="10">
        <f>IF(COUNT(CT3,CT6)=2,CT3*CT6,"")</f>
        <v/>
      </c>
      <c r="CU7" s="10">
        <f>CU3*CU6</f>
        <v/>
      </c>
      <c r="CV7" s="10">
        <f>CV3*CV6</f>
        <v/>
      </c>
      <c r="CW7" s="11">
        <f>IF(COUNT(CW3,CW6)=2,CW3*CW6,"")</f>
        <v/>
      </c>
      <c r="CX7" s="11">
        <f>CX3*CX6</f>
        <v/>
      </c>
      <c r="CY7" s="11">
        <f>CY3*CY6</f>
        <v/>
      </c>
      <c r="CZ7" s="10">
        <f>IF(COUNT(CZ3,CZ6)=2,CZ3*CZ6,"")</f>
        <v/>
      </c>
      <c r="DA7" s="10">
        <f>DA3*DA6</f>
        <v/>
      </c>
      <c r="DB7" s="10">
        <f>DB3*DB6</f>
        <v/>
      </c>
      <c r="DC7" s="11">
        <f>IF(COUNT(DC3,DC6)=2,DC3*DC6,"")</f>
        <v/>
      </c>
      <c r="DD7" s="11">
        <f>DD3*DD6</f>
        <v/>
      </c>
      <c r="DE7" s="11">
        <f>DE3*DE6</f>
        <v/>
      </c>
      <c r="DF7" s="10">
        <f>IF(COUNT(DF3,DF6)=2,DF3*DF6,"")</f>
        <v/>
      </c>
      <c r="DG7" s="10">
        <f>DG3*DG6</f>
        <v/>
      </c>
      <c r="DH7" s="10">
        <f>DH3*DH6</f>
        <v/>
      </c>
      <c r="DI7" s="11">
        <f>IF(COUNT(DI3,DI6)=2,DI3*DI6,"")</f>
        <v/>
      </c>
      <c r="DJ7" s="11">
        <f>DJ3*DJ6</f>
        <v/>
      </c>
      <c r="DK7" s="11">
        <f>DK3*DK6</f>
        <v/>
      </c>
      <c r="DL7" s="10">
        <f>IF(COUNT(DL3,DL6)=2,DL3*DL6,"")</f>
        <v/>
      </c>
      <c r="DM7" s="10">
        <f>DM3*DM6</f>
        <v/>
      </c>
      <c r="DN7" s="10">
        <f>DN3*DN6</f>
        <v/>
      </c>
    </row>
    <row r="8">
      <c r="A8" s="15" t="inlineStr">
        <is>
          <t>Revenue Churn Rate</t>
        </is>
      </c>
      <c r="B8" s="43">
        <f>IF(SUM(AR3,AO3,AL3,AI3,AF3,AC3,Z3,W3,T3,Q3,N3,K3)=0,"",SUM(AR9,AO9,AL9,AI9,AF9,AC9,Z9,W9,T9,Q9,N9,K9)/SUM(AR3,AO3,AL3,AI3,AF3,AC3,Z3,W3,T3,Q3,N3,K3))</f>
        <v/>
      </c>
      <c r="C8" s="43">
        <f>IF(SUM(AS3,AP3,AM3,AJ3,AG3,AD3,AA3,X3,U3,R3,O3,L3)=0,"",SUM(AS9,AP9,AM9,AJ9,AG9,AD9,AA9,X9,U9,R9,O9,L9)/SUM(AS3,AP3,AM3,AJ3,AG3,AD3,AA3,X3,U3,R3,O3,L3))</f>
        <v/>
      </c>
      <c r="D8" s="43">
        <f>IF(SUM(AT3,AQ3,AN3,AK3,AH3,AE3,AB3,Y3,V3,S3,P3,M3)=0,"",SUM(AT9,AQ9,AN9,AK9,AH9,AE9,AB9,Y9,V9,S9,P9,M9)/SUM(AT3,AQ3,AN3,AK3,AH3,AE3,AB3,Y3,V3,S3,P3,M3))</f>
        <v/>
      </c>
      <c r="E8" s="44">
        <f>IF(SUM(CB3,BY3,BV3,BS3,BP3,BM3,BJ3,BG3,BD3,BA3,AX3,AU3)=0,"",SUM(CB9,BY9,BV9,BS9,BP9,BM9,BJ9,BG9,BD9,BA9,AX9,AU9)/SUM(CB3,BY3,BV3,BS3,BP3,BM3,BJ3,BG3,BD3,BA3,AX3,AU3))</f>
        <v/>
      </c>
      <c r="F8" s="44">
        <f>IF(SUM(CC3,BZ3,BW3,BT3,BQ3,BN3,BK3,BH3,BE3,BB3,AY3,AV3)=0,"",SUM(CC9,BZ9,BW9,BT9,BQ9,BN9,BK9,BH9,BE9,BB9,AY9,AV9)/SUM(CC3,BZ3,BW3,BT3,BQ3,BN3,BK3,BH3,BE3,BB3,AY3,AV3))</f>
        <v/>
      </c>
      <c r="G8" s="44">
        <f>IF(SUM(CD3,CA3,BX3,BU3,BR3,BO3,BL3,BI3,BF3,BC3,AZ3,AW3)=0,"",SUM(CD9,CA9,BX9,BU9,BR9,BO9,BL9,BI9,BF9,BC9,AZ9,AW9)/SUM(CD3,CA3,BX3,BU3,BR3,BO3,BL3,BI3,BF3,BC3,AZ3,AW3))</f>
        <v/>
      </c>
      <c r="H8" s="43">
        <f>IF(SUM(DL3,DI3,DF3,DC3,CZ3,CW3,CT3,CQ3,CN3,CK3,CH3,CE3)=0,"",SUM(DL9,DI9,DF9,DC9,CZ9,CW9,CT9,CQ9,CN9,CK9,CH9,CE9)/SUM(DL3,DI3,DF3,DC3,CZ3,CW3,CT3,CQ3,CN3,CK3,CH3,CE3))</f>
        <v/>
      </c>
      <c r="I8" s="43">
        <f>IF(SUM(DM3,DJ3,DG3,DD3,DA3,CX3,CU3,CR3,CO3,CL3,CI3,CF3)=0,"",SUM(DM9,DJ9,DG9,DD9,DA9,CX9,CU9,CR9,CO9,CL9,CI9,CF9)/SUM(DM3,DJ3,DG3,DD3,DA3,CX3,CU3,CR3,CO3,CL3,CI3,CF3))</f>
        <v/>
      </c>
      <c r="J8" s="43">
        <f>IF(SUM(DN3,DK3,DH3,DE3,DB3,CY3,CV3,CS3,CP3,CM3,CJ3,CG3)=0,"",SUM(DN9,DK9,DH9,DE9,DB9,CY9,CV9,CS9,CP9,CM9,CJ9,CG9)/SUM(DN3,DK3,DH3,DE3,DB3,CY3,CV3,CS3,CP3,CM3,CJ3,CG3))</f>
        <v/>
      </c>
      <c r="K8" s="44">
        <f>IF(COUNT(K16)=1,K16,"")</f>
        <v/>
      </c>
      <c r="L8" s="44">
        <f>L16</f>
        <v/>
      </c>
      <c r="M8" s="44">
        <f>M16</f>
        <v/>
      </c>
      <c r="N8" s="43">
        <f>IF(COUNT(N16)=1,N16,"")</f>
        <v/>
      </c>
      <c r="O8" s="43">
        <f>O16</f>
        <v/>
      </c>
      <c r="P8" s="43">
        <f>P16</f>
        <v/>
      </c>
      <c r="Q8" s="44">
        <f>IF(COUNT(Q16)=1,Q16,"")</f>
        <v/>
      </c>
      <c r="R8" s="44">
        <f>R16</f>
        <v/>
      </c>
      <c r="S8" s="44">
        <f>S16</f>
        <v/>
      </c>
      <c r="T8" s="43">
        <f>IF(COUNT(T16)=1,T16,"")</f>
        <v/>
      </c>
      <c r="U8" s="43">
        <f>U16</f>
        <v/>
      </c>
      <c r="V8" s="43">
        <f>V16</f>
        <v/>
      </c>
      <c r="W8" s="44">
        <f>IF(COUNT(W16)=1,W16,"")</f>
        <v/>
      </c>
      <c r="X8" s="44">
        <f>X16</f>
        <v/>
      </c>
      <c r="Y8" s="44">
        <f>Y16</f>
        <v/>
      </c>
      <c r="Z8" s="43">
        <f>IF(COUNT(Z16)=1,Z16,"")</f>
        <v/>
      </c>
      <c r="AA8" s="43">
        <f>AA16</f>
        <v/>
      </c>
      <c r="AB8" s="43">
        <f>AB16</f>
        <v/>
      </c>
      <c r="AC8" s="44">
        <f>IF(COUNT(AC16)=1,AC16,"")</f>
        <v/>
      </c>
      <c r="AD8" s="44">
        <f>AD16</f>
        <v/>
      </c>
      <c r="AE8" s="44">
        <f>AE16</f>
        <v/>
      </c>
      <c r="AF8" s="43">
        <f>IF(COUNT(AF16)=1,AF16,"")</f>
        <v/>
      </c>
      <c r="AG8" s="43">
        <f>AG16</f>
        <v/>
      </c>
      <c r="AH8" s="43">
        <f>AH16</f>
        <v/>
      </c>
      <c r="AI8" s="44">
        <f>IF(COUNT(AI16)=1,AI16,"")</f>
        <v/>
      </c>
      <c r="AJ8" s="44">
        <f>AJ16</f>
        <v/>
      </c>
      <c r="AK8" s="44">
        <f>AK16</f>
        <v/>
      </c>
      <c r="AL8" s="43">
        <f>IF(COUNT(AL16)=1,AL16,"")</f>
        <v/>
      </c>
      <c r="AM8" s="43">
        <f>AM16</f>
        <v/>
      </c>
      <c r="AN8" s="43">
        <f>AN16</f>
        <v/>
      </c>
      <c r="AO8" s="44">
        <f>IF(COUNT(AO16)=1,AO16,"")</f>
        <v/>
      </c>
      <c r="AP8" s="44">
        <f>AP16</f>
        <v/>
      </c>
      <c r="AQ8" s="44">
        <f>AQ16</f>
        <v/>
      </c>
      <c r="AR8" s="43">
        <f>IF(COUNT(AR16)=1,AR16,"")</f>
        <v/>
      </c>
      <c r="AS8" s="43">
        <f>AS16</f>
        <v/>
      </c>
      <c r="AT8" s="43">
        <f>AT16</f>
        <v/>
      </c>
      <c r="AU8" s="44">
        <f>IF(COUNT(AU16)=1,AU16,"")</f>
        <v/>
      </c>
      <c r="AV8" s="44">
        <f>AV16</f>
        <v/>
      </c>
      <c r="AW8" s="44">
        <f>AW16</f>
        <v/>
      </c>
      <c r="AX8" s="43">
        <f>IF(COUNT(AX16)=1,AX16,"")</f>
        <v/>
      </c>
      <c r="AY8" s="43">
        <f>AY16</f>
        <v/>
      </c>
      <c r="AZ8" s="43">
        <f>AZ16</f>
        <v/>
      </c>
      <c r="BA8" s="44">
        <f>IF(COUNT(BA16)=1,BA16,"")</f>
        <v/>
      </c>
      <c r="BB8" s="44">
        <f>BB16</f>
        <v/>
      </c>
      <c r="BC8" s="44">
        <f>BC16</f>
        <v/>
      </c>
      <c r="BD8" s="43">
        <f>IF(COUNT(BD16)=1,BD16,"")</f>
        <v/>
      </c>
      <c r="BE8" s="43">
        <f>BE16</f>
        <v/>
      </c>
      <c r="BF8" s="43">
        <f>BF16</f>
        <v/>
      </c>
      <c r="BG8" s="44">
        <f>IF(COUNT(BG16)=1,BG16,"")</f>
        <v/>
      </c>
      <c r="BH8" s="44">
        <f>BH16</f>
        <v/>
      </c>
      <c r="BI8" s="44">
        <f>BI16</f>
        <v/>
      </c>
      <c r="BJ8" s="43">
        <f>IF(COUNT(BJ16)=1,BJ16,"")</f>
        <v/>
      </c>
      <c r="BK8" s="43">
        <f>BK16</f>
        <v/>
      </c>
      <c r="BL8" s="43">
        <f>BL16</f>
        <v/>
      </c>
      <c r="BM8" s="44">
        <f>IF(COUNT(BM16)=1,BM16,"")</f>
        <v/>
      </c>
      <c r="BN8" s="44">
        <f>BN16</f>
        <v/>
      </c>
      <c r="BO8" s="44">
        <f>BO16</f>
        <v/>
      </c>
      <c r="BP8" s="43">
        <f>IF(COUNT(BP16)=1,BP16,"")</f>
        <v/>
      </c>
      <c r="BQ8" s="43">
        <f>BQ16</f>
        <v/>
      </c>
      <c r="BR8" s="43">
        <f>BR16</f>
        <v/>
      </c>
      <c r="BS8" s="44">
        <f>IF(COUNT(BS16)=1,BS16,"")</f>
        <v/>
      </c>
      <c r="BT8" s="44">
        <f>BT16</f>
        <v/>
      </c>
      <c r="BU8" s="44">
        <f>BU16</f>
        <v/>
      </c>
      <c r="BV8" s="43">
        <f>IF(COUNT(BV16)=1,BV16,"")</f>
        <v/>
      </c>
      <c r="BW8" s="43">
        <f>BW16</f>
        <v/>
      </c>
      <c r="BX8" s="43">
        <f>BX16</f>
        <v/>
      </c>
      <c r="BY8" s="44">
        <f>IF(COUNT(BY16)=1,BY16,"")</f>
        <v/>
      </c>
      <c r="BZ8" s="44">
        <f>BZ16</f>
        <v/>
      </c>
      <c r="CA8" s="44">
        <f>CA16</f>
        <v/>
      </c>
      <c r="CB8" s="43">
        <f>IF(COUNT(CB16)=1,CB16,"")</f>
        <v/>
      </c>
      <c r="CC8" s="43">
        <f>CC16</f>
        <v/>
      </c>
      <c r="CD8" s="43">
        <f>CD16</f>
        <v/>
      </c>
      <c r="CE8" s="44">
        <f>IF(COUNT(CE16)=1,CE16,"")</f>
        <v/>
      </c>
      <c r="CF8" s="44">
        <f>CF16</f>
        <v/>
      </c>
      <c r="CG8" s="44">
        <f>CG16</f>
        <v/>
      </c>
      <c r="CH8" s="43">
        <f>IF(COUNT(CH16)=1,CH16,"")</f>
        <v/>
      </c>
      <c r="CI8" s="43">
        <f>CI16</f>
        <v/>
      </c>
      <c r="CJ8" s="43">
        <f>CJ16</f>
        <v/>
      </c>
      <c r="CK8" s="44">
        <f>IF(COUNT(CK16)=1,CK16,"")</f>
        <v/>
      </c>
      <c r="CL8" s="44">
        <f>CL16</f>
        <v/>
      </c>
      <c r="CM8" s="44">
        <f>CM16</f>
        <v/>
      </c>
      <c r="CN8" s="43">
        <f>IF(COUNT(CN16)=1,CN16,"")</f>
        <v/>
      </c>
      <c r="CO8" s="43">
        <f>CO16</f>
        <v/>
      </c>
      <c r="CP8" s="43">
        <f>CP16</f>
        <v/>
      </c>
      <c r="CQ8" s="44">
        <f>IF(COUNT(CQ16)=1,CQ16,"")</f>
        <v/>
      </c>
      <c r="CR8" s="44">
        <f>CR16</f>
        <v/>
      </c>
      <c r="CS8" s="44">
        <f>CS16</f>
        <v/>
      </c>
      <c r="CT8" s="43">
        <f>IF(COUNT(CT16)=1,CT16,"")</f>
        <v/>
      </c>
      <c r="CU8" s="43">
        <f>CU16</f>
        <v/>
      </c>
      <c r="CV8" s="43">
        <f>CV16</f>
        <v/>
      </c>
      <c r="CW8" s="44">
        <f>IF(COUNT(CW16)=1,CW16,"")</f>
        <v/>
      </c>
      <c r="CX8" s="44">
        <f>CX16</f>
        <v/>
      </c>
      <c r="CY8" s="44">
        <f>CY16</f>
        <v/>
      </c>
      <c r="CZ8" s="43">
        <f>IF(COUNT(CZ16)=1,CZ16,"")</f>
        <v/>
      </c>
      <c r="DA8" s="43">
        <f>DA16</f>
        <v/>
      </c>
      <c r="DB8" s="43">
        <f>DB16</f>
        <v/>
      </c>
      <c r="DC8" s="44">
        <f>IF(COUNT(DC16)=1,DC16,"")</f>
        <v/>
      </c>
      <c r="DD8" s="44">
        <f>DD16</f>
        <v/>
      </c>
      <c r="DE8" s="44">
        <f>DE16</f>
        <v/>
      </c>
      <c r="DF8" s="43">
        <f>IF(COUNT(DF16)=1,DF16,"")</f>
        <v/>
      </c>
      <c r="DG8" s="43">
        <f>DG16</f>
        <v/>
      </c>
      <c r="DH8" s="43">
        <f>DH16</f>
        <v/>
      </c>
      <c r="DI8" s="44">
        <f>IF(COUNT(DI16)=1,DI16,"")</f>
        <v/>
      </c>
      <c r="DJ8" s="44">
        <f>DJ16</f>
        <v/>
      </c>
      <c r="DK8" s="44">
        <f>DK16</f>
        <v/>
      </c>
      <c r="DL8" s="43">
        <f>IF(COUNT(DL16)=1,DL16,"")</f>
        <v/>
      </c>
      <c r="DM8" s="43">
        <f>DM16</f>
        <v/>
      </c>
      <c r="DN8" s="43">
        <f>DN16</f>
        <v/>
      </c>
    </row>
    <row r="9">
      <c r="A9" s="2" t="inlineStr">
        <is>
          <t>Churned Revenue</t>
        </is>
      </c>
      <c r="B9" s="10">
        <f>IF(COUNT(AR9,AO9,AL9,AI9,AF9,AC9,Z9,W9,T9,Q9,N9,K9)=0,"",SUM(AR9,AO9,AL9,AI9,AF9,AC9,Z9,W9,T9,Q9,N9,K9))</f>
        <v/>
      </c>
      <c r="C9" s="10">
        <f>IF(COUNT(AS9,AP9,AM9,AJ9,AG9,AD9,AA9,X9,U9,R9,O9,L9)=0,"",SUM(AS9,AP9,AM9,AJ9,AG9,AD9,AA9,X9,U9,R9,O9,L9))</f>
        <v/>
      </c>
      <c r="D9" s="10">
        <f>IF(COUNT(AT9,AQ9,AN9,AK9,AH9,AE9,AB9,Y9,V9,S9,P9,M9)=0,"",SUM(AT9,AQ9,AN9,AK9,AH9,AE9,AB9,Y9,V9,S9,P9,M9))</f>
        <v/>
      </c>
      <c r="E9" s="11">
        <f>IF(COUNT(CB9,BY9,BV9,BS9,BP9,BM9,BJ9,BG9,BD9,BA9,AX9,AU9)=0,"",SUM(CB9,BY9,BV9,BS9,BP9,BM9,BJ9,BG9,BD9,BA9,AX9,AU9))</f>
        <v/>
      </c>
      <c r="F9" s="11">
        <f>IF(COUNT(CC9,BZ9,BW9,BT9,BQ9,BN9,BK9,BH9,BE9,BB9,AY9,AV9)=0,"",SUM(CC9,BZ9,BW9,BT9,BQ9,BN9,BK9,BH9,BE9,BB9,AY9,AV9))</f>
        <v/>
      </c>
      <c r="G9" s="11">
        <f>IF(COUNT(CD9,CA9,BX9,BU9,BR9,BO9,BL9,BI9,BF9,BC9,AZ9,AW9)=0,"",SUM(CD9,CA9,BX9,BU9,BR9,BO9,BL9,BI9,BF9,BC9,AZ9,AW9))</f>
        <v/>
      </c>
      <c r="H9" s="10">
        <f>IF(COUNT(DL9,DI9,DF9,DC9,CZ9,CW9,CT9,CQ9,CN9,CK9,CH9,CE9)=0,"",SUM(DL9,DI9,DF9,DC9,CZ9,CW9,CT9,CQ9,CN9,CK9,CH9,CE9))</f>
        <v/>
      </c>
      <c r="I9" s="10">
        <f>IF(COUNT(DM9,DJ9,DG9,DD9,DA9,CX9,CU9,CR9,CO9,CL9,CI9,CF9)=0,"",SUM(DM9,DJ9,DG9,DD9,DA9,CX9,CU9,CR9,CO9,CL9,CI9,CF9))</f>
        <v/>
      </c>
      <c r="J9" s="10">
        <f>IF(COUNT(DN9,DK9,DH9,DE9,DB9,CY9,CV9,CS9,CP9,CM9,CJ9,CG9)=0,"",SUM(DN9,DK9,DH9,DE9,DB9,CY9,CV9,CS9,CP9,CM9,CJ9,CG9))</f>
        <v/>
      </c>
      <c r="K9" s="11">
        <f>IF(COUNT(K3,K8)=2,K3*K8,"")</f>
        <v/>
      </c>
      <c r="L9" s="11">
        <f>L3*L8</f>
        <v/>
      </c>
      <c r="M9" s="11">
        <f>M3*M8</f>
        <v/>
      </c>
      <c r="N9" s="10">
        <f>IF(COUNT(N3,N8)=2,N3*N8,"")</f>
        <v/>
      </c>
      <c r="O9" s="10">
        <f>O3*O8</f>
        <v/>
      </c>
      <c r="P9" s="10">
        <f>P3*P8</f>
        <v/>
      </c>
      <c r="Q9" s="11">
        <f>IF(COUNT(Q3,Q8)=2,Q3*Q8,"")</f>
        <v/>
      </c>
      <c r="R9" s="11">
        <f>R3*R8</f>
        <v/>
      </c>
      <c r="S9" s="11">
        <f>S3*S8</f>
        <v/>
      </c>
      <c r="T9" s="10">
        <f>IF(COUNT(T3,T8)=2,T3*T8,"")</f>
        <v/>
      </c>
      <c r="U9" s="10">
        <f>U3*U8</f>
        <v/>
      </c>
      <c r="V9" s="10">
        <f>V3*V8</f>
        <v/>
      </c>
      <c r="W9" s="11">
        <f>IF(COUNT(W3,W8)=2,W3*W8,"")</f>
        <v/>
      </c>
      <c r="X9" s="11">
        <f>X3*X8</f>
        <v/>
      </c>
      <c r="Y9" s="11">
        <f>Y3*Y8</f>
        <v/>
      </c>
      <c r="Z9" s="10">
        <f>IF(COUNT(Z3,Z8)=2,Z3*Z8,"")</f>
        <v/>
      </c>
      <c r="AA9" s="10">
        <f>AA3*AA8</f>
        <v/>
      </c>
      <c r="AB9" s="10">
        <f>AB3*AB8</f>
        <v/>
      </c>
      <c r="AC9" s="11">
        <f>IF(COUNT(AC3,AC8)=2,AC3*AC8,"")</f>
        <v/>
      </c>
      <c r="AD9" s="11">
        <f>AD3*AD8</f>
        <v/>
      </c>
      <c r="AE9" s="11">
        <f>AE3*AE8</f>
        <v/>
      </c>
      <c r="AF9" s="10">
        <f>IF(COUNT(AF3,AF8)=2,AF3*AF8,"")</f>
        <v/>
      </c>
      <c r="AG9" s="10">
        <f>AG3*AG8</f>
        <v/>
      </c>
      <c r="AH9" s="10">
        <f>AH3*AH8</f>
        <v/>
      </c>
      <c r="AI9" s="11">
        <f>IF(COUNT(AI3,AI8)=2,AI3*AI8,"")</f>
        <v/>
      </c>
      <c r="AJ9" s="11">
        <f>AJ3*AJ8</f>
        <v/>
      </c>
      <c r="AK9" s="11">
        <f>AK3*AK8</f>
        <v/>
      </c>
      <c r="AL9" s="10">
        <f>IF(COUNT(AL3,AL8)=2,AL3*AL8,"")</f>
        <v/>
      </c>
      <c r="AM9" s="10">
        <f>AM3*AM8</f>
        <v/>
      </c>
      <c r="AN9" s="10">
        <f>AN3*AN8</f>
        <v/>
      </c>
      <c r="AO9" s="11">
        <f>IF(COUNT(AO3,AO8)=2,AO3*AO8,"")</f>
        <v/>
      </c>
      <c r="AP9" s="11">
        <f>AP3*AP8</f>
        <v/>
      </c>
      <c r="AQ9" s="11">
        <f>AQ3*AQ8</f>
        <v/>
      </c>
      <c r="AR9" s="10">
        <f>IF(COUNT(AR3,AR8)=2,AR3*AR8,"")</f>
        <v/>
      </c>
      <c r="AS9" s="10">
        <f>AS3*AS8</f>
        <v/>
      </c>
      <c r="AT9" s="10">
        <f>AT3*AT8</f>
        <v/>
      </c>
      <c r="AU9" s="11">
        <f>IF(COUNT(AU3,AU8)=2,AU3*AU8,"")</f>
        <v/>
      </c>
      <c r="AV9" s="11">
        <f>AV3*AV8</f>
        <v/>
      </c>
      <c r="AW9" s="11">
        <f>AW3*AW8</f>
        <v/>
      </c>
      <c r="AX9" s="10">
        <f>IF(COUNT(AX3,AX8)=2,AX3*AX8,"")</f>
        <v/>
      </c>
      <c r="AY9" s="10">
        <f>AY3*AY8</f>
        <v/>
      </c>
      <c r="AZ9" s="10">
        <f>AZ3*AZ8</f>
        <v/>
      </c>
      <c r="BA9" s="11">
        <f>IF(COUNT(BA3,BA8)=2,BA3*BA8,"")</f>
        <v/>
      </c>
      <c r="BB9" s="11">
        <f>BB3*BB8</f>
        <v/>
      </c>
      <c r="BC9" s="11">
        <f>BC3*BC8</f>
        <v/>
      </c>
      <c r="BD9" s="10">
        <f>IF(COUNT(BD3,BD8)=2,BD3*BD8,"")</f>
        <v/>
      </c>
      <c r="BE9" s="10">
        <f>BE3*BE8</f>
        <v/>
      </c>
      <c r="BF9" s="10">
        <f>BF3*BF8</f>
        <v/>
      </c>
      <c r="BG9" s="11">
        <f>IF(COUNT(BG3,BG8)=2,BG3*BG8,"")</f>
        <v/>
      </c>
      <c r="BH9" s="11">
        <f>BH3*BH8</f>
        <v/>
      </c>
      <c r="BI9" s="11">
        <f>BI3*BI8</f>
        <v/>
      </c>
      <c r="BJ9" s="10">
        <f>IF(COUNT(BJ3,BJ8)=2,BJ3*BJ8,"")</f>
        <v/>
      </c>
      <c r="BK9" s="10">
        <f>BK3*BK8</f>
        <v/>
      </c>
      <c r="BL9" s="10">
        <f>BL3*BL8</f>
        <v/>
      </c>
      <c r="BM9" s="11">
        <f>IF(COUNT(BM3,BM8)=2,BM3*BM8,"")</f>
        <v/>
      </c>
      <c r="BN9" s="11">
        <f>BN3*BN8</f>
        <v/>
      </c>
      <c r="BO9" s="11">
        <f>BO3*BO8</f>
        <v/>
      </c>
      <c r="BP9" s="10">
        <f>IF(COUNT(BP3,BP8)=2,BP3*BP8,"")</f>
        <v/>
      </c>
      <c r="BQ9" s="10">
        <f>BQ3*BQ8</f>
        <v/>
      </c>
      <c r="BR9" s="10">
        <f>BR3*BR8</f>
        <v/>
      </c>
      <c r="BS9" s="11">
        <f>IF(COUNT(BS3,BS8)=2,BS3*BS8,"")</f>
        <v/>
      </c>
      <c r="BT9" s="11">
        <f>BT3*BT8</f>
        <v/>
      </c>
      <c r="BU9" s="11">
        <f>BU3*BU8</f>
        <v/>
      </c>
      <c r="BV9" s="10">
        <f>IF(COUNT(BV3,BV8)=2,BV3*BV8,"")</f>
        <v/>
      </c>
      <c r="BW9" s="10">
        <f>BW3*BW8</f>
        <v/>
      </c>
      <c r="BX9" s="10">
        <f>BX3*BX8</f>
        <v/>
      </c>
      <c r="BY9" s="11">
        <f>IF(COUNT(BY3,BY8)=2,BY3*BY8,"")</f>
        <v/>
      </c>
      <c r="BZ9" s="11">
        <f>BZ3*BZ8</f>
        <v/>
      </c>
      <c r="CA9" s="11">
        <f>CA3*CA8</f>
        <v/>
      </c>
      <c r="CB9" s="10">
        <f>IF(COUNT(CB3,CB8)=2,CB3*CB8,"")</f>
        <v/>
      </c>
      <c r="CC9" s="10">
        <f>CC3*CC8</f>
        <v/>
      </c>
      <c r="CD9" s="10">
        <f>CD3*CD8</f>
        <v/>
      </c>
      <c r="CE9" s="11">
        <f>IF(COUNT(CE3,CE8)=2,CE3*CE8,"")</f>
        <v/>
      </c>
      <c r="CF9" s="11">
        <f>CF3*CF8</f>
        <v/>
      </c>
      <c r="CG9" s="11">
        <f>CG3*CG8</f>
        <v/>
      </c>
      <c r="CH9" s="10">
        <f>IF(COUNT(CH3,CH8)=2,CH3*CH8,"")</f>
        <v/>
      </c>
      <c r="CI9" s="10">
        <f>CI3*CI8</f>
        <v/>
      </c>
      <c r="CJ9" s="10">
        <f>CJ3*CJ8</f>
        <v/>
      </c>
      <c r="CK9" s="11">
        <f>IF(COUNT(CK3,CK8)=2,CK3*CK8,"")</f>
        <v/>
      </c>
      <c r="CL9" s="11">
        <f>CL3*CL8</f>
        <v/>
      </c>
      <c r="CM9" s="11">
        <f>CM3*CM8</f>
        <v/>
      </c>
      <c r="CN9" s="10">
        <f>IF(COUNT(CN3,CN8)=2,CN3*CN8,"")</f>
        <v/>
      </c>
      <c r="CO9" s="10">
        <f>CO3*CO8</f>
        <v/>
      </c>
      <c r="CP9" s="10">
        <f>CP3*CP8</f>
        <v/>
      </c>
      <c r="CQ9" s="11">
        <f>IF(COUNT(CQ3,CQ8)=2,CQ3*CQ8,"")</f>
        <v/>
      </c>
      <c r="CR9" s="11">
        <f>CR3*CR8</f>
        <v/>
      </c>
      <c r="CS9" s="11">
        <f>CS3*CS8</f>
        <v/>
      </c>
      <c r="CT9" s="10">
        <f>IF(COUNT(CT3,CT8)=2,CT3*CT8,"")</f>
        <v/>
      </c>
      <c r="CU9" s="10">
        <f>CU3*CU8</f>
        <v/>
      </c>
      <c r="CV9" s="10">
        <f>CV3*CV8</f>
        <v/>
      </c>
      <c r="CW9" s="11">
        <f>IF(COUNT(CW3,CW8)=2,CW3*CW8,"")</f>
        <v/>
      </c>
      <c r="CX9" s="11">
        <f>CX3*CX8</f>
        <v/>
      </c>
      <c r="CY9" s="11">
        <f>CY3*CY8</f>
        <v/>
      </c>
      <c r="CZ9" s="10">
        <f>IF(COUNT(CZ3,CZ8)=2,CZ3*CZ8,"")</f>
        <v/>
      </c>
      <c r="DA9" s="10">
        <f>DA3*DA8</f>
        <v/>
      </c>
      <c r="DB9" s="10">
        <f>DB3*DB8</f>
        <v/>
      </c>
      <c r="DC9" s="11">
        <f>IF(COUNT(DC3,DC8)=2,DC3*DC8,"")</f>
        <v/>
      </c>
      <c r="DD9" s="11">
        <f>DD3*DD8</f>
        <v/>
      </c>
      <c r="DE9" s="11">
        <f>DE3*DE8</f>
        <v/>
      </c>
      <c r="DF9" s="10">
        <f>IF(COUNT(DF3,DF8)=2,DF3*DF8,"")</f>
        <v/>
      </c>
      <c r="DG9" s="10">
        <f>DG3*DG8</f>
        <v/>
      </c>
      <c r="DH9" s="10">
        <f>DH3*DH8</f>
        <v/>
      </c>
      <c r="DI9" s="11">
        <f>IF(COUNT(DI3,DI8)=2,DI3*DI8,"")</f>
        <v/>
      </c>
      <c r="DJ9" s="11">
        <f>DJ3*DJ8</f>
        <v/>
      </c>
      <c r="DK9" s="11">
        <f>DK3*DK8</f>
        <v/>
      </c>
      <c r="DL9" s="10">
        <f>IF(COUNT(DL3,DL8)=2,DL3*DL8,"")</f>
        <v/>
      </c>
      <c r="DM9" s="10">
        <f>DM3*DM8</f>
        <v/>
      </c>
      <c r="DN9" s="10">
        <f>DN3*DN8</f>
        <v/>
      </c>
    </row>
    <row r="10">
      <c r="A10" s="2" t="inlineStr">
        <is>
          <t>Net Revenue Retention</t>
        </is>
      </c>
      <c r="B10" s="47">
        <f>IF(SUM(AR3,AO3,AL3,AI3,AF3,AC3,Z3,W3,T3,Q3,N3,K3)=0,"",(SUM(AR3,AO3,AL3,AI3,AF3,AC3,Z3,W3,T3,Q3,N3,K3)+SUM(AR11,AO11,AL11,AI11,AF11,AC11,Z11,W11,T11,Q11,N11,K11))/SUM(AR3,AO3,AL3,AI3,AF3,AC3,Z3,W3,T3,Q3,N3,K3))</f>
        <v/>
      </c>
      <c r="C10" s="47">
        <f>IF(SUM(AS3,AP3,AM3,AJ3,AG3,AD3,AA3,X3,U3,R3,O3,L3)=0,"",(SUM(AS3,AP3,AM3,AJ3,AG3,AD3,AA3,X3,U3,R3,O3,L3)+SUM(AS11,AP11,AM11,AJ11,AG11,AD11,AA11,X11,U11,R11,O11,L11))/SUM(AS3,AP3,AM3,AJ3,AG3,AD3,AA3,X3,U3,R3,O3,L3))</f>
        <v/>
      </c>
      <c r="D10" s="47">
        <f>IF(SUM(AT3,AQ3,AN3,AK3,AH3,AE3,AB3,Y3,V3,S3,P3,M3)=0,"",(SUM(AT3,AQ3,AN3,AK3,AH3,AE3,AB3,Y3,V3,S3,P3,M3)+SUM(AT11,AQ11,AN11,AK11,AH11,AE11,AB11,Y11,V11,S11,P11,M11))/SUM(AT3,AQ3,AN3,AK3,AH3,AE3,AB3,Y3,V3,S3,P3,M3))</f>
        <v/>
      </c>
      <c r="E10" s="29">
        <f>IF(SUM(CB3,BY3,BV3,BS3,BP3,BM3,BJ3,BG3,BD3,BA3,AX3,AU3)=0,"",(SUM(CB3,BY3,BV3,BS3,BP3,BM3,BJ3,BG3,BD3,BA3,AX3,AU3)+SUM(CB11,BY11,BV11,BS11,BP11,BM11,BJ11,BG11,BD11,BA11,AX11,AU11))/SUM(CB3,BY3,BV3,BS3,BP3,BM3,BJ3,BG3,BD3,BA3,AX3,AU3))</f>
        <v/>
      </c>
      <c r="F10" s="29">
        <f>IF(SUM(CC3,BZ3,BW3,BT3,BQ3,BN3,BK3,BH3,BE3,BB3,AY3,AV3)=0,"",(SUM(CC3,BZ3,BW3,BT3,BQ3,BN3,BK3,BH3,BE3,BB3,AY3,AV3)+SUM(CC11,BZ11,BW11,BT11,BQ11,BN11,BK11,BH11,BE11,BB11,AY11,AV11))/SUM(CC3,BZ3,BW3,BT3,BQ3,BN3,BK3,BH3,BE3,BB3,AY3,AV3))</f>
        <v/>
      </c>
      <c r="G10" s="29">
        <f>IF(SUM(CD3,CA3,BX3,BU3,BR3,BO3,BL3,BI3,BF3,BC3,AZ3,AW3)=0,"",(SUM(CD3,CA3,BX3,BU3,BR3,BO3,BL3,BI3,BF3,BC3,AZ3,AW3)+SUM(CD11,CA11,BX11,BU11,BR11,BO11,BL11,BI11,BF11,BC11,AZ11,AW11))/SUM(CD3,CA3,BX3,BU3,BR3,BO3,BL3,BI3,BF3,BC3,AZ3,AW3))</f>
        <v/>
      </c>
      <c r="H10" s="47">
        <f>IF(SUM(DL3,DI3,DF3,DC3,CZ3,CW3,CT3,CQ3,CN3,CK3,CH3,CE3)=0,"",(SUM(DL3,DI3,DF3,DC3,CZ3,CW3,CT3,CQ3,CN3,CK3,CH3,CE3)+SUM(DL11,DI11,DF11,DC11,CZ11,CW11,CT11,CQ11,CN11,CK11,CH11,CE11))/SUM(DL3,DI3,DF3,DC3,CZ3,CW3,CT3,CQ3,CN3,CK3,CH3,CE3))</f>
        <v/>
      </c>
      <c r="I10" s="47">
        <f>IF(SUM(DM3,DJ3,DG3,DD3,DA3,CX3,CU3,CR3,CO3,CL3,CI3,CF3)=0,"",(SUM(DM3,DJ3,DG3,DD3,DA3,CX3,CU3,CR3,CO3,CL3,CI3,CF3)+SUM(DM11,DJ11,DG11,DD11,DA11,CX11,CU11,CR11,CO11,CL11,CI11,CF11))/SUM(DM3,DJ3,DG3,DD3,DA3,CX3,CU3,CR3,CO3,CL3,CI3,CF3))</f>
        <v/>
      </c>
      <c r="J10" s="47">
        <f>IF(SUM(DN3,DK3,DH3,DE3,DB3,CY3,CV3,CS3,CP3,CM3,CJ3,CG3)=0,"",(SUM(DN3,DK3,DH3,DE3,DB3,CY3,CV3,CS3,CP3,CM3,CJ3,CG3)+SUM(DN11,DK11,DH11,DE11,DB11,CY11,CV11,CS11,CP11,CM11,CJ11,CG11))/SUM(DN3,DK3,DH3,DE3,DB3,CY3,CV3,CS3,CP3,CM3,CJ3,CG3))</f>
        <v/>
      </c>
      <c r="K10" s="29">
        <f>IF(COUNT(K3,K11)=2,IF(N(K3)=0,"",(K3+K11)/K3),"")</f>
        <v/>
      </c>
      <c r="L10" s="29">
        <f>IF(N(L3)=0,"",(L3+L11)/L3)</f>
        <v/>
      </c>
      <c r="M10" s="29">
        <f>IF(N(M3)=0,"",(M3+M11)/M3)</f>
        <v/>
      </c>
      <c r="N10" s="47">
        <f>IF(COUNT(N3,N11)=2,IF(N(N3)=0,"",(N3+N11)/N3),"")</f>
        <v/>
      </c>
      <c r="O10" s="47">
        <f>IF(N(O3)=0,"",(O3+O11)/O3)</f>
        <v/>
      </c>
      <c r="P10" s="47">
        <f>IF(N(P3)=0,"",(P3+P11)/P3)</f>
        <v/>
      </c>
      <c r="Q10" s="29">
        <f>IF(COUNT(Q3,Q11)=2,IF(N(Q3)=0,"",(Q3+Q11)/Q3),"")</f>
        <v/>
      </c>
      <c r="R10" s="29">
        <f>IF(N(R3)=0,"",(R3+R11)/R3)</f>
        <v/>
      </c>
      <c r="S10" s="29">
        <f>IF(N(S3)=0,"",(S3+S11)/S3)</f>
        <v/>
      </c>
      <c r="T10" s="47">
        <f>IF(COUNT(T3,T11)=2,IF(N(T3)=0,"",(T3+T11)/T3),"")</f>
        <v/>
      </c>
      <c r="U10" s="47">
        <f>IF(N(U3)=0,"",(U3+U11)/U3)</f>
        <v/>
      </c>
      <c r="V10" s="47">
        <f>IF(N(V3)=0,"",(V3+V11)/V3)</f>
        <v/>
      </c>
      <c r="W10" s="29">
        <f>IF(COUNT(W3,W11)=2,IF(N(W3)=0,"",(W3+W11)/W3),"")</f>
        <v/>
      </c>
      <c r="X10" s="29">
        <f>IF(N(X3)=0,"",(X3+X11)/X3)</f>
        <v/>
      </c>
      <c r="Y10" s="29">
        <f>IF(N(Y3)=0,"",(Y3+Y11)/Y3)</f>
        <v/>
      </c>
      <c r="Z10" s="47">
        <f>IF(COUNT(Z3,Z11)=2,IF(N(Z3)=0,"",(Z3+Z11)/Z3),"")</f>
        <v/>
      </c>
      <c r="AA10" s="47">
        <f>IF(N(AA3)=0,"",(AA3+AA11)/AA3)</f>
        <v/>
      </c>
      <c r="AB10" s="47">
        <f>IF(N(AB3)=0,"",(AB3+AB11)/AB3)</f>
        <v/>
      </c>
      <c r="AC10" s="29">
        <f>IF(COUNT(AC3,AC11)=2,IF(N(AC3)=0,"",(AC3+AC11)/AC3),"")</f>
        <v/>
      </c>
      <c r="AD10" s="29">
        <f>IF(N(AD3)=0,"",(AD3+AD11)/AD3)</f>
        <v/>
      </c>
      <c r="AE10" s="29">
        <f>IF(N(AE3)=0,"",(AE3+AE11)/AE3)</f>
        <v/>
      </c>
      <c r="AF10" s="47">
        <f>IF(COUNT(AF3,AF11)=2,IF(N(AF3)=0,"",(AF3+AF11)/AF3),"")</f>
        <v/>
      </c>
      <c r="AG10" s="47">
        <f>IF(N(AG3)=0,"",(AG3+AG11)/AG3)</f>
        <v/>
      </c>
      <c r="AH10" s="47">
        <f>IF(N(AH3)=0,"",(AH3+AH11)/AH3)</f>
        <v/>
      </c>
      <c r="AI10" s="29">
        <f>IF(COUNT(AI3,AI11)=2,IF(N(AI3)=0,"",(AI3+AI11)/AI3),"")</f>
        <v/>
      </c>
      <c r="AJ10" s="29">
        <f>IF(N(AJ3)=0,"",(AJ3+AJ11)/AJ3)</f>
        <v/>
      </c>
      <c r="AK10" s="29">
        <f>IF(N(AK3)=0,"",(AK3+AK11)/AK3)</f>
        <v/>
      </c>
      <c r="AL10" s="47">
        <f>IF(COUNT(AL3,AL11)=2,IF(N(AL3)=0,"",(AL3+AL11)/AL3),"")</f>
        <v/>
      </c>
      <c r="AM10" s="47">
        <f>IF(N(AM3)=0,"",(AM3+AM11)/AM3)</f>
        <v/>
      </c>
      <c r="AN10" s="47">
        <f>IF(N(AN3)=0,"",(AN3+AN11)/AN3)</f>
        <v/>
      </c>
      <c r="AO10" s="29">
        <f>IF(COUNT(AO3,AO11)=2,IF(N(AO3)=0,"",(AO3+AO11)/AO3),"")</f>
        <v/>
      </c>
      <c r="AP10" s="29">
        <f>IF(N(AP3)=0,"",(AP3+AP11)/AP3)</f>
        <v/>
      </c>
      <c r="AQ10" s="29">
        <f>IF(N(AQ3)=0,"",(AQ3+AQ11)/AQ3)</f>
        <v/>
      </c>
      <c r="AR10" s="47">
        <f>IF(COUNT(AR3,AR11)=2,IF(N(AR3)=0,"",(AR3+AR11)/AR3),"")</f>
        <v/>
      </c>
      <c r="AS10" s="47">
        <f>IF(N(AS3)=0,"",(AS3+AS11)/AS3)</f>
        <v/>
      </c>
      <c r="AT10" s="47">
        <f>IF(N(AT3)=0,"",(AT3+AT11)/AT3)</f>
        <v/>
      </c>
      <c r="AU10" s="29">
        <f>IF(COUNT(AU3,AU11)=2,IF(N(AU3)=0,"",(AU3+AU11)/AU3),"")</f>
        <v/>
      </c>
      <c r="AV10" s="29">
        <f>IF(N(AV3)=0,"",(AV3+AV11)/AV3)</f>
        <v/>
      </c>
      <c r="AW10" s="29">
        <f>IF(N(AW3)=0,"",(AW3+AW11)/AW3)</f>
        <v/>
      </c>
      <c r="AX10" s="47">
        <f>IF(COUNT(AX3,AX11)=2,IF(N(AX3)=0,"",(AX3+AX11)/AX3),"")</f>
        <v/>
      </c>
      <c r="AY10" s="47">
        <f>IF(N(AY3)=0,"",(AY3+AY11)/AY3)</f>
        <v/>
      </c>
      <c r="AZ10" s="47">
        <f>IF(N(AZ3)=0,"",(AZ3+AZ11)/AZ3)</f>
        <v/>
      </c>
      <c r="BA10" s="29">
        <f>IF(COUNT(BA3,BA11)=2,IF(N(BA3)=0,"",(BA3+BA11)/BA3),"")</f>
        <v/>
      </c>
      <c r="BB10" s="29">
        <f>IF(N(BB3)=0,"",(BB3+BB11)/BB3)</f>
        <v/>
      </c>
      <c r="BC10" s="29">
        <f>IF(N(BC3)=0,"",(BC3+BC11)/BC3)</f>
        <v/>
      </c>
      <c r="BD10" s="47">
        <f>IF(COUNT(BD3,BD11)=2,IF(N(BD3)=0,"",(BD3+BD11)/BD3),"")</f>
        <v/>
      </c>
      <c r="BE10" s="47">
        <f>IF(N(BE3)=0,"",(BE3+BE11)/BE3)</f>
        <v/>
      </c>
      <c r="BF10" s="47">
        <f>IF(N(BF3)=0,"",(BF3+BF11)/BF3)</f>
        <v/>
      </c>
      <c r="BG10" s="29">
        <f>IF(COUNT(BG3,BG11)=2,IF(N(BG3)=0,"",(BG3+BG11)/BG3),"")</f>
        <v/>
      </c>
      <c r="BH10" s="29">
        <f>IF(N(BH3)=0,"",(BH3+BH11)/BH3)</f>
        <v/>
      </c>
      <c r="BI10" s="29">
        <f>IF(N(BI3)=0,"",(BI3+BI11)/BI3)</f>
        <v/>
      </c>
      <c r="BJ10" s="47">
        <f>IF(COUNT(BJ3,BJ11)=2,IF(N(BJ3)=0,"",(BJ3+BJ11)/BJ3),"")</f>
        <v/>
      </c>
      <c r="BK10" s="47">
        <f>IF(N(BK3)=0,"",(BK3+BK11)/BK3)</f>
        <v/>
      </c>
      <c r="BL10" s="47">
        <f>IF(N(BL3)=0,"",(BL3+BL11)/BL3)</f>
        <v/>
      </c>
      <c r="BM10" s="29">
        <f>IF(COUNT(BM3,BM11)=2,IF(N(BM3)=0,"",(BM3+BM11)/BM3),"")</f>
        <v/>
      </c>
      <c r="BN10" s="29">
        <f>IF(N(BN3)=0,"",(BN3+BN11)/BN3)</f>
        <v/>
      </c>
      <c r="BO10" s="29">
        <f>IF(N(BO3)=0,"",(BO3+BO11)/BO3)</f>
        <v/>
      </c>
      <c r="BP10" s="47">
        <f>IF(COUNT(BP3,BP11)=2,IF(N(BP3)=0,"",(BP3+BP11)/BP3),"")</f>
        <v/>
      </c>
      <c r="BQ10" s="47">
        <f>IF(N(BQ3)=0,"",(BQ3+BQ11)/BQ3)</f>
        <v/>
      </c>
      <c r="BR10" s="47">
        <f>IF(N(BR3)=0,"",(BR3+BR11)/BR3)</f>
        <v/>
      </c>
      <c r="BS10" s="29">
        <f>IF(COUNT(BS3,BS11)=2,IF(N(BS3)=0,"",(BS3+BS11)/BS3),"")</f>
        <v/>
      </c>
      <c r="BT10" s="29">
        <f>IF(N(BT3)=0,"",(BT3+BT11)/BT3)</f>
        <v/>
      </c>
      <c r="BU10" s="29">
        <f>IF(N(BU3)=0,"",(BU3+BU11)/BU3)</f>
        <v/>
      </c>
      <c r="BV10" s="47">
        <f>IF(COUNT(BV3,BV11)=2,IF(N(BV3)=0,"",(BV3+BV11)/BV3),"")</f>
        <v/>
      </c>
      <c r="BW10" s="47">
        <f>IF(N(BW3)=0,"",(BW3+BW11)/BW3)</f>
        <v/>
      </c>
      <c r="BX10" s="47">
        <f>IF(N(BX3)=0,"",(BX3+BX11)/BX3)</f>
        <v/>
      </c>
      <c r="BY10" s="29">
        <f>IF(COUNT(BY3,BY11)=2,IF(N(BY3)=0,"",(BY3+BY11)/BY3),"")</f>
        <v/>
      </c>
      <c r="BZ10" s="29">
        <f>IF(N(BZ3)=0,"",(BZ3+BZ11)/BZ3)</f>
        <v/>
      </c>
      <c r="CA10" s="29">
        <f>IF(N(CA3)=0,"",(CA3+CA11)/CA3)</f>
        <v/>
      </c>
      <c r="CB10" s="47">
        <f>IF(COUNT(CB3,CB11)=2,IF(N(CB3)=0,"",(CB3+CB11)/CB3),"")</f>
        <v/>
      </c>
      <c r="CC10" s="47">
        <f>IF(N(CC3)=0,"",(CC3+CC11)/CC3)</f>
        <v/>
      </c>
      <c r="CD10" s="47">
        <f>IF(N(CD3)=0,"",(CD3+CD11)/CD3)</f>
        <v/>
      </c>
      <c r="CE10" s="29">
        <f>IF(COUNT(CE3,CE11)=2,IF(N(CE3)=0,"",(CE3+CE11)/CE3),"")</f>
        <v/>
      </c>
      <c r="CF10" s="29">
        <f>IF(N(CF3)=0,"",(CF3+CF11)/CF3)</f>
        <v/>
      </c>
      <c r="CG10" s="29">
        <f>IF(N(CG3)=0,"",(CG3+CG11)/CG3)</f>
        <v/>
      </c>
      <c r="CH10" s="47">
        <f>IF(COUNT(CH3,CH11)=2,IF(N(CH3)=0,"",(CH3+CH11)/CH3),"")</f>
        <v/>
      </c>
      <c r="CI10" s="47">
        <f>IF(N(CI3)=0,"",(CI3+CI11)/CI3)</f>
        <v/>
      </c>
      <c r="CJ10" s="47">
        <f>IF(N(CJ3)=0,"",(CJ3+CJ11)/CJ3)</f>
        <v/>
      </c>
      <c r="CK10" s="29">
        <f>IF(COUNT(CK3,CK11)=2,IF(N(CK3)=0,"",(CK3+CK11)/CK3),"")</f>
        <v/>
      </c>
      <c r="CL10" s="29">
        <f>IF(N(CL3)=0,"",(CL3+CL11)/CL3)</f>
        <v/>
      </c>
      <c r="CM10" s="29">
        <f>IF(N(CM3)=0,"",(CM3+CM11)/CM3)</f>
        <v/>
      </c>
      <c r="CN10" s="47">
        <f>IF(COUNT(CN3,CN11)=2,IF(N(CN3)=0,"",(CN3+CN11)/CN3),"")</f>
        <v/>
      </c>
      <c r="CO10" s="47">
        <f>IF(N(CO3)=0,"",(CO3+CO11)/CO3)</f>
        <v/>
      </c>
      <c r="CP10" s="47">
        <f>IF(N(CP3)=0,"",(CP3+CP11)/CP3)</f>
        <v/>
      </c>
      <c r="CQ10" s="29">
        <f>IF(COUNT(CQ3,CQ11)=2,IF(N(CQ3)=0,"",(CQ3+CQ11)/CQ3),"")</f>
        <v/>
      </c>
      <c r="CR10" s="29">
        <f>IF(N(CR3)=0,"",(CR3+CR11)/CR3)</f>
        <v/>
      </c>
      <c r="CS10" s="29">
        <f>IF(N(CS3)=0,"",(CS3+CS11)/CS3)</f>
        <v/>
      </c>
      <c r="CT10" s="47">
        <f>IF(COUNT(CT3,CT11)=2,IF(N(CT3)=0,"",(CT3+CT11)/CT3),"")</f>
        <v/>
      </c>
      <c r="CU10" s="47">
        <f>IF(N(CU3)=0,"",(CU3+CU11)/CU3)</f>
        <v/>
      </c>
      <c r="CV10" s="47">
        <f>IF(N(CV3)=0,"",(CV3+CV11)/CV3)</f>
        <v/>
      </c>
      <c r="CW10" s="29">
        <f>IF(COUNT(CW3,CW11)=2,IF(N(CW3)=0,"",(CW3+CW11)/CW3),"")</f>
        <v/>
      </c>
      <c r="CX10" s="29">
        <f>IF(N(CX3)=0,"",(CX3+CX11)/CX3)</f>
        <v/>
      </c>
      <c r="CY10" s="29">
        <f>IF(N(CY3)=0,"",(CY3+CY11)/CY3)</f>
        <v/>
      </c>
      <c r="CZ10" s="47">
        <f>IF(COUNT(CZ3,CZ11)=2,IF(N(CZ3)=0,"",(CZ3+CZ11)/CZ3),"")</f>
        <v/>
      </c>
      <c r="DA10" s="47">
        <f>IF(N(DA3)=0,"",(DA3+DA11)/DA3)</f>
        <v/>
      </c>
      <c r="DB10" s="47">
        <f>IF(N(DB3)=0,"",(DB3+DB11)/DB3)</f>
        <v/>
      </c>
      <c r="DC10" s="29">
        <f>IF(COUNT(DC3,DC11)=2,IF(N(DC3)=0,"",(DC3+DC11)/DC3),"")</f>
        <v/>
      </c>
      <c r="DD10" s="29">
        <f>IF(N(DD3)=0,"",(DD3+DD11)/DD3)</f>
        <v/>
      </c>
      <c r="DE10" s="29">
        <f>IF(N(DE3)=0,"",(DE3+DE11)/DE3)</f>
        <v/>
      </c>
      <c r="DF10" s="47">
        <f>IF(COUNT(DF3,DF11)=2,IF(N(DF3)=0,"",(DF3+DF11)/DF3),"")</f>
        <v/>
      </c>
      <c r="DG10" s="47">
        <f>IF(N(DG3)=0,"",(DG3+DG11)/DG3)</f>
        <v/>
      </c>
      <c r="DH10" s="47">
        <f>IF(N(DH3)=0,"",(DH3+DH11)/DH3)</f>
        <v/>
      </c>
      <c r="DI10" s="29">
        <f>IF(COUNT(DI3,DI11)=2,IF(N(DI3)=0,"",(DI3+DI11)/DI3),"")</f>
        <v/>
      </c>
      <c r="DJ10" s="29">
        <f>IF(N(DJ3)=0,"",(DJ3+DJ11)/DJ3)</f>
        <v/>
      </c>
      <c r="DK10" s="29">
        <f>IF(N(DK3)=0,"",(DK3+DK11)/DK3)</f>
        <v/>
      </c>
      <c r="DL10" s="47">
        <f>IF(COUNT(DL3,DL11)=2,IF(N(DL3)=0,"",(DL3+DL11)/DL3),"")</f>
        <v/>
      </c>
      <c r="DM10" s="47">
        <f>IF(N(DM3)=0,"",(DM3+DM11)/DM3)</f>
        <v/>
      </c>
      <c r="DN10" s="47">
        <f>IF(N(DN3)=0,"",(DN3+DN11)/DN3)</f>
        <v/>
      </c>
    </row>
    <row r="11">
      <c r="A11" s="12" t="inlineStr">
        <is>
          <t>Net Change in Existing Revenue</t>
        </is>
      </c>
      <c r="B11" s="13">
        <f>IF(COUNT(AR11,AO11,AL11,AI11,AF11,AC11,Z11,W11,T11,Q11,N11,K11)=0,"",SUM(AR11,AO11,AL11,AI11,AF11,AC11,Z11,W11,T11,Q11,N11,K11))</f>
        <v/>
      </c>
      <c r="C11" s="13">
        <f>IF(COUNT(AS11,AP11,AM11,AJ11,AG11,AD11,AA11,X11,U11,R11,O11,L11)=0,"",SUM(AS11,AP11,AM11,AJ11,AG11,AD11,AA11,X11,U11,R11,O11,L11))</f>
        <v/>
      </c>
      <c r="D11" s="13">
        <f>IF(COUNT(AT11,AQ11,AN11,AK11,AH11,AE11,AB11,Y11,V11,S11,P11,M11)=0,"",SUM(AT11,AQ11,AN11,AK11,AH11,AE11,AB11,Y11,V11,S11,P11,M11))</f>
        <v/>
      </c>
      <c r="E11" s="14">
        <f>IF(COUNT(CB11,BY11,BV11,BS11,BP11,BM11,BJ11,BG11,BD11,BA11,AX11,AU11)=0,"",SUM(CB11,BY11,BV11,BS11,BP11,BM11,BJ11,BG11,BD11,BA11,AX11,AU11))</f>
        <v/>
      </c>
      <c r="F11" s="14">
        <f>IF(COUNT(CC11,BZ11,BW11,BT11,BQ11,BN11,BK11,BH11,BE11,BB11,AY11,AV11)=0,"",SUM(CC11,BZ11,BW11,BT11,BQ11,BN11,BK11,BH11,BE11,BB11,AY11,AV11))</f>
        <v/>
      </c>
      <c r="G11" s="14">
        <f>IF(COUNT(CD11,CA11,BX11,BU11,BR11,BO11,BL11,BI11,BF11,BC11,AZ11,AW11)=0,"",SUM(CD11,CA11,BX11,BU11,BR11,BO11,BL11,BI11,BF11,BC11,AZ11,AW11))</f>
        <v/>
      </c>
      <c r="H11" s="13">
        <f>IF(COUNT(DL11,DI11,DF11,DC11,CZ11,CW11,CT11,CQ11,CN11,CK11,CH11,CE11)=0,"",SUM(DL11,DI11,DF11,DC11,CZ11,CW11,CT11,CQ11,CN11,CK11,CH11,CE11))</f>
        <v/>
      </c>
      <c r="I11" s="13">
        <f>IF(COUNT(DM11,DJ11,DG11,DD11,DA11,CX11,CU11,CR11,CO11,CL11,CI11,CF11)=0,"",SUM(DM11,DJ11,DG11,DD11,DA11,CX11,CU11,CR11,CO11,CL11,CI11,CF11))</f>
        <v/>
      </c>
      <c r="J11" s="13">
        <f>IF(COUNT(DN11,DK11,DH11,DE11,DB11,CY11,CV11,CS11,CP11,CM11,CJ11,CG11)=0,"",SUM(DN11,DK11,DH11,DE11,DB11,CY11,CV11,CS11,CP11,CM11,CJ11,CG11))</f>
        <v/>
      </c>
      <c r="K11" s="14">
        <f>IF(COUNT(K5,K7,K9)=3,K5-K7-K9,"")</f>
        <v/>
      </c>
      <c r="L11" s="14">
        <f>L5-L7-L9</f>
        <v/>
      </c>
      <c r="M11" s="14">
        <f>M5-M7-M9</f>
        <v/>
      </c>
      <c r="N11" s="13">
        <f>IF(COUNT(N5,N7,N9)=3,N5-N7-N9,"")</f>
        <v/>
      </c>
      <c r="O11" s="13">
        <f>O5-O7-O9</f>
        <v/>
      </c>
      <c r="P11" s="13">
        <f>P5-P7-P9</f>
        <v/>
      </c>
      <c r="Q11" s="14">
        <f>IF(COUNT(Q5,Q7,Q9)=3,Q5-Q7-Q9,"")</f>
        <v/>
      </c>
      <c r="R11" s="14">
        <f>R5-R7-R9</f>
        <v/>
      </c>
      <c r="S11" s="14">
        <f>S5-S7-S9</f>
        <v/>
      </c>
      <c r="T11" s="13">
        <f>IF(COUNT(T5,T7,T9)=3,T5-T7-T9,"")</f>
        <v/>
      </c>
      <c r="U11" s="13">
        <f>U5-U7-U9</f>
        <v/>
      </c>
      <c r="V11" s="13">
        <f>V5-V7-V9</f>
        <v/>
      </c>
      <c r="W11" s="14">
        <f>IF(COUNT(W5,W7,W9)=3,W5-W7-W9,"")</f>
        <v/>
      </c>
      <c r="X11" s="14">
        <f>X5-X7-X9</f>
        <v/>
      </c>
      <c r="Y11" s="14">
        <f>Y5-Y7-Y9</f>
        <v/>
      </c>
      <c r="Z11" s="13">
        <f>IF(COUNT(Z5,Z7,Z9)=3,Z5-Z7-Z9,"")</f>
        <v/>
      </c>
      <c r="AA11" s="13">
        <f>AA5-AA7-AA9</f>
        <v/>
      </c>
      <c r="AB11" s="13">
        <f>AB5-AB7-AB9</f>
        <v/>
      </c>
      <c r="AC11" s="14">
        <f>IF(COUNT(AC5,AC7,AC9)=3,AC5-AC7-AC9,"")</f>
        <v/>
      </c>
      <c r="AD11" s="14">
        <f>AD5-AD7-AD9</f>
        <v/>
      </c>
      <c r="AE11" s="14">
        <f>AE5-AE7-AE9</f>
        <v/>
      </c>
      <c r="AF11" s="13">
        <f>IF(COUNT(AF5,AF7,AF9)=3,AF5-AF7-AF9,"")</f>
        <v/>
      </c>
      <c r="AG11" s="13">
        <f>AG5-AG7-AG9</f>
        <v/>
      </c>
      <c r="AH11" s="13">
        <f>AH5-AH7-AH9</f>
        <v/>
      </c>
      <c r="AI11" s="14">
        <f>IF(COUNT(AI5,AI7,AI9)=3,AI5-AI7-AI9,"")</f>
        <v/>
      </c>
      <c r="AJ11" s="14">
        <f>AJ5-AJ7-AJ9</f>
        <v/>
      </c>
      <c r="AK11" s="14">
        <f>AK5-AK7-AK9</f>
        <v/>
      </c>
      <c r="AL11" s="13">
        <f>IF(COUNT(AL5,AL7,AL9)=3,AL5-AL7-AL9,"")</f>
        <v/>
      </c>
      <c r="AM11" s="13">
        <f>AM5-AM7-AM9</f>
        <v/>
      </c>
      <c r="AN11" s="13">
        <f>AN5-AN7-AN9</f>
        <v/>
      </c>
      <c r="AO11" s="14">
        <f>IF(COUNT(AO5,AO7,AO9)=3,AO5-AO7-AO9,"")</f>
        <v/>
      </c>
      <c r="AP11" s="14">
        <f>AP5-AP7-AP9</f>
        <v/>
      </c>
      <c r="AQ11" s="14">
        <f>AQ5-AQ7-AQ9</f>
        <v/>
      </c>
      <c r="AR11" s="13">
        <f>IF(COUNT(AR5,AR7,AR9)=3,AR5-AR7-AR9,"")</f>
        <v/>
      </c>
      <c r="AS11" s="13">
        <f>AS5-AS7-AS9</f>
        <v/>
      </c>
      <c r="AT11" s="13">
        <f>AT5-AT7-AT9</f>
        <v/>
      </c>
      <c r="AU11" s="14">
        <f>IF(COUNT(AU5,AU7,AU9)=3,AU5-AU7-AU9,"")</f>
        <v/>
      </c>
      <c r="AV11" s="14">
        <f>AV5-AV7-AV9</f>
        <v/>
      </c>
      <c r="AW11" s="14">
        <f>AW5-AW7-AW9</f>
        <v/>
      </c>
      <c r="AX11" s="13">
        <f>IF(COUNT(AX5,AX7,AX9)=3,AX5-AX7-AX9,"")</f>
        <v/>
      </c>
      <c r="AY11" s="13">
        <f>AY5-AY7-AY9</f>
        <v/>
      </c>
      <c r="AZ11" s="13">
        <f>AZ5-AZ7-AZ9</f>
        <v/>
      </c>
      <c r="BA11" s="14">
        <f>IF(COUNT(BA5,BA7,BA9)=3,BA5-BA7-BA9,"")</f>
        <v/>
      </c>
      <c r="BB11" s="14">
        <f>BB5-BB7-BB9</f>
        <v/>
      </c>
      <c r="BC11" s="14">
        <f>BC5-BC7-BC9</f>
        <v/>
      </c>
      <c r="BD11" s="13">
        <f>IF(COUNT(BD5,BD7,BD9)=3,BD5-BD7-BD9,"")</f>
        <v/>
      </c>
      <c r="BE11" s="13">
        <f>BE5-BE7-BE9</f>
        <v/>
      </c>
      <c r="BF11" s="13">
        <f>BF5-BF7-BF9</f>
        <v/>
      </c>
      <c r="BG11" s="14">
        <f>IF(COUNT(BG5,BG7,BG9)=3,BG5-BG7-BG9,"")</f>
        <v/>
      </c>
      <c r="BH11" s="14">
        <f>BH5-BH7-BH9</f>
        <v/>
      </c>
      <c r="BI11" s="14">
        <f>BI5-BI7-BI9</f>
        <v/>
      </c>
      <c r="BJ11" s="13">
        <f>IF(COUNT(BJ5,BJ7,BJ9)=3,BJ5-BJ7-BJ9,"")</f>
        <v/>
      </c>
      <c r="BK11" s="13">
        <f>BK5-BK7-BK9</f>
        <v/>
      </c>
      <c r="BL11" s="13">
        <f>BL5-BL7-BL9</f>
        <v/>
      </c>
      <c r="BM11" s="14">
        <f>IF(COUNT(BM5,BM7,BM9)=3,BM5-BM7-BM9,"")</f>
        <v/>
      </c>
      <c r="BN11" s="14">
        <f>BN5-BN7-BN9</f>
        <v/>
      </c>
      <c r="BO11" s="14">
        <f>BO5-BO7-BO9</f>
        <v/>
      </c>
      <c r="BP11" s="13">
        <f>IF(COUNT(BP5,BP7,BP9)=3,BP5-BP7-BP9,"")</f>
        <v/>
      </c>
      <c r="BQ11" s="13">
        <f>BQ5-BQ7-BQ9</f>
        <v/>
      </c>
      <c r="BR11" s="13">
        <f>BR5-BR7-BR9</f>
        <v/>
      </c>
      <c r="BS11" s="14">
        <f>IF(COUNT(BS5,BS7,BS9)=3,BS5-BS7-BS9,"")</f>
        <v/>
      </c>
      <c r="BT11" s="14">
        <f>BT5-BT7-BT9</f>
        <v/>
      </c>
      <c r="BU11" s="14">
        <f>BU5-BU7-BU9</f>
        <v/>
      </c>
      <c r="BV11" s="13">
        <f>IF(COUNT(BV5,BV7,BV9)=3,BV5-BV7-BV9,"")</f>
        <v/>
      </c>
      <c r="BW11" s="13">
        <f>BW5-BW7-BW9</f>
        <v/>
      </c>
      <c r="BX11" s="13">
        <f>BX5-BX7-BX9</f>
        <v/>
      </c>
      <c r="BY11" s="14">
        <f>IF(COUNT(BY5,BY7,BY9)=3,BY5-BY7-BY9,"")</f>
        <v/>
      </c>
      <c r="BZ11" s="14">
        <f>BZ5-BZ7-BZ9</f>
        <v/>
      </c>
      <c r="CA11" s="14">
        <f>CA5-CA7-CA9</f>
        <v/>
      </c>
      <c r="CB11" s="13">
        <f>IF(COUNT(CB5,CB7,CB9)=3,CB5-CB7-CB9,"")</f>
        <v/>
      </c>
      <c r="CC11" s="13">
        <f>CC5-CC7-CC9</f>
        <v/>
      </c>
      <c r="CD11" s="13">
        <f>CD5-CD7-CD9</f>
        <v/>
      </c>
      <c r="CE11" s="14">
        <f>IF(COUNT(CE5,CE7,CE9)=3,CE5-CE7-CE9,"")</f>
        <v/>
      </c>
      <c r="CF11" s="14">
        <f>CF5-CF7-CF9</f>
        <v/>
      </c>
      <c r="CG11" s="14">
        <f>CG5-CG7-CG9</f>
        <v/>
      </c>
      <c r="CH11" s="13">
        <f>IF(COUNT(CH5,CH7,CH9)=3,CH5-CH7-CH9,"")</f>
        <v/>
      </c>
      <c r="CI11" s="13">
        <f>CI5-CI7-CI9</f>
        <v/>
      </c>
      <c r="CJ11" s="13">
        <f>CJ5-CJ7-CJ9</f>
        <v/>
      </c>
      <c r="CK11" s="14">
        <f>IF(COUNT(CK5,CK7,CK9)=3,CK5-CK7-CK9,"")</f>
        <v/>
      </c>
      <c r="CL11" s="14">
        <f>CL5-CL7-CL9</f>
        <v/>
      </c>
      <c r="CM11" s="14">
        <f>CM5-CM7-CM9</f>
        <v/>
      </c>
      <c r="CN11" s="13">
        <f>IF(COUNT(CN5,CN7,CN9)=3,CN5-CN7-CN9,"")</f>
        <v/>
      </c>
      <c r="CO11" s="13">
        <f>CO5-CO7-CO9</f>
        <v/>
      </c>
      <c r="CP11" s="13">
        <f>CP5-CP7-CP9</f>
        <v/>
      </c>
      <c r="CQ11" s="14">
        <f>IF(COUNT(CQ5,CQ7,CQ9)=3,CQ5-CQ7-CQ9,"")</f>
        <v/>
      </c>
      <c r="CR11" s="14">
        <f>CR5-CR7-CR9</f>
        <v/>
      </c>
      <c r="CS11" s="14">
        <f>CS5-CS7-CS9</f>
        <v/>
      </c>
      <c r="CT11" s="13">
        <f>IF(COUNT(CT5,CT7,CT9)=3,CT5-CT7-CT9,"")</f>
        <v/>
      </c>
      <c r="CU11" s="13">
        <f>CU5-CU7-CU9</f>
        <v/>
      </c>
      <c r="CV11" s="13">
        <f>CV5-CV7-CV9</f>
        <v/>
      </c>
      <c r="CW11" s="14">
        <f>IF(COUNT(CW5,CW7,CW9)=3,CW5-CW7-CW9,"")</f>
        <v/>
      </c>
      <c r="CX11" s="14">
        <f>CX5-CX7-CX9</f>
        <v/>
      </c>
      <c r="CY11" s="14">
        <f>CY5-CY7-CY9</f>
        <v/>
      </c>
      <c r="CZ11" s="13">
        <f>IF(COUNT(CZ5,CZ7,CZ9)=3,CZ5-CZ7-CZ9,"")</f>
        <v/>
      </c>
      <c r="DA11" s="13">
        <f>DA5-DA7-DA9</f>
        <v/>
      </c>
      <c r="DB11" s="13">
        <f>DB5-DB7-DB9</f>
        <v/>
      </c>
      <c r="DC11" s="14">
        <f>IF(COUNT(DC5,DC7,DC9)=3,DC5-DC7-DC9,"")</f>
        <v/>
      </c>
      <c r="DD11" s="14">
        <f>DD5-DD7-DD9</f>
        <v/>
      </c>
      <c r="DE11" s="14">
        <f>DE5-DE7-DE9</f>
        <v/>
      </c>
      <c r="DF11" s="13">
        <f>IF(COUNT(DF5,DF7,DF9)=3,DF5-DF7-DF9,"")</f>
        <v/>
      </c>
      <c r="DG11" s="13">
        <f>DG5-DG7-DG9</f>
        <v/>
      </c>
      <c r="DH11" s="13">
        <f>DH5-DH7-DH9</f>
        <v/>
      </c>
      <c r="DI11" s="14">
        <f>IF(COUNT(DI5,DI7,DI9)=3,DI5-DI7-DI9,"")</f>
        <v/>
      </c>
      <c r="DJ11" s="14">
        <f>DJ5-DJ7-DJ9</f>
        <v/>
      </c>
      <c r="DK11" s="14">
        <f>DK5-DK7-DK9</f>
        <v/>
      </c>
      <c r="DL11" s="13">
        <f>IF(COUNT(DL5,DL7,DL9)=3,DL5-DL7-DL9,"")</f>
        <v/>
      </c>
      <c r="DM11" s="13">
        <f>DM5-DM7-DM9</f>
        <v/>
      </c>
      <c r="DN11" s="13">
        <f>DN5-DN7-DN9</f>
        <v/>
      </c>
    </row>
    <row r="12">
      <c r="A12" s="2" t="inlineStr">
        <is>
          <t>Customer Base</t>
        </is>
      </c>
      <c r="B12" s="21">
        <f>IF(K12&lt;&gt;"",K12,IF(N12&lt;&gt;"",N12,IF(Q12&lt;&gt;"",Q12,IF(T12&lt;&gt;"",T12,IF(W12&lt;&gt;"",W12,IF(Z12&lt;&gt;"",Z12,IF(AC12&lt;&gt;"",AC12,IF(AF12&lt;&gt;"",AF12,IF(AI12&lt;&gt;"",AI12,IF(AL12&lt;&gt;"",AL12,IF(AO12&lt;&gt;"",AO12,IF(AR12&lt;&gt;"",AR12,""))))))))))))</f>
        <v/>
      </c>
      <c r="C12" s="21">
        <f>IF(L12&lt;&gt;"",L12,IF(O12&lt;&gt;"",O12,IF(R12&lt;&gt;"",R12,IF(U12&lt;&gt;"",U12,IF(X12&lt;&gt;"",X12,IF(AA12&lt;&gt;"",AA12,IF(AD12&lt;&gt;"",AD12,IF(AG12&lt;&gt;"",AG12,IF(AJ12&lt;&gt;"",AJ12,IF(AM12&lt;&gt;"",AM12,IF(AP12&lt;&gt;"",AP12,IF(AS12&lt;&gt;"",AS12,""))))))))))))</f>
        <v/>
      </c>
      <c r="D12" s="21">
        <f>IF(M12&lt;&gt;"",M12,IF(P12&lt;&gt;"",P12,IF(S12&lt;&gt;"",S12,IF(V12&lt;&gt;"",V12,IF(Y12&lt;&gt;"",Y12,IF(AB12&lt;&gt;"",AB12,IF(AE12&lt;&gt;"",AE12,IF(AH12&lt;&gt;"",AH12,IF(AK12&lt;&gt;"",AK12,IF(AN12&lt;&gt;"",AN12,IF(AQ12&lt;&gt;"",AQ12,IF(AT12&lt;&gt;"",AT12,""))))))))))))</f>
        <v/>
      </c>
      <c r="E12" s="2">
        <f>IF(AU12&lt;&gt;"",AU12,IF(AX12&lt;&gt;"",AX12,IF(BA12&lt;&gt;"",BA12,IF(BD12&lt;&gt;"",BD12,IF(BG12&lt;&gt;"",BG12,IF(BJ12&lt;&gt;"",BJ12,IF(BM12&lt;&gt;"",BM12,IF(BP12&lt;&gt;"",BP12,IF(BS12&lt;&gt;"",BS12,IF(BV12&lt;&gt;"",BV12,IF(BY12&lt;&gt;"",BY12,IF(CB12&lt;&gt;"",CB12,""))))))))))))</f>
        <v/>
      </c>
      <c r="F12" s="2">
        <f>IF(AV12&lt;&gt;"",AV12,IF(AY12&lt;&gt;"",AY12,IF(BB12&lt;&gt;"",BB12,IF(BE12&lt;&gt;"",BE12,IF(BH12&lt;&gt;"",BH12,IF(BK12&lt;&gt;"",BK12,IF(BN12&lt;&gt;"",BN12,IF(BQ12&lt;&gt;"",BQ12,IF(BT12&lt;&gt;"",BT12,IF(BW12&lt;&gt;"",BW12,IF(BZ12&lt;&gt;"",BZ12,IF(CC12&lt;&gt;"",CC12,""))))))))))))</f>
        <v/>
      </c>
      <c r="G12" s="2">
        <f>IF(AW12&lt;&gt;"",AW12,IF(AZ12&lt;&gt;"",AZ12,IF(BC12&lt;&gt;"",BC12,IF(BF12&lt;&gt;"",BF12,IF(BI12&lt;&gt;"",BI12,IF(BL12&lt;&gt;"",BL12,IF(BO12&lt;&gt;"",BO12,IF(BR12&lt;&gt;"",BR12,IF(BU12&lt;&gt;"",BU12,IF(BX12&lt;&gt;"",BX12,IF(CA12&lt;&gt;"",CA12,IF(CD12&lt;&gt;"",CD12,""))))))))))))</f>
        <v/>
      </c>
      <c r="H12" s="21">
        <f>IF(CE12&lt;&gt;"",CE12,IF(CH12&lt;&gt;"",CH12,IF(CK12&lt;&gt;"",CK12,IF(CN12&lt;&gt;"",CN12,IF(CQ12&lt;&gt;"",CQ12,IF(CT12&lt;&gt;"",CT12,IF(CW12&lt;&gt;"",CW12,IF(CZ12&lt;&gt;"",CZ12,IF(DC12&lt;&gt;"",DC12,IF(DF12&lt;&gt;"",DF12,IF(DI12&lt;&gt;"",DI12,IF(DL12&lt;&gt;"",DL12,""))))))))))))</f>
        <v/>
      </c>
      <c r="I12" s="21">
        <f>IF(CF12&lt;&gt;"",CF12,IF(CI12&lt;&gt;"",CI12,IF(CL12&lt;&gt;"",CL12,IF(CO12&lt;&gt;"",CO12,IF(CR12&lt;&gt;"",CR12,IF(CU12&lt;&gt;"",CU12,IF(CX12&lt;&gt;"",CX12,IF(DA12&lt;&gt;"",DA12,IF(DD12&lt;&gt;"",DD12,IF(DG12&lt;&gt;"",DG12,IF(DJ12&lt;&gt;"",DJ12,IF(DM12&lt;&gt;"",DM12,""))))))))))))</f>
        <v/>
      </c>
      <c r="J12" s="21">
        <f>IF(CG12&lt;&gt;"",CG12,IF(CJ12&lt;&gt;"",CJ12,IF(CM12&lt;&gt;"",CM12,IF(CP12&lt;&gt;"",CP12,IF(CS12&lt;&gt;"",CS12,IF(CV12&lt;&gt;"",CV12,IF(CY12&lt;&gt;"",CY12,IF(DB12&lt;&gt;"",DB12,IF(DE12&lt;&gt;"",DE12,IF(DH12&lt;&gt;"",DH12,IF(DK12&lt;&gt;"",DK12,IF(DN12&lt;&gt;"",DN12,""))))))))))))</f>
        <v/>
      </c>
      <c r="K12" s="2">
        <f>IF(COUNT('Summary'!N16)=1,'Summary'!N16,"")</f>
        <v/>
      </c>
      <c r="L12" s="2">
        <f>'Summary'!O16</f>
        <v/>
      </c>
      <c r="M12" s="2">
        <f>'Summary'!P16</f>
        <v/>
      </c>
      <c r="N12" s="21">
        <f>IF(COUNT('Summary'!Q16)=1,'Summary'!Q16,"")</f>
        <v/>
      </c>
      <c r="O12" s="21">
        <f>'Summary'!R16</f>
        <v/>
      </c>
      <c r="P12" s="21">
        <f>'Summary'!S16</f>
        <v/>
      </c>
      <c r="Q12" s="2">
        <f>IF(COUNT('Summary'!T16)=1,'Summary'!T16,"")</f>
        <v/>
      </c>
      <c r="R12" s="2">
        <f>'Summary'!U16</f>
        <v/>
      </c>
      <c r="S12" s="2">
        <f>'Summary'!V16</f>
        <v/>
      </c>
      <c r="T12" s="21">
        <f>IF(COUNT('Summary'!W16)=1,'Summary'!W16,"")</f>
        <v/>
      </c>
      <c r="U12" s="21">
        <f>'Summary'!X16</f>
        <v/>
      </c>
      <c r="V12" s="21">
        <f>'Summary'!Y16</f>
        <v/>
      </c>
      <c r="W12" s="2">
        <f>IF(COUNT('Summary'!Z16)=1,'Summary'!Z16,"")</f>
        <v/>
      </c>
      <c r="X12" s="2">
        <f>'Summary'!AA16</f>
        <v/>
      </c>
      <c r="Y12" s="2">
        <f>'Summary'!AB16</f>
        <v/>
      </c>
      <c r="Z12" s="21">
        <f>IF(COUNT('Summary'!AC16)=1,'Summary'!AC16,"")</f>
        <v/>
      </c>
      <c r="AA12" s="21">
        <f>'Summary'!AD16</f>
        <v/>
      </c>
      <c r="AB12" s="21">
        <f>'Summary'!AE16</f>
        <v/>
      </c>
      <c r="AC12" s="2">
        <f>IF(COUNT('Summary'!AF16)=1,'Summary'!AF16,"")</f>
        <v/>
      </c>
      <c r="AD12" s="2">
        <f>'Summary'!AG16</f>
        <v/>
      </c>
      <c r="AE12" s="2">
        <f>'Summary'!AH16</f>
        <v/>
      </c>
      <c r="AF12" s="21">
        <f>IF(COUNT('Summary'!AI16)=1,'Summary'!AI16,"")</f>
        <v/>
      </c>
      <c r="AG12" s="21">
        <f>'Summary'!AJ16</f>
        <v/>
      </c>
      <c r="AH12" s="21">
        <f>'Summary'!AK16</f>
        <v/>
      </c>
      <c r="AI12" s="2">
        <f>IF(COUNT('Summary'!AL16)=1,'Summary'!AL16,"")</f>
        <v/>
      </c>
      <c r="AJ12" s="2">
        <f>'Summary'!AM16</f>
        <v/>
      </c>
      <c r="AK12" s="2">
        <f>'Summary'!AN16</f>
        <v/>
      </c>
      <c r="AL12" s="21">
        <f>IF(COUNT('Summary'!AO16)=1,'Summary'!AO16,"")</f>
        <v/>
      </c>
      <c r="AM12" s="21">
        <f>'Summary'!AP16</f>
        <v/>
      </c>
      <c r="AN12" s="21">
        <f>'Summary'!AQ16</f>
        <v/>
      </c>
      <c r="AO12" s="2">
        <f>IF(COUNT('Summary'!AR16)=1,'Summary'!AR16,"")</f>
        <v/>
      </c>
      <c r="AP12" s="2">
        <f>'Summary'!AS16</f>
        <v/>
      </c>
      <c r="AQ12" s="2">
        <f>'Summary'!AT16</f>
        <v/>
      </c>
      <c r="AR12" s="21">
        <f>IF(COUNT('Summary'!AU16)=1,'Summary'!AU16,"")</f>
        <v/>
      </c>
      <c r="AS12" s="21">
        <f>'Summary'!AV16</f>
        <v/>
      </c>
      <c r="AT12" s="21">
        <f>'Summary'!AW16</f>
        <v/>
      </c>
      <c r="AU12" s="2">
        <f>IF(COUNT('Summary'!AX16)=1,'Summary'!AX16,"")</f>
        <v/>
      </c>
      <c r="AV12" s="2">
        <f>'Summary'!AY16</f>
        <v/>
      </c>
      <c r="AW12" s="2">
        <f>'Summary'!AZ16</f>
        <v/>
      </c>
      <c r="AX12" s="21">
        <f>IF(COUNT('Summary'!BA16)=1,'Summary'!BA16,"")</f>
        <v/>
      </c>
      <c r="AY12" s="21">
        <f>'Summary'!BB16</f>
        <v/>
      </c>
      <c r="AZ12" s="21">
        <f>'Summary'!BC16</f>
        <v/>
      </c>
      <c r="BA12" s="2">
        <f>IF(COUNT('Summary'!BD16)=1,'Summary'!BD16,"")</f>
        <v/>
      </c>
      <c r="BB12" s="2">
        <f>'Summary'!BE16</f>
        <v/>
      </c>
      <c r="BC12" s="2">
        <f>'Summary'!BF16</f>
        <v/>
      </c>
      <c r="BD12" s="21">
        <f>IF(COUNT('Summary'!BG16)=1,'Summary'!BG16,"")</f>
        <v/>
      </c>
      <c r="BE12" s="21">
        <f>'Summary'!BH16</f>
        <v/>
      </c>
      <c r="BF12" s="21">
        <f>'Summary'!BI16</f>
        <v/>
      </c>
      <c r="BG12" s="2">
        <f>IF(COUNT('Summary'!BJ16)=1,'Summary'!BJ16,"")</f>
        <v/>
      </c>
      <c r="BH12" s="2">
        <f>'Summary'!BK16</f>
        <v/>
      </c>
      <c r="BI12" s="2">
        <f>'Summary'!BL16</f>
        <v/>
      </c>
      <c r="BJ12" s="21">
        <f>IF(COUNT('Summary'!BM16)=1,'Summary'!BM16,"")</f>
        <v/>
      </c>
      <c r="BK12" s="21">
        <f>'Summary'!BN16</f>
        <v/>
      </c>
      <c r="BL12" s="21">
        <f>'Summary'!BO16</f>
        <v/>
      </c>
      <c r="BM12" s="2">
        <f>IF(COUNT('Summary'!BP16)=1,'Summary'!BP16,"")</f>
        <v/>
      </c>
      <c r="BN12" s="2">
        <f>'Summary'!BQ16</f>
        <v/>
      </c>
      <c r="BO12" s="2">
        <f>'Summary'!BR16</f>
        <v/>
      </c>
      <c r="BP12" s="21">
        <f>IF(COUNT('Summary'!BS16)=1,'Summary'!BS16,"")</f>
        <v/>
      </c>
      <c r="BQ12" s="21">
        <f>'Summary'!BT16</f>
        <v/>
      </c>
      <c r="BR12" s="21">
        <f>'Summary'!BU16</f>
        <v/>
      </c>
      <c r="BS12" s="2">
        <f>IF(COUNT('Summary'!BV16)=1,'Summary'!BV16,"")</f>
        <v/>
      </c>
      <c r="BT12" s="2">
        <f>'Summary'!BW16</f>
        <v/>
      </c>
      <c r="BU12" s="2">
        <f>'Summary'!BX16</f>
        <v/>
      </c>
      <c r="BV12" s="21">
        <f>IF(COUNT('Summary'!BY16)=1,'Summary'!BY16,"")</f>
        <v/>
      </c>
      <c r="BW12" s="21">
        <f>'Summary'!BZ16</f>
        <v/>
      </c>
      <c r="BX12" s="21">
        <f>'Summary'!CA16</f>
        <v/>
      </c>
      <c r="BY12" s="2">
        <f>IF(COUNT('Summary'!CB16)=1,'Summary'!CB16,"")</f>
        <v/>
      </c>
      <c r="BZ12" s="2">
        <f>'Summary'!CC16</f>
        <v/>
      </c>
      <c r="CA12" s="2">
        <f>'Summary'!CD16</f>
        <v/>
      </c>
      <c r="CB12" s="21">
        <f>IF(COUNT('Summary'!CE16)=1,'Summary'!CE16,"")</f>
        <v/>
      </c>
      <c r="CC12" s="21">
        <f>'Summary'!CF16</f>
        <v/>
      </c>
      <c r="CD12" s="21">
        <f>'Summary'!CG16</f>
        <v/>
      </c>
      <c r="CE12" s="2">
        <f>IF(COUNT('Summary'!CH16)=1,'Summary'!CH16,"")</f>
        <v/>
      </c>
      <c r="CF12" s="2">
        <f>'Summary'!CI16</f>
        <v/>
      </c>
      <c r="CG12" s="2">
        <f>'Summary'!CJ16</f>
        <v/>
      </c>
      <c r="CH12" s="21">
        <f>IF(COUNT('Summary'!CK16)=1,'Summary'!CK16,"")</f>
        <v/>
      </c>
      <c r="CI12" s="21">
        <f>'Summary'!CL16</f>
        <v/>
      </c>
      <c r="CJ12" s="21">
        <f>'Summary'!CM16</f>
        <v/>
      </c>
      <c r="CK12" s="2">
        <f>IF(COUNT('Summary'!CN16)=1,'Summary'!CN16,"")</f>
        <v/>
      </c>
      <c r="CL12" s="2">
        <f>'Summary'!CO16</f>
        <v/>
      </c>
      <c r="CM12" s="2">
        <f>'Summary'!CP16</f>
        <v/>
      </c>
      <c r="CN12" s="21">
        <f>IF(COUNT('Summary'!CQ16)=1,'Summary'!CQ16,"")</f>
        <v/>
      </c>
      <c r="CO12" s="21">
        <f>'Summary'!CR16</f>
        <v/>
      </c>
      <c r="CP12" s="21">
        <f>'Summary'!CS16</f>
        <v/>
      </c>
      <c r="CQ12" s="2">
        <f>IF(COUNT('Summary'!CT16)=1,'Summary'!CT16,"")</f>
        <v/>
      </c>
      <c r="CR12" s="2">
        <f>'Summary'!CU16</f>
        <v/>
      </c>
      <c r="CS12" s="2">
        <f>'Summary'!CV16</f>
        <v/>
      </c>
      <c r="CT12" s="21">
        <f>IF(COUNT('Summary'!CW16)=1,'Summary'!CW16,"")</f>
        <v/>
      </c>
      <c r="CU12" s="21">
        <f>'Summary'!CX16</f>
        <v/>
      </c>
      <c r="CV12" s="21">
        <f>'Summary'!CY16</f>
        <v/>
      </c>
      <c r="CW12" s="2">
        <f>IF(COUNT('Summary'!CZ16)=1,'Summary'!CZ16,"")</f>
        <v/>
      </c>
      <c r="CX12" s="2">
        <f>'Summary'!DA16</f>
        <v/>
      </c>
      <c r="CY12" s="2">
        <f>'Summary'!DB16</f>
        <v/>
      </c>
      <c r="CZ12" s="21">
        <f>IF(COUNT('Summary'!DC16)=1,'Summary'!DC16,"")</f>
        <v/>
      </c>
      <c r="DA12" s="21">
        <f>'Summary'!DD16</f>
        <v/>
      </c>
      <c r="DB12" s="21">
        <f>'Summary'!DE16</f>
        <v/>
      </c>
      <c r="DC12" s="2">
        <f>IF(COUNT('Summary'!DF16)=1,'Summary'!DF16,"")</f>
        <v/>
      </c>
      <c r="DD12" s="2">
        <f>'Summary'!DG16</f>
        <v/>
      </c>
      <c r="DE12" s="2">
        <f>'Summary'!DH16</f>
        <v/>
      </c>
      <c r="DF12" s="21">
        <f>IF(COUNT('Summary'!DI16)=1,'Summary'!DI16,"")</f>
        <v/>
      </c>
      <c r="DG12" s="21">
        <f>'Summary'!DJ16</f>
        <v/>
      </c>
      <c r="DH12" s="21">
        <f>'Summary'!DK16</f>
        <v/>
      </c>
      <c r="DI12" s="2">
        <f>IF(COUNT('Summary'!DL16)=1,'Summary'!DL16,"")</f>
        <v/>
      </c>
      <c r="DJ12" s="2">
        <f>'Summary'!DM16</f>
        <v/>
      </c>
      <c r="DK12" s="2">
        <f>'Summary'!DN16</f>
        <v/>
      </c>
      <c r="DL12" s="21">
        <f>IF(COUNT(Finance!$B$62)=1,Finance!$B$62,"")</f>
        <v/>
      </c>
      <c r="DM12" s="21">
        <f>Finance!$B$62</f>
        <v/>
      </c>
      <c r="DN12" s="21">
        <f>Finance!$B$62</f>
        <v/>
      </c>
    </row>
    <row r="13">
      <c r="A13" s="2" t="inlineStr">
        <is>
          <t>Customers at Risk</t>
        </is>
      </c>
      <c r="B13" s="21">
        <f>IF(K13&lt;&gt;"",K13,IF(N13&lt;&gt;"",N13,IF(Q13&lt;&gt;"",Q13,IF(T13&lt;&gt;"",T13,IF(W13&lt;&gt;"",W13,IF(Z13&lt;&gt;"",Z13,IF(AC13&lt;&gt;"",AC13,IF(AF13&lt;&gt;"",AF13,IF(AI13&lt;&gt;"",AI13,IF(AL13&lt;&gt;"",AL13,IF(AO13&lt;&gt;"",AO13,IF(AR13&lt;&gt;"",AR13,""))))))))))))</f>
        <v/>
      </c>
      <c r="C13" s="21">
        <f>IF(L13&lt;&gt;"",L13,IF(O13&lt;&gt;"",O13,IF(R13&lt;&gt;"",R13,IF(U13&lt;&gt;"",U13,IF(X13&lt;&gt;"",X13,IF(AA13&lt;&gt;"",AA13,IF(AD13&lt;&gt;"",AD13,IF(AG13&lt;&gt;"",AG13,IF(AJ13&lt;&gt;"",AJ13,IF(AM13&lt;&gt;"",AM13,IF(AP13&lt;&gt;"",AP13,IF(AS13&lt;&gt;"",AS13,""))))))))))))</f>
        <v/>
      </c>
      <c r="D13" s="21">
        <f>IF(M13&lt;&gt;"",M13,IF(P13&lt;&gt;"",P13,IF(S13&lt;&gt;"",S13,IF(V13&lt;&gt;"",V13,IF(Y13&lt;&gt;"",Y13,IF(AB13&lt;&gt;"",AB13,IF(AE13&lt;&gt;"",AE13,IF(AH13&lt;&gt;"",AH13,IF(AK13&lt;&gt;"",AK13,IF(AN13&lt;&gt;"",AN13,IF(AQ13&lt;&gt;"",AQ13,IF(AT13&lt;&gt;"",AT13,""))))))))))))</f>
        <v/>
      </c>
      <c r="E13" s="2">
        <f>IF(AU13&lt;&gt;"",AU13,IF(AX13&lt;&gt;"",AX13,IF(BA13&lt;&gt;"",BA13,IF(BD13&lt;&gt;"",BD13,IF(BG13&lt;&gt;"",BG13,IF(BJ13&lt;&gt;"",BJ13,IF(BM13&lt;&gt;"",BM13,IF(BP13&lt;&gt;"",BP13,IF(BS13&lt;&gt;"",BS13,IF(BV13&lt;&gt;"",BV13,IF(BY13&lt;&gt;"",BY13,IF(CB13&lt;&gt;"",CB13,""))))))))))))</f>
        <v/>
      </c>
      <c r="F13" s="2">
        <f>IF(AV13&lt;&gt;"",AV13,IF(AY13&lt;&gt;"",AY13,IF(BB13&lt;&gt;"",BB13,IF(BE13&lt;&gt;"",BE13,IF(BH13&lt;&gt;"",BH13,IF(BK13&lt;&gt;"",BK13,IF(BN13&lt;&gt;"",BN13,IF(BQ13&lt;&gt;"",BQ13,IF(BT13&lt;&gt;"",BT13,IF(BW13&lt;&gt;"",BW13,IF(BZ13&lt;&gt;"",BZ13,IF(CC13&lt;&gt;"",CC13,""))))))))))))</f>
        <v/>
      </c>
      <c r="G13" s="2">
        <f>IF(AW13&lt;&gt;"",AW13,IF(AZ13&lt;&gt;"",AZ13,IF(BC13&lt;&gt;"",BC13,IF(BF13&lt;&gt;"",BF13,IF(BI13&lt;&gt;"",BI13,IF(BL13&lt;&gt;"",BL13,IF(BO13&lt;&gt;"",BO13,IF(BR13&lt;&gt;"",BR13,IF(BU13&lt;&gt;"",BU13,IF(BX13&lt;&gt;"",BX13,IF(CA13&lt;&gt;"",CA13,IF(CD13&lt;&gt;"",CD13,""))))))))))))</f>
        <v/>
      </c>
      <c r="H13" s="21">
        <f>IF(CE13&lt;&gt;"",CE13,IF(CH13&lt;&gt;"",CH13,IF(CK13&lt;&gt;"",CK13,IF(CN13&lt;&gt;"",CN13,IF(CQ13&lt;&gt;"",CQ13,IF(CT13&lt;&gt;"",CT13,IF(CW13&lt;&gt;"",CW13,IF(CZ13&lt;&gt;"",CZ13,IF(DC13&lt;&gt;"",DC13,IF(DF13&lt;&gt;"",DF13,IF(DI13&lt;&gt;"",DI13,IF(DL13&lt;&gt;"",DL13,""))))))))))))</f>
        <v/>
      </c>
      <c r="I13" s="21">
        <f>IF(CF13&lt;&gt;"",CF13,IF(CI13&lt;&gt;"",CI13,IF(CL13&lt;&gt;"",CL13,IF(CO13&lt;&gt;"",CO13,IF(CR13&lt;&gt;"",CR13,IF(CU13&lt;&gt;"",CU13,IF(CX13&lt;&gt;"",CX13,IF(DA13&lt;&gt;"",DA13,IF(DD13&lt;&gt;"",DD13,IF(DG13&lt;&gt;"",DG13,IF(DJ13&lt;&gt;"",DJ13,IF(DM13&lt;&gt;"",DM13,""))))))))))))</f>
        <v/>
      </c>
      <c r="J13" s="21">
        <f>IF(CG13&lt;&gt;"",CG13,IF(CJ13&lt;&gt;"",CJ13,IF(CM13&lt;&gt;"",CM13,IF(CP13&lt;&gt;"",CP13,IF(CS13&lt;&gt;"",CS13,IF(CV13&lt;&gt;"",CV13,IF(CY13&lt;&gt;"",CY13,IF(DB13&lt;&gt;"",DB13,IF(DE13&lt;&gt;"",DE13,IF(DH13&lt;&gt;"",DH13,IF(DK13&lt;&gt;"",DK13,IF(DN13&lt;&gt;"",DN13,""))))))))))))</f>
        <v/>
      </c>
      <c r="K13" s="2">
        <f>IF(COUNT('Support'!K10)=1,'Support'!K10,"")</f>
        <v/>
      </c>
      <c r="L13" s="2">
        <f>'Support'!L10</f>
        <v/>
      </c>
      <c r="M13" s="2">
        <f>'Support'!M10</f>
        <v/>
      </c>
      <c r="N13" s="21">
        <f>IF(COUNT('Support'!N10)=1,'Support'!N10,"")</f>
        <v/>
      </c>
      <c r="O13" s="21">
        <f>'Support'!O10</f>
        <v/>
      </c>
      <c r="P13" s="21">
        <f>'Support'!P10</f>
        <v/>
      </c>
      <c r="Q13" s="2">
        <f>IF(COUNT('Support'!Q10)=1,'Support'!Q10,"")</f>
        <v/>
      </c>
      <c r="R13" s="2">
        <f>'Support'!R10</f>
        <v/>
      </c>
      <c r="S13" s="2">
        <f>'Support'!S10</f>
        <v/>
      </c>
      <c r="T13" s="21">
        <f>IF(COUNT('Support'!T10)=1,'Support'!T10,"")</f>
        <v/>
      </c>
      <c r="U13" s="21">
        <f>'Support'!U10</f>
        <v/>
      </c>
      <c r="V13" s="21">
        <f>'Support'!V10</f>
        <v/>
      </c>
      <c r="W13" s="2">
        <f>IF(COUNT('Support'!W10)=1,'Support'!W10,"")</f>
        <v/>
      </c>
      <c r="X13" s="2">
        <f>'Support'!X10</f>
        <v/>
      </c>
      <c r="Y13" s="2">
        <f>'Support'!Y10</f>
        <v/>
      </c>
      <c r="Z13" s="21">
        <f>IF(COUNT('Support'!Z10)=1,'Support'!Z10,"")</f>
        <v/>
      </c>
      <c r="AA13" s="21">
        <f>'Support'!AA10</f>
        <v/>
      </c>
      <c r="AB13" s="21">
        <f>'Support'!AB10</f>
        <v/>
      </c>
      <c r="AC13" s="2">
        <f>IF(COUNT('Support'!AC10)=1,'Support'!AC10,"")</f>
        <v/>
      </c>
      <c r="AD13" s="2">
        <f>'Support'!AD10</f>
        <v/>
      </c>
      <c r="AE13" s="2">
        <f>'Support'!AE10</f>
        <v/>
      </c>
      <c r="AF13" s="21">
        <f>IF(COUNT('Support'!AF10)=1,'Support'!AF10,"")</f>
        <v/>
      </c>
      <c r="AG13" s="21">
        <f>'Support'!AG10</f>
        <v/>
      </c>
      <c r="AH13" s="21">
        <f>'Support'!AH10</f>
        <v/>
      </c>
      <c r="AI13" s="2">
        <f>IF(COUNT('Support'!AI10)=1,'Support'!AI10,"")</f>
        <v/>
      </c>
      <c r="AJ13" s="2">
        <f>'Support'!AJ10</f>
        <v/>
      </c>
      <c r="AK13" s="2">
        <f>'Support'!AK10</f>
        <v/>
      </c>
      <c r="AL13" s="21">
        <f>IF(COUNT('Support'!AL10)=1,'Support'!AL10,"")</f>
        <v/>
      </c>
      <c r="AM13" s="21">
        <f>'Support'!AM10</f>
        <v/>
      </c>
      <c r="AN13" s="21">
        <f>'Support'!AN10</f>
        <v/>
      </c>
      <c r="AO13" s="2">
        <f>IF(COUNT('Support'!AO10)=1,'Support'!AO10,"")</f>
        <v/>
      </c>
      <c r="AP13" s="2">
        <f>'Support'!AP10</f>
        <v/>
      </c>
      <c r="AQ13" s="2">
        <f>'Support'!AQ10</f>
        <v/>
      </c>
      <c r="AR13" s="21">
        <f>IF(COUNT('Support'!AR10)=1,'Support'!AR10,"")</f>
        <v/>
      </c>
      <c r="AS13" s="21">
        <f>'Support'!AS10</f>
        <v/>
      </c>
      <c r="AT13" s="21">
        <f>'Support'!AT10</f>
        <v/>
      </c>
      <c r="AU13" s="2">
        <f>IF(COUNT('Support'!AU10)=1,'Support'!AU10,"")</f>
        <v/>
      </c>
      <c r="AV13" s="2">
        <f>'Support'!AV10</f>
        <v/>
      </c>
      <c r="AW13" s="2">
        <f>'Support'!AW10</f>
        <v/>
      </c>
      <c r="AX13" s="21">
        <f>IF(COUNT('Support'!AX10)=1,'Support'!AX10,"")</f>
        <v/>
      </c>
      <c r="AY13" s="21">
        <f>'Support'!AY10</f>
        <v/>
      </c>
      <c r="AZ13" s="21">
        <f>'Support'!AZ10</f>
        <v/>
      </c>
      <c r="BA13" s="2">
        <f>IF(COUNT('Support'!BA10)=1,'Support'!BA10,"")</f>
        <v/>
      </c>
      <c r="BB13" s="2">
        <f>'Support'!BB10</f>
        <v/>
      </c>
      <c r="BC13" s="2">
        <f>'Support'!BC10</f>
        <v/>
      </c>
      <c r="BD13" s="21">
        <f>IF(COUNT('Support'!BD10)=1,'Support'!BD10,"")</f>
        <v/>
      </c>
      <c r="BE13" s="21">
        <f>'Support'!BE10</f>
        <v/>
      </c>
      <c r="BF13" s="21">
        <f>'Support'!BF10</f>
        <v/>
      </c>
      <c r="BG13" s="2">
        <f>IF(COUNT('Support'!BG10)=1,'Support'!BG10,"")</f>
        <v/>
      </c>
      <c r="BH13" s="2">
        <f>'Support'!BH10</f>
        <v/>
      </c>
      <c r="BI13" s="2">
        <f>'Support'!BI10</f>
        <v/>
      </c>
      <c r="BJ13" s="21">
        <f>IF(COUNT('Support'!BJ10)=1,'Support'!BJ10,"")</f>
        <v/>
      </c>
      <c r="BK13" s="21">
        <f>'Support'!BK10</f>
        <v/>
      </c>
      <c r="BL13" s="21">
        <f>'Support'!BL10</f>
        <v/>
      </c>
      <c r="BM13" s="2">
        <f>IF(COUNT('Support'!BM10)=1,'Support'!BM10,"")</f>
        <v/>
      </c>
      <c r="BN13" s="2">
        <f>'Support'!BN10</f>
        <v/>
      </c>
      <c r="BO13" s="2">
        <f>'Support'!BO10</f>
        <v/>
      </c>
      <c r="BP13" s="21">
        <f>IF(COUNT('Support'!BP10)=1,'Support'!BP10,"")</f>
        <v/>
      </c>
      <c r="BQ13" s="21">
        <f>'Support'!BQ10</f>
        <v/>
      </c>
      <c r="BR13" s="21">
        <f>'Support'!BR10</f>
        <v/>
      </c>
      <c r="BS13" s="2">
        <f>IF(COUNT('Support'!BS10)=1,'Support'!BS10,"")</f>
        <v/>
      </c>
      <c r="BT13" s="2">
        <f>'Support'!BT10</f>
        <v/>
      </c>
      <c r="BU13" s="2">
        <f>'Support'!BU10</f>
        <v/>
      </c>
      <c r="BV13" s="21">
        <f>IF(COUNT('Support'!BV10)=1,'Support'!BV10,"")</f>
        <v/>
      </c>
      <c r="BW13" s="21">
        <f>'Support'!BW10</f>
        <v/>
      </c>
      <c r="BX13" s="21">
        <f>'Support'!BX10</f>
        <v/>
      </c>
      <c r="BY13" s="2">
        <f>IF(COUNT('Support'!BY10)=1,'Support'!BY10,"")</f>
        <v/>
      </c>
      <c r="BZ13" s="2">
        <f>'Support'!BZ10</f>
        <v/>
      </c>
      <c r="CA13" s="2">
        <f>'Support'!CA10</f>
        <v/>
      </c>
      <c r="CB13" s="21">
        <f>IF(COUNT('Support'!CB10)=1,'Support'!CB10,"")</f>
        <v/>
      </c>
      <c r="CC13" s="21">
        <f>'Support'!CC10</f>
        <v/>
      </c>
      <c r="CD13" s="21">
        <f>'Support'!CD10</f>
        <v/>
      </c>
      <c r="CE13" s="2">
        <f>IF(COUNT('Support'!CE10)=1,'Support'!CE10,"")</f>
        <v/>
      </c>
      <c r="CF13" s="2">
        <f>'Support'!CF10</f>
        <v/>
      </c>
      <c r="CG13" s="2">
        <f>'Support'!CG10</f>
        <v/>
      </c>
      <c r="CH13" s="21">
        <f>IF(COUNT('Support'!CH10)=1,'Support'!CH10,"")</f>
        <v/>
      </c>
      <c r="CI13" s="21">
        <f>'Support'!CI10</f>
        <v/>
      </c>
      <c r="CJ13" s="21">
        <f>'Support'!CJ10</f>
        <v/>
      </c>
      <c r="CK13" s="2">
        <f>IF(COUNT('Support'!CK10)=1,'Support'!CK10,"")</f>
        <v/>
      </c>
      <c r="CL13" s="2">
        <f>'Support'!CL10</f>
        <v/>
      </c>
      <c r="CM13" s="2">
        <f>'Support'!CM10</f>
        <v/>
      </c>
      <c r="CN13" s="21">
        <f>IF(COUNT('Support'!CN10)=1,'Support'!CN10,"")</f>
        <v/>
      </c>
      <c r="CO13" s="21">
        <f>'Support'!CO10</f>
        <v/>
      </c>
      <c r="CP13" s="21">
        <f>'Support'!CP10</f>
        <v/>
      </c>
      <c r="CQ13" s="2">
        <f>IF(COUNT('Support'!CQ10)=1,'Support'!CQ10,"")</f>
        <v/>
      </c>
      <c r="CR13" s="2">
        <f>'Support'!CR10</f>
        <v/>
      </c>
      <c r="CS13" s="2">
        <f>'Support'!CS10</f>
        <v/>
      </c>
      <c r="CT13" s="21">
        <f>IF(COUNT('Support'!CT10)=1,'Support'!CT10,"")</f>
        <v/>
      </c>
      <c r="CU13" s="21">
        <f>'Support'!CU10</f>
        <v/>
      </c>
      <c r="CV13" s="21">
        <f>'Support'!CV10</f>
        <v/>
      </c>
      <c r="CW13" s="2">
        <f>IF(COUNT('Support'!CW10)=1,'Support'!CW10,"")</f>
        <v/>
      </c>
      <c r="CX13" s="2">
        <f>'Support'!CX10</f>
        <v/>
      </c>
      <c r="CY13" s="2">
        <f>'Support'!CY10</f>
        <v/>
      </c>
      <c r="CZ13" s="21">
        <f>IF(COUNT('Support'!CZ10)=1,'Support'!CZ10,"")</f>
        <v/>
      </c>
      <c r="DA13" s="21">
        <f>'Support'!DA10</f>
        <v/>
      </c>
      <c r="DB13" s="21">
        <f>'Support'!DB10</f>
        <v/>
      </c>
      <c r="DC13" s="2">
        <f>IF(COUNT('Support'!DC10)=1,'Support'!DC10,"")</f>
        <v/>
      </c>
      <c r="DD13" s="2">
        <f>'Support'!DD10</f>
        <v/>
      </c>
      <c r="DE13" s="2">
        <f>'Support'!DE10</f>
        <v/>
      </c>
      <c r="DF13" s="21">
        <f>IF(COUNT('Support'!DF10)=1,'Support'!DF10,"")</f>
        <v/>
      </c>
      <c r="DG13" s="21">
        <f>'Support'!DG10</f>
        <v/>
      </c>
      <c r="DH13" s="21">
        <f>'Support'!DH10</f>
        <v/>
      </c>
      <c r="DI13" s="2">
        <f>IF(COUNT('Support'!DI10)=1,'Support'!DI10,"")</f>
        <v/>
      </c>
      <c r="DJ13" s="2">
        <f>'Support'!DJ10</f>
        <v/>
      </c>
      <c r="DK13" s="2">
        <f>'Support'!DK10</f>
        <v/>
      </c>
      <c r="DL13" s="21">
        <f>IF(COUNT('Support'!DL10)=1,'Support'!DL10,"")</f>
        <v/>
      </c>
      <c r="DM13" s="21">
        <f>'Support'!DM10</f>
        <v/>
      </c>
      <c r="DN13" s="21">
        <f>'Support'!DN10</f>
        <v/>
      </c>
    </row>
    <row r="14">
      <c r="A14" s="15" t="inlineStr">
        <is>
          <t>Healthy Churn Rate</t>
        </is>
      </c>
      <c r="B14" s="43">
        <f>IF(K14&lt;&gt;"",K14,IF(N14&lt;&gt;"",N14,IF(Q14&lt;&gt;"",Q14,IF(T14&lt;&gt;"",T14,IF(W14&lt;&gt;"",W14,IF(Z14&lt;&gt;"",Z14,IF(AC14&lt;&gt;"",AC14,IF(AF14&lt;&gt;"",AF14,IF(AI14&lt;&gt;"",AI14,IF(AL14&lt;&gt;"",AL14,IF(AO14&lt;&gt;"",AO14,IF(AR14&lt;&gt;"",AR14,""))))))))))))</f>
        <v/>
      </c>
      <c r="C14" s="43">
        <f>IF(L14&lt;&gt;"",L14,IF(O14&lt;&gt;"",O14,IF(R14&lt;&gt;"",R14,IF(U14&lt;&gt;"",U14,IF(X14&lt;&gt;"",X14,IF(AA14&lt;&gt;"",AA14,IF(AD14&lt;&gt;"",AD14,IF(AG14&lt;&gt;"",AG14,IF(AJ14&lt;&gt;"",AJ14,IF(AM14&lt;&gt;"",AM14,IF(AP14&lt;&gt;"",AP14,IF(AS14&lt;&gt;"",AS14,""))))))))))))</f>
        <v/>
      </c>
      <c r="D14" s="43">
        <f>IF(M14&lt;&gt;"",M14,IF(P14&lt;&gt;"",P14,IF(S14&lt;&gt;"",S14,IF(V14&lt;&gt;"",V14,IF(Y14&lt;&gt;"",Y14,IF(AB14&lt;&gt;"",AB14,IF(AE14&lt;&gt;"",AE14,IF(AH14&lt;&gt;"",AH14,IF(AK14&lt;&gt;"",AK14,IF(AN14&lt;&gt;"",AN14,IF(AQ14&lt;&gt;"",AQ14,IF(AT14&lt;&gt;"",AT14,""))))))))))))</f>
        <v/>
      </c>
      <c r="E14" s="44">
        <f>IF(AU14&lt;&gt;"",AU14,IF(AX14&lt;&gt;"",AX14,IF(BA14&lt;&gt;"",BA14,IF(BD14&lt;&gt;"",BD14,IF(BG14&lt;&gt;"",BG14,IF(BJ14&lt;&gt;"",BJ14,IF(BM14&lt;&gt;"",BM14,IF(BP14&lt;&gt;"",BP14,IF(BS14&lt;&gt;"",BS14,IF(BV14&lt;&gt;"",BV14,IF(BY14&lt;&gt;"",BY14,IF(CB14&lt;&gt;"",CB14,""))))))))))))</f>
        <v/>
      </c>
      <c r="F14" s="44">
        <f>IF(AV14&lt;&gt;"",AV14,IF(AY14&lt;&gt;"",AY14,IF(BB14&lt;&gt;"",BB14,IF(BE14&lt;&gt;"",BE14,IF(BH14&lt;&gt;"",BH14,IF(BK14&lt;&gt;"",BK14,IF(BN14&lt;&gt;"",BN14,IF(BQ14&lt;&gt;"",BQ14,IF(BT14&lt;&gt;"",BT14,IF(BW14&lt;&gt;"",BW14,IF(BZ14&lt;&gt;"",BZ14,IF(CC14&lt;&gt;"",CC14,""))))))))))))</f>
        <v/>
      </c>
      <c r="G14" s="44">
        <f>IF(AW14&lt;&gt;"",AW14,IF(AZ14&lt;&gt;"",AZ14,IF(BC14&lt;&gt;"",BC14,IF(BF14&lt;&gt;"",BF14,IF(BI14&lt;&gt;"",BI14,IF(BL14&lt;&gt;"",BL14,IF(BO14&lt;&gt;"",BO14,IF(BR14&lt;&gt;"",BR14,IF(BU14&lt;&gt;"",BU14,IF(BX14&lt;&gt;"",BX14,IF(CA14&lt;&gt;"",CA14,IF(CD14&lt;&gt;"",CD14,""))))))))))))</f>
        <v/>
      </c>
      <c r="H14" s="43">
        <f>IF(CE14&lt;&gt;"",CE14,IF(CH14&lt;&gt;"",CH14,IF(CK14&lt;&gt;"",CK14,IF(CN14&lt;&gt;"",CN14,IF(CQ14&lt;&gt;"",CQ14,IF(CT14&lt;&gt;"",CT14,IF(CW14&lt;&gt;"",CW14,IF(CZ14&lt;&gt;"",CZ14,IF(DC14&lt;&gt;"",DC14,IF(DF14&lt;&gt;"",DF14,IF(DI14&lt;&gt;"",DI14,IF(DL14&lt;&gt;"",DL14,""))))))))))))</f>
        <v/>
      </c>
      <c r="I14" s="43">
        <f>IF(CF14&lt;&gt;"",CF14,IF(CI14&lt;&gt;"",CI14,IF(CL14&lt;&gt;"",CL14,IF(CO14&lt;&gt;"",CO14,IF(CR14&lt;&gt;"",CR14,IF(CU14&lt;&gt;"",CU14,IF(CX14&lt;&gt;"",CX14,IF(DA14&lt;&gt;"",DA14,IF(DD14&lt;&gt;"",DD14,IF(DG14&lt;&gt;"",DG14,IF(DJ14&lt;&gt;"",DJ14,IF(DM14&lt;&gt;"",DM14,""))))))))))))</f>
        <v/>
      </c>
      <c r="J14" s="43">
        <f>IF(CG14&lt;&gt;"",CG14,IF(CJ14&lt;&gt;"",CJ14,IF(CM14&lt;&gt;"",CM14,IF(CP14&lt;&gt;"",CP14,IF(CS14&lt;&gt;"",CS14,IF(CV14&lt;&gt;"",CV14,IF(CY14&lt;&gt;"",CY14,IF(DB14&lt;&gt;"",DB14,IF(DE14&lt;&gt;"",DE14,IF(DH14&lt;&gt;"",DH14,IF(DK14&lt;&gt;"",DK14,IF(DN14&lt;&gt;"",DN14,""))))))))))))</f>
        <v/>
      </c>
      <c r="K14" s="45" t="n"/>
      <c r="L14" s="44" t="n">
        <v>0.005</v>
      </c>
      <c r="M14" s="44" t="n">
        <v>0.005</v>
      </c>
      <c r="N14" s="46" t="n"/>
      <c r="O14" s="43" t="n">
        <v>0.005</v>
      </c>
      <c r="P14" s="43" t="n">
        <v>0.005</v>
      </c>
      <c r="Q14" s="45" t="n"/>
      <c r="R14" s="44" t="n">
        <v>0.005</v>
      </c>
      <c r="S14" s="44" t="n">
        <v>0.005</v>
      </c>
      <c r="T14" s="46" t="n"/>
      <c r="U14" s="43" t="n">
        <v>0.005</v>
      </c>
      <c r="V14" s="43" t="n">
        <v>0.005</v>
      </c>
      <c r="W14" s="45" t="n"/>
      <c r="X14" s="44" t="n">
        <v>0.005</v>
      </c>
      <c r="Y14" s="44" t="n">
        <v>0.005</v>
      </c>
      <c r="Z14" s="46" t="n"/>
      <c r="AA14" s="43" t="n">
        <v>0.005</v>
      </c>
      <c r="AB14" s="43" t="n">
        <v>0.005</v>
      </c>
      <c r="AC14" s="45" t="n"/>
      <c r="AD14" s="44" t="n">
        <v>0.005</v>
      </c>
      <c r="AE14" s="44" t="n">
        <v>0.005</v>
      </c>
      <c r="AF14" s="46" t="n"/>
      <c r="AG14" s="43" t="n">
        <v>0.005</v>
      </c>
      <c r="AH14" s="43" t="n">
        <v>0.005</v>
      </c>
      <c r="AI14" s="45" t="n"/>
      <c r="AJ14" s="44" t="n">
        <v>0.005</v>
      </c>
      <c r="AK14" s="44" t="n">
        <v>0.005</v>
      </c>
      <c r="AL14" s="46" t="n"/>
      <c r="AM14" s="43" t="n">
        <v>0.005</v>
      </c>
      <c r="AN14" s="43" t="n">
        <v>0.005</v>
      </c>
      <c r="AO14" s="45" t="n"/>
      <c r="AP14" s="44" t="n">
        <v>0.005</v>
      </c>
      <c r="AQ14" s="44" t="n">
        <v>0.005</v>
      </c>
      <c r="AR14" s="46" t="n"/>
      <c r="AS14" s="43" t="n">
        <v>0.005</v>
      </c>
      <c r="AT14" s="43" t="n">
        <v>0.005</v>
      </c>
      <c r="AU14" s="45" t="n"/>
      <c r="AV14" s="44" t="n">
        <v>0.005</v>
      </c>
      <c r="AW14" s="44" t="n">
        <v>0.005</v>
      </c>
      <c r="AX14" s="46" t="n"/>
      <c r="AY14" s="43" t="n">
        <v>0.005</v>
      </c>
      <c r="AZ14" s="43" t="n">
        <v>0.005</v>
      </c>
      <c r="BA14" s="45" t="n"/>
      <c r="BB14" s="44" t="n">
        <v>0.005</v>
      </c>
      <c r="BC14" s="44" t="n">
        <v>0.005</v>
      </c>
      <c r="BD14" s="46" t="n"/>
      <c r="BE14" s="43" t="n">
        <v>0.005</v>
      </c>
      <c r="BF14" s="43" t="n">
        <v>0.005</v>
      </c>
      <c r="BG14" s="45" t="n"/>
      <c r="BH14" s="44" t="n">
        <v>0.005</v>
      </c>
      <c r="BI14" s="44" t="n">
        <v>0.005</v>
      </c>
      <c r="BJ14" s="46" t="n"/>
      <c r="BK14" s="43" t="n">
        <v>0.005</v>
      </c>
      <c r="BL14" s="43" t="n">
        <v>0.005</v>
      </c>
      <c r="BM14" s="45" t="n"/>
      <c r="BN14" s="44" t="n">
        <v>0.005</v>
      </c>
      <c r="BO14" s="44" t="n">
        <v>0.005</v>
      </c>
      <c r="BP14" s="46" t="n"/>
      <c r="BQ14" s="43" t="n">
        <v>0.005</v>
      </c>
      <c r="BR14" s="43" t="n">
        <v>0.005</v>
      </c>
      <c r="BS14" s="45" t="n"/>
      <c r="BT14" s="44" t="n">
        <v>0.005</v>
      </c>
      <c r="BU14" s="44" t="n">
        <v>0.005</v>
      </c>
      <c r="BV14" s="46" t="n"/>
      <c r="BW14" s="43" t="n">
        <v>0.005</v>
      </c>
      <c r="BX14" s="43" t="n">
        <v>0.005</v>
      </c>
      <c r="BY14" s="45" t="n"/>
      <c r="BZ14" s="44" t="n">
        <v>0.005</v>
      </c>
      <c r="CA14" s="44" t="n">
        <v>0.005</v>
      </c>
      <c r="CB14" s="46" t="n"/>
      <c r="CC14" s="43" t="n">
        <v>0.005</v>
      </c>
      <c r="CD14" s="43" t="n">
        <v>0.005</v>
      </c>
      <c r="CE14" s="45" t="n"/>
      <c r="CF14" s="44" t="n">
        <v>0.005</v>
      </c>
      <c r="CG14" s="44" t="n">
        <v>0.005</v>
      </c>
      <c r="CH14" s="46" t="n"/>
      <c r="CI14" s="43" t="n">
        <v>0.005</v>
      </c>
      <c r="CJ14" s="43" t="n">
        <v>0.005</v>
      </c>
      <c r="CK14" s="45" t="n"/>
      <c r="CL14" s="44" t="n">
        <v>0.005</v>
      </c>
      <c r="CM14" s="44" t="n">
        <v>0.005</v>
      </c>
      <c r="CN14" s="46" t="n"/>
      <c r="CO14" s="43" t="n">
        <v>0.005</v>
      </c>
      <c r="CP14" s="43" t="n">
        <v>0.005</v>
      </c>
      <c r="CQ14" s="45" t="n"/>
      <c r="CR14" s="44" t="n">
        <v>0.005</v>
      </c>
      <c r="CS14" s="44" t="n">
        <v>0.005</v>
      </c>
      <c r="CT14" s="46" t="n"/>
      <c r="CU14" s="43" t="n">
        <v>0.005</v>
      </c>
      <c r="CV14" s="43" t="n">
        <v>0.005</v>
      </c>
      <c r="CW14" s="45" t="n"/>
      <c r="CX14" s="44" t="n">
        <v>0.005</v>
      </c>
      <c r="CY14" s="44" t="n">
        <v>0.005</v>
      </c>
      <c r="CZ14" s="46" t="n"/>
      <c r="DA14" s="43" t="n">
        <v>0.005</v>
      </c>
      <c r="DB14" s="43" t="n">
        <v>0.005</v>
      </c>
      <c r="DC14" s="45" t="n"/>
      <c r="DD14" s="44" t="n">
        <v>0.005</v>
      </c>
      <c r="DE14" s="44" t="n">
        <v>0.005</v>
      </c>
      <c r="DF14" s="46" t="n"/>
      <c r="DG14" s="43" t="n">
        <v>0.005</v>
      </c>
      <c r="DH14" s="43" t="n">
        <v>0.005</v>
      </c>
      <c r="DI14" s="44" t="n">
        <v>0.005</v>
      </c>
      <c r="DJ14" s="44" t="n">
        <v>0.005</v>
      </c>
      <c r="DK14" s="44" t="n">
        <v>0.005</v>
      </c>
      <c r="DL14" s="43" t="n">
        <v>0.005</v>
      </c>
      <c r="DM14" s="43" t="n">
        <v>0.005</v>
      </c>
      <c r="DN14" s="43" t="n">
        <v>0.005</v>
      </c>
    </row>
    <row r="15">
      <c r="A15" s="15" t="inlineStr">
        <is>
          <t>At-Risk Churn Rate</t>
        </is>
      </c>
      <c r="B15" s="43">
        <f>IF(K15&lt;&gt;"",K15,IF(N15&lt;&gt;"",N15,IF(Q15&lt;&gt;"",Q15,IF(T15&lt;&gt;"",T15,IF(W15&lt;&gt;"",W15,IF(Z15&lt;&gt;"",Z15,IF(AC15&lt;&gt;"",AC15,IF(AF15&lt;&gt;"",AF15,IF(AI15&lt;&gt;"",AI15,IF(AL15&lt;&gt;"",AL15,IF(AO15&lt;&gt;"",AO15,IF(AR15&lt;&gt;"",AR15,""))))))))))))</f>
        <v/>
      </c>
      <c r="C15" s="43">
        <f>IF(L15&lt;&gt;"",L15,IF(O15&lt;&gt;"",O15,IF(R15&lt;&gt;"",R15,IF(U15&lt;&gt;"",U15,IF(X15&lt;&gt;"",X15,IF(AA15&lt;&gt;"",AA15,IF(AD15&lt;&gt;"",AD15,IF(AG15&lt;&gt;"",AG15,IF(AJ15&lt;&gt;"",AJ15,IF(AM15&lt;&gt;"",AM15,IF(AP15&lt;&gt;"",AP15,IF(AS15&lt;&gt;"",AS15,""))))))))))))</f>
        <v/>
      </c>
      <c r="D15" s="43">
        <f>IF(M15&lt;&gt;"",M15,IF(P15&lt;&gt;"",P15,IF(S15&lt;&gt;"",S15,IF(V15&lt;&gt;"",V15,IF(Y15&lt;&gt;"",Y15,IF(AB15&lt;&gt;"",AB15,IF(AE15&lt;&gt;"",AE15,IF(AH15&lt;&gt;"",AH15,IF(AK15&lt;&gt;"",AK15,IF(AN15&lt;&gt;"",AN15,IF(AQ15&lt;&gt;"",AQ15,IF(AT15&lt;&gt;"",AT15,""))))))))))))</f>
        <v/>
      </c>
      <c r="E15" s="44">
        <f>IF(AU15&lt;&gt;"",AU15,IF(AX15&lt;&gt;"",AX15,IF(BA15&lt;&gt;"",BA15,IF(BD15&lt;&gt;"",BD15,IF(BG15&lt;&gt;"",BG15,IF(BJ15&lt;&gt;"",BJ15,IF(BM15&lt;&gt;"",BM15,IF(BP15&lt;&gt;"",BP15,IF(BS15&lt;&gt;"",BS15,IF(BV15&lt;&gt;"",BV15,IF(BY15&lt;&gt;"",BY15,IF(CB15&lt;&gt;"",CB15,""))))))))))))</f>
        <v/>
      </c>
      <c r="F15" s="44">
        <f>IF(AV15&lt;&gt;"",AV15,IF(AY15&lt;&gt;"",AY15,IF(BB15&lt;&gt;"",BB15,IF(BE15&lt;&gt;"",BE15,IF(BH15&lt;&gt;"",BH15,IF(BK15&lt;&gt;"",BK15,IF(BN15&lt;&gt;"",BN15,IF(BQ15&lt;&gt;"",BQ15,IF(BT15&lt;&gt;"",BT15,IF(BW15&lt;&gt;"",BW15,IF(BZ15&lt;&gt;"",BZ15,IF(CC15&lt;&gt;"",CC15,""))))))))))))</f>
        <v/>
      </c>
      <c r="G15" s="44">
        <f>IF(AW15&lt;&gt;"",AW15,IF(AZ15&lt;&gt;"",AZ15,IF(BC15&lt;&gt;"",BC15,IF(BF15&lt;&gt;"",BF15,IF(BI15&lt;&gt;"",BI15,IF(BL15&lt;&gt;"",BL15,IF(BO15&lt;&gt;"",BO15,IF(BR15&lt;&gt;"",BR15,IF(BU15&lt;&gt;"",BU15,IF(BX15&lt;&gt;"",BX15,IF(CA15&lt;&gt;"",CA15,IF(CD15&lt;&gt;"",CD15,""))))))))))))</f>
        <v/>
      </c>
      <c r="H15" s="43">
        <f>IF(CE15&lt;&gt;"",CE15,IF(CH15&lt;&gt;"",CH15,IF(CK15&lt;&gt;"",CK15,IF(CN15&lt;&gt;"",CN15,IF(CQ15&lt;&gt;"",CQ15,IF(CT15&lt;&gt;"",CT15,IF(CW15&lt;&gt;"",CW15,IF(CZ15&lt;&gt;"",CZ15,IF(DC15&lt;&gt;"",DC15,IF(DF15&lt;&gt;"",DF15,IF(DI15&lt;&gt;"",DI15,IF(DL15&lt;&gt;"",DL15,""))))))))))))</f>
        <v/>
      </c>
      <c r="I15" s="43">
        <f>IF(CF15&lt;&gt;"",CF15,IF(CI15&lt;&gt;"",CI15,IF(CL15&lt;&gt;"",CL15,IF(CO15&lt;&gt;"",CO15,IF(CR15&lt;&gt;"",CR15,IF(CU15&lt;&gt;"",CU15,IF(CX15&lt;&gt;"",CX15,IF(DA15&lt;&gt;"",DA15,IF(DD15&lt;&gt;"",DD15,IF(DG15&lt;&gt;"",DG15,IF(DJ15&lt;&gt;"",DJ15,IF(DM15&lt;&gt;"",DM15,""))))))))))))</f>
        <v/>
      </c>
      <c r="J15" s="43">
        <f>IF(CG15&lt;&gt;"",CG15,IF(CJ15&lt;&gt;"",CJ15,IF(CM15&lt;&gt;"",CM15,IF(CP15&lt;&gt;"",CP15,IF(CS15&lt;&gt;"",CS15,IF(CV15&lt;&gt;"",CV15,IF(CY15&lt;&gt;"",CY15,IF(DB15&lt;&gt;"",DB15,IF(DE15&lt;&gt;"",DE15,IF(DH15&lt;&gt;"",DH15,IF(DK15&lt;&gt;"",DK15,IF(DN15&lt;&gt;"",DN15,""))))))))))))</f>
        <v/>
      </c>
      <c r="K15" s="45" t="n"/>
      <c r="L15" s="44" t="n">
        <v>0.05</v>
      </c>
      <c r="M15" s="44" t="n">
        <v>0.05</v>
      </c>
      <c r="N15" s="46" t="n"/>
      <c r="O15" s="43" t="n">
        <v>0.05</v>
      </c>
      <c r="P15" s="43" t="n">
        <v>0.05</v>
      </c>
      <c r="Q15" s="45" t="n"/>
      <c r="R15" s="44" t="n">
        <v>0.05</v>
      </c>
      <c r="S15" s="44" t="n">
        <v>0.05</v>
      </c>
      <c r="T15" s="46" t="n"/>
      <c r="U15" s="43" t="n">
        <v>0.05</v>
      </c>
      <c r="V15" s="43" t="n">
        <v>0.05</v>
      </c>
      <c r="W15" s="45" t="n"/>
      <c r="X15" s="44" t="n">
        <v>0.05</v>
      </c>
      <c r="Y15" s="44" t="n">
        <v>0.05</v>
      </c>
      <c r="Z15" s="46" t="n"/>
      <c r="AA15" s="43" t="n">
        <v>0.05</v>
      </c>
      <c r="AB15" s="43" t="n">
        <v>0.05</v>
      </c>
      <c r="AC15" s="45" t="n"/>
      <c r="AD15" s="44" t="n">
        <v>0.05</v>
      </c>
      <c r="AE15" s="44" t="n">
        <v>0.05</v>
      </c>
      <c r="AF15" s="46" t="n"/>
      <c r="AG15" s="43" t="n">
        <v>0.05</v>
      </c>
      <c r="AH15" s="43" t="n">
        <v>0.05</v>
      </c>
      <c r="AI15" s="45" t="n"/>
      <c r="AJ15" s="44" t="n">
        <v>0.05</v>
      </c>
      <c r="AK15" s="44" t="n">
        <v>0.05</v>
      </c>
      <c r="AL15" s="46" t="n"/>
      <c r="AM15" s="43" t="n">
        <v>0.05</v>
      </c>
      <c r="AN15" s="43" t="n">
        <v>0.05</v>
      </c>
      <c r="AO15" s="45" t="n"/>
      <c r="AP15" s="44" t="n">
        <v>0.05</v>
      </c>
      <c r="AQ15" s="44" t="n">
        <v>0.05</v>
      </c>
      <c r="AR15" s="46" t="n"/>
      <c r="AS15" s="43" t="n">
        <v>0.05</v>
      </c>
      <c r="AT15" s="43" t="n">
        <v>0.05</v>
      </c>
      <c r="AU15" s="45" t="n"/>
      <c r="AV15" s="44" t="n">
        <v>0.05</v>
      </c>
      <c r="AW15" s="44" t="n">
        <v>0.05</v>
      </c>
      <c r="AX15" s="46" t="n"/>
      <c r="AY15" s="43" t="n">
        <v>0.05</v>
      </c>
      <c r="AZ15" s="43" t="n">
        <v>0.05</v>
      </c>
      <c r="BA15" s="45" t="n"/>
      <c r="BB15" s="44" t="n">
        <v>0.05</v>
      </c>
      <c r="BC15" s="44" t="n">
        <v>0.05</v>
      </c>
      <c r="BD15" s="46" t="n"/>
      <c r="BE15" s="43" t="n">
        <v>0.05</v>
      </c>
      <c r="BF15" s="43" t="n">
        <v>0.05</v>
      </c>
      <c r="BG15" s="45" t="n"/>
      <c r="BH15" s="44" t="n">
        <v>0.05</v>
      </c>
      <c r="BI15" s="44" t="n">
        <v>0.05</v>
      </c>
      <c r="BJ15" s="46" t="n"/>
      <c r="BK15" s="43" t="n">
        <v>0.05</v>
      </c>
      <c r="BL15" s="43" t="n">
        <v>0.05</v>
      </c>
      <c r="BM15" s="45" t="n"/>
      <c r="BN15" s="44" t="n">
        <v>0.05</v>
      </c>
      <c r="BO15" s="44" t="n">
        <v>0.05</v>
      </c>
      <c r="BP15" s="46" t="n"/>
      <c r="BQ15" s="43" t="n">
        <v>0.05</v>
      </c>
      <c r="BR15" s="43" t="n">
        <v>0.05</v>
      </c>
      <c r="BS15" s="45" t="n"/>
      <c r="BT15" s="44" t="n">
        <v>0.05</v>
      </c>
      <c r="BU15" s="44" t="n">
        <v>0.05</v>
      </c>
      <c r="BV15" s="46" t="n"/>
      <c r="BW15" s="43" t="n">
        <v>0.05</v>
      </c>
      <c r="BX15" s="43" t="n">
        <v>0.05</v>
      </c>
      <c r="BY15" s="45" t="n"/>
      <c r="BZ15" s="44" t="n">
        <v>0.05</v>
      </c>
      <c r="CA15" s="44" t="n">
        <v>0.05</v>
      </c>
      <c r="CB15" s="46" t="n"/>
      <c r="CC15" s="43" t="n">
        <v>0.05</v>
      </c>
      <c r="CD15" s="43" t="n">
        <v>0.05</v>
      </c>
      <c r="CE15" s="45" t="n"/>
      <c r="CF15" s="44" t="n">
        <v>0.05</v>
      </c>
      <c r="CG15" s="44" t="n">
        <v>0.05</v>
      </c>
      <c r="CH15" s="46" t="n"/>
      <c r="CI15" s="43" t="n">
        <v>0.05</v>
      </c>
      <c r="CJ15" s="43" t="n">
        <v>0.05</v>
      </c>
      <c r="CK15" s="45" t="n"/>
      <c r="CL15" s="44" t="n">
        <v>0.05</v>
      </c>
      <c r="CM15" s="44" t="n">
        <v>0.05</v>
      </c>
      <c r="CN15" s="46" t="n"/>
      <c r="CO15" s="43" t="n">
        <v>0.05</v>
      </c>
      <c r="CP15" s="43" t="n">
        <v>0.05</v>
      </c>
      <c r="CQ15" s="45" t="n"/>
      <c r="CR15" s="44" t="n">
        <v>0.05</v>
      </c>
      <c r="CS15" s="44" t="n">
        <v>0.05</v>
      </c>
      <c r="CT15" s="46" t="n"/>
      <c r="CU15" s="43" t="n">
        <v>0.05</v>
      </c>
      <c r="CV15" s="43" t="n">
        <v>0.05</v>
      </c>
      <c r="CW15" s="45" t="n"/>
      <c r="CX15" s="44" t="n">
        <v>0.05</v>
      </c>
      <c r="CY15" s="44" t="n">
        <v>0.05</v>
      </c>
      <c r="CZ15" s="46" t="n"/>
      <c r="DA15" s="43" t="n">
        <v>0.05</v>
      </c>
      <c r="DB15" s="43" t="n">
        <v>0.05</v>
      </c>
      <c r="DC15" s="45" t="n"/>
      <c r="DD15" s="44" t="n">
        <v>0.05</v>
      </c>
      <c r="DE15" s="44" t="n">
        <v>0.05</v>
      </c>
      <c r="DF15" s="46" t="n"/>
      <c r="DG15" s="43" t="n">
        <v>0.05</v>
      </c>
      <c r="DH15" s="43" t="n">
        <v>0.05</v>
      </c>
      <c r="DI15" s="44" t="n">
        <v>0.05</v>
      </c>
      <c r="DJ15" s="44" t="n">
        <v>0.05</v>
      </c>
      <c r="DK15" s="44" t="n">
        <v>0.05</v>
      </c>
      <c r="DL15" s="43" t="n">
        <v>0.05</v>
      </c>
      <c r="DM15" s="43" t="n">
        <v>0.05</v>
      </c>
      <c r="DN15" s="43" t="n">
        <v>0.05</v>
      </c>
    </row>
    <row r="16">
      <c r="A16" s="15" t="inlineStr">
        <is>
          <t>Customer Churn Rate</t>
        </is>
      </c>
      <c r="B16" s="43">
        <f>IF(SUM(AR12,AO12,AL12,AI12,AF12,AC12,Z12,W12,T12,Q12,N12,K12)=0,"",SUM(AR17,AO17,AL17,AI17,AF17,AC17,Z17,W17,T17,Q17,N17,K17)/SUM(AR12,AO12,AL12,AI12,AF12,AC12,Z12,W12,T12,Q12,N12,K12))</f>
        <v/>
      </c>
      <c r="C16" s="43">
        <f>IF(SUM(AS12,AP12,AM12,AJ12,AG12,AD12,AA12,X12,U12,R12,O12,L12)=0,"",SUM(AS17,AP17,AM17,AJ17,AG17,AD17,AA17,X17,U17,R17,O17,L17)/SUM(AS12,AP12,AM12,AJ12,AG12,AD12,AA12,X12,U12,R12,O12,L12))</f>
        <v/>
      </c>
      <c r="D16" s="43">
        <f>IF(SUM(AT12,AQ12,AN12,AK12,AH12,AE12,AB12,Y12,V12,S12,P12,M12)=0,"",SUM(AT17,AQ17,AN17,AK17,AH17,AE17,AB17,Y17,V17,S17,P17,M17)/SUM(AT12,AQ12,AN12,AK12,AH12,AE12,AB12,Y12,V12,S12,P12,M12))</f>
        <v/>
      </c>
      <c r="E16" s="44">
        <f>IF(SUM(CB12,BY12,BV12,BS12,BP12,BM12,BJ12,BG12,BD12,BA12,AX12,AU12)=0,"",SUM(CB17,BY17,BV17,BS17,BP17,BM17,BJ17,BG17,BD17,BA17,AX17,AU17)/SUM(CB12,BY12,BV12,BS12,BP12,BM12,BJ12,BG12,BD12,BA12,AX12,AU12))</f>
        <v/>
      </c>
      <c r="F16" s="44">
        <f>IF(SUM(CC12,BZ12,BW12,BT12,BQ12,BN12,BK12,BH12,BE12,BB12,AY12,AV12)=0,"",SUM(CC17,BZ17,BW17,BT17,BQ17,BN17,BK17,BH17,BE17,BB17,AY17,AV17)/SUM(CC12,BZ12,BW12,BT12,BQ12,BN12,BK12,BH12,BE12,BB12,AY12,AV12))</f>
        <v/>
      </c>
      <c r="G16" s="44">
        <f>IF(SUM(CD12,CA12,BX12,BU12,BR12,BO12,BL12,BI12,BF12,BC12,AZ12,AW12)=0,"",SUM(CD17,CA17,BX17,BU17,BR17,BO17,BL17,BI17,BF17,BC17,AZ17,AW17)/SUM(CD12,CA12,BX12,BU12,BR12,BO12,BL12,BI12,BF12,BC12,AZ12,AW12))</f>
        <v/>
      </c>
      <c r="H16" s="43">
        <f>IF(SUM(DL12,DI12,DF12,DC12,CZ12,CW12,CT12,CQ12,CN12,CK12,CH12,CE12)=0,"",SUM(DL17,DI17,DF17,DC17,CZ17,CW17,CT17,CQ17,CN17,CK17,CH17,CE17)/SUM(DL12,DI12,DF12,DC12,CZ12,CW12,CT12,CQ12,CN12,CK12,CH12,CE12))</f>
        <v/>
      </c>
      <c r="I16" s="43">
        <f>IF(SUM(DM12,DJ12,DG12,DD12,DA12,CX12,CU12,CR12,CO12,CL12,CI12,CF12)=0,"",SUM(DM17,DJ17,DG17,DD17,DA17,CX17,CU17,CR17,CO17,CL17,CI17,CF17)/SUM(DM12,DJ12,DG12,DD12,DA12,CX12,CU12,CR12,CO12,CL12,CI12,CF12))</f>
        <v/>
      </c>
      <c r="J16" s="43">
        <f>IF(SUM(DN12,DK12,DH12,DE12,DB12,CY12,CV12,CS12,CP12,CM12,CJ12,CG12)=0,"",SUM(DN17,DK17,DH17,DE17,DB17,CY17,CV17,CS17,CP17,CM17,CJ17,CG17)/SUM(DN12,DK12,DH12,DE12,DB12,CY12,CV12,CS12,CP12,CM12,CJ12,CG12))</f>
        <v/>
      </c>
      <c r="K16" s="44">
        <f>IF(COUNT(K12,K13,K14,K15)=4,IF(N(K12)=0,"",((K12-K13)*K14+K13*K15)/K12),"")</f>
        <v/>
      </c>
      <c r="L16" s="44">
        <f>IF(N(L12)=0,"",((L12-L13)*L14+L13*L15)/L12)</f>
        <v/>
      </c>
      <c r="M16" s="44">
        <f>IF(N(M12)=0,"",((M12-M13)*M14+M13*M15)/M12)</f>
        <v/>
      </c>
      <c r="N16" s="43">
        <f>IF(COUNT(N12,N13,N14,N15)=4,IF(N(N12)=0,"",((N12-N13)*N14+N13*N15)/N12),"")</f>
        <v/>
      </c>
      <c r="O16" s="43">
        <f>IF(N(O12)=0,"",((O12-O13)*O14+O13*O15)/O12)</f>
        <v/>
      </c>
      <c r="P16" s="43">
        <f>IF(N(P12)=0,"",((P12-P13)*P14+P13*P15)/P12)</f>
        <v/>
      </c>
      <c r="Q16" s="44">
        <f>IF(COUNT(Q12,Q13,Q14,Q15)=4,IF(N(Q12)=0,"",((Q12-Q13)*Q14+Q13*Q15)/Q12),"")</f>
        <v/>
      </c>
      <c r="R16" s="44">
        <f>IF(N(R12)=0,"",((R12-R13)*R14+R13*R15)/R12)</f>
        <v/>
      </c>
      <c r="S16" s="44">
        <f>IF(N(S12)=0,"",((S12-S13)*S14+S13*S15)/S12)</f>
        <v/>
      </c>
      <c r="T16" s="43">
        <f>IF(COUNT(T12,T13,T14,T15)=4,IF(N(T12)=0,"",((T12-T13)*T14+T13*T15)/T12),"")</f>
        <v/>
      </c>
      <c r="U16" s="43">
        <f>IF(N(U12)=0,"",((U12-U13)*U14+U13*U15)/U12)</f>
        <v/>
      </c>
      <c r="V16" s="43">
        <f>IF(N(V12)=0,"",((V12-V13)*V14+V13*V15)/V12)</f>
        <v/>
      </c>
      <c r="W16" s="44">
        <f>IF(COUNT(W12,W13,W14,W15)=4,IF(N(W12)=0,"",((W12-W13)*W14+W13*W15)/W12),"")</f>
        <v/>
      </c>
      <c r="X16" s="44">
        <f>IF(N(X12)=0,"",((X12-X13)*X14+X13*X15)/X12)</f>
        <v/>
      </c>
      <c r="Y16" s="44">
        <f>IF(N(Y12)=0,"",((Y12-Y13)*Y14+Y13*Y15)/Y12)</f>
        <v/>
      </c>
      <c r="Z16" s="43">
        <f>IF(COUNT(Z12,Z13,Z14,Z15)=4,IF(N(Z12)=0,"",((Z12-Z13)*Z14+Z13*Z15)/Z12),"")</f>
        <v/>
      </c>
      <c r="AA16" s="43">
        <f>IF(N(AA12)=0,"",((AA12-AA13)*AA14+AA13*AA15)/AA12)</f>
        <v/>
      </c>
      <c r="AB16" s="43">
        <f>IF(N(AB12)=0,"",((AB12-AB13)*AB14+AB13*AB15)/AB12)</f>
        <v/>
      </c>
      <c r="AC16" s="44">
        <f>IF(COUNT(AC12,AC13,AC14,AC15)=4,IF(N(AC12)=0,"",((AC12-AC13)*AC14+AC13*AC15)/AC12),"")</f>
        <v/>
      </c>
      <c r="AD16" s="44">
        <f>IF(N(AD12)=0,"",((AD12-AD13)*AD14+AD13*AD15)/AD12)</f>
        <v/>
      </c>
      <c r="AE16" s="44">
        <f>IF(N(AE12)=0,"",((AE12-AE13)*AE14+AE13*AE15)/AE12)</f>
        <v/>
      </c>
      <c r="AF16" s="43">
        <f>IF(COUNT(AF12,AF13,AF14,AF15)=4,IF(N(AF12)=0,"",((AF12-AF13)*AF14+AF13*AF15)/AF12),"")</f>
        <v/>
      </c>
      <c r="AG16" s="43">
        <f>IF(N(AG12)=0,"",((AG12-AG13)*AG14+AG13*AG15)/AG12)</f>
        <v/>
      </c>
      <c r="AH16" s="43">
        <f>IF(N(AH12)=0,"",((AH12-AH13)*AH14+AH13*AH15)/AH12)</f>
        <v/>
      </c>
      <c r="AI16" s="44">
        <f>IF(COUNT(AI12,AI13,AI14,AI15)=4,IF(N(AI12)=0,"",((AI12-AI13)*AI14+AI13*AI15)/AI12),"")</f>
        <v/>
      </c>
      <c r="AJ16" s="44">
        <f>IF(N(AJ12)=0,"",((AJ12-AJ13)*AJ14+AJ13*AJ15)/AJ12)</f>
        <v/>
      </c>
      <c r="AK16" s="44">
        <f>IF(N(AK12)=0,"",((AK12-AK13)*AK14+AK13*AK15)/AK12)</f>
        <v/>
      </c>
      <c r="AL16" s="43">
        <f>IF(COUNT(AL12,AL13,AL14,AL15)=4,IF(N(AL12)=0,"",((AL12-AL13)*AL14+AL13*AL15)/AL12),"")</f>
        <v/>
      </c>
      <c r="AM16" s="43">
        <f>IF(N(AM12)=0,"",((AM12-AM13)*AM14+AM13*AM15)/AM12)</f>
        <v/>
      </c>
      <c r="AN16" s="43">
        <f>IF(N(AN12)=0,"",((AN12-AN13)*AN14+AN13*AN15)/AN12)</f>
        <v/>
      </c>
      <c r="AO16" s="44">
        <f>IF(COUNT(AO12,AO13,AO14,AO15)=4,IF(N(AO12)=0,"",((AO12-AO13)*AO14+AO13*AO15)/AO12),"")</f>
        <v/>
      </c>
      <c r="AP16" s="44">
        <f>IF(N(AP12)=0,"",((AP12-AP13)*AP14+AP13*AP15)/AP12)</f>
        <v/>
      </c>
      <c r="AQ16" s="44">
        <f>IF(N(AQ12)=0,"",((AQ12-AQ13)*AQ14+AQ13*AQ15)/AQ12)</f>
        <v/>
      </c>
      <c r="AR16" s="43">
        <f>IF(COUNT(AR12,AR13,AR14,AR15)=4,IF(N(AR12)=0,"",((AR12-AR13)*AR14+AR13*AR15)/AR12),"")</f>
        <v/>
      </c>
      <c r="AS16" s="43">
        <f>IF(N(AS12)=0,"",((AS12-AS13)*AS14+AS13*AS15)/AS12)</f>
        <v/>
      </c>
      <c r="AT16" s="43">
        <f>IF(N(AT12)=0,"",((AT12-AT13)*AT14+AT13*AT15)/AT12)</f>
        <v/>
      </c>
      <c r="AU16" s="44">
        <f>IF(COUNT(AU12,AU13,AU14,AU15)=4,IF(N(AU12)=0,"",((AU12-AU13)*AU14+AU13*AU15)/AU12),"")</f>
        <v/>
      </c>
      <c r="AV16" s="44">
        <f>IF(N(AV12)=0,"",((AV12-AV13)*AV14+AV13*AV15)/AV12)</f>
        <v/>
      </c>
      <c r="AW16" s="44">
        <f>IF(N(AW12)=0,"",((AW12-AW13)*AW14+AW13*AW15)/AW12)</f>
        <v/>
      </c>
      <c r="AX16" s="43">
        <f>IF(COUNT(AX12,AX13,AX14,AX15)=4,IF(N(AX12)=0,"",((AX12-AX13)*AX14+AX13*AX15)/AX12),"")</f>
        <v/>
      </c>
      <c r="AY16" s="43">
        <f>IF(N(AY12)=0,"",((AY12-AY13)*AY14+AY13*AY15)/AY12)</f>
        <v/>
      </c>
      <c r="AZ16" s="43">
        <f>IF(N(AZ12)=0,"",((AZ12-AZ13)*AZ14+AZ13*AZ15)/AZ12)</f>
        <v/>
      </c>
      <c r="BA16" s="44">
        <f>IF(COUNT(BA12,BA13,BA14,BA15)=4,IF(N(BA12)=0,"",((BA12-BA13)*BA14+BA13*BA15)/BA12),"")</f>
        <v/>
      </c>
      <c r="BB16" s="44">
        <f>IF(N(BB12)=0,"",((BB12-BB13)*BB14+BB13*BB15)/BB12)</f>
        <v/>
      </c>
      <c r="BC16" s="44">
        <f>IF(N(BC12)=0,"",((BC12-BC13)*BC14+BC13*BC15)/BC12)</f>
        <v/>
      </c>
      <c r="BD16" s="43">
        <f>IF(COUNT(BD12,BD13,BD14,BD15)=4,IF(N(BD12)=0,"",((BD12-BD13)*BD14+BD13*BD15)/BD12),"")</f>
        <v/>
      </c>
      <c r="BE16" s="43">
        <f>IF(N(BE12)=0,"",((BE12-BE13)*BE14+BE13*BE15)/BE12)</f>
        <v/>
      </c>
      <c r="BF16" s="43">
        <f>IF(N(BF12)=0,"",((BF12-BF13)*BF14+BF13*BF15)/BF12)</f>
        <v/>
      </c>
      <c r="BG16" s="44">
        <f>IF(COUNT(BG12,BG13,BG14,BG15)=4,IF(N(BG12)=0,"",((BG12-BG13)*BG14+BG13*BG15)/BG12),"")</f>
        <v/>
      </c>
      <c r="BH16" s="44">
        <f>IF(N(BH12)=0,"",((BH12-BH13)*BH14+BH13*BH15)/BH12)</f>
        <v/>
      </c>
      <c r="BI16" s="44">
        <f>IF(N(BI12)=0,"",((BI12-BI13)*BI14+BI13*BI15)/BI12)</f>
        <v/>
      </c>
      <c r="BJ16" s="43">
        <f>IF(COUNT(BJ12,BJ13,BJ14,BJ15)=4,IF(N(BJ12)=0,"",((BJ12-BJ13)*BJ14+BJ13*BJ15)/BJ12),"")</f>
        <v/>
      </c>
      <c r="BK16" s="43">
        <f>IF(N(BK12)=0,"",((BK12-BK13)*BK14+BK13*BK15)/BK12)</f>
        <v/>
      </c>
      <c r="BL16" s="43">
        <f>IF(N(BL12)=0,"",((BL12-BL13)*BL14+BL13*BL15)/BL12)</f>
        <v/>
      </c>
      <c r="BM16" s="44">
        <f>IF(COUNT(BM12,BM13,BM14,BM15)=4,IF(N(BM12)=0,"",((BM12-BM13)*BM14+BM13*BM15)/BM12),"")</f>
        <v/>
      </c>
      <c r="BN16" s="44">
        <f>IF(N(BN12)=0,"",((BN12-BN13)*BN14+BN13*BN15)/BN12)</f>
        <v/>
      </c>
      <c r="BO16" s="44">
        <f>IF(N(BO12)=0,"",((BO12-BO13)*BO14+BO13*BO15)/BO12)</f>
        <v/>
      </c>
      <c r="BP16" s="43">
        <f>IF(COUNT(BP12,BP13,BP14,BP15)=4,IF(N(BP12)=0,"",((BP12-BP13)*BP14+BP13*BP15)/BP12),"")</f>
        <v/>
      </c>
      <c r="BQ16" s="43">
        <f>IF(N(BQ12)=0,"",((BQ12-BQ13)*BQ14+BQ13*BQ15)/BQ12)</f>
        <v/>
      </c>
      <c r="BR16" s="43">
        <f>IF(N(BR12)=0,"",((BR12-BR13)*BR14+BR13*BR15)/BR12)</f>
        <v/>
      </c>
      <c r="BS16" s="44">
        <f>IF(COUNT(BS12,BS13,BS14,BS15)=4,IF(N(BS12)=0,"",((BS12-BS13)*BS14+BS13*BS15)/BS12),"")</f>
        <v/>
      </c>
      <c r="BT16" s="44">
        <f>IF(N(BT12)=0,"",((BT12-BT13)*BT14+BT13*BT15)/BT12)</f>
        <v/>
      </c>
      <c r="BU16" s="44">
        <f>IF(N(BU12)=0,"",((BU12-BU13)*BU14+BU13*BU15)/BU12)</f>
        <v/>
      </c>
      <c r="BV16" s="43">
        <f>IF(COUNT(BV12,BV13,BV14,BV15)=4,IF(N(BV12)=0,"",((BV12-BV13)*BV14+BV13*BV15)/BV12),"")</f>
        <v/>
      </c>
      <c r="BW16" s="43">
        <f>IF(N(BW12)=0,"",((BW12-BW13)*BW14+BW13*BW15)/BW12)</f>
        <v/>
      </c>
      <c r="BX16" s="43">
        <f>IF(N(BX12)=0,"",((BX12-BX13)*BX14+BX13*BX15)/BX12)</f>
        <v/>
      </c>
      <c r="BY16" s="44">
        <f>IF(COUNT(BY12,BY13,BY14,BY15)=4,IF(N(BY12)=0,"",((BY12-BY13)*BY14+BY13*BY15)/BY12),"")</f>
        <v/>
      </c>
      <c r="BZ16" s="44">
        <f>IF(N(BZ12)=0,"",((BZ12-BZ13)*BZ14+BZ13*BZ15)/BZ12)</f>
        <v/>
      </c>
      <c r="CA16" s="44">
        <f>IF(N(CA12)=0,"",((CA12-CA13)*CA14+CA13*CA15)/CA12)</f>
        <v/>
      </c>
      <c r="CB16" s="43">
        <f>IF(COUNT(CB12,CB13,CB14,CB15)=4,IF(N(CB12)=0,"",((CB12-CB13)*CB14+CB13*CB15)/CB12),"")</f>
        <v/>
      </c>
      <c r="CC16" s="43">
        <f>IF(N(CC12)=0,"",((CC12-CC13)*CC14+CC13*CC15)/CC12)</f>
        <v/>
      </c>
      <c r="CD16" s="43">
        <f>IF(N(CD12)=0,"",((CD12-CD13)*CD14+CD13*CD15)/CD12)</f>
        <v/>
      </c>
      <c r="CE16" s="44">
        <f>IF(COUNT(CE12,CE13,CE14,CE15)=4,IF(N(CE12)=0,"",((CE12-CE13)*CE14+CE13*CE15)/CE12),"")</f>
        <v/>
      </c>
      <c r="CF16" s="44">
        <f>IF(N(CF12)=0,"",((CF12-CF13)*CF14+CF13*CF15)/CF12)</f>
        <v/>
      </c>
      <c r="CG16" s="44">
        <f>IF(N(CG12)=0,"",((CG12-CG13)*CG14+CG13*CG15)/CG12)</f>
        <v/>
      </c>
      <c r="CH16" s="43">
        <f>IF(COUNT(CH12,CH13,CH14,CH15)=4,IF(N(CH12)=0,"",((CH12-CH13)*CH14+CH13*CH15)/CH12),"")</f>
        <v/>
      </c>
      <c r="CI16" s="43">
        <f>IF(N(CI12)=0,"",((CI12-CI13)*CI14+CI13*CI15)/CI12)</f>
        <v/>
      </c>
      <c r="CJ16" s="43">
        <f>IF(N(CJ12)=0,"",((CJ12-CJ13)*CJ14+CJ13*CJ15)/CJ12)</f>
        <v/>
      </c>
      <c r="CK16" s="44">
        <f>IF(COUNT(CK12,CK13,CK14,CK15)=4,IF(N(CK12)=0,"",((CK12-CK13)*CK14+CK13*CK15)/CK12),"")</f>
        <v/>
      </c>
      <c r="CL16" s="44">
        <f>IF(N(CL12)=0,"",((CL12-CL13)*CL14+CL13*CL15)/CL12)</f>
        <v/>
      </c>
      <c r="CM16" s="44">
        <f>IF(N(CM12)=0,"",((CM12-CM13)*CM14+CM13*CM15)/CM12)</f>
        <v/>
      </c>
      <c r="CN16" s="43">
        <f>IF(COUNT(CN12,CN13,CN14,CN15)=4,IF(N(CN12)=0,"",((CN12-CN13)*CN14+CN13*CN15)/CN12),"")</f>
        <v/>
      </c>
      <c r="CO16" s="43">
        <f>IF(N(CO12)=0,"",((CO12-CO13)*CO14+CO13*CO15)/CO12)</f>
        <v/>
      </c>
      <c r="CP16" s="43">
        <f>IF(N(CP12)=0,"",((CP12-CP13)*CP14+CP13*CP15)/CP12)</f>
        <v/>
      </c>
      <c r="CQ16" s="44">
        <f>IF(COUNT(CQ12,CQ13,CQ14,CQ15)=4,IF(N(CQ12)=0,"",((CQ12-CQ13)*CQ14+CQ13*CQ15)/CQ12),"")</f>
        <v/>
      </c>
      <c r="CR16" s="44">
        <f>IF(N(CR12)=0,"",((CR12-CR13)*CR14+CR13*CR15)/CR12)</f>
        <v/>
      </c>
      <c r="CS16" s="44">
        <f>IF(N(CS12)=0,"",((CS12-CS13)*CS14+CS13*CS15)/CS12)</f>
        <v/>
      </c>
      <c r="CT16" s="43">
        <f>IF(COUNT(CT12,CT13,CT14,CT15)=4,IF(N(CT12)=0,"",((CT12-CT13)*CT14+CT13*CT15)/CT12),"")</f>
        <v/>
      </c>
      <c r="CU16" s="43">
        <f>IF(N(CU12)=0,"",((CU12-CU13)*CU14+CU13*CU15)/CU12)</f>
        <v/>
      </c>
      <c r="CV16" s="43">
        <f>IF(N(CV12)=0,"",((CV12-CV13)*CV14+CV13*CV15)/CV12)</f>
        <v/>
      </c>
      <c r="CW16" s="44">
        <f>IF(COUNT(CW12,CW13,CW14,CW15)=4,IF(N(CW12)=0,"",((CW12-CW13)*CW14+CW13*CW15)/CW12),"")</f>
        <v/>
      </c>
      <c r="CX16" s="44">
        <f>IF(N(CX12)=0,"",((CX12-CX13)*CX14+CX13*CX15)/CX12)</f>
        <v/>
      </c>
      <c r="CY16" s="44">
        <f>IF(N(CY12)=0,"",((CY12-CY13)*CY14+CY13*CY15)/CY12)</f>
        <v/>
      </c>
      <c r="CZ16" s="43">
        <f>IF(COUNT(CZ12,CZ13,CZ14,CZ15)=4,IF(N(CZ12)=0,"",((CZ12-CZ13)*CZ14+CZ13*CZ15)/CZ12),"")</f>
        <v/>
      </c>
      <c r="DA16" s="43">
        <f>IF(N(DA12)=0,"",((DA12-DA13)*DA14+DA13*DA15)/DA12)</f>
        <v/>
      </c>
      <c r="DB16" s="43">
        <f>IF(N(DB12)=0,"",((DB12-DB13)*DB14+DB13*DB15)/DB12)</f>
        <v/>
      </c>
      <c r="DC16" s="44">
        <f>IF(COUNT(DC12,DC13,DC14,DC15)=4,IF(N(DC12)=0,"",((DC12-DC13)*DC14+DC13*DC15)/DC12),"")</f>
        <v/>
      </c>
      <c r="DD16" s="44">
        <f>IF(N(DD12)=0,"",((DD12-DD13)*DD14+DD13*DD15)/DD12)</f>
        <v/>
      </c>
      <c r="DE16" s="44">
        <f>IF(N(DE12)=0,"",((DE12-DE13)*DE14+DE13*DE15)/DE12)</f>
        <v/>
      </c>
      <c r="DF16" s="43">
        <f>IF(COUNT(DF12,DF13,DF14,DF15)=4,IF(N(DF12)=0,"",((DF12-DF13)*DF14+DF13*DF15)/DF12),"")</f>
        <v/>
      </c>
      <c r="DG16" s="43">
        <f>IF(N(DG12)=0,"",((DG12-DG13)*DG14+DG13*DG15)/DG12)</f>
        <v/>
      </c>
      <c r="DH16" s="43">
        <f>IF(N(DH12)=0,"",((DH12-DH13)*DH14+DH13*DH15)/DH12)</f>
        <v/>
      </c>
      <c r="DI16" s="44">
        <f>IF(COUNT(DI12,DI13,DI14,DI15)=4,IF(N(DI12)=0,"",((DI12-DI13)*DI14+DI13*DI15)/DI12),"")</f>
        <v/>
      </c>
      <c r="DJ16" s="44">
        <f>IF(N(DJ12)=0,"",((DJ12-DJ13)*DJ14+DJ13*DJ15)/DJ12)</f>
        <v/>
      </c>
      <c r="DK16" s="44">
        <f>IF(N(DK12)=0,"",((DK12-DK13)*DK14+DK13*DK15)/DK12)</f>
        <v/>
      </c>
      <c r="DL16" s="43">
        <f>IF(COUNT(DL12,DL13,DL14,DL15)=4,IF(N(DL12)=0,"",((DL12-DL13)*DL14+DL13*DL15)/DL12),"")</f>
        <v/>
      </c>
      <c r="DM16" s="43">
        <f>IF(N(DM12)=0,"",((DM12-DM13)*DM14+DM13*DM15)/DM12)</f>
        <v/>
      </c>
      <c r="DN16" s="43">
        <f>IF(N(DN12)=0,"",((DN12-DN13)*DN14+DN13*DN15)/DN12)</f>
        <v/>
      </c>
    </row>
    <row r="17">
      <c r="A17" s="24" t="inlineStr">
        <is>
          <t>Customers Lost</t>
        </is>
      </c>
      <c r="B17" s="34">
        <f>IF(COUNT(AR17,AO17,AL17,AI17,AF17,AC17,Z17,W17,T17,Q17,N17,K17)=0,"",SUM(AR17,AO17,AL17,AI17,AF17,AC17,Z17,W17,T17,Q17,N17,K17))</f>
        <v/>
      </c>
      <c r="C17" s="34">
        <f>IF(COUNT(AS17,AP17,AM17,AJ17,AG17,AD17,AA17,X17,U17,R17,O17,L17)=0,"",SUM(AS17,AP17,AM17,AJ17,AG17,AD17,AA17,X17,U17,R17,O17,L17))</f>
        <v/>
      </c>
      <c r="D17" s="34">
        <f>IF(COUNT(AT17,AQ17,AN17,AK17,AH17,AE17,AB17,Y17,V17,S17,P17,M17)=0,"",SUM(AT17,AQ17,AN17,AK17,AH17,AE17,AB17,Y17,V17,S17,P17,M17))</f>
        <v/>
      </c>
      <c r="E17" s="24">
        <f>IF(COUNT(CB17,BY17,BV17,BS17,BP17,BM17,BJ17,BG17,BD17,BA17,AX17,AU17)=0,"",SUM(CB17,BY17,BV17,BS17,BP17,BM17,BJ17,BG17,BD17,BA17,AX17,AU17))</f>
        <v/>
      </c>
      <c r="F17" s="24">
        <f>IF(COUNT(CC17,BZ17,BW17,BT17,BQ17,BN17,BK17,BH17,BE17,BB17,AY17,AV17)=0,"",SUM(CC17,BZ17,BW17,BT17,BQ17,BN17,BK17,BH17,BE17,BB17,AY17,AV17))</f>
        <v/>
      </c>
      <c r="G17" s="24">
        <f>IF(COUNT(CD17,CA17,BX17,BU17,BR17,BO17,BL17,BI17,BF17,BC17,AZ17,AW17)=0,"",SUM(CD17,CA17,BX17,BU17,BR17,BO17,BL17,BI17,BF17,BC17,AZ17,AW17))</f>
        <v/>
      </c>
      <c r="H17" s="34">
        <f>IF(COUNT(DL17,DI17,DF17,DC17,CZ17,CW17,CT17,CQ17,CN17,CK17,CH17,CE17)=0,"",SUM(DL17,DI17,DF17,DC17,CZ17,CW17,CT17,CQ17,CN17,CK17,CH17,CE17))</f>
        <v/>
      </c>
      <c r="I17" s="34">
        <f>IF(COUNT(DM17,DJ17,DG17,DD17,DA17,CX17,CU17,CR17,CO17,CL17,CI17,CF17)=0,"",SUM(DM17,DJ17,DG17,DD17,DA17,CX17,CU17,CR17,CO17,CL17,CI17,CF17))</f>
        <v/>
      </c>
      <c r="J17" s="34">
        <f>IF(COUNT(DN17,DK17,DH17,DE17,DB17,CY17,CV17,CS17,CP17,CM17,CJ17,CG17)=0,"",SUM(DN17,DK17,DH17,DE17,DB17,CY17,CV17,CS17,CP17,CM17,CJ17,CG17))</f>
        <v/>
      </c>
      <c r="K17" s="24" t="n"/>
      <c r="L17" s="24">
        <f>ROUND(L12*L16,0)</f>
        <v/>
      </c>
      <c r="M17" s="24">
        <f>ROUND(M12*M16,0)</f>
        <v/>
      </c>
      <c r="N17" s="34" t="n"/>
      <c r="O17" s="34">
        <f>ROUND(O12*O16,0)</f>
        <v/>
      </c>
      <c r="P17" s="34">
        <f>ROUND(P12*P16,0)</f>
        <v/>
      </c>
      <c r="Q17" s="24" t="n"/>
      <c r="R17" s="24">
        <f>ROUND(R12*R16,0)</f>
        <v/>
      </c>
      <c r="S17" s="24">
        <f>ROUND(S12*S16,0)</f>
        <v/>
      </c>
      <c r="T17" s="34" t="n"/>
      <c r="U17" s="34">
        <f>ROUND(U12*U16,0)</f>
        <v/>
      </c>
      <c r="V17" s="34">
        <f>ROUND(V12*V16,0)</f>
        <v/>
      </c>
      <c r="W17" s="24" t="n"/>
      <c r="X17" s="24">
        <f>ROUND(X12*X16,0)</f>
        <v/>
      </c>
      <c r="Y17" s="24">
        <f>ROUND(Y12*Y16,0)</f>
        <v/>
      </c>
      <c r="Z17" s="34" t="n"/>
      <c r="AA17" s="34">
        <f>ROUND(AA12*AA16,0)</f>
        <v/>
      </c>
      <c r="AB17" s="34">
        <f>ROUND(AB12*AB16,0)</f>
        <v/>
      </c>
      <c r="AC17" s="24" t="n"/>
      <c r="AD17" s="24">
        <f>ROUND(AD12*AD16,0)</f>
        <v/>
      </c>
      <c r="AE17" s="24">
        <f>ROUND(AE12*AE16,0)</f>
        <v/>
      </c>
      <c r="AF17" s="34" t="n"/>
      <c r="AG17" s="34">
        <f>ROUND(AG12*AG16,0)</f>
        <v/>
      </c>
      <c r="AH17" s="34">
        <f>ROUND(AH12*AH16,0)</f>
        <v/>
      </c>
      <c r="AI17" s="24" t="n"/>
      <c r="AJ17" s="24">
        <f>ROUND(AJ12*AJ16,0)</f>
        <v/>
      </c>
      <c r="AK17" s="24">
        <f>ROUND(AK12*AK16,0)</f>
        <v/>
      </c>
      <c r="AL17" s="34" t="n"/>
      <c r="AM17" s="34">
        <f>ROUND(AM12*AM16,0)</f>
        <v/>
      </c>
      <c r="AN17" s="34">
        <f>ROUND(AN12*AN16,0)</f>
        <v/>
      </c>
      <c r="AO17" s="24" t="n"/>
      <c r="AP17" s="24">
        <f>ROUND(AP12*AP16,0)</f>
        <v/>
      </c>
      <c r="AQ17" s="24">
        <f>ROUND(AQ12*AQ16,0)</f>
        <v/>
      </c>
      <c r="AR17" s="34" t="n"/>
      <c r="AS17" s="34">
        <f>ROUND(AS12*AS16,0)</f>
        <v/>
      </c>
      <c r="AT17" s="34">
        <f>ROUND(AT12*AT16,0)</f>
        <v/>
      </c>
      <c r="AU17" s="24" t="n"/>
      <c r="AV17" s="24">
        <f>ROUND(AV12*AV16,0)</f>
        <v/>
      </c>
      <c r="AW17" s="24">
        <f>ROUND(AW12*AW16,0)</f>
        <v/>
      </c>
      <c r="AX17" s="34" t="n"/>
      <c r="AY17" s="34">
        <f>ROUND(AY12*AY16,0)</f>
        <v/>
      </c>
      <c r="AZ17" s="34">
        <f>ROUND(AZ12*AZ16,0)</f>
        <v/>
      </c>
      <c r="BA17" s="24" t="n"/>
      <c r="BB17" s="24">
        <f>ROUND(BB12*BB16,0)</f>
        <v/>
      </c>
      <c r="BC17" s="24">
        <f>ROUND(BC12*BC16,0)</f>
        <v/>
      </c>
      <c r="BD17" s="34" t="n"/>
      <c r="BE17" s="34">
        <f>ROUND(BE12*BE16,0)</f>
        <v/>
      </c>
      <c r="BF17" s="34">
        <f>ROUND(BF12*BF16,0)</f>
        <v/>
      </c>
      <c r="BG17" s="24" t="n"/>
      <c r="BH17" s="24">
        <f>ROUND(BH12*BH16,0)</f>
        <v/>
      </c>
      <c r="BI17" s="24">
        <f>ROUND(BI12*BI16,0)</f>
        <v/>
      </c>
      <c r="BJ17" s="34" t="n"/>
      <c r="BK17" s="34">
        <f>ROUND(BK12*BK16,0)</f>
        <v/>
      </c>
      <c r="BL17" s="34">
        <f>ROUND(BL12*BL16,0)</f>
        <v/>
      </c>
      <c r="BM17" s="24" t="n"/>
      <c r="BN17" s="24">
        <f>ROUND(BN12*BN16,0)</f>
        <v/>
      </c>
      <c r="BO17" s="24">
        <f>ROUND(BO12*BO16,0)</f>
        <v/>
      </c>
      <c r="BP17" s="34" t="n"/>
      <c r="BQ17" s="34">
        <f>ROUND(BQ12*BQ16,0)</f>
        <v/>
      </c>
      <c r="BR17" s="34">
        <f>ROUND(BR12*BR16,0)</f>
        <v/>
      </c>
      <c r="BS17" s="24" t="n"/>
      <c r="BT17" s="24">
        <f>ROUND(BT12*BT16,0)</f>
        <v/>
      </c>
      <c r="BU17" s="24">
        <f>ROUND(BU12*BU16,0)</f>
        <v/>
      </c>
      <c r="BV17" s="34" t="n"/>
      <c r="BW17" s="34">
        <f>ROUND(BW12*BW16,0)</f>
        <v/>
      </c>
      <c r="BX17" s="34">
        <f>ROUND(BX12*BX16,0)</f>
        <v/>
      </c>
      <c r="BY17" s="24" t="n"/>
      <c r="BZ17" s="24">
        <f>ROUND(BZ12*BZ16,0)</f>
        <v/>
      </c>
      <c r="CA17" s="24">
        <f>ROUND(CA12*CA16,0)</f>
        <v/>
      </c>
      <c r="CB17" s="34" t="n"/>
      <c r="CC17" s="34">
        <f>ROUND(CC12*CC16,0)</f>
        <v/>
      </c>
      <c r="CD17" s="34">
        <f>ROUND(CD12*CD16,0)</f>
        <v/>
      </c>
      <c r="CE17" s="24" t="n"/>
      <c r="CF17" s="24">
        <f>ROUND(CF12*CF16,0)</f>
        <v/>
      </c>
      <c r="CG17" s="24">
        <f>ROUND(CG12*CG16,0)</f>
        <v/>
      </c>
      <c r="CH17" s="34" t="n"/>
      <c r="CI17" s="34">
        <f>ROUND(CI12*CI16,0)</f>
        <v/>
      </c>
      <c r="CJ17" s="34">
        <f>ROUND(CJ12*CJ16,0)</f>
        <v/>
      </c>
      <c r="CK17" s="24" t="n"/>
      <c r="CL17" s="24">
        <f>ROUND(CL12*CL16,0)</f>
        <v/>
      </c>
      <c r="CM17" s="24">
        <f>ROUND(CM12*CM16,0)</f>
        <v/>
      </c>
      <c r="CN17" s="34" t="n"/>
      <c r="CO17" s="34">
        <f>ROUND(CO12*CO16,0)</f>
        <v/>
      </c>
      <c r="CP17" s="34">
        <f>ROUND(CP12*CP16,0)</f>
        <v/>
      </c>
      <c r="CQ17" s="24" t="n"/>
      <c r="CR17" s="24">
        <f>ROUND(CR12*CR16,0)</f>
        <v/>
      </c>
      <c r="CS17" s="24">
        <f>ROUND(CS12*CS16,0)</f>
        <v/>
      </c>
      <c r="CT17" s="34" t="n"/>
      <c r="CU17" s="34">
        <f>ROUND(CU12*CU16,0)</f>
        <v/>
      </c>
      <c r="CV17" s="34">
        <f>ROUND(CV12*CV16,0)</f>
        <v/>
      </c>
      <c r="CW17" s="24" t="n"/>
      <c r="CX17" s="24">
        <f>ROUND(CX12*CX16,0)</f>
        <v/>
      </c>
      <c r="CY17" s="24">
        <f>ROUND(CY12*CY16,0)</f>
        <v/>
      </c>
      <c r="CZ17" s="34" t="n"/>
      <c r="DA17" s="34">
        <f>ROUND(DA12*DA16,0)</f>
        <v/>
      </c>
      <c r="DB17" s="34">
        <f>ROUND(DB12*DB16,0)</f>
        <v/>
      </c>
      <c r="DC17" s="24" t="n"/>
      <c r="DD17" s="24">
        <f>ROUND(DD12*DD16,0)</f>
        <v/>
      </c>
      <c r="DE17" s="24">
        <f>ROUND(DE12*DE16,0)</f>
        <v/>
      </c>
      <c r="DF17" s="34" t="n"/>
      <c r="DG17" s="34">
        <f>ROUND(DG12*DG16,0)</f>
        <v/>
      </c>
      <c r="DH17" s="34">
        <f>ROUND(DH12*DH16,0)</f>
        <v/>
      </c>
      <c r="DI17" s="24" t="n">
        <v>5</v>
      </c>
      <c r="DJ17" s="24">
        <f>ROUND(DJ12*DJ16,0)</f>
        <v/>
      </c>
      <c r="DK17" s="24">
        <f>ROUND(DK12*DK16,0)</f>
        <v/>
      </c>
      <c r="DL17" s="34" t="n">
        <v>5</v>
      </c>
      <c r="DM17" s="34">
        <f>ROUND(DM12*DM16,0)</f>
        <v/>
      </c>
      <c r="DN17" s="34">
        <f>ROUND(DN12*DN16,0)</f>
        <v/>
      </c>
    </row>
    <row r="18">
      <c r="A18" s="2" t="inlineStr">
        <is>
          <t>Salaries and Wages</t>
        </is>
      </c>
      <c r="B18" s="10">
        <f>IF(COUNT(AR18,AO18,AL18,AI18,AF18,AC18,Z18,W18,T18,Q18,N18,K18)=0,"",SUM(AR18,AO18,AL18,AI18,AF18,AC18,Z18,W18,T18,Q18,N18,K18))</f>
        <v/>
      </c>
      <c r="C18" s="10">
        <f>IF(COUNT(AS18,AP18,AM18,AJ18,AG18,AD18,AA18,X18,U18,R18,O18,L18)=0,"",SUM(AS18,AP18,AM18,AJ18,AG18,AD18,AA18,X18,U18,R18,O18,L18))</f>
        <v/>
      </c>
      <c r="D18" s="10">
        <f>IF(COUNT(AT18,AQ18,AN18,AK18,AH18,AE18,AB18,Y18,V18,S18,P18,M18)=0,"",SUM(AT18,AQ18,AN18,AK18,AH18,AE18,AB18,Y18,V18,S18,P18,M18))</f>
        <v/>
      </c>
      <c r="E18" s="11">
        <f>IF(COUNT(CB18,BY18,BV18,BS18,BP18,BM18,BJ18,BG18,BD18,BA18,AX18,AU18)=0,"",SUM(CB18,BY18,BV18,BS18,BP18,BM18,BJ18,BG18,BD18,BA18,AX18,AU18))</f>
        <v/>
      </c>
      <c r="F18" s="11">
        <f>IF(COUNT(CC18,BZ18,BW18,BT18,BQ18,BN18,BK18,BH18,BE18,BB18,AY18,AV18)=0,"",SUM(CC18,BZ18,BW18,BT18,BQ18,BN18,BK18,BH18,BE18,BB18,AY18,AV18))</f>
        <v/>
      </c>
      <c r="G18" s="11">
        <f>IF(COUNT(CD18,CA18,BX18,BU18,BR18,BO18,BL18,BI18,BF18,BC18,AZ18,AW18)=0,"",SUM(CD18,CA18,BX18,BU18,BR18,BO18,BL18,BI18,BF18,BC18,AZ18,AW18))</f>
        <v/>
      </c>
      <c r="H18" s="10">
        <f>IF(COUNT(DL18,DI18,DF18,DC18,CZ18,CW18,CT18,CQ18,CN18,CK18,CH18,CE18)=0,"",SUM(DL18,DI18,DF18,DC18,CZ18,CW18,CT18,CQ18,CN18,CK18,CH18,CE18))</f>
        <v/>
      </c>
      <c r="I18" s="10">
        <f>IF(COUNT(DM18,DJ18,DG18,DD18,DA18,CX18,CU18,CR18,CO18,CL18,CI18,CF18)=0,"",SUM(DM18,DJ18,DG18,DD18,DA18,CX18,CU18,CR18,CO18,CL18,CI18,CF18))</f>
        <v/>
      </c>
      <c r="J18" s="10">
        <f>IF(COUNT(DN18,DK18,DH18,DE18,DB18,CY18,CV18,CS18,CP18,CM18,CJ18,CG18)=0,"",SUM(DN18,DK18,DH18,DE18,DB18,CY18,CV18,CS18,CP18,CM18,CJ18,CG18))</f>
        <v/>
      </c>
      <c r="K18" s="11">
        <f>IF(COUNT(K47)=1,K47,"")</f>
        <v/>
      </c>
      <c r="L18" s="11">
        <f>L47</f>
        <v/>
      </c>
      <c r="M18" s="11">
        <f>M47</f>
        <v/>
      </c>
      <c r="N18" s="10">
        <f>IF(COUNT(N47)=1,N47,"")</f>
        <v/>
      </c>
      <c r="O18" s="10">
        <f>O47</f>
        <v/>
      </c>
      <c r="P18" s="10">
        <f>P47</f>
        <v/>
      </c>
      <c r="Q18" s="11">
        <f>IF(COUNT(Q47)=1,Q47,"")</f>
        <v/>
      </c>
      <c r="R18" s="11">
        <f>R47</f>
        <v/>
      </c>
      <c r="S18" s="11">
        <f>S47</f>
        <v/>
      </c>
      <c r="T18" s="10">
        <f>IF(COUNT(T47)=1,T47,"")</f>
        <v/>
      </c>
      <c r="U18" s="10">
        <f>U47</f>
        <v/>
      </c>
      <c r="V18" s="10">
        <f>V47</f>
        <v/>
      </c>
      <c r="W18" s="11">
        <f>IF(COUNT(W47)=1,W47,"")</f>
        <v/>
      </c>
      <c r="X18" s="11">
        <f>X47</f>
        <v/>
      </c>
      <c r="Y18" s="11">
        <f>Y47</f>
        <v/>
      </c>
      <c r="Z18" s="10">
        <f>IF(COUNT(Z47)=1,Z47,"")</f>
        <v/>
      </c>
      <c r="AA18" s="10">
        <f>AA47</f>
        <v/>
      </c>
      <c r="AB18" s="10">
        <f>AB47</f>
        <v/>
      </c>
      <c r="AC18" s="11">
        <f>IF(COUNT(AC47)=1,AC47,"")</f>
        <v/>
      </c>
      <c r="AD18" s="11">
        <f>AD47</f>
        <v/>
      </c>
      <c r="AE18" s="11">
        <f>AE47</f>
        <v/>
      </c>
      <c r="AF18" s="10">
        <f>IF(COUNT(AF47)=1,AF47,"")</f>
        <v/>
      </c>
      <c r="AG18" s="10">
        <f>AG47</f>
        <v/>
      </c>
      <c r="AH18" s="10">
        <f>AH47</f>
        <v/>
      </c>
      <c r="AI18" s="11">
        <f>IF(COUNT(AI47)=1,AI47,"")</f>
        <v/>
      </c>
      <c r="AJ18" s="11">
        <f>AJ47</f>
        <v/>
      </c>
      <c r="AK18" s="11">
        <f>AK47</f>
        <v/>
      </c>
      <c r="AL18" s="10">
        <f>IF(COUNT(AL47)=1,AL47,"")</f>
        <v/>
      </c>
      <c r="AM18" s="10">
        <f>AM47</f>
        <v/>
      </c>
      <c r="AN18" s="10">
        <f>AN47</f>
        <v/>
      </c>
      <c r="AO18" s="11">
        <f>IF(COUNT(AO47)=1,AO47,"")</f>
        <v/>
      </c>
      <c r="AP18" s="11">
        <f>AP47</f>
        <v/>
      </c>
      <c r="AQ18" s="11">
        <f>AQ47</f>
        <v/>
      </c>
      <c r="AR18" s="10">
        <f>IF(COUNT(AR47)=1,AR47,"")</f>
        <v/>
      </c>
      <c r="AS18" s="10">
        <f>AS47</f>
        <v/>
      </c>
      <c r="AT18" s="10">
        <f>AT47</f>
        <v/>
      </c>
      <c r="AU18" s="11">
        <f>IF(COUNT(AU47)=1,AU47,"")</f>
        <v/>
      </c>
      <c r="AV18" s="11">
        <f>AV47</f>
        <v/>
      </c>
      <c r="AW18" s="11">
        <f>AW47</f>
        <v/>
      </c>
      <c r="AX18" s="10">
        <f>IF(COUNT(AX47)=1,AX47,"")</f>
        <v/>
      </c>
      <c r="AY18" s="10">
        <f>AY47</f>
        <v/>
      </c>
      <c r="AZ18" s="10">
        <f>AZ47</f>
        <v/>
      </c>
      <c r="BA18" s="11">
        <f>IF(COUNT(BA47)=1,BA47,"")</f>
        <v/>
      </c>
      <c r="BB18" s="11">
        <f>BB47</f>
        <v/>
      </c>
      <c r="BC18" s="11">
        <f>BC47</f>
        <v/>
      </c>
      <c r="BD18" s="10">
        <f>IF(COUNT(BD47)=1,BD47,"")</f>
        <v/>
      </c>
      <c r="BE18" s="10">
        <f>BE47</f>
        <v/>
      </c>
      <c r="BF18" s="10">
        <f>BF47</f>
        <v/>
      </c>
      <c r="BG18" s="11">
        <f>IF(COUNT(BG47)=1,BG47,"")</f>
        <v/>
      </c>
      <c r="BH18" s="11">
        <f>BH47</f>
        <v/>
      </c>
      <c r="BI18" s="11">
        <f>BI47</f>
        <v/>
      </c>
      <c r="BJ18" s="10">
        <f>IF(COUNT(BJ47)=1,BJ47,"")</f>
        <v/>
      </c>
      <c r="BK18" s="10">
        <f>BK47</f>
        <v/>
      </c>
      <c r="BL18" s="10">
        <f>BL47</f>
        <v/>
      </c>
      <c r="BM18" s="11">
        <f>IF(COUNT(BM47)=1,BM47,"")</f>
        <v/>
      </c>
      <c r="BN18" s="11">
        <f>BN47</f>
        <v/>
      </c>
      <c r="BO18" s="11">
        <f>BO47</f>
        <v/>
      </c>
      <c r="BP18" s="10">
        <f>IF(COUNT(BP47)=1,BP47,"")</f>
        <v/>
      </c>
      <c r="BQ18" s="10">
        <f>BQ47</f>
        <v/>
      </c>
      <c r="BR18" s="10">
        <f>BR47</f>
        <v/>
      </c>
      <c r="BS18" s="11">
        <f>IF(COUNT(BS47)=1,BS47,"")</f>
        <v/>
      </c>
      <c r="BT18" s="11">
        <f>BT47</f>
        <v/>
      </c>
      <c r="BU18" s="11">
        <f>BU47</f>
        <v/>
      </c>
      <c r="BV18" s="10">
        <f>IF(COUNT(BV47)=1,BV47,"")</f>
        <v/>
      </c>
      <c r="BW18" s="10">
        <f>BW47</f>
        <v/>
      </c>
      <c r="BX18" s="10">
        <f>BX47</f>
        <v/>
      </c>
      <c r="BY18" s="11">
        <f>IF(COUNT(BY47)=1,BY47,"")</f>
        <v/>
      </c>
      <c r="BZ18" s="11">
        <f>BZ47</f>
        <v/>
      </c>
      <c r="CA18" s="11">
        <f>CA47</f>
        <v/>
      </c>
      <c r="CB18" s="10">
        <f>IF(COUNT(CB47)=1,CB47,"")</f>
        <v/>
      </c>
      <c r="CC18" s="10">
        <f>CC47</f>
        <v/>
      </c>
      <c r="CD18" s="10">
        <f>CD47</f>
        <v/>
      </c>
      <c r="CE18" s="11">
        <f>IF(COUNT(CE47)=1,CE47,"")</f>
        <v/>
      </c>
      <c r="CF18" s="11">
        <f>CF47</f>
        <v/>
      </c>
      <c r="CG18" s="11">
        <f>CG47</f>
        <v/>
      </c>
      <c r="CH18" s="10">
        <f>IF(COUNT(CH47)=1,CH47,"")</f>
        <v/>
      </c>
      <c r="CI18" s="10">
        <f>CI47</f>
        <v/>
      </c>
      <c r="CJ18" s="10">
        <f>CJ47</f>
        <v/>
      </c>
      <c r="CK18" s="11">
        <f>IF(COUNT(CK47)=1,CK47,"")</f>
        <v/>
      </c>
      <c r="CL18" s="11">
        <f>CL47</f>
        <v/>
      </c>
      <c r="CM18" s="11">
        <f>CM47</f>
        <v/>
      </c>
      <c r="CN18" s="10">
        <f>IF(COUNT(CN47)=1,CN47,"")</f>
        <v/>
      </c>
      <c r="CO18" s="10">
        <f>CO47</f>
        <v/>
      </c>
      <c r="CP18" s="10">
        <f>CP47</f>
        <v/>
      </c>
      <c r="CQ18" s="11">
        <f>IF(COUNT(CQ47)=1,CQ47,"")</f>
        <v/>
      </c>
      <c r="CR18" s="11">
        <f>CR47</f>
        <v/>
      </c>
      <c r="CS18" s="11">
        <f>CS47</f>
        <v/>
      </c>
      <c r="CT18" s="10">
        <f>IF(COUNT(CT47)=1,CT47,"")</f>
        <v/>
      </c>
      <c r="CU18" s="10">
        <f>CU47</f>
        <v/>
      </c>
      <c r="CV18" s="10">
        <f>CV47</f>
        <v/>
      </c>
      <c r="CW18" s="11">
        <f>IF(COUNT(CW47)=1,CW47,"")</f>
        <v/>
      </c>
      <c r="CX18" s="11">
        <f>CX47</f>
        <v/>
      </c>
      <c r="CY18" s="11">
        <f>CY47</f>
        <v/>
      </c>
      <c r="CZ18" s="10">
        <f>IF(COUNT(CZ47)=1,CZ47,"")</f>
        <v/>
      </c>
      <c r="DA18" s="10">
        <f>DA47</f>
        <v/>
      </c>
      <c r="DB18" s="10">
        <f>DB47</f>
        <v/>
      </c>
      <c r="DC18" s="11">
        <f>IF(COUNT(DC47)=1,DC47,"")</f>
        <v/>
      </c>
      <c r="DD18" s="11">
        <f>DD47</f>
        <v/>
      </c>
      <c r="DE18" s="11">
        <f>DE47</f>
        <v/>
      </c>
      <c r="DF18" s="10">
        <f>IF(COUNT(DF47)=1,DF47,"")</f>
        <v/>
      </c>
      <c r="DG18" s="10">
        <f>DG47</f>
        <v/>
      </c>
      <c r="DH18" s="10">
        <f>DH47</f>
        <v/>
      </c>
      <c r="DI18" s="11">
        <f>IF(COUNT(DI47)=1,DI47,"")</f>
        <v/>
      </c>
      <c r="DJ18" s="11">
        <f>DJ47</f>
        <v/>
      </c>
      <c r="DK18" s="11">
        <f>DK47</f>
        <v/>
      </c>
      <c r="DL18" s="10">
        <f>IF(COUNT(DL47)=1,DL47,"")</f>
        <v/>
      </c>
      <c r="DM18" s="10">
        <f>DM47</f>
        <v/>
      </c>
      <c r="DN18" s="10">
        <f>DN47</f>
        <v/>
      </c>
    </row>
    <row r="19">
      <c r="A19" s="2" t="inlineStr">
        <is>
          <t>Bonuses</t>
        </is>
      </c>
      <c r="B19" s="10">
        <f>IF(COUNT(AR19,AO19,AL19,AI19,AF19,AC19,Z19,W19,T19,Q19,N19,K19)=0,"",SUM(AR19,AO19,AL19,AI19,AF19,AC19,Z19,W19,T19,Q19,N19,K19))</f>
        <v/>
      </c>
      <c r="C19" s="10">
        <f>IF(COUNT(AS19,AP19,AM19,AJ19,AG19,AD19,AA19,X19,U19,R19,O19,L19)=0,"",SUM(AS19,AP19,AM19,AJ19,AG19,AD19,AA19,X19,U19,R19,O19,L19))</f>
        <v/>
      </c>
      <c r="D19" s="10">
        <f>IF(COUNT(AT19,AQ19,AN19,AK19,AH19,AE19,AB19,Y19,V19,S19,P19,M19)=0,"",SUM(AT19,AQ19,AN19,AK19,AH19,AE19,AB19,Y19,V19,S19,P19,M19))</f>
        <v/>
      </c>
      <c r="E19" s="11">
        <f>IF(COUNT(CB19,BY19,BV19,BS19,BP19,BM19,BJ19,BG19,BD19,BA19,AX19,AU19)=0,"",SUM(CB19,BY19,BV19,BS19,BP19,BM19,BJ19,BG19,BD19,BA19,AX19,AU19))</f>
        <v/>
      </c>
      <c r="F19" s="11">
        <f>IF(COUNT(CC19,BZ19,BW19,BT19,BQ19,BN19,BK19,BH19,BE19,BB19,AY19,AV19)=0,"",SUM(CC19,BZ19,BW19,BT19,BQ19,BN19,BK19,BH19,BE19,BB19,AY19,AV19))</f>
        <v/>
      </c>
      <c r="G19" s="11">
        <f>IF(COUNT(CD19,CA19,BX19,BU19,BR19,BO19,BL19,BI19,BF19,BC19,AZ19,AW19)=0,"",SUM(CD19,CA19,BX19,BU19,BR19,BO19,BL19,BI19,BF19,BC19,AZ19,AW19))</f>
        <v/>
      </c>
      <c r="H19" s="10">
        <f>IF(COUNT(DL19,DI19,DF19,DC19,CZ19,CW19,CT19,CQ19,CN19,CK19,CH19,CE19)=0,"",SUM(DL19,DI19,DF19,DC19,CZ19,CW19,CT19,CQ19,CN19,CK19,CH19,CE19))</f>
        <v/>
      </c>
      <c r="I19" s="10">
        <f>IF(COUNT(DM19,DJ19,DG19,DD19,DA19,CX19,CU19,CR19,CO19,CL19,CI19,CF19)=0,"",SUM(DM19,DJ19,DG19,DD19,DA19,CX19,CU19,CR19,CO19,CL19,CI19,CF19))</f>
        <v/>
      </c>
      <c r="J19" s="10">
        <f>IF(COUNT(DN19,DK19,DH19,DE19,DB19,CY19,CV19,CS19,CP19,CM19,CJ19,CG19)=0,"",SUM(DN19,DK19,DH19,DE19,DB19,CY19,CV19,CS19,CP19,CM19,CJ19,CG19))</f>
        <v/>
      </c>
      <c r="K19" s="11" t="n"/>
      <c r="L19" s="11" t="n">
        <v>2000</v>
      </c>
      <c r="M19" s="11" t="n">
        <v>2000</v>
      </c>
      <c r="N19" s="10" t="n"/>
      <c r="O19" s="10" t="n">
        <v>2000</v>
      </c>
      <c r="P19" s="10" t="n">
        <v>2000</v>
      </c>
      <c r="Q19" s="11" t="n"/>
      <c r="R19" s="11" t="n">
        <v>2000</v>
      </c>
      <c r="S19" s="11" t="n">
        <v>2000</v>
      </c>
      <c r="T19" s="10" t="n"/>
      <c r="U19" s="10" t="n">
        <v>2000</v>
      </c>
      <c r="V19" s="10" t="n">
        <v>2000</v>
      </c>
      <c r="W19" s="11" t="n"/>
      <c r="X19" s="11" t="n">
        <v>2000</v>
      </c>
      <c r="Y19" s="11" t="n">
        <v>2000</v>
      </c>
      <c r="Z19" s="10" t="n"/>
      <c r="AA19" s="10" t="n">
        <v>2000</v>
      </c>
      <c r="AB19" s="10" t="n">
        <v>2000</v>
      </c>
      <c r="AC19" s="11" t="n"/>
      <c r="AD19" s="11" t="n">
        <v>2000</v>
      </c>
      <c r="AE19" s="11" t="n">
        <v>2000</v>
      </c>
      <c r="AF19" s="10" t="n"/>
      <c r="AG19" s="10" t="n">
        <v>2000</v>
      </c>
      <c r="AH19" s="10" t="n">
        <v>2000</v>
      </c>
      <c r="AI19" s="11" t="n"/>
      <c r="AJ19" s="11" t="n">
        <v>2000</v>
      </c>
      <c r="AK19" s="11" t="n">
        <v>2000</v>
      </c>
      <c r="AL19" s="10" t="n"/>
      <c r="AM19" s="10" t="n">
        <v>2000</v>
      </c>
      <c r="AN19" s="10" t="n">
        <v>2000</v>
      </c>
      <c r="AO19" s="11" t="n"/>
      <c r="AP19" s="11" t="n">
        <v>2000</v>
      </c>
      <c r="AQ19" s="11" t="n">
        <v>2000</v>
      </c>
      <c r="AR19" s="10" t="n"/>
      <c r="AS19" s="10" t="n">
        <v>2000</v>
      </c>
      <c r="AT19" s="10" t="n">
        <v>2000</v>
      </c>
      <c r="AU19" s="11" t="n"/>
      <c r="AV19" s="11" t="n">
        <v>2000</v>
      </c>
      <c r="AW19" s="11" t="n">
        <v>2000</v>
      </c>
      <c r="AX19" s="10" t="n"/>
      <c r="AY19" s="10" t="n">
        <v>2000</v>
      </c>
      <c r="AZ19" s="10" t="n">
        <v>2000</v>
      </c>
      <c r="BA19" s="11" t="n"/>
      <c r="BB19" s="11" t="n">
        <v>2000</v>
      </c>
      <c r="BC19" s="11" t="n">
        <v>2000</v>
      </c>
      <c r="BD19" s="10" t="n"/>
      <c r="BE19" s="10" t="n">
        <v>2000</v>
      </c>
      <c r="BF19" s="10" t="n">
        <v>2000</v>
      </c>
      <c r="BG19" s="11" t="n"/>
      <c r="BH19" s="11" t="n">
        <v>2000</v>
      </c>
      <c r="BI19" s="11" t="n">
        <v>2000</v>
      </c>
      <c r="BJ19" s="10" t="n"/>
      <c r="BK19" s="10" t="n">
        <v>2000</v>
      </c>
      <c r="BL19" s="10" t="n">
        <v>2000</v>
      </c>
      <c r="BM19" s="11" t="n"/>
      <c r="BN19" s="11" t="n">
        <v>2000</v>
      </c>
      <c r="BO19" s="11" t="n">
        <v>2000</v>
      </c>
      <c r="BP19" s="10" t="n"/>
      <c r="BQ19" s="10" t="n">
        <v>2000</v>
      </c>
      <c r="BR19" s="10" t="n">
        <v>2000</v>
      </c>
      <c r="BS19" s="11" t="n"/>
      <c r="BT19" s="11" t="n">
        <v>2000</v>
      </c>
      <c r="BU19" s="11" t="n">
        <v>2000</v>
      </c>
      <c r="BV19" s="10" t="n"/>
      <c r="BW19" s="10" t="n">
        <v>2000</v>
      </c>
      <c r="BX19" s="10" t="n">
        <v>2000</v>
      </c>
      <c r="BY19" s="11" t="n"/>
      <c r="BZ19" s="11" t="n">
        <v>2000</v>
      </c>
      <c r="CA19" s="11" t="n">
        <v>2000</v>
      </c>
      <c r="CB19" s="10" t="n"/>
      <c r="CC19" s="10" t="n">
        <v>2000</v>
      </c>
      <c r="CD19" s="10" t="n">
        <v>2000</v>
      </c>
      <c r="CE19" s="11" t="n"/>
      <c r="CF19" s="11" t="n">
        <v>2000</v>
      </c>
      <c r="CG19" s="11" t="n">
        <v>2000</v>
      </c>
      <c r="CH19" s="10" t="n"/>
      <c r="CI19" s="10" t="n">
        <v>2000</v>
      </c>
      <c r="CJ19" s="10" t="n">
        <v>2000</v>
      </c>
      <c r="CK19" s="11" t="n"/>
      <c r="CL19" s="11" t="n">
        <v>2000</v>
      </c>
      <c r="CM19" s="11" t="n">
        <v>2000</v>
      </c>
      <c r="CN19" s="10" t="n"/>
      <c r="CO19" s="10" t="n">
        <v>2000</v>
      </c>
      <c r="CP19" s="10" t="n">
        <v>2000</v>
      </c>
      <c r="CQ19" s="11" t="n"/>
      <c r="CR19" s="11" t="n">
        <v>2000</v>
      </c>
      <c r="CS19" s="11" t="n">
        <v>2000</v>
      </c>
      <c r="CT19" s="10" t="n"/>
      <c r="CU19" s="10" t="n">
        <v>2000</v>
      </c>
      <c r="CV19" s="10" t="n">
        <v>2000</v>
      </c>
      <c r="CW19" s="11" t="n"/>
      <c r="CX19" s="11" t="n">
        <v>2000</v>
      </c>
      <c r="CY19" s="11" t="n">
        <v>2000</v>
      </c>
      <c r="CZ19" s="10" t="n"/>
      <c r="DA19" s="10" t="n">
        <v>2000</v>
      </c>
      <c r="DB19" s="10" t="n">
        <v>2000</v>
      </c>
      <c r="DC19" s="11" t="n"/>
      <c r="DD19" s="11" t="n">
        <v>2000</v>
      </c>
      <c r="DE19" s="11" t="n">
        <v>2000</v>
      </c>
      <c r="DF19" s="10" t="n"/>
      <c r="DG19" s="10" t="n">
        <v>2000</v>
      </c>
      <c r="DH19" s="10" t="n">
        <v>2000</v>
      </c>
      <c r="DI19" s="11" t="n">
        <v>2000</v>
      </c>
      <c r="DJ19" s="11" t="n">
        <v>2000</v>
      </c>
      <c r="DK19" s="11" t="n">
        <v>2000</v>
      </c>
      <c r="DL19" s="10" t="n">
        <v>2000</v>
      </c>
      <c r="DM19" s="10" t="n">
        <v>2000</v>
      </c>
      <c r="DN19" s="10" t="n">
        <v>2000</v>
      </c>
    </row>
    <row r="20">
      <c r="A20" s="2" t="inlineStr">
        <is>
          <t>Payroll Taxes and Benefits</t>
        </is>
      </c>
      <c r="B20" s="10">
        <f>IF(COUNT(AR20,AO20,AL20,AI20,AF20,AC20,Z20,W20,T20,Q20,N20,K20)=0,"",SUM(AR20,AO20,AL20,AI20,AF20,AC20,Z20,W20,T20,Q20,N20,K20))</f>
        <v/>
      </c>
      <c r="C20" s="10">
        <f>IF(COUNT(AS20,AP20,AM20,AJ20,AG20,AD20,AA20,X20,U20,R20,O20,L20)=0,"",SUM(AS20,AP20,AM20,AJ20,AG20,AD20,AA20,X20,U20,R20,O20,L20))</f>
        <v/>
      </c>
      <c r="D20" s="10">
        <f>IF(COUNT(AT20,AQ20,AN20,AK20,AH20,AE20,AB20,Y20,V20,S20,P20,M20)=0,"",SUM(AT20,AQ20,AN20,AK20,AH20,AE20,AB20,Y20,V20,S20,P20,M20))</f>
        <v/>
      </c>
      <c r="E20" s="11">
        <f>IF(COUNT(CB20,BY20,BV20,BS20,BP20,BM20,BJ20,BG20,BD20,BA20,AX20,AU20)=0,"",SUM(CB20,BY20,BV20,BS20,BP20,BM20,BJ20,BG20,BD20,BA20,AX20,AU20))</f>
        <v/>
      </c>
      <c r="F20" s="11">
        <f>IF(COUNT(CC20,BZ20,BW20,BT20,BQ20,BN20,BK20,BH20,BE20,BB20,AY20,AV20)=0,"",SUM(CC20,BZ20,BW20,BT20,BQ20,BN20,BK20,BH20,BE20,BB20,AY20,AV20))</f>
        <v/>
      </c>
      <c r="G20" s="11">
        <f>IF(COUNT(CD20,CA20,BX20,BU20,BR20,BO20,BL20,BI20,BF20,BC20,AZ20,AW20)=0,"",SUM(CD20,CA20,BX20,BU20,BR20,BO20,BL20,BI20,BF20,BC20,AZ20,AW20))</f>
        <v/>
      </c>
      <c r="H20" s="10">
        <f>IF(COUNT(DL20,DI20,DF20,DC20,CZ20,CW20,CT20,CQ20,CN20,CK20,CH20,CE20)=0,"",SUM(DL20,DI20,DF20,DC20,CZ20,CW20,CT20,CQ20,CN20,CK20,CH20,CE20))</f>
        <v/>
      </c>
      <c r="I20" s="10">
        <f>IF(COUNT(DM20,DJ20,DG20,DD20,DA20,CX20,CU20,CR20,CO20,CL20,CI20,CF20)=0,"",SUM(DM20,DJ20,DG20,DD20,DA20,CX20,CU20,CR20,CO20,CL20,CI20,CF20))</f>
        <v/>
      </c>
      <c r="J20" s="10">
        <f>IF(COUNT(DN20,DK20,DH20,DE20,DB20,CY20,CV20,CS20,CP20,CM20,CJ20,CG20)=0,"",SUM(DN20,DK20,DH20,DE20,DB20,CY20,CV20,CS20,CP20,CM20,CJ20,CG20))</f>
        <v/>
      </c>
      <c r="K20" s="11">
        <f>IF(COUNT(K18)=1,K18*0.22,"")</f>
        <v/>
      </c>
      <c r="L20" s="11">
        <f>L18*0.22</f>
        <v/>
      </c>
      <c r="M20" s="11">
        <f>M18*0.22</f>
        <v/>
      </c>
      <c r="N20" s="10">
        <f>IF(COUNT(N18)=1,N18*0.22,"")</f>
        <v/>
      </c>
      <c r="O20" s="10">
        <f>O18*0.22</f>
        <v/>
      </c>
      <c r="P20" s="10">
        <f>P18*0.22</f>
        <v/>
      </c>
      <c r="Q20" s="11">
        <f>IF(COUNT(Q18)=1,Q18*0.22,"")</f>
        <v/>
      </c>
      <c r="R20" s="11">
        <f>R18*0.22</f>
        <v/>
      </c>
      <c r="S20" s="11">
        <f>S18*0.22</f>
        <v/>
      </c>
      <c r="T20" s="10">
        <f>IF(COUNT(T18)=1,T18*0.22,"")</f>
        <v/>
      </c>
      <c r="U20" s="10">
        <f>U18*0.22</f>
        <v/>
      </c>
      <c r="V20" s="10">
        <f>V18*0.22</f>
        <v/>
      </c>
      <c r="W20" s="11">
        <f>IF(COUNT(W18)=1,W18*0.22,"")</f>
        <v/>
      </c>
      <c r="X20" s="11">
        <f>X18*0.22</f>
        <v/>
      </c>
      <c r="Y20" s="11">
        <f>Y18*0.22</f>
        <v/>
      </c>
      <c r="Z20" s="10">
        <f>IF(COUNT(Z18)=1,Z18*0.22,"")</f>
        <v/>
      </c>
      <c r="AA20" s="10">
        <f>AA18*0.22</f>
        <v/>
      </c>
      <c r="AB20" s="10">
        <f>AB18*0.22</f>
        <v/>
      </c>
      <c r="AC20" s="11">
        <f>IF(COUNT(AC18)=1,AC18*0.22,"")</f>
        <v/>
      </c>
      <c r="AD20" s="11">
        <f>AD18*0.22</f>
        <v/>
      </c>
      <c r="AE20" s="11">
        <f>AE18*0.22</f>
        <v/>
      </c>
      <c r="AF20" s="10">
        <f>IF(COUNT(AF18)=1,AF18*0.22,"")</f>
        <v/>
      </c>
      <c r="AG20" s="10">
        <f>AG18*0.22</f>
        <v/>
      </c>
      <c r="AH20" s="10">
        <f>AH18*0.22</f>
        <v/>
      </c>
      <c r="AI20" s="11">
        <f>IF(COUNT(AI18)=1,AI18*0.22,"")</f>
        <v/>
      </c>
      <c r="AJ20" s="11">
        <f>AJ18*0.22</f>
        <v/>
      </c>
      <c r="AK20" s="11">
        <f>AK18*0.22</f>
        <v/>
      </c>
      <c r="AL20" s="10">
        <f>IF(COUNT(AL18)=1,AL18*0.22,"")</f>
        <v/>
      </c>
      <c r="AM20" s="10">
        <f>AM18*0.22</f>
        <v/>
      </c>
      <c r="AN20" s="10">
        <f>AN18*0.22</f>
        <v/>
      </c>
      <c r="AO20" s="11">
        <f>IF(COUNT(AO18)=1,AO18*0.22,"")</f>
        <v/>
      </c>
      <c r="AP20" s="11">
        <f>AP18*0.22</f>
        <v/>
      </c>
      <c r="AQ20" s="11">
        <f>AQ18*0.22</f>
        <v/>
      </c>
      <c r="AR20" s="10">
        <f>IF(COUNT(AR18)=1,AR18*0.22,"")</f>
        <v/>
      </c>
      <c r="AS20" s="10">
        <f>AS18*0.22</f>
        <v/>
      </c>
      <c r="AT20" s="10">
        <f>AT18*0.22</f>
        <v/>
      </c>
      <c r="AU20" s="11">
        <f>IF(COUNT(AU18)=1,AU18*0.22,"")</f>
        <v/>
      </c>
      <c r="AV20" s="11">
        <f>AV18*0.22</f>
        <v/>
      </c>
      <c r="AW20" s="11">
        <f>AW18*0.22</f>
        <v/>
      </c>
      <c r="AX20" s="10">
        <f>IF(COUNT(AX18)=1,AX18*0.22,"")</f>
        <v/>
      </c>
      <c r="AY20" s="10">
        <f>AY18*0.22</f>
        <v/>
      </c>
      <c r="AZ20" s="10">
        <f>AZ18*0.22</f>
        <v/>
      </c>
      <c r="BA20" s="11">
        <f>IF(COUNT(BA18)=1,BA18*0.22,"")</f>
        <v/>
      </c>
      <c r="BB20" s="11">
        <f>BB18*0.22</f>
        <v/>
      </c>
      <c r="BC20" s="11">
        <f>BC18*0.22</f>
        <v/>
      </c>
      <c r="BD20" s="10">
        <f>IF(COUNT(BD18)=1,BD18*0.22,"")</f>
        <v/>
      </c>
      <c r="BE20" s="10">
        <f>BE18*0.22</f>
        <v/>
      </c>
      <c r="BF20" s="10">
        <f>BF18*0.22</f>
        <v/>
      </c>
      <c r="BG20" s="11">
        <f>IF(COUNT(BG18)=1,BG18*0.22,"")</f>
        <v/>
      </c>
      <c r="BH20" s="11">
        <f>BH18*0.22</f>
        <v/>
      </c>
      <c r="BI20" s="11">
        <f>BI18*0.22</f>
        <v/>
      </c>
      <c r="BJ20" s="10">
        <f>IF(COUNT(BJ18)=1,BJ18*0.22,"")</f>
        <v/>
      </c>
      <c r="BK20" s="10">
        <f>BK18*0.22</f>
        <v/>
      </c>
      <c r="BL20" s="10">
        <f>BL18*0.22</f>
        <v/>
      </c>
      <c r="BM20" s="11">
        <f>IF(COUNT(BM18)=1,BM18*0.22,"")</f>
        <v/>
      </c>
      <c r="BN20" s="11">
        <f>BN18*0.22</f>
        <v/>
      </c>
      <c r="BO20" s="11">
        <f>BO18*0.22</f>
        <v/>
      </c>
      <c r="BP20" s="10">
        <f>IF(COUNT(BP18)=1,BP18*0.22,"")</f>
        <v/>
      </c>
      <c r="BQ20" s="10">
        <f>BQ18*0.22</f>
        <v/>
      </c>
      <c r="BR20" s="10">
        <f>BR18*0.22</f>
        <v/>
      </c>
      <c r="BS20" s="11">
        <f>IF(COUNT(BS18)=1,BS18*0.22,"")</f>
        <v/>
      </c>
      <c r="BT20" s="11">
        <f>BT18*0.22</f>
        <v/>
      </c>
      <c r="BU20" s="11">
        <f>BU18*0.22</f>
        <v/>
      </c>
      <c r="BV20" s="10">
        <f>IF(COUNT(BV18)=1,BV18*0.22,"")</f>
        <v/>
      </c>
      <c r="BW20" s="10">
        <f>BW18*0.22</f>
        <v/>
      </c>
      <c r="BX20" s="10">
        <f>BX18*0.22</f>
        <v/>
      </c>
      <c r="BY20" s="11">
        <f>IF(COUNT(BY18)=1,BY18*0.22,"")</f>
        <v/>
      </c>
      <c r="BZ20" s="11">
        <f>BZ18*0.22</f>
        <v/>
      </c>
      <c r="CA20" s="11">
        <f>CA18*0.22</f>
        <v/>
      </c>
      <c r="CB20" s="10">
        <f>IF(COUNT(CB18)=1,CB18*0.22,"")</f>
        <v/>
      </c>
      <c r="CC20" s="10">
        <f>CC18*0.22</f>
        <v/>
      </c>
      <c r="CD20" s="10">
        <f>CD18*0.22</f>
        <v/>
      </c>
      <c r="CE20" s="11">
        <f>IF(COUNT(CE18)=1,CE18*0.22,"")</f>
        <v/>
      </c>
      <c r="CF20" s="11">
        <f>CF18*0.22</f>
        <v/>
      </c>
      <c r="CG20" s="11">
        <f>CG18*0.22</f>
        <v/>
      </c>
      <c r="CH20" s="10">
        <f>IF(COUNT(CH18)=1,CH18*0.22,"")</f>
        <v/>
      </c>
      <c r="CI20" s="10">
        <f>CI18*0.22</f>
        <v/>
      </c>
      <c r="CJ20" s="10">
        <f>CJ18*0.22</f>
        <v/>
      </c>
      <c r="CK20" s="11">
        <f>IF(COUNT(CK18)=1,CK18*0.22,"")</f>
        <v/>
      </c>
      <c r="CL20" s="11">
        <f>CL18*0.22</f>
        <v/>
      </c>
      <c r="CM20" s="11">
        <f>CM18*0.22</f>
        <v/>
      </c>
      <c r="CN20" s="10">
        <f>IF(COUNT(CN18)=1,CN18*0.22,"")</f>
        <v/>
      </c>
      <c r="CO20" s="10">
        <f>CO18*0.22</f>
        <v/>
      </c>
      <c r="CP20" s="10">
        <f>CP18*0.22</f>
        <v/>
      </c>
      <c r="CQ20" s="11">
        <f>IF(COUNT(CQ18)=1,CQ18*0.22,"")</f>
        <v/>
      </c>
      <c r="CR20" s="11">
        <f>CR18*0.22</f>
        <v/>
      </c>
      <c r="CS20" s="11">
        <f>CS18*0.22</f>
        <v/>
      </c>
      <c r="CT20" s="10">
        <f>IF(COUNT(CT18)=1,CT18*0.22,"")</f>
        <v/>
      </c>
      <c r="CU20" s="10">
        <f>CU18*0.22</f>
        <v/>
      </c>
      <c r="CV20" s="10">
        <f>CV18*0.22</f>
        <v/>
      </c>
      <c r="CW20" s="11">
        <f>IF(COUNT(CW18)=1,CW18*0.22,"")</f>
        <v/>
      </c>
      <c r="CX20" s="11">
        <f>CX18*0.22</f>
        <v/>
      </c>
      <c r="CY20" s="11">
        <f>CY18*0.22</f>
        <v/>
      </c>
      <c r="CZ20" s="10">
        <f>IF(COUNT(CZ18)=1,CZ18*0.22,"")</f>
        <v/>
      </c>
      <c r="DA20" s="10">
        <f>DA18*0.22</f>
        <v/>
      </c>
      <c r="DB20" s="10">
        <f>DB18*0.22</f>
        <v/>
      </c>
      <c r="DC20" s="11">
        <f>IF(COUNT(DC18)=1,DC18*0.22,"")</f>
        <v/>
      </c>
      <c r="DD20" s="11">
        <f>DD18*0.22</f>
        <v/>
      </c>
      <c r="DE20" s="11">
        <f>DE18*0.22</f>
        <v/>
      </c>
      <c r="DF20" s="10">
        <f>IF(COUNT(DF18)=1,DF18*0.22,"")</f>
        <v/>
      </c>
      <c r="DG20" s="10">
        <f>DG18*0.22</f>
        <v/>
      </c>
      <c r="DH20" s="10">
        <f>DH18*0.22</f>
        <v/>
      </c>
      <c r="DI20" s="11">
        <f>IF(COUNT(DI18)=1,DI18*0.22,"")</f>
        <v/>
      </c>
      <c r="DJ20" s="11">
        <f>DJ18*0.22</f>
        <v/>
      </c>
      <c r="DK20" s="11">
        <f>DK18*0.22</f>
        <v/>
      </c>
      <c r="DL20" s="10">
        <f>IF(COUNT(DL18)=1,DL18*0.22,"")</f>
        <v/>
      </c>
      <c r="DM20" s="10">
        <f>DM18*0.22</f>
        <v/>
      </c>
      <c r="DN20" s="10">
        <f>DN18*0.22</f>
        <v/>
      </c>
    </row>
    <row r="21">
      <c r="A21" s="2" t="inlineStr">
        <is>
          <t>Contractors and Freelancers</t>
        </is>
      </c>
      <c r="B21" s="10">
        <f>IF(COUNT(AR21,AO21,AL21,AI21,AF21,AC21,Z21,W21,T21,Q21,N21,K21)=0,"",SUM(AR21,AO21,AL21,AI21,AF21,AC21,Z21,W21,T21,Q21,N21,K21))</f>
        <v/>
      </c>
      <c r="C21" s="10">
        <f>IF(COUNT(AS21,AP21,AM21,AJ21,AG21,AD21,AA21,X21,U21,R21,O21,L21)=0,"",SUM(AS21,AP21,AM21,AJ21,AG21,AD21,AA21,X21,U21,R21,O21,L21))</f>
        <v/>
      </c>
      <c r="D21" s="10">
        <f>IF(COUNT(AT21,AQ21,AN21,AK21,AH21,AE21,AB21,Y21,V21,S21,P21,M21)=0,"",SUM(AT21,AQ21,AN21,AK21,AH21,AE21,AB21,Y21,V21,S21,P21,M21))</f>
        <v/>
      </c>
      <c r="E21" s="11">
        <f>IF(COUNT(CB21,BY21,BV21,BS21,BP21,BM21,BJ21,BG21,BD21,BA21,AX21,AU21)=0,"",SUM(CB21,BY21,BV21,BS21,BP21,BM21,BJ21,BG21,BD21,BA21,AX21,AU21))</f>
        <v/>
      </c>
      <c r="F21" s="11">
        <f>IF(COUNT(CC21,BZ21,BW21,BT21,BQ21,BN21,BK21,BH21,BE21,BB21,AY21,AV21)=0,"",SUM(CC21,BZ21,BW21,BT21,BQ21,BN21,BK21,BH21,BE21,BB21,AY21,AV21))</f>
        <v/>
      </c>
      <c r="G21" s="11">
        <f>IF(COUNT(CD21,CA21,BX21,BU21,BR21,BO21,BL21,BI21,BF21,BC21,AZ21,AW21)=0,"",SUM(CD21,CA21,BX21,BU21,BR21,BO21,BL21,BI21,BF21,BC21,AZ21,AW21))</f>
        <v/>
      </c>
      <c r="H21" s="10">
        <f>IF(COUNT(DL21,DI21,DF21,DC21,CZ21,CW21,CT21,CQ21,CN21,CK21,CH21,CE21)=0,"",SUM(DL21,DI21,DF21,DC21,CZ21,CW21,CT21,CQ21,CN21,CK21,CH21,CE21))</f>
        <v/>
      </c>
      <c r="I21" s="10">
        <f>IF(COUNT(DM21,DJ21,DG21,DD21,DA21,CX21,CU21,CR21,CO21,CL21,CI21,CF21)=0,"",SUM(DM21,DJ21,DG21,DD21,DA21,CX21,CU21,CR21,CO21,CL21,CI21,CF21))</f>
        <v/>
      </c>
      <c r="J21" s="10">
        <f>IF(COUNT(DN21,DK21,DH21,DE21,DB21,CY21,CV21,CS21,CP21,CM21,CJ21,CG21)=0,"",SUM(DN21,DK21,DH21,DE21,DB21,CY21,CV21,CS21,CP21,CM21,CJ21,CG21))</f>
        <v/>
      </c>
      <c r="K21" s="11" t="n"/>
      <c r="L21" s="11" t="n">
        <v>3000</v>
      </c>
      <c r="M21" s="11" t="n">
        <v>3000</v>
      </c>
      <c r="N21" s="10" t="n"/>
      <c r="O21" s="10" t="n">
        <v>3000</v>
      </c>
      <c r="P21" s="10" t="n">
        <v>3000</v>
      </c>
      <c r="Q21" s="11" t="n"/>
      <c r="R21" s="11" t="n">
        <v>3000</v>
      </c>
      <c r="S21" s="11" t="n">
        <v>3000</v>
      </c>
      <c r="T21" s="10" t="n"/>
      <c r="U21" s="10" t="n">
        <v>3000</v>
      </c>
      <c r="V21" s="10" t="n">
        <v>3000</v>
      </c>
      <c r="W21" s="11" t="n"/>
      <c r="X21" s="11" t="n">
        <v>3000</v>
      </c>
      <c r="Y21" s="11" t="n">
        <v>3000</v>
      </c>
      <c r="Z21" s="10" t="n"/>
      <c r="AA21" s="10" t="n">
        <v>3000</v>
      </c>
      <c r="AB21" s="10" t="n">
        <v>3000</v>
      </c>
      <c r="AC21" s="11" t="n"/>
      <c r="AD21" s="11" t="n">
        <v>3000</v>
      </c>
      <c r="AE21" s="11" t="n">
        <v>3000</v>
      </c>
      <c r="AF21" s="10" t="n"/>
      <c r="AG21" s="10" t="n">
        <v>3000</v>
      </c>
      <c r="AH21" s="10" t="n">
        <v>3000</v>
      </c>
      <c r="AI21" s="11" t="n"/>
      <c r="AJ21" s="11" t="n">
        <v>3000</v>
      </c>
      <c r="AK21" s="11" t="n">
        <v>3000</v>
      </c>
      <c r="AL21" s="10" t="n"/>
      <c r="AM21" s="10" t="n">
        <v>3000</v>
      </c>
      <c r="AN21" s="10" t="n">
        <v>3000</v>
      </c>
      <c r="AO21" s="11" t="n"/>
      <c r="AP21" s="11" t="n">
        <v>3000</v>
      </c>
      <c r="AQ21" s="11" t="n">
        <v>3000</v>
      </c>
      <c r="AR21" s="10" t="n"/>
      <c r="AS21" s="10" t="n">
        <v>3000</v>
      </c>
      <c r="AT21" s="10" t="n">
        <v>3000</v>
      </c>
      <c r="AU21" s="11" t="n"/>
      <c r="AV21" s="11" t="n">
        <v>3000</v>
      </c>
      <c r="AW21" s="11" t="n">
        <v>3000</v>
      </c>
      <c r="AX21" s="10" t="n"/>
      <c r="AY21" s="10" t="n">
        <v>3000</v>
      </c>
      <c r="AZ21" s="10" t="n">
        <v>3000</v>
      </c>
      <c r="BA21" s="11" t="n"/>
      <c r="BB21" s="11" t="n">
        <v>3000</v>
      </c>
      <c r="BC21" s="11" t="n">
        <v>3000</v>
      </c>
      <c r="BD21" s="10" t="n"/>
      <c r="BE21" s="10" t="n">
        <v>3000</v>
      </c>
      <c r="BF21" s="10" t="n">
        <v>3000</v>
      </c>
      <c r="BG21" s="11" t="n"/>
      <c r="BH21" s="11" t="n">
        <v>3000</v>
      </c>
      <c r="BI21" s="11" t="n">
        <v>3000</v>
      </c>
      <c r="BJ21" s="10" t="n"/>
      <c r="BK21" s="10" t="n">
        <v>3000</v>
      </c>
      <c r="BL21" s="10" t="n">
        <v>3000</v>
      </c>
      <c r="BM21" s="11" t="n"/>
      <c r="BN21" s="11" t="n">
        <v>3000</v>
      </c>
      <c r="BO21" s="11" t="n">
        <v>3000</v>
      </c>
      <c r="BP21" s="10" t="n"/>
      <c r="BQ21" s="10" t="n">
        <v>3000</v>
      </c>
      <c r="BR21" s="10" t="n">
        <v>3000</v>
      </c>
      <c r="BS21" s="11" t="n"/>
      <c r="BT21" s="11" t="n">
        <v>3000</v>
      </c>
      <c r="BU21" s="11" t="n">
        <v>3000</v>
      </c>
      <c r="BV21" s="10" t="n"/>
      <c r="BW21" s="10" t="n">
        <v>3000</v>
      </c>
      <c r="BX21" s="10" t="n">
        <v>3000</v>
      </c>
      <c r="BY21" s="11" t="n"/>
      <c r="BZ21" s="11" t="n">
        <v>3000</v>
      </c>
      <c r="CA21" s="11" t="n">
        <v>3000</v>
      </c>
      <c r="CB21" s="10" t="n"/>
      <c r="CC21" s="10" t="n">
        <v>3000</v>
      </c>
      <c r="CD21" s="10" t="n">
        <v>3000</v>
      </c>
      <c r="CE21" s="11" t="n"/>
      <c r="CF21" s="11" t="n">
        <v>3000</v>
      </c>
      <c r="CG21" s="11" t="n">
        <v>3000</v>
      </c>
      <c r="CH21" s="10" t="n"/>
      <c r="CI21" s="10" t="n">
        <v>3000</v>
      </c>
      <c r="CJ21" s="10" t="n">
        <v>3000</v>
      </c>
      <c r="CK21" s="11" t="n"/>
      <c r="CL21" s="11" t="n">
        <v>3000</v>
      </c>
      <c r="CM21" s="11" t="n">
        <v>3000</v>
      </c>
      <c r="CN21" s="10" t="n"/>
      <c r="CO21" s="10" t="n">
        <v>3000</v>
      </c>
      <c r="CP21" s="10" t="n">
        <v>3000</v>
      </c>
      <c r="CQ21" s="11" t="n"/>
      <c r="CR21" s="11" t="n">
        <v>3000</v>
      </c>
      <c r="CS21" s="11" t="n">
        <v>3000</v>
      </c>
      <c r="CT21" s="10" t="n"/>
      <c r="CU21" s="10" t="n">
        <v>3000</v>
      </c>
      <c r="CV21" s="10" t="n">
        <v>3000</v>
      </c>
      <c r="CW21" s="11" t="n"/>
      <c r="CX21" s="11" t="n">
        <v>3000</v>
      </c>
      <c r="CY21" s="11" t="n">
        <v>3000</v>
      </c>
      <c r="CZ21" s="10" t="n"/>
      <c r="DA21" s="10" t="n">
        <v>3000</v>
      </c>
      <c r="DB21" s="10" t="n">
        <v>3000</v>
      </c>
      <c r="DC21" s="11" t="n"/>
      <c r="DD21" s="11" t="n">
        <v>3000</v>
      </c>
      <c r="DE21" s="11" t="n">
        <v>3000</v>
      </c>
      <c r="DF21" s="10" t="n"/>
      <c r="DG21" s="10" t="n">
        <v>3000</v>
      </c>
      <c r="DH21" s="10" t="n">
        <v>3000</v>
      </c>
      <c r="DI21" s="11" t="n">
        <v>3000</v>
      </c>
      <c r="DJ21" s="11" t="n">
        <v>3000</v>
      </c>
      <c r="DK21" s="11" t="n">
        <v>3000</v>
      </c>
      <c r="DL21" s="10" t="n">
        <v>3000</v>
      </c>
      <c r="DM21" s="10" t="n">
        <v>3000</v>
      </c>
      <c r="DN21" s="10" t="n">
        <v>3000</v>
      </c>
    </row>
    <row r="22">
      <c r="A22" s="2" t="inlineStr">
        <is>
          <t>Recruiting</t>
        </is>
      </c>
      <c r="B22" s="10">
        <f>IF(COUNT(AR22,AO22,AL22,AI22,AF22,AC22,Z22,W22,T22,Q22,N22,K22)=0,"",SUM(AR22,AO22,AL22,AI22,AF22,AC22,Z22,W22,T22,Q22,N22,K22))</f>
        <v/>
      </c>
      <c r="C22" s="10">
        <f>IF(COUNT(AS22,AP22,AM22,AJ22,AG22,AD22,AA22,X22,U22,R22,O22,L22)=0,"",SUM(AS22,AP22,AM22,AJ22,AG22,AD22,AA22,X22,U22,R22,O22,L22))</f>
        <v/>
      </c>
      <c r="D22" s="10">
        <f>IF(COUNT(AT22,AQ22,AN22,AK22,AH22,AE22,AB22,Y22,V22,S22,P22,M22)=0,"",SUM(AT22,AQ22,AN22,AK22,AH22,AE22,AB22,Y22,V22,S22,P22,M22))</f>
        <v/>
      </c>
      <c r="E22" s="11">
        <f>IF(COUNT(CB22,BY22,BV22,BS22,BP22,BM22,BJ22,BG22,BD22,BA22,AX22,AU22)=0,"",SUM(CB22,BY22,BV22,BS22,BP22,BM22,BJ22,BG22,BD22,BA22,AX22,AU22))</f>
        <v/>
      </c>
      <c r="F22" s="11">
        <f>IF(COUNT(CC22,BZ22,BW22,BT22,BQ22,BN22,BK22,BH22,BE22,BB22,AY22,AV22)=0,"",SUM(CC22,BZ22,BW22,BT22,BQ22,BN22,BK22,BH22,BE22,BB22,AY22,AV22))</f>
        <v/>
      </c>
      <c r="G22" s="11">
        <f>IF(COUNT(CD22,CA22,BX22,BU22,BR22,BO22,BL22,BI22,BF22,BC22,AZ22,AW22)=0,"",SUM(CD22,CA22,BX22,BU22,BR22,BO22,BL22,BI22,BF22,BC22,AZ22,AW22))</f>
        <v/>
      </c>
      <c r="H22" s="10">
        <f>IF(COUNT(DL22,DI22,DF22,DC22,CZ22,CW22,CT22,CQ22,CN22,CK22,CH22,CE22)=0,"",SUM(DL22,DI22,DF22,DC22,CZ22,CW22,CT22,CQ22,CN22,CK22,CH22,CE22))</f>
        <v/>
      </c>
      <c r="I22" s="10">
        <f>IF(COUNT(DM22,DJ22,DG22,DD22,DA22,CX22,CU22,CR22,CO22,CL22,CI22,CF22)=0,"",SUM(DM22,DJ22,DG22,DD22,DA22,CX22,CU22,CR22,CO22,CL22,CI22,CF22))</f>
        <v/>
      </c>
      <c r="J22" s="10">
        <f>IF(COUNT(DN22,DK22,DH22,DE22,DB22,CY22,CV22,CS22,CP22,CM22,CJ22,CG22)=0,"",SUM(DN22,DK22,DH22,DE22,DB22,CY22,CV22,CS22,CP22,CM22,CJ22,CG22))</f>
        <v/>
      </c>
      <c r="K22" s="11" t="n"/>
      <c r="L22" s="11" t="n">
        <v>500</v>
      </c>
      <c r="M22" s="11" t="n">
        <v>500</v>
      </c>
      <c r="N22" s="10" t="n"/>
      <c r="O22" s="10" t="n">
        <v>500</v>
      </c>
      <c r="P22" s="10" t="n">
        <v>500</v>
      </c>
      <c r="Q22" s="11" t="n"/>
      <c r="R22" s="11" t="n">
        <v>500</v>
      </c>
      <c r="S22" s="11" t="n">
        <v>500</v>
      </c>
      <c r="T22" s="10" t="n"/>
      <c r="U22" s="10" t="n">
        <v>500</v>
      </c>
      <c r="V22" s="10" t="n">
        <v>500</v>
      </c>
      <c r="W22" s="11" t="n"/>
      <c r="X22" s="11" t="n">
        <v>500</v>
      </c>
      <c r="Y22" s="11" t="n">
        <v>500</v>
      </c>
      <c r="Z22" s="10" t="n"/>
      <c r="AA22" s="10" t="n">
        <v>500</v>
      </c>
      <c r="AB22" s="10" t="n">
        <v>500</v>
      </c>
      <c r="AC22" s="11" t="n"/>
      <c r="AD22" s="11" t="n">
        <v>500</v>
      </c>
      <c r="AE22" s="11" t="n">
        <v>500</v>
      </c>
      <c r="AF22" s="10" t="n"/>
      <c r="AG22" s="10" t="n">
        <v>500</v>
      </c>
      <c r="AH22" s="10" t="n">
        <v>500</v>
      </c>
      <c r="AI22" s="11" t="n"/>
      <c r="AJ22" s="11" t="n">
        <v>500</v>
      </c>
      <c r="AK22" s="11" t="n">
        <v>500</v>
      </c>
      <c r="AL22" s="10" t="n"/>
      <c r="AM22" s="10" t="n">
        <v>500</v>
      </c>
      <c r="AN22" s="10" t="n">
        <v>500</v>
      </c>
      <c r="AO22" s="11" t="n"/>
      <c r="AP22" s="11" t="n">
        <v>500</v>
      </c>
      <c r="AQ22" s="11" t="n">
        <v>500</v>
      </c>
      <c r="AR22" s="10" t="n"/>
      <c r="AS22" s="10" t="n">
        <v>500</v>
      </c>
      <c r="AT22" s="10" t="n">
        <v>500</v>
      </c>
      <c r="AU22" s="11" t="n"/>
      <c r="AV22" s="11" t="n">
        <v>500</v>
      </c>
      <c r="AW22" s="11" t="n">
        <v>500</v>
      </c>
      <c r="AX22" s="10" t="n"/>
      <c r="AY22" s="10" t="n">
        <v>500</v>
      </c>
      <c r="AZ22" s="10" t="n">
        <v>500</v>
      </c>
      <c r="BA22" s="11" t="n"/>
      <c r="BB22" s="11" t="n">
        <v>500</v>
      </c>
      <c r="BC22" s="11" t="n">
        <v>500</v>
      </c>
      <c r="BD22" s="10" t="n"/>
      <c r="BE22" s="10" t="n">
        <v>500</v>
      </c>
      <c r="BF22" s="10" t="n">
        <v>500</v>
      </c>
      <c r="BG22" s="11" t="n"/>
      <c r="BH22" s="11" t="n">
        <v>500</v>
      </c>
      <c r="BI22" s="11" t="n">
        <v>500</v>
      </c>
      <c r="BJ22" s="10" t="n"/>
      <c r="BK22" s="10" t="n">
        <v>500</v>
      </c>
      <c r="BL22" s="10" t="n">
        <v>500</v>
      </c>
      <c r="BM22" s="11" t="n"/>
      <c r="BN22" s="11" t="n">
        <v>500</v>
      </c>
      <c r="BO22" s="11" t="n">
        <v>500</v>
      </c>
      <c r="BP22" s="10" t="n"/>
      <c r="BQ22" s="10" t="n">
        <v>500</v>
      </c>
      <c r="BR22" s="10" t="n">
        <v>500</v>
      </c>
      <c r="BS22" s="11" t="n"/>
      <c r="BT22" s="11" t="n">
        <v>500</v>
      </c>
      <c r="BU22" s="11" t="n">
        <v>500</v>
      </c>
      <c r="BV22" s="10" t="n"/>
      <c r="BW22" s="10" t="n">
        <v>500</v>
      </c>
      <c r="BX22" s="10" t="n">
        <v>500</v>
      </c>
      <c r="BY22" s="11" t="n"/>
      <c r="BZ22" s="11" t="n">
        <v>500</v>
      </c>
      <c r="CA22" s="11" t="n">
        <v>500</v>
      </c>
      <c r="CB22" s="10" t="n"/>
      <c r="CC22" s="10" t="n">
        <v>500</v>
      </c>
      <c r="CD22" s="10" t="n">
        <v>500</v>
      </c>
      <c r="CE22" s="11" t="n"/>
      <c r="CF22" s="11" t="n">
        <v>500</v>
      </c>
      <c r="CG22" s="11" t="n">
        <v>500</v>
      </c>
      <c r="CH22" s="10" t="n"/>
      <c r="CI22" s="10" t="n">
        <v>500</v>
      </c>
      <c r="CJ22" s="10" t="n">
        <v>500</v>
      </c>
      <c r="CK22" s="11" t="n"/>
      <c r="CL22" s="11" t="n">
        <v>500</v>
      </c>
      <c r="CM22" s="11" t="n">
        <v>500</v>
      </c>
      <c r="CN22" s="10" t="n"/>
      <c r="CO22" s="10" t="n">
        <v>500</v>
      </c>
      <c r="CP22" s="10" t="n">
        <v>500</v>
      </c>
      <c r="CQ22" s="11" t="n"/>
      <c r="CR22" s="11" t="n">
        <v>500</v>
      </c>
      <c r="CS22" s="11" t="n">
        <v>500</v>
      </c>
      <c r="CT22" s="10" t="n"/>
      <c r="CU22" s="10" t="n">
        <v>500</v>
      </c>
      <c r="CV22" s="10" t="n">
        <v>500</v>
      </c>
      <c r="CW22" s="11" t="n"/>
      <c r="CX22" s="11" t="n">
        <v>500</v>
      </c>
      <c r="CY22" s="11" t="n">
        <v>500</v>
      </c>
      <c r="CZ22" s="10" t="n"/>
      <c r="DA22" s="10" t="n">
        <v>500</v>
      </c>
      <c r="DB22" s="10" t="n">
        <v>500</v>
      </c>
      <c r="DC22" s="11" t="n"/>
      <c r="DD22" s="11" t="n">
        <v>500</v>
      </c>
      <c r="DE22" s="11" t="n">
        <v>500</v>
      </c>
      <c r="DF22" s="10" t="n"/>
      <c r="DG22" s="10" t="n">
        <v>500</v>
      </c>
      <c r="DH22" s="10" t="n">
        <v>500</v>
      </c>
      <c r="DI22" s="11" t="n">
        <v>500</v>
      </c>
      <c r="DJ22" s="11" t="n">
        <v>500</v>
      </c>
      <c r="DK22" s="11" t="n">
        <v>500</v>
      </c>
      <c r="DL22" s="10" t="n">
        <v>500</v>
      </c>
      <c r="DM22" s="10" t="n">
        <v>500</v>
      </c>
      <c r="DN22" s="10" t="n">
        <v>500</v>
      </c>
    </row>
    <row r="23">
      <c r="A23" s="2" t="inlineStr">
        <is>
          <t>Training and Development</t>
        </is>
      </c>
      <c r="B23" s="10">
        <f>IF(COUNT(AR23,AO23,AL23,AI23,AF23,AC23,Z23,W23,T23,Q23,N23,K23)=0,"",SUM(AR23,AO23,AL23,AI23,AF23,AC23,Z23,W23,T23,Q23,N23,K23))</f>
        <v/>
      </c>
      <c r="C23" s="10">
        <f>IF(COUNT(AS23,AP23,AM23,AJ23,AG23,AD23,AA23,X23,U23,R23,O23,L23)=0,"",SUM(AS23,AP23,AM23,AJ23,AG23,AD23,AA23,X23,U23,R23,O23,L23))</f>
        <v/>
      </c>
      <c r="D23" s="10">
        <f>IF(COUNT(AT23,AQ23,AN23,AK23,AH23,AE23,AB23,Y23,V23,S23,P23,M23)=0,"",SUM(AT23,AQ23,AN23,AK23,AH23,AE23,AB23,Y23,V23,S23,P23,M23))</f>
        <v/>
      </c>
      <c r="E23" s="11">
        <f>IF(COUNT(CB23,BY23,BV23,BS23,BP23,BM23,BJ23,BG23,BD23,BA23,AX23,AU23)=0,"",SUM(CB23,BY23,BV23,BS23,BP23,BM23,BJ23,BG23,BD23,BA23,AX23,AU23))</f>
        <v/>
      </c>
      <c r="F23" s="11">
        <f>IF(COUNT(CC23,BZ23,BW23,BT23,BQ23,BN23,BK23,BH23,BE23,BB23,AY23,AV23)=0,"",SUM(CC23,BZ23,BW23,BT23,BQ23,BN23,BK23,BH23,BE23,BB23,AY23,AV23))</f>
        <v/>
      </c>
      <c r="G23" s="11">
        <f>IF(COUNT(CD23,CA23,BX23,BU23,BR23,BO23,BL23,BI23,BF23,BC23,AZ23,AW23)=0,"",SUM(CD23,CA23,BX23,BU23,BR23,BO23,BL23,BI23,BF23,BC23,AZ23,AW23))</f>
        <v/>
      </c>
      <c r="H23" s="10">
        <f>IF(COUNT(DL23,DI23,DF23,DC23,CZ23,CW23,CT23,CQ23,CN23,CK23,CH23,CE23)=0,"",SUM(DL23,DI23,DF23,DC23,CZ23,CW23,CT23,CQ23,CN23,CK23,CH23,CE23))</f>
        <v/>
      </c>
      <c r="I23" s="10">
        <f>IF(COUNT(DM23,DJ23,DG23,DD23,DA23,CX23,CU23,CR23,CO23,CL23,CI23,CF23)=0,"",SUM(DM23,DJ23,DG23,DD23,DA23,CX23,CU23,CR23,CO23,CL23,CI23,CF23))</f>
        <v/>
      </c>
      <c r="J23" s="10">
        <f>IF(COUNT(DN23,DK23,DH23,DE23,DB23,CY23,CV23,CS23,CP23,CM23,CJ23,CG23)=0,"",SUM(DN23,DK23,DH23,DE23,DB23,CY23,CV23,CS23,CP23,CM23,CJ23,CG23))</f>
        <v/>
      </c>
      <c r="K23" s="11" t="n"/>
      <c r="L23" s="11" t="n">
        <v>500</v>
      </c>
      <c r="M23" s="11" t="n">
        <v>500</v>
      </c>
      <c r="N23" s="10" t="n"/>
      <c r="O23" s="10" t="n">
        <v>500</v>
      </c>
      <c r="P23" s="10" t="n">
        <v>500</v>
      </c>
      <c r="Q23" s="11" t="n"/>
      <c r="R23" s="11" t="n">
        <v>500</v>
      </c>
      <c r="S23" s="11" t="n">
        <v>500</v>
      </c>
      <c r="T23" s="10" t="n"/>
      <c r="U23" s="10" t="n">
        <v>500</v>
      </c>
      <c r="V23" s="10" t="n">
        <v>500</v>
      </c>
      <c r="W23" s="11" t="n"/>
      <c r="X23" s="11" t="n">
        <v>500</v>
      </c>
      <c r="Y23" s="11" t="n">
        <v>500</v>
      </c>
      <c r="Z23" s="10" t="n"/>
      <c r="AA23" s="10" t="n">
        <v>500</v>
      </c>
      <c r="AB23" s="10" t="n">
        <v>500</v>
      </c>
      <c r="AC23" s="11" t="n"/>
      <c r="AD23" s="11" t="n">
        <v>500</v>
      </c>
      <c r="AE23" s="11" t="n">
        <v>500</v>
      </c>
      <c r="AF23" s="10" t="n"/>
      <c r="AG23" s="10" t="n">
        <v>500</v>
      </c>
      <c r="AH23" s="10" t="n">
        <v>500</v>
      </c>
      <c r="AI23" s="11" t="n"/>
      <c r="AJ23" s="11" t="n">
        <v>500</v>
      </c>
      <c r="AK23" s="11" t="n">
        <v>500</v>
      </c>
      <c r="AL23" s="10" t="n"/>
      <c r="AM23" s="10" t="n">
        <v>500</v>
      </c>
      <c r="AN23" s="10" t="n">
        <v>500</v>
      </c>
      <c r="AO23" s="11" t="n"/>
      <c r="AP23" s="11" t="n">
        <v>500</v>
      </c>
      <c r="AQ23" s="11" t="n">
        <v>500</v>
      </c>
      <c r="AR23" s="10" t="n"/>
      <c r="AS23" s="10" t="n">
        <v>500</v>
      </c>
      <c r="AT23" s="10" t="n">
        <v>500</v>
      </c>
      <c r="AU23" s="11" t="n"/>
      <c r="AV23" s="11" t="n">
        <v>500</v>
      </c>
      <c r="AW23" s="11" t="n">
        <v>500</v>
      </c>
      <c r="AX23" s="10" t="n"/>
      <c r="AY23" s="10" t="n">
        <v>500</v>
      </c>
      <c r="AZ23" s="10" t="n">
        <v>500</v>
      </c>
      <c r="BA23" s="11" t="n"/>
      <c r="BB23" s="11" t="n">
        <v>500</v>
      </c>
      <c r="BC23" s="11" t="n">
        <v>500</v>
      </c>
      <c r="BD23" s="10" t="n"/>
      <c r="BE23" s="10" t="n">
        <v>500</v>
      </c>
      <c r="BF23" s="10" t="n">
        <v>500</v>
      </c>
      <c r="BG23" s="11" t="n"/>
      <c r="BH23" s="11" t="n">
        <v>500</v>
      </c>
      <c r="BI23" s="11" t="n">
        <v>500</v>
      </c>
      <c r="BJ23" s="10" t="n"/>
      <c r="BK23" s="10" t="n">
        <v>500</v>
      </c>
      <c r="BL23" s="10" t="n">
        <v>500</v>
      </c>
      <c r="BM23" s="11" t="n"/>
      <c r="BN23" s="11" t="n">
        <v>500</v>
      </c>
      <c r="BO23" s="11" t="n">
        <v>500</v>
      </c>
      <c r="BP23" s="10" t="n"/>
      <c r="BQ23" s="10" t="n">
        <v>500</v>
      </c>
      <c r="BR23" s="10" t="n">
        <v>500</v>
      </c>
      <c r="BS23" s="11" t="n"/>
      <c r="BT23" s="11" t="n">
        <v>500</v>
      </c>
      <c r="BU23" s="11" t="n">
        <v>500</v>
      </c>
      <c r="BV23" s="10" t="n"/>
      <c r="BW23" s="10" t="n">
        <v>500</v>
      </c>
      <c r="BX23" s="10" t="n">
        <v>500</v>
      </c>
      <c r="BY23" s="11" t="n"/>
      <c r="BZ23" s="11" t="n">
        <v>500</v>
      </c>
      <c r="CA23" s="11" t="n">
        <v>500</v>
      </c>
      <c r="CB23" s="10" t="n"/>
      <c r="CC23" s="10" t="n">
        <v>500</v>
      </c>
      <c r="CD23" s="10" t="n">
        <v>500</v>
      </c>
      <c r="CE23" s="11" t="n"/>
      <c r="CF23" s="11" t="n">
        <v>500</v>
      </c>
      <c r="CG23" s="11" t="n">
        <v>500</v>
      </c>
      <c r="CH23" s="10" t="n"/>
      <c r="CI23" s="10" t="n">
        <v>500</v>
      </c>
      <c r="CJ23" s="10" t="n">
        <v>500</v>
      </c>
      <c r="CK23" s="11" t="n"/>
      <c r="CL23" s="11" t="n">
        <v>500</v>
      </c>
      <c r="CM23" s="11" t="n">
        <v>500</v>
      </c>
      <c r="CN23" s="10" t="n"/>
      <c r="CO23" s="10" t="n">
        <v>500</v>
      </c>
      <c r="CP23" s="10" t="n">
        <v>500</v>
      </c>
      <c r="CQ23" s="11" t="n"/>
      <c r="CR23" s="11" t="n">
        <v>500</v>
      </c>
      <c r="CS23" s="11" t="n">
        <v>500</v>
      </c>
      <c r="CT23" s="10" t="n"/>
      <c r="CU23" s="10" t="n">
        <v>500</v>
      </c>
      <c r="CV23" s="10" t="n">
        <v>500</v>
      </c>
      <c r="CW23" s="11" t="n"/>
      <c r="CX23" s="11" t="n">
        <v>500</v>
      </c>
      <c r="CY23" s="11" t="n">
        <v>500</v>
      </c>
      <c r="CZ23" s="10" t="n"/>
      <c r="DA23" s="10" t="n">
        <v>500</v>
      </c>
      <c r="DB23" s="10" t="n">
        <v>500</v>
      </c>
      <c r="DC23" s="11" t="n"/>
      <c r="DD23" s="11" t="n">
        <v>500</v>
      </c>
      <c r="DE23" s="11" t="n">
        <v>500</v>
      </c>
      <c r="DF23" s="10" t="n"/>
      <c r="DG23" s="10" t="n">
        <v>500</v>
      </c>
      <c r="DH23" s="10" t="n">
        <v>500</v>
      </c>
      <c r="DI23" s="11" t="n">
        <v>500</v>
      </c>
      <c r="DJ23" s="11" t="n">
        <v>500</v>
      </c>
      <c r="DK23" s="11" t="n">
        <v>500</v>
      </c>
      <c r="DL23" s="10" t="n">
        <v>500</v>
      </c>
      <c r="DM23" s="10" t="n">
        <v>500</v>
      </c>
      <c r="DN23" s="10" t="n">
        <v>500</v>
      </c>
    </row>
    <row r="24">
      <c r="A24" s="2" t="inlineStr">
        <is>
          <t>Software Subscriptions</t>
        </is>
      </c>
      <c r="B24" s="10">
        <f>IF(COUNT(AR24,AO24,AL24,AI24,AF24,AC24,Z24,W24,T24,Q24,N24,K24)=0,"",SUM(AR24,AO24,AL24,AI24,AF24,AC24,Z24,W24,T24,Q24,N24,K24))</f>
        <v/>
      </c>
      <c r="C24" s="10">
        <f>IF(COUNT(AS24,AP24,AM24,AJ24,AG24,AD24,AA24,X24,U24,R24,O24,L24)=0,"",SUM(AS24,AP24,AM24,AJ24,AG24,AD24,AA24,X24,U24,R24,O24,L24))</f>
        <v/>
      </c>
      <c r="D24" s="10">
        <f>IF(COUNT(AT24,AQ24,AN24,AK24,AH24,AE24,AB24,Y24,V24,S24,P24,M24)=0,"",SUM(AT24,AQ24,AN24,AK24,AH24,AE24,AB24,Y24,V24,S24,P24,M24))</f>
        <v/>
      </c>
      <c r="E24" s="11">
        <f>IF(COUNT(CB24,BY24,BV24,BS24,BP24,BM24,BJ24,BG24,BD24,BA24,AX24,AU24)=0,"",SUM(CB24,BY24,BV24,BS24,BP24,BM24,BJ24,BG24,BD24,BA24,AX24,AU24))</f>
        <v/>
      </c>
      <c r="F24" s="11">
        <f>IF(COUNT(CC24,BZ24,BW24,BT24,BQ24,BN24,BK24,BH24,BE24,BB24,AY24,AV24)=0,"",SUM(CC24,BZ24,BW24,BT24,BQ24,BN24,BK24,BH24,BE24,BB24,AY24,AV24))</f>
        <v/>
      </c>
      <c r="G24" s="11">
        <f>IF(COUNT(CD24,CA24,BX24,BU24,BR24,BO24,BL24,BI24,BF24,BC24,AZ24,AW24)=0,"",SUM(CD24,CA24,BX24,BU24,BR24,BO24,BL24,BI24,BF24,BC24,AZ24,AW24))</f>
        <v/>
      </c>
      <c r="H24" s="10">
        <f>IF(COUNT(DL24,DI24,DF24,DC24,CZ24,CW24,CT24,CQ24,CN24,CK24,CH24,CE24)=0,"",SUM(DL24,DI24,DF24,DC24,CZ24,CW24,CT24,CQ24,CN24,CK24,CH24,CE24))</f>
        <v/>
      </c>
      <c r="I24" s="10">
        <f>IF(COUNT(DM24,DJ24,DG24,DD24,DA24,CX24,CU24,CR24,CO24,CL24,CI24,CF24)=0,"",SUM(DM24,DJ24,DG24,DD24,DA24,CX24,CU24,CR24,CO24,CL24,CI24,CF24))</f>
        <v/>
      </c>
      <c r="J24" s="10">
        <f>IF(COUNT(DN24,DK24,DH24,DE24,DB24,CY24,CV24,CS24,CP24,CM24,CJ24,CG24)=0,"",SUM(DN24,DK24,DH24,DE24,DB24,CY24,CV24,CS24,CP24,CM24,CJ24,CG24))</f>
        <v/>
      </c>
      <c r="K24" s="11" t="n"/>
      <c r="L24" s="11" t="n">
        <v>4000</v>
      </c>
      <c r="M24" s="11" t="n">
        <v>4000</v>
      </c>
      <c r="N24" s="10" t="n"/>
      <c r="O24" s="10" t="n">
        <v>4000</v>
      </c>
      <c r="P24" s="10" t="n">
        <v>4000</v>
      </c>
      <c r="Q24" s="11" t="n"/>
      <c r="R24" s="11" t="n">
        <v>4000</v>
      </c>
      <c r="S24" s="11" t="n">
        <v>4000</v>
      </c>
      <c r="T24" s="10" t="n"/>
      <c r="U24" s="10" t="n">
        <v>4000</v>
      </c>
      <c r="V24" s="10" t="n">
        <v>4000</v>
      </c>
      <c r="W24" s="11" t="n"/>
      <c r="X24" s="11" t="n">
        <v>4000</v>
      </c>
      <c r="Y24" s="11" t="n">
        <v>4000</v>
      </c>
      <c r="Z24" s="10" t="n"/>
      <c r="AA24" s="10" t="n">
        <v>4000</v>
      </c>
      <c r="AB24" s="10" t="n">
        <v>4000</v>
      </c>
      <c r="AC24" s="11" t="n"/>
      <c r="AD24" s="11" t="n">
        <v>4000</v>
      </c>
      <c r="AE24" s="11" t="n">
        <v>4000</v>
      </c>
      <c r="AF24" s="10" t="n"/>
      <c r="AG24" s="10" t="n">
        <v>4000</v>
      </c>
      <c r="AH24" s="10" t="n">
        <v>4000</v>
      </c>
      <c r="AI24" s="11" t="n"/>
      <c r="AJ24" s="11" t="n">
        <v>4000</v>
      </c>
      <c r="AK24" s="11" t="n">
        <v>4000</v>
      </c>
      <c r="AL24" s="10" t="n"/>
      <c r="AM24" s="10" t="n">
        <v>4000</v>
      </c>
      <c r="AN24" s="10" t="n">
        <v>4000</v>
      </c>
      <c r="AO24" s="11" t="n"/>
      <c r="AP24" s="11" t="n">
        <v>4000</v>
      </c>
      <c r="AQ24" s="11" t="n">
        <v>4000</v>
      </c>
      <c r="AR24" s="10" t="n"/>
      <c r="AS24" s="10" t="n">
        <v>4000</v>
      </c>
      <c r="AT24" s="10" t="n">
        <v>4000</v>
      </c>
      <c r="AU24" s="11" t="n"/>
      <c r="AV24" s="11" t="n">
        <v>4000</v>
      </c>
      <c r="AW24" s="11" t="n">
        <v>4000</v>
      </c>
      <c r="AX24" s="10" t="n"/>
      <c r="AY24" s="10" t="n">
        <v>4000</v>
      </c>
      <c r="AZ24" s="10" t="n">
        <v>4000</v>
      </c>
      <c r="BA24" s="11" t="n"/>
      <c r="BB24" s="11" t="n">
        <v>4000</v>
      </c>
      <c r="BC24" s="11" t="n">
        <v>4000</v>
      </c>
      <c r="BD24" s="10" t="n"/>
      <c r="BE24" s="10" t="n">
        <v>4000</v>
      </c>
      <c r="BF24" s="10" t="n">
        <v>4000</v>
      </c>
      <c r="BG24" s="11" t="n"/>
      <c r="BH24" s="11" t="n">
        <v>4000</v>
      </c>
      <c r="BI24" s="11" t="n">
        <v>4000</v>
      </c>
      <c r="BJ24" s="10" t="n"/>
      <c r="BK24" s="10" t="n">
        <v>4000</v>
      </c>
      <c r="BL24" s="10" t="n">
        <v>4000</v>
      </c>
      <c r="BM24" s="11" t="n"/>
      <c r="BN24" s="11" t="n">
        <v>4000</v>
      </c>
      <c r="BO24" s="11" t="n">
        <v>4000</v>
      </c>
      <c r="BP24" s="10" t="n"/>
      <c r="BQ24" s="10" t="n">
        <v>4000</v>
      </c>
      <c r="BR24" s="10" t="n">
        <v>4000</v>
      </c>
      <c r="BS24" s="11" t="n"/>
      <c r="BT24" s="11" t="n">
        <v>4000</v>
      </c>
      <c r="BU24" s="11" t="n">
        <v>4000</v>
      </c>
      <c r="BV24" s="10" t="n"/>
      <c r="BW24" s="10" t="n">
        <v>4000</v>
      </c>
      <c r="BX24" s="10" t="n">
        <v>4000</v>
      </c>
      <c r="BY24" s="11" t="n"/>
      <c r="BZ24" s="11" t="n">
        <v>4000</v>
      </c>
      <c r="CA24" s="11" t="n">
        <v>4000</v>
      </c>
      <c r="CB24" s="10" t="n"/>
      <c r="CC24" s="10" t="n">
        <v>4000</v>
      </c>
      <c r="CD24" s="10" t="n">
        <v>4000</v>
      </c>
      <c r="CE24" s="11" t="n"/>
      <c r="CF24" s="11" t="n">
        <v>4000</v>
      </c>
      <c r="CG24" s="11" t="n">
        <v>4000</v>
      </c>
      <c r="CH24" s="10" t="n"/>
      <c r="CI24" s="10" t="n">
        <v>4000</v>
      </c>
      <c r="CJ24" s="10" t="n">
        <v>4000</v>
      </c>
      <c r="CK24" s="11" t="n"/>
      <c r="CL24" s="11" t="n">
        <v>4000</v>
      </c>
      <c r="CM24" s="11" t="n">
        <v>4000</v>
      </c>
      <c r="CN24" s="10" t="n"/>
      <c r="CO24" s="10" t="n">
        <v>4000</v>
      </c>
      <c r="CP24" s="10" t="n">
        <v>4000</v>
      </c>
      <c r="CQ24" s="11" t="n"/>
      <c r="CR24" s="11" t="n">
        <v>4000</v>
      </c>
      <c r="CS24" s="11" t="n">
        <v>4000</v>
      </c>
      <c r="CT24" s="10" t="n"/>
      <c r="CU24" s="10" t="n">
        <v>4000</v>
      </c>
      <c r="CV24" s="10" t="n">
        <v>4000</v>
      </c>
      <c r="CW24" s="11" t="n"/>
      <c r="CX24" s="11" t="n">
        <v>4000</v>
      </c>
      <c r="CY24" s="11" t="n">
        <v>4000</v>
      </c>
      <c r="CZ24" s="10" t="n"/>
      <c r="DA24" s="10" t="n">
        <v>4000</v>
      </c>
      <c r="DB24" s="10" t="n">
        <v>4000</v>
      </c>
      <c r="DC24" s="11" t="n"/>
      <c r="DD24" s="11" t="n">
        <v>4000</v>
      </c>
      <c r="DE24" s="11" t="n">
        <v>4000</v>
      </c>
      <c r="DF24" s="10" t="n"/>
      <c r="DG24" s="10" t="n">
        <v>4000</v>
      </c>
      <c r="DH24" s="10" t="n">
        <v>4000</v>
      </c>
      <c r="DI24" s="11" t="n">
        <v>4000</v>
      </c>
      <c r="DJ24" s="11" t="n">
        <v>4000</v>
      </c>
      <c r="DK24" s="11" t="n">
        <v>4000</v>
      </c>
      <c r="DL24" s="10" t="n">
        <v>4000</v>
      </c>
      <c r="DM24" s="10" t="n">
        <v>4000</v>
      </c>
      <c r="DN24" s="10" t="n">
        <v>4000</v>
      </c>
    </row>
    <row r="25">
      <c r="A25" s="2" t="inlineStr">
        <is>
          <t>Dues and Subscriptions</t>
        </is>
      </c>
      <c r="B25" s="10">
        <f>IF(COUNT(AR25,AO25,AL25,AI25,AF25,AC25,Z25,W25,T25,Q25,N25,K25)=0,"",SUM(AR25,AO25,AL25,AI25,AF25,AC25,Z25,W25,T25,Q25,N25,K25))</f>
        <v/>
      </c>
      <c r="C25" s="10">
        <f>IF(COUNT(AS25,AP25,AM25,AJ25,AG25,AD25,AA25,X25,U25,R25,O25,L25)=0,"",SUM(AS25,AP25,AM25,AJ25,AG25,AD25,AA25,X25,U25,R25,O25,L25))</f>
        <v/>
      </c>
      <c r="D25" s="10">
        <f>IF(COUNT(AT25,AQ25,AN25,AK25,AH25,AE25,AB25,Y25,V25,S25,P25,M25)=0,"",SUM(AT25,AQ25,AN25,AK25,AH25,AE25,AB25,Y25,V25,S25,P25,M25))</f>
        <v/>
      </c>
      <c r="E25" s="11">
        <f>IF(COUNT(CB25,BY25,BV25,BS25,BP25,BM25,BJ25,BG25,BD25,BA25,AX25,AU25)=0,"",SUM(CB25,BY25,BV25,BS25,BP25,BM25,BJ25,BG25,BD25,BA25,AX25,AU25))</f>
        <v/>
      </c>
      <c r="F25" s="11">
        <f>IF(COUNT(CC25,BZ25,BW25,BT25,BQ25,BN25,BK25,BH25,BE25,BB25,AY25,AV25)=0,"",SUM(CC25,BZ25,BW25,BT25,BQ25,BN25,BK25,BH25,BE25,BB25,AY25,AV25))</f>
        <v/>
      </c>
      <c r="G25" s="11">
        <f>IF(COUNT(CD25,CA25,BX25,BU25,BR25,BO25,BL25,BI25,BF25,BC25,AZ25,AW25)=0,"",SUM(CD25,CA25,BX25,BU25,BR25,BO25,BL25,BI25,BF25,BC25,AZ25,AW25))</f>
        <v/>
      </c>
      <c r="H25" s="10">
        <f>IF(COUNT(DL25,DI25,DF25,DC25,CZ25,CW25,CT25,CQ25,CN25,CK25,CH25,CE25)=0,"",SUM(DL25,DI25,DF25,DC25,CZ25,CW25,CT25,CQ25,CN25,CK25,CH25,CE25))</f>
        <v/>
      </c>
      <c r="I25" s="10">
        <f>IF(COUNT(DM25,DJ25,DG25,DD25,DA25,CX25,CU25,CR25,CO25,CL25,CI25,CF25)=0,"",SUM(DM25,DJ25,DG25,DD25,DA25,CX25,CU25,CR25,CO25,CL25,CI25,CF25))</f>
        <v/>
      </c>
      <c r="J25" s="10">
        <f>IF(COUNT(DN25,DK25,DH25,DE25,DB25,CY25,CV25,CS25,CP25,CM25,CJ25,CG25)=0,"",SUM(DN25,DK25,DH25,DE25,DB25,CY25,CV25,CS25,CP25,CM25,CJ25,CG25))</f>
        <v/>
      </c>
      <c r="K25" s="11" t="n"/>
      <c r="L25" s="11" t="n">
        <v>1000</v>
      </c>
      <c r="M25" s="11" t="n">
        <v>1000</v>
      </c>
      <c r="N25" s="10" t="n"/>
      <c r="O25" s="10" t="n">
        <v>1000</v>
      </c>
      <c r="P25" s="10" t="n">
        <v>1000</v>
      </c>
      <c r="Q25" s="11" t="n"/>
      <c r="R25" s="11" t="n">
        <v>1000</v>
      </c>
      <c r="S25" s="11" t="n">
        <v>1000</v>
      </c>
      <c r="T25" s="10" t="n"/>
      <c r="U25" s="10" t="n">
        <v>1000</v>
      </c>
      <c r="V25" s="10" t="n">
        <v>1000</v>
      </c>
      <c r="W25" s="11" t="n"/>
      <c r="X25" s="11" t="n">
        <v>1000</v>
      </c>
      <c r="Y25" s="11" t="n">
        <v>1000</v>
      </c>
      <c r="Z25" s="10" t="n"/>
      <c r="AA25" s="10" t="n">
        <v>1000</v>
      </c>
      <c r="AB25" s="10" t="n">
        <v>1000</v>
      </c>
      <c r="AC25" s="11" t="n"/>
      <c r="AD25" s="11" t="n">
        <v>1000</v>
      </c>
      <c r="AE25" s="11" t="n">
        <v>1000</v>
      </c>
      <c r="AF25" s="10" t="n"/>
      <c r="AG25" s="10" t="n">
        <v>1000</v>
      </c>
      <c r="AH25" s="10" t="n">
        <v>1000</v>
      </c>
      <c r="AI25" s="11" t="n"/>
      <c r="AJ25" s="11" t="n">
        <v>1000</v>
      </c>
      <c r="AK25" s="11" t="n">
        <v>1000</v>
      </c>
      <c r="AL25" s="10" t="n"/>
      <c r="AM25" s="10" t="n">
        <v>1000</v>
      </c>
      <c r="AN25" s="10" t="n">
        <v>1000</v>
      </c>
      <c r="AO25" s="11" t="n"/>
      <c r="AP25" s="11" t="n">
        <v>1000</v>
      </c>
      <c r="AQ25" s="11" t="n">
        <v>1000</v>
      </c>
      <c r="AR25" s="10" t="n"/>
      <c r="AS25" s="10" t="n">
        <v>1000</v>
      </c>
      <c r="AT25" s="10" t="n">
        <v>1000</v>
      </c>
      <c r="AU25" s="11" t="n"/>
      <c r="AV25" s="11" t="n">
        <v>1000</v>
      </c>
      <c r="AW25" s="11" t="n">
        <v>1000</v>
      </c>
      <c r="AX25" s="10" t="n"/>
      <c r="AY25" s="10" t="n">
        <v>1000</v>
      </c>
      <c r="AZ25" s="10" t="n">
        <v>1000</v>
      </c>
      <c r="BA25" s="11" t="n"/>
      <c r="BB25" s="11" t="n">
        <v>1000</v>
      </c>
      <c r="BC25" s="11" t="n">
        <v>1000</v>
      </c>
      <c r="BD25" s="10" t="n"/>
      <c r="BE25" s="10" t="n">
        <v>1000</v>
      </c>
      <c r="BF25" s="10" t="n">
        <v>1000</v>
      </c>
      <c r="BG25" s="11" t="n"/>
      <c r="BH25" s="11" t="n">
        <v>1000</v>
      </c>
      <c r="BI25" s="11" t="n">
        <v>1000</v>
      </c>
      <c r="BJ25" s="10" t="n"/>
      <c r="BK25" s="10" t="n">
        <v>1000</v>
      </c>
      <c r="BL25" s="10" t="n">
        <v>1000</v>
      </c>
      <c r="BM25" s="11" t="n"/>
      <c r="BN25" s="11" t="n">
        <v>1000</v>
      </c>
      <c r="BO25" s="11" t="n">
        <v>1000</v>
      </c>
      <c r="BP25" s="10" t="n"/>
      <c r="BQ25" s="10" t="n">
        <v>1000</v>
      </c>
      <c r="BR25" s="10" t="n">
        <v>1000</v>
      </c>
      <c r="BS25" s="11" t="n"/>
      <c r="BT25" s="11" t="n">
        <v>1000</v>
      </c>
      <c r="BU25" s="11" t="n">
        <v>1000</v>
      </c>
      <c r="BV25" s="10" t="n"/>
      <c r="BW25" s="10" t="n">
        <v>1000</v>
      </c>
      <c r="BX25" s="10" t="n">
        <v>1000</v>
      </c>
      <c r="BY25" s="11" t="n"/>
      <c r="BZ25" s="11" t="n">
        <v>1000</v>
      </c>
      <c r="CA25" s="11" t="n">
        <v>1000</v>
      </c>
      <c r="CB25" s="10" t="n"/>
      <c r="CC25" s="10" t="n">
        <v>1000</v>
      </c>
      <c r="CD25" s="10" t="n">
        <v>1000</v>
      </c>
      <c r="CE25" s="11" t="n"/>
      <c r="CF25" s="11" t="n">
        <v>1000</v>
      </c>
      <c r="CG25" s="11" t="n">
        <v>1000</v>
      </c>
      <c r="CH25" s="10" t="n"/>
      <c r="CI25" s="10" t="n">
        <v>1000</v>
      </c>
      <c r="CJ25" s="10" t="n">
        <v>1000</v>
      </c>
      <c r="CK25" s="11" t="n"/>
      <c r="CL25" s="11" t="n">
        <v>1000</v>
      </c>
      <c r="CM25" s="11" t="n">
        <v>1000</v>
      </c>
      <c r="CN25" s="10" t="n"/>
      <c r="CO25" s="10" t="n">
        <v>1000</v>
      </c>
      <c r="CP25" s="10" t="n">
        <v>1000</v>
      </c>
      <c r="CQ25" s="11" t="n"/>
      <c r="CR25" s="11" t="n">
        <v>1000</v>
      </c>
      <c r="CS25" s="11" t="n">
        <v>1000</v>
      </c>
      <c r="CT25" s="10" t="n"/>
      <c r="CU25" s="10" t="n">
        <v>1000</v>
      </c>
      <c r="CV25" s="10" t="n">
        <v>1000</v>
      </c>
      <c r="CW25" s="11" t="n"/>
      <c r="CX25" s="11" t="n">
        <v>1000</v>
      </c>
      <c r="CY25" s="11" t="n">
        <v>1000</v>
      </c>
      <c r="CZ25" s="10" t="n"/>
      <c r="DA25" s="10" t="n">
        <v>1000</v>
      </c>
      <c r="DB25" s="10" t="n">
        <v>1000</v>
      </c>
      <c r="DC25" s="11" t="n"/>
      <c r="DD25" s="11" t="n">
        <v>1000</v>
      </c>
      <c r="DE25" s="11" t="n">
        <v>1000</v>
      </c>
      <c r="DF25" s="10" t="n"/>
      <c r="DG25" s="10" t="n">
        <v>1000</v>
      </c>
      <c r="DH25" s="10" t="n">
        <v>1000</v>
      </c>
      <c r="DI25" s="11" t="n">
        <v>1000</v>
      </c>
      <c r="DJ25" s="11" t="n">
        <v>1000</v>
      </c>
      <c r="DK25" s="11" t="n">
        <v>1000</v>
      </c>
      <c r="DL25" s="10" t="n">
        <v>1000</v>
      </c>
      <c r="DM25" s="10" t="n">
        <v>1000</v>
      </c>
      <c r="DN25" s="10" t="n">
        <v>1000</v>
      </c>
    </row>
    <row r="26">
      <c r="A26" s="2" t="inlineStr">
        <is>
          <t>Travel, Meals and Entertainment</t>
        </is>
      </c>
      <c r="B26" s="10">
        <f>IF(COUNT(AR26,AO26,AL26,AI26,AF26,AC26,Z26,W26,T26,Q26,N26,K26)=0,"",SUM(AR26,AO26,AL26,AI26,AF26,AC26,Z26,W26,T26,Q26,N26,K26))</f>
        <v/>
      </c>
      <c r="C26" s="10">
        <f>IF(COUNT(AS26,AP26,AM26,AJ26,AG26,AD26,AA26,X26,U26,R26,O26,L26)=0,"",SUM(AS26,AP26,AM26,AJ26,AG26,AD26,AA26,X26,U26,R26,O26,L26))</f>
        <v/>
      </c>
      <c r="D26" s="10">
        <f>IF(COUNT(AT26,AQ26,AN26,AK26,AH26,AE26,AB26,Y26,V26,S26,P26,M26)=0,"",SUM(AT26,AQ26,AN26,AK26,AH26,AE26,AB26,Y26,V26,S26,P26,M26))</f>
        <v/>
      </c>
      <c r="E26" s="11">
        <f>IF(COUNT(CB26,BY26,BV26,BS26,BP26,BM26,BJ26,BG26,BD26,BA26,AX26,AU26)=0,"",SUM(CB26,BY26,BV26,BS26,BP26,BM26,BJ26,BG26,BD26,BA26,AX26,AU26))</f>
        <v/>
      </c>
      <c r="F26" s="11">
        <f>IF(COUNT(CC26,BZ26,BW26,BT26,BQ26,BN26,BK26,BH26,BE26,BB26,AY26,AV26)=0,"",SUM(CC26,BZ26,BW26,BT26,BQ26,BN26,BK26,BH26,BE26,BB26,AY26,AV26))</f>
        <v/>
      </c>
      <c r="G26" s="11">
        <f>IF(COUNT(CD26,CA26,BX26,BU26,BR26,BO26,BL26,BI26,BF26,BC26,AZ26,AW26)=0,"",SUM(CD26,CA26,BX26,BU26,BR26,BO26,BL26,BI26,BF26,BC26,AZ26,AW26))</f>
        <v/>
      </c>
      <c r="H26" s="10">
        <f>IF(COUNT(DL26,DI26,DF26,DC26,CZ26,CW26,CT26,CQ26,CN26,CK26,CH26,CE26)=0,"",SUM(DL26,DI26,DF26,DC26,CZ26,CW26,CT26,CQ26,CN26,CK26,CH26,CE26))</f>
        <v/>
      </c>
      <c r="I26" s="10">
        <f>IF(COUNT(DM26,DJ26,DG26,DD26,DA26,CX26,CU26,CR26,CO26,CL26,CI26,CF26)=0,"",SUM(DM26,DJ26,DG26,DD26,DA26,CX26,CU26,CR26,CO26,CL26,CI26,CF26))</f>
        <v/>
      </c>
      <c r="J26" s="10">
        <f>IF(COUNT(DN26,DK26,DH26,DE26,DB26,CY26,CV26,CS26,CP26,CM26,CJ26,CG26)=0,"",SUM(DN26,DK26,DH26,DE26,DB26,CY26,CV26,CS26,CP26,CM26,CJ26,CG26))</f>
        <v/>
      </c>
      <c r="K26" s="11" t="n"/>
      <c r="L26" s="11" t="n">
        <v>2000</v>
      </c>
      <c r="M26" s="11" t="n">
        <v>2000</v>
      </c>
      <c r="N26" s="10" t="n"/>
      <c r="O26" s="10" t="n">
        <v>2000</v>
      </c>
      <c r="P26" s="10" t="n">
        <v>2000</v>
      </c>
      <c r="Q26" s="11" t="n"/>
      <c r="R26" s="11" t="n">
        <v>2000</v>
      </c>
      <c r="S26" s="11" t="n">
        <v>2000</v>
      </c>
      <c r="T26" s="10" t="n"/>
      <c r="U26" s="10" t="n">
        <v>2000</v>
      </c>
      <c r="V26" s="10" t="n">
        <v>2000</v>
      </c>
      <c r="W26" s="11" t="n"/>
      <c r="X26" s="11" t="n">
        <v>2000</v>
      </c>
      <c r="Y26" s="11" t="n">
        <v>2000</v>
      </c>
      <c r="Z26" s="10" t="n"/>
      <c r="AA26" s="10" t="n">
        <v>2000</v>
      </c>
      <c r="AB26" s="10" t="n">
        <v>2000</v>
      </c>
      <c r="AC26" s="11" t="n"/>
      <c r="AD26" s="11" t="n">
        <v>2000</v>
      </c>
      <c r="AE26" s="11" t="n">
        <v>2000</v>
      </c>
      <c r="AF26" s="10" t="n"/>
      <c r="AG26" s="10" t="n">
        <v>2000</v>
      </c>
      <c r="AH26" s="10" t="n">
        <v>2000</v>
      </c>
      <c r="AI26" s="11" t="n"/>
      <c r="AJ26" s="11" t="n">
        <v>2000</v>
      </c>
      <c r="AK26" s="11" t="n">
        <v>2000</v>
      </c>
      <c r="AL26" s="10" t="n"/>
      <c r="AM26" s="10" t="n">
        <v>2000</v>
      </c>
      <c r="AN26" s="10" t="n">
        <v>2000</v>
      </c>
      <c r="AO26" s="11" t="n"/>
      <c r="AP26" s="11" t="n">
        <v>2000</v>
      </c>
      <c r="AQ26" s="11" t="n">
        <v>2000</v>
      </c>
      <c r="AR26" s="10" t="n"/>
      <c r="AS26" s="10" t="n">
        <v>2000</v>
      </c>
      <c r="AT26" s="10" t="n">
        <v>2000</v>
      </c>
      <c r="AU26" s="11" t="n"/>
      <c r="AV26" s="11" t="n">
        <v>2000</v>
      </c>
      <c r="AW26" s="11" t="n">
        <v>2000</v>
      </c>
      <c r="AX26" s="10" t="n"/>
      <c r="AY26" s="10" t="n">
        <v>2000</v>
      </c>
      <c r="AZ26" s="10" t="n">
        <v>2000</v>
      </c>
      <c r="BA26" s="11" t="n"/>
      <c r="BB26" s="11" t="n">
        <v>2000</v>
      </c>
      <c r="BC26" s="11" t="n">
        <v>2000</v>
      </c>
      <c r="BD26" s="10" t="n"/>
      <c r="BE26" s="10" t="n">
        <v>2000</v>
      </c>
      <c r="BF26" s="10" t="n">
        <v>2000</v>
      </c>
      <c r="BG26" s="11" t="n"/>
      <c r="BH26" s="11" t="n">
        <v>2000</v>
      </c>
      <c r="BI26" s="11" t="n">
        <v>2000</v>
      </c>
      <c r="BJ26" s="10" t="n"/>
      <c r="BK26" s="10" t="n">
        <v>2000</v>
      </c>
      <c r="BL26" s="10" t="n">
        <v>2000</v>
      </c>
      <c r="BM26" s="11" t="n"/>
      <c r="BN26" s="11" t="n">
        <v>2000</v>
      </c>
      <c r="BO26" s="11" t="n">
        <v>2000</v>
      </c>
      <c r="BP26" s="10" t="n"/>
      <c r="BQ26" s="10" t="n">
        <v>2000</v>
      </c>
      <c r="BR26" s="10" t="n">
        <v>2000</v>
      </c>
      <c r="BS26" s="11" t="n"/>
      <c r="BT26" s="11" t="n">
        <v>2000</v>
      </c>
      <c r="BU26" s="11" t="n">
        <v>2000</v>
      </c>
      <c r="BV26" s="10" t="n"/>
      <c r="BW26" s="10" t="n">
        <v>2000</v>
      </c>
      <c r="BX26" s="10" t="n">
        <v>2000</v>
      </c>
      <c r="BY26" s="11" t="n"/>
      <c r="BZ26" s="11" t="n">
        <v>2000</v>
      </c>
      <c r="CA26" s="11" t="n">
        <v>2000</v>
      </c>
      <c r="CB26" s="10" t="n"/>
      <c r="CC26" s="10" t="n">
        <v>2000</v>
      </c>
      <c r="CD26" s="10" t="n">
        <v>2000</v>
      </c>
      <c r="CE26" s="11" t="n"/>
      <c r="CF26" s="11" t="n">
        <v>2000</v>
      </c>
      <c r="CG26" s="11" t="n">
        <v>2000</v>
      </c>
      <c r="CH26" s="10" t="n"/>
      <c r="CI26" s="10" t="n">
        <v>2000</v>
      </c>
      <c r="CJ26" s="10" t="n">
        <v>2000</v>
      </c>
      <c r="CK26" s="11" t="n"/>
      <c r="CL26" s="11" t="n">
        <v>2000</v>
      </c>
      <c r="CM26" s="11" t="n">
        <v>2000</v>
      </c>
      <c r="CN26" s="10" t="n"/>
      <c r="CO26" s="10" t="n">
        <v>2000</v>
      </c>
      <c r="CP26" s="10" t="n">
        <v>2000</v>
      </c>
      <c r="CQ26" s="11" t="n"/>
      <c r="CR26" s="11" t="n">
        <v>2000</v>
      </c>
      <c r="CS26" s="11" t="n">
        <v>2000</v>
      </c>
      <c r="CT26" s="10" t="n"/>
      <c r="CU26" s="10" t="n">
        <v>2000</v>
      </c>
      <c r="CV26" s="10" t="n">
        <v>2000</v>
      </c>
      <c r="CW26" s="11" t="n"/>
      <c r="CX26" s="11" t="n">
        <v>2000</v>
      </c>
      <c r="CY26" s="11" t="n">
        <v>2000</v>
      </c>
      <c r="CZ26" s="10" t="n"/>
      <c r="DA26" s="10" t="n">
        <v>2000</v>
      </c>
      <c r="DB26" s="10" t="n">
        <v>2000</v>
      </c>
      <c r="DC26" s="11" t="n"/>
      <c r="DD26" s="11" t="n">
        <v>2000</v>
      </c>
      <c r="DE26" s="11" t="n">
        <v>2000</v>
      </c>
      <c r="DF26" s="10" t="n"/>
      <c r="DG26" s="10" t="n">
        <v>2000</v>
      </c>
      <c r="DH26" s="10" t="n">
        <v>2000</v>
      </c>
      <c r="DI26" s="11" t="n">
        <v>2000</v>
      </c>
      <c r="DJ26" s="11" t="n">
        <v>2000</v>
      </c>
      <c r="DK26" s="11" t="n">
        <v>2000</v>
      </c>
      <c r="DL26" s="10" t="n">
        <v>2000</v>
      </c>
      <c r="DM26" s="10" t="n">
        <v>2000</v>
      </c>
      <c r="DN26" s="10" t="n">
        <v>2000</v>
      </c>
    </row>
    <row r="27">
      <c r="A27" s="12" t="inlineStr">
        <is>
          <t>Total Standard Department Cost</t>
        </is>
      </c>
      <c r="B27" s="13">
        <f>IF(COUNT(AR27,AO27,AL27,AI27,AF27,AC27,Z27,W27,T27,Q27,N27,K27)=0,"",SUM(AR27,AO27,AL27,AI27,AF27,AC27,Z27,W27,T27,Q27,N27,K27))</f>
        <v/>
      </c>
      <c r="C27" s="13">
        <f>IF(COUNT(AS27,AP27,AM27,AJ27,AG27,AD27,AA27,X27,U27,R27,O27,L27)=0,"",SUM(AS27,AP27,AM27,AJ27,AG27,AD27,AA27,X27,U27,R27,O27,L27))</f>
        <v/>
      </c>
      <c r="D27" s="13">
        <f>IF(COUNT(AT27,AQ27,AN27,AK27,AH27,AE27,AB27,Y27,V27,S27,P27,M27)=0,"",SUM(AT27,AQ27,AN27,AK27,AH27,AE27,AB27,Y27,V27,S27,P27,M27))</f>
        <v/>
      </c>
      <c r="E27" s="14">
        <f>IF(COUNT(CB27,BY27,BV27,BS27,BP27,BM27,BJ27,BG27,BD27,BA27,AX27,AU27)=0,"",SUM(CB27,BY27,BV27,BS27,BP27,BM27,BJ27,BG27,BD27,BA27,AX27,AU27))</f>
        <v/>
      </c>
      <c r="F27" s="14">
        <f>IF(COUNT(CC27,BZ27,BW27,BT27,BQ27,BN27,BK27,BH27,BE27,BB27,AY27,AV27)=0,"",SUM(CC27,BZ27,BW27,BT27,BQ27,BN27,BK27,BH27,BE27,BB27,AY27,AV27))</f>
        <v/>
      </c>
      <c r="G27" s="14">
        <f>IF(COUNT(CD27,CA27,BX27,BU27,BR27,BO27,BL27,BI27,BF27,BC27,AZ27,AW27)=0,"",SUM(CD27,CA27,BX27,BU27,BR27,BO27,BL27,BI27,BF27,BC27,AZ27,AW27))</f>
        <v/>
      </c>
      <c r="H27" s="13">
        <f>IF(COUNT(DL27,DI27,DF27,DC27,CZ27,CW27,CT27,CQ27,CN27,CK27,CH27,CE27)=0,"",SUM(DL27,DI27,DF27,DC27,CZ27,CW27,CT27,CQ27,CN27,CK27,CH27,CE27))</f>
        <v/>
      </c>
      <c r="I27" s="13">
        <f>IF(COUNT(DM27,DJ27,DG27,DD27,DA27,CX27,CU27,CR27,CO27,CL27,CI27,CF27)=0,"",SUM(DM27,DJ27,DG27,DD27,DA27,CX27,CU27,CR27,CO27,CL27,CI27,CF27))</f>
        <v/>
      </c>
      <c r="J27" s="13">
        <f>IF(COUNT(DN27,DK27,DH27,DE27,DB27,CY27,CV27,CS27,CP27,CM27,CJ27,CG27)=0,"",SUM(DN27,DK27,DH27,DE27,DB27,CY27,CV27,CS27,CP27,CM27,CJ27,CG27))</f>
        <v/>
      </c>
      <c r="K27" s="14">
        <f>IF(COUNT(K18,K19,K20,K21,K22,K23,K24,K25,K26)=0,"",SUM(K18:K26))</f>
        <v/>
      </c>
      <c r="L27" s="14">
        <f>SUM(L18:L26)</f>
        <v/>
      </c>
      <c r="M27" s="14">
        <f>SUM(M18:M26)</f>
        <v/>
      </c>
      <c r="N27" s="13">
        <f>IF(COUNT(N18,N19,N20,N21,N22,N23,N24,N25,N26)=0,"",SUM(N18:N26))</f>
        <v/>
      </c>
      <c r="O27" s="13">
        <f>SUM(O18:O26)</f>
        <v/>
      </c>
      <c r="P27" s="13">
        <f>SUM(P18:P26)</f>
        <v/>
      </c>
      <c r="Q27" s="14">
        <f>IF(COUNT(Q18,Q19,Q20,Q21,Q22,Q23,Q24,Q25,Q26)=0,"",SUM(Q18:Q26))</f>
        <v/>
      </c>
      <c r="R27" s="14">
        <f>SUM(R18:R26)</f>
        <v/>
      </c>
      <c r="S27" s="14">
        <f>SUM(S18:S26)</f>
        <v/>
      </c>
      <c r="T27" s="13">
        <f>IF(COUNT(T18,T19,T20,T21,T22,T23,T24,T25,T26)=0,"",SUM(T18:T26))</f>
        <v/>
      </c>
      <c r="U27" s="13">
        <f>SUM(U18:U26)</f>
        <v/>
      </c>
      <c r="V27" s="13">
        <f>SUM(V18:V26)</f>
        <v/>
      </c>
      <c r="W27" s="14">
        <f>IF(COUNT(W18,W19,W20,W21,W22,W23,W24,W25,W26)=0,"",SUM(W18:W26))</f>
        <v/>
      </c>
      <c r="X27" s="14">
        <f>SUM(X18:X26)</f>
        <v/>
      </c>
      <c r="Y27" s="14">
        <f>SUM(Y18:Y26)</f>
        <v/>
      </c>
      <c r="Z27" s="13">
        <f>IF(COUNT(Z18,Z19,Z20,Z21,Z22,Z23,Z24,Z25,Z26)=0,"",SUM(Z18:Z26))</f>
        <v/>
      </c>
      <c r="AA27" s="13">
        <f>SUM(AA18:AA26)</f>
        <v/>
      </c>
      <c r="AB27" s="13">
        <f>SUM(AB18:AB26)</f>
        <v/>
      </c>
      <c r="AC27" s="14">
        <f>IF(COUNT(AC18,AC19,AC20,AC21,AC22,AC23,AC24,AC25,AC26)=0,"",SUM(AC18:AC26))</f>
        <v/>
      </c>
      <c r="AD27" s="14">
        <f>SUM(AD18:AD26)</f>
        <v/>
      </c>
      <c r="AE27" s="14">
        <f>SUM(AE18:AE26)</f>
        <v/>
      </c>
      <c r="AF27" s="13">
        <f>IF(COUNT(AF18,AF19,AF20,AF21,AF22,AF23,AF24,AF25,AF26)=0,"",SUM(AF18:AF26))</f>
        <v/>
      </c>
      <c r="AG27" s="13">
        <f>SUM(AG18:AG26)</f>
        <v/>
      </c>
      <c r="AH27" s="13">
        <f>SUM(AH18:AH26)</f>
        <v/>
      </c>
      <c r="AI27" s="14">
        <f>IF(COUNT(AI18,AI19,AI20,AI21,AI22,AI23,AI24,AI25,AI26)=0,"",SUM(AI18:AI26))</f>
        <v/>
      </c>
      <c r="AJ27" s="14">
        <f>SUM(AJ18:AJ26)</f>
        <v/>
      </c>
      <c r="AK27" s="14">
        <f>SUM(AK18:AK26)</f>
        <v/>
      </c>
      <c r="AL27" s="13">
        <f>IF(COUNT(AL18,AL19,AL20,AL21,AL22,AL23,AL24,AL25,AL26)=0,"",SUM(AL18:AL26))</f>
        <v/>
      </c>
      <c r="AM27" s="13">
        <f>SUM(AM18:AM26)</f>
        <v/>
      </c>
      <c r="AN27" s="13">
        <f>SUM(AN18:AN26)</f>
        <v/>
      </c>
      <c r="AO27" s="14">
        <f>IF(COUNT(AO18,AO19,AO20,AO21,AO22,AO23,AO24,AO25,AO26)=0,"",SUM(AO18:AO26))</f>
        <v/>
      </c>
      <c r="AP27" s="14">
        <f>SUM(AP18:AP26)</f>
        <v/>
      </c>
      <c r="AQ27" s="14">
        <f>SUM(AQ18:AQ26)</f>
        <v/>
      </c>
      <c r="AR27" s="13">
        <f>IF(COUNT(AR18,AR19,AR20,AR21,AR22,AR23,AR24,AR25,AR26)=0,"",SUM(AR18:AR26))</f>
        <v/>
      </c>
      <c r="AS27" s="13">
        <f>SUM(AS18:AS26)</f>
        <v/>
      </c>
      <c r="AT27" s="13">
        <f>SUM(AT18:AT26)</f>
        <v/>
      </c>
      <c r="AU27" s="14">
        <f>IF(COUNT(AU18,AU19,AU20,AU21,AU22,AU23,AU24,AU25,AU26)=0,"",SUM(AU18:AU26))</f>
        <v/>
      </c>
      <c r="AV27" s="14">
        <f>SUM(AV18:AV26)</f>
        <v/>
      </c>
      <c r="AW27" s="14">
        <f>SUM(AW18:AW26)</f>
        <v/>
      </c>
      <c r="AX27" s="13">
        <f>IF(COUNT(AX18,AX19,AX20,AX21,AX22,AX23,AX24,AX25,AX26)=0,"",SUM(AX18:AX26))</f>
        <v/>
      </c>
      <c r="AY27" s="13">
        <f>SUM(AY18:AY26)</f>
        <v/>
      </c>
      <c r="AZ27" s="13">
        <f>SUM(AZ18:AZ26)</f>
        <v/>
      </c>
      <c r="BA27" s="14">
        <f>IF(COUNT(BA18,BA19,BA20,BA21,BA22,BA23,BA24,BA25,BA26)=0,"",SUM(BA18:BA26))</f>
        <v/>
      </c>
      <c r="BB27" s="14">
        <f>SUM(BB18:BB26)</f>
        <v/>
      </c>
      <c r="BC27" s="14">
        <f>SUM(BC18:BC26)</f>
        <v/>
      </c>
      <c r="BD27" s="13">
        <f>IF(COUNT(BD18,BD19,BD20,BD21,BD22,BD23,BD24,BD25,BD26)=0,"",SUM(BD18:BD26))</f>
        <v/>
      </c>
      <c r="BE27" s="13">
        <f>SUM(BE18:BE26)</f>
        <v/>
      </c>
      <c r="BF27" s="13">
        <f>SUM(BF18:BF26)</f>
        <v/>
      </c>
      <c r="BG27" s="14">
        <f>IF(COUNT(BG18,BG19,BG20,BG21,BG22,BG23,BG24,BG25,BG26)=0,"",SUM(BG18:BG26))</f>
        <v/>
      </c>
      <c r="BH27" s="14">
        <f>SUM(BH18:BH26)</f>
        <v/>
      </c>
      <c r="BI27" s="14">
        <f>SUM(BI18:BI26)</f>
        <v/>
      </c>
      <c r="BJ27" s="13">
        <f>IF(COUNT(BJ18,BJ19,BJ20,BJ21,BJ22,BJ23,BJ24,BJ25,BJ26)=0,"",SUM(BJ18:BJ26))</f>
        <v/>
      </c>
      <c r="BK27" s="13">
        <f>SUM(BK18:BK26)</f>
        <v/>
      </c>
      <c r="BL27" s="13">
        <f>SUM(BL18:BL26)</f>
        <v/>
      </c>
      <c r="BM27" s="14">
        <f>IF(COUNT(BM18,BM19,BM20,BM21,BM22,BM23,BM24,BM25,BM26)=0,"",SUM(BM18:BM26))</f>
        <v/>
      </c>
      <c r="BN27" s="14">
        <f>SUM(BN18:BN26)</f>
        <v/>
      </c>
      <c r="BO27" s="14">
        <f>SUM(BO18:BO26)</f>
        <v/>
      </c>
      <c r="BP27" s="13">
        <f>IF(COUNT(BP18,BP19,BP20,BP21,BP22,BP23,BP24,BP25,BP26)=0,"",SUM(BP18:BP26))</f>
        <v/>
      </c>
      <c r="BQ27" s="13">
        <f>SUM(BQ18:BQ26)</f>
        <v/>
      </c>
      <c r="BR27" s="13">
        <f>SUM(BR18:BR26)</f>
        <v/>
      </c>
      <c r="BS27" s="14">
        <f>IF(COUNT(BS18,BS19,BS20,BS21,BS22,BS23,BS24,BS25,BS26)=0,"",SUM(BS18:BS26))</f>
        <v/>
      </c>
      <c r="BT27" s="14">
        <f>SUM(BT18:BT26)</f>
        <v/>
      </c>
      <c r="BU27" s="14">
        <f>SUM(BU18:BU26)</f>
        <v/>
      </c>
      <c r="BV27" s="13">
        <f>IF(COUNT(BV18,BV19,BV20,BV21,BV22,BV23,BV24,BV25,BV26)=0,"",SUM(BV18:BV26))</f>
        <v/>
      </c>
      <c r="BW27" s="13">
        <f>SUM(BW18:BW26)</f>
        <v/>
      </c>
      <c r="BX27" s="13">
        <f>SUM(BX18:BX26)</f>
        <v/>
      </c>
      <c r="BY27" s="14">
        <f>IF(COUNT(BY18,BY19,BY20,BY21,BY22,BY23,BY24,BY25,BY26)=0,"",SUM(BY18:BY26))</f>
        <v/>
      </c>
      <c r="BZ27" s="14">
        <f>SUM(BZ18:BZ26)</f>
        <v/>
      </c>
      <c r="CA27" s="14">
        <f>SUM(CA18:CA26)</f>
        <v/>
      </c>
      <c r="CB27" s="13">
        <f>IF(COUNT(CB18,CB19,CB20,CB21,CB22,CB23,CB24,CB25,CB26)=0,"",SUM(CB18:CB26))</f>
        <v/>
      </c>
      <c r="CC27" s="13">
        <f>SUM(CC18:CC26)</f>
        <v/>
      </c>
      <c r="CD27" s="13">
        <f>SUM(CD18:CD26)</f>
        <v/>
      </c>
      <c r="CE27" s="14">
        <f>IF(COUNT(CE18,CE19,CE20,CE21,CE22,CE23,CE24,CE25,CE26)=0,"",SUM(CE18:CE26))</f>
        <v/>
      </c>
      <c r="CF27" s="14">
        <f>SUM(CF18:CF26)</f>
        <v/>
      </c>
      <c r="CG27" s="14">
        <f>SUM(CG18:CG26)</f>
        <v/>
      </c>
      <c r="CH27" s="13">
        <f>IF(COUNT(CH18,CH19,CH20,CH21,CH22,CH23,CH24,CH25,CH26)=0,"",SUM(CH18:CH26))</f>
        <v/>
      </c>
      <c r="CI27" s="13">
        <f>SUM(CI18:CI26)</f>
        <v/>
      </c>
      <c r="CJ27" s="13">
        <f>SUM(CJ18:CJ26)</f>
        <v/>
      </c>
      <c r="CK27" s="14">
        <f>IF(COUNT(CK18,CK19,CK20,CK21,CK22,CK23,CK24,CK25,CK26)=0,"",SUM(CK18:CK26))</f>
        <v/>
      </c>
      <c r="CL27" s="14">
        <f>SUM(CL18:CL26)</f>
        <v/>
      </c>
      <c r="CM27" s="14">
        <f>SUM(CM18:CM26)</f>
        <v/>
      </c>
      <c r="CN27" s="13">
        <f>IF(COUNT(CN18,CN19,CN20,CN21,CN22,CN23,CN24,CN25,CN26)=0,"",SUM(CN18:CN26))</f>
        <v/>
      </c>
      <c r="CO27" s="13">
        <f>SUM(CO18:CO26)</f>
        <v/>
      </c>
      <c r="CP27" s="13">
        <f>SUM(CP18:CP26)</f>
        <v/>
      </c>
      <c r="CQ27" s="14">
        <f>IF(COUNT(CQ18,CQ19,CQ20,CQ21,CQ22,CQ23,CQ24,CQ25,CQ26)=0,"",SUM(CQ18:CQ26))</f>
        <v/>
      </c>
      <c r="CR27" s="14">
        <f>SUM(CR18:CR26)</f>
        <v/>
      </c>
      <c r="CS27" s="14">
        <f>SUM(CS18:CS26)</f>
        <v/>
      </c>
      <c r="CT27" s="13">
        <f>IF(COUNT(CT18,CT19,CT20,CT21,CT22,CT23,CT24,CT25,CT26)=0,"",SUM(CT18:CT26))</f>
        <v/>
      </c>
      <c r="CU27" s="13">
        <f>SUM(CU18:CU26)</f>
        <v/>
      </c>
      <c r="CV27" s="13">
        <f>SUM(CV18:CV26)</f>
        <v/>
      </c>
      <c r="CW27" s="14">
        <f>IF(COUNT(CW18,CW19,CW20,CW21,CW22,CW23,CW24,CW25,CW26)=0,"",SUM(CW18:CW26))</f>
        <v/>
      </c>
      <c r="CX27" s="14">
        <f>SUM(CX18:CX26)</f>
        <v/>
      </c>
      <c r="CY27" s="14">
        <f>SUM(CY18:CY26)</f>
        <v/>
      </c>
      <c r="CZ27" s="13">
        <f>IF(COUNT(CZ18,CZ19,CZ20,CZ21,CZ22,CZ23,CZ24,CZ25,CZ26)=0,"",SUM(CZ18:CZ26))</f>
        <v/>
      </c>
      <c r="DA27" s="13">
        <f>SUM(DA18:DA26)</f>
        <v/>
      </c>
      <c r="DB27" s="13">
        <f>SUM(DB18:DB26)</f>
        <v/>
      </c>
      <c r="DC27" s="14">
        <f>IF(COUNT(DC18,DC19,DC20,DC21,DC22,DC23,DC24,DC25,DC26)=0,"",SUM(DC18:DC26))</f>
        <v/>
      </c>
      <c r="DD27" s="14">
        <f>SUM(DD18:DD26)</f>
        <v/>
      </c>
      <c r="DE27" s="14">
        <f>SUM(DE18:DE26)</f>
        <v/>
      </c>
      <c r="DF27" s="13">
        <f>IF(COUNT(DF18,DF19,DF20,DF21,DF22,DF23,DF24,DF25,DF26)=0,"",SUM(DF18:DF26))</f>
        <v/>
      </c>
      <c r="DG27" s="13">
        <f>SUM(DG18:DG26)</f>
        <v/>
      </c>
      <c r="DH27" s="13">
        <f>SUM(DH18:DH26)</f>
        <v/>
      </c>
      <c r="DI27" s="14">
        <f>IF(COUNT(DI18,DI19,DI20,DI21,DI22,DI23,DI24,DI25,DI26)=0,"",SUM(DI18:DI26))</f>
        <v/>
      </c>
      <c r="DJ27" s="14">
        <f>SUM(DJ18:DJ26)</f>
        <v/>
      </c>
      <c r="DK27" s="14">
        <f>SUM(DK18:DK26)</f>
        <v/>
      </c>
      <c r="DL27" s="13">
        <f>IF(COUNT(DL18,DL19,DL20,DL21,DL22,DL23,DL24,DL25,DL26)=0,"",SUM(DL18:DL26))</f>
        <v/>
      </c>
      <c r="DM27" s="13">
        <f>SUM(DM18:DM26)</f>
        <v/>
      </c>
      <c r="DN27" s="13">
        <f>SUM(DN18:DN26)</f>
        <v/>
      </c>
    </row>
    <row r="28">
      <c r="A28" s="2" t="inlineStr">
        <is>
          <t>Customer Success Platform</t>
        </is>
      </c>
      <c r="B28" s="10">
        <f>IF(COUNT(AR28,AO28,AL28,AI28,AF28,AC28,Z28,W28,T28,Q28,N28,K28)=0,"",SUM(AR28,AO28,AL28,AI28,AF28,AC28,Z28,W28,T28,Q28,N28,K28))</f>
        <v/>
      </c>
      <c r="C28" s="10">
        <f>IF(COUNT(AS28,AP28,AM28,AJ28,AG28,AD28,AA28,X28,U28,R28,O28,L28)=0,"",SUM(AS28,AP28,AM28,AJ28,AG28,AD28,AA28,X28,U28,R28,O28,L28))</f>
        <v/>
      </c>
      <c r="D28" s="10">
        <f>IF(COUNT(AT28,AQ28,AN28,AK28,AH28,AE28,AB28,Y28,V28,S28,P28,M28)=0,"",SUM(AT28,AQ28,AN28,AK28,AH28,AE28,AB28,Y28,V28,S28,P28,M28))</f>
        <v/>
      </c>
      <c r="E28" s="11">
        <f>IF(COUNT(CB28,BY28,BV28,BS28,BP28,BM28,BJ28,BG28,BD28,BA28,AX28,AU28)=0,"",SUM(CB28,BY28,BV28,BS28,BP28,BM28,BJ28,BG28,BD28,BA28,AX28,AU28))</f>
        <v/>
      </c>
      <c r="F28" s="11">
        <f>IF(COUNT(CC28,BZ28,BW28,BT28,BQ28,BN28,BK28,BH28,BE28,BB28,AY28,AV28)=0,"",SUM(CC28,BZ28,BW28,BT28,BQ28,BN28,BK28,BH28,BE28,BB28,AY28,AV28))</f>
        <v/>
      </c>
      <c r="G28" s="11">
        <f>IF(COUNT(CD28,CA28,BX28,BU28,BR28,BO28,BL28,BI28,BF28,BC28,AZ28,AW28)=0,"",SUM(CD28,CA28,BX28,BU28,BR28,BO28,BL28,BI28,BF28,BC28,AZ28,AW28))</f>
        <v/>
      </c>
      <c r="H28" s="10">
        <f>IF(COUNT(DL28,DI28,DF28,DC28,CZ28,CW28,CT28,CQ28,CN28,CK28,CH28,CE28)=0,"",SUM(DL28,DI28,DF28,DC28,CZ28,CW28,CT28,CQ28,CN28,CK28,CH28,CE28))</f>
        <v/>
      </c>
      <c r="I28" s="10">
        <f>IF(COUNT(DM28,DJ28,DG28,DD28,DA28,CX28,CU28,CR28,CO28,CL28,CI28,CF28)=0,"",SUM(DM28,DJ28,DG28,DD28,DA28,CX28,CU28,CR28,CO28,CL28,CI28,CF28))</f>
        <v/>
      </c>
      <c r="J28" s="10">
        <f>IF(COUNT(DN28,DK28,DH28,DE28,DB28,CY28,CV28,CS28,CP28,CM28,CJ28,CG28)=0,"",SUM(DN28,DK28,DH28,DE28,DB28,CY28,CV28,CS28,CP28,CM28,CJ28,CG28))</f>
        <v/>
      </c>
      <c r="K28" s="11" t="n"/>
      <c r="L28" s="11" t="n">
        <v>2500</v>
      </c>
      <c r="M28" s="11" t="n">
        <v>2500</v>
      </c>
      <c r="N28" s="10" t="n"/>
      <c r="O28" s="10" t="n">
        <v>2500</v>
      </c>
      <c r="P28" s="10" t="n">
        <v>2500</v>
      </c>
      <c r="Q28" s="11" t="n"/>
      <c r="R28" s="11" t="n">
        <v>2500</v>
      </c>
      <c r="S28" s="11" t="n">
        <v>2500</v>
      </c>
      <c r="T28" s="10" t="n"/>
      <c r="U28" s="10" t="n">
        <v>2500</v>
      </c>
      <c r="V28" s="10" t="n">
        <v>2500</v>
      </c>
      <c r="W28" s="11" t="n"/>
      <c r="X28" s="11" t="n">
        <v>2500</v>
      </c>
      <c r="Y28" s="11" t="n">
        <v>2500</v>
      </c>
      <c r="Z28" s="10" t="n"/>
      <c r="AA28" s="10" t="n">
        <v>2500</v>
      </c>
      <c r="AB28" s="10" t="n">
        <v>2500</v>
      </c>
      <c r="AC28" s="11" t="n"/>
      <c r="AD28" s="11" t="n">
        <v>2500</v>
      </c>
      <c r="AE28" s="11" t="n">
        <v>2500</v>
      </c>
      <c r="AF28" s="10" t="n"/>
      <c r="AG28" s="10" t="n">
        <v>2500</v>
      </c>
      <c r="AH28" s="10" t="n">
        <v>2500</v>
      </c>
      <c r="AI28" s="11" t="n"/>
      <c r="AJ28" s="11" t="n">
        <v>2500</v>
      </c>
      <c r="AK28" s="11" t="n">
        <v>2500</v>
      </c>
      <c r="AL28" s="10" t="n"/>
      <c r="AM28" s="10" t="n">
        <v>2500</v>
      </c>
      <c r="AN28" s="10" t="n">
        <v>2500</v>
      </c>
      <c r="AO28" s="11" t="n"/>
      <c r="AP28" s="11" t="n">
        <v>2500</v>
      </c>
      <c r="AQ28" s="11" t="n">
        <v>2500</v>
      </c>
      <c r="AR28" s="10" t="n"/>
      <c r="AS28" s="10" t="n">
        <v>2500</v>
      </c>
      <c r="AT28" s="10" t="n">
        <v>2500</v>
      </c>
      <c r="AU28" s="11" t="n"/>
      <c r="AV28" s="11" t="n">
        <v>2500</v>
      </c>
      <c r="AW28" s="11" t="n">
        <v>2500</v>
      </c>
      <c r="AX28" s="10" t="n"/>
      <c r="AY28" s="10" t="n">
        <v>2500</v>
      </c>
      <c r="AZ28" s="10" t="n">
        <v>2500</v>
      </c>
      <c r="BA28" s="11" t="n"/>
      <c r="BB28" s="11" t="n">
        <v>2500</v>
      </c>
      <c r="BC28" s="11" t="n">
        <v>2500</v>
      </c>
      <c r="BD28" s="10" t="n"/>
      <c r="BE28" s="10" t="n">
        <v>2500</v>
      </c>
      <c r="BF28" s="10" t="n">
        <v>2500</v>
      </c>
      <c r="BG28" s="11" t="n"/>
      <c r="BH28" s="11" t="n">
        <v>2500</v>
      </c>
      <c r="BI28" s="11" t="n">
        <v>2500</v>
      </c>
      <c r="BJ28" s="10" t="n"/>
      <c r="BK28" s="10" t="n">
        <v>2500</v>
      </c>
      <c r="BL28" s="10" t="n">
        <v>2500</v>
      </c>
      <c r="BM28" s="11" t="n"/>
      <c r="BN28" s="11" t="n">
        <v>2500</v>
      </c>
      <c r="BO28" s="11" t="n">
        <v>2500</v>
      </c>
      <c r="BP28" s="10" t="n"/>
      <c r="BQ28" s="10" t="n">
        <v>2500</v>
      </c>
      <c r="BR28" s="10" t="n">
        <v>2500</v>
      </c>
      <c r="BS28" s="11" t="n"/>
      <c r="BT28" s="11" t="n">
        <v>2500</v>
      </c>
      <c r="BU28" s="11" t="n">
        <v>2500</v>
      </c>
      <c r="BV28" s="10" t="n"/>
      <c r="BW28" s="10" t="n">
        <v>2500</v>
      </c>
      <c r="BX28" s="10" t="n">
        <v>2500</v>
      </c>
      <c r="BY28" s="11" t="n"/>
      <c r="BZ28" s="11" t="n">
        <v>2500</v>
      </c>
      <c r="CA28" s="11" t="n">
        <v>2500</v>
      </c>
      <c r="CB28" s="10" t="n"/>
      <c r="CC28" s="10" t="n">
        <v>2500</v>
      </c>
      <c r="CD28" s="10" t="n">
        <v>2500</v>
      </c>
      <c r="CE28" s="11" t="n"/>
      <c r="CF28" s="11" t="n">
        <v>2500</v>
      </c>
      <c r="CG28" s="11" t="n">
        <v>2500</v>
      </c>
      <c r="CH28" s="10" t="n"/>
      <c r="CI28" s="10" t="n">
        <v>2500</v>
      </c>
      <c r="CJ28" s="10" t="n">
        <v>2500</v>
      </c>
      <c r="CK28" s="11" t="n"/>
      <c r="CL28" s="11" t="n">
        <v>2500</v>
      </c>
      <c r="CM28" s="11" t="n">
        <v>2500</v>
      </c>
      <c r="CN28" s="10" t="n"/>
      <c r="CO28" s="10" t="n">
        <v>2500</v>
      </c>
      <c r="CP28" s="10" t="n">
        <v>2500</v>
      </c>
      <c r="CQ28" s="11" t="n"/>
      <c r="CR28" s="11" t="n">
        <v>2500</v>
      </c>
      <c r="CS28" s="11" t="n">
        <v>2500</v>
      </c>
      <c r="CT28" s="10" t="n"/>
      <c r="CU28" s="10" t="n">
        <v>2500</v>
      </c>
      <c r="CV28" s="10" t="n">
        <v>2500</v>
      </c>
      <c r="CW28" s="11" t="n"/>
      <c r="CX28" s="11" t="n">
        <v>2500</v>
      </c>
      <c r="CY28" s="11" t="n">
        <v>2500</v>
      </c>
      <c r="CZ28" s="10" t="n"/>
      <c r="DA28" s="10" t="n">
        <v>2500</v>
      </c>
      <c r="DB28" s="10" t="n">
        <v>2500</v>
      </c>
      <c r="DC28" s="11" t="n"/>
      <c r="DD28" s="11" t="n">
        <v>2500</v>
      </c>
      <c r="DE28" s="11" t="n">
        <v>2500</v>
      </c>
      <c r="DF28" s="10" t="n"/>
      <c r="DG28" s="10" t="n">
        <v>2500</v>
      </c>
      <c r="DH28" s="10" t="n">
        <v>2500</v>
      </c>
      <c r="DI28" s="11" t="n">
        <v>2500</v>
      </c>
      <c r="DJ28" s="11" t="n">
        <v>2500</v>
      </c>
      <c r="DK28" s="11" t="n">
        <v>2500</v>
      </c>
      <c r="DL28" s="10" t="n">
        <v>2500</v>
      </c>
      <c r="DM28" s="10" t="n">
        <v>2500</v>
      </c>
      <c r="DN28" s="10" t="n">
        <v>2500</v>
      </c>
    </row>
    <row r="29">
      <c r="A29" s="2" t="inlineStr">
        <is>
          <t>Onboarding and Enablement</t>
        </is>
      </c>
      <c r="B29" s="10">
        <f>IF(COUNT(AR29,AO29,AL29,AI29,AF29,AC29,Z29,W29,T29,Q29,N29,K29)=0,"",SUM(AR29,AO29,AL29,AI29,AF29,AC29,Z29,W29,T29,Q29,N29,K29))</f>
        <v/>
      </c>
      <c r="C29" s="10">
        <f>IF(COUNT(AS29,AP29,AM29,AJ29,AG29,AD29,AA29,X29,U29,R29,O29,L29)=0,"",SUM(AS29,AP29,AM29,AJ29,AG29,AD29,AA29,X29,U29,R29,O29,L29))</f>
        <v/>
      </c>
      <c r="D29" s="10">
        <f>IF(COUNT(AT29,AQ29,AN29,AK29,AH29,AE29,AB29,Y29,V29,S29,P29,M29)=0,"",SUM(AT29,AQ29,AN29,AK29,AH29,AE29,AB29,Y29,V29,S29,P29,M29))</f>
        <v/>
      </c>
      <c r="E29" s="11">
        <f>IF(COUNT(CB29,BY29,BV29,BS29,BP29,BM29,BJ29,BG29,BD29,BA29,AX29,AU29)=0,"",SUM(CB29,BY29,BV29,BS29,BP29,BM29,BJ29,BG29,BD29,BA29,AX29,AU29))</f>
        <v/>
      </c>
      <c r="F29" s="11">
        <f>IF(COUNT(CC29,BZ29,BW29,BT29,BQ29,BN29,BK29,BH29,BE29,BB29,AY29,AV29)=0,"",SUM(CC29,BZ29,BW29,BT29,BQ29,BN29,BK29,BH29,BE29,BB29,AY29,AV29))</f>
        <v/>
      </c>
      <c r="G29" s="11">
        <f>IF(COUNT(CD29,CA29,BX29,BU29,BR29,BO29,BL29,BI29,BF29,BC29,AZ29,AW29)=0,"",SUM(CD29,CA29,BX29,BU29,BR29,BO29,BL29,BI29,BF29,BC29,AZ29,AW29))</f>
        <v/>
      </c>
      <c r="H29" s="10">
        <f>IF(COUNT(DL29,DI29,DF29,DC29,CZ29,CW29,CT29,CQ29,CN29,CK29,CH29,CE29)=0,"",SUM(DL29,DI29,DF29,DC29,CZ29,CW29,CT29,CQ29,CN29,CK29,CH29,CE29))</f>
        <v/>
      </c>
      <c r="I29" s="10">
        <f>IF(COUNT(DM29,DJ29,DG29,DD29,DA29,CX29,CU29,CR29,CO29,CL29,CI29,CF29)=0,"",SUM(DM29,DJ29,DG29,DD29,DA29,CX29,CU29,CR29,CO29,CL29,CI29,CF29))</f>
        <v/>
      </c>
      <c r="J29" s="10">
        <f>IF(COUNT(DN29,DK29,DH29,DE29,DB29,CY29,CV29,CS29,CP29,CM29,CJ29,CG29)=0,"",SUM(DN29,DK29,DH29,DE29,DB29,CY29,CV29,CS29,CP29,CM29,CJ29,CG29))</f>
        <v/>
      </c>
      <c r="K29" s="11" t="n"/>
      <c r="L29" s="11" t="n">
        <v>1500</v>
      </c>
      <c r="M29" s="11" t="n">
        <v>1500</v>
      </c>
      <c r="N29" s="10" t="n"/>
      <c r="O29" s="10" t="n">
        <v>1500</v>
      </c>
      <c r="P29" s="10" t="n">
        <v>1500</v>
      </c>
      <c r="Q29" s="11" t="n"/>
      <c r="R29" s="11" t="n">
        <v>1500</v>
      </c>
      <c r="S29" s="11" t="n">
        <v>1500</v>
      </c>
      <c r="T29" s="10" t="n"/>
      <c r="U29" s="10" t="n">
        <v>1500</v>
      </c>
      <c r="V29" s="10" t="n">
        <v>1500</v>
      </c>
      <c r="W29" s="11" t="n"/>
      <c r="X29" s="11" t="n">
        <v>1500</v>
      </c>
      <c r="Y29" s="11" t="n">
        <v>1500</v>
      </c>
      <c r="Z29" s="10" t="n"/>
      <c r="AA29" s="10" t="n">
        <v>1500</v>
      </c>
      <c r="AB29" s="10" t="n">
        <v>1500</v>
      </c>
      <c r="AC29" s="11" t="n"/>
      <c r="AD29" s="11" t="n">
        <v>1500</v>
      </c>
      <c r="AE29" s="11" t="n">
        <v>1500</v>
      </c>
      <c r="AF29" s="10" t="n"/>
      <c r="AG29" s="10" t="n">
        <v>1500</v>
      </c>
      <c r="AH29" s="10" t="n">
        <v>1500</v>
      </c>
      <c r="AI29" s="11" t="n"/>
      <c r="AJ29" s="11" t="n">
        <v>1500</v>
      </c>
      <c r="AK29" s="11" t="n">
        <v>1500</v>
      </c>
      <c r="AL29" s="10" t="n"/>
      <c r="AM29" s="10" t="n">
        <v>1500</v>
      </c>
      <c r="AN29" s="10" t="n">
        <v>1500</v>
      </c>
      <c r="AO29" s="11" t="n"/>
      <c r="AP29" s="11" t="n">
        <v>1500</v>
      </c>
      <c r="AQ29" s="11" t="n">
        <v>1500</v>
      </c>
      <c r="AR29" s="10" t="n"/>
      <c r="AS29" s="10" t="n">
        <v>1500</v>
      </c>
      <c r="AT29" s="10" t="n">
        <v>1500</v>
      </c>
      <c r="AU29" s="11" t="n"/>
      <c r="AV29" s="11" t="n">
        <v>1500</v>
      </c>
      <c r="AW29" s="11" t="n">
        <v>1500</v>
      </c>
      <c r="AX29" s="10" t="n"/>
      <c r="AY29" s="10" t="n">
        <v>1500</v>
      </c>
      <c r="AZ29" s="10" t="n">
        <v>1500</v>
      </c>
      <c r="BA29" s="11" t="n"/>
      <c r="BB29" s="11" t="n">
        <v>1500</v>
      </c>
      <c r="BC29" s="11" t="n">
        <v>1500</v>
      </c>
      <c r="BD29" s="10" t="n"/>
      <c r="BE29" s="10" t="n">
        <v>1500</v>
      </c>
      <c r="BF29" s="10" t="n">
        <v>1500</v>
      </c>
      <c r="BG29" s="11" t="n"/>
      <c r="BH29" s="11" t="n">
        <v>1500</v>
      </c>
      <c r="BI29" s="11" t="n">
        <v>1500</v>
      </c>
      <c r="BJ29" s="10" t="n"/>
      <c r="BK29" s="10" t="n">
        <v>1500</v>
      </c>
      <c r="BL29" s="10" t="n">
        <v>1500</v>
      </c>
      <c r="BM29" s="11" t="n"/>
      <c r="BN29" s="11" t="n">
        <v>1500</v>
      </c>
      <c r="BO29" s="11" t="n">
        <v>1500</v>
      </c>
      <c r="BP29" s="10" t="n"/>
      <c r="BQ29" s="10" t="n">
        <v>1500</v>
      </c>
      <c r="BR29" s="10" t="n">
        <v>1500</v>
      </c>
      <c r="BS29" s="11" t="n"/>
      <c r="BT29" s="11" t="n">
        <v>1500</v>
      </c>
      <c r="BU29" s="11" t="n">
        <v>1500</v>
      </c>
      <c r="BV29" s="10" t="n"/>
      <c r="BW29" s="10" t="n">
        <v>1500</v>
      </c>
      <c r="BX29" s="10" t="n">
        <v>1500</v>
      </c>
      <c r="BY29" s="11" t="n"/>
      <c r="BZ29" s="11" t="n">
        <v>1500</v>
      </c>
      <c r="CA29" s="11" t="n">
        <v>1500</v>
      </c>
      <c r="CB29" s="10" t="n"/>
      <c r="CC29" s="10" t="n">
        <v>1500</v>
      </c>
      <c r="CD29" s="10" t="n">
        <v>1500</v>
      </c>
      <c r="CE29" s="11" t="n"/>
      <c r="CF29" s="11" t="n">
        <v>1500</v>
      </c>
      <c r="CG29" s="11" t="n">
        <v>1500</v>
      </c>
      <c r="CH29" s="10" t="n"/>
      <c r="CI29" s="10" t="n">
        <v>1500</v>
      </c>
      <c r="CJ29" s="10" t="n">
        <v>1500</v>
      </c>
      <c r="CK29" s="11" t="n"/>
      <c r="CL29" s="11" t="n">
        <v>1500</v>
      </c>
      <c r="CM29" s="11" t="n">
        <v>1500</v>
      </c>
      <c r="CN29" s="10" t="n"/>
      <c r="CO29" s="10" t="n">
        <v>1500</v>
      </c>
      <c r="CP29" s="10" t="n">
        <v>1500</v>
      </c>
      <c r="CQ29" s="11" t="n"/>
      <c r="CR29" s="11" t="n">
        <v>1500</v>
      </c>
      <c r="CS29" s="11" t="n">
        <v>1500</v>
      </c>
      <c r="CT29" s="10" t="n"/>
      <c r="CU29" s="10" t="n">
        <v>1500</v>
      </c>
      <c r="CV29" s="10" t="n">
        <v>1500</v>
      </c>
      <c r="CW29" s="11" t="n"/>
      <c r="CX29" s="11" t="n">
        <v>1500</v>
      </c>
      <c r="CY29" s="11" t="n">
        <v>1500</v>
      </c>
      <c r="CZ29" s="10" t="n"/>
      <c r="DA29" s="10" t="n">
        <v>1500</v>
      </c>
      <c r="DB29" s="10" t="n">
        <v>1500</v>
      </c>
      <c r="DC29" s="11" t="n"/>
      <c r="DD29" s="11" t="n">
        <v>1500</v>
      </c>
      <c r="DE29" s="11" t="n">
        <v>1500</v>
      </c>
      <c r="DF29" s="10" t="n"/>
      <c r="DG29" s="10" t="n">
        <v>1500</v>
      </c>
      <c r="DH29" s="10" t="n">
        <v>1500</v>
      </c>
      <c r="DI29" s="11" t="n">
        <v>1500</v>
      </c>
      <c r="DJ29" s="11" t="n">
        <v>1500</v>
      </c>
      <c r="DK29" s="11" t="n">
        <v>1500</v>
      </c>
      <c r="DL29" s="10" t="n">
        <v>1500</v>
      </c>
      <c r="DM29" s="10" t="n">
        <v>1500</v>
      </c>
      <c r="DN29" s="10" t="n">
        <v>1500</v>
      </c>
    </row>
    <row r="30">
      <c r="A30" s="2" t="inlineStr">
        <is>
          <t>Customer Events and Community</t>
        </is>
      </c>
      <c r="B30" s="10">
        <f>IF(COUNT(AR30,AO30,AL30,AI30,AF30,AC30,Z30,W30,T30,Q30,N30,K30)=0,"",SUM(AR30,AO30,AL30,AI30,AF30,AC30,Z30,W30,T30,Q30,N30,K30))</f>
        <v/>
      </c>
      <c r="C30" s="10">
        <f>IF(COUNT(AS30,AP30,AM30,AJ30,AG30,AD30,AA30,X30,U30,R30,O30,L30)=0,"",SUM(AS30,AP30,AM30,AJ30,AG30,AD30,AA30,X30,U30,R30,O30,L30))</f>
        <v/>
      </c>
      <c r="D30" s="10">
        <f>IF(COUNT(AT30,AQ30,AN30,AK30,AH30,AE30,AB30,Y30,V30,S30,P30,M30)=0,"",SUM(AT30,AQ30,AN30,AK30,AH30,AE30,AB30,Y30,V30,S30,P30,M30))</f>
        <v/>
      </c>
      <c r="E30" s="11">
        <f>IF(COUNT(CB30,BY30,BV30,BS30,BP30,BM30,BJ30,BG30,BD30,BA30,AX30,AU30)=0,"",SUM(CB30,BY30,BV30,BS30,BP30,BM30,BJ30,BG30,BD30,BA30,AX30,AU30))</f>
        <v/>
      </c>
      <c r="F30" s="11">
        <f>IF(COUNT(CC30,BZ30,BW30,BT30,BQ30,BN30,BK30,BH30,BE30,BB30,AY30,AV30)=0,"",SUM(CC30,BZ30,BW30,BT30,BQ30,BN30,BK30,BH30,BE30,BB30,AY30,AV30))</f>
        <v/>
      </c>
      <c r="G30" s="11">
        <f>IF(COUNT(CD30,CA30,BX30,BU30,BR30,BO30,BL30,BI30,BF30,BC30,AZ30,AW30)=0,"",SUM(CD30,CA30,BX30,BU30,BR30,BO30,BL30,BI30,BF30,BC30,AZ30,AW30))</f>
        <v/>
      </c>
      <c r="H30" s="10">
        <f>IF(COUNT(DL30,DI30,DF30,DC30,CZ30,CW30,CT30,CQ30,CN30,CK30,CH30,CE30)=0,"",SUM(DL30,DI30,DF30,DC30,CZ30,CW30,CT30,CQ30,CN30,CK30,CH30,CE30))</f>
        <v/>
      </c>
      <c r="I30" s="10">
        <f>IF(COUNT(DM30,DJ30,DG30,DD30,DA30,CX30,CU30,CR30,CO30,CL30,CI30,CF30)=0,"",SUM(DM30,DJ30,DG30,DD30,DA30,CX30,CU30,CR30,CO30,CL30,CI30,CF30))</f>
        <v/>
      </c>
      <c r="J30" s="10">
        <f>IF(COUNT(DN30,DK30,DH30,DE30,DB30,CY30,CV30,CS30,CP30,CM30,CJ30,CG30)=0,"",SUM(DN30,DK30,DH30,DE30,DB30,CY30,CV30,CS30,CP30,CM30,CJ30,CG30))</f>
        <v/>
      </c>
      <c r="K30" s="11" t="n"/>
      <c r="L30" s="11" t="n">
        <v>1000</v>
      </c>
      <c r="M30" s="11" t="n">
        <v>1000</v>
      </c>
      <c r="N30" s="10" t="n"/>
      <c r="O30" s="10" t="n">
        <v>1000</v>
      </c>
      <c r="P30" s="10" t="n">
        <v>1000</v>
      </c>
      <c r="Q30" s="11" t="n"/>
      <c r="R30" s="11" t="n">
        <v>1000</v>
      </c>
      <c r="S30" s="11" t="n">
        <v>1000</v>
      </c>
      <c r="T30" s="10" t="n"/>
      <c r="U30" s="10" t="n">
        <v>1000</v>
      </c>
      <c r="V30" s="10" t="n">
        <v>1000</v>
      </c>
      <c r="W30" s="11" t="n"/>
      <c r="X30" s="11" t="n">
        <v>1000</v>
      </c>
      <c r="Y30" s="11" t="n">
        <v>1000</v>
      </c>
      <c r="Z30" s="10" t="n"/>
      <c r="AA30" s="10" t="n">
        <v>1000</v>
      </c>
      <c r="AB30" s="10" t="n">
        <v>1000</v>
      </c>
      <c r="AC30" s="11" t="n"/>
      <c r="AD30" s="11" t="n">
        <v>1000</v>
      </c>
      <c r="AE30" s="11" t="n">
        <v>1000</v>
      </c>
      <c r="AF30" s="10" t="n"/>
      <c r="AG30" s="10" t="n">
        <v>1000</v>
      </c>
      <c r="AH30" s="10" t="n">
        <v>1000</v>
      </c>
      <c r="AI30" s="11" t="n"/>
      <c r="AJ30" s="11" t="n">
        <v>1000</v>
      </c>
      <c r="AK30" s="11" t="n">
        <v>1000</v>
      </c>
      <c r="AL30" s="10" t="n"/>
      <c r="AM30" s="10" t="n">
        <v>1000</v>
      </c>
      <c r="AN30" s="10" t="n">
        <v>1000</v>
      </c>
      <c r="AO30" s="11" t="n"/>
      <c r="AP30" s="11" t="n">
        <v>1000</v>
      </c>
      <c r="AQ30" s="11" t="n">
        <v>1000</v>
      </c>
      <c r="AR30" s="10" t="n"/>
      <c r="AS30" s="10" t="n">
        <v>1000</v>
      </c>
      <c r="AT30" s="10" t="n">
        <v>1000</v>
      </c>
      <c r="AU30" s="11" t="n"/>
      <c r="AV30" s="11" t="n">
        <v>1000</v>
      </c>
      <c r="AW30" s="11" t="n">
        <v>1000</v>
      </c>
      <c r="AX30" s="10" t="n"/>
      <c r="AY30" s="10" t="n">
        <v>1000</v>
      </c>
      <c r="AZ30" s="10" t="n">
        <v>1000</v>
      </c>
      <c r="BA30" s="11" t="n"/>
      <c r="BB30" s="11" t="n">
        <v>1000</v>
      </c>
      <c r="BC30" s="11" t="n">
        <v>1000</v>
      </c>
      <c r="BD30" s="10" t="n"/>
      <c r="BE30" s="10" t="n">
        <v>1000</v>
      </c>
      <c r="BF30" s="10" t="n">
        <v>1000</v>
      </c>
      <c r="BG30" s="11" t="n"/>
      <c r="BH30" s="11" t="n">
        <v>1000</v>
      </c>
      <c r="BI30" s="11" t="n">
        <v>1000</v>
      </c>
      <c r="BJ30" s="10" t="n"/>
      <c r="BK30" s="10" t="n">
        <v>1000</v>
      </c>
      <c r="BL30" s="10" t="n">
        <v>1000</v>
      </c>
      <c r="BM30" s="11" t="n"/>
      <c r="BN30" s="11" t="n">
        <v>1000</v>
      </c>
      <c r="BO30" s="11" t="n">
        <v>1000</v>
      </c>
      <c r="BP30" s="10" t="n"/>
      <c r="BQ30" s="10" t="n">
        <v>1000</v>
      </c>
      <c r="BR30" s="10" t="n">
        <v>1000</v>
      </c>
      <c r="BS30" s="11" t="n"/>
      <c r="BT30" s="11" t="n">
        <v>1000</v>
      </c>
      <c r="BU30" s="11" t="n">
        <v>1000</v>
      </c>
      <c r="BV30" s="10" t="n"/>
      <c r="BW30" s="10" t="n">
        <v>1000</v>
      </c>
      <c r="BX30" s="10" t="n">
        <v>1000</v>
      </c>
      <c r="BY30" s="11" t="n"/>
      <c r="BZ30" s="11" t="n">
        <v>1000</v>
      </c>
      <c r="CA30" s="11" t="n">
        <v>1000</v>
      </c>
      <c r="CB30" s="10" t="n"/>
      <c r="CC30" s="10" t="n">
        <v>1000</v>
      </c>
      <c r="CD30" s="10" t="n">
        <v>1000</v>
      </c>
      <c r="CE30" s="11" t="n"/>
      <c r="CF30" s="11" t="n">
        <v>1000</v>
      </c>
      <c r="CG30" s="11" t="n">
        <v>1000</v>
      </c>
      <c r="CH30" s="10" t="n"/>
      <c r="CI30" s="10" t="n">
        <v>1000</v>
      </c>
      <c r="CJ30" s="10" t="n">
        <v>1000</v>
      </c>
      <c r="CK30" s="11" t="n"/>
      <c r="CL30" s="11" t="n">
        <v>1000</v>
      </c>
      <c r="CM30" s="11" t="n">
        <v>1000</v>
      </c>
      <c r="CN30" s="10" t="n"/>
      <c r="CO30" s="10" t="n">
        <v>1000</v>
      </c>
      <c r="CP30" s="10" t="n">
        <v>1000</v>
      </c>
      <c r="CQ30" s="11" t="n"/>
      <c r="CR30" s="11" t="n">
        <v>1000</v>
      </c>
      <c r="CS30" s="11" t="n">
        <v>1000</v>
      </c>
      <c r="CT30" s="10" t="n"/>
      <c r="CU30" s="10" t="n">
        <v>1000</v>
      </c>
      <c r="CV30" s="10" t="n">
        <v>1000</v>
      </c>
      <c r="CW30" s="11" t="n"/>
      <c r="CX30" s="11" t="n">
        <v>1000</v>
      </c>
      <c r="CY30" s="11" t="n">
        <v>1000</v>
      </c>
      <c r="CZ30" s="10" t="n"/>
      <c r="DA30" s="10" t="n">
        <v>1000</v>
      </c>
      <c r="DB30" s="10" t="n">
        <v>1000</v>
      </c>
      <c r="DC30" s="11" t="n"/>
      <c r="DD30" s="11" t="n">
        <v>1000</v>
      </c>
      <c r="DE30" s="11" t="n">
        <v>1000</v>
      </c>
      <c r="DF30" s="10" t="n"/>
      <c r="DG30" s="10" t="n">
        <v>1000</v>
      </c>
      <c r="DH30" s="10" t="n">
        <v>1000</v>
      </c>
      <c r="DI30" s="11" t="n">
        <v>1000</v>
      </c>
      <c r="DJ30" s="11" t="n">
        <v>1000</v>
      </c>
      <c r="DK30" s="11" t="n">
        <v>1000</v>
      </c>
      <c r="DL30" s="10" t="n">
        <v>1000</v>
      </c>
      <c r="DM30" s="10" t="n">
        <v>1000</v>
      </c>
      <c r="DN30" s="10" t="n">
        <v>1000</v>
      </c>
    </row>
    <row r="31">
      <c r="A31" s="2" t="inlineStr">
        <is>
          <t>Health Scoring and Survey Tools</t>
        </is>
      </c>
      <c r="B31" s="10">
        <f>IF(COUNT(AR31,AO31,AL31,AI31,AF31,AC31,Z31,W31,T31,Q31,N31,K31)=0,"",SUM(AR31,AO31,AL31,AI31,AF31,AC31,Z31,W31,T31,Q31,N31,K31))</f>
        <v/>
      </c>
      <c r="C31" s="10">
        <f>IF(COUNT(AS31,AP31,AM31,AJ31,AG31,AD31,AA31,X31,U31,R31,O31,L31)=0,"",SUM(AS31,AP31,AM31,AJ31,AG31,AD31,AA31,X31,U31,R31,O31,L31))</f>
        <v/>
      </c>
      <c r="D31" s="10">
        <f>IF(COUNT(AT31,AQ31,AN31,AK31,AH31,AE31,AB31,Y31,V31,S31,P31,M31)=0,"",SUM(AT31,AQ31,AN31,AK31,AH31,AE31,AB31,Y31,V31,S31,P31,M31))</f>
        <v/>
      </c>
      <c r="E31" s="11">
        <f>IF(COUNT(CB31,BY31,BV31,BS31,BP31,BM31,BJ31,BG31,BD31,BA31,AX31,AU31)=0,"",SUM(CB31,BY31,BV31,BS31,BP31,BM31,BJ31,BG31,BD31,BA31,AX31,AU31))</f>
        <v/>
      </c>
      <c r="F31" s="11">
        <f>IF(COUNT(CC31,BZ31,BW31,BT31,BQ31,BN31,BK31,BH31,BE31,BB31,AY31,AV31)=0,"",SUM(CC31,BZ31,BW31,BT31,BQ31,BN31,BK31,BH31,BE31,BB31,AY31,AV31))</f>
        <v/>
      </c>
      <c r="G31" s="11">
        <f>IF(COUNT(CD31,CA31,BX31,BU31,BR31,BO31,BL31,BI31,BF31,BC31,AZ31,AW31)=0,"",SUM(CD31,CA31,BX31,BU31,BR31,BO31,BL31,BI31,BF31,BC31,AZ31,AW31))</f>
        <v/>
      </c>
      <c r="H31" s="10">
        <f>IF(COUNT(DL31,DI31,DF31,DC31,CZ31,CW31,CT31,CQ31,CN31,CK31,CH31,CE31)=0,"",SUM(DL31,DI31,DF31,DC31,CZ31,CW31,CT31,CQ31,CN31,CK31,CH31,CE31))</f>
        <v/>
      </c>
      <c r="I31" s="10">
        <f>IF(COUNT(DM31,DJ31,DG31,DD31,DA31,CX31,CU31,CR31,CO31,CL31,CI31,CF31)=0,"",SUM(DM31,DJ31,DG31,DD31,DA31,CX31,CU31,CR31,CO31,CL31,CI31,CF31))</f>
        <v/>
      </c>
      <c r="J31" s="10">
        <f>IF(COUNT(DN31,DK31,DH31,DE31,DB31,CY31,CV31,CS31,CP31,CM31,CJ31,CG31)=0,"",SUM(DN31,DK31,DH31,DE31,DB31,CY31,CV31,CS31,CP31,CM31,CJ31,CG31))</f>
        <v/>
      </c>
      <c r="K31" s="11" t="n"/>
      <c r="L31" s="11" t="n">
        <v>1000</v>
      </c>
      <c r="M31" s="11" t="n">
        <v>1000</v>
      </c>
      <c r="N31" s="10" t="n"/>
      <c r="O31" s="10" t="n">
        <v>1000</v>
      </c>
      <c r="P31" s="10" t="n">
        <v>1000</v>
      </c>
      <c r="Q31" s="11" t="n"/>
      <c r="R31" s="11" t="n">
        <v>1000</v>
      </c>
      <c r="S31" s="11" t="n">
        <v>1000</v>
      </c>
      <c r="T31" s="10" t="n"/>
      <c r="U31" s="10" t="n">
        <v>1000</v>
      </c>
      <c r="V31" s="10" t="n">
        <v>1000</v>
      </c>
      <c r="W31" s="11" t="n"/>
      <c r="X31" s="11" t="n">
        <v>1000</v>
      </c>
      <c r="Y31" s="11" t="n">
        <v>1000</v>
      </c>
      <c r="Z31" s="10" t="n"/>
      <c r="AA31" s="10" t="n">
        <v>1000</v>
      </c>
      <c r="AB31" s="10" t="n">
        <v>1000</v>
      </c>
      <c r="AC31" s="11" t="n"/>
      <c r="AD31" s="11" t="n">
        <v>1000</v>
      </c>
      <c r="AE31" s="11" t="n">
        <v>1000</v>
      </c>
      <c r="AF31" s="10" t="n"/>
      <c r="AG31" s="10" t="n">
        <v>1000</v>
      </c>
      <c r="AH31" s="10" t="n">
        <v>1000</v>
      </c>
      <c r="AI31" s="11" t="n"/>
      <c r="AJ31" s="11" t="n">
        <v>1000</v>
      </c>
      <c r="AK31" s="11" t="n">
        <v>1000</v>
      </c>
      <c r="AL31" s="10" t="n"/>
      <c r="AM31" s="10" t="n">
        <v>1000</v>
      </c>
      <c r="AN31" s="10" t="n">
        <v>1000</v>
      </c>
      <c r="AO31" s="11" t="n"/>
      <c r="AP31" s="11" t="n">
        <v>1000</v>
      </c>
      <c r="AQ31" s="11" t="n">
        <v>1000</v>
      </c>
      <c r="AR31" s="10" t="n"/>
      <c r="AS31" s="10" t="n">
        <v>1000</v>
      </c>
      <c r="AT31" s="10" t="n">
        <v>1000</v>
      </c>
      <c r="AU31" s="11" t="n"/>
      <c r="AV31" s="11" t="n">
        <v>1000</v>
      </c>
      <c r="AW31" s="11" t="n">
        <v>1000</v>
      </c>
      <c r="AX31" s="10" t="n"/>
      <c r="AY31" s="10" t="n">
        <v>1000</v>
      </c>
      <c r="AZ31" s="10" t="n">
        <v>1000</v>
      </c>
      <c r="BA31" s="11" t="n"/>
      <c r="BB31" s="11" t="n">
        <v>1000</v>
      </c>
      <c r="BC31" s="11" t="n">
        <v>1000</v>
      </c>
      <c r="BD31" s="10" t="n"/>
      <c r="BE31" s="10" t="n">
        <v>1000</v>
      </c>
      <c r="BF31" s="10" t="n">
        <v>1000</v>
      </c>
      <c r="BG31" s="11" t="n"/>
      <c r="BH31" s="11" t="n">
        <v>1000</v>
      </c>
      <c r="BI31" s="11" t="n">
        <v>1000</v>
      </c>
      <c r="BJ31" s="10" t="n"/>
      <c r="BK31" s="10" t="n">
        <v>1000</v>
      </c>
      <c r="BL31" s="10" t="n">
        <v>1000</v>
      </c>
      <c r="BM31" s="11" t="n"/>
      <c r="BN31" s="11" t="n">
        <v>1000</v>
      </c>
      <c r="BO31" s="11" t="n">
        <v>1000</v>
      </c>
      <c r="BP31" s="10" t="n"/>
      <c r="BQ31" s="10" t="n">
        <v>1000</v>
      </c>
      <c r="BR31" s="10" t="n">
        <v>1000</v>
      </c>
      <c r="BS31" s="11" t="n"/>
      <c r="BT31" s="11" t="n">
        <v>1000</v>
      </c>
      <c r="BU31" s="11" t="n">
        <v>1000</v>
      </c>
      <c r="BV31" s="10" t="n"/>
      <c r="BW31" s="10" t="n">
        <v>1000</v>
      </c>
      <c r="BX31" s="10" t="n">
        <v>1000</v>
      </c>
      <c r="BY31" s="11" t="n"/>
      <c r="BZ31" s="11" t="n">
        <v>1000</v>
      </c>
      <c r="CA31" s="11" t="n">
        <v>1000</v>
      </c>
      <c r="CB31" s="10" t="n"/>
      <c r="CC31" s="10" t="n">
        <v>1000</v>
      </c>
      <c r="CD31" s="10" t="n">
        <v>1000</v>
      </c>
      <c r="CE31" s="11" t="n"/>
      <c r="CF31" s="11" t="n">
        <v>1000</v>
      </c>
      <c r="CG31" s="11" t="n">
        <v>1000</v>
      </c>
      <c r="CH31" s="10" t="n"/>
      <c r="CI31" s="10" t="n">
        <v>1000</v>
      </c>
      <c r="CJ31" s="10" t="n">
        <v>1000</v>
      </c>
      <c r="CK31" s="11" t="n"/>
      <c r="CL31" s="11" t="n">
        <v>1000</v>
      </c>
      <c r="CM31" s="11" t="n">
        <v>1000</v>
      </c>
      <c r="CN31" s="10" t="n"/>
      <c r="CO31" s="10" t="n">
        <v>1000</v>
      </c>
      <c r="CP31" s="10" t="n">
        <v>1000</v>
      </c>
      <c r="CQ31" s="11" t="n"/>
      <c r="CR31" s="11" t="n">
        <v>1000</v>
      </c>
      <c r="CS31" s="11" t="n">
        <v>1000</v>
      </c>
      <c r="CT31" s="10" t="n"/>
      <c r="CU31" s="10" t="n">
        <v>1000</v>
      </c>
      <c r="CV31" s="10" t="n">
        <v>1000</v>
      </c>
      <c r="CW31" s="11" t="n"/>
      <c r="CX31" s="11" t="n">
        <v>1000</v>
      </c>
      <c r="CY31" s="11" t="n">
        <v>1000</v>
      </c>
      <c r="CZ31" s="10" t="n"/>
      <c r="DA31" s="10" t="n">
        <v>1000</v>
      </c>
      <c r="DB31" s="10" t="n">
        <v>1000</v>
      </c>
      <c r="DC31" s="11" t="n"/>
      <c r="DD31" s="11" t="n">
        <v>1000</v>
      </c>
      <c r="DE31" s="11" t="n">
        <v>1000</v>
      </c>
      <c r="DF31" s="10" t="n"/>
      <c r="DG31" s="10" t="n">
        <v>1000</v>
      </c>
      <c r="DH31" s="10" t="n">
        <v>1000</v>
      </c>
      <c r="DI31" s="11" t="n">
        <v>1000</v>
      </c>
      <c r="DJ31" s="11" t="n">
        <v>1000</v>
      </c>
      <c r="DK31" s="11" t="n">
        <v>1000</v>
      </c>
      <c r="DL31" s="10" t="n">
        <v>1000</v>
      </c>
      <c r="DM31" s="10" t="n">
        <v>1000</v>
      </c>
      <c r="DN31" s="10" t="n">
        <v>1000</v>
      </c>
    </row>
    <row r="32">
      <c r="A32" s="12" t="inlineStr">
        <is>
          <t>Total Customer Success Programs</t>
        </is>
      </c>
      <c r="B32" s="13">
        <f>IF(COUNT(AR32,AO32,AL32,AI32,AF32,AC32,Z32,W32,T32,Q32,N32,K32)=0,"",SUM(AR32,AO32,AL32,AI32,AF32,AC32,Z32,W32,T32,Q32,N32,K32))</f>
        <v/>
      </c>
      <c r="C32" s="13">
        <f>IF(COUNT(AS32,AP32,AM32,AJ32,AG32,AD32,AA32,X32,U32,R32,O32,L32)=0,"",SUM(AS32,AP32,AM32,AJ32,AG32,AD32,AA32,X32,U32,R32,O32,L32))</f>
        <v/>
      </c>
      <c r="D32" s="13">
        <f>IF(COUNT(AT32,AQ32,AN32,AK32,AH32,AE32,AB32,Y32,V32,S32,P32,M32)=0,"",SUM(AT32,AQ32,AN32,AK32,AH32,AE32,AB32,Y32,V32,S32,P32,M32))</f>
        <v/>
      </c>
      <c r="E32" s="14">
        <f>IF(COUNT(CB32,BY32,BV32,BS32,BP32,BM32,BJ32,BG32,BD32,BA32,AX32,AU32)=0,"",SUM(CB32,BY32,BV32,BS32,BP32,BM32,BJ32,BG32,BD32,BA32,AX32,AU32))</f>
        <v/>
      </c>
      <c r="F32" s="14">
        <f>IF(COUNT(CC32,BZ32,BW32,BT32,BQ32,BN32,BK32,BH32,BE32,BB32,AY32,AV32)=0,"",SUM(CC32,BZ32,BW32,BT32,BQ32,BN32,BK32,BH32,BE32,BB32,AY32,AV32))</f>
        <v/>
      </c>
      <c r="G32" s="14">
        <f>IF(COUNT(CD32,CA32,BX32,BU32,BR32,BO32,BL32,BI32,BF32,BC32,AZ32,AW32)=0,"",SUM(CD32,CA32,BX32,BU32,BR32,BO32,BL32,BI32,BF32,BC32,AZ32,AW32))</f>
        <v/>
      </c>
      <c r="H32" s="13">
        <f>IF(COUNT(DL32,DI32,DF32,DC32,CZ32,CW32,CT32,CQ32,CN32,CK32,CH32,CE32)=0,"",SUM(DL32,DI32,DF32,DC32,CZ32,CW32,CT32,CQ32,CN32,CK32,CH32,CE32))</f>
        <v/>
      </c>
      <c r="I32" s="13">
        <f>IF(COUNT(DM32,DJ32,DG32,DD32,DA32,CX32,CU32,CR32,CO32,CL32,CI32,CF32)=0,"",SUM(DM32,DJ32,DG32,DD32,DA32,CX32,CU32,CR32,CO32,CL32,CI32,CF32))</f>
        <v/>
      </c>
      <c r="J32" s="13">
        <f>IF(COUNT(DN32,DK32,DH32,DE32,DB32,CY32,CV32,CS32,CP32,CM32,CJ32,CG32)=0,"",SUM(DN32,DK32,DH32,DE32,DB32,CY32,CV32,CS32,CP32,CM32,CJ32,CG32))</f>
        <v/>
      </c>
      <c r="K32" s="14">
        <f>IF(COUNT(K28,K29,K30,K31)=0,"",SUM(K28:K31))</f>
        <v/>
      </c>
      <c r="L32" s="14">
        <f>SUM(L28:L31)</f>
        <v/>
      </c>
      <c r="M32" s="14">
        <f>SUM(M28:M31)</f>
        <v/>
      </c>
      <c r="N32" s="13">
        <f>IF(COUNT(N28,N29,N30,N31)=0,"",SUM(N28:N31))</f>
        <v/>
      </c>
      <c r="O32" s="13">
        <f>SUM(O28:O31)</f>
        <v/>
      </c>
      <c r="P32" s="13">
        <f>SUM(P28:P31)</f>
        <v/>
      </c>
      <c r="Q32" s="14">
        <f>IF(COUNT(Q28,Q29,Q30,Q31)=0,"",SUM(Q28:Q31))</f>
        <v/>
      </c>
      <c r="R32" s="14">
        <f>SUM(R28:R31)</f>
        <v/>
      </c>
      <c r="S32" s="14">
        <f>SUM(S28:S31)</f>
        <v/>
      </c>
      <c r="T32" s="13">
        <f>IF(COUNT(T28,T29,T30,T31)=0,"",SUM(T28:T31))</f>
        <v/>
      </c>
      <c r="U32" s="13">
        <f>SUM(U28:U31)</f>
        <v/>
      </c>
      <c r="V32" s="13">
        <f>SUM(V28:V31)</f>
        <v/>
      </c>
      <c r="W32" s="14">
        <f>IF(COUNT(W28,W29,W30,W31)=0,"",SUM(W28:W31))</f>
        <v/>
      </c>
      <c r="X32" s="14">
        <f>SUM(X28:X31)</f>
        <v/>
      </c>
      <c r="Y32" s="14">
        <f>SUM(Y28:Y31)</f>
        <v/>
      </c>
      <c r="Z32" s="13">
        <f>IF(COUNT(Z28,Z29,Z30,Z31)=0,"",SUM(Z28:Z31))</f>
        <v/>
      </c>
      <c r="AA32" s="13">
        <f>SUM(AA28:AA31)</f>
        <v/>
      </c>
      <c r="AB32" s="13">
        <f>SUM(AB28:AB31)</f>
        <v/>
      </c>
      <c r="AC32" s="14">
        <f>IF(COUNT(AC28,AC29,AC30,AC31)=0,"",SUM(AC28:AC31))</f>
        <v/>
      </c>
      <c r="AD32" s="14">
        <f>SUM(AD28:AD31)</f>
        <v/>
      </c>
      <c r="AE32" s="14">
        <f>SUM(AE28:AE31)</f>
        <v/>
      </c>
      <c r="AF32" s="13">
        <f>IF(COUNT(AF28,AF29,AF30,AF31)=0,"",SUM(AF28:AF31))</f>
        <v/>
      </c>
      <c r="AG32" s="13">
        <f>SUM(AG28:AG31)</f>
        <v/>
      </c>
      <c r="AH32" s="13">
        <f>SUM(AH28:AH31)</f>
        <v/>
      </c>
      <c r="AI32" s="14">
        <f>IF(COUNT(AI28,AI29,AI30,AI31)=0,"",SUM(AI28:AI31))</f>
        <v/>
      </c>
      <c r="AJ32" s="14">
        <f>SUM(AJ28:AJ31)</f>
        <v/>
      </c>
      <c r="AK32" s="14">
        <f>SUM(AK28:AK31)</f>
        <v/>
      </c>
      <c r="AL32" s="13">
        <f>IF(COUNT(AL28,AL29,AL30,AL31)=0,"",SUM(AL28:AL31))</f>
        <v/>
      </c>
      <c r="AM32" s="13">
        <f>SUM(AM28:AM31)</f>
        <v/>
      </c>
      <c r="AN32" s="13">
        <f>SUM(AN28:AN31)</f>
        <v/>
      </c>
      <c r="AO32" s="14">
        <f>IF(COUNT(AO28,AO29,AO30,AO31)=0,"",SUM(AO28:AO31))</f>
        <v/>
      </c>
      <c r="AP32" s="14">
        <f>SUM(AP28:AP31)</f>
        <v/>
      </c>
      <c r="AQ32" s="14">
        <f>SUM(AQ28:AQ31)</f>
        <v/>
      </c>
      <c r="AR32" s="13">
        <f>IF(COUNT(AR28,AR29,AR30,AR31)=0,"",SUM(AR28:AR31))</f>
        <v/>
      </c>
      <c r="AS32" s="13">
        <f>SUM(AS28:AS31)</f>
        <v/>
      </c>
      <c r="AT32" s="13">
        <f>SUM(AT28:AT31)</f>
        <v/>
      </c>
      <c r="AU32" s="14">
        <f>IF(COUNT(AU28,AU29,AU30,AU31)=0,"",SUM(AU28:AU31))</f>
        <v/>
      </c>
      <c r="AV32" s="14">
        <f>SUM(AV28:AV31)</f>
        <v/>
      </c>
      <c r="AW32" s="14">
        <f>SUM(AW28:AW31)</f>
        <v/>
      </c>
      <c r="AX32" s="13">
        <f>IF(COUNT(AX28,AX29,AX30,AX31)=0,"",SUM(AX28:AX31))</f>
        <v/>
      </c>
      <c r="AY32" s="13">
        <f>SUM(AY28:AY31)</f>
        <v/>
      </c>
      <c r="AZ32" s="13">
        <f>SUM(AZ28:AZ31)</f>
        <v/>
      </c>
      <c r="BA32" s="14">
        <f>IF(COUNT(BA28,BA29,BA30,BA31)=0,"",SUM(BA28:BA31))</f>
        <v/>
      </c>
      <c r="BB32" s="14">
        <f>SUM(BB28:BB31)</f>
        <v/>
      </c>
      <c r="BC32" s="14">
        <f>SUM(BC28:BC31)</f>
        <v/>
      </c>
      <c r="BD32" s="13">
        <f>IF(COUNT(BD28,BD29,BD30,BD31)=0,"",SUM(BD28:BD31))</f>
        <v/>
      </c>
      <c r="BE32" s="13">
        <f>SUM(BE28:BE31)</f>
        <v/>
      </c>
      <c r="BF32" s="13">
        <f>SUM(BF28:BF31)</f>
        <v/>
      </c>
      <c r="BG32" s="14">
        <f>IF(COUNT(BG28,BG29,BG30,BG31)=0,"",SUM(BG28:BG31))</f>
        <v/>
      </c>
      <c r="BH32" s="14">
        <f>SUM(BH28:BH31)</f>
        <v/>
      </c>
      <c r="BI32" s="14">
        <f>SUM(BI28:BI31)</f>
        <v/>
      </c>
      <c r="BJ32" s="13">
        <f>IF(COUNT(BJ28,BJ29,BJ30,BJ31)=0,"",SUM(BJ28:BJ31))</f>
        <v/>
      </c>
      <c r="BK32" s="13">
        <f>SUM(BK28:BK31)</f>
        <v/>
      </c>
      <c r="BL32" s="13">
        <f>SUM(BL28:BL31)</f>
        <v/>
      </c>
      <c r="BM32" s="14">
        <f>IF(COUNT(BM28,BM29,BM30,BM31)=0,"",SUM(BM28:BM31))</f>
        <v/>
      </c>
      <c r="BN32" s="14">
        <f>SUM(BN28:BN31)</f>
        <v/>
      </c>
      <c r="BO32" s="14">
        <f>SUM(BO28:BO31)</f>
        <v/>
      </c>
      <c r="BP32" s="13">
        <f>IF(COUNT(BP28,BP29,BP30,BP31)=0,"",SUM(BP28:BP31))</f>
        <v/>
      </c>
      <c r="BQ32" s="13">
        <f>SUM(BQ28:BQ31)</f>
        <v/>
      </c>
      <c r="BR32" s="13">
        <f>SUM(BR28:BR31)</f>
        <v/>
      </c>
      <c r="BS32" s="14">
        <f>IF(COUNT(BS28,BS29,BS30,BS31)=0,"",SUM(BS28:BS31))</f>
        <v/>
      </c>
      <c r="BT32" s="14">
        <f>SUM(BT28:BT31)</f>
        <v/>
      </c>
      <c r="BU32" s="14">
        <f>SUM(BU28:BU31)</f>
        <v/>
      </c>
      <c r="BV32" s="13">
        <f>IF(COUNT(BV28,BV29,BV30,BV31)=0,"",SUM(BV28:BV31))</f>
        <v/>
      </c>
      <c r="BW32" s="13">
        <f>SUM(BW28:BW31)</f>
        <v/>
      </c>
      <c r="BX32" s="13">
        <f>SUM(BX28:BX31)</f>
        <v/>
      </c>
      <c r="BY32" s="14">
        <f>IF(COUNT(BY28,BY29,BY30,BY31)=0,"",SUM(BY28:BY31))</f>
        <v/>
      </c>
      <c r="BZ32" s="14">
        <f>SUM(BZ28:BZ31)</f>
        <v/>
      </c>
      <c r="CA32" s="14">
        <f>SUM(CA28:CA31)</f>
        <v/>
      </c>
      <c r="CB32" s="13">
        <f>IF(COUNT(CB28,CB29,CB30,CB31)=0,"",SUM(CB28:CB31))</f>
        <v/>
      </c>
      <c r="CC32" s="13">
        <f>SUM(CC28:CC31)</f>
        <v/>
      </c>
      <c r="CD32" s="13">
        <f>SUM(CD28:CD31)</f>
        <v/>
      </c>
      <c r="CE32" s="14">
        <f>IF(COUNT(CE28,CE29,CE30,CE31)=0,"",SUM(CE28:CE31))</f>
        <v/>
      </c>
      <c r="CF32" s="14">
        <f>SUM(CF28:CF31)</f>
        <v/>
      </c>
      <c r="CG32" s="14">
        <f>SUM(CG28:CG31)</f>
        <v/>
      </c>
      <c r="CH32" s="13">
        <f>IF(COUNT(CH28,CH29,CH30,CH31)=0,"",SUM(CH28:CH31))</f>
        <v/>
      </c>
      <c r="CI32" s="13">
        <f>SUM(CI28:CI31)</f>
        <v/>
      </c>
      <c r="CJ32" s="13">
        <f>SUM(CJ28:CJ31)</f>
        <v/>
      </c>
      <c r="CK32" s="14">
        <f>IF(COUNT(CK28,CK29,CK30,CK31)=0,"",SUM(CK28:CK31))</f>
        <v/>
      </c>
      <c r="CL32" s="14">
        <f>SUM(CL28:CL31)</f>
        <v/>
      </c>
      <c r="CM32" s="14">
        <f>SUM(CM28:CM31)</f>
        <v/>
      </c>
      <c r="CN32" s="13">
        <f>IF(COUNT(CN28,CN29,CN30,CN31)=0,"",SUM(CN28:CN31))</f>
        <v/>
      </c>
      <c r="CO32" s="13">
        <f>SUM(CO28:CO31)</f>
        <v/>
      </c>
      <c r="CP32" s="13">
        <f>SUM(CP28:CP31)</f>
        <v/>
      </c>
      <c r="CQ32" s="14">
        <f>IF(COUNT(CQ28,CQ29,CQ30,CQ31)=0,"",SUM(CQ28:CQ31))</f>
        <v/>
      </c>
      <c r="CR32" s="14">
        <f>SUM(CR28:CR31)</f>
        <v/>
      </c>
      <c r="CS32" s="14">
        <f>SUM(CS28:CS31)</f>
        <v/>
      </c>
      <c r="CT32" s="13">
        <f>IF(COUNT(CT28,CT29,CT30,CT31)=0,"",SUM(CT28:CT31))</f>
        <v/>
      </c>
      <c r="CU32" s="13">
        <f>SUM(CU28:CU31)</f>
        <v/>
      </c>
      <c r="CV32" s="13">
        <f>SUM(CV28:CV31)</f>
        <v/>
      </c>
      <c r="CW32" s="14">
        <f>IF(COUNT(CW28,CW29,CW30,CW31)=0,"",SUM(CW28:CW31))</f>
        <v/>
      </c>
      <c r="CX32" s="14">
        <f>SUM(CX28:CX31)</f>
        <v/>
      </c>
      <c r="CY32" s="14">
        <f>SUM(CY28:CY31)</f>
        <v/>
      </c>
      <c r="CZ32" s="13">
        <f>IF(COUNT(CZ28,CZ29,CZ30,CZ31)=0,"",SUM(CZ28:CZ31))</f>
        <v/>
      </c>
      <c r="DA32" s="13">
        <f>SUM(DA28:DA31)</f>
        <v/>
      </c>
      <c r="DB32" s="13">
        <f>SUM(DB28:DB31)</f>
        <v/>
      </c>
      <c r="DC32" s="14">
        <f>IF(COUNT(DC28,DC29,DC30,DC31)=0,"",SUM(DC28:DC31))</f>
        <v/>
      </c>
      <c r="DD32" s="14">
        <f>SUM(DD28:DD31)</f>
        <v/>
      </c>
      <c r="DE32" s="14">
        <f>SUM(DE28:DE31)</f>
        <v/>
      </c>
      <c r="DF32" s="13">
        <f>IF(COUNT(DF28,DF29,DF30,DF31)=0,"",SUM(DF28:DF31))</f>
        <v/>
      </c>
      <c r="DG32" s="13">
        <f>SUM(DG28:DG31)</f>
        <v/>
      </c>
      <c r="DH32" s="13">
        <f>SUM(DH28:DH31)</f>
        <v/>
      </c>
      <c r="DI32" s="14">
        <f>IF(COUNT(DI28,DI29,DI30,DI31)=0,"",SUM(DI28:DI31))</f>
        <v/>
      </c>
      <c r="DJ32" s="14">
        <f>SUM(DJ28:DJ31)</f>
        <v/>
      </c>
      <c r="DK32" s="14">
        <f>SUM(DK28:DK31)</f>
        <v/>
      </c>
      <c r="DL32" s="13">
        <f>IF(COUNT(DL28,DL29,DL30,DL31)=0,"",SUM(DL28:DL31))</f>
        <v/>
      </c>
      <c r="DM32" s="13">
        <f>SUM(DM28:DM31)</f>
        <v/>
      </c>
      <c r="DN32" s="13">
        <f>SUM(DN28:DN31)</f>
        <v/>
      </c>
    </row>
    <row r="33">
      <c r="A33" s="12" t="inlineStr">
        <is>
          <t>Total Customer Success Cost</t>
        </is>
      </c>
      <c r="B33" s="13">
        <f>IF(COUNT(AR33,AO33,AL33,AI33,AF33,AC33,Z33,W33,T33,Q33,N33,K33)=0,"",SUM(AR33,AO33,AL33,AI33,AF33,AC33,Z33,W33,T33,Q33,N33,K33))</f>
        <v/>
      </c>
      <c r="C33" s="13">
        <f>IF(COUNT(AS33,AP33,AM33,AJ33,AG33,AD33,AA33,X33,U33,R33,O33,L33)=0,"",SUM(AS33,AP33,AM33,AJ33,AG33,AD33,AA33,X33,U33,R33,O33,L33))</f>
        <v/>
      </c>
      <c r="D33" s="13">
        <f>IF(COUNT(AT33,AQ33,AN33,AK33,AH33,AE33,AB33,Y33,V33,S33,P33,M33)=0,"",SUM(AT33,AQ33,AN33,AK33,AH33,AE33,AB33,Y33,V33,S33,P33,M33))</f>
        <v/>
      </c>
      <c r="E33" s="14">
        <f>IF(COUNT(CB33,BY33,BV33,BS33,BP33,BM33,BJ33,BG33,BD33,BA33,AX33,AU33)=0,"",SUM(CB33,BY33,BV33,BS33,BP33,BM33,BJ33,BG33,BD33,BA33,AX33,AU33))</f>
        <v/>
      </c>
      <c r="F33" s="14">
        <f>IF(COUNT(CC33,BZ33,BW33,BT33,BQ33,BN33,BK33,BH33,BE33,BB33,AY33,AV33)=0,"",SUM(CC33,BZ33,BW33,BT33,BQ33,BN33,BK33,BH33,BE33,BB33,AY33,AV33))</f>
        <v/>
      </c>
      <c r="G33" s="14">
        <f>IF(COUNT(CD33,CA33,BX33,BU33,BR33,BO33,BL33,BI33,BF33,BC33,AZ33,AW33)=0,"",SUM(CD33,CA33,BX33,BU33,BR33,BO33,BL33,BI33,BF33,BC33,AZ33,AW33))</f>
        <v/>
      </c>
      <c r="H33" s="13">
        <f>IF(COUNT(DL33,DI33,DF33,DC33,CZ33,CW33,CT33,CQ33,CN33,CK33,CH33,CE33)=0,"",SUM(DL33,DI33,DF33,DC33,CZ33,CW33,CT33,CQ33,CN33,CK33,CH33,CE33))</f>
        <v/>
      </c>
      <c r="I33" s="13">
        <f>IF(COUNT(DM33,DJ33,DG33,DD33,DA33,CX33,CU33,CR33,CO33,CL33,CI33,CF33)=0,"",SUM(DM33,DJ33,DG33,DD33,DA33,CX33,CU33,CR33,CO33,CL33,CI33,CF33))</f>
        <v/>
      </c>
      <c r="J33" s="13">
        <f>IF(COUNT(DN33,DK33,DH33,DE33,DB33,CY33,CV33,CS33,CP33,CM33,CJ33,CG33)=0,"",SUM(DN33,DK33,DH33,DE33,DB33,CY33,CV33,CS33,CP33,CM33,CJ33,CG33))</f>
        <v/>
      </c>
      <c r="K33" s="14">
        <f>IF(COUNT(K27,K32)=0,"",K27+K32)</f>
        <v/>
      </c>
      <c r="L33" s="14">
        <f>L27+L32</f>
        <v/>
      </c>
      <c r="M33" s="14">
        <f>M27+M32</f>
        <v/>
      </c>
      <c r="N33" s="13">
        <f>IF(COUNT(N27,N32)=0,"",N27+N32)</f>
        <v/>
      </c>
      <c r="O33" s="13">
        <f>O27+O32</f>
        <v/>
      </c>
      <c r="P33" s="13">
        <f>P27+P32</f>
        <v/>
      </c>
      <c r="Q33" s="14">
        <f>IF(COUNT(Q27,Q32)=0,"",Q27+Q32)</f>
        <v/>
      </c>
      <c r="R33" s="14">
        <f>R27+R32</f>
        <v/>
      </c>
      <c r="S33" s="14">
        <f>S27+S32</f>
        <v/>
      </c>
      <c r="T33" s="13">
        <f>IF(COUNT(T27,T32)=0,"",T27+T32)</f>
        <v/>
      </c>
      <c r="U33" s="13">
        <f>U27+U32</f>
        <v/>
      </c>
      <c r="V33" s="13">
        <f>V27+V32</f>
        <v/>
      </c>
      <c r="W33" s="14">
        <f>IF(COUNT(W27,W32)=0,"",W27+W32)</f>
        <v/>
      </c>
      <c r="X33" s="14">
        <f>X27+X32</f>
        <v/>
      </c>
      <c r="Y33" s="14">
        <f>Y27+Y32</f>
        <v/>
      </c>
      <c r="Z33" s="13">
        <f>IF(COUNT(Z27,Z32)=0,"",Z27+Z32)</f>
        <v/>
      </c>
      <c r="AA33" s="13">
        <f>AA27+AA32</f>
        <v/>
      </c>
      <c r="AB33" s="13">
        <f>AB27+AB32</f>
        <v/>
      </c>
      <c r="AC33" s="14">
        <f>IF(COUNT(AC27,AC32)=0,"",AC27+AC32)</f>
        <v/>
      </c>
      <c r="AD33" s="14">
        <f>AD27+AD32</f>
        <v/>
      </c>
      <c r="AE33" s="14">
        <f>AE27+AE32</f>
        <v/>
      </c>
      <c r="AF33" s="13">
        <f>IF(COUNT(AF27,AF32)=0,"",AF27+AF32)</f>
        <v/>
      </c>
      <c r="AG33" s="13">
        <f>AG27+AG32</f>
        <v/>
      </c>
      <c r="AH33" s="13">
        <f>AH27+AH32</f>
        <v/>
      </c>
      <c r="AI33" s="14">
        <f>IF(COUNT(AI27,AI32)=0,"",AI27+AI32)</f>
        <v/>
      </c>
      <c r="AJ33" s="14">
        <f>AJ27+AJ32</f>
        <v/>
      </c>
      <c r="AK33" s="14">
        <f>AK27+AK32</f>
        <v/>
      </c>
      <c r="AL33" s="13">
        <f>IF(COUNT(AL27,AL32)=0,"",AL27+AL32)</f>
        <v/>
      </c>
      <c r="AM33" s="13">
        <f>AM27+AM32</f>
        <v/>
      </c>
      <c r="AN33" s="13">
        <f>AN27+AN32</f>
        <v/>
      </c>
      <c r="AO33" s="14">
        <f>IF(COUNT(AO27,AO32)=0,"",AO27+AO32)</f>
        <v/>
      </c>
      <c r="AP33" s="14">
        <f>AP27+AP32</f>
        <v/>
      </c>
      <c r="AQ33" s="14">
        <f>AQ27+AQ32</f>
        <v/>
      </c>
      <c r="AR33" s="13">
        <f>IF(COUNT(AR27,AR32)=0,"",AR27+AR32)</f>
        <v/>
      </c>
      <c r="AS33" s="13">
        <f>AS27+AS32</f>
        <v/>
      </c>
      <c r="AT33" s="13">
        <f>AT27+AT32</f>
        <v/>
      </c>
      <c r="AU33" s="14">
        <f>IF(COUNT(AU27,AU32)=0,"",AU27+AU32)</f>
        <v/>
      </c>
      <c r="AV33" s="14">
        <f>AV27+AV32</f>
        <v/>
      </c>
      <c r="AW33" s="14">
        <f>AW27+AW32</f>
        <v/>
      </c>
      <c r="AX33" s="13">
        <f>IF(COUNT(AX27,AX32)=0,"",AX27+AX32)</f>
        <v/>
      </c>
      <c r="AY33" s="13">
        <f>AY27+AY32</f>
        <v/>
      </c>
      <c r="AZ33" s="13">
        <f>AZ27+AZ32</f>
        <v/>
      </c>
      <c r="BA33" s="14">
        <f>IF(COUNT(BA27,BA32)=0,"",BA27+BA32)</f>
        <v/>
      </c>
      <c r="BB33" s="14">
        <f>BB27+BB32</f>
        <v/>
      </c>
      <c r="BC33" s="14">
        <f>BC27+BC32</f>
        <v/>
      </c>
      <c r="BD33" s="13">
        <f>IF(COUNT(BD27,BD32)=0,"",BD27+BD32)</f>
        <v/>
      </c>
      <c r="BE33" s="13">
        <f>BE27+BE32</f>
        <v/>
      </c>
      <c r="BF33" s="13">
        <f>BF27+BF32</f>
        <v/>
      </c>
      <c r="BG33" s="14">
        <f>IF(COUNT(BG27,BG32)=0,"",BG27+BG32)</f>
        <v/>
      </c>
      <c r="BH33" s="14">
        <f>BH27+BH32</f>
        <v/>
      </c>
      <c r="BI33" s="14">
        <f>BI27+BI32</f>
        <v/>
      </c>
      <c r="BJ33" s="13">
        <f>IF(COUNT(BJ27,BJ32)=0,"",BJ27+BJ32)</f>
        <v/>
      </c>
      <c r="BK33" s="13">
        <f>BK27+BK32</f>
        <v/>
      </c>
      <c r="BL33" s="13">
        <f>BL27+BL32</f>
        <v/>
      </c>
      <c r="BM33" s="14">
        <f>IF(COUNT(BM27,BM32)=0,"",BM27+BM32)</f>
        <v/>
      </c>
      <c r="BN33" s="14">
        <f>BN27+BN32</f>
        <v/>
      </c>
      <c r="BO33" s="14">
        <f>BO27+BO32</f>
        <v/>
      </c>
      <c r="BP33" s="13">
        <f>IF(COUNT(BP27,BP32)=0,"",BP27+BP32)</f>
        <v/>
      </c>
      <c r="BQ33" s="13">
        <f>BQ27+BQ32</f>
        <v/>
      </c>
      <c r="BR33" s="13">
        <f>BR27+BR32</f>
        <v/>
      </c>
      <c r="BS33" s="14">
        <f>IF(COUNT(BS27,BS32)=0,"",BS27+BS32)</f>
        <v/>
      </c>
      <c r="BT33" s="14">
        <f>BT27+BT32</f>
        <v/>
      </c>
      <c r="BU33" s="14">
        <f>BU27+BU32</f>
        <v/>
      </c>
      <c r="BV33" s="13">
        <f>IF(COUNT(BV27,BV32)=0,"",BV27+BV32)</f>
        <v/>
      </c>
      <c r="BW33" s="13">
        <f>BW27+BW32</f>
        <v/>
      </c>
      <c r="BX33" s="13">
        <f>BX27+BX32</f>
        <v/>
      </c>
      <c r="BY33" s="14">
        <f>IF(COUNT(BY27,BY32)=0,"",BY27+BY32)</f>
        <v/>
      </c>
      <c r="BZ33" s="14">
        <f>BZ27+BZ32</f>
        <v/>
      </c>
      <c r="CA33" s="14">
        <f>CA27+CA32</f>
        <v/>
      </c>
      <c r="CB33" s="13">
        <f>IF(COUNT(CB27,CB32)=0,"",CB27+CB32)</f>
        <v/>
      </c>
      <c r="CC33" s="13">
        <f>CC27+CC32</f>
        <v/>
      </c>
      <c r="CD33" s="13">
        <f>CD27+CD32</f>
        <v/>
      </c>
      <c r="CE33" s="14">
        <f>IF(COUNT(CE27,CE32)=0,"",CE27+CE32)</f>
        <v/>
      </c>
      <c r="CF33" s="14">
        <f>CF27+CF32</f>
        <v/>
      </c>
      <c r="CG33" s="14">
        <f>CG27+CG32</f>
        <v/>
      </c>
      <c r="CH33" s="13">
        <f>IF(COUNT(CH27,CH32)=0,"",CH27+CH32)</f>
        <v/>
      </c>
      <c r="CI33" s="13">
        <f>CI27+CI32</f>
        <v/>
      </c>
      <c r="CJ33" s="13">
        <f>CJ27+CJ32</f>
        <v/>
      </c>
      <c r="CK33" s="14">
        <f>IF(COUNT(CK27,CK32)=0,"",CK27+CK32)</f>
        <v/>
      </c>
      <c r="CL33" s="14">
        <f>CL27+CL32</f>
        <v/>
      </c>
      <c r="CM33" s="14">
        <f>CM27+CM32</f>
        <v/>
      </c>
      <c r="CN33" s="13">
        <f>IF(COUNT(CN27,CN32)=0,"",CN27+CN32)</f>
        <v/>
      </c>
      <c r="CO33" s="13">
        <f>CO27+CO32</f>
        <v/>
      </c>
      <c r="CP33" s="13">
        <f>CP27+CP32</f>
        <v/>
      </c>
      <c r="CQ33" s="14">
        <f>IF(COUNT(CQ27,CQ32)=0,"",CQ27+CQ32)</f>
        <v/>
      </c>
      <c r="CR33" s="14">
        <f>CR27+CR32</f>
        <v/>
      </c>
      <c r="CS33" s="14">
        <f>CS27+CS32</f>
        <v/>
      </c>
      <c r="CT33" s="13">
        <f>IF(COUNT(CT27,CT32)=0,"",CT27+CT32)</f>
        <v/>
      </c>
      <c r="CU33" s="13">
        <f>CU27+CU32</f>
        <v/>
      </c>
      <c r="CV33" s="13">
        <f>CV27+CV32</f>
        <v/>
      </c>
      <c r="CW33" s="14">
        <f>IF(COUNT(CW27,CW32)=0,"",CW27+CW32)</f>
        <v/>
      </c>
      <c r="CX33" s="14">
        <f>CX27+CX32</f>
        <v/>
      </c>
      <c r="CY33" s="14">
        <f>CY27+CY32</f>
        <v/>
      </c>
      <c r="CZ33" s="13">
        <f>IF(COUNT(CZ27,CZ32)=0,"",CZ27+CZ32)</f>
        <v/>
      </c>
      <c r="DA33" s="13">
        <f>DA27+DA32</f>
        <v/>
      </c>
      <c r="DB33" s="13">
        <f>DB27+DB32</f>
        <v/>
      </c>
      <c r="DC33" s="14">
        <f>IF(COUNT(DC27,DC32)=0,"",DC27+DC32)</f>
        <v/>
      </c>
      <c r="DD33" s="14">
        <f>DD27+DD32</f>
        <v/>
      </c>
      <c r="DE33" s="14">
        <f>DE27+DE32</f>
        <v/>
      </c>
      <c r="DF33" s="13">
        <f>IF(COUNT(DF27,DF32)=0,"",DF27+DF32)</f>
        <v/>
      </c>
      <c r="DG33" s="13">
        <f>DG27+DG32</f>
        <v/>
      </c>
      <c r="DH33" s="13">
        <f>DH27+DH32</f>
        <v/>
      </c>
      <c r="DI33" s="14">
        <f>IF(COUNT(DI27,DI32)=0,"",DI27+DI32)</f>
        <v/>
      </c>
      <c r="DJ33" s="14">
        <f>DJ27+DJ32</f>
        <v/>
      </c>
      <c r="DK33" s="14">
        <f>DK27+DK32</f>
        <v/>
      </c>
      <c r="DL33" s="13">
        <f>IF(COUNT(DL27,DL32)=0,"",DL27+DL32)</f>
        <v/>
      </c>
      <c r="DM33" s="13">
        <f>DM27+DM32</f>
        <v/>
      </c>
      <c r="DN33" s="13">
        <f>DN27+DN32</f>
        <v/>
      </c>
    </row>
    <row r="34">
      <c r="A34" s="2" t="inlineStr">
        <is>
          <t>Cost per Customer</t>
        </is>
      </c>
      <c r="B34" s="22">
        <f>IF(SUM(AR12,AO12,AL12,AI12,AF12,AC12,Z12,W12,T12,Q12,N12,K12)=0,"",SUM(AR33,AO33,AL33,AI33,AF33,AC33,Z33,W33,T33,Q33,N33,K33)/SUM(AR12,AO12,AL12,AI12,AF12,AC12,Z12,W12,T12,Q12,N12,K12))</f>
        <v/>
      </c>
      <c r="C34" s="22">
        <f>IF(SUM(AS12,AP12,AM12,AJ12,AG12,AD12,AA12,X12,U12,R12,O12,L12)=0,"",SUM(AS33,AP33,AM33,AJ33,AG33,AD33,AA33,X33,U33,R33,O33,L33)/SUM(AS12,AP12,AM12,AJ12,AG12,AD12,AA12,X12,U12,R12,O12,L12))</f>
        <v/>
      </c>
      <c r="D34" s="22">
        <f>IF(SUM(AT12,AQ12,AN12,AK12,AH12,AE12,AB12,Y12,V12,S12,P12,M12)=0,"",SUM(AT33,AQ33,AN33,AK33,AH33,AE33,AB33,Y33,V33,S33,P33,M33)/SUM(AT12,AQ12,AN12,AK12,AH12,AE12,AB12,Y12,V12,S12,P12,M12))</f>
        <v/>
      </c>
      <c r="E34" s="23">
        <f>IF(SUM(CB12,BY12,BV12,BS12,BP12,BM12,BJ12,BG12,BD12,BA12,AX12,AU12)=0,"",SUM(CB33,BY33,BV33,BS33,BP33,BM33,BJ33,BG33,BD33,BA33,AX33,AU33)/SUM(CB12,BY12,BV12,BS12,BP12,BM12,BJ12,BG12,BD12,BA12,AX12,AU12))</f>
        <v/>
      </c>
      <c r="F34" s="23">
        <f>IF(SUM(CC12,BZ12,BW12,BT12,BQ12,BN12,BK12,BH12,BE12,BB12,AY12,AV12)=0,"",SUM(CC33,BZ33,BW33,BT33,BQ33,BN33,BK33,BH33,BE33,BB33,AY33,AV33)/SUM(CC12,BZ12,BW12,BT12,BQ12,BN12,BK12,BH12,BE12,BB12,AY12,AV12))</f>
        <v/>
      </c>
      <c r="G34" s="23">
        <f>IF(SUM(CD12,CA12,BX12,BU12,BR12,BO12,BL12,BI12,BF12,BC12,AZ12,AW12)=0,"",SUM(CD33,CA33,BX33,BU33,BR33,BO33,BL33,BI33,BF33,BC33,AZ33,AW33)/SUM(CD12,CA12,BX12,BU12,BR12,BO12,BL12,BI12,BF12,BC12,AZ12,AW12))</f>
        <v/>
      </c>
      <c r="H34" s="22">
        <f>IF(SUM(DL12,DI12,DF12,DC12,CZ12,CW12,CT12,CQ12,CN12,CK12,CH12,CE12)=0,"",SUM(DL33,DI33,DF33,DC33,CZ33,CW33,CT33,CQ33,CN33,CK33,CH33,CE33)/SUM(DL12,DI12,DF12,DC12,CZ12,CW12,CT12,CQ12,CN12,CK12,CH12,CE12))</f>
        <v/>
      </c>
      <c r="I34" s="22">
        <f>IF(SUM(DM12,DJ12,DG12,DD12,DA12,CX12,CU12,CR12,CO12,CL12,CI12,CF12)=0,"",SUM(DM33,DJ33,DG33,DD33,DA33,CX33,CU33,CR33,CO33,CL33,CI33,CF33)/SUM(DM12,DJ12,DG12,DD12,DA12,CX12,CU12,CR12,CO12,CL12,CI12,CF12))</f>
        <v/>
      </c>
      <c r="J34" s="22">
        <f>IF(SUM(DN12,DK12,DH12,DE12,DB12,CY12,CV12,CS12,CP12,CM12,CJ12,CG12)=0,"",SUM(DN33,DK33,DH33,DE33,DB33,CY33,CV33,CS33,CP33,CM33,CJ33,CG33)/SUM(DN12,DK12,DH12,DE12,DB12,CY12,CV12,CS12,CP12,CM12,CJ12,CG12))</f>
        <v/>
      </c>
      <c r="K34" s="23">
        <f>IF(COUNT(K33,K12)=2,IF(N(K12)=0,"",K33/K12),"")</f>
        <v/>
      </c>
      <c r="L34" s="23">
        <f>IF(N(L12)=0,"",L33/L12)</f>
        <v/>
      </c>
      <c r="M34" s="23">
        <f>IF(N(M12)=0,"",M33/M12)</f>
        <v/>
      </c>
      <c r="N34" s="22">
        <f>IF(COUNT(N33,N12)=2,IF(N(N12)=0,"",N33/N12),"")</f>
        <v/>
      </c>
      <c r="O34" s="22">
        <f>IF(N(O12)=0,"",O33/O12)</f>
        <v/>
      </c>
      <c r="P34" s="22">
        <f>IF(N(P12)=0,"",P33/P12)</f>
        <v/>
      </c>
      <c r="Q34" s="23">
        <f>IF(COUNT(Q33,Q12)=2,IF(N(Q12)=0,"",Q33/Q12),"")</f>
        <v/>
      </c>
      <c r="R34" s="23">
        <f>IF(N(R12)=0,"",R33/R12)</f>
        <v/>
      </c>
      <c r="S34" s="23">
        <f>IF(N(S12)=0,"",S33/S12)</f>
        <v/>
      </c>
      <c r="T34" s="22">
        <f>IF(COUNT(T33,T12)=2,IF(N(T12)=0,"",T33/T12),"")</f>
        <v/>
      </c>
      <c r="U34" s="22">
        <f>IF(N(U12)=0,"",U33/U12)</f>
        <v/>
      </c>
      <c r="V34" s="22">
        <f>IF(N(V12)=0,"",V33/V12)</f>
        <v/>
      </c>
      <c r="W34" s="23">
        <f>IF(COUNT(W33,W12)=2,IF(N(W12)=0,"",W33/W12),"")</f>
        <v/>
      </c>
      <c r="X34" s="23">
        <f>IF(N(X12)=0,"",X33/X12)</f>
        <v/>
      </c>
      <c r="Y34" s="23">
        <f>IF(N(Y12)=0,"",Y33/Y12)</f>
        <v/>
      </c>
      <c r="Z34" s="22">
        <f>IF(COUNT(Z33,Z12)=2,IF(N(Z12)=0,"",Z33/Z12),"")</f>
        <v/>
      </c>
      <c r="AA34" s="22">
        <f>IF(N(AA12)=0,"",AA33/AA12)</f>
        <v/>
      </c>
      <c r="AB34" s="22">
        <f>IF(N(AB12)=0,"",AB33/AB12)</f>
        <v/>
      </c>
      <c r="AC34" s="23">
        <f>IF(COUNT(AC33,AC12)=2,IF(N(AC12)=0,"",AC33/AC12),"")</f>
        <v/>
      </c>
      <c r="AD34" s="23">
        <f>IF(N(AD12)=0,"",AD33/AD12)</f>
        <v/>
      </c>
      <c r="AE34" s="23">
        <f>IF(N(AE12)=0,"",AE33/AE12)</f>
        <v/>
      </c>
      <c r="AF34" s="22">
        <f>IF(COUNT(AF33,AF12)=2,IF(N(AF12)=0,"",AF33/AF12),"")</f>
        <v/>
      </c>
      <c r="AG34" s="22">
        <f>IF(N(AG12)=0,"",AG33/AG12)</f>
        <v/>
      </c>
      <c r="AH34" s="22">
        <f>IF(N(AH12)=0,"",AH33/AH12)</f>
        <v/>
      </c>
      <c r="AI34" s="23">
        <f>IF(COUNT(AI33,AI12)=2,IF(N(AI12)=0,"",AI33/AI12),"")</f>
        <v/>
      </c>
      <c r="AJ34" s="23">
        <f>IF(N(AJ12)=0,"",AJ33/AJ12)</f>
        <v/>
      </c>
      <c r="AK34" s="23">
        <f>IF(N(AK12)=0,"",AK33/AK12)</f>
        <v/>
      </c>
      <c r="AL34" s="22">
        <f>IF(COUNT(AL33,AL12)=2,IF(N(AL12)=0,"",AL33/AL12),"")</f>
        <v/>
      </c>
      <c r="AM34" s="22">
        <f>IF(N(AM12)=0,"",AM33/AM12)</f>
        <v/>
      </c>
      <c r="AN34" s="22">
        <f>IF(N(AN12)=0,"",AN33/AN12)</f>
        <v/>
      </c>
      <c r="AO34" s="23">
        <f>IF(COUNT(AO33,AO12)=2,IF(N(AO12)=0,"",AO33/AO12),"")</f>
        <v/>
      </c>
      <c r="AP34" s="23">
        <f>IF(N(AP12)=0,"",AP33/AP12)</f>
        <v/>
      </c>
      <c r="AQ34" s="23">
        <f>IF(N(AQ12)=0,"",AQ33/AQ12)</f>
        <v/>
      </c>
      <c r="AR34" s="22">
        <f>IF(COUNT(AR33,AR12)=2,IF(N(AR12)=0,"",AR33/AR12),"")</f>
        <v/>
      </c>
      <c r="AS34" s="22">
        <f>IF(N(AS12)=0,"",AS33/AS12)</f>
        <v/>
      </c>
      <c r="AT34" s="22">
        <f>IF(N(AT12)=0,"",AT33/AT12)</f>
        <v/>
      </c>
      <c r="AU34" s="23">
        <f>IF(COUNT(AU33,AU12)=2,IF(N(AU12)=0,"",AU33/AU12),"")</f>
        <v/>
      </c>
      <c r="AV34" s="23">
        <f>IF(N(AV12)=0,"",AV33/AV12)</f>
        <v/>
      </c>
      <c r="AW34" s="23">
        <f>IF(N(AW12)=0,"",AW33/AW12)</f>
        <v/>
      </c>
      <c r="AX34" s="22">
        <f>IF(COUNT(AX33,AX12)=2,IF(N(AX12)=0,"",AX33/AX12),"")</f>
        <v/>
      </c>
      <c r="AY34" s="22">
        <f>IF(N(AY12)=0,"",AY33/AY12)</f>
        <v/>
      </c>
      <c r="AZ34" s="22">
        <f>IF(N(AZ12)=0,"",AZ33/AZ12)</f>
        <v/>
      </c>
      <c r="BA34" s="23">
        <f>IF(COUNT(BA33,BA12)=2,IF(N(BA12)=0,"",BA33/BA12),"")</f>
        <v/>
      </c>
      <c r="BB34" s="23">
        <f>IF(N(BB12)=0,"",BB33/BB12)</f>
        <v/>
      </c>
      <c r="BC34" s="23">
        <f>IF(N(BC12)=0,"",BC33/BC12)</f>
        <v/>
      </c>
      <c r="BD34" s="22">
        <f>IF(COUNT(BD33,BD12)=2,IF(N(BD12)=0,"",BD33/BD12),"")</f>
        <v/>
      </c>
      <c r="BE34" s="22">
        <f>IF(N(BE12)=0,"",BE33/BE12)</f>
        <v/>
      </c>
      <c r="BF34" s="22">
        <f>IF(N(BF12)=0,"",BF33/BF12)</f>
        <v/>
      </c>
      <c r="BG34" s="23">
        <f>IF(COUNT(BG33,BG12)=2,IF(N(BG12)=0,"",BG33/BG12),"")</f>
        <v/>
      </c>
      <c r="BH34" s="23">
        <f>IF(N(BH12)=0,"",BH33/BH12)</f>
        <v/>
      </c>
      <c r="BI34" s="23">
        <f>IF(N(BI12)=0,"",BI33/BI12)</f>
        <v/>
      </c>
      <c r="BJ34" s="22">
        <f>IF(COUNT(BJ33,BJ12)=2,IF(N(BJ12)=0,"",BJ33/BJ12),"")</f>
        <v/>
      </c>
      <c r="BK34" s="22">
        <f>IF(N(BK12)=0,"",BK33/BK12)</f>
        <v/>
      </c>
      <c r="BL34" s="22">
        <f>IF(N(BL12)=0,"",BL33/BL12)</f>
        <v/>
      </c>
      <c r="BM34" s="23">
        <f>IF(COUNT(BM33,BM12)=2,IF(N(BM12)=0,"",BM33/BM12),"")</f>
        <v/>
      </c>
      <c r="BN34" s="23">
        <f>IF(N(BN12)=0,"",BN33/BN12)</f>
        <v/>
      </c>
      <c r="BO34" s="23">
        <f>IF(N(BO12)=0,"",BO33/BO12)</f>
        <v/>
      </c>
      <c r="BP34" s="22">
        <f>IF(COUNT(BP33,BP12)=2,IF(N(BP12)=0,"",BP33/BP12),"")</f>
        <v/>
      </c>
      <c r="BQ34" s="22">
        <f>IF(N(BQ12)=0,"",BQ33/BQ12)</f>
        <v/>
      </c>
      <c r="BR34" s="22">
        <f>IF(N(BR12)=0,"",BR33/BR12)</f>
        <v/>
      </c>
      <c r="BS34" s="23">
        <f>IF(COUNT(BS33,BS12)=2,IF(N(BS12)=0,"",BS33/BS12),"")</f>
        <v/>
      </c>
      <c r="BT34" s="23">
        <f>IF(N(BT12)=0,"",BT33/BT12)</f>
        <v/>
      </c>
      <c r="BU34" s="23">
        <f>IF(N(BU12)=0,"",BU33/BU12)</f>
        <v/>
      </c>
      <c r="BV34" s="22">
        <f>IF(COUNT(BV33,BV12)=2,IF(N(BV12)=0,"",BV33/BV12),"")</f>
        <v/>
      </c>
      <c r="BW34" s="22">
        <f>IF(N(BW12)=0,"",BW33/BW12)</f>
        <v/>
      </c>
      <c r="BX34" s="22">
        <f>IF(N(BX12)=0,"",BX33/BX12)</f>
        <v/>
      </c>
      <c r="BY34" s="23">
        <f>IF(COUNT(BY33,BY12)=2,IF(N(BY12)=0,"",BY33/BY12),"")</f>
        <v/>
      </c>
      <c r="BZ34" s="23">
        <f>IF(N(BZ12)=0,"",BZ33/BZ12)</f>
        <v/>
      </c>
      <c r="CA34" s="23">
        <f>IF(N(CA12)=0,"",CA33/CA12)</f>
        <v/>
      </c>
      <c r="CB34" s="22">
        <f>IF(COUNT(CB33,CB12)=2,IF(N(CB12)=0,"",CB33/CB12),"")</f>
        <v/>
      </c>
      <c r="CC34" s="22">
        <f>IF(N(CC12)=0,"",CC33/CC12)</f>
        <v/>
      </c>
      <c r="CD34" s="22">
        <f>IF(N(CD12)=0,"",CD33/CD12)</f>
        <v/>
      </c>
      <c r="CE34" s="23">
        <f>IF(COUNT(CE33,CE12)=2,IF(N(CE12)=0,"",CE33/CE12),"")</f>
        <v/>
      </c>
      <c r="CF34" s="23">
        <f>IF(N(CF12)=0,"",CF33/CF12)</f>
        <v/>
      </c>
      <c r="CG34" s="23">
        <f>IF(N(CG12)=0,"",CG33/CG12)</f>
        <v/>
      </c>
      <c r="CH34" s="22">
        <f>IF(COUNT(CH33,CH12)=2,IF(N(CH12)=0,"",CH33/CH12),"")</f>
        <v/>
      </c>
      <c r="CI34" s="22">
        <f>IF(N(CI12)=0,"",CI33/CI12)</f>
        <v/>
      </c>
      <c r="CJ34" s="22">
        <f>IF(N(CJ12)=0,"",CJ33/CJ12)</f>
        <v/>
      </c>
      <c r="CK34" s="23">
        <f>IF(COUNT(CK33,CK12)=2,IF(N(CK12)=0,"",CK33/CK12),"")</f>
        <v/>
      </c>
      <c r="CL34" s="23">
        <f>IF(N(CL12)=0,"",CL33/CL12)</f>
        <v/>
      </c>
      <c r="CM34" s="23">
        <f>IF(N(CM12)=0,"",CM33/CM12)</f>
        <v/>
      </c>
      <c r="CN34" s="22">
        <f>IF(COUNT(CN33,CN12)=2,IF(N(CN12)=0,"",CN33/CN12),"")</f>
        <v/>
      </c>
      <c r="CO34" s="22">
        <f>IF(N(CO12)=0,"",CO33/CO12)</f>
        <v/>
      </c>
      <c r="CP34" s="22">
        <f>IF(N(CP12)=0,"",CP33/CP12)</f>
        <v/>
      </c>
      <c r="CQ34" s="23">
        <f>IF(COUNT(CQ33,CQ12)=2,IF(N(CQ12)=0,"",CQ33/CQ12),"")</f>
        <v/>
      </c>
      <c r="CR34" s="23">
        <f>IF(N(CR12)=0,"",CR33/CR12)</f>
        <v/>
      </c>
      <c r="CS34" s="23">
        <f>IF(N(CS12)=0,"",CS33/CS12)</f>
        <v/>
      </c>
      <c r="CT34" s="22">
        <f>IF(COUNT(CT33,CT12)=2,IF(N(CT12)=0,"",CT33/CT12),"")</f>
        <v/>
      </c>
      <c r="CU34" s="22">
        <f>IF(N(CU12)=0,"",CU33/CU12)</f>
        <v/>
      </c>
      <c r="CV34" s="22">
        <f>IF(N(CV12)=0,"",CV33/CV12)</f>
        <v/>
      </c>
      <c r="CW34" s="23">
        <f>IF(COUNT(CW33,CW12)=2,IF(N(CW12)=0,"",CW33/CW12),"")</f>
        <v/>
      </c>
      <c r="CX34" s="23">
        <f>IF(N(CX12)=0,"",CX33/CX12)</f>
        <v/>
      </c>
      <c r="CY34" s="23">
        <f>IF(N(CY12)=0,"",CY33/CY12)</f>
        <v/>
      </c>
      <c r="CZ34" s="22">
        <f>IF(COUNT(CZ33,CZ12)=2,IF(N(CZ12)=0,"",CZ33/CZ12),"")</f>
        <v/>
      </c>
      <c r="DA34" s="22">
        <f>IF(N(DA12)=0,"",DA33/DA12)</f>
        <v/>
      </c>
      <c r="DB34" s="22">
        <f>IF(N(DB12)=0,"",DB33/DB12)</f>
        <v/>
      </c>
      <c r="DC34" s="23">
        <f>IF(COUNT(DC33,DC12)=2,IF(N(DC12)=0,"",DC33/DC12),"")</f>
        <v/>
      </c>
      <c r="DD34" s="23">
        <f>IF(N(DD12)=0,"",DD33/DD12)</f>
        <v/>
      </c>
      <c r="DE34" s="23">
        <f>IF(N(DE12)=0,"",DE33/DE12)</f>
        <v/>
      </c>
      <c r="DF34" s="22">
        <f>IF(COUNT(DF33,DF12)=2,IF(N(DF12)=0,"",DF33/DF12),"")</f>
        <v/>
      </c>
      <c r="DG34" s="22">
        <f>IF(N(DG12)=0,"",DG33/DG12)</f>
        <v/>
      </c>
      <c r="DH34" s="22">
        <f>IF(N(DH12)=0,"",DH33/DH12)</f>
        <v/>
      </c>
      <c r="DI34" s="23">
        <f>IF(COUNT(DI33,DI12)=2,IF(N(DI12)=0,"",DI33/DI12),"")</f>
        <v/>
      </c>
      <c r="DJ34" s="23">
        <f>IF(N(DJ12)=0,"",DJ33/DJ12)</f>
        <v/>
      </c>
      <c r="DK34" s="23">
        <f>IF(N(DK12)=0,"",DK33/DK12)</f>
        <v/>
      </c>
      <c r="DL34" s="22">
        <f>IF(COUNT(DL33,DL12)=2,IF(N(DL12)=0,"",DL33/DL12),"")</f>
        <v/>
      </c>
      <c r="DM34" s="22">
        <f>IF(N(DM12)=0,"",DM33/DM12)</f>
        <v/>
      </c>
      <c r="DN34" s="22">
        <f>IF(N(DN12)=0,"",DN33/DN12)</f>
        <v/>
      </c>
    </row>
    <row r="35">
      <c r="A35" s="15" t="inlineStr">
        <is>
          <t>People</t>
        </is>
      </c>
      <c r="B35" s="35" t="n"/>
      <c r="C35" s="35" t="n"/>
      <c r="D35" s="35" t="n"/>
      <c r="H35" s="35" t="n"/>
      <c r="I35" s="35" t="n"/>
      <c r="J35" s="35" t="n"/>
      <c r="N35" s="35" t="n"/>
      <c r="O35" s="35" t="n"/>
      <c r="P35" s="35" t="n"/>
      <c r="T35" s="35" t="n"/>
      <c r="U35" s="35" t="n"/>
      <c r="V35" s="35" t="n"/>
      <c r="Z35" s="35" t="n"/>
      <c r="AA35" s="35" t="n"/>
      <c r="AB35" s="35" t="n"/>
      <c r="AF35" s="35" t="n"/>
      <c r="AG35" s="35" t="n"/>
      <c r="AH35" s="35" t="n"/>
      <c r="AL35" s="35" t="n"/>
      <c r="AM35" s="35" t="n"/>
      <c r="AN35" s="35" t="n"/>
      <c r="AR35" s="35" t="n"/>
      <c r="AS35" s="35" t="n"/>
      <c r="AT35" s="35" t="n"/>
      <c r="AX35" s="35" t="n"/>
      <c r="AY35" s="35" t="n"/>
      <c r="AZ35" s="35" t="n"/>
      <c r="BD35" s="35" t="n"/>
      <c r="BE35" s="35" t="n"/>
      <c r="BF35" s="35" t="n"/>
      <c r="BJ35" s="35" t="n"/>
      <c r="BK35" s="35" t="n"/>
      <c r="BL35" s="35" t="n"/>
      <c r="BP35" s="35" t="n"/>
      <c r="BQ35" s="35" t="n"/>
      <c r="BR35" s="35" t="n"/>
      <c r="BV35" s="35" t="n"/>
      <c r="BW35" s="35" t="n"/>
      <c r="BX35" s="35" t="n"/>
      <c r="CB35" s="35" t="n"/>
      <c r="CC35" s="35" t="n"/>
      <c r="CD35" s="35" t="n"/>
      <c r="CH35" s="35" t="n"/>
      <c r="CI35" s="35" t="n"/>
      <c r="CJ35" s="35" t="n"/>
      <c r="CN35" s="35" t="n"/>
      <c r="CO35" s="35" t="n"/>
      <c r="CP35" s="35" t="n"/>
      <c r="CT35" s="35" t="n"/>
      <c r="CU35" s="35" t="n"/>
      <c r="CV35" s="35" t="n"/>
      <c r="CZ35" s="35" t="n"/>
      <c r="DA35" s="35" t="n"/>
      <c r="DB35" s="35" t="n"/>
      <c r="DF35" s="35" t="n"/>
      <c r="DG35" s="35" t="n"/>
      <c r="DH35" s="35" t="n"/>
      <c r="DL35" s="35" t="n"/>
      <c r="DM35" s="35" t="n"/>
      <c r="DN35" s="35" t="n"/>
    </row>
    <row r="36">
      <c r="A36" s="2" t="inlineStr">
        <is>
          <t>Head of Customer Success</t>
        </is>
      </c>
      <c r="B36" s="10">
        <f>IF(COUNT(AR36,AO36,AL36,AI36,AF36,AC36,Z36,W36,T36,Q36,N36,K36)=0,"",SUM(AR36,AO36,AL36,AI36,AF36,AC36,Z36,W36,T36,Q36,N36,K36))</f>
        <v/>
      </c>
      <c r="C36" s="10">
        <f>IF(COUNT(AS36,AP36,AM36,AJ36,AG36,AD36,AA36,X36,U36,R36,O36,L36)=0,"",SUM(AS36,AP36,AM36,AJ36,AG36,AD36,AA36,X36,U36,R36,O36,L36))</f>
        <v/>
      </c>
      <c r="D36" s="10">
        <f>IF(COUNT(AT36,AQ36,AN36,AK36,AH36,AE36,AB36,Y36,V36,S36,P36,M36)=0,"",SUM(AT36,AQ36,AN36,AK36,AH36,AE36,AB36,Y36,V36,S36,P36,M36))</f>
        <v/>
      </c>
      <c r="E36" s="11">
        <f>IF(COUNT(CB36,BY36,BV36,BS36,BP36,BM36,BJ36,BG36,BD36,BA36,AX36,AU36)=0,"",SUM(CB36,BY36,BV36,BS36,BP36,BM36,BJ36,BG36,BD36,BA36,AX36,AU36))</f>
        <v/>
      </c>
      <c r="F36" s="11">
        <f>IF(COUNT(CC36,BZ36,BW36,BT36,BQ36,BN36,BK36,BH36,BE36,BB36,AY36,AV36)=0,"",SUM(CC36,BZ36,BW36,BT36,BQ36,BN36,BK36,BH36,BE36,BB36,AY36,AV36))</f>
        <v/>
      </c>
      <c r="G36" s="11">
        <f>IF(COUNT(CD36,CA36,BX36,BU36,BR36,BO36,BL36,BI36,BF36,BC36,AZ36,AW36)=0,"",SUM(CD36,CA36,BX36,BU36,BR36,BO36,BL36,BI36,BF36,BC36,AZ36,AW36))</f>
        <v/>
      </c>
      <c r="H36" s="10">
        <f>IF(COUNT(DL36,DI36,DF36,DC36,CZ36,CW36,CT36,CQ36,CN36,CK36,CH36,CE36)=0,"",SUM(DL36,DI36,DF36,DC36,CZ36,CW36,CT36,CQ36,CN36,CK36,CH36,CE36))</f>
        <v/>
      </c>
      <c r="I36" s="10">
        <f>IF(COUNT(DM36,DJ36,DG36,DD36,DA36,CX36,CU36,CR36,CO36,CL36,CI36,CF36)=0,"",SUM(DM36,DJ36,DG36,DD36,DA36,CX36,CU36,CR36,CO36,CL36,CI36,CF36))</f>
        <v/>
      </c>
      <c r="J36" s="10">
        <f>IF(COUNT(DN36,DK36,DH36,DE36,DB36,CY36,CV36,CS36,CP36,CM36,CJ36,CG36)=0,"",SUM(DN36,DK36,DH36,DE36,DB36,CY36,CV36,CS36,CP36,CM36,CJ36,CG36))</f>
        <v/>
      </c>
      <c r="K36" s="11" t="n"/>
      <c r="L36" s="11" t="n">
        <v>12000</v>
      </c>
      <c r="M36" s="11" t="n">
        <v>12000</v>
      </c>
      <c r="N36" s="10" t="n"/>
      <c r="O36" s="10" t="n">
        <v>12000</v>
      </c>
      <c r="P36" s="10" t="n">
        <v>12000</v>
      </c>
      <c r="Q36" s="11" t="n"/>
      <c r="R36" s="11" t="n">
        <v>12000</v>
      </c>
      <c r="S36" s="11" t="n">
        <v>12000</v>
      </c>
      <c r="T36" s="10" t="n"/>
      <c r="U36" s="10" t="n">
        <v>12000</v>
      </c>
      <c r="V36" s="10" t="n">
        <v>12000</v>
      </c>
      <c r="W36" s="11" t="n"/>
      <c r="X36" s="11" t="n">
        <v>12000</v>
      </c>
      <c r="Y36" s="11" t="n">
        <v>12000</v>
      </c>
      <c r="Z36" s="10" t="n"/>
      <c r="AA36" s="10" t="n">
        <v>12000</v>
      </c>
      <c r="AB36" s="10" t="n">
        <v>12000</v>
      </c>
      <c r="AC36" s="11" t="n"/>
      <c r="AD36" s="11" t="n">
        <v>12000</v>
      </c>
      <c r="AE36" s="11" t="n">
        <v>12000</v>
      </c>
      <c r="AF36" s="10" t="n"/>
      <c r="AG36" s="10" t="n">
        <v>12000</v>
      </c>
      <c r="AH36" s="10" t="n">
        <v>12000</v>
      </c>
      <c r="AI36" s="11" t="n"/>
      <c r="AJ36" s="11" t="n">
        <v>12000</v>
      </c>
      <c r="AK36" s="11" t="n">
        <v>12000</v>
      </c>
      <c r="AL36" s="10" t="n"/>
      <c r="AM36" s="10" t="n">
        <v>12000</v>
      </c>
      <c r="AN36" s="10" t="n">
        <v>12000</v>
      </c>
      <c r="AO36" s="11" t="n"/>
      <c r="AP36" s="11" t="n">
        <v>12000</v>
      </c>
      <c r="AQ36" s="11" t="n">
        <v>12000</v>
      </c>
      <c r="AR36" s="10" t="n"/>
      <c r="AS36" s="10" t="n">
        <v>12000</v>
      </c>
      <c r="AT36" s="10" t="n">
        <v>12000</v>
      </c>
      <c r="AU36" s="11" t="n"/>
      <c r="AV36" s="11" t="n">
        <v>12000</v>
      </c>
      <c r="AW36" s="11" t="n">
        <v>12000</v>
      </c>
      <c r="AX36" s="10" t="n"/>
      <c r="AY36" s="10" t="n">
        <v>12000</v>
      </c>
      <c r="AZ36" s="10" t="n">
        <v>12000</v>
      </c>
      <c r="BA36" s="11" t="n"/>
      <c r="BB36" s="11" t="n">
        <v>12000</v>
      </c>
      <c r="BC36" s="11" t="n">
        <v>12000</v>
      </c>
      <c r="BD36" s="10" t="n"/>
      <c r="BE36" s="10" t="n">
        <v>12000</v>
      </c>
      <c r="BF36" s="10" t="n">
        <v>12000</v>
      </c>
      <c r="BG36" s="11" t="n"/>
      <c r="BH36" s="11" t="n">
        <v>12000</v>
      </c>
      <c r="BI36" s="11" t="n">
        <v>12000</v>
      </c>
      <c r="BJ36" s="10" t="n"/>
      <c r="BK36" s="10" t="n">
        <v>12000</v>
      </c>
      <c r="BL36" s="10" t="n">
        <v>12000</v>
      </c>
      <c r="BM36" s="11" t="n"/>
      <c r="BN36" s="11" t="n">
        <v>12000</v>
      </c>
      <c r="BO36" s="11" t="n">
        <v>12000</v>
      </c>
      <c r="BP36" s="10" t="n"/>
      <c r="BQ36" s="10" t="n">
        <v>12000</v>
      </c>
      <c r="BR36" s="10" t="n">
        <v>12000</v>
      </c>
      <c r="BS36" s="11" t="n"/>
      <c r="BT36" s="11" t="n">
        <v>12000</v>
      </c>
      <c r="BU36" s="11" t="n">
        <v>12000</v>
      </c>
      <c r="BV36" s="10" t="n"/>
      <c r="BW36" s="10" t="n">
        <v>12000</v>
      </c>
      <c r="BX36" s="10" t="n">
        <v>12000</v>
      </c>
      <c r="BY36" s="11" t="n"/>
      <c r="BZ36" s="11" t="n">
        <v>12000</v>
      </c>
      <c r="CA36" s="11" t="n">
        <v>12000</v>
      </c>
      <c r="CB36" s="10" t="n"/>
      <c r="CC36" s="10" t="n">
        <v>12000</v>
      </c>
      <c r="CD36" s="10" t="n">
        <v>12000</v>
      </c>
      <c r="CE36" s="11" t="n"/>
      <c r="CF36" s="11" t="n">
        <v>12000</v>
      </c>
      <c r="CG36" s="11" t="n">
        <v>12000</v>
      </c>
      <c r="CH36" s="10" t="n"/>
      <c r="CI36" s="10" t="n">
        <v>12000</v>
      </c>
      <c r="CJ36" s="10" t="n">
        <v>12000</v>
      </c>
      <c r="CK36" s="11" t="n"/>
      <c r="CL36" s="11" t="n">
        <v>12000</v>
      </c>
      <c r="CM36" s="11" t="n">
        <v>12000</v>
      </c>
      <c r="CN36" s="10" t="n"/>
      <c r="CO36" s="10" t="n">
        <v>12000</v>
      </c>
      <c r="CP36" s="10" t="n">
        <v>12000</v>
      </c>
      <c r="CQ36" s="11" t="n"/>
      <c r="CR36" s="11" t="n">
        <v>12000</v>
      </c>
      <c r="CS36" s="11" t="n">
        <v>12000</v>
      </c>
      <c r="CT36" s="10" t="n"/>
      <c r="CU36" s="10" t="n">
        <v>12000</v>
      </c>
      <c r="CV36" s="10" t="n">
        <v>12000</v>
      </c>
      <c r="CW36" s="11" t="n"/>
      <c r="CX36" s="11" t="n">
        <v>12000</v>
      </c>
      <c r="CY36" s="11" t="n">
        <v>12000</v>
      </c>
      <c r="CZ36" s="10" t="n"/>
      <c r="DA36" s="10" t="n">
        <v>12000</v>
      </c>
      <c r="DB36" s="10" t="n">
        <v>12000</v>
      </c>
      <c r="DC36" s="11" t="n"/>
      <c r="DD36" s="11" t="n">
        <v>12000</v>
      </c>
      <c r="DE36" s="11" t="n">
        <v>12000</v>
      </c>
      <c r="DF36" s="10" t="n"/>
      <c r="DG36" s="10" t="n">
        <v>12000</v>
      </c>
      <c r="DH36" s="10" t="n">
        <v>12000</v>
      </c>
      <c r="DI36" s="11" t="n">
        <v>12000</v>
      </c>
      <c r="DJ36" s="11" t="n">
        <v>12000</v>
      </c>
      <c r="DK36" s="11" t="n">
        <v>12000</v>
      </c>
      <c r="DL36" s="10" t="n">
        <v>12000</v>
      </c>
      <c r="DM36" s="10" t="n">
        <v>12000</v>
      </c>
      <c r="DN36" s="10" t="n">
        <v>12000</v>
      </c>
    </row>
    <row r="37">
      <c r="A37" s="2" t="inlineStr">
        <is>
          <t>Customer Success Manager</t>
        </is>
      </c>
      <c r="B37" s="10">
        <f>IF(COUNT(AR37,AO37,AL37,AI37,AF37,AC37,Z37,W37,T37,Q37,N37,K37)=0,"",SUM(AR37,AO37,AL37,AI37,AF37,AC37,Z37,W37,T37,Q37,N37,K37))</f>
        <v/>
      </c>
      <c r="C37" s="10">
        <f>IF(COUNT(AS37,AP37,AM37,AJ37,AG37,AD37,AA37,X37,U37,R37,O37,L37)=0,"",SUM(AS37,AP37,AM37,AJ37,AG37,AD37,AA37,X37,U37,R37,O37,L37))</f>
        <v/>
      </c>
      <c r="D37" s="10">
        <f>IF(COUNT(AT37,AQ37,AN37,AK37,AH37,AE37,AB37,Y37,V37,S37,P37,M37)=0,"",SUM(AT37,AQ37,AN37,AK37,AH37,AE37,AB37,Y37,V37,S37,P37,M37))</f>
        <v/>
      </c>
      <c r="E37" s="11">
        <f>IF(COUNT(CB37,BY37,BV37,BS37,BP37,BM37,BJ37,BG37,BD37,BA37,AX37,AU37)=0,"",SUM(CB37,BY37,BV37,BS37,BP37,BM37,BJ37,BG37,BD37,BA37,AX37,AU37))</f>
        <v/>
      </c>
      <c r="F37" s="11">
        <f>IF(COUNT(CC37,BZ37,BW37,BT37,BQ37,BN37,BK37,BH37,BE37,BB37,AY37,AV37)=0,"",SUM(CC37,BZ37,BW37,BT37,BQ37,BN37,BK37,BH37,BE37,BB37,AY37,AV37))</f>
        <v/>
      </c>
      <c r="G37" s="11">
        <f>IF(COUNT(CD37,CA37,BX37,BU37,BR37,BO37,BL37,BI37,BF37,BC37,AZ37,AW37)=0,"",SUM(CD37,CA37,BX37,BU37,BR37,BO37,BL37,BI37,BF37,BC37,AZ37,AW37))</f>
        <v/>
      </c>
      <c r="H37" s="10">
        <f>IF(COUNT(DL37,DI37,DF37,DC37,CZ37,CW37,CT37,CQ37,CN37,CK37,CH37,CE37)=0,"",SUM(DL37,DI37,DF37,DC37,CZ37,CW37,CT37,CQ37,CN37,CK37,CH37,CE37))</f>
        <v/>
      </c>
      <c r="I37" s="10">
        <f>IF(COUNT(DM37,DJ37,DG37,DD37,DA37,CX37,CU37,CR37,CO37,CL37,CI37,CF37)=0,"",SUM(DM37,DJ37,DG37,DD37,DA37,CX37,CU37,CR37,CO37,CL37,CI37,CF37))</f>
        <v/>
      </c>
      <c r="J37" s="10">
        <f>IF(COUNT(DN37,DK37,DH37,DE37,DB37,CY37,CV37,CS37,CP37,CM37,CJ37,CG37)=0,"",SUM(DN37,DK37,DH37,DE37,DB37,CY37,CV37,CS37,CP37,CM37,CJ37,CG37))</f>
        <v/>
      </c>
      <c r="K37" s="11" t="n"/>
      <c r="L37" s="11" t="n">
        <v>9000</v>
      </c>
      <c r="M37" s="11" t="n">
        <v>9000</v>
      </c>
      <c r="N37" s="10" t="n"/>
      <c r="O37" s="10" t="n">
        <v>9000</v>
      </c>
      <c r="P37" s="10" t="n">
        <v>9000</v>
      </c>
      <c r="Q37" s="11" t="n"/>
      <c r="R37" s="11" t="n">
        <v>9000</v>
      </c>
      <c r="S37" s="11" t="n">
        <v>9000</v>
      </c>
      <c r="T37" s="10" t="n"/>
      <c r="U37" s="10" t="n">
        <v>9000</v>
      </c>
      <c r="V37" s="10" t="n">
        <v>9000</v>
      </c>
      <c r="W37" s="11" t="n"/>
      <c r="X37" s="11" t="n">
        <v>9000</v>
      </c>
      <c r="Y37" s="11" t="n">
        <v>9000</v>
      </c>
      <c r="Z37" s="10" t="n"/>
      <c r="AA37" s="10" t="n">
        <v>9000</v>
      </c>
      <c r="AB37" s="10" t="n">
        <v>9000</v>
      </c>
      <c r="AC37" s="11" t="n"/>
      <c r="AD37" s="11" t="n">
        <v>9000</v>
      </c>
      <c r="AE37" s="11" t="n">
        <v>9000</v>
      </c>
      <c r="AF37" s="10" t="n"/>
      <c r="AG37" s="10" t="n">
        <v>9000</v>
      </c>
      <c r="AH37" s="10" t="n">
        <v>9000</v>
      </c>
      <c r="AI37" s="11" t="n"/>
      <c r="AJ37" s="11" t="n">
        <v>9000</v>
      </c>
      <c r="AK37" s="11" t="n">
        <v>9000</v>
      </c>
      <c r="AL37" s="10" t="n"/>
      <c r="AM37" s="10" t="n">
        <v>9000</v>
      </c>
      <c r="AN37" s="10" t="n">
        <v>9000</v>
      </c>
      <c r="AO37" s="11" t="n"/>
      <c r="AP37" s="11" t="n">
        <v>9000</v>
      </c>
      <c r="AQ37" s="11" t="n">
        <v>9000</v>
      </c>
      <c r="AR37" s="10" t="n"/>
      <c r="AS37" s="10" t="n">
        <v>9000</v>
      </c>
      <c r="AT37" s="10" t="n">
        <v>9000</v>
      </c>
      <c r="AU37" s="11" t="n"/>
      <c r="AV37" s="11" t="n">
        <v>9000</v>
      </c>
      <c r="AW37" s="11" t="n">
        <v>9000</v>
      </c>
      <c r="AX37" s="10" t="n"/>
      <c r="AY37" s="10" t="n">
        <v>9000</v>
      </c>
      <c r="AZ37" s="10" t="n">
        <v>9000</v>
      </c>
      <c r="BA37" s="11" t="n"/>
      <c r="BB37" s="11" t="n">
        <v>9000</v>
      </c>
      <c r="BC37" s="11" t="n">
        <v>9000</v>
      </c>
      <c r="BD37" s="10" t="n"/>
      <c r="BE37" s="10" t="n">
        <v>9000</v>
      </c>
      <c r="BF37" s="10" t="n">
        <v>9000</v>
      </c>
      <c r="BG37" s="11" t="n"/>
      <c r="BH37" s="11" t="n">
        <v>9000</v>
      </c>
      <c r="BI37" s="11" t="n">
        <v>9000</v>
      </c>
      <c r="BJ37" s="10" t="n"/>
      <c r="BK37" s="10" t="n">
        <v>9000</v>
      </c>
      <c r="BL37" s="10" t="n">
        <v>9000</v>
      </c>
      <c r="BM37" s="11" t="n"/>
      <c r="BN37" s="11" t="n">
        <v>9000</v>
      </c>
      <c r="BO37" s="11" t="n">
        <v>9000</v>
      </c>
      <c r="BP37" s="10" t="n"/>
      <c r="BQ37" s="10" t="n">
        <v>9000</v>
      </c>
      <c r="BR37" s="10" t="n">
        <v>9000</v>
      </c>
      <c r="BS37" s="11" t="n"/>
      <c r="BT37" s="11" t="n">
        <v>9000</v>
      </c>
      <c r="BU37" s="11" t="n">
        <v>9000</v>
      </c>
      <c r="BV37" s="10" t="n"/>
      <c r="BW37" s="10" t="n">
        <v>9000</v>
      </c>
      <c r="BX37" s="10" t="n">
        <v>9000</v>
      </c>
      <c r="BY37" s="11" t="n"/>
      <c r="BZ37" s="11" t="n">
        <v>9000</v>
      </c>
      <c r="CA37" s="11" t="n">
        <v>9000</v>
      </c>
      <c r="CB37" s="10" t="n"/>
      <c r="CC37" s="10" t="n">
        <v>9000</v>
      </c>
      <c r="CD37" s="10" t="n">
        <v>9000</v>
      </c>
      <c r="CE37" s="11" t="n"/>
      <c r="CF37" s="11" t="n">
        <v>9000</v>
      </c>
      <c r="CG37" s="11" t="n">
        <v>9000</v>
      </c>
      <c r="CH37" s="10" t="n"/>
      <c r="CI37" s="10" t="n">
        <v>9000</v>
      </c>
      <c r="CJ37" s="10" t="n">
        <v>9000</v>
      </c>
      <c r="CK37" s="11" t="n"/>
      <c r="CL37" s="11" t="n">
        <v>9000</v>
      </c>
      <c r="CM37" s="11" t="n">
        <v>9000</v>
      </c>
      <c r="CN37" s="10" t="n"/>
      <c r="CO37" s="10" t="n">
        <v>9000</v>
      </c>
      <c r="CP37" s="10" t="n">
        <v>9000</v>
      </c>
      <c r="CQ37" s="11" t="n"/>
      <c r="CR37" s="11" t="n">
        <v>9000</v>
      </c>
      <c r="CS37" s="11" t="n">
        <v>9000</v>
      </c>
      <c r="CT37" s="10" t="n"/>
      <c r="CU37" s="10" t="n">
        <v>9000</v>
      </c>
      <c r="CV37" s="10" t="n">
        <v>9000</v>
      </c>
      <c r="CW37" s="11" t="n"/>
      <c r="CX37" s="11" t="n">
        <v>9000</v>
      </c>
      <c r="CY37" s="11" t="n">
        <v>9000</v>
      </c>
      <c r="CZ37" s="10" t="n"/>
      <c r="DA37" s="10" t="n">
        <v>9000</v>
      </c>
      <c r="DB37" s="10" t="n">
        <v>9000</v>
      </c>
      <c r="DC37" s="11" t="n"/>
      <c r="DD37" s="11" t="n">
        <v>9000</v>
      </c>
      <c r="DE37" s="11" t="n">
        <v>9000</v>
      </c>
      <c r="DF37" s="10" t="n"/>
      <c r="DG37" s="10" t="n">
        <v>9000</v>
      </c>
      <c r="DH37" s="10" t="n">
        <v>9000</v>
      </c>
      <c r="DI37" s="11" t="n">
        <v>9000</v>
      </c>
      <c r="DJ37" s="11" t="n">
        <v>9000</v>
      </c>
      <c r="DK37" s="11" t="n">
        <v>9000</v>
      </c>
      <c r="DL37" s="10" t="n">
        <v>9000</v>
      </c>
      <c r="DM37" s="10" t="n">
        <v>9000</v>
      </c>
      <c r="DN37" s="10" t="n">
        <v>9000</v>
      </c>
    </row>
    <row r="38">
      <c r="A38" s="2" t="inlineStr">
        <is>
          <t>Customer Success Manager</t>
        </is>
      </c>
      <c r="B38" s="10">
        <f>IF(COUNT(AR38,AO38,AL38,AI38,AF38,AC38,Z38,W38,T38,Q38,N38,K38)=0,"",SUM(AR38,AO38,AL38,AI38,AF38,AC38,Z38,W38,T38,Q38,N38,K38))</f>
        <v/>
      </c>
      <c r="C38" s="10">
        <f>IF(COUNT(AS38,AP38,AM38,AJ38,AG38,AD38,AA38,X38,U38,R38,O38,L38)=0,"",SUM(AS38,AP38,AM38,AJ38,AG38,AD38,AA38,X38,U38,R38,O38,L38))</f>
        <v/>
      </c>
      <c r="D38" s="10">
        <f>IF(COUNT(AT38,AQ38,AN38,AK38,AH38,AE38,AB38,Y38,V38,S38,P38,M38)=0,"",SUM(AT38,AQ38,AN38,AK38,AH38,AE38,AB38,Y38,V38,S38,P38,M38))</f>
        <v/>
      </c>
      <c r="E38" s="11">
        <f>IF(COUNT(CB38,BY38,BV38,BS38,BP38,BM38,BJ38,BG38,BD38,BA38,AX38,AU38)=0,"",SUM(CB38,BY38,BV38,BS38,BP38,BM38,BJ38,BG38,BD38,BA38,AX38,AU38))</f>
        <v/>
      </c>
      <c r="F38" s="11">
        <f>IF(COUNT(CC38,BZ38,BW38,BT38,BQ38,BN38,BK38,BH38,BE38,BB38,AY38,AV38)=0,"",SUM(CC38,BZ38,BW38,BT38,BQ38,BN38,BK38,BH38,BE38,BB38,AY38,AV38))</f>
        <v/>
      </c>
      <c r="G38" s="11">
        <f>IF(COUNT(CD38,CA38,BX38,BU38,BR38,BO38,BL38,BI38,BF38,BC38,AZ38,AW38)=0,"",SUM(CD38,CA38,BX38,BU38,BR38,BO38,BL38,BI38,BF38,BC38,AZ38,AW38))</f>
        <v/>
      </c>
      <c r="H38" s="10">
        <f>IF(COUNT(DL38,DI38,DF38,DC38,CZ38,CW38,CT38,CQ38,CN38,CK38,CH38,CE38)=0,"",SUM(DL38,DI38,DF38,DC38,CZ38,CW38,CT38,CQ38,CN38,CK38,CH38,CE38))</f>
        <v/>
      </c>
      <c r="I38" s="10">
        <f>IF(COUNT(DM38,DJ38,DG38,DD38,DA38,CX38,CU38,CR38,CO38,CL38,CI38,CF38)=0,"",SUM(DM38,DJ38,DG38,DD38,DA38,CX38,CU38,CR38,CO38,CL38,CI38,CF38))</f>
        <v/>
      </c>
      <c r="J38" s="10">
        <f>IF(COUNT(DN38,DK38,DH38,DE38,DB38,CY38,CV38,CS38,CP38,CM38,CJ38,CG38)=0,"",SUM(DN38,DK38,DH38,DE38,DB38,CY38,CV38,CS38,CP38,CM38,CJ38,CG38))</f>
        <v/>
      </c>
      <c r="K38" s="11" t="n"/>
      <c r="L38" s="11" t="n">
        <v>9000</v>
      </c>
      <c r="M38" s="11" t="n">
        <v>9000</v>
      </c>
      <c r="N38" s="10" t="n"/>
      <c r="O38" s="10" t="n">
        <v>9000</v>
      </c>
      <c r="P38" s="10" t="n">
        <v>9000</v>
      </c>
      <c r="Q38" s="11" t="n"/>
      <c r="R38" s="11" t="n">
        <v>9000</v>
      </c>
      <c r="S38" s="11" t="n">
        <v>9000</v>
      </c>
      <c r="T38" s="10" t="n"/>
      <c r="U38" s="10" t="n">
        <v>9000</v>
      </c>
      <c r="V38" s="10" t="n">
        <v>9000</v>
      </c>
      <c r="W38" s="11" t="n"/>
      <c r="X38" s="11" t="n">
        <v>9000</v>
      </c>
      <c r="Y38" s="11" t="n">
        <v>9000</v>
      </c>
      <c r="Z38" s="10" t="n"/>
      <c r="AA38" s="10" t="n">
        <v>9000</v>
      </c>
      <c r="AB38" s="10" t="n">
        <v>9000</v>
      </c>
      <c r="AC38" s="11" t="n"/>
      <c r="AD38" s="11" t="n">
        <v>9000</v>
      </c>
      <c r="AE38" s="11" t="n">
        <v>9000</v>
      </c>
      <c r="AF38" s="10" t="n"/>
      <c r="AG38" s="10" t="n">
        <v>9000</v>
      </c>
      <c r="AH38" s="10" t="n">
        <v>9000</v>
      </c>
      <c r="AI38" s="11" t="n"/>
      <c r="AJ38" s="11" t="n">
        <v>9000</v>
      </c>
      <c r="AK38" s="11" t="n">
        <v>9000</v>
      </c>
      <c r="AL38" s="10" t="n"/>
      <c r="AM38" s="10" t="n">
        <v>9000</v>
      </c>
      <c r="AN38" s="10" t="n">
        <v>9000</v>
      </c>
      <c r="AO38" s="11" t="n"/>
      <c r="AP38" s="11" t="n">
        <v>9000</v>
      </c>
      <c r="AQ38" s="11" t="n">
        <v>9000</v>
      </c>
      <c r="AR38" s="10" t="n"/>
      <c r="AS38" s="10" t="n">
        <v>9000</v>
      </c>
      <c r="AT38" s="10" t="n">
        <v>9000</v>
      </c>
      <c r="AU38" s="11" t="n"/>
      <c r="AV38" s="11" t="n">
        <v>9000</v>
      </c>
      <c r="AW38" s="11" t="n">
        <v>9000</v>
      </c>
      <c r="AX38" s="10" t="n"/>
      <c r="AY38" s="10" t="n">
        <v>9000</v>
      </c>
      <c r="AZ38" s="10" t="n">
        <v>9000</v>
      </c>
      <c r="BA38" s="11" t="n"/>
      <c r="BB38" s="11" t="n">
        <v>9000</v>
      </c>
      <c r="BC38" s="11" t="n">
        <v>9000</v>
      </c>
      <c r="BD38" s="10" t="n"/>
      <c r="BE38" s="10" t="n">
        <v>9000</v>
      </c>
      <c r="BF38" s="10" t="n">
        <v>9000</v>
      </c>
      <c r="BG38" s="11" t="n"/>
      <c r="BH38" s="11" t="n">
        <v>9000</v>
      </c>
      <c r="BI38" s="11" t="n">
        <v>9000</v>
      </c>
      <c r="BJ38" s="10" t="n"/>
      <c r="BK38" s="10" t="n">
        <v>9000</v>
      </c>
      <c r="BL38" s="10" t="n">
        <v>9000</v>
      </c>
      <c r="BM38" s="11" t="n"/>
      <c r="BN38" s="11" t="n">
        <v>9000</v>
      </c>
      <c r="BO38" s="11" t="n">
        <v>9000</v>
      </c>
      <c r="BP38" s="10" t="n"/>
      <c r="BQ38" s="10" t="n">
        <v>9000</v>
      </c>
      <c r="BR38" s="10" t="n">
        <v>9000</v>
      </c>
      <c r="BS38" s="11" t="n"/>
      <c r="BT38" s="11" t="n">
        <v>9000</v>
      </c>
      <c r="BU38" s="11" t="n">
        <v>9000</v>
      </c>
      <c r="BV38" s="10" t="n"/>
      <c r="BW38" s="10" t="n">
        <v>9000</v>
      </c>
      <c r="BX38" s="10" t="n">
        <v>9000</v>
      </c>
      <c r="BY38" s="11" t="n"/>
      <c r="BZ38" s="11" t="n">
        <v>9000</v>
      </c>
      <c r="CA38" s="11" t="n">
        <v>9000</v>
      </c>
      <c r="CB38" s="10" t="n"/>
      <c r="CC38" s="10" t="n">
        <v>9000</v>
      </c>
      <c r="CD38" s="10" t="n">
        <v>9000</v>
      </c>
      <c r="CE38" s="11" t="n"/>
      <c r="CF38" s="11" t="n">
        <v>9000</v>
      </c>
      <c r="CG38" s="11" t="n">
        <v>9000</v>
      </c>
      <c r="CH38" s="10" t="n"/>
      <c r="CI38" s="10" t="n">
        <v>9000</v>
      </c>
      <c r="CJ38" s="10" t="n">
        <v>9000</v>
      </c>
      <c r="CK38" s="11" t="n"/>
      <c r="CL38" s="11" t="n">
        <v>9000</v>
      </c>
      <c r="CM38" s="11" t="n">
        <v>9000</v>
      </c>
      <c r="CN38" s="10" t="n"/>
      <c r="CO38" s="10" t="n">
        <v>9000</v>
      </c>
      <c r="CP38" s="10" t="n">
        <v>9000</v>
      </c>
      <c r="CQ38" s="11" t="n"/>
      <c r="CR38" s="11" t="n">
        <v>9000</v>
      </c>
      <c r="CS38" s="11" t="n">
        <v>9000</v>
      </c>
      <c r="CT38" s="10" t="n"/>
      <c r="CU38" s="10" t="n">
        <v>9000</v>
      </c>
      <c r="CV38" s="10" t="n">
        <v>9000</v>
      </c>
      <c r="CW38" s="11" t="n"/>
      <c r="CX38" s="11" t="n">
        <v>9000</v>
      </c>
      <c r="CY38" s="11" t="n">
        <v>9000</v>
      </c>
      <c r="CZ38" s="10" t="n"/>
      <c r="DA38" s="10" t="n">
        <v>9000</v>
      </c>
      <c r="DB38" s="10" t="n">
        <v>9000</v>
      </c>
      <c r="DC38" s="11" t="n"/>
      <c r="DD38" s="11" t="n">
        <v>9000</v>
      </c>
      <c r="DE38" s="11" t="n">
        <v>9000</v>
      </c>
      <c r="DF38" s="10" t="n"/>
      <c r="DG38" s="10" t="n">
        <v>9000</v>
      </c>
      <c r="DH38" s="10" t="n">
        <v>9000</v>
      </c>
      <c r="DI38" s="11" t="n">
        <v>9000</v>
      </c>
      <c r="DJ38" s="11" t="n">
        <v>9000</v>
      </c>
      <c r="DK38" s="11" t="n">
        <v>9000</v>
      </c>
      <c r="DL38" s="10" t="n">
        <v>9000</v>
      </c>
      <c r="DM38" s="10" t="n">
        <v>9000</v>
      </c>
      <c r="DN38" s="10" t="n">
        <v>9000</v>
      </c>
    </row>
    <row r="39">
      <c r="A39" s="2" t="inlineStr">
        <is>
          <t>Onboarding Specialist</t>
        </is>
      </c>
      <c r="B39" s="10">
        <f>IF(COUNT(AR39,AO39,AL39,AI39,AF39,AC39,Z39,W39,T39,Q39,N39,K39)=0,"",SUM(AR39,AO39,AL39,AI39,AF39,AC39,Z39,W39,T39,Q39,N39,K39))</f>
        <v/>
      </c>
      <c r="C39" s="10">
        <f>IF(COUNT(AS39,AP39,AM39,AJ39,AG39,AD39,AA39,X39,U39,R39,O39,L39)=0,"",SUM(AS39,AP39,AM39,AJ39,AG39,AD39,AA39,X39,U39,R39,O39,L39))</f>
        <v/>
      </c>
      <c r="D39" s="10">
        <f>IF(COUNT(AT39,AQ39,AN39,AK39,AH39,AE39,AB39,Y39,V39,S39,P39,M39)=0,"",SUM(AT39,AQ39,AN39,AK39,AH39,AE39,AB39,Y39,V39,S39,P39,M39))</f>
        <v/>
      </c>
      <c r="E39" s="11">
        <f>IF(COUNT(CB39,BY39,BV39,BS39,BP39,BM39,BJ39,BG39,BD39,BA39,AX39,AU39)=0,"",SUM(CB39,BY39,BV39,BS39,BP39,BM39,BJ39,BG39,BD39,BA39,AX39,AU39))</f>
        <v/>
      </c>
      <c r="F39" s="11">
        <f>IF(COUNT(CC39,BZ39,BW39,BT39,BQ39,BN39,BK39,BH39,BE39,BB39,AY39,AV39)=0,"",SUM(CC39,BZ39,BW39,BT39,BQ39,BN39,BK39,BH39,BE39,BB39,AY39,AV39))</f>
        <v/>
      </c>
      <c r="G39" s="11">
        <f>IF(COUNT(CD39,CA39,BX39,BU39,BR39,BO39,BL39,BI39,BF39,BC39,AZ39,AW39)=0,"",SUM(CD39,CA39,BX39,BU39,BR39,BO39,BL39,BI39,BF39,BC39,AZ39,AW39))</f>
        <v/>
      </c>
      <c r="H39" s="10">
        <f>IF(COUNT(DL39,DI39,DF39,DC39,CZ39,CW39,CT39,CQ39,CN39,CK39,CH39,CE39)=0,"",SUM(DL39,DI39,DF39,DC39,CZ39,CW39,CT39,CQ39,CN39,CK39,CH39,CE39))</f>
        <v/>
      </c>
      <c r="I39" s="10">
        <f>IF(COUNT(DM39,DJ39,DG39,DD39,DA39,CX39,CU39,CR39,CO39,CL39,CI39,CF39)=0,"",SUM(DM39,DJ39,DG39,DD39,DA39,CX39,CU39,CR39,CO39,CL39,CI39,CF39))</f>
        <v/>
      </c>
      <c r="J39" s="10">
        <f>IF(COUNT(DN39,DK39,DH39,DE39,DB39,CY39,CV39,CS39,CP39,CM39,CJ39,CG39)=0,"",SUM(DN39,DK39,DH39,DE39,DB39,CY39,CV39,CS39,CP39,CM39,CJ39,CG39))</f>
        <v/>
      </c>
      <c r="K39" s="11" t="n"/>
      <c r="L39" s="11" t="n">
        <v>7000</v>
      </c>
      <c r="M39" s="11" t="n">
        <v>7000</v>
      </c>
      <c r="N39" s="10" t="n"/>
      <c r="O39" s="10" t="n">
        <v>7000</v>
      </c>
      <c r="P39" s="10" t="n">
        <v>7000</v>
      </c>
      <c r="Q39" s="11" t="n"/>
      <c r="R39" s="11" t="n">
        <v>7000</v>
      </c>
      <c r="S39" s="11" t="n">
        <v>7000</v>
      </c>
      <c r="T39" s="10" t="n"/>
      <c r="U39" s="10" t="n">
        <v>7000</v>
      </c>
      <c r="V39" s="10" t="n">
        <v>7000</v>
      </c>
      <c r="W39" s="11" t="n"/>
      <c r="X39" s="11" t="n">
        <v>7000</v>
      </c>
      <c r="Y39" s="11" t="n">
        <v>7000</v>
      </c>
      <c r="Z39" s="10" t="n"/>
      <c r="AA39" s="10" t="n">
        <v>7000</v>
      </c>
      <c r="AB39" s="10" t="n">
        <v>7000</v>
      </c>
      <c r="AC39" s="11" t="n"/>
      <c r="AD39" s="11" t="n">
        <v>7000</v>
      </c>
      <c r="AE39" s="11" t="n">
        <v>7000</v>
      </c>
      <c r="AF39" s="10" t="n"/>
      <c r="AG39" s="10" t="n">
        <v>7000</v>
      </c>
      <c r="AH39" s="10" t="n">
        <v>7000</v>
      </c>
      <c r="AI39" s="11" t="n"/>
      <c r="AJ39" s="11" t="n">
        <v>7000</v>
      </c>
      <c r="AK39" s="11" t="n">
        <v>7000</v>
      </c>
      <c r="AL39" s="10" t="n"/>
      <c r="AM39" s="10" t="n">
        <v>7000</v>
      </c>
      <c r="AN39" s="10" t="n">
        <v>7000</v>
      </c>
      <c r="AO39" s="11" t="n"/>
      <c r="AP39" s="11" t="n">
        <v>7000</v>
      </c>
      <c r="AQ39" s="11" t="n">
        <v>7000</v>
      </c>
      <c r="AR39" s="10" t="n"/>
      <c r="AS39" s="10" t="n">
        <v>7000</v>
      </c>
      <c r="AT39" s="10" t="n">
        <v>7000</v>
      </c>
      <c r="AU39" s="11" t="n"/>
      <c r="AV39" s="11" t="n">
        <v>7000</v>
      </c>
      <c r="AW39" s="11" t="n">
        <v>7000</v>
      </c>
      <c r="AX39" s="10" t="n"/>
      <c r="AY39" s="10" t="n">
        <v>7000</v>
      </c>
      <c r="AZ39" s="10" t="n">
        <v>7000</v>
      </c>
      <c r="BA39" s="11" t="n"/>
      <c r="BB39" s="11" t="n">
        <v>7000</v>
      </c>
      <c r="BC39" s="11" t="n">
        <v>7000</v>
      </c>
      <c r="BD39" s="10" t="n"/>
      <c r="BE39" s="10" t="n">
        <v>7000</v>
      </c>
      <c r="BF39" s="10" t="n">
        <v>7000</v>
      </c>
      <c r="BG39" s="11" t="n"/>
      <c r="BH39" s="11" t="n">
        <v>7000</v>
      </c>
      <c r="BI39" s="11" t="n">
        <v>7000</v>
      </c>
      <c r="BJ39" s="10" t="n"/>
      <c r="BK39" s="10" t="n">
        <v>7000</v>
      </c>
      <c r="BL39" s="10" t="n">
        <v>7000</v>
      </c>
      <c r="BM39" s="11" t="n"/>
      <c r="BN39" s="11" t="n">
        <v>7000</v>
      </c>
      <c r="BO39" s="11" t="n">
        <v>7000</v>
      </c>
      <c r="BP39" s="10" t="n"/>
      <c r="BQ39" s="10" t="n">
        <v>7000</v>
      </c>
      <c r="BR39" s="10" t="n">
        <v>7000</v>
      </c>
      <c r="BS39" s="11" t="n"/>
      <c r="BT39" s="11" t="n">
        <v>7000</v>
      </c>
      <c r="BU39" s="11" t="n">
        <v>7000</v>
      </c>
      <c r="BV39" s="10" t="n"/>
      <c r="BW39" s="10" t="n">
        <v>7000</v>
      </c>
      <c r="BX39" s="10" t="n">
        <v>7000</v>
      </c>
      <c r="BY39" s="11" t="n"/>
      <c r="BZ39" s="11" t="n">
        <v>7000</v>
      </c>
      <c r="CA39" s="11" t="n">
        <v>7000</v>
      </c>
      <c r="CB39" s="10" t="n"/>
      <c r="CC39" s="10" t="n">
        <v>7000</v>
      </c>
      <c r="CD39" s="10" t="n">
        <v>7000</v>
      </c>
      <c r="CE39" s="11" t="n"/>
      <c r="CF39" s="11" t="n">
        <v>7000</v>
      </c>
      <c r="CG39" s="11" t="n">
        <v>7000</v>
      </c>
      <c r="CH39" s="10" t="n"/>
      <c r="CI39" s="10" t="n">
        <v>7000</v>
      </c>
      <c r="CJ39" s="10" t="n">
        <v>7000</v>
      </c>
      <c r="CK39" s="11" t="n"/>
      <c r="CL39" s="11" t="n">
        <v>7000</v>
      </c>
      <c r="CM39" s="11" t="n">
        <v>7000</v>
      </c>
      <c r="CN39" s="10" t="n"/>
      <c r="CO39" s="10" t="n">
        <v>7000</v>
      </c>
      <c r="CP39" s="10" t="n">
        <v>7000</v>
      </c>
      <c r="CQ39" s="11" t="n"/>
      <c r="CR39" s="11" t="n">
        <v>7000</v>
      </c>
      <c r="CS39" s="11" t="n">
        <v>7000</v>
      </c>
      <c r="CT39" s="10" t="n"/>
      <c r="CU39" s="10" t="n">
        <v>7000</v>
      </c>
      <c r="CV39" s="10" t="n">
        <v>7000</v>
      </c>
      <c r="CW39" s="11" t="n"/>
      <c r="CX39" s="11" t="n">
        <v>7000</v>
      </c>
      <c r="CY39" s="11" t="n">
        <v>7000</v>
      </c>
      <c r="CZ39" s="10" t="n"/>
      <c r="DA39" s="10" t="n">
        <v>7000</v>
      </c>
      <c r="DB39" s="10" t="n">
        <v>7000</v>
      </c>
      <c r="DC39" s="11" t="n"/>
      <c r="DD39" s="11" t="n">
        <v>7000</v>
      </c>
      <c r="DE39" s="11" t="n">
        <v>7000</v>
      </c>
      <c r="DF39" s="10" t="n"/>
      <c r="DG39" s="10" t="n">
        <v>7000</v>
      </c>
      <c r="DH39" s="10" t="n">
        <v>7000</v>
      </c>
      <c r="DI39" s="11" t="n">
        <v>7000</v>
      </c>
      <c r="DJ39" s="11" t="n">
        <v>7000</v>
      </c>
      <c r="DK39" s="11" t="n">
        <v>7000</v>
      </c>
      <c r="DL39" s="10" t="n">
        <v>7000</v>
      </c>
      <c r="DM39" s="10" t="n">
        <v>7000</v>
      </c>
      <c r="DN39" s="10" t="n">
        <v>7000</v>
      </c>
    </row>
    <row r="40">
      <c r="A40" s="2" t="inlineStr">
        <is>
          <t>Renewals Specialist</t>
        </is>
      </c>
      <c r="B40" s="10">
        <f>IF(COUNT(AR40,AO40,AL40,AI40,AF40,AC40,Z40,W40,T40,Q40,N40,K40)=0,"",SUM(AR40,AO40,AL40,AI40,AF40,AC40,Z40,W40,T40,Q40,N40,K40))</f>
        <v/>
      </c>
      <c r="C40" s="10">
        <f>IF(COUNT(AS40,AP40,AM40,AJ40,AG40,AD40,AA40,X40,U40,R40,O40,L40)=0,"",SUM(AS40,AP40,AM40,AJ40,AG40,AD40,AA40,X40,U40,R40,O40,L40))</f>
        <v/>
      </c>
      <c r="D40" s="10">
        <f>IF(COUNT(AT40,AQ40,AN40,AK40,AH40,AE40,AB40,Y40,V40,S40,P40,M40)=0,"",SUM(AT40,AQ40,AN40,AK40,AH40,AE40,AB40,Y40,V40,S40,P40,M40))</f>
        <v/>
      </c>
      <c r="E40" s="11">
        <f>IF(COUNT(CB40,BY40,BV40,BS40,BP40,BM40,BJ40,BG40,BD40,BA40,AX40,AU40)=0,"",SUM(CB40,BY40,BV40,BS40,BP40,BM40,BJ40,BG40,BD40,BA40,AX40,AU40))</f>
        <v/>
      </c>
      <c r="F40" s="11">
        <f>IF(COUNT(CC40,BZ40,BW40,BT40,BQ40,BN40,BK40,BH40,BE40,BB40,AY40,AV40)=0,"",SUM(CC40,BZ40,BW40,BT40,BQ40,BN40,BK40,BH40,BE40,BB40,AY40,AV40))</f>
        <v/>
      </c>
      <c r="G40" s="11">
        <f>IF(COUNT(CD40,CA40,BX40,BU40,BR40,BO40,BL40,BI40,BF40,BC40,AZ40,AW40)=0,"",SUM(CD40,CA40,BX40,BU40,BR40,BO40,BL40,BI40,BF40,BC40,AZ40,AW40))</f>
        <v/>
      </c>
      <c r="H40" s="10">
        <f>IF(COUNT(DL40,DI40,DF40,DC40,CZ40,CW40,CT40,CQ40,CN40,CK40,CH40,CE40)=0,"",SUM(DL40,DI40,DF40,DC40,CZ40,CW40,CT40,CQ40,CN40,CK40,CH40,CE40))</f>
        <v/>
      </c>
      <c r="I40" s="10">
        <f>IF(COUNT(DM40,DJ40,DG40,DD40,DA40,CX40,CU40,CR40,CO40,CL40,CI40,CF40)=0,"",SUM(DM40,DJ40,DG40,DD40,DA40,CX40,CU40,CR40,CO40,CL40,CI40,CF40))</f>
        <v/>
      </c>
      <c r="J40" s="10">
        <f>IF(COUNT(DN40,DK40,DH40,DE40,DB40,CY40,CV40,CS40,CP40,CM40,CJ40,CG40)=0,"",SUM(DN40,DK40,DH40,DE40,DB40,CY40,CV40,CS40,CP40,CM40,CJ40,CG40))</f>
        <v/>
      </c>
      <c r="K40" s="11" t="n"/>
      <c r="L40" s="11" t="n">
        <v>5000</v>
      </c>
      <c r="M40" s="11" t="n">
        <v>5000</v>
      </c>
      <c r="N40" s="10" t="n"/>
      <c r="O40" s="10" t="n">
        <v>5000</v>
      </c>
      <c r="P40" s="10" t="n">
        <v>5000</v>
      </c>
      <c r="Q40" s="11" t="n"/>
      <c r="R40" s="11" t="n">
        <v>5000</v>
      </c>
      <c r="S40" s="11" t="n">
        <v>5000</v>
      </c>
      <c r="T40" s="10" t="n"/>
      <c r="U40" s="10" t="n">
        <v>5000</v>
      </c>
      <c r="V40" s="10" t="n">
        <v>5000</v>
      </c>
      <c r="W40" s="11" t="n"/>
      <c r="X40" s="11" t="n">
        <v>5000</v>
      </c>
      <c r="Y40" s="11" t="n">
        <v>5000</v>
      </c>
      <c r="Z40" s="10" t="n"/>
      <c r="AA40" s="10" t="n">
        <v>5000</v>
      </c>
      <c r="AB40" s="10" t="n">
        <v>5000</v>
      </c>
      <c r="AC40" s="11" t="n"/>
      <c r="AD40" s="11" t="n">
        <v>5000</v>
      </c>
      <c r="AE40" s="11" t="n">
        <v>5000</v>
      </c>
      <c r="AF40" s="10" t="n"/>
      <c r="AG40" s="10" t="n">
        <v>5000</v>
      </c>
      <c r="AH40" s="10" t="n">
        <v>5000</v>
      </c>
      <c r="AI40" s="11" t="n"/>
      <c r="AJ40" s="11" t="n">
        <v>5000</v>
      </c>
      <c r="AK40" s="11" t="n">
        <v>5000</v>
      </c>
      <c r="AL40" s="10" t="n"/>
      <c r="AM40" s="10" t="n">
        <v>5000</v>
      </c>
      <c r="AN40" s="10" t="n">
        <v>5000</v>
      </c>
      <c r="AO40" s="11" t="n"/>
      <c r="AP40" s="11" t="n">
        <v>5000</v>
      </c>
      <c r="AQ40" s="11" t="n">
        <v>5000</v>
      </c>
      <c r="AR40" s="10" t="n"/>
      <c r="AS40" s="10" t="n">
        <v>5000</v>
      </c>
      <c r="AT40" s="10" t="n">
        <v>5000</v>
      </c>
      <c r="AU40" s="11" t="n"/>
      <c r="AV40" s="11" t="n">
        <v>5000</v>
      </c>
      <c r="AW40" s="11" t="n">
        <v>5000</v>
      </c>
      <c r="AX40" s="10" t="n"/>
      <c r="AY40" s="10" t="n">
        <v>5000</v>
      </c>
      <c r="AZ40" s="10" t="n">
        <v>5000</v>
      </c>
      <c r="BA40" s="11" t="n"/>
      <c r="BB40" s="11" t="n">
        <v>5000</v>
      </c>
      <c r="BC40" s="11" t="n">
        <v>5000</v>
      </c>
      <c r="BD40" s="10" t="n"/>
      <c r="BE40" s="10" t="n">
        <v>5000</v>
      </c>
      <c r="BF40" s="10" t="n">
        <v>5000</v>
      </c>
      <c r="BG40" s="11" t="n"/>
      <c r="BH40" s="11" t="n">
        <v>5000</v>
      </c>
      <c r="BI40" s="11" t="n">
        <v>5000</v>
      </c>
      <c r="BJ40" s="10" t="n"/>
      <c r="BK40" s="10" t="n">
        <v>5000</v>
      </c>
      <c r="BL40" s="10" t="n">
        <v>5000</v>
      </c>
      <c r="BM40" s="11" t="n"/>
      <c r="BN40" s="11" t="n">
        <v>5000</v>
      </c>
      <c r="BO40" s="11" t="n">
        <v>5000</v>
      </c>
      <c r="BP40" s="10" t="n"/>
      <c r="BQ40" s="10" t="n">
        <v>5000</v>
      </c>
      <c r="BR40" s="10" t="n">
        <v>5000</v>
      </c>
      <c r="BS40" s="11" t="n"/>
      <c r="BT40" s="11" t="n">
        <v>5000</v>
      </c>
      <c r="BU40" s="11" t="n">
        <v>5000</v>
      </c>
      <c r="BV40" s="10" t="n"/>
      <c r="BW40" s="10" t="n">
        <v>5000</v>
      </c>
      <c r="BX40" s="10" t="n">
        <v>5000</v>
      </c>
      <c r="BY40" s="11" t="n"/>
      <c r="BZ40" s="11" t="n">
        <v>5000</v>
      </c>
      <c r="CA40" s="11" t="n">
        <v>5000</v>
      </c>
      <c r="CB40" s="10" t="n"/>
      <c r="CC40" s="10" t="n">
        <v>5000</v>
      </c>
      <c r="CD40" s="10" t="n">
        <v>5000</v>
      </c>
      <c r="CE40" s="11" t="n"/>
      <c r="CF40" s="11" t="n">
        <v>5000</v>
      </c>
      <c r="CG40" s="11" t="n">
        <v>5000</v>
      </c>
      <c r="CH40" s="10" t="n"/>
      <c r="CI40" s="10" t="n">
        <v>5000</v>
      </c>
      <c r="CJ40" s="10" t="n">
        <v>5000</v>
      </c>
      <c r="CK40" s="11" t="n"/>
      <c r="CL40" s="11" t="n">
        <v>5000</v>
      </c>
      <c r="CM40" s="11" t="n">
        <v>5000</v>
      </c>
      <c r="CN40" s="10" t="n"/>
      <c r="CO40" s="10" t="n">
        <v>5000</v>
      </c>
      <c r="CP40" s="10" t="n">
        <v>5000</v>
      </c>
      <c r="CQ40" s="11" t="n"/>
      <c r="CR40" s="11" t="n">
        <v>5000</v>
      </c>
      <c r="CS40" s="11" t="n">
        <v>5000</v>
      </c>
      <c r="CT40" s="10" t="n"/>
      <c r="CU40" s="10" t="n">
        <v>5000</v>
      </c>
      <c r="CV40" s="10" t="n">
        <v>5000</v>
      </c>
      <c r="CW40" s="11" t="n"/>
      <c r="CX40" s="11" t="n">
        <v>5000</v>
      </c>
      <c r="CY40" s="11" t="n">
        <v>5000</v>
      </c>
      <c r="CZ40" s="10" t="n"/>
      <c r="DA40" s="10" t="n">
        <v>5000</v>
      </c>
      <c r="DB40" s="10" t="n">
        <v>5000</v>
      </c>
      <c r="DC40" s="11" t="n"/>
      <c r="DD40" s="11" t="n">
        <v>5000</v>
      </c>
      <c r="DE40" s="11" t="n">
        <v>5000</v>
      </c>
      <c r="DF40" s="10" t="n"/>
      <c r="DG40" s="10" t="n">
        <v>5000</v>
      </c>
      <c r="DH40" s="10" t="n">
        <v>5000</v>
      </c>
      <c r="DI40" s="11" t="n">
        <v>5000</v>
      </c>
      <c r="DJ40" s="11" t="n">
        <v>5000</v>
      </c>
      <c r="DK40" s="11" t="n">
        <v>5000</v>
      </c>
      <c r="DL40" s="10" t="n">
        <v>5000</v>
      </c>
      <c r="DM40" s="10" t="n">
        <v>5000</v>
      </c>
      <c r="DN40" s="10" t="n">
        <v>5000</v>
      </c>
    </row>
    <row r="41">
      <c r="A41" s="2" t="inlineStr">
        <is>
          <t>Customer Success Manager</t>
        </is>
      </c>
      <c r="B41" s="10">
        <f>IF(COUNT(AR41,AO41,AL41,AI41,AF41,AC41,Z41,W41,T41,Q41,N41,K41)=0,"",SUM(AR41,AO41,AL41,AI41,AF41,AC41,Z41,W41,T41,Q41,N41,K41))</f>
        <v/>
      </c>
      <c r="C41" s="10">
        <f>IF(COUNT(AS41,AP41,AM41,AJ41,AG41,AD41,AA41,X41,U41,R41,O41,L41)=0,"",SUM(AS41,AP41,AM41,AJ41,AG41,AD41,AA41,X41,U41,R41,O41,L41))</f>
        <v/>
      </c>
      <c r="D41" s="10">
        <f>IF(COUNT(AT41,AQ41,AN41,AK41,AH41,AE41,AB41,Y41,V41,S41,P41,M41)=0,"",SUM(AT41,AQ41,AN41,AK41,AH41,AE41,AB41,Y41,V41,S41,P41,M41))</f>
        <v/>
      </c>
      <c r="E41" s="11">
        <f>IF(COUNT(CB41,BY41,BV41,BS41,BP41,BM41,BJ41,BG41,BD41,BA41,AX41,AU41)=0,"",SUM(CB41,BY41,BV41,BS41,BP41,BM41,BJ41,BG41,BD41,BA41,AX41,AU41))</f>
        <v/>
      </c>
      <c r="F41" s="11">
        <f>IF(COUNT(CC41,BZ41,BW41,BT41,BQ41,BN41,BK41,BH41,BE41,BB41,AY41,AV41)=0,"",SUM(CC41,BZ41,BW41,BT41,BQ41,BN41,BK41,BH41,BE41,BB41,AY41,AV41))</f>
        <v/>
      </c>
      <c r="G41" s="11">
        <f>IF(COUNT(CD41,CA41,BX41,BU41,BR41,BO41,BL41,BI41,BF41,BC41,AZ41,AW41)=0,"",SUM(CD41,CA41,BX41,BU41,BR41,BO41,BL41,BI41,BF41,BC41,AZ41,AW41))</f>
        <v/>
      </c>
      <c r="H41" s="10">
        <f>IF(COUNT(DL41,DI41,DF41,DC41,CZ41,CW41,CT41,CQ41,CN41,CK41,CH41,CE41)=0,"",SUM(DL41,DI41,DF41,DC41,CZ41,CW41,CT41,CQ41,CN41,CK41,CH41,CE41))</f>
        <v/>
      </c>
      <c r="I41" s="10">
        <f>IF(COUNT(DM41,DJ41,DG41,DD41,DA41,CX41,CU41,CR41,CO41,CL41,CI41,CF41)=0,"",SUM(DM41,DJ41,DG41,DD41,DA41,CX41,CU41,CR41,CO41,CL41,CI41,CF41))</f>
        <v/>
      </c>
      <c r="J41" s="10">
        <f>IF(COUNT(DN41,DK41,DH41,DE41,DB41,CY41,CV41,CS41,CP41,CM41,CJ41,CG41)=0,"",SUM(DN41,DK41,DH41,DE41,DB41,CY41,CV41,CS41,CP41,CM41,CJ41,CG41))</f>
        <v/>
      </c>
      <c r="K41" s="11" t="n"/>
      <c r="L41" s="11" t="n">
        <v>9000</v>
      </c>
      <c r="M41" s="11" t="n">
        <v>9000</v>
      </c>
      <c r="N41" s="10" t="n"/>
      <c r="O41" s="10" t="n">
        <v>9000</v>
      </c>
      <c r="P41" s="10" t="n">
        <v>9000</v>
      </c>
      <c r="Q41" s="11" t="n"/>
      <c r="R41" s="11" t="n">
        <v>9000</v>
      </c>
      <c r="S41" s="11" t="n">
        <v>9000</v>
      </c>
      <c r="T41" s="10" t="n"/>
      <c r="U41" s="10" t="n">
        <v>9000</v>
      </c>
      <c r="V41" s="10" t="n">
        <v>9000</v>
      </c>
      <c r="W41" s="11" t="n"/>
      <c r="X41" s="11" t="n">
        <v>9000</v>
      </c>
      <c r="Y41" s="11" t="n">
        <v>9000</v>
      </c>
      <c r="Z41" s="10" t="n"/>
      <c r="AA41" s="10" t="n">
        <v>9000</v>
      </c>
      <c r="AB41" s="10" t="n">
        <v>9000</v>
      </c>
      <c r="AC41" s="11" t="n"/>
      <c r="AD41" s="11" t="n">
        <v>9000</v>
      </c>
      <c r="AE41" s="11" t="n">
        <v>9000</v>
      </c>
      <c r="AF41" s="10" t="n"/>
      <c r="AG41" s="10" t="n">
        <v>9000</v>
      </c>
      <c r="AH41" s="10" t="n">
        <v>9000</v>
      </c>
      <c r="AI41" s="11" t="n"/>
      <c r="AJ41" s="11" t="n">
        <v>9000</v>
      </c>
      <c r="AK41" s="11" t="n">
        <v>9000</v>
      </c>
      <c r="AL41" s="10" t="n"/>
      <c r="AM41" s="10" t="n">
        <v>9000</v>
      </c>
      <c r="AN41" s="10" t="n">
        <v>9000</v>
      </c>
      <c r="AO41" s="11" t="n"/>
      <c r="AP41" s="11" t="n">
        <v>9000</v>
      </c>
      <c r="AQ41" s="11" t="n">
        <v>9000</v>
      </c>
      <c r="AR41" s="10" t="n"/>
      <c r="AS41" s="10" t="n">
        <v>9000</v>
      </c>
      <c r="AT41" s="10" t="n">
        <v>9000</v>
      </c>
      <c r="AU41" s="11" t="n"/>
      <c r="AV41" s="11" t="n">
        <v>9000</v>
      </c>
      <c r="AW41" s="11" t="n">
        <v>9000</v>
      </c>
      <c r="AX41" s="10" t="n"/>
      <c r="AY41" s="10" t="n">
        <v>9000</v>
      </c>
      <c r="AZ41" s="10" t="n">
        <v>9000</v>
      </c>
      <c r="BA41" s="11" t="n"/>
      <c r="BB41" s="11" t="n">
        <v>9000</v>
      </c>
      <c r="BC41" s="11" t="n">
        <v>9000</v>
      </c>
      <c r="BD41" s="10" t="n"/>
      <c r="BE41" s="10" t="n">
        <v>9000</v>
      </c>
      <c r="BF41" s="10" t="n">
        <v>9000</v>
      </c>
      <c r="BG41" s="11" t="n"/>
      <c r="BH41" s="11" t="n">
        <v>9000</v>
      </c>
      <c r="BI41" s="11" t="n">
        <v>9000</v>
      </c>
      <c r="BJ41" s="10" t="n"/>
      <c r="BK41" s="10" t="n">
        <v>9000</v>
      </c>
      <c r="BL41" s="10" t="n">
        <v>9000</v>
      </c>
      <c r="BM41" s="11" t="n"/>
      <c r="BN41" s="11" t="n">
        <v>9000</v>
      </c>
      <c r="BO41" s="11" t="n">
        <v>9000</v>
      </c>
      <c r="BP41" s="10" t="n"/>
      <c r="BQ41" s="10" t="n">
        <v>9000</v>
      </c>
      <c r="BR41" s="10" t="n">
        <v>9000</v>
      </c>
      <c r="BS41" s="11" t="n"/>
      <c r="BT41" s="11" t="n">
        <v>9000</v>
      </c>
      <c r="BU41" s="11" t="n">
        <v>9000</v>
      </c>
      <c r="BV41" s="10" t="n"/>
      <c r="BW41" s="10" t="n">
        <v>9000</v>
      </c>
      <c r="BX41" s="10" t="n">
        <v>9000</v>
      </c>
      <c r="BY41" s="11" t="n"/>
      <c r="BZ41" s="11" t="n">
        <v>9000</v>
      </c>
      <c r="CA41" s="11" t="n">
        <v>9000</v>
      </c>
      <c r="CB41" s="10" t="n"/>
      <c r="CC41" s="10" t="n">
        <v>9000</v>
      </c>
      <c r="CD41" s="10" t="n">
        <v>9000</v>
      </c>
      <c r="CE41" s="11" t="n"/>
      <c r="CF41" s="11" t="n">
        <v>9000</v>
      </c>
      <c r="CG41" s="11" t="n">
        <v>9000</v>
      </c>
      <c r="CH41" s="10" t="n"/>
      <c r="CI41" s="10" t="n">
        <v>9000</v>
      </c>
      <c r="CJ41" s="10" t="n">
        <v>9000</v>
      </c>
      <c r="CK41" s="11" t="n"/>
      <c r="CL41" s="11" t="n">
        <v>9000</v>
      </c>
      <c r="CM41" s="11" t="n">
        <v>9000</v>
      </c>
      <c r="CN41" s="10" t="n"/>
      <c r="CO41" s="10" t="n">
        <v>9000</v>
      </c>
      <c r="CP41" s="10" t="n">
        <v>9000</v>
      </c>
      <c r="CQ41" s="11" t="n"/>
      <c r="CR41" s="11" t="n">
        <v>9000</v>
      </c>
      <c r="CS41" s="11" t="n">
        <v>9000</v>
      </c>
      <c r="CT41" s="10" t="n"/>
      <c r="CU41" s="10" t="n">
        <v>9000</v>
      </c>
      <c r="CV41" s="10" t="n">
        <v>9000</v>
      </c>
      <c r="CW41" s="11" t="n"/>
      <c r="CX41" s="11" t="n">
        <v>9000</v>
      </c>
      <c r="CY41" s="11" t="n">
        <v>9000</v>
      </c>
      <c r="CZ41" s="10" t="n"/>
      <c r="DA41" s="10" t="n">
        <v>9000</v>
      </c>
      <c r="DB41" s="10" t="n">
        <v>9000</v>
      </c>
      <c r="DC41" s="11" t="n"/>
      <c r="DD41" s="11" t="n">
        <v>9000</v>
      </c>
      <c r="DE41" s="11" t="n">
        <v>9000</v>
      </c>
      <c r="DF41" s="10" t="n"/>
      <c r="DG41" s="10" t="n">
        <v>9000</v>
      </c>
      <c r="DH41" s="10" t="n">
        <v>9000</v>
      </c>
      <c r="DI41" s="11" t="n">
        <v>9000</v>
      </c>
      <c r="DJ41" s="11" t="n">
        <v>9000</v>
      </c>
      <c r="DK41" s="11" t="n">
        <v>9000</v>
      </c>
      <c r="DL41" s="10" t="n">
        <v>9000</v>
      </c>
      <c r="DM41" s="10" t="n">
        <v>9000</v>
      </c>
      <c r="DN41" s="10" t="n">
        <v>9000</v>
      </c>
    </row>
    <row r="42">
      <c r="A42" s="2" t="inlineStr">
        <is>
          <t>Customer Success Manager</t>
        </is>
      </c>
      <c r="B42" s="10">
        <f>IF(COUNT(AR42,AO42,AL42,AI42,AF42,AC42,Z42,W42,T42,Q42,N42,K42)=0,"",SUM(AR42,AO42,AL42,AI42,AF42,AC42,Z42,W42,T42,Q42,N42,K42))</f>
        <v/>
      </c>
      <c r="C42" s="10">
        <f>IF(COUNT(AS42,AP42,AM42,AJ42,AG42,AD42,AA42,X42,U42,R42,O42,L42)=0,"",SUM(AS42,AP42,AM42,AJ42,AG42,AD42,AA42,X42,U42,R42,O42,L42))</f>
        <v/>
      </c>
      <c r="D42" s="10">
        <f>IF(COUNT(AT42,AQ42,AN42,AK42,AH42,AE42,AB42,Y42,V42,S42,P42,M42)=0,"",SUM(AT42,AQ42,AN42,AK42,AH42,AE42,AB42,Y42,V42,S42,P42,M42))</f>
        <v/>
      </c>
      <c r="E42" s="11">
        <f>IF(COUNT(CB42,BY42,BV42,BS42,BP42,BM42,BJ42,BG42,BD42,BA42,AX42,AU42)=0,"",SUM(CB42,BY42,BV42,BS42,BP42,BM42,BJ42,BG42,BD42,BA42,AX42,AU42))</f>
        <v/>
      </c>
      <c r="F42" s="11">
        <f>IF(COUNT(CC42,BZ42,BW42,BT42,BQ42,BN42,BK42,BH42,BE42,BB42,AY42,AV42)=0,"",SUM(CC42,BZ42,BW42,BT42,BQ42,BN42,BK42,BH42,BE42,BB42,AY42,AV42))</f>
        <v/>
      </c>
      <c r="G42" s="11">
        <f>IF(COUNT(CD42,CA42,BX42,BU42,BR42,BO42,BL42,BI42,BF42,BC42,AZ42,AW42)=0,"",SUM(CD42,CA42,BX42,BU42,BR42,BO42,BL42,BI42,BF42,BC42,AZ42,AW42))</f>
        <v/>
      </c>
      <c r="H42" s="10">
        <f>IF(COUNT(DL42,DI42,DF42,DC42,CZ42,CW42,CT42,CQ42,CN42,CK42,CH42,CE42)=0,"",SUM(DL42,DI42,DF42,DC42,CZ42,CW42,CT42,CQ42,CN42,CK42,CH42,CE42))</f>
        <v/>
      </c>
      <c r="I42" s="10">
        <f>IF(COUNT(DM42,DJ42,DG42,DD42,DA42,CX42,CU42,CR42,CO42,CL42,CI42,CF42)=0,"",SUM(DM42,DJ42,DG42,DD42,DA42,CX42,CU42,CR42,CO42,CL42,CI42,CF42))</f>
        <v/>
      </c>
      <c r="J42" s="10">
        <f>IF(COUNT(DN42,DK42,DH42,DE42,DB42,CY42,CV42,CS42,CP42,CM42,CJ42,CG42)=0,"",SUM(DN42,DK42,DH42,DE42,DB42,CY42,CV42,CS42,CP42,CM42,CJ42,CG42))</f>
        <v/>
      </c>
      <c r="K42" s="11" t="n"/>
      <c r="L42" s="11" t="n">
        <v>8000</v>
      </c>
      <c r="M42" s="11" t="n">
        <v>8000</v>
      </c>
      <c r="N42" s="10" t="n"/>
      <c r="O42" s="10" t="n">
        <v>8000</v>
      </c>
      <c r="P42" s="10" t="n">
        <v>8000</v>
      </c>
      <c r="Q42" s="11" t="n"/>
      <c r="R42" s="11" t="n">
        <v>8000</v>
      </c>
      <c r="S42" s="11" t="n">
        <v>8000</v>
      </c>
      <c r="T42" s="10" t="n"/>
      <c r="U42" s="10" t="n">
        <v>8000</v>
      </c>
      <c r="V42" s="10" t="n">
        <v>8000</v>
      </c>
      <c r="W42" s="11" t="n"/>
      <c r="X42" s="11" t="n">
        <v>8000</v>
      </c>
      <c r="Y42" s="11" t="n">
        <v>8000</v>
      </c>
      <c r="Z42" s="10" t="n"/>
      <c r="AA42" s="10" t="n">
        <v>8000</v>
      </c>
      <c r="AB42" s="10" t="n">
        <v>8000</v>
      </c>
      <c r="AC42" s="11" t="n"/>
      <c r="AD42" s="11" t="n">
        <v>8000</v>
      </c>
      <c r="AE42" s="11" t="n">
        <v>8000</v>
      </c>
      <c r="AF42" s="10" t="n"/>
      <c r="AG42" s="10" t="n">
        <v>8000</v>
      </c>
      <c r="AH42" s="10" t="n">
        <v>8000</v>
      </c>
      <c r="AI42" s="11" t="n"/>
      <c r="AJ42" s="11" t="n">
        <v>8000</v>
      </c>
      <c r="AK42" s="11" t="n">
        <v>8000</v>
      </c>
      <c r="AL42" s="10" t="n"/>
      <c r="AM42" s="10" t="n">
        <v>8000</v>
      </c>
      <c r="AN42" s="10" t="n">
        <v>8000</v>
      </c>
      <c r="AO42" s="11" t="n"/>
      <c r="AP42" s="11" t="n">
        <v>8000</v>
      </c>
      <c r="AQ42" s="11" t="n">
        <v>8000</v>
      </c>
      <c r="AR42" s="10" t="n"/>
      <c r="AS42" s="10" t="n">
        <v>8000</v>
      </c>
      <c r="AT42" s="10" t="n">
        <v>8000</v>
      </c>
      <c r="AU42" s="11" t="n"/>
      <c r="AV42" s="11" t="n">
        <v>8000</v>
      </c>
      <c r="AW42" s="11" t="n">
        <v>8000</v>
      </c>
      <c r="AX42" s="10" t="n"/>
      <c r="AY42" s="10" t="n">
        <v>8000</v>
      </c>
      <c r="AZ42" s="10" t="n">
        <v>8000</v>
      </c>
      <c r="BA42" s="11" t="n"/>
      <c r="BB42" s="11" t="n">
        <v>8000</v>
      </c>
      <c r="BC42" s="11" t="n">
        <v>8000</v>
      </c>
      <c r="BD42" s="10" t="n"/>
      <c r="BE42" s="10" t="n">
        <v>8000</v>
      </c>
      <c r="BF42" s="10" t="n">
        <v>8000</v>
      </c>
      <c r="BG42" s="11" t="n"/>
      <c r="BH42" s="11" t="n">
        <v>8000</v>
      </c>
      <c r="BI42" s="11" t="n">
        <v>8000</v>
      </c>
      <c r="BJ42" s="10" t="n"/>
      <c r="BK42" s="10" t="n">
        <v>8000</v>
      </c>
      <c r="BL42" s="10" t="n">
        <v>8000</v>
      </c>
      <c r="BM42" s="11" t="n"/>
      <c r="BN42" s="11" t="n">
        <v>8000</v>
      </c>
      <c r="BO42" s="11" t="n">
        <v>8000</v>
      </c>
      <c r="BP42" s="10" t="n"/>
      <c r="BQ42" s="10" t="n">
        <v>8000</v>
      </c>
      <c r="BR42" s="10" t="n">
        <v>8000</v>
      </c>
      <c r="BS42" s="11" t="n"/>
      <c r="BT42" s="11" t="n">
        <v>8000</v>
      </c>
      <c r="BU42" s="11" t="n">
        <v>8000</v>
      </c>
      <c r="BV42" s="10" t="n"/>
      <c r="BW42" s="10" t="n">
        <v>8000</v>
      </c>
      <c r="BX42" s="10" t="n">
        <v>8000</v>
      </c>
      <c r="BY42" s="11" t="n"/>
      <c r="BZ42" s="11" t="n">
        <v>8000</v>
      </c>
      <c r="CA42" s="11" t="n">
        <v>8000</v>
      </c>
      <c r="CB42" s="10" t="n"/>
      <c r="CC42" s="10" t="n">
        <v>8000</v>
      </c>
      <c r="CD42" s="10" t="n">
        <v>8000</v>
      </c>
      <c r="CE42" s="11" t="n"/>
      <c r="CF42" s="11" t="n">
        <v>8000</v>
      </c>
      <c r="CG42" s="11" t="n">
        <v>8000</v>
      </c>
      <c r="CH42" s="10" t="n"/>
      <c r="CI42" s="10" t="n">
        <v>8000</v>
      </c>
      <c r="CJ42" s="10" t="n">
        <v>8000</v>
      </c>
      <c r="CK42" s="11" t="n"/>
      <c r="CL42" s="11" t="n">
        <v>8000</v>
      </c>
      <c r="CM42" s="11" t="n">
        <v>8000</v>
      </c>
      <c r="CN42" s="10" t="n"/>
      <c r="CO42" s="10" t="n">
        <v>8000</v>
      </c>
      <c r="CP42" s="10" t="n">
        <v>8000</v>
      </c>
      <c r="CQ42" s="11" t="n"/>
      <c r="CR42" s="11" t="n">
        <v>8000</v>
      </c>
      <c r="CS42" s="11" t="n">
        <v>8000</v>
      </c>
      <c r="CT42" s="10" t="n"/>
      <c r="CU42" s="10" t="n">
        <v>8000</v>
      </c>
      <c r="CV42" s="10" t="n">
        <v>8000</v>
      </c>
      <c r="CW42" s="11" t="n"/>
      <c r="CX42" s="11" t="n">
        <v>8000</v>
      </c>
      <c r="CY42" s="11" t="n">
        <v>8000</v>
      </c>
      <c r="CZ42" s="10" t="n"/>
      <c r="DA42" s="10" t="n">
        <v>8000</v>
      </c>
      <c r="DB42" s="10" t="n">
        <v>8000</v>
      </c>
      <c r="DC42" s="11" t="n"/>
      <c r="DD42" s="11" t="n">
        <v>8000</v>
      </c>
      <c r="DE42" s="11" t="n">
        <v>8000</v>
      </c>
      <c r="DF42" s="35" t="n"/>
      <c r="DG42" s="35" t="n"/>
      <c r="DH42" s="35" t="n"/>
      <c r="DL42" s="35" t="n"/>
      <c r="DM42" s="35" t="n"/>
      <c r="DN42" s="35" t="n"/>
    </row>
    <row r="43">
      <c r="A43" s="2" t="inlineStr">
        <is>
          <t>Customer Success Manager</t>
        </is>
      </c>
      <c r="B43" s="10">
        <f>IF(COUNT(AR43,AO43,AL43,AI43,AF43,AC43,Z43,W43,T43,Q43,N43,K43)=0,"",SUM(AR43,AO43,AL43,AI43,AF43,AC43,Z43,W43,T43,Q43,N43,K43))</f>
        <v/>
      </c>
      <c r="C43" s="10">
        <f>IF(COUNT(AS43,AP43,AM43,AJ43,AG43,AD43,AA43,X43,U43,R43,O43,L43)=0,"",SUM(AS43,AP43,AM43,AJ43,AG43,AD43,AA43,X43,U43,R43,O43,L43))</f>
        <v/>
      </c>
      <c r="D43" s="10">
        <f>IF(COUNT(AT43,AQ43,AN43,AK43,AH43,AE43,AB43,Y43,V43,S43,P43,M43)=0,"",SUM(AT43,AQ43,AN43,AK43,AH43,AE43,AB43,Y43,V43,S43,P43,M43))</f>
        <v/>
      </c>
      <c r="E43" s="11">
        <f>IF(COUNT(CB43,BY43,BV43,BS43,BP43,BM43,BJ43,BG43,BD43,BA43,AX43,AU43)=0,"",SUM(CB43,BY43,BV43,BS43,BP43,BM43,BJ43,BG43,BD43,BA43,AX43,AU43))</f>
        <v/>
      </c>
      <c r="F43" s="11">
        <f>IF(COUNT(CC43,BZ43,BW43,BT43,BQ43,BN43,BK43,BH43,BE43,BB43,AY43,AV43)=0,"",SUM(CC43,BZ43,BW43,BT43,BQ43,BN43,BK43,BH43,BE43,BB43,AY43,AV43))</f>
        <v/>
      </c>
      <c r="G43" s="11">
        <f>IF(COUNT(CD43,CA43,BX43,BU43,BR43,BO43,BL43,BI43,BF43,BC43,AZ43,AW43)=0,"",SUM(CD43,CA43,BX43,BU43,BR43,BO43,BL43,BI43,BF43,BC43,AZ43,AW43))</f>
        <v/>
      </c>
      <c r="H43" s="10">
        <f>IF(COUNT(DL43,DI43,DF43,DC43,CZ43,CW43,CT43,CQ43,CN43,CK43,CH43,CE43)=0,"",SUM(DL43,DI43,DF43,DC43,CZ43,CW43,CT43,CQ43,CN43,CK43,CH43,CE43))</f>
        <v/>
      </c>
      <c r="I43" s="10">
        <f>IF(COUNT(DM43,DJ43,DG43,DD43,DA43,CX43,CU43,CR43,CO43,CL43,CI43,CF43)=0,"",SUM(DM43,DJ43,DG43,DD43,DA43,CX43,CU43,CR43,CO43,CL43,CI43,CF43))</f>
        <v/>
      </c>
      <c r="J43" s="10">
        <f>IF(COUNT(DN43,DK43,DH43,DE43,DB43,CY43,CV43,CS43,CP43,CM43,CJ43,CG43)=0,"",SUM(DN43,DK43,DH43,DE43,DB43,CY43,CV43,CS43,CP43,CM43,CJ43,CG43))</f>
        <v/>
      </c>
      <c r="K43" s="11" t="n"/>
      <c r="L43" s="11" t="n">
        <v>8000</v>
      </c>
      <c r="M43" s="11" t="n">
        <v>8000</v>
      </c>
      <c r="N43" s="10" t="n"/>
      <c r="O43" s="10" t="n">
        <v>8000</v>
      </c>
      <c r="P43" s="10" t="n">
        <v>8000</v>
      </c>
      <c r="Q43" s="11" t="n"/>
      <c r="R43" s="11" t="n">
        <v>8000</v>
      </c>
      <c r="S43" s="11" t="n">
        <v>8000</v>
      </c>
      <c r="T43" s="10" t="n"/>
      <c r="U43" s="10" t="n">
        <v>8000</v>
      </c>
      <c r="V43" s="10" t="n">
        <v>8000</v>
      </c>
      <c r="W43" s="11" t="n"/>
      <c r="X43" s="11" t="n">
        <v>8000</v>
      </c>
      <c r="Y43" s="11" t="n">
        <v>8000</v>
      </c>
      <c r="Z43" s="10" t="n"/>
      <c r="AA43" s="10" t="n">
        <v>8000</v>
      </c>
      <c r="AB43" s="10" t="n">
        <v>8000</v>
      </c>
      <c r="AC43" s="11" t="n"/>
      <c r="AD43" s="11" t="n">
        <v>8000</v>
      </c>
      <c r="AE43" s="11" t="n">
        <v>8000</v>
      </c>
      <c r="AF43" s="10" t="n"/>
      <c r="AG43" s="10" t="n">
        <v>8000</v>
      </c>
      <c r="AH43" s="10" t="n">
        <v>8000</v>
      </c>
      <c r="AI43" s="11" t="n"/>
      <c r="AJ43" s="11" t="n">
        <v>8000</v>
      </c>
      <c r="AK43" s="11" t="n">
        <v>8000</v>
      </c>
      <c r="AL43" s="10" t="n"/>
      <c r="AM43" s="10" t="n">
        <v>8000</v>
      </c>
      <c r="AN43" s="10" t="n">
        <v>8000</v>
      </c>
      <c r="AO43" s="11" t="n"/>
      <c r="AP43" s="11" t="n">
        <v>8000</v>
      </c>
      <c r="AQ43" s="11" t="n">
        <v>8000</v>
      </c>
      <c r="AR43" s="10" t="n"/>
      <c r="AS43" s="10" t="n">
        <v>8000</v>
      </c>
      <c r="AT43" s="10" t="n">
        <v>8000</v>
      </c>
      <c r="AU43" s="11" t="n"/>
      <c r="AV43" s="11" t="n">
        <v>8000</v>
      </c>
      <c r="AW43" s="11" t="n">
        <v>8000</v>
      </c>
      <c r="AX43" s="10" t="n"/>
      <c r="AY43" s="10" t="n">
        <v>8000</v>
      </c>
      <c r="AZ43" s="10" t="n">
        <v>8000</v>
      </c>
      <c r="BA43" s="11" t="n"/>
      <c r="BB43" s="11" t="n">
        <v>8000</v>
      </c>
      <c r="BC43" s="11" t="n">
        <v>8000</v>
      </c>
      <c r="BD43" s="10" t="n"/>
      <c r="BE43" s="10" t="n">
        <v>8000</v>
      </c>
      <c r="BF43" s="10" t="n">
        <v>8000</v>
      </c>
      <c r="BG43" s="11" t="n"/>
      <c r="BH43" s="11" t="n">
        <v>8000</v>
      </c>
      <c r="BI43" s="11" t="n">
        <v>8000</v>
      </c>
      <c r="BJ43" s="10" t="n"/>
      <c r="BK43" s="10" t="n">
        <v>8000</v>
      </c>
      <c r="BL43" s="10" t="n">
        <v>8000</v>
      </c>
      <c r="BM43" s="11" t="n"/>
      <c r="BN43" s="11" t="n">
        <v>8000</v>
      </c>
      <c r="BO43" s="11" t="n">
        <v>8000</v>
      </c>
      <c r="BP43" s="35" t="n"/>
      <c r="BQ43" s="35" t="n"/>
      <c r="BR43" s="35" t="n"/>
      <c r="BV43" s="35" t="n"/>
      <c r="BW43" s="35" t="n"/>
      <c r="BX43" s="35" t="n"/>
      <c r="CB43" s="35" t="n"/>
      <c r="CC43" s="35" t="n"/>
      <c r="CD43" s="35" t="n"/>
      <c r="CH43" s="35" t="n"/>
      <c r="CI43" s="35" t="n"/>
      <c r="CJ43" s="35" t="n"/>
      <c r="CN43" s="35" t="n"/>
      <c r="CO43" s="35" t="n"/>
      <c r="CP43" s="35" t="n"/>
      <c r="CT43" s="35" t="n"/>
      <c r="CU43" s="35" t="n"/>
      <c r="CV43" s="35" t="n"/>
      <c r="CZ43" s="35" t="n"/>
      <c r="DA43" s="35" t="n"/>
      <c r="DB43" s="35" t="n"/>
      <c r="DF43" s="35" t="n"/>
      <c r="DG43" s="35" t="n"/>
      <c r="DH43" s="35" t="n"/>
      <c r="DL43" s="35" t="n"/>
      <c r="DM43" s="35" t="n"/>
      <c r="DN43" s="35" t="n"/>
    </row>
    <row r="44">
      <c r="A44" s="2" t="inlineStr">
        <is>
          <t>Customer Success Manager</t>
        </is>
      </c>
      <c r="B44" s="10">
        <f>IF(COUNT(AR44,AO44,AL44,AI44,AF44,AC44,Z44,W44,T44,Q44,N44,K44)=0,"",SUM(AR44,AO44,AL44,AI44,AF44,AC44,Z44,W44,T44,Q44,N44,K44))</f>
        <v/>
      </c>
      <c r="C44" s="10">
        <f>IF(COUNT(AS44,AP44,AM44,AJ44,AG44,AD44,AA44,X44,U44,R44,O44,L44)=0,"",SUM(AS44,AP44,AM44,AJ44,AG44,AD44,AA44,X44,U44,R44,O44,L44))</f>
        <v/>
      </c>
      <c r="D44" s="10">
        <f>IF(COUNT(AT44,AQ44,AN44,AK44,AH44,AE44,AB44,Y44,V44,S44,P44,M44)=0,"",SUM(AT44,AQ44,AN44,AK44,AH44,AE44,AB44,Y44,V44,S44,P44,M44))</f>
        <v/>
      </c>
      <c r="E44" s="11">
        <f>IF(COUNT(CB44,BY44,BV44,BS44,BP44,BM44,BJ44,BG44,BD44,BA44,AX44,AU44)=0,"",SUM(CB44,BY44,BV44,BS44,BP44,BM44,BJ44,BG44,BD44,BA44,AX44,AU44))</f>
        <v/>
      </c>
      <c r="F44" s="11">
        <f>IF(COUNT(CC44,BZ44,BW44,BT44,BQ44,BN44,BK44,BH44,BE44,BB44,AY44,AV44)=0,"",SUM(CC44,BZ44,BW44,BT44,BQ44,BN44,BK44,BH44,BE44,BB44,AY44,AV44))</f>
        <v/>
      </c>
      <c r="G44" s="11">
        <f>IF(COUNT(CD44,CA44,BX44,BU44,BR44,BO44,BL44,BI44,BF44,BC44,AZ44,AW44)=0,"",SUM(CD44,CA44,BX44,BU44,BR44,BO44,BL44,BI44,BF44,BC44,AZ44,AW44))</f>
        <v/>
      </c>
      <c r="H44" s="10">
        <f>IF(COUNT(DL44,DI44,DF44,DC44,CZ44,CW44,CT44,CQ44,CN44,CK44,CH44,CE44)=0,"",SUM(DL44,DI44,DF44,DC44,CZ44,CW44,CT44,CQ44,CN44,CK44,CH44,CE44))</f>
        <v/>
      </c>
      <c r="I44" s="10">
        <f>IF(COUNT(DM44,DJ44,DG44,DD44,DA44,CX44,CU44,CR44,CO44,CL44,CI44,CF44)=0,"",SUM(DM44,DJ44,DG44,DD44,DA44,CX44,CU44,CR44,CO44,CL44,CI44,CF44))</f>
        <v/>
      </c>
      <c r="J44" s="10">
        <f>IF(COUNT(DN44,DK44,DH44,DE44,DB44,CY44,CV44,CS44,CP44,CM44,CJ44,CG44)=0,"",SUM(DN44,DK44,DH44,DE44,DB44,CY44,CV44,CS44,CP44,CM44,CJ44,CG44))</f>
        <v/>
      </c>
      <c r="K44" s="11" t="n"/>
      <c r="L44" s="11" t="n">
        <v>8000</v>
      </c>
      <c r="M44" s="11" t="n">
        <v>8000</v>
      </c>
      <c r="N44" s="10" t="n"/>
      <c r="O44" s="10" t="n">
        <v>8000</v>
      </c>
      <c r="P44" s="10" t="n">
        <v>8000</v>
      </c>
      <c r="Q44" s="11" t="n"/>
      <c r="R44" s="11" t="n">
        <v>8000</v>
      </c>
      <c r="S44" s="11" t="n">
        <v>8000</v>
      </c>
      <c r="T44" s="10" t="n"/>
      <c r="U44" s="10" t="n">
        <v>8000</v>
      </c>
      <c r="V44" s="10" t="n">
        <v>8000</v>
      </c>
      <c r="W44" s="11" t="n"/>
      <c r="X44" s="11" t="n">
        <v>8000</v>
      </c>
      <c r="Y44" s="11" t="n">
        <v>8000</v>
      </c>
      <c r="Z44" s="10" t="n"/>
      <c r="AA44" s="10" t="n">
        <v>8000</v>
      </c>
      <c r="AB44" s="10" t="n">
        <v>8000</v>
      </c>
      <c r="AC44" s="11" t="n"/>
      <c r="AD44" s="11" t="n">
        <v>8000</v>
      </c>
      <c r="AE44" s="11" t="n">
        <v>8000</v>
      </c>
      <c r="AF44" s="10" t="n"/>
      <c r="AG44" s="10" t="n">
        <v>8000</v>
      </c>
      <c r="AH44" s="10" t="n">
        <v>8000</v>
      </c>
      <c r="AI44" s="11" t="n"/>
      <c r="AJ44" s="11" t="n">
        <v>8000</v>
      </c>
      <c r="AK44" s="11" t="n">
        <v>8000</v>
      </c>
      <c r="AL44" s="10" t="n"/>
      <c r="AM44" s="10" t="n">
        <v>8000</v>
      </c>
      <c r="AN44" s="10" t="n">
        <v>8000</v>
      </c>
      <c r="AO44" s="11" t="n"/>
      <c r="AP44" s="11" t="n">
        <v>8000</v>
      </c>
      <c r="AQ44" s="11" t="n">
        <v>8000</v>
      </c>
      <c r="AR44" s="10" t="n"/>
      <c r="AS44" s="10" t="n">
        <v>8000</v>
      </c>
      <c r="AT44" s="10" t="n">
        <v>8000</v>
      </c>
      <c r="AU44" s="11" t="n"/>
      <c r="AV44" s="11" t="n">
        <v>8000</v>
      </c>
      <c r="AW44" s="11" t="n">
        <v>8000</v>
      </c>
      <c r="AX44" s="10" t="n"/>
      <c r="AY44" s="10" t="n">
        <v>8000</v>
      </c>
      <c r="AZ44" s="10" t="n">
        <v>8000</v>
      </c>
      <c r="BA44" s="11" t="n"/>
      <c r="BB44" s="11" t="n">
        <v>8000</v>
      </c>
      <c r="BC44" s="11" t="n">
        <v>8000</v>
      </c>
      <c r="BD44" s="10" t="n"/>
      <c r="BE44" s="10" t="n">
        <v>8000</v>
      </c>
      <c r="BF44" s="10" t="n">
        <v>8000</v>
      </c>
      <c r="BJ44" s="35" t="n"/>
      <c r="BK44" s="35" t="n"/>
      <c r="BL44" s="35" t="n"/>
      <c r="BP44" s="35" t="n"/>
      <c r="BQ44" s="35" t="n"/>
      <c r="BR44" s="35" t="n"/>
      <c r="BV44" s="35" t="n"/>
      <c r="BW44" s="35" t="n"/>
      <c r="BX44" s="35" t="n"/>
      <c r="CB44" s="35" t="n"/>
      <c r="CC44" s="35" t="n"/>
      <c r="CD44" s="35" t="n"/>
      <c r="CH44" s="35" t="n"/>
      <c r="CI44" s="35" t="n"/>
      <c r="CJ44" s="35" t="n"/>
      <c r="CN44" s="35" t="n"/>
      <c r="CO44" s="35" t="n"/>
      <c r="CP44" s="35" t="n"/>
      <c r="CT44" s="35" t="n"/>
      <c r="CU44" s="35" t="n"/>
      <c r="CV44" s="35" t="n"/>
      <c r="CZ44" s="35" t="n"/>
      <c r="DA44" s="35" t="n"/>
      <c r="DB44" s="35" t="n"/>
      <c r="DF44" s="35" t="n"/>
      <c r="DG44" s="35" t="n"/>
      <c r="DH44" s="35" t="n"/>
      <c r="DL44" s="35" t="n"/>
      <c r="DM44" s="35" t="n"/>
      <c r="DN44" s="35" t="n"/>
    </row>
    <row r="45">
      <c r="A45" s="2" t="inlineStr">
        <is>
          <t>Customer Success Manager</t>
        </is>
      </c>
      <c r="B45" s="10">
        <f>IF(COUNT(AR45,AO45,AL45,AI45,AF45,AC45,Z45,W45,T45,Q45,N45,K45)=0,"",SUM(AR45,AO45,AL45,AI45,AF45,AC45,Z45,W45,T45,Q45,N45,K45))</f>
        <v/>
      </c>
      <c r="C45" s="10">
        <f>IF(COUNT(AS45,AP45,AM45,AJ45,AG45,AD45,AA45,X45,U45,R45,O45,L45)=0,"",SUM(AS45,AP45,AM45,AJ45,AG45,AD45,AA45,X45,U45,R45,O45,L45))</f>
        <v/>
      </c>
      <c r="D45" s="10">
        <f>IF(COUNT(AT45,AQ45,AN45,AK45,AH45,AE45,AB45,Y45,V45,S45,P45,M45)=0,"",SUM(AT45,AQ45,AN45,AK45,AH45,AE45,AB45,Y45,V45,S45,P45,M45))</f>
        <v/>
      </c>
      <c r="E45" s="11">
        <f>IF(COUNT(CB45,BY45,BV45,BS45,BP45,BM45,BJ45,BG45,BD45,BA45,AX45,AU45)=0,"",SUM(CB45,BY45,BV45,BS45,BP45,BM45,BJ45,BG45,BD45,BA45,AX45,AU45))</f>
        <v/>
      </c>
      <c r="F45" s="11">
        <f>IF(COUNT(CC45,BZ45,BW45,BT45,BQ45,BN45,BK45,BH45,BE45,BB45,AY45,AV45)=0,"",SUM(CC45,BZ45,BW45,BT45,BQ45,BN45,BK45,BH45,BE45,BB45,AY45,AV45))</f>
        <v/>
      </c>
      <c r="G45" s="11">
        <f>IF(COUNT(CD45,CA45,BX45,BU45,BR45,BO45,BL45,BI45,BF45,BC45,AZ45,AW45)=0,"",SUM(CD45,CA45,BX45,BU45,BR45,BO45,BL45,BI45,BF45,BC45,AZ45,AW45))</f>
        <v/>
      </c>
      <c r="H45" s="10">
        <f>IF(COUNT(DL45,DI45,DF45,DC45,CZ45,CW45,CT45,CQ45,CN45,CK45,CH45,CE45)=0,"",SUM(DL45,DI45,DF45,DC45,CZ45,CW45,CT45,CQ45,CN45,CK45,CH45,CE45))</f>
        <v/>
      </c>
      <c r="I45" s="10">
        <f>IF(COUNT(DM45,DJ45,DG45,DD45,DA45,CX45,CU45,CR45,CO45,CL45,CI45,CF45)=0,"",SUM(DM45,DJ45,DG45,DD45,DA45,CX45,CU45,CR45,CO45,CL45,CI45,CF45))</f>
        <v/>
      </c>
      <c r="J45" s="10">
        <f>IF(COUNT(DN45,DK45,DH45,DE45,DB45,CY45,CV45,CS45,CP45,CM45,CJ45,CG45)=0,"",SUM(DN45,DK45,DH45,DE45,DB45,CY45,CV45,CS45,CP45,CM45,CJ45,CG45))</f>
        <v/>
      </c>
      <c r="K45" s="11" t="n"/>
      <c r="L45" s="11" t="n">
        <v>8000</v>
      </c>
      <c r="M45" s="11" t="n">
        <v>8000</v>
      </c>
      <c r="N45" s="10" t="n"/>
      <c r="O45" s="10" t="n">
        <v>8000</v>
      </c>
      <c r="P45" s="10" t="n">
        <v>8000</v>
      </c>
      <c r="Q45" s="11" t="n"/>
      <c r="R45" s="11" t="n">
        <v>8000</v>
      </c>
      <c r="S45" s="11" t="n">
        <v>8000</v>
      </c>
      <c r="T45" s="10" t="n"/>
      <c r="U45" s="10" t="n">
        <v>8000</v>
      </c>
      <c r="V45" s="10" t="n">
        <v>8000</v>
      </c>
      <c r="W45" s="11" t="n"/>
      <c r="X45" s="11" t="n">
        <v>8000</v>
      </c>
      <c r="Y45" s="11" t="n">
        <v>8000</v>
      </c>
      <c r="Z45" s="10" t="n"/>
      <c r="AA45" s="10" t="n">
        <v>8000</v>
      </c>
      <c r="AB45" s="10" t="n">
        <v>8000</v>
      </c>
      <c r="AC45" s="11" t="n"/>
      <c r="AD45" s="11" t="n">
        <v>8000</v>
      </c>
      <c r="AE45" s="11" t="n">
        <v>8000</v>
      </c>
      <c r="AF45" s="10" t="n"/>
      <c r="AG45" s="10" t="n">
        <v>8000</v>
      </c>
      <c r="AH45" s="10" t="n">
        <v>8000</v>
      </c>
      <c r="AI45" s="11" t="n"/>
      <c r="AJ45" s="11" t="n">
        <v>8000</v>
      </c>
      <c r="AK45" s="11" t="n">
        <v>8000</v>
      </c>
      <c r="AL45" s="10" t="n"/>
      <c r="AM45" s="10" t="n">
        <v>8000</v>
      </c>
      <c r="AN45" s="10" t="n">
        <v>8000</v>
      </c>
      <c r="AO45" s="11" t="n"/>
      <c r="AP45" s="11" t="n">
        <v>8000</v>
      </c>
      <c r="AQ45" s="11" t="n">
        <v>8000</v>
      </c>
      <c r="AR45" s="35" t="n"/>
      <c r="AS45" s="35" t="n"/>
      <c r="AT45" s="35" t="n"/>
      <c r="AX45" s="35" t="n"/>
      <c r="AY45" s="35" t="n"/>
      <c r="AZ45" s="35" t="n"/>
      <c r="BD45" s="35" t="n"/>
      <c r="BE45" s="35" t="n"/>
      <c r="BF45" s="35" t="n"/>
      <c r="BJ45" s="35" t="n"/>
      <c r="BK45" s="35" t="n"/>
      <c r="BL45" s="35" t="n"/>
      <c r="BP45" s="35" t="n"/>
      <c r="BQ45" s="35" t="n"/>
      <c r="BR45" s="35" t="n"/>
      <c r="BV45" s="35" t="n"/>
      <c r="BW45" s="35" t="n"/>
      <c r="BX45" s="35" t="n"/>
      <c r="CB45" s="35" t="n"/>
      <c r="CC45" s="35" t="n"/>
      <c r="CD45" s="35" t="n"/>
      <c r="CH45" s="35" t="n"/>
      <c r="CI45" s="35" t="n"/>
      <c r="CJ45" s="35" t="n"/>
      <c r="CN45" s="35" t="n"/>
      <c r="CO45" s="35" t="n"/>
      <c r="CP45" s="35" t="n"/>
      <c r="CT45" s="35" t="n"/>
      <c r="CU45" s="35" t="n"/>
      <c r="CV45" s="35" t="n"/>
      <c r="CZ45" s="35" t="n"/>
      <c r="DA45" s="35" t="n"/>
      <c r="DB45" s="35" t="n"/>
      <c r="DF45" s="35" t="n"/>
      <c r="DG45" s="35" t="n"/>
      <c r="DH45" s="35" t="n"/>
      <c r="DL45" s="35" t="n"/>
      <c r="DM45" s="35" t="n"/>
      <c r="DN45" s="35" t="n"/>
    </row>
    <row r="46">
      <c r="A46" s="2" t="inlineStr">
        <is>
          <t>Onboarding Specialist</t>
        </is>
      </c>
      <c r="B46" s="10">
        <f>IF(COUNT(AR46,AO46,AL46,AI46,AF46,AC46,Z46,W46,T46,Q46,N46,K46)=0,"",SUM(AR46,AO46,AL46,AI46,AF46,AC46,Z46,W46,T46,Q46,N46,K46))</f>
        <v/>
      </c>
      <c r="C46" s="10">
        <f>IF(COUNT(AS46,AP46,AM46,AJ46,AG46,AD46,AA46,X46,U46,R46,O46,L46)=0,"",SUM(AS46,AP46,AM46,AJ46,AG46,AD46,AA46,X46,U46,R46,O46,L46))</f>
        <v/>
      </c>
      <c r="D46" s="10">
        <f>IF(COUNT(AT46,AQ46,AN46,AK46,AH46,AE46,AB46,Y46,V46,S46,P46,M46)=0,"",SUM(AT46,AQ46,AN46,AK46,AH46,AE46,AB46,Y46,V46,S46,P46,M46))</f>
        <v/>
      </c>
      <c r="E46" s="11">
        <f>IF(COUNT(CB46,BY46,BV46,BS46,BP46,BM46,BJ46,BG46,BD46,BA46,AX46,AU46)=0,"",SUM(CB46,BY46,BV46,BS46,BP46,BM46,BJ46,BG46,BD46,BA46,AX46,AU46))</f>
        <v/>
      </c>
      <c r="F46" s="11">
        <f>IF(COUNT(CC46,BZ46,BW46,BT46,BQ46,BN46,BK46,BH46,BE46,BB46,AY46,AV46)=0,"",SUM(CC46,BZ46,BW46,BT46,BQ46,BN46,BK46,BH46,BE46,BB46,AY46,AV46))</f>
        <v/>
      </c>
      <c r="G46" s="11">
        <f>IF(COUNT(CD46,CA46,BX46,BU46,BR46,BO46,BL46,BI46,BF46,BC46,AZ46,AW46)=0,"",SUM(CD46,CA46,BX46,BU46,BR46,BO46,BL46,BI46,BF46,BC46,AZ46,AW46))</f>
        <v/>
      </c>
      <c r="H46" s="10">
        <f>IF(COUNT(DL46,DI46,DF46,DC46,CZ46,CW46,CT46,CQ46,CN46,CK46,CH46,CE46)=0,"",SUM(DL46,DI46,DF46,DC46,CZ46,CW46,CT46,CQ46,CN46,CK46,CH46,CE46))</f>
        <v/>
      </c>
      <c r="I46" s="10">
        <f>IF(COUNT(DM46,DJ46,DG46,DD46,DA46,CX46,CU46,CR46,CO46,CL46,CI46,CF46)=0,"",SUM(DM46,DJ46,DG46,DD46,DA46,CX46,CU46,CR46,CO46,CL46,CI46,CF46))</f>
        <v/>
      </c>
      <c r="J46" s="10">
        <f>IF(COUNT(DN46,DK46,DH46,DE46,DB46,CY46,CV46,CS46,CP46,CM46,CJ46,CG46)=0,"",SUM(DN46,DK46,DH46,DE46,DB46,CY46,CV46,CS46,CP46,CM46,CJ46,CG46))</f>
        <v/>
      </c>
      <c r="K46" s="11" t="n"/>
      <c r="L46" s="11" t="n">
        <v>7000</v>
      </c>
      <c r="M46" s="11" t="n">
        <v>7000</v>
      </c>
      <c r="N46" s="10" t="n"/>
      <c r="O46" s="10" t="n">
        <v>7000</v>
      </c>
      <c r="P46" s="10" t="n">
        <v>7000</v>
      </c>
      <c r="Q46" s="11" t="n"/>
      <c r="R46" s="11" t="n">
        <v>7000</v>
      </c>
      <c r="S46" s="11" t="n">
        <v>7000</v>
      </c>
      <c r="T46" s="10" t="n"/>
      <c r="U46" s="10" t="n">
        <v>7000</v>
      </c>
      <c r="V46" s="10" t="n">
        <v>7000</v>
      </c>
      <c r="W46" s="11" t="n"/>
      <c r="X46" s="11" t="n">
        <v>7000</v>
      </c>
      <c r="Y46" s="11" t="n">
        <v>7000</v>
      </c>
      <c r="Z46" s="10" t="n"/>
      <c r="AA46" s="10" t="n">
        <v>7000</v>
      </c>
      <c r="AB46" s="10" t="n">
        <v>7000</v>
      </c>
      <c r="AC46" s="11" t="n"/>
      <c r="AD46" s="11" t="n">
        <v>7000</v>
      </c>
      <c r="AE46" s="11" t="n">
        <v>7000</v>
      </c>
      <c r="AF46" s="10" t="n"/>
      <c r="AG46" s="10" t="n">
        <v>7000</v>
      </c>
      <c r="AH46" s="10" t="n">
        <v>7000</v>
      </c>
      <c r="AI46" s="11" t="n"/>
      <c r="AJ46" s="11" t="n">
        <v>7000</v>
      </c>
      <c r="AK46" s="11" t="n">
        <v>7000</v>
      </c>
      <c r="AL46" s="10" t="n"/>
      <c r="AM46" s="10" t="n">
        <v>7000</v>
      </c>
      <c r="AN46" s="10" t="n">
        <v>7000</v>
      </c>
      <c r="AO46" s="11" t="n"/>
      <c r="AP46" s="11" t="n">
        <v>7000</v>
      </c>
      <c r="AQ46" s="11" t="n">
        <v>7000</v>
      </c>
      <c r="AR46" s="10" t="n"/>
      <c r="AS46" s="10" t="n">
        <v>7000</v>
      </c>
      <c r="AT46" s="10" t="n">
        <v>7000</v>
      </c>
      <c r="AU46" s="11" t="n"/>
      <c r="AV46" s="11" t="n">
        <v>7000</v>
      </c>
      <c r="AW46" s="11" t="n">
        <v>7000</v>
      </c>
      <c r="AX46" s="10" t="n"/>
      <c r="AY46" s="10" t="n">
        <v>7000</v>
      </c>
      <c r="AZ46" s="10" t="n">
        <v>7000</v>
      </c>
      <c r="BA46" s="11" t="n"/>
      <c r="BB46" s="11" t="n">
        <v>7000</v>
      </c>
      <c r="BC46" s="11" t="n">
        <v>7000</v>
      </c>
      <c r="BD46" s="10" t="n"/>
      <c r="BE46" s="10" t="n">
        <v>7000</v>
      </c>
      <c r="BF46" s="10" t="n">
        <v>7000</v>
      </c>
      <c r="BG46" s="11" t="n"/>
      <c r="BH46" s="11" t="n">
        <v>7000</v>
      </c>
      <c r="BI46" s="11" t="n">
        <v>7000</v>
      </c>
      <c r="BJ46" s="10" t="n"/>
      <c r="BK46" s="10" t="n">
        <v>7000</v>
      </c>
      <c r="BL46" s="10" t="n">
        <v>7000</v>
      </c>
      <c r="BM46" s="11" t="n"/>
      <c r="BN46" s="11" t="n">
        <v>7000</v>
      </c>
      <c r="BO46" s="11" t="n">
        <v>7000</v>
      </c>
      <c r="BP46" s="10" t="n"/>
      <c r="BQ46" s="10" t="n">
        <v>7000</v>
      </c>
      <c r="BR46" s="10" t="n">
        <v>7000</v>
      </c>
      <c r="BV46" s="35" t="n"/>
      <c r="BW46" s="35" t="n"/>
      <c r="BX46" s="35" t="n"/>
      <c r="CB46" s="35" t="n"/>
      <c r="CC46" s="35" t="n"/>
      <c r="CD46" s="35" t="n"/>
      <c r="CH46" s="35" t="n"/>
      <c r="CI46" s="35" t="n"/>
      <c r="CJ46" s="35" t="n"/>
      <c r="CN46" s="35" t="n"/>
      <c r="CO46" s="35" t="n"/>
      <c r="CP46" s="35" t="n"/>
      <c r="CT46" s="35" t="n"/>
      <c r="CU46" s="35" t="n"/>
      <c r="CV46" s="35" t="n"/>
      <c r="CZ46" s="35" t="n"/>
      <c r="DA46" s="35" t="n"/>
      <c r="DB46" s="35" t="n"/>
      <c r="DF46" s="35" t="n"/>
      <c r="DG46" s="35" t="n"/>
      <c r="DH46" s="35" t="n"/>
      <c r="DL46" s="35" t="n"/>
      <c r="DM46" s="35" t="n"/>
      <c r="DN46" s="35" t="n"/>
    </row>
    <row r="47">
      <c r="A47" s="12" t="inlineStr">
        <is>
          <t>Total People Cost</t>
        </is>
      </c>
      <c r="B47" s="13">
        <f>IF(COUNT(AR47,AO47,AL47,AI47,AF47,AC47,Z47,W47,T47,Q47,N47,K47)=0,"",SUM(AR47,AO47,AL47,AI47,AF47,AC47,Z47,W47,T47,Q47,N47,K47))</f>
        <v/>
      </c>
      <c r="C47" s="13">
        <f>IF(COUNT(AS47,AP47,AM47,AJ47,AG47,AD47,AA47,X47,U47,R47,O47,L47)=0,"",SUM(AS47,AP47,AM47,AJ47,AG47,AD47,AA47,X47,U47,R47,O47,L47))</f>
        <v/>
      </c>
      <c r="D47" s="13">
        <f>IF(COUNT(AT47,AQ47,AN47,AK47,AH47,AE47,AB47,Y47,V47,S47,P47,M47)=0,"",SUM(AT47,AQ47,AN47,AK47,AH47,AE47,AB47,Y47,V47,S47,P47,M47))</f>
        <v/>
      </c>
      <c r="E47" s="14">
        <f>IF(COUNT(CB47,BY47,BV47,BS47,BP47,BM47,BJ47,BG47,BD47,BA47,AX47,AU47)=0,"",SUM(CB47,BY47,BV47,BS47,BP47,BM47,BJ47,BG47,BD47,BA47,AX47,AU47))</f>
        <v/>
      </c>
      <c r="F47" s="14">
        <f>IF(COUNT(CC47,BZ47,BW47,BT47,BQ47,BN47,BK47,BH47,BE47,BB47,AY47,AV47)=0,"",SUM(CC47,BZ47,BW47,BT47,BQ47,BN47,BK47,BH47,BE47,BB47,AY47,AV47))</f>
        <v/>
      </c>
      <c r="G47" s="14">
        <f>IF(COUNT(CD47,CA47,BX47,BU47,BR47,BO47,BL47,BI47,BF47,BC47,AZ47,AW47)=0,"",SUM(CD47,CA47,BX47,BU47,BR47,BO47,BL47,BI47,BF47,BC47,AZ47,AW47))</f>
        <v/>
      </c>
      <c r="H47" s="13">
        <f>IF(COUNT(DL47,DI47,DF47,DC47,CZ47,CW47,CT47,CQ47,CN47,CK47,CH47,CE47)=0,"",SUM(DL47,DI47,DF47,DC47,CZ47,CW47,CT47,CQ47,CN47,CK47,CH47,CE47))</f>
        <v/>
      </c>
      <c r="I47" s="13">
        <f>IF(COUNT(DM47,DJ47,DG47,DD47,DA47,CX47,CU47,CR47,CO47,CL47,CI47,CF47)=0,"",SUM(DM47,DJ47,DG47,DD47,DA47,CX47,CU47,CR47,CO47,CL47,CI47,CF47))</f>
        <v/>
      </c>
      <c r="J47" s="13">
        <f>IF(COUNT(DN47,DK47,DH47,DE47,DB47,CY47,CV47,CS47,CP47,CM47,CJ47,CG47)=0,"",SUM(DN47,DK47,DH47,DE47,DB47,CY47,CV47,CS47,CP47,CM47,CJ47,CG47))</f>
        <v/>
      </c>
      <c r="K47" s="14">
        <f>IF(COUNT(K36,K37,K38,K39,K40,K41,K42,K43,K44,K45,K46)=0,"",SUM(K36:K46))</f>
        <v/>
      </c>
      <c r="L47" s="14">
        <f>SUM(L36:L46)</f>
        <v/>
      </c>
      <c r="M47" s="14">
        <f>SUM(M36:M46)</f>
        <v/>
      </c>
      <c r="N47" s="13">
        <f>IF(COUNT(N36,N37,N38,N39,N40,N41,N42,N43,N44,N45,N46)=0,"",SUM(N36:N46))</f>
        <v/>
      </c>
      <c r="O47" s="13">
        <f>SUM(O36:O46)</f>
        <v/>
      </c>
      <c r="P47" s="13">
        <f>SUM(P36:P46)</f>
        <v/>
      </c>
      <c r="Q47" s="14">
        <f>IF(COUNT(Q36,Q37,Q38,Q39,Q40,Q41,Q42,Q43,Q44,Q45,Q46)=0,"",SUM(Q36:Q46))</f>
        <v/>
      </c>
      <c r="R47" s="14">
        <f>SUM(R36:R46)</f>
        <v/>
      </c>
      <c r="S47" s="14">
        <f>SUM(S36:S46)</f>
        <v/>
      </c>
      <c r="T47" s="13">
        <f>IF(COUNT(T36,T37,T38,T39,T40,T41,T42,T43,T44,T45,T46)=0,"",SUM(T36:T46))</f>
        <v/>
      </c>
      <c r="U47" s="13">
        <f>SUM(U36:U46)</f>
        <v/>
      </c>
      <c r="V47" s="13">
        <f>SUM(V36:V46)</f>
        <v/>
      </c>
      <c r="W47" s="14">
        <f>IF(COUNT(W36,W37,W38,W39,W40,W41,W42,W43,W44,W45,W46)=0,"",SUM(W36:W46))</f>
        <v/>
      </c>
      <c r="X47" s="14">
        <f>SUM(X36:X46)</f>
        <v/>
      </c>
      <c r="Y47" s="14">
        <f>SUM(Y36:Y46)</f>
        <v/>
      </c>
      <c r="Z47" s="13">
        <f>IF(COUNT(Z36,Z37,Z38,Z39,Z40,Z41,Z42,Z43,Z44,Z45,Z46)=0,"",SUM(Z36:Z46))</f>
        <v/>
      </c>
      <c r="AA47" s="13">
        <f>SUM(AA36:AA46)</f>
        <v/>
      </c>
      <c r="AB47" s="13">
        <f>SUM(AB36:AB46)</f>
        <v/>
      </c>
      <c r="AC47" s="14">
        <f>IF(COUNT(AC36,AC37,AC38,AC39,AC40,AC41,AC42,AC43,AC44,AC45,AC46)=0,"",SUM(AC36:AC46))</f>
        <v/>
      </c>
      <c r="AD47" s="14">
        <f>SUM(AD36:AD46)</f>
        <v/>
      </c>
      <c r="AE47" s="14">
        <f>SUM(AE36:AE46)</f>
        <v/>
      </c>
      <c r="AF47" s="13">
        <f>IF(COUNT(AF36,AF37,AF38,AF39,AF40,AF41,AF42,AF43,AF44,AF45,AF46)=0,"",SUM(AF36:AF46))</f>
        <v/>
      </c>
      <c r="AG47" s="13">
        <f>SUM(AG36:AG46)</f>
        <v/>
      </c>
      <c r="AH47" s="13">
        <f>SUM(AH36:AH46)</f>
        <v/>
      </c>
      <c r="AI47" s="14">
        <f>IF(COUNT(AI36,AI37,AI38,AI39,AI40,AI41,AI42,AI43,AI44,AI45,AI46)=0,"",SUM(AI36:AI46))</f>
        <v/>
      </c>
      <c r="AJ47" s="14">
        <f>SUM(AJ36:AJ46)</f>
        <v/>
      </c>
      <c r="AK47" s="14">
        <f>SUM(AK36:AK46)</f>
        <v/>
      </c>
      <c r="AL47" s="13">
        <f>IF(COUNT(AL36,AL37,AL38,AL39,AL40,AL41,AL42,AL43,AL44,AL45,AL46)=0,"",SUM(AL36:AL46))</f>
        <v/>
      </c>
      <c r="AM47" s="13">
        <f>SUM(AM36:AM46)</f>
        <v/>
      </c>
      <c r="AN47" s="13">
        <f>SUM(AN36:AN46)</f>
        <v/>
      </c>
      <c r="AO47" s="14">
        <f>IF(COUNT(AO36,AO37,AO38,AO39,AO40,AO41,AO42,AO43,AO44,AO45,AO46)=0,"",SUM(AO36:AO46))</f>
        <v/>
      </c>
      <c r="AP47" s="14">
        <f>SUM(AP36:AP46)</f>
        <v/>
      </c>
      <c r="AQ47" s="14">
        <f>SUM(AQ36:AQ46)</f>
        <v/>
      </c>
      <c r="AR47" s="13">
        <f>IF(COUNT(AR36,AR37,AR38,AR39,AR40,AR41,AR42,AR43,AR44,AR46)=0,"",SUM(AR36:AR46))</f>
        <v/>
      </c>
      <c r="AS47" s="13">
        <f>SUM(AS36:AS46)</f>
        <v/>
      </c>
      <c r="AT47" s="13">
        <f>SUM(AT36:AT46)</f>
        <v/>
      </c>
      <c r="AU47" s="14">
        <f>IF(COUNT(AU36,AU37,AU38,AU39,AU40,AU41,AU42,AU43,AU44,AU46)=0,"",SUM(AU36:AU46))</f>
        <v/>
      </c>
      <c r="AV47" s="14">
        <f>SUM(AV36:AV46)</f>
        <v/>
      </c>
      <c r="AW47" s="14">
        <f>SUM(AW36:AW46)</f>
        <v/>
      </c>
      <c r="AX47" s="13">
        <f>IF(COUNT(AX36,AX37,AX38,AX39,AX40,AX41,AX42,AX43,AX44,AX46)=0,"",SUM(AX36:AX46))</f>
        <v/>
      </c>
      <c r="AY47" s="13">
        <f>SUM(AY36:AY46)</f>
        <v/>
      </c>
      <c r="AZ47" s="13">
        <f>SUM(AZ36:AZ46)</f>
        <v/>
      </c>
      <c r="BA47" s="14">
        <f>IF(COUNT(BA36,BA37,BA38,BA39,BA40,BA41,BA42,BA43,BA44,BA46)=0,"",SUM(BA36:BA46))</f>
        <v/>
      </c>
      <c r="BB47" s="14">
        <f>SUM(BB36:BB46)</f>
        <v/>
      </c>
      <c r="BC47" s="14">
        <f>SUM(BC36:BC46)</f>
        <v/>
      </c>
      <c r="BD47" s="13">
        <f>IF(COUNT(BD36,BD37,BD38,BD39,BD40,BD41,BD42,BD43,BD44,BD46)=0,"",SUM(BD36:BD46))</f>
        <v/>
      </c>
      <c r="BE47" s="13">
        <f>SUM(BE36:BE46)</f>
        <v/>
      </c>
      <c r="BF47" s="13">
        <f>SUM(BF36:BF46)</f>
        <v/>
      </c>
      <c r="BG47" s="14">
        <f>IF(COUNT(BG36,BG37,BG38,BG39,BG40,BG41,BG42,BG43,BG46)=0,"",SUM(BG36:BG46))</f>
        <v/>
      </c>
      <c r="BH47" s="14">
        <f>SUM(BH36:BH46)</f>
        <v/>
      </c>
      <c r="BI47" s="14">
        <f>SUM(BI36:BI46)</f>
        <v/>
      </c>
      <c r="BJ47" s="13">
        <f>IF(COUNT(BJ36,BJ37,BJ38,BJ39,BJ40,BJ41,BJ42,BJ43,BJ46)=0,"",SUM(BJ36:BJ46))</f>
        <v/>
      </c>
      <c r="BK47" s="13">
        <f>SUM(BK36:BK46)</f>
        <v/>
      </c>
      <c r="BL47" s="13">
        <f>SUM(BL36:BL46)</f>
        <v/>
      </c>
      <c r="BM47" s="14">
        <f>IF(COUNT(BM36,BM37,BM38,BM39,BM40,BM41,BM42,BM43,BM46)=0,"",SUM(BM36:BM46))</f>
        <v/>
      </c>
      <c r="BN47" s="14">
        <f>SUM(BN36:BN46)</f>
        <v/>
      </c>
      <c r="BO47" s="14">
        <f>SUM(BO36:BO46)</f>
        <v/>
      </c>
      <c r="BP47" s="13">
        <f>IF(COUNT(BP36,BP37,BP38,BP39,BP40,BP41,BP42,BP46)=0,"",SUM(BP36:BP46))</f>
        <v/>
      </c>
      <c r="BQ47" s="13">
        <f>SUM(BQ36:BQ46)</f>
        <v/>
      </c>
      <c r="BR47" s="13">
        <f>SUM(BR36:BR46)</f>
        <v/>
      </c>
      <c r="BS47" s="14">
        <f>IF(COUNT(BS36,BS37,BS38,BS39,BS40,BS41,BS42)=0,"",SUM(BS36:BS46))</f>
        <v/>
      </c>
      <c r="BT47" s="14">
        <f>SUM(BT36:BT46)</f>
        <v/>
      </c>
      <c r="BU47" s="14">
        <f>SUM(BU36:BU46)</f>
        <v/>
      </c>
      <c r="BV47" s="13">
        <f>IF(COUNT(BV36,BV37,BV38,BV39,BV40,BV41,BV42)=0,"",SUM(BV36:BV46))</f>
        <v/>
      </c>
      <c r="BW47" s="13">
        <f>SUM(BW36:BW46)</f>
        <v/>
      </c>
      <c r="BX47" s="13">
        <f>SUM(BX36:BX46)</f>
        <v/>
      </c>
      <c r="BY47" s="14">
        <f>IF(COUNT(BY36,BY37,BY38,BY39,BY40,BY41,BY42)=0,"",SUM(BY36:BY46))</f>
        <v/>
      </c>
      <c r="BZ47" s="14">
        <f>SUM(BZ36:BZ46)</f>
        <v/>
      </c>
      <c r="CA47" s="14">
        <f>SUM(CA36:CA46)</f>
        <v/>
      </c>
      <c r="CB47" s="13">
        <f>IF(COUNT(CB36,CB37,CB38,CB39,CB40,CB41,CB42)=0,"",SUM(CB36:CB46))</f>
        <v/>
      </c>
      <c r="CC47" s="13">
        <f>SUM(CC36:CC46)</f>
        <v/>
      </c>
      <c r="CD47" s="13">
        <f>SUM(CD36:CD46)</f>
        <v/>
      </c>
      <c r="CE47" s="14">
        <f>IF(COUNT(CE36,CE37,CE38,CE39,CE40,CE41,CE42)=0,"",SUM(CE36:CE46))</f>
        <v/>
      </c>
      <c r="CF47" s="14">
        <f>SUM(CF36:CF46)</f>
        <v/>
      </c>
      <c r="CG47" s="14">
        <f>SUM(CG36:CG46)</f>
        <v/>
      </c>
      <c r="CH47" s="13">
        <f>IF(COUNT(CH36,CH37,CH38,CH39,CH40,CH41,CH42)=0,"",SUM(CH36:CH46))</f>
        <v/>
      </c>
      <c r="CI47" s="13">
        <f>SUM(CI36:CI46)</f>
        <v/>
      </c>
      <c r="CJ47" s="13">
        <f>SUM(CJ36:CJ46)</f>
        <v/>
      </c>
      <c r="CK47" s="14">
        <f>IF(COUNT(CK36,CK37,CK38,CK39,CK40,CK41,CK42)=0,"",SUM(CK36:CK46))</f>
        <v/>
      </c>
      <c r="CL47" s="14">
        <f>SUM(CL36:CL46)</f>
        <v/>
      </c>
      <c r="CM47" s="14">
        <f>SUM(CM36:CM46)</f>
        <v/>
      </c>
      <c r="CN47" s="13">
        <f>IF(COUNT(CN36,CN37,CN38,CN39,CN40,CN41,CN42)=0,"",SUM(CN36:CN46))</f>
        <v/>
      </c>
      <c r="CO47" s="13">
        <f>SUM(CO36:CO46)</f>
        <v/>
      </c>
      <c r="CP47" s="13">
        <f>SUM(CP36:CP46)</f>
        <v/>
      </c>
      <c r="CQ47" s="14">
        <f>IF(COUNT(CQ36,CQ37,CQ38,CQ39,CQ40,CQ41,CQ42)=0,"",SUM(CQ36:CQ46))</f>
        <v/>
      </c>
      <c r="CR47" s="14">
        <f>SUM(CR36:CR46)</f>
        <v/>
      </c>
      <c r="CS47" s="14">
        <f>SUM(CS36:CS46)</f>
        <v/>
      </c>
      <c r="CT47" s="13">
        <f>IF(COUNT(CT36,CT37,CT38,CT39,CT40,CT41,CT42)=0,"",SUM(CT36:CT46))</f>
        <v/>
      </c>
      <c r="CU47" s="13">
        <f>SUM(CU36:CU46)</f>
        <v/>
      </c>
      <c r="CV47" s="13">
        <f>SUM(CV36:CV46)</f>
        <v/>
      </c>
      <c r="CW47" s="14">
        <f>IF(COUNT(CW36,CW37,CW38,CW39,CW40,CW41,CW42)=0,"",SUM(CW36:CW46))</f>
        <v/>
      </c>
      <c r="CX47" s="14">
        <f>SUM(CX36:CX46)</f>
        <v/>
      </c>
      <c r="CY47" s="14">
        <f>SUM(CY36:CY46)</f>
        <v/>
      </c>
      <c r="CZ47" s="13">
        <f>IF(COUNT(CZ36,CZ37,CZ38,CZ39,CZ40,CZ41,CZ42)=0,"",SUM(CZ36:CZ46))</f>
        <v/>
      </c>
      <c r="DA47" s="13">
        <f>SUM(DA36:DA46)</f>
        <v/>
      </c>
      <c r="DB47" s="13">
        <f>SUM(DB36:DB46)</f>
        <v/>
      </c>
      <c r="DC47" s="14">
        <f>IF(COUNT(DC36,DC37,DC38,DC39,DC40,DC41,DC42)=0,"",SUM(DC36:DC46))</f>
        <v/>
      </c>
      <c r="DD47" s="14">
        <f>SUM(DD36:DD46)</f>
        <v/>
      </c>
      <c r="DE47" s="14">
        <f>SUM(DE36:DE46)</f>
        <v/>
      </c>
      <c r="DF47" s="13">
        <f>IF(COUNT(DF36,DF37,DF38,DF39,DF40,DF41)=0,"",SUM(DF36:DF46))</f>
        <v/>
      </c>
      <c r="DG47" s="13">
        <f>SUM(DG36:DG46)</f>
        <v/>
      </c>
      <c r="DH47" s="13">
        <f>SUM(DH36:DH46)</f>
        <v/>
      </c>
      <c r="DI47" s="14">
        <f>IF(COUNT(DI36,DI37,DI38,DI39,DI40,DI41)=0,"",SUM(DI36:DI46))</f>
        <v/>
      </c>
      <c r="DJ47" s="14">
        <f>SUM(DJ36:DJ46)</f>
        <v/>
      </c>
      <c r="DK47" s="14">
        <f>SUM(DK36:DK46)</f>
        <v/>
      </c>
      <c r="DL47" s="13">
        <f>IF(COUNT(DL36,DL37,DL38,DL39,DL40,DL41)=0,"",SUM(DL36:DL46))</f>
        <v/>
      </c>
      <c r="DM47" s="13">
        <f>SUM(DM36:DM46)</f>
        <v/>
      </c>
      <c r="DN47" s="13">
        <f>SUM(DN36:DN46)</f>
        <v/>
      </c>
    </row>
    <row r="48">
      <c r="A48" s="2" t="inlineStr">
        <is>
          <t>Headcount</t>
        </is>
      </c>
      <c r="B48" s="21">
        <f>IF(K48&lt;&gt;"",K48,IF(N48&lt;&gt;"",N48,IF(Q48&lt;&gt;"",Q48,IF(T48&lt;&gt;"",T48,IF(W48&lt;&gt;"",W48,IF(Z48&lt;&gt;"",Z48,IF(AC48&lt;&gt;"",AC48,IF(AF48&lt;&gt;"",AF48,IF(AI48&lt;&gt;"",AI48,IF(AL48&lt;&gt;"",AL48,IF(AO48&lt;&gt;"",AO48,IF(AR48&lt;&gt;"",AR48,""))))))))))))</f>
        <v/>
      </c>
      <c r="C48" s="21">
        <f>IF(L48&lt;&gt;"",L48,IF(O48&lt;&gt;"",O48,IF(R48&lt;&gt;"",R48,IF(U48&lt;&gt;"",U48,IF(X48&lt;&gt;"",X48,IF(AA48&lt;&gt;"",AA48,IF(AD48&lt;&gt;"",AD48,IF(AG48&lt;&gt;"",AG48,IF(AJ48&lt;&gt;"",AJ48,IF(AM48&lt;&gt;"",AM48,IF(AP48&lt;&gt;"",AP48,IF(AS48&lt;&gt;"",AS48,""))))))))))))</f>
        <v/>
      </c>
      <c r="D48" s="21">
        <f>IF(M48&lt;&gt;"",M48,IF(P48&lt;&gt;"",P48,IF(S48&lt;&gt;"",S48,IF(V48&lt;&gt;"",V48,IF(Y48&lt;&gt;"",Y48,IF(AB48&lt;&gt;"",AB48,IF(AE48&lt;&gt;"",AE48,IF(AH48&lt;&gt;"",AH48,IF(AK48&lt;&gt;"",AK48,IF(AN48&lt;&gt;"",AN48,IF(AQ48&lt;&gt;"",AQ48,IF(AT48&lt;&gt;"",AT48,""))))))))))))</f>
        <v/>
      </c>
      <c r="E48" s="2">
        <f>IF(AU48&lt;&gt;"",AU48,IF(AX48&lt;&gt;"",AX48,IF(BA48&lt;&gt;"",BA48,IF(BD48&lt;&gt;"",BD48,IF(BG48&lt;&gt;"",BG48,IF(BJ48&lt;&gt;"",BJ48,IF(BM48&lt;&gt;"",BM48,IF(BP48&lt;&gt;"",BP48,IF(BS48&lt;&gt;"",BS48,IF(BV48&lt;&gt;"",BV48,IF(BY48&lt;&gt;"",BY48,IF(CB48&lt;&gt;"",CB48,""))))))))))))</f>
        <v/>
      </c>
      <c r="F48" s="2">
        <f>IF(AV48&lt;&gt;"",AV48,IF(AY48&lt;&gt;"",AY48,IF(BB48&lt;&gt;"",BB48,IF(BE48&lt;&gt;"",BE48,IF(BH48&lt;&gt;"",BH48,IF(BK48&lt;&gt;"",BK48,IF(BN48&lt;&gt;"",BN48,IF(BQ48&lt;&gt;"",BQ48,IF(BT48&lt;&gt;"",BT48,IF(BW48&lt;&gt;"",BW48,IF(BZ48&lt;&gt;"",BZ48,IF(CC48&lt;&gt;"",CC48,""))))))))))))</f>
        <v/>
      </c>
      <c r="G48" s="2">
        <f>IF(AW48&lt;&gt;"",AW48,IF(AZ48&lt;&gt;"",AZ48,IF(BC48&lt;&gt;"",BC48,IF(BF48&lt;&gt;"",BF48,IF(BI48&lt;&gt;"",BI48,IF(BL48&lt;&gt;"",BL48,IF(BO48&lt;&gt;"",BO48,IF(BR48&lt;&gt;"",BR48,IF(BU48&lt;&gt;"",BU48,IF(BX48&lt;&gt;"",BX48,IF(CA48&lt;&gt;"",CA48,IF(CD48&lt;&gt;"",CD48,""))))))))))))</f>
        <v/>
      </c>
      <c r="H48" s="21">
        <f>IF(CE48&lt;&gt;"",CE48,IF(CH48&lt;&gt;"",CH48,IF(CK48&lt;&gt;"",CK48,IF(CN48&lt;&gt;"",CN48,IF(CQ48&lt;&gt;"",CQ48,IF(CT48&lt;&gt;"",CT48,IF(CW48&lt;&gt;"",CW48,IF(CZ48&lt;&gt;"",CZ48,IF(DC48&lt;&gt;"",DC48,IF(DF48&lt;&gt;"",DF48,IF(DI48&lt;&gt;"",DI48,IF(DL48&lt;&gt;"",DL48,""))))))))))))</f>
        <v/>
      </c>
      <c r="I48" s="21">
        <f>IF(CF48&lt;&gt;"",CF48,IF(CI48&lt;&gt;"",CI48,IF(CL48&lt;&gt;"",CL48,IF(CO48&lt;&gt;"",CO48,IF(CR48&lt;&gt;"",CR48,IF(CU48&lt;&gt;"",CU48,IF(CX48&lt;&gt;"",CX48,IF(DA48&lt;&gt;"",DA48,IF(DD48&lt;&gt;"",DD48,IF(DG48&lt;&gt;"",DG48,IF(DJ48&lt;&gt;"",DJ48,IF(DM48&lt;&gt;"",DM48,""))))))))))))</f>
        <v/>
      </c>
      <c r="J48" s="21">
        <f>IF(CG48&lt;&gt;"",CG48,IF(CJ48&lt;&gt;"",CJ48,IF(CM48&lt;&gt;"",CM48,IF(CP48&lt;&gt;"",CP48,IF(CS48&lt;&gt;"",CS48,IF(CV48&lt;&gt;"",CV48,IF(CY48&lt;&gt;"",CY48,IF(DB48&lt;&gt;"",DB48,IF(DE48&lt;&gt;"",DE48,IF(DH48&lt;&gt;"",DH48,IF(DK48&lt;&gt;"",DK48,IF(DN48&lt;&gt;"",DN48,""))))))))))))</f>
        <v/>
      </c>
      <c r="K48" s="2">
        <f>IF(COUNT(K36,K37,K38,K39,K40,K41,K42,K43,K44,K45,K46)=0,"",COUNT(K36:K46))</f>
        <v/>
      </c>
      <c r="L48" s="2">
        <f>COUNT(L36:L46)</f>
        <v/>
      </c>
      <c r="M48" s="2">
        <f>COUNT(M36:M46)</f>
        <v/>
      </c>
      <c r="N48" s="21">
        <f>IF(COUNT(N36,N37,N38,N39,N40,N41,N42,N43,N44,N45,N46)=0,"",COUNT(N36:N46))</f>
        <v/>
      </c>
      <c r="O48" s="21">
        <f>COUNT(O36:O46)</f>
        <v/>
      </c>
      <c r="P48" s="21">
        <f>COUNT(P36:P46)</f>
        <v/>
      </c>
      <c r="Q48" s="2">
        <f>IF(COUNT(Q36,Q37,Q38,Q39,Q40,Q41,Q42,Q43,Q44,Q45,Q46)=0,"",COUNT(Q36:Q46))</f>
        <v/>
      </c>
      <c r="R48" s="2">
        <f>COUNT(R36:R46)</f>
        <v/>
      </c>
      <c r="S48" s="2">
        <f>COUNT(S36:S46)</f>
        <v/>
      </c>
      <c r="T48" s="21">
        <f>IF(COUNT(T36,T37,T38,T39,T40,T41,T42,T43,T44,T45,T46)=0,"",COUNT(T36:T46))</f>
        <v/>
      </c>
      <c r="U48" s="21">
        <f>COUNT(U36:U46)</f>
        <v/>
      </c>
      <c r="V48" s="21">
        <f>COUNT(V36:V46)</f>
        <v/>
      </c>
      <c r="W48" s="2">
        <f>IF(COUNT(W36,W37,W38,W39,W40,W41,W42,W43,W44,W45,W46)=0,"",COUNT(W36:W46))</f>
        <v/>
      </c>
      <c r="X48" s="2">
        <f>COUNT(X36:X46)</f>
        <v/>
      </c>
      <c r="Y48" s="2">
        <f>COUNT(Y36:Y46)</f>
        <v/>
      </c>
      <c r="Z48" s="21">
        <f>IF(COUNT(Z36,Z37,Z38,Z39,Z40,Z41,Z42,Z43,Z44,Z45,Z46)=0,"",COUNT(Z36:Z46))</f>
        <v/>
      </c>
      <c r="AA48" s="21">
        <f>COUNT(AA36:AA46)</f>
        <v/>
      </c>
      <c r="AB48" s="21">
        <f>COUNT(AB36:AB46)</f>
        <v/>
      </c>
      <c r="AC48" s="2">
        <f>IF(COUNT(AC36,AC37,AC38,AC39,AC40,AC41,AC42,AC43,AC44,AC45,AC46)=0,"",COUNT(AC36:AC46))</f>
        <v/>
      </c>
      <c r="AD48" s="2">
        <f>COUNT(AD36:AD46)</f>
        <v/>
      </c>
      <c r="AE48" s="2">
        <f>COUNT(AE36:AE46)</f>
        <v/>
      </c>
      <c r="AF48" s="21">
        <f>IF(COUNT(AF36,AF37,AF38,AF39,AF40,AF41,AF42,AF43,AF44,AF45,AF46)=0,"",COUNT(AF36:AF46))</f>
        <v/>
      </c>
      <c r="AG48" s="21">
        <f>COUNT(AG36:AG46)</f>
        <v/>
      </c>
      <c r="AH48" s="21">
        <f>COUNT(AH36:AH46)</f>
        <v/>
      </c>
      <c r="AI48" s="2">
        <f>IF(COUNT(AI36,AI37,AI38,AI39,AI40,AI41,AI42,AI43,AI44,AI45,AI46)=0,"",COUNT(AI36:AI46))</f>
        <v/>
      </c>
      <c r="AJ48" s="2">
        <f>COUNT(AJ36:AJ46)</f>
        <v/>
      </c>
      <c r="AK48" s="2">
        <f>COUNT(AK36:AK46)</f>
        <v/>
      </c>
      <c r="AL48" s="21">
        <f>IF(COUNT(AL36,AL37,AL38,AL39,AL40,AL41,AL42,AL43,AL44,AL45,AL46)=0,"",COUNT(AL36:AL46))</f>
        <v/>
      </c>
      <c r="AM48" s="21">
        <f>COUNT(AM36:AM46)</f>
        <v/>
      </c>
      <c r="AN48" s="21">
        <f>COUNT(AN36:AN46)</f>
        <v/>
      </c>
      <c r="AO48" s="2">
        <f>IF(COUNT(AO36,AO37,AO38,AO39,AO40,AO41,AO42,AO43,AO44,AO45,AO46)=0,"",COUNT(AO36:AO46))</f>
        <v/>
      </c>
      <c r="AP48" s="2">
        <f>COUNT(AP36:AP46)</f>
        <v/>
      </c>
      <c r="AQ48" s="2">
        <f>COUNT(AQ36:AQ46)</f>
        <v/>
      </c>
      <c r="AR48" s="21">
        <f>IF(COUNT(AR36,AR37,AR38,AR39,AR40,AR41,AR42,AR43,AR44,AR46)=0,"",COUNT(AR36:AR46))</f>
        <v/>
      </c>
      <c r="AS48" s="21">
        <f>COUNT(AS36:AS46)</f>
        <v/>
      </c>
      <c r="AT48" s="21">
        <f>COUNT(AT36:AT46)</f>
        <v/>
      </c>
      <c r="AU48" s="2">
        <f>IF(COUNT(AU36,AU37,AU38,AU39,AU40,AU41,AU42,AU43,AU44,AU46)=0,"",COUNT(AU36:AU46))</f>
        <v/>
      </c>
      <c r="AV48" s="2">
        <f>COUNT(AV36:AV46)</f>
        <v/>
      </c>
      <c r="AW48" s="2">
        <f>COUNT(AW36:AW46)</f>
        <v/>
      </c>
      <c r="AX48" s="21">
        <f>IF(COUNT(AX36,AX37,AX38,AX39,AX40,AX41,AX42,AX43,AX44,AX46)=0,"",COUNT(AX36:AX46))</f>
        <v/>
      </c>
      <c r="AY48" s="21">
        <f>COUNT(AY36:AY46)</f>
        <v/>
      </c>
      <c r="AZ48" s="21">
        <f>COUNT(AZ36:AZ46)</f>
        <v/>
      </c>
      <c r="BA48" s="2">
        <f>IF(COUNT(BA36,BA37,BA38,BA39,BA40,BA41,BA42,BA43,BA44,BA46)=0,"",COUNT(BA36:BA46))</f>
        <v/>
      </c>
      <c r="BB48" s="2">
        <f>COUNT(BB36:BB46)</f>
        <v/>
      </c>
      <c r="BC48" s="2">
        <f>COUNT(BC36:BC46)</f>
        <v/>
      </c>
      <c r="BD48" s="21">
        <f>IF(COUNT(BD36,BD37,BD38,BD39,BD40,BD41,BD42,BD43,BD44,BD46)=0,"",COUNT(BD36:BD46))</f>
        <v/>
      </c>
      <c r="BE48" s="21">
        <f>COUNT(BE36:BE46)</f>
        <v/>
      </c>
      <c r="BF48" s="21">
        <f>COUNT(BF36:BF46)</f>
        <v/>
      </c>
      <c r="BG48" s="2">
        <f>IF(COUNT(BG36,BG37,BG38,BG39,BG40,BG41,BG42,BG43,BG46)=0,"",COUNT(BG36:BG46))</f>
        <v/>
      </c>
      <c r="BH48" s="2">
        <f>COUNT(BH36:BH46)</f>
        <v/>
      </c>
      <c r="BI48" s="2">
        <f>COUNT(BI36:BI46)</f>
        <v/>
      </c>
      <c r="BJ48" s="21">
        <f>IF(COUNT(BJ36,BJ37,BJ38,BJ39,BJ40,BJ41,BJ42,BJ43,BJ46)=0,"",COUNT(BJ36:BJ46))</f>
        <v/>
      </c>
      <c r="BK48" s="21">
        <f>COUNT(BK36:BK46)</f>
        <v/>
      </c>
      <c r="BL48" s="21">
        <f>COUNT(BL36:BL46)</f>
        <v/>
      </c>
      <c r="BM48" s="2">
        <f>IF(COUNT(BM36,BM37,BM38,BM39,BM40,BM41,BM42,BM43,BM46)=0,"",COUNT(BM36:BM46))</f>
        <v/>
      </c>
      <c r="BN48" s="2">
        <f>COUNT(BN36:BN46)</f>
        <v/>
      </c>
      <c r="BO48" s="2">
        <f>COUNT(BO36:BO46)</f>
        <v/>
      </c>
      <c r="BP48" s="21">
        <f>IF(COUNT(BP36,BP37,BP38,BP39,BP40,BP41,BP42,BP46)=0,"",COUNT(BP36:BP46))</f>
        <v/>
      </c>
      <c r="BQ48" s="21">
        <f>COUNT(BQ36:BQ46)</f>
        <v/>
      </c>
      <c r="BR48" s="21">
        <f>COUNT(BR36:BR46)</f>
        <v/>
      </c>
      <c r="BS48" s="2">
        <f>IF(COUNT(BS36,BS37,BS38,BS39,BS40,BS41,BS42)=0,"",COUNT(BS36:BS46))</f>
        <v/>
      </c>
      <c r="BT48" s="2">
        <f>COUNT(BT36:BT46)</f>
        <v/>
      </c>
      <c r="BU48" s="2">
        <f>COUNT(BU36:BU46)</f>
        <v/>
      </c>
      <c r="BV48" s="21">
        <f>IF(COUNT(BV36,BV37,BV38,BV39,BV40,BV41,BV42)=0,"",COUNT(BV36:BV46))</f>
        <v/>
      </c>
      <c r="BW48" s="21">
        <f>COUNT(BW36:BW46)</f>
        <v/>
      </c>
      <c r="BX48" s="21">
        <f>COUNT(BX36:BX46)</f>
        <v/>
      </c>
      <c r="BY48" s="2">
        <f>IF(COUNT(BY36,BY37,BY38,BY39,BY40,BY41,BY42)=0,"",COUNT(BY36:BY46))</f>
        <v/>
      </c>
      <c r="BZ48" s="2">
        <f>COUNT(BZ36:BZ46)</f>
        <v/>
      </c>
      <c r="CA48" s="2">
        <f>COUNT(CA36:CA46)</f>
        <v/>
      </c>
      <c r="CB48" s="21">
        <f>IF(COUNT(CB36,CB37,CB38,CB39,CB40,CB41,CB42)=0,"",COUNT(CB36:CB46))</f>
        <v/>
      </c>
      <c r="CC48" s="21">
        <f>COUNT(CC36:CC46)</f>
        <v/>
      </c>
      <c r="CD48" s="21">
        <f>COUNT(CD36:CD46)</f>
        <v/>
      </c>
      <c r="CE48" s="2">
        <f>IF(COUNT(CE36,CE37,CE38,CE39,CE40,CE41,CE42)=0,"",COUNT(CE36:CE46))</f>
        <v/>
      </c>
      <c r="CF48" s="2">
        <f>COUNT(CF36:CF46)</f>
        <v/>
      </c>
      <c r="CG48" s="2">
        <f>COUNT(CG36:CG46)</f>
        <v/>
      </c>
      <c r="CH48" s="21">
        <f>IF(COUNT(CH36,CH37,CH38,CH39,CH40,CH41,CH42)=0,"",COUNT(CH36:CH46))</f>
        <v/>
      </c>
      <c r="CI48" s="21">
        <f>COUNT(CI36:CI46)</f>
        <v/>
      </c>
      <c r="CJ48" s="21">
        <f>COUNT(CJ36:CJ46)</f>
        <v/>
      </c>
      <c r="CK48" s="2">
        <f>IF(COUNT(CK36,CK37,CK38,CK39,CK40,CK41,CK42)=0,"",COUNT(CK36:CK46))</f>
        <v/>
      </c>
      <c r="CL48" s="2">
        <f>COUNT(CL36:CL46)</f>
        <v/>
      </c>
      <c r="CM48" s="2">
        <f>COUNT(CM36:CM46)</f>
        <v/>
      </c>
      <c r="CN48" s="21">
        <f>IF(COUNT(CN36,CN37,CN38,CN39,CN40,CN41,CN42)=0,"",COUNT(CN36:CN46))</f>
        <v/>
      </c>
      <c r="CO48" s="21">
        <f>COUNT(CO36:CO46)</f>
        <v/>
      </c>
      <c r="CP48" s="21">
        <f>COUNT(CP36:CP46)</f>
        <v/>
      </c>
      <c r="CQ48" s="2">
        <f>IF(COUNT(CQ36,CQ37,CQ38,CQ39,CQ40,CQ41,CQ42)=0,"",COUNT(CQ36:CQ46))</f>
        <v/>
      </c>
      <c r="CR48" s="2">
        <f>COUNT(CR36:CR46)</f>
        <v/>
      </c>
      <c r="CS48" s="2">
        <f>COUNT(CS36:CS46)</f>
        <v/>
      </c>
      <c r="CT48" s="21">
        <f>IF(COUNT(CT36,CT37,CT38,CT39,CT40,CT41,CT42)=0,"",COUNT(CT36:CT46))</f>
        <v/>
      </c>
      <c r="CU48" s="21">
        <f>COUNT(CU36:CU46)</f>
        <v/>
      </c>
      <c r="CV48" s="21">
        <f>COUNT(CV36:CV46)</f>
        <v/>
      </c>
      <c r="CW48" s="2">
        <f>IF(COUNT(CW36,CW37,CW38,CW39,CW40,CW41,CW42)=0,"",COUNT(CW36:CW46))</f>
        <v/>
      </c>
      <c r="CX48" s="2">
        <f>COUNT(CX36:CX46)</f>
        <v/>
      </c>
      <c r="CY48" s="2">
        <f>COUNT(CY36:CY46)</f>
        <v/>
      </c>
      <c r="CZ48" s="21">
        <f>IF(COUNT(CZ36,CZ37,CZ38,CZ39,CZ40,CZ41,CZ42)=0,"",COUNT(CZ36:CZ46))</f>
        <v/>
      </c>
      <c r="DA48" s="21">
        <f>COUNT(DA36:DA46)</f>
        <v/>
      </c>
      <c r="DB48" s="21">
        <f>COUNT(DB36:DB46)</f>
        <v/>
      </c>
      <c r="DC48" s="2">
        <f>IF(COUNT(DC36,DC37,DC38,DC39,DC40,DC41,DC42)=0,"",COUNT(DC36:DC46))</f>
        <v/>
      </c>
      <c r="DD48" s="2">
        <f>COUNT(DD36:DD46)</f>
        <v/>
      </c>
      <c r="DE48" s="2">
        <f>COUNT(DE36:DE46)</f>
        <v/>
      </c>
      <c r="DF48" s="21">
        <f>IF(COUNT(DF36,DF37,DF38,DF39,DF40,DF41)=0,"",COUNT(DF36:DF46))</f>
        <v/>
      </c>
      <c r="DG48" s="21">
        <f>COUNT(DG36:DG46)</f>
        <v/>
      </c>
      <c r="DH48" s="21">
        <f>COUNT(DH36:DH46)</f>
        <v/>
      </c>
      <c r="DI48" s="2">
        <f>IF(COUNT(DI36,DI37,DI38,DI39,DI40,DI41)=0,"",COUNT(DI36:DI46))</f>
        <v/>
      </c>
      <c r="DJ48" s="2">
        <f>COUNT(DJ36:DJ46)</f>
        <v/>
      </c>
      <c r="DK48" s="2">
        <f>COUNT(DK36:DK46)</f>
        <v/>
      </c>
      <c r="DL48" s="21">
        <f>IF(COUNT(DL36,DL37,DL38,DL39,DL40,DL41)=0,"",COUNT(DL36:DL46))</f>
        <v/>
      </c>
      <c r="DM48" s="21">
        <f>COUNT(DM36:DM46)</f>
        <v/>
      </c>
      <c r="DN48" s="21">
        <f>COUNT(DN36:DN46)</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N42"/>
  <sheetViews>
    <sheetView workbookViewId="0">
      <pane xSplit="10" ySplit="2" topLeftCell="K3"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s>
  <sheetData>
    <row r="1">
      <c r="B1" s="4">
        <f>"FY"&amp;YEAR(K$1)</f>
        <v/>
      </c>
      <c r="C1" s="4" t="n"/>
      <c r="D1" s="4" t="n"/>
      <c r="E1" s="5">
        <f>"FY"&amp;YEAR(AU$1)</f>
        <v/>
      </c>
      <c r="F1" s="5" t="n"/>
      <c r="G1" s="5" t="n"/>
      <c r="H1" s="4">
        <f>"FY"&amp;YEAR(CE$1)</f>
        <v/>
      </c>
      <c r="I1" s="4" t="n"/>
      <c r="J1" s="4" t="n"/>
      <c r="K1" s="6">
        <f>EOMONTH(N$1,1)</f>
        <v/>
      </c>
      <c r="L1" s="5" t="n"/>
      <c r="M1" s="5" t="n"/>
      <c r="N1" s="7">
        <f>EOMONTH(Q$1,1)</f>
        <v/>
      </c>
      <c r="O1" s="4" t="n"/>
      <c r="P1" s="4" t="n"/>
      <c r="Q1" s="6">
        <f>EOMONTH(T$1,1)</f>
        <v/>
      </c>
      <c r="R1" s="5" t="n"/>
      <c r="S1" s="5" t="n"/>
      <c r="T1" s="7">
        <f>EOMONTH(W$1,1)</f>
        <v/>
      </c>
      <c r="U1" s="4" t="n"/>
      <c r="V1" s="4" t="n"/>
      <c r="W1" s="6">
        <f>EOMONTH(Z$1,1)</f>
        <v/>
      </c>
      <c r="X1" s="5" t="n"/>
      <c r="Y1" s="5" t="n"/>
      <c r="Z1" s="7">
        <f>EOMONTH(AC$1,1)</f>
        <v/>
      </c>
      <c r="AA1" s="4" t="n"/>
      <c r="AB1" s="4" t="n"/>
      <c r="AC1" s="6">
        <f>EOMONTH(AF$1,1)</f>
        <v/>
      </c>
      <c r="AD1" s="5" t="n"/>
      <c r="AE1" s="5" t="n"/>
      <c r="AF1" s="7">
        <f>EOMONTH(AI$1,1)</f>
        <v/>
      </c>
      <c r="AG1" s="4" t="n"/>
      <c r="AH1" s="4" t="n"/>
      <c r="AI1" s="6">
        <f>EOMONTH(AL$1,1)</f>
        <v/>
      </c>
      <c r="AJ1" s="5" t="n"/>
      <c r="AK1" s="5" t="n"/>
      <c r="AL1" s="7">
        <f>EOMONTH(AO$1,1)</f>
        <v/>
      </c>
      <c r="AM1" s="4" t="n"/>
      <c r="AN1" s="4" t="n"/>
      <c r="AO1" s="6">
        <f>EOMONTH(AR$1,1)</f>
        <v/>
      </c>
      <c r="AP1" s="5" t="n"/>
      <c r="AQ1" s="5" t="n"/>
      <c r="AR1" s="7">
        <f>EOMONTH(AU$1,1)</f>
        <v/>
      </c>
      <c r="AS1" s="4" t="n"/>
      <c r="AT1" s="4" t="n"/>
      <c r="AU1" s="6">
        <f>EOMONTH(AX$1,1)</f>
        <v/>
      </c>
      <c r="AV1" s="5" t="n"/>
      <c r="AW1" s="5" t="n"/>
      <c r="AX1" s="7">
        <f>EOMONTH(BA$1,1)</f>
        <v/>
      </c>
      <c r="AY1" s="4" t="n"/>
      <c r="AZ1" s="4" t="n"/>
      <c r="BA1" s="6">
        <f>EOMONTH(BD$1,1)</f>
        <v/>
      </c>
      <c r="BB1" s="5" t="n"/>
      <c r="BC1" s="5" t="n"/>
      <c r="BD1" s="7">
        <f>EOMONTH(BG$1,1)</f>
        <v/>
      </c>
      <c r="BE1" s="4" t="n"/>
      <c r="BF1" s="4" t="n"/>
      <c r="BG1" s="6">
        <f>EOMONTH(BJ$1,1)</f>
        <v/>
      </c>
      <c r="BH1" s="5" t="n"/>
      <c r="BI1" s="5" t="n"/>
      <c r="BJ1" s="7">
        <f>EOMONTH(BM$1,1)</f>
        <v/>
      </c>
      <c r="BK1" s="4" t="n"/>
      <c r="BL1" s="4" t="n"/>
      <c r="BM1" s="6">
        <f>EOMONTH(BP$1,1)</f>
        <v/>
      </c>
      <c r="BN1" s="5" t="n"/>
      <c r="BO1" s="5" t="n"/>
      <c r="BP1" s="7">
        <f>EOMONTH(BS$1,1)</f>
        <v/>
      </c>
      <c r="BQ1" s="4" t="n"/>
      <c r="BR1" s="4" t="n"/>
      <c r="BS1" s="6">
        <f>EOMONTH(BV$1,1)</f>
        <v/>
      </c>
      <c r="BT1" s="5" t="n"/>
      <c r="BU1" s="5" t="n"/>
      <c r="BV1" s="7">
        <f>EOMONTH(BY$1,1)</f>
        <v/>
      </c>
      <c r="BW1" s="4" t="n"/>
      <c r="BX1" s="4" t="n"/>
      <c r="BY1" s="6">
        <f>EOMONTH(CB$1,1)</f>
        <v/>
      </c>
      <c r="BZ1" s="5" t="n"/>
      <c r="CA1" s="5" t="n"/>
      <c r="CB1" s="7">
        <f>EOMONTH(CE$1,1)</f>
        <v/>
      </c>
      <c r="CC1" s="4" t="n"/>
      <c r="CD1" s="4" t="n"/>
      <c r="CE1" s="6">
        <f>EOMONTH(CH$1,1)</f>
        <v/>
      </c>
      <c r="CF1" s="5" t="n"/>
      <c r="CG1" s="5" t="n"/>
      <c r="CH1" s="7">
        <f>EOMONTH(CK$1,1)</f>
        <v/>
      </c>
      <c r="CI1" s="4" t="n"/>
      <c r="CJ1" s="4" t="n"/>
      <c r="CK1" s="6">
        <f>EOMONTH(CN$1,1)</f>
        <v/>
      </c>
      <c r="CL1" s="5" t="n"/>
      <c r="CM1" s="5" t="n"/>
      <c r="CN1" s="7">
        <f>EOMONTH(CQ$1,1)</f>
        <v/>
      </c>
      <c r="CO1" s="4" t="n"/>
      <c r="CP1" s="4" t="n"/>
      <c r="CQ1" s="6">
        <f>EOMONTH(CT$1,1)</f>
        <v/>
      </c>
      <c r="CR1" s="5" t="n"/>
      <c r="CS1" s="5" t="n"/>
      <c r="CT1" s="7">
        <f>EOMONTH(CW$1,1)</f>
        <v/>
      </c>
      <c r="CU1" s="4" t="n"/>
      <c r="CV1" s="4" t="n"/>
      <c r="CW1" s="6">
        <f>EOMONTH(CZ$1,1)</f>
        <v/>
      </c>
      <c r="CX1" s="5" t="n"/>
      <c r="CY1" s="5" t="n"/>
      <c r="CZ1" s="7">
        <f>EOMONTH(DC$1,1)</f>
        <v/>
      </c>
      <c r="DA1" s="4" t="n"/>
      <c r="DB1" s="4" t="n"/>
      <c r="DC1" s="6">
        <f>EOMONTH(DF$1,1)</f>
        <v/>
      </c>
      <c r="DD1" s="5" t="n"/>
      <c r="DE1" s="5" t="n"/>
      <c r="DF1" s="7">
        <f>EOMONTH(DI$1,1)</f>
        <v/>
      </c>
      <c r="DG1" s="4" t="n"/>
      <c r="DH1" s="4" t="n"/>
      <c r="DI1" s="6">
        <f>EOMONTH(DL$1,1)</f>
        <v/>
      </c>
      <c r="DJ1" s="5" t="n"/>
      <c r="DK1" s="5" t="n"/>
      <c r="DL1" s="7">
        <f>Finance!$B$61</f>
        <v/>
      </c>
      <c r="DM1" s="4" t="n"/>
      <c r="DN1" s="4" t="n"/>
    </row>
    <row r="2">
      <c r="A2" s="8" t="n"/>
      <c r="B2" s="9" t="inlineStr">
        <is>
          <t>Actual</t>
        </is>
      </c>
      <c r="C2" s="9" t="inlineStr">
        <is>
          <t>Rolling</t>
        </is>
      </c>
      <c r="D2" s="9" t="inlineStr">
        <is>
          <t>Approved</t>
        </is>
      </c>
      <c r="E2" s="8" t="inlineStr">
        <is>
          <t>Actual</t>
        </is>
      </c>
      <c r="F2" s="8" t="inlineStr">
        <is>
          <t>Rolling</t>
        </is>
      </c>
      <c r="G2" s="8" t="inlineStr">
        <is>
          <t>Approved</t>
        </is>
      </c>
      <c r="H2" s="9" t="inlineStr">
        <is>
          <t>Actual</t>
        </is>
      </c>
      <c r="I2" s="9" t="inlineStr">
        <is>
          <t>Rolling</t>
        </is>
      </c>
      <c r="J2" s="9" t="inlineStr">
        <is>
          <t>Approved</t>
        </is>
      </c>
      <c r="K2" s="8" t="inlineStr">
        <is>
          <t>Actual</t>
        </is>
      </c>
      <c r="L2" s="8" t="inlineStr">
        <is>
          <t>Rolling</t>
        </is>
      </c>
      <c r="M2" s="8" t="inlineStr">
        <is>
          <t>Approved</t>
        </is>
      </c>
      <c r="N2" s="9" t="inlineStr">
        <is>
          <t>Actual</t>
        </is>
      </c>
      <c r="O2" s="9" t="inlineStr">
        <is>
          <t>Rolling</t>
        </is>
      </c>
      <c r="P2" s="9" t="inlineStr">
        <is>
          <t>Approved</t>
        </is>
      </c>
      <c r="Q2" s="8" t="inlineStr">
        <is>
          <t>Actual</t>
        </is>
      </c>
      <c r="R2" s="8" t="inlineStr">
        <is>
          <t>Rolling</t>
        </is>
      </c>
      <c r="S2" s="8" t="inlineStr">
        <is>
          <t>Approved</t>
        </is>
      </c>
      <c r="T2" s="9" t="inlineStr">
        <is>
          <t>Actual</t>
        </is>
      </c>
      <c r="U2" s="9" t="inlineStr">
        <is>
          <t>Rolling</t>
        </is>
      </c>
      <c r="V2" s="9" t="inlineStr">
        <is>
          <t>Approved</t>
        </is>
      </c>
      <c r="W2" s="8" t="inlineStr">
        <is>
          <t>Actual</t>
        </is>
      </c>
      <c r="X2" s="8" t="inlineStr">
        <is>
          <t>Rolling</t>
        </is>
      </c>
      <c r="Y2" s="8" t="inlineStr">
        <is>
          <t>Approved</t>
        </is>
      </c>
      <c r="Z2" s="9" t="inlineStr">
        <is>
          <t>Actual</t>
        </is>
      </c>
      <c r="AA2" s="9" t="inlineStr">
        <is>
          <t>Rolling</t>
        </is>
      </c>
      <c r="AB2" s="9" t="inlineStr">
        <is>
          <t>Approved</t>
        </is>
      </c>
      <c r="AC2" s="8" t="inlineStr">
        <is>
          <t>Actual</t>
        </is>
      </c>
      <c r="AD2" s="8" t="inlineStr">
        <is>
          <t>Rolling</t>
        </is>
      </c>
      <c r="AE2" s="8" t="inlineStr">
        <is>
          <t>Approved</t>
        </is>
      </c>
      <c r="AF2" s="9" t="inlineStr">
        <is>
          <t>Actual</t>
        </is>
      </c>
      <c r="AG2" s="9" t="inlineStr">
        <is>
          <t>Rolling</t>
        </is>
      </c>
      <c r="AH2" s="9" t="inlineStr">
        <is>
          <t>Approved</t>
        </is>
      </c>
      <c r="AI2" s="8" t="inlineStr">
        <is>
          <t>Actual</t>
        </is>
      </c>
      <c r="AJ2" s="8" t="inlineStr">
        <is>
          <t>Rolling</t>
        </is>
      </c>
      <c r="AK2" s="8" t="inlineStr">
        <is>
          <t>Approved</t>
        </is>
      </c>
      <c r="AL2" s="9" t="inlineStr">
        <is>
          <t>Actual</t>
        </is>
      </c>
      <c r="AM2" s="9" t="inlineStr">
        <is>
          <t>Rolling</t>
        </is>
      </c>
      <c r="AN2" s="9" t="inlineStr">
        <is>
          <t>Approved</t>
        </is>
      </c>
      <c r="AO2" s="8" t="inlineStr">
        <is>
          <t>Actual</t>
        </is>
      </c>
      <c r="AP2" s="8" t="inlineStr">
        <is>
          <t>Rolling</t>
        </is>
      </c>
      <c r="AQ2" s="8" t="inlineStr">
        <is>
          <t>Approved</t>
        </is>
      </c>
      <c r="AR2" s="9" t="inlineStr">
        <is>
          <t>Actual</t>
        </is>
      </c>
      <c r="AS2" s="9" t="inlineStr">
        <is>
          <t>Rolling</t>
        </is>
      </c>
      <c r="AT2" s="9" t="inlineStr">
        <is>
          <t>Approved</t>
        </is>
      </c>
      <c r="AU2" s="8" t="inlineStr">
        <is>
          <t>Actual</t>
        </is>
      </c>
      <c r="AV2" s="8" t="inlineStr">
        <is>
          <t>Rolling</t>
        </is>
      </c>
      <c r="AW2" s="8" t="inlineStr">
        <is>
          <t>Approved</t>
        </is>
      </c>
      <c r="AX2" s="9" t="inlineStr">
        <is>
          <t>Actual</t>
        </is>
      </c>
      <c r="AY2" s="9" t="inlineStr">
        <is>
          <t>Rolling</t>
        </is>
      </c>
      <c r="AZ2" s="9" t="inlineStr">
        <is>
          <t>Approved</t>
        </is>
      </c>
      <c r="BA2" s="8" t="inlineStr">
        <is>
          <t>Actual</t>
        </is>
      </c>
      <c r="BB2" s="8" t="inlineStr">
        <is>
          <t>Rolling</t>
        </is>
      </c>
      <c r="BC2" s="8" t="inlineStr">
        <is>
          <t>Approved</t>
        </is>
      </c>
      <c r="BD2" s="9" t="inlineStr">
        <is>
          <t>Actual</t>
        </is>
      </c>
      <c r="BE2" s="9" t="inlineStr">
        <is>
          <t>Rolling</t>
        </is>
      </c>
      <c r="BF2" s="9" t="inlineStr">
        <is>
          <t>Approved</t>
        </is>
      </c>
      <c r="BG2" s="8" t="inlineStr">
        <is>
          <t>Actual</t>
        </is>
      </c>
      <c r="BH2" s="8" t="inlineStr">
        <is>
          <t>Rolling</t>
        </is>
      </c>
      <c r="BI2" s="8" t="inlineStr">
        <is>
          <t>Approved</t>
        </is>
      </c>
      <c r="BJ2" s="9" t="inlineStr">
        <is>
          <t>Actual</t>
        </is>
      </c>
      <c r="BK2" s="9" t="inlineStr">
        <is>
          <t>Rolling</t>
        </is>
      </c>
      <c r="BL2" s="9" t="inlineStr">
        <is>
          <t>Approved</t>
        </is>
      </c>
      <c r="BM2" s="8" t="inlineStr">
        <is>
          <t>Actual</t>
        </is>
      </c>
      <c r="BN2" s="8" t="inlineStr">
        <is>
          <t>Rolling</t>
        </is>
      </c>
      <c r="BO2" s="8" t="inlineStr">
        <is>
          <t>Approved</t>
        </is>
      </c>
      <c r="BP2" s="9" t="inlineStr">
        <is>
          <t>Actual</t>
        </is>
      </c>
      <c r="BQ2" s="9" t="inlineStr">
        <is>
          <t>Rolling</t>
        </is>
      </c>
      <c r="BR2" s="9" t="inlineStr">
        <is>
          <t>Approved</t>
        </is>
      </c>
      <c r="BS2" s="8" t="inlineStr">
        <is>
          <t>Actual</t>
        </is>
      </c>
      <c r="BT2" s="8" t="inlineStr">
        <is>
          <t>Rolling</t>
        </is>
      </c>
      <c r="BU2" s="8" t="inlineStr">
        <is>
          <t>Approved</t>
        </is>
      </c>
      <c r="BV2" s="9" t="inlineStr">
        <is>
          <t>Actual</t>
        </is>
      </c>
      <c r="BW2" s="9" t="inlineStr">
        <is>
          <t>Rolling</t>
        </is>
      </c>
      <c r="BX2" s="9" t="inlineStr">
        <is>
          <t>Approved</t>
        </is>
      </c>
      <c r="BY2" s="8" t="inlineStr">
        <is>
          <t>Actual</t>
        </is>
      </c>
      <c r="BZ2" s="8" t="inlineStr">
        <is>
          <t>Rolling</t>
        </is>
      </c>
      <c r="CA2" s="8" t="inlineStr">
        <is>
          <t>Approved</t>
        </is>
      </c>
      <c r="CB2" s="9" t="inlineStr">
        <is>
          <t>Actual</t>
        </is>
      </c>
      <c r="CC2" s="9" t="inlineStr">
        <is>
          <t>Rolling</t>
        </is>
      </c>
      <c r="CD2" s="9" t="inlineStr">
        <is>
          <t>Approved</t>
        </is>
      </c>
      <c r="CE2" s="8" t="inlineStr">
        <is>
          <t>Actual</t>
        </is>
      </c>
      <c r="CF2" s="8" t="inlineStr">
        <is>
          <t>Rolling</t>
        </is>
      </c>
      <c r="CG2" s="8" t="inlineStr">
        <is>
          <t>Approved</t>
        </is>
      </c>
      <c r="CH2" s="9" t="inlineStr">
        <is>
          <t>Actual</t>
        </is>
      </c>
      <c r="CI2" s="9" t="inlineStr">
        <is>
          <t>Rolling</t>
        </is>
      </c>
      <c r="CJ2" s="9" t="inlineStr">
        <is>
          <t>Approved</t>
        </is>
      </c>
      <c r="CK2" s="8" t="inlineStr">
        <is>
          <t>Actual</t>
        </is>
      </c>
      <c r="CL2" s="8" t="inlineStr">
        <is>
          <t>Rolling</t>
        </is>
      </c>
      <c r="CM2" s="8" t="inlineStr">
        <is>
          <t>Approved</t>
        </is>
      </c>
      <c r="CN2" s="9" t="inlineStr">
        <is>
          <t>Actual</t>
        </is>
      </c>
      <c r="CO2" s="9" t="inlineStr">
        <is>
          <t>Rolling</t>
        </is>
      </c>
      <c r="CP2" s="9" t="inlineStr">
        <is>
          <t>Approved</t>
        </is>
      </c>
      <c r="CQ2" s="8" t="inlineStr">
        <is>
          <t>Actual</t>
        </is>
      </c>
      <c r="CR2" s="8" t="inlineStr">
        <is>
          <t>Rolling</t>
        </is>
      </c>
      <c r="CS2" s="8" t="inlineStr">
        <is>
          <t>Approved</t>
        </is>
      </c>
      <c r="CT2" s="9" t="inlineStr">
        <is>
          <t>Actual</t>
        </is>
      </c>
      <c r="CU2" s="9" t="inlineStr">
        <is>
          <t>Rolling</t>
        </is>
      </c>
      <c r="CV2" s="9" t="inlineStr">
        <is>
          <t>Approved</t>
        </is>
      </c>
      <c r="CW2" s="8" t="inlineStr">
        <is>
          <t>Actual</t>
        </is>
      </c>
      <c r="CX2" s="8" t="inlineStr">
        <is>
          <t>Rolling</t>
        </is>
      </c>
      <c r="CY2" s="8" t="inlineStr">
        <is>
          <t>Approved</t>
        </is>
      </c>
      <c r="CZ2" s="9" t="inlineStr">
        <is>
          <t>Actual</t>
        </is>
      </c>
      <c r="DA2" s="9" t="inlineStr">
        <is>
          <t>Rolling</t>
        </is>
      </c>
      <c r="DB2" s="9" t="inlineStr">
        <is>
          <t>Approved</t>
        </is>
      </c>
      <c r="DC2" s="8" t="inlineStr">
        <is>
          <t>Actual</t>
        </is>
      </c>
      <c r="DD2" s="8" t="inlineStr">
        <is>
          <t>Rolling</t>
        </is>
      </c>
      <c r="DE2" s="8" t="inlineStr">
        <is>
          <t>Approved</t>
        </is>
      </c>
      <c r="DF2" s="9" t="inlineStr">
        <is>
          <t>Actual</t>
        </is>
      </c>
      <c r="DG2" s="9" t="inlineStr">
        <is>
          <t>Rolling</t>
        </is>
      </c>
      <c r="DH2" s="9" t="inlineStr">
        <is>
          <t>Approved</t>
        </is>
      </c>
      <c r="DI2" s="8" t="inlineStr">
        <is>
          <t>Actual</t>
        </is>
      </c>
      <c r="DJ2" s="8" t="inlineStr">
        <is>
          <t>Rolling</t>
        </is>
      </c>
      <c r="DK2" s="8" t="inlineStr">
        <is>
          <t>Approved</t>
        </is>
      </c>
      <c r="DL2" s="9" t="inlineStr">
        <is>
          <t>Actual</t>
        </is>
      </c>
      <c r="DM2" s="9" t="inlineStr">
        <is>
          <t>Rolling</t>
        </is>
      </c>
      <c r="DN2" s="9" t="inlineStr">
        <is>
          <t>Approved</t>
        </is>
      </c>
    </row>
    <row r="3">
      <c r="A3" s="2" t="inlineStr">
        <is>
          <t>Customers Supported</t>
        </is>
      </c>
      <c r="B3" s="21">
        <f>IF(K3&lt;&gt;"",K3,IF(N3&lt;&gt;"",N3,IF(Q3&lt;&gt;"",Q3,IF(T3&lt;&gt;"",T3,IF(W3&lt;&gt;"",W3,IF(Z3&lt;&gt;"",Z3,IF(AC3&lt;&gt;"",AC3,IF(AF3&lt;&gt;"",AF3,IF(AI3&lt;&gt;"",AI3,IF(AL3&lt;&gt;"",AL3,IF(AO3&lt;&gt;"",AO3,IF(AR3&lt;&gt;"",AR3,""))))))))))))</f>
        <v/>
      </c>
      <c r="C3" s="21">
        <f>IF(L3&lt;&gt;"",L3,IF(O3&lt;&gt;"",O3,IF(R3&lt;&gt;"",R3,IF(U3&lt;&gt;"",U3,IF(X3&lt;&gt;"",X3,IF(AA3&lt;&gt;"",AA3,IF(AD3&lt;&gt;"",AD3,IF(AG3&lt;&gt;"",AG3,IF(AJ3&lt;&gt;"",AJ3,IF(AM3&lt;&gt;"",AM3,IF(AP3&lt;&gt;"",AP3,IF(AS3&lt;&gt;"",AS3,""))))))))))))</f>
        <v/>
      </c>
      <c r="D3" s="21">
        <f>IF(M3&lt;&gt;"",M3,IF(P3&lt;&gt;"",P3,IF(S3&lt;&gt;"",S3,IF(V3&lt;&gt;"",V3,IF(Y3&lt;&gt;"",Y3,IF(AB3&lt;&gt;"",AB3,IF(AE3&lt;&gt;"",AE3,IF(AH3&lt;&gt;"",AH3,IF(AK3&lt;&gt;"",AK3,IF(AN3&lt;&gt;"",AN3,IF(AQ3&lt;&gt;"",AQ3,IF(AT3&lt;&gt;"",AT3,""))))))))))))</f>
        <v/>
      </c>
      <c r="E3" s="2">
        <f>IF(AU3&lt;&gt;"",AU3,IF(AX3&lt;&gt;"",AX3,IF(BA3&lt;&gt;"",BA3,IF(BD3&lt;&gt;"",BD3,IF(BG3&lt;&gt;"",BG3,IF(BJ3&lt;&gt;"",BJ3,IF(BM3&lt;&gt;"",BM3,IF(BP3&lt;&gt;"",BP3,IF(BS3&lt;&gt;"",BS3,IF(BV3&lt;&gt;"",BV3,IF(BY3&lt;&gt;"",BY3,IF(CB3&lt;&gt;"",CB3,""))))))))))))</f>
        <v/>
      </c>
      <c r="F3" s="2">
        <f>IF(AV3&lt;&gt;"",AV3,IF(AY3&lt;&gt;"",AY3,IF(BB3&lt;&gt;"",BB3,IF(BE3&lt;&gt;"",BE3,IF(BH3&lt;&gt;"",BH3,IF(BK3&lt;&gt;"",BK3,IF(BN3&lt;&gt;"",BN3,IF(BQ3&lt;&gt;"",BQ3,IF(BT3&lt;&gt;"",BT3,IF(BW3&lt;&gt;"",BW3,IF(BZ3&lt;&gt;"",BZ3,IF(CC3&lt;&gt;"",CC3,""))))))))))))</f>
        <v/>
      </c>
      <c r="G3" s="2">
        <f>IF(AW3&lt;&gt;"",AW3,IF(AZ3&lt;&gt;"",AZ3,IF(BC3&lt;&gt;"",BC3,IF(BF3&lt;&gt;"",BF3,IF(BI3&lt;&gt;"",BI3,IF(BL3&lt;&gt;"",BL3,IF(BO3&lt;&gt;"",BO3,IF(BR3&lt;&gt;"",BR3,IF(BU3&lt;&gt;"",BU3,IF(BX3&lt;&gt;"",BX3,IF(CA3&lt;&gt;"",CA3,IF(CD3&lt;&gt;"",CD3,""))))))))))))</f>
        <v/>
      </c>
      <c r="H3" s="21">
        <f>IF(CE3&lt;&gt;"",CE3,IF(CH3&lt;&gt;"",CH3,IF(CK3&lt;&gt;"",CK3,IF(CN3&lt;&gt;"",CN3,IF(CQ3&lt;&gt;"",CQ3,IF(CT3&lt;&gt;"",CT3,IF(CW3&lt;&gt;"",CW3,IF(CZ3&lt;&gt;"",CZ3,IF(DC3&lt;&gt;"",DC3,IF(DF3&lt;&gt;"",DF3,IF(DI3&lt;&gt;"",DI3,IF(DL3&lt;&gt;"",DL3,""))))))))))))</f>
        <v/>
      </c>
      <c r="I3" s="21">
        <f>IF(CF3&lt;&gt;"",CF3,IF(CI3&lt;&gt;"",CI3,IF(CL3&lt;&gt;"",CL3,IF(CO3&lt;&gt;"",CO3,IF(CR3&lt;&gt;"",CR3,IF(CU3&lt;&gt;"",CU3,IF(CX3&lt;&gt;"",CX3,IF(DA3&lt;&gt;"",DA3,IF(DD3&lt;&gt;"",DD3,IF(DG3&lt;&gt;"",DG3,IF(DJ3&lt;&gt;"",DJ3,IF(DM3&lt;&gt;"",DM3,""))))))))))))</f>
        <v/>
      </c>
      <c r="J3" s="21">
        <f>IF(CG3&lt;&gt;"",CG3,IF(CJ3&lt;&gt;"",CJ3,IF(CM3&lt;&gt;"",CM3,IF(CP3&lt;&gt;"",CP3,IF(CS3&lt;&gt;"",CS3,IF(CV3&lt;&gt;"",CV3,IF(CY3&lt;&gt;"",CY3,IF(DB3&lt;&gt;"",DB3,IF(DE3&lt;&gt;"",DE3,IF(DH3&lt;&gt;"",DH3,IF(DK3&lt;&gt;"",DK3,IF(DN3&lt;&gt;"",DN3,""))))))))))))</f>
        <v/>
      </c>
      <c r="K3" s="2">
        <f>IF(COUNT('Summary'!N16)=1,'Summary'!N16,"")</f>
        <v/>
      </c>
      <c r="L3" s="2">
        <f>'Summary'!O16</f>
        <v/>
      </c>
      <c r="M3" s="2">
        <f>'Summary'!P16</f>
        <v/>
      </c>
      <c r="N3" s="21">
        <f>IF(COUNT('Summary'!Q16)=1,'Summary'!Q16,"")</f>
        <v/>
      </c>
      <c r="O3" s="21">
        <f>'Summary'!R16</f>
        <v/>
      </c>
      <c r="P3" s="21">
        <f>'Summary'!S16</f>
        <v/>
      </c>
      <c r="Q3" s="2">
        <f>IF(COUNT('Summary'!T16)=1,'Summary'!T16,"")</f>
        <v/>
      </c>
      <c r="R3" s="2">
        <f>'Summary'!U16</f>
        <v/>
      </c>
      <c r="S3" s="2">
        <f>'Summary'!V16</f>
        <v/>
      </c>
      <c r="T3" s="21">
        <f>IF(COUNT('Summary'!W16)=1,'Summary'!W16,"")</f>
        <v/>
      </c>
      <c r="U3" s="21">
        <f>'Summary'!X16</f>
        <v/>
      </c>
      <c r="V3" s="21">
        <f>'Summary'!Y16</f>
        <v/>
      </c>
      <c r="W3" s="2">
        <f>IF(COUNT('Summary'!Z16)=1,'Summary'!Z16,"")</f>
        <v/>
      </c>
      <c r="X3" s="2">
        <f>'Summary'!AA16</f>
        <v/>
      </c>
      <c r="Y3" s="2">
        <f>'Summary'!AB16</f>
        <v/>
      </c>
      <c r="Z3" s="21">
        <f>IF(COUNT('Summary'!AC16)=1,'Summary'!AC16,"")</f>
        <v/>
      </c>
      <c r="AA3" s="21">
        <f>'Summary'!AD16</f>
        <v/>
      </c>
      <c r="AB3" s="21">
        <f>'Summary'!AE16</f>
        <v/>
      </c>
      <c r="AC3" s="2">
        <f>IF(COUNT('Summary'!AF16)=1,'Summary'!AF16,"")</f>
        <v/>
      </c>
      <c r="AD3" s="2">
        <f>'Summary'!AG16</f>
        <v/>
      </c>
      <c r="AE3" s="2">
        <f>'Summary'!AH16</f>
        <v/>
      </c>
      <c r="AF3" s="21">
        <f>IF(COUNT('Summary'!AI16)=1,'Summary'!AI16,"")</f>
        <v/>
      </c>
      <c r="AG3" s="21">
        <f>'Summary'!AJ16</f>
        <v/>
      </c>
      <c r="AH3" s="21">
        <f>'Summary'!AK16</f>
        <v/>
      </c>
      <c r="AI3" s="2">
        <f>IF(COUNT('Summary'!AL16)=1,'Summary'!AL16,"")</f>
        <v/>
      </c>
      <c r="AJ3" s="2">
        <f>'Summary'!AM16</f>
        <v/>
      </c>
      <c r="AK3" s="2">
        <f>'Summary'!AN16</f>
        <v/>
      </c>
      <c r="AL3" s="21">
        <f>IF(COUNT('Summary'!AO16)=1,'Summary'!AO16,"")</f>
        <v/>
      </c>
      <c r="AM3" s="21">
        <f>'Summary'!AP16</f>
        <v/>
      </c>
      <c r="AN3" s="21">
        <f>'Summary'!AQ16</f>
        <v/>
      </c>
      <c r="AO3" s="2">
        <f>IF(COUNT('Summary'!AR16)=1,'Summary'!AR16,"")</f>
        <v/>
      </c>
      <c r="AP3" s="2">
        <f>'Summary'!AS16</f>
        <v/>
      </c>
      <c r="AQ3" s="2">
        <f>'Summary'!AT16</f>
        <v/>
      </c>
      <c r="AR3" s="21">
        <f>IF(COUNT('Summary'!AU16)=1,'Summary'!AU16,"")</f>
        <v/>
      </c>
      <c r="AS3" s="21">
        <f>'Summary'!AV16</f>
        <v/>
      </c>
      <c r="AT3" s="21">
        <f>'Summary'!AW16</f>
        <v/>
      </c>
      <c r="AU3" s="2">
        <f>IF(COUNT('Summary'!AX16)=1,'Summary'!AX16,"")</f>
        <v/>
      </c>
      <c r="AV3" s="2">
        <f>'Summary'!AY16</f>
        <v/>
      </c>
      <c r="AW3" s="2">
        <f>'Summary'!AZ16</f>
        <v/>
      </c>
      <c r="AX3" s="21">
        <f>IF(COUNT('Summary'!BA16)=1,'Summary'!BA16,"")</f>
        <v/>
      </c>
      <c r="AY3" s="21">
        <f>'Summary'!BB16</f>
        <v/>
      </c>
      <c r="AZ3" s="21">
        <f>'Summary'!BC16</f>
        <v/>
      </c>
      <c r="BA3" s="2">
        <f>IF(COUNT('Summary'!BD16)=1,'Summary'!BD16,"")</f>
        <v/>
      </c>
      <c r="BB3" s="2">
        <f>'Summary'!BE16</f>
        <v/>
      </c>
      <c r="BC3" s="2">
        <f>'Summary'!BF16</f>
        <v/>
      </c>
      <c r="BD3" s="21">
        <f>IF(COUNT('Summary'!BG16)=1,'Summary'!BG16,"")</f>
        <v/>
      </c>
      <c r="BE3" s="21">
        <f>'Summary'!BH16</f>
        <v/>
      </c>
      <c r="BF3" s="21">
        <f>'Summary'!BI16</f>
        <v/>
      </c>
      <c r="BG3" s="2">
        <f>IF(COUNT('Summary'!BJ16)=1,'Summary'!BJ16,"")</f>
        <v/>
      </c>
      <c r="BH3" s="2">
        <f>'Summary'!BK16</f>
        <v/>
      </c>
      <c r="BI3" s="2">
        <f>'Summary'!BL16</f>
        <v/>
      </c>
      <c r="BJ3" s="21">
        <f>IF(COUNT('Summary'!BM16)=1,'Summary'!BM16,"")</f>
        <v/>
      </c>
      <c r="BK3" s="21">
        <f>'Summary'!BN16</f>
        <v/>
      </c>
      <c r="BL3" s="21">
        <f>'Summary'!BO16</f>
        <v/>
      </c>
      <c r="BM3" s="2">
        <f>IF(COUNT('Summary'!BP16)=1,'Summary'!BP16,"")</f>
        <v/>
      </c>
      <c r="BN3" s="2">
        <f>'Summary'!BQ16</f>
        <v/>
      </c>
      <c r="BO3" s="2">
        <f>'Summary'!BR16</f>
        <v/>
      </c>
      <c r="BP3" s="21">
        <f>IF(COUNT('Summary'!BS16)=1,'Summary'!BS16,"")</f>
        <v/>
      </c>
      <c r="BQ3" s="21">
        <f>'Summary'!BT16</f>
        <v/>
      </c>
      <c r="BR3" s="21">
        <f>'Summary'!BU16</f>
        <v/>
      </c>
      <c r="BS3" s="2">
        <f>IF(COUNT('Summary'!BV16)=1,'Summary'!BV16,"")</f>
        <v/>
      </c>
      <c r="BT3" s="2">
        <f>'Summary'!BW16</f>
        <v/>
      </c>
      <c r="BU3" s="2">
        <f>'Summary'!BX16</f>
        <v/>
      </c>
      <c r="BV3" s="21">
        <f>IF(COUNT('Summary'!BY16)=1,'Summary'!BY16,"")</f>
        <v/>
      </c>
      <c r="BW3" s="21">
        <f>'Summary'!BZ16</f>
        <v/>
      </c>
      <c r="BX3" s="21">
        <f>'Summary'!CA16</f>
        <v/>
      </c>
      <c r="BY3" s="2">
        <f>IF(COUNT('Summary'!CB16)=1,'Summary'!CB16,"")</f>
        <v/>
      </c>
      <c r="BZ3" s="2">
        <f>'Summary'!CC16</f>
        <v/>
      </c>
      <c r="CA3" s="2">
        <f>'Summary'!CD16</f>
        <v/>
      </c>
      <c r="CB3" s="21">
        <f>IF(COUNT('Summary'!CE16)=1,'Summary'!CE16,"")</f>
        <v/>
      </c>
      <c r="CC3" s="21">
        <f>'Summary'!CF16</f>
        <v/>
      </c>
      <c r="CD3" s="21">
        <f>'Summary'!CG16</f>
        <v/>
      </c>
      <c r="CE3" s="2">
        <f>IF(COUNT('Summary'!CH16)=1,'Summary'!CH16,"")</f>
        <v/>
      </c>
      <c r="CF3" s="2">
        <f>'Summary'!CI16</f>
        <v/>
      </c>
      <c r="CG3" s="2">
        <f>'Summary'!CJ16</f>
        <v/>
      </c>
      <c r="CH3" s="21">
        <f>IF(COUNT('Summary'!CK16)=1,'Summary'!CK16,"")</f>
        <v/>
      </c>
      <c r="CI3" s="21">
        <f>'Summary'!CL16</f>
        <v/>
      </c>
      <c r="CJ3" s="21">
        <f>'Summary'!CM16</f>
        <v/>
      </c>
      <c r="CK3" s="2">
        <f>IF(COUNT('Summary'!CN16)=1,'Summary'!CN16,"")</f>
        <v/>
      </c>
      <c r="CL3" s="2">
        <f>'Summary'!CO16</f>
        <v/>
      </c>
      <c r="CM3" s="2">
        <f>'Summary'!CP16</f>
        <v/>
      </c>
      <c r="CN3" s="21">
        <f>IF(COUNT('Summary'!CQ16)=1,'Summary'!CQ16,"")</f>
        <v/>
      </c>
      <c r="CO3" s="21">
        <f>'Summary'!CR16</f>
        <v/>
      </c>
      <c r="CP3" s="21">
        <f>'Summary'!CS16</f>
        <v/>
      </c>
      <c r="CQ3" s="2">
        <f>IF(COUNT('Summary'!CT16)=1,'Summary'!CT16,"")</f>
        <v/>
      </c>
      <c r="CR3" s="2">
        <f>'Summary'!CU16</f>
        <v/>
      </c>
      <c r="CS3" s="2">
        <f>'Summary'!CV16</f>
        <v/>
      </c>
      <c r="CT3" s="21">
        <f>IF(COUNT('Summary'!CW16)=1,'Summary'!CW16,"")</f>
        <v/>
      </c>
      <c r="CU3" s="21">
        <f>'Summary'!CX16</f>
        <v/>
      </c>
      <c r="CV3" s="21">
        <f>'Summary'!CY16</f>
        <v/>
      </c>
      <c r="CW3" s="2">
        <f>IF(COUNT('Summary'!CZ16)=1,'Summary'!CZ16,"")</f>
        <v/>
      </c>
      <c r="CX3" s="2">
        <f>'Summary'!DA16</f>
        <v/>
      </c>
      <c r="CY3" s="2">
        <f>'Summary'!DB16</f>
        <v/>
      </c>
      <c r="CZ3" s="21">
        <f>IF(COUNT('Summary'!DC16)=1,'Summary'!DC16,"")</f>
        <v/>
      </c>
      <c r="DA3" s="21">
        <f>'Summary'!DD16</f>
        <v/>
      </c>
      <c r="DB3" s="21">
        <f>'Summary'!DE16</f>
        <v/>
      </c>
      <c r="DC3" s="2">
        <f>IF(COUNT('Summary'!DF16)=1,'Summary'!DF16,"")</f>
        <v/>
      </c>
      <c r="DD3" s="2">
        <f>'Summary'!DG16</f>
        <v/>
      </c>
      <c r="DE3" s="2">
        <f>'Summary'!DH16</f>
        <v/>
      </c>
      <c r="DF3" s="21">
        <f>IF(COUNT('Summary'!DI16)=1,'Summary'!DI16,"")</f>
        <v/>
      </c>
      <c r="DG3" s="21">
        <f>'Summary'!DJ16</f>
        <v/>
      </c>
      <c r="DH3" s="21">
        <f>'Summary'!DK16</f>
        <v/>
      </c>
      <c r="DI3" s="2">
        <f>IF(COUNT('Summary'!DL16)=1,'Summary'!DL16,"")</f>
        <v/>
      </c>
      <c r="DJ3" s="2">
        <f>'Summary'!DM16</f>
        <v/>
      </c>
      <c r="DK3" s="2">
        <f>'Summary'!DN16</f>
        <v/>
      </c>
      <c r="DL3" s="21">
        <f>IF(COUNT(Finance!$B$62)=1,Finance!$B$62,"")</f>
        <v/>
      </c>
      <c r="DM3" s="21">
        <f>Finance!$B$62</f>
        <v/>
      </c>
      <c r="DN3" s="21">
        <f>Finance!$B$62</f>
        <v/>
      </c>
    </row>
    <row r="4">
      <c r="A4" s="15" t="inlineStr">
        <is>
          <t>Tickets per Customer</t>
        </is>
      </c>
      <c r="B4" s="48">
        <f>IF(SUM(AR3,AO3,AL3,AI3,AF3,AC3,Z3,W3,T3,Q3,N3,K3)=0,"",SUM(AR5,AO5,AL5,AI5,AF5,AC5,Z5,W5,T5,Q5,N5,K5)/SUM(AR3,AO3,AL3,AI3,AF3,AC3,Z3,W3,T3,Q3,N3,K3))</f>
        <v/>
      </c>
      <c r="C4" s="48">
        <f>IF(SUM(AS3,AP3,AM3,AJ3,AG3,AD3,AA3,X3,U3,R3,O3,L3)=0,"",SUM(AS5,AP5,AM5,AJ5,AG5,AD5,AA5,X5,U5,R5,O5,L5)/SUM(AS3,AP3,AM3,AJ3,AG3,AD3,AA3,X3,U3,R3,O3,L3))</f>
        <v/>
      </c>
      <c r="D4" s="48">
        <f>IF(SUM(AT3,AQ3,AN3,AK3,AH3,AE3,AB3,Y3,V3,S3,P3,M3)=0,"",SUM(AT5,AQ5,AN5,AK5,AH5,AE5,AB5,Y5,V5,S5,P5,M5)/SUM(AT3,AQ3,AN3,AK3,AH3,AE3,AB3,Y3,V3,S3,P3,M3))</f>
        <v/>
      </c>
      <c r="E4" s="49">
        <f>IF(SUM(CB3,BY3,BV3,BS3,BP3,BM3,BJ3,BG3,BD3,BA3,AX3,AU3)=0,"",SUM(CB5,BY5,BV5,BS5,BP5,BM5,BJ5,BG5,BD5,BA5,AX5,AU5)/SUM(CB3,BY3,BV3,BS3,BP3,BM3,BJ3,BG3,BD3,BA3,AX3,AU3))</f>
        <v/>
      </c>
      <c r="F4" s="49">
        <f>IF(SUM(CC3,BZ3,BW3,BT3,BQ3,BN3,BK3,BH3,BE3,BB3,AY3,AV3)=0,"",SUM(CC5,BZ5,BW5,BT5,BQ5,BN5,BK5,BH5,BE5,BB5,AY5,AV5)/SUM(CC3,BZ3,BW3,BT3,BQ3,BN3,BK3,BH3,BE3,BB3,AY3,AV3))</f>
        <v/>
      </c>
      <c r="G4" s="49">
        <f>IF(SUM(CD3,CA3,BX3,BU3,BR3,BO3,BL3,BI3,BF3,BC3,AZ3,AW3)=0,"",SUM(CD5,CA5,BX5,BU5,BR5,BO5,BL5,BI5,BF5,BC5,AZ5,AW5)/SUM(CD3,CA3,BX3,BU3,BR3,BO3,BL3,BI3,BF3,BC3,AZ3,AW3))</f>
        <v/>
      </c>
      <c r="H4" s="48">
        <f>IF(SUM(DL3,DI3,DF3,DC3,CZ3,CW3,CT3,CQ3,CN3,CK3,CH3,CE3)=0,"",SUM(DL5,DI5,DF5,DC5,CZ5,CW5,CT5,CQ5,CN5,CK5,CH5,CE5)/SUM(DL3,DI3,DF3,DC3,CZ3,CW3,CT3,CQ3,CN3,CK3,CH3,CE3))</f>
        <v/>
      </c>
      <c r="I4" s="48">
        <f>IF(SUM(DM3,DJ3,DG3,DD3,DA3,CX3,CU3,CR3,CO3,CL3,CI3,CF3)=0,"",SUM(DM5,DJ5,DG5,DD5,DA5,CX5,CU5,CR5,CO5,CL5,CI5,CF5)/SUM(DM3,DJ3,DG3,DD3,DA3,CX3,CU3,CR3,CO3,CL3,CI3,CF3))</f>
        <v/>
      </c>
      <c r="J4" s="48">
        <f>IF(SUM(DN3,DK3,DH3,DE3,DB3,CY3,CV3,CS3,CP3,CM3,CJ3,CG3)=0,"",SUM(DN5,DK5,DH5,DE5,DB5,CY5,CV5,CS5,CP5,CM5,CJ5,CG5)/SUM(DN3,DK3,DH3,DE3,DB3,CY3,CV3,CS3,CP3,CM3,CJ3,CG3))</f>
        <v/>
      </c>
      <c r="K4" s="50" t="n"/>
      <c r="L4" s="49">
        <f>MAX(0.25,O4-'Engineering'!O8*'Engineering'!O10)</f>
        <v/>
      </c>
      <c r="M4" s="49">
        <f>MAX(0.25,P4-'Engineering'!P8*'Engineering'!P10)</f>
        <v/>
      </c>
      <c r="N4" s="51" t="n"/>
      <c r="O4" s="48">
        <f>MAX(0.25,R4-'Engineering'!R8*'Engineering'!R10)</f>
        <v/>
      </c>
      <c r="P4" s="48">
        <f>MAX(0.25,S4-'Engineering'!S8*'Engineering'!S10)</f>
        <v/>
      </c>
      <c r="Q4" s="50" t="n"/>
      <c r="R4" s="49">
        <f>MAX(0.25,U4-'Engineering'!U8*'Engineering'!U10)</f>
        <v/>
      </c>
      <c r="S4" s="49">
        <f>MAX(0.25,V4-'Engineering'!V8*'Engineering'!V10)</f>
        <v/>
      </c>
      <c r="T4" s="51" t="n"/>
      <c r="U4" s="48">
        <f>MAX(0.25,X4-'Engineering'!X8*'Engineering'!X10)</f>
        <v/>
      </c>
      <c r="V4" s="48">
        <f>MAX(0.25,Y4-'Engineering'!Y8*'Engineering'!Y10)</f>
        <v/>
      </c>
      <c r="W4" s="50" t="n"/>
      <c r="X4" s="49">
        <f>MAX(0.25,AA4-'Engineering'!AA8*'Engineering'!AA10)</f>
        <v/>
      </c>
      <c r="Y4" s="49">
        <f>MAX(0.25,AB4-'Engineering'!AB8*'Engineering'!AB10)</f>
        <v/>
      </c>
      <c r="Z4" s="51" t="n"/>
      <c r="AA4" s="48">
        <f>MAX(0.25,AD4-'Engineering'!AD8*'Engineering'!AD10)</f>
        <v/>
      </c>
      <c r="AB4" s="48">
        <f>MAX(0.25,AE4-'Engineering'!AE8*'Engineering'!AE10)</f>
        <v/>
      </c>
      <c r="AC4" s="50" t="n"/>
      <c r="AD4" s="49">
        <f>MAX(0.25,AG4-'Engineering'!AG8*'Engineering'!AG10)</f>
        <v/>
      </c>
      <c r="AE4" s="49">
        <f>MAX(0.25,AH4-'Engineering'!AH8*'Engineering'!AH10)</f>
        <v/>
      </c>
      <c r="AF4" s="51" t="n"/>
      <c r="AG4" s="48">
        <f>MAX(0.25,AJ4-'Engineering'!AJ8*'Engineering'!AJ10)</f>
        <v/>
      </c>
      <c r="AH4" s="48">
        <f>MAX(0.25,AK4-'Engineering'!AK8*'Engineering'!AK10)</f>
        <v/>
      </c>
      <c r="AI4" s="50" t="n"/>
      <c r="AJ4" s="49">
        <f>MAX(0.25,AM4-'Engineering'!AM8*'Engineering'!AM10)</f>
        <v/>
      </c>
      <c r="AK4" s="49">
        <f>MAX(0.25,AN4-'Engineering'!AN8*'Engineering'!AN10)</f>
        <v/>
      </c>
      <c r="AL4" s="51" t="n"/>
      <c r="AM4" s="48">
        <f>MAX(0.25,AP4-'Engineering'!AP8*'Engineering'!AP10)</f>
        <v/>
      </c>
      <c r="AN4" s="48">
        <f>MAX(0.25,AQ4-'Engineering'!AQ8*'Engineering'!AQ10)</f>
        <v/>
      </c>
      <c r="AO4" s="50" t="n"/>
      <c r="AP4" s="49">
        <f>MAX(0.25,AS4-'Engineering'!AS8*'Engineering'!AS10)</f>
        <v/>
      </c>
      <c r="AQ4" s="49">
        <f>MAX(0.25,AT4-'Engineering'!AT8*'Engineering'!AT10)</f>
        <v/>
      </c>
      <c r="AR4" s="51" t="n"/>
      <c r="AS4" s="48">
        <f>MAX(0.25,AV4-'Engineering'!AV8*'Engineering'!AV10)</f>
        <v/>
      </c>
      <c r="AT4" s="48">
        <f>MAX(0.25,AW4-'Engineering'!AW8*'Engineering'!AW10)</f>
        <v/>
      </c>
      <c r="AU4" s="50" t="n"/>
      <c r="AV4" s="49">
        <f>MAX(0.25,AY4-'Engineering'!AY8*'Engineering'!AY10)</f>
        <v/>
      </c>
      <c r="AW4" s="49">
        <f>MAX(0.25,AZ4-'Engineering'!AZ8*'Engineering'!AZ10)</f>
        <v/>
      </c>
      <c r="AX4" s="51" t="n"/>
      <c r="AY4" s="48">
        <f>MAX(0.25,BB4-'Engineering'!BB8*'Engineering'!BB10)</f>
        <v/>
      </c>
      <c r="AZ4" s="48">
        <f>MAX(0.25,BC4-'Engineering'!BC8*'Engineering'!BC10)</f>
        <v/>
      </c>
      <c r="BA4" s="50" t="n"/>
      <c r="BB4" s="49">
        <f>MAX(0.25,BE4-'Engineering'!BE8*'Engineering'!BE10)</f>
        <v/>
      </c>
      <c r="BC4" s="49">
        <f>MAX(0.25,BF4-'Engineering'!BF8*'Engineering'!BF10)</f>
        <v/>
      </c>
      <c r="BD4" s="51" t="n"/>
      <c r="BE4" s="48">
        <f>MAX(0.25,BH4-'Engineering'!BH8*'Engineering'!BH10)</f>
        <v/>
      </c>
      <c r="BF4" s="48">
        <f>MAX(0.25,BI4-'Engineering'!BI8*'Engineering'!BI10)</f>
        <v/>
      </c>
      <c r="BG4" s="50" t="n"/>
      <c r="BH4" s="49">
        <f>MAX(0.25,BK4-'Engineering'!BK8*'Engineering'!BK10)</f>
        <v/>
      </c>
      <c r="BI4" s="49">
        <f>MAX(0.25,BL4-'Engineering'!BL8*'Engineering'!BL10)</f>
        <v/>
      </c>
      <c r="BJ4" s="51" t="n"/>
      <c r="BK4" s="48">
        <f>MAX(0.25,BN4-'Engineering'!BN8*'Engineering'!BN10)</f>
        <v/>
      </c>
      <c r="BL4" s="48">
        <f>MAX(0.25,BO4-'Engineering'!BO8*'Engineering'!BO10)</f>
        <v/>
      </c>
      <c r="BM4" s="50" t="n"/>
      <c r="BN4" s="49">
        <f>MAX(0.25,BQ4-'Engineering'!BQ8*'Engineering'!BQ10)</f>
        <v/>
      </c>
      <c r="BO4" s="49">
        <f>MAX(0.25,BR4-'Engineering'!BR8*'Engineering'!BR10)</f>
        <v/>
      </c>
      <c r="BP4" s="51" t="n"/>
      <c r="BQ4" s="48">
        <f>MAX(0.25,BT4-'Engineering'!BT8*'Engineering'!BT10)</f>
        <v/>
      </c>
      <c r="BR4" s="48">
        <f>MAX(0.25,BU4-'Engineering'!BU8*'Engineering'!BU10)</f>
        <v/>
      </c>
      <c r="BS4" s="50" t="n"/>
      <c r="BT4" s="49">
        <f>MAX(0.25,BW4-'Engineering'!BW8*'Engineering'!BW10)</f>
        <v/>
      </c>
      <c r="BU4" s="49">
        <f>MAX(0.25,BX4-'Engineering'!BX8*'Engineering'!BX10)</f>
        <v/>
      </c>
      <c r="BV4" s="51" t="n"/>
      <c r="BW4" s="48">
        <f>MAX(0.25,BZ4-'Engineering'!BZ8*'Engineering'!BZ10)</f>
        <v/>
      </c>
      <c r="BX4" s="48">
        <f>MAX(0.25,CA4-'Engineering'!CA8*'Engineering'!CA10)</f>
        <v/>
      </c>
      <c r="BY4" s="50" t="n"/>
      <c r="BZ4" s="49">
        <f>MAX(0.25,CC4-'Engineering'!CC8*'Engineering'!CC10)</f>
        <v/>
      </c>
      <c r="CA4" s="49">
        <f>MAX(0.25,CD4-'Engineering'!CD8*'Engineering'!CD10)</f>
        <v/>
      </c>
      <c r="CB4" s="51" t="n"/>
      <c r="CC4" s="48">
        <f>MAX(0.25,CF4-'Engineering'!CF8*'Engineering'!CF10)</f>
        <v/>
      </c>
      <c r="CD4" s="48">
        <f>MAX(0.25,CG4-'Engineering'!CG8*'Engineering'!CG10)</f>
        <v/>
      </c>
      <c r="CE4" s="50" t="n"/>
      <c r="CF4" s="49">
        <f>MAX(0.25,CI4-'Engineering'!CI8*'Engineering'!CI10)</f>
        <v/>
      </c>
      <c r="CG4" s="49">
        <f>MAX(0.25,CJ4-'Engineering'!CJ8*'Engineering'!CJ10)</f>
        <v/>
      </c>
      <c r="CH4" s="51" t="n"/>
      <c r="CI4" s="48">
        <f>MAX(0.25,CL4-'Engineering'!CL8*'Engineering'!CL10)</f>
        <v/>
      </c>
      <c r="CJ4" s="48">
        <f>MAX(0.25,CM4-'Engineering'!CM8*'Engineering'!CM10)</f>
        <v/>
      </c>
      <c r="CK4" s="50" t="n"/>
      <c r="CL4" s="49">
        <f>MAX(0.25,CO4-'Engineering'!CO8*'Engineering'!CO10)</f>
        <v/>
      </c>
      <c r="CM4" s="49">
        <f>MAX(0.25,CP4-'Engineering'!CP8*'Engineering'!CP10)</f>
        <v/>
      </c>
      <c r="CN4" s="51" t="n"/>
      <c r="CO4" s="48">
        <f>MAX(0.25,CR4-'Engineering'!CR8*'Engineering'!CR10)</f>
        <v/>
      </c>
      <c r="CP4" s="48">
        <f>MAX(0.25,CS4-'Engineering'!CS8*'Engineering'!CS10)</f>
        <v/>
      </c>
      <c r="CQ4" s="50" t="n"/>
      <c r="CR4" s="49">
        <f>MAX(0.25,CU4-'Engineering'!CU8*'Engineering'!CU10)</f>
        <v/>
      </c>
      <c r="CS4" s="49">
        <f>MAX(0.25,CV4-'Engineering'!CV8*'Engineering'!CV10)</f>
        <v/>
      </c>
      <c r="CT4" s="51" t="n"/>
      <c r="CU4" s="48">
        <f>MAX(0.25,CX4-'Engineering'!CX8*'Engineering'!CX10)</f>
        <v/>
      </c>
      <c r="CV4" s="48">
        <f>MAX(0.25,CY4-'Engineering'!CY8*'Engineering'!CY10)</f>
        <v/>
      </c>
      <c r="CW4" s="50" t="n"/>
      <c r="CX4" s="49">
        <f>MAX(0.25,DA4-'Engineering'!DA8*'Engineering'!DA10)</f>
        <v/>
      </c>
      <c r="CY4" s="49">
        <f>MAX(0.25,DB4-'Engineering'!DB8*'Engineering'!DB10)</f>
        <v/>
      </c>
      <c r="CZ4" s="51" t="n"/>
      <c r="DA4" s="48">
        <f>MAX(0.25,DD4-'Engineering'!DD8*'Engineering'!DD10)</f>
        <v/>
      </c>
      <c r="DB4" s="48">
        <f>MAX(0.25,DE4-'Engineering'!DE8*'Engineering'!DE10)</f>
        <v/>
      </c>
      <c r="DC4" s="50" t="n"/>
      <c r="DD4" s="49">
        <f>MAX(0.25,DG4-'Engineering'!DG8*'Engineering'!DG10)</f>
        <v/>
      </c>
      <c r="DE4" s="49">
        <f>MAX(0.25,DH4-'Engineering'!DH8*'Engineering'!DH10)</f>
        <v/>
      </c>
      <c r="DF4" s="51" t="n"/>
      <c r="DG4" s="48">
        <f>MAX(0.25,DJ4-'Engineering'!DJ8*'Engineering'!DJ10)</f>
        <v/>
      </c>
      <c r="DH4" s="48">
        <f>MAX(0.25,DK4-'Engineering'!DK8*'Engineering'!DK10)</f>
        <v/>
      </c>
      <c r="DI4" s="49">
        <f>MAX(0.25,DL4-'Engineering'!DL8*'Engineering'!DL10)</f>
        <v/>
      </c>
      <c r="DJ4" s="49">
        <f>MAX(0.25,DM4-'Engineering'!DM8*'Engineering'!DM10)</f>
        <v/>
      </c>
      <c r="DK4" s="49">
        <f>MAX(0.25,DN4-'Engineering'!DN8*'Engineering'!DN10)</f>
        <v/>
      </c>
      <c r="DL4" s="48" t="n">
        <v>0.4</v>
      </c>
      <c r="DM4" s="48" t="n">
        <v>0.4</v>
      </c>
      <c r="DN4" s="48" t="n">
        <v>0.4</v>
      </c>
    </row>
    <row r="5">
      <c r="A5" s="2" t="inlineStr">
        <is>
          <t>Tickets Received</t>
        </is>
      </c>
      <c r="B5" s="21">
        <f>IF(COUNT(AR5,AO5,AL5,AI5,AF5,AC5,Z5,W5,T5,Q5,N5,K5)=0,"",SUM(AR5,AO5,AL5,AI5,AF5,AC5,Z5,W5,T5,Q5,N5,K5))</f>
        <v/>
      </c>
      <c r="C5" s="21">
        <f>IF(COUNT(AS5,AP5,AM5,AJ5,AG5,AD5,AA5,X5,U5,R5,O5,L5)=0,"",SUM(AS5,AP5,AM5,AJ5,AG5,AD5,AA5,X5,U5,R5,O5,L5))</f>
        <v/>
      </c>
      <c r="D5" s="21">
        <f>IF(COUNT(AT5,AQ5,AN5,AK5,AH5,AE5,AB5,Y5,V5,S5,P5,M5)=0,"",SUM(AT5,AQ5,AN5,AK5,AH5,AE5,AB5,Y5,V5,S5,P5,M5))</f>
        <v/>
      </c>
      <c r="E5" s="2">
        <f>IF(COUNT(CB5,BY5,BV5,BS5,BP5,BM5,BJ5,BG5,BD5,BA5,AX5,AU5)=0,"",SUM(CB5,BY5,BV5,BS5,BP5,BM5,BJ5,BG5,BD5,BA5,AX5,AU5))</f>
        <v/>
      </c>
      <c r="F5" s="2">
        <f>IF(COUNT(CC5,BZ5,BW5,BT5,BQ5,BN5,BK5,BH5,BE5,BB5,AY5,AV5)=0,"",SUM(CC5,BZ5,BW5,BT5,BQ5,BN5,BK5,BH5,BE5,BB5,AY5,AV5))</f>
        <v/>
      </c>
      <c r="G5" s="2">
        <f>IF(COUNT(CD5,CA5,BX5,BU5,BR5,BO5,BL5,BI5,BF5,BC5,AZ5,AW5)=0,"",SUM(CD5,CA5,BX5,BU5,BR5,BO5,BL5,BI5,BF5,BC5,AZ5,AW5))</f>
        <v/>
      </c>
      <c r="H5" s="21">
        <f>IF(COUNT(DL5,DI5,DF5,DC5,CZ5,CW5,CT5,CQ5,CN5,CK5,CH5,CE5)=0,"",SUM(DL5,DI5,DF5,DC5,CZ5,CW5,CT5,CQ5,CN5,CK5,CH5,CE5))</f>
        <v/>
      </c>
      <c r="I5" s="21">
        <f>IF(COUNT(DM5,DJ5,DG5,DD5,DA5,CX5,CU5,CR5,CO5,CL5,CI5,CF5)=0,"",SUM(DM5,DJ5,DG5,DD5,DA5,CX5,CU5,CR5,CO5,CL5,CI5,CF5))</f>
        <v/>
      </c>
      <c r="J5" s="21">
        <f>IF(COUNT(DN5,DK5,DH5,DE5,DB5,CY5,CV5,CS5,CP5,CM5,CJ5,CG5)=0,"",SUM(DN5,DK5,DH5,DE5,DB5,CY5,CV5,CS5,CP5,CM5,CJ5,CG5))</f>
        <v/>
      </c>
      <c r="K5" s="2">
        <f>IF(COUNT(K3,K4)=2,ROUND(K3*K4,0),"")</f>
        <v/>
      </c>
      <c r="L5" s="2">
        <f>ROUND(L3*L4,0)</f>
        <v/>
      </c>
      <c r="M5" s="2">
        <f>ROUND(M3*M4,0)</f>
        <v/>
      </c>
      <c r="N5" s="21">
        <f>IF(COUNT(N3,N4)=2,ROUND(N3*N4,0),"")</f>
        <v/>
      </c>
      <c r="O5" s="21">
        <f>ROUND(O3*O4,0)</f>
        <v/>
      </c>
      <c r="P5" s="21">
        <f>ROUND(P3*P4,0)</f>
        <v/>
      </c>
      <c r="Q5" s="2">
        <f>IF(COUNT(Q3,Q4)=2,ROUND(Q3*Q4,0),"")</f>
        <v/>
      </c>
      <c r="R5" s="2">
        <f>ROUND(R3*R4,0)</f>
        <v/>
      </c>
      <c r="S5" s="2">
        <f>ROUND(S3*S4,0)</f>
        <v/>
      </c>
      <c r="T5" s="21">
        <f>IF(COUNT(T3,T4)=2,ROUND(T3*T4,0),"")</f>
        <v/>
      </c>
      <c r="U5" s="21">
        <f>ROUND(U3*U4,0)</f>
        <v/>
      </c>
      <c r="V5" s="21">
        <f>ROUND(V3*V4,0)</f>
        <v/>
      </c>
      <c r="W5" s="2">
        <f>IF(COUNT(W3,W4)=2,ROUND(W3*W4,0),"")</f>
        <v/>
      </c>
      <c r="X5" s="2">
        <f>ROUND(X3*X4,0)</f>
        <v/>
      </c>
      <c r="Y5" s="2">
        <f>ROUND(Y3*Y4,0)</f>
        <v/>
      </c>
      <c r="Z5" s="21">
        <f>IF(COUNT(Z3,Z4)=2,ROUND(Z3*Z4,0),"")</f>
        <v/>
      </c>
      <c r="AA5" s="21">
        <f>ROUND(AA3*AA4,0)</f>
        <v/>
      </c>
      <c r="AB5" s="21">
        <f>ROUND(AB3*AB4,0)</f>
        <v/>
      </c>
      <c r="AC5" s="2">
        <f>IF(COUNT(AC3,AC4)=2,ROUND(AC3*AC4,0),"")</f>
        <v/>
      </c>
      <c r="AD5" s="2">
        <f>ROUND(AD3*AD4,0)</f>
        <v/>
      </c>
      <c r="AE5" s="2">
        <f>ROUND(AE3*AE4,0)</f>
        <v/>
      </c>
      <c r="AF5" s="21">
        <f>IF(COUNT(AF3,AF4)=2,ROUND(AF3*AF4,0),"")</f>
        <v/>
      </c>
      <c r="AG5" s="21">
        <f>ROUND(AG3*AG4,0)</f>
        <v/>
      </c>
      <c r="AH5" s="21">
        <f>ROUND(AH3*AH4,0)</f>
        <v/>
      </c>
      <c r="AI5" s="2">
        <f>IF(COUNT(AI3,AI4)=2,ROUND(AI3*AI4,0),"")</f>
        <v/>
      </c>
      <c r="AJ5" s="2">
        <f>ROUND(AJ3*AJ4,0)</f>
        <v/>
      </c>
      <c r="AK5" s="2">
        <f>ROUND(AK3*AK4,0)</f>
        <v/>
      </c>
      <c r="AL5" s="21">
        <f>IF(COUNT(AL3,AL4)=2,ROUND(AL3*AL4,0),"")</f>
        <v/>
      </c>
      <c r="AM5" s="21">
        <f>ROUND(AM3*AM4,0)</f>
        <v/>
      </c>
      <c r="AN5" s="21">
        <f>ROUND(AN3*AN4,0)</f>
        <v/>
      </c>
      <c r="AO5" s="2">
        <f>IF(COUNT(AO3,AO4)=2,ROUND(AO3*AO4,0),"")</f>
        <v/>
      </c>
      <c r="AP5" s="2">
        <f>ROUND(AP3*AP4,0)</f>
        <v/>
      </c>
      <c r="AQ5" s="2">
        <f>ROUND(AQ3*AQ4,0)</f>
        <v/>
      </c>
      <c r="AR5" s="21">
        <f>IF(COUNT(AR3,AR4)=2,ROUND(AR3*AR4,0),"")</f>
        <v/>
      </c>
      <c r="AS5" s="21">
        <f>ROUND(AS3*AS4,0)</f>
        <v/>
      </c>
      <c r="AT5" s="21">
        <f>ROUND(AT3*AT4,0)</f>
        <v/>
      </c>
      <c r="AU5" s="2">
        <f>IF(COUNT(AU3,AU4)=2,ROUND(AU3*AU4,0),"")</f>
        <v/>
      </c>
      <c r="AV5" s="2">
        <f>ROUND(AV3*AV4,0)</f>
        <v/>
      </c>
      <c r="AW5" s="2">
        <f>ROUND(AW3*AW4,0)</f>
        <v/>
      </c>
      <c r="AX5" s="21">
        <f>IF(COUNT(AX3,AX4)=2,ROUND(AX3*AX4,0),"")</f>
        <v/>
      </c>
      <c r="AY5" s="21">
        <f>ROUND(AY3*AY4,0)</f>
        <v/>
      </c>
      <c r="AZ5" s="21">
        <f>ROUND(AZ3*AZ4,0)</f>
        <v/>
      </c>
      <c r="BA5" s="2">
        <f>IF(COUNT(BA3,BA4)=2,ROUND(BA3*BA4,0),"")</f>
        <v/>
      </c>
      <c r="BB5" s="2">
        <f>ROUND(BB3*BB4,0)</f>
        <v/>
      </c>
      <c r="BC5" s="2">
        <f>ROUND(BC3*BC4,0)</f>
        <v/>
      </c>
      <c r="BD5" s="21">
        <f>IF(COUNT(BD3,BD4)=2,ROUND(BD3*BD4,0),"")</f>
        <v/>
      </c>
      <c r="BE5" s="21">
        <f>ROUND(BE3*BE4,0)</f>
        <v/>
      </c>
      <c r="BF5" s="21">
        <f>ROUND(BF3*BF4,0)</f>
        <v/>
      </c>
      <c r="BG5" s="2">
        <f>IF(COUNT(BG3,BG4)=2,ROUND(BG3*BG4,0),"")</f>
        <v/>
      </c>
      <c r="BH5" s="2">
        <f>ROUND(BH3*BH4,0)</f>
        <v/>
      </c>
      <c r="BI5" s="2">
        <f>ROUND(BI3*BI4,0)</f>
        <v/>
      </c>
      <c r="BJ5" s="21">
        <f>IF(COUNT(BJ3,BJ4)=2,ROUND(BJ3*BJ4,0),"")</f>
        <v/>
      </c>
      <c r="BK5" s="21">
        <f>ROUND(BK3*BK4,0)</f>
        <v/>
      </c>
      <c r="BL5" s="21">
        <f>ROUND(BL3*BL4,0)</f>
        <v/>
      </c>
      <c r="BM5" s="2">
        <f>IF(COUNT(BM3,BM4)=2,ROUND(BM3*BM4,0),"")</f>
        <v/>
      </c>
      <c r="BN5" s="2">
        <f>ROUND(BN3*BN4,0)</f>
        <v/>
      </c>
      <c r="BO5" s="2">
        <f>ROUND(BO3*BO4,0)</f>
        <v/>
      </c>
      <c r="BP5" s="21">
        <f>IF(COUNT(BP3,BP4)=2,ROUND(BP3*BP4,0),"")</f>
        <v/>
      </c>
      <c r="BQ5" s="21">
        <f>ROUND(BQ3*BQ4,0)</f>
        <v/>
      </c>
      <c r="BR5" s="21">
        <f>ROUND(BR3*BR4,0)</f>
        <v/>
      </c>
      <c r="BS5" s="2">
        <f>IF(COUNT(BS3,BS4)=2,ROUND(BS3*BS4,0),"")</f>
        <v/>
      </c>
      <c r="BT5" s="2">
        <f>ROUND(BT3*BT4,0)</f>
        <v/>
      </c>
      <c r="BU5" s="2">
        <f>ROUND(BU3*BU4,0)</f>
        <v/>
      </c>
      <c r="BV5" s="21">
        <f>IF(COUNT(BV3,BV4)=2,ROUND(BV3*BV4,0),"")</f>
        <v/>
      </c>
      <c r="BW5" s="21">
        <f>ROUND(BW3*BW4,0)</f>
        <v/>
      </c>
      <c r="BX5" s="21">
        <f>ROUND(BX3*BX4,0)</f>
        <v/>
      </c>
      <c r="BY5" s="2">
        <f>IF(COUNT(BY3,BY4)=2,ROUND(BY3*BY4,0),"")</f>
        <v/>
      </c>
      <c r="BZ5" s="2">
        <f>ROUND(BZ3*BZ4,0)</f>
        <v/>
      </c>
      <c r="CA5" s="2">
        <f>ROUND(CA3*CA4,0)</f>
        <v/>
      </c>
      <c r="CB5" s="21">
        <f>IF(COUNT(CB3,CB4)=2,ROUND(CB3*CB4,0),"")</f>
        <v/>
      </c>
      <c r="CC5" s="21">
        <f>ROUND(CC3*CC4,0)</f>
        <v/>
      </c>
      <c r="CD5" s="21">
        <f>ROUND(CD3*CD4,0)</f>
        <v/>
      </c>
      <c r="CE5" s="2">
        <f>IF(COUNT(CE3,CE4)=2,ROUND(CE3*CE4,0),"")</f>
        <v/>
      </c>
      <c r="CF5" s="2">
        <f>ROUND(CF3*CF4,0)</f>
        <v/>
      </c>
      <c r="CG5" s="2">
        <f>ROUND(CG3*CG4,0)</f>
        <v/>
      </c>
      <c r="CH5" s="21">
        <f>IF(COUNT(CH3,CH4)=2,ROUND(CH3*CH4,0),"")</f>
        <v/>
      </c>
      <c r="CI5" s="21">
        <f>ROUND(CI3*CI4,0)</f>
        <v/>
      </c>
      <c r="CJ5" s="21">
        <f>ROUND(CJ3*CJ4,0)</f>
        <v/>
      </c>
      <c r="CK5" s="2">
        <f>IF(COUNT(CK3,CK4)=2,ROUND(CK3*CK4,0),"")</f>
        <v/>
      </c>
      <c r="CL5" s="2">
        <f>ROUND(CL3*CL4,0)</f>
        <v/>
      </c>
      <c r="CM5" s="2">
        <f>ROUND(CM3*CM4,0)</f>
        <v/>
      </c>
      <c r="CN5" s="21">
        <f>IF(COUNT(CN3,CN4)=2,ROUND(CN3*CN4,0),"")</f>
        <v/>
      </c>
      <c r="CO5" s="21">
        <f>ROUND(CO3*CO4,0)</f>
        <v/>
      </c>
      <c r="CP5" s="21">
        <f>ROUND(CP3*CP4,0)</f>
        <v/>
      </c>
      <c r="CQ5" s="2">
        <f>IF(COUNT(CQ3,CQ4)=2,ROUND(CQ3*CQ4,0),"")</f>
        <v/>
      </c>
      <c r="CR5" s="2">
        <f>ROUND(CR3*CR4,0)</f>
        <v/>
      </c>
      <c r="CS5" s="2">
        <f>ROUND(CS3*CS4,0)</f>
        <v/>
      </c>
      <c r="CT5" s="21">
        <f>IF(COUNT(CT3,CT4)=2,ROUND(CT3*CT4,0),"")</f>
        <v/>
      </c>
      <c r="CU5" s="21">
        <f>ROUND(CU3*CU4,0)</f>
        <v/>
      </c>
      <c r="CV5" s="21">
        <f>ROUND(CV3*CV4,0)</f>
        <v/>
      </c>
      <c r="CW5" s="2">
        <f>IF(COUNT(CW3,CW4)=2,ROUND(CW3*CW4,0),"")</f>
        <v/>
      </c>
      <c r="CX5" s="2">
        <f>ROUND(CX3*CX4,0)</f>
        <v/>
      </c>
      <c r="CY5" s="2">
        <f>ROUND(CY3*CY4,0)</f>
        <v/>
      </c>
      <c r="CZ5" s="21">
        <f>IF(COUNT(CZ3,CZ4)=2,ROUND(CZ3*CZ4,0),"")</f>
        <v/>
      </c>
      <c r="DA5" s="21">
        <f>ROUND(DA3*DA4,0)</f>
        <v/>
      </c>
      <c r="DB5" s="21">
        <f>ROUND(DB3*DB4,0)</f>
        <v/>
      </c>
      <c r="DC5" s="2">
        <f>IF(COUNT(DC3,DC4)=2,ROUND(DC3*DC4,0),"")</f>
        <v/>
      </c>
      <c r="DD5" s="2">
        <f>ROUND(DD3*DD4,0)</f>
        <v/>
      </c>
      <c r="DE5" s="2">
        <f>ROUND(DE3*DE4,0)</f>
        <v/>
      </c>
      <c r="DF5" s="21">
        <f>IF(COUNT(DF3,DF4)=2,ROUND(DF3*DF4,0),"")</f>
        <v/>
      </c>
      <c r="DG5" s="21">
        <f>ROUND(DG3*DG4,0)</f>
        <v/>
      </c>
      <c r="DH5" s="21">
        <f>ROUND(DH3*DH4,0)</f>
        <v/>
      </c>
      <c r="DI5" s="2">
        <f>IF(COUNT(DI3,DI4)=2,ROUND(DI3*DI4,0),"")</f>
        <v/>
      </c>
      <c r="DJ5" s="2">
        <f>ROUND(DJ3*DJ4,0)</f>
        <v/>
      </c>
      <c r="DK5" s="2">
        <f>ROUND(DK3*DK4,0)</f>
        <v/>
      </c>
      <c r="DL5" s="21">
        <f>IF(COUNT(DL3,DL4)=2,ROUND(DL3*DL4,0),"")</f>
        <v/>
      </c>
      <c r="DM5" s="21">
        <f>ROUND(DM3*DM4,0)</f>
        <v/>
      </c>
      <c r="DN5" s="21">
        <f>ROUND(DN3*DN4,0)</f>
        <v/>
      </c>
    </row>
    <row r="6">
      <c r="A6" s="15" t="inlineStr">
        <is>
          <t>SLA Resolution Rate</t>
        </is>
      </c>
      <c r="B6" s="32">
        <f>IF(SUM(AR5,AO5,AL5,AI5,AF5,AC5,Z5,W5,T5,Q5,N5,K5)=0,"",SUM(AR7,AO7,AL7,AI7,AF7,AC7,Z7,W7,T7,Q7,N7,K7)/SUM(AR5,AO5,AL5,AI5,AF5,AC5,Z5,W5,T5,Q5,N5,K5))</f>
        <v/>
      </c>
      <c r="C6" s="32">
        <f>IF(SUM(AS5,AP5,AM5,AJ5,AG5,AD5,AA5,X5,U5,R5,O5,L5)=0,"",SUM(AS7,AP7,AM7,AJ7,AG7,AD7,AA7,X7,U7,R7,O7,L7)/SUM(AS5,AP5,AM5,AJ5,AG5,AD5,AA5,X5,U5,R5,O5,L5))</f>
        <v/>
      </c>
      <c r="D6" s="32">
        <f>IF(SUM(AT5,AQ5,AN5,AK5,AH5,AE5,AB5,Y5,V5,S5,P5,M5)=0,"",SUM(AT7,AQ7,AN7,AK7,AH7,AE7,AB7,Y7,V7,S7,P7,M7)/SUM(AT5,AQ5,AN5,AK5,AH5,AE5,AB5,Y5,V5,S5,P5,M5))</f>
        <v/>
      </c>
      <c r="E6" s="33">
        <f>IF(SUM(CB5,BY5,BV5,BS5,BP5,BM5,BJ5,BG5,BD5,BA5,AX5,AU5)=0,"",SUM(CB7,BY7,BV7,BS7,BP7,BM7,BJ7,BG7,BD7,BA7,AX7,AU7)/SUM(CB5,BY5,BV5,BS5,BP5,BM5,BJ5,BG5,BD5,BA5,AX5,AU5))</f>
        <v/>
      </c>
      <c r="F6" s="33">
        <f>IF(SUM(CC5,BZ5,BW5,BT5,BQ5,BN5,BK5,BH5,BE5,BB5,AY5,AV5)=0,"",SUM(CC7,BZ7,BW7,BT7,BQ7,BN7,BK7,BH7,BE7,BB7,AY7,AV7)/SUM(CC5,BZ5,BW5,BT5,BQ5,BN5,BK5,BH5,BE5,BB5,AY5,AV5))</f>
        <v/>
      </c>
      <c r="G6" s="33">
        <f>IF(SUM(CD5,CA5,BX5,BU5,BR5,BO5,BL5,BI5,BF5,BC5,AZ5,AW5)=0,"",SUM(CD7,CA7,BX7,BU7,BR7,BO7,BL7,BI7,BF7,BC7,AZ7,AW7)/SUM(CD5,CA5,BX5,BU5,BR5,BO5,BL5,BI5,BF5,BC5,AZ5,AW5))</f>
        <v/>
      </c>
      <c r="H6" s="32">
        <f>IF(SUM(DL5,DI5,DF5,DC5,CZ5,CW5,CT5,CQ5,CN5,CK5,CH5,CE5)=0,"",SUM(DL7,DI7,DF7,DC7,CZ7,CW7,CT7,CQ7,CN7,CK7,CH7,CE7)/SUM(DL5,DI5,DF5,DC5,CZ5,CW5,CT5,CQ5,CN5,CK5,CH5,CE5))</f>
        <v/>
      </c>
      <c r="I6" s="32">
        <f>IF(SUM(DM5,DJ5,DG5,DD5,DA5,CX5,CU5,CR5,CO5,CL5,CI5,CF5)=0,"",SUM(DM7,DJ7,DG7,DD7,DA7,CX7,CU7,CR7,CO7,CL7,CI7,CF7)/SUM(DM5,DJ5,DG5,DD5,DA5,CX5,CU5,CR5,CO5,CL5,CI5,CF5))</f>
        <v/>
      </c>
      <c r="J6" s="32">
        <f>IF(SUM(DN5,DK5,DH5,DE5,DB5,CY5,CV5,CS5,CP5,CM5,CJ5,CG5)=0,"",SUM(DN7,DK7,DH7,DE7,DB7,CY7,CV7,CS7,CP7,CM7,CJ7,CG7)/SUM(DN5,DK5,DH5,DE5,DB5,CY5,CV5,CS5,CP5,CM5,CJ5,CG5))</f>
        <v/>
      </c>
      <c r="K6" s="52" t="n"/>
      <c r="L6" s="33" t="n">
        <v>0.92</v>
      </c>
      <c r="M6" s="33" t="n">
        <v>0.92</v>
      </c>
      <c r="N6" s="53" t="n"/>
      <c r="O6" s="32" t="n">
        <v>0.92</v>
      </c>
      <c r="P6" s="32" t="n">
        <v>0.92</v>
      </c>
      <c r="Q6" s="52" t="n"/>
      <c r="R6" s="33" t="n">
        <v>0.92</v>
      </c>
      <c r="S6" s="33" t="n">
        <v>0.92</v>
      </c>
      <c r="T6" s="53" t="n"/>
      <c r="U6" s="32" t="n">
        <v>0.92</v>
      </c>
      <c r="V6" s="32" t="n">
        <v>0.92</v>
      </c>
      <c r="W6" s="52" t="n"/>
      <c r="X6" s="33" t="n">
        <v>0.92</v>
      </c>
      <c r="Y6" s="33" t="n">
        <v>0.92</v>
      </c>
      <c r="Z6" s="53" t="n"/>
      <c r="AA6" s="32" t="n">
        <v>0.92</v>
      </c>
      <c r="AB6" s="32" t="n">
        <v>0.92</v>
      </c>
      <c r="AC6" s="52" t="n"/>
      <c r="AD6" s="33" t="n">
        <v>0.92</v>
      </c>
      <c r="AE6" s="33" t="n">
        <v>0.92</v>
      </c>
      <c r="AF6" s="53" t="n"/>
      <c r="AG6" s="32" t="n">
        <v>0.92</v>
      </c>
      <c r="AH6" s="32" t="n">
        <v>0.92</v>
      </c>
      <c r="AI6" s="52" t="n"/>
      <c r="AJ6" s="33" t="n">
        <v>0.92</v>
      </c>
      <c r="AK6" s="33" t="n">
        <v>0.92</v>
      </c>
      <c r="AL6" s="53" t="n"/>
      <c r="AM6" s="32" t="n">
        <v>0.92</v>
      </c>
      <c r="AN6" s="32" t="n">
        <v>0.92</v>
      </c>
      <c r="AO6" s="52" t="n"/>
      <c r="AP6" s="33" t="n">
        <v>0.92</v>
      </c>
      <c r="AQ6" s="33" t="n">
        <v>0.92</v>
      </c>
      <c r="AR6" s="53" t="n"/>
      <c r="AS6" s="32" t="n">
        <v>0.92</v>
      </c>
      <c r="AT6" s="32" t="n">
        <v>0.92</v>
      </c>
      <c r="AU6" s="52" t="n"/>
      <c r="AV6" s="33" t="n">
        <v>0.92</v>
      </c>
      <c r="AW6" s="33" t="n">
        <v>0.92</v>
      </c>
      <c r="AX6" s="53" t="n"/>
      <c r="AY6" s="32" t="n">
        <v>0.92</v>
      </c>
      <c r="AZ6" s="32" t="n">
        <v>0.92</v>
      </c>
      <c r="BA6" s="52" t="n"/>
      <c r="BB6" s="33" t="n">
        <v>0.92</v>
      </c>
      <c r="BC6" s="33" t="n">
        <v>0.92</v>
      </c>
      <c r="BD6" s="53" t="n"/>
      <c r="BE6" s="32" t="n">
        <v>0.92</v>
      </c>
      <c r="BF6" s="32" t="n">
        <v>0.92</v>
      </c>
      <c r="BG6" s="52" t="n"/>
      <c r="BH6" s="33" t="n">
        <v>0.92</v>
      </c>
      <c r="BI6" s="33" t="n">
        <v>0.92</v>
      </c>
      <c r="BJ6" s="53" t="n"/>
      <c r="BK6" s="32" t="n">
        <v>0.92</v>
      </c>
      <c r="BL6" s="32" t="n">
        <v>0.92</v>
      </c>
      <c r="BM6" s="52" t="n"/>
      <c r="BN6" s="33" t="n">
        <v>0.92</v>
      </c>
      <c r="BO6" s="33" t="n">
        <v>0.92</v>
      </c>
      <c r="BP6" s="53" t="n"/>
      <c r="BQ6" s="32" t="n">
        <v>0.92</v>
      </c>
      <c r="BR6" s="32" t="n">
        <v>0.92</v>
      </c>
      <c r="BS6" s="52" t="n"/>
      <c r="BT6" s="33" t="n">
        <v>0.92</v>
      </c>
      <c r="BU6" s="33" t="n">
        <v>0.92</v>
      </c>
      <c r="BV6" s="53" t="n"/>
      <c r="BW6" s="32" t="n">
        <v>0.92</v>
      </c>
      <c r="BX6" s="32" t="n">
        <v>0.92</v>
      </c>
      <c r="BY6" s="52" t="n"/>
      <c r="BZ6" s="33" t="n">
        <v>0.92</v>
      </c>
      <c r="CA6" s="33" t="n">
        <v>0.92</v>
      </c>
      <c r="CB6" s="53" t="n"/>
      <c r="CC6" s="32" t="n">
        <v>0.92</v>
      </c>
      <c r="CD6" s="32" t="n">
        <v>0.92</v>
      </c>
      <c r="CE6" s="52" t="n"/>
      <c r="CF6" s="33" t="n">
        <v>0.92</v>
      </c>
      <c r="CG6" s="33" t="n">
        <v>0.92</v>
      </c>
      <c r="CH6" s="53" t="n"/>
      <c r="CI6" s="32" t="n">
        <v>0.92</v>
      </c>
      <c r="CJ6" s="32" t="n">
        <v>0.92</v>
      </c>
      <c r="CK6" s="52" t="n"/>
      <c r="CL6" s="33" t="n">
        <v>0.92</v>
      </c>
      <c r="CM6" s="33" t="n">
        <v>0.92</v>
      </c>
      <c r="CN6" s="53" t="n"/>
      <c r="CO6" s="32" t="n">
        <v>0.92</v>
      </c>
      <c r="CP6" s="32" t="n">
        <v>0.92</v>
      </c>
      <c r="CQ6" s="52" t="n"/>
      <c r="CR6" s="33" t="n">
        <v>0.92</v>
      </c>
      <c r="CS6" s="33" t="n">
        <v>0.92</v>
      </c>
      <c r="CT6" s="53" t="n"/>
      <c r="CU6" s="32" t="n">
        <v>0.92</v>
      </c>
      <c r="CV6" s="32" t="n">
        <v>0.92</v>
      </c>
      <c r="CW6" s="52" t="n"/>
      <c r="CX6" s="33" t="n">
        <v>0.92</v>
      </c>
      <c r="CY6" s="33" t="n">
        <v>0.92</v>
      </c>
      <c r="CZ6" s="53" t="n"/>
      <c r="DA6" s="32" t="n">
        <v>0.92</v>
      </c>
      <c r="DB6" s="32" t="n">
        <v>0.92</v>
      </c>
      <c r="DC6" s="52" t="n"/>
      <c r="DD6" s="33" t="n">
        <v>0.92</v>
      </c>
      <c r="DE6" s="33" t="n">
        <v>0.92</v>
      </c>
      <c r="DF6" s="53" t="n"/>
      <c r="DG6" s="32" t="n">
        <v>0.92</v>
      </c>
      <c r="DH6" s="32" t="n">
        <v>0.92</v>
      </c>
      <c r="DI6" s="33" t="n">
        <v>0.92</v>
      </c>
      <c r="DJ6" s="33" t="n">
        <v>0.92</v>
      </c>
      <c r="DK6" s="33" t="n">
        <v>0.92</v>
      </c>
      <c r="DL6" s="32" t="n">
        <v>0.92</v>
      </c>
      <c r="DM6" s="32" t="n">
        <v>0.92</v>
      </c>
      <c r="DN6" s="32" t="n">
        <v>0.92</v>
      </c>
    </row>
    <row r="7">
      <c r="A7" s="2" t="inlineStr">
        <is>
          <t>Tickets Resolved within SLA</t>
        </is>
      </c>
      <c r="B7" s="21">
        <f>IF(COUNT(AR7,AO7,AL7,AI7,AF7,AC7,Z7,W7,T7,Q7,N7,K7)=0,"",SUM(AR7,AO7,AL7,AI7,AF7,AC7,Z7,W7,T7,Q7,N7,K7))</f>
        <v/>
      </c>
      <c r="C7" s="21">
        <f>IF(COUNT(AS7,AP7,AM7,AJ7,AG7,AD7,AA7,X7,U7,R7,O7,L7)=0,"",SUM(AS7,AP7,AM7,AJ7,AG7,AD7,AA7,X7,U7,R7,O7,L7))</f>
        <v/>
      </c>
      <c r="D7" s="21">
        <f>IF(COUNT(AT7,AQ7,AN7,AK7,AH7,AE7,AB7,Y7,V7,S7,P7,M7)=0,"",SUM(AT7,AQ7,AN7,AK7,AH7,AE7,AB7,Y7,V7,S7,P7,M7))</f>
        <v/>
      </c>
      <c r="E7" s="2">
        <f>IF(COUNT(CB7,BY7,BV7,BS7,BP7,BM7,BJ7,BG7,BD7,BA7,AX7,AU7)=0,"",SUM(CB7,BY7,BV7,BS7,BP7,BM7,BJ7,BG7,BD7,BA7,AX7,AU7))</f>
        <v/>
      </c>
      <c r="F7" s="2">
        <f>IF(COUNT(CC7,BZ7,BW7,BT7,BQ7,BN7,BK7,BH7,BE7,BB7,AY7,AV7)=0,"",SUM(CC7,BZ7,BW7,BT7,BQ7,BN7,BK7,BH7,BE7,BB7,AY7,AV7))</f>
        <v/>
      </c>
      <c r="G7" s="2">
        <f>IF(COUNT(CD7,CA7,BX7,BU7,BR7,BO7,BL7,BI7,BF7,BC7,AZ7,AW7)=0,"",SUM(CD7,CA7,BX7,BU7,BR7,BO7,BL7,BI7,BF7,BC7,AZ7,AW7))</f>
        <v/>
      </c>
      <c r="H7" s="21">
        <f>IF(COUNT(DL7,DI7,DF7,DC7,CZ7,CW7,CT7,CQ7,CN7,CK7,CH7,CE7)=0,"",SUM(DL7,DI7,DF7,DC7,CZ7,CW7,CT7,CQ7,CN7,CK7,CH7,CE7))</f>
        <v/>
      </c>
      <c r="I7" s="21">
        <f>IF(COUNT(DM7,DJ7,DG7,DD7,DA7,CX7,CU7,CR7,CO7,CL7,CI7,CF7)=0,"",SUM(DM7,DJ7,DG7,DD7,DA7,CX7,CU7,CR7,CO7,CL7,CI7,CF7))</f>
        <v/>
      </c>
      <c r="J7" s="21">
        <f>IF(COUNT(DN7,DK7,DH7,DE7,DB7,CY7,CV7,CS7,CP7,CM7,CJ7,CG7)=0,"",SUM(DN7,DK7,DH7,DE7,DB7,CY7,CV7,CS7,CP7,CM7,CJ7,CG7))</f>
        <v/>
      </c>
      <c r="K7" s="2">
        <f>IF(COUNT(K5,K6)=2,ROUND(K5*K6,0),"")</f>
        <v/>
      </c>
      <c r="L7" s="2">
        <f>ROUND(L5*L6,0)</f>
        <v/>
      </c>
      <c r="M7" s="2">
        <f>ROUND(M5*M6,0)</f>
        <v/>
      </c>
      <c r="N7" s="21">
        <f>IF(COUNT(N5,N6)=2,ROUND(N5*N6,0),"")</f>
        <v/>
      </c>
      <c r="O7" s="21">
        <f>ROUND(O5*O6,0)</f>
        <v/>
      </c>
      <c r="P7" s="21">
        <f>ROUND(P5*P6,0)</f>
        <v/>
      </c>
      <c r="Q7" s="2">
        <f>IF(COUNT(Q5,Q6)=2,ROUND(Q5*Q6,0),"")</f>
        <v/>
      </c>
      <c r="R7" s="2">
        <f>ROUND(R5*R6,0)</f>
        <v/>
      </c>
      <c r="S7" s="2">
        <f>ROUND(S5*S6,0)</f>
        <v/>
      </c>
      <c r="T7" s="21">
        <f>IF(COUNT(T5,T6)=2,ROUND(T5*T6,0),"")</f>
        <v/>
      </c>
      <c r="U7" s="21">
        <f>ROUND(U5*U6,0)</f>
        <v/>
      </c>
      <c r="V7" s="21">
        <f>ROUND(V5*V6,0)</f>
        <v/>
      </c>
      <c r="W7" s="2">
        <f>IF(COUNT(W5,W6)=2,ROUND(W5*W6,0),"")</f>
        <v/>
      </c>
      <c r="X7" s="2">
        <f>ROUND(X5*X6,0)</f>
        <v/>
      </c>
      <c r="Y7" s="2">
        <f>ROUND(Y5*Y6,0)</f>
        <v/>
      </c>
      <c r="Z7" s="21">
        <f>IF(COUNT(Z5,Z6)=2,ROUND(Z5*Z6,0),"")</f>
        <v/>
      </c>
      <c r="AA7" s="21">
        <f>ROUND(AA5*AA6,0)</f>
        <v/>
      </c>
      <c r="AB7" s="21">
        <f>ROUND(AB5*AB6,0)</f>
        <v/>
      </c>
      <c r="AC7" s="2">
        <f>IF(COUNT(AC5,AC6)=2,ROUND(AC5*AC6,0),"")</f>
        <v/>
      </c>
      <c r="AD7" s="2">
        <f>ROUND(AD5*AD6,0)</f>
        <v/>
      </c>
      <c r="AE7" s="2">
        <f>ROUND(AE5*AE6,0)</f>
        <v/>
      </c>
      <c r="AF7" s="21">
        <f>IF(COUNT(AF5,AF6)=2,ROUND(AF5*AF6,0),"")</f>
        <v/>
      </c>
      <c r="AG7" s="21">
        <f>ROUND(AG5*AG6,0)</f>
        <v/>
      </c>
      <c r="AH7" s="21">
        <f>ROUND(AH5*AH6,0)</f>
        <v/>
      </c>
      <c r="AI7" s="2">
        <f>IF(COUNT(AI5,AI6)=2,ROUND(AI5*AI6,0),"")</f>
        <v/>
      </c>
      <c r="AJ7" s="2">
        <f>ROUND(AJ5*AJ6,0)</f>
        <v/>
      </c>
      <c r="AK7" s="2">
        <f>ROUND(AK5*AK6,0)</f>
        <v/>
      </c>
      <c r="AL7" s="21">
        <f>IF(COUNT(AL5,AL6)=2,ROUND(AL5*AL6,0),"")</f>
        <v/>
      </c>
      <c r="AM7" s="21">
        <f>ROUND(AM5*AM6,0)</f>
        <v/>
      </c>
      <c r="AN7" s="21">
        <f>ROUND(AN5*AN6,0)</f>
        <v/>
      </c>
      <c r="AO7" s="2">
        <f>IF(COUNT(AO5,AO6)=2,ROUND(AO5*AO6,0),"")</f>
        <v/>
      </c>
      <c r="AP7" s="2">
        <f>ROUND(AP5*AP6,0)</f>
        <v/>
      </c>
      <c r="AQ7" s="2">
        <f>ROUND(AQ5*AQ6,0)</f>
        <v/>
      </c>
      <c r="AR7" s="21">
        <f>IF(COUNT(AR5,AR6)=2,ROUND(AR5*AR6,0),"")</f>
        <v/>
      </c>
      <c r="AS7" s="21">
        <f>ROUND(AS5*AS6,0)</f>
        <v/>
      </c>
      <c r="AT7" s="21">
        <f>ROUND(AT5*AT6,0)</f>
        <v/>
      </c>
      <c r="AU7" s="2">
        <f>IF(COUNT(AU5,AU6)=2,ROUND(AU5*AU6,0),"")</f>
        <v/>
      </c>
      <c r="AV7" s="2">
        <f>ROUND(AV5*AV6,0)</f>
        <v/>
      </c>
      <c r="AW7" s="2">
        <f>ROUND(AW5*AW6,0)</f>
        <v/>
      </c>
      <c r="AX7" s="21">
        <f>IF(COUNT(AX5,AX6)=2,ROUND(AX5*AX6,0),"")</f>
        <v/>
      </c>
      <c r="AY7" s="21">
        <f>ROUND(AY5*AY6,0)</f>
        <v/>
      </c>
      <c r="AZ7" s="21">
        <f>ROUND(AZ5*AZ6,0)</f>
        <v/>
      </c>
      <c r="BA7" s="2">
        <f>IF(COUNT(BA5,BA6)=2,ROUND(BA5*BA6,0),"")</f>
        <v/>
      </c>
      <c r="BB7" s="2">
        <f>ROUND(BB5*BB6,0)</f>
        <v/>
      </c>
      <c r="BC7" s="2">
        <f>ROUND(BC5*BC6,0)</f>
        <v/>
      </c>
      <c r="BD7" s="21">
        <f>IF(COUNT(BD5,BD6)=2,ROUND(BD5*BD6,0),"")</f>
        <v/>
      </c>
      <c r="BE7" s="21">
        <f>ROUND(BE5*BE6,0)</f>
        <v/>
      </c>
      <c r="BF7" s="21">
        <f>ROUND(BF5*BF6,0)</f>
        <v/>
      </c>
      <c r="BG7" s="2">
        <f>IF(COUNT(BG5,BG6)=2,ROUND(BG5*BG6,0),"")</f>
        <v/>
      </c>
      <c r="BH7" s="2">
        <f>ROUND(BH5*BH6,0)</f>
        <v/>
      </c>
      <c r="BI7" s="2">
        <f>ROUND(BI5*BI6,0)</f>
        <v/>
      </c>
      <c r="BJ7" s="21">
        <f>IF(COUNT(BJ5,BJ6)=2,ROUND(BJ5*BJ6,0),"")</f>
        <v/>
      </c>
      <c r="BK7" s="21">
        <f>ROUND(BK5*BK6,0)</f>
        <v/>
      </c>
      <c r="BL7" s="21">
        <f>ROUND(BL5*BL6,0)</f>
        <v/>
      </c>
      <c r="BM7" s="2">
        <f>IF(COUNT(BM5,BM6)=2,ROUND(BM5*BM6,0),"")</f>
        <v/>
      </c>
      <c r="BN7" s="2">
        <f>ROUND(BN5*BN6,0)</f>
        <v/>
      </c>
      <c r="BO7" s="2">
        <f>ROUND(BO5*BO6,0)</f>
        <v/>
      </c>
      <c r="BP7" s="21">
        <f>IF(COUNT(BP5,BP6)=2,ROUND(BP5*BP6,0),"")</f>
        <v/>
      </c>
      <c r="BQ7" s="21">
        <f>ROUND(BQ5*BQ6,0)</f>
        <v/>
      </c>
      <c r="BR7" s="21">
        <f>ROUND(BR5*BR6,0)</f>
        <v/>
      </c>
      <c r="BS7" s="2">
        <f>IF(COUNT(BS5,BS6)=2,ROUND(BS5*BS6,0),"")</f>
        <v/>
      </c>
      <c r="BT7" s="2">
        <f>ROUND(BT5*BT6,0)</f>
        <v/>
      </c>
      <c r="BU7" s="2">
        <f>ROUND(BU5*BU6,0)</f>
        <v/>
      </c>
      <c r="BV7" s="21">
        <f>IF(COUNT(BV5,BV6)=2,ROUND(BV5*BV6,0),"")</f>
        <v/>
      </c>
      <c r="BW7" s="21">
        <f>ROUND(BW5*BW6,0)</f>
        <v/>
      </c>
      <c r="BX7" s="21">
        <f>ROUND(BX5*BX6,0)</f>
        <v/>
      </c>
      <c r="BY7" s="2">
        <f>IF(COUNT(BY5,BY6)=2,ROUND(BY5*BY6,0),"")</f>
        <v/>
      </c>
      <c r="BZ7" s="2">
        <f>ROUND(BZ5*BZ6,0)</f>
        <v/>
      </c>
      <c r="CA7" s="2">
        <f>ROUND(CA5*CA6,0)</f>
        <v/>
      </c>
      <c r="CB7" s="21">
        <f>IF(COUNT(CB5,CB6)=2,ROUND(CB5*CB6,0),"")</f>
        <v/>
      </c>
      <c r="CC7" s="21">
        <f>ROUND(CC5*CC6,0)</f>
        <v/>
      </c>
      <c r="CD7" s="21">
        <f>ROUND(CD5*CD6,0)</f>
        <v/>
      </c>
      <c r="CE7" s="2">
        <f>IF(COUNT(CE5,CE6)=2,ROUND(CE5*CE6,0),"")</f>
        <v/>
      </c>
      <c r="CF7" s="2">
        <f>ROUND(CF5*CF6,0)</f>
        <v/>
      </c>
      <c r="CG7" s="2">
        <f>ROUND(CG5*CG6,0)</f>
        <v/>
      </c>
      <c r="CH7" s="21">
        <f>IF(COUNT(CH5,CH6)=2,ROUND(CH5*CH6,0),"")</f>
        <v/>
      </c>
      <c r="CI7" s="21">
        <f>ROUND(CI5*CI6,0)</f>
        <v/>
      </c>
      <c r="CJ7" s="21">
        <f>ROUND(CJ5*CJ6,0)</f>
        <v/>
      </c>
      <c r="CK7" s="2">
        <f>IF(COUNT(CK5,CK6)=2,ROUND(CK5*CK6,0),"")</f>
        <v/>
      </c>
      <c r="CL7" s="2">
        <f>ROUND(CL5*CL6,0)</f>
        <v/>
      </c>
      <c r="CM7" s="2">
        <f>ROUND(CM5*CM6,0)</f>
        <v/>
      </c>
      <c r="CN7" s="21">
        <f>IF(COUNT(CN5,CN6)=2,ROUND(CN5*CN6,0),"")</f>
        <v/>
      </c>
      <c r="CO7" s="21">
        <f>ROUND(CO5*CO6,0)</f>
        <v/>
      </c>
      <c r="CP7" s="21">
        <f>ROUND(CP5*CP6,0)</f>
        <v/>
      </c>
      <c r="CQ7" s="2">
        <f>IF(COUNT(CQ5,CQ6)=2,ROUND(CQ5*CQ6,0),"")</f>
        <v/>
      </c>
      <c r="CR7" s="2">
        <f>ROUND(CR5*CR6,0)</f>
        <v/>
      </c>
      <c r="CS7" s="2">
        <f>ROUND(CS5*CS6,0)</f>
        <v/>
      </c>
      <c r="CT7" s="21">
        <f>IF(COUNT(CT5,CT6)=2,ROUND(CT5*CT6,0),"")</f>
        <v/>
      </c>
      <c r="CU7" s="21">
        <f>ROUND(CU5*CU6,0)</f>
        <v/>
      </c>
      <c r="CV7" s="21">
        <f>ROUND(CV5*CV6,0)</f>
        <v/>
      </c>
      <c r="CW7" s="2">
        <f>IF(COUNT(CW5,CW6)=2,ROUND(CW5*CW6,0),"")</f>
        <v/>
      </c>
      <c r="CX7" s="2">
        <f>ROUND(CX5*CX6,0)</f>
        <v/>
      </c>
      <c r="CY7" s="2">
        <f>ROUND(CY5*CY6,0)</f>
        <v/>
      </c>
      <c r="CZ7" s="21">
        <f>IF(COUNT(CZ5,CZ6)=2,ROUND(CZ5*CZ6,0),"")</f>
        <v/>
      </c>
      <c r="DA7" s="21">
        <f>ROUND(DA5*DA6,0)</f>
        <v/>
      </c>
      <c r="DB7" s="21">
        <f>ROUND(DB5*DB6,0)</f>
        <v/>
      </c>
      <c r="DC7" s="2">
        <f>IF(COUNT(DC5,DC6)=2,ROUND(DC5*DC6,0),"")</f>
        <v/>
      </c>
      <c r="DD7" s="2">
        <f>ROUND(DD5*DD6,0)</f>
        <v/>
      </c>
      <c r="DE7" s="2">
        <f>ROUND(DE5*DE6,0)</f>
        <v/>
      </c>
      <c r="DF7" s="21">
        <f>IF(COUNT(DF5,DF6)=2,ROUND(DF5*DF6,0),"")</f>
        <v/>
      </c>
      <c r="DG7" s="21">
        <f>ROUND(DG5*DG6,0)</f>
        <v/>
      </c>
      <c r="DH7" s="21">
        <f>ROUND(DH5*DH6,0)</f>
        <v/>
      </c>
      <c r="DI7" s="2">
        <f>IF(COUNT(DI5,DI6)=2,ROUND(DI5*DI6,0),"")</f>
        <v/>
      </c>
      <c r="DJ7" s="2">
        <f>ROUND(DJ5*DJ6,0)</f>
        <v/>
      </c>
      <c r="DK7" s="2">
        <f>ROUND(DK5*DK6,0)</f>
        <v/>
      </c>
      <c r="DL7" s="21">
        <f>IF(COUNT(DL5,DL6)=2,ROUND(DL5*DL6,0),"")</f>
        <v/>
      </c>
      <c r="DM7" s="21">
        <f>ROUND(DM5*DM6,0)</f>
        <v/>
      </c>
      <c r="DN7" s="21">
        <f>ROUND(DN5*DN6,0)</f>
        <v/>
      </c>
    </row>
    <row r="8">
      <c r="A8" s="2" t="inlineStr">
        <is>
          <t>Tickets Unresolved</t>
        </is>
      </c>
      <c r="B8" s="21">
        <f>IF(COUNT(AR8,AO8,AL8,AI8,AF8,AC8,Z8,W8,T8,Q8,N8,K8)=0,"",SUM(AR8,AO8,AL8,AI8,AF8,AC8,Z8,W8,T8,Q8,N8,K8))</f>
        <v/>
      </c>
      <c r="C8" s="21">
        <f>IF(COUNT(AS8,AP8,AM8,AJ8,AG8,AD8,AA8,X8,U8,R8,O8,L8)=0,"",SUM(AS8,AP8,AM8,AJ8,AG8,AD8,AA8,X8,U8,R8,O8,L8))</f>
        <v/>
      </c>
      <c r="D8" s="21">
        <f>IF(COUNT(AT8,AQ8,AN8,AK8,AH8,AE8,AB8,Y8,V8,S8,P8,M8)=0,"",SUM(AT8,AQ8,AN8,AK8,AH8,AE8,AB8,Y8,V8,S8,P8,M8))</f>
        <v/>
      </c>
      <c r="E8" s="2">
        <f>IF(COUNT(CB8,BY8,BV8,BS8,BP8,BM8,BJ8,BG8,BD8,BA8,AX8,AU8)=0,"",SUM(CB8,BY8,BV8,BS8,BP8,BM8,BJ8,BG8,BD8,BA8,AX8,AU8))</f>
        <v/>
      </c>
      <c r="F8" s="2">
        <f>IF(COUNT(CC8,BZ8,BW8,BT8,BQ8,BN8,BK8,BH8,BE8,BB8,AY8,AV8)=0,"",SUM(CC8,BZ8,BW8,BT8,BQ8,BN8,BK8,BH8,BE8,BB8,AY8,AV8))</f>
        <v/>
      </c>
      <c r="G8" s="2">
        <f>IF(COUNT(CD8,CA8,BX8,BU8,BR8,BO8,BL8,BI8,BF8,BC8,AZ8,AW8)=0,"",SUM(CD8,CA8,BX8,BU8,BR8,BO8,BL8,BI8,BF8,BC8,AZ8,AW8))</f>
        <v/>
      </c>
      <c r="H8" s="21">
        <f>IF(COUNT(DL8,DI8,DF8,DC8,CZ8,CW8,CT8,CQ8,CN8,CK8,CH8,CE8)=0,"",SUM(DL8,DI8,DF8,DC8,CZ8,CW8,CT8,CQ8,CN8,CK8,CH8,CE8))</f>
        <v/>
      </c>
      <c r="I8" s="21">
        <f>IF(COUNT(DM8,DJ8,DG8,DD8,DA8,CX8,CU8,CR8,CO8,CL8,CI8,CF8)=0,"",SUM(DM8,DJ8,DG8,DD8,DA8,CX8,CU8,CR8,CO8,CL8,CI8,CF8))</f>
        <v/>
      </c>
      <c r="J8" s="21">
        <f>IF(COUNT(DN8,DK8,DH8,DE8,DB8,CY8,CV8,CS8,CP8,CM8,CJ8,CG8)=0,"",SUM(DN8,DK8,DH8,DE8,DB8,CY8,CV8,CS8,CP8,CM8,CJ8,CG8))</f>
        <v/>
      </c>
      <c r="K8" s="2">
        <f>IF(COUNT(K5,K7)=2,K5-K7,"")</f>
        <v/>
      </c>
      <c r="L8" s="2">
        <f>L5-L7</f>
        <v/>
      </c>
      <c r="M8" s="2">
        <f>M5-M7</f>
        <v/>
      </c>
      <c r="N8" s="21">
        <f>IF(COUNT(N5,N7)=2,N5-N7,"")</f>
        <v/>
      </c>
      <c r="O8" s="21">
        <f>O5-O7</f>
        <v/>
      </c>
      <c r="P8" s="21">
        <f>P5-P7</f>
        <v/>
      </c>
      <c r="Q8" s="2">
        <f>IF(COUNT(Q5,Q7)=2,Q5-Q7,"")</f>
        <v/>
      </c>
      <c r="R8" s="2">
        <f>R5-R7</f>
        <v/>
      </c>
      <c r="S8" s="2">
        <f>S5-S7</f>
        <v/>
      </c>
      <c r="T8" s="21">
        <f>IF(COUNT(T5,T7)=2,T5-T7,"")</f>
        <v/>
      </c>
      <c r="U8" s="21">
        <f>U5-U7</f>
        <v/>
      </c>
      <c r="V8" s="21">
        <f>V5-V7</f>
        <v/>
      </c>
      <c r="W8" s="2">
        <f>IF(COUNT(W5,W7)=2,W5-W7,"")</f>
        <v/>
      </c>
      <c r="X8" s="2">
        <f>X5-X7</f>
        <v/>
      </c>
      <c r="Y8" s="2">
        <f>Y5-Y7</f>
        <v/>
      </c>
      <c r="Z8" s="21">
        <f>IF(COUNT(Z5,Z7)=2,Z5-Z7,"")</f>
        <v/>
      </c>
      <c r="AA8" s="21">
        <f>AA5-AA7</f>
        <v/>
      </c>
      <c r="AB8" s="21">
        <f>AB5-AB7</f>
        <v/>
      </c>
      <c r="AC8" s="2">
        <f>IF(COUNT(AC5,AC7)=2,AC5-AC7,"")</f>
        <v/>
      </c>
      <c r="AD8" s="2">
        <f>AD5-AD7</f>
        <v/>
      </c>
      <c r="AE8" s="2">
        <f>AE5-AE7</f>
        <v/>
      </c>
      <c r="AF8" s="21">
        <f>IF(COUNT(AF5,AF7)=2,AF5-AF7,"")</f>
        <v/>
      </c>
      <c r="AG8" s="21">
        <f>AG5-AG7</f>
        <v/>
      </c>
      <c r="AH8" s="21">
        <f>AH5-AH7</f>
        <v/>
      </c>
      <c r="AI8" s="2">
        <f>IF(COUNT(AI5,AI7)=2,AI5-AI7,"")</f>
        <v/>
      </c>
      <c r="AJ8" s="2">
        <f>AJ5-AJ7</f>
        <v/>
      </c>
      <c r="AK8" s="2">
        <f>AK5-AK7</f>
        <v/>
      </c>
      <c r="AL8" s="21">
        <f>IF(COUNT(AL5,AL7)=2,AL5-AL7,"")</f>
        <v/>
      </c>
      <c r="AM8" s="21">
        <f>AM5-AM7</f>
        <v/>
      </c>
      <c r="AN8" s="21">
        <f>AN5-AN7</f>
        <v/>
      </c>
      <c r="AO8" s="2">
        <f>IF(COUNT(AO5,AO7)=2,AO5-AO7,"")</f>
        <v/>
      </c>
      <c r="AP8" s="2">
        <f>AP5-AP7</f>
        <v/>
      </c>
      <c r="AQ8" s="2">
        <f>AQ5-AQ7</f>
        <v/>
      </c>
      <c r="AR8" s="21">
        <f>IF(COUNT(AR5,AR7)=2,AR5-AR7,"")</f>
        <v/>
      </c>
      <c r="AS8" s="21">
        <f>AS5-AS7</f>
        <v/>
      </c>
      <c r="AT8" s="21">
        <f>AT5-AT7</f>
        <v/>
      </c>
      <c r="AU8" s="2">
        <f>IF(COUNT(AU5,AU7)=2,AU5-AU7,"")</f>
        <v/>
      </c>
      <c r="AV8" s="2">
        <f>AV5-AV7</f>
        <v/>
      </c>
      <c r="AW8" s="2">
        <f>AW5-AW7</f>
        <v/>
      </c>
      <c r="AX8" s="21">
        <f>IF(COUNT(AX5,AX7)=2,AX5-AX7,"")</f>
        <v/>
      </c>
      <c r="AY8" s="21">
        <f>AY5-AY7</f>
        <v/>
      </c>
      <c r="AZ8" s="21">
        <f>AZ5-AZ7</f>
        <v/>
      </c>
      <c r="BA8" s="2">
        <f>IF(COUNT(BA5,BA7)=2,BA5-BA7,"")</f>
        <v/>
      </c>
      <c r="BB8" s="2">
        <f>BB5-BB7</f>
        <v/>
      </c>
      <c r="BC8" s="2">
        <f>BC5-BC7</f>
        <v/>
      </c>
      <c r="BD8" s="21">
        <f>IF(COUNT(BD5,BD7)=2,BD5-BD7,"")</f>
        <v/>
      </c>
      <c r="BE8" s="21">
        <f>BE5-BE7</f>
        <v/>
      </c>
      <c r="BF8" s="21">
        <f>BF5-BF7</f>
        <v/>
      </c>
      <c r="BG8" s="2">
        <f>IF(COUNT(BG5,BG7)=2,BG5-BG7,"")</f>
        <v/>
      </c>
      <c r="BH8" s="2">
        <f>BH5-BH7</f>
        <v/>
      </c>
      <c r="BI8" s="2">
        <f>BI5-BI7</f>
        <v/>
      </c>
      <c r="BJ8" s="21">
        <f>IF(COUNT(BJ5,BJ7)=2,BJ5-BJ7,"")</f>
        <v/>
      </c>
      <c r="BK8" s="21">
        <f>BK5-BK7</f>
        <v/>
      </c>
      <c r="BL8" s="21">
        <f>BL5-BL7</f>
        <v/>
      </c>
      <c r="BM8" s="2">
        <f>IF(COUNT(BM5,BM7)=2,BM5-BM7,"")</f>
        <v/>
      </c>
      <c r="BN8" s="2">
        <f>BN5-BN7</f>
        <v/>
      </c>
      <c r="BO8" s="2">
        <f>BO5-BO7</f>
        <v/>
      </c>
      <c r="BP8" s="21">
        <f>IF(COUNT(BP5,BP7)=2,BP5-BP7,"")</f>
        <v/>
      </c>
      <c r="BQ8" s="21">
        <f>BQ5-BQ7</f>
        <v/>
      </c>
      <c r="BR8" s="21">
        <f>BR5-BR7</f>
        <v/>
      </c>
      <c r="BS8" s="2">
        <f>IF(COUNT(BS5,BS7)=2,BS5-BS7,"")</f>
        <v/>
      </c>
      <c r="BT8" s="2">
        <f>BT5-BT7</f>
        <v/>
      </c>
      <c r="BU8" s="2">
        <f>BU5-BU7</f>
        <v/>
      </c>
      <c r="BV8" s="21">
        <f>IF(COUNT(BV5,BV7)=2,BV5-BV7,"")</f>
        <v/>
      </c>
      <c r="BW8" s="21">
        <f>BW5-BW7</f>
        <v/>
      </c>
      <c r="BX8" s="21">
        <f>BX5-BX7</f>
        <v/>
      </c>
      <c r="BY8" s="2">
        <f>IF(COUNT(BY5,BY7)=2,BY5-BY7,"")</f>
        <v/>
      </c>
      <c r="BZ8" s="2">
        <f>BZ5-BZ7</f>
        <v/>
      </c>
      <c r="CA8" s="2">
        <f>CA5-CA7</f>
        <v/>
      </c>
      <c r="CB8" s="21">
        <f>IF(COUNT(CB5,CB7)=2,CB5-CB7,"")</f>
        <v/>
      </c>
      <c r="CC8" s="21">
        <f>CC5-CC7</f>
        <v/>
      </c>
      <c r="CD8" s="21">
        <f>CD5-CD7</f>
        <v/>
      </c>
      <c r="CE8" s="2">
        <f>IF(COUNT(CE5,CE7)=2,CE5-CE7,"")</f>
        <v/>
      </c>
      <c r="CF8" s="2">
        <f>CF5-CF7</f>
        <v/>
      </c>
      <c r="CG8" s="2">
        <f>CG5-CG7</f>
        <v/>
      </c>
      <c r="CH8" s="21">
        <f>IF(COUNT(CH5,CH7)=2,CH5-CH7,"")</f>
        <v/>
      </c>
      <c r="CI8" s="21">
        <f>CI5-CI7</f>
        <v/>
      </c>
      <c r="CJ8" s="21">
        <f>CJ5-CJ7</f>
        <v/>
      </c>
      <c r="CK8" s="2">
        <f>IF(COUNT(CK5,CK7)=2,CK5-CK7,"")</f>
        <v/>
      </c>
      <c r="CL8" s="2">
        <f>CL5-CL7</f>
        <v/>
      </c>
      <c r="CM8" s="2">
        <f>CM5-CM7</f>
        <v/>
      </c>
      <c r="CN8" s="21">
        <f>IF(COUNT(CN5,CN7)=2,CN5-CN7,"")</f>
        <v/>
      </c>
      <c r="CO8" s="21">
        <f>CO5-CO7</f>
        <v/>
      </c>
      <c r="CP8" s="21">
        <f>CP5-CP7</f>
        <v/>
      </c>
      <c r="CQ8" s="2">
        <f>IF(COUNT(CQ5,CQ7)=2,CQ5-CQ7,"")</f>
        <v/>
      </c>
      <c r="CR8" s="2">
        <f>CR5-CR7</f>
        <v/>
      </c>
      <c r="CS8" s="2">
        <f>CS5-CS7</f>
        <v/>
      </c>
      <c r="CT8" s="21">
        <f>IF(COUNT(CT5,CT7)=2,CT5-CT7,"")</f>
        <v/>
      </c>
      <c r="CU8" s="21">
        <f>CU5-CU7</f>
        <v/>
      </c>
      <c r="CV8" s="21">
        <f>CV5-CV7</f>
        <v/>
      </c>
      <c r="CW8" s="2">
        <f>IF(COUNT(CW5,CW7)=2,CW5-CW7,"")</f>
        <v/>
      </c>
      <c r="CX8" s="2">
        <f>CX5-CX7</f>
        <v/>
      </c>
      <c r="CY8" s="2">
        <f>CY5-CY7</f>
        <v/>
      </c>
      <c r="CZ8" s="21">
        <f>IF(COUNT(CZ5,CZ7)=2,CZ5-CZ7,"")</f>
        <v/>
      </c>
      <c r="DA8" s="21">
        <f>DA5-DA7</f>
        <v/>
      </c>
      <c r="DB8" s="21">
        <f>DB5-DB7</f>
        <v/>
      </c>
      <c r="DC8" s="2">
        <f>IF(COUNT(DC5,DC7)=2,DC5-DC7,"")</f>
        <v/>
      </c>
      <c r="DD8" s="2">
        <f>DD5-DD7</f>
        <v/>
      </c>
      <c r="DE8" s="2">
        <f>DE5-DE7</f>
        <v/>
      </c>
      <c r="DF8" s="21">
        <f>IF(COUNT(DF5,DF7)=2,DF5-DF7,"")</f>
        <v/>
      </c>
      <c r="DG8" s="21">
        <f>DG5-DG7</f>
        <v/>
      </c>
      <c r="DH8" s="21">
        <f>DH5-DH7</f>
        <v/>
      </c>
      <c r="DI8" s="2">
        <f>IF(COUNT(DI5,DI7)=2,DI5-DI7,"")</f>
        <v/>
      </c>
      <c r="DJ8" s="2">
        <f>DJ5-DJ7</f>
        <v/>
      </c>
      <c r="DK8" s="2">
        <f>DK5-DK7</f>
        <v/>
      </c>
      <c r="DL8" s="21">
        <f>IF(COUNT(DL5,DL7)=2,DL5-DL7,"")</f>
        <v/>
      </c>
      <c r="DM8" s="21">
        <f>DM5-DM7</f>
        <v/>
      </c>
      <c r="DN8" s="21">
        <f>DN5-DN7</f>
        <v/>
      </c>
    </row>
    <row r="9">
      <c r="A9" s="15" t="inlineStr">
        <is>
          <t>Unresolved Tickets per Affected Customer</t>
        </is>
      </c>
      <c r="B9" s="54">
        <f>IF(SUM(AR10,AO10,AL10,AI10,AF10,AC10,Z10,W10,T10,Q10,N10,K10)=0,"",SUM(AR8,AO8,AL8,AI8,AF8,AC8,Z8,W8,T8,Q8,N8,K8)/SUM(AR10,AO10,AL10,AI10,AF10,AC10,Z10,W10,T10,Q10,N10,K10))</f>
        <v/>
      </c>
      <c r="C9" s="54">
        <f>IF(SUM(AS10,AP10,AM10,AJ10,AG10,AD10,AA10,X10,U10,R10,O10,L10)=0,"",SUM(AS8,AP8,AM8,AJ8,AG8,AD8,AA8,X8,U8,R8,O8,L8)/SUM(AS10,AP10,AM10,AJ10,AG10,AD10,AA10,X10,U10,R10,O10,L10))</f>
        <v/>
      </c>
      <c r="D9" s="54">
        <f>IF(SUM(AT10,AQ10,AN10,AK10,AH10,AE10,AB10,Y10,V10,S10,P10,M10)=0,"",SUM(AT8,AQ8,AN8,AK8,AH8,AE8,AB8,Y8,V8,S8,P8,M8)/SUM(AT10,AQ10,AN10,AK10,AH10,AE10,AB10,Y10,V10,S10,P10,M10))</f>
        <v/>
      </c>
      <c r="E9" s="55">
        <f>IF(SUM(CB10,BY10,BV10,BS10,BP10,BM10,BJ10,BG10,BD10,BA10,AX10,AU10)=0,"",SUM(CB8,BY8,BV8,BS8,BP8,BM8,BJ8,BG8,BD8,BA8,AX8,AU8)/SUM(CB10,BY10,BV10,BS10,BP10,BM10,BJ10,BG10,BD10,BA10,AX10,AU10))</f>
        <v/>
      </c>
      <c r="F9" s="55">
        <f>IF(SUM(CC10,BZ10,BW10,BT10,BQ10,BN10,BK10,BH10,BE10,BB10,AY10,AV10)=0,"",SUM(CC8,BZ8,BW8,BT8,BQ8,BN8,BK8,BH8,BE8,BB8,AY8,AV8)/SUM(CC10,BZ10,BW10,BT10,BQ10,BN10,BK10,BH10,BE10,BB10,AY10,AV10))</f>
        <v/>
      </c>
      <c r="G9" s="55">
        <f>IF(SUM(CD10,CA10,BX10,BU10,BR10,BO10,BL10,BI10,BF10,BC10,AZ10,AW10)=0,"",SUM(CD8,CA8,BX8,BU8,BR8,BO8,BL8,BI8,BF8,BC8,AZ8,AW8)/SUM(CD10,CA10,BX10,BU10,BR10,BO10,BL10,BI10,BF10,BC10,AZ10,AW10))</f>
        <v/>
      </c>
      <c r="H9" s="54">
        <f>IF(SUM(DL10,DI10,DF10,DC10,CZ10,CW10,CT10,CQ10,CN10,CK10,CH10,CE10)=0,"",SUM(DL8,DI8,DF8,DC8,CZ8,CW8,CT8,CQ8,CN8,CK8,CH8,CE8)/SUM(DL10,DI10,DF10,DC10,CZ10,CW10,CT10,CQ10,CN10,CK10,CH10,CE10))</f>
        <v/>
      </c>
      <c r="I9" s="54">
        <f>IF(SUM(DM10,DJ10,DG10,DD10,DA10,CX10,CU10,CR10,CO10,CL10,CI10,CF10)=0,"",SUM(DM8,DJ8,DG8,DD8,DA8,CX8,CU8,CR8,CO8,CL8,CI8,CF8)/SUM(DM10,DJ10,DG10,DD10,DA10,CX10,CU10,CR10,CO10,CL10,CI10,CF10))</f>
        <v/>
      </c>
      <c r="J9" s="54">
        <f>IF(SUM(DN10,DK10,DH10,DE10,DB10,CY10,CV10,CS10,CP10,CM10,CJ10,CG10)=0,"",SUM(DN8,DK8,DH8,DE8,DB8,CY8,CV8,CS8,CP8,CM8,CJ8,CG8)/SUM(DN10,DK10,DH10,DE10,DB10,CY10,CV10,CS10,CP10,CM10,CJ10,CG10))</f>
        <v/>
      </c>
      <c r="K9" s="27" t="n"/>
      <c r="L9" s="55" t="n">
        <v>1.2</v>
      </c>
      <c r="M9" s="55" t="n">
        <v>1.2</v>
      </c>
      <c r="N9" s="56" t="n"/>
      <c r="O9" s="54" t="n">
        <v>1.2</v>
      </c>
      <c r="P9" s="54" t="n">
        <v>1.2</v>
      </c>
      <c r="Q9" s="27" t="n"/>
      <c r="R9" s="55" t="n">
        <v>1.2</v>
      </c>
      <c r="S9" s="55" t="n">
        <v>1.2</v>
      </c>
      <c r="T9" s="56" t="n"/>
      <c r="U9" s="54" t="n">
        <v>1.2</v>
      </c>
      <c r="V9" s="54" t="n">
        <v>1.2</v>
      </c>
      <c r="W9" s="27" t="n"/>
      <c r="X9" s="55" t="n">
        <v>1.2</v>
      </c>
      <c r="Y9" s="55" t="n">
        <v>1.2</v>
      </c>
      <c r="Z9" s="56" t="n"/>
      <c r="AA9" s="54" t="n">
        <v>1.2</v>
      </c>
      <c r="AB9" s="54" t="n">
        <v>1.2</v>
      </c>
      <c r="AC9" s="27" t="n"/>
      <c r="AD9" s="55" t="n">
        <v>1.2</v>
      </c>
      <c r="AE9" s="55" t="n">
        <v>1.2</v>
      </c>
      <c r="AF9" s="56" t="n"/>
      <c r="AG9" s="54" t="n">
        <v>1.2</v>
      </c>
      <c r="AH9" s="54" t="n">
        <v>1.2</v>
      </c>
      <c r="AI9" s="27" t="n"/>
      <c r="AJ9" s="55" t="n">
        <v>1.2</v>
      </c>
      <c r="AK9" s="55" t="n">
        <v>1.2</v>
      </c>
      <c r="AL9" s="56" t="n"/>
      <c r="AM9" s="54" t="n">
        <v>1.2</v>
      </c>
      <c r="AN9" s="54" t="n">
        <v>1.2</v>
      </c>
      <c r="AO9" s="27" t="n"/>
      <c r="AP9" s="55" t="n">
        <v>1.2</v>
      </c>
      <c r="AQ9" s="55" t="n">
        <v>1.2</v>
      </c>
      <c r="AR9" s="56" t="n"/>
      <c r="AS9" s="54" t="n">
        <v>1.2</v>
      </c>
      <c r="AT9" s="54" t="n">
        <v>1.2</v>
      </c>
      <c r="AU9" s="27" t="n"/>
      <c r="AV9" s="55" t="n">
        <v>1.2</v>
      </c>
      <c r="AW9" s="55" t="n">
        <v>1.2</v>
      </c>
      <c r="AX9" s="56" t="n"/>
      <c r="AY9" s="54" t="n">
        <v>1.2</v>
      </c>
      <c r="AZ9" s="54" t="n">
        <v>1.2</v>
      </c>
      <c r="BA9" s="27" t="n"/>
      <c r="BB9" s="55" t="n">
        <v>1.2</v>
      </c>
      <c r="BC9" s="55" t="n">
        <v>1.2</v>
      </c>
      <c r="BD9" s="56" t="n"/>
      <c r="BE9" s="54" t="n">
        <v>1.2</v>
      </c>
      <c r="BF9" s="54" t="n">
        <v>1.2</v>
      </c>
      <c r="BG9" s="27" t="n"/>
      <c r="BH9" s="55" t="n">
        <v>1.2</v>
      </c>
      <c r="BI9" s="55" t="n">
        <v>1.2</v>
      </c>
      <c r="BJ9" s="56" t="n"/>
      <c r="BK9" s="54" t="n">
        <v>1.2</v>
      </c>
      <c r="BL9" s="54" t="n">
        <v>1.2</v>
      </c>
      <c r="BM9" s="27" t="n"/>
      <c r="BN9" s="55" t="n">
        <v>1.2</v>
      </c>
      <c r="BO9" s="55" t="n">
        <v>1.2</v>
      </c>
      <c r="BP9" s="56" t="n"/>
      <c r="BQ9" s="54" t="n">
        <v>1.2</v>
      </c>
      <c r="BR9" s="54" t="n">
        <v>1.2</v>
      </c>
      <c r="BS9" s="27" t="n"/>
      <c r="BT9" s="55" t="n">
        <v>1.2</v>
      </c>
      <c r="BU9" s="55" t="n">
        <v>1.2</v>
      </c>
      <c r="BV9" s="56" t="n"/>
      <c r="BW9" s="54" t="n">
        <v>1.2</v>
      </c>
      <c r="BX9" s="54" t="n">
        <v>1.2</v>
      </c>
      <c r="BY9" s="27" t="n"/>
      <c r="BZ9" s="55" t="n">
        <v>1.2</v>
      </c>
      <c r="CA9" s="55" t="n">
        <v>1.2</v>
      </c>
      <c r="CB9" s="56" t="n"/>
      <c r="CC9" s="54" t="n">
        <v>1.2</v>
      </c>
      <c r="CD9" s="54" t="n">
        <v>1.2</v>
      </c>
      <c r="CE9" s="27" t="n"/>
      <c r="CF9" s="55" t="n">
        <v>1.2</v>
      </c>
      <c r="CG9" s="55" t="n">
        <v>1.2</v>
      </c>
      <c r="CH9" s="56" t="n"/>
      <c r="CI9" s="54" t="n">
        <v>1.2</v>
      </c>
      <c r="CJ9" s="54" t="n">
        <v>1.2</v>
      </c>
      <c r="CK9" s="27" t="n"/>
      <c r="CL9" s="55" t="n">
        <v>1.2</v>
      </c>
      <c r="CM9" s="55" t="n">
        <v>1.2</v>
      </c>
      <c r="CN9" s="56" t="n"/>
      <c r="CO9" s="54" t="n">
        <v>1.2</v>
      </c>
      <c r="CP9" s="54" t="n">
        <v>1.2</v>
      </c>
      <c r="CQ9" s="27" t="n"/>
      <c r="CR9" s="55" t="n">
        <v>1.2</v>
      </c>
      <c r="CS9" s="55" t="n">
        <v>1.2</v>
      </c>
      <c r="CT9" s="56" t="n"/>
      <c r="CU9" s="54" t="n">
        <v>1.2</v>
      </c>
      <c r="CV9" s="54" t="n">
        <v>1.2</v>
      </c>
      <c r="CW9" s="27" t="n"/>
      <c r="CX9" s="55" t="n">
        <v>1.2</v>
      </c>
      <c r="CY9" s="55" t="n">
        <v>1.2</v>
      </c>
      <c r="CZ9" s="56" t="n"/>
      <c r="DA9" s="54" t="n">
        <v>1.2</v>
      </c>
      <c r="DB9" s="54" t="n">
        <v>1.2</v>
      </c>
      <c r="DC9" s="27" t="n"/>
      <c r="DD9" s="55" t="n">
        <v>1.2</v>
      </c>
      <c r="DE9" s="55" t="n">
        <v>1.2</v>
      </c>
      <c r="DF9" s="56" t="n"/>
      <c r="DG9" s="54" t="n">
        <v>1.2</v>
      </c>
      <c r="DH9" s="54" t="n">
        <v>1.2</v>
      </c>
      <c r="DI9" s="55" t="n">
        <v>1.2</v>
      </c>
      <c r="DJ9" s="55" t="n">
        <v>1.2</v>
      </c>
      <c r="DK9" s="55" t="n">
        <v>1.2</v>
      </c>
      <c r="DL9" s="54" t="n">
        <v>1.2</v>
      </c>
      <c r="DM9" s="54" t="n">
        <v>1.2</v>
      </c>
      <c r="DN9" s="54" t="n">
        <v>1.2</v>
      </c>
    </row>
    <row r="10">
      <c r="A10" s="24" t="inlineStr">
        <is>
          <t>Customers with an Unresolved Issue</t>
        </is>
      </c>
      <c r="B10" s="34">
        <f>IF(COUNT(AR10,AO10,AL10,AI10,AF10,AC10,Z10,W10,T10,Q10,N10,K10)=0,"",SUM(AR10,AO10,AL10,AI10,AF10,AC10,Z10,W10,T10,Q10,N10,K10))</f>
        <v/>
      </c>
      <c r="C10" s="34">
        <f>IF(COUNT(AS10,AP10,AM10,AJ10,AG10,AD10,AA10,X10,U10,R10,O10,L10)=0,"",SUM(AS10,AP10,AM10,AJ10,AG10,AD10,AA10,X10,U10,R10,O10,L10))</f>
        <v/>
      </c>
      <c r="D10" s="34">
        <f>IF(COUNT(AT10,AQ10,AN10,AK10,AH10,AE10,AB10,Y10,V10,S10,P10,M10)=0,"",SUM(AT10,AQ10,AN10,AK10,AH10,AE10,AB10,Y10,V10,S10,P10,M10))</f>
        <v/>
      </c>
      <c r="E10" s="24">
        <f>IF(COUNT(CB10,BY10,BV10,BS10,BP10,BM10,BJ10,BG10,BD10,BA10,AX10,AU10)=0,"",SUM(CB10,BY10,BV10,BS10,BP10,BM10,BJ10,BG10,BD10,BA10,AX10,AU10))</f>
        <v/>
      </c>
      <c r="F10" s="24">
        <f>IF(COUNT(CC10,BZ10,BW10,BT10,BQ10,BN10,BK10,BH10,BE10,BB10,AY10,AV10)=0,"",SUM(CC10,BZ10,BW10,BT10,BQ10,BN10,BK10,BH10,BE10,BB10,AY10,AV10))</f>
        <v/>
      </c>
      <c r="G10" s="24">
        <f>IF(COUNT(CD10,CA10,BX10,BU10,BR10,BO10,BL10,BI10,BF10,BC10,AZ10,AW10)=0,"",SUM(CD10,CA10,BX10,BU10,BR10,BO10,BL10,BI10,BF10,BC10,AZ10,AW10))</f>
        <v/>
      </c>
      <c r="H10" s="34">
        <f>IF(COUNT(DL10,DI10,DF10,DC10,CZ10,CW10,CT10,CQ10,CN10,CK10,CH10,CE10)=0,"",SUM(DL10,DI10,DF10,DC10,CZ10,CW10,CT10,CQ10,CN10,CK10,CH10,CE10))</f>
        <v/>
      </c>
      <c r="I10" s="34">
        <f>IF(COUNT(DM10,DJ10,DG10,DD10,DA10,CX10,CU10,CR10,CO10,CL10,CI10,CF10)=0,"",SUM(DM10,DJ10,DG10,DD10,DA10,CX10,CU10,CR10,CO10,CL10,CI10,CF10))</f>
        <v/>
      </c>
      <c r="J10" s="34">
        <f>IF(COUNT(DN10,DK10,DH10,DE10,DB10,CY10,CV10,CS10,CP10,CM10,CJ10,CG10)=0,"",SUM(DN10,DK10,DH10,DE10,DB10,CY10,CV10,CS10,CP10,CM10,CJ10,CG10))</f>
        <v/>
      </c>
      <c r="K10" s="24">
        <f>IF(COUNT(K8,K9)=2,IF(N(K9)=0,"",ROUND(K8/K9,0)),"")</f>
        <v/>
      </c>
      <c r="L10" s="24">
        <f>IF(N(L9)=0,"",ROUND(L8/L9,0))</f>
        <v/>
      </c>
      <c r="M10" s="24">
        <f>IF(N(M9)=0,"",ROUND(M8/M9,0))</f>
        <v/>
      </c>
      <c r="N10" s="34">
        <f>IF(COUNT(N8,N9)=2,IF(N(N9)=0,"",ROUND(N8/N9,0)),"")</f>
        <v/>
      </c>
      <c r="O10" s="34">
        <f>IF(N(O9)=0,"",ROUND(O8/O9,0))</f>
        <v/>
      </c>
      <c r="P10" s="34">
        <f>IF(N(P9)=0,"",ROUND(P8/P9,0))</f>
        <v/>
      </c>
      <c r="Q10" s="24">
        <f>IF(COUNT(Q8,Q9)=2,IF(N(Q9)=0,"",ROUND(Q8/Q9,0)),"")</f>
        <v/>
      </c>
      <c r="R10" s="24">
        <f>IF(N(R9)=0,"",ROUND(R8/R9,0))</f>
        <v/>
      </c>
      <c r="S10" s="24">
        <f>IF(N(S9)=0,"",ROUND(S8/S9,0))</f>
        <v/>
      </c>
      <c r="T10" s="34">
        <f>IF(COUNT(T8,T9)=2,IF(N(T9)=0,"",ROUND(T8/T9,0)),"")</f>
        <v/>
      </c>
      <c r="U10" s="34">
        <f>IF(N(U9)=0,"",ROUND(U8/U9,0))</f>
        <v/>
      </c>
      <c r="V10" s="34">
        <f>IF(N(V9)=0,"",ROUND(V8/V9,0))</f>
        <v/>
      </c>
      <c r="W10" s="24">
        <f>IF(COUNT(W8,W9)=2,IF(N(W9)=0,"",ROUND(W8/W9,0)),"")</f>
        <v/>
      </c>
      <c r="X10" s="24">
        <f>IF(N(X9)=0,"",ROUND(X8/X9,0))</f>
        <v/>
      </c>
      <c r="Y10" s="24">
        <f>IF(N(Y9)=0,"",ROUND(Y8/Y9,0))</f>
        <v/>
      </c>
      <c r="Z10" s="34">
        <f>IF(COUNT(Z8,Z9)=2,IF(N(Z9)=0,"",ROUND(Z8/Z9,0)),"")</f>
        <v/>
      </c>
      <c r="AA10" s="34">
        <f>IF(N(AA9)=0,"",ROUND(AA8/AA9,0))</f>
        <v/>
      </c>
      <c r="AB10" s="34">
        <f>IF(N(AB9)=0,"",ROUND(AB8/AB9,0))</f>
        <v/>
      </c>
      <c r="AC10" s="24">
        <f>IF(COUNT(AC8,AC9)=2,IF(N(AC9)=0,"",ROUND(AC8/AC9,0)),"")</f>
        <v/>
      </c>
      <c r="AD10" s="24">
        <f>IF(N(AD9)=0,"",ROUND(AD8/AD9,0))</f>
        <v/>
      </c>
      <c r="AE10" s="24">
        <f>IF(N(AE9)=0,"",ROUND(AE8/AE9,0))</f>
        <v/>
      </c>
      <c r="AF10" s="34">
        <f>IF(COUNT(AF8,AF9)=2,IF(N(AF9)=0,"",ROUND(AF8/AF9,0)),"")</f>
        <v/>
      </c>
      <c r="AG10" s="34">
        <f>IF(N(AG9)=0,"",ROUND(AG8/AG9,0))</f>
        <v/>
      </c>
      <c r="AH10" s="34">
        <f>IF(N(AH9)=0,"",ROUND(AH8/AH9,0))</f>
        <v/>
      </c>
      <c r="AI10" s="24">
        <f>IF(COUNT(AI8,AI9)=2,IF(N(AI9)=0,"",ROUND(AI8/AI9,0)),"")</f>
        <v/>
      </c>
      <c r="AJ10" s="24">
        <f>IF(N(AJ9)=0,"",ROUND(AJ8/AJ9,0))</f>
        <v/>
      </c>
      <c r="AK10" s="24">
        <f>IF(N(AK9)=0,"",ROUND(AK8/AK9,0))</f>
        <v/>
      </c>
      <c r="AL10" s="34">
        <f>IF(COUNT(AL8,AL9)=2,IF(N(AL9)=0,"",ROUND(AL8/AL9,0)),"")</f>
        <v/>
      </c>
      <c r="AM10" s="34">
        <f>IF(N(AM9)=0,"",ROUND(AM8/AM9,0))</f>
        <v/>
      </c>
      <c r="AN10" s="34">
        <f>IF(N(AN9)=0,"",ROUND(AN8/AN9,0))</f>
        <v/>
      </c>
      <c r="AO10" s="24">
        <f>IF(COUNT(AO8,AO9)=2,IF(N(AO9)=0,"",ROUND(AO8/AO9,0)),"")</f>
        <v/>
      </c>
      <c r="AP10" s="24">
        <f>IF(N(AP9)=0,"",ROUND(AP8/AP9,0))</f>
        <v/>
      </c>
      <c r="AQ10" s="24">
        <f>IF(N(AQ9)=0,"",ROUND(AQ8/AQ9,0))</f>
        <v/>
      </c>
      <c r="AR10" s="34">
        <f>IF(COUNT(AR8,AR9)=2,IF(N(AR9)=0,"",ROUND(AR8/AR9,0)),"")</f>
        <v/>
      </c>
      <c r="AS10" s="34">
        <f>IF(N(AS9)=0,"",ROUND(AS8/AS9,0))</f>
        <v/>
      </c>
      <c r="AT10" s="34">
        <f>IF(N(AT9)=0,"",ROUND(AT8/AT9,0))</f>
        <v/>
      </c>
      <c r="AU10" s="24">
        <f>IF(COUNT(AU8,AU9)=2,IF(N(AU9)=0,"",ROUND(AU8/AU9,0)),"")</f>
        <v/>
      </c>
      <c r="AV10" s="24">
        <f>IF(N(AV9)=0,"",ROUND(AV8/AV9,0))</f>
        <v/>
      </c>
      <c r="AW10" s="24">
        <f>IF(N(AW9)=0,"",ROUND(AW8/AW9,0))</f>
        <v/>
      </c>
      <c r="AX10" s="34">
        <f>IF(COUNT(AX8,AX9)=2,IF(N(AX9)=0,"",ROUND(AX8/AX9,0)),"")</f>
        <v/>
      </c>
      <c r="AY10" s="34">
        <f>IF(N(AY9)=0,"",ROUND(AY8/AY9,0))</f>
        <v/>
      </c>
      <c r="AZ10" s="34">
        <f>IF(N(AZ9)=0,"",ROUND(AZ8/AZ9,0))</f>
        <v/>
      </c>
      <c r="BA10" s="24">
        <f>IF(COUNT(BA8,BA9)=2,IF(N(BA9)=0,"",ROUND(BA8/BA9,0)),"")</f>
        <v/>
      </c>
      <c r="BB10" s="24">
        <f>IF(N(BB9)=0,"",ROUND(BB8/BB9,0))</f>
        <v/>
      </c>
      <c r="BC10" s="24">
        <f>IF(N(BC9)=0,"",ROUND(BC8/BC9,0))</f>
        <v/>
      </c>
      <c r="BD10" s="34">
        <f>IF(COUNT(BD8,BD9)=2,IF(N(BD9)=0,"",ROUND(BD8/BD9,0)),"")</f>
        <v/>
      </c>
      <c r="BE10" s="34">
        <f>IF(N(BE9)=0,"",ROUND(BE8/BE9,0))</f>
        <v/>
      </c>
      <c r="BF10" s="34">
        <f>IF(N(BF9)=0,"",ROUND(BF8/BF9,0))</f>
        <v/>
      </c>
      <c r="BG10" s="24">
        <f>IF(COUNT(BG8,BG9)=2,IF(N(BG9)=0,"",ROUND(BG8/BG9,0)),"")</f>
        <v/>
      </c>
      <c r="BH10" s="24">
        <f>IF(N(BH9)=0,"",ROUND(BH8/BH9,0))</f>
        <v/>
      </c>
      <c r="BI10" s="24">
        <f>IF(N(BI9)=0,"",ROUND(BI8/BI9,0))</f>
        <v/>
      </c>
      <c r="BJ10" s="34">
        <f>IF(COUNT(BJ8,BJ9)=2,IF(N(BJ9)=0,"",ROUND(BJ8/BJ9,0)),"")</f>
        <v/>
      </c>
      <c r="BK10" s="34">
        <f>IF(N(BK9)=0,"",ROUND(BK8/BK9,0))</f>
        <v/>
      </c>
      <c r="BL10" s="34">
        <f>IF(N(BL9)=0,"",ROUND(BL8/BL9,0))</f>
        <v/>
      </c>
      <c r="BM10" s="24">
        <f>IF(COUNT(BM8,BM9)=2,IF(N(BM9)=0,"",ROUND(BM8/BM9,0)),"")</f>
        <v/>
      </c>
      <c r="BN10" s="24">
        <f>IF(N(BN9)=0,"",ROUND(BN8/BN9,0))</f>
        <v/>
      </c>
      <c r="BO10" s="24">
        <f>IF(N(BO9)=0,"",ROUND(BO8/BO9,0))</f>
        <v/>
      </c>
      <c r="BP10" s="34">
        <f>IF(COUNT(BP8,BP9)=2,IF(N(BP9)=0,"",ROUND(BP8/BP9,0)),"")</f>
        <v/>
      </c>
      <c r="BQ10" s="34">
        <f>IF(N(BQ9)=0,"",ROUND(BQ8/BQ9,0))</f>
        <v/>
      </c>
      <c r="BR10" s="34">
        <f>IF(N(BR9)=0,"",ROUND(BR8/BR9,0))</f>
        <v/>
      </c>
      <c r="BS10" s="24">
        <f>IF(COUNT(BS8,BS9)=2,IF(N(BS9)=0,"",ROUND(BS8/BS9,0)),"")</f>
        <v/>
      </c>
      <c r="BT10" s="24">
        <f>IF(N(BT9)=0,"",ROUND(BT8/BT9,0))</f>
        <v/>
      </c>
      <c r="BU10" s="24">
        <f>IF(N(BU9)=0,"",ROUND(BU8/BU9,0))</f>
        <v/>
      </c>
      <c r="BV10" s="34">
        <f>IF(COUNT(BV8,BV9)=2,IF(N(BV9)=0,"",ROUND(BV8/BV9,0)),"")</f>
        <v/>
      </c>
      <c r="BW10" s="34">
        <f>IF(N(BW9)=0,"",ROUND(BW8/BW9,0))</f>
        <v/>
      </c>
      <c r="BX10" s="34">
        <f>IF(N(BX9)=0,"",ROUND(BX8/BX9,0))</f>
        <v/>
      </c>
      <c r="BY10" s="24">
        <f>IF(COUNT(BY8,BY9)=2,IF(N(BY9)=0,"",ROUND(BY8/BY9,0)),"")</f>
        <v/>
      </c>
      <c r="BZ10" s="24">
        <f>IF(N(BZ9)=0,"",ROUND(BZ8/BZ9,0))</f>
        <v/>
      </c>
      <c r="CA10" s="24">
        <f>IF(N(CA9)=0,"",ROUND(CA8/CA9,0))</f>
        <v/>
      </c>
      <c r="CB10" s="34">
        <f>IF(COUNT(CB8,CB9)=2,IF(N(CB9)=0,"",ROUND(CB8/CB9,0)),"")</f>
        <v/>
      </c>
      <c r="CC10" s="34">
        <f>IF(N(CC9)=0,"",ROUND(CC8/CC9,0))</f>
        <v/>
      </c>
      <c r="CD10" s="34">
        <f>IF(N(CD9)=0,"",ROUND(CD8/CD9,0))</f>
        <v/>
      </c>
      <c r="CE10" s="24">
        <f>IF(COUNT(CE8,CE9)=2,IF(N(CE9)=0,"",ROUND(CE8/CE9,0)),"")</f>
        <v/>
      </c>
      <c r="CF10" s="24">
        <f>IF(N(CF9)=0,"",ROUND(CF8/CF9,0))</f>
        <v/>
      </c>
      <c r="CG10" s="24">
        <f>IF(N(CG9)=0,"",ROUND(CG8/CG9,0))</f>
        <v/>
      </c>
      <c r="CH10" s="34">
        <f>IF(COUNT(CH8,CH9)=2,IF(N(CH9)=0,"",ROUND(CH8/CH9,0)),"")</f>
        <v/>
      </c>
      <c r="CI10" s="34">
        <f>IF(N(CI9)=0,"",ROUND(CI8/CI9,0))</f>
        <v/>
      </c>
      <c r="CJ10" s="34">
        <f>IF(N(CJ9)=0,"",ROUND(CJ8/CJ9,0))</f>
        <v/>
      </c>
      <c r="CK10" s="24">
        <f>IF(COUNT(CK8,CK9)=2,IF(N(CK9)=0,"",ROUND(CK8/CK9,0)),"")</f>
        <v/>
      </c>
      <c r="CL10" s="24">
        <f>IF(N(CL9)=0,"",ROUND(CL8/CL9,0))</f>
        <v/>
      </c>
      <c r="CM10" s="24">
        <f>IF(N(CM9)=0,"",ROUND(CM8/CM9,0))</f>
        <v/>
      </c>
      <c r="CN10" s="34">
        <f>IF(COUNT(CN8,CN9)=2,IF(N(CN9)=0,"",ROUND(CN8/CN9,0)),"")</f>
        <v/>
      </c>
      <c r="CO10" s="34">
        <f>IF(N(CO9)=0,"",ROUND(CO8/CO9,0))</f>
        <v/>
      </c>
      <c r="CP10" s="34">
        <f>IF(N(CP9)=0,"",ROUND(CP8/CP9,0))</f>
        <v/>
      </c>
      <c r="CQ10" s="24">
        <f>IF(COUNT(CQ8,CQ9)=2,IF(N(CQ9)=0,"",ROUND(CQ8/CQ9,0)),"")</f>
        <v/>
      </c>
      <c r="CR10" s="24">
        <f>IF(N(CR9)=0,"",ROUND(CR8/CR9,0))</f>
        <v/>
      </c>
      <c r="CS10" s="24">
        <f>IF(N(CS9)=0,"",ROUND(CS8/CS9,0))</f>
        <v/>
      </c>
      <c r="CT10" s="34">
        <f>IF(COUNT(CT8,CT9)=2,IF(N(CT9)=0,"",ROUND(CT8/CT9,0)),"")</f>
        <v/>
      </c>
      <c r="CU10" s="34">
        <f>IF(N(CU9)=0,"",ROUND(CU8/CU9,0))</f>
        <v/>
      </c>
      <c r="CV10" s="34">
        <f>IF(N(CV9)=0,"",ROUND(CV8/CV9,0))</f>
        <v/>
      </c>
      <c r="CW10" s="24">
        <f>IF(COUNT(CW8,CW9)=2,IF(N(CW9)=0,"",ROUND(CW8/CW9,0)),"")</f>
        <v/>
      </c>
      <c r="CX10" s="24">
        <f>IF(N(CX9)=0,"",ROUND(CX8/CX9,0))</f>
        <v/>
      </c>
      <c r="CY10" s="24">
        <f>IF(N(CY9)=0,"",ROUND(CY8/CY9,0))</f>
        <v/>
      </c>
      <c r="CZ10" s="34">
        <f>IF(COUNT(CZ8,CZ9)=2,IF(N(CZ9)=0,"",ROUND(CZ8/CZ9,0)),"")</f>
        <v/>
      </c>
      <c r="DA10" s="34">
        <f>IF(N(DA9)=0,"",ROUND(DA8/DA9,0))</f>
        <v/>
      </c>
      <c r="DB10" s="34">
        <f>IF(N(DB9)=0,"",ROUND(DB8/DB9,0))</f>
        <v/>
      </c>
      <c r="DC10" s="24">
        <f>IF(COUNT(DC8,DC9)=2,IF(N(DC9)=0,"",ROUND(DC8/DC9,0)),"")</f>
        <v/>
      </c>
      <c r="DD10" s="24">
        <f>IF(N(DD9)=0,"",ROUND(DD8/DD9,0))</f>
        <v/>
      </c>
      <c r="DE10" s="24">
        <f>IF(N(DE9)=0,"",ROUND(DE8/DE9,0))</f>
        <v/>
      </c>
      <c r="DF10" s="34">
        <f>IF(COUNT(DF8,DF9)=2,IF(N(DF9)=0,"",ROUND(DF8/DF9,0)),"")</f>
        <v/>
      </c>
      <c r="DG10" s="34">
        <f>IF(N(DG9)=0,"",ROUND(DG8/DG9,0))</f>
        <v/>
      </c>
      <c r="DH10" s="34">
        <f>IF(N(DH9)=0,"",ROUND(DH8/DH9,0))</f>
        <v/>
      </c>
      <c r="DI10" s="24">
        <f>IF(COUNT(DI8,DI9)=2,IF(N(DI9)=0,"",ROUND(DI8/DI9,0)),"")</f>
        <v/>
      </c>
      <c r="DJ10" s="24">
        <f>IF(N(DJ9)=0,"",ROUND(DJ8/DJ9,0))</f>
        <v/>
      </c>
      <c r="DK10" s="24">
        <f>IF(N(DK9)=0,"",ROUND(DK8/DK9,0))</f>
        <v/>
      </c>
      <c r="DL10" s="34">
        <f>IF(COUNT(DL8,DL9)=2,IF(N(DL9)=0,"",ROUND(DL8/DL9,0)),"")</f>
        <v/>
      </c>
      <c r="DM10" s="34">
        <f>IF(N(DM9)=0,"",ROUND(DM8/DM9,0))</f>
        <v/>
      </c>
      <c r="DN10" s="34">
        <f>IF(N(DN9)=0,"",ROUND(DN8/DN9,0))</f>
        <v/>
      </c>
    </row>
    <row r="11">
      <c r="A11" s="2" t="inlineStr">
        <is>
          <t>Salaries and Wages</t>
        </is>
      </c>
      <c r="B11" s="10">
        <f>IF(COUNT(AR11,AO11,AL11,AI11,AF11,AC11,Z11,W11,T11,Q11,N11,K11)=0,"",SUM(AR11,AO11,AL11,AI11,AF11,AC11,Z11,W11,T11,Q11,N11,K11))</f>
        <v/>
      </c>
      <c r="C11" s="10">
        <f>IF(COUNT(AS11,AP11,AM11,AJ11,AG11,AD11,AA11,X11,U11,R11,O11,L11)=0,"",SUM(AS11,AP11,AM11,AJ11,AG11,AD11,AA11,X11,U11,R11,O11,L11))</f>
        <v/>
      </c>
      <c r="D11" s="10">
        <f>IF(COUNT(AT11,AQ11,AN11,AK11,AH11,AE11,AB11,Y11,V11,S11,P11,M11)=0,"",SUM(AT11,AQ11,AN11,AK11,AH11,AE11,AB11,Y11,V11,S11,P11,M11))</f>
        <v/>
      </c>
      <c r="E11" s="11">
        <f>IF(COUNT(CB11,BY11,BV11,BS11,BP11,BM11,BJ11,BG11,BD11,BA11,AX11,AU11)=0,"",SUM(CB11,BY11,BV11,BS11,BP11,BM11,BJ11,BG11,BD11,BA11,AX11,AU11))</f>
        <v/>
      </c>
      <c r="F11" s="11">
        <f>IF(COUNT(CC11,BZ11,BW11,BT11,BQ11,BN11,BK11,BH11,BE11,BB11,AY11,AV11)=0,"",SUM(CC11,BZ11,BW11,BT11,BQ11,BN11,BK11,BH11,BE11,BB11,AY11,AV11))</f>
        <v/>
      </c>
      <c r="G11" s="11">
        <f>IF(COUNT(CD11,CA11,BX11,BU11,BR11,BO11,BL11,BI11,BF11,BC11,AZ11,AW11)=0,"",SUM(CD11,CA11,BX11,BU11,BR11,BO11,BL11,BI11,BF11,BC11,AZ11,AW11))</f>
        <v/>
      </c>
      <c r="H11" s="10">
        <f>IF(COUNT(DL11,DI11,DF11,DC11,CZ11,CW11,CT11,CQ11,CN11,CK11,CH11,CE11)=0,"",SUM(DL11,DI11,DF11,DC11,CZ11,CW11,CT11,CQ11,CN11,CK11,CH11,CE11))</f>
        <v/>
      </c>
      <c r="I11" s="10">
        <f>IF(COUNT(DM11,DJ11,DG11,DD11,DA11,CX11,CU11,CR11,CO11,CL11,CI11,CF11)=0,"",SUM(DM11,DJ11,DG11,DD11,DA11,CX11,CU11,CR11,CO11,CL11,CI11,CF11))</f>
        <v/>
      </c>
      <c r="J11" s="10">
        <f>IF(COUNT(DN11,DK11,DH11,DE11,DB11,CY11,CV11,CS11,CP11,CM11,CJ11,CG11)=0,"",SUM(DN11,DK11,DH11,DE11,DB11,CY11,CV11,CS11,CP11,CM11,CJ11,CG11))</f>
        <v/>
      </c>
      <c r="K11" s="11">
        <f>IF(COUNT(K41)=1,K41,"")</f>
        <v/>
      </c>
      <c r="L11" s="11">
        <f>L41</f>
        <v/>
      </c>
      <c r="M11" s="11">
        <f>M41</f>
        <v/>
      </c>
      <c r="N11" s="10">
        <f>IF(COUNT(N41)=1,N41,"")</f>
        <v/>
      </c>
      <c r="O11" s="10">
        <f>O41</f>
        <v/>
      </c>
      <c r="P11" s="10">
        <f>P41</f>
        <v/>
      </c>
      <c r="Q11" s="11">
        <f>IF(COUNT(Q41)=1,Q41,"")</f>
        <v/>
      </c>
      <c r="R11" s="11">
        <f>R41</f>
        <v/>
      </c>
      <c r="S11" s="11">
        <f>S41</f>
        <v/>
      </c>
      <c r="T11" s="10">
        <f>IF(COUNT(T41)=1,T41,"")</f>
        <v/>
      </c>
      <c r="U11" s="10">
        <f>U41</f>
        <v/>
      </c>
      <c r="V11" s="10">
        <f>V41</f>
        <v/>
      </c>
      <c r="W11" s="11">
        <f>IF(COUNT(W41)=1,W41,"")</f>
        <v/>
      </c>
      <c r="X11" s="11">
        <f>X41</f>
        <v/>
      </c>
      <c r="Y11" s="11">
        <f>Y41</f>
        <v/>
      </c>
      <c r="Z11" s="10">
        <f>IF(COUNT(Z41)=1,Z41,"")</f>
        <v/>
      </c>
      <c r="AA11" s="10">
        <f>AA41</f>
        <v/>
      </c>
      <c r="AB11" s="10">
        <f>AB41</f>
        <v/>
      </c>
      <c r="AC11" s="11">
        <f>IF(COUNT(AC41)=1,AC41,"")</f>
        <v/>
      </c>
      <c r="AD11" s="11">
        <f>AD41</f>
        <v/>
      </c>
      <c r="AE11" s="11">
        <f>AE41</f>
        <v/>
      </c>
      <c r="AF11" s="10">
        <f>IF(COUNT(AF41)=1,AF41,"")</f>
        <v/>
      </c>
      <c r="AG11" s="10">
        <f>AG41</f>
        <v/>
      </c>
      <c r="AH11" s="10">
        <f>AH41</f>
        <v/>
      </c>
      <c r="AI11" s="11">
        <f>IF(COUNT(AI41)=1,AI41,"")</f>
        <v/>
      </c>
      <c r="AJ11" s="11">
        <f>AJ41</f>
        <v/>
      </c>
      <c r="AK11" s="11">
        <f>AK41</f>
        <v/>
      </c>
      <c r="AL11" s="10">
        <f>IF(COUNT(AL41)=1,AL41,"")</f>
        <v/>
      </c>
      <c r="AM11" s="10">
        <f>AM41</f>
        <v/>
      </c>
      <c r="AN11" s="10">
        <f>AN41</f>
        <v/>
      </c>
      <c r="AO11" s="11">
        <f>IF(COUNT(AO41)=1,AO41,"")</f>
        <v/>
      </c>
      <c r="AP11" s="11">
        <f>AP41</f>
        <v/>
      </c>
      <c r="AQ11" s="11">
        <f>AQ41</f>
        <v/>
      </c>
      <c r="AR11" s="10">
        <f>IF(COUNT(AR41)=1,AR41,"")</f>
        <v/>
      </c>
      <c r="AS11" s="10">
        <f>AS41</f>
        <v/>
      </c>
      <c r="AT11" s="10">
        <f>AT41</f>
        <v/>
      </c>
      <c r="AU11" s="11">
        <f>IF(COUNT(AU41)=1,AU41,"")</f>
        <v/>
      </c>
      <c r="AV11" s="11">
        <f>AV41</f>
        <v/>
      </c>
      <c r="AW11" s="11">
        <f>AW41</f>
        <v/>
      </c>
      <c r="AX11" s="10">
        <f>IF(COUNT(AX41)=1,AX41,"")</f>
        <v/>
      </c>
      <c r="AY11" s="10">
        <f>AY41</f>
        <v/>
      </c>
      <c r="AZ11" s="10">
        <f>AZ41</f>
        <v/>
      </c>
      <c r="BA11" s="11">
        <f>IF(COUNT(BA41)=1,BA41,"")</f>
        <v/>
      </c>
      <c r="BB11" s="11">
        <f>BB41</f>
        <v/>
      </c>
      <c r="BC11" s="11">
        <f>BC41</f>
        <v/>
      </c>
      <c r="BD11" s="10">
        <f>IF(COUNT(BD41)=1,BD41,"")</f>
        <v/>
      </c>
      <c r="BE11" s="10">
        <f>BE41</f>
        <v/>
      </c>
      <c r="BF11" s="10">
        <f>BF41</f>
        <v/>
      </c>
      <c r="BG11" s="11">
        <f>IF(COUNT(BG41)=1,BG41,"")</f>
        <v/>
      </c>
      <c r="BH11" s="11">
        <f>BH41</f>
        <v/>
      </c>
      <c r="BI11" s="11">
        <f>BI41</f>
        <v/>
      </c>
      <c r="BJ11" s="10">
        <f>IF(COUNT(BJ41)=1,BJ41,"")</f>
        <v/>
      </c>
      <c r="BK11" s="10">
        <f>BK41</f>
        <v/>
      </c>
      <c r="BL11" s="10">
        <f>BL41</f>
        <v/>
      </c>
      <c r="BM11" s="11">
        <f>IF(COUNT(BM41)=1,BM41,"")</f>
        <v/>
      </c>
      <c r="BN11" s="11">
        <f>BN41</f>
        <v/>
      </c>
      <c r="BO11" s="11">
        <f>BO41</f>
        <v/>
      </c>
      <c r="BP11" s="10">
        <f>IF(COUNT(BP41)=1,BP41,"")</f>
        <v/>
      </c>
      <c r="BQ11" s="10">
        <f>BQ41</f>
        <v/>
      </c>
      <c r="BR11" s="10">
        <f>BR41</f>
        <v/>
      </c>
      <c r="BS11" s="11">
        <f>IF(COUNT(BS41)=1,BS41,"")</f>
        <v/>
      </c>
      <c r="BT11" s="11">
        <f>BT41</f>
        <v/>
      </c>
      <c r="BU11" s="11">
        <f>BU41</f>
        <v/>
      </c>
      <c r="BV11" s="10">
        <f>IF(COUNT(BV41)=1,BV41,"")</f>
        <v/>
      </c>
      <c r="BW11" s="10">
        <f>BW41</f>
        <v/>
      </c>
      <c r="BX11" s="10">
        <f>BX41</f>
        <v/>
      </c>
      <c r="BY11" s="11">
        <f>IF(COUNT(BY41)=1,BY41,"")</f>
        <v/>
      </c>
      <c r="BZ11" s="11">
        <f>BZ41</f>
        <v/>
      </c>
      <c r="CA11" s="11">
        <f>CA41</f>
        <v/>
      </c>
      <c r="CB11" s="10">
        <f>IF(COUNT(CB41)=1,CB41,"")</f>
        <v/>
      </c>
      <c r="CC11" s="10">
        <f>CC41</f>
        <v/>
      </c>
      <c r="CD11" s="10">
        <f>CD41</f>
        <v/>
      </c>
      <c r="CE11" s="11">
        <f>IF(COUNT(CE41)=1,CE41,"")</f>
        <v/>
      </c>
      <c r="CF11" s="11">
        <f>CF41</f>
        <v/>
      </c>
      <c r="CG11" s="11">
        <f>CG41</f>
        <v/>
      </c>
      <c r="CH11" s="10">
        <f>IF(COUNT(CH41)=1,CH41,"")</f>
        <v/>
      </c>
      <c r="CI11" s="10">
        <f>CI41</f>
        <v/>
      </c>
      <c r="CJ11" s="10">
        <f>CJ41</f>
        <v/>
      </c>
      <c r="CK11" s="11">
        <f>IF(COUNT(CK41)=1,CK41,"")</f>
        <v/>
      </c>
      <c r="CL11" s="11">
        <f>CL41</f>
        <v/>
      </c>
      <c r="CM11" s="11">
        <f>CM41</f>
        <v/>
      </c>
      <c r="CN11" s="10">
        <f>IF(COUNT(CN41)=1,CN41,"")</f>
        <v/>
      </c>
      <c r="CO11" s="10">
        <f>CO41</f>
        <v/>
      </c>
      <c r="CP11" s="10">
        <f>CP41</f>
        <v/>
      </c>
      <c r="CQ11" s="11">
        <f>IF(COUNT(CQ41)=1,CQ41,"")</f>
        <v/>
      </c>
      <c r="CR11" s="11">
        <f>CR41</f>
        <v/>
      </c>
      <c r="CS11" s="11">
        <f>CS41</f>
        <v/>
      </c>
      <c r="CT11" s="10">
        <f>IF(COUNT(CT41)=1,CT41,"")</f>
        <v/>
      </c>
      <c r="CU11" s="10">
        <f>CU41</f>
        <v/>
      </c>
      <c r="CV11" s="10">
        <f>CV41</f>
        <v/>
      </c>
      <c r="CW11" s="11">
        <f>IF(COUNT(CW41)=1,CW41,"")</f>
        <v/>
      </c>
      <c r="CX11" s="11">
        <f>CX41</f>
        <v/>
      </c>
      <c r="CY11" s="11">
        <f>CY41</f>
        <v/>
      </c>
      <c r="CZ11" s="10">
        <f>IF(COUNT(CZ41)=1,CZ41,"")</f>
        <v/>
      </c>
      <c r="DA11" s="10">
        <f>DA41</f>
        <v/>
      </c>
      <c r="DB11" s="10">
        <f>DB41</f>
        <v/>
      </c>
      <c r="DC11" s="11">
        <f>IF(COUNT(DC41)=1,DC41,"")</f>
        <v/>
      </c>
      <c r="DD11" s="11">
        <f>DD41</f>
        <v/>
      </c>
      <c r="DE11" s="11">
        <f>DE41</f>
        <v/>
      </c>
      <c r="DF11" s="10">
        <f>IF(COUNT(DF41)=1,DF41,"")</f>
        <v/>
      </c>
      <c r="DG11" s="10">
        <f>DG41</f>
        <v/>
      </c>
      <c r="DH11" s="10">
        <f>DH41</f>
        <v/>
      </c>
      <c r="DI11" s="11">
        <f>IF(COUNT(DI41)=1,DI41,"")</f>
        <v/>
      </c>
      <c r="DJ11" s="11">
        <f>DJ41</f>
        <v/>
      </c>
      <c r="DK11" s="11">
        <f>DK41</f>
        <v/>
      </c>
      <c r="DL11" s="10">
        <f>IF(COUNT(DL41)=1,DL41,"")</f>
        <v/>
      </c>
      <c r="DM11" s="10">
        <f>DM41</f>
        <v/>
      </c>
      <c r="DN11" s="10">
        <f>DN41</f>
        <v/>
      </c>
    </row>
    <row r="12">
      <c r="A12" s="2" t="inlineStr">
        <is>
          <t>Bonuses</t>
        </is>
      </c>
      <c r="B12" s="10">
        <f>IF(COUNT(AR12,AO12,AL12,AI12,AF12,AC12,Z12,W12,T12,Q12,N12,K12)=0,"",SUM(AR12,AO12,AL12,AI12,AF12,AC12,Z12,W12,T12,Q12,N12,K12))</f>
        <v/>
      </c>
      <c r="C12" s="10">
        <f>IF(COUNT(AS12,AP12,AM12,AJ12,AG12,AD12,AA12,X12,U12,R12,O12,L12)=0,"",SUM(AS12,AP12,AM12,AJ12,AG12,AD12,AA12,X12,U12,R12,O12,L12))</f>
        <v/>
      </c>
      <c r="D12" s="10">
        <f>IF(COUNT(AT12,AQ12,AN12,AK12,AH12,AE12,AB12,Y12,V12,S12,P12,M12)=0,"",SUM(AT12,AQ12,AN12,AK12,AH12,AE12,AB12,Y12,V12,S12,P12,M12))</f>
        <v/>
      </c>
      <c r="E12" s="11">
        <f>IF(COUNT(CB12,BY12,BV12,BS12,BP12,BM12,BJ12,BG12,BD12,BA12,AX12,AU12)=0,"",SUM(CB12,BY12,BV12,BS12,BP12,BM12,BJ12,BG12,BD12,BA12,AX12,AU12))</f>
        <v/>
      </c>
      <c r="F12" s="11">
        <f>IF(COUNT(CC12,BZ12,BW12,BT12,BQ12,BN12,BK12,BH12,BE12,BB12,AY12,AV12)=0,"",SUM(CC12,BZ12,BW12,BT12,BQ12,BN12,BK12,BH12,BE12,BB12,AY12,AV12))</f>
        <v/>
      </c>
      <c r="G12" s="11">
        <f>IF(COUNT(CD12,CA12,BX12,BU12,BR12,BO12,BL12,BI12,BF12,BC12,AZ12,AW12)=0,"",SUM(CD12,CA12,BX12,BU12,BR12,BO12,BL12,BI12,BF12,BC12,AZ12,AW12))</f>
        <v/>
      </c>
      <c r="H12" s="10">
        <f>IF(COUNT(DL12,DI12,DF12,DC12,CZ12,CW12,CT12,CQ12,CN12,CK12,CH12,CE12)=0,"",SUM(DL12,DI12,DF12,DC12,CZ12,CW12,CT12,CQ12,CN12,CK12,CH12,CE12))</f>
        <v/>
      </c>
      <c r="I12" s="10">
        <f>IF(COUNT(DM12,DJ12,DG12,DD12,DA12,CX12,CU12,CR12,CO12,CL12,CI12,CF12)=0,"",SUM(DM12,DJ12,DG12,DD12,DA12,CX12,CU12,CR12,CO12,CL12,CI12,CF12))</f>
        <v/>
      </c>
      <c r="J12" s="10">
        <f>IF(COUNT(DN12,DK12,DH12,DE12,DB12,CY12,CV12,CS12,CP12,CM12,CJ12,CG12)=0,"",SUM(DN12,DK12,DH12,DE12,DB12,CY12,CV12,CS12,CP12,CM12,CJ12,CG12))</f>
        <v/>
      </c>
      <c r="K12" s="11" t="n"/>
      <c r="L12" s="11" t="n">
        <v>2000</v>
      </c>
      <c r="M12" s="11" t="n">
        <v>2000</v>
      </c>
      <c r="N12" s="10" t="n"/>
      <c r="O12" s="10" t="n">
        <v>2000</v>
      </c>
      <c r="P12" s="10" t="n">
        <v>2000</v>
      </c>
      <c r="Q12" s="11" t="n"/>
      <c r="R12" s="11" t="n">
        <v>2000</v>
      </c>
      <c r="S12" s="11" t="n">
        <v>2000</v>
      </c>
      <c r="T12" s="10" t="n"/>
      <c r="U12" s="10" t="n">
        <v>2000</v>
      </c>
      <c r="V12" s="10" t="n">
        <v>2000</v>
      </c>
      <c r="W12" s="11" t="n"/>
      <c r="X12" s="11" t="n">
        <v>2000</v>
      </c>
      <c r="Y12" s="11" t="n">
        <v>2000</v>
      </c>
      <c r="Z12" s="10" t="n"/>
      <c r="AA12" s="10" t="n">
        <v>2000</v>
      </c>
      <c r="AB12" s="10" t="n">
        <v>2000</v>
      </c>
      <c r="AC12" s="11" t="n"/>
      <c r="AD12" s="11" t="n">
        <v>2000</v>
      </c>
      <c r="AE12" s="11" t="n">
        <v>2000</v>
      </c>
      <c r="AF12" s="10" t="n"/>
      <c r="AG12" s="10" t="n">
        <v>2000</v>
      </c>
      <c r="AH12" s="10" t="n">
        <v>2000</v>
      </c>
      <c r="AI12" s="11" t="n"/>
      <c r="AJ12" s="11" t="n">
        <v>2000</v>
      </c>
      <c r="AK12" s="11" t="n">
        <v>2000</v>
      </c>
      <c r="AL12" s="10" t="n"/>
      <c r="AM12" s="10" t="n">
        <v>2000</v>
      </c>
      <c r="AN12" s="10" t="n">
        <v>2000</v>
      </c>
      <c r="AO12" s="11" t="n"/>
      <c r="AP12" s="11" t="n">
        <v>2000</v>
      </c>
      <c r="AQ12" s="11" t="n">
        <v>2000</v>
      </c>
      <c r="AR12" s="10" t="n"/>
      <c r="AS12" s="10" t="n">
        <v>2000</v>
      </c>
      <c r="AT12" s="10" t="n">
        <v>2000</v>
      </c>
      <c r="AU12" s="11" t="n"/>
      <c r="AV12" s="11" t="n">
        <v>2000</v>
      </c>
      <c r="AW12" s="11" t="n">
        <v>2000</v>
      </c>
      <c r="AX12" s="10" t="n"/>
      <c r="AY12" s="10" t="n">
        <v>2000</v>
      </c>
      <c r="AZ12" s="10" t="n">
        <v>2000</v>
      </c>
      <c r="BA12" s="11" t="n"/>
      <c r="BB12" s="11" t="n">
        <v>2000</v>
      </c>
      <c r="BC12" s="11" t="n">
        <v>2000</v>
      </c>
      <c r="BD12" s="10" t="n"/>
      <c r="BE12" s="10" t="n">
        <v>2000</v>
      </c>
      <c r="BF12" s="10" t="n">
        <v>2000</v>
      </c>
      <c r="BG12" s="11" t="n"/>
      <c r="BH12" s="11" t="n">
        <v>2000</v>
      </c>
      <c r="BI12" s="11" t="n">
        <v>2000</v>
      </c>
      <c r="BJ12" s="10" t="n"/>
      <c r="BK12" s="10" t="n">
        <v>2000</v>
      </c>
      <c r="BL12" s="10" t="n">
        <v>2000</v>
      </c>
      <c r="BM12" s="11" t="n"/>
      <c r="BN12" s="11" t="n">
        <v>2000</v>
      </c>
      <c r="BO12" s="11" t="n">
        <v>2000</v>
      </c>
      <c r="BP12" s="10" t="n"/>
      <c r="BQ12" s="10" t="n">
        <v>2000</v>
      </c>
      <c r="BR12" s="10" t="n">
        <v>2000</v>
      </c>
      <c r="BS12" s="11" t="n"/>
      <c r="BT12" s="11" t="n">
        <v>2000</v>
      </c>
      <c r="BU12" s="11" t="n">
        <v>2000</v>
      </c>
      <c r="BV12" s="10" t="n"/>
      <c r="BW12" s="10" t="n">
        <v>2000</v>
      </c>
      <c r="BX12" s="10" t="n">
        <v>2000</v>
      </c>
      <c r="BY12" s="11" t="n"/>
      <c r="BZ12" s="11" t="n">
        <v>2000</v>
      </c>
      <c r="CA12" s="11" t="n">
        <v>2000</v>
      </c>
      <c r="CB12" s="10" t="n"/>
      <c r="CC12" s="10" t="n">
        <v>2000</v>
      </c>
      <c r="CD12" s="10" t="n">
        <v>2000</v>
      </c>
      <c r="CE12" s="11" t="n"/>
      <c r="CF12" s="11" t="n">
        <v>2000</v>
      </c>
      <c r="CG12" s="11" t="n">
        <v>2000</v>
      </c>
      <c r="CH12" s="10" t="n"/>
      <c r="CI12" s="10" t="n">
        <v>2000</v>
      </c>
      <c r="CJ12" s="10" t="n">
        <v>2000</v>
      </c>
      <c r="CK12" s="11" t="n"/>
      <c r="CL12" s="11" t="n">
        <v>2000</v>
      </c>
      <c r="CM12" s="11" t="n">
        <v>2000</v>
      </c>
      <c r="CN12" s="10" t="n"/>
      <c r="CO12" s="10" t="n">
        <v>2000</v>
      </c>
      <c r="CP12" s="10" t="n">
        <v>2000</v>
      </c>
      <c r="CQ12" s="11" t="n"/>
      <c r="CR12" s="11" t="n">
        <v>2000</v>
      </c>
      <c r="CS12" s="11" t="n">
        <v>2000</v>
      </c>
      <c r="CT12" s="10" t="n"/>
      <c r="CU12" s="10" t="n">
        <v>2000</v>
      </c>
      <c r="CV12" s="10" t="n">
        <v>2000</v>
      </c>
      <c r="CW12" s="11" t="n"/>
      <c r="CX12" s="11" t="n">
        <v>2000</v>
      </c>
      <c r="CY12" s="11" t="n">
        <v>2000</v>
      </c>
      <c r="CZ12" s="10" t="n"/>
      <c r="DA12" s="10" t="n">
        <v>2000</v>
      </c>
      <c r="DB12" s="10" t="n">
        <v>2000</v>
      </c>
      <c r="DC12" s="11" t="n"/>
      <c r="DD12" s="11" t="n">
        <v>2000</v>
      </c>
      <c r="DE12" s="11" t="n">
        <v>2000</v>
      </c>
      <c r="DF12" s="10" t="n"/>
      <c r="DG12" s="10" t="n">
        <v>2000</v>
      </c>
      <c r="DH12" s="10" t="n">
        <v>2000</v>
      </c>
      <c r="DI12" s="11" t="n">
        <v>2000</v>
      </c>
      <c r="DJ12" s="11" t="n">
        <v>2000</v>
      </c>
      <c r="DK12" s="11" t="n">
        <v>2000</v>
      </c>
      <c r="DL12" s="10" t="n">
        <v>2000</v>
      </c>
      <c r="DM12" s="10" t="n">
        <v>2000</v>
      </c>
      <c r="DN12" s="10" t="n">
        <v>2000</v>
      </c>
    </row>
    <row r="13">
      <c r="A13" s="2" t="inlineStr">
        <is>
          <t>Payroll Taxes and Benefits</t>
        </is>
      </c>
      <c r="B13" s="10">
        <f>IF(COUNT(AR13,AO13,AL13,AI13,AF13,AC13,Z13,W13,T13,Q13,N13,K13)=0,"",SUM(AR13,AO13,AL13,AI13,AF13,AC13,Z13,W13,T13,Q13,N13,K13))</f>
        <v/>
      </c>
      <c r="C13" s="10">
        <f>IF(COUNT(AS13,AP13,AM13,AJ13,AG13,AD13,AA13,X13,U13,R13,O13,L13)=0,"",SUM(AS13,AP13,AM13,AJ13,AG13,AD13,AA13,X13,U13,R13,O13,L13))</f>
        <v/>
      </c>
      <c r="D13" s="10">
        <f>IF(COUNT(AT13,AQ13,AN13,AK13,AH13,AE13,AB13,Y13,V13,S13,P13,M13)=0,"",SUM(AT13,AQ13,AN13,AK13,AH13,AE13,AB13,Y13,V13,S13,P13,M13))</f>
        <v/>
      </c>
      <c r="E13" s="11">
        <f>IF(COUNT(CB13,BY13,BV13,BS13,BP13,BM13,BJ13,BG13,BD13,BA13,AX13,AU13)=0,"",SUM(CB13,BY13,BV13,BS13,BP13,BM13,BJ13,BG13,BD13,BA13,AX13,AU13))</f>
        <v/>
      </c>
      <c r="F13" s="11">
        <f>IF(COUNT(CC13,BZ13,BW13,BT13,BQ13,BN13,BK13,BH13,BE13,BB13,AY13,AV13)=0,"",SUM(CC13,BZ13,BW13,BT13,BQ13,BN13,BK13,BH13,BE13,BB13,AY13,AV13))</f>
        <v/>
      </c>
      <c r="G13" s="11">
        <f>IF(COUNT(CD13,CA13,BX13,BU13,BR13,BO13,BL13,BI13,BF13,BC13,AZ13,AW13)=0,"",SUM(CD13,CA13,BX13,BU13,BR13,BO13,BL13,BI13,BF13,BC13,AZ13,AW13))</f>
        <v/>
      </c>
      <c r="H13" s="10">
        <f>IF(COUNT(DL13,DI13,DF13,DC13,CZ13,CW13,CT13,CQ13,CN13,CK13,CH13,CE13)=0,"",SUM(DL13,DI13,DF13,DC13,CZ13,CW13,CT13,CQ13,CN13,CK13,CH13,CE13))</f>
        <v/>
      </c>
      <c r="I13" s="10">
        <f>IF(COUNT(DM13,DJ13,DG13,DD13,DA13,CX13,CU13,CR13,CO13,CL13,CI13,CF13)=0,"",SUM(DM13,DJ13,DG13,DD13,DA13,CX13,CU13,CR13,CO13,CL13,CI13,CF13))</f>
        <v/>
      </c>
      <c r="J13" s="10">
        <f>IF(COUNT(DN13,DK13,DH13,DE13,DB13,CY13,CV13,CS13,CP13,CM13,CJ13,CG13)=0,"",SUM(DN13,DK13,DH13,DE13,DB13,CY13,CV13,CS13,CP13,CM13,CJ13,CG13))</f>
        <v/>
      </c>
      <c r="K13" s="11">
        <f>IF(COUNT(K11)=1,K11*0.22,"")</f>
        <v/>
      </c>
      <c r="L13" s="11">
        <f>L11*0.22</f>
        <v/>
      </c>
      <c r="M13" s="11">
        <f>M11*0.22</f>
        <v/>
      </c>
      <c r="N13" s="10">
        <f>IF(COUNT(N11)=1,N11*0.22,"")</f>
        <v/>
      </c>
      <c r="O13" s="10">
        <f>O11*0.22</f>
        <v/>
      </c>
      <c r="P13" s="10">
        <f>P11*0.22</f>
        <v/>
      </c>
      <c r="Q13" s="11">
        <f>IF(COUNT(Q11)=1,Q11*0.22,"")</f>
        <v/>
      </c>
      <c r="R13" s="11">
        <f>R11*0.22</f>
        <v/>
      </c>
      <c r="S13" s="11">
        <f>S11*0.22</f>
        <v/>
      </c>
      <c r="T13" s="10">
        <f>IF(COUNT(T11)=1,T11*0.22,"")</f>
        <v/>
      </c>
      <c r="U13" s="10">
        <f>U11*0.22</f>
        <v/>
      </c>
      <c r="V13" s="10">
        <f>V11*0.22</f>
        <v/>
      </c>
      <c r="W13" s="11">
        <f>IF(COUNT(W11)=1,W11*0.22,"")</f>
        <v/>
      </c>
      <c r="X13" s="11">
        <f>X11*0.22</f>
        <v/>
      </c>
      <c r="Y13" s="11">
        <f>Y11*0.22</f>
        <v/>
      </c>
      <c r="Z13" s="10">
        <f>IF(COUNT(Z11)=1,Z11*0.22,"")</f>
        <v/>
      </c>
      <c r="AA13" s="10">
        <f>AA11*0.22</f>
        <v/>
      </c>
      <c r="AB13" s="10">
        <f>AB11*0.22</f>
        <v/>
      </c>
      <c r="AC13" s="11">
        <f>IF(COUNT(AC11)=1,AC11*0.22,"")</f>
        <v/>
      </c>
      <c r="AD13" s="11">
        <f>AD11*0.22</f>
        <v/>
      </c>
      <c r="AE13" s="11">
        <f>AE11*0.22</f>
        <v/>
      </c>
      <c r="AF13" s="10">
        <f>IF(COUNT(AF11)=1,AF11*0.22,"")</f>
        <v/>
      </c>
      <c r="AG13" s="10">
        <f>AG11*0.22</f>
        <v/>
      </c>
      <c r="AH13" s="10">
        <f>AH11*0.22</f>
        <v/>
      </c>
      <c r="AI13" s="11">
        <f>IF(COUNT(AI11)=1,AI11*0.22,"")</f>
        <v/>
      </c>
      <c r="AJ13" s="11">
        <f>AJ11*0.22</f>
        <v/>
      </c>
      <c r="AK13" s="11">
        <f>AK11*0.22</f>
        <v/>
      </c>
      <c r="AL13" s="10">
        <f>IF(COUNT(AL11)=1,AL11*0.22,"")</f>
        <v/>
      </c>
      <c r="AM13" s="10">
        <f>AM11*0.22</f>
        <v/>
      </c>
      <c r="AN13" s="10">
        <f>AN11*0.22</f>
        <v/>
      </c>
      <c r="AO13" s="11">
        <f>IF(COUNT(AO11)=1,AO11*0.22,"")</f>
        <v/>
      </c>
      <c r="AP13" s="11">
        <f>AP11*0.22</f>
        <v/>
      </c>
      <c r="AQ13" s="11">
        <f>AQ11*0.22</f>
        <v/>
      </c>
      <c r="AR13" s="10">
        <f>IF(COUNT(AR11)=1,AR11*0.22,"")</f>
        <v/>
      </c>
      <c r="AS13" s="10">
        <f>AS11*0.22</f>
        <v/>
      </c>
      <c r="AT13" s="10">
        <f>AT11*0.22</f>
        <v/>
      </c>
      <c r="AU13" s="11">
        <f>IF(COUNT(AU11)=1,AU11*0.22,"")</f>
        <v/>
      </c>
      <c r="AV13" s="11">
        <f>AV11*0.22</f>
        <v/>
      </c>
      <c r="AW13" s="11">
        <f>AW11*0.22</f>
        <v/>
      </c>
      <c r="AX13" s="10">
        <f>IF(COUNT(AX11)=1,AX11*0.22,"")</f>
        <v/>
      </c>
      <c r="AY13" s="10">
        <f>AY11*0.22</f>
        <v/>
      </c>
      <c r="AZ13" s="10">
        <f>AZ11*0.22</f>
        <v/>
      </c>
      <c r="BA13" s="11">
        <f>IF(COUNT(BA11)=1,BA11*0.22,"")</f>
        <v/>
      </c>
      <c r="BB13" s="11">
        <f>BB11*0.22</f>
        <v/>
      </c>
      <c r="BC13" s="11">
        <f>BC11*0.22</f>
        <v/>
      </c>
      <c r="BD13" s="10">
        <f>IF(COUNT(BD11)=1,BD11*0.22,"")</f>
        <v/>
      </c>
      <c r="BE13" s="10">
        <f>BE11*0.22</f>
        <v/>
      </c>
      <c r="BF13" s="10">
        <f>BF11*0.22</f>
        <v/>
      </c>
      <c r="BG13" s="11">
        <f>IF(COUNT(BG11)=1,BG11*0.22,"")</f>
        <v/>
      </c>
      <c r="BH13" s="11">
        <f>BH11*0.22</f>
        <v/>
      </c>
      <c r="BI13" s="11">
        <f>BI11*0.22</f>
        <v/>
      </c>
      <c r="BJ13" s="10">
        <f>IF(COUNT(BJ11)=1,BJ11*0.22,"")</f>
        <v/>
      </c>
      <c r="BK13" s="10">
        <f>BK11*0.22</f>
        <v/>
      </c>
      <c r="BL13" s="10">
        <f>BL11*0.22</f>
        <v/>
      </c>
      <c r="BM13" s="11">
        <f>IF(COUNT(BM11)=1,BM11*0.22,"")</f>
        <v/>
      </c>
      <c r="BN13" s="11">
        <f>BN11*0.22</f>
        <v/>
      </c>
      <c r="BO13" s="11">
        <f>BO11*0.22</f>
        <v/>
      </c>
      <c r="BP13" s="10">
        <f>IF(COUNT(BP11)=1,BP11*0.22,"")</f>
        <v/>
      </c>
      <c r="BQ13" s="10">
        <f>BQ11*0.22</f>
        <v/>
      </c>
      <c r="BR13" s="10">
        <f>BR11*0.22</f>
        <v/>
      </c>
      <c r="BS13" s="11">
        <f>IF(COUNT(BS11)=1,BS11*0.22,"")</f>
        <v/>
      </c>
      <c r="BT13" s="11">
        <f>BT11*0.22</f>
        <v/>
      </c>
      <c r="BU13" s="11">
        <f>BU11*0.22</f>
        <v/>
      </c>
      <c r="BV13" s="10">
        <f>IF(COUNT(BV11)=1,BV11*0.22,"")</f>
        <v/>
      </c>
      <c r="BW13" s="10">
        <f>BW11*0.22</f>
        <v/>
      </c>
      <c r="BX13" s="10">
        <f>BX11*0.22</f>
        <v/>
      </c>
      <c r="BY13" s="11">
        <f>IF(COUNT(BY11)=1,BY11*0.22,"")</f>
        <v/>
      </c>
      <c r="BZ13" s="11">
        <f>BZ11*0.22</f>
        <v/>
      </c>
      <c r="CA13" s="11">
        <f>CA11*0.22</f>
        <v/>
      </c>
      <c r="CB13" s="10">
        <f>IF(COUNT(CB11)=1,CB11*0.22,"")</f>
        <v/>
      </c>
      <c r="CC13" s="10">
        <f>CC11*0.22</f>
        <v/>
      </c>
      <c r="CD13" s="10">
        <f>CD11*0.22</f>
        <v/>
      </c>
      <c r="CE13" s="11">
        <f>IF(COUNT(CE11)=1,CE11*0.22,"")</f>
        <v/>
      </c>
      <c r="CF13" s="11">
        <f>CF11*0.22</f>
        <v/>
      </c>
      <c r="CG13" s="11">
        <f>CG11*0.22</f>
        <v/>
      </c>
      <c r="CH13" s="10">
        <f>IF(COUNT(CH11)=1,CH11*0.22,"")</f>
        <v/>
      </c>
      <c r="CI13" s="10">
        <f>CI11*0.22</f>
        <v/>
      </c>
      <c r="CJ13" s="10">
        <f>CJ11*0.22</f>
        <v/>
      </c>
      <c r="CK13" s="11">
        <f>IF(COUNT(CK11)=1,CK11*0.22,"")</f>
        <v/>
      </c>
      <c r="CL13" s="11">
        <f>CL11*0.22</f>
        <v/>
      </c>
      <c r="CM13" s="11">
        <f>CM11*0.22</f>
        <v/>
      </c>
      <c r="CN13" s="10">
        <f>IF(COUNT(CN11)=1,CN11*0.22,"")</f>
        <v/>
      </c>
      <c r="CO13" s="10">
        <f>CO11*0.22</f>
        <v/>
      </c>
      <c r="CP13" s="10">
        <f>CP11*0.22</f>
        <v/>
      </c>
      <c r="CQ13" s="11">
        <f>IF(COUNT(CQ11)=1,CQ11*0.22,"")</f>
        <v/>
      </c>
      <c r="CR13" s="11">
        <f>CR11*0.22</f>
        <v/>
      </c>
      <c r="CS13" s="11">
        <f>CS11*0.22</f>
        <v/>
      </c>
      <c r="CT13" s="10">
        <f>IF(COUNT(CT11)=1,CT11*0.22,"")</f>
        <v/>
      </c>
      <c r="CU13" s="10">
        <f>CU11*0.22</f>
        <v/>
      </c>
      <c r="CV13" s="10">
        <f>CV11*0.22</f>
        <v/>
      </c>
      <c r="CW13" s="11">
        <f>IF(COUNT(CW11)=1,CW11*0.22,"")</f>
        <v/>
      </c>
      <c r="CX13" s="11">
        <f>CX11*0.22</f>
        <v/>
      </c>
      <c r="CY13" s="11">
        <f>CY11*0.22</f>
        <v/>
      </c>
      <c r="CZ13" s="10">
        <f>IF(COUNT(CZ11)=1,CZ11*0.22,"")</f>
        <v/>
      </c>
      <c r="DA13" s="10">
        <f>DA11*0.22</f>
        <v/>
      </c>
      <c r="DB13" s="10">
        <f>DB11*0.22</f>
        <v/>
      </c>
      <c r="DC13" s="11">
        <f>IF(COUNT(DC11)=1,DC11*0.22,"")</f>
        <v/>
      </c>
      <c r="DD13" s="11">
        <f>DD11*0.22</f>
        <v/>
      </c>
      <c r="DE13" s="11">
        <f>DE11*0.22</f>
        <v/>
      </c>
      <c r="DF13" s="10">
        <f>IF(COUNT(DF11)=1,DF11*0.22,"")</f>
        <v/>
      </c>
      <c r="DG13" s="10">
        <f>DG11*0.22</f>
        <v/>
      </c>
      <c r="DH13" s="10">
        <f>DH11*0.22</f>
        <v/>
      </c>
      <c r="DI13" s="11">
        <f>IF(COUNT(DI11)=1,DI11*0.22,"")</f>
        <v/>
      </c>
      <c r="DJ13" s="11">
        <f>DJ11*0.22</f>
        <v/>
      </c>
      <c r="DK13" s="11">
        <f>DK11*0.22</f>
        <v/>
      </c>
      <c r="DL13" s="10">
        <f>IF(COUNT(DL11)=1,DL11*0.22,"")</f>
        <v/>
      </c>
      <c r="DM13" s="10">
        <f>DM11*0.22</f>
        <v/>
      </c>
      <c r="DN13" s="10">
        <f>DN11*0.22</f>
        <v/>
      </c>
    </row>
    <row r="14">
      <c r="A14" s="2" t="inlineStr">
        <is>
          <t>Contractors and Freelancers</t>
        </is>
      </c>
      <c r="B14" s="10">
        <f>IF(COUNT(AR14,AO14,AL14,AI14,AF14,AC14,Z14,W14,T14,Q14,N14,K14)=0,"",SUM(AR14,AO14,AL14,AI14,AF14,AC14,Z14,W14,T14,Q14,N14,K14))</f>
        <v/>
      </c>
      <c r="C14" s="10">
        <f>IF(COUNT(AS14,AP14,AM14,AJ14,AG14,AD14,AA14,X14,U14,R14,O14,L14)=0,"",SUM(AS14,AP14,AM14,AJ14,AG14,AD14,AA14,X14,U14,R14,O14,L14))</f>
        <v/>
      </c>
      <c r="D14" s="10">
        <f>IF(COUNT(AT14,AQ14,AN14,AK14,AH14,AE14,AB14,Y14,V14,S14,P14,M14)=0,"",SUM(AT14,AQ14,AN14,AK14,AH14,AE14,AB14,Y14,V14,S14,P14,M14))</f>
        <v/>
      </c>
      <c r="E14" s="11">
        <f>IF(COUNT(CB14,BY14,BV14,BS14,BP14,BM14,BJ14,BG14,BD14,BA14,AX14,AU14)=0,"",SUM(CB14,BY14,BV14,BS14,BP14,BM14,BJ14,BG14,BD14,BA14,AX14,AU14))</f>
        <v/>
      </c>
      <c r="F14" s="11">
        <f>IF(COUNT(CC14,BZ14,BW14,BT14,BQ14,BN14,BK14,BH14,BE14,BB14,AY14,AV14)=0,"",SUM(CC14,BZ14,BW14,BT14,BQ14,BN14,BK14,BH14,BE14,BB14,AY14,AV14))</f>
        <v/>
      </c>
      <c r="G14" s="11">
        <f>IF(COUNT(CD14,CA14,BX14,BU14,BR14,BO14,BL14,BI14,BF14,BC14,AZ14,AW14)=0,"",SUM(CD14,CA14,BX14,BU14,BR14,BO14,BL14,BI14,BF14,BC14,AZ14,AW14))</f>
        <v/>
      </c>
      <c r="H14" s="10">
        <f>IF(COUNT(DL14,DI14,DF14,DC14,CZ14,CW14,CT14,CQ14,CN14,CK14,CH14,CE14)=0,"",SUM(DL14,DI14,DF14,DC14,CZ14,CW14,CT14,CQ14,CN14,CK14,CH14,CE14))</f>
        <v/>
      </c>
      <c r="I14" s="10">
        <f>IF(COUNT(DM14,DJ14,DG14,DD14,DA14,CX14,CU14,CR14,CO14,CL14,CI14,CF14)=0,"",SUM(DM14,DJ14,DG14,DD14,DA14,CX14,CU14,CR14,CO14,CL14,CI14,CF14))</f>
        <v/>
      </c>
      <c r="J14" s="10">
        <f>IF(COUNT(DN14,DK14,DH14,DE14,DB14,CY14,CV14,CS14,CP14,CM14,CJ14,CG14)=0,"",SUM(DN14,DK14,DH14,DE14,DB14,CY14,CV14,CS14,CP14,CM14,CJ14,CG14))</f>
        <v/>
      </c>
      <c r="K14" s="11" t="n"/>
      <c r="L14" s="11" t="n">
        <v>3000</v>
      </c>
      <c r="M14" s="11" t="n">
        <v>3000</v>
      </c>
      <c r="N14" s="10" t="n"/>
      <c r="O14" s="10" t="n">
        <v>3000</v>
      </c>
      <c r="P14" s="10" t="n">
        <v>3000</v>
      </c>
      <c r="Q14" s="11" t="n"/>
      <c r="R14" s="11" t="n">
        <v>3000</v>
      </c>
      <c r="S14" s="11" t="n">
        <v>3000</v>
      </c>
      <c r="T14" s="10" t="n"/>
      <c r="U14" s="10" t="n">
        <v>3000</v>
      </c>
      <c r="V14" s="10" t="n">
        <v>3000</v>
      </c>
      <c r="W14" s="11" t="n"/>
      <c r="X14" s="11" t="n">
        <v>3000</v>
      </c>
      <c r="Y14" s="11" t="n">
        <v>3000</v>
      </c>
      <c r="Z14" s="10" t="n"/>
      <c r="AA14" s="10" t="n">
        <v>3000</v>
      </c>
      <c r="AB14" s="10" t="n">
        <v>3000</v>
      </c>
      <c r="AC14" s="11" t="n"/>
      <c r="AD14" s="11" t="n">
        <v>3000</v>
      </c>
      <c r="AE14" s="11" t="n">
        <v>3000</v>
      </c>
      <c r="AF14" s="10" t="n"/>
      <c r="AG14" s="10" t="n">
        <v>3000</v>
      </c>
      <c r="AH14" s="10" t="n">
        <v>3000</v>
      </c>
      <c r="AI14" s="11" t="n"/>
      <c r="AJ14" s="11" t="n">
        <v>3000</v>
      </c>
      <c r="AK14" s="11" t="n">
        <v>3000</v>
      </c>
      <c r="AL14" s="10" t="n"/>
      <c r="AM14" s="10" t="n">
        <v>3000</v>
      </c>
      <c r="AN14" s="10" t="n">
        <v>3000</v>
      </c>
      <c r="AO14" s="11" t="n"/>
      <c r="AP14" s="11" t="n">
        <v>3000</v>
      </c>
      <c r="AQ14" s="11" t="n">
        <v>3000</v>
      </c>
      <c r="AR14" s="10" t="n"/>
      <c r="AS14" s="10" t="n">
        <v>3000</v>
      </c>
      <c r="AT14" s="10" t="n">
        <v>3000</v>
      </c>
      <c r="AU14" s="11" t="n"/>
      <c r="AV14" s="11" t="n">
        <v>3000</v>
      </c>
      <c r="AW14" s="11" t="n">
        <v>3000</v>
      </c>
      <c r="AX14" s="10" t="n"/>
      <c r="AY14" s="10" t="n">
        <v>3000</v>
      </c>
      <c r="AZ14" s="10" t="n">
        <v>3000</v>
      </c>
      <c r="BA14" s="11" t="n"/>
      <c r="BB14" s="11" t="n">
        <v>3000</v>
      </c>
      <c r="BC14" s="11" t="n">
        <v>3000</v>
      </c>
      <c r="BD14" s="10" t="n"/>
      <c r="BE14" s="10" t="n">
        <v>3000</v>
      </c>
      <c r="BF14" s="10" t="n">
        <v>3000</v>
      </c>
      <c r="BG14" s="11" t="n"/>
      <c r="BH14" s="11" t="n">
        <v>3000</v>
      </c>
      <c r="BI14" s="11" t="n">
        <v>3000</v>
      </c>
      <c r="BJ14" s="10" t="n"/>
      <c r="BK14" s="10" t="n">
        <v>3000</v>
      </c>
      <c r="BL14" s="10" t="n">
        <v>3000</v>
      </c>
      <c r="BM14" s="11" t="n"/>
      <c r="BN14" s="11" t="n">
        <v>3000</v>
      </c>
      <c r="BO14" s="11" t="n">
        <v>3000</v>
      </c>
      <c r="BP14" s="10" t="n"/>
      <c r="BQ14" s="10" t="n">
        <v>3000</v>
      </c>
      <c r="BR14" s="10" t="n">
        <v>3000</v>
      </c>
      <c r="BS14" s="11" t="n"/>
      <c r="BT14" s="11" t="n">
        <v>3000</v>
      </c>
      <c r="BU14" s="11" t="n">
        <v>3000</v>
      </c>
      <c r="BV14" s="10" t="n"/>
      <c r="BW14" s="10" t="n">
        <v>3000</v>
      </c>
      <c r="BX14" s="10" t="n">
        <v>3000</v>
      </c>
      <c r="BY14" s="11" t="n"/>
      <c r="BZ14" s="11" t="n">
        <v>3000</v>
      </c>
      <c r="CA14" s="11" t="n">
        <v>3000</v>
      </c>
      <c r="CB14" s="10" t="n"/>
      <c r="CC14" s="10" t="n">
        <v>3000</v>
      </c>
      <c r="CD14" s="10" t="n">
        <v>3000</v>
      </c>
      <c r="CE14" s="11" t="n"/>
      <c r="CF14" s="11" t="n">
        <v>3000</v>
      </c>
      <c r="CG14" s="11" t="n">
        <v>3000</v>
      </c>
      <c r="CH14" s="10" t="n"/>
      <c r="CI14" s="10" t="n">
        <v>3000</v>
      </c>
      <c r="CJ14" s="10" t="n">
        <v>3000</v>
      </c>
      <c r="CK14" s="11" t="n"/>
      <c r="CL14" s="11" t="n">
        <v>3000</v>
      </c>
      <c r="CM14" s="11" t="n">
        <v>3000</v>
      </c>
      <c r="CN14" s="10" t="n"/>
      <c r="CO14" s="10" t="n">
        <v>3000</v>
      </c>
      <c r="CP14" s="10" t="n">
        <v>3000</v>
      </c>
      <c r="CQ14" s="11" t="n"/>
      <c r="CR14" s="11" t="n">
        <v>3000</v>
      </c>
      <c r="CS14" s="11" t="n">
        <v>3000</v>
      </c>
      <c r="CT14" s="10" t="n"/>
      <c r="CU14" s="10" t="n">
        <v>3000</v>
      </c>
      <c r="CV14" s="10" t="n">
        <v>3000</v>
      </c>
      <c r="CW14" s="11" t="n"/>
      <c r="CX14" s="11" t="n">
        <v>3000</v>
      </c>
      <c r="CY14" s="11" t="n">
        <v>3000</v>
      </c>
      <c r="CZ14" s="10" t="n"/>
      <c r="DA14" s="10" t="n">
        <v>3000</v>
      </c>
      <c r="DB14" s="10" t="n">
        <v>3000</v>
      </c>
      <c r="DC14" s="11" t="n"/>
      <c r="DD14" s="11" t="n">
        <v>3000</v>
      </c>
      <c r="DE14" s="11" t="n">
        <v>3000</v>
      </c>
      <c r="DF14" s="10" t="n"/>
      <c r="DG14" s="10" t="n">
        <v>3000</v>
      </c>
      <c r="DH14" s="10" t="n">
        <v>3000</v>
      </c>
      <c r="DI14" s="11" t="n">
        <v>3000</v>
      </c>
      <c r="DJ14" s="11" t="n">
        <v>3000</v>
      </c>
      <c r="DK14" s="11" t="n">
        <v>3000</v>
      </c>
      <c r="DL14" s="10" t="n">
        <v>3000</v>
      </c>
      <c r="DM14" s="10" t="n">
        <v>3000</v>
      </c>
      <c r="DN14" s="10" t="n">
        <v>3000</v>
      </c>
    </row>
    <row r="15">
      <c r="A15" s="2" t="inlineStr">
        <is>
          <t>Recruiting</t>
        </is>
      </c>
      <c r="B15" s="10">
        <f>IF(COUNT(AR15,AO15,AL15,AI15,AF15,AC15,Z15,W15,T15,Q15,N15,K15)=0,"",SUM(AR15,AO15,AL15,AI15,AF15,AC15,Z15,W15,T15,Q15,N15,K15))</f>
        <v/>
      </c>
      <c r="C15" s="10">
        <f>IF(COUNT(AS15,AP15,AM15,AJ15,AG15,AD15,AA15,X15,U15,R15,O15,L15)=0,"",SUM(AS15,AP15,AM15,AJ15,AG15,AD15,AA15,X15,U15,R15,O15,L15))</f>
        <v/>
      </c>
      <c r="D15" s="10">
        <f>IF(COUNT(AT15,AQ15,AN15,AK15,AH15,AE15,AB15,Y15,V15,S15,P15,M15)=0,"",SUM(AT15,AQ15,AN15,AK15,AH15,AE15,AB15,Y15,V15,S15,P15,M15))</f>
        <v/>
      </c>
      <c r="E15" s="11">
        <f>IF(COUNT(CB15,BY15,BV15,BS15,BP15,BM15,BJ15,BG15,BD15,BA15,AX15,AU15)=0,"",SUM(CB15,BY15,BV15,BS15,BP15,BM15,BJ15,BG15,BD15,BA15,AX15,AU15))</f>
        <v/>
      </c>
      <c r="F15" s="11">
        <f>IF(COUNT(CC15,BZ15,BW15,BT15,BQ15,BN15,BK15,BH15,BE15,BB15,AY15,AV15)=0,"",SUM(CC15,BZ15,BW15,BT15,BQ15,BN15,BK15,BH15,BE15,BB15,AY15,AV15))</f>
        <v/>
      </c>
      <c r="G15" s="11">
        <f>IF(COUNT(CD15,CA15,BX15,BU15,BR15,BO15,BL15,BI15,BF15,BC15,AZ15,AW15)=0,"",SUM(CD15,CA15,BX15,BU15,BR15,BO15,BL15,BI15,BF15,BC15,AZ15,AW15))</f>
        <v/>
      </c>
      <c r="H15" s="10">
        <f>IF(COUNT(DL15,DI15,DF15,DC15,CZ15,CW15,CT15,CQ15,CN15,CK15,CH15,CE15)=0,"",SUM(DL15,DI15,DF15,DC15,CZ15,CW15,CT15,CQ15,CN15,CK15,CH15,CE15))</f>
        <v/>
      </c>
      <c r="I15" s="10">
        <f>IF(COUNT(DM15,DJ15,DG15,DD15,DA15,CX15,CU15,CR15,CO15,CL15,CI15,CF15)=0,"",SUM(DM15,DJ15,DG15,DD15,DA15,CX15,CU15,CR15,CO15,CL15,CI15,CF15))</f>
        <v/>
      </c>
      <c r="J15" s="10">
        <f>IF(COUNT(DN15,DK15,DH15,DE15,DB15,CY15,CV15,CS15,CP15,CM15,CJ15,CG15)=0,"",SUM(DN15,DK15,DH15,DE15,DB15,CY15,CV15,CS15,CP15,CM15,CJ15,CG15))</f>
        <v/>
      </c>
      <c r="K15" s="11" t="n"/>
      <c r="L15" s="11" t="n">
        <v>500</v>
      </c>
      <c r="M15" s="11" t="n">
        <v>500</v>
      </c>
      <c r="N15" s="10" t="n"/>
      <c r="O15" s="10" t="n">
        <v>500</v>
      </c>
      <c r="P15" s="10" t="n">
        <v>500</v>
      </c>
      <c r="Q15" s="11" t="n"/>
      <c r="R15" s="11" t="n">
        <v>500</v>
      </c>
      <c r="S15" s="11" t="n">
        <v>500</v>
      </c>
      <c r="T15" s="10" t="n"/>
      <c r="U15" s="10" t="n">
        <v>500</v>
      </c>
      <c r="V15" s="10" t="n">
        <v>500</v>
      </c>
      <c r="W15" s="11" t="n"/>
      <c r="X15" s="11" t="n">
        <v>500</v>
      </c>
      <c r="Y15" s="11" t="n">
        <v>500</v>
      </c>
      <c r="Z15" s="10" t="n"/>
      <c r="AA15" s="10" t="n">
        <v>500</v>
      </c>
      <c r="AB15" s="10" t="n">
        <v>500</v>
      </c>
      <c r="AC15" s="11" t="n"/>
      <c r="AD15" s="11" t="n">
        <v>500</v>
      </c>
      <c r="AE15" s="11" t="n">
        <v>500</v>
      </c>
      <c r="AF15" s="10" t="n"/>
      <c r="AG15" s="10" t="n">
        <v>500</v>
      </c>
      <c r="AH15" s="10" t="n">
        <v>500</v>
      </c>
      <c r="AI15" s="11" t="n"/>
      <c r="AJ15" s="11" t="n">
        <v>500</v>
      </c>
      <c r="AK15" s="11" t="n">
        <v>500</v>
      </c>
      <c r="AL15" s="10" t="n"/>
      <c r="AM15" s="10" t="n">
        <v>500</v>
      </c>
      <c r="AN15" s="10" t="n">
        <v>500</v>
      </c>
      <c r="AO15" s="11" t="n"/>
      <c r="AP15" s="11" t="n">
        <v>500</v>
      </c>
      <c r="AQ15" s="11" t="n">
        <v>500</v>
      </c>
      <c r="AR15" s="10" t="n"/>
      <c r="AS15" s="10" t="n">
        <v>500</v>
      </c>
      <c r="AT15" s="10" t="n">
        <v>500</v>
      </c>
      <c r="AU15" s="11" t="n"/>
      <c r="AV15" s="11" t="n">
        <v>500</v>
      </c>
      <c r="AW15" s="11" t="n">
        <v>500</v>
      </c>
      <c r="AX15" s="10" t="n"/>
      <c r="AY15" s="10" t="n">
        <v>500</v>
      </c>
      <c r="AZ15" s="10" t="n">
        <v>500</v>
      </c>
      <c r="BA15" s="11" t="n"/>
      <c r="BB15" s="11" t="n">
        <v>500</v>
      </c>
      <c r="BC15" s="11" t="n">
        <v>500</v>
      </c>
      <c r="BD15" s="10" t="n"/>
      <c r="BE15" s="10" t="n">
        <v>500</v>
      </c>
      <c r="BF15" s="10" t="n">
        <v>500</v>
      </c>
      <c r="BG15" s="11" t="n"/>
      <c r="BH15" s="11" t="n">
        <v>500</v>
      </c>
      <c r="BI15" s="11" t="n">
        <v>500</v>
      </c>
      <c r="BJ15" s="10" t="n"/>
      <c r="BK15" s="10" t="n">
        <v>500</v>
      </c>
      <c r="BL15" s="10" t="n">
        <v>500</v>
      </c>
      <c r="BM15" s="11" t="n"/>
      <c r="BN15" s="11" t="n">
        <v>500</v>
      </c>
      <c r="BO15" s="11" t="n">
        <v>500</v>
      </c>
      <c r="BP15" s="10" t="n"/>
      <c r="BQ15" s="10" t="n">
        <v>500</v>
      </c>
      <c r="BR15" s="10" t="n">
        <v>500</v>
      </c>
      <c r="BS15" s="11" t="n"/>
      <c r="BT15" s="11" t="n">
        <v>500</v>
      </c>
      <c r="BU15" s="11" t="n">
        <v>500</v>
      </c>
      <c r="BV15" s="10" t="n"/>
      <c r="BW15" s="10" t="n">
        <v>500</v>
      </c>
      <c r="BX15" s="10" t="n">
        <v>500</v>
      </c>
      <c r="BY15" s="11" t="n"/>
      <c r="BZ15" s="11" t="n">
        <v>500</v>
      </c>
      <c r="CA15" s="11" t="n">
        <v>500</v>
      </c>
      <c r="CB15" s="10" t="n"/>
      <c r="CC15" s="10" t="n">
        <v>500</v>
      </c>
      <c r="CD15" s="10" t="n">
        <v>500</v>
      </c>
      <c r="CE15" s="11" t="n"/>
      <c r="CF15" s="11" t="n">
        <v>500</v>
      </c>
      <c r="CG15" s="11" t="n">
        <v>500</v>
      </c>
      <c r="CH15" s="10" t="n"/>
      <c r="CI15" s="10" t="n">
        <v>500</v>
      </c>
      <c r="CJ15" s="10" t="n">
        <v>500</v>
      </c>
      <c r="CK15" s="11" t="n"/>
      <c r="CL15" s="11" t="n">
        <v>500</v>
      </c>
      <c r="CM15" s="11" t="n">
        <v>500</v>
      </c>
      <c r="CN15" s="10" t="n"/>
      <c r="CO15" s="10" t="n">
        <v>500</v>
      </c>
      <c r="CP15" s="10" t="n">
        <v>500</v>
      </c>
      <c r="CQ15" s="11" t="n"/>
      <c r="CR15" s="11" t="n">
        <v>500</v>
      </c>
      <c r="CS15" s="11" t="n">
        <v>500</v>
      </c>
      <c r="CT15" s="10" t="n"/>
      <c r="CU15" s="10" t="n">
        <v>500</v>
      </c>
      <c r="CV15" s="10" t="n">
        <v>500</v>
      </c>
      <c r="CW15" s="11" t="n"/>
      <c r="CX15" s="11" t="n">
        <v>500</v>
      </c>
      <c r="CY15" s="11" t="n">
        <v>500</v>
      </c>
      <c r="CZ15" s="10" t="n"/>
      <c r="DA15" s="10" t="n">
        <v>500</v>
      </c>
      <c r="DB15" s="10" t="n">
        <v>500</v>
      </c>
      <c r="DC15" s="11" t="n"/>
      <c r="DD15" s="11" t="n">
        <v>500</v>
      </c>
      <c r="DE15" s="11" t="n">
        <v>500</v>
      </c>
      <c r="DF15" s="10" t="n"/>
      <c r="DG15" s="10" t="n">
        <v>500</v>
      </c>
      <c r="DH15" s="10" t="n">
        <v>500</v>
      </c>
      <c r="DI15" s="11" t="n">
        <v>500</v>
      </c>
      <c r="DJ15" s="11" t="n">
        <v>500</v>
      </c>
      <c r="DK15" s="11" t="n">
        <v>500</v>
      </c>
      <c r="DL15" s="10" t="n">
        <v>500</v>
      </c>
      <c r="DM15" s="10" t="n">
        <v>500</v>
      </c>
      <c r="DN15" s="10" t="n">
        <v>500</v>
      </c>
    </row>
    <row r="16">
      <c r="A16" s="2" t="inlineStr">
        <is>
          <t>Training and Development</t>
        </is>
      </c>
      <c r="B16" s="10">
        <f>IF(COUNT(AR16,AO16,AL16,AI16,AF16,AC16,Z16,W16,T16,Q16,N16,K16)=0,"",SUM(AR16,AO16,AL16,AI16,AF16,AC16,Z16,W16,T16,Q16,N16,K16))</f>
        <v/>
      </c>
      <c r="C16" s="10">
        <f>IF(COUNT(AS16,AP16,AM16,AJ16,AG16,AD16,AA16,X16,U16,R16,O16,L16)=0,"",SUM(AS16,AP16,AM16,AJ16,AG16,AD16,AA16,X16,U16,R16,O16,L16))</f>
        <v/>
      </c>
      <c r="D16" s="10">
        <f>IF(COUNT(AT16,AQ16,AN16,AK16,AH16,AE16,AB16,Y16,V16,S16,P16,M16)=0,"",SUM(AT16,AQ16,AN16,AK16,AH16,AE16,AB16,Y16,V16,S16,P16,M16))</f>
        <v/>
      </c>
      <c r="E16" s="11">
        <f>IF(COUNT(CB16,BY16,BV16,BS16,BP16,BM16,BJ16,BG16,BD16,BA16,AX16,AU16)=0,"",SUM(CB16,BY16,BV16,BS16,BP16,BM16,BJ16,BG16,BD16,BA16,AX16,AU16))</f>
        <v/>
      </c>
      <c r="F16" s="11">
        <f>IF(COUNT(CC16,BZ16,BW16,BT16,BQ16,BN16,BK16,BH16,BE16,BB16,AY16,AV16)=0,"",SUM(CC16,BZ16,BW16,BT16,BQ16,BN16,BK16,BH16,BE16,BB16,AY16,AV16))</f>
        <v/>
      </c>
      <c r="G16" s="11">
        <f>IF(COUNT(CD16,CA16,BX16,BU16,BR16,BO16,BL16,BI16,BF16,BC16,AZ16,AW16)=0,"",SUM(CD16,CA16,BX16,BU16,BR16,BO16,BL16,BI16,BF16,BC16,AZ16,AW16))</f>
        <v/>
      </c>
      <c r="H16" s="10">
        <f>IF(COUNT(DL16,DI16,DF16,DC16,CZ16,CW16,CT16,CQ16,CN16,CK16,CH16,CE16)=0,"",SUM(DL16,DI16,DF16,DC16,CZ16,CW16,CT16,CQ16,CN16,CK16,CH16,CE16))</f>
        <v/>
      </c>
      <c r="I16" s="10">
        <f>IF(COUNT(DM16,DJ16,DG16,DD16,DA16,CX16,CU16,CR16,CO16,CL16,CI16,CF16)=0,"",SUM(DM16,DJ16,DG16,DD16,DA16,CX16,CU16,CR16,CO16,CL16,CI16,CF16))</f>
        <v/>
      </c>
      <c r="J16" s="10">
        <f>IF(COUNT(DN16,DK16,DH16,DE16,DB16,CY16,CV16,CS16,CP16,CM16,CJ16,CG16)=0,"",SUM(DN16,DK16,DH16,DE16,DB16,CY16,CV16,CS16,CP16,CM16,CJ16,CG16))</f>
        <v/>
      </c>
      <c r="K16" s="11" t="n"/>
      <c r="L16" s="11" t="n">
        <v>500</v>
      </c>
      <c r="M16" s="11" t="n">
        <v>500</v>
      </c>
      <c r="N16" s="10" t="n"/>
      <c r="O16" s="10" t="n">
        <v>500</v>
      </c>
      <c r="P16" s="10" t="n">
        <v>500</v>
      </c>
      <c r="Q16" s="11" t="n"/>
      <c r="R16" s="11" t="n">
        <v>500</v>
      </c>
      <c r="S16" s="11" t="n">
        <v>500</v>
      </c>
      <c r="T16" s="10" t="n"/>
      <c r="U16" s="10" t="n">
        <v>500</v>
      </c>
      <c r="V16" s="10" t="n">
        <v>500</v>
      </c>
      <c r="W16" s="11" t="n"/>
      <c r="X16" s="11" t="n">
        <v>500</v>
      </c>
      <c r="Y16" s="11" t="n">
        <v>500</v>
      </c>
      <c r="Z16" s="10" t="n"/>
      <c r="AA16" s="10" t="n">
        <v>500</v>
      </c>
      <c r="AB16" s="10" t="n">
        <v>500</v>
      </c>
      <c r="AC16" s="11" t="n"/>
      <c r="AD16" s="11" t="n">
        <v>500</v>
      </c>
      <c r="AE16" s="11" t="n">
        <v>500</v>
      </c>
      <c r="AF16" s="10" t="n"/>
      <c r="AG16" s="10" t="n">
        <v>500</v>
      </c>
      <c r="AH16" s="10" t="n">
        <v>500</v>
      </c>
      <c r="AI16" s="11" t="n"/>
      <c r="AJ16" s="11" t="n">
        <v>500</v>
      </c>
      <c r="AK16" s="11" t="n">
        <v>500</v>
      </c>
      <c r="AL16" s="10" t="n"/>
      <c r="AM16" s="10" t="n">
        <v>500</v>
      </c>
      <c r="AN16" s="10" t="n">
        <v>500</v>
      </c>
      <c r="AO16" s="11" t="n"/>
      <c r="AP16" s="11" t="n">
        <v>500</v>
      </c>
      <c r="AQ16" s="11" t="n">
        <v>500</v>
      </c>
      <c r="AR16" s="10" t="n"/>
      <c r="AS16" s="10" t="n">
        <v>500</v>
      </c>
      <c r="AT16" s="10" t="n">
        <v>500</v>
      </c>
      <c r="AU16" s="11" t="n"/>
      <c r="AV16" s="11" t="n">
        <v>500</v>
      </c>
      <c r="AW16" s="11" t="n">
        <v>500</v>
      </c>
      <c r="AX16" s="10" t="n"/>
      <c r="AY16" s="10" t="n">
        <v>500</v>
      </c>
      <c r="AZ16" s="10" t="n">
        <v>500</v>
      </c>
      <c r="BA16" s="11" t="n"/>
      <c r="BB16" s="11" t="n">
        <v>500</v>
      </c>
      <c r="BC16" s="11" t="n">
        <v>500</v>
      </c>
      <c r="BD16" s="10" t="n"/>
      <c r="BE16" s="10" t="n">
        <v>500</v>
      </c>
      <c r="BF16" s="10" t="n">
        <v>500</v>
      </c>
      <c r="BG16" s="11" t="n"/>
      <c r="BH16" s="11" t="n">
        <v>500</v>
      </c>
      <c r="BI16" s="11" t="n">
        <v>500</v>
      </c>
      <c r="BJ16" s="10" t="n"/>
      <c r="BK16" s="10" t="n">
        <v>500</v>
      </c>
      <c r="BL16" s="10" t="n">
        <v>500</v>
      </c>
      <c r="BM16" s="11" t="n"/>
      <c r="BN16" s="11" t="n">
        <v>500</v>
      </c>
      <c r="BO16" s="11" t="n">
        <v>500</v>
      </c>
      <c r="BP16" s="10" t="n"/>
      <c r="BQ16" s="10" t="n">
        <v>500</v>
      </c>
      <c r="BR16" s="10" t="n">
        <v>500</v>
      </c>
      <c r="BS16" s="11" t="n"/>
      <c r="BT16" s="11" t="n">
        <v>500</v>
      </c>
      <c r="BU16" s="11" t="n">
        <v>500</v>
      </c>
      <c r="BV16" s="10" t="n"/>
      <c r="BW16" s="10" t="n">
        <v>500</v>
      </c>
      <c r="BX16" s="10" t="n">
        <v>500</v>
      </c>
      <c r="BY16" s="11" t="n"/>
      <c r="BZ16" s="11" t="n">
        <v>500</v>
      </c>
      <c r="CA16" s="11" t="n">
        <v>500</v>
      </c>
      <c r="CB16" s="10" t="n"/>
      <c r="CC16" s="10" t="n">
        <v>500</v>
      </c>
      <c r="CD16" s="10" t="n">
        <v>500</v>
      </c>
      <c r="CE16" s="11" t="n"/>
      <c r="CF16" s="11" t="n">
        <v>500</v>
      </c>
      <c r="CG16" s="11" t="n">
        <v>500</v>
      </c>
      <c r="CH16" s="10" t="n"/>
      <c r="CI16" s="10" t="n">
        <v>500</v>
      </c>
      <c r="CJ16" s="10" t="n">
        <v>500</v>
      </c>
      <c r="CK16" s="11" t="n"/>
      <c r="CL16" s="11" t="n">
        <v>500</v>
      </c>
      <c r="CM16" s="11" t="n">
        <v>500</v>
      </c>
      <c r="CN16" s="10" t="n"/>
      <c r="CO16" s="10" t="n">
        <v>500</v>
      </c>
      <c r="CP16" s="10" t="n">
        <v>500</v>
      </c>
      <c r="CQ16" s="11" t="n"/>
      <c r="CR16" s="11" t="n">
        <v>500</v>
      </c>
      <c r="CS16" s="11" t="n">
        <v>500</v>
      </c>
      <c r="CT16" s="10" t="n"/>
      <c r="CU16" s="10" t="n">
        <v>500</v>
      </c>
      <c r="CV16" s="10" t="n">
        <v>500</v>
      </c>
      <c r="CW16" s="11" t="n"/>
      <c r="CX16" s="11" t="n">
        <v>500</v>
      </c>
      <c r="CY16" s="11" t="n">
        <v>500</v>
      </c>
      <c r="CZ16" s="10" t="n"/>
      <c r="DA16" s="10" t="n">
        <v>500</v>
      </c>
      <c r="DB16" s="10" t="n">
        <v>500</v>
      </c>
      <c r="DC16" s="11" t="n"/>
      <c r="DD16" s="11" t="n">
        <v>500</v>
      </c>
      <c r="DE16" s="11" t="n">
        <v>500</v>
      </c>
      <c r="DF16" s="10" t="n"/>
      <c r="DG16" s="10" t="n">
        <v>500</v>
      </c>
      <c r="DH16" s="10" t="n">
        <v>500</v>
      </c>
      <c r="DI16" s="11" t="n">
        <v>500</v>
      </c>
      <c r="DJ16" s="11" t="n">
        <v>500</v>
      </c>
      <c r="DK16" s="11" t="n">
        <v>500</v>
      </c>
      <c r="DL16" s="10" t="n">
        <v>500</v>
      </c>
      <c r="DM16" s="10" t="n">
        <v>500</v>
      </c>
      <c r="DN16" s="10" t="n">
        <v>500</v>
      </c>
    </row>
    <row r="17">
      <c r="A17" s="2" t="inlineStr">
        <is>
          <t>Software Subscriptions</t>
        </is>
      </c>
      <c r="B17" s="10">
        <f>IF(COUNT(AR17,AO17,AL17,AI17,AF17,AC17,Z17,W17,T17,Q17,N17,K17)=0,"",SUM(AR17,AO17,AL17,AI17,AF17,AC17,Z17,W17,T17,Q17,N17,K17))</f>
        <v/>
      </c>
      <c r="C17" s="10">
        <f>IF(COUNT(AS17,AP17,AM17,AJ17,AG17,AD17,AA17,X17,U17,R17,O17,L17)=0,"",SUM(AS17,AP17,AM17,AJ17,AG17,AD17,AA17,X17,U17,R17,O17,L17))</f>
        <v/>
      </c>
      <c r="D17" s="10">
        <f>IF(COUNT(AT17,AQ17,AN17,AK17,AH17,AE17,AB17,Y17,V17,S17,P17,M17)=0,"",SUM(AT17,AQ17,AN17,AK17,AH17,AE17,AB17,Y17,V17,S17,P17,M17))</f>
        <v/>
      </c>
      <c r="E17" s="11">
        <f>IF(COUNT(CB17,BY17,BV17,BS17,BP17,BM17,BJ17,BG17,BD17,BA17,AX17,AU17)=0,"",SUM(CB17,BY17,BV17,BS17,BP17,BM17,BJ17,BG17,BD17,BA17,AX17,AU17))</f>
        <v/>
      </c>
      <c r="F17" s="11">
        <f>IF(COUNT(CC17,BZ17,BW17,BT17,BQ17,BN17,BK17,BH17,BE17,BB17,AY17,AV17)=0,"",SUM(CC17,BZ17,BW17,BT17,BQ17,BN17,BK17,BH17,BE17,BB17,AY17,AV17))</f>
        <v/>
      </c>
      <c r="G17" s="11">
        <f>IF(COUNT(CD17,CA17,BX17,BU17,BR17,BO17,BL17,BI17,BF17,BC17,AZ17,AW17)=0,"",SUM(CD17,CA17,BX17,BU17,BR17,BO17,BL17,BI17,BF17,BC17,AZ17,AW17))</f>
        <v/>
      </c>
      <c r="H17" s="10">
        <f>IF(COUNT(DL17,DI17,DF17,DC17,CZ17,CW17,CT17,CQ17,CN17,CK17,CH17,CE17)=0,"",SUM(DL17,DI17,DF17,DC17,CZ17,CW17,CT17,CQ17,CN17,CK17,CH17,CE17))</f>
        <v/>
      </c>
      <c r="I17" s="10">
        <f>IF(COUNT(DM17,DJ17,DG17,DD17,DA17,CX17,CU17,CR17,CO17,CL17,CI17,CF17)=0,"",SUM(DM17,DJ17,DG17,DD17,DA17,CX17,CU17,CR17,CO17,CL17,CI17,CF17))</f>
        <v/>
      </c>
      <c r="J17" s="10">
        <f>IF(COUNT(DN17,DK17,DH17,DE17,DB17,CY17,CV17,CS17,CP17,CM17,CJ17,CG17)=0,"",SUM(DN17,DK17,DH17,DE17,DB17,CY17,CV17,CS17,CP17,CM17,CJ17,CG17))</f>
        <v/>
      </c>
      <c r="K17" s="11" t="n"/>
      <c r="L17" s="11" t="n">
        <v>4000</v>
      </c>
      <c r="M17" s="11" t="n">
        <v>4000</v>
      </c>
      <c r="N17" s="10" t="n"/>
      <c r="O17" s="10" t="n">
        <v>4000</v>
      </c>
      <c r="P17" s="10" t="n">
        <v>4000</v>
      </c>
      <c r="Q17" s="11" t="n"/>
      <c r="R17" s="11" t="n">
        <v>4000</v>
      </c>
      <c r="S17" s="11" t="n">
        <v>4000</v>
      </c>
      <c r="T17" s="10" t="n"/>
      <c r="U17" s="10" t="n">
        <v>4000</v>
      </c>
      <c r="V17" s="10" t="n">
        <v>4000</v>
      </c>
      <c r="W17" s="11" t="n"/>
      <c r="X17" s="11" t="n">
        <v>4000</v>
      </c>
      <c r="Y17" s="11" t="n">
        <v>4000</v>
      </c>
      <c r="Z17" s="10" t="n"/>
      <c r="AA17" s="10" t="n">
        <v>4000</v>
      </c>
      <c r="AB17" s="10" t="n">
        <v>4000</v>
      </c>
      <c r="AC17" s="11" t="n"/>
      <c r="AD17" s="11" t="n">
        <v>4000</v>
      </c>
      <c r="AE17" s="11" t="n">
        <v>4000</v>
      </c>
      <c r="AF17" s="10" t="n"/>
      <c r="AG17" s="10" t="n">
        <v>4000</v>
      </c>
      <c r="AH17" s="10" t="n">
        <v>4000</v>
      </c>
      <c r="AI17" s="11" t="n"/>
      <c r="AJ17" s="11" t="n">
        <v>4000</v>
      </c>
      <c r="AK17" s="11" t="n">
        <v>4000</v>
      </c>
      <c r="AL17" s="10" t="n"/>
      <c r="AM17" s="10" t="n">
        <v>4000</v>
      </c>
      <c r="AN17" s="10" t="n">
        <v>4000</v>
      </c>
      <c r="AO17" s="11" t="n"/>
      <c r="AP17" s="11" t="n">
        <v>4000</v>
      </c>
      <c r="AQ17" s="11" t="n">
        <v>4000</v>
      </c>
      <c r="AR17" s="10" t="n"/>
      <c r="AS17" s="10" t="n">
        <v>4000</v>
      </c>
      <c r="AT17" s="10" t="n">
        <v>4000</v>
      </c>
      <c r="AU17" s="11" t="n"/>
      <c r="AV17" s="11" t="n">
        <v>4000</v>
      </c>
      <c r="AW17" s="11" t="n">
        <v>4000</v>
      </c>
      <c r="AX17" s="10" t="n"/>
      <c r="AY17" s="10" t="n">
        <v>4000</v>
      </c>
      <c r="AZ17" s="10" t="n">
        <v>4000</v>
      </c>
      <c r="BA17" s="11" t="n"/>
      <c r="BB17" s="11" t="n">
        <v>4000</v>
      </c>
      <c r="BC17" s="11" t="n">
        <v>4000</v>
      </c>
      <c r="BD17" s="10" t="n"/>
      <c r="BE17" s="10" t="n">
        <v>4000</v>
      </c>
      <c r="BF17" s="10" t="n">
        <v>4000</v>
      </c>
      <c r="BG17" s="11" t="n"/>
      <c r="BH17" s="11" t="n">
        <v>4000</v>
      </c>
      <c r="BI17" s="11" t="n">
        <v>4000</v>
      </c>
      <c r="BJ17" s="10" t="n"/>
      <c r="BK17" s="10" t="n">
        <v>4000</v>
      </c>
      <c r="BL17" s="10" t="n">
        <v>4000</v>
      </c>
      <c r="BM17" s="11" t="n"/>
      <c r="BN17" s="11" t="n">
        <v>4000</v>
      </c>
      <c r="BO17" s="11" t="n">
        <v>4000</v>
      </c>
      <c r="BP17" s="10" t="n"/>
      <c r="BQ17" s="10" t="n">
        <v>4000</v>
      </c>
      <c r="BR17" s="10" t="n">
        <v>4000</v>
      </c>
      <c r="BS17" s="11" t="n"/>
      <c r="BT17" s="11" t="n">
        <v>4000</v>
      </c>
      <c r="BU17" s="11" t="n">
        <v>4000</v>
      </c>
      <c r="BV17" s="10" t="n"/>
      <c r="BW17" s="10" t="n">
        <v>4000</v>
      </c>
      <c r="BX17" s="10" t="n">
        <v>4000</v>
      </c>
      <c r="BY17" s="11" t="n"/>
      <c r="BZ17" s="11" t="n">
        <v>4000</v>
      </c>
      <c r="CA17" s="11" t="n">
        <v>4000</v>
      </c>
      <c r="CB17" s="10" t="n"/>
      <c r="CC17" s="10" t="n">
        <v>4000</v>
      </c>
      <c r="CD17" s="10" t="n">
        <v>4000</v>
      </c>
      <c r="CE17" s="11" t="n"/>
      <c r="CF17" s="11" t="n">
        <v>4000</v>
      </c>
      <c r="CG17" s="11" t="n">
        <v>4000</v>
      </c>
      <c r="CH17" s="10" t="n"/>
      <c r="CI17" s="10" t="n">
        <v>4000</v>
      </c>
      <c r="CJ17" s="10" t="n">
        <v>4000</v>
      </c>
      <c r="CK17" s="11" t="n"/>
      <c r="CL17" s="11" t="n">
        <v>4000</v>
      </c>
      <c r="CM17" s="11" t="n">
        <v>4000</v>
      </c>
      <c r="CN17" s="10" t="n"/>
      <c r="CO17" s="10" t="n">
        <v>4000</v>
      </c>
      <c r="CP17" s="10" t="n">
        <v>4000</v>
      </c>
      <c r="CQ17" s="11" t="n"/>
      <c r="CR17" s="11" t="n">
        <v>4000</v>
      </c>
      <c r="CS17" s="11" t="n">
        <v>4000</v>
      </c>
      <c r="CT17" s="10" t="n"/>
      <c r="CU17" s="10" t="n">
        <v>4000</v>
      </c>
      <c r="CV17" s="10" t="n">
        <v>4000</v>
      </c>
      <c r="CW17" s="11" t="n"/>
      <c r="CX17" s="11" t="n">
        <v>4000</v>
      </c>
      <c r="CY17" s="11" t="n">
        <v>4000</v>
      </c>
      <c r="CZ17" s="10" t="n"/>
      <c r="DA17" s="10" t="n">
        <v>4000</v>
      </c>
      <c r="DB17" s="10" t="n">
        <v>4000</v>
      </c>
      <c r="DC17" s="11" t="n"/>
      <c r="DD17" s="11" t="n">
        <v>4000</v>
      </c>
      <c r="DE17" s="11" t="n">
        <v>4000</v>
      </c>
      <c r="DF17" s="10" t="n"/>
      <c r="DG17" s="10" t="n">
        <v>4000</v>
      </c>
      <c r="DH17" s="10" t="n">
        <v>4000</v>
      </c>
      <c r="DI17" s="11" t="n">
        <v>4000</v>
      </c>
      <c r="DJ17" s="11" t="n">
        <v>4000</v>
      </c>
      <c r="DK17" s="11" t="n">
        <v>4000</v>
      </c>
      <c r="DL17" s="10" t="n">
        <v>4000</v>
      </c>
      <c r="DM17" s="10" t="n">
        <v>4000</v>
      </c>
      <c r="DN17" s="10" t="n">
        <v>4000</v>
      </c>
    </row>
    <row r="18">
      <c r="A18" s="2" t="inlineStr">
        <is>
          <t>Dues and Subscriptions</t>
        </is>
      </c>
      <c r="B18" s="10">
        <f>IF(COUNT(AR18,AO18,AL18,AI18,AF18,AC18,Z18,W18,T18,Q18,N18,K18)=0,"",SUM(AR18,AO18,AL18,AI18,AF18,AC18,Z18,W18,T18,Q18,N18,K18))</f>
        <v/>
      </c>
      <c r="C18" s="10">
        <f>IF(COUNT(AS18,AP18,AM18,AJ18,AG18,AD18,AA18,X18,U18,R18,O18,L18)=0,"",SUM(AS18,AP18,AM18,AJ18,AG18,AD18,AA18,X18,U18,R18,O18,L18))</f>
        <v/>
      </c>
      <c r="D18" s="10">
        <f>IF(COUNT(AT18,AQ18,AN18,AK18,AH18,AE18,AB18,Y18,V18,S18,P18,M18)=0,"",SUM(AT18,AQ18,AN18,AK18,AH18,AE18,AB18,Y18,V18,S18,P18,M18))</f>
        <v/>
      </c>
      <c r="E18" s="11">
        <f>IF(COUNT(CB18,BY18,BV18,BS18,BP18,BM18,BJ18,BG18,BD18,BA18,AX18,AU18)=0,"",SUM(CB18,BY18,BV18,BS18,BP18,BM18,BJ18,BG18,BD18,BA18,AX18,AU18))</f>
        <v/>
      </c>
      <c r="F18" s="11">
        <f>IF(COUNT(CC18,BZ18,BW18,BT18,BQ18,BN18,BK18,BH18,BE18,BB18,AY18,AV18)=0,"",SUM(CC18,BZ18,BW18,BT18,BQ18,BN18,BK18,BH18,BE18,BB18,AY18,AV18))</f>
        <v/>
      </c>
      <c r="G18" s="11">
        <f>IF(COUNT(CD18,CA18,BX18,BU18,BR18,BO18,BL18,BI18,BF18,BC18,AZ18,AW18)=0,"",SUM(CD18,CA18,BX18,BU18,BR18,BO18,BL18,BI18,BF18,BC18,AZ18,AW18))</f>
        <v/>
      </c>
      <c r="H18" s="10">
        <f>IF(COUNT(DL18,DI18,DF18,DC18,CZ18,CW18,CT18,CQ18,CN18,CK18,CH18,CE18)=0,"",SUM(DL18,DI18,DF18,DC18,CZ18,CW18,CT18,CQ18,CN18,CK18,CH18,CE18))</f>
        <v/>
      </c>
      <c r="I18" s="10">
        <f>IF(COUNT(DM18,DJ18,DG18,DD18,DA18,CX18,CU18,CR18,CO18,CL18,CI18,CF18)=0,"",SUM(DM18,DJ18,DG18,DD18,DA18,CX18,CU18,CR18,CO18,CL18,CI18,CF18))</f>
        <v/>
      </c>
      <c r="J18" s="10">
        <f>IF(COUNT(DN18,DK18,DH18,DE18,DB18,CY18,CV18,CS18,CP18,CM18,CJ18,CG18)=0,"",SUM(DN18,DK18,DH18,DE18,DB18,CY18,CV18,CS18,CP18,CM18,CJ18,CG18))</f>
        <v/>
      </c>
      <c r="K18" s="11" t="n"/>
      <c r="L18" s="11" t="n">
        <v>1000</v>
      </c>
      <c r="M18" s="11" t="n">
        <v>1000</v>
      </c>
      <c r="N18" s="10" t="n"/>
      <c r="O18" s="10" t="n">
        <v>1000</v>
      </c>
      <c r="P18" s="10" t="n">
        <v>1000</v>
      </c>
      <c r="Q18" s="11" t="n"/>
      <c r="R18" s="11" t="n">
        <v>1000</v>
      </c>
      <c r="S18" s="11" t="n">
        <v>1000</v>
      </c>
      <c r="T18" s="10" t="n"/>
      <c r="U18" s="10" t="n">
        <v>1000</v>
      </c>
      <c r="V18" s="10" t="n">
        <v>1000</v>
      </c>
      <c r="W18" s="11" t="n"/>
      <c r="X18" s="11" t="n">
        <v>1000</v>
      </c>
      <c r="Y18" s="11" t="n">
        <v>1000</v>
      </c>
      <c r="Z18" s="10" t="n"/>
      <c r="AA18" s="10" t="n">
        <v>1000</v>
      </c>
      <c r="AB18" s="10" t="n">
        <v>1000</v>
      </c>
      <c r="AC18" s="11" t="n"/>
      <c r="AD18" s="11" t="n">
        <v>1000</v>
      </c>
      <c r="AE18" s="11" t="n">
        <v>1000</v>
      </c>
      <c r="AF18" s="10" t="n"/>
      <c r="AG18" s="10" t="n">
        <v>1000</v>
      </c>
      <c r="AH18" s="10" t="n">
        <v>1000</v>
      </c>
      <c r="AI18" s="11" t="n"/>
      <c r="AJ18" s="11" t="n">
        <v>1000</v>
      </c>
      <c r="AK18" s="11" t="n">
        <v>1000</v>
      </c>
      <c r="AL18" s="10" t="n"/>
      <c r="AM18" s="10" t="n">
        <v>1000</v>
      </c>
      <c r="AN18" s="10" t="n">
        <v>1000</v>
      </c>
      <c r="AO18" s="11" t="n"/>
      <c r="AP18" s="11" t="n">
        <v>1000</v>
      </c>
      <c r="AQ18" s="11" t="n">
        <v>1000</v>
      </c>
      <c r="AR18" s="10" t="n"/>
      <c r="AS18" s="10" t="n">
        <v>1000</v>
      </c>
      <c r="AT18" s="10" t="n">
        <v>1000</v>
      </c>
      <c r="AU18" s="11" t="n"/>
      <c r="AV18" s="11" t="n">
        <v>1000</v>
      </c>
      <c r="AW18" s="11" t="n">
        <v>1000</v>
      </c>
      <c r="AX18" s="10" t="n"/>
      <c r="AY18" s="10" t="n">
        <v>1000</v>
      </c>
      <c r="AZ18" s="10" t="n">
        <v>1000</v>
      </c>
      <c r="BA18" s="11" t="n"/>
      <c r="BB18" s="11" t="n">
        <v>1000</v>
      </c>
      <c r="BC18" s="11" t="n">
        <v>1000</v>
      </c>
      <c r="BD18" s="10" t="n"/>
      <c r="BE18" s="10" t="n">
        <v>1000</v>
      </c>
      <c r="BF18" s="10" t="n">
        <v>1000</v>
      </c>
      <c r="BG18" s="11" t="n"/>
      <c r="BH18" s="11" t="n">
        <v>1000</v>
      </c>
      <c r="BI18" s="11" t="n">
        <v>1000</v>
      </c>
      <c r="BJ18" s="10" t="n"/>
      <c r="BK18" s="10" t="n">
        <v>1000</v>
      </c>
      <c r="BL18" s="10" t="n">
        <v>1000</v>
      </c>
      <c r="BM18" s="11" t="n"/>
      <c r="BN18" s="11" t="n">
        <v>1000</v>
      </c>
      <c r="BO18" s="11" t="n">
        <v>1000</v>
      </c>
      <c r="BP18" s="10" t="n"/>
      <c r="BQ18" s="10" t="n">
        <v>1000</v>
      </c>
      <c r="BR18" s="10" t="n">
        <v>1000</v>
      </c>
      <c r="BS18" s="11" t="n"/>
      <c r="BT18" s="11" t="n">
        <v>1000</v>
      </c>
      <c r="BU18" s="11" t="n">
        <v>1000</v>
      </c>
      <c r="BV18" s="10" t="n"/>
      <c r="BW18" s="10" t="n">
        <v>1000</v>
      </c>
      <c r="BX18" s="10" t="n">
        <v>1000</v>
      </c>
      <c r="BY18" s="11" t="n"/>
      <c r="BZ18" s="11" t="n">
        <v>1000</v>
      </c>
      <c r="CA18" s="11" t="n">
        <v>1000</v>
      </c>
      <c r="CB18" s="10" t="n"/>
      <c r="CC18" s="10" t="n">
        <v>1000</v>
      </c>
      <c r="CD18" s="10" t="n">
        <v>1000</v>
      </c>
      <c r="CE18" s="11" t="n"/>
      <c r="CF18" s="11" t="n">
        <v>1000</v>
      </c>
      <c r="CG18" s="11" t="n">
        <v>1000</v>
      </c>
      <c r="CH18" s="10" t="n"/>
      <c r="CI18" s="10" t="n">
        <v>1000</v>
      </c>
      <c r="CJ18" s="10" t="n">
        <v>1000</v>
      </c>
      <c r="CK18" s="11" t="n"/>
      <c r="CL18" s="11" t="n">
        <v>1000</v>
      </c>
      <c r="CM18" s="11" t="n">
        <v>1000</v>
      </c>
      <c r="CN18" s="10" t="n"/>
      <c r="CO18" s="10" t="n">
        <v>1000</v>
      </c>
      <c r="CP18" s="10" t="n">
        <v>1000</v>
      </c>
      <c r="CQ18" s="11" t="n"/>
      <c r="CR18" s="11" t="n">
        <v>1000</v>
      </c>
      <c r="CS18" s="11" t="n">
        <v>1000</v>
      </c>
      <c r="CT18" s="10" t="n"/>
      <c r="CU18" s="10" t="n">
        <v>1000</v>
      </c>
      <c r="CV18" s="10" t="n">
        <v>1000</v>
      </c>
      <c r="CW18" s="11" t="n"/>
      <c r="CX18" s="11" t="n">
        <v>1000</v>
      </c>
      <c r="CY18" s="11" t="n">
        <v>1000</v>
      </c>
      <c r="CZ18" s="10" t="n"/>
      <c r="DA18" s="10" t="n">
        <v>1000</v>
      </c>
      <c r="DB18" s="10" t="n">
        <v>1000</v>
      </c>
      <c r="DC18" s="11" t="n"/>
      <c r="DD18" s="11" t="n">
        <v>1000</v>
      </c>
      <c r="DE18" s="11" t="n">
        <v>1000</v>
      </c>
      <c r="DF18" s="10" t="n"/>
      <c r="DG18" s="10" t="n">
        <v>1000</v>
      </c>
      <c r="DH18" s="10" t="n">
        <v>1000</v>
      </c>
      <c r="DI18" s="11" t="n">
        <v>1000</v>
      </c>
      <c r="DJ18" s="11" t="n">
        <v>1000</v>
      </c>
      <c r="DK18" s="11" t="n">
        <v>1000</v>
      </c>
      <c r="DL18" s="10" t="n">
        <v>1000</v>
      </c>
      <c r="DM18" s="10" t="n">
        <v>1000</v>
      </c>
      <c r="DN18" s="10" t="n">
        <v>1000</v>
      </c>
    </row>
    <row r="19">
      <c r="A19" s="2" t="inlineStr">
        <is>
          <t>Travel, Meals and Entertainment</t>
        </is>
      </c>
      <c r="B19" s="10">
        <f>IF(COUNT(AR19,AO19,AL19,AI19,AF19,AC19,Z19,W19,T19,Q19,N19,K19)=0,"",SUM(AR19,AO19,AL19,AI19,AF19,AC19,Z19,W19,T19,Q19,N19,K19))</f>
        <v/>
      </c>
      <c r="C19" s="10">
        <f>IF(COUNT(AS19,AP19,AM19,AJ19,AG19,AD19,AA19,X19,U19,R19,O19,L19)=0,"",SUM(AS19,AP19,AM19,AJ19,AG19,AD19,AA19,X19,U19,R19,O19,L19))</f>
        <v/>
      </c>
      <c r="D19" s="10">
        <f>IF(COUNT(AT19,AQ19,AN19,AK19,AH19,AE19,AB19,Y19,V19,S19,P19,M19)=0,"",SUM(AT19,AQ19,AN19,AK19,AH19,AE19,AB19,Y19,V19,S19,P19,M19))</f>
        <v/>
      </c>
      <c r="E19" s="11">
        <f>IF(COUNT(CB19,BY19,BV19,BS19,BP19,BM19,BJ19,BG19,BD19,BA19,AX19,AU19)=0,"",SUM(CB19,BY19,BV19,BS19,BP19,BM19,BJ19,BG19,BD19,BA19,AX19,AU19))</f>
        <v/>
      </c>
      <c r="F19" s="11">
        <f>IF(COUNT(CC19,BZ19,BW19,BT19,BQ19,BN19,BK19,BH19,BE19,BB19,AY19,AV19)=0,"",SUM(CC19,BZ19,BW19,BT19,BQ19,BN19,BK19,BH19,BE19,BB19,AY19,AV19))</f>
        <v/>
      </c>
      <c r="G19" s="11">
        <f>IF(COUNT(CD19,CA19,BX19,BU19,BR19,BO19,BL19,BI19,BF19,BC19,AZ19,AW19)=0,"",SUM(CD19,CA19,BX19,BU19,BR19,BO19,BL19,BI19,BF19,BC19,AZ19,AW19))</f>
        <v/>
      </c>
      <c r="H19" s="10">
        <f>IF(COUNT(DL19,DI19,DF19,DC19,CZ19,CW19,CT19,CQ19,CN19,CK19,CH19,CE19)=0,"",SUM(DL19,DI19,DF19,DC19,CZ19,CW19,CT19,CQ19,CN19,CK19,CH19,CE19))</f>
        <v/>
      </c>
      <c r="I19" s="10">
        <f>IF(COUNT(DM19,DJ19,DG19,DD19,DA19,CX19,CU19,CR19,CO19,CL19,CI19,CF19)=0,"",SUM(DM19,DJ19,DG19,DD19,DA19,CX19,CU19,CR19,CO19,CL19,CI19,CF19))</f>
        <v/>
      </c>
      <c r="J19" s="10">
        <f>IF(COUNT(DN19,DK19,DH19,DE19,DB19,CY19,CV19,CS19,CP19,CM19,CJ19,CG19)=0,"",SUM(DN19,DK19,DH19,DE19,DB19,CY19,CV19,CS19,CP19,CM19,CJ19,CG19))</f>
        <v/>
      </c>
      <c r="K19" s="11" t="n"/>
      <c r="L19" s="11" t="n">
        <v>2000</v>
      </c>
      <c r="M19" s="11" t="n">
        <v>2000</v>
      </c>
      <c r="N19" s="10" t="n"/>
      <c r="O19" s="10" t="n">
        <v>2000</v>
      </c>
      <c r="P19" s="10" t="n">
        <v>2000</v>
      </c>
      <c r="Q19" s="11" t="n"/>
      <c r="R19" s="11" t="n">
        <v>2000</v>
      </c>
      <c r="S19" s="11" t="n">
        <v>2000</v>
      </c>
      <c r="T19" s="10" t="n"/>
      <c r="U19" s="10" t="n">
        <v>2000</v>
      </c>
      <c r="V19" s="10" t="n">
        <v>2000</v>
      </c>
      <c r="W19" s="11" t="n"/>
      <c r="X19" s="11" t="n">
        <v>2000</v>
      </c>
      <c r="Y19" s="11" t="n">
        <v>2000</v>
      </c>
      <c r="Z19" s="10" t="n"/>
      <c r="AA19" s="10" t="n">
        <v>2000</v>
      </c>
      <c r="AB19" s="10" t="n">
        <v>2000</v>
      </c>
      <c r="AC19" s="11" t="n"/>
      <c r="AD19" s="11" t="n">
        <v>2000</v>
      </c>
      <c r="AE19" s="11" t="n">
        <v>2000</v>
      </c>
      <c r="AF19" s="10" t="n"/>
      <c r="AG19" s="10" t="n">
        <v>2000</v>
      </c>
      <c r="AH19" s="10" t="n">
        <v>2000</v>
      </c>
      <c r="AI19" s="11" t="n"/>
      <c r="AJ19" s="11" t="n">
        <v>2000</v>
      </c>
      <c r="AK19" s="11" t="n">
        <v>2000</v>
      </c>
      <c r="AL19" s="10" t="n"/>
      <c r="AM19" s="10" t="n">
        <v>2000</v>
      </c>
      <c r="AN19" s="10" t="n">
        <v>2000</v>
      </c>
      <c r="AO19" s="11" t="n"/>
      <c r="AP19" s="11" t="n">
        <v>2000</v>
      </c>
      <c r="AQ19" s="11" t="n">
        <v>2000</v>
      </c>
      <c r="AR19" s="10" t="n"/>
      <c r="AS19" s="10" t="n">
        <v>2000</v>
      </c>
      <c r="AT19" s="10" t="n">
        <v>2000</v>
      </c>
      <c r="AU19" s="11" t="n"/>
      <c r="AV19" s="11" t="n">
        <v>2000</v>
      </c>
      <c r="AW19" s="11" t="n">
        <v>2000</v>
      </c>
      <c r="AX19" s="10" t="n"/>
      <c r="AY19" s="10" t="n">
        <v>2000</v>
      </c>
      <c r="AZ19" s="10" t="n">
        <v>2000</v>
      </c>
      <c r="BA19" s="11" t="n"/>
      <c r="BB19" s="11" t="n">
        <v>2000</v>
      </c>
      <c r="BC19" s="11" t="n">
        <v>2000</v>
      </c>
      <c r="BD19" s="10" t="n"/>
      <c r="BE19" s="10" t="n">
        <v>2000</v>
      </c>
      <c r="BF19" s="10" t="n">
        <v>2000</v>
      </c>
      <c r="BG19" s="11" t="n"/>
      <c r="BH19" s="11" t="n">
        <v>2000</v>
      </c>
      <c r="BI19" s="11" t="n">
        <v>2000</v>
      </c>
      <c r="BJ19" s="10" t="n"/>
      <c r="BK19" s="10" t="n">
        <v>2000</v>
      </c>
      <c r="BL19" s="10" t="n">
        <v>2000</v>
      </c>
      <c r="BM19" s="11" t="n"/>
      <c r="BN19" s="11" t="n">
        <v>2000</v>
      </c>
      <c r="BO19" s="11" t="n">
        <v>2000</v>
      </c>
      <c r="BP19" s="10" t="n"/>
      <c r="BQ19" s="10" t="n">
        <v>2000</v>
      </c>
      <c r="BR19" s="10" t="n">
        <v>2000</v>
      </c>
      <c r="BS19" s="11" t="n"/>
      <c r="BT19" s="11" t="n">
        <v>2000</v>
      </c>
      <c r="BU19" s="11" t="n">
        <v>2000</v>
      </c>
      <c r="BV19" s="10" t="n"/>
      <c r="BW19" s="10" t="n">
        <v>2000</v>
      </c>
      <c r="BX19" s="10" t="n">
        <v>2000</v>
      </c>
      <c r="BY19" s="11" t="n"/>
      <c r="BZ19" s="11" t="n">
        <v>2000</v>
      </c>
      <c r="CA19" s="11" t="n">
        <v>2000</v>
      </c>
      <c r="CB19" s="10" t="n"/>
      <c r="CC19" s="10" t="n">
        <v>2000</v>
      </c>
      <c r="CD19" s="10" t="n">
        <v>2000</v>
      </c>
      <c r="CE19" s="11" t="n"/>
      <c r="CF19" s="11" t="n">
        <v>2000</v>
      </c>
      <c r="CG19" s="11" t="n">
        <v>2000</v>
      </c>
      <c r="CH19" s="10" t="n"/>
      <c r="CI19" s="10" t="n">
        <v>2000</v>
      </c>
      <c r="CJ19" s="10" t="n">
        <v>2000</v>
      </c>
      <c r="CK19" s="11" t="n"/>
      <c r="CL19" s="11" t="n">
        <v>2000</v>
      </c>
      <c r="CM19" s="11" t="n">
        <v>2000</v>
      </c>
      <c r="CN19" s="10" t="n"/>
      <c r="CO19" s="10" t="n">
        <v>2000</v>
      </c>
      <c r="CP19" s="10" t="n">
        <v>2000</v>
      </c>
      <c r="CQ19" s="11" t="n"/>
      <c r="CR19" s="11" t="n">
        <v>2000</v>
      </c>
      <c r="CS19" s="11" t="n">
        <v>2000</v>
      </c>
      <c r="CT19" s="10" t="n"/>
      <c r="CU19" s="10" t="n">
        <v>2000</v>
      </c>
      <c r="CV19" s="10" t="n">
        <v>2000</v>
      </c>
      <c r="CW19" s="11" t="n"/>
      <c r="CX19" s="11" t="n">
        <v>2000</v>
      </c>
      <c r="CY19" s="11" t="n">
        <v>2000</v>
      </c>
      <c r="CZ19" s="10" t="n"/>
      <c r="DA19" s="10" t="n">
        <v>2000</v>
      </c>
      <c r="DB19" s="10" t="n">
        <v>2000</v>
      </c>
      <c r="DC19" s="11" t="n"/>
      <c r="DD19" s="11" t="n">
        <v>2000</v>
      </c>
      <c r="DE19" s="11" t="n">
        <v>2000</v>
      </c>
      <c r="DF19" s="10" t="n"/>
      <c r="DG19" s="10" t="n">
        <v>2000</v>
      </c>
      <c r="DH19" s="10" t="n">
        <v>2000</v>
      </c>
      <c r="DI19" s="11" t="n">
        <v>2000</v>
      </c>
      <c r="DJ19" s="11" t="n">
        <v>2000</v>
      </c>
      <c r="DK19" s="11" t="n">
        <v>2000</v>
      </c>
      <c r="DL19" s="10" t="n">
        <v>2000</v>
      </c>
      <c r="DM19" s="10" t="n">
        <v>2000</v>
      </c>
      <c r="DN19" s="10" t="n">
        <v>2000</v>
      </c>
    </row>
    <row r="20">
      <c r="A20" s="12" t="inlineStr">
        <is>
          <t>Total Standard Department Cost</t>
        </is>
      </c>
      <c r="B20" s="13">
        <f>IF(COUNT(AR20,AO20,AL20,AI20,AF20,AC20,Z20,W20,T20,Q20,N20,K20)=0,"",SUM(AR20,AO20,AL20,AI20,AF20,AC20,Z20,W20,T20,Q20,N20,K20))</f>
        <v/>
      </c>
      <c r="C20" s="13">
        <f>IF(COUNT(AS20,AP20,AM20,AJ20,AG20,AD20,AA20,X20,U20,R20,O20,L20)=0,"",SUM(AS20,AP20,AM20,AJ20,AG20,AD20,AA20,X20,U20,R20,O20,L20))</f>
        <v/>
      </c>
      <c r="D20" s="13">
        <f>IF(COUNT(AT20,AQ20,AN20,AK20,AH20,AE20,AB20,Y20,V20,S20,P20,M20)=0,"",SUM(AT20,AQ20,AN20,AK20,AH20,AE20,AB20,Y20,V20,S20,P20,M20))</f>
        <v/>
      </c>
      <c r="E20" s="14">
        <f>IF(COUNT(CB20,BY20,BV20,BS20,BP20,BM20,BJ20,BG20,BD20,BA20,AX20,AU20)=0,"",SUM(CB20,BY20,BV20,BS20,BP20,BM20,BJ20,BG20,BD20,BA20,AX20,AU20))</f>
        <v/>
      </c>
      <c r="F20" s="14">
        <f>IF(COUNT(CC20,BZ20,BW20,BT20,BQ20,BN20,BK20,BH20,BE20,BB20,AY20,AV20)=0,"",SUM(CC20,BZ20,BW20,BT20,BQ20,BN20,BK20,BH20,BE20,BB20,AY20,AV20))</f>
        <v/>
      </c>
      <c r="G20" s="14">
        <f>IF(COUNT(CD20,CA20,BX20,BU20,BR20,BO20,BL20,BI20,BF20,BC20,AZ20,AW20)=0,"",SUM(CD20,CA20,BX20,BU20,BR20,BO20,BL20,BI20,BF20,BC20,AZ20,AW20))</f>
        <v/>
      </c>
      <c r="H20" s="13">
        <f>IF(COUNT(DL20,DI20,DF20,DC20,CZ20,CW20,CT20,CQ20,CN20,CK20,CH20,CE20)=0,"",SUM(DL20,DI20,DF20,DC20,CZ20,CW20,CT20,CQ20,CN20,CK20,CH20,CE20))</f>
        <v/>
      </c>
      <c r="I20" s="13">
        <f>IF(COUNT(DM20,DJ20,DG20,DD20,DA20,CX20,CU20,CR20,CO20,CL20,CI20,CF20)=0,"",SUM(DM20,DJ20,DG20,DD20,DA20,CX20,CU20,CR20,CO20,CL20,CI20,CF20))</f>
        <v/>
      </c>
      <c r="J20" s="13">
        <f>IF(COUNT(DN20,DK20,DH20,DE20,DB20,CY20,CV20,CS20,CP20,CM20,CJ20,CG20)=0,"",SUM(DN20,DK20,DH20,DE20,DB20,CY20,CV20,CS20,CP20,CM20,CJ20,CG20))</f>
        <v/>
      </c>
      <c r="K20" s="14">
        <f>IF(COUNT(K11,K12,K13,K14,K15,K16,K17,K18,K19)=0,"",SUM(K11:K19))</f>
        <v/>
      </c>
      <c r="L20" s="14">
        <f>SUM(L11:L19)</f>
        <v/>
      </c>
      <c r="M20" s="14">
        <f>SUM(M11:M19)</f>
        <v/>
      </c>
      <c r="N20" s="13">
        <f>IF(COUNT(N11,N12,N13,N14,N15,N16,N17,N18,N19)=0,"",SUM(N11:N19))</f>
        <v/>
      </c>
      <c r="O20" s="13">
        <f>SUM(O11:O19)</f>
        <v/>
      </c>
      <c r="P20" s="13">
        <f>SUM(P11:P19)</f>
        <v/>
      </c>
      <c r="Q20" s="14">
        <f>IF(COUNT(Q11,Q12,Q13,Q14,Q15,Q16,Q17,Q18,Q19)=0,"",SUM(Q11:Q19))</f>
        <v/>
      </c>
      <c r="R20" s="14">
        <f>SUM(R11:R19)</f>
        <v/>
      </c>
      <c r="S20" s="14">
        <f>SUM(S11:S19)</f>
        <v/>
      </c>
      <c r="T20" s="13">
        <f>IF(COUNT(T11,T12,T13,T14,T15,T16,T17,T18,T19)=0,"",SUM(T11:T19))</f>
        <v/>
      </c>
      <c r="U20" s="13">
        <f>SUM(U11:U19)</f>
        <v/>
      </c>
      <c r="V20" s="13">
        <f>SUM(V11:V19)</f>
        <v/>
      </c>
      <c r="W20" s="14">
        <f>IF(COUNT(W11,W12,W13,W14,W15,W16,W17,W18,W19)=0,"",SUM(W11:W19))</f>
        <v/>
      </c>
      <c r="X20" s="14">
        <f>SUM(X11:X19)</f>
        <v/>
      </c>
      <c r="Y20" s="14">
        <f>SUM(Y11:Y19)</f>
        <v/>
      </c>
      <c r="Z20" s="13">
        <f>IF(COUNT(Z11,Z12,Z13,Z14,Z15,Z16,Z17,Z18,Z19)=0,"",SUM(Z11:Z19))</f>
        <v/>
      </c>
      <c r="AA20" s="13">
        <f>SUM(AA11:AA19)</f>
        <v/>
      </c>
      <c r="AB20" s="13">
        <f>SUM(AB11:AB19)</f>
        <v/>
      </c>
      <c r="AC20" s="14">
        <f>IF(COUNT(AC11,AC12,AC13,AC14,AC15,AC16,AC17,AC18,AC19)=0,"",SUM(AC11:AC19))</f>
        <v/>
      </c>
      <c r="AD20" s="14">
        <f>SUM(AD11:AD19)</f>
        <v/>
      </c>
      <c r="AE20" s="14">
        <f>SUM(AE11:AE19)</f>
        <v/>
      </c>
      <c r="AF20" s="13">
        <f>IF(COUNT(AF11,AF12,AF13,AF14,AF15,AF16,AF17,AF18,AF19)=0,"",SUM(AF11:AF19))</f>
        <v/>
      </c>
      <c r="AG20" s="13">
        <f>SUM(AG11:AG19)</f>
        <v/>
      </c>
      <c r="AH20" s="13">
        <f>SUM(AH11:AH19)</f>
        <v/>
      </c>
      <c r="AI20" s="14">
        <f>IF(COUNT(AI11,AI12,AI13,AI14,AI15,AI16,AI17,AI18,AI19)=0,"",SUM(AI11:AI19))</f>
        <v/>
      </c>
      <c r="AJ20" s="14">
        <f>SUM(AJ11:AJ19)</f>
        <v/>
      </c>
      <c r="AK20" s="14">
        <f>SUM(AK11:AK19)</f>
        <v/>
      </c>
      <c r="AL20" s="13">
        <f>IF(COUNT(AL11,AL12,AL13,AL14,AL15,AL16,AL17,AL18,AL19)=0,"",SUM(AL11:AL19))</f>
        <v/>
      </c>
      <c r="AM20" s="13">
        <f>SUM(AM11:AM19)</f>
        <v/>
      </c>
      <c r="AN20" s="13">
        <f>SUM(AN11:AN19)</f>
        <v/>
      </c>
      <c r="AO20" s="14">
        <f>IF(COUNT(AO11,AO12,AO13,AO14,AO15,AO16,AO17,AO18,AO19)=0,"",SUM(AO11:AO19))</f>
        <v/>
      </c>
      <c r="AP20" s="14">
        <f>SUM(AP11:AP19)</f>
        <v/>
      </c>
      <c r="AQ20" s="14">
        <f>SUM(AQ11:AQ19)</f>
        <v/>
      </c>
      <c r="AR20" s="13">
        <f>IF(COUNT(AR11,AR12,AR13,AR14,AR15,AR16,AR17,AR18,AR19)=0,"",SUM(AR11:AR19))</f>
        <v/>
      </c>
      <c r="AS20" s="13">
        <f>SUM(AS11:AS19)</f>
        <v/>
      </c>
      <c r="AT20" s="13">
        <f>SUM(AT11:AT19)</f>
        <v/>
      </c>
      <c r="AU20" s="14">
        <f>IF(COUNT(AU11,AU12,AU13,AU14,AU15,AU16,AU17,AU18,AU19)=0,"",SUM(AU11:AU19))</f>
        <v/>
      </c>
      <c r="AV20" s="14">
        <f>SUM(AV11:AV19)</f>
        <v/>
      </c>
      <c r="AW20" s="14">
        <f>SUM(AW11:AW19)</f>
        <v/>
      </c>
      <c r="AX20" s="13">
        <f>IF(COUNT(AX11,AX12,AX13,AX14,AX15,AX16,AX17,AX18,AX19)=0,"",SUM(AX11:AX19))</f>
        <v/>
      </c>
      <c r="AY20" s="13">
        <f>SUM(AY11:AY19)</f>
        <v/>
      </c>
      <c r="AZ20" s="13">
        <f>SUM(AZ11:AZ19)</f>
        <v/>
      </c>
      <c r="BA20" s="14">
        <f>IF(COUNT(BA11,BA12,BA13,BA14,BA15,BA16,BA17,BA18,BA19)=0,"",SUM(BA11:BA19))</f>
        <v/>
      </c>
      <c r="BB20" s="14">
        <f>SUM(BB11:BB19)</f>
        <v/>
      </c>
      <c r="BC20" s="14">
        <f>SUM(BC11:BC19)</f>
        <v/>
      </c>
      <c r="BD20" s="13">
        <f>IF(COUNT(BD11,BD12,BD13,BD14,BD15,BD16,BD17,BD18,BD19)=0,"",SUM(BD11:BD19))</f>
        <v/>
      </c>
      <c r="BE20" s="13">
        <f>SUM(BE11:BE19)</f>
        <v/>
      </c>
      <c r="BF20" s="13">
        <f>SUM(BF11:BF19)</f>
        <v/>
      </c>
      <c r="BG20" s="14">
        <f>IF(COUNT(BG11,BG12,BG13,BG14,BG15,BG16,BG17,BG18,BG19)=0,"",SUM(BG11:BG19))</f>
        <v/>
      </c>
      <c r="BH20" s="14">
        <f>SUM(BH11:BH19)</f>
        <v/>
      </c>
      <c r="BI20" s="14">
        <f>SUM(BI11:BI19)</f>
        <v/>
      </c>
      <c r="BJ20" s="13">
        <f>IF(COUNT(BJ11,BJ12,BJ13,BJ14,BJ15,BJ16,BJ17,BJ18,BJ19)=0,"",SUM(BJ11:BJ19))</f>
        <v/>
      </c>
      <c r="BK20" s="13">
        <f>SUM(BK11:BK19)</f>
        <v/>
      </c>
      <c r="BL20" s="13">
        <f>SUM(BL11:BL19)</f>
        <v/>
      </c>
      <c r="BM20" s="14">
        <f>IF(COUNT(BM11,BM12,BM13,BM14,BM15,BM16,BM17,BM18,BM19)=0,"",SUM(BM11:BM19))</f>
        <v/>
      </c>
      <c r="BN20" s="14">
        <f>SUM(BN11:BN19)</f>
        <v/>
      </c>
      <c r="BO20" s="14">
        <f>SUM(BO11:BO19)</f>
        <v/>
      </c>
      <c r="BP20" s="13">
        <f>IF(COUNT(BP11,BP12,BP13,BP14,BP15,BP16,BP17,BP18,BP19)=0,"",SUM(BP11:BP19))</f>
        <v/>
      </c>
      <c r="BQ20" s="13">
        <f>SUM(BQ11:BQ19)</f>
        <v/>
      </c>
      <c r="BR20" s="13">
        <f>SUM(BR11:BR19)</f>
        <v/>
      </c>
      <c r="BS20" s="14">
        <f>IF(COUNT(BS11,BS12,BS13,BS14,BS15,BS16,BS17,BS18,BS19)=0,"",SUM(BS11:BS19))</f>
        <v/>
      </c>
      <c r="BT20" s="14">
        <f>SUM(BT11:BT19)</f>
        <v/>
      </c>
      <c r="BU20" s="14">
        <f>SUM(BU11:BU19)</f>
        <v/>
      </c>
      <c r="BV20" s="13">
        <f>IF(COUNT(BV11,BV12,BV13,BV14,BV15,BV16,BV17,BV18,BV19)=0,"",SUM(BV11:BV19))</f>
        <v/>
      </c>
      <c r="BW20" s="13">
        <f>SUM(BW11:BW19)</f>
        <v/>
      </c>
      <c r="BX20" s="13">
        <f>SUM(BX11:BX19)</f>
        <v/>
      </c>
      <c r="BY20" s="14">
        <f>IF(COUNT(BY11,BY12,BY13,BY14,BY15,BY16,BY17,BY18,BY19)=0,"",SUM(BY11:BY19))</f>
        <v/>
      </c>
      <c r="BZ20" s="14">
        <f>SUM(BZ11:BZ19)</f>
        <v/>
      </c>
      <c r="CA20" s="14">
        <f>SUM(CA11:CA19)</f>
        <v/>
      </c>
      <c r="CB20" s="13">
        <f>IF(COUNT(CB11,CB12,CB13,CB14,CB15,CB16,CB17,CB18,CB19)=0,"",SUM(CB11:CB19))</f>
        <v/>
      </c>
      <c r="CC20" s="13">
        <f>SUM(CC11:CC19)</f>
        <v/>
      </c>
      <c r="CD20" s="13">
        <f>SUM(CD11:CD19)</f>
        <v/>
      </c>
      <c r="CE20" s="14">
        <f>IF(COUNT(CE11,CE12,CE13,CE14,CE15,CE16,CE17,CE18,CE19)=0,"",SUM(CE11:CE19))</f>
        <v/>
      </c>
      <c r="CF20" s="14">
        <f>SUM(CF11:CF19)</f>
        <v/>
      </c>
      <c r="CG20" s="14">
        <f>SUM(CG11:CG19)</f>
        <v/>
      </c>
      <c r="CH20" s="13">
        <f>IF(COUNT(CH11,CH12,CH13,CH14,CH15,CH16,CH17,CH18,CH19)=0,"",SUM(CH11:CH19))</f>
        <v/>
      </c>
      <c r="CI20" s="13">
        <f>SUM(CI11:CI19)</f>
        <v/>
      </c>
      <c r="CJ20" s="13">
        <f>SUM(CJ11:CJ19)</f>
        <v/>
      </c>
      <c r="CK20" s="14">
        <f>IF(COUNT(CK11,CK12,CK13,CK14,CK15,CK16,CK17,CK18,CK19)=0,"",SUM(CK11:CK19))</f>
        <v/>
      </c>
      <c r="CL20" s="14">
        <f>SUM(CL11:CL19)</f>
        <v/>
      </c>
      <c r="CM20" s="14">
        <f>SUM(CM11:CM19)</f>
        <v/>
      </c>
      <c r="CN20" s="13">
        <f>IF(COUNT(CN11,CN12,CN13,CN14,CN15,CN16,CN17,CN18,CN19)=0,"",SUM(CN11:CN19))</f>
        <v/>
      </c>
      <c r="CO20" s="13">
        <f>SUM(CO11:CO19)</f>
        <v/>
      </c>
      <c r="CP20" s="13">
        <f>SUM(CP11:CP19)</f>
        <v/>
      </c>
      <c r="CQ20" s="14">
        <f>IF(COUNT(CQ11,CQ12,CQ13,CQ14,CQ15,CQ16,CQ17,CQ18,CQ19)=0,"",SUM(CQ11:CQ19))</f>
        <v/>
      </c>
      <c r="CR20" s="14">
        <f>SUM(CR11:CR19)</f>
        <v/>
      </c>
      <c r="CS20" s="14">
        <f>SUM(CS11:CS19)</f>
        <v/>
      </c>
      <c r="CT20" s="13">
        <f>IF(COUNT(CT11,CT12,CT13,CT14,CT15,CT16,CT17,CT18,CT19)=0,"",SUM(CT11:CT19))</f>
        <v/>
      </c>
      <c r="CU20" s="13">
        <f>SUM(CU11:CU19)</f>
        <v/>
      </c>
      <c r="CV20" s="13">
        <f>SUM(CV11:CV19)</f>
        <v/>
      </c>
      <c r="CW20" s="14">
        <f>IF(COUNT(CW11,CW12,CW13,CW14,CW15,CW16,CW17,CW18,CW19)=0,"",SUM(CW11:CW19))</f>
        <v/>
      </c>
      <c r="CX20" s="14">
        <f>SUM(CX11:CX19)</f>
        <v/>
      </c>
      <c r="CY20" s="14">
        <f>SUM(CY11:CY19)</f>
        <v/>
      </c>
      <c r="CZ20" s="13">
        <f>IF(COUNT(CZ11,CZ12,CZ13,CZ14,CZ15,CZ16,CZ17,CZ18,CZ19)=0,"",SUM(CZ11:CZ19))</f>
        <v/>
      </c>
      <c r="DA20" s="13">
        <f>SUM(DA11:DA19)</f>
        <v/>
      </c>
      <c r="DB20" s="13">
        <f>SUM(DB11:DB19)</f>
        <v/>
      </c>
      <c r="DC20" s="14">
        <f>IF(COUNT(DC11,DC12,DC13,DC14,DC15,DC16,DC17,DC18,DC19)=0,"",SUM(DC11:DC19))</f>
        <v/>
      </c>
      <c r="DD20" s="14">
        <f>SUM(DD11:DD19)</f>
        <v/>
      </c>
      <c r="DE20" s="14">
        <f>SUM(DE11:DE19)</f>
        <v/>
      </c>
      <c r="DF20" s="13">
        <f>IF(COUNT(DF11,DF12,DF13,DF14,DF15,DF16,DF17,DF18,DF19)=0,"",SUM(DF11:DF19))</f>
        <v/>
      </c>
      <c r="DG20" s="13">
        <f>SUM(DG11:DG19)</f>
        <v/>
      </c>
      <c r="DH20" s="13">
        <f>SUM(DH11:DH19)</f>
        <v/>
      </c>
      <c r="DI20" s="14">
        <f>IF(COUNT(DI11,DI12,DI13,DI14,DI15,DI16,DI17,DI18,DI19)=0,"",SUM(DI11:DI19))</f>
        <v/>
      </c>
      <c r="DJ20" s="14">
        <f>SUM(DJ11:DJ19)</f>
        <v/>
      </c>
      <c r="DK20" s="14">
        <f>SUM(DK11:DK19)</f>
        <v/>
      </c>
      <c r="DL20" s="13">
        <f>IF(COUNT(DL11,DL12,DL13,DL14,DL15,DL16,DL17,DL18,DL19)=0,"",SUM(DL11:DL19))</f>
        <v/>
      </c>
      <c r="DM20" s="13">
        <f>SUM(DM11:DM19)</f>
        <v/>
      </c>
      <c r="DN20" s="13">
        <f>SUM(DN11:DN19)</f>
        <v/>
      </c>
    </row>
    <row r="21">
      <c r="A21" s="2" t="inlineStr">
        <is>
          <t>Support Desk Platform</t>
        </is>
      </c>
      <c r="B21" s="10">
        <f>IF(COUNT(AR21,AO21,AL21,AI21,AF21,AC21,Z21,W21,T21,Q21,N21,K21)=0,"",SUM(AR21,AO21,AL21,AI21,AF21,AC21,Z21,W21,T21,Q21,N21,K21))</f>
        <v/>
      </c>
      <c r="C21" s="10">
        <f>IF(COUNT(AS21,AP21,AM21,AJ21,AG21,AD21,AA21,X21,U21,R21,O21,L21)=0,"",SUM(AS21,AP21,AM21,AJ21,AG21,AD21,AA21,X21,U21,R21,O21,L21))</f>
        <v/>
      </c>
      <c r="D21" s="10">
        <f>IF(COUNT(AT21,AQ21,AN21,AK21,AH21,AE21,AB21,Y21,V21,S21,P21,M21)=0,"",SUM(AT21,AQ21,AN21,AK21,AH21,AE21,AB21,Y21,V21,S21,P21,M21))</f>
        <v/>
      </c>
      <c r="E21" s="11">
        <f>IF(COUNT(CB21,BY21,BV21,BS21,BP21,BM21,BJ21,BG21,BD21,BA21,AX21,AU21)=0,"",SUM(CB21,BY21,BV21,BS21,BP21,BM21,BJ21,BG21,BD21,BA21,AX21,AU21))</f>
        <v/>
      </c>
      <c r="F21" s="11">
        <f>IF(COUNT(CC21,BZ21,BW21,BT21,BQ21,BN21,BK21,BH21,BE21,BB21,AY21,AV21)=0,"",SUM(CC21,BZ21,BW21,BT21,BQ21,BN21,BK21,BH21,BE21,BB21,AY21,AV21))</f>
        <v/>
      </c>
      <c r="G21" s="11">
        <f>IF(COUNT(CD21,CA21,BX21,BU21,BR21,BO21,BL21,BI21,BF21,BC21,AZ21,AW21)=0,"",SUM(CD21,CA21,BX21,BU21,BR21,BO21,BL21,BI21,BF21,BC21,AZ21,AW21))</f>
        <v/>
      </c>
      <c r="H21" s="10">
        <f>IF(COUNT(DL21,DI21,DF21,DC21,CZ21,CW21,CT21,CQ21,CN21,CK21,CH21,CE21)=0,"",SUM(DL21,DI21,DF21,DC21,CZ21,CW21,CT21,CQ21,CN21,CK21,CH21,CE21))</f>
        <v/>
      </c>
      <c r="I21" s="10">
        <f>IF(COUNT(DM21,DJ21,DG21,DD21,DA21,CX21,CU21,CR21,CO21,CL21,CI21,CF21)=0,"",SUM(DM21,DJ21,DG21,DD21,DA21,CX21,CU21,CR21,CO21,CL21,CI21,CF21))</f>
        <v/>
      </c>
      <c r="J21" s="10">
        <f>IF(COUNT(DN21,DK21,DH21,DE21,DB21,CY21,CV21,CS21,CP21,CM21,CJ21,CG21)=0,"",SUM(DN21,DK21,DH21,DE21,DB21,CY21,CV21,CS21,CP21,CM21,CJ21,CG21))</f>
        <v/>
      </c>
      <c r="K21" s="11" t="n"/>
      <c r="L21" s="11" t="n">
        <v>2500</v>
      </c>
      <c r="M21" s="11" t="n">
        <v>2500</v>
      </c>
      <c r="N21" s="10" t="n"/>
      <c r="O21" s="10" t="n">
        <v>2500</v>
      </c>
      <c r="P21" s="10" t="n">
        <v>2500</v>
      </c>
      <c r="Q21" s="11" t="n"/>
      <c r="R21" s="11" t="n">
        <v>2500</v>
      </c>
      <c r="S21" s="11" t="n">
        <v>2500</v>
      </c>
      <c r="T21" s="10" t="n"/>
      <c r="U21" s="10" t="n">
        <v>2500</v>
      </c>
      <c r="V21" s="10" t="n">
        <v>2500</v>
      </c>
      <c r="W21" s="11" t="n"/>
      <c r="X21" s="11" t="n">
        <v>2500</v>
      </c>
      <c r="Y21" s="11" t="n">
        <v>2500</v>
      </c>
      <c r="Z21" s="10" t="n"/>
      <c r="AA21" s="10" t="n">
        <v>2500</v>
      </c>
      <c r="AB21" s="10" t="n">
        <v>2500</v>
      </c>
      <c r="AC21" s="11" t="n"/>
      <c r="AD21" s="11" t="n">
        <v>2500</v>
      </c>
      <c r="AE21" s="11" t="n">
        <v>2500</v>
      </c>
      <c r="AF21" s="10" t="n"/>
      <c r="AG21" s="10" t="n">
        <v>2500</v>
      </c>
      <c r="AH21" s="10" t="n">
        <v>2500</v>
      </c>
      <c r="AI21" s="11" t="n"/>
      <c r="AJ21" s="11" t="n">
        <v>2500</v>
      </c>
      <c r="AK21" s="11" t="n">
        <v>2500</v>
      </c>
      <c r="AL21" s="10" t="n"/>
      <c r="AM21" s="10" t="n">
        <v>2500</v>
      </c>
      <c r="AN21" s="10" t="n">
        <v>2500</v>
      </c>
      <c r="AO21" s="11" t="n"/>
      <c r="AP21" s="11" t="n">
        <v>2500</v>
      </c>
      <c r="AQ21" s="11" t="n">
        <v>2500</v>
      </c>
      <c r="AR21" s="10" t="n"/>
      <c r="AS21" s="10" t="n">
        <v>2500</v>
      </c>
      <c r="AT21" s="10" t="n">
        <v>2500</v>
      </c>
      <c r="AU21" s="11" t="n"/>
      <c r="AV21" s="11" t="n">
        <v>2500</v>
      </c>
      <c r="AW21" s="11" t="n">
        <v>2500</v>
      </c>
      <c r="AX21" s="10" t="n"/>
      <c r="AY21" s="10" t="n">
        <v>2500</v>
      </c>
      <c r="AZ21" s="10" t="n">
        <v>2500</v>
      </c>
      <c r="BA21" s="11" t="n"/>
      <c r="BB21" s="11" t="n">
        <v>2500</v>
      </c>
      <c r="BC21" s="11" t="n">
        <v>2500</v>
      </c>
      <c r="BD21" s="10" t="n"/>
      <c r="BE21" s="10" t="n">
        <v>2500</v>
      </c>
      <c r="BF21" s="10" t="n">
        <v>2500</v>
      </c>
      <c r="BG21" s="11" t="n"/>
      <c r="BH21" s="11" t="n">
        <v>2500</v>
      </c>
      <c r="BI21" s="11" t="n">
        <v>2500</v>
      </c>
      <c r="BJ21" s="10" t="n"/>
      <c r="BK21" s="10" t="n">
        <v>2500</v>
      </c>
      <c r="BL21" s="10" t="n">
        <v>2500</v>
      </c>
      <c r="BM21" s="11" t="n"/>
      <c r="BN21" s="11" t="n">
        <v>2500</v>
      </c>
      <c r="BO21" s="11" t="n">
        <v>2500</v>
      </c>
      <c r="BP21" s="10" t="n"/>
      <c r="BQ21" s="10" t="n">
        <v>2500</v>
      </c>
      <c r="BR21" s="10" t="n">
        <v>2500</v>
      </c>
      <c r="BS21" s="11" t="n"/>
      <c r="BT21" s="11" t="n">
        <v>2500</v>
      </c>
      <c r="BU21" s="11" t="n">
        <v>2500</v>
      </c>
      <c r="BV21" s="10" t="n"/>
      <c r="BW21" s="10" t="n">
        <v>2500</v>
      </c>
      <c r="BX21" s="10" t="n">
        <v>2500</v>
      </c>
      <c r="BY21" s="11" t="n"/>
      <c r="BZ21" s="11" t="n">
        <v>2500</v>
      </c>
      <c r="CA21" s="11" t="n">
        <v>2500</v>
      </c>
      <c r="CB21" s="10" t="n"/>
      <c r="CC21" s="10" t="n">
        <v>2500</v>
      </c>
      <c r="CD21" s="10" t="n">
        <v>2500</v>
      </c>
      <c r="CE21" s="11" t="n"/>
      <c r="CF21" s="11" t="n">
        <v>2500</v>
      </c>
      <c r="CG21" s="11" t="n">
        <v>2500</v>
      </c>
      <c r="CH21" s="10" t="n"/>
      <c r="CI21" s="10" t="n">
        <v>2500</v>
      </c>
      <c r="CJ21" s="10" t="n">
        <v>2500</v>
      </c>
      <c r="CK21" s="11" t="n"/>
      <c r="CL21" s="11" t="n">
        <v>2500</v>
      </c>
      <c r="CM21" s="11" t="n">
        <v>2500</v>
      </c>
      <c r="CN21" s="10" t="n"/>
      <c r="CO21" s="10" t="n">
        <v>2500</v>
      </c>
      <c r="CP21" s="10" t="n">
        <v>2500</v>
      </c>
      <c r="CQ21" s="11" t="n"/>
      <c r="CR21" s="11" t="n">
        <v>2500</v>
      </c>
      <c r="CS21" s="11" t="n">
        <v>2500</v>
      </c>
      <c r="CT21" s="10" t="n"/>
      <c r="CU21" s="10" t="n">
        <v>2500</v>
      </c>
      <c r="CV21" s="10" t="n">
        <v>2500</v>
      </c>
      <c r="CW21" s="11" t="n"/>
      <c r="CX21" s="11" t="n">
        <v>2500</v>
      </c>
      <c r="CY21" s="11" t="n">
        <v>2500</v>
      </c>
      <c r="CZ21" s="10" t="n"/>
      <c r="DA21" s="10" t="n">
        <v>2500</v>
      </c>
      <c r="DB21" s="10" t="n">
        <v>2500</v>
      </c>
      <c r="DC21" s="11" t="n"/>
      <c r="DD21" s="11" t="n">
        <v>2500</v>
      </c>
      <c r="DE21" s="11" t="n">
        <v>2500</v>
      </c>
      <c r="DF21" s="10" t="n"/>
      <c r="DG21" s="10" t="n">
        <v>2500</v>
      </c>
      <c r="DH21" s="10" t="n">
        <v>2500</v>
      </c>
      <c r="DI21" s="11" t="n">
        <v>2500</v>
      </c>
      <c r="DJ21" s="11" t="n">
        <v>2500</v>
      </c>
      <c r="DK21" s="11" t="n">
        <v>2500</v>
      </c>
      <c r="DL21" s="10" t="n">
        <v>2500</v>
      </c>
      <c r="DM21" s="10" t="n">
        <v>2500</v>
      </c>
      <c r="DN21" s="10" t="n">
        <v>2500</v>
      </c>
    </row>
    <row r="22">
      <c r="A22" s="2" t="inlineStr">
        <is>
          <t>Knowledge Base and Documentation</t>
        </is>
      </c>
      <c r="B22" s="10">
        <f>IF(COUNT(AR22,AO22,AL22,AI22,AF22,AC22,Z22,W22,T22,Q22,N22,K22)=0,"",SUM(AR22,AO22,AL22,AI22,AF22,AC22,Z22,W22,T22,Q22,N22,K22))</f>
        <v/>
      </c>
      <c r="C22" s="10">
        <f>IF(COUNT(AS22,AP22,AM22,AJ22,AG22,AD22,AA22,X22,U22,R22,O22,L22)=0,"",SUM(AS22,AP22,AM22,AJ22,AG22,AD22,AA22,X22,U22,R22,O22,L22))</f>
        <v/>
      </c>
      <c r="D22" s="10">
        <f>IF(COUNT(AT22,AQ22,AN22,AK22,AH22,AE22,AB22,Y22,V22,S22,P22,M22)=0,"",SUM(AT22,AQ22,AN22,AK22,AH22,AE22,AB22,Y22,V22,S22,P22,M22))</f>
        <v/>
      </c>
      <c r="E22" s="11">
        <f>IF(COUNT(CB22,BY22,BV22,BS22,BP22,BM22,BJ22,BG22,BD22,BA22,AX22,AU22)=0,"",SUM(CB22,BY22,BV22,BS22,BP22,BM22,BJ22,BG22,BD22,BA22,AX22,AU22))</f>
        <v/>
      </c>
      <c r="F22" s="11">
        <f>IF(COUNT(CC22,BZ22,BW22,BT22,BQ22,BN22,BK22,BH22,BE22,BB22,AY22,AV22)=0,"",SUM(CC22,BZ22,BW22,BT22,BQ22,BN22,BK22,BH22,BE22,BB22,AY22,AV22))</f>
        <v/>
      </c>
      <c r="G22" s="11">
        <f>IF(COUNT(CD22,CA22,BX22,BU22,BR22,BO22,BL22,BI22,BF22,BC22,AZ22,AW22)=0,"",SUM(CD22,CA22,BX22,BU22,BR22,BO22,BL22,BI22,BF22,BC22,AZ22,AW22))</f>
        <v/>
      </c>
      <c r="H22" s="10">
        <f>IF(COUNT(DL22,DI22,DF22,DC22,CZ22,CW22,CT22,CQ22,CN22,CK22,CH22,CE22)=0,"",SUM(DL22,DI22,DF22,DC22,CZ22,CW22,CT22,CQ22,CN22,CK22,CH22,CE22))</f>
        <v/>
      </c>
      <c r="I22" s="10">
        <f>IF(COUNT(DM22,DJ22,DG22,DD22,DA22,CX22,CU22,CR22,CO22,CL22,CI22,CF22)=0,"",SUM(DM22,DJ22,DG22,DD22,DA22,CX22,CU22,CR22,CO22,CL22,CI22,CF22))</f>
        <v/>
      </c>
      <c r="J22" s="10">
        <f>IF(COUNT(DN22,DK22,DH22,DE22,DB22,CY22,CV22,CS22,CP22,CM22,CJ22,CG22)=0,"",SUM(DN22,DK22,DH22,DE22,DB22,CY22,CV22,CS22,CP22,CM22,CJ22,CG22))</f>
        <v/>
      </c>
      <c r="K22" s="11" t="n"/>
      <c r="L22" s="11" t="n">
        <v>1500</v>
      </c>
      <c r="M22" s="11" t="n">
        <v>1500</v>
      </c>
      <c r="N22" s="10" t="n"/>
      <c r="O22" s="10" t="n">
        <v>1500</v>
      </c>
      <c r="P22" s="10" t="n">
        <v>1500</v>
      </c>
      <c r="Q22" s="11" t="n"/>
      <c r="R22" s="11" t="n">
        <v>1500</v>
      </c>
      <c r="S22" s="11" t="n">
        <v>1500</v>
      </c>
      <c r="T22" s="10" t="n"/>
      <c r="U22" s="10" t="n">
        <v>1500</v>
      </c>
      <c r="V22" s="10" t="n">
        <v>1500</v>
      </c>
      <c r="W22" s="11" t="n"/>
      <c r="X22" s="11" t="n">
        <v>1500</v>
      </c>
      <c r="Y22" s="11" t="n">
        <v>1500</v>
      </c>
      <c r="Z22" s="10" t="n"/>
      <c r="AA22" s="10" t="n">
        <v>1500</v>
      </c>
      <c r="AB22" s="10" t="n">
        <v>1500</v>
      </c>
      <c r="AC22" s="11" t="n"/>
      <c r="AD22" s="11" t="n">
        <v>1500</v>
      </c>
      <c r="AE22" s="11" t="n">
        <v>1500</v>
      </c>
      <c r="AF22" s="10" t="n"/>
      <c r="AG22" s="10" t="n">
        <v>1500</v>
      </c>
      <c r="AH22" s="10" t="n">
        <v>1500</v>
      </c>
      <c r="AI22" s="11" t="n"/>
      <c r="AJ22" s="11" t="n">
        <v>1500</v>
      </c>
      <c r="AK22" s="11" t="n">
        <v>1500</v>
      </c>
      <c r="AL22" s="10" t="n"/>
      <c r="AM22" s="10" t="n">
        <v>1500</v>
      </c>
      <c r="AN22" s="10" t="n">
        <v>1500</v>
      </c>
      <c r="AO22" s="11" t="n"/>
      <c r="AP22" s="11" t="n">
        <v>1500</v>
      </c>
      <c r="AQ22" s="11" t="n">
        <v>1500</v>
      </c>
      <c r="AR22" s="10" t="n"/>
      <c r="AS22" s="10" t="n">
        <v>1500</v>
      </c>
      <c r="AT22" s="10" t="n">
        <v>1500</v>
      </c>
      <c r="AU22" s="11" t="n"/>
      <c r="AV22" s="11" t="n">
        <v>1500</v>
      </c>
      <c r="AW22" s="11" t="n">
        <v>1500</v>
      </c>
      <c r="AX22" s="10" t="n"/>
      <c r="AY22" s="10" t="n">
        <v>1500</v>
      </c>
      <c r="AZ22" s="10" t="n">
        <v>1500</v>
      </c>
      <c r="BA22" s="11" t="n"/>
      <c r="BB22" s="11" t="n">
        <v>1500</v>
      </c>
      <c r="BC22" s="11" t="n">
        <v>1500</v>
      </c>
      <c r="BD22" s="10" t="n"/>
      <c r="BE22" s="10" t="n">
        <v>1500</v>
      </c>
      <c r="BF22" s="10" t="n">
        <v>1500</v>
      </c>
      <c r="BG22" s="11" t="n"/>
      <c r="BH22" s="11" t="n">
        <v>1500</v>
      </c>
      <c r="BI22" s="11" t="n">
        <v>1500</v>
      </c>
      <c r="BJ22" s="10" t="n"/>
      <c r="BK22" s="10" t="n">
        <v>1500</v>
      </c>
      <c r="BL22" s="10" t="n">
        <v>1500</v>
      </c>
      <c r="BM22" s="11" t="n"/>
      <c r="BN22" s="11" t="n">
        <v>1500</v>
      </c>
      <c r="BO22" s="11" t="n">
        <v>1500</v>
      </c>
      <c r="BP22" s="10" t="n"/>
      <c r="BQ22" s="10" t="n">
        <v>1500</v>
      </c>
      <c r="BR22" s="10" t="n">
        <v>1500</v>
      </c>
      <c r="BS22" s="11" t="n"/>
      <c r="BT22" s="11" t="n">
        <v>1500</v>
      </c>
      <c r="BU22" s="11" t="n">
        <v>1500</v>
      </c>
      <c r="BV22" s="10" t="n"/>
      <c r="BW22" s="10" t="n">
        <v>1500</v>
      </c>
      <c r="BX22" s="10" t="n">
        <v>1500</v>
      </c>
      <c r="BY22" s="11" t="n"/>
      <c r="BZ22" s="11" t="n">
        <v>1500</v>
      </c>
      <c r="CA22" s="11" t="n">
        <v>1500</v>
      </c>
      <c r="CB22" s="10" t="n"/>
      <c r="CC22" s="10" t="n">
        <v>1500</v>
      </c>
      <c r="CD22" s="10" t="n">
        <v>1500</v>
      </c>
      <c r="CE22" s="11" t="n"/>
      <c r="CF22" s="11" t="n">
        <v>1500</v>
      </c>
      <c r="CG22" s="11" t="n">
        <v>1500</v>
      </c>
      <c r="CH22" s="10" t="n"/>
      <c r="CI22" s="10" t="n">
        <v>1500</v>
      </c>
      <c r="CJ22" s="10" t="n">
        <v>1500</v>
      </c>
      <c r="CK22" s="11" t="n"/>
      <c r="CL22" s="11" t="n">
        <v>1500</v>
      </c>
      <c r="CM22" s="11" t="n">
        <v>1500</v>
      </c>
      <c r="CN22" s="10" t="n"/>
      <c r="CO22" s="10" t="n">
        <v>1500</v>
      </c>
      <c r="CP22" s="10" t="n">
        <v>1500</v>
      </c>
      <c r="CQ22" s="11" t="n"/>
      <c r="CR22" s="11" t="n">
        <v>1500</v>
      </c>
      <c r="CS22" s="11" t="n">
        <v>1500</v>
      </c>
      <c r="CT22" s="10" t="n"/>
      <c r="CU22" s="10" t="n">
        <v>1500</v>
      </c>
      <c r="CV22" s="10" t="n">
        <v>1500</v>
      </c>
      <c r="CW22" s="11" t="n"/>
      <c r="CX22" s="11" t="n">
        <v>1500</v>
      </c>
      <c r="CY22" s="11" t="n">
        <v>1500</v>
      </c>
      <c r="CZ22" s="10" t="n"/>
      <c r="DA22" s="10" t="n">
        <v>1500</v>
      </c>
      <c r="DB22" s="10" t="n">
        <v>1500</v>
      </c>
      <c r="DC22" s="11" t="n"/>
      <c r="DD22" s="11" t="n">
        <v>1500</v>
      </c>
      <c r="DE22" s="11" t="n">
        <v>1500</v>
      </c>
      <c r="DF22" s="10" t="n"/>
      <c r="DG22" s="10" t="n">
        <v>1500</v>
      </c>
      <c r="DH22" s="10" t="n">
        <v>1500</v>
      </c>
      <c r="DI22" s="11" t="n">
        <v>1500</v>
      </c>
      <c r="DJ22" s="11" t="n">
        <v>1500</v>
      </c>
      <c r="DK22" s="11" t="n">
        <v>1500</v>
      </c>
      <c r="DL22" s="10" t="n">
        <v>1500</v>
      </c>
      <c r="DM22" s="10" t="n">
        <v>1500</v>
      </c>
      <c r="DN22" s="10" t="n">
        <v>1500</v>
      </c>
    </row>
    <row r="23">
      <c r="A23" s="2" t="inlineStr">
        <is>
          <t>Escalation and On-call</t>
        </is>
      </c>
      <c r="B23" s="10">
        <f>IF(COUNT(AR23,AO23,AL23,AI23,AF23,AC23,Z23,W23,T23,Q23,N23,K23)=0,"",SUM(AR23,AO23,AL23,AI23,AF23,AC23,Z23,W23,T23,Q23,N23,K23))</f>
        <v/>
      </c>
      <c r="C23" s="10">
        <f>IF(COUNT(AS23,AP23,AM23,AJ23,AG23,AD23,AA23,X23,U23,R23,O23,L23)=0,"",SUM(AS23,AP23,AM23,AJ23,AG23,AD23,AA23,X23,U23,R23,O23,L23))</f>
        <v/>
      </c>
      <c r="D23" s="10">
        <f>IF(COUNT(AT23,AQ23,AN23,AK23,AH23,AE23,AB23,Y23,V23,S23,P23,M23)=0,"",SUM(AT23,AQ23,AN23,AK23,AH23,AE23,AB23,Y23,V23,S23,P23,M23))</f>
        <v/>
      </c>
      <c r="E23" s="11">
        <f>IF(COUNT(CB23,BY23,BV23,BS23,BP23,BM23,BJ23,BG23,BD23,BA23,AX23,AU23)=0,"",SUM(CB23,BY23,BV23,BS23,BP23,BM23,BJ23,BG23,BD23,BA23,AX23,AU23))</f>
        <v/>
      </c>
      <c r="F23" s="11">
        <f>IF(COUNT(CC23,BZ23,BW23,BT23,BQ23,BN23,BK23,BH23,BE23,BB23,AY23,AV23)=0,"",SUM(CC23,BZ23,BW23,BT23,BQ23,BN23,BK23,BH23,BE23,BB23,AY23,AV23))</f>
        <v/>
      </c>
      <c r="G23" s="11">
        <f>IF(COUNT(CD23,CA23,BX23,BU23,BR23,BO23,BL23,BI23,BF23,BC23,AZ23,AW23)=0,"",SUM(CD23,CA23,BX23,BU23,BR23,BO23,BL23,BI23,BF23,BC23,AZ23,AW23))</f>
        <v/>
      </c>
      <c r="H23" s="10">
        <f>IF(COUNT(DL23,DI23,DF23,DC23,CZ23,CW23,CT23,CQ23,CN23,CK23,CH23,CE23)=0,"",SUM(DL23,DI23,DF23,DC23,CZ23,CW23,CT23,CQ23,CN23,CK23,CH23,CE23))</f>
        <v/>
      </c>
      <c r="I23" s="10">
        <f>IF(COUNT(DM23,DJ23,DG23,DD23,DA23,CX23,CU23,CR23,CO23,CL23,CI23,CF23)=0,"",SUM(DM23,DJ23,DG23,DD23,DA23,CX23,CU23,CR23,CO23,CL23,CI23,CF23))</f>
        <v/>
      </c>
      <c r="J23" s="10">
        <f>IF(COUNT(DN23,DK23,DH23,DE23,DB23,CY23,CV23,CS23,CP23,CM23,CJ23,CG23)=0,"",SUM(DN23,DK23,DH23,DE23,DB23,CY23,CV23,CS23,CP23,CM23,CJ23,CG23))</f>
        <v/>
      </c>
      <c r="K23" s="11" t="n"/>
      <c r="L23" s="11" t="n">
        <v>1000</v>
      </c>
      <c r="M23" s="11" t="n">
        <v>1000</v>
      </c>
      <c r="N23" s="10" t="n"/>
      <c r="O23" s="10" t="n">
        <v>1000</v>
      </c>
      <c r="P23" s="10" t="n">
        <v>1000</v>
      </c>
      <c r="Q23" s="11" t="n"/>
      <c r="R23" s="11" t="n">
        <v>1000</v>
      </c>
      <c r="S23" s="11" t="n">
        <v>1000</v>
      </c>
      <c r="T23" s="10" t="n"/>
      <c r="U23" s="10" t="n">
        <v>1000</v>
      </c>
      <c r="V23" s="10" t="n">
        <v>1000</v>
      </c>
      <c r="W23" s="11" t="n"/>
      <c r="X23" s="11" t="n">
        <v>1000</v>
      </c>
      <c r="Y23" s="11" t="n">
        <v>1000</v>
      </c>
      <c r="Z23" s="10" t="n"/>
      <c r="AA23" s="10" t="n">
        <v>1000</v>
      </c>
      <c r="AB23" s="10" t="n">
        <v>1000</v>
      </c>
      <c r="AC23" s="11" t="n"/>
      <c r="AD23" s="11" t="n">
        <v>1000</v>
      </c>
      <c r="AE23" s="11" t="n">
        <v>1000</v>
      </c>
      <c r="AF23" s="10" t="n"/>
      <c r="AG23" s="10" t="n">
        <v>1000</v>
      </c>
      <c r="AH23" s="10" t="n">
        <v>1000</v>
      </c>
      <c r="AI23" s="11" t="n"/>
      <c r="AJ23" s="11" t="n">
        <v>1000</v>
      </c>
      <c r="AK23" s="11" t="n">
        <v>1000</v>
      </c>
      <c r="AL23" s="10" t="n"/>
      <c r="AM23" s="10" t="n">
        <v>1000</v>
      </c>
      <c r="AN23" s="10" t="n">
        <v>1000</v>
      </c>
      <c r="AO23" s="11" t="n"/>
      <c r="AP23" s="11" t="n">
        <v>1000</v>
      </c>
      <c r="AQ23" s="11" t="n">
        <v>1000</v>
      </c>
      <c r="AR23" s="10" t="n"/>
      <c r="AS23" s="10" t="n">
        <v>1000</v>
      </c>
      <c r="AT23" s="10" t="n">
        <v>1000</v>
      </c>
      <c r="AU23" s="11" t="n"/>
      <c r="AV23" s="11" t="n">
        <v>1000</v>
      </c>
      <c r="AW23" s="11" t="n">
        <v>1000</v>
      </c>
      <c r="AX23" s="10" t="n"/>
      <c r="AY23" s="10" t="n">
        <v>1000</v>
      </c>
      <c r="AZ23" s="10" t="n">
        <v>1000</v>
      </c>
      <c r="BA23" s="11" t="n"/>
      <c r="BB23" s="11" t="n">
        <v>1000</v>
      </c>
      <c r="BC23" s="11" t="n">
        <v>1000</v>
      </c>
      <c r="BD23" s="10" t="n"/>
      <c r="BE23" s="10" t="n">
        <v>1000</v>
      </c>
      <c r="BF23" s="10" t="n">
        <v>1000</v>
      </c>
      <c r="BG23" s="11" t="n"/>
      <c r="BH23" s="11" t="n">
        <v>1000</v>
      </c>
      <c r="BI23" s="11" t="n">
        <v>1000</v>
      </c>
      <c r="BJ23" s="10" t="n"/>
      <c r="BK23" s="10" t="n">
        <v>1000</v>
      </c>
      <c r="BL23" s="10" t="n">
        <v>1000</v>
      </c>
      <c r="BM23" s="11" t="n"/>
      <c r="BN23" s="11" t="n">
        <v>1000</v>
      </c>
      <c r="BO23" s="11" t="n">
        <v>1000</v>
      </c>
      <c r="BP23" s="10" t="n"/>
      <c r="BQ23" s="10" t="n">
        <v>1000</v>
      </c>
      <c r="BR23" s="10" t="n">
        <v>1000</v>
      </c>
      <c r="BS23" s="11" t="n"/>
      <c r="BT23" s="11" t="n">
        <v>1000</v>
      </c>
      <c r="BU23" s="11" t="n">
        <v>1000</v>
      </c>
      <c r="BV23" s="10" t="n"/>
      <c r="BW23" s="10" t="n">
        <v>1000</v>
      </c>
      <c r="BX23" s="10" t="n">
        <v>1000</v>
      </c>
      <c r="BY23" s="11" t="n"/>
      <c r="BZ23" s="11" t="n">
        <v>1000</v>
      </c>
      <c r="CA23" s="11" t="n">
        <v>1000</v>
      </c>
      <c r="CB23" s="10" t="n"/>
      <c r="CC23" s="10" t="n">
        <v>1000</v>
      </c>
      <c r="CD23" s="10" t="n">
        <v>1000</v>
      </c>
      <c r="CE23" s="11" t="n"/>
      <c r="CF23" s="11" t="n">
        <v>1000</v>
      </c>
      <c r="CG23" s="11" t="n">
        <v>1000</v>
      </c>
      <c r="CH23" s="10" t="n"/>
      <c r="CI23" s="10" t="n">
        <v>1000</v>
      </c>
      <c r="CJ23" s="10" t="n">
        <v>1000</v>
      </c>
      <c r="CK23" s="11" t="n"/>
      <c r="CL23" s="11" t="n">
        <v>1000</v>
      </c>
      <c r="CM23" s="11" t="n">
        <v>1000</v>
      </c>
      <c r="CN23" s="10" t="n"/>
      <c r="CO23" s="10" t="n">
        <v>1000</v>
      </c>
      <c r="CP23" s="10" t="n">
        <v>1000</v>
      </c>
      <c r="CQ23" s="11" t="n"/>
      <c r="CR23" s="11" t="n">
        <v>1000</v>
      </c>
      <c r="CS23" s="11" t="n">
        <v>1000</v>
      </c>
      <c r="CT23" s="10" t="n"/>
      <c r="CU23" s="10" t="n">
        <v>1000</v>
      </c>
      <c r="CV23" s="10" t="n">
        <v>1000</v>
      </c>
      <c r="CW23" s="11" t="n"/>
      <c r="CX23" s="11" t="n">
        <v>1000</v>
      </c>
      <c r="CY23" s="11" t="n">
        <v>1000</v>
      </c>
      <c r="CZ23" s="10" t="n"/>
      <c r="DA23" s="10" t="n">
        <v>1000</v>
      </c>
      <c r="DB23" s="10" t="n">
        <v>1000</v>
      </c>
      <c r="DC23" s="11" t="n"/>
      <c r="DD23" s="11" t="n">
        <v>1000</v>
      </c>
      <c r="DE23" s="11" t="n">
        <v>1000</v>
      </c>
      <c r="DF23" s="10" t="n"/>
      <c r="DG23" s="10" t="n">
        <v>1000</v>
      </c>
      <c r="DH23" s="10" t="n">
        <v>1000</v>
      </c>
      <c r="DI23" s="11" t="n">
        <v>1000</v>
      </c>
      <c r="DJ23" s="11" t="n">
        <v>1000</v>
      </c>
      <c r="DK23" s="11" t="n">
        <v>1000</v>
      </c>
      <c r="DL23" s="10" t="n">
        <v>1000</v>
      </c>
      <c r="DM23" s="10" t="n">
        <v>1000</v>
      </c>
      <c r="DN23" s="10" t="n">
        <v>1000</v>
      </c>
    </row>
    <row r="24">
      <c r="A24" s="12" t="inlineStr">
        <is>
          <t>Total Support Programs</t>
        </is>
      </c>
      <c r="B24" s="13">
        <f>IF(COUNT(AR24,AO24,AL24,AI24,AF24,AC24,Z24,W24,T24,Q24,N24,K24)=0,"",SUM(AR24,AO24,AL24,AI24,AF24,AC24,Z24,W24,T24,Q24,N24,K24))</f>
        <v/>
      </c>
      <c r="C24" s="13">
        <f>IF(COUNT(AS24,AP24,AM24,AJ24,AG24,AD24,AA24,X24,U24,R24,O24,L24)=0,"",SUM(AS24,AP24,AM24,AJ24,AG24,AD24,AA24,X24,U24,R24,O24,L24))</f>
        <v/>
      </c>
      <c r="D24" s="13">
        <f>IF(COUNT(AT24,AQ24,AN24,AK24,AH24,AE24,AB24,Y24,V24,S24,P24,M24)=0,"",SUM(AT24,AQ24,AN24,AK24,AH24,AE24,AB24,Y24,V24,S24,P24,M24))</f>
        <v/>
      </c>
      <c r="E24" s="14">
        <f>IF(COUNT(CB24,BY24,BV24,BS24,BP24,BM24,BJ24,BG24,BD24,BA24,AX24,AU24)=0,"",SUM(CB24,BY24,BV24,BS24,BP24,BM24,BJ24,BG24,BD24,BA24,AX24,AU24))</f>
        <v/>
      </c>
      <c r="F24" s="14">
        <f>IF(COUNT(CC24,BZ24,BW24,BT24,BQ24,BN24,BK24,BH24,BE24,BB24,AY24,AV24)=0,"",SUM(CC24,BZ24,BW24,BT24,BQ24,BN24,BK24,BH24,BE24,BB24,AY24,AV24))</f>
        <v/>
      </c>
      <c r="G24" s="14">
        <f>IF(COUNT(CD24,CA24,BX24,BU24,BR24,BO24,BL24,BI24,BF24,BC24,AZ24,AW24)=0,"",SUM(CD24,CA24,BX24,BU24,BR24,BO24,BL24,BI24,BF24,BC24,AZ24,AW24))</f>
        <v/>
      </c>
      <c r="H24" s="13">
        <f>IF(COUNT(DL24,DI24,DF24,DC24,CZ24,CW24,CT24,CQ24,CN24,CK24,CH24,CE24)=0,"",SUM(DL24,DI24,DF24,DC24,CZ24,CW24,CT24,CQ24,CN24,CK24,CH24,CE24))</f>
        <v/>
      </c>
      <c r="I24" s="13">
        <f>IF(COUNT(DM24,DJ24,DG24,DD24,DA24,CX24,CU24,CR24,CO24,CL24,CI24,CF24)=0,"",SUM(DM24,DJ24,DG24,DD24,DA24,CX24,CU24,CR24,CO24,CL24,CI24,CF24))</f>
        <v/>
      </c>
      <c r="J24" s="13">
        <f>IF(COUNT(DN24,DK24,DH24,DE24,DB24,CY24,CV24,CS24,CP24,CM24,CJ24,CG24)=0,"",SUM(DN24,DK24,DH24,DE24,DB24,CY24,CV24,CS24,CP24,CM24,CJ24,CG24))</f>
        <v/>
      </c>
      <c r="K24" s="14">
        <f>IF(COUNT(K21,K22,K23)=0,"",SUM(K21:K23))</f>
        <v/>
      </c>
      <c r="L24" s="14">
        <f>SUM(L21:L23)</f>
        <v/>
      </c>
      <c r="M24" s="14">
        <f>SUM(M21:M23)</f>
        <v/>
      </c>
      <c r="N24" s="13">
        <f>IF(COUNT(N21,N22,N23)=0,"",SUM(N21:N23))</f>
        <v/>
      </c>
      <c r="O24" s="13">
        <f>SUM(O21:O23)</f>
        <v/>
      </c>
      <c r="P24" s="13">
        <f>SUM(P21:P23)</f>
        <v/>
      </c>
      <c r="Q24" s="14">
        <f>IF(COUNT(Q21,Q22,Q23)=0,"",SUM(Q21:Q23))</f>
        <v/>
      </c>
      <c r="R24" s="14">
        <f>SUM(R21:R23)</f>
        <v/>
      </c>
      <c r="S24" s="14">
        <f>SUM(S21:S23)</f>
        <v/>
      </c>
      <c r="T24" s="13">
        <f>IF(COUNT(T21,T22,T23)=0,"",SUM(T21:T23))</f>
        <v/>
      </c>
      <c r="U24" s="13">
        <f>SUM(U21:U23)</f>
        <v/>
      </c>
      <c r="V24" s="13">
        <f>SUM(V21:V23)</f>
        <v/>
      </c>
      <c r="W24" s="14">
        <f>IF(COUNT(W21,W22,W23)=0,"",SUM(W21:W23))</f>
        <v/>
      </c>
      <c r="X24" s="14">
        <f>SUM(X21:X23)</f>
        <v/>
      </c>
      <c r="Y24" s="14">
        <f>SUM(Y21:Y23)</f>
        <v/>
      </c>
      <c r="Z24" s="13">
        <f>IF(COUNT(Z21,Z22,Z23)=0,"",SUM(Z21:Z23))</f>
        <v/>
      </c>
      <c r="AA24" s="13">
        <f>SUM(AA21:AA23)</f>
        <v/>
      </c>
      <c r="AB24" s="13">
        <f>SUM(AB21:AB23)</f>
        <v/>
      </c>
      <c r="AC24" s="14">
        <f>IF(COUNT(AC21,AC22,AC23)=0,"",SUM(AC21:AC23))</f>
        <v/>
      </c>
      <c r="AD24" s="14">
        <f>SUM(AD21:AD23)</f>
        <v/>
      </c>
      <c r="AE24" s="14">
        <f>SUM(AE21:AE23)</f>
        <v/>
      </c>
      <c r="AF24" s="13">
        <f>IF(COUNT(AF21,AF22,AF23)=0,"",SUM(AF21:AF23))</f>
        <v/>
      </c>
      <c r="AG24" s="13">
        <f>SUM(AG21:AG23)</f>
        <v/>
      </c>
      <c r="AH24" s="13">
        <f>SUM(AH21:AH23)</f>
        <v/>
      </c>
      <c r="AI24" s="14">
        <f>IF(COUNT(AI21,AI22,AI23)=0,"",SUM(AI21:AI23))</f>
        <v/>
      </c>
      <c r="AJ24" s="14">
        <f>SUM(AJ21:AJ23)</f>
        <v/>
      </c>
      <c r="AK24" s="14">
        <f>SUM(AK21:AK23)</f>
        <v/>
      </c>
      <c r="AL24" s="13">
        <f>IF(COUNT(AL21,AL22,AL23)=0,"",SUM(AL21:AL23))</f>
        <v/>
      </c>
      <c r="AM24" s="13">
        <f>SUM(AM21:AM23)</f>
        <v/>
      </c>
      <c r="AN24" s="13">
        <f>SUM(AN21:AN23)</f>
        <v/>
      </c>
      <c r="AO24" s="14">
        <f>IF(COUNT(AO21,AO22,AO23)=0,"",SUM(AO21:AO23))</f>
        <v/>
      </c>
      <c r="AP24" s="14">
        <f>SUM(AP21:AP23)</f>
        <v/>
      </c>
      <c r="AQ24" s="14">
        <f>SUM(AQ21:AQ23)</f>
        <v/>
      </c>
      <c r="AR24" s="13">
        <f>IF(COUNT(AR21,AR22,AR23)=0,"",SUM(AR21:AR23))</f>
        <v/>
      </c>
      <c r="AS24" s="13">
        <f>SUM(AS21:AS23)</f>
        <v/>
      </c>
      <c r="AT24" s="13">
        <f>SUM(AT21:AT23)</f>
        <v/>
      </c>
      <c r="AU24" s="14">
        <f>IF(COUNT(AU21,AU22,AU23)=0,"",SUM(AU21:AU23))</f>
        <v/>
      </c>
      <c r="AV24" s="14">
        <f>SUM(AV21:AV23)</f>
        <v/>
      </c>
      <c r="AW24" s="14">
        <f>SUM(AW21:AW23)</f>
        <v/>
      </c>
      <c r="AX24" s="13">
        <f>IF(COUNT(AX21,AX22,AX23)=0,"",SUM(AX21:AX23))</f>
        <v/>
      </c>
      <c r="AY24" s="13">
        <f>SUM(AY21:AY23)</f>
        <v/>
      </c>
      <c r="AZ24" s="13">
        <f>SUM(AZ21:AZ23)</f>
        <v/>
      </c>
      <c r="BA24" s="14">
        <f>IF(COUNT(BA21,BA22,BA23)=0,"",SUM(BA21:BA23))</f>
        <v/>
      </c>
      <c r="BB24" s="14">
        <f>SUM(BB21:BB23)</f>
        <v/>
      </c>
      <c r="BC24" s="14">
        <f>SUM(BC21:BC23)</f>
        <v/>
      </c>
      <c r="BD24" s="13">
        <f>IF(COUNT(BD21,BD22,BD23)=0,"",SUM(BD21:BD23))</f>
        <v/>
      </c>
      <c r="BE24" s="13">
        <f>SUM(BE21:BE23)</f>
        <v/>
      </c>
      <c r="BF24" s="13">
        <f>SUM(BF21:BF23)</f>
        <v/>
      </c>
      <c r="BG24" s="14">
        <f>IF(COUNT(BG21,BG22,BG23)=0,"",SUM(BG21:BG23))</f>
        <v/>
      </c>
      <c r="BH24" s="14">
        <f>SUM(BH21:BH23)</f>
        <v/>
      </c>
      <c r="BI24" s="14">
        <f>SUM(BI21:BI23)</f>
        <v/>
      </c>
      <c r="BJ24" s="13">
        <f>IF(COUNT(BJ21,BJ22,BJ23)=0,"",SUM(BJ21:BJ23))</f>
        <v/>
      </c>
      <c r="BK24" s="13">
        <f>SUM(BK21:BK23)</f>
        <v/>
      </c>
      <c r="BL24" s="13">
        <f>SUM(BL21:BL23)</f>
        <v/>
      </c>
      <c r="BM24" s="14">
        <f>IF(COUNT(BM21,BM22,BM23)=0,"",SUM(BM21:BM23))</f>
        <v/>
      </c>
      <c r="BN24" s="14">
        <f>SUM(BN21:BN23)</f>
        <v/>
      </c>
      <c r="BO24" s="14">
        <f>SUM(BO21:BO23)</f>
        <v/>
      </c>
      <c r="BP24" s="13">
        <f>IF(COUNT(BP21,BP22,BP23)=0,"",SUM(BP21:BP23))</f>
        <v/>
      </c>
      <c r="BQ24" s="13">
        <f>SUM(BQ21:BQ23)</f>
        <v/>
      </c>
      <c r="BR24" s="13">
        <f>SUM(BR21:BR23)</f>
        <v/>
      </c>
      <c r="BS24" s="14">
        <f>IF(COUNT(BS21,BS22,BS23)=0,"",SUM(BS21:BS23))</f>
        <v/>
      </c>
      <c r="BT24" s="14">
        <f>SUM(BT21:BT23)</f>
        <v/>
      </c>
      <c r="BU24" s="14">
        <f>SUM(BU21:BU23)</f>
        <v/>
      </c>
      <c r="BV24" s="13">
        <f>IF(COUNT(BV21,BV22,BV23)=0,"",SUM(BV21:BV23))</f>
        <v/>
      </c>
      <c r="BW24" s="13">
        <f>SUM(BW21:BW23)</f>
        <v/>
      </c>
      <c r="BX24" s="13">
        <f>SUM(BX21:BX23)</f>
        <v/>
      </c>
      <c r="BY24" s="14">
        <f>IF(COUNT(BY21,BY22,BY23)=0,"",SUM(BY21:BY23))</f>
        <v/>
      </c>
      <c r="BZ24" s="14">
        <f>SUM(BZ21:BZ23)</f>
        <v/>
      </c>
      <c r="CA24" s="14">
        <f>SUM(CA21:CA23)</f>
        <v/>
      </c>
      <c r="CB24" s="13">
        <f>IF(COUNT(CB21,CB22,CB23)=0,"",SUM(CB21:CB23))</f>
        <v/>
      </c>
      <c r="CC24" s="13">
        <f>SUM(CC21:CC23)</f>
        <v/>
      </c>
      <c r="CD24" s="13">
        <f>SUM(CD21:CD23)</f>
        <v/>
      </c>
      <c r="CE24" s="14">
        <f>IF(COUNT(CE21,CE22,CE23)=0,"",SUM(CE21:CE23))</f>
        <v/>
      </c>
      <c r="CF24" s="14">
        <f>SUM(CF21:CF23)</f>
        <v/>
      </c>
      <c r="CG24" s="14">
        <f>SUM(CG21:CG23)</f>
        <v/>
      </c>
      <c r="CH24" s="13">
        <f>IF(COUNT(CH21,CH22,CH23)=0,"",SUM(CH21:CH23))</f>
        <v/>
      </c>
      <c r="CI24" s="13">
        <f>SUM(CI21:CI23)</f>
        <v/>
      </c>
      <c r="CJ24" s="13">
        <f>SUM(CJ21:CJ23)</f>
        <v/>
      </c>
      <c r="CK24" s="14">
        <f>IF(COUNT(CK21,CK22,CK23)=0,"",SUM(CK21:CK23))</f>
        <v/>
      </c>
      <c r="CL24" s="14">
        <f>SUM(CL21:CL23)</f>
        <v/>
      </c>
      <c r="CM24" s="14">
        <f>SUM(CM21:CM23)</f>
        <v/>
      </c>
      <c r="CN24" s="13">
        <f>IF(COUNT(CN21,CN22,CN23)=0,"",SUM(CN21:CN23))</f>
        <v/>
      </c>
      <c r="CO24" s="13">
        <f>SUM(CO21:CO23)</f>
        <v/>
      </c>
      <c r="CP24" s="13">
        <f>SUM(CP21:CP23)</f>
        <v/>
      </c>
      <c r="CQ24" s="14">
        <f>IF(COUNT(CQ21,CQ22,CQ23)=0,"",SUM(CQ21:CQ23))</f>
        <v/>
      </c>
      <c r="CR24" s="14">
        <f>SUM(CR21:CR23)</f>
        <v/>
      </c>
      <c r="CS24" s="14">
        <f>SUM(CS21:CS23)</f>
        <v/>
      </c>
      <c r="CT24" s="13">
        <f>IF(COUNT(CT21,CT22,CT23)=0,"",SUM(CT21:CT23))</f>
        <v/>
      </c>
      <c r="CU24" s="13">
        <f>SUM(CU21:CU23)</f>
        <v/>
      </c>
      <c r="CV24" s="13">
        <f>SUM(CV21:CV23)</f>
        <v/>
      </c>
      <c r="CW24" s="14">
        <f>IF(COUNT(CW21,CW22,CW23)=0,"",SUM(CW21:CW23))</f>
        <v/>
      </c>
      <c r="CX24" s="14">
        <f>SUM(CX21:CX23)</f>
        <v/>
      </c>
      <c r="CY24" s="14">
        <f>SUM(CY21:CY23)</f>
        <v/>
      </c>
      <c r="CZ24" s="13">
        <f>IF(COUNT(CZ21,CZ22,CZ23)=0,"",SUM(CZ21:CZ23))</f>
        <v/>
      </c>
      <c r="DA24" s="13">
        <f>SUM(DA21:DA23)</f>
        <v/>
      </c>
      <c r="DB24" s="13">
        <f>SUM(DB21:DB23)</f>
        <v/>
      </c>
      <c r="DC24" s="14">
        <f>IF(COUNT(DC21,DC22,DC23)=0,"",SUM(DC21:DC23))</f>
        <v/>
      </c>
      <c r="DD24" s="14">
        <f>SUM(DD21:DD23)</f>
        <v/>
      </c>
      <c r="DE24" s="14">
        <f>SUM(DE21:DE23)</f>
        <v/>
      </c>
      <c r="DF24" s="13">
        <f>IF(COUNT(DF21,DF22,DF23)=0,"",SUM(DF21:DF23))</f>
        <v/>
      </c>
      <c r="DG24" s="13">
        <f>SUM(DG21:DG23)</f>
        <v/>
      </c>
      <c r="DH24" s="13">
        <f>SUM(DH21:DH23)</f>
        <v/>
      </c>
      <c r="DI24" s="14">
        <f>IF(COUNT(DI21,DI22,DI23)=0,"",SUM(DI21:DI23))</f>
        <v/>
      </c>
      <c r="DJ24" s="14">
        <f>SUM(DJ21:DJ23)</f>
        <v/>
      </c>
      <c r="DK24" s="14">
        <f>SUM(DK21:DK23)</f>
        <v/>
      </c>
      <c r="DL24" s="13">
        <f>IF(COUNT(DL21,DL22,DL23)=0,"",SUM(DL21:DL23))</f>
        <v/>
      </c>
      <c r="DM24" s="13">
        <f>SUM(DM21:DM23)</f>
        <v/>
      </c>
      <c r="DN24" s="13">
        <f>SUM(DN21:DN23)</f>
        <v/>
      </c>
    </row>
    <row r="25">
      <c r="A25" s="12" t="inlineStr">
        <is>
          <t>Total Support Cost</t>
        </is>
      </c>
      <c r="B25" s="13">
        <f>IF(COUNT(AR25,AO25,AL25,AI25,AF25,AC25,Z25,W25,T25,Q25,N25,K25)=0,"",SUM(AR25,AO25,AL25,AI25,AF25,AC25,Z25,W25,T25,Q25,N25,K25))</f>
        <v/>
      </c>
      <c r="C25" s="13">
        <f>IF(COUNT(AS25,AP25,AM25,AJ25,AG25,AD25,AA25,X25,U25,R25,O25,L25)=0,"",SUM(AS25,AP25,AM25,AJ25,AG25,AD25,AA25,X25,U25,R25,O25,L25))</f>
        <v/>
      </c>
      <c r="D25" s="13">
        <f>IF(COUNT(AT25,AQ25,AN25,AK25,AH25,AE25,AB25,Y25,V25,S25,P25,M25)=0,"",SUM(AT25,AQ25,AN25,AK25,AH25,AE25,AB25,Y25,V25,S25,P25,M25))</f>
        <v/>
      </c>
      <c r="E25" s="14">
        <f>IF(COUNT(CB25,BY25,BV25,BS25,BP25,BM25,BJ25,BG25,BD25,BA25,AX25,AU25)=0,"",SUM(CB25,BY25,BV25,BS25,BP25,BM25,BJ25,BG25,BD25,BA25,AX25,AU25))</f>
        <v/>
      </c>
      <c r="F25" s="14">
        <f>IF(COUNT(CC25,BZ25,BW25,BT25,BQ25,BN25,BK25,BH25,BE25,BB25,AY25,AV25)=0,"",SUM(CC25,BZ25,BW25,BT25,BQ25,BN25,BK25,BH25,BE25,BB25,AY25,AV25))</f>
        <v/>
      </c>
      <c r="G25" s="14">
        <f>IF(COUNT(CD25,CA25,BX25,BU25,BR25,BO25,BL25,BI25,BF25,BC25,AZ25,AW25)=0,"",SUM(CD25,CA25,BX25,BU25,BR25,BO25,BL25,BI25,BF25,BC25,AZ25,AW25))</f>
        <v/>
      </c>
      <c r="H25" s="13">
        <f>IF(COUNT(DL25,DI25,DF25,DC25,CZ25,CW25,CT25,CQ25,CN25,CK25,CH25,CE25)=0,"",SUM(DL25,DI25,DF25,DC25,CZ25,CW25,CT25,CQ25,CN25,CK25,CH25,CE25))</f>
        <v/>
      </c>
      <c r="I25" s="13">
        <f>IF(COUNT(DM25,DJ25,DG25,DD25,DA25,CX25,CU25,CR25,CO25,CL25,CI25,CF25)=0,"",SUM(DM25,DJ25,DG25,DD25,DA25,CX25,CU25,CR25,CO25,CL25,CI25,CF25))</f>
        <v/>
      </c>
      <c r="J25" s="13">
        <f>IF(COUNT(DN25,DK25,DH25,DE25,DB25,CY25,CV25,CS25,CP25,CM25,CJ25,CG25)=0,"",SUM(DN25,DK25,DH25,DE25,DB25,CY25,CV25,CS25,CP25,CM25,CJ25,CG25))</f>
        <v/>
      </c>
      <c r="K25" s="14">
        <f>IF(COUNT(K20,K24)=0,"",K20+K24)</f>
        <v/>
      </c>
      <c r="L25" s="14">
        <f>L20+L24</f>
        <v/>
      </c>
      <c r="M25" s="14">
        <f>M20+M24</f>
        <v/>
      </c>
      <c r="N25" s="13">
        <f>IF(COUNT(N20,N24)=0,"",N20+N24)</f>
        <v/>
      </c>
      <c r="O25" s="13">
        <f>O20+O24</f>
        <v/>
      </c>
      <c r="P25" s="13">
        <f>P20+P24</f>
        <v/>
      </c>
      <c r="Q25" s="14">
        <f>IF(COUNT(Q20,Q24)=0,"",Q20+Q24)</f>
        <v/>
      </c>
      <c r="R25" s="14">
        <f>R20+R24</f>
        <v/>
      </c>
      <c r="S25" s="14">
        <f>S20+S24</f>
        <v/>
      </c>
      <c r="T25" s="13">
        <f>IF(COUNT(T20,T24)=0,"",T20+T24)</f>
        <v/>
      </c>
      <c r="U25" s="13">
        <f>U20+U24</f>
        <v/>
      </c>
      <c r="V25" s="13">
        <f>V20+V24</f>
        <v/>
      </c>
      <c r="W25" s="14">
        <f>IF(COUNT(W20,W24)=0,"",W20+W24)</f>
        <v/>
      </c>
      <c r="X25" s="14">
        <f>X20+X24</f>
        <v/>
      </c>
      <c r="Y25" s="14">
        <f>Y20+Y24</f>
        <v/>
      </c>
      <c r="Z25" s="13">
        <f>IF(COUNT(Z20,Z24)=0,"",Z20+Z24)</f>
        <v/>
      </c>
      <c r="AA25" s="13">
        <f>AA20+AA24</f>
        <v/>
      </c>
      <c r="AB25" s="13">
        <f>AB20+AB24</f>
        <v/>
      </c>
      <c r="AC25" s="14">
        <f>IF(COUNT(AC20,AC24)=0,"",AC20+AC24)</f>
        <v/>
      </c>
      <c r="AD25" s="14">
        <f>AD20+AD24</f>
        <v/>
      </c>
      <c r="AE25" s="14">
        <f>AE20+AE24</f>
        <v/>
      </c>
      <c r="AF25" s="13">
        <f>IF(COUNT(AF20,AF24)=0,"",AF20+AF24)</f>
        <v/>
      </c>
      <c r="AG25" s="13">
        <f>AG20+AG24</f>
        <v/>
      </c>
      <c r="AH25" s="13">
        <f>AH20+AH24</f>
        <v/>
      </c>
      <c r="AI25" s="14">
        <f>IF(COUNT(AI20,AI24)=0,"",AI20+AI24)</f>
        <v/>
      </c>
      <c r="AJ25" s="14">
        <f>AJ20+AJ24</f>
        <v/>
      </c>
      <c r="AK25" s="14">
        <f>AK20+AK24</f>
        <v/>
      </c>
      <c r="AL25" s="13">
        <f>IF(COUNT(AL20,AL24)=0,"",AL20+AL24)</f>
        <v/>
      </c>
      <c r="AM25" s="13">
        <f>AM20+AM24</f>
        <v/>
      </c>
      <c r="AN25" s="13">
        <f>AN20+AN24</f>
        <v/>
      </c>
      <c r="AO25" s="14">
        <f>IF(COUNT(AO20,AO24)=0,"",AO20+AO24)</f>
        <v/>
      </c>
      <c r="AP25" s="14">
        <f>AP20+AP24</f>
        <v/>
      </c>
      <c r="AQ25" s="14">
        <f>AQ20+AQ24</f>
        <v/>
      </c>
      <c r="AR25" s="13">
        <f>IF(COUNT(AR20,AR24)=0,"",AR20+AR24)</f>
        <v/>
      </c>
      <c r="AS25" s="13">
        <f>AS20+AS24</f>
        <v/>
      </c>
      <c r="AT25" s="13">
        <f>AT20+AT24</f>
        <v/>
      </c>
      <c r="AU25" s="14">
        <f>IF(COUNT(AU20,AU24)=0,"",AU20+AU24)</f>
        <v/>
      </c>
      <c r="AV25" s="14">
        <f>AV20+AV24</f>
        <v/>
      </c>
      <c r="AW25" s="14">
        <f>AW20+AW24</f>
        <v/>
      </c>
      <c r="AX25" s="13">
        <f>IF(COUNT(AX20,AX24)=0,"",AX20+AX24)</f>
        <v/>
      </c>
      <c r="AY25" s="13">
        <f>AY20+AY24</f>
        <v/>
      </c>
      <c r="AZ25" s="13">
        <f>AZ20+AZ24</f>
        <v/>
      </c>
      <c r="BA25" s="14">
        <f>IF(COUNT(BA20,BA24)=0,"",BA20+BA24)</f>
        <v/>
      </c>
      <c r="BB25" s="14">
        <f>BB20+BB24</f>
        <v/>
      </c>
      <c r="BC25" s="14">
        <f>BC20+BC24</f>
        <v/>
      </c>
      <c r="BD25" s="13">
        <f>IF(COUNT(BD20,BD24)=0,"",BD20+BD24)</f>
        <v/>
      </c>
      <c r="BE25" s="13">
        <f>BE20+BE24</f>
        <v/>
      </c>
      <c r="BF25" s="13">
        <f>BF20+BF24</f>
        <v/>
      </c>
      <c r="BG25" s="14">
        <f>IF(COUNT(BG20,BG24)=0,"",BG20+BG24)</f>
        <v/>
      </c>
      <c r="BH25" s="14">
        <f>BH20+BH24</f>
        <v/>
      </c>
      <c r="BI25" s="14">
        <f>BI20+BI24</f>
        <v/>
      </c>
      <c r="BJ25" s="13">
        <f>IF(COUNT(BJ20,BJ24)=0,"",BJ20+BJ24)</f>
        <v/>
      </c>
      <c r="BK25" s="13">
        <f>BK20+BK24</f>
        <v/>
      </c>
      <c r="BL25" s="13">
        <f>BL20+BL24</f>
        <v/>
      </c>
      <c r="BM25" s="14">
        <f>IF(COUNT(BM20,BM24)=0,"",BM20+BM24)</f>
        <v/>
      </c>
      <c r="BN25" s="14">
        <f>BN20+BN24</f>
        <v/>
      </c>
      <c r="BO25" s="14">
        <f>BO20+BO24</f>
        <v/>
      </c>
      <c r="BP25" s="13">
        <f>IF(COUNT(BP20,BP24)=0,"",BP20+BP24)</f>
        <v/>
      </c>
      <c r="BQ25" s="13">
        <f>BQ20+BQ24</f>
        <v/>
      </c>
      <c r="BR25" s="13">
        <f>BR20+BR24</f>
        <v/>
      </c>
      <c r="BS25" s="14">
        <f>IF(COUNT(BS20,BS24)=0,"",BS20+BS24)</f>
        <v/>
      </c>
      <c r="BT25" s="14">
        <f>BT20+BT24</f>
        <v/>
      </c>
      <c r="BU25" s="14">
        <f>BU20+BU24</f>
        <v/>
      </c>
      <c r="BV25" s="13">
        <f>IF(COUNT(BV20,BV24)=0,"",BV20+BV24)</f>
        <v/>
      </c>
      <c r="BW25" s="13">
        <f>BW20+BW24</f>
        <v/>
      </c>
      <c r="BX25" s="13">
        <f>BX20+BX24</f>
        <v/>
      </c>
      <c r="BY25" s="14">
        <f>IF(COUNT(BY20,BY24)=0,"",BY20+BY24)</f>
        <v/>
      </c>
      <c r="BZ25" s="14">
        <f>BZ20+BZ24</f>
        <v/>
      </c>
      <c r="CA25" s="14">
        <f>CA20+CA24</f>
        <v/>
      </c>
      <c r="CB25" s="13">
        <f>IF(COUNT(CB20,CB24)=0,"",CB20+CB24)</f>
        <v/>
      </c>
      <c r="CC25" s="13">
        <f>CC20+CC24</f>
        <v/>
      </c>
      <c r="CD25" s="13">
        <f>CD20+CD24</f>
        <v/>
      </c>
      <c r="CE25" s="14">
        <f>IF(COUNT(CE20,CE24)=0,"",CE20+CE24)</f>
        <v/>
      </c>
      <c r="CF25" s="14">
        <f>CF20+CF24</f>
        <v/>
      </c>
      <c r="CG25" s="14">
        <f>CG20+CG24</f>
        <v/>
      </c>
      <c r="CH25" s="13">
        <f>IF(COUNT(CH20,CH24)=0,"",CH20+CH24)</f>
        <v/>
      </c>
      <c r="CI25" s="13">
        <f>CI20+CI24</f>
        <v/>
      </c>
      <c r="CJ25" s="13">
        <f>CJ20+CJ24</f>
        <v/>
      </c>
      <c r="CK25" s="14">
        <f>IF(COUNT(CK20,CK24)=0,"",CK20+CK24)</f>
        <v/>
      </c>
      <c r="CL25" s="14">
        <f>CL20+CL24</f>
        <v/>
      </c>
      <c r="CM25" s="14">
        <f>CM20+CM24</f>
        <v/>
      </c>
      <c r="CN25" s="13">
        <f>IF(COUNT(CN20,CN24)=0,"",CN20+CN24)</f>
        <v/>
      </c>
      <c r="CO25" s="13">
        <f>CO20+CO24</f>
        <v/>
      </c>
      <c r="CP25" s="13">
        <f>CP20+CP24</f>
        <v/>
      </c>
      <c r="CQ25" s="14">
        <f>IF(COUNT(CQ20,CQ24)=0,"",CQ20+CQ24)</f>
        <v/>
      </c>
      <c r="CR25" s="14">
        <f>CR20+CR24</f>
        <v/>
      </c>
      <c r="CS25" s="14">
        <f>CS20+CS24</f>
        <v/>
      </c>
      <c r="CT25" s="13">
        <f>IF(COUNT(CT20,CT24)=0,"",CT20+CT24)</f>
        <v/>
      </c>
      <c r="CU25" s="13">
        <f>CU20+CU24</f>
        <v/>
      </c>
      <c r="CV25" s="13">
        <f>CV20+CV24</f>
        <v/>
      </c>
      <c r="CW25" s="14">
        <f>IF(COUNT(CW20,CW24)=0,"",CW20+CW24)</f>
        <v/>
      </c>
      <c r="CX25" s="14">
        <f>CX20+CX24</f>
        <v/>
      </c>
      <c r="CY25" s="14">
        <f>CY20+CY24</f>
        <v/>
      </c>
      <c r="CZ25" s="13">
        <f>IF(COUNT(CZ20,CZ24)=0,"",CZ20+CZ24)</f>
        <v/>
      </c>
      <c r="DA25" s="13">
        <f>DA20+DA24</f>
        <v/>
      </c>
      <c r="DB25" s="13">
        <f>DB20+DB24</f>
        <v/>
      </c>
      <c r="DC25" s="14">
        <f>IF(COUNT(DC20,DC24)=0,"",DC20+DC24)</f>
        <v/>
      </c>
      <c r="DD25" s="14">
        <f>DD20+DD24</f>
        <v/>
      </c>
      <c r="DE25" s="14">
        <f>DE20+DE24</f>
        <v/>
      </c>
      <c r="DF25" s="13">
        <f>IF(COUNT(DF20,DF24)=0,"",DF20+DF24)</f>
        <v/>
      </c>
      <c r="DG25" s="13">
        <f>DG20+DG24</f>
        <v/>
      </c>
      <c r="DH25" s="13">
        <f>DH20+DH24</f>
        <v/>
      </c>
      <c r="DI25" s="14">
        <f>IF(COUNT(DI20,DI24)=0,"",DI20+DI24)</f>
        <v/>
      </c>
      <c r="DJ25" s="14">
        <f>DJ20+DJ24</f>
        <v/>
      </c>
      <c r="DK25" s="14">
        <f>DK20+DK24</f>
        <v/>
      </c>
      <c r="DL25" s="13">
        <f>IF(COUNT(DL20,DL24)=0,"",DL20+DL24)</f>
        <v/>
      </c>
      <c r="DM25" s="13">
        <f>DM20+DM24</f>
        <v/>
      </c>
      <c r="DN25" s="13">
        <f>DN20+DN24</f>
        <v/>
      </c>
    </row>
    <row r="26">
      <c r="A26" s="2" t="inlineStr">
        <is>
          <t>Cost per Ticket</t>
        </is>
      </c>
      <c r="B26" s="22">
        <f>IF(SUM(AR5,AO5,AL5,AI5,AF5,AC5,Z5,W5,T5,Q5,N5,K5)=0,"",SUM(AR25,AO25,AL25,AI25,AF25,AC25,Z25,W25,T25,Q25,N25,K25)/SUM(AR5,AO5,AL5,AI5,AF5,AC5,Z5,W5,T5,Q5,N5,K5))</f>
        <v/>
      </c>
      <c r="C26" s="22">
        <f>IF(SUM(AS5,AP5,AM5,AJ5,AG5,AD5,AA5,X5,U5,R5,O5,L5)=0,"",SUM(AS25,AP25,AM25,AJ25,AG25,AD25,AA25,X25,U25,R25,O25,L25)/SUM(AS5,AP5,AM5,AJ5,AG5,AD5,AA5,X5,U5,R5,O5,L5))</f>
        <v/>
      </c>
      <c r="D26" s="22">
        <f>IF(SUM(AT5,AQ5,AN5,AK5,AH5,AE5,AB5,Y5,V5,S5,P5,M5)=0,"",SUM(AT25,AQ25,AN25,AK25,AH25,AE25,AB25,Y25,V25,S25,P25,M25)/SUM(AT5,AQ5,AN5,AK5,AH5,AE5,AB5,Y5,V5,S5,P5,M5))</f>
        <v/>
      </c>
      <c r="E26" s="23">
        <f>IF(SUM(CB5,BY5,BV5,BS5,BP5,BM5,BJ5,BG5,BD5,BA5,AX5,AU5)=0,"",SUM(CB25,BY25,BV25,BS25,BP25,BM25,BJ25,BG25,BD25,BA25,AX25,AU25)/SUM(CB5,BY5,BV5,BS5,BP5,BM5,BJ5,BG5,BD5,BA5,AX5,AU5))</f>
        <v/>
      </c>
      <c r="F26" s="23">
        <f>IF(SUM(CC5,BZ5,BW5,BT5,BQ5,BN5,BK5,BH5,BE5,BB5,AY5,AV5)=0,"",SUM(CC25,BZ25,BW25,BT25,BQ25,BN25,BK25,BH25,BE25,BB25,AY25,AV25)/SUM(CC5,BZ5,BW5,BT5,BQ5,BN5,BK5,BH5,BE5,BB5,AY5,AV5))</f>
        <v/>
      </c>
      <c r="G26" s="23">
        <f>IF(SUM(CD5,CA5,BX5,BU5,BR5,BO5,BL5,BI5,BF5,BC5,AZ5,AW5)=0,"",SUM(CD25,CA25,BX25,BU25,BR25,BO25,BL25,BI25,BF25,BC25,AZ25,AW25)/SUM(CD5,CA5,BX5,BU5,BR5,BO5,BL5,BI5,BF5,BC5,AZ5,AW5))</f>
        <v/>
      </c>
      <c r="H26" s="22">
        <f>IF(SUM(DL5,DI5,DF5,DC5,CZ5,CW5,CT5,CQ5,CN5,CK5,CH5,CE5)=0,"",SUM(DL25,DI25,DF25,DC25,CZ25,CW25,CT25,CQ25,CN25,CK25,CH25,CE25)/SUM(DL5,DI5,DF5,DC5,CZ5,CW5,CT5,CQ5,CN5,CK5,CH5,CE5))</f>
        <v/>
      </c>
      <c r="I26" s="22">
        <f>IF(SUM(DM5,DJ5,DG5,DD5,DA5,CX5,CU5,CR5,CO5,CL5,CI5,CF5)=0,"",SUM(DM25,DJ25,DG25,DD25,DA25,CX25,CU25,CR25,CO25,CL25,CI25,CF25)/SUM(DM5,DJ5,DG5,DD5,DA5,CX5,CU5,CR5,CO5,CL5,CI5,CF5))</f>
        <v/>
      </c>
      <c r="J26" s="22">
        <f>IF(SUM(DN5,DK5,DH5,DE5,DB5,CY5,CV5,CS5,CP5,CM5,CJ5,CG5)=0,"",SUM(DN25,DK25,DH25,DE25,DB25,CY25,CV25,CS25,CP25,CM25,CJ25,CG25)/SUM(DN5,DK5,DH5,DE5,DB5,CY5,CV5,CS5,CP5,CM5,CJ5,CG5))</f>
        <v/>
      </c>
      <c r="K26" s="23">
        <f>IF(COUNT(K25,K5)=2,IF(N(K5)=0,"",K25/K5),"")</f>
        <v/>
      </c>
      <c r="L26" s="23">
        <f>IF(N(L5)=0,"",L25/L5)</f>
        <v/>
      </c>
      <c r="M26" s="23">
        <f>IF(N(M5)=0,"",M25/M5)</f>
        <v/>
      </c>
      <c r="N26" s="22">
        <f>IF(COUNT(N25,N5)=2,IF(N(N5)=0,"",N25/N5),"")</f>
        <v/>
      </c>
      <c r="O26" s="22">
        <f>IF(N(O5)=0,"",O25/O5)</f>
        <v/>
      </c>
      <c r="P26" s="22">
        <f>IF(N(P5)=0,"",P25/P5)</f>
        <v/>
      </c>
      <c r="Q26" s="23">
        <f>IF(COUNT(Q25,Q5)=2,IF(N(Q5)=0,"",Q25/Q5),"")</f>
        <v/>
      </c>
      <c r="R26" s="23">
        <f>IF(N(R5)=0,"",R25/R5)</f>
        <v/>
      </c>
      <c r="S26" s="23">
        <f>IF(N(S5)=0,"",S25/S5)</f>
        <v/>
      </c>
      <c r="T26" s="22">
        <f>IF(COUNT(T25,T5)=2,IF(N(T5)=0,"",T25/T5),"")</f>
        <v/>
      </c>
      <c r="U26" s="22">
        <f>IF(N(U5)=0,"",U25/U5)</f>
        <v/>
      </c>
      <c r="V26" s="22">
        <f>IF(N(V5)=0,"",V25/V5)</f>
        <v/>
      </c>
      <c r="W26" s="23">
        <f>IF(COUNT(W25,W5)=2,IF(N(W5)=0,"",W25/W5),"")</f>
        <v/>
      </c>
      <c r="X26" s="23">
        <f>IF(N(X5)=0,"",X25/X5)</f>
        <v/>
      </c>
      <c r="Y26" s="23">
        <f>IF(N(Y5)=0,"",Y25/Y5)</f>
        <v/>
      </c>
      <c r="Z26" s="22">
        <f>IF(COUNT(Z25,Z5)=2,IF(N(Z5)=0,"",Z25/Z5),"")</f>
        <v/>
      </c>
      <c r="AA26" s="22">
        <f>IF(N(AA5)=0,"",AA25/AA5)</f>
        <v/>
      </c>
      <c r="AB26" s="22">
        <f>IF(N(AB5)=0,"",AB25/AB5)</f>
        <v/>
      </c>
      <c r="AC26" s="23">
        <f>IF(COUNT(AC25,AC5)=2,IF(N(AC5)=0,"",AC25/AC5),"")</f>
        <v/>
      </c>
      <c r="AD26" s="23">
        <f>IF(N(AD5)=0,"",AD25/AD5)</f>
        <v/>
      </c>
      <c r="AE26" s="23">
        <f>IF(N(AE5)=0,"",AE25/AE5)</f>
        <v/>
      </c>
      <c r="AF26" s="22">
        <f>IF(COUNT(AF25,AF5)=2,IF(N(AF5)=0,"",AF25/AF5),"")</f>
        <v/>
      </c>
      <c r="AG26" s="22">
        <f>IF(N(AG5)=0,"",AG25/AG5)</f>
        <v/>
      </c>
      <c r="AH26" s="22">
        <f>IF(N(AH5)=0,"",AH25/AH5)</f>
        <v/>
      </c>
      <c r="AI26" s="23">
        <f>IF(COUNT(AI25,AI5)=2,IF(N(AI5)=0,"",AI25/AI5),"")</f>
        <v/>
      </c>
      <c r="AJ26" s="23">
        <f>IF(N(AJ5)=0,"",AJ25/AJ5)</f>
        <v/>
      </c>
      <c r="AK26" s="23">
        <f>IF(N(AK5)=0,"",AK25/AK5)</f>
        <v/>
      </c>
      <c r="AL26" s="22">
        <f>IF(COUNT(AL25,AL5)=2,IF(N(AL5)=0,"",AL25/AL5),"")</f>
        <v/>
      </c>
      <c r="AM26" s="22">
        <f>IF(N(AM5)=0,"",AM25/AM5)</f>
        <v/>
      </c>
      <c r="AN26" s="22">
        <f>IF(N(AN5)=0,"",AN25/AN5)</f>
        <v/>
      </c>
      <c r="AO26" s="23">
        <f>IF(COUNT(AO25,AO5)=2,IF(N(AO5)=0,"",AO25/AO5),"")</f>
        <v/>
      </c>
      <c r="AP26" s="23">
        <f>IF(N(AP5)=0,"",AP25/AP5)</f>
        <v/>
      </c>
      <c r="AQ26" s="23">
        <f>IF(N(AQ5)=0,"",AQ25/AQ5)</f>
        <v/>
      </c>
      <c r="AR26" s="22">
        <f>IF(COUNT(AR25,AR5)=2,IF(N(AR5)=0,"",AR25/AR5),"")</f>
        <v/>
      </c>
      <c r="AS26" s="22">
        <f>IF(N(AS5)=0,"",AS25/AS5)</f>
        <v/>
      </c>
      <c r="AT26" s="22">
        <f>IF(N(AT5)=0,"",AT25/AT5)</f>
        <v/>
      </c>
      <c r="AU26" s="23">
        <f>IF(COUNT(AU25,AU5)=2,IF(N(AU5)=0,"",AU25/AU5),"")</f>
        <v/>
      </c>
      <c r="AV26" s="23">
        <f>IF(N(AV5)=0,"",AV25/AV5)</f>
        <v/>
      </c>
      <c r="AW26" s="23">
        <f>IF(N(AW5)=0,"",AW25/AW5)</f>
        <v/>
      </c>
      <c r="AX26" s="22">
        <f>IF(COUNT(AX25,AX5)=2,IF(N(AX5)=0,"",AX25/AX5),"")</f>
        <v/>
      </c>
      <c r="AY26" s="22">
        <f>IF(N(AY5)=0,"",AY25/AY5)</f>
        <v/>
      </c>
      <c r="AZ26" s="22">
        <f>IF(N(AZ5)=0,"",AZ25/AZ5)</f>
        <v/>
      </c>
      <c r="BA26" s="23">
        <f>IF(COUNT(BA25,BA5)=2,IF(N(BA5)=0,"",BA25/BA5),"")</f>
        <v/>
      </c>
      <c r="BB26" s="23">
        <f>IF(N(BB5)=0,"",BB25/BB5)</f>
        <v/>
      </c>
      <c r="BC26" s="23">
        <f>IF(N(BC5)=0,"",BC25/BC5)</f>
        <v/>
      </c>
      <c r="BD26" s="22">
        <f>IF(COUNT(BD25,BD5)=2,IF(N(BD5)=0,"",BD25/BD5),"")</f>
        <v/>
      </c>
      <c r="BE26" s="22">
        <f>IF(N(BE5)=0,"",BE25/BE5)</f>
        <v/>
      </c>
      <c r="BF26" s="22">
        <f>IF(N(BF5)=0,"",BF25/BF5)</f>
        <v/>
      </c>
      <c r="BG26" s="23">
        <f>IF(COUNT(BG25,BG5)=2,IF(N(BG5)=0,"",BG25/BG5),"")</f>
        <v/>
      </c>
      <c r="BH26" s="23">
        <f>IF(N(BH5)=0,"",BH25/BH5)</f>
        <v/>
      </c>
      <c r="BI26" s="23">
        <f>IF(N(BI5)=0,"",BI25/BI5)</f>
        <v/>
      </c>
      <c r="BJ26" s="22">
        <f>IF(COUNT(BJ25,BJ5)=2,IF(N(BJ5)=0,"",BJ25/BJ5),"")</f>
        <v/>
      </c>
      <c r="BK26" s="22">
        <f>IF(N(BK5)=0,"",BK25/BK5)</f>
        <v/>
      </c>
      <c r="BL26" s="22">
        <f>IF(N(BL5)=0,"",BL25/BL5)</f>
        <v/>
      </c>
      <c r="BM26" s="23">
        <f>IF(COUNT(BM25,BM5)=2,IF(N(BM5)=0,"",BM25/BM5),"")</f>
        <v/>
      </c>
      <c r="BN26" s="23">
        <f>IF(N(BN5)=0,"",BN25/BN5)</f>
        <v/>
      </c>
      <c r="BO26" s="23">
        <f>IF(N(BO5)=0,"",BO25/BO5)</f>
        <v/>
      </c>
      <c r="BP26" s="22">
        <f>IF(COUNT(BP25,BP5)=2,IF(N(BP5)=0,"",BP25/BP5),"")</f>
        <v/>
      </c>
      <c r="BQ26" s="22">
        <f>IF(N(BQ5)=0,"",BQ25/BQ5)</f>
        <v/>
      </c>
      <c r="BR26" s="22">
        <f>IF(N(BR5)=0,"",BR25/BR5)</f>
        <v/>
      </c>
      <c r="BS26" s="23">
        <f>IF(COUNT(BS25,BS5)=2,IF(N(BS5)=0,"",BS25/BS5),"")</f>
        <v/>
      </c>
      <c r="BT26" s="23">
        <f>IF(N(BT5)=0,"",BT25/BT5)</f>
        <v/>
      </c>
      <c r="BU26" s="23">
        <f>IF(N(BU5)=0,"",BU25/BU5)</f>
        <v/>
      </c>
      <c r="BV26" s="22">
        <f>IF(COUNT(BV25,BV5)=2,IF(N(BV5)=0,"",BV25/BV5),"")</f>
        <v/>
      </c>
      <c r="BW26" s="22">
        <f>IF(N(BW5)=0,"",BW25/BW5)</f>
        <v/>
      </c>
      <c r="BX26" s="22">
        <f>IF(N(BX5)=0,"",BX25/BX5)</f>
        <v/>
      </c>
      <c r="BY26" s="23">
        <f>IF(COUNT(BY25,BY5)=2,IF(N(BY5)=0,"",BY25/BY5),"")</f>
        <v/>
      </c>
      <c r="BZ26" s="23">
        <f>IF(N(BZ5)=0,"",BZ25/BZ5)</f>
        <v/>
      </c>
      <c r="CA26" s="23">
        <f>IF(N(CA5)=0,"",CA25/CA5)</f>
        <v/>
      </c>
      <c r="CB26" s="22">
        <f>IF(COUNT(CB25,CB5)=2,IF(N(CB5)=0,"",CB25/CB5),"")</f>
        <v/>
      </c>
      <c r="CC26" s="22">
        <f>IF(N(CC5)=0,"",CC25/CC5)</f>
        <v/>
      </c>
      <c r="CD26" s="22">
        <f>IF(N(CD5)=0,"",CD25/CD5)</f>
        <v/>
      </c>
      <c r="CE26" s="23">
        <f>IF(COUNT(CE25,CE5)=2,IF(N(CE5)=0,"",CE25/CE5),"")</f>
        <v/>
      </c>
      <c r="CF26" s="23">
        <f>IF(N(CF5)=0,"",CF25/CF5)</f>
        <v/>
      </c>
      <c r="CG26" s="23">
        <f>IF(N(CG5)=0,"",CG25/CG5)</f>
        <v/>
      </c>
      <c r="CH26" s="22">
        <f>IF(COUNT(CH25,CH5)=2,IF(N(CH5)=0,"",CH25/CH5),"")</f>
        <v/>
      </c>
      <c r="CI26" s="22">
        <f>IF(N(CI5)=0,"",CI25/CI5)</f>
        <v/>
      </c>
      <c r="CJ26" s="22">
        <f>IF(N(CJ5)=0,"",CJ25/CJ5)</f>
        <v/>
      </c>
      <c r="CK26" s="23">
        <f>IF(COUNT(CK25,CK5)=2,IF(N(CK5)=0,"",CK25/CK5),"")</f>
        <v/>
      </c>
      <c r="CL26" s="23">
        <f>IF(N(CL5)=0,"",CL25/CL5)</f>
        <v/>
      </c>
      <c r="CM26" s="23">
        <f>IF(N(CM5)=0,"",CM25/CM5)</f>
        <v/>
      </c>
      <c r="CN26" s="22">
        <f>IF(COUNT(CN25,CN5)=2,IF(N(CN5)=0,"",CN25/CN5),"")</f>
        <v/>
      </c>
      <c r="CO26" s="22">
        <f>IF(N(CO5)=0,"",CO25/CO5)</f>
        <v/>
      </c>
      <c r="CP26" s="22">
        <f>IF(N(CP5)=0,"",CP25/CP5)</f>
        <v/>
      </c>
      <c r="CQ26" s="23">
        <f>IF(COUNT(CQ25,CQ5)=2,IF(N(CQ5)=0,"",CQ25/CQ5),"")</f>
        <v/>
      </c>
      <c r="CR26" s="23">
        <f>IF(N(CR5)=0,"",CR25/CR5)</f>
        <v/>
      </c>
      <c r="CS26" s="23">
        <f>IF(N(CS5)=0,"",CS25/CS5)</f>
        <v/>
      </c>
      <c r="CT26" s="22">
        <f>IF(COUNT(CT25,CT5)=2,IF(N(CT5)=0,"",CT25/CT5),"")</f>
        <v/>
      </c>
      <c r="CU26" s="22">
        <f>IF(N(CU5)=0,"",CU25/CU5)</f>
        <v/>
      </c>
      <c r="CV26" s="22">
        <f>IF(N(CV5)=0,"",CV25/CV5)</f>
        <v/>
      </c>
      <c r="CW26" s="23">
        <f>IF(COUNT(CW25,CW5)=2,IF(N(CW5)=0,"",CW25/CW5),"")</f>
        <v/>
      </c>
      <c r="CX26" s="23">
        <f>IF(N(CX5)=0,"",CX25/CX5)</f>
        <v/>
      </c>
      <c r="CY26" s="23">
        <f>IF(N(CY5)=0,"",CY25/CY5)</f>
        <v/>
      </c>
      <c r="CZ26" s="22">
        <f>IF(COUNT(CZ25,CZ5)=2,IF(N(CZ5)=0,"",CZ25/CZ5),"")</f>
        <v/>
      </c>
      <c r="DA26" s="22">
        <f>IF(N(DA5)=0,"",DA25/DA5)</f>
        <v/>
      </c>
      <c r="DB26" s="22">
        <f>IF(N(DB5)=0,"",DB25/DB5)</f>
        <v/>
      </c>
      <c r="DC26" s="23">
        <f>IF(COUNT(DC25,DC5)=2,IF(N(DC5)=0,"",DC25/DC5),"")</f>
        <v/>
      </c>
      <c r="DD26" s="23">
        <f>IF(N(DD5)=0,"",DD25/DD5)</f>
        <v/>
      </c>
      <c r="DE26" s="23">
        <f>IF(N(DE5)=0,"",DE25/DE5)</f>
        <v/>
      </c>
      <c r="DF26" s="22">
        <f>IF(COUNT(DF25,DF5)=2,IF(N(DF5)=0,"",DF25/DF5),"")</f>
        <v/>
      </c>
      <c r="DG26" s="22">
        <f>IF(N(DG5)=0,"",DG25/DG5)</f>
        <v/>
      </c>
      <c r="DH26" s="22">
        <f>IF(N(DH5)=0,"",DH25/DH5)</f>
        <v/>
      </c>
      <c r="DI26" s="23">
        <f>IF(COUNT(DI25,DI5)=2,IF(N(DI5)=0,"",DI25/DI5),"")</f>
        <v/>
      </c>
      <c r="DJ26" s="23">
        <f>IF(N(DJ5)=0,"",DJ25/DJ5)</f>
        <v/>
      </c>
      <c r="DK26" s="23">
        <f>IF(N(DK5)=0,"",DK25/DK5)</f>
        <v/>
      </c>
      <c r="DL26" s="22">
        <f>IF(COUNT(DL25,DL5)=2,IF(N(DL5)=0,"",DL25/DL5),"")</f>
        <v/>
      </c>
      <c r="DM26" s="22">
        <f>IF(N(DM5)=0,"",DM25/DM5)</f>
        <v/>
      </c>
      <c r="DN26" s="22">
        <f>IF(N(DN5)=0,"",DN25/DN5)</f>
        <v/>
      </c>
    </row>
    <row r="27">
      <c r="A27" s="15" t="inlineStr">
        <is>
          <t>People</t>
        </is>
      </c>
      <c r="B27" s="35" t="n"/>
      <c r="C27" s="35" t="n"/>
      <c r="D27" s="35" t="n"/>
      <c r="H27" s="35" t="n"/>
      <c r="I27" s="35" t="n"/>
      <c r="J27" s="35" t="n"/>
      <c r="N27" s="35" t="n"/>
      <c r="O27" s="35" t="n"/>
      <c r="P27" s="35" t="n"/>
      <c r="T27" s="35" t="n"/>
      <c r="U27" s="35" t="n"/>
      <c r="V27" s="35" t="n"/>
      <c r="Z27" s="35" t="n"/>
      <c r="AA27" s="35" t="n"/>
      <c r="AB27" s="35" t="n"/>
      <c r="AF27" s="35" t="n"/>
      <c r="AG27" s="35" t="n"/>
      <c r="AH27" s="35" t="n"/>
      <c r="AL27" s="35" t="n"/>
      <c r="AM27" s="35" t="n"/>
      <c r="AN27" s="35" t="n"/>
      <c r="AR27" s="35" t="n"/>
      <c r="AS27" s="35" t="n"/>
      <c r="AT27" s="35" t="n"/>
      <c r="AX27" s="35" t="n"/>
      <c r="AY27" s="35" t="n"/>
      <c r="AZ27" s="35" t="n"/>
      <c r="BD27" s="35" t="n"/>
      <c r="BE27" s="35" t="n"/>
      <c r="BF27" s="35" t="n"/>
      <c r="BJ27" s="35" t="n"/>
      <c r="BK27" s="35" t="n"/>
      <c r="BL27" s="35" t="n"/>
      <c r="BP27" s="35" t="n"/>
      <c r="BQ27" s="35" t="n"/>
      <c r="BR27" s="35" t="n"/>
      <c r="BV27" s="35" t="n"/>
      <c r="BW27" s="35" t="n"/>
      <c r="BX27" s="35" t="n"/>
      <c r="CB27" s="35" t="n"/>
      <c r="CC27" s="35" t="n"/>
      <c r="CD27" s="35" t="n"/>
      <c r="CH27" s="35" t="n"/>
      <c r="CI27" s="35" t="n"/>
      <c r="CJ27" s="35" t="n"/>
      <c r="CN27" s="35" t="n"/>
      <c r="CO27" s="35" t="n"/>
      <c r="CP27" s="35" t="n"/>
      <c r="CT27" s="35" t="n"/>
      <c r="CU27" s="35" t="n"/>
      <c r="CV27" s="35" t="n"/>
      <c r="CZ27" s="35" t="n"/>
      <c r="DA27" s="35" t="n"/>
      <c r="DB27" s="35" t="n"/>
      <c r="DF27" s="35" t="n"/>
      <c r="DG27" s="35" t="n"/>
      <c r="DH27" s="35" t="n"/>
      <c r="DL27" s="35" t="n"/>
      <c r="DM27" s="35" t="n"/>
      <c r="DN27" s="35" t="n"/>
    </row>
    <row r="28">
      <c r="A28" s="2" t="inlineStr">
        <is>
          <t>Support Manager</t>
        </is>
      </c>
      <c r="B28" s="10">
        <f>IF(COUNT(AR28,AO28,AL28,AI28,AF28,AC28,Z28,W28,T28,Q28,N28,K28)=0,"",SUM(AR28,AO28,AL28,AI28,AF28,AC28,Z28,W28,T28,Q28,N28,K28))</f>
        <v/>
      </c>
      <c r="C28" s="10">
        <f>IF(COUNT(AS28,AP28,AM28,AJ28,AG28,AD28,AA28,X28,U28,R28,O28,L28)=0,"",SUM(AS28,AP28,AM28,AJ28,AG28,AD28,AA28,X28,U28,R28,O28,L28))</f>
        <v/>
      </c>
      <c r="D28" s="10">
        <f>IF(COUNT(AT28,AQ28,AN28,AK28,AH28,AE28,AB28,Y28,V28,S28,P28,M28)=0,"",SUM(AT28,AQ28,AN28,AK28,AH28,AE28,AB28,Y28,V28,S28,P28,M28))</f>
        <v/>
      </c>
      <c r="E28" s="11">
        <f>IF(COUNT(CB28,BY28,BV28,BS28,BP28,BM28,BJ28,BG28,BD28,BA28,AX28,AU28)=0,"",SUM(CB28,BY28,BV28,BS28,BP28,BM28,BJ28,BG28,BD28,BA28,AX28,AU28))</f>
        <v/>
      </c>
      <c r="F28" s="11">
        <f>IF(COUNT(CC28,BZ28,BW28,BT28,BQ28,BN28,BK28,BH28,BE28,BB28,AY28,AV28)=0,"",SUM(CC28,BZ28,BW28,BT28,BQ28,BN28,BK28,BH28,BE28,BB28,AY28,AV28))</f>
        <v/>
      </c>
      <c r="G28" s="11">
        <f>IF(COUNT(CD28,CA28,BX28,BU28,BR28,BO28,BL28,BI28,BF28,BC28,AZ28,AW28)=0,"",SUM(CD28,CA28,BX28,BU28,BR28,BO28,BL28,BI28,BF28,BC28,AZ28,AW28))</f>
        <v/>
      </c>
      <c r="H28" s="10">
        <f>IF(COUNT(DL28,DI28,DF28,DC28,CZ28,CW28,CT28,CQ28,CN28,CK28,CH28,CE28)=0,"",SUM(DL28,DI28,DF28,DC28,CZ28,CW28,CT28,CQ28,CN28,CK28,CH28,CE28))</f>
        <v/>
      </c>
      <c r="I28" s="10">
        <f>IF(COUNT(DM28,DJ28,DG28,DD28,DA28,CX28,CU28,CR28,CO28,CL28,CI28,CF28)=0,"",SUM(DM28,DJ28,DG28,DD28,DA28,CX28,CU28,CR28,CO28,CL28,CI28,CF28))</f>
        <v/>
      </c>
      <c r="J28" s="10">
        <f>IF(COUNT(DN28,DK28,DH28,DE28,DB28,CY28,CV28,CS28,CP28,CM28,CJ28,CG28)=0,"",SUM(DN28,DK28,DH28,DE28,DB28,CY28,CV28,CS28,CP28,CM28,CJ28,CG28))</f>
        <v/>
      </c>
      <c r="K28" s="11" t="n"/>
      <c r="L28" s="11" t="n">
        <v>10000</v>
      </c>
      <c r="M28" s="11" t="n">
        <v>10000</v>
      </c>
      <c r="N28" s="10" t="n"/>
      <c r="O28" s="10" t="n">
        <v>10000</v>
      </c>
      <c r="P28" s="10" t="n">
        <v>10000</v>
      </c>
      <c r="Q28" s="11" t="n"/>
      <c r="R28" s="11" t="n">
        <v>10000</v>
      </c>
      <c r="S28" s="11" t="n">
        <v>10000</v>
      </c>
      <c r="T28" s="10" t="n"/>
      <c r="U28" s="10" t="n">
        <v>10000</v>
      </c>
      <c r="V28" s="10" t="n">
        <v>10000</v>
      </c>
      <c r="W28" s="11" t="n"/>
      <c r="X28" s="11" t="n">
        <v>10000</v>
      </c>
      <c r="Y28" s="11" t="n">
        <v>10000</v>
      </c>
      <c r="Z28" s="10" t="n"/>
      <c r="AA28" s="10" t="n">
        <v>10000</v>
      </c>
      <c r="AB28" s="10" t="n">
        <v>10000</v>
      </c>
      <c r="AC28" s="11" t="n"/>
      <c r="AD28" s="11" t="n">
        <v>10000</v>
      </c>
      <c r="AE28" s="11" t="n">
        <v>10000</v>
      </c>
      <c r="AF28" s="10" t="n"/>
      <c r="AG28" s="10" t="n">
        <v>10000</v>
      </c>
      <c r="AH28" s="10" t="n">
        <v>10000</v>
      </c>
      <c r="AI28" s="11" t="n"/>
      <c r="AJ28" s="11" t="n">
        <v>10000</v>
      </c>
      <c r="AK28" s="11" t="n">
        <v>10000</v>
      </c>
      <c r="AL28" s="10" t="n"/>
      <c r="AM28" s="10" t="n">
        <v>10000</v>
      </c>
      <c r="AN28" s="10" t="n">
        <v>10000</v>
      </c>
      <c r="AO28" s="11" t="n"/>
      <c r="AP28" s="11" t="n">
        <v>10000</v>
      </c>
      <c r="AQ28" s="11" t="n">
        <v>10000</v>
      </c>
      <c r="AR28" s="10" t="n"/>
      <c r="AS28" s="10" t="n">
        <v>10000</v>
      </c>
      <c r="AT28" s="10" t="n">
        <v>10000</v>
      </c>
      <c r="AU28" s="11" t="n"/>
      <c r="AV28" s="11" t="n">
        <v>10000</v>
      </c>
      <c r="AW28" s="11" t="n">
        <v>10000</v>
      </c>
      <c r="AX28" s="10" t="n"/>
      <c r="AY28" s="10" t="n">
        <v>10000</v>
      </c>
      <c r="AZ28" s="10" t="n">
        <v>10000</v>
      </c>
      <c r="BA28" s="11" t="n"/>
      <c r="BB28" s="11" t="n">
        <v>10000</v>
      </c>
      <c r="BC28" s="11" t="n">
        <v>10000</v>
      </c>
      <c r="BD28" s="10" t="n"/>
      <c r="BE28" s="10" t="n">
        <v>10000</v>
      </c>
      <c r="BF28" s="10" t="n">
        <v>10000</v>
      </c>
      <c r="BG28" s="11" t="n"/>
      <c r="BH28" s="11" t="n">
        <v>10000</v>
      </c>
      <c r="BI28" s="11" t="n">
        <v>10000</v>
      </c>
      <c r="BJ28" s="10" t="n"/>
      <c r="BK28" s="10" t="n">
        <v>10000</v>
      </c>
      <c r="BL28" s="10" t="n">
        <v>10000</v>
      </c>
      <c r="BM28" s="11" t="n"/>
      <c r="BN28" s="11" t="n">
        <v>10000</v>
      </c>
      <c r="BO28" s="11" t="n">
        <v>10000</v>
      </c>
      <c r="BP28" s="10" t="n"/>
      <c r="BQ28" s="10" t="n">
        <v>10000</v>
      </c>
      <c r="BR28" s="10" t="n">
        <v>10000</v>
      </c>
      <c r="BS28" s="11" t="n"/>
      <c r="BT28" s="11" t="n">
        <v>10000</v>
      </c>
      <c r="BU28" s="11" t="n">
        <v>10000</v>
      </c>
      <c r="BV28" s="10" t="n"/>
      <c r="BW28" s="10" t="n">
        <v>10000</v>
      </c>
      <c r="BX28" s="10" t="n">
        <v>10000</v>
      </c>
      <c r="BY28" s="11" t="n"/>
      <c r="BZ28" s="11" t="n">
        <v>10000</v>
      </c>
      <c r="CA28" s="11" t="n">
        <v>10000</v>
      </c>
      <c r="CB28" s="10" t="n"/>
      <c r="CC28" s="10" t="n">
        <v>10000</v>
      </c>
      <c r="CD28" s="10" t="n">
        <v>10000</v>
      </c>
      <c r="CE28" s="11" t="n"/>
      <c r="CF28" s="11" t="n">
        <v>10000</v>
      </c>
      <c r="CG28" s="11" t="n">
        <v>10000</v>
      </c>
      <c r="CH28" s="10" t="n"/>
      <c r="CI28" s="10" t="n">
        <v>10000</v>
      </c>
      <c r="CJ28" s="10" t="n">
        <v>10000</v>
      </c>
      <c r="CK28" s="11" t="n"/>
      <c r="CL28" s="11" t="n">
        <v>10000</v>
      </c>
      <c r="CM28" s="11" t="n">
        <v>10000</v>
      </c>
      <c r="CN28" s="10" t="n"/>
      <c r="CO28" s="10" t="n">
        <v>10000</v>
      </c>
      <c r="CP28" s="10" t="n">
        <v>10000</v>
      </c>
      <c r="CQ28" s="11" t="n"/>
      <c r="CR28" s="11" t="n">
        <v>10000</v>
      </c>
      <c r="CS28" s="11" t="n">
        <v>10000</v>
      </c>
      <c r="CT28" s="10" t="n"/>
      <c r="CU28" s="10" t="n">
        <v>10000</v>
      </c>
      <c r="CV28" s="10" t="n">
        <v>10000</v>
      </c>
      <c r="CW28" s="11" t="n"/>
      <c r="CX28" s="11" t="n">
        <v>10000</v>
      </c>
      <c r="CY28" s="11" t="n">
        <v>10000</v>
      </c>
      <c r="CZ28" s="10" t="n"/>
      <c r="DA28" s="10" t="n">
        <v>10000</v>
      </c>
      <c r="DB28" s="10" t="n">
        <v>10000</v>
      </c>
      <c r="DC28" s="11" t="n"/>
      <c r="DD28" s="11" t="n">
        <v>10000</v>
      </c>
      <c r="DE28" s="11" t="n">
        <v>10000</v>
      </c>
      <c r="DF28" s="10" t="n"/>
      <c r="DG28" s="10" t="n">
        <v>10000</v>
      </c>
      <c r="DH28" s="10" t="n">
        <v>10000</v>
      </c>
      <c r="DI28" s="11" t="n">
        <v>10000</v>
      </c>
      <c r="DJ28" s="11" t="n">
        <v>10000</v>
      </c>
      <c r="DK28" s="11" t="n">
        <v>10000</v>
      </c>
      <c r="DL28" s="10" t="n">
        <v>10000</v>
      </c>
      <c r="DM28" s="10" t="n">
        <v>10000</v>
      </c>
      <c r="DN28" s="10" t="n">
        <v>10000</v>
      </c>
    </row>
    <row r="29">
      <c r="A29" s="2" t="inlineStr">
        <is>
          <t>Technical Support Rep</t>
        </is>
      </c>
      <c r="B29" s="10">
        <f>IF(COUNT(AR29,AO29,AL29,AI29,AF29,AC29,Z29,W29,T29,Q29,N29,K29)=0,"",SUM(AR29,AO29,AL29,AI29,AF29,AC29,Z29,W29,T29,Q29,N29,K29))</f>
        <v/>
      </c>
      <c r="C29" s="10">
        <f>IF(COUNT(AS29,AP29,AM29,AJ29,AG29,AD29,AA29,X29,U29,R29,O29,L29)=0,"",SUM(AS29,AP29,AM29,AJ29,AG29,AD29,AA29,X29,U29,R29,O29,L29))</f>
        <v/>
      </c>
      <c r="D29" s="10">
        <f>IF(COUNT(AT29,AQ29,AN29,AK29,AH29,AE29,AB29,Y29,V29,S29,P29,M29)=0,"",SUM(AT29,AQ29,AN29,AK29,AH29,AE29,AB29,Y29,V29,S29,P29,M29))</f>
        <v/>
      </c>
      <c r="E29" s="11">
        <f>IF(COUNT(CB29,BY29,BV29,BS29,BP29,BM29,BJ29,BG29,BD29,BA29,AX29,AU29)=0,"",SUM(CB29,BY29,BV29,BS29,BP29,BM29,BJ29,BG29,BD29,BA29,AX29,AU29))</f>
        <v/>
      </c>
      <c r="F29" s="11">
        <f>IF(COUNT(CC29,BZ29,BW29,BT29,BQ29,BN29,BK29,BH29,BE29,BB29,AY29,AV29)=0,"",SUM(CC29,BZ29,BW29,BT29,BQ29,BN29,BK29,BH29,BE29,BB29,AY29,AV29))</f>
        <v/>
      </c>
      <c r="G29" s="11">
        <f>IF(COUNT(CD29,CA29,BX29,BU29,BR29,BO29,BL29,BI29,BF29,BC29,AZ29,AW29)=0,"",SUM(CD29,CA29,BX29,BU29,BR29,BO29,BL29,BI29,BF29,BC29,AZ29,AW29))</f>
        <v/>
      </c>
      <c r="H29" s="10">
        <f>IF(COUNT(DL29,DI29,DF29,DC29,CZ29,CW29,CT29,CQ29,CN29,CK29,CH29,CE29)=0,"",SUM(DL29,DI29,DF29,DC29,CZ29,CW29,CT29,CQ29,CN29,CK29,CH29,CE29))</f>
        <v/>
      </c>
      <c r="I29" s="10">
        <f>IF(COUNT(DM29,DJ29,DG29,DD29,DA29,CX29,CU29,CR29,CO29,CL29,CI29,CF29)=0,"",SUM(DM29,DJ29,DG29,DD29,DA29,CX29,CU29,CR29,CO29,CL29,CI29,CF29))</f>
        <v/>
      </c>
      <c r="J29" s="10">
        <f>IF(COUNT(DN29,DK29,DH29,DE29,DB29,CY29,CV29,CS29,CP29,CM29,CJ29,CG29)=0,"",SUM(DN29,DK29,DH29,DE29,DB29,CY29,CV29,CS29,CP29,CM29,CJ29,CG29))</f>
        <v/>
      </c>
      <c r="K29" s="11" t="n"/>
      <c r="L29" s="11" t="n">
        <v>7000</v>
      </c>
      <c r="M29" s="11" t="n">
        <v>7000</v>
      </c>
      <c r="N29" s="10" t="n"/>
      <c r="O29" s="10" t="n">
        <v>7000</v>
      </c>
      <c r="P29" s="10" t="n">
        <v>7000</v>
      </c>
      <c r="Q29" s="11" t="n"/>
      <c r="R29" s="11" t="n">
        <v>7000</v>
      </c>
      <c r="S29" s="11" t="n">
        <v>7000</v>
      </c>
      <c r="T29" s="10" t="n"/>
      <c r="U29" s="10" t="n">
        <v>7000</v>
      </c>
      <c r="V29" s="10" t="n">
        <v>7000</v>
      </c>
      <c r="W29" s="11" t="n"/>
      <c r="X29" s="11" t="n">
        <v>7000</v>
      </c>
      <c r="Y29" s="11" t="n">
        <v>7000</v>
      </c>
      <c r="Z29" s="10" t="n"/>
      <c r="AA29" s="10" t="n">
        <v>7000</v>
      </c>
      <c r="AB29" s="10" t="n">
        <v>7000</v>
      </c>
      <c r="AC29" s="11" t="n"/>
      <c r="AD29" s="11" t="n">
        <v>7000</v>
      </c>
      <c r="AE29" s="11" t="n">
        <v>7000</v>
      </c>
      <c r="AF29" s="10" t="n"/>
      <c r="AG29" s="10" t="n">
        <v>7000</v>
      </c>
      <c r="AH29" s="10" t="n">
        <v>7000</v>
      </c>
      <c r="AI29" s="11" t="n"/>
      <c r="AJ29" s="11" t="n">
        <v>7000</v>
      </c>
      <c r="AK29" s="11" t="n">
        <v>7000</v>
      </c>
      <c r="AL29" s="10" t="n"/>
      <c r="AM29" s="10" t="n">
        <v>7000</v>
      </c>
      <c r="AN29" s="10" t="n">
        <v>7000</v>
      </c>
      <c r="AO29" s="11" t="n"/>
      <c r="AP29" s="11" t="n">
        <v>7000</v>
      </c>
      <c r="AQ29" s="11" t="n">
        <v>7000</v>
      </c>
      <c r="AR29" s="10" t="n"/>
      <c r="AS29" s="10" t="n">
        <v>7000</v>
      </c>
      <c r="AT29" s="10" t="n">
        <v>7000</v>
      </c>
      <c r="AU29" s="11" t="n"/>
      <c r="AV29" s="11" t="n">
        <v>7000</v>
      </c>
      <c r="AW29" s="11" t="n">
        <v>7000</v>
      </c>
      <c r="AX29" s="10" t="n"/>
      <c r="AY29" s="10" t="n">
        <v>7000</v>
      </c>
      <c r="AZ29" s="10" t="n">
        <v>7000</v>
      </c>
      <c r="BA29" s="11" t="n"/>
      <c r="BB29" s="11" t="n">
        <v>7000</v>
      </c>
      <c r="BC29" s="11" t="n">
        <v>7000</v>
      </c>
      <c r="BD29" s="10" t="n"/>
      <c r="BE29" s="10" t="n">
        <v>7000</v>
      </c>
      <c r="BF29" s="10" t="n">
        <v>7000</v>
      </c>
      <c r="BG29" s="11" t="n"/>
      <c r="BH29" s="11" t="n">
        <v>7000</v>
      </c>
      <c r="BI29" s="11" t="n">
        <v>7000</v>
      </c>
      <c r="BJ29" s="10" t="n"/>
      <c r="BK29" s="10" t="n">
        <v>7000</v>
      </c>
      <c r="BL29" s="10" t="n">
        <v>7000</v>
      </c>
      <c r="BM29" s="11" t="n"/>
      <c r="BN29" s="11" t="n">
        <v>7000</v>
      </c>
      <c r="BO29" s="11" t="n">
        <v>7000</v>
      </c>
      <c r="BP29" s="10" t="n"/>
      <c r="BQ29" s="10" t="n">
        <v>7000</v>
      </c>
      <c r="BR29" s="10" t="n">
        <v>7000</v>
      </c>
      <c r="BS29" s="11" t="n"/>
      <c r="BT29" s="11" t="n">
        <v>7000</v>
      </c>
      <c r="BU29" s="11" t="n">
        <v>7000</v>
      </c>
      <c r="BV29" s="10" t="n"/>
      <c r="BW29" s="10" t="n">
        <v>7000</v>
      </c>
      <c r="BX29" s="10" t="n">
        <v>7000</v>
      </c>
      <c r="BY29" s="11" t="n"/>
      <c r="BZ29" s="11" t="n">
        <v>7000</v>
      </c>
      <c r="CA29" s="11" t="n">
        <v>7000</v>
      </c>
      <c r="CB29" s="10" t="n"/>
      <c r="CC29" s="10" t="n">
        <v>7000</v>
      </c>
      <c r="CD29" s="10" t="n">
        <v>7000</v>
      </c>
      <c r="CE29" s="11" t="n"/>
      <c r="CF29" s="11" t="n">
        <v>7000</v>
      </c>
      <c r="CG29" s="11" t="n">
        <v>7000</v>
      </c>
      <c r="CH29" s="10" t="n"/>
      <c r="CI29" s="10" t="n">
        <v>7000</v>
      </c>
      <c r="CJ29" s="10" t="n">
        <v>7000</v>
      </c>
      <c r="CK29" s="11" t="n"/>
      <c r="CL29" s="11" t="n">
        <v>7000</v>
      </c>
      <c r="CM29" s="11" t="n">
        <v>7000</v>
      </c>
      <c r="CN29" s="10" t="n"/>
      <c r="CO29" s="10" t="n">
        <v>7000</v>
      </c>
      <c r="CP29" s="10" t="n">
        <v>7000</v>
      </c>
      <c r="CQ29" s="11" t="n"/>
      <c r="CR29" s="11" t="n">
        <v>7000</v>
      </c>
      <c r="CS29" s="11" t="n">
        <v>7000</v>
      </c>
      <c r="CT29" s="10" t="n"/>
      <c r="CU29" s="10" t="n">
        <v>7000</v>
      </c>
      <c r="CV29" s="10" t="n">
        <v>7000</v>
      </c>
      <c r="CW29" s="11" t="n"/>
      <c r="CX29" s="11" t="n">
        <v>7000</v>
      </c>
      <c r="CY29" s="11" t="n">
        <v>7000</v>
      </c>
      <c r="CZ29" s="10" t="n"/>
      <c r="DA29" s="10" t="n">
        <v>7000</v>
      </c>
      <c r="DB29" s="10" t="n">
        <v>7000</v>
      </c>
      <c r="DC29" s="11" t="n"/>
      <c r="DD29" s="11" t="n">
        <v>7000</v>
      </c>
      <c r="DE29" s="11" t="n">
        <v>7000</v>
      </c>
      <c r="DF29" s="10" t="n"/>
      <c r="DG29" s="10" t="n">
        <v>7000</v>
      </c>
      <c r="DH29" s="10" t="n">
        <v>7000</v>
      </c>
      <c r="DI29" s="11" t="n">
        <v>7000</v>
      </c>
      <c r="DJ29" s="11" t="n">
        <v>7000</v>
      </c>
      <c r="DK29" s="11" t="n">
        <v>7000</v>
      </c>
      <c r="DL29" s="10" t="n">
        <v>7000</v>
      </c>
      <c r="DM29" s="10" t="n">
        <v>7000</v>
      </c>
      <c r="DN29" s="10" t="n">
        <v>7000</v>
      </c>
    </row>
    <row r="30">
      <c r="A30" s="2" t="inlineStr">
        <is>
          <t>Technical Support Rep</t>
        </is>
      </c>
      <c r="B30" s="10">
        <f>IF(COUNT(AR30,AO30,AL30,AI30,AF30,AC30,Z30,W30,T30,Q30,N30,K30)=0,"",SUM(AR30,AO30,AL30,AI30,AF30,AC30,Z30,W30,T30,Q30,N30,K30))</f>
        <v/>
      </c>
      <c r="C30" s="10">
        <f>IF(COUNT(AS30,AP30,AM30,AJ30,AG30,AD30,AA30,X30,U30,R30,O30,L30)=0,"",SUM(AS30,AP30,AM30,AJ30,AG30,AD30,AA30,X30,U30,R30,O30,L30))</f>
        <v/>
      </c>
      <c r="D30" s="10">
        <f>IF(COUNT(AT30,AQ30,AN30,AK30,AH30,AE30,AB30,Y30,V30,S30,P30,M30)=0,"",SUM(AT30,AQ30,AN30,AK30,AH30,AE30,AB30,Y30,V30,S30,P30,M30))</f>
        <v/>
      </c>
      <c r="E30" s="11">
        <f>IF(COUNT(CB30,BY30,BV30,BS30,BP30,BM30,BJ30,BG30,BD30,BA30,AX30,AU30)=0,"",SUM(CB30,BY30,BV30,BS30,BP30,BM30,BJ30,BG30,BD30,BA30,AX30,AU30))</f>
        <v/>
      </c>
      <c r="F30" s="11">
        <f>IF(COUNT(CC30,BZ30,BW30,BT30,BQ30,BN30,BK30,BH30,BE30,BB30,AY30,AV30)=0,"",SUM(CC30,BZ30,BW30,BT30,BQ30,BN30,BK30,BH30,BE30,BB30,AY30,AV30))</f>
        <v/>
      </c>
      <c r="G30" s="11">
        <f>IF(COUNT(CD30,CA30,BX30,BU30,BR30,BO30,BL30,BI30,BF30,BC30,AZ30,AW30)=0,"",SUM(CD30,CA30,BX30,BU30,BR30,BO30,BL30,BI30,BF30,BC30,AZ30,AW30))</f>
        <v/>
      </c>
      <c r="H30" s="10">
        <f>IF(COUNT(DL30,DI30,DF30,DC30,CZ30,CW30,CT30,CQ30,CN30,CK30,CH30,CE30)=0,"",SUM(DL30,DI30,DF30,DC30,CZ30,CW30,CT30,CQ30,CN30,CK30,CH30,CE30))</f>
        <v/>
      </c>
      <c r="I30" s="10">
        <f>IF(COUNT(DM30,DJ30,DG30,DD30,DA30,CX30,CU30,CR30,CO30,CL30,CI30,CF30)=0,"",SUM(DM30,DJ30,DG30,DD30,DA30,CX30,CU30,CR30,CO30,CL30,CI30,CF30))</f>
        <v/>
      </c>
      <c r="J30" s="10">
        <f>IF(COUNT(DN30,DK30,DH30,DE30,DB30,CY30,CV30,CS30,CP30,CM30,CJ30,CG30)=0,"",SUM(DN30,DK30,DH30,DE30,DB30,CY30,CV30,CS30,CP30,CM30,CJ30,CG30))</f>
        <v/>
      </c>
      <c r="K30" s="11" t="n"/>
      <c r="L30" s="11" t="n">
        <v>7000</v>
      </c>
      <c r="M30" s="11" t="n">
        <v>7000</v>
      </c>
      <c r="N30" s="10" t="n"/>
      <c r="O30" s="10" t="n">
        <v>7000</v>
      </c>
      <c r="P30" s="10" t="n">
        <v>7000</v>
      </c>
      <c r="Q30" s="11" t="n"/>
      <c r="R30" s="11" t="n">
        <v>7000</v>
      </c>
      <c r="S30" s="11" t="n">
        <v>7000</v>
      </c>
      <c r="T30" s="10" t="n"/>
      <c r="U30" s="10" t="n">
        <v>7000</v>
      </c>
      <c r="V30" s="10" t="n">
        <v>7000</v>
      </c>
      <c r="W30" s="11" t="n"/>
      <c r="X30" s="11" t="n">
        <v>7000</v>
      </c>
      <c r="Y30" s="11" t="n">
        <v>7000</v>
      </c>
      <c r="Z30" s="10" t="n"/>
      <c r="AA30" s="10" t="n">
        <v>7000</v>
      </c>
      <c r="AB30" s="10" t="n">
        <v>7000</v>
      </c>
      <c r="AC30" s="11" t="n"/>
      <c r="AD30" s="11" t="n">
        <v>7000</v>
      </c>
      <c r="AE30" s="11" t="n">
        <v>7000</v>
      </c>
      <c r="AF30" s="10" t="n"/>
      <c r="AG30" s="10" t="n">
        <v>7000</v>
      </c>
      <c r="AH30" s="10" t="n">
        <v>7000</v>
      </c>
      <c r="AI30" s="11" t="n"/>
      <c r="AJ30" s="11" t="n">
        <v>7000</v>
      </c>
      <c r="AK30" s="11" t="n">
        <v>7000</v>
      </c>
      <c r="AL30" s="10" t="n"/>
      <c r="AM30" s="10" t="n">
        <v>7000</v>
      </c>
      <c r="AN30" s="10" t="n">
        <v>7000</v>
      </c>
      <c r="AO30" s="11" t="n"/>
      <c r="AP30" s="11" t="n">
        <v>7000</v>
      </c>
      <c r="AQ30" s="11" t="n">
        <v>7000</v>
      </c>
      <c r="AR30" s="10" t="n"/>
      <c r="AS30" s="10" t="n">
        <v>7000</v>
      </c>
      <c r="AT30" s="10" t="n">
        <v>7000</v>
      </c>
      <c r="AU30" s="11" t="n"/>
      <c r="AV30" s="11" t="n">
        <v>7000</v>
      </c>
      <c r="AW30" s="11" t="n">
        <v>7000</v>
      </c>
      <c r="AX30" s="10" t="n"/>
      <c r="AY30" s="10" t="n">
        <v>7000</v>
      </c>
      <c r="AZ30" s="10" t="n">
        <v>7000</v>
      </c>
      <c r="BA30" s="11" t="n"/>
      <c r="BB30" s="11" t="n">
        <v>7000</v>
      </c>
      <c r="BC30" s="11" t="n">
        <v>7000</v>
      </c>
      <c r="BD30" s="10" t="n"/>
      <c r="BE30" s="10" t="n">
        <v>7000</v>
      </c>
      <c r="BF30" s="10" t="n">
        <v>7000</v>
      </c>
      <c r="BG30" s="11" t="n"/>
      <c r="BH30" s="11" t="n">
        <v>7000</v>
      </c>
      <c r="BI30" s="11" t="n">
        <v>7000</v>
      </c>
      <c r="BJ30" s="10" t="n"/>
      <c r="BK30" s="10" t="n">
        <v>7000</v>
      </c>
      <c r="BL30" s="10" t="n">
        <v>7000</v>
      </c>
      <c r="BM30" s="11" t="n"/>
      <c r="BN30" s="11" t="n">
        <v>7000</v>
      </c>
      <c r="BO30" s="11" t="n">
        <v>7000</v>
      </c>
      <c r="BP30" s="10" t="n"/>
      <c r="BQ30" s="10" t="n">
        <v>7000</v>
      </c>
      <c r="BR30" s="10" t="n">
        <v>7000</v>
      </c>
      <c r="BS30" s="11" t="n"/>
      <c r="BT30" s="11" t="n">
        <v>7000</v>
      </c>
      <c r="BU30" s="11" t="n">
        <v>7000</v>
      </c>
      <c r="BV30" s="10" t="n"/>
      <c r="BW30" s="10" t="n">
        <v>7000</v>
      </c>
      <c r="BX30" s="10" t="n">
        <v>7000</v>
      </c>
      <c r="BY30" s="11" t="n"/>
      <c r="BZ30" s="11" t="n">
        <v>7000</v>
      </c>
      <c r="CA30" s="11" t="n">
        <v>7000</v>
      </c>
      <c r="CB30" s="10" t="n"/>
      <c r="CC30" s="10" t="n">
        <v>7000</v>
      </c>
      <c r="CD30" s="10" t="n">
        <v>7000</v>
      </c>
      <c r="CE30" s="11" t="n"/>
      <c r="CF30" s="11" t="n">
        <v>7000</v>
      </c>
      <c r="CG30" s="11" t="n">
        <v>7000</v>
      </c>
      <c r="CH30" s="10" t="n"/>
      <c r="CI30" s="10" t="n">
        <v>7000</v>
      </c>
      <c r="CJ30" s="10" t="n">
        <v>7000</v>
      </c>
      <c r="CK30" s="11" t="n"/>
      <c r="CL30" s="11" t="n">
        <v>7000</v>
      </c>
      <c r="CM30" s="11" t="n">
        <v>7000</v>
      </c>
      <c r="CN30" s="10" t="n"/>
      <c r="CO30" s="10" t="n">
        <v>7000</v>
      </c>
      <c r="CP30" s="10" t="n">
        <v>7000</v>
      </c>
      <c r="CQ30" s="11" t="n"/>
      <c r="CR30" s="11" t="n">
        <v>7000</v>
      </c>
      <c r="CS30" s="11" t="n">
        <v>7000</v>
      </c>
      <c r="CT30" s="10" t="n"/>
      <c r="CU30" s="10" t="n">
        <v>7000</v>
      </c>
      <c r="CV30" s="10" t="n">
        <v>7000</v>
      </c>
      <c r="CW30" s="11" t="n"/>
      <c r="CX30" s="11" t="n">
        <v>7000</v>
      </c>
      <c r="CY30" s="11" t="n">
        <v>7000</v>
      </c>
      <c r="CZ30" s="10" t="n"/>
      <c r="DA30" s="10" t="n">
        <v>7000</v>
      </c>
      <c r="DB30" s="10" t="n">
        <v>7000</v>
      </c>
      <c r="DC30" s="11" t="n"/>
      <c r="DD30" s="11" t="n">
        <v>7000</v>
      </c>
      <c r="DE30" s="11" t="n">
        <v>7000</v>
      </c>
      <c r="DF30" s="10" t="n"/>
      <c r="DG30" s="10" t="n">
        <v>7000</v>
      </c>
      <c r="DH30" s="10" t="n">
        <v>7000</v>
      </c>
      <c r="DI30" s="11" t="n">
        <v>7000</v>
      </c>
      <c r="DJ30" s="11" t="n">
        <v>7000</v>
      </c>
      <c r="DK30" s="11" t="n">
        <v>7000</v>
      </c>
      <c r="DL30" s="10" t="n">
        <v>7000</v>
      </c>
      <c r="DM30" s="10" t="n">
        <v>7000</v>
      </c>
      <c r="DN30" s="10" t="n">
        <v>7000</v>
      </c>
    </row>
    <row r="31">
      <c r="A31" s="2" t="inlineStr">
        <is>
          <t>Technical Support Rep</t>
        </is>
      </c>
      <c r="B31" s="10">
        <f>IF(COUNT(AR31,AO31,AL31,AI31,AF31,AC31,Z31,W31,T31,Q31,N31,K31)=0,"",SUM(AR31,AO31,AL31,AI31,AF31,AC31,Z31,W31,T31,Q31,N31,K31))</f>
        <v/>
      </c>
      <c r="C31" s="10">
        <f>IF(COUNT(AS31,AP31,AM31,AJ31,AG31,AD31,AA31,X31,U31,R31,O31,L31)=0,"",SUM(AS31,AP31,AM31,AJ31,AG31,AD31,AA31,X31,U31,R31,O31,L31))</f>
        <v/>
      </c>
      <c r="D31" s="10">
        <f>IF(COUNT(AT31,AQ31,AN31,AK31,AH31,AE31,AB31,Y31,V31,S31,P31,M31)=0,"",SUM(AT31,AQ31,AN31,AK31,AH31,AE31,AB31,Y31,V31,S31,P31,M31))</f>
        <v/>
      </c>
      <c r="E31" s="11">
        <f>IF(COUNT(CB31,BY31,BV31,BS31,BP31,BM31,BJ31,BG31,BD31,BA31,AX31,AU31)=0,"",SUM(CB31,BY31,BV31,BS31,BP31,BM31,BJ31,BG31,BD31,BA31,AX31,AU31))</f>
        <v/>
      </c>
      <c r="F31" s="11">
        <f>IF(COUNT(CC31,BZ31,BW31,BT31,BQ31,BN31,BK31,BH31,BE31,BB31,AY31,AV31)=0,"",SUM(CC31,BZ31,BW31,BT31,BQ31,BN31,BK31,BH31,BE31,BB31,AY31,AV31))</f>
        <v/>
      </c>
      <c r="G31" s="11">
        <f>IF(COUNT(CD31,CA31,BX31,BU31,BR31,BO31,BL31,BI31,BF31,BC31,AZ31,AW31)=0,"",SUM(CD31,CA31,BX31,BU31,BR31,BO31,BL31,BI31,BF31,BC31,AZ31,AW31))</f>
        <v/>
      </c>
      <c r="H31" s="10">
        <f>IF(COUNT(DL31,DI31,DF31,DC31,CZ31,CW31,CT31,CQ31,CN31,CK31,CH31,CE31)=0,"",SUM(DL31,DI31,DF31,DC31,CZ31,CW31,CT31,CQ31,CN31,CK31,CH31,CE31))</f>
        <v/>
      </c>
      <c r="I31" s="10">
        <f>IF(COUNT(DM31,DJ31,DG31,DD31,DA31,CX31,CU31,CR31,CO31,CL31,CI31,CF31)=0,"",SUM(DM31,DJ31,DG31,DD31,DA31,CX31,CU31,CR31,CO31,CL31,CI31,CF31))</f>
        <v/>
      </c>
      <c r="J31" s="10">
        <f>IF(COUNT(DN31,DK31,DH31,DE31,DB31,CY31,CV31,CS31,CP31,CM31,CJ31,CG31)=0,"",SUM(DN31,DK31,DH31,DE31,DB31,CY31,CV31,CS31,CP31,CM31,CJ31,CG31))</f>
        <v/>
      </c>
      <c r="K31" s="11" t="n"/>
      <c r="L31" s="11" t="n">
        <v>7000</v>
      </c>
      <c r="M31" s="11" t="n">
        <v>7000</v>
      </c>
      <c r="N31" s="10" t="n"/>
      <c r="O31" s="10" t="n">
        <v>7000</v>
      </c>
      <c r="P31" s="10" t="n">
        <v>7000</v>
      </c>
      <c r="Q31" s="11" t="n"/>
      <c r="R31" s="11" t="n">
        <v>7000</v>
      </c>
      <c r="S31" s="11" t="n">
        <v>7000</v>
      </c>
      <c r="T31" s="10" t="n"/>
      <c r="U31" s="10" t="n">
        <v>7000</v>
      </c>
      <c r="V31" s="10" t="n">
        <v>7000</v>
      </c>
      <c r="W31" s="11" t="n"/>
      <c r="X31" s="11" t="n">
        <v>7000</v>
      </c>
      <c r="Y31" s="11" t="n">
        <v>7000</v>
      </c>
      <c r="Z31" s="10" t="n"/>
      <c r="AA31" s="10" t="n">
        <v>7000</v>
      </c>
      <c r="AB31" s="10" t="n">
        <v>7000</v>
      </c>
      <c r="AC31" s="11" t="n"/>
      <c r="AD31" s="11" t="n">
        <v>7000</v>
      </c>
      <c r="AE31" s="11" t="n">
        <v>7000</v>
      </c>
      <c r="AF31" s="10" t="n"/>
      <c r="AG31" s="10" t="n">
        <v>7000</v>
      </c>
      <c r="AH31" s="10" t="n">
        <v>7000</v>
      </c>
      <c r="AI31" s="11" t="n"/>
      <c r="AJ31" s="11" t="n">
        <v>7000</v>
      </c>
      <c r="AK31" s="11" t="n">
        <v>7000</v>
      </c>
      <c r="AL31" s="10" t="n"/>
      <c r="AM31" s="10" t="n">
        <v>7000</v>
      </c>
      <c r="AN31" s="10" t="n">
        <v>7000</v>
      </c>
      <c r="AO31" s="11" t="n"/>
      <c r="AP31" s="11" t="n">
        <v>7000</v>
      </c>
      <c r="AQ31" s="11" t="n">
        <v>7000</v>
      </c>
      <c r="AR31" s="10" t="n"/>
      <c r="AS31" s="10" t="n">
        <v>7000</v>
      </c>
      <c r="AT31" s="10" t="n">
        <v>7000</v>
      </c>
      <c r="AU31" s="11" t="n"/>
      <c r="AV31" s="11" t="n">
        <v>7000</v>
      </c>
      <c r="AW31" s="11" t="n">
        <v>7000</v>
      </c>
      <c r="AX31" s="10" t="n"/>
      <c r="AY31" s="10" t="n">
        <v>7000</v>
      </c>
      <c r="AZ31" s="10" t="n">
        <v>7000</v>
      </c>
      <c r="BA31" s="11" t="n"/>
      <c r="BB31" s="11" t="n">
        <v>7000</v>
      </c>
      <c r="BC31" s="11" t="n">
        <v>7000</v>
      </c>
      <c r="BD31" s="10" t="n"/>
      <c r="BE31" s="10" t="n">
        <v>7000</v>
      </c>
      <c r="BF31" s="10" t="n">
        <v>7000</v>
      </c>
      <c r="BG31" s="11" t="n"/>
      <c r="BH31" s="11" t="n">
        <v>7000</v>
      </c>
      <c r="BI31" s="11" t="n">
        <v>7000</v>
      </c>
      <c r="BJ31" s="10" t="n"/>
      <c r="BK31" s="10" t="n">
        <v>7000</v>
      </c>
      <c r="BL31" s="10" t="n">
        <v>7000</v>
      </c>
      <c r="BM31" s="11" t="n"/>
      <c r="BN31" s="11" t="n">
        <v>7000</v>
      </c>
      <c r="BO31" s="11" t="n">
        <v>7000</v>
      </c>
      <c r="BP31" s="10" t="n"/>
      <c r="BQ31" s="10" t="n">
        <v>7000</v>
      </c>
      <c r="BR31" s="10" t="n">
        <v>7000</v>
      </c>
      <c r="BS31" s="11" t="n"/>
      <c r="BT31" s="11" t="n">
        <v>7000</v>
      </c>
      <c r="BU31" s="11" t="n">
        <v>7000</v>
      </c>
      <c r="BV31" s="10" t="n"/>
      <c r="BW31" s="10" t="n">
        <v>7000</v>
      </c>
      <c r="BX31" s="10" t="n">
        <v>7000</v>
      </c>
      <c r="BY31" s="11" t="n"/>
      <c r="BZ31" s="11" t="n">
        <v>7000</v>
      </c>
      <c r="CA31" s="11" t="n">
        <v>7000</v>
      </c>
      <c r="CB31" s="10" t="n"/>
      <c r="CC31" s="10" t="n">
        <v>7000</v>
      </c>
      <c r="CD31" s="10" t="n">
        <v>7000</v>
      </c>
      <c r="CE31" s="11" t="n"/>
      <c r="CF31" s="11" t="n">
        <v>7000</v>
      </c>
      <c r="CG31" s="11" t="n">
        <v>7000</v>
      </c>
      <c r="CH31" s="10" t="n"/>
      <c r="CI31" s="10" t="n">
        <v>7000</v>
      </c>
      <c r="CJ31" s="10" t="n">
        <v>7000</v>
      </c>
      <c r="CK31" s="11" t="n"/>
      <c r="CL31" s="11" t="n">
        <v>7000</v>
      </c>
      <c r="CM31" s="11" t="n">
        <v>7000</v>
      </c>
      <c r="CN31" s="10" t="n"/>
      <c r="CO31" s="10" t="n">
        <v>7000</v>
      </c>
      <c r="CP31" s="10" t="n">
        <v>7000</v>
      </c>
      <c r="CQ31" s="11" t="n"/>
      <c r="CR31" s="11" t="n">
        <v>7000</v>
      </c>
      <c r="CS31" s="11" t="n">
        <v>7000</v>
      </c>
      <c r="CT31" s="10" t="n"/>
      <c r="CU31" s="10" t="n">
        <v>7000</v>
      </c>
      <c r="CV31" s="10" t="n">
        <v>7000</v>
      </c>
      <c r="CW31" s="11" t="n"/>
      <c r="CX31" s="11" t="n">
        <v>7000</v>
      </c>
      <c r="CY31" s="11" t="n">
        <v>7000</v>
      </c>
      <c r="CZ31" s="10" t="n"/>
      <c r="DA31" s="10" t="n">
        <v>7000</v>
      </c>
      <c r="DB31" s="10" t="n">
        <v>7000</v>
      </c>
      <c r="DC31" s="11" t="n"/>
      <c r="DD31" s="11" t="n">
        <v>7000</v>
      </c>
      <c r="DE31" s="11" t="n">
        <v>7000</v>
      </c>
      <c r="DF31" s="10" t="n"/>
      <c r="DG31" s="10" t="n">
        <v>7000</v>
      </c>
      <c r="DH31" s="10" t="n">
        <v>7000</v>
      </c>
      <c r="DI31" s="11" t="n">
        <v>7000</v>
      </c>
      <c r="DJ31" s="11" t="n">
        <v>7000</v>
      </c>
      <c r="DK31" s="11" t="n">
        <v>7000</v>
      </c>
      <c r="DL31" s="10" t="n">
        <v>7000</v>
      </c>
      <c r="DM31" s="10" t="n">
        <v>7000</v>
      </c>
      <c r="DN31" s="10" t="n">
        <v>7000</v>
      </c>
    </row>
    <row r="32">
      <c r="A32" s="2" t="inlineStr">
        <is>
          <t>Technical Support Rep</t>
        </is>
      </c>
      <c r="B32" s="10">
        <f>IF(COUNT(AR32,AO32,AL32,AI32,AF32,AC32,Z32,W32,T32,Q32,N32,K32)=0,"",SUM(AR32,AO32,AL32,AI32,AF32,AC32,Z32,W32,T32,Q32,N32,K32))</f>
        <v/>
      </c>
      <c r="C32" s="10">
        <f>IF(COUNT(AS32,AP32,AM32,AJ32,AG32,AD32,AA32,X32,U32,R32,O32,L32)=0,"",SUM(AS32,AP32,AM32,AJ32,AG32,AD32,AA32,X32,U32,R32,O32,L32))</f>
        <v/>
      </c>
      <c r="D32" s="10">
        <f>IF(COUNT(AT32,AQ32,AN32,AK32,AH32,AE32,AB32,Y32,V32,S32,P32,M32)=0,"",SUM(AT32,AQ32,AN32,AK32,AH32,AE32,AB32,Y32,V32,S32,P32,M32))</f>
        <v/>
      </c>
      <c r="E32" s="11">
        <f>IF(COUNT(CB32,BY32,BV32,BS32,BP32,BM32,BJ32,BG32,BD32,BA32,AX32,AU32)=0,"",SUM(CB32,BY32,BV32,BS32,BP32,BM32,BJ32,BG32,BD32,BA32,AX32,AU32))</f>
        <v/>
      </c>
      <c r="F32" s="11">
        <f>IF(COUNT(CC32,BZ32,BW32,BT32,BQ32,BN32,BK32,BH32,BE32,BB32,AY32,AV32)=0,"",SUM(CC32,BZ32,BW32,BT32,BQ32,BN32,BK32,BH32,BE32,BB32,AY32,AV32))</f>
        <v/>
      </c>
      <c r="G32" s="11">
        <f>IF(COUNT(CD32,CA32,BX32,BU32,BR32,BO32,BL32,BI32,BF32,BC32,AZ32,AW32)=0,"",SUM(CD32,CA32,BX32,BU32,BR32,BO32,BL32,BI32,BF32,BC32,AZ32,AW32))</f>
        <v/>
      </c>
      <c r="H32" s="10">
        <f>IF(COUNT(DL32,DI32,DF32,DC32,CZ32,CW32,CT32,CQ32,CN32,CK32,CH32,CE32)=0,"",SUM(DL32,DI32,DF32,DC32,CZ32,CW32,CT32,CQ32,CN32,CK32,CH32,CE32))</f>
        <v/>
      </c>
      <c r="I32" s="10">
        <f>IF(COUNT(DM32,DJ32,DG32,DD32,DA32,CX32,CU32,CR32,CO32,CL32,CI32,CF32)=0,"",SUM(DM32,DJ32,DG32,DD32,DA32,CX32,CU32,CR32,CO32,CL32,CI32,CF32))</f>
        <v/>
      </c>
      <c r="J32" s="10">
        <f>IF(COUNT(DN32,DK32,DH32,DE32,DB32,CY32,CV32,CS32,CP32,CM32,CJ32,CG32)=0,"",SUM(DN32,DK32,DH32,DE32,DB32,CY32,CV32,CS32,CP32,CM32,CJ32,CG32))</f>
        <v/>
      </c>
      <c r="K32" s="11" t="n"/>
      <c r="L32" s="11" t="n">
        <v>7000</v>
      </c>
      <c r="M32" s="11" t="n">
        <v>7000</v>
      </c>
      <c r="N32" s="10" t="n"/>
      <c r="O32" s="10" t="n">
        <v>7000</v>
      </c>
      <c r="P32" s="10" t="n">
        <v>7000</v>
      </c>
      <c r="Q32" s="11" t="n"/>
      <c r="R32" s="11" t="n">
        <v>7000</v>
      </c>
      <c r="S32" s="11" t="n">
        <v>7000</v>
      </c>
      <c r="T32" s="10" t="n"/>
      <c r="U32" s="10" t="n">
        <v>7000</v>
      </c>
      <c r="V32" s="10" t="n">
        <v>7000</v>
      </c>
      <c r="W32" s="11" t="n"/>
      <c r="X32" s="11" t="n">
        <v>7000</v>
      </c>
      <c r="Y32" s="11" t="n">
        <v>7000</v>
      </c>
      <c r="Z32" s="10" t="n"/>
      <c r="AA32" s="10" t="n">
        <v>7000</v>
      </c>
      <c r="AB32" s="10" t="n">
        <v>7000</v>
      </c>
      <c r="AC32" s="11" t="n"/>
      <c r="AD32" s="11" t="n">
        <v>7000</v>
      </c>
      <c r="AE32" s="11" t="n">
        <v>7000</v>
      </c>
      <c r="AF32" s="10" t="n"/>
      <c r="AG32" s="10" t="n">
        <v>7000</v>
      </c>
      <c r="AH32" s="10" t="n">
        <v>7000</v>
      </c>
      <c r="AI32" s="11" t="n"/>
      <c r="AJ32" s="11" t="n">
        <v>7000</v>
      </c>
      <c r="AK32" s="11" t="n">
        <v>7000</v>
      </c>
      <c r="AL32" s="10" t="n"/>
      <c r="AM32" s="10" t="n">
        <v>7000</v>
      </c>
      <c r="AN32" s="10" t="n">
        <v>7000</v>
      </c>
      <c r="AO32" s="11" t="n"/>
      <c r="AP32" s="11" t="n">
        <v>7000</v>
      </c>
      <c r="AQ32" s="11" t="n">
        <v>7000</v>
      </c>
      <c r="AR32" s="10" t="n"/>
      <c r="AS32" s="10" t="n">
        <v>7000</v>
      </c>
      <c r="AT32" s="10" t="n">
        <v>7000</v>
      </c>
      <c r="AU32" s="11" t="n"/>
      <c r="AV32" s="11" t="n">
        <v>7000</v>
      </c>
      <c r="AW32" s="11" t="n">
        <v>7000</v>
      </c>
      <c r="AX32" s="10" t="n"/>
      <c r="AY32" s="10" t="n">
        <v>7000</v>
      </c>
      <c r="AZ32" s="10" t="n">
        <v>7000</v>
      </c>
      <c r="BA32" s="11" t="n"/>
      <c r="BB32" s="11" t="n">
        <v>7000</v>
      </c>
      <c r="BC32" s="11" t="n">
        <v>7000</v>
      </c>
      <c r="BD32" s="10" t="n"/>
      <c r="BE32" s="10" t="n">
        <v>7000</v>
      </c>
      <c r="BF32" s="10" t="n">
        <v>7000</v>
      </c>
      <c r="BG32" s="11" t="n"/>
      <c r="BH32" s="11" t="n">
        <v>7000</v>
      </c>
      <c r="BI32" s="11" t="n">
        <v>7000</v>
      </c>
      <c r="BJ32" s="10" t="n"/>
      <c r="BK32" s="10" t="n">
        <v>7000</v>
      </c>
      <c r="BL32" s="10" t="n">
        <v>7000</v>
      </c>
      <c r="BM32" s="11" t="n"/>
      <c r="BN32" s="11" t="n">
        <v>7000</v>
      </c>
      <c r="BO32" s="11" t="n">
        <v>7000</v>
      </c>
      <c r="BP32" s="10" t="n"/>
      <c r="BQ32" s="10" t="n">
        <v>7000</v>
      </c>
      <c r="BR32" s="10" t="n">
        <v>7000</v>
      </c>
      <c r="BS32" s="11" t="n"/>
      <c r="BT32" s="11" t="n">
        <v>7000</v>
      </c>
      <c r="BU32" s="11" t="n">
        <v>7000</v>
      </c>
      <c r="BV32" s="10" t="n"/>
      <c r="BW32" s="10" t="n">
        <v>7000</v>
      </c>
      <c r="BX32" s="10" t="n">
        <v>7000</v>
      </c>
      <c r="BY32" s="11" t="n"/>
      <c r="BZ32" s="11" t="n">
        <v>7000</v>
      </c>
      <c r="CA32" s="11" t="n">
        <v>7000</v>
      </c>
      <c r="CB32" s="10" t="n"/>
      <c r="CC32" s="10" t="n">
        <v>7000</v>
      </c>
      <c r="CD32" s="10" t="n">
        <v>7000</v>
      </c>
      <c r="CE32" s="11" t="n"/>
      <c r="CF32" s="11" t="n">
        <v>7000</v>
      </c>
      <c r="CG32" s="11" t="n">
        <v>7000</v>
      </c>
      <c r="CH32" s="10" t="n"/>
      <c r="CI32" s="10" t="n">
        <v>7000</v>
      </c>
      <c r="CJ32" s="10" t="n">
        <v>7000</v>
      </c>
      <c r="CK32" s="11" t="n"/>
      <c r="CL32" s="11" t="n">
        <v>7000</v>
      </c>
      <c r="CM32" s="11" t="n">
        <v>7000</v>
      </c>
      <c r="CN32" s="10" t="n"/>
      <c r="CO32" s="10" t="n">
        <v>7000</v>
      </c>
      <c r="CP32" s="10" t="n">
        <v>7000</v>
      </c>
      <c r="CQ32" s="11" t="n"/>
      <c r="CR32" s="11" t="n">
        <v>7000</v>
      </c>
      <c r="CS32" s="11" t="n">
        <v>7000</v>
      </c>
      <c r="CT32" s="10" t="n"/>
      <c r="CU32" s="10" t="n">
        <v>7000</v>
      </c>
      <c r="CV32" s="10" t="n">
        <v>7000</v>
      </c>
      <c r="CW32" s="11" t="n"/>
      <c r="CX32" s="11" t="n">
        <v>7000</v>
      </c>
      <c r="CY32" s="11" t="n">
        <v>7000</v>
      </c>
      <c r="CZ32" s="10" t="n"/>
      <c r="DA32" s="10" t="n">
        <v>7000</v>
      </c>
      <c r="DB32" s="10" t="n">
        <v>7000</v>
      </c>
      <c r="DC32" s="11" t="n"/>
      <c r="DD32" s="11" t="n">
        <v>7000</v>
      </c>
      <c r="DE32" s="11" t="n">
        <v>7000</v>
      </c>
      <c r="DF32" s="10" t="n"/>
      <c r="DG32" s="10" t="n">
        <v>7000</v>
      </c>
      <c r="DH32" s="10" t="n">
        <v>7000</v>
      </c>
      <c r="DI32" s="11" t="n">
        <v>7000</v>
      </c>
      <c r="DJ32" s="11" t="n">
        <v>7000</v>
      </c>
      <c r="DK32" s="11" t="n">
        <v>7000</v>
      </c>
      <c r="DL32" s="10" t="n">
        <v>7000</v>
      </c>
      <c r="DM32" s="10" t="n">
        <v>7000</v>
      </c>
      <c r="DN32" s="10" t="n">
        <v>7000</v>
      </c>
    </row>
    <row r="33">
      <c r="A33" s="2" t="inlineStr">
        <is>
          <t>Technical Support Rep</t>
        </is>
      </c>
      <c r="B33" s="10">
        <f>IF(COUNT(AR33,AO33,AL33,AI33,AF33,AC33,Z33,W33,T33,Q33,N33,K33)=0,"",SUM(AR33,AO33,AL33,AI33,AF33,AC33,Z33,W33,T33,Q33,N33,K33))</f>
        <v/>
      </c>
      <c r="C33" s="10">
        <f>IF(COUNT(AS33,AP33,AM33,AJ33,AG33,AD33,AA33,X33,U33,R33,O33,L33)=0,"",SUM(AS33,AP33,AM33,AJ33,AG33,AD33,AA33,X33,U33,R33,O33,L33))</f>
        <v/>
      </c>
      <c r="D33" s="10">
        <f>IF(COUNT(AT33,AQ33,AN33,AK33,AH33,AE33,AB33,Y33,V33,S33,P33,M33)=0,"",SUM(AT33,AQ33,AN33,AK33,AH33,AE33,AB33,Y33,V33,S33,P33,M33))</f>
        <v/>
      </c>
      <c r="E33" s="11">
        <f>IF(COUNT(CB33,BY33,BV33,BS33,BP33,BM33,BJ33,BG33,BD33,BA33,AX33,AU33)=0,"",SUM(CB33,BY33,BV33,BS33,BP33,BM33,BJ33,BG33,BD33,BA33,AX33,AU33))</f>
        <v/>
      </c>
      <c r="F33" s="11">
        <f>IF(COUNT(CC33,BZ33,BW33,BT33,BQ33,BN33,BK33,BH33,BE33,BB33,AY33,AV33)=0,"",SUM(CC33,BZ33,BW33,BT33,BQ33,BN33,BK33,BH33,BE33,BB33,AY33,AV33))</f>
        <v/>
      </c>
      <c r="G33" s="11">
        <f>IF(COUNT(CD33,CA33,BX33,BU33,BR33,BO33,BL33,BI33,BF33,BC33,AZ33,AW33)=0,"",SUM(CD33,CA33,BX33,BU33,BR33,BO33,BL33,BI33,BF33,BC33,AZ33,AW33))</f>
        <v/>
      </c>
      <c r="H33" s="10">
        <f>IF(COUNT(DL33,DI33,DF33,DC33,CZ33,CW33,CT33,CQ33,CN33,CK33,CH33,CE33)=0,"",SUM(DL33,DI33,DF33,DC33,CZ33,CW33,CT33,CQ33,CN33,CK33,CH33,CE33))</f>
        <v/>
      </c>
      <c r="I33" s="10">
        <f>IF(COUNT(DM33,DJ33,DG33,DD33,DA33,CX33,CU33,CR33,CO33,CL33,CI33,CF33)=0,"",SUM(DM33,DJ33,DG33,DD33,DA33,CX33,CU33,CR33,CO33,CL33,CI33,CF33))</f>
        <v/>
      </c>
      <c r="J33" s="10">
        <f>IF(COUNT(DN33,DK33,DH33,DE33,DB33,CY33,CV33,CS33,CP33,CM33,CJ33,CG33)=0,"",SUM(DN33,DK33,DH33,DE33,DB33,CY33,CV33,CS33,CP33,CM33,CJ33,CG33))</f>
        <v/>
      </c>
      <c r="K33" s="11" t="n"/>
      <c r="L33" s="11" t="n">
        <v>7000</v>
      </c>
      <c r="M33" s="11" t="n">
        <v>7000</v>
      </c>
      <c r="N33" s="10" t="n"/>
      <c r="O33" s="10" t="n">
        <v>7000</v>
      </c>
      <c r="P33" s="10" t="n">
        <v>7000</v>
      </c>
      <c r="Q33" s="11" t="n"/>
      <c r="R33" s="11" t="n">
        <v>7000</v>
      </c>
      <c r="S33" s="11" t="n">
        <v>7000</v>
      </c>
      <c r="T33" s="10" t="n"/>
      <c r="U33" s="10" t="n">
        <v>7000</v>
      </c>
      <c r="V33" s="10" t="n">
        <v>7000</v>
      </c>
      <c r="W33" s="11" t="n"/>
      <c r="X33" s="11" t="n">
        <v>7000</v>
      </c>
      <c r="Y33" s="11" t="n">
        <v>7000</v>
      </c>
      <c r="Z33" s="10" t="n"/>
      <c r="AA33" s="10" t="n">
        <v>7000</v>
      </c>
      <c r="AB33" s="10" t="n">
        <v>7000</v>
      </c>
      <c r="AC33" s="11" t="n"/>
      <c r="AD33" s="11" t="n">
        <v>7000</v>
      </c>
      <c r="AE33" s="11" t="n">
        <v>7000</v>
      </c>
      <c r="AF33" s="10" t="n"/>
      <c r="AG33" s="10" t="n">
        <v>7000</v>
      </c>
      <c r="AH33" s="10" t="n">
        <v>7000</v>
      </c>
      <c r="AI33" s="11" t="n"/>
      <c r="AJ33" s="11" t="n">
        <v>7000</v>
      </c>
      <c r="AK33" s="11" t="n">
        <v>7000</v>
      </c>
      <c r="AL33" s="10" t="n"/>
      <c r="AM33" s="10" t="n">
        <v>7000</v>
      </c>
      <c r="AN33" s="10" t="n">
        <v>7000</v>
      </c>
      <c r="AO33" s="11" t="n"/>
      <c r="AP33" s="11" t="n">
        <v>7000</v>
      </c>
      <c r="AQ33" s="11" t="n">
        <v>7000</v>
      </c>
      <c r="AR33" s="10" t="n"/>
      <c r="AS33" s="10" t="n">
        <v>7000</v>
      </c>
      <c r="AT33" s="10" t="n">
        <v>7000</v>
      </c>
      <c r="AU33" s="11" t="n"/>
      <c r="AV33" s="11" t="n">
        <v>7000</v>
      </c>
      <c r="AW33" s="11" t="n">
        <v>7000</v>
      </c>
      <c r="AX33" s="10" t="n"/>
      <c r="AY33" s="10" t="n">
        <v>7000</v>
      </c>
      <c r="AZ33" s="10" t="n">
        <v>7000</v>
      </c>
      <c r="BA33" s="11" t="n"/>
      <c r="BB33" s="11" t="n">
        <v>7000</v>
      </c>
      <c r="BC33" s="11" t="n">
        <v>7000</v>
      </c>
      <c r="BD33" s="10" t="n"/>
      <c r="BE33" s="10" t="n">
        <v>7000</v>
      </c>
      <c r="BF33" s="10" t="n">
        <v>7000</v>
      </c>
      <c r="BG33" s="11" t="n"/>
      <c r="BH33" s="11" t="n">
        <v>7000</v>
      </c>
      <c r="BI33" s="11" t="n">
        <v>7000</v>
      </c>
      <c r="BJ33" s="10" t="n"/>
      <c r="BK33" s="10" t="n">
        <v>7000</v>
      </c>
      <c r="BL33" s="10" t="n">
        <v>7000</v>
      </c>
      <c r="BM33" s="11" t="n"/>
      <c r="BN33" s="11" t="n">
        <v>7000</v>
      </c>
      <c r="BO33" s="11" t="n">
        <v>7000</v>
      </c>
      <c r="BP33" s="10" t="n"/>
      <c r="BQ33" s="10" t="n">
        <v>7000</v>
      </c>
      <c r="BR33" s="10" t="n">
        <v>7000</v>
      </c>
      <c r="BS33" s="11" t="n"/>
      <c r="BT33" s="11" t="n">
        <v>7000</v>
      </c>
      <c r="BU33" s="11" t="n">
        <v>7000</v>
      </c>
      <c r="BV33" s="10" t="n"/>
      <c r="BW33" s="10" t="n">
        <v>7000</v>
      </c>
      <c r="BX33" s="10" t="n">
        <v>7000</v>
      </c>
      <c r="BY33" s="11" t="n"/>
      <c r="BZ33" s="11" t="n">
        <v>7000</v>
      </c>
      <c r="CA33" s="11" t="n">
        <v>7000</v>
      </c>
      <c r="CB33" s="10" t="n"/>
      <c r="CC33" s="10" t="n">
        <v>7000</v>
      </c>
      <c r="CD33" s="10" t="n">
        <v>7000</v>
      </c>
      <c r="CE33" s="11" t="n"/>
      <c r="CF33" s="11" t="n">
        <v>7000</v>
      </c>
      <c r="CG33" s="11" t="n">
        <v>7000</v>
      </c>
      <c r="CH33" s="10" t="n"/>
      <c r="CI33" s="10" t="n">
        <v>7000</v>
      </c>
      <c r="CJ33" s="10" t="n">
        <v>7000</v>
      </c>
      <c r="CK33" s="11" t="n"/>
      <c r="CL33" s="11" t="n">
        <v>7000</v>
      </c>
      <c r="CM33" s="11" t="n">
        <v>7000</v>
      </c>
      <c r="CN33" s="10" t="n"/>
      <c r="CO33" s="10" t="n">
        <v>7000</v>
      </c>
      <c r="CP33" s="10" t="n">
        <v>7000</v>
      </c>
      <c r="CQ33" s="11" t="n"/>
      <c r="CR33" s="11" t="n">
        <v>7000</v>
      </c>
      <c r="CS33" s="11" t="n">
        <v>7000</v>
      </c>
      <c r="CT33" s="10" t="n"/>
      <c r="CU33" s="10" t="n">
        <v>7000</v>
      </c>
      <c r="CV33" s="10" t="n">
        <v>7000</v>
      </c>
      <c r="CW33" s="11" t="n"/>
      <c r="CX33" s="11" t="n">
        <v>7000</v>
      </c>
      <c r="CY33" s="11" t="n">
        <v>7000</v>
      </c>
      <c r="CZ33" s="10" t="n"/>
      <c r="DA33" s="10" t="n">
        <v>7000</v>
      </c>
      <c r="DB33" s="10" t="n">
        <v>7000</v>
      </c>
      <c r="DC33" s="11" t="n"/>
      <c r="DD33" s="11" t="n">
        <v>7000</v>
      </c>
      <c r="DE33" s="11" t="n">
        <v>7000</v>
      </c>
      <c r="DF33" s="10" t="n"/>
      <c r="DG33" s="10" t="n">
        <v>7000</v>
      </c>
      <c r="DH33" s="10" t="n">
        <v>7000</v>
      </c>
      <c r="DI33" s="11" t="n">
        <v>7000</v>
      </c>
      <c r="DJ33" s="11" t="n">
        <v>7000</v>
      </c>
      <c r="DK33" s="11" t="n">
        <v>7000</v>
      </c>
      <c r="DL33" s="10" t="n">
        <v>7000</v>
      </c>
      <c r="DM33" s="10" t="n">
        <v>7000</v>
      </c>
      <c r="DN33" s="10" t="n">
        <v>7000</v>
      </c>
    </row>
    <row r="34">
      <c r="A34" s="2" t="inlineStr">
        <is>
          <t>Technical Support Rep</t>
        </is>
      </c>
      <c r="B34" s="10">
        <f>IF(COUNT(AR34,AO34,AL34,AI34,AF34,AC34,Z34,W34,T34,Q34,N34,K34)=0,"",SUM(AR34,AO34,AL34,AI34,AF34,AC34,Z34,W34,T34,Q34,N34,K34))</f>
        <v/>
      </c>
      <c r="C34" s="10">
        <f>IF(COUNT(AS34,AP34,AM34,AJ34,AG34,AD34,AA34,X34,U34,R34,O34,L34)=0,"",SUM(AS34,AP34,AM34,AJ34,AG34,AD34,AA34,X34,U34,R34,O34,L34))</f>
        <v/>
      </c>
      <c r="D34" s="10">
        <f>IF(COUNT(AT34,AQ34,AN34,AK34,AH34,AE34,AB34,Y34,V34,S34,P34,M34)=0,"",SUM(AT34,AQ34,AN34,AK34,AH34,AE34,AB34,Y34,V34,S34,P34,M34))</f>
        <v/>
      </c>
      <c r="E34" s="11">
        <f>IF(COUNT(CB34,BY34,BV34,BS34,BP34,BM34,BJ34,BG34,BD34,BA34,AX34,AU34)=0,"",SUM(CB34,BY34,BV34,BS34,BP34,BM34,BJ34,BG34,BD34,BA34,AX34,AU34))</f>
        <v/>
      </c>
      <c r="F34" s="11">
        <f>IF(COUNT(CC34,BZ34,BW34,BT34,BQ34,BN34,BK34,BH34,BE34,BB34,AY34,AV34)=0,"",SUM(CC34,BZ34,BW34,BT34,BQ34,BN34,BK34,BH34,BE34,BB34,AY34,AV34))</f>
        <v/>
      </c>
      <c r="G34" s="11">
        <f>IF(COUNT(CD34,CA34,BX34,BU34,BR34,BO34,BL34,BI34,BF34,BC34,AZ34,AW34)=0,"",SUM(CD34,CA34,BX34,BU34,BR34,BO34,BL34,BI34,BF34,BC34,AZ34,AW34))</f>
        <v/>
      </c>
      <c r="H34" s="10">
        <f>IF(COUNT(DL34,DI34,DF34,DC34,CZ34,CW34,CT34,CQ34,CN34,CK34,CH34,CE34)=0,"",SUM(DL34,DI34,DF34,DC34,CZ34,CW34,CT34,CQ34,CN34,CK34,CH34,CE34))</f>
        <v/>
      </c>
      <c r="I34" s="10">
        <f>IF(COUNT(DM34,DJ34,DG34,DD34,DA34,CX34,CU34,CR34,CO34,CL34,CI34,CF34)=0,"",SUM(DM34,DJ34,DG34,DD34,DA34,CX34,CU34,CR34,CO34,CL34,CI34,CF34))</f>
        <v/>
      </c>
      <c r="J34" s="10">
        <f>IF(COUNT(DN34,DK34,DH34,DE34,DB34,CY34,CV34,CS34,CP34,CM34,CJ34,CG34)=0,"",SUM(DN34,DK34,DH34,DE34,DB34,CY34,CV34,CS34,CP34,CM34,CJ34,CG34))</f>
        <v/>
      </c>
      <c r="K34" s="11" t="n"/>
      <c r="L34" s="11" t="n">
        <v>7000</v>
      </c>
      <c r="M34" s="11" t="n">
        <v>7000</v>
      </c>
      <c r="N34" s="10" t="n"/>
      <c r="O34" s="10" t="n">
        <v>7000</v>
      </c>
      <c r="P34" s="10" t="n">
        <v>7000</v>
      </c>
      <c r="Q34" s="11" t="n"/>
      <c r="R34" s="11" t="n">
        <v>7000</v>
      </c>
      <c r="S34" s="11" t="n">
        <v>7000</v>
      </c>
      <c r="T34" s="10" t="n"/>
      <c r="U34" s="10" t="n">
        <v>7000</v>
      </c>
      <c r="V34" s="10" t="n">
        <v>7000</v>
      </c>
      <c r="W34" s="11" t="n"/>
      <c r="X34" s="11" t="n">
        <v>7000</v>
      </c>
      <c r="Y34" s="11" t="n">
        <v>7000</v>
      </c>
      <c r="Z34" s="10" t="n"/>
      <c r="AA34" s="10" t="n">
        <v>7000</v>
      </c>
      <c r="AB34" s="10" t="n">
        <v>7000</v>
      </c>
      <c r="AC34" s="11" t="n"/>
      <c r="AD34" s="11" t="n">
        <v>7000</v>
      </c>
      <c r="AE34" s="11" t="n">
        <v>7000</v>
      </c>
      <c r="AF34" s="10" t="n"/>
      <c r="AG34" s="10" t="n">
        <v>7000</v>
      </c>
      <c r="AH34" s="10" t="n">
        <v>7000</v>
      </c>
      <c r="AI34" s="11" t="n"/>
      <c r="AJ34" s="11" t="n">
        <v>7000</v>
      </c>
      <c r="AK34" s="11" t="n">
        <v>7000</v>
      </c>
      <c r="AL34" s="10" t="n"/>
      <c r="AM34" s="10" t="n">
        <v>7000</v>
      </c>
      <c r="AN34" s="10" t="n">
        <v>7000</v>
      </c>
      <c r="AO34" s="11" t="n"/>
      <c r="AP34" s="11" t="n">
        <v>7000</v>
      </c>
      <c r="AQ34" s="11" t="n">
        <v>7000</v>
      </c>
      <c r="AR34" s="10" t="n"/>
      <c r="AS34" s="10" t="n">
        <v>7000</v>
      </c>
      <c r="AT34" s="10" t="n">
        <v>7000</v>
      </c>
      <c r="AU34" s="11" t="n"/>
      <c r="AV34" s="11" t="n">
        <v>7000</v>
      </c>
      <c r="AW34" s="11" t="n">
        <v>7000</v>
      </c>
      <c r="AX34" s="10" t="n"/>
      <c r="AY34" s="10" t="n">
        <v>7000</v>
      </c>
      <c r="AZ34" s="10" t="n">
        <v>7000</v>
      </c>
      <c r="BA34" s="11" t="n"/>
      <c r="BB34" s="11" t="n">
        <v>7000</v>
      </c>
      <c r="BC34" s="11" t="n">
        <v>7000</v>
      </c>
      <c r="BD34" s="10" t="n"/>
      <c r="BE34" s="10" t="n">
        <v>7000</v>
      </c>
      <c r="BF34" s="10" t="n">
        <v>7000</v>
      </c>
      <c r="BG34" s="11" t="n"/>
      <c r="BH34" s="11" t="n">
        <v>7000</v>
      </c>
      <c r="BI34" s="11" t="n">
        <v>7000</v>
      </c>
      <c r="BJ34" s="10" t="n"/>
      <c r="BK34" s="10" t="n">
        <v>7000</v>
      </c>
      <c r="BL34" s="10" t="n">
        <v>7000</v>
      </c>
      <c r="BM34" s="11" t="n"/>
      <c r="BN34" s="11" t="n">
        <v>7000</v>
      </c>
      <c r="BO34" s="11" t="n">
        <v>7000</v>
      </c>
      <c r="BP34" s="10" t="n"/>
      <c r="BQ34" s="10" t="n">
        <v>7000</v>
      </c>
      <c r="BR34" s="10" t="n">
        <v>7000</v>
      </c>
      <c r="BS34" s="11" t="n"/>
      <c r="BT34" s="11" t="n">
        <v>7000</v>
      </c>
      <c r="BU34" s="11" t="n">
        <v>7000</v>
      </c>
      <c r="BV34" s="10" t="n"/>
      <c r="BW34" s="10" t="n">
        <v>7000</v>
      </c>
      <c r="BX34" s="10" t="n">
        <v>7000</v>
      </c>
      <c r="BY34" s="11" t="n"/>
      <c r="BZ34" s="11" t="n">
        <v>7000</v>
      </c>
      <c r="CA34" s="11" t="n">
        <v>7000</v>
      </c>
      <c r="CB34" s="10" t="n"/>
      <c r="CC34" s="10" t="n">
        <v>7000</v>
      </c>
      <c r="CD34" s="10" t="n">
        <v>7000</v>
      </c>
      <c r="CE34" s="11" t="n"/>
      <c r="CF34" s="11" t="n">
        <v>7000</v>
      </c>
      <c r="CG34" s="11" t="n">
        <v>7000</v>
      </c>
      <c r="CH34" s="10" t="n"/>
      <c r="CI34" s="10" t="n">
        <v>7000</v>
      </c>
      <c r="CJ34" s="10" t="n">
        <v>7000</v>
      </c>
      <c r="CK34" s="11" t="n"/>
      <c r="CL34" s="11" t="n">
        <v>7000</v>
      </c>
      <c r="CM34" s="11" t="n">
        <v>7000</v>
      </c>
      <c r="CN34" s="10" t="n"/>
      <c r="CO34" s="10" t="n">
        <v>7000</v>
      </c>
      <c r="CP34" s="10" t="n">
        <v>7000</v>
      </c>
      <c r="CQ34" s="11" t="n"/>
      <c r="CR34" s="11" t="n">
        <v>7000</v>
      </c>
      <c r="CS34" s="11" t="n">
        <v>7000</v>
      </c>
      <c r="CT34" s="10" t="n"/>
      <c r="CU34" s="10" t="n">
        <v>7000</v>
      </c>
      <c r="CV34" s="10" t="n">
        <v>7000</v>
      </c>
      <c r="CW34" s="11" t="n"/>
      <c r="CX34" s="11" t="n">
        <v>7000</v>
      </c>
      <c r="CY34" s="11" t="n">
        <v>7000</v>
      </c>
      <c r="CZ34" s="10" t="n"/>
      <c r="DA34" s="10" t="n">
        <v>7000</v>
      </c>
      <c r="DB34" s="10" t="n">
        <v>7000</v>
      </c>
      <c r="DC34" s="11" t="n"/>
      <c r="DD34" s="11" t="n">
        <v>7000</v>
      </c>
      <c r="DE34" s="11" t="n">
        <v>7000</v>
      </c>
      <c r="DF34" s="10" t="n"/>
      <c r="DG34" s="10" t="n">
        <v>7000</v>
      </c>
      <c r="DH34" s="10" t="n">
        <v>7000</v>
      </c>
      <c r="DI34" s="11" t="n">
        <v>7000</v>
      </c>
      <c r="DJ34" s="11" t="n">
        <v>7000</v>
      </c>
      <c r="DK34" s="11" t="n">
        <v>7000</v>
      </c>
      <c r="DL34" s="10" t="n">
        <v>7000</v>
      </c>
      <c r="DM34" s="10" t="n">
        <v>7000</v>
      </c>
      <c r="DN34" s="10" t="n">
        <v>7000</v>
      </c>
    </row>
    <row r="35">
      <c r="A35" s="2" t="inlineStr">
        <is>
          <t>Support Operations Analyst</t>
        </is>
      </c>
      <c r="B35" s="10">
        <f>IF(COUNT(AR35,AO35,AL35,AI35,AF35,AC35,Z35,W35,T35,Q35,N35,K35)=0,"",SUM(AR35,AO35,AL35,AI35,AF35,AC35,Z35,W35,T35,Q35,N35,K35))</f>
        <v/>
      </c>
      <c r="C35" s="10">
        <f>IF(COUNT(AS35,AP35,AM35,AJ35,AG35,AD35,AA35,X35,U35,R35,O35,L35)=0,"",SUM(AS35,AP35,AM35,AJ35,AG35,AD35,AA35,X35,U35,R35,O35,L35))</f>
        <v/>
      </c>
      <c r="D35" s="10">
        <f>IF(COUNT(AT35,AQ35,AN35,AK35,AH35,AE35,AB35,Y35,V35,S35,P35,M35)=0,"",SUM(AT35,AQ35,AN35,AK35,AH35,AE35,AB35,Y35,V35,S35,P35,M35))</f>
        <v/>
      </c>
      <c r="E35" s="11">
        <f>IF(COUNT(CB35,BY35,BV35,BS35,BP35,BM35,BJ35,BG35,BD35,BA35,AX35,AU35)=0,"",SUM(CB35,BY35,BV35,BS35,BP35,BM35,BJ35,BG35,BD35,BA35,AX35,AU35))</f>
        <v/>
      </c>
      <c r="F35" s="11">
        <f>IF(COUNT(CC35,BZ35,BW35,BT35,BQ35,BN35,BK35,BH35,BE35,BB35,AY35,AV35)=0,"",SUM(CC35,BZ35,BW35,BT35,BQ35,BN35,BK35,BH35,BE35,BB35,AY35,AV35))</f>
        <v/>
      </c>
      <c r="G35" s="11">
        <f>IF(COUNT(CD35,CA35,BX35,BU35,BR35,BO35,BL35,BI35,BF35,BC35,AZ35,AW35)=0,"",SUM(CD35,CA35,BX35,BU35,BR35,BO35,BL35,BI35,BF35,BC35,AZ35,AW35))</f>
        <v/>
      </c>
      <c r="H35" s="10">
        <f>IF(COUNT(DL35,DI35,DF35,DC35,CZ35,CW35,CT35,CQ35,CN35,CK35,CH35,CE35)=0,"",SUM(DL35,DI35,DF35,DC35,CZ35,CW35,CT35,CQ35,CN35,CK35,CH35,CE35))</f>
        <v/>
      </c>
      <c r="I35" s="10">
        <f>IF(COUNT(DM35,DJ35,DG35,DD35,DA35,CX35,CU35,CR35,CO35,CL35,CI35,CF35)=0,"",SUM(DM35,DJ35,DG35,DD35,DA35,CX35,CU35,CR35,CO35,CL35,CI35,CF35))</f>
        <v/>
      </c>
      <c r="J35" s="10">
        <f>IF(COUNT(DN35,DK35,DH35,DE35,DB35,CY35,CV35,CS35,CP35,CM35,CJ35,CG35)=0,"",SUM(DN35,DK35,DH35,DE35,DB35,CY35,CV35,CS35,CP35,CM35,CJ35,CG35))</f>
        <v/>
      </c>
      <c r="K35" s="11" t="n"/>
      <c r="L35" s="11" t="n">
        <v>7000</v>
      </c>
      <c r="M35" s="11" t="n">
        <v>7000</v>
      </c>
      <c r="N35" s="10" t="n"/>
      <c r="O35" s="10" t="n">
        <v>7000</v>
      </c>
      <c r="P35" s="10" t="n">
        <v>7000</v>
      </c>
      <c r="Q35" s="11" t="n"/>
      <c r="R35" s="11" t="n">
        <v>7000</v>
      </c>
      <c r="S35" s="11" t="n">
        <v>7000</v>
      </c>
      <c r="T35" s="10" t="n"/>
      <c r="U35" s="10" t="n">
        <v>7000</v>
      </c>
      <c r="V35" s="10" t="n">
        <v>7000</v>
      </c>
      <c r="W35" s="11" t="n"/>
      <c r="X35" s="11" t="n">
        <v>7000</v>
      </c>
      <c r="Y35" s="11" t="n">
        <v>7000</v>
      </c>
      <c r="Z35" s="10" t="n"/>
      <c r="AA35" s="10" t="n">
        <v>7000</v>
      </c>
      <c r="AB35" s="10" t="n">
        <v>7000</v>
      </c>
      <c r="AC35" s="11" t="n"/>
      <c r="AD35" s="11" t="n">
        <v>7000</v>
      </c>
      <c r="AE35" s="11" t="n">
        <v>7000</v>
      </c>
      <c r="AF35" s="10" t="n"/>
      <c r="AG35" s="10" t="n">
        <v>7000</v>
      </c>
      <c r="AH35" s="10" t="n">
        <v>7000</v>
      </c>
      <c r="AI35" s="11" t="n"/>
      <c r="AJ35" s="11" t="n">
        <v>7000</v>
      </c>
      <c r="AK35" s="11" t="n">
        <v>7000</v>
      </c>
      <c r="AL35" s="10" t="n"/>
      <c r="AM35" s="10" t="n">
        <v>7000</v>
      </c>
      <c r="AN35" s="10" t="n">
        <v>7000</v>
      </c>
      <c r="AO35" s="11" t="n"/>
      <c r="AP35" s="11" t="n">
        <v>7000</v>
      </c>
      <c r="AQ35" s="11" t="n">
        <v>7000</v>
      </c>
      <c r="AR35" s="10" t="n"/>
      <c r="AS35" s="10" t="n">
        <v>7000</v>
      </c>
      <c r="AT35" s="10" t="n">
        <v>7000</v>
      </c>
      <c r="AU35" s="11" t="n"/>
      <c r="AV35" s="11" t="n">
        <v>7000</v>
      </c>
      <c r="AW35" s="11" t="n">
        <v>7000</v>
      </c>
      <c r="AX35" s="10" t="n"/>
      <c r="AY35" s="10" t="n">
        <v>7000</v>
      </c>
      <c r="AZ35" s="10" t="n">
        <v>7000</v>
      </c>
      <c r="BA35" s="11" t="n"/>
      <c r="BB35" s="11" t="n">
        <v>7000</v>
      </c>
      <c r="BC35" s="11" t="n">
        <v>7000</v>
      </c>
      <c r="BD35" s="10" t="n"/>
      <c r="BE35" s="10" t="n">
        <v>7000</v>
      </c>
      <c r="BF35" s="10" t="n">
        <v>7000</v>
      </c>
      <c r="BG35" s="11" t="n"/>
      <c r="BH35" s="11" t="n">
        <v>7000</v>
      </c>
      <c r="BI35" s="11" t="n">
        <v>7000</v>
      </c>
      <c r="BJ35" s="10" t="n"/>
      <c r="BK35" s="10" t="n">
        <v>7000</v>
      </c>
      <c r="BL35" s="10" t="n">
        <v>7000</v>
      </c>
      <c r="BM35" s="11" t="n"/>
      <c r="BN35" s="11" t="n">
        <v>7000</v>
      </c>
      <c r="BO35" s="11" t="n">
        <v>7000</v>
      </c>
      <c r="BP35" s="10" t="n"/>
      <c r="BQ35" s="10" t="n">
        <v>7000</v>
      </c>
      <c r="BR35" s="10" t="n">
        <v>7000</v>
      </c>
      <c r="BS35" s="11" t="n"/>
      <c r="BT35" s="11" t="n">
        <v>7000</v>
      </c>
      <c r="BU35" s="11" t="n">
        <v>7000</v>
      </c>
      <c r="BV35" s="10" t="n"/>
      <c r="BW35" s="10" t="n">
        <v>7000</v>
      </c>
      <c r="BX35" s="10" t="n">
        <v>7000</v>
      </c>
      <c r="BY35" s="11" t="n"/>
      <c r="BZ35" s="11" t="n">
        <v>7000</v>
      </c>
      <c r="CA35" s="11" t="n">
        <v>7000</v>
      </c>
      <c r="CB35" s="10" t="n"/>
      <c r="CC35" s="10" t="n">
        <v>7000</v>
      </c>
      <c r="CD35" s="10" t="n">
        <v>7000</v>
      </c>
      <c r="CE35" s="11" t="n"/>
      <c r="CF35" s="11" t="n">
        <v>7000</v>
      </c>
      <c r="CG35" s="11" t="n">
        <v>7000</v>
      </c>
      <c r="CH35" s="10" t="n"/>
      <c r="CI35" s="10" t="n">
        <v>7000</v>
      </c>
      <c r="CJ35" s="10" t="n">
        <v>7000</v>
      </c>
      <c r="CK35" s="11" t="n"/>
      <c r="CL35" s="11" t="n">
        <v>7000</v>
      </c>
      <c r="CM35" s="11" t="n">
        <v>7000</v>
      </c>
      <c r="CN35" s="10" t="n"/>
      <c r="CO35" s="10" t="n">
        <v>7000</v>
      </c>
      <c r="CP35" s="10" t="n">
        <v>7000</v>
      </c>
      <c r="CQ35" s="11" t="n"/>
      <c r="CR35" s="11" t="n">
        <v>7000</v>
      </c>
      <c r="CS35" s="11" t="n">
        <v>7000</v>
      </c>
      <c r="CT35" s="10" t="n"/>
      <c r="CU35" s="10" t="n">
        <v>7000</v>
      </c>
      <c r="CV35" s="10" t="n">
        <v>7000</v>
      </c>
      <c r="CW35" s="11" t="n"/>
      <c r="CX35" s="11" t="n">
        <v>7000</v>
      </c>
      <c r="CY35" s="11" t="n">
        <v>7000</v>
      </c>
      <c r="CZ35" s="10" t="n"/>
      <c r="DA35" s="10" t="n">
        <v>7000</v>
      </c>
      <c r="DB35" s="10" t="n">
        <v>7000</v>
      </c>
      <c r="DC35" s="11" t="n"/>
      <c r="DD35" s="11" t="n">
        <v>7000</v>
      </c>
      <c r="DE35" s="11" t="n">
        <v>7000</v>
      </c>
      <c r="DF35" s="10" t="n"/>
      <c r="DG35" s="10" t="n">
        <v>7000</v>
      </c>
      <c r="DH35" s="10" t="n">
        <v>7000</v>
      </c>
      <c r="DI35" s="11" t="n">
        <v>7000</v>
      </c>
      <c r="DJ35" s="11" t="n">
        <v>7000</v>
      </c>
      <c r="DK35" s="11" t="n">
        <v>7000</v>
      </c>
      <c r="DL35" s="10" t="n">
        <v>7000</v>
      </c>
      <c r="DM35" s="10" t="n">
        <v>7000</v>
      </c>
      <c r="DN35" s="10" t="n">
        <v>7000</v>
      </c>
    </row>
    <row r="36">
      <c r="A36" s="2" t="inlineStr">
        <is>
          <t>Technical Support Rep</t>
        </is>
      </c>
      <c r="B36" s="10">
        <f>IF(COUNT(AR36,AO36,AL36,AI36,AF36,AC36,Z36,W36,T36,Q36,N36,K36)=0,"",SUM(AR36,AO36,AL36,AI36,AF36,AC36,Z36,W36,T36,Q36,N36,K36))</f>
        <v/>
      </c>
      <c r="C36" s="10">
        <f>IF(COUNT(AS36,AP36,AM36,AJ36,AG36,AD36,AA36,X36,U36,R36,O36,L36)=0,"",SUM(AS36,AP36,AM36,AJ36,AG36,AD36,AA36,X36,U36,R36,O36,L36))</f>
        <v/>
      </c>
      <c r="D36" s="10">
        <f>IF(COUNT(AT36,AQ36,AN36,AK36,AH36,AE36,AB36,Y36,V36,S36,P36,M36)=0,"",SUM(AT36,AQ36,AN36,AK36,AH36,AE36,AB36,Y36,V36,S36,P36,M36))</f>
        <v/>
      </c>
      <c r="E36" s="11">
        <f>IF(COUNT(CB36,BY36,BV36,BS36,BP36,BM36,BJ36,BG36,BD36,BA36,AX36,AU36)=0,"",SUM(CB36,BY36,BV36,BS36,BP36,BM36,BJ36,BG36,BD36,BA36,AX36,AU36))</f>
        <v/>
      </c>
      <c r="F36" s="11">
        <f>IF(COUNT(CC36,BZ36,BW36,BT36,BQ36,BN36,BK36,BH36,BE36,BB36,AY36,AV36)=0,"",SUM(CC36,BZ36,BW36,BT36,BQ36,BN36,BK36,BH36,BE36,BB36,AY36,AV36))</f>
        <v/>
      </c>
      <c r="G36" s="11">
        <f>IF(COUNT(CD36,CA36,BX36,BU36,BR36,BO36,BL36,BI36,BF36,BC36,AZ36,AW36)=0,"",SUM(CD36,CA36,BX36,BU36,BR36,BO36,BL36,BI36,BF36,BC36,AZ36,AW36))</f>
        <v/>
      </c>
      <c r="H36" s="10">
        <f>IF(COUNT(DL36,DI36,DF36,DC36,CZ36,CW36,CT36,CQ36,CN36,CK36,CH36,CE36)=0,"",SUM(DL36,DI36,DF36,DC36,CZ36,CW36,CT36,CQ36,CN36,CK36,CH36,CE36))</f>
        <v/>
      </c>
      <c r="I36" s="10">
        <f>IF(COUNT(DM36,DJ36,DG36,DD36,DA36,CX36,CU36,CR36,CO36,CL36,CI36,CF36)=0,"",SUM(DM36,DJ36,DG36,DD36,DA36,CX36,CU36,CR36,CO36,CL36,CI36,CF36))</f>
        <v/>
      </c>
      <c r="J36" s="10">
        <f>IF(COUNT(DN36,DK36,DH36,DE36,DB36,CY36,CV36,CS36,CP36,CM36,CJ36,CG36)=0,"",SUM(DN36,DK36,DH36,DE36,DB36,CY36,CV36,CS36,CP36,CM36,CJ36,CG36))</f>
        <v/>
      </c>
      <c r="K36" s="11" t="n"/>
      <c r="L36" s="11" t="n">
        <v>7000</v>
      </c>
      <c r="M36" s="11" t="n">
        <v>7000</v>
      </c>
      <c r="N36" s="10" t="n"/>
      <c r="O36" s="10" t="n">
        <v>7000</v>
      </c>
      <c r="P36" s="10" t="n">
        <v>7000</v>
      </c>
      <c r="Q36" s="11" t="n"/>
      <c r="R36" s="11" t="n">
        <v>7000</v>
      </c>
      <c r="S36" s="11" t="n">
        <v>7000</v>
      </c>
      <c r="T36" s="10" t="n"/>
      <c r="U36" s="10" t="n">
        <v>7000</v>
      </c>
      <c r="V36" s="10" t="n">
        <v>7000</v>
      </c>
      <c r="W36" s="11" t="n"/>
      <c r="X36" s="11" t="n">
        <v>7000</v>
      </c>
      <c r="Y36" s="11" t="n">
        <v>7000</v>
      </c>
      <c r="Z36" s="10" t="n"/>
      <c r="AA36" s="10" t="n">
        <v>7000</v>
      </c>
      <c r="AB36" s="10" t="n">
        <v>7000</v>
      </c>
      <c r="AC36" s="11" t="n"/>
      <c r="AD36" s="11" t="n">
        <v>7000</v>
      </c>
      <c r="AE36" s="11" t="n">
        <v>7000</v>
      </c>
      <c r="AF36" s="10" t="n"/>
      <c r="AG36" s="10" t="n">
        <v>7000</v>
      </c>
      <c r="AH36" s="10" t="n">
        <v>7000</v>
      </c>
      <c r="AI36" s="11" t="n"/>
      <c r="AJ36" s="11" t="n">
        <v>7000</v>
      </c>
      <c r="AK36" s="11" t="n">
        <v>7000</v>
      </c>
      <c r="AL36" s="10" t="n"/>
      <c r="AM36" s="10" t="n">
        <v>7000</v>
      </c>
      <c r="AN36" s="10" t="n">
        <v>7000</v>
      </c>
      <c r="AO36" s="11" t="n"/>
      <c r="AP36" s="11" t="n">
        <v>7000</v>
      </c>
      <c r="AQ36" s="11" t="n">
        <v>7000</v>
      </c>
      <c r="AR36" s="10" t="n"/>
      <c r="AS36" s="10" t="n">
        <v>7000</v>
      </c>
      <c r="AT36" s="10" t="n">
        <v>7000</v>
      </c>
      <c r="AU36" s="11" t="n"/>
      <c r="AV36" s="11" t="n">
        <v>7000</v>
      </c>
      <c r="AW36" s="11" t="n">
        <v>7000</v>
      </c>
      <c r="AX36" s="10" t="n"/>
      <c r="AY36" s="10" t="n">
        <v>7000</v>
      </c>
      <c r="AZ36" s="10" t="n">
        <v>7000</v>
      </c>
      <c r="BA36" s="11" t="n"/>
      <c r="BB36" s="11" t="n">
        <v>7000</v>
      </c>
      <c r="BC36" s="11" t="n">
        <v>7000</v>
      </c>
      <c r="BD36" s="10" t="n"/>
      <c r="BE36" s="10" t="n">
        <v>7000</v>
      </c>
      <c r="BF36" s="10" t="n">
        <v>7000</v>
      </c>
      <c r="BG36" s="11" t="n"/>
      <c r="BH36" s="11" t="n">
        <v>7000</v>
      </c>
      <c r="BI36" s="11" t="n">
        <v>7000</v>
      </c>
      <c r="BJ36" s="10" t="n"/>
      <c r="BK36" s="10" t="n">
        <v>7000</v>
      </c>
      <c r="BL36" s="10" t="n">
        <v>7000</v>
      </c>
      <c r="BM36" s="11" t="n"/>
      <c r="BN36" s="11" t="n">
        <v>7000</v>
      </c>
      <c r="BO36" s="11" t="n">
        <v>7000</v>
      </c>
      <c r="BP36" s="10" t="n"/>
      <c r="BQ36" s="10" t="n">
        <v>7000</v>
      </c>
      <c r="BR36" s="10" t="n">
        <v>7000</v>
      </c>
      <c r="BS36" s="11" t="n"/>
      <c r="BT36" s="11" t="n">
        <v>7000</v>
      </c>
      <c r="BU36" s="11" t="n">
        <v>7000</v>
      </c>
      <c r="BV36" s="10" t="n"/>
      <c r="BW36" s="10" t="n">
        <v>7000</v>
      </c>
      <c r="BX36" s="10" t="n">
        <v>7000</v>
      </c>
      <c r="BY36" s="11" t="n"/>
      <c r="BZ36" s="11" t="n">
        <v>7000</v>
      </c>
      <c r="CA36" s="11" t="n">
        <v>7000</v>
      </c>
      <c r="CB36" s="10" t="n"/>
      <c r="CC36" s="10" t="n">
        <v>7000</v>
      </c>
      <c r="CD36" s="10" t="n">
        <v>7000</v>
      </c>
      <c r="CE36" s="11" t="n"/>
      <c r="CF36" s="11" t="n">
        <v>7000</v>
      </c>
      <c r="CG36" s="11" t="n">
        <v>7000</v>
      </c>
      <c r="CH36" s="10" t="n"/>
      <c r="CI36" s="10" t="n">
        <v>7000</v>
      </c>
      <c r="CJ36" s="10" t="n">
        <v>7000</v>
      </c>
      <c r="CK36" s="11" t="n"/>
      <c r="CL36" s="11" t="n">
        <v>7000</v>
      </c>
      <c r="CM36" s="11" t="n">
        <v>7000</v>
      </c>
      <c r="CN36" s="35" t="n"/>
      <c r="CO36" s="35" t="n"/>
      <c r="CP36" s="35" t="n"/>
      <c r="CT36" s="35" t="n"/>
      <c r="CU36" s="35" t="n"/>
      <c r="CV36" s="35" t="n"/>
      <c r="CZ36" s="35" t="n"/>
      <c r="DA36" s="35" t="n"/>
      <c r="DB36" s="35" t="n"/>
      <c r="DF36" s="35" t="n"/>
      <c r="DG36" s="35" t="n"/>
      <c r="DH36" s="35" t="n"/>
      <c r="DL36" s="35" t="n"/>
      <c r="DM36" s="35" t="n"/>
      <c r="DN36" s="35" t="n"/>
    </row>
    <row r="37">
      <c r="A37" s="2" t="inlineStr">
        <is>
          <t>Technical Support Rep</t>
        </is>
      </c>
      <c r="B37" s="10">
        <f>IF(COUNT(AR37,AO37,AL37,AI37,AF37,AC37,Z37,W37,T37,Q37,N37,K37)=0,"",SUM(AR37,AO37,AL37,AI37,AF37,AC37,Z37,W37,T37,Q37,N37,K37))</f>
        <v/>
      </c>
      <c r="C37" s="10">
        <f>IF(COUNT(AS37,AP37,AM37,AJ37,AG37,AD37,AA37,X37,U37,R37,O37,L37)=0,"",SUM(AS37,AP37,AM37,AJ37,AG37,AD37,AA37,X37,U37,R37,O37,L37))</f>
        <v/>
      </c>
      <c r="D37" s="10">
        <f>IF(COUNT(AT37,AQ37,AN37,AK37,AH37,AE37,AB37,Y37,V37,S37,P37,M37)=0,"",SUM(AT37,AQ37,AN37,AK37,AH37,AE37,AB37,Y37,V37,S37,P37,M37))</f>
        <v/>
      </c>
      <c r="E37" s="11">
        <f>IF(COUNT(CB37,BY37,BV37,BS37,BP37,BM37,BJ37,BG37,BD37,BA37,AX37,AU37)=0,"",SUM(CB37,BY37,BV37,BS37,BP37,BM37,BJ37,BG37,BD37,BA37,AX37,AU37))</f>
        <v/>
      </c>
      <c r="F37" s="11">
        <f>IF(COUNT(CC37,BZ37,BW37,BT37,BQ37,BN37,BK37,BH37,BE37,BB37,AY37,AV37)=0,"",SUM(CC37,BZ37,BW37,BT37,BQ37,BN37,BK37,BH37,BE37,BB37,AY37,AV37))</f>
        <v/>
      </c>
      <c r="G37" s="11">
        <f>IF(COUNT(CD37,CA37,BX37,BU37,BR37,BO37,BL37,BI37,BF37,BC37,AZ37,AW37)=0,"",SUM(CD37,CA37,BX37,BU37,BR37,BO37,BL37,BI37,BF37,BC37,AZ37,AW37))</f>
        <v/>
      </c>
      <c r="H37" s="10">
        <f>IF(COUNT(DL37,DI37,DF37,DC37,CZ37,CW37,CT37,CQ37,CN37,CK37,CH37,CE37)=0,"",SUM(DL37,DI37,DF37,DC37,CZ37,CW37,CT37,CQ37,CN37,CK37,CH37,CE37))</f>
        <v/>
      </c>
      <c r="I37" s="10">
        <f>IF(COUNT(DM37,DJ37,DG37,DD37,DA37,CX37,CU37,CR37,CO37,CL37,CI37,CF37)=0,"",SUM(DM37,DJ37,DG37,DD37,DA37,CX37,CU37,CR37,CO37,CL37,CI37,CF37))</f>
        <v/>
      </c>
      <c r="J37" s="10">
        <f>IF(COUNT(DN37,DK37,DH37,DE37,DB37,CY37,CV37,CS37,CP37,CM37,CJ37,CG37)=0,"",SUM(DN37,DK37,DH37,DE37,DB37,CY37,CV37,CS37,CP37,CM37,CJ37,CG37))</f>
        <v/>
      </c>
      <c r="K37" s="11" t="n"/>
      <c r="L37" s="11" t="n">
        <v>7000</v>
      </c>
      <c r="M37" s="11" t="n">
        <v>7000</v>
      </c>
      <c r="N37" s="10" t="n"/>
      <c r="O37" s="10" t="n">
        <v>7000</v>
      </c>
      <c r="P37" s="10" t="n">
        <v>7000</v>
      </c>
      <c r="Q37" s="11" t="n"/>
      <c r="R37" s="11" t="n">
        <v>7000</v>
      </c>
      <c r="S37" s="11" t="n">
        <v>7000</v>
      </c>
      <c r="T37" s="10" t="n"/>
      <c r="U37" s="10" t="n">
        <v>7000</v>
      </c>
      <c r="V37" s="10" t="n">
        <v>7000</v>
      </c>
      <c r="W37" s="11" t="n"/>
      <c r="X37" s="11" t="n">
        <v>7000</v>
      </c>
      <c r="Y37" s="11" t="n">
        <v>7000</v>
      </c>
      <c r="Z37" s="10" t="n"/>
      <c r="AA37" s="10" t="n">
        <v>7000</v>
      </c>
      <c r="AB37" s="10" t="n">
        <v>7000</v>
      </c>
      <c r="AC37" s="11" t="n"/>
      <c r="AD37" s="11" t="n">
        <v>7000</v>
      </c>
      <c r="AE37" s="11" t="n">
        <v>7000</v>
      </c>
      <c r="AF37" s="10" t="n"/>
      <c r="AG37" s="10" t="n">
        <v>7000</v>
      </c>
      <c r="AH37" s="10" t="n">
        <v>7000</v>
      </c>
      <c r="AI37" s="11" t="n"/>
      <c r="AJ37" s="11" t="n">
        <v>7000</v>
      </c>
      <c r="AK37" s="11" t="n">
        <v>7000</v>
      </c>
      <c r="AL37" s="10" t="n"/>
      <c r="AM37" s="10" t="n">
        <v>7000</v>
      </c>
      <c r="AN37" s="10" t="n">
        <v>7000</v>
      </c>
      <c r="AO37" s="11" t="n"/>
      <c r="AP37" s="11" t="n">
        <v>7000</v>
      </c>
      <c r="AQ37" s="11" t="n">
        <v>7000</v>
      </c>
      <c r="AR37" s="10" t="n"/>
      <c r="AS37" s="10" t="n">
        <v>7000</v>
      </c>
      <c r="AT37" s="10" t="n">
        <v>7000</v>
      </c>
      <c r="AU37" s="11" t="n"/>
      <c r="AV37" s="11" t="n">
        <v>7000</v>
      </c>
      <c r="AW37" s="11" t="n">
        <v>7000</v>
      </c>
      <c r="AX37" s="10" t="n"/>
      <c r="AY37" s="10" t="n">
        <v>7000</v>
      </c>
      <c r="AZ37" s="10" t="n">
        <v>7000</v>
      </c>
      <c r="BA37" s="11" t="n"/>
      <c r="BB37" s="11" t="n">
        <v>7000</v>
      </c>
      <c r="BC37" s="11" t="n">
        <v>7000</v>
      </c>
      <c r="BD37" s="10" t="n"/>
      <c r="BE37" s="10" t="n">
        <v>7000</v>
      </c>
      <c r="BF37" s="10" t="n">
        <v>7000</v>
      </c>
      <c r="BG37" s="11" t="n"/>
      <c r="BH37" s="11" t="n">
        <v>7000</v>
      </c>
      <c r="BI37" s="11" t="n">
        <v>7000</v>
      </c>
      <c r="BJ37" s="10" t="n"/>
      <c r="BK37" s="10" t="n">
        <v>7000</v>
      </c>
      <c r="BL37" s="10" t="n">
        <v>7000</v>
      </c>
      <c r="BM37" s="11" t="n"/>
      <c r="BN37" s="11" t="n">
        <v>7000</v>
      </c>
      <c r="BO37" s="11" t="n">
        <v>7000</v>
      </c>
      <c r="BP37" s="10" t="n"/>
      <c r="BQ37" s="10" t="n">
        <v>7000</v>
      </c>
      <c r="BR37" s="10" t="n">
        <v>7000</v>
      </c>
      <c r="BS37" s="11" t="n"/>
      <c r="BT37" s="11" t="n">
        <v>7000</v>
      </c>
      <c r="BU37" s="11" t="n">
        <v>7000</v>
      </c>
      <c r="BV37" s="35" t="n"/>
      <c r="BW37" s="35" t="n"/>
      <c r="BX37" s="35" t="n"/>
      <c r="CB37" s="35" t="n"/>
      <c r="CC37" s="35" t="n"/>
      <c r="CD37" s="35" t="n"/>
      <c r="CH37" s="35" t="n"/>
      <c r="CI37" s="35" t="n"/>
      <c r="CJ37" s="35" t="n"/>
      <c r="CN37" s="35" t="n"/>
      <c r="CO37" s="35" t="n"/>
      <c r="CP37" s="35" t="n"/>
      <c r="CT37" s="35" t="n"/>
      <c r="CU37" s="35" t="n"/>
      <c r="CV37" s="35" t="n"/>
      <c r="CZ37" s="35" t="n"/>
      <c r="DA37" s="35" t="n"/>
      <c r="DB37" s="35" t="n"/>
      <c r="DF37" s="35" t="n"/>
      <c r="DG37" s="35" t="n"/>
      <c r="DH37" s="35" t="n"/>
      <c r="DL37" s="35" t="n"/>
      <c r="DM37" s="35" t="n"/>
      <c r="DN37" s="35" t="n"/>
    </row>
    <row r="38">
      <c r="A38" s="2" t="inlineStr">
        <is>
          <t>Technical Support Rep</t>
        </is>
      </c>
      <c r="B38" s="10">
        <f>IF(COUNT(AR38,AO38,AL38,AI38,AF38,AC38,Z38,W38,T38,Q38,N38,K38)=0,"",SUM(AR38,AO38,AL38,AI38,AF38,AC38,Z38,W38,T38,Q38,N38,K38))</f>
        <v/>
      </c>
      <c r="C38" s="10">
        <f>IF(COUNT(AS38,AP38,AM38,AJ38,AG38,AD38,AA38,X38,U38,R38,O38,L38)=0,"",SUM(AS38,AP38,AM38,AJ38,AG38,AD38,AA38,X38,U38,R38,O38,L38))</f>
        <v/>
      </c>
      <c r="D38" s="10">
        <f>IF(COUNT(AT38,AQ38,AN38,AK38,AH38,AE38,AB38,Y38,V38,S38,P38,M38)=0,"",SUM(AT38,AQ38,AN38,AK38,AH38,AE38,AB38,Y38,V38,S38,P38,M38))</f>
        <v/>
      </c>
      <c r="E38" s="11">
        <f>IF(COUNT(CB38,BY38,BV38,BS38,BP38,BM38,BJ38,BG38,BD38,BA38,AX38,AU38)=0,"",SUM(CB38,BY38,BV38,BS38,BP38,BM38,BJ38,BG38,BD38,BA38,AX38,AU38))</f>
        <v/>
      </c>
      <c r="F38" s="11">
        <f>IF(COUNT(CC38,BZ38,BW38,BT38,BQ38,BN38,BK38,BH38,BE38,BB38,AY38,AV38)=0,"",SUM(CC38,BZ38,BW38,BT38,BQ38,BN38,BK38,BH38,BE38,BB38,AY38,AV38))</f>
        <v/>
      </c>
      <c r="G38" s="11">
        <f>IF(COUNT(CD38,CA38,BX38,BU38,BR38,BO38,BL38,BI38,BF38,BC38,AZ38,AW38)=0,"",SUM(CD38,CA38,BX38,BU38,BR38,BO38,BL38,BI38,BF38,BC38,AZ38,AW38))</f>
        <v/>
      </c>
      <c r="H38" s="10">
        <f>IF(COUNT(DL38,DI38,DF38,DC38,CZ38,CW38,CT38,CQ38,CN38,CK38,CH38,CE38)=0,"",SUM(DL38,DI38,DF38,DC38,CZ38,CW38,CT38,CQ38,CN38,CK38,CH38,CE38))</f>
        <v/>
      </c>
      <c r="I38" s="10">
        <f>IF(COUNT(DM38,DJ38,DG38,DD38,DA38,CX38,CU38,CR38,CO38,CL38,CI38,CF38)=0,"",SUM(DM38,DJ38,DG38,DD38,DA38,CX38,CU38,CR38,CO38,CL38,CI38,CF38))</f>
        <v/>
      </c>
      <c r="J38" s="10">
        <f>IF(COUNT(DN38,DK38,DH38,DE38,DB38,CY38,CV38,CS38,CP38,CM38,CJ38,CG38)=0,"",SUM(DN38,DK38,DH38,DE38,DB38,CY38,CV38,CS38,CP38,CM38,CJ38,CG38))</f>
        <v/>
      </c>
      <c r="K38" s="11" t="n"/>
      <c r="L38" s="11" t="n">
        <v>7000</v>
      </c>
      <c r="M38" s="11" t="n">
        <v>7000</v>
      </c>
      <c r="N38" s="10" t="n"/>
      <c r="O38" s="10" t="n">
        <v>7000</v>
      </c>
      <c r="P38" s="10" t="n">
        <v>7000</v>
      </c>
      <c r="Q38" s="11" t="n"/>
      <c r="R38" s="11" t="n">
        <v>7000</v>
      </c>
      <c r="S38" s="11" t="n">
        <v>7000</v>
      </c>
      <c r="T38" s="10" t="n"/>
      <c r="U38" s="10" t="n">
        <v>7000</v>
      </c>
      <c r="V38" s="10" t="n">
        <v>7000</v>
      </c>
      <c r="W38" s="11" t="n"/>
      <c r="X38" s="11" t="n">
        <v>7000</v>
      </c>
      <c r="Y38" s="11" t="n">
        <v>7000</v>
      </c>
      <c r="Z38" s="10" t="n"/>
      <c r="AA38" s="10" t="n">
        <v>7000</v>
      </c>
      <c r="AB38" s="10" t="n">
        <v>7000</v>
      </c>
      <c r="AC38" s="11" t="n"/>
      <c r="AD38" s="11" t="n">
        <v>7000</v>
      </c>
      <c r="AE38" s="11" t="n">
        <v>7000</v>
      </c>
      <c r="AF38" s="10" t="n"/>
      <c r="AG38" s="10" t="n">
        <v>7000</v>
      </c>
      <c r="AH38" s="10" t="n">
        <v>7000</v>
      </c>
      <c r="AI38" s="11" t="n"/>
      <c r="AJ38" s="11" t="n">
        <v>7000</v>
      </c>
      <c r="AK38" s="11" t="n">
        <v>7000</v>
      </c>
      <c r="AL38" s="10" t="n"/>
      <c r="AM38" s="10" t="n">
        <v>7000</v>
      </c>
      <c r="AN38" s="10" t="n">
        <v>7000</v>
      </c>
      <c r="AO38" s="11" t="n"/>
      <c r="AP38" s="11" t="n">
        <v>7000</v>
      </c>
      <c r="AQ38" s="11" t="n">
        <v>7000</v>
      </c>
      <c r="AR38" s="10" t="n"/>
      <c r="AS38" s="10" t="n">
        <v>7000</v>
      </c>
      <c r="AT38" s="10" t="n">
        <v>7000</v>
      </c>
      <c r="AU38" s="11" t="n"/>
      <c r="AV38" s="11" t="n">
        <v>7000</v>
      </c>
      <c r="AW38" s="11" t="n">
        <v>7000</v>
      </c>
      <c r="AX38" s="10" t="n"/>
      <c r="AY38" s="10" t="n">
        <v>7000</v>
      </c>
      <c r="AZ38" s="10" t="n">
        <v>7000</v>
      </c>
      <c r="BA38" s="11" t="n"/>
      <c r="BB38" s="11" t="n">
        <v>7000</v>
      </c>
      <c r="BC38" s="11" t="n">
        <v>7000</v>
      </c>
      <c r="BD38" s="10" t="n"/>
      <c r="BE38" s="10" t="n">
        <v>7000</v>
      </c>
      <c r="BF38" s="10" t="n">
        <v>7000</v>
      </c>
      <c r="BJ38" s="35" t="n"/>
      <c r="BK38" s="35" t="n"/>
      <c r="BL38" s="35" t="n"/>
      <c r="BP38" s="35" t="n"/>
      <c r="BQ38" s="35" t="n"/>
      <c r="BR38" s="35" t="n"/>
      <c r="BV38" s="35" t="n"/>
      <c r="BW38" s="35" t="n"/>
      <c r="BX38" s="35" t="n"/>
      <c r="CB38" s="35" t="n"/>
      <c r="CC38" s="35" t="n"/>
      <c r="CD38" s="35" t="n"/>
      <c r="CH38" s="35" t="n"/>
      <c r="CI38" s="35" t="n"/>
      <c r="CJ38" s="35" t="n"/>
      <c r="CN38" s="35" t="n"/>
      <c r="CO38" s="35" t="n"/>
      <c r="CP38" s="35" t="n"/>
      <c r="CT38" s="35" t="n"/>
      <c r="CU38" s="35" t="n"/>
      <c r="CV38" s="35" t="n"/>
      <c r="CZ38" s="35" t="n"/>
      <c r="DA38" s="35" t="n"/>
      <c r="DB38" s="35" t="n"/>
      <c r="DF38" s="35" t="n"/>
      <c r="DG38" s="35" t="n"/>
      <c r="DH38" s="35" t="n"/>
      <c r="DL38" s="35" t="n"/>
      <c r="DM38" s="35" t="n"/>
      <c r="DN38" s="35" t="n"/>
    </row>
    <row r="39">
      <c r="A39" s="2" t="inlineStr">
        <is>
          <t>Technical Support Rep</t>
        </is>
      </c>
      <c r="B39" s="10">
        <f>IF(COUNT(AR39,AO39,AL39,AI39,AF39,AC39,Z39,W39,T39,Q39,N39,K39)=0,"",SUM(AR39,AO39,AL39,AI39,AF39,AC39,Z39,W39,T39,Q39,N39,K39))</f>
        <v/>
      </c>
      <c r="C39" s="10">
        <f>IF(COUNT(AS39,AP39,AM39,AJ39,AG39,AD39,AA39,X39,U39,R39,O39,L39)=0,"",SUM(AS39,AP39,AM39,AJ39,AG39,AD39,AA39,X39,U39,R39,O39,L39))</f>
        <v/>
      </c>
      <c r="D39" s="10">
        <f>IF(COUNT(AT39,AQ39,AN39,AK39,AH39,AE39,AB39,Y39,V39,S39,P39,M39)=0,"",SUM(AT39,AQ39,AN39,AK39,AH39,AE39,AB39,Y39,V39,S39,P39,M39))</f>
        <v/>
      </c>
      <c r="E39" s="11">
        <f>IF(COUNT(CB39,BY39,BV39,BS39,BP39,BM39,BJ39,BG39,BD39,BA39,AX39,AU39)=0,"",SUM(CB39,BY39,BV39,BS39,BP39,BM39,BJ39,BG39,BD39,BA39,AX39,AU39))</f>
        <v/>
      </c>
      <c r="F39" s="11">
        <f>IF(COUNT(CC39,BZ39,BW39,BT39,BQ39,BN39,BK39,BH39,BE39,BB39,AY39,AV39)=0,"",SUM(CC39,BZ39,BW39,BT39,BQ39,BN39,BK39,BH39,BE39,BB39,AY39,AV39))</f>
        <v/>
      </c>
      <c r="G39" s="11">
        <f>IF(COUNT(CD39,CA39,BX39,BU39,BR39,BO39,BL39,BI39,BF39,BC39,AZ39,AW39)=0,"",SUM(CD39,CA39,BX39,BU39,BR39,BO39,BL39,BI39,BF39,BC39,AZ39,AW39))</f>
        <v/>
      </c>
      <c r="H39" s="10">
        <f>IF(COUNT(DL39,DI39,DF39,DC39,CZ39,CW39,CT39,CQ39,CN39,CK39,CH39,CE39)=0,"",SUM(DL39,DI39,DF39,DC39,CZ39,CW39,CT39,CQ39,CN39,CK39,CH39,CE39))</f>
        <v/>
      </c>
      <c r="I39" s="10">
        <f>IF(COUNT(DM39,DJ39,DG39,DD39,DA39,CX39,CU39,CR39,CO39,CL39,CI39,CF39)=0,"",SUM(DM39,DJ39,DG39,DD39,DA39,CX39,CU39,CR39,CO39,CL39,CI39,CF39))</f>
        <v/>
      </c>
      <c r="J39" s="10">
        <f>IF(COUNT(DN39,DK39,DH39,DE39,DB39,CY39,CV39,CS39,CP39,CM39,CJ39,CG39)=0,"",SUM(DN39,DK39,DH39,DE39,DB39,CY39,CV39,CS39,CP39,CM39,CJ39,CG39))</f>
        <v/>
      </c>
      <c r="K39" s="11" t="n"/>
      <c r="L39" s="11" t="n">
        <v>7000</v>
      </c>
      <c r="M39" s="11" t="n">
        <v>7000</v>
      </c>
      <c r="N39" s="10" t="n"/>
      <c r="O39" s="10" t="n">
        <v>7000</v>
      </c>
      <c r="P39" s="10" t="n">
        <v>7000</v>
      </c>
      <c r="Q39" s="11" t="n"/>
      <c r="R39" s="11" t="n">
        <v>7000</v>
      </c>
      <c r="S39" s="11" t="n">
        <v>7000</v>
      </c>
      <c r="T39" s="10" t="n"/>
      <c r="U39" s="10" t="n">
        <v>7000</v>
      </c>
      <c r="V39" s="10" t="n">
        <v>7000</v>
      </c>
      <c r="W39" s="11" t="n"/>
      <c r="X39" s="11" t="n">
        <v>7000</v>
      </c>
      <c r="Y39" s="11" t="n">
        <v>7000</v>
      </c>
      <c r="Z39" s="10" t="n"/>
      <c r="AA39" s="10" t="n">
        <v>7000</v>
      </c>
      <c r="AB39" s="10" t="n">
        <v>7000</v>
      </c>
      <c r="AC39" s="11" t="n"/>
      <c r="AD39" s="11" t="n">
        <v>7000</v>
      </c>
      <c r="AE39" s="11" t="n">
        <v>7000</v>
      </c>
      <c r="AF39" s="10" t="n"/>
      <c r="AG39" s="10" t="n">
        <v>7000</v>
      </c>
      <c r="AH39" s="10" t="n">
        <v>7000</v>
      </c>
      <c r="AI39" s="11" t="n"/>
      <c r="AJ39" s="11" t="n">
        <v>7000</v>
      </c>
      <c r="AK39" s="11" t="n">
        <v>7000</v>
      </c>
      <c r="AL39" s="10" t="n"/>
      <c r="AM39" s="10" t="n">
        <v>7000</v>
      </c>
      <c r="AN39" s="10" t="n">
        <v>7000</v>
      </c>
      <c r="AR39" s="35" t="n"/>
      <c r="AS39" s="35" t="n"/>
      <c r="AT39" s="35" t="n"/>
      <c r="AX39" s="35" t="n"/>
      <c r="AY39" s="35" t="n"/>
      <c r="AZ39" s="35" t="n"/>
      <c r="BD39" s="35" t="n"/>
      <c r="BE39" s="35" t="n"/>
      <c r="BF39" s="35" t="n"/>
      <c r="BJ39" s="35" t="n"/>
      <c r="BK39" s="35" t="n"/>
      <c r="BL39" s="35" t="n"/>
      <c r="BP39" s="35" t="n"/>
      <c r="BQ39" s="35" t="n"/>
      <c r="BR39" s="35" t="n"/>
      <c r="BV39" s="35" t="n"/>
      <c r="BW39" s="35" t="n"/>
      <c r="BX39" s="35" t="n"/>
      <c r="CB39" s="35" t="n"/>
      <c r="CC39" s="35" t="n"/>
      <c r="CD39" s="35" t="n"/>
      <c r="CH39" s="35" t="n"/>
      <c r="CI39" s="35" t="n"/>
      <c r="CJ39" s="35" t="n"/>
      <c r="CN39" s="35" t="n"/>
      <c r="CO39" s="35" t="n"/>
      <c r="CP39" s="35" t="n"/>
      <c r="CT39" s="35" t="n"/>
      <c r="CU39" s="35" t="n"/>
      <c r="CV39" s="35" t="n"/>
      <c r="CZ39" s="35" t="n"/>
      <c r="DA39" s="35" t="n"/>
      <c r="DB39" s="35" t="n"/>
      <c r="DF39" s="35" t="n"/>
      <c r="DG39" s="35" t="n"/>
      <c r="DH39" s="35" t="n"/>
      <c r="DL39" s="35" t="n"/>
      <c r="DM39" s="35" t="n"/>
      <c r="DN39" s="35" t="n"/>
    </row>
    <row r="40">
      <c r="A40" s="2" t="inlineStr">
        <is>
          <t>Knowledge Architect</t>
        </is>
      </c>
      <c r="B40" s="10">
        <f>IF(COUNT(AR40,AO40,AL40,AI40,AF40,AC40,Z40,W40,T40,Q40,N40,K40)=0,"",SUM(AR40,AO40,AL40,AI40,AF40,AC40,Z40,W40,T40,Q40,N40,K40))</f>
        <v/>
      </c>
      <c r="C40" s="10">
        <f>IF(COUNT(AS40,AP40,AM40,AJ40,AG40,AD40,AA40,X40,U40,R40,O40,L40)=0,"",SUM(AS40,AP40,AM40,AJ40,AG40,AD40,AA40,X40,U40,R40,O40,L40))</f>
        <v/>
      </c>
      <c r="D40" s="10">
        <f>IF(COUNT(AT40,AQ40,AN40,AK40,AH40,AE40,AB40,Y40,V40,S40,P40,M40)=0,"",SUM(AT40,AQ40,AN40,AK40,AH40,AE40,AB40,Y40,V40,S40,P40,M40))</f>
        <v/>
      </c>
      <c r="E40" s="11">
        <f>IF(COUNT(CB40,BY40,BV40,BS40,BP40,BM40,BJ40,BG40,BD40,BA40,AX40,AU40)=0,"",SUM(CB40,BY40,BV40,BS40,BP40,BM40,BJ40,BG40,BD40,BA40,AX40,AU40))</f>
        <v/>
      </c>
      <c r="F40" s="11">
        <f>IF(COUNT(CC40,BZ40,BW40,BT40,BQ40,BN40,BK40,BH40,BE40,BB40,AY40,AV40)=0,"",SUM(CC40,BZ40,BW40,BT40,BQ40,BN40,BK40,BH40,BE40,BB40,AY40,AV40))</f>
        <v/>
      </c>
      <c r="G40" s="11">
        <f>IF(COUNT(CD40,CA40,BX40,BU40,BR40,BO40,BL40,BI40,BF40,BC40,AZ40,AW40)=0,"",SUM(CD40,CA40,BX40,BU40,BR40,BO40,BL40,BI40,BF40,BC40,AZ40,AW40))</f>
        <v/>
      </c>
      <c r="H40" s="10">
        <f>IF(COUNT(DL40,DI40,DF40,DC40,CZ40,CW40,CT40,CQ40,CN40,CK40,CH40,CE40)=0,"",SUM(DL40,DI40,DF40,DC40,CZ40,CW40,CT40,CQ40,CN40,CK40,CH40,CE40))</f>
        <v/>
      </c>
      <c r="I40" s="10">
        <f>IF(COUNT(DM40,DJ40,DG40,DD40,DA40,CX40,CU40,CR40,CO40,CL40,CI40,CF40)=0,"",SUM(DM40,DJ40,DG40,DD40,DA40,CX40,CU40,CR40,CO40,CL40,CI40,CF40))</f>
        <v/>
      </c>
      <c r="J40" s="10">
        <f>IF(COUNT(DN40,DK40,DH40,DE40,DB40,CY40,CV40,CS40,CP40,CM40,CJ40,CG40)=0,"",SUM(DN40,DK40,DH40,DE40,DB40,CY40,CV40,CS40,CP40,CM40,CJ40,CG40))</f>
        <v/>
      </c>
      <c r="K40" s="11" t="n"/>
      <c r="L40" s="11" t="n">
        <v>9000</v>
      </c>
      <c r="M40" s="11" t="n">
        <v>9000</v>
      </c>
      <c r="N40" s="10" t="n"/>
      <c r="O40" s="10" t="n">
        <v>9000</v>
      </c>
      <c r="P40" s="10" t="n">
        <v>9000</v>
      </c>
      <c r="Q40" s="11" t="n"/>
      <c r="R40" s="11" t="n">
        <v>9000</v>
      </c>
      <c r="S40" s="11" t="n">
        <v>9000</v>
      </c>
      <c r="T40" s="10" t="n"/>
      <c r="U40" s="10" t="n">
        <v>9000</v>
      </c>
      <c r="V40" s="10" t="n">
        <v>9000</v>
      </c>
      <c r="W40" s="11" t="n"/>
      <c r="X40" s="11" t="n">
        <v>9000</v>
      </c>
      <c r="Y40" s="11" t="n">
        <v>9000</v>
      </c>
      <c r="Z40" s="10" t="n"/>
      <c r="AA40" s="10" t="n">
        <v>9000</v>
      </c>
      <c r="AB40" s="10" t="n">
        <v>9000</v>
      </c>
      <c r="AC40" s="11" t="n"/>
      <c r="AD40" s="11" t="n">
        <v>9000</v>
      </c>
      <c r="AE40" s="11" t="n">
        <v>9000</v>
      </c>
      <c r="AF40" s="10" t="n"/>
      <c r="AG40" s="10" t="n">
        <v>9000</v>
      </c>
      <c r="AH40" s="10" t="n">
        <v>9000</v>
      </c>
      <c r="AI40" s="11" t="n"/>
      <c r="AJ40" s="11" t="n">
        <v>9000</v>
      </c>
      <c r="AK40" s="11" t="n">
        <v>9000</v>
      </c>
      <c r="AL40" s="10" t="n"/>
      <c r="AM40" s="10" t="n">
        <v>9000</v>
      </c>
      <c r="AN40" s="10" t="n">
        <v>9000</v>
      </c>
      <c r="AO40" s="11" t="n"/>
      <c r="AP40" s="11" t="n">
        <v>9000</v>
      </c>
      <c r="AQ40" s="11" t="n">
        <v>9000</v>
      </c>
      <c r="AR40" s="10" t="n"/>
      <c r="AS40" s="10" t="n">
        <v>9000</v>
      </c>
      <c r="AT40" s="10" t="n">
        <v>9000</v>
      </c>
      <c r="AU40" s="11" t="n"/>
      <c r="AV40" s="11" t="n">
        <v>9000</v>
      </c>
      <c r="AW40" s="11" t="n">
        <v>9000</v>
      </c>
      <c r="AX40" s="10" t="n"/>
      <c r="AY40" s="10" t="n">
        <v>9000</v>
      </c>
      <c r="AZ40" s="10" t="n">
        <v>9000</v>
      </c>
      <c r="BA40" s="11" t="n"/>
      <c r="BB40" s="11" t="n">
        <v>9000</v>
      </c>
      <c r="BC40" s="11" t="n">
        <v>9000</v>
      </c>
      <c r="BD40" s="10" t="n"/>
      <c r="BE40" s="10" t="n">
        <v>9000</v>
      </c>
      <c r="BF40" s="10" t="n">
        <v>9000</v>
      </c>
      <c r="BG40" s="11" t="n"/>
      <c r="BH40" s="11" t="n">
        <v>9000</v>
      </c>
      <c r="BI40" s="11" t="n">
        <v>9000</v>
      </c>
      <c r="BJ40" s="35" t="n"/>
      <c r="BK40" s="35" t="n"/>
      <c r="BL40" s="35" t="n"/>
      <c r="BP40" s="35" t="n"/>
      <c r="BQ40" s="35" t="n"/>
      <c r="BR40" s="35" t="n"/>
      <c r="BV40" s="35" t="n"/>
      <c r="BW40" s="35" t="n"/>
      <c r="BX40" s="35" t="n"/>
      <c r="CB40" s="35" t="n"/>
      <c r="CC40" s="35" t="n"/>
      <c r="CD40" s="35" t="n"/>
      <c r="CH40" s="35" t="n"/>
      <c r="CI40" s="35" t="n"/>
      <c r="CJ40" s="35" t="n"/>
      <c r="CN40" s="35" t="n"/>
      <c r="CO40" s="35" t="n"/>
      <c r="CP40" s="35" t="n"/>
      <c r="CT40" s="35" t="n"/>
      <c r="CU40" s="35" t="n"/>
      <c r="CV40" s="35" t="n"/>
      <c r="CZ40" s="35" t="n"/>
      <c r="DA40" s="35" t="n"/>
      <c r="DB40" s="35" t="n"/>
      <c r="DF40" s="35" t="n"/>
      <c r="DG40" s="35" t="n"/>
      <c r="DH40" s="35" t="n"/>
      <c r="DL40" s="35" t="n"/>
      <c r="DM40" s="35" t="n"/>
      <c r="DN40" s="35" t="n"/>
    </row>
    <row r="41">
      <c r="A41" s="12" t="inlineStr">
        <is>
          <t>Total People Cost</t>
        </is>
      </c>
      <c r="B41" s="13">
        <f>IF(COUNT(AR41,AO41,AL41,AI41,AF41,AC41,Z41,W41,T41,Q41,N41,K41)=0,"",SUM(AR41,AO41,AL41,AI41,AF41,AC41,Z41,W41,T41,Q41,N41,K41))</f>
        <v/>
      </c>
      <c r="C41" s="13">
        <f>IF(COUNT(AS41,AP41,AM41,AJ41,AG41,AD41,AA41,X41,U41,R41,O41,L41)=0,"",SUM(AS41,AP41,AM41,AJ41,AG41,AD41,AA41,X41,U41,R41,O41,L41))</f>
        <v/>
      </c>
      <c r="D41" s="13">
        <f>IF(COUNT(AT41,AQ41,AN41,AK41,AH41,AE41,AB41,Y41,V41,S41,P41,M41)=0,"",SUM(AT41,AQ41,AN41,AK41,AH41,AE41,AB41,Y41,V41,S41,P41,M41))</f>
        <v/>
      </c>
      <c r="E41" s="14">
        <f>IF(COUNT(CB41,BY41,BV41,BS41,BP41,BM41,BJ41,BG41,BD41,BA41,AX41,AU41)=0,"",SUM(CB41,BY41,BV41,BS41,BP41,BM41,BJ41,BG41,BD41,BA41,AX41,AU41))</f>
        <v/>
      </c>
      <c r="F41" s="14">
        <f>IF(COUNT(CC41,BZ41,BW41,BT41,BQ41,BN41,BK41,BH41,BE41,BB41,AY41,AV41)=0,"",SUM(CC41,BZ41,BW41,BT41,BQ41,BN41,BK41,BH41,BE41,BB41,AY41,AV41))</f>
        <v/>
      </c>
      <c r="G41" s="14">
        <f>IF(COUNT(CD41,CA41,BX41,BU41,BR41,BO41,BL41,BI41,BF41,BC41,AZ41,AW41)=0,"",SUM(CD41,CA41,BX41,BU41,BR41,BO41,BL41,BI41,BF41,BC41,AZ41,AW41))</f>
        <v/>
      </c>
      <c r="H41" s="13">
        <f>IF(COUNT(DL41,DI41,DF41,DC41,CZ41,CW41,CT41,CQ41,CN41,CK41,CH41,CE41)=0,"",SUM(DL41,DI41,DF41,DC41,CZ41,CW41,CT41,CQ41,CN41,CK41,CH41,CE41))</f>
        <v/>
      </c>
      <c r="I41" s="13">
        <f>IF(COUNT(DM41,DJ41,DG41,DD41,DA41,CX41,CU41,CR41,CO41,CL41,CI41,CF41)=0,"",SUM(DM41,DJ41,DG41,DD41,DA41,CX41,CU41,CR41,CO41,CL41,CI41,CF41))</f>
        <v/>
      </c>
      <c r="J41" s="13">
        <f>IF(COUNT(DN41,DK41,DH41,DE41,DB41,CY41,CV41,CS41,CP41,CM41,CJ41,CG41)=0,"",SUM(DN41,DK41,DH41,DE41,DB41,CY41,CV41,CS41,CP41,CM41,CJ41,CG41))</f>
        <v/>
      </c>
      <c r="K41" s="14">
        <f>IF(COUNT(K28,K29,K30,K31,K32,K33,K34,K35,K36,K37,K38,K39,K40)=0,"",SUM(K28:K40))</f>
        <v/>
      </c>
      <c r="L41" s="14">
        <f>SUM(L28:L40)</f>
        <v/>
      </c>
      <c r="M41" s="14">
        <f>SUM(M28:M40)</f>
        <v/>
      </c>
      <c r="N41" s="13">
        <f>IF(COUNT(N28,N29,N30,N31,N32,N33,N34,N35,N36,N37,N38,N39,N40)=0,"",SUM(N28:N40))</f>
        <v/>
      </c>
      <c r="O41" s="13">
        <f>SUM(O28:O40)</f>
        <v/>
      </c>
      <c r="P41" s="13">
        <f>SUM(P28:P40)</f>
        <v/>
      </c>
      <c r="Q41" s="14">
        <f>IF(COUNT(Q28,Q29,Q30,Q31,Q32,Q33,Q34,Q35,Q36,Q37,Q38,Q39,Q40)=0,"",SUM(Q28:Q40))</f>
        <v/>
      </c>
      <c r="R41" s="14">
        <f>SUM(R28:R40)</f>
        <v/>
      </c>
      <c r="S41" s="14">
        <f>SUM(S28:S40)</f>
        <v/>
      </c>
      <c r="T41" s="13">
        <f>IF(COUNT(T28,T29,T30,T31,T32,T33,T34,T35,T36,T37,T38,T39,T40)=0,"",SUM(T28:T40))</f>
        <v/>
      </c>
      <c r="U41" s="13">
        <f>SUM(U28:U40)</f>
        <v/>
      </c>
      <c r="V41" s="13">
        <f>SUM(V28:V40)</f>
        <v/>
      </c>
      <c r="W41" s="14">
        <f>IF(COUNT(W28,W29,W30,W31,W32,W33,W34,W35,W36,W37,W38,W39,W40)=0,"",SUM(W28:W40))</f>
        <v/>
      </c>
      <c r="X41" s="14">
        <f>SUM(X28:X40)</f>
        <v/>
      </c>
      <c r="Y41" s="14">
        <f>SUM(Y28:Y40)</f>
        <v/>
      </c>
      <c r="Z41" s="13">
        <f>IF(COUNT(Z28,Z29,Z30,Z31,Z32,Z33,Z34,Z35,Z36,Z37,Z38,Z39,Z40)=0,"",SUM(Z28:Z40))</f>
        <v/>
      </c>
      <c r="AA41" s="13">
        <f>SUM(AA28:AA40)</f>
        <v/>
      </c>
      <c r="AB41" s="13">
        <f>SUM(AB28:AB40)</f>
        <v/>
      </c>
      <c r="AC41" s="14">
        <f>IF(COUNT(AC28,AC29,AC30,AC31,AC32,AC33,AC34,AC35,AC36,AC37,AC38,AC39,AC40)=0,"",SUM(AC28:AC40))</f>
        <v/>
      </c>
      <c r="AD41" s="14">
        <f>SUM(AD28:AD40)</f>
        <v/>
      </c>
      <c r="AE41" s="14">
        <f>SUM(AE28:AE40)</f>
        <v/>
      </c>
      <c r="AF41" s="13">
        <f>IF(COUNT(AF28,AF29,AF30,AF31,AF32,AF33,AF34,AF35,AF36,AF37,AF38,AF39,AF40)=0,"",SUM(AF28:AF40))</f>
        <v/>
      </c>
      <c r="AG41" s="13">
        <f>SUM(AG28:AG40)</f>
        <v/>
      </c>
      <c r="AH41" s="13">
        <f>SUM(AH28:AH40)</f>
        <v/>
      </c>
      <c r="AI41" s="14">
        <f>IF(COUNT(AI28,AI29,AI30,AI31,AI32,AI33,AI34,AI35,AI36,AI37,AI38,AI39,AI40)=0,"",SUM(AI28:AI40))</f>
        <v/>
      </c>
      <c r="AJ41" s="14">
        <f>SUM(AJ28:AJ40)</f>
        <v/>
      </c>
      <c r="AK41" s="14">
        <f>SUM(AK28:AK40)</f>
        <v/>
      </c>
      <c r="AL41" s="13">
        <f>IF(COUNT(AL28,AL29,AL30,AL31,AL32,AL33,AL34,AL35,AL36,AL37,AL38,AL39,AL40)=0,"",SUM(AL28:AL40))</f>
        <v/>
      </c>
      <c r="AM41" s="13">
        <f>SUM(AM28:AM40)</f>
        <v/>
      </c>
      <c r="AN41" s="13">
        <f>SUM(AN28:AN40)</f>
        <v/>
      </c>
      <c r="AO41" s="14">
        <f>IF(COUNT(AO28,AO29,AO30,AO31,AO32,AO33,AO34,AO35,AO36,AO37,AO38,AO40)=0,"",SUM(AO28:AO40))</f>
        <v/>
      </c>
      <c r="AP41" s="14">
        <f>SUM(AP28:AP40)</f>
        <v/>
      </c>
      <c r="AQ41" s="14">
        <f>SUM(AQ28:AQ40)</f>
        <v/>
      </c>
      <c r="AR41" s="13">
        <f>IF(COUNT(AR28,AR29,AR30,AR31,AR32,AR33,AR34,AR35,AR36,AR37,AR38,AR40)=0,"",SUM(AR28:AR40))</f>
        <v/>
      </c>
      <c r="AS41" s="13">
        <f>SUM(AS28:AS40)</f>
        <v/>
      </c>
      <c r="AT41" s="13">
        <f>SUM(AT28:AT40)</f>
        <v/>
      </c>
      <c r="AU41" s="14">
        <f>IF(COUNT(AU28,AU29,AU30,AU31,AU32,AU33,AU34,AU35,AU36,AU37,AU38,AU40)=0,"",SUM(AU28:AU40))</f>
        <v/>
      </c>
      <c r="AV41" s="14">
        <f>SUM(AV28:AV40)</f>
        <v/>
      </c>
      <c r="AW41" s="14">
        <f>SUM(AW28:AW40)</f>
        <v/>
      </c>
      <c r="AX41" s="13">
        <f>IF(COUNT(AX28,AX29,AX30,AX31,AX32,AX33,AX34,AX35,AX36,AX37,AX38,AX40)=0,"",SUM(AX28:AX40))</f>
        <v/>
      </c>
      <c r="AY41" s="13">
        <f>SUM(AY28:AY40)</f>
        <v/>
      </c>
      <c r="AZ41" s="13">
        <f>SUM(AZ28:AZ40)</f>
        <v/>
      </c>
      <c r="BA41" s="14">
        <f>IF(COUNT(BA28,BA29,BA30,BA31,BA32,BA33,BA34,BA35,BA36,BA37,BA38,BA40)=0,"",SUM(BA28:BA40))</f>
        <v/>
      </c>
      <c r="BB41" s="14">
        <f>SUM(BB28:BB40)</f>
        <v/>
      </c>
      <c r="BC41" s="14">
        <f>SUM(BC28:BC40)</f>
        <v/>
      </c>
      <c r="BD41" s="13">
        <f>IF(COUNT(BD28,BD29,BD30,BD31,BD32,BD33,BD34,BD35,BD36,BD37,BD38,BD40)=0,"",SUM(BD28:BD40))</f>
        <v/>
      </c>
      <c r="BE41" s="13">
        <f>SUM(BE28:BE40)</f>
        <v/>
      </c>
      <c r="BF41" s="13">
        <f>SUM(BF28:BF40)</f>
        <v/>
      </c>
      <c r="BG41" s="14">
        <f>IF(COUNT(BG28,BG29,BG30,BG31,BG32,BG33,BG34,BG35,BG36,BG37,BG40)=0,"",SUM(BG28:BG40))</f>
        <v/>
      </c>
      <c r="BH41" s="14">
        <f>SUM(BH28:BH40)</f>
        <v/>
      </c>
      <c r="BI41" s="14">
        <f>SUM(BI28:BI40)</f>
        <v/>
      </c>
      <c r="BJ41" s="13">
        <f>IF(COUNT(BJ28,BJ29,BJ30,BJ31,BJ32,BJ33,BJ34,BJ35,BJ36,BJ37)=0,"",SUM(BJ28:BJ40))</f>
        <v/>
      </c>
      <c r="BK41" s="13">
        <f>SUM(BK28:BK40)</f>
        <v/>
      </c>
      <c r="BL41" s="13">
        <f>SUM(BL28:BL40)</f>
        <v/>
      </c>
      <c r="BM41" s="14">
        <f>IF(COUNT(BM28,BM29,BM30,BM31,BM32,BM33,BM34,BM35,BM36,BM37)=0,"",SUM(BM28:BM40))</f>
        <v/>
      </c>
      <c r="BN41" s="14">
        <f>SUM(BN28:BN40)</f>
        <v/>
      </c>
      <c r="BO41" s="14">
        <f>SUM(BO28:BO40)</f>
        <v/>
      </c>
      <c r="BP41" s="13">
        <f>IF(COUNT(BP28,BP29,BP30,BP31,BP32,BP33,BP34,BP35,BP36,BP37)=0,"",SUM(BP28:BP40))</f>
        <v/>
      </c>
      <c r="BQ41" s="13">
        <f>SUM(BQ28:BQ40)</f>
        <v/>
      </c>
      <c r="BR41" s="13">
        <f>SUM(BR28:BR40)</f>
        <v/>
      </c>
      <c r="BS41" s="14">
        <f>IF(COUNT(BS28,BS29,BS30,BS31,BS32,BS33,BS34,BS35,BS36,BS37)=0,"",SUM(BS28:BS40))</f>
        <v/>
      </c>
      <c r="BT41" s="14">
        <f>SUM(BT28:BT40)</f>
        <v/>
      </c>
      <c r="BU41" s="14">
        <f>SUM(BU28:BU40)</f>
        <v/>
      </c>
      <c r="BV41" s="13">
        <f>IF(COUNT(BV28,BV29,BV30,BV31,BV32,BV33,BV34,BV35,BV36)=0,"",SUM(BV28:BV40))</f>
        <v/>
      </c>
      <c r="BW41" s="13">
        <f>SUM(BW28:BW40)</f>
        <v/>
      </c>
      <c r="BX41" s="13">
        <f>SUM(BX28:BX40)</f>
        <v/>
      </c>
      <c r="BY41" s="14">
        <f>IF(COUNT(BY28,BY29,BY30,BY31,BY32,BY33,BY34,BY35,BY36)=0,"",SUM(BY28:BY40))</f>
        <v/>
      </c>
      <c r="BZ41" s="14">
        <f>SUM(BZ28:BZ40)</f>
        <v/>
      </c>
      <c r="CA41" s="14">
        <f>SUM(CA28:CA40)</f>
        <v/>
      </c>
      <c r="CB41" s="13">
        <f>IF(COUNT(CB28,CB29,CB30,CB31,CB32,CB33,CB34,CB35,CB36)=0,"",SUM(CB28:CB40))</f>
        <v/>
      </c>
      <c r="CC41" s="13">
        <f>SUM(CC28:CC40)</f>
        <v/>
      </c>
      <c r="CD41" s="13">
        <f>SUM(CD28:CD40)</f>
        <v/>
      </c>
      <c r="CE41" s="14">
        <f>IF(COUNT(CE28,CE29,CE30,CE31,CE32,CE33,CE34,CE35,CE36)=0,"",SUM(CE28:CE40))</f>
        <v/>
      </c>
      <c r="CF41" s="14">
        <f>SUM(CF28:CF40)</f>
        <v/>
      </c>
      <c r="CG41" s="14">
        <f>SUM(CG28:CG40)</f>
        <v/>
      </c>
      <c r="CH41" s="13">
        <f>IF(COUNT(CH28,CH29,CH30,CH31,CH32,CH33,CH34,CH35,CH36)=0,"",SUM(CH28:CH40))</f>
        <v/>
      </c>
      <c r="CI41" s="13">
        <f>SUM(CI28:CI40)</f>
        <v/>
      </c>
      <c r="CJ41" s="13">
        <f>SUM(CJ28:CJ40)</f>
        <v/>
      </c>
      <c r="CK41" s="14">
        <f>IF(COUNT(CK28,CK29,CK30,CK31,CK32,CK33,CK34,CK35,CK36)=0,"",SUM(CK28:CK40))</f>
        <v/>
      </c>
      <c r="CL41" s="14">
        <f>SUM(CL28:CL40)</f>
        <v/>
      </c>
      <c r="CM41" s="14">
        <f>SUM(CM28:CM40)</f>
        <v/>
      </c>
      <c r="CN41" s="13">
        <f>IF(COUNT(CN28,CN29,CN30,CN31,CN32,CN33,CN34,CN35)=0,"",SUM(CN28:CN40))</f>
        <v/>
      </c>
      <c r="CO41" s="13">
        <f>SUM(CO28:CO40)</f>
        <v/>
      </c>
      <c r="CP41" s="13">
        <f>SUM(CP28:CP40)</f>
        <v/>
      </c>
      <c r="CQ41" s="14">
        <f>IF(COUNT(CQ28,CQ29,CQ30,CQ31,CQ32,CQ33,CQ34,CQ35)=0,"",SUM(CQ28:CQ40))</f>
        <v/>
      </c>
      <c r="CR41" s="14">
        <f>SUM(CR28:CR40)</f>
        <v/>
      </c>
      <c r="CS41" s="14">
        <f>SUM(CS28:CS40)</f>
        <v/>
      </c>
      <c r="CT41" s="13">
        <f>IF(COUNT(CT28,CT29,CT30,CT31,CT32,CT33,CT34,CT35)=0,"",SUM(CT28:CT40))</f>
        <v/>
      </c>
      <c r="CU41" s="13">
        <f>SUM(CU28:CU40)</f>
        <v/>
      </c>
      <c r="CV41" s="13">
        <f>SUM(CV28:CV40)</f>
        <v/>
      </c>
      <c r="CW41" s="14">
        <f>IF(COUNT(CW28,CW29,CW30,CW31,CW32,CW33,CW34,CW35)=0,"",SUM(CW28:CW40))</f>
        <v/>
      </c>
      <c r="CX41" s="14">
        <f>SUM(CX28:CX40)</f>
        <v/>
      </c>
      <c r="CY41" s="14">
        <f>SUM(CY28:CY40)</f>
        <v/>
      </c>
      <c r="CZ41" s="13">
        <f>IF(COUNT(CZ28,CZ29,CZ30,CZ31,CZ32,CZ33,CZ34,CZ35)=0,"",SUM(CZ28:CZ40))</f>
        <v/>
      </c>
      <c r="DA41" s="13">
        <f>SUM(DA28:DA40)</f>
        <v/>
      </c>
      <c r="DB41" s="13">
        <f>SUM(DB28:DB40)</f>
        <v/>
      </c>
      <c r="DC41" s="14">
        <f>IF(COUNT(DC28,DC29,DC30,DC31,DC32,DC33,DC34,DC35)=0,"",SUM(DC28:DC40))</f>
        <v/>
      </c>
      <c r="DD41" s="14">
        <f>SUM(DD28:DD40)</f>
        <v/>
      </c>
      <c r="DE41" s="14">
        <f>SUM(DE28:DE40)</f>
        <v/>
      </c>
      <c r="DF41" s="13">
        <f>IF(COUNT(DF28,DF29,DF30,DF31,DF32,DF33,DF34,DF35)=0,"",SUM(DF28:DF40))</f>
        <v/>
      </c>
      <c r="DG41" s="13">
        <f>SUM(DG28:DG40)</f>
        <v/>
      </c>
      <c r="DH41" s="13">
        <f>SUM(DH28:DH40)</f>
        <v/>
      </c>
      <c r="DI41" s="14">
        <f>IF(COUNT(DI28,DI29,DI30,DI31,DI32,DI33,DI34,DI35)=0,"",SUM(DI28:DI40))</f>
        <v/>
      </c>
      <c r="DJ41" s="14">
        <f>SUM(DJ28:DJ40)</f>
        <v/>
      </c>
      <c r="DK41" s="14">
        <f>SUM(DK28:DK40)</f>
        <v/>
      </c>
      <c r="DL41" s="13">
        <f>IF(COUNT(DL28,DL29,DL30,DL31,DL32,DL33,DL34,DL35)=0,"",SUM(DL28:DL40))</f>
        <v/>
      </c>
      <c r="DM41" s="13">
        <f>SUM(DM28:DM40)</f>
        <v/>
      </c>
      <c r="DN41" s="13">
        <f>SUM(DN28:DN40)</f>
        <v/>
      </c>
    </row>
    <row r="42">
      <c r="A42" s="2" t="inlineStr">
        <is>
          <t>Headcount</t>
        </is>
      </c>
      <c r="B42" s="21">
        <f>IF(K42&lt;&gt;"",K42,IF(N42&lt;&gt;"",N42,IF(Q42&lt;&gt;"",Q42,IF(T42&lt;&gt;"",T42,IF(W42&lt;&gt;"",W42,IF(Z42&lt;&gt;"",Z42,IF(AC42&lt;&gt;"",AC42,IF(AF42&lt;&gt;"",AF42,IF(AI42&lt;&gt;"",AI42,IF(AL42&lt;&gt;"",AL42,IF(AO42&lt;&gt;"",AO42,IF(AR42&lt;&gt;"",AR42,""))))))))))))</f>
        <v/>
      </c>
      <c r="C42" s="21">
        <f>IF(L42&lt;&gt;"",L42,IF(O42&lt;&gt;"",O42,IF(R42&lt;&gt;"",R42,IF(U42&lt;&gt;"",U42,IF(X42&lt;&gt;"",X42,IF(AA42&lt;&gt;"",AA42,IF(AD42&lt;&gt;"",AD42,IF(AG42&lt;&gt;"",AG42,IF(AJ42&lt;&gt;"",AJ42,IF(AM42&lt;&gt;"",AM42,IF(AP42&lt;&gt;"",AP42,IF(AS42&lt;&gt;"",AS42,""))))))))))))</f>
        <v/>
      </c>
      <c r="D42" s="21">
        <f>IF(M42&lt;&gt;"",M42,IF(P42&lt;&gt;"",P42,IF(S42&lt;&gt;"",S42,IF(V42&lt;&gt;"",V42,IF(Y42&lt;&gt;"",Y42,IF(AB42&lt;&gt;"",AB42,IF(AE42&lt;&gt;"",AE42,IF(AH42&lt;&gt;"",AH42,IF(AK42&lt;&gt;"",AK42,IF(AN42&lt;&gt;"",AN42,IF(AQ42&lt;&gt;"",AQ42,IF(AT42&lt;&gt;"",AT42,""))))))))))))</f>
        <v/>
      </c>
      <c r="E42" s="2">
        <f>IF(AU42&lt;&gt;"",AU42,IF(AX42&lt;&gt;"",AX42,IF(BA42&lt;&gt;"",BA42,IF(BD42&lt;&gt;"",BD42,IF(BG42&lt;&gt;"",BG42,IF(BJ42&lt;&gt;"",BJ42,IF(BM42&lt;&gt;"",BM42,IF(BP42&lt;&gt;"",BP42,IF(BS42&lt;&gt;"",BS42,IF(BV42&lt;&gt;"",BV42,IF(BY42&lt;&gt;"",BY42,IF(CB42&lt;&gt;"",CB42,""))))))))))))</f>
        <v/>
      </c>
      <c r="F42" s="2">
        <f>IF(AV42&lt;&gt;"",AV42,IF(AY42&lt;&gt;"",AY42,IF(BB42&lt;&gt;"",BB42,IF(BE42&lt;&gt;"",BE42,IF(BH42&lt;&gt;"",BH42,IF(BK42&lt;&gt;"",BK42,IF(BN42&lt;&gt;"",BN42,IF(BQ42&lt;&gt;"",BQ42,IF(BT42&lt;&gt;"",BT42,IF(BW42&lt;&gt;"",BW42,IF(BZ42&lt;&gt;"",BZ42,IF(CC42&lt;&gt;"",CC42,""))))))))))))</f>
        <v/>
      </c>
      <c r="G42" s="2">
        <f>IF(AW42&lt;&gt;"",AW42,IF(AZ42&lt;&gt;"",AZ42,IF(BC42&lt;&gt;"",BC42,IF(BF42&lt;&gt;"",BF42,IF(BI42&lt;&gt;"",BI42,IF(BL42&lt;&gt;"",BL42,IF(BO42&lt;&gt;"",BO42,IF(BR42&lt;&gt;"",BR42,IF(BU42&lt;&gt;"",BU42,IF(BX42&lt;&gt;"",BX42,IF(CA42&lt;&gt;"",CA42,IF(CD42&lt;&gt;"",CD42,""))))))))))))</f>
        <v/>
      </c>
      <c r="H42" s="21">
        <f>IF(CE42&lt;&gt;"",CE42,IF(CH42&lt;&gt;"",CH42,IF(CK42&lt;&gt;"",CK42,IF(CN42&lt;&gt;"",CN42,IF(CQ42&lt;&gt;"",CQ42,IF(CT42&lt;&gt;"",CT42,IF(CW42&lt;&gt;"",CW42,IF(CZ42&lt;&gt;"",CZ42,IF(DC42&lt;&gt;"",DC42,IF(DF42&lt;&gt;"",DF42,IF(DI42&lt;&gt;"",DI42,IF(DL42&lt;&gt;"",DL42,""))))))))))))</f>
        <v/>
      </c>
      <c r="I42" s="21">
        <f>IF(CF42&lt;&gt;"",CF42,IF(CI42&lt;&gt;"",CI42,IF(CL42&lt;&gt;"",CL42,IF(CO42&lt;&gt;"",CO42,IF(CR42&lt;&gt;"",CR42,IF(CU42&lt;&gt;"",CU42,IF(CX42&lt;&gt;"",CX42,IF(DA42&lt;&gt;"",DA42,IF(DD42&lt;&gt;"",DD42,IF(DG42&lt;&gt;"",DG42,IF(DJ42&lt;&gt;"",DJ42,IF(DM42&lt;&gt;"",DM42,""))))))))))))</f>
        <v/>
      </c>
      <c r="J42" s="21">
        <f>IF(CG42&lt;&gt;"",CG42,IF(CJ42&lt;&gt;"",CJ42,IF(CM42&lt;&gt;"",CM42,IF(CP42&lt;&gt;"",CP42,IF(CS42&lt;&gt;"",CS42,IF(CV42&lt;&gt;"",CV42,IF(CY42&lt;&gt;"",CY42,IF(DB42&lt;&gt;"",DB42,IF(DE42&lt;&gt;"",DE42,IF(DH42&lt;&gt;"",DH42,IF(DK42&lt;&gt;"",DK42,IF(DN42&lt;&gt;"",DN42,""))))))))))))</f>
        <v/>
      </c>
      <c r="K42" s="2">
        <f>IF(COUNT(K28,K29,K30,K31,K32,K33,K34,K35,K36,K37,K38,K39,K40)=0,"",COUNT(K28:K40))</f>
        <v/>
      </c>
      <c r="L42" s="2">
        <f>COUNT(L28:L40)</f>
        <v/>
      </c>
      <c r="M42" s="2">
        <f>COUNT(M28:M40)</f>
        <v/>
      </c>
      <c r="N42" s="21">
        <f>IF(COUNT(N28,N29,N30,N31,N32,N33,N34,N35,N36,N37,N38,N39,N40)=0,"",COUNT(N28:N40))</f>
        <v/>
      </c>
      <c r="O42" s="21">
        <f>COUNT(O28:O40)</f>
        <v/>
      </c>
      <c r="P42" s="21">
        <f>COUNT(P28:P40)</f>
        <v/>
      </c>
      <c r="Q42" s="2">
        <f>IF(COUNT(Q28,Q29,Q30,Q31,Q32,Q33,Q34,Q35,Q36,Q37,Q38,Q39,Q40)=0,"",COUNT(Q28:Q40))</f>
        <v/>
      </c>
      <c r="R42" s="2">
        <f>COUNT(R28:R40)</f>
        <v/>
      </c>
      <c r="S42" s="2">
        <f>COUNT(S28:S40)</f>
        <v/>
      </c>
      <c r="T42" s="21">
        <f>IF(COUNT(T28,T29,T30,T31,T32,T33,T34,T35,T36,T37,T38,T39,T40)=0,"",COUNT(T28:T40))</f>
        <v/>
      </c>
      <c r="U42" s="21">
        <f>COUNT(U28:U40)</f>
        <v/>
      </c>
      <c r="V42" s="21">
        <f>COUNT(V28:V40)</f>
        <v/>
      </c>
      <c r="W42" s="2">
        <f>IF(COUNT(W28,W29,W30,W31,W32,W33,W34,W35,W36,W37,W38,W39,W40)=0,"",COUNT(W28:W40))</f>
        <v/>
      </c>
      <c r="X42" s="2">
        <f>COUNT(X28:X40)</f>
        <v/>
      </c>
      <c r="Y42" s="2">
        <f>COUNT(Y28:Y40)</f>
        <v/>
      </c>
      <c r="Z42" s="21">
        <f>IF(COUNT(Z28,Z29,Z30,Z31,Z32,Z33,Z34,Z35,Z36,Z37,Z38,Z39,Z40)=0,"",COUNT(Z28:Z40))</f>
        <v/>
      </c>
      <c r="AA42" s="21">
        <f>COUNT(AA28:AA40)</f>
        <v/>
      </c>
      <c r="AB42" s="21">
        <f>COUNT(AB28:AB40)</f>
        <v/>
      </c>
      <c r="AC42" s="2">
        <f>IF(COUNT(AC28,AC29,AC30,AC31,AC32,AC33,AC34,AC35,AC36,AC37,AC38,AC39,AC40)=0,"",COUNT(AC28:AC40))</f>
        <v/>
      </c>
      <c r="AD42" s="2">
        <f>COUNT(AD28:AD40)</f>
        <v/>
      </c>
      <c r="AE42" s="2">
        <f>COUNT(AE28:AE40)</f>
        <v/>
      </c>
      <c r="AF42" s="21">
        <f>IF(COUNT(AF28,AF29,AF30,AF31,AF32,AF33,AF34,AF35,AF36,AF37,AF38,AF39,AF40)=0,"",COUNT(AF28:AF40))</f>
        <v/>
      </c>
      <c r="AG42" s="21">
        <f>COUNT(AG28:AG40)</f>
        <v/>
      </c>
      <c r="AH42" s="21">
        <f>COUNT(AH28:AH40)</f>
        <v/>
      </c>
      <c r="AI42" s="2">
        <f>IF(COUNT(AI28,AI29,AI30,AI31,AI32,AI33,AI34,AI35,AI36,AI37,AI38,AI39,AI40)=0,"",COUNT(AI28:AI40))</f>
        <v/>
      </c>
      <c r="AJ42" s="2">
        <f>COUNT(AJ28:AJ40)</f>
        <v/>
      </c>
      <c r="AK42" s="2">
        <f>COUNT(AK28:AK40)</f>
        <v/>
      </c>
      <c r="AL42" s="21">
        <f>IF(COUNT(AL28,AL29,AL30,AL31,AL32,AL33,AL34,AL35,AL36,AL37,AL38,AL39,AL40)=0,"",COUNT(AL28:AL40))</f>
        <v/>
      </c>
      <c r="AM42" s="21">
        <f>COUNT(AM28:AM40)</f>
        <v/>
      </c>
      <c r="AN42" s="21">
        <f>COUNT(AN28:AN40)</f>
        <v/>
      </c>
      <c r="AO42" s="2">
        <f>IF(COUNT(AO28,AO29,AO30,AO31,AO32,AO33,AO34,AO35,AO36,AO37,AO38,AO40)=0,"",COUNT(AO28:AO40))</f>
        <v/>
      </c>
      <c r="AP42" s="2">
        <f>COUNT(AP28:AP40)</f>
        <v/>
      </c>
      <c r="AQ42" s="2">
        <f>COUNT(AQ28:AQ40)</f>
        <v/>
      </c>
      <c r="AR42" s="21">
        <f>IF(COUNT(AR28,AR29,AR30,AR31,AR32,AR33,AR34,AR35,AR36,AR37,AR38,AR40)=0,"",COUNT(AR28:AR40))</f>
        <v/>
      </c>
      <c r="AS42" s="21">
        <f>COUNT(AS28:AS40)</f>
        <v/>
      </c>
      <c r="AT42" s="21">
        <f>COUNT(AT28:AT40)</f>
        <v/>
      </c>
      <c r="AU42" s="2">
        <f>IF(COUNT(AU28,AU29,AU30,AU31,AU32,AU33,AU34,AU35,AU36,AU37,AU38,AU40)=0,"",COUNT(AU28:AU40))</f>
        <v/>
      </c>
      <c r="AV42" s="2">
        <f>COUNT(AV28:AV40)</f>
        <v/>
      </c>
      <c r="AW42" s="2">
        <f>COUNT(AW28:AW40)</f>
        <v/>
      </c>
      <c r="AX42" s="21">
        <f>IF(COUNT(AX28,AX29,AX30,AX31,AX32,AX33,AX34,AX35,AX36,AX37,AX38,AX40)=0,"",COUNT(AX28:AX40))</f>
        <v/>
      </c>
      <c r="AY42" s="21">
        <f>COUNT(AY28:AY40)</f>
        <v/>
      </c>
      <c r="AZ42" s="21">
        <f>COUNT(AZ28:AZ40)</f>
        <v/>
      </c>
      <c r="BA42" s="2">
        <f>IF(COUNT(BA28,BA29,BA30,BA31,BA32,BA33,BA34,BA35,BA36,BA37,BA38,BA40)=0,"",COUNT(BA28:BA40))</f>
        <v/>
      </c>
      <c r="BB42" s="2">
        <f>COUNT(BB28:BB40)</f>
        <v/>
      </c>
      <c r="BC42" s="2">
        <f>COUNT(BC28:BC40)</f>
        <v/>
      </c>
      <c r="BD42" s="21">
        <f>IF(COUNT(BD28,BD29,BD30,BD31,BD32,BD33,BD34,BD35,BD36,BD37,BD38,BD40)=0,"",COUNT(BD28:BD40))</f>
        <v/>
      </c>
      <c r="BE42" s="21">
        <f>COUNT(BE28:BE40)</f>
        <v/>
      </c>
      <c r="BF42" s="21">
        <f>COUNT(BF28:BF40)</f>
        <v/>
      </c>
      <c r="BG42" s="2">
        <f>IF(COUNT(BG28,BG29,BG30,BG31,BG32,BG33,BG34,BG35,BG36,BG37,BG40)=0,"",COUNT(BG28:BG40))</f>
        <v/>
      </c>
      <c r="BH42" s="2">
        <f>COUNT(BH28:BH40)</f>
        <v/>
      </c>
      <c r="BI42" s="2">
        <f>COUNT(BI28:BI40)</f>
        <v/>
      </c>
      <c r="BJ42" s="21">
        <f>IF(COUNT(BJ28,BJ29,BJ30,BJ31,BJ32,BJ33,BJ34,BJ35,BJ36,BJ37)=0,"",COUNT(BJ28:BJ40))</f>
        <v/>
      </c>
      <c r="BK42" s="21">
        <f>COUNT(BK28:BK40)</f>
        <v/>
      </c>
      <c r="BL42" s="21">
        <f>COUNT(BL28:BL40)</f>
        <v/>
      </c>
      <c r="BM42" s="2">
        <f>IF(COUNT(BM28,BM29,BM30,BM31,BM32,BM33,BM34,BM35,BM36,BM37)=0,"",COUNT(BM28:BM40))</f>
        <v/>
      </c>
      <c r="BN42" s="2">
        <f>COUNT(BN28:BN40)</f>
        <v/>
      </c>
      <c r="BO42" s="2">
        <f>COUNT(BO28:BO40)</f>
        <v/>
      </c>
      <c r="BP42" s="21">
        <f>IF(COUNT(BP28,BP29,BP30,BP31,BP32,BP33,BP34,BP35,BP36,BP37)=0,"",COUNT(BP28:BP40))</f>
        <v/>
      </c>
      <c r="BQ42" s="21">
        <f>COUNT(BQ28:BQ40)</f>
        <v/>
      </c>
      <c r="BR42" s="21">
        <f>COUNT(BR28:BR40)</f>
        <v/>
      </c>
      <c r="BS42" s="2">
        <f>IF(COUNT(BS28,BS29,BS30,BS31,BS32,BS33,BS34,BS35,BS36,BS37)=0,"",COUNT(BS28:BS40))</f>
        <v/>
      </c>
      <c r="BT42" s="2">
        <f>COUNT(BT28:BT40)</f>
        <v/>
      </c>
      <c r="BU42" s="2">
        <f>COUNT(BU28:BU40)</f>
        <v/>
      </c>
      <c r="BV42" s="21">
        <f>IF(COUNT(BV28,BV29,BV30,BV31,BV32,BV33,BV34,BV35,BV36)=0,"",COUNT(BV28:BV40))</f>
        <v/>
      </c>
      <c r="BW42" s="21">
        <f>COUNT(BW28:BW40)</f>
        <v/>
      </c>
      <c r="BX42" s="21">
        <f>COUNT(BX28:BX40)</f>
        <v/>
      </c>
      <c r="BY42" s="2">
        <f>IF(COUNT(BY28,BY29,BY30,BY31,BY32,BY33,BY34,BY35,BY36)=0,"",COUNT(BY28:BY40))</f>
        <v/>
      </c>
      <c r="BZ42" s="2">
        <f>COUNT(BZ28:BZ40)</f>
        <v/>
      </c>
      <c r="CA42" s="2">
        <f>COUNT(CA28:CA40)</f>
        <v/>
      </c>
      <c r="CB42" s="21">
        <f>IF(COUNT(CB28,CB29,CB30,CB31,CB32,CB33,CB34,CB35,CB36)=0,"",COUNT(CB28:CB40))</f>
        <v/>
      </c>
      <c r="CC42" s="21">
        <f>COUNT(CC28:CC40)</f>
        <v/>
      </c>
      <c r="CD42" s="21">
        <f>COUNT(CD28:CD40)</f>
        <v/>
      </c>
      <c r="CE42" s="2">
        <f>IF(COUNT(CE28,CE29,CE30,CE31,CE32,CE33,CE34,CE35,CE36)=0,"",COUNT(CE28:CE40))</f>
        <v/>
      </c>
      <c r="CF42" s="2">
        <f>COUNT(CF28:CF40)</f>
        <v/>
      </c>
      <c r="CG42" s="2">
        <f>COUNT(CG28:CG40)</f>
        <v/>
      </c>
      <c r="CH42" s="21">
        <f>IF(COUNT(CH28,CH29,CH30,CH31,CH32,CH33,CH34,CH35,CH36)=0,"",COUNT(CH28:CH40))</f>
        <v/>
      </c>
      <c r="CI42" s="21">
        <f>COUNT(CI28:CI40)</f>
        <v/>
      </c>
      <c r="CJ42" s="21">
        <f>COUNT(CJ28:CJ40)</f>
        <v/>
      </c>
      <c r="CK42" s="2">
        <f>IF(COUNT(CK28,CK29,CK30,CK31,CK32,CK33,CK34,CK35,CK36)=0,"",COUNT(CK28:CK40))</f>
        <v/>
      </c>
      <c r="CL42" s="2">
        <f>COUNT(CL28:CL40)</f>
        <v/>
      </c>
      <c r="CM42" s="2">
        <f>COUNT(CM28:CM40)</f>
        <v/>
      </c>
      <c r="CN42" s="21">
        <f>IF(COUNT(CN28,CN29,CN30,CN31,CN32,CN33,CN34,CN35)=0,"",COUNT(CN28:CN40))</f>
        <v/>
      </c>
      <c r="CO42" s="21">
        <f>COUNT(CO28:CO40)</f>
        <v/>
      </c>
      <c r="CP42" s="21">
        <f>COUNT(CP28:CP40)</f>
        <v/>
      </c>
      <c r="CQ42" s="2">
        <f>IF(COUNT(CQ28,CQ29,CQ30,CQ31,CQ32,CQ33,CQ34,CQ35)=0,"",COUNT(CQ28:CQ40))</f>
        <v/>
      </c>
      <c r="CR42" s="2">
        <f>COUNT(CR28:CR40)</f>
        <v/>
      </c>
      <c r="CS42" s="2">
        <f>COUNT(CS28:CS40)</f>
        <v/>
      </c>
      <c r="CT42" s="21">
        <f>IF(COUNT(CT28,CT29,CT30,CT31,CT32,CT33,CT34,CT35)=0,"",COUNT(CT28:CT40))</f>
        <v/>
      </c>
      <c r="CU42" s="21">
        <f>COUNT(CU28:CU40)</f>
        <v/>
      </c>
      <c r="CV42" s="21">
        <f>COUNT(CV28:CV40)</f>
        <v/>
      </c>
      <c r="CW42" s="2">
        <f>IF(COUNT(CW28,CW29,CW30,CW31,CW32,CW33,CW34,CW35)=0,"",COUNT(CW28:CW40))</f>
        <v/>
      </c>
      <c r="CX42" s="2">
        <f>COUNT(CX28:CX40)</f>
        <v/>
      </c>
      <c r="CY42" s="2">
        <f>COUNT(CY28:CY40)</f>
        <v/>
      </c>
      <c r="CZ42" s="21">
        <f>IF(COUNT(CZ28,CZ29,CZ30,CZ31,CZ32,CZ33,CZ34,CZ35)=0,"",COUNT(CZ28:CZ40))</f>
        <v/>
      </c>
      <c r="DA42" s="21">
        <f>COUNT(DA28:DA40)</f>
        <v/>
      </c>
      <c r="DB42" s="21">
        <f>COUNT(DB28:DB40)</f>
        <v/>
      </c>
      <c r="DC42" s="2">
        <f>IF(COUNT(DC28,DC29,DC30,DC31,DC32,DC33,DC34,DC35)=0,"",COUNT(DC28:DC40))</f>
        <v/>
      </c>
      <c r="DD42" s="2">
        <f>COUNT(DD28:DD40)</f>
        <v/>
      </c>
      <c r="DE42" s="2">
        <f>COUNT(DE28:DE40)</f>
        <v/>
      </c>
      <c r="DF42" s="21">
        <f>IF(COUNT(DF28,DF29,DF30,DF31,DF32,DF33,DF34,DF35)=0,"",COUNT(DF28:DF40))</f>
        <v/>
      </c>
      <c r="DG42" s="21">
        <f>COUNT(DG28:DG40)</f>
        <v/>
      </c>
      <c r="DH42" s="21">
        <f>COUNT(DH28:DH40)</f>
        <v/>
      </c>
      <c r="DI42" s="2">
        <f>IF(COUNT(DI28,DI29,DI30,DI31,DI32,DI33,DI34,DI35)=0,"",COUNT(DI28:DI40))</f>
        <v/>
      </c>
      <c r="DJ42" s="2">
        <f>COUNT(DJ28:DJ40)</f>
        <v/>
      </c>
      <c r="DK42" s="2">
        <f>COUNT(DK28:DK40)</f>
        <v/>
      </c>
      <c r="DL42" s="21">
        <f>IF(COUNT(DL28,DL29,DL30,DL31,DL32,DL33,DL34,DL35)=0,"",COUNT(DL28:DL40))</f>
        <v/>
      </c>
      <c r="DM42" s="21">
        <f>COUNT(DM28:DM40)</f>
        <v/>
      </c>
      <c r="DN42" s="21">
        <f>COUNT(DN28:DN40)</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N60"/>
  <sheetViews>
    <sheetView workbookViewId="0">
      <pane xSplit="10" ySplit="2" topLeftCell="K3" activePane="bottomRight" state="frozen"/>
      <selection pane="topRight"/>
      <selection pane="bottomLeft"/>
      <selection pane="bottomRight" activeCell="A1" sqref="A1"/>
    </sheetView>
  </sheetViews>
  <sheetFormatPr baseColWidth="8" defaultRowHeight="15"/>
  <cols>
    <col width="4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s>
  <sheetData>
    <row r="1">
      <c r="B1" s="4">
        <f>"FY"&amp;YEAR(K$1)</f>
        <v/>
      </c>
      <c r="C1" s="4" t="n"/>
      <c r="D1" s="4" t="n"/>
      <c r="E1" s="5">
        <f>"FY"&amp;YEAR(AU$1)</f>
        <v/>
      </c>
      <c r="F1" s="5" t="n"/>
      <c r="G1" s="5" t="n"/>
      <c r="H1" s="4">
        <f>"FY"&amp;YEAR(CE$1)</f>
        <v/>
      </c>
      <c r="I1" s="4" t="n"/>
      <c r="J1" s="4" t="n"/>
      <c r="K1" s="6">
        <f>EOMONTH(N$1,1)</f>
        <v/>
      </c>
      <c r="L1" s="5" t="n"/>
      <c r="M1" s="5" t="n"/>
      <c r="N1" s="7">
        <f>EOMONTH(Q$1,1)</f>
        <v/>
      </c>
      <c r="O1" s="4" t="n"/>
      <c r="P1" s="4" t="n"/>
      <c r="Q1" s="6">
        <f>EOMONTH(T$1,1)</f>
        <v/>
      </c>
      <c r="R1" s="5" t="n"/>
      <c r="S1" s="5" t="n"/>
      <c r="T1" s="7">
        <f>EOMONTH(W$1,1)</f>
        <v/>
      </c>
      <c r="U1" s="4" t="n"/>
      <c r="V1" s="4" t="n"/>
      <c r="W1" s="6">
        <f>EOMONTH(Z$1,1)</f>
        <v/>
      </c>
      <c r="X1" s="5" t="n"/>
      <c r="Y1" s="5" t="n"/>
      <c r="Z1" s="7">
        <f>EOMONTH(AC$1,1)</f>
        <v/>
      </c>
      <c r="AA1" s="4" t="n"/>
      <c r="AB1" s="4" t="n"/>
      <c r="AC1" s="6">
        <f>EOMONTH(AF$1,1)</f>
        <v/>
      </c>
      <c r="AD1" s="5" t="n"/>
      <c r="AE1" s="5" t="n"/>
      <c r="AF1" s="7">
        <f>EOMONTH(AI$1,1)</f>
        <v/>
      </c>
      <c r="AG1" s="4" t="n"/>
      <c r="AH1" s="4" t="n"/>
      <c r="AI1" s="6">
        <f>EOMONTH(AL$1,1)</f>
        <v/>
      </c>
      <c r="AJ1" s="5" t="n"/>
      <c r="AK1" s="5" t="n"/>
      <c r="AL1" s="7">
        <f>EOMONTH(AO$1,1)</f>
        <v/>
      </c>
      <c r="AM1" s="4" t="n"/>
      <c r="AN1" s="4" t="n"/>
      <c r="AO1" s="6">
        <f>EOMONTH(AR$1,1)</f>
        <v/>
      </c>
      <c r="AP1" s="5" t="n"/>
      <c r="AQ1" s="5" t="n"/>
      <c r="AR1" s="7">
        <f>EOMONTH(AU$1,1)</f>
        <v/>
      </c>
      <c r="AS1" s="4" t="n"/>
      <c r="AT1" s="4" t="n"/>
      <c r="AU1" s="6">
        <f>EOMONTH(AX$1,1)</f>
        <v/>
      </c>
      <c r="AV1" s="5" t="n"/>
      <c r="AW1" s="5" t="n"/>
      <c r="AX1" s="7">
        <f>EOMONTH(BA$1,1)</f>
        <v/>
      </c>
      <c r="AY1" s="4" t="n"/>
      <c r="AZ1" s="4" t="n"/>
      <c r="BA1" s="6">
        <f>EOMONTH(BD$1,1)</f>
        <v/>
      </c>
      <c r="BB1" s="5" t="n"/>
      <c r="BC1" s="5" t="n"/>
      <c r="BD1" s="7">
        <f>EOMONTH(BG$1,1)</f>
        <v/>
      </c>
      <c r="BE1" s="4" t="n"/>
      <c r="BF1" s="4" t="n"/>
      <c r="BG1" s="6">
        <f>EOMONTH(BJ$1,1)</f>
        <v/>
      </c>
      <c r="BH1" s="5" t="n"/>
      <c r="BI1" s="5" t="n"/>
      <c r="BJ1" s="7">
        <f>EOMONTH(BM$1,1)</f>
        <v/>
      </c>
      <c r="BK1" s="4" t="n"/>
      <c r="BL1" s="4" t="n"/>
      <c r="BM1" s="6">
        <f>EOMONTH(BP$1,1)</f>
        <v/>
      </c>
      <c r="BN1" s="5" t="n"/>
      <c r="BO1" s="5" t="n"/>
      <c r="BP1" s="7">
        <f>EOMONTH(BS$1,1)</f>
        <v/>
      </c>
      <c r="BQ1" s="4" t="n"/>
      <c r="BR1" s="4" t="n"/>
      <c r="BS1" s="6">
        <f>EOMONTH(BV$1,1)</f>
        <v/>
      </c>
      <c r="BT1" s="5" t="n"/>
      <c r="BU1" s="5" t="n"/>
      <c r="BV1" s="7">
        <f>EOMONTH(BY$1,1)</f>
        <v/>
      </c>
      <c r="BW1" s="4" t="n"/>
      <c r="BX1" s="4" t="n"/>
      <c r="BY1" s="6">
        <f>EOMONTH(CB$1,1)</f>
        <v/>
      </c>
      <c r="BZ1" s="5" t="n"/>
      <c r="CA1" s="5" t="n"/>
      <c r="CB1" s="7">
        <f>EOMONTH(CE$1,1)</f>
        <v/>
      </c>
      <c r="CC1" s="4" t="n"/>
      <c r="CD1" s="4" t="n"/>
      <c r="CE1" s="6">
        <f>EOMONTH(CH$1,1)</f>
        <v/>
      </c>
      <c r="CF1" s="5" t="n"/>
      <c r="CG1" s="5" t="n"/>
      <c r="CH1" s="7">
        <f>EOMONTH(CK$1,1)</f>
        <v/>
      </c>
      <c r="CI1" s="4" t="n"/>
      <c r="CJ1" s="4" t="n"/>
      <c r="CK1" s="6">
        <f>EOMONTH(CN$1,1)</f>
        <v/>
      </c>
      <c r="CL1" s="5" t="n"/>
      <c r="CM1" s="5" t="n"/>
      <c r="CN1" s="7">
        <f>EOMONTH(CQ$1,1)</f>
        <v/>
      </c>
      <c r="CO1" s="4" t="n"/>
      <c r="CP1" s="4" t="n"/>
      <c r="CQ1" s="6">
        <f>EOMONTH(CT$1,1)</f>
        <v/>
      </c>
      <c r="CR1" s="5" t="n"/>
      <c r="CS1" s="5" t="n"/>
      <c r="CT1" s="7">
        <f>EOMONTH(CW$1,1)</f>
        <v/>
      </c>
      <c r="CU1" s="4" t="n"/>
      <c r="CV1" s="4" t="n"/>
      <c r="CW1" s="6">
        <f>EOMONTH(CZ$1,1)</f>
        <v/>
      </c>
      <c r="CX1" s="5" t="n"/>
      <c r="CY1" s="5" t="n"/>
      <c r="CZ1" s="7">
        <f>EOMONTH(DC$1,1)</f>
        <v/>
      </c>
      <c r="DA1" s="4" t="n"/>
      <c r="DB1" s="4" t="n"/>
      <c r="DC1" s="6">
        <f>EOMONTH(DF$1,1)</f>
        <v/>
      </c>
      <c r="DD1" s="5" t="n"/>
      <c r="DE1" s="5" t="n"/>
      <c r="DF1" s="7">
        <f>EOMONTH(DI$1,1)</f>
        <v/>
      </c>
      <c r="DG1" s="4" t="n"/>
      <c r="DH1" s="4" t="n"/>
      <c r="DI1" s="6">
        <f>EOMONTH(DL$1,1)</f>
        <v/>
      </c>
      <c r="DJ1" s="5" t="n"/>
      <c r="DK1" s="5" t="n"/>
      <c r="DL1" s="7">
        <f>Finance!$B$61</f>
        <v/>
      </c>
      <c r="DM1" s="4" t="n"/>
      <c r="DN1" s="4" t="n"/>
    </row>
    <row r="2">
      <c r="A2" s="8" t="n"/>
      <c r="B2" s="9" t="inlineStr">
        <is>
          <t>Actual</t>
        </is>
      </c>
      <c r="C2" s="9" t="inlineStr">
        <is>
          <t>Rolling</t>
        </is>
      </c>
      <c r="D2" s="9" t="inlineStr">
        <is>
          <t>Approved</t>
        </is>
      </c>
      <c r="E2" s="8" t="inlineStr">
        <is>
          <t>Actual</t>
        </is>
      </c>
      <c r="F2" s="8" t="inlineStr">
        <is>
          <t>Rolling</t>
        </is>
      </c>
      <c r="G2" s="8" t="inlineStr">
        <is>
          <t>Approved</t>
        </is>
      </c>
      <c r="H2" s="9" t="inlineStr">
        <is>
          <t>Actual</t>
        </is>
      </c>
      <c r="I2" s="9" t="inlineStr">
        <is>
          <t>Rolling</t>
        </is>
      </c>
      <c r="J2" s="9" t="inlineStr">
        <is>
          <t>Approved</t>
        </is>
      </c>
      <c r="K2" s="8" t="inlineStr">
        <is>
          <t>Actual</t>
        </is>
      </c>
      <c r="L2" s="8" t="inlineStr">
        <is>
          <t>Rolling</t>
        </is>
      </c>
      <c r="M2" s="8" t="inlineStr">
        <is>
          <t>Approved</t>
        </is>
      </c>
      <c r="N2" s="9" t="inlineStr">
        <is>
          <t>Actual</t>
        </is>
      </c>
      <c r="O2" s="9" t="inlineStr">
        <is>
          <t>Rolling</t>
        </is>
      </c>
      <c r="P2" s="9" t="inlineStr">
        <is>
          <t>Approved</t>
        </is>
      </c>
      <c r="Q2" s="8" t="inlineStr">
        <is>
          <t>Actual</t>
        </is>
      </c>
      <c r="R2" s="8" t="inlineStr">
        <is>
          <t>Rolling</t>
        </is>
      </c>
      <c r="S2" s="8" t="inlineStr">
        <is>
          <t>Approved</t>
        </is>
      </c>
      <c r="T2" s="9" t="inlineStr">
        <is>
          <t>Actual</t>
        </is>
      </c>
      <c r="U2" s="9" t="inlineStr">
        <is>
          <t>Rolling</t>
        </is>
      </c>
      <c r="V2" s="9" t="inlineStr">
        <is>
          <t>Approved</t>
        </is>
      </c>
      <c r="W2" s="8" t="inlineStr">
        <is>
          <t>Actual</t>
        </is>
      </c>
      <c r="X2" s="8" t="inlineStr">
        <is>
          <t>Rolling</t>
        </is>
      </c>
      <c r="Y2" s="8" t="inlineStr">
        <is>
          <t>Approved</t>
        </is>
      </c>
      <c r="Z2" s="9" t="inlineStr">
        <is>
          <t>Actual</t>
        </is>
      </c>
      <c r="AA2" s="9" t="inlineStr">
        <is>
          <t>Rolling</t>
        </is>
      </c>
      <c r="AB2" s="9" t="inlineStr">
        <is>
          <t>Approved</t>
        </is>
      </c>
      <c r="AC2" s="8" t="inlineStr">
        <is>
          <t>Actual</t>
        </is>
      </c>
      <c r="AD2" s="8" t="inlineStr">
        <is>
          <t>Rolling</t>
        </is>
      </c>
      <c r="AE2" s="8" t="inlineStr">
        <is>
          <t>Approved</t>
        </is>
      </c>
      <c r="AF2" s="9" t="inlineStr">
        <is>
          <t>Actual</t>
        </is>
      </c>
      <c r="AG2" s="9" t="inlineStr">
        <is>
          <t>Rolling</t>
        </is>
      </c>
      <c r="AH2" s="9" t="inlineStr">
        <is>
          <t>Approved</t>
        </is>
      </c>
      <c r="AI2" s="8" t="inlineStr">
        <is>
          <t>Actual</t>
        </is>
      </c>
      <c r="AJ2" s="8" t="inlineStr">
        <is>
          <t>Rolling</t>
        </is>
      </c>
      <c r="AK2" s="8" t="inlineStr">
        <is>
          <t>Approved</t>
        </is>
      </c>
      <c r="AL2" s="9" t="inlineStr">
        <is>
          <t>Actual</t>
        </is>
      </c>
      <c r="AM2" s="9" t="inlineStr">
        <is>
          <t>Rolling</t>
        </is>
      </c>
      <c r="AN2" s="9" t="inlineStr">
        <is>
          <t>Approved</t>
        </is>
      </c>
      <c r="AO2" s="8" t="inlineStr">
        <is>
          <t>Actual</t>
        </is>
      </c>
      <c r="AP2" s="8" t="inlineStr">
        <is>
          <t>Rolling</t>
        </is>
      </c>
      <c r="AQ2" s="8" t="inlineStr">
        <is>
          <t>Approved</t>
        </is>
      </c>
      <c r="AR2" s="9" t="inlineStr">
        <is>
          <t>Actual</t>
        </is>
      </c>
      <c r="AS2" s="9" t="inlineStr">
        <is>
          <t>Rolling</t>
        </is>
      </c>
      <c r="AT2" s="9" t="inlineStr">
        <is>
          <t>Approved</t>
        </is>
      </c>
      <c r="AU2" s="8" t="inlineStr">
        <is>
          <t>Actual</t>
        </is>
      </c>
      <c r="AV2" s="8" t="inlineStr">
        <is>
          <t>Rolling</t>
        </is>
      </c>
      <c r="AW2" s="8" t="inlineStr">
        <is>
          <t>Approved</t>
        </is>
      </c>
      <c r="AX2" s="9" t="inlineStr">
        <is>
          <t>Actual</t>
        </is>
      </c>
      <c r="AY2" s="9" t="inlineStr">
        <is>
          <t>Rolling</t>
        </is>
      </c>
      <c r="AZ2" s="9" t="inlineStr">
        <is>
          <t>Approved</t>
        </is>
      </c>
      <c r="BA2" s="8" t="inlineStr">
        <is>
          <t>Actual</t>
        </is>
      </c>
      <c r="BB2" s="8" t="inlineStr">
        <is>
          <t>Rolling</t>
        </is>
      </c>
      <c r="BC2" s="8" t="inlineStr">
        <is>
          <t>Approved</t>
        </is>
      </c>
      <c r="BD2" s="9" t="inlineStr">
        <is>
          <t>Actual</t>
        </is>
      </c>
      <c r="BE2" s="9" t="inlineStr">
        <is>
          <t>Rolling</t>
        </is>
      </c>
      <c r="BF2" s="9" t="inlineStr">
        <is>
          <t>Approved</t>
        </is>
      </c>
      <c r="BG2" s="8" t="inlineStr">
        <is>
          <t>Actual</t>
        </is>
      </c>
      <c r="BH2" s="8" t="inlineStr">
        <is>
          <t>Rolling</t>
        </is>
      </c>
      <c r="BI2" s="8" t="inlineStr">
        <is>
          <t>Approved</t>
        </is>
      </c>
      <c r="BJ2" s="9" t="inlineStr">
        <is>
          <t>Actual</t>
        </is>
      </c>
      <c r="BK2" s="9" t="inlineStr">
        <is>
          <t>Rolling</t>
        </is>
      </c>
      <c r="BL2" s="9" t="inlineStr">
        <is>
          <t>Approved</t>
        </is>
      </c>
      <c r="BM2" s="8" t="inlineStr">
        <is>
          <t>Actual</t>
        </is>
      </c>
      <c r="BN2" s="8" t="inlineStr">
        <is>
          <t>Rolling</t>
        </is>
      </c>
      <c r="BO2" s="8" t="inlineStr">
        <is>
          <t>Approved</t>
        </is>
      </c>
      <c r="BP2" s="9" t="inlineStr">
        <is>
          <t>Actual</t>
        </is>
      </c>
      <c r="BQ2" s="9" t="inlineStr">
        <is>
          <t>Rolling</t>
        </is>
      </c>
      <c r="BR2" s="9" t="inlineStr">
        <is>
          <t>Approved</t>
        </is>
      </c>
      <c r="BS2" s="8" t="inlineStr">
        <is>
          <t>Actual</t>
        </is>
      </c>
      <c r="BT2" s="8" t="inlineStr">
        <is>
          <t>Rolling</t>
        </is>
      </c>
      <c r="BU2" s="8" t="inlineStr">
        <is>
          <t>Approved</t>
        </is>
      </c>
      <c r="BV2" s="9" t="inlineStr">
        <is>
          <t>Actual</t>
        </is>
      </c>
      <c r="BW2" s="9" t="inlineStr">
        <is>
          <t>Rolling</t>
        </is>
      </c>
      <c r="BX2" s="9" t="inlineStr">
        <is>
          <t>Approved</t>
        </is>
      </c>
      <c r="BY2" s="8" t="inlineStr">
        <is>
          <t>Actual</t>
        </is>
      </c>
      <c r="BZ2" s="8" t="inlineStr">
        <is>
          <t>Rolling</t>
        </is>
      </c>
      <c r="CA2" s="8" t="inlineStr">
        <is>
          <t>Approved</t>
        </is>
      </c>
      <c r="CB2" s="9" t="inlineStr">
        <is>
          <t>Actual</t>
        </is>
      </c>
      <c r="CC2" s="9" t="inlineStr">
        <is>
          <t>Rolling</t>
        </is>
      </c>
      <c r="CD2" s="9" t="inlineStr">
        <is>
          <t>Approved</t>
        </is>
      </c>
      <c r="CE2" s="8" t="inlineStr">
        <is>
          <t>Actual</t>
        </is>
      </c>
      <c r="CF2" s="8" t="inlineStr">
        <is>
          <t>Rolling</t>
        </is>
      </c>
      <c r="CG2" s="8" t="inlineStr">
        <is>
          <t>Approved</t>
        </is>
      </c>
      <c r="CH2" s="9" t="inlineStr">
        <is>
          <t>Actual</t>
        </is>
      </c>
      <c r="CI2" s="9" t="inlineStr">
        <is>
          <t>Rolling</t>
        </is>
      </c>
      <c r="CJ2" s="9" t="inlineStr">
        <is>
          <t>Approved</t>
        </is>
      </c>
      <c r="CK2" s="8" t="inlineStr">
        <is>
          <t>Actual</t>
        </is>
      </c>
      <c r="CL2" s="8" t="inlineStr">
        <is>
          <t>Rolling</t>
        </is>
      </c>
      <c r="CM2" s="8" t="inlineStr">
        <is>
          <t>Approved</t>
        </is>
      </c>
      <c r="CN2" s="9" t="inlineStr">
        <is>
          <t>Actual</t>
        </is>
      </c>
      <c r="CO2" s="9" t="inlineStr">
        <is>
          <t>Rolling</t>
        </is>
      </c>
      <c r="CP2" s="9" t="inlineStr">
        <is>
          <t>Approved</t>
        </is>
      </c>
      <c r="CQ2" s="8" t="inlineStr">
        <is>
          <t>Actual</t>
        </is>
      </c>
      <c r="CR2" s="8" t="inlineStr">
        <is>
          <t>Rolling</t>
        </is>
      </c>
      <c r="CS2" s="8" t="inlineStr">
        <is>
          <t>Approved</t>
        </is>
      </c>
      <c r="CT2" s="9" t="inlineStr">
        <is>
          <t>Actual</t>
        </is>
      </c>
      <c r="CU2" s="9" t="inlineStr">
        <is>
          <t>Rolling</t>
        </is>
      </c>
      <c r="CV2" s="9" t="inlineStr">
        <is>
          <t>Approved</t>
        </is>
      </c>
      <c r="CW2" s="8" t="inlineStr">
        <is>
          <t>Actual</t>
        </is>
      </c>
      <c r="CX2" s="8" t="inlineStr">
        <is>
          <t>Rolling</t>
        </is>
      </c>
      <c r="CY2" s="8" t="inlineStr">
        <is>
          <t>Approved</t>
        </is>
      </c>
      <c r="CZ2" s="9" t="inlineStr">
        <is>
          <t>Actual</t>
        </is>
      </c>
      <c r="DA2" s="9" t="inlineStr">
        <is>
          <t>Rolling</t>
        </is>
      </c>
      <c r="DB2" s="9" t="inlineStr">
        <is>
          <t>Approved</t>
        </is>
      </c>
      <c r="DC2" s="8" t="inlineStr">
        <is>
          <t>Actual</t>
        </is>
      </c>
      <c r="DD2" s="8" t="inlineStr">
        <is>
          <t>Rolling</t>
        </is>
      </c>
      <c r="DE2" s="8" t="inlineStr">
        <is>
          <t>Approved</t>
        </is>
      </c>
      <c r="DF2" s="9" t="inlineStr">
        <is>
          <t>Actual</t>
        </is>
      </c>
      <c r="DG2" s="9" t="inlineStr">
        <is>
          <t>Rolling</t>
        </is>
      </c>
      <c r="DH2" s="9" t="inlineStr">
        <is>
          <t>Approved</t>
        </is>
      </c>
      <c r="DI2" s="8" t="inlineStr">
        <is>
          <t>Actual</t>
        </is>
      </c>
      <c r="DJ2" s="8" t="inlineStr">
        <is>
          <t>Rolling</t>
        </is>
      </c>
      <c r="DK2" s="8" t="inlineStr">
        <is>
          <t>Approved</t>
        </is>
      </c>
      <c r="DL2" s="9" t="inlineStr">
        <is>
          <t>Actual</t>
        </is>
      </c>
      <c r="DM2" s="9" t="inlineStr">
        <is>
          <t>Rolling</t>
        </is>
      </c>
      <c r="DN2" s="9" t="inlineStr">
        <is>
          <t>Approved</t>
        </is>
      </c>
    </row>
    <row r="3">
      <c r="A3" s="2" t="inlineStr">
        <is>
          <t>Development Capacity</t>
        </is>
      </c>
      <c r="B3" s="56">
        <f>IF(COUNT(AR3,AO3,AL3,AI3,AF3,AC3,Z3,W3,T3,Q3,N3,K3)=0,"",SUM(AR3,AO3,AL3,AI3,AF3,AC3,Z3,W3,T3,Q3,N3,K3))</f>
        <v/>
      </c>
      <c r="C3" s="56">
        <f>IF(COUNT(AS3,AP3,AM3,AJ3,AG3,AD3,AA3,X3,U3,R3,O3,L3)=0,"",SUM(AS3,AP3,AM3,AJ3,AG3,AD3,AA3,X3,U3,R3,O3,L3))</f>
        <v/>
      </c>
      <c r="D3" s="56">
        <f>IF(COUNT(AT3,AQ3,AN3,AK3,AH3,AE3,AB3,Y3,V3,S3,P3,M3)=0,"",SUM(AT3,AQ3,AN3,AK3,AH3,AE3,AB3,Y3,V3,S3,P3,M3))</f>
        <v/>
      </c>
      <c r="E3" s="27">
        <f>IF(COUNT(CB3,BY3,BV3,BS3,BP3,BM3,BJ3,BG3,BD3,BA3,AX3,AU3)=0,"",SUM(CB3,BY3,BV3,BS3,BP3,BM3,BJ3,BG3,BD3,BA3,AX3,AU3))</f>
        <v/>
      </c>
      <c r="F3" s="27">
        <f>IF(COUNT(CC3,BZ3,BW3,BT3,BQ3,BN3,BK3,BH3,BE3,BB3,AY3,AV3)=0,"",SUM(CC3,BZ3,BW3,BT3,BQ3,BN3,BK3,BH3,BE3,BB3,AY3,AV3))</f>
        <v/>
      </c>
      <c r="G3" s="27">
        <f>IF(COUNT(CD3,CA3,BX3,BU3,BR3,BO3,BL3,BI3,BF3,BC3,AZ3,AW3)=0,"",SUM(CD3,CA3,BX3,BU3,BR3,BO3,BL3,BI3,BF3,BC3,AZ3,AW3))</f>
        <v/>
      </c>
      <c r="H3" s="56">
        <f>IF(COUNT(DL3,DI3,DF3,DC3,CZ3,CW3,CT3,CQ3,CN3,CK3,CH3,CE3)=0,"",SUM(DL3,DI3,DF3,DC3,CZ3,CW3,CT3,CQ3,CN3,CK3,CH3,CE3))</f>
        <v/>
      </c>
      <c r="I3" s="56">
        <f>IF(COUNT(DM3,DJ3,DG3,DD3,DA3,CX3,CU3,CR3,CO3,CL3,CI3,CF3)=0,"",SUM(DM3,DJ3,DG3,DD3,DA3,CX3,CU3,CR3,CO3,CL3,CI3,CF3))</f>
        <v/>
      </c>
      <c r="J3" s="56">
        <f>IF(COUNT(DN3,DK3,DH3,DE3,DB3,CY3,CV3,CS3,CP3,CM3,CJ3,CG3)=0,"",SUM(DN3,DK3,DH3,DE3,DB3,CY3,CV3,CS3,CP3,CM3,CJ3,CG3))</f>
        <v/>
      </c>
      <c r="K3" s="27">
        <f>IF(COUNT(K32,K33,K34,K35,K36,K37,K40,K41,K42,K43,K44,K45)=12,ROUND(COUNT(K32,K33,K34,K35,K36,K37,K40,K41,K42,K43,K44,K45)*4.33,1),"")</f>
        <v/>
      </c>
      <c r="L3" s="27">
        <f>ROUND(COUNT(L32,L33,L34,L35,L36,L37,L40,L41,L42,L43,L44,L45)*4.33,1)</f>
        <v/>
      </c>
      <c r="M3" s="27">
        <f>ROUND(COUNT(M32,M33,M34,M35,M36,M37,M40,M41,M42,M43,M44,M45)*4.33,1)</f>
        <v/>
      </c>
      <c r="N3" s="56">
        <f>IF(COUNT(N32,N33,N34,N35,N36,N37,N40,N41,N42,N43,N44,N45)=12,ROUND(COUNT(N32,N33,N34,N35,N36,N37,N40,N41,N42,N43,N44,N45)*4.33,1),"")</f>
        <v/>
      </c>
      <c r="O3" s="56">
        <f>ROUND(COUNT(O32,O33,O34,O35,O36,O37,O40,O41,O42,O43,O44,O45)*4.33,1)</f>
        <v/>
      </c>
      <c r="P3" s="56">
        <f>ROUND(COUNT(P32,P33,P34,P35,P36,P37,P40,P41,P42,P43,P44,P45)*4.33,1)</f>
        <v/>
      </c>
      <c r="Q3" s="27">
        <f>IF(COUNT(Q32,Q33,Q34,Q35,Q36,Q37,Q40,Q41,Q42,Q43,Q44,Q45)=12,ROUND(COUNT(Q32,Q33,Q34,Q35,Q36,Q37,Q40,Q41,Q42,Q43,Q44,Q45)*4.33,1),"")</f>
        <v/>
      </c>
      <c r="R3" s="27">
        <f>ROUND(COUNT(R32,R33,R34,R35,R36,R37,R40,R41,R42,R43,R44,R45)*4.33,1)</f>
        <v/>
      </c>
      <c r="S3" s="27">
        <f>ROUND(COUNT(S32,S33,S34,S35,S36,S37,S40,S41,S42,S43,S44,S45)*4.33,1)</f>
        <v/>
      </c>
      <c r="T3" s="56">
        <f>IF(COUNT(T32,T33,T34,T35,T36,T37,T40,T41,T42,T43,T44,T45)=12,ROUND(COUNT(T32,T33,T34,T35,T36,T37,T40,T41,T42,T43,T44,T45)*4.33,1),"")</f>
        <v/>
      </c>
      <c r="U3" s="56">
        <f>ROUND(COUNT(U32,U33,U34,U35,U36,U37,U40,U41,U42,U43,U44,U45)*4.33,1)</f>
        <v/>
      </c>
      <c r="V3" s="56">
        <f>ROUND(COUNT(V32,V33,V34,V35,V36,V37,V40,V41,V42,V43,V44,V45)*4.33,1)</f>
        <v/>
      </c>
      <c r="W3" s="27">
        <f>IF(COUNT(W32,W33,W34,W35,W36,W37,W40,W41,W42,W43,W44,W45)=12,ROUND(COUNT(W32,W33,W34,W35,W36,W37,W40,W41,W42,W43,W44,W45)*4.33,1),"")</f>
        <v/>
      </c>
      <c r="X3" s="27">
        <f>ROUND(COUNT(X32,X33,X34,X35,X36,X37,X40,X41,X42,X43,X44,X45)*4.33,1)</f>
        <v/>
      </c>
      <c r="Y3" s="27">
        <f>ROUND(COUNT(Y32,Y33,Y34,Y35,Y36,Y37,Y40,Y41,Y42,Y43,Y44,Y45)*4.33,1)</f>
        <v/>
      </c>
      <c r="Z3" s="56">
        <f>IF(COUNT(Z32,Z33,Z34,Z35,Z36,Z37,Z40,Z41,Z42,Z43,Z44,Z45)=12,ROUND(COUNT(Z32,Z33,Z34,Z35,Z36,Z37,Z40,Z41,Z42,Z43,Z44,Z45)*4.33,1),"")</f>
        <v/>
      </c>
      <c r="AA3" s="56">
        <f>ROUND(COUNT(AA32,AA33,AA34,AA35,AA36,AA37,AA40,AA41,AA42,AA43,AA44,AA45)*4.33,1)</f>
        <v/>
      </c>
      <c r="AB3" s="56">
        <f>ROUND(COUNT(AB32,AB33,AB34,AB35,AB36,AB37,AB40,AB41,AB42,AB43,AB44,AB45)*4.33,1)</f>
        <v/>
      </c>
      <c r="AC3" s="27">
        <f>IF(COUNT(AC32,AC33,AC34,AC35,AC36,AC37,AC40,AC41,AC42,AC43,AC44,AC45)=12,ROUND(COUNT(AC32,AC33,AC34,AC35,AC36,AC37,AC40,AC41,AC42,AC43,AC44,AC45)*4.33,1),"")</f>
        <v/>
      </c>
      <c r="AD3" s="27">
        <f>ROUND(COUNT(AD32,AD33,AD34,AD35,AD36,AD37,AD40,AD41,AD42,AD43,AD44,AD45)*4.33,1)</f>
        <v/>
      </c>
      <c r="AE3" s="27">
        <f>ROUND(COUNT(AE32,AE33,AE34,AE35,AE36,AE37,AE40,AE41,AE42,AE43,AE44,AE45)*4.33,1)</f>
        <v/>
      </c>
      <c r="AF3" s="56">
        <f>IF(COUNT(AF32,AF33,AF34,AF35,AF36,AF37,AF40,AF41,AF42,AF43,AF44,AF45)=12,ROUND(COUNT(AF32,AF33,AF34,AF35,AF36,AF37,AF40,AF41,AF42,AF43,AF44,AF45)*4.33,1),"")</f>
        <v/>
      </c>
      <c r="AG3" s="56">
        <f>ROUND(COUNT(AG32,AG33,AG34,AG35,AG36,AG37,AG40,AG41,AG42,AG43,AG44,AG45)*4.33,1)</f>
        <v/>
      </c>
      <c r="AH3" s="56">
        <f>ROUND(COUNT(AH32,AH33,AH34,AH35,AH36,AH37,AH40,AH41,AH42,AH43,AH44,AH45)*4.33,1)</f>
        <v/>
      </c>
      <c r="AI3" s="27">
        <f>IF(COUNT(AI32,AI33,AI34,AI35,AI36,AI37,AI40,AI41,AI42,AI43,AI44,AI45)=12,ROUND(COUNT(AI32,AI33,AI34,AI35,AI36,AI37,AI40,AI41,AI42,AI43,AI44,AI45)*4.33,1),"")</f>
        <v/>
      </c>
      <c r="AJ3" s="27">
        <f>ROUND(COUNT(AJ32,AJ33,AJ34,AJ35,AJ36,AJ37,AJ40,AJ41,AJ42,AJ43,AJ44,AJ45)*4.33,1)</f>
        <v/>
      </c>
      <c r="AK3" s="27">
        <f>ROUND(COUNT(AK32,AK33,AK34,AK35,AK36,AK37,AK40,AK41,AK42,AK43,AK44,AK45)*4.33,1)</f>
        <v/>
      </c>
      <c r="AL3" s="56">
        <f>IF(COUNT(AL32,AL33,AL34,AL35,AL36,AL37,AL40,AL41,AL42,AL43,AL44,AL45)=12,ROUND(COUNT(AL32,AL33,AL34,AL35,AL36,AL37,AL40,AL41,AL42,AL43,AL44,AL45)*4.33,1),"")</f>
        <v/>
      </c>
      <c r="AM3" s="56">
        <f>ROUND(COUNT(AM32,AM33,AM34,AM35,AM36,AM37,AM40,AM41,AM42,AM43,AM44,AM45)*4.33,1)</f>
        <v/>
      </c>
      <c r="AN3" s="56">
        <f>ROUND(COUNT(AN32,AN33,AN34,AN35,AN36,AN37,AN40,AN41,AN42,AN43,AN44,AN45)*4.33,1)</f>
        <v/>
      </c>
      <c r="AO3" s="27">
        <f>IF(COUNT(AO32,AO33,AO34,AO35,AO36,AO37,AO40,AO41,AO42,AO43,AO44,AO45)=12,ROUND(COUNT(AO32,AO33,AO34,AO35,AO36,AO37,AO40,AO41,AO42,AO43,AO44,AO45)*4.33,1),"")</f>
        <v/>
      </c>
      <c r="AP3" s="27">
        <f>ROUND(COUNT(AP32,AP33,AP34,AP35,AP36,AP37,AP40,AP41,AP42,AP43,AP44,AP45)*4.33,1)</f>
        <v/>
      </c>
      <c r="AQ3" s="27">
        <f>ROUND(COUNT(AQ32,AQ33,AQ34,AQ35,AQ36,AQ37,AQ40,AQ41,AQ42,AQ43,AQ44,AQ45)*4.33,1)</f>
        <v/>
      </c>
      <c r="AR3" s="56">
        <f>IF(COUNT(AR32,AR33,AR34,AR35,AR36,AR37,AR40,AR41,AR43,AR44,AR45)=11,ROUND(COUNT(AR32,AR33,AR34,AR35,AR36,AR37,AR40,AR41,AR43,AR44,AR45)*4.33,1),"")</f>
        <v/>
      </c>
      <c r="AS3" s="56">
        <f>ROUND(COUNT(AS32,AS33,AS34,AS35,AS36,AS37,AS40,AS41,AS43,AS44,AS45)*4.33,1)</f>
        <v/>
      </c>
      <c r="AT3" s="56">
        <f>ROUND(COUNT(AT32,AT33,AT34,AT35,AT36,AT37,AT40,AT41,AT43,AT44,AT45)*4.33,1)</f>
        <v/>
      </c>
      <c r="AU3" s="27">
        <f>IF(COUNT(AU32,AU33,AU34,AU35,AU36,AU37,AU40,AU41,AU43,AU44)=10,ROUND(COUNT(AU32,AU33,AU34,AU35,AU36,AU37,AU40,AU41,AU43,AU44)*4.33,1),"")</f>
        <v/>
      </c>
      <c r="AV3" s="27">
        <f>ROUND(COUNT(AV32,AV33,AV34,AV35,AV36,AV37,AV40,AV41,AV43,AV44)*4.33,1)</f>
        <v/>
      </c>
      <c r="AW3" s="27">
        <f>ROUND(COUNT(AW32,AW33,AW34,AW35,AW36,AW37,AW40,AW41,AW43,AW44)*4.33,1)</f>
        <v/>
      </c>
      <c r="AX3" s="56">
        <f>IF(COUNT(AX32,AX33,AX34,AX35,AX36,AX37,AX40,AX41,AX43,AX44)=10,ROUND(COUNT(AX32,AX33,AX34,AX35,AX36,AX37,AX40,AX41,AX43,AX44)*4.33,1),"")</f>
        <v/>
      </c>
      <c r="AY3" s="56">
        <f>ROUND(COUNT(AY32,AY33,AY34,AY35,AY36,AY37,AY40,AY41,AY43,AY44)*4.33,1)</f>
        <v/>
      </c>
      <c r="AZ3" s="56">
        <f>ROUND(COUNT(AZ32,AZ33,AZ34,AZ35,AZ36,AZ37,AZ40,AZ41,AZ43,AZ44)*4.33,1)</f>
        <v/>
      </c>
      <c r="BA3" s="27">
        <f>IF(COUNT(BA32,BA33,BA34,BA35,BA36,BA37,BA40,BA41,BA43)=9,ROUND(COUNT(BA32,BA33,BA34,BA35,BA36,BA37,BA40,BA41,BA43)*4.33,1),"")</f>
        <v/>
      </c>
      <c r="BB3" s="27">
        <f>ROUND(COUNT(BB32,BB33,BB34,BB35,BB36,BB37,BB40,BB41,BB43)*4.33,1)</f>
        <v/>
      </c>
      <c r="BC3" s="27">
        <f>ROUND(COUNT(BC32,BC33,BC34,BC35,BC36,BC37,BC40,BC41,BC43)*4.33,1)</f>
        <v/>
      </c>
      <c r="BD3" s="56">
        <f>IF(COUNT(BD32,BD33,BD34,BD35,BD36,BD37,BD40,BD41,BD43)=9,ROUND(COUNT(BD32,BD33,BD34,BD35,BD36,BD37,BD40,BD41,BD43)*4.33,1),"")</f>
        <v/>
      </c>
      <c r="BE3" s="56">
        <f>ROUND(COUNT(BE32,BE33,BE34,BE35,BE36,BE37,BE40,BE41,BE43)*4.33,1)</f>
        <v/>
      </c>
      <c r="BF3" s="56">
        <f>ROUND(COUNT(BF32,BF33,BF34,BF35,BF36,BF37,BF40,BF41,BF43)*4.33,1)</f>
        <v/>
      </c>
      <c r="BG3" s="27">
        <f>IF(COUNT(BG32,BG33,BG34,BG35,BG36,BG37,BG40,BG41,BG43)=9,ROUND(COUNT(BG32,BG33,BG34,BG35,BG36,BG37,BG40,BG41,BG43)*4.33,1),"")</f>
        <v/>
      </c>
      <c r="BH3" s="27">
        <f>ROUND(COUNT(BH32,BH33,BH34,BH35,BH36,BH37,BH40,BH41,BH43)*4.33,1)</f>
        <v/>
      </c>
      <c r="BI3" s="27">
        <f>ROUND(COUNT(BI32,BI33,BI34,BI35,BI36,BI37,BI40,BI41,BI43)*4.33,1)</f>
        <v/>
      </c>
      <c r="BJ3" s="56">
        <f>IF(COUNT(BJ32,BJ33,BJ34,BJ35,BJ36,BJ37,BJ40,BJ43)=8,ROUND(COUNT(BJ32,BJ33,BJ34,BJ35,BJ36,BJ37,BJ40,BJ43)*4.33,1),"")</f>
        <v/>
      </c>
      <c r="BK3" s="56">
        <f>ROUND(COUNT(BK32,BK33,BK34,BK35,BK36,BK37,BK40,BK43)*4.33,1)</f>
        <v/>
      </c>
      <c r="BL3" s="56">
        <f>ROUND(COUNT(BL32,BL33,BL34,BL35,BL36,BL37,BL40,BL43)*4.33,1)</f>
        <v/>
      </c>
      <c r="BM3" s="27">
        <f>IF(COUNT(BM32,BM33,BM34,BM35,BM36,BM37,BM40,BM43)=8,ROUND(COUNT(BM32,BM33,BM34,BM35,BM36,BM37,BM40,BM43)*4.33,1),"")</f>
        <v/>
      </c>
      <c r="BN3" s="27">
        <f>ROUND(COUNT(BN32,BN33,BN34,BN35,BN36,BN37,BN40,BN43)*4.33,1)</f>
        <v/>
      </c>
      <c r="BO3" s="27">
        <f>ROUND(COUNT(BO32,BO33,BO34,BO35,BO36,BO37,BO40,BO43)*4.33,1)</f>
        <v/>
      </c>
      <c r="BP3" s="56">
        <f>IF(COUNT(BP32,BP33,BP34,BP35,BP36,BP37,BP40)=7,ROUND(COUNT(BP32,BP33,BP34,BP35,BP36,BP37,BP40)*4.33,1),"")</f>
        <v/>
      </c>
      <c r="BQ3" s="56">
        <f>ROUND(COUNT(BQ32,BQ33,BQ34,BQ35,BQ36,BQ37,BQ40)*4.33,1)</f>
        <v/>
      </c>
      <c r="BR3" s="56">
        <f>ROUND(COUNT(BR32,BR33,BR34,BR35,BR36,BR37,BR40)*4.33,1)</f>
        <v/>
      </c>
      <c r="BS3" s="27">
        <f>IF(COUNT(BS32,BS33,BS34,BS35,BS36,BS37,BS40)=7,ROUND(COUNT(BS32,BS33,BS34,BS35,BS36,BS37,BS40)*4.33,1),"")</f>
        <v/>
      </c>
      <c r="BT3" s="27">
        <f>ROUND(COUNT(BT32,BT33,BT34,BT35,BT36,BT37,BT40)*4.33,1)</f>
        <v/>
      </c>
      <c r="BU3" s="27">
        <f>ROUND(COUNT(BU32,BU33,BU34,BU35,BU36,BU37,BU40)*4.33,1)</f>
        <v/>
      </c>
      <c r="BV3" s="56">
        <f>IF(COUNT(BV32,BV33,BV34,BV35,BV36,BV37,BV40)=7,ROUND(COUNT(BV32,BV33,BV34,BV35,BV36,BV37,BV40)*4.33,1),"")</f>
        <v/>
      </c>
      <c r="BW3" s="56">
        <f>ROUND(COUNT(BW32,BW33,BW34,BW35,BW36,BW37,BW40)*4.33,1)</f>
        <v/>
      </c>
      <c r="BX3" s="56">
        <f>ROUND(COUNT(BX32,BX33,BX34,BX35,BX36,BX37,BX40)*4.33,1)</f>
        <v/>
      </c>
      <c r="BY3" s="27">
        <f>IF(COUNT(BY32,BY33,BY34,BY35,BY36,BY37,BY40)=7,ROUND(COUNT(BY32,BY33,BY34,BY35,BY36,BY37,BY40)*4.33,1),"")</f>
        <v/>
      </c>
      <c r="BZ3" s="27">
        <f>ROUND(COUNT(BZ32,BZ33,BZ34,BZ35,BZ36,BZ37,BZ40)*4.33,1)</f>
        <v/>
      </c>
      <c r="CA3" s="27">
        <f>ROUND(COUNT(CA32,CA33,CA34,CA35,CA36,CA37,CA40)*4.33,1)</f>
        <v/>
      </c>
      <c r="CB3" s="56">
        <f>IF(COUNT(CB32,CB33,CB34,CB35,CB36,CB37)=6,ROUND(COUNT(CB32,CB33,CB34,CB35,CB36,CB37)*4.33,1),"")</f>
        <v/>
      </c>
      <c r="CC3" s="56">
        <f>ROUND(COUNT(CC32,CC33,CC34,CC35,CC36,CC37)*4.33,1)</f>
        <v/>
      </c>
      <c r="CD3" s="56">
        <f>ROUND(COUNT(CD32,CD33,CD34,CD35,CD36,CD37)*4.33,1)</f>
        <v/>
      </c>
      <c r="CE3" s="27">
        <f>IF(COUNT(CE32,CE33,CE34,CE35,CE36,CE37)=6,ROUND(COUNT(CE32,CE33,CE34,CE35,CE36,CE37)*4.33,1),"")</f>
        <v/>
      </c>
      <c r="CF3" s="27">
        <f>ROUND(COUNT(CF32,CF33,CF34,CF35,CF36,CF37)*4.33,1)</f>
        <v/>
      </c>
      <c r="CG3" s="27">
        <f>ROUND(COUNT(CG32,CG33,CG34,CG35,CG36,CG37)*4.33,1)</f>
        <v/>
      </c>
      <c r="CH3" s="56">
        <f>IF(COUNT(CH32,CH33,CH34,CH35,CH36,CH37)=6,ROUND(COUNT(CH32,CH33,CH34,CH35,CH36,CH37)*4.33,1),"")</f>
        <v/>
      </c>
      <c r="CI3" s="56">
        <f>ROUND(COUNT(CI32,CI33,CI34,CI35,CI36,CI37)*4.33,1)</f>
        <v/>
      </c>
      <c r="CJ3" s="56">
        <f>ROUND(COUNT(CJ32,CJ33,CJ34,CJ35,CJ36,CJ37)*4.33,1)</f>
        <v/>
      </c>
      <c r="CK3" s="27">
        <f>IF(COUNT(CK32,CK33,CK34,CK35,CK36,CK37)=6,ROUND(COUNT(CK32,CK33,CK34,CK35,CK36,CK37)*4.33,1),"")</f>
        <v/>
      </c>
      <c r="CL3" s="27">
        <f>ROUND(COUNT(CL32,CL33,CL34,CL35,CL36,CL37)*4.33,1)</f>
        <v/>
      </c>
      <c r="CM3" s="27">
        <f>ROUND(COUNT(CM32,CM33,CM34,CM35,CM36,CM37)*4.33,1)</f>
        <v/>
      </c>
      <c r="CN3" s="56">
        <f>IF(COUNT(CN32,CN33,CN34,CN35,CN36,CN37)=6,ROUND(COUNT(CN32,CN33,CN34,CN35,CN36,CN37)*4.33,1),"")</f>
        <v/>
      </c>
      <c r="CO3" s="56">
        <f>ROUND(COUNT(CO32,CO33,CO34,CO35,CO36,CO37)*4.33,1)</f>
        <v/>
      </c>
      <c r="CP3" s="56">
        <f>ROUND(COUNT(CP32,CP33,CP34,CP35,CP36,CP37)*4.33,1)</f>
        <v/>
      </c>
      <c r="CQ3" s="27">
        <f>IF(COUNT(CQ32,CQ33,CQ34,CQ35,CQ36,CQ37)=6,ROUND(COUNT(CQ32,CQ33,CQ34,CQ35,CQ36,CQ37)*4.33,1),"")</f>
        <v/>
      </c>
      <c r="CR3" s="27">
        <f>ROUND(COUNT(CR32,CR33,CR34,CR35,CR36,CR37)*4.33,1)</f>
        <v/>
      </c>
      <c r="CS3" s="27">
        <f>ROUND(COUNT(CS32,CS33,CS34,CS35,CS36,CS37)*4.33,1)</f>
        <v/>
      </c>
      <c r="CT3" s="56">
        <f>IF(COUNT(CT32,CT33,CT34,CT35,CT36,CT37)=6,ROUND(COUNT(CT32,CT33,CT34,CT35,CT36,CT37)*4.33,1),"")</f>
        <v/>
      </c>
      <c r="CU3" s="56">
        <f>ROUND(COUNT(CU32,CU33,CU34,CU35,CU36,CU37)*4.33,1)</f>
        <v/>
      </c>
      <c r="CV3" s="56">
        <f>ROUND(COUNT(CV32,CV33,CV34,CV35,CV36,CV37)*4.33,1)</f>
        <v/>
      </c>
      <c r="CW3" s="27">
        <f>IF(COUNT(CW32,CW33,CW34,CW35,CW36,CW37)=6,ROUND(COUNT(CW32,CW33,CW34,CW35,CW36,CW37)*4.33,1),"")</f>
        <v/>
      </c>
      <c r="CX3" s="27">
        <f>ROUND(COUNT(CX32,CX33,CX34,CX35,CX36,CX37)*4.33,1)</f>
        <v/>
      </c>
      <c r="CY3" s="27">
        <f>ROUND(COUNT(CY32,CY33,CY34,CY35,CY36,CY37)*4.33,1)</f>
        <v/>
      </c>
      <c r="CZ3" s="56">
        <f>IF(COUNT(CZ32,CZ33,CZ34,CZ35,CZ36,CZ37)=6,ROUND(COUNT(CZ32,CZ33,CZ34,CZ35,CZ36,CZ37)*4.33,1),"")</f>
        <v/>
      </c>
      <c r="DA3" s="56">
        <f>ROUND(COUNT(DA32,DA33,DA34,DA35,DA36,DA37)*4.33,1)</f>
        <v/>
      </c>
      <c r="DB3" s="56">
        <f>ROUND(COUNT(DB32,DB33,DB34,DB35,DB36,DB37)*4.33,1)</f>
        <v/>
      </c>
      <c r="DC3" s="27">
        <f>IF(COUNT(DC32,DC33,DC34,DC35,DC36,DC37)=6,ROUND(COUNT(DC32,DC33,DC34,DC35,DC36,DC37)*4.33,1),"")</f>
        <v/>
      </c>
      <c r="DD3" s="27">
        <f>ROUND(COUNT(DD32,DD33,DD34,DD35,DD36,DD37)*4.33,1)</f>
        <v/>
      </c>
      <c r="DE3" s="27">
        <f>ROUND(COUNT(DE32,DE33,DE34,DE35,DE36,DE37)*4.33,1)</f>
        <v/>
      </c>
      <c r="DF3" s="56">
        <f>IF(COUNT(DF32,DF33,DF34,DF35,DF36,DF37)=6,ROUND(COUNT(DF32,DF33,DF34,DF35,DF36,DF37)*4.33,1),"")</f>
        <v/>
      </c>
      <c r="DG3" s="56">
        <f>ROUND(COUNT(DG32,DG33,DG34,DG35,DG36,DG37)*4.33,1)</f>
        <v/>
      </c>
      <c r="DH3" s="56">
        <f>ROUND(COUNT(DH32,DH33,DH34,DH35,DH36,DH37)*4.33,1)</f>
        <v/>
      </c>
      <c r="DI3" s="27">
        <f>IF(COUNT(DI32,DI33,DI34,DI35,DI36,DI37)=6,ROUND(COUNT(DI32,DI33,DI34,DI35,DI36,DI37)*4.33,1),"")</f>
        <v/>
      </c>
      <c r="DJ3" s="27">
        <f>ROUND(COUNT(DJ32,DJ33,DJ34,DJ35,DJ36,DJ37)*4.33,1)</f>
        <v/>
      </c>
      <c r="DK3" s="27">
        <f>ROUND(COUNT(DK32,DK33,DK34,DK35,DK36,DK37)*4.33,1)</f>
        <v/>
      </c>
      <c r="DL3" s="56">
        <f>IF(COUNT(DL32,DL33,DL34,DL35,DL36,DL37)=6,ROUND(COUNT(DL32,DL33,DL34,DL35,DL36,DL37)*4.33,1),"")</f>
        <v/>
      </c>
      <c r="DM3" s="56">
        <f>ROUND(COUNT(DM32,DM33,DM34,DM35,DM36,DM37)*4.33,1)</f>
        <v/>
      </c>
      <c r="DN3" s="56">
        <f>ROUND(COUNT(DN32,DN33,DN34,DN35,DN36,DN37)*4.33,1)</f>
        <v/>
      </c>
    </row>
    <row r="4">
      <c r="A4" s="15" t="inlineStr">
        <is>
          <t>Engineer-weeks per Release</t>
        </is>
      </c>
      <c r="B4" s="54">
        <f>IF(SUM(AR5,AO5,AL5,AI5,AF5,AC5,Z5,W5,T5,Q5,N5,K5)=0,"",SUM(AR3,AO3,AL3,AI3,AF3,AC3,Z3,W3,T3,Q3,N3,K3)/SUM(AR5,AO5,AL5,AI5,AF5,AC5,Z5,W5,T5,Q5,N5,K5))</f>
        <v/>
      </c>
      <c r="C4" s="54">
        <f>IF(SUM(AS5,AP5,AM5,AJ5,AG5,AD5,AA5,X5,U5,R5,O5,L5)=0,"",SUM(AS3,AP3,AM3,AJ3,AG3,AD3,AA3,X3,U3,R3,O3,L3)/SUM(AS5,AP5,AM5,AJ5,AG5,AD5,AA5,X5,U5,R5,O5,L5))</f>
        <v/>
      </c>
      <c r="D4" s="54">
        <f>IF(SUM(AT5,AQ5,AN5,AK5,AH5,AE5,AB5,Y5,V5,S5,P5,M5)=0,"",SUM(AT3,AQ3,AN3,AK3,AH3,AE3,AB3,Y3,V3,S3,P3,M3)/SUM(AT5,AQ5,AN5,AK5,AH5,AE5,AB5,Y5,V5,S5,P5,M5))</f>
        <v/>
      </c>
      <c r="E4" s="55">
        <f>IF(SUM(CB5,BY5,BV5,BS5,BP5,BM5,BJ5,BG5,BD5,BA5,AX5,AU5)=0,"",SUM(CB3,BY3,BV3,BS3,BP3,BM3,BJ3,BG3,BD3,BA3,AX3,AU3)/SUM(CB5,BY5,BV5,BS5,BP5,BM5,BJ5,BG5,BD5,BA5,AX5,AU5))</f>
        <v/>
      </c>
      <c r="F4" s="55">
        <f>IF(SUM(CC5,BZ5,BW5,BT5,BQ5,BN5,BK5,BH5,BE5,BB5,AY5,AV5)=0,"",SUM(CC3,BZ3,BW3,BT3,BQ3,BN3,BK3,BH3,BE3,BB3,AY3,AV3)/SUM(CC5,BZ5,BW5,BT5,BQ5,BN5,BK5,BH5,BE5,BB5,AY5,AV5))</f>
        <v/>
      </c>
      <c r="G4" s="55">
        <f>IF(SUM(CD5,CA5,BX5,BU5,BR5,BO5,BL5,BI5,BF5,BC5,AZ5,AW5)=0,"",SUM(CD3,CA3,BX3,BU3,BR3,BO3,BL3,BI3,BF3,BC3,AZ3,AW3)/SUM(CD5,CA5,BX5,BU5,BR5,BO5,BL5,BI5,BF5,BC5,AZ5,AW5))</f>
        <v/>
      </c>
      <c r="H4" s="54">
        <f>IF(SUM(DL5,DI5,DF5,DC5,CZ5,CW5,CT5,CQ5,CN5,CK5,CH5,CE5)=0,"",SUM(DL3,DI3,DF3,DC3,CZ3,CW3,CT3,CQ3,CN3,CK3,CH3,CE3)/SUM(DL5,DI5,DF5,DC5,CZ5,CW5,CT5,CQ5,CN5,CK5,CH5,CE5))</f>
        <v/>
      </c>
      <c r="I4" s="54">
        <f>IF(SUM(DM5,DJ5,DG5,DD5,DA5,CX5,CU5,CR5,CO5,CL5,CI5,CF5)=0,"",SUM(DM3,DJ3,DG3,DD3,DA3,CX3,CU3,CR3,CO3,CL3,CI3,CF3)/SUM(DM5,DJ5,DG5,DD5,DA5,CX5,CU5,CR5,CO5,CL5,CI5,CF5))</f>
        <v/>
      </c>
      <c r="J4" s="54">
        <f>IF(SUM(DN5,DK5,DH5,DE5,DB5,CY5,CV5,CS5,CP5,CM5,CJ5,CG5)=0,"",SUM(DN3,DK3,DH3,DE3,DB3,CY3,CV3,CS3,CP3,CM3,CJ3,CG3)/SUM(DN5,DK5,DH5,DE5,DB5,CY5,CV5,CS5,CP5,CM5,CJ5,CG5))</f>
        <v/>
      </c>
      <c r="K4" s="27" t="n"/>
      <c r="L4" s="55" t="n">
        <v>6</v>
      </c>
      <c r="M4" s="55" t="n">
        <v>6</v>
      </c>
      <c r="N4" s="56" t="n"/>
      <c r="O4" s="54" t="n">
        <v>6</v>
      </c>
      <c r="P4" s="54" t="n">
        <v>6</v>
      </c>
      <c r="Q4" s="27" t="n"/>
      <c r="R4" s="55" t="n">
        <v>6</v>
      </c>
      <c r="S4" s="55" t="n">
        <v>6</v>
      </c>
      <c r="T4" s="56" t="n"/>
      <c r="U4" s="54" t="n">
        <v>6</v>
      </c>
      <c r="V4" s="54" t="n">
        <v>6</v>
      </c>
      <c r="W4" s="27" t="n"/>
      <c r="X4" s="55" t="n">
        <v>6</v>
      </c>
      <c r="Y4" s="55" t="n">
        <v>6</v>
      </c>
      <c r="Z4" s="56" t="n"/>
      <c r="AA4" s="54" t="n">
        <v>6</v>
      </c>
      <c r="AB4" s="54" t="n">
        <v>6</v>
      </c>
      <c r="AC4" s="27" t="n"/>
      <c r="AD4" s="55" t="n">
        <v>6</v>
      </c>
      <c r="AE4" s="55" t="n">
        <v>6</v>
      </c>
      <c r="AF4" s="56" t="n"/>
      <c r="AG4" s="54" t="n">
        <v>6</v>
      </c>
      <c r="AH4" s="54" t="n">
        <v>6</v>
      </c>
      <c r="AI4" s="27" t="n"/>
      <c r="AJ4" s="55" t="n">
        <v>6</v>
      </c>
      <c r="AK4" s="55" t="n">
        <v>6</v>
      </c>
      <c r="AL4" s="56" t="n"/>
      <c r="AM4" s="54" t="n">
        <v>6</v>
      </c>
      <c r="AN4" s="54" t="n">
        <v>6</v>
      </c>
      <c r="AO4" s="27" t="n"/>
      <c r="AP4" s="55" t="n">
        <v>6</v>
      </c>
      <c r="AQ4" s="55" t="n">
        <v>6</v>
      </c>
      <c r="AR4" s="56" t="n"/>
      <c r="AS4" s="54" t="n">
        <v>6</v>
      </c>
      <c r="AT4" s="54" t="n">
        <v>6</v>
      </c>
      <c r="AU4" s="27" t="n"/>
      <c r="AV4" s="55" t="n">
        <v>6</v>
      </c>
      <c r="AW4" s="55" t="n">
        <v>6</v>
      </c>
      <c r="AX4" s="56" t="n"/>
      <c r="AY4" s="54" t="n">
        <v>6</v>
      </c>
      <c r="AZ4" s="54" t="n">
        <v>6</v>
      </c>
      <c r="BA4" s="27" t="n"/>
      <c r="BB4" s="55" t="n">
        <v>6</v>
      </c>
      <c r="BC4" s="55" t="n">
        <v>6</v>
      </c>
      <c r="BD4" s="56" t="n"/>
      <c r="BE4" s="54" t="n">
        <v>6</v>
      </c>
      <c r="BF4" s="54" t="n">
        <v>6</v>
      </c>
      <c r="BG4" s="27" t="n"/>
      <c r="BH4" s="55" t="n">
        <v>6</v>
      </c>
      <c r="BI4" s="55" t="n">
        <v>6</v>
      </c>
      <c r="BJ4" s="56" t="n"/>
      <c r="BK4" s="54" t="n">
        <v>6</v>
      </c>
      <c r="BL4" s="54" t="n">
        <v>6</v>
      </c>
      <c r="BM4" s="27" t="n"/>
      <c r="BN4" s="55" t="n">
        <v>6</v>
      </c>
      <c r="BO4" s="55" t="n">
        <v>6</v>
      </c>
      <c r="BP4" s="56" t="n"/>
      <c r="BQ4" s="54" t="n">
        <v>6</v>
      </c>
      <c r="BR4" s="54" t="n">
        <v>6</v>
      </c>
      <c r="BS4" s="27" t="n"/>
      <c r="BT4" s="55" t="n">
        <v>6</v>
      </c>
      <c r="BU4" s="55" t="n">
        <v>6</v>
      </c>
      <c r="BV4" s="56" t="n"/>
      <c r="BW4" s="54" t="n">
        <v>6</v>
      </c>
      <c r="BX4" s="54" t="n">
        <v>6</v>
      </c>
      <c r="BY4" s="27" t="n"/>
      <c r="BZ4" s="55" t="n">
        <v>6</v>
      </c>
      <c r="CA4" s="55" t="n">
        <v>6</v>
      </c>
      <c r="CB4" s="56" t="n"/>
      <c r="CC4" s="54" t="n">
        <v>6</v>
      </c>
      <c r="CD4" s="54" t="n">
        <v>6</v>
      </c>
      <c r="CE4" s="27" t="n"/>
      <c r="CF4" s="55" t="n">
        <v>6</v>
      </c>
      <c r="CG4" s="55" t="n">
        <v>6</v>
      </c>
      <c r="CH4" s="56" t="n"/>
      <c r="CI4" s="54" t="n">
        <v>6</v>
      </c>
      <c r="CJ4" s="54" t="n">
        <v>6</v>
      </c>
      <c r="CK4" s="27" t="n"/>
      <c r="CL4" s="55" t="n">
        <v>6</v>
      </c>
      <c r="CM4" s="55" t="n">
        <v>6</v>
      </c>
      <c r="CN4" s="56" t="n"/>
      <c r="CO4" s="54" t="n">
        <v>6</v>
      </c>
      <c r="CP4" s="54" t="n">
        <v>6</v>
      </c>
      <c r="CQ4" s="27" t="n"/>
      <c r="CR4" s="55" t="n">
        <v>6</v>
      </c>
      <c r="CS4" s="55" t="n">
        <v>6</v>
      </c>
      <c r="CT4" s="56" t="n"/>
      <c r="CU4" s="54" t="n">
        <v>6</v>
      </c>
      <c r="CV4" s="54" t="n">
        <v>6</v>
      </c>
      <c r="CW4" s="27" t="n"/>
      <c r="CX4" s="55" t="n">
        <v>6</v>
      </c>
      <c r="CY4" s="55" t="n">
        <v>6</v>
      </c>
      <c r="CZ4" s="56" t="n"/>
      <c r="DA4" s="54" t="n">
        <v>6</v>
      </c>
      <c r="DB4" s="54" t="n">
        <v>6</v>
      </c>
      <c r="DC4" s="27" t="n"/>
      <c r="DD4" s="55" t="n">
        <v>6</v>
      </c>
      <c r="DE4" s="55" t="n">
        <v>6</v>
      </c>
      <c r="DF4" s="56" t="n"/>
      <c r="DG4" s="54" t="n">
        <v>6</v>
      </c>
      <c r="DH4" s="54" t="n">
        <v>6</v>
      </c>
      <c r="DI4" s="55" t="n">
        <v>6</v>
      </c>
      <c r="DJ4" s="55" t="n">
        <v>6</v>
      </c>
      <c r="DK4" s="55" t="n">
        <v>6</v>
      </c>
      <c r="DL4" s="54" t="n">
        <v>6</v>
      </c>
      <c r="DM4" s="54" t="n">
        <v>6</v>
      </c>
      <c r="DN4" s="54" t="n">
        <v>6</v>
      </c>
    </row>
    <row r="5">
      <c r="A5" s="2" t="inlineStr">
        <is>
          <t>Releases Shipped that Meet Acceptance</t>
        </is>
      </c>
      <c r="B5" s="21">
        <f>IF(COUNT(AR5,AO5,AL5,AI5,AF5,AC5,Z5,W5,T5,Q5,N5,K5)=0,"",SUM(AR5,AO5,AL5,AI5,AF5,AC5,Z5,W5,T5,Q5,N5,K5))</f>
        <v/>
      </c>
      <c r="C5" s="21">
        <f>IF(COUNT(AS5,AP5,AM5,AJ5,AG5,AD5,AA5,X5,U5,R5,O5,L5)=0,"",SUM(AS5,AP5,AM5,AJ5,AG5,AD5,AA5,X5,U5,R5,O5,L5))</f>
        <v/>
      </c>
      <c r="D5" s="21">
        <f>IF(COUNT(AT5,AQ5,AN5,AK5,AH5,AE5,AB5,Y5,V5,S5,P5,M5)=0,"",SUM(AT5,AQ5,AN5,AK5,AH5,AE5,AB5,Y5,V5,S5,P5,M5))</f>
        <v/>
      </c>
      <c r="E5" s="2">
        <f>IF(COUNT(CB5,BY5,BV5,BS5,BP5,BM5,BJ5,BG5,BD5,BA5,AX5,AU5)=0,"",SUM(CB5,BY5,BV5,BS5,BP5,BM5,BJ5,BG5,BD5,BA5,AX5,AU5))</f>
        <v/>
      </c>
      <c r="F5" s="2">
        <f>IF(COUNT(CC5,BZ5,BW5,BT5,BQ5,BN5,BK5,BH5,BE5,BB5,AY5,AV5)=0,"",SUM(CC5,BZ5,BW5,BT5,BQ5,BN5,BK5,BH5,BE5,BB5,AY5,AV5))</f>
        <v/>
      </c>
      <c r="G5" s="2">
        <f>IF(COUNT(CD5,CA5,BX5,BU5,BR5,BO5,BL5,BI5,BF5,BC5,AZ5,AW5)=0,"",SUM(CD5,CA5,BX5,BU5,BR5,BO5,BL5,BI5,BF5,BC5,AZ5,AW5))</f>
        <v/>
      </c>
      <c r="H5" s="21">
        <f>IF(COUNT(DL5,DI5,DF5,DC5,CZ5,CW5,CT5,CQ5,CN5,CK5,CH5,CE5)=0,"",SUM(DL5,DI5,DF5,DC5,CZ5,CW5,CT5,CQ5,CN5,CK5,CH5,CE5))</f>
        <v/>
      </c>
      <c r="I5" s="21">
        <f>IF(COUNT(DM5,DJ5,DG5,DD5,DA5,CX5,CU5,CR5,CO5,CL5,CI5,CF5)=0,"",SUM(DM5,DJ5,DG5,DD5,DA5,CX5,CU5,CR5,CO5,CL5,CI5,CF5))</f>
        <v/>
      </c>
      <c r="J5" s="21">
        <f>IF(COUNT(DN5,DK5,DH5,DE5,DB5,CY5,CV5,CS5,CP5,CM5,CJ5,CG5)=0,"",SUM(DN5,DK5,DH5,DE5,DB5,CY5,CV5,CS5,CP5,CM5,CJ5,CG5))</f>
        <v/>
      </c>
      <c r="K5" s="2">
        <f>IF(COUNT(K3,K4)=2,ROUND(K3/K4,0),"")</f>
        <v/>
      </c>
      <c r="L5" s="2">
        <f>ROUND(L3/L4,0)</f>
        <v/>
      </c>
      <c r="M5" s="2">
        <f>ROUND(M3/M4,0)</f>
        <v/>
      </c>
      <c r="N5" s="21">
        <f>IF(COUNT(N3,N4)=2,ROUND(N3/N4,0),"")</f>
        <v/>
      </c>
      <c r="O5" s="21">
        <f>ROUND(O3/O4,0)</f>
        <v/>
      </c>
      <c r="P5" s="21">
        <f>ROUND(P3/P4,0)</f>
        <v/>
      </c>
      <c r="Q5" s="2">
        <f>IF(COUNT(Q3,Q4)=2,ROUND(Q3/Q4,0),"")</f>
        <v/>
      </c>
      <c r="R5" s="2">
        <f>ROUND(R3/R4,0)</f>
        <v/>
      </c>
      <c r="S5" s="2">
        <f>ROUND(S3/S4,0)</f>
        <v/>
      </c>
      <c r="T5" s="21">
        <f>IF(COUNT(T3,T4)=2,ROUND(T3/T4,0),"")</f>
        <v/>
      </c>
      <c r="U5" s="21">
        <f>ROUND(U3/U4,0)</f>
        <v/>
      </c>
      <c r="V5" s="21">
        <f>ROUND(V3/V4,0)</f>
        <v/>
      </c>
      <c r="W5" s="2">
        <f>IF(COUNT(W3,W4)=2,ROUND(W3/W4,0),"")</f>
        <v/>
      </c>
      <c r="X5" s="2">
        <f>ROUND(X3/X4,0)</f>
        <v/>
      </c>
      <c r="Y5" s="2">
        <f>ROUND(Y3/Y4,0)</f>
        <v/>
      </c>
      <c r="Z5" s="21">
        <f>IF(COUNT(Z3,Z4)=2,ROUND(Z3/Z4,0),"")</f>
        <v/>
      </c>
      <c r="AA5" s="21">
        <f>ROUND(AA3/AA4,0)</f>
        <v/>
      </c>
      <c r="AB5" s="21">
        <f>ROUND(AB3/AB4,0)</f>
        <v/>
      </c>
      <c r="AC5" s="2">
        <f>IF(COUNT(AC3,AC4)=2,ROUND(AC3/AC4,0),"")</f>
        <v/>
      </c>
      <c r="AD5" s="2">
        <f>ROUND(AD3/AD4,0)</f>
        <v/>
      </c>
      <c r="AE5" s="2">
        <f>ROUND(AE3/AE4,0)</f>
        <v/>
      </c>
      <c r="AF5" s="21">
        <f>IF(COUNT(AF3,AF4)=2,ROUND(AF3/AF4,0),"")</f>
        <v/>
      </c>
      <c r="AG5" s="21">
        <f>ROUND(AG3/AG4,0)</f>
        <v/>
      </c>
      <c r="AH5" s="21">
        <f>ROUND(AH3/AH4,0)</f>
        <v/>
      </c>
      <c r="AI5" s="2">
        <f>IF(COUNT(AI3,AI4)=2,ROUND(AI3/AI4,0),"")</f>
        <v/>
      </c>
      <c r="AJ5" s="2">
        <f>ROUND(AJ3/AJ4,0)</f>
        <v/>
      </c>
      <c r="AK5" s="2">
        <f>ROUND(AK3/AK4,0)</f>
        <v/>
      </c>
      <c r="AL5" s="21">
        <f>IF(COUNT(AL3,AL4)=2,ROUND(AL3/AL4,0),"")</f>
        <v/>
      </c>
      <c r="AM5" s="21">
        <f>ROUND(AM3/AM4,0)</f>
        <v/>
      </c>
      <c r="AN5" s="21">
        <f>ROUND(AN3/AN4,0)</f>
        <v/>
      </c>
      <c r="AO5" s="2">
        <f>IF(COUNT(AO3,AO4)=2,ROUND(AO3/AO4,0),"")</f>
        <v/>
      </c>
      <c r="AP5" s="2">
        <f>ROUND(AP3/AP4,0)</f>
        <v/>
      </c>
      <c r="AQ5" s="2">
        <f>ROUND(AQ3/AQ4,0)</f>
        <v/>
      </c>
      <c r="AR5" s="21">
        <f>IF(COUNT(AR3,AR4)=2,ROUND(AR3/AR4,0),"")</f>
        <v/>
      </c>
      <c r="AS5" s="21">
        <f>ROUND(AS3/AS4,0)</f>
        <v/>
      </c>
      <c r="AT5" s="21">
        <f>ROUND(AT3/AT4,0)</f>
        <v/>
      </c>
      <c r="AU5" s="2">
        <f>IF(COUNT(AU3,AU4)=2,ROUND(AU3/AU4,0),"")</f>
        <v/>
      </c>
      <c r="AV5" s="2">
        <f>ROUND(AV3/AV4,0)</f>
        <v/>
      </c>
      <c r="AW5" s="2">
        <f>ROUND(AW3/AW4,0)</f>
        <v/>
      </c>
      <c r="AX5" s="21">
        <f>IF(COUNT(AX3,AX4)=2,ROUND(AX3/AX4,0),"")</f>
        <v/>
      </c>
      <c r="AY5" s="21">
        <f>ROUND(AY3/AY4,0)</f>
        <v/>
      </c>
      <c r="AZ5" s="21">
        <f>ROUND(AZ3/AZ4,0)</f>
        <v/>
      </c>
      <c r="BA5" s="2">
        <f>IF(COUNT(BA3,BA4)=2,ROUND(BA3/BA4,0),"")</f>
        <v/>
      </c>
      <c r="BB5" s="2">
        <f>ROUND(BB3/BB4,0)</f>
        <v/>
      </c>
      <c r="BC5" s="2">
        <f>ROUND(BC3/BC4,0)</f>
        <v/>
      </c>
      <c r="BD5" s="21">
        <f>IF(COUNT(BD3,BD4)=2,ROUND(BD3/BD4,0),"")</f>
        <v/>
      </c>
      <c r="BE5" s="21">
        <f>ROUND(BE3/BE4,0)</f>
        <v/>
      </c>
      <c r="BF5" s="21">
        <f>ROUND(BF3/BF4,0)</f>
        <v/>
      </c>
      <c r="BG5" s="2">
        <f>IF(COUNT(BG3,BG4)=2,ROUND(BG3/BG4,0),"")</f>
        <v/>
      </c>
      <c r="BH5" s="2">
        <f>ROUND(BH3/BH4,0)</f>
        <v/>
      </c>
      <c r="BI5" s="2">
        <f>ROUND(BI3/BI4,0)</f>
        <v/>
      </c>
      <c r="BJ5" s="21">
        <f>IF(COUNT(BJ3,BJ4)=2,ROUND(BJ3/BJ4,0),"")</f>
        <v/>
      </c>
      <c r="BK5" s="21">
        <f>ROUND(BK3/BK4,0)</f>
        <v/>
      </c>
      <c r="BL5" s="21">
        <f>ROUND(BL3/BL4,0)</f>
        <v/>
      </c>
      <c r="BM5" s="2">
        <f>IF(COUNT(BM3,BM4)=2,ROUND(BM3/BM4,0),"")</f>
        <v/>
      </c>
      <c r="BN5" s="2">
        <f>ROUND(BN3/BN4,0)</f>
        <v/>
      </c>
      <c r="BO5" s="2">
        <f>ROUND(BO3/BO4,0)</f>
        <v/>
      </c>
      <c r="BP5" s="21">
        <f>IF(COUNT(BP3,BP4)=2,ROUND(BP3/BP4,0),"")</f>
        <v/>
      </c>
      <c r="BQ5" s="21">
        <f>ROUND(BQ3/BQ4,0)</f>
        <v/>
      </c>
      <c r="BR5" s="21">
        <f>ROUND(BR3/BR4,0)</f>
        <v/>
      </c>
      <c r="BS5" s="2">
        <f>IF(COUNT(BS3,BS4)=2,ROUND(BS3/BS4,0),"")</f>
        <v/>
      </c>
      <c r="BT5" s="2">
        <f>ROUND(BT3/BT4,0)</f>
        <v/>
      </c>
      <c r="BU5" s="2">
        <f>ROUND(BU3/BU4,0)</f>
        <v/>
      </c>
      <c r="BV5" s="21">
        <f>IF(COUNT(BV3,BV4)=2,ROUND(BV3/BV4,0),"")</f>
        <v/>
      </c>
      <c r="BW5" s="21">
        <f>ROUND(BW3/BW4,0)</f>
        <v/>
      </c>
      <c r="BX5" s="21">
        <f>ROUND(BX3/BX4,0)</f>
        <v/>
      </c>
      <c r="BY5" s="2">
        <f>IF(COUNT(BY3,BY4)=2,ROUND(BY3/BY4,0),"")</f>
        <v/>
      </c>
      <c r="BZ5" s="2">
        <f>ROUND(BZ3/BZ4,0)</f>
        <v/>
      </c>
      <c r="CA5" s="2">
        <f>ROUND(CA3/CA4,0)</f>
        <v/>
      </c>
      <c r="CB5" s="21">
        <f>IF(COUNT(CB3,CB4)=2,ROUND(CB3/CB4,0),"")</f>
        <v/>
      </c>
      <c r="CC5" s="21">
        <f>ROUND(CC3/CC4,0)</f>
        <v/>
      </c>
      <c r="CD5" s="21">
        <f>ROUND(CD3/CD4,0)</f>
        <v/>
      </c>
      <c r="CE5" s="2">
        <f>IF(COUNT(CE3,CE4)=2,ROUND(CE3/CE4,0),"")</f>
        <v/>
      </c>
      <c r="CF5" s="2">
        <f>ROUND(CF3/CF4,0)</f>
        <v/>
      </c>
      <c r="CG5" s="2">
        <f>ROUND(CG3/CG4,0)</f>
        <v/>
      </c>
      <c r="CH5" s="21">
        <f>IF(COUNT(CH3,CH4)=2,ROUND(CH3/CH4,0),"")</f>
        <v/>
      </c>
      <c r="CI5" s="21">
        <f>ROUND(CI3/CI4,0)</f>
        <v/>
      </c>
      <c r="CJ5" s="21">
        <f>ROUND(CJ3/CJ4,0)</f>
        <v/>
      </c>
      <c r="CK5" s="2">
        <f>IF(COUNT(CK3,CK4)=2,ROUND(CK3/CK4,0),"")</f>
        <v/>
      </c>
      <c r="CL5" s="2">
        <f>ROUND(CL3/CL4,0)</f>
        <v/>
      </c>
      <c r="CM5" s="2">
        <f>ROUND(CM3/CM4,0)</f>
        <v/>
      </c>
      <c r="CN5" s="21">
        <f>IF(COUNT(CN3,CN4)=2,ROUND(CN3/CN4,0),"")</f>
        <v/>
      </c>
      <c r="CO5" s="21">
        <f>ROUND(CO3/CO4,0)</f>
        <v/>
      </c>
      <c r="CP5" s="21">
        <f>ROUND(CP3/CP4,0)</f>
        <v/>
      </c>
      <c r="CQ5" s="2">
        <f>IF(COUNT(CQ3,CQ4)=2,ROUND(CQ3/CQ4,0),"")</f>
        <v/>
      </c>
      <c r="CR5" s="2">
        <f>ROUND(CR3/CR4,0)</f>
        <v/>
      </c>
      <c r="CS5" s="2">
        <f>ROUND(CS3/CS4,0)</f>
        <v/>
      </c>
      <c r="CT5" s="21">
        <f>IF(COUNT(CT3,CT4)=2,ROUND(CT3/CT4,0),"")</f>
        <v/>
      </c>
      <c r="CU5" s="21">
        <f>ROUND(CU3/CU4,0)</f>
        <v/>
      </c>
      <c r="CV5" s="21">
        <f>ROUND(CV3/CV4,0)</f>
        <v/>
      </c>
      <c r="CW5" s="2">
        <f>IF(COUNT(CW3,CW4)=2,ROUND(CW3/CW4,0),"")</f>
        <v/>
      </c>
      <c r="CX5" s="2">
        <f>ROUND(CX3/CX4,0)</f>
        <v/>
      </c>
      <c r="CY5" s="2">
        <f>ROUND(CY3/CY4,0)</f>
        <v/>
      </c>
      <c r="CZ5" s="21">
        <f>IF(COUNT(CZ3,CZ4)=2,ROUND(CZ3/CZ4,0),"")</f>
        <v/>
      </c>
      <c r="DA5" s="21">
        <f>ROUND(DA3/DA4,0)</f>
        <v/>
      </c>
      <c r="DB5" s="21">
        <f>ROUND(DB3/DB4,0)</f>
        <v/>
      </c>
      <c r="DC5" s="2">
        <f>IF(COUNT(DC3,DC4)=2,ROUND(DC3/DC4,0),"")</f>
        <v/>
      </c>
      <c r="DD5" s="2">
        <f>ROUND(DD3/DD4,0)</f>
        <v/>
      </c>
      <c r="DE5" s="2">
        <f>ROUND(DE3/DE4,0)</f>
        <v/>
      </c>
      <c r="DF5" s="21">
        <f>IF(COUNT(DF3,DF4)=2,ROUND(DF3/DF4,0),"")</f>
        <v/>
      </c>
      <c r="DG5" s="21">
        <f>ROUND(DG3/DG4,0)</f>
        <v/>
      </c>
      <c r="DH5" s="21">
        <f>ROUND(DH3/DH4,0)</f>
        <v/>
      </c>
      <c r="DI5" s="2">
        <f>IF(COUNT(DI3,DI4)=2,ROUND(DI3/DI4,0),"")</f>
        <v/>
      </c>
      <c r="DJ5" s="2">
        <f>ROUND(DJ3/DJ4,0)</f>
        <v/>
      </c>
      <c r="DK5" s="2">
        <f>ROUND(DK3/DK4,0)</f>
        <v/>
      </c>
      <c r="DL5" s="21">
        <f>IF(COUNT(DL3,DL4)=2,ROUND(DL3/DL4,0),"")</f>
        <v/>
      </c>
      <c r="DM5" s="21">
        <f>ROUND(DM3/DM4,0)</f>
        <v/>
      </c>
      <c r="DN5" s="21">
        <f>ROUND(DN3/DN4,0)</f>
        <v/>
      </c>
    </row>
    <row r="6">
      <c r="A6" s="15" t="inlineStr">
        <is>
          <t>Product Release Share</t>
        </is>
      </c>
      <c r="B6" s="32">
        <f>IF(SUM(AR5,AO5,AL5,AI5,AF5,AC5,Z5,W5,T5,Q5,N5,K5)=0,"",SUM(AR7,AO7,AL7,AI7,AF7,AC7,Z7,W7,T7,Q7,N7,K7)/SUM(AR5,AO5,AL5,AI5,AF5,AC5,Z5,W5,T5,Q5,N5,K5))</f>
        <v/>
      </c>
      <c r="C6" s="32">
        <f>IF(SUM(AS5,AP5,AM5,AJ5,AG5,AD5,AA5,X5,U5,R5,O5,L5)=0,"",SUM(AS7,AP7,AM7,AJ7,AG7,AD7,AA7,X7,U7,R7,O7,L7)/SUM(AS5,AP5,AM5,AJ5,AG5,AD5,AA5,X5,U5,R5,O5,L5))</f>
        <v/>
      </c>
      <c r="D6" s="32">
        <f>IF(SUM(AT5,AQ5,AN5,AK5,AH5,AE5,AB5,Y5,V5,S5,P5,M5)=0,"",SUM(AT7,AQ7,AN7,AK7,AH7,AE7,AB7,Y7,V7,S7,P7,M7)/SUM(AT5,AQ5,AN5,AK5,AH5,AE5,AB5,Y5,V5,S5,P5,M5))</f>
        <v/>
      </c>
      <c r="E6" s="33">
        <f>IF(SUM(CB5,BY5,BV5,BS5,BP5,BM5,BJ5,BG5,BD5,BA5,AX5,AU5)=0,"",SUM(CB7,BY7,BV7,BS7,BP7,BM7,BJ7,BG7,BD7,BA7,AX7,AU7)/SUM(CB5,BY5,BV5,BS5,BP5,BM5,BJ5,BG5,BD5,BA5,AX5,AU5))</f>
        <v/>
      </c>
      <c r="F6" s="33">
        <f>IF(SUM(CC5,BZ5,BW5,BT5,BQ5,BN5,BK5,BH5,BE5,BB5,AY5,AV5)=0,"",SUM(CC7,BZ7,BW7,BT7,BQ7,BN7,BK7,BH7,BE7,BB7,AY7,AV7)/SUM(CC5,BZ5,BW5,BT5,BQ5,BN5,BK5,BH5,BE5,BB5,AY5,AV5))</f>
        <v/>
      </c>
      <c r="G6" s="33">
        <f>IF(SUM(CD5,CA5,BX5,BU5,BR5,BO5,BL5,BI5,BF5,BC5,AZ5,AW5)=0,"",SUM(CD7,CA7,BX7,BU7,BR7,BO7,BL7,BI7,BF7,BC7,AZ7,AW7)/SUM(CD5,CA5,BX5,BU5,BR5,BO5,BL5,BI5,BF5,BC5,AZ5,AW5))</f>
        <v/>
      </c>
      <c r="H6" s="32">
        <f>IF(SUM(DL5,DI5,DF5,DC5,CZ5,CW5,CT5,CQ5,CN5,CK5,CH5,CE5)=0,"",SUM(DL7,DI7,DF7,DC7,CZ7,CW7,CT7,CQ7,CN7,CK7,CH7,CE7)/SUM(DL5,DI5,DF5,DC5,CZ5,CW5,CT5,CQ5,CN5,CK5,CH5,CE5))</f>
        <v/>
      </c>
      <c r="I6" s="32">
        <f>IF(SUM(DM5,DJ5,DG5,DD5,DA5,CX5,CU5,CR5,CO5,CL5,CI5,CF5)=0,"",SUM(DM7,DJ7,DG7,DD7,DA7,CX7,CU7,CR7,CO7,CL7,CI7,CF7)/SUM(DM5,DJ5,DG5,DD5,DA5,CX5,CU5,CR5,CO5,CL5,CI5,CF5))</f>
        <v/>
      </c>
      <c r="J6" s="32">
        <f>IF(SUM(DN5,DK5,DH5,DE5,DB5,CY5,CV5,CS5,CP5,CM5,CJ5,CG5)=0,"",SUM(DN7,DK7,DH7,DE7,DB7,CY7,CV7,CS7,CP7,CM7,CJ7,CG7)/SUM(DN5,DK5,DH5,DE5,DB5,CY5,CV5,CS5,CP5,CM5,CJ5,CG5))</f>
        <v/>
      </c>
      <c r="K6" s="52" t="n"/>
      <c r="L6" s="33" t="n">
        <v>0.6</v>
      </c>
      <c r="M6" s="33" t="n">
        <v>0.6</v>
      </c>
      <c r="N6" s="53" t="n"/>
      <c r="O6" s="32" t="n">
        <v>0.6</v>
      </c>
      <c r="P6" s="32" t="n">
        <v>0.6</v>
      </c>
      <c r="Q6" s="52" t="n"/>
      <c r="R6" s="33" t="n">
        <v>0.6</v>
      </c>
      <c r="S6" s="33" t="n">
        <v>0.6</v>
      </c>
      <c r="T6" s="53" t="n"/>
      <c r="U6" s="32" t="n">
        <v>0.6</v>
      </c>
      <c r="V6" s="32" t="n">
        <v>0.6</v>
      </c>
      <c r="W6" s="52" t="n"/>
      <c r="X6" s="33" t="n">
        <v>0.6</v>
      </c>
      <c r="Y6" s="33" t="n">
        <v>0.6</v>
      </c>
      <c r="Z6" s="53" t="n"/>
      <c r="AA6" s="32" t="n">
        <v>0.6</v>
      </c>
      <c r="AB6" s="32" t="n">
        <v>0.6</v>
      </c>
      <c r="AC6" s="52" t="n"/>
      <c r="AD6" s="33" t="n">
        <v>0.6</v>
      </c>
      <c r="AE6" s="33" t="n">
        <v>0.6</v>
      </c>
      <c r="AF6" s="53" t="n"/>
      <c r="AG6" s="32" t="n">
        <v>0.6</v>
      </c>
      <c r="AH6" s="32" t="n">
        <v>0.6</v>
      </c>
      <c r="AI6" s="52" t="n"/>
      <c r="AJ6" s="33" t="n">
        <v>0.6</v>
      </c>
      <c r="AK6" s="33" t="n">
        <v>0.6</v>
      </c>
      <c r="AL6" s="53" t="n"/>
      <c r="AM6" s="32" t="n">
        <v>0.6</v>
      </c>
      <c r="AN6" s="32" t="n">
        <v>0.6</v>
      </c>
      <c r="AO6" s="52" t="n"/>
      <c r="AP6" s="33" t="n">
        <v>0.6</v>
      </c>
      <c r="AQ6" s="33" t="n">
        <v>0.6</v>
      </c>
      <c r="AR6" s="53" t="n"/>
      <c r="AS6" s="32" t="n">
        <v>0.6</v>
      </c>
      <c r="AT6" s="32" t="n">
        <v>0.6</v>
      </c>
      <c r="AU6" s="52" t="n"/>
      <c r="AV6" s="33" t="n">
        <v>0.6</v>
      </c>
      <c r="AW6" s="33" t="n">
        <v>0.6</v>
      </c>
      <c r="AX6" s="53" t="n"/>
      <c r="AY6" s="32" t="n">
        <v>0.6</v>
      </c>
      <c r="AZ6" s="32" t="n">
        <v>0.6</v>
      </c>
      <c r="BA6" s="52" t="n"/>
      <c r="BB6" s="33" t="n">
        <v>0.6</v>
      </c>
      <c r="BC6" s="33" t="n">
        <v>0.6</v>
      </c>
      <c r="BD6" s="53" t="n"/>
      <c r="BE6" s="32" t="n">
        <v>0.6</v>
      </c>
      <c r="BF6" s="32" t="n">
        <v>0.6</v>
      </c>
      <c r="BG6" s="52" t="n"/>
      <c r="BH6" s="33" t="n">
        <v>0.6</v>
      </c>
      <c r="BI6" s="33" t="n">
        <v>0.6</v>
      </c>
      <c r="BJ6" s="53" t="n"/>
      <c r="BK6" s="32" t="n">
        <v>0.6</v>
      </c>
      <c r="BL6" s="32" t="n">
        <v>0.6</v>
      </c>
      <c r="BM6" s="52" t="n"/>
      <c r="BN6" s="33" t="n">
        <v>0.6</v>
      </c>
      <c r="BO6" s="33" t="n">
        <v>0.6</v>
      </c>
      <c r="BP6" s="53" t="n"/>
      <c r="BQ6" s="32" t="n">
        <v>0.6</v>
      </c>
      <c r="BR6" s="32" t="n">
        <v>0.6</v>
      </c>
      <c r="BS6" s="52" t="n"/>
      <c r="BT6" s="33" t="n">
        <v>0.6</v>
      </c>
      <c r="BU6" s="33" t="n">
        <v>0.6</v>
      </c>
      <c r="BV6" s="53" t="n"/>
      <c r="BW6" s="32" t="n">
        <v>0.6</v>
      </c>
      <c r="BX6" s="32" t="n">
        <v>0.6</v>
      </c>
      <c r="BY6" s="52" t="n"/>
      <c r="BZ6" s="33" t="n">
        <v>0.6</v>
      </c>
      <c r="CA6" s="33" t="n">
        <v>0.6</v>
      </c>
      <c r="CB6" s="53" t="n"/>
      <c r="CC6" s="32" t="n">
        <v>0.6</v>
      </c>
      <c r="CD6" s="32" t="n">
        <v>0.6</v>
      </c>
      <c r="CE6" s="52" t="n"/>
      <c r="CF6" s="33" t="n">
        <v>0.6</v>
      </c>
      <c r="CG6" s="33" t="n">
        <v>0.6</v>
      </c>
      <c r="CH6" s="53" t="n"/>
      <c r="CI6" s="32" t="n">
        <v>0.6</v>
      </c>
      <c r="CJ6" s="32" t="n">
        <v>0.6</v>
      </c>
      <c r="CK6" s="52" t="n"/>
      <c r="CL6" s="33" t="n">
        <v>0.6</v>
      </c>
      <c r="CM6" s="33" t="n">
        <v>0.6</v>
      </c>
      <c r="CN6" s="53" t="n"/>
      <c r="CO6" s="32" t="n">
        <v>0.6</v>
      </c>
      <c r="CP6" s="32" t="n">
        <v>0.6</v>
      </c>
      <c r="CQ6" s="52" t="n"/>
      <c r="CR6" s="33" t="n">
        <v>0.6</v>
      </c>
      <c r="CS6" s="33" t="n">
        <v>0.6</v>
      </c>
      <c r="CT6" s="53" t="n"/>
      <c r="CU6" s="32" t="n">
        <v>0.6</v>
      </c>
      <c r="CV6" s="32" t="n">
        <v>0.6</v>
      </c>
      <c r="CW6" s="52" t="n"/>
      <c r="CX6" s="33" t="n">
        <v>0.6</v>
      </c>
      <c r="CY6" s="33" t="n">
        <v>0.6</v>
      </c>
      <c r="CZ6" s="53" t="n"/>
      <c r="DA6" s="32" t="n">
        <v>0.6</v>
      </c>
      <c r="DB6" s="32" t="n">
        <v>0.6</v>
      </c>
      <c r="DC6" s="52" t="n"/>
      <c r="DD6" s="33" t="n">
        <v>0.6</v>
      </c>
      <c r="DE6" s="33" t="n">
        <v>0.6</v>
      </c>
      <c r="DF6" s="53" t="n"/>
      <c r="DG6" s="32" t="n">
        <v>0.6</v>
      </c>
      <c r="DH6" s="32" t="n">
        <v>0.6</v>
      </c>
      <c r="DI6" s="33" t="n">
        <v>0.6</v>
      </c>
      <c r="DJ6" s="33" t="n">
        <v>0.6</v>
      </c>
      <c r="DK6" s="33" t="n">
        <v>0.6</v>
      </c>
      <c r="DL6" s="32" t="n">
        <v>0.6</v>
      </c>
      <c r="DM6" s="32" t="n">
        <v>0.6</v>
      </c>
      <c r="DN6" s="32" t="n">
        <v>0.6</v>
      </c>
    </row>
    <row r="7">
      <c r="A7" s="2" t="inlineStr">
        <is>
          <t>Product Releases</t>
        </is>
      </c>
      <c r="B7" s="21">
        <f>IF(COUNT(AR7,AO7,AL7,AI7,AF7,AC7,Z7,W7,T7,Q7,N7,K7)=0,"",SUM(AR7,AO7,AL7,AI7,AF7,AC7,Z7,W7,T7,Q7,N7,K7))</f>
        <v/>
      </c>
      <c r="C7" s="21">
        <f>IF(COUNT(AS7,AP7,AM7,AJ7,AG7,AD7,AA7,X7,U7,R7,O7,L7)=0,"",SUM(AS7,AP7,AM7,AJ7,AG7,AD7,AA7,X7,U7,R7,O7,L7))</f>
        <v/>
      </c>
      <c r="D7" s="21">
        <f>IF(COUNT(AT7,AQ7,AN7,AK7,AH7,AE7,AB7,Y7,V7,S7,P7,M7)=0,"",SUM(AT7,AQ7,AN7,AK7,AH7,AE7,AB7,Y7,V7,S7,P7,M7))</f>
        <v/>
      </c>
      <c r="E7" s="2">
        <f>IF(COUNT(CB7,BY7,BV7,BS7,BP7,BM7,BJ7,BG7,BD7,BA7,AX7,AU7)=0,"",SUM(CB7,BY7,BV7,BS7,BP7,BM7,BJ7,BG7,BD7,BA7,AX7,AU7))</f>
        <v/>
      </c>
      <c r="F7" s="2">
        <f>IF(COUNT(CC7,BZ7,BW7,BT7,BQ7,BN7,BK7,BH7,BE7,BB7,AY7,AV7)=0,"",SUM(CC7,BZ7,BW7,BT7,BQ7,BN7,BK7,BH7,BE7,BB7,AY7,AV7))</f>
        <v/>
      </c>
      <c r="G7" s="2">
        <f>IF(COUNT(CD7,CA7,BX7,BU7,BR7,BO7,BL7,BI7,BF7,BC7,AZ7,AW7)=0,"",SUM(CD7,CA7,BX7,BU7,BR7,BO7,BL7,BI7,BF7,BC7,AZ7,AW7))</f>
        <v/>
      </c>
      <c r="H7" s="21">
        <f>IF(COUNT(DL7,DI7,DF7,DC7,CZ7,CW7,CT7,CQ7,CN7,CK7,CH7,CE7)=0,"",SUM(DL7,DI7,DF7,DC7,CZ7,CW7,CT7,CQ7,CN7,CK7,CH7,CE7))</f>
        <v/>
      </c>
      <c r="I7" s="21">
        <f>IF(COUNT(DM7,DJ7,DG7,DD7,DA7,CX7,CU7,CR7,CO7,CL7,CI7,CF7)=0,"",SUM(DM7,DJ7,DG7,DD7,DA7,CX7,CU7,CR7,CO7,CL7,CI7,CF7))</f>
        <v/>
      </c>
      <c r="J7" s="21">
        <f>IF(COUNT(DN7,DK7,DH7,DE7,DB7,CY7,CV7,CS7,CP7,CM7,CJ7,CG7)=0,"",SUM(DN7,DK7,DH7,DE7,DB7,CY7,CV7,CS7,CP7,CM7,CJ7,CG7))</f>
        <v/>
      </c>
      <c r="K7" s="2">
        <f>IF(COUNT(K5,K6)=2,ROUND(K5*K6,0),"")</f>
        <v/>
      </c>
      <c r="L7" s="2">
        <f>ROUND(L5*L6,0)</f>
        <v/>
      </c>
      <c r="M7" s="2">
        <f>ROUND(M5*M6,0)</f>
        <v/>
      </c>
      <c r="N7" s="21">
        <f>IF(COUNT(N5,N6)=2,ROUND(N5*N6,0),"")</f>
        <v/>
      </c>
      <c r="O7" s="21">
        <f>ROUND(O5*O6,0)</f>
        <v/>
      </c>
      <c r="P7" s="21">
        <f>ROUND(P5*P6,0)</f>
        <v/>
      </c>
      <c r="Q7" s="2">
        <f>IF(COUNT(Q5,Q6)=2,ROUND(Q5*Q6,0),"")</f>
        <v/>
      </c>
      <c r="R7" s="2">
        <f>ROUND(R5*R6,0)</f>
        <v/>
      </c>
      <c r="S7" s="2">
        <f>ROUND(S5*S6,0)</f>
        <v/>
      </c>
      <c r="T7" s="21">
        <f>IF(COUNT(T5,T6)=2,ROUND(T5*T6,0),"")</f>
        <v/>
      </c>
      <c r="U7" s="21">
        <f>ROUND(U5*U6,0)</f>
        <v/>
      </c>
      <c r="V7" s="21">
        <f>ROUND(V5*V6,0)</f>
        <v/>
      </c>
      <c r="W7" s="2">
        <f>IF(COUNT(W5,W6)=2,ROUND(W5*W6,0),"")</f>
        <v/>
      </c>
      <c r="X7" s="2">
        <f>ROUND(X5*X6,0)</f>
        <v/>
      </c>
      <c r="Y7" s="2">
        <f>ROUND(Y5*Y6,0)</f>
        <v/>
      </c>
      <c r="Z7" s="21">
        <f>IF(COUNT(Z5,Z6)=2,ROUND(Z5*Z6,0),"")</f>
        <v/>
      </c>
      <c r="AA7" s="21">
        <f>ROUND(AA5*AA6,0)</f>
        <v/>
      </c>
      <c r="AB7" s="21">
        <f>ROUND(AB5*AB6,0)</f>
        <v/>
      </c>
      <c r="AC7" s="2">
        <f>IF(COUNT(AC5,AC6)=2,ROUND(AC5*AC6,0),"")</f>
        <v/>
      </c>
      <c r="AD7" s="2">
        <f>ROUND(AD5*AD6,0)</f>
        <v/>
      </c>
      <c r="AE7" s="2">
        <f>ROUND(AE5*AE6,0)</f>
        <v/>
      </c>
      <c r="AF7" s="21">
        <f>IF(COUNT(AF5,AF6)=2,ROUND(AF5*AF6,0),"")</f>
        <v/>
      </c>
      <c r="AG7" s="21">
        <f>ROUND(AG5*AG6,0)</f>
        <v/>
      </c>
      <c r="AH7" s="21">
        <f>ROUND(AH5*AH6,0)</f>
        <v/>
      </c>
      <c r="AI7" s="2">
        <f>IF(COUNT(AI5,AI6)=2,ROUND(AI5*AI6,0),"")</f>
        <v/>
      </c>
      <c r="AJ7" s="2">
        <f>ROUND(AJ5*AJ6,0)</f>
        <v/>
      </c>
      <c r="AK7" s="2">
        <f>ROUND(AK5*AK6,0)</f>
        <v/>
      </c>
      <c r="AL7" s="21">
        <f>IF(COUNT(AL5,AL6)=2,ROUND(AL5*AL6,0),"")</f>
        <v/>
      </c>
      <c r="AM7" s="21">
        <f>ROUND(AM5*AM6,0)</f>
        <v/>
      </c>
      <c r="AN7" s="21">
        <f>ROUND(AN5*AN6,0)</f>
        <v/>
      </c>
      <c r="AO7" s="2">
        <f>IF(COUNT(AO5,AO6)=2,ROUND(AO5*AO6,0),"")</f>
        <v/>
      </c>
      <c r="AP7" s="2">
        <f>ROUND(AP5*AP6,0)</f>
        <v/>
      </c>
      <c r="AQ7" s="2">
        <f>ROUND(AQ5*AQ6,0)</f>
        <v/>
      </c>
      <c r="AR7" s="21">
        <f>IF(COUNT(AR5,AR6)=2,ROUND(AR5*AR6,0),"")</f>
        <v/>
      </c>
      <c r="AS7" s="21">
        <f>ROUND(AS5*AS6,0)</f>
        <v/>
      </c>
      <c r="AT7" s="21">
        <f>ROUND(AT5*AT6,0)</f>
        <v/>
      </c>
      <c r="AU7" s="2">
        <f>IF(COUNT(AU5,AU6)=2,ROUND(AU5*AU6,0),"")</f>
        <v/>
      </c>
      <c r="AV7" s="2">
        <f>ROUND(AV5*AV6,0)</f>
        <v/>
      </c>
      <c r="AW7" s="2">
        <f>ROUND(AW5*AW6,0)</f>
        <v/>
      </c>
      <c r="AX7" s="21">
        <f>IF(COUNT(AX5,AX6)=2,ROUND(AX5*AX6,0),"")</f>
        <v/>
      </c>
      <c r="AY7" s="21">
        <f>ROUND(AY5*AY6,0)</f>
        <v/>
      </c>
      <c r="AZ7" s="21">
        <f>ROUND(AZ5*AZ6,0)</f>
        <v/>
      </c>
      <c r="BA7" s="2">
        <f>IF(COUNT(BA5,BA6)=2,ROUND(BA5*BA6,0),"")</f>
        <v/>
      </c>
      <c r="BB7" s="2">
        <f>ROUND(BB5*BB6,0)</f>
        <v/>
      </c>
      <c r="BC7" s="2">
        <f>ROUND(BC5*BC6,0)</f>
        <v/>
      </c>
      <c r="BD7" s="21">
        <f>IF(COUNT(BD5,BD6)=2,ROUND(BD5*BD6,0),"")</f>
        <v/>
      </c>
      <c r="BE7" s="21">
        <f>ROUND(BE5*BE6,0)</f>
        <v/>
      </c>
      <c r="BF7" s="21">
        <f>ROUND(BF5*BF6,0)</f>
        <v/>
      </c>
      <c r="BG7" s="2">
        <f>IF(COUNT(BG5,BG6)=2,ROUND(BG5*BG6,0),"")</f>
        <v/>
      </c>
      <c r="BH7" s="2">
        <f>ROUND(BH5*BH6,0)</f>
        <v/>
      </c>
      <c r="BI7" s="2">
        <f>ROUND(BI5*BI6,0)</f>
        <v/>
      </c>
      <c r="BJ7" s="21">
        <f>IF(COUNT(BJ5,BJ6)=2,ROUND(BJ5*BJ6,0),"")</f>
        <v/>
      </c>
      <c r="BK7" s="21">
        <f>ROUND(BK5*BK6,0)</f>
        <v/>
      </c>
      <c r="BL7" s="21">
        <f>ROUND(BL5*BL6,0)</f>
        <v/>
      </c>
      <c r="BM7" s="2">
        <f>IF(COUNT(BM5,BM6)=2,ROUND(BM5*BM6,0),"")</f>
        <v/>
      </c>
      <c r="BN7" s="2">
        <f>ROUND(BN5*BN6,0)</f>
        <v/>
      </c>
      <c r="BO7" s="2">
        <f>ROUND(BO5*BO6,0)</f>
        <v/>
      </c>
      <c r="BP7" s="21">
        <f>IF(COUNT(BP5,BP6)=2,ROUND(BP5*BP6,0),"")</f>
        <v/>
      </c>
      <c r="BQ7" s="21">
        <f>ROUND(BQ5*BQ6,0)</f>
        <v/>
      </c>
      <c r="BR7" s="21">
        <f>ROUND(BR5*BR6,0)</f>
        <v/>
      </c>
      <c r="BS7" s="2">
        <f>IF(COUNT(BS5,BS6)=2,ROUND(BS5*BS6,0),"")</f>
        <v/>
      </c>
      <c r="BT7" s="2">
        <f>ROUND(BT5*BT6,0)</f>
        <v/>
      </c>
      <c r="BU7" s="2">
        <f>ROUND(BU5*BU6,0)</f>
        <v/>
      </c>
      <c r="BV7" s="21">
        <f>IF(COUNT(BV5,BV6)=2,ROUND(BV5*BV6,0),"")</f>
        <v/>
      </c>
      <c r="BW7" s="21">
        <f>ROUND(BW5*BW6,0)</f>
        <v/>
      </c>
      <c r="BX7" s="21">
        <f>ROUND(BX5*BX6,0)</f>
        <v/>
      </c>
      <c r="BY7" s="2">
        <f>IF(COUNT(BY5,BY6)=2,ROUND(BY5*BY6,0),"")</f>
        <v/>
      </c>
      <c r="BZ7" s="2">
        <f>ROUND(BZ5*BZ6,0)</f>
        <v/>
      </c>
      <c r="CA7" s="2">
        <f>ROUND(CA5*CA6,0)</f>
        <v/>
      </c>
      <c r="CB7" s="21">
        <f>IF(COUNT(CB5,CB6)=2,ROUND(CB5*CB6,0),"")</f>
        <v/>
      </c>
      <c r="CC7" s="21">
        <f>ROUND(CC5*CC6,0)</f>
        <v/>
      </c>
      <c r="CD7" s="21">
        <f>ROUND(CD5*CD6,0)</f>
        <v/>
      </c>
      <c r="CE7" s="2">
        <f>IF(COUNT(CE5,CE6)=2,ROUND(CE5*CE6,0),"")</f>
        <v/>
      </c>
      <c r="CF7" s="2">
        <f>ROUND(CF5*CF6,0)</f>
        <v/>
      </c>
      <c r="CG7" s="2">
        <f>ROUND(CG5*CG6,0)</f>
        <v/>
      </c>
      <c r="CH7" s="21">
        <f>IF(COUNT(CH5,CH6)=2,ROUND(CH5*CH6,0),"")</f>
        <v/>
      </c>
      <c r="CI7" s="21">
        <f>ROUND(CI5*CI6,0)</f>
        <v/>
      </c>
      <c r="CJ7" s="21">
        <f>ROUND(CJ5*CJ6,0)</f>
        <v/>
      </c>
      <c r="CK7" s="2">
        <f>IF(COUNT(CK5,CK6)=2,ROUND(CK5*CK6,0),"")</f>
        <v/>
      </c>
      <c r="CL7" s="2">
        <f>ROUND(CL5*CL6,0)</f>
        <v/>
      </c>
      <c r="CM7" s="2">
        <f>ROUND(CM5*CM6,0)</f>
        <v/>
      </c>
      <c r="CN7" s="21">
        <f>IF(COUNT(CN5,CN6)=2,ROUND(CN5*CN6,0),"")</f>
        <v/>
      </c>
      <c r="CO7" s="21">
        <f>ROUND(CO5*CO6,0)</f>
        <v/>
      </c>
      <c r="CP7" s="21">
        <f>ROUND(CP5*CP6,0)</f>
        <v/>
      </c>
      <c r="CQ7" s="2">
        <f>IF(COUNT(CQ5,CQ6)=2,ROUND(CQ5*CQ6,0),"")</f>
        <v/>
      </c>
      <c r="CR7" s="2">
        <f>ROUND(CR5*CR6,0)</f>
        <v/>
      </c>
      <c r="CS7" s="2">
        <f>ROUND(CS5*CS6,0)</f>
        <v/>
      </c>
      <c r="CT7" s="21">
        <f>IF(COUNT(CT5,CT6)=2,ROUND(CT5*CT6,0),"")</f>
        <v/>
      </c>
      <c r="CU7" s="21">
        <f>ROUND(CU5*CU6,0)</f>
        <v/>
      </c>
      <c r="CV7" s="21">
        <f>ROUND(CV5*CV6,0)</f>
        <v/>
      </c>
      <c r="CW7" s="2">
        <f>IF(COUNT(CW5,CW6)=2,ROUND(CW5*CW6,0),"")</f>
        <v/>
      </c>
      <c r="CX7" s="2">
        <f>ROUND(CX5*CX6,0)</f>
        <v/>
      </c>
      <c r="CY7" s="2">
        <f>ROUND(CY5*CY6,0)</f>
        <v/>
      </c>
      <c r="CZ7" s="21">
        <f>IF(COUNT(CZ5,CZ6)=2,ROUND(CZ5*CZ6,0),"")</f>
        <v/>
      </c>
      <c r="DA7" s="21">
        <f>ROUND(DA5*DA6,0)</f>
        <v/>
      </c>
      <c r="DB7" s="21">
        <f>ROUND(DB5*DB6,0)</f>
        <v/>
      </c>
      <c r="DC7" s="2">
        <f>IF(COUNT(DC5,DC6)=2,ROUND(DC5*DC6,0),"")</f>
        <v/>
      </c>
      <c r="DD7" s="2">
        <f>ROUND(DD5*DD6,0)</f>
        <v/>
      </c>
      <c r="DE7" s="2">
        <f>ROUND(DE5*DE6,0)</f>
        <v/>
      </c>
      <c r="DF7" s="21">
        <f>IF(COUNT(DF5,DF6)=2,ROUND(DF5*DF6,0),"")</f>
        <v/>
      </c>
      <c r="DG7" s="21">
        <f>ROUND(DG5*DG6,0)</f>
        <v/>
      </c>
      <c r="DH7" s="21">
        <f>ROUND(DH5*DH6,0)</f>
        <v/>
      </c>
      <c r="DI7" s="2">
        <f>IF(COUNT(DI5,DI6)=2,ROUND(DI5*DI6,0),"")</f>
        <v/>
      </c>
      <c r="DJ7" s="2">
        <f>ROUND(DJ5*DJ6,0)</f>
        <v/>
      </c>
      <c r="DK7" s="2">
        <f>ROUND(DK5*DK6,0)</f>
        <v/>
      </c>
      <c r="DL7" s="21">
        <f>IF(COUNT(DL5,DL6)=2,ROUND(DL5*DL6,0),"")</f>
        <v/>
      </c>
      <c r="DM7" s="21">
        <f>ROUND(DM5*DM6,0)</f>
        <v/>
      </c>
      <c r="DN7" s="21">
        <f>ROUND(DN5*DN6,0)</f>
        <v/>
      </c>
    </row>
    <row r="8">
      <c r="A8" s="24" t="inlineStr">
        <is>
          <t>Quality Releases</t>
        </is>
      </c>
      <c r="B8" s="34">
        <f>IF(COUNT(AR8,AO8,AL8,AI8,AF8,AC8,Z8,W8,T8,Q8,N8,K8)=0,"",SUM(AR8,AO8,AL8,AI8,AF8,AC8,Z8,W8,T8,Q8,N8,K8))</f>
        <v/>
      </c>
      <c r="C8" s="34">
        <f>IF(COUNT(AS8,AP8,AM8,AJ8,AG8,AD8,AA8,X8,U8,R8,O8,L8)=0,"",SUM(AS8,AP8,AM8,AJ8,AG8,AD8,AA8,X8,U8,R8,O8,L8))</f>
        <v/>
      </c>
      <c r="D8" s="34">
        <f>IF(COUNT(AT8,AQ8,AN8,AK8,AH8,AE8,AB8,Y8,V8,S8,P8,M8)=0,"",SUM(AT8,AQ8,AN8,AK8,AH8,AE8,AB8,Y8,V8,S8,P8,M8))</f>
        <v/>
      </c>
      <c r="E8" s="24">
        <f>IF(COUNT(CB8,BY8,BV8,BS8,BP8,BM8,BJ8,BG8,BD8,BA8,AX8,AU8)=0,"",SUM(CB8,BY8,BV8,BS8,BP8,BM8,BJ8,BG8,BD8,BA8,AX8,AU8))</f>
        <v/>
      </c>
      <c r="F8" s="24">
        <f>IF(COUNT(CC8,BZ8,BW8,BT8,BQ8,BN8,BK8,BH8,BE8,BB8,AY8,AV8)=0,"",SUM(CC8,BZ8,BW8,BT8,BQ8,BN8,BK8,BH8,BE8,BB8,AY8,AV8))</f>
        <v/>
      </c>
      <c r="G8" s="24">
        <f>IF(COUNT(CD8,CA8,BX8,BU8,BR8,BO8,BL8,BI8,BF8,BC8,AZ8,AW8)=0,"",SUM(CD8,CA8,BX8,BU8,BR8,BO8,BL8,BI8,BF8,BC8,AZ8,AW8))</f>
        <v/>
      </c>
      <c r="H8" s="34">
        <f>IF(COUNT(DL8,DI8,DF8,DC8,CZ8,CW8,CT8,CQ8,CN8,CK8,CH8,CE8)=0,"",SUM(DL8,DI8,DF8,DC8,CZ8,CW8,CT8,CQ8,CN8,CK8,CH8,CE8))</f>
        <v/>
      </c>
      <c r="I8" s="34">
        <f>IF(COUNT(DM8,DJ8,DG8,DD8,DA8,CX8,CU8,CR8,CO8,CL8,CI8,CF8)=0,"",SUM(DM8,DJ8,DG8,DD8,DA8,CX8,CU8,CR8,CO8,CL8,CI8,CF8))</f>
        <v/>
      </c>
      <c r="J8" s="34">
        <f>IF(COUNT(DN8,DK8,DH8,DE8,DB8,CY8,CV8,CS8,CP8,CM8,CJ8,CG8)=0,"",SUM(DN8,DK8,DH8,DE8,DB8,CY8,CV8,CS8,CP8,CM8,CJ8,CG8))</f>
        <v/>
      </c>
      <c r="K8" s="24">
        <f>IF(COUNT(K5,K7)=2,K5-K7,"")</f>
        <v/>
      </c>
      <c r="L8" s="24">
        <f>L5-L7</f>
        <v/>
      </c>
      <c r="M8" s="24">
        <f>M5-M7</f>
        <v/>
      </c>
      <c r="N8" s="34">
        <f>IF(COUNT(N5,N7)=2,N5-N7,"")</f>
        <v/>
      </c>
      <c r="O8" s="34">
        <f>O5-O7</f>
        <v/>
      </c>
      <c r="P8" s="34">
        <f>P5-P7</f>
        <v/>
      </c>
      <c r="Q8" s="24">
        <f>IF(COUNT(Q5,Q7)=2,Q5-Q7,"")</f>
        <v/>
      </c>
      <c r="R8" s="24">
        <f>R5-R7</f>
        <v/>
      </c>
      <c r="S8" s="24">
        <f>S5-S7</f>
        <v/>
      </c>
      <c r="T8" s="34">
        <f>IF(COUNT(T5,T7)=2,T5-T7,"")</f>
        <v/>
      </c>
      <c r="U8" s="34">
        <f>U5-U7</f>
        <v/>
      </c>
      <c r="V8" s="34">
        <f>V5-V7</f>
        <v/>
      </c>
      <c r="W8" s="24">
        <f>IF(COUNT(W5,W7)=2,W5-W7,"")</f>
        <v/>
      </c>
      <c r="X8" s="24">
        <f>X5-X7</f>
        <v/>
      </c>
      <c r="Y8" s="24">
        <f>Y5-Y7</f>
        <v/>
      </c>
      <c r="Z8" s="34">
        <f>IF(COUNT(Z5,Z7)=2,Z5-Z7,"")</f>
        <v/>
      </c>
      <c r="AA8" s="34">
        <f>AA5-AA7</f>
        <v/>
      </c>
      <c r="AB8" s="34">
        <f>AB5-AB7</f>
        <v/>
      </c>
      <c r="AC8" s="24">
        <f>IF(COUNT(AC5,AC7)=2,AC5-AC7,"")</f>
        <v/>
      </c>
      <c r="AD8" s="24">
        <f>AD5-AD7</f>
        <v/>
      </c>
      <c r="AE8" s="24">
        <f>AE5-AE7</f>
        <v/>
      </c>
      <c r="AF8" s="34">
        <f>IF(COUNT(AF5,AF7)=2,AF5-AF7,"")</f>
        <v/>
      </c>
      <c r="AG8" s="34">
        <f>AG5-AG7</f>
        <v/>
      </c>
      <c r="AH8" s="34">
        <f>AH5-AH7</f>
        <v/>
      </c>
      <c r="AI8" s="24">
        <f>IF(COUNT(AI5,AI7)=2,AI5-AI7,"")</f>
        <v/>
      </c>
      <c r="AJ8" s="24">
        <f>AJ5-AJ7</f>
        <v/>
      </c>
      <c r="AK8" s="24">
        <f>AK5-AK7</f>
        <v/>
      </c>
      <c r="AL8" s="34">
        <f>IF(COUNT(AL5,AL7)=2,AL5-AL7,"")</f>
        <v/>
      </c>
      <c r="AM8" s="34">
        <f>AM5-AM7</f>
        <v/>
      </c>
      <c r="AN8" s="34">
        <f>AN5-AN7</f>
        <v/>
      </c>
      <c r="AO8" s="24">
        <f>IF(COUNT(AO5,AO7)=2,AO5-AO7,"")</f>
        <v/>
      </c>
      <c r="AP8" s="24">
        <f>AP5-AP7</f>
        <v/>
      </c>
      <c r="AQ8" s="24">
        <f>AQ5-AQ7</f>
        <v/>
      </c>
      <c r="AR8" s="34">
        <f>IF(COUNT(AR5,AR7)=2,AR5-AR7,"")</f>
        <v/>
      </c>
      <c r="AS8" s="34">
        <f>AS5-AS7</f>
        <v/>
      </c>
      <c r="AT8" s="34">
        <f>AT5-AT7</f>
        <v/>
      </c>
      <c r="AU8" s="24">
        <f>IF(COUNT(AU5,AU7)=2,AU5-AU7,"")</f>
        <v/>
      </c>
      <c r="AV8" s="24">
        <f>AV5-AV7</f>
        <v/>
      </c>
      <c r="AW8" s="24">
        <f>AW5-AW7</f>
        <v/>
      </c>
      <c r="AX8" s="34">
        <f>IF(COUNT(AX5,AX7)=2,AX5-AX7,"")</f>
        <v/>
      </c>
      <c r="AY8" s="34">
        <f>AY5-AY7</f>
        <v/>
      </c>
      <c r="AZ8" s="34">
        <f>AZ5-AZ7</f>
        <v/>
      </c>
      <c r="BA8" s="24">
        <f>IF(COUNT(BA5,BA7)=2,BA5-BA7,"")</f>
        <v/>
      </c>
      <c r="BB8" s="24">
        <f>BB5-BB7</f>
        <v/>
      </c>
      <c r="BC8" s="24">
        <f>BC5-BC7</f>
        <v/>
      </c>
      <c r="BD8" s="34">
        <f>IF(COUNT(BD5,BD7)=2,BD5-BD7,"")</f>
        <v/>
      </c>
      <c r="BE8" s="34">
        <f>BE5-BE7</f>
        <v/>
      </c>
      <c r="BF8" s="34">
        <f>BF5-BF7</f>
        <v/>
      </c>
      <c r="BG8" s="24">
        <f>IF(COUNT(BG5,BG7)=2,BG5-BG7,"")</f>
        <v/>
      </c>
      <c r="BH8" s="24">
        <f>BH5-BH7</f>
        <v/>
      </c>
      <c r="BI8" s="24">
        <f>BI5-BI7</f>
        <v/>
      </c>
      <c r="BJ8" s="34">
        <f>IF(COUNT(BJ5,BJ7)=2,BJ5-BJ7,"")</f>
        <v/>
      </c>
      <c r="BK8" s="34">
        <f>BK5-BK7</f>
        <v/>
      </c>
      <c r="BL8" s="34">
        <f>BL5-BL7</f>
        <v/>
      </c>
      <c r="BM8" s="24">
        <f>IF(COUNT(BM5,BM7)=2,BM5-BM7,"")</f>
        <v/>
      </c>
      <c r="BN8" s="24">
        <f>BN5-BN7</f>
        <v/>
      </c>
      <c r="BO8" s="24">
        <f>BO5-BO7</f>
        <v/>
      </c>
      <c r="BP8" s="34">
        <f>IF(COUNT(BP5,BP7)=2,BP5-BP7,"")</f>
        <v/>
      </c>
      <c r="BQ8" s="34">
        <f>BQ5-BQ7</f>
        <v/>
      </c>
      <c r="BR8" s="34">
        <f>BR5-BR7</f>
        <v/>
      </c>
      <c r="BS8" s="24">
        <f>IF(COUNT(BS5,BS7)=2,BS5-BS7,"")</f>
        <v/>
      </c>
      <c r="BT8" s="24">
        <f>BT5-BT7</f>
        <v/>
      </c>
      <c r="BU8" s="24">
        <f>BU5-BU7</f>
        <v/>
      </c>
      <c r="BV8" s="34">
        <f>IF(COUNT(BV5,BV7)=2,BV5-BV7,"")</f>
        <v/>
      </c>
      <c r="BW8" s="34">
        <f>BW5-BW7</f>
        <v/>
      </c>
      <c r="BX8" s="34">
        <f>BX5-BX7</f>
        <v/>
      </c>
      <c r="BY8" s="24">
        <f>IF(COUNT(BY5,BY7)=2,BY5-BY7,"")</f>
        <v/>
      </c>
      <c r="BZ8" s="24">
        <f>BZ5-BZ7</f>
        <v/>
      </c>
      <c r="CA8" s="24">
        <f>CA5-CA7</f>
        <v/>
      </c>
      <c r="CB8" s="34">
        <f>IF(COUNT(CB5,CB7)=2,CB5-CB7,"")</f>
        <v/>
      </c>
      <c r="CC8" s="34">
        <f>CC5-CC7</f>
        <v/>
      </c>
      <c r="CD8" s="34">
        <f>CD5-CD7</f>
        <v/>
      </c>
      <c r="CE8" s="24">
        <f>IF(COUNT(CE5,CE7)=2,CE5-CE7,"")</f>
        <v/>
      </c>
      <c r="CF8" s="24">
        <f>CF5-CF7</f>
        <v/>
      </c>
      <c r="CG8" s="24">
        <f>CG5-CG7</f>
        <v/>
      </c>
      <c r="CH8" s="34">
        <f>IF(COUNT(CH5,CH7)=2,CH5-CH7,"")</f>
        <v/>
      </c>
      <c r="CI8" s="34">
        <f>CI5-CI7</f>
        <v/>
      </c>
      <c r="CJ8" s="34">
        <f>CJ5-CJ7</f>
        <v/>
      </c>
      <c r="CK8" s="24">
        <f>IF(COUNT(CK5,CK7)=2,CK5-CK7,"")</f>
        <v/>
      </c>
      <c r="CL8" s="24">
        <f>CL5-CL7</f>
        <v/>
      </c>
      <c r="CM8" s="24">
        <f>CM5-CM7</f>
        <v/>
      </c>
      <c r="CN8" s="34">
        <f>IF(COUNT(CN5,CN7)=2,CN5-CN7,"")</f>
        <v/>
      </c>
      <c r="CO8" s="34">
        <f>CO5-CO7</f>
        <v/>
      </c>
      <c r="CP8" s="34">
        <f>CP5-CP7</f>
        <v/>
      </c>
      <c r="CQ8" s="24">
        <f>IF(COUNT(CQ5,CQ7)=2,CQ5-CQ7,"")</f>
        <v/>
      </c>
      <c r="CR8" s="24">
        <f>CR5-CR7</f>
        <v/>
      </c>
      <c r="CS8" s="24">
        <f>CS5-CS7</f>
        <v/>
      </c>
      <c r="CT8" s="34">
        <f>IF(COUNT(CT5,CT7)=2,CT5-CT7,"")</f>
        <v/>
      </c>
      <c r="CU8" s="34">
        <f>CU5-CU7</f>
        <v/>
      </c>
      <c r="CV8" s="34">
        <f>CV5-CV7</f>
        <v/>
      </c>
      <c r="CW8" s="24">
        <f>IF(COUNT(CW5,CW7)=2,CW5-CW7,"")</f>
        <v/>
      </c>
      <c r="CX8" s="24">
        <f>CX5-CX7</f>
        <v/>
      </c>
      <c r="CY8" s="24">
        <f>CY5-CY7</f>
        <v/>
      </c>
      <c r="CZ8" s="34">
        <f>IF(COUNT(CZ5,CZ7)=2,CZ5-CZ7,"")</f>
        <v/>
      </c>
      <c r="DA8" s="34">
        <f>DA5-DA7</f>
        <v/>
      </c>
      <c r="DB8" s="34">
        <f>DB5-DB7</f>
        <v/>
      </c>
      <c r="DC8" s="24">
        <f>IF(COUNT(DC5,DC7)=2,DC5-DC7,"")</f>
        <v/>
      </c>
      <c r="DD8" s="24">
        <f>DD5-DD7</f>
        <v/>
      </c>
      <c r="DE8" s="24">
        <f>DE5-DE7</f>
        <v/>
      </c>
      <c r="DF8" s="34">
        <f>IF(COUNT(DF5,DF7)=2,DF5-DF7,"")</f>
        <v/>
      </c>
      <c r="DG8" s="34">
        <f>DG5-DG7</f>
        <v/>
      </c>
      <c r="DH8" s="34">
        <f>DH5-DH7</f>
        <v/>
      </c>
      <c r="DI8" s="24">
        <f>IF(COUNT(DI5,DI7)=2,DI5-DI7,"")</f>
        <v/>
      </c>
      <c r="DJ8" s="24">
        <f>DJ5-DJ7</f>
        <v/>
      </c>
      <c r="DK8" s="24">
        <f>DK5-DK7</f>
        <v/>
      </c>
      <c r="DL8" s="34">
        <f>IF(COUNT(DL5,DL7)=2,DL5-DL7,"")</f>
        <v/>
      </c>
      <c r="DM8" s="34">
        <f>DM5-DM7</f>
        <v/>
      </c>
      <c r="DN8" s="34">
        <f>DN5-DN7</f>
        <v/>
      </c>
    </row>
    <row r="9">
      <c r="A9" s="15" t="inlineStr">
        <is>
          <t>Contract Value Uplift per Product Release</t>
        </is>
      </c>
      <c r="B9" s="57">
        <f>IF(K9&lt;&gt;"",K9,IF(N9&lt;&gt;"",N9,IF(Q9&lt;&gt;"",Q9,IF(T9&lt;&gt;"",T9,IF(W9&lt;&gt;"",W9,IF(Z9&lt;&gt;"",Z9,IF(AC9&lt;&gt;"",AC9,IF(AF9&lt;&gt;"",AF9,IF(AI9&lt;&gt;"",AI9,IF(AL9&lt;&gt;"",AL9,IF(AO9&lt;&gt;"",AO9,IF(AR9&lt;&gt;"",AR9,""))))))))))))</f>
        <v/>
      </c>
      <c r="C9" s="57">
        <f>IF(L9&lt;&gt;"",L9,IF(O9&lt;&gt;"",O9,IF(R9&lt;&gt;"",R9,IF(U9&lt;&gt;"",U9,IF(X9&lt;&gt;"",X9,IF(AA9&lt;&gt;"",AA9,IF(AD9&lt;&gt;"",AD9,IF(AG9&lt;&gt;"",AG9,IF(AJ9&lt;&gt;"",AJ9,IF(AM9&lt;&gt;"",AM9,IF(AP9&lt;&gt;"",AP9,IF(AS9&lt;&gt;"",AS9,""))))))))))))</f>
        <v/>
      </c>
      <c r="D9" s="57">
        <f>IF(M9&lt;&gt;"",M9,IF(P9&lt;&gt;"",P9,IF(S9&lt;&gt;"",S9,IF(V9&lt;&gt;"",V9,IF(Y9&lt;&gt;"",Y9,IF(AB9&lt;&gt;"",AB9,IF(AE9&lt;&gt;"",AE9,IF(AH9&lt;&gt;"",AH9,IF(AK9&lt;&gt;"",AK9,IF(AN9&lt;&gt;"",AN9,IF(AQ9&lt;&gt;"",AQ9,IF(AT9&lt;&gt;"",AT9,""))))))))))))</f>
        <v/>
      </c>
      <c r="E9" s="58">
        <f>IF(AU9&lt;&gt;"",AU9,IF(AX9&lt;&gt;"",AX9,IF(BA9&lt;&gt;"",BA9,IF(BD9&lt;&gt;"",BD9,IF(BG9&lt;&gt;"",BG9,IF(BJ9&lt;&gt;"",BJ9,IF(BM9&lt;&gt;"",BM9,IF(BP9&lt;&gt;"",BP9,IF(BS9&lt;&gt;"",BS9,IF(BV9&lt;&gt;"",BV9,IF(BY9&lt;&gt;"",BY9,IF(CB9&lt;&gt;"",CB9,""))))))))))))</f>
        <v/>
      </c>
      <c r="F9" s="58">
        <f>IF(AV9&lt;&gt;"",AV9,IF(AY9&lt;&gt;"",AY9,IF(BB9&lt;&gt;"",BB9,IF(BE9&lt;&gt;"",BE9,IF(BH9&lt;&gt;"",BH9,IF(BK9&lt;&gt;"",BK9,IF(BN9&lt;&gt;"",BN9,IF(BQ9&lt;&gt;"",BQ9,IF(BT9&lt;&gt;"",BT9,IF(BW9&lt;&gt;"",BW9,IF(BZ9&lt;&gt;"",BZ9,IF(CC9&lt;&gt;"",CC9,""))))))))))))</f>
        <v/>
      </c>
      <c r="G9" s="58">
        <f>IF(AW9&lt;&gt;"",AW9,IF(AZ9&lt;&gt;"",AZ9,IF(BC9&lt;&gt;"",BC9,IF(BF9&lt;&gt;"",BF9,IF(BI9&lt;&gt;"",BI9,IF(BL9&lt;&gt;"",BL9,IF(BO9&lt;&gt;"",BO9,IF(BR9&lt;&gt;"",BR9,IF(BU9&lt;&gt;"",BU9,IF(BX9&lt;&gt;"",BX9,IF(CA9&lt;&gt;"",CA9,IF(CD9&lt;&gt;"",CD9,""))))))))))))</f>
        <v/>
      </c>
      <c r="H9" s="57">
        <f>IF(CE9&lt;&gt;"",CE9,IF(CH9&lt;&gt;"",CH9,IF(CK9&lt;&gt;"",CK9,IF(CN9&lt;&gt;"",CN9,IF(CQ9&lt;&gt;"",CQ9,IF(CT9&lt;&gt;"",CT9,IF(CW9&lt;&gt;"",CW9,IF(CZ9&lt;&gt;"",CZ9,IF(DC9&lt;&gt;"",DC9,IF(DF9&lt;&gt;"",DF9,IF(DI9&lt;&gt;"",DI9,IF(DL9&lt;&gt;"",DL9,""))))))))))))</f>
        <v/>
      </c>
      <c r="I9" s="57">
        <f>IF(CF9&lt;&gt;"",CF9,IF(CI9&lt;&gt;"",CI9,IF(CL9&lt;&gt;"",CL9,IF(CO9&lt;&gt;"",CO9,IF(CR9&lt;&gt;"",CR9,IF(CU9&lt;&gt;"",CU9,IF(CX9&lt;&gt;"",CX9,IF(DA9&lt;&gt;"",DA9,IF(DD9&lt;&gt;"",DD9,IF(DG9&lt;&gt;"",DG9,IF(DJ9&lt;&gt;"",DJ9,IF(DM9&lt;&gt;"",DM9,""))))))))))))</f>
        <v/>
      </c>
      <c r="J9" s="57">
        <f>IF(CG9&lt;&gt;"",CG9,IF(CJ9&lt;&gt;"",CJ9,IF(CM9&lt;&gt;"",CM9,IF(CP9&lt;&gt;"",CP9,IF(CS9&lt;&gt;"",CS9,IF(CV9&lt;&gt;"",CV9,IF(CY9&lt;&gt;"",CY9,IF(DB9&lt;&gt;"",DB9,IF(DE9&lt;&gt;"",DE9,IF(DH9&lt;&gt;"",DH9,IF(DK9&lt;&gt;"",DK9,IF(DN9&lt;&gt;"",DN9,""))))))))))))</f>
        <v/>
      </c>
      <c r="K9" s="59" t="n"/>
      <c r="L9" s="58" t="n">
        <v>1.5</v>
      </c>
      <c r="M9" s="58" t="n">
        <v>1.5</v>
      </c>
      <c r="N9" s="60" t="n"/>
      <c r="O9" s="57" t="n">
        <v>1.5</v>
      </c>
      <c r="P9" s="57" t="n">
        <v>1.5</v>
      </c>
      <c r="Q9" s="59" t="n"/>
      <c r="R9" s="58" t="n">
        <v>1.5</v>
      </c>
      <c r="S9" s="58" t="n">
        <v>1.5</v>
      </c>
      <c r="T9" s="60" t="n"/>
      <c r="U9" s="57" t="n">
        <v>1.5</v>
      </c>
      <c r="V9" s="57" t="n">
        <v>1.5</v>
      </c>
      <c r="W9" s="59" t="n"/>
      <c r="X9" s="58" t="n">
        <v>1.5</v>
      </c>
      <c r="Y9" s="58" t="n">
        <v>1.5</v>
      </c>
      <c r="Z9" s="60" t="n"/>
      <c r="AA9" s="57" t="n">
        <v>1.5</v>
      </c>
      <c r="AB9" s="57" t="n">
        <v>1.5</v>
      </c>
      <c r="AC9" s="59" t="n"/>
      <c r="AD9" s="58" t="n">
        <v>1.5</v>
      </c>
      <c r="AE9" s="58" t="n">
        <v>1.5</v>
      </c>
      <c r="AF9" s="60" t="n"/>
      <c r="AG9" s="57" t="n">
        <v>1.5</v>
      </c>
      <c r="AH9" s="57" t="n">
        <v>1.5</v>
      </c>
      <c r="AI9" s="59" t="n"/>
      <c r="AJ9" s="58" t="n">
        <v>1.5</v>
      </c>
      <c r="AK9" s="58" t="n">
        <v>1.5</v>
      </c>
      <c r="AL9" s="60" t="n"/>
      <c r="AM9" s="57" t="n">
        <v>1.5</v>
      </c>
      <c r="AN9" s="57" t="n">
        <v>1.5</v>
      </c>
      <c r="AO9" s="59" t="n"/>
      <c r="AP9" s="58" t="n">
        <v>1.5</v>
      </c>
      <c r="AQ9" s="58" t="n">
        <v>1.5</v>
      </c>
      <c r="AR9" s="60" t="n"/>
      <c r="AS9" s="57" t="n">
        <v>1.5</v>
      </c>
      <c r="AT9" s="57" t="n">
        <v>1.5</v>
      </c>
      <c r="AU9" s="59" t="n"/>
      <c r="AV9" s="58" t="n">
        <v>1.5</v>
      </c>
      <c r="AW9" s="58" t="n">
        <v>1.5</v>
      </c>
      <c r="AX9" s="60" t="n"/>
      <c r="AY9" s="57" t="n">
        <v>1.5</v>
      </c>
      <c r="AZ9" s="57" t="n">
        <v>1.5</v>
      </c>
      <c r="BA9" s="59" t="n"/>
      <c r="BB9" s="58" t="n">
        <v>1.5</v>
      </c>
      <c r="BC9" s="58" t="n">
        <v>1.5</v>
      </c>
      <c r="BD9" s="60" t="n"/>
      <c r="BE9" s="57" t="n">
        <v>1.5</v>
      </c>
      <c r="BF9" s="57" t="n">
        <v>1.5</v>
      </c>
      <c r="BG9" s="59" t="n"/>
      <c r="BH9" s="58" t="n">
        <v>1.5</v>
      </c>
      <c r="BI9" s="58" t="n">
        <v>1.5</v>
      </c>
      <c r="BJ9" s="60" t="n"/>
      <c r="BK9" s="57" t="n">
        <v>1.5</v>
      </c>
      <c r="BL9" s="57" t="n">
        <v>1.5</v>
      </c>
      <c r="BM9" s="59" t="n"/>
      <c r="BN9" s="58" t="n">
        <v>1.5</v>
      </c>
      <c r="BO9" s="58" t="n">
        <v>1.5</v>
      </c>
      <c r="BP9" s="60" t="n"/>
      <c r="BQ9" s="57" t="n">
        <v>1.5</v>
      </c>
      <c r="BR9" s="57" t="n">
        <v>1.5</v>
      </c>
      <c r="BS9" s="59" t="n"/>
      <c r="BT9" s="58" t="n">
        <v>1.5</v>
      </c>
      <c r="BU9" s="58" t="n">
        <v>1.5</v>
      </c>
      <c r="BV9" s="60" t="n"/>
      <c r="BW9" s="57" t="n">
        <v>1.5</v>
      </c>
      <c r="BX9" s="57" t="n">
        <v>1.5</v>
      </c>
      <c r="BY9" s="59" t="n"/>
      <c r="BZ9" s="58" t="n">
        <v>1.5</v>
      </c>
      <c r="CA9" s="58" t="n">
        <v>1.5</v>
      </c>
      <c r="CB9" s="60" t="n"/>
      <c r="CC9" s="57" t="n">
        <v>1.5</v>
      </c>
      <c r="CD9" s="57" t="n">
        <v>1.5</v>
      </c>
      <c r="CE9" s="59" t="n"/>
      <c r="CF9" s="58" t="n">
        <v>1.5</v>
      </c>
      <c r="CG9" s="58" t="n">
        <v>1.5</v>
      </c>
      <c r="CH9" s="60" t="n"/>
      <c r="CI9" s="57" t="n">
        <v>1.5</v>
      </c>
      <c r="CJ9" s="57" t="n">
        <v>1.5</v>
      </c>
      <c r="CK9" s="59" t="n"/>
      <c r="CL9" s="58" t="n">
        <v>1.5</v>
      </c>
      <c r="CM9" s="58" t="n">
        <v>1.5</v>
      </c>
      <c r="CN9" s="60" t="n"/>
      <c r="CO9" s="57" t="n">
        <v>1.5</v>
      </c>
      <c r="CP9" s="57" t="n">
        <v>1.5</v>
      </c>
      <c r="CQ9" s="59" t="n"/>
      <c r="CR9" s="58" t="n">
        <v>1.5</v>
      </c>
      <c r="CS9" s="58" t="n">
        <v>1.5</v>
      </c>
      <c r="CT9" s="60" t="n"/>
      <c r="CU9" s="57" t="n">
        <v>1.5</v>
      </c>
      <c r="CV9" s="57" t="n">
        <v>1.5</v>
      </c>
      <c r="CW9" s="59" t="n"/>
      <c r="CX9" s="58" t="n">
        <v>1.5</v>
      </c>
      <c r="CY9" s="58" t="n">
        <v>1.5</v>
      </c>
      <c r="CZ9" s="60" t="n"/>
      <c r="DA9" s="57" t="n">
        <v>1.5</v>
      </c>
      <c r="DB9" s="57" t="n">
        <v>1.5</v>
      </c>
      <c r="DC9" s="59" t="n"/>
      <c r="DD9" s="58" t="n">
        <v>1.5</v>
      </c>
      <c r="DE9" s="58" t="n">
        <v>1.5</v>
      </c>
      <c r="DF9" s="60" t="n"/>
      <c r="DG9" s="57" t="n">
        <v>1.5</v>
      </c>
      <c r="DH9" s="57" t="n">
        <v>1.5</v>
      </c>
      <c r="DI9" s="58" t="n">
        <v>1.5</v>
      </c>
      <c r="DJ9" s="58" t="n">
        <v>1.5</v>
      </c>
      <c r="DK9" s="58" t="n">
        <v>1.5</v>
      </c>
      <c r="DL9" s="57" t="n">
        <v>1.5</v>
      </c>
      <c r="DM9" s="57" t="n">
        <v>1.5</v>
      </c>
      <c r="DN9" s="57" t="n">
        <v>1.5</v>
      </c>
    </row>
    <row r="10">
      <c r="A10" s="15" t="inlineStr">
        <is>
          <t>Ticket Reduction per Quality Release</t>
        </is>
      </c>
      <c r="B10" s="61">
        <f>IF(K10&lt;&gt;"",K10,IF(N10&lt;&gt;"",N10,IF(Q10&lt;&gt;"",Q10,IF(T10&lt;&gt;"",T10,IF(W10&lt;&gt;"",W10,IF(Z10&lt;&gt;"",Z10,IF(AC10&lt;&gt;"",AC10,IF(AF10&lt;&gt;"",AF10,IF(AI10&lt;&gt;"",AI10,IF(AL10&lt;&gt;"",AL10,IF(AO10&lt;&gt;"",AO10,IF(AR10&lt;&gt;"",AR10,""))))))))))))</f>
        <v/>
      </c>
      <c r="C10" s="61">
        <f>IF(L10&lt;&gt;"",L10,IF(O10&lt;&gt;"",O10,IF(R10&lt;&gt;"",R10,IF(U10&lt;&gt;"",U10,IF(X10&lt;&gt;"",X10,IF(AA10&lt;&gt;"",AA10,IF(AD10&lt;&gt;"",AD10,IF(AG10&lt;&gt;"",AG10,IF(AJ10&lt;&gt;"",AJ10,IF(AM10&lt;&gt;"",AM10,IF(AP10&lt;&gt;"",AP10,IF(AS10&lt;&gt;"",AS10,""))))))))))))</f>
        <v/>
      </c>
      <c r="D10" s="61">
        <f>IF(M10&lt;&gt;"",M10,IF(P10&lt;&gt;"",P10,IF(S10&lt;&gt;"",S10,IF(V10&lt;&gt;"",V10,IF(Y10&lt;&gt;"",Y10,IF(AB10&lt;&gt;"",AB10,IF(AE10&lt;&gt;"",AE10,IF(AH10&lt;&gt;"",AH10,IF(AK10&lt;&gt;"",AK10,IF(AN10&lt;&gt;"",AN10,IF(AQ10&lt;&gt;"",AQ10,IF(AT10&lt;&gt;"",AT10,""))))))))))))</f>
        <v/>
      </c>
      <c r="E10" s="62">
        <f>IF(AU10&lt;&gt;"",AU10,IF(AX10&lt;&gt;"",AX10,IF(BA10&lt;&gt;"",BA10,IF(BD10&lt;&gt;"",BD10,IF(BG10&lt;&gt;"",BG10,IF(BJ10&lt;&gt;"",BJ10,IF(BM10&lt;&gt;"",BM10,IF(BP10&lt;&gt;"",BP10,IF(BS10&lt;&gt;"",BS10,IF(BV10&lt;&gt;"",BV10,IF(BY10&lt;&gt;"",BY10,IF(CB10&lt;&gt;"",CB10,""))))))))))))</f>
        <v/>
      </c>
      <c r="F10" s="62">
        <f>IF(AV10&lt;&gt;"",AV10,IF(AY10&lt;&gt;"",AY10,IF(BB10&lt;&gt;"",BB10,IF(BE10&lt;&gt;"",BE10,IF(BH10&lt;&gt;"",BH10,IF(BK10&lt;&gt;"",BK10,IF(BN10&lt;&gt;"",BN10,IF(BQ10&lt;&gt;"",BQ10,IF(BT10&lt;&gt;"",BT10,IF(BW10&lt;&gt;"",BW10,IF(BZ10&lt;&gt;"",BZ10,IF(CC10&lt;&gt;"",CC10,""))))))))))))</f>
        <v/>
      </c>
      <c r="G10" s="62">
        <f>IF(AW10&lt;&gt;"",AW10,IF(AZ10&lt;&gt;"",AZ10,IF(BC10&lt;&gt;"",BC10,IF(BF10&lt;&gt;"",BF10,IF(BI10&lt;&gt;"",BI10,IF(BL10&lt;&gt;"",BL10,IF(BO10&lt;&gt;"",BO10,IF(BR10&lt;&gt;"",BR10,IF(BU10&lt;&gt;"",BU10,IF(BX10&lt;&gt;"",BX10,IF(CA10&lt;&gt;"",CA10,IF(CD10&lt;&gt;"",CD10,""))))))))))))</f>
        <v/>
      </c>
      <c r="H10" s="61">
        <f>IF(CE10&lt;&gt;"",CE10,IF(CH10&lt;&gt;"",CH10,IF(CK10&lt;&gt;"",CK10,IF(CN10&lt;&gt;"",CN10,IF(CQ10&lt;&gt;"",CQ10,IF(CT10&lt;&gt;"",CT10,IF(CW10&lt;&gt;"",CW10,IF(CZ10&lt;&gt;"",CZ10,IF(DC10&lt;&gt;"",DC10,IF(DF10&lt;&gt;"",DF10,IF(DI10&lt;&gt;"",DI10,IF(DL10&lt;&gt;"",DL10,""))))))))))))</f>
        <v/>
      </c>
      <c r="I10" s="61">
        <f>IF(CF10&lt;&gt;"",CF10,IF(CI10&lt;&gt;"",CI10,IF(CL10&lt;&gt;"",CL10,IF(CO10&lt;&gt;"",CO10,IF(CR10&lt;&gt;"",CR10,IF(CU10&lt;&gt;"",CU10,IF(CX10&lt;&gt;"",CX10,IF(DA10&lt;&gt;"",DA10,IF(DD10&lt;&gt;"",DD10,IF(DG10&lt;&gt;"",DG10,IF(DJ10&lt;&gt;"",DJ10,IF(DM10&lt;&gt;"",DM10,""))))))))))))</f>
        <v/>
      </c>
      <c r="J10" s="61">
        <f>IF(CG10&lt;&gt;"",CG10,IF(CJ10&lt;&gt;"",CJ10,IF(CM10&lt;&gt;"",CM10,IF(CP10&lt;&gt;"",CP10,IF(CS10&lt;&gt;"",CS10,IF(CV10&lt;&gt;"",CV10,IF(CY10&lt;&gt;"",CY10,IF(DB10&lt;&gt;"",DB10,IF(DE10&lt;&gt;"",DE10,IF(DH10&lt;&gt;"",DH10,IF(DK10&lt;&gt;"",DK10,IF(DN10&lt;&gt;"",DN10,""))))))))))))</f>
        <v/>
      </c>
      <c r="K10" s="63" t="n"/>
      <c r="L10" s="62" t="n">
        <v>0.0005</v>
      </c>
      <c r="M10" s="62" t="n">
        <v>0.0005</v>
      </c>
      <c r="N10" s="64" t="n"/>
      <c r="O10" s="61" t="n">
        <v>0.0005</v>
      </c>
      <c r="P10" s="61" t="n">
        <v>0.0005</v>
      </c>
      <c r="Q10" s="63" t="n"/>
      <c r="R10" s="62" t="n">
        <v>0.0005</v>
      </c>
      <c r="S10" s="62" t="n">
        <v>0.0005</v>
      </c>
      <c r="T10" s="64" t="n"/>
      <c r="U10" s="61" t="n">
        <v>0.0005</v>
      </c>
      <c r="V10" s="61" t="n">
        <v>0.0005</v>
      </c>
      <c r="W10" s="63" t="n"/>
      <c r="X10" s="62" t="n">
        <v>0.0005</v>
      </c>
      <c r="Y10" s="62" t="n">
        <v>0.0005</v>
      </c>
      <c r="Z10" s="64" t="n"/>
      <c r="AA10" s="61" t="n">
        <v>0.0005</v>
      </c>
      <c r="AB10" s="61" t="n">
        <v>0.0005</v>
      </c>
      <c r="AC10" s="63" t="n"/>
      <c r="AD10" s="62" t="n">
        <v>0.0005</v>
      </c>
      <c r="AE10" s="62" t="n">
        <v>0.0005</v>
      </c>
      <c r="AF10" s="64" t="n"/>
      <c r="AG10" s="61" t="n">
        <v>0.0005</v>
      </c>
      <c r="AH10" s="61" t="n">
        <v>0.0005</v>
      </c>
      <c r="AI10" s="63" t="n"/>
      <c r="AJ10" s="62" t="n">
        <v>0.0005</v>
      </c>
      <c r="AK10" s="62" t="n">
        <v>0.0005</v>
      </c>
      <c r="AL10" s="64" t="n"/>
      <c r="AM10" s="61" t="n">
        <v>0.0005</v>
      </c>
      <c r="AN10" s="61" t="n">
        <v>0.0005</v>
      </c>
      <c r="AO10" s="63" t="n"/>
      <c r="AP10" s="62" t="n">
        <v>0.0005</v>
      </c>
      <c r="AQ10" s="62" t="n">
        <v>0.0005</v>
      </c>
      <c r="AR10" s="64" t="n"/>
      <c r="AS10" s="61" t="n">
        <v>0.0005</v>
      </c>
      <c r="AT10" s="61" t="n">
        <v>0.0005</v>
      </c>
      <c r="AU10" s="63" t="n"/>
      <c r="AV10" s="62" t="n">
        <v>0.0005</v>
      </c>
      <c r="AW10" s="62" t="n">
        <v>0.0005</v>
      </c>
      <c r="AX10" s="64" t="n"/>
      <c r="AY10" s="61" t="n">
        <v>0.0005</v>
      </c>
      <c r="AZ10" s="61" t="n">
        <v>0.0005</v>
      </c>
      <c r="BA10" s="63" t="n"/>
      <c r="BB10" s="62" t="n">
        <v>0.0005</v>
      </c>
      <c r="BC10" s="62" t="n">
        <v>0.0005</v>
      </c>
      <c r="BD10" s="64" t="n"/>
      <c r="BE10" s="61" t="n">
        <v>0.0005</v>
      </c>
      <c r="BF10" s="61" t="n">
        <v>0.0005</v>
      </c>
      <c r="BG10" s="63" t="n"/>
      <c r="BH10" s="62" t="n">
        <v>0.0005</v>
      </c>
      <c r="BI10" s="62" t="n">
        <v>0.0005</v>
      </c>
      <c r="BJ10" s="64" t="n"/>
      <c r="BK10" s="61" t="n">
        <v>0.0005</v>
      </c>
      <c r="BL10" s="61" t="n">
        <v>0.0005</v>
      </c>
      <c r="BM10" s="63" t="n"/>
      <c r="BN10" s="62" t="n">
        <v>0.0005</v>
      </c>
      <c r="BO10" s="62" t="n">
        <v>0.0005</v>
      </c>
      <c r="BP10" s="64" t="n"/>
      <c r="BQ10" s="61" t="n">
        <v>0.0005</v>
      </c>
      <c r="BR10" s="61" t="n">
        <v>0.0005</v>
      </c>
      <c r="BS10" s="63" t="n"/>
      <c r="BT10" s="62" t="n">
        <v>0.0005</v>
      </c>
      <c r="BU10" s="62" t="n">
        <v>0.0005</v>
      </c>
      <c r="BV10" s="64" t="n"/>
      <c r="BW10" s="61" t="n">
        <v>0.0005</v>
      </c>
      <c r="BX10" s="61" t="n">
        <v>0.0005</v>
      </c>
      <c r="BY10" s="63" t="n"/>
      <c r="BZ10" s="62" t="n">
        <v>0.0005</v>
      </c>
      <c r="CA10" s="62" t="n">
        <v>0.0005</v>
      </c>
      <c r="CB10" s="64" t="n"/>
      <c r="CC10" s="61" t="n">
        <v>0.0005</v>
      </c>
      <c r="CD10" s="61" t="n">
        <v>0.0005</v>
      </c>
      <c r="CE10" s="63" t="n"/>
      <c r="CF10" s="62" t="n">
        <v>0.0005</v>
      </c>
      <c r="CG10" s="62" t="n">
        <v>0.0005</v>
      </c>
      <c r="CH10" s="64" t="n"/>
      <c r="CI10" s="61" t="n">
        <v>0.0005</v>
      </c>
      <c r="CJ10" s="61" t="n">
        <v>0.0005</v>
      </c>
      <c r="CK10" s="63" t="n"/>
      <c r="CL10" s="62" t="n">
        <v>0.0005</v>
      </c>
      <c r="CM10" s="62" t="n">
        <v>0.0005</v>
      </c>
      <c r="CN10" s="64" t="n"/>
      <c r="CO10" s="61" t="n">
        <v>0.0005</v>
      </c>
      <c r="CP10" s="61" t="n">
        <v>0.0005</v>
      </c>
      <c r="CQ10" s="63" t="n"/>
      <c r="CR10" s="62" t="n">
        <v>0.0005</v>
      </c>
      <c r="CS10" s="62" t="n">
        <v>0.0005</v>
      </c>
      <c r="CT10" s="64" t="n"/>
      <c r="CU10" s="61" t="n">
        <v>0.0005</v>
      </c>
      <c r="CV10" s="61" t="n">
        <v>0.0005</v>
      </c>
      <c r="CW10" s="63" t="n"/>
      <c r="CX10" s="62" t="n">
        <v>0.0005</v>
      </c>
      <c r="CY10" s="62" t="n">
        <v>0.0005</v>
      </c>
      <c r="CZ10" s="64" t="n"/>
      <c r="DA10" s="61" t="n">
        <v>0.0005</v>
      </c>
      <c r="DB10" s="61" t="n">
        <v>0.0005</v>
      </c>
      <c r="DC10" s="63" t="n"/>
      <c r="DD10" s="62" t="n">
        <v>0.0005</v>
      </c>
      <c r="DE10" s="62" t="n">
        <v>0.0005</v>
      </c>
      <c r="DF10" s="64" t="n"/>
      <c r="DG10" s="61" t="n">
        <v>0.0005</v>
      </c>
      <c r="DH10" s="61" t="n">
        <v>0.0005</v>
      </c>
      <c r="DI10" s="62" t="n">
        <v>0.0005</v>
      </c>
      <c r="DJ10" s="62" t="n">
        <v>0.0005</v>
      </c>
      <c r="DK10" s="62" t="n">
        <v>0.0005</v>
      </c>
      <c r="DL10" s="61" t="n">
        <v>0.0005</v>
      </c>
      <c r="DM10" s="61" t="n">
        <v>0.0005</v>
      </c>
      <c r="DN10" s="61" t="n">
        <v>0.0005</v>
      </c>
    </row>
    <row r="11">
      <c r="A11" s="24" t="inlineStr">
        <is>
          <t>Hosting</t>
        </is>
      </c>
      <c r="B11" s="25">
        <f>IF(COUNT(AR11,AO11,AL11,AI11,AF11,AC11,Z11,W11,T11,Q11,N11,K11)=0,"",SUM(AR11,AO11,AL11,AI11,AF11,AC11,Z11,W11,T11,Q11,N11,K11))</f>
        <v/>
      </c>
      <c r="C11" s="25">
        <f>IF(COUNT(AS11,AP11,AM11,AJ11,AG11,AD11,AA11,X11,U11,R11,O11,L11)=0,"",SUM(AS11,AP11,AM11,AJ11,AG11,AD11,AA11,X11,U11,R11,O11,L11))</f>
        <v/>
      </c>
      <c r="D11" s="25">
        <f>IF(COUNT(AT11,AQ11,AN11,AK11,AH11,AE11,AB11,Y11,V11,S11,P11,M11)=0,"",SUM(AT11,AQ11,AN11,AK11,AH11,AE11,AB11,Y11,V11,S11,P11,M11))</f>
        <v/>
      </c>
      <c r="E11" s="26">
        <f>IF(COUNT(CB11,BY11,BV11,BS11,BP11,BM11,BJ11,BG11,BD11,BA11,AX11,AU11)=0,"",SUM(CB11,BY11,BV11,BS11,BP11,BM11,BJ11,BG11,BD11,BA11,AX11,AU11))</f>
        <v/>
      </c>
      <c r="F11" s="26">
        <f>IF(COUNT(CC11,BZ11,BW11,BT11,BQ11,BN11,BK11,BH11,BE11,BB11,AY11,AV11)=0,"",SUM(CC11,BZ11,BW11,BT11,BQ11,BN11,BK11,BH11,BE11,BB11,AY11,AV11))</f>
        <v/>
      </c>
      <c r="G11" s="26">
        <f>IF(COUNT(CD11,CA11,BX11,BU11,BR11,BO11,BL11,BI11,BF11,BC11,AZ11,AW11)=0,"",SUM(CD11,CA11,BX11,BU11,BR11,BO11,BL11,BI11,BF11,BC11,AZ11,AW11))</f>
        <v/>
      </c>
      <c r="H11" s="25">
        <f>IF(COUNT(DL11,DI11,DF11,DC11,CZ11,CW11,CT11,CQ11,CN11,CK11,CH11,CE11)=0,"",SUM(DL11,DI11,DF11,DC11,CZ11,CW11,CT11,CQ11,CN11,CK11,CH11,CE11))</f>
        <v/>
      </c>
      <c r="I11" s="25">
        <f>IF(COUNT(DM11,DJ11,DG11,DD11,DA11,CX11,CU11,CR11,CO11,CL11,CI11,CF11)=0,"",SUM(DM11,DJ11,DG11,DD11,DA11,CX11,CU11,CR11,CO11,CL11,CI11,CF11))</f>
        <v/>
      </c>
      <c r="J11" s="25">
        <f>IF(COUNT(DN11,DK11,DH11,DE11,DB11,CY11,CV11,CS11,CP11,CM11,CJ11,CG11)=0,"",SUM(DN11,DK11,DH11,DE11,DB11,CY11,CV11,CS11,CP11,CM11,CJ11,CG11))</f>
        <v/>
      </c>
      <c r="K11" s="26" t="n"/>
      <c r="L11" s="26">
        <f>'Summary'!O16*Engineering!$B$60</f>
        <v/>
      </c>
      <c r="M11" s="26">
        <f>'Summary'!P16*Engineering!$B$60</f>
        <v/>
      </c>
      <c r="N11" s="25" t="n"/>
      <c r="O11" s="25">
        <f>'Summary'!R16*Engineering!$B$60</f>
        <v/>
      </c>
      <c r="P11" s="25">
        <f>'Summary'!S16*Engineering!$B$60</f>
        <v/>
      </c>
      <c r="Q11" s="26" t="n"/>
      <c r="R11" s="26">
        <f>'Summary'!U16*Engineering!$B$60</f>
        <v/>
      </c>
      <c r="S11" s="26">
        <f>'Summary'!V16*Engineering!$B$60</f>
        <v/>
      </c>
      <c r="T11" s="25" t="n"/>
      <c r="U11" s="25">
        <f>'Summary'!X16*Engineering!$B$60</f>
        <v/>
      </c>
      <c r="V11" s="25">
        <f>'Summary'!Y16*Engineering!$B$60</f>
        <v/>
      </c>
      <c r="W11" s="26" t="n"/>
      <c r="X11" s="26">
        <f>'Summary'!AA16*Engineering!$B$60</f>
        <v/>
      </c>
      <c r="Y11" s="26">
        <f>'Summary'!AB16*Engineering!$B$60</f>
        <v/>
      </c>
      <c r="Z11" s="25" t="n"/>
      <c r="AA11" s="25">
        <f>'Summary'!AD16*Engineering!$B$60</f>
        <v/>
      </c>
      <c r="AB11" s="25">
        <f>'Summary'!AE16*Engineering!$B$60</f>
        <v/>
      </c>
      <c r="AC11" s="26" t="n"/>
      <c r="AD11" s="26">
        <f>'Summary'!AG16*Engineering!$B$60</f>
        <v/>
      </c>
      <c r="AE11" s="26">
        <f>'Summary'!AH16*Engineering!$B$60</f>
        <v/>
      </c>
      <c r="AF11" s="25" t="n"/>
      <c r="AG11" s="25">
        <f>'Summary'!AJ16*Engineering!$B$60</f>
        <v/>
      </c>
      <c r="AH11" s="25">
        <f>'Summary'!AK16*Engineering!$B$60</f>
        <v/>
      </c>
      <c r="AI11" s="26" t="n"/>
      <c r="AJ11" s="26">
        <f>'Summary'!AM16*Engineering!$B$60</f>
        <v/>
      </c>
      <c r="AK11" s="26">
        <f>'Summary'!AN16*Engineering!$B$60</f>
        <v/>
      </c>
      <c r="AL11" s="25" t="n"/>
      <c r="AM11" s="25">
        <f>'Summary'!AP16*Engineering!$B$60</f>
        <v/>
      </c>
      <c r="AN11" s="25">
        <f>'Summary'!AQ16*Engineering!$B$60</f>
        <v/>
      </c>
      <c r="AO11" s="26" t="n"/>
      <c r="AP11" s="26">
        <f>'Summary'!AS16*Engineering!$B$60</f>
        <v/>
      </c>
      <c r="AQ11" s="26">
        <f>'Summary'!AT16*Engineering!$B$60</f>
        <v/>
      </c>
      <c r="AR11" s="25" t="n"/>
      <c r="AS11" s="25">
        <f>'Summary'!AV16*Engineering!$B$60</f>
        <v/>
      </c>
      <c r="AT11" s="25">
        <f>'Summary'!AW16*Engineering!$B$60</f>
        <v/>
      </c>
      <c r="AU11" s="26" t="n"/>
      <c r="AV11" s="26">
        <f>'Summary'!AY16*Engineering!$B$60</f>
        <v/>
      </c>
      <c r="AW11" s="26">
        <f>'Summary'!AZ16*Engineering!$B$60</f>
        <v/>
      </c>
      <c r="AX11" s="25" t="n"/>
      <c r="AY11" s="25">
        <f>'Summary'!BB16*Engineering!$B$60</f>
        <v/>
      </c>
      <c r="AZ11" s="25">
        <f>'Summary'!BC16*Engineering!$B$60</f>
        <v/>
      </c>
      <c r="BA11" s="26" t="n"/>
      <c r="BB11" s="26">
        <f>'Summary'!BE16*Engineering!$B$60</f>
        <v/>
      </c>
      <c r="BC11" s="26">
        <f>'Summary'!BF16*Engineering!$B$60</f>
        <v/>
      </c>
      <c r="BD11" s="25" t="n"/>
      <c r="BE11" s="25">
        <f>'Summary'!BH16*Engineering!$B$60</f>
        <v/>
      </c>
      <c r="BF11" s="25">
        <f>'Summary'!BI16*Engineering!$B$60</f>
        <v/>
      </c>
      <c r="BG11" s="26" t="n"/>
      <c r="BH11" s="26">
        <f>'Summary'!BK16*Engineering!$B$60</f>
        <v/>
      </c>
      <c r="BI11" s="26">
        <f>'Summary'!BL16*Engineering!$B$60</f>
        <v/>
      </c>
      <c r="BJ11" s="25" t="n"/>
      <c r="BK11" s="25">
        <f>'Summary'!BN16*Engineering!$B$60</f>
        <v/>
      </c>
      <c r="BL11" s="25">
        <f>'Summary'!BO16*Engineering!$B$60</f>
        <v/>
      </c>
      <c r="BM11" s="26" t="n"/>
      <c r="BN11" s="26">
        <f>'Summary'!BQ16*Engineering!$B$60</f>
        <v/>
      </c>
      <c r="BO11" s="26">
        <f>'Summary'!BR16*Engineering!$B$60</f>
        <v/>
      </c>
      <c r="BP11" s="25" t="n"/>
      <c r="BQ11" s="25">
        <f>'Summary'!BT16*Engineering!$B$60</f>
        <v/>
      </c>
      <c r="BR11" s="25">
        <f>'Summary'!BU16*Engineering!$B$60</f>
        <v/>
      </c>
      <c r="BS11" s="26" t="n"/>
      <c r="BT11" s="26">
        <f>'Summary'!BW16*Engineering!$B$60</f>
        <v/>
      </c>
      <c r="BU11" s="26">
        <f>'Summary'!BX16*Engineering!$B$60</f>
        <v/>
      </c>
      <c r="BV11" s="25" t="n"/>
      <c r="BW11" s="25">
        <f>'Summary'!BZ16*Engineering!$B$60</f>
        <v/>
      </c>
      <c r="BX11" s="25">
        <f>'Summary'!CA16*Engineering!$B$60</f>
        <v/>
      </c>
      <c r="BY11" s="26" t="n"/>
      <c r="BZ11" s="26">
        <f>'Summary'!CC16*Engineering!$B$60</f>
        <v/>
      </c>
      <c r="CA11" s="26">
        <f>'Summary'!CD16*Engineering!$B$60</f>
        <v/>
      </c>
      <c r="CB11" s="25" t="n"/>
      <c r="CC11" s="25">
        <f>'Summary'!CF16*Engineering!$B$60</f>
        <v/>
      </c>
      <c r="CD11" s="25">
        <f>'Summary'!CG16*Engineering!$B$60</f>
        <v/>
      </c>
      <c r="CE11" s="26" t="n"/>
      <c r="CF11" s="26">
        <f>'Summary'!CI16*Engineering!$B$60</f>
        <v/>
      </c>
      <c r="CG11" s="26">
        <f>'Summary'!CJ16*Engineering!$B$60</f>
        <v/>
      </c>
      <c r="CH11" s="25" t="n"/>
      <c r="CI11" s="25">
        <f>'Summary'!CL16*Engineering!$B$60</f>
        <v/>
      </c>
      <c r="CJ11" s="25">
        <f>'Summary'!CM16*Engineering!$B$60</f>
        <v/>
      </c>
      <c r="CK11" s="26" t="n"/>
      <c r="CL11" s="26">
        <f>'Summary'!CO16*Engineering!$B$60</f>
        <v/>
      </c>
      <c r="CM11" s="26">
        <f>'Summary'!CP16*Engineering!$B$60</f>
        <v/>
      </c>
      <c r="CN11" s="25" t="n"/>
      <c r="CO11" s="25">
        <f>'Summary'!CR16*Engineering!$B$60</f>
        <v/>
      </c>
      <c r="CP11" s="25">
        <f>'Summary'!CS16*Engineering!$B$60</f>
        <v/>
      </c>
      <c r="CQ11" s="26" t="n"/>
      <c r="CR11" s="26">
        <f>'Summary'!CU16*Engineering!$B$60</f>
        <v/>
      </c>
      <c r="CS11" s="26">
        <f>'Summary'!CV16*Engineering!$B$60</f>
        <v/>
      </c>
      <c r="CT11" s="25" t="n"/>
      <c r="CU11" s="25">
        <f>'Summary'!CX16*Engineering!$B$60</f>
        <v/>
      </c>
      <c r="CV11" s="25">
        <f>'Summary'!CY16*Engineering!$B$60</f>
        <v/>
      </c>
      <c r="CW11" s="26" t="n"/>
      <c r="CX11" s="26">
        <f>'Summary'!DA16*Engineering!$B$60</f>
        <v/>
      </c>
      <c r="CY11" s="26">
        <f>'Summary'!DB16*Engineering!$B$60</f>
        <v/>
      </c>
      <c r="CZ11" s="25" t="n"/>
      <c r="DA11" s="25">
        <f>'Summary'!DD16*Engineering!$B$60</f>
        <v/>
      </c>
      <c r="DB11" s="25">
        <f>'Summary'!DE16*Engineering!$B$60</f>
        <v/>
      </c>
      <c r="DC11" s="26" t="n"/>
      <c r="DD11" s="26">
        <f>'Summary'!DG16*Engineering!$B$60</f>
        <v/>
      </c>
      <c r="DE11" s="26">
        <f>'Summary'!DH16*Engineering!$B$60</f>
        <v/>
      </c>
      <c r="DF11" s="25" t="n"/>
      <c r="DG11" s="25">
        <f>'Summary'!DJ16*Engineering!$B$60</f>
        <v/>
      </c>
      <c r="DH11" s="25">
        <f>'Summary'!DK16*Engineering!$B$60</f>
        <v/>
      </c>
      <c r="DI11" s="26">
        <f>IF(COUNT('Summary'!DL16)=1,'Summary'!DL16*Engineering!$B$60,"")</f>
        <v/>
      </c>
      <c r="DJ11" s="26">
        <f>'Summary'!DM16*Engineering!$B$60</f>
        <v/>
      </c>
      <c r="DK11" s="26">
        <f>'Summary'!DN16*Engineering!$B$60</f>
        <v/>
      </c>
      <c r="DL11" s="25">
        <f>IF(COUNT(Finance!$B$62)=1,Finance!$B$62*Engineering!$B$60,"")</f>
        <v/>
      </c>
      <c r="DM11" s="25">
        <f>Finance!$B$62*Engineering!$B$60</f>
        <v/>
      </c>
      <c r="DN11" s="25">
        <f>Finance!$B$62*Engineering!$B$60</f>
        <v/>
      </c>
    </row>
    <row r="12">
      <c r="A12" s="2" t="inlineStr">
        <is>
          <t>Salaries and Wages</t>
        </is>
      </c>
      <c r="B12" s="10">
        <f>IF(COUNT(AR12,AO12,AL12,AI12,AF12,AC12,Z12,W12,T12,Q12,N12,K12)=0,"",SUM(AR12,AO12,AL12,AI12,AF12,AC12,Z12,W12,T12,Q12,N12,K12))</f>
        <v/>
      </c>
      <c r="C12" s="10">
        <f>IF(COUNT(AS12,AP12,AM12,AJ12,AG12,AD12,AA12,X12,U12,R12,O12,L12)=0,"",SUM(AS12,AP12,AM12,AJ12,AG12,AD12,AA12,X12,U12,R12,O12,L12))</f>
        <v/>
      </c>
      <c r="D12" s="10">
        <f>IF(COUNT(AT12,AQ12,AN12,AK12,AH12,AE12,AB12,Y12,V12,S12,P12,M12)=0,"",SUM(AT12,AQ12,AN12,AK12,AH12,AE12,AB12,Y12,V12,S12,P12,M12))</f>
        <v/>
      </c>
      <c r="E12" s="11">
        <f>IF(COUNT(CB12,BY12,BV12,BS12,BP12,BM12,BJ12,BG12,BD12,BA12,AX12,AU12)=0,"",SUM(CB12,BY12,BV12,BS12,BP12,BM12,BJ12,BG12,BD12,BA12,AX12,AU12))</f>
        <v/>
      </c>
      <c r="F12" s="11">
        <f>IF(COUNT(CC12,BZ12,BW12,BT12,BQ12,BN12,BK12,BH12,BE12,BB12,AY12,AV12)=0,"",SUM(CC12,BZ12,BW12,BT12,BQ12,BN12,BK12,BH12,BE12,BB12,AY12,AV12))</f>
        <v/>
      </c>
      <c r="G12" s="11">
        <f>IF(COUNT(CD12,CA12,BX12,BU12,BR12,BO12,BL12,BI12,BF12,BC12,AZ12,AW12)=0,"",SUM(CD12,CA12,BX12,BU12,BR12,BO12,BL12,BI12,BF12,BC12,AZ12,AW12))</f>
        <v/>
      </c>
      <c r="H12" s="10">
        <f>IF(COUNT(DL12,DI12,DF12,DC12,CZ12,CW12,CT12,CQ12,CN12,CK12,CH12,CE12)=0,"",SUM(DL12,DI12,DF12,DC12,CZ12,CW12,CT12,CQ12,CN12,CK12,CH12,CE12))</f>
        <v/>
      </c>
      <c r="I12" s="10">
        <f>IF(COUNT(DM12,DJ12,DG12,DD12,DA12,CX12,CU12,CR12,CO12,CL12,CI12,CF12)=0,"",SUM(DM12,DJ12,DG12,DD12,DA12,CX12,CU12,CR12,CO12,CL12,CI12,CF12))</f>
        <v/>
      </c>
      <c r="J12" s="10">
        <f>IF(COUNT(DN12,DK12,DH12,DE12,DB12,CY12,CV12,CS12,CP12,CM12,CJ12,CG12)=0,"",SUM(DN12,DK12,DH12,DE12,DB12,CY12,CV12,CS12,CP12,CM12,CJ12,CG12))</f>
        <v/>
      </c>
      <c r="K12" s="11">
        <f>IF(COUNT(K46)=1,K46,"")</f>
        <v/>
      </c>
      <c r="L12" s="11">
        <f>L46</f>
        <v/>
      </c>
      <c r="M12" s="11">
        <f>M46</f>
        <v/>
      </c>
      <c r="N12" s="10">
        <f>IF(COUNT(N46)=1,N46,"")</f>
        <v/>
      </c>
      <c r="O12" s="10">
        <f>O46</f>
        <v/>
      </c>
      <c r="P12" s="10">
        <f>P46</f>
        <v/>
      </c>
      <c r="Q12" s="11">
        <f>IF(COUNT(Q46)=1,Q46,"")</f>
        <v/>
      </c>
      <c r="R12" s="11">
        <f>R46</f>
        <v/>
      </c>
      <c r="S12" s="11">
        <f>S46</f>
        <v/>
      </c>
      <c r="T12" s="10">
        <f>IF(COUNT(T46)=1,T46,"")</f>
        <v/>
      </c>
      <c r="U12" s="10">
        <f>U46</f>
        <v/>
      </c>
      <c r="V12" s="10">
        <f>V46</f>
        <v/>
      </c>
      <c r="W12" s="11">
        <f>IF(COUNT(W46)=1,W46,"")</f>
        <v/>
      </c>
      <c r="X12" s="11">
        <f>X46</f>
        <v/>
      </c>
      <c r="Y12" s="11">
        <f>Y46</f>
        <v/>
      </c>
      <c r="Z12" s="10">
        <f>IF(COUNT(Z46)=1,Z46,"")</f>
        <v/>
      </c>
      <c r="AA12" s="10">
        <f>AA46</f>
        <v/>
      </c>
      <c r="AB12" s="10">
        <f>AB46</f>
        <v/>
      </c>
      <c r="AC12" s="11">
        <f>IF(COUNT(AC46)=1,AC46,"")</f>
        <v/>
      </c>
      <c r="AD12" s="11">
        <f>AD46</f>
        <v/>
      </c>
      <c r="AE12" s="11">
        <f>AE46</f>
        <v/>
      </c>
      <c r="AF12" s="10">
        <f>IF(COUNT(AF46)=1,AF46,"")</f>
        <v/>
      </c>
      <c r="AG12" s="10">
        <f>AG46</f>
        <v/>
      </c>
      <c r="AH12" s="10">
        <f>AH46</f>
        <v/>
      </c>
      <c r="AI12" s="11">
        <f>IF(COUNT(AI46)=1,AI46,"")</f>
        <v/>
      </c>
      <c r="AJ12" s="11">
        <f>AJ46</f>
        <v/>
      </c>
      <c r="AK12" s="11">
        <f>AK46</f>
        <v/>
      </c>
      <c r="AL12" s="10">
        <f>IF(COUNT(AL46)=1,AL46,"")</f>
        <v/>
      </c>
      <c r="AM12" s="10">
        <f>AM46</f>
        <v/>
      </c>
      <c r="AN12" s="10">
        <f>AN46</f>
        <v/>
      </c>
      <c r="AO12" s="11">
        <f>IF(COUNT(AO46)=1,AO46,"")</f>
        <v/>
      </c>
      <c r="AP12" s="11">
        <f>AP46</f>
        <v/>
      </c>
      <c r="AQ12" s="11">
        <f>AQ46</f>
        <v/>
      </c>
      <c r="AR12" s="10">
        <f>IF(COUNT(AR46)=1,AR46,"")</f>
        <v/>
      </c>
      <c r="AS12" s="10">
        <f>AS46</f>
        <v/>
      </c>
      <c r="AT12" s="10">
        <f>AT46</f>
        <v/>
      </c>
      <c r="AU12" s="11">
        <f>IF(COUNT(AU46)=1,AU46,"")</f>
        <v/>
      </c>
      <c r="AV12" s="11">
        <f>AV46</f>
        <v/>
      </c>
      <c r="AW12" s="11">
        <f>AW46</f>
        <v/>
      </c>
      <c r="AX12" s="10">
        <f>IF(COUNT(AX46)=1,AX46,"")</f>
        <v/>
      </c>
      <c r="AY12" s="10">
        <f>AY46</f>
        <v/>
      </c>
      <c r="AZ12" s="10">
        <f>AZ46</f>
        <v/>
      </c>
      <c r="BA12" s="11">
        <f>IF(COUNT(BA46)=1,BA46,"")</f>
        <v/>
      </c>
      <c r="BB12" s="11">
        <f>BB46</f>
        <v/>
      </c>
      <c r="BC12" s="11">
        <f>BC46</f>
        <v/>
      </c>
      <c r="BD12" s="10">
        <f>IF(COUNT(BD46)=1,BD46,"")</f>
        <v/>
      </c>
      <c r="BE12" s="10">
        <f>BE46</f>
        <v/>
      </c>
      <c r="BF12" s="10">
        <f>BF46</f>
        <v/>
      </c>
      <c r="BG12" s="11">
        <f>IF(COUNT(BG46)=1,BG46,"")</f>
        <v/>
      </c>
      <c r="BH12" s="11">
        <f>BH46</f>
        <v/>
      </c>
      <c r="BI12" s="11">
        <f>BI46</f>
        <v/>
      </c>
      <c r="BJ12" s="10">
        <f>IF(COUNT(BJ46)=1,BJ46,"")</f>
        <v/>
      </c>
      <c r="BK12" s="10">
        <f>BK46</f>
        <v/>
      </c>
      <c r="BL12" s="10">
        <f>BL46</f>
        <v/>
      </c>
      <c r="BM12" s="11">
        <f>IF(COUNT(BM46)=1,BM46,"")</f>
        <v/>
      </c>
      <c r="BN12" s="11">
        <f>BN46</f>
        <v/>
      </c>
      <c r="BO12" s="11">
        <f>BO46</f>
        <v/>
      </c>
      <c r="BP12" s="10">
        <f>IF(COUNT(BP46)=1,BP46,"")</f>
        <v/>
      </c>
      <c r="BQ12" s="10">
        <f>BQ46</f>
        <v/>
      </c>
      <c r="BR12" s="10">
        <f>BR46</f>
        <v/>
      </c>
      <c r="BS12" s="11">
        <f>IF(COUNT(BS46)=1,BS46,"")</f>
        <v/>
      </c>
      <c r="BT12" s="11">
        <f>BT46</f>
        <v/>
      </c>
      <c r="BU12" s="11">
        <f>BU46</f>
        <v/>
      </c>
      <c r="BV12" s="10">
        <f>IF(COUNT(BV46)=1,BV46,"")</f>
        <v/>
      </c>
      <c r="BW12" s="10">
        <f>BW46</f>
        <v/>
      </c>
      <c r="BX12" s="10">
        <f>BX46</f>
        <v/>
      </c>
      <c r="BY12" s="11">
        <f>IF(COUNT(BY46)=1,BY46,"")</f>
        <v/>
      </c>
      <c r="BZ12" s="11">
        <f>BZ46</f>
        <v/>
      </c>
      <c r="CA12" s="11">
        <f>CA46</f>
        <v/>
      </c>
      <c r="CB12" s="10">
        <f>IF(COUNT(CB46)=1,CB46,"")</f>
        <v/>
      </c>
      <c r="CC12" s="10">
        <f>CC46</f>
        <v/>
      </c>
      <c r="CD12" s="10">
        <f>CD46</f>
        <v/>
      </c>
      <c r="CE12" s="11">
        <f>IF(COUNT(CE46)=1,CE46,"")</f>
        <v/>
      </c>
      <c r="CF12" s="11">
        <f>CF46</f>
        <v/>
      </c>
      <c r="CG12" s="11">
        <f>CG46</f>
        <v/>
      </c>
      <c r="CH12" s="10">
        <f>IF(COUNT(CH46)=1,CH46,"")</f>
        <v/>
      </c>
      <c r="CI12" s="10">
        <f>CI46</f>
        <v/>
      </c>
      <c r="CJ12" s="10">
        <f>CJ46</f>
        <v/>
      </c>
      <c r="CK12" s="11">
        <f>IF(COUNT(CK46)=1,CK46,"")</f>
        <v/>
      </c>
      <c r="CL12" s="11">
        <f>CL46</f>
        <v/>
      </c>
      <c r="CM12" s="11">
        <f>CM46</f>
        <v/>
      </c>
      <c r="CN12" s="10">
        <f>IF(COUNT(CN46)=1,CN46,"")</f>
        <v/>
      </c>
      <c r="CO12" s="10">
        <f>CO46</f>
        <v/>
      </c>
      <c r="CP12" s="10">
        <f>CP46</f>
        <v/>
      </c>
      <c r="CQ12" s="11">
        <f>IF(COUNT(CQ46)=1,CQ46,"")</f>
        <v/>
      </c>
      <c r="CR12" s="11">
        <f>CR46</f>
        <v/>
      </c>
      <c r="CS12" s="11">
        <f>CS46</f>
        <v/>
      </c>
      <c r="CT12" s="10">
        <f>IF(COUNT(CT46)=1,CT46,"")</f>
        <v/>
      </c>
      <c r="CU12" s="10">
        <f>CU46</f>
        <v/>
      </c>
      <c r="CV12" s="10">
        <f>CV46</f>
        <v/>
      </c>
      <c r="CW12" s="11">
        <f>IF(COUNT(CW46)=1,CW46,"")</f>
        <v/>
      </c>
      <c r="CX12" s="11">
        <f>CX46</f>
        <v/>
      </c>
      <c r="CY12" s="11">
        <f>CY46</f>
        <v/>
      </c>
      <c r="CZ12" s="10">
        <f>IF(COUNT(CZ46)=1,CZ46,"")</f>
        <v/>
      </c>
      <c r="DA12" s="10">
        <f>DA46</f>
        <v/>
      </c>
      <c r="DB12" s="10">
        <f>DB46</f>
        <v/>
      </c>
      <c r="DC12" s="11">
        <f>IF(COUNT(DC46)=1,DC46,"")</f>
        <v/>
      </c>
      <c r="DD12" s="11">
        <f>DD46</f>
        <v/>
      </c>
      <c r="DE12" s="11">
        <f>DE46</f>
        <v/>
      </c>
      <c r="DF12" s="10">
        <f>IF(COUNT(DF46)=1,DF46,"")</f>
        <v/>
      </c>
      <c r="DG12" s="10">
        <f>DG46</f>
        <v/>
      </c>
      <c r="DH12" s="10">
        <f>DH46</f>
        <v/>
      </c>
      <c r="DI12" s="11">
        <f>IF(COUNT(DI46)=1,DI46,"")</f>
        <v/>
      </c>
      <c r="DJ12" s="11">
        <f>DJ46</f>
        <v/>
      </c>
      <c r="DK12" s="11">
        <f>DK46</f>
        <v/>
      </c>
      <c r="DL12" s="10">
        <f>IF(COUNT(DL46)=1,DL46,"")</f>
        <v/>
      </c>
      <c r="DM12" s="10">
        <f>DM46</f>
        <v/>
      </c>
      <c r="DN12" s="10">
        <f>DN46</f>
        <v/>
      </c>
    </row>
    <row r="13">
      <c r="A13" s="2" t="inlineStr">
        <is>
          <t>Bonuses</t>
        </is>
      </c>
      <c r="B13" s="10">
        <f>IF(COUNT(AR13,AO13,AL13,AI13,AF13,AC13,Z13,W13,T13,Q13,N13,K13)=0,"",SUM(AR13,AO13,AL13,AI13,AF13,AC13,Z13,W13,T13,Q13,N13,K13))</f>
        <v/>
      </c>
      <c r="C13" s="10">
        <f>IF(COUNT(AS13,AP13,AM13,AJ13,AG13,AD13,AA13,X13,U13,R13,O13,L13)=0,"",SUM(AS13,AP13,AM13,AJ13,AG13,AD13,AA13,X13,U13,R13,O13,L13))</f>
        <v/>
      </c>
      <c r="D13" s="10">
        <f>IF(COUNT(AT13,AQ13,AN13,AK13,AH13,AE13,AB13,Y13,V13,S13,P13,M13)=0,"",SUM(AT13,AQ13,AN13,AK13,AH13,AE13,AB13,Y13,V13,S13,P13,M13))</f>
        <v/>
      </c>
      <c r="E13" s="11">
        <f>IF(COUNT(CB13,BY13,BV13,BS13,BP13,BM13,BJ13,BG13,BD13,BA13,AX13,AU13)=0,"",SUM(CB13,BY13,BV13,BS13,BP13,BM13,BJ13,BG13,BD13,BA13,AX13,AU13))</f>
        <v/>
      </c>
      <c r="F13" s="11">
        <f>IF(COUNT(CC13,BZ13,BW13,BT13,BQ13,BN13,BK13,BH13,BE13,BB13,AY13,AV13)=0,"",SUM(CC13,BZ13,BW13,BT13,BQ13,BN13,BK13,BH13,BE13,BB13,AY13,AV13))</f>
        <v/>
      </c>
      <c r="G13" s="11">
        <f>IF(COUNT(CD13,CA13,BX13,BU13,BR13,BO13,BL13,BI13,BF13,BC13,AZ13,AW13)=0,"",SUM(CD13,CA13,BX13,BU13,BR13,BO13,BL13,BI13,BF13,BC13,AZ13,AW13))</f>
        <v/>
      </c>
      <c r="H13" s="10">
        <f>IF(COUNT(DL13,DI13,DF13,DC13,CZ13,CW13,CT13,CQ13,CN13,CK13,CH13,CE13)=0,"",SUM(DL13,DI13,DF13,DC13,CZ13,CW13,CT13,CQ13,CN13,CK13,CH13,CE13))</f>
        <v/>
      </c>
      <c r="I13" s="10">
        <f>IF(COUNT(DM13,DJ13,DG13,DD13,DA13,CX13,CU13,CR13,CO13,CL13,CI13,CF13)=0,"",SUM(DM13,DJ13,DG13,DD13,DA13,CX13,CU13,CR13,CO13,CL13,CI13,CF13))</f>
        <v/>
      </c>
      <c r="J13" s="10">
        <f>IF(COUNT(DN13,DK13,DH13,DE13,DB13,CY13,CV13,CS13,CP13,CM13,CJ13,CG13)=0,"",SUM(DN13,DK13,DH13,DE13,DB13,CY13,CV13,CS13,CP13,CM13,CJ13,CG13))</f>
        <v/>
      </c>
      <c r="K13" s="11" t="n"/>
      <c r="L13" s="11" t="n">
        <v>2000</v>
      </c>
      <c r="M13" s="11" t="n">
        <v>2000</v>
      </c>
      <c r="N13" s="10" t="n"/>
      <c r="O13" s="10" t="n">
        <v>2000</v>
      </c>
      <c r="P13" s="10" t="n">
        <v>2000</v>
      </c>
      <c r="Q13" s="11" t="n"/>
      <c r="R13" s="11" t="n">
        <v>2000</v>
      </c>
      <c r="S13" s="11" t="n">
        <v>2000</v>
      </c>
      <c r="T13" s="10" t="n"/>
      <c r="U13" s="10" t="n">
        <v>2000</v>
      </c>
      <c r="V13" s="10" t="n">
        <v>2000</v>
      </c>
      <c r="W13" s="11" t="n"/>
      <c r="X13" s="11" t="n">
        <v>2000</v>
      </c>
      <c r="Y13" s="11" t="n">
        <v>2000</v>
      </c>
      <c r="Z13" s="10" t="n"/>
      <c r="AA13" s="10" t="n">
        <v>2000</v>
      </c>
      <c r="AB13" s="10" t="n">
        <v>2000</v>
      </c>
      <c r="AC13" s="11" t="n"/>
      <c r="AD13" s="11" t="n">
        <v>2000</v>
      </c>
      <c r="AE13" s="11" t="n">
        <v>2000</v>
      </c>
      <c r="AF13" s="10" t="n"/>
      <c r="AG13" s="10" t="n">
        <v>2000</v>
      </c>
      <c r="AH13" s="10" t="n">
        <v>2000</v>
      </c>
      <c r="AI13" s="11" t="n"/>
      <c r="AJ13" s="11" t="n">
        <v>2000</v>
      </c>
      <c r="AK13" s="11" t="n">
        <v>2000</v>
      </c>
      <c r="AL13" s="10" t="n"/>
      <c r="AM13" s="10" t="n">
        <v>2000</v>
      </c>
      <c r="AN13" s="10" t="n">
        <v>2000</v>
      </c>
      <c r="AO13" s="11" t="n"/>
      <c r="AP13" s="11" t="n">
        <v>2000</v>
      </c>
      <c r="AQ13" s="11" t="n">
        <v>2000</v>
      </c>
      <c r="AR13" s="10" t="n"/>
      <c r="AS13" s="10" t="n">
        <v>2000</v>
      </c>
      <c r="AT13" s="10" t="n">
        <v>2000</v>
      </c>
      <c r="AU13" s="11" t="n"/>
      <c r="AV13" s="11" t="n">
        <v>2000</v>
      </c>
      <c r="AW13" s="11" t="n">
        <v>2000</v>
      </c>
      <c r="AX13" s="10" t="n"/>
      <c r="AY13" s="10" t="n">
        <v>2000</v>
      </c>
      <c r="AZ13" s="10" t="n">
        <v>2000</v>
      </c>
      <c r="BA13" s="11" t="n"/>
      <c r="BB13" s="11" t="n">
        <v>2000</v>
      </c>
      <c r="BC13" s="11" t="n">
        <v>2000</v>
      </c>
      <c r="BD13" s="10" t="n"/>
      <c r="BE13" s="10" t="n">
        <v>2000</v>
      </c>
      <c r="BF13" s="10" t="n">
        <v>2000</v>
      </c>
      <c r="BG13" s="11" t="n"/>
      <c r="BH13" s="11" t="n">
        <v>2000</v>
      </c>
      <c r="BI13" s="11" t="n">
        <v>2000</v>
      </c>
      <c r="BJ13" s="10" t="n"/>
      <c r="BK13" s="10" t="n">
        <v>2000</v>
      </c>
      <c r="BL13" s="10" t="n">
        <v>2000</v>
      </c>
      <c r="BM13" s="11" t="n"/>
      <c r="BN13" s="11" t="n">
        <v>2000</v>
      </c>
      <c r="BO13" s="11" t="n">
        <v>2000</v>
      </c>
      <c r="BP13" s="10" t="n"/>
      <c r="BQ13" s="10" t="n">
        <v>2000</v>
      </c>
      <c r="BR13" s="10" t="n">
        <v>2000</v>
      </c>
      <c r="BS13" s="11" t="n"/>
      <c r="BT13" s="11" t="n">
        <v>2000</v>
      </c>
      <c r="BU13" s="11" t="n">
        <v>2000</v>
      </c>
      <c r="BV13" s="10" t="n"/>
      <c r="BW13" s="10" t="n">
        <v>2000</v>
      </c>
      <c r="BX13" s="10" t="n">
        <v>2000</v>
      </c>
      <c r="BY13" s="11" t="n"/>
      <c r="BZ13" s="11" t="n">
        <v>2000</v>
      </c>
      <c r="CA13" s="11" t="n">
        <v>2000</v>
      </c>
      <c r="CB13" s="10" t="n"/>
      <c r="CC13" s="10" t="n">
        <v>2000</v>
      </c>
      <c r="CD13" s="10" t="n">
        <v>2000</v>
      </c>
      <c r="CE13" s="11" t="n"/>
      <c r="CF13" s="11" t="n">
        <v>2000</v>
      </c>
      <c r="CG13" s="11" t="n">
        <v>2000</v>
      </c>
      <c r="CH13" s="10" t="n"/>
      <c r="CI13" s="10" t="n">
        <v>2000</v>
      </c>
      <c r="CJ13" s="10" t="n">
        <v>2000</v>
      </c>
      <c r="CK13" s="11" t="n"/>
      <c r="CL13" s="11" t="n">
        <v>2000</v>
      </c>
      <c r="CM13" s="11" t="n">
        <v>2000</v>
      </c>
      <c r="CN13" s="10" t="n"/>
      <c r="CO13" s="10" t="n">
        <v>2000</v>
      </c>
      <c r="CP13" s="10" t="n">
        <v>2000</v>
      </c>
      <c r="CQ13" s="11" t="n"/>
      <c r="CR13" s="11" t="n">
        <v>2000</v>
      </c>
      <c r="CS13" s="11" t="n">
        <v>2000</v>
      </c>
      <c r="CT13" s="10" t="n"/>
      <c r="CU13" s="10" t="n">
        <v>2000</v>
      </c>
      <c r="CV13" s="10" t="n">
        <v>2000</v>
      </c>
      <c r="CW13" s="11" t="n"/>
      <c r="CX13" s="11" t="n">
        <v>2000</v>
      </c>
      <c r="CY13" s="11" t="n">
        <v>2000</v>
      </c>
      <c r="CZ13" s="10" t="n"/>
      <c r="DA13" s="10" t="n">
        <v>2000</v>
      </c>
      <c r="DB13" s="10" t="n">
        <v>2000</v>
      </c>
      <c r="DC13" s="11" t="n"/>
      <c r="DD13" s="11" t="n">
        <v>2000</v>
      </c>
      <c r="DE13" s="11" t="n">
        <v>2000</v>
      </c>
      <c r="DF13" s="10" t="n"/>
      <c r="DG13" s="10" t="n">
        <v>2000</v>
      </c>
      <c r="DH13" s="10" t="n">
        <v>2000</v>
      </c>
      <c r="DI13" s="11" t="n">
        <v>2000</v>
      </c>
      <c r="DJ13" s="11" t="n">
        <v>2000</v>
      </c>
      <c r="DK13" s="11" t="n">
        <v>2000</v>
      </c>
      <c r="DL13" s="10" t="n">
        <v>2000</v>
      </c>
      <c r="DM13" s="10" t="n">
        <v>2000</v>
      </c>
      <c r="DN13" s="10" t="n">
        <v>2000</v>
      </c>
    </row>
    <row r="14">
      <c r="A14" s="2" t="inlineStr">
        <is>
          <t>Payroll Taxes and Benefits</t>
        </is>
      </c>
      <c r="B14" s="10">
        <f>IF(COUNT(AR14,AO14,AL14,AI14,AF14,AC14,Z14,W14,T14,Q14,N14,K14)=0,"",SUM(AR14,AO14,AL14,AI14,AF14,AC14,Z14,W14,T14,Q14,N14,K14))</f>
        <v/>
      </c>
      <c r="C14" s="10">
        <f>IF(COUNT(AS14,AP14,AM14,AJ14,AG14,AD14,AA14,X14,U14,R14,O14,L14)=0,"",SUM(AS14,AP14,AM14,AJ14,AG14,AD14,AA14,X14,U14,R14,O14,L14))</f>
        <v/>
      </c>
      <c r="D14" s="10">
        <f>IF(COUNT(AT14,AQ14,AN14,AK14,AH14,AE14,AB14,Y14,V14,S14,P14,M14)=0,"",SUM(AT14,AQ14,AN14,AK14,AH14,AE14,AB14,Y14,V14,S14,P14,M14))</f>
        <v/>
      </c>
      <c r="E14" s="11">
        <f>IF(COUNT(CB14,BY14,BV14,BS14,BP14,BM14,BJ14,BG14,BD14,BA14,AX14,AU14)=0,"",SUM(CB14,BY14,BV14,BS14,BP14,BM14,BJ14,BG14,BD14,BA14,AX14,AU14))</f>
        <v/>
      </c>
      <c r="F14" s="11">
        <f>IF(COUNT(CC14,BZ14,BW14,BT14,BQ14,BN14,BK14,BH14,BE14,BB14,AY14,AV14)=0,"",SUM(CC14,BZ14,BW14,BT14,BQ14,BN14,BK14,BH14,BE14,BB14,AY14,AV14))</f>
        <v/>
      </c>
      <c r="G14" s="11">
        <f>IF(COUNT(CD14,CA14,BX14,BU14,BR14,BO14,BL14,BI14,BF14,BC14,AZ14,AW14)=0,"",SUM(CD14,CA14,BX14,BU14,BR14,BO14,BL14,BI14,BF14,BC14,AZ14,AW14))</f>
        <v/>
      </c>
      <c r="H14" s="10">
        <f>IF(COUNT(DL14,DI14,DF14,DC14,CZ14,CW14,CT14,CQ14,CN14,CK14,CH14,CE14)=0,"",SUM(DL14,DI14,DF14,DC14,CZ14,CW14,CT14,CQ14,CN14,CK14,CH14,CE14))</f>
        <v/>
      </c>
      <c r="I14" s="10">
        <f>IF(COUNT(DM14,DJ14,DG14,DD14,DA14,CX14,CU14,CR14,CO14,CL14,CI14,CF14)=0,"",SUM(DM14,DJ14,DG14,DD14,DA14,CX14,CU14,CR14,CO14,CL14,CI14,CF14))</f>
        <v/>
      </c>
      <c r="J14" s="10">
        <f>IF(COUNT(DN14,DK14,DH14,DE14,DB14,CY14,CV14,CS14,CP14,CM14,CJ14,CG14)=0,"",SUM(DN14,DK14,DH14,DE14,DB14,CY14,CV14,CS14,CP14,CM14,CJ14,CG14))</f>
        <v/>
      </c>
      <c r="K14" s="11">
        <f>IF(COUNT(K12)=1,K12*0.22,"")</f>
        <v/>
      </c>
      <c r="L14" s="11">
        <f>L12*0.22</f>
        <v/>
      </c>
      <c r="M14" s="11">
        <f>M12*0.22</f>
        <v/>
      </c>
      <c r="N14" s="10">
        <f>IF(COUNT(N12)=1,N12*0.22,"")</f>
        <v/>
      </c>
      <c r="O14" s="10">
        <f>O12*0.22</f>
        <v/>
      </c>
      <c r="P14" s="10">
        <f>P12*0.22</f>
        <v/>
      </c>
      <c r="Q14" s="11">
        <f>IF(COUNT(Q12)=1,Q12*0.22,"")</f>
        <v/>
      </c>
      <c r="R14" s="11">
        <f>R12*0.22</f>
        <v/>
      </c>
      <c r="S14" s="11">
        <f>S12*0.22</f>
        <v/>
      </c>
      <c r="T14" s="10">
        <f>IF(COUNT(T12)=1,T12*0.22,"")</f>
        <v/>
      </c>
      <c r="U14" s="10">
        <f>U12*0.22</f>
        <v/>
      </c>
      <c r="V14" s="10">
        <f>V12*0.22</f>
        <v/>
      </c>
      <c r="W14" s="11">
        <f>IF(COUNT(W12)=1,W12*0.22,"")</f>
        <v/>
      </c>
      <c r="X14" s="11">
        <f>X12*0.22</f>
        <v/>
      </c>
      <c r="Y14" s="11">
        <f>Y12*0.22</f>
        <v/>
      </c>
      <c r="Z14" s="10">
        <f>IF(COUNT(Z12)=1,Z12*0.22,"")</f>
        <v/>
      </c>
      <c r="AA14" s="10">
        <f>AA12*0.22</f>
        <v/>
      </c>
      <c r="AB14" s="10">
        <f>AB12*0.22</f>
        <v/>
      </c>
      <c r="AC14" s="11">
        <f>IF(COUNT(AC12)=1,AC12*0.22,"")</f>
        <v/>
      </c>
      <c r="AD14" s="11">
        <f>AD12*0.22</f>
        <v/>
      </c>
      <c r="AE14" s="11">
        <f>AE12*0.22</f>
        <v/>
      </c>
      <c r="AF14" s="10">
        <f>IF(COUNT(AF12)=1,AF12*0.22,"")</f>
        <v/>
      </c>
      <c r="AG14" s="10">
        <f>AG12*0.22</f>
        <v/>
      </c>
      <c r="AH14" s="10">
        <f>AH12*0.22</f>
        <v/>
      </c>
      <c r="AI14" s="11">
        <f>IF(COUNT(AI12)=1,AI12*0.22,"")</f>
        <v/>
      </c>
      <c r="AJ14" s="11">
        <f>AJ12*0.22</f>
        <v/>
      </c>
      <c r="AK14" s="11">
        <f>AK12*0.22</f>
        <v/>
      </c>
      <c r="AL14" s="10">
        <f>IF(COUNT(AL12)=1,AL12*0.22,"")</f>
        <v/>
      </c>
      <c r="AM14" s="10">
        <f>AM12*0.22</f>
        <v/>
      </c>
      <c r="AN14" s="10">
        <f>AN12*0.22</f>
        <v/>
      </c>
      <c r="AO14" s="11">
        <f>IF(COUNT(AO12)=1,AO12*0.22,"")</f>
        <v/>
      </c>
      <c r="AP14" s="11">
        <f>AP12*0.22</f>
        <v/>
      </c>
      <c r="AQ14" s="11">
        <f>AQ12*0.22</f>
        <v/>
      </c>
      <c r="AR14" s="10">
        <f>IF(COUNT(AR12)=1,AR12*0.22,"")</f>
        <v/>
      </c>
      <c r="AS14" s="10">
        <f>AS12*0.22</f>
        <v/>
      </c>
      <c r="AT14" s="10">
        <f>AT12*0.22</f>
        <v/>
      </c>
      <c r="AU14" s="11">
        <f>IF(COUNT(AU12)=1,AU12*0.22,"")</f>
        <v/>
      </c>
      <c r="AV14" s="11">
        <f>AV12*0.22</f>
        <v/>
      </c>
      <c r="AW14" s="11">
        <f>AW12*0.22</f>
        <v/>
      </c>
      <c r="AX14" s="10">
        <f>IF(COUNT(AX12)=1,AX12*0.22,"")</f>
        <v/>
      </c>
      <c r="AY14" s="10">
        <f>AY12*0.22</f>
        <v/>
      </c>
      <c r="AZ14" s="10">
        <f>AZ12*0.22</f>
        <v/>
      </c>
      <c r="BA14" s="11">
        <f>IF(COUNT(BA12)=1,BA12*0.22,"")</f>
        <v/>
      </c>
      <c r="BB14" s="11">
        <f>BB12*0.22</f>
        <v/>
      </c>
      <c r="BC14" s="11">
        <f>BC12*0.22</f>
        <v/>
      </c>
      <c r="BD14" s="10">
        <f>IF(COUNT(BD12)=1,BD12*0.22,"")</f>
        <v/>
      </c>
      <c r="BE14" s="10">
        <f>BE12*0.22</f>
        <v/>
      </c>
      <c r="BF14" s="10">
        <f>BF12*0.22</f>
        <v/>
      </c>
      <c r="BG14" s="11">
        <f>IF(COUNT(BG12)=1,BG12*0.22,"")</f>
        <v/>
      </c>
      <c r="BH14" s="11">
        <f>BH12*0.22</f>
        <v/>
      </c>
      <c r="BI14" s="11">
        <f>BI12*0.22</f>
        <v/>
      </c>
      <c r="BJ14" s="10">
        <f>IF(COUNT(BJ12)=1,BJ12*0.22,"")</f>
        <v/>
      </c>
      <c r="BK14" s="10">
        <f>BK12*0.22</f>
        <v/>
      </c>
      <c r="BL14" s="10">
        <f>BL12*0.22</f>
        <v/>
      </c>
      <c r="BM14" s="11">
        <f>IF(COUNT(BM12)=1,BM12*0.22,"")</f>
        <v/>
      </c>
      <c r="BN14" s="11">
        <f>BN12*0.22</f>
        <v/>
      </c>
      <c r="BO14" s="11">
        <f>BO12*0.22</f>
        <v/>
      </c>
      <c r="BP14" s="10">
        <f>IF(COUNT(BP12)=1,BP12*0.22,"")</f>
        <v/>
      </c>
      <c r="BQ14" s="10">
        <f>BQ12*0.22</f>
        <v/>
      </c>
      <c r="BR14" s="10">
        <f>BR12*0.22</f>
        <v/>
      </c>
      <c r="BS14" s="11">
        <f>IF(COUNT(BS12)=1,BS12*0.22,"")</f>
        <v/>
      </c>
      <c r="BT14" s="11">
        <f>BT12*0.22</f>
        <v/>
      </c>
      <c r="BU14" s="11">
        <f>BU12*0.22</f>
        <v/>
      </c>
      <c r="BV14" s="10">
        <f>IF(COUNT(BV12)=1,BV12*0.22,"")</f>
        <v/>
      </c>
      <c r="BW14" s="10">
        <f>BW12*0.22</f>
        <v/>
      </c>
      <c r="BX14" s="10">
        <f>BX12*0.22</f>
        <v/>
      </c>
      <c r="BY14" s="11">
        <f>IF(COUNT(BY12)=1,BY12*0.22,"")</f>
        <v/>
      </c>
      <c r="BZ14" s="11">
        <f>BZ12*0.22</f>
        <v/>
      </c>
      <c r="CA14" s="11">
        <f>CA12*0.22</f>
        <v/>
      </c>
      <c r="CB14" s="10">
        <f>IF(COUNT(CB12)=1,CB12*0.22,"")</f>
        <v/>
      </c>
      <c r="CC14" s="10">
        <f>CC12*0.22</f>
        <v/>
      </c>
      <c r="CD14" s="10">
        <f>CD12*0.22</f>
        <v/>
      </c>
      <c r="CE14" s="11">
        <f>IF(COUNT(CE12)=1,CE12*0.22,"")</f>
        <v/>
      </c>
      <c r="CF14" s="11">
        <f>CF12*0.22</f>
        <v/>
      </c>
      <c r="CG14" s="11">
        <f>CG12*0.22</f>
        <v/>
      </c>
      <c r="CH14" s="10">
        <f>IF(COUNT(CH12)=1,CH12*0.22,"")</f>
        <v/>
      </c>
      <c r="CI14" s="10">
        <f>CI12*0.22</f>
        <v/>
      </c>
      <c r="CJ14" s="10">
        <f>CJ12*0.22</f>
        <v/>
      </c>
      <c r="CK14" s="11">
        <f>IF(COUNT(CK12)=1,CK12*0.22,"")</f>
        <v/>
      </c>
      <c r="CL14" s="11">
        <f>CL12*0.22</f>
        <v/>
      </c>
      <c r="CM14" s="11">
        <f>CM12*0.22</f>
        <v/>
      </c>
      <c r="CN14" s="10">
        <f>IF(COUNT(CN12)=1,CN12*0.22,"")</f>
        <v/>
      </c>
      <c r="CO14" s="10">
        <f>CO12*0.22</f>
        <v/>
      </c>
      <c r="CP14" s="10">
        <f>CP12*0.22</f>
        <v/>
      </c>
      <c r="CQ14" s="11">
        <f>IF(COUNT(CQ12)=1,CQ12*0.22,"")</f>
        <v/>
      </c>
      <c r="CR14" s="11">
        <f>CR12*0.22</f>
        <v/>
      </c>
      <c r="CS14" s="11">
        <f>CS12*0.22</f>
        <v/>
      </c>
      <c r="CT14" s="10">
        <f>IF(COUNT(CT12)=1,CT12*0.22,"")</f>
        <v/>
      </c>
      <c r="CU14" s="10">
        <f>CU12*0.22</f>
        <v/>
      </c>
      <c r="CV14" s="10">
        <f>CV12*0.22</f>
        <v/>
      </c>
      <c r="CW14" s="11">
        <f>IF(COUNT(CW12)=1,CW12*0.22,"")</f>
        <v/>
      </c>
      <c r="CX14" s="11">
        <f>CX12*0.22</f>
        <v/>
      </c>
      <c r="CY14" s="11">
        <f>CY12*0.22</f>
        <v/>
      </c>
      <c r="CZ14" s="10">
        <f>IF(COUNT(CZ12)=1,CZ12*0.22,"")</f>
        <v/>
      </c>
      <c r="DA14" s="10">
        <f>DA12*0.22</f>
        <v/>
      </c>
      <c r="DB14" s="10">
        <f>DB12*0.22</f>
        <v/>
      </c>
      <c r="DC14" s="11">
        <f>IF(COUNT(DC12)=1,DC12*0.22,"")</f>
        <v/>
      </c>
      <c r="DD14" s="11">
        <f>DD12*0.22</f>
        <v/>
      </c>
      <c r="DE14" s="11">
        <f>DE12*0.22</f>
        <v/>
      </c>
      <c r="DF14" s="10">
        <f>IF(COUNT(DF12)=1,DF12*0.22,"")</f>
        <v/>
      </c>
      <c r="DG14" s="10">
        <f>DG12*0.22</f>
        <v/>
      </c>
      <c r="DH14" s="10">
        <f>DH12*0.22</f>
        <v/>
      </c>
      <c r="DI14" s="11">
        <f>IF(COUNT(DI12)=1,DI12*0.22,"")</f>
        <v/>
      </c>
      <c r="DJ14" s="11">
        <f>DJ12*0.22</f>
        <v/>
      </c>
      <c r="DK14" s="11">
        <f>DK12*0.22</f>
        <v/>
      </c>
      <c r="DL14" s="10">
        <f>IF(COUNT(DL12)=1,DL12*0.22,"")</f>
        <v/>
      </c>
      <c r="DM14" s="10">
        <f>DM12*0.22</f>
        <v/>
      </c>
      <c r="DN14" s="10">
        <f>DN12*0.22</f>
        <v/>
      </c>
    </row>
    <row r="15">
      <c r="A15" s="2" t="inlineStr">
        <is>
          <t>Contractors and Freelancers</t>
        </is>
      </c>
      <c r="B15" s="10">
        <f>IF(COUNT(AR15,AO15,AL15,AI15,AF15,AC15,Z15,W15,T15,Q15,N15,K15)=0,"",SUM(AR15,AO15,AL15,AI15,AF15,AC15,Z15,W15,T15,Q15,N15,K15))</f>
        <v/>
      </c>
      <c r="C15" s="10">
        <f>IF(COUNT(AS15,AP15,AM15,AJ15,AG15,AD15,AA15,X15,U15,R15,O15,L15)=0,"",SUM(AS15,AP15,AM15,AJ15,AG15,AD15,AA15,X15,U15,R15,O15,L15))</f>
        <v/>
      </c>
      <c r="D15" s="10">
        <f>IF(COUNT(AT15,AQ15,AN15,AK15,AH15,AE15,AB15,Y15,V15,S15,P15,M15)=0,"",SUM(AT15,AQ15,AN15,AK15,AH15,AE15,AB15,Y15,V15,S15,P15,M15))</f>
        <v/>
      </c>
      <c r="E15" s="11">
        <f>IF(COUNT(CB15,BY15,BV15,BS15,BP15,BM15,BJ15,BG15,BD15,BA15,AX15,AU15)=0,"",SUM(CB15,BY15,BV15,BS15,BP15,BM15,BJ15,BG15,BD15,BA15,AX15,AU15))</f>
        <v/>
      </c>
      <c r="F15" s="11">
        <f>IF(COUNT(CC15,BZ15,BW15,BT15,BQ15,BN15,BK15,BH15,BE15,BB15,AY15,AV15)=0,"",SUM(CC15,BZ15,BW15,BT15,BQ15,BN15,BK15,BH15,BE15,BB15,AY15,AV15))</f>
        <v/>
      </c>
      <c r="G15" s="11">
        <f>IF(COUNT(CD15,CA15,BX15,BU15,BR15,BO15,BL15,BI15,BF15,BC15,AZ15,AW15)=0,"",SUM(CD15,CA15,BX15,BU15,BR15,BO15,BL15,BI15,BF15,BC15,AZ15,AW15))</f>
        <v/>
      </c>
      <c r="H15" s="10">
        <f>IF(COUNT(DL15,DI15,DF15,DC15,CZ15,CW15,CT15,CQ15,CN15,CK15,CH15,CE15)=0,"",SUM(DL15,DI15,DF15,DC15,CZ15,CW15,CT15,CQ15,CN15,CK15,CH15,CE15))</f>
        <v/>
      </c>
      <c r="I15" s="10">
        <f>IF(COUNT(DM15,DJ15,DG15,DD15,DA15,CX15,CU15,CR15,CO15,CL15,CI15,CF15)=0,"",SUM(DM15,DJ15,DG15,DD15,DA15,CX15,CU15,CR15,CO15,CL15,CI15,CF15))</f>
        <v/>
      </c>
      <c r="J15" s="10">
        <f>IF(COUNT(DN15,DK15,DH15,DE15,DB15,CY15,CV15,CS15,CP15,CM15,CJ15,CG15)=0,"",SUM(DN15,DK15,DH15,DE15,DB15,CY15,CV15,CS15,CP15,CM15,CJ15,CG15))</f>
        <v/>
      </c>
      <c r="K15" s="11" t="n"/>
      <c r="L15" s="11" t="n">
        <v>3000</v>
      </c>
      <c r="M15" s="11" t="n">
        <v>3000</v>
      </c>
      <c r="N15" s="10" t="n"/>
      <c r="O15" s="10" t="n">
        <v>3000</v>
      </c>
      <c r="P15" s="10" t="n">
        <v>3000</v>
      </c>
      <c r="Q15" s="11" t="n"/>
      <c r="R15" s="11" t="n">
        <v>3000</v>
      </c>
      <c r="S15" s="11" t="n">
        <v>3000</v>
      </c>
      <c r="T15" s="10" t="n"/>
      <c r="U15" s="10" t="n">
        <v>3000</v>
      </c>
      <c r="V15" s="10" t="n">
        <v>3000</v>
      </c>
      <c r="W15" s="11" t="n"/>
      <c r="X15" s="11" t="n">
        <v>3000</v>
      </c>
      <c r="Y15" s="11" t="n">
        <v>3000</v>
      </c>
      <c r="Z15" s="10" t="n"/>
      <c r="AA15" s="10" t="n">
        <v>3000</v>
      </c>
      <c r="AB15" s="10" t="n">
        <v>3000</v>
      </c>
      <c r="AC15" s="11" t="n"/>
      <c r="AD15" s="11" t="n">
        <v>3000</v>
      </c>
      <c r="AE15" s="11" t="n">
        <v>3000</v>
      </c>
      <c r="AF15" s="10" t="n"/>
      <c r="AG15" s="10" t="n">
        <v>3000</v>
      </c>
      <c r="AH15" s="10" t="n">
        <v>3000</v>
      </c>
      <c r="AI15" s="11" t="n"/>
      <c r="AJ15" s="11" t="n">
        <v>3000</v>
      </c>
      <c r="AK15" s="11" t="n">
        <v>3000</v>
      </c>
      <c r="AL15" s="10" t="n"/>
      <c r="AM15" s="10" t="n">
        <v>3000</v>
      </c>
      <c r="AN15" s="10" t="n">
        <v>3000</v>
      </c>
      <c r="AO15" s="11" t="n"/>
      <c r="AP15" s="11" t="n">
        <v>3000</v>
      </c>
      <c r="AQ15" s="11" t="n">
        <v>3000</v>
      </c>
      <c r="AR15" s="10" t="n"/>
      <c r="AS15" s="10" t="n">
        <v>3000</v>
      </c>
      <c r="AT15" s="10" t="n">
        <v>3000</v>
      </c>
      <c r="AU15" s="11" t="n"/>
      <c r="AV15" s="11" t="n">
        <v>3000</v>
      </c>
      <c r="AW15" s="11" t="n">
        <v>3000</v>
      </c>
      <c r="AX15" s="10" t="n"/>
      <c r="AY15" s="10" t="n">
        <v>3000</v>
      </c>
      <c r="AZ15" s="10" t="n">
        <v>3000</v>
      </c>
      <c r="BA15" s="11" t="n"/>
      <c r="BB15" s="11" t="n">
        <v>3000</v>
      </c>
      <c r="BC15" s="11" t="n">
        <v>3000</v>
      </c>
      <c r="BD15" s="10" t="n"/>
      <c r="BE15" s="10" t="n">
        <v>3000</v>
      </c>
      <c r="BF15" s="10" t="n">
        <v>3000</v>
      </c>
      <c r="BG15" s="11" t="n"/>
      <c r="BH15" s="11" t="n">
        <v>3000</v>
      </c>
      <c r="BI15" s="11" t="n">
        <v>3000</v>
      </c>
      <c r="BJ15" s="10" t="n"/>
      <c r="BK15" s="10" t="n">
        <v>3000</v>
      </c>
      <c r="BL15" s="10" t="n">
        <v>3000</v>
      </c>
      <c r="BM15" s="11" t="n"/>
      <c r="BN15" s="11" t="n">
        <v>3000</v>
      </c>
      <c r="BO15" s="11" t="n">
        <v>3000</v>
      </c>
      <c r="BP15" s="10" t="n"/>
      <c r="BQ15" s="10" t="n">
        <v>3000</v>
      </c>
      <c r="BR15" s="10" t="n">
        <v>3000</v>
      </c>
      <c r="BS15" s="11" t="n"/>
      <c r="BT15" s="11" t="n">
        <v>3000</v>
      </c>
      <c r="BU15" s="11" t="n">
        <v>3000</v>
      </c>
      <c r="BV15" s="10" t="n"/>
      <c r="BW15" s="10" t="n">
        <v>3000</v>
      </c>
      <c r="BX15" s="10" t="n">
        <v>3000</v>
      </c>
      <c r="BY15" s="11" t="n"/>
      <c r="BZ15" s="11" t="n">
        <v>3000</v>
      </c>
      <c r="CA15" s="11" t="n">
        <v>3000</v>
      </c>
      <c r="CB15" s="10" t="n"/>
      <c r="CC15" s="10" t="n">
        <v>3000</v>
      </c>
      <c r="CD15" s="10" t="n">
        <v>3000</v>
      </c>
      <c r="CE15" s="11" t="n"/>
      <c r="CF15" s="11" t="n">
        <v>3000</v>
      </c>
      <c r="CG15" s="11" t="n">
        <v>3000</v>
      </c>
      <c r="CH15" s="10" t="n"/>
      <c r="CI15" s="10" t="n">
        <v>3000</v>
      </c>
      <c r="CJ15" s="10" t="n">
        <v>3000</v>
      </c>
      <c r="CK15" s="11" t="n"/>
      <c r="CL15" s="11" t="n">
        <v>3000</v>
      </c>
      <c r="CM15" s="11" t="n">
        <v>3000</v>
      </c>
      <c r="CN15" s="10" t="n"/>
      <c r="CO15" s="10" t="n">
        <v>3000</v>
      </c>
      <c r="CP15" s="10" t="n">
        <v>3000</v>
      </c>
      <c r="CQ15" s="11" t="n"/>
      <c r="CR15" s="11" t="n">
        <v>3000</v>
      </c>
      <c r="CS15" s="11" t="n">
        <v>3000</v>
      </c>
      <c r="CT15" s="10" t="n"/>
      <c r="CU15" s="10" t="n">
        <v>3000</v>
      </c>
      <c r="CV15" s="10" t="n">
        <v>3000</v>
      </c>
      <c r="CW15" s="11" t="n"/>
      <c r="CX15" s="11" t="n">
        <v>3000</v>
      </c>
      <c r="CY15" s="11" t="n">
        <v>3000</v>
      </c>
      <c r="CZ15" s="10" t="n"/>
      <c r="DA15" s="10" t="n">
        <v>3000</v>
      </c>
      <c r="DB15" s="10" t="n">
        <v>3000</v>
      </c>
      <c r="DC15" s="11" t="n"/>
      <c r="DD15" s="11" t="n">
        <v>3000</v>
      </c>
      <c r="DE15" s="11" t="n">
        <v>3000</v>
      </c>
      <c r="DF15" s="10" t="n"/>
      <c r="DG15" s="10" t="n">
        <v>3000</v>
      </c>
      <c r="DH15" s="10" t="n">
        <v>3000</v>
      </c>
      <c r="DI15" s="11" t="n">
        <v>3000</v>
      </c>
      <c r="DJ15" s="11" t="n">
        <v>3000</v>
      </c>
      <c r="DK15" s="11" t="n">
        <v>3000</v>
      </c>
      <c r="DL15" s="10" t="n">
        <v>3000</v>
      </c>
      <c r="DM15" s="10" t="n">
        <v>3000</v>
      </c>
      <c r="DN15" s="10" t="n">
        <v>3000</v>
      </c>
    </row>
    <row r="16">
      <c r="A16" s="2" t="inlineStr">
        <is>
          <t>Recruiting</t>
        </is>
      </c>
      <c r="B16" s="10">
        <f>IF(COUNT(AR16,AO16,AL16,AI16,AF16,AC16,Z16,W16,T16,Q16,N16,K16)=0,"",SUM(AR16,AO16,AL16,AI16,AF16,AC16,Z16,W16,T16,Q16,N16,K16))</f>
        <v/>
      </c>
      <c r="C16" s="10">
        <f>IF(COUNT(AS16,AP16,AM16,AJ16,AG16,AD16,AA16,X16,U16,R16,O16,L16)=0,"",SUM(AS16,AP16,AM16,AJ16,AG16,AD16,AA16,X16,U16,R16,O16,L16))</f>
        <v/>
      </c>
      <c r="D16" s="10">
        <f>IF(COUNT(AT16,AQ16,AN16,AK16,AH16,AE16,AB16,Y16,V16,S16,P16,M16)=0,"",SUM(AT16,AQ16,AN16,AK16,AH16,AE16,AB16,Y16,V16,S16,P16,M16))</f>
        <v/>
      </c>
      <c r="E16" s="11">
        <f>IF(COUNT(CB16,BY16,BV16,BS16,BP16,BM16,BJ16,BG16,BD16,BA16,AX16,AU16)=0,"",SUM(CB16,BY16,BV16,BS16,BP16,BM16,BJ16,BG16,BD16,BA16,AX16,AU16))</f>
        <v/>
      </c>
      <c r="F16" s="11">
        <f>IF(COUNT(CC16,BZ16,BW16,BT16,BQ16,BN16,BK16,BH16,BE16,BB16,AY16,AV16)=0,"",SUM(CC16,BZ16,BW16,BT16,BQ16,BN16,BK16,BH16,BE16,BB16,AY16,AV16))</f>
        <v/>
      </c>
      <c r="G16" s="11">
        <f>IF(COUNT(CD16,CA16,BX16,BU16,BR16,BO16,BL16,BI16,BF16,BC16,AZ16,AW16)=0,"",SUM(CD16,CA16,BX16,BU16,BR16,BO16,BL16,BI16,BF16,BC16,AZ16,AW16))</f>
        <v/>
      </c>
      <c r="H16" s="10">
        <f>IF(COUNT(DL16,DI16,DF16,DC16,CZ16,CW16,CT16,CQ16,CN16,CK16,CH16,CE16)=0,"",SUM(DL16,DI16,DF16,DC16,CZ16,CW16,CT16,CQ16,CN16,CK16,CH16,CE16))</f>
        <v/>
      </c>
      <c r="I16" s="10">
        <f>IF(COUNT(DM16,DJ16,DG16,DD16,DA16,CX16,CU16,CR16,CO16,CL16,CI16,CF16)=0,"",SUM(DM16,DJ16,DG16,DD16,DA16,CX16,CU16,CR16,CO16,CL16,CI16,CF16))</f>
        <v/>
      </c>
      <c r="J16" s="10">
        <f>IF(COUNT(DN16,DK16,DH16,DE16,DB16,CY16,CV16,CS16,CP16,CM16,CJ16,CG16)=0,"",SUM(DN16,DK16,DH16,DE16,DB16,CY16,CV16,CS16,CP16,CM16,CJ16,CG16))</f>
        <v/>
      </c>
      <c r="K16" s="11" t="n"/>
      <c r="L16" s="11" t="n">
        <v>500</v>
      </c>
      <c r="M16" s="11" t="n">
        <v>500</v>
      </c>
      <c r="N16" s="10" t="n"/>
      <c r="O16" s="10" t="n">
        <v>500</v>
      </c>
      <c r="P16" s="10" t="n">
        <v>500</v>
      </c>
      <c r="Q16" s="11" t="n"/>
      <c r="R16" s="11" t="n">
        <v>500</v>
      </c>
      <c r="S16" s="11" t="n">
        <v>500</v>
      </c>
      <c r="T16" s="10" t="n"/>
      <c r="U16" s="10" t="n">
        <v>500</v>
      </c>
      <c r="V16" s="10" t="n">
        <v>500</v>
      </c>
      <c r="W16" s="11" t="n"/>
      <c r="X16" s="11" t="n">
        <v>500</v>
      </c>
      <c r="Y16" s="11" t="n">
        <v>500</v>
      </c>
      <c r="Z16" s="10" t="n"/>
      <c r="AA16" s="10" t="n">
        <v>500</v>
      </c>
      <c r="AB16" s="10" t="n">
        <v>500</v>
      </c>
      <c r="AC16" s="11" t="n"/>
      <c r="AD16" s="11" t="n">
        <v>500</v>
      </c>
      <c r="AE16" s="11" t="n">
        <v>500</v>
      </c>
      <c r="AF16" s="10" t="n"/>
      <c r="AG16" s="10" t="n">
        <v>500</v>
      </c>
      <c r="AH16" s="10" t="n">
        <v>500</v>
      </c>
      <c r="AI16" s="11" t="n"/>
      <c r="AJ16" s="11" t="n">
        <v>500</v>
      </c>
      <c r="AK16" s="11" t="n">
        <v>500</v>
      </c>
      <c r="AL16" s="10" t="n"/>
      <c r="AM16" s="10" t="n">
        <v>500</v>
      </c>
      <c r="AN16" s="10" t="n">
        <v>500</v>
      </c>
      <c r="AO16" s="11" t="n"/>
      <c r="AP16" s="11" t="n">
        <v>500</v>
      </c>
      <c r="AQ16" s="11" t="n">
        <v>500</v>
      </c>
      <c r="AR16" s="10" t="n"/>
      <c r="AS16" s="10" t="n">
        <v>500</v>
      </c>
      <c r="AT16" s="10" t="n">
        <v>500</v>
      </c>
      <c r="AU16" s="11" t="n"/>
      <c r="AV16" s="11" t="n">
        <v>500</v>
      </c>
      <c r="AW16" s="11" t="n">
        <v>500</v>
      </c>
      <c r="AX16" s="10" t="n"/>
      <c r="AY16" s="10" t="n">
        <v>500</v>
      </c>
      <c r="AZ16" s="10" t="n">
        <v>500</v>
      </c>
      <c r="BA16" s="11" t="n"/>
      <c r="BB16" s="11" t="n">
        <v>500</v>
      </c>
      <c r="BC16" s="11" t="n">
        <v>500</v>
      </c>
      <c r="BD16" s="10" t="n"/>
      <c r="BE16" s="10" t="n">
        <v>500</v>
      </c>
      <c r="BF16" s="10" t="n">
        <v>500</v>
      </c>
      <c r="BG16" s="11" t="n"/>
      <c r="BH16" s="11" t="n">
        <v>500</v>
      </c>
      <c r="BI16" s="11" t="n">
        <v>500</v>
      </c>
      <c r="BJ16" s="10" t="n"/>
      <c r="BK16" s="10" t="n">
        <v>500</v>
      </c>
      <c r="BL16" s="10" t="n">
        <v>500</v>
      </c>
      <c r="BM16" s="11" t="n"/>
      <c r="BN16" s="11" t="n">
        <v>500</v>
      </c>
      <c r="BO16" s="11" t="n">
        <v>500</v>
      </c>
      <c r="BP16" s="10" t="n"/>
      <c r="BQ16" s="10" t="n">
        <v>500</v>
      </c>
      <c r="BR16" s="10" t="n">
        <v>500</v>
      </c>
      <c r="BS16" s="11" t="n"/>
      <c r="BT16" s="11" t="n">
        <v>500</v>
      </c>
      <c r="BU16" s="11" t="n">
        <v>500</v>
      </c>
      <c r="BV16" s="10" t="n"/>
      <c r="BW16" s="10" t="n">
        <v>500</v>
      </c>
      <c r="BX16" s="10" t="n">
        <v>500</v>
      </c>
      <c r="BY16" s="11" t="n"/>
      <c r="BZ16" s="11" t="n">
        <v>500</v>
      </c>
      <c r="CA16" s="11" t="n">
        <v>500</v>
      </c>
      <c r="CB16" s="10" t="n"/>
      <c r="CC16" s="10" t="n">
        <v>500</v>
      </c>
      <c r="CD16" s="10" t="n">
        <v>500</v>
      </c>
      <c r="CE16" s="11" t="n"/>
      <c r="CF16" s="11" t="n">
        <v>500</v>
      </c>
      <c r="CG16" s="11" t="n">
        <v>500</v>
      </c>
      <c r="CH16" s="10" t="n"/>
      <c r="CI16" s="10" t="n">
        <v>500</v>
      </c>
      <c r="CJ16" s="10" t="n">
        <v>500</v>
      </c>
      <c r="CK16" s="11" t="n"/>
      <c r="CL16" s="11" t="n">
        <v>500</v>
      </c>
      <c r="CM16" s="11" t="n">
        <v>500</v>
      </c>
      <c r="CN16" s="10" t="n"/>
      <c r="CO16" s="10" t="n">
        <v>500</v>
      </c>
      <c r="CP16" s="10" t="n">
        <v>500</v>
      </c>
      <c r="CQ16" s="11" t="n"/>
      <c r="CR16" s="11" t="n">
        <v>500</v>
      </c>
      <c r="CS16" s="11" t="n">
        <v>500</v>
      </c>
      <c r="CT16" s="10" t="n"/>
      <c r="CU16" s="10" t="n">
        <v>500</v>
      </c>
      <c r="CV16" s="10" t="n">
        <v>500</v>
      </c>
      <c r="CW16" s="11" t="n"/>
      <c r="CX16" s="11" t="n">
        <v>500</v>
      </c>
      <c r="CY16" s="11" t="n">
        <v>500</v>
      </c>
      <c r="CZ16" s="10" t="n"/>
      <c r="DA16" s="10" t="n">
        <v>500</v>
      </c>
      <c r="DB16" s="10" t="n">
        <v>500</v>
      </c>
      <c r="DC16" s="11" t="n"/>
      <c r="DD16" s="11" t="n">
        <v>500</v>
      </c>
      <c r="DE16" s="11" t="n">
        <v>500</v>
      </c>
      <c r="DF16" s="10" t="n"/>
      <c r="DG16" s="10" t="n">
        <v>500</v>
      </c>
      <c r="DH16" s="10" t="n">
        <v>500</v>
      </c>
      <c r="DI16" s="11" t="n">
        <v>500</v>
      </c>
      <c r="DJ16" s="11" t="n">
        <v>500</v>
      </c>
      <c r="DK16" s="11" t="n">
        <v>500</v>
      </c>
      <c r="DL16" s="10" t="n">
        <v>500</v>
      </c>
      <c r="DM16" s="10" t="n">
        <v>500</v>
      </c>
      <c r="DN16" s="10" t="n">
        <v>500</v>
      </c>
    </row>
    <row r="17">
      <c r="A17" s="2" t="inlineStr">
        <is>
          <t>Training and Development</t>
        </is>
      </c>
      <c r="B17" s="10">
        <f>IF(COUNT(AR17,AO17,AL17,AI17,AF17,AC17,Z17,W17,T17,Q17,N17,K17)=0,"",SUM(AR17,AO17,AL17,AI17,AF17,AC17,Z17,W17,T17,Q17,N17,K17))</f>
        <v/>
      </c>
      <c r="C17" s="10">
        <f>IF(COUNT(AS17,AP17,AM17,AJ17,AG17,AD17,AA17,X17,U17,R17,O17,L17)=0,"",SUM(AS17,AP17,AM17,AJ17,AG17,AD17,AA17,X17,U17,R17,O17,L17))</f>
        <v/>
      </c>
      <c r="D17" s="10">
        <f>IF(COUNT(AT17,AQ17,AN17,AK17,AH17,AE17,AB17,Y17,V17,S17,P17,M17)=0,"",SUM(AT17,AQ17,AN17,AK17,AH17,AE17,AB17,Y17,V17,S17,P17,M17))</f>
        <v/>
      </c>
      <c r="E17" s="11">
        <f>IF(COUNT(CB17,BY17,BV17,BS17,BP17,BM17,BJ17,BG17,BD17,BA17,AX17,AU17)=0,"",SUM(CB17,BY17,BV17,BS17,BP17,BM17,BJ17,BG17,BD17,BA17,AX17,AU17))</f>
        <v/>
      </c>
      <c r="F17" s="11">
        <f>IF(COUNT(CC17,BZ17,BW17,BT17,BQ17,BN17,BK17,BH17,BE17,BB17,AY17,AV17)=0,"",SUM(CC17,BZ17,BW17,BT17,BQ17,BN17,BK17,BH17,BE17,BB17,AY17,AV17))</f>
        <v/>
      </c>
      <c r="G17" s="11">
        <f>IF(COUNT(CD17,CA17,BX17,BU17,BR17,BO17,BL17,BI17,BF17,BC17,AZ17,AW17)=0,"",SUM(CD17,CA17,BX17,BU17,BR17,BO17,BL17,BI17,BF17,BC17,AZ17,AW17))</f>
        <v/>
      </c>
      <c r="H17" s="10">
        <f>IF(COUNT(DL17,DI17,DF17,DC17,CZ17,CW17,CT17,CQ17,CN17,CK17,CH17,CE17)=0,"",SUM(DL17,DI17,DF17,DC17,CZ17,CW17,CT17,CQ17,CN17,CK17,CH17,CE17))</f>
        <v/>
      </c>
      <c r="I17" s="10">
        <f>IF(COUNT(DM17,DJ17,DG17,DD17,DA17,CX17,CU17,CR17,CO17,CL17,CI17,CF17)=0,"",SUM(DM17,DJ17,DG17,DD17,DA17,CX17,CU17,CR17,CO17,CL17,CI17,CF17))</f>
        <v/>
      </c>
      <c r="J17" s="10">
        <f>IF(COUNT(DN17,DK17,DH17,DE17,DB17,CY17,CV17,CS17,CP17,CM17,CJ17,CG17)=0,"",SUM(DN17,DK17,DH17,DE17,DB17,CY17,CV17,CS17,CP17,CM17,CJ17,CG17))</f>
        <v/>
      </c>
      <c r="K17" s="11" t="n"/>
      <c r="L17" s="11" t="n">
        <v>500</v>
      </c>
      <c r="M17" s="11" t="n">
        <v>500</v>
      </c>
      <c r="N17" s="10" t="n"/>
      <c r="O17" s="10" t="n">
        <v>500</v>
      </c>
      <c r="P17" s="10" t="n">
        <v>500</v>
      </c>
      <c r="Q17" s="11" t="n"/>
      <c r="R17" s="11" t="n">
        <v>500</v>
      </c>
      <c r="S17" s="11" t="n">
        <v>500</v>
      </c>
      <c r="T17" s="10" t="n"/>
      <c r="U17" s="10" t="n">
        <v>500</v>
      </c>
      <c r="V17" s="10" t="n">
        <v>500</v>
      </c>
      <c r="W17" s="11" t="n"/>
      <c r="X17" s="11" t="n">
        <v>500</v>
      </c>
      <c r="Y17" s="11" t="n">
        <v>500</v>
      </c>
      <c r="Z17" s="10" t="n"/>
      <c r="AA17" s="10" t="n">
        <v>500</v>
      </c>
      <c r="AB17" s="10" t="n">
        <v>500</v>
      </c>
      <c r="AC17" s="11" t="n"/>
      <c r="AD17" s="11" t="n">
        <v>500</v>
      </c>
      <c r="AE17" s="11" t="n">
        <v>500</v>
      </c>
      <c r="AF17" s="10" t="n"/>
      <c r="AG17" s="10" t="n">
        <v>500</v>
      </c>
      <c r="AH17" s="10" t="n">
        <v>500</v>
      </c>
      <c r="AI17" s="11" t="n"/>
      <c r="AJ17" s="11" t="n">
        <v>500</v>
      </c>
      <c r="AK17" s="11" t="n">
        <v>500</v>
      </c>
      <c r="AL17" s="10" t="n"/>
      <c r="AM17" s="10" t="n">
        <v>500</v>
      </c>
      <c r="AN17" s="10" t="n">
        <v>500</v>
      </c>
      <c r="AO17" s="11" t="n"/>
      <c r="AP17" s="11" t="n">
        <v>500</v>
      </c>
      <c r="AQ17" s="11" t="n">
        <v>500</v>
      </c>
      <c r="AR17" s="10" t="n"/>
      <c r="AS17" s="10" t="n">
        <v>500</v>
      </c>
      <c r="AT17" s="10" t="n">
        <v>500</v>
      </c>
      <c r="AU17" s="11" t="n"/>
      <c r="AV17" s="11" t="n">
        <v>500</v>
      </c>
      <c r="AW17" s="11" t="n">
        <v>500</v>
      </c>
      <c r="AX17" s="10" t="n"/>
      <c r="AY17" s="10" t="n">
        <v>500</v>
      </c>
      <c r="AZ17" s="10" t="n">
        <v>500</v>
      </c>
      <c r="BA17" s="11" t="n"/>
      <c r="BB17" s="11" t="n">
        <v>500</v>
      </c>
      <c r="BC17" s="11" t="n">
        <v>500</v>
      </c>
      <c r="BD17" s="10" t="n"/>
      <c r="BE17" s="10" t="n">
        <v>500</v>
      </c>
      <c r="BF17" s="10" t="n">
        <v>500</v>
      </c>
      <c r="BG17" s="11" t="n"/>
      <c r="BH17" s="11" t="n">
        <v>500</v>
      </c>
      <c r="BI17" s="11" t="n">
        <v>500</v>
      </c>
      <c r="BJ17" s="10" t="n"/>
      <c r="BK17" s="10" t="n">
        <v>500</v>
      </c>
      <c r="BL17" s="10" t="n">
        <v>500</v>
      </c>
      <c r="BM17" s="11" t="n"/>
      <c r="BN17" s="11" t="n">
        <v>500</v>
      </c>
      <c r="BO17" s="11" t="n">
        <v>500</v>
      </c>
      <c r="BP17" s="10" t="n"/>
      <c r="BQ17" s="10" t="n">
        <v>500</v>
      </c>
      <c r="BR17" s="10" t="n">
        <v>500</v>
      </c>
      <c r="BS17" s="11" t="n"/>
      <c r="BT17" s="11" t="n">
        <v>500</v>
      </c>
      <c r="BU17" s="11" t="n">
        <v>500</v>
      </c>
      <c r="BV17" s="10" t="n"/>
      <c r="BW17" s="10" t="n">
        <v>500</v>
      </c>
      <c r="BX17" s="10" t="n">
        <v>500</v>
      </c>
      <c r="BY17" s="11" t="n"/>
      <c r="BZ17" s="11" t="n">
        <v>500</v>
      </c>
      <c r="CA17" s="11" t="n">
        <v>500</v>
      </c>
      <c r="CB17" s="10" t="n"/>
      <c r="CC17" s="10" t="n">
        <v>500</v>
      </c>
      <c r="CD17" s="10" t="n">
        <v>500</v>
      </c>
      <c r="CE17" s="11" t="n"/>
      <c r="CF17" s="11" t="n">
        <v>500</v>
      </c>
      <c r="CG17" s="11" t="n">
        <v>500</v>
      </c>
      <c r="CH17" s="10" t="n"/>
      <c r="CI17" s="10" t="n">
        <v>500</v>
      </c>
      <c r="CJ17" s="10" t="n">
        <v>500</v>
      </c>
      <c r="CK17" s="11" t="n"/>
      <c r="CL17" s="11" t="n">
        <v>500</v>
      </c>
      <c r="CM17" s="11" t="n">
        <v>500</v>
      </c>
      <c r="CN17" s="10" t="n"/>
      <c r="CO17" s="10" t="n">
        <v>500</v>
      </c>
      <c r="CP17" s="10" t="n">
        <v>500</v>
      </c>
      <c r="CQ17" s="11" t="n"/>
      <c r="CR17" s="11" t="n">
        <v>500</v>
      </c>
      <c r="CS17" s="11" t="n">
        <v>500</v>
      </c>
      <c r="CT17" s="10" t="n"/>
      <c r="CU17" s="10" t="n">
        <v>500</v>
      </c>
      <c r="CV17" s="10" t="n">
        <v>500</v>
      </c>
      <c r="CW17" s="11" t="n"/>
      <c r="CX17" s="11" t="n">
        <v>500</v>
      </c>
      <c r="CY17" s="11" t="n">
        <v>500</v>
      </c>
      <c r="CZ17" s="10" t="n"/>
      <c r="DA17" s="10" t="n">
        <v>500</v>
      </c>
      <c r="DB17" s="10" t="n">
        <v>500</v>
      </c>
      <c r="DC17" s="11" t="n"/>
      <c r="DD17" s="11" t="n">
        <v>500</v>
      </c>
      <c r="DE17" s="11" t="n">
        <v>500</v>
      </c>
      <c r="DF17" s="10" t="n"/>
      <c r="DG17" s="10" t="n">
        <v>500</v>
      </c>
      <c r="DH17" s="10" t="n">
        <v>500</v>
      </c>
      <c r="DI17" s="11" t="n">
        <v>500</v>
      </c>
      <c r="DJ17" s="11" t="n">
        <v>500</v>
      </c>
      <c r="DK17" s="11" t="n">
        <v>500</v>
      </c>
      <c r="DL17" s="10" t="n">
        <v>500</v>
      </c>
      <c r="DM17" s="10" t="n">
        <v>500</v>
      </c>
      <c r="DN17" s="10" t="n">
        <v>500</v>
      </c>
    </row>
    <row r="18">
      <c r="A18" s="2" t="inlineStr">
        <is>
          <t>Software Subscriptions</t>
        </is>
      </c>
      <c r="B18" s="10">
        <f>IF(COUNT(AR18,AO18,AL18,AI18,AF18,AC18,Z18,W18,T18,Q18,N18,K18)=0,"",SUM(AR18,AO18,AL18,AI18,AF18,AC18,Z18,W18,T18,Q18,N18,K18))</f>
        <v/>
      </c>
      <c r="C18" s="10">
        <f>IF(COUNT(AS18,AP18,AM18,AJ18,AG18,AD18,AA18,X18,U18,R18,O18,L18)=0,"",SUM(AS18,AP18,AM18,AJ18,AG18,AD18,AA18,X18,U18,R18,O18,L18))</f>
        <v/>
      </c>
      <c r="D18" s="10">
        <f>IF(COUNT(AT18,AQ18,AN18,AK18,AH18,AE18,AB18,Y18,V18,S18,P18,M18)=0,"",SUM(AT18,AQ18,AN18,AK18,AH18,AE18,AB18,Y18,V18,S18,P18,M18))</f>
        <v/>
      </c>
      <c r="E18" s="11">
        <f>IF(COUNT(CB18,BY18,BV18,BS18,BP18,BM18,BJ18,BG18,BD18,BA18,AX18,AU18)=0,"",SUM(CB18,BY18,BV18,BS18,BP18,BM18,BJ18,BG18,BD18,BA18,AX18,AU18))</f>
        <v/>
      </c>
      <c r="F18" s="11">
        <f>IF(COUNT(CC18,BZ18,BW18,BT18,BQ18,BN18,BK18,BH18,BE18,BB18,AY18,AV18)=0,"",SUM(CC18,BZ18,BW18,BT18,BQ18,BN18,BK18,BH18,BE18,BB18,AY18,AV18))</f>
        <v/>
      </c>
      <c r="G18" s="11">
        <f>IF(COUNT(CD18,CA18,BX18,BU18,BR18,BO18,BL18,BI18,BF18,BC18,AZ18,AW18)=0,"",SUM(CD18,CA18,BX18,BU18,BR18,BO18,BL18,BI18,BF18,BC18,AZ18,AW18))</f>
        <v/>
      </c>
      <c r="H18" s="10">
        <f>IF(COUNT(DL18,DI18,DF18,DC18,CZ18,CW18,CT18,CQ18,CN18,CK18,CH18,CE18)=0,"",SUM(DL18,DI18,DF18,DC18,CZ18,CW18,CT18,CQ18,CN18,CK18,CH18,CE18))</f>
        <v/>
      </c>
      <c r="I18" s="10">
        <f>IF(COUNT(DM18,DJ18,DG18,DD18,DA18,CX18,CU18,CR18,CO18,CL18,CI18,CF18)=0,"",SUM(DM18,DJ18,DG18,DD18,DA18,CX18,CU18,CR18,CO18,CL18,CI18,CF18))</f>
        <v/>
      </c>
      <c r="J18" s="10">
        <f>IF(COUNT(DN18,DK18,DH18,DE18,DB18,CY18,CV18,CS18,CP18,CM18,CJ18,CG18)=0,"",SUM(DN18,DK18,DH18,DE18,DB18,CY18,CV18,CS18,CP18,CM18,CJ18,CG18))</f>
        <v/>
      </c>
      <c r="K18" s="11" t="n"/>
      <c r="L18" s="11" t="n">
        <v>4000</v>
      </c>
      <c r="M18" s="11" t="n">
        <v>4000</v>
      </c>
      <c r="N18" s="10" t="n"/>
      <c r="O18" s="10" t="n">
        <v>4000</v>
      </c>
      <c r="P18" s="10" t="n">
        <v>4000</v>
      </c>
      <c r="Q18" s="11" t="n"/>
      <c r="R18" s="11" t="n">
        <v>4000</v>
      </c>
      <c r="S18" s="11" t="n">
        <v>4000</v>
      </c>
      <c r="T18" s="10" t="n"/>
      <c r="U18" s="10" t="n">
        <v>4000</v>
      </c>
      <c r="V18" s="10" t="n">
        <v>4000</v>
      </c>
      <c r="W18" s="11" t="n"/>
      <c r="X18" s="11" t="n">
        <v>4000</v>
      </c>
      <c r="Y18" s="11" t="n">
        <v>4000</v>
      </c>
      <c r="Z18" s="10" t="n"/>
      <c r="AA18" s="10" t="n">
        <v>4000</v>
      </c>
      <c r="AB18" s="10" t="n">
        <v>4000</v>
      </c>
      <c r="AC18" s="11" t="n"/>
      <c r="AD18" s="11" t="n">
        <v>4000</v>
      </c>
      <c r="AE18" s="11" t="n">
        <v>4000</v>
      </c>
      <c r="AF18" s="10" t="n"/>
      <c r="AG18" s="10" t="n">
        <v>4000</v>
      </c>
      <c r="AH18" s="10" t="n">
        <v>4000</v>
      </c>
      <c r="AI18" s="11" t="n"/>
      <c r="AJ18" s="11" t="n">
        <v>4000</v>
      </c>
      <c r="AK18" s="11" t="n">
        <v>4000</v>
      </c>
      <c r="AL18" s="10" t="n"/>
      <c r="AM18" s="10" t="n">
        <v>4000</v>
      </c>
      <c r="AN18" s="10" t="n">
        <v>4000</v>
      </c>
      <c r="AO18" s="11" t="n"/>
      <c r="AP18" s="11" t="n">
        <v>4000</v>
      </c>
      <c r="AQ18" s="11" t="n">
        <v>4000</v>
      </c>
      <c r="AR18" s="10" t="n"/>
      <c r="AS18" s="10" t="n">
        <v>4000</v>
      </c>
      <c r="AT18" s="10" t="n">
        <v>4000</v>
      </c>
      <c r="AU18" s="11" t="n"/>
      <c r="AV18" s="11" t="n">
        <v>4000</v>
      </c>
      <c r="AW18" s="11" t="n">
        <v>4000</v>
      </c>
      <c r="AX18" s="10" t="n"/>
      <c r="AY18" s="10" t="n">
        <v>4000</v>
      </c>
      <c r="AZ18" s="10" t="n">
        <v>4000</v>
      </c>
      <c r="BA18" s="11" t="n"/>
      <c r="BB18" s="11" t="n">
        <v>4000</v>
      </c>
      <c r="BC18" s="11" t="n">
        <v>4000</v>
      </c>
      <c r="BD18" s="10" t="n"/>
      <c r="BE18" s="10" t="n">
        <v>4000</v>
      </c>
      <c r="BF18" s="10" t="n">
        <v>4000</v>
      </c>
      <c r="BG18" s="11" t="n"/>
      <c r="BH18" s="11" t="n">
        <v>4000</v>
      </c>
      <c r="BI18" s="11" t="n">
        <v>4000</v>
      </c>
      <c r="BJ18" s="10" t="n"/>
      <c r="BK18" s="10" t="n">
        <v>4000</v>
      </c>
      <c r="BL18" s="10" t="n">
        <v>4000</v>
      </c>
      <c r="BM18" s="11" t="n"/>
      <c r="BN18" s="11" t="n">
        <v>4000</v>
      </c>
      <c r="BO18" s="11" t="n">
        <v>4000</v>
      </c>
      <c r="BP18" s="10" t="n"/>
      <c r="BQ18" s="10" t="n">
        <v>4000</v>
      </c>
      <c r="BR18" s="10" t="n">
        <v>4000</v>
      </c>
      <c r="BS18" s="11" t="n"/>
      <c r="BT18" s="11" t="n">
        <v>4000</v>
      </c>
      <c r="BU18" s="11" t="n">
        <v>4000</v>
      </c>
      <c r="BV18" s="10" t="n"/>
      <c r="BW18" s="10" t="n">
        <v>4000</v>
      </c>
      <c r="BX18" s="10" t="n">
        <v>4000</v>
      </c>
      <c r="BY18" s="11" t="n"/>
      <c r="BZ18" s="11" t="n">
        <v>4000</v>
      </c>
      <c r="CA18" s="11" t="n">
        <v>4000</v>
      </c>
      <c r="CB18" s="10" t="n"/>
      <c r="CC18" s="10" t="n">
        <v>4000</v>
      </c>
      <c r="CD18" s="10" t="n">
        <v>4000</v>
      </c>
      <c r="CE18" s="11" t="n"/>
      <c r="CF18" s="11" t="n">
        <v>4000</v>
      </c>
      <c r="CG18" s="11" t="n">
        <v>4000</v>
      </c>
      <c r="CH18" s="10" t="n"/>
      <c r="CI18" s="10" t="n">
        <v>4000</v>
      </c>
      <c r="CJ18" s="10" t="n">
        <v>4000</v>
      </c>
      <c r="CK18" s="11" t="n"/>
      <c r="CL18" s="11" t="n">
        <v>4000</v>
      </c>
      <c r="CM18" s="11" t="n">
        <v>4000</v>
      </c>
      <c r="CN18" s="10" t="n"/>
      <c r="CO18" s="10" t="n">
        <v>4000</v>
      </c>
      <c r="CP18" s="10" t="n">
        <v>4000</v>
      </c>
      <c r="CQ18" s="11" t="n"/>
      <c r="CR18" s="11" t="n">
        <v>4000</v>
      </c>
      <c r="CS18" s="11" t="n">
        <v>4000</v>
      </c>
      <c r="CT18" s="10" t="n"/>
      <c r="CU18" s="10" t="n">
        <v>4000</v>
      </c>
      <c r="CV18" s="10" t="n">
        <v>4000</v>
      </c>
      <c r="CW18" s="11" t="n"/>
      <c r="CX18" s="11" t="n">
        <v>4000</v>
      </c>
      <c r="CY18" s="11" t="n">
        <v>4000</v>
      </c>
      <c r="CZ18" s="10" t="n"/>
      <c r="DA18" s="10" t="n">
        <v>4000</v>
      </c>
      <c r="DB18" s="10" t="n">
        <v>4000</v>
      </c>
      <c r="DC18" s="11" t="n"/>
      <c r="DD18" s="11" t="n">
        <v>4000</v>
      </c>
      <c r="DE18" s="11" t="n">
        <v>4000</v>
      </c>
      <c r="DF18" s="10" t="n"/>
      <c r="DG18" s="10" t="n">
        <v>4000</v>
      </c>
      <c r="DH18" s="10" t="n">
        <v>4000</v>
      </c>
      <c r="DI18" s="11" t="n">
        <v>4000</v>
      </c>
      <c r="DJ18" s="11" t="n">
        <v>4000</v>
      </c>
      <c r="DK18" s="11" t="n">
        <v>4000</v>
      </c>
      <c r="DL18" s="10" t="n">
        <v>4000</v>
      </c>
      <c r="DM18" s="10" t="n">
        <v>4000</v>
      </c>
      <c r="DN18" s="10" t="n">
        <v>4000</v>
      </c>
    </row>
    <row r="19">
      <c r="A19" s="2" t="inlineStr">
        <is>
          <t>Dues and Subscriptions</t>
        </is>
      </c>
      <c r="B19" s="10">
        <f>IF(COUNT(AR19,AO19,AL19,AI19,AF19,AC19,Z19,W19,T19,Q19,N19,K19)=0,"",SUM(AR19,AO19,AL19,AI19,AF19,AC19,Z19,W19,T19,Q19,N19,K19))</f>
        <v/>
      </c>
      <c r="C19" s="10">
        <f>IF(COUNT(AS19,AP19,AM19,AJ19,AG19,AD19,AA19,X19,U19,R19,O19,L19)=0,"",SUM(AS19,AP19,AM19,AJ19,AG19,AD19,AA19,X19,U19,R19,O19,L19))</f>
        <v/>
      </c>
      <c r="D19" s="10">
        <f>IF(COUNT(AT19,AQ19,AN19,AK19,AH19,AE19,AB19,Y19,V19,S19,P19,M19)=0,"",SUM(AT19,AQ19,AN19,AK19,AH19,AE19,AB19,Y19,V19,S19,P19,M19))</f>
        <v/>
      </c>
      <c r="E19" s="11">
        <f>IF(COUNT(CB19,BY19,BV19,BS19,BP19,BM19,BJ19,BG19,BD19,BA19,AX19,AU19)=0,"",SUM(CB19,BY19,BV19,BS19,BP19,BM19,BJ19,BG19,BD19,BA19,AX19,AU19))</f>
        <v/>
      </c>
      <c r="F19" s="11">
        <f>IF(COUNT(CC19,BZ19,BW19,BT19,BQ19,BN19,BK19,BH19,BE19,BB19,AY19,AV19)=0,"",SUM(CC19,BZ19,BW19,BT19,BQ19,BN19,BK19,BH19,BE19,BB19,AY19,AV19))</f>
        <v/>
      </c>
      <c r="G19" s="11">
        <f>IF(COUNT(CD19,CA19,BX19,BU19,BR19,BO19,BL19,BI19,BF19,BC19,AZ19,AW19)=0,"",SUM(CD19,CA19,BX19,BU19,BR19,BO19,BL19,BI19,BF19,BC19,AZ19,AW19))</f>
        <v/>
      </c>
      <c r="H19" s="10">
        <f>IF(COUNT(DL19,DI19,DF19,DC19,CZ19,CW19,CT19,CQ19,CN19,CK19,CH19,CE19)=0,"",SUM(DL19,DI19,DF19,DC19,CZ19,CW19,CT19,CQ19,CN19,CK19,CH19,CE19))</f>
        <v/>
      </c>
      <c r="I19" s="10">
        <f>IF(COUNT(DM19,DJ19,DG19,DD19,DA19,CX19,CU19,CR19,CO19,CL19,CI19,CF19)=0,"",SUM(DM19,DJ19,DG19,DD19,DA19,CX19,CU19,CR19,CO19,CL19,CI19,CF19))</f>
        <v/>
      </c>
      <c r="J19" s="10">
        <f>IF(COUNT(DN19,DK19,DH19,DE19,DB19,CY19,CV19,CS19,CP19,CM19,CJ19,CG19)=0,"",SUM(DN19,DK19,DH19,DE19,DB19,CY19,CV19,CS19,CP19,CM19,CJ19,CG19))</f>
        <v/>
      </c>
      <c r="K19" s="11" t="n"/>
      <c r="L19" s="11" t="n">
        <v>1000</v>
      </c>
      <c r="M19" s="11" t="n">
        <v>1000</v>
      </c>
      <c r="N19" s="10" t="n"/>
      <c r="O19" s="10" t="n">
        <v>1000</v>
      </c>
      <c r="P19" s="10" t="n">
        <v>1000</v>
      </c>
      <c r="Q19" s="11" t="n"/>
      <c r="R19" s="11" t="n">
        <v>1000</v>
      </c>
      <c r="S19" s="11" t="n">
        <v>1000</v>
      </c>
      <c r="T19" s="10" t="n"/>
      <c r="U19" s="10" t="n">
        <v>1000</v>
      </c>
      <c r="V19" s="10" t="n">
        <v>1000</v>
      </c>
      <c r="W19" s="11" t="n"/>
      <c r="X19" s="11" t="n">
        <v>1000</v>
      </c>
      <c r="Y19" s="11" t="n">
        <v>1000</v>
      </c>
      <c r="Z19" s="10" t="n"/>
      <c r="AA19" s="10" t="n">
        <v>1000</v>
      </c>
      <c r="AB19" s="10" t="n">
        <v>1000</v>
      </c>
      <c r="AC19" s="11" t="n"/>
      <c r="AD19" s="11" t="n">
        <v>1000</v>
      </c>
      <c r="AE19" s="11" t="n">
        <v>1000</v>
      </c>
      <c r="AF19" s="10" t="n"/>
      <c r="AG19" s="10" t="n">
        <v>1000</v>
      </c>
      <c r="AH19" s="10" t="n">
        <v>1000</v>
      </c>
      <c r="AI19" s="11" t="n"/>
      <c r="AJ19" s="11" t="n">
        <v>1000</v>
      </c>
      <c r="AK19" s="11" t="n">
        <v>1000</v>
      </c>
      <c r="AL19" s="10" t="n"/>
      <c r="AM19" s="10" t="n">
        <v>1000</v>
      </c>
      <c r="AN19" s="10" t="n">
        <v>1000</v>
      </c>
      <c r="AO19" s="11" t="n"/>
      <c r="AP19" s="11" t="n">
        <v>1000</v>
      </c>
      <c r="AQ19" s="11" t="n">
        <v>1000</v>
      </c>
      <c r="AR19" s="10" t="n"/>
      <c r="AS19" s="10" t="n">
        <v>1000</v>
      </c>
      <c r="AT19" s="10" t="n">
        <v>1000</v>
      </c>
      <c r="AU19" s="11" t="n"/>
      <c r="AV19" s="11" t="n">
        <v>1000</v>
      </c>
      <c r="AW19" s="11" t="n">
        <v>1000</v>
      </c>
      <c r="AX19" s="10" t="n"/>
      <c r="AY19" s="10" t="n">
        <v>1000</v>
      </c>
      <c r="AZ19" s="10" t="n">
        <v>1000</v>
      </c>
      <c r="BA19" s="11" t="n"/>
      <c r="BB19" s="11" t="n">
        <v>1000</v>
      </c>
      <c r="BC19" s="11" t="n">
        <v>1000</v>
      </c>
      <c r="BD19" s="10" t="n"/>
      <c r="BE19" s="10" t="n">
        <v>1000</v>
      </c>
      <c r="BF19" s="10" t="n">
        <v>1000</v>
      </c>
      <c r="BG19" s="11" t="n"/>
      <c r="BH19" s="11" t="n">
        <v>1000</v>
      </c>
      <c r="BI19" s="11" t="n">
        <v>1000</v>
      </c>
      <c r="BJ19" s="10" t="n"/>
      <c r="BK19" s="10" t="n">
        <v>1000</v>
      </c>
      <c r="BL19" s="10" t="n">
        <v>1000</v>
      </c>
      <c r="BM19" s="11" t="n"/>
      <c r="BN19" s="11" t="n">
        <v>1000</v>
      </c>
      <c r="BO19" s="11" t="n">
        <v>1000</v>
      </c>
      <c r="BP19" s="10" t="n"/>
      <c r="BQ19" s="10" t="n">
        <v>1000</v>
      </c>
      <c r="BR19" s="10" t="n">
        <v>1000</v>
      </c>
      <c r="BS19" s="11" t="n"/>
      <c r="BT19" s="11" t="n">
        <v>1000</v>
      </c>
      <c r="BU19" s="11" t="n">
        <v>1000</v>
      </c>
      <c r="BV19" s="10" t="n"/>
      <c r="BW19" s="10" t="n">
        <v>1000</v>
      </c>
      <c r="BX19" s="10" t="n">
        <v>1000</v>
      </c>
      <c r="BY19" s="11" t="n"/>
      <c r="BZ19" s="11" t="n">
        <v>1000</v>
      </c>
      <c r="CA19" s="11" t="n">
        <v>1000</v>
      </c>
      <c r="CB19" s="10" t="n"/>
      <c r="CC19" s="10" t="n">
        <v>1000</v>
      </c>
      <c r="CD19" s="10" t="n">
        <v>1000</v>
      </c>
      <c r="CE19" s="11" t="n"/>
      <c r="CF19" s="11" t="n">
        <v>1000</v>
      </c>
      <c r="CG19" s="11" t="n">
        <v>1000</v>
      </c>
      <c r="CH19" s="10" t="n"/>
      <c r="CI19" s="10" t="n">
        <v>1000</v>
      </c>
      <c r="CJ19" s="10" t="n">
        <v>1000</v>
      </c>
      <c r="CK19" s="11" t="n"/>
      <c r="CL19" s="11" t="n">
        <v>1000</v>
      </c>
      <c r="CM19" s="11" t="n">
        <v>1000</v>
      </c>
      <c r="CN19" s="10" t="n"/>
      <c r="CO19" s="10" t="n">
        <v>1000</v>
      </c>
      <c r="CP19" s="10" t="n">
        <v>1000</v>
      </c>
      <c r="CQ19" s="11" t="n"/>
      <c r="CR19" s="11" t="n">
        <v>1000</v>
      </c>
      <c r="CS19" s="11" t="n">
        <v>1000</v>
      </c>
      <c r="CT19" s="10" t="n"/>
      <c r="CU19" s="10" t="n">
        <v>1000</v>
      </c>
      <c r="CV19" s="10" t="n">
        <v>1000</v>
      </c>
      <c r="CW19" s="11" t="n"/>
      <c r="CX19" s="11" t="n">
        <v>1000</v>
      </c>
      <c r="CY19" s="11" t="n">
        <v>1000</v>
      </c>
      <c r="CZ19" s="10" t="n"/>
      <c r="DA19" s="10" t="n">
        <v>1000</v>
      </c>
      <c r="DB19" s="10" t="n">
        <v>1000</v>
      </c>
      <c r="DC19" s="11" t="n"/>
      <c r="DD19" s="11" t="n">
        <v>1000</v>
      </c>
      <c r="DE19" s="11" t="n">
        <v>1000</v>
      </c>
      <c r="DF19" s="10" t="n"/>
      <c r="DG19" s="10" t="n">
        <v>1000</v>
      </c>
      <c r="DH19" s="10" t="n">
        <v>1000</v>
      </c>
      <c r="DI19" s="11" t="n">
        <v>1000</v>
      </c>
      <c r="DJ19" s="11" t="n">
        <v>1000</v>
      </c>
      <c r="DK19" s="11" t="n">
        <v>1000</v>
      </c>
      <c r="DL19" s="10" t="n">
        <v>1000</v>
      </c>
      <c r="DM19" s="10" t="n">
        <v>1000</v>
      </c>
      <c r="DN19" s="10" t="n">
        <v>1000</v>
      </c>
    </row>
    <row r="20">
      <c r="A20" s="2" t="inlineStr">
        <is>
          <t>Travel, Meals and Entertainment</t>
        </is>
      </c>
      <c r="B20" s="10">
        <f>IF(COUNT(AR20,AO20,AL20,AI20,AF20,AC20,Z20,W20,T20,Q20,N20,K20)=0,"",SUM(AR20,AO20,AL20,AI20,AF20,AC20,Z20,W20,T20,Q20,N20,K20))</f>
        <v/>
      </c>
      <c r="C20" s="10">
        <f>IF(COUNT(AS20,AP20,AM20,AJ20,AG20,AD20,AA20,X20,U20,R20,O20,L20)=0,"",SUM(AS20,AP20,AM20,AJ20,AG20,AD20,AA20,X20,U20,R20,O20,L20))</f>
        <v/>
      </c>
      <c r="D20" s="10">
        <f>IF(COUNT(AT20,AQ20,AN20,AK20,AH20,AE20,AB20,Y20,V20,S20,P20,M20)=0,"",SUM(AT20,AQ20,AN20,AK20,AH20,AE20,AB20,Y20,V20,S20,P20,M20))</f>
        <v/>
      </c>
      <c r="E20" s="11">
        <f>IF(COUNT(CB20,BY20,BV20,BS20,BP20,BM20,BJ20,BG20,BD20,BA20,AX20,AU20)=0,"",SUM(CB20,BY20,BV20,BS20,BP20,BM20,BJ20,BG20,BD20,BA20,AX20,AU20))</f>
        <v/>
      </c>
      <c r="F20" s="11">
        <f>IF(COUNT(CC20,BZ20,BW20,BT20,BQ20,BN20,BK20,BH20,BE20,BB20,AY20,AV20)=0,"",SUM(CC20,BZ20,BW20,BT20,BQ20,BN20,BK20,BH20,BE20,BB20,AY20,AV20))</f>
        <v/>
      </c>
      <c r="G20" s="11">
        <f>IF(COUNT(CD20,CA20,BX20,BU20,BR20,BO20,BL20,BI20,BF20,BC20,AZ20,AW20)=0,"",SUM(CD20,CA20,BX20,BU20,BR20,BO20,BL20,BI20,BF20,BC20,AZ20,AW20))</f>
        <v/>
      </c>
      <c r="H20" s="10">
        <f>IF(COUNT(DL20,DI20,DF20,DC20,CZ20,CW20,CT20,CQ20,CN20,CK20,CH20,CE20)=0,"",SUM(DL20,DI20,DF20,DC20,CZ20,CW20,CT20,CQ20,CN20,CK20,CH20,CE20))</f>
        <v/>
      </c>
      <c r="I20" s="10">
        <f>IF(COUNT(DM20,DJ20,DG20,DD20,DA20,CX20,CU20,CR20,CO20,CL20,CI20,CF20)=0,"",SUM(DM20,DJ20,DG20,DD20,DA20,CX20,CU20,CR20,CO20,CL20,CI20,CF20))</f>
        <v/>
      </c>
      <c r="J20" s="10">
        <f>IF(COUNT(DN20,DK20,DH20,DE20,DB20,CY20,CV20,CS20,CP20,CM20,CJ20,CG20)=0,"",SUM(DN20,DK20,DH20,DE20,DB20,CY20,CV20,CS20,CP20,CM20,CJ20,CG20))</f>
        <v/>
      </c>
      <c r="K20" s="11" t="n"/>
      <c r="L20" s="11" t="n">
        <v>2000</v>
      </c>
      <c r="M20" s="11" t="n">
        <v>2000</v>
      </c>
      <c r="N20" s="10" t="n"/>
      <c r="O20" s="10" t="n">
        <v>2000</v>
      </c>
      <c r="P20" s="10" t="n">
        <v>2000</v>
      </c>
      <c r="Q20" s="11" t="n"/>
      <c r="R20" s="11" t="n">
        <v>2000</v>
      </c>
      <c r="S20" s="11" t="n">
        <v>2000</v>
      </c>
      <c r="T20" s="10" t="n"/>
      <c r="U20" s="10" t="n">
        <v>2000</v>
      </c>
      <c r="V20" s="10" t="n">
        <v>2000</v>
      </c>
      <c r="W20" s="11" t="n"/>
      <c r="X20" s="11" t="n">
        <v>2000</v>
      </c>
      <c r="Y20" s="11" t="n">
        <v>2000</v>
      </c>
      <c r="Z20" s="10" t="n"/>
      <c r="AA20" s="10" t="n">
        <v>2000</v>
      </c>
      <c r="AB20" s="10" t="n">
        <v>2000</v>
      </c>
      <c r="AC20" s="11" t="n"/>
      <c r="AD20" s="11" t="n">
        <v>2000</v>
      </c>
      <c r="AE20" s="11" t="n">
        <v>2000</v>
      </c>
      <c r="AF20" s="10" t="n"/>
      <c r="AG20" s="10" t="n">
        <v>2000</v>
      </c>
      <c r="AH20" s="10" t="n">
        <v>2000</v>
      </c>
      <c r="AI20" s="11" t="n"/>
      <c r="AJ20" s="11" t="n">
        <v>2000</v>
      </c>
      <c r="AK20" s="11" t="n">
        <v>2000</v>
      </c>
      <c r="AL20" s="10" t="n"/>
      <c r="AM20" s="10" t="n">
        <v>2000</v>
      </c>
      <c r="AN20" s="10" t="n">
        <v>2000</v>
      </c>
      <c r="AO20" s="11" t="n"/>
      <c r="AP20" s="11" t="n">
        <v>2000</v>
      </c>
      <c r="AQ20" s="11" t="n">
        <v>2000</v>
      </c>
      <c r="AR20" s="10" t="n"/>
      <c r="AS20" s="10" t="n">
        <v>2000</v>
      </c>
      <c r="AT20" s="10" t="n">
        <v>2000</v>
      </c>
      <c r="AU20" s="11" t="n"/>
      <c r="AV20" s="11" t="n">
        <v>2000</v>
      </c>
      <c r="AW20" s="11" t="n">
        <v>2000</v>
      </c>
      <c r="AX20" s="10" t="n"/>
      <c r="AY20" s="10" t="n">
        <v>2000</v>
      </c>
      <c r="AZ20" s="10" t="n">
        <v>2000</v>
      </c>
      <c r="BA20" s="11" t="n"/>
      <c r="BB20" s="11" t="n">
        <v>2000</v>
      </c>
      <c r="BC20" s="11" t="n">
        <v>2000</v>
      </c>
      <c r="BD20" s="10" t="n"/>
      <c r="BE20" s="10" t="n">
        <v>2000</v>
      </c>
      <c r="BF20" s="10" t="n">
        <v>2000</v>
      </c>
      <c r="BG20" s="11" t="n"/>
      <c r="BH20" s="11" t="n">
        <v>2000</v>
      </c>
      <c r="BI20" s="11" t="n">
        <v>2000</v>
      </c>
      <c r="BJ20" s="10" t="n"/>
      <c r="BK20" s="10" t="n">
        <v>2000</v>
      </c>
      <c r="BL20" s="10" t="n">
        <v>2000</v>
      </c>
      <c r="BM20" s="11" t="n"/>
      <c r="BN20" s="11" t="n">
        <v>2000</v>
      </c>
      <c r="BO20" s="11" t="n">
        <v>2000</v>
      </c>
      <c r="BP20" s="10" t="n"/>
      <c r="BQ20" s="10" t="n">
        <v>2000</v>
      </c>
      <c r="BR20" s="10" t="n">
        <v>2000</v>
      </c>
      <c r="BS20" s="11" t="n"/>
      <c r="BT20" s="11" t="n">
        <v>2000</v>
      </c>
      <c r="BU20" s="11" t="n">
        <v>2000</v>
      </c>
      <c r="BV20" s="10" t="n"/>
      <c r="BW20" s="10" t="n">
        <v>2000</v>
      </c>
      <c r="BX20" s="10" t="n">
        <v>2000</v>
      </c>
      <c r="BY20" s="11" t="n"/>
      <c r="BZ20" s="11" t="n">
        <v>2000</v>
      </c>
      <c r="CA20" s="11" t="n">
        <v>2000</v>
      </c>
      <c r="CB20" s="10" t="n"/>
      <c r="CC20" s="10" t="n">
        <v>2000</v>
      </c>
      <c r="CD20" s="10" t="n">
        <v>2000</v>
      </c>
      <c r="CE20" s="11" t="n"/>
      <c r="CF20" s="11" t="n">
        <v>2000</v>
      </c>
      <c r="CG20" s="11" t="n">
        <v>2000</v>
      </c>
      <c r="CH20" s="10" t="n"/>
      <c r="CI20" s="10" t="n">
        <v>2000</v>
      </c>
      <c r="CJ20" s="10" t="n">
        <v>2000</v>
      </c>
      <c r="CK20" s="11" t="n"/>
      <c r="CL20" s="11" t="n">
        <v>2000</v>
      </c>
      <c r="CM20" s="11" t="n">
        <v>2000</v>
      </c>
      <c r="CN20" s="10" t="n"/>
      <c r="CO20" s="10" t="n">
        <v>2000</v>
      </c>
      <c r="CP20" s="10" t="n">
        <v>2000</v>
      </c>
      <c r="CQ20" s="11" t="n"/>
      <c r="CR20" s="11" t="n">
        <v>2000</v>
      </c>
      <c r="CS20" s="11" t="n">
        <v>2000</v>
      </c>
      <c r="CT20" s="10" t="n"/>
      <c r="CU20" s="10" t="n">
        <v>2000</v>
      </c>
      <c r="CV20" s="10" t="n">
        <v>2000</v>
      </c>
      <c r="CW20" s="11" t="n"/>
      <c r="CX20" s="11" t="n">
        <v>2000</v>
      </c>
      <c r="CY20" s="11" t="n">
        <v>2000</v>
      </c>
      <c r="CZ20" s="10" t="n"/>
      <c r="DA20" s="10" t="n">
        <v>2000</v>
      </c>
      <c r="DB20" s="10" t="n">
        <v>2000</v>
      </c>
      <c r="DC20" s="11" t="n"/>
      <c r="DD20" s="11" t="n">
        <v>2000</v>
      </c>
      <c r="DE20" s="11" t="n">
        <v>2000</v>
      </c>
      <c r="DF20" s="10" t="n"/>
      <c r="DG20" s="10" t="n">
        <v>2000</v>
      </c>
      <c r="DH20" s="10" t="n">
        <v>2000</v>
      </c>
      <c r="DI20" s="11" t="n">
        <v>2000</v>
      </c>
      <c r="DJ20" s="11" t="n">
        <v>2000</v>
      </c>
      <c r="DK20" s="11" t="n">
        <v>2000</v>
      </c>
      <c r="DL20" s="10" t="n">
        <v>2000</v>
      </c>
      <c r="DM20" s="10" t="n">
        <v>2000</v>
      </c>
      <c r="DN20" s="10" t="n">
        <v>2000</v>
      </c>
    </row>
    <row r="21">
      <c r="A21" s="12" t="inlineStr">
        <is>
          <t>Total Standard Department Cost</t>
        </is>
      </c>
      <c r="B21" s="13">
        <f>IF(COUNT(AR21,AO21,AL21,AI21,AF21,AC21,Z21,W21,T21,Q21,N21,K21)=0,"",SUM(AR21,AO21,AL21,AI21,AF21,AC21,Z21,W21,T21,Q21,N21,K21))</f>
        <v/>
      </c>
      <c r="C21" s="13">
        <f>IF(COUNT(AS21,AP21,AM21,AJ21,AG21,AD21,AA21,X21,U21,R21,O21,L21)=0,"",SUM(AS21,AP21,AM21,AJ21,AG21,AD21,AA21,X21,U21,R21,O21,L21))</f>
        <v/>
      </c>
      <c r="D21" s="13">
        <f>IF(COUNT(AT21,AQ21,AN21,AK21,AH21,AE21,AB21,Y21,V21,S21,P21,M21)=0,"",SUM(AT21,AQ21,AN21,AK21,AH21,AE21,AB21,Y21,V21,S21,P21,M21))</f>
        <v/>
      </c>
      <c r="E21" s="14">
        <f>IF(COUNT(CB21,BY21,BV21,BS21,BP21,BM21,BJ21,BG21,BD21,BA21,AX21,AU21)=0,"",SUM(CB21,BY21,BV21,BS21,BP21,BM21,BJ21,BG21,BD21,BA21,AX21,AU21))</f>
        <v/>
      </c>
      <c r="F21" s="14">
        <f>IF(COUNT(CC21,BZ21,BW21,BT21,BQ21,BN21,BK21,BH21,BE21,BB21,AY21,AV21)=0,"",SUM(CC21,BZ21,BW21,BT21,BQ21,BN21,BK21,BH21,BE21,BB21,AY21,AV21))</f>
        <v/>
      </c>
      <c r="G21" s="14">
        <f>IF(COUNT(CD21,CA21,BX21,BU21,BR21,BO21,BL21,BI21,BF21,BC21,AZ21,AW21)=0,"",SUM(CD21,CA21,BX21,BU21,BR21,BO21,BL21,BI21,BF21,BC21,AZ21,AW21))</f>
        <v/>
      </c>
      <c r="H21" s="13">
        <f>IF(COUNT(DL21,DI21,DF21,DC21,CZ21,CW21,CT21,CQ21,CN21,CK21,CH21,CE21)=0,"",SUM(DL21,DI21,DF21,DC21,CZ21,CW21,CT21,CQ21,CN21,CK21,CH21,CE21))</f>
        <v/>
      </c>
      <c r="I21" s="13">
        <f>IF(COUNT(DM21,DJ21,DG21,DD21,DA21,CX21,CU21,CR21,CO21,CL21,CI21,CF21)=0,"",SUM(DM21,DJ21,DG21,DD21,DA21,CX21,CU21,CR21,CO21,CL21,CI21,CF21))</f>
        <v/>
      </c>
      <c r="J21" s="13">
        <f>IF(COUNT(DN21,DK21,DH21,DE21,DB21,CY21,CV21,CS21,CP21,CM21,CJ21,CG21)=0,"",SUM(DN21,DK21,DH21,DE21,DB21,CY21,CV21,CS21,CP21,CM21,CJ21,CG21))</f>
        <v/>
      </c>
      <c r="K21" s="14">
        <f>IF(COUNT(K12,K13,K14,K15,K16,K17,K18,K19,K20)=0,"",SUM(K12:K20))</f>
        <v/>
      </c>
      <c r="L21" s="14">
        <f>SUM(L12:L20)</f>
        <v/>
      </c>
      <c r="M21" s="14">
        <f>SUM(M12:M20)</f>
        <v/>
      </c>
      <c r="N21" s="13">
        <f>IF(COUNT(N12,N13,N14,N15,N16,N17,N18,N19,N20)=0,"",SUM(N12:N20))</f>
        <v/>
      </c>
      <c r="O21" s="13">
        <f>SUM(O12:O20)</f>
        <v/>
      </c>
      <c r="P21" s="13">
        <f>SUM(P12:P20)</f>
        <v/>
      </c>
      <c r="Q21" s="14">
        <f>IF(COUNT(Q12,Q13,Q14,Q15,Q16,Q17,Q18,Q19,Q20)=0,"",SUM(Q12:Q20))</f>
        <v/>
      </c>
      <c r="R21" s="14">
        <f>SUM(R12:R20)</f>
        <v/>
      </c>
      <c r="S21" s="14">
        <f>SUM(S12:S20)</f>
        <v/>
      </c>
      <c r="T21" s="13">
        <f>IF(COUNT(T12,T13,T14,T15,T16,T17,T18,T19,T20)=0,"",SUM(T12:T20))</f>
        <v/>
      </c>
      <c r="U21" s="13">
        <f>SUM(U12:U20)</f>
        <v/>
      </c>
      <c r="V21" s="13">
        <f>SUM(V12:V20)</f>
        <v/>
      </c>
      <c r="W21" s="14">
        <f>IF(COUNT(W12,W13,W14,W15,W16,W17,W18,W19,W20)=0,"",SUM(W12:W20))</f>
        <v/>
      </c>
      <c r="X21" s="14">
        <f>SUM(X12:X20)</f>
        <v/>
      </c>
      <c r="Y21" s="14">
        <f>SUM(Y12:Y20)</f>
        <v/>
      </c>
      <c r="Z21" s="13">
        <f>IF(COUNT(Z12,Z13,Z14,Z15,Z16,Z17,Z18,Z19,Z20)=0,"",SUM(Z12:Z20))</f>
        <v/>
      </c>
      <c r="AA21" s="13">
        <f>SUM(AA12:AA20)</f>
        <v/>
      </c>
      <c r="AB21" s="13">
        <f>SUM(AB12:AB20)</f>
        <v/>
      </c>
      <c r="AC21" s="14">
        <f>IF(COUNT(AC12,AC13,AC14,AC15,AC16,AC17,AC18,AC19,AC20)=0,"",SUM(AC12:AC20))</f>
        <v/>
      </c>
      <c r="AD21" s="14">
        <f>SUM(AD12:AD20)</f>
        <v/>
      </c>
      <c r="AE21" s="14">
        <f>SUM(AE12:AE20)</f>
        <v/>
      </c>
      <c r="AF21" s="13">
        <f>IF(COUNT(AF12,AF13,AF14,AF15,AF16,AF17,AF18,AF19,AF20)=0,"",SUM(AF12:AF20))</f>
        <v/>
      </c>
      <c r="AG21" s="13">
        <f>SUM(AG12:AG20)</f>
        <v/>
      </c>
      <c r="AH21" s="13">
        <f>SUM(AH12:AH20)</f>
        <v/>
      </c>
      <c r="AI21" s="14">
        <f>IF(COUNT(AI12,AI13,AI14,AI15,AI16,AI17,AI18,AI19,AI20)=0,"",SUM(AI12:AI20))</f>
        <v/>
      </c>
      <c r="AJ21" s="14">
        <f>SUM(AJ12:AJ20)</f>
        <v/>
      </c>
      <c r="AK21" s="14">
        <f>SUM(AK12:AK20)</f>
        <v/>
      </c>
      <c r="AL21" s="13">
        <f>IF(COUNT(AL12,AL13,AL14,AL15,AL16,AL17,AL18,AL19,AL20)=0,"",SUM(AL12:AL20))</f>
        <v/>
      </c>
      <c r="AM21" s="13">
        <f>SUM(AM12:AM20)</f>
        <v/>
      </c>
      <c r="AN21" s="13">
        <f>SUM(AN12:AN20)</f>
        <v/>
      </c>
      <c r="AO21" s="14">
        <f>IF(COUNT(AO12,AO13,AO14,AO15,AO16,AO17,AO18,AO19,AO20)=0,"",SUM(AO12:AO20))</f>
        <v/>
      </c>
      <c r="AP21" s="14">
        <f>SUM(AP12:AP20)</f>
        <v/>
      </c>
      <c r="AQ21" s="14">
        <f>SUM(AQ12:AQ20)</f>
        <v/>
      </c>
      <c r="AR21" s="13">
        <f>IF(COUNT(AR12,AR13,AR14,AR15,AR16,AR17,AR18,AR19,AR20)=0,"",SUM(AR12:AR20))</f>
        <v/>
      </c>
      <c r="AS21" s="13">
        <f>SUM(AS12:AS20)</f>
        <v/>
      </c>
      <c r="AT21" s="13">
        <f>SUM(AT12:AT20)</f>
        <v/>
      </c>
      <c r="AU21" s="14">
        <f>IF(COUNT(AU12,AU13,AU14,AU15,AU16,AU17,AU18,AU19,AU20)=0,"",SUM(AU12:AU20))</f>
        <v/>
      </c>
      <c r="AV21" s="14">
        <f>SUM(AV12:AV20)</f>
        <v/>
      </c>
      <c r="AW21" s="14">
        <f>SUM(AW12:AW20)</f>
        <v/>
      </c>
      <c r="AX21" s="13">
        <f>IF(COUNT(AX12,AX13,AX14,AX15,AX16,AX17,AX18,AX19,AX20)=0,"",SUM(AX12:AX20))</f>
        <v/>
      </c>
      <c r="AY21" s="13">
        <f>SUM(AY12:AY20)</f>
        <v/>
      </c>
      <c r="AZ21" s="13">
        <f>SUM(AZ12:AZ20)</f>
        <v/>
      </c>
      <c r="BA21" s="14">
        <f>IF(COUNT(BA12,BA13,BA14,BA15,BA16,BA17,BA18,BA19,BA20)=0,"",SUM(BA12:BA20))</f>
        <v/>
      </c>
      <c r="BB21" s="14">
        <f>SUM(BB12:BB20)</f>
        <v/>
      </c>
      <c r="BC21" s="14">
        <f>SUM(BC12:BC20)</f>
        <v/>
      </c>
      <c r="BD21" s="13">
        <f>IF(COUNT(BD12,BD13,BD14,BD15,BD16,BD17,BD18,BD19,BD20)=0,"",SUM(BD12:BD20))</f>
        <v/>
      </c>
      <c r="BE21" s="13">
        <f>SUM(BE12:BE20)</f>
        <v/>
      </c>
      <c r="BF21" s="13">
        <f>SUM(BF12:BF20)</f>
        <v/>
      </c>
      <c r="BG21" s="14">
        <f>IF(COUNT(BG12,BG13,BG14,BG15,BG16,BG17,BG18,BG19,BG20)=0,"",SUM(BG12:BG20))</f>
        <v/>
      </c>
      <c r="BH21" s="14">
        <f>SUM(BH12:BH20)</f>
        <v/>
      </c>
      <c r="BI21" s="14">
        <f>SUM(BI12:BI20)</f>
        <v/>
      </c>
      <c r="BJ21" s="13">
        <f>IF(COUNT(BJ12,BJ13,BJ14,BJ15,BJ16,BJ17,BJ18,BJ19,BJ20)=0,"",SUM(BJ12:BJ20))</f>
        <v/>
      </c>
      <c r="BK21" s="13">
        <f>SUM(BK12:BK20)</f>
        <v/>
      </c>
      <c r="BL21" s="13">
        <f>SUM(BL12:BL20)</f>
        <v/>
      </c>
      <c r="BM21" s="14">
        <f>IF(COUNT(BM12,BM13,BM14,BM15,BM16,BM17,BM18,BM19,BM20)=0,"",SUM(BM12:BM20))</f>
        <v/>
      </c>
      <c r="BN21" s="14">
        <f>SUM(BN12:BN20)</f>
        <v/>
      </c>
      <c r="BO21" s="14">
        <f>SUM(BO12:BO20)</f>
        <v/>
      </c>
      <c r="BP21" s="13">
        <f>IF(COUNT(BP12,BP13,BP14,BP15,BP16,BP17,BP18,BP19,BP20)=0,"",SUM(BP12:BP20))</f>
        <v/>
      </c>
      <c r="BQ21" s="13">
        <f>SUM(BQ12:BQ20)</f>
        <v/>
      </c>
      <c r="BR21" s="13">
        <f>SUM(BR12:BR20)</f>
        <v/>
      </c>
      <c r="BS21" s="14">
        <f>IF(COUNT(BS12,BS13,BS14,BS15,BS16,BS17,BS18,BS19,BS20)=0,"",SUM(BS12:BS20))</f>
        <v/>
      </c>
      <c r="BT21" s="14">
        <f>SUM(BT12:BT20)</f>
        <v/>
      </c>
      <c r="BU21" s="14">
        <f>SUM(BU12:BU20)</f>
        <v/>
      </c>
      <c r="BV21" s="13">
        <f>IF(COUNT(BV12,BV13,BV14,BV15,BV16,BV17,BV18,BV19,BV20)=0,"",SUM(BV12:BV20))</f>
        <v/>
      </c>
      <c r="BW21" s="13">
        <f>SUM(BW12:BW20)</f>
        <v/>
      </c>
      <c r="BX21" s="13">
        <f>SUM(BX12:BX20)</f>
        <v/>
      </c>
      <c r="BY21" s="14">
        <f>IF(COUNT(BY12,BY13,BY14,BY15,BY16,BY17,BY18,BY19,BY20)=0,"",SUM(BY12:BY20))</f>
        <v/>
      </c>
      <c r="BZ21" s="14">
        <f>SUM(BZ12:BZ20)</f>
        <v/>
      </c>
      <c r="CA21" s="14">
        <f>SUM(CA12:CA20)</f>
        <v/>
      </c>
      <c r="CB21" s="13">
        <f>IF(COUNT(CB12,CB13,CB14,CB15,CB16,CB17,CB18,CB19,CB20)=0,"",SUM(CB12:CB20))</f>
        <v/>
      </c>
      <c r="CC21" s="13">
        <f>SUM(CC12:CC20)</f>
        <v/>
      </c>
      <c r="CD21" s="13">
        <f>SUM(CD12:CD20)</f>
        <v/>
      </c>
      <c r="CE21" s="14">
        <f>IF(COUNT(CE12,CE13,CE14,CE15,CE16,CE17,CE18,CE19,CE20)=0,"",SUM(CE12:CE20))</f>
        <v/>
      </c>
      <c r="CF21" s="14">
        <f>SUM(CF12:CF20)</f>
        <v/>
      </c>
      <c r="CG21" s="14">
        <f>SUM(CG12:CG20)</f>
        <v/>
      </c>
      <c r="CH21" s="13">
        <f>IF(COUNT(CH12,CH13,CH14,CH15,CH16,CH17,CH18,CH19,CH20)=0,"",SUM(CH12:CH20))</f>
        <v/>
      </c>
      <c r="CI21" s="13">
        <f>SUM(CI12:CI20)</f>
        <v/>
      </c>
      <c r="CJ21" s="13">
        <f>SUM(CJ12:CJ20)</f>
        <v/>
      </c>
      <c r="CK21" s="14">
        <f>IF(COUNT(CK12,CK13,CK14,CK15,CK16,CK17,CK18,CK19,CK20)=0,"",SUM(CK12:CK20))</f>
        <v/>
      </c>
      <c r="CL21" s="14">
        <f>SUM(CL12:CL20)</f>
        <v/>
      </c>
      <c r="CM21" s="14">
        <f>SUM(CM12:CM20)</f>
        <v/>
      </c>
      <c r="CN21" s="13">
        <f>IF(COUNT(CN12,CN13,CN14,CN15,CN16,CN17,CN18,CN19,CN20)=0,"",SUM(CN12:CN20))</f>
        <v/>
      </c>
      <c r="CO21" s="13">
        <f>SUM(CO12:CO20)</f>
        <v/>
      </c>
      <c r="CP21" s="13">
        <f>SUM(CP12:CP20)</f>
        <v/>
      </c>
      <c r="CQ21" s="14">
        <f>IF(COUNT(CQ12,CQ13,CQ14,CQ15,CQ16,CQ17,CQ18,CQ19,CQ20)=0,"",SUM(CQ12:CQ20))</f>
        <v/>
      </c>
      <c r="CR21" s="14">
        <f>SUM(CR12:CR20)</f>
        <v/>
      </c>
      <c r="CS21" s="14">
        <f>SUM(CS12:CS20)</f>
        <v/>
      </c>
      <c r="CT21" s="13">
        <f>IF(COUNT(CT12,CT13,CT14,CT15,CT16,CT17,CT18,CT19,CT20)=0,"",SUM(CT12:CT20))</f>
        <v/>
      </c>
      <c r="CU21" s="13">
        <f>SUM(CU12:CU20)</f>
        <v/>
      </c>
      <c r="CV21" s="13">
        <f>SUM(CV12:CV20)</f>
        <v/>
      </c>
      <c r="CW21" s="14">
        <f>IF(COUNT(CW12,CW13,CW14,CW15,CW16,CW17,CW18,CW19,CW20)=0,"",SUM(CW12:CW20))</f>
        <v/>
      </c>
      <c r="CX21" s="14">
        <f>SUM(CX12:CX20)</f>
        <v/>
      </c>
      <c r="CY21" s="14">
        <f>SUM(CY12:CY20)</f>
        <v/>
      </c>
      <c r="CZ21" s="13">
        <f>IF(COUNT(CZ12,CZ13,CZ14,CZ15,CZ16,CZ17,CZ18,CZ19,CZ20)=0,"",SUM(CZ12:CZ20))</f>
        <v/>
      </c>
      <c r="DA21" s="13">
        <f>SUM(DA12:DA20)</f>
        <v/>
      </c>
      <c r="DB21" s="13">
        <f>SUM(DB12:DB20)</f>
        <v/>
      </c>
      <c r="DC21" s="14">
        <f>IF(COUNT(DC12,DC13,DC14,DC15,DC16,DC17,DC18,DC19,DC20)=0,"",SUM(DC12:DC20))</f>
        <v/>
      </c>
      <c r="DD21" s="14">
        <f>SUM(DD12:DD20)</f>
        <v/>
      </c>
      <c r="DE21" s="14">
        <f>SUM(DE12:DE20)</f>
        <v/>
      </c>
      <c r="DF21" s="13">
        <f>IF(COUNT(DF12,DF13,DF14,DF15,DF16,DF17,DF18,DF19,DF20)=0,"",SUM(DF12:DF20))</f>
        <v/>
      </c>
      <c r="DG21" s="13">
        <f>SUM(DG12:DG20)</f>
        <v/>
      </c>
      <c r="DH21" s="13">
        <f>SUM(DH12:DH20)</f>
        <v/>
      </c>
      <c r="DI21" s="14">
        <f>IF(COUNT(DI12,DI13,DI14,DI15,DI16,DI17,DI18,DI19,DI20)=0,"",SUM(DI12:DI20))</f>
        <v/>
      </c>
      <c r="DJ21" s="14">
        <f>SUM(DJ12:DJ20)</f>
        <v/>
      </c>
      <c r="DK21" s="14">
        <f>SUM(DK12:DK20)</f>
        <v/>
      </c>
      <c r="DL21" s="13">
        <f>IF(COUNT(DL12,DL13,DL14,DL15,DL16,DL17,DL18,DL19,DL20)=0,"",SUM(DL12:DL20))</f>
        <v/>
      </c>
      <c r="DM21" s="13">
        <f>SUM(DM12:DM20)</f>
        <v/>
      </c>
      <c r="DN21" s="13">
        <f>SUM(DN12:DN20)</f>
        <v/>
      </c>
    </row>
    <row r="22">
      <c r="A22" s="2" t="inlineStr">
        <is>
          <t>Development Tools and Licences</t>
        </is>
      </c>
      <c r="B22" s="10">
        <f>IF(COUNT(AR22,AO22,AL22,AI22,AF22,AC22,Z22,W22,T22,Q22,N22,K22)=0,"",SUM(AR22,AO22,AL22,AI22,AF22,AC22,Z22,W22,T22,Q22,N22,K22))</f>
        <v/>
      </c>
      <c r="C22" s="10">
        <f>IF(COUNT(AS22,AP22,AM22,AJ22,AG22,AD22,AA22,X22,U22,R22,O22,L22)=0,"",SUM(AS22,AP22,AM22,AJ22,AG22,AD22,AA22,X22,U22,R22,O22,L22))</f>
        <v/>
      </c>
      <c r="D22" s="10">
        <f>IF(COUNT(AT22,AQ22,AN22,AK22,AH22,AE22,AB22,Y22,V22,S22,P22,M22)=0,"",SUM(AT22,AQ22,AN22,AK22,AH22,AE22,AB22,Y22,V22,S22,P22,M22))</f>
        <v/>
      </c>
      <c r="E22" s="11">
        <f>IF(COUNT(CB22,BY22,BV22,BS22,BP22,BM22,BJ22,BG22,BD22,BA22,AX22,AU22)=0,"",SUM(CB22,BY22,BV22,BS22,BP22,BM22,BJ22,BG22,BD22,BA22,AX22,AU22))</f>
        <v/>
      </c>
      <c r="F22" s="11">
        <f>IF(COUNT(CC22,BZ22,BW22,BT22,BQ22,BN22,BK22,BH22,BE22,BB22,AY22,AV22)=0,"",SUM(CC22,BZ22,BW22,BT22,BQ22,BN22,BK22,BH22,BE22,BB22,AY22,AV22))</f>
        <v/>
      </c>
      <c r="G22" s="11">
        <f>IF(COUNT(CD22,CA22,BX22,BU22,BR22,BO22,BL22,BI22,BF22,BC22,AZ22,AW22)=0,"",SUM(CD22,CA22,BX22,BU22,BR22,BO22,BL22,BI22,BF22,BC22,AZ22,AW22))</f>
        <v/>
      </c>
      <c r="H22" s="10">
        <f>IF(COUNT(DL22,DI22,DF22,DC22,CZ22,CW22,CT22,CQ22,CN22,CK22,CH22,CE22)=0,"",SUM(DL22,DI22,DF22,DC22,CZ22,CW22,CT22,CQ22,CN22,CK22,CH22,CE22))</f>
        <v/>
      </c>
      <c r="I22" s="10">
        <f>IF(COUNT(DM22,DJ22,DG22,DD22,DA22,CX22,CU22,CR22,CO22,CL22,CI22,CF22)=0,"",SUM(DM22,DJ22,DG22,DD22,DA22,CX22,CU22,CR22,CO22,CL22,CI22,CF22))</f>
        <v/>
      </c>
      <c r="J22" s="10">
        <f>IF(COUNT(DN22,DK22,DH22,DE22,DB22,CY22,CV22,CS22,CP22,CM22,CJ22,CG22)=0,"",SUM(DN22,DK22,DH22,DE22,DB22,CY22,CV22,CS22,CP22,CM22,CJ22,CG22))</f>
        <v/>
      </c>
      <c r="K22" s="11" t="n"/>
      <c r="L22" s="11" t="n">
        <v>4000</v>
      </c>
      <c r="M22" s="11" t="n">
        <v>4000</v>
      </c>
      <c r="N22" s="10" t="n"/>
      <c r="O22" s="10" t="n">
        <v>4000</v>
      </c>
      <c r="P22" s="10" t="n">
        <v>4000</v>
      </c>
      <c r="Q22" s="11" t="n"/>
      <c r="R22" s="11" t="n">
        <v>4000</v>
      </c>
      <c r="S22" s="11" t="n">
        <v>4000</v>
      </c>
      <c r="T22" s="10" t="n"/>
      <c r="U22" s="10" t="n">
        <v>4000</v>
      </c>
      <c r="V22" s="10" t="n">
        <v>4000</v>
      </c>
      <c r="W22" s="11" t="n"/>
      <c r="X22" s="11" t="n">
        <v>4000</v>
      </c>
      <c r="Y22" s="11" t="n">
        <v>4000</v>
      </c>
      <c r="Z22" s="10" t="n"/>
      <c r="AA22" s="10" t="n">
        <v>4000</v>
      </c>
      <c r="AB22" s="10" t="n">
        <v>4000</v>
      </c>
      <c r="AC22" s="11" t="n"/>
      <c r="AD22" s="11" t="n">
        <v>4000</v>
      </c>
      <c r="AE22" s="11" t="n">
        <v>4000</v>
      </c>
      <c r="AF22" s="10" t="n"/>
      <c r="AG22" s="10" t="n">
        <v>4000</v>
      </c>
      <c r="AH22" s="10" t="n">
        <v>4000</v>
      </c>
      <c r="AI22" s="11" t="n"/>
      <c r="AJ22" s="11" t="n">
        <v>4000</v>
      </c>
      <c r="AK22" s="11" t="n">
        <v>4000</v>
      </c>
      <c r="AL22" s="10" t="n"/>
      <c r="AM22" s="10" t="n">
        <v>4000</v>
      </c>
      <c r="AN22" s="10" t="n">
        <v>4000</v>
      </c>
      <c r="AO22" s="11" t="n"/>
      <c r="AP22" s="11" t="n">
        <v>4000</v>
      </c>
      <c r="AQ22" s="11" t="n">
        <v>4000</v>
      </c>
      <c r="AR22" s="10" t="n"/>
      <c r="AS22" s="10" t="n">
        <v>4000</v>
      </c>
      <c r="AT22" s="10" t="n">
        <v>4000</v>
      </c>
      <c r="AU22" s="11" t="n"/>
      <c r="AV22" s="11" t="n">
        <v>4000</v>
      </c>
      <c r="AW22" s="11" t="n">
        <v>4000</v>
      </c>
      <c r="AX22" s="10" t="n"/>
      <c r="AY22" s="10" t="n">
        <v>4000</v>
      </c>
      <c r="AZ22" s="10" t="n">
        <v>4000</v>
      </c>
      <c r="BA22" s="11" t="n"/>
      <c r="BB22" s="11" t="n">
        <v>4000</v>
      </c>
      <c r="BC22" s="11" t="n">
        <v>4000</v>
      </c>
      <c r="BD22" s="10" t="n"/>
      <c r="BE22" s="10" t="n">
        <v>4000</v>
      </c>
      <c r="BF22" s="10" t="n">
        <v>4000</v>
      </c>
      <c r="BG22" s="11" t="n"/>
      <c r="BH22" s="11" t="n">
        <v>4000</v>
      </c>
      <c r="BI22" s="11" t="n">
        <v>4000</v>
      </c>
      <c r="BJ22" s="10" t="n"/>
      <c r="BK22" s="10" t="n">
        <v>4000</v>
      </c>
      <c r="BL22" s="10" t="n">
        <v>4000</v>
      </c>
      <c r="BM22" s="11" t="n"/>
      <c r="BN22" s="11" t="n">
        <v>4000</v>
      </c>
      <c r="BO22" s="11" t="n">
        <v>4000</v>
      </c>
      <c r="BP22" s="10" t="n"/>
      <c r="BQ22" s="10" t="n">
        <v>4000</v>
      </c>
      <c r="BR22" s="10" t="n">
        <v>4000</v>
      </c>
      <c r="BS22" s="11" t="n"/>
      <c r="BT22" s="11" t="n">
        <v>4000</v>
      </c>
      <c r="BU22" s="11" t="n">
        <v>4000</v>
      </c>
      <c r="BV22" s="10" t="n"/>
      <c r="BW22" s="10" t="n">
        <v>4000</v>
      </c>
      <c r="BX22" s="10" t="n">
        <v>4000</v>
      </c>
      <c r="BY22" s="11" t="n"/>
      <c r="BZ22" s="11" t="n">
        <v>4000</v>
      </c>
      <c r="CA22" s="11" t="n">
        <v>4000</v>
      </c>
      <c r="CB22" s="10" t="n"/>
      <c r="CC22" s="10" t="n">
        <v>4000</v>
      </c>
      <c r="CD22" s="10" t="n">
        <v>4000</v>
      </c>
      <c r="CE22" s="11" t="n"/>
      <c r="CF22" s="11" t="n">
        <v>4000</v>
      </c>
      <c r="CG22" s="11" t="n">
        <v>4000</v>
      </c>
      <c r="CH22" s="10" t="n"/>
      <c r="CI22" s="10" t="n">
        <v>4000</v>
      </c>
      <c r="CJ22" s="10" t="n">
        <v>4000</v>
      </c>
      <c r="CK22" s="11" t="n"/>
      <c r="CL22" s="11" t="n">
        <v>4000</v>
      </c>
      <c r="CM22" s="11" t="n">
        <v>4000</v>
      </c>
      <c r="CN22" s="10" t="n"/>
      <c r="CO22" s="10" t="n">
        <v>4000</v>
      </c>
      <c r="CP22" s="10" t="n">
        <v>4000</v>
      </c>
      <c r="CQ22" s="11" t="n"/>
      <c r="CR22" s="11" t="n">
        <v>4000</v>
      </c>
      <c r="CS22" s="11" t="n">
        <v>4000</v>
      </c>
      <c r="CT22" s="10" t="n"/>
      <c r="CU22" s="10" t="n">
        <v>4000</v>
      </c>
      <c r="CV22" s="10" t="n">
        <v>4000</v>
      </c>
      <c r="CW22" s="11" t="n"/>
      <c r="CX22" s="11" t="n">
        <v>4000</v>
      </c>
      <c r="CY22" s="11" t="n">
        <v>4000</v>
      </c>
      <c r="CZ22" s="10" t="n"/>
      <c r="DA22" s="10" t="n">
        <v>4000</v>
      </c>
      <c r="DB22" s="10" t="n">
        <v>4000</v>
      </c>
      <c r="DC22" s="11" t="n"/>
      <c r="DD22" s="11" t="n">
        <v>4000</v>
      </c>
      <c r="DE22" s="11" t="n">
        <v>4000</v>
      </c>
      <c r="DF22" s="10" t="n"/>
      <c r="DG22" s="10" t="n">
        <v>4000</v>
      </c>
      <c r="DH22" s="10" t="n">
        <v>4000</v>
      </c>
      <c r="DI22" s="11" t="n">
        <v>4000</v>
      </c>
      <c r="DJ22" s="11" t="n">
        <v>4000</v>
      </c>
      <c r="DK22" s="11" t="n">
        <v>4000</v>
      </c>
      <c r="DL22" s="10" t="n">
        <v>4000</v>
      </c>
      <c r="DM22" s="10" t="n">
        <v>4000</v>
      </c>
      <c r="DN22" s="10" t="n">
        <v>4000</v>
      </c>
    </row>
    <row r="23">
      <c r="A23" s="2" t="inlineStr">
        <is>
          <t>Third-party APIs and Services</t>
        </is>
      </c>
      <c r="B23" s="10">
        <f>IF(COUNT(AR23,AO23,AL23,AI23,AF23,AC23,Z23,W23,T23,Q23,N23,K23)=0,"",SUM(AR23,AO23,AL23,AI23,AF23,AC23,Z23,W23,T23,Q23,N23,K23))</f>
        <v/>
      </c>
      <c r="C23" s="10">
        <f>IF(COUNT(AS23,AP23,AM23,AJ23,AG23,AD23,AA23,X23,U23,R23,O23,L23)=0,"",SUM(AS23,AP23,AM23,AJ23,AG23,AD23,AA23,X23,U23,R23,O23,L23))</f>
        <v/>
      </c>
      <c r="D23" s="10">
        <f>IF(COUNT(AT23,AQ23,AN23,AK23,AH23,AE23,AB23,Y23,V23,S23,P23,M23)=0,"",SUM(AT23,AQ23,AN23,AK23,AH23,AE23,AB23,Y23,V23,S23,P23,M23))</f>
        <v/>
      </c>
      <c r="E23" s="11">
        <f>IF(COUNT(CB23,BY23,BV23,BS23,BP23,BM23,BJ23,BG23,BD23,BA23,AX23,AU23)=0,"",SUM(CB23,BY23,BV23,BS23,BP23,BM23,BJ23,BG23,BD23,BA23,AX23,AU23))</f>
        <v/>
      </c>
      <c r="F23" s="11">
        <f>IF(COUNT(CC23,BZ23,BW23,BT23,BQ23,BN23,BK23,BH23,BE23,BB23,AY23,AV23)=0,"",SUM(CC23,BZ23,BW23,BT23,BQ23,BN23,BK23,BH23,BE23,BB23,AY23,AV23))</f>
        <v/>
      </c>
      <c r="G23" s="11">
        <f>IF(COUNT(CD23,CA23,BX23,BU23,BR23,BO23,BL23,BI23,BF23,BC23,AZ23,AW23)=0,"",SUM(CD23,CA23,BX23,BU23,BR23,BO23,BL23,BI23,BF23,BC23,AZ23,AW23))</f>
        <v/>
      </c>
      <c r="H23" s="10">
        <f>IF(COUNT(DL23,DI23,DF23,DC23,CZ23,CW23,CT23,CQ23,CN23,CK23,CH23,CE23)=0,"",SUM(DL23,DI23,DF23,DC23,CZ23,CW23,CT23,CQ23,CN23,CK23,CH23,CE23))</f>
        <v/>
      </c>
      <c r="I23" s="10">
        <f>IF(COUNT(DM23,DJ23,DG23,DD23,DA23,CX23,CU23,CR23,CO23,CL23,CI23,CF23)=0,"",SUM(DM23,DJ23,DG23,DD23,DA23,CX23,CU23,CR23,CO23,CL23,CI23,CF23))</f>
        <v/>
      </c>
      <c r="J23" s="10">
        <f>IF(COUNT(DN23,DK23,DH23,DE23,DB23,CY23,CV23,CS23,CP23,CM23,CJ23,CG23)=0,"",SUM(DN23,DK23,DH23,DE23,DB23,CY23,CV23,CS23,CP23,CM23,CJ23,CG23))</f>
        <v/>
      </c>
      <c r="K23" s="11" t="n"/>
      <c r="L23" s="11" t="n">
        <v>3000</v>
      </c>
      <c r="M23" s="11" t="n">
        <v>3000</v>
      </c>
      <c r="N23" s="10" t="n"/>
      <c r="O23" s="10" t="n">
        <v>3000</v>
      </c>
      <c r="P23" s="10" t="n">
        <v>3000</v>
      </c>
      <c r="Q23" s="11" t="n"/>
      <c r="R23" s="11" t="n">
        <v>3000</v>
      </c>
      <c r="S23" s="11" t="n">
        <v>3000</v>
      </c>
      <c r="T23" s="10" t="n"/>
      <c r="U23" s="10" t="n">
        <v>3000</v>
      </c>
      <c r="V23" s="10" t="n">
        <v>3000</v>
      </c>
      <c r="W23" s="11" t="n"/>
      <c r="X23" s="11" t="n">
        <v>3000</v>
      </c>
      <c r="Y23" s="11" t="n">
        <v>3000</v>
      </c>
      <c r="Z23" s="10" t="n"/>
      <c r="AA23" s="10" t="n">
        <v>3000</v>
      </c>
      <c r="AB23" s="10" t="n">
        <v>3000</v>
      </c>
      <c r="AC23" s="11" t="n"/>
      <c r="AD23" s="11" t="n">
        <v>3000</v>
      </c>
      <c r="AE23" s="11" t="n">
        <v>3000</v>
      </c>
      <c r="AF23" s="10" t="n"/>
      <c r="AG23" s="10" t="n">
        <v>3000</v>
      </c>
      <c r="AH23" s="10" t="n">
        <v>3000</v>
      </c>
      <c r="AI23" s="11" t="n"/>
      <c r="AJ23" s="11" t="n">
        <v>3000</v>
      </c>
      <c r="AK23" s="11" t="n">
        <v>3000</v>
      </c>
      <c r="AL23" s="10" t="n"/>
      <c r="AM23" s="10" t="n">
        <v>3000</v>
      </c>
      <c r="AN23" s="10" t="n">
        <v>3000</v>
      </c>
      <c r="AO23" s="11" t="n"/>
      <c r="AP23" s="11" t="n">
        <v>3000</v>
      </c>
      <c r="AQ23" s="11" t="n">
        <v>3000</v>
      </c>
      <c r="AR23" s="10" t="n"/>
      <c r="AS23" s="10" t="n">
        <v>3000</v>
      </c>
      <c r="AT23" s="10" t="n">
        <v>3000</v>
      </c>
      <c r="AU23" s="11" t="n"/>
      <c r="AV23" s="11" t="n">
        <v>3000</v>
      </c>
      <c r="AW23" s="11" t="n">
        <v>3000</v>
      </c>
      <c r="AX23" s="10" t="n"/>
      <c r="AY23" s="10" t="n">
        <v>3000</v>
      </c>
      <c r="AZ23" s="10" t="n">
        <v>3000</v>
      </c>
      <c r="BA23" s="11" t="n"/>
      <c r="BB23" s="11" t="n">
        <v>3000</v>
      </c>
      <c r="BC23" s="11" t="n">
        <v>3000</v>
      </c>
      <c r="BD23" s="10" t="n"/>
      <c r="BE23" s="10" t="n">
        <v>3000</v>
      </c>
      <c r="BF23" s="10" t="n">
        <v>3000</v>
      </c>
      <c r="BG23" s="11" t="n"/>
      <c r="BH23" s="11" t="n">
        <v>3000</v>
      </c>
      <c r="BI23" s="11" t="n">
        <v>3000</v>
      </c>
      <c r="BJ23" s="10" t="n"/>
      <c r="BK23" s="10" t="n">
        <v>3000</v>
      </c>
      <c r="BL23" s="10" t="n">
        <v>3000</v>
      </c>
      <c r="BM23" s="11" t="n"/>
      <c r="BN23" s="11" t="n">
        <v>3000</v>
      </c>
      <c r="BO23" s="11" t="n">
        <v>3000</v>
      </c>
      <c r="BP23" s="10" t="n"/>
      <c r="BQ23" s="10" t="n">
        <v>3000</v>
      </c>
      <c r="BR23" s="10" t="n">
        <v>3000</v>
      </c>
      <c r="BS23" s="11" t="n"/>
      <c r="BT23" s="11" t="n">
        <v>3000</v>
      </c>
      <c r="BU23" s="11" t="n">
        <v>3000</v>
      </c>
      <c r="BV23" s="10" t="n"/>
      <c r="BW23" s="10" t="n">
        <v>3000</v>
      </c>
      <c r="BX23" s="10" t="n">
        <v>3000</v>
      </c>
      <c r="BY23" s="11" t="n"/>
      <c r="BZ23" s="11" t="n">
        <v>3000</v>
      </c>
      <c r="CA23" s="11" t="n">
        <v>3000</v>
      </c>
      <c r="CB23" s="10" t="n"/>
      <c r="CC23" s="10" t="n">
        <v>3000</v>
      </c>
      <c r="CD23" s="10" t="n">
        <v>3000</v>
      </c>
      <c r="CE23" s="11" t="n"/>
      <c r="CF23" s="11" t="n">
        <v>3000</v>
      </c>
      <c r="CG23" s="11" t="n">
        <v>3000</v>
      </c>
      <c r="CH23" s="10" t="n"/>
      <c r="CI23" s="10" t="n">
        <v>3000</v>
      </c>
      <c r="CJ23" s="10" t="n">
        <v>3000</v>
      </c>
      <c r="CK23" s="11" t="n"/>
      <c r="CL23" s="11" t="n">
        <v>3000</v>
      </c>
      <c r="CM23" s="11" t="n">
        <v>3000</v>
      </c>
      <c r="CN23" s="10" t="n"/>
      <c r="CO23" s="10" t="n">
        <v>3000</v>
      </c>
      <c r="CP23" s="10" t="n">
        <v>3000</v>
      </c>
      <c r="CQ23" s="11" t="n"/>
      <c r="CR23" s="11" t="n">
        <v>3000</v>
      </c>
      <c r="CS23" s="11" t="n">
        <v>3000</v>
      </c>
      <c r="CT23" s="10" t="n"/>
      <c r="CU23" s="10" t="n">
        <v>3000</v>
      </c>
      <c r="CV23" s="10" t="n">
        <v>3000</v>
      </c>
      <c r="CW23" s="11" t="n"/>
      <c r="CX23" s="11" t="n">
        <v>3000</v>
      </c>
      <c r="CY23" s="11" t="n">
        <v>3000</v>
      </c>
      <c r="CZ23" s="10" t="n"/>
      <c r="DA23" s="10" t="n">
        <v>3000</v>
      </c>
      <c r="DB23" s="10" t="n">
        <v>3000</v>
      </c>
      <c r="DC23" s="11" t="n"/>
      <c r="DD23" s="11" t="n">
        <v>3000</v>
      </c>
      <c r="DE23" s="11" t="n">
        <v>3000</v>
      </c>
      <c r="DF23" s="10" t="n"/>
      <c r="DG23" s="10" t="n">
        <v>3000</v>
      </c>
      <c r="DH23" s="10" t="n">
        <v>3000</v>
      </c>
      <c r="DI23" s="11" t="n">
        <v>3000</v>
      </c>
      <c r="DJ23" s="11" t="n">
        <v>3000</v>
      </c>
      <c r="DK23" s="11" t="n">
        <v>3000</v>
      </c>
      <c r="DL23" s="10" t="n">
        <v>3000</v>
      </c>
      <c r="DM23" s="10" t="n">
        <v>3000</v>
      </c>
      <c r="DN23" s="10" t="n">
        <v>3000</v>
      </c>
    </row>
    <row r="24">
      <c r="A24" s="2" t="inlineStr">
        <is>
          <t>Security and Penetration Testing</t>
        </is>
      </c>
      <c r="B24" s="10">
        <f>IF(COUNT(AR24,AO24,AL24,AI24,AF24,AC24,Z24,W24,T24,Q24,N24,K24)=0,"",SUM(AR24,AO24,AL24,AI24,AF24,AC24,Z24,W24,T24,Q24,N24,K24))</f>
        <v/>
      </c>
      <c r="C24" s="10">
        <f>IF(COUNT(AS24,AP24,AM24,AJ24,AG24,AD24,AA24,X24,U24,R24,O24,L24)=0,"",SUM(AS24,AP24,AM24,AJ24,AG24,AD24,AA24,X24,U24,R24,O24,L24))</f>
        <v/>
      </c>
      <c r="D24" s="10">
        <f>IF(COUNT(AT24,AQ24,AN24,AK24,AH24,AE24,AB24,Y24,V24,S24,P24,M24)=0,"",SUM(AT24,AQ24,AN24,AK24,AH24,AE24,AB24,Y24,V24,S24,P24,M24))</f>
        <v/>
      </c>
      <c r="E24" s="11">
        <f>IF(COUNT(CB24,BY24,BV24,BS24,BP24,BM24,BJ24,BG24,BD24,BA24,AX24,AU24)=0,"",SUM(CB24,BY24,BV24,BS24,BP24,BM24,BJ24,BG24,BD24,BA24,AX24,AU24))</f>
        <v/>
      </c>
      <c r="F24" s="11">
        <f>IF(COUNT(CC24,BZ24,BW24,BT24,BQ24,BN24,BK24,BH24,BE24,BB24,AY24,AV24)=0,"",SUM(CC24,BZ24,BW24,BT24,BQ24,BN24,BK24,BH24,BE24,BB24,AY24,AV24))</f>
        <v/>
      </c>
      <c r="G24" s="11">
        <f>IF(COUNT(CD24,CA24,BX24,BU24,BR24,BO24,BL24,BI24,BF24,BC24,AZ24,AW24)=0,"",SUM(CD24,CA24,BX24,BU24,BR24,BO24,BL24,BI24,BF24,BC24,AZ24,AW24))</f>
        <v/>
      </c>
      <c r="H24" s="10">
        <f>IF(COUNT(DL24,DI24,DF24,DC24,CZ24,CW24,CT24,CQ24,CN24,CK24,CH24,CE24)=0,"",SUM(DL24,DI24,DF24,DC24,CZ24,CW24,CT24,CQ24,CN24,CK24,CH24,CE24))</f>
        <v/>
      </c>
      <c r="I24" s="10">
        <f>IF(COUNT(DM24,DJ24,DG24,DD24,DA24,CX24,CU24,CR24,CO24,CL24,CI24,CF24)=0,"",SUM(DM24,DJ24,DG24,DD24,DA24,CX24,CU24,CR24,CO24,CL24,CI24,CF24))</f>
        <v/>
      </c>
      <c r="J24" s="10">
        <f>IF(COUNT(DN24,DK24,DH24,DE24,DB24,CY24,CV24,CS24,CP24,CM24,CJ24,CG24)=0,"",SUM(DN24,DK24,DH24,DE24,DB24,CY24,CV24,CS24,CP24,CM24,CJ24,CG24))</f>
        <v/>
      </c>
      <c r="K24" s="11" t="n"/>
      <c r="L24" s="11" t="n">
        <v>2000</v>
      </c>
      <c r="M24" s="11" t="n">
        <v>2000</v>
      </c>
      <c r="N24" s="10" t="n"/>
      <c r="O24" s="10" t="n">
        <v>2000</v>
      </c>
      <c r="P24" s="10" t="n">
        <v>2000</v>
      </c>
      <c r="Q24" s="11" t="n"/>
      <c r="R24" s="11" t="n">
        <v>2000</v>
      </c>
      <c r="S24" s="11" t="n">
        <v>2000</v>
      </c>
      <c r="T24" s="10" t="n"/>
      <c r="U24" s="10" t="n">
        <v>2000</v>
      </c>
      <c r="V24" s="10" t="n">
        <v>2000</v>
      </c>
      <c r="W24" s="11" t="n"/>
      <c r="X24" s="11" t="n">
        <v>2000</v>
      </c>
      <c r="Y24" s="11" t="n">
        <v>2000</v>
      </c>
      <c r="Z24" s="10" t="n"/>
      <c r="AA24" s="10" t="n">
        <v>2000</v>
      </c>
      <c r="AB24" s="10" t="n">
        <v>2000</v>
      </c>
      <c r="AC24" s="11" t="n"/>
      <c r="AD24" s="11" t="n">
        <v>2000</v>
      </c>
      <c r="AE24" s="11" t="n">
        <v>2000</v>
      </c>
      <c r="AF24" s="10" t="n"/>
      <c r="AG24" s="10" t="n">
        <v>2000</v>
      </c>
      <c r="AH24" s="10" t="n">
        <v>2000</v>
      </c>
      <c r="AI24" s="11" t="n"/>
      <c r="AJ24" s="11" t="n">
        <v>2000</v>
      </c>
      <c r="AK24" s="11" t="n">
        <v>2000</v>
      </c>
      <c r="AL24" s="10" t="n"/>
      <c r="AM24" s="10" t="n">
        <v>2000</v>
      </c>
      <c r="AN24" s="10" t="n">
        <v>2000</v>
      </c>
      <c r="AO24" s="11" t="n"/>
      <c r="AP24" s="11" t="n">
        <v>2000</v>
      </c>
      <c r="AQ24" s="11" t="n">
        <v>2000</v>
      </c>
      <c r="AR24" s="10" t="n"/>
      <c r="AS24" s="10" t="n">
        <v>2000</v>
      </c>
      <c r="AT24" s="10" t="n">
        <v>2000</v>
      </c>
      <c r="AU24" s="11" t="n"/>
      <c r="AV24" s="11" t="n">
        <v>2000</v>
      </c>
      <c r="AW24" s="11" t="n">
        <v>2000</v>
      </c>
      <c r="AX24" s="10" t="n"/>
      <c r="AY24" s="10" t="n">
        <v>2000</v>
      </c>
      <c r="AZ24" s="10" t="n">
        <v>2000</v>
      </c>
      <c r="BA24" s="11" t="n"/>
      <c r="BB24" s="11" t="n">
        <v>2000</v>
      </c>
      <c r="BC24" s="11" t="n">
        <v>2000</v>
      </c>
      <c r="BD24" s="10" t="n"/>
      <c r="BE24" s="10" t="n">
        <v>2000</v>
      </c>
      <c r="BF24" s="10" t="n">
        <v>2000</v>
      </c>
      <c r="BG24" s="11" t="n"/>
      <c r="BH24" s="11" t="n">
        <v>2000</v>
      </c>
      <c r="BI24" s="11" t="n">
        <v>2000</v>
      </c>
      <c r="BJ24" s="10" t="n"/>
      <c r="BK24" s="10" t="n">
        <v>2000</v>
      </c>
      <c r="BL24" s="10" t="n">
        <v>2000</v>
      </c>
      <c r="BM24" s="11" t="n"/>
      <c r="BN24" s="11" t="n">
        <v>2000</v>
      </c>
      <c r="BO24" s="11" t="n">
        <v>2000</v>
      </c>
      <c r="BP24" s="10" t="n"/>
      <c r="BQ24" s="10" t="n">
        <v>2000</v>
      </c>
      <c r="BR24" s="10" t="n">
        <v>2000</v>
      </c>
      <c r="BS24" s="11" t="n"/>
      <c r="BT24" s="11" t="n">
        <v>2000</v>
      </c>
      <c r="BU24" s="11" t="n">
        <v>2000</v>
      </c>
      <c r="BV24" s="10" t="n"/>
      <c r="BW24" s="10" t="n">
        <v>2000</v>
      </c>
      <c r="BX24" s="10" t="n">
        <v>2000</v>
      </c>
      <c r="BY24" s="11" t="n"/>
      <c r="BZ24" s="11" t="n">
        <v>2000</v>
      </c>
      <c r="CA24" s="11" t="n">
        <v>2000</v>
      </c>
      <c r="CB24" s="10" t="n"/>
      <c r="CC24" s="10" t="n">
        <v>2000</v>
      </c>
      <c r="CD24" s="10" t="n">
        <v>2000</v>
      </c>
      <c r="CE24" s="11" t="n"/>
      <c r="CF24" s="11" t="n">
        <v>2000</v>
      </c>
      <c r="CG24" s="11" t="n">
        <v>2000</v>
      </c>
      <c r="CH24" s="10" t="n"/>
      <c r="CI24" s="10" t="n">
        <v>2000</v>
      </c>
      <c r="CJ24" s="10" t="n">
        <v>2000</v>
      </c>
      <c r="CK24" s="11" t="n"/>
      <c r="CL24" s="11" t="n">
        <v>2000</v>
      </c>
      <c r="CM24" s="11" t="n">
        <v>2000</v>
      </c>
      <c r="CN24" s="10" t="n"/>
      <c r="CO24" s="10" t="n">
        <v>2000</v>
      </c>
      <c r="CP24" s="10" t="n">
        <v>2000</v>
      </c>
      <c r="CQ24" s="11" t="n"/>
      <c r="CR24" s="11" t="n">
        <v>2000</v>
      </c>
      <c r="CS24" s="11" t="n">
        <v>2000</v>
      </c>
      <c r="CT24" s="10" t="n"/>
      <c r="CU24" s="10" t="n">
        <v>2000</v>
      </c>
      <c r="CV24" s="10" t="n">
        <v>2000</v>
      </c>
      <c r="CW24" s="11" t="n"/>
      <c r="CX24" s="11" t="n">
        <v>2000</v>
      </c>
      <c r="CY24" s="11" t="n">
        <v>2000</v>
      </c>
      <c r="CZ24" s="10" t="n"/>
      <c r="DA24" s="10" t="n">
        <v>2000</v>
      </c>
      <c r="DB24" s="10" t="n">
        <v>2000</v>
      </c>
      <c r="DC24" s="11" t="n"/>
      <c r="DD24" s="11" t="n">
        <v>2000</v>
      </c>
      <c r="DE24" s="11" t="n">
        <v>2000</v>
      </c>
      <c r="DF24" s="10" t="n"/>
      <c r="DG24" s="10" t="n">
        <v>2000</v>
      </c>
      <c r="DH24" s="10" t="n">
        <v>2000</v>
      </c>
      <c r="DI24" s="11" t="n">
        <v>2000</v>
      </c>
      <c r="DJ24" s="11" t="n">
        <v>2000</v>
      </c>
      <c r="DK24" s="11" t="n">
        <v>2000</v>
      </c>
      <c r="DL24" s="10" t="n">
        <v>2000</v>
      </c>
      <c r="DM24" s="10" t="n">
        <v>2000</v>
      </c>
      <c r="DN24" s="10" t="n">
        <v>2000</v>
      </c>
    </row>
    <row r="25">
      <c r="A25" s="2" t="inlineStr">
        <is>
          <t>Contractors, Project Based</t>
        </is>
      </c>
      <c r="B25" s="10">
        <f>IF(COUNT(AR25,AO25,AL25,AI25,AF25,AC25,Z25,W25,T25,Q25,N25,K25)=0,"",SUM(AR25,AO25,AL25,AI25,AF25,AC25,Z25,W25,T25,Q25,N25,K25))</f>
        <v/>
      </c>
      <c r="C25" s="10">
        <f>IF(COUNT(AS25,AP25,AM25,AJ25,AG25,AD25,AA25,X25,U25,R25,O25,L25)=0,"",SUM(AS25,AP25,AM25,AJ25,AG25,AD25,AA25,X25,U25,R25,O25,L25))</f>
        <v/>
      </c>
      <c r="D25" s="10">
        <f>IF(COUNT(AT25,AQ25,AN25,AK25,AH25,AE25,AB25,Y25,V25,S25,P25,M25)=0,"",SUM(AT25,AQ25,AN25,AK25,AH25,AE25,AB25,Y25,V25,S25,P25,M25))</f>
        <v/>
      </c>
      <c r="E25" s="11">
        <f>IF(COUNT(CB25,BY25,BV25,BS25,BP25,BM25,BJ25,BG25,BD25,BA25,AX25,AU25)=0,"",SUM(CB25,BY25,BV25,BS25,BP25,BM25,BJ25,BG25,BD25,BA25,AX25,AU25))</f>
        <v/>
      </c>
      <c r="F25" s="11">
        <f>IF(COUNT(CC25,BZ25,BW25,BT25,BQ25,BN25,BK25,BH25,BE25,BB25,AY25,AV25)=0,"",SUM(CC25,BZ25,BW25,BT25,BQ25,BN25,BK25,BH25,BE25,BB25,AY25,AV25))</f>
        <v/>
      </c>
      <c r="G25" s="11">
        <f>IF(COUNT(CD25,CA25,BX25,BU25,BR25,BO25,BL25,BI25,BF25,BC25,AZ25,AW25)=0,"",SUM(CD25,CA25,BX25,BU25,BR25,BO25,BL25,BI25,BF25,BC25,AZ25,AW25))</f>
        <v/>
      </c>
      <c r="H25" s="10">
        <f>IF(COUNT(DL25,DI25,DF25,DC25,CZ25,CW25,CT25,CQ25,CN25,CK25,CH25,CE25)=0,"",SUM(DL25,DI25,DF25,DC25,CZ25,CW25,CT25,CQ25,CN25,CK25,CH25,CE25))</f>
        <v/>
      </c>
      <c r="I25" s="10">
        <f>IF(COUNT(DM25,DJ25,DG25,DD25,DA25,CX25,CU25,CR25,CO25,CL25,CI25,CF25)=0,"",SUM(DM25,DJ25,DG25,DD25,DA25,CX25,CU25,CR25,CO25,CL25,CI25,CF25))</f>
        <v/>
      </c>
      <c r="J25" s="10">
        <f>IF(COUNT(DN25,DK25,DH25,DE25,DB25,CY25,CV25,CS25,CP25,CM25,CJ25,CG25)=0,"",SUM(DN25,DK25,DH25,DE25,DB25,CY25,CV25,CS25,CP25,CM25,CJ25,CG25))</f>
        <v/>
      </c>
      <c r="K25" s="11" t="n"/>
      <c r="L25" s="11" t="n">
        <v>10000</v>
      </c>
      <c r="M25" s="11" t="n">
        <v>10000</v>
      </c>
      <c r="N25" s="10" t="n"/>
      <c r="O25" s="10" t="n">
        <v>10000</v>
      </c>
      <c r="P25" s="10" t="n">
        <v>10000</v>
      </c>
      <c r="Q25" s="11" t="n"/>
      <c r="R25" s="11" t="n">
        <v>10000</v>
      </c>
      <c r="S25" s="11" t="n">
        <v>10000</v>
      </c>
      <c r="T25" s="10" t="n"/>
      <c r="U25" s="10" t="n">
        <v>10000</v>
      </c>
      <c r="V25" s="10" t="n">
        <v>10000</v>
      </c>
      <c r="W25" s="11" t="n"/>
      <c r="X25" s="11" t="n">
        <v>10000</v>
      </c>
      <c r="Y25" s="11" t="n">
        <v>10000</v>
      </c>
      <c r="Z25" s="10" t="n"/>
      <c r="AA25" s="10" t="n">
        <v>10000</v>
      </c>
      <c r="AB25" s="10" t="n">
        <v>10000</v>
      </c>
      <c r="AC25" s="11" t="n"/>
      <c r="AD25" s="11" t="n">
        <v>10000</v>
      </c>
      <c r="AE25" s="11" t="n">
        <v>10000</v>
      </c>
      <c r="AF25" s="10" t="n"/>
      <c r="AG25" s="10" t="n">
        <v>10000</v>
      </c>
      <c r="AH25" s="10" t="n">
        <v>10000</v>
      </c>
      <c r="AI25" s="11" t="n"/>
      <c r="AJ25" s="11" t="n">
        <v>10000</v>
      </c>
      <c r="AK25" s="11" t="n">
        <v>10000</v>
      </c>
      <c r="AL25" s="10" t="n"/>
      <c r="AM25" s="10" t="n">
        <v>10000</v>
      </c>
      <c r="AN25" s="10" t="n">
        <v>10000</v>
      </c>
      <c r="AO25" s="11" t="n"/>
      <c r="AP25" s="11" t="n">
        <v>10000</v>
      </c>
      <c r="AQ25" s="11" t="n">
        <v>10000</v>
      </c>
      <c r="AR25" s="10" t="n"/>
      <c r="AS25" s="10" t="n">
        <v>10000</v>
      </c>
      <c r="AT25" s="10" t="n">
        <v>10000</v>
      </c>
      <c r="AU25" s="11" t="n"/>
      <c r="AV25" s="11" t="n">
        <v>10000</v>
      </c>
      <c r="AW25" s="11" t="n">
        <v>10000</v>
      </c>
      <c r="AX25" s="10" t="n"/>
      <c r="AY25" s="10" t="n">
        <v>10000</v>
      </c>
      <c r="AZ25" s="10" t="n">
        <v>10000</v>
      </c>
      <c r="BA25" s="11" t="n"/>
      <c r="BB25" s="11" t="n">
        <v>10000</v>
      </c>
      <c r="BC25" s="11" t="n">
        <v>10000</v>
      </c>
      <c r="BD25" s="10" t="n"/>
      <c r="BE25" s="10" t="n">
        <v>10000</v>
      </c>
      <c r="BF25" s="10" t="n">
        <v>10000</v>
      </c>
      <c r="BG25" s="11" t="n"/>
      <c r="BH25" s="11" t="n">
        <v>10000</v>
      </c>
      <c r="BI25" s="11" t="n">
        <v>10000</v>
      </c>
      <c r="BJ25" s="10" t="n"/>
      <c r="BK25" s="10" t="n">
        <v>10000</v>
      </c>
      <c r="BL25" s="10" t="n">
        <v>10000</v>
      </c>
      <c r="BM25" s="11" t="n"/>
      <c r="BN25" s="11" t="n">
        <v>10000</v>
      </c>
      <c r="BO25" s="11" t="n">
        <v>10000</v>
      </c>
      <c r="BP25" s="10" t="n"/>
      <c r="BQ25" s="10" t="n">
        <v>10000</v>
      </c>
      <c r="BR25" s="10" t="n">
        <v>10000</v>
      </c>
      <c r="BS25" s="11" t="n"/>
      <c r="BT25" s="11" t="n">
        <v>10000</v>
      </c>
      <c r="BU25" s="11" t="n">
        <v>10000</v>
      </c>
      <c r="BV25" s="10" t="n"/>
      <c r="BW25" s="10" t="n">
        <v>10000</v>
      </c>
      <c r="BX25" s="10" t="n">
        <v>10000</v>
      </c>
      <c r="BY25" s="11" t="n"/>
      <c r="BZ25" s="11" t="n">
        <v>10000</v>
      </c>
      <c r="CA25" s="11" t="n">
        <v>10000</v>
      </c>
      <c r="CB25" s="10" t="n"/>
      <c r="CC25" s="10" t="n">
        <v>10000</v>
      </c>
      <c r="CD25" s="10" t="n">
        <v>10000</v>
      </c>
      <c r="CE25" s="11" t="n"/>
      <c r="CF25" s="11" t="n">
        <v>10000</v>
      </c>
      <c r="CG25" s="11" t="n">
        <v>10000</v>
      </c>
      <c r="CH25" s="10" t="n"/>
      <c r="CI25" s="10" t="n">
        <v>10000</v>
      </c>
      <c r="CJ25" s="10" t="n">
        <v>10000</v>
      </c>
      <c r="CK25" s="11" t="n"/>
      <c r="CL25" s="11" t="n">
        <v>10000</v>
      </c>
      <c r="CM25" s="11" t="n">
        <v>10000</v>
      </c>
      <c r="CN25" s="10" t="n"/>
      <c r="CO25" s="10" t="n">
        <v>10000</v>
      </c>
      <c r="CP25" s="10" t="n">
        <v>10000</v>
      </c>
      <c r="CQ25" s="11" t="n"/>
      <c r="CR25" s="11" t="n">
        <v>10000</v>
      </c>
      <c r="CS25" s="11" t="n">
        <v>10000</v>
      </c>
      <c r="CT25" s="10" t="n"/>
      <c r="CU25" s="10" t="n">
        <v>10000</v>
      </c>
      <c r="CV25" s="10" t="n">
        <v>10000</v>
      </c>
      <c r="CW25" s="11" t="n"/>
      <c r="CX25" s="11" t="n">
        <v>10000</v>
      </c>
      <c r="CY25" s="11" t="n">
        <v>10000</v>
      </c>
      <c r="CZ25" s="10" t="n"/>
      <c r="DA25" s="10" t="n">
        <v>10000</v>
      </c>
      <c r="DB25" s="10" t="n">
        <v>10000</v>
      </c>
      <c r="DC25" s="11" t="n"/>
      <c r="DD25" s="11" t="n">
        <v>10000</v>
      </c>
      <c r="DE25" s="11" t="n">
        <v>10000</v>
      </c>
      <c r="DF25" s="10" t="n"/>
      <c r="DG25" s="10" t="n">
        <v>10000</v>
      </c>
      <c r="DH25" s="10" t="n">
        <v>10000</v>
      </c>
      <c r="DI25" s="11" t="n">
        <v>10000</v>
      </c>
      <c r="DJ25" s="11" t="n">
        <v>10000</v>
      </c>
      <c r="DK25" s="11" t="n">
        <v>10000</v>
      </c>
      <c r="DL25" s="10" t="n">
        <v>10000</v>
      </c>
      <c r="DM25" s="10" t="n">
        <v>10000</v>
      </c>
      <c r="DN25" s="10" t="n">
        <v>10000</v>
      </c>
    </row>
    <row r="26">
      <c r="A26" s="12" t="inlineStr">
        <is>
          <t>Total Engineering Programs</t>
        </is>
      </c>
      <c r="B26" s="13">
        <f>IF(COUNT(AR26,AO26,AL26,AI26,AF26,AC26,Z26,W26,T26,Q26,N26,K26)=0,"",SUM(AR26,AO26,AL26,AI26,AF26,AC26,Z26,W26,T26,Q26,N26,K26))</f>
        <v/>
      </c>
      <c r="C26" s="13">
        <f>IF(COUNT(AS26,AP26,AM26,AJ26,AG26,AD26,AA26,X26,U26,R26,O26,L26)=0,"",SUM(AS26,AP26,AM26,AJ26,AG26,AD26,AA26,X26,U26,R26,O26,L26))</f>
        <v/>
      </c>
      <c r="D26" s="13">
        <f>IF(COUNT(AT26,AQ26,AN26,AK26,AH26,AE26,AB26,Y26,V26,S26,P26,M26)=0,"",SUM(AT26,AQ26,AN26,AK26,AH26,AE26,AB26,Y26,V26,S26,P26,M26))</f>
        <v/>
      </c>
      <c r="E26" s="14">
        <f>IF(COUNT(CB26,BY26,BV26,BS26,BP26,BM26,BJ26,BG26,BD26,BA26,AX26,AU26)=0,"",SUM(CB26,BY26,BV26,BS26,BP26,BM26,BJ26,BG26,BD26,BA26,AX26,AU26))</f>
        <v/>
      </c>
      <c r="F26" s="14">
        <f>IF(COUNT(CC26,BZ26,BW26,BT26,BQ26,BN26,BK26,BH26,BE26,BB26,AY26,AV26)=0,"",SUM(CC26,BZ26,BW26,BT26,BQ26,BN26,BK26,BH26,BE26,BB26,AY26,AV26))</f>
        <v/>
      </c>
      <c r="G26" s="14">
        <f>IF(COUNT(CD26,CA26,BX26,BU26,BR26,BO26,BL26,BI26,BF26,BC26,AZ26,AW26)=0,"",SUM(CD26,CA26,BX26,BU26,BR26,BO26,BL26,BI26,BF26,BC26,AZ26,AW26))</f>
        <v/>
      </c>
      <c r="H26" s="13">
        <f>IF(COUNT(DL26,DI26,DF26,DC26,CZ26,CW26,CT26,CQ26,CN26,CK26,CH26,CE26)=0,"",SUM(DL26,DI26,DF26,DC26,CZ26,CW26,CT26,CQ26,CN26,CK26,CH26,CE26))</f>
        <v/>
      </c>
      <c r="I26" s="13">
        <f>IF(COUNT(DM26,DJ26,DG26,DD26,DA26,CX26,CU26,CR26,CO26,CL26,CI26,CF26)=0,"",SUM(DM26,DJ26,DG26,DD26,DA26,CX26,CU26,CR26,CO26,CL26,CI26,CF26))</f>
        <v/>
      </c>
      <c r="J26" s="13">
        <f>IF(COUNT(DN26,DK26,DH26,DE26,DB26,CY26,CV26,CS26,CP26,CM26,CJ26,CG26)=0,"",SUM(DN26,DK26,DH26,DE26,DB26,CY26,CV26,CS26,CP26,CM26,CJ26,CG26))</f>
        <v/>
      </c>
      <c r="K26" s="14">
        <f>IF(COUNT(K22,K23,K24,K25)=0,"",SUM(K22:K25))</f>
        <v/>
      </c>
      <c r="L26" s="14">
        <f>SUM(L22:L25)</f>
        <v/>
      </c>
      <c r="M26" s="14">
        <f>SUM(M22:M25)</f>
        <v/>
      </c>
      <c r="N26" s="13">
        <f>IF(COUNT(N22,N23,N24,N25)=0,"",SUM(N22:N25))</f>
        <v/>
      </c>
      <c r="O26" s="13">
        <f>SUM(O22:O25)</f>
        <v/>
      </c>
      <c r="P26" s="13">
        <f>SUM(P22:P25)</f>
        <v/>
      </c>
      <c r="Q26" s="14">
        <f>IF(COUNT(Q22,Q23,Q24,Q25)=0,"",SUM(Q22:Q25))</f>
        <v/>
      </c>
      <c r="R26" s="14">
        <f>SUM(R22:R25)</f>
        <v/>
      </c>
      <c r="S26" s="14">
        <f>SUM(S22:S25)</f>
        <v/>
      </c>
      <c r="T26" s="13">
        <f>IF(COUNT(T22,T23,T24,T25)=0,"",SUM(T22:T25))</f>
        <v/>
      </c>
      <c r="U26" s="13">
        <f>SUM(U22:U25)</f>
        <v/>
      </c>
      <c r="V26" s="13">
        <f>SUM(V22:V25)</f>
        <v/>
      </c>
      <c r="W26" s="14">
        <f>IF(COUNT(W22,W23,W24,W25)=0,"",SUM(W22:W25))</f>
        <v/>
      </c>
      <c r="X26" s="14">
        <f>SUM(X22:X25)</f>
        <v/>
      </c>
      <c r="Y26" s="14">
        <f>SUM(Y22:Y25)</f>
        <v/>
      </c>
      <c r="Z26" s="13">
        <f>IF(COUNT(Z22,Z23,Z24,Z25)=0,"",SUM(Z22:Z25))</f>
        <v/>
      </c>
      <c r="AA26" s="13">
        <f>SUM(AA22:AA25)</f>
        <v/>
      </c>
      <c r="AB26" s="13">
        <f>SUM(AB22:AB25)</f>
        <v/>
      </c>
      <c r="AC26" s="14">
        <f>IF(COUNT(AC22,AC23,AC24,AC25)=0,"",SUM(AC22:AC25))</f>
        <v/>
      </c>
      <c r="AD26" s="14">
        <f>SUM(AD22:AD25)</f>
        <v/>
      </c>
      <c r="AE26" s="14">
        <f>SUM(AE22:AE25)</f>
        <v/>
      </c>
      <c r="AF26" s="13">
        <f>IF(COUNT(AF22,AF23,AF24,AF25)=0,"",SUM(AF22:AF25))</f>
        <v/>
      </c>
      <c r="AG26" s="13">
        <f>SUM(AG22:AG25)</f>
        <v/>
      </c>
      <c r="AH26" s="13">
        <f>SUM(AH22:AH25)</f>
        <v/>
      </c>
      <c r="AI26" s="14">
        <f>IF(COUNT(AI22,AI23,AI24,AI25)=0,"",SUM(AI22:AI25))</f>
        <v/>
      </c>
      <c r="AJ26" s="14">
        <f>SUM(AJ22:AJ25)</f>
        <v/>
      </c>
      <c r="AK26" s="14">
        <f>SUM(AK22:AK25)</f>
        <v/>
      </c>
      <c r="AL26" s="13">
        <f>IF(COUNT(AL22,AL23,AL24,AL25)=0,"",SUM(AL22:AL25))</f>
        <v/>
      </c>
      <c r="AM26" s="13">
        <f>SUM(AM22:AM25)</f>
        <v/>
      </c>
      <c r="AN26" s="13">
        <f>SUM(AN22:AN25)</f>
        <v/>
      </c>
      <c r="AO26" s="14">
        <f>IF(COUNT(AO22,AO23,AO24,AO25)=0,"",SUM(AO22:AO25))</f>
        <v/>
      </c>
      <c r="AP26" s="14">
        <f>SUM(AP22:AP25)</f>
        <v/>
      </c>
      <c r="AQ26" s="14">
        <f>SUM(AQ22:AQ25)</f>
        <v/>
      </c>
      <c r="AR26" s="13">
        <f>IF(COUNT(AR22,AR23,AR24,AR25)=0,"",SUM(AR22:AR25))</f>
        <v/>
      </c>
      <c r="AS26" s="13">
        <f>SUM(AS22:AS25)</f>
        <v/>
      </c>
      <c r="AT26" s="13">
        <f>SUM(AT22:AT25)</f>
        <v/>
      </c>
      <c r="AU26" s="14">
        <f>IF(COUNT(AU22,AU23,AU24,AU25)=0,"",SUM(AU22:AU25))</f>
        <v/>
      </c>
      <c r="AV26" s="14">
        <f>SUM(AV22:AV25)</f>
        <v/>
      </c>
      <c r="AW26" s="14">
        <f>SUM(AW22:AW25)</f>
        <v/>
      </c>
      <c r="AX26" s="13">
        <f>IF(COUNT(AX22,AX23,AX24,AX25)=0,"",SUM(AX22:AX25))</f>
        <v/>
      </c>
      <c r="AY26" s="13">
        <f>SUM(AY22:AY25)</f>
        <v/>
      </c>
      <c r="AZ26" s="13">
        <f>SUM(AZ22:AZ25)</f>
        <v/>
      </c>
      <c r="BA26" s="14">
        <f>IF(COUNT(BA22,BA23,BA24,BA25)=0,"",SUM(BA22:BA25))</f>
        <v/>
      </c>
      <c r="BB26" s="14">
        <f>SUM(BB22:BB25)</f>
        <v/>
      </c>
      <c r="BC26" s="14">
        <f>SUM(BC22:BC25)</f>
        <v/>
      </c>
      <c r="BD26" s="13">
        <f>IF(COUNT(BD22,BD23,BD24,BD25)=0,"",SUM(BD22:BD25))</f>
        <v/>
      </c>
      <c r="BE26" s="13">
        <f>SUM(BE22:BE25)</f>
        <v/>
      </c>
      <c r="BF26" s="13">
        <f>SUM(BF22:BF25)</f>
        <v/>
      </c>
      <c r="BG26" s="14">
        <f>IF(COUNT(BG22,BG23,BG24,BG25)=0,"",SUM(BG22:BG25))</f>
        <v/>
      </c>
      <c r="BH26" s="14">
        <f>SUM(BH22:BH25)</f>
        <v/>
      </c>
      <c r="BI26" s="14">
        <f>SUM(BI22:BI25)</f>
        <v/>
      </c>
      <c r="BJ26" s="13">
        <f>IF(COUNT(BJ22,BJ23,BJ24,BJ25)=0,"",SUM(BJ22:BJ25))</f>
        <v/>
      </c>
      <c r="BK26" s="13">
        <f>SUM(BK22:BK25)</f>
        <v/>
      </c>
      <c r="BL26" s="13">
        <f>SUM(BL22:BL25)</f>
        <v/>
      </c>
      <c r="BM26" s="14">
        <f>IF(COUNT(BM22,BM23,BM24,BM25)=0,"",SUM(BM22:BM25))</f>
        <v/>
      </c>
      <c r="BN26" s="14">
        <f>SUM(BN22:BN25)</f>
        <v/>
      </c>
      <c r="BO26" s="14">
        <f>SUM(BO22:BO25)</f>
        <v/>
      </c>
      <c r="BP26" s="13">
        <f>IF(COUNT(BP22,BP23,BP24,BP25)=0,"",SUM(BP22:BP25))</f>
        <v/>
      </c>
      <c r="BQ26" s="13">
        <f>SUM(BQ22:BQ25)</f>
        <v/>
      </c>
      <c r="BR26" s="13">
        <f>SUM(BR22:BR25)</f>
        <v/>
      </c>
      <c r="BS26" s="14">
        <f>IF(COUNT(BS22,BS23,BS24,BS25)=0,"",SUM(BS22:BS25))</f>
        <v/>
      </c>
      <c r="BT26" s="14">
        <f>SUM(BT22:BT25)</f>
        <v/>
      </c>
      <c r="BU26" s="14">
        <f>SUM(BU22:BU25)</f>
        <v/>
      </c>
      <c r="BV26" s="13">
        <f>IF(COUNT(BV22,BV23,BV24,BV25)=0,"",SUM(BV22:BV25))</f>
        <v/>
      </c>
      <c r="BW26" s="13">
        <f>SUM(BW22:BW25)</f>
        <v/>
      </c>
      <c r="BX26" s="13">
        <f>SUM(BX22:BX25)</f>
        <v/>
      </c>
      <c r="BY26" s="14">
        <f>IF(COUNT(BY22,BY23,BY24,BY25)=0,"",SUM(BY22:BY25))</f>
        <v/>
      </c>
      <c r="BZ26" s="14">
        <f>SUM(BZ22:BZ25)</f>
        <v/>
      </c>
      <c r="CA26" s="14">
        <f>SUM(CA22:CA25)</f>
        <v/>
      </c>
      <c r="CB26" s="13">
        <f>IF(COUNT(CB22,CB23,CB24,CB25)=0,"",SUM(CB22:CB25))</f>
        <v/>
      </c>
      <c r="CC26" s="13">
        <f>SUM(CC22:CC25)</f>
        <v/>
      </c>
      <c r="CD26" s="13">
        <f>SUM(CD22:CD25)</f>
        <v/>
      </c>
      <c r="CE26" s="14">
        <f>IF(COUNT(CE22,CE23,CE24,CE25)=0,"",SUM(CE22:CE25))</f>
        <v/>
      </c>
      <c r="CF26" s="14">
        <f>SUM(CF22:CF25)</f>
        <v/>
      </c>
      <c r="CG26" s="14">
        <f>SUM(CG22:CG25)</f>
        <v/>
      </c>
      <c r="CH26" s="13">
        <f>IF(COUNT(CH22,CH23,CH24,CH25)=0,"",SUM(CH22:CH25))</f>
        <v/>
      </c>
      <c r="CI26" s="13">
        <f>SUM(CI22:CI25)</f>
        <v/>
      </c>
      <c r="CJ26" s="13">
        <f>SUM(CJ22:CJ25)</f>
        <v/>
      </c>
      <c r="CK26" s="14">
        <f>IF(COUNT(CK22,CK23,CK24,CK25)=0,"",SUM(CK22:CK25))</f>
        <v/>
      </c>
      <c r="CL26" s="14">
        <f>SUM(CL22:CL25)</f>
        <v/>
      </c>
      <c r="CM26" s="14">
        <f>SUM(CM22:CM25)</f>
        <v/>
      </c>
      <c r="CN26" s="13">
        <f>IF(COUNT(CN22,CN23,CN24,CN25)=0,"",SUM(CN22:CN25))</f>
        <v/>
      </c>
      <c r="CO26" s="13">
        <f>SUM(CO22:CO25)</f>
        <v/>
      </c>
      <c r="CP26" s="13">
        <f>SUM(CP22:CP25)</f>
        <v/>
      </c>
      <c r="CQ26" s="14">
        <f>IF(COUNT(CQ22,CQ23,CQ24,CQ25)=0,"",SUM(CQ22:CQ25))</f>
        <v/>
      </c>
      <c r="CR26" s="14">
        <f>SUM(CR22:CR25)</f>
        <v/>
      </c>
      <c r="CS26" s="14">
        <f>SUM(CS22:CS25)</f>
        <v/>
      </c>
      <c r="CT26" s="13">
        <f>IF(COUNT(CT22,CT23,CT24,CT25)=0,"",SUM(CT22:CT25))</f>
        <v/>
      </c>
      <c r="CU26" s="13">
        <f>SUM(CU22:CU25)</f>
        <v/>
      </c>
      <c r="CV26" s="13">
        <f>SUM(CV22:CV25)</f>
        <v/>
      </c>
      <c r="CW26" s="14">
        <f>IF(COUNT(CW22,CW23,CW24,CW25)=0,"",SUM(CW22:CW25))</f>
        <v/>
      </c>
      <c r="CX26" s="14">
        <f>SUM(CX22:CX25)</f>
        <v/>
      </c>
      <c r="CY26" s="14">
        <f>SUM(CY22:CY25)</f>
        <v/>
      </c>
      <c r="CZ26" s="13">
        <f>IF(COUNT(CZ22,CZ23,CZ24,CZ25)=0,"",SUM(CZ22:CZ25))</f>
        <v/>
      </c>
      <c r="DA26" s="13">
        <f>SUM(DA22:DA25)</f>
        <v/>
      </c>
      <c r="DB26" s="13">
        <f>SUM(DB22:DB25)</f>
        <v/>
      </c>
      <c r="DC26" s="14">
        <f>IF(COUNT(DC22,DC23,DC24,DC25)=0,"",SUM(DC22:DC25))</f>
        <v/>
      </c>
      <c r="DD26" s="14">
        <f>SUM(DD22:DD25)</f>
        <v/>
      </c>
      <c r="DE26" s="14">
        <f>SUM(DE22:DE25)</f>
        <v/>
      </c>
      <c r="DF26" s="13">
        <f>IF(COUNT(DF22,DF23,DF24,DF25)=0,"",SUM(DF22:DF25))</f>
        <v/>
      </c>
      <c r="DG26" s="13">
        <f>SUM(DG22:DG25)</f>
        <v/>
      </c>
      <c r="DH26" s="13">
        <f>SUM(DH22:DH25)</f>
        <v/>
      </c>
      <c r="DI26" s="14">
        <f>IF(COUNT(DI22,DI23,DI24,DI25)=0,"",SUM(DI22:DI25))</f>
        <v/>
      </c>
      <c r="DJ26" s="14">
        <f>SUM(DJ22:DJ25)</f>
        <v/>
      </c>
      <c r="DK26" s="14">
        <f>SUM(DK22:DK25)</f>
        <v/>
      </c>
      <c r="DL26" s="13">
        <f>IF(COUNT(DL22,DL23,DL24,DL25)=0,"",SUM(DL22:DL25))</f>
        <v/>
      </c>
      <c r="DM26" s="13">
        <f>SUM(DM22:DM25)</f>
        <v/>
      </c>
      <c r="DN26" s="13">
        <f>SUM(DN22:DN25)</f>
        <v/>
      </c>
    </row>
    <row r="27">
      <c r="A27" s="12" t="inlineStr">
        <is>
          <t>Total Engineering Cost</t>
        </is>
      </c>
      <c r="B27" s="13">
        <f>IF(COUNT(AR27,AO27,AL27,AI27,AF27,AC27,Z27,W27,T27,Q27,N27,K27)=0,"",SUM(AR27,AO27,AL27,AI27,AF27,AC27,Z27,W27,T27,Q27,N27,K27))</f>
        <v/>
      </c>
      <c r="C27" s="13">
        <f>IF(COUNT(AS27,AP27,AM27,AJ27,AG27,AD27,AA27,X27,U27,R27,O27,L27)=0,"",SUM(AS27,AP27,AM27,AJ27,AG27,AD27,AA27,X27,U27,R27,O27,L27))</f>
        <v/>
      </c>
      <c r="D27" s="13">
        <f>IF(COUNT(AT27,AQ27,AN27,AK27,AH27,AE27,AB27,Y27,V27,S27,P27,M27)=0,"",SUM(AT27,AQ27,AN27,AK27,AH27,AE27,AB27,Y27,V27,S27,P27,M27))</f>
        <v/>
      </c>
      <c r="E27" s="14">
        <f>IF(COUNT(CB27,BY27,BV27,BS27,BP27,BM27,BJ27,BG27,BD27,BA27,AX27,AU27)=0,"",SUM(CB27,BY27,BV27,BS27,BP27,BM27,BJ27,BG27,BD27,BA27,AX27,AU27))</f>
        <v/>
      </c>
      <c r="F27" s="14">
        <f>IF(COUNT(CC27,BZ27,BW27,BT27,BQ27,BN27,BK27,BH27,BE27,BB27,AY27,AV27)=0,"",SUM(CC27,BZ27,BW27,BT27,BQ27,BN27,BK27,BH27,BE27,BB27,AY27,AV27))</f>
        <v/>
      </c>
      <c r="G27" s="14">
        <f>IF(COUNT(CD27,CA27,BX27,BU27,BR27,BO27,BL27,BI27,BF27,BC27,AZ27,AW27)=0,"",SUM(CD27,CA27,BX27,BU27,BR27,BO27,BL27,BI27,BF27,BC27,AZ27,AW27))</f>
        <v/>
      </c>
      <c r="H27" s="13">
        <f>IF(COUNT(DL27,DI27,DF27,DC27,CZ27,CW27,CT27,CQ27,CN27,CK27,CH27,CE27)=0,"",SUM(DL27,DI27,DF27,DC27,CZ27,CW27,CT27,CQ27,CN27,CK27,CH27,CE27))</f>
        <v/>
      </c>
      <c r="I27" s="13">
        <f>IF(COUNT(DM27,DJ27,DG27,DD27,DA27,CX27,CU27,CR27,CO27,CL27,CI27,CF27)=0,"",SUM(DM27,DJ27,DG27,DD27,DA27,CX27,CU27,CR27,CO27,CL27,CI27,CF27))</f>
        <v/>
      </c>
      <c r="J27" s="13">
        <f>IF(COUNT(DN27,DK27,DH27,DE27,DB27,CY27,CV27,CS27,CP27,CM27,CJ27,CG27)=0,"",SUM(DN27,DK27,DH27,DE27,DB27,CY27,CV27,CS27,CP27,CM27,CJ27,CG27))</f>
        <v/>
      </c>
      <c r="K27" s="14">
        <f>IF(COUNT(K21,K26,K11)=0,"",SUM(K21,K26,K11))</f>
        <v/>
      </c>
      <c r="L27" s="14">
        <f>SUM(L21,L26,L11)</f>
        <v/>
      </c>
      <c r="M27" s="14">
        <f>SUM(M21,M26,M11)</f>
        <v/>
      </c>
      <c r="N27" s="13">
        <f>IF(COUNT(N21,N26,N11)=0,"",SUM(N21,N26,N11))</f>
        <v/>
      </c>
      <c r="O27" s="13">
        <f>SUM(O21,O26,O11)</f>
        <v/>
      </c>
      <c r="P27" s="13">
        <f>SUM(P21,P26,P11)</f>
        <v/>
      </c>
      <c r="Q27" s="14">
        <f>IF(COUNT(Q21,Q26,Q11)=0,"",SUM(Q21,Q26,Q11))</f>
        <v/>
      </c>
      <c r="R27" s="14">
        <f>SUM(R21,R26,R11)</f>
        <v/>
      </c>
      <c r="S27" s="14">
        <f>SUM(S21,S26,S11)</f>
        <v/>
      </c>
      <c r="T27" s="13">
        <f>IF(COUNT(T21,T26,T11)=0,"",SUM(T21,T26,T11))</f>
        <v/>
      </c>
      <c r="U27" s="13">
        <f>SUM(U21,U26,U11)</f>
        <v/>
      </c>
      <c r="V27" s="13">
        <f>SUM(V21,V26,V11)</f>
        <v/>
      </c>
      <c r="W27" s="14">
        <f>IF(COUNT(W21,W26,W11)=0,"",SUM(W21,W26,W11))</f>
        <v/>
      </c>
      <c r="X27" s="14">
        <f>SUM(X21,X26,X11)</f>
        <v/>
      </c>
      <c r="Y27" s="14">
        <f>SUM(Y21,Y26,Y11)</f>
        <v/>
      </c>
      <c r="Z27" s="13">
        <f>IF(COUNT(Z21,Z26,Z11)=0,"",SUM(Z21,Z26,Z11))</f>
        <v/>
      </c>
      <c r="AA27" s="13">
        <f>SUM(AA21,AA26,AA11)</f>
        <v/>
      </c>
      <c r="AB27" s="13">
        <f>SUM(AB21,AB26,AB11)</f>
        <v/>
      </c>
      <c r="AC27" s="14">
        <f>IF(COUNT(AC21,AC26,AC11)=0,"",SUM(AC21,AC26,AC11))</f>
        <v/>
      </c>
      <c r="AD27" s="14">
        <f>SUM(AD21,AD26,AD11)</f>
        <v/>
      </c>
      <c r="AE27" s="14">
        <f>SUM(AE21,AE26,AE11)</f>
        <v/>
      </c>
      <c r="AF27" s="13">
        <f>IF(COUNT(AF21,AF26,AF11)=0,"",SUM(AF21,AF26,AF11))</f>
        <v/>
      </c>
      <c r="AG27" s="13">
        <f>SUM(AG21,AG26,AG11)</f>
        <v/>
      </c>
      <c r="AH27" s="13">
        <f>SUM(AH21,AH26,AH11)</f>
        <v/>
      </c>
      <c r="AI27" s="14">
        <f>IF(COUNT(AI21,AI26,AI11)=0,"",SUM(AI21,AI26,AI11))</f>
        <v/>
      </c>
      <c r="AJ27" s="14">
        <f>SUM(AJ21,AJ26,AJ11)</f>
        <v/>
      </c>
      <c r="AK27" s="14">
        <f>SUM(AK21,AK26,AK11)</f>
        <v/>
      </c>
      <c r="AL27" s="13">
        <f>IF(COUNT(AL21,AL26,AL11)=0,"",SUM(AL21,AL26,AL11))</f>
        <v/>
      </c>
      <c r="AM27" s="13">
        <f>SUM(AM21,AM26,AM11)</f>
        <v/>
      </c>
      <c r="AN27" s="13">
        <f>SUM(AN21,AN26,AN11)</f>
        <v/>
      </c>
      <c r="AO27" s="14">
        <f>IF(COUNT(AO21,AO26,AO11)=0,"",SUM(AO21,AO26,AO11))</f>
        <v/>
      </c>
      <c r="AP27" s="14">
        <f>SUM(AP21,AP26,AP11)</f>
        <v/>
      </c>
      <c r="AQ27" s="14">
        <f>SUM(AQ21,AQ26,AQ11)</f>
        <v/>
      </c>
      <c r="AR27" s="13">
        <f>IF(COUNT(AR21,AR26,AR11)=0,"",SUM(AR21,AR26,AR11))</f>
        <v/>
      </c>
      <c r="AS27" s="13">
        <f>SUM(AS21,AS26,AS11)</f>
        <v/>
      </c>
      <c r="AT27" s="13">
        <f>SUM(AT21,AT26,AT11)</f>
        <v/>
      </c>
      <c r="AU27" s="14">
        <f>IF(COUNT(AU21,AU26,AU11)=0,"",SUM(AU21,AU26,AU11))</f>
        <v/>
      </c>
      <c r="AV27" s="14">
        <f>SUM(AV21,AV26,AV11)</f>
        <v/>
      </c>
      <c r="AW27" s="14">
        <f>SUM(AW21,AW26,AW11)</f>
        <v/>
      </c>
      <c r="AX27" s="13">
        <f>IF(COUNT(AX21,AX26,AX11)=0,"",SUM(AX21,AX26,AX11))</f>
        <v/>
      </c>
      <c r="AY27" s="13">
        <f>SUM(AY21,AY26,AY11)</f>
        <v/>
      </c>
      <c r="AZ27" s="13">
        <f>SUM(AZ21,AZ26,AZ11)</f>
        <v/>
      </c>
      <c r="BA27" s="14">
        <f>IF(COUNT(BA21,BA26,BA11)=0,"",SUM(BA21,BA26,BA11))</f>
        <v/>
      </c>
      <c r="BB27" s="14">
        <f>SUM(BB21,BB26,BB11)</f>
        <v/>
      </c>
      <c r="BC27" s="14">
        <f>SUM(BC21,BC26,BC11)</f>
        <v/>
      </c>
      <c r="BD27" s="13">
        <f>IF(COUNT(BD21,BD26,BD11)=0,"",SUM(BD21,BD26,BD11))</f>
        <v/>
      </c>
      <c r="BE27" s="13">
        <f>SUM(BE21,BE26,BE11)</f>
        <v/>
      </c>
      <c r="BF27" s="13">
        <f>SUM(BF21,BF26,BF11)</f>
        <v/>
      </c>
      <c r="BG27" s="14">
        <f>IF(COUNT(BG21,BG26,BG11)=0,"",SUM(BG21,BG26,BG11))</f>
        <v/>
      </c>
      <c r="BH27" s="14">
        <f>SUM(BH21,BH26,BH11)</f>
        <v/>
      </c>
      <c r="BI27" s="14">
        <f>SUM(BI21,BI26,BI11)</f>
        <v/>
      </c>
      <c r="BJ27" s="13">
        <f>IF(COUNT(BJ21,BJ26,BJ11)=0,"",SUM(BJ21,BJ26,BJ11))</f>
        <v/>
      </c>
      <c r="BK27" s="13">
        <f>SUM(BK21,BK26,BK11)</f>
        <v/>
      </c>
      <c r="BL27" s="13">
        <f>SUM(BL21,BL26,BL11)</f>
        <v/>
      </c>
      <c r="BM27" s="14">
        <f>IF(COUNT(BM21,BM26,BM11)=0,"",SUM(BM21,BM26,BM11))</f>
        <v/>
      </c>
      <c r="BN27" s="14">
        <f>SUM(BN21,BN26,BN11)</f>
        <v/>
      </c>
      <c r="BO27" s="14">
        <f>SUM(BO21,BO26,BO11)</f>
        <v/>
      </c>
      <c r="BP27" s="13">
        <f>IF(COUNT(BP21,BP26,BP11)=0,"",SUM(BP21,BP26,BP11))</f>
        <v/>
      </c>
      <c r="BQ27" s="13">
        <f>SUM(BQ21,BQ26,BQ11)</f>
        <v/>
      </c>
      <c r="BR27" s="13">
        <f>SUM(BR21,BR26,BR11)</f>
        <v/>
      </c>
      <c r="BS27" s="14">
        <f>IF(COUNT(BS21,BS26,BS11)=0,"",SUM(BS21,BS26,BS11))</f>
        <v/>
      </c>
      <c r="BT27" s="14">
        <f>SUM(BT21,BT26,BT11)</f>
        <v/>
      </c>
      <c r="BU27" s="14">
        <f>SUM(BU21,BU26,BU11)</f>
        <v/>
      </c>
      <c r="BV27" s="13">
        <f>IF(COUNT(BV21,BV26,BV11)=0,"",SUM(BV21,BV26,BV11))</f>
        <v/>
      </c>
      <c r="BW27" s="13">
        <f>SUM(BW21,BW26,BW11)</f>
        <v/>
      </c>
      <c r="BX27" s="13">
        <f>SUM(BX21,BX26,BX11)</f>
        <v/>
      </c>
      <c r="BY27" s="14">
        <f>IF(COUNT(BY21,BY26,BY11)=0,"",SUM(BY21,BY26,BY11))</f>
        <v/>
      </c>
      <c r="BZ27" s="14">
        <f>SUM(BZ21,BZ26,BZ11)</f>
        <v/>
      </c>
      <c r="CA27" s="14">
        <f>SUM(CA21,CA26,CA11)</f>
        <v/>
      </c>
      <c r="CB27" s="13">
        <f>IF(COUNT(CB21,CB26,CB11)=0,"",SUM(CB21,CB26,CB11))</f>
        <v/>
      </c>
      <c r="CC27" s="13">
        <f>SUM(CC21,CC26,CC11)</f>
        <v/>
      </c>
      <c r="CD27" s="13">
        <f>SUM(CD21,CD26,CD11)</f>
        <v/>
      </c>
      <c r="CE27" s="14">
        <f>IF(COUNT(CE21,CE26,CE11)=0,"",SUM(CE21,CE26,CE11))</f>
        <v/>
      </c>
      <c r="CF27" s="14">
        <f>SUM(CF21,CF26,CF11)</f>
        <v/>
      </c>
      <c r="CG27" s="14">
        <f>SUM(CG21,CG26,CG11)</f>
        <v/>
      </c>
      <c r="CH27" s="13">
        <f>IF(COUNT(CH21,CH26,CH11)=0,"",SUM(CH21,CH26,CH11))</f>
        <v/>
      </c>
      <c r="CI27" s="13">
        <f>SUM(CI21,CI26,CI11)</f>
        <v/>
      </c>
      <c r="CJ27" s="13">
        <f>SUM(CJ21,CJ26,CJ11)</f>
        <v/>
      </c>
      <c r="CK27" s="14">
        <f>IF(COUNT(CK21,CK26,CK11)=0,"",SUM(CK21,CK26,CK11))</f>
        <v/>
      </c>
      <c r="CL27" s="14">
        <f>SUM(CL21,CL26,CL11)</f>
        <v/>
      </c>
      <c r="CM27" s="14">
        <f>SUM(CM21,CM26,CM11)</f>
        <v/>
      </c>
      <c r="CN27" s="13">
        <f>IF(COUNT(CN21,CN26,CN11)=0,"",SUM(CN21,CN26,CN11))</f>
        <v/>
      </c>
      <c r="CO27" s="13">
        <f>SUM(CO21,CO26,CO11)</f>
        <v/>
      </c>
      <c r="CP27" s="13">
        <f>SUM(CP21,CP26,CP11)</f>
        <v/>
      </c>
      <c r="CQ27" s="14">
        <f>IF(COUNT(CQ21,CQ26,CQ11)=0,"",SUM(CQ21,CQ26,CQ11))</f>
        <v/>
      </c>
      <c r="CR27" s="14">
        <f>SUM(CR21,CR26,CR11)</f>
        <v/>
      </c>
      <c r="CS27" s="14">
        <f>SUM(CS21,CS26,CS11)</f>
        <v/>
      </c>
      <c r="CT27" s="13">
        <f>IF(COUNT(CT21,CT26,CT11)=0,"",SUM(CT21,CT26,CT11))</f>
        <v/>
      </c>
      <c r="CU27" s="13">
        <f>SUM(CU21,CU26,CU11)</f>
        <v/>
      </c>
      <c r="CV27" s="13">
        <f>SUM(CV21,CV26,CV11)</f>
        <v/>
      </c>
      <c r="CW27" s="14">
        <f>IF(COUNT(CW21,CW26,CW11)=0,"",SUM(CW21,CW26,CW11))</f>
        <v/>
      </c>
      <c r="CX27" s="14">
        <f>SUM(CX21,CX26,CX11)</f>
        <v/>
      </c>
      <c r="CY27" s="14">
        <f>SUM(CY21,CY26,CY11)</f>
        <v/>
      </c>
      <c r="CZ27" s="13">
        <f>IF(COUNT(CZ21,CZ26,CZ11)=0,"",SUM(CZ21,CZ26,CZ11))</f>
        <v/>
      </c>
      <c r="DA27" s="13">
        <f>SUM(DA21,DA26,DA11)</f>
        <v/>
      </c>
      <c r="DB27" s="13">
        <f>SUM(DB21,DB26,DB11)</f>
        <v/>
      </c>
      <c r="DC27" s="14">
        <f>IF(COUNT(DC21,DC26,DC11)=0,"",SUM(DC21,DC26,DC11))</f>
        <v/>
      </c>
      <c r="DD27" s="14">
        <f>SUM(DD21,DD26,DD11)</f>
        <v/>
      </c>
      <c r="DE27" s="14">
        <f>SUM(DE21,DE26,DE11)</f>
        <v/>
      </c>
      <c r="DF27" s="13">
        <f>IF(COUNT(DF21,DF26,DF11)=0,"",SUM(DF21,DF26,DF11))</f>
        <v/>
      </c>
      <c r="DG27" s="13">
        <f>SUM(DG21,DG26,DG11)</f>
        <v/>
      </c>
      <c r="DH27" s="13">
        <f>SUM(DH21,DH26,DH11)</f>
        <v/>
      </c>
      <c r="DI27" s="14">
        <f>IF(COUNT(DI21,DI26,DI11)=0,"",SUM(DI21,DI26,DI11))</f>
        <v/>
      </c>
      <c r="DJ27" s="14">
        <f>SUM(DJ21,DJ26,DJ11)</f>
        <v/>
      </c>
      <c r="DK27" s="14">
        <f>SUM(DK21,DK26,DK11)</f>
        <v/>
      </c>
      <c r="DL27" s="13">
        <f>IF(COUNT(DL21,DL26,DL11)=0,"",SUM(DL21,DL26,DL11))</f>
        <v/>
      </c>
      <c r="DM27" s="13">
        <f>SUM(DM21,DM26,DM11)</f>
        <v/>
      </c>
      <c r="DN27" s="13">
        <f>SUM(DN21,DN26,DN11)</f>
        <v/>
      </c>
    </row>
    <row r="28">
      <c r="A28" s="2" t="inlineStr">
        <is>
          <t>Cost per Release</t>
        </is>
      </c>
      <c r="B28" s="22">
        <f>IF(SUM(AR5,AO5,AL5,AI5,AF5,AC5,Z5,W5,T5,Q5,N5,K5)=0,"",SUM(AR27,AO27,AL27,AI27,AF27,AC27,Z27,W27,T27,Q27,N27,K27)/SUM(AR5,AO5,AL5,AI5,AF5,AC5,Z5,W5,T5,Q5,N5,K5))</f>
        <v/>
      </c>
      <c r="C28" s="22">
        <f>IF(SUM(AS5,AP5,AM5,AJ5,AG5,AD5,AA5,X5,U5,R5,O5,L5)=0,"",SUM(AS27,AP27,AM27,AJ27,AG27,AD27,AA27,X27,U27,R27,O27,L27)/SUM(AS5,AP5,AM5,AJ5,AG5,AD5,AA5,X5,U5,R5,O5,L5))</f>
        <v/>
      </c>
      <c r="D28" s="22">
        <f>IF(SUM(AT5,AQ5,AN5,AK5,AH5,AE5,AB5,Y5,V5,S5,P5,M5)=0,"",SUM(AT27,AQ27,AN27,AK27,AH27,AE27,AB27,Y27,V27,S27,P27,M27)/SUM(AT5,AQ5,AN5,AK5,AH5,AE5,AB5,Y5,V5,S5,P5,M5))</f>
        <v/>
      </c>
      <c r="E28" s="23">
        <f>IF(SUM(CB5,BY5,BV5,BS5,BP5,BM5,BJ5,BG5,BD5,BA5,AX5,AU5)=0,"",SUM(CB27,BY27,BV27,BS27,BP27,BM27,BJ27,BG27,BD27,BA27,AX27,AU27)/SUM(CB5,BY5,BV5,BS5,BP5,BM5,BJ5,BG5,BD5,BA5,AX5,AU5))</f>
        <v/>
      </c>
      <c r="F28" s="23">
        <f>IF(SUM(CC5,BZ5,BW5,BT5,BQ5,BN5,BK5,BH5,BE5,BB5,AY5,AV5)=0,"",SUM(CC27,BZ27,BW27,BT27,BQ27,BN27,BK27,BH27,BE27,BB27,AY27,AV27)/SUM(CC5,BZ5,BW5,BT5,BQ5,BN5,BK5,BH5,BE5,BB5,AY5,AV5))</f>
        <v/>
      </c>
      <c r="G28" s="23">
        <f>IF(SUM(CD5,CA5,BX5,BU5,BR5,BO5,BL5,BI5,BF5,BC5,AZ5,AW5)=0,"",SUM(CD27,CA27,BX27,BU27,BR27,BO27,BL27,BI27,BF27,BC27,AZ27,AW27)/SUM(CD5,CA5,BX5,BU5,BR5,BO5,BL5,BI5,BF5,BC5,AZ5,AW5))</f>
        <v/>
      </c>
      <c r="H28" s="22">
        <f>IF(SUM(DL5,DI5,DF5,DC5,CZ5,CW5,CT5,CQ5,CN5,CK5,CH5,CE5)=0,"",SUM(DL27,DI27,DF27,DC27,CZ27,CW27,CT27,CQ27,CN27,CK27,CH27,CE27)/SUM(DL5,DI5,DF5,DC5,CZ5,CW5,CT5,CQ5,CN5,CK5,CH5,CE5))</f>
        <v/>
      </c>
      <c r="I28" s="22">
        <f>IF(SUM(DM5,DJ5,DG5,DD5,DA5,CX5,CU5,CR5,CO5,CL5,CI5,CF5)=0,"",SUM(DM27,DJ27,DG27,DD27,DA27,CX27,CU27,CR27,CO27,CL27,CI27,CF27)/SUM(DM5,DJ5,DG5,DD5,DA5,CX5,CU5,CR5,CO5,CL5,CI5,CF5))</f>
        <v/>
      </c>
      <c r="J28" s="22">
        <f>IF(SUM(DN5,DK5,DH5,DE5,DB5,CY5,CV5,CS5,CP5,CM5,CJ5,CG5)=0,"",SUM(DN27,DK27,DH27,DE27,DB27,CY27,CV27,CS27,CP27,CM27,CJ27,CG27)/SUM(DN5,DK5,DH5,DE5,DB5,CY5,CV5,CS5,CP5,CM5,CJ5,CG5))</f>
        <v/>
      </c>
      <c r="K28" s="23">
        <f>IF(COUNT(K27,K5)=2,IF(N(K5)=0,"",K27/K5),"")</f>
        <v/>
      </c>
      <c r="L28" s="23">
        <f>IF(N(L5)=0,"",L27/L5)</f>
        <v/>
      </c>
      <c r="M28" s="23">
        <f>IF(N(M5)=0,"",M27/M5)</f>
        <v/>
      </c>
      <c r="N28" s="22">
        <f>IF(COUNT(N27,N5)=2,IF(N(N5)=0,"",N27/N5),"")</f>
        <v/>
      </c>
      <c r="O28" s="22">
        <f>IF(N(O5)=0,"",O27/O5)</f>
        <v/>
      </c>
      <c r="P28" s="22">
        <f>IF(N(P5)=0,"",P27/P5)</f>
        <v/>
      </c>
      <c r="Q28" s="23">
        <f>IF(COUNT(Q27,Q5)=2,IF(N(Q5)=0,"",Q27/Q5),"")</f>
        <v/>
      </c>
      <c r="R28" s="23">
        <f>IF(N(R5)=0,"",R27/R5)</f>
        <v/>
      </c>
      <c r="S28" s="23">
        <f>IF(N(S5)=0,"",S27/S5)</f>
        <v/>
      </c>
      <c r="T28" s="22">
        <f>IF(COUNT(T27,T5)=2,IF(N(T5)=0,"",T27/T5),"")</f>
        <v/>
      </c>
      <c r="U28" s="22">
        <f>IF(N(U5)=0,"",U27/U5)</f>
        <v/>
      </c>
      <c r="V28" s="22">
        <f>IF(N(V5)=0,"",V27/V5)</f>
        <v/>
      </c>
      <c r="W28" s="23">
        <f>IF(COUNT(W27,W5)=2,IF(N(W5)=0,"",W27/W5),"")</f>
        <v/>
      </c>
      <c r="X28" s="23">
        <f>IF(N(X5)=0,"",X27/X5)</f>
        <v/>
      </c>
      <c r="Y28" s="23">
        <f>IF(N(Y5)=0,"",Y27/Y5)</f>
        <v/>
      </c>
      <c r="Z28" s="22">
        <f>IF(COUNT(Z27,Z5)=2,IF(N(Z5)=0,"",Z27/Z5),"")</f>
        <v/>
      </c>
      <c r="AA28" s="22">
        <f>IF(N(AA5)=0,"",AA27/AA5)</f>
        <v/>
      </c>
      <c r="AB28" s="22">
        <f>IF(N(AB5)=0,"",AB27/AB5)</f>
        <v/>
      </c>
      <c r="AC28" s="23">
        <f>IF(COUNT(AC27,AC5)=2,IF(N(AC5)=0,"",AC27/AC5),"")</f>
        <v/>
      </c>
      <c r="AD28" s="23">
        <f>IF(N(AD5)=0,"",AD27/AD5)</f>
        <v/>
      </c>
      <c r="AE28" s="23">
        <f>IF(N(AE5)=0,"",AE27/AE5)</f>
        <v/>
      </c>
      <c r="AF28" s="22">
        <f>IF(COUNT(AF27,AF5)=2,IF(N(AF5)=0,"",AF27/AF5),"")</f>
        <v/>
      </c>
      <c r="AG28" s="22">
        <f>IF(N(AG5)=0,"",AG27/AG5)</f>
        <v/>
      </c>
      <c r="AH28" s="22">
        <f>IF(N(AH5)=0,"",AH27/AH5)</f>
        <v/>
      </c>
      <c r="AI28" s="23">
        <f>IF(COUNT(AI27,AI5)=2,IF(N(AI5)=0,"",AI27/AI5),"")</f>
        <v/>
      </c>
      <c r="AJ28" s="23">
        <f>IF(N(AJ5)=0,"",AJ27/AJ5)</f>
        <v/>
      </c>
      <c r="AK28" s="23">
        <f>IF(N(AK5)=0,"",AK27/AK5)</f>
        <v/>
      </c>
      <c r="AL28" s="22">
        <f>IF(COUNT(AL27,AL5)=2,IF(N(AL5)=0,"",AL27/AL5),"")</f>
        <v/>
      </c>
      <c r="AM28" s="22">
        <f>IF(N(AM5)=0,"",AM27/AM5)</f>
        <v/>
      </c>
      <c r="AN28" s="22">
        <f>IF(N(AN5)=0,"",AN27/AN5)</f>
        <v/>
      </c>
      <c r="AO28" s="23">
        <f>IF(COUNT(AO27,AO5)=2,IF(N(AO5)=0,"",AO27/AO5),"")</f>
        <v/>
      </c>
      <c r="AP28" s="23">
        <f>IF(N(AP5)=0,"",AP27/AP5)</f>
        <v/>
      </c>
      <c r="AQ28" s="23">
        <f>IF(N(AQ5)=0,"",AQ27/AQ5)</f>
        <v/>
      </c>
      <c r="AR28" s="22">
        <f>IF(COUNT(AR27,AR5)=2,IF(N(AR5)=0,"",AR27/AR5),"")</f>
        <v/>
      </c>
      <c r="AS28" s="22">
        <f>IF(N(AS5)=0,"",AS27/AS5)</f>
        <v/>
      </c>
      <c r="AT28" s="22">
        <f>IF(N(AT5)=0,"",AT27/AT5)</f>
        <v/>
      </c>
      <c r="AU28" s="23">
        <f>IF(COUNT(AU27,AU5)=2,IF(N(AU5)=0,"",AU27/AU5),"")</f>
        <v/>
      </c>
      <c r="AV28" s="23">
        <f>IF(N(AV5)=0,"",AV27/AV5)</f>
        <v/>
      </c>
      <c r="AW28" s="23">
        <f>IF(N(AW5)=0,"",AW27/AW5)</f>
        <v/>
      </c>
      <c r="AX28" s="22">
        <f>IF(COUNT(AX27,AX5)=2,IF(N(AX5)=0,"",AX27/AX5),"")</f>
        <v/>
      </c>
      <c r="AY28" s="22">
        <f>IF(N(AY5)=0,"",AY27/AY5)</f>
        <v/>
      </c>
      <c r="AZ28" s="22">
        <f>IF(N(AZ5)=0,"",AZ27/AZ5)</f>
        <v/>
      </c>
      <c r="BA28" s="23">
        <f>IF(COUNT(BA27,BA5)=2,IF(N(BA5)=0,"",BA27/BA5),"")</f>
        <v/>
      </c>
      <c r="BB28" s="23">
        <f>IF(N(BB5)=0,"",BB27/BB5)</f>
        <v/>
      </c>
      <c r="BC28" s="23">
        <f>IF(N(BC5)=0,"",BC27/BC5)</f>
        <v/>
      </c>
      <c r="BD28" s="22">
        <f>IF(COUNT(BD27,BD5)=2,IF(N(BD5)=0,"",BD27/BD5),"")</f>
        <v/>
      </c>
      <c r="BE28" s="22">
        <f>IF(N(BE5)=0,"",BE27/BE5)</f>
        <v/>
      </c>
      <c r="BF28" s="22">
        <f>IF(N(BF5)=0,"",BF27/BF5)</f>
        <v/>
      </c>
      <c r="BG28" s="23">
        <f>IF(COUNT(BG27,BG5)=2,IF(N(BG5)=0,"",BG27/BG5),"")</f>
        <v/>
      </c>
      <c r="BH28" s="23">
        <f>IF(N(BH5)=0,"",BH27/BH5)</f>
        <v/>
      </c>
      <c r="BI28" s="23">
        <f>IF(N(BI5)=0,"",BI27/BI5)</f>
        <v/>
      </c>
      <c r="BJ28" s="22">
        <f>IF(COUNT(BJ27,BJ5)=2,IF(N(BJ5)=0,"",BJ27/BJ5),"")</f>
        <v/>
      </c>
      <c r="BK28" s="22">
        <f>IF(N(BK5)=0,"",BK27/BK5)</f>
        <v/>
      </c>
      <c r="BL28" s="22">
        <f>IF(N(BL5)=0,"",BL27/BL5)</f>
        <v/>
      </c>
      <c r="BM28" s="23">
        <f>IF(COUNT(BM27,BM5)=2,IF(N(BM5)=0,"",BM27/BM5),"")</f>
        <v/>
      </c>
      <c r="BN28" s="23">
        <f>IF(N(BN5)=0,"",BN27/BN5)</f>
        <v/>
      </c>
      <c r="BO28" s="23">
        <f>IF(N(BO5)=0,"",BO27/BO5)</f>
        <v/>
      </c>
      <c r="BP28" s="22">
        <f>IF(COUNT(BP27,BP5)=2,IF(N(BP5)=0,"",BP27/BP5),"")</f>
        <v/>
      </c>
      <c r="BQ28" s="22">
        <f>IF(N(BQ5)=0,"",BQ27/BQ5)</f>
        <v/>
      </c>
      <c r="BR28" s="22">
        <f>IF(N(BR5)=0,"",BR27/BR5)</f>
        <v/>
      </c>
      <c r="BS28" s="23">
        <f>IF(COUNT(BS27,BS5)=2,IF(N(BS5)=0,"",BS27/BS5),"")</f>
        <v/>
      </c>
      <c r="BT28" s="23">
        <f>IF(N(BT5)=0,"",BT27/BT5)</f>
        <v/>
      </c>
      <c r="BU28" s="23">
        <f>IF(N(BU5)=0,"",BU27/BU5)</f>
        <v/>
      </c>
      <c r="BV28" s="22">
        <f>IF(COUNT(BV27,BV5)=2,IF(N(BV5)=0,"",BV27/BV5),"")</f>
        <v/>
      </c>
      <c r="BW28" s="22">
        <f>IF(N(BW5)=0,"",BW27/BW5)</f>
        <v/>
      </c>
      <c r="BX28" s="22">
        <f>IF(N(BX5)=0,"",BX27/BX5)</f>
        <v/>
      </c>
      <c r="BY28" s="23">
        <f>IF(COUNT(BY27,BY5)=2,IF(N(BY5)=0,"",BY27/BY5),"")</f>
        <v/>
      </c>
      <c r="BZ28" s="23">
        <f>IF(N(BZ5)=0,"",BZ27/BZ5)</f>
        <v/>
      </c>
      <c r="CA28" s="23">
        <f>IF(N(CA5)=0,"",CA27/CA5)</f>
        <v/>
      </c>
      <c r="CB28" s="22">
        <f>IF(COUNT(CB27,CB5)=2,IF(N(CB5)=0,"",CB27/CB5),"")</f>
        <v/>
      </c>
      <c r="CC28" s="22">
        <f>IF(N(CC5)=0,"",CC27/CC5)</f>
        <v/>
      </c>
      <c r="CD28" s="22">
        <f>IF(N(CD5)=0,"",CD27/CD5)</f>
        <v/>
      </c>
      <c r="CE28" s="23">
        <f>IF(COUNT(CE27,CE5)=2,IF(N(CE5)=0,"",CE27/CE5),"")</f>
        <v/>
      </c>
      <c r="CF28" s="23">
        <f>IF(N(CF5)=0,"",CF27/CF5)</f>
        <v/>
      </c>
      <c r="CG28" s="23">
        <f>IF(N(CG5)=0,"",CG27/CG5)</f>
        <v/>
      </c>
      <c r="CH28" s="22">
        <f>IF(COUNT(CH27,CH5)=2,IF(N(CH5)=0,"",CH27/CH5),"")</f>
        <v/>
      </c>
      <c r="CI28" s="22">
        <f>IF(N(CI5)=0,"",CI27/CI5)</f>
        <v/>
      </c>
      <c r="CJ28" s="22">
        <f>IF(N(CJ5)=0,"",CJ27/CJ5)</f>
        <v/>
      </c>
      <c r="CK28" s="23">
        <f>IF(COUNT(CK27,CK5)=2,IF(N(CK5)=0,"",CK27/CK5),"")</f>
        <v/>
      </c>
      <c r="CL28" s="23">
        <f>IF(N(CL5)=0,"",CL27/CL5)</f>
        <v/>
      </c>
      <c r="CM28" s="23">
        <f>IF(N(CM5)=0,"",CM27/CM5)</f>
        <v/>
      </c>
      <c r="CN28" s="22">
        <f>IF(COUNT(CN27,CN5)=2,IF(N(CN5)=0,"",CN27/CN5),"")</f>
        <v/>
      </c>
      <c r="CO28" s="22">
        <f>IF(N(CO5)=0,"",CO27/CO5)</f>
        <v/>
      </c>
      <c r="CP28" s="22">
        <f>IF(N(CP5)=0,"",CP27/CP5)</f>
        <v/>
      </c>
      <c r="CQ28" s="23">
        <f>IF(COUNT(CQ27,CQ5)=2,IF(N(CQ5)=0,"",CQ27/CQ5),"")</f>
        <v/>
      </c>
      <c r="CR28" s="23">
        <f>IF(N(CR5)=0,"",CR27/CR5)</f>
        <v/>
      </c>
      <c r="CS28" s="23">
        <f>IF(N(CS5)=0,"",CS27/CS5)</f>
        <v/>
      </c>
      <c r="CT28" s="22">
        <f>IF(COUNT(CT27,CT5)=2,IF(N(CT5)=0,"",CT27/CT5),"")</f>
        <v/>
      </c>
      <c r="CU28" s="22">
        <f>IF(N(CU5)=0,"",CU27/CU5)</f>
        <v/>
      </c>
      <c r="CV28" s="22">
        <f>IF(N(CV5)=0,"",CV27/CV5)</f>
        <v/>
      </c>
      <c r="CW28" s="23">
        <f>IF(COUNT(CW27,CW5)=2,IF(N(CW5)=0,"",CW27/CW5),"")</f>
        <v/>
      </c>
      <c r="CX28" s="23">
        <f>IF(N(CX5)=0,"",CX27/CX5)</f>
        <v/>
      </c>
      <c r="CY28" s="23">
        <f>IF(N(CY5)=0,"",CY27/CY5)</f>
        <v/>
      </c>
      <c r="CZ28" s="22">
        <f>IF(COUNT(CZ27,CZ5)=2,IF(N(CZ5)=0,"",CZ27/CZ5),"")</f>
        <v/>
      </c>
      <c r="DA28" s="22">
        <f>IF(N(DA5)=0,"",DA27/DA5)</f>
        <v/>
      </c>
      <c r="DB28" s="22">
        <f>IF(N(DB5)=0,"",DB27/DB5)</f>
        <v/>
      </c>
      <c r="DC28" s="23">
        <f>IF(COUNT(DC27,DC5)=2,IF(N(DC5)=0,"",DC27/DC5),"")</f>
        <v/>
      </c>
      <c r="DD28" s="23">
        <f>IF(N(DD5)=0,"",DD27/DD5)</f>
        <v/>
      </c>
      <c r="DE28" s="23">
        <f>IF(N(DE5)=0,"",DE27/DE5)</f>
        <v/>
      </c>
      <c r="DF28" s="22">
        <f>IF(COUNT(DF27,DF5)=2,IF(N(DF5)=0,"",DF27/DF5),"")</f>
        <v/>
      </c>
      <c r="DG28" s="22">
        <f>IF(N(DG5)=0,"",DG27/DG5)</f>
        <v/>
      </c>
      <c r="DH28" s="22">
        <f>IF(N(DH5)=0,"",DH27/DH5)</f>
        <v/>
      </c>
      <c r="DI28" s="23">
        <f>IF(COUNT(DI27,DI5)=2,IF(N(DI5)=0,"",DI27/DI5),"")</f>
        <v/>
      </c>
      <c r="DJ28" s="23">
        <f>IF(N(DJ5)=0,"",DJ27/DJ5)</f>
        <v/>
      </c>
      <c r="DK28" s="23">
        <f>IF(N(DK5)=0,"",DK27/DK5)</f>
        <v/>
      </c>
      <c r="DL28" s="22">
        <f>IF(COUNT(DL27,DL5)=2,IF(N(DL5)=0,"",DL27/DL5),"")</f>
        <v/>
      </c>
      <c r="DM28" s="22">
        <f>IF(N(DM5)=0,"",DM27/DM5)</f>
        <v/>
      </c>
      <c r="DN28" s="22">
        <f>IF(N(DN5)=0,"",DN27/DN5)</f>
        <v/>
      </c>
    </row>
    <row r="29">
      <c r="A29" s="15" t="inlineStr">
        <is>
          <t>People</t>
        </is>
      </c>
      <c r="B29" s="35" t="n"/>
      <c r="C29" s="35" t="n"/>
      <c r="D29" s="35" t="n"/>
      <c r="H29" s="35" t="n"/>
      <c r="I29" s="35" t="n"/>
      <c r="J29" s="35" t="n"/>
      <c r="N29" s="35" t="n"/>
      <c r="O29" s="35" t="n"/>
      <c r="P29" s="35" t="n"/>
      <c r="T29" s="35" t="n"/>
      <c r="U29" s="35" t="n"/>
      <c r="V29" s="35" t="n"/>
      <c r="Z29" s="35" t="n"/>
      <c r="AA29" s="35" t="n"/>
      <c r="AB29" s="35" t="n"/>
      <c r="AF29" s="35" t="n"/>
      <c r="AG29" s="35" t="n"/>
      <c r="AH29" s="35" t="n"/>
      <c r="AL29" s="35" t="n"/>
      <c r="AM29" s="35" t="n"/>
      <c r="AN29" s="35" t="n"/>
      <c r="AR29" s="35" t="n"/>
      <c r="AS29" s="35" t="n"/>
      <c r="AT29" s="35" t="n"/>
      <c r="AX29" s="35" t="n"/>
      <c r="AY29" s="35" t="n"/>
      <c r="AZ29" s="35" t="n"/>
      <c r="BD29" s="35" t="n"/>
      <c r="BE29" s="35" t="n"/>
      <c r="BF29" s="35" t="n"/>
      <c r="BJ29" s="35" t="n"/>
      <c r="BK29" s="35" t="n"/>
      <c r="BL29" s="35" t="n"/>
      <c r="BP29" s="35" t="n"/>
      <c r="BQ29" s="35" t="n"/>
      <c r="BR29" s="35" t="n"/>
      <c r="BV29" s="35" t="n"/>
      <c r="BW29" s="35" t="n"/>
      <c r="BX29" s="35" t="n"/>
      <c r="CB29" s="35" t="n"/>
      <c r="CC29" s="35" t="n"/>
      <c r="CD29" s="35" t="n"/>
      <c r="CH29" s="35" t="n"/>
      <c r="CI29" s="35" t="n"/>
      <c r="CJ29" s="35" t="n"/>
      <c r="CN29" s="35" t="n"/>
      <c r="CO29" s="35" t="n"/>
      <c r="CP29" s="35" t="n"/>
      <c r="CT29" s="35" t="n"/>
      <c r="CU29" s="35" t="n"/>
      <c r="CV29" s="35" t="n"/>
      <c r="CZ29" s="35" t="n"/>
      <c r="DA29" s="35" t="n"/>
      <c r="DB29" s="35" t="n"/>
      <c r="DF29" s="35" t="n"/>
      <c r="DG29" s="35" t="n"/>
      <c r="DH29" s="35" t="n"/>
      <c r="DL29" s="35" t="n"/>
      <c r="DM29" s="35" t="n"/>
      <c r="DN29" s="35" t="n"/>
    </row>
    <row r="30">
      <c r="A30" s="2" t="inlineStr">
        <is>
          <t>VP Engineering</t>
        </is>
      </c>
      <c r="B30" s="10">
        <f>IF(COUNT(AR30,AO30,AL30,AI30,AF30,AC30,Z30,W30,T30,Q30,N30,K30)=0,"",SUM(AR30,AO30,AL30,AI30,AF30,AC30,Z30,W30,T30,Q30,N30,K30))</f>
        <v/>
      </c>
      <c r="C30" s="10">
        <f>IF(COUNT(AS30,AP30,AM30,AJ30,AG30,AD30,AA30,X30,U30,R30,O30,L30)=0,"",SUM(AS30,AP30,AM30,AJ30,AG30,AD30,AA30,X30,U30,R30,O30,L30))</f>
        <v/>
      </c>
      <c r="D30" s="10">
        <f>IF(COUNT(AT30,AQ30,AN30,AK30,AH30,AE30,AB30,Y30,V30,S30,P30,M30)=0,"",SUM(AT30,AQ30,AN30,AK30,AH30,AE30,AB30,Y30,V30,S30,P30,M30))</f>
        <v/>
      </c>
      <c r="E30" s="11">
        <f>IF(COUNT(CB30,BY30,BV30,BS30,BP30,BM30,BJ30,BG30,BD30,BA30,AX30,AU30)=0,"",SUM(CB30,BY30,BV30,BS30,BP30,BM30,BJ30,BG30,BD30,BA30,AX30,AU30))</f>
        <v/>
      </c>
      <c r="F30" s="11">
        <f>IF(COUNT(CC30,BZ30,BW30,BT30,BQ30,BN30,BK30,BH30,BE30,BB30,AY30,AV30)=0,"",SUM(CC30,BZ30,BW30,BT30,BQ30,BN30,BK30,BH30,BE30,BB30,AY30,AV30))</f>
        <v/>
      </c>
      <c r="G30" s="11">
        <f>IF(COUNT(CD30,CA30,BX30,BU30,BR30,BO30,BL30,BI30,BF30,BC30,AZ30,AW30)=0,"",SUM(CD30,CA30,BX30,BU30,BR30,BO30,BL30,BI30,BF30,BC30,AZ30,AW30))</f>
        <v/>
      </c>
      <c r="H30" s="10">
        <f>IF(COUNT(DL30,DI30,DF30,DC30,CZ30,CW30,CT30,CQ30,CN30,CK30,CH30,CE30)=0,"",SUM(DL30,DI30,DF30,DC30,CZ30,CW30,CT30,CQ30,CN30,CK30,CH30,CE30))</f>
        <v/>
      </c>
      <c r="I30" s="10">
        <f>IF(COUNT(DM30,DJ30,DG30,DD30,DA30,CX30,CU30,CR30,CO30,CL30,CI30,CF30)=0,"",SUM(DM30,DJ30,DG30,DD30,DA30,CX30,CU30,CR30,CO30,CL30,CI30,CF30))</f>
        <v/>
      </c>
      <c r="J30" s="10">
        <f>IF(COUNT(DN30,DK30,DH30,DE30,DB30,CY30,CV30,CS30,CP30,CM30,CJ30,CG30)=0,"",SUM(DN30,DK30,DH30,DE30,DB30,CY30,CV30,CS30,CP30,CM30,CJ30,CG30))</f>
        <v/>
      </c>
      <c r="K30" s="11" t="n"/>
      <c r="L30" s="11" t="n">
        <v>20000</v>
      </c>
      <c r="M30" s="11" t="n">
        <v>20000</v>
      </c>
      <c r="N30" s="10" t="n"/>
      <c r="O30" s="10" t="n">
        <v>20000</v>
      </c>
      <c r="P30" s="10" t="n">
        <v>20000</v>
      </c>
      <c r="Q30" s="11" t="n"/>
      <c r="R30" s="11" t="n">
        <v>20000</v>
      </c>
      <c r="S30" s="11" t="n">
        <v>20000</v>
      </c>
      <c r="T30" s="10" t="n"/>
      <c r="U30" s="10" t="n">
        <v>20000</v>
      </c>
      <c r="V30" s="10" t="n">
        <v>20000</v>
      </c>
      <c r="W30" s="11" t="n"/>
      <c r="X30" s="11" t="n">
        <v>20000</v>
      </c>
      <c r="Y30" s="11" t="n">
        <v>20000</v>
      </c>
      <c r="Z30" s="10" t="n"/>
      <c r="AA30" s="10" t="n">
        <v>20000</v>
      </c>
      <c r="AB30" s="10" t="n">
        <v>20000</v>
      </c>
      <c r="AC30" s="11" t="n"/>
      <c r="AD30" s="11" t="n">
        <v>20000</v>
      </c>
      <c r="AE30" s="11" t="n">
        <v>20000</v>
      </c>
      <c r="AF30" s="10" t="n"/>
      <c r="AG30" s="10" t="n">
        <v>20000</v>
      </c>
      <c r="AH30" s="10" t="n">
        <v>20000</v>
      </c>
      <c r="AI30" s="11" t="n"/>
      <c r="AJ30" s="11" t="n">
        <v>20000</v>
      </c>
      <c r="AK30" s="11" t="n">
        <v>20000</v>
      </c>
      <c r="AL30" s="10" t="n"/>
      <c r="AM30" s="10" t="n">
        <v>20000</v>
      </c>
      <c r="AN30" s="10" t="n">
        <v>20000</v>
      </c>
      <c r="AO30" s="11" t="n"/>
      <c r="AP30" s="11" t="n">
        <v>20000</v>
      </c>
      <c r="AQ30" s="11" t="n">
        <v>20000</v>
      </c>
      <c r="AR30" s="10" t="n"/>
      <c r="AS30" s="10" t="n">
        <v>20000</v>
      </c>
      <c r="AT30" s="10" t="n">
        <v>20000</v>
      </c>
      <c r="AU30" s="11" t="n"/>
      <c r="AV30" s="11" t="n">
        <v>20000</v>
      </c>
      <c r="AW30" s="11" t="n">
        <v>20000</v>
      </c>
      <c r="AX30" s="10" t="n"/>
      <c r="AY30" s="10" t="n">
        <v>20000</v>
      </c>
      <c r="AZ30" s="10" t="n">
        <v>20000</v>
      </c>
      <c r="BA30" s="11" t="n"/>
      <c r="BB30" s="11" t="n">
        <v>20000</v>
      </c>
      <c r="BC30" s="11" t="n">
        <v>20000</v>
      </c>
      <c r="BD30" s="10" t="n"/>
      <c r="BE30" s="10" t="n">
        <v>20000</v>
      </c>
      <c r="BF30" s="10" t="n">
        <v>20000</v>
      </c>
      <c r="BG30" s="11" t="n"/>
      <c r="BH30" s="11" t="n">
        <v>20000</v>
      </c>
      <c r="BI30" s="11" t="n">
        <v>20000</v>
      </c>
      <c r="BJ30" s="10" t="n"/>
      <c r="BK30" s="10" t="n">
        <v>20000</v>
      </c>
      <c r="BL30" s="10" t="n">
        <v>20000</v>
      </c>
      <c r="BM30" s="11" t="n"/>
      <c r="BN30" s="11" t="n">
        <v>20000</v>
      </c>
      <c r="BO30" s="11" t="n">
        <v>20000</v>
      </c>
      <c r="BP30" s="10" t="n"/>
      <c r="BQ30" s="10" t="n">
        <v>20000</v>
      </c>
      <c r="BR30" s="10" t="n">
        <v>20000</v>
      </c>
      <c r="BS30" s="11" t="n"/>
      <c r="BT30" s="11" t="n">
        <v>20000</v>
      </c>
      <c r="BU30" s="11" t="n">
        <v>20000</v>
      </c>
      <c r="BV30" s="10" t="n"/>
      <c r="BW30" s="10" t="n">
        <v>20000</v>
      </c>
      <c r="BX30" s="10" t="n">
        <v>20000</v>
      </c>
      <c r="BY30" s="11" t="n"/>
      <c r="BZ30" s="11" t="n">
        <v>20000</v>
      </c>
      <c r="CA30" s="11" t="n">
        <v>20000</v>
      </c>
      <c r="CB30" s="10" t="n"/>
      <c r="CC30" s="10" t="n">
        <v>20000</v>
      </c>
      <c r="CD30" s="10" t="n">
        <v>20000</v>
      </c>
      <c r="CE30" s="11" t="n"/>
      <c r="CF30" s="11" t="n">
        <v>20000</v>
      </c>
      <c r="CG30" s="11" t="n">
        <v>20000</v>
      </c>
      <c r="CH30" s="10" t="n"/>
      <c r="CI30" s="10" t="n">
        <v>20000</v>
      </c>
      <c r="CJ30" s="10" t="n">
        <v>20000</v>
      </c>
      <c r="CK30" s="11" t="n"/>
      <c r="CL30" s="11" t="n">
        <v>20000</v>
      </c>
      <c r="CM30" s="11" t="n">
        <v>20000</v>
      </c>
      <c r="CN30" s="10" t="n"/>
      <c r="CO30" s="10" t="n">
        <v>20000</v>
      </c>
      <c r="CP30" s="10" t="n">
        <v>20000</v>
      </c>
      <c r="CQ30" s="11" t="n"/>
      <c r="CR30" s="11" t="n">
        <v>20000</v>
      </c>
      <c r="CS30" s="11" t="n">
        <v>20000</v>
      </c>
      <c r="CT30" s="10" t="n"/>
      <c r="CU30" s="10" t="n">
        <v>20000</v>
      </c>
      <c r="CV30" s="10" t="n">
        <v>20000</v>
      </c>
      <c r="CW30" s="11" t="n"/>
      <c r="CX30" s="11" t="n">
        <v>20000</v>
      </c>
      <c r="CY30" s="11" t="n">
        <v>20000</v>
      </c>
      <c r="CZ30" s="10" t="n"/>
      <c r="DA30" s="10" t="n">
        <v>20000</v>
      </c>
      <c r="DB30" s="10" t="n">
        <v>20000</v>
      </c>
      <c r="DC30" s="11" t="n"/>
      <c r="DD30" s="11" t="n">
        <v>20000</v>
      </c>
      <c r="DE30" s="11" t="n">
        <v>20000</v>
      </c>
      <c r="DF30" s="10" t="n"/>
      <c r="DG30" s="10" t="n">
        <v>20000</v>
      </c>
      <c r="DH30" s="10" t="n">
        <v>20000</v>
      </c>
      <c r="DI30" s="11" t="n">
        <v>20000</v>
      </c>
      <c r="DJ30" s="11" t="n">
        <v>20000</v>
      </c>
      <c r="DK30" s="11" t="n">
        <v>20000</v>
      </c>
      <c r="DL30" s="10" t="n">
        <v>20000</v>
      </c>
      <c r="DM30" s="10" t="n">
        <v>20000</v>
      </c>
      <c r="DN30" s="10" t="n">
        <v>20000</v>
      </c>
    </row>
    <row r="31">
      <c r="A31" s="2" t="inlineStr">
        <is>
          <t>Engineering Manager</t>
        </is>
      </c>
      <c r="B31" s="10">
        <f>IF(COUNT(AR31,AO31,AL31,AI31,AF31,AC31,Z31,W31,T31,Q31,N31,K31)=0,"",SUM(AR31,AO31,AL31,AI31,AF31,AC31,Z31,W31,T31,Q31,N31,K31))</f>
        <v/>
      </c>
      <c r="C31" s="10">
        <f>IF(COUNT(AS31,AP31,AM31,AJ31,AG31,AD31,AA31,X31,U31,R31,O31,L31)=0,"",SUM(AS31,AP31,AM31,AJ31,AG31,AD31,AA31,X31,U31,R31,O31,L31))</f>
        <v/>
      </c>
      <c r="D31" s="10">
        <f>IF(COUNT(AT31,AQ31,AN31,AK31,AH31,AE31,AB31,Y31,V31,S31,P31,M31)=0,"",SUM(AT31,AQ31,AN31,AK31,AH31,AE31,AB31,Y31,V31,S31,P31,M31))</f>
        <v/>
      </c>
      <c r="E31" s="11">
        <f>IF(COUNT(CB31,BY31,BV31,BS31,BP31,BM31,BJ31,BG31,BD31,BA31,AX31,AU31)=0,"",SUM(CB31,BY31,BV31,BS31,BP31,BM31,BJ31,BG31,BD31,BA31,AX31,AU31))</f>
        <v/>
      </c>
      <c r="F31" s="11">
        <f>IF(COUNT(CC31,BZ31,BW31,BT31,BQ31,BN31,BK31,BH31,BE31,BB31,AY31,AV31)=0,"",SUM(CC31,BZ31,BW31,BT31,BQ31,BN31,BK31,BH31,BE31,BB31,AY31,AV31))</f>
        <v/>
      </c>
      <c r="G31" s="11">
        <f>IF(COUNT(CD31,CA31,BX31,BU31,BR31,BO31,BL31,BI31,BF31,BC31,AZ31,AW31)=0,"",SUM(CD31,CA31,BX31,BU31,BR31,BO31,BL31,BI31,BF31,BC31,AZ31,AW31))</f>
        <v/>
      </c>
      <c r="H31" s="10">
        <f>IF(COUNT(DL31,DI31,DF31,DC31,CZ31,CW31,CT31,CQ31,CN31,CK31,CH31,CE31)=0,"",SUM(DL31,DI31,DF31,DC31,CZ31,CW31,CT31,CQ31,CN31,CK31,CH31,CE31))</f>
        <v/>
      </c>
      <c r="I31" s="10">
        <f>IF(COUNT(DM31,DJ31,DG31,DD31,DA31,CX31,CU31,CR31,CO31,CL31,CI31,CF31)=0,"",SUM(DM31,DJ31,DG31,DD31,DA31,CX31,CU31,CR31,CO31,CL31,CI31,CF31))</f>
        <v/>
      </c>
      <c r="J31" s="10">
        <f>IF(COUNT(DN31,DK31,DH31,DE31,DB31,CY31,CV31,CS31,CP31,CM31,CJ31,CG31)=0,"",SUM(DN31,DK31,DH31,DE31,DB31,CY31,CV31,CS31,CP31,CM31,CJ31,CG31))</f>
        <v/>
      </c>
      <c r="K31" s="11" t="n"/>
      <c r="L31" s="11" t="n">
        <v>16000</v>
      </c>
      <c r="M31" s="11" t="n">
        <v>16000</v>
      </c>
      <c r="N31" s="10" t="n"/>
      <c r="O31" s="10" t="n">
        <v>16000</v>
      </c>
      <c r="P31" s="10" t="n">
        <v>16000</v>
      </c>
      <c r="Q31" s="11" t="n"/>
      <c r="R31" s="11" t="n">
        <v>16000</v>
      </c>
      <c r="S31" s="11" t="n">
        <v>16000</v>
      </c>
      <c r="T31" s="10" t="n"/>
      <c r="U31" s="10" t="n">
        <v>16000</v>
      </c>
      <c r="V31" s="10" t="n">
        <v>16000</v>
      </c>
      <c r="W31" s="11" t="n"/>
      <c r="X31" s="11" t="n">
        <v>16000</v>
      </c>
      <c r="Y31" s="11" t="n">
        <v>16000</v>
      </c>
      <c r="Z31" s="10" t="n"/>
      <c r="AA31" s="10" t="n">
        <v>16000</v>
      </c>
      <c r="AB31" s="10" t="n">
        <v>16000</v>
      </c>
      <c r="AC31" s="11" t="n"/>
      <c r="AD31" s="11" t="n">
        <v>16000</v>
      </c>
      <c r="AE31" s="11" t="n">
        <v>16000</v>
      </c>
      <c r="AF31" s="10" t="n"/>
      <c r="AG31" s="10" t="n">
        <v>16000</v>
      </c>
      <c r="AH31" s="10" t="n">
        <v>16000</v>
      </c>
      <c r="AI31" s="11" t="n"/>
      <c r="AJ31" s="11" t="n">
        <v>16000</v>
      </c>
      <c r="AK31" s="11" t="n">
        <v>16000</v>
      </c>
      <c r="AL31" s="10" t="n"/>
      <c r="AM31" s="10" t="n">
        <v>16000</v>
      </c>
      <c r="AN31" s="10" t="n">
        <v>16000</v>
      </c>
      <c r="AO31" s="11" t="n"/>
      <c r="AP31" s="11" t="n">
        <v>16000</v>
      </c>
      <c r="AQ31" s="11" t="n">
        <v>16000</v>
      </c>
      <c r="AR31" s="10" t="n"/>
      <c r="AS31" s="10" t="n">
        <v>16000</v>
      </c>
      <c r="AT31" s="10" t="n">
        <v>16000</v>
      </c>
      <c r="AU31" s="11" t="n"/>
      <c r="AV31" s="11" t="n">
        <v>16000</v>
      </c>
      <c r="AW31" s="11" t="n">
        <v>16000</v>
      </c>
      <c r="AX31" s="10" t="n"/>
      <c r="AY31" s="10" t="n">
        <v>16000</v>
      </c>
      <c r="AZ31" s="10" t="n">
        <v>16000</v>
      </c>
      <c r="BA31" s="11" t="n"/>
      <c r="BB31" s="11" t="n">
        <v>16000</v>
      </c>
      <c r="BC31" s="11" t="n">
        <v>16000</v>
      </c>
      <c r="BD31" s="10" t="n"/>
      <c r="BE31" s="10" t="n">
        <v>16000</v>
      </c>
      <c r="BF31" s="10" t="n">
        <v>16000</v>
      </c>
      <c r="BG31" s="11" t="n"/>
      <c r="BH31" s="11" t="n">
        <v>16000</v>
      </c>
      <c r="BI31" s="11" t="n">
        <v>16000</v>
      </c>
      <c r="BJ31" s="10" t="n"/>
      <c r="BK31" s="10" t="n">
        <v>16000</v>
      </c>
      <c r="BL31" s="10" t="n">
        <v>16000</v>
      </c>
      <c r="BM31" s="11" t="n"/>
      <c r="BN31" s="11" t="n">
        <v>16000</v>
      </c>
      <c r="BO31" s="11" t="n">
        <v>16000</v>
      </c>
      <c r="BP31" s="10" t="n"/>
      <c r="BQ31" s="10" t="n">
        <v>16000</v>
      </c>
      <c r="BR31" s="10" t="n">
        <v>16000</v>
      </c>
      <c r="BS31" s="11" t="n"/>
      <c r="BT31" s="11" t="n">
        <v>16000</v>
      </c>
      <c r="BU31" s="11" t="n">
        <v>16000</v>
      </c>
      <c r="BV31" s="10" t="n"/>
      <c r="BW31" s="10" t="n">
        <v>16000</v>
      </c>
      <c r="BX31" s="10" t="n">
        <v>16000</v>
      </c>
      <c r="BY31" s="11" t="n"/>
      <c r="BZ31" s="11" t="n">
        <v>16000</v>
      </c>
      <c r="CA31" s="11" t="n">
        <v>16000</v>
      </c>
      <c r="CB31" s="10" t="n"/>
      <c r="CC31" s="10" t="n">
        <v>16000</v>
      </c>
      <c r="CD31" s="10" t="n">
        <v>16000</v>
      </c>
      <c r="CE31" s="11" t="n"/>
      <c r="CF31" s="11" t="n">
        <v>16000</v>
      </c>
      <c r="CG31" s="11" t="n">
        <v>16000</v>
      </c>
      <c r="CH31" s="10" t="n"/>
      <c r="CI31" s="10" t="n">
        <v>16000</v>
      </c>
      <c r="CJ31" s="10" t="n">
        <v>16000</v>
      </c>
      <c r="CK31" s="11" t="n"/>
      <c r="CL31" s="11" t="n">
        <v>16000</v>
      </c>
      <c r="CM31" s="11" t="n">
        <v>16000</v>
      </c>
      <c r="CN31" s="10" t="n"/>
      <c r="CO31" s="10" t="n">
        <v>16000</v>
      </c>
      <c r="CP31" s="10" t="n">
        <v>16000</v>
      </c>
      <c r="CQ31" s="11" t="n"/>
      <c r="CR31" s="11" t="n">
        <v>16000</v>
      </c>
      <c r="CS31" s="11" t="n">
        <v>16000</v>
      </c>
      <c r="CT31" s="10" t="n"/>
      <c r="CU31" s="10" t="n">
        <v>16000</v>
      </c>
      <c r="CV31" s="10" t="n">
        <v>16000</v>
      </c>
      <c r="CW31" s="11" t="n"/>
      <c r="CX31" s="11" t="n">
        <v>16000</v>
      </c>
      <c r="CY31" s="11" t="n">
        <v>16000</v>
      </c>
      <c r="CZ31" s="10" t="n"/>
      <c r="DA31" s="10" t="n">
        <v>16000</v>
      </c>
      <c r="DB31" s="10" t="n">
        <v>16000</v>
      </c>
      <c r="DC31" s="11" t="n"/>
      <c r="DD31" s="11" t="n">
        <v>16000</v>
      </c>
      <c r="DE31" s="11" t="n">
        <v>16000</v>
      </c>
      <c r="DF31" s="10" t="n"/>
      <c r="DG31" s="10" t="n">
        <v>16000</v>
      </c>
      <c r="DH31" s="10" t="n">
        <v>16000</v>
      </c>
      <c r="DI31" s="11" t="n">
        <v>16000</v>
      </c>
      <c r="DJ31" s="11" t="n">
        <v>16000</v>
      </c>
      <c r="DK31" s="11" t="n">
        <v>16000</v>
      </c>
      <c r="DL31" s="10" t="n">
        <v>16000</v>
      </c>
      <c r="DM31" s="10" t="n">
        <v>16000</v>
      </c>
      <c r="DN31" s="10" t="n">
        <v>16000</v>
      </c>
    </row>
    <row r="32">
      <c r="A32" s="2" t="inlineStr">
        <is>
          <t>Senior Developer</t>
        </is>
      </c>
      <c r="B32" s="10">
        <f>IF(COUNT(AR32,AO32,AL32,AI32,AF32,AC32,Z32,W32,T32,Q32,N32,K32)=0,"",SUM(AR32,AO32,AL32,AI32,AF32,AC32,Z32,W32,T32,Q32,N32,K32))</f>
        <v/>
      </c>
      <c r="C32" s="10">
        <f>IF(COUNT(AS32,AP32,AM32,AJ32,AG32,AD32,AA32,X32,U32,R32,O32,L32)=0,"",SUM(AS32,AP32,AM32,AJ32,AG32,AD32,AA32,X32,U32,R32,O32,L32))</f>
        <v/>
      </c>
      <c r="D32" s="10">
        <f>IF(COUNT(AT32,AQ32,AN32,AK32,AH32,AE32,AB32,Y32,V32,S32,P32,M32)=0,"",SUM(AT32,AQ32,AN32,AK32,AH32,AE32,AB32,Y32,V32,S32,P32,M32))</f>
        <v/>
      </c>
      <c r="E32" s="11">
        <f>IF(COUNT(CB32,BY32,BV32,BS32,BP32,BM32,BJ32,BG32,BD32,BA32,AX32,AU32)=0,"",SUM(CB32,BY32,BV32,BS32,BP32,BM32,BJ32,BG32,BD32,BA32,AX32,AU32))</f>
        <v/>
      </c>
      <c r="F32" s="11">
        <f>IF(COUNT(CC32,BZ32,BW32,BT32,BQ32,BN32,BK32,BH32,BE32,BB32,AY32,AV32)=0,"",SUM(CC32,BZ32,BW32,BT32,BQ32,BN32,BK32,BH32,BE32,BB32,AY32,AV32))</f>
        <v/>
      </c>
      <c r="G32" s="11">
        <f>IF(COUNT(CD32,CA32,BX32,BU32,BR32,BO32,BL32,BI32,BF32,BC32,AZ32,AW32)=0,"",SUM(CD32,CA32,BX32,BU32,BR32,BO32,BL32,BI32,BF32,BC32,AZ32,AW32))</f>
        <v/>
      </c>
      <c r="H32" s="10">
        <f>IF(COUNT(DL32,DI32,DF32,DC32,CZ32,CW32,CT32,CQ32,CN32,CK32,CH32,CE32)=0,"",SUM(DL32,DI32,DF32,DC32,CZ32,CW32,CT32,CQ32,CN32,CK32,CH32,CE32))</f>
        <v/>
      </c>
      <c r="I32" s="10">
        <f>IF(COUNT(DM32,DJ32,DG32,DD32,DA32,CX32,CU32,CR32,CO32,CL32,CI32,CF32)=0,"",SUM(DM32,DJ32,DG32,DD32,DA32,CX32,CU32,CR32,CO32,CL32,CI32,CF32))</f>
        <v/>
      </c>
      <c r="J32" s="10">
        <f>IF(COUNT(DN32,DK32,DH32,DE32,DB32,CY32,CV32,CS32,CP32,CM32,CJ32,CG32)=0,"",SUM(DN32,DK32,DH32,DE32,DB32,CY32,CV32,CS32,CP32,CM32,CJ32,CG32))</f>
        <v/>
      </c>
      <c r="K32" s="11" t="n"/>
      <c r="L32" s="11" t="n">
        <v>15000</v>
      </c>
      <c r="M32" s="11" t="n">
        <v>15000</v>
      </c>
      <c r="N32" s="10" t="n"/>
      <c r="O32" s="10" t="n">
        <v>15000</v>
      </c>
      <c r="P32" s="10" t="n">
        <v>15000</v>
      </c>
      <c r="Q32" s="11" t="n"/>
      <c r="R32" s="11" t="n">
        <v>15000</v>
      </c>
      <c r="S32" s="11" t="n">
        <v>15000</v>
      </c>
      <c r="T32" s="10" t="n"/>
      <c r="U32" s="10" t="n">
        <v>15000</v>
      </c>
      <c r="V32" s="10" t="n">
        <v>15000</v>
      </c>
      <c r="W32" s="11" t="n"/>
      <c r="X32" s="11" t="n">
        <v>15000</v>
      </c>
      <c r="Y32" s="11" t="n">
        <v>15000</v>
      </c>
      <c r="Z32" s="10" t="n"/>
      <c r="AA32" s="10" t="n">
        <v>15000</v>
      </c>
      <c r="AB32" s="10" t="n">
        <v>15000</v>
      </c>
      <c r="AC32" s="11" t="n"/>
      <c r="AD32" s="11" t="n">
        <v>15000</v>
      </c>
      <c r="AE32" s="11" t="n">
        <v>15000</v>
      </c>
      <c r="AF32" s="10" t="n"/>
      <c r="AG32" s="10" t="n">
        <v>15000</v>
      </c>
      <c r="AH32" s="10" t="n">
        <v>15000</v>
      </c>
      <c r="AI32" s="11" t="n"/>
      <c r="AJ32" s="11" t="n">
        <v>15000</v>
      </c>
      <c r="AK32" s="11" t="n">
        <v>15000</v>
      </c>
      <c r="AL32" s="10" t="n"/>
      <c r="AM32" s="10" t="n">
        <v>15000</v>
      </c>
      <c r="AN32" s="10" t="n">
        <v>15000</v>
      </c>
      <c r="AO32" s="11" t="n"/>
      <c r="AP32" s="11" t="n">
        <v>15000</v>
      </c>
      <c r="AQ32" s="11" t="n">
        <v>15000</v>
      </c>
      <c r="AR32" s="10" t="n"/>
      <c r="AS32" s="10" t="n">
        <v>15000</v>
      </c>
      <c r="AT32" s="10" t="n">
        <v>15000</v>
      </c>
      <c r="AU32" s="11" t="n"/>
      <c r="AV32" s="11" t="n">
        <v>15000</v>
      </c>
      <c r="AW32" s="11" t="n">
        <v>15000</v>
      </c>
      <c r="AX32" s="10" t="n"/>
      <c r="AY32" s="10" t="n">
        <v>15000</v>
      </c>
      <c r="AZ32" s="10" t="n">
        <v>15000</v>
      </c>
      <c r="BA32" s="11" t="n"/>
      <c r="BB32" s="11" t="n">
        <v>15000</v>
      </c>
      <c r="BC32" s="11" t="n">
        <v>15000</v>
      </c>
      <c r="BD32" s="10" t="n"/>
      <c r="BE32" s="10" t="n">
        <v>15000</v>
      </c>
      <c r="BF32" s="10" t="n">
        <v>15000</v>
      </c>
      <c r="BG32" s="11" t="n"/>
      <c r="BH32" s="11" t="n">
        <v>15000</v>
      </c>
      <c r="BI32" s="11" t="n">
        <v>15000</v>
      </c>
      <c r="BJ32" s="10" t="n"/>
      <c r="BK32" s="10" t="n">
        <v>15000</v>
      </c>
      <c r="BL32" s="10" t="n">
        <v>15000</v>
      </c>
      <c r="BM32" s="11" t="n"/>
      <c r="BN32" s="11" t="n">
        <v>15000</v>
      </c>
      <c r="BO32" s="11" t="n">
        <v>15000</v>
      </c>
      <c r="BP32" s="10" t="n"/>
      <c r="BQ32" s="10" t="n">
        <v>15000</v>
      </c>
      <c r="BR32" s="10" t="n">
        <v>15000</v>
      </c>
      <c r="BS32" s="11" t="n"/>
      <c r="BT32" s="11" t="n">
        <v>15000</v>
      </c>
      <c r="BU32" s="11" t="n">
        <v>15000</v>
      </c>
      <c r="BV32" s="10" t="n"/>
      <c r="BW32" s="10" t="n">
        <v>15000</v>
      </c>
      <c r="BX32" s="10" t="n">
        <v>15000</v>
      </c>
      <c r="BY32" s="11" t="n"/>
      <c r="BZ32" s="11" t="n">
        <v>15000</v>
      </c>
      <c r="CA32" s="11" t="n">
        <v>15000</v>
      </c>
      <c r="CB32" s="10" t="n"/>
      <c r="CC32" s="10" t="n">
        <v>15000</v>
      </c>
      <c r="CD32" s="10" t="n">
        <v>15000</v>
      </c>
      <c r="CE32" s="11" t="n"/>
      <c r="CF32" s="11" t="n">
        <v>15000</v>
      </c>
      <c r="CG32" s="11" t="n">
        <v>15000</v>
      </c>
      <c r="CH32" s="10" t="n"/>
      <c r="CI32" s="10" t="n">
        <v>15000</v>
      </c>
      <c r="CJ32" s="10" t="n">
        <v>15000</v>
      </c>
      <c r="CK32" s="11" t="n"/>
      <c r="CL32" s="11" t="n">
        <v>15000</v>
      </c>
      <c r="CM32" s="11" t="n">
        <v>15000</v>
      </c>
      <c r="CN32" s="10" t="n"/>
      <c r="CO32" s="10" t="n">
        <v>15000</v>
      </c>
      <c r="CP32" s="10" t="n">
        <v>15000</v>
      </c>
      <c r="CQ32" s="11" t="n"/>
      <c r="CR32" s="11" t="n">
        <v>15000</v>
      </c>
      <c r="CS32" s="11" t="n">
        <v>15000</v>
      </c>
      <c r="CT32" s="10" t="n"/>
      <c r="CU32" s="10" t="n">
        <v>15000</v>
      </c>
      <c r="CV32" s="10" t="n">
        <v>15000</v>
      </c>
      <c r="CW32" s="11" t="n"/>
      <c r="CX32" s="11" t="n">
        <v>15000</v>
      </c>
      <c r="CY32" s="11" t="n">
        <v>15000</v>
      </c>
      <c r="CZ32" s="10" t="n"/>
      <c r="DA32" s="10" t="n">
        <v>15000</v>
      </c>
      <c r="DB32" s="10" t="n">
        <v>15000</v>
      </c>
      <c r="DC32" s="11" t="n"/>
      <c r="DD32" s="11" t="n">
        <v>15000</v>
      </c>
      <c r="DE32" s="11" t="n">
        <v>15000</v>
      </c>
      <c r="DF32" s="10" t="n"/>
      <c r="DG32" s="10" t="n">
        <v>15000</v>
      </c>
      <c r="DH32" s="10" t="n">
        <v>15000</v>
      </c>
      <c r="DI32" s="11" t="n">
        <v>15000</v>
      </c>
      <c r="DJ32" s="11" t="n">
        <v>15000</v>
      </c>
      <c r="DK32" s="11" t="n">
        <v>15000</v>
      </c>
      <c r="DL32" s="10" t="n">
        <v>15000</v>
      </c>
      <c r="DM32" s="10" t="n">
        <v>15000</v>
      </c>
      <c r="DN32" s="10" t="n">
        <v>15000</v>
      </c>
    </row>
    <row r="33">
      <c r="A33" s="2" t="inlineStr">
        <is>
          <t>Senior Developer</t>
        </is>
      </c>
      <c r="B33" s="10">
        <f>IF(COUNT(AR33,AO33,AL33,AI33,AF33,AC33,Z33,W33,T33,Q33,N33,K33)=0,"",SUM(AR33,AO33,AL33,AI33,AF33,AC33,Z33,W33,T33,Q33,N33,K33))</f>
        <v/>
      </c>
      <c r="C33" s="10">
        <f>IF(COUNT(AS33,AP33,AM33,AJ33,AG33,AD33,AA33,X33,U33,R33,O33,L33)=0,"",SUM(AS33,AP33,AM33,AJ33,AG33,AD33,AA33,X33,U33,R33,O33,L33))</f>
        <v/>
      </c>
      <c r="D33" s="10">
        <f>IF(COUNT(AT33,AQ33,AN33,AK33,AH33,AE33,AB33,Y33,V33,S33,P33,M33)=0,"",SUM(AT33,AQ33,AN33,AK33,AH33,AE33,AB33,Y33,V33,S33,P33,M33))</f>
        <v/>
      </c>
      <c r="E33" s="11">
        <f>IF(COUNT(CB33,BY33,BV33,BS33,BP33,BM33,BJ33,BG33,BD33,BA33,AX33,AU33)=0,"",SUM(CB33,BY33,BV33,BS33,BP33,BM33,BJ33,BG33,BD33,BA33,AX33,AU33))</f>
        <v/>
      </c>
      <c r="F33" s="11">
        <f>IF(COUNT(CC33,BZ33,BW33,BT33,BQ33,BN33,BK33,BH33,BE33,BB33,AY33,AV33)=0,"",SUM(CC33,BZ33,BW33,BT33,BQ33,BN33,BK33,BH33,BE33,BB33,AY33,AV33))</f>
        <v/>
      </c>
      <c r="G33" s="11">
        <f>IF(COUNT(CD33,CA33,BX33,BU33,BR33,BO33,BL33,BI33,BF33,BC33,AZ33,AW33)=0,"",SUM(CD33,CA33,BX33,BU33,BR33,BO33,BL33,BI33,BF33,BC33,AZ33,AW33))</f>
        <v/>
      </c>
      <c r="H33" s="10">
        <f>IF(COUNT(DL33,DI33,DF33,DC33,CZ33,CW33,CT33,CQ33,CN33,CK33,CH33,CE33)=0,"",SUM(DL33,DI33,DF33,DC33,CZ33,CW33,CT33,CQ33,CN33,CK33,CH33,CE33))</f>
        <v/>
      </c>
      <c r="I33" s="10">
        <f>IF(COUNT(DM33,DJ33,DG33,DD33,DA33,CX33,CU33,CR33,CO33,CL33,CI33,CF33)=0,"",SUM(DM33,DJ33,DG33,DD33,DA33,CX33,CU33,CR33,CO33,CL33,CI33,CF33))</f>
        <v/>
      </c>
      <c r="J33" s="10">
        <f>IF(COUNT(DN33,DK33,DH33,DE33,DB33,CY33,CV33,CS33,CP33,CM33,CJ33,CG33)=0,"",SUM(DN33,DK33,DH33,DE33,DB33,CY33,CV33,CS33,CP33,CM33,CJ33,CG33))</f>
        <v/>
      </c>
      <c r="K33" s="11" t="n"/>
      <c r="L33" s="11" t="n">
        <v>15000</v>
      </c>
      <c r="M33" s="11" t="n">
        <v>15000</v>
      </c>
      <c r="N33" s="10" t="n"/>
      <c r="O33" s="10" t="n">
        <v>15000</v>
      </c>
      <c r="P33" s="10" t="n">
        <v>15000</v>
      </c>
      <c r="Q33" s="11" t="n"/>
      <c r="R33" s="11" t="n">
        <v>15000</v>
      </c>
      <c r="S33" s="11" t="n">
        <v>15000</v>
      </c>
      <c r="T33" s="10" t="n"/>
      <c r="U33" s="10" t="n">
        <v>15000</v>
      </c>
      <c r="V33" s="10" t="n">
        <v>15000</v>
      </c>
      <c r="W33" s="11" t="n"/>
      <c r="X33" s="11" t="n">
        <v>15000</v>
      </c>
      <c r="Y33" s="11" t="n">
        <v>15000</v>
      </c>
      <c r="Z33" s="10" t="n"/>
      <c r="AA33" s="10" t="n">
        <v>15000</v>
      </c>
      <c r="AB33" s="10" t="n">
        <v>15000</v>
      </c>
      <c r="AC33" s="11" t="n"/>
      <c r="AD33" s="11" t="n">
        <v>15000</v>
      </c>
      <c r="AE33" s="11" t="n">
        <v>15000</v>
      </c>
      <c r="AF33" s="10" t="n"/>
      <c r="AG33" s="10" t="n">
        <v>15000</v>
      </c>
      <c r="AH33" s="10" t="n">
        <v>15000</v>
      </c>
      <c r="AI33" s="11" t="n"/>
      <c r="AJ33" s="11" t="n">
        <v>15000</v>
      </c>
      <c r="AK33" s="11" t="n">
        <v>15000</v>
      </c>
      <c r="AL33" s="10" t="n"/>
      <c r="AM33" s="10" t="n">
        <v>15000</v>
      </c>
      <c r="AN33" s="10" t="n">
        <v>15000</v>
      </c>
      <c r="AO33" s="11" t="n"/>
      <c r="AP33" s="11" t="n">
        <v>15000</v>
      </c>
      <c r="AQ33" s="11" t="n">
        <v>15000</v>
      </c>
      <c r="AR33" s="10" t="n"/>
      <c r="AS33" s="10" t="n">
        <v>15000</v>
      </c>
      <c r="AT33" s="10" t="n">
        <v>15000</v>
      </c>
      <c r="AU33" s="11" t="n"/>
      <c r="AV33" s="11" t="n">
        <v>15000</v>
      </c>
      <c r="AW33" s="11" t="n">
        <v>15000</v>
      </c>
      <c r="AX33" s="10" t="n"/>
      <c r="AY33" s="10" t="n">
        <v>15000</v>
      </c>
      <c r="AZ33" s="10" t="n">
        <v>15000</v>
      </c>
      <c r="BA33" s="11" t="n"/>
      <c r="BB33" s="11" t="n">
        <v>15000</v>
      </c>
      <c r="BC33" s="11" t="n">
        <v>15000</v>
      </c>
      <c r="BD33" s="10" t="n"/>
      <c r="BE33" s="10" t="n">
        <v>15000</v>
      </c>
      <c r="BF33" s="10" t="n">
        <v>15000</v>
      </c>
      <c r="BG33" s="11" t="n"/>
      <c r="BH33" s="11" t="n">
        <v>15000</v>
      </c>
      <c r="BI33" s="11" t="n">
        <v>15000</v>
      </c>
      <c r="BJ33" s="10" t="n"/>
      <c r="BK33" s="10" t="n">
        <v>15000</v>
      </c>
      <c r="BL33" s="10" t="n">
        <v>15000</v>
      </c>
      <c r="BM33" s="11" t="n"/>
      <c r="BN33" s="11" t="n">
        <v>15000</v>
      </c>
      <c r="BO33" s="11" t="n">
        <v>15000</v>
      </c>
      <c r="BP33" s="10" t="n"/>
      <c r="BQ33" s="10" t="n">
        <v>15000</v>
      </c>
      <c r="BR33" s="10" t="n">
        <v>15000</v>
      </c>
      <c r="BS33" s="11" t="n"/>
      <c r="BT33" s="11" t="n">
        <v>15000</v>
      </c>
      <c r="BU33" s="11" t="n">
        <v>15000</v>
      </c>
      <c r="BV33" s="10" t="n"/>
      <c r="BW33" s="10" t="n">
        <v>15000</v>
      </c>
      <c r="BX33" s="10" t="n">
        <v>15000</v>
      </c>
      <c r="BY33" s="11" t="n"/>
      <c r="BZ33" s="11" t="n">
        <v>15000</v>
      </c>
      <c r="CA33" s="11" t="n">
        <v>15000</v>
      </c>
      <c r="CB33" s="10" t="n"/>
      <c r="CC33" s="10" t="n">
        <v>15000</v>
      </c>
      <c r="CD33" s="10" t="n">
        <v>15000</v>
      </c>
      <c r="CE33" s="11" t="n"/>
      <c r="CF33" s="11" t="n">
        <v>15000</v>
      </c>
      <c r="CG33" s="11" t="n">
        <v>15000</v>
      </c>
      <c r="CH33" s="10" t="n"/>
      <c r="CI33" s="10" t="n">
        <v>15000</v>
      </c>
      <c r="CJ33" s="10" t="n">
        <v>15000</v>
      </c>
      <c r="CK33" s="11" t="n"/>
      <c r="CL33" s="11" t="n">
        <v>15000</v>
      </c>
      <c r="CM33" s="11" t="n">
        <v>15000</v>
      </c>
      <c r="CN33" s="10" t="n"/>
      <c r="CO33" s="10" t="n">
        <v>15000</v>
      </c>
      <c r="CP33" s="10" t="n">
        <v>15000</v>
      </c>
      <c r="CQ33" s="11" t="n"/>
      <c r="CR33" s="11" t="n">
        <v>15000</v>
      </c>
      <c r="CS33" s="11" t="n">
        <v>15000</v>
      </c>
      <c r="CT33" s="10" t="n"/>
      <c r="CU33" s="10" t="n">
        <v>15000</v>
      </c>
      <c r="CV33" s="10" t="n">
        <v>15000</v>
      </c>
      <c r="CW33" s="11" t="n"/>
      <c r="CX33" s="11" t="n">
        <v>15000</v>
      </c>
      <c r="CY33" s="11" t="n">
        <v>15000</v>
      </c>
      <c r="CZ33" s="10" t="n"/>
      <c r="DA33" s="10" t="n">
        <v>15000</v>
      </c>
      <c r="DB33" s="10" t="n">
        <v>15000</v>
      </c>
      <c r="DC33" s="11" t="n"/>
      <c r="DD33" s="11" t="n">
        <v>15000</v>
      </c>
      <c r="DE33" s="11" t="n">
        <v>15000</v>
      </c>
      <c r="DF33" s="10" t="n"/>
      <c r="DG33" s="10" t="n">
        <v>15000</v>
      </c>
      <c r="DH33" s="10" t="n">
        <v>15000</v>
      </c>
      <c r="DI33" s="11" t="n">
        <v>15000</v>
      </c>
      <c r="DJ33" s="11" t="n">
        <v>15000</v>
      </c>
      <c r="DK33" s="11" t="n">
        <v>15000</v>
      </c>
      <c r="DL33" s="10" t="n">
        <v>15000</v>
      </c>
      <c r="DM33" s="10" t="n">
        <v>15000</v>
      </c>
      <c r="DN33" s="10" t="n">
        <v>15000</v>
      </c>
    </row>
    <row r="34">
      <c r="A34" s="2" t="inlineStr">
        <is>
          <t>Developer</t>
        </is>
      </c>
      <c r="B34" s="10">
        <f>IF(COUNT(AR34,AO34,AL34,AI34,AF34,AC34,Z34,W34,T34,Q34,N34,K34)=0,"",SUM(AR34,AO34,AL34,AI34,AF34,AC34,Z34,W34,T34,Q34,N34,K34))</f>
        <v/>
      </c>
      <c r="C34" s="10">
        <f>IF(COUNT(AS34,AP34,AM34,AJ34,AG34,AD34,AA34,X34,U34,R34,O34,L34)=0,"",SUM(AS34,AP34,AM34,AJ34,AG34,AD34,AA34,X34,U34,R34,O34,L34))</f>
        <v/>
      </c>
      <c r="D34" s="10">
        <f>IF(COUNT(AT34,AQ34,AN34,AK34,AH34,AE34,AB34,Y34,V34,S34,P34,M34)=0,"",SUM(AT34,AQ34,AN34,AK34,AH34,AE34,AB34,Y34,V34,S34,P34,M34))</f>
        <v/>
      </c>
      <c r="E34" s="11">
        <f>IF(COUNT(CB34,BY34,BV34,BS34,BP34,BM34,BJ34,BG34,BD34,BA34,AX34,AU34)=0,"",SUM(CB34,BY34,BV34,BS34,BP34,BM34,BJ34,BG34,BD34,BA34,AX34,AU34))</f>
        <v/>
      </c>
      <c r="F34" s="11">
        <f>IF(COUNT(CC34,BZ34,BW34,BT34,BQ34,BN34,BK34,BH34,BE34,BB34,AY34,AV34)=0,"",SUM(CC34,BZ34,BW34,BT34,BQ34,BN34,BK34,BH34,BE34,BB34,AY34,AV34))</f>
        <v/>
      </c>
      <c r="G34" s="11">
        <f>IF(COUNT(CD34,CA34,BX34,BU34,BR34,BO34,BL34,BI34,BF34,BC34,AZ34,AW34)=0,"",SUM(CD34,CA34,BX34,BU34,BR34,BO34,BL34,BI34,BF34,BC34,AZ34,AW34))</f>
        <v/>
      </c>
      <c r="H34" s="10">
        <f>IF(COUNT(DL34,DI34,DF34,DC34,CZ34,CW34,CT34,CQ34,CN34,CK34,CH34,CE34)=0,"",SUM(DL34,DI34,DF34,DC34,CZ34,CW34,CT34,CQ34,CN34,CK34,CH34,CE34))</f>
        <v/>
      </c>
      <c r="I34" s="10">
        <f>IF(COUNT(DM34,DJ34,DG34,DD34,DA34,CX34,CU34,CR34,CO34,CL34,CI34,CF34)=0,"",SUM(DM34,DJ34,DG34,DD34,DA34,CX34,CU34,CR34,CO34,CL34,CI34,CF34))</f>
        <v/>
      </c>
      <c r="J34" s="10">
        <f>IF(COUNT(DN34,DK34,DH34,DE34,DB34,CY34,CV34,CS34,CP34,CM34,CJ34,CG34)=0,"",SUM(DN34,DK34,DH34,DE34,DB34,CY34,CV34,CS34,CP34,CM34,CJ34,CG34))</f>
        <v/>
      </c>
      <c r="K34" s="11" t="n"/>
      <c r="L34" s="11" t="n">
        <v>13000</v>
      </c>
      <c r="M34" s="11" t="n">
        <v>13000</v>
      </c>
      <c r="N34" s="10" t="n"/>
      <c r="O34" s="10" t="n">
        <v>13000</v>
      </c>
      <c r="P34" s="10" t="n">
        <v>13000</v>
      </c>
      <c r="Q34" s="11" t="n"/>
      <c r="R34" s="11" t="n">
        <v>13000</v>
      </c>
      <c r="S34" s="11" t="n">
        <v>13000</v>
      </c>
      <c r="T34" s="10" t="n"/>
      <c r="U34" s="10" t="n">
        <v>13000</v>
      </c>
      <c r="V34" s="10" t="n">
        <v>13000</v>
      </c>
      <c r="W34" s="11" t="n"/>
      <c r="X34" s="11" t="n">
        <v>13000</v>
      </c>
      <c r="Y34" s="11" t="n">
        <v>13000</v>
      </c>
      <c r="Z34" s="10" t="n"/>
      <c r="AA34" s="10" t="n">
        <v>13000</v>
      </c>
      <c r="AB34" s="10" t="n">
        <v>13000</v>
      </c>
      <c r="AC34" s="11" t="n"/>
      <c r="AD34" s="11" t="n">
        <v>13000</v>
      </c>
      <c r="AE34" s="11" t="n">
        <v>13000</v>
      </c>
      <c r="AF34" s="10" t="n"/>
      <c r="AG34" s="10" t="n">
        <v>13000</v>
      </c>
      <c r="AH34" s="10" t="n">
        <v>13000</v>
      </c>
      <c r="AI34" s="11" t="n"/>
      <c r="AJ34" s="11" t="n">
        <v>13000</v>
      </c>
      <c r="AK34" s="11" t="n">
        <v>13000</v>
      </c>
      <c r="AL34" s="10" t="n"/>
      <c r="AM34" s="10" t="n">
        <v>13000</v>
      </c>
      <c r="AN34" s="10" t="n">
        <v>13000</v>
      </c>
      <c r="AO34" s="11" t="n"/>
      <c r="AP34" s="11" t="n">
        <v>13000</v>
      </c>
      <c r="AQ34" s="11" t="n">
        <v>13000</v>
      </c>
      <c r="AR34" s="10" t="n"/>
      <c r="AS34" s="10" t="n">
        <v>13000</v>
      </c>
      <c r="AT34" s="10" t="n">
        <v>13000</v>
      </c>
      <c r="AU34" s="11" t="n"/>
      <c r="AV34" s="11" t="n">
        <v>13000</v>
      </c>
      <c r="AW34" s="11" t="n">
        <v>13000</v>
      </c>
      <c r="AX34" s="10" t="n"/>
      <c r="AY34" s="10" t="n">
        <v>13000</v>
      </c>
      <c r="AZ34" s="10" t="n">
        <v>13000</v>
      </c>
      <c r="BA34" s="11" t="n"/>
      <c r="BB34" s="11" t="n">
        <v>13000</v>
      </c>
      <c r="BC34" s="11" t="n">
        <v>13000</v>
      </c>
      <c r="BD34" s="10" t="n"/>
      <c r="BE34" s="10" t="n">
        <v>13000</v>
      </c>
      <c r="BF34" s="10" t="n">
        <v>13000</v>
      </c>
      <c r="BG34" s="11" t="n"/>
      <c r="BH34" s="11" t="n">
        <v>13000</v>
      </c>
      <c r="BI34" s="11" t="n">
        <v>13000</v>
      </c>
      <c r="BJ34" s="10" t="n"/>
      <c r="BK34" s="10" t="n">
        <v>13000</v>
      </c>
      <c r="BL34" s="10" t="n">
        <v>13000</v>
      </c>
      <c r="BM34" s="11" t="n"/>
      <c r="BN34" s="11" t="n">
        <v>13000</v>
      </c>
      <c r="BO34" s="11" t="n">
        <v>13000</v>
      </c>
      <c r="BP34" s="10" t="n"/>
      <c r="BQ34" s="10" t="n">
        <v>13000</v>
      </c>
      <c r="BR34" s="10" t="n">
        <v>13000</v>
      </c>
      <c r="BS34" s="11" t="n"/>
      <c r="BT34" s="11" t="n">
        <v>13000</v>
      </c>
      <c r="BU34" s="11" t="n">
        <v>13000</v>
      </c>
      <c r="BV34" s="10" t="n"/>
      <c r="BW34" s="10" t="n">
        <v>13000</v>
      </c>
      <c r="BX34" s="10" t="n">
        <v>13000</v>
      </c>
      <c r="BY34" s="11" t="n"/>
      <c r="BZ34" s="11" t="n">
        <v>13000</v>
      </c>
      <c r="CA34" s="11" t="n">
        <v>13000</v>
      </c>
      <c r="CB34" s="10" t="n"/>
      <c r="CC34" s="10" t="n">
        <v>13000</v>
      </c>
      <c r="CD34" s="10" t="n">
        <v>13000</v>
      </c>
      <c r="CE34" s="11" t="n"/>
      <c r="CF34" s="11" t="n">
        <v>13000</v>
      </c>
      <c r="CG34" s="11" t="n">
        <v>13000</v>
      </c>
      <c r="CH34" s="10" t="n"/>
      <c r="CI34" s="10" t="n">
        <v>13000</v>
      </c>
      <c r="CJ34" s="10" t="n">
        <v>13000</v>
      </c>
      <c r="CK34" s="11" t="n"/>
      <c r="CL34" s="11" t="n">
        <v>13000</v>
      </c>
      <c r="CM34" s="11" t="n">
        <v>13000</v>
      </c>
      <c r="CN34" s="10" t="n"/>
      <c r="CO34" s="10" t="n">
        <v>13000</v>
      </c>
      <c r="CP34" s="10" t="n">
        <v>13000</v>
      </c>
      <c r="CQ34" s="11" t="n"/>
      <c r="CR34" s="11" t="n">
        <v>13000</v>
      </c>
      <c r="CS34" s="11" t="n">
        <v>13000</v>
      </c>
      <c r="CT34" s="10" t="n"/>
      <c r="CU34" s="10" t="n">
        <v>13000</v>
      </c>
      <c r="CV34" s="10" t="n">
        <v>13000</v>
      </c>
      <c r="CW34" s="11" t="n"/>
      <c r="CX34" s="11" t="n">
        <v>13000</v>
      </c>
      <c r="CY34" s="11" t="n">
        <v>13000</v>
      </c>
      <c r="CZ34" s="10" t="n"/>
      <c r="DA34" s="10" t="n">
        <v>13000</v>
      </c>
      <c r="DB34" s="10" t="n">
        <v>13000</v>
      </c>
      <c r="DC34" s="11" t="n"/>
      <c r="DD34" s="11" t="n">
        <v>13000</v>
      </c>
      <c r="DE34" s="11" t="n">
        <v>13000</v>
      </c>
      <c r="DF34" s="10" t="n"/>
      <c r="DG34" s="10" t="n">
        <v>13000</v>
      </c>
      <c r="DH34" s="10" t="n">
        <v>13000</v>
      </c>
      <c r="DI34" s="11" t="n">
        <v>13000</v>
      </c>
      <c r="DJ34" s="11" t="n">
        <v>13000</v>
      </c>
      <c r="DK34" s="11" t="n">
        <v>13000</v>
      </c>
      <c r="DL34" s="10" t="n">
        <v>13000</v>
      </c>
      <c r="DM34" s="10" t="n">
        <v>13000</v>
      </c>
      <c r="DN34" s="10" t="n">
        <v>13000</v>
      </c>
    </row>
    <row r="35">
      <c r="A35" s="2" t="inlineStr">
        <is>
          <t>Developer</t>
        </is>
      </c>
      <c r="B35" s="10">
        <f>IF(COUNT(AR35,AO35,AL35,AI35,AF35,AC35,Z35,W35,T35,Q35,N35,K35)=0,"",SUM(AR35,AO35,AL35,AI35,AF35,AC35,Z35,W35,T35,Q35,N35,K35))</f>
        <v/>
      </c>
      <c r="C35" s="10">
        <f>IF(COUNT(AS35,AP35,AM35,AJ35,AG35,AD35,AA35,X35,U35,R35,O35,L35)=0,"",SUM(AS35,AP35,AM35,AJ35,AG35,AD35,AA35,X35,U35,R35,O35,L35))</f>
        <v/>
      </c>
      <c r="D35" s="10">
        <f>IF(COUNT(AT35,AQ35,AN35,AK35,AH35,AE35,AB35,Y35,V35,S35,P35,M35)=0,"",SUM(AT35,AQ35,AN35,AK35,AH35,AE35,AB35,Y35,V35,S35,P35,M35))</f>
        <v/>
      </c>
      <c r="E35" s="11">
        <f>IF(COUNT(CB35,BY35,BV35,BS35,BP35,BM35,BJ35,BG35,BD35,BA35,AX35,AU35)=0,"",SUM(CB35,BY35,BV35,BS35,BP35,BM35,BJ35,BG35,BD35,BA35,AX35,AU35))</f>
        <v/>
      </c>
      <c r="F35" s="11">
        <f>IF(COUNT(CC35,BZ35,BW35,BT35,BQ35,BN35,BK35,BH35,BE35,BB35,AY35,AV35)=0,"",SUM(CC35,BZ35,BW35,BT35,BQ35,BN35,BK35,BH35,BE35,BB35,AY35,AV35))</f>
        <v/>
      </c>
      <c r="G35" s="11">
        <f>IF(COUNT(CD35,CA35,BX35,BU35,BR35,BO35,BL35,BI35,BF35,BC35,AZ35,AW35)=0,"",SUM(CD35,CA35,BX35,BU35,BR35,BO35,BL35,BI35,BF35,BC35,AZ35,AW35))</f>
        <v/>
      </c>
      <c r="H35" s="10">
        <f>IF(COUNT(DL35,DI35,DF35,DC35,CZ35,CW35,CT35,CQ35,CN35,CK35,CH35,CE35)=0,"",SUM(DL35,DI35,DF35,DC35,CZ35,CW35,CT35,CQ35,CN35,CK35,CH35,CE35))</f>
        <v/>
      </c>
      <c r="I35" s="10">
        <f>IF(COUNT(DM35,DJ35,DG35,DD35,DA35,CX35,CU35,CR35,CO35,CL35,CI35,CF35)=0,"",SUM(DM35,DJ35,DG35,DD35,DA35,CX35,CU35,CR35,CO35,CL35,CI35,CF35))</f>
        <v/>
      </c>
      <c r="J35" s="10">
        <f>IF(COUNT(DN35,DK35,DH35,DE35,DB35,CY35,CV35,CS35,CP35,CM35,CJ35,CG35)=0,"",SUM(DN35,DK35,DH35,DE35,DB35,CY35,CV35,CS35,CP35,CM35,CJ35,CG35))</f>
        <v/>
      </c>
      <c r="K35" s="11" t="n"/>
      <c r="L35" s="11" t="n">
        <v>13000</v>
      </c>
      <c r="M35" s="11" t="n">
        <v>13000</v>
      </c>
      <c r="N35" s="10" t="n"/>
      <c r="O35" s="10" t="n">
        <v>13000</v>
      </c>
      <c r="P35" s="10" t="n">
        <v>13000</v>
      </c>
      <c r="Q35" s="11" t="n"/>
      <c r="R35" s="11" t="n">
        <v>13000</v>
      </c>
      <c r="S35" s="11" t="n">
        <v>13000</v>
      </c>
      <c r="T35" s="10" t="n"/>
      <c r="U35" s="10" t="n">
        <v>13000</v>
      </c>
      <c r="V35" s="10" t="n">
        <v>13000</v>
      </c>
      <c r="W35" s="11" t="n"/>
      <c r="X35" s="11" t="n">
        <v>13000</v>
      </c>
      <c r="Y35" s="11" t="n">
        <v>13000</v>
      </c>
      <c r="Z35" s="10" t="n"/>
      <c r="AA35" s="10" t="n">
        <v>13000</v>
      </c>
      <c r="AB35" s="10" t="n">
        <v>13000</v>
      </c>
      <c r="AC35" s="11" t="n"/>
      <c r="AD35" s="11" t="n">
        <v>13000</v>
      </c>
      <c r="AE35" s="11" t="n">
        <v>13000</v>
      </c>
      <c r="AF35" s="10" t="n"/>
      <c r="AG35" s="10" t="n">
        <v>13000</v>
      </c>
      <c r="AH35" s="10" t="n">
        <v>13000</v>
      </c>
      <c r="AI35" s="11" t="n"/>
      <c r="AJ35" s="11" t="n">
        <v>13000</v>
      </c>
      <c r="AK35" s="11" t="n">
        <v>13000</v>
      </c>
      <c r="AL35" s="10" t="n"/>
      <c r="AM35" s="10" t="n">
        <v>13000</v>
      </c>
      <c r="AN35" s="10" t="n">
        <v>13000</v>
      </c>
      <c r="AO35" s="11" t="n"/>
      <c r="AP35" s="11" t="n">
        <v>13000</v>
      </c>
      <c r="AQ35" s="11" t="n">
        <v>13000</v>
      </c>
      <c r="AR35" s="10" t="n"/>
      <c r="AS35" s="10" t="n">
        <v>13000</v>
      </c>
      <c r="AT35" s="10" t="n">
        <v>13000</v>
      </c>
      <c r="AU35" s="11" t="n"/>
      <c r="AV35" s="11" t="n">
        <v>13000</v>
      </c>
      <c r="AW35" s="11" t="n">
        <v>13000</v>
      </c>
      <c r="AX35" s="10" t="n"/>
      <c r="AY35" s="10" t="n">
        <v>13000</v>
      </c>
      <c r="AZ35" s="10" t="n">
        <v>13000</v>
      </c>
      <c r="BA35" s="11" t="n"/>
      <c r="BB35" s="11" t="n">
        <v>13000</v>
      </c>
      <c r="BC35" s="11" t="n">
        <v>13000</v>
      </c>
      <c r="BD35" s="10" t="n"/>
      <c r="BE35" s="10" t="n">
        <v>13000</v>
      </c>
      <c r="BF35" s="10" t="n">
        <v>13000</v>
      </c>
      <c r="BG35" s="11" t="n"/>
      <c r="BH35" s="11" t="n">
        <v>13000</v>
      </c>
      <c r="BI35" s="11" t="n">
        <v>13000</v>
      </c>
      <c r="BJ35" s="10" t="n"/>
      <c r="BK35" s="10" t="n">
        <v>13000</v>
      </c>
      <c r="BL35" s="10" t="n">
        <v>13000</v>
      </c>
      <c r="BM35" s="11" t="n"/>
      <c r="BN35" s="11" t="n">
        <v>13000</v>
      </c>
      <c r="BO35" s="11" t="n">
        <v>13000</v>
      </c>
      <c r="BP35" s="10" t="n"/>
      <c r="BQ35" s="10" t="n">
        <v>13000</v>
      </c>
      <c r="BR35" s="10" t="n">
        <v>13000</v>
      </c>
      <c r="BS35" s="11" t="n"/>
      <c r="BT35" s="11" t="n">
        <v>13000</v>
      </c>
      <c r="BU35" s="11" t="n">
        <v>13000</v>
      </c>
      <c r="BV35" s="10" t="n"/>
      <c r="BW35" s="10" t="n">
        <v>13000</v>
      </c>
      <c r="BX35" s="10" t="n">
        <v>13000</v>
      </c>
      <c r="BY35" s="11" t="n"/>
      <c r="BZ35" s="11" t="n">
        <v>13000</v>
      </c>
      <c r="CA35" s="11" t="n">
        <v>13000</v>
      </c>
      <c r="CB35" s="10" t="n"/>
      <c r="CC35" s="10" t="n">
        <v>13000</v>
      </c>
      <c r="CD35" s="10" t="n">
        <v>13000</v>
      </c>
      <c r="CE35" s="11" t="n"/>
      <c r="CF35" s="11" t="n">
        <v>13000</v>
      </c>
      <c r="CG35" s="11" t="n">
        <v>13000</v>
      </c>
      <c r="CH35" s="10" t="n"/>
      <c r="CI35" s="10" t="n">
        <v>13000</v>
      </c>
      <c r="CJ35" s="10" t="n">
        <v>13000</v>
      </c>
      <c r="CK35" s="11" t="n"/>
      <c r="CL35" s="11" t="n">
        <v>13000</v>
      </c>
      <c r="CM35" s="11" t="n">
        <v>13000</v>
      </c>
      <c r="CN35" s="10" t="n"/>
      <c r="CO35" s="10" t="n">
        <v>13000</v>
      </c>
      <c r="CP35" s="10" t="n">
        <v>13000</v>
      </c>
      <c r="CQ35" s="11" t="n"/>
      <c r="CR35" s="11" t="n">
        <v>13000</v>
      </c>
      <c r="CS35" s="11" t="n">
        <v>13000</v>
      </c>
      <c r="CT35" s="10" t="n"/>
      <c r="CU35" s="10" t="n">
        <v>13000</v>
      </c>
      <c r="CV35" s="10" t="n">
        <v>13000</v>
      </c>
      <c r="CW35" s="11" t="n"/>
      <c r="CX35" s="11" t="n">
        <v>13000</v>
      </c>
      <c r="CY35" s="11" t="n">
        <v>13000</v>
      </c>
      <c r="CZ35" s="10" t="n"/>
      <c r="DA35" s="10" t="n">
        <v>13000</v>
      </c>
      <c r="DB35" s="10" t="n">
        <v>13000</v>
      </c>
      <c r="DC35" s="11" t="n"/>
      <c r="DD35" s="11" t="n">
        <v>13000</v>
      </c>
      <c r="DE35" s="11" t="n">
        <v>13000</v>
      </c>
      <c r="DF35" s="10" t="n"/>
      <c r="DG35" s="10" t="n">
        <v>13000</v>
      </c>
      <c r="DH35" s="10" t="n">
        <v>13000</v>
      </c>
      <c r="DI35" s="11" t="n">
        <v>13000</v>
      </c>
      <c r="DJ35" s="11" t="n">
        <v>13000</v>
      </c>
      <c r="DK35" s="11" t="n">
        <v>13000</v>
      </c>
      <c r="DL35" s="10" t="n">
        <v>13000</v>
      </c>
      <c r="DM35" s="10" t="n">
        <v>13000</v>
      </c>
      <c r="DN35" s="10" t="n">
        <v>13000</v>
      </c>
    </row>
    <row r="36">
      <c r="A36" s="2" t="inlineStr">
        <is>
          <t>Developer</t>
        </is>
      </c>
      <c r="B36" s="10">
        <f>IF(COUNT(AR36,AO36,AL36,AI36,AF36,AC36,Z36,W36,T36,Q36,N36,K36)=0,"",SUM(AR36,AO36,AL36,AI36,AF36,AC36,Z36,W36,T36,Q36,N36,K36))</f>
        <v/>
      </c>
      <c r="C36" s="10">
        <f>IF(COUNT(AS36,AP36,AM36,AJ36,AG36,AD36,AA36,X36,U36,R36,O36,L36)=0,"",SUM(AS36,AP36,AM36,AJ36,AG36,AD36,AA36,X36,U36,R36,O36,L36))</f>
        <v/>
      </c>
      <c r="D36" s="10">
        <f>IF(COUNT(AT36,AQ36,AN36,AK36,AH36,AE36,AB36,Y36,V36,S36,P36,M36)=0,"",SUM(AT36,AQ36,AN36,AK36,AH36,AE36,AB36,Y36,V36,S36,P36,M36))</f>
        <v/>
      </c>
      <c r="E36" s="11">
        <f>IF(COUNT(CB36,BY36,BV36,BS36,BP36,BM36,BJ36,BG36,BD36,BA36,AX36,AU36)=0,"",SUM(CB36,BY36,BV36,BS36,BP36,BM36,BJ36,BG36,BD36,BA36,AX36,AU36))</f>
        <v/>
      </c>
      <c r="F36" s="11">
        <f>IF(COUNT(CC36,BZ36,BW36,BT36,BQ36,BN36,BK36,BH36,BE36,BB36,AY36,AV36)=0,"",SUM(CC36,BZ36,BW36,BT36,BQ36,BN36,BK36,BH36,BE36,BB36,AY36,AV36))</f>
        <v/>
      </c>
      <c r="G36" s="11">
        <f>IF(COUNT(CD36,CA36,BX36,BU36,BR36,BO36,BL36,BI36,BF36,BC36,AZ36,AW36)=0,"",SUM(CD36,CA36,BX36,BU36,BR36,BO36,BL36,BI36,BF36,BC36,AZ36,AW36))</f>
        <v/>
      </c>
      <c r="H36" s="10">
        <f>IF(COUNT(DL36,DI36,DF36,DC36,CZ36,CW36,CT36,CQ36,CN36,CK36,CH36,CE36)=0,"",SUM(DL36,DI36,DF36,DC36,CZ36,CW36,CT36,CQ36,CN36,CK36,CH36,CE36))</f>
        <v/>
      </c>
      <c r="I36" s="10">
        <f>IF(COUNT(DM36,DJ36,DG36,DD36,DA36,CX36,CU36,CR36,CO36,CL36,CI36,CF36)=0,"",SUM(DM36,DJ36,DG36,DD36,DA36,CX36,CU36,CR36,CO36,CL36,CI36,CF36))</f>
        <v/>
      </c>
      <c r="J36" s="10">
        <f>IF(COUNT(DN36,DK36,DH36,DE36,DB36,CY36,CV36,CS36,CP36,CM36,CJ36,CG36)=0,"",SUM(DN36,DK36,DH36,DE36,DB36,CY36,CV36,CS36,CP36,CM36,CJ36,CG36))</f>
        <v/>
      </c>
      <c r="K36" s="11" t="n"/>
      <c r="L36" s="11" t="n">
        <v>13000</v>
      </c>
      <c r="M36" s="11" t="n">
        <v>13000</v>
      </c>
      <c r="N36" s="10" t="n"/>
      <c r="O36" s="10" t="n">
        <v>13000</v>
      </c>
      <c r="P36" s="10" t="n">
        <v>13000</v>
      </c>
      <c r="Q36" s="11" t="n"/>
      <c r="R36" s="11" t="n">
        <v>13000</v>
      </c>
      <c r="S36" s="11" t="n">
        <v>13000</v>
      </c>
      <c r="T36" s="10" t="n"/>
      <c r="U36" s="10" t="n">
        <v>13000</v>
      </c>
      <c r="V36" s="10" t="n">
        <v>13000</v>
      </c>
      <c r="W36" s="11" t="n"/>
      <c r="X36" s="11" t="n">
        <v>13000</v>
      </c>
      <c r="Y36" s="11" t="n">
        <v>13000</v>
      </c>
      <c r="Z36" s="10" t="n"/>
      <c r="AA36" s="10" t="n">
        <v>13000</v>
      </c>
      <c r="AB36" s="10" t="n">
        <v>13000</v>
      </c>
      <c r="AC36" s="11" t="n"/>
      <c r="AD36" s="11" t="n">
        <v>13000</v>
      </c>
      <c r="AE36" s="11" t="n">
        <v>13000</v>
      </c>
      <c r="AF36" s="10" t="n"/>
      <c r="AG36" s="10" t="n">
        <v>13000</v>
      </c>
      <c r="AH36" s="10" t="n">
        <v>13000</v>
      </c>
      <c r="AI36" s="11" t="n"/>
      <c r="AJ36" s="11" t="n">
        <v>13000</v>
      </c>
      <c r="AK36" s="11" t="n">
        <v>13000</v>
      </c>
      <c r="AL36" s="10" t="n"/>
      <c r="AM36" s="10" t="n">
        <v>13000</v>
      </c>
      <c r="AN36" s="10" t="n">
        <v>13000</v>
      </c>
      <c r="AO36" s="11" t="n"/>
      <c r="AP36" s="11" t="n">
        <v>13000</v>
      </c>
      <c r="AQ36" s="11" t="n">
        <v>13000</v>
      </c>
      <c r="AR36" s="10" t="n"/>
      <c r="AS36" s="10" t="n">
        <v>13000</v>
      </c>
      <c r="AT36" s="10" t="n">
        <v>13000</v>
      </c>
      <c r="AU36" s="11" t="n"/>
      <c r="AV36" s="11" t="n">
        <v>13000</v>
      </c>
      <c r="AW36" s="11" t="n">
        <v>13000</v>
      </c>
      <c r="AX36" s="10" t="n"/>
      <c r="AY36" s="10" t="n">
        <v>13000</v>
      </c>
      <c r="AZ36" s="10" t="n">
        <v>13000</v>
      </c>
      <c r="BA36" s="11" t="n"/>
      <c r="BB36" s="11" t="n">
        <v>13000</v>
      </c>
      <c r="BC36" s="11" t="n">
        <v>13000</v>
      </c>
      <c r="BD36" s="10" t="n"/>
      <c r="BE36" s="10" t="n">
        <v>13000</v>
      </c>
      <c r="BF36" s="10" t="n">
        <v>13000</v>
      </c>
      <c r="BG36" s="11" t="n"/>
      <c r="BH36" s="11" t="n">
        <v>13000</v>
      </c>
      <c r="BI36" s="11" t="n">
        <v>13000</v>
      </c>
      <c r="BJ36" s="10" t="n"/>
      <c r="BK36" s="10" t="n">
        <v>13000</v>
      </c>
      <c r="BL36" s="10" t="n">
        <v>13000</v>
      </c>
      <c r="BM36" s="11" t="n"/>
      <c r="BN36" s="11" t="n">
        <v>13000</v>
      </c>
      <c r="BO36" s="11" t="n">
        <v>13000</v>
      </c>
      <c r="BP36" s="10" t="n"/>
      <c r="BQ36" s="10" t="n">
        <v>13000</v>
      </c>
      <c r="BR36" s="10" t="n">
        <v>13000</v>
      </c>
      <c r="BS36" s="11" t="n"/>
      <c r="BT36" s="11" t="n">
        <v>13000</v>
      </c>
      <c r="BU36" s="11" t="n">
        <v>13000</v>
      </c>
      <c r="BV36" s="10" t="n"/>
      <c r="BW36" s="10" t="n">
        <v>13000</v>
      </c>
      <c r="BX36" s="10" t="n">
        <v>13000</v>
      </c>
      <c r="BY36" s="11" t="n"/>
      <c r="BZ36" s="11" t="n">
        <v>13000</v>
      </c>
      <c r="CA36" s="11" t="n">
        <v>13000</v>
      </c>
      <c r="CB36" s="10" t="n"/>
      <c r="CC36" s="10" t="n">
        <v>13000</v>
      </c>
      <c r="CD36" s="10" t="n">
        <v>13000</v>
      </c>
      <c r="CE36" s="11" t="n"/>
      <c r="CF36" s="11" t="n">
        <v>13000</v>
      </c>
      <c r="CG36" s="11" t="n">
        <v>13000</v>
      </c>
      <c r="CH36" s="10" t="n"/>
      <c r="CI36" s="10" t="n">
        <v>13000</v>
      </c>
      <c r="CJ36" s="10" t="n">
        <v>13000</v>
      </c>
      <c r="CK36" s="11" t="n"/>
      <c r="CL36" s="11" t="n">
        <v>13000</v>
      </c>
      <c r="CM36" s="11" t="n">
        <v>13000</v>
      </c>
      <c r="CN36" s="10" t="n"/>
      <c r="CO36" s="10" t="n">
        <v>13000</v>
      </c>
      <c r="CP36" s="10" t="n">
        <v>13000</v>
      </c>
      <c r="CQ36" s="11" t="n"/>
      <c r="CR36" s="11" t="n">
        <v>13000</v>
      </c>
      <c r="CS36" s="11" t="n">
        <v>13000</v>
      </c>
      <c r="CT36" s="10" t="n"/>
      <c r="CU36" s="10" t="n">
        <v>13000</v>
      </c>
      <c r="CV36" s="10" t="n">
        <v>13000</v>
      </c>
      <c r="CW36" s="11" t="n"/>
      <c r="CX36" s="11" t="n">
        <v>13000</v>
      </c>
      <c r="CY36" s="11" t="n">
        <v>13000</v>
      </c>
      <c r="CZ36" s="10" t="n"/>
      <c r="DA36" s="10" t="n">
        <v>13000</v>
      </c>
      <c r="DB36" s="10" t="n">
        <v>13000</v>
      </c>
      <c r="DC36" s="11" t="n"/>
      <c r="DD36" s="11" t="n">
        <v>13000</v>
      </c>
      <c r="DE36" s="11" t="n">
        <v>13000</v>
      </c>
      <c r="DF36" s="10" t="n"/>
      <c r="DG36" s="10" t="n">
        <v>13000</v>
      </c>
      <c r="DH36" s="10" t="n">
        <v>13000</v>
      </c>
      <c r="DI36" s="11" t="n">
        <v>13000</v>
      </c>
      <c r="DJ36" s="11" t="n">
        <v>13000</v>
      </c>
      <c r="DK36" s="11" t="n">
        <v>13000</v>
      </c>
      <c r="DL36" s="10" t="n">
        <v>13000</v>
      </c>
      <c r="DM36" s="10" t="n">
        <v>13000</v>
      </c>
      <c r="DN36" s="10" t="n">
        <v>13000</v>
      </c>
    </row>
    <row r="37">
      <c r="A37" s="2" t="inlineStr">
        <is>
          <t>QA Engineer</t>
        </is>
      </c>
      <c r="B37" s="10">
        <f>IF(COUNT(AR37,AO37,AL37,AI37,AF37,AC37,Z37,W37,T37,Q37,N37,K37)=0,"",SUM(AR37,AO37,AL37,AI37,AF37,AC37,Z37,W37,T37,Q37,N37,K37))</f>
        <v/>
      </c>
      <c r="C37" s="10">
        <f>IF(COUNT(AS37,AP37,AM37,AJ37,AG37,AD37,AA37,X37,U37,R37,O37,L37)=0,"",SUM(AS37,AP37,AM37,AJ37,AG37,AD37,AA37,X37,U37,R37,O37,L37))</f>
        <v/>
      </c>
      <c r="D37" s="10">
        <f>IF(COUNT(AT37,AQ37,AN37,AK37,AH37,AE37,AB37,Y37,V37,S37,P37,M37)=0,"",SUM(AT37,AQ37,AN37,AK37,AH37,AE37,AB37,Y37,V37,S37,P37,M37))</f>
        <v/>
      </c>
      <c r="E37" s="11">
        <f>IF(COUNT(CB37,BY37,BV37,BS37,BP37,BM37,BJ37,BG37,BD37,BA37,AX37,AU37)=0,"",SUM(CB37,BY37,BV37,BS37,BP37,BM37,BJ37,BG37,BD37,BA37,AX37,AU37))</f>
        <v/>
      </c>
      <c r="F37" s="11">
        <f>IF(COUNT(CC37,BZ37,BW37,BT37,BQ37,BN37,BK37,BH37,BE37,BB37,AY37,AV37)=0,"",SUM(CC37,BZ37,BW37,BT37,BQ37,BN37,BK37,BH37,BE37,BB37,AY37,AV37))</f>
        <v/>
      </c>
      <c r="G37" s="11">
        <f>IF(COUNT(CD37,CA37,BX37,BU37,BR37,BO37,BL37,BI37,BF37,BC37,AZ37,AW37)=0,"",SUM(CD37,CA37,BX37,BU37,BR37,BO37,BL37,BI37,BF37,BC37,AZ37,AW37))</f>
        <v/>
      </c>
      <c r="H37" s="10">
        <f>IF(COUNT(DL37,DI37,DF37,DC37,CZ37,CW37,CT37,CQ37,CN37,CK37,CH37,CE37)=0,"",SUM(DL37,DI37,DF37,DC37,CZ37,CW37,CT37,CQ37,CN37,CK37,CH37,CE37))</f>
        <v/>
      </c>
      <c r="I37" s="10">
        <f>IF(COUNT(DM37,DJ37,DG37,DD37,DA37,CX37,CU37,CR37,CO37,CL37,CI37,CF37)=0,"",SUM(DM37,DJ37,DG37,DD37,DA37,CX37,CU37,CR37,CO37,CL37,CI37,CF37))</f>
        <v/>
      </c>
      <c r="J37" s="10">
        <f>IF(COUNT(DN37,DK37,DH37,DE37,DB37,CY37,CV37,CS37,CP37,CM37,CJ37,CG37)=0,"",SUM(DN37,DK37,DH37,DE37,DB37,CY37,CV37,CS37,CP37,CM37,CJ37,CG37))</f>
        <v/>
      </c>
      <c r="K37" s="11" t="n"/>
      <c r="L37" s="11" t="n">
        <v>12000</v>
      </c>
      <c r="M37" s="11" t="n">
        <v>12000</v>
      </c>
      <c r="N37" s="10" t="n"/>
      <c r="O37" s="10" t="n">
        <v>12000</v>
      </c>
      <c r="P37" s="10" t="n">
        <v>12000</v>
      </c>
      <c r="Q37" s="11" t="n"/>
      <c r="R37" s="11" t="n">
        <v>12000</v>
      </c>
      <c r="S37" s="11" t="n">
        <v>12000</v>
      </c>
      <c r="T37" s="10" t="n"/>
      <c r="U37" s="10" t="n">
        <v>12000</v>
      </c>
      <c r="V37" s="10" t="n">
        <v>12000</v>
      </c>
      <c r="W37" s="11" t="n"/>
      <c r="X37" s="11" t="n">
        <v>12000</v>
      </c>
      <c r="Y37" s="11" t="n">
        <v>12000</v>
      </c>
      <c r="Z37" s="10" t="n"/>
      <c r="AA37" s="10" t="n">
        <v>12000</v>
      </c>
      <c r="AB37" s="10" t="n">
        <v>12000</v>
      </c>
      <c r="AC37" s="11" t="n"/>
      <c r="AD37" s="11" t="n">
        <v>12000</v>
      </c>
      <c r="AE37" s="11" t="n">
        <v>12000</v>
      </c>
      <c r="AF37" s="10" t="n"/>
      <c r="AG37" s="10" t="n">
        <v>12000</v>
      </c>
      <c r="AH37" s="10" t="n">
        <v>12000</v>
      </c>
      <c r="AI37" s="11" t="n"/>
      <c r="AJ37" s="11" t="n">
        <v>12000</v>
      </c>
      <c r="AK37" s="11" t="n">
        <v>12000</v>
      </c>
      <c r="AL37" s="10" t="n"/>
      <c r="AM37" s="10" t="n">
        <v>12000</v>
      </c>
      <c r="AN37" s="10" t="n">
        <v>12000</v>
      </c>
      <c r="AO37" s="11" t="n"/>
      <c r="AP37" s="11" t="n">
        <v>12000</v>
      </c>
      <c r="AQ37" s="11" t="n">
        <v>12000</v>
      </c>
      <c r="AR37" s="10" t="n"/>
      <c r="AS37" s="10" t="n">
        <v>12000</v>
      </c>
      <c r="AT37" s="10" t="n">
        <v>12000</v>
      </c>
      <c r="AU37" s="11" t="n"/>
      <c r="AV37" s="11" t="n">
        <v>12000</v>
      </c>
      <c r="AW37" s="11" t="n">
        <v>12000</v>
      </c>
      <c r="AX37" s="10" t="n"/>
      <c r="AY37" s="10" t="n">
        <v>12000</v>
      </c>
      <c r="AZ37" s="10" t="n">
        <v>12000</v>
      </c>
      <c r="BA37" s="11" t="n"/>
      <c r="BB37" s="11" t="n">
        <v>12000</v>
      </c>
      <c r="BC37" s="11" t="n">
        <v>12000</v>
      </c>
      <c r="BD37" s="10" t="n"/>
      <c r="BE37" s="10" t="n">
        <v>12000</v>
      </c>
      <c r="BF37" s="10" t="n">
        <v>12000</v>
      </c>
      <c r="BG37" s="11" t="n"/>
      <c r="BH37" s="11" t="n">
        <v>12000</v>
      </c>
      <c r="BI37" s="11" t="n">
        <v>12000</v>
      </c>
      <c r="BJ37" s="10" t="n"/>
      <c r="BK37" s="10" t="n">
        <v>12000</v>
      </c>
      <c r="BL37" s="10" t="n">
        <v>12000</v>
      </c>
      <c r="BM37" s="11" t="n"/>
      <c r="BN37" s="11" t="n">
        <v>12000</v>
      </c>
      <c r="BO37" s="11" t="n">
        <v>12000</v>
      </c>
      <c r="BP37" s="10" t="n"/>
      <c r="BQ37" s="10" t="n">
        <v>12000</v>
      </c>
      <c r="BR37" s="10" t="n">
        <v>12000</v>
      </c>
      <c r="BS37" s="11" t="n"/>
      <c r="BT37" s="11" t="n">
        <v>12000</v>
      </c>
      <c r="BU37" s="11" t="n">
        <v>12000</v>
      </c>
      <c r="BV37" s="10" t="n"/>
      <c r="BW37" s="10" t="n">
        <v>12000</v>
      </c>
      <c r="BX37" s="10" t="n">
        <v>12000</v>
      </c>
      <c r="BY37" s="11" t="n"/>
      <c r="BZ37" s="11" t="n">
        <v>12000</v>
      </c>
      <c r="CA37" s="11" t="n">
        <v>12000</v>
      </c>
      <c r="CB37" s="10" t="n"/>
      <c r="CC37" s="10" t="n">
        <v>12000</v>
      </c>
      <c r="CD37" s="10" t="n">
        <v>12000</v>
      </c>
      <c r="CE37" s="11" t="n"/>
      <c r="CF37" s="11" t="n">
        <v>12000</v>
      </c>
      <c r="CG37" s="11" t="n">
        <v>12000</v>
      </c>
      <c r="CH37" s="10" t="n"/>
      <c r="CI37" s="10" t="n">
        <v>12000</v>
      </c>
      <c r="CJ37" s="10" t="n">
        <v>12000</v>
      </c>
      <c r="CK37" s="11" t="n"/>
      <c r="CL37" s="11" t="n">
        <v>12000</v>
      </c>
      <c r="CM37" s="11" t="n">
        <v>12000</v>
      </c>
      <c r="CN37" s="10" t="n"/>
      <c r="CO37" s="10" t="n">
        <v>12000</v>
      </c>
      <c r="CP37" s="10" t="n">
        <v>12000</v>
      </c>
      <c r="CQ37" s="11" t="n"/>
      <c r="CR37" s="11" t="n">
        <v>12000</v>
      </c>
      <c r="CS37" s="11" t="n">
        <v>12000</v>
      </c>
      <c r="CT37" s="10" t="n"/>
      <c r="CU37" s="10" t="n">
        <v>12000</v>
      </c>
      <c r="CV37" s="10" t="n">
        <v>12000</v>
      </c>
      <c r="CW37" s="11" t="n"/>
      <c r="CX37" s="11" t="n">
        <v>12000</v>
      </c>
      <c r="CY37" s="11" t="n">
        <v>12000</v>
      </c>
      <c r="CZ37" s="10" t="n"/>
      <c r="DA37" s="10" t="n">
        <v>12000</v>
      </c>
      <c r="DB37" s="10" t="n">
        <v>12000</v>
      </c>
      <c r="DC37" s="11" t="n"/>
      <c r="DD37" s="11" t="n">
        <v>12000</v>
      </c>
      <c r="DE37" s="11" t="n">
        <v>12000</v>
      </c>
      <c r="DF37" s="10" t="n"/>
      <c r="DG37" s="10" t="n">
        <v>12000</v>
      </c>
      <c r="DH37" s="10" t="n">
        <v>12000</v>
      </c>
      <c r="DI37" s="11" t="n">
        <v>12000</v>
      </c>
      <c r="DJ37" s="11" t="n">
        <v>12000</v>
      </c>
      <c r="DK37" s="11" t="n">
        <v>12000</v>
      </c>
      <c r="DL37" s="10" t="n">
        <v>12000</v>
      </c>
      <c r="DM37" s="10" t="n">
        <v>12000</v>
      </c>
      <c r="DN37" s="10" t="n">
        <v>12000</v>
      </c>
    </row>
    <row r="38">
      <c r="A38" s="2" t="inlineStr">
        <is>
          <t>DevOps Engineer</t>
        </is>
      </c>
      <c r="B38" s="10">
        <f>IF(COUNT(AR38,AO38,AL38,AI38,AF38,AC38,Z38,W38,T38,Q38,N38,K38)=0,"",SUM(AR38,AO38,AL38,AI38,AF38,AC38,Z38,W38,T38,Q38,N38,K38))</f>
        <v/>
      </c>
      <c r="C38" s="10">
        <f>IF(COUNT(AS38,AP38,AM38,AJ38,AG38,AD38,AA38,X38,U38,R38,O38,L38)=0,"",SUM(AS38,AP38,AM38,AJ38,AG38,AD38,AA38,X38,U38,R38,O38,L38))</f>
        <v/>
      </c>
      <c r="D38" s="10">
        <f>IF(COUNT(AT38,AQ38,AN38,AK38,AH38,AE38,AB38,Y38,V38,S38,P38,M38)=0,"",SUM(AT38,AQ38,AN38,AK38,AH38,AE38,AB38,Y38,V38,S38,P38,M38))</f>
        <v/>
      </c>
      <c r="E38" s="11">
        <f>IF(COUNT(CB38,BY38,BV38,BS38,BP38,BM38,BJ38,BG38,BD38,BA38,AX38,AU38)=0,"",SUM(CB38,BY38,BV38,BS38,BP38,BM38,BJ38,BG38,BD38,BA38,AX38,AU38))</f>
        <v/>
      </c>
      <c r="F38" s="11">
        <f>IF(COUNT(CC38,BZ38,BW38,BT38,BQ38,BN38,BK38,BH38,BE38,BB38,AY38,AV38)=0,"",SUM(CC38,BZ38,BW38,BT38,BQ38,BN38,BK38,BH38,BE38,BB38,AY38,AV38))</f>
        <v/>
      </c>
      <c r="G38" s="11">
        <f>IF(COUNT(CD38,CA38,BX38,BU38,BR38,BO38,BL38,BI38,BF38,BC38,AZ38,AW38)=0,"",SUM(CD38,CA38,BX38,BU38,BR38,BO38,BL38,BI38,BF38,BC38,AZ38,AW38))</f>
        <v/>
      </c>
      <c r="H38" s="10">
        <f>IF(COUNT(DL38,DI38,DF38,DC38,CZ38,CW38,CT38,CQ38,CN38,CK38,CH38,CE38)=0,"",SUM(DL38,DI38,DF38,DC38,CZ38,CW38,CT38,CQ38,CN38,CK38,CH38,CE38))</f>
        <v/>
      </c>
      <c r="I38" s="10">
        <f>IF(COUNT(DM38,DJ38,DG38,DD38,DA38,CX38,CU38,CR38,CO38,CL38,CI38,CF38)=0,"",SUM(DM38,DJ38,DG38,DD38,DA38,CX38,CU38,CR38,CO38,CL38,CI38,CF38))</f>
        <v/>
      </c>
      <c r="J38" s="10">
        <f>IF(COUNT(DN38,DK38,DH38,DE38,DB38,CY38,CV38,CS38,CP38,CM38,CJ38,CG38)=0,"",SUM(DN38,DK38,DH38,DE38,DB38,CY38,CV38,CS38,CP38,CM38,CJ38,CG38))</f>
        <v/>
      </c>
      <c r="K38" s="11" t="n"/>
      <c r="L38" s="11" t="n">
        <v>14000</v>
      </c>
      <c r="M38" s="11" t="n">
        <v>14000</v>
      </c>
      <c r="N38" s="10" t="n"/>
      <c r="O38" s="10" t="n">
        <v>14000</v>
      </c>
      <c r="P38" s="10" t="n">
        <v>14000</v>
      </c>
      <c r="Q38" s="11" t="n"/>
      <c r="R38" s="11" t="n">
        <v>14000</v>
      </c>
      <c r="S38" s="11" t="n">
        <v>14000</v>
      </c>
      <c r="T38" s="10" t="n"/>
      <c r="U38" s="10" t="n">
        <v>14000</v>
      </c>
      <c r="V38" s="10" t="n">
        <v>14000</v>
      </c>
      <c r="W38" s="11" t="n"/>
      <c r="X38" s="11" t="n">
        <v>14000</v>
      </c>
      <c r="Y38" s="11" t="n">
        <v>14000</v>
      </c>
      <c r="Z38" s="10" t="n"/>
      <c r="AA38" s="10" t="n">
        <v>14000</v>
      </c>
      <c r="AB38" s="10" t="n">
        <v>14000</v>
      </c>
      <c r="AC38" s="11" t="n"/>
      <c r="AD38" s="11" t="n">
        <v>14000</v>
      </c>
      <c r="AE38" s="11" t="n">
        <v>14000</v>
      </c>
      <c r="AF38" s="10" t="n"/>
      <c r="AG38" s="10" t="n">
        <v>14000</v>
      </c>
      <c r="AH38" s="10" t="n">
        <v>14000</v>
      </c>
      <c r="AI38" s="11" t="n"/>
      <c r="AJ38" s="11" t="n">
        <v>14000</v>
      </c>
      <c r="AK38" s="11" t="n">
        <v>14000</v>
      </c>
      <c r="AL38" s="10" t="n"/>
      <c r="AM38" s="10" t="n">
        <v>14000</v>
      </c>
      <c r="AN38" s="10" t="n">
        <v>14000</v>
      </c>
      <c r="AO38" s="11" t="n"/>
      <c r="AP38" s="11" t="n">
        <v>14000</v>
      </c>
      <c r="AQ38" s="11" t="n">
        <v>14000</v>
      </c>
      <c r="AR38" s="10" t="n"/>
      <c r="AS38" s="10" t="n">
        <v>14000</v>
      </c>
      <c r="AT38" s="10" t="n">
        <v>14000</v>
      </c>
      <c r="AU38" s="11" t="n"/>
      <c r="AV38" s="11" t="n">
        <v>14000</v>
      </c>
      <c r="AW38" s="11" t="n">
        <v>14000</v>
      </c>
      <c r="AX38" s="10" t="n"/>
      <c r="AY38" s="10" t="n">
        <v>14000</v>
      </c>
      <c r="AZ38" s="10" t="n">
        <v>14000</v>
      </c>
      <c r="BA38" s="11" t="n"/>
      <c r="BB38" s="11" t="n">
        <v>14000</v>
      </c>
      <c r="BC38" s="11" t="n">
        <v>14000</v>
      </c>
      <c r="BD38" s="10" t="n"/>
      <c r="BE38" s="10" t="n">
        <v>14000</v>
      </c>
      <c r="BF38" s="10" t="n">
        <v>14000</v>
      </c>
      <c r="BG38" s="11" t="n"/>
      <c r="BH38" s="11" t="n">
        <v>14000</v>
      </c>
      <c r="BI38" s="11" t="n">
        <v>14000</v>
      </c>
      <c r="BJ38" s="10" t="n"/>
      <c r="BK38" s="10" t="n">
        <v>14000</v>
      </c>
      <c r="BL38" s="10" t="n">
        <v>14000</v>
      </c>
      <c r="BM38" s="11" t="n"/>
      <c r="BN38" s="11" t="n">
        <v>14000</v>
      </c>
      <c r="BO38" s="11" t="n">
        <v>14000</v>
      </c>
      <c r="BP38" s="10" t="n"/>
      <c r="BQ38" s="10" t="n">
        <v>14000</v>
      </c>
      <c r="BR38" s="10" t="n">
        <v>14000</v>
      </c>
      <c r="BS38" s="11" t="n"/>
      <c r="BT38" s="11" t="n">
        <v>14000</v>
      </c>
      <c r="BU38" s="11" t="n">
        <v>14000</v>
      </c>
      <c r="BV38" s="10" t="n"/>
      <c r="BW38" s="10" t="n">
        <v>14000</v>
      </c>
      <c r="BX38" s="10" t="n">
        <v>14000</v>
      </c>
      <c r="BY38" s="11" t="n"/>
      <c r="BZ38" s="11" t="n">
        <v>14000</v>
      </c>
      <c r="CA38" s="11" t="n">
        <v>14000</v>
      </c>
      <c r="CB38" s="10" t="n"/>
      <c r="CC38" s="10" t="n">
        <v>14000</v>
      </c>
      <c r="CD38" s="10" t="n">
        <v>14000</v>
      </c>
      <c r="CE38" s="11" t="n"/>
      <c r="CF38" s="11" t="n">
        <v>14000</v>
      </c>
      <c r="CG38" s="11" t="n">
        <v>14000</v>
      </c>
      <c r="CH38" s="10" t="n"/>
      <c r="CI38" s="10" t="n">
        <v>14000</v>
      </c>
      <c r="CJ38" s="10" t="n">
        <v>14000</v>
      </c>
      <c r="CK38" s="11" t="n"/>
      <c r="CL38" s="11" t="n">
        <v>14000</v>
      </c>
      <c r="CM38" s="11" t="n">
        <v>14000</v>
      </c>
      <c r="CN38" s="10" t="n"/>
      <c r="CO38" s="10" t="n">
        <v>14000</v>
      </c>
      <c r="CP38" s="10" t="n">
        <v>14000</v>
      </c>
      <c r="CQ38" s="11" t="n"/>
      <c r="CR38" s="11" t="n">
        <v>14000</v>
      </c>
      <c r="CS38" s="11" t="n">
        <v>14000</v>
      </c>
      <c r="CT38" s="10" t="n"/>
      <c r="CU38" s="10" t="n">
        <v>14000</v>
      </c>
      <c r="CV38" s="10" t="n">
        <v>14000</v>
      </c>
      <c r="CW38" s="11" t="n"/>
      <c r="CX38" s="11" t="n">
        <v>14000</v>
      </c>
      <c r="CY38" s="11" t="n">
        <v>14000</v>
      </c>
      <c r="CZ38" s="10" t="n"/>
      <c r="DA38" s="10" t="n">
        <v>14000</v>
      </c>
      <c r="DB38" s="10" t="n">
        <v>14000</v>
      </c>
      <c r="DC38" s="11" t="n"/>
      <c r="DD38" s="11" t="n">
        <v>14000</v>
      </c>
      <c r="DE38" s="11" t="n">
        <v>14000</v>
      </c>
      <c r="DF38" s="10" t="n"/>
      <c r="DG38" s="10" t="n">
        <v>14000</v>
      </c>
      <c r="DH38" s="10" t="n">
        <v>14000</v>
      </c>
      <c r="DI38" s="11" t="n">
        <v>14000</v>
      </c>
      <c r="DJ38" s="11" t="n">
        <v>14000</v>
      </c>
      <c r="DK38" s="11" t="n">
        <v>14000</v>
      </c>
      <c r="DL38" s="10" t="n">
        <v>14000</v>
      </c>
      <c r="DM38" s="10" t="n">
        <v>14000</v>
      </c>
      <c r="DN38" s="10" t="n">
        <v>14000</v>
      </c>
    </row>
    <row r="39">
      <c r="A39" s="2" t="inlineStr">
        <is>
          <t>UX Designer</t>
        </is>
      </c>
      <c r="B39" s="10">
        <f>IF(COUNT(AR39,AO39,AL39,AI39,AF39,AC39,Z39,W39,T39,Q39,N39,K39)=0,"",SUM(AR39,AO39,AL39,AI39,AF39,AC39,Z39,W39,T39,Q39,N39,K39))</f>
        <v/>
      </c>
      <c r="C39" s="10">
        <f>IF(COUNT(AS39,AP39,AM39,AJ39,AG39,AD39,AA39,X39,U39,R39,O39,L39)=0,"",SUM(AS39,AP39,AM39,AJ39,AG39,AD39,AA39,X39,U39,R39,O39,L39))</f>
        <v/>
      </c>
      <c r="D39" s="10">
        <f>IF(COUNT(AT39,AQ39,AN39,AK39,AH39,AE39,AB39,Y39,V39,S39,P39,M39)=0,"",SUM(AT39,AQ39,AN39,AK39,AH39,AE39,AB39,Y39,V39,S39,P39,M39))</f>
        <v/>
      </c>
      <c r="E39" s="11">
        <f>IF(COUNT(CB39,BY39,BV39,BS39,BP39,BM39,BJ39,BG39,BD39,BA39,AX39,AU39)=0,"",SUM(CB39,BY39,BV39,BS39,BP39,BM39,BJ39,BG39,BD39,BA39,AX39,AU39))</f>
        <v/>
      </c>
      <c r="F39" s="11">
        <f>IF(COUNT(CC39,BZ39,BW39,BT39,BQ39,BN39,BK39,BH39,BE39,BB39,AY39,AV39)=0,"",SUM(CC39,BZ39,BW39,BT39,BQ39,BN39,BK39,BH39,BE39,BB39,AY39,AV39))</f>
        <v/>
      </c>
      <c r="G39" s="11">
        <f>IF(COUNT(CD39,CA39,BX39,BU39,BR39,BO39,BL39,BI39,BF39,BC39,AZ39,AW39)=0,"",SUM(CD39,CA39,BX39,BU39,BR39,BO39,BL39,BI39,BF39,BC39,AZ39,AW39))</f>
        <v/>
      </c>
      <c r="H39" s="10">
        <f>IF(COUNT(DL39,DI39,DF39,DC39,CZ39,CW39,CT39,CQ39,CN39,CK39,CH39,CE39)=0,"",SUM(DL39,DI39,DF39,DC39,CZ39,CW39,CT39,CQ39,CN39,CK39,CH39,CE39))</f>
        <v/>
      </c>
      <c r="I39" s="10">
        <f>IF(COUNT(DM39,DJ39,DG39,DD39,DA39,CX39,CU39,CR39,CO39,CL39,CI39,CF39)=0,"",SUM(DM39,DJ39,DG39,DD39,DA39,CX39,CU39,CR39,CO39,CL39,CI39,CF39))</f>
        <v/>
      </c>
      <c r="J39" s="10">
        <f>IF(COUNT(DN39,DK39,DH39,DE39,DB39,CY39,CV39,CS39,CP39,CM39,CJ39,CG39)=0,"",SUM(DN39,DK39,DH39,DE39,DB39,CY39,CV39,CS39,CP39,CM39,CJ39,CG39))</f>
        <v/>
      </c>
      <c r="K39" s="11" t="n"/>
      <c r="L39" s="11" t="n">
        <v>14000</v>
      </c>
      <c r="M39" s="11" t="n">
        <v>14000</v>
      </c>
      <c r="N39" s="10" t="n"/>
      <c r="O39" s="10" t="n">
        <v>14000</v>
      </c>
      <c r="P39" s="10" t="n">
        <v>14000</v>
      </c>
      <c r="Q39" s="11" t="n"/>
      <c r="R39" s="11" t="n">
        <v>14000</v>
      </c>
      <c r="S39" s="11" t="n">
        <v>14000</v>
      </c>
      <c r="T39" s="10" t="n"/>
      <c r="U39" s="10" t="n">
        <v>14000</v>
      </c>
      <c r="V39" s="10" t="n">
        <v>14000</v>
      </c>
      <c r="W39" s="11" t="n"/>
      <c r="X39" s="11" t="n">
        <v>14000</v>
      </c>
      <c r="Y39" s="11" t="n">
        <v>14000</v>
      </c>
      <c r="Z39" s="10" t="n"/>
      <c r="AA39" s="10" t="n">
        <v>14000</v>
      </c>
      <c r="AB39" s="10" t="n">
        <v>14000</v>
      </c>
      <c r="AC39" s="11" t="n"/>
      <c r="AD39" s="11" t="n">
        <v>14000</v>
      </c>
      <c r="AE39" s="11" t="n">
        <v>14000</v>
      </c>
      <c r="AF39" s="10" t="n"/>
      <c r="AG39" s="10" t="n">
        <v>14000</v>
      </c>
      <c r="AH39" s="10" t="n">
        <v>14000</v>
      </c>
      <c r="AI39" s="11" t="n"/>
      <c r="AJ39" s="11" t="n">
        <v>14000</v>
      </c>
      <c r="AK39" s="11" t="n">
        <v>14000</v>
      </c>
      <c r="AL39" s="10" t="n"/>
      <c r="AM39" s="10" t="n">
        <v>14000</v>
      </c>
      <c r="AN39" s="10" t="n">
        <v>14000</v>
      </c>
      <c r="AO39" s="11" t="n"/>
      <c r="AP39" s="11" t="n">
        <v>14000</v>
      </c>
      <c r="AQ39" s="11" t="n">
        <v>14000</v>
      </c>
      <c r="AR39" s="10" t="n"/>
      <c r="AS39" s="10" t="n">
        <v>14000</v>
      </c>
      <c r="AT39" s="10" t="n">
        <v>14000</v>
      </c>
      <c r="AU39" s="11" t="n"/>
      <c r="AV39" s="11" t="n">
        <v>14000</v>
      </c>
      <c r="AW39" s="11" t="n">
        <v>14000</v>
      </c>
      <c r="AX39" s="10" t="n"/>
      <c r="AY39" s="10" t="n">
        <v>14000</v>
      </c>
      <c r="AZ39" s="10" t="n">
        <v>14000</v>
      </c>
      <c r="BA39" s="11" t="n"/>
      <c r="BB39" s="11" t="n">
        <v>14000</v>
      </c>
      <c r="BC39" s="11" t="n">
        <v>14000</v>
      </c>
      <c r="BD39" s="10" t="n"/>
      <c r="BE39" s="10" t="n">
        <v>14000</v>
      </c>
      <c r="BF39" s="10" t="n">
        <v>14000</v>
      </c>
      <c r="BG39" s="11" t="n"/>
      <c r="BH39" s="11" t="n">
        <v>14000</v>
      </c>
      <c r="BI39" s="11" t="n">
        <v>14000</v>
      </c>
      <c r="BJ39" s="10" t="n"/>
      <c r="BK39" s="10" t="n">
        <v>14000</v>
      </c>
      <c r="BL39" s="10" t="n">
        <v>14000</v>
      </c>
      <c r="BM39" s="11" t="n"/>
      <c r="BN39" s="11" t="n">
        <v>14000</v>
      </c>
      <c r="BO39" s="11" t="n">
        <v>14000</v>
      </c>
      <c r="BP39" s="10" t="n"/>
      <c r="BQ39" s="10" t="n">
        <v>14000</v>
      </c>
      <c r="BR39" s="10" t="n">
        <v>14000</v>
      </c>
      <c r="BS39" s="11" t="n"/>
      <c r="BT39" s="11" t="n">
        <v>14000</v>
      </c>
      <c r="BU39" s="11" t="n">
        <v>14000</v>
      </c>
      <c r="BV39" s="10" t="n"/>
      <c r="BW39" s="10" t="n">
        <v>14000</v>
      </c>
      <c r="BX39" s="10" t="n">
        <v>14000</v>
      </c>
      <c r="BY39" s="11" t="n"/>
      <c r="BZ39" s="11" t="n">
        <v>14000</v>
      </c>
      <c r="CA39" s="11" t="n">
        <v>14000</v>
      </c>
      <c r="CB39" s="10" t="n"/>
      <c r="CC39" s="10" t="n">
        <v>14000</v>
      </c>
      <c r="CD39" s="10" t="n">
        <v>14000</v>
      </c>
      <c r="CE39" s="11" t="n"/>
      <c r="CF39" s="11" t="n">
        <v>14000</v>
      </c>
      <c r="CG39" s="11" t="n">
        <v>14000</v>
      </c>
      <c r="CH39" s="10" t="n"/>
      <c r="CI39" s="10" t="n">
        <v>14000</v>
      </c>
      <c r="CJ39" s="10" t="n">
        <v>14000</v>
      </c>
      <c r="CK39" s="11" t="n"/>
      <c r="CL39" s="11" t="n">
        <v>14000</v>
      </c>
      <c r="CM39" s="11" t="n">
        <v>14000</v>
      </c>
      <c r="CN39" s="10" t="n"/>
      <c r="CO39" s="10" t="n">
        <v>14000</v>
      </c>
      <c r="CP39" s="10" t="n">
        <v>14000</v>
      </c>
      <c r="CQ39" s="11" t="n"/>
      <c r="CR39" s="11" t="n">
        <v>14000</v>
      </c>
      <c r="CS39" s="11" t="n">
        <v>14000</v>
      </c>
      <c r="CT39" s="10" t="n"/>
      <c r="CU39" s="10" t="n">
        <v>14000</v>
      </c>
      <c r="CV39" s="10" t="n">
        <v>14000</v>
      </c>
      <c r="CW39" s="11" t="n"/>
      <c r="CX39" s="11" t="n">
        <v>14000</v>
      </c>
      <c r="CY39" s="11" t="n">
        <v>14000</v>
      </c>
      <c r="CZ39" s="10" t="n"/>
      <c r="DA39" s="10" t="n">
        <v>14000</v>
      </c>
      <c r="DB39" s="10" t="n">
        <v>14000</v>
      </c>
      <c r="DC39" s="11" t="n"/>
      <c r="DD39" s="11" t="n">
        <v>14000</v>
      </c>
      <c r="DE39" s="11" t="n">
        <v>14000</v>
      </c>
      <c r="DF39" s="10" t="n"/>
      <c r="DG39" s="10" t="n">
        <v>14000</v>
      </c>
      <c r="DH39" s="10" t="n">
        <v>14000</v>
      </c>
      <c r="DI39" s="11" t="n">
        <v>14000</v>
      </c>
      <c r="DJ39" s="11" t="n">
        <v>14000</v>
      </c>
      <c r="DK39" s="11" t="n">
        <v>14000</v>
      </c>
      <c r="DL39" s="10" t="n">
        <v>14000</v>
      </c>
      <c r="DM39" s="10" t="n">
        <v>14000</v>
      </c>
      <c r="DN39" s="10" t="n">
        <v>14000</v>
      </c>
    </row>
    <row r="40">
      <c r="A40" s="2" t="inlineStr">
        <is>
          <t>Senior Developer</t>
        </is>
      </c>
      <c r="B40" s="10">
        <f>IF(COUNT(AR40,AO40,AL40,AI40,AF40,AC40,Z40,W40,T40,Q40,N40,K40)=0,"",SUM(AR40,AO40,AL40,AI40,AF40,AC40,Z40,W40,T40,Q40,N40,K40))</f>
        <v/>
      </c>
      <c r="C40" s="10">
        <f>IF(COUNT(AS40,AP40,AM40,AJ40,AG40,AD40,AA40,X40,U40,R40,O40,L40)=0,"",SUM(AS40,AP40,AM40,AJ40,AG40,AD40,AA40,X40,U40,R40,O40,L40))</f>
        <v/>
      </c>
      <c r="D40" s="10">
        <f>IF(COUNT(AT40,AQ40,AN40,AK40,AH40,AE40,AB40,Y40,V40,S40,P40,M40)=0,"",SUM(AT40,AQ40,AN40,AK40,AH40,AE40,AB40,Y40,V40,S40,P40,M40))</f>
        <v/>
      </c>
      <c r="E40" s="11">
        <f>IF(COUNT(CB40,BY40,BV40,BS40,BP40,BM40,BJ40,BG40,BD40,BA40,AX40,AU40)=0,"",SUM(CB40,BY40,BV40,BS40,BP40,BM40,BJ40,BG40,BD40,BA40,AX40,AU40))</f>
        <v/>
      </c>
      <c r="F40" s="11">
        <f>IF(COUNT(CC40,BZ40,BW40,BT40,BQ40,BN40,BK40,BH40,BE40,BB40,AY40,AV40)=0,"",SUM(CC40,BZ40,BW40,BT40,BQ40,BN40,BK40,BH40,BE40,BB40,AY40,AV40))</f>
        <v/>
      </c>
      <c r="G40" s="11">
        <f>IF(COUNT(CD40,CA40,BX40,BU40,BR40,BO40,BL40,BI40,BF40,BC40,AZ40,AW40)=0,"",SUM(CD40,CA40,BX40,BU40,BR40,BO40,BL40,BI40,BF40,BC40,AZ40,AW40))</f>
        <v/>
      </c>
      <c r="H40" s="10">
        <f>IF(COUNT(DL40,DI40,DF40,DC40,CZ40,CW40,CT40,CQ40,CN40,CK40,CH40,CE40)=0,"",SUM(DL40,DI40,DF40,DC40,CZ40,CW40,CT40,CQ40,CN40,CK40,CH40,CE40))</f>
        <v/>
      </c>
      <c r="I40" s="10">
        <f>IF(COUNT(DM40,DJ40,DG40,DD40,DA40,CX40,CU40,CR40,CO40,CL40,CI40,CF40)=0,"",SUM(DM40,DJ40,DG40,DD40,DA40,CX40,CU40,CR40,CO40,CL40,CI40,CF40))</f>
        <v/>
      </c>
      <c r="J40" s="10">
        <f>IF(COUNT(DN40,DK40,DH40,DE40,DB40,CY40,CV40,CS40,CP40,CM40,CJ40,CG40)=0,"",SUM(DN40,DK40,DH40,DE40,DB40,CY40,CV40,CS40,CP40,CM40,CJ40,CG40))</f>
        <v/>
      </c>
      <c r="K40" s="11" t="n"/>
      <c r="L40" s="11" t="n">
        <v>15000</v>
      </c>
      <c r="M40" s="11" t="n">
        <v>15000</v>
      </c>
      <c r="N40" s="10" t="n"/>
      <c r="O40" s="10" t="n">
        <v>15000</v>
      </c>
      <c r="P40" s="10" t="n">
        <v>15000</v>
      </c>
      <c r="Q40" s="11" t="n"/>
      <c r="R40" s="11" t="n">
        <v>15000</v>
      </c>
      <c r="S40" s="11" t="n">
        <v>15000</v>
      </c>
      <c r="T40" s="10" t="n"/>
      <c r="U40" s="10" t="n">
        <v>15000</v>
      </c>
      <c r="V40" s="10" t="n">
        <v>15000</v>
      </c>
      <c r="W40" s="11" t="n"/>
      <c r="X40" s="11" t="n">
        <v>15000</v>
      </c>
      <c r="Y40" s="11" t="n">
        <v>15000</v>
      </c>
      <c r="Z40" s="10" t="n"/>
      <c r="AA40" s="10" t="n">
        <v>15000</v>
      </c>
      <c r="AB40" s="10" t="n">
        <v>15000</v>
      </c>
      <c r="AC40" s="11" t="n"/>
      <c r="AD40" s="11" t="n">
        <v>15000</v>
      </c>
      <c r="AE40" s="11" t="n">
        <v>15000</v>
      </c>
      <c r="AF40" s="10" t="n"/>
      <c r="AG40" s="10" t="n">
        <v>15000</v>
      </c>
      <c r="AH40" s="10" t="n">
        <v>15000</v>
      </c>
      <c r="AI40" s="11" t="n"/>
      <c r="AJ40" s="11" t="n">
        <v>15000</v>
      </c>
      <c r="AK40" s="11" t="n">
        <v>15000</v>
      </c>
      <c r="AL40" s="10" t="n"/>
      <c r="AM40" s="10" t="n">
        <v>15000</v>
      </c>
      <c r="AN40" s="10" t="n">
        <v>15000</v>
      </c>
      <c r="AO40" s="11" t="n"/>
      <c r="AP40" s="11" t="n">
        <v>15000</v>
      </c>
      <c r="AQ40" s="11" t="n">
        <v>15000</v>
      </c>
      <c r="AR40" s="10" t="n"/>
      <c r="AS40" s="10" t="n">
        <v>15000</v>
      </c>
      <c r="AT40" s="10" t="n">
        <v>15000</v>
      </c>
      <c r="AU40" s="11" t="n"/>
      <c r="AV40" s="11" t="n">
        <v>15000</v>
      </c>
      <c r="AW40" s="11" t="n">
        <v>15000</v>
      </c>
      <c r="AX40" s="10" t="n"/>
      <c r="AY40" s="10" t="n">
        <v>15000</v>
      </c>
      <c r="AZ40" s="10" t="n">
        <v>15000</v>
      </c>
      <c r="BA40" s="11" t="n"/>
      <c r="BB40" s="11" t="n">
        <v>15000</v>
      </c>
      <c r="BC40" s="11" t="n">
        <v>15000</v>
      </c>
      <c r="BD40" s="10" t="n"/>
      <c r="BE40" s="10" t="n">
        <v>15000</v>
      </c>
      <c r="BF40" s="10" t="n">
        <v>15000</v>
      </c>
      <c r="BG40" s="11" t="n"/>
      <c r="BH40" s="11" t="n">
        <v>15000</v>
      </c>
      <c r="BI40" s="11" t="n">
        <v>15000</v>
      </c>
      <c r="BJ40" s="10" t="n"/>
      <c r="BK40" s="10" t="n">
        <v>15000</v>
      </c>
      <c r="BL40" s="10" t="n">
        <v>15000</v>
      </c>
      <c r="BM40" s="11" t="n"/>
      <c r="BN40" s="11" t="n">
        <v>15000</v>
      </c>
      <c r="BO40" s="11" t="n">
        <v>15000</v>
      </c>
      <c r="BP40" s="10" t="n"/>
      <c r="BQ40" s="10" t="n">
        <v>15000</v>
      </c>
      <c r="BR40" s="10" t="n">
        <v>15000</v>
      </c>
      <c r="BS40" s="11" t="n"/>
      <c r="BT40" s="11" t="n">
        <v>15000</v>
      </c>
      <c r="BU40" s="11" t="n">
        <v>15000</v>
      </c>
      <c r="BV40" s="10" t="n"/>
      <c r="BW40" s="10" t="n">
        <v>15000</v>
      </c>
      <c r="BX40" s="10" t="n">
        <v>15000</v>
      </c>
      <c r="BY40" s="11" t="n"/>
      <c r="BZ40" s="11" t="n">
        <v>15000</v>
      </c>
      <c r="CA40" s="11" t="n">
        <v>15000</v>
      </c>
      <c r="CB40" s="35" t="n"/>
      <c r="CC40" s="35" t="n"/>
      <c r="CD40" s="35" t="n"/>
      <c r="CH40" s="35" t="n"/>
      <c r="CI40" s="35" t="n"/>
      <c r="CJ40" s="35" t="n"/>
      <c r="CN40" s="35" t="n"/>
      <c r="CO40" s="35" t="n"/>
      <c r="CP40" s="35" t="n"/>
      <c r="CT40" s="35" t="n"/>
      <c r="CU40" s="35" t="n"/>
      <c r="CV40" s="35" t="n"/>
      <c r="CZ40" s="35" t="n"/>
      <c r="DA40" s="35" t="n"/>
      <c r="DB40" s="35" t="n"/>
      <c r="DF40" s="35" t="n"/>
      <c r="DG40" s="35" t="n"/>
      <c r="DH40" s="35" t="n"/>
      <c r="DL40" s="35" t="n"/>
      <c r="DM40" s="35" t="n"/>
      <c r="DN40" s="35" t="n"/>
    </row>
    <row r="41">
      <c r="A41" s="2" t="inlineStr">
        <is>
          <t>Developer</t>
        </is>
      </c>
      <c r="B41" s="10">
        <f>IF(COUNT(AR41,AO41,AL41,AI41,AF41,AC41,Z41,W41,T41,Q41,N41,K41)=0,"",SUM(AR41,AO41,AL41,AI41,AF41,AC41,Z41,W41,T41,Q41,N41,K41))</f>
        <v/>
      </c>
      <c r="C41" s="10">
        <f>IF(COUNT(AS41,AP41,AM41,AJ41,AG41,AD41,AA41,X41,U41,R41,O41,L41)=0,"",SUM(AS41,AP41,AM41,AJ41,AG41,AD41,AA41,X41,U41,R41,O41,L41))</f>
        <v/>
      </c>
      <c r="D41" s="10">
        <f>IF(COUNT(AT41,AQ41,AN41,AK41,AH41,AE41,AB41,Y41,V41,S41,P41,M41)=0,"",SUM(AT41,AQ41,AN41,AK41,AH41,AE41,AB41,Y41,V41,S41,P41,M41))</f>
        <v/>
      </c>
      <c r="E41" s="11">
        <f>IF(COUNT(CB41,BY41,BV41,BS41,BP41,BM41,BJ41,BG41,BD41,BA41,AX41,AU41)=0,"",SUM(CB41,BY41,BV41,BS41,BP41,BM41,BJ41,BG41,BD41,BA41,AX41,AU41))</f>
        <v/>
      </c>
      <c r="F41" s="11">
        <f>IF(COUNT(CC41,BZ41,BW41,BT41,BQ41,BN41,BK41,BH41,BE41,BB41,AY41,AV41)=0,"",SUM(CC41,BZ41,BW41,BT41,BQ41,BN41,BK41,BH41,BE41,BB41,AY41,AV41))</f>
        <v/>
      </c>
      <c r="G41" s="11">
        <f>IF(COUNT(CD41,CA41,BX41,BU41,BR41,BO41,BL41,BI41,BF41,BC41,AZ41,AW41)=0,"",SUM(CD41,CA41,BX41,BU41,BR41,BO41,BL41,BI41,BF41,BC41,AZ41,AW41))</f>
        <v/>
      </c>
      <c r="H41" s="10">
        <f>IF(COUNT(DL41,DI41,DF41,DC41,CZ41,CW41,CT41,CQ41,CN41,CK41,CH41,CE41)=0,"",SUM(DL41,DI41,DF41,DC41,CZ41,CW41,CT41,CQ41,CN41,CK41,CH41,CE41))</f>
        <v/>
      </c>
      <c r="I41" s="10">
        <f>IF(COUNT(DM41,DJ41,DG41,DD41,DA41,CX41,CU41,CR41,CO41,CL41,CI41,CF41)=0,"",SUM(DM41,DJ41,DG41,DD41,DA41,CX41,CU41,CR41,CO41,CL41,CI41,CF41))</f>
        <v/>
      </c>
      <c r="J41" s="10">
        <f>IF(COUNT(DN41,DK41,DH41,DE41,DB41,CY41,CV41,CS41,CP41,CM41,CJ41,CG41)=0,"",SUM(DN41,DK41,DH41,DE41,DB41,CY41,CV41,CS41,CP41,CM41,CJ41,CG41))</f>
        <v/>
      </c>
      <c r="K41" s="11" t="n"/>
      <c r="L41" s="11" t="n">
        <v>13000</v>
      </c>
      <c r="M41" s="11" t="n">
        <v>13000</v>
      </c>
      <c r="N41" s="10" t="n"/>
      <c r="O41" s="10" t="n">
        <v>13000</v>
      </c>
      <c r="P41" s="10" t="n">
        <v>13000</v>
      </c>
      <c r="Q41" s="11" t="n"/>
      <c r="R41" s="11" t="n">
        <v>13000</v>
      </c>
      <c r="S41" s="11" t="n">
        <v>13000</v>
      </c>
      <c r="T41" s="10" t="n"/>
      <c r="U41" s="10" t="n">
        <v>13000</v>
      </c>
      <c r="V41" s="10" t="n">
        <v>13000</v>
      </c>
      <c r="W41" s="11" t="n"/>
      <c r="X41" s="11" t="n">
        <v>13000</v>
      </c>
      <c r="Y41" s="11" t="n">
        <v>13000</v>
      </c>
      <c r="Z41" s="10" t="n"/>
      <c r="AA41" s="10" t="n">
        <v>13000</v>
      </c>
      <c r="AB41" s="10" t="n">
        <v>13000</v>
      </c>
      <c r="AC41" s="11" t="n"/>
      <c r="AD41" s="11" t="n">
        <v>13000</v>
      </c>
      <c r="AE41" s="11" t="n">
        <v>13000</v>
      </c>
      <c r="AF41" s="10" t="n"/>
      <c r="AG41" s="10" t="n">
        <v>13000</v>
      </c>
      <c r="AH41" s="10" t="n">
        <v>13000</v>
      </c>
      <c r="AI41" s="11" t="n"/>
      <c r="AJ41" s="11" t="n">
        <v>13000</v>
      </c>
      <c r="AK41" s="11" t="n">
        <v>13000</v>
      </c>
      <c r="AL41" s="10" t="n"/>
      <c r="AM41" s="10" t="n">
        <v>13000</v>
      </c>
      <c r="AN41" s="10" t="n">
        <v>13000</v>
      </c>
      <c r="AO41" s="11" t="n"/>
      <c r="AP41" s="11" t="n">
        <v>13000</v>
      </c>
      <c r="AQ41" s="11" t="n">
        <v>13000</v>
      </c>
      <c r="AR41" s="10" t="n"/>
      <c r="AS41" s="10" t="n">
        <v>13000</v>
      </c>
      <c r="AT41" s="10" t="n">
        <v>13000</v>
      </c>
      <c r="AU41" s="11" t="n"/>
      <c r="AV41" s="11" t="n">
        <v>13000</v>
      </c>
      <c r="AW41" s="11" t="n">
        <v>13000</v>
      </c>
      <c r="AX41" s="10" t="n"/>
      <c r="AY41" s="10" t="n">
        <v>13000</v>
      </c>
      <c r="AZ41" s="10" t="n">
        <v>13000</v>
      </c>
      <c r="BA41" s="11" t="n"/>
      <c r="BB41" s="11" t="n">
        <v>13000</v>
      </c>
      <c r="BC41" s="11" t="n">
        <v>13000</v>
      </c>
      <c r="BD41" s="10" t="n"/>
      <c r="BE41" s="10" t="n">
        <v>13000</v>
      </c>
      <c r="BF41" s="10" t="n">
        <v>13000</v>
      </c>
      <c r="BG41" s="11" t="n"/>
      <c r="BH41" s="11" t="n">
        <v>13000</v>
      </c>
      <c r="BI41" s="11" t="n">
        <v>13000</v>
      </c>
      <c r="BJ41" s="35" t="n"/>
      <c r="BK41" s="35" t="n"/>
      <c r="BL41" s="35" t="n"/>
      <c r="BP41" s="35" t="n"/>
      <c r="BQ41" s="35" t="n"/>
      <c r="BR41" s="35" t="n"/>
      <c r="BV41" s="35" t="n"/>
      <c r="BW41" s="35" t="n"/>
      <c r="BX41" s="35" t="n"/>
      <c r="CB41" s="35" t="n"/>
      <c r="CC41" s="35" t="n"/>
      <c r="CD41" s="35" t="n"/>
      <c r="CH41" s="35" t="n"/>
      <c r="CI41" s="35" t="n"/>
      <c r="CJ41" s="35" t="n"/>
      <c r="CN41" s="35" t="n"/>
      <c r="CO41" s="35" t="n"/>
      <c r="CP41" s="35" t="n"/>
      <c r="CT41" s="35" t="n"/>
      <c r="CU41" s="35" t="n"/>
      <c r="CV41" s="35" t="n"/>
      <c r="CZ41" s="35" t="n"/>
      <c r="DA41" s="35" t="n"/>
      <c r="DB41" s="35" t="n"/>
      <c r="DF41" s="35" t="n"/>
      <c r="DG41" s="35" t="n"/>
      <c r="DH41" s="35" t="n"/>
      <c r="DL41" s="35" t="n"/>
      <c r="DM41" s="35" t="n"/>
      <c r="DN41" s="35" t="n"/>
    </row>
    <row r="42">
      <c r="A42" s="2" t="inlineStr">
        <is>
          <t>Senior Developer</t>
        </is>
      </c>
      <c r="B42" s="10">
        <f>IF(COUNT(AR42,AO42,AL42,AI42,AF42,AC42,Z42,W42,T42,Q42,N42,K42)=0,"",SUM(AR42,AO42,AL42,AI42,AF42,AC42,Z42,W42,T42,Q42,N42,K42))</f>
        <v/>
      </c>
      <c r="C42" s="10">
        <f>IF(COUNT(AS42,AP42,AM42,AJ42,AG42,AD42,AA42,X42,U42,R42,O42,L42)=0,"",SUM(AS42,AP42,AM42,AJ42,AG42,AD42,AA42,X42,U42,R42,O42,L42))</f>
        <v/>
      </c>
      <c r="D42" s="10">
        <f>IF(COUNT(AT42,AQ42,AN42,AK42,AH42,AE42,AB42,Y42,V42,S42,P42,M42)=0,"",SUM(AT42,AQ42,AN42,AK42,AH42,AE42,AB42,Y42,V42,S42,P42,M42))</f>
        <v/>
      </c>
      <c r="E42" s="11">
        <f>IF(COUNT(CB42,BY42,BV42,BS42,BP42,BM42,BJ42,BG42,BD42,BA42,AX42,AU42)=0,"",SUM(CB42,BY42,BV42,BS42,BP42,BM42,BJ42,BG42,BD42,BA42,AX42,AU42))</f>
        <v/>
      </c>
      <c r="F42" s="11">
        <f>IF(COUNT(CC42,BZ42,BW42,BT42,BQ42,BN42,BK42,BH42,BE42,BB42,AY42,AV42)=0,"",SUM(CC42,BZ42,BW42,BT42,BQ42,BN42,BK42,BH42,BE42,BB42,AY42,AV42))</f>
        <v/>
      </c>
      <c r="G42" s="11">
        <f>IF(COUNT(CD42,CA42,BX42,BU42,BR42,BO42,BL42,BI42,BF42,BC42,AZ42,AW42)=0,"",SUM(CD42,CA42,BX42,BU42,BR42,BO42,BL42,BI42,BF42,BC42,AZ42,AW42))</f>
        <v/>
      </c>
      <c r="H42" s="10">
        <f>IF(COUNT(DL42,DI42,DF42,DC42,CZ42,CW42,CT42,CQ42,CN42,CK42,CH42,CE42)=0,"",SUM(DL42,DI42,DF42,DC42,CZ42,CW42,CT42,CQ42,CN42,CK42,CH42,CE42))</f>
        <v/>
      </c>
      <c r="I42" s="10">
        <f>IF(COUNT(DM42,DJ42,DG42,DD42,DA42,CX42,CU42,CR42,CO42,CL42,CI42,CF42)=0,"",SUM(DM42,DJ42,DG42,DD42,DA42,CX42,CU42,CR42,CO42,CL42,CI42,CF42))</f>
        <v/>
      </c>
      <c r="J42" s="10">
        <f>IF(COUNT(DN42,DK42,DH42,DE42,DB42,CY42,CV42,CS42,CP42,CM42,CJ42,CG42)=0,"",SUM(DN42,DK42,DH42,DE42,DB42,CY42,CV42,CS42,CP42,CM42,CJ42,CG42))</f>
        <v/>
      </c>
      <c r="K42" s="11" t="n"/>
      <c r="L42" s="11" t="n">
        <v>15000</v>
      </c>
      <c r="M42" s="11" t="n">
        <v>15000</v>
      </c>
      <c r="N42" s="10" t="n"/>
      <c r="O42" s="10" t="n">
        <v>15000</v>
      </c>
      <c r="P42" s="10" t="n">
        <v>15000</v>
      </c>
      <c r="Q42" s="11" t="n"/>
      <c r="R42" s="11" t="n">
        <v>15000</v>
      </c>
      <c r="S42" s="11" t="n">
        <v>15000</v>
      </c>
      <c r="T42" s="10" t="n"/>
      <c r="U42" s="10" t="n">
        <v>15000</v>
      </c>
      <c r="V42" s="10" t="n">
        <v>15000</v>
      </c>
      <c r="W42" s="11" t="n"/>
      <c r="X42" s="11" t="n">
        <v>15000</v>
      </c>
      <c r="Y42" s="11" t="n">
        <v>15000</v>
      </c>
      <c r="Z42" s="10" t="n"/>
      <c r="AA42" s="10" t="n">
        <v>15000</v>
      </c>
      <c r="AB42" s="10" t="n">
        <v>15000</v>
      </c>
      <c r="AC42" s="11" t="n"/>
      <c r="AD42" s="11" t="n">
        <v>15000</v>
      </c>
      <c r="AE42" s="11" t="n">
        <v>15000</v>
      </c>
      <c r="AF42" s="10" t="n"/>
      <c r="AG42" s="10" t="n">
        <v>15000</v>
      </c>
      <c r="AH42" s="10" t="n">
        <v>15000</v>
      </c>
      <c r="AI42" s="11" t="n"/>
      <c r="AJ42" s="11" t="n">
        <v>15000</v>
      </c>
      <c r="AK42" s="11" t="n">
        <v>15000</v>
      </c>
      <c r="AL42" s="10" t="n"/>
      <c r="AM42" s="10" t="n">
        <v>15000</v>
      </c>
      <c r="AN42" s="10" t="n">
        <v>15000</v>
      </c>
      <c r="AO42" s="11" t="n"/>
      <c r="AP42" s="11" t="n">
        <v>15000</v>
      </c>
      <c r="AQ42" s="11" t="n">
        <v>15000</v>
      </c>
      <c r="AR42" s="35" t="n"/>
      <c r="AS42" s="35" t="n"/>
      <c r="AT42" s="35" t="n"/>
      <c r="AX42" s="35" t="n"/>
      <c r="AY42" s="35" t="n"/>
      <c r="AZ42" s="35" t="n"/>
      <c r="BD42" s="35" t="n"/>
      <c r="BE42" s="35" t="n"/>
      <c r="BF42" s="35" t="n"/>
      <c r="BJ42" s="35" t="n"/>
      <c r="BK42" s="35" t="n"/>
      <c r="BL42" s="35" t="n"/>
      <c r="BP42" s="35" t="n"/>
      <c r="BQ42" s="35" t="n"/>
      <c r="BR42" s="35" t="n"/>
      <c r="BV42" s="35" t="n"/>
      <c r="BW42" s="35" t="n"/>
      <c r="BX42" s="35" t="n"/>
      <c r="CB42" s="35" t="n"/>
      <c r="CC42" s="35" t="n"/>
      <c r="CD42" s="35" t="n"/>
      <c r="CH42" s="35" t="n"/>
      <c r="CI42" s="35" t="n"/>
      <c r="CJ42" s="35" t="n"/>
      <c r="CN42" s="35" t="n"/>
      <c r="CO42" s="35" t="n"/>
      <c r="CP42" s="35" t="n"/>
      <c r="CT42" s="35" t="n"/>
      <c r="CU42" s="35" t="n"/>
      <c r="CV42" s="35" t="n"/>
      <c r="CZ42" s="35" t="n"/>
      <c r="DA42" s="35" t="n"/>
      <c r="DB42" s="35" t="n"/>
      <c r="DF42" s="35" t="n"/>
      <c r="DG42" s="35" t="n"/>
      <c r="DH42" s="35" t="n"/>
      <c r="DL42" s="35" t="n"/>
      <c r="DM42" s="35" t="n"/>
      <c r="DN42" s="35" t="n"/>
    </row>
    <row r="43">
      <c r="A43" s="2" t="inlineStr">
        <is>
          <t>Developer</t>
        </is>
      </c>
      <c r="B43" s="10">
        <f>IF(COUNT(AR43,AO43,AL43,AI43,AF43,AC43,Z43,W43,T43,Q43,N43,K43)=0,"",SUM(AR43,AO43,AL43,AI43,AF43,AC43,Z43,W43,T43,Q43,N43,K43))</f>
        <v/>
      </c>
      <c r="C43" s="10">
        <f>IF(COUNT(AS43,AP43,AM43,AJ43,AG43,AD43,AA43,X43,U43,R43,O43,L43)=0,"",SUM(AS43,AP43,AM43,AJ43,AG43,AD43,AA43,X43,U43,R43,O43,L43))</f>
        <v/>
      </c>
      <c r="D43" s="10">
        <f>IF(COUNT(AT43,AQ43,AN43,AK43,AH43,AE43,AB43,Y43,V43,S43,P43,M43)=0,"",SUM(AT43,AQ43,AN43,AK43,AH43,AE43,AB43,Y43,V43,S43,P43,M43))</f>
        <v/>
      </c>
      <c r="E43" s="11">
        <f>IF(COUNT(CB43,BY43,BV43,BS43,BP43,BM43,BJ43,BG43,BD43,BA43,AX43,AU43)=0,"",SUM(CB43,BY43,BV43,BS43,BP43,BM43,BJ43,BG43,BD43,BA43,AX43,AU43))</f>
        <v/>
      </c>
      <c r="F43" s="11">
        <f>IF(COUNT(CC43,BZ43,BW43,BT43,BQ43,BN43,BK43,BH43,BE43,BB43,AY43,AV43)=0,"",SUM(CC43,BZ43,BW43,BT43,BQ43,BN43,BK43,BH43,BE43,BB43,AY43,AV43))</f>
        <v/>
      </c>
      <c r="G43" s="11">
        <f>IF(COUNT(CD43,CA43,BX43,BU43,BR43,BO43,BL43,BI43,BF43,BC43,AZ43,AW43)=0,"",SUM(CD43,CA43,BX43,BU43,BR43,BO43,BL43,BI43,BF43,BC43,AZ43,AW43))</f>
        <v/>
      </c>
      <c r="H43" s="10">
        <f>IF(COUNT(DL43,DI43,DF43,DC43,CZ43,CW43,CT43,CQ43,CN43,CK43,CH43,CE43)=0,"",SUM(DL43,DI43,DF43,DC43,CZ43,CW43,CT43,CQ43,CN43,CK43,CH43,CE43))</f>
        <v/>
      </c>
      <c r="I43" s="10">
        <f>IF(COUNT(DM43,DJ43,DG43,DD43,DA43,CX43,CU43,CR43,CO43,CL43,CI43,CF43)=0,"",SUM(DM43,DJ43,DG43,DD43,DA43,CX43,CU43,CR43,CO43,CL43,CI43,CF43))</f>
        <v/>
      </c>
      <c r="J43" s="10">
        <f>IF(COUNT(DN43,DK43,DH43,DE43,DB43,CY43,CV43,CS43,CP43,CM43,CJ43,CG43)=0,"",SUM(DN43,DK43,DH43,DE43,DB43,CY43,CV43,CS43,CP43,CM43,CJ43,CG43))</f>
        <v/>
      </c>
      <c r="K43" s="11" t="n"/>
      <c r="L43" s="11" t="n">
        <v>13000</v>
      </c>
      <c r="M43" s="11" t="n">
        <v>13000</v>
      </c>
      <c r="N43" s="10" t="n"/>
      <c r="O43" s="10" t="n">
        <v>13000</v>
      </c>
      <c r="P43" s="10" t="n">
        <v>13000</v>
      </c>
      <c r="Q43" s="11" t="n"/>
      <c r="R43" s="11" t="n">
        <v>13000</v>
      </c>
      <c r="S43" s="11" t="n">
        <v>13000</v>
      </c>
      <c r="T43" s="10" t="n"/>
      <c r="U43" s="10" t="n">
        <v>13000</v>
      </c>
      <c r="V43" s="10" t="n">
        <v>13000</v>
      </c>
      <c r="W43" s="11" t="n"/>
      <c r="X43" s="11" t="n">
        <v>13000</v>
      </c>
      <c r="Y43" s="11" t="n">
        <v>13000</v>
      </c>
      <c r="Z43" s="10" t="n"/>
      <c r="AA43" s="10" t="n">
        <v>13000</v>
      </c>
      <c r="AB43" s="10" t="n">
        <v>13000</v>
      </c>
      <c r="AC43" s="11" t="n"/>
      <c r="AD43" s="11" t="n">
        <v>13000</v>
      </c>
      <c r="AE43" s="11" t="n">
        <v>13000</v>
      </c>
      <c r="AF43" s="10" t="n"/>
      <c r="AG43" s="10" t="n">
        <v>13000</v>
      </c>
      <c r="AH43" s="10" t="n">
        <v>13000</v>
      </c>
      <c r="AI43" s="11" t="n"/>
      <c r="AJ43" s="11" t="n">
        <v>13000</v>
      </c>
      <c r="AK43" s="11" t="n">
        <v>13000</v>
      </c>
      <c r="AL43" s="10" t="n"/>
      <c r="AM43" s="10" t="n">
        <v>13000</v>
      </c>
      <c r="AN43" s="10" t="n">
        <v>13000</v>
      </c>
      <c r="AO43" s="11" t="n"/>
      <c r="AP43" s="11" t="n">
        <v>13000</v>
      </c>
      <c r="AQ43" s="11" t="n">
        <v>13000</v>
      </c>
      <c r="AR43" s="10" t="n"/>
      <c r="AS43" s="10" t="n">
        <v>13000</v>
      </c>
      <c r="AT43" s="10" t="n">
        <v>13000</v>
      </c>
      <c r="AU43" s="11" t="n"/>
      <c r="AV43" s="11" t="n">
        <v>13000</v>
      </c>
      <c r="AW43" s="11" t="n">
        <v>13000</v>
      </c>
      <c r="AX43" s="10" t="n"/>
      <c r="AY43" s="10" t="n">
        <v>13000</v>
      </c>
      <c r="AZ43" s="10" t="n">
        <v>13000</v>
      </c>
      <c r="BA43" s="11" t="n"/>
      <c r="BB43" s="11" t="n">
        <v>13000</v>
      </c>
      <c r="BC43" s="11" t="n">
        <v>13000</v>
      </c>
      <c r="BD43" s="10" t="n"/>
      <c r="BE43" s="10" t="n">
        <v>13000</v>
      </c>
      <c r="BF43" s="10" t="n">
        <v>13000</v>
      </c>
      <c r="BG43" s="11" t="n"/>
      <c r="BH43" s="11" t="n">
        <v>13000</v>
      </c>
      <c r="BI43" s="11" t="n">
        <v>13000</v>
      </c>
      <c r="BJ43" s="10" t="n"/>
      <c r="BK43" s="10" t="n">
        <v>13000</v>
      </c>
      <c r="BL43" s="10" t="n">
        <v>13000</v>
      </c>
      <c r="BM43" s="11" t="n"/>
      <c r="BN43" s="11" t="n">
        <v>13000</v>
      </c>
      <c r="BO43" s="11" t="n">
        <v>13000</v>
      </c>
      <c r="BP43" s="35" t="n"/>
      <c r="BQ43" s="35" t="n"/>
      <c r="BR43" s="35" t="n"/>
      <c r="BV43" s="35" t="n"/>
      <c r="BW43" s="35" t="n"/>
      <c r="BX43" s="35" t="n"/>
      <c r="CB43" s="35" t="n"/>
      <c r="CC43" s="35" t="n"/>
      <c r="CD43" s="35" t="n"/>
      <c r="CH43" s="35" t="n"/>
      <c r="CI43" s="35" t="n"/>
      <c r="CJ43" s="35" t="n"/>
      <c r="CN43" s="35" t="n"/>
      <c r="CO43" s="35" t="n"/>
      <c r="CP43" s="35" t="n"/>
      <c r="CT43" s="35" t="n"/>
      <c r="CU43" s="35" t="n"/>
      <c r="CV43" s="35" t="n"/>
      <c r="CZ43" s="35" t="n"/>
      <c r="DA43" s="35" t="n"/>
      <c r="DB43" s="35" t="n"/>
      <c r="DF43" s="35" t="n"/>
      <c r="DG43" s="35" t="n"/>
      <c r="DH43" s="35" t="n"/>
      <c r="DL43" s="35" t="n"/>
      <c r="DM43" s="35" t="n"/>
      <c r="DN43" s="35" t="n"/>
    </row>
    <row r="44">
      <c r="A44" s="2" t="inlineStr">
        <is>
          <t>Senior Developer</t>
        </is>
      </c>
      <c r="B44" s="10">
        <f>IF(COUNT(AR44,AO44,AL44,AI44,AF44,AC44,Z44,W44,T44,Q44,N44,K44)=0,"",SUM(AR44,AO44,AL44,AI44,AF44,AC44,Z44,W44,T44,Q44,N44,K44))</f>
        <v/>
      </c>
      <c r="C44" s="10">
        <f>IF(COUNT(AS44,AP44,AM44,AJ44,AG44,AD44,AA44,X44,U44,R44,O44,L44)=0,"",SUM(AS44,AP44,AM44,AJ44,AG44,AD44,AA44,X44,U44,R44,O44,L44))</f>
        <v/>
      </c>
      <c r="D44" s="10">
        <f>IF(COUNT(AT44,AQ44,AN44,AK44,AH44,AE44,AB44,Y44,V44,S44,P44,M44)=0,"",SUM(AT44,AQ44,AN44,AK44,AH44,AE44,AB44,Y44,V44,S44,P44,M44))</f>
        <v/>
      </c>
      <c r="E44" s="11">
        <f>IF(COUNT(CB44,BY44,BV44,BS44,BP44,BM44,BJ44,BG44,BD44,BA44,AX44,AU44)=0,"",SUM(CB44,BY44,BV44,BS44,BP44,BM44,BJ44,BG44,BD44,BA44,AX44,AU44))</f>
        <v/>
      </c>
      <c r="F44" s="11">
        <f>IF(COUNT(CC44,BZ44,BW44,BT44,BQ44,BN44,BK44,BH44,BE44,BB44,AY44,AV44)=0,"",SUM(CC44,BZ44,BW44,BT44,BQ44,BN44,BK44,BH44,BE44,BB44,AY44,AV44))</f>
        <v/>
      </c>
      <c r="G44" s="11">
        <f>IF(COUNT(CD44,CA44,BX44,BU44,BR44,BO44,BL44,BI44,BF44,BC44,AZ44,AW44)=0,"",SUM(CD44,CA44,BX44,BU44,BR44,BO44,BL44,BI44,BF44,BC44,AZ44,AW44))</f>
        <v/>
      </c>
      <c r="H44" s="10">
        <f>IF(COUNT(DL44,DI44,DF44,DC44,CZ44,CW44,CT44,CQ44,CN44,CK44,CH44,CE44)=0,"",SUM(DL44,DI44,DF44,DC44,CZ44,CW44,CT44,CQ44,CN44,CK44,CH44,CE44))</f>
        <v/>
      </c>
      <c r="I44" s="10">
        <f>IF(COUNT(DM44,DJ44,DG44,DD44,DA44,CX44,CU44,CR44,CO44,CL44,CI44,CF44)=0,"",SUM(DM44,DJ44,DG44,DD44,DA44,CX44,CU44,CR44,CO44,CL44,CI44,CF44))</f>
        <v/>
      </c>
      <c r="J44" s="10">
        <f>IF(COUNT(DN44,DK44,DH44,DE44,DB44,CY44,CV44,CS44,CP44,CM44,CJ44,CG44)=0,"",SUM(DN44,DK44,DH44,DE44,DB44,CY44,CV44,CS44,CP44,CM44,CJ44,CG44))</f>
        <v/>
      </c>
      <c r="K44" s="11" t="n"/>
      <c r="L44" s="11" t="n">
        <v>15000</v>
      </c>
      <c r="M44" s="11" t="n">
        <v>15000</v>
      </c>
      <c r="N44" s="10" t="n"/>
      <c r="O44" s="10" t="n">
        <v>15000</v>
      </c>
      <c r="P44" s="10" t="n">
        <v>15000</v>
      </c>
      <c r="Q44" s="11" t="n"/>
      <c r="R44" s="11" t="n">
        <v>15000</v>
      </c>
      <c r="S44" s="11" t="n">
        <v>15000</v>
      </c>
      <c r="T44" s="10" t="n"/>
      <c r="U44" s="10" t="n">
        <v>15000</v>
      </c>
      <c r="V44" s="10" t="n">
        <v>15000</v>
      </c>
      <c r="W44" s="11" t="n"/>
      <c r="X44" s="11" t="n">
        <v>15000</v>
      </c>
      <c r="Y44" s="11" t="n">
        <v>15000</v>
      </c>
      <c r="Z44" s="10" t="n"/>
      <c r="AA44" s="10" t="n">
        <v>15000</v>
      </c>
      <c r="AB44" s="10" t="n">
        <v>15000</v>
      </c>
      <c r="AC44" s="11" t="n"/>
      <c r="AD44" s="11" t="n">
        <v>15000</v>
      </c>
      <c r="AE44" s="11" t="n">
        <v>15000</v>
      </c>
      <c r="AF44" s="10" t="n"/>
      <c r="AG44" s="10" t="n">
        <v>15000</v>
      </c>
      <c r="AH44" s="10" t="n">
        <v>15000</v>
      </c>
      <c r="AI44" s="11" t="n"/>
      <c r="AJ44" s="11" t="n">
        <v>15000</v>
      </c>
      <c r="AK44" s="11" t="n">
        <v>15000</v>
      </c>
      <c r="AL44" s="10" t="n"/>
      <c r="AM44" s="10" t="n">
        <v>15000</v>
      </c>
      <c r="AN44" s="10" t="n">
        <v>15000</v>
      </c>
      <c r="AO44" s="11" t="n"/>
      <c r="AP44" s="11" t="n">
        <v>15000</v>
      </c>
      <c r="AQ44" s="11" t="n">
        <v>15000</v>
      </c>
      <c r="AR44" s="10" t="n"/>
      <c r="AS44" s="10" t="n">
        <v>15000</v>
      </c>
      <c r="AT44" s="10" t="n">
        <v>15000</v>
      </c>
      <c r="AU44" s="11" t="n"/>
      <c r="AV44" s="11" t="n">
        <v>15000</v>
      </c>
      <c r="AW44" s="11" t="n">
        <v>15000</v>
      </c>
      <c r="AX44" s="10" t="n"/>
      <c r="AY44" s="10" t="n">
        <v>15000</v>
      </c>
      <c r="AZ44" s="10" t="n">
        <v>15000</v>
      </c>
      <c r="BD44" s="35" t="n"/>
      <c r="BE44" s="35" t="n"/>
      <c r="BF44" s="35" t="n"/>
      <c r="BJ44" s="35" t="n"/>
      <c r="BK44" s="35" t="n"/>
      <c r="BL44" s="35" t="n"/>
      <c r="BP44" s="35" t="n"/>
      <c r="BQ44" s="35" t="n"/>
      <c r="BR44" s="35" t="n"/>
      <c r="BV44" s="35" t="n"/>
      <c r="BW44" s="35" t="n"/>
      <c r="BX44" s="35" t="n"/>
      <c r="CB44" s="35" t="n"/>
      <c r="CC44" s="35" t="n"/>
      <c r="CD44" s="35" t="n"/>
      <c r="CH44" s="35" t="n"/>
      <c r="CI44" s="35" t="n"/>
      <c r="CJ44" s="35" t="n"/>
      <c r="CN44" s="35" t="n"/>
      <c r="CO44" s="35" t="n"/>
      <c r="CP44" s="35" t="n"/>
      <c r="CT44" s="35" t="n"/>
      <c r="CU44" s="35" t="n"/>
      <c r="CV44" s="35" t="n"/>
      <c r="CZ44" s="35" t="n"/>
      <c r="DA44" s="35" t="n"/>
      <c r="DB44" s="35" t="n"/>
      <c r="DF44" s="35" t="n"/>
      <c r="DG44" s="35" t="n"/>
      <c r="DH44" s="35" t="n"/>
      <c r="DL44" s="35" t="n"/>
      <c r="DM44" s="35" t="n"/>
      <c r="DN44" s="35" t="n"/>
    </row>
    <row r="45">
      <c r="A45" s="2" t="inlineStr">
        <is>
          <t>QA Engineer</t>
        </is>
      </c>
      <c r="B45" s="10">
        <f>IF(COUNT(AR45,AO45,AL45,AI45,AF45,AC45,Z45,W45,T45,Q45,N45,K45)=0,"",SUM(AR45,AO45,AL45,AI45,AF45,AC45,Z45,W45,T45,Q45,N45,K45))</f>
        <v/>
      </c>
      <c r="C45" s="10">
        <f>IF(COUNT(AS45,AP45,AM45,AJ45,AG45,AD45,AA45,X45,U45,R45,O45,L45)=0,"",SUM(AS45,AP45,AM45,AJ45,AG45,AD45,AA45,X45,U45,R45,O45,L45))</f>
        <v/>
      </c>
      <c r="D45" s="10">
        <f>IF(COUNT(AT45,AQ45,AN45,AK45,AH45,AE45,AB45,Y45,V45,S45,P45,M45)=0,"",SUM(AT45,AQ45,AN45,AK45,AH45,AE45,AB45,Y45,V45,S45,P45,M45))</f>
        <v/>
      </c>
      <c r="E45" s="11">
        <f>IF(COUNT(CB45,BY45,BV45,BS45,BP45,BM45,BJ45,BG45,BD45,BA45,AX45,AU45)=0,"",SUM(CB45,BY45,BV45,BS45,BP45,BM45,BJ45,BG45,BD45,BA45,AX45,AU45))</f>
        <v/>
      </c>
      <c r="F45" s="11">
        <f>IF(COUNT(CC45,BZ45,BW45,BT45,BQ45,BN45,BK45,BH45,BE45,BB45,AY45,AV45)=0,"",SUM(CC45,BZ45,BW45,BT45,BQ45,BN45,BK45,BH45,BE45,BB45,AY45,AV45))</f>
        <v/>
      </c>
      <c r="G45" s="11">
        <f>IF(COUNT(CD45,CA45,BX45,BU45,BR45,BO45,BL45,BI45,BF45,BC45,AZ45,AW45)=0,"",SUM(CD45,CA45,BX45,BU45,BR45,BO45,BL45,BI45,BF45,BC45,AZ45,AW45))</f>
        <v/>
      </c>
      <c r="H45" s="10">
        <f>IF(COUNT(DL45,DI45,DF45,DC45,CZ45,CW45,CT45,CQ45,CN45,CK45,CH45,CE45)=0,"",SUM(DL45,DI45,DF45,DC45,CZ45,CW45,CT45,CQ45,CN45,CK45,CH45,CE45))</f>
        <v/>
      </c>
      <c r="I45" s="10">
        <f>IF(COUNT(DM45,DJ45,DG45,DD45,DA45,CX45,CU45,CR45,CO45,CL45,CI45,CF45)=0,"",SUM(DM45,DJ45,DG45,DD45,DA45,CX45,CU45,CR45,CO45,CL45,CI45,CF45))</f>
        <v/>
      </c>
      <c r="J45" s="10">
        <f>IF(COUNT(DN45,DK45,DH45,DE45,DB45,CY45,CV45,CS45,CP45,CM45,CJ45,CG45)=0,"",SUM(DN45,DK45,DH45,DE45,DB45,CY45,CV45,CS45,CP45,CM45,CJ45,CG45))</f>
        <v/>
      </c>
      <c r="K45" s="11" t="n"/>
      <c r="L45" s="11" t="n">
        <v>12000</v>
      </c>
      <c r="M45" s="11" t="n">
        <v>12000</v>
      </c>
      <c r="N45" s="10" t="n"/>
      <c r="O45" s="10" t="n">
        <v>12000</v>
      </c>
      <c r="P45" s="10" t="n">
        <v>12000</v>
      </c>
      <c r="Q45" s="11" t="n"/>
      <c r="R45" s="11" t="n">
        <v>12000</v>
      </c>
      <c r="S45" s="11" t="n">
        <v>12000</v>
      </c>
      <c r="T45" s="10" t="n"/>
      <c r="U45" s="10" t="n">
        <v>12000</v>
      </c>
      <c r="V45" s="10" t="n">
        <v>12000</v>
      </c>
      <c r="W45" s="11" t="n"/>
      <c r="X45" s="11" t="n">
        <v>12000</v>
      </c>
      <c r="Y45" s="11" t="n">
        <v>12000</v>
      </c>
      <c r="Z45" s="10" t="n"/>
      <c r="AA45" s="10" t="n">
        <v>12000</v>
      </c>
      <c r="AB45" s="10" t="n">
        <v>12000</v>
      </c>
      <c r="AC45" s="11" t="n"/>
      <c r="AD45" s="11" t="n">
        <v>12000</v>
      </c>
      <c r="AE45" s="11" t="n">
        <v>12000</v>
      </c>
      <c r="AF45" s="10" t="n"/>
      <c r="AG45" s="10" t="n">
        <v>12000</v>
      </c>
      <c r="AH45" s="10" t="n">
        <v>12000</v>
      </c>
      <c r="AI45" s="11" t="n"/>
      <c r="AJ45" s="11" t="n">
        <v>12000</v>
      </c>
      <c r="AK45" s="11" t="n">
        <v>12000</v>
      </c>
      <c r="AL45" s="10" t="n"/>
      <c r="AM45" s="10" t="n">
        <v>12000</v>
      </c>
      <c r="AN45" s="10" t="n">
        <v>12000</v>
      </c>
      <c r="AO45" s="11" t="n"/>
      <c r="AP45" s="11" t="n">
        <v>12000</v>
      </c>
      <c r="AQ45" s="11" t="n">
        <v>12000</v>
      </c>
      <c r="AR45" s="10" t="n"/>
      <c r="AS45" s="10" t="n">
        <v>12000</v>
      </c>
      <c r="AT45" s="10" t="n">
        <v>12000</v>
      </c>
      <c r="AX45" s="35" t="n"/>
      <c r="AY45" s="35" t="n"/>
      <c r="AZ45" s="35" t="n"/>
      <c r="BD45" s="35" t="n"/>
      <c r="BE45" s="35" t="n"/>
      <c r="BF45" s="35" t="n"/>
      <c r="BJ45" s="35" t="n"/>
      <c r="BK45" s="35" t="n"/>
      <c r="BL45" s="35" t="n"/>
      <c r="BP45" s="35" t="n"/>
      <c r="BQ45" s="35" t="n"/>
      <c r="BR45" s="35" t="n"/>
      <c r="BV45" s="35" t="n"/>
      <c r="BW45" s="35" t="n"/>
      <c r="BX45" s="35" t="n"/>
      <c r="CB45" s="35" t="n"/>
      <c r="CC45" s="35" t="n"/>
      <c r="CD45" s="35" t="n"/>
      <c r="CH45" s="35" t="n"/>
      <c r="CI45" s="35" t="n"/>
      <c r="CJ45" s="35" t="n"/>
      <c r="CN45" s="35" t="n"/>
      <c r="CO45" s="35" t="n"/>
      <c r="CP45" s="35" t="n"/>
      <c r="CT45" s="35" t="n"/>
      <c r="CU45" s="35" t="n"/>
      <c r="CV45" s="35" t="n"/>
      <c r="CZ45" s="35" t="n"/>
      <c r="DA45" s="35" t="n"/>
      <c r="DB45" s="35" t="n"/>
      <c r="DF45" s="35" t="n"/>
      <c r="DG45" s="35" t="n"/>
      <c r="DH45" s="35" t="n"/>
      <c r="DL45" s="35" t="n"/>
      <c r="DM45" s="35" t="n"/>
      <c r="DN45" s="35" t="n"/>
    </row>
    <row r="46">
      <c r="A46" s="12" t="inlineStr">
        <is>
          <t>Total People Cost</t>
        </is>
      </c>
      <c r="B46" s="13">
        <f>IF(COUNT(AR46,AO46,AL46,AI46,AF46,AC46,Z46,W46,T46,Q46,N46,K46)=0,"",SUM(AR46,AO46,AL46,AI46,AF46,AC46,Z46,W46,T46,Q46,N46,K46))</f>
        <v/>
      </c>
      <c r="C46" s="13">
        <f>IF(COUNT(AS46,AP46,AM46,AJ46,AG46,AD46,AA46,X46,U46,R46,O46,L46)=0,"",SUM(AS46,AP46,AM46,AJ46,AG46,AD46,AA46,X46,U46,R46,O46,L46))</f>
        <v/>
      </c>
      <c r="D46" s="13">
        <f>IF(COUNT(AT46,AQ46,AN46,AK46,AH46,AE46,AB46,Y46,V46,S46,P46,M46)=0,"",SUM(AT46,AQ46,AN46,AK46,AH46,AE46,AB46,Y46,V46,S46,P46,M46))</f>
        <v/>
      </c>
      <c r="E46" s="14">
        <f>IF(COUNT(CB46,BY46,BV46,BS46,BP46,BM46,BJ46,BG46,BD46,BA46,AX46,AU46)=0,"",SUM(CB46,BY46,BV46,BS46,BP46,BM46,BJ46,BG46,BD46,BA46,AX46,AU46))</f>
        <v/>
      </c>
      <c r="F46" s="14">
        <f>IF(COUNT(CC46,BZ46,BW46,BT46,BQ46,BN46,BK46,BH46,BE46,BB46,AY46,AV46)=0,"",SUM(CC46,BZ46,BW46,BT46,BQ46,BN46,BK46,BH46,BE46,BB46,AY46,AV46))</f>
        <v/>
      </c>
      <c r="G46" s="14">
        <f>IF(COUNT(CD46,CA46,BX46,BU46,BR46,BO46,BL46,BI46,BF46,BC46,AZ46,AW46)=0,"",SUM(CD46,CA46,BX46,BU46,BR46,BO46,BL46,BI46,BF46,BC46,AZ46,AW46))</f>
        <v/>
      </c>
      <c r="H46" s="13">
        <f>IF(COUNT(DL46,DI46,DF46,DC46,CZ46,CW46,CT46,CQ46,CN46,CK46,CH46,CE46)=0,"",SUM(DL46,DI46,DF46,DC46,CZ46,CW46,CT46,CQ46,CN46,CK46,CH46,CE46))</f>
        <v/>
      </c>
      <c r="I46" s="13">
        <f>IF(COUNT(DM46,DJ46,DG46,DD46,DA46,CX46,CU46,CR46,CO46,CL46,CI46,CF46)=0,"",SUM(DM46,DJ46,DG46,DD46,DA46,CX46,CU46,CR46,CO46,CL46,CI46,CF46))</f>
        <v/>
      </c>
      <c r="J46" s="13">
        <f>IF(COUNT(DN46,DK46,DH46,DE46,DB46,CY46,CV46,CS46,CP46,CM46,CJ46,CG46)=0,"",SUM(DN46,DK46,DH46,DE46,DB46,CY46,CV46,CS46,CP46,CM46,CJ46,CG46))</f>
        <v/>
      </c>
      <c r="K46" s="14">
        <f>IF(COUNT(K30,K31,K32,K33,K34,K35,K36,K37,K38,K39,K40,K41,K42,K43,K44,K45)=0,"",SUM(K30:K45))</f>
        <v/>
      </c>
      <c r="L46" s="14">
        <f>SUM(L30:L45)</f>
        <v/>
      </c>
      <c r="M46" s="14">
        <f>SUM(M30:M45)</f>
        <v/>
      </c>
      <c r="N46" s="13">
        <f>IF(COUNT(N30,N31,N32,N33,N34,N35,N36,N37,N38,N39,N40,N41,N42,N43,N44,N45)=0,"",SUM(N30:N45))</f>
        <v/>
      </c>
      <c r="O46" s="13">
        <f>SUM(O30:O45)</f>
        <v/>
      </c>
      <c r="P46" s="13">
        <f>SUM(P30:P45)</f>
        <v/>
      </c>
      <c r="Q46" s="14">
        <f>IF(COUNT(Q30,Q31,Q32,Q33,Q34,Q35,Q36,Q37,Q38,Q39,Q40,Q41,Q42,Q43,Q44,Q45)=0,"",SUM(Q30:Q45))</f>
        <v/>
      </c>
      <c r="R46" s="14">
        <f>SUM(R30:R45)</f>
        <v/>
      </c>
      <c r="S46" s="14">
        <f>SUM(S30:S45)</f>
        <v/>
      </c>
      <c r="T46" s="13">
        <f>IF(COUNT(T30,T31,T32,T33,T34,T35,T36,T37,T38,T39,T40,T41,T42,T43,T44,T45)=0,"",SUM(T30:T45))</f>
        <v/>
      </c>
      <c r="U46" s="13">
        <f>SUM(U30:U45)</f>
        <v/>
      </c>
      <c r="V46" s="13">
        <f>SUM(V30:V45)</f>
        <v/>
      </c>
      <c r="W46" s="14">
        <f>IF(COUNT(W30,W31,W32,W33,W34,W35,W36,W37,W38,W39,W40,W41,W42,W43,W44,W45)=0,"",SUM(W30:W45))</f>
        <v/>
      </c>
      <c r="X46" s="14">
        <f>SUM(X30:X45)</f>
        <v/>
      </c>
      <c r="Y46" s="14">
        <f>SUM(Y30:Y45)</f>
        <v/>
      </c>
      <c r="Z46" s="13">
        <f>IF(COUNT(Z30,Z31,Z32,Z33,Z34,Z35,Z36,Z37,Z38,Z39,Z40,Z41,Z42,Z43,Z44,Z45)=0,"",SUM(Z30:Z45))</f>
        <v/>
      </c>
      <c r="AA46" s="13">
        <f>SUM(AA30:AA45)</f>
        <v/>
      </c>
      <c r="AB46" s="13">
        <f>SUM(AB30:AB45)</f>
        <v/>
      </c>
      <c r="AC46" s="14">
        <f>IF(COUNT(AC30,AC31,AC32,AC33,AC34,AC35,AC36,AC37,AC38,AC39,AC40,AC41,AC42,AC43,AC44,AC45)=0,"",SUM(AC30:AC45))</f>
        <v/>
      </c>
      <c r="AD46" s="14">
        <f>SUM(AD30:AD45)</f>
        <v/>
      </c>
      <c r="AE46" s="14">
        <f>SUM(AE30:AE45)</f>
        <v/>
      </c>
      <c r="AF46" s="13">
        <f>IF(COUNT(AF30,AF31,AF32,AF33,AF34,AF35,AF36,AF37,AF38,AF39,AF40,AF41,AF42,AF43,AF44,AF45)=0,"",SUM(AF30:AF45))</f>
        <v/>
      </c>
      <c r="AG46" s="13">
        <f>SUM(AG30:AG45)</f>
        <v/>
      </c>
      <c r="AH46" s="13">
        <f>SUM(AH30:AH45)</f>
        <v/>
      </c>
      <c r="AI46" s="14">
        <f>IF(COUNT(AI30,AI31,AI32,AI33,AI34,AI35,AI36,AI37,AI38,AI39,AI40,AI41,AI42,AI43,AI44,AI45)=0,"",SUM(AI30:AI45))</f>
        <v/>
      </c>
      <c r="AJ46" s="14">
        <f>SUM(AJ30:AJ45)</f>
        <v/>
      </c>
      <c r="AK46" s="14">
        <f>SUM(AK30:AK45)</f>
        <v/>
      </c>
      <c r="AL46" s="13">
        <f>IF(COUNT(AL30,AL31,AL32,AL33,AL34,AL35,AL36,AL37,AL38,AL39,AL40,AL41,AL42,AL43,AL44,AL45)=0,"",SUM(AL30:AL45))</f>
        <v/>
      </c>
      <c r="AM46" s="13">
        <f>SUM(AM30:AM45)</f>
        <v/>
      </c>
      <c r="AN46" s="13">
        <f>SUM(AN30:AN45)</f>
        <v/>
      </c>
      <c r="AO46" s="14">
        <f>IF(COUNT(AO30,AO31,AO32,AO33,AO34,AO35,AO36,AO37,AO38,AO39,AO40,AO41,AO42,AO43,AO44,AO45)=0,"",SUM(AO30:AO45))</f>
        <v/>
      </c>
      <c r="AP46" s="14">
        <f>SUM(AP30:AP45)</f>
        <v/>
      </c>
      <c r="AQ46" s="14">
        <f>SUM(AQ30:AQ45)</f>
        <v/>
      </c>
      <c r="AR46" s="13">
        <f>IF(COUNT(AR30,AR31,AR32,AR33,AR34,AR35,AR36,AR37,AR38,AR39,AR40,AR41,AR43,AR44,AR45)=0,"",SUM(AR30:AR45))</f>
        <v/>
      </c>
      <c r="AS46" s="13">
        <f>SUM(AS30:AS45)</f>
        <v/>
      </c>
      <c r="AT46" s="13">
        <f>SUM(AT30:AT45)</f>
        <v/>
      </c>
      <c r="AU46" s="14">
        <f>IF(COUNT(AU30,AU31,AU32,AU33,AU34,AU35,AU36,AU37,AU38,AU39,AU40,AU41,AU43,AU44)=0,"",SUM(AU30:AU45))</f>
        <v/>
      </c>
      <c r="AV46" s="14">
        <f>SUM(AV30:AV45)</f>
        <v/>
      </c>
      <c r="AW46" s="14">
        <f>SUM(AW30:AW45)</f>
        <v/>
      </c>
      <c r="AX46" s="13">
        <f>IF(COUNT(AX30,AX31,AX32,AX33,AX34,AX35,AX36,AX37,AX38,AX39,AX40,AX41,AX43,AX44)=0,"",SUM(AX30:AX45))</f>
        <v/>
      </c>
      <c r="AY46" s="13">
        <f>SUM(AY30:AY45)</f>
        <v/>
      </c>
      <c r="AZ46" s="13">
        <f>SUM(AZ30:AZ45)</f>
        <v/>
      </c>
      <c r="BA46" s="14">
        <f>IF(COUNT(BA30,BA31,BA32,BA33,BA34,BA35,BA36,BA37,BA38,BA39,BA40,BA41,BA43)=0,"",SUM(BA30:BA45))</f>
        <v/>
      </c>
      <c r="BB46" s="14">
        <f>SUM(BB30:BB45)</f>
        <v/>
      </c>
      <c r="BC46" s="14">
        <f>SUM(BC30:BC45)</f>
        <v/>
      </c>
      <c r="BD46" s="13">
        <f>IF(COUNT(BD30,BD31,BD32,BD33,BD34,BD35,BD36,BD37,BD38,BD39,BD40,BD41,BD43)=0,"",SUM(BD30:BD45))</f>
        <v/>
      </c>
      <c r="BE46" s="13">
        <f>SUM(BE30:BE45)</f>
        <v/>
      </c>
      <c r="BF46" s="13">
        <f>SUM(BF30:BF45)</f>
        <v/>
      </c>
      <c r="BG46" s="14">
        <f>IF(COUNT(BG30,BG31,BG32,BG33,BG34,BG35,BG36,BG37,BG38,BG39,BG40,BG41,BG43)=0,"",SUM(BG30:BG45))</f>
        <v/>
      </c>
      <c r="BH46" s="14">
        <f>SUM(BH30:BH45)</f>
        <v/>
      </c>
      <c r="BI46" s="14">
        <f>SUM(BI30:BI45)</f>
        <v/>
      </c>
      <c r="BJ46" s="13">
        <f>IF(COUNT(BJ30,BJ31,BJ32,BJ33,BJ34,BJ35,BJ36,BJ37,BJ38,BJ39,BJ40,BJ43)=0,"",SUM(BJ30:BJ45))</f>
        <v/>
      </c>
      <c r="BK46" s="13">
        <f>SUM(BK30:BK45)</f>
        <v/>
      </c>
      <c r="BL46" s="13">
        <f>SUM(BL30:BL45)</f>
        <v/>
      </c>
      <c r="BM46" s="14">
        <f>IF(COUNT(BM30,BM31,BM32,BM33,BM34,BM35,BM36,BM37,BM38,BM39,BM40,BM43)=0,"",SUM(BM30:BM45))</f>
        <v/>
      </c>
      <c r="BN46" s="14">
        <f>SUM(BN30:BN45)</f>
        <v/>
      </c>
      <c r="BO46" s="14">
        <f>SUM(BO30:BO45)</f>
        <v/>
      </c>
      <c r="BP46" s="13">
        <f>IF(COUNT(BP30,BP31,BP32,BP33,BP34,BP35,BP36,BP37,BP38,BP39,BP40)=0,"",SUM(BP30:BP45))</f>
        <v/>
      </c>
      <c r="BQ46" s="13">
        <f>SUM(BQ30:BQ45)</f>
        <v/>
      </c>
      <c r="BR46" s="13">
        <f>SUM(BR30:BR45)</f>
        <v/>
      </c>
      <c r="BS46" s="14">
        <f>IF(COUNT(BS30,BS31,BS32,BS33,BS34,BS35,BS36,BS37,BS38,BS39,BS40)=0,"",SUM(BS30:BS45))</f>
        <v/>
      </c>
      <c r="BT46" s="14">
        <f>SUM(BT30:BT45)</f>
        <v/>
      </c>
      <c r="BU46" s="14">
        <f>SUM(BU30:BU45)</f>
        <v/>
      </c>
      <c r="BV46" s="13">
        <f>IF(COUNT(BV30,BV31,BV32,BV33,BV34,BV35,BV36,BV37,BV38,BV39,BV40)=0,"",SUM(BV30:BV45))</f>
        <v/>
      </c>
      <c r="BW46" s="13">
        <f>SUM(BW30:BW45)</f>
        <v/>
      </c>
      <c r="BX46" s="13">
        <f>SUM(BX30:BX45)</f>
        <v/>
      </c>
      <c r="BY46" s="14">
        <f>IF(COUNT(BY30,BY31,BY32,BY33,BY34,BY35,BY36,BY37,BY38,BY39,BY40)=0,"",SUM(BY30:BY45))</f>
        <v/>
      </c>
      <c r="BZ46" s="14">
        <f>SUM(BZ30:BZ45)</f>
        <v/>
      </c>
      <c r="CA46" s="14">
        <f>SUM(CA30:CA45)</f>
        <v/>
      </c>
      <c r="CB46" s="13">
        <f>IF(COUNT(CB30,CB31,CB32,CB33,CB34,CB35,CB36,CB37,CB38,CB39)=0,"",SUM(CB30:CB45))</f>
        <v/>
      </c>
      <c r="CC46" s="13">
        <f>SUM(CC30:CC45)</f>
        <v/>
      </c>
      <c r="CD46" s="13">
        <f>SUM(CD30:CD45)</f>
        <v/>
      </c>
      <c r="CE46" s="14">
        <f>IF(COUNT(CE30,CE31,CE32,CE33,CE34,CE35,CE36,CE37,CE38,CE39)=0,"",SUM(CE30:CE45))</f>
        <v/>
      </c>
      <c r="CF46" s="14">
        <f>SUM(CF30:CF45)</f>
        <v/>
      </c>
      <c r="CG46" s="14">
        <f>SUM(CG30:CG45)</f>
        <v/>
      </c>
      <c r="CH46" s="13">
        <f>IF(COUNT(CH30,CH31,CH32,CH33,CH34,CH35,CH36,CH37,CH38,CH39)=0,"",SUM(CH30:CH45))</f>
        <v/>
      </c>
      <c r="CI46" s="13">
        <f>SUM(CI30:CI45)</f>
        <v/>
      </c>
      <c r="CJ46" s="13">
        <f>SUM(CJ30:CJ45)</f>
        <v/>
      </c>
      <c r="CK46" s="14">
        <f>IF(COUNT(CK30,CK31,CK32,CK33,CK34,CK35,CK36,CK37,CK38,CK39)=0,"",SUM(CK30:CK45))</f>
        <v/>
      </c>
      <c r="CL46" s="14">
        <f>SUM(CL30:CL45)</f>
        <v/>
      </c>
      <c r="CM46" s="14">
        <f>SUM(CM30:CM45)</f>
        <v/>
      </c>
      <c r="CN46" s="13">
        <f>IF(COUNT(CN30,CN31,CN32,CN33,CN34,CN35,CN36,CN37,CN38,CN39)=0,"",SUM(CN30:CN45))</f>
        <v/>
      </c>
      <c r="CO46" s="13">
        <f>SUM(CO30:CO45)</f>
        <v/>
      </c>
      <c r="CP46" s="13">
        <f>SUM(CP30:CP45)</f>
        <v/>
      </c>
      <c r="CQ46" s="14">
        <f>IF(COUNT(CQ30,CQ31,CQ32,CQ33,CQ34,CQ35,CQ36,CQ37,CQ38,CQ39)=0,"",SUM(CQ30:CQ45))</f>
        <v/>
      </c>
      <c r="CR46" s="14">
        <f>SUM(CR30:CR45)</f>
        <v/>
      </c>
      <c r="CS46" s="14">
        <f>SUM(CS30:CS45)</f>
        <v/>
      </c>
      <c r="CT46" s="13">
        <f>IF(COUNT(CT30,CT31,CT32,CT33,CT34,CT35,CT36,CT37,CT38,CT39)=0,"",SUM(CT30:CT45))</f>
        <v/>
      </c>
      <c r="CU46" s="13">
        <f>SUM(CU30:CU45)</f>
        <v/>
      </c>
      <c r="CV46" s="13">
        <f>SUM(CV30:CV45)</f>
        <v/>
      </c>
      <c r="CW46" s="14">
        <f>IF(COUNT(CW30,CW31,CW32,CW33,CW34,CW35,CW36,CW37,CW38,CW39)=0,"",SUM(CW30:CW45))</f>
        <v/>
      </c>
      <c r="CX46" s="14">
        <f>SUM(CX30:CX45)</f>
        <v/>
      </c>
      <c r="CY46" s="14">
        <f>SUM(CY30:CY45)</f>
        <v/>
      </c>
      <c r="CZ46" s="13">
        <f>IF(COUNT(CZ30,CZ31,CZ32,CZ33,CZ34,CZ35,CZ36,CZ37,CZ38,CZ39)=0,"",SUM(CZ30:CZ45))</f>
        <v/>
      </c>
      <c r="DA46" s="13">
        <f>SUM(DA30:DA45)</f>
        <v/>
      </c>
      <c r="DB46" s="13">
        <f>SUM(DB30:DB45)</f>
        <v/>
      </c>
      <c r="DC46" s="14">
        <f>IF(COUNT(DC30,DC31,DC32,DC33,DC34,DC35,DC36,DC37,DC38,DC39)=0,"",SUM(DC30:DC45))</f>
        <v/>
      </c>
      <c r="DD46" s="14">
        <f>SUM(DD30:DD45)</f>
        <v/>
      </c>
      <c r="DE46" s="14">
        <f>SUM(DE30:DE45)</f>
        <v/>
      </c>
      <c r="DF46" s="13">
        <f>IF(COUNT(DF30,DF31,DF32,DF33,DF34,DF35,DF36,DF37,DF38,DF39)=0,"",SUM(DF30:DF45))</f>
        <v/>
      </c>
      <c r="DG46" s="13">
        <f>SUM(DG30:DG45)</f>
        <v/>
      </c>
      <c r="DH46" s="13">
        <f>SUM(DH30:DH45)</f>
        <v/>
      </c>
      <c r="DI46" s="14">
        <f>IF(COUNT(DI30,DI31,DI32,DI33,DI34,DI35,DI36,DI37,DI38,DI39)=0,"",SUM(DI30:DI45))</f>
        <v/>
      </c>
      <c r="DJ46" s="14">
        <f>SUM(DJ30:DJ45)</f>
        <v/>
      </c>
      <c r="DK46" s="14">
        <f>SUM(DK30:DK45)</f>
        <v/>
      </c>
      <c r="DL46" s="13">
        <f>IF(COUNT(DL30,DL31,DL32,DL33,DL34,DL35,DL36,DL37,DL38,DL39)=0,"",SUM(DL30:DL45))</f>
        <v/>
      </c>
      <c r="DM46" s="13">
        <f>SUM(DM30:DM45)</f>
        <v/>
      </c>
      <c r="DN46" s="13">
        <f>SUM(DN30:DN45)</f>
        <v/>
      </c>
    </row>
    <row r="47">
      <c r="A47" s="2" t="inlineStr">
        <is>
          <t>Headcount</t>
        </is>
      </c>
      <c r="B47" s="21">
        <f>IF(K47&lt;&gt;"",K47,IF(N47&lt;&gt;"",N47,IF(Q47&lt;&gt;"",Q47,IF(T47&lt;&gt;"",T47,IF(W47&lt;&gt;"",W47,IF(Z47&lt;&gt;"",Z47,IF(AC47&lt;&gt;"",AC47,IF(AF47&lt;&gt;"",AF47,IF(AI47&lt;&gt;"",AI47,IF(AL47&lt;&gt;"",AL47,IF(AO47&lt;&gt;"",AO47,IF(AR47&lt;&gt;"",AR47,""))))))))))))</f>
        <v/>
      </c>
      <c r="C47" s="21">
        <f>IF(L47&lt;&gt;"",L47,IF(O47&lt;&gt;"",O47,IF(R47&lt;&gt;"",R47,IF(U47&lt;&gt;"",U47,IF(X47&lt;&gt;"",X47,IF(AA47&lt;&gt;"",AA47,IF(AD47&lt;&gt;"",AD47,IF(AG47&lt;&gt;"",AG47,IF(AJ47&lt;&gt;"",AJ47,IF(AM47&lt;&gt;"",AM47,IF(AP47&lt;&gt;"",AP47,IF(AS47&lt;&gt;"",AS47,""))))))))))))</f>
        <v/>
      </c>
      <c r="D47" s="21">
        <f>IF(M47&lt;&gt;"",M47,IF(P47&lt;&gt;"",P47,IF(S47&lt;&gt;"",S47,IF(V47&lt;&gt;"",V47,IF(Y47&lt;&gt;"",Y47,IF(AB47&lt;&gt;"",AB47,IF(AE47&lt;&gt;"",AE47,IF(AH47&lt;&gt;"",AH47,IF(AK47&lt;&gt;"",AK47,IF(AN47&lt;&gt;"",AN47,IF(AQ47&lt;&gt;"",AQ47,IF(AT47&lt;&gt;"",AT47,""))))))))))))</f>
        <v/>
      </c>
      <c r="E47" s="2">
        <f>IF(AU47&lt;&gt;"",AU47,IF(AX47&lt;&gt;"",AX47,IF(BA47&lt;&gt;"",BA47,IF(BD47&lt;&gt;"",BD47,IF(BG47&lt;&gt;"",BG47,IF(BJ47&lt;&gt;"",BJ47,IF(BM47&lt;&gt;"",BM47,IF(BP47&lt;&gt;"",BP47,IF(BS47&lt;&gt;"",BS47,IF(BV47&lt;&gt;"",BV47,IF(BY47&lt;&gt;"",BY47,IF(CB47&lt;&gt;"",CB47,""))))))))))))</f>
        <v/>
      </c>
      <c r="F47" s="2">
        <f>IF(AV47&lt;&gt;"",AV47,IF(AY47&lt;&gt;"",AY47,IF(BB47&lt;&gt;"",BB47,IF(BE47&lt;&gt;"",BE47,IF(BH47&lt;&gt;"",BH47,IF(BK47&lt;&gt;"",BK47,IF(BN47&lt;&gt;"",BN47,IF(BQ47&lt;&gt;"",BQ47,IF(BT47&lt;&gt;"",BT47,IF(BW47&lt;&gt;"",BW47,IF(BZ47&lt;&gt;"",BZ47,IF(CC47&lt;&gt;"",CC47,""))))))))))))</f>
        <v/>
      </c>
      <c r="G47" s="2">
        <f>IF(AW47&lt;&gt;"",AW47,IF(AZ47&lt;&gt;"",AZ47,IF(BC47&lt;&gt;"",BC47,IF(BF47&lt;&gt;"",BF47,IF(BI47&lt;&gt;"",BI47,IF(BL47&lt;&gt;"",BL47,IF(BO47&lt;&gt;"",BO47,IF(BR47&lt;&gt;"",BR47,IF(BU47&lt;&gt;"",BU47,IF(BX47&lt;&gt;"",BX47,IF(CA47&lt;&gt;"",CA47,IF(CD47&lt;&gt;"",CD47,""))))))))))))</f>
        <v/>
      </c>
      <c r="H47" s="21">
        <f>IF(CE47&lt;&gt;"",CE47,IF(CH47&lt;&gt;"",CH47,IF(CK47&lt;&gt;"",CK47,IF(CN47&lt;&gt;"",CN47,IF(CQ47&lt;&gt;"",CQ47,IF(CT47&lt;&gt;"",CT47,IF(CW47&lt;&gt;"",CW47,IF(CZ47&lt;&gt;"",CZ47,IF(DC47&lt;&gt;"",DC47,IF(DF47&lt;&gt;"",DF47,IF(DI47&lt;&gt;"",DI47,IF(DL47&lt;&gt;"",DL47,""))))))))))))</f>
        <v/>
      </c>
      <c r="I47" s="21">
        <f>IF(CF47&lt;&gt;"",CF47,IF(CI47&lt;&gt;"",CI47,IF(CL47&lt;&gt;"",CL47,IF(CO47&lt;&gt;"",CO47,IF(CR47&lt;&gt;"",CR47,IF(CU47&lt;&gt;"",CU47,IF(CX47&lt;&gt;"",CX47,IF(DA47&lt;&gt;"",DA47,IF(DD47&lt;&gt;"",DD47,IF(DG47&lt;&gt;"",DG47,IF(DJ47&lt;&gt;"",DJ47,IF(DM47&lt;&gt;"",DM47,""))))))))))))</f>
        <v/>
      </c>
      <c r="J47" s="21">
        <f>IF(CG47&lt;&gt;"",CG47,IF(CJ47&lt;&gt;"",CJ47,IF(CM47&lt;&gt;"",CM47,IF(CP47&lt;&gt;"",CP47,IF(CS47&lt;&gt;"",CS47,IF(CV47&lt;&gt;"",CV47,IF(CY47&lt;&gt;"",CY47,IF(DB47&lt;&gt;"",DB47,IF(DE47&lt;&gt;"",DE47,IF(DH47&lt;&gt;"",DH47,IF(DK47&lt;&gt;"",DK47,IF(DN47&lt;&gt;"",DN47,""))))))))))))</f>
        <v/>
      </c>
      <c r="K47" s="2">
        <f>IF(COUNT(K30,K31,K32,K33,K34,K35,K36,K37,K38,K39,K40,K41,K42,K43,K44,K45)=0,"",COUNT(K30:K45))</f>
        <v/>
      </c>
      <c r="L47" s="2">
        <f>COUNT(L30:L45)</f>
        <v/>
      </c>
      <c r="M47" s="2">
        <f>COUNT(M30:M45)</f>
        <v/>
      </c>
      <c r="N47" s="21">
        <f>IF(COUNT(N30,N31,N32,N33,N34,N35,N36,N37,N38,N39,N40,N41,N42,N43,N44,N45)=0,"",COUNT(N30:N45))</f>
        <v/>
      </c>
      <c r="O47" s="21">
        <f>COUNT(O30:O45)</f>
        <v/>
      </c>
      <c r="P47" s="21">
        <f>COUNT(P30:P45)</f>
        <v/>
      </c>
      <c r="Q47" s="2">
        <f>IF(COUNT(Q30,Q31,Q32,Q33,Q34,Q35,Q36,Q37,Q38,Q39,Q40,Q41,Q42,Q43,Q44,Q45)=0,"",COUNT(Q30:Q45))</f>
        <v/>
      </c>
      <c r="R47" s="2">
        <f>COUNT(R30:R45)</f>
        <v/>
      </c>
      <c r="S47" s="2">
        <f>COUNT(S30:S45)</f>
        <v/>
      </c>
      <c r="T47" s="21">
        <f>IF(COUNT(T30,T31,T32,T33,T34,T35,T36,T37,T38,T39,T40,T41,T42,T43,T44,T45)=0,"",COUNT(T30:T45))</f>
        <v/>
      </c>
      <c r="U47" s="21">
        <f>COUNT(U30:U45)</f>
        <v/>
      </c>
      <c r="V47" s="21">
        <f>COUNT(V30:V45)</f>
        <v/>
      </c>
      <c r="W47" s="2">
        <f>IF(COUNT(W30,W31,W32,W33,W34,W35,W36,W37,W38,W39,W40,W41,W42,W43,W44,W45)=0,"",COUNT(W30:W45))</f>
        <v/>
      </c>
      <c r="X47" s="2">
        <f>COUNT(X30:X45)</f>
        <v/>
      </c>
      <c r="Y47" s="2">
        <f>COUNT(Y30:Y45)</f>
        <v/>
      </c>
      <c r="Z47" s="21">
        <f>IF(COUNT(Z30,Z31,Z32,Z33,Z34,Z35,Z36,Z37,Z38,Z39,Z40,Z41,Z42,Z43,Z44,Z45)=0,"",COUNT(Z30:Z45))</f>
        <v/>
      </c>
      <c r="AA47" s="21">
        <f>COUNT(AA30:AA45)</f>
        <v/>
      </c>
      <c r="AB47" s="21">
        <f>COUNT(AB30:AB45)</f>
        <v/>
      </c>
      <c r="AC47" s="2">
        <f>IF(COUNT(AC30,AC31,AC32,AC33,AC34,AC35,AC36,AC37,AC38,AC39,AC40,AC41,AC42,AC43,AC44,AC45)=0,"",COUNT(AC30:AC45))</f>
        <v/>
      </c>
      <c r="AD47" s="2">
        <f>COUNT(AD30:AD45)</f>
        <v/>
      </c>
      <c r="AE47" s="2">
        <f>COUNT(AE30:AE45)</f>
        <v/>
      </c>
      <c r="AF47" s="21">
        <f>IF(COUNT(AF30,AF31,AF32,AF33,AF34,AF35,AF36,AF37,AF38,AF39,AF40,AF41,AF42,AF43,AF44,AF45)=0,"",COUNT(AF30:AF45))</f>
        <v/>
      </c>
      <c r="AG47" s="21">
        <f>COUNT(AG30:AG45)</f>
        <v/>
      </c>
      <c r="AH47" s="21">
        <f>COUNT(AH30:AH45)</f>
        <v/>
      </c>
      <c r="AI47" s="2">
        <f>IF(COUNT(AI30,AI31,AI32,AI33,AI34,AI35,AI36,AI37,AI38,AI39,AI40,AI41,AI42,AI43,AI44,AI45)=0,"",COUNT(AI30:AI45))</f>
        <v/>
      </c>
      <c r="AJ47" s="2">
        <f>COUNT(AJ30:AJ45)</f>
        <v/>
      </c>
      <c r="AK47" s="2">
        <f>COUNT(AK30:AK45)</f>
        <v/>
      </c>
      <c r="AL47" s="21">
        <f>IF(COUNT(AL30,AL31,AL32,AL33,AL34,AL35,AL36,AL37,AL38,AL39,AL40,AL41,AL42,AL43,AL44,AL45)=0,"",COUNT(AL30:AL45))</f>
        <v/>
      </c>
      <c r="AM47" s="21">
        <f>COUNT(AM30:AM45)</f>
        <v/>
      </c>
      <c r="AN47" s="21">
        <f>COUNT(AN30:AN45)</f>
        <v/>
      </c>
      <c r="AO47" s="2">
        <f>IF(COUNT(AO30,AO31,AO32,AO33,AO34,AO35,AO36,AO37,AO38,AO39,AO40,AO41,AO42,AO43,AO44,AO45)=0,"",COUNT(AO30:AO45))</f>
        <v/>
      </c>
      <c r="AP47" s="2">
        <f>COUNT(AP30:AP45)</f>
        <v/>
      </c>
      <c r="AQ47" s="2">
        <f>COUNT(AQ30:AQ45)</f>
        <v/>
      </c>
      <c r="AR47" s="21">
        <f>IF(COUNT(AR30,AR31,AR32,AR33,AR34,AR35,AR36,AR37,AR38,AR39,AR40,AR41,AR43,AR44,AR45)=0,"",COUNT(AR30:AR45))</f>
        <v/>
      </c>
      <c r="AS47" s="21">
        <f>COUNT(AS30:AS45)</f>
        <v/>
      </c>
      <c r="AT47" s="21">
        <f>COUNT(AT30:AT45)</f>
        <v/>
      </c>
      <c r="AU47" s="2">
        <f>IF(COUNT(AU30,AU31,AU32,AU33,AU34,AU35,AU36,AU37,AU38,AU39,AU40,AU41,AU43,AU44)=0,"",COUNT(AU30:AU45))</f>
        <v/>
      </c>
      <c r="AV47" s="2">
        <f>COUNT(AV30:AV45)</f>
        <v/>
      </c>
      <c r="AW47" s="2">
        <f>COUNT(AW30:AW45)</f>
        <v/>
      </c>
      <c r="AX47" s="21">
        <f>IF(COUNT(AX30,AX31,AX32,AX33,AX34,AX35,AX36,AX37,AX38,AX39,AX40,AX41,AX43,AX44)=0,"",COUNT(AX30:AX45))</f>
        <v/>
      </c>
      <c r="AY47" s="21">
        <f>COUNT(AY30:AY45)</f>
        <v/>
      </c>
      <c r="AZ47" s="21">
        <f>COUNT(AZ30:AZ45)</f>
        <v/>
      </c>
      <c r="BA47" s="2">
        <f>IF(COUNT(BA30,BA31,BA32,BA33,BA34,BA35,BA36,BA37,BA38,BA39,BA40,BA41,BA43)=0,"",COUNT(BA30:BA45))</f>
        <v/>
      </c>
      <c r="BB47" s="2">
        <f>COUNT(BB30:BB45)</f>
        <v/>
      </c>
      <c r="BC47" s="2">
        <f>COUNT(BC30:BC45)</f>
        <v/>
      </c>
      <c r="BD47" s="21">
        <f>IF(COUNT(BD30,BD31,BD32,BD33,BD34,BD35,BD36,BD37,BD38,BD39,BD40,BD41,BD43)=0,"",COUNT(BD30:BD45))</f>
        <v/>
      </c>
      <c r="BE47" s="21">
        <f>COUNT(BE30:BE45)</f>
        <v/>
      </c>
      <c r="BF47" s="21">
        <f>COUNT(BF30:BF45)</f>
        <v/>
      </c>
      <c r="BG47" s="2">
        <f>IF(COUNT(BG30,BG31,BG32,BG33,BG34,BG35,BG36,BG37,BG38,BG39,BG40,BG41,BG43)=0,"",COUNT(BG30:BG45))</f>
        <v/>
      </c>
      <c r="BH47" s="2">
        <f>COUNT(BH30:BH45)</f>
        <v/>
      </c>
      <c r="BI47" s="2">
        <f>COUNT(BI30:BI45)</f>
        <v/>
      </c>
      <c r="BJ47" s="21">
        <f>IF(COUNT(BJ30,BJ31,BJ32,BJ33,BJ34,BJ35,BJ36,BJ37,BJ38,BJ39,BJ40,BJ43)=0,"",COUNT(BJ30:BJ45))</f>
        <v/>
      </c>
      <c r="BK47" s="21">
        <f>COUNT(BK30:BK45)</f>
        <v/>
      </c>
      <c r="BL47" s="21">
        <f>COUNT(BL30:BL45)</f>
        <v/>
      </c>
      <c r="BM47" s="2">
        <f>IF(COUNT(BM30,BM31,BM32,BM33,BM34,BM35,BM36,BM37,BM38,BM39,BM40,BM43)=0,"",COUNT(BM30:BM45))</f>
        <v/>
      </c>
      <c r="BN47" s="2">
        <f>COUNT(BN30:BN45)</f>
        <v/>
      </c>
      <c r="BO47" s="2">
        <f>COUNT(BO30:BO45)</f>
        <v/>
      </c>
      <c r="BP47" s="21">
        <f>IF(COUNT(BP30,BP31,BP32,BP33,BP34,BP35,BP36,BP37,BP38,BP39,BP40)=0,"",COUNT(BP30:BP45))</f>
        <v/>
      </c>
      <c r="BQ47" s="21">
        <f>COUNT(BQ30:BQ45)</f>
        <v/>
      </c>
      <c r="BR47" s="21">
        <f>COUNT(BR30:BR45)</f>
        <v/>
      </c>
      <c r="BS47" s="2">
        <f>IF(COUNT(BS30,BS31,BS32,BS33,BS34,BS35,BS36,BS37,BS38,BS39,BS40)=0,"",COUNT(BS30:BS45))</f>
        <v/>
      </c>
      <c r="BT47" s="2">
        <f>COUNT(BT30:BT45)</f>
        <v/>
      </c>
      <c r="BU47" s="2">
        <f>COUNT(BU30:BU45)</f>
        <v/>
      </c>
      <c r="BV47" s="21">
        <f>IF(COUNT(BV30,BV31,BV32,BV33,BV34,BV35,BV36,BV37,BV38,BV39,BV40)=0,"",COUNT(BV30:BV45))</f>
        <v/>
      </c>
      <c r="BW47" s="21">
        <f>COUNT(BW30:BW45)</f>
        <v/>
      </c>
      <c r="BX47" s="21">
        <f>COUNT(BX30:BX45)</f>
        <v/>
      </c>
      <c r="BY47" s="2">
        <f>IF(COUNT(BY30,BY31,BY32,BY33,BY34,BY35,BY36,BY37,BY38,BY39,BY40)=0,"",COUNT(BY30:BY45))</f>
        <v/>
      </c>
      <c r="BZ47" s="2">
        <f>COUNT(BZ30:BZ45)</f>
        <v/>
      </c>
      <c r="CA47" s="2">
        <f>COUNT(CA30:CA45)</f>
        <v/>
      </c>
      <c r="CB47" s="21">
        <f>IF(COUNT(CB30,CB31,CB32,CB33,CB34,CB35,CB36,CB37,CB38,CB39)=0,"",COUNT(CB30:CB45))</f>
        <v/>
      </c>
      <c r="CC47" s="21">
        <f>COUNT(CC30:CC45)</f>
        <v/>
      </c>
      <c r="CD47" s="21">
        <f>COUNT(CD30:CD45)</f>
        <v/>
      </c>
      <c r="CE47" s="2">
        <f>IF(COUNT(CE30,CE31,CE32,CE33,CE34,CE35,CE36,CE37,CE38,CE39)=0,"",COUNT(CE30:CE45))</f>
        <v/>
      </c>
      <c r="CF47" s="2">
        <f>COUNT(CF30:CF45)</f>
        <v/>
      </c>
      <c r="CG47" s="2">
        <f>COUNT(CG30:CG45)</f>
        <v/>
      </c>
      <c r="CH47" s="21">
        <f>IF(COUNT(CH30,CH31,CH32,CH33,CH34,CH35,CH36,CH37,CH38,CH39)=0,"",COUNT(CH30:CH45))</f>
        <v/>
      </c>
      <c r="CI47" s="21">
        <f>COUNT(CI30:CI45)</f>
        <v/>
      </c>
      <c r="CJ47" s="21">
        <f>COUNT(CJ30:CJ45)</f>
        <v/>
      </c>
      <c r="CK47" s="2">
        <f>IF(COUNT(CK30,CK31,CK32,CK33,CK34,CK35,CK36,CK37,CK38,CK39)=0,"",COUNT(CK30:CK45))</f>
        <v/>
      </c>
      <c r="CL47" s="2">
        <f>COUNT(CL30:CL45)</f>
        <v/>
      </c>
      <c r="CM47" s="2">
        <f>COUNT(CM30:CM45)</f>
        <v/>
      </c>
      <c r="CN47" s="21">
        <f>IF(COUNT(CN30,CN31,CN32,CN33,CN34,CN35,CN36,CN37,CN38,CN39)=0,"",COUNT(CN30:CN45))</f>
        <v/>
      </c>
      <c r="CO47" s="21">
        <f>COUNT(CO30:CO45)</f>
        <v/>
      </c>
      <c r="CP47" s="21">
        <f>COUNT(CP30:CP45)</f>
        <v/>
      </c>
      <c r="CQ47" s="2">
        <f>IF(COUNT(CQ30,CQ31,CQ32,CQ33,CQ34,CQ35,CQ36,CQ37,CQ38,CQ39)=0,"",COUNT(CQ30:CQ45))</f>
        <v/>
      </c>
      <c r="CR47" s="2">
        <f>COUNT(CR30:CR45)</f>
        <v/>
      </c>
      <c r="CS47" s="2">
        <f>COUNT(CS30:CS45)</f>
        <v/>
      </c>
      <c r="CT47" s="21">
        <f>IF(COUNT(CT30,CT31,CT32,CT33,CT34,CT35,CT36,CT37,CT38,CT39)=0,"",COUNT(CT30:CT45))</f>
        <v/>
      </c>
      <c r="CU47" s="21">
        <f>COUNT(CU30:CU45)</f>
        <v/>
      </c>
      <c r="CV47" s="21">
        <f>COUNT(CV30:CV45)</f>
        <v/>
      </c>
      <c r="CW47" s="2">
        <f>IF(COUNT(CW30,CW31,CW32,CW33,CW34,CW35,CW36,CW37,CW38,CW39)=0,"",COUNT(CW30:CW45))</f>
        <v/>
      </c>
      <c r="CX47" s="2">
        <f>COUNT(CX30:CX45)</f>
        <v/>
      </c>
      <c r="CY47" s="2">
        <f>COUNT(CY30:CY45)</f>
        <v/>
      </c>
      <c r="CZ47" s="21">
        <f>IF(COUNT(CZ30,CZ31,CZ32,CZ33,CZ34,CZ35,CZ36,CZ37,CZ38,CZ39)=0,"",COUNT(CZ30:CZ45))</f>
        <v/>
      </c>
      <c r="DA47" s="21">
        <f>COUNT(DA30:DA45)</f>
        <v/>
      </c>
      <c r="DB47" s="21">
        <f>COUNT(DB30:DB45)</f>
        <v/>
      </c>
      <c r="DC47" s="2">
        <f>IF(COUNT(DC30,DC31,DC32,DC33,DC34,DC35,DC36,DC37,DC38,DC39)=0,"",COUNT(DC30:DC45))</f>
        <v/>
      </c>
      <c r="DD47" s="2">
        <f>COUNT(DD30:DD45)</f>
        <v/>
      </c>
      <c r="DE47" s="2">
        <f>COUNT(DE30:DE45)</f>
        <v/>
      </c>
      <c r="DF47" s="21">
        <f>IF(COUNT(DF30,DF31,DF32,DF33,DF34,DF35,DF36,DF37,DF38,DF39)=0,"",COUNT(DF30:DF45))</f>
        <v/>
      </c>
      <c r="DG47" s="21">
        <f>COUNT(DG30:DG45)</f>
        <v/>
      </c>
      <c r="DH47" s="21">
        <f>COUNT(DH30:DH45)</f>
        <v/>
      </c>
      <c r="DI47" s="2">
        <f>IF(COUNT(DI30,DI31,DI32,DI33,DI34,DI35,DI36,DI37,DI38,DI39)=0,"",COUNT(DI30:DI45))</f>
        <v/>
      </c>
      <c r="DJ47" s="2">
        <f>COUNT(DJ30:DJ45)</f>
        <v/>
      </c>
      <c r="DK47" s="2">
        <f>COUNT(DK30:DK45)</f>
        <v/>
      </c>
      <c r="DL47" s="21">
        <f>IF(COUNT(DL30,DL31,DL32,DL33,DL34,DL35,DL36,DL37,DL38,DL39)=0,"",COUNT(DL30:DL45))</f>
        <v/>
      </c>
      <c r="DM47" s="21">
        <f>COUNT(DM30:DM45)</f>
        <v/>
      </c>
      <c r="DN47" s="21">
        <f>COUNT(DN30:DN45)</f>
        <v/>
      </c>
    </row>
    <row r="48"/>
    <row r="49"/>
    <row r="50"/>
    <row r="51"/>
    <row r="52"/>
    <row r="53"/>
    <row r="54"/>
    <row r="55"/>
    <row r="56"/>
    <row r="57"/>
    <row r="58"/>
    <row r="59"/>
    <row r="60">
      <c r="A60" s="2" t="inlineStr">
        <is>
          <t>Hosting cost per customer</t>
        </is>
      </c>
      <c r="B60" s="23" t="n">
        <v>135</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DN65"/>
  <sheetViews>
    <sheetView workbookViewId="0">
      <pane xSplit="10" ySplit="2" topLeftCell="K3"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s>
  <sheetData>
    <row r="1">
      <c r="B1" s="4">
        <f>"FY"&amp;YEAR(K$1)</f>
        <v/>
      </c>
      <c r="C1" s="4" t="n"/>
      <c r="D1" s="4" t="n"/>
      <c r="E1" s="5">
        <f>"FY"&amp;YEAR(AU$1)</f>
        <v/>
      </c>
      <c r="F1" s="5" t="n"/>
      <c r="G1" s="5" t="n"/>
      <c r="H1" s="4">
        <f>"FY"&amp;YEAR(CE$1)</f>
        <v/>
      </c>
      <c r="I1" s="4" t="n"/>
      <c r="J1" s="4" t="n"/>
      <c r="K1" s="6">
        <f>EOMONTH(N$1,1)</f>
        <v/>
      </c>
      <c r="L1" s="5" t="n"/>
      <c r="M1" s="5" t="n"/>
      <c r="N1" s="7">
        <f>EOMONTH(Q$1,1)</f>
        <v/>
      </c>
      <c r="O1" s="4" t="n"/>
      <c r="P1" s="4" t="n"/>
      <c r="Q1" s="6">
        <f>EOMONTH(T$1,1)</f>
        <v/>
      </c>
      <c r="R1" s="5" t="n"/>
      <c r="S1" s="5" t="n"/>
      <c r="T1" s="7">
        <f>EOMONTH(W$1,1)</f>
        <v/>
      </c>
      <c r="U1" s="4" t="n"/>
      <c r="V1" s="4" t="n"/>
      <c r="W1" s="6">
        <f>EOMONTH(Z$1,1)</f>
        <v/>
      </c>
      <c r="X1" s="5" t="n"/>
      <c r="Y1" s="5" t="n"/>
      <c r="Z1" s="7">
        <f>EOMONTH(AC$1,1)</f>
        <v/>
      </c>
      <c r="AA1" s="4" t="n"/>
      <c r="AB1" s="4" t="n"/>
      <c r="AC1" s="6">
        <f>EOMONTH(AF$1,1)</f>
        <v/>
      </c>
      <c r="AD1" s="5" t="n"/>
      <c r="AE1" s="5" t="n"/>
      <c r="AF1" s="7">
        <f>EOMONTH(AI$1,1)</f>
        <v/>
      </c>
      <c r="AG1" s="4" t="n"/>
      <c r="AH1" s="4" t="n"/>
      <c r="AI1" s="6">
        <f>EOMONTH(AL$1,1)</f>
        <v/>
      </c>
      <c r="AJ1" s="5" t="n"/>
      <c r="AK1" s="5" t="n"/>
      <c r="AL1" s="7">
        <f>EOMONTH(AO$1,1)</f>
        <v/>
      </c>
      <c r="AM1" s="4" t="n"/>
      <c r="AN1" s="4" t="n"/>
      <c r="AO1" s="6">
        <f>EOMONTH(AR$1,1)</f>
        <v/>
      </c>
      <c r="AP1" s="5" t="n"/>
      <c r="AQ1" s="5" t="n"/>
      <c r="AR1" s="7">
        <f>EOMONTH(AU$1,1)</f>
        <v/>
      </c>
      <c r="AS1" s="4" t="n"/>
      <c r="AT1" s="4" t="n"/>
      <c r="AU1" s="6">
        <f>EOMONTH(AX$1,1)</f>
        <v/>
      </c>
      <c r="AV1" s="5" t="n"/>
      <c r="AW1" s="5" t="n"/>
      <c r="AX1" s="7">
        <f>EOMONTH(BA$1,1)</f>
        <v/>
      </c>
      <c r="AY1" s="4" t="n"/>
      <c r="AZ1" s="4" t="n"/>
      <c r="BA1" s="6">
        <f>EOMONTH(BD$1,1)</f>
        <v/>
      </c>
      <c r="BB1" s="5" t="n"/>
      <c r="BC1" s="5" t="n"/>
      <c r="BD1" s="7">
        <f>EOMONTH(BG$1,1)</f>
        <v/>
      </c>
      <c r="BE1" s="4" t="n"/>
      <c r="BF1" s="4" t="n"/>
      <c r="BG1" s="6">
        <f>EOMONTH(BJ$1,1)</f>
        <v/>
      </c>
      <c r="BH1" s="5" t="n"/>
      <c r="BI1" s="5" t="n"/>
      <c r="BJ1" s="7">
        <f>EOMONTH(BM$1,1)</f>
        <v/>
      </c>
      <c r="BK1" s="4" t="n"/>
      <c r="BL1" s="4" t="n"/>
      <c r="BM1" s="6">
        <f>EOMONTH(BP$1,1)</f>
        <v/>
      </c>
      <c r="BN1" s="5" t="n"/>
      <c r="BO1" s="5" t="n"/>
      <c r="BP1" s="7">
        <f>EOMONTH(BS$1,1)</f>
        <v/>
      </c>
      <c r="BQ1" s="4" t="n"/>
      <c r="BR1" s="4" t="n"/>
      <c r="BS1" s="6">
        <f>EOMONTH(BV$1,1)</f>
        <v/>
      </c>
      <c r="BT1" s="5" t="n"/>
      <c r="BU1" s="5" t="n"/>
      <c r="BV1" s="7">
        <f>EOMONTH(BY$1,1)</f>
        <v/>
      </c>
      <c r="BW1" s="4" t="n"/>
      <c r="BX1" s="4" t="n"/>
      <c r="BY1" s="6">
        <f>EOMONTH(CB$1,1)</f>
        <v/>
      </c>
      <c r="BZ1" s="5" t="n"/>
      <c r="CA1" s="5" t="n"/>
      <c r="CB1" s="7">
        <f>EOMONTH(CE$1,1)</f>
        <v/>
      </c>
      <c r="CC1" s="4" t="n"/>
      <c r="CD1" s="4" t="n"/>
      <c r="CE1" s="6">
        <f>EOMONTH(CH$1,1)</f>
        <v/>
      </c>
      <c r="CF1" s="5" t="n"/>
      <c r="CG1" s="5" t="n"/>
      <c r="CH1" s="7">
        <f>EOMONTH(CK$1,1)</f>
        <v/>
      </c>
      <c r="CI1" s="4" t="n"/>
      <c r="CJ1" s="4" t="n"/>
      <c r="CK1" s="6">
        <f>EOMONTH(CN$1,1)</f>
        <v/>
      </c>
      <c r="CL1" s="5" t="n"/>
      <c r="CM1" s="5" t="n"/>
      <c r="CN1" s="7">
        <f>EOMONTH(CQ$1,1)</f>
        <v/>
      </c>
      <c r="CO1" s="4" t="n"/>
      <c r="CP1" s="4" t="n"/>
      <c r="CQ1" s="6">
        <f>EOMONTH(CT$1,1)</f>
        <v/>
      </c>
      <c r="CR1" s="5" t="n"/>
      <c r="CS1" s="5" t="n"/>
      <c r="CT1" s="7">
        <f>EOMONTH(CW$1,1)</f>
        <v/>
      </c>
      <c r="CU1" s="4" t="n"/>
      <c r="CV1" s="4" t="n"/>
      <c r="CW1" s="6">
        <f>EOMONTH(CZ$1,1)</f>
        <v/>
      </c>
      <c r="CX1" s="5" t="n"/>
      <c r="CY1" s="5" t="n"/>
      <c r="CZ1" s="7">
        <f>EOMONTH(DC$1,1)</f>
        <v/>
      </c>
      <c r="DA1" s="4" t="n"/>
      <c r="DB1" s="4" t="n"/>
      <c r="DC1" s="6">
        <f>EOMONTH(DF$1,1)</f>
        <v/>
      </c>
      <c r="DD1" s="5" t="n"/>
      <c r="DE1" s="5" t="n"/>
      <c r="DF1" s="7">
        <f>EOMONTH(DI$1,1)</f>
        <v/>
      </c>
      <c r="DG1" s="4" t="n"/>
      <c r="DH1" s="4" t="n"/>
      <c r="DI1" s="6">
        <f>EOMONTH(DL$1,1)</f>
        <v/>
      </c>
      <c r="DJ1" s="5" t="n"/>
      <c r="DK1" s="5" t="n"/>
      <c r="DL1" s="7">
        <f>Finance!$B$61</f>
        <v/>
      </c>
      <c r="DM1" s="4" t="n"/>
      <c r="DN1" s="4" t="n"/>
    </row>
    <row r="2">
      <c r="A2" s="8" t="n"/>
      <c r="B2" s="9" t="inlineStr">
        <is>
          <t>Actual</t>
        </is>
      </c>
      <c r="C2" s="9" t="inlineStr">
        <is>
          <t>Rolling</t>
        </is>
      </c>
      <c r="D2" s="9" t="inlineStr">
        <is>
          <t>Approved</t>
        </is>
      </c>
      <c r="E2" s="8" t="inlineStr">
        <is>
          <t>Actual</t>
        </is>
      </c>
      <c r="F2" s="8" t="inlineStr">
        <is>
          <t>Rolling</t>
        </is>
      </c>
      <c r="G2" s="8" t="inlineStr">
        <is>
          <t>Approved</t>
        </is>
      </c>
      <c r="H2" s="9" t="inlineStr">
        <is>
          <t>Actual</t>
        </is>
      </c>
      <c r="I2" s="9" t="inlineStr">
        <is>
          <t>Rolling</t>
        </is>
      </c>
      <c r="J2" s="9" t="inlineStr">
        <is>
          <t>Approved</t>
        </is>
      </c>
      <c r="K2" s="8" t="inlineStr">
        <is>
          <t>Actual</t>
        </is>
      </c>
      <c r="L2" s="8" t="inlineStr">
        <is>
          <t>Rolling</t>
        </is>
      </c>
      <c r="M2" s="8" t="inlineStr">
        <is>
          <t>Approved</t>
        </is>
      </c>
      <c r="N2" s="9" t="inlineStr">
        <is>
          <t>Actual</t>
        </is>
      </c>
      <c r="O2" s="9" t="inlineStr">
        <is>
          <t>Rolling</t>
        </is>
      </c>
      <c r="P2" s="9" t="inlineStr">
        <is>
          <t>Approved</t>
        </is>
      </c>
      <c r="Q2" s="8" t="inlineStr">
        <is>
          <t>Actual</t>
        </is>
      </c>
      <c r="R2" s="8" t="inlineStr">
        <is>
          <t>Rolling</t>
        </is>
      </c>
      <c r="S2" s="8" t="inlineStr">
        <is>
          <t>Approved</t>
        </is>
      </c>
      <c r="T2" s="9" t="inlineStr">
        <is>
          <t>Actual</t>
        </is>
      </c>
      <c r="U2" s="9" t="inlineStr">
        <is>
          <t>Rolling</t>
        </is>
      </c>
      <c r="V2" s="9" t="inlineStr">
        <is>
          <t>Approved</t>
        </is>
      </c>
      <c r="W2" s="8" t="inlineStr">
        <is>
          <t>Actual</t>
        </is>
      </c>
      <c r="X2" s="8" t="inlineStr">
        <is>
          <t>Rolling</t>
        </is>
      </c>
      <c r="Y2" s="8" t="inlineStr">
        <is>
          <t>Approved</t>
        </is>
      </c>
      <c r="Z2" s="9" t="inlineStr">
        <is>
          <t>Actual</t>
        </is>
      </c>
      <c r="AA2" s="9" t="inlineStr">
        <is>
          <t>Rolling</t>
        </is>
      </c>
      <c r="AB2" s="9" t="inlineStr">
        <is>
          <t>Approved</t>
        </is>
      </c>
      <c r="AC2" s="8" t="inlineStr">
        <is>
          <t>Actual</t>
        </is>
      </c>
      <c r="AD2" s="8" t="inlineStr">
        <is>
          <t>Rolling</t>
        </is>
      </c>
      <c r="AE2" s="8" t="inlineStr">
        <is>
          <t>Approved</t>
        </is>
      </c>
      <c r="AF2" s="9" t="inlineStr">
        <is>
          <t>Actual</t>
        </is>
      </c>
      <c r="AG2" s="9" t="inlineStr">
        <is>
          <t>Rolling</t>
        </is>
      </c>
      <c r="AH2" s="9" t="inlineStr">
        <is>
          <t>Approved</t>
        </is>
      </c>
      <c r="AI2" s="8" t="inlineStr">
        <is>
          <t>Actual</t>
        </is>
      </c>
      <c r="AJ2" s="8" t="inlineStr">
        <is>
          <t>Rolling</t>
        </is>
      </c>
      <c r="AK2" s="8" t="inlineStr">
        <is>
          <t>Approved</t>
        </is>
      </c>
      <c r="AL2" s="9" t="inlineStr">
        <is>
          <t>Actual</t>
        </is>
      </c>
      <c r="AM2" s="9" t="inlineStr">
        <is>
          <t>Rolling</t>
        </is>
      </c>
      <c r="AN2" s="9" t="inlineStr">
        <is>
          <t>Approved</t>
        </is>
      </c>
      <c r="AO2" s="8" t="inlineStr">
        <is>
          <t>Actual</t>
        </is>
      </c>
      <c r="AP2" s="8" t="inlineStr">
        <is>
          <t>Rolling</t>
        </is>
      </c>
      <c r="AQ2" s="8" t="inlineStr">
        <is>
          <t>Approved</t>
        </is>
      </c>
      <c r="AR2" s="9" t="inlineStr">
        <is>
          <t>Actual</t>
        </is>
      </c>
      <c r="AS2" s="9" t="inlineStr">
        <is>
          <t>Rolling</t>
        </is>
      </c>
      <c r="AT2" s="9" t="inlineStr">
        <is>
          <t>Approved</t>
        </is>
      </c>
      <c r="AU2" s="8" t="inlineStr">
        <is>
          <t>Actual</t>
        </is>
      </c>
      <c r="AV2" s="8" t="inlineStr">
        <is>
          <t>Rolling</t>
        </is>
      </c>
      <c r="AW2" s="8" t="inlineStr">
        <is>
          <t>Approved</t>
        </is>
      </c>
      <c r="AX2" s="9" t="inlineStr">
        <is>
          <t>Actual</t>
        </is>
      </c>
      <c r="AY2" s="9" t="inlineStr">
        <is>
          <t>Rolling</t>
        </is>
      </c>
      <c r="AZ2" s="9" t="inlineStr">
        <is>
          <t>Approved</t>
        </is>
      </c>
      <c r="BA2" s="8" t="inlineStr">
        <is>
          <t>Actual</t>
        </is>
      </c>
      <c r="BB2" s="8" t="inlineStr">
        <is>
          <t>Rolling</t>
        </is>
      </c>
      <c r="BC2" s="8" t="inlineStr">
        <is>
          <t>Approved</t>
        </is>
      </c>
      <c r="BD2" s="9" t="inlineStr">
        <is>
          <t>Actual</t>
        </is>
      </c>
      <c r="BE2" s="9" t="inlineStr">
        <is>
          <t>Rolling</t>
        </is>
      </c>
      <c r="BF2" s="9" t="inlineStr">
        <is>
          <t>Approved</t>
        </is>
      </c>
      <c r="BG2" s="8" t="inlineStr">
        <is>
          <t>Actual</t>
        </is>
      </c>
      <c r="BH2" s="8" t="inlineStr">
        <is>
          <t>Rolling</t>
        </is>
      </c>
      <c r="BI2" s="8" t="inlineStr">
        <is>
          <t>Approved</t>
        </is>
      </c>
      <c r="BJ2" s="9" t="inlineStr">
        <is>
          <t>Actual</t>
        </is>
      </c>
      <c r="BK2" s="9" t="inlineStr">
        <is>
          <t>Rolling</t>
        </is>
      </c>
      <c r="BL2" s="9" t="inlineStr">
        <is>
          <t>Approved</t>
        </is>
      </c>
      <c r="BM2" s="8" t="inlineStr">
        <is>
          <t>Actual</t>
        </is>
      </c>
      <c r="BN2" s="8" t="inlineStr">
        <is>
          <t>Rolling</t>
        </is>
      </c>
      <c r="BO2" s="8" t="inlineStr">
        <is>
          <t>Approved</t>
        </is>
      </c>
      <c r="BP2" s="9" t="inlineStr">
        <is>
          <t>Actual</t>
        </is>
      </c>
      <c r="BQ2" s="9" t="inlineStr">
        <is>
          <t>Rolling</t>
        </is>
      </c>
      <c r="BR2" s="9" t="inlineStr">
        <is>
          <t>Approved</t>
        </is>
      </c>
      <c r="BS2" s="8" t="inlineStr">
        <is>
          <t>Actual</t>
        </is>
      </c>
      <c r="BT2" s="8" t="inlineStr">
        <is>
          <t>Rolling</t>
        </is>
      </c>
      <c r="BU2" s="8" t="inlineStr">
        <is>
          <t>Approved</t>
        </is>
      </c>
      <c r="BV2" s="9" t="inlineStr">
        <is>
          <t>Actual</t>
        </is>
      </c>
      <c r="BW2" s="9" t="inlineStr">
        <is>
          <t>Rolling</t>
        </is>
      </c>
      <c r="BX2" s="9" t="inlineStr">
        <is>
          <t>Approved</t>
        </is>
      </c>
      <c r="BY2" s="8" t="inlineStr">
        <is>
          <t>Actual</t>
        </is>
      </c>
      <c r="BZ2" s="8" t="inlineStr">
        <is>
          <t>Rolling</t>
        </is>
      </c>
      <c r="CA2" s="8" t="inlineStr">
        <is>
          <t>Approved</t>
        </is>
      </c>
      <c r="CB2" s="9" t="inlineStr">
        <is>
          <t>Actual</t>
        </is>
      </c>
      <c r="CC2" s="9" t="inlineStr">
        <is>
          <t>Rolling</t>
        </is>
      </c>
      <c r="CD2" s="9" t="inlineStr">
        <is>
          <t>Approved</t>
        </is>
      </c>
      <c r="CE2" s="8" t="inlineStr">
        <is>
          <t>Actual</t>
        </is>
      </c>
      <c r="CF2" s="8" t="inlineStr">
        <is>
          <t>Rolling</t>
        </is>
      </c>
      <c r="CG2" s="8" t="inlineStr">
        <is>
          <t>Approved</t>
        </is>
      </c>
      <c r="CH2" s="9" t="inlineStr">
        <is>
          <t>Actual</t>
        </is>
      </c>
      <c r="CI2" s="9" t="inlineStr">
        <is>
          <t>Rolling</t>
        </is>
      </c>
      <c r="CJ2" s="9" t="inlineStr">
        <is>
          <t>Approved</t>
        </is>
      </c>
      <c r="CK2" s="8" t="inlineStr">
        <is>
          <t>Actual</t>
        </is>
      </c>
      <c r="CL2" s="8" t="inlineStr">
        <is>
          <t>Rolling</t>
        </is>
      </c>
      <c r="CM2" s="8" t="inlineStr">
        <is>
          <t>Approved</t>
        </is>
      </c>
      <c r="CN2" s="9" t="inlineStr">
        <is>
          <t>Actual</t>
        </is>
      </c>
      <c r="CO2" s="9" t="inlineStr">
        <is>
          <t>Rolling</t>
        </is>
      </c>
      <c r="CP2" s="9" t="inlineStr">
        <is>
          <t>Approved</t>
        </is>
      </c>
      <c r="CQ2" s="8" t="inlineStr">
        <is>
          <t>Actual</t>
        </is>
      </c>
      <c r="CR2" s="8" t="inlineStr">
        <is>
          <t>Rolling</t>
        </is>
      </c>
      <c r="CS2" s="8" t="inlineStr">
        <is>
          <t>Approved</t>
        </is>
      </c>
      <c r="CT2" s="9" t="inlineStr">
        <is>
          <t>Actual</t>
        </is>
      </c>
      <c r="CU2" s="9" t="inlineStr">
        <is>
          <t>Rolling</t>
        </is>
      </c>
      <c r="CV2" s="9" t="inlineStr">
        <is>
          <t>Approved</t>
        </is>
      </c>
      <c r="CW2" s="8" t="inlineStr">
        <is>
          <t>Actual</t>
        </is>
      </c>
      <c r="CX2" s="8" t="inlineStr">
        <is>
          <t>Rolling</t>
        </is>
      </c>
      <c r="CY2" s="8" t="inlineStr">
        <is>
          <t>Approved</t>
        </is>
      </c>
      <c r="CZ2" s="9" t="inlineStr">
        <is>
          <t>Actual</t>
        </is>
      </c>
      <c r="DA2" s="9" t="inlineStr">
        <is>
          <t>Rolling</t>
        </is>
      </c>
      <c r="DB2" s="9" t="inlineStr">
        <is>
          <t>Approved</t>
        </is>
      </c>
      <c r="DC2" s="8" t="inlineStr">
        <is>
          <t>Actual</t>
        </is>
      </c>
      <c r="DD2" s="8" t="inlineStr">
        <is>
          <t>Rolling</t>
        </is>
      </c>
      <c r="DE2" s="8" t="inlineStr">
        <is>
          <t>Approved</t>
        </is>
      </c>
      <c r="DF2" s="9" t="inlineStr">
        <is>
          <t>Actual</t>
        </is>
      </c>
      <c r="DG2" s="9" t="inlineStr">
        <is>
          <t>Rolling</t>
        </is>
      </c>
      <c r="DH2" s="9" t="inlineStr">
        <is>
          <t>Approved</t>
        </is>
      </c>
      <c r="DI2" s="8" t="inlineStr">
        <is>
          <t>Actual</t>
        </is>
      </c>
      <c r="DJ2" s="8" t="inlineStr">
        <is>
          <t>Rolling</t>
        </is>
      </c>
      <c r="DK2" s="8" t="inlineStr">
        <is>
          <t>Approved</t>
        </is>
      </c>
      <c r="DL2" s="9" t="inlineStr">
        <is>
          <t>Actual</t>
        </is>
      </c>
      <c r="DM2" s="9" t="inlineStr">
        <is>
          <t>Rolling</t>
        </is>
      </c>
      <c r="DN2" s="9" t="inlineStr">
        <is>
          <t>Approved</t>
        </is>
      </c>
    </row>
    <row r="3">
      <c r="A3" s="2" t="inlineStr">
        <is>
          <t>Revenue Billed</t>
        </is>
      </c>
      <c r="B3" s="10">
        <f>IF(COUNT(AR3,AO3,AL3,AI3,AF3,AC3,Z3,W3,T3,Q3,N3,K3)=0,"",SUM(AR3,AO3,AL3,AI3,AF3,AC3,Z3,W3,T3,Q3,N3,K3))</f>
        <v/>
      </c>
      <c r="C3" s="10">
        <f>IF(COUNT(AS3,AP3,AM3,AJ3,AG3,AD3,AA3,X3,U3,R3,O3,L3)=0,"",SUM(AS3,AP3,AM3,AJ3,AG3,AD3,AA3,X3,U3,R3,O3,L3))</f>
        <v/>
      </c>
      <c r="D3" s="10">
        <f>IF(COUNT(AT3,AQ3,AN3,AK3,AH3,AE3,AB3,Y3,V3,S3,P3,M3)=0,"",SUM(AT3,AQ3,AN3,AK3,AH3,AE3,AB3,Y3,V3,S3,P3,M3))</f>
        <v/>
      </c>
      <c r="E3" s="11">
        <f>IF(COUNT(CB3,BY3,BV3,BS3,BP3,BM3,BJ3,BG3,BD3,BA3,AX3,AU3)=0,"",SUM(CB3,BY3,BV3,BS3,BP3,BM3,BJ3,BG3,BD3,BA3,AX3,AU3))</f>
        <v/>
      </c>
      <c r="F3" s="11">
        <f>IF(COUNT(CC3,BZ3,BW3,BT3,BQ3,BN3,BK3,BH3,BE3,BB3,AY3,AV3)=0,"",SUM(CC3,BZ3,BW3,BT3,BQ3,BN3,BK3,BH3,BE3,BB3,AY3,AV3))</f>
        <v/>
      </c>
      <c r="G3" s="11">
        <f>IF(COUNT(CD3,CA3,BX3,BU3,BR3,BO3,BL3,BI3,BF3,BC3,AZ3,AW3)=0,"",SUM(CD3,CA3,BX3,BU3,BR3,BO3,BL3,BI3,BF3,BC3,AZ3,AW3))</f>
        <v/>
      </c>
      <c r="H3" s="10">
        <f>IF(COUNT(DL3,DI3,DF3,DC3,CZ3,CW3,CT3,CQ3,CN3,CK3,CH3,CE3)=0,"",SUM(DL3,DI3,DF3,DC3,CZ3,CW3,CT3,CQ3,CN3,CK3,CH3,CE3))</f>
        <v/>
      </c>
      <c r="I3" s="10">
        <f>IF(COUNT(DM3,DJ3,DG3,DD3,DA3,CX3,CU3,CR3,CO3,CL3,CI3,CF3)=0,"",SUM(DM3,DJ3,DG3,DD3,DA3,CX3,CU3,CR3,CO3,CL3,CI3,CF3))</f>
        <v/>
      </c>
      <c r="J3" s="10">
        <f>IF(COUNT(DN3,DK3,DH3,DE3,DB3,CY3,CV3,CS3,CP3,CM3,CJ3,CG3)=0,"",SUM(DN3,DK3,DH3,DE3,DB3,CY3,CV3,CS3,CP3,CM3,CJ3,CG3))</f>
        <v/>
      </c>
      <c r="K3" s="11">
        <f>IF(COUNT('Summary'!K7)=1,'Summary'!K7,"")</f>
        <v/>
      </c>
      <c r="L3" s="11">
        <f>'Summary'!L7</f>
        <v/>
      </c>
      <c r="M3" s="11">
        <f>'Summary'!M7</f>
        <v/>
      </c>
      <c r="N3" s="10">
        <f>IF(COUNT('Summary'!N7)=1,'Summary'!N7,"")</f>
        <v/>
      </c>
      <c r="O3" s="10">
        <f>'Summary'!O7</f>
        <v/>
      </c>
      <c r="P3" s="10">
        <f>'Summary'!P7</f>
        <v/>
      </c>
      <c r="Q3" s="11">
        <f>IF(COUNT('Summary'!Q7)=1,'Summary'!Q7,"")</f>
        <v/>
      </c>
      <c r="R3" s="11">
        <f>'Summary'!R7</f>
        <v/>
      </c>
      <c r="S3" s="11">
        <f>'Summary'!S7</f>
        <v/>
      </c>
      <c r="T3" s="10">
        <f>IF(COUNT('Summary'!T7)=1,'Summary'!T7,"")</f>
        <v/>
      </c>
      <c r="U3" s="10">
        <f>'Summary'!U7</f>
        <v/>
      </c>
      <c r="V3" s="10">
        <f>'Summary'!V7</f>
        <v/>
      </c>
      <c r="W3" s="11">
        <f>IF(COUNT('Summary'!W7)=1,'Summary'!W7,"")</f>
        <v/>
      </c>
      <c r="X3" s="11">
        <f>'Summary'!X7</f>
        <v/>
      </c>
      <c r="Y3" s="11">
        <f>'Summary'!Y7</f>
        <v/>
      </c>
      <c r="Z3" s="10">
        <f>IF(COUNT('Summary'!Z7)=1,'Summary'!Z7,"")</f>
        <v/>
      </c>
      <c r="AA3" s="10">
        <f>'Summary'!AA7</f>
        <v/>
      </c>
      <c r="AB3" s="10">
        <f>'Summary'!AB7</f>
        <v/>
      </c>
      <c r="AC3" s="11">
        <f>IF(COUNT('Summary'!AC7)=1,'Summary'!AC7,"")</f>
        <v/>
      </c>
      <c r="AD3" s="11">
        <f>'Summary'!AD7</f>
        <v/>
      </c>
      <c r="AE3" s="11">
        <f>'Summary'!AE7</f>
        <v/>
      </c>
      <c r="AF3" s="10">
        <f>IF(COUNT('Summary'!AF7)=1,'Summary'!AF7,"")</f>
        <v/>
      </c>
      <c r="AG3" s="10">
        <f>'Summary'!AG7</f>
        <v/>
      </c>
      <c r="AH3" s="10">
        <f>'Summary'!AH7</f>
        <v/>
      </c>
      <c r="AI3" s="11">
        <f>IF(COUNT('Summary'!AI7)=1,'Summary'!AI7,"")</f>
        <v/>
      </c>
      <c r="AJ3" s="11">
        <f>'Summary'!AJ7</f>
        <v/>
      </c>
      <c r="AK3" s="11">
        <f>'Summary'!AK7</f>
        <v/>
      </c>
      <c r="AL3" s="10">
        <f>IF(COUNT('Summary'!AL7)=1,'Summary'!AL7,"")</f>
        <v/>
      </c>
      <c r="AM3" s="10">
        <f>'Summary'!AM7</f>
        <v/>
      </c>
      <c r="AN3" s="10">
        <f>'Summary'!AN7</f>
        <v/>
      </c>
      <c r="AO3" s="11">
        <f>IF(COUNT('Summary'!AO7)=1,'Summary'!AO7,"")</f>
        <v/>
      </c>
      <c r="AP3" s="11">
        <f>'Summary'!AP7</f>
        <v/>
      </c>
      <c r="AQ3" s="11">
        <f>'Summary'!AQ7</f>
        <v/>
      </c>
      <c r="AR3" s="10">
        <f>IF(COUNT('Summary'!AR7)=1,'Summary'!AR7,"")</f>
        <v/>
      </c>
      <c r="AS3" s="10">
        <f>'Summary'!AS7</f>
        <v/>
      </c>
      <c r="AT3" s="10">
        <f>'Summary'!AT7</f>
        <v/>
      </c>
      <c r="AU3" s="11">
        <f>IF(COUNT('Summary'!AU7)=1,'Summary'!AU7,"")</f>
        <v/>
      </c>
      <c r="AV3" s="11">
        <f>'Summary'!AV7</f>
        <v/>
      </c>
      <c r="AW3" s="11">
        <f>'Summary'!AW7</f>
        <v/>
      </c>
      <c r="AX3" s="10">
        <f>IF(COUNT('Summary'!AX7)=1,'Summary'!AX7,"")</f>
        <v/>
      </c>
      <c r="AY3" s="10">
        <f>'Summary'!AY7</f>
        <v/>
      </c>
      <c r="AZ3" s="10">
        <f>'Summary'!AZ7</f>
        <v/>
      </c>
      <c r="BA3" s="11">
        <f>IF(COUNT('Summary'!BA7)=1,'Summary'!BA7,"")</f>
        <v/>
      </c>
      <c r="BB3" s="11">
        <f>'Summary'!BB7</f>
        <v/>
      </c>
      <c r="BC3" s="11">
        <f>'Summary'!BC7</f>
        <v/>
      </c>
      <c r="BD3" s="10">
        <f>IF(COUNT('Summary'!BD7)=1,'Summary'!BD7,"")</f>
        <v/>
      </c>
      <c r="BE3" s="10">
        <f>'Summary'!BE7</f>
        <v/>
      </c>
      <c r="BF3" s="10">
        <f>'Summary'!BF7</f>
        <v/>
      </c>
      <c r="BG3" s="11">
        <f>IF(COUNT('Summary'!BG7)=1,'Summary'!BG7,"")</f>
        <v/>
      </c>
      <c r="BH3" s="11">
        <f>'Summary'!BH7</f>
        <v/>
      </c>
      <c r="BI3" s="11">
        <f>'Summary'!BI7</f>
        <v/>
      </c>
      <c r="BJ3" s="10">
        <f>IF(COUNT('Summary'!BJ7)=1,'Summary'!BJ7,"")</f>
        <v/>
      </c>
      <c r="BK3" s="10">
        <f>'Summary'!BK7</f>
        <v/>
      </c>
      <c r="BL3" s="10">
        <f>'Summary'!BL7</f>
        <v/>
      </c>
      <c r="BM3" s="11">
        <f>IF(COUNT('Summary'!BM7)=1,'Summary'!BM7,"")</f>
        <v/>
      </c>
      <c r="BN3" s="11">
        <f>'Summary'!BN7</f>
        <v/>
      </c>
      <c r="BO3" s="11">
        <f>'Summary'!BO7</f>
        <v/>
      </c>
      <c r="BP3" s="10">
        <f>IF(COUNT('Summary'!BP7)=1,'Summary'!BP7,"")</f>
        <v/>
      </c>
      <c r="BQ3" s="10">
        <f>'Summary'!BQ7</f>
        <v/>
      </c>
      <c r="BR3" s="10">
        <f>'Summary'!BR7</f>
        <v/>
      </c>
      <c r="BS3" s="11">
        <f>IF(COUNT('Summary'!BS7)=1,'Summary'!BS7,"")</f>
        <v/>
      </c>
      <c r="BT3" s="11">
        <f>'Summary'!BT7</f>
        <v/>
      </c>
      <c r="BU3" s="11">
        <f>'Summary'!BU7</f>
        <v/>
      </c>
      <c r="BV3" s="10">
        <f>IF(COUNT('Summary'!BV7)=1,'Summary'!BV7,"")</f>
        <v/>
      </c>
      <c r="BW3" s="10">
        <f>'Summary'!BW7</f>
        <v/>
      </c>
      <c r="BX3" s="10">
        <f>'Summary'!BX7</f>
        <v/>
      </c>
      <c r="BY3" s="11">
        <f>IF(COUNT('Summary'!BY7)=1,'Summary'!BY7,"")</f>
        <v/>
      </c>
      <c r="BZ3" s="11">
        <f>'Summary'!BZ7</f>
        <v/>
      </c>
      <c r="CA3" s="11">
        <f>'Summary'!CA7</f>
        <v/>
      </c>
      <c r="CB3" s="10">
        <f>IF(COUNT('Summary'!CB7)=1,'Summary'!CB7,"")</f>
        <v/>
      </c>
      <c r="CC3" s="10">
        <f>'Summary'!CC7</f>
        <v/>
      </c>
      <c r="CD3" s="10">
        <f>'Summary'!CD7</f>
        <v/>
      </c>
      <c r="CE3" s="11">
        <f>IF(COUNT('Summary'!CE7)=1,'Summary'!CE7,"")</f>
        <v/>
      </c>
      <c r="CF3" s="11">
        <f>'Summary'!CF7</f>
        <v/>
      </c>
      <c r="CG3" s="11">
        <f>'Summary'!CG7</f>
        <v/>
      </c>
      <c r="CH3" s="10">
        <f>IF(COUNT('Summary'!CH7)=1,'Summary'!CH7,"")</f>
        <v/>
      </c>
      <c r="CI3" s="10">
        <f>'Summary'!CI7</f>
        <v/>
      </c>
      <c r="CJ3" s="10">
        <f>'Summary'!CJ7</f>
        <v/>
      </c>
      <c r="CK3" s="11">
        <f>IF(COUNT('Summary'!CK7)=1,'Summary'!CK7,"")</f>
        <v/>
      </c>
      <c r="CL3" s="11">
        <f>'Summary'!CL7</f>
        <v/>
      </c>
      <c r="CM3" s="11">
        <f>'Summary'!CM7</f>
        <v/>
      </c>
      <c r="CN3" s="10">
        <f>IF(COUNT('Summary'!CN7)=1,'Summary'!CN7,"")</f>
        <v/>
      </c>
      <c r="CO3" s="10">
        <f>'Summary'!CO7</f>
        <v/>
      </c>
      <c r="CP3" s="10">
        <f>'Summary'!CP7</f>
        <v/>
      </c>
      <c r="CQ3" s="11">
        <f>IF(COUNT('Summary'!CQ7)=1,'Summary'!CQ7,"")</f>
        <v/>
      </c>
      <c r="CR3" s="11">
        <f>'Summary'!CR7</f>
        <v/>
      </c>
      <c r="CS3" s="11">
        <f>'Summary'!CS7</f>
        <v/>
      </c>
      <c r="CT3" s="10">
        <f>IF(COUNT('Summary'!CT7)=1,'Summary'!CT7,"")</f>
        <v/>
      </c>
      <c r="CU3" s="10">
        <f>'Summary'!CU7</f>
        <v/>
      </c>
      <c r="CV3" s="10">
        <f>'Summary'!CV7</f>
        <v/>
      </c>
      <c r="CW3" s="11">
        <f>IF(COUNT('Summary'!CW7)=1,'Summary'!CW7,"")</f>
        <v/>
      </c>
      <c r="CX3" s="11">
        <f>'Summary'!CX7</f>
        <v/>
      </c>
      <c r="CY3" s="11">
        <f>'Summary'!CY7</f>
        <v/>
      </c>
      <c r="CZ3" s="10">
        <f>IF(COUNT('Summary'!CZ7)=1,'Summary'!CZ7,"")</f>
        <v/>
      </c>
      <c r="DA3" s="10">
        <f>'Summary'!DA7</f>
        <v/>
      </c>
      <c r="DB3" s="10">
        <f>'Summary'!DB7</f>
        <v/>
      </c>
      <c r="DC3" s="11">
        <f>IF(COUNT('Summary'!DC7)=1,'Summary'!DC7,"")</f>
        <v/>
      </c>
      <c r="DD3" s="11">
        <f>'Summary'!DD7</f>
        <v/>
      </c>
      <c r="DE3" s="11">
        <f>'Summary'!DE7</f>
        <v/>
      </c>
      <c r="DF3" s="10">
        <f>IF(COUNT('Summary'!DF7)=1,'Summary'!DF7,"")</f>
        <v/>
      </c>
      <c r="DG3" s="10">
        <f>'Summary'!DG7</f>
        <v/>
      </c>
      <c r="DH3" s="10">
        <f>'Summary'!DH7</f>
        <v/>
      </c>
      <c r="DI3" s="11">
        <f>IF(COUNT('Summary'!DI7)=1,'Summary'!DI7,"")</f>
        <v/>
      </c>
      <c r="DJ3" s="11">
        <f>'Summary'!DJ7</f>
        <v/>
      </c>
      <c r="DK3" s="11">
        <f>'Summary'!DK7</f>
        <v/>
      </c>
      <c r="DL3" s="10">
        <f>IF(COUNT('Summary'!DL7)=1,'Summary'!DL7,"")</f>
        <v/>
      </c>
      <c r="DM3" s="10">
        <f>'Summary'!DM7</f>
        <v/>
      </c>
      <c r="DN3" s="10">
        <f>'Summary'!DN7</f>
        <v/>
      </c>
    </row>
    <row r="4">
      <c r="A4" s="15" t="inlineStr">
        <is>
          <t>Days Sales Outstanding</t>
        </is>
      </c>
      <c r="B4" s="36">
        <f>IF(K4&lt;&gt;"",K4,IF(N4&lt;&gt;"",N4,IF(Q4&lt;&gt;"",Q4,IF(T4&lt;&gt;"",T4,IF(W4&lt;&gt;"",W4,IF(Z4&lt;&gt;"",Z4,IF(AC4&lt;&gt;"",AC4,IF(AF4&lt;&gt;"",AF4,IF(AI4&lt;&gt;"",AI4,IF(AL4&lt;&gt;"",AL4,IF(AO4&lt;&gt;"",AO4,IF(AR4&lt;&gt;"",AR4,""))))))))))))</f>
        <v/>
      </c>
      <c r="C4" s="36">
        <f>IF(L4&lt;&gt;"",L4,IF(O4&lt;&gt;"",O4,IF(R4&lt;&gt;"",R4,IF(U4&lt;&gt;"",U4,IF(X4&lt;&gt;"",X4,IF(AA4&lt;&gt;"",AA4,IF(AD4&lt;&gt;"",AD4,IF(AG4&lt;&gt;"",AG4,IF(AJ4&lt;&gt;"",AJ4,IF(AM4&lt;&gt;"",AM4,IF(AP4&lt;&gt;"",AP4,IF(AS4&lt;&gt;"",AS4,""))))))))))))</f>
        <v/>
      </c>
      <c r="D4" s="36">
        <f>IF(M4&lt;&gt;"",M4,IF(P4&lt;&gt;"",P4,IF(S4&lt;&gt;"",S4,IF(V4&lt;&gt;"",V4,IF(Y4&lt;&gt;"",Y4,IF(AB4&lt;&gt;"",AB4,IF(AE4&lt;&gt;"",AE4,IF(AH4&lt;&gt;"",AH4,IF(AK4&lt;&gt;"",AK4,IF(AN4&lt;&gt;"",AN4,IF(AQ4&lt;&gt;"",AQ4,IF(AT4&lt;&gt;"",AT4,""))))))))))))</f>
        <v/>
      </c>
      <c r="E4" s="37">
        <f>IF(AU4&lt;&gt;"",AU4,IF(AX4&lt;&gt;"",AX4,IF(BA4&lt;&gt;"",BA4,IF(BD4&lt;&gt;"",BD4,IF(BG4&lt;&gt;"",BG4,IF(BJ4&lt;&gt;"",BJ4,IF(BM4&lt;&gt;"",BM4,IF(BP4&lt;&gt;"",BP4,IF(BS4&lt;&gt;"",BS4,IF(BV4&lt;&gt;"",BV4,IF(BY4&lt;&gt;"",BY4,IF(CB4&lt;&gt;"",CB4,""))))))))))))</f>
        <v/>
      </c>
      <c r="F4" s="37">
        <f>IF(AV4&lt;&gt;"",AV4,IF(AY4&lt;&gt;"",AY4,IF(BB4&lt;&gt;"",BB4,IF(BE4&lt;&gt;"",BE4,IF(BH4&lt;&gt;"",BH4,IF(BK4&lt;&gt;"",BK4,IF(BN4&lt;&gt;"",BN4,IF(BQ4&lt;&gt;"",BQ4,IF(BT4&lt;&gt;"",BT4,IF(BW4&lt;&gt;"",BW4,IF(BZ4&lt;&gt;"",BZ4,IF(CC4&lt;&gt;"",CC4,""))))))))))))</f>
        <v/>
      </c>
      <c r="G4" s="37">
        <f>IF(AW4&lt;&gt;"",AW4,IF(AZ4&lt;&gt;"",AZ4,IF(BC4&lt;&gt;"",BC4,IF(BF4&lt;&gt;"",BF4,IF(BI4&lt;&gt;"",BI4,IF(BL4&lt;&gt;"",BL4,IF(BO4&lt;&gt;"",BO4,IF(BR4&lt;&gt;"",BR4,IF(BU4&lt;&gt;"",BU4,IF(BX4&lt;&gt;"",BX4,IF(CA4&lt;&gt;"",CA4,IF(CD4&lt;&gt;"",CD4,""))))))))))))</f>
        <v/>
      </c>
      <c r="H4" s="36">
        <f>IF(CE4&lt;&gt;"",CE4,IF(CH4&lt;&gt;"",CH4,IF(CK4&lt;&gt;"",CK4,IF(CN4&lt;&gt;"",CN4,IF(CQ4&lt;&gt;"",CQ4,IF(CT4&lt;&gt;"",CT4,IF(CW4&lt;&gt;"",CW4,IF(CZ4&lt;&gt;"",CZ4,IF(DC4&lt;&gt;"",DC4,IF(DF4&lt;&gt;"",DF4,IF(DI4&lt;&gt;"",DI4,IF(DL4&lt;&gt;"",DL4,""))))))))))))</f>
        <v/>
      </c>
      <c r="I4" s="36">
        <f>IF(CF4&lt;&gt;"",CF4,IF(CI4&lt;&gt;"",CI4,IF(CL4&lt;&gt;"",CL4,IF(CO4&lt;&gt;"",CO4,IF(CR4&lt;&gt;"",CR4,IF(CU4&lt;&gt;"",CU4,IF(CX4&lt;&gt;"",CX4,IF(DA4&lt;&gt;"",DA4,IF(DD4&lt;&gt;"",DD4,IF(DG4&lt;&gt;"",DG4,IF(DJ4&lt;&gt;"",DJ4,IF(DM4&lt;&gt;"",DM4,""))))))))))))</f>
        <v/>
      </c>
      <c r="J4" s="36">
        <f>IF(CG4&lt;&gt;"",CG4,IF(CJ4&lt;&gt;"",CJ4,IF(CM4&lt;&gt;"",CM4,IF(CP4&lt;&gt;"",CP4,IF(CS4&lt;&gt;"",CS4,IF(CV4&lt;&gt;"",CV4,IF(CY4&lt;&gt;"",CY4,IF(DB4&lt;&gt;"",DB4,IF(DE4&lt;&gt;"",DE4,IF(DH4&lt;&gt;"",DH4,IF(DK4&lt;&gt;"",DK4,IF(DN4&lt;&gt;"",DN4,""))))))))))))</f>
        <v/>
      </c>
      <c r="K4" s="42" t="n"/>
      <c r="L4" s="37" t="n">
        <v>30</v>
      </c>
      <c r="M4" s="37" t="n">
        <v>30</v>
      </c>
      <c r="N4" s="65" t="n"/>
      <c r="O4" s="36" t="n">
        <v>30</v>
      </c>
      <c r="P4" s="36" t="n">
        <v>30</v>
      </c>
      <c r="Q4" s="42" t="n"/>
      <c r="R4" s="37" t="n">
        <v>30</v>
      </c>
      <c r="S4" s="37" t="n">
        <v>30</v>
      </c>
      <c r="T4" s="65" t="n"/>
      <c r="U4" s="36" t="n">
        <v>30</v>
      </c>
      <c r="V4" s="36" t="n">
        <v>30</v>
      </c>
      <c r="W4" s="42" t="n"/>
      <c r="X4" s="37" t="n">
        <v>30</v>
      </c>
      <c r="Y4" s="37" t="n">
        <v>30</v>
      </c>
      <c r="Z4" s="65" t="n"/>
      <c r="AA4" s="36" t="n">
        <v>30</v>
      </c>
      <c r="AB4" s="36" t="n">
        <v>30</v>
      </c>
      <c r="AC4" s="42" t="n"/>
      <c r="AD4" s="37" t="n">
        <v>30</v>
      </c>
      <c r="AE4" s="37" t="n">
        <v>30</v>
      </c>
      <c r="AF4" s="65" t="n"/>
      <c r="AG4" s="36" t="n">
        <v>30</v>
      </c>
      <c r="AH4" s="36" t="n">
        <v>30</v>
      </c>
      <c r="AI4" s="42" t="n"/>
      <c r="AJ4" s="37" t="n">
        <v>30</v>
      </c>
      <c r="AK4" s="37" t="n">
        <v>30</v>
      </c>
      <c r="AL4" s="65" t="n"/>
      <c r="AM4" s="36" t="n">
        <v>30</v>
      </c>
      <c r="AN4" s="36" t="n">
        <v>30</v>
      </c>
      <c r="AO4" s="42" t="n"/>
      <c r="AP4" s="37" t="n">
        <v>30</v>
      </c>
      <c r="AQ4" s="37" t="n">
        <v>30</v>
      </c>
      <c r="AR4" s="65" t="n"/>
      <c r="AS4" s="36" t="n">
        <v>30</v>
      </c>
      <c r="AT4" s="36" t="n">
        <v>30</v>
      </c>
      <c r="AU4" s="42" t="n"/>
      <c r="AV4" s="37" t="n">
        <v>30</v>
      </c>
      <c r="AW4" s="37" t="n">
        <v>30</v>
      </c>
      <c r="AX4" s="65" t="n"/>
      <c r="AY4" s="36" t="n">
        <v>30</v>
      </c>
      <c r="AZ4" s="36" t="n">
        <v>30</v>
      </c>
      <c r="BA4" s="42" t="n"/>
      <c r="BB4" s="37" t="n">
        <v>30</v>
      </c>
      <c r="BC4" s="37" t="n">
        <v>30</v>
      </c>
      <c r="BD4" s="65" t="n"/>
      <c r="BE4" s="36" t="n">
        <v>30</v>
      </c>
      <c r="BF4" s="36" t="n">
        <v>30</v>
      </c>
      <c r="BG4" s="42" t="n"/>
      <c r="BH4" s="37" t="n">
        <v>30</v>
      </c>
      <c r="BI4" s="37" t="n">
        <v>30</v>
      </c>
      <c r="BJ4" s="65" t="n"/>
      <c r="BK4" s="36" t="n">
        <v>30</v>
      </c>
      <c r="BL4" s="36" t="n">
        <v>30</v>
      </c>
      <c r="BM4" s="42" t="n"/>
      <c r="BN4" s="37" t="n">
        <v>30</v>
      </c>
      <c r="BO4" s="37" t="n">
        <v>30</v>
      </c>
      <c r="BP4" s="65" t="n"/>
      <c r="BQ4" s="36" t="n">
        <v>30</v>
      </c>
      <c r="BR4" s="36" t="n">
        <v>30</v>
      </c>
      <c r="BS4" s="42" t="n"/>
      <c r="BT4" s="37" t="n">
        <v>30</v>
      </c>
      <c r="BU4" s="37" t="n">
        <v>30</v>
      </c>
      <c r="BV4" s="65" t="n"/>
      <c r="BW4" s="36" t="n">
        <v>30</v>
      </c>
      <c r="BX4" s="36" t="n">
        <v>30</v>
      </c>
      <c r="BY4" s="42" t="n"/>
      <c r="BZ4" s="37" t="n">
        <v>30</v>
      </c>
      <c r="CA4" s="37" t="n">
        <v>30</v>
      </c>
      <c r="CB4" s="65" t="n"/>
      <c r="CC4" s="36" t="n">
        <v>30</v>
      </c>
      <c r="CD4" s="36" t="n">
        <v>30</v>
      </c>
      <c r="CE4" s="42" t="n"/>
      <c r="CF4" s="37" t="n">
        <v>30</v>
      </c>
      <c r="CG4" s="37" t="n">
        <v>30</v>
      </c>
      <c r="CH4" s="65" t="n"/>
      <c r="CI4" s="36" t="n">
        <v>30</v>
      </c>
      <c r="CJ4" s="36" t="n">
        <v>30</v>
      </c>
      <c r="CK4" s="42" t="n"/>
      <c r="CL4" s="37" t="n">
        <v>30</v>
      </c>
      <c r="CM4" s="37" t="n">
        <v>30</v>
      </c>
      <c r="CN4" s="65" t="n"/>
      <c r="CO4" s="36" t="n">
        <v>30</v>
      </c>
      <c r="CP4" s="36" t="n">
        <v>30</v>
      </c>
      <c r="CQ4" s="42" t="n"/>
      <c r="CR4" s="37" t="n">
        <v>30</v>
      </c>
      <c r="CS4" s="37" t="n">
        <v>30</v>
      </c>
      <c r="CT4" s="65" t="n"/>
      <c r="CU4" s="36" t="n">
        <v>30</v>
      </c>
      <c r="CV4" s="36" t="n">
        <v>30</v>
      </c>
      <c r="CW4" s="42" t="n"/>
      <c r="CX4" s="37" t="n">
        <v>30</v>
      </c>
      <c r="CY4" s="37" t="n">
        <v>30</v>
      </c>
      <c r="CZ4" s="65" t="n"/>
      <c r="DA4" s="36" t="n">
        <v>30</v>
      </c>
      <c r="DB4" s="36" t="n">
        <v>30</v>
      </c>
      <c r="DC4" s="42" t="n"/>
      <c r="DD4" s="37" t="n">
        <v>30</v>
      </c>
      <c r="DE4" s="37" t="n">
        <v>30</v>
      </c>
      <c r="DF4" s="65" t="n"/>
      <c r="DG4" s="36" t="n">
        <v>30</v>
      </c>
      <c r="DH4" s="36" t="n">
        <v>30</v>
      </c>
      <c r="DI4" s="37" t="n">
        <v>30</v>
      </c>
      <c r="DJ4" s="37" t="n">
        <v>30</v>
      </c>
      <c r="DK4" s="37" t="n">
        <v>30</v>
      </c>
      <c r="DL4" s="36" t="n">
        <v>30</v>
      </c>
      <c r="DM4" s="36" t="n">
        <v>30</v>
      </c>
      <c r="DN4" s="36" t="n">
        <v>30</v>
      </c>
    </row>
    <row r="5">
      <c r="A5" s="2" t="inlineStr">
        <is>
          <t>Cash Collected</t>
        </is>
      </c>
      <c r="B5" s="10">
        <f>IF(COUNT(AR5,AO5,AL5,AI5,AF5,AC5,Z5,W5,T5,Q5,N5,K5)=0,"",SUM(AR5,AO5,AL5,AI5,AF5,AC5,Z5,W5,T5,Q5,N5,K5))</f>
        <v/>
      </c>
      <c r="C5" s="10">
        <f>IF(COUNT(AS5,AP5,AM5,AJ5,AG5,AD5,AA5,X5,U5,R5,O5,L5)=0,"",SUM(AS5,AP5,AM5,AJ5,AG5,AD5,AA5,X5,U5,R5,O5,L5))</f>
        <v/>
      </c>
      <c r="D5" s="10">
        <f>IF(COUNT(AT5,AQ5,AN5,AK5,AH5,AE5,AB5,Y5,V5,S5,P5,M5)=0,"",SUM(AT5,AQ5,AN5,AK5,AH5,AE5,AB5,Y5,V5,S5,P5,M5))</f>
        <v/>
      </c>
      <c r="E5" s="11">
        <f>IF(COUNT(CB5,BY5,BV5,BS5,BP5,BM5,BJ5,BG5,BD5,BA5,AX5,AU5)=0,"",SUM(CB5,BY5,BV5,BS5,BP5,BM5,BJ5,BG5,BD5,BA5,AX5,AU5))</f>
        <v/>
      </c>
      <c r="F5" s="11">
        <f>IF(COUNT(CC5,BZ5,BW5,BT5,BQ5,BN5,BK5,BH5,BE5,BB5,AY5,AV5)=0,"",SUM(CC5,BZ5,BW5,BT5,BQ5,BN5,BK5,BH5,BE5,BB5,AY5,AV5))</f>
        <v/>
      </c>
      <c r="G5" s="11">
        <f>IF(COUNT(CD5,CA5,BX5,BU5,BR5,BO5,BL5,BI5,BF5,BC5,AZ5,AW5)=0,"",SUM(CD5,CA5,BX5,BU5,BR5,BO5,BL5,BI5,BF5,BC5,AZ5,AW5))</f>
        <v/>
      </c>
      <c r="H5" s="10">
        <f>IF(COUNT(DL5,DI5,DF5,DC5,CZ5,CW5,CT5,CQ5,CN5,CK5,CH5,CE5)=0,"",SUM(DL5,DI5,DF5,DC5,CZ5,CW5,CT5,CQ5,CN5,CK5,CH5,CE5))</f>
        <v/>
      </c>
      <c r="I5" s="10">
        <f>IF(COUNT(DM5,DJ5,DG5,DD5,DA5,CX5,CU5,CR5,CO5,CL5,CI5,CF5)=0,"",SUM(DM5,DJ5,DG5,DD5,DA5,CX5,CU5,CR5,CO5,CL5,CI5,CF5))</f>
        <v/>
      </c>
      <c r="J5" s="10">
        <f>IF(COUNT(DN5,DK5,DH5,DE5,DB5,CY5,CV5,CS5,CP5,CM5,CJ5,CG5)=0,"",SUM(DN5,DK5,DH5,DE5,DB5,CY5,CV5,CS5,CP5,CM5,CJ5,CG5))</f>
        <v/>
      </c>
      <c r="K5" s="11" t="n"/>
      <c r="L5" s="11">
        <f>'Summary'!L7*(1-MIN(1,L4/30))+'Finance'!O3*MIN(1,L4/30)</f>
        <v/>
      </c>
      <c r="M5" s="11">
        <f>'Summary'!M7*(1-MIN(1,M4/30))+'Finance'!P3*MIN(1,M4/30)</f>
        <v/>
      </c>
      <c r="N5" s="10" t="n"/>
      <c r="O5" s="10">
        <f>'Summary'!O7*(1-MIN(1,O4/30))+'Finance'!R3*MIN(1,O4/30)</f>
        <v/>
      </c>
      <c r="P5" s="10">
        <f>'Summary'!P7*(1-MIN(1,P4/30))+'Finance'!S3*MIN(1,P4/30)</f>
        <v/>
      </c>
      <c r="Q5" s="11" t="n"/>
      <c r="R5" s="11">
        <f>'Summary'!R7*(1-MIN(1,R4/30))+'Finance'!U3*MIN(1,R4/30)</f>
        <v/>
      </c>
      <c r="S5" s="11">
        <f>'Summary'!S7*(1-MIN(1,S4/30))+'Finance'!V3*MIN(1,S4/30)</f>
        <v/>
      </c>
      <c r="T5" s="10" t="n"/>
      <c r="U5" s="10">
        <f>'Summary'!U7*(1-MIN(1,U4/30))+'Finance'!X3*MIN(1,U4/30)</f>
        <v/>
      </c>
      <c r="V5" s="10">
        <f>'Summary'!V7*(1-MIN(1,V4/30))+'Finance'!Y3*MIN(1,V4/30)</f>
        <v/>
      </c>
      <c r="W5" s="11" t="n"/>
      <c r="X5" s="11">
        <f>'Summary'!X7*(1-MIN(1,X4/30))+'Finance'!AA3*MIN(1,X4/30)</f>
        <v/>
      </c>
      <c r="Y5" s="11">
        <f>'Summary'!Y7*(1-MIN(1,Y4/30))+'Finance'!AB3*MIN(1,Y4/30)</f>
        <v/>
      </c>
      <c r="Z5" s="10" t="n"/>
      <c r="AA5" s="10">
        <f>'Summary'!AA7*(1-MIN(1,AA4/30))+'Finance'!AD3*MIN(1,AA4/30)</f>
        <v/>
      </c>
      <c r="AB5" s="10">
        <f>'Summary'!AB7*(1-MIN(1,AB4/30))+'Finance'!AE3*MIN(1,AB4/30)</f>
        <v/>
      </c>
      <c r="AC5" s="11" t="n"/>
      <c r="AD5" s="11">
        <f>'Summary'!AD7*(1-MIN(1,AD4/30))+'Finance'!AG3*MIN(1,AD4/30)</f>
        <v/>
      </c>
      <c r="AE5" s="11">
        <f>'Summary'!AE7*(1-MIN(1,AE4/30))+'Finance'!AH3*MIN(1,AE4/30)</f>
        <v/>
      </c>
      <c r="AF5" s="10" t="n"/>
      <c r="AG5" s="10">
        <f>'Summary'!AG7*(1-MIN(1,AG4/30))+'Finance'!AJ3*MIN(1,AG4/30)</f>
        <v/>
      </c>
      <c r="AH5" s="10">
        <f>'Summary'!AH7*(1-MIN(1,AH4/30))+'Finance'!AK3*MIN(1,AH4/30)</f>
        <v/>
      </c>
      <c r="AI5" s="11" t="n"/>
      <c r="AJ5" s="11">
        <f>'Summary'!AJ7*(1-MIN(1,AJ4/30))+'Finance'!AM3*MIN(1,AJ4/30)</f>
        <v/>
      </c>
      <c r="AK5" s="11">
        <f>'Summary'!AK7*(1-MIN(1,AK4/30))+'Finance'!AN3*MIN(1,AK4/30)</f>
        <v/>
      </c>
      <c r="AL5" s="10" t="n"/>
      <c r="AM5" s="10">
        <f>'Summary'!AM7*(1-MIN(1,AM4/30))+'Finance'!AP3*MIN(1,AM4/30)</f>
        <v/>
      </c>
      <c r="AN5" s="10">
        <f>'Summary'!AN7*(1-MIN(1,AN4/30))+'Finance'!AQ3*MIN(1,AN4/30)</f>
        <v/>
      </c>
      <c r="AO5" s="11" t="n"/>
      <c r="AP5" s="11">
        <f>'Summary'!AP7*(1-MIN(1,AP4/30))+'Finance'!AS3*MIN(1,AP4/30)</f>
        <v/>
      </c>
      <c r="AQ5" s="11">
        <f>'Summary'!AQ7*(1-MIN(1,AQ4/30))+'Finance'!AT3*MIN(1,AQ4/30)</f>
        <v/>
      </c>
      <c r="AR5" s="10" t="n"/>
      <c r="AS5" s="10">
        <f>'Summary'!AS7*(1-MIN(1,AS4/30))+'Finance'!AV3*MIN(1,AS4/30)</f>
        <v/>
      </c>
      <c r="AT5" s="10">
        <f>'Summary'!AT7*(1-MIN(1,AT4/30))+'Finance'!AW3*MIN(1,AT4/30)</f>
        <v/>
      </c>
      <c r="AU5" s="11" t="n"/>
      <c r="AV5" s="11">
        <f>'Summary'!AV7*(1-MIN(1,AV4/30))+'Finance'!AY3*MIN(1,AV4/30)</f>
        <v/>
      </c>
      <c r="AW5" s="11">
        <f>'Summary'!AW7*(1-MIN(1,AW4/30))+'Finance'!AZ3*MIN(1,AW4/30)</f>
        <v/>
      </c>
      <c r="AX5" s="10" t="n"/>
      <c r="AY5" s="10">
        <f>'Summary'!AY7*(1-MIN(1,AY4/30))+'Finance'!BB3*MIN(1,AY4/30)</f>
        <v/>
      </c>
      <c r="AZ5" s="10">
        <f>'Summary'!AZ7*(1-MIN(1,AZ4/30))+'Finance'!BC3*MIN(1,AZ4/30)</f>
        <v/>
      </c>
      <c r="BA5" s="11" t="n"/>
      <c r="BB5" s="11">
        <f>'Summary'!BB7*(1-MIN(1,BB4/30))+'Finance'!BE3*MIN(1,BB4/30)</f>
        <v/>
      </c>
      <c r="BC5" s="11">
        <f>'Summary'!BC7*(1-MIN(1,BC4/30))+'Finance'!BF3*MIN(1,BC4/30)</f>
        <v/>
      </c>
      <c r="BD5" s="10" t="n"/>
      <c r="BE5" s="10">
        <f>'Summary'!BE7*(1-MIN(1,BE4/30))+'Finance'!BH3*MIN(1,BE4/30)</f>
        <v/>
      </c>
      <c r="BF5" s="10">
        <f>'Summary'!BF7*(1-MIN(1,BF4/30))+'Finance'!BI3*MIN(1,BF4/30)</f>
        <v/>
      </c>
      <c r="BG5" s="11" t="n"/>
      <c r="BH5" s="11">
        <f>'Summary'!BH7*(1-MIN(1,BH4/30))+'Finance'!BK3*MIN(1,BH4/30)</f>
        <v/>
      </c>
      <c r="BI5" s="11">
        <f>'Summary'!BI7*(1-MIN(1,BI4/30))+'Finance'!BL3*MIN(1,BI4/30)</f>
        <v/>
      </c>
      <c r="BJ5" s="10" t="n"/>
      <c r="BK5" s="10">
        <f>'Summary'!BK7*(1-MIN(1,BK4/30))+'Finance'!BN3*MIN(1,BK4/30)</f>
        <v/>
      </c>
      <c r="BL5" s="10">
        <f>'Summary'!BL7*(1-MIN(1,BL4/30))+'Finance'!BO3*MIN(1,BL4/30)</f>
        <v/>
      </c>
      <c r="BM5" s="11" t="n"/>
      <c r="BN5" s="11">
        <f>'Summary'!BN7*(1-MIN(1,BN4/30))+'Finance'!BQ3*MIN(1,BN4/30)</f>
        <v/>
      </c>
      <c r="BO5" s="11">
        <f>'Summary'!BO7*(1-MIN(1,BO4/30))+'Finance'!BR3*MIN(1,BO4/30)</f>
        <v/>
      </c>
      <c r="BP5" s="10" t="n"/>
      <c r="BQ5" s="10">
        <f>'Summary'!BQ7*(1-MIN(1,BQ4/30))+'Finance'!BT3*MIN(1,BQ4/30)</f>
        <v/>
      </c>
      <c r="BR5" s="10">
        <f>'Summary'!BR7*(1-MIN(1,BR4/30))+'Finance'!BU3*MIN(1,BR4/30)</f>
        <v/>
      </c>
      <c r="BS5" s="11" t="n"/>
      <c r="BT5" s="11">
        <f>'Summary'!BT7*(1-MIN(1,BT4/30))+'Finance'!BW3*MIN(1,BT4/30)</f>
        <v/>
      </c>
      <c r="BU5" s="11">
        <f>'Summary'!BU7*(1-MIN(1,BU4/30))+'Finance'!BX3*MIN(1,BU4/30)</f>
        <v/>
      </c>
      <c r="BV5" s="10" t="n"/>
      <c r="BW5" s="10">
        <f>'Summary'!BW7*(1-MIN(1,BW4/30))+'Finance'!BZ3*MIN(1,BW4/30)</f>
        <v/>
      </c>
      <c r="BX5" s="10">
        <f>'Summary'!BX7*(1-MIN(1,BX4/30))+'Finance'!CA3*MIN(1,BX4/30)</f>
        <v/>
      </c>
      <c r="BY5" s="11" t="n"/>
      <c r="BZ5" s="11">
        <f>'Summary'!BZ7*(1-MIN(1,BZ4/30))+'Finance'!CC3*MIN(1,BZ4/30)</f>
        <v/>
      </c>
      <c r="CA5" s="11">
        <f>'Summary'!CA7*(1-MIN(1,CA4/30))+'Finance'!CD3*MIN(1,CA4/30)</f>
        <v/>
      </c>
      <c r="CB5" s="10" t="n"/>
      <c r="CC5" s="10">
        <f>'Summary'!CC7*(1-MIN(1,CC4/30))+'Finance'!CF3*MIN(1,CC4/30)</f>
        <v/>
      </c>
      <c r="CD5" s="10">
        <f>'Summary'!CD7*(1-MIN(1,CD4/30))+'Finance'!CG3*MIN(1,CD4/30)</f>
        <v/>
      </c>
      <c r="CE5" s="11" t="n"/>
      <c r="CF5" s="11">
        <f>'Summary'!CF7*(1-MIN(1,CF4/30))+'Finance'!CI3*MIN(1,CF4/30)</f>
        <v/>
      </c>
      <c r="CG5" s="11">
        <f>'Summary'!CG7*(1-MIN(1,CG4/30))+'Finance'!CJ3*MIN(1,CG4/30)</f>
        <v/>
      </c>
      <c r="CH5" s="10" t="n"/>
      <c r="CI5" s="10">
        <f>'Summary'!CI7*(1-MIN(1,CI4/30))+'Finance'!CL3*MIN(1,CI4/30)</f>
        <v/>
      </c>
      <c r="CJ5" s="10">
        <f>'Summary'!CJ7*(1-MIN(1,CJ4/30))+'Finance'!CM3*MIN(1,CJ4/30)</f>
        <v/>
      </c>
      <c r="CK5" s="11" t="n"/>
      <c r="CL5" s="11">
        <f>'Summary'!CL7*(1-MIN(1,CL4/30))+'Finance'!CO3*MIN(1,CL4/30)</f>
        <v/>
      </c>
      <c r="CM5" s="11">
        <f>'Summary'!CM7*(1-MIN(1,CM4/30))+'Finance'!CP3*MIN(1,CM4/30)</f>
        <v/>
      </c>
      <c r="CN5" s="10" t="n"/>
      <c r="CO5" s="10">
        <f>'Summary'!CO7*(1-MIN(1,CO4/30))+'Finance'!CR3*MIN(1,CO4/30)</f>
        <v/>
      </c>
      <c r="CP5" s="10">
        <f>'Summary'!CP7*(1-MIN(1,CP4/30))+'Finance'!CS3*MIN(1,CP4/30)</f>
        <v/>
      </c>
      <c r="CQ5" s="11" t="n"/>
      <c r="CR5" s="11">
        <f>'Summary'!CR7*(1-MIN(1,CR4/30))+'Finance'!CU3*MIN(1,CR4/30)</f>
        <v/>
      </c>
      <c r="CS5" s="11">
        <f>'Summary'!CS7*(1-MIN(1,CS4/30))+'Finance'!CV3*MIN(1,CS4/30)</f>
        <v/>
      </c>
      <c r="CT5" s="10" t="n"/>
      <c r="CU5" s="10">
        <f>'Summary'!CU7*(1-MIN(1,CU4/30))+'Finance'!CX3*MIN(1,CU4/30)</f>
        <v/>
      </c>
      <c r="CV5" s="10">
        <f>'Summary'!CV7*(1-MIN(1,CV4/30))+'Finance'!CY3*MIN(1,CV4/30)</f>
        <v/>
      </c>
      <c r="CW5" s="11" t="n"/>
      <c r="CX5" s="11">
        <f>'Summary'!CX7*(1-MIN(1,CX4/30))+'Finance'!DA3*MIN(1,CX4/30)</f>
        <v/>
      </c>
      <c r="CY5" s="11">
        <f>'Summary'!CY7*(1-MIN(1,CY4/30))+'Finance'!DB3*MIN(1,CY4/30)</f>
        <v/>
      </c>
      <c r="CZ5" s="10" t="n"/>
      <c r="DA5" s="10">
        <f>'Summary'!DA7*(1-MIN(1,DA4/30))+'Finance'!DD3*MIN(1,DA4/30)</f>
        <v/>
      </c>
      <c r="DB5" s="10">
        <f>'Summary'!DB7*(1-MIN(1,DB4/30))+'Finance'!DE3*MIN(1,DB4/30)</f>
        <v/>
      </c>
      <c r="DC5" s="11" t="n"/>
      <c r="DD5" s="11">
        <f>'Summary'!DD7*(1-MIN(1,DD4/30))+'Finance'!DG3*MIN(1,DD4/30)</f>
        <v/>
      </c>
      <c r="DE5" s="11">
        <f>'Summary'!DE7*(1-MIN(1,DE4/30))+'Finance'!DH3*MIN(1,DE4/30)</f>
        <v/>
      </c>
      <c r="DF5" s="10" t="n"/>
      <c r="DG5" s="10">
        <f>'Summary'!DG7*(1-MIN(1,DG4/30))+'Finance'!DJ3*MIN(1,DG4/30)</f>
        <v/>
      </c>
      <c r="DH5" s="10">
        <f>'Summary'!DH7*(1-MIN(1,DH4/30))+'Finance'!DK3*MIN(1,DH4/30)</f>
        <v/>
      </c>
      <c r="DI5" s="11">
        <f>IF(COUNT('Summary'!DI7,'Finance'!DL3)=2,'Summary'!DI7*(1-MIN(1,DI4/30))+'Finance'!DL3*MIN(1,DI4/30),"")</f>
        <v/>
      </c>
      <c r="DJ5" s="11">
        <f>'Summary'!DJ7*(1-MIN(1,DJ4/30))+'Finance'!DM3*MIN(1,DJ4/30)</f>
        <v/>
      </c>
      <c r="DK5" s="11">
        <f>'Summary'!DK7*(1-MIN(1,DK4/30))+'Finance'!DN3*MIN(1,DK4/30)</f>
        <v/>
      </c>
      <c r="DL5" s="10">
        <f>IF(COUNT('Summary'!DL7,Finance!$B$63)=2,'Summary'!DL7*(1-MIN(1,DL4/30))+Finance!$B$63*MIN(1,DL4/30),"")</f>
        <v/>
      </c>
      <c r="DM5" s="10">
        <f>'Summary'!DM7*(1-MIN(1,DM4/30))+Finance!$B$63*MIN(1,DM4/30)</f>
        <v/>
      </c>
      <c r="DN5" s="10">
        <f>'Summary'!DN7*(1-MIN(1,DN4/30))+Finance!$B$63*MIN(1,DN4/30)</f>
        <v/>
      </c>
    </row>
    <row r="6">
      <c r="A6" s="2" t="inlineStr">
        <is>
          <t>Opening Cash</t>
        </is>
      </c>
      <c r="B6" s="10">
        <f>IF(K6&lt;&gt;"",K6,IF(N6&lt;&gt;"",N6,IF(Q6&lt;&gt;"",Q6,IF(T6&lt;&gt;"",T6,IF(W6&lt;&gt;"",W6,IF(Z6&lt;&gt;"",Z6,IF(AC6&lt;&gt;"",AC6,IF(AF6&lt;&gt;"",AF6,IF(AI6&lt;&gt;"",AI6,IF(AL6&lt;&gt;"",AL6,IF(AO6&lt;&gt;"",AO6,IF(AR6&lt;&gt;"",AR6,""))))))))))))</f>
        <v/>
      </c>
      <c r="C6" s="10">
        <f>IF(L6&lt;&gt;"",L6,IF(O6&lt;&gt;"",O6,IF(R6&lt;&gt;"",R6,IF(U6&lt;&gt;"",U6,IF(X6&lt;&gt;"",X6,IF(AA6&lt;&gt;"",AA6,IF(AD6&lt;&gt;"",AD6,IF(AG6&lt;&gt;"",AG6,IF(AJ6&lt;&gt;"",AJ6,IF(AM6&lt;&gt;"",AM6,IF(AP6&lt;&gt;"",AP6,IF(AS6&lt;&gt;"",AS6,""))))))))))))</f>
        <v/>
      </c>
      <c r="D6" s="10">
        <f>IF(M6&lt;&gt;"",M6,IF(P6&lt;&gt;"",P6,IF(S6&lt;&gt;"",S6,IF(V6&lt;&gt;"",V6,IF(Y6&lt;&gt;"",Y6,IF(AB6&lt;&gt;"",AB6,IF(AE6&lt;&gt;"",AE6,IF(AH6&lt;&gt;"",AH6,IF(AK6&lt;&gt;"",AK6,IF(AN6&lt;&gt;"",AN6,IF(AQ6&lt;&gt;"",AQ6,IF(AT6&lt;&gt;"",AT6,""))))))))))))</f>
        <v/>
      </c>
      <c r="E6" s="11">
        <f>IF(AU6&lt;&gt;"",AU6,IF(AX6&lt;&gt;"",AX6,IF(BA6&lt;&gt;"",BA6,IF(BD6&lt;&gt;"",BD6,IF(BG6&lt;&gt;"",BG6,IF(BJ6&lt;&gt;"",BJ6,IF(BM6&lt;&gt;"",BM6,IF(BP6&lt;&gt;"",BP6,IF(BS6&lt;&gt;"",BS6,IF(BV6&lt;&gt;"",BV6,IF(BY6&lt;&gt;"",BY6,IF(CB6&lt;&gt;"",CB6,""))))))))))))</f>
        <v/>
      </c>
      <c r="F6" s="11">
        <f>IF(AV6&lt;&gt;"",AV6,IF(AY6&lt;&gt;"",AY6,IF(BB6&lt;&gt;"",BB6,IF(BE6&lt;&gt;"",BE6,IF(BH6&lt;&gt;"",BH6,IF(BK6&lt;&gt;"",BK6,IF(BN6&lt;&gt;"",BN6,IF(BQ6&lt;&gt;"",BQ6,IF(BT6&lt;&gt;"",BT6,IF(BW6&lt;&gt;"",BW6,IF(BZ6&lt;&gt;"",BZ6,IF(CC6&lt;&gt;"",CC6,""))))))))))))</f>
        <v/>
      </c>
      <c r="G6" s="11">
        <f>IF(AW6&lt;&gt;"",AW6,IF(AZ6&lt;&gt;"",AZ6,IF(BC6&lt;&gt;"",BC6,IF(BF6&lt;&gt;"",BF6,IF(BI6&lt;&gt;"",BI6,IF(BL6&lt;&gt;"",BL6,IF(BO6&lt;&gt;"",BO6,IF(BR6&lt;&gt;"",BR6,IF(BU6&lt;&gt;"",BU6,IF(BX6&lt;&gt;"",BX6,IF(CA6&lt;&gt;"",CA6,IF(CD6&lt;&gt;"",CD6,""))))))))))))</f>
        <v/>
      </c>
      <c r="H6" s="10">
        <f>IF(CE6&lt;&gt;"",CE6,IF(CH6&lt;&gt;"",CH6,IF(CK6&lt;&gt;"",CK6,IF(CN6&lt;&gt;"",CN6,IF(CQ6&lt;&gt;"",CQ6,IF(CT6&lt;&gt;"",CT6,IF(CW6&lt;&gt;"",CW6,IF(CZ6&lt;&gt;"",CZ6,IF(DC6&lt;&gt;"",DC6,IF(DF6&lt;&gt;"",DF6,IF(DI6&lt;&gt;"",DI6,IF(DL6&lt;&gt;"",DL6,""))))))))))))</f>
        <v/>
      </c>
      <c r="I6" s="10">
        <f>IF(CF6&lt;&gt;"",CF6,IF(CI6&lt;&gt;"",CI6,IF(CL6&lt;&gt;"",CL6,IF(CO6&lt;&gt;"",CO6,IF(CR6&lt;&gt;"",CR6,IF(CU6&lt;&gt;"",CU6,IF(CX6&lt;&gt;"",CX6,IF(DA6&lt;&gt;"",DA6,IF(DD6&lt;&gt;"",DD6,IF(DG6&lt;&gt;"",DG6,IF(DJ6&lt;&gt;"",DJ6,IF(DM6&lt;&gt;"",DM6,""))))))))))))</f>
        <v/>
      </c>
      <c r="J6" s="10">
        <f>IF(CG6&lt;&gt;"",CG6,IF(CJ6&lt;&gt;"",CJ6,IF(CM6&lt;&gt;"",CM6,IF(CP6&lt;&gt;"",CP6,IF(CS6&lt;&gt;"",CS6,IF(CV6&lt;&gt;"",CV6,IF(CY6&lt;&gt;"",CY6,IF(DB6&lt;&gt;"",DB6,IF(DE6&lt;&gt;"",DE6,IF(DH6&lt;&gt;"",DH6,IF(DK6&lt;&gt;"",DK6,IF(DN6&lt;&gt;"",DN6,""))))))))))))</f>
        <v/>
      </c>
      <c r="K6" s="11">
        <f>IF(COUNT('Finance'!N11)=1,'Finance'!N11,"")</f>
        <v/>
      </c>
      <c r="L6" s="11">
        <f>'Finance'!O11</f>
        <v/>
      </c>
      <c r="M6" s="11">
        <f>'Finance'!P11</f>
        <v/>
      </c>
      <c r="N6" s="10">
        <f>IF(COUNT('Finance'!Q11)=1,'Finance'!Q11,"")</f>
        <v/>
      </c>
      <c r="O6" s="10">
        <f>'Finance'!R11</f>
        <v/>
      </c>
      <c r="P6" s="10">
        <f>'Finance'!S11</f>
        <v/>
      </c>
      <c r="Q6" s="11">
        <f>IF(COUNT('Finance'!T11)=1,'Finance'!T11,"")</f>
        <v/>
      </c>
      <c r="R6" s="11">
        <f>'Finance'!U11</f>
        <v/>
      </c>
      <c r="S6" s="11">
        <f>'Finance'!V11</f>
        <v/>
      </c>
      <c r="T6" s="10">
        <f>IF(COUNT('Finance'!W11)=1,'Finance'!W11,"")</f>
        <v/>
      </c>
      <c r="U6" s="10">
        <f>'Finance'!X11</f>
        <v/>
      </c>
      <c r="V6" s="10">
        <f>'Finance'!Y11</f>
        <v/>
      </c>
      <c r="W6" s="11">
        <f>IF(COUNT('Finance'!Z11)=1,'Finance'!Z11,"")</f>
        <v/>
      </c>
      <c r="X6" s="11">
        <f>'Finance'!AA11</f>
        <v/>
      </c>
      <c r="Y6" s="11">
        <f>'Finance'!AB11</f>
        <v/>
      </c>
      <c r="Z6" s="10">
        <f>IF(COUNT('Finance'!AC11)=1,'Finance'!AC11,"")</f>
        <v/>
      </c>
      <c r="AA6" s="10">
        <f>'Finance'!AD11</f>
        <v/>
      </c>
      <c r="AB6" s="10">
        <f>'Finance'!AE11</f>
        <v/>
      </c>
      <c r="AC6" s="11">
        <f>IF(COUNT('Finance'!AF11)=1,'Finance'!AF11,"")</f>
        <v/>
      </c>
      <c r="AD6" s="11">
        <f>'Finance'!AG11</f>
        <v/>
      </c>
      <c r="AE6" s="11">
        <f>'Finance'!AH11</f>
        <v/>
      </c>
      <c r="AF6" s="10">
        <f>IF(COUNT('Finance'!AI11)=1,'Finance'!AI11,"")</f>
        <v/>
      </c>
      <c r="AG6" s="10">
        <f>'Finance'!AJ11</f>
        <v/>
      </c>
      <c r="AH6" s="10">
        <f>'Finance'!AK11</f>
        <v/>
      </c>
      <c r="AI6" s="11">
        <f>IF(COUNT('Finance'!AL11)=1,'Finance'!AL11,"")</f>
        <v/>
      </c>
      <c r="AJ6" s="11">
        <f>'Finance'!AM11</f>
        <v/>
      </c>
      <c r="AK6" s="11">
        <f>'Finance'!AN11</f>
        <v/>
      </c>
      <c r="AL6" s="10">
        <f>IF(COUNT('Finance'!AO11)=1,'Finance'!AO11,"")</f>
        <v/>
      </c>
      <c r="AM6" s="10">
        <f>'Finance'!AP11</f>
        <v/>
      </c>
      <c r="AN6" s="10">
        <f>'Finance'!AQ11</f>
        <v/>
      </c>
      <c r="AO6" s="11">
        <f>IF(COUNT('Finance'!AR11)=1,'Finance'!AR11,"")</f>
        <v/>
      </c>
      <c r="AP6" s="11">
        <f>'Finance'!AS11</f>
        <v/>
      </c>
      <c r="AQ6" s="11">
        <f>'Finance'!AT11</f>
        <v/>
      </c>
      <c r="AR6" s="10">
        <f>IF(COUNT('Finance'!AU11)=1,'Finance'!AU11,"")</f>
        <v/>
      </c>
      <c r="AS6" s="10">
        <f>'Finance'!AV11</f>
        <v/>
      </c>
      <c r="AT6" s="10">
        <f>'Finance'!AW11</f>
        <v/>
      </c>
      <c r="AU6" s="11">
        <f>IF(COUNT('Finance'!AX11)=1,'Finance'!AX11,"")</f>
        <v/>
      </c>
      <c r="AV6" s="11">
        <f>'Finance'!AY11</f>
        <v/>
      </c>
      <c r="AW6" s="11">
        <f>'Finance'!AZ11</f>
        <v/>
      </c>
      <c r="AX6" s="10">
        <f>IF(COUNT('Finance'!BA11)=1,'Finance'!BA11,"")</f>
        <v/>
      </c>
      <c r="AY6" s="10">
        <f>'Finance'!BB11</f>
        <v/>
      </c>
      <c r="AZ6" s="10">
        <f>'Finance'!BC11</f>
        <v/>
      </c>
      <c r="BA6" s="11">
        <f>IF(COUNT('Finance'!BD11)=1,'Finance'!BD11,"")</f>
        <v/>
      </c>
      <c r="BB6" s="11">
        <f>'Finance'!BE11</f>
        <v/>
      </c>
      <c r="BC6" s="11">
        <f>'Finance'!BF11</f>
        <v/>
      </c>
      <c r="BD6" s="10">
        <f>IF(COUNT('Finance'!BG11)=1,'Finance'!BG11,"")</f>
        <v/>
      </c>
      <c r="BE6" s="10">
        <f>'Finance'!BH11</f>
        <v/>
      </c>
      <c r="BF6" s="10">
        <f>'Finance'!BI11</f>
        <v/>
      </c>
      <c r="BG6" s="11">
        <f>IF(COUNT('Finance'!BJ11)=1,'Finance'!BJ11,"")</f>
        <v/>
      </c>
      <c r="BH6" s="11">
        <f>'Finance'!BK11</f>
        <v/>
      </c>
      <c r="BI6" s="11">
        <f>'Finance'!BL11</f>
        <v/>
      </c>
      <c r="BJ6" s="10">
        <f>IF(COUNT('Finance'!BM11)=1,'Finance'!BM11,"")</f>
        <v/>
      </c>
      <c r="BK6" s="10">
        <f>'Finance'!BN11</f>
        <v/>
      </c>
      <c r="BL6" s="10">
        <f>'Finance'!BO11</f>
        <v/>
      </c>
      <c r="BM6" s="11">
        <f>IF(COUNT('Finance'!BP11)=1,'Finance'!BP11,"")</f>
        <v/>
      </c>
      <c r="BN6" s="11">
        <f>'Finance'!BQ11</f>
        <v/>
      </c>
      <c r="BO6" s="11">
        <f>'Finance'!BR11</f>
        <v/>
      </c>
      <c r="BP6" s="10">
        <f>IF(COUNT('Finance'!BS11)=1,'Finance'!BS11,"")</f>
        <v/>
      </c>
      <c r="BQ6" s="10">
        <f>'Finance'!BT11</f>
        <v/>
      </c>
      <c r="BR6" s="10">
        <f>'Finance'!BU11</f>
        <v/>
      </c>
      <c r="BS6" s="11">
        <f>IF(COUNT('Finance'!BV11)=1,'Finance'!BV11,"")</f>
        <v/>
      </c>
      <c r="BT6" s="11">
        <f>'Finance'!BW11</f>
        <v/>
      </c>
      <c r="BU6" s="11">
        <f>'Finance'!BX11</f>
        <v/>
      </c>
      <c r="BV6" s="10">
        <f>IF(COUNT('Finance'!BY11)=1,'Finance'!BY11,"")</f>
        <v/>
      </c>
      <c r="BW6" s="10">
        <f>'Finance'!BZ11</f>
        <v/>
      </c>
      <c r="BX6" s="10">
        <f>'Finance'!CA11</f>
        <v/>
      </c>
      <c r="BY6" s="11">
        <f>IF(COUNT('Finance'!CB11)=1,'Finance'!CB11,"")</f>
        <v/>
      </c>
      <c r="BZ6" s="11">
        <f>'Finance'!CC11</f>
        <v/>
      </c>
      <c r="CA6" s="11">
        <f>'Finance'!CD11</f>
        <v/>
      </c>
      <c r="CB6" s="10">
        <f>IF(COUNT('Finance'!CE11)=1,'Finance'!CE11,"")</f>
        <v/>
      </c>
      <c r="CC6" s="10">
        <f>'Finance'!CF11</f>
        <v/>
      </c>
      <c r="CD6" s="10">
        <f>'Finance'!CG11</f>
        <v/>
      </c>
      <c r="CE6" s="11">
        <f>IF(COUNT('Finance'!CH11)=1,'Finance'!CH11,"")</f>
        <v/>
      </c>
      <c r="CF6" s="11">
        <f>'Finance'!CI11</f>
        <v/>
      </c>
      <c r="CG6" s="11">
        <f>'Finance'!CJ11</f>
        <v/>
      </c>
      <c r="CH6" s="10">
        <f>IF(COUNT('Finance'!CK11)=1,'Finance'!CK11,"")</f>
        <v/>
      </c>
      <c r="CI6" s="10">
        <f>'Finance'!CL11</f>
        <v/>
      </c>
      <c r="CJ6" s="10">
        <f>'Finance'!CM11</f>
        <v/>
      </c>
      <c r="CK6" s="11">
        <f>IF(COUNT('Finance'!CN11)=1,'Finance'!CN11,"")</f>
        <v/>
      </c>
      <c r="CL6" s="11">
        <f>'Finance'!CO11</f>
        <v/>
      </c>
      <c r="CM6" s="11">
        <f>'Finance'!CP11</f>
        <v/>
      </c>
      <c r="CN6" s="10">
        <f>IF(COUNT('Finance'!CQ11)=1,'Finance'!CQ11,"")</f>
        <v/>
      </c>
      <c r="CO6" s="10">
        <f>'Finance'!CR11</f>
        <v/>
      </c>
      <c r="CP6" s="10">
        <f>'Finance'!CS11</f>
        <v/>
      </c>
      <c r="CQ6" s="11">
        <f>IF(COUNT('Finance'!CT11)=1,'Finance'!CT11,"")</f>
        <v/>
      </c>
      <c r="CR6" s="11">
        <f>'Finance'!CU11</f>
        <v/>
      </c>
      <c r="CS6" s="11">
        <f>'Finance'!CV11</f>
        <v/>
      </c>
      <c r="CT6" s="10">
        <f>IF(COUNT('Finance'!CW11)=1,'Finance'!CW11,"")</f>
        <v/>
      </c>
      <c r="CU6" s="10">
        <f>'Finance'!CX11</f>
        <v/>
      </c>
      <c r="CV6" s="10">
        <f>'Finance'!CY11</f>
        <v/>
      </c>
      <c r="CW6" s="11">
        <f>IF(COUNT('Finance'!CZ11)=1,'Finance'!CZ11,"")</f>
        <v/>
      </c>
      <c r="CX6" s="11">
        <f>'Finance'!DA11</f>
        <v/>
      </c>
      <c r="CY6" s="11">
        <f>'Finance'!DB11</f>
        <v/>
      </c>
      <c r="CZ6" s="10">
        <f>IF(COUNT('Finance'!DC11)=1,'Finance'!DC11,"")</f>
        <v/>
      </c>
      <c r="DA6" s="10">
        <f>'Finance'!DD11</f>
        <v/>
      </c>
      <c r="DB6" s="10">
        <f>'Finance'!DE11</f>
        <v/>
      </c>
      <c r="DC6" s="11">
        <f>IF(COUNT('Finance'!DF11)=1,'Finance'!DF11,"")</f>
        <v/>
      </c>
      <c r="DD6" s="11">
        <f>'Finance'!DG11</f>
        <v/>
      </c>
      <c r="DE6" s="11">
        <f>'Finance'!DH11</f>
        <v/>
      </c>
      <c r="DF6" s="10">
        <f>IF(COUNT('Finance'!DI11)=1,'Finance'!DI11,"")</f>
        <v/>
      </c>
      <c r="DG6" s="10">
        <f>'Finance'!DJ11</f>
        <v/>
      </c>
      <c r="DH6" s="10">
        <f>'Finance'!DK11</f>
        <v/>
      </c>
      <c r="DI6" s="11">
        <f>IF(COUNT('Finance'!DL11)=1,'Finance'!DL11,"")</f>
        <v/>
      </c>
      <c r="DJ6" s="11">
        <f>'Finance'!DM11</f>
        <v/>
      </c>
      <c r="DK6" s="11">
        <f>'Finance'!DN11</f>
        <v/>
      </c>
      <c r="DL6" s="10">
        <f>IF(COUNT(Finance!$B$64)=1,Finance!$B$64,"")</f>
        <v/>
      </c>
      <c r="DM6" s="10">
        <f>Finance!$B$64</f>
        <v/>
      </c>
      <c r="DN6" s="10">
        <f>Finance!$B$64</f>
        <v/>
      </c>
    </row>
    <row r="7">
      <c r="A7" s="2" t="inlineStr">
        <is>
          <t>Operating Payments</t>
        </is>
      </c>
      <c r="B7" s="10">
        <f>IF(COUNT(AR7,AO7,AL7,AI7,AF7,AC7,Z7,W7,T7,Q7,N7,K7)=0,"",SUM(AR7,AO7,AL7,AI7,AF7,AC7,Z7,W7,T7,Q7,N7,K7))</f>
        <v/>
      </c>
      <c r="C7" s="10">
        <f>IF(COUNT(AS7,AP7,AM7,AJ7,AG7,AD7,AA7,X7,U7,R7,O7,L7)=0,"",SUM(AS7,AP7,AM7,AJ7,AG7,AD7,AA7,X7,U7,R7,O7,L7))</f>
        <v/>
      </c>
      <c r="D7" s="10">
        <f>IF(COUNT(AT7,AQ7,AN7,AK7,AH7,AE7,AB7,Y7,V7,S7,P7,M7)=0,"",SUM(AT7,AQ7,AN7,AK7,AH7,AE7,AB7,Y7,V7,S7,P7,M7))</f>
        <v/>
      </c>
      <c r="E7" s="11">
        <f>IF(COUNT(CB7,BY7,BV7,BS7,BP7,BM7,BJ7,BG7,BD7,BA7,AX7,AU7)=0,"",SUM(CB7,BY7,BV7,BS7,BP7,BM7,BJ7,BG7,BD7,BA7,AX7,AU7))</f>
        <v/>
      </c>
      <c r="F7" s="11">
        <f>IF(COUNT(CC7,BZ7,BW7,BT7,BQ7,BN7,BK7,BH7,BE7,BB7,AY7,AV7)=0,"",SUM(CC7,BZ7,BW7,BT7,BQ7,BN7,BK7,BH7,BE7,BB7,AY7,AV7))</f>
        <v/>
      </c>
      <c r="G7" s="11">
        <f>IF(COUNT(CD7,CA7,BX7,BU7,BR7,BO7,BL7,BI7,BF7,BC7,AZ7,AW7)=0,"",SUM(CD7,CA7,BX7,BU7,BR7,BO7,BL7,BI7,BF7,BC7,AZ7,AW7))</f>
        <v/>
      </c>
      <c r="H7" s="10">
        <f>IF(COUNT(DL7,DI7,DF7,DC7,CZ7,CW7,CT7,CQ7,CN7,CK7,CH7,CE7)=0,"",SUM(DL7,DI7,DF7,DC7,CZ7,CW7,CT7,CQ7,CN7,CK7,CH7,CE7))</f>
        <v/>
      </c>
      <c r="I7" s="10">
        <f>IF(COUNT(DM7,DJ7,DG7,DD7,DA7,CX7,CU7,CR7,CO7,CL7,CI7,CF7)=0,"",SUM(DM7,DJ7,DG7,DD7,DA7,CX7,CU7,CR7,CO7,CL7,CI7,CF7))</f>
        <v/>
      </c>
      <c r="J7" s="10">
        <f>IF(COUNT(DN7,DK7,DH7,DE7,DB7,CY7,CV7,CS7,CP7,CM7,CJ7,CG7)=0,"",SUM(DN7,DK7,DH7,DE7,DB7,CY7,CV7,CS7,CP7,CM7,CJ7,CG7))</f>
        <v/>
      </c>
      <c r="K7" s="11">
        <f>IF(COUNT('Summary'!K7,'Summary'!K8,'Summary'!K10)=3,'Summary'!K7-'Summary'!K8+'Summary'!K10,"")</f>
        <v/>
      </c>
      <c r="L7" s="11">
        <f>'Summary'!L7-'Summary'!L8+'Summary'!L10</f>
        <v/>
      </c>
      <c r="M7" s="11">
        <f>'Summary'!M7-'Summary'!M8+'Summary'!M10</f>
        <v/>
      </c>
      <c r="N7" s="10">
        <f>IF(COUNT('Summary'!N7,'Summary'!N8,'Summary'!N10)=3,'Summary'!N7-'Summary'!N8+'Summary'!N10,"")</f>
        <v/>
      </c>
      <c r="O7" s="10">
        <f>'Summary'!O7-'Summary'!O8+'Summary'!O10</f>
        <v/>
      </c>
      <c r="P7" s="10">
        <f>'Summary'!P7-'Summary'!P8+'Summary'!P10</f>
        <v/>
      </c>
      <c r="Q7" s="11">
        <f>IF(COUNT('Summary'!Q7,'Summary'!Q8,'Summary'!Q10)=3,'Summary'!Q7-'Summary'!Q8+'Summary'!Q10,"")</f>
        <v/>
      </c>
      <c r="R7" s="11">
        <f>'Summary'!R7-'Summary'!R8+'Summary'!R10</f>
        <v/>
      </c>
      <c r="S7" s="11">
        <f>'Summary'!S7-'Summary'!S8+'Summary'!S10</f>
        <v/>
      </c>
      <c r="T7" s="10">
        <f>IF(COUNT('Summary'!T7,'Summary'!T8,'Summary'!T10)=3,'Summary'!T7-'Summary'!T8+'Summary'!T10,"")</f>
        <v/>
      </c>
      <c r="U7" s="10">
        <f>'Summary'!U7-'Summary'!U8+'Summary'!U10</f>
        <v/>
      </c>
      <c r="V7" s="10">
        <f>'Summary'!V7-'Summary'!V8+'Summary'!V10</f>
        <v/>
      </c>
      <c r="W7" s="11">
        <f>IF(COUNT('Summary'!W7,'Summary'!W8,'Summary'!W10)=3,'Summary'!W7-'Summary'!W8+'Summary'!W10,"")</f>
        <v/>
      </c>
      <c r="X7" s="11">
        <f>'Summary'!X7-'Summary'!X8+'Summary'!X10</f>
        <v/>
      </c>
      <c r="Y7" s="11">
        <f>'Summary'!Y7-'Summary'!Y8+'Summary'!Y10</f>
        <v/>
      </c>
      <c r="Z7" s="10">
        <f>IF(COUNT('Summary'!Z7,'Summary'!Z8,'Summary'!Z10)=3,'Summary'!Z7-'Summary'!Z8+'Summary'!Z10,"")</f>
        <v/>
      </c>
      <c r="AA7" s="10">
        <f>'Summary'!AA7-'Summary'!AA8+'Summary'!AA10</f>
        <v/>
      </c>
      <c r="AB7" s="10">
        <f>'Summary'!AB7-'Summary'!AB8+'Summary'!AB10</f>
        <v/>
      </c>
      <c r="AC7" s="11">
        <f>IF(COUNT('Summary'!AC7,'Summary'!AC8,'Summary'!AC10)=3,'Summary'!AC7-'Summary'!AC8+'Summary'!AC10,"")</f>
        <v/>
      </c>
      <c r="AD7" s="11">
        <f>'Summary'!AD7-'Summary'!AD8+'Summary'!AD10</f>
        <v/>
      </c>
      <c r="AE7" s="11">
        <f>'Summary'!AE7-'Summary'!AE8+'Summary'!AE10</f>
        <v/>
      </c>
      <c r="AF7" s="10">
        <f>IF(COUNT('Summary'!AF7,'Summary'!AF8,'Summary'!AF10)=3,'Summary'!AF7-'Summary'!AF8+'Summary'!AF10,"")</f>
        <v/>
      </c>
      <c r="AG7" s="10">
        <f>'Summary'!AG7-'Summary'!AG8+'Summary'!AG10</f>
        <v/>
      </c>
      <c r="AH7" s="10">
        <f>'Summary'!AH7-'Summary'!AH8+'Summary'!AH10</f>
        <v/>
      </c>
      <c r="AI7" s="11">
        <f>IF(COUNT('Summary'!AI7,'Summary'!AI8,'Summary'!AI10)=3,'Summary'!AI7-'Summary'!AI8+'Summary'!AI10,"")</f>
        <v/>
      </c>
      <c r="AJ7" s="11">
        <f>'Summary'!AJ7-'Summary'!AJ8+'Summary'!AJ10</f>
        <v/>
      </c>
      <c r="AK7" s="11">
        <f>'Summary'!AK7-'Summary'!AK8+'Summary'!AK10</f>
        <v/>
      </c>
      <c r="AL7" s="10">
        <f>IF(COUNT('Summary'!AL7,'Summary'!AL8,'Summary'!AL10)=3,'Summary'!AL7-'Summary'!AL8+'Summary'!AL10,"")</f>
        <v/>
      </c>
      <c r="AM7" s="10">
        <f>'Summary'!AM7-'Summary'!AM8+'Summary'!AM10</f>
        <v/>
      </c>
      <c r="AN7" s="10">
        <f>'Summary'!AN7-'Summary'!AN8+'Summary'!AN10</f>
        <v/>
      </c>
      <c r="AO7" s="11">
        <f>IF(COUNT('Summary'!AO7,'Summary'!AO8,'Summary'!AO10)=3,'Summary'!AO7-'Summary'!AO8+'Summary'!AO10,"")</f>
        <v/>
      </c>
      <c r="AP7" s="11">
        <f>'Summary'!AP7-'Summary'!AP8+'Summary'!AP10</f>
        <v/>
      </c>
      <c r="AQ7" s="11">
        <f>'Summary'!AQ7-'Summary'!AQ8+'Summary'!AQ10</f>
        <v/>
      </c>
      <c r="AR7" s="10">
        <f>IF(COUNT('Summary'!AR7,'Summary'!AR8,'Summary'!AR10)=3,'Summary'!AR7-'Summary'!AR8+'Summary'!AR10,"")</f>
        <v/>
      </c>
      <c r="AS7" s="10">
        <f>'Summary'!AS7-'Summary'!AS8+'Summary'!AS10</f>
        <v/>
      </c>
      <c r="AT7" s="10">
        <f>'Summary'!AT7-'Summary'!AT8+'Summary'!AT10</f>
        <v/>
      </c>
      <c r="AU7" s="11">
        <f>IF(COUNT('Summary'!AU7,'Summary'!AU8,'Summary'!AU10)=3,'Summary'!AU7-'Summary'!AU8+'Summary'!AU10,"")</f>
        <v/>
      </c>
      <c r="AV7" s="11">
        <f>'Summary'!AV7-'Summary'!AV8+'Summary'!AV10</f>
        <v/>
      </c>
      <c r="AW7" s="11">
        <f>'Summary'!AW7-'Summary'!AW8+'Summary'!AW10</f>
        <v/>
      </c>
      <c r="AX7" s="10">
        <f>IF(COUNT('Summary'!AX7,'Summary'!AX8,'Summary'!AX10)=3,'Summary'!AX7-'Summary'!AX8+'Summary'!AX10,"")</f>
        <v/>
      </c>
      <c r="AY7" s="10">
        <f>'Summary'!AY7-'Summary'!AY8+'Summary'!AY10</f>
        <v/>
      </c>
      <c r="AZ7" s="10">
        <f>'Summary'!AZ7-'Summary'!AZ8+'Summary'!AZ10</f>
        <v/>
      </c>
      <c r="BA7" s="11">
        <f>IF(COUNT('Summary'!BA7,'Summary'!BA8,'Summary'!BA10)=3,'Summary'!BA7-'Summary'!BA8+'Summary'!BA10,"")</f>
        <v/>
      </c>
      <c r="BB7" s="11">
        <f>'Summary'!BB7-'Summary'!BB8+'Summary'!BB10</f>
        <v/>
      </c>
      <c r="BC7" s="11">
        <f>'Summary'!BC7-'Summary'!BC8+'Summary'!BC10</f>
        <v/>
      </c>
      <c r="BD7" s="10">
        <f>IF(COUNT('Summary'!BD7,'Summary'!BD8,'Summary'!BD10)=3,'Summary'!BD7-'Summary'!BD8+'Summary'!BD10,"")</f>
        <v/>
      </c>
      <c r="BE7" s="10">
        <f>'Summary'!BE7-'Summary'!BE8+'Summary'!BE10</f>
        <v/>
      </c>
      <c r="BF7" s="10">
        <f>'Summary'!BF7-'Summary'!BF8+'Summary'!BF10</f>
        <v/>
      </c>
      <c r="BG7" s="11">
        <f>IF(COUNT('Summary'!BG7,'Summary'!BG8,'Summary'!BG10)=3,'Summary'!BG7-'Summary'!BG8+'Summary'!BG10,"")</f>
        <v/>
      </c>
      <c r="BH7" s="11">
        <f>'Summary'!BH7-'Summary'!BH8+'Summary'!BH10</f>
        <v/>
      </c>
      <c r="BI7" s="11">
        <f>'Summary'!BI7-'Summary'!BI8+'Summary'!BI10</f>
        <v/>
      </c>
      <c r="BJ7" s="10">
        <f>IF(COUNT('Summary'!BJ7,'Summary'!BJ8,'Summary'!BJ10)=3,'Summary'!BJ7-'Summary'!BJ8+'Summary'!BJ10,"")</f>
        <v/>
      </c>
      <c r="BK7" s="10">
        <f>'Summary'!BK7-'Summary'!BK8+'Summary'!BK10</f>
        <v/>
      </c>
      <c r="BL7" s="10">
        <f>'Summary'!BL7-'Summary'!BL8+'Summary'!BL10</f>
        <v/>
      </c>
      <c r="BM7" s="11">
        <f>IF(COUNT('Summary'!BM7,'Summary'!BM8,'Summary'!BM10)=3,'Summary'!BM7-'Summary'!BM8+'Summary'!BM10,"")</f>
        <v/>
      </c>
      <c r="BN7" s="11">
        <f>'Summary'!BN7-'Summary'!BN8+'Summary'!BN10</f>
        <v/>
      </c>
      <c r="BO7" s="11">
        <f>'Summary'!BO7-'Summary'!BO8+'Summary'!BO10</f>
        <v/>
      </c>
      <c r="BP7" s="10">
        <f>IF(COUNT('Summary'!BP7,'Summary'!BP8,'Summary'!BP10)=3,'Summary'!BP7-'Summary'!BP8+'Summary'!BP10,"")</f>
        <v/>
      </c>
      <c r="BQ7" s="10">
        <f>'Summary'!BQ7-'Summary'!BQ8+'Summary'!BQ10</f>
        <v/>
      </c>
      <c r="BR7" s="10">
        <f>'Summary'!BR7-'Summary'!BR8+'Summary'!BR10</f>
        <v/>
      </c>
      <c r="BS7" s="11">
        <f>IF(COUNT('Summary'!BS7,'Summary'!BS8,'Summary'!BS10)=3,'Summary'!BS7-'Summary'!BS8+'Summary'!BS10,"")</f>
        <v/>
      </c>
      <c r="BT7" s="11">
        <f>'Summary'!BT7-'Summary'!BT8+'Summary'!BT10</f>
        <v/>
      </c>
      <c r="BU7" s="11">
        <f>'Summary'!BU7-'Summary'!BU8+'Summary'!BU10</f>
        <v/>
      </c>
      <c r="BV7" s="10">
        <f>IF(COUNT('Summary'!BV7,'Summary'!BV8,'Summary'!BV10)=3,'Summary'!BV7-'Summary'!BV8+'Summary'!BV10,"")</f>
        <v/>
      </c>
      <c r="BW7" s="10">
        <f>'Summary'!BW7-'Summary'!BW8+'Summary'!BW10</f>
        <v/>
      </c>
      <c r="BX7" s="10">
        <f>'Summary'!BX7-'Summary'!BX8+'Summary'!BX10</f>
        <v/>
      </c>
      <c r="BY7" s="11">
        <f>IF(COUNT('Summary'!BY7,'Summary'!BY8,'Summary'!BY10)=3,'Summary'!BY7-'Summary'!BY8+'Summary'!BY10,"")</f>
        <v/>
      </c>
      <c r="BZ7" s="11">
        <f>'Summary'!BZ7-'Summary'!BZ8+'Summary'!BZ10</f>
        <v/>
      </c>
      <c r="CA7" s="11">
        <f>'Summary'!CA7-'Summary'!CA8+'Summary'!CA10</f>
        <v/>
      </c>
      <c r="CB7" s="10">
        <f>IF(COUNT('Summary'!CB7,'Summary'!CB8,'Summary'!CB10)=3,'Summary'!CB7-'Summary'!CB8+'Summary'!CB10,"")</f>
        <v/>
      </c>
      <c r="CC7" s="10">
        <f>'Summary'!CC7-'Summary'!CC8+'Summary'!CC10</f>
        <v/>
      </c>
      <c r="CD7" s="10">
        <f>'Summary'!CD7-'Summary'!CD8+'Summary'!CD10</f>
        <v/>
      </c>
      <c r="CE7" s="11">
        <f>IF(COUNT('Summary'!CE7,'Summary'!CE8,'Summary'!CE10)=3,'Summary'!CE7-'Summary'!CE8+'Summary'!CE10,"")</f>
        <v/>
      </c>
      <c r="CF7" s="11">
        <f>'Summary'!CF7-'Summary'!CF8+'Summary'!CF10</f>
        <v/>
      </c>
      <c r="CG7" s="11">
        <f>'Summary'!CG7-'Summary'!CG8+'Summary'!CG10</f>
        <v/>
      </c>
      <c r="CH7" s="10">
        <f>IF(COUNT('Summary'!CH7,'Summary'!CH8,'Summary'!CH10)=3,'Summary'!CH7-'Summary'!CH8+'Summary'!CH10,"")</f>
        <v/>
      </c>
      <c r="CI7" s="10">
        <f>'Summary'!CI7-'Summary'!CI8+'Summary'!CI10</f>
        <v/>
      </c>
      <c r="CJ7" s="10">
        <f>'Summary'!CJ7-'Summary'!CJ8+'Summary'!CJ10</f>
        <v/>
      </c>
      <c r="CK7" s="11">
        <f>IF(COUNT('Summary'!CK7,'Summary'!CK8,'Summary'!CK10)=3,'Summary'!CK7-'Summary'!CK8+'Summary'!CK10,"")</f>
        <v/>
      </c>
      <c r="CL7" s="11">
        <f>'Summary'!CL7-'Summary'!CL8+'Summary'!CL10</f>
        <v/>
      </c>
      <c r="CM7" s="11">
        <f>'Summary'!CM7-'Summary'!CM8+'Summary'!CM10</f>
        <v/>
      </c>
      <c r="CN7" s="10">
        <f>IF(COUNT('Summary'!CN7,'Summary'!CN8,'Summary'!CN10)=3,'Summary'!CN7-'Summary'!CN8+'Summary'!CN10,"")</f>
        <v/>
      </c>
      <c r="CO7" s="10">
        <f>'Summary'!CO7-'Summary'!CO8+'Summary'!CO10</f>
        <v/>
      </c>
      <c r="CP7" s="10">
        <f>'Summary'!CP7-'Summary'!CP8+'Summary'!CP10</f>
        <v/>
      </c>
      <c r="CQ7" s="11">
        <f>IF(COUNT('Summary'!CQ7,'Summary'!CQ8,'Summary'!CQ10)=3,'Summary'!CQ7-'Summary'!CQ8+'Summary'!CQ10,"")</f>
        <v/>
      </c>
      <c r="CR7" s="11">
        <f>'Summary'!CR7-'Summary'!CR8+'Summary'!CR10</f>
        <v/>
      </c>
      <c r="CS7" s="11">
        <f>'Summary'!CS7-'Summary'!CS8+'Summary'!CS10</f>
        <v/>
      </c>
      <c r="CT7" s="10">
        <f>IF(COUNT('Summary'!CT7,'Summary'!CT8,'Summary'!CT10)=3,'Summary'!CT7-'Summary'!CT8+'Summary'!CT10,"")</f>
        <v/>
      </c>
      <c r="CU7" s="10">
        <f>'Summary'!CU7-'Summary'!CU8+'Summary'!CU10</f>
        <v/>
      </c>
      <c r="CV7" s="10">
        <f>'Summary'!CV7-'Summary'!CV8+'Summary'!CV10</f>
        <v/>
      </c>
      <c r="CW7" s="11">
        <f>IF(COUNT('Summary'!CW7,'Summary'!CW8,'Summary'!CW10)=3,'Summary'!CW7-'Summary'!CW8+'Summary'!CW10,"")</f>
        <v/>
      </c>
      <c r="CX7" s="11">
        <f>'Summary'!CX7-'Summary'!CX8+'Summary'!CX10</f>
        <v/>
      </c>
      <c r="CY7" s="11">
        <f>'Summary'!CY7-'Summary'!CY8+'Summary'!CY10</f>
        <v/>
      </c>
      <c r="CZ7" s="10">
        <f>IF(COUNT('Summary'!CZ7,'Summary'!CZ8,'Summary'!CZ10)=3,'Summary'!CZ7-'Summary'!CZ8+'Summary'!CZ10,"")</f>
        <v/>
      </c>
      <c r="DA7" s="10">
        <f>'Summary'!DA7-'Summary'!DA8+'Summary'!DA10</f>
        <v/>
      </c>
      <c r="DB7" s="10">
        <f>'Summary'!DB7-'Summary'!DB8+'Summary'!DB10</f>
        <v/>
      </c>
      <c r="DC7" s="11">
        <f>IF(COUNT('Summary'!DC7,'Summary'!DC8,'Summary'!DC10)=3,'Summary'!DC7-'Summary'!DC8+'Summary'!DC10,"")</f>
        <v/>
      </c>
      <c r="DD7" s="11">
        <f>'Summary'!DD7-'Summary'!DD8+'Summary'!DD10</f>
        <v/>
      </c>
      <c r="DE7" s="11">
        <f>'Summary'!DE7-'Summary'!DE8+'Summary'!DE10</f>
        <v/>
      </c>
      <c r="DF7" s="10">
        <f>IF(COUNT('Summary'!DF7,'Summary'!DF8,'Summary'!DF10)=3,'Summary'!DF7-'Summary'!DF8+'Summary'!DF10,"")</f>
        <v/>
      </c>
      <c r="DG7" s="10">
        <f>'Summary'!DG7-'Summary'!DG8+'Summary'!DG10</f>
        <v/>
      </c>
      <c r="DH7" s="10">
        <f>'Summary'!DH7-'Summary'!DH8+'Summary'!DH10</f>
        <v/>
      </c>
      <c r="DI7" s="11">
        <f>IF(COUNT('Summary'!DI7,'Summary'!DI8,'Summary'!DI10)=3,'Summary'!DI7-'Summary'!DI8+'Summary'!DI10,"")</f>
        <v/>
      </c>
      <c r="DJ7" s="11">
        <f>'Summary'!DJ7-'Summary'!DJ8+'Summary'!DJ10</f>
        <v/>
      </c>
      <c r="DK7" s="11">
        <f>'Summary'!DK7-'Summary'!DK8+'Summary'!DK10</f>
        <v/>
      </c>
      <c r="DL7" s="10">
        <f>IF(COUNT('Summary'!DL7,'Summary'!DL8,'Summary'!DL10)=3,'Summary'!DL7-'Summary'!DL8+'Summary'!DL10,"")</f>
        <v/>
      </c>
      <c r="DM7" s="10">
        <f>'Summary'!DM7-'Summary'!DM8+'Summary'!DM10</f>
        <v/>
      </c>
      <c r="DN7" s="10">
        <f>'Summary'!DN7-'Summary'!DN8+'Summary'!DN10</f>
        <v/>
      </c>
    </row>
    <row r="8">
      <c r="A8" s="2" t="inlineStr">
        <is>
          <t>Income Tax Paid</t>
        </is>
      </c>
      <c r="B8" s="10">
        <f>IF(COUNT(AR8,AO8,AL8,AI8,AF8,AC8,Z8,W8,T8,Q8,N8,K8)=0,"",SUM(AR8,AO8,AL8,AI8,AF8,AC8,Z8,W8,T8,Q8,N8,K8))</f>
        <v/>
      </c>
      <c r="C8" s="10">
        <f>IF(COUNT(AS8,AP8,AM8,AJ8,AG8,AD8,AA8,X8,U8,R8,O8,L8)=0,"",SUM(AS8,AP8,AM8,AJ8,AG8,AD8,AA8,X8,U8,R8,O8,L8))</f>
        <v/>
      </c>
      <c r="D8" s="10">
        <f>IF(COUNT(AT8,AQ8,AN8,AK8,AH8,AE8,AB8,Y8,V8,S8,P8,M8)=0,"",SUM(AT8,AQ8,AN8,AK8,AH8,AE8,AB8,Y8,V8,S8,P8,M8))</f>
        <v/>
      </c>
      <c r="E8" s="11">
        <f>IF(COUNT(CB8,BY8,BV8,BS8,BP8,BM8,BJ8,BG8,BD8,BA8,AX8,AU8)=0,"",SUM(CB8,BY8,BV8,BS8,BP8,BM8,BJ8,BG8,BD8,BA8,AX8,AU8))</f>
        <v/>
      </c>
      <c r="F8" s="11">
        <f>IF(COUNT(CC8,BZ8,BW8,BT8,BQ8,BN8,BK8,BH8,BE8,BB8,AY8,AV8)=0,"",SUM(CC8,BZ8,BW8,BT8,BQ8,BN8,BK8,BH8,BE8,BB8,AY8,AV8))</f>
        <v/>
      </c>
      <c r="G8" s="11">
        <f>IF(COUNT(CD8,CA8,BX8,BU8,BR8,BO8,BL8,BI8,BF8,BC8,AZ8,AW8)=0,"",SUM(CD8,CA8,BX8,BU8,BR8,BO8,BL8,BI8,BF8,BC8,AZ8,AW8))</f>
        <v/>
      </c>
      <c r="H8" s="10">
        <f>IF(COUNT(DL8,DI8,DF8,DC8,CZ8,CW8,CT8,CQ8,CN8,CK8,CH8,CE8)=0,"",SUM(DL8,DI8,DF8,DC8,CZ8,CW8,CT8,CQ8,CN8,CK8,CH8,CE8))</f>
        <v/>
      </c>
      <c r="I8" s="10">
        <f>IF(COUNT(DM8,DJ8,DG8,DD8,DA8,CX8,CU8,CR8,CO8,CL8,CI8,CF8)=0,"",SUM(DM8,DJ8,DG8,DD8,DA8,CX8,CU8,CR8,CO8,CL8,CI8,CF8))</f>
        <v/>
      </c>
      <c r="J8" s="10">
        <f>IF(COUNT(DN8,DK8,DH8,DE8,DB8,CY8,CV8,CS8,CP8,CM8,CJ8,CG8)=0,"",SUM(DN8,DK8,DH8,DE8,DB8,CY8,CV8,CS8,CP8,CM8,CJ8,CG8))</f>
        <v/>
      </c>
      <c r="K8" s="11">
        <f>IF(COUNT('Finance'!N16)=1,'Finance'!N16,"")</f>
        <v/>
      </c>
      <c r="L8" s="11">
        <f>'Finance'!O16</f>
        <v/>
      </c>
      <c r="M8" s="11">
        <f>'Finance'!P16</f>
        <v/>
      </c>
      <c r="N8" s="10">
        <f>IF(COUNT('Finance'!Q16)=1,'Finance'!Q16,"")</f>
        <v/>
      </c>
      <c r="O8" s="10">
        <f>'Finance'!R16</f>
        <v/>
      </c>
      <c r="P8" s="10">
        <f>'Finance'!S16</f>
        <v/>
      </c>
      <c r="Q8" s="11">
        <f>IF(COUNT('Finance'!T16)=1,'Finance'!T16,"")</f>
        <v/>
      </c>
      <c r="R8" s="11">
        <f>'Finance'!U16</f>
        <v/>
      </c>
      <c r="S8" s="11">
        <f>'Finance'!V16</f>
        <v/>
      </c>
      <c r="T8" s="10">
        <f>IF(COUNT('Finance'!W16)=1,'Finance'!W16,"")</f>
        <v/>
      </c>
      <c r="U8" s="10">
        <f>'Finance'!X16</f>
        <v/>
      </c>
      <c r="V8" s="10">
        <f>'Finance'!Y16</f>
        <v/>
      </c>
      <c r="W8" s="11">
        <f>IF(COUNT('Finance'!Z16)=1,'Finance'!Z16,"")</f>
        <v/>
      </c>
      <c r="X8" s="11">
        <f>'Finance'!AA16</f>
        <v/>
      </c>
      <c r="Y8" s="11">
        <f>'Finance'!AB16</f>
        <v/>
      </c>
      <c r="Z8" s="10">
        <f>IF(COUNT('Finance'!AC16)=1,'Finance'!AC16,"")</f>
        <v/>
      </c>
      <c r="AA8" s="10">
        <f>'Finance'!AD16</f>
        <v/>
      </c>
      <c r="AB8" s="10">
        <f>'Finance'!AE16</f>
        <v/>
      </c>
      <c r="AC8" s="11">
        <f>IF(COUNT('Finance'!AF16)=1,'Finance'!AF16,"")</f>
        <v/>
      </c>
      <c r="AD8" s="11">
        <f>'Finance'!AG16</f>
        <v/>
      </c>
      <c r="AE8" s="11">
        <f>'Finance'!AH16</f>
        <v/>
      </c>
      <c r="AF8" s="10">
        <f>IF(COUNT('Finance'!AI16)=1,'Finance'!AI16,"")</f>
        <v/>
      </c>
      <c r="AG8" s="10">
        <f>'Finance'!AJ16</f>
        <v/>
      </c>
      <c r="AH8" s="10">
        <f>'Finance'!AK16</f>
        <v/>
      </c>
      <c r="AI8" s="11">
        <f>IF(COUNT('Finance'!AL16)=1,'Finance'!AL16,"")</f>
        <v/>
      </c>
      <c r="AJ8" s="11">
        <f>'Finance'!AM16</f>
        <v/>
      </c>
      <c r="AK8" s="11">
        <f>'Finance'!AN16</f>
        <v/>
      </c>
      <c r="AL8" s="10">
        <f>IF(COUNT('Finance'!AO16)=1,'Finance'!AO16,"")</f>
        <v/>
      </c>
      <c r="AM8" s="10">
        <f>'Finance'!AP16</f>
        <v/>
      </c>
      <c r="AN8" s="10">
        <f>'Finance'!AQ16</f>
        <v/>
      </c>
      <c r="AO8" s="11">
        <f>IF(COUNT('Finance'!AR16)=1,'Finance'!AR16,"")</f>
        <v/>
      </c>
      <c r="AP8" s="11">
        <f>'Finance'!AS16</f>
        <v/>
      </c>
      <c r="AQ8" s="11">
        <f>'Finance'!AT16</f>
        <v/>
      </c>
      <c r="AR8" s="10">
        <f>IF(COUNT('Finance'!AU16)=1,'Finance'!AU16,"")</f>
        <v/>
      </c>
      <c r="AS8" s="10">
        <f>'Finance'!AV16</f>
        <v/>
      </c>
      <c r="AT8" s="10">
        <f>'Finance'!AW16</f>
        <v/>
      </c>
      <c r="AU8" s="11">
        <f>IF(COUNT('Finance'!AX16)=1,'Finance'!AX16,"")</f>
        <v/>
      </c>
      <c r="AV8" s="11">
        <f>'Finance'!AY16</f>
        <v/>
      </c>
      <c r="AW8" s="11">
        <f>'Finance'!AZ16</f>
        <v/>
      </c>
      <c r="AX8" s="10">
        <f>IF(COUNT('Finance'!BA16)=1,'Finance'!BA16,"")</f>
        <v/>
      </c>
      <c r="AY8" s="10">
        <f>'Finance'!BB16</f>
        <v/>
      </c>
      <c r="AZ8" s="10">
        <f>'Finance'!BC16</f>
        <v/>
      </c>
      <c r="BA8" s="11">
        <f>IF(COUNT('Finance'!BD16)=1,'Finance'!BD16,"")</f>
        <v/>
      </c>
      <c r="BB8" s="11">
        <f>'Finance'!BE16</f>
        <v/>
      </c>
      <c r="BC8" s="11">
        <f>'Finance'!BF16</f>
        <v/>
      </c>
      <c r="BD8" s="10">
        <f>IF(COUNT('Finance'!BG16)=1,'Finance'!BG16,"")</f>
        <v/>
      </c>
      <c r="BE8" s="10">
        <f>'Finance'!BH16</f>
        <v/>
      </c>
      <c r="BF8" s="10">
        <f>'Finance'!BI16</f>
        <v/>
      </c>
      <c r="BG8" s="11">
        <f>IF(COUNT('Finance'!BJ16)=1,'Finance'!BJ16,"")</f>
        <v/>
      </c>
      <c r="BH8" s="11">
        <f>'Finance'!BK16</f>
        <v/>
      </c>
      <c r="BI8" s="11">
        <f>'Finance'!BL16</f>
        <v/>
      </c>
      <c r="BJ8" s="10">
        <f>IF(COUNT('Finance'!BM16)=1,'Finance'!BM16,"")</f>
        <v/>
      </c>
      <c r="BK8" s="10">
        <f>'Finance'!BN16</f>
        <v/>
      </c>
      <c r="BL8" s="10">
        <f>'Finance'!BO16</f>
        <v/>
      </c>
      <c r="BM8" s="11">
        <f>IF(COUNT('Finance'!BP16)=1,'Finance'!BP16,"")</f>
        <v/>
      </c>
      <c r="BN8" s="11">
        <f>'Finance'!BQ16</f>
        <v/>
      </c>
      <c r="BO8" s="11">
        <f>'Finance'!BR16</f>
        <v/>
      </c>
      <c r="BP8" s="10">
        <f>IF(COUNT('Finance'!BS16)=1,'Finance'!BS16,"")</f>
        <v/>
      </c>
      <c r="BQ8" s="10">
        <f>'Finance'!BT16</f>
        <v/>
      </c>
      <c r="BR8" s="10">
        <f>'Finance'!BU16</f>
        <v/>
      </c>
      <c r="BS8" s="11">
        <f>IF(COUNT('Finance'!BV16)=1,'Finance'!BV16,"")</f>
        <v/>
      </c>
      <c r="BT8" s="11">
        <f>'Finance'!BW16</f>
        <v/>
      </c>
      <c r="BU8" s="11">
        <f>'Finance'!BX16</f>
        <v/>
      </c>
      <c r="BV8" s="10">
        <f>IF(COUNT('Finance'!BY16)=1,'Finance'!BY16,"")</f>
        <v/>
      </c>
      <c r="BW8" s="10">
        <f>'Finance'!BZ16</f>
        <v/>
      </c>
      <c r="BX8" s="10">
        <f>'Finance'!CA16</f>
        <v/>
      </c>
      <c r="BY8" s="11">
        <f>IF(COUNT('Finance'!CB16)=1,'Finance'!CB16,"")</f>
        <v/>
      </c>
      <c r="BZ8" s="11">
        <f>'Finance'!CC16</f>
        <v/>
      </c>
      <c r="CA8" s="11">
        <f>'Finance'!CD16</f>
        <v/>
      </c>
      <c r="CB8" s="10">
        <f>IF(COUNT('Finance'!CE16)=1,'Finance'!CE16,"")</f>
        <v/>
      </c>
      <c r="CC8" s="10">
        <f>'Finance'!CF16</f>
        <v/>
      </c>
      <c r="CD8" s="10">
        <f>'Finance'!CG16</f>
        <v/>
      </c>
      <c r="CE8" s="11">
        <f>IF(COUNT('Finance'!CH16)=1,'Finance'!CH16,"")</f>
        <v/>
      </c>
      <c r="CF8" s="11">
        <f>'Finance'!CI16</f>
        <v/>
      </c>
      <c r="CG8" s="11">
        <f>'Finance'!CJ16</f>
        <v/>
      </c>
      <c r="CH8" s="10">
        <f>IF(COUNT('Finance'!CK16)=1,'Finance'!CK16,"")</f>
        <v/>
      </c>
      <c r="CI8" s="10">
        <f>'Finance'!CL16</f>
        <v/>
      </c>
      <c r="CJ8" s="10">
        <f>'Finance'!CM16</f>
        <v/>
      </c>
      <c r="CK8" s="11">
        <f>IF(COUNT('Finance'!CN16)=1,'Finance'!CN16,"")</f>
        <v/>
      </c>
      <c r="CL8" s="11">
        <f>'Finance'!CO16</f>
        <v/>
      </c>
      <c r="CM8" s="11">
        <f>'Finance'!CP16</f>
        <v/>
      </c>
      <c r="CN8" s="10">
        <f>IF(COUNT('Finance'!CQ16)=1,'Finance'!CQ16,"")</f>
        <v/>
      </c>
      <c r="CO8" s="10">
        <f>'Finance'!CR16</f>
        <v/>
      </c>
      <c r="CP8" s="10">
        <f>'Finance'!CS16</f>
        <v/>
      </c>
      <c r="CQ8" s="11">
        <f>IF(COUNT('Finance'!CT16)=1,'Finance'!CT16,"")</f>
        <v/>
      </c>
      <c r="CR8" s="11">
        <f>'Finance'!CU16</f>
        <v/>
      </c>
      <c r="CS8" s="11">
        <f>'Finance'!CV16</f>
        <v/>
      </c>
      <c r="CT8" s="10">
        <f>IF(COUNT('Finance'!CW16)=1,'Finance'!CW16,"")</f>
        <v/>
      </c>
      <c r="CU8" s="10">
        <f>'Finance'!CX16</f>
        <v/>
      </c>
      <c r="CV8" s="10">
        <f>'Finance'!CY16</f>
        <v/>
      </c>
      <c r="CW8" s="11">
        <f>IF(COUNT('Finance'!CZ16)=1,'Finance'!CZ16,"")</f>
        <v/>
      </c>
      <c r="CX8" s="11">
        <f>'Finance'!DA16</f>
        <v/>
      </c>
      <c r="CY8" s="11">
        <f>'Finance'!DB16</f>
        <v/>
      </c>
      <c r="CZ8" s="10">
        <f>IF(COUNT('Finance'!DC16)=1,'Finance'!DC16,"")</f>
        <v/>
      </c>
      <c r="DA8" s="10">
        <f>'Finance'!DD16</f>
        <v/>
      </c>
      <c r="DB8" s="10">
        <f>'Finance'!DE16</f>
        <v/>
      </c>
      <c r="DC8" s="11">
        <f>IF(COUNT('Finance'!DF16)=1,'Finance'!DF16,"")</f>
        <v/>
      </c>
      <c r="DD8" s="11">
        <f>'Finance'!DG16</f>
        <v/>
      </c>
      <c r="DE8" s="11">
        <f>'Finance'!DH16</f>
        <v/>
      </c>
      <c r="DF8" s="10">
        <f>IF(COUNT('Finance'!DI16)=1,'Finance'!DI16,"")</f>
        <v/>
      </c>
      <c r="DG8" s="10">
        <f>'Finance'!DJ16</f>
        <v/>
      </c>
      <c r="DH8" s="10">
        <f>'Finance'!DK16</f>
        <v/>
      </c>
      <c r="DI8" s="11">
        <f>IF(COUNT('Finance'!DL16)=1,'Finance'!DL16,"")</f>
        <v/>
      </c>
      <c r="DJ8" s="11">
        <f>'Finance'!DM16</f>
        <v/>
      </c>
      <c r="DK8" s="11">
        <f>'Finance'!DN16</f>
        <v/>
      </c>
      <c r="DL8" s="10" t="n">
        <v>0</v>
      </c>
      <c r="DM8" s="10" t="n">
        <v>0</v>
      </c>
      <c r="DN8" s="10" t="n">
        <v>0</v>
      </c>
    </row>
    <row r="9">
      <c r="A9" s="2" t="inlineStr">
        <is>
          <t>Equipment Purchases</t>
        </is>
      </c>
      <c r="B9" s="10">
        <f>IF(COUNT(AR9,AO9,AL9,AI9,AF9,AC9,Z9,W9,T9,Q9,N9,K9)=0,"",SUM(AR9,AO9,AL9,AI9,AF9,AC9,Z9,W9,T9,Q9,N9,K9))</f>
        <v/>
      </c>
      <c r="C9" s="10">
        <f>IF(COUNT(AS9,AP9,AM9,AJ9,AG9,AD9,AA9,X9,U9,R9,O9,L9)=0,"",SUM(AS9,AP9,AM9,AJ9,AG9,AD9,AA9,X9,U9,R9,O9,L9))</f>
        <v/>
      </c>
      <c r="D9" s="10">
        <f>IF(COUNT(AT9,AQ9,AN9,AK9,AH9,AE9,AB9,Y9,V9,S9,P9,M9)=0,"",SUM(AT9,AQ9,AN9,AK9,AH9,AE9,AB9,Y9,V9,S9,P9,M9))</f>
        <v/>
      </c>
      <c r="E9" s="11">
        <f>IF(COUNT(CB9,BY9,BV9,BS9,BP9,BM9,BJ9,BG9,BD9,BA9,AX9,AU9)=0,"",SUM(CB9,BY9,BV9,BS9,BP9,BM9,BJ9,BG9,BD9,BA9,AX9,AU9))</f>
        <v/>
      </c>
      <c r="F9" s="11">
        <f>IF(COUNT(CC9,BZ9,BW9,BT9,BQ9,BN9,BK9,BH9,BE9,BB9,AY9,AV9)=0,"",SUM(CC9,BZ9,BW9,BT9,BQ9,BN9,BK9,BH9,BE9,BB9,AY9,AV9))</f>
        <v/>
      </c>
      <c r="G9" s="11">
        <f>IF(COUNT(CD9,CA9,BX9,BU9,BR9,BO9,BL9,BI9,BF9,BC9,AZ9,AW9)=0,"",SUM(CD9,CA9,BX9,BU9,BR9,BO9,BL9,BI9,BF9,BC9,AZ9,AW9))</f>
        <v/>
      </c>
      <c r="H9" s="10">
        <f>IF(COUNT(DL9,DI9,DF9,DC9,CZ9,CW9,CT9,CQ9,CN9,CK9,CH9,CE9)=0,"",SUM(DL9,DI9,DF9,DC9,CZ9,CW9,CT9,CQ9,CN9,CK9,CH9,CE9))</f>
        <v/>
      </c>
      <c r="I9" s="10">
        <f>IF(COUNT(DM9,DJ9,DG9,DD9,DA9,CX9,CU9,CR9,CO9,CL9,CI9,CF9)=0,"",SUM(DM9,DJ9,DG9,DD9,DA9,CX9,CU9,CR9,CO9,CL9,CI9,CF9))</f>
        <v/>
      </c>
      <c r="J9" s="10">
        <f>IF(COUNT(DN9,DK9,DH9,DE9,DB9,CY9,CV9,CS9,CP9,CM9,CJ9,CG9)=0,"",SUM(DN9,DK9,DH9,DE9,DB9,CY9,CV9,CS9,CP9,CM9,CJ9,CG9))</f>
        <v/>
      </c>
      <c r="K9" s="11">
        <f>IF(COUNT('Summary'!K19,'Summary'!N19)=2,MAX(0,'Summary'!K19-'Summary'!N19)*K18,"")</f>
        <v/>
      </c>
      <c r="L9" s="11">
        <f>MAX(0,'Summary'!L19-'Summary'!O19)*L18</f>
        <v/>
      </c>
      <c r="M9" s="11">
        <f>MAX(0,'Summary'!M19-'Summary'!P19)*M18</f>
        <v/>
      </c>
      <c r="N9" s="10">
        <f>IF(COUNT('Summary'!N19,'Summary'!Q19)=2,MAX(0,'Summary'!N19-'Summary'!Q19)*N18,"")</f>
        <v/>
      </c>
      <c r="O9" s="10">
        <f>MAX(0,'Summary'!O19-'Summary'!R19)*O18</f>
        <v/>
      </c>
      <c r="P9" s="10">
        <f>MAX(0,'Summary'!P19-'Summary'!S19)*P18</f>
        <v/>
      </c>
      <c r="Q9" s="11">
        <f>IF(COUNT('Summary'!Q19,'Summary'!T19)=2,MAX(0,'Summary'!Q19-'Summary'!T19)*Q18,"")</f>
        <v/>
      </c>
      <c r="R9" s="11">
        <f>MAX(0,'Summary'!R19-'Summary'!U19)*R18</f>
        <v/>
      </c>
      <c r="S9" s="11">
        <f>MAX(0,'Summary'!S19-'Summary'!V19)*S18</f>
        <v/>
      </c>
      <c r="T9" s="10">
        <f>IF(COUNT('Summary'!T19,'Summary'!W19)=2,MAX(0,'Summary'!T19-'Summary'!W19)*T18,"")</f>
        <v/>
      </c>
      <c r="U9" s="10">
        <f>MAX(0,'Summary'!U19-'Summary'!X19)*U18</f>
        <v/>
      </c>
      <c r="V9" s="10">
        <f>MAX(0,'Summary'!V19-'Summary'!Y19)*V18</f>
        <v/>
      </c>
      <c r="W9" s="11">
        <f>IF(COUNT('Summary'!W19,'Summary'!Z19)=2,MAX(0,'Summary'!W19-'Summary'!Z19)*W18,"")</f>
        <v/>
      </c>
      <c r="X9" s="11">
        <f>MAX(0,'Summary'!X19-'Summary'!AA19)*X18</f>
        <v/>
      </c>
      <c r="Y9" s="11">
        <f>MAX(0,'Summary'!Y19-'Summary'!AB19)*Y18</f>
        <v/>
      </c>
      <c r="Z9" s="10">
        <f>IF(COUNT('Summary'!Z19,'Summary'!AC19)=2,MAX(0,'Summary'!Z19-'Summary'!AC19)*Z18,"")</f>
        <v/>
      </c>
      <c r="AA9" s="10">
        <f>MAX(0,'Summary'!AA19-'Summary'!AD19)*AA18</f>
        <v/>
      </c>
      <c r="AB9" s="10">
        <f>MAX(0,'Summary'!AB19-'Summary'!AE19)*AB18</f>
        <v/>
      </c>
      <c r="AC9" s="11">
        <f>IF(COUNT('Summary'!AC19,'Summary'!AF19)=2,MAX(0,'Summary'!AC19-'Summary'!AF19)*AC18,"")</f>
        <v/>
      </c>
      <c r="AD9" s="11">
        <f>MAX(0,'Summary'!AD19-'Summary'!AG19)*AD18</f>
        <v/>
      </c>
      <c r="AE9" s="11">
        <f>MAX(0,'Summary'!AE19-'Summary'!AH19)*AE18</f>
        <v/>
      </c>
      <c r="AF9" s="10">
        <f>IF(COUNT('Summary'!AF19,'Summary'!AI19)=2,MAX(0,'Summary'!AF19-'Summary'!AI19)*AF18,"")</f>
        <v/>
      </c>
      <c r="AG9" s="10">
        <f>MAX(0,'Summary'!AG19-'Summary'!AJ19)*AG18</f>
        <v/>
      </c>
      <c r="AH9" s="10">
        <f>MAX(0,'Summary'!AH19-'Summary'!AK19)*AH18</f>
        <v/>
      </c>
      <c r="AI9" s="11">
        <f>IF(COUNT('Summary'!AI19,'Summary'!AL19)=2,MAX(0,'Summary'!AI19-'Summary'!AL19)*AI18,"")</f>
        <v/>
      </c>
      <c r="AJ9" s="11">
        <f>MAX(0,'Summary'!AJ19-'Summary'!AM19)*AJ18</f>
        <v/>
      </c>
      <c r="AK9" s="11">
        <f>MAX(0,'Summary'!AK19-'Summary'!AN19)*AK18</f>
        <v/>
      </c>
      <c r="AL9" s="10">
        <f>IF(COUNT('Summary'!AL19,'Summary'!AO19)=2,MAX(0,'Summary'!AL19-'Summary'!AO19)*AL18,"")</f>
        <v/>
      </c>
      <c r="AM9" s="10">
        <f>MAX(0,'Summary'!AM19-'Summary'!AP19)*AM18</f>
        <v/>
      </c>
      <c r="AN9" s="10">
        <f>MAX(0,'Summary'!AN19-'Summary'!AQ19)*AN18</f>
        <v/>
      </c>
      <c r="AO9" s="11">
        <f>IF(COUNT('Summary'!AO19,'Summary'!AR19)=2,MAX(0,'Summary'!AO19-'Summary'!AR19)*AO18,"")</f>
        <v/>
      </c>
      <c r="AP9" s="11">
        <f>MAX(0,'Summary'!AP19-'Summary'!AS19)*AP18</f>
        <v/>
      </c>
      <c r="AQ9" s="11">
        <f>MAX(0,'Summary'!AQ19-'Summary'!AT19)*AQ18</f>
        <v/>
      </c>
      <c r="AR9" s="10">
        <f>IF(COUNT('Summary'!AR19,'Summary'!AU19)=2,MAX(0,'Summary'!AR19-'Summary'!AU19)*AR18,"")</f>
        <v/>
      </c>
      <c r="AS9" s="10">
        <f>MAX(0,'Summary'!AS19-'Summary'!AV19)*AS18</f>
        <v/>
      </c>
      <c r="AT9" s="10">
        <f>MAX(0,'Summary'!AT19-'Summary'!AW19)*AT18</f>
        <v/>
      </c>
      <c r="AU9" s="11">
        <f>IF(COUNT('Summary'!AU19,'Summary'!AX19)=2,MAX(0,'Summary'!AU19-'Summary'!AX19)*AU18,"")</f>
        <v/>
      </c>
      <c r="AV9" s="11">
        <f>MAX(0,'Summary'!AV19-'Summary'!AY19)*AV18</f>
        <v/>
      </c>
      <c r="AW9" s="11">
        <f>MAX(0,'Summary'!AW19-'Summary'!AZ19)*AW18</f>
        <v/>
      </c>
      <c r="AX9" s="10">
        <f>IF(COUNT('Summary'!AX19,'Summary'!BA19)=2,MAX(0,'Summary'!AX19-'Summary'!BA19)*AX18,"")</f>
        <v/>
      </c>
      <c r="AY9" s="10">
        <f>MAX(0,'Summary'!AY19-'Summary'!BB19)*AY18</f>
        <v/>
      </c>
      <c r="AZ9" s="10">
        <f>MAX(0,'Summary'!AZ19-'Summary'!BC19)*AZ18</f>
        <v/>
      </c>
      <c r="BA9" s="11">
        <f>IF(COUNT('Summary'!BA19,'Summary'!BD19)=2,MAX(0,'Summary'!BA19-'Summary'!BD19)*BA18,"")</f>
        <v/>
      </c>
      <c r="BB9" s="11">
        <f>MAX(0,'Summary'!BB19-'Summary'!BE19)*BB18</f>
        <v/>
      </c>
      <c r="BC9" s="11">
        <f>MAX(0,'Summary'!BC19-'Summary'!BF19)*BC18</f>
        <v/>
      </c>
      <c r="BD9" s="10">
        <f>IF(COUNT('Summary'!BD19,'Summary'!BG19)=2,MAX(0,'Summary'!BD19-'Summary'!BG19)*BD18,"")</f>
        <v/>
      </c>
      <c r="BE9" s="10">
        <f>MAX(0,'Summary'!BE19-'Summary'!BH19)*BE18</f>
        <v/>
      </c>
      <c r="BF9" s="10">
        <f>MAX(0,'Summary'!BF19-'Summary'!BI19)*BF18</f>
        <v/>
      </c>
      <c r="BG9" s="11">
        <f>IF(COUNT('Summary'!BG19,'Summary'!BJ19)=2,MAX(0,'Summary'!BG19-'Summary'!BJ19)*BG18,"")</f>
        <v/>
      </c>
      <c r="BH9" s="11">
        <f>MAX(0,'Summary'!BH19-'Summary'!BK19)*BH18</f>
        <v/>
      </c>
      <c r="BI9" s="11">
        <f>MAX(0,'Summary'!BI19-'Summary'!BL19)*BI18</f>
        <v/>
      </c>
      <c r="BJ9" s="10">
        <f>IF(COUNT('Summary'!BJ19,'Summary'!BM19)=2,MAX(0,'Summary'!BJ19-'Summary'!BM19)*BJ18,"")</f>
        <v/>
      </c>
      <c r="BK9" s="10">
        <f>MAX(0,'Summary'!BK19-'Summary'!BN19)*BK18</f>
        <v/>
      </c>
      <c r="BL9" s="10">
        <f>MAX(0,'Summary'!BL19-'Summary'!BO19)*BL18</f>
        <v/>
      </c>
      <c r="BM9" s="11">
        <f>IF(COUNT('Summary'!BM19,'Summary'!BP19)=2,MAX(0,'Summary'!BM19-'Summary'!BP19)*BM18,"")</f>
        <v/>
      </c>
      <c r="BN9" s="11">
        <f>MAX(0,'Summary'!BN19-'Summary'!BQ19)*BN18</f>
        <v/>
      </c>
      <c r="BO9" s="11">
        <f>MAX(0,'Summary'!BO19-'Summary'!BR19)*BO18</f>
        <v/>
      </c>
      <c r="BP9" s="10">
        <f>IF(COUNT('Summary'!BP19,'Summary'!BS19)=2,MAX(0,'Summary'!BP19-'Summary'!BS19)*BP18,"")</f>
        <v/>
      </c>
      <c r="BQ9" s="10">
        <f>MAX(0,'Summary'!BQ19-'Summary'!BT19)*BQ18</f>
        <v/>
      </c>
      <c r="BR9" s="10">
        <f>MAX(0,'Summary'!BR19-'Summary'!BU19)*BR18</f>
        <v/>
      </c>
      <c r="BS9" s="11">
        <f>IF(COUNT('Summary'!BS19,'Summary'!BV19)=2,MAX(0,'Summary'!BS19-'Summary'!BV19)*BS18,"")</f>
        <v/>
      </c>
      <c r="BT9" s="11">
        <f>MAX(0,'Summary'!BT19-'Summary'!BW19)*BT18</f>
        <v/>
      </c>
      <c r="BU9" s="11">
        <f>MAX(0,'Summary'!BU19-'Summary'!BX19)*BU18</f>
        <v/>
      </c>
      <c r="BV9" s="10">
        <f>IF(COUNT('Summary'!BV19,'Summary'!BY19)=2,MAX(0,'Summary'!BV19-'Summary'!BY19)*BV18,"")</f>
        <v/>
      </c>
      <c r="BW9" s="10">
        <f>MAX(0,'Summary'!BW19-'Summary'!BZ19)*BW18</f>
        <v/>
      </c>
      <c r="BX9" s="10">
        <f>MAX(0,'Summary'!BX19-'Summary'!CA19)*BX18</f>
        <v/>
      </c>
      <c r="BY9" s="11">
        <f>IF(COUNT('Summary'!BY19,'Summary'!CB19)=2,MAX(0,'Summary'!BY19-'Summary'!CB19)*BY18,"")</f>
        <v/>
      </c>
      <c r="BZ9" s="11">
        <f>MAX(0,'Summary'!BZ19-'Summary'!CC19)*BZ18</f>
        <v/>
      </c>
      <c r="CA9" s="11">
        <f>MAX(0,'Summary'!CA19-'Summary'!CD19)*CA18</f>
        <v/>
      </c>
      <c r="CB9" s="10">
        <f>IF(COUNT('Summary'!CB19,'Summary'!CE19)=2,MAX(0,'Summary'!CB19-'Summary'!CE19)*CB18,"")</f>
        <v/>
      </c>
      <c r="CC9" s="10">
        <f>MAX(0,'Summary'!CC19-'Summary'!CF19)*CC18</f>
        <v/>
      </c>
      <c r="CD9" s="10">
        <f>MAX(0,'Summary'!CD19-'Summary'!CG19)*CD18</f>
        <v/>
      </c>
      <c r="CE9" s="11">
        <f>IF(COUNT('Summary'!CE19,'Summary'!CH19)=2,MAX(0,'Summary'!CE19-'Summary'!CH19)*CE18,"")</f>
        <v/>
      </c>
      <c r="CF9" s="11">
        <f>MAX(0,'Summary'!CF19-'Summary'!CI19)*CF18</f>
        <v/>
      </c>
      <c r="CG9" s="11">
        <f>MAX(0,'Summary'!CG19-'Summary'!CJ19)*CG18</f>
        <v/>
      </c>
      <c r="CH9" s="10">
        <f>IF(COUNT('Summary'!CH19,'Summary'!CK19)=2,MAX(0,'Summary'!CH19-'Summary'!CK19)*CH18,"")</f>
        <v/>
      </c>
      <c r="CI9" s="10">
        <f>MAX(0,'Summary'!CI19-'Summary'!CL19)*CI18</f>
        <v/>
      </c>
      <c r="CJ9" s="10">
        <f>MAX(0,'Summary'!CJ19-'Summary'!CM19)*CJ18</f>
        <v/>
      </c>
      <c r="CK9" s="11">
        <f>IF(COUNT('Summary'!CK19,'Summary'!CN19)=2,MAX(0,'Summary'!CK19-'Summary'!CN19)*CK18,"")</f>
        <v/>
      </c>
      <c r="CL9" s="11">
        <f>MAX(0,'Summary'!CL19-'Summary'!CO19)*CL18</f>
        <v/>
      </c>
      <c r="CM9" s="11">
        <f>MAX(0,'Summary'!CM19-'Summary'!CP19)*CM18</f>
        <v/>
      </c>
      <c r="CN9" s="10">
        <f>IF(COUNT('Summary'!CN19,'Summary'!CQ19)=2,MAX(0,'Summary'!CN19-'Summary'!CQ19)*CN18,"")</f>
        <v/>
      </c>
      <c r="CO9" s="10">
        <f>MAX(0,'Summary'!CO19-'Summary'!CR19)*CO18</f>
        <v/>
      </c>
      <c r="CP9" s="10">
        <f>MAX(0,'Summary'!CP19-'Summary'!CS19)*CP18</f>
        <v/>
      </c>
      <c r="CQ9" s="11">
        <f>IF(COUNT('Summary'!CQ19,'Summary'!CT19)=2,MAX(0,'Summary'!CQ19-'Summary'!CT19)*CQ18,"")</f>
        <v/>
      </c>
      <c r="CR9" s="11">
        <f>MAX(0,'Summary'!CR19-'Summary'!CU19)*CR18</f>
        <v/>
      </c>
      <c r="CS9" s="11">
        <f>MAX(0,'Summary'!CS19-'Summary'!CV19)*CS18</f>
        <v/>
      </c>
      <c r="CT9" s="10">
        <f>IF(COUNT('Summary'!CT19,'Summary'!CW19)=2,MAX(0,'Summary'!CT19-'Summary'!CW19)*CT18,"")</f>
        <v/>
      </c>
      <c r="CU9" s="10">
        <f>MAX(0,'Summary'!CU19-'Summary'!CX19)*CU18</f>
        <v/>
      </c>
      <c r="CV9" s="10">
        <f>MAX(0,'Summary'!CV19-'Summary'!CY19)*CV18</f>
        <v/>
      </c>
      <c r="CW9" s="11">
        <f>IF(COUNT('Summary'!CW19,'Summary'!CZ19)=2,MAX(0,'Summary'!CW19-'Summary'!CZ19)*CW18,"")</f>
        <v/>
      </c>
      <c r="CX9" s="11">
        <f>MAX(0,'Summary'!CX19-'Summary'!DA19)*CX18</f>
        <v/>
      </c>
      <c r="CY9" s="11">
        <f>MAX(0,'Summary'!CY19-'Summary'!DB19)*CY18</f>
        <v/>
      </c>
      <c r="CZ9" s="10">
        <f>IF(COUNT('Summary'!CZ19,'Summary'!DC19)=2,MAX(0,'Summary'!CZ19-'Summary'!DC19)*CZ18,"")</f>
        <v/>
      </c>
      <c r="DA9" s="10">
        <f>MAX(0,'Summary'!DA19-'Summary'!DD19)*DA18</f>
        <v/>
      </c>
      <c r="DB9" s="10">
        <f>MAX(0,'Summary'!DB19-'Summary'!DE19)*DB18</f>
        <v/>
      </c>
      <c r="DC9" s="11">
        <f>IF(COUNT('Summary'!DC19,'Summary'!DF19)=2,MAX(0,'Summary'!DC19-'Summary'!DF19)*DC18,"")</f>
        <v/>
      </c>
      <c r="DD9" s="11">
        <f>MAX(0,'Summary'!DD19-'Summary'!DG19)*DD18</f>
        <v/>
      </c>
      <c r="DE9" s="11">
        <f>MAX(0,'Summary'!DE19-'Summary'!DH19)*DE18</f>
        <v/>
      </c>
      <c r="DF9" s="10">
        <f>IF(COUNT('Summary'!DF19,'Summary'!DI19)=2,MAX(0,'Summary'!DF19-'Summary'!DI19)*DF18,"")</f>
        <v/>
      </c>
      <c r="DG9" s="10">
        <f>MAX(0,'Summary'!DG19-'Summary'!DJ19)*DG18</f>
        <v/>
      </c>
      <c r="DH9" s="10">
        <f>MAX(0,'Summary'!DH19-'Summary'!DK19)*DH18</f>
        <v/>
      </c>
      <c r="DI9" s="11">
        <f>IF(COUNT('Summary'!DI19,'Summary'!DL19)=2,MAX(0,'Summary'!DI19-'Summary'!DL19)*DI18,"")</f>
        <v/>
      </c>
      <c r="DJ9" s="11">
        <f>MAX(0,'Summary'!DJ19-'Summary'!DM19)*DJ18</f>
        <v/>
      </c>
      <c r="DK9" s="11">
        <f>MAX(0,'Summary'!DK19-'Summary'!DN19)*DK18</f>
        <v/>
      </c>
      <c r="DL9" s="10" t="n">
        <v>0</v>
      </c>
      <c r="DM9" s="10" t="n">
        <v>0</v>
      </c>
      <c r="DN9" s="10" t="n">
        <v>0</v>
      </c>
    </row>
    <row r="10">
      <c r="A10" s="2" t="inlineStr">
        <is>
          <t>Net Cash Movement</t>
        </is>
      </c>
      <c r="B10" s="10">
        <f>IF(COUNT(AR10,AO10,AL10,AI10,AF10,AC10,Z10,W10,T10,Q10,N10,K10)=0,"",SUM(AR10,AO10,AL10,AI10,AF10,AC10,Z10,W10,T10,Q10,N10,K10))</f>
        <v/>
      </c>
      <c r="C10" s="10">
        <f>IF(COUNT(AS10,AP10,AM10,AJ10,AG10,AD10,AA10,X10,U10,R10,O10,L10)=0,"",SUM(AS10,AP10,AM10,AJ10,AG10,AD10,AA10,X10,U10,R10,O10,L10))</f>
        <v/>
      </c>
      <c r="D10" s="10">
        <f>IF(COUNT(AT10,AQ10,AN10,AK10,AH10,AE10,AB10,Y10,V10,S10,P10,M10)=0,"",SUM(AT10,AQ10,AN10,AK10,AH10,AE10,AB10,Y10,V10,S10,P10,M10))</f>
        <v/>
      </c>
      <c r="E10" s="11">
        <f>IF(COUNT(CB10,BY10,BV10,BS10,BP10,BM10,BJ10,BG10,BD10,BA10,AX10,AU10)=0,"",SUM(CB10,BY10,BV10,BS10,BP10,BM10,BJ10,BG10,BD10,BA10,AX10,AU10))</f>
        <v/>
      </c>
      <c r="F10" s="11">
        <f>IF(COUNT(CC10,BZ10,BW10,BT10,BQ10,BN10,BK10,BH10,BE10,BB10,AY10,AV10)=0,"",SUM(CC10,BZ10,BW10,BT10,BQ10,BN10,BK10,BH10,BE10,BB10,AY10,AV10))</f>
        <v/>
      </c>
      <c r="G10" s="11">
        <f>IF(COUNT(CD10,CA10,BX10,BU10,BR10,BO10,BL10,BI10,BF10,BC10,AZ10,AW10)=0,"",SUM(CD10,CA10,BX10,BU10,BR10,BO10,BL10,BI10,BF10,BC10,AZ10,AW10))</f>
        <v/>
      </c>
      <c r="H10" s="10">
        <f>IF(COUNT(DL10,DI10,DF10,DC10,CZ10,CW10,CT10,CQ10,CN10,CK10,CH10,CE10)=0,"",SUM(DL10,DI10,DF10,DC10,CZ10,CW10,CT10,CQ10,CN10,CK10,CH10,CE10))</f>
        <v/>
      </c>
      <c r="I10" s="10">
        <f>IF(COUNT(DM10,DJ10,DG10,DD10,DA10,CX10,CU10,CR10,CO10,CL10,CI10,CF10)=0,"",SUM(DM10,DJ10,DG10,DD10,DA10,CX10,CU10,CR10,CO10,CL10,CI10,CF10))</f>
        <v/>
      </c>
      <c r="J10" s="10">
        <f>IF(COUNT(DN10,DK10,DH10,DE10,DB10,CY10,CV10,CS10,CP10,CM10,CJ10,CG10)=0,"",SUM(DN10,DK10,DH10,DE10,DB10,CY10,CV10,CS10,CP10,CM10,CJ10,CG10))</f>
        <v/>
      </c>
      <c r="K10" s="11">
        <f>IF(COUNT(K5,K7)=2,K5-K7-K8-K9,"")</f>
        <v/>
      </c>
      <c r="L10" s="11">
        <f>L5-L7-L8-L9</f>
        <v/>
      </c>
      <c r="M10" s="11">
        <f>M5-M7-M8-M9</f>
        <v/>
      </c>
      <c r="N10" s="10">
        <f>IF(COUNT(N5,N7)=2,N5-N7-N8-N9,"")</f>
        <v/>
      </c>
      <c r="O10" s="10">
        <f>O5-O7-O8-O9</f>
        <v/>
      </c>
      <c r="P10" s="10">
        <f>P5-P7-P8-P9</f>
        <v/>
      </c>
      <c r="Q10" s="11">
        <f>IF(COUNT(Q5,Q7)=2,Q5-Q7-Q8-Q9,"")</f>
        <v/>
      </c>
      <c r="R10" s="11">
        <f>R5-R7-R8-R9</f>
        <v/>
      </c>
      <c r="S10" s="11">
        <f>S5-S7-S8-S9</f>
        <v/>
      </c>
      <c r="T10" s="10">
        <f>IF(COUNT(T5,T7)=2,T5-T7-T8-T9,"")</f>
        <v/>
      </c>
      <c r="U10" s="10">
        <f>U5-U7-U8-U9</f>
        <v/>
      </c>
      <c r="V10" s="10">
        <f>V5-V7-V8-V9</f>
        <v/>
      </c>
      <c r="W10" s="11">
        <f>IF(COUNT(W5,W7)=2,W5-W7-W8-W9,"")</f>
        <v/>
      </c>
      <c r="X10" s="11">
        <f>X5-X7-X8-X9</f>
        <v/>
      </c>
      <c r="Y10" s="11">
        <f>Y5-Y7-Y8-Y9</f>
        <v/>
      </c>
      <c r="Z10" s="10">
        <f>IF(COUNT(Z5,Z7)=2,Z5-Z7-Z8-Z9,"")</f>
        <v/>
      </c>
      <c r="AA10" s="10">
        <f>AA5-AA7-AA8-AA9</f>
        <v/>
      </c>
      <c r="AB10" s="10">
        <f>AB5-AB7-AB8-AB9</f>
        <v/>
      </c>
      <c r="AC10" s="11">
        <f>IF(COUNT(AC5,AC7)=2,AC5-AC7-AC8-AC9,"")</f>
        <v/>
      </c>
      <c r="AD10" s="11">
        <f>AD5-AD7-AD8-AD9</f>
        <v/>
      </c>
      <c r="AE10" s="11">
        <f>AE5-AE7-AE8-AE9</f>
        <v/>
      </c>
      <c r="AF10" s="10">
        <f>IF(COUNT(AF5,AF7)=2,AF5-AF7-AF8-AF9,"")</f>
        <v/>
      </c>
      <c r="AG10" s="10">
        <f>AG5-AG7-AG8-AG9</f>
        <v/>
      </c>
      <c r="AH10" s="10">
        <f>AH5-AH7-AH8-AH9</f>
        <v/>
      </c>
      <c r="AI10" s="11">
        <f>IF(COUNT(AI5,AI7)=2,AI5-AI7-AI8-AI9,"")</f>
        <v/>
      </c>
      <c r="AJ10" s="11">
        <f>AJ5-AJ7-AJ8-AJ9</f>
        <v/>
      </c>
      <c r="AK10" s="11">
        <f>AK5-AK7-AK8-AK9</f>
        <v/>
      </c>
      <c r="AL10" s="10">
        <f>IF(COUNT(AL5,AL7)=2,AL5-AL7-AL8-AL9,"")</f>
        <v/>
      </c>
      <c r="AM10" s="10">
        <f>AM5-AM7-AM8-AM9</f>
        <v/>
      </c>
      <c r="AN10" s="10">
        <f>AN5-AN7-AN8-AN9</f>
        <v/>
      </c>
      <c r="AO10" s="11">
        <f>IF(COUNT(AO5,AO7)=2,AO5-AO7-AO8-AO9,"")</f>
        <v/>
      </c>
      <c r="AP10" s="11">
        <f>AP5-AP7-AP8-AP9</f>
        <v/>
      </c>
      <c r="AQ10" s="11">
        <f>AQ5-AQ7-AQ8-AQ9</f>
        <v/>
      </c>
      <c r="AR10" s="10">
        <f>IF(COUNT(AR5,AR7)=2,AR5-AR7-AR8-AR9,"")</f>
        <v/>
      </c>
      <c r="AS10" s="10">
        <f>AS5-AS7-AS8-AS9</f>
        <v/>
      </c>
      <c r="AT10" s="10">
        <f>AT5-AT7-AT8-AT9</f>
        <v/>
      </c>
      <c r="AU10" s="11">
        <f>IF(COUNT(AU5,AU7)=2,AU5-AU7-AU8-AU9,"")</f>
        <v/>
      </c>
      <c r="AV10" s="11">
        <f>AV5-AV7-AV8-AV9</f>
        <v/>
      </c>
      <c r="AW10" s="11">
        <f>AW5-AW7-AW8-AW9</f>
        <v/>
      </c>
      <c r="AX10" s="10">
        <f>IF(COUNT(AX5,AX7)=2,AX5-AX7-AX8-AX9,"")</f>
        <v/>
      </c>
      <c r="AY10" s="10">
        <f>AY5-AY7-AY8-AY9</f>
        <v/>
      </c>
      <c r="AZ10" s="10">
        <f>AZ5-AZ7-AZ8-AZ9</f>
        <v/>
      </c>
      <c r="BA10" s="11">
        <f>IF(COUNT(BA5,BA7)=2,BA5-BA7-BA8-BA9,"")</f>
        <v/>
      </c>
      <c r="BB10" s="11">
        <f>BB5-BB7-BB8-BB9</f>
        <v/>
      </c>
      <c r="BC10" s="11">
        <f>BC5-BC7-BC8-BC9</f>
        <v/>
      </c>
      <c r="BD10" s="10">
        <f>IF(COUNT(BD5,BD7)=2,BD5-BD7-BD8-BD9,"")</f>
        <v/>
      </c>
      <c r="BE10" s="10">
        <f>BE5-BE7-BE8-BE9</f>
        <v/>
      </c>
      <c r="BF10" s="10">
        <f>BF5-BF7-BF8-BF9</f>
        <v/>
      </c>
      <c r="BG10" s="11">
        <f>IF(COUNT(BG5,BG7)=2,BG5-BG7-BG8-BG9,"")</f>
        <v/>
      </c>
      <c r="BH10" s="11">
        <f>BH5-BH7-BH8-BH9</f>
        <v/>
      </c>
      <c r="BI10" s="11">
        <f>BI5-BI7-BI8-BI9</f>
        <v/>
      </c>
      <c r="BJ10" s="10">
        <f>IF(COUNT(BJ5,BJ7)=2,BJ5-BJ7-BJ8-BJ9,"")</f>
        <v/>
      </c>
      <c r="BK10" s="10">
        <f>BK5-BK7-BK8-BK9</f>
        <v/>
      </c>
      <c r="BL10" s="10">
        <f>BL5-BL7-BL8-BL9</f>
        <v/>
      </c>
      <c r="BM10" s="11">
        <f>IF(COUNT(BM5,BM7)=2,BM5-BM7-BM8-BM9,"")</f>
        <v/>
      </c>
      <c r="BN10" s="11">
        <f>BN5-BN7-BN8-BN9</f>
        <v/>
      </c>
      <c r="BO10" s="11">
        <f>BO5-BO7-BO8-BO9</f>
        <v/>
      </c>
      <c r="BP10" s="10">
        <f>IF(COUNT(BP5,BP7)=2,BP5-BP7-BP8-BP9,"")</f>
        <v/>
      </c>
      <c r="BQ10" s="10">
        <f>BQ5-BQ7-BQ8-BQ9</f>
        <v/>
      </c>
      <c r="BR10" s="10">
        <f>BR5-BR7-BR8-BR9</f>
        <v/>
      </c>
      <c r="BS10" s="11">
        <f>IF(COUNT(BS5,BS7)=2,BS5-BS7-BS8-BS9,"")</f>
        <v/>
      </c>
      <c r="BT10" s="11">
        <f>BT5-BT7-BT8-BT9</f>
        <v/>
      </c>
      <c r="BU10" s="11">
        <f>BU5-BU7-BU8-BU9</f>
        <v/>
      </c>
      <c r="BV10" s="10">
        <f>IF(COUNT(BV5,BV7)=2,BV5-BV7-BV8-BV9,"")</f>
        <v/>
      </c>
      <c r="BW10" s="10">
        <f>BW5-BW7-BW8-BW9</f>
        <v/>
      </c>
      <c r="BX10" s="10">
        <f>BX5-BX7-BX8-BX9</f>
        <v/>
      </c>
      <c r="BY10" s="11">
        <f>IF(COUNT(BY5,BY7)=2,BY5-BY7-BY8-BY9,"")</f>
        <v/>
      </c>
      <c r="BZ10" s="11">
        <f>BZ5-BZ7-BZ8-BZ9</f>
        <v/>
      </c>
      <c r="CA10" s="11">
        <f>CA5-CA7-CA8-CA9</f>
        <v/>
      </c>
      <c r="CB10" s="10">
        <f>IF(COUNT(CB5,CB7)=2,CB5-CB7-CB8-CB9,"")</f>
        <v/>
      </c>
      <c r="CC10" s="10">
        <f>CC5-CC7-CC8-CC9</f>
        <v/>
      </c>
      <c r="CD10" s="10">
        <f>CD5-CD7-CD8-CD9</f>
        <v/>
      </c>
      <c r="CE10" s="11">
        <f>IF(COUNT(CE5,CE7)=2,CE5-CE7-CE8-CE9,"")</f>
        <v/>
      </c>
      <c r="CF10" s="11">
        <f>CF5-CF7-CF8-CF9</f>
        <v/>
      </c>
      <c r="CG10" s="11">
        <f>CG5-CG7-CG8-CG9</f>
        <v/>
      </c>
      <c r="CH10" s="10">
        <f>IF(COUNT(CH5,CH7)=2,CH5-CH7-CH8-CH9,"")</f>
        <v/>
      </c>
      <c r="CI10" s="10">
        <f>CI5-CI7-CI8-CI9</f>
        <v/>
      </c>
      <c r="CJ10" s="10">
        <f>CJ5-CJ7-CJ8-CJ9</f>
        <v/>
      </c>
      <c r="CK10" s="11">
        <f>IF(COUNT(CK5,CK7)=2,CK5-CK7-CK8-CK9,"")</f>
        <v/>
      </c>
      <c r="CL10" s="11">
        <f>CL5-CL7-CL8-CL9</f>
        <v/>
      </c>
      <c r="CM10" s="11">
        <f>CM5-CM7-CM8-CM9</f>
        <v/>
      </c>
      <c r="CN10" s="10">
        <f>IF(COUNT(CN5,CN7)=2,CN5-CN7-CN8-CN9,"")</f>
        <v/>
      </c>
      <c r="CO10" s="10">
        <f>CO5-CO7-CO8-CO9</f>
        <v/>
      </c>
      <c r="CP10" s="10">
        <f>CP5-CP7-CP8-CP9</f>
        <v/>
      </c>
      <c r="CQ10" s="11">
        <f>IF(COUNT(CQ5,CQ7)=2,CQ5-CQ7-CQ8-CQ9,"")</f>
        <v/>
      </c>
      <c r="CR10" s="11">
        <f>CR5-CR7-CR8-CR9</f>
        <v/>
      </c>
      <c r="CS10" s="11">
        <f>CS5-CS7-CS8-CS9</f>
        <v/>
      </c>
      <c r="CT10" s="10">
        <f>IF(COUNT(CT5,CT7)=2,CT5-CT7-CT8-CT9,"")</f>
        <v/>
      </c>
      <c r="CU10" s="10">
        <f>CU5-CU7-CU8-CU9</f>
        <v/>
      </c>
      <c r="CV10" s="10">
        <f>CV5-CV7-CV8-CV9</f>
        <v/>
      </c>
      <c r="CW10" s="11">
        <f>IF(COUNT(CW5,CW7)=2,CW5-CW7-CW8-CW9,"")</f>
        <v/>
      </c>
      <c r="CX10" s="11">
        <f>CX5-CX7-CX8-CX9</f>
        <v/>
      </c>
      <c r="CY10" s="11">
        <f>CY5-CY7-CY8-CY9</f>
        <v/>
      </c>
      <c r="CZ10" s="10">
        <f>IF(COUNT(CZ5,CZ7)=2,CZ5-CZ7-CZ8-CZ9,"")</f>
        <v/>
      </c>
      <c r="DA10" s="10">
        <f>DA5-DA7-DA8-DA9</f>
        <v/>
      </c>
      <c r="DB10" s="10">
        <f>DB5-DB7-DB8-DB9</f>
        <v/>
      </c>
      <c r="DC10" s="11">
        <f>IF(COUNT(DC5,DC7)=2,DC5-DC7-DC8-DC9,"")</f>
        <v/>
      </c>
      <c r="DD10" s="11">
        <f>DD5-DD7-DD8-DD9</f>
        <v/>
      </c>
      <c r="DE10" s="11">
        <f>DE5-DE7-DE8-DE9</f>
        <v/>
      </c>
      <c r="DF10" s="10">
        <f>IF(COUNT(DF5,DF7)=2,DF5-DF7-DF8-DF9,"")</f>
        <v/>
      </c>
      <c r="DG10" s="10">
        <f>DG5-DG7-DG8-DG9</f>
        <v/>
      </c>
      <c r="DH10" s="10">
        <f>DH5-DH7-DH8-DH9</f>
        <v/>
      </c>
      <c r="DI10" s="11">
        <f>IF(COUNT(DI5,DI7)=2,DI5-DI7-DI8-DI9,"")</f>
        <v/>
      </c>
      <c r="DJ10" s="11">
        <f>DJ5-DJ7-DJ8-DJ9</f>
        <v/>
      </c>
      <c r="DK10" s="11">
        <f>DK5-DK7-DK8-DK9</f>
        <v/>
      </c>
      <c r="DL10" s="10">
        <f>IF(COUNT(DL5,DL7)=2,DL5-DL7-DL8-DL9,"")</f>
        <v/>
      </c>
      <c r="DM10" s="10">
        <f>DM5-DM7-DM8-DM9</f>
        <v/>
      </c>
      <c r="DN10" s="10">
        <f>DN5-DN7-DN8-DN9</f>
        <v/>
      </c>
    </row>
    <row r="11">
      <c r="A11" s="2" t="inlineStr">
        <is>
          <t>Closing Cash</t>
        </is>
      </c>
      <c r="B11" s="10">
        <f>IF(K11&lt;&gt;"",K11,IF(N11&lt;&gt;"",N11,IF(Q11&lt;&gt;"",Q11,IF(T11&lt;&gt;"",T11,IF(W11&lt;&gt;"",W11,IF(Z11&lt;&gt;"",Z11,IF(AC11&lt;&gt;"",AC11,IF(AF11&lt;&gt;"",AF11,IF(AI11&lt;&gt;"",AI11,IF(AL11&lt;&gt;"",AL11,IF(AO11&lt;&gt;"",AO11,IF(AR11&lt;&gt;"",AR11,""))))))))))))</f>
        <v/>
      </c>
      <c r="C11" s="10">
        <f>IF(L11&lt;&gt;"",L11,IF(O11&lt;&gt;"",O11,IF(R11&lt;&gt;"",R11,IF(U11&lt;&gt;"",U11,IF(X11&lt;&gt;"",X11,IF(AA11&lt;&gt;"",AA11,IF(AD11&lt;&gt;"",AD11,IF(AG11&lt;&gt;"",AG11,IF(AJ11&lt;&gt;"",AJ11,IF(AM11&lt;&gt;"",AM11,IF(AP11&lt;&gt;"",AP11,IF(AS11&lt;&gt;"",AS11,""))))))))))))</f>
        <v/>
      </c>
      <c r="D11" s="10">
        <f>IF(M11&lt;&gt;"",M11,IF(P11&lt;&gt;"",P11,IF(S11&lt;&gt;"",S11,IF(V11&lt;&gt;"",V11,IF(Y11&lt;&gt;"",Y11,IF(AB11&lt;&gt;"",AB11,IF(AE11&lt;&gt;"",AE11,IF(AH11&lt;&gt;"",AH11,IF(AK11&lt;&gt;"",AK11,IF(AN11&lt;&gt;"",AN11,IF(AQ11&lt;&gt;"",AQ11,IF(AT11&lt;&gt;"",AT11,""))))))))))))</f>
        <v/>
      </c>
      <c r="E11" s="11">
        <f>IF(AU11&lt;&gt;"",AU11,IF(AX11&lt;&gt;"",AX11,IF(BA11&lt;&gt;"",BA11,IF(BD11&lt;&gt;"",BD11,IF(BG11&lt;&gt;"",BG11,IF(BJ11&lt;&gt;"",BJ11,IF(BM11&lt;&gt;"",BM11,IF(BP11&lt;&gt;"",BP11,IF(BS11&lt;&gt;"",BS11,IF(BV11&lt;&gt;"",BV11,IF(BY11&lt;&gt;"",BY11,IF(CB11&lt;&gt;"",CB11,""))))))))))))</f>
        <v/>
      </c>
      <c r="F11" s="11">
        <f>IF(AV11&lt;&gt;"",AV11,IF(AY11&lt;&gt;"",AY11,IF(BB11&lt;&gt;"",BB11,IF(BE11&lt;&gt;"",BE11,IF(BH11&lt;&gt;"",BH11,IF(BK11&lt;&gt;"",BK11,IF(BN11&lt;&gt;"",BN11,IF(BQ11&lt;&gt;"",BQ11,IF(BT11&lt;&gt;"",BT11,IF(BW11&lt;&gt;"",BW11,IF(BZ11&lt;&gt;"",BZ11,IF(CC11&lt;&gt;"",CC11,""))))))))))))</f>
        <v/>
      </c>
      <c r="G11" s="11">
        <f>IF(AW11&lt;&gt;"",AW11,IF(AZ11&lt;&gt;"",AZ11,IF(BC11&lt;&gt;"",BC11,IF(BF11&lt;&gt;"",BF11,IF(BI11&lt;&gt;"",BI11,IF(BL11&lt;&gt;"",BL11,IF(BO11&lt;&gt;"",BO11,IF(BR11&lt;&gt;"",BR11,IF(BU11&lt;&gt;"",BU11,IF(BX11&lt;&gt;"",BX11,IF(CA11&lt;&gt;"",CA11,IF(CD11&lt;&gt;"",CD11,""))))))))))))</f>
        <v/>
      </c>
      <c r="H11" s="10">
        <f>IF(CE11&lt;&gt;"",CE11,IF(CH11&lt;&gt;"",CH11,IF(CK11&lt;&gt;"",CK11,IF(CN11&lt;&gt;"",CN11,IF(CQ11&lt;&gt;"",CQ11,IF(CT11&lt;&gt;"",CT11,IF(CW11&lt;&gt;"",CW11,IF(CZ11&lt;&gt;"",CZ11,IF(DC11&lt;&gt;"",DC11,IF(DF11&lt;&gt;"",DF11,IF(DI11&lt;&gt;"",DI11,IF(DL11&lt;&gt;"",DL11,""))))))))))))</f>
        <v/>
      </c>
      <c r="I11" s="10">
        <f>IF(CF11&lt;&gt;"",CF11,IF(CI11&lt;&gt;"",CI11,IF(CL11&lt;&gt;"",CL11,IF(CO11&lt;&gt;"",CO11,IF(CR11&lt;&gt;"",CR11,IF(CU11&lt;&gt;"",CU11,IF(CX11&lt;&gt;"",CX11,IF(DA11&lt;&gt;"",DA11,IF(DD11&lt;&gt;"",DD11,IF(DG11&lt;&gt;"",DG11,IF(DJ11&lt;&gt;"",DJ11,IF(DM11&lt;&gt;"",DM11,""))))))))))))</f>
        <v/>
      </c>
      <c r="J11" s="10">
        <f>IF(CG11&lt;&gt;"",CG11,IF(CJ11&lt;&gt;"",CJ11,IF(CM11&lt;&gt;"",CM11,IF(CP11&lt;&gt;"",CP11,IF(CS11&lt;&gt;"",CS11,IF(CV11&lt;&gt;"",CV11,IF(CY11&lt;&gt;"",CY11,IF(DB11&lt;&gt;"",DB11,IF(DE11&lt;&gt;"",DE11,IF(DH11&lt;&gt;"",DH11,IF(DK11&lt;&gt;"",DK11,IF(DN11&lt;&gt;"",DN11,""))))))))))))</f>
        <v/>
      </c>
      <c r="K11" s="11">
        <f>IF(COUNT(K6,K10)=2,K6+K10,"")</f>
        <v/>
      </c>
      <c r="L11" s="11">
        <f>L6+L10</f>
        <v/>
      </c>
      <c r="M11" s="11">
        <f>M6+M10</f>
        <v/>
      </c>
      <c r="N11" s="10">
        <f>IF(COUNT(N6,N10)=2,N6+N10,"")</f>
        <v/>
      </c>
      <c r="O11" s="10">
        <f>O6+O10</f>
        <v/>
      </c>
      <c r="P11" s="10">
        <f>P6+P10</f>
        <v/>
      </c>
      <c r="Q11" s="11">
        <f>IF(COUNT(Q6,Q10)=2,Q6+Q10,"")</f>
        <v/>
      </c>
      <c r="R11" s="11">
        <f>R6+R10</f>
        <v/>
      </c>
      <c r="S11" s="11">
        <f>S6+S10</f>
        <v/>
      </c>
      <c r="T11" s="10">
        <f>IF(COUNT(T6,T10)=2,T6+T10,"")</f>
        <v/>
      </c>
      <c r="U11" s="10">
        <f>U6+U10</f>
        <v/>
      </c>
      <c r="V11" s="10">
        <f>V6+V10</f>
        <v/>
      </c>
      <c r="W11" s="11">
        <f>IF(COUNT(W6,W10)=2,W6+W10,"")</f>
        <v/>
      </c>
      <c r="X11" s="11">
        <f>X6+X10</f>
        <v/>
      </c>
      <c r="Y11" s="11">
        <f>Y6+Y10</f>
        <v/>
      </c>
      <c r="Z11" s="10">
        <f>IF(COUNT(Z6,Z10)=2,Z6+Z10,"")</f>
        <v/>
      </c>
      <c r="AA11" s="10">
        <f>AA6+AA10</f>
        <v/>
      </c>
      <c r="AB11" s="10">
        <f>AB6+AB10</f>
        <v/>
      </c>
      <c r="AC11" s="11">
        <f>IF(COUNT(AC6,AC10)=2,AC6+AC10,"")</f>
        <v/>
      </c>
      <c r="AD11" s="11">
        <f>AD6+AD10</f>
        <v/>
      </c>
      <c r="AE11" s="11">
        <f>AE6+AE10</f>
        <v/>
      </c>
      <c r="AF11" s="10">
        <f>IF(COUNT(AF6,AF10)=2,AF6+AF10,"")</f>
        <v/>
      </c>
      <c r="AG11" s="10">
        <f>AG6+AG10</f>
        <v/>
      </c>
      <c r="AH11" s="10">
        <f>AH6+AH10</f>
        <v/>
      </c>
      <c r="AI11" s="11">
        <f>IF(COUNT(AI6,AI10)=2,AI6+AI10,"")</f>
        <v/>
      </c>
      <c r="AJ11" s="11">
        <f>AJ6+AJ10</f>
        <v/>
      </c>
      <c r="AK11" s="11">
        <f>AK6+AK10</f>
        <v/>
      </c>
      <c r="AL11" s="10">
        <f>IF(COUNT(AL6,AL10)=2,AL6+AL10,"")</f>
        <v/>
      </c>
      <c r="AM11" s="10">
        <f>AM6+AM10</f>
        <v/>
      </c>
      <c r="AN11" s="10">
        <f>AN6+AN10</f>
        <v/>
      </c>
      <c r="AO11" s="11">
        <f>IF(COUNT(AO6,AO10)=2,AO6+AO10,"")</f>
        <v/>
      </c>
      <c r="AP11" s="11">
        <f>AP6+AP10</f>
        <v/>
      </c>
      <c r="AQ11" s="11">
        <f>AQ6+AQ10</f>
        <v/>
      </c>
      <c r="AR11" s="10">
        <f>IF(COUNT(AR6,AR10)=2,AR6+AR10,"")</f>
        <v/>
      </c>
      <c r="AS11" s="10">
        <f>AS6+AS10</f>
        <v/>
      </c>
      <c r="AT11" s="10">
        <f>AT6+AT10</f>
        <v/>
      </c>
      <c r="AU11" s="11">
        <f>IF(COUNT(AU6,AU10)=2,AU6+AU10,"")</f>
        <v/>
      </c>
      <c r="AV11" s="11">
        <f>AV6+AV10</f>
        <v/>
      </c>
      <c r="AW11" s="11">
        <f>AW6+AW10</f>
        <v/>
      </c>
      <c r="AX11" s="10">
        <f>IF(COUNT(AX6,AX10)=2,AX6+AX10,"")</f>
        <v/>
      </c>
      <c r="AY11" s="10">
        <f>AY6+AY10</f>
        <v/>
      </c>
      <c r="AZ11" s="10">
        <f>AZ6+AZ10</f>
        <v/>
      </c>
      <c r="BA11" s="11">
        <f>IF(COUNT(BA6,BA10)=2,BA6+BA10,"")</f>
        <v/>
      </c>
      <c r="BB11" s="11">
        <f>BB6+BB10</f>
        <v/>
      </c>
      <c r="BC11" s="11">
        <f>BC6+BC10</f>
        <v/>
      </c>
      <c r="BD11" s="10">
        <f>IF(COUNT(BD6,BD10)=2,BD6+BD10,"")</f>
        <v/>
      </c>
      <c r="BE11" s="10">
        <f>BE6+BE10</f>
        <v/>
      </c>
      <c r="BF11" s="10">
        <f>BF6+BF10</f>
        <v/>
      </c>
      <c r="BG11" s="11">
        <f>IF(COUNT(BG6,BG10)=2,BG6+BG10,"")</f>
        <v/>
      </c>
      <c r="BH11" s="11">
        <f>BH6+BH10</f>
        <v/>
      </c>
      <c r="BI11" s="11">
        <f>BI6+BI10</f>
        <v/>
      </c>
      <c r="BJ11" s="10">
        <f>IF(COUNT(BJ6,BJ10)=2,BJ6+BJ10,"")</f>
        <v/>
      </c>
      <c r="BK11" s="10">
        <f>BK6+BK10</f>
        <v/>
      </c>
      <c r="BL11" s="10">
        <f>BL6+BL10</f>
        <v/>
      </c>
      <c r="BM11" s="11">
        <f>IF(COUNT(BM6,BM10)=2,BM6+BM10,"")</f>
        <v/>
      </c>
      <c r="BN11" s="11">
        <f>BN6+BN10</f>
        <v/>
      </c>
      <c r="BO11" s="11">
        <f>BO6+BO10</f>
        <v/>
      </c>
      <c r="BP11" s="10">
        <f>IF(COUNT(BP6,BP10)=2,BP6+BP10,"")</f>
        <v/>
      </c>
      <c r="BQ11" s="10">
        <f>BQ6+BQ10</f>
        <v/>
      </c>
      <c r="BR11" s="10">
        <f>BR6+BR10</f>
        <v/>
      </c>
      <c r="BS11" s="11">
        <f>IF(COUNT(BS6,BS10)=2,BS6+BS10,"")</f>
        <v/>
      </c>
      <c r="BT11" s="11">
        <f>BT6+BT10</f>
        <v/>
      </c>
      <c r="BU11" s="11">
        <f>BU6+BU10</f>
        <v/>
      </c>
      <c r="BV11" s="10">
        <f>IF(COUNT(BV6,BV10)=2,BV6+BV10,"")</f>
        <v/>
      </c>
      <c r="BW11" s="10">
        <f>BW6+BW10</f>
        <v/>
      </c>
      <c r="BX11" s="10">
        <f>BX6+BX10</f>
        <v/>
      </c>
      <c r="BY11" s="11">
        <f>IF(COUNT(BY6,BY10)=2,BY6+BY10,"")</f>
        <v/>
      </c>
      <c r="BZ11" s="11">
        <f>BZ6+BZ10</f>
        <v/>
      </c>
      <c r="CA11" s="11">
        <f>CA6+CA10</f>
        <v/>
      </c>
      <c r="CB11" s="10">
        <f>IF(COUNT(CB6,CB10)=2,CB6+CB10,"")</f>
        <v/>
      </c>
      <c r="CC11" s="10">
        <f>CC6+CC10</f>
        <v/>
      </c>
      <c r="CD11" s="10">
        <f>CD6+CD10</f>
        <v/>
      </c>
      <c r="CE11" s="11">
        <f>IF(COUNT(CE6,CE10)=2,CE6+CE10,"")</f>
        <v/>
      </c>
      <c r="CF11" s="11">
        <f>CF6+CF10</f>
        <v/>
      </c>
      <c r="CG11" s="11">
        <f>CG6+CG10</f>
        <v/>
      </c>
      <c r="CH11" s="10">
        <f>IF(COUNT(CH6,CH10)=2,CH6+CH10,"")</f>
        <v/>
      </c>
      <c r="CI11" s="10">
        <f>CI6+CI10</f>
        <v/>
      </c>
      <c r="CJ11" s="10">
        <f>CJ6+CJ10</f>
        <v/>
      </c>
      <c r="CK11" s="11">
        <f>IF(COUNT(CK6,CK10)=2,CK6+CK10,"")</f>
        <v/>
      </c>
      <c r="CL11" s="11">
        <f>CL6+CL10</f>
        <v/>
      </c>
      <c r="CM11" s="11">
        <f>CM6+CM10</f>
        <v/>
      </c>
      <c r="CN11" s="10">
        <f>IF(COUNT(CN6,CN10)=2,CN6+CN10,"")</f>
        <v/>
      </c>
      <c r="CO11" s="10">
        <f>CO6+CO10</f>
        <v/>
      </c>
      <c r="CP11" s="10">
        <f>CP6+CP10</f>
        <v/>
      </c>
      <c r="CQ11" s="11">
        <f>IF(COUNT(CQ6,CQ10)=2,CQ6+CQ10,"")</f>
        <v/>
      </c>
      <c r="CR11" s="11">
        <f>CR6+CR10</f>
        <v/>
      </c>
      <c r="CS11" s="11">
        <f>CS6+CS10</f>
        <v/>
      </c>
      <c r="CT11" s="10">
        <f>IF(COUNT(CT6,CT10)=2,CT6+CT10,"")</f>
        <v/>
      </c>
      <c r="CU11" s="10">
        <f>CU6+CU10</f>
        <v/>
      </c>
      <c r="CV11" s="10">
        <f>CV6+CV10</f>
        <v/>
      </c>
      <c r="CW11" s="11">
        <f>IF(COUNT(CW6,CW10)=2,CW6+CW10,"")</f>
        <v/>
      </c>
      <c r="CX11" s="11">
        <f>CX6+CX10</f>
        <v/>
      </c>
      <c r="CY11" s="11">
        <f>CY6+CY10</f>
        <v/>
      </c>
      <c r="CZ11" s="10">
        <f>IF(COUNT(CZ6,CZ10)=2,CZ6+CZ10,"")</f>
        <v/>
      </c>
      <c r="DA11" s="10">
        <f>DA6+DA10</f>
        <v/>
      </c>
      <c r="DB11" s="10">
        <f>DB6+DB10</f>
        <v/>
      </c>
      <c r="DC11" s="11">
        <f>IF(COUNT(DC6,DC10)=2,DC6+DC10,"")</f>
        <v/>
      </c>
      <c r="DD11" s="11">
        <f>DD6+DD10</f>
        <v/>
      </c>
      <c r="DE11" s="11">
        <f>DE6+DE10</f>
        <v/>
      </c>
      <c r="DF11" s="10">
        <f>IF(COUNT(DF6,DF10)=2,DF6+DF10,"")</f>
        <v/>
      </c>
      <c r="DG11" s="10">
        <f>DG6+DG10</f>
        <v/>
      </c>
      <c r="DH11" s="10">
        <f>DH6+DH10</f>
        <v/>
      </c>
      <c r="DI11" s="11">
        <f>IF(COUNT(DI6,DI10)=2,DI6+DI10,"")</f>
        <v/>
      </c>
      <c r="DJ11" s="11">
        <f>DJ6+DJ10</f>
        <v/>
      </c>
      <c r="DK11" s="11">
        <f>DK6+DK10</f>
        <v/>
      </c>
      <c r="DL11" s="10">
        <f>IF(COUNT(DL6,DL10)=2,DL6+DL10,"")</f>
        <v/>
      </c>
      <c r="DM11" s="10">
        <f>DM6+DM10</f>
        <v/>
      </c>
      <c r="DN11" s="10">
        <f>DN6+DN10</f>
        <v/>
      </c>
    </row>
    <row r="12">
      <c r="A12" s="2" t="inlineStr">
        <is>
          <t>Reserve in Months</t>
        </is>
      </c>
      <c r="B12" s="56">
        <f>IF(K12&lt;&gt;"",K12,IF(N12&lt;&gt;"",N12,IF(Q12&lt;&gt;"",Q12,IF(T12&lt;&gt;"",T12,IF(W12&lt;&gt;"",W12,IF(Z12&lt;&gt;"",Z12,IF(AC12&lt;&gt;"",AC12,IF(AF12&lt;&gt;"",AF12,IF(AI12&lt;&gt;"",AI12,IF(AL12&lt;&gt;"",AL12,IF(AO12&lt;&gt;"",AO12,IF(AR12&lt;&gt;"",AR12,""))))))))))))</f>
        <v/>
      </c>
      <c r="C12" s="56">
        <f>IF(L12&lt;&gt;"",L12,IF(O12&lt;&gt;"",O12,IF(R12&lt;&gt;"",R12,IF(U12&lt;&gt;"",U12,IF(X12&lt;&gt;"",X12,IF(AA12&lt;&gt;"",AA12,IF(AD12&lt;&gt;"",AD12,IF(AG12&lt;&gt;"",AG12,IF(AJ12&lt;&gt;"",AJ12,IF(AM12&lt;&gt;"",AM12,IF(AP12&lt;&gt;"",AP12,IF(AS12&lt;&gt;"",AS12,""))))))))))))</f>
        <v/>
      </c>
      <c r="D12" s="56">
        <f>IF(M12&lt;&gt;"",M12,IF(P12&lt;&gt;"",P12,IF(S12&lt;&gt;"",S12,IF(V12&lt;&gt;"",V12,IF(Y12&lt;&gt;"",Y12,IF(AB12&lt;&gt;"",AB12,IF(AE12&lt;&gt;"",AE12,IF(AH12&lt;&gt;"",AH12,IF(AK12&lt;&gt;"",AK12,IF(AN12&lt;&gt;"",AN12,IF(AQ12&lt;&gt;"",AQ12,IF(AT12&lt;&gt;"",AT12,""))))))))))))</f>
        <v/>
      </c>
      <c r="E12" s="27">
        <f>IF(AU12&lt;&gt;"",AU12,IF(AX12&lt;&gt;"",AX12,IF(BA12&lt;&gt;"",BA12,IF(BD12&lt;&gt;"",BD12,IF(BG12&lt;&gt;"",BG12,IF(BJ12&lt;&gt;"",BJ12,IF(BM12&lt;&gt;"",BM12,IF(BP12&lt;&gt;"",BP12,IF(BS12&lt;&gt;"",BS12,IF(BV12&lt;&gt;"",BV12,IF(BY12&lt;&gt;"",BY12,IF(CB12&lt;&gt;"",CB12,""))))))))))))</f>
        <v/>
      </c>
      <c r="F12" s="27">
        <f>IF(AV12&lt;&gt;"",AV12,IF(AY12&lt;&gt;"",AY12,IF(BB12&lt;&gt;"",BB12,IF(BE12&lt;&gt;"",BE12,IF(BH12&lt;&gt;"",BH12,IF(BK12&lt;&gt;"",BK12,IF(BN12&lt;&gt;"",BN12,IF(BQ12&lt;&gt;"",BQ12,IF(BT12&lt;&gt;"",BT12,IF(BW12&lt;&gt;"",BW12,IF(BZ12&lt;&gt;"",BZ12,IF(CC12&lt;&gt;"",CC12,""))))))))))))</f>
        <v/>
      </c>
      <c r="G12" s="27">
        <f>IF(AW12&lt;&gt;"",AW12,IF(AZ12&lt;&gt;"",AZ12,IF(BC12&lt;&gt;"",BC12,IF(BF12&lt;&gt;"",BF12,IF(BI12&lt;&gt;"",BI12,IF(BL12&lt;&gt;"",BL12,IF(BO12&lt;&gt;"",BO12,IF(BR12&lt;&gt;"",BR12,IF(BU12&lt;&gt;"",BU12,IF(BX12&lt;&gt;"",BX12,IF(CA12&lt;&gt;"",CA12,IF(CD12&lt;&gt;"",CD12,""))))))))))))</f>
        <v/>
      </c>
      <c r="H12" s="56">
        <f>IF(CE12&lt;&gt;"",CE12,IF(CH12&lt;&gt;"",CH12,IF(CK12&lt;&gt;"",CK12,IF(CN12&lt;&gt;"",CN12,IF(CQ12&lt;&gt;"",CQ12,IF(CT12&lt;&gt;"",CT12,IF(CW12&lt;&gt;"",CW12,IF(CZ12&lt;&gt;"",CZ12,IF(DC12&lt;&gt;"",DC12,IF(DF12&lt;&gt;"",DF12,IF(DI12&lt;&gt;"",DI12,IF(DL12&lt;&gt;"",DL12,""))))))))))))</f>
        <v/>
      </c>
      <c r="I12" s="56">
        <f>IF(CF12&lt;&gt;"",CF12,IF(CI12&lt;&gt;"",CI12,IF(CL12&lt;&gt;"",CL12,IF(CO12&lt;&gt;"",CO12,IF(CR12&lt;&gt;"",CR12,IF(CU12&lt;&gt;"",CU12,IF(CX12&lt;&gt;"",CX12,IF(DA12&lt;&gt;"",DA12,IF(DD12&lt;&gt;"",DD12,IF(DG12&lt;&gt;"",DG12,IF(DJ12&lt;&gt;"",DJ12,IF(DM12&lt;&gt;"",DM12,""))))))))))))</f>
        <v/>
      </c>
      <c r="J12" s="56">
        <f>IF(CG12&lt;&gt;"",CG12,IF(CJ12&lt;&gt;"",CJ12,IF(CM12&lt;&gt;"",CM12,IF(CP12&lt;&gt;"",CP12,IF(CS12&lt;&gt;"",CS12,IF(CV12&lt;&gt;"",CV12,IF(CY12&lt;&gt;"",CY12,IF(DB12&lt;&gt;"",DB12,IF(DE12&lt;&gt;"",DE12,IF(DH12&lt;&gt;"",DH12,IF(DK12&lt;&gt;"",DK12,IF(DN12&lt;&gt;"",DN12,""))))))))))))</f>
        <v/>
      </c>
      <c r="K12" s="27">
        <f>IF(COUNT(K11,K7)=2,IF(N(K7+K8)=0,"",K11/(K7+K8)),"")</f>
        <v/>
      </c>
      <c r="L12" s="27">
        <f>IF(N(L7+L8)=0,"",L11/(L7+L8))</f>
        <v/>
      </c>
      <c r="M12" s="27">
        <f>IF(N(M7+M8)=0,"",M11/(M7+M8))</f>
        <v/>
      </c>
      <c r="N12" s="56">
        <f>IF(COUNT(N11,N7)=2,IF(N(N7+N8)=0,"",N11/(N7+N8)),"")</f>
        <v/>
      </c>
      <c r="O12" s="56">
        <f>IF(N(O7+O8)=0,"",O11/(O7+O8))</f>
        <v/>
      </c>
      <c r="P12" s="56">
        <f>IF(N(P7+P8)=0,"",P11/(P7+P8))</f>
        <v/>
      </c>
      <c r="Q12" s="27">
        <f>IF(COUNT(Q11,Q7)=2,IF(N(Q7+Q8)=0,"",Q11/(Q7+Q8)),"")</f>
        <v/>
      </c>
      <c r="R12" s="27">
        <f>IF(N(R7+R8)=0,"",R11/(R7+R8))</f>
        <v/>
      </c>
      <c r="S12" s="27">
        <f>IF(N(S7+S8)=0,"",S11/(S7+S8))</f>
        <v/>
      </c>
      <c r="T12" s="56">
        <f>IF(COUNT(T11,T7)=2,IF(N(T7+T8)=0,"",T11/(T7+T8)),"")</f>
        <v/>
      </c>
      <c r="U12" s="56">
        <f>IF(N(U7+U8)=0,"",U11/(U7+U8))</f>
        <v/>
      </c>
      <c r="V12" s="56">
        <f>IF(N(V7+V8)=0,"",V11/(V7+V8))</f>
        <v/>
      </c>
      <c r="W12" s="27">
        <f>IF(COUNT(W11,W7)=2,IF(N(W7+W8)=0,"",W11/(W7+W8)),"")</f>
        <v/>
      </c>
      <c r="X12" s="27">
        <f>IF(N(X7+X8)=0,"",X11/(X7+X8))</f>
        <v/>
      </c>
      <c r="Y12" s="27">
        <f>IF(N(Y7+Y8)=0,"",Y11/(Y7+Y8))</f>
        <v/>
      </c>
      <c r="Z12" s="56">
        <f>IF(COUNT(Z11,Z7)=2,IF(N(Z7+Z8)=0,"",Z11/(Z7+Z8)),"")</f>
        <v/>
      </c>
      <c r="AA12" s="56">
        <f>IF(N(AA7+AA8)=0,"",AA11/(AA7+AA8))</f>
        <v/>
      </c>
      <c r="AB12" s="56">
        <f>IF(N(AB7+AB8)=0,"",AB11/(AB7+AB8))</f>
        <v/>
      </c>
      <c r="AC12" s="27">
        <f>IF(COUNT(AC11,AC7)=2,IF(N(AC7+AC8)=0,"",AC11/(AC7+AC8)),"")</f>
        <v/>
      </c>
      <c r="AD12" s="27">
        <f>IF(N(AD7+AD8)=0,"",AD11/(AD7+AD8))</f>
        <v/>
      </c>
      <c r="AE12" s="27">
        <f>IF(N(AE7+AE8)=0,"",AE11/(AE7+AE8))</f>
        <v/>
      </c>
      <c r="AF12" s="56">
        <f>IF(COUNT(AF11,AF7)=2,IF(N(AF7+AF8)=0,"",AF11/(AF7+AF8)),"")</f>
        <v/>
      </c>
      <c r="AG12" s="56">
        <f>IF(N(AG7+AG8)=0,"",AG11/(AG7+AG8))</f>
        <v/>
      </c>
      <c r="AH12" s="56">
        <f>IF(N(AH7+AH8)=0,"",AH11/(AH7+AH8))</f>
        <v/>
      </c>
      <c r="AI12" s="27">
        <f>IF(COUNT(AI11,AI7)=2,IF(N(AI7+AI8)=0,"",AI11/(AI7+AI8)),"")</f>
        <v/>
      </c>
      <c r="AJ12" s="27">
        <f>IF(N(AJ7+AJ8)=0,"",AJ11/(AJ7+AJ8))</f>
        <v/>
      </c>
      <c r="AK12" s="27">
        <f>IF(N(AK7+AK8)=0,"",AK11/(AK7+AK8))</f>
        <v/>
      </c>
      <c r="AL12" s="56">
        <f>IF(COUNT(AL11,AL7)=2,IF(N(AL7+AL8)=0,"",AL11/(AL7+AL8)),"")</f>
        <v/>
      </c>
      <c r="AM12" s="56">
        <f>IF(N(AM7+AM8)=0,"",AM11/(AM7+AM8))</f>
        <v/>
      </c>
      <c r="AN12" s="56">
        <f>IF(N(AN7+AN8)=0,"",AN11/(AN7+AN8))</f>
        <v/>
      </c>
      <c r="AO12" s="27">
        <f>IF(COUNT(AO11,AO7)=2,IF(N(AO7+AO8)=0,"",AO11/(AO7+AO8)),"")</f>
        <v/>
      </c>
      <c r="AP12" s="27">
        <f>IF(N(AP7+AP8)=0,"",AP11/(AP7+AP8))</f>
        <v/>
      </c>
      <c r="AQ12" s="27">
        <f>IF(N(AQ7+AQ8)=0,"",AQ11/(AQ7+AQ8))</f>
        <v/>
      </c>
      <c r="AR12" s="56">
        <f>IF(COUNT(AR11,AR7)=2,IF(N(AR7+AR8)=0,"",AR11/(AR7+AR8)),"")</f>
        <v/>
      </c>
      <c r="AS12" s="56">
        <f>IF(N(AS7+AS8)=0,"",AS11/(AS7+AS8))</f>
        <v/>
      </c>
      <c r="AT12" s="56">
        <f>IF(N(AT7+AT8)=0,"",AT11/(AT7+AT8))</f>
        <v/>
      </c>
      <c r="AU12" s="27">
        <f>IF(COUNT(AU11,AU7)=2,IF(N(AU7+AU8)=0,"",AU11/(AU7+AU8)),"")</f>
        <v/>
      </c>
      <c r="AV12" s="27">
        <f>IF(N(AV7+AV8)=0,"",AV11/(AV7+AV8))</f>
        <v/>
      </c>
      <c r="AW12" s="27">
        <f>IF(N(AW7+AW8)=0,"",AW11/(AW7+AW8))</f>
        <v/>
      </c>
      <c r="AX12" s="56">
        <f>IF(COUNT(AX11,AX7)=2,IF(N(AX7+AX8)=0,"",AX11/(AX7+AX8)),"")</f>
        <v/>
      </c>
      <c r="AY12" s="56">
        <f>IF(N(AY7+AY8)=0,"",AY11/(AY7+AY8))</f>
        <v/>
      </c>
      <c r="AZ12" s="56">
        <f>IF(N(AZ7+AZ8)=0,"",AZ11/(AZ7+AZ8))</f>
        <v/>
      </c>
      <c r="BA12" s="27">
        <f>IF(COUNT(BA11,BA7)=2,IF(N(BA7+BA8)=0,"",BA11/(BA7+BA8)),"")</f>
        <v/>
      </c>
      <c r="BB12" s="27">
        <f>IF(N(BB7+BB8)=0,"",BB11/(BB7+BB8))</f>
        <v/>
      </c>
      <c r="BC12" s="27">
        <f>IF(N(BC7+BC8)=0,"",BC11/(BC7+BC8))</f>
        <v/>
      </c>
      <c r="BD12" s="56">
        <f>IF(COUNT(BD11,BD7)=2,IF(N(BD7+BD8)=0,"",BD11/(BD7+BD8)),"")</f>
        <v/>
      </c>
      <c r="BE12" s="56">
        <f>IF(N(BE7+BE8)=0,"",BE11/(BE7+BE8))</f>
        <v/>
      </c>
      <c r="BF12" s="56">
        <f>IF(N(BF7+BF8)=0,"",BF11/(BF7+BF8))</f>
        <v/>
      </c>
      <c r="BG12" s="27">
        <f>IF(COUNT(BG11,BG7)=2,IF(N(BG7+BG8)=0,"",BG11/(BG7+BG8)),"")</f>
        <v/>
      </c>
      <c r="BH12" s="27">
        <f>IF(N(BH7+BH8)=0,"",BH11/(BH7+BH8))</f>
        <v/>
      </c>
      <c r="BI12" s="27">
        <f>IF(N(BI7+BI8)=0,"",BI11/(BI7+BI8))</f>
        <v/>
      </c>
      <c r="BJ12" s="56">
        <f>IF(COUNT(BJ11,BJ7)=2,IF(N(BJ7+BJ8)=0,"",BJ11/(BJ7+BJ8)),"")</f>
        <v/>
      </c>
      <c r="BK12" s="56">
        <f>IF(N(BK7+BK8)=0,"",BK11/(BK7+BK8))</f>
        <v/>
      </c>
      <c r="BL12" s="56">
        <f>IF(N(BL7+BL8)=0,"",BL11/(BL7+BL8))</f>
        <v/>
      </c>
      <c r="BM12" s="27">
        <f>IF(COUNT(BM11,BM7)=2,IF(N(BM7+BM8)=0,"",BM11/(BM7+BM8)),"")</f>
        <v/>
      </c>
      <c r="BN12" s="27">
        <f>IF(N(BN7+BN8)=0,"",BN11/(BN7+BN8))</f>
        <v/>
      </c>
      <c r="BO12" s="27">
        <f>IF(N(BO7+BO8)=0,"",BO11/(BO7+BO8))</f>
        <v/>
      </c>
      <c r="BP12" s="56">
        <f>IF(COUNT(BP11,BP7)=2,IF(N(BP7+BP8)=0,"",BP11/(BP7+BP8)),"")</f>
        <v/>
      </c>
      <c r="BQ12" s="56">
        <f>IF(N(BQ7+BQ8)=0,"",BQ11/(BQ7+BQ8))</f>
        <v/>
      </c>
      <c r="BR12" s="56">
        <f>IF(N(BR7+BR8)=0,"",BR11/(BR7+BR8))</f>
        <v/>
      </c>
      <c r="BS12" s="27">
        <f>IF(COUNT(BS11,BS7)=2,IF(N(BS7+BS8)=0,"",BS11/(BS7+BS8)),"")</f>
        <v/>
      </c>
      <c r="BT12" s="27">
        <f>IF(N(BT7+BT8)=0,"",BT11/(BT7+BT8))</f>
        <v/>
      </c>
      <c r="BU12" s="27">
        <f>IF(N(BU7+BU8)=0,"",BU11/(BU7+BU8))</f>
        <v/>
      </c>
      <c r="BV12" s="56">
        <f>IF(COUNT(BV11,BV7)=2,IF(N(BV7+BV8)=0,"",BV11/(BV7+BV8)),"")</f>
        <v/>
      </c>
      <c r="BW12" s="56">
        <f>IF(N(BW7+BW8)=0,"",BW11/(BW7+BW8))</f>
        <v/>
      </c>
      <c r="BX12" s="56">
        <f>IF(N(BX7+BX8)=0,"",BX11/(BX7+BX8))</f>
        <v/>
      </c>
      <c r="BY12" s="27">
        <f>IF(COUNT(BY11,BY7)=2,IF(N(BY7+BY8)=0,"",BY11/(BY7+BY8)),"")</f>
        <v/>
      </c>
      <c r="BZ12" s="27">
        <f>IF(N(BZ7+BZ8)=0,"",BZ11/(BZ7+BZ8))</f>
        <v/>
      </c>
      <c r="CA12" s="27">
        <f>IF(N(CA7+CA8)=0,"",CA11/(CA7+CA8))</f>
        <v/>
      </c>
      <c r="CB12" s="56">
        <f>IF(COUNT(CB11,CB7)=2,IF(N(CB7+CB8)=0,"",CB11/(CB7+CB8)),"")</f>
        <v/>
      </c>
      <c r="CC12" s="56">
        <f>IF(N(CC7+CC8)=0,"",CC11/(CC7+CC8))</f>
        <v/>
      </c>
      <c r="CD12" s="56">
        <f>IF(N(CD7+CD8)=0,"",CD11/(CD7+CD8))</f>
        <v/>
      </c>
      <c r="CE12" s="27">
        <f>IF(COUNT(CE11,CE7)=2,IF(N(CE7+CE8)=0,"",CE11/(CE7+CE8)),"")</f>
        <v/>
      </c>
      <c r="CF12" s="27">
        <f>IF(N(CF7+CF8)=0,"",CF11/(CF7+CF8))</f>
        <v/>
      </c>
      <c r="CG12" s="27">
        <f>IF(N(CG7+CG8)=0,"",CG11/(CG7+CG8))</f>
        <v/>
      </c>
      <c r="CH12" s="56">
        <f>IF(COUNT(CH11,CH7)=2,IF(N(CH7+CH8)=0,"",CH11/(CH7+CH8)),"")</f>
        <v/>
      </c>
      <c r="CI12" s="56">
        <f>IF(N(CI7+CI8)=0,"",CI11/(CI7+CI8))</f>
        <v/>
      </c>
      <c r="CJ12" s="56">
        <f>IF(N(CJ7+CJ8)=0,"",CJ11/(CJ7+CJ8))</f>
        <v/>
      </c>
      <c r="CK12" s="27">
        <f>IF(COUNT(CK11,CK7)=2,IF(N(CK7+CK8)=0,"",CK11/(CK7+CK8)),"")</f>
        <v/>
      </c>
      <c r="CL12" s="27">
        <f>IF(N(CL7+CL8)=0,"",CL11/(CL7+CL8))</f>
        <v/>
      </c>
      <c r="CM12" s="27">
        <f>IF(N(CM7+CM8)=0,"",CM11/(CM7+CM8))</f>
        <v/>
      </c>
      <c r="CN12" s="56">
        <f>IF(COUNT(CN11,CN7)=2,IF(N(CN7+CN8)=0,"",CN11/(CN7+CN8)),"")</f>
        <v/>
      </c>
      <c r="CO12" s="56">
        <f>IF(N(CO7+CO8)=0,"",CO11/(CO7+CO8))</f>
        <v/>
      </c>
      <c r="CP12" s="56">
        <f>IF(N(CP7+CP8)=0,"",CP11/(CP7+CP8))</f>
        <v/>
      </c>
      <c r="CQ12" s="27">
        <f>IF(COUNT(CQ11,CQ7)=2,IF(N(CQ7+CQ8)=0,"",CQ11/(CQ7+CQ8)),"")</f>
        <v/>
      </c>
      <c r="CR12" s="27">
        <f>IF(N(CR7+CR8)=0,"",CR11/(CR7+CR8))</f>
        <v/>
      </c>
      <c r="CS12" s="27">
        <f>IF(N(CS7+CS8)=0,"",CS11/(CS7+CS8))</f>
        <v/>
      </c>
      <c r="CT12" s="56">
        <f>IF(COUNT(CT11,CT7)=2,IF(N(CT7+CT8)=0,"",CT11/(CT7+CT8)),"")</f>
        <v/>
      </c>
      <c r="CU12" s="56">
        <f>IF(N(CU7+CU8)=0,"",CU11/(CU7+CU8))</f>
        <v/>
      </c>
      <c r="CV12" s="56">
        <f>IF(N(CV7+CV8)=0,"",CV11/(CV7+CV8))</f>
        <v/>
      </c>
      <c r="CW12" s="27">
        <f>IF(COUNT(CW11,CW7)=2,IF(N(CW7+CW8)=0,"",CW11/(CW7+CW8)),"")</f>
        <v/>
      </c>
      <c r="CX12" s="27">
        <f>IF(N(CX7+CX8)=0,"",CX11/(CX7+CX8))</f>
        <v/>
      </c>
      <c r="CY12" s="27">
        <f>IF(N(CY7+CY8)=0,"",CY11/(CY7+CY8))</f>
        <v/>
      </c>
      <c r="CZ12" s="56">
        <f>IF(COUNT(CZ11,CZ7)=2,IF(N(CZ7+CZ8)=0,"",CZ11/(CZ7+CZ8)),"")</f>
        <v/>
      </c>
      <c r="DA12" s="56">
        <f>IF(N(DA7+DA8)=0,"",DA11/(DA7+DA8))</f>
        <v/>
      </c>
      <c r="DB12" s="56">
        <f>IF(N(DB7+DB8)=0,"",DB11/(DB7+DB8))</f>
        <v/>
      </c>
      <c r="DC12" s="27">
        <f>IF(COUNT(DC11,DC7)=2,IF(N(DC7+DC8)=0,"",DC11/(DC7+DC8)),"")</f>
        <v/>
      </c>
      <c r="DD12" s="27">
        <f>IF(N(DD7+DD8)=0,"",DD11/(DD7+DD8))</f>
        <v/>
      </c>
      <c r="DE12" s="27">
        <f>IF(N(DE7+DE8)=0,"",DE11/(DE7+DE8))</f>
        <v/>
      </c>
      <c r="DF12" s="56">
        <f>IF(COUNT(DF11,DF7)=2,IF(N(DF7+DF8)=0,"",DF11/(DF7+DF8)),"")</f>
        <v/>
      </c>
      <c r="DG12" s="56">
        <f>IF(N(DG7+DG8)=0,"",DG11/(DG7+DG8))</f>
        <v/>
      </c>
      <c r="DH12" s="56">
        <f>IF(N(DH7+DH8)=0,"",DH11/(DH7+DH8))</f>
        <v/>
      </c>
      <c r="DI12" s="27">
        <f>IF(COUNT(DI11,DI7)=2,IF(N(DI7+DI8)=0,"",DI11/(DI7+DI8)),"")</f>
        <v/>
      </c>
      <c r="DJ12" s="27">
        <f>IF(N(DJ7+DJ8)=0,"",DJ11/(DJ7+DJ8))</f>
        <v/>
      </c>
      <c r="DK12" s="27">
        <f>IF(N(DK7+DK8)=0,"",DK11/(DK7+DK8))</f>
        <v/>
      </c>
      <c r="DL12" s="56">
        <f>IF(COUNT(DL11,DL7)=2,IF(N(DL7+DL8)=0,"",DL11/(DL7+DL8)),"")</f>
        <v/>
      </c>
      <c r="DM12" s="56">
        <f>IF(N(DM7+DM8)=0,"",DM11/(DM7+DM8))</f>
        <v/>
      </c>
      <c r="DN12" s="56">
        <f>IF(N(DN7+DN8)=0,"",DN11/(DN7+DN8))</f>
        <v/>
      </c>
    </row>
    <row r="13">
      <c r="A13" s="24" t="inlineStr">
        <is>
          <t>Forecast Accuracy</t>
        </is>
      </c>
      <c r="B13" s="66">
        <f>IF(COUNT(AR13,AO13,AL13,AI13,AF13,AC13,Z13,W13,T13,Q13,N13,K13)=0,"",AVERAGE(AR13,AO13,AL13,AI13,AF13,AC13,Z13,W13,T13,Q13,N13,K13))</f>
        <v/>
      </c>
      <c r="C13" s="66">
        <f>IF(COUNT(AS13,AP13,AM13,AJ13,AG13,AD13,AA13,X13,U13,R13,O13,L13)=0,"",AVERAGE(AS13,AP13,AM13,AJ13,AG13,AD13,AA13,X13,U13,R13,O13,L13))</f>
        <v/>
      </c>
      <c r="D13" s="66" t="n"/>
      <c r="E13" s="67">
        <f>IF(COUNT(CB13,BY13,BV13,BS13,BP13,BM13,BJ13,BG13,BD13,BA13,AX13,AU13)=0,"",AVERAGE(CB13,BY13,BV13,BS13,BP13,BM13,BJ13,BG13,BD13,BA13,AX13,AU13))</f>
        <v/>
      </c>
      <c r="F13" s="67">
        <f>IF(COUNT(CC13,BZ13,BW13,BT13,BQ13,BN13,BK13,BH13,BE13,BB13,AY13,AV13)=0,"",AVERAGE(CC13,BZ13,BW13,BT13,BQ13,BN13,BK13,BH13,BE13,BB13,AY13,AV13))</f>
        <v/>
      </c>
      <c r="G13" s="67" t="n"/>
      <c r="H13" s="66">
        <f>IF(COUNT(DL13,DI13,DF13,DC13,CZ13,CW13,CT13,CQ13,CN13,CK13,CH13,CE13)=0,"",AVERAGE(DL13,DI13,DF13,DC13,CZ13,CW13,CT13,CQ13,CN13,CK13,CH13,CE13))</f>
        <v/>
      </c>
      <c r="I13" s="66">
        <f>IF(COUNT(DM13,DJ13,DG13,DD13,DA13,CX13,CU13,CR13,CO13,CL13,CI13,CF13)=0,"",AVERAGE(DM13,DJ13,DG13,DD13,DA13,CX13,CU13,CR13,CO13,CL13,CI13,CF13))</f>
        <v/>
      </c>
      <c r="J13" s="66" t="n"/>
      <c r="K13" s="67">
        <f>IF(OR(COUNT(K3,M3)&lt;2,N(M3)=0),"",1-ABS(K3-M3)/M3)</f>
        <v/>
      </c>
      <c r="L13" s="67">
        <f>IF(OR(COUNT(L3,M3)&lt;2,N(M3)=0),"",1-ABS(L3-M3)/M3)</f>
        <v/>
      </c>
      <c r="M13" s="8" t="n"/>
      <c r="N13" s="66">
        <f>IF(OR(COUNT(N3,P3)&lt;2,N(P3)=0),"",1-ABS(N3-P3)/P3)</f>
        <v/>
      </c>
      <c r="O13" s="66">
        <f>IF(OR(COUNT(O3,P3)&lt;2,N(P3)=0),"",1-ABS(O3-P3)/P3)</f>
        <v/>
      </c>
      <c r="P13" s="9" t="n"/>
      <c r="Q13" s="67">
        <f>IF(OR(COUNT(Q3,S3)&lt;2,N(S3)=0),"",1-ABS(Q3-S3)/S3)</f>
        <v/>
      </c>
      <c r="R13" s="67">
        <f>IF(OR(COUNT(R3,S3)&lt;2,N(S3)=0),"",1-ABS(R3-S3)/S3)</f>
        <v/>
      </c>
      <c r="S13" s="8" t="n"/>
      <c r="T13" s="66">
        <f>IF(OR(COUNT(T3,V3)&lt;2,N(V3)=0),"",1-ABS(T3-V3)/V3)</f>
        <v/>
      </c>
      <c r="U13" s="66">
        <f>IF(OR(COUNT(U3,V3)&lt;2,N(V3)=0),"",1-ABS(U3-V3)/V3)</f>
        <v/>
      </c>
      <c r="V13" s="9" t="n"/>
      <c r="W13" s="67">
        <f>IF(OR(COUNT(W3,Y3)&lt;2,N(Y3)=0),"",1-ABS(W3-Y3)/Y3)</f>
        <v/>
      </c>
      <c r="X13" s="67">
        <f>IF(OR(COUNT(X3,Y3)&lt;2,N(Y3)=0),"",1-ABS(X3-Y3)/Y3)</f>
        <v/>
      </c>
      <c r="Y13" s="8" t="n"/>
      <c r="Z13" s="66">
        <f>IF(OR(COUNT(Z3,AB3)&lt;2,N(AB3)=0),"",1-ABS(Z3-AB3)/AB3)</f>
        <v/>
      </c>
      <c r="AA13" s="66">
        <f>IF(OR(COUNT(AA3,AB3)&lt;2,N(AB3)=0),"",1-ABS(AA3-AB3)/AB3)</f>
        <v/>
      </c>
      <c r="AB13" s="9" t="n"/>
      <c r="AC13" s="67">
        <f>IF(OR(COUNT(AC3,AE3)&lt;2,N(AE3)=0),"",1-ABS(AC3-AE3)/AE3)</f>
        <v/>
      </c>
      <c r="AD13" s="67">
        <f>IF(OR(COUNT(AD3,AE3)&lt;2,N(AE3)=0),"",1-ABS(AD3-AE3)/AE3)</f>
        <v/>
      </c>
      <c r="AE13" s="8" t="n"/>
      <c r="AF13" s="66">
        <f>IF(OR(COUNT(AF3,AH3)&lt;2,N(AH3)=0),"",1-ABS(AF3-AH3)/AH3)</f>
        <v/>
      </c>
      <c r="AG13" s="66">
        <f>IF(OR(COUNT(AG3,AH3)&lt;2,N(AH3)=0),"",1-ABS(AG3-AH3)/AH3)</f>
        <v/>
      </c>
      <c r="AH13" s="9" t="n"/>
      <c r="AI13" s="67">
        <f>IF(OR(COUNT(AI3,AK3)&lt;2,N(AK3)=0),"",1-ABS(AI3-AK3)/AK3)</f>
        <v/>
      </c>
      <c r="AJ13" s="67">
        <f>IF(OR(COUNT(AJ3,AK3)&lt;2,N(AK3)=0),"",1-ABS(AJ3-AK3)/AK3)</f>
        <v/>
      </c>
      <c r="AK13" s="8" t="n"/>
      <c r="AL13" s="66">
        <f>IF(OR(COUNT(AL3,AN3)&lt;2,N(AN3)=0),"",1-ABS(AL3-AN3)/AN3)</f>
        <v/>
      </c>
      <c r="AM13" s="66">
        <f>IF(OR(COUNT(AM3,AN3)&lt;2,N(AN3)=0),"",1-ABS(AM3-AN3)/AN3)</f>
        <v/>
      </c>
      <c r="AN13" s="9" t="n"/>
      <c r="AO13" s="67">
        <f>IF(OR(COUNT(AO3,AQ3)&lt;2,N(AQ3)=0),"",1-ABS(AO3-AQ3)/AQ3)</f>
        <v/>
      </c>
      <c r="AP13" s="67">
        <f>IF(OR(COUNT(AP3,AQ3)&lt;2,N(AQ3)=0),"",1-ABS(AP3-AQ3)/AQ3)</f>
        <v/>
      </c>
      <c r="AQ13" s="8" t="n"/>
      <c r="AR13" s="66">
        <f>IF(OR(COUNT(AR3,AT3)&lt;2,N(AT3)=0),"",1-ABS(AR3-AT3)/AT3)</f>
        <v/>
      </c>
      <c r="AS13" s="66">
        <f>IF(OR(COUNT(AS3,AT3)&lt;2,N(AT3)=0),"",1-ABS(AS3-AT3)/AT3)</f>
        <v/>
      </c>
      <c r="AT13" s="9" t="n"/>
      <c r="AU13" s="67">
        <f>IF(OR(COUNT(AU3,AW3)&lt;2,N(AW3)=0),"",1-ABS(AU3-AW3)/AW3)</f>
        <v/>
      </c>
      <c r="AV13" s="67">
        <f>IF(OR(COUNT(AV3,AW3)&lt;2,N(AW3)=0),"",1-ABS(AV3-AW3)/AW3)</f>
        <v/>
      </c>
      <c r="AW13" s="8" t="n"/>
      <c r="AX13" s="66">
        <f>IF(OR(COUNT(AX3,AZ3)&lt;2,N(AZ3)=0),"",1-ABS(AX3-AZ3)/AZ3)</f>
        <v/>
      </c>
      <c r="AY13" s="66">
        <f>IF(OR(COUNT(AY3,AZ3)&lt;2,N(AZ3)=0),"",1-ABS(AY3-AZ3)/AZ3)</f>
        <v/>
      </c>
      <c r="AZ13" s="9" t="n"/>
      <c r="BA13" s="67">
        <f>IF(OR(COUNT(BA3,BC3)&lt;2,N(BC3)=0),"",1-ABS(BA3-BC3)/BC3)</f>
        <v/>
      </c>
      <c r="BB13" s="67">
        <f>IF(OR(COUNT(BB3,BC3)&lt;2,N(BC3)=0),"",1-ABS(BB3-BC3)/BC3)</f>
        <v/>
      </c>
      <c r="BC13" s="8" t="n"/>
      <c r="BD13" s="66">
        <f>IF(OR(COUNT(BD3,BF3)&lt;2,N(BF3)=0),"",1-ABS(BD3-BF3)/BF3)</f>
        <v/>
      </c>
      <c r="BE13" s="66">
        <f>IF(OR(COUNT(BE3,BF3)&lt;2,N(BF3)=0),"",1-ABS(BE3-BF3)/BF3)</f>
        <v/>
      </c>
      <c r="BF13" s="9" t="n"/>
      <c r="BG13" s="67">
        <f>IF(OR(COUNT(BG3,BI3)&lt;2,N(BI3)=0),"",1-ABS(BG3-BI3)/BI3)</f>
        <v/>
      </c>
      <c r="BH13" s="67">
        <f>IF(OR(COUNT(BH3,BI3)&lt;2,N(BI3)=0),"",1-ABS(BH3-BI3)/BI3)</f>
        <v/>
      </c>
      <c r="BI13" s="8" t="n"/>
      <c r="BJ13" s="66">
        <f>IF(OR(COUNT(BJ3,BL3)&lt;2,N(BL3)=0),"",1-ABS(BJ3-BL3)/BL3)</f>
        <v/>
      </c>
      <c r="BK13" s="66">
        <f>IF(OR(COUNT(BK3,BL3)&lt;2,N(BL3)=0),"",1-ABS(BK3-BL3)/BL3)</f>
        <v/>
      </c>
      <c r="BL13" s="9" t="n"/>
      <c r="BM13" s="67">
        <f>IF(OR(COUNT(BM3,BO3)&lt;2,N(BO3)=0),"",1-ABS(BM3-BO3)/BO3)</f>
        <v/>
      </c>
      <c r="BN13" s="67">
        <f>IF(OR(COUNT(BN3,BO3)&lt;2,N(BO3)=0),"",1-ABS(BN3-BO3)/BO3)</f>
        <v/>
      </c>
      <c r="BO13" s="8" t="n"/>
      <c r="BP13" s="66">
        <f>IF(OR(COUNT(BP3,BR3)&lt;2,N(BR3)=0),"",1-ABS(BP3-BR3)/BR3)</f>
        <v/>
      </c>
      <c r="BQ13" s="66">
        <f>IF(OR(COUNT(BQ3,BR3)&lt;2,N(BR3)=0),"",1-ABS(BQ3-BR3)/BR3)</f>
        <v/>
      </c>
      <c r="BR13" s="9" t="n"/>
      <c r="BS13" s="67">
        <f>IF(OR(COUNT(BS3,BU3)&lt;2,N(BU3)=0),"",1-ABS(BS3-BU3)/BU3)</f>
        <v/>
      </c>
      <c r="BT13" s="67">
        <f>IF(OR(COUNT(BT3,BU3)&lt;2,N(BU3)=0),"",1-ABS(BT3-BU3)/BU3)</f>
        <v/>
      </c>
      <c r="BU13" s="8" t="n"/>
      <c r="BV13" s="66">
        <f>IF(OR(COUNT(BV3,BX3)&lt;2,N(BX3)=0),"",1-ABS(BV3-BX3)/BX3)</f>
        <v/>
      </c>
      <c r="BW13" s="66">
        <f>IF(OR(COUNT(BW3,BX3)&lt;2,N(BX3)=0),"",1-ABS(BW3-BX3)/BX3)</f>
        <v/>
      </c>
      <c r="BX13" s="9" t="n"/>
      <c r="BY13" s="67">
        <f>IF(OR(COUNT(BY3,CA3)&lt;2,N(CA3)=0),"",1-ABS(BY3-CA3)/CA3)</f>
        <v/>
      </c>
      <c r="BZ13" s="67">
        <f>IF(OR(COUNT(BZ3,CA3)&lt;2,N(CA3)=0),"",1-ABS(BZ3-CA3)/CA3)</f>
        <v/>
      </c>
      <c r="CA13" s="8" t="n"/>
      <c r="CB13" s="66">
        <f>IF(OR(COUNT(CB3,CD3)&lt;2,N(CD3)=0),"",1-ABS(CB3-CD3)/CD3)</f>
        <v/>
      </c>
      <c r="CC13" s="66">
        <f>IF(OR(COUNT(CC3,CD3)&lt;2,N(CD3)=0),"",1-ABS(CC3-CD3)/CD3)</f>
        <v/>
      </c>
      <c r="CD13" s="9" t="n"/>
      <c r="CE13" s="67">
        <f>IF(OR(COUNT(CE3,CG3)&lt;2,N(CG3)=0),"",1-ABS(CE3-CG3)/CG3)</f>
        <v/>
      </c>
      <c r="CF13" s="67">
        <f>IF(OR(COUNT(CF3,CG3)&lt;2,N(CG3)=0),"",1-ABS(CF3-CG3)/CG3)</f>
        <v/>
      </c>
      <c r="CG13" s="8" t="n"/>
      <c r="CH13" s="66">
        <f>IF(OR(COUNT(CH3,CJ3)&lt;2,N(CJ3)=0),"",1-ABS(CH3-CJ3)/CJ3)</f>
        <v/>
      </c>
      <c r="CI13" s="66">
        <f>IF(OR(COUNT(CI3,CJ3)&lt;2,N(CJ3)=0),"",1-ABS(CI3-CJ3)/CJ3)</f>
        <v/>
      </c>
      <c r="CJ13" s="9" t="n"/>
      <c r="CK13" s="67">
        <f>IF(OR(COUNT(CK3,CM3)&lt;2,N(CM3)=0),"",1-ABS(CK3-CM3)/CM3)</f>
        <v/>
      </c>
      <c r="CL13" s="67">
        <f>IF(OR(COUNT(CL3,CM3)&lt;2,N(CM3)=0),"",1-ABS(CL3-CM3)/CM3)</f>
        <v/>
      </c>
      <c r="CM13" s="8" t="n"/>
      <c r="CN13" s="66">
        <f>IF(OR(COUNT(CN3,CP3)&lt;2,N(CP3)=0),"",1-ABS(CN3-CP3)/CP3)</f>
        <v/>
      </c>
      <c r="CO13" s="66">
        <f>IF(OR(COUNT(CO3,CP3)&lt;2,N(CP3)=0),"",1-ABS(CO3-CP3)/CP3)</f>
        <v/>
      </c>
      <c r="CP13" s="9" t="n"/>
      <c r="CQ13" s="67">
        <f>IF(OR(COUNT(CQ3,CS3)&lt;2,N(CS3)=0),"",1-ABS(CQ3-CS3)/CS3)</f>
        <v/>
      </c>
      <c r="CR13" s="67">
        <f>IF(OR(COUNT(CR3,CS3)&lt;2,N(CS3)=0),"",1-ABS(CR3-CS3)/CS3)</f>
        <v/>
      </c>
      <c r="CS13" s="8" t="n"/>
      <c r="CT13" s="66">
        <f>IF(OR(COUNT(CT3,CV3)&lt;2,N(CV3)=0),"",1-ABS(CT3-CV3)/CV3)</f>
        <v/>
      </c>
      <c r="CU13" s="66">
        <f>IF(OR(COUNT(CU3,CV3)&lt;2,N(CV3)=0),"",1-ABS(CU3-CV3)/CV3)</f>
        <v/>
      </c>
      <c r="CV13" s="9" t="n"/>
      <c r="CW13" s="67">
        <f>IF(OR(COUNT(CW3,CY3)&lt;2,N(CY3)=0),"",1-ABS(CW3-CY3)/CY3)</f>
        <v/>
      </c>
      <c r="CX13" s="67">
        <f>IF(OR(COUNT(CX3,CY3)&lt;2,N(CY3)=0),"",1-ABS(CX3-CY3)/CY3)</f>
        <v/>
      </c>
      <c r="CY13" s="8" t="n"/>
      <c r="CZ13" s="66">
        <f>IF(OR(COUNT(CZ3,DB3)&lt;2,N(DB3)=0),"",1-ABS(CZ3-DB3)/DB3)</f>
        <v/>
      </c>
      <c r="DA13" s="66">
        <f>IF(OR(COUNT(DA3,DB3)&lt;2,N(DB3)=0),"",1-ABS(DA3-DB3)/DB3)</f>
        <v/>
      </c>
      <c r="DB13" s="9" t="n"/>
      <c r="DC13" s="67">
        <f>IF(OR(COUNT(DC3,DE3)&lt;2,N(DE3)=0),"",1-ABS(DC3-DE3)/DE3)</f>
        <v/>
      </c>
      <c r="DD13" s="67">
        <f>IF(OR(COUNT(DD3,DE3)&lt;2,N(DE3)=0),"",1-ABS(DD3-DE3)/DE3)</f>
        <v/>
      </c>
      <c r="DE13" s="8" t="n"/>
      <c r="DF13" s="66">
        <f>IF(OR(COUNT(DF3,DH3)&lt;2,N(DH3)=0),"",1-ABS(DF3-DH3)/DH3)</f>
        <v/>
      </c>
      <c r="DG13" s="66">
        <f>IF(OR(COUNT(DG3,DH3)&lt;2,N(DH3)=0),"",1-ABS(DG3-DH3)/DH3)</f>
        <v/>
      </c>
      <c r="DH13" s="9" t="n"/>
      <c r="DI13" s="67">
        <f>IF(OR(COUNT(DI3,DK3)&lt;2,N(DK3)=0),"",1-ABS(DI3-DK3)/DK3)</f>
        <v/>
      </c>
      <c r="DJ13" s="67">
        <f>IF(OR(COUNT(DJ3,DK3)&lt;2,N(DK3)=0),"",1-ABS(DJ3-DK3)/DK3)</f>
        <v/>
      </c>
      <c r="DK13" s="8" t="n"/>
      <c r="DL13" s="66">
        <f>IF(OR(COUNT(DL3,DN3)&lt;2,N(DN3)=0),"",1-ABS(DL3-DN3)/DN3)</f>
        <v/>
      </c>
      <c r="DM13" s="66">
        <f>IF(OR(COUNT(DM3,DN3)&lt;2,N(DN3)=0),"",1-ABS(DM3-DN3)/DN3)</f>
        <v/>
      </c>
      <c r="DN13" s="9" t="n"/>
    </row>
    <row r="14">
      <c r="A14" s="15" t="inlineStr">
        <is>
          <t>Income Tax Rate</t>
        </is>
      </c>
      <c r="B14" s="16">
        <f>IF(K14&lt;&gt;"",K14,IF(N14&lt;&gt;"",N14,IF(Q14&lt;&gt;"",Q14,IF(T14&lt;&gt;"",T14,IF(W14&lt;&gt;"",W14,IF(Z14&lt;&gt;"",Z14,IF(AC14&lt;&gt;"",AC14,IF(AF14&lt;&gt;"",AF14,IF(AI14&lt;&gt;"",AI14,IF(AL14&lt;&gt;"",AL14,IF(AO14&lt;&gt;"",AO14,IF(AR14&lt;&gt;"",AR14,""))))))))))))</f>
        <v/>
      </c>
      <c r="C14" s="16">
        <f>IF(L14&lt;&gt;"",L14,IF(O14&lt;&gt;"",O14,IF(R14&lt;&gt;"",R14,IF(U14&lt;&gt;"",U14,IF(X14&lt;&gt;"",X14,IF(AA14&lt;&gt;"",AA14,IF(AD14&lt;&gt;"",AD14,IF(AG14&lt;&gt;"",AG14,IF(AJ14&lt;&gt;"",AJ14,IF(AM14&lt;&gt;"",AM14,IF(AP14&lt;&gt;"",AP14,IF(AS14&lt;&gt;"",AS14,""))))))))))))</f>
        <v/>
      </c>
      <c r="D14" s="16">
        <f>IF(M14&lt;&gt;"",M14,IF(P14&lt;&gt;"",P14,IF(S14&lt;&gt;"",S14,IF(V14&lt;&gt;"",V14,IF(Y14&lt;&gt;"",Y14,IF(AB14&lt;&gt;"",AB14,IF(AE14&lt;&gt;"",AE14,IF(AH14&lt;&gt;"",AH14,IF(AK14&lt;&gt;"",AK14,IF(AN14&lt;&gt;"",AN14,IF(AQ14&lt;&gt;"",AQ14,IF(AT14&lt;&gt;"",AT14,""))))))))))))</f>
        <v/>
      </c>
      <c r="E14" s="17">
        <f>IF(AU14&lt;&gt;"",AU14,IF(AX14&lt;&gt;"",AX14,IF(BA14&lt;&gt;"",BA14,IF(BD14&lt;&gt;"",BD14,IF(BG14&lt;&gt;"",BG14,IF(BJ14&lt;&gt;"",BJ14,IF(BM14&lt;&gt;"",BM14,IF(BP14&lt;&gt;"",BP14,IF(BS14&lt;&gt;"",BS14,IF(BV14&lt;&gt;"",BV14,IF(BY14&lt;&gt;"",BY14,IF(CB14&lt;&gt;"",CB14,""))))))))))))</f>
        <v/>
      </c>
      <c r="F14" s="17">
        <f>IF(AV14&lt;&gt;"",AV14,IF(AY14&lt;&gt;"",AY14,IF(BB14&lt;&gt;"",BB14,IF(BE14&lt;&gt;"",BE14,IF(BH14&lt;&gt;"",BH14,IF(BK14&lt;&gt;"",BK14,IF(BN14&lt;&gt;"",BN14,IF(BQ14&lt;&gt;"",BQ14,IF(BT14&lt;&gt;"",BT14,IF(BW14&lt;&gt;"",BW14,IF(BZ14&lt;&gt;"",BZ14,IF(CC14&lt;&gt;"",CC14,""))))))))))))</f>
        <v/>
      </c>
      <c r="G14" s="17">
        <f>IF(AW14&lt;&gt;"",AW14,IF(AZ14&lt;&gt;"",AZ14,IF(BC14&lt;&gt;"",BC14,IF(BF14&lt;&gt;"",BF14,IF(BI14&lt;&gt;"",BI14,IF(BL14&lt;&gt;"",BL14,IF(BO14&lt;&gt;"",BO14,IF(BR14&lt;&gt;"",BR14,IF(BU14&lt;&gt;"",BU14,IF(BX14&lt;&gt;"",BX14,IF(CA14&lt;&gt;"",CA14,IF(CD14&lt;&gt;"",CD14,""))))))))))))</f>
        <v/>
      </c>
      <c r="H14" s="16">
        <f>IF(CE14&lt;&gt;"",CE14,IF(CH14&lt;&gt;"",CH14,IF(CK14&lt;&gt;"",CK14,IF(CN14&lt;&gt;"",CN14,IF(CQ14&lt;&gt;"",CQ14,IF(CT14&lt;&gt;"",CT14,IF(CW14&lt;&gt;"",CW14,IF(CZ14&lt;&gt;"",CZ14,IF(DC14&lt;&gt;"",DC14,IF(DF14&lt;&gt;"",DF14,IF(DI14&lt;&gt;"",DI14,IF(DL14&lt;&gt;"",DL14,""))))))))))))</f>
        <v/>
      </c>
      <c r="I14" s="16">
        <f>IF(CF14&lt;&gt;"",CF14,IF(CI14&lt;&gt;"",CI14,IF(CL14&lt;&gt;"",CL14,IF(CO14&lt;&gt;"",CO14,IF(CR14&lt;&gt;"",CR14,IF(CU14&lt;&gt;"",CU14,IF(CX14&lt;&gt;"",CX14,IF(DA14&lt;&gt;"",DA14,IF(DD14&lt;&gt;"",DD14,IF(DG14&lt;&gt;"",DG14,IF(DJ14&lt;&gt;"",DJ14,IF(DM14&lt;&gt;"",DM14,""))))))))))))</f>
        <v/>
      </c>
      <c r="J14" s="16">
        <f>IF(CG14&lt;&gt;"",CG14,IF(CJ14&lt;&gt;"",CJ14,IF(CM14&lt;&gt;"",CM14,IF(CP14&lt;&gt;"",CP14,IF(CS14&lt;&gt;"",CS14,IF(CV14&lt;&gt;"",CV14,IF(CY14&lt;&gt;"",CY14,IF(DB14&lt;&gt;"",DB14,IF(DE14&lt;&gt;"",DE14,IF(DH14&lt;&gt;"",DH14,IF(DK14&lt;&gt;"",DK14,IF(DN14&lt;&gt;"",DN14,""))))))))))))</f>
        <v/>
      </c>
      <c r="K14" s="17" t="n">
        <v>0.265</v>
      </c>
      <c r="L14" s="17" t="n">
        <v>0.265</v>
      </c>
      <c r="M14" s="17" t="n">
        <v>0.265</v>
      </c>
      <c r="N14" s="16" t="n">
        <v>0.265</v>
      </c>
      <c r="O14" s="16" t="n">
        <v>0.265</v>
      </c>
      <c r="P14" s="16" t="n">
        <v>0.265</v>
      </c>
      <c r="Q14" s="17" t="n">
        <v>0.265</v>
      </c>
      <c r="R14" s="17" t="n">
        <v>0.265</v>
      </c>
      <c r="S14" s="17" t="n">
        <v>0.265</v>
      </c>
      <c r="T14" s="16" t="n">
        <v>0.265</v>
      </c>
      <c r="U14" s="16" t="n">
        <v>0.265</v>
      </c>
      <c r="V14" s="16" t="n">
        <v>0.265</v>
      </c>
      <c r="W14" s="17" t="n">
        <v>0.265</v>
      </c>
      <c r="X14" s="17" t="n">
        <v>0.265</v>
      </c>
      <c r="Y14" s="17" t="n">
        <v>0.265</v>
      </c>
      <c r="Z14" s="16" t="n">
        <v>0.265</v>
      </c>
      <c r="AA14" s="16" t="n">
        <v>0.265</v>
      </c>
      <c r="AB14" s="16" t="n">
        <v>0.265</v>
      </c>
      <c r="AC14" s="17" t="n">
        <v>0.265</v>
      </c>
      <c r="AD14" s="17" t="n">
        <v>0.265</v>
      </c>
      <c r="AE14" s="17" t="n">
        <v>0.265</v>
      </c>
      <c r="AF14" s="16" t="n">
        <v>0.265</v>
      </c>
      <c r="AG14" s="16" t="n">
        <v>0.265</v>
      </c>
      <c r="AH14" s="16" t="n">
        <v>0.265</v>
      </c>
      <c r="AI14" s="17" t="n">
        <v>0.265</v>
      </c>
      <c r="AJ14" s="17" t="n">
        <v>0.265</v>
      </c>
      <c r="AK14" s="17" t="n">
        <v>0.265</v>
      </c>
      <c r="AL14" s="16" t="n">
        <v>0.265</v>
      </c>
      <c r="AM14" s="16" t="n">
        <v>0.265</v>
      </c>
      <c r="AN14" s="16" t="n">
        <v>0.265</v>
      </c>
      <c r="AO14" s="17" t="n">
        <v>0.265</v>
      </c>
      <c r="AP14" s="17" t="n">
        <v>0.265</v>
      </c>
      <c r="AQ14" s="17" t="n">
        <v>0.265</v>
      </c>
      <c r="AR14" s="16" t="n">
        <v>0.265</v>
      </c>
      <c r="AS14" s="16" t="n">
        <v>0.265</v>
      </c>
      <c r="AT14" s="16" t="n">
        <v>0.265</v>
      </c>
      <c r="AU14" s="17" t="n">
        <v>0.265</v>
      </c>
      <c r="AV14" s="17" t="n">
        <v>0.265</v>
      </c>
      <c r="AW14" s="17" t="n">
        <v>0.265</v>
      </c>
      <c r="AX14" s="16" t="n">
        <v>0.265</v>
      </c>
      <c r="AY14" s="16" t="n">
        <v>0.265</v>
      </c>
      <c r="AZ14" s="16" t="n">
        <v>0.265</v>
      </c>
      <c r="BA14" s="17" t="n">
        <v>0.265</v>
      </c>
      <c r="BB14" s="17" t="n">
        <v>0.265</v>
      </c>
      <c r="BC14" s="17" t="n">
        <v>0.265</v>
      </c>
      <c r="BD14" s="16" t="n">
        <v>0.265</v>
      </c>
      <c r="BE14" s="16" t="n">
        <v>0.265</v>
      </c>
      <c r="BF14" s="16" t="n">
        <v>0.265</v>
      </c>
      <c r="BG14" s="17" t="n">
        <v>0.265</v>
      </c>
      <c r="BH14" s="17" t="n">
        <v>0.265</v>
      </c>
      <c r="BI14" s="17" t="n">
        <v>0.265</v>
      </c>
      <c r="BJ14" s="16" t="n">
        <v>0.265</v>
      </c>
      <c r="BK14" s="16" t="n">
        <v>0.265</v>
      </c>
      <c r="BL14" s="16" t="n">
        <v>0.265</v>
      </c>
      <c r="BM14" s="17" t="n">
        <v>0.265</v>
      </c>
      <c r="BN14" s="17" t="n">
        <v>0.265</v>
      </c>
      <c r="BO14" s="17" t="n">
        <v>0.265</v>
      </c>
      <c r="BP14" s="16" t="n">
        <v>0.265</v>
      </c>
      <c r="BQ14" s="16" t="n">
        <v>0.265</v>
      </c>
      <c r="BR14" s="16" t="n">
        <v>0.265</v>
      </c>
      <c r="BS14" s="17" t="n">
        <v>0.265</v>
      </c>
      <c r="BT14" s="17" t="n">
        <v>0.265</v>
      </c>
      <c r="BU14" s="17" t="n">
        <v>0.265</v>
      </c>
      <c r="BV14" s="16" t="n">
        <v>0.265</v>
      </c>
      <c r="BW14" s="16" t="n">
        <v>0.265</v>
      </c>
      <c r="BX14" s="16" t="n">
        <v>0.265</v>
      </c>
      <c r="BY14" s="17" t="n">
        <v>0.265</v>
      </c>
      <c r="BZ14" s="17" t="n">
        <v>0.265</v>
      </c>
      <c r="CA14" s="17" t="n">
        <v>0.265</v>
      </c>
      <c r="CB14" s="16" t="n">
        <v>0.265</v>
      </c>
      <c r="CC14" s="16" t="n">
        <v>0.265</v>
      </c>
      <c r="CD14" s="16" t="n">
        <v>0.265</v>
      </c>
      <c r="CE14" s="17" t="n">
        <v>0.265</v>
      </c>
      <c r="CF14" s="17" t="n">
        <v>0.265</v>
      </c>
      <c r="CG14" s="17" t="n">
        <v>0.265</v>
      </c>
      <c r="CH14" s="16" t="n">
        <v>0.265</v>
      </c>
      <c r="CI14" s="16" t="n">
        <v>0.265</v>
      </c>
      <c r="CJ14" s="16" t="n">
        <v>0.265</v>
      </c>
      <c r="CK14" s="17" t="n">
        <v>0.265</v>
      </c>
      <c r="CL14" s="17" t="n">
        <v>0.265</v>
      </c>
      <c r="CM14" s="17" t="n">
        <v>0.265</v>
      </c>
      <c r="CN14" s="16" t="n">
        <v>0.265</v>
      </c>
      <c r="CO14" s="16" t="n">
        <v>0.265</v>
      </c>
      <c r="CP14" s="16" t="n">
        <v>0.265</v>
      </c>
      <c r="CQ14" s="17" t="n">
        <v>0.265</v>
      </c>
      <c r="CR14" s="17" t="n">
        <v>0.265</v>
      </c>
      <c r="CS14" s="17" t="n">
        <v>0.265</v>
      </c>
      <c r="CT14" s="16" t="n">
        <v>0.265</v>
      </c>
      <c r="CU14" s="16" t="n">
        <v>0.265</v>
      </c>
      <c r="CV14" s="16" t="n">
        <v>0.265</v>
      </c>
      <c r="CW14" s="17" t="n">
        <v>0.265</v>
      </c>
      <c r="CX14" s="17" t="n">
        <v>0.265</v>
      </c>
      <c r="CY14" s="17" t="n">
        <v>0.265</v>
      </c>
      <c r="CZ14" s="16" t="n">
        <v>0.265</v>
      </c>
      <c r="DA14" s="16" t="n">
        <v>0.265</v>
      </c>
      <c r="DB14" s="16" t="n">
        <v>0.265</v>
      </c>
      <c r="DC14" s="17" t="n">
        <v>0.265</v>
      </c>
      <c r="DD14" s="17" t="n">
        <v>0.265</v>
      </c>
      <c r="DE14" s="17" t="n">
        <v>0.265</v>
      </c>
      <c r="DF14" s="16" t="n">
        <v>0.265</v>
      </c>
      <c r="DG14" s="16" t="n">
        <v>0.265</v>
      </c>
      <c r="DH14" s="16" t="n">
        <v>0.265</v>
      </c>
      <c r="DI14" s="17" t="n">
        <v>0.265</v>
      </c>
      <c r="DJ14" s="17" t="n">
        <v>0.265</v>
      </c>
      <c r="DK14" s="17" t="n">
        <v>0.265</v>
      </c>
      <c r="DL14" s="16" t="n">
        <v>0.265</v>
      </c>
      <c r="DM14" s="16" t="n">
        <v>0.265</v>
      </c>
      <c r="DN14" s="16" t="n">
        <v>0.265</v>
      </c>
    </row>
    <row r="15">
      <c r="A15" s="2" t="inlineStr">
        <is>
          <t>Losses Carried Forward, Opening</t>
        </is>
      </c>
      <c r="B15" s="10">
        <f>IF(K15&lt;&gt;"",K15,IF(N15&lt;&gt;"",N15,IF(Q15&lt;&gt;"",Q15,IF(T15&lt;&gt;"",T15,IF(W15&lt;&gt;"",W15,IF(Z15&lt;&gt;"",Z15,IF(AC15&lt;&gt;"",AC15,IF(AF15&lt;&gt;"",AF15,IF(AI15&lt;&gt;"",AI15,IF(AL15&lt;&gt;"",AL15,IF(AO15&lt;&gt;"",AO15,IF(AR15&lt;&gt;"",AR15,""))))))))))))</f>
        <v/>
      </c>
      <c r="C15" s="10">
        <f>IF(L15&lt;&gt;"",L15,IF(O15&lt;&gt;"",O15,IF(R15&lt;&gt;"",R15,IF(U15&lt;&gt;"",U15,IF(X15&lt;&gt;"",X15,IF(AA15&lt;&gt;"",AA15,IF(AD15&lt;&gt;"",AD15,IF(AG15&lt;&gt;"",AG15,IF(AJ15&lt;&gt;"",AJ15,IF(AM15&lt;&gt;"",AM15,IF(AP15&lt;&gt;"",AP15,IF(AS15&lt;&gt;"",AS15,""))))))))))))</f>
        <v/>
      </c>
      <c r="D15" s="10">
        <f>IF(M15&lt;&gt;"",M15,IF(P15&lt;&gt;"",P15,IF(S15&lt;&gt;"",S15,IF(V15&lt;&gt;"",V15,IF(Y15&lt;&gt;"",Y15,IF(AB15&lt;&gt;"",AB15,IF(AE15&lt;&gt;"",AE15,IF(AH15&lt;&gt;"",AH15,IF(AK15&lt;&gt;"",AK15,IF(AN15&lt;&gt;"",AN15,IF(AQ15&lt;&gt;"",AQ15,IF(AT15&lt;&gt;"",AT15,""))))))))))))</f>
        <v/>
      </c>
      <c r="E15" s="11">
        <f>IF(AU15&lt;&gt;"",AU15,IF(AX15&lt;&gt;"",AX15,IF(BA15&lt;&gt;"",BA15,IF(BD15&lt;&gt;"",BD15,IF(BG15&lt;&gt;"",BG15,IF(BJ15&lt;&gt;"",BJ15,IF(BM15&lt;&gt;"",BM15,IF(BP15&lt;&gt;"",BP15,IF(BS15&lt;&gt;"",BS15,IF(BV15&lt;&gt;"",BV15,IF(BY15&lt;&gt;"",BY15,IF(CB15&lt;&gt;"",CB15,""))))))))))))</f>
        <v/>
      </c>
      <c r="F15" s="11">
        <f>IF(AV15&lt;&gt;"",AV15,IF(AY15&lt;&gt;"",AY15,IF(BB15&lt;&gt;"",BB15,IF(BE15&lt;&gt;"",BE15,IF(BH15&lt;&gt;"",BH15,IF(BK15&lt;&gt;"",BK15,IF(BN15&lt;&gt;"",BN15,IF(BQ15&lt;&gt;"",BQ15,IF(BT15&lt;&gt;"",BT15,IF(BW15&lt;&gt;"",BW15,IF(BZ15&lt;&gt;"",BZ15,IF(CC15&lt;&gt;"",CC15,""))))))))))))</f>
        <v/>
      </c>
      <c r="G15" s="11">
        <f>IF(AW15&lt;&gt;"",AW15,IF(AZ15&lt;&gt;"",AZ15,IF(BC15&lt;&gt;"",BC15,IF(BF15&lt;&gt;"",BF15,IF(BI15&lt;&gt;"",BI15,IF(BL15&lt;&gt;"",BL15,IF(BO15&lt;&gt;"",BO15,IF(BR15&lt;&gt;"",BR15,IF(BU15&lt;&gt;"",BU15,IF(BX15&lt;&gt;"",BX15,IF(CA15&lt;&gt;"",CA15,IF(CD15&lt;&gt;"",CD15,""))))))))))))</f>
        <v/>
      </c>
      <c r="H15" s="10">
        <f>IF(CE15&lt;&gt;"",CE15,IF(CH15&lt;&gt;"",CH15,IF(CK15&lt;&gt;"",CK15,IF(CN15&lt;&gt;"",CN15,IF(CQ15&lt;&gt;"",CQ15,IF(CT15&lt;&gt;"",CT15,IF(CW15&lt;&gt;"",CW15,IF(CZ15&lt;&gt;"",CZ15,IF(DC15&lt;&gt;"",DC15,IF(DF15&lt;&gt;"",DF15,IF(DI15&lt;&gt;"",DI15,IF(DL15&lt;&gt;"",DL15,""))))))))))))</f>
        <v/>
      </c>
      <c r="I15" s="10">
        <f>IF(CF15&lt;&gt;"",CF15,IF(CI15&lt;&gt;"",CI15,IF(CL15&lt;&gt;"",CL15,IF(CO15&lt;&gt;"",CO15,IF(CR15&lt;&gt;"",CR15,IF(CU15&lt;&gt;"",CU15,IF(CX15&lt;&gt;"",CX15,IF(DA15&lt;&gt;"",DA15,IF(DD15&lt;&gt;"",DD15,IF(DG15&lt;&gt;"",DG15,IF(DJ15&lt;&gt;"",DJ15,IF(DM15&lt;&gt;"",DM15,""))))))))))))</f>
        <v/>
      </c>
      <c r="J15" s="10">
        <f>IF(CG15&lt;&gt;"",CG15,IF(CJ15&lt;&gt;"",CJ15,IF(CM15&lt;&gt;"",CM15,IF(CP15&lt;&gt;"",CP15,IF(CS15&lt;&gt;"",CS15,IF(CV15&lt;&gt;"",CV15,IF(CY15&lt;&gt;"",CY15,IF(DB15&lt;&gt;"",DB15,IF(DE15&lt;&gt;"",DE15,IF(DH15&lt;&gt;"",DH15,IF(DK15&lt;&gt;"",DK15,IF(DN15&lt;&gt;"",DN15,""))))))))))))</f>
        <v/>
      </c>
      <c r="K15" s="11">
        <f>IF(COUNT('Finance'!N17)=1,'Finance'!N17,"")</f>
        <v/>
      </c>
      <c r="L15" s="11">
        <f>'Finance'!O17</f>
        <v/>
      </c>
      <c r="M15" s="11">
        <f>'Finance'!P17</f>
        <v/>
      </c>
      <c r="N15" s="10">
        <f>IF(COUNT('Finance'!Q17)=1,'Finance'!Q17,"")</f>
        <v/>
      </c>
      <c r="O15" s="10">
        <f>'Finance'!R17</f>
        <v/>
      </c>
      <c r="P15" s="10">
        <f>'Finance'!S17</f>
        <v/>
      </c>
      <c r="Q15" s="11">
        <f>IF(COUNT('Finance'!T17)=1,'Finance'!T17,"")</f>
        <v/>
      </c>
      <c r="R15" s="11">
        <f>'Finance'!U17</f>
        <v/>
      </c>
      <c r="S15" s="11">
        <f>'Finance'!V17</f>
        <v/>
      </c>
      <c r="T15" s="10">
        <f>IF(COUNT('Finance'!W17)=1,'Finance'!W17,"")</f>
        <v/>
      </c>
      <c r="U15" s="10">
        <f>'Finance'!X17</f>
        <v/>
      </c>
      <c r="V15" s="10">
        <f>'Finance'!Y17</f>
        <v/>
      </c>
      <c r="W15" s="11">
        <f>IF(COUNT('Finance'!Z17)=1,'Finance'!Z17,"")</f>
        <v/>
      </c>
      <c r="X15" s="11">
        <f>'Finance'!AA17</f>
        <v/>
      </c>
      <c r="Y15" s="11">
        <f>'Finance'!AB17</f>
        <v/>
      </c>
      <c r="Z15" s="10">
        <f>IF(COUNT('Finance'!AC17)=1,'Finance'!AC17,"")</f>
        <v/>
      </c>
      <c r="AA15" s="10">
        <f>'Finance'!AD17</f>
        <v/>
      </c>
      <c r="AB15" s="10">
        <f>'Finance'!AE17</f>
        <v/>
      </c>
      <c r="AC15" s="11">
        <f>IF(COUNT('Finance'!AF17)=1,'Finance'!AF17,"")</f>
        <v/>
      </c>
      <c r="AD15" s="11">
        <f>'Finance'!AG17</f>
        <v/>
      </c>
      <c r="AE15" s="11">
        <f>'Finance'!AH17</f>
        <v/>
      </c>
      <c r="AF15" s="10">
        <f>IF(COUNT('Finance'!AI17)=1,'Finance'!AI17,"")</f>
        <v/>
      </c>
      <c r="AG15" s="10">
        <f>'Finance'!AJ17</f>
        <v/>
      </c>
      <c r="AH15" s="10">
        <f>'Finance'!AK17</f>
        <v/>
      </c>
      <c r="AI15" s="11">
        <f>IF(COUNT('Finance'!AL17)=1,'Finance'!AL17,"")</f>
        <v/>
      </c>
      <c r="AJ15" s="11">
        <f>'Finance'!AM17</f>
        <v/>
      </c>
      <c r="AK15" s="11">
        <f>'Finance'!AN17</f>
        <v/>
      </c>
      <c r="AL15" s="10">
        <f>IF(COUNT('Finance'!AO17)=1,'Finance'!AO17,"")</f>
        <v/>
      </c>
      <c r="AM15" s="10">
        <f>'Finance'!AP17</f>
        <v/>
      </c>
      <c r="AN15" s="10">
        <f>'Finance'!AQ17</f>
        <v/>
      </c>
      <c r="AO15" s="11">
        <f>IF(COUNT('Finance'!AR17)=1,'Finance'!AR17,"")</f>
        <v/>
      </c>
      <c r="AP15" s="11">
        <f>'Finance'!AS17</f>
        <v/>
      </c>
      <c r="AQ15" s="11">
        <f>'Finance'!AT17</f>
        <v/>
      </c>
      <c r="AR15" s="10">
        <f>IF(COUNT('Finance'!AU17)=1,'Finance'!AU17,"")</f>
        <v/>
      </c>
      <c r="AS15" s="10">
        <f>'Finance'!AV17</f>
        <v/>
      </c>
      <c r="AT15" s="10">
        <f>'Finance'!AW17</f>
        <v/>
      </c>
      <c r="AU15" s="11">
        <f>IF(COUNT('Finance'!AX17)=1,'Finance'!AX17,"")</f>
        <v/>
      </c>
      <c r="AV15" s="11">
        <f>'Finance'!AY17</f>
        <v/>
      </c>
      <c r="AW15" s="11">
        <f>'Finance'!AZ17</f>
        <v/>
      </c>
      <c r="AX15" s="10">
        <f>IF(COUNT('Finance'!BA17)=1,'Finance'!BA17,"")</f>
        <v/>
      </c>
      <c r="AY15" s="10">
        <f>'Finance'!BB17</f>
        <v/>
      </c>
      <c r="AZ15" s="10">
        <f>'Finance'!BC17</f>
        <v/>
      </c>
      <c r="BA15" s="11">
        <f>IF(COUNT('Finance'!BD17)=1,'Finance'!BD17,"")</f>
        <v/>
      </c>
      <c r="BB15" s="11">
        <f>'Finance'!BE17</f>
        <v/>
      </c>
      <c r="BC15" s="11">
        <f>'Finance'!BF17</f>
        <v/>
      </c>
      <c r="BD15" s="10">
        <f>IF(COUNT('Finance'!BG17)=1,'Finance'!BG17,"")</f>
        <v/>
      </c>
      <c r="BE15" s="10">
        <f>'Finance'!BH17</f>
        <v/>
      </c>
      <c r="BF15" s="10">
        <f>'Finance'!BI17</f>
        <v/>
      </c>
      <c r="BG15" s="11">
        <f>IF(COUNT('Finance'!BJ17)=1,'Finance'!BJ17,"")</f>
        <v/>
      </c>
      <c r="BH15" s="11">
        <f>'Finance'!BK17</f>
        <v/>
      </c>
      <c r="BI15" s="11">
        <f>'Finance'!BL17</f>
        <v/>
      </c>
      <c r="BJ15" s="10">
        <f>IF(COUNT('Finance'!BM17)=1,'Finance'!BM17,"")</f>
        <v/>
      </c>
      <c r="BK15" s="10">
        <f>'Finance'!BN17</f>
        <v/>
      </c>
      <c r="BL15" s="10">
        <f>'Finance'!BO17</f>
        <v/>
      </c>
      <c r="BM15" s="11">
        <f>IF(COUNT('Finance'!BP17)=1,'Finance'!BP17,"")</f>
        <v/>
      </c>
      <c r="BN15" s="11">
        <f>'Finance'!BQ17</f>
        <v/>
      </c>
      <c r="BO15" s="11">
        <f>'Finance'!BR17</f>
        <v/>
      </c>
      <c r="BP15" s="10">
        <f>IF(COUNT('Finance'!BS17)=1,'Finance'!BS17,"")</f>
        <v/>
      </c>
      <c r="BQ15" s="10">
        <f>'Finance'!BT17</f>
        <v/>
      </c>
      <c r="BR15" s="10">
        <f>'Finance'!BU17</f>
        <v/>
      </c>
      <c r="BS15" s="11">
        <f>IF(COUNT('Finance'!BV17)=1,'Finance'!BV17,"")</f>
        <v/>
      </c>
      <c r="BT15" s="11">
        <f>'Finance'!BW17</f>
        <v/>
      </c>
      <c r="BU15" s="11">
        <f>'Finance'!BX17</f>
        <v/>
      </c>
      <c r="BV15" s="10">
        <f>IF(COUNT('Finance'!BY17)=1,'Finance'!BY17,"")</f>
        <v/>
      </c>
      <c r="BW15" s="10">
        <f>'Finance'!BZ17</f>
        <v/>
      </c>
      <c r="BX15" s="10">
        <f>'Finance'!CA17</f>
        <v/>
      </c>
      <c r="BY15" s="11">
        <f>IF(COUNT('Finance'!CB17)=1,'Finance'!CB17,"")</f>
        <v/>
      </c>
      <c r="BZ15" s="11">
        <f>'Finance'!CC17</f>
        <v/>
      </c>
      <c r="CA15" s="11">
        <f>'Finance'!CD17</f>
        <v/>
      </c>
      <c r="CB15" s="10">
        <f>IF(COUNT('Finance'!CE17)=1,'Finance'!CE17,"")</f>
        <v/>
      </c>
      <c r="CC15" s="10">
        <f>'Finance'!CF17</f>
        <v/>
      </c>
      <c r="CD15" s="10">
        <f>'Finance'!CG17</f>
        <v/>
      </c>
      <c r="CE15" s="11">
        <f>IF(COUNT('Finance'!CH17)=1,'Finance'!CH17,"")</f>
        <v/>
      </c>
      <c r="CF15" s="11">
        <f>'Finance'!CI17</f>
        <v/>
      </c>
      <c r="CG15" s="11">
        <f>'Finance'!CJ17</f>
        <v/>
      </c>
      <c r="CH15" s="10">
        <f>IF(COUNT('Finance'!CK17)=1,'Finance'!CK17,"")</f>
        <v/>
      </c>
      <c r="CI15" s="10">
        <f>'Finance'!CL17</f>
        <v/>
      </c>
      <c r="CJ15" s="10">
        <f>'Finance'!CM17</f>
        <v/>
      </c>
      <c r="CK15" s="11">
        <f>IF(COUNT('Finance'!CN17)=1,'Finance'!CN17,"")</f>
        <v/>
      </c>
      <c r="CL15" s="11">
        <f>'Finance'!CO17</f>
        <v/>
      </c>
      <c r="CM15" s="11">
        <f>'Finance'!CP17</f>
        <v/>
      </c>
      <c r="CN15" s="10">
        <f>IF(COUNT('Finance'!CQ17)=1,'Finance'!CQ17,"")</f>
        <v/>
      </c>
      <c r="CO15" s="10">
        <f>'Finance'!CR17</f>
        <v/>
      </c>
      <c r="CP15" s="10">
        <f>'Finance'!CS17</f>
        <v/>
      </c>
      <c r="CQ15" s="11">
        <f>IF(COUNT('Finance'!CT17)=1,'Finance'!CT17,"")</f>
        <v/>
      </c>
      <c r="CR15" s="11">
        <f>'Finance'!CU17</f>
        <v/>
      </c>
      <c r="CS15" s="11">
        <f>'Finance'!CV17</f>
        <v/>
      </c>
      <c r="CT15" s="10">
        <f>IF(COUNT('Finance'!CW17)=1,'Finance'!CW17,"")</f>
        <v/>
      </c>
      <c r="CU15" s="10">
        <f>'Finance'!CX17</f>
        <v/>
      </c>
      <c r="CV15" s="10">
        <f>'Finance'!CY17</f>
        <v/>
      </c>
      <c r="CW15" s="11">
        <f>IF(COUNT('Finance'!CZ17)=1,'Finance'!CZ17,"")</f>
        <v/>
      </c>
      <c r="CX15" s="11">
        <f>'Finance'!DA17</f>
        <v/>
      </c>
      <c r="CY15" s="11">
        <f>'Finance'!DB17</f>
        <v/>
      </c>
      <c r="CZ15" s="10">
        <f>IF(COUNT('Finance'!DC17)=1,'Finance'!DC17,"")</f>
        <v/>
      </c>
      <c r="DA15" s="10">
        <f>'Finance'!DD17</f>
        <v/>
      </c>
      <c r="DB15" s="10">
        <f>'Finance'!DE17</f>
        <v/>
      </c>
      <c r="DC15" s="11">
        <f>IF(COUNT('Finance'!DF17)=1,'Finance'!DF17,"")</f>
        <v/>
      </c>
      <c r="DD15" s="11">
        <f>'Finance'!DG17</f>
        <v/>
      </c>
      <c r="DE15" s="11">
        <f>'Finance'!DH17</f>
        <v/>
      </c>
      <c r="DF15" s="10">
        <f>IF(COUNT('Finance'!DI17)=1,'Finance'!DI17,"")</f>
        <v/>
      </c>
      <c r="DG15" s="10">
        <f>'Finance'!DJ17</f>
        <v/>
      </c>
      <c r="DH15" s="10">
        <f>'Finance'!DK17</f>
        <v/>
      </c>
      <c r="DI15" s="11">
        <f>IF(COUNT('Finance'!DL17)=1,'Finance'!DL17,"")</f>
        <v/>
      </c>
      <c r="DJ15" s="11">
        <f>'Finance'!DM17</f>
        <v/>
      </c>
      <c r="DK15" s="11">
        <f>'Finance'!DN17</f>
        <v/>
      </c>
      <c r="DL15" s="10" t="n">
        <v>0</v>
      </c>
      <c r="DM15" s="10" t="n">
        <v>0</v>
      </c>
      <c r="DN15" s="10" t="n">
        <v>0</v>
      </c>
    </row>
    <row r="16">
      <c r="A16" s="2" t="inlineStr">
        <is>
          <t>Income Tax Expense</t>
        </is>
      </c>
      <c r="B16" s="10">
        <f>IF(COUNT(AR16,AO16,AL16,AI16,AF16,AC16,Z16,W16,T16,Q16,N16,K16)=0,"",SUM(AR16,AO16,AL16,AI16,AF16,AC16,Z16,W16,T16,Q16,N16,K16))</f>
        <v/>
      </c>
      <c r="C16" s="10">
        <f>IF(COUNT(AS16,AP16,AM16,AJ16,AG16,AD16,AA16,X16,U16,R16,O16,L16)=0,"",SUM(AS16,AP16,AM16,AJ16,AG16,AD16,AA16,X16,U16,R16,O16,L16))</f>
        <v/>
      </c>
      <c r="D16" s="10">
        <f>IF(COUNT(AT16,AQ16,AN16,AK16,AH16,AE16,AB16,Y16,V16,S16,P16,M16)=0,"",SUM(AT16,AQ16,AN16,AK16,AH16,AE16,AB16,Y16,V16,S16,P16,M16))</f>
        <v/>
      </c>
      <c r="E16" s="11">
        <f>IF(COUNT(CB16,BY16,BV16,BS16,BP16,BM16,BJ16,BG16,BD16,BA16,AX16,AU16)=0,"",SUM(CB16,BY16,BV16,BS16,BP16,BM16,BJ16,BG16,BD16,BA16,AX16,AU16))</f>
        <v/>
      </c>
      <c r="F16" s="11">
        <f>IF(COUNT(CC16,BZ16,BW16,BT16,BQ16,BN16,BK16,BH16,BE16,BB16,AY16,AV16)=0,"",SUM(CC16,BZ16,BW16,BT16,BQ16,BN16,BK16,BH16,BE16,BB16,AY16,AV16))</f>
        <v/>
      </c>
      <c r="G16" s="11">
        <f>IF(COUNT(CD16,CA16,BX16,BU16,BR16,BO16,BL16,BI16,BF16,BC16,AZ16,AW16)=0,"",SUM(CD16,CA16,BX16,BU16,BR16,BO16,BL16,BI16,BF16,BC16,AZ16,AW16))</f>
        <v/>
      </c>
      <c r="H16" s="10">
        <f>IF(COUNT(DL16,DI16,DF16,DC16,CZ16,CW16,CT16,CQ16,CN16,CK16,CH16,CE16)=0,"",SUM(DL16,DI16,DF16,DC16,CZ16,CW16,CT16,CQ16,CN16,CK16,CH16,CE16))</f>
        <v/>
      </c>
      <c r="I16" s="10">
        <f>IF(COUNT(DM16,DJ16,DG16,DD16,DA16,CX16,CU16,CR16,CO16,CL16,CI16,CF16)=0,"",SUM(DM16,DJ16,DG16,DD16,DA16,CX16,CU16,CR16,CO16,CL16,CI16,CF16))</f>
        <v/>
      </c>
      <c r="J16" s="10">
        <f>IF(COUNT(DN16,DK16,DH16,DE16,DB16,CY16,CV16,CS16,CP16,CM16,CJ16,CG16)=0,"",SUM(DN16,DK16,DH16,DE16,DB16,CY16,CV16,CS16,CP16,CM16,CJ16,CG16))</f>
        <v/>
      </c>
      <c r="K16" s="11">
        <f>IF(COUNT('Summary'!K12)=1,MAX(0,'Summary'!K12-K15)*K14,"")</f>
        <v/>
      </c>
      <c r="L16" s="11">
        <f>MAX(0,'Summary'!L12-L15)*L14</f>
        <v/>
      </c>
      <c r="M16" s="11">
        <f>MAX(0,'Summary'!M12-M15)*M14</f>
        <v/>
      </c>
      <c r="N16" s="10">
        <f>IF(COUNT('Summary'!N12)=1,MAX(0,'Summary'!N12-N15)*N14,"")</f>
        <v/>
      </c>
      <c r="O16" s="10">
        <f>MAX(0,'Summary'!O12-O15)*O14</f>
        <v/>
      </c>
      <c r="P16" s="10">
        <f>MAX(0,'Summary'!P12-P15)*P14</f>
        <v/>
      </c>
      <c r="Q16" s="11">
        <f>IF(COUNT('Summary'!Q12)=1,MAX(0,'Summary'!Q12-Q15)*Q14,"")</f>
        <v/>
      </c>
      <c r="R16" s="11">
        <f>MAX(0,'Summary'!R12-R15)*R14</f>
        <v/>
      </c>
      <c r="S16" s="11">
        <f>MAX(0,'Summary'!S12-S15)*S14</f>
        <v/>
      </c>
      <c r="T16" s="10">
        <f>IF(COUNT('Summary'!T12)=1,MAX(0,'Summary'!T12-T15)*T14,"")</f>
        <v/>
      </c>
      <c r="U16" s="10">
        <f>MAX(0,'Summary'!U12-U15)*U14</f>
        <v/>
      </c>
      <c r="V16" s="10">
        <f>MAX(0,'Summary'!V12-V15)*V14</f>
        <v/>
      </c>
      <c r="W16" s="11">
        <f>IF(COUNT('Summary'!W12)=1,MAX(0,'Summary'!W12-W15)*W14,"")</f>
        <v/>
      </c>
      <c r="X16" s="11">
        <f>MAX(0,'Summary'!X12-X15)*X14</f>
        <v/>
      </c>
      <c r="Y16" s="11">
        <f>MAX(0,'Summary'!Y12-Y15)*Y14</f>
        <v/>
      </c>
      <c r="Z16" s="10">
        <f>IF(COUNT('Summary'!Z12)=1,MAX(0,'Summary'!Z12-Z15)*Z14,"")</f>
        <v/>
      </c>
      <c r="AA16" s="10">
        <f>MAX(0,'Summary'!AA12-AA15)*AA14</f>
        <v/>
      </c>
      <c r="AB16" s="10">
        <f>MAX(0,'Summary'!AB12-AB15)*AB14</f>
        <v/>
      </c>
      <c r="AC16" s="11">
        <f>IF(COUNT('Summary'!AC12)=1,MAX(0,'Summary'!AC12-AC15)*AC14,"")</f>
        <v/>
      </c>
      <c r="AD16" s="11">
        <f>MAX(0,'Summary'!AD12-AD15)*AD14</f>
        <v/>
      </c>
      <c r="AE16" s="11">
        <f>MAX(0,'Summary'!AE12-AE15)*AE14</f>
        <v/>
      </c>
      <c r="AF16" s="10">
        <f>IF(COUNT('Summary'!AF12)=1,MAX(0,'Summary'!AF12-AF15)*AF14,"")</f>
        <v/>
      </c>
      <c r="AG16" s="10">
        <f>MAX(0,'Summary'!AG12-AG15)*AG14</f>
        <v/>
      </c>
      <c r="AH16" s="10">
        <f>MAX(0,'Summary'!AH12-AH15)*AH14</f>
        <v/>
      </c>
      <c r="AI16" s="11">
        <f>IF(COUNT('Summary'!AI12)=1,MAX(0,'Summary'!AI12-AI15)*AI14,"")</f>
        <v/>
      </c>
      <c r="AJ16" s="11">
        <f>MAX(0,'Summary'!AJ12-AJ15)*AJ14</f>
        <v/>
      </c>
      <c r="AK16" s="11">
        <f>MAX(0,'Summary'!AK12-AK15)*AK14</f>
        <v/>
      </c>
      <c r="AL16" s="10">
        <f>IF(COUNT('Summary'!AL12)=1,MAX(0,'Summary'!AL12-AL15)*AL14,"")</f>
        <v/>
      </c>
      <c r="AM16" s="10">
        <f>MAX(0,'Summary'!AM12-AM15)*AM14</f>
        <v/>
      </c>
      <c r="AN16" s="10">
        <f>MAX(0,'Summary'!AN12-AN15)*AN14</f>
        <v/>
      </c>
      <c r="AO16" s="11">
        <f>IF(COUNT('Summary'!AO12)=1,MAX(0,'Summary'!AO12-AO15)*AO14,"")</f>
        <v/>
      </c>
      <c r="AP16" s="11">
        <f>MAX(0,'Summary'!AP12-AP15)*AP14</f>
        <v/>
      </c>
      <c r="AQ16" s="11">
        <f>MAX(0,'Summary'!AQ12-AQ15)*AQ14</f>
        <v/>
      </c>
      <c r="AR16" s="10">
        <f>IF(COUNT('Summary'!AR12)=1,MAX(0,'Summary'!AR12-AR15)*AR14,"")</f>
        <v/>
      </c>
      <c r="AS16" s="10">
        <f>MAX(0,'Summary'!AS12-AS15)*AS14</f>
        <v/>
      </c>
      <c r="AT16" s="10">
        <f>MAX(0,'Summary'!AT12-AT15)*AT14</f>
        <v/>
      </c>
      <c r="AU16" s="11">
        <f>IF(COUNT('Summary'!AU12)=1,MAX(0,'Summary'!AU12-AU15)*AU14,"")</f>
        <v/>
      </c>
      <c r="AV16" s="11">
        <f>MAX(0,'Summary'!AV12-AV15)*AV14</f>
        <v/>
      </c>
      <c r="AW16" s="11">
        <f>MAX(0,'Summary'!AW12-AW15)*AW14</f>
        <v/>
      </c>
      <c r="AX16" s="10">
        <f>IF(COUNT('Summary'!AX12)=1,MAX(0,'Summary'!AX12-AX15)*AX14,"")</f>
        <v/>
      </c>
      <c r="AY16" s="10">
        <f>MAX(0,'Summary'!AY12-AY15)*AY14</f>
        <v/>
      </c>
      <c r="AZ16" s="10">
        <f>MAX(0,'Summary'!AZ12-AZ15)*AZ14</f>
        <v/>
      </c>
      <c r="BA16" s="11">
        <f>IF(COUNT('Summary'!BA12)=1,MAX(0,'Summary'!BA12-BA15)*BA14,"")</f>
        <v/>
      </c>
      <c r="BB16" s="11">
        <f>MAX(0,'Summary'!BB12-BB15)*BB14</f>
        <v/>
      </c>
      <c r="BC16" s="11">
        <f>MAX(0,'Summary'!BC12-BC15)*BC14</f>
        <v/>
      </c>
      <c r="BD16" s="10">
        <f>IF(COUNT('Summary'!BD12)=1,MAX(0,'Summary'!BD12-BD15)*BD14,"")</f>
        <v/>
      </c>
      <c r="BE16" s="10">
        <f>MAX(0,'Summary'!BE12-BE15)*BE14</f>
        <v/>
      </c>
      <c r="BF16" s="10">
        <f>MAX(0,'Summary'!BF12-BF15)*BF14</f>
        <v/>
      </c>
      <c r="BG16" s="11">
        <f>IF(COUNT('Summary'!BG12)=1,MAX(0,'Summary'!BG12-BG15)*BG14,"")</f>
        <v/>
      </c>
      <c r="BH16" s="11">
        <f>MAX(0,'Summary'!BH12-BH15)*BH14</f>
        <v/>
      </c>
      <c r="BI16" s="11">
        <f>MAX(0,'Summary'!BI12-BI15)*BI14</f>
        <v/>
      </c>
      <c r="BJ16" s="10">
        <f>IF(COUNT('Summary'!BJ12)=1,MAX(0,'Summary'!BJ12-BJ15)*BJ14,"")</f>
        <v/>
      </c>
      <c r="BK16" s="10">
        <f>MAX(0,'Summary'!BK12-BK15)*BK14</f>
        <v/>
      </c>
      <c r="BL16" s="10">
        <f>MAX(0,'Summary'!BL12-BL15)*BL14</f>
        <v/>
      </c>
      <c r="BM16" s="11">
        <f>IF(COUNT('Summary'!BM12)=1,MAX(0,'Summary'!BM12-BM15)*BM14,"")</f>
        <v/>
      </c>
      <c r="BN16" s="11">
        <f>MAX(0,'Summary'!BN12-BN15)*BN14</f>
        <v/>
      </c>
      <c r="BO16" s="11">
        <f>MAX(0,'Summary'!BO12-BO15)*BO14</f>
        <v/>
      </c>
      <c r="BP16" s="10">
        <f>IF(COUNT('Summary'!BP12)=1,MAX(0,'Summary'!BP12-BP15)*BP14,"")</f>
        <v/>
      </c>
      <c r="BQ16" s="10">
        <f>MAX(0,'Summary'!BQ12-BQ15)*BQ14</f>
        <v/>
      </c>
      <c r="BR16" s="10">
        <f>MAX(0,'Summary'!BR12-BR15)*BR14</f>
        <v/>
      </c>
      <c r="BS16" s="11">
        <f>IF(COUNT('Summary'!BS12)=1,MAX(0,'Summary'!BS12-BS15)*BS14,"")</f>
        <v/>
      </c>
      <c r="BT16" s="11">
        <f>MAX(0,'Summary'!BT12-BT15)*BT14</f>
        <v/>
      </c>
      <c r="BU16" s="11">
        <f>MAX(0,'Summary'!BU12-BU15)*BU14</f>
        <v/>
      </c>
      <c r="BV16" s="10">
        <f>IF(COUNT('Summary'!BV12)=1,MAX(0,'Summary'!BV12-BV15)*BV14,"")</f>
        <v/>
      </c>
      <c r="BW16" s="10">
        <f>MAX(0,'Summary'!BW12-BW15)*BW14</f>
        <v/>
      </c>
      <c r="BX16" s="10">
        <f>MAX(0,'Summary'!BX12-BX15)*BX14</f>
        <v/>
      </c>
      <c r="BY16" s="11">
        <f>IF(COUNT('Summary'!BY12)=1,MAX(0,'Summary'!BY12-BY15)*BY14,"")</f>
        <v/>
      </c>
      <c r="BZ16" s="11">
        <f>MAX(0,'Summary'!BZ12-BZ15)*BZ14</f>
        <v/>
      </c>
      <c r="CA16" s="11">
        <f>MAX(0,'Summary'!CA12-CA15)*CA14</f>
        <v/>
      </c>
      <c r="CB16" s="10">
        <f>IF(COUNT('Summary'!CB12)=1,MAX(0,'Summary'!CB12-CB15)*CB14,"")</f>
        <v/>
      </c>
      <c r="CC16" s="10">
        <f>MAX(0,'Summary'!CC12-CC15)*CC14</f>
        <v/>
      </c>
      <c r="CD16" s="10">
        <f>MAX(0,'Summary'!CD12-CD15)*CD14</f>
        <v/>
      </c>
      <c r="CE16" s="11">
        <f>IF(COUNT('Summary'!CE12)=1,MAX(0,'Summary'!CE12-CE15)*CE14,"")</f>
        <v/>
      </c>
      <c r="CF16" s="11">
        <f>MAX(0,'Summary'!CF12-CF15)*CF14</f>
        <v/>
      </c>
      <c r="CG16" s="11">
        <f>MAX(0,'Summary'!CG12-CG15)*CG14</f>
        <v/>
      </c>
      <c r="CH16" s="10">
        <f>IF(COUNT('Summary'!CH12)=1,MAX(0,'Summary'!CH12-CH15)*CH14,"")</f>
        <v/>
      </c>
      <c r="CI16" s="10">
        <f>MAX(0,'Summary'!CI12-CI15)*CI14</f>
        <v/>
      </c>
      <c r="CJ16" s="10">
        <f>MAX(0,'Summary'!CJ12-CJ15)*CJ14</f>
        <v/>
      </c>
      <c r="CK16" s="11">
        <f>IF(COUNT('Summary'!CK12)=1,MAX(0,'Summary'!CK12-CK15)*CK14,"")</f>
        <v/>
      </c>
      <c r="CL16" s="11">
        <f>MAX(0,'Summary'!CL12-CL15)*CL14</f>
        <v/>
      </c>
      <c r="CM16" s="11">
        <f>MAX(0,'Summary'!CM12-CM15)*CM14</f>
        <v/>
      </c>
      <c r="CN16" s="10">
        <f>IF(COUNT('Summary'!CN12)=1,MAX(0,'Summary'!CN12-CN15)*CN14,"")</f>
        <v/>
      </c>
      <c r="CO16" s="10">
        <f>MAX(0,'Summary'!CO12-CO15)*CO14</f>
        <v/>
      </c>
      <c r="CP16" s="10">
        <f>MAX(0,'Summary'!CP12-CP15)*CP14</f>
        <v/>
      </c>
      <c r="CQ16" s="11">
        <f>IF(COUNT('Summary'!CQ12)=1,MAX(0,'Summary'!CQ12-CQ15)*CQ14,"")</f>
        <v/>
      </c>
      <c r="CR16" s="11">
        <f>MAX(0,'Summary'!CR12-CR15)*CR14</f>
        <v/>
      </c>
      <c r="CS16" s="11">
        <f>MAX(0,'Summary'!CS12-CS15)*CS14</f>
        <v/>
      </c>
      <c r="CT16" s="10">
        <f>IF(COUNT('Summary'!CT12)=1,MAX(0,'Summary'!CT12-CT15)*CT14,"")</f>
        <v/>
      </c>
      <c r="CU16" s="10">
        <f>MAX(0,'Summary'!CU12-CU15)*CU14</f>
        <v/>
      </c>
      <c r="CV16" s="10">
        <f>MAX(0,'Summary'!CV12-CV15)*CV14</f>
        <v/>
      </c>
      <c r="CW16" s="11">
        <f>IF(COUNT('Summary'!CW12)=1,MAX(0,'Summary'!CW12-CW15)*CW14,"")</f>
        <v/>
      </c>
      <c r="CX16" s="11">
        <f>MAX(0,'Summary'!CX12-CX15)*CX14</f>
        <v/>
      </c>
      <c r="CY16" s="11">
        <f>MAX(0,'Summary'!CY12-CY15)*CY14</f>
        <v/>
      </c>
      <c r="CZ16" s="10">
        <f>IF(COUNT('Summary'!CZ12)=1,MAX(0,'Summary'!CZ12-CZ15)*CZ14,"")</f>
        <v/>
      </c>
      <c r="DA16" s="10">
        <f>MAX(0,'Summary'!DA12-DA15)*DA14</f>
        <v/>
      </c>
      <c r="DB16" s="10">
        <f>MAX(0,'Summary'!DB12-DB15)*DB14</f>
        <v/>
      </c>
      <c r="DC16" s="11">
        <f>IF(COUNT('Summary'!DC12)=1,MAX(0,'Summary'!DC12-DC15)*DC14,"")</f>
        <v/>
      </c>
      <c r="DD16" s="11">
        <f>MAX(0,'Summary'!DD12-DD15)*DD14</f>
        <v/>
      </c>
      <c r="DE16" s="11">
        <f>MAX(0,'Summary'!DE12-DE15)*DE14</f>
        <v/>
      </c>
      <c r="DF16" s="10">
        <f>IF(COUNT('Summary'!DF12)=1,MAX(0,'Summary'!DF12-DF15)*DF14,"")</f>
        <v/>
      </c>
      <c r="DG16" s="10">
        <f>MAX(0,'Summary'!DG12-DG15)*DG14</f>
        <v/>
      </c>
      <c r="DH16" s="10">
        <f>MAX(0,'Summary'!DH12-DH15)*DH14</f>
        <v/>
      </c>
      <c r="DI16" s="11">
        <f>IF(COUNT('Summary'!DI12)=1,MAX(0,'Summary'!DI12-DI15)*DI14,"")</f>
        <v/>
      </c>
      <c r="DJ16" s="11">
        <f>MAX(0,'Summary'!DJ12-DJ15)*DJ14</f>
        <v/>
      </c>
      <c r="DK16" s="11">
        <f>MAX(0,'Summary'!DK12-DK15)*DK14</f>
        <v/>
      </c>
      <c r="DL16" s="10">
        <f>IF(COUNT('Summary'!DL12)=1,MAX(0,'Summary'!DL12-DL15)*DL14,"")</f>
        <v/>
      </c>
      <c r="DM16" s="10">
        <f>MAX(0,'Summary'!DM12-DM15)*DM14</f>
        <v/>
      </c>
      <c r="DN16" s="10">
        <f>MAX(0,'Summary'!DN12-DN15)*DN14</f>
        <v/>
      </c>
    </row>
    <row r="17">
      <c r="A17" s="2" t="inlineStr">
        <is>
          <t>Losses Carried Forward, Closing</t>
        </is>
      </c>
      <c r="B17" s="10">
        <f>IF(K17&lt;&gt;"",K17,IF(N17&lt;&gt;"",N17,IF(Q17&lt;&gt;"",Q17,IF(T17&lt;&gt;"",T17,IF(W17&lt;&gt;"",W17,IF(Z17&lt;&gt;"",Z17,IF(AC17&lt;&gt;"",AC17,IF(AF17&lt;&gt;"",AF17,IF(AI17&lt;&gt;"",AI17,IF(AL17&lt;&gt;"",AL17,IF(AO17&lt;&gt;"",AO17,IF(AR17&lt;&gt;"",AR17,""))))))))))))</f>
        <v/>
      </c>
      <c r="C17" s="10">
        <f>IF(L17&lt;&gt;"",L17,IF(O17&lt;&gt;"",O17,IF(R17&lt;&gt;"",R17,IF(U17&lt;&gt;"",U17,IF(X17&lt;&gt;"",X17,IF(AA17&lt;&gt;"",AA17,IF(AD17&lt;&gt;"",AD17,IF(AG17&lt;&gt;"",AG17,IF(AJ17&lt;&gt;"",AJ17,IF(AM17&lt;&gt;"",AM17,IF(AP17&lt;&gt;"",AP17,IF(AS17&lt;&gt;"",AS17,""))))))))))))</f>
        <v/>
      </c>
      <c r="D17" s="10">
        <f>IF(M17&lt;&gt;"",M17,IF(P17&lt;&gt;"",P17,IF(S17&lt;&gt;"",S17,IF(V17&lt;&gt;"",V17,IF(Y17&lt;&gt;"",Y17,IF(AB17&lt;&gt;"",AB17,IF(AE17&lt;&gt;"",AE17,IF(AH17&lt;&gt;"",AH17,IF(AK17&lt;&gt;"",AK17,IF(AN17&lt;&gt;"",AN17,IF(AQ17&lt;&gt;"",AQ17,IF(AT17&lt;&gt;"",AT17,""))))))))))))</f>
        <v/>
      </c>
      <c r="E17" s="11">
        <f>IF(AU17&lt;&gt;"",AU17,IF(AX17&lt;&gt;"",AX17,IF(BA17&lt;&gt;"",BA17,IF(BD17&lt;&gt;"",BD17,IF(BG17&lt;&gt;"",BG17,IF(BJ17&lt;&gt;"",BJ17,IF(BM17&lt;&gt;"",BM17,IF(BP17&lt;&gt;"",BP17,IF(BS17&lt;&gt;"",BS17,IF(BV17&lt;&gt;"",BV17,IF(BY17&lt;&gt;"",BY17,IF(CB17&lt;&gt;"",CB17,""))))))))))))</f>
        <v/>
      </c>
      <c r="F17" s="11">
        <f>IF(AV17&lt;&gt;"",AV17,IF(AY17&lt;&gt;"",AY17,IF(BB17&lt;&gt;"",BB17,IF(BE17&lt;&gt;"",BE17,IF(BH17&lt;&gt;"",BH17,IF(BK17&lt;&gt;"",BK17,IF(BN17&lt;&gt;"",BN17,IF(BQ17&lt;&gt;"",BQ17,IF(BT17&lt;&gt;"",BT17,IF(BW17&lt;&gt;"",BW17,IF(BZ17&lt;&gt;"",BZ17,IF(CC17&lt;&gt;"",CC17,""))))))))))))</f>
        <v/>
      </c>
      <c r="G17" s="11">
        <f>IF(AW17&lt;&gt;"",AW17,IF(AZ17&lt;&gt;"",AZ17,IF(BC17&lt;&gt;"",BC17,IF(BF17&lt;&gt;"",BF17,IF(BI17&lt;&gt;"",BI17,IF(BL17&lt;&gt;"",BL17,IF(BO17&lt;&gt;"",BO17,IF(BR17&lt;&gt;"",BR17,IF(BU17&lt;&gt;"",BU17,IF(BX17&lt;&gt;"",BX17,IF(CA17&lt;&gt;"",CA17,IF(CD17&lt;&gt;"",CD17,""))))))))))))</f>
        <v/>
      </c>
      <c r="H17" s="10">
        <f>IF(CE17&lt;&gt;"",CE17,IF(CH17&lt;&gt;"",CH17,IF(CK17&lt;&gt;"",CK17,IF(CN17&lt;&gt;"",CN17,IF(CQ17&lt;&gt;"",CQ17,IF(CT17&lt;&gt;"",CT17,IF(CW17&lt;&gt;"",CW17,IF(CZ17&lt;&gt;"",CZ17,IF(DC17&lt;&gt;"",DC17,IF(DF17&lt;&gt;"",DF17,IF(DI17&lt;&gt;"",DI17,IF(DL17&lt;&gt;"",DL17,""))))))))))))</f>
        <v/>
      </c>
      <c r="I17" s="10">
        <f>IF(CF17&lt;&gt;"",CF17,IF(CI17&lt;&gt;"",CI17,IF(CL17&lt;&gt;"",CL17,IF(CO17&lt;&gt;"",CO17,IF(CR17&lt;&gt;"",CR17,IF(CU17&lt;&gt;"",CU17,IF(CX17&lt;&gt;"",CX17,IF(DA17&lt;&gt;"",DA17,IF(DD17&lt;&gt;"",DD17,IF(DG17&lt;&gt;"",DG17,IF(DJ17&lt;&gt;"",DJ17,IF(DM17&lt;&gt;"",DM17,""))))))))))))</f>
        <v/>
      </c>
      <c r="J17" s="10">
        <f>IF(CG17&lt;&gt;"",CG17,IF(CJ17&lt;&gt;"",CJ17,IF(CM17&lt;&gt;"",CM17,IF(CP17&lt;&gt;"",CP17,IF(CS17&lt;&gt;"",CS17,IF(CV17&lt;&gt;"",CV17,IF(CY17&lt;&gt;"",CY17,IF(DB17&lt;&gt;"",DB17,IF(DE17&lt;&gt;"",DE17,IF(DH17&lt;&gt;"",DH17,IF(DK17&lt;&gt;"",DK17,IF(DN17&lt;&gt;"",DN17,""))))))))))))</f>
        <v/>
      </c>
      <c r="K17" s="11">
        <f>IF(COUNT('Summary'!K12)=1,MAX(0,K15-MAX(0,'Summary'!K12))+MAX(0,-'Summary'!K12),"")</f>
        <v/>
      </c>
      <c r="L17" s="11">
        <f>MAX(0,L15-MAX(0,'Summary'!L12))+MAX(0,-'Summary'!L12)</f>
        <v/>
      </c>
      <c r="M17" s="11">
        <f>MAX(0,M15-MAX(0,'Summary'!M12))+MAX(0,-'Summary'!M12)</f>
        <v/>
      </c>
      <c r="N17" s="10">
        <f>IF(COUNT('Summary'!N12)=1,MAX(0,N15-MAX(0,'Summary'!N12))+MAX(0,-'Summary'!N12),"")</f>
        <v/>
      </c>
      <c r="O17" s="10">
        <f>MAX(0,O15-MAX(0,'Summary'!O12))+MAX(0,-'Summary'!O12)</f>
        <v/>
      </c>
      <c r="P17" s="10">
        <f>MAX(0,P15-MAX(0,'Summary'!P12))+MAX(0,-'Summary'!P12)</f>
        <v/>
      </c>
      <c r="Q17" s="11">
        <f>IF(COUNT('Summary'!Q12)=1,MAX(0,Q15-MAX(0,'Summary'!Q12))+MAX(0,-'Summary'!Q12),"")</f>
        <v/>
      </c>
      <c r="R17" s="11">
        <f>MAX(0,R15-MAX(0,'Summary'!R12))+MAX(0,-'Summary'!R12)</f>
        <v/>
      </c>
      <c r="S17" s="11">
        <f>MAX(0,S15-MAX(0,'Summary'!S12))+MAX(0,-'Summary'!S12)</f>
        <v/>
      </c>
      <c r="T17" s="10">
        <f>IF(COUNT('Summary'!T12)=1,MAX(0,T15-MAX(0,'Summary'!T12))+MAX(0,-'Summary'!T12),"")</f>
        <v/>
      </c>
      <c r="U17" s="10">
        <f>MAX(0,U15-MAX(0,'Summary'!U12))+MAX(0,-'Summary'!U12)</f>
        <v/>
      </c>
      <c r="V17" s="10">
        <f>MAX(0,V15-MAX(0,'Summary'!V12))+MAX(0,-'Summary'!V12)</f>
        <v/>
      </c>
      <c r="W17" s="11">
        <f>IF(COUNT('Summary'!W12)=1,MAX(0,W15-MAX(0,'Summary'!W12))+MAX(0,-'Summary'!W12),"")</f>
        <v/>
      </c>
      <c r="X17" s="11">
        <f>MAX(0,X15-MAX(0,'Summary'!X12))+MAX(0,-'Summary'!X12)</f>
        <v/>
      </c>
      <c r="Y17" s="11">
        <f>MAX(0,Y15-MAX(0,'Summary'!Y12))+MAX(0,-'Summary'!Y12)</f>
        <v/>
      </c>
      <c r="Z17" s="10">
        <f>IF(COUNT('Summary'!Z12)=1,MAX(0,Z15-MAX(0,'Summary'!Z12))+MAX(0,-'Summary'!Z12),"")</f>
        <v/>
      </c>
      <c r="AA17" s="10">
        <f>MAX(0,AA15-MAX(0,'Summary'!AA12))+MAX(0,-'Summary'!AA12)</f>
        <v/>
      </c>
      <c r="AB17" s="10">
        <f>MAX(0,AB15-MAX(0,'Summary'!AB12))+MAX(0,-'Summary'!AB12)</f>
        <v/>
      </c>
      <c r="AC17" s="11">
        <f>IF(COUNT('Summary'!AC12)=1,MAX(0,AC15-MAX(0,'Summary'!AC12))+MAX(0,-'Summary'!AC12),"")</f>
        <v/>
      </c>
      <c r="AD17" s="11">
        <f>MAX(0,AD15-MAX(0,'Summary'!AD12))+MAX(0,-'Summary'!AD12)</f>
        <v/>
      </c>
      <c r="AE17" s="11">
        <f>MAX(0,AE15-MAX(0,'Summary'!AE12))+MAX(0,-'Summary'!AE12)</f>
        <v/>
      </c>
      <c r="AF17" s="10">
        <f>IF(COUNT('Summary'!AF12)=1,MAX(0,AF15-MAX(0,'Summary'!AF12))+MAX(0,-'Summary'!AF12),"")</f>
        <v/>
      </c>
      <c r="AG17" s="10">
        <f>MAX(0,AG15-MAX(0,'Summary'!AG12))+MAX(0,-'Summary'!AG12)</f>
        <v/>
      </c>
      <c r="AH17" s="10">
        <f>MAX(0,AH15-MAX(0,'Summary'!AH12))+MAX(0,-'Summary'!AH12)</f>
        <v/>
      </c>
      <c r="AI17" s="11">
        <f>IF(COUNT('Summary'!AI12)=1,MAX(0,AI15-MAX(0,'Summary'!AI12))+MAX(0,-'Summary'!AI12),"")</f>
        <v/>
      </c>
      <c r="AJ17" s="11">
        <f>MAX(0,AJ15-MAX(0,'Summary'!AJ12))+MAX(0,-'Summary'!AJ12)</f>
        <v/>
      </c>
      <c r="AK17" s="11">
        <f>MAX(0,AK15-MAX(0,'Summary'!AK12))+MAX(0,-'Summary'!AK12)</f>
        <v/>
      </c>
      <c r="AL17" s="10">
        <f>IF(COUNT('Summary'!AL12)=1,MAX(0,AL15-MAX(0,'Summary'!AL12))+MAX(0,-'Summary'!AL12),"")</f>
        <v/>
      </c>
      <c r="AM17" s="10">
        <f>MAX(0,AM15-MAX(0,'Summary'!AM12))+MAX(0,-'Summary'!AM12)</f>
        <v/>
      </c>
      <c r="AN17" s="10">
        <f>MAX(0,AN15-MAX(0,'Summary'!AN12))+MAX(0,-'Summary'!AN12)</f>
        <v/>
      </c>
      <c r="AO17" s="11">
        <f>IF(COUNT('Summary'!AO12)=1,MAX(0,AO15-MAX(0,'Summary'!AO12))+MAX(0,-'Summary'!AO12),"")</f>
        <v/>
      </c>
      <c r="AP17" s="11">
        <f>MAX(0,AP15-MAX(0,'Summary'!AP12))+MAX(0,-'Summary'!AP12)</f>
        <v/>
      </c>
      <c r="AQ17" s="11">
        <f>MAX(0,AQ15-MAX(0,'Summary'!AQ12))+MAX(0,-'Summary'!AQ12)</f>
        <v/>
      </c>
      <c r="AR17" s="10">
        <f>IF(COUNT('Summary'!AR12)=1,MAX(0,AR15-MAX(0,'Summary'!AR12))+MAX(0,-'Summary'!AR12),"")</f>
        <v/>
      </c>
      <c r="AS17" s="10">
        <f>MAX(0,AS15-MAX(0,'Summary'!AS12))+MAX(0,-'Summary'!AS12)</f>
        <v/>
      </c>
      <c r="AT17" s="10">
        <f>MAX(0,AT15-MAX(0,'Summary'!AT12))+MAX(0,-'Summary'!AT12)</f>
        <v/>
      </c>
      <c r="AU17" s="11">
        <f>IF(COUNT('Summary'!AU12)=1,MAX(0,AU15-MAX(0,'Summary'!AU12))+MAX(0,-'Summary'!AU12),"")</f>
        <v/>
      </c>
      <c r="AV17" s="11">
        <f>MAX(0,AV15-MAX(0,'Summary'!AV12))+MAX(0,-'Summary'!AV12)</f>
        <v/>
      </c>
      <c r="AW17" s="11">
        <f>MAX(0,AW15-MAX(0,'Summary'!AW12))+MAX(0,-'Summary'!AW12)</f>
        <v/>
      </c>
      <c r="AX17" s="10">
        <f>IF(COUNT('Summary'!AX12)=1,MAX(0,AX15-MAX(0,'Summary'!AX12))+MAX(0,-'Summary'!AX12),"")</f>
        <v/>
      </c>
      <c r="AY17" s="10">
        <f>MAX(0,AY15-MAX(0,'Summary'!AY12))+MAX(0,-'Summary'!AY12)</f>
        <v/>
      </c>
      <c r="AZ17" s="10">
        <f>MAX(0,AZ15-MAX(0,'Summary'!AZ12))+MAX(0,-'Summary'!AZ12)</f>
        <v/>
      </c>
      <c r="BA17" s="11">
        <f>IF(COUNT('Summary'!BA12)=1,MAX(0,BA15-MAX(0,'Summary'!BA12))+MAX(0,-'Summary'!BA12),"")</f>
        <v/>
      </c>
      <c r="BB17" s="11">
        <f>MAX(0,BB15-MAX(0,'Summary'!BB12))+MAX(0,-'Summary'!BB12)</f>
        <v/>
      </c>
      <c r="BC17" s="11">
        <f>MAX(0,BC15-MAX(0,'Summary'!BC12))+MAX(0,-'Summary'!BC12)</f>
        <v/>
      </c>
      <c r="BD17" s="10">
        <f>IF(COUNT('Summary'!BD12)=1,MAX(0,BD15-MAX(0,'Summary'!BD12))+MAX(0,-'Summary'!BD12),"")</f>
        <v/>
      </c>
      <c r="BE17" s="10">
        <f>MAX(0,BE15-MAX(0,'Summary'!BE12))+MAX(0,-'Summary'!BE12)</f>
        <v/>
      </c>
      <c r="BF17" s="10">
        <f>MAX(0,BF15-MAX(0,'Summary'!BF12))+MAX(0,-'Summary'!BF12)</f>
        <v/>
      </c>
      <c r="BG17" s="11">
        <f>IF(COUNT('Summary'!BG12)=1,MAX(0,BG15-MAX(0,'Summary'!BG12))+MAX(0,-'Summary'!BG12),"")</f>
        <v/>
      </c>
      <c r="BH17" s="11">
        <f>MAX(0,BH15-MAX(0,'Summary'!BH12))+MAX(0,-'Summary'!BH12)</f>
        <v/>
      </c>
      <c r="BI17" s="11">
        <f>MAX(0,BI15-MAX(0,'Summary'!BI12))+MAX(0,-'Summary'!BI12)</f>
        <v/>
      </c>
      <c r="BJ17" s="10">
        <f>IF(COUNT('Summary'!BJ12)=1,MAX(0,BJ15-MAX(0,'Summary'!BJ12))+MAX(0,-'Summary'!BJ12),"")</f>
        <v/>
      </c>
      <c r="BK17" s="10">
        <f>MAX(0,BK15-MAX(0,'Summary'!BK12))+MAX(0,-'Summary'!BK12)</f>
        <v/>
      </c>
      <c r="BL17" s="10">
        <f>MAX(0,BL15-MAX(0,'Summary'!BL12))+MAX(0,-'Summary'!BL12)</f>
        <v/>
      </c>
      <c r="BM17" s="11">
        <f>IF(COUNT('Summary'!BM12)=1,MAX(0,BM15-MAX(0,'Summary'!BM12))+MAX(0,-'Summary'!BM12),"")</f>
        <v/>
      </c>
      <c r="BN17" s="11">
        <f>MAX(0,BN15-MAX(0,'Summary'!BN12))+MAX(0,-'Summary'!BN12)</f>
        <v/>
      </c>
      <c r="BO17" s="11">
        <f>MAX(0,BO15-MAX(0,'Summary'!BO12))+MAX(0,-'Summary'!BO12)</f>
        <v/>
      </c>
      <c r="BP17" s="10">
        <f>IF(COUNT('Summary'!BP12)=1,MAX(0,BP15-MAX(0,'Summary'!BP12))+MAX(0,-'Summary'!BP12),"")</f>
        <v/>
      </c>
      <c r="BQ17" s="10">
        <f>MAX(0,BQ15-MAX(0,'Summary'!BQ12))+MAX(0,-'Summary'!BQ12)</f>
        <v/>
      </c>
      <c r="BR17" s="10">
        <f>MAX(0,BR15-MAX(0,'Summary'!BR12))+MAX(0,-'Summary'!BR12)</f>
        <v/>
      </c>
      <c r="BS17" s="11">
        <f>IF(COUNT('Summary'!BS12)=1,MAX(0,BS15-MAX(0,'Summary'!BS12))+MAX(0,-'Summary'!BS12),"")</f>
        <v/>
      </c>
      <c r="BT17" s="11">
        <f>MAX(0,BT15-MAX(0,'Summary'!BT12))+MAX(0,-'Summary'!BT12)</f>
        <v/>
      </c>
      <c r="BU17" s="11">
        <f>MAX(0,BU15-MAX(0,'Summary'!BU12))+MAX(0,-'Summary'!BU12)</f>
        <v/>
      </c>
      <c r="BV17" s="10">
        <f>IF(COUNT('Summary'!BV12)=1,MAX(0,BV15-MAX(0,'Summary'!BV12))+MAX(0,-'Summary'!BV12),"")</f>
        <v/>
      </c>
      <c r="BW17" s="10">
        <f>MAX(0,BW15-MAX(0,'Summary'!BW12))+MAX(0,-'Summary'!BW12)</f>
        <v/>
      </c>
      <c r="BX17" s="10">
        <f>MAX(0,BX15-MAX(0,'Summary'!BX12))+MAX(0,-'Summary'!BX12)</f>
        <v/>
      </c>
      <c r="BY17" s="11">
        <f>IF(COUNT('Summary'!BY12)=1,MAX(0,BY15-MAX(0,'Summary'!BY12))+MAX(0,-'Summary'!BY12),"")</f>
        <v/>
      </c>
      <c r="BZ17" s="11">
        <f>MAX(0,BZ15-MAX(0,'Summary'!BZ12))+MAX(0,-'Summary'!BZ12)</f>
        <v/>
      </c>
      <c r="CA17" s="11">
        <f>MAX(0,CA15-MAX(0,'Summary'!CA12))+MAX(0,-'Summary'!CA12)</f>
        <v/>
      </c>
      <c r="CB17" s="10">
        <f>IF(COUNT('Summary'!CB12)=1,MAX(0,CB15-MAX(0,'Summary'!CB12))+MAX(0,-'Summary'!CB12),"")</f>
        <v/>
      </c>
      <c r="CC17" s="10">
        <f>MAX(0,CC15-MAX(0,'Summary'!CC12))+MAX(0,-'Summary'!CC12)</f>
        <v/>
      </c>
      <c r="CD17" s="10">
        <f>MAX(0,CD15-MAX(0,'Summary'!CD12))+MAX(0,-'Summary'!CD12)</f>
        <v/>
      </c>
      <c r="CE17" s="11">
        <f>IF(COUNT('Summary'!CE12)=1,MAX(0,CE15-MAX(0,'Summary'!CE12))+MAX(0,-'Summary'!CE12),"")</f>
        <v/>
      </c>
      <c r="CF17" s="11">
        <f>MAX(0,CF15-MAX(0,'Summary'!CF12))+MAX(0,-'Summary'!CF12)</f>
        <v/>
      </c>
      <c r="CG17" s="11">
        <f>MAX(0,CG15-MAX(0,'Summary'!CG12))+MAX(0,-'Summary'!CG12)</f>
        <v/>
      </c>
      <c r="CH17" s="10">
        <f>IF(COUNT('Summary'!CH12)=1,MAX(0,CH15-MAX(0,'Summary'!CH12))+MAX(0,-'Summary'!CH12),"")</f>
        <v/>
      </c>
      <c r="CI17" s="10">
        <f>MAX(0,CI15-MAX(0,'Summary'!CI12))+MAX(0,-'Summary'!CI12)</f>
        <v/>
      </c>
      <c r="CJ17" s="10">
        <f>MAX(0,CJ15-MAX(0,'Summary'!CJ12))+MAX(0,-'Summary'!CJ12)</f>
        <v/>
      </c>
      <c r="CK17" s="11">
        <f>IF(COUNT('Summary'!CK12)=1,MAX(0,CK15-MAX(0,'Summary'!CK12))+MAX(0,-'Summary'!CK12),"")</f>
        <v/>
      </c>
      <c r="CL17" s="11">
        <f>MAX(0,CL15-MAX(0,'Summary'!CL12))+MAX(0,-'Summary'!CL12)</f>
        <v/>
      </c>
      <c r="CM17" s="11">
        <f>MAX(0,CM15-MAX(0,'Summary'!CM12))+MAX(0,-'Summary'!CM12)</f>
        <v/>
      </c>
      <c r="CN17" s="10">
        <f>IF(COUNT('Summary'!CN12)=1,MAX(0,CN15-MAX(0,'Summary'!CN12))+MAX(0,-'Summary'!CN12),"")</f>
        <v/>
      </c>
      <c r="CO17" s="10">
        <f>MAX(0,CO15-MAX(0,'Summary'!CO12))+MAX(0,-'Summary'!CO12)</f>
        <v/>
      </c>
      <c r="CP17" s="10">
        <f>MAX(0,CP15-MAX(0,'Summary'!CP12))+MAX(0,-'Summary'!CP12)</f>
        <v/>
      </c>
      <c r="CQ17" s="11">
        <f>IF(COUNT('Summary'!CQ12)=1,MAX(0,CQ15-MAX(0,'Summary'!CQ12))+MAX(0,-'Summary'!CQ12),"")</f>
        <v/>
      </c>
      <c r="CR17" s="11">
        <f>MAX(0,CR15-MAX(0,'Summary'!CR12))+MAX(0,-'Summary'!CR12)</f>
        <v/>
      </c>
      <c r="CS17" s="11">
        <f>MAX(0,CS15-MAX(0,'Summary'!CS12))+MAX(0,-'Summary'!CS12)</f>
        <v/>
      </c>
      <c r="CT17" s="10">
        <f>IF(COUNT('Summary'!CT12)=1,MAX(0,CT15-MAX(0,'Summary'!CT12))+MAX(0,-'Summary'!CT12),"")</f>
        <v/>
      </c>
      <c r="CU17" s="10">
        <f>MAX(0,CU15-MAX(0,'Summary'!CU12))+MAX(0,-'Summary'!CU12)</f>
        <v/>
      </c>
      <c r="CV17" s="10">
        <f>MAX(0,CV15-MAX(0,'Summary'!CV12))+MAX(0,-'Summary'!CV12)</f>
        <v/>
      </c>
      <c r="CW17" s="11">
        <f>IF(COUNT('Summary'!CW12)=1,MAX(0,CW15-MAX(0,'Summary'!CW12))+MAX(0,-'Summary'!CW12),"")</f>
        <v/>
      </c>
      <c r="CX17" s="11">
        <f>MAX(0,CX15-MAX(0,'Summary'!CX12))+MAX(0,-'Summary'!CX12)</f>
        <v/>
      </c>
      <c r="CY17" s="11">
        <f>MAX(0,CY15-MAX(0,'Summary'!CY12))+MAX(0,-'Summary'!CY12)</f>
        <v/>
      </c>
      <c r="CZ17" s="10">
        <f>IF(COUNT('Summary'!CZ12)=1,MAX(0,CZ15-MAX(0,'Summary'!CZ12))+MAX(0,-'Summary'!CZ12),"")</f>
        <v/>
      </c>
      <c r="DA17" s="10">
        <f>MAX(0,DA15-MAX(0,'Summary'!DA12))+MAX(0,-'Summary'!DA12)</f>
        <v/>
      </c>
      <c r="DB17" s="10">
        <f>MAX(0,DB15-MAX(0,'Summary'!DB12))+MAX(0,-'Summary'!DB12)</f>
        <v/>
      </c>
      <c r="DC17" s="11">
        <f>IF(COUNT('Summary'!DC12)=1,MAX(0,DC15-MAX(0,'Summary'!DC12))+MAX(0,-'Summary'!DC12),"")</f>
        <v/>
      </c>
      <c r="DD17" s="11">
        <f>MAX(0,DD15-MAX(0,'Summary'!DD12))+MAX(0,-'Summary'!DD12)</f>
        <v/>
      </c>
      <c r="DE17" s="11">
        <f>MAX(0,DE15-MAX(0,'Summary'!DE12))+MAX(0,-'Summary'!DE12)</f>
        <v/>
      </c>
      <c r="DF17" s="10">
        <f>IF(COUNT('Summary'!DF12)=1,MAX(0,DF15-MAX(0,'Summary'!DF12))+MAX(0,-'Summary'!DF12),"")</f>
        <v/>
      </c>
      <c r="DG17" s="10">
        <f>MAX(0,DG15-MAX(0,'Summary'!DG12))+MAX(0,-'Summary'!DG12)</f>
        <v/>
      </c>
      <c r="DH17" s="10">
        <f>MAX(0,DH15-MAX(0,'Summary'!DH12))+MAX(0,-'Summary'!DH12)</f>
        <v/>
      </c>
      <c r="DI17" s="11">
        <f>IF(COUNT('Summary'!DI12)=1,MAX(0,DI15-MAX(0,'Summary'!DI12))+MAX(0,-'Summary'!DI12),"")</f>
        <v/>
      </c>
      <c r="DJ17" s="11">
        <f>MAX(0,DJ15-MAX(0,'Summary'!DJ12))+MAX(0,-'Summary'!DJ12)</f>
        <v/>
      </c>
      <c r="DK17" s="11">
        <f>MAX(0,DK15-MAX(0,'Summary'!DK12))+MAX(0,-'Summary'!DK12)</f>
        <v/>
      </c>
      <c r="DL17" s="10">
        <f>IF(COUNT('Summary'!DL12)=1,MAX(0,DL15-MAX(0,'Summary'!DL12))+MAX(0,-'Summary'!DL12),"")</f>
        <v/>
      </c>
      <c r="DM17" s="10">
        <f>MAX(0,DM15-MAX(0,'Summary'!DM12))+MAX(0,-'Summary'!DM12)</f>
        <v/>
      </c>
      <c r="DN17" s="10">
        <f>MAX(0,DN15-MAX(0,'Summary'!DN12))+MAX(0,-'Summary'!DN12)</f>
        <v/>
      </c>
    </row>
    <row r="18">
      <c r="A18" s="15" t="inlineStr">
        <is>
          <t>Equipment Cost per Person Added</t>
        </is>
      </c>
      <c r="B18" s="68">
        <f>IF(K18&lt;&gt;"",K18,IF(N18&lt;&gt;"",N18,IF(Q18&lt;&gt;"",Q18,IF(T18&lt;&gt;"",T18,IF(W18&lt;&gt;"",W18,IF(Z18&lt;&gt;"",Z18,IF(AC18&lt;&gt;"",AC18,IF(AF18&lt;&gt;"",AF18,IF(AI18&lt;&gt;"",AI18,IF(AL18&lt;&gt;"",AL18,IF(AO18&lt;&gt;"",AO18,IF(AR18&lt;&gt;"",AR18,""))))))))))))</f>
        <v/>
      </c>
      <c r="C18" s="68">
        <f>IF(L18&lt;&gt;"",L18,IF(O18&lt;&gt;"",O18,IF(R18&lt;&gt;"",R18,IF(U18&lt;&gt;"",U18,IF(X18&lt;&gt;"",X18,IF(AA18&lt;&gt;"",AA18,IF(AD18&lt;&gt;"",AD18,IF(AG18&lt;&gt;"",AG18,IF(AJ18&lt;&gt;"",AJ18,IF(AM18&lt;&gt;"",AM18,IF(AP18&lt;&gt;"",AP18,IF(AS18&lt;&gt;"",AS18,""))))))))))))</f>
        <v/>
      </c>
      <c r="D18" s="68">
        <f>IF(M18&lt;&gt;"",M18,IF(P18&lt;&gt;"",P18,IF(S18&lt;&gt;"",S18,IF(V18&lt;&gt;"",V18,IF(Y18&lt;&gt;"",Y18,IF(AB18&lt;&gt;"",AB18,IF(AE18&lt;&gt;"",AE18,IF(AH18&lt;&gt;"",AH18,IF(AK18&lt;&gt;"",AK18,IF(AN18&lt;&gt;"",AN18,IF(AQ18&lt;&gt;"",AQ18,IF(AT18&lt;&gt;"",AT18,""))))))))))))</f>
        <v/>
      </c>
      <c r="E18" s="69">
        <f>IF(AU18&lt;&gt;"",AU18,IF(AX18&lt;&gt;"",AX18,IF(BA18&lt;&gt;"",BA18,IF(BD18&lt;&gt;"",BD18,IF(BG18&lt;&gt;"",BG18,IF(BJ18&lt;&gt;"",BJ18,IF(BM18&lt;&gt;"",BM18,IF(BP18&lt;&gt;"",BP18,IF(BS18&lt;&gt;"",BS18,IF(BV18&lt;&gt;"",BV18,IF(BY18&lt;&gt;"",BY18,IF(CB18&lt;&gt;"",CB18,""))))))))))))</f>
        <v/>
      </c>
      <c r="F18" s="69">
        <f>IF(AV18&lt;&gt;"",AV18,IF(AY18&lt;&gt;"",AY18,IF(BB18&lt;&gt;"",BB18,IF(BE18&lt;&gt;"",BE18,IF(BH18&lt;&gt;"",BH18,IF(BK18&lt;&gt;"",BK18,IF(BN18&lt;&gt;"",BN18,IF(BQ18&lt;&gt;"",BQ18,IF(BT18&lt;&gt;"",BT18,IF(BW18&lt;&gt;"",BW18,IF(BZ18&lt;&gt;"",BZ18,IF(CC18&lt;&gt;"",CC18,""))))))))))))</f>
        <v/>
      </c>
      <c r="G18" s="69">
        <f>IF(AW18&lt;&gt;"",AW18,IF(AZ18&lt;&gt;"",AZ18,IF(BC18&lt;&gt;"",BC18,IF(BF18&lt;&gt;"",BF18,IF(BI18&lt;&gt;"",BI18,IF(BL18&lt;&gt;"",BL18,IF(BO18&lt;&gt;"",BO18,IF(BR18&lt;&gt;"",BR18,IF(BU18&lt;&gt;"",BU18,IF(BX18&lt;&gt;"",BX18,IF(CA18&lt;&gt;"",CA18,IF(CD18&lt;&gt;"",CD18,""))))))))))))</f>
        <v/>
      </c>
      <c r="H18" s="68">
        <f>IF(CE18&lt;&gt;"",CE18,IF(CH18&lt;&gt;"",CH18,IF(CK18&lt;&gt;"",CK18,IF(CN18&lt;&gt;"",CN18,IF(CQ18&lt;&gt;"",CQ18,IF(CT18&lt;&gt;"",CT18,IF(CW18&lt;&gt;"",CW18,IF(CZ18&lt;&gt;"",CZ18,IF(DC18&lt;&gt;"",DC18,IF(DF18&lt;&gt;"",DF18,IF(DI18&lt;&gt;"",DI18,IF(DL18&lt;&gt;"",DL18,""))))))))))))</f>
        <v/>
      </c>
      <c r="I18" s="68">
        <f>IF(CF18&lt;&gt;"",CF18,IF(CI18&lt;&gt;"",CI18,IF(CL18&lt;&gt;"",CL18,IF(CO18&lt;&gt;"",CO18,IF(CR18&lt;&gt;"",CR18,IF(CU18&lt;&gt;"",CU18,IF(CX18&lt;&gt;"",CX18,IF(DA18&lt;&gt;"",DA18,IF(DD18&lt;&gt;"",DD18,IF(DG18&lt;&gt;"",DG18,IF(DJ18&lt;&gt;"",DJ18,IF(DM18&lt;&gt;"",DM18,""))))))))))))</f>
        <v/>
      </c>
      <c r="J18" s="68">
        <f>IF(CG18&lt;&gt;"",CG18,IF(CJ18&lt;&gt;"",CJ18,IF(CM18&lt;&gt;"",CM18,IF(CP18&lt;&gt;"",CP18,IF(CS18&lt;&gt;"",CS18,IF(CV18&lt;&gt;"",CV18,IF(CY18&lt;&gt;"",CY18,IF(DB18&lt;&gt;"",DB18,IF(DE18&lt;&gt;"",DE18,IF(DH18&lt;&gt;"",DH18,IF(DK18&lt;&gt;"",DK18,IF(DN18&lt;&gt;"",DN18,""))))))))))))</f>
        <v/>
      </c>
      <c r="K18" s="69" t="n">
        <v>4500</v>
      </c>
      <c r="L18" s="69" t="n">
        <v>4500</v>
      </c>
      <c r="M18" s="69" t="n">
        <v>4500</v>
      </c>
      <c r="N18" s="68" t="n">
        <v>4500</v>
      </c>
      <c r="O18" s="68" t="n">
        <v>4500</v>
      </c>
      <c r="P18" s="68" t="n">
        <v>4500</v>
      </c>
      <c r="Q18" s="69" t="n">
        <v>4500</v>
      </c>
      <c r="R18" s="69" t="n">
        <v>4500</v>
      </c>
      <c r="S18" s="69" t="n">
        <v>4500</v>
      </c>
      <c r="T18" s="68" t="n">
        <v>4500</v>
      </c>
      <c r="U18" s="68" t="n">
        <v>4500</v>
      </c>
      <c r="V18" s="68" t="n">
        <v>4500</v>
      </c>
      <c r="W18" s="69" t="n">
        <v>4500</v>
      </c>
      <c r="X18" s="69" t="n">
        <v>4500</v>
      </c>
      <c r="Y18" s="69" t="n">
        <v>4500</v>
      </c>
      <c r="Z18" s="68" t="n">
        <v>4500</v>
      </c>
      <c r="AA18" s="68" t="n">
        <v>4500</v>
      </c>
      <c r="AB18" s="68" t="n">
        <v>4500</v>
      </c>
      <c r="AC18" s="69" t="n">
        <v>4500</v>
      </c>
      <c r="AD18" s="69" t="n">
        <v>4500</v>
      </c>
      <c r="AE18" s="69" t="n">
        <v>4500</v>
      </c>
      <c r="AF18" s="68" t="n">
        <v>4500</v>
      </c>
      <c r="AG18" s="68" t="n">
        <v>4500</v>
      </c>
      <c r="AH18" s="68" t="n">
        <v>4500</v>
      </c>
      <c r="AI18" s="69" t="n">
        <v>4500</v>
      </c>
      <c r="AJ18" s="69" t="n">
        <v>4500</v>
      </c>
      <c r="AK18" s="69" t="n">
        <v>4500</v>
      </c>
      <c r="AL18" s="68" t="n">
        <v>4500</v>
      </c>
      <c r="AM18" s="68" t="n">
        <v>4500</v>
      </c>
      <c r="AN18" s="68" t="n">
        <v>4500</v>
      </c>
      <c r="AO18" s="69" t="n">
        <v>4500</v>
      </c>
      <c r="AP18" s="69" t="n">
        <v>4500</v>
      </c>
      <c r="AQ18" s="69" t="n">
        <v>4500</v>
      </c>
      <c r="AR18" s="68" t="n">
        <v>4500</v>
      </c>
      <c r="AS18" s="68" t="n">
        <v>4500</v>
      </c>
      <c r="AT18" s="68" t="n">
        <v>4500</v>
      </c>
      <c r="AU18" s="69" t="n">
        <v>4500</v>
      </c>
      <c r="AV18" s="69" t="n">
        <v>4500</v>
      </c>
      <c r="AW18" s="69" t="n">
        <v>4500</v>
      </c>
      <c r="AX18" s="68" t="n">
        <v>4500</v>
      </c>
      <c r="AY18" s="68" t="n">
        <v>4500</v>
      </c>
      <c r="AZ18" s="68" t="n">
        <v>4500</v>
      </c>
      <c r="BA18" s="69" t="n">
        <v>4500</v>
      </c>
      <c r="BB18" s="69" t="n">
        <v>4500</v>
      </c>
      <c r="BC18" s="69" t="n">
        <v>4500</v>
      </c>
      <c r="BD18" s="68" t="n">
        <v>4500</v>
      </c>
      <c r="BE18" s="68" t="n">
        <v>4500</v>
      </c>
      <c r="BF18" s="68" t="n">
        <v>4500</v>
      </c>
      <c r="BG18" s="69" t="n">
        <v>4500</v>
      </c>
      <c r="BH18" s="69" t="n">
        <v>4500</v>
      </c>
      <c r="BI18" s="69" t="n">
        <v>4500</v>
      </c>
      <c r="BJ18" s="68" t="n">
        <v>4500</v>
      </c>
      <c r="BK18" s="68" t="n">
        <v>4500</v>
      </c>
      <c r="BL18" s="68" t="n">
        <v>4500</v>
      </c>
      <c r="BM18" s="69" t="n">
        <v>4500</v>
      </c>
      <c r="BN18" s="69" t="n">
        <v>4500</v>
      </c>
      <c r="BO18" s="69" t="n">
        <v>4500</v>
      </c>
      <c r="BP18" s="68" t="n">
        <v>4500</v>
      </c>
      <c r="BQ18" s="68" t="n">
        <v>4500</v>
      </c>
      <c r="BR18" s="68" t="n">
        <v>4500</v>
      </c>
      <c r="BS18" s="69" t="n">
        <v>4500</v>
      </c>
      <c r="BT18" s="69" t="n">
        <v>4500</v>
      </c>
      <c r="BU18" s="69" t="n">
        <v>4500</v>
      </c>
      <c r="BV18" s="68" t="n">
        <v>4500</v>
      </c>
      <c r="BW18" s="68" t="n">
        <v>4500</v>
      </c>
      <c r="BX18" s="68" t="n">
        <v>4500</v>
      </c>
      <c r="BY18" s="69" t="n">
        <v>4500</v>
      </c>
      <c r="BZ18" s="69" t="n">
        <v>4500</v>
      </c>
      <c r="CA18" s="69" t="n">
        <v>4500</v>
      </c>
      <c r="CB18" s="68" t="n">
        <v>4500</v>
      </c>
      <c r="CC18" s="68" t="n">
        <v>4500</v>
      </c>
      <c r="CD18" s="68" t="n">
        <v>4500</v>
      </c>
      <c r="CE18" s="69" t="n">
        <v>4500</v>
      </c>
      <c r="CF18" s="69" t="n">
        <v>4500</v>
      </c>
      <c r="CG18" s="69" t="n">
        <v>4500</v>
      </c>
      <c r="CH18" s="68" t="n">
        <v>4500</v>
      </c>
      <c r="CI18" s="68" t="n">
        <v>4500</v>
      </c>
      <c r="CJ18" s="68" t="n">
        <v>4500</v>
      </c>
      <c r="CK18" s="69" t="n">
        <v>4500</v>
      </c>
      <c r="CL18" s="69" t="n">
        <v>4500</v>
      </c>
      <c r="CM18" s="69" t="n">
        <v>4500</v>
      </c>
      <c r="CN18" s="68" t="n">
        <v>4500</v>
      </c>
      <c r="CO18" s="68" t="n">
        <v>4500</v>
      </c>
      <c r="CP18" s="68" t="n">
        <v>4500</v>
      </c>
      <c r="CQ18" s="69" t="n">
        <v>4500</v>
      </c>
      <c r="CR18" s="69" t="n">
        <v>4500</v>
      </c>
      <c r="CS18" s="69" t="n">
        <v>4500</v>
      </c>
      <c r="CT18" s="68" t="n">
        <v>4500</v>
      </c>
      <c r="CU18" s="68" t="n">
        <v>4500</v>
      </c>
      <c r="CV18" s="68" t="n">
        <v>4500</v>
      </c>
      <c r="CW18" s="69" t="n">
        <v>4500</v>
      </c>
      <c r="CX18" s="69" t="n">
        <v>4500</v>
      </c>
      <c r="CY18" s="69" t="n">
        <v>4500</v>
      </c>
      <c r="CZ18" s="68" t="n">
        <v>4500</v>
      </c>
      <c r="DA18" s="68" t="n">
        <v>4500</v>
      </c>
      <c r="DB18" s="68" t="n">
        <v>4500</v>
      </c>
      <c r="DC18" s="69" t="n">
        <v>4500</v>
      </c>
      <c r="DD18" s="69" t="n">
        <v>4500</v>
      </c>
      <c r="DE18" s="69" t="n">
        <v>4500</v>
      </c>
      <c r="DF18" s="68" t="n">
        <v>4500</v>
      </c>
      <c r="DG18" s="68" t="n">
        <v>4500</v>
      </c>
      <c r="DH18" s="68" t="n">
        <v>4500</v>
      </c>
      <c r="DI18" s="69" t="n">
        <v>4500</v>
      </c>
      <c r="DJ18" s="69" t="n">
        <v>4500</v>
      </c>
      <c r="DK18" s="69" t="n">
        <v>4500</v>
      </c>
      <c r="DL18" s="68" t="n">
        <v>4500</v>
      </c>
      <c r="DM18" s="68" t="n">
        <v>4500</v>
      </c>
      <c r="DN18" s="68" t="n">
        <v>4500</v>
      </c>
    </row>
    <row r="19">
      <c r="A19" s="15" t="inlineStr">
        <is>
          <t>Depreciation Life in Months</t>
        </is>
      </c>
      <c r="B19" s="36">
        <f>IF(K19&lt;&gt;"",K19,IF(N19&lt;&gt;"",N19,IF(Q19&lt;&gt;"",Q19,IF(T19&lt;&gt;"",T19,IF(W19&lt;&gt;"",W19,IF(Z19&lt;&gt;"",Z19,IF(AC19&lt;&gt;"",AC19,IF(AF19&lt;&gt;"",AF19,IF(AI19&lt;&gt;"",AI19,IF(AL19&lt;&gt;"",AL19,IF(AO19&lt;&gt;"",AO19,IF(AR19&lt;&gt;"",AR19,""))))))))))))</f>
        <v/>
      </c>
      <c r="C19" s="36">
        <f>IF(L19&lt;&gt;"",L19,IF(O19&lt;&gt;"",O19,IF(R19&lt;&gt;"",R19,IF(U19&lt;&gt;"",U19,IF(X19&lt;&gt;"",X19,IF(AA19&lt;&gt;"",AA19,IF(AD19&lt;&gt;"",AD19,IF(AG19&lt;&gt;"",AG19,IF(AJ19&lt;&gt;"",AJ19,IF(AM19&lt;&gt;"",AM19,IF(AP19&lt;&gt;"",AP19,IF(AS19&lt;&gt;"",AS19,""))))))))))))</f>
        <v/>
      </c>
      <c r="D19" s="36">
        <f>IF(M19&lt;&gt;"",M19,IF(P19&lt;&gt;"",P19,IF(S19&lt;&gt;"",S19,IF(V19&lt;&gt;"",V19,IF(Y19&lt;&gt;"",Y19,IF(AB19&lt;&gt;"",AB19,IF(AE19&lt;&gt;"",AE19,IF(AH19&lt;&gt;"",AH19,IF(AK19&lt;&gt;"",AK19,IF(AN19&lt;&gt;"",AN19,IF(AQ19&lt;&gt;"",AQ19,IF(AT19&lt;&gt;"",AT19,""))))))))))))</f>
        <v/>
      </c>
      <c r="E19" s="37">
        <f>IF(AU19&lt;&gt;"",AU19,IF(AX19&lt;&gt;"",AX19,IF(BA19&lt;&gt;"",BA19,IF(BD19&lt;&gt;"",BD19,IF(BG19&lt;&gt;"",BG19,IF(BJ19&lt;&gt;"",BJ19,IF(BM19&lt;&gt;"",BM19,IF(BP19&lt;&gt;"",BP19,IF(BS19&lt;&gt;"",BS19,IF(BV19&lt;&gt;"",BV19,IF(BY19&lt;&gt;"",BY19,IF(CB19&lt;&gt;"",CB19,""))))))))))))</f>
        <v/>
      </c>
      <c r="F19" s="37">
        <f>IF(AV19&lt;&gt;"",AV19,IF(AY19&lt;&gt;"",AY19,IF(BB19&lt;&gt;"",BB19,IF(BE19&lt;&gt;"",BE19,IF(BH19&lt;&gt;"",BH19,IF(BK19&lt;&gt;"",BK19,IF(BN19&lt;&gt;"",BN19,IF(BQ19&lt;&gt;"",BQ19,IF(BT19&lt;&gt;"",BT19,IF(BW19&lt;&gt;"",BW19,IF(BZ19&lt;&gt;"",BZ19,IF(CC19&lt;&gt;"",CC19,""))))))))))))</f>
        <v/>
      </c>
      <c r="G19" s="37">
        <f>IF(AW19&lt;&gt;"",AW19,IF(AZ19&lt;&gt;"",AZ19,IF(BC19&lt;&gt;"",BC19,IF(BF19&lt;&gt;"",BF19,IF(BI19&lt;&gt;"",BI19,IF(BL19&lt;&gt;"",BL19,IF(BO19&lt;&gt;"",BO19,IF(BR19&lt;&gt;"",BR19,IF(BU19&lt;&gt;"",BU19,IF(BX19&lt;&gt;"",BX19,IF(CA19&lt;&gt;"",CA19,IF(CD19&lt;&gt;"",CD19,""))))))))))))</f>
        <v/>
      </c>
      <c r="H19" s="36">
        <f>IF(CE19&lt;&gt;"",CE19,IF(CH19&lt;&gt;"",CH19,IF(CK19&lt;&gt;"",CK19,IF(CN19&lt;&gt;"",CN19,IF(CQ19&lt;&gt;"",CQ19,IF(CT19&lt;&gt;"",CT19,IF(CW19&lt;&gt;"",CW19,IF(CZ19&lt;&gt;"",CZ19,IF(DC19&lt;&gt;"",DC19,IF(DF19&lt;&gt;"",DF19,IF(DI19&lt;&gt;"",DI19,IF(DL19&lt;&gt;"",DL19,""))))))))))))</f>
        <v/>
      </c>
      <c r="I19" s="36">
        <f>IF(CF19&lt;&gt;"",CF19,IF(CI19&lt;&gt;"",CI19,IF(CL19&lt;&gt;"",CL19,IF(CO19&lt;&gt;"",CO19,IF(CR19&lt;&gt;"",CR19,IF(CU19&lt;&gt;"",CU19,IF(CX19&lt;&gt;"",CX19,IF(DA19&lt;&gt;"",DA19,IF(DD19&lt;&gt;"",DD19,IF(DG19&lt;&gt;"",DG19,IF(DJ19&lt;&gt;"",DJ19,IF(DM19&lt;&gt;"",DM19,""))))))))))))</f>
        <v/>
      </c>
      <c r="J19" s="36">
        <f>IF(CG19&lt;&gt;"",CG19,IF(CJ19&lt;&gt;"",CJ19,IF(CM19&lt;&gt;"",CM19,IF(CP19&lt;&gt;"",CP19,IF(CS19&lt;&gt;"",CS19,IF(CV19&lt;&gt;"",CV19,IF(CY19&lt;&gt;"",CY19,IF(DB19&lt;&gt;"",DB19,IF(DE19&lt;&gt;"",DE19,IF(DH19&lt;&gt;"",DH19,IF(DK19&lt;&gt;"",DK19,IF(DN19&lt;&gt;"",DN19,""))))))))))))</f>
        <v/>
      </c>
      <c r="K19" s="37" t="n">
        <v>36</v>
      </c>
      <c r="L19" s="37" t="n">
        <v>36</v>
      </c>
      <c r="M19" s="37" t="n">
        <v>36</v>
      </c>
      <c r="N19" s="36" t="n">
        <v>36</v>
      </c>
      <c r="O19" s="36" t="n">
        <v>36</v>
      </c>
      <c r="P19" s="36" t="n">
        <v>36</v>
      </c>
      <c r="Q19" s="37" t="n">
        <v>36</v>
      </c>
      <c r="R19" s="37" t="n">
        <v>36</v>
      </c>
      <c r="S19" s="37" t="n">
        <v>36</v>
      </c>
      <c r="T19" s="36" t="n">
        <v>36</v>
      </c>
      <c r="U19" s="36" t="n">
        <v>36</v>
      </c>
      <c r="V19" s="36" t="n">
        <v>36</v>
      </c>
      <c r="W19" s="37" t="n">
        <v>36</v>
      </c>
      <c r="X19" s="37" t="n">
        <v>36</v>
      </c>
      <c r="Y19" s="37" t="n">
        <v>36</v>
      </c>
      <c r="Z19" s="36" t="n">
        <v>36</v>
      </c>
      <c r="AA19" s="36" t="n">
        <v>36</v>
      </c>
      <c r="AB19" s="36" t="n">
        <v>36</v>
      </c>
      <c r="AC19" s="37" t="n">
        <v>36</v>
      </c>
      <c r="AD19" s="37" t="n">
        <v>36</v>
      </c>
      <c r="AE19" s="37" t="n">
        <v>36</v>
      </c>
      <c r="AF19" s="36" t="n">
        <v>36</v>
      </c>
      <c r="AG19" s="36" t="n">
        <v>36</v>
      </c>
      <c r="AH19" s="36" t="n">
        <v>36</v>
      </c>
      <c r="AI19" s="37" t="n">
        <v>36</v>
      </c>
      <c r="AJ19" s="37" t="n">
        <v>36</v>
      </c>
      <c r="AK19" s="37" t="n">
        <v>36</v>
      </c>
      <c r="AL19" s="36" t="n">
        <v>36</v>
      </c>
      <c r="AM19" s="36" t="n">
        <v>36</v>
      </c>
      <c r="AN19" s="36" t="n">
        <v>36</v>
      </c>
      <c r="AO19" s="37" t="n">
        <v>36</v>
      </c>
      <c r="AP19" s="37" t="n">
        <v>36</v>
      </c>
      <c r="AQ19" s="37" t="n">
        <v>36</v>
      </c>
      <c r="AR19" s="36" t="n">
        <v>36</v>
      </c>
      <c r="AS19" s="36" t="n">
        <v>36</v>
      </c>
      <c r="AT19" s="36" t="n">
        <v>36</v>
      </c>
      <c r="AU19" s="37" t="n">
        <v>36</v>
      </c>
      <c r="AV19" s="37" t="n">
        <v>36</v>
      </c>
      <c r="AW19" s="37" t="n">
        <v>36</v>
      </c>
      <c r="AX19" s="36" t="n">
        <v>36</v>
      </c>
      <c r="AY19" s="36" t="n">
        <v>36</v>
      </c>
      <c r="AZ19" s="36" t="n">
        <v>36</v>
      </c>
      <c r="BA19" s="37" t="n">
        <v>36</v>
      </c>
      <c r="BB19" s="37" t="n">
        <v>36</v>
      </c>
      <c r="BC19" s="37" t="n">
        <v>36</v>
      </c>
      <c r="BD19" s="36" t="n">
        <v>36</v>
      </c>
      <c r="BE19" s="36" t="n">
        <v>36</v>
      </c>
      <c r="BF19" s="36" t="n">
        <v>36</v>
      </c>
      <c r="BG19" s="37" t="n">
        <v>36</v>
      </c>
      <c r="BH19" s="37" t="n">
        <v>36</v>
      </c>
      <c r="BI19" s="37" t="n">
        <v>36</v>
      </c>
      <c r="BJ19" s="36" t="n">
        <v>36</v>
      </c>
      <c r="BK19" s="36" t="n">
        <v>36</v>
      </c>
      <c r="BL19" s="36" t="n">
        <v>36</v>
      </c>
      <c r="BM19" s="37" t="n">
        <v>36</v>
      </c>
      <c r="BN19" s="37" t="n">
        <v>36</v>
      </c>
      <c r="BO19" s="37" t="n">
        <v>36</v>
      </c>
      <c r="BP19" s="36" t="n">
        <v>36</v>
      </c>
      <c r="BQ19" s="36" t="n">
        <v>36</v>
      </c>
      <c r="BR19" s="36" t="n">
        <v>36</v>
      </c>
      <c r="BS19" s="37" t="n">
        <v>36</v>
      </c>
      <c r="BT19" s="37" t="n">
        <v>36</v>
      </c>
      <c r="BU19" s="37" t="n">
        <v>36</v>
      </c>
      <c r="BV19" s="36" t="n">
        <v>36</v>
      </c>
      <c r="BW19" s="36" t="n">
        <v>36</v>
      </c>
      <c r="BX19" s="36" t="n">
        <v>36</v>
      </c>
      <c r="BY19" s="37" t="n">
        <v>36</v>
      </c>
      <c r="BZ19" s="37" t="n">
        <v>36</v>
      </c>
      <c r="CA19" s="37" t="n">
        <v>36</v>
      </c>
      <c r="CB19" s="36" t="n">
        <v>36</v>
      </c>
      <c r="CC19" s="36" t="n">
        <v>36</v>
      </c>
      <c r="CD19" s="36" t="n">
        <v>36</v>
      </c>
      <c r="CE19" s="37" t="n">
        <v>36</v>
      </c>
      <c r="CF19" s="37" t="n">
        <v>36</v>
      </c>
      <c r="CG19" s="37" t="n">
        <v>36</v>
      </c>
      <c r="CH19" s="36" t="n">
        <v>36</v>
      </c>
      <c r="CI19" s="36" t="n">
        <v>36</v>
      </c>
      <c r="CJ19" s="36" t="n">
        <v>36</v>
      </c>
      <c r="CK19" s="37" t="n">
        <v>36</v>
      </c>
      <c r="CL19" s="37" t="n">
        <v>36</v>
      </c>
      <c r="CM19" s="37" t="n">
        <v>36</v>
      </c>
      <c r="CN19" s="36" t="n">
        <v>36</v>
      </c>
      <c r="CO19" s="36" t="n">
        <v>36</v>
      </c>
      <c r="CP19" s="36" t="n">
        <v>36</v>
      </c>
      <c r="CQ19" s="37" t="n">
        <v>36</v>
      </c>
      <c r="CR19" s="37" t="n">
        <v>36</v>
      </c>
      <c r="CS19" s="37" t="n">
        <v>36</v>
      </c>
      <c r="CT19" s="36" t="n">
        <v>36</v>
      </c>
      <c r="CU19" s="36" t="n">
        <v>36</v>
      </c>
      <c r="CV19" s="36" t="n">
        <v>36</v>
      </c>
      <c r="CW19" s="37" t="n">
        <v>36</v>
      </c>
      <c r="CX19" s="37" t="n">
        <v>36</v>
      </c>
      <c r="CY19" s="37" t="n">
        <v>36</v>
      </c>
      <c r="CZ19" s="36" t="n">
        <v>36</v>
      </c>
      <c r="DA19" s="36" t="n">
        <v>36</v>
      </c>
      <c r="DB19" s="36" t="n">
        <v>36</v>
      </c>
      <c r="DC19" s="37" t="n">
        <v>36</v>
      </c>
      <c r="DD19" s="37" t="n">
        <v>36</v>
      </c>
      <c r="DE19" s="37" t="n">
        <v>36</v>
      </c>
      <c r="DF19" s="36" t="n">
        <v>36</v>
      </c>
      <c r="DG19" s="36" t="n">
        <v>36</v>
      </c>
      <c r="DH19" s="36" t="n">
        <v>36</v>
      </c>
      <c r="DI19" s="37" t="n">
        <v>36</v>
      </c>
      <c r="DJ19" s="37" t="n">
        <v>36</v>
      </c>
      <c r="DK19" s="37" t="n">
        <v>36</v>
      </c>
      <c r="DL19" s="36" t="n">
        <v>36</v>
      </c>
      <c r="DM19" s="36" t="n">
        <v>36</v>
      </c>
      <c r="DN19" s="36" t="n">
        <v>36</v>
      </c>
    </row>
    <row r="20">
      <c r="A20" s="2" t="inlineStr">
        <is>
          <t>Depreciation</t>
        </is>
      </c>
      <c r="B20" s="10">
        <f>IF(COUNT(AR20,AO20,AL20,AI20,AF20,AC20,Z20,W20,T20,Q20,N20,K20)=0,"",SUM(AR20,AO20,AL20,AI20,AF20,AC20,Z20,W20,T20,Q20,N20,K20))</f>
        <v/>
      </c>
      <c r="C20" s="10">
        <f>IF(COUNT(AS20,AP20,AM20,AJ20,AG20,AD20,AA20,X20,U20,R20,O20,L20)=0,"",SUM(AS20,AP20,AM20,AJ20,AG20,AD20,AA20,X20,U20,R20,O20,L20))</f>
        <v/>
      </c>
      <c r="D20" s="10">
        <f>IF(COUNT(AT20,AQ20,AN20,AK20,AH20,AE20,AB20,Y20,V20,S20,P20,M20)=0,"",SUM(AT20,AQ20,AN20,AK20,AH20,AE20,AB20,Y20,V20,S20,P20,M20))</f>
        <v/>
      </c>
      <c r="E20" s="11">
        <f>IF(COUNT(CB20,BY20,BV20,BS20,BP20,BM20,BJ20,BG20,BD20,BA20,AX20,AU20)=0,"",SUM(CB20,BY20,BV20,BS20,BP20,BM20,BJ20,BG20,BD20,BA20,AX20,AU20))</f>
        <v/>
      </c>
      <c r="F20" s="11">
        <f>IF(COUNT(CC20,BZ20,BW20,BT20,BQ20,BN20,BK20,BH20,BE20,BB20,AY20,AV20)=0,"",SUM(CC20,BZ20,BW20,BT20,BQ20,BN20,BK20,BH20,BE20,BB20,AY20,AV20))</f>
        <v/>
      </c>
      <c r="G20" s="11">
        <f>IF(COUNT(CD20,CA20,BX20,BU20,BR20,BO20,BL20,BI20,BF20,BC20,AZ20,AW20)=0,"",SUM(CD20,CA20,BX20,BU20,BR20,BO20,BL20,BI20,BF20,BC20,AZ20,AW20))</f>
        <v/>
      </c>
      <c r="H20" s="10">
        <f>IF(COUNT(DL20,DI20,DF20,DC20,CZ20,CW20,CT20,CQ20,CN20,CK20,CH20,CE20)=0,"",SUM(DL20,DI20,DF20,DC20,CZ20,CW20,CT20,CQ20,CN20,CK20,CH20,CE20))</f>
        <v/>
      </c>
      <c r="I20" s="10">
        <f>IF(COUNT(DM20,DJ20,DG20,DD20,DA20,CX20,CU20,CR20,CO20,CL20,CI20,CF20)=0,"",SUM(DM20,DJ20,DG20,DD20,DA20,CX20,CU20,CR20,CO20,CL20,CI20,CF20))</f>
        <v/>
      </c>
      <c r="J20" s="10">
        <f>IF(COUNT(DN20,DK20,DH20,DE20,DB20,CY20,CV20,CS20,CP20,CM20,CJ20,CG20)=0,"",SUM(DN20,DK20,DH20,DE20,DB20,CY20,CV20,CS20,CP20,CM20,CJ20,CG20))</f>
        <v/>
      </c>
      <c r="K20" s="11">
        <f>IF(K19=0,"",(Finance!$B$65+SUM(DL9,DI9,DF9,DC9,CZ9,CW9,CT9,CQ9,CN9,CK9,CH9,CE9,CB9,BY9,BV9,BS9,BP9,BM9,BJ9,BG9,BD9,BA9,AX9,AU9,AR9,AO9,AL9,AI9,AF9,AC9,Z9,W9,T9,Q9,N9,K9))/K19)</f>
        <v/>
      </c>
      <c r="L20" s="11">
        <f>IF(L19=0,"",(Finance!$B$65+SUM(DM9,DJ9,DG9,DD9,DA9,CX9,CU9,CR9,CO9,CL9,CI9,CF9,CC9,BZ9,BW9,BT9,BQ9,BN9,BK9,BH9,BE9,BB9,AY9,AV9,AS9,AP9,AM9,AJ9,AG9,AD9,AA9,X9,U9,R9,O9,L9))/L19)</f>
        <v/>
      </c>
      <c r="M20" s="11">
        <f>IF(M19=0,"",(Finance!$B$65+SUM(DN9,DK9,DH9,DE9,DB9,CY9,CV9,CS9,CP9,CM9,CJ9,CG9,CD9,CA9,BX9,BU9,BR9,BO9,BL9,BI9,BF9,BC9,AZ9,AW9,AT9,AQ9,AN9,AK9,AH9,AE9,AB9,Y9,V9,S9,P9,M9))/M19)</f>
        <v/>
      </c>
      <c r="N20" s="10">
        <f>IF(N19=0,"",(Finance!$B$65+SUM(DL9,DI9,DF9,DC9,CZ9,CW9,CT9,CQ9,CN9,CK9,CH9,CE9,CB9,BY9,BV9,BS9,BP9,BM9,BJ9,BG9,BD9,BA9,AX9,AU9,AR9,AO9,AL9,AI9,AF9,AC9,Z9,W9,T9,Q9,N9))/N19)</f>
        <v/>
      </c>
      <c r="O20" s="10">
        <f>IF(O19=0,"",(Finance!$B$65+SUM(DM9,DJ9,DG9,DD9,DA9,CX9,CU9,CR9,CO9,CL9,CI9,CF9,CC9,BZ9,BW9,BT9,BQ9,BN9,BK9,BH9,BE9,BB9,AY9,AV9,AS9,AP9,AM9,AJ9,AG9,AD9,AA9,X9,U9,R9,O9))/O19)</f>
        <v/>
      </c>
      <c r="P20" s="10">
        <f>IF(P19=0,"",(Finance!$B$65+SUM(DN9,DK9,DH9,DE9,DB9,CY9,CV9,CS9,CP9,CM9,CJ9,CG9,CD9,CA9,BX9,BU9,BR9,BO9,BL9,BI9,BF9,BC9,AZ9,AW9,AT9,AQ9,AN9,AK9,AH9,AE9,AB9,Y9,V9,S9,P9))/P19)</f>
        <v/>
      </c>
      <c r="Q20" s="11">
        <f>IF(Q19=0,"",(Finance!$B$65+SUM(DL9,DI9,DF9,DC9,CZ9,CW9,CT9,CQ9,CN9,CK9,CH9,CE9,CB9,BY9,BV9,BS9,BP9,BM9,BJ9,BG9,BD9,BA9,AX9,AU9,AR9,AO9,AL9,AI9,AF9,AC9,Z9,W9,T9,Q9))/Q19)</f>
        <v/>
      </c>
      <c r="R20" s="11">
        <f>IF(R19=0,"",(Finance!$B$65+SUM(DM9,DJ9,DG9,DD9,DA9,CX9,CU9,CR9,CO9,CL9,CI9,CF9,CC9,BZ9,BW9,BT9,BQ9,BN9,BK9,BH9,BE9,BB9,AY9,AV9,AS9,AP9,AM9,AJ9,AG9,AD9,AA9,X9,U9,R9))/R19)</f>
        <v/>
      </c>
      <c r="S20" s="11">
        <f>IF(S19=0,"",(Finance!$B$65+SUM(DN9,DK9,DH9,DE9,DB9,CY9,CV9,CS9,CP9,CM9,CJ9,CG9,CD9,CA9,BX9,BU9,BR9,BO9,BL9,BI9,BF9,BC9,AZ9,AW9,AT9,AQ9,AN9,AK9,AH9,AE9,AB9,Y9,V9,S9))/S19)</f>
        <v/>
      </c>
      <c r="T20" s="10">
        <f>IF(T19=0,"",(Finance!$B$65+SUM(DL9,DI9,DF9,DC9,CZ9,CW9,CT9,CQ9,CN9,CK9,CH9,CE9,CB9,BY9,BV9,BS9,BP9,BM9,BJ9,BG9,BD9,BA9,AX9,AU9,AR9,AO9,AL9,AI9,AF9,AC9,Z9,W9,T9))/T19)</f>
        <v/>
      </c>
      <c r="U20" s="10">
        <f>IF(U19=0,"",(Finance!$B$65+SUM(DM9,DJ9,DG9,DD9,DA9,CX9,CU9,CR9,CO9,CL9,CI9,CF9,CC9,BZ9,BW9,BT9,BQ9,BN9,BK9,BH9,BE9,BB9,AY9,AV9,AS9,AP9,AM9,AJ9,AG9,AD9,AA9,X9,U9))/U19)</f>
        <v/>
      </c>
      <c r="V20" s="10">
        <f>IF(V19=0,"",(Finance!$B$65+SUM(DN9,DK9,DH9,DE9,DB9,CY9,CV9,CS9,CP9,CM9,CJ9,CG9,CD9,CA9,BX9,BU9,BR9,BO9,BL9,BI9,BF9,BC9,AZ9,AW9,AT9,AQ9,AN9,AK9,AH9,AE9,AB9,Y9,V9))/V19)</f>
        <v/>
      </c>
      <c r="W20" s="11">
        <f>IF(W19=0,"",(Finance!$B$65+SUM(DL9,DI9,DF9,DC9,CZ9,CW9,CT9,CQ9,CN9,CK9,CH9,CE9,CB9,BY9,BV9,BS9,BP9,BM9,BJ9,BG9,BD9,BA9,AX9,AU9,AR9,AO9,AL9,AI9,AF9,AC9,Z9,W9))/W19)</f>
        <v/>
      </c>
      <c r="X20" s="11">
        <f>IF(X19=0,"",(Finance!$B$65+SUM(DM9,DJ9,DG9,DD9,DA9,CX9,CU9,CR9,CO9,CL9,CI9,CF9,CC9,BZ9,BW9,BT9,BQ9,BN9,BK9,BH9,BE9,BB9,AY9,AV9,AS9,AP9,AM9,AJ9,AG9,AD9,AA9,X9))/X19)</f>
        <v/>
      </c>
      <c r="Y20" s="11">
        <f>IF(Y19=0,"",(Finance!$B$65+SUM(DN9,DK9,DH9,DE9,DB9,CY9,CV9,CS9,CP9,CM9,CJ9,CG9,CD9,CA9,BX9,BU9,BR9,BO9,BL9,BI9,BF9,BC9,AZ9,AW9,AT9,AQ9,AN9,AK9,AH9,AE9,AB9,Y9))/Y19)</f>
        <v/>
      </c>
      <c r="Z20" s="10">
        <f>IF(Z19=0,"",(Finance!$B$65+SUM(DL9,DI9,DF9,DC9,CZ9,CW9,CT9,CQ9,CN9,CK9,CH9,CE9,CB9,BY9,BV9,BS9,BP9,BM9,BJ9,BG9,BD9,BA9,AX9,AU9,AR9,AO9,AL9,AI9,AF9,AC9,Z9))/Z19)</f>
        <v/>
      </c>
      <c r="AA20" s="10">
        <f>IF(AA19=0,"",(Finance!$B$65+SUM(DM9,DJ9,DG9,DD9,DA9,CX9,CU9,CR9,CO9,CL9,CI9,CF9,CC9,BZ9,BW9,BT9,BQ9,BN9,BK9,BH9,BE9,BB9,AY9,AV9,AS9,AP9,AM9,AJ9,AG9,AD9,AA9))/AA19)</f>
        <v/>
      </c>
      <c r="AB20" s="10">
        <f>IF(AB19=0,"",(Finance!$B$65+SUM(DN9,DK9,DH9,DE9,DB9,CY9,CV9,CS9,CP9,CM9,CJ9,CG9,CD9,CA9,BX9,BU9,BR9,BO9,BL9,BI9,BF9,BC9,AZ9,AW9,AT9,AQ9,AN9,AK9,AH9,AE9,AB9))/AB19)</f>
        <v/>
      </c>
      <c r="AC20" s="11">
        <f>IF(AC19=0,"",(Finance!$B$65+SUM(DL9,DI9,DF9,DC9,CZ9,CW9,CT9,CQ9,CN9,CK9,CH9,CE9,CB9,BY9,BV9,BS9,BP9,BM9,BJ9,BG9,BD9,BA9,AX9,AU9,AR9,AO9,AL9,AI9,AF9,AC9))/AC19)</f>
        <v/>
      </c>
      <c r="AD20" s="11">
        <f>IF(AD19=0,"",(Finance!$B$65+SUM(DM9,DJ9,DG9,DD9,DA9,CX9,CU9,CR9,CO9,CL9,CI9,CF9,CC9,BZ9,BW9,BT9,BQ9,BN9,BK9,BH9,BE9,BB9,AY9,AV9,AS9,AP9,AM9,AJ9,AG9,AD9))/AD19)</f>
        <v/>
      </c>
      <c r="AE20" s="11">
        <f>IF(AE19=0,"",(Finance!$B$65+SUM(DN9,DK9,DH9,DE9,DB9,CY9,CV9,CS9,CP9,CM9,CJ9,CG9,CD9,CA9,BX9,BU9,BR9,BO9,BL9,BI9,BF9,BC9,AZ9,AW9,AT9,AQ9,AN9,AK9,AH9,AE9))/AE19)</f>
        <v/>
      </c>
      <c r="AF20" s="10">
        <f>IF(AF19=0,"",(Finance!$B$65+SUM(DL9,DI9,DF9,DC9,CZ9,CW9,CT9,CQ9,CN9,CK9,CH9,CE9,CB9,BY9,BV9,BS9,BP9,BM9,BJ9,BG9,BD9,BA9,AX9,AU9,AR9,AO9,AL9,AI9,AF9))/AF19)</f>
        <v/>
      </c>
      <c r="AG20" s="10">
        <f>IF(AG19=0,"",(Finance!$B$65+SUM(DM9,DJ9,DG9,DD9,DA9,CX9,CU9,CR9,CO9,CL9,CI9,CF9,CC9,BZ9,BW9,BT9,BQ9,BN9,BK9,BH9,BE9,BB9,AY9,AV9,AS9,AP9,AM9,AJ9,AG9))/AG19)</f>
        <v/>
      </c>
      <c r="AH20" s="10">
        <f>IF(AH19=0,"",(Finance!$B$65+SUM(DN9,DK9,DH9,DE9,DB9,CY9,CV9,CS9,CP9,CM9,CJ9,CG9,CD9,CA9,BX9,BU9,BR9,BO9,BL9,BI9,BF9,BC9,AZ9,AW9,AT9,AQ9,AN9,AK9,AH9))/AH19)</f>
        <v/>
      </c>
      <c r="AI20" s="11">
        <f>IF(AI19=0,"",(Finance!$B$65+SUM(DL9,DI9,DF9,DC9,CZ9,CW9,CT9,CQ9,CN9,CK9,CH9,CE9,CB9,BY9,BV9,BS9,BP9,BM9,BJ9,BG9,BD9,BA9,AX9,AU9,AR9,AO9,AL9,AI9))/AI19)</f>
        <v/>
      </c>
      <c r="AJ20" s="11">
        <f>IF(AJ19=0,"",(Finance!$B$65+SUM(DM9,DJ9,DG9,DD9,DA9,CX9,CU9,CR9,CO9,CL9,CI9,CF9,CC9,BZ9,BW9,BT9,BQ9,BN9,BK9,BH9,BE9,BB9,AY9,AV9,AS9,AP9,AM9,AJ9))/AJ19)</f>
        <v/>
      </c>
      <c r="AK20" s="11">
        <f>IF(AK19=0,"",(Finance!$B$65+SUM(DN9,DK9,DH9,DE9,DB9,CY9,CV9,CS9,CP9,CM9,CJ9,CG9,CD9,CA9,BX9,BU9,BR9,BO9,BL9,BI9,BF9,BC9,AZ9,AW9,AT9,AQ9,AN9,AK9))/AK19)</f>
        <v/>
      </c>
      <c r="AL20" s="10">
        <f>IF(AL19=0,"",(Finance!$B$65+SUM(DL9,DI9,DF9,DC9,CZ9,CW9,CT9,CQ9,CN9,CK9,CH9,CE9,CB9,BY9,BV9,BS9,BP9,BM9,BJ9,BG9,BD9,BA9,AX9,AU9,AR9,AO9,AL9))/AL19)</f>
        <v/>
      </c>
      <c r="AM20" s="10">
        <f>IF(AM19=0,"",(Finance!$B$65+SUM(DM9,DJ9,DG9,DD9,DA9,CX9,CU9,CR9,CO9,CL9,CI9,CF9,CC9,BZ9,BW9,BT9,BQ9,BN9,BK9,BH9,BE9,BB9,AY9,AV9,AS9,AP9,AM9))/AM19)</f>
        <v/>
      </c>
      <c r="AN20" s="10">
        <f>IF(AN19=0,"",(Finance!$B$65+SUM(DN9,DK9,DH9,DE9,DB9,CY9,CV9,CS9,CP9,CM9,CJ9,CG9,CD9,CA9,BX9,BU9,BR9,BO9,BL9,BI9,BF9,BC9,AZ9,AW9,AT9,AQ9,AN9))/AN19)</f>
        <v/>
      </c>
      <c r="AO20" s="11">
        <f>IF(AO19=0,"",(Finance!$B$65+SUM(DL9,DI9,DF9,DC9,CZ9,CW9,CT9,CQ9,CN9,CK9,CH9,CE9,CB9,BY9,BV9,BS9,BP9,BM9,BJ9,BG9,BD9,BA9,AX9,AU9,AR9,AO9))/AO19)</f>
        <v/>
      </c>
      <c r="AP20" s="11">
        <f>IF(AP19=0,"",(Finance!$B$65+SUM(DM9,DJ9,DG9,DD9,DA9,CX9,CU9,CR9,CO9,CL9,CI9,CF9,CC9,BZ9,BW9,BT9,BQ9,BN9,BK9,BH9,BE9,BB9,AY9,AV9,AS9,AP9))/AP19)</f>
        <v/>
      </c>
      <c r="AQ20" s="11">
        <f>IF(AQ19=0,"",(Finance!$B$65+SUM(DN9,DK9,DH9,DE9,DB9,CY9,CV9,CS9,CP9,CM9,CJ9,CG9,CD9,CA9,BX9,BU9,BR9,BO9,BL9,BI9,BF9,BC9,AZ9,AW9,AT9,AQ9))/AQ19)</f>
        <v/>
      </c>
      <c r="AR20" s="10">
        <f>IF(AR19=0,"",(Finance!$B$65+SUM(DL9,DI9,DF9,DC9,CZ9,CW9,CT9,CQ9,CN9,CK9,CH9,CE9,CB9,BY9,BV9,BS9,BP9,BM9,BJ9,BG9,BD9,BA9,AX9,AU9,AR9))/AR19)</f>
        <v/>
      </c>
      <c r="AS20" s="10">
        <f>IF(AS19=0,"",(Finance!$B$65+SUM(DM9,DJ9,DG9,DD9,DA9,CX9,CU9,CR9,CO9,CL9,CI9,CF9,CC9,BZ9,BW9,BT9,BQ9,BN9,BK9,BH9,BE9,BB9,AY9,AV9,AS9))/AS19)</f>
        <v/>
      </c>
      <c r="AT20" s="10">
        <f>IF(AT19=0,"",(Finance!$B$65+SUM(DN9,DK9,DH9,DE9,DB9,CY9,CV9,CS9,CP9,CM9,CJ9,CG9,CD9,CA9,BX9,BU9,BR9,BO9,BL9,BI9,BF9,BC9,AZ9,AW9,AT9))/AT19)</f>
        <v/>
      </c>
      <c r="AU20" s="11">
        <f>IF(AU19=0,"",(Finance!$B$65+SUM(DL9,DI9,DF9,DC9,CZ9,CW9,CT9,CQ9,CN9,CK9,CH9,CE9,CB9,BY9,BV9,BS9,BP9,BM9,BJ9,BG9,BD9,BA9,AX9,AU9))/AU19)</f>
        <v/>
      </c>
      <c r="AV20" s="11">
        <f>IF(AV19=0,"",(Finance!$B$65+SUM(DM9,DJ9,DG9,DD9,DA9,CX9,CU9,CR9,CO9,CL9,CI9,CF9,CC9,BZ9,BW9,BT9,BQ9,BN9,BK9,BH9,BE9,BB9,AY9,AV9))/AV19)</f>
        <v/>
      </c>
      <c r="AW20" s="11">
        <f>IF(AW19=0,"",(Finance!$B$65+SUM(DN9,DK9,DH9,DE9,DB9,CY9,CV9,CS9,CP9,CM9,CJ9,CG9,CD9,CA9,BX9,BU9,BR9,BO9,BL9,BI9,BF9,BC9,AZ9,AW9))/AW19)</f>
        <v/>
      </c>
      <c r="AX20" s="10">
        <f>IF(AX19=0,"",(Finance!$B$65+SUM(DL9,DI9,DF9,DC9,CZ9,CW9,CT9,CQ9,CN9,CK9,CH9,CE9,CB9,BY9,BV9,BS9,BP9,BM9,BJ9,BG9,BD9,BA9,AX9))/AX19)</f>
        <v/>
      </c>
      <c r="AY20" s="10">
        <f>IF(AY19=0,"",(Finance!$B$65+SUM(DM9,DJ9,DG9,DD9,DA9,CX9,CU9,CR9,CO9,CL9,CI9,CF9,CC9,BZ9,BW9,BT9,BQ9,BN9,BK9,BH9,BE9,BB9,AY9))/AY19)</f>
        <v/>
      </c>
      <c r="AZ20" s="10">
        <f>IF(AZ19=0,"",(Finance!$B$65+SUM(DN9,DK9,DH9,DE9,DB9,CY9,CV9,CS9,CP9,CM9,CJ9,CG9,CD9,CA9,BX9,BU9,BR9,BO9,BL9,BI9,BF9,BC9,AZ9))/AZ19)</f>
        <v/>
      </c>
      <c r="BA20" s="11">
        <f>IF(BA19=0,"",(Finance!$B$65+SUM(DL9,DI9,DF9,DC9,CZ9,CW9,CT9,CQ9,CN9,CK9,CH9,CE9,CB9,BY9,BV9,BS9,BP9,BM9,BJ9,BG9,BD9,BA9))/BA19)</f>
        <v/>
      </c>
      <c r="BB20" s="11">
        <f>IF(BB19=0,"",(Finance!$B$65+SUM(DM9,DJ9,DG9,DD9,DA9,CX9,CU9,CR9,CO9,CL9,CI9,CF9,CC9,BZ9,BW9,BT9,BQ9,BN9,BK9,BH9,BE9,BB9))/BB19)</f>
        <v/>
      </c>
      <c r="BC20" s="11">
        <f>IF(BC19=0,"",(Finance!$B$65+SUM(DN9,DK9,DH9,DE9,DB9,CY9,CV9,CS9,CP9,CM9,CJ9,CG9,CD9,CA9,BX9,BU9,BR9,BO9,BL9,BI9,BF9,BC9))/BC19)</f>
        <v/>
      </c>
      <c r="BD20" s="10">
        <f>IF(BD19=0,"",(Finance!$B$65+SUM(DL9,DI9,DF9,DC9,CZ9,CW9,CT9,CQ9,CN9,CK9,CH9,CE9,CB9,BY9,BV9,BS9,BP9,BM9,BJ9,BG9,BD9))/BD19)</f>
        <v/>
      </c>
      <c r="BE20" s="10">
        <f>IF(BE19=0,"",(Finance!$B$65+SUM(DM9,DJ9,DG9,DD9,DA9,CX9,CU9,CR9,CO9,CL9,CI9,CF9,CC9,BZ9,BW9,BT9,BQ9,BN9,BK9,BH9,BE9))/BE19)</f>
        <v/>
      </c>
      <c r="BF20" s="10">
        <f>IF(BF19=0,"",(Finance!$B$65+SUM(DN9,DK9,DH9,DE9,DB9,CY9,CV9,CS9,CP9,CM9,CJ9,CG9,CD9,CA9,BX9,BU9,BR9,BO9,BL9,BI9,BF9))/BF19)</f>
        <v/>
      </c>
      <c r="BG20" s="11">
        <f>IF(BG19=0,"",(Finance!$B$65+SUM(DL9,DI9,DF9,DC9,CZ9,CW9,CT9,CQ9,CN9,CK9,CH9,CE9,CB9,BY9,BV9,BS9,BP9,BM9,BJ9,BG9))/BG19)</f>
        <v/>
      </c>
      <c r="BH20" s="11">
        <f>IF(BH19=0,"",(Finance!$B$65+SUM(DM9,DJ9,DG9,DD9,DA9,CX9,CU9,CR9,CO9,CL9,CI9,CF9,CC9,BZ9,BW9,BT9,BQ9,BN9,BK9,BH9))/BH19)</f>
        <v/>
      </c>
      <c r="BI20" s="11">
        <f>IF(BI19=0,"",(Finance!$B$65+SUM(DN9,DK9,DH9,DE9,DB9,CY9,CV9,CS9,CP9,CM9,CJ9,CG9,CD9,CA9,BX9,BU9,BR9,BO9,BL9,BI9))/BI19)</f>
        <v/>
      </c>
      <c r="BJ20" s="10">
        <f>IF(BJ19=0,"",(Finance!$B$65+SUM(DL9,DI9,DF9,DC9,CZ9,CW9,CT9,CQ9,CN9,CK9,CH9,CE9,CB9,BY9,BV9,BS9,BP9,BM9,BJ9))/BJ19)</f>
        <v/>
      </c>
      <c r="BK20" s="10">
        <f>IF(BK19=0,"",(Finance!$B$65+SUM(DM9,DJ9,DG9,DD9,DA9,CX9,CU9,CR9,CO9,CL9,CI9,CF9,CC9,BZ9,BW9,BT9,BQ9,BN9,BK9))/BK19)</f>
        <v/>
      </c>
      <c r="BL20" s="10">
        <f>IF(BL19=0,"",(Finance!$B$65+SUM(DN9,DK9,DH9,DE9,DB9,CY9,CV9,CS9,CP9,CM9,CJ9,CG9,CD9,CA9,BX9,BU9,BR9,BO9,BL9))/BL19)</f>
        <v/>
      </c>
      <c r="BM20" s="11">
        <f>IF(BM19=0,"",(Finance!$B$65+SUM(DL9,DI9,DF9,DC9,CZ9,CW9,CT9,CQ9,CN9,CK9,CH9,CE9,CB9,BY9,BV9,BS9,BP9,BM9))/BM19)</f>
        <v/>
      </c>
      <c r="BN20" s="11">
        <f>IF(BN19=0,"",(Finance!$B$65+SUM(DM9,DJ9,DG9,DD9,DA9,CX9,CU9,CR9,CO9,CL9,CI9,CF9,CC9,BZ9,BW9,BT9,BQ9,BN9))/BN19)</f>
        <v/>
      </c>
      <c r="BO20" s="11">
        <f>IF(BO19=0,"",(Finance!$B$65+SUM(DN9,DK9,DH9,DE9,DB9,CY9,CV9,CS9,CP9,CM9,CJ9,CG9,CD9,CA9,BX9,BU9,BR9,BO9))/BO19)</f>
        <v/>
      </c>
      <c r="BP20" s="10">
        <f>IF(BP19=0,"",(Finance!$B$65+SUM(DL9,DI9,DF9,DC9,CZ9,CW9,CT9,CQ9,CN9,CK9,CH9,CE9,CB9,BY9,BV9,BS9,BP9))/BP19)</f>
        <v/>
      </c>
      <c r="BQ20" s="10">
        <f>IF(BQ19=0,"",(Finance!$B$65+SUM(DM9,DJ9,DG9,DD9,DA9,CX9,CU9,CR9,CO9,CL9,CI9,CF9,CC9,BZ9,BW9,BT9,BQ9))/BQ19)</f>
        <v/>
      </c>
      <c r="BR20" s="10">
        <f>IF(BR19=0,"",(Finance!$B$65+SUM(DN9,DK9,DH9,DE9,DB9,CY9,CV9,CS9,CP9,CM9,CJ9,CG9,CD9,CA9,BX9,BU9,BR9))/BR19)</f>
        <v/>
      </c>
      <c r="BS20" s="11">
        <f>IF(BS19=0,"",(Finance!$B$65+SUM(DL9,DI9,DF9,DC9,CZ9,CW9,CT9,CQ9,CN9,CK9,CH9,CE9,CB9,BY9,BV9,BS9))/BS19)</f>
        <v/>
      </c>
      <c r="BT20" s="11">
        <f>IF(BT19=0,"",(Finance!$B$65+SUM(DM9,DJ9,DG9,DD9,DA9,CX9,CU9,CR9,CO9,CL9,CI9,CF9,CC9,BZ9,BW9,BT9))/BT19)</f>
        <v/>
      </c>
      <c r="BU20" s="11">
        <f>IF(BU19=0,"",(Finance!$B$65+SUM(DN9,DK9,DH9,DE9,DB9,CY9,CV9,CS9,CP9,CM9,CJ9,CG9,CD9,CA9,BX9,BU9))/BU19)</f>
        <v/>
      </c>
      <c r="BV20" s="10">
        <f>IF(BV19=0,"",(Finance!$B$65+SUM(DL9,DI9,DF9,DC9,CZ9,CW9,CT9,CQ9,CN9,CK9,CH9,CE9,CB9,BY9,BV9))/BV19)</f>
        <v/>
      </c>
      <c r="BW20" s="10">
        <f>IF(BW19=0,"",(Finance!$B$65+SUM(DM9,DJ9,DG9,DD9,DA9,CX9,CU9,CR9,CO9,CL9,CI9,CF9,CC9,BZ9,BW9))/BW19)</f>
        <v/>
      </c>
      <c r="BX20" s="10">
        <f>IF(BX19=0,"",(Finance!$B$65+SUM(DN9,DK9,DH9,DE9,DB9,CY9,CV9,CS9,CP9,CM9,CJ9,CG9,CD9,CA9,BX9))/BX19)</f>
        <v/>
      </c>
      <c r="BY20" s="11">
        <f>IF(BY19=0,"",(Finance!$B$65+SUM(DL9,DI9,DF9,DC9,CZ9,CW9,CT9,CQ9,CN9,CK9,CH9,CE9,CB9,BY9))/BY19)</f>
        <v/>
      </c>
      <c r="BZ20" s="11">
        <f>IF(BZ19=0,"",(Finance!$B$65+SUM(DM9,DJ9,DG9,DD9,DA9,CX9,CU9,CR9,CO9,CL9,CI9,CF9,CC9,BZ9))/BZ19)</f>
        <v/>
      </c>
      <c r="CA20" s="11">
        <f>IF(CA19=0,"",(Finance!$B$65+SUM(DN9,DK9,DH9,DE9,DB9,CY9,CV9,CS9,CP9,CM9,CJ9,CG9,CD9,CA9))/CA19)</f>
        <v/>
      </c>
      <c r="CB20" s="10">
        <f>IF(CB19=0,"",(Finance!$B$65+SUM(DL9,DI9,DF9,DC9,CZ9,CW9,CT9,CQ9,CN9,CK9,CH9,CE9,CB9))/CB19)</f>
        <v/>
      </c>
      <c r="CC20" s="10">
        <f>IF(CC19=0,"",(Finance!$B$65+SUM(DM9,DJ9,DG9,DD9,DA9,CX9,CU9,CR9,CO9,CL9,CI9,CF9,CC9))/CC19)</f>
        <v/>
      </c>
      <c r="CD20" s="10">
        <f>IF(CD19=0,"",(Finance!$B$65+SUM(DN9,DK9,DH9,DE9,DB9,CY9,CV9,CS9,CP9,CM9,CJ9,CG9,CD9))/CD19)</f>
        <v/>
      </c>
      <c r="CE20" s="11">
        <f>IF(CE19=0,"",(Finance!$B$65+SUM(DL9,DI9,DF9,DC9,CZ9,CW9,CT9,CQ9,CN9,CK9,CH9,CE9))/CE19)</f>
        <v/>
      </c>
      <c r="CF20" s="11">
        <f>IF(CF19=0,"",(Finance!$B$65+SUM(DM9,DJ9,DG9,DD9,DA9,CX9,CU9,CR9,CO9,CL9,CI9,CF9))/CF19)</f>
        <v/>
      </c>
      <c r="CG20" s="11">
        <f>IF(CG19=0,"",(Finance!$B$65+SUM(DN9,DK9,DH9,DE9,DB9,CY9,CV9,CS9,CP9,CM9,CJ9,CG9))/CG19)</f>
        <v/>
      </c>
      <c r="CH20" s="10">
        <f>IF(CH19=0,"",(Finance!$B$65+SUM(DL9,DI9,DF9,DC9,CZ9,CW9,CT9,CQ9,CN9,CK9,CH9))/CH19)</f>
        <v/>
      </c>
      <c r="CI20" s="10">
        <f>IF(CI19=0,"",(Finance!$B$65+SUM(DM9,DJ9,DG9,DD9,DA9,CX9,CU9,CR9,CO9,CL9,CI9))/CI19)</f>
        <v/>
      </c>
      <c r="CJ20" s="10">
        <f>IF(CJ19=0,"",(Finance!$B$65+SUM(DN9,DK9,DH9,DE9,DB9,CY9,CV9,CS9,CP9,CM9,CJ9))/CJ19)</f>
        <v/>
      </c>
      <c r="CK20" s="11">
        <f>IF(CK19=0,"",(Finance!$B$65+SUM(DL9,DI9,DF9,DC9,CZ9,CW9,CT9,CQ9,CN9,CK9))/CK19)</f>
        <v/>
      </c>
      <c r="CL20" s="11">
        <f>IF(CL19=0,"",(Finance!$B$65+SUM(DM9,DJ9,DG9,DD9,DA9,CX9,CU9,CR9,CO9,CL9))/CL19)</f>
        <v/>
      </c>
      <c r="CM20" s="11">
        <f>IF(CM19=0,"",(Finance!$B$65+SUM(DN9,DK9,DH9,DE9,DB9,CY9,CV9,CS9,CP9,CM9))/CM19)</f>
        <v/>
      </c>
      <c r="CN20" s="10">
        <f>IF(CN19=0,"",(Finance!$B$65+SUM(DL9,DI9,DF9,DC9,CZ9,CW9,CT9,CQ9,CN9))/CN19)</f>
        <v/>
      </c>
      <c r="CO20" s="10">
        <f>IF(CO19=0,"",(Finance!$B$65+SUM(DM9,DJ9,DG9,DD9,DA9,CX9,CU9,CR9,CO9))/CO19)</f>
        <v/>
      </c>
      <c r="CP20" s="10">
        <f>IF(CP19=0,"",(Finance!$B$65+SUM(DN9,DK9,DH9,DE9,DB9,CY9,CV9,CS9,CP9))/CP19)</f>
        <v/>
      </c>
      <c r="CQ20" s="11">
        <f>IF(CQ19=0,"",(Finance!$B$65+SUM(DL9,DI9,DF9,DC9,CZ9,CW9,CT9,CQ9))/CQ19)</f>
        <v/>
      </c>
      <c r="CR20" s="11">
        <f>IF(CR19=0,"",(Finance!$B$65+SUM(DM9,DJ9,DG9,DD9,DA9,CX9,CU9,CR9))/CR19)</f>
        <v/>
      </c>
      <c r="CS20" s="11">
        <f>IF(CS19=0,"",(Finance!$B$65+SUM(DN9,DK9,DH9,DE9,DB9,CY9,CV9,CS9))/CS19)</f>
        <v/>
      </c>
      <c r="CT20" s="10">
        <f>IF(CT19=0,"",(Finance!$B$65+SUM(DL9,DI9,DF9,DC9,CZ9,CW9,CT9))/CT19)</f>
        <v/>
      </c>
      <c r="CU20" s="10">
        <f>IF(CU19=0,"",(Finance!$B$65+SUM(DM9,DJ9,DG9,DD9,DA9,CX9,CU9))/CU19)</f>
        <v/>
      </c>
      <c r="CV20" s="10">
        <f>IF(CV19=0,"",(Finance!$B$65+SUM(DN9,DK9,DH9,DE9,DB9,CY9,CV9))/CV19)</f>
        <v/>
      </c>
      <c r="CW20" s="11">
        <f>IF(CW19=0,"",(Finance!$B$65+SUM(DL9,DI9,DF9,DC9,CZ9,CW9))/CW19)</f>
        <v/>
      </c>
      <c r="CX20" s="11">
        <f>IF(CX19=0,"",(Finance!$B$65+SUM(DM9,DJ9,DG9,DD9,DA9,CX9))/CX19)</f>
        <v/>
      </c>
      <c r="CY20" s="11">
        <f>IF(CY19=0,"",(Finance!$B$65+SUM(DN9,DK9,DH9,DE9,DB9,CY9))/CY19)</f>
        <v/>
      </c>
      <c r="CZ20" s="10">
        <f>IF(CZ19=0,"",(Finance!$B$65+SUM(DL9,DI9,DF9,DC9,CZ9))/CZ19)</f>
        <v/>
      </c>
      <c r="DA20" s="10">
        <f>IF(DA19=0,"",(Finance!$B$65+SUM(DM9,DJ9,DG9,DD9,DA9))/DA19)</f>
        <v/>
      </c>
      <c r="DB20" s="10">
        <f>IF(DB19=0,"",(Finance!$B$65+SUM(DN9,DK9,DH9,DE9,DB9))/DB19)</f>
        <v/>
      </c>
      <c r="DC20" s="11">
        <f>IF(DC19=0,"",(Finance!$B$65+SUM(DL9,DI9,DF9,DC9))/DC19)</f>
        <v/>
      </c>
      <c r="DD20" s="11">
        <f>IF(DD19=0,"",(Finance!$B$65+SUM(DM9,DJ9,DG9,DD9))/DD19)</f>
        <v/>
      </c>
      <c r="DE20" s="11">
        <f>IF(DE19=0,"",(Finance!$B$65+SUM(DN9,DK9,DH9,DE9))/DE19)</f>
        <v/>
      </c>
      <c r="DF20" s="10">
        <f>IF(DF19=0,"",(Finance!$B$65+SUM(DL9,DI9,DF9))/DF19)</f>
        <v/>
      </c>
      <c r="DG20" s="10">
        <f>IF(DG19=0,"",(Finance!$B$65+SUM(DM9,DJ9,DG9))/DG19)</f>
        <v/>
      </c>
      <c r="DH20" s="10">
        <f>IF(DH19=0,"",(Finance!$B$65+SUM(DN9,DK9,DH9))/DH19)</f>
        <v/>
      </c>
      <c r="DI20" s="11">
        <f>IF(DI19=0,"",(Finance!$B$65+SUM(DL9,DI9))/DI19)</f>
        <v/>
      </c>
      <c r="DJ20" s="11">
        <f>IF(DJ19=0,"",(Finance!$B$65+SUM(DM9,DJ9))/DJ19)</f>
        <v/>
      </c>
      <c r="DK20" s="11">
        <f>IF(DK19=0,"",(Finance!$B$65+SUM(DN9,DK9))/DK19)</f>
        <v/>
      </c>
      <c r="DL20" s="10">
        <f>IF(DL19=0,"",(Finance!$B$65+SUM(DL9))/DL19)</f>
        <v/>
      </c>
      <c r="DM20" s="10">
        <f>IF(DM19=0,"",(Finance!$B$65+SUM(DM9))/DM19)</f>
        <v/>
      </c>
      <c r="DN20" s="10">
        <f>IF(DN19=0,"",(Finance!$B$65+SUM(DN9))/DN19)</f>
        <v/>
      </c>
    </row>
    <row r="21">
      <c r="B21" s="35" t="n"/>
      <c r="C21" s="35" t="n"/>
      <c r="D21" s="35" t="n"/>
      <c r="H21" s="35" t="n"/>
      <c r="I21" s="35" t="n"/>
      <c r="J21" s="35" t="n"/>
      <c r="N21" s="35" t="n"/>
      <c r="O21" s="35" t="n"/>
      <c r="P21" s="35" t="n"/>
      <c r="T21" s="35" t="n"/>
      <c r="U21" s="35" t="n"/>
      <c r="V21" s="35" t="n"/>
      <c r="Z21" s="35" t="n"/>
      <c r="AA21" s="35" t="n"/>
      <c r="AB21" s="35" t="n"/>
      <c r="AF21" s="35" t="n"/>
      <c r="AG21" s="35" t="n"/>
      <c r="AH21" s="35" t="n"/>
      <c r="AL21" s="35" t="n"/>
      <c r="AM21" s="35" t="n"/>
      <c r="AN21" s="35" t="n"/>
      <c r="AR21" s="35" t="n"/>
      <c r="AS21" s="35" t="n"/>
      <c r="AT21" s="35" t="n"/>
      <c r="AX21" s="35" t="n"/>
      <c r="AY21" s="35" t="n"/>
      <c r="AZ21" s="35" t="n"/>
      <c r="BD21" s="35" t="n"/>
      <c r="BE21" s="35" t="n"/>
      <c r="BF21" s="35" t="n"/>
      <c r="BJ21" s="35" t="n"/>
      <c r="BK21" s="35" t="n"/>
      <c r="BL21" s="35" t="n"/>
      <c r="BP21" s="35" t="n"/>
      <c r="BQ21" s="35" t="n"/>
      <c r="BR21" s="35" t="n"/>
      <c r="BV21" s="35" t="n"/>
      <c r="BW21" s="35" t="n"/>
      <c r="BX21" s="35" t="n"/>
      <c r="CB21" s="35" t="n"/>
      <c r="CC21" s="35" t="n"/>
      <c r="CD21" s="35" t="n"/>
      <c r="CH21" s="35" t="n"/>
      <c r="CI21" s="35" t="n"/>
      <c r="CJ21" s="35" t="n"/>
      <c r="CN21" s="35" t="n"/>
      <c r="CO21" s="35" t="n"/>
      <c r="CP21" s="35" t="n"/>
      <c r="CT21" s="35" t="n"/>
      <c r="CU21" s="35" t="n"/>
      <c r="CV21" s="35" t="n"/>
      <c r="CZ21" s="35" t="n"/>
      <c r="DA21" s="35" t="n"/>
      <c r="DB21" s="35" t="n"/>
      <c r="DF21" s="35" t="n"/>
      <c r="DG21" s="35" t="n"/>
      <c r="DH21" s="35" t="n"/>
      <c r="DL21" s="35" t="n"/>
      <c r="DM21" s="35" t="n"/>
      <c r="DN21" s="35" t="n"/>
    </row>
    <row r="22">
      <c r="A22" s="2" t="inlineStr">
        <is>
          <t>Salaries and Wages</t>
        </is>
      </c>
      <c r="B22" s="10">
        <f>IF(COUNT(AR22,AO22,AL22,AI22,AF22,AC22,Z22,W22,T22,Q22,N22,K22)=0,"",SUM(AR22,AO22,AL22,AI22,AF22,AC22,Z22,W22,T22,Q22,N22,K22))</f>
        <v/>
      </c>
      <c r="C22" s="10">
        <f>IF(COUNT(AS22,AP22,AM22,AJ22,AG22,AD22,AA22,X22,U22,R22,O22,L22)=0,"",SUM(AS22,AP22,AM22,AJ22,AG22,AD22,AA22,X22,U22,R22,O22,L22))</f>
        <v/>
      </c>
      <c r="D22" s="10">
        <f>IF(COUNT(AT22,AQ22,AN22,AK22,AH22,AE22,AB22,Y22,V22,S22,P22,M22)=0,"",SUM(AT22,AQ22,AN22,AK22,AH22,AE22,AB22,Y22,V22,S22,P22,M22))</f>
        <v/>
      </c>
      <c r="E22" s="11">
        <f>IF(COUNT(CB22,BY22,BV22,BS22,BP22,BM22,BJ22,BG22,BD22,BA22,AX22,AU22)=0,"",SUM(CB22,BY22,BV22,BS22,BP22,BM22,BJ22,BG22,BD22,BA22,AX22,AU22))</f>
        <v/>
      </c>
      <c r="F22" s="11">
        <f>IF(COUNT(CC22,BZ22,BW22,BT22,BQ22,BN22,BK22,BH22,BE22,BB22,AY22,AV22)=0,"",SUM(CC22,BZ22,BW22,BT22,BQ22,BN22,BK22,BH22,BE22,BB22,AY22,AV22))</f>
        <v/>
      </c>
      <c r="G22" s="11">
        <f>IF(COUNT(CD22,CA22,BX22,BU22,BR22,BO22,BL22,BI22,BF22,BC22,AZ22,AW22)=0,"",SUM(CD22,CA22,BX22,BU22,BR22,BO22,BL22,BI22,BF22,BC22,AZ22,AW22))</f>
        <v/>
      </c>
      <c r="H22" s="10">
        <f>IF(COUNT(DL22,DI22,DF22,DC22,CZ22,CW22,CT22,CQ22,CN22,CK22,CH22,CE22)=0,"",SUM(DL22,DI22,DF22,DC22,CZ22,CW22,CT22,CQ22,CN22,CK22,CH22,CE22))</f>
        <v/>
      </c>
      <c r="I22" s="10">
        <f>IF(COUNT(DM22,DJ22,DG22,DD22,DA22,CX22,CU22,CR22,CO22,CL22,CI22,CF22)=0,"",SUM(DM22,DJ22,DG22,DD22,DA22,CX22,CU22,CR22,CO22,CL22,CI22,CF22))</f>
        <v/>
      </c>
      <c r="J22" s="10">
        <f>IF(COUNT(DN22,DK22,DH22,DE22,DB22,CY22,CV22,CS22,CP22,CM22,CJ22,CG22)=0,"",SUM(DN22,DK22,DH22,DE22,DB22,CY22,CV22,CS22,CP22,CM22,CJ22,CG22))</f>
        <v/>
      </c>
      <c r="K22" s="11">
        <f>IF(COUNT(K49)=1,K49,"")</f>
        <v/>
      </c>
      <c r="L22" s="11">
        <f>L49</f>
        <v/>
      </c>
      <c r="M22" s="11">
        <f>M49</f>
        <v/>
      </c>
      <c r="N22" s="10">
        <f>IF(COUNT(N49)=1,N49,"")</f>
        <v/>
      </c>
      <c r="O22" s="10">
        <f>O49</f>
        <v/>
      </c>
      <c r="P22" s="10">
        <f>P49</f>
        <v/>
      </c>
      <c r="Q22" s="11">
        <f>IF(COUNT(Q49)=1,Q49,"")</f>
        <v/>
      </c>
      <c r="R22" s="11">
        <f>R49</f>
        <v/>
      </c>
      <c r="S22" s="11">
        <f>S49</f>
        <v/>
      </c>
      <c r="T22" s="10">
        <f>IF(COUNT(T49)=1,T49,"")</f>
        <v/>
      </c>
      <c r="U22" s="10">
        <f>U49</f>
        <v/>
      </c>
      <c r="V22" s="10">
        <f>V49</f>
        <v/>
      </c>
      <c r="W22" s="11">
        <f>IF(COUNT(W49)=1,W49,"")</f>
        <v/>
      </c>
      <c r="X22" s="11">
        <f>X49</f>
        <v/>
      </c>
      <c r="Y22" s="11">
        <f>Y49</f>
        <v/>
      </c>
      <c r="Z22" s="10">
        <f>IF(COUNT(Z49)=1,Z49,"")</f>
        <v/>
      </c>
      <c r="AA22" s="10">
        <f>AA49</f>
        <v/>
      </c>
      <c r="AB22" s="10">
        <f>AB49</f>
        <v/>
      </c>
      <c r="AC22" s="11">
        <f>IF(COUNT(AC49)=1,AC49,"")</f>
        <v/>
      </c>
      <c r="AD22" s="11">
        <f>AD49</f>
        <v/>
      </c>
      <c r="AE22" s="11">
        <f>AE49</f>
        <v/>
      </c>
      <c r="AF22" s="10">
        <f>IF(COUNT(AF49)=1,AF49,"")</f>
        <v/>
      </c>
      <c r="AG22" s="10">
        <f>AG49</f>
        <v/>
      </c>
      <c r="AH22" s="10">
        <f>AH49</f>
        <v/>
      </c>
      <c r="AI22" s="11">
        <f>IF(COUNT(AI49)=1,AI49,"")</f>
        <v/>
      </c>
      <c r="AJ22" s="11">
        <f>AJ49</f>
        <v/>
      </c>
      <c r="AK22" s="11">
        <f>AK49</f>
        <v/>
      </c>
      <c r="AL22" s="10">
        <f>IF(COUNT(AL49)=1,AL49,"")</f>
        <v/>
      </c>
      <c r="AM22" s="10">
        <f>AM49</f>
        <v/>
      </c>
      <c r="AN22" s="10">
        <f>AN49</f>
        <v/>
      </c>
      <c r="AO22" s="11">
        <f>IF(COUNT(AO49)=1,AO49,"")</f>
        <v/>
      </c>
      <c r="AP22" s="11">
        <f>AP49</f>
        <v/>
      </c>
      <c r="AQ22" s="11">
        <f>AQ49</f>
        <v/>
      </c>
      <c r="AR22" s="10">
        <f>IF(COUNT(AR49)=1,AR49,"")</f>
        <v/>
      </c>
      <c r="AS22" s="10">
        <f>AS49</f>
        <v/>
      </c>
      <c r="AT22" s="10">
        <f>AT49</f>
        <v/>
      </c>
      <c r="AU22" s="11">
        <f>IF(COUNT(AU49)=1,AU49,"")</f>
        <v/>
      </c>
      <c r="AV22" s="11">
        <f>AV49</f>
        <v/>
      </c>
      <c r="AW22" s="11">
        <f>AW49</f>
        <v/>
      </c>
      <c r="AX22" s="10">
        <f>IF(COUNT(AX49)=1,AX49,"")</f>
        <v/>
      </c>
      <c r="AY22" s="10">
        <f>AY49</f>
        <v/>
      </c>
      <c r="AZ22" s="10">
        <f>AZ49</f>
        <v/>
      </c>
      <c r="BA22" s="11">
        <f>IF(COUNT(BA49)=1,BA49,"")</f>
        <v/>
      </c>
      <c r="BB22" s="11">
        <f>BB49</f>
        <v/>
      </c>
      <c r="BC22" s="11">
        <f>BC49</f>
        <v/>
      </c>
      <c r="BD22" s="10">
        <f>IF(COUNT(BD49)=1,BD49,"")</f>
        <v/>
      </c>
      <c r="BE22" s="10">
        <f>BE49</f>
        <v/>
      </c>
      <c r="BF22" s="10">
        <f>BF49</f>
        <v/>
      </c>
      <c r="BG22" s="11">
        <f>IF(COUNT(BG49)=1,BG49,"")</f>
        <v/>
      </c>
      <c r="BH22" s="11">
        <f>BH49</f>
        <v/>
      </c>
      <c r="BI22" s="11">
        <f>BI49</f>
        <v/>
      </c>
      <c r="BJ22" s="10">
        <f>IF(COUNT(BJ49)=1,BJ49,"")</f>
        <v/>
      </c>
      <c r="BK22" s="10">
        <f>BK49</f>
        <v/>
      </c>
      <c r="BL22" s="10">
        <f>BL49</f>
        <v/>
      </c>
      <c r="BM22" s="11">
        <f>IF(COUNT(BM49)=1,BM49,"")</f>
        <v/>
      </c>
      <c r="BN22" s="11">
        <f>BN49</f>
        <v/>
      </c>
      <c r="BO22" s="11">
        <f>BO49</f>
        <v/>
      </c>
      <c r="BP22" s="10">
        <f>IF(COUNT(BP49)=1,BP49,"")</f>
        <v/>
      </c>
      <c r="BQ22" s="10">
        <f>BQ49</f>
        <v/>
      </c>
      <c r="BR22" s="10">
        <f>BR49</f>
        <v/>
      </c>
      <c r="BS22" s="11">
        <f>IF(COUNT(BS49)=1,BS49,"")</f>
        <v/>
      </c>
      <c r="BT22" s="11">
        <f>BT49</f>
        <v/>
      </c>
      <c r="BU22" s="11">
        <f>BU49</f>
        <v/>
      </c>
      <c r="BV22" s="10">
        <f>IF(COUNT(BV49)=1,BV49,"")</f>
        <v/>
      </c>
      <c r="BW22" s="10">
        <f>BW49</f>
        <v/>
      </c>
      <c r="BX22" s="10">
        <f>BX49</f>
        <v/>
      </c>
      <c r="BY22" s="11">
        <f>IF(COUNT(BY49)=1,BY49,"")</f>
        <v/>
      </c>
      <c r="BZ22" s="11">
        <f>BZ49</f>
        <v/>
      </c>
      <c r="CA22" s="11">
        <f>CA49</f>
        <v/>
      </c>
      <c r="CB22" s="10">
        <f>IF(COUNT(CB49)=1,CB49,"")</f>
        <v/>
      </c>
      <c r="CC22" s="10">
        <f>CC49</f>
        <v/>
      </c>
      <c r="CD22" s="10">
        <f>CD49</f>
        <v/>
      </c>
      <c r="CE22" s="11">
        <f>IF(COUNT(CE49)=1,CE49,"")</f>
        <v/>
      </c>
      <c r="CF22" s="11">
        <f>CF49</f>
        <v/>
      </c>
      <c r="CG22" s="11">
        <f>CG49</f>
        <v/>
      </c>
      <c r="CH22" s="10">
        <f>IF(COUNT(CH49)=1,CH49,"")</f>
        <v/>
      </c>
      <c r="CI22" s="10">
        <f>CI49</f>
        <v/>
      </c>
      <c r="CJ22" s="10">
        <f>CJ49</f>
        <v/>
      </c>
      <c r="CK22" s="11">
        <f>IF(COUNT(CK49)=1,CK49,"")</f>
        <v/>
      </c>
      <c r="CL22" s="11">
        <f>CL49</f>
        <v/>
      </c>
      <c r="CM22" s="11">
        <f>CM49</f>
        <v/>
      </c>
      <c r="CN22" s="10">
        <f>IF(COUNT(CN49)=1,CN49,"")</f>
        <v/>
      </c>
      <c r="CO22" s="10">
        <f>CO49</f>
        <v/>
      </c>
      <c r="CP22" s="10">
        <f>CP49</f>
        <v/>
      </c>
      <c r="CQ22" s="11">
        <f>IF(COUNT(CQ49)=1,CQ49,"")</f>
        <v/>
      </c>
      <c r="CR22" s="11">
        <f>CR49</f>
        <v/>
      </c>
      <c r="CS22" s="11">
        <f>CS49</f>
        <v/>
      </c>
      <c r="CT22" s="10">
        <f>IF(COUNT(CT49)=1,CT49,"")</f>
        <v/>
      </c>
      <c r="CU22" s="10">
        <f>CU49</f>
        <v/>
      </c>
      <c r="CV22" s="10">
        <f>CV49</f>
        <v/>
      </c>
      <c r="CW22" s="11">
        <f>IF(COUNT(CW49)=1,CW49,"")</f>
        <v/>
      </c>
      <c r="CX22" s="11">
        <f>CX49</f>
        <v/>
      </c>
      <c r="CY22" s="11">
        <f>CY49</f>
        <v/>
      </c>
      <c r="CZ22" s="10">
        <f>IF(COUNT(CZ49)=1,CZ49,"")</f>
        <v/>
      </c>
      <c r="DA22" s="10">
        <f>DA49</f>
        <v/>
      </c>
      <c r="DB22" s="10">
        <f>DB49</f>
        <v/>
      </c>
      <c r="DC22" s="11">
        <f>IF(COUNT(DC49)=1,DC49,"")</f>
        <v/>
      </c>
      <c r="DD22" s="11">
        <f>DD49</f>
        <v/>
      </c>
      <c r="DE22" s="11">
        <f>DE49</f>
        <v/>
      </c>
      <c r="DF22" s="10">
        <f>IF(COUNT(DF49)=1,DF49,"")</f>
        <v/>
      </c>
      <c r="DG22" s="10">
        <f>DG49</f>
        <v/>
      </c>
      <c r="DH22" s="10">
        <f>DH49</f>
        <v/>
      </c>
      <c r="DI22" s="11">
        <f>IF(COUNT(DI49)=1,DI49,"")</f>
        <v/>
      </c>
      <c r="DJ22" s="11">
        <f>DJ49</f>
        <v/>
      </c>
      <c r="DK22" s="11">
        <f>DK49</f>
        <v/>
      </c>
      <c r="DL22" s="10">
        <f>IF(COUNT(DL49)=1,DL49,"")</f>
        <v/>
      </c>
      <c r="DM22" s="10">
        <f>DM49</f>
        <v/>
      </c>
      <c r="DN22" s="10">
        <f>DN49</f>
        <v/>
      </c>
    </row>
    <row r="23">
      <c r="A23" s="2" t="inlineStr">
        <is>
          <t>Bonuses</t>
        </is>
      </c>
      <c r="B23" s="10">
        <f>IF(COUNT(AR23,AO23,AL23,AI23,AF23,AC23,Z23,W23,T23,Q23,N23,K23)=0,"",SUM(AR23,AO23,AL23,AI23,AF23,AC23,Z23,W23,T23,Q23,N23,K23))</f>
        <v/>
      </c>
      <c r="C23" s="10">
        <f>IF(COUNT(AS23,AP23,AM23,AJ23,AG23,AD23,AA23,X23,U23,R23,O23,L23)=0,"",SUM(AS23,AP23,AM23,AJ23,AG23,AD23,AA23,X23,U23,R23,O23,L23))</f>
        <v/>
      </c>
      <c r="D23" s="10">
        <f>IF(COUNT(AT23,AQ23,AN23,AK23,AH23,AE23,AB23,Y23,V23,S23,P23,M23)=0,"",SUM(AT23,AQ23,AN23,AK23,AH23,AE23,AB23,Y23,V23,S23,P23,M23))</f>
        <v/>
      </c>
      <c r="E23" s="11">
        <f>IF(COUNT(CB23,BY23,BV23,BS23,BP23,BM23,BJ23,BG23,BD23,BA23,AX23,AU23)=0,"",SUM(CB23,BY23,BV23,BS23,BP23,BM23,BJ23,BG23,BD23,BA23,AX23,AU23))</f>
        <v/>
      </c>
      <c r="F23" s="11">
        <f>IF(COUNT(CC23,BZ23,BW23,BT23,BQ23,BN23,BK23,BH23,BE23,BB23,AY23,AV23)=0,"",SUM(CC23,BZ23,BW23,BT23,BQ23,BN23,BK23,BH23,BE23,BB23,AY23,AV23))</f>
        <v/>
      </c>
      <c r="G23" s="11">
        <f>IF(COUNT(CD23,CA23,BX23,BU23,BR23,BO23,BL23,BI23,BF23,BC23,AZ23,AW23)=0,"",SUM(CD23,CA23,BX23,BU23,BR23,BO23,BL23,BI23,BF23,BC23,AZ23,AW23))</f>
        <v/>
      </c>
      <c r="H23" s="10">
        <f>IF(COUNT(DL23,DI23,DF23,DC23,CZ23,CW23,CT23,CQ23,CN23,CK23,CH23,CE23)=0,"",SUM(DL23,DI23,DF23,DC23,CZ23,CW23,CT23,CQ23,CN23,CK23,CH23,CE23))</f>
        <v/>
      </c>
      <c r="I23" s="10">
        <f>IF(COUNT(DM23,DJ23,DG23,DD23,DA23,CX23,CU23,CR23,CO23,CL23,CI23,CF23)=0,"",SUM(DM23,DJ23,DG23,DD23,DA23,CX23,CU23,CR23,CO23,CL23,CI23,CF23))</f>
        <v/>
      </c>
      <c r="J23" s="10">
        <f>IF(COUNT(DN23,DK23,DH23,DE23,DB23,CY23,CV23,CS23,CP23,CM23,CJ23,CG23)=0,"",SUM(DN23,DK23,DH23,DE23,DB23,CY23,CV23,CS23,CP23,CM23,CJ23,CG23))</f>
        <v/>
      </c>
      <c r="K23" s="11" t="n"/>
      <c r="L23" s="11" t="n">
        <v>2000</v>
      </c>
      <c r="M23" s="11" t="n">
        <v>2000</v>
      </c>
      <c r="N23" s="10" t="n"/>
      <c r="O23" s="10" t="n">
        <v>2000</v>
      </c>
      <c r="P23" s="10" t="n">
        <v>2000</v>
      </c>
      <c r="Q23" s="11" t="n"/>
      <c r="R23" s="11" t="n">
        <v>2000</v>
      </c>
      <c r="S23" s="11" t="n">
        <v>2000</v>
      </c>
      <c r="T23" s="10" t="n"/>
      <c r="U23" s="10" t="n">
        <v>2000</v>
      </c>
      <c r="V23" s="10" t="n">
        <v>2000</v>
      </c>
      <c r="W23" s="11" t="n"/>
      <c r="X23" s="11" t="n">
        <v>2000</v>
      </c>
      <c r="Y23" s="11" t="n">
        <v>2000</v>
      </c>
      <c r="Z23" s="10" t="n"/>
      <c r="AA23" s="10" t="n">
        <v>2000</v>
      </c>
      <c r="AB23" s="10" t="n">
        <v>2000</v>
      </c>
      <c r="AC23" s="11" t="n"/>
      <c r="AD23" s="11" t="n">
        <v>2000</v>
      </c>
      <c r="AE23" s="11" t="n">
        <v>2000</v>
      </c>
      <c r="AF23" s="10" t="n"/>
      <c r="AG23" s="10" t="n">
        <v>2000</v>
      </c>
      <c r="AH23" s="10" t="n">
        <v>2000</v>
      </c>
      <c r="AI23" s="11" t="n"/>
      <c r="AJ23" s="11" t="n">
        <v>2000</v>
      </c>
      <c r="AK23" s="11" t="n">
        <v>2000</v>
      </c>
      <c r="AL23" s="10" t="n"/>
      <c r="AM23" s="10" t="n">
        <v>2000</v>
      </c>
      <c r="AN23" s="10" t="n">
        <v>2000</v>
      </c>
      <c r="AO23" s="11" t="n"/>
      <c r="AP23" s="11" t="n">
        <v>2000</v>
      </c>
      <c r="AQ23" s="11" t="n">
        <v>2000</v>
      </c>
      <c r="AR23" s="10" t="n"/>
      <c r="AS23" s="10" t="n">
        <v>2000</v>
      </c>
      <c r="AT23" s="10" t="n">
        <v>2000</v>
      </c>
      <c r="AU23" s="11" t="n"/>
      <c r="AV23" s="11" t="n">
        <v>2000</v>
      </c>
      <c r="AW23" s="11" t="n">
        <v>2000</v>
      </c>
      <c r="AX23" s="10" t="n"/>
      <c r="AY23" s="10" t="n">
        <v>2000</v>
      </c>
      <c r="AZ23" s="10" t="n">
        <v>2000</v>
      </c>
      <c r="BA23" s="11" t="n"/>
      <c r="BB23" s="11" t="n">
        <v>2000</v>
      </c>
      <c r="BC23" s="11" t="n">
        <v>2000</v>
      </c>
      <c r="BD23" s="10" t="n"/>
      <c r="BE23" s="10" t="n">
        <v>2000</v>
      </c>
      <c r="BF23" s="10" t="n">
        <v>2000</v>
      </c>
      <c r="BG23" s="11" t="n"/>
      <c r="BH23" s="11" t="n">
        <v>2000</v>
      </c>
      <c r="BI23" s="11" t="n">
        <v>2000</v>
      </c>
      <c r="BJ23" s="10" t="n"/>
      <c r="BK23" s="10" t="n">
        <v>2000</v>
      </c>
      <c r="BL23" s="10" t="n">
        <v>2000</v>
      </c>
      <c r="BM23" s="11" t="n"/>
      <c r="BN23" s="11" t="n">
        <v>2000</v>
      </c>
      <c r="BO23" s="11" t="n">
        <v>2000</v>
      </c>
      <c r="BP23" s="10" t="n"/>
      <c r="BQ23" s="10" t="n">
        <v>2000</v>
      </c>
      <c r="BR23" s="10" t="n">
        <v>2000</v>
      </c>
      <c r="BS23" s="11" t="n"/>
      <c r="BT23" s="11" t="n">
        <v>2000</v>
      </c>
      <c r="BU23" s="11" t="n">
        <v>2000</v>
      </c>
      <c r="BV23" s="10" t="n"/>
      <c r="BW23" s="10" t="n">
        <v>2000</v>
      </c>
      <c r="BX23" s="10" t="n">
        <v>2000</v>
      </c>
      <c r="BY23" s="11" t="n"/>
      <c r="BZ23" s="11" t="n">
        <v>2000</v>
      </c>
      <c r="CA23" s="11" t="n">
        <v>2000</v>
      </c>
      <c r="CB23" s="10" t="n"/>
      <c r="CC23" s="10" t="n">
        <v>2000</v>
      </c>
      <c r="CD23" s="10" t="n">
        <v>2000</v>
      </c>
      <c r="CE23" s="11" t="n"/>
      <c r="CF23" s="11" t="n">
        <v>2000</v>
      </c>
      <c r="CG23" s="11" t="n">
        <v>2000</v>
      </c>
      <c r="CH23" s="10" t="n"/>
      <c r="CI23" s="10" t="n">
        <v>2000</v>
      </c>
      <c r="CJ23" s="10" t="n">
        <v>2000</v>
      </c>
      <c r="CK23" s="11" t="n"/>
      <c r="CL23" s="11" t="n">
        <v>2000</v>
      </c>
      <c r="CM23" s="11" t="n">
        <v>2000</v>
      </c>
      <c r="CN23" s="10" t="n"/>
      <c r="CO23" s="10" t="n">
        <v>2000</v>
      </c>
      <c r="CP23" s="10" t="n">
        <v>2000</v>
      </c>
      <c r="CQ23" s="11" t="n"/>
      <c r="CR23" s="11" t="n">
        <v>2000</v>
      </c>
      <c r="CS23" s="11" t="n">
        <v>2000</v>
      </c>
      <c r="CT23" s="10" t="n"/>
      <c r="CU23" s="10" t="n">
        <v>2000</v>
      </c>
      <c r="CV23" s="10" t="n">
        <v>2000</v>
      </c>
      <c r="CW23" s="11" t="n"/>
      <c r="CX23" s="11" t="n">
        <v>2000</v>
      </c>
      <c r="CY23" s="11" t="n">
        <v>2000</v>
      </c>
      <c r="CZ23" s="10" t="n"/>
      <c r="DA23" s="10" t="n">
        <v>2000</v>
      </c>
      <c r="DB23" s="10" t="n">
        <v>2000</v>
      </c>
      <c r="DC23" s="11" t="n"/>
      <c r="DD23" s="11" t="n">
        <v>2000</v>
      </c>
      <c r="DE23" s="11" t="n">
        <v>2000</v>
      </c>
      <c r="DF23" s="10" t="n"/>
      <c r="DG23" s="10" t="n">
        <v>2000</v>
      </c>
      <c r="DH23" s="10" t="n">
        <v>2000</v>
      </c>
      <c r="DI23" s="11" t="n">
        <v>2000</v>
      </c>
      <c r="DJ23" s="11" t="n">
        <v>2000</v>
      </c>
      <c r="DK23" s="11" t="n">
        <v>2000</v>
      </c>
      <c r="DL23" s="10" t="n">
        <v>2000</v>
      </c>
      <c r="DM23" s="10" t="n">
        <v>2000</v>
      </c>
      <c r="DN23" s="10" t="n">
        <v>2000</v>
      </c>
    </row>
    <row r="24">
      <c r="A24" s="2" t="inlineStr">
        <is>
          <t>Payroll Taxes and Benefits</t>
        </is>
      </c>
      <c r="B24" s="10">
        <f>IF(COUNT(AR24,AO24,AL24,AI24,AF24,AC24,Z24,W24,T24,Q24,N24,K24)=0,"",SUM(AR24,AO24,AL24,AI24,AF24,AC24,Z24,W24,T24,Q24,N24,K24))</f>
        <v/>
      </c>
      <c r="C24" s="10">
        <f>IF(COUNT(AS24,AP24,AM24,AJ24,AG24,AD24,AA24,X24,U24,R24,O24,L24)=0,"",SUM(AS24,AP24,AM24,AJ24,AG24,AD24,AA24,X24,U24,R24,O24,L24))</f>
        <v/>
      </c>
      <c r="D24" s="10">
        <f>IF(COUNT(AT24,AQ24,AN24,AK24,AH24,AE24,AB24,Y24,V24,S24,P24,M24)=0,"",SUM(AT24,AQ24,AN24,AK24,AH24,AE24,AB24,Y24,V24,S24,P24,M24))</f>
        <v/>
      </c>
      <c r="E24" s="11">
        <f>IF(COUNT(CB24,BY24,BV24,BS24,BP24,BM24,BJ24,BG24,BD24,BA24,AX24,AU24)=0,"",SUM(CB24,BY24,BV24,BS24,BP24,BM24,BJ24,BG24,BD24,BA24,AX24,AU24))</f>
        <v/>
      </c>
      <c r="F24" s="11">
        <f>IF(COUNT(CC24,BZ24,BW24,BT24,BQ24,BN24,BK24,BH24,BE24,BB24,AY24,AV24)=0,"",SUM(CC24,BZ24,BW24,BT24,BQ24,BN24,BK24,BH24,BE24,BB24,AY24,AV24))</f>
        <v/>
      </c>
      <c r="G24" s="11">
        <f>IF(COUNT(CD24,CA24,BX24,BU24,BR24,BO24,BL24,BI24,BF24,BC24,AZ24,AW24)=0,"",SUM(CD24,CA24,BX24,BU24,BR24,BO24,BL24,BI24,BF24,BC24,AZ24,AW24))</f>
        <v/>
      </c>
      <c r="H24" s="10">
        <f>IF(COUNT(DL24,DI24,DF24,DC24,CZ24,CW24,CT24,CQ24,CN24,CK24,CH24,CE24)=0,"",SUM(DL24,DI24,DF24,DC24,CZ24,CW24,CT24,CQ24,CN24,CK24,CH24,CE24))</f>
        <v/>
      </c>
      <c r="I24" s="10">
        <f>IF(COUNT(DM24,DJ24,DG24,DD24,DA24,CX24,CU24,CR24,CO24,CL24,CI24,CF24)=0,"",SUM(DM24,DJ24,DG24,DD24,DA24,CX24,CU24,CR24,CO24,CL24,CI24,CF24))</f>
        <v/>
      </c>
      <c r="J24" s="10">
        <f>IF(COUNT(DN24,DK24,DH24,DE24,DB24,CY24,CV24,CS24,CP24,CM24,CJ24,CG24)=0,"",SUM(DN24,DK24,DH24,DE24,DB24,CY24,CV24,CS24,CP24,CM24,CJ24,CG24))</f>
        <v/>
      </c>
      <c r="K24" s="11">
        <f>IF(COUNT(K22)=1,K22*0.22,"")</f>
        <v/>
      </c>
      <c r="L24" s="11">
        <f>L22*0.22</f>
        <v/>
      </c>
      <c r="M24" s="11">
        <f>M22*0.22</f>
        <v/>
      </c>
      <c r="N24" s="10">
        <f>IF(COUNT(N22)=1,N22*0.22,"")</f>
        <v/>
      </c>
      <c r="O24" s="10">
        <f>O22*0.22</f>
        <v/>
      </c>
      <c r="P24" s="10">
        <f>P22*0.22</f>
        <v/>
      </c>
      <c r="Q24" s="11">
        <f>IF(COUNT(Q22)=1,Q22*0.22,"")</f>
        <v/>
      </c>
      <c r="R24" s="11">
        <f>R22*0.22</f>
        <v/>
      </c>
      <c r="S24" s="11">
        <f>S22*0.22</f>
        <v/>
      </c>
      <c r="T24" s="10">
        <f>IF(COUNT(T22)=1,T22*0.22,"")</f>
        <v/>
      </c>
      <c r="U24" s="10">
        <f>U22*0.22</f>
        <v/>
      </c>
      <c r="V24" s="10">
        <f>V22*0.22</f>
        <v/>
      </c>
      <c r="W24" s="11">
        <f>IF(COUNT(W22)=1,W22*0.22,"")</f>
        <v/>
      </c>
      <c r="X24" s="11">
        <f>X22*0.22</f>
        <v/>
      </c>
      <c r="Y24" s="11">
        <f>Y22*0.22</f>
        <v/>
      </c>
      <c r="Z24" s="10">
        <f>IF(COUNT(Z22)=1,Z22*0.22,"")</f>
        <v/>
      </c>
      <c r="AA24" s="10">
        <f>AA22*0.22</f>
        <v/>
      </c>
      <c r="AB24" s="10">
        <f>AB22*0.22</f>
        <v/>
      </c>
      <c r="AC24" s="11">
        <f>IF(COUNT(AC22)=1,AC22*0.22,"")</f>
        <v/>
      </c>
      <c r="AD24" s="11">
        <f>AD22*0.22</f>
        <v/>
      </c>
      <c r="AE24" s="11">
        <f>AE22*0.22</f>
        <v/>
      </c>
      <c r="AF24" s="10">
        <f>IF(COUNT(AF22)=1,AF22*0.22,"")</f>
        <v/>
      </c>
      <c r="AG24" s="10">
        <f>AG22*0.22</f>
        <v/>
      </c>
      <c r="AH24" s="10">
        <f>AH22*0.22</f>
        <v/>
      </c>
      <c r="AI24" s="11">
        <f>IF(COUNT(AI22)=1,AI22*0.22,"")</f>
        <v/>
      </c>
      <c r="AJ24" s="11">
        <f>AJ22*0.22</f>
        <v/>
      </c>
      <c r="AK24" s="11">
        <f>AK22*0.22</f>
        <v/>
      </c>
      <c r="AL24" s="10">
        <f>IF(COUNT(AL22)=1,AL22*0.22,"")</f>
        <v/>
      </c>
      <c r="AM24" s="10">
        <f>AM22*0.22</f>
        <v/>
      </c>
      <c r="AN24" s="10">
        <f>AN22*0.22</f>
        <v/>
      </c>
      <c r="AO24" s="11">
        <f>IF(COUNT(AO22)=1,AO22*0.22,"")</f>
        <v/>
      </c>
      <c r="AP24" s="11">
        <f>AP22*0.22</f>
        <v/>
      </c>
      <c r="AQ24" s="11">
        <f>AQ22*0.22</f>
        <v/>
      </c>
      <c r="AR24" s="10">
        <f>IF(COUNT(AR22)=1,AR22*0.22,"")</f>
        <v/>
      </c>
      <c r="AS24" s="10">
        <f>AS22*0.22</f>
        <v/>
      </c>
      <c r="AT24" s="10">
        <f>AT22*0.22</f>
        <v/>
      </c>
      <c r="AU24" s="11">
        <f>IF(COUNT(AU22)=1,AU22*0.22,"")</f>
        <v/>
      </c>
      <c r="AV24" s="11">
        <f>AV22*0.22</f>
        <v/>
      </c>
      <c r="AW24" s="11">
        <f>AW22*0.22</f>
        <v/>
      </c>
      <c r="AX24" s="10">
        <f>IF(COUNT(AX22)=1,AX22*0.22,"")</f>
        <v/>
      </c>
      <c r="AY24" s="10">
        <f>AY22*0.22</f>
        <v/>
      </c>
      <c r="AZ24" s="10">
        <f>AZ22*0.22</f>
        <v/>
      </c>
      <c r="BA24" s="11">
        <f>IF(COUNT(BA22)=1,BA22*0.22,"")</f>
        <v/>
      </c>
      <c r="BB24" s="11">
        <f>BB22*0.22</f>
        <v/>
      </c>
      <c r="BC24" s="11">
        <f>BC22*0.22</f>
        <v/>
      </c>
      <c r="BD24" s="10">
        <f>IF(COUNT(BD22)=1,BD22*0.22,"")</f>
        <v/>
      </c>
      <c r="BE24" s="10">
        <f>BE22*0.22</f>
        <v/>
      </c>
      <c r="BF24" s="10">
        <f>BF22*0.22</f>
        <v/>
      </c>
      <c r="BG24" s="11">
        <f>IF(COUNT(BG22)=1,BG22*0.22,"")</f>
        <v/>
      </c>
      <c r="BH24" s="11">
        <f>BH22*0.22</f>
        <v/>
      </c>
      <c r="BI24" s="11">
        <f>BI22*0.22</f>
        <v/>
      </c>
      <c r="BJ24" s="10">
        <f>IF(COUNT(BJ22)=1,BJ22*0.22,"")</f>
        <v/>
      </c>
      <c r="BK24" s="10">
        <f>BK22*0.22</f>
        <v/>
      </c>
      <c r="BL24" s="10">
        <f>BL22*0.22</f>
        <v/>
      </c>
      <c r="BM24" s="11">
        <f>IF(COUNT(BM22)=1,BM22*0.22,"")</f>
        <v/>
      </c>
      <c r="BN24" s="11">
        <f>BN22*0.22</f>
        <v/>
      </c>
      <c r="BO24" s="11">
        <f>BO22*0.22</f>
        <v/>
      </c>
      <c r="BP24" s="10">
        <f>IF(COUNT(BP22)=1,BP22*0.22,"")</f>
        <v/>
      </c>
      <c r="BQ24" s="10">
        <f>BQ22*0.22</f>
        <v/>
      </c>
      <c r="BR24" s="10">
        <f>BR22*0.22</f>
        <v/>
      </c>
      <c r="BS24" s="11">
        <f>IF(COUNT(BS22)=1,BS22*0.22,"")</f>
        <v/>
      </c>
      <c r="BT24" s="11">
        <f>BT22*0.22</f>
        <v/>
      </c>
      <c r="BU24" s="11">
        <f>BU22*0.22</f>
        <v/>
      </c>
      <c r="BV24" s="10">
        <f>IF(COUNT(BV22)=1,BV22*0.22,"")</f>
        <v/>
      </c>
      <c r="BW24" s="10">
        <f>BW22*0.22</f>
        <v/>
      </c>
      <c r="BX24" s="10">
        <f>BX22*0.22</f>
        <v/>
      </c>
      <c r="BY24" s="11">
        <f>IF(COUNT(BY22)=1,BY22*0.22,"")</f>
        <v/>
      </c>
      <c r="BZ24" s="11">
        <f>BZ22*0.22</f>
        <v/>
      </c>
      <c r="CA24" s="11">
        <f>CA22*0.22</f>
        <v/>
      </c>
      <c r="CB24" s="10">
        <f>IF(COUNT(CB22)=1,CB22*0.22,"")</f>
        <v/>
      </c>
      <c r="CC24" s="10">
        <f>CC22*0.22</f>
        <v/>
      </c>
      <c r="CD24" s="10">
        <f>CD22*0.22</f>
        <v/>
      </c>
      <c r="CE24" s="11">
        <f>IF(COUNT(CE22)=1,CE22*0.22,"")</f>
        <v/>
      </c>
      <c r="CF24" s="11">
        <f>CF22*0.22</f>
        <v/>
      </c>
      <c r="CG24" s="11">
        <f>CG22*0.22</f>
        <v/>
      </c>
      <c r="CH24" s="10">
        <f>IF(COUNT(CH22)=1,CH22*0.22,"")</f>
        <v/>
      </c>
      <c r="CI24" s="10">
        <f>CI22*0.22</f>
        <v/>
      </c>
      <c r="CJ24" s="10">
        <f>CJ22*0.22</f>
        <v/>
      </c>
      <c r="CK24" s="11">
        <f>IF(COUNT(CK22)=1,CK22*0.22,"")</f>
        <v/>
      </c>
      <c r="CL24" s="11">
        <f>CL22*0.22</f>
        <v/>
      </c>
      <c r="CM24" s="11">
        <f>CM22*0.22</f>
        <v/>
      </c>
      <c r="CN24" s="10">
        <f>IF(COUNT(CN22)=1,CN22*0.22,"")</f>
        <v/>
      </c>
      <c r="CO24" s="10">
        <f>CO22*0.22</f>
        <v/>
      </c>
      <c r="CP24" s="10">
        <f>CP22*0.22</f>
        <v/>
      </c>
      <c r="CQ24" s="11">
        <f>IF(COUNT(CQ22)=1,CQ22*0.22,"")</f>
        <v/>
      </c>
      <c r="CR24" s="11">
        <f>CR22*0.22</f>
        <v/>
      </c>
      <c r="CS24" s="11">
        <f>CS22*0.22</f>
        <v/>
      </c>
      <c r="CT24" s="10">
        <f>IF(COUNT(CT22)=1,CT22*0.22,"")</f>
        <v/>
      </c>
      <c r="CU24" s="10">
        <f>CU22*0.22</f>
        <v/>
      </c>
      <c r="CV24" s="10">
        <f>CV22*0.22</f>
        <v/>
      </c>
      <c r="CW24" s="11">
        <f>IF(COUNT(CW22)=1,CW22*0.22,"")</f>
        <v/>
      </c>
      <c r="CX24" s="11">
        <f>CX22*0.22</f>
        <v/>
      </c>
      <c r="CY24" s="11">
        <f>CY22*0.22</f>
        <v/>
      </c>
      <c r="CZ24" s="10">
        <f>IF(COUNT(CZ22)=1,CZ22*0.22,"")</f>
        <v/>
      </c>
      <c r="DA24" s="10">
        <f>DA22*0.22</f>
        <v/>
      </c>
      <c r="DB24" s="10">
        <f>DB22*0.22</f>
        <v/>
      </c>
      <c r="DC24" s="11">
        <f>IF(COUNT(DC22)=1,DC22*0.22,"")</f>
        <v/>
      </c>
      <c r="DD24" s="11">
        <f>DD22*0.22</f>
        <v/>
      </c>
      <c r="DE24" s="11">
        <f>DE22*0.22</f>
        <v/>
      </c>
      <c r="DF24" s="10">
        <f>IF(COUNT(DF22)=1,DF22*0.22,"")</f>
        <v/>
      </c>
      <c r="DG24" s="10">
        <f>DG22*0.22</f>
        <v/>
      </c>
      <c r="DH24" s="10">
        <f>DH22*0.22</f>
        <v/>
      </c>
      <c r="DI24" s="11">
        <f>IF(COUNT(DI22)=1,DI22*0.22,"")</f>
        <v/>
      </c>
      <c r="DJ24" s="11">
        <f>DJ22*0.22</f>
        <v/>
      </c>
      <c r="DK24" s="11">
        <f>DK22*0.22</f>
        <v/>
      </c>
      <c r="DL24" s="10">
        <f>IF(COUNT(DL22)=1,DL22*0.22,"")</f>
        <v/>
      </c>
      <c r="DM24" s="10">
        <f>DM22*0.22</f>
        <v/>
      </c>
      <c r="DN24" s="10">
        <f>DN22*0.22</f>
        <v/>
      </c>
    </row>
    <row r="25">
      <c r="A25" s="2" t="inlineStr">
        <is>
          <t>Contractors and Freelancers</t>
        </is>
      </c>
      <c r="B25" s="10">
        <f>IF(COUNT(AR25,AO25,AL25,AI25,AF25,AC25,Z25,W25,T25,Q25,N25,K25)=0,"",SUM(AR25,AO25,AL25,AI25,AF25,AC25,Z25,W25,T25,Q25,N25,K25))</f>
        <v/>
      </c>
      <c r="C25" s="10">
        <f>IF(COUNT(AS25,AP25,AM25,AJ25,AG25,AD25,AA25,X25,U25,R25,O25,L25)=0,"",SUM(AS25,AP25,AM25,AJ25,AG25,AD25,AA25,X25,U25,R25,O25,L25))</f>
        <v/>
      </c>
      <c r="D25" s="10">
        <f>IF(COUNT(AT25,AQ25,AN25,AK25,AH25,AE25,AB25,Y25,V25,S25,P25,M25)=0,"",SUM(AT25,AQ25,AN25,AK25,AH25,AE25,AB25,Y25,V25,S25,P25,M25))</f>
        <v/>
      </c>
      <c r="E25" s="11">
        <f>IF(COUNT(CB25,BY25,BV25,BS25,BP25,BM25,BJ25,BG25,BD25,BA25,AX25,AU25)=0,"",SUM(CB25,BY25,BV25,BS25,BP25,BM25,BJ25,BG25,BD25,BA25,AX25,AU25))</f>
        <v/>
      </c>
      <c r="F25" s="11">
        <f>IF(COUNT(CC25,BZ25,BW25,BT25,BQ25,BN25,BK25,BH25,BE25,BB25,AY25,AV25)=0,"",SUM(CC25,BZ25,BW25,BT25,BQ25,BN25,BK25,BH25,BE25,BB25,AY25,AV25))</f>
        <v/>
      </c>
      <c r="G25" s="11">
        <f>IF(COUNT(CD25,CA25,BX25,BU25,BR25,BO25,BL25,BI25,BF25,BC25,AZ25,AW25)=0,"",SUM(CD25,CA25,BX25,BU25,BR25,BO25,BL25,BI25,BF25,BC25,AZ25,AW25))</f>
        <v/>
      </c>
      <c r="H25" s="10">
        <f>IF(COUNT(DL25,DI25,DF25,DC25,CZ25,CW25,CT25,CQ25,CN25,CK25,CH25,CE25)=0,"",SUM(DL25,DI25,DF25,DC25,CZ25,CW25,CT25,CQ25,CN25,CK25,CH25,CE25))</f>
        <v/>
      </c>
      <c r="I25" s="10">
        <f>IF(COUNT(DM25,DJ25,DG25,DD25,DA25,CX25,CU25,CR25,CO25,CL25,CI25,CF25)=0,"",SUM(DM25,DJ25,DG25,DD25,DA25,CX25,CU25,CR25,CO25,CL25,CI25,CF25))</f>
        <v/>
      </c>
      <c r="J25" s="10">
        <f>IF(COUNT(DN25,DK25,DH25,DE25,DB25,CY25,CV25,CS25,CP25,CM25,CJ25,CG25)=0,"",SUM(DN25,DK25,DH25,DE25,DB25,CY25,CV25,CS25,CP25,CM25,CJ25,CG25))</f>
        <v/>
      </c>
      <c r="K25" s="11" t="n"/>
      <c r="L25" s="11" t="n">
        <v>3000</v>
      </c>
      <c r="M25" s="11" t="n">
        <v>3000</v>
      </c>
      <c r="N25" s="10" t="n"/>
      <c r="O25" s="10" t="n">
        <v>3000</v>
      </c>
      <c r="P25" s="10" t="n">
        <v>3000</v>
      </c>
      <c r="Q25" s="11" t="n"/>
      <c r="R25" s="11" t="n">
        <v>3000</v>
      </c>
      <c r="S25" s="11" t="n">
        <v>3000</v>
      </c>
      <c r="T25" s="10" t="n"/>
      <c r="U25" s="10" t="n">
        <v>3000</v>
      </c>
      <c r="V25" s="10" t="n">
        <v>3000</v>
      </c>
      <c r="W25" s="11" t="n"/>
      <c r="X25" s="11" t="n">
        <v>3000</v>
      </c>
      <c r="Y25" s="11" t="n">
        <v>3000</v>
      </c>
      <c r="Z25" s="10" t="n"/>
      <c r="AA25" s="10" t="n">
        <v>3000</v>
      </c>
      <c r="AB25" s="10" t="n">
        <v>3000</v>
      </c>
      <c r="AC25" s="11" t="n"/>
      <c r="AD25" s="11" t="n">
        <v>3000</v>
      </c>
      <c r="AE25" s="11" t="n">
        <v>3000</v>
      </c>
      <c r="AF25" s="10" t="n"/>
      <c r="AG25" s="10" t="n">
        <v>3000</v>
      </c>
      <c r="AH25" s="10" t="n">
        <v>3000</v>
      </c>
      <c r="AI25" s="11" t="n"/>
      <c r="AJ25" s="11" t="n">
        <v>3000</v>
      </c>
      <c r="AK25" s="11" t="n">
        <v>3000</v>
      </c>
      <c r="AL25" s="10" t="n"/>
      <c r="AM25" s="10" t="n">
        <v>3000</v>
      </c>
      <c r="AN25" s="10" t="n">
        <v>3000</v>
      </c>
      <c r="AO25" s="11" t="n"/>
      <c r="AP25" s="11" t="n">
        <v>3000</v>
      </c>
      <c r="AQ25" s="11" t="n">
        <v>3000</v>
      </c>
      <c r="AR25" s="10" t="n"/>
      <c r="AS25" s="10" t="n">
        <v>3000</v>
      </c>
      <c r="AT25" s="10" t="n">
        <v>3000</v>
      </c>
      <c r="AU25" s="11" t="n"/>
      <c r="AV25" s="11" t="n">
        <v>3000</v>
      </c>
      <c r="AW25" s="11" t="n">
        <v>3000</v>
      </c>
      <c r="AX25" s="10" t="n"/>
      <c r="AY25" s="10" t="n">
        <v>3000</v>
      </c>
      <c r="AZ25" s="10" t="n">
        <v>3000</v>
      </c>
      <c r="BA25" s="11" t="n"/>
      <c r="BB25" s="11" t="n">
        <v>3000</v>
      </c>
      <c r="BC25" s="11" t="n">
        <v>3000</v>
      </c>
      <c r="BD25" s="10" t="n"/>
      <c r="BE25" s="10" t="n">
        <v>3000</v>
      </c>
      <c r="BF25" s="10" t="n">
        <v>3000</v>
      </c>
      <c r="BG25" s="11" t="n"/>
      <c r="BH25" s="11" t="n">
        <v>3000</v>
      </c>
      <c r="BI25" s="11" t="n">
        <v>3000</v>
      </c>
      <c r="BJ25" s="10" t="n"/>
      <c r="BK25" s="10" t="n">
        <v>3000</v>
      </c>
      <c r="BL25" s="10" t="n">
        <v>3000</v>
      </c>
      <c r="BM25" s="11" t="n"/>
      <c r="BN25" s="11" t="n">
        <v>3000</v>
      </c>
      <c r="BO25" s="11" t="n">
        <v>3000</v>
      </c>
      <c r="BP25" s="10" t="n"/>
      <c r="BQ25" s="10" t="n">
        <v>3000</v>
      </c>
      <c r="BR25" s="10" t="n">
        <v>3000</v>
      </c>
      <c r="BS25" s="11" t="n"/>
      <c r="BT25" s="11" t="n">
        <v>3000</v>
      </c>
      <c r="BU25" s="11" t="n">
        <v>3000</v>
      </c>
      <c r="BV25" s="10" t="n"/>
      <c r="BW25" s="10" t="n">
        <v>3000</v>
      </c>
      <c r="BX25" s="10" t="n">
        <v>3000</v>
      </c>
      <c r="BY25" s="11" t="n"/>
      <c r="BZ25" s="11" t="n">
        <v>3000</v>
      </c>
      <c r="CA25" s="11" t="n">
        <v>3000</v>
      </c>
      <c r="CB25" s="10" t="n"/>
      <c r="CC25" s="10" t="n">
        <v>3000</v>
      </c>
      <c r="CD25" s="10" t="n">
        <v>3000</v>
      </c>
      <c r="CE25" s="11" t="n"/>
      <c r="CF25" s="11" t="n">
        <v>3000</v>
      </c>
      <c r="CG25" s="11" t="n">
        <v>3000</v>
      </c>
      <c r="CH25" s="10" t="n"/>
      <c r="CI25" s="10" t="n">
        <v>3000</v>
      </c>
      <c r="CJ25" s="10" t="n">
        <v>3000</v>
      </c>
      <c r="CK25" s="11" t="n"/>
      <c r="CL25" s="11" t="n">
        <v>3000</v>
      </c>
      <c r="CM25" s="11" t="n">
        <v>3000</v>
      </c>
      <c r="CN25" s="10" t="n"/>
      <c r="CO25" s="10" t="n">
        <v>3000</v>
      </c>
      <c r="CP25" s="10" t="n">
        <v>3000</v>
      </c>
      <c r="CQ25" s="11" t="n"/>
      <c r="CR25" s="11" t="n">
        <v>3000</v>
      </c>
      <c r="CS25" s="11" t="n">
        <v>3000</v>
      </c>
      <c r="CT25" s="10" t="n"/>
      <c r="CU25" s="10" t="n">
        <v>3000</v>
      </c>
      <c r="CV25" s="10" t="n">
        <v>3000</v>
      </c>
      <c r="CW25" s="11" t="n"/>
      <c r="CX25" s="11" t="n">
        <v>3000</v>
      </c>
      <c r="CY25" s="11" t="n">
        <v>3000</v>
      </c>
      <c r="CZ25" s="10" t="n"/>
      <c r="DA25" s="10" t="n">
        <v>3000</v>
      </c>
      <c r="DB25" s="10" t="n">
        <v>3000</v>
      </c>
      <c r="DC25" s="11" t="n"/>
      <c r="DD25" s="11" t="n">
        <v>3000</v>
      </c>
      <c r="DE25" s="11" t="n">
        <v>3000</v>
      </c>
      <c r="DF25" s="10" t="n"/>
      <c r="DG25" s="10" t="n">
        <v>3000</v>
      </c>
      <c r="DH25" s="10" t="n">
        <v>3000</v>
      </c>
      <c r="DI25" s="11" t="n">
        <v>3000</v>
      </c>
      <c r="DJ25" s="11" t="n">
        <v>3000</v>
      </c>
      <c r="DK25" s="11" t="n">
        <v>3000</v>
      </c>
      <c r="DL25" s="10" t="n">
        <v>3000</v>
      </c>
      <c r="DM25" s="10" t="n">
        <v>3000</v>
      </c>
      <c r="DN25" s="10" t="n">
        <v>3000</v>
      </c>
    </row>
    <row r="26">
      <c r="A26" s="2" t="inlineStr">
        <is>
          <t>Recruiting</t>
        </is>
      </c>
      <c r="B26" s="10">
        <f>IF(COUNT(AR26,AO26,AL26,AI26,AF26,AC26,Z26,W26,T26,Q26,N26,K26)=0,"",SUM(AR26,AO26,AL26,AI26,AF26,AC26,Z26,W26,T26,Q26,N26,K26))</f>
        <v/>
      </c>
      <c r="C26" s="10">
        <f>IF(COUNT(AS26,AP26,AM26,AJ26,AG26,AD26,AA26,X26,U26,R26,O26,L26)=0,"",SUM(AS26,AP26,AM26,AJ26,AG26,AD26,AA26,X26,U26,R26,O26,L26))</f>
        <v/>
      </c>
      <c r="D26" s="10">
        <f>IF(COUNT(AT26,AQ26,AN26,AK26,AH26,AE26,AB26,Y26,V26,S26,P26,M26)=0,"",SUM(AT26,AQ26,AN26,AK26,AH26,AE26,AB26,Y26,V26,S26,P26,M26))</f>
        <v/>
      </c>
      <c r="E26" s="11">
        <f>IF(COUNT(CB26,BY26,BV26,BS26,BP26,BM26,BJ26,BG26,BD26,BA26,AX26,AU26)=0,"",SUM(CB26,BY26,BV26,BS26,BP26,BM26,BJ26,BG26,BD26,BA26,AX26,AU26))</f>
        <v/>
      </c>
      <c r="F26" s="11">
        <f>IF(COUNT(CC26,BZ26,BW26,BT26,BQ26,BN26,BK26,BH26,BE26,BB26,AY26,AV26)=0,"",SUM(CC26,BZ26,BW26,BT26,BQ26,BN26,BK26,BH26,BE26,BB26,AY26,AV26))</f>
        <v/>
      </c>
      <c r="G26" s="11">
        <f>IF(COUNT(CD26,CA26,BX26,BU26,BR26,BO26,BL26,BI26,BF26,BC26,AZ26,AW26)=0,"",SUM(CD26,CA26,BX26,BU26,BR26,BO26,BL26,BI26,BF26,BC26,AZ26,AW26))</f>
        <v/>
      </c>
      <c r="H26" s="10">
        <f>IF(COUNT(DL26,DI26,DF26,DC26,CZ26,CW26,CT26,CQ26,CN26,CK26,CH26,CE26)=0,"",SUM(DL26,DI26,DF26,DC26,CZ26,CW26,CT26,CQ26,CN26,CK26,CH26,CE26))</f>
        <v/>
      </c>
      <c r="I26" s="10">
        <f>IF(COUNT(DM26,DJ26,DG26,DD26,DA26,CX26,CU26,CR26,CO26,CL26,CI26,CF26)=0,"",SUM(DM26,DJ26,DG26,DD26,DA26,CX26,CU26,CR26,CO26,CL26,CI26,CF26))</f>
        <v/>
      </c>
      <c r="J26" s="10">
        <f>IF(COUNT(DN26,DK26,DH26,DE26,DB26,CY26,CV26,CS26,CP26,CM26,CJ26,CG26)=0,"",SUM(DN26,DK26,DH26,DE26,DB26,CY26,CV26,CS26,CP26,CM26,CJ26,CG26))</f>
        <v/>
      </c>
      <c r="K26" s="11" t="n"/>
      <c r="L26" s="11" t="n">
        <v>500</v>
      </c>
      <c r="M26" s="11" t="n">
        <v>500</v>
      </c>
      <c r="N26" s="10" t="n"/>
      <c r="O26" s="10" t="n">
        <v>500</v>
      </c>
      <c r="P26" s="10" t="n">
        <v>500</v>
      </c>
      <c r="Q26" s="11" t="n"/>
      <c r="R26" s="11" t="n">
        <v>500</v>
      </c>
      <c r="S26" s="11" t="n">
        <v>500</v>
      </c>
      <c r="T26" s="10" t="n"/>
      <c r="U26" s="10" t="n">
        <v>500</v>
      </c>
      <c r="V26" s="10" t="n">
        <v>500</v>
      </c>
      <c r="W26" s="11" t="n"/>
      <c r="X26" s="11" t="n">
        <v>500</v>
      </c>
      <c r="Y26" s="11" t="n">
        <v>500</v>
      </c>
      <c r="Z26" s="10" t="n"/>
      <c r="AA26" s="10" t="n">
        <v>500</v>
      </c>
      <c r="AB26" s="10" t="n">
        <v>500</v>
      </c>
      <c r="AC26" s="11" t="n"/>
      <c r="AD26" s="11" t="n">
        <v>500</v>
      </c>
      <c r="AE26" s="11" t="n">
        <v>500</v>
      </c>
      <c r="AF26" s="10" t="n"/>
      <c r="AG26" s="10" t="n">
        <v>500</v>
      </c>
      <c r="AH26" s="10" t="n">
        <v>500</v>
      </c>
      <c r="AI26" s="11" t="n"/>
      <c r="AJ26" s="11" t="n">
        <v>500</v>
      </c>
      <c r="AK26" s="11" t="n">
        <v>500</v>
      </c>
      <c r="AL26" s="10" t="n"/>
      <c r="AM26" s="10" t="n">
        <v>500</v>
      </c>
      <c r="AN26" s="10" t="n">
        <v>500</v>
      </c>
      <c r="AO26" s="11" t="n"/>
      <c r="AP26" s="11" t="n">
        <v>500</v>
      </c>
      <c r="AQ26" s="11" t="n">
        <v>500</v>
      </c>
      <c r="AR26" s="10" t="n"/>
      <c r="AS26" s="10" t="n">
        <v>500</v>
      </c>
      <c r="AT26" s="10" t="n">
        <v>500</v>
      </c>
      <c r="AU26" s="11" t="n"/>
      <c r="AV26" s="11" t="n">
        <v>500</v>
      </c>
      <c r="AW26" s="11" t="n">
        <v>500</v>
      </c>
      <c r="AX26" s="10" t="n"/>
      <c r="AY26" s="10" t="n">
        <v>500</v>
      </c>
      <c r="AZ26" s="10" t="n">
        <v>500</v>
      </c>
      <c r="BA26" s="11" t="n"/>
      <c r="BB26" s="11" t="n">
        <v>500</v>
      </c>
      <c r="BC26" s="11" t="n">
        <v>500</v>
      </c>
      <c r="BD26" s="10" t="n"/>
      <c r="BE26" s="10" t="n">
        <v>500</v>
      </c>
      <c r="BF26" s="10" t="n">
        <v>500</v>
      </c>
      <c r="BG26" s="11" t="n"/>
      <c r="BH26" s="11" t="n">
        <v>500</v>
      </c>
      <c r="BI26" s="11" t="n">
        <v>500</v>
      </c>
      <c r="BJ26" s="10" t="n"/>
      <c r="BK26" s="10" t="n">
        <v>500</v>
      </c>
      <c r="BL26" s="10" t="n">
        <v>500</v>
      </c>
      <c r="BM26" s="11" t="n"/>
      <c r="BN26" s="11" t="n">
        <v>500</v>
      </c>
      <c r="BO26" s="11" t="n">
        <v>500</v>
      </c>
      <c r="BP26" s="10" t="n"/>
      <c r="BQ26" s="10" t="n">
        <v>500</v>
      </c>
      <c r="BR26" s="10" t="n">
        <v>500</v>
      </c>
      <c r="BS26" s="11" t="n"/>
      <c r="BT26" s="11" t="n">
        <v>500</v>
      </c>
      <c r="BU26" s="11" t="n">
        <v>500</v>
      </c>
      <c r="BV26" s="10" t="n"/>
      <c r="BW26" s="10" t="n">
        <v>500</v>
      </c>
      <c r="BX26" s="10" t="n">
        <v>500</v>
      </c>
      <c r="BY26" s="11" t="n"/>
      <c r="BZ26" s="11" t="n">
        <v>500</v>
      </c>
      <c r="CA26" s="11" t="n">
        <v>500</v>
      </c>
      <c r="CB26" s="10" t="n"/>
      <c r="CC26" s="10" t="n">
        <v>500</v>
      </c>
      <c r="CD26" s="10" t="n">
        <v>500</v>
      </c>
      <c r="CE26" s="11" t="n"/>
      <c r="CF26" s="11" t="n">
        <v>500</v>
      </c>
      <c r="CG26" s="11" t="n">
        <v>500</v>
      </c>
      <c r="CH26" s="10" t="n"/>
      <c r="CI26" s="10" t="n">
        <v>500</v>
      </c>
      <c r="CJ26" s="10" t="n">
        <v>500</v>
      </c>
      <c r="CK26" s="11" t="n"/>
      <c r="CL26" s="11" t="n">
        <v>500</v>
      </c>
      <c r="CM26" s="11" t="n">
        <v>500</v>
      </c>
      <c r="CN26" s="10" t="n"/>
      <c r="CO26" s="10" t="n">
        <v>500</v>
      </c>
      <c r="CP26" s="10" t="n">
        <v>500</v>
      </c>
      <c r="CQ26" s="11" t="n"/>
      <c r="CR26" s="11" t="n">
        <v>500</v>
      </c>
      <c r="CS26" s="11" t="n">
        <v>500</v>
      </c>
      <c r="CT26" s="10" t="n"/>
      <c r="CU26" s="10" t="n">
        <v>500</v>
      </c>
      <c r="CV26" s="10" t="n">
        <v>500</v>
      </c>
      <c r="CW26" s="11" t="n"/>
      <c r="CX26" s="11" t="n">
        <v>500</v>
      </c>
      <c r="CY26" s="11" t="n">
        <v>500</v>
      </c>
      <c r="CZ26" s="10" t="n"/>
      <c r="DA26" s="10" t="n">
        <v>500</v>
      </c>
      <c r="DB26" s="10" t="n">
        <v>500</v>
      </c>
      <c r="DC26" s="11" t="n"/>
      <c r="DD26" s="11" t="n">
        <v>500</v>
      </c>
      <c r="DE26" s="11" t="n">
        <v>500</v>
      </c>
      <c r="DF26" s="10" t="n"/>
      <c r="DG26" s="10" t="n">
        <v>500</v>
      </c>
      <c r="DH26" s="10" t="n">
        <v>500</v>
      </c>
      <c r="DI26" s="11" t="n">
        <v>500</v>
      </c>
      <c r="DJ26" s="11" t="n">
        <v>500</v>
      </c>
      <c r="DK26" s="11" t="n">
        <v>500</v>
      </c>
      <c r="DL26" s="10" t="n">
        <v>500</v>
      </c>
      <c r="DM26" s="10" t="n">
        <v>500</v>
      </c>
      <c r="DN26" s="10" t="n">
        <v>500</v>
      </c>
    </row>
    <row r="27">
      <c r="A27" s="2" t="inlineStr">
        <is>
          <t>Training and Development</t>
        </is>
      </c>
      <c r="B27" s="10">
        <f>IF(COUNT(AR27,AO27,AL27,AI27,AF27,AC27,Z27,W27,T27,Q27,N27,K27)=0,"",SUM(AR27,AO27,AL27,AI27,AF27,AC27,Z27,W27,T27,Q27,N27,K27))</f>
        <v/>
      </c>
      <c r="C27" s="10">
        <f>IF(COUNT(AS27,AP27,AM27,AJ27,AG27,AD27,AA27,X27,U27,R27,O27,L27)=0,"",SUM(AS27,AP27,AM27,AJ27,AG27,AD27,AA27,X27,U27,R27,O27,L27))</f>
        <v/>
      </c>
      <c r="D27" s="10">
        <f>IF(COUNT(AT27,AQ27,AN27,AK27,AH27,AE27,AB27,Y27,V27,S27,P27,M27)=0,"",SUM(AT27,AQ27,AN27,AK27,AH27,AE27,AB27,Y27,V27,S27,P27,M27))</f>
        <v/>
      </c>
      <c r="E27" s="11">
        <f>IF(COUNT(CB27,BY27,BV27,BS27,BP27,BM27,BJ27,BG27,BD27,BA27,AX27,AU27)=0,"",SUM(CB27,BY27,BV27,BS27,BP27,BM27,BJ27,BG27,BD27,BA27,AX27,AU27))</f>
        <v/>
      </c>
      <c r="F27" s="11">
        <f>IF(COUNT(CC27,BZ27,BW27,BT27,BQ27,BN27,BK27,BH27,BE27,BB27,AY27,AV27)=0,"",SUM(CC27,BZ27,BW27,BT27,BQ27,BN27,BK27,BH27,BE27,BB27,AY27,AV27))</f>
        <v/>
      </c>
      <c r="G27" s="11">
        <f>IF(COUNT(CD27,CA27,BX27,BU27,BR27,BO27,BL27,BI27,BF27,BC27,AZ27,AW27)=0,"",SUM(CD27,CA27,BX27,BU27,BR27,BO27,BL27,BI27,BF27,BC27,AZ27,AW27))</f>
        <v/>
      </c>
      <c r="H27" s="10">
        <f>IF(COUNT(DL27,DI27,DF27,DC27,CZ27,CW27,CT27,CQ27,CN27,CK27,CH27,CE27)=0,"",SUM(DL27,DI27,DF27,DC27,CZ27,CW27,CT27,CQ27,CN27,CK27,CH27,CE27))</f>
        <v/>
      </c>
      <c r="I27" s="10">
        <f>IF(COUNT(DM27,DJ27,DG27,DD27,DA27,CX27,CU27,CR27,CO27,CL27,CI27,CF27)=0,"",SUM(DM27,DJ27,DG27,DD27,DA27,CX27,CU27,CR27,CO27,CL27,CI27,CF27))</f>
        <v/>
      </c>
      <c r="J27" s="10">
        <f>IF(COUNT(DN27,DK27,DH27,DE27,DB27,CY27,CV27,CS27,CP27,CM27,CJ27,CG27)=0,"",SUM(DN27,DK27,DH27,DE27,DB27,CY27,CV27,CS27,CP27,CM27,CJ27,CG27))</f>
        <v/>
      </c>
      <c r="K27" s="11" t="n"/>
      <c r="L27" s="11" t="n">
        <v>500</v>
      </c>
      <c r="M27" s="11" t="n">
        <v>500</v>
      </c>
      <c r="N27" s="10" t="n"/>
      <c r="O27" s="10" t="n">
        <v>500</v>
      </c>
      <c r="P27" s="10" t="n">
        <v>500</v>
      </c>
      <c r="Q27" s="11" t="n"/>
      <c r="R27" s="11" t="n">
        <v>500</v>
      </c>
      <c r="S27" s="11" t="n">
        <v>500</v>
      </c>
      <c r="T27" s="10" t="n"/>
      <c r="U27" s="10" t="n">
        <v>500</v>
      </c>
      <c r="V27" s="10" t="n">
        <v>500</v>
      </c>
      <c r="W27" s="11" t="n"/>
      <c r="X27" s="11" t="n">
        <v>500</v>
      </c>
      <c r="Y27" s="11" t="n">
        <v>500</v>
      </c>
      <c r="Z27" s="10" t="n"/>
      <c r="AA27" s="10" t="n">
        <v>500</v>
      </c>
      <c r="AB27" s="10" t="n">
        <v>500</v>
      </c>
      <c r="AC27" s="11" t="n"/>
      <c r="AD27" s="11" t="n">
        <v>500</v>
      </c>
      <c r="AE27" s="11" t="n">
        <v>500</v>
      </c>
      <c r="AF27" s="10" t="n"/>
      <c r="AG27" s="10" t="n">
        <v>500</v>
      </c>
      <c r="AH27" s="10" t="n">
        <v>500</v>
      </c>
      <c r="AI27" s="11" t="n"/>
      <c r="AJ27" s="11" t="n">
        <v>500</v>
      </c>
      <c r="AK27" s="11" t="n">
        <v>500</v>
      </c>
      <c r="AL27" s="10" t="n"/>
      <c r="AM27" s="10" t="n">
        <v>500</v>
      </c>
      <c r="AN27" s="10" t="n">
        <v>500</v>
      </c>
      <c r="AO27" s="11" t="n"/>
      <c r="AP27" s="11" t="n">
        <v>500</v>
      </c>
      <c r="AQ27" s="11" t="n">
        <v>500</v>
      </c>
      <c r="AR27" s="10" t="n"/>
      <c r="AS27" s="10" t="n">
        <v>500</v>
      </c>
      <c r="AT27" s="10" t="n">
        <v>500</v>
      </c>
      <c r="AU27" s="11" t="n"/>
      <c r="AV27" s="11" t="n">
        <v>500</v>
      </c>
      <c r="AW27" s="11" t="n">
        <v>500</v>
      </c>
      <c r="AX27" s="10" t="n"/>
      <c r="AY27" s="10" t="n">
        <v>500</v>
      </c>
      <c r="AZ27" s="10" t="n">
        <v>500</v>
      </c>
      <c r="BA27" s="11" t="n"/>
      <c r="BB27" s="11" t="n">
        <v>500</v>
      </c>
      <c r="BC27" s="11" t="n">
        <v>500</v>
      </c>
      <c r="BD27" s="10" t="n"/>
      <c r="BE27" s="10" t="n">
        <v>500</v>
      </c>
      <c r="BF27" s="10" t="n">
        <v>500</v>
      </c>
      <c r="BG27" s="11" t="n"/>
      <c r="BH27" s="11" t="n">
        <v>500</v>
      </c>
      <c r="BI27" s="11" t="n">
        <v>500</v>
      </c>
      <c r="BJ27" s="10" t="n"/>
      <c r="BK27" s="10" t="n">
        <v>500</v>
      </c>
      <c r="BL27" s="10" t="n">
        <v>500</v>
      </c>
      <c r="BM27" s="11" t="n"/>
      <c r="BN27" s="11" t="n">
        <v>500</v>
      </c>
      <c r="BO27" s="11" t="n">
        <v>500</v>
      </c>
      <c r="BP27" s="10" t="n"/>
      <c r="BQ27" s="10" t="n">
        <v>500</v>
      </c>
      <c r="BR27" s="10" t="n">
        <v>500</v>
      </c>
      <c r="BS27" s="11" t="n"/>
      <c r="BT27" s="11" t="n">
        <v>500</v>
      </c>
      <c r="BU27" s="11" t="n">
        <v>500</v>
      </c>
      <c r="BV27" s="10" t="n"/>
      <c r="BW27" s="10" t="n">
        <v>500</v>
      </c>
      <c r="BX27" s="10" t="n">
        <v>500</v>
      </c>
      <c r="BY27" s="11" t="n"/>
      <c r="BZ27" s="11" t="n">
        <v>500</v>
      </c>
      <c r="CA27" s="11" t="n">
        <v>500</v>
      </c>
      <c r="CB27" s="10" t="n"/>
      <c r="CC27" s="10" t="n">
        <v>500</v>
      </c>
      <c r="CD27" s="10" t="n">
        <v>500</v>
      </c>
      <c r="CE27" s="11" t="n"/>
      <c r="CF27" s="11" t="n">
        <v>500</v>
      </c>
      <c r="CG27" s="11" t="n">
        <v>500</v>
      </c>
      <c r="CH27" s="10" t="n"/>
      <c r="CI27" s="10" t="n">
        <v>500</v>
      </c>
      <c r="CJ27" s="10" t="n">
        <v>500</v>
      </c>
      <c r="CK27" s="11" t="n"/>
      <c r="CL27" s="11" t="n">
        <v>500</v>
      </c>
      <c r="CM27" s="11" t="n">
        <v>500</v>
      </c>
      <c r="CN27" s="10" t="n"/>
      <c r="CO27" s="10" t="n">
        <v>500</v>
      </c>
      <c r="CP27" s="10" t="n">
        <v>500</v>
      </c>
      <c r="CQ27" s="11" t="n"/>
      <c r="CR27" s="11" t="n">
        <v>500</v>
      </c>
      <c r="CS27" s="11" t="n">
        <v>500</v>
      </c>
      <c r="CT27" s="10" t="n"/>
      <c r="CU27" s="10" t="n">
        <v>500</v>
      </c>
      <c r="CV27" s="10" t="n">
        <v>500</v>
      </c>
      <c r="CW27" s="11" t="n"/>
      <c r="CX27" s="11" t="n">
        <v>500</v>
      </c>
      <c r="CY27" s="11" t="n">
        <v>500</v>
      </c>
      <c r="CZ27" s="10" t="n"/>
      <c r="DA27" s="10" t="n">
        <v>500</v>
      </c>
      <c r="DB27" s="10" t="n">
        <v>500</v>
      </c>
      <c r="DC27" s="11" t="n"/>
      <c r="DD27" s="11" t="n">
        <v>500</v>
      </c>
      <c r="DE27" s="11" t="n">
        <v>500</v>
      </c>
      <c r="DF27" s="10" t="n"/>
      <c r="DG27" s="10" t="n">
        <v>500</v>
      </c>
      <c r="DH27" s="10" t="n">
        <v>500</v>
      </c>
      <c r="DI27" s="11" t="n">
        <v>500</v>
      </c>
      <c r="DJ27" s="11" t="n">
        <v>500</v>
      </c>
      <c r="DK27" s="11" t="n">
        <v>500</v>
      </c>
      <c r="DL27" s="10" t="n">
        <v>500</v>
      </c>
      <c r="DM27" s="10" t="n">
        <v>500</v>
      </c>
      <c r="DN27" s="10" t="n">
        <v>500</v>
      </c>
    </row>
    <row r="28">
      <c r="A28" s="2" t="inlineStr">
        <is>
          <t>Software Subscriptions</t>
        </is>
      </c>
      <c r="B28" s="10">
        <f>IF(COUNT(AR28,AO28,AL28,AI28,AF28,AC28,Z28,W28,T28,Q28,N28,K28)=0,"",SUM(AR28,AO28,AL28,AI28,AF28,AC28,Z28,W28,T28,Q28,N28,K28))</f>
        <v/>
      </c>
      <c r="C28" s="10">
        <f>IF(COUNT(AS28,AP28,AM28,AJ28,AG28,AD28,AA28,X28,U28,R28,O28,L28)=0,"",SUM(AS28,AP28,AM28,AJ28,AG28,AD28,AA28,X28,U28,R28,O28,L28))</f>
        <v/>
      </c>
      <c r="D28" s="10">
        <f>IF(COUNT(AT28,AQ28,AN28,AK28,AH28,AE28,AB28,Y28,V28,S28,P28,M28)=0,"",SUM(AT28,AQ28,AN28,AK28,AH28,AE28,AB28,Y28,V28,S28,P28,M28))</f>
        <v/>
      </c>
      <c r="E28" s="11">
        <f>IF(COUNT(CB28,BY28,BV28,BS28,BP28,BM28,BJ28,BG28,BD28,BA28,AX28,AU28)=0,"",SUM(CB28,BY28,BV28,BS28,BP28,BM28,BJ28,BG28,BD28,BA28,AX28,AU28))</f>
        <v/>
      </c>
      <c r="F28" s="11">
        <f>IF(COUNT(CC28,BZ28,BW28,BT28,BQ28,BN28,BK28,BH28,BE28,BB28,AY28,AV28)=0,"",SUM(CC28,BZ28,BW28,BT28,BQ28,BN28,BK28,BH28,BE28,BB28,AY28,AV28))</f>
        <v/>
      </c>
      <c r="G28" s="11">
        <f>IF(COUNT(CD28,CA28,BX28,BU28,BR28,BO28,BL28,BI28,BF28,BC28,AZ28,AW28)=0,"",SUM(CD28,CA28,BX28,BU28,BR28,BO28,BL28,BI28,BF28,BC28,AZ28,AW28))</f>
        <v/>
      </c>
      <c r="H28" s="10">
        <f>IF(COUNT(DL28,DI28,DF28,DC28,CZ28,CW28,CT28,CQ28,CN28,CK28,CH28,CE28)=0,"",SUM(DL28,DI28,DF28,DC28,CZ28,CW28,CT28,CQ28,CN28,CK28,CH28,CE28))</f>
        <v/>
      </c>
      <c r="I28" s="10">
        <f>IF(COUNT(DM28,DJ28,DG28,DD28,DA28,CX28,CU28,CR28,CO28,CL28,CI28,CF28)=0,"",SUM(DM28,DJ28,DG28,DD28,DA28,CX28,CU28,CR28,CO28,CL28,CI28,CF28))</f>
        <v/>
      </c>
      <c r="J28" s="10">
        <f>IF(COUNT(DN28,DK28,DH28,DE28,DB28,CY28,CV28,CS28,CP28,CM28,CJ28,CG28)=0,"",SUM(DN28,DK28,DH28,DE28,DB28,CY28,CV28,CS28,CP28,CM28,CJ28,CG28))</f>
        <v/>
      </c>
      <c r="K28" s="11" t="n"/>
      <c r="L28" s="11" t="n">
        <v>4000</v>
      </c>
      <c r="M28" s="11" t="n">
        <v>4000</v>
      </c>
      <c r="N28" s="10" t="n"/>
      <c r="O28" s="10" t="n">
        <v>4000</v>
      </c>
      <c r="P28" s="10" t="n">
        <v>4000</v>
      </c>
      <c r="Q28" s="11" t="n"/>
      <c r="R28" s="11" t="n">
        <v>4000</v>
      </c>
      <c r="S28" s="11" t="n">
        <v>4000</v>
      </c>
      <c r="T28" s="10" t="n"/>
      <c r="U28" s="10" t="n">
        <v>4000</v>
      </c>
      <c r="V28" s="10" t="n">
        <v>4000</v>
      </c>
      <c r="W28" s="11" t="n"/>
      <c r="X28" s="11" t="n">
        <v>4000</v>
      </c>
      <c r="Y28" s="11" t="n">
        <v>4000</v>
      </c>
      <c r="Z28" s="10" t="n"/>
      <c r="AA28" s="10" t="n">
        <v>4000</v>
      </c>
      <c r="AB28" s="10" t="n">
        <v>4000</v>
      </c>
      <c r="AC28" s="11" t="n"/>
      <c r="AD28" s="11" t="n">
        <v>4000</v>
      </c>
      <c r="AE28" s="11" t="n">
        <v>4000</v>
      </c>
      <c r="AF28" s="10" t="n"/>
      <c r="AG28" s="10" t="n">
        <v>4000</v>
      </c>
      <c r="AH28" s="10" t="n">
        <v>4000</v>
      </c>
      <c r="AI28" s="11" t="n"/>
      <c r="AJ28" s="11" t="n">
        <v>4000</v>
      </c>
      <c r="AK28" s="11" t="n">
        <v>4000</v>
      </c>
      <c r="AL28" s="10" t="n"/>
      <c r="AM28" s="10" t="n">
        <v>4000</v>
      </c>
      <c r="AN28" s="10" t="n">
        <v>4000</v>
      </c>
      <c r="AO28" s="11" t="n"/>
      <c r="AP28" s="11" t="n">
        <v>4000</v>
      </c>
      <c r="AQ28" s="11" t="n">
        <v>4000</v>
      </c>
      <c r="AR28" s="10" t="n"/>
      <c r="AS28" s="10" t="n">
        <v>4000</v>
      </c>
      <c r="AT28" s="10" t="n">
        <v>4000</v>
      </c>
      <c r="AU28" s="11" t="n"/>
      <c r="AV28" s="11" t="n">
        <v>4000</v>
      </c>
      <c r="AW28" s="11" t="n">
        <v>4000</v>
      </c>
      <c r="AX28" s="10" t="n"/>
      <c r="AY28" s="10" t="n">
        <v>4000</v>
      </c>
      <c r="AZ28" s="10" t="n">
        <v>4000</v>
      </c>
      <c r="BA28" s="11" t="n"/>
      <c r="BB28" s="11" t="n">
        <v>4000</v>
      </c>
      <c r="BC28" s="11" t="n">
        <v>4000</v>
      </c>
      <c r="BD28" s="10" t="n"/>
      <c r="BE28" s="10" t="n">
        <v>4000</v>
      </c>
      <c r="BF28" s="10" t="n">
        <v>4000</v>
      </c>
      <c r="BG28" s="11" t="n"/>
      <c r="BH28" s="11" t="n">
        <v>4000</v>
      </c>
      <c r="BI28" s="11" t="n">
        <v>4000</v>
      </c>
      <c r="BJ28" s="10" t="n"/>
      <c r="BK28" s="10" t="n">
        <v>4000</v>
      </c>
      <c r="BL28" s="10" t="n">
        <v>4000</v>
      </c>
      <c r="BM28" s="11" t="n"/>
      <c r="BN28" s="11" t="n">
        <v>4000</v>
      </c>
      <c r="BO28" s="11" t="n">
        <v>4000</v>
      </c>
      <c r="BP28" s="10" t="n"/>
      <c r="BQ28" s="10" t="n">
        <v>4000</v>
      </c>
      <c r="BR28" s="10" t="n">
        <v>4000</v>
      </c>
      <c r="BS28" s="11" t="n"/>
      <c r="BT28" s="11" t="n">
        <v>4000</v>
      </c>
      <c r="BU28" s="11" t="n">
        <v>4000</v>
      </c>
      <c r="BV28" s="10" t="n"/>
      <c r="BW28" s="10" t="n">
        <v>4000</v>
      </c>
      <c r="BX28" s="10" t="n">
        <v>4000</v>
      </c>
      <c r="BY28" s="11" t="n"/>
      <c r="BZ28" s="11" t="n">
        <v>4000</v>
      </c>
      <c r="CA28" s="11" t="n">
        <v>4000</v>
      </c>
      <c r="CB28" s="10" t="n"/>
      <c r="CC28" s="10" t="n">
        <v>4000</v>
      </c>
      <c r="CD28" s="10" t="n">
        <v>4000</v>
      </c>
      <c r="CE28" s="11" t="n"/>
      <c r="CF28" s="11" t="n">
        <v>4000</v>
      </c>
      <c r="CG28" s="11" t="n">
        <v>4000</v>
      </c>
      <c r="CH28" s="10" t="n"/>
      <c r="CI28" s="10" t="n">
        <v>4000</v>
      </c>
      <c r="CJ28" s="10" t="n">
        <v>4000</v>
      </c>
      <c r="CK28" s="11" t="n"/>
      <c r="CL28" s="11" t="n">
        <v>4000</v>
      </c>
      <c r="CM28" s="11" t="n">
        <v>4000</v>
      </c>
      <c r="CN28" s="10" t="n"/>
      <c r="CO28" s="10" t="n">
        <v>4000</v>
      </c>
      <c r="CP28" s="10" t="n">
        <v>4000</v>
      </c>
      <c r="CQ28" s="11" t="n"/>
      <c r="CR28" s="11" t="n">
        <v>4000</v>
      </c>
      <c r="CS28" s="11" t="n">
        <v>4000</v>
      </c>
      <c r="CT28" s="10" t="n"/>
      <c r="CU28" s="10" t="n">
        <v>4000</v>
      </c>
      <c r="CV28" s="10" t="n">
        <v>4000</v>
      </c>
      <c r="CW28" s="11" t="n"/>
      <c r="CX28" s="11" t="n">
        <v>4000</v>
      </c>
      <c r="CY28" s="11" t="n">
        <v>4000</v>
      </c>
      <c r="CZ28" s="10" t="n"/>
      <c r="DA28" s="10" t="n">
        <v>4000</v>
      </c>
      <c r="DB28" s="10" t="n">
        <v>4000</v>
      </c>
      <c r="DC28" s="11" t="n"/>
      <c r="DD28" s="11" t="n">
        <v>4000</v>
      </c>
      <c r="DE28" s="11" t="n">
        <v>4000</v>
      </c>
      <c r="DF28" s="10" t="n"/>
      <c r="DG28" s="10" t="n">
        <v>4000</v>
      </c>
      <c r="DH28" s="10" t="n">
        <v>4000</v>
      </c>
      <c r="DI28" s="11" t="n">
        <v>4000</v>
      </c>
      <c r="DJ28" s="11" t="n">
        <v>4000</v>
      </c>
      <c r="DK28" s="11" t="n">
        <v>4000</v>
      </c>
      <c r="DL28" s="10" t="n">
        <v>4000</v>
      </c>
      <c r="DM28" s="10" t="n">
        <v>4000</v>
      </c>
      <c r="DN28" s="10" t="n">
        <v>4000</v>
      </c>
    </row>
    <row r="29">
      <c r="A29" s="2" t="inlineStr">
        <is>
          <t>Dues and Subscriptions</t>
        </is>
      </c>
      <c r="B29" s="10">
        <f>IF(COUNT(AR29,AO29,AL29,AI29,AF29,AC29,Z29,W29,T29,Q29,N29,K29)=0,"",SUM(AR29,AO29,AL29,AI29,AF29,AC29,Z29,W29,T29,Q29,N29,K29))</f>
        <v/>
      </c>
      <c r="C29" s="10">
        <f>IF(COUNT(AS29,AP29,AM29,AJ29,AG29,AD29,AA29,X29,U29,R29,O29,L29)=0,"",SUM(AS29,AP29,AM29,AJ29,AG29,AD29,AA29,X29,U29,R29,O29,L29))</f>
        <v/>
      </c>
      <c r="D29" s="10">
        <f>IF(COUNT(AT29,AQ29,AN29,AK29,AH29,AE29,AB29,Y29,V29,S29,P29,M29)=0,"",SUM(AT29,AQ29,AN29,AK29,AH29,AE29,AB29,Y29,V29,S29,P29,M29))</f>
        <v/>
      </c>
      <c r="E29" s="11">
        <f>IF(COUNT(CB29,BY29,BV29,BS29,BP29,BM29,BJ29,BG29,BD29,BA29,AX29,AU29)=0,"",SUM(CB29,BY29,BV29,BS29,BP29,BM29,BJ29,BG29,BD29,BA29,AX29,AU29))</f>
        <v/>
      </c>
      <c r="F29" s="11">
        <f>IF(COUNT(CC29,BZ29,BW29,BT29,BQ29,BN29,BK29,BH29,BE29,BB29,AY29,AV29)=0,"",SUM(CC29,BZ29,BW29,BT29,BQ29,BN29,BK29,BH29,BE29,BB29,AY29,AV29))</f>
        <v/>
      </c>
      <c r="G29" s="11">
        <f>IF(COUNT(CD29,CA29,BX29,BU29,BR29,BO29,BL29,BI29,BF29,BC29,AZ29,AW29)=0,"",SUM(CD29,CA29,BX29,BU29,BR29,BO29,BL29,BI29,BF29,BC29,AZ29,AW29))</f>
        <v/>
      </c>
      <c r="H29" s="10">
        <f>IF(COUNT(DL29,DI29,DF29,DC29,CZ29,CW29,CT29,CQ29,CN29,CK29,CH29,CE29)=0,"",SUM(DL29,DI29,DF29,DC29,CZ29,CW29,CT29,CQ29,CN29,CK29,CH29,CE29))</f>
        <v/>
      </c>
      <c r="I29" s="10">
        <f>IF(COUNT(DM29,DJ29,DG29,DD29,DA29,CX29,CU29,CR29,CO29,CL29,CI29,CF29)=0,"",SUM(DM29,DJ29,DG29,DD29,DA29,CX29,CU29,CR29,CO29,CL29,CI29,CF29))</f>
        <v/>
      </c>
      <c r="J29" s="10">
        <f>IF(COUNT(DN29,DK29,DH29,DE29,DB29,CY29,CV29,CS29,CP29,CM29,CJ29,CG29)=0,"",SUM(DN29,DK29,DH29,DE29,DB29,CY29,CV29,CS29,CP29,CM29,CJ29,CG29))</f>
        <v/>
      </c>
      <c r="K29" s="11" t="n"/>
      <c r="L29" s="11" t="n">
        <v>1000</v>
      </c>
      <c r="M29" s="11" t="n">
        <v>1000</v>
      </c>
      <c r="N29" s="10" t="n"/>
      <c r="O29" s="10" t="n">
        <v>1000</v>
      </c>
      <c r="P29" s="10" t="n">
        <v>1000</v>
      </c>
      <c r="Q29" s="11" t="n"/>
      <c r="R29" s="11" t="n">
        <v>1000</v>
      </c>
      <c r="S29" s="11" t="n">
        <v>1000</v>
      </c>
      <c r="T29" s="10" t="n"/>
      <c r="U29" s="10" t="n">
        <v>1000</v>
      </c>
      <c r="V29" s="10" t="n">
        <v>1000</v>
      </c>
      <c r="W29" s="11" t="n"/>
      <c r="X29" s="11" t="n">
        <v>1000</v>
      </c>
      <c r="Y29" s="11" t="n">
        <v>1000</v>
      </c>
      <c r="Z29" s="10" t="n"/>
      <c r="AA29" s="10" t="n">
        <v>1000</v>
      </c>
      <c r="AB29" s="10" t="n">
        <v>1000</v>
      </c>
      <c r="AC29" s="11" t="n"/>
      <c r="AD29" s="11" t="n">
        <v>1000</v>
      </c>
      <c r="AE29" s="11" t="n">
        <v>1000</v>
      </c>
      <c r="AF29" s="10" t="n"/>
      <c r="AG29" s="10" t="n">
        <v>1000</v>
      </c>
      <c r="AH29" s="10" t="n">
        <v>1000</v>
      </c>
      <c r="AI29" s="11" t="n"/>
      <c r="AJ29" s="11" t="n">
        <v>1000</v>
      </c>
      <c r="AK29" s="11" t="n">
        <v>1000</v>
      </c>
      <c r="AL29" s="10" t="n"/>
      <c r="AM29" s="10" t="n">
        <v>1000</v>
      </c>
      <c r="AN29" s="10" t="n">
        <v>1000</v>
      </c>
      <c r="AO29" s="11" t="n"/>
      <c r="AP29" s="11" t="n">
        <v>1000</v>
      </c>
      <c r="AQ29" s="11" t="n">
        <v>1000</v>
      </c>
      <c r="AR29" s="10" t="n"/>
      <c r="AS29" s="10" t="n">
        <v>1000</v>
      </c>
      <c r="AT29" s="10" t="n">
        <v>1000</v>
      </c>
      <c r="AU29" s="11" t="n"/>
      <c r="AV29" s="11" t="n">
        <v>1000</v>
      </c>
      <c r="AW29" s="11" t="n">
        <v>1000</v>
      </c>
      <c r="AX29" s="10" t="n"/>
      <c r="AY29" s="10" t="n">
        <v>1000</v>
      </c>
      <c r="AZ29" s="10" t="n">
        <v>1000</v>
      </c>
      <c r="BA29" s="11" t="n"/>
      <c r="BB29" s="11" t="n">
        <v>1000</v>
      </c>
      <c r="BC29" s="11" t="n">
        <v>1000</v>
      </c>
      <c r="BD29" s="10" t="n"/>
      <c r="BE29" s="10" t="n">
        <v>1000</v>
      </c>
      <c r="BF29" s="10" t="n">
        <v>1000</v>
      </c>
      <c r="BG29" s="11" t="n"/>
      <c r="BH29" s="11" t="n">
        <v>1000</v>
      </c>
      <c r="BI29" s="11" t="n">
        <v>1000</v>
      </c>
      <c r="BJ29" s="10" t="n"/>
      <c r="BK29" s="10" t="n">
        <v>1000</v>
      </c>
      <c r="BL29" s="10" t="n">
        <v>1000</v>
      </c>
      <c r="BM29" s="11" t="n"/>
      <c r="BN29" s="11" t="n">
        <v>1000</v>
      </c>
      <c r="BO29" s="11" t="n">
        <v>1000</v>
      </c>
      <c r="BP29" s="10" t="n"/>
      <c r="BQ29" s="10" t="n">
        <v>1000</v>
      </c>
      <c r="BR29" s="10" t="n">
        <v>1000</v>
      </c>
      <c r="BS29" s="11" t="n"/>
      <c r="BT29" s="11" t="n">
        <v>1000</v>
      </c>
      <c r="BU29" s="11" t="n">
        <v>1000</v>
      </c>
      <c r="BV29" s="10" t="n"/>
      <c r="BW29" s="10" t="n">
        <v>1000</v>
      </c>
      <c r="BX29" s="10" t="n">
        <v>1000</v>
      </c>
      <c r="BY29" s="11" t="n"/>
      <c r="BZ29" s="11" t="n">
        <v>1000</v>
      </c>
      <c r="CA29" s="11" t="n">
        <v>1000</v>
      </c>
      <c r="CB29" s="10" t="n"/>
      <c r="CC29" s="10" t="n">
        <v>1000</v>
      </c>
      <c r="CD29" s="10" t="n">
        <v>1000</v>
      </c>
      <c r="CE29" s="11" t="n"/>
      <c r="CF29" s="11" t="n">
        <v>1000</v>
      </c>
      <c r="CG29" s="11" t="n">
        <v>1000</v>
      </c>
      <c r="CH29" s="10" t="n"/>
      <c r="CI29" s="10" t="n">
        <v>1000</v>
      </c>
      <c r="CJ29" s="10" t="n">
        <v>1000</v>
      </c>
      <c r="CK29" s="11" t="n"/>
      <c r="CL29" s="11" t="n">
        <v>1000</v>
      </c>
      <c r="CM29" s="11" t="n">
        <v>1000</v>
      </c>
      <c r="CN29" s="10" t="n"/>
      <c r="CO29" s="10" t="n">
        <v>1000</v>
      </c>
      <c r="CP29" s="10" t="n">
        <v>1000</v>
      </c>
      <c r="CQ29" s="11" t="n"/>
      <c r="CR29" s="11" t="n">
        <v>1000</v>
      </c>
      <c r="CS29" s="11" t="n">
        <v>1000</v>
      </c>
      <c r="CT29" s="10" t="n"/>
      <c r="CU29" s="10" t="n">
        <v>1000</v>
      </c>
      <c r="CV29" s="10" t="n">
        <v>1000</v>
      </c>
      <c r="CW29" s="11" t="n"/>
      <c r="CX29" s="11" t="n">
        <v>1000</v>
      </c>
      <c r="CY29" s="11" t="n">
        <v>1000</v>
      </c>
      <c r="CZ29" s="10" t="n"/>
      <c r="DA29" s="10" t="n">
        <v>1000</v>
      </c>
      <c r="DB29" s="10" t="n">
        <v>1000</v>
      </c>
      <c r="DC29" s="11" t="n"/>
      <c r="DD29" s="11" t="n">
        <v>1000</v>
      </c>
      <c r="DE29" s="11" t="n">
        <v>1000</v>
      </c>
      <c r="DF29" s="10" t="n"/>
      <c r="DG29" s="10" t="n">
        <v>1000</v>
      </c>
      <c r="DH29" s="10" t="n">
        <v>1000</v>
      </c>
      <c r="DI29" s="11" t="n">
        <v>1000</v>
      </c>
      <c r="DJ29" s="11" t="n">
        <v>1000</v>
      </c>
      <c r="DK29" s="11" t="n">
        <v>1000</v>
      </c>
      <c r="DL29" s="10" t="n">
        <v>1000</v>
      </c>
      <c r="DM29" s="10" t="n">
        <v>1000</v>
      </c>
      <c r="DN29" s="10" t="n">
        <v>1000</v>
      </c>
    </row>
    <row r="30">
      <c r="A30" s="2" t="inlineStr">
        <is>
          <t>Travel, Meals and Entertainment</t>
        </is>
      </c>
      <c r="B30" s="10">
        <f>IF(COUNT(AR30,AO30,AL30,AI30,AF30,AC30,Z30,W30,T30,Q30,N30,K30)=0,"",SUM(AR30,AO30,AL30,AI30,AF30,AC30,Z30,W30,T30,Q30,N30,K30))</f>
        <v/>
      </c>
      <c r="C30" s="10">
        <f>IF(COUNT(AS30,AP30,AM30,AJ30,AG30,AD30,AA30,X30,U30,R30,O30,L30)=0,"",SUM(AS30,AP30,AM30,AJ30,AG30,AD30,AA30,X30,U30,R30,O30,L30))</f>
        <v/>
      </c>
      <c r="D30" s="10">
        <f>IF(COUNT(AT30,AQ30,AN30,AK30,AH30,AE30,AB30,Y30,V30,S30,P30,M30)=0,"",SUM(AT30,AQ30,AN30,AK30,AH30,AE30,AB30,Y30,V30,S30,P30,M30))</f>
        <v/>
      </c>
      <c r="E30" s="11">
        <f>IF(COUNT(CB30,BY30,BV30,BS30,BP30,BM30,BJ30,BG30,BD30,BA30,AX30,AU30)=0,"",SUM(CB30,BY30,BV30,BS30,BP30,BM30,BJ30,BG30,BD30,BA30,AX30,AU30))</f>
        <v/>
      </c>
      <c r="F30" s="11">
        <f>IF(COUNT(CC30,BZ30,BW30,BT30,BQ30,BN30,BK30,BH30,BE30,BB30,AY30,AV30)=0,"",SUM(CC30,BZ30,BW30,BT30,BQ30,BN30,BK30,BH30,BE30,BB30,AY30,AV30))</f>
        <v/>
      </c>
      <c r="G30" s="11">
        <f>IF(COUNT(CD30,CA30,BX30,BU30,BR30,BO30,BL30,BI30,BF30,BC30,AZ30,AW30)=0,"",SUM(CD30,CA30,BX30,BU30,BR30,BO30,BL30,BI30,BF30,BC30,AZ30,AW30))</f>
        <v/>
      </c>
      <c r="H30" s="10">
        <f>IF(COUNT(DL30,DI30,DF30,DC30,CZ30,CW30,CT30,CQ30,CN30,CK30,CH30,CE30)=0,"",SUM(DL30,DI30,DF30,DC30,CZ30,CW30,CT30,CQ30,CN30,CK30,CH30,CE30))</f>
        <v/>
      </c>
      <c r="I30" s="10">
        <f>IF(COUNT(DM30,DJ30,DG30,DD30,DA30,CX30,CU30,CR30,CO30,CL30,CI30,CF30)=0,"",SUM(DM30,DJ30,DG30,DD30,DA30,CX30,CU30,CR30,CO30,CL30,CI30,CF30))</f>
        <v/>
      </c>
      <c r="J30" s="10">
        <f>IF(COUNT(DN30,DK30,DH30,DE30,DB30,CY30,CV30,CS30,CP30,CM30,CJ30,CG30)=0,"",SUM(DN30,DK30,DH30,DE30,DB30,CY30,CV30,CS30,CP30,CM30,CJ30,CG30))</f>
        <v/>
      </c>
      <c r="K30" s="11" t="n"/>
      <c r="L30" s="11" t="n">
        <v>2000</v>
      </c>
      <c r="M30" s="11" t="n">
        <v>2000</v>
      </c>
      <c r="N30" s="10" t="n"/>
      <c r="O30" s="10" t="n">
        <v>2000</v>
      </c>
      <c r="P30" s="10" t="n">
        <v>2000</v>
      </c>
      <c r="Q30" s="11" t="n"/>
      <c r="R30" s="11" t="n">
        <v>2000</v>
      </c>
      <c r="S30" s="11" t="n">
        <v>2000</v>
      </c>
      <c r="T30" s="10" t="n"/>
      <c r="U30" s="10" t="n">
        <v>2000</v>
      </c>
      <c r="V30" s="10" t="n">
        <v>2000</v>
      </c>
      <c r="W30" s="11" t="n"/>
      <c r="X30" s="11" t="n">
        <v>2000</v>
      </c>
      <c r="Y30" s="11" t="n">
        <v>2000</v>
      </c>
      <c r="Z30" s="10" t="n"/>
      <c r="AA30" s="10" t="n">
        <v>2000</v>
      </c>
      <c r="AB30" s="10" t="n">
        <v>2000</v>
      </c>
      <c r="AC30" s="11" t="n"/>
      <c r="AD30" s="11" t="n">
        <v>2000</v>
      </c>
      <c r="AE30" s="11" t="n">
        <v>2000</v>
      </c>
      <c r="AF30" s="10" t="n"/>
      <c r="AG30" s="10" t="n">
        <v>2000</v>
      </c>
      <c r="AH30" s="10" t="n">
        <v>2000</v>
      </c>
      <c r="AI30" s="11" t="n"/>
      <c r="AJ30" s="11" t="n">
        <v>2000</v>
      </c>
      <c r="AK30" s="11" t="n">
        <v>2000</v>
      </c>
      <c r="AL30" s="10" t="n"/>
      <c r="AM30" s="10" t="n">
        <v>2000</v>
      </c>
      <c r="AN30" s="10" t="n">
        <v>2000</v>
      </c>
      <c r="AO30" s="11" t="n"/>
      <c r="AP30" s="11" t="n">
        <v>2000</v>
      </c>
      <c r="AQ30" s="11" t="n">
        <v>2000</v>
      </c>
      <c r="AR30" s="10" t="n"/>
      <c r="AS30" s="10" t="n">
        <v>2000</v>
      </c>
      <c r="AT30" s="10" t="n">
        <v>2000</v>
      </c>
      <c r="AU30" s="11" t="n"/>
      <c r="AV30" s="11" t="n">
        <v>2000</v>
      </c>
      <c r="AW30" s="11" t="n">
        <v>2000</v>
      </c>
      <c r="AX30" s="10" t="n"/>
      <c r="AY30" s="10" t="n">
        <v>2000</v>
      </c>
      <c r="AZ30" s="10" t="n">
        <v>2000</v>
      </c>
      <c r="BA30" s="11" t="n"/>
      <c r="BB30" s="11" t="n">
        <v>2000</v>
      </c>
      <c r="BC30" s="11" t="n">
        <v>2000</v>
      </c>
      <c r="BD30" s="10" t="n"/>
      <c r="BE30" s="10" t="n">
        <v>2000</v>
      </c>
      <c r="BF30" s="10" t="n">
        <v>2000</v>
      </c>
      <c r="BG30" s="11" t="n"/>
      <c r="BH30" s="11" t="n">
        <v>2000</v>
      </c>
      <c r="BI30" s="11" t="n">
        <v>2000</v>
      </c>
      <c r="BJ30" s="10" t="n"/>
      <c r="BK30" s="10" t="n">
        <v>2000</v>
      </c>
      <c r="BL30" s="10" t="n">
        <v>2000</v>
      </c>
      <c r="BM30" s="11" t="n"/>
      <c r="BN30" s="11" t="n">
        <v>2000</v>
      </c>
      <c r="BO30" s="11" t="n">
        <v>2000</v>
      </c>
      <c r="BP30" s="10" t="n"/>
      <c r="BQ30" s="10" t="n">
        <v>2000</v>
      </c>
      <c r="BR30" s="10" t="n">
        <v>2000</v>
      </c>
      <c r="BS30" s="11" t="n"/>
      <c r="BT30" s="11" t="n">
        <v>2000</v>
      </c>
      <c r="BU30" s="11" t="n">
        <v>2000</v>
      </c>
      <c r="BV30" s="10" t="n"/>
      <c r="BW30" s="10" t="n">
        <v>2000</v>
      </c>
      <c r="BX30" s="10" t="n">
        <v>2000</v>
      </c>
      <c r="BY30" s="11" t="n"/>
      <c r="BZ30" s="11" t="n">
        <v>2000</v>
      </c>
      <c r="CA30" s="11" t="n">
        <v>2000</v>
      </c>
      <c r="CB30" s="10" t="n"/>
      <c r="CC30" s="10" t="n">
        <v>2000</v>
      </c>
      <c r="CD30" s="10" t="n">
        <v>2000</v>
      </c>
      <c r="CE30" s="11" t="n"/>
      <c r="CF30" s="11" t="n">
        <v>2000</v>
      </c>
      <c r="CG30" s="11" t="n">
        <v>2000</v>
      </c>
      <c r="CH30" s="10" t="n"/>
      <c r="CI30" s="10" t="n">
        <v>2000</v>
      </c>
      <c r="CJ30" s="10" t="n">
        <v>2000</v>
      </c>
      <c r="CK30" s="11" t="n"/>
      <c r="CL30" s="11" t="n">
        <v>2000</v>
      </c>
      <c r="CM30" s="11" t="n">
        <v>2000</v>
      </c>
      <c r="CN30" s="10" t="n"/>
      <c r="CO30" s="10" t="n">
        <v>2000</v>
      </c>
      <c r="CP30" s="10" t="n">
        <v>2000</v>
      </c>
      <c r="CQ30" s="11" t="n"/>
      <c r="CR30" s="11" t="n">
        <v>2000</v>
      </c>
      <c r="CS30" s="11" t="n">
        <v>2000</v>
      </c>
      <c r="CT30" s="10" t="n"/>
      <c r="CU30" s="10" t="n">
        <v>2000</v>
      </c>
      <c r="CV30" s="10" t="n">
        <v>2000</v>
      </c>
      <c r="CW30" s="11" t="n"/>
      <c r="CX30" s="11" t="n">
        <v>2000</v>
      </c>
      <c r="CY30" s="11" t="n">
        <v>2000</v>
      </c>
      <c r="CZ30" s="10" t="n"/>
      <c r="DA30" s="10" t="n">
        <v>2000</v>
      </c>
      <c r="DB30" s="10" t="n">
        <v>2000</v>
      </c>
      <c r="DC30" s="11" t="n"/>
      <c r="DD30" s="11" t="n">
        <v>2000</v>
      </c>
      <c r="DE30" s="11" t="n">
        <v>2000</v>
      </c>
      <c r="DF30" s="10" t="n"/>
      <c r="DG30" s="10" t="n">
        <v>2000</v>
      </c>
      <c r="DH30" s="10" t="n">
        <v>2000</v>
      </c>
      <c r="DI30" s="11" t="n">
        <v>2000</v>
      </c>
      <c r="DJ30" s="11" t="n">
        <v>2000</v>
      </c>
      <c r="DK30" s="11" t="n">
        <v>2000</v>
      </c>
      <c r="DL30" s="10" t="n">
        <v>2000</v>
      </c>
      <c r="DM30" s="10" t="n">
        <v>2000</v>
      </c>
      <c r="DN30" s="10" t="n">
        <v>2000</v>
      </c>
    </row>
    <row r="31">
      <c r="A31" s="12" t="inlineStr">
        <is>
          <t>Total Standard Department Cost</t>
        </is>
      </c>
      <c r="B31" s="13">
        <f>IF(COUNT(AR31,AO31,AL31,AI31,AF31,AC31,Z31,W31,T31,Q31,N31,K31)=0,"",SUM(AR31,AO31,AL31,AI31,AF31,AC31,Z31,W31,T31,Q31,N31,K31))</f>
        <v/>
      </c>
      <c r="C31" s="13">
        <f>IF(COUNT(AS31,AP31,AM31,AJ31,AG31,AD31,AA31,X31,U31,R31,O31,L31)=0,"",SUM(AS31,AP31,AM31,AJ31,AG31,AD31,AA31,X31,U31,R31,O31,L31))</f>
        <v/>
      </c>
      <c r="D31" s="13">
        <f>IF(COUNT(AT31,AQ31,AN31,AK31,AH31,AE31,AB31,Y31,V31,S31,P31,M31)=0,"",SUM(AT31,AQ31,AN31,AK31,AH31,AE31,AB31,Y31,V31,S31,P31,M31))</f>
        <v/>
      </c>
      <c r="E31" s="14">
        <f>IF(COUNT(CB31,BY31,BV31,BS31,BP31,BM31,BJ31,BG31,BD31,BA31,AX31,AU31)=0,"",SUM(CB31,BY31,BV31,BS31,BP31,BM31,BJ31,BG31,BD31,BA31,AX31,AU31))</f>
        <v/>
      </c>
      <c r="F31" s="14">
        <f>IF(COUNT(CC31,BZ31,BW31,BT31,BQ31,BN31,BK31,BH31,BE31,BB31,AY31,AV31)=0,"",SUM(CC31,BZ31,BW31,BT31,BQ31,BN31,BK31,BH31,BE31,BB31,AY31,AV31))</f>
        <v/>
      </c>
      <c r="G31" s="14">
        <f>IF(COUNT(CD31,CA31,BX31,BU31,BR31,BO31,BL31,BI31,BF31,BC31,AZ31,AW31)=0,"",SUM(CD31,CA31,BX31,BU31,BR31,BO31,BL31,BI31,BF31,BC31,AZ31,AW31))</f>
        <v/>
      </c>
      <c r="H31" s="13">
        <f>IF(COUNT(DL31,DI31,DF31,DC31,CZ31,CW31,CT31,CQ31,CN31,CK31,CH31,CE31)=0,"",SUM(DL31,DI31,DF31,DC31,CZ31,CW31,CT31,CQ31,CN31,CK31,CH31,CE31))</f>
        <v/>
      </c>
      <c r="I31" s="13">
        <f>IF(COUNT(DM31,DJ31,DG31,DD31,DA31,CX31,CU31,CR31,CO31,CL31,CI31,CF31)=0,"",SUM(DM31,DJ31,DG31,DD31,DA31,CX31,CU31,CR31,CO31,CL31,CI31,CF31))</f>
        <v/>
      </c>
      <c r="J31" s="13">
        <f>IF(COUNT(DN31,DK31,DH31,DE31,DB31,CY31,CV31,CS31,CP31,CM31,CJ31,CG31)=0,"",SUM(DN31,DK31,DH31,DE31,DB31,CY31,CV31,CS31,CP31,CM31,CJ31,CG31))</f>
        <v/>
      </c>
      <c r="K31" s="14">
        <f>IF(COUNT(K22,K23,K24,K25,K26,K27,K28,K29,K30)=0,"",SUM(K22:K30))</f>
        <v/>
      </c>
      <c r="L31" s="14">
        <f>SUM(L22:L30)</f>
        <v/>
      </c>
      <c r="M31" s="14">
        <f>SUM(M22:M30)</f>
        <v/>
      </c>
      <c r="N31" s="13">
        <f>IF(COUNT(N22,N23,N24,N25,N26,N27,N28,N29,N30)=0,"",SUM(N22:N30))</f>
        <v/>
      </c>
      <c r="O31" s="13">
        <f>SUM(O22:O30)</f>
        <v/>
      </c>
      <c r="P31" s="13">
        <f>SUM(P22:P30)</f>
        <v/>
      </c>
      <c r="Q31" s="14">
        <f>IF(COUNT(Q22,Q23,Q24,Q25,Q26,Q27,Q28,Q29,Q30)=0,"",SUM(Q22:Q30))</f>
        <v/>
      </c>
      <c r="R31" s="14">
        <f>SUM(R22:R30)</f>
        <v/>
      </c>
      <c r="S31" s="14">
        <f>SUM(S22:S30)</f>
        <v/>
      </c>
      <c r="T31" s="13">
        <f>IF(COUNT(T22,T23,T24,T25,T26,T27,T28,T29,T30)=0,"",SUM(T22:T30))</f>
        <v/>
      </c>
      <c r="U31" s="13">
        <f>SUM(U22:U30)</f>
        <v/>
      </c>
      <c r="V31" s="13">
        <f>SUM(V22:V30)</f>
        <v/>
      </c>
      <c r="W31" s="14">
        <f>IF(COUNT(W22,W23,W24,W25,W26,W27,W28,W29,W30)=0,"",SUM(W22:W30))</f>
        <v/>
      </c>
      <c r="X31" s="14">
        <f>SUM(X22:X30)</f>
        <v/>
      </c>
      <c r="Y31" s="14">
        <f>SUM(Y22:Y30)</f>
        <v/>
      </c>
      <c r="Z31" s="13">
        <f>IF(COUNT(Z22,Z23,Z24,Z25,Z26,Z27,Z28,Z29,Z30)=0,"",SUM(Z22:Z30))</f>
        <v/>
      </c>
      <c r="AA31" s="13">
        <f>SUM(AA22:AA30)</f>
        <v/>
      </c>
      <c r="AB31" s="13">
        <f>SUM(AB22:AB30)</f>
        <v/>
      </c>
      <c r="AC31" s="14">
        <f>IF(COUNT(AC22,AC23,AC24,AC25,AC26,AC27,AC28,AC29,AC30)=0,"",SUM(AC22:AC30))</f>
        <v/>
      </c>
      <c r="AD31" s="14">
        <f>SUM(AD22:AD30)</f>
        <v/>
      </c>
      <c r="AE31" s="14">
        <f>SUM(AE22:AE30)</f>
        <v/>
      </c>
      <c r="AF31" s="13">
        <f>IF(COUNT(AF22,AF23,AF24,AF25,AF26,AF27,AF28,AF29,AF30)=0,"",SUM(AF22:AF30))</f>
        <v/>
      </c>
      <c r="AG31" s="13">
        <f>SUM(AG22:AG30)</f>
        <v/>
      </c>
      <c r="AH31" s="13">
        <f>SUM(AH22:AH30)</f>
        <v/>
      </c>
      <c r="AI31" s="14">
        <f>IF(COUNT(AI22,AI23,AI24,AI25,AI26,AI27,AI28,AI29,AI30)=0,"",SUM(AI22:AI30))</f>
        <v/>
      </c>
      <c r="AJ31" s="14">
        <f>SUM(AJ22:AJ30)</f>
        <v/>
      </c>
      <c r="AK31" s="14">
        <f>SUM(AK22:AK30)</f>
        <v/>
      </c>
      <c r="AL31" s="13">
        <f>IF(COUNT(AL22,AL23,AL24,AL25,AL26,AL27,AL28,AL29,AL30)=0,"",SUM(AL22:AL30))</f>
        <v/>
      </c>
      <c r="AM31" s="13">
        <f>SUM(AM22:AM30)</f>
        <v/>
      </c>
      <c r="AN31" s="13">
        <f>SUM(AN22:AN30)</f>
        <v/>
      </c>
      <c r="AO31" s="14">
        <f>IF(COUNT(AO22,AO23,AO24,AO25,AO26,AO27,AO28,AO29,AO30)=0,"",SUM(AO22:AO30))</f>
        <v/>
      </c>
      <c r="AP31" s="14">
        <f>SUM(AP22:AP30)</f>
        <v/>
      </c>
      <c r="AQ31" s="14">
        <f>SUM(AQ22:AQ30)</f>
        <v/>
      </c>
      <c r="AR31" s="13">
        <f>IF(COUNT(AR22,AR23,AR24,AR25,AR26,AR27,AR28,AR29,AR30)=0,"",SUM(AR22:AR30))</f>
        <v/>
      </c>
      <c r="AS31" s="13">
        <f>SUM(AS22:AS30)</f>
        <v/>
      </c>
      <c r="AT31" s="13">
        <f>SUM(AT22:AT30)</f>
        <v/>
      </c>
      <c r="AU31" s="14">
        <f>IF(COUNT(AU22,AU23,AU24,AU25,AU26,AU27,AU28,AU29,AU30)=0,"",SUM(AU22:AU30))</f>
        <v/>
      </c>
      <c r="AV31" s="14">
        <f>SUM(AV22:AV30)</f>
        <v/>
      </c>
      <c r="AW31" s="14">
        <f>SUM(AW22:AW30)</f>
        <v/>
      </c>
      <c r="AX31" s="13">
        <f>IF(COUNT(AX22,AX23,AX24,AX25,AX26,AX27,AX28,AX29,AX30)=0,"",SUM(AX22:AX30))</f>
        <v/>
      </c>
      <c r="AY31" s="13">
        <f>SUM(AY22:AY30)</f>
        <v/>
      </c>
      <c r="AZ31" s="13">
        <f>SUM(AZ22:AZ30)</f>
        <v/>
      </c>
      <c r="BA31" s="14">
        <f>IF(COUNT(BA22,BA23,BA24,BA25,BA26,BA27,BA28,BA29,BA30)=0,"",SUM(BA22:BA30))</f>
        <v/>
      </c>
      <c r="BB31" s="14">
        <f>SUM(BB22:BB30)</f>
        <v/>
      </c>
      <c r="BC31" s="14">
        <f>SUM(BC22:BC30)</f>
        <v/>
      </c>
      <c r="BD31" s="13">
        <f>IF(COUNT(BD22,BD23,BD24,BD25,BD26,BD27,BD28,BD29,BD30)=0,"",SUM(BD22:BD30))</f>
        <v/>
      </c>
      <c r="BE31" s="13">
        <f>SUM(BE22:BE30)</f>
        <v/>
      </c>
      <c r="BF31" s="13">
        <f>SUM(BF22:BF30)</f>
        <v/>
      </c>
      <c r="BG31" s="14">
        <f>IF(COUNT(BG22,BG23,BG24,BG25,BG26,BG27,BG28,BG29,BG30)=0,"",SUM(BG22:BG30))</f>
        <v/>
      </c>
      <c r="BH31" s="14">
        <f>SUM(BH22:BH30)</f>
        <v/>
      </c>
      <c r="BI31" s="14">
        <f>SUM(BI22:BI30)</f>
        <v/>
      </c>
      <c r="BJ31" s="13">
        <f>IF(COUNT(BJ22,BJ23,BJ24,BJ25,BJ26,BJ27,BJ28,BJ29,BJ30)=0,"",SUM(BJ22:BJ30))</f>
        <v/>
      </c>
      <c r="BK31" s="13">
        <f>SUM(BK22:BK30)</f>
        <v/>
      </c>
      <c r="BL31" s="13">
        <f>SUM(BL22:BL30)</f>
        <v/>
      </c>
      <c r="BM31" s="14">
        <f>IF(COUNT(BM22,BM23,BM24,BM25,BM26,BM27,BM28,BM29,BM30)=0,"",SUM(BM22:BM30))</f>
        <v/>
      </c>
      <c r="BN31" s="14">
        <f>SUM(BN22:BN30)</f>
        <v/>
      </c>
      <c r="BO31" s="14">
        <f>SUM(BO22:BO30)</f>
        <v/>
      </c>
      <c r="BP31" s="13">
        <f>IF(COUNT(BP22,BP23,BP24,BP25,BP26,BP27,BP28,BP29,BP30)=0,"",SUM(BP22:BP30))</f>
        <v/>
      </c>
      <c r="BQ31" s="13">
        <f>SUM(BQ22:BQ30)</f>
        <v/>
      </c>
      <c r="BR31" s="13">
        <f>SUM(BR22:BR30)</f>
        <v/>
      </c>
      <c r="BS31" s="14">
        <f>IF(COUNT(BS22,BS23,BS24,BS25,BS26,BS27,BS28,BS29,BS30)=0,"",SUM(BS22:BS30))</f>
        <v/>
      </c>
      <c r="BT31" s="14">
        <f>SUM(BT22:BT30)</f>
        <v/>
      </c>
      <c r="BU31" s="14">
        <f>SUM(BU22:BU30)</f>
        <v/>
      </c>
      <c r="BV31" s="13">
        <f>IF(COUNT(BV22,BV23,BV24,BV25,BV26,BV27,BV28,BV29,BV30)=0,"",SUM(BV22:BV30))</f>
        <v/>
      </c>
      <c r="BW31" s="13">
        <f>SUM(BW22:BW30)</f>
        <v/>
      </c>
      <c r="BX31" s="13">
        <f>SUM(BX22:BX30)</f>
        <v/>
      </c>
      <c r="BY31" s="14">
        <f>IF(COUNT(BY22,BY23,BY24,BY25,BY26,BY27,BY28,BY29,BY30)=0,"",SUM(BY22:BY30))</f>
        <v/>
      </c>
      <c r="BZ31" s="14">
        <f>SUM(BZ22:BZ30)</f>
        <v/>
      </c>
      <c r="CA31" s="14">
        <f>SUM(CA22:CA30)</f>
        <v/>
      </c>
      <c r="CB31" s="13">
        <f>IF(COUNT(CB22,CB23,CB24,CB25,CB26,CB27,CB28,CB29,CB30)=0,"",SUM(CB22:CB30))</f>
        <v/>
      </c>
      <c r="CC31" s="13">
        <f>SUM(CC22:CC30)</f>
        <v/>
      </c>
      <c r="CD31" s="13">
        <f>SUM(CD22:CD30)</f>
        <v/>
      </c>
      <c r="CE31" s="14">
        <f>IF(COUNT(CE22,CE23,CE24,CE25,CE26,CE27,CE28,CE29,CE30)=0,"",SUM(CE22:CE30))</f>
        <v/>
      </c>
      <c r="CF31" s="14">
        <f>SUM(CF22:CF30)</f>
        <v/>
      </c>
      <c r="CG31" s="14">
        <f>SUM(CG22:CG30)</f>
        <v/>
      </c>
      <c r="CH31" s="13">
        <f>IF(COUNT(CH22,CH23,CH24,CH25,CH26,CH27,CH28,CH29,CH30)=0,"",SUM(CH22:CH30))</f>
        <v/>
      </c>
      <c r="CI31" s="13">
        <f>SUM(CI22:CI30)</f>
        <v/>
      </c>
      <c r="CJ31" s="13">
        <f>SUM(CJ22:CJ30)</f>
        <v/>
      </c>
      <c r="CK31" s="14">
        <f>IF(COUNT(CK22,CK23,CK24,CK25,CK26,CK27,CK28,CK29,CK30)=0,"",SUM(CK22:CK30))</f>
        <v/>
      </c>
      <c r="CL31" s="14">
        <f>SUM(CL22:CL30)</f>
        <v/>
      </c>
      <c r="CM31" s="14">
        <f>SUM(CM22:CM30)</f>
        <v/>
      </c>
      <c r="CN31" s="13">
        <f>IF(COUNT(CN22,CN23,CN24,CN25,CN26,CN27,CN28,CN29,CN30)=0,"",SUM(CN22:CN30))</f>
        <v/>
      </c>
      <c r="CO31" s="13">
        <f>SUM(CO22:CO30)</f>
        <v/>
      </c>
      <c r="CP31" s="13">
        <f>SUM(CP22:CP30)</f>
        <v/>
      </c>
      <c r="CQ31" s="14">
        <f>IF(COUNT(CQ22,CQ23,CQ24,CQ25,CQ26,CQ27,CQ28,CQ29,CQ30)=0,"",SUM(CQ22:CQ30))</f>
        <v/>
      </c>
      <c r="CR31" s="14">
        <f>SUM(CR22:CR30)</f>
        <v/>
      </c>
      <c r="CS31" s="14">
        <f>SUM(CS22:CS30)</f>
        <v/>
      </c>
      <c r="CT31" s="13">
        <f>IF(COUNT(CT22,CT23,CT24,CT25,CT26,CT27,CT28,CT29,CT30)=0,"",SUM(CT22:CT30))</f>
        <v/>
      </c>
      <c r="CU31" s="13">
        <f>SUM(CU22:CU30)</f>
        <v/>
      </c>
      <c r="CV31" s="13">
        <f>SUM(CV22:CV30)</f>
        <v/>
      </c>
      <c r="CW31" s="14">
        <f>IF(COUNT(CW22,CW23,CW24,CW25,CW26,CW27,CW28,CW29,CW30)=0,"",SUM(CW22:CW30))</f>
        <v/>
      </c>
      <c r="CX31" s="14">
        <f>SUM(CX22:CX30)</f>
        <v/>
      </c>
      <c r="CY31" s="14">
        <f>SUM(CY22:CY30)</f>
        <v/>
      </c>
      <c r="CZ31" s="13">
        <f>IF(COUNT(CZ22,CZ23,CZ24,CZ25,CZ26,CZ27,CZ28,CZ29,CZ30)=0,"",SUM(CZ22:CZ30))</f>
        <v/>
      </c>
      <c r="DA31" s="13">
        <f>SUM(DA22:DA30)</f>
        <v/>
      </c>
      <c r="DB31" s="13">
        <f>SUM(DB22:DB30)</f>
        <v/>
      </c>
      <c r="DC31" s="14">
        <f>IF(COUNT(DC22,DC23,DC24,DC25,DC26,DC27,DC28,DC29,DC30)=0,"",SUM(DC22:DC30))</f>
        <v/>
      </c>
      <c r="DD31" s="14">
        <f>SUM(DD22:DD30)</f>
        <v/>
      </c>
      <c r="DE31" s="14">
        <f>SUM(DE22:DE30)</f>
        <v/>
      </c>
      <c r="DF31" s="13">
        <f>IF(COUNT(DF22,DF23,DF24,DF25,DF26,DF27,DF28,DF29,DF30)=0,"",SUM(DF22:DF30))</f>
        <v/>
      </c>
      <c r="DG31" s="13">
        <f>SUM(DG22:DG30)</f>
        <v/>
      </c>
      <c r="DH31" s="13">
        <f>SUM(DH22:DH30)</f>
        <v/>
      </c>
      <c r="DI31" s="14">
        <f>IF(COUNT(DI22,DI23,DI24,DI25,DI26,DI27,DI28,DI29,DI30)=0,"",SUM(DI22:DI30))</f>
        <v/>
      </c>
      <c r="DJ31" s="14">
        <f>SUM(DJ22:DJ30)</f>
        <v/>
      </c>
      <c r="DK31" s="14">
        <f>SUM(DK22:DK30)</f>
        <v/>
      </c>
      <c r="DL31" s="13">
        <f>IF(COUNT(DL22,DL23,DL24,DL25,DL26,DL27,DL28,DL29,DL30)=0,"",SUM(DL22:DL30))</f>
        <v/>
      </c>
      <c r="DM31" s="13">
        <f>SUM(DM22:DM30)</f>
        <v/>
      </c>
      <c r="DN31" s="13">
        <f>SUM(DN22:DN30)</f>
        <v/>
      </c>
    </row>
    <row r="32">
      <c r="A32" s="2" t="inlineStr">
        <is>
          <t>Facilities and Rent</t>
        </is>
      </c>
      <c r="B32" s="10">
        <f>IF(COUNT(AR32,AO32,AL32,AI32,AF32,AC32,Z32,W32,T32,Q32,N32,K32)=0,"",SUM(AR32,AO32,AL32,AI32,AF32,AC32,Z32,W32,T32,Q32,N32,K32))</f>
        <v/>
      </c>
      <c r="C32" s="10">
        <f>IF(COUNT(AS32,AP32,AM32,AJ32,AG32,AD32,AA32,X32,U32,R32,O32,L32)=0,"",SUM(AS32,AP32,AM32,AJ32,AG32,AD32,AA32,X32,U32,R32,O32,L32))</f>
        <v/>
      </c>
      <c r="D32" s="10">
        <f>IF(COUNT(AT32,AQ32,AN32,AK32,AH32,AE32,AB32,Y32,V32,S32,P32,M32)=0,"",SUM(AT32,AQ32,AN32,AK32,AH32,AE32,AB32,Y32,V32,S32,P32,M32))</f>
        <v/>
      </c>
      <c r="E32" s="11">
        <f>IF(COUNT(CB32,BY32,BV32,BS32,BP32,BM32,BJ32,BG32,BD32,BA32,AX32,AU32)=0,"",SUM(CB32,BY32,BV32,BS32,BP32,BM32,BJ32,BG32,BD32,BA32,AX32,AU32))</f>
        <v/>
      </c>
      <c r="F32" s="11">
        <f>IF(COUNT(CC32,BZ32,BW32,BT32,BQ32,BN32,BK32,BH32,BE32,BB32,AY32,AV32)=0,"",SUM(CC32,BZ32,BW32,BT32,BQ32,BN32,BK32,BH32,BE32,BB32,AY32,AV32))</f>
        <v/>
      </c>
      <c r="G32" s="11">
        <f>IF(COUNT(CD32,CA32,BX32,BU32,BR32,BO32,BL32,BI32,BF32,BC32,AZ32,AW32)=0,"",SUM(CD32,CA32,BX32,BU32,BR32,BO32,BL32,BI32,BF32,BC32,AZ32,AW32))</f>
        <v/>
      </c>
      <c r="H32" s="10">
        <f>IF(COUNT(DL32,DI32,DF32,DC32,CZ32,CW32,CT32,CQ32,CN32,CK32,CH32,CE32)=0,"",SUM(DL32,DI32,DF32,DC32,CZ32,CW32,CT32,CQ32,CN32,CK32,CH32,CE32))</f>
        <v/>
      </c>
      <c r="I32" s="10">
        <f>IF(COUNT(DM32,DJ32,DG32,DD32,DA32,CX32,CU32,CR32,CO32,CL32,CI32,CF32)=0,"",SUM(DM32,DJ32,DG32,DD32,DA32,CX32,CU32,CR32,CO32,CL32,CI32,CF32))</f>
        <v/>
      </c>
      <c r="J32" s="10">
        <f>IF(COUNT(DN32,DK32,DH32,DE32,DB32,CY32,CV32,CS32,CP32,CM32,CJ32,CG32)=0,"",SUM(DN32,DK32,DH32,DE32,DB32,CY32,CV32,CS32,CP32,CM32,CJ32,CG32))</f>
        <v/>
      </c>
      <c r="K32" s="11" t="n"/>
      <c r="L32" s="11" t="n">
        <v>10000</v>
      </c>
      <c r="M32" s="11" t="n">
        <v>10000</v>
      </c>
      <c r="N32" s="10" t="n"/>
      <c r="O32" s="10" t="n">
        <v>10000</v>
      </c>
      <c r="P32" s="10" t="n">
        <v>10000</v>
      </c>
      <c r="Q32" s="11" t="n"/>
      <c r="R32" s="11" t="n">
        <v>10000</v>
      </c>
      <c r="S32" s="11" t="n">
        <v>10000</v>
      </c>
      <c r="T32" s="10" t="n"/>
      <c r="U32" s="10" t="n">
        <v>10000</v>
      </c>
      <c r="V32" s="10" t="n">
        <v>10000</v>
      </c>
      <c r="W32" s="11" t="n"/>
      <c r="X32" s="11" t="n">
        <v>10000</v>
      </c>
      <c r="Y32" s="11" t="n">
        <v>10000</v>
      </c>
      <c r="Z32" s="10" t="n"/>
      <c r="AA32" s="10" t="n">
        <v>10000</v>
      </c>
      <c r="AB32" s="10" t="n">
        <v>10000</v>
      </c>
      <c r="AC32" s="11" t="n"/>
      <c r="AD32" s="11" t="n">
        <v>10000</v>
      </c>
      <c r="AE32" s="11" t="n">
        <v>10000</v>
      </c>
      <c r="AF32" s="10" t="n"/>
      <c r="AG32" s="10" t="n">
        <v>10000</v>
      </c>
      <c r="AH32" s="10" t="n">
        <v>10000</v>
      </c>
      <c r="AI32" s="11" t="n"/>
      <c r="AJ32" s="11" t="n">
        <v>10000</v>
      </c>
      <c r="AK32" s="11" t="n">
        <v>10000</v>
      </c>
      <c r="AL32" s="10" t="n"/>
      <c r="AM32" s="10" t="n">
        <v>10000</v>
      </c>
      <c r="AN32" s="10" t="n">
        <v>10000</v>
      </c>
      <c r="AO32" s="11" t="n"/>
      <c r="AP32" s="11" t="n">
        <v>10000</v>
      </c>
      <c r="AQ32" s="11" t="n">
        <v>10000</v>
      </c>
      <c r="AR32" s="10" t="n"/>
      <c r="AS32" s="10" t="n">
        <v>10000</v>
      </c>
      <c r="AT32" s="10" t="n">
        <v>10000</v>
      </c>
      <c r="AU32" s="11" t="n"/>
      <c r="AV32" s="11" t="n">
        <v>10000</v>
      </c>
      <c r="AW32" s="11" t="n">
        <v>10000</v>
      </c>
      <c r="AX32" s="10" t="n"/>
      <c r="AY32" s="10" t="n">
        <v>10000</v>
      </c>
      <c r="AZ32" s="10" t="n">
        <v>10000</v>
      </c>
      <c r="BA32" s="11" t="n"/>
      <c r="BB32" s="11" t="n">
        <v>10000</v>
      </c>
      <c r="BC32" s="11" t="n">
        <v>10000</v>
      </c>
      <c r="BD32" s="10" t="n"/>
      <c r="BE32" s="10" t="n">
        <v>10000</v>
      </c>
      <c r="BF32" s="10" t="n">
        <v>10000</v>
      </c>
      <c r="BG32" s="11" t="n"/>
      <c r="BH32" s="11" t="n">
        <v>10000</v>
      </c>
      <c r="BI32" s="11" t="n">
        <v>10000</v>
      </c>
      <c r="BJ32" s="10" t="n"/>
      <c r="BK32" s="10" t="n">
        <v>10000</v>
      </c>
      <c r="BL32" s="10" t="n">
        <v>10000</v>
      </c>
      <c r="BM32" s="11" t="n"/>
      <c r="BN32" s="11" t="n">
        <v>10000</v>
      </c>
      <c r="BO32" s="11" t="n">
        <v>10000</v>
      </c>
      <c r="BP32" s="10" t="n"/>
      <c r="BQ32" s="10" t="n">
        <v>10000</v>
      </c>
      <c r="BR32" s="10" t="n">
        <v>10000</v>
      </c>
      <c r="BS32" s="11" t="n"/>
      <c r="BT32" s="11" t="n">
        <v>10000</v>
      </c>
      <c r="BU32" s="11" t="n">
        <v>10000</v>
      </c>
      <c r="BV32" s="10" t="n"/>
      <c r="BW32" s="10" t="n">
        <v>10000</v>
      </c>
      <c r="BX32" s="10" t="n">
        <v>10000</v>
      </c>
      <c r="BY32" s="11" t="n"/>
      <c r="BZ32" s="11" t="n">
        <v>10000</v>
      </c>
      <c r="CA32" s="11" t="n">
        <v>10000</v>
      </c>
      <c r="CB32" s="10" t="n"/>
      <c r="CC32" s="10" t="n">
        <v>10000</v>
      </c>
      <c r="CD32" s="10" t="n">
        <v>10000</v>
      </c>
      <c r="CE32" s="11" t="n"/>
      <c r="CF32" s="11" t="n">
        <v>10000</v>
      </c>
      <c r="CG32" s="11" t="n">
        <v>10000</v>
      </c>
      <c r="CH32" s="10" t="n"/>
      <c r="CI32" s="10" t="n">
        <v>10000</v>
      </c>
      <c r="CJ32" s="10" t="n">
        <v>10000</v>
      </c>
      <c r="CK32" s="11" t="n"/>
      <c r="CL32" s="11" t="n">
        <v>10000</v>
      </c>
      <c r="CM32" s="11" t="n">
        <v>10000</v>
      </c>
      <c r="CN32" s="10" t="n"/>
      <c r="CO32" s="10" t="n">
        <v>10000</v>
      </c>
      <c r="CP32" s="10" t="n">
        <v>10000</v>
      </c>
      <c r="CQ32" s="11" t="n"/>
      <c r="CR32" s="11" t="n">
        <v>10000</v>
      </c>
      <c r="CS32" s="11" t="n">
        <v>10000</v>
      </c>
      <c r="CT32" s="10" t="n"/>
      <c r="CU32" s="10" t="n">
        <v>10000</v>
      </c>
      <c r="CV32" s="10" t="n">
        <v>10000</v>
      </c>
      <c r="CW32" s="11" t="n"/>
      <c r="CX32" s="11" t="n">
        <v>10000</v>
      </c>
      <c r="CY32" s="11" t="n">
        <v>10000</v>
      </c>
      <c r="CZ32" s="10" t="n"/>
      <c r="DA32" s="10" t="n">
        <v>10000</v>
      </c>
      <c r="DB32" s="10" t="n">
        <v>10000</v>
      </c>
      <c r="DC32" s="11" t="n"/>
      <c r="DD32" s="11" t="n">
        <v>10000</v>
      </c>
      <c r="DE32" s="11" t="n">
        <v>10000</v>
      </c>
      <c r="DF32" s="10" t="n"/>
      <c r="DG32" s="10" t="n">
        <v>10000</v>
      </c>
      <c r="DH32" s="10" t="n">
        <v>10000</v>
      </c>
      <c r="DI32" s="11" t="n">
        <v>10000</v>
      </c>
      <c r="DJ32" s="11" t="n">
        <v>10000</v>
      </c>
      <c r="DK32" s="11" t="n">
        <v>10000</v>
      </c>
      <c r="DL32" s="10" t="n">
        <v>10000</v>
      </c>
      <c r="DM32" s="10" t="n">
        <v>10000</v>
      </c>
      <c r="DN32" s="10" t="n">
        <v>10000</v>
      </c>
    </row>
    <row r="33">
      <c r="A33" s="2" t="inlineStr">
        <is>
          <t>Audit and Accounting Fees</t>
        </is>
      </c>
      <c r="B33" s="10">
        <f>IF(COUNT(AR33,AO33,AL33,AI33,AF33,AC33,Z33,W33,T33,Q33,N33,K33)=0,"",SUM(AR33,AO33,AL33,AI33,AF33,AC33,Z33,W33,T33,Q33,N33,K33))</f>
        <v/>
      </c>
      <c r="C33" s="10">
        <f>IF(COUNT(AS33,AP33,AM33,AJ33,AG33,AD33,AA33,X33,U33,R33,O33,L33)=0,"",SUM(AS33,AP33,AM33,AJ33,AG33,AD33,AA33,X33,U33,R33,O33,L33))</f>
        <v/>
      </c>
      <c r="D33" s="10">
        <f>IF(COUNT(AT33,AQ33,AN33,AK33,AH33,AE33,AB33,Y33,V33,S33,P33,M33)=0,"",SUM(AT33,AQ33,AN33,AK33,AH33,AE33,AB33,Y33,V33,S33,P33,M33))</f>
        <v/>
      </c>
      <c r="E33" s="11">
        <f>IF(COUNT(CB33,BY33,BV33,BS33,BP33,BM33,BJ33,BG33,BD33,BA33,AX33,AU33)=0,"",SUM(CB33,BY33,BV33,BS33,BP33,BM33,BJ33,BG33,BD33,BA33,AX33,AU33))</f>
        <v/>
      </c>
      <c r="F33" s="11">
        <f>IF(COUNT(CC33,BZ33,BW33,BT33,BQ33,BN33,BK33,BH33,BE33,BB33,AY33,AV33)=0,"",SUM(CC33,BZ33,BW33,BT33,BQ33,BN33,BK33,BH33,BE33,BB33,AY33,AV33))</f>
        <v/>
      </c>
      <c r="G33" s="11">
        <f>IF(COUNT(CD33,CA33,BX33,BU33,BR33,BO33,BL33,BI33,BF33,BC33,AZ33,AW33)=0,"",SUM(CD33,CA33,BX33,BU33,BR33,BO33,BL33,BI33,BF33,BC33,AZ33,AW33))</f>
        <v/>
      </c>
      <c r="H33" s="10">
        <f>IF(COUNT(DL33,DI33,DF33,DC33,CZ33,CW33,CT33,CQ33,CN33,CK33,CH33,CE33)=0,"",SUM(DL33,DI33,DF33,DC33,CZ33,CW33,CT33,CQ33,CN33,CK33,CH33,CE33))</f>
        <v/>
      </c>
      <c r="I33" s="10">
        <f>IF(COUNT(DM33,DJ33,DG33,DD33,DA33,CX33,CU33,CR33,CO33,CL33,CI33,CF33)=0,"",SUM(DM33,DJ33,DG33,DD33,DA33,CX33,CU33,CR33,CO33,CL33,CI33,CF33))</f>
        <v/>
      </c>
      <c r="J33" s="10">
        <f>IF(COUNT(DN33,DK33,DH33,DE33,DB33,CY33,CV33,CS33,CP33,CM33,CJ33,CG33)=0,"",SUM(DN33,DK33,DH33,DE33,DB33,CY33,CV33,CS33,CP33,CM33,CJ33,CG33))</f>
        <v/>
      </c>
      <c r="K33" s="11" t="n"/>
      <c r="L33" s="11" t="n">
        <v>4000</v>
      </c>
      <c r="M33" s="11" t="n">
        <v>4000</v>
      </c>
      <c r="N33" s="10" t="n"/>
      <c r="O33" s="10" t="n">
        <v>4000</v>
      </c>
      <c r="P33" s="10" t="n">
        <v>4000</v>
      </c>
      <c r="Q33" s="11" t="n"/>
      <c r="R33" s="11" t="n">
        <v>4000</v>
      </c>
      <c r="S33" s="11" t="n">
        <v>4000</v>
      </c>
      <c r="T33" s="10" t="n"/>
      <c r="U33" s="10" t="n">
        <v>4000</v>
      </c>
      <c r="V33" s="10" t="n">
        <v>4000</v>
      </c>
      <c r="W33" s="11" t="n"/>
      <c r="X33" s="11" t="n">
        <v>4000</v>
      </c>
      <c r="Y33" s="11" t="n">
        <v>4000</v>
      </c>
      <c r="Z33" s="10" t="n"/>
      <c r="AA33" s="10" t="n">
        <v>4000</v>
      </c>
      <c r="AB33" s="10" t="n">
        <v>4000</v>
      </c>
      <c r="AC33" s="11" t="n"/>
      <c r="AD33" s="11" t="n">
        <v>4000</v>
      </c>
      <c r="AE33" s="11" t="n">
        <v>4000</v>
      </c>
      <c r="AF33" s="10" t="n"/>
      <c r="AG33" s="10" t="n">
        <v>4000</v>
      </c>
      <c r="AH33" s="10" t="n">
        <v>4000</v>
      </c>
      <c r="AI33" s="11" t="n"/>
      <c r="AJ33" s="11" t="n">
        <v>4000</v>
      </c>
      <c r="AK33" s="11" t="n">
        <v>4000</v>
      </c>
      <c r="AL33" s="10" t="n"/>
      <c r="AM33" s="10" t="n">
        <v>4000</v>
      </c>
      <c r="AN33" s="10" t="n">
        <v>4000</v>
      </c>
      <c r="AO33" s="11" t="n"/>
      <c r="AP33" s="11" t="n">
        <v>4000</v>
      </c>
      <c r="AQ33" s="11" t="n">
        <v>4000</v>
      </c>
      <c r="AR33" s="10" t="n"/>
      <c r="AS33" s="10" t="n">
        <v>4000</v>
      </c>
      <c r="AT33" s="10" t="n">
        <v>4000</v>
      </c>
      <c r="AU33" s="11" t="n"/>
      <c r="AV33" s="11" t="n">
        <v>4000</v>
      </c>
      <c r="AW33" s="11" t="n">
        <v>4000</v>
      </c>
      <c r="AX33" s="10" t="n"/>
      <c r="AY33" s="10" t="n">
        <v>4000</v>
      </c>
      <c r="AZ33" s="10" t="n">
        <v>4000</v>
      </c>
      <c r="BA33" s="11" t="n"/>
      <c r="BB33" s="11" t="n">
        <v>4000</v>
      </c>
      <c r="BC33" s="11" t="n">
        <v>4000</v>
      </c>
      <c r="BD33" s="10" t="n"/>
      <c r="BE33" s="10" t="n">
        <v>4000</v>
      </c>
      <c r="BF33" s="10" t="n">
        <v>4000</v>
      </c>
      <c r="BG33" s="11" t="n"/>
      <c r="BH33" s="11" t="n">
        <v>4000</v>
      </c>
      <c r="BI33" s="11" t="n">
        <v>4000</v>
      </c>
      <c r="BJ33" s="10" t="n"/>
      <c r="BK33" s="10" t="n">
        <v>4000</v>
      </c>
      <c r="BL33" s="10" t="n">
        <v>4000</v>
      </c>
      <c r="BM33" s="11" t="n"/>
      <c r="BN33" s="11" t="n">
        <v>4000</v>
      </c>
      <c r="BO33" s="11" t="n">
        <v>4000</v>
      </c>
      <c r="BP33" s="10" t="n"/>
      <c r="BQ33" s="10" t="n">
        <v>4000</v>
      </c>
      <c r="BR33" s="10" t="n">
        <v>4000</v>
      </c>
      <c r="BS33" s="11" t="n"/>
      <c r="BT33" s="11" t="n">
        <v>4000</v>
      </c>
      <c r="BU33" s="11" t="n">
        <v>4000</v>
      </c>
      <c r="BV33" s="10" t="n"/>
      <c r="BW33" s="10" t="n">
        <v>4000</v>
      </c>
      <c r="BX33" s="10" t="n">
        <v>4000</v>
      </c>
      <c r="BY33" s="11" t="n"/>
      <c r="BZ33" s="11" t="n">
        <v>4000</v>
      </c>
      <c r="CA33" s="11" t="n">
        <v>4000</v>
      </c>
      <c r="CB33" s="10" t="n"/>
      <c r="CC33" s="10" t="n">
        <v>4000</v>
      </c>
      <c r="CD33" s="10" t="n">
        <v>4000</v>
      </c>
      <c r="CE33" s="11" t="n"/>
      <c r="CF33" s="11" t="n">
        <v>4000</v>
      </c>
      <c r="CG33" s="11" t="n">
        <v>4000</v>
      </c>
      <c r="CH33" s="10" t="n"/>
      <c r="CI33" s="10" t="n">
        <v>4000</v>
      </c>
      <c r="CJ33" s="10" t="n">
        <v>4000</v>
      </c>
      <c r="CK33" s="11" t="n"/>
      <c r="CL33" s="11" t="n">
        <v>4000</v>
      </c>
      <c r="CM33" s="11" t="n">
        <v>4000</v>
      </c>
      <c r="CN33" s="10" t="n"/>
      <c r="CO33" s="10" t="n">
        <v>4000</v>
      </c>
      <c r="CP33" s="10" t="n">
        <v>4000</v>
      </c>
      <c r="CQ33" s="11" t="n"/>
      <c r="CR33" s="11" t="n">
        <v>4000</v>
      </c>
      <c r="CS33" s="11" t="n">
        <v>4000</v>
      </c>
      <c r="CT33" s="10" t="n"/>
      <c r="CU33" s="10" t="n">
        <v>4000</v>
      </c>
      <c r="CV33" s="10" t="n">
        <v>4000</v>
      </c>
      <c r="CW33" s="11" t="n"/>
      <c r="CX33" s="11" t="n">
        <v>4000</v>
      </c>
      <c r="CY33" s="11" t="n">
        <v>4000</v>
      </c>
      <c r="CZ33" s="10" t="n"/>
      <c r="DA33" s="10" t="n">
        <v>4000</v>
      </c>
      <c r="DB33" s="10" t="n">
        <v>4000</v>
      </c>
      <c r="DC33" s="11" t="n"/>
      <c r="DD33" s="11" t="n">
        <v>4000</v>
      </c>
      <c r="DE33" s="11" t="n">
        <v>4000</v>
      </c>
      <c r="DF33" s="10" t="n"/>
      <c r="DG33" s="10" t="n">
        <v>4000</v>
      </c>
      <c r="DH33" s="10" t="n">
        <v>4000</v>
      </c>
      <c r="DI33" s="11" t="n">
        <v>4000</v>
      </c>
      <c r="DJ33" s="11" t="n">
        <v>4000</v>
      </c>
      <c r="DK33" s="11" t="n">
        <v>4000</v>
      </c>
      <c r="DL33" s="10" t="n">
        <v>4000</v>
      </c>
      <c r="DM33" s="10" t="n">
        <v>4000</v>
      </c>
      <c r="DN33" s="10" t="n">
        <v>4000</v>
      </c>
    </row>
    <row r="34">
      <c r="A34" s="2" t="inlineStr">
        <is>
          <t>Banking and Merchant Fees</t>
        </is>
      </c>
      <c r="B34" s="10">
        <f>IF(COUNT(AR34,AO34,AL34,AI34,AF34,AC34,Z34,W34,T34,Q34,N34,K34)=0,"",SUM(AR34,AO34,AL34,AI34,AF34,AC34,Z34,W34,T34,Q34,N34,K34))</f>
        <v/>
      </c>
      <c r="C34" s="10">
        <f>IF(COUNT(AS34,AP34,AM34,AJ34,AG34,AD34,AA34,X34,U34,R34,O34,L34)=0,"",SUM(AS34,AP34,AM34,AJ34,AG34,AD34,AA34,X34,U34,R34,O34,L34))</f>
        <v/>
      </c>
      <c r="D34" s="10">
        <f>IF(COUNT(AT34,AQ34,AN34,AK34,AH34,AE34,AB34,Y34,V34,S34,P34,M34)=0,"",SUM(AT34,AQ34,AN34,AK34,AH34,AE34,AB34,Y34,V34,S34,P34,M34))</f>
        <v/>
      </c>
      <c r="E34" s="11">
        <f>IF(COUNT(CB34,BY34,BV34,BS34,BP34,BM34,BJ34,BG34,BD34,BA34,AX34,AU34)=0,"",SUM(CB34,BY34,BV34,BS34,BP34,BM34,BJ34,BG34,BD34,BA34,AX34,AU34))</f>
        <v/>
      </c>
      <c r="F34" s="11">
        <f>IF(COUNT(CC34,BZ34,BW34,BT34,BQ34,BN34,BK34,BH34,BE34,BB34,AY34,AV34)=0,"",SUM(CC34,BZ34,BW34,BT34,BQ34,BN34,BK34,BH34,BE34,BB34,AY34,AV34))</f>
        <v/>
      </c>
      <c r="G34" s="11">
        <f>IF(COUNT(CD34,CA34,BX34,BU34,BR34,BO34,BL34,BI34,BF34,BC34,AZ34,AW34)=0,"",SUM(CD34,CA34,BX34,BU34,BR34,BO34,BL34,BI34,BF34,BC34,AZ34,AW34))</f>
        <v/>
      </c>
      <c r="H34" s="10">
        <f>IF(COUNT(DL34,DI34,DF34,DC34,CZ34,CW34,CT34,CQ34,CN34,CK34,CH34,CE34)=0,"",SUM(DL34,DI34,DF34,DC34,CZ34,CW34,CT34,CQ34,CN34,CK34,CH34,CE34))</f>
        <v/>
      </c>
      <c r="I34" s="10">
        <f>IF(COUNT(DM34,DJ34,DG34,DD34,DA34,CX34,CU34,CR34,CO34,CL34,CI34,CF34)=0,"",SUM(DM34,DJ34,DG34,DD34,DA34,CX34,CU34,CR34,CO34,CL34,CI34,CF34))</f>
        <v/>
      </c>
      <c r="J34" s="10">
        <f>IF(COUNT(DN34,DK34,DH34,DE34,DB34,CY34,CV34,CS34,CP34,CM34,CJ34,CG34)=0,"",SUM(DN34,DK34,DH34,DE34,DB34,CY34,CV34,CS34,CP34,CM34,CJ34,CG34))</f>
        <v/>
      </c>
      <c r="K34" s="11" t="n"/>
      <c r="L34" s="11" t="n">
        <v>3000</v>
      </c>
      <c r="M34" s="11" t="n">
        <v>3000</v>
      </c>
      <c r="N34" s="10" t="n"/>
      <c r="O34" s="10" t="n">
        <v>3000</v>
      </c>
      <c r="P34" s="10" t="n">
        <v>3000</v>
      </c>
      <c r="Q34" s="11" t="n"/>
      <c r="R34" s="11" t="n">
        <v>3000</v>
      </c>
      <c r="S34" s="11" t="n">
        <v>3000</v>
      </c>
      <c r="T34" s="10" t="n"/>
      <c r="U34" s="10" t="n">
        <v>3000</v>
      </c>
      <c r="V34" s="10" t="n">
        <v>3000</v>
      </c>
      <c r="W34" s="11" t="n"/>
      <c r="X34" s="11" t="n">
        <v>3000</v>
      </c>
      <c r="Y34" s="11" t="n">
        <v>3000</v>
      </c>
      <c r="Z34" s="10" t="n"/>
      <c r="AA34" s="10" t="n">
        <v>3000</v>
      </c>
      <c r="AB34" s="10" t="n">
        <v>3000</v>
      </c>
      <c r="AC34" s="11" t="n"/>
      <c r="AD34" s="11" t="n">
        <v>3000</v>
      </c>
      <c r="AE34" s="11" t="n">
        <v>3000</v>
      </c>
      <c r="AF34" s="10" t="n"/>
      <c r="AG34" s="10" t="n">
        <v>3000</v>
      </c>
      <c r="AH34" s="10" t="n">
        <v>3000</v>
      </c>
      <c r="AI34" s="11" t="n"/>
      <c r="AJ34" s="11" t="n">
        <v>3000</v>
      </c>
      <c r="AK34" s="11" t="n">
        <v>3000</v>
      </c>
      <c r="AL34" s="10" t="n"/>
      <c r="AM34" s="10" t="n">
        <v>3000</v>
      </c>
      <c r="AN34" s="10" t="n">
        <v>3000</v>
      </c>
      <c r="AO34" s="11" t="n"/>
      <c r="AP34" s="11" t="n">
        <v>3000</v>
      </c>
      <c r="AQ34" s="11" t="n">
        <v>3000</v>
      </c>
      <c r="AR34" s="10" t="n"/>
      <c r="AS34" s="10" t="n">
        <v>3000</v>
      </c>
      <c r="AT34" s="10" t="n">
        <v>3000</v>
      </c>
      <c r="AU34" s="11" t="n"/>
      <c r="AV34" s="11" t="n">
        <v>3000</v>
      </c>
      <c r="AW34" s="11" t="n">
        <v>3000</v>
      </c>
      <c r="AX34" s="10" t="n"/>
      <c r="AY34" s="10" t="n">
        <v>3000</v>
      </c>
      <c r="AZ34" s="10" t="n">
        <v>3000</v>
      </c>
      <c r="BA34" s="11" t="n"/>
      <c r="BB34" s="11" t="n">
        <v>3000</v>
      </c>
      <c r="BC34" s="11" t="n">
        <v>3000</v>
      </c>
      <c r="BD34" s="10" t="n"/>
      <c r="BE34" s="10" t="n">
        <v>3000</v>
      </c>
      <c r="BF34" s="10" t="n">
        <v>3000</v>
      </c>
      <c r="BG34" s="11" t="n"/>
      <c r="BH34" s="11" t="n">
        <v>3000</v>
      </c>
      <c r="BI34" s="11" t="n">
        <v>3000</v>
      </c>
      <c r="BJ34" s="10" t="n"/>
      <c r="BK34" s="10" t="n">
        <v>3000</v>
      </c>
      <c r="BL34" s="10" t="n">
        <v>3000</v>
      </c>
      <c r="BM34" s="11" t="n"/>
      <c r="BN34" s="11" t="n">
        <v>3000</v>
      </c>
      <c r="BO34" s="11" t="n">
        <v>3000</v>
      </c>
      <c r="BP34" s="10" t="n"/>
      <c r="BQ34" s="10" t="n">
        <v>3000</v>
      </c>
      <c r="BR34" s="10" t="n">
        <v>3000</v>
      </c>
      <c r="BS34" s="11" t="n"/>
      <c r="BT34" s="11" t="n">
        <v>3000</v>
      </c>
      <c r="BU34" s="11" t="n">
        <v>3000</v>
      </c>
      <c r="BV34" s="10" t="n"/>
      <c r="BW34" s="10" t="n">
        <v>3000</v>
      </c>
      <c r="BX34" s="10" t="n">
        <v>3000</v>
      </c>
      <c r="BY34" s="11" t="n"/>
      <c r="BZ34" s="11" t="n">
        <v>3000</v>
      </c>
      <c r="CA34" s="11" t="n">
        <v>3000</v>
      </c>
      <c r="CB34" s="10" t="n"/>
      <c r="CC34" s="10" t="n">
        <v>3000</v>
      </c>
      <c r="CD34" s="10" t="n">
        <v>3000</v>
      </c>
      <c r="CE34" s="11" t="n"/>
      <c r="CF34" s="11" t="n">
        <v>3000</v>
      </c>
      <c r="CG34" s="11" t="n">
        <v>3000</v>
      </c>
      <c r="CH34" s="10" t="n"/>
      <c r="CI34" s="10" t="n">
        <v>3000</v>
      </c>
      <c r="CJ34" s="10" t="n">
        <v>3000</v>
      </c>
      <c r="CK34" s="11" t="n"/>
      <c r="CL34" s="11" t="n">
        <v>3000</v>
      </c>
      <c r="CM34" s="11" t="n">
        <v>3000</v>
      </c>
      <c r="CN34" s="10" t="n"/>
      <c r="CO34" s="10" t="n">
        <v>3000</v>
      </c>
      <c r="CP34" s="10" t="n">
        <v>3000</v>
      </c>
      <c r="CQ34" s="11" t="n"/>
      <c r="CR34" s="11" t="n">
        <v>3000</v>
      </c>
      <c r="CS34" s="11" t="n">
        <v>3000</v>
      </c>
      <c r="CT34" s="10" t="n"/>
      <c r="CU34" s="10" t="n">
        <v>3000</v>
      </c>
      <c r="CV34" s="10" t="n">
        <v>3000</v>
      </c>
      <c r="CW34" s="11" t="n"/>
      <c r="CX34" s="11" t="n">
        <v>3000</v>
      </c>
      <c r="CY34" s="11" t="n">
        <v>3000</v>
      </c>
      <c r="CZ34" s="10" t="n"/>
      <c r="DA34" s="10" t="n">
        <v>3000</v>
      </c>
      <c r="DB34" s="10" t="n">
        <v>3000</v>
      </c>
      <c r="DC34" s="11" t="n"/>
      <c r="DD34" s="11" t="n">
        <v>3000</v>
      </c>
      <c r="DE34" s="11" t="n">
        <v>3000</v>
      </c>
      <c r="DF34" s="10" t="n"/>
      <c r="DG34" s="10" t="n">
        <v>3000</v>
      </c>
      <c r="DH34" s="10" t="n">
        <v>3000</v>
      </c>
      <c r="DI34" s="11" t="n">
        <v>3000</v>
      </c>
      <c r="DJ34" s="11" t="n">
        <v>3000</v>
      </c>
      <c r="DK34" s="11" t="n">
        <v>3000</v>
      </c>
      <c r="DL34" s="10" t="n">
        <v>3000</v>
      </c>
      <c r="DM34" s="10" t="n">
        <v>3000</v>
      </c>
      <c r="DN34" s="10" t="n">
        <v>3000</v>
      </c>
    </row>
    <row r="35">
      <c r="A35" s="2" t="inlineStr">
        <is>
          <t>Insurance</t>
        </is>
      </c>
      <c r="B35" s="10">
        <f>IF(COUNT(AR35,AO35,AL35,AI35,AF35,AC35,Z35,W35,T35,Q35,N35,K35)=0,"",SUM(AR35,AO35,AL35,AI35,AF35,AC35,Z35,W35,T35,Q35,N35,K35))</f>
        <v/>
      </c>
      <c r="C35" s="10">
        <f>IF(COUNT(AS35,AP35,AM35,AJ35,AG35,AD35,AA35,X35,U35,R35,O35,L35)=0,"",SUM(AS35,AP35,AM35,AJ35,AG35,AD35,AA35,X35,U35,R35,O35,L35))</f>
        <v/>
      </c>
      <c r="D35" s="10">
        <f>IF(COUNT(AT35,AQ35,AN35,AK35,AH35,AE35,AB35,Y35,V35,S35,P35,M35)=0,"",SUM(AT35,AQ35,AN35,AK35,AH35,AE35,AB35,Y35,V35,S35,P35,M35))</f>
        <v/>
      </c>
      <c r="E35" s="11">
        <f>IF(COUNT(CB35,BY35,BV35,BS35,BP35,BM35,BJ35,BG35,BD35,BA35,AX35,AU35)=0,"",SUM(CB35,BY35,BV35,BS35,BP35,BM35,BJ35,BG35,BD35,BA35,AX35,AU35))</f>
        <v/>
      </c>
      <c r="F35" s="11">
        <f>IF(COUNT(CC35,BZ35,BW35,BT35,BQ35,BN35,BK35,BH35,BE35,BB35,AY35,AV35)=0,"",SUM(CC35,BZ35,BW35,BT35,BQ35,BN35,BK35,BH35,BE35,BB35,AY35,AV35))</f>
        <v/>
      </c>
      <c r="G35" s="11">
        <f>IF(COUNT(CD35,CA35,BX35,BU35,BR35,BO35,BL35,BI35,BF35,BC35,AZ35,AW35)=0,"",SUM(CD35,CA35,BX35,BU35,BR35,BO35,BL35,BI35,BF35,BC35,AZ35,AW35))</f>
        <v/>
      </c>
      <c r="H35" s="10">
        <f>IF(COUNT(DL35,DI35,DF35,DC35,CZ35,CW35,CT35,CQ35,CN35,CK35,CH35,CE35)=0,"",SUM(DL35,DI35,DF35,DC35,CZ35,CW35,CT35,CQ35,CN35,CK35,CH35,CE35))</f>
        <v/>
      </c>
      <c r="I35" s="10">
        <f>IF(COUNT(DM35,DJ35,DG35,DD35,DA35,CX35,CU35,CR35,CO35,CL35,CI35,CF35)=0,"",SUM(DM35,DJ35,DG35,DD35,DA35,CX35,CU35,CR35,CO35,CL35,CI35,CF35))</f>
        <v/>
      </c>
      <c r="J35" s="10">
        <f>IF(COUNT(DN35,DK35,DH35,DE35,DB35,CY35,CV35,CS35,CP35,CM35,CJ35,CG35)=0,"",SUM(DN35,DK35,DH35,DE35,DB35,CY35,CV35,CS35,CP35,CM35,CJ35,CG35))</f>
        <v/>
      </c>
      <c r="K35" s="11" t="n"/>
      <c r="L35" s="11" t="n">
        <v>6000</v>
      </c>
      <c r="M35" s="11" t="n">
        <v>6000</v>
      </c>
      <c r="N35" s="10" t="n"/>
      <c r="O35" s="10" t="n">
        <v>6000</v>
      </c>
      <c r="P35" s="10" t="n">
        <v>6000</v>
      </c>
      <c r="Q35" s="11" t="n"/>
      <c r="R35" s="11" t="n">
        <v>6000</v>
      </c>
      <c r="S35" s="11" t="n">
        <v>6000</v>
      </c>
      <c r="T35" s="10" t="n"/>
      <c r="U35" s="10" t="n">
        <v>6000</v>
      </c>
      <c r="V35" s="10" t="n">
        <v>6000</v>
      </c>
      <c r="W35" s="11" t="n"/>
      <c r="X35" s="11" t="n">
        <v>6000</v>
      </c>
      <c r="Y35" s="11" t="n">
        <v>6000</v>
      </c>
      <c r="Z35" s="10" t="n"/>
      <c r="AA35" s="10" t="n">
        <v>6000</v>
      </c>
      <c r="AB35" s="10" t="n">
        <v>6000</v>
      </c>
      <c r="AC35" s="11" t="n"/>
      <c r="AD35" s="11" t="n">
        <v>6000</v>
      </c>
      <c r="AE35" s="11" t="n">
        <v>6000</v>
      </c>
      <c r="AF35" s="10" t="n"/>
      <c r="AG35" s="10" t="n">
        <v>6000</v>
      </c>
      <c r="AH35" s="10" t="n">
        <v>6000</v>
      </c>
      <c r="AI35" s="11" t="n"/>
      <c r="AJ35" s="11" t="n">
        <v>6000</v>
      </c>
      <c r="AK35" s="11" t="n">
        <v>6000</v>
      </c>
      <c r="AL35" s="10" t="n"/>
      <c r="AM35" s="10" t="n">
        <v>6000</v>
      </c>
      <c r="AN35" s="10" t="n">
        <v>6000</v>
      </c>
      <c r="AO35" s="11" t="n"/>
      <c r="AP35" s="11" t="n">
        <v>6000</v>
      </c>
      <c r="AQ35" s="11" t="n">
        <v>6000</v>
      </c>
      <c r="AR35" s="10" t="n"/>
      <c r="AS35" s="10" t="n">
        <v>6000</v>
      </c>
      <c r="AT35" s="10" t="n">
        <v>6000</v>
      </c>
      <c r="AU35" s="11" t="n"/>
      <c r="AV35" s="11" t="n">
        <v>6000</v>
      </c>
      <c r="AW35" s="11" t="n">
        <v>6000</v>
      </c>
      <c r="AX35" s="10" t="n"/>
      <c r="AY35" s="10" t="n">
        <v>6000</v>
      </c>
      <c r="AZ35" s="10" t="n">
        <v>6000</v>
      </c>
      <c r="BA35" s="11" t="n"/>
      <c r="BB35" s="11" t="n">
        <v>6000</v>
      </c>
      <c r="BC35" s="11" t="n">
        <v>6000</v>
      </c>
      <c r="BD35" s="10" t="n"/>
      <c r="BE35" s="10" t="n">
        <v>6000</v>
      </c>
      <c r="BF35" s="10" t="n">
        <v>6000</v>
      </c>
      <c r="BG35" s="11" t="n"/>
      <c r="BH35" s="11" t="n">
        <v>6000</v>
      </c>
      <c r="BI35" s="11" t="n">
        <v>6000</v>
      </c>
      <c r="BJ35" s="10" t="n"/>
      <c r="BK35" s="10" t="n">
        <v>6000</v>
      </c>
      <c r="BL35" s="10" t="n">
        <v>6000</v>
      </c>
      <c r="BM35" s="11" t="n"/>
      <c r="BN35" s="11" t="n">
        <v>6000</v>
      </c>
      <c r="BO35" s="11" t="n">
        <v>6000</v>
      </c>
      <c r="BP35" s="10" t="n"/>
      <c r="BQ35" s="10" t="n">
        <v>6000</v>
      </c>
      <c r="BR35" s="10" t="n">
        <v>6000</v>
      </c>
      <c r="BS35" s="11" t="n"/>
      <c r="BT35" s="11" t="n">
        <v>6000</v>
      </c>
      <c r="BU35" s="11" t="n">
        <v>6000</v>
      </c>
      <c r="BV35" s="10" t="n"/>
      <c r="BW35" s="10" t="n">
        <v>6000</v>
      </c>
      <c r="BX35" s="10" t="n">
        <v>6000</v>
      </c>
      <c r="BY35" s="11" t="n"/>
      <c r="BZ35" s="11" t="n">
        <v>6000</v>
      </c>
      <c r="CA35" s="11" t="n">
        <v>6000</v>
      </c>
      <c r="CB35" s="10" t="n"/>
      <c r="CC35" s="10" t="n">
        <v>6000</v>
      </c>
      <c r="CD35" s="10" t="n">
        <v>6000</v>
      </c>
      <c r="CE35" s="11" t="n"/>
      <c r="CF35" s="11" t="n">
        <v>6000</v>
      </c>
      <c r="CG35" s="11" t="n">
        <v>6000</v>
      </c>
      <c r="CH35" s="10" t="n"/>
      <c r="CI35" s="10" t="n">
        <v>6000</v>
      </c>
      <c r="CJ35" s="10" t="n">
        <v>6000</v>
      </c>
      <c r="CK35" s="11" t="n"/>
      <c r="CL35" s="11" t="n">
        <v>6000</v>
      </c>
      <c r="CM35" s="11" t="n">
        <v>6000</v>
      </c>
      <c r="CN35" s="10" t="n"/>
      <c r="CO35" s="10" t="n">
        <v>6000</v>
      </c>
      <c r="CP35" s="10" t="n">
        <v>6000</v>
      </c>
      <c r="CQ35" s="11" t="n"/>
      <c r="CR35" s="11" t="n">
        <v>6000</v>
      </c>
      <c r="CS35" s="11" t="n">
        <v>6000</v>
      </c>
      <c r="CT35" s="10" t="n"/>
      <c r="CU35" s="10" t="n">
        <v>6000</v>
      </c>
      <c r="CV35" s="10" t="n">
        <v>6000</v>
      </c>
      <c r="CW35" s="11" t="n"/>
      <c r="CX35" s="11" t="n">
        <v>6000</v>
      </c>
      <c r="CY35" s="11" t="n">
        <v>6000</v>
      </c>
      <c r="CZ35" s="10" t="n"/>
      <c r="DA35" s="10" t="n">
        <v>6000</v>
      </c>
      <c r="DB35" s="10" t="n">
        <v>6000</v>
      </c>
      <c r="DC35" s="11" t="n"/>
      <c r="DD35" s="11" t="n">
        <v>6000</v>
      </c>
      <c r="DE35" s="11" t="n">
        <v>6000</v>
      </c>
      <c r="DF35" s="10" t="n"/>
      <c r="DG35" s="10" t="n">
        <v>6000</v>
      </c>
      <c r="DH35" s="10" t="n">
        <v>6000</v>
      </c>
      <c r="DI35" s="11" t="n">
        <v>6000</v>
      </c>
      <c r="DJ35" s="11" t="n">
        <v>6000</v>
      </c>
      <c r="DK35" s="11" t="n">
        <v>6000</v>
      </c>
      <c r="DL35" s="10" t="n">
        <v>6000</v>
      </c>
      <c r="DM35" s="10" t="n">
        <v>6000</v>
      </c>
      <c r="DN35" s="10" t="n">
        <v>6000</v>
      </c>
    </row>
    <row r="36">
      <c r="A36" s="2" t="inlineStr">
        <is>
          <t>Legal and Professional</t>
        </is>
      </c>
      <c r="B36" s="10">
        <f>IF(COUNT(AR36,AO36,AL36,AI36,AF36,AC36,Z36,W36,T36,Q36,N36,K36)=0,"",SUM(AR36,AO36,AL36,AI36,AF36,AC36,Z36,W36,T36,Q36,N36,K36))</f>
        <v/>
      </c>
      <c r="C36" s="10">
        <f>IF(COUNT(AS36,AP36,AM36,AJ36,AG36,AD36,AA36,X36,U36,R36,O36,L36)=0,"",SUM(AS36,AP36,AM36,AJ36,AG36,AD36,AA36,X36,U36,R36,O36,L36))</f>
        <v/>
      </c>
      <c r="D36" s="10">
        <f>IF(COUNT(AT36,AQ36,AN36,AK36,AH36,AE36,AB36,Y36,V36,S36,P36,M36)=0,"",SUM(AT36,AQ36,AN36,AK36,AH36,AE36,AB36,Y36,V36,S36,P36,M36))</f>
        <v/>
      </c>
      <c r="E36" s="11">
        <f>IF(COUNT(CB36,BY36,BV36,BS36,BP36,BM36,BJ36,BG36,BD36,BA36,AX36,AU36)=0,"",SUM(CB36,BY36,BV36,BS36,BP36,BM36,BJ36,BG36,BD36,BA36,AX36,AU36))</f>
        <v/>
      </c>
      <c r="F36" s="11">
        <f>IF(COUNT(CC36,BZ36,BW36,BT36,BQ36,BN36,BK36,BH36,BE36,BB36,AY36,AV36)=0,"",SUM(CC36,BZ36,BW36,BT36,BQ36,BN36,BK36,BH36,BE36,BB36,AY36,AV36))</f>
        <v/>
      </c>
      <c r="G36" s="11">
        <f>IF(COUNT(CD36,CA36,BX36,BU36,BR36,BO36,BL36,BI36,BF36,BC36,AZ36,AW36)=0,"",SUM(CD36,CA36,BX36,BU36,BR36,BO36,BL36,BI36,BF36,BC36,AZ36,AW36))</f>
        <v/>
      </c>
      <c r="H36" s="10">
        <f>IF(COUNT(DL36,DI36,DF36,DC36,CZ36,CW36,CT36,CQ36,CN36,CK36,CH36,CE36)=0,"",SUM(DL36,DI36,DF36,DC36,CZ36,CW36,CT36,CQ36,CN36,CK36,CH36,CE36))</f>
        <v/>
      </c>
      <c r="I36" s="10">
        <f>IF(COUNT(DM36,DJ36,DG36,DD36,DA36,CX36,CU36,CR36,CO36,CL36,CI36,CF36)=0,"",SUM(DM36,DJ36,DG36,DD36,DA36,CX36,CU36,CR36,CO36,CL36,CI36,CF36))</f>
        <v/>
      </c>
      <c r="J36" s="10">
        <f>IF(COUNT(DN36,DK36,DH36,DE36,DB36,CY36,CV36,CS36,CP36,CM36,CJ36,CG36)=0,"",SUM(DN36,DK36,DH36,DE36,DB36,CY36,CV36,CS36,CP36,CM36,CJ36,CG36))</f>
        <v/>
      </c>
      <c r="K36" s="11" t="n"/>
      <c r="L36" s="11" t="n">
        <v>6000</v>
      </c>
      <c r="M36" s="11" t="n">
        <v>6000</v>
      </c>
      <c r="N36" s="10" t="n"/>
      <c r="O36" s="10" t="n">
        <v>6000</v>
      </c>
      <c r="P36" s="10" t="n">
        <v>6000</v>
      </c>
      <c r="Q36" s="11" t="n"/>
      <c r="R36" s="11" t="n">
        <v>6000</v>
      </c>
      <c r="S36" s="11" t="n">
        <v>6000</v>
      </c>
      <c r="T36" s="10" t="n"/>
      <c r="U36" s="10" t="n">
        <v>6000</v>
      </c>
      <c r="V36" s="10" t="n">
        <v>6000</v>
      </c>
      <c r="W36" s="11" t="n"/>
      <c r="X36" s="11" t="n">
        <v>6000</v>
      </c>
      <c r="Y36" s="11" t="n">
        <v>6000</v>
      </c>
      <c r="Z36" s="10" t="n"/>
      <c r="AA36" s="10" t="n">
        <v>6000</v>
      </c>
      <c r="AB36" s="10" t="n">
        <v>6000</v>
      </c>
      <c r="AC36" s="11" t="n"/>
      <c r="AD36" s="11" t="n">
        <v>6000</v>
      </c>
      <c r="AE36" s="11" t="n">
        <v>6000</v>
      </c>
      <c r="AF36" s="10" t="n"/>
      <c r="AG36" s="10" t="n">
        <v>6000</v>
      </c>
      <c r="AH36" s="10" t="n">
        <v>6000</v>
      </c>
      <c r="AI36" s="11" t="n"/>
      <c r="AJ36" s="11" t="n">
        <v>6000</v>
      </c>
      <c r="AK36" s="11" t="n">
        <v>6000</v>
      </c>
      <c r="AL36" s="10" t="n"/>
      <c r="AM36" s="10" t="n">
        <v>6000</v>
      </c>
      <c r="AN36" s="10" t="n">
        <v>6000</v>
      </c>
      <c r="AO36" s="11" t="n"/>
      <c r="AP36" s="11" t="n">
        <v>6000</v>
      </c>
      <c r="AQ36" s="11" t="n">
        <v>6000</v>
      </c>
      <c r="AR36" s="10" t="n"/>
      <c r="AS36" s="10" t="n">
        <v>6000</v>
      </c>
      <c r="AT36" s="10" t="n">
        <v>6000</v>
      </c>
      <c r="AU36" s="11" t="n"/>
      <c r="AV36" s="11" t="n">
        <v>6000</v>
      </c>
      <c r="AW36" s="11" t="n">
        <v>6000</v>
      </c>
      <c r="AX36" s="10" t="n"/>
      <c r="AY36" s="10" t="n">
        <v>6000</v>
      </c>
      <c r="AZ36" s="10" t="n">
        <v>6000</v>
      </c>
      <c r="BA36" s="11" t="n"/>
      <c r="BB36" s="11" t="n">
        <v>6000</v>
      </c>
      <c r="BC36" s="11" t="n">
        <v>6000</v>
      </c>
      <c r="BD36" s="10" t="n"/>
      <c r="BE36" s="10" t="n">
        <v>6000</v>
      </c>
      <c r="BF36" s="10" t="n">
        <v>6000</v>
      </c>
      <c r="BG36" s="11" t="n"/>
      <c r="BH36" s="11" t="n">
        <v>6000</v>
      </c>
      <c r="BI36" s="11" t="n">
        <v>6000</v>
      </c>
      <c r="BJ36" s="10" t="n"/>
      <c r="BK36" s="10" t="n">
        <v>6000</v>
      </c>
      <c r="BL36" s="10" t="n">
        <v>6000</v>
      </c>
      <c r="BM36" s="11" t="n"/>
      <c r="BN36" s="11" t="n">
        <v>6000</v>
      </c>
      <c r="BO36" s="11" t="n">
        <v>6000</v>
      </c>
      <c r="BP36" s="10" t="n"/>
      <c r="BQ36" s="10" t="n">
        <v>6000</v>
      </c>
      <c r="BR36" s="10" t="n">
        <v>6000</v>
      </c>
      <c r="BS36" s="11" t="n"/>
      <c r="BT36" s="11" t="n">
        <v>6000</v>
      </c>
      <c r="BU36" s="11" t="n">
        <v>6000</v>
      </c>
      <c r="BV36" s="10" t="n"/>
      <c r="BW36" s="10" t="n">
        <v>6000</v>
      </c>
      <c r="BX36" s="10" t="n">
        <v>6000</v>
      </c>
      <c r="BY36" s="11" t="n"/>
      <c r="BZ36" s="11" t="n">
        <v>6000</v>
      </c>
      <c r="CA36" s="11" t="n">
        <v>6000</v>
      </c>
      <c r="CB36" s="10" t="n"/>
      <c r="CC36" s="10" t="n">
        <v>6000</v>
      </c>
      <c r="CD36" s="10" t="n">
        <v>6000</v>
      </c>
      <c r="CE36" s="11" t="n"/>
      <c r="CF36" s="11" t="n">
        <v>6000</v>
      </c>
      <c r="CG36" s="11" t="n">
        <v>6000</v>
      </c>
      <c r="CH36" s="10" t="n"/>
      <c r="CI36" s="10" t="n">
        <v>6000</v>
      </c>
      <c r="CJ36" s="10" t="n">
        <v>6000</v>
      </c>
      <c r="CK36" s="11" t="n"/>
      <c r="CL36" s="11" t="n">
        <v>6000</v>
      </c>
      <c r="CM36" s="11" t="n">
        <v>6000</v>
      </c>
      <c r="CN36" s="10" t="n"/>
      <c r="CO36" s="10" t="n">
        <v>6000</v>
      </c>
      <c r="CP36" s="10" t="n">
        <v>6000</v>
      </c>
      <c r="CQ36" s="11" t="n"/>
      <c r="CR36" s="11" t="n">
        <v>6000</v>
      </c>
      <c r="CS36" s="11" t="n">
        <v>6000</v>
      </c>
      <c r="CT36" s="10" t="n"/>
      <c r="CU36" s="10" t="n">
        <v>6000</v>
      </c>
      <c r="CV36" s="10" t="n">
        <v>6000</v>
      </c>
      <c r="CW36" s="11" t="n"/>
      <c r="CX36" s="11" t="n">
        <v>6000</v>
      </c>
      <c r="CY36" s="11" t="n">
        <v>6000</v>
      </c>
      <c r="CZ36" s="10" t="n"/>
      <c r="DA36" s="10" t="n">
        <v>6000</v>
      </c>
      <c r="DB36" s="10" t="n">
        <v>6000</v>
      </c>
      <c r="DC36" s="11" t="n"/>
      <c r="DD36" s="11" t="n">
        <v>6000</v>
      </c>
      <c r="DE36" s="11" t="n">
        <v>6000</v>
      </c>
      <c r="DF36" s="10" t="n"/>
      <c r="DG36" s="10" t="n">
        <v>6000</v>
      </c>
      <c r="DH36" s="10" t="n">
        <v>6000</v>
      </c>
      <c r="DI36" s="11" t="n">
        <v>6000</v>
      </c>
      <c r="DJ36" s="11" t="n">
        <v>6000</v>
      </c>
      <c r="DK36" s="11" t="n">
        <v>6000</v>
      </c>
      <c r="DL36" s="10" t="n">
        <v>6000</v>
      </c>
      <c r="DM36" s="10" t="n">
        <v>6000</v>
      </c>
      <c r="DN36" s="10" t="n">
        <v>6000</v>
      </c>
    </row>
    <row r="37">
      <c r="A37" s="12" t="inlineStr">
        <is>
          <t>Total Finance Programs</t>
        </is>
      </c>
      <c r="B37" s="13">
        <f>IF(COUNT(AR37,AO37,AL37,AI37,AF37,AC37,Z37,W37,T37,Q37,N37,K37)=0,"",SUM(AR37,AO37,AL37,AI37,AF37,AC37,Z37,W37,T37,Q37,N37,K37))</f>
        <v/>
      </c>
      <c r="C37" s="13">
        <f>IF(COUNT(AS37,AP37,AM37,AJ37,AG37,AD37,AA37,X37,U37,R37,O37,L37)=0,"",SUM(AS37,AP37,AM37,AJ37,AG37,AD37,AA37,X37,U37,R37,O37,L37))</f>
        <v/>
      </c>
      <c r="D37" s="13">
        <f>IF(COUNT(AT37,AQ37,AN37,AK37,AH37,AE37,AB37,Y37,V37,S37,P37,M37)=0,"",SUM(AT37,AQ37,AN37,AK37,AH37,AE37,AB37,Y37,V37,S37,P37,M37))</f>
        <v/>
      </c>
      <c r="E37" s="14">
        <f>IF(COUNT(CB37,BY37,BV37,BS37,BP37,BM37,BJ37,BG37,BD37,BA37,AX37,AU37)=0,"",SUM(CB37,BY37,BV37,BS37,BP37,BM37,BJ37,BG37,BD37,BA37,AX37,AU37))</f>
        <v/>
      </c>
      <c r="F37" s="14">
        <f>IF(COUNT(CC37,BZ37,BW37,BT37,BQ37,BN37,BK37,BH37,BE37,BB37,AY37,AV37)=0,"",SUM(CC37,BZ37,BW37,BT37,BQ37,BN37,BK37,BH37,BE37,BB37,AY37,AV37))</f>
        <v/>
      </c>
      <c r="G37" s="14">
        <f>IF(COUNT(CD37,CA37,BX37,BU37,BR37,BO37,BL37,BI37,BF37,BC37,AZ37,AW37)=0,"",SUM(CD37,CA37,BX37,BU37,BR37,BO37,BL37,BI37,BF37,BC37,AZ37,AW37))</f>
        <v/>
      </c>
      <c r="H37" s="13">
        <f>IF(COUNT(DL37,DI37,DF37,DC37,CZ37,CW37,CT37,CQ37,CN37,CK37,CH37,CE37)=0,"",SUM(DL37,DI37,DF37,DC37,CZ37,CW37,CT37,CQ37,CN37,CK37,CH37,CE37))</f>
        <v/>
      </c>
      <c r="I37" s="13">
        <f>IF(COUNT(DM37,DJ37,DG37,DD37,DA37,CX37,CU37,CR37,CO37,CL37,CI37,CF37)=0,"",SUM(DM37,DJ37,DG37,DD37,DA37,CX37,CU37,CR37,CO37,CL37,CI37,CF37))</f>
        <v/>
      </c>
      <c r="J37" s="13">
        <f>IF(COUNT(DN37,DK37,DH37,DE37,DB37,CY37,CV37,CS37,CP37,CM37,CJ37,CG37)=0,"",SUM(DN37,DK37,DH37,DE37,DB37,CY37,CV37,CS37,CP37,CM37,CJ37,CG37))</f>
        <v/>
      </c>
      <c r="K37" s="14">
        <f>IF(COUNT(K32,K33,K34,K35,K36)=0,"",SUM(K32:K36))</f>
        <v/>
      </c>
      <c r="L37" s="14">
        <f>SUM(L32:L36)</f>
        <v/>
      </c>
      <c r="M37" s="14">
        <f>SUM(M32:M36)</f>
        <v/>
      </c>
      <c r="N37" s="13">
        <f>IF(COUNT(N32,N33,N34,N35,N36)=0,"",SUM(N32:N36))</f>
        <v/>
      </c>
      <c r="O37" s="13">
        <f>SUM(O32:O36)</f>
        <v/>
      </c>
      <c r="P37" s="13">
        <f>SUM(P32:P36)</f>
        <v/>
      </c>
      <c r="Q37" s="14">
        <f>IF(COUNT(Q32,Q33,Q34,Q35,Q36)=0,"",SUM(Q32:Q36))</f>
        <v/>
      </c>
      <c r="R37" s="14">
        <f>SUM(R32:R36)</f>
        <v/>
      </c>
      <c r="S37" s="14">
        <f>SUM(S32:S36)</f>
        <v/>
      </c>
      <c r="T37" s="13">
        <f>IF(COUNT(T32,T33,T34,T35,T36)=0,"",SUM(T32:T36))</f>
        <v/>
      </c>
      <c r="U37" s="13">
        <f>SUM(U32:U36)</f>
        <v/>
      </c>
      <c r="V37" s="13">
        <f>SUM(V32:V36)</f>
        <v/>
      </c>
      <c r="W37" s="14">
        <f>IF(COUNT(W32,W33,W34,W35,W36)=0,"",SUM(W32:W36))</f>
        <v/>
      </c>
      <c r="X37" s="14">
        <f>SUM(X32:X36)</f>
        <v/>
      </c>
      <c r="Y37" s="14">
        <f>SUM(Y32:Y36)</f>
        <v/>
      </c>
      <c r="Z37" s="13">
        <f>IF(COUNT(Z32,Z33,Z34,Z35,Z36)=0,"",SUM(Z32:Z36))</f>
        <v/>
      </c>
      <c r="AA37" s="13">
        <f>SUM(AA32:AA36)</f>
        <v/>
      </c>
      <c r="AB37" s="13">
        <f>SUM(AB32:AB36)</f>
        <v/>
      </c>
      <c r="AC37" s="14">
        <f>IF(COUNT(AC32,AC33,AC34,AC35,AC36)=0,"",SUM(AC32:AC36))</f>
        <v/>
      </c>
      <c r="AD37" s="14">
        <f>SUM(AD32:AD36)</f>
        <v/>
      </c>
      <c r="AE37" s="14">
        <f>SUM(AE32:AE36)</f>
        <v/>
      </c>
      <c r="AF37" s="13">
        <f>IF(COUNT(AF32,AF33,AF34,AF35,AF36)=0,"",SUM(AF32:AF36))</f>
        <v/>
      </c>
      <c r="AG37" s="13">
        <f>SUM(AG32:AG36)</f>
        <v/>
      </c>
      <c r="AH37" s="13">
        <f>SUM(AH32:AH36)</f>
        <v/>
      </c>
      <c r="AI37" s="14">
        <f>IF(COUNT(AI32,AI33,AI34,AI35,AI36)=0,"",SUM(AI32:AI36))</f>
        <v/>
      </c>
      <c r="AJ37" s="14">
        <f>SUM(AJ32:AJ36)</f>
        <v/>
      </c>
      <c r="AK37" s="14">
        <f>SUM(AK32:AK36)</f>
        <v/>
      </c>
      <c r="AL37" s="13">
        <f>IF(COUNT(AL32,AL33,AL34,AL35,AL36)=0,"",SUM(AL32:AL36))</f>
        <v/>
      </c>
      <c r="AM37" s="13">
        <f>SUM(AM32:AM36)</f>
        <v/>
      </c>
      <c r="AN37" s="13">
        <f>SUM(AN32:AN36)</f>
        <v/>
      </c>
      <c r="AO37" s="14">
        <f>IF(COUNT(AO32,AO33,AO34,AO35,AO36)=0,"",SUM(AO32:AO36))</f>
        <v/>
      </c>
      <c r="AP37" s="14">
        <f>SUM(AP32:AP36)</f>
        <v/>
      </c>
      <c r="AQ37" s="14">
        <f>SUM(AQ32:AQ36)</f>
        <v/>
      </c>
      <c r="AR37" s="13">
        <f>IF(COUNT(AR32,AR33,AR34,AR35,AR36)=0,"",SUM(AR32:AR36))</f>
        <v/>
      </c>
      <c r="AS37" s="13">
        <f>SUM(AS32:AS36)</f>
        <v/>
      </c>
      <c r="AT37" s="13">
        <f>SUM(AT32:AT36)</f>
        <v/>
      </c>
      <c r="AU37" s="14">
        <f>IF(COUNT(AU32,AU33,AU34,AU35,AU36)=0,"",SUM(AU32:AU36))</f>
        <v/>
      </c>
      <c r="AV37" s="14">
        <f>SUM(AV32:AV36)</f>
        <v/>
      </c>
      <c r="AW37" s="14">
        <f>SUM(AW32:AW36)</f>
        <v/>
      </c>
      <c r="AX37" s="13">
        <f>IF(COUNT(AX32,AX33,AX34,AX35,AX36)=0,"",SUM(AX32:AX36))</f>
        <v/>
      </c>
      <c r="AY37" s="13">
        <f>SUM(AY32:AY36)</f>
        <v/>
      </c>
      <c r="AZ37" s="13">
        <f>SUM(AZ32:AZ36)</f>
        <v/>
      </c>
      <c r="BA37" s="14">
        <f>IF(COUNT(BA32,BA33,BA34,BA35,BA36)=0,"",SUM(BA32:BA36))</f>
        <v/>
      </c>
      <c r="BB37" s="14">
        <f>SUM(BB32:BB36)</f>
        <v/>
      </c>
      <c r="BC37" s="14">
        <f>SUM(BC32:BC36)</f>
        <v/>
      </c>
      <c r="BD37" s="13">
        <f>IF(COUNT(BD32,BD33,BD34,BD35,BD36)=0,"",SUM(BD32:BD36))</f>
        <v/>
      </c>
      <c r="BE37" s="13">
        <f>SUM(BE32:BE36)</f>
        <v/>
      </c>
      <c r="BF37" s="13">
        <f>SUM(BF32:BF36)</f>
        <v/>
      </c>
      <c r="BG37" s="14">
        <f>IF(COUNT(BG32,BG33,BG34,BG35,BG36)=0,"",SUM(BG32:BG36))</f>
        <v/>
      </c>
      <c r="BH37" s="14">
        <f>SUM(BH32:BH36)</f>
        <v/>
      </c>
      <c r="BI37" s="14">
        <f>SUM(BI32:BI36)</f>
        <v/>
      </c>
      <c r="BJ37" s="13">
        <f>IF(COUNT(BJ32,BJ33,BJ34,BJ35,BJ36)=0,"",SUM(BJ32:BJ36))</f>
        <v/>
      </c>
      <c r="BK37" s="13">
        <f>SUM(BK32:BK36)</f>
        <v/>
      </c>
      <c r="BL37" s="13">
        <f>SUM(BL32:BL36)</f>
        <v/>
      </c>
      <c r="BM37" s="14">
        <f>IF(COUNT(BM32,BM33,BM34,BM35,BM36)=0,"",SUM(BM32:BM36))</f>
        <v/>
      </c>
      <c r="BN37" s="14">
        <f>SUM(BN32:BN36)</f>
        <v/>
      </c>
      <c r="BO37" s="14">
        <f>SUM(BO32:BO36)</f>
        <v/>
      </c>
      <c r="BP37" s="13">
        <f>IF(COUNT(BP32,BP33,BP34,BP35,BP36)=0,"",SUM(BP32:BP36))</f>
        <v/>
      </c>
      <c r="BQ37" s="13">
        <f>SUM(BQ32:BQ36)</f>
        <v/>
      </c>
      <c r="BR37" s="13">
        <f>SUM(BR32:BR36)</f>
        <v/>
      </c>
      <c r="BS37" s="14">
        <f>IF(COUNT(BS32,BS33,BS34,BS35,BS36)=0,"",SUM(BS32:BS36))</f>
        <v/>
      </c>
      <c r="BT37" s="14">
        <f>SUM(BT32:BT36)</f>
        <v/>
      </c>
      <c r="BU37" s="14">
        <f>SUM(BU32:BU36)</f>
        <v/>
      </c>
      <c r="BV37" s="13">
        <f>IF(COUNT(BV32,BV33,BV34,BV35,BV36)=0,"",SUM(BV32:BV36))</f>
        <v/>
      </c>
      <c r="BW37" s="13">
        <f>SUM(BW32:BW36)</f>
        <v/>
      </c>
      <c r="BX37" s="13">
        <f>SUM(BX32:BX36)</f>
        <v/>
      </c>
      <c r="BY37" s="14">
        <f>IF(COUNT(BY32,BY33,BY34,BY35,BY36)=0,"",SUM(BY32:BY36))</f>
        <v/>
      </c>
      <c r="BZ37" s="14">
        <f>SUM(BZ32:BZ36)</f>
        <v/>
      </c>
      <c r="CA37" s="14">
        <f>SUM(CA32:CA36)</f>
        <v/>
      </c>
      <c r="CB37" s="13">
        <f>IF(COUNT(CB32,CB33,CB34,CB35,CB36)=0,"",SUM(CB32:CB36))</f>
        <v/>
      </c>
      <c r="CC37" s="13">
        <f>SUM(CC32:CC36)</f>
        <v/>
      </c>
      <c r="CD37" s="13">
        <f>SUM(CD32:CD36)</f>
        <v/>
      </c>
      <c r="CE37" s="14">
        <f>IF(COUNT(CE32,CE33,CE34,CE35,CE36)=0,"",SUM(CE32:CE36))</f>
        <v/>
      </c>
      <c r="CF37" s="14">
        <f>SUM(CF32:CF36)</f>
        <v/>
      </c>
      <c r="CG37" s="14">
        <f>SUM(CG32:CG36)</f>
        <v/>
      </c>
      <c r="CH37" s="13">
        <f>IF(COUNT(CH32,CH33,CH34,CH35,CH36)=0,"",SUM(CH32:CH36))</f>
        <v/>
      </c>
      <c r="CI37" s="13">
        <f>SUM(CI32:CI36)</f>
        <v/>
      </c>
      <c r="CJ37" s="13">
        <f>SUM(CJ32:CJ36)</f>
        <v/>
      </c>
      <c r="CK37" s="14">
        <f>IF(COUNT(CK32,CK33,CK34,CK35,CK36)=0,"",SUM(CK32:CK36))</f>
        <v/>
      </c>
      <c r="CL37" s="14">
        <f>SUM(CL32:CL36)</f>
        <v/>
      </c>
      <c r="CM37" s="14">
        <f>SUM(CM32:CM36)</f>
        <v/>
      </c>
      <c r="CN37" s="13">
        <f>IF(COUNT(CN32,CN33,CN34,CN35,CN36)=0,"",SUM(CN32:CN36))</f>
        <v/>
      </c>
      <c r="CO37" s="13">
        <f>SUM(CO32:CO36)</f>
        <v/>
      </c>
      <c r="CP37" s="13">
        <f>SUM(CP32:CP36)</f>
        <v/>
      </c>
      <c r="CQ37" s="14">
        <f>IF(COUNT(CQ32,CQ33,CQ34,CQ35,CQ36)=0,"",SUM(CQ32:CQ36))</f>
        <v/>
      </c>
      <c r="CR37" s="14">
        <f>SUM(CR32:CR36)</f>
        <v/>
      </c>
      <c r="CS37" s="14">
        <f>SUM(CS32:CS36)</f>
        <v/>
      </c>
      <c r="CT37" s="13">
        <f>IF(COUNT(CT32,CT33,CT34,CT35,CT36)=0,"",SUM(CT32:CT36))</f>
        <v/>
      </c>
      <c r="CU37" s="13">
        <f>SUM(CU32:CU36)</f>
        <v/>
      </c>
      <c r="CV37" s="13">
        <f>SUM(CV32:CV36)</f>
        <v/>
      </c>
      <c r="CW37" s="14">
        <f>IF(COUNT(CW32,CW33,CW34,CW35,CW36)=0,"",SUM(CW32:CW36))</f>
        <v/>
      </c>
      <c r="CX37" s="14">
        <f>SUM(CX32:CX36)</f>
        <v/>
      </c>
      <c r="CY37" s="14">
        <f>SUM(CY32:CY36)</f>
        <v/>
      </c>
      <c r="CZ37" s="13">
        <f>IF(COUNT(CZ32,CZ33,CZ34,CZ35,CZ36)=0,"",SUM(CZ32:CZ36))</f>
        <v/>
      </c>
      <c r="DA37" s="13">
        <f>SUM(DA32:DA36)</f>
        <v/>
      </c>
      <c r="DB37" s="13">
        <f>SUM(DB32:DB36)</f>
        <v/>
      </c>
      <c r="DC37" s="14">
        <f>IF(COUNT(DC32,DC33,DC34,DC35,DC36)=0,"",SUM(DC32:DC36))</f>
        <v/>
      </c>
      <c r="DD37" s="14">
        <f>SUM(DD32:DD36)</f>
        <v/>
      </c>
      <c r="DE37" s="14">
        <f>SUM(DE32:DE36)</f>
        <v/>
      </c>
      <c r="DF37" s="13">
        <f>IF(COUNT(DF32,DF33,DF34,DF35,DF36)=0,"",SUM(DF32:DF36))</f>
        <v/>
      </c>
      <c r="DG37" s="13">
        <f>SUM(DG32:DG36)</f>
        <v/>
      </c>
      <c r="DH37" s="13">
        <f>SUM(DH32:DH36)</f>
        <v/>
      </c>
      <c r="DI37" s="14">
        <f>IF(COUNT(DI32,DI33,DI34,DI35,DI36)=0,"",SUM(DI32:DI36))</f>
        <v/>
      </c>
      <c r="DJ37" s="14">
        <f>SUM(DJ32:DJ36)</f>
        <v/>
      </c>
      <c r="DK37" s="14">
        <f>SUM(DK32:DK36)</f>
        <v/>
      </c>
      <c r="DL37" s="13">
        <f>IF(COUNT(DL32,DL33,DL34,DL35,DL36)=0,"",SUM(DL32:DL36))</f>
        <v/>
      </c>
      <c r="DM37" s="13">
        <f>SUM(DM32:DM36)</f>
        <v/>
      </c>
      <c r="DN37" s="13">
        <f>SUM(DN32:DN36)</f>
        <v/>
      </c>
    </row>
    <row r="38">
      <c r="A38" s="12" t="inlineStr">
        <is>
          <t>Total Finance Cost</t>
        </is>
      </c>
      <c r="B38" s="13">
        <f>IF(COUNT(AR38,AO38,AL38,AI38,AF38,AC38,Z38,W38,T38,Q38,N38,K38)=0,"",SUM(AR38,AO38,AL38,AI38,AF38,AC38,Z38,W38,T38,Q38,N38,K38))</f>
        <v/>
      </c>
      <c r="C38" s="13">
        <f>IF(COUNT(AS38,AP38,AM38,AJ38,AG38,AD38,AA38,X38,U38,R38,O38,L38)=0,"",SUM(AS38,AP38,AM38,AJ38,AG38,AD38,AA38,X38,U38,R38,O38,L38))</f>
        <v/>
      </c>
      <c r="D38" s="13">
        <f>IF(COUNT(AT38,AQ38,AN38,AK38,AH38,AE38,AB38,Y38,V38,S38,P38,M38)=0,"",SUM(AT38,AQ38,AN38,AK38,AH38,AE38,AB38,Y38,V38,S38,P38,M38))</f>
        <v/>
      </c>
      <c r="E38" s="14">
        <f>IF(COUNT(CB38,BY38,BV38,BS38,BP38,BM38,BJ38,BG38,BD38,BA38,AX38,AU38)=0,"",SUM(CB38,BY38,BV38,BS38,BP38,BM38,BJ38,BG38,BD38,BA38,AX38,AU38))</f>
        <v/>
      </c>
      <c r="F38" s="14">
        <f>IF(COUNT(CC38,BZ38,BW38,BT38,BQ38,BN38,BK38,BH38,BE38,BB38,AY38,AV38)=0,"",SUM(CC38,BZ38,BW38,BT38,BQ38,BN38,BK38,BH38,BE38,BB38,AY38,AV38))</f>
        <v/>
      </c>
      <c r="G38" s="14">
        <f>IF(COUNT(CD38,CA38,BX38,BU38,BR38,BO38,BL38,BI38,BF38,BC38,AZ38,AW38)=0,"",SUM(CD38,CA38,BX38,BU38,BR38,BO38,BL38,BI38,BF38,BC38,AZ38,AW38))</f>
        <v/>
      </c>
      <c r="H38" s="13">
        <f>IF(COUNT(DL38,DI38,DF38,DC38,CZ38,CW38,CT38,CQ38,CN38,CK38,CH38,CE38)=0,"",SUM(DL38,DI38,DF38,DC38,CZ38,CW38,CT38,CQ38,CN38,CK38,CH38,CE38))</f>
        <v/>
      </c>
      <c r="I38" s="13">
        <f>IF(COUNT(DM38,DJ38,DG38,DD38,DA38,CX38,CU38,CR38,CO38,CL38,CI38,CF38)=0,"",SUM(DM38,DJ38,DG38,DD38,DA38,CX38,CU38,CR38,CO38,CL38,CI38,CF38))</f>
        <v/>
      </c>
      <c r="J38" s="13">
        <f>IF(COUNT(DN38,DK38,DH38,DE38,DB38,CY38,CV38,CS38,CP38,CM38,CJ38,CG38)=0,"",SUM(DN38,DK38,DH38,DE38,DB38,CY38,CV38,CS38,CP38,CM38,CJ38,CG38))</f>
        <v/>
      </c>
      <c r="K38" s="14">
        <f>IF(COUNT(K31,K37)=0,"",K31+K37)</f>
        <v/>
      </c>
      <c r="L38" s="14">
        <f>L31+L37</f>
        <v/>
      </c>
      <c r="M38" s="14">
        <f>M31+M37</f>
        <v/>
      </c>
      <c r="N38" s="13">
        <f>IF(COUNT(N31,N37)=0,"",N31+N37)</f>
        <v/>
      </c>
      <c r="O38" s="13">
        <f>O31+O37</f>
        <v/>
      </c>
      <c r="P38" s="13">
        <f>P31+P37</f>
        <v/>
      </c>
      <c r="Q38" s="14">
        <f>IF(COUNT(Q31,Q37)=0,"",Q31+Q37)</f>
        <v/>
      </c>
      <c r="R38" s="14">
        <f>R31+R37</f>
        <v/>
      </c>
      <c r="S38" s="14">
        <f>S31+S37</f>
        <v/>
      </c>
      <c r="T38" s="13">
        <f>IF(COUNT(T31,T37)=0,"",T31+T37)</f>
        <v/>
      </c>
      <c r="U38" s="13">
        <f>U31+U37</f>
        <v/>
      </c>
      <c r="V38" s="13">
        <f>V31+V37</f>
        <v/>
      </c>
      <c r="W38" s="14">
        <f>IF(COUNT(W31,W37)=0,"",W31+W37)</f>
        <v/>
      </c>
      <c r="X38" s="14">
        <f>X31+X37</f>
        <v/>
      </c>
      <c r="Y38" s="14">
        <f>Y31+Y37</f>
        <v/>
      </c>
      <c r="Z38" s="13">
        <f>IF(COUNT(Z31,Z37)=0,"",Z31+Z37)</f>
        <v/>
      </c>
      <c r="AA38" s="13">
        <f>AA31+AA37</f>
        <v/>
      </c>
      <c r="AB38" s="13">
        <f>AB31+AB37</f>
        <v/>
      </c>
      <c r="AC38" s="14">
        <f>IF(COUNT(AC31,AC37)=0,"",AC31+AC37)</f>
        <v/>
      </c>
      <c r="AD38" s="14">
        <f>AD31+AD37</f>
        <v/>
      </c>
      <c r="AE38" s="14">
        <f>AE31+AE37</f>
        <v/>
      </c>
      <c r="AF38" s="13">
        <f>IF(COUNT(AF31,AF37)=0,"",AF31+AF37)</f>
        <v/>
      </c>
      <c r="AG38" s="13">
        <f>AG31+AG37</f>
        <v/>
      </c>
      <c r="AH38" s="13">
        <f>AH31+AH37</f>
        <v/>
      </c>
      <c r="AI38" s="14">
        <f>IF(COUNT(AI31,AI37)=0,"",AI31+AI37)</f>
        <v/>
      </c>
      <c r="AJ38" s="14">
        <f>AJ31+AJ37</f>
        <v/>
      </c>
      <c r="AK38" s="14">
        <f>AK31+AK37</f>
        <v/>
      </c>
      <c r="AL38" s="13">
        <f>IF(COUNT(AL31,AL37)=0,"",AL31+AL37)</f>
        <v/>
      </c>
      <c r="AM38" s="13">
        <f>AM31+AM37</f>
        <v/>
      </c>
      <c r="AN38" s="13">
        <f>AN31+AN37</f>
        <v/>
      </c>
      <c r="AO38" s="14">
        <f>IF(COUNT(AO31,AO37)=0,"",AO31+AO37)</f>
        <v/>
      </c>
      <c r="AP38" s="14">
        <f>AP31+AP37</f>
        <v/>
      </c>
      <c r="AQ38" s="14">
        <f>AQ31+AQ37</f>
        <v/>
      </c>
      <c r="AR38" s="13">
        <f>IF(COUNT(AR31,AR37)=0,"",AR31+AR37)</f>
        <v/>
      </c>
      <c r="AS38" s="13">
        <f>AS31+AS37</f>
        <v/>
      </c>
      <c r="AT38" s="13">
        <f>AT31+AT37</f>
        <v/>
      </c>
      <c r="AU38" s="14">
        <f>IF(COUNT(AU31,AU37)=0,"",AU31+AU37)</f>
        <v/>
      </c>
      <c r="AV38" s="14">
        <f>AV31+AV37</f>
        <v/>
      </c>
      <c r="AW38" s="14">
        <f>AW31+AW37</f>
        <v/>
      </c>
      <c r="AX38" s="13">
        <f>IF(COUNT(AX31,AX37)=0,"",AX31+AX37)</f>
        <v/>
      </c>
      <c r="AY38" s="13">
        <f>AY31+AY37</f>
        <v/>
      </c>
      <c r="AZ38" s="13">
        <f>AZ31+AZ37</f>
        <v/>
      </c>
      <c r="BA38" s="14">
        <f>IF(COUNT(BA31,BA37)=0,"",BA31+BA37)</f>
        <v/>
      </c>
      <c r="BB38" s="14">
        <f>BB31+BB37</f>
        <v/>
      </c>
      <c r="BC38" s="14">
        <f>BC31+BC37</f>
        <v/>
      </c>
      <c r="BD38" s="13">
        <f>IF(COUNT(BD31,BD37)=0,"",BD31+BD37)</f>
        <v/>
      </c>
      <c r="BE38" s="13">
        <f>BE31+BE37</f>
        <v/>
      </c>
      <c r="BF38" s="13">
        <f>BF31+BF37</f>
        <v/>
      </c>
      <c r="BG38" s="14">
        <f>IF(COUNT(BG31,BG37)=0,"",BG31+BG37)</f>
        <v/>
      </c>
      <c r="BH38" s="14">
        <f>BH31+BH37</f>
        <v/>
      </c>
      <c r="BI38" s="14">
        <f>BI31+BI37</f>
        <v/>
      </c>
      <c r="BJ38" s="13">
        <f>IF(COUNT(BJ31,BJ37)=0,"",BJ31+BJ37)</f>
        <v/>
      </c>
      <c r="BK38" s="13">
        <f>BK31+BK37</f>
        <v/>
      </c>
      <c r="BL38" s="13">
        <f>BL31+BL37</f>
        <v/>
      </c>
      <c r="BM38" s="14">
        <f>IF(COUNT(BM31,BM37)=0,"",BM31+BM37)</f>
        <v/>
      </c>
      <c r="BN38" s="14">
        <f>BN31+BN37</f>
        <v/>
      </c>
      <c r="BO38" s="14">
        <f>BO31+BO37</f>
        <v/>
      </c>
      <c r="BP38" s="13">
        <f>IF(COUNT(BP31,BP37)=0,"",BP31+BP37)</f>
        <v/>
      </c>
      <c r="BQ38" s="13">
        <f>BQ31+BQ37</f>
        <v/>
      </c>
      <c r="BR38" s="13">
        <f>BR31+BR37</f>
        <v/>
      </c>
      <c r="BS38" s="14">
        <f>IF(COUNT(BS31,BS37)=0,"",BS31+BS37)</f>
        <v/>
      </c>
      <c r="BT38" s="14">
        <f>BT31+BT37</f>
        <v/>
      </c>
      <c r="BU38" s="14">
        <f>BU31+BU37</f>
        <v/>
      </c>
      <c r="BV38" s="13">
        <f>IF(COUNT(BV31,BV37)=0,"",BV31+BV37)</f>
        <v/>
      </c>
      <c r="BW38" s="13">
        <f>BW31+BW37</f>
        <v/>
      </c>
      <c r="BX38" s="13">
        <f>BX31+BX37</f>
        <v/>
      </c>
      <c r="BY38" s="14">
        <f>IF(COUNT(BY31,BY37)=0,"",BY31+BY37)</f>
        <v/>
      </c>
      <c r="BZ38" s="14">
        <f>BZ31+BZ37</f>
        <v/>
      </c>
      <c r="CA38" s="14">
        <f>CA31+CA37</f>
        <v/>
      </c>
      <c r="CB38" s="13">
        <f>IF(COUNT(CB31,CB37)=0,"",CB31+CB37)</f>
        <v/>
      </c>
      <c r="CC38" s="13">
        <f>CC31+CC37</f>
        <v/>
      </c>
      <c r="CD38" s="13">
        <f>CD31+CD37</f>
        <v/>
      </c>
      <c r="CE38" s="14">
        <f>IF(COUNT(CE31,CE37)=0,"",CE31+CE37)</f>
        <v/>
      </c>
      <c r="CF38" s="14">
        <f>CF31+CF37</f>
        <v/>
      </c>
      <c r="CG38" s="14">
        <f>CG31+CG37</f>
        <v/>
      </c>
      <c r="CH38" s="13">
        <f>IF(COUNT(CH31,CH37)=0,"",CH31+CH37)</f>
        <v/>
      </c>
      <c r="CI38" s="13">
        <f>CI31+CI37</f>
        <v/>
      </c>
      <c r="CJ38" s="13">
        <f>CJ31+CJ37</f>
        <v/>
      </c>
      <c r="CK38" s="14">
        <f>IF(COUNT(CK31,CK37)=0,"",CK31+CK37)</f>
        <v/>
      </c>
      <c r="CL38" s="14">
        <f>CL31+CL37</f>
        <v/>
      </c>
      <c r="CM38" s="14">
        <f>CM31+CM37</f>
        <v/>
      </c>
      <c r="CN38" s="13">
        <f>IF(COUNT(CN31,CN37)=0,"",CN31+CN37)</f>
        <v/>
      </c>
      <c r="CO38" s="13">
        <f>CO31+CO37</f>
        <v/>
      </c>
      <c r="CP38" s="13">
        <f>CP31+CP37</f>
        <v/>
      </c>
      <c r="CQ38" s="14">
        <f>IF(COUNT(CQ31,CQ37)=0,"",CQ31+CQ37)</f>
        <v/>
      </c>
      <c r="CR38" s="14">
        <f>CR31+CR37</f>
        <v/>
      </c>
      <c r="CS38" s="14">
        <f>CS31+CS37</f>
        <v/>
      </c>
      <c r="CT38" s="13">
        <f>IF(COUNT(CT31,CT37)=0,"",CT31+CT37)</f>
        <v/>
      </c>
      <c r="CU38" s="13">
        <f>CU31+CU37</f>
        <v/>
      </c>
      <c r="CV38" s="13">
        <f>CV31+CV37</f>
        <v/>
      </c>
      <c r="CW38" s="14">
        <f>IF(COUNT(CW31,CW37)=0,"",CW31+CW37)</f>
        <v/>
      </c>
      <c r="CX38" s="14">
        <f>CX31+CX37</f>
        <v/>
      </c>
      <c r="CY38" s="14">
        <f>CY31+CY37</f>
        <v/>
      </c>
      <c r="CZ38" s="13">
        <f>IF(COUNT(CZ31,CZ37)=0,"",CZ31+CZ37)</f>
        <v/>
      </c>
      <c r="DA38" s="13">
        <f>DA31+DA37</f>
        <v/>
      </c>
      <c r="DB38" s="13">
        <f>DB31+DB37</f>
        <v/>
      </c>
      <c r="DC38" s="14">
        <f>IF(COUNT(DC31,DC37)=0,"",DC31+DC37)</f>
        <v/>
      </c>
      <c r="DD38" s="14">
        <f>DD31+DD37</f>
        <v/>
      </c>
      <c r="DE38" s="14">
        <f>DE31+DE37</f>
        <v/>
      </c>
      <c r="DF38" s="13">
        <f>IF(COUNT(DF31,DF37)=0,"",DF31+DF37)</f>
        <v/>
      </c>
      <c r="DG38" s="13">
        <f>DG31+DG37</f>
        <v/>
      </c>
      <c r="DH38" s="13">
        <f>DH31+DH37</f>
        <v/>
      </c>
      <c r="DI38" s="14">
        <f>IF(COUNT(DI31,DI37)=0,"",DI31+DI37)</f>
        <v/>
      </c>
      <c r="DJ38" s="14">
        <f>DJ31+DJ37</f>
        <v/>
      </c>
      <c r="DK38" s="14">
        <f>DK31+DK37</f>
        <v/>
      </c>
      <c r="DL38" s="13">
        <f>IF(COUNT(DL31,DL37)=0,"",DL31+DL37)</f>
        <v/>
      </c>
      <c r="DM38" s="13">
        <f>DM31+DM37</f>
        <v/>
      </c>
      <c r="DN38" s="13">
        <f>DN31+DN37</f>
        <v/>
      </c>
    </row>
    <row r="39">
      <c r="A39" s="2" t="inlineStr">
        <is>
          <t>Finance Cost as a Share of Revenue</t>
        </is>
      </c>
      <c r="B39" s="47">
        <f>IF(SUM(AR3,AO3,AL3,AI3,AF3,AC3,Z3,W3,T3,Q3,N3,K3)=0,"",SUM(AR38,AO38,AL38,AI38,AF38,AC38,Z38,W38,T38,Q38,N38,K38)/SUM(AR3,AO3,AL3,AI3,AF3,AC3,Z3,W3,T3,Q3,N3,K3))</f>
        <v/>
      </c>
      <c r="C39" s="47">
        <f>IF(SUM(AS3,AP3,AM3,AJ3,AG3,AD3,AA3,X3,U3,R3,O3,L3)=0,"",SUM(AS38,AP38,AM38,AJ38,AG38,AD38,AA38,X38,U38,R38,O38,L38)/SUM(AS3,AP3,AM3,AJ3,AG3,AD3,AA3,X3,U3,R3,O3,L3))</f>
        <v/>
      </c>
      <c r="D39" s="47">
        <f>IF(SUM(AT3,AQ3,AN3,AK3,AH3,AE3,AB3,Y3,V3,S3,P3,M3)=0,"",SUM(AT38,AQ38,AN38,AK38,AH38,AE38,AB38,Y38,V38,S38,P38,M38)/SUM(AT3,AQ3,AN3,AK3,AH3,AE3,AB3,Y3,V3,S3,P3,M3))</f>
        <v/>
      </c>
      <c r="E39" s="29">
        <f>IF(SUM(CB3,BY3,BV3,BS3,BP3,BM3,BJ3,BG3,BD3,BA3,AX3,AU3)=0,"",SUM(CB38,BY38,BV38,BS38,BP38,BM38,BJ38,BG38,BD38,BA38,AX38,AU38)/SUM(CB3,BY3,BV3,BS3,BP3,BM3,BJ3,BG3,BD3,BA3,AX3,AU3))</f>
        <v/>
      </c>
      <c r="F39" s="29">
        <f>IF(SUM(CC3,BZ3,BW3,BT3,BQ3,BN3,BK3,BH3,BE3,BB3,AY3,AV3)=0,"",SUM(CC38,BZ38,BW38,BT38,BQ38,BN38,BK38,BH38,BE38,BB38,AY38,AV38)/SUM(CC3,BZ3,BW3,BT3,BQ3,BN3,BK3,BH3,BE3,BB3,AY3,AV3))</f>
        <v/>
      </c>
      <c r="G39" s="29">
        <f>IF(SUM(CD3,CA3,BX3,BU3,BR3,BO3,BL3,BI3,BF3,BC3,AZ3,AW3)=0,"",SUM(CD38,CA38,BX38,BU38,BR38,BO38,BL38,BI38,BF38,BC38,AZ38,AW38)/SUM(CD3,CA3,BX3,BU3,BR3,BO3,BL3,BI3,BF3,BC3,AZ3,AW3))</f>
        <v/>
      </c>
      <c r="H39" s="47">
        <f>IF(SUM(DL3,DI3,DF3,DC3,CZ3,CW3,CT3,CQ3,CN3,CK3,CH3,CE3)=0,"",SUM(DL38,DI38,DF38,DC38,CZ38,CW38,CT38,CQ38,CN38,CK38,CH38,CE38)/SUM(DL3,DI3,DF3,DC3,CZ3,CW3,CT3,CQ3,CN3,CK3,CH3,CE3))</f>
        <v/>
      </c>
      <c r="I39" s="47">
        <f>IF(SUM(DM3,DJ3,DG3,DD3,DA3,CX3,CU3,CR3,CO3,CL3,CI3,CF3)=0,"",SUM(DM38,DJ38,DG38,DD38,DA38,CX38,CU38,CR38,CO38,CL38,CI38,CF38)/SUM(DM3,DJ3,DG3,DD3,DA3,CX3,CU3,CR3,CO3,CL3,CI3,CF3))</f>
        <v/>
      </c>
      <c r="J39" s="47">
        <f>IF(SUM(DN3,DK3,DH3,DE3,DB3,CY3,CV3,CS3,CP3,CM3,CJ3,CG3)=0,"",SUM(DN38,DK38,DH38,DE38,DB38,CY38,CV38,CS38,CP38,CM38,CJ38,CG38)/SUM(DN3,DK3,DH3,DE3,DB3,CY3,CV3,CS3,CP3,CM3,CJ3,CG3))</f>
        <v/>
      </c>
      <c r="K39" s="29">
        <f>IF(COUNT(K38,K3)=2,IF(N(K3)=0,"",K38/K3),"")</f>
        <v/>
      </c>
      <c r="L39" s="29">
        <f>IF(N(L3)=0,"",L38/L3)</f>
        <v/>
      </c>
      <c r="M39" s="29">
        <f>IF(N(M3)=0,"",M38/M3)</f>
        <v/>
      </c>
      <c r="N39" s="47">
        <f>IF(COUNT(N38,N3)=2,IF(N(N3)=0,"",N38/N3),"")</f>
        <v/>
      </c>
      <c r="O39" s="47">
        <f>IF(N(O3)=0,"",O38/O3)</f>
        <v/>
      </c>
      <c r="P39" s="47">
        <f>IF(N(P3)=0,"",P38/P3)</f>
        <v/>
      </c>
      <c r="Q39" s="29">
        <f>IF(COUNT(Q38,Q3)=2,IF(N(Q3)=0,"",Q38/Q3),"")</f>
        <v/>
      </c>
      <c r="R39" s="29">
        <f>IF(N(R3)=0,"",R38/R3)</f>
        <v/>
      </c>
      <c r="S39" s="29">
        <f>IF(N(S3)=0,"",S38/S3)</f>
        <v/>
      </c>
      <c r="T39" s="47">
        <f>IF(COUNT(T38,T3)=2,IF(N(T3)=0,"",T38/T3),"")</f>
        <v/>
      </c>
      <c r="U39" s="47">
        <f>IF(N(U3)=0,"",U38/U3)</f>
        <v/>
      </c>
      <c r="V39" s="47">
        <f>IF(N(V3)=0,"",V38/V3)</f>
        <v/>
      </c>
      <c r="W39" s="29">
        <f>IF(COUNT(W38,W3)=2,IF(N(W3)=0,"",W38/W3),"")</f>
        <v/>
      </c>
      <c r="X39" s="29">
        <f>IF(N(X3)=0,"",X38/X3)</f>
        <v/>
      </c>
      <c r="Y39" s="29">
        <f>IF(N(Y3)=0,"",Y38/Y3)</f>
        <v/>
      </c>
      <c r="Z39" s="47">
        <f>IF(COUNT(Z38,Z3)=2,IF(N(Z3)=0,"",Z38/Z3),"")</f>
        <v/>
      </c>
      <c r="AA39" s="47">
        <f>IF(N(AA3)=0,"",AA38/AA3)</f>
        <v/>
      </c>
      <c r="AB39" s="47">
        <f>IF(N(AB3)=0,"",AB38/AB3)</f>
        <v/>
      </c>
      <c r="AC39" s="29">
        <f>IF(COUNT(AC38,AC3)=2,IF(N(AC3)=0,"",AC38/AC3),"")</f>
        <v/>
      </c>
      <c r="AD39" s="29">
        <f>IF(N(AD3)=0,"",AD38/AD3)</f>
        <v/>
      </c>
      <c r="AE39" s="29">
        <f>IF(N(AE3)=0,"",AE38/AE3)</f>
        <v/>
      </c>
      <c r="AF39" s="47">
        <f>IF(COUNT(AF38,AF3)=2,IF(N(AF3)=0,"",AF38/AF3),"")</f>
        <v/>
      </c>
      <c r="AG39" s="47">
        <f>IF(N(AG3)=0,"",AG38/AG3)</f>
        <v/>
      </c>
      <c r="AH39" s="47">
        <f>IF(N(AH3)=0,"",AH38/AH3)</f>
        <v/>
      </c>
      <c r="AI39" s="29">
        <f>IF(COUNT(AI38,AI3)=2,IF(N(AI3)=0,"",AI38/AI3),"")</f>
        <v/>
      </c>
      <c r="AJ39" s="29">
        <f>IF(N(AJ3)=0,"",AJ38/AJ3)</f>
        <v/>
      </c>
      <c r="AK39" s="29">
        <f>IF(N(AK3)=0,"",AK38/AK3)</f>
        <v/>
      </c>
      <c r="AL39" s="47">
        <f>IF(COUNT(AL38,AL3)=2,IF(N(AL3)=0,"",AL38/AL3),"")</f>
        <v/>
      </c>
      <c r="AM39" s="47">
        <f>IF(N(AM3)=0,"",AM38/AM3)</f>
        <v/>
      </c>
      <c r="AN39" s="47">
        <f>IF(N(AN3)=0,"",AN38/AN3)</f>
        <v/>
      </c>
      <c r="AO39" s="29">
        <f>IF(COUNT(AO38,AO3)=2,IF(N(AO3)=0,"",AO38/AO3),"")</f>
        <v/>
      </c>
      <c r="AP39" s="29">
        <f>IF(N(AP3)=0,"",AP38/AP3)</f>
        <v/>
      </c>
      <c r="AQ39" s="29">
        <f>IF(N(AQ3)=0,"",AQ38/AQ3)</f>
        <v/>
      </c>
      <c r="AR39" s="47">
        <f>IF(COUNT(AR38,AR3)=2,IF(N(AR3)=0,"",AR38/AR3),"")</f>
        <v/>
      </c>
      <c r="AS39" s="47">
        <f>IF(N(AS3)=0,"",AS38/AS3)</f>
        <v/>
      </c>
      <c r="AT39" s="47">
        <f>IF(N(AT3)=0,"",AT38/AT3)</f>
        <v/>
      </c>
      <c r="AU39" s="29">
        <f>IF(COUNT(AU38,AU3)=2,IF(N(AU3)=0,"",AU38/AU3),"")</f>
        <v/>
      </c>
      <c r="AV39" s="29">
        <f>IF(N(AV3)=0,"",AV38/AV3)</f>
        <v/>
      </c>
      <c r="AW39" s="29">
        <f>IF(N(AW3)=0,"",AW38/AW3)</f>
        <v/>
      </c>
      <c r="AX39" s="47">
        <f>IF(COUNT(AX38,AX3)=2,IF(N(AX3)=0,"",AX38/AX3),"")</f>
        <v/>
      </c>
      <c r="AY39" s="47">
        <f>IF(N(AY3)=0,"",AY38/AY3)</f>
        <v/>
      </c>
      <c r="AZ39" s="47">
        <f>IF(N(AZ3)=0,"",AZ38/AZ3)</f>
        <v/>
      </c>
      <c r="BA39" s="29">
        <f>IF(COUNT(BA38,BA3)=2,IF(N(BA3)=0,"",BA38/BA3),"")</f>
        <v/>
      </c>
      <c r="BB39" s="29">
        <f>IF(N(BB3)=0,"",BB38/BB3)</f>
        <v/>
      </c>
      <c r="BC39" s="29">
        <f>IF(N(BC3)=0,"",BC38/BC3)</f>
        <v/>
      </c>
      <c r="BD39" s="47">
        <f>IF(COUNT(BD38,BD3)=2,IF(N(BD3)=0,"",BD38/BD3),"")</f>
        <v/>
      </c>
      <c r="BE39" s="47">
        <f>IF(N(BE3)=0,"",BE38/BE3)</f>
        <v/>
      </c>
      <c r="BF39" s="47">
        <f>IF(N(BF3)=0,"",BF38/BF3)</f>
        <v/>
      </c>
      <c r="BG39" s="29">
        <f>IF(COUNT(BG38,BG3)=2,IF(N(BG3)=0,"",BG38/BG3),"")</f>
        <v/>
      </c>
      <c r="BH39" s="29">
        <f>IF(N(BH3)=0,"",BH38/BH3)</f>
        <v/>
      </c>
      <c r="BI39" s="29">
        <f>IF(N(BI3)=0,"",BI38/BI3)</f>
        <v/>
      </c>
      <c r="BJ39" s="47">
        <f>IF(COUNT(BJ38,BJ3)=2,IF(N(BJ3)=0,"",BJ38/BJ3),"")</f>
        <v/>
      </c>
      <c r="BK39" s="47">
        <f>IF(N(BK3)=0,"",BK38/BK3)</f>
        <v/>
      </c>
      <c r="BL39" s="47">
        <f>IF(N(BL3)=0,"",BL38/BL3)</f>
        <v/>
      </c>
      <c r="BM39" s="29">
        <f>IF(COUNT(BM38,BM3)=2,IF(N(BM3)=0,"",BM38/BM3),"")</f>
        <v/>
      </c>
      <c r="BN39" s="29">
        <f>IF(N(BN3)=0,"",BN38/BN3)</f>
        <v/>
      </c>
      <c r="BO39" s="29">
        <f>IF(N(BO3)=0,"",BO38/BO3)</f>
        <v/>
      </c>
      <c r="BP39" s="47">
        <f>IF(COUNT(BP38,BP3)=2,IF(N(BP3)=0,"",BP38/BP3),"")</f>
        <v/>
      </c>
      <c r="BQ39" s="47">
        <f>IF(N(BQ3)=0,"",BQ38/BQ3)</f>
        <v/>
      </c>
      <c r="BR39" s="47">
        <f>IF(N(BR3)=0,"",BR38/BR3)</f>
        <v/>
      </c>
      <c r="BS39" s="29">
        <f>IF(COUNT(BS38,BS3)=2,IF(N(BS3)=0,"",BS38/BS3),"")</f>
        <v/>
      </c>
      <c r="BT39" s="29">
        <f>IF(N(BT3)=0,"",BT38/BT3)</f>
        <v/>
      </c>
      <c r="BU39" s="29">
        <f>IF(N(BU3)=0,"",BU38/BU3)</f>
        <v/>
      </c>
      <c r="BV39" s="47">
        <f>IF(COUNT(BV38,BV3)=2,IF(N(BV3)=0,"",BV38/BV3),"")</f>
        <v/>
      </c>
      <c r="BW39" s="47">
        <f>IF(N(BW3)=0,"",BW38/BW3)</f>
        <v/>
      </c>
      <c r="BX39" s="47">
        <f>IF(N(BX3)=0,"",BX38/BX3)</f>
        <v/>
      </c>
      <c r="BY39" s="29">
        <f>IF(COUNT(BY38,BY3)=2,IF(N(BY3)=0,"",BY38/BY3),"")</f>
        <v/>
      </c>
      <c r="BZ39" s="29">
        <f>IF(N(BZ3)=0,"",BZ38/BZ3)</f>
        <v/>
      </c>
      <c r="CA39" s="29">
        <f>IF(N(CA3)=0,"",CA38/CA3)</f>
        <v/>
      </c>
      <c r="CB39" s="47">
        <f>IF(COUNT(CB38,CB3)=2,IF(N(CB3)=0,"",CB38/CB3),"")</f>
        <v/>
      </c>
      <c r="CC39" s="47">
        <f>IF(N(CC3)=0,"",CC38/CC3)</f>
        <v/>
      </c>
      <c r="CD39" s="47">
        <f>IF(N(CD3)=0,"",CD38/CD3)</f>
        <v/>
      </c>
      <c r="CE39" s="29">
        <f>IF(COUNT(CE38,CE3)=2,IF(N(CE3)=0,"",CE38/CE3),"")</f>
        <v/>
      </c>
      <c r="CF39" s="29">
        <f>IF(N(CF3)=0,"",CF38/CF3)</f>
        <v/>
      </c>
      <c r="CG39" s="29">
        <f>IF(N(CG3)=0,"",CG38/CG3)</f>
        <v/>
      </c>
      <c r="CH39" s="47">
        <f>IF(COUNT(CH38,CH3)=2,IF(N(CH3)=0,"",CH38/CH3),"")</f>
        <v/>
      </c>
      <c r="CI39" s="47">
        <f>IF(N(CI3)=0,"",CI38/CI3)</f>
        <v/>
      </c>
      <c r="CJ39" s="47">
        <f>IF(N(CJ3)=0,"",CJ38/CJ3)</f>
        <v/>
      </c>
      <c r="CK39" s="29">
        <f>IF(COUNT(CK38,CK3)=2,IF(N(CK3)=0,"",CK38/CK3),"")</f>
        <v/>
      </c>
      <c r="CL39" s="29">
        <f>IF(N(CL3)=0,"",CL38/CL3)</f>
        <v/>
      </c>
      <c r="CM39" s="29">
        <f>IF(N(CM3)=0,"",CM38/CM3)</f>
        <v/>
      </c>
      <c r="CN39" s="47">
        <f>IF(COUNT(CN38,CN3)=2,IF(N(CN3)=0,"",CN38/CN3),"")</f>
        <v/>
      </c>
      <c r="CO39" s="47">
        <f>IF(N(CO3)=0,"",CO38/CO3)</f>
        <v/>
      </c>
      <c r="CP39" s="47">
        <f>IF(N(CP3)=0,"",CP38/CP3)</f>
        <v/>
      </c>
      <c r="CQ39" s="29">
        <f>IF(COUNT(CQ38,CQ3)=2,IF(N(CQ3)=0,"",CQ38/CQ3),"")</f>
        <v/>
      </c>
      <c r="CR39" s="29">
        <f>IF(N(CR3)=0,"",CR38/CR3)</f>
        <v/>
      </c>
      <c r="CS39" s="29">
        <f>IF(N(CS3)=0,"",CS38/CS3)</f>
        <v/>
      </c>
      <c r="CT39" s="47">
        <f>IF(COUNT(CT38,CT3)=2,IF(N(CT3)=0,"",CT38/CT3),"")</f>
        <v/>
      </c>
      <c r="CU39" s="47">
        <f>IF(N(CU3)=0,"",CU38/CU3)</f>
        <v/>
      </c>
      <c r="CV39" s="47">
        <f>IF(N(CV3)=0,"",CV38/CV3)</f>
        <v/>
      </c>
      <c r="CW39" s="29">
        <f>IF(COUNT(CW38,CW3)=2,IF(N(CW3)=0,"",CW38/CW3),"")</f>
        <v/>
      </c>
      <c r="CX39" s="29">
        <f>IF(N(CX3)=0,"",CX38/CX3)</f>
        <v/>
      </c>
      <c r="CY39" s="29">
        <f>IF(N(CY3)=0,"",CY38/CY3)</f>
        <v/>
      </c>
      <c r="CZ39" s="47">
        <f>IF(COUNT(CZ38,CZ3)=2,IF(N(CZ3)=0,"",CZ38/CZ3),"")</f>
        <v/>
      </c>
      <c r="DA39" s="47">
        <f>IF(N(DA3)=0,"",DA38/DA3)</f>
        <v/>
      </c>
      <c r="DB39" s="47">
        <f>IF(N(DB3)=0,"",DB38/DB3)</f>
        <v/>
      </c>
      <c r="DC39" s="29">
        <f>IF(COUNT(DC38,DC3)=2,IF(N(DC3)=0,"",DC38/DC3),"")</f>
        <v/>
      </c>
      <c r="DD39" s="29">
        <f>IF(N(DD3)=0,"",DD38/DD3)</f>
        <v/>
      </c>
      <c r="DE39" s="29">
        <f>IF(N(DE3)=0,"",DE38/DE3)</f>
        <v/>
      </c>
      <c r="DF39" s="47">
        <f>IF(COUNT(DF38,DF3)=2,IF(N(DF3)=0,"",DF38/DF3),"")</f>
        <v/>
      </c>
      <c r="DG39" s="47">
        <f>IF(N(DG3)=0,"",DG38/DG3)</f>
        <v/>
      </c>
      <c r="DH39" s="47">
        <f>IF(N(DH3)=0,"",DH38/DH3)</f>
        <v/>
      </c>
      <c r="DI39" s="29">
        <f>IF(COUNT(DI38,DI3)=2,IF(N(DI3)=0,"",DI38/DI3),"")</f>
        <v/>
      </c>
      <c r="DJ39" s="29">
        <f>IF(N(DJ3)=0,"",DJ38/DJ3)</f>
        <v/>
      </c>
      <c r="DK39" s="29">
        <f>IF(N(DK3)=0,"",DK38/DK3)</f>
        <v/>
      </c>
      <c r="DL39" s="47">
        <f>IF(COUNT(DL38,DL3)=2,IF(N(DL3)=0,"",DL38/DL3),"")</f>
        <v/>
      </c>
      <c r="DM39" s="47">
        <f>IF(N(DM3)=0,"",DM38/DM3)</f>
        <v/>
      </c>
      <c r="DN39" s="47">
        <f>IF(N(DN3)=0,"",DN38/DN3)</f>
        <v/>
      </c>
    </row>
    <row r="40">
      <c r="A40" s="15" t="inlineStr">
        <is>
          <t>People</t>
        </is>
      </c>
      <c r="B40" s="35" t="n"/>
      <c r="C40" s="35" t="n"/>
      <c r="D40" s="35" t="n"/>
      <c r="H40" s="35" t="n"/>
      <c r="I40" s="35" t="n"/>
      <c r="J40" s="35" t="n"/>
      <c r="N40" s="35" t="n"/>
      <c r="O40" s="35" t="n"/>
      <c r="P40" s="35" t="n"/>
      <c r="T40" s="35" t="n"/>
      <c r="U40" s="35" t="n"/>
      <c r="V40" s="35" t="n"/>
      <c r="Z40" s="35" t="n"/>
      <c r="AA40" s="35" t="n"/>
      <c r="AB40" s="35" t="n"/>
      <c r="AF40" s="35" t="n"/>
      <c r="AG40" s="35" t="n"/>
      <c r="AH40" s="35" t="n"/>
      <c r="AL40" s="35" t="n"/>
      <c r="AM40" s="35" t="n"/>
      <c r="AN40" s="35" t="n"/>
      <c r="AR40" s="35" t="n"/>
      <c r="AS40" s="35" t="n"/>
      <c r="AT40" s="35" t="n"/>
      <c r="AX40" s="35" t="n"/>
      <c r="AY40" s="35" t="n"/>
      <c r="AZ40" s="35" t="n"/>
      <c r="BD40" s="35" t="n"/>
      <c r="BE40" s="35" t="n"/>
      <c r="BF40" s="35" t="n"/>
      <c r="BJ40" s="35" t="n"/>
      <c r="BK40" s="35" t="n"/>
      <c r="BL40" s="35" t="n"/>
      <c r="BP40" s="35" t="n"/>
      <c r="BQ40" s="35" t="n"/>
      <c r="BR40" s="35" t="n"/>
      <c r="BV40" s="35" t="n"/>
      <c r="BW40" s="35" t="n"/>
      <c r="BX40" s="35" t="n"/>
      <c r="CB40" s="35" t="n"/>
      <c r="CC40" s="35" t="n"/>
      <c r="CD40" s="35" t="n"/>
      <c r="CH40" s="35" t="n"/>
      <c r="CI40" s="35" t="n"/>
      <c r="CJ40" s="35" t="n"/>
      <c r="CN40" s="35" t="n"/>
      <c r="CO40" s="35" t="n"/>
      <c r="CP40" s="35" t="n"/>
      <c r="CT40" s="35" t="n"/>
      <c r="CU40" s="35" t="n"/>
      <c r="CV40" s="35" t="n"/>
      <c r="CZ40" s="35" t="n"/>
      <c r="DA40" s="35" t="n"/>
      <c r="DB40" s="35" t="n"/>
      <c r="DF40" s="35" t="n"/>
      <c r="DG40" s="35" t="n"/>
      <c r="DH40" s="35" t="n"/>
      <c r="DL40" s="35" t="n"/>
      <c r="DM40" s="35" t="n"/>
      <c r="DN40" s="35" t="n"/>
    </row>
    <row r="41">
      <c r="A41" s="2" t="inlineStr">
        <is>
          <t>Chief Executive Officer</t>
        </is>
      </c>
      <c r="B41" s="10">
        <f>IF(COUNT(AR41,AO41,AL41,AI41,AF41,AC41,Z41,W41,T41,Q41,N41,K41)=0,"",SUM(AR41,AO41,AL41,AI41,AF41,AC41,Z41,W41,T41,Q41,N41,K41))</f>
        <v/>
      </c>
      <c r="C41" s="10">
        <f>IF(COUNT(AS41,AP41,AM41,AJ41,AG41,AD41,AA41,X41,U41,R41,O41,L41)=0,"",SUM(AS41,AP41,AM41,AJ41,AG41,AD41,AA41,X41,U41,R41,O41,L41))</f>
        <v/>
      </c>
      <c r="D41" s="10">
        <f>IF(COUNT(AT41,AQ41,AN41,AK41,AH41,AE41,AB41,Y41,V41,S41,P41,M41)=0,"",SUM(AT41,AQ41,AN41,AK41,AH41,AE41,AB41,Y41,V41,S41,P41,M41))</f>
        <v/>
      </c>
      <c r="E41" s="11">
        <f>IF(COUNT(CB41,BY41,BV41,BS41,BP41,BM41,BJ41,BG41,BD41,BA41,AX41,AU41)=0,"",SUM(CB41,BY41,BV41,BS41,BP41,BM41,BJ41,BG41,BD41,BA41,AX41,AU41))</f>
        <v/>
      </c>
      <c r="F41" s="11">
        <f>IF(COUNT(CC41,BZ41,BW41,BT41,BQ41,BN41,BK41,BH41,BE41,BB41,AY41,AV41)=0,"",SUM(CC41,BZ41,BW41,BT41,BQ41,BN41,BK41,BH41,BE41,BB41,AY41,AV41))</f>
        <v/>
      </c>
      <c r="G41" s="11">
        <f>IF(COUNT(CD41,CA41,BX41,BU41,BR41,BO41,BL41,BI41,BF41,BC41,AZ41,AW41)=0,"",SUM(CD41,CA41,BX41,BU41,BR41,BO41,BL41,BI41,BF41,BC41,AZ41,AW41))</f>
        <v/>
      </c>
      <c r="H41" s="10">
        <f>IF(COUNT(DL41,DI41,DF41,DC41,CZ41,CW41,CT41,CQ41,CN41,CK41,CH41,CE41)=0,"",SUM(DL41,DI41,DF41,DC41,CZ41,CW41,CT41,CQ41,CN41,CK41,CH41,CE41))</f>
        <v/>
      </c>
      <c r="I41" s="10">
        <f>IF(COUNT(DM41,DJ41,DG41,DD41,DA41,CX41,CU41,CR41,CO41,CL41,CI41,CF41)=0,"",SUM(DM41,DJ41,DG41,DD41,DA41,CX41,CU41,CR41,CO41,CL41,CI41,CF41))</f>
        <v/>
      </c>
      <c r="J41" s="10">
        <f>IF(COUNT(DN41,DK41,DH41,DE41,DB41,CY41,CV41,CS41,CP41,CM41,CJ41,CG41)=0,"",SUM(DN41,DK41,DH41,DE41,DB41,CY41,CV41,CS41,CP41,CM41,CJ41,CG41))</f>
        <v/>
      </c>
      <c r="K41" s="11" t="n"/>
      <c r="L41" s="11" t="n">
        <v>25000</v>
      </c>
      <c r="M41" s="11" t="n">
        <v>25000</v>
      </c>
      <c r="N41" s="10" t="n"/>
      <c r="O41" s="10" t="n">
        <v>25000</v>
      </c>
      <c r="P41" s="10" t="n">
        <v>25000</v>
      </c>
      <c r="Q41" s="11" t="n"/>
      <c r="R41" s="11" t="n">
        <v>25000</v>
      </c>
      <c r="S41" s="11" t="n">
        <v>25000</v>
      </c>
      <c r="T41" s="10" t="n"/>
      <c r="U41" s="10" t="n">
        <v>25000</v>
      </c>
      <c r="V41" s="10" t="n">
        <v>25000</v>
      </c>
      <c r="W41" s="11" t="n"/>
      <c r="X41" s="11" t="n">
        <v>25000</v>
      </c>
      <c r="Y41" s="11" t="n">
        <v>25000</v>
      </c>
      <c r="Z41" s="10" t="n"/>
      <c r="AA41" s="10" t="n">
        <v>25000</v>
      </c>
      <c r="AB41" s="10" t="n">
        <v>25000</v>
      </c>
      <c r="AC41" s="11" t="n"/>
      <c r="AD41" s="11" t="n">
        <v>25000</v>
      </c>
      <c r="AE41" s="11" t="n">
        <v>25000</v>
      </c>
      <c r="AF41" s="10" t="n"/>
      <c r="AG41" s="10" t="n">
        <v>25000</v>
      </c>
      <c r="AH41" s="10" t="n">
        <v>25000</v>
      </c>
      <c r="AI41" s="11" t="n"/>
      <c r="AJ41" s="11" t="n">
        <v>25000</v>
      </c>
      <c r="AK41" s="11" t="n">
        <v>25000</v>
      </c>
      <c r="AL41" s="10" t="n"/>
      <c r="AM41" s="10" t="n">
        <v>25000</v>
      </c>
      <c r="AN41" s="10" t="n">
        <v>25000</v>
      </c>
      <c r="AO41" s="11" t="n"/>
      <c r="AP41" s="11" t="n">
        <v>25000</v>
      </c>
      <c r="AQ41" s="11" t="n">
        <v>25000</v>
      </c>
      <c r="AR41" s="10" t="n"/>
      <c r="AS41" s="10" t="n">
        <v>25000</v>
      </c>
      <c r="AT41" s="10" t="n">
        <v>25000</v>
      </c>
      <c r="AU41" s="11" t="n"/>
      <c r="AV41" s="11" t="n">
        <v>25000</v>
      </c>
      <c r="AW41" s="11" t="n">
        <v>25000</v>
      </c>
      <c r="AX41" s="10" t="n"/>
      <c r="AY41" s="10" t="n">
        <v>25000</v>
      </c>
      <c r="AZ41" s="10" t="n">
        <v>25000</v>
      </c>
      <c r="BA41" s="11" t="n"/>
      <c r="BB41" s="11" t="n">
        <v>25000</v>
      </c>
      <c r="BC41" s="11" t="n">
        <v>25000</v>
      </c>
      <c r="BD41" s="10" t="n"/>
      <c r="BE41" s="10" t="n">
        <v>25000</v>
      </c>
      <c r="BF41" s="10" t="n">
        <v>25000</v>
      </c>
      <c r="BG41" s="11" t="n"/>
      <c r="BH41" s="11" t="n">
        <v>25000</v>
      </c>
      <c r="BI41" s="11" t="n">
        <v>25000</v>
      </c>
      <c r="BJ41" s="10" t="n"/>
      <c r="BK41" s="10" t="n">
        <v>25000</v>
      </c>
      <c r="BL41" s="10" t="n">
        <v>25000</v>
      </c>
      <c r="BM41" s="11" t="n"/>
      <c r="BN41" s="11" t="n">
        <v>25000</v>
      </c>
      <c r="BO41" s="11" t="n">
        <v>25000</v>
      </c>
      <c r="BP41" s="10" t="n"/>
      <c r="BQ41" s="10" t="n">
        <v>25000</v>
      </c>
      <c r="BR41" s="10" t="n">
        <v>25000</v>
      </c>
      <c r="BS41" s="11" t="n"/>
      <c r="BT41" s="11" t="n">
        <v>25000</v>
      </c>
      <c r="BU41" s="11" t="n">
        <v>25000</v>
      </c>
      <c r="BV41" s="10" t="n"/>
      <c r="BW41" s="10" t="n">
        <v>25000</v>
      </c>
      <c r="BX41" s="10" t="n">
        <v>25000</v>
      </c>
      <c r="BY41" s="11" t="n"/>
      <c r="BZ41" s="11" t="n">
        <v>25000</v>
      </c>
      <c r="CA41" s="11" t="n">
        <v>25000</v>
      </c>
      <c r="CB41" s="10" t="n"/>
      <c r="CC41" s="10" t="n">
        <v>25000</v>
      </c>
      <c r="CD41" s="10" t="n">
        <v>25000</v>
      </c>
      <c r="CE41" s="11" t="n"/>
      <c r="CF41" s="11" t="n">
        <v>25000</v>
      </c>
      <c r="CG41" s="11" t="n">
        <v>25000</v>
      </c>
      <c r="CH41" s="10" t="n"/>
      <c r="CI41" s="10" t="n">
        <v>25000</v>
      </c>
      <c r="CJ41" s="10" t="n">
        <v>25000</v>
      </c>
      <c r="CK41" s="11" t="n"/>
      <c r="CL41" s="11" t="n">
        <v>25000</v>
      </c>
      <c r="CM41" s="11" t="n">
        <v>25000</v>
      </c>
      <c r="CN41" s="10" t="n"/>
      <c r="CO41" s="10" t="n">
        <v>25000</v>
      </c>
      <c r="CP41" s="10" t="n">
        <v>25000</v>
      </c>
      <c r="CQ41" s="11" t="n"/>
      <c r="CR41" s="11" t="n">
        <v>25000</v>
      </c>
      <c r="CS41" s="11" t="n">
        <v>25000</v>
      </c>
      <c r="CT41" s="10" t="n"/>
      <c r="CU41" s="10" t="n">
        <v>25000</v>
      </c>
      <c r="CV41" s="10" t="n">
        <v>25000</v>
      </c>
      <c r="CW41" s="11" t="n"/>
      <c r="CX41" s="11" t="n">
        <v>25000</v>
      </c>
      <c r="CY41" s="11" t="n">
        <v>25000</v>
      </c>
      <c r="CZ41" s="10" t="n"/>
      <c r="DA41" s="10" t="n">
        <v>25000</v>
      </c>
      <c r="DB41" s="10" t="n">
        <v>25000</v>
      </c>
      <c r="DC41" s="11" t="n"/>
      <c r="DD41" s="11" t="n">
        <v>25000</v>
      </c>
      <c r="DE41" s="11" t="n">
        <v>25000</v>
      </c>
      <c r="DF41" s="10" t="n"/>
      <c r="DG41" s="10" t="n">
        <v>25000</v>
      </c>
      <c r="DH41" s="10" t="n">
        <v>25000</v>
      </c>
      <c r="DI41" s="11" t="n">
        <v>25000</v>
      </c>
      <c r="DJ41" s="11" t="n">
        <v>25000</v>
      </c>
      <c r="DK41" s="11" t="n">
        <v>25000</v>
      </c>
      <c r="DL41" s="10" t="n">
        <v>25000</v>
      </c>
      <c r="DM41" s="10" t="n">
        <v>25000</v>
      </c>
      <c r="DN41" s="10" t="n">
        <v>25000</v>
      </c>
    </row>
    <row r="42">
      <c r="A42" s="2" t="inlineStr">
        <is>
          <t>CFO</t>
        </is>
      </c>
      <c r="B42" s="10">
        <f>IF(COUNT(AR42,AO42,AL42,AI42,AF42,AC42,Z42,W42,T42,Q42,N42,K42)=0,"",SUM(AR42,AO42,AL42,AI42,AF42,AC42,Z42,W42,T42,Q42,N42,K42))</f>
        <v/>
      </c>
      <c r="C42" s="10">
        <f>IF(COUNT(AS42,AP42,AM42,AJ42,AG42,AD42,AA42,X42,U42,R42,O42,L42)=0,"",SUM(AS42,AP42,AM42,AJ42,AG42,AD42,AA42,X42,U42,R42,O42,L42))</f>
        <v/>
      </c>
      <c r="D42" s="10">
        <f>IF(COUNT(AT42,AQ42,AN42,AK42,AH42,AE42,AB42,Y42,V42,S42,P42,M42)=0,"",SUM(AT42,AQ42,AN42,AK42,AH42,AE42,AB42,Y42,V42,S42,P42,M42))</f>
        <v/>
      </c>
      <c r="E42" s="11">
        <f>IF(COUNT(CB42,BY42,BV42,BS42,BP42,BM42,BJ42,BG42,BD42,BA42,AX42,AU42)=0,"",SUM(CB42,BY42,BV42,BS42,BP42,BM42,BJ42,BG42,BD42,BA42,AX42,AU42))</f>
        <v/>
      </c>
      <c r="F42" s="11">
        <f>IF(COUNT(CC42,BZ42,BW42,BT42,BQ42,BN42,BK42,BH42,BE42,BB42,AY42,AV42)=0,"",SUM(CC42,BZ42,BW42,BT42,BQ42,BN42,BK42,BH42,BE42,BB42,AY42,AV42))</f>
        <v/>
      </c>
      <c r="G42" s="11">
        <f>IF(COUNT(CD42,CA42,BX42,BU42,BR42,BO42,BL42,BI42,BF42,BC42,AZ42,AW42)=0,"",SUM(CD42,CA42,BX42,BU42,BR42,BO42,BL42,BI42,BF42,BC42,AZ42,AW42))</f>
        <v/>
      </c>
      <c r="H42" s="10">
        <f>IF(COUNT(DL42,DI42,DF42,DC42,CZ42,CW42,CT42,CQ42,CN42,CK42,CH42,CE42)=0,"",SUM(DL42,DI42,DF42,DC42,CZ42,CW42,CT42,CQ42,CN42,CK42,CH42,CE42))</f>
        <v/>
      </c>
      <c r="I42" s="10">
        <f>IF(COUNT(DM42,DJ42,DG42,DD42,DA42,CX42,CU42,CR42,CO42,CL42,CI42,CF42)=0,"",SUM(DM42,DJ42,DG42,DD42,DA42,CX42,CU42,CR42,CO42,CL42,CI42,CF42))</f>
        <v/>
      </c>
      <c r="J42" s="10">
        <f>IF(COUNT(DN42,DK42,DH42,DE42,DB42,CY42,CV42,CS42,CP42,CM42,CJ42,CG42)=0,"",SUM(DN42,DK42,DH42,DE42,DB42,CY42,CV42,CS42,CP42,CM42,CJ42,CG42))</f>
        <v/>
      </c>
      <c r="K42" s="11" t="n"/>
      <c r="L42" s="11" t="n">
        <v>22000</v>
      </c>
      <c r="M42" s="11" t="n">
        <v>22000</v>
      </c>
      <c r="N42" s="10" t="n"/>
      <c r="O42" s="10" t="n">
        <v>22000</v>
      </c>
      <c r="P42" s="10" t="n">
        <v>22000</v>
      </c>
      <c r="Q42" s="11" t="n"/>
      <c r="R42" s="11" t="n">
        <v>22000</v>
      </c>
      <c r="S42" s="11" t="n">
        <v>22000</v>
      </c>
      <c r="T42" s="10" t="n"/>
      <c r="U42" s="10" t="n">
        <v>22000</v>
      </c>
      <c r="V42" s="10" t="n">
        <v>22000</v>
      </c>
      <c r="W42" s="11" t="n"/>
      <c r="X42" s="11" t="n">
        <v>22000</v>
      </c>
      <c r="Y42" s="11" t="n">
        <v>22000</v>
      </c>
      <c r="Z42" s="10" t="n"/>
      <c r="AA42" s="10" t="n">
        <v>22000</v>
      </c>
      <c r="AB42" s="10" t="n">
        <v>22000</v>
      </c>
      <c r="AC42" s="11" t="n"/>
      <c r="AD42" s="11" t="n">
        <v>22000</v>
      </c>
      <c r="AE42" s="11" t="n">
        <v>22000</v>
      </c>
      <c r="AF42" s="10" t="n"/>
      <c r="AG42" s="10" t="n">
        <v>22000</v>
      </c>
      <c r="AH42" s="10" t="n">
        <v>22000</v>
      </c>
      <c r="AI42" s="11" t="n"/>
      <c r="AJ42" s="11" t="n">
        <v>22000</v>
      </c>
      <c r="AK42" s="11" t="n">
        <v>22000</v>
      </c>
      <c r="AL42" s="10" t="n"/>
      <c r="AM42" s="10" t="n">
        <v>22000</v>
      </c>
      <c r="AN42" s="10" t="n">
        <v>22000</v>
      </c>
      <c r="AO42" s="11" t="n"/>
      <c r="AP42" s="11" t="n">
        <v>22000</v>
      </c>
      <c r="AQ42" s="11" t="n">
        <v>22000</v>
      </c>
      <c r="AR42" s="10" t="n"/>
      <c r="AS42" s="10" t="n">
        <v>22000</v>
      </c>
      <c r="AT42" s="10" t="n">
        <v>22000</v>
      </c>
      <c r="AU42" s="11" t="n"/>
      <c r="AV42" s="11" t="n">
        <v>22000</v>
      </c>
      <c r="AW42" s="11" t="n">
        <v>22000</v>
      </c>
      <c r="AX42" s="10" t="n"/>
      <c r="AY42" s="10" t="n">
        <v>22000</v>
      </c>
      <c r="AZ42" s="10" t="n">
        <v>22000</v>
      </c>
      <c r="BA42" s="11" t="n"/>
      <c r="BB42" s="11" t="n">
        <v>22000</v>
      </c>
      <c r="BC42" s="11" t="n">
        <v>22000</v>
      </c>
      <c r="BD42" s="10" t="n"/>
      <c r="BE42" s="10" t="n">
        <v>22000</v>
      </c>
      <c r="BF42" s="10" t="n">
        <v>22000</v>
      </c>
      <c r="BG42" s="11" t="n"/>
      <c r="BH42" s="11" t="n">
        <v>22000</v>
      </c>
      <c r="BI42" s="11" t="n">
        <v>22000</v>
      </c>
      <c r="BJ42" s="10" t="n"/>
      <c r="BK42" s="10" t="n">
        <v>22000</v>
      </c>
      <c r="BL42" s="10" t="n">
        <v>22000</v>
      </c>
      <c r="BM42" s="11" t="n"/>
      <c r="BN42" s="11" t="n">
        <v>22000</v>
      </c>
      <c r="BO42" s="11" t="n">
        <v>22000</v>
      </c>
      <c r="BP42" s="10" t="n"/>
      <c r="BQ42" s="10" t="n">
        <v>22000</v>
      </c>
      <c r="BR42" s="10" t="n">
        <v>22000</v>
      </c>
      <c r="BS42" s="11" t="n"/>
      <c r="BT42" s="11" t="n">
        <v>22000</v>
      </c>
      <c r="BU42" s="11" t="n">
        <v>22000</v>
      </c>
      <c r="BV42" s="10" t="n"/>
      <c r="BW42" s="10" t="n">
        <v>22000</v>
      </c>
      <c r="BX42" s="10" t="n">
        <v>22000</v>
      </c>
      <c r="BY42" s="11" t="n"/>
      <c r="BZ42" s="11" t="n">
        <v>22000</v>
      </c>
      <c r="CA42" s="11" t="n">
        <v>22000</v>
      </c>
      <c r="CB42" s="10" t="n"/>
      <c r="CC42" s="10" t="n">
        <v>22000</v>
      </c>
      <c r="CD42" s="10" t="n">
        <v>22000</v>
      </c>
      <c r="CE42" s="11" t="n"/>
      <c r="CF42" s="11" t="n">
        <v>22000</v>
      </c>
      <c r="CG42" s="11" t="n">
        <v>22000</v>
      </c>
      <c r="CH42" s="10" t="n"/>
      <c r="CI42" s="10" t="n">
        <v>22000</v>
      </c>
      <c r="CJ42" s="10" t="n">
        <v>22000</v>
      </c>
      <c r="CK42" s="11" t="n"/>
      <c r="CL42" s="11" t="n">
        <v>22000</v>
      </c>
      <c r="CM42" s="11" t="n">
        <v>22000</v>
      </c>
      <c r="CN42" s="10" t="n"/>
      <c r="CO42" s="10" t="n">
        <v>22000</v>
      </c>
      <c r="CP42" s="10" t="n">
        <v>22000</v>
      </c>
      <c r="CQ42" s="11" t="n"/>
      <c r="CR42" s="11" t="n">
        <v>22000</v>
      </c>
      <c r="CS42" s="11" t="n">
        <v>22000</v>
      </c>
      <c r="CT42" s="10" t="n"/>
      <c r="CU42" s="10" t="n">
        <v>22000</v>
      </c>
      <c r="CV42" s="10" t="n">
        <v>22000</v>
      </c>
      <c r="CW42" s="11" t="n"/>
      <c r="CX42" s="11" t="n">
        <v>22000</v>
      </c>
      <c r="CY42" s="11" t="n">
        <v>22000</v>
      </c>
      <c r="CZ42" s="10" t="n"/>
      <c r="DA42" s="10" t="n">
        <v>22000</v>
      </c>
      <c r="DB42" s="10" t="n">
        <v>22000</v>
      </c>
      <c r="DC42" s="11" t="n"/>
      <c r="DD42" s="11" t="n">
        <v>22000</v>
      </c>
      <c r="DE42" s="11" t="n">
        <v>22000</v>
      </c>
      <c r="DF42" s="10" t="n"/>
      <c r="DG42" s="10" t="n">
        <v>22000</v>
      </c>
      <c r="DH42" s="10" t="n">
        <v>22000</v>
      </c>
      <c r="DI42" s="11" t="n">
        <v>22000</v>
      </c>
      <c r="DJ42" s="11" t="n">
        <v>22000</v>
      </c>
      <c r="DK42" s="11" t="n">
        <v>22000</v>
      </c>
      <c r="DL42" s="10" t="n">
        <v>22000</v>
      </c>
      <c r="DM42" s="10" t="n">
        <v>22000</v>
      </c>
      <c r="DN42" s="10" t="n">
        <v>22000</v>
      </c>
    </row>
    <row r="43">
      <c r="A43" s="2" t="inlineStr">
        <is>
          <t>Controller</t>
        </is>
      </c>
      <c r="B43" s="10">
        <f>IF(COUNT(AR43,AO43,AL43,AI43,AF43,AC43,Z43,W43,T43,Q43,N43,K43)=0,"",SUM(AR43,AO43,AL43,AI43,AF43,AC43,Z43,W43,T43,Q43,N43,K43))</f>
        <v/>
      </c>
      <c r="C43" s="10">
        <f>IF(COUNT(AS43,AP43,AM43,AJ43,AG43,AD43,AA43,X43,U43,R43,O43,L43)=0,"",SUM(AS43,AP43,AM43,AJ43,AG43,AD43,AA43,X43,U43,R43,O43,L43))</f>
        <v/>
      </c>
      <c r="D43" s="10">
        <f>IF(COUNT(AT43,AQ43,AN43,AK43,AH43,AE43,AB43,Y43,V43,S43,P43,M43)=0,"",SUM(AT43,AQ43,AN43,AK43,AH43,AE43,AB43,Y43,V43,S43,P43,M43))</f>
        <v/>
      </c>
      <c r="E43" s="11">
        <f>IF(COUNT(CB43,BY43,BV43,BS43,BP43,BM43,BJ43,BG43,BD43,BA43,AX43,AU43)=0,"",SUM(CB43,BY43,BV43,BS43,BP43,BM43,BJ43,BG43,BD43,BA43,AX43,AU43))</f>
        <v/>
      </c>
      <c r="F43" s="11">
        <f>IF(COUNT(CC43,BZ43,BW43,BT43,BQ43,BN43,BK43,BH43,BE43,BB43,AY43,AV43)=0,"",SUM(CC43,BZ43,BW43,BT43,BQ43,BN43,BK43,BH43,BE43,BB43,AY43,AV43))</f>
        <v/>
      </c>
      <c r="G43" s="11">
        <f>IF(COUNT(CD43,CA43,BX43,BU43,BR43,BO43,BL43,BI43,BF43,BC43,AZ43,AW43)=0,"",SUM(CD43,CA43,BX43,BU43,BR43,BO43,BL43,BI43,BF43,BC43,AZ43,AW43))</f>
        <v/>
      </c>
      <c r="H43" s="10">
        <f>IF(COUNT(DL43,DI43,DF43,DC43,CZ43,CW43,CT43,CQ43,CN43,CK43,CH43,CE43)=0,"",SUM(DL43,DI43,DF43,DC43,CZ43,CW43,CT43,CQ43,CN43,CK43,CH43,CE43))</f>
        <v/>
      </c>
      <c r="I43" s="10">
        <f>IF(COUNT(DM43,DJ43,DG43,DD43,DA43,CX43,CU43,CR43,CO43,CL43,CI43,CF43)=0,"",SUM(DM43,DJ43,DG43,DD43,DA43,CX43,CU43,CR43,CO43,CL43,CI43,CF43))</f>
        <v/>
      </c>
      <c r="J43" s="10">
        <f>IF(COUNT(DN43,DK43,DH43,DE43,DB43,CY43,CV43,CS43,CP43,CM43,CJ43,CG43)=0,"",SUM(DN43,DK43,DH43,DE43,DB43,CY43,CV43,CS43,CP43,CM43,CJ43,CG43))</f>
        <v/>
      </c>
      <c r="K43" s="11" t="n"/>
      <c r="L43" s="11" t="n">
        <v>15000</v>
      </c>
      <c r="M43" s="11" t="n">
        <v>15000</v>
      </c>
      <c r="N43" s="10" t="n"/>
      <c r="O43" s="10" t="n">
        <v>15000</v>
      </c>
      <c r="P43" s="10" t="n">
        <v>15000</v>
      </c>
      <c r="Q43" s="11" t="n"/>
      <c r="R43" s="11" t="n">
        <v>15000</v>
      </c>
      <c r="S43" s="11" t="n">
        <v>15000</v>
      </c>
      <c r="T43" s="10" t="n"/>
      <c r="U43" s="10" t="n">
        <v>15000</v>
      </c>
      <c r="V43" s="10" t="n">
        <v>15000</v>
      </c>
      <c r="W43" s="11" t="n"/>
      <c r="X43" s="11" t="n">
        <v>15000</v>
      </c>
      <c r="Y43" s="11" t="n">
        <v>15000</v>
      </c>
      <c r="Z43" s="10" t="n"/>
      <c r="AA43" s="10" t="n">
        <v>15000</v>
      </c>
      <c r="AB43" s="10" t="n">
        <v>15000</v>
      </c>
      <c r="AC43" s="11" t="n"/>
      <c r="AD43" s="11" t="n">
        <v>15000</v>
      </c>
      <c r="AE43" s="11" t="n">
        <v>15000</v>
      </c>
      <c r="AF43" s="10" t="n"/>
      <c r="AG43" s="10" t="n">
        <v>15000</v>
      </c>
      <c r="AH43" s="10" t="n">
        <v>15000</v>
      </c>
      <c r="AI43" s="11" t="n"/>
      <c r="AJ43" s="11" t="n">
        <v>15000</v>
      </c>
      <c r="AK43" s="11" t="n">
        <v>15000</v>
      </c>
      <c r="AL43" s="10" t="n"/>
      <c r="AM43" s="10" t="n">
        <v>15000</v>
      </c>
      <c r="AN43" s="10" t="n">
        <v>15000</v>
      </c>
      <c r="AO43" s="11" t="n"/>
      <c r="AP43" s="11" t="n">
        <v>15000</v>
      </c>
      <c r="AQ43" s="11" t="n">
        <v>15000</v>
      </c>
      <c r="AR43" s="10" t="n"/>
      <c r="AS43" s="10" t="n">
        <v>15000</v>
      </c>
      <c r="AT43" s="10" t="n">
        <v>15000</v>
      </c>
      <c r="AU43" s="11" t="n"/>
      <c r="AV43" s="11" t="n">
        <v>15000</v>
      </c>
      <c r="AW43" s="11" t="n">
        <v>15000</v>
      </c>
      <c r="AX43" s="10" t="n"/>
      <c r="AY43" s="10" t="n">
        <v>15000</v>
      </c>
      <c r="AZ43" s="10" t="n">
        <v>15000</v>
      </c>
      <c r="BA43" s="11" t="n"/>
      <c r="BB43" s="11" t="n">
        <v>15000</v>
      </c>
      <c r="BC43" s="11" t="n">
        <v>15000</v>
      </c>
      <c r="BD43" s="10" t="n"/>
      <c r="BE43" s="10" t="n">
        <v>15000</v>
      </c>
      <c r="BF43" s="10" t="n">
        <v>15000</v>
      </c>
      <c r="BG43" s="11" t="n"/>
      <c r="BH43" s="11" t="n">
        <v>15000</v>
      </c>
      <c r="BI43" s="11" t="n">
        <v>15000</v>
      </c>
      <c r="BJ43" s="10" t="n"/>
      <c r="BK43" s="10" t="n">
        <v>15000</v>
      </c>
      <c r="BL43" s="10" t="n">
        <v>15000</v>
      </c>
      <c r="BM43" s="11" t="n"/>
      <c r="BN43" s="11" t="n">
        <v>15000</v>
      </c>
      <c r="BO43" s="11" t="n">
        <v>15000</v>
      </c>
      <c r="BP43" s="10" t="n"/>
      <c r="BQ43" s="10" t="n">
        <v>15000</v>
      </c>
      <c r="BR43" s="10" t="n">
        <v>15000</v>
      </c>
      <c r="BS43" s="11" t="n"/>
      <c r="BT43" s="11" t="n">
        <v>15000</v>
      </c>
      <c r="BU43" s="11" t="n">
        <v>15000</v>
      </c>
      <c r="BV43" s="10" t="n"/>
      <c r="BW43" s="10" t="n">
        <v>15000</v>
      </c>
      <c r="BX43" s="10" t="n">
        <v>15000</v>
      </c>
      <c r="BY43" s="11" t="n"/>
      <c r="BZ43" s="11" t="n">
        <v>15000</v>
      </c>
      <c r="CA43" s="11" t="n">
        <v>15000</v>
      </c>
      <c r="CB43" s="10" t="n"/>
      <c r="CC43" s="10" t="n">
        <v>15000</v>
      </c>
      <c r="CD43" s="10" t="n">
        <v>15000</v>
      </c>
      <c r="CE43" s="11" t="n"/>
      <c r="CF43" s="11" t="n">
        <v>15000</v>
      </c>
      <c r="CG43" s="11" t="n">
        <v>15000</v>
      </c>
      <c r="CH43" s="10" t="n"/>
      <c r="CI43" s="10" t="n">
        <v>15000</v>
      </c>
      <c r="CJ43" s="10" t="n">
        <v>15000</v>
      </c>
      <c r="CK43" s="11" t="n"/>
      <c r="CL43" s="11" t="n">
        <v>15000</v>
      </c>
      <c r="CM43" s="11" t="n">
        <v>15000</v>
      </c>
      <c r="CN43" s="10" t="n"/>
      <c r="CO43" s="10" t="n">
        <v>15000</v>
      </c>
      <c r="CP43" s="10" t="n">
        <v>15000</v>
      </c>
      <c r="CQ43" s="11" t="n"/>
      <c r="CR43" s="11" t="n">
        <v>15000</v>
      </c>
      <c r="CS43" s="11" t="n">
        <v>15000</v>
      </c>
      <c r="CT43" s="10" t="n"/>
      <c r="CU43" s="10" t="n">
        <v>15000</v>
      </c>
      <c r="CV43" s="10" t="n">
        <v>15000</v>
      </c>
      <c r="CW43" s="11" t="n"/>
      <c r="CX43" s="11" t="n">
        <v>15000</v>
      </c>
      <c r="CY43" s="11" t="n">
        <v>15000</v>
      </c>
      <c r="CZ43" s="10" t="n"/>
      <c r="DA43" s="10" t="n">
        <v>15000</v>
      </c>
      <c r="DB43" s="10" t="n">
        <v>15000</v>
      </c>
      <c r="DC43" s="11" t="n"/>
      <c r="DD43" s="11" t="n">
        <v>15000</v>
      </c>
      <c r="DE43" s="11" t="n">
        <v>15000</v>
      </c>
      <c r="DF43" s="10" t="n"/>
      <c r="DG43" s="10" t="n">
        <v>15000</v>
      </c>
      <c r="DH43" s="10" t="n">
        <v>15000</v>
      </c>
      <c r="DI43" s="11" t="n">
        <v>15000</v>
      </c>
      <c r="DJ43" s="11" t="n">
        <v>15000</v>
      </c>
      <c r="DK43" s="11" t="n">
        <v>15000</v>
      </c>
      <c r="DL43" s="10" t="n">
        <v>15000</v>
      </c>
      <c r="DM43" s="10" t="n">
        <v>15000</v>
      </c>
      <c r="DN43" s="10" t="n">
        <v>15000</v>
      </c>
    </row>
    <row r="44">
      <c r="A44" s="2" t="inlineStr">
        <is>
          <t>Accountant</t>
        </is>
      </c>
      <c r="B44" s="10">
        <f>IF(COUNT(AR44,AO44,AL44,AI44,AF44,AC44,Z44,W44,T44,Q44,N44,K44)=0,"",SUM(AR44,AO44,AL44,AI44,AF44,AC44,Z44,W44,T44,Q44,N44,K44))</f>
        <v/>
      </c>
      <c r="C44" s="10">
        <f>IF(COUNT(AS44,AP44,AM44,AJ44,AG44,AD44,AA44,X44,U44,R44,O44,L44)=0,"",SUM(AS44,AP44,AM44,AJ44,AG44,AD44,AA44,X44,U44,R44,O44,L44))</f>
        <v/>
      </c>
      <c r="D44" s="10">
        <f>IF(COUNT(AT44,AQ44,AN44,AK44,AH44,AE44,AB44,Y44,V44,S44,P44,M44)=0,"",SUM(AT44,AQ44,AN44,AK44,AH44,AE44,AB44,Y44,V44,S44,P44,M44))</f>
        <v/>
      </c>
      <c r="E44" s="11">
        <f>IF(COUNT(CB44,BY44,BV44,BS44,BP44,BM44,BJ44,BG44,BD44,BA44,AX44,AU44)=0,"",SUM(CB44,BY44,BV44,BS44,BP44,BM44,BJ44,BG44,BD44,BA44,AX44,AU44))</f>
        <v/>
      </c>
      <c r="F44" s="11">
        <f>IF(COUNT(CC44,BZ44,BW44,BT44,BQ44,BN44,BK44,BH44,BE44,BB44,AY44,AV44)=0,"",SUM(CC44,BZ44,BW44,BT44,BQ44,BN44,BK44,BH44,BE44,BB44,AY44,AV44))</f>
        <v/>
      </c>
      <c r="G44" s="11">
        <f>IF(COUNT(CD44,CA44,BX44,BU44,BR44,BO44,BL44,BI44,BF44,BC44,AZ44,AW44)=0,"",SUM(CD44,CA44,BX44,BU44,BR44,BO44,BL44,BI44,BF44,BC44,AZ44,AW44))</f>
        <v/>
      </c>
      <c r="H44" s="10">
        <f>IF(COUNT(DL44,DI44,DF44,DC44,CZ44,CW44,CT44,CQ44,CN44,CK44,CH44,CE44)=0,"",SUM(DL44,DI44,DF44,DC44,CZ44,CW44,CT44,CQ44,CN44,CK44,CH44,CE44))</f>
        <v/>
      </c>
      <c r="I44" s="10">
        <f>IF(COUNT(DM44,DJ44,DG44,DD44,DA44,CX44,CU44,CR44,CO44,CL44,CI44,CF44)=0,"",SUM(DM44,DJ44,DG44,DD44,DA44,CX44,CU44,CR44,CO44,CL44,CI44,CF44))</f>
        <v/>
      </c>
      <c r="J44" s="10">
        <f>IF(COUNT(DN44,DK44,DH44,DE44,DB44,CY44,CV44,CS44,CP44,CM44,CJ44,CG44)=0,"",SUM(DN44,DK44,DH44,DE44,DB44,CY44,CV44,CS44,CP44,CM44,CJ44,CG44))</f>
        <v/>
      </c>
      <c r="K44" s="11" t="n"/>
      <c r="L44" s="11" t="n">
        <v>11000</v>
      </c>
      <c r="M44" s="11" t="n">
        <v>11000</v>
      </c>
      <c r="N44" s="10" t="n"/>
      <c r="O44" s="10" t="n">
        <v>11000</v>
      </c>
      <c r="P44" s="10" t="n">
        <v>11000</v>
      </c>
      <c r="Q44" s="11" t="n"/>
      <c r="R44" s="11" t="n">
        <v>11000</v>
      </c>
      <c r="S44" s="11" t="n">
        <v>11000</v>
      </c>
      <c r="T44" s="10" t="n"/>
      <c r="U44" s="10" t="n">
        <v>11000</v>
      </c>
      <c r="V44" s="10" t="n">
        <v>11000</v>
      </c>
      <c r="W44" s="11" t="n"/>
      <c r="X44" s="11" t="n">
        <v>11000</v>
      </c>
      <c r="Y44" s="11" t="n">
        <v>11000</v>
      </c>
      <c r="Z44" s="10" t="n"/>
      <c r="AA44" s="10" t="n">
        <v>11000</v>
      </c>
      <c r="AB44" s="10" t="n">
        <v>11000</v>
      </c>
      <c r="AC44" s="11" t="n"/>
      <c r="AD44" s="11" t="n">
        <v>11000</v>
      </c>
      <c r="AE44" s="11" t="n">
        <v>11000</v>
      </c>
      <c r="AF44" s="10" t="n"/>
      <c r="AG44" s="10" t="n">
        <v>11000</v>
      </c>
      <c r="AH44" s="10" t="n">
        <v>11000</v>
      </c>
      <c r="AI44" s="11" t="n"/>
      <c r="AJ44" s="11" t="n">
        <v>11000</v>
      </c>
      <c r="AK44" s="11" t="n">
        <v>11000</v>
      </c>
      <c r="AL44" s="10" t="n"/>
      <c r="AM44" s="10" t="n">
        <v>11000</v>
      </c>
      <c r="AN44" s="10" t="n">
        <v>11000</v>
      </c>
      <c r="AO44" s="11" t="n"/>
      <c r="AP44" s="11" t="n">
        <v>11000</v>
      </c>
      <c r="AQ44" s="11" t="n">
        <v>11000</v>
      </c>
      <c r="AR44" s="10" t="n"/>
      <c r="AS44" s="10" t="n">
        <v>11000</v>
      </c>
      <c r="AT44" s="10" t="n">
        <v>11000</v>
      </c>
      <c r="AU44" s="11" t="n"/>
      <c r="AV44" s="11" t="n">
        <v>11000</v>
      </c>
      <c r="AW44" s="11" t="n">
        <v>11000</v>
      </c>
      <c r="AX44" s="10" t="n"/>
      <c r="AY44" s="10" t="n">
        <v>11000</v>
      </c>
      <c r="AZ44" s="10" t="n">
        <v>11000</v>
      </c>
      <c r="BA44" s="11" t="n"/>
      <c r="BB44" s="11" t="n">
        <v>11000</v>
      </c>
      <c r="BC44" s="11" t="n">
        <v>11000</v>
      </c>
      <c r="BD44" s="10" t="n"/>
      <c r="BE44" s="10" t="n">
        <v>11000</v>
      </c>
      <c r="BF44" s="10" t="n">
        <v>11000</v>
      </c>
      <c r="BG44" s="11" t="n"/>
      <c r="BH44" s="11" t="n">
        <v>11000</v>
      </c>
      <c r="BI44" s="11" t="n">
        <v>11000</v>
      </c>
      <c r="BJ44" s="10" t="n"/>
      <c r="BK44" s="10" t="n">
        <v>11000</v>
      </c>
      <c r="BL44" s="10" t="n">
        <v>11000</v>
      </c>
      <c r="BM44" s="11" t="n"/>
      <c r="BN44" s="11" t="n">
        <v>11000</v>
      </c>
      <c r="BO44" s="11" t="n">
        <v>11000</v>
      </c>
      <c r="BP44" s="10" t="n"/>
      <c r="BQ44" s="10" t="n">
        <v>11000</v>
      </c>
      <c r="BR44" s="10" t="n">
        <v>11000</v>
      </c>
      <c r="BS44" s="11" t="n"/>
      <c r="BT44" s="11" t="n">
        <v>11000</v>
      </c>
      <c r="BU44" s="11" t="n">
        <v>11000</v>
      </c>
      <c r="BV44" s="10" t="n"/>
      <c r="BW44" s="10" t="n">
        <v>11000</v>
      </c>
      <c r="BX44" s="10" t="n">
        <v>11000</v>
      </c>
      <c r="BY44" s="11" t="n"/>
      <c r="BZ44" s="11" t="n">
        <v>11000</v>
      </c>
      <c r="CA44" s="11" t="n">
        <v>11000</v>
      </c>
      <c r="CB44" s="10" t="n"/>
      <c r="CC44" s="10" t="n">
        <v>11000</v>
      </c>
      <c r="CD44" s="10" t="n">
        <v>11000</v>
      </c>
      <c r="CE44" s="11" t="n"/>
      <c r="CF44" s="11" t="n">
        <v>11000</v>
      </c>
      <c r="CG44" s="11" t="n">
        <v>11000</v>
      </c>
      <c r="CH44" s="10" t="n"/>
      <c r="CI44" s="10" t="n">
        <v>11000</v>
      </c>
      <c r="CJ44" s="10" t="n">
        <v>11000</v>
      </c>
      <c r="CK44" s="11" t="n"/>
      <c r="CL44" s="11" t="n">
        <v>11000</v>
      </c>
      <c r="CM44" s="11" t="n">
        <v>11000</v>
      </c>
      <c r="CN44" s="10" t="n"/>
      <c r="CO44" s="10" t="n">
        <v>11000</v>
      </c>
      <c r="CP44" s="10" t="n">
        <v>11000</v>
      </c>
      <c r="CQ44" s="11" t="n"/>
      <c r="CR44" s="11" t="n">
        <v>11000</v>
      </c>
      <c r="CS44" s="11" t="n">
        <v>11000</v>
      </c>
      <c r="CT44" s="10" t="n"/>
      <c r="CU44" s="10" t="n">
        <v>11000</v>
      </c>
      <c r="CV44" s="10" t="n">
        <v>11000</v>
      </c>
      <c r="CW44" s="11" t="n"/>
      <c r="CX44" s="11" t="n">
        <v>11000</v>
      </c>
      <c r="CY44" s="11" t="n">
        <v>11000</v>
      </c>
      <c r="CZ44" s="10" t="n"/>
      <c r="DA44" s="10" t="n">
        <v>11000</v>
      </c>
      <c r="DB44" s="10" t="n">
        <v>11000</v>
      </c>
      <c r="DC44" s="11" t="n"/>
      <c r="DD44" s="11" t="n">
        <v>11000</v>
      </c>
      <c r="DE44" s="11" t="n">
        <v>11000</v>
      </c>
      <c r="DF44" s="10" t="n"/>
      <c r="DG44" s="10" t="n">
        <v>11000</v>
      </c>
      <c r="DH44" s="10" t="n">
        <v>11000</v>
      </c>
      <c r="DI44" s="11" t="n">
        <v>11000</v>
      </c>
      <c r="DJ44" s="11" t="n">
        <v>11000</v>
      </c>
      <c r="DK44" s="11" t="n">
        <v>11000</v>
      </c>
      <c r="DL44" s="10" t="n">
        <v>11000</v>
      </c>
      <c r="DM44" s="10" t="n">
        <v>11000</v>
      </c>
      <c r="DN44" s="10" t="n">
        <v>11000</v>
      </c>
    </row>
    <row r="45">
      <c r="A45" s="2" t="inlineStr">
        <is>
          <t>Accounts Clerk</t>
        </is>
      </c>
      <c r="B45" s="10">
        <f>IF(COUNT(AR45,AO45,AL45,AI45,AF45,AC45,Z45,W45,T45,Q45,N45,K45)=0,"",SUM(AR45,AO45,AL45,AI45,AF45,AC45,Z45,W45,T45,Q45,N45,K45))</f>
        <v/>
      </c>
      <c r="C45" s="10">
        <f>IF(COUNT(AS45,AP45,AM45,AJ45,AG45,AD45,AA45,X45,U45,R45,O45,L45)=0,"",SUM(AS45,AP45,AM45,AJ45,AG45,AD45,AA45,X45,U45,R45,O45,L45))</f>
        <v/>
      </c>
      <c r="D45" s="10">
        <f>IF(COUNT(AT45,AQ45,AN45,AK45,AH45,AE45,AB45,Y45,V45,S45,P45,M45)=0,"",SUM(AT45,AQ45,AN45,AK45,AH45,AE45,AB45,Y45,V45,S45,P45,M45))</f>
        <v/>
      </c>
      <c r="E45" s="11">
        <f>IF(COUNT(CB45,BY45,BV45,BS45,BP45,BM45,BJ45,BG45,BD45,BA45,AX45,AU45)=0,"",SUM(CB45,BY45,BV45,BS45,BP45,BM45,BJ45,BG45,BD45,BA45,AX45,AU45))</f>
        <v/>
      </c>
      <c r="F45" s="11">
        <f>IF(COUNT(CC45,BZ45,BW45,BT45,BQ45,BN45,BK45,BH45,BE45,BB45,AY45,AV45)=0,"",SUM(CC45,BZ45,BW45,BT45,BQ45,BN45,BK45,BH45,BE45,BB45,AY45,AV45))</f>
        <v/>
      </c>
      <c r="G45" s="11">
        <f>IF(COUNT(CD45,CA45,BX45,BU45,BR45,BO45,BL45,BI45,BF45,BC45,AZ45,AW45)=0,"",SUM(CD45,CA45,BX45,BU45,BR45,BO45,BL45,BI45,BF45,BC45,AZ45,AW45))</f>
        <v/>
      </c>
      <c r="H45" s="10">
        <f>IF(COUNT(DL45,DI45,DF45,DC45,CZ45,CW45,CT45,CQ45,CN45,CK45,CH45,CE45)=0,"",SUM(DL45,DI45,DF45,DC45,CZ45,CW45,CT45,CQ45,CN45,CK45,CH45,CE45))</f>
        <v/>
      </c>
      <c r="I45" s="10">
        <f>IF(COUNT(DM45,DJ45,DG45,DD45,DA45,CX45,CU45,CR45,CO45,CL45,CI45,CF45)=0,"",SUM(DM45,DJ45,DG45,DD45,DA45,CX45,CU45,CR45,CO45,CL45,CI45,CF45))</f>
        <v/>
      </c>
      <c r="J45" s="10">
        <f>IF(COUNT(DN45,DK45,DH45,DE45,DB45,CY45,CV45,CS45,CP45,CM45,CJ45,CG45)=0,"",SUM(DN45,DK45,DH45,DE45,DB45,CY45,CV45,CS45,CP45,CM45,CJ45,CG45))</f>
        <v/>
      </c>
      <c r="K45" s="11" t="n"/>
      <c r="L45" s="11" t="n">
        <v>8000</v>
      </c>
      <c r="M45" s="11" t="n">
        <v>8000</v>
      </c>
      <c r="N45" s="10" t="n"/>
      <c r="O45" s="10" t="n">
        <v>8000</v>
      </c>
      <c r="P45" s="10" t="n">
        <v>8000</v>
      </c>
      <c r="Q45" s="11" t="n"/>
      <c r="R45" s="11" t="n">
        <v>8000</v>
      </c>
      <c r="S45" s="11" t="n">
        <v>8000</v>
      </c>
      <c r="T45" s="10" t="n"/>
      <c r="U45" s="10" t="n">
        <v>8000</v>
      </c>
      <c r="V45" s="10" t="n">
        <v>8000</v>
      </c>
      <c r="W45" s="11" t="n"/>
      <c r="X45" s="11" t="n">
        <v>8000</v>
      </c>
      <c r="Y45" s="11" t="n">
        <v>8000</v>
      </c>
      <c r="Z45" s="10" t="n"/>
      <c r="AA45" s="10" t="n">
        <v>8000</v>
      </c>
      <c r="AB45" s="10" t="n">
        <v>8000</v>
      </c>
      <c r="AC45" s="11" t="n"/>
      <c r="AD45" s="11" t="n">
        <v>8000</v>
      </c>
      <c r="AE45" s="11" t="n">
        <v>8000</v>
      </c>
      <c r="AF45" s="10" t="n"/>
      <c r="AG45" s="10" t="n">
        <v>8000</v>
      </c>
      <c r="AH45" s="10" t="n">
        <v>8000</v>
      </c>
      <c r="AI45" s="11" t="n"/>
      <c r="AJ45" s="11" t="n">
        <v>8000</v>
      </c>
      <c r="AK45" s="11" t="n">
        <v>8000</v>
      </c>
      <c r="AL45" s="10" t="n"/>
      <c r="AM45" s="10" t="n">
        <v>8000</v>
      </c>
      <c r="AN45" s="10" t="n">
        <v>8000</v>
      </c>
      <c r="AO45" s="11" t="n"/>
      <c r="AP45" s="11" t="n">
        <v>8000</v>
      </c>
      <c r="AQ45" s="11" t="n">
        <v>8000</v>
      </c>
      <c r="AR45" s="10" t="n"/>
      <c r="AS45" s="10" t="n">
        <v>8000</v>
      </c>
      <c r="AT45" s="10" t="n">
        <v>8000</v>
      </c>
      <c r="AU45" s="11" t="n"/>
      <c r="AV45" s="11" t="n">
        <v>8000</v>
      </c>
      <c r="AW45" s="11" t="n">
        <v>8000</v>
      </c>
      <c r="AX45" s="10" t="n"/>
      <c r="AY45" s="10" t="n">
        <v>8000</v>
      </c>
      <c r="AZ45" s="10" t="n">
        <v>8000</v>
      </c>
      <c r="BA45" s="11" t="n"/>
      <c r="BB45" s="11" t="n">
        <v>8000</v>
      </c>
      <c r="BC45" s="11" t="n">
        <v>8000</v>
      </c>
      <c r="BD45" s="10" t="n"/>
      <c r="BE45" s="10" t="n">
        <v>8000</v>
      </c>
      <c r="BF45" s="10" t="n">
        <v>8000</v>
      </c>
      <c r="BG45" s="11" t="n"/>
      <c r="BH45" s="11" t="n">
        <v>8000</v>
      </c>
      <c r="BI45" s="11" t="n">
        <v>8000</v>
      </c>
      <c r="BJ45" s="10" t="n"/>
      <c r="BK45" s="10" t="n">
        <v>8000</v>
      </c>
      <c r="BL45" s="10" t="n">
        <v>8000</v>
      </c>
      <c r="BM45" s="11" t="n"/>
      <c r="BN45" s="11" t="n">
        <v>8000</v>
      </c>
      <c r="BO45" s="11" t="n">
        <v>8000</v>
      </c>
      <c r="BP45" s="10" t="n"/>
      <c r="BQ45" s="10" t="n">
        <v>8000</v>
      </c>
      <c r="BR45" s="10" t="n">
        <v>8000</v>
      </c>
      <c r="BS45" s="11" t="n"/>
      <c r="BT45" s="11" t="n">
        <v>8000</v>
      </c>
      <c r="BU45" s="11" t="n">
        <v>8000</v>
      </c>
      <c r="BV45" s="10" t="n"/>
      <c r="BW45" s="10" t="n">
        <v>8000</v>
      </c>
      <c r="BX45" s="10" t="n">
        <v>8000</v>
      </c>
      <c r="BY45" s="11" t="n"/>
      <c r="BZ45" s="11" t="n">
        <v>8000</v>
      </c>
      <c r="CA45" s="11" t="n">
        <v>8000</v>
      </c>
      <c r="CB45" s="10" t="n"/>
      <c r="CC45" s="10" t="n">
        <v>8000</v>
      </c>
      <c r="CD45" s="10" t="n">
        <v>8000</v>
      </c>
      <c r="CE45" s="11" t="n"/>
      <c r="CF45" s="11" t="n">
        <v>8000</v>
      </c>
      <c r="CG45" s="11" t="n">
        <v>8000</v>
      </c>
      <c r="CH45" s="10" t="n"/>
      <c r="CI45" s="10" t="n">
        <v>8000</v>
      </c>
      <c r="CJ45" s="10" t="n">
        <v>8000</v>
      </c>
      <c r="CK45" s="11" t="n"/>
      <c r="CL45" s="11" t="n">
        <v>8000</v>
      </c>
      <c r="CM45" s="11" t="n">
        <v>8000</v>
      </c>
      <c r="CN45" s="10" t="n"/>
      <c r="CO45" s="10" t="n">
        <v>8000</v>
      </c>
      <c r="CP45" s="10" t="n">
        <v>8000</v>
      </c>
      <c r="CQ45" s="11" t="n"/>
      <c r="CR45" s="11" t="n">
        <v>8000</v>
      </c>
      <c r="CS45" s="11" t="n">
        <v>8000</v>
      </c>
      <c r="CT45" s="10" t="n"/>
      <c r="CU45" s="10" t="n">
        <v>8000</v>
      </c>
      <c r="CV45" s="10" t="n">
        <v>8000</v>
      </c>
      <c r="CW45" s="11" t="n"/>
      <c r="CX45" s="11" t="n">
        <v>8000</v>
      </c>
      <c r="CY45" s="11" t="n">
        <v>8000</v>
      </c>
      <c r="CZ45" s="10" t="n"/>
      <c r="DA45" s="10" t="n">
        <v>8000</v>
      </c>
      <c r="DB45" s="10" t="n">
        <v>8000</v>
      </c>
      <c r="DC45" s="11" t="n"/>
      <c r="DD45" s="11" t="n">
        <v>8000</v>
      </c>
      <c r="DE45" s="11" t="n">
        <v>8000</v>
      </c>
      <c r="DF45" s="10" t="n"/>
      <c r="DG45" s="10" t="n">
        <v>8000</v>
      </c>
      <c r="DH45" s="10" t="n">
        <v>8000</v>
      </c>
      <c r="DI45" s="11" t="n">
        <v>8000</v>
      </c>
      <c r="DJ45" s="11" t="n">
        <v>8000</v>
      </c>
      <c r="DK45" s="11" t="n">
        <v>8000</v>
      </c>
      <c r="DL45" s="10" t="n">
        <v>8000</v>
      </c>
      <c r="DM45" s="10" t="n">
        <v>8000</v>
      </c>
      <c r="DN45" s="10" t="n">
        <v>8000</v>
      </c>
    </row>
    <row r="46">
      <c r="A46" s="2" t="inlineStr">
        <is>
          <t>Office Manager</t>
        </is>
      </c>
      <c r="B46" s="10">
        <f>IF(COUNT(AR46,AO46,AL46,AI46,AF46,AC46,Z46,W46,T46,Q46,N46,K46)=0,"",SUM(AR46,AO46,AL46,AI46,AF46,AC46,Z46,W46,T46,Q46,N46,K46))</f>
        <v/>
      </c>
      <c r="C46" s="10">
        <f>IF(COUNT(AS46,AP46,AM46,AJ46,AG46,AD46,AA46,X46,U46,R46,O46,L46)=0,"",SUM(AS46,AP46,AM46,AJ46,AG46,AD46,AA46,X46,U46,R46,O46,L46))</f>
        <v/>
      </c>
      <c r="D46" s="10">
        <f>IF(COUNT(AT46,AQ46,AN46,AK46,AH46,AE46,AB46,Y46,V46,S46,P46,M46)=0,"",SUM(AT46,AQ46,AN46,AK46,AH46,AE46,AB46,Y46,V46,S46,P46,M46))</f>
        <v/>
      </c>
      <c r="E46" s="11">
        <f>IF(COUNT(CB46,BY46,BV46,BS46,BP46,BM46,BJ46,BG46,BD46,BA46,AX46,AU46)=0,"",SUM(CB46,BY46,BV46,BS46,BP46,BM46,BJ46,BG46,BD46,BA46,AX46,AU46))</f>
        <v/>
      </c>
      <c r="F46" s="11">
        <f>IF(COUNT(CC46,BZ46,BW46,BT46,BQ46,BN46,BK46,BH46,BE46,BB46,AY46,AV46)=0,"",SUM(CC46,BZ46,BW46,BT46,BQ46,BN46,BK46,BH46,BE46,BB46,AY46,AV46))</f>
        <v/>
      </c>
      <c r="G46" s="11">
        <f>IF(COUNT(CD46,CA46,BX46,BU46,BR46,BO46,BL46,BI46,BF46,BC46,AZ46,AW46)=0,"",SUM(CD46,CA46,BX46,BU46,BR46,BO46,BL46,BI46,BF46,BC46,AZ46,AW46))</f>
        <v/>
      </c>
      <c r="H46" s="10">
        <f>IF(COUNT(DL46,DI46,DF46,DC46,CZ46,CW46,CT46,CQ46,CN46,CK46,CH46,CE46)=0,"",SUM(DL46,DI46,DF46,DC46,CZ46,CW46,CT46,CQ46,CN46,CK46,CH46,CE46))</f>
        <v/>
      </c>
      <c r="I46" s="10">
        <f>IF(COUNT(DM46,DJ46,DG46,DD46,DA46,CX46,CU46,CR46,CO46,CL46,CI46,CF46)=0,"",SUM(DM46,DJ46,DG46,DD46,DA46,CX46,CU46,CR46,CO46,CL46,CI46,CF46))</f>
        <v/>
      </c>
      <c r="J46" s="10">
        <f>IF(COUNT(DN46,DK46,DH46,DE46,DB46,CY46,CV46,CS46,CP46,CM46,CJ46,CG46)=0,"",SUM(DN46,DK46,DH46,DE46,DB46,CY46,CV46,CS46,CP46,CM46,CJ46,CG46))</f>
        <v/>
      </c>
      <c r="K46" s="11" t="n"/>
      <c r="L46" s="11" t="n">
        <v>9000</v>
      </c>
      <c r="M46" s="11" t="n">
        <v>9000</v>
      </c>
      <c r="N46" s="10" t="n"/>
      <c r="O46" s="10" t="n">
        <v>9000</v>
      </c>
      <c r="P46" s="10" t="n">
        <v>9000</v>
      </c>
      <c r="Q46" s="11" t="n"/>
      <c r="R46" s="11" t="n">
        <v>9000</v>
      </c>
      <c r="S46" s="11" t="n">
        <v>9000</v>
      </c>
      <c r="T46" s="10" t="n"/>
      <c r="U46" s="10" t="n">
        <v>9000</v>
      </c>
      <c r="V46" s="10" t="n">
        <v>9000</v>
      </c>
      <c r="W46" s="11" t="n"/>
      <c r="X46" s="11" t="n">
        <v>9000</v>
      </c>
      <c r="Y46" s="11" t="n">
        <v>9000</v>
      </c>
      <c r="Z46" s="10" t="n"/>
      <c r="AA46" s="10" t="n">
        <v>9000</v>
      </c>
      <c r="AB46" s="10" t="n">
        <v>9000</v>
      </c>
      <c r="AC46" s="11" t="n"/>
      <c r="AD46" s="11" t="n">
        <v>9000</v>
      </c>
      <c r="AE46" s="11" t="n">
        <v>9000</v>
      </c>
      <c r="AF46" s="10" t="n"/>
      <c r="AG46" s="10" t="n">
        <v>9000</v>
      </c>
      <c r="AH46" s="10" t="n">
        <v>9000</v>
      </c>
      <c r="AI46" s="11" t="n"/>
      <c r="AJ46" s="11" t="n">
        <v>9000</v>
      </c>
      <c r="AK46" s="11" t="n">
        <v>9000</v>
      </c>
      <c r="AL46" s="10" t="n"/>
      <c r="AM46" s="10" t="n">
        <v>9000</v>
      </c>
      <c r="AN46" s="10" t="n">
        <v>9000</v>
      </c>
      <c r="AO46" s="11" t="n"/>
      <c r="AP46" s="11" t="n">
        <v>9000</v>
      </c>
      <c r="AQ46" s="11" t="n">
        <v>9000</v>
      </c>
      <c r="AR46" s="10" t="n"/>
      <c r="AS46" s="10" t="n">
        <v>9000</v>
      </c>
      <c r="AT46" s="10" t="n">
        <v>9000</v>
      </c>
      <c r="AU46" s="11" t="n"/>
      <c r="AV46" s="11" t="n">
        <v>9000</v>
      </c>
      <c r="AW46" s="11" t="n">
        <v>9000</v>
      </c>
      <c r="AX46" s="10" t="n"/>
      <c r="AY46" s="10" t="n">
        <v>9000</v>
      </c>
      <c r="AZ46" s="10" t="n">
        <v>9000</v>
      </c>
      <c r="BA46" s="11" t="n"/>
      <c r="BB46" s="11" t="n">
        <v>9000</v>
      </c>
      <c r="BC46" s="11" t="n">
        <v>9000</v>
      </c>
      <c r="BD46" s="10" t="n"/>
      <c r="BE46" s="10" t="n">
        <v>9000</v>
      </c>
      <c r="BF46" s="10" t="n">
        <v>9000</v>
      </c>
      <c r="BG46" s="11" t="n"/>
      <c r="BH46" s="11" t="n">
        <v>9000</v>
      </c>
      <c r="BI46" s="11" t="n">
        <v>9000</v>
      </c>
      <c r="BJ46" s="10" t="n"/>
      <c r="BK46" s="10" t="n">
        <v>9000</v>
      </c>
      <c r="BL46" s="10" t="n">
        <v>9000</v>
      </c>
      <c r="BM46" s="11" t="n"/>
      <c r="BN46" s="11" t="n">
        <v>9000</v>
      </c>
      <c r="BO46" s="11" t="n">
        <v>9000</v>
      </c>
      <c r="BP46" s="10" t="n"/>
      <c r="BQ46" s="10" t="n">
        <v>9000</v>
      </c>
      <c r="BR46" s="10" t="n">
        <v>9000</v>
      </c>
      <c r="BS46" s="11" t="n"/>
      <c r="BT46" s="11" t="n">
        <v>9000</v>
      </c>
      <c r="BU46" s="11" t="n">
        <v>9000</v>
      </c>
      <c r="BV46" s="10" t="n"/>
      <c r="BW46" s="10" t="n">
        <v>9000</v>
      </c>
      <c r="BX46" s="10" t="n">
        <v>9000</v>
      </c>
      <c r="BY46" s="11" t="n"/>
      <c r="BZ46" s="11" t="n">
        <v>9000</v>
      </c>
      <c r="CA46" s="11" t="n">
        <v>9000</v>
      </c>
      <c r="CB46" s="10" t="n"/>
      <c r="CC46" s="10" t="n">
        <v>9000</v>
      </c>
      <c r="CD46" s="10" t="n">
        <v>9000</v>
      </c>
      <c r="CE46" s="11" t="n"/>
      <c r="CF46" s="11" t="n">
        <v>9000</v>
      </c>
      <c r="CG46" s="11" t="n">
        <v>9000</v>
      </c>
      <c r="CH46" s="10" t="n"/>
      <c r="CI46" s="10" t="n">
        <v>9000</v>
      </c>
      <c r="CJ46" s="10" t="n">
        <v>9000</v>
      </c>
      <c r="CK46" s="11" t="n"/>
      <c r="CL46" s="11" t="n">
        <v>9000</v>
      </c>
      <c r="CM46" s="11" t="n">
        <v>9000</v>
      </c>
      <c r="CN46" s="10" t="n"/>
      <c r="CO46" s="10" t="n">
        <v>9000</v>
      </c>
      <c r="CP46" s="10" t="n">
        <v>9000</v>
      </c>
      <c r="CQ46" s="11" t="n"/>
      <c r="CR46" s="11" t="n">
        <v>9000</v>
      </c>
      <c r="CS46" s="11" t="n">
        <v>9000</v>
      </c>
      <c r="CT46" s="10" t="n"/>
      <c r="CU46" s="10" t="n">
        <v>9000</v>
      </c>
      <c r="CV46" s="10" t="n">
        <v>9000</v>
      </c>
      <c r="CW46" s="11" t="n"/>
      <c r="CX46" s="11" t="n">
        <v>9000</v>
      </c>
      <c r="CY46" s="11" t="n">
        <v>9000</v>
      </c>
      <c r="CZ46" s="10" t="n"/>
      <c r="DA46" s="10" t="n">
        <v>9000</v>
      </c>
      <c r="DB46" s="10" t="n">
        <v>9000</v>
      </c>
      <c r="DC46" s="11" t="n"/>
      <c r="DD46" s="11" t="n">
        <v>9000</v>
      </c>
      <c r="DE46" s="11" t="n">
        <v>9000</v>
      </c>
      <c r="DF46" s="10" t="n"/>
      <c r="DG46" s="10" t="n">
        <v>9000</v>
      </c>
      <c r="DH46" s="10" t="n">
        <v>9000</v>
      </c>
      <c r="DI46" s="11" t="n">
        <v>9000</v>
      </c>
      <c r="DJ46" s="11" t="n">
        <v>9000</v>
      </c>
      <c r="DK46" s="11" t="n">
        <v>9000</v>
      </c>
      <c r="DL46" s="10" t="n">
        <v>9000</v>
      </c>
      <c r="DM46" s="10" t="n">
        <v>9000</v>
      </c>
      <c r="DN46" s="10" t="n">
        <v>9000</v>
      </c>
    </row>
    <row r="47">
      <c r="A47" s="2" t="inlineStr">
        <is>
          <t>HR Manager</t>
        </is>
      </c>
      <c r="B47" s="10">
        <f>IF(COUNT(AR47,AO47,AL47,AI47,AF47,AC47,Z47,W47,T47,Q47,N47,K47)=0,"",SUM(AR47,AO47,AL47,AI47,AF47,AC47,Z47,W47,T47,Q47,N47,K47))</f>
        <v/>
      </c>
      <c r="C47" s="10">
        <f>IF(COUNT(AS47,AP47,AM47,AJ47,AG47,AD47,AA47,X47,U47,R47,O47,L47)=0,"",SUM(AS47,AP47,AM47,AJ47,AG47,AD47,AA47,X47,U47,R47,O47,L47))</f>
        <v/>
      </c>
      <c r="D47" s="10">
        <f>IF(COUNT(AT47,AQ47,AN47,AK47,AH47,AE47,AB47,Y47,V47,S47,P47,M47)=0,"",SUM(AT47,AQ47,AN47,AK47,AH47,AE47,AB47,Y47,V47,S47,P47,M47))</f>
        <v/>
      </c>
      <c r="E47" s="11">
        <f>IF(COUNT(CB47,BY47,BV47,BS47,BP47,BM47,BJ47,BG47,BD47,BA47,AX47,AU47)=0,"",SUM(CB47,BY47,BV47,BS47,BP47,BM47,BJ47,BG47,BD47,BA47,AX47,AU47))</f>
        <v/>
      </c>
      <c r="F47" s="11">
        <f>IF(COUNT(CC47,BZ47,BW47,BT47,BQ47,BN47,BK47,BH47,BE47,BB47,AY47,AV47)=0,"",SUM(CC47,BZ47,BW47,BT47,BQ47,BN47,BK47,BH47,BE47,BB47,AY47,AV47))</f>
        <v/>
      </c>
      <c r="G47" s="11">
        <f>IF(COUNT(CD47,CA47,BX47,BU47,BR47,BO47,BL47,BI47,BF47,BC47,AZ47,AW47)=0,"",SUM(CD47,CA47,BX47,BU47,BR47,BO47,BL47,BI47,BF47,BC47,AZ47,AW47))</f>
        <v/>
      </c>
      <c r="H47" s="10">
        <f>IF(COUNT(DL47,DI47,DF47,DC47,CZ47,CW47,CT47,CQ47,CN47,CK47,CH47,CE47)=0,"",SUM(DL47,DI47,DF47,DC47,CZ47,CW47,CT47,CQ47,CN47,CK47,CH47,CE47))</f>
        <v/>
      </c>
      <c r="I47" s="10">
        <f>IF(COUNT(DM47,DJ47,DG47,DD47,DA47,CX47,CU47,CR47,CO47,CL47,CI47,CF47)=0,"",SUM(DM47,DJ47,DG47,DD47,DA47,CX47,CU47,CR47,CO47,CL47,CI47,CF47))</f>
        <v/>
      </c>
      <c r="J47" s="10">
        <f>IF(COUNT(DN47,DK47,DH47,DE47,DB47,CY47,CV47,CS47,CP47,CM47,CJ47,CG47)=0,"",SUM(DN47,DK47,DH47,DE47,DB47,CY47,CV47,CS47,CP47,CM47,CJ47,CG47))</f>
        <v/>
      </c>
      <c r="K47" s="11" t="n"/>
      <c r="L47" s="11" t="n">
        <v>10000</v>
      </c>
      <c r="M47" s="11" t="n">
        <v>10000</v>
      </c>
      <c r="N47" s="10" t="n"/>
      <c r="O47" s="10" t="n">
        <v>10000</v>
      </c>
      <c r="P47" s="10" t="n">
        <v>10000</v>
      </c>
      <c r="Q47" s="11" t="n"/>
      <c r="R47" s="11" t="n">
        <v>10000</v>
      </c>
      <c r="S47" s="11" t="n">
        <v>10000</v>
      </c>
      <c r="T47" s="10" t="n"/>
      <c r="U47" s="10" t="n">
        <v>10000</v>
      </c>
      <c r="V47" s="10" t="n">
        <v>10000</v>
      </c>
      <c r="W47" s="11" t="n"/>
      <c r="X47" s="11" t="n">
        <v>10000</v>
      </c>
      <c r="Y47" s="11" t="n">
        <v>10000</v>
      </c>
      <c r="Z47" s="10" t="n"/>
      <c r="AA47" s="10" t="n">
        <v>10000</v>
      </c>
      <c r="AB47" s="10" t="n">
        <v>10000</v>
      </c>
      <c r="AC47" s="11" t="n"/>
      <c r="AD47" s="11" t="n">
        <v>10000</v>
      </c>
      <c r="AE47" s="11" t="n">
        <v>10000</v>
      </c>
      <c r="AF47" s="10" t="n"/>
      <c r="AG47" s="10" t="n">
        <v>10000</v>
      </c>
      <c r="AH47" s="10" t="n">
        <v>10000</v>
      </c>
      <c r="AI47" s="11" t="n"/>
      <c r="AJ47" s="11" t="n">
        <v>10000</v>
      </c>
      <c r="AK47" s="11" t="n">
        <v>10000</v>
      </c>
      <c r="AL47" s="10" t="n"/>
      <c r="AM47" s="10" t="n">
        <v>10000</v>
      </c>
      <c r="AN47" s="10" t="n">
        <v>10000</v>
      </c>
      <c r="AO47" s="11" t="n"/>
      <c r="AP47" s="11" t="n">
        <v>10000</v>
      </c>
      <c r="AQ47" s="11" t="n">
        <v>10000</v>
      </c>
      <c r="AR47" s="10" t="n"/>
      <c r="AS47" s="10" t="n">
        <v>10000</v>
      </c>
      <c r="AT47" s="10" t="n">
        <v>10000</v>
      </c>
      <c r="AU47" s="11" t="n"/>
      <c r="AV47" s="11" t="n">
        <v>10000</v>
      </c>
      <c r="AW47" s="11" t="n">
        <v>10000</v>
      </c>
      <c r="AX47" s="10" t="n"/>
      <c r="AY47" s="10" t="n">
        <v>10000</v>
      </c>
      <c r="AZ47" s="10" t="n">
        <v>10000</v>
      </c>
      <c r="BA47" s="11" t="n"/>
      <c r="BB47" s="11" t="n">
        <v>10000</v>
      </c>
      <c r="BC47" s="11" t="n">
        <v>10000</v>
      </c>
      <c r="BD47" s="10" t="n"/>
      <c r="BE47" s="10" t="n">
        <v>10000</v>
      </c>
      <c r="BF47" s="10" t="n">
        <v>10000</v>
      </c>
      <c r="BG47" s="11" t="n"/>
      <c r="BH47" s="11" t="n">
        <v>10000</v>
      </c>
      <c r="BI47" s="11" t="n">
        <v>10000</v>
      </c>
      <c r="BJ47" s="10" t="n"/>
      <c r="BK47" s="10" t="n">
        <v>10000</v>
      </c>
      <c r="BL47" s="10" t="n">
        <v>10000</v>
      </c>
      <c r="BM47" s="11" t="n"/>
      <c r="BN47" s="11" t="n">
        <v>10000</v>
      </c>
      <c r="BO47" s="11" t="n">
        <v>10000</v>
      </c>
      <c r="BP47" s="10" t="n"/>
      <c r="BQ47" s="10" t="n">
        <v>10000</v>
      </c>
      <c r="BR47" s="10" t="n">
        <v>10000</v>
      </c>
      <c r="BS47" s="11" t="n"/>
      <c r="BT47" s="11" t="n">
        <v>10000</v>
      </c>
      <c r="BU47" s="11" t="n">
        <v>10000</v>
      </c>
      <c r="BV47" s="10" t="n"/>
      <c r="BW47" s="10" t="n">
        <v>10000</v>
      </c>
      <c r="BX47" s="10" t="n">
        <v>10000</v>
      </c>
      <c r="BY47" s="11" t="n"/>
      <c r="BZ47" s="11" t="n">
        <v>10000</v>
      </c>
      <c r="CA47" s="11" t="n">
        <v>10000</v>
      </c>
      <c r="CB47" s="10" t="n"/>
      <c r="CC47" s="10" t="n">
        <v>10000</v>
      </c>
      <c r="CD47" s="10" t="n">
        <v>10000</v>
      </c>
      <c r="CE47" s="11" t="n"/>
      <c r="CF47" s="11" t="n">
        <v>10000</v>
      </c>
      <c r="CG47" s="11" t="n">
        <v>10000</v>
      </c>
      <c r="CH47" s="10" t="n"/>
      <c r="CI47" s="10" t="n">
        <v>10000</v>
      </c>
      <c r="CJ47" s="10" t="n">
        <v>10000</v>
      </c>
      <c r="CK47" s="11" t="n"/>
      <c r="CL47" s="11" t="n">
        <v>10000</v>
      </c>
      <c r="CM47" s="11" t="n">
        <v>10000</v>
      </c>
      <c r="CN47" s="10" t="n"/>
      <c r="CO47" s="10" t="n">
        <v>10000</v>
      </c>
      <c r="CP47" s="10" t="n">
        <v>10000</v>
      </c>
      <c r="CQ47" s="11" t="n"/>
      <c r="CR47" s="11" t="n">
        <v>10000</v>
      </c>
      <c r="CS47" s="11" t="n">
        <v>10000</v>
      </c>
      <c r="CT47" s="10" t="n"/>
      <c r="CU47" s="10" t="n">
        <v>10000</v>
      </c>
      <c r="CV47" s="10" t="n">
        <v>10000</v>
      </c>
      <c r="CW47" s="11" t="n"/>
      <c r="CX47" s="11" t="n">
        <v>10000</v>
      </c>
      <c r="CY47" s="11" t="n">
        <v>10000</v>
      </c>
      <c r="CZ47" s="10" t="n"/>
      <c r="DA47" s="10" t="n">
        <v>10000</v>
      </c>
      <c r="DB47" s="10" t="n">
        <v>10000</v>
      </c>
      <c r="DC47" s="11" t="n"/>
      <c r="DD47" s="11" t="n">
        <v>10000</v>
      </c>
      <c r="DE47" s="11" t="n">
        <v>10000</v>
      </c>
      <c r="DF47" s="10" t="n"/>
      <c r="DG47" s="10" t="n">
        <v>10000</v>
      </c>
      <c r="DH47" s="10" t="n">
        <v>10000</v>
      </c>
      <c r="DI47" s="11" t="n">
        <v>10000</v>
      </c>
      <c r="DJ47" s="11" t="n">
        <v>10000</v>
      </c>
      <c r="DK47" s="11" t="n">
        <v>10000</v>
      </c>
      <c r="DL47" s="10" t="n">
        <v>10000</v>
      </c>
      <c r="DM47" s="10" t="n">
        <v>10000</v>
      </c>
      <c r="DN47" s="10" t="n">
        <v>10000</v>
      </c>
    </row>
    <row r="48">
      <c r="A48" s="2" t="inlineStr">
        <is>
          <t>People Operations</t>
        </is>
      </c>
      <c r="B48" s="10">
        <f>IF(COUNT(AR48,AO48,AL48,AI48,AF48,AC48,Z48,W48,T48,Q48,N48,K48)=0,"",SUM(AR48,AO48,AL48,AI48,AF48,AC48,Z48,W48,T48,Q48,N48,K48))</f>
        <v/>
      </c>
      <c r="C48" s="10">
        <f>IF(COUNT(AS48,AP48,AM48,AJ48,AG48,AD48,AA48,X48,U48,R48,O48,L48)=0,"",SUM(AS48,AP48,AM48,AJ48,AG48,AD48,AA48,X48,U48,R48,O48,L48))</f>
        <v/>
      </c>
      <c r="D48" s="10">
        <f>IF(COUNT(AT48,AQ48,AN48,AK48,AH48,AE48,AB48,Y48,V48,S48,P48,M48)=0,"",SUM(AT48,AQ48,AN48,AK48,AH48,AE48,AB48,Y48,V48,S48,P48,M48))</f>
        <v/>
      </c>
      <c r="E48" s="11">
        <f>IF(COUNT(CB48,BY48,BV48,BS48,BP48,BM48,BJ48,BG48,BD48,BA48,AX48,AU48)=0,"",SUM(CB48,BY48,BV48,BS48,BP48,BM48,BJ48,BG48,BD48,BA48,AX48,AU48))</f>
        <v/>
      </c>
      <c r="F48" s="11">
        <f>IF(COUNT(CC48,BZ48,BW48,BT48,BQ48,BN48,BK48,BH48,BE48,BB48,AY48,AV48)=0,"",SUM(CC48,BZ48,BW48,BT48,BQ48,BN48,BK48,BH48,BE48,BB48,AY48,AV48))</f>
        <v/>
      </c>
      <c r="G48" s="11">
        <f>IF(COUNT(CD48,CA48,BX48,BU48,BR48,BO48,BL48,BI48,BF48,BC48,AZ48,AW48)=0,"",SUM(CD48,CA48,BX48,BU48,BR48,BO48,BL48,BI48,BF48,BC48,AZ48,AW48))</f>
        <v/>
      </c>
      <c r="H48" s="10">
        <f>IF(COUNT(DL48,DI48,DF48,DC48,CZ48,CW48,CT48,CQ48,CN48,CK48,CH48,CE48)=0,"",SUM(DL48,DI48,DF48,DC48,CZ48,CW48,CT48,CQ48,CN48,CK48,CH48,CE48))</f>
        <v/>
      </c>
      <c r="I48" s="10">
        <f>IF(COUNT(DM48,DJ48,DG48,DD48,DA48,CX48,CU48,CR48,CO48,CL48,CI48,CF48)=0,"",SUM(DM48,DJ48,DG48,DD48,DA48,CX48,CU48,CR48,CO48,CL48,CI48,CF48))</f>
        <v/>
      </c>
      <c r="J48" s="10">
        <f>IF(COUNT(DN48,DK48,DH48,DE48,DB48,CY48,CV48,CS48,CP48,CM48,CJ48,CG48)=0,"",SUM(DN48,DK48,DH48,DE48,DB48,CY48,CV48,CS48,CP48,CM48,CJ48,CG48))</f>
        <v/>
      </c>
      <c r="K48" s="11" t="n"/>
      <c r="L48" s="11" t="n">
        <v>7000</v>
      </c>
      <c r="M48" s="11" t="n">
        <v>7000</v>
      </c>
      <c r="N48" s="10" t="n"/>
      <c r="O48" s="10" t="n">
        <v>7000</v>
      </c>
      <c r="P48" s="10" t="n">
        <v>7000</v>
      </c>
      <c r="Q48" s="11" t="n"/>
      <c r="R48" s="11" t="n">
        <v>7000</v>
      </c>
      <c r="S48" s="11" t="n">
        <v>7000</v>
      </c>
      <c r="T48" s="10" t="n"/>
      <c r="U48" s="10" t="n">
        <v>7000</v>
      </c>
      <c r="V48" s="10" t="n">
        <v>7000</v>
      </c>
      <c r="W48" s="11" t="n"/>
      <c r="X48" s="11" t="n">
        <v>7000</v>
      </c>
      <c r="Y48" s="11" t="n">
        <v>7000</v>
      </c>
      <c r="Z48" s="10" t="n"/>
      <c r="AA48" s="10" t="n">
        <v>7000</v>
      </c>
      <c r="AB48" s="10" t="n">
        <v>7000</v>
      </c>
      <c r="AC48" s="11" t="n"/>
      <c r="AD48" s="11" t="n">
        <v>7000</v>
      </c>
      <c r="AE48" s="11" t="n">
        <v>7000</v>
      </c>
      <c r="AF48" s="10" t="n"/>
      <c r="AG48" s="10" t="n">
        <v>7000</v>
      </c>
      <c r="AH48" s="10" t="n">
        <v>7000</v>
      </c>
      <c r="AI48" s="11" t="n"/>
      <c r="AJ48" s="11" t="n">
        <v>7000</v>
      </c>
      <c r="AK48" s="11" t="n">
        <v>7000</v>
      </c>
      <c r="AL48" s="10" t="n"/>
      <c r="AM48" s="10" t="n">
        <v>7000</v>
      </c>
      <c r="AN48" s="10" t="n">
        <v>7000</v>
      </c>
      <c r="AO48" s="11" t="n"/>
      <c r="AP48" s="11" t="n">
        <v>7000</v>
      </c>
      <c r="AQ48" s="11" t="n">
        <v>7000</v>
      </c>
      <c r="AR48" s="10" t="n"/>
      <c r="AS48" s="10" t="n">
        <v>7000</v>
      </c>
      <c r="AT48" s="10" t="n">
        <v>7000</v>
      </c>
      <c r="AU48" s="11" t="n"/>
      <c r="AV48" s="11" t="n">
        <v>7000</v>
      </c>
      <c r="AW48" s="11" t="n">
        <v>7000</v>
      </c>
      <c r="AX48" s="10" t="n"/>
      <c r="AY48" s="10" t="n">
        <v>7000</v>
      </c>
      <c r="AZ48" s="10" t="n">
        <v>7000</v>
      </c>
      <c r="BA48" s="11" t="n"/>
      <c r="BB48" s="11" t="n">
        <v>7000</v>
      </c>
      <c r="BC48" s="11" t="n">
        <v>7000</v>
      </c>
      <c r="BD48" s="10" t="n"/>
      <c r="BE48" s="10" t="n">
        <v>7000</v>
      </c>
      <c r="BF48" s="10" t="n">
        <v>7000</v>
      </c>
      <c r="BG48" s="11" t="n"/>
      <c r="BH48" s="11" t="n">
        <v>7000</v>
      </c>
      <c r="BI48" s="11" t="n">
        <v>7000</v>
      </c>
      <c r="BJ48" s="10" t="n"/>
      <c r="BK48" s="10" t="n">
        <v>7000</v>
      </c>
      <c r="BL48" s="10" t="n">
        <v>7000</v>
      </c>
      <c r="BM48" s="11" t="n"/>
      <c r="BN48" s="11" t="n">
        <v>7000</v>
      </c>
      <c r="BO48" s="11" t="n">
        <v>7000</v>
      </c>
      <c r="BP48" s="35" t="n"/>
      <c r="BQ48" s="35" t="n"/>
      <c r="BR48" s="35" t="n"/>
      <c r="BV48" s="35" t="n"/>
      <c r="BW48" s="35" t="n"/>
      <c r="BX48" s="35" t="n"/>
      <c r="CB48" s="35" t="n"/>
      <c r="CC48" s="35" t="n"/>
      <c r="CD48" s="35" t="n"/>
      <c r="CH48" s="35" t="n"/>
      <c r="CI48" s="35" t="n"/>
      <c r="CJ48" s="35" t="n"/>
      <c r="CN48" s="35" t="n"/>
      <c r="CO48" s="35" t="n"/>
      <c r="CP48" s="35" t="n"/>
      <c r="CT48" s="35" t="n"/>
      <c r="CU48" s="35" t="n"/>
      <c r="CV48" s="35" t="n"/>
      <c r="CZ48" s="35" t="n"/>
      <c r="DA48" s="35" t="n"/>
      <c r="DB48" s="35" t="n"/>
      <c r="DF48" s="35" t="n"/>
      <c r="DG48" s="35" t="n"/>
      <c r="DH48" s="35" t="n"/>
      <c r="DL48" s="35" t="n"/>
      <c r="DM48" s="35" t="n"/>
      <c r="DN48" s="35" t="n"/>
    </row>
    <row r="49">
      <c r="A49" s="12" t="inlineStr">
        <is>
          <t>Total People Cost</t>
        </is>
      </c>
      <c r="B49" s="13">
        <f>IF(COUNT(AR49,AO49,AL49,AI49,AF49,AC49,Z49,W49,T49,Q49,N49,K49)=0,"",SUM(AR49,AO49,AL49,AI49,AF49,AC49,Z49,W49,T49,Q49,N49,K49))</f>
        <v/>
      </c>
      <c r="C49" s="13">
        <f>IF(COUNT(AS49,AP49,AM49,AJ49,AG49,AD49,AA49,X49,U49,R49,O49,L49)=0,"",SUM(AS49,AP49,AM49,AJ49,AG49,AD49,AA49,X49,U49,R49,O49,L49))</f>
        <v/>
      </c>
      <c r="D49" s="13">
        <f>IF(COUNT(AT49,AQ49,AN49,AK49,AH49,AE49,AB49,Y49,V49,S49,P49,M49)=0,"",SUM(AT49,AQ49,AN49,AK49,AH49,AE49,AB49,Y49,V49,S49,P49,M49))</f>
        <v/>
      </c>
      <c r="E49" s="14">
        <f>IF(COUNT(CB49,BY49,BV49,BS49,BP49,BM49,BJ49,BG49,BD49,BA49,AX49,AU49)=0,"",SUM(CB49,BY49,BV49,BS49,BP49,BM49,BJ49,BG49,BD49,BA49,AX49,AU49))</f>
        <v/>
      </c>
      <c r="F49" s="14">
        <f>IF(COUNT(CC49,BZ49,BW49,BT49,BQ49,BN49,BK49,BH49,BE49,BB49,AY49,AV49)=0,"",SUM(CC49,BZ49,BW49,BT49,BQ49,BN49,BK49,BH49,BE49,BB49,AY49,AV49))</f>
        <v/>
      </c>
      <c r="G49" s="14">
        <f>IF(COUNT(CD49,CA49,BX49,BU49,BR49,BO49,BL49,BI49,BF49,BC49,AZ49,AW49)=0,"",SUM(CD49,CA49,BX49,BU49,BR49,BO49,BL49,BI49,BF49,BC49,AZ49,AW49))</f>
        <v/>
      </c>
      <c r="H49" s="13">
        <f>IF(COUNT(DL49,DI49,DF49,DC49,CZ49,CW49,CT49,CQ49,CN49,CK49,CH49,CE49)=0,"",SUM(DL49,DI49,DF49,DC49,CZ49,CW49,CT49,CQ49,CN49,CK49,CH49,CE49))</f>
        <v/>
      </c>
      <c r="I49" s="13">
        <f>IF(COUNT(DM49,DJ49,DG49,DD49,DA49,CX49,CU49,CR49,CO49,CL49,CI49,CF49)=0,"",SUM(DM49,DJ49,DG49,DD49,DA49,CX49,CU49,CR49,CO49,CL49,CI49,CF49))</f>
        <v/>
      </c>
      <c r="J49" s="13">
        <f>IF(COUNT(DN49,DK49,DH49,DE49,DB49,CY49,CV49,CS49,CP49,CM49,CJ49,CG49)=0,"",SUM(DN49,DK49,DH49,DE49,DB49,CY49,CV49,CS49,CP49,CM49,CJ49,CG49))</f>
        <v/>
      </c>
      <c r="K49" s="14">
        <f>IF(COUNT(K41,K42,K43,K44,K45,K46,K47,K48)=0,"",SUM(K41:K48))</f>
        <v/>
      </c>
      <c r="L49" s="14">
        <f>SUM(L41:L48)</f>
        <v/>
      </c>
      <c r="M49" s="14">
        <f>SUM(M41:M48)</f>
        <v/>
      </c>
      <c r="N49" s="13">
        <f>IF(COUNT(N41,N42,N43,N44,N45,N46,N47,N48)=0,"",SUM(N41:N48))</f>
        <v/>
      </c>
      <c r="O49" s="13">
        <f>SUM(O41:O48)</f>
        <v/>
      </c>
      <c r="P49" s="13">
        <f>SUM(P41:P48)</f>
        <v/>
      </c>
      <c r="Q49" s="14">
        <f>IF(COUNT(Q41,Q42,Q43,Q44,Q45,Q46,Q47,Q48)=0,"",SUM(Q41:Q48))</f>
        <v/>
      </c>
      <c r="R49" s="14">
        <f>SUM(R41:R48)</f>
        <v/>
      </c>
      <c r="S49" s="14">
        <f>SUM(S41:S48)</f>
        <v/>
      </c>
      <c r="T49" s="13">
        <f>IF(COUNT(T41,T42,T43,T44,T45,T46,T47,T48)=0,"",SUM(T41:T48))</f>
        <v/>
      </c>
      <c r="U49" s="13">
        <f>SUM(U41:U48)</f>
        <v/>
      </c>
      <c r="V49" s="13">
        <f>SUM(V41:V48)</f>
        <v/>
      </c>
      <c r="W49" s="14">
        <f>IF(COUNT(W41,W42,W43,W44,W45,W46,W47,W48)=0,"",SUM(W41:W48))</f>
        <v/>
      </c>
      <c r="X49" s="14">
        <f>SUM(X41:X48)</f>
        <v/>
      </c>
      <c r="Y49" s="14">
        <f>SUM(Y41:Y48)</f>
        <v/>
      </c>
      <c r="Z49" s="13">
        <f>IF(COUNT(Z41,Z42,Z43,Z44,Z45,Z46,Z47,Z48)=0,"",SUM(Z41:Z48))</f>
        <v/>
      </c>
      <c r="AA49" s="13">
        <f>SUM(AA41:AA48)</f>
        <v/>
      </c>
      <c r="AB49" s="13">
        <f>SUM(AB41:AB48)</f>
        <v/>
      </c>
      <c r="AC49" s="14">
        <f>IF(COUNT(AC41,AC42,AC43,AC44,AC45,AC46,AC47,AC48)=0,"",SUM(AC41:AC48))</f>
        <v/>
      </c>
      <c r="AD49" s="14">
        <f>SUM(AD41:AD48)</f>
        <v/>
      </c>
      <c r="AE49" s="14">
        <f>SUM(AE41:AE48)</f>
        <v/>
      </c>
      <c r="AF49" s="13">
        <f>IF(COUNT(AF41,AF42,AF43,AF44,AF45,AF46,AF47,AF48)=0,"",SUM(AF41:AF48))</f>
        <v/>
      </c>
      <c r="AG49" s="13">
        <f>SUM(AG41:AG48)</f>
        <v/>
      </c>
      <c r="AH49" s="13">
        <f>SUM(AH41:AH48)</f>
        <v/>
      </c>
      <c r="AI49" s="14">
        <f>IF(COUNT(AI41,AI42,AI43,AI44,AI45,AI46,AI47,AI48)=0,"",SUM(AI41:AI48))</f>
        <v/>
      </c>
      <c r="AJ49" s="14">
        <f>SUM(AJ41:AJ48)</f>
        <v/>
      </c>
      <c r="AK49" s="14">
        <f>SUM(AK41:AK48)</f>
        <v/>
      </c>
      <c r="AL49" s="13">
        <f>IF(COUNT(AL41,AL42,AL43,AL44,AL45,AL46,AL47,AL48)=0,"",SUM(AL41:AL48))</f>
        <v/>
      </c>
      <c r="AM49" s="13">
        <f>SUM(AM41:AM48)</f>
        <v/>
      </c>
      <c r="AN49" s="13">
        <f>SUM(AN41:AN48)</f>
        <v/>
      </c>
      <c r="AO49" s="14">
        <f>IF(COUNT(AO41,AO42,AO43,AO44,AO45,AO46,AO47,AO48)=0,"",SUM(AO41:AO48))</f>
        <v/>
      </c>
      <c r="AP49" s="14">
        <f>SUM(AP41:AP48)</f>
        <v/>
      </c>
      <c r="AQ49" s="14">
        <f>SUM(AQ41:AQ48)</f>
        <v/>
      </c>
      <c r="AR49" s="13">
        <f>IF(COUNT(AR41,AR42,AR43,AR44,AR45,AR46,AR47,AR48)=0,"",SUM(AR41:AR48))</f>
        <v/>
      </c>
      <c r="AS49" s="13">
        <f>SUM(AS41:AS48)</f>
        <v/>
      </c>
      <c r="AT49" s="13">
        <f>SUM(AT41:AT48)</f>
        <v/>
      </c>
      <c r="AU49" s="14">
        <f>IF(COUNT(AU41,AU42,AU43,AU44,AU45,AU46,AU47,AU48)=0,"",SUM(AU41:AU48))</f>
        <v/>
      </c>
      <c r="AV49" s="14">
        <f>SUM(AV41:AV48)</f>
        <v/>
      </c>
      <c r="AW49" s="14">
        <f>SUM(AW41:AW48)</f>
        <v/>
      </c>
      <c r="AX49" s="13">
        <f>IF(COUNT(AX41,AX42,AX43,AX44,AX45,AX46,AX47,AX48)=0,"",SUM(AX41:AX48))</f>
        <v/>
      </c>
      <c r="AY49" s="13">
        <f>SUM(AY41:AY48)</f>
        <v/>
      </c>
      <c r="AZ49" s="13">
        <f>SUM(AZ41:AZ48)</f>
        <v/>
      </c>
      <c r="BA49" s="14">
        <f>IF(COUNT(BA41,BA42,BA43,BA44,BA45,BA46,BA47,BA48)=0,"",SUM(BA41:BA48))</f>
        <v/>
      </c>
      <c r="BB49" s="14">
        <f>SUM(BB41:BB48)</f>
        <v/>
      </c>
      <c r="BC49" s="14">
        <f>SUM(BC41:BC48)</f>
        <v/>
      </c>
      <c r="BD49" s="13">
        <f>IF(COUNT(BD41,BD42,BD43,BD44,BD45,BD46,BD47,BD48)=0,"",SUM(BD41:BD48))</f>
        <v/>
      </c>
      <c r="BE49" s="13">
        <f>SUM(BE41:BE48)</f>
        <v/>
      </c>
      <c r="BF49" s="13">
        <f>SUM(BF41:BF48)</f>
        <v/>
      </c>
      <c r="BG49" s="14">
        <f>IF(COUNT(BG41,BG42,BG43,BG44,BG45,BG46,BG47,BG48)=0,"",SUM(BG41:BG48))</f>
        <v/>
      </c>
      <c r="BH49" s="14">
        <f>SUM(BH41:BH48)</f>
        <v/>
      </c>
      <c r="BI49" s="14">
        <f>SUM(BI41:BI48)</f>
        <v/>
      </c>
      <c r="BJ49" s="13">
        <f>IF(COUNT(BJ41,BJ42,BJ43,BJ44,BJ45,BJ46,BJ47,BJ48)=0,"",SUM(BJ41:BJ48))</f>
        <v/>
      </c>
      <c r="BK49" s="13">
        <f>SUM(BK41:BK48)</f>
        <v/>
      </c>
      <c r="BL49" s="13">
        <f>SUM(BL41:BL48)</f>
        <v/>
      </c>
      <c r="BM49" s="14">
        <f>IF(COUNT(BM41,BM42,BM43,BM44,BM45,BM46,BM47,BM48)=0,"",SUM(BM41:BM48))</f>
        <v/>
      </c>
      <c r="BN49" s="14">
        <f>SUM(BN41:BN48)</f>
        <v/>
      </c>
      <c r="BO49" s="14">
        <f>SUM(BO41:BO48)</f>
        <v/>
      </c>
      <c r="BP49" s="13">
        <f>IF(COUNT(BP41,BP42,BP43,BP44,BP45,BP46,BP47)=0,"",SUM(BP41:BP48))</f>
        <v/>
      </c>
      <c r="BQ49" s="13">
        <f>SUM(BQ41:BQ48)</f>
        <v/>
      </c>
      <c r="BR49" s="13">
        <f>SUM(BR41:BR48)</f>
        <v/>
      </c>
      <c r="BS49" s="14">
        <f>IF(COUNT(BS41,BS42,BS43,BS44,BS45,BS46,BS47)=0,"",SUM(BS41:BS48))</f>
        <v/>
      </c>
      <c r="BT49" s="14">
        <f>SUM(BT41:BT48)</f>
        <v/>
      </c>
      <c r="BU49" s="14">
        <f>SUM(BU41:BU48)</f>
        <v/>
      </c>
      <c r="BV49" s="13">
        <f>IF(COUNT(BV41,BV42,BV43,BV44,BV45,BV46,BV47)=0,"",SUM(BV41:BV48))</f>
        <v/>
      </c>
      <c r="BW49" s="13">
        <f>SUM(BW41:BW48)</f>
        <v/>
      </c>
      <c r="BX49" s="13">
        <f>SUM(BX41:BX48)</f>
        <v/>
      </c>
      <c r="BY49" s="14">
        <f>IF(COUNT(BY41,BY42,BY43,BY44,BY45,BY46,BY47)=0,"",SUM(BY41:BY48))</f>
        <v/>
      </c>
      <c r="BZ49" s="14">
        <f>SUM(BZ41:BZ48)</f>
        <v/>
      </c>
      <c r="CA49" s="14">
        <f>SUM(CA41:CA48)</f>
        <v/>
      </c>
      <c r="CB49" s="13">
        <f>IF(COUNT(CB41,CB42,CB43,CB44,CB45,CB46,CB47)=0,"",SUM(CB41:CB48))</f>
        <v/>
      </c>
      <c r="CC49" s="13">
        <f>SUM(CC41:CC48)</f>
        <v/>
      </c>
      <c r="CD49" s="13">
        <f>SUM(CD41:CD48)</f>
        <v/>
      </c>
      <c r="CE49" s="14">
        <f>IF(COUNT(CE41,CE42,CE43,CE44,CE45,CE46,CE47)=0,"",SUM(CE41:CE48))</f>
        <v/>
      </c>
      <c r="CF49" s="14">
        <f>SUM(CF41:CF48)</f>
        <v/>
      </c>
      <c r="CG49" s="14">
        <f>SUM(CG41:CG48)</f>
        <v/>
      </c>
      <c r="CH49" s="13">
        <f>IF(COUNT(CH41,CH42,CH43,CH44,CH45,CH46,CH47)=0,"",SUM(CH41:CH48))</f>
        <v/>
      </c>
      <c r="CI49" s="13">
        <f>SUM(CI41:CI48)</f>
        <v/>
      </c>
      <c r="CJ49" s="13">
        <f>SUM(CJ41:CJ48)</f>
        <v/>
      </c>
      <c r="CK49" s="14">
        <f>IF(COUNT(CK41,CK42,CK43,CK44,CK45,CK46,CK47)=0,"",SUM(CK41:CK48))</f>
        <v/>
      </c>
      <c r="CL49" s="14">
        <f>SUM(CL41:CL48)</f>
        <v/>
      </c>
      <c r="CM49" s="14">
        <f>SUM(CM41:CM48)</f>
        <v/>
      </c>
      <c r="CN49" s="13">
        <f>IF(COUNT(CN41,CN42,CN43,CN44,CN45,CN46,CN47)=0,"",SUM(CN41:CN48))</f>
        <v/>
      </c>
      <c r="CO49" s="13">
        <f>SUM(CO41:CO48)</f>
        <v/>
      </c>
      <c r="CP49" s="13">
        <f>SUM(CP41:CP48)</f>
        <v/>
      </c>
      <c r="CQ49" s="14">
        <f>IF(COUNT(CQ41,CQ42,CQ43,CQ44,CQ45,CQ46,CQ47)=0,"",SUM(CQ41:CQ48))</f>
        <v/>
      </c>
      <c r="CR49" s="14">
        <f>SUM(CR41:CR48)</f>
        <v/>
      </c>
      <c r="CS49" s="14">
        <f>SUM(CS41:CS48)</f>
        <v/>
      </c>
      <c r="CT49" s="13">
        <f>IF(COUNT(CT41,CT42,CT43,CT44,CT45,CT46,CT47)=0,"",SUM(CT41:CT48))</f>
        <v/>
      </c>
      <c r="CU49" s="13">
        <f>SUM(CU41:CU48)</f>
        <v/>
      </c>
      <c r="CV49" s="13">
        <f>SUM(CV41:CV48)</f>
        <v/>
      </c>
      <c r="CW49" s="14">
        <f>IF(COUNT(CW41,CW42,CW43,CW44,CW45,CW46,CW47)=0,"",SUM(CW41:CW48))</f>
        <v/>
      </c>
      <c r="CX49" s="14">
        <f>SUM(CX41:CX48)</f>
        <v/>
      </c>
      <c r="CY49" s="14">
        <f>SUM(CY41:CY48)</f>
        <v/>
      </c>
      <c r="CZ49" s="13">
        <f>IF(COUNT(CZ41,CZ42,CZ43,CZ44,CZ45,CZ46,CZ47)=0,"",SUM(CZ41:CZ48))</f>
        <v/>
      </c>
      <c r="DA49" s="13">
        <f>SUM(DA41:DA48)</f>
        <v/>
      </c>
      <c r="DB49" s="13">
        <f>SUM(DB41:DB48)</f>
        <v/>
      </c>
      <c r="DC49" s="14">
        <f>IF(COUNT(DC41,DC42,DC43,DC44,DC45,DC46,DC47)=0,"",SUM(DC41:DC48))</f>
        <v/>
      </c>
      <c r="DD49" s="14">
        <f>SUM(DD41:DD48)</f>
        <v/>
      </c>
      <c r="DE49" s="14">
        <f>SUM(DE41:DE48)</f>
        <v/>
      </c>
      <c r="DF49" s="13">
        <f>IF(COUNT(DF41,DF42,DF43,DF44,DF45,DF46,DF47)=0,"",SUM(DF41:DF48))</f>
        <v/>
      </c>
      <c r="DG49" s="13">
        <f>SUM(DG41:DG48)</f>
        <v/>
      </c>
      <c r="DH49" s="13">
        <f>SUM(DH41:DH48)</f>
        <v/>
      </c>
      <c r="DI49" s="14">
        <f>IF(COUNT(DI41,DI42,DI43,DI44,DI45,DI46,DI47)=0,"",SUM(DI41:DI48))</f>
        <v/>
      </c>
      <c r="DJ49" s="14">
        <f>SUM(DJ41:DJ48)</f>
        <v/>
      </c>
      <c r="DK49" s="14">
        <f>SUM(DK41:DK48)</f>
        <v/>
      </c>
      <c r="DL49" s="13">
        <f>IF(COUNT(DL41,DL42,DL43,DL44,DL45,DL46,DL47)=0,"",SUM(DL41:DL48))</f>
        <v/>
      </c>
      <c r="DM49" s="13">
        <f>SUM(DM41:DM48)</f>
        <v/>
      </c>
      <c r="DN49" s="13">
        <f>SUM(DN41:DN48)</f>
        <v/>
      </c>
    </row>
    <row r="50">
      <c r="A50" s="2" t="inlineStr">
        <is>
          <t>Headcount</t>
        </is>
      </c>
      <c r="B50" s="21">
        <f>IF(K50&lt;&gt;"",K50,IF(N50&lt;&gt;"",N50,IF(Q50&lt;&gt;"",Q50,IF(T50&lt;&gt;"",T50,IF(W50&lt;&gt;"",W50,IF(Z50&lt;&gt;"",Z50,IF(AC50&lt;&gt;"",AC50,IF(AF50&lt;&gt;"",AF50,IF(AI50&lt;&gt;"",AI50,IF(AL50&lt;&gt;"",AL50,IF(AO50&lt;&gt;"",AO50,IF(AR50&lt;&gt;"",AR50,""))))))))))))</f>
        <v/>
      </c>
      <c r="C50" s="21">
        <f>IF(L50&lt;&gt;"",L50,IF(O50&lt;&gt;"",O50,IF(R50&lt;&gt;"",R50,IF(U50&lt;&gt;"",U50,IF(X50&lt;&gt;"",X50,IF(AA50&lt;&gt;"",AA50,IF(AD50&lt;&gt;"",AD50,IF(AG50&lt;&gt;"",AG50,IF(AJ50&lt;&gt;"",AJ50,IF(AM50&lt;&gt;"",AM50,IF(AP50&lt;&gt;"",AP50,IF(AS50&lt;&gt;"",AS50,""))))))))))))</f>
        <v/>
      </c>
      <c r="D50" s="21">
        <f>IF(M50&lt;&gt;"",M50,IF(P50&lt;&gt;"",P50,IF(S50&lt;&gt;"",S50,IF(V50&lt;&gt;"",V50,IF(Y50&lt;&gt;"",Y50,IF(AB50&lt;&gt;"",AB50,IF(AE50&lt;&gt;"",AE50,IF(AH50&lt;&gt;"",AH50,IF(AK50&lt;&gt;"",AK50,IF(AN50&lt;&gt;"",AN50,IF(AQ50&lt;&gt;"",AQ50,IF(AT50&lt;&gt;"",AT50,""))))))))))))</f>
        <v/>
      </c>
      <c r="E50" s="2">
        <f>IF(AU50&lt;&gt;"",AU50,IF(AX50&lt;&gt;"",AX50,IF(BA50&lt;&gt;"",BA50,IF(BD50&lt;&gt;"",BD50,IF(BG50&lt;&gt;"",BG50,IF(BJ50&lt;&gt;"",BJ50,IF(BM50&lt;&gt;"",BM50,IF(BP50&lt;&gt;"",BP50,IF(BS50&lt;&gt;"",BS50,IF(BV50&lt;&gt;"",BV50,IF(BY50&lt;&gt;"",BY50,IF(CB50&lt;&gt;"",CB50,""))))))))))))</f>
        <v/>
      </c>
      <c r="F50" s="2">
        <f>IF(AV50&lt;&gt;"",AV50,IF(AY50&lt;&gt;"",AY50,IF(BB50&lt;&gt;"",BB50,IF(BE50&lt;&gt;"",BE50,IF(BH50&lt;&gt;"",BH50,IF(BK50&lt;&gt;"",BK50,IF(BN50&lt;&gt;"",BN50,IF(BQ50&lt;&gt;"",BQ50,IF(BT50&lt;&gt;"",BT50,IF(BW50&lt;&gt;"",BW50,IF(BZ50&lt;&gt;"",BZ50,IF(CC50&lt;&gt;"",CC50,""))))))))))))</f>
        <v/>
      </c>
      <c r="G50" s="2">
        <f>IF(AW50&lt;&gt;"",AW50,IF(AZ50&lt;&gt;"",AZ50,IF(BC50&lt;&gt;"",BC50,IF(BF50&lt;&gt;"",BF50,IF(BI50&lt;&gt;"",BI50,IF(BL50&lt;&gt;"",BL50,IF(BO50&lt;&gt;"",BO50,IF(BR50&lt;&gt;"",BR50,IF(BU50&lt;&gt;"",BU50,IF(BX50&lt;&gt;"",BX50,IF(CA50&lt;&gt;"",CA50,IF(CD50&lt;&gt;"",CD50,""))))))))))))</f>
        <v/>
      </c>
      <c r="H50" s="21">
        <f>IF(CE50&lt;&gt;"",CE50,IF(CH50&lt;&gt;"",CH50,IF(CK50&lt;&gt;"",CK50,IF(CN50&lt;&gt;"",CN50,IF(CQ50&lt;&gt;"",CQ50,IF(CT50&lt;&gt;"",CT50,IF(CW50&lt;&gt;"",CW50,IF(CZ50&lt;&gt;"",CZ50,IF(DC50&lt;&gt;"",DC50,IF(DF50&lt;&gt;"",DF50,IF(DI50&lt;&gt;"",DI50,IF(DL50&lt;&gt;"",DL50,""))))))))))))</f>
        <v/>
      </c>
      <c r="I50" s="21">
        <f>IF(CF50&lt;&gt;"",CF50,IF(CI50&lt;&gt;"",CI50,IF(CL50&lt;&gt;"",CL50,IF(CO50&lt;&gt;"",CO50,IF(CR50&lt;&gt;"",CR50,IF(CU50&lt;&gt;"",CU50,IF(CX50&lt;&gt;"",CX50,IF(DA50&lt;&gt;"",DA50,IF(DD50&lt;&gt;"",DD50,IF(DG50&lt;&gt;"",DG50,IF(DJ50&lt;&gt;"",DJ50,IF(DM50&lt;&gt;"",DM50,""))))))))))))</f>
        <v/>
      </c>
      <c r="J50" s="21">
        <f>IF(CG50&lt;&gt;"",CG50,IF(CJ50&lt;&gt;"",CJ50,IF(CM50&lt;&gt;"",CM50,IF(CP50&lt;&gt;"",CP50,IF(CS50&lt;&gt;"",CS50,IF(CV50&lt;&gt;"",CV50,IF(CY50&lt;&gt;"",CY50,IF(DB50&lt;&gt;"",DB50,IF(DE50&lt;&gt;"",DE50,IF(DH50&lt;&gt;"",DH50,IF(DK50&lt;&gt;"",DK50,IF(DN50&lt;&gt;"",DN50,""))))))))))))</f>
        <v/>
      </c>
      <c r="K50" s="2">
        <f>IF(COUNT(K41,K42,K43,K44,K45,K46,K47,K48)=0,"",COUNT(K41:K48))</f>
        <v/>
      </c>
      <c r="L50" s="2">
        <f>COUNT(L41:L48)</f>
        <v/>
      </c>
      <c r="M50" s="2">
        <f>COUNT(M41:M48)</f>
        <v/>
      </c>
      <c r="N50" s="21">
        <f>IF(COUNT(N41,N42,N43,N44,N45,N46,N47,N48)=0,"",COUNT(N41:N48))</f>
        <v/>
      </c>
      <c r="O50" s="21">
        <f>COUNT(O41:O48)</f>
        <v/>
      </c>
      <c r="P50" s="21">
        <f>COUNT(P41:P48)</f>
        <v/>
      </c>
      <c r="Q50" s="2">
        <f>IF(COUNT(Q41,Q42,Q43,Q44,Q45,Q46,Q47,Q48)=0,"",COUNT(Q41:Q48))</f>
        <v/>
      </c>
      <c r="R50" s="2">
        <f>COUNT(R41:R48)</f>
        <v/>
      </c>
      <c r="S50" s="2">
        <f>COUNT(S41:S48)</f>
        <v/>
      </c>
      <c r="T50" s="21">
        <f>IF(COUNT(T41,T42,T43,T44,T45,T46,T47,T48)=0,"",COUNT(T41:T48))</f>
        <v/>
      </c>
      <c r="U50" s="21">
        <f>COUNT(U41:U48)</f>
        <v/>
      </c>
      <c r="V50" s="21">
        <f>COUNT(V41:V48)</f>
        <v/>
      </c>
      <c r="W50" s="2">
        <f>IF(COUNT(W41,W42,W43,W44,W45,W46,W47,W48)=0,"",COUNT(W41:W48))</f>
        <v/>
      </c>
      <c r="X50" s="2">
        <f>COUNT(X41:X48)</f>
        <v/>
      </c>
      <c r="Y50" s="2">
        <f>COUNT(Y41:Y48)</f>
        <v/>
      </c>
      <c r="Z50" s="21">
        <f>IF(COUNT(Z41,Z42,Z43,Z44,Z45,Z46,Z47,Z48)=0,"",COUNT(Z41:Z48))</f>
        <v/>
      </c>
      <c r="AA50" s="21">
        <f>COUNT(AA41:AA48)</f>
        <v/>
      </c>
      <c r="AB50" s="21">
        <f>COUNT(AB41:AB48)</f>
        <v/>
      </c>
      <c r="AC50" s="2">
        <f>IF(COUNT(AC41,AC42,AC43,AC44,AC45,AC46,AC47,AC48)=0,"",COUNT(AC41:AC48))</f>
        <v/>
      </c>
      <c r="AD50" s="2">
        <f>COUNT(AD41:AD48)</f>
        <v/>
      </c>
      <c r="AE50" s="2">
        <f>COUNT(AE41:AE48)</f>
        <v/>
      </c>
      <c r="AF50" s="21">
        <f>IF(COUNT(AF41,AF42,AF43,AF44,AF45,AF46,AF47,AF48)=0,"",COUNT(AF41:AF48))</f>
        <v/>
      </c>
      <c r="AG50" s="21">
        <f>COUNT(AG41:AG48)</f>
        <v/>
      </c>
      <c r="AH50" s="21">
        <f>COUNT(AH41:AH48)</f>
        <v/>
      </c>
      <c r="AI50" s="2">
        <f>IF(COUNT(AI41,AI42,AI43,AI44,AI45,AI46,AI47,AI48)=0,"",COUNT(AI41:AI48))</f>
        <v/>
      </c>
      <c r="AJ50" s="2">
        <f>COUNT(AJ41:AJ48)</f>
        <v/>
      </c>
      <c r="AK50" s="2">
        <f>COUNT(AK41:AK48)</f>
        <v/>
      </c>
      <c r="AL50" s="21">
        <f>IF(COUNT(AL41,AL42,AL43,AL44,AL45,AL46,AL47,AL48)=0,"",COUNT(AL41:AL48))</f>
        <v/>
      </c>
      <c r="AM50" s="21">
        <f>COUNT(AM41:AM48)</f>
        <v/>
      </c>
      <c r="AN50" s="21">
        <f>COUNT(AN41:AN48)</f>
        <v/>
      </c>
      <c r="AO50" s="2">
        <f>IF(COUNT(AO41,AO42,AO43,AO44,AO45,AO46,AO47,AO48)=0,"",COUNT(AO41:AO48))</f>
        <v/>
      </c>
      <c r="AP50" s="2">
        <f>COUNT(AP41:AP48)</f>
        <v/>
      </c>
      <c r="AQ50" s="2">
        <f>COUNT(AQ41:AQ48)</f>
        <v/>
      </c>
      <c r="AR50" s="21">
        <f>IF(COUNT(AR41,AR42,AR43,AR44,AR45,AR46,AR47,AR48)=0,"",COUNT(AR41:AR48))</f>
        <v/>
      </c>
      <c r="AS50" s="21">
        <f>COUNT(AS41:AS48)</f>
        <v/>
      </c>
      <c r="AT50" s="21">
        <f>COUNT(AT41:AT48)</f>
        <v/>
      </c>
      <c r="AU50" s="2">
        <f>IF(COUNT(AU41,AU42,AU43,AU44,AU45,AU46,AU47,AU48)=0,"",COUNT(AU41:AU48))</f>
        <v/>
      </c>
      <c r="AV50" s="2">
        <f>COUNT(AV41:AV48)</f>
        <v/>
      </c>
      <c r="AW50" s="2">
        <f>COUNT(AW41:AW48)</f>
        <v/>
      </c>
      <c r="AX50" s="21">
        <f>IF(COUNT(AX41,AX42,AX43,AX44,AX45,AX46,AX47,AX48)=0,"",COUNT(AX41:AX48))</f>
        <v/>
      </c>
      <c r="AY50" s="21">
        <f>COUNT(AY41:AY48)</f>
        <v/>
      </c>
      <c r="AZ50" s="21">
        <f>COUNT(AZ41:AZ48)</f>
        <v/>
      </c>
      <c r="BA50" s="2">
        <f>IF(COUNT(BA41,BA42,BA43,BA44,BA45,BA46,BA47,BA48)=0,"",COUNT(BA41:BA48))</f>
        <v/>
      </c>
      <c r="BB50" s="2">
        <f>COUNT(BB41:BB48)</f>
        <v/>
      </c>
      <c r="BC50" s="2">
        <f>COUNT(BC41:BC48)</f>
        <v/>
      </c>
      <c r="BD50" s="21">
        <f>IF(COUNT(BD41,BD42,BD43,BD44,BD45,BD46,BD47,BD48)=0,"",COUNT(BD41:BD48))</f>
        <v/>
      </c>
      <c r="BE50" s="21">
        <f>COUNT(BE41:BE48)</f>
        <v/>
      </c>
      <c r="BF50" s="21">
        <f>COUNT(BF41:BF48)</f>
        <v/>
      </c>
      <c r="BG50" s="2">
        <f>IF(COUNT(BG41,BG42,BG43,BG44,BG45,BG46,BG47,BG48)=0,"",COUNT(BG41:BG48))</f>
        <v/>
      </c>
      <c r="BH50" s="2">
        <f>COUNT(BH41:BH48)</f>
        <v/>
      </c>
      <c r="BI50" s="2">
        <f>COUNT(BI41:BI48)</f>
        <v/>
      </c>
      <c r="BJ50" s="21">
        <f>IF(COUNT(BJ41,BJ42,BJ43,BJ44,BJ45,BJ46,BJ47,BJ48)=0,"",COUNT(BJ41:BJ48))</f>
        <v/>
      </c>
      <c r="BK50" s="21">
        <f>COUNT(BK41:BK48)</f>
        <v/>
      </c>
      <c r="BL50" s="21">
        <f>COUNT(BL41:BL48)</f>
        <v/>
      </c>
      <c r="BM50" s="2">
        <f>IF(COUNT(BM41,BM42,BM43,BM44,BM45,BM46,BM47,BM48)=0,"",COUNT(BM41:BM48))</f>
        <v/>
      </c>
      <c r="BN50" s="2">
        <f>COUNT(BN41:BN48)</f>
        <v/>
      </c>
      <c r="BO50" s="2">
        <f>COUNT(BO41:BO48)</f>
        <v/>
      </c>
      <c r="BP50" s="21">
        <f>IF(COUNT(BP41,BP42,BP43,BP44,BP45,BP46,BP47)=0,"",COUNT(BP41:BP48))</f>
        <v/>
      </c>
      <c r="BQ50" s="21">
        <f>COUNT(BQ41:BQ48)</f>
        <v/>
      </c>
      <c r="BR50" s="21">
        <f>COUNT(BR41:BR48)</f>
        <v/>
      </c>
      <c r="BS50" s="2">
        <f>IF(COUNT(BS41,BS42,BS43,BS44,BS45,BS46,BS47)=0,"",COUNT(BS41:BS48))</f>
        <v/>
      </c>
      <c r="BT50" s="2">
        <f>COUNT(BT41:BT48)</f>
        <v/>
      </c>
      <c r="BU50" s="2">
        <f>COUNT(BU41:BU48)</f>
        <v/>
      </c>
      <c r="BV50" s="21">
        <f>IF(COUNT(BV41,BV42,BV43,BV44,BV45,BV46,BV47)=0,"",COUNT(BV41:BV48))</f>
        <v/>
      </c>
      <c r="BW50" s="21">
        <f>COUNT(BW41:BW48)</f>
        <v/>
      </c>
      <c r="BX50" s="21">
        <f>COUNT(BX41:BX48)</f>
        <v/>
      </c>
      <c r="BY50" s="2">
        <f>IF(COUNT(BY41,BY42,BY43,BY44,BY45,BY46,BY47)=0,"",COUNT(BY41:BY48))</f>
        <v/>
      </c>
      <c r="BZ50" s="2">
        <f>COUNT(BZ41:BZ48)</f>
        <v/>
      </c>
      <c r="CA50" s="2">
        <f>COUNT(CA41:CA48)</f>
        <v/>
      </c>
      <c r="CB50" s="21">
        <f>IF(COUNT(CB41,CB42,CB43,CB44,CB45,CB46,CB47)=0,"",COUNT(CB41:CB48))</f>
        <v/>
      </c>
      <c r="CC50" s="21">
        <f>COUNT(CC41:CC48)</f>
        <v/>
      </c>
      <c r="CD50" s="21">
        <f>COUNT(CD41:CD48)</f>
        <v/>
      </c>
      <c r="CE50" s="2">
        <f>IF(COUNT(CE41,CE42,CE43,CE44,CE45,CE46,CE47)=0,"",COUNT(CE41:CE48))</f>
        <v/>
      </c>
      <c r="CF50" s="2">
        <f>COUNT(CF41:CF48)</f>
        <v/>
      </c>
      <c r="CG50" s="2">
        <f>COUNT(CG41:CG48)</f>
        <v/>
      </c>
      <c r="CH50" s="21">
        <f>IF(COUNT(CH41,CH42,CH43,CH44,CH45,CH46,CH47)=0,"",COUNT(CH41:CH48))</f>
        <v/>
      </c>
      <c r="CI50" s="21">
        <f>COUNT(CI41:CI48)</f>
        <v/>
      </c>
      <c r="CJ50" s="21">
        <f>COUNT(CJ41:CJ48)</f>
        <v/>
      </c>
      <c r="CK50" s="2">
        <f>IF(COUNT(CK41,CK42,CK43,CK44,CK45,CK46,CK47)=0,"",COUNT(CK41:CK48))</f>
        <v/>
      </c>
      <c r="CL50" s="2">
        <f>COUNT(CL41:CL48)</f>
        <v/>
      </c>
      <c r="CM50" s="2">
        <f>COUNT(CM41:CM48)</f>
        <v/>
      </c>
      <c r="CN50" s="21">
        <f>IF(COUNT(CN41,CN42,CN43,CN44,CN45,CN46,CN47)=0,"",COUNT(CN41:CN48))</f>
        <v/>
      </c>
      <c r="CO50" s="21">
        <f>COUNT(CO41:CO48)</f>
        <v/>
      </c>
      <c r="CP50" s="21">
        <f>COUNT(CP41:CP48)</f>
        <v/>
      </c>
      <c r="CQ50" s="2">
        <f>IF(COUNT(CQ41,CQ42,CQ43,CQ44,CQ45,CQ46,CQ47)=0,"",COUNT(CQ41:CQ48))</f>
        <v/>
      </c>
      <c r="CR50" s="2">
        <f>COUNT(CR41:CR48)</f>
        <v/>
      </c>
      <c r="CS50" s="2">
        <f>COUNT(CS41:CS48)</f>
        <v/>
      </c>
      <c r="CT50" s="21">
        <f>IF(COUNT(CT41,CT42,CT43,CT44,CT45,CT46,CT47)=0,"",COUNT(CT41:CT48))</f>
        <v/>
      </c>
      <c r="CU50" s="21">
        <f>COUNT(CU41:CU48)</f>
        <v/>
      </c>
      <c r="CV50" s="21">
        <f>COUNT(CV41:CV48)</f>
        <v/>
      </c>
      <c r="CW50" s="2">
        <f>IF(COUNT(CW41,CW42,CW43,CW44,CW45,CW46,CW47)=0,"",COUNT(CW41:CW48))</f>
        <v/>
      </c>
      <c r="CX50" s="2">
        <f>COUNT(CX41:CX48)</f>
        <v/>
      </c>
      <c r="CY50" s="2">
        <f>COUNT(CY41:CY48)</f>
        <v/>
      </c>
      <c r="CZ50" s="21">
        <f>IF(COUNT(CZ41,CZ42,CZ43,CZ44,CZ45,CZ46,CZ47)=0,"",COUNT(CZ41:CZ48))</f>
        <v/>
      </c>
      <c r="DA50" s="21">
        <f>COUNT(DA41:DA48)</f>
        <v/>
      </c>
      <c r="DB50" s="21">
        <f>COUNT(DB41:DB48)</f>
        <v/>
      </c>
      <c r="DC50" s="2">
        <f>IF(COUNT(DC41,DC42,DC43,DC44,DC45,DC46,DC47)=0,"",COUNT(DC41:DC48))</f>
        <v/>
      </c>
      <c r="DD50" s="2">
        <f>COUNT(DD41:DD48)</f>
        <v/>
      </c>
      <c r="DE50" s="2">
        <f>COUNT(DE41:DE48)</f>
        <v/>
      </c>
      <c r="DF50" s="21">
        <f>IF(COUNT(DF41,DF42,DF43,DF44,DF45,DF46,DF47)=0,"",COUNT(DF41:DF48))</f>
        <v/>
      </c>
      <c r="DG50" s="21">
        <f>COUNT(DG41:DG48)</f>
        <v/>
      </c>
      <c r="DH50" s="21">
        <f>COUNT(DH41:DH48)</f>
        <v/>
      </c>
      <c r="DI50" s="2">
        <f>IF(COUNT(DI41,DI42,DI43,DI44,DI45,DI46,DI47)=0,"",COUNT(DI41:DI48))</f>
        <v/>
      </c>
      <c r="DJ50" s="2">
        <f>COUNT(DJ41:DJ48)</f>
        <v/>
      </c>
      <c r="DK50" s="2">
        <f>COUNT(DK41:DK48)</f>
        <v/>
      </c>
      <c r="DL50" s="21">
        <f>IF(COUNT(DL41,DL42,DL43,DL44,DL45,DL46,DL47)=0,"",COUNT(DL41:DL48))</f>
        <v/>
      </c>
      <c r="DM50" s="21">
        <f>COUNT(DM41:DM48)</f>
        <v/>
      </c>
      <c r="DN50" s="21">
        <f>COUNT(DN41:DN48)</f>
        <v/>
      </c>
    </row>
    <row r="51"/>
    <row r="52"/>
    <row r="53"/>
    <row r="54"/>
    <row r="55"/>
    <row r="56"/>
    <row r="57"/>
    <row r="58"/>
    <row r="59"/>
    <row r="60">
      <c r="A60" s="15" t="inlineStr">
        <is>
          <t>Opening position, December 2025</t>
        </is>
      </c>
    </row>
    <row r="61">
      <c r="A61" s="2" t="inlineStr">
        <is>
          <t>First month of the model</t>
        </is>
      </c>
      <c r="B61" s="70" t="n">
        <v>46053</v>
      </c>
    </row>
    <row r="62">
      <c r="A62" s="2" t="inlineStr">
        <is>
          <t>Customers at start</t>
        </is>
      </c>
      <c r="B62" s="2" t="n">
        <v>830</v>
      </c>
    </row>
    <row r="63">
      <c r="A63" s="2" t="inlineStr">
        <is>
          <t>Recurring revenue at start</t>
        </is>
      </c>
      <c r="B63" s="11" t="n">
        <v>996000</v>
      </c>
    </row>
    <row r="64">
      <c r="A64" s="2" t="inlineStr">
        <is>
          <t>Cash at start</t>
        </is>
      </c>
      <c r="B64" s="11" t="n">
        <v>1200000</v>
      </c>
    </row>
    <row r="65">
      <c r="A65" s="2" t="inlineStr">
        <is>
          <t>Equipment on hand at start</t>
        </is>
      </c>
      <c r="B65" s="11" t="n">
        <v>180000</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80" customWidth="1" min="1" max="1"/>
    <col width="12" customWidth="1" min="2" max="2"/>
  </cols>
  <sheetData>
    <row r="1">
      <c r="A1" s="71" t="inlineStr">
        <is>
          <t>Model checks  (every row should say OK)</t>
        </is>
      </c>
    </row>
    <row r="3">
      <c r="A3" s="2" t="inlineStr">
        <is>
          <t>Closed months: Rolling mirrors Actual (Jan, Feb closes and customers lost)</t>
        </is>
      </c>
      <c r="B3" s="2">
        <f>IF(AND('Sales'!DM6='Sales'!DL6,'Sales'!DJ6='Sales'!DI6,'Customer Success'!DM17='Customer Success'!DL17,'Customer Success'!DJ17='Customer Success'!DI17),"OK","CHECK")</f>
        <v/>
      </c>
    </row>
    <row r="4">
      <c r="A4" s="2" t="inlineStr">
        <is>
          <t>Cash roll-forward: Dec-2028 opening = Nov-2028 closing (Rolling)</t>
        </is>
      </c>
      <c r="B4" s="2">
        <f>IF('Finance'!L6='Finance'!O11,"OK","CHECK")</f>
        <v/>
      </c>
    </row>
    <row r="5">
      <c r="A5" s="2" t="inlineStr">
        <is>
          <t>Cash roll-forward: Dec-2028 opening = Nov-2028 closing (Approved)</t>
        </is>
      </c>
      <c r="B5" s="2">
        <f>IF('Finance'!M6='Finance'!P11,"OK","CHECK")</f>
        <v/>
      </c>
    </row>
    <row r="6">
      <c r="A6" s="2" t="inlineStr">
        <is>
          <t>Consolidation: function totals = Summary opex + cost of revenue (Dec-2028 Approved)</t>
        </is>
      </c>
      <c r="B6" s="2">
        <f>IF(ABS(('Marketing'!M28+'Sales'!M24+'Customer Success'!M33+'Support'!M25+'Engineering'!M27+'Finance'!M38)-('Summary'!M10+'Summary'!M7-'Summary'!M8))&lt;1,"OK","CHECK")</f>
        <v/>
      </c>
    </row>
    <row r="7">
      <c r="A7" s="2" t="inlineStr">
        <is>
          <t>Consolidation: function totals = Summary opex + cost of revenue (Dec-2028 Rolling)</t>
        </is>
      </c>
      <c r="B7" s="2">
        <f>IF(ABS(('Marketing'!L28+'Sales'!L24+'Customer Success'!L33+'Support'!L25+'Engineering'!L27+'Finance'!L38)-('Summary'!L10+'Summary'!L7-'Summary'!L8))&lt;1,"OK","CHECK")</f>
        <v/>
      </c>
    </row>
    <row r="8">
      <c r="A8" s="2" t="inlineStr">
        <is>
          <t>Revenue bridge foots: Dec-2028 revenue = Nov-2028 + new + net change on existing (Rolling)</t>
        </is>
      </c>
      <c r="B8" s="2">
        <f>IF(ABS('Summary'!L6-('Summary'!O6+'Sales'!L8+'Customer Success'!L11))&lt;1,"OK","CHECK")</f>
        <v/>
      </c>
    </row>
    <row r="9">
      <c r="A9" s="2" t="inlineStr">
        <is>
          <t>Handoff: Marketing's sales qualified leads equal Sales' input, every month</t>
        </is>
      </c>
      <c r="B9" s="2">
        <f>IF(SUMPRODUCT(--(Marketing!K7:DN7&lt;&gt;Sales!K3:DN3))=0,"OK","CHECK")</f>
        <v/>
      </c>
    </row>
    <row r="10">
      <c r="A10" s="2" t="inlineStr">
        <is>
          <t>Handoff: Support's customers with an unresolved issue equal Customer Success's at-risk count</t>
        </is>
      </c>
      <c r="B10" s="2">
        <f>IF(SUMPRODUCT(--(Support!K10:DN10&lt;&gt;'Customer Success'!K13:DN13))=0,"OK","CHECK")</f>
        <v/>
      </c>
    </row>
    <row r="11">
      <c r="A11" s="2" t="inlineStr">
        <is>
          <t>Link: Engineering's product releases move Sales' contract value by the stated uplift</t>
        </is>
      </c>
      <c r="B11" s="2">
        <f>IF(AND(ABS('Sales'!O7-('Sales'!R7+'Engineering'!R7*'Engineering'!R9))&lt;0.01,ABS('Sales'!BE7-('Sales'!BH7+'Engineering'!BH7*'Engineering'!BH9))&lt;0.01,ABS('Sales'!CX7-('Sales'!DA7+'Engineering'!DA7*'Engineering'!DA9))&lt;0.01),"OK","CHECK")</f>
        <v/>
      </c>
    </row>
    <row r="12">
      <c r="A12" s="2" t="inlineStr">
        <is>
          <t>Link: Engineering's quality releases cut Support's tickets per customer by the stated reduction</t>
        </is>
      </c>
      <c r="B12" s="2">
        <f>IF(AND(ABS('Support'!O4-MAX(0.25,'Support'!R4-'Engineering'!R8*'Engineering'!R10))&lt;0.000001,ABS('Support'!BE4-MAX(0.25,'Support'!BH4-'Engineering'!BH8*'Engineering'!BH10))&lt;0.000001,ABS('Support'!CX4-MAX(0.25,'Support'!DA4-'Engineering'!DA8*'Engineering'!DA10))&lt;0.000001),"OK","CHECK")</f>
        <v/>
      </c>
    </row>
    <row r="13">
      <c r="A13" s="2" t="inlineStr">
        <is>
          <t>Rosters: every function's people total equals its salaries line</t>
        </is>
      </c>
      <c r="B13" s="2">
        <f>IF(AND(SUMPRODUCT(--('Marketing'!K8:DN8&lt;&gt;'Marketing'!K38:DN38))=0,SUMPRODUCT(--('Sales'!K9:DN9&lt;&gt;'Sales'!K51:DN51))=0,SUMPRODUCT(--('Customer Success'!K18:DN18&lt;&gt;'Customer Success'!K47:DN47))=0,SUMPRODUCT(--('Support'!K11:DN11&lt;&gt;'Support'!K41:DN41))=0,SUMPRODUCT(--('Engineering'!K12:DN12&lt;&gt;'Engineering'!K46:DN46))=0,SUMPRODUCT(--('Finance'!K22:DN22&lt;&gt;'Finance'!K49:DN49))=0),"OK","CHECK")</f>
        <v/>
      </c>
    </row>
    <row r="14">
      <c r="A14" s="2" t="inlineStr">
        <is>
          <t>Reserve agrees between the Summary and the Finance tab in every fiscal year</t>
        </is>
      </c>
      <c r="B14" s="2">
        <f>IF(AND(ABS(N(Summary!B21)-N(Finance!B12))&lt;0.001,ABS(N(Summary!C21)-N(Finance!C12))&lt;0.001,ABS(N(Summary!D21)-N(Finance!D12))&lt;0.001,ABS(N(Summary!E21)-N(Finance!E12))&lt;0.001,ABS(N(Summary!F21)-N(Finance!F12))&lt;0.001,ABS(N(Summary!G21)-N(Finance!G12))&lt;0.001,ABS(N(Summary!H21)-N(Finance!H12))&lt;0.001,ABS(N(Summary!I21)-N(Finance!I12))&lt;0.001,ABS(N(Summary!J21)-N(Finance!J12))&lt;0.001),"OK","CHECK")</f>
        <v/>
      </c>
    </row>
    <row r="15">
      <c r="A15" s="2" t="inlineStr">
        <is>
          <t>Payroll taxes and benefits equal the stated share of salaries on every tab</t>
        </is>
      </c>
      <c r="B15" s="2">
        <f>IF(AND(ABS('Marketing'!L10-'Marketing'!L8*0.22)&lt;0.01,ABS('Sales'!L11-'Sales'!L9*0.22)&lt;0.01,ABS('Customer Success'!L20-'Customer Success'!L18*0.22)&lt;0.01,ABS('Support'!L13-'Support'!L11*0.22)&lt;0.01,ABS('Engineering'!L14-'Engineering'!L12*0.22)&lt;0.01,ABS('Finance'!L24-'Finance'!L22*0.22)&lt;0.01),"OK","CHECK")</f>
        <v/>
      </c>
    </row>
    <row r="16">
      <c r="A16" s="2" t="inlineStr">
        <is>
          <t>Sales cycle: closes come from the leads accepted one cycle earlier</t>
        </is>
      </c>
      <c r="B16" s="2">
        <f>IF(AND('Sales'!L6=ROUND('Sales'!O3*'Sales'!L5,0),'Sales'!AS6=ROUND('Sales'!AV3*'Sales'!AS5,0),'Sales'!CC6=ROUND('Sales'!CF3*'Sales'!CC5,0),'Sales'!DD6=ROUND('Sales'!DG3*'Sales'!DD5,0)),"OK","CHECK")</f>
        <v/>
      </c>
    </row>
    <row r="17">
      <c r="A17" s="2" t="inlineStr">
        <is>
          <t>Income tax equals the stated rate on profit after losses carried forward</t>
        </is>
      </c>
      <c r="B17" s="2">
        <f>IF(AND(ABS('Finance'!L16-MAX(0,'Summary'!L12-'Finance'!L15)*'Finance'!L14)&lt;0.01,ABS('Finance'!AS16-MAX(0,'Summary'!AS12-'Finance'!AS15)*'Finance'!AS14)&lt;0.01,ABS('Finance'!CC16-MAX(0,'Summary'!CC12-'Finance'!CC15)*'Finance'!CC14)&lt;0.01,ABS('Finance'!DJ16-MAX(0,'Summary'!DJ12-'Finance'!DJ15)*'Finance'!DJ14)&lt;0.01),"OK","CHECK")</f>
        <v/>
      </c>
    </row>
    <row r="18">
      <c r="A18" s="2" t="inlineStr">
        <is>
          <t>Cash foots: closing = opening + collected less payments, tax and equipment</t>
        </is>
      </c>
      <c r="B18" s="2">
        <f>IF(AND(ABS('Finance'!L11-('Finance'!L6+'Finance'!L5-'Finance'!L7-'Finance'!L8-'Finance'!L9))&lt;0.01,ABS('Finance'!M11-('Finance'!M6+'Finance'!M5-'Finance'!M7-'Finance'!M8-'Finance'!M9))&lt;0.01,ABS('Finance'!BK11-('Finance'!BK6+'Finance'!BK5-'Finance'!BK7-'Finance'!BK8-'Finance'!BK9))&lt;0.01,ABS('Finance'!BL11-('Finance'!BL6+'Finance'!BL5-'Finance'!BL7-'Finance'!BL8-'Finance'!BL9))&lt;0.01,ABS('Finance'!DG11-('Finance'!DG6+'Finance'!DG5-'Finance'!DG7-'Finance'!DG8-'Finance'!DG9))&lt;0.01,ABS('Finance'!DH11-('Finance'!DH6+'Finance'!DH5-'Finance'!DH7-'Finance'!DH8-'Finance'!DH9))&lt;0.01),"OK","CHECK")</f>
        <v/>
      </c>
    </row>
    <row r="19">
      <c r="A19" s="2" t="inlineStr">
        <is>
          <t>Depreciation stays out of the cash payments line</t>
        </is>
      </c>
      <c r="B19" s="2">
        <f>IF(AND(ABS('Finance'!L7-('Summary'!L7-'Summary'!L8+'Summary'!L10))&lt;0.01,ABS('Finance'!BK7-('Summary'!BK7-'Summary'!BK8+'Summary'!BK10))&lt;0.01,ABS('Finance'!DG7-('Summary'!DG7-'Summary'!DG8+'Summary'!DG10))&lt;0.01),"OK","CHECK")</f>
        <v/>
      </c>
    </row>
    <row r="20">
      <c r="A20" s="2" t="inlineStr">
        <is>
          <t>Sales commissions equal the closes times the commission per close</t>
        </is>
      </c>
      <c r="B20" s="2">
        <f>IF(AND(ABS('Sales'!L19-'Sales'!L6*2000)&lt;0.01,ABS('Sales'!M19-'Sales'!M6*2000)&lt;0.01,ABS('Sales'!AS19-'Sales'!AS6*2000)&lt;0.01,ABS('Sales'!AT19-'Sales'!AT6*2000)&lt;0.01,ABS('Sales'!CC19-'Sales'!CC6*2000)&lt;0.01,ABS('Sales'!CD19-'Sales'!CD6*2000)&lt;0.01,ABS('Sales'!DJ19-'Sales'!DJ6*2000)&lt;0.01,ABS('Sales'!DK19-'Sales'!DK6*2000)&lt;0.01),"OK","CHECK")</f>
        <v/>
      </c>
    </row>
    <row r="21">
      <c r="A21" s="2" t="inlineStr">
        <is>
          <t>Unit costs divide by a count, not by a rate</t>
        </is>
      </c>
      <c r="B21" s="2">
        <f>IF(AND(ABS('Sales'!L25-'Sales'!L24/'Sales'!L6)&lt;0.01,ABS('Sales'!AS25-'Sales'!AS24/'Sales'!AS6)&lt;0.01,ABS('Sales'!CC25-'Sales'!CC24/'Sales'!CC6)&lt;0.01,ABS('Support'!L26-'Support'!L25/'Support'!L5)&lt;0.01,ABS('Support'!AS26-'Support'!AS25/'Support'!AS5)&lt;0.01,ABS('Support'!CC26-'Support'!CC25/'Support'!CC5)&lt;0.01),"OK","CHECK")</f>
        <v/>
      </c>
    </row>
    <row r="22">
      <c r="A22" s="2" t="inlineStr">
        <is>
          <t>Days sales outstanding drives collections</t>
        </is>
      </c>
      <c r="B22" s="2">
        <f>IF(AND(ABS('Finance'!L5-('Finance'!L3*(1-MIN(1,'Finance'!L4/30))+'Finance'!O3*MIN(1,'Finance'!L4/30)))&lt;0.01,ABS('Finance'!AS5-('Finance'!AS3*(1-MIN(1,'Finance'!AS4/30))+'Finance'!AV3*MIN(1,'Finance'!AS4/30)))&lt;0.01,ABS('Finance'!CC5-('Finance'!CC3*(1-MIN(1,'Finance'!CC4/30))+'Finance'!CF3*MIN(1,'Finance'!CC4/30)))&lt;0.01),"OK","CHECK")</f>
        <v/>
      </c>
    </row>
    <row r="23">
      <c r="A23" s="2" t="inlineStr">
        <is>
          <t>No formula errors on any sheet</t>
        </is>
      </c>
      <c r="B23" s="2">
        <f>IF(SUMPRODUCT(--ISERROR('Summary'!B3:DO23))+SUMPRODUCT(--ISERROR('Marketing'!B3:DO39))+SUMPRODUCT(--ISERROR('Sales'!B3:DO52))+SUMPRODUCT(--ISERROR('Customer Success'!B3:DO48))+SUMPRODUCT(--ISERROR('Support'!B3:DO42))+SUMPRODUCT(--ISERROR('Engineering'!B3:DO47))+SUMPRODUCT(--ISERROR('Finance'!B3:DO50))=0,"OK","ERRORS")</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2026-08-24T10:41:00Z</dcterms:created>
  <dcterms:modified xmlns:dcterms="http://purl.org/dc/terms/" xmlns:xsi="http://www.w3.org/2001/XMLSchema-instance" xsi:type="dcterms:W3CDTF">2026-08-24T10:41:01Z</dcterms:modified>
</cp:coreProperties>
</file>