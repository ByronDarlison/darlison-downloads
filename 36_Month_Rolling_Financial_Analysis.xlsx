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comments8.xml" ContentType="application/vnd.openxmlformats-officedocument.spreadsheetml.comments+xml"/>
  <Override PartName="/xl/workbook.xml" ContentType="application/vnd.openxmlformats-officedocument.spreadsheetml.sheet.main+xml"/>
  <Override PartName="/xl/sharedStrings.xml" ContentType="application/vnd.openxmlformats-officedocument.spreadsheetml.sharedStrings+xml"/>
  <Override PartName="/xl/comments4.xml" ContentType="application/vnd.openxmlformats-officedocument.spreadsheetml.comments+xml"/>
  <Override PartName="/xl/comments9.xml" ContentType="application/vnd.openxmlformats-officedocument.spreadsheetml.comments+xml"/>
  <Override PartName="/xl/styles.xml" ContentType="application/vnd.openxmlformats-officedocument.spreadsheetml.styles+xml"/>
  <Override PartName="/xl/drawings/vmlDrawing1.vml" ContentType="application/vnd.openxmlformats-officedocument.vmlDrawing"/>
  <Override PartName="/xl/drawings/vmlDrawing2.vml" ContentType="application/vnd.openxmlformats-officedocument.vmlDrawing"/>
  <Override PartName="/xl/drawings/vmlDrawing3.vml" ContentType="application/vnd.openxmlformats-officedocument.vmlDrawing"/>
  <Override PartName="/xl/drawings/vmlDrawing5.vml" ContentType="application/vnd.openxmlformats-officedocument.vmlDrawing"/>
  <Override PartName="/xl/drawings/vmlDrawing4.vml" ContentType="application/vnd.openxmlformats-officedocument.vmlDrawing"/>
  <Override PartName="/xl/drawings/vmlDrawing6.vml" ContentType="application/vnd.openxmlformats-officedocument.vmlDrawing"/>
  <Override PartName="/xl/drawings/vmlDrawing7.vml" ContentType="application/vnd.openxmlformats-officedocument.vmlDrawing"/>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10.xml" ContentType="application/vnd.openxmlformats-officedocument.spreadsheetml.worksheet+xml"/>
  <Override PartName="/xl/worksheets/sheet8.xml" ContentType="application/vnd.openxmlformats-officedocument.spreadsheetml.worksheet+xml"/>
  <Override PartName="/xl/worksheets/sheet6.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comments7.xml" ContentType="application/vnd.openxmlformats-officedocument.spreadsheetml.comments+xml"/>
  <Override PartName="/xl/comments2.xml" ContentType="application/vnd.openxmlformats-officedocument.spreadsheetml.comments+xml"/>
  <Override PartName="/xl/comments5.xml" ContentType="application/vnd.openxmlformats-officedocument.spreadsheetml.comments+xml"/>
  <Override PartName="/xl/theme/theme1.xml" ContentType="application/vnd.openxmlformats-officedocument.theme+xml"/>
  <Override PartName="/xl/comments6.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README" sheetId="1" state="visible" r:id="rId3"/>
    <sheet name="Summary" sheetId="2" state="visible" r:id="rId4"/>
    <sheet name="Cash Drivers" sheetId="3" state="visible" r:id="rId5"/>
    <sheet name="Marketing" sheetId="4" state="visible" r:id="rId6"/>
    <sheet name="Sales" sheetId="5" state="visible" r:id="rId7"/>
    <sheet name="Customer Success" sheetId="6" state="visible" r:id="rId8"/>
    <sheet name="Support" sheetId="7" state="visible" r:id="rId9"/>
    <sheet name="Engineering" sheetId="8" state="visible" r:id="rId10"/>
    <sheet name="Finance" sheetId="9" state="visible" r:id="rId11"/>
    <sheet name="Checks" sheetId="10" state="visible" r:id="rId12"/>
  </sheets>
  <calcPr iterateCount="100" refMode="A1" iterate="false" iterateDelta="0.001"/>
  <extLst>
    <ext xmlns:loext="http://schemas.libreoffice.org/" uri="{7626C862-2A13-11E5-B345-FEFF819CDC9F}">
      <loext:extCalcPr stringRefSyntax="CalcA1ExcelA1"/>
    </ext>
  </extLst>
</workbook>
</file>

<file path=xl/comments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3" authorId="0">
      <text>
        <r>
          <rPr>
            <sz val="10"/>
            <rFont val="Arial"/>
            <family val="2"/>
          </rPr>
          <t xml:space="preserve">Last month's closing balance.</t>
        </r>
      </text>
      <mc:AlternateContent>
        <mc:Choice Requires="v2">
          <commentPr autoFill="true" autoScale="false" colHidden="false" locked="false" rowHidden="false" textHAlign="justify" textVAlign="top">
            <anchor moveWithCells="false" sizeWithCells="false">
              <xdr:from>
                <xdr:col>0</xdr:col>
                <xdr:colOff>15</xdr:colOff>
                <xdr:row>2</xdr:row>
                <xdr:rowOff>2</xdr:rowOff>
              </xdr:from>
              <xdr:to>
                <xdr:col>2</xdr:col>
                <xdr:colOff>15</xdr:colOff>
                <xdr:row>6</xdr:row>
                <xdr:rowOff>2</xdr:rowOff>
              </xdr:to>
            </anchor>
          </commentPr>
        </mc:Choice>
        <mc:Fallback/>
      </mc:AlternateContent>
    </comment>
    <comment ref="A4" authorId="0">
      <text>
        <r>
          <rPr>
            <sz val="10"/>
            <rFont val="Arial"/>
            <family val="2"/>
          </rPr>
          <t xml:space="preserve">From sales: closes times contract value.</t>
        </r>
      </text>
      <mc:AlternateContent>
        <mc:Choice Requires="v2">
          <commentPr autoFill="true" autoScale="false" colHidden="false" locked="false" rowHidden="false" textHAlign="justify" textVAlign="top">
            <anchor moveWithCells="false" sizeWithCells="false">
              <xdr:from>
                <xdr:col>0</xdr:col>
                <xdr:colOff>15</xdr:colOff>
                <xdr:row>3</xdr:row>
                <xdr:rowOff>2</xdr:rowOff>
              </xdr:from>
              <xdr:to>
                <xdr:col>2</xdr:col>
                <xdr:colOff>15</xdr:colOff>
                <xdr:row>7</xdr:row>
                <xdr:rowOff>2</xdr:rowOff>
              </xdr:to>
            </anchor>
          </commentPr>
        </mc:Choice>
        <mc:Fallback/>
      </mc:AlternateContent>
    </comment>
    <comment ref="A5" authorId="0">
      <text>
        <r>
          <rPr>
            <sz val="10"/>
            <rFont val="Arial"/>
            <family val="2"/>
          </rPr>
          <t xml:space="preserve">From customer success: expansion less contraction less churn.</t>
        </r>
      </text>
      <mc:AlternateContent>
        <mc:Choice Requires="v2">
          <commentPr autoFill="true" autoScale="false" colHidden="false" locked="false" rowHidden="false" textHAlign="justify" textVAlign="top">
            <anchor moveWithCells="false" sizeWithCells="false">
              <xdr:from>
                <xdr:col>0</xdr:col>
                <xdr:colOff>15</xdr:colOff>
                <xdr:row>4</xdr:row>
                <xdr:rowOff>2</xdr:rowOff>
              </xdr:from>
              <xdr:to>
                <xdr:col>2</xdr:col>
                <xdr:colOff>15</xdr:colOff>
                <xdr:row>8</xdr:row>
                <xdr:rowOff>2</xdr:rowOff>
              </xdr:to>
            </anchor>
          </commentPr>
        </mc:Choice>
        <mc:Fallback/>
      </mc:AlternateContent>
    </comment>
    <comment ref="A6" authorId="0">
      <text>
        <r>
          <rPr>
            <sz val="10"/>
            <rFont val="Arial"/>
            <family val="2"/>
          </rPr>
          <t xml:space="preserve">Opening plus new plus the net change.</t>
        </r>
      </text>
      <mc:AlternateContent>
        <mc:Choice Requires="v2">
          <commentPr autoFill="true" autoScale="false" colHidden="false" locked="false" rowHidden="false" textHAlign="justify" textVAlign="top">
            <anchor moveWithCells="false" sizeWithCells="false">
              <xdr:from>
                <xdr:col>0</xdr:col>
                <xdr:colOff>15</xdr:colOff>
                <xdr:row>5</xdr:row>
                <xdr:rowOff>2</xdr:rowOff>
              </xdr:from>
              <xdr:to>
                <xdr:col>2</xdr:col>
                <xdr:colOff>15</xdr:colOff>
                <xdr:row>9</xdr:row>
                <xdr:rowOff>2</xdr:rowOff>
              </xdr:to>
            </anchor>
          </commentPr>
        </mc:Choice>
        <mc:Fallback/>
      </mc:AlternateContent>
    </comment>
    <comment ref="A7" authorId="0">
      <text>
        <r>
          <rPr>
            <sz val="10"/>
            <rFont val="Arial"/>
            <family val="2"/>
          </rPr>
          <t xml:space="preserve">The profit and loss line. For a month it equals the closing balance. For a year it is the sum of the twelve months.</t>
        </r>
      </text>
      <mc:AlternateContent>
        <mc:Choice Requires="v2">
          <commentPr autoFill="true" autoScale="false" colHidden="false" locked="false" rowHidden="false" textHAlign="justify" textVAlign="top">
            <anchor moveWithCells="false" sizeWithCells="false">
              <xdr:from>
                <xdr:col>0</xdr:col>
                <xdr:colOff>15</xdr:colOff>
                <xdr:row>6</xdr:row>
                <xdr:rowOff>2</xdr:rowOff>
              </xdr:from>
              <xdr:to>
                <xdr:col>2</xdr:col>
                <xdr:colOff>15</xdr:colOff>
                <xdr:row>10</xdr:row>
                <xdr:rowOff>2</xdr:rowOff>
              </xdr:to>
            </anchor>
          </commentPr>
        </mc:Choice>
        <mc:Fallback/>
      </mc:AlternateContent>
    </comment>
    <comment ref="A8" authorId="0">
      <text>
        <r>
          <rPr>
            <sz val="10"/>
            <rFont val="Arial"/>
            <family val="2"/>
          </rPr>
          <t xml:space="preserve">Revenue less hosting and support, the two costs of serving customers.</t>
        </r>
      </text>
      <mc:AlternateContent>
        <mc:Choice Requires="v2">
          <commentPr autoFill="true" autoScale="false" colHidden="false" locked="false" rowHidden="false" textHAlign="justify" textVAlign="top">
            <anchor moveWithCells="false" sizeWithCells="false">
              <xdr:from>
                <xdr:col>0</xdr:col>
                <xdr:colOff>15</xdr:colOff>
                <xdr:row>7</xdr:row>
                <xdr:rowOff>2</xdr:rowOff>
              </xdr:from>
              <xdr:to>
                <xdr:col>2</xdr:col>
                <xdr:colOff>15</xdr:colOff>
                <xdr:row>11</xdr:row>
                <xdr:rowOff>2</xdr:rowOff>
              </xdr:to>
            </anchor>
          </commentPr>
        </mc:Choice>
        <mc:Fallback/>
      </mc:AlternateContent>
    </comment>
    <comment ref="A9" authorId="0">
      <text>
        <r>
          <rPr>
            <sz val="10"/>
            <rFont val="Arial"/>
            <family val="2"/>
          </rPr>
          <t xml:space="preserve">Gross profit as a share of revenue.</t>
        </r>
      </text>
      <mc:AlternateContent>
        <mc:Choice Requires="v2">
          <commentPr autoFill="true" autoScale="false" colHidden="false" locked="false" rowHidden="false" textHAlign="justify" textVAlign="top">
            <anchor moveWithCells="false" sizeWithCells="false">
              <xdr:from>
                <xdr:col>0</xdr:col>
                <xdr:colOff>15</xdr:colOff>
                <xdr:row>8</xdr:row>
                <xdr:rowOff>2</xdr:rowOff>
              </xdr:from>
              <xdr:to>
                <xdr:col>2</xdr:col>
                <xdr:colOff>15</xdr:colOff>
                <xdr:row>12</xdr:row>
                <xdr:rowOff>2</xdr:rowOff>
              </xdr:to>
            </anchor>
          </commentPr>
        </mc:Choice>
        <mc:Fallback/>
      </mc:AlternateContent>
    </comment>
    <comment ref="A10" authorId="0">
      <text>
        <r>
          <rPr>
            <sz val="10"/>
            <rFont val="Arial"/>
            <family val="2"/>
          </rPr>
          <t xml:space="preserve">The five function totals, excluding hosting and support. Cash costs only.</t>
        </r>
      </text>
      <mc:AlternateContent>
        <mc:Choice Requires="v2">
          <commentPr autoFill="true" autoScale="false" colHidden="false" locked="false" rowHidden="false" textHAlign="justify" textVAlign="top">
            <anchor moveWithCells="false" sizeWithCells="false">
              <xdr:from>
                <xdr:col>0</xdr:col>
                <xdr:colOff>15</xdr:colOff>
                <xdr:row>9</xdr:row>
                <xdr:rowOff>2</xdr:rowOff>
              </xdr:from>
              <xdr:to>
                <xdr:col>2</xdr:col>
                <xdr:colOff>15</xdr:colOff>
                <xdr:row>13</xdr:row>
                <xdr:rowOff>2</xdr:rowOff>
              </xdr:to>
            </anchor>
          </commentPr>
        </mc:Choice>
        <mc:Fallback/>
      </mc:AlternateContent>
    </comment>
    <comment ref="A11" authorId="0">
      <text>
        <r>
          <rPr>
            <sz val="10"/>
            <rFont val="Arial"/>
            <family val="2"/>
          </rPr>
          <t xml:space="preserve">Equipment written off over its life, from the Finance tab. An expense that never leaves the bank, which is why cash and profit differ.</t>
        </r>
      </text>
      <mc:AlternateContent>
        <mc:Choice Requires="v2">
          <commentPr autoFill="true" autoScale="false" colHidden="false" locked="false" rowHidden="false" textHAlign="justify" textVAlign="top">
            <anchor moveWithCells="false" sizeWithCells="false">
              <xdr:from>
                <xdr:col>0</xdr:col>
                <xdr:colOff>15</xdr:colOff>
                <xdr:row>10</xdr:row>
                <xdr:rowOff>2</xdr:rowOff>
              </xdr:from>
              <xdr:to>
                <xdr:col>2</xdr:col>
                <xdr:colOff>15</xdr:colOff>
                <xdr:row>14</xdr:row>
                <xdr:rowOff>2</xdr:rowOff>
              </xdr:to>
            </anchor>
          </commentPr>
        </mc:Choice>
        <mc:Fallback/>
      </mc:AlternateContent>
    </comment>
    <comment ref="A12" authorId="0">
      <text>
        <r>
          <rPr>
            <sz val="10"/>
            <rFont val="Arial"/>
            <family val="2"/>
          </rPr>
          <t xml:space="preserve">Gross profit less operating expenses.</t>
        </r>
      </text>
      <mc:AlternateContent>
        <mc:Choice Requires="v2">
          <commentPr autoFill="true" autoScale="false" colHidden="false" locked="false" rowHidden="false" textHAlign="justify" textVAlign="top">
            <anchor moveWithCells="false" sizeWithCells="false">
              <xdr:from>
                <xdr:col>0</xdr:col>
                <xdr:colOff>15</xdr:colOff>
                <xdr:row>11</xdr:row>
                <xdr:rowOff>2</xdr:rowOff>
              </xdr:from>
              <xdr:to>
                <xdr:col>2</xdr:col>
                <xdr:colOff>15</xdr:colOff>
                <xdr:row>15</xdr:row>
                <xdr:rowOff>2</xdr:rowOff>
              </xdr:to>
            </anchor>
          </commentPr>
        </mc:Choice>
        <mc:Fallback/>
      </mc:AlternateContent>
    </comment>
    <comment ref="A13" authorId="0">
      <text>
        <r>
          <rPr>
            <sz val="10"/>
            <rFont val="Arial"/>
            <family val="2"/>
          </rPr>
          <t xml:space="preserve">Operating profit as a share of revenue.</t>
        </r>
      </text>
      <mc:AlternateContent>
        <mc:Choice Requires="v2">
          <commentPr autoFill="true" autoScale="false" colHidden="false" locked="false" rowHidden="false" textHAlign="justify" textVAlign="top">
            <anchor moveWithCells="false" sizeWithCells="false">
              <xdr:from>
                <xdr:col>0</xdr:col>
                <xdr:colOff>15</xdr:colOff>
                <xdr:row>12</xdr:row>
                <xdr:rowOff>2</xdr:rowOff>
              </xdr:from>
              <xdr:to>
                <xdr:col>2</xdr:col>
                <xdr:colOff>15</xdr:colOff>
                <xdr:row>16</xdr:row>
                <xdr:rowOff>2</xdr:rowOff>
              </xdr:to>
            </anchor>
          </commentPr>
        </mc:Choice>
        <mc:Fallback/>
      </mc:AlternateContent>
    </comment>
    <comment ref="A14" authorId="0">
      <text>
        <r>
          <rPr>
            <sz val="10"/>
            <rFont val="Arial"/>
            <family val="2"/>
          </rPr>
          <t xml:space="preserve">From the Finance tab: the stated rate on operating profit, after any carried-forward losses are used.</t>
        </r>
      </text>
      <mc:AlternateContent>
        <mc:Choice Requires="v2">
          <commentPr autoFill="true" autoScale="false" colHidden="false" locked="false" rowHidden="false" textHAlign="justify" textVAlign="top">
            <anchor moveWithCells="false" sizeWithCells="false">
              <xdr:from>
                <xdr:col>0</xdr:col>
                <xdr:colOff>15</xdr:colOff>
                <xdr:row>13</xdr:row>
                <xdr:rowOff>2</xdr:rowOff>
              </xdr:from>
              <xdr:to>
                <xdr:col>2</xdr:col>
                <xdr:colOff>15</xdr:colOff>
                <xdr:row>17</xdr:row>
                <xdr:rowOff>2</xdr:rowOff>
              </xdr:to>
            </anchor>
          </commentPr>
        </mc:Choice>
        <mc:Fallback/>
      </mc:AlternateContent>
    </comment>
    <comment ref="A15" authorId="0">
      <text>
        <r>
          <rPr>
            <sz val="10"/>
            <rFont val="Arial"/>
            <family val="2"/>
          </rPr>
          <t xml:space="preserve">Operating profit less income tax. What the company actually keeps.</t>
        </r>
      </text>
      <mc:AlternateContent>
        <mc:Choice Requires="v2">
          <commentPr autoFill="true" autoScale="false" colHidden="false" locked="false" rowHidden="false" textHAlign="justify" textVAlign="top">
            <anchor moveWithCells="false" sizeWithCells="false">
              <xdr:from>
                <xdr:col>0</xdr:col>
                <xdr:colOff>15</xdr:colOff>
                <xdr:row>14</xdr:row>
                <xdr:rowOff>2</xdr:rowOff>
              </xdr:from>
              <xdr:to>
                <xdr:col>2</xdr:col>
                <xdr:colOff>15</xdr:colOff>
                <xdr:row>18</xdr:row>
                <xdr:rowOff>2</xdr:rowOff>
              </xdr:to>
            </anchor>
          </commentPr>
        </mc:Choice>
        <mc:Fallback/>
      </mc:AlternateContent>
    </comment>
    <comment ref="A16" authorId="0">
      <text>
        <r>
          <rPr>
            <sz val="10"/>
            <rFont val="Arial"/>
            <family val="2"/>
          </rPr>
          <t xml:space="preserve">The X in Profit per X. Prior month plus closes less customers lost.</t>
        </r>
      </text>
      <mc:AlternateContent>
        <mc:Choice Requires="v2">
          <commentPr autoFill="true" autoScale="false" colHidden="false" locked="false" rowHidden="false" textHAlign="justify" textVAlign="top">
            <anchor moveWithCells="false" sizeWithCells="false">
              <xdr:from>
                <xdr:col>0</xdr:col>
                <xdr:colOff>15</xdr:colOff>
                <xdr:row>15</xdr:row>
                <xdr:rowOff>2</xdr:rowOff>
              </xdr:from>
              <xdr:to>
                <xdr:col>2</xdr:col>
                <xdr:colOff>15</xdr:colOff>
                <xdr:row>19</xdr:row>
                <xdr:rowOff>2</xdr:rowOff>
              </xdr:to>
            </anchor>
          </commentPr>
        </mc:Choice>
        <mc:Fallback/>
      </mc:AlternateContent>
    </comment>
    <comment ref="A17" authorId="0">
      <text>
        <r>
          <rPr>
            <sz val="10"/>
            <rFont val="Arial"/>
            <family val="2"/>
          </rPr>
          <t xml:space="preserve">Closing recurring revenue divided by customers.</t>
        </r>
      </text>
      <mc:AlternateContent>
        <mc:Choice Requires="v2">
          <commentPr autoFill="true" autoScale="false" colHidden="false" locked="false" rowHidden="false" textHAlign="justify" textVAlign="top">
            <anchor moveWithCells="false" sizeWithCells="false">
              <xdr:from>
                <xdr:col>0</xdr:col>
                <xdr:colOff>15</xdr:colOff>
                <xdr:row>16</xdr:row>
                <xdr:rowOff>2</xdr:rowOff>
              </xdr:from>
              <xdr:to>
                <xdr:col>2</xdr:col>
                <xdr:colOff>15</xdr:colOff>
                <xdr:row>20</xdr:row>
                <xdr:rowOff>2</xdr:rowOff>
              </xdr:to>
            </anchor>
          </commentPr>
        </mc:Choice>
        <mc:Fallback/>
      </mc:AlternateContent>
    </comment>
    <comment ref="A18" authorId="0">
      <text>
        <r>
          <rPr>
            <sz val="10"/>
            <rFont val="Arial"/>
            <family val="2"/>
          </rPr>
          <t xml:space="preserve">Operating profit divided by customers, on a moving annual basis: the trailing twelve months of profit, annualized while fewer than twelve exist.</t>
        </r>
      </text>
      <mc:AlternateContent>
        <mc:Choice Requires="v2">
          <commentPr autoFill="true" autoScale="false" colHidden="false" locked="false" rowHidden="false" textHAlign="justify" textVAlign="top">
            <anchor moveWithCells="false" sizeWithCells="false">
              <xdr:from>
                <xdr:col>0</xdr:col>
                <xdr:colOff>15</xdr:colOff>
                <xdr:row>17</xdr:row>
                <xdr:rowOff>2</xdr:rowOff>
              </xdr:from>
              <xdr:to>
                <xdr:col>2</xdr:col>
                <xdr:colOff>15</xdr:colOff>
                <xdr:row>21</xdr:row>
                <xdr:rowOff>2</xdr:rowOff>
              </xdr:to>
            </anchor>
          </commentPr>
        </mc:Choice>
        <mc:Fallback/>
      </mc:AlternateContent>
    </comment>
    <comment ref="A19" authorId="0">
      <text>
        <r>
          <rPr>
            <sz val="10"/>
            <rFont val="Arial"/>
            <family val="2"/>
          </rPr>
          <t xml:space="preserve">Headcount across all six functions.</t>
        </r>
      </text>
      <mc:AlternateContent>
        <mc:Choice Requires="v2">
          <commentPr autoFill="true" autoScale="false" colHidden="false" locked="false" rowHidden="false" textHAlign="justify" textVAlign="top">
            <anchor moveWithCells="false" sizeWithCells="false">
              <xdr:from>
                <xdr:col>0</xdr:col>
                <xdr:colOff>15</xdr:colOff>
                <xdr:row>18</xdr:row>
                <xdr:rowOff>2</xdr:rowOff>
              </xdr:from>
              <xdr:to>
                <xdr:col>2</xdr:col>
                <xdr:colOff>15</xdr:colOff>
                <xdr:row>22</xdr:row>
                <xdr:rowOff>2</xdr:rowOff>
              </xdr:to>
            </anchor>
          </commentPr>
        </mc:Choice>
        <mc:Fallback/>
      </mc:AlternateContent>
    </comment>
    <comment ref="A20" authorId="0">
      <text>
        <r>
          <rPr>
            <sz val="10"/>
            <rFont val="Arial"/>
            <family val="2"/>
          </rPr>
          <t xml:space="preserve">From the Finance tab, after the one month collections lag.</t>
        </r>
      </text>
      <mc:AlternateContent>
        <mc:Choice Requires="v2">
          <commentPr autoFill="true" autoScale="false" colHidden="false" locked="false" rowHidden="false" textHAlign="justify" textVAlign="top">
            <anchor moveWithCells="false" sizeWithCells="false">
              <xdr:from>
                <xdr:col>0</xdr:col>
                <xdr:colOff>15</xdr:colOff>
                <xdr:row>19</xdr:row>
                <xdr:rowOff>2</xdr:rowOff>
              </xdr:from>
              <xdr:to>
                <xdr:col>2</xdr:col>
                <xdr:colOff>15</xdr:colOff>
                <xdr:row>23</xdr:row>
                <xdr:rowOff>2</xdr:rowOff>
              </xdr:to>
            </anchor>
          </commentPr>
        </mc:Choice>
        <mc:Fallback/>
      </mc:AlternateContent>
    </comment>
    <comment ref="A21" authorId="0">
      <text>
        <r>
          <rPr>
            <sz val="10"/>
            <rFont val="Arial"/>
            <family val="2"/>
          </rPr>
          <t xml:space="preserve">Closing cash divided by one month of the payments that repeat. Marked here as the CEO's critical number, with a target of a full year held in reserve, but that is a choice. If you are building to sell rather than to hold, the Rule of 40 below may be the better number to carry.</t>
        </r>
      </text>
      <mc:AlternateContent>
        <mc:Choice Requires="v2">
          <commentPr autoFill="true" autoScale="false" colHidden="false" locked="false" rowHidden="false" textHAlign="justify" textVAlign="top">
            <anchor moveWithCells="false" sizeWithCells="false">
              <xdr:from>
                <xdr:col>0</xdr:col>
                <xdr:colOff>15</xdr:colOff>
                <xdr:row>20</xdr:row>
                <xdr:rowOff>2</xdr:rowOff>
              </xdr:from>
              <xdr:to>
                <xdr:col>2</xdr:col>
                <xdr:colOff>15</xdr:colOff>
                <xdr:row>24</xdr:row>
                <xdr:rowOff>2</xdr:rowOff>
              </xdr:to>
            </anchor>
          </commentPr>
        </mc:Choice>
        <mc:Fallback/>
      </mc:AlternateContent>
    </comment>
    <comment ref="A22" authorId="0">
      <text>
        <r>
          <rPr>
            <sz val="10"/>
            <rFont val="Arial"/>
            <family val="2"/>
          </rPr>
          <t xml:space="preserve">The CEO's leading indicator. New recurring revenue from sales, annualized, divided by what sales and marketing cost in the same period. It measures only what those two functions bought, so what the existing base does on its own is excluded.</t>
        </r>
      </text>
      <mc:AlternateContent>
        <mc:Choice Requires="v2">
          <commentPr autoFill="true" autoScale="false" colHidden="false" locked="false" rowHidden="false" textHAlign="justify" textVAlign="top">
            <anchor moveWithCells="false" sizeWithCells="false">
              <xdr:from>
                <xdr:col>0</xdr:col>
                <xdr:colOff>15</xdr:colOff>
                <xdr:row>21</xdr:row>
                <xdr:rowOff>2</xdr:rowOff>
              </xdr:from>
              <xdr:to>
                <xdr:col>2</xdr:col>
                <xdr:colOff>15</xdr:colOff>
                <xdr:row>25</xdr:row>
                <xdr:rowOff>2</xdr:rowOff>
              </xdr:to>
            </anchor>
          </commentPr>
        </mc:Choice>
        <mc:Fallback/>
      </mc:AlternateContent>
    </comment>
    <comment ref="A23" authorId="0">
      <text>
        <r>
          <rPr>
            <sz val="10"/>
            <rFont val="Arial"/>
            <family val="2"/>
          </rPr>
          <t xml:space="preserve">The CEO's lagging indicator. Growth in recurring revenue plus operating margin. Both halves use an expanding window: whatever history exists, growing to twelve months and then holding there.</t>
        </r>
      </text>
      <mc:AlternateContent>
        <mc:Choice Requires="v2">
          <commentPr autoFill="true" autoScale="false" colHidden="false" locked="false" rowHidden="false" textHAlign="justify" textVAlign="top">
            <anchor moveWithCells="false" sizeWithCells="false">
              <xdr:from>
                <xdr:col>0</xdr:col>
                <xdr:colOff>15</xdr:colOff>
                <xdr:row>22</xdr:row>
                <xdr:rowOff>2</xdr:rowOff>
              </xdr:from>
              <xdr:to>
                <xdr:col>2</xdr:col>
                <xdr:colOff>15</xdr:colOff>
                <xdr:row>26</xdr:row>
                <xdr:rowOff>2</xdr:rowOff>
              </xdr:to>
            </anchor>
          </commentPr>
        </mc:Choice>
        <mc:Fallback/>
      </mc:AlternateContent>
    </comment>
  </commentList>
</comments>
</file>

<file path=xl/comments4.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3" authorId="0">
      <text>
        <r>
          <rPr>
            <sz val="10"/>
            <rFont val="Arial"/>
            <family val="2"/>
          </rPr>
          <t xml:space="preserve">People in the target market reached this month, counted once each.</t>
        </r>
      </text>
      <mc:AlternateContent>
        <mc:Choice Requires="v2">
          <commentPr autoFill="true" autoScale="false" colHidden="false" locked="false" rowHidden="false" textHAlign="justify" textVAlign="top">
            <anchor moveWithCells="false" sizeWithCells="false">
              <xdr:from>
                <xdr:col>0</xdr:col>
                <xdr:colOff>15</xdr:colOff>
                <xdr:row>2</xdr:row>
                <xdr:rowOff>2</xdr:rowOff>
              </xdr:from>
              <xdr:to>
                <xdr:col>2</xdr:col>
                <xdr:colOff>15</xdr:colOff>
                <xdr:row>6</xdr:row>
                <xdr:rowOff>2</xdr:rowOff>
              </xdr:to>
            </anchor>
          </commentPr>
        </mc:Choice>
        <mc:Fallback/>
      </mc:AlternateContent>
    </comment>
    <comment ref="A4" authorId="0">
      <text>
        <r>
          <rPr>
            <sz val="10"/>
            <rFont val="Arial"/>
            <family val="2"/>
          </rPr>
          <t xml:space="preserve">The share of people reached who become a marketing qualified lead. Marketing defends this assumption.</t>
        </r>
      </text>
      <mc:AlternateContent>
        <mc:Choice Requires="v2">
          <commentPr autoFill="true" autoScale="false" colHidden="false" locked="false" rowHidden="false" textHAlign="justify" textVAlign="top">
            <anchor moveWithCells="false" sizeWithCells="false">
              <xdr:from>
                <xdr:col>0</xdr:col>
                <xdr:colOff>15</xdr:colOff>
                <xdr:row>3</xdr:row>
                <xdr:rowOff>2</xdr:rowOff>
              </xdr:from>
              <xdr:to>
                <xdr:col>2</xdr:col>
                <xdr:colOff>15</xdr:colOff>
                <xdr:row>7</xdr:row>
                <xdr:rowOff>2</xdr:rowOff>
              </xdr:to>
            </anchor>
          </commentPr>
        </mc:Choice>
        <mc:Fallback/>
      </mc:AlternateContent>
    </comment>
    <comment ref="A5" authorId="0">
      <text>
        <r>
          <rPr>
            <sz val="10"/>
            <rFont val="Arial"/>
            <family val="2"/>
          </rPr>
          <t xml:space="preserve">Marketing's critical number. A lead marketing judges worth passing to sales. Reach times the rate above.</t>
        </r>
      </text>
      <mc:AlternateContent>
        <mc:Choice Requires="v2">
          <commentPr autoFill="true" autoScale="false" colHidden="false" locked="false" rowHidden="false" textHAlign="justify" textVAlign="top">
            <anchor moveWithCells="false" sizeWithCells="false">
              <xdr:from>
                <xdr:col>0</xdr:col>
                <xdr:colOff>15</xdr:colOff>
                <xdr:row>4</xdr:row>
                <xdr:rowOff>2</xdr:rowOff>
              </xdr:from>
              <xdr:to>
                <xdr:col>2</xdr:col>
                <xdr:colOff>15</xdr:colOff>
                <xdr:row>8</xdr:row>
                <xdr:rowOff>2</xdr:rowOff>
              </xdr:to>
            </anchor>
          </commentPr>
        </mc:Choice>
        <mc:Fallback/>
      </mc:AlternateContent>
    </comment>
    <comment ref="A6" authorId="0">
      <text>
        <r>
          <rPr>
            <sz val="10"/>
            <rFont val="Arial"/>
            <family val="2"/>
          </rPr>
          <t xml:space="preserve">The share of marketing qualified leads that sales accepts.</t>
        </r>
      </text>
      <mc:AlternateContent>
        <mc:Choice Requires="v2">
          <commentPr autoFill="true" autoScale="false" colHidden="false" locked="false" rowHidden="false" textHAlign="justify" textVAlign="top">
            <anchor moveWithCells="false" sizeWithCells="false">
              <xdr:from>
                <xdr:col>0</xdr:col>
                <xdr:colOff>15</xdr:colOff>
                <xdr:row>5</xdr:row>
                <xdr:rowOff>2</xdr:rowOff>
              </xdr:from>
              <xdr:to>
                <xdr:col>2</xdr:col>
                <xdr:colOff>15</xdr:colOff>
                <xdr:row>9</xdr:row>
                <xdr:rowOff>2</xdr:rowOff>
              </xdr:to>
            </anchor>
          </commentPr>
        </mc:Choice>
        <mc:Fallback/>
      </mc:AlternateContent>
    </comment>
    <comment ref="A7" authorId="0">
      <text>
        <r>
          <rPr>
            <sz val="10"/>
            <rFont val="Arial"/>
            <family val="2"/>
          </rPr>
          <t xml:space="preserve">Marketing's output. Leads sales has accepted, and the same number as Sales' input.</t>
        </r>
      </text>
      <mc:AlternateContent>
        <mc:Choice Requires="v2">
          <commentPr autoFill="true" autoScale="false" colHidden="false" locked="false" rowHidden="false" textHAlign="justify" textVAlign="top">
            <anchor moveWithCells="false" sizeWithCells="false">
              <xdr:from>
                <xdr:col>0</xdr:col>
                <xdr:colOff>15</xdr:colOff>
                <xdr:row>6</xdr:row>
                <xdr:rowOff>2</xdr:rowOff>
              </xdr:from>
              <xdr:to>
                <xdr:col>2</xdr:col>
                <xdr:colOff>15</xdr:colOff>
                <xdr:row>10</xdr:row>
                <xdr:rowOff>2</xdr:rowOff>
              </xdr:to>
            </anchor>
          </commentPr>
        </mc:Choice>
        <mc:Fallback/>
      </mc:AlternateContent>
    </comment>
  </commentList>
</comments>
</file>

<file path=xl/comments5.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3" authorId="0">
      <text>
        <r>
          <rPr>
            <sz val="10"/>
            <rFont val="Arial"/>
            <family val="2"/>
          </rPr>
          <t xml:space="preserve">Sales' input. Leads accepted from marketing this month. They close later, after the sales cycle below.</t>
        </r>
      </text>
      <mc:AlternateContent>
        <mc:Choice Requires="v2">
          <commentPr autoFill="true" autoScale="false" colHidden="false" locked="false" rowHidden="false" textHAlign="justify" textVAlign="top">
            <anchor moveWithCells="false" sizeWithCells="false">
              <xdr:from>
                <xdr:col>0</xdr:col>
                <xdr:colOff>15</xdr:colOff>
                <xdr:row>2</xdr:row>
                <xdr:rowOff>2</xdr:rowOff>
              </xdr:from>
              <xdr:to>
                <xdr:col>2</xdr:col>
                <xdr:colOff>15</xdr:colOff>
                <xdr:row>6</xdr:row>
                <xdr:rowOff>2</xdr:rowOff>
              </xdr:to>
            </anchor>
          </commentPr>
        </mc:Choice>
        <mc:Fallback/>
      </mc:AlternateContent>
    </comment>
    <comment ref="A4" authorId="0">
      <text>
        <r>
          <rPr>
            <sz val="10"/>
            <rFont val="Arial"/>
            <family val="2"/>
          </rPr>
          <t xml:space="preserve">How long a lead takes from accepted to signed. Sales defends this assumption. It is the reason a marketing miss shows up in revenue later than it happened, and the reason a good month of leads does not rescue the month it lands in. Change this cell and every month re-points at the leads that produced it.</t>
        </r>
      </text>
      <mc:AlternateContent>
        <mc:Choice Requires="v2">
          <commentPr autoFill="true" autoScale="false" colHidden="false" locked="false" rowHidden="false" textHAlign="justify" textVAlign="top">
            <anchor moveWithCells="false" sizeWithCells="false">
              <xdr:from>
                <xdr:col>0</xdr:col>
                <xdr:colOff>15</xdr:colOff>
                <xdr:row>3</xdr:row>
                <xdr:rowOff>2</xdr:rowOff>
              </xdr:from>
              <xdr:to>
                <xdr:col>2</xdr:col>
                <xdr:colOff>15</xdr:colOff>
                <xdr:row>7</xdr:row>
                <xdr:rowOff>2</xdr:rowOff>
              </xdr:to>
            </anchor>
          </commentPr>
        </mc:Choice>
        <mc:Fallback/>
      </mc:AlternateContent>
    </comment>
    <comment ref="A5" authorId="0">
      <text>
        <r>
          <rPr>
            <sz val="10"/>
            <rFont val="Arial"/>
            <family val="2"/>
          </rPr>
          <t xml:space="preserve">The share of accepted leads that become signed contracts, measured against the leads that actually produced them one sales cycle earlier. Sales defends this assumption.</t>
        </r>
      </text>
      <mc:AlternateContent>
        <mc:Choice Requires="v2">
          <commentPr autoFill="true" autoScale="false" colHidden="false" locked="false" rowHidden="false" textHAlign="justify" textVAlign="top">
            <anchor moveWithCells="false" sizeWithCells="false">
              <xdr:from>
                <xdr:col>0</xdr:col>
                <xdr:colOff>15</xdr:colOff>
                <xdr:row>4</xdr:row>
                <xdr:rowOff>2</xdr:rowOff>
              </xdr:from>
              <xdr:to>
                <xdr:col>2</xdr:col>
                <xdr:colOff>15</xdr:colOff>
                <xdr:row>8</xdr:row>
                <xdr:rowOff>2</xdr:rowOff>
              </xdr:to>
            </anchor>
          </commentPr>
        </mc:Choice>
        <mc:Fallback/>
      </mc:AlternateContent>
    </comment>
    <comment ref="A6" authorId="0">
      <text>
        <r>
          <rPr>
            <sz val="10"/>
            <rFont val="Arial"/>
            <family val="2"/>
          </rPr>
          <t xml:space="preserve">Signed contracts in the month. The leads accepted one sales cycle ago, times the close rate.</t>
        </r>
      </text>
      <mc:AlternateContent>
        <mc:Choice Requires="v2">
          <commentPr autoFill="true" autoScale="false" colHidden="false" locked="false" rowHidden="false" textHAlign="justify" textVAlign="top">
            <anchor moveWithCells="false" sizeWithCells="false">
              <xdr:from>
                <xdr:col>0</xdr:col>
                <xdr:colOff>15</xdr:colOff>
                <xdr:row>5</xdr:row>
                <xdr:rowOff>2</xdr:rowOff>
              </xdr:from>
              <xdr:to>
                <xdr:col>2</xdr:col>
                <xdr:colOff>15</xdr:colOff>
                <xdr:row>9</xdr:row>
                <xdr:rowOff>2</xdr:rowOff>
              </xdr:to>
            </anchor>
          </commentPr>
        </mc:Choice>
        <mc:Fallback/>
      </mc:AlternateContent>
    </comment>
    <comment ref="A7" authorId="0">
      <text>
        <r>
          <rPr>
            <sz val="10"/>
            <rFont val="Arial"/>
            <family val="2"/>
          </rPr>
          <t xml:space="preserve">The monthly recurring value of a new customer. Rises as engineering ships product releases.</t>
        </r>
      </text>
      <mc:AlternateContent>
        <mc:Choice Requires="v2">
          <commentPr autoFill="true" autoScale="false" colHidden="false" locked="false" rowHidden="false" textHAlign="justify" textVAlign="top">
            <anchor moveWithCells="false" sizeWithCells="false">
              <xdr:from>
                <xdr:col>0</xdr:col>
                <xdr:colOff>15</xdr:colOff>
                <xdr:row>6</xdr:row>
                <xdr:rowOff>2</xdr:rowOff>
              </xdr:from>
              <xdr:to>
                <xdr:col>2</xdr:col>
                <xdr:colOff>15</xdr:colOff>
                <xdr:row>10</xdr:row>
                <xdr:rowOff>2</xdr:rowOff>
              </xdr:to>
            </anchor>
          </commentPr>
        </mc:Choice>
        <mc:Fallback/>
      </mc:AlternateContent>
    </comment>
    <comment ref="A8" authorId="0">
      <text>
        <r>
          <rPr>
            <sz val="10"/>
            <rFont val="Arial"/>
            <family val="2"/>
          </rPr>
          <t xml:space="preserve">Sales' critical number and its output. Closes times contract value.</t>
        </r>
      </text>
      <mc:AlternateContent>
        <mc:Choice Requires="v2">
          <commentPr autoFill="true" autoScale="false" colHidden="false" locked="false" rowHidden="false" textHAlign="justify" textVAlign="top">
            <anchor moveWithCells="false" sizeWithCells="false">
              <xdr:from>
                <xdr:col>0</xdr:col>
                <xdr:colOff>15</xdr:colOff>
                <xdr:row>7</xdr:row>
                <xdr:rowOff>2</xdr:rowOff>
              </xdr:from>
              <xdr:to>
                <xdr:col>2</xdr:col>
                <xdr:colOff>15</xdr:colOff>
                <xdr:row>11</xdr:row>
                <xdr:rowOff>2</xdr:rowOff>
              </xdr:to>
            </anchor>
          </commentPr>
        </mc:Choice>
        <mc:Fallback/>
      </mc:AlternateContent>
    </comment>
  </commentList>
</comments>
</file>

<file path=xl/comments6.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3" authorId="0">
      <text>
        <r>
          <rPr>
            <sz val="10"/>
            <rFont val="Arial"/>
            <family val="2"/>
          </rPr>
          <t xml:space="preserve">Customer success's input. The recurring revenue the month starts with.</t>
        </r>
      </text>
      <mc:AlternateContent>
        <mc:Choice Requires="v2">
          <commentPr autoFill="true" autoScale="false" colHidden="false" locked="false" rowHidden="false" textHAlign="justify" textVAlign="top">
            <anchor moveWithCells="false" sizeWithCells="false">
              <xdr:from>
                <xdr:col>0</xdr:col>
                <xdr:colOff>15</xdr:colOff>
                <xdr:row>2</xdr:row>
                <xdr:rowOff>2</xdr:rowOff>
              </xdr:from>
              <xdr:to>
                <xdr:col>2</xdr:col>
                <xdr:colOff>15</xdr:colOff>
                <xdr:row>6</xdr:row>
                <xdr:rowOff>2</xdr:rowOff>
              </xdr:to>
            </anchor>
          </commentPr>
        </mc:Choice>
        <mc:Fallback/>
      </mc:AlternateContent>
    </comment>
    <comment ref="A4" authorId="0">
      <text>
        <r>
          <rPr>
            <sz val="10"/>
            <rFont val="Arial"/>
            <family val="2"/>
          </rPr>
          <t xml:space="preserve">The share of opening revenue added by existing customers buying more. Customer success defends this assumption.</t>
        </r>
      </text>
      <mc:AlternateContent>
        <mc:Choice Requires="v2">
          <commentPr autoFill="true" autoScale="false" colHidden="false" locked="false" rowHidden="false" textHAlign="justify" textVAlign="top">
            <anchor moveWithCells="false" sizeWithCells="false">
              <xdr:from>
                <xdr:col>0</xdr:col>
                <xdr:colOff>15</xdr:colOff>
                <xdr:row>3</xdr:row>
                <xdr:rowOff>2</xdr:rowOff>
              </xdr:from>
              <xdr:to>
                <xdr:col>2</xdr:col>
                <xdr:colOff>15</xdr:colOff>
                <xdr:row>7</xdr:row>
                <xdr:rowOff>2</xdr:rowOff>
              </xdr:to>
            </anchor>
          </commentPr>
        </mc:Choice>
        <mc:Fallback/>
      </mc:AlternateContent>
    </comment>
    <comment ref="A5" authorId="0">
      <text>
        <r>
          <rPr>
            <sz val="10"/>
            <rFont val="Arial"/>
            <family val="2"/>
          </rPr>
          <t xml:space="preserve">Opening revenue times the expansion rate.</t>
        </r>
      </text>
      <mc:AlternateContent>
        <mc:Choice Requires="v2">
          <commentPr autoFill="true" autoScale="false" colHidden="false" locked="false" rowHidden="false" textHAlign="justify" textVAlign="top">
            <anchor moveWithCells="false" sizeWithCells="false">
              <xdr:from>
                <xdr:col>0</xdr:col>
                <xdr:colOff>15</xdr:colOff>
                <xdr:row>4</xdr:row>
                <xdr:rowOff>2</xdr:rowOff>
              </xdr:from>
              <xdr:to>
                <xdr:col>2</xdr:col>
                <xdr:colOff>15</xdr:colOff>
                <xdr:row>8</xdr:row>
                <xdr:rowOff>2</xdr:rowOff>
              </xdr:to>
            </anchor>
          </commentPr>
        </mc:Choice>
        <mc:Fallback/>
      </mc:AlternateContent>
    </comment>
    <comment ref="A6" authorId="0">
      <text>
        <r>
          <rPr>
            <sz val="10"/>
            <rFont val="Arial"/>
            <family val="2"/>
          </rPr>
          <t xml:space="preserve">The share of opening revenue lost to customers who downgrade but stay. Customer success defends this assumption.</t>
        </r>
      </text>
      <mc:AlternateContent>
        <mc:Choice Requires="v2">
          <commentPr autoFill="true" autoScale="false" colHidden="false" locked="false" rowHidden="false" textHAlign="justify" textVAlign="top">
            <anchor moveWithCells="false" sizeWithCells="false">
              <xdr:from>
                <xdr:col>0</xdr:col>
                <xdr:colOff>15</xdr:colOff>
                <xdr:row>5</xdr:row>
                <xdr:rowOff>2</xdr:rowOff>
              </xdr:from>
              <xdr:to>
                <xdr:col>2</xdr:col>
                <xdr:colOff>15</xdr:colOff>
                <xdr:row>9</xdr:row>
                <xdr:rowOff>2</xdr:rowOff>
              </xdr:to>
            </anchor>
          </commentPr>
        </mc:Choice>
        <mc:Fallback/>
      </mc:AlternateContent>
    </comment>
    <comment ref="A7" authorId="0">
      <text>
        <r>
          <rPr>
            <sz val="10"/>
            <rFont val="Arial"/>
            <family val="2"/>
          </rPr>
          <t xml:space="preserve">Opening revenue times the contraction rate.</t>
        </r>
      </text>
      <mc:AlternateContent>
        <mc:Choice Requires="v2">
          <commentPr autoFill="true" autoScale="false" colHidden="false" locked="false" rowHidden="false" textHAlign="justify" textVAlign="top">
            <anchor moveWithCells="false" sizeWithCells="false">
              <xdr:from>
                <xdr:col>0</xdr:col>
                <xdr:colOff>15</xdr:colOff>
                <xdr:row>6</xdr:row>
                <xdr:rowOff>2</xdr:rowOff>
              </xdr:from>
              <xdr:to>
                <xdr:col>2</xdr:col>
                <xdr:colOff>15</xdr:colOff>
                <xdr:row>10</xdr:row>
                <xdr:rowOff>2</xdr:rowOff>
              </xdr:to>
            </anchor>
          </commentPr>
        </mc:Choice>
        <mc:Fallback/>
      </mc:AlternateContent>
    </comment>
    <comment ref="A8" authorId="0">
      <text>
        <r>
          <rPr>
            <sz val="10"/>
            <rFont val="Arial"/>
            <family val="2"/>
          </rPr>
          <t xml:space="preserve">The share of opening revenue lost to customers who leave. Follows the blended customer churn rate below.</t>
        </r>
      </text>
      <mc:AlternateContent>
        <mc:Choice Requires="v2">
          <commentPr autoFill="true" autoScale="false" colHidden="false" locked="false" rowHidden="false" textHAlign="justify" textVAlign="top">
            <anchor moveWithCells="false" sizeWithCells="false">
              <xdr:from>
                <xdr:col>0</xdr:col>
                <xdr:colOff>15</xdr:colOff>
                <xdr:row>7</xdr:row>
                <xdr:rowOff>2</xdr:rowOff>
              </xdr:from>
              <xdr:to>
                <xdr:col>2</xdr:col>
                <xdr:colOff>15</xdr:colOff>
                <xdr:row>11</xdr:row>
                <xdr:rowOff>2</xdr:rowOff>
              </xdr:to>
            </anchor>
          </commentPr>
        </mc:Choice>
        <mc:Fallback/>
      </mc:AlternateContent>
    </comment>
    <comment ref="A9" authorId="0">
      <text>
        <r>
          <rPr>
            <sz val="10"/>
            <rFont val="Arial"/>
            <family val="2"/>
          </rPr>
          <t xml:space="preserve">Opening revenue times the revenue churn rate.</t>
        </r>
      </text>
      <mc:AlternateContent>
        <mc:Choice Requires="v2">
          <commentPr autoFill="true" autoScale="false" colHidden="false" locked="false" rowHidden="false" textHAlign="justify" textVAlign="top">
            <anchor moveWithCells="false" sizeWithCells="false">
              <xdr:from>
                <xdr:col>0</xdr:col>
                <xdr:colOff>15</xdr:colOff>
                <xdr:row>8</xdr:row>
                <xdr:rowOff>2</xdr:rowOff>
              </xdr:from>
              <xdr:to>
                <xdr:col>2</xdr:col>
                <xdr:colOff>15</xdr:colOff>
                <xdr:row>12</xdr:row>
                <xdr:rowOff>2</xdr:rowOff>
              </xdr:to>
            </anchor>
          </commentPr>
        </mc:Choice>
        <mc:Fallback/>
      </mc:AlternateContent>
    </comment>
    <comment ref="A10" authorId="0">
      <text>
        <r>
          <rPr>
            <sz val="10"/>
            <rFont val="Arial"/>
            <family val="2"/>
          </rPr>
          <t xml:space="preserve">Customer success's critical number. Opening revenue plus the net change, divided by opening revenue. Above one hundred percent means the existing base grows on its own.</t>
        </r>
      </text>
      <mc:AlternateContent>
        <mc:Choice Requires="v2">
          <commentPr autoFill="true" autoScale="false" colHidden="false" locked="false" rowHidden="false" textHAlign="justify" textVAlign="top">
            <anchor moveWithCells="false" sizeWithCells="false">
              <xdr:from>
                <xdr:col>0</xdr:col>
                <xdr:colOff>15</xdr:colOff>
                <xdr:row>9</xdr:row>
                <xdr:rowOff>2</xdr:rowOff>
              </xdr:from>
              <xdr:to>
                <xdr:col>2</xdr:col>
                <xdr:colOff>15</xdr:colOff>
                <xdr:row>13</xdr:row>
                <xdr:rowOff>2</xdr:rowOff>
              </xdr:to>
            </anchor>
          </commentPr>
        </mc:Choice>
        <mc:Fallback/>
      </mc:AlternateContent>
    </comment>
    <comment ref="A11" authorId="0">
      <text>
        <r>
          <rPr>
            <sz val="10"/>
            <rFont val="Arial"/>
            <family val="2"/>
          </rPr>
          <t xml:space="preserve">Customer success's output. Expansion less contraction less churn.</t>
        </r>
      </text>
      <mc:AlternateContent>
        <mc:Choice Requires="v2">
          <commentPr autoFill="true" autoScale="false" colHidden="false" locked="false" rowHidden="false" textHAlign="justify" textVAlign="top">
            <anchor moveWithCells="false" sizeWithCells="false">
              <xdr:from>
                <xdr:col>0</xdr:col>
                <xdr:colOff>15</xdr:colOff>
                <xdr:row>10</xdr:row>
                <xdr:rowOff>2</xdr:rowOff>
              </xdr:from>
              <xdr:to>
                <xdr:col>2</xdr:col>
                <xdr:colOff>15</xdr:colOff>
                <xdr:row>14</xdr:row>
                <xdr:rowOff>2</xdr:rowOff>
              </xdr:to>
            </anchor>
          </commentPr>
        </mc:Choice>
        <mc:Fallback/>
      </mc:AlternateContent>
    </comment>
    <comment ref="A12" authorId="0">
      <text>
        <r>
          <rPr>
            <sz val="10"/>
            <rFont val="Arial"/>
            <family val="2"/>
          </rPr>
          <t xml:space="preserve">Customers at the start of the month.</t>
        </r>
      </text>
      <mc:AlternateContent>
        <mc:Choice Requires="v2">
          <commentPr autoFill="true" autoScale="false" colHidden="false" locked="false" rowHidden="false" textHAlign="justify" textVAlign="top">
            <anchor moveWithCells="false" sizeWithCells="false">
              <xdr:from>
                <xdr:col>0</xdr:col>
                <xdr:colOff>15</xdr:colOff>
                <xdr:row>11</xdr:row>
                <xdr:rowOff>2</xdr:rowOff>
              </xdr:from>
              <xdr:to>
                <xdr:col>2</xdr:col>
                <xdr:colOff>15</xdr:colOff>
                <xdr:row>15</xdr:row>
                <xdr:rowOff>2</xdr:rowOff>
              </xdr:to>
            </anchor>
          </commentPr>
        </mc:Choice>
        <mc:Fallback/>
      </mc:AlternateContent>
    </comment>
    <comment ref="A13" authorId="0">
      <text>
        <r>
          <rPr>
            <sz val="10"/>
            <rFont val="Arial"/>
            <family val="2"/>
          </rPr>
          <t xml:space="preserve">Customers support could not put right. They churn at the at-risk rate below.</t>
        </r>
      </text>
      <mc:AlternateContent>
        <mc:Choice Requires="v2">
          <commentPr autoFill="true" autoScale="false" colHidden="false" locked="false" rowHidden="false" textHAlign="justify" textVAlign="top">
            <anchor moveWithCells="false" sizeWithCells="false">
              <xdr:from>
                <xdr:col>0</xdr:col>
                <xdr:colOff>15</xdr:colOff>
                <xdr:row>12</xdr:row>
                <xdr:rowOff>2</xdr:rowOff>
              </xdr:from>
              <xdr:to>
                <xdr:col>2</xdr:col>
                <xdr:colOff>15</xdr:colOff>
                <xdr:row>16</xdr:row>
                <xdr:rowOff>2</xdr:rowOff>
              </xdr:to>
            </anchor>
          </commentPr>
        </mc:Choice>
        <mc:Fallback/>
      </mc:AlternateContent>
    </comment>
    <comment ref="A14" authorId="0">
      <text>
        <r>
          <rPr>
            <sz val="10"/>
            <rFont val="Arial"/>
            <family val="2"/>
          </rPr>
          <t xml:space="preserve">Monthly churn among customers with no unresolved issue.</t>
        </r>
      </text>
      <mc:AlternateContent>
        <mc:Choice Requires="v2">
          <commentPr autoFill="true" autoScale="false" colHidden="false" locked="false" rowHidden="false" textHAlign="justify" textVAlign="top">
            <anchor moveWithCells="false" sizeWithCells="false">
              <xdr:from>
                <xdr:col>0</xdr:col>
                <xdr:colOff>15</xdr:colOff>
                <xdr:row>13</xdr:row>
                <xdr:rowOff>2</xdr:rowOff>
              </xdr:from>
              <xdr:to>
                <xdr:col>2</xdr:col>
                <xdr:colOff>15</xdr:colOff>
                <xdr:row>17</xdr:row>
                <xdr:rowOff>2</xdr:rowOff>
              </xdr:to>
            </anchor>
          </commentPr>
        </mc:Choice>
        <mc:Fallback/>
      </mc:AlternateContent>
    </comment>
    <comment ref="A15" authorId="0">
      <text>
        <r>
          <rPr>
            <sz val="10"/>
            <rFont val="Arial"/>
            <family val="2"/>
          </rPr>
          <t xml:space="preserve">Monthly churn among customers carrying an unresolved issue.</t>
        </r>
      </text>
      <mc:AlternateContent>
        <mc:Choice Requires="v2">
          <commentPr autoFill="true" autoScale="false" colHidden="false" locked="false" rowHidden="false" textHAlign="justify" textVAlign="top">
            <anchor moveWithCells="false" sizeWithCells="false">
              <xdr:from>
                <xdr:col>0</xdr:col>
                <xdr:colOff>15</xdr:colOff>
                <xdr:row>14</xdr:row>
                <xdr:rowOff>2</xdr:rowOff>
              </xdr:from>
              <xdr:to>
                <xdr:col>2</xdr:col>
                <xdr:colOff>15</xdr:colOff>
                <xdr:row>18</xdr:row>
                <xdr:rowOff>2</xdr:rowOff>
              </xdr:to>
            </anchor>
          </commentPr>
        </mc:Choice>
        <mc:Fallback/>
      </mc:AlternateContent>
    </comment>
    <comment ref="A16" authorId="0">
      <text>
        <r>
          <rPr>
            <sz val="10"/>
            <rFont val="Arial"/>
            <family val="2"/>
          </rPr>
          <t xml:space="preserve">The blend of the two rates above, weighted by how many customers are at risk.</t>
        </r>
      </text>
      <mc:AlternateContent>
        <mc:Choice Requires="v2">
          <commentPr autoFill="true" autoScale="false" colHidden="false" locked="false" rowHidden="false" textHAlign="justify" textVAlign="top">
            <anchor moveWithCells="false" sizeWithCells="false">
              <xdr:from>
                <xdr:col>0</xdr:col>
                <xdr:colOff>15</xdr:colOff>
                <xdr:row>15</xdr:row>
                <xdr:rowOff>2</xdr:rowOff>
              </xdr:from>
              <xdr:to>
                <xdr:col>2</xdr:col>
                <xdr:colOff>15</xdr:colOff>
                <xdr:row>19</xdr:row>
                <xdr:rowOff>2</xdr:rowOff>
              </xdr:to>
            </anchor>
          </commentPr>
        </mc:Choice>
        <mc:Fallback/>
      </mc:AlternateContent>
    </comment>
    <comment ref="A17" authorId="0">
      <text>
        <r>
          <rPr>
            <sz val="10"/>
            <rFont val="Arial"/>
            <family val="2"/>
          </rPr>
          <t xml:space="preserve">The customer base times the blended churn rate.</t>
        </r>
      </text>
      <mc:AlternateContent>
        <mc:Choice Requires="v2">
          <commentPr autoFill="true" autoScale="false" colHidden="false" locked="false" rowHidden="false" textHAlign="justify" textVAlign="top">
            <anchor moveWithCells="false" sizeWithCells="false">
              <xdr:from>
                <xdr:col>0</xdr:col>
                <xdr:colOff>15</xdr:colOff>
                <xdr:row>16</xdr:row>
                <xdr:rowOff>2</xdr:rowOff>
              </xdr:from>
              <xdr:to>
                <xdr:col>2</xdr:col>
                <xdr:colOff>15</xdr:colOff>
                <xdr:row>20</xdr:row>
                <xdr:rowOff>2</xdr:rowOff>
              </xdr:to>
            </anchor>
          </commentPr>
        </mc:Choice>
        <mc:Fallback/>
      </mc:AlternateContent>
    </comment>
  </commentList>
</comments>
</file>

<file path=xl/comments7.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3" authorId="0">
      <text>
        <r>
          <rPr>
            <sz val="10"/>
            <rFont val="Arial"/>
            <family val="2"/>
          </rPr>
          <t xml:space="preserve">The customer base at the start of the month.</t>
        </r>
      </text>
      <mc:AlternateContent>
        <mc:Choice Requires="v2">
          <commentPr autoFill="true" autoScale="false" colHidden="false" locked="false" rowHidden="false" textHAlign="justify" textVAlign="top">
            <anchor moveWithCells="false" sizeWithCells="false">
              <xdr:from>
                <xdr:col>0</xdr:col>
                <xdr:colOff>15</xdr:colOff>
                <xdr:row>2</xdr:row>
                <xdr:rowOff>2</xdr:rowOff>
              </xdr:from>
              <xdr:to>
                <xdr:col>2</xdr:col>
                <xdr:colOff>15</xdr:colOff>
                <xdr:row>6</xdr:row>
                <xdr:rowOff>2</xdr:rowOff>
              </xdr:to>
            </anchor>
          </commentPr>
        </mc:Choice>
        <mc:Fallback/>
      </mc:AlternateContent>
    </comment>
    <comment ref="A4" authorId="0">
      <text>
        <r>
          <rPr>
            <sz val="10"/>
            <rFont val="Arial"/>
            <family val="2"/>
          </rPr>
          <t xml:space="preserve">How much support each customer needs. Falls as engineering ships quality releases.</t>
        </r>
      </text>
      <mc:AlternateContent>
        <mc:Choice Requires="v2">
          <commentPr autoFill="true" autoScale="false" colHidden="false" locked="false" rowHidden="false" textHAlign="justify" textVAlign="top">
            <anchor moveWithCells="false" sizeWithCells="false">
              <xdr:from>
                <xdr:col>0</xdr:col>
                <xdr:colOff>15</xdr:colOff>
                <xdr:row>3</xdr:row>
                <xdr:rowOff>2</xdr:rowOff>
              </xdr:from>
              <xdr:to>
                <xdr:col>2</xdr:col>
                <xdr:colOff>15</xdr:colOff>
                <xdr:row>7</xdr:row>
                <xdr:rowOff>2</xdr:rowOff>
              </xdr:to>
            </anchor>
          </commentPr>
        </mc:Choice>
        <mc:Fallback/>
      </mc:AlternateContent>
    </comment>
    <comment ref="A5" authorId="0">
      <text>
        <r>
          <rPr>
            <sz val="10"/>
            <rFont val="Arial"/>
            <family val="2"/>
          </rPr>
          <t xml:space="preserve">Support's input. Customers times tickets per customer.</t>
        </r>
      </text>
      <mc:AlternateContent>
        <mc:Choice Requires="v2">
          <commentPr autoFill="true" autoScale="false" colHidden="false" locked="false" rowHidden="false" textHAlign="justify" textVAlign="top">
            <anchor moveWithCells="false" sizeWithCells="false">
              <xdr:from>
                <xdr:col>0</xdr:col>
                <xdr:colOff>15</xdr:colOff>
                <xdr:row>4</xdr:row>
                <xdr:rowOff>2</xdr:rowOff>
              </xdr:from>
              <xdr:to>
                <xdr:col>2</xdr:col>
                <xdr:colOff>15</xdr:colOff>
                <xdr:row>8</xdr:row>
                <xdr:rowOff>2</xdr:rowOff>
              </xdr:to>
            </anchor>
          </commentPr>
        </mc:Choice>
        <mc:Fallback/>
      </mc:AlternateContent>
    </comment>
    <comment ref="A6" authorId="0">
      <text>
        <r>
          <rPr>
            <sz val="10"/>
            <rFont val="Arial"/>
            <family val="2"/>
          </rPr>
          <t xml:space="preserve">The share of tickets resolved inside the promised time. Support defends this assumption.</t>
        </r>
      </text>
      <mc:AlternateContent>
        <mc:Choice Requires="v2">
          <commentPr autoFill="true" autoScale="false" colHidden="false" locked="false" rowHidden="false" textHAlign="justify" textVAlign="top">
            <anchor moveWithCells="false" sizeWithCells="false">
              <xdr:from>
                <xdr:col>0</xdr:col>
                <xdr:colOff>15</xdr:colOff>
                <xdr:row>5</xdr:row>
                <xdr:rowOff>2</xdr:rowOff>
              </xdr:from>
              <xdr:to>
                <xdr:col>2</xdr:col>
                <xdr:colOff>15</xdr:colOff>
                <xdr:row>9</xdr:row>
                <xdr:rowOff>2</xdr:rowOff>
              </xdr:to>
            </anchor>
          </commentPr>
        </mc:Choice>
        <mc:Fallback/>
      </mc:AlternateContent>
    </comment>
    <comment ref="A7" authorId="0">
      <text>
        <r>
          <rPr>
            <sz val="10"/>
            <rFont val="Arial"/>
            <family val="2"/>
          </rPr>
          <t xml:space="preserve">Support's critical number. Tickets received times the SLA resolution rate.</t>
        </r>
      </text>
      <mc:AlternateContent>
        <mc:Choice Requires="v2">
          <commentPr autoFill="true" autoScale="false" colHidden="false" locked="false" rowHidden="false" textHAlign="justify" textVAlign="top">
            <anchor moveWithCells="false" sizeWithCells="false">
              <xdr:from>
                <xdr:col>0</xdr:col>
                <xdr:colOff>15</xdr:colOff>
                <xdr:row>6</xdr:row>
                <xdr:rowOff>2</xdr:rowOff>
              </xdr:from>
              <xdr:to>
                <xdr:col>2</xdr:col>
                <xdr:colOff>15</xdr:colOff>
                <xdr:row>10</xdr:row>
                <xdr:rowOff>2</xdr:rowOff>
              </xdr:to>
            </anchor>
          </commentPr>
        </mc:Choice>
        <mc:Fallback/>
      </mc:AlternateContent>
    </comment>
    <comment ref="A8" authorId="0">
      <text>
        <r>
          <rPr>
            <sz val="10"/>
            <rFont val="Arial"/>
            <family val="2"/>
          </rPr>
          <t xml:space="preserve">Tickets received less tickets resolved within the promised time.</t>
        </r>
      </text>
      <mc:AlternateContent>
        <mc:Choice Requires="v2">
          <commentPr autoFill="true" autoScale="false" colHidden="false" locked="false" rowHidden="false" textHAlign="justify" textVAlign="top">
            <anchor moveWithCells="false" sizeWithCells="false">
              <xdr:from>
                <xdr:col>0</xdr:col>
                <xdr:colOff>15</xdr:colOff>
                <xdr:row>7</xdr:row>
                <xdr:rowOff>2</xdr:rowOff>
              </xdr:from>
              <xdr:to>
                <xdr:col>2</xdr:col>
                <xdr:colOff>15</xdr:colOff>
                <xdr:row>11</xdr:row>
                <xdr:rowOff>2</xdr:rowOff>
              </xdr:to>
            </anchor>
          </commentPr>
        </mc:Choice>
        <mc:Fallback/>
      </mc:AlternateContent>
    </comment>
    <comment ref="A9" authorId="0">
      <text>
        <r>
          <rPr>
            <sz val="10"/>
            <rFont val="Arial"/>
            <family val="2"/>
          </rPr>
          <t xml:space="preserve">How many open tickets a struggling customer typically has.</t>
        </r>
      </text>
      <mc:AlternateContent>
        <mc:Choice Requires="v2">
          <commentPr autoFill="true" autoScale="false" colHidden="false" locked="false" rowHidden="false" textHAlign="justify" textVAlign="top">
            <anchor moveWithCells="false" sizeWithCells="false">
              <xdr:from>
                <xdr:col>0</xdr:col>
                <xdr:colOff>15</xdr:colOff>
                <xdr:row>8</xdr:row>
                <xdr:rowOff>2</xdr:rowOff>
              </xdr:from>
              <xdr:to>
                <xdr:col>2</xdr:col>
                <xdr:colOff>15</xdr:colOff>
                <xdr:row>12</xdr:row>
                <xdr:rowOff>2</xdr:rowOff>
              </xdr:to>
            </anchor>
          </commentPr>
        </mc:Choice>
        <mc:Fallback/>
      </mc:AlternateContent>
    </comment>
    <comment ref="A10" authorId="0">
      <text>
        <r>
          <rPr>
            <sz val="10"/>
            <rFont val="Arial"/>
            <family val="2"/>
          </rPr>
          <t xml:space="preserve">Support's output, handed to customer success. Unresolved tickets divided by the rate above.</t>
        </r>
      </text>
      <mc:AlternateContent>
        <mc:Choice Requires="v2">
          <commentPr autoFill="true" autoScale="false" colHidden="false" locked="false" rowHidden="false" textHAlign="justify" textVAlign="top">
            <anchor moveWithCells="false" sizeWithCells="false">
              <xdr:from>
                <xdr:col>0</xdr:col>
                <xdr:colOff>15</xdr:colOff>
                <xdr:row>9</xdr:row>
                <xdr:rowOff>2</xdr:rowOff>
              </xdr:from>
              <xdr:to>
                <xdr:col>2</xdr:col>
                <xdr:colOff>15</xdr:colOff>
                <xdr:row>13</xdr:row>
                <xdr:rowOff>2</xdr:rowOff>
              </xdr:to>
            </anchor>
          </commentPr>
        </mc:Choice>
        <mc:Fallback/>
      </mc:AlternateContent>
    </comment>
  </commentList>
</comments>
</file>

<file path=xl/comments8.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3" authorId="0">
      <text>
        <r>
          <rPr>
            <sz val="10"/>
            <rFont val="Arial"/>
            <family val="2"/>
          </rPr>
          <t xml:space="preserve">Engineering's input. Engineer-weeks available this month, counting only the seats that build. Managers, design and operations seats carry cost but not capacity, so hiring one does not add throughput the team cannot deliver.</t>
        </r>
      </text>
      <mc:AlternateContent>
        <mc:Choice Requires="v2">
          <commentPr autoFill="true" autoScale="false" colHidden="false" locked="false" rowHidden="false" textHAlign="justify" textVAlign="top">
            <anchor moveWithCells="false" sizeWithCells="false">
              <xdr:from>
                <xdr:col>0</xdr:col>
                <xdr:colOff>15</xdr:colOff>
                <xdr:row>2</xdr:row>
                <xdr:rowOff>2</xdr:rowOff>
              </xdr:from>
              <xdr:to>
                <xdr:col>2</xdr:col>
                <xdr:colOff>15</xdr:colOff>
                <xdr:row>6</xdr:row>
                <xdr:rowOff>2</xdr:rowOff>
              </xdr:to>
            </anchor>
          </commentPr>
        </mc:Choice>
        <mc:Fallback/>
      </mc:AlternateContent>
    </comment>
    <comment ref="A4" authorId="0">
      <text>
        <r>
          <rPr>
            <sz val="10"/>
            <rFont val="Arial"/>
            <family val="2"/>
          </rPr>
          <t xml:space="preserve">How much capacity one release consumes. Engineering defends this assumption.</t>
        </r>
      </text>
      <mc:AlternateContent>
        <mc:Choice Requires="v2">
          <commentPr autoFill="true" autoScale="false" colHidden="false" locked="false" rowHidden="false" textHAlign="justify" textVAlign="top">
            <anchor moveWithCells="false" sizeWithCells="false">
              <xdr:from>
                <xdr:col>0</xdr:col>
                <xdr:colOff>15</xdr:colOff>
                <xdr:row>3</xdr:row>
                <xdr:rowOff>2</xdr:rowOff>
              </xdr:from>
              <xdr:to>
                <xdr:col>2</xdr:col>
                <xdr:colOff>15</xdr:colOff>
                <xdr:row>7</xdr:row>
                <xdr:rowOff>2</xdr:rowOff>
              </xdr:to>
            </anchor>
          </commentPr>
        </mc:Choice>
        <mc:Fallback/>
      </mc:AlternateContent>
    </comment>
    <comment ref="A5" authorId="0">
      <text>
        <r>
          <rPr>
            <sz val="10"/>
            <rFont val="Arial"/>
            <family val="2"/>
          </rPr>
          <t xml:space="preserve">Engineering's critical number. Work that reached customers and passed its acceptance criteria. Capacity divided by engineer-weeks per release.</t>
        </r>
      </text>
      <mc:AlternateContent>
        <mc:Choice Requires="v2">
          <commentPr autoFill="true" autoScale="false" colHidden="false" locked="false" rowHidden="false" textHAlign="justify" textVAlign="top">
            <anchor moveWithCells="false" sizeWithCells="false">
              <xdr:from>
                <xdr:col>0</xdr:col>
                <xdr:colOff>15</xdr:colOff>
                <xdr:row>4</xdr:row>
                <xdr:rowOff>2</xdr:rowOff>
              </xdr:from>
              <xdr:to>
                <xdr:col>2</xdr:col>
                <xdr:colOff>15</xdr:colOff>
                <xdr:row>8</xdr:row>
                <xdr:rowOff>2</xdr:rowOff>
              </xdr:to>
            </anchor>
          </commentPr>
        </mc:Choice>
        <mc:Fallback/>
      </mc:AlternateContent>
    </comment>
    <comment ref="A6" authorId="0">
      <text>
        <r>
          <rPr>
            <sz val="10"/>
            <rFont val="Arial"/>
            <family val="2"/>
          </rPr>
          <t xml:space="preserve">The share of releases aimed at new value.</t>
        </r>
      </text>
      <mc:AlternateContent>
        <mc:Choice Requires="v2">
          <commentPr autoFill="true" autoScale="false" colHidden="false" locked="false" rowHidden="false" textHAlign="justify" textVAlign="top">
            <anchor moveWithCells="false" sizeWithCells="false">
              <xdr:from>
                <xdr:col>0</xdr:col>
                <xdr:colOff>15</xdr:colOff>
                <xdr:row>5</xdr:row>
                <xdr:rowOff>2</xdr:rowOff>
              </xdr:from>
              <xdr:to>
                <xdr:col>2</xdr:col>
                <xdr:colOff>15</xdr:colOff>
                <xdr:row>9</xdr:row>
                <xdr:rowOff>2</xdr:rowOff>
              </xdr:to>
            </anchor>
          </commentPr>
        </mc:Choice>
        <mc:Fallback/>
      </mc:AlternateContent>
    </comment>
    <comment ref="A7" authorId="0">
      <text>
        <r>
          <rPr>
            <sz val="10"/>
            <rFont val="Arial"/>
            <family val="2"/>
          </rPr>
          <t xml:space="preserve">Engineering's output to sales. Each one lifts average contract value by the uplift below.</t>
        </r>
      </text>
      <mc:AlternateContent>
        <mc:Choice Requires="v2">
          <commentPr autoFill="true" autoScale="false" colHidden="false" locked="false" rowHidden="false" textHAlign="justify" textVAlign="top">
            <anchor moveWithCells="false" sizeWithCells="false">
              <xdr:from>
                <xdr:col>0</xdr:col>
                <xdr:colOff>15</xdr:colOff>
                <xdr:row>6</xdr:row>
                <xdr:rowOff>2</xdr:rowOff>
              </xdr:from>
              <xdr:to>
                <xdr:col>2</xdr:col>
                <xdr:colOff>15</xdr:colOff>
                <xdr:row>10</xdr:row>
                <xdr:rowOff>2</xdr:rowOff>
              </xdr:to>
            </anchor>
          </commentPr>
        </mc:Choice>
        <mc:Fallback/>
      </mc:AlternateContent>
    </comment>
    <comment ref="A8" authorId="0">
      <text>
        <r>
          <rPr>
            <sz val="10"/>
            <rFont val="Arial"/>
            <family val="2"/>
          </rPr>
          <t xml:space="preserve">Engineering's output to support. Each one cuts tickets per customer by the reduction below.</t>
        </r>
      </text>
      <mc:AlternateContent>
        <mc:Choice Requires="v2">
          <commentPr autoFill="true" autoScale="false" colHidden="false" locked="false" rowHidden="false" textHAlign="justify" textVAlign="top">
            <anchor moveWithCells="false" sizeWithCells="false">
              <xdr:from>
                <xdr:col>0</xdr:col>
                <xdr:colOff>15</xdr:colOff>
                <xdr:row>7</xdr:row>
                <xdr:rowOff>2</xdr:rowOff>
              </xdr:from>
              <xdr:to>
                <xdr:col>2</xdr:col>
                <xdr:colOff>15</xdr:colOff>
                <xdr:row>11</xdr:row>
                <xdr:rowOff>2</xdr:rowOff>
              </xdr:to>
            </anchor>
          </commentPr>
        </mc:Choice>
        <mc:Fallback/>
      </mc:AlternateContent>
    </comment>
    <comment ref="A9" authorId="0">
      <text>
        <r>
          <rPr>
            <sz val="10"/>
            <rFont val="Arial"/>
            <family val="2"/>
          </rPr>
          <t xml:space="preserve">How much monthly contract value one product release adds. Engineering and sales agree this assumption.</t>
        </r>
      </text>
      <mc:AlternateContent>
        <mc:Choice Requires="v2">
          <commentPr autoFill="true" autoScale="false" colHidden="false" locked="false" rowHidden="false" textHAlign="justify" textVAlign="top">
            <anchor moveWithCells="false" sizeWithCells="false">
              <xdr:from>
                <xdr:col>0</xdr:col>
                <xdr:colOff>15</xdr:colOff>
                <xdr:row>8</xdr:row>
                <xdr:rowOff>2</xdr:rowOff>
              </xdr:from>
              <xdr:to>
                <xdr:col>2</xdr:col>
                <xdr:colOff>15</xdr:colOff>
                <xdr:row>12</xdr:row>
                <xdr:rowOff>2</xdr:rowOff>
              </xdr:to>
            </anchor>
          </commentPr>
        </mc:Choice>
        <mc:Fallback/>
      </mc:AlternateContent>
    </comment>
    <comment ref="A10" authorId="0">
      <text>
        <r>
          <rPr>
            <sz val="10"/>
            <rFont val="Arial"/>
            <family val="2"/>
          </rPr>
          <t xml:space="preserve">How much one quality release cuts tickets per customer. Engineering and support agree this assumption.</t>
        </r>
      </text>
      <mc:AlternateContent>
        <mc:Choice Requires="v2">
          <commentPr autoFill="true" autoScale="false" colHidden="false" locked="false" rowHidden="false" textHAlign="justify" textVAlign="top">
            <anchor moveWithCells="false" sizeWithCells="false">
              <xdr:from>
                <xdr:col>0</xdr:col>
                <xdr:colOff>15</xdr:colOff>
                <xdr:row>9</xdr:row>
                <xdr:rowOff>2</xdr:rowOff>
              </xdr:from>
              <xdr:to>
                <xdr:col>2</xdr:col>
                <xdr:colOff>15</xdr:colOff>
                <xdr:row>13</xdr:row>
                <xdr:rowOff>2</xdr:rowOff>
              </xdr:to>
            </anchor>
          </commentPr>
        </mc:Choice>
        <mc:Fallback/>
      </mc:AlternateContent>
    </comment>
    <comment ref="A11" authorId="0">
      <text>
        <r>
          <rPr>
            <sz val="10"/>
            <rFont val="Arial"/>
            <family val="2"/>
          </rPr>
          <t xml:space="preserve">The cost of serving customers. Sits in cost of sales.</t>
        </r>
      </text>
      <mc:AlternateContent>
        <mc:Choice Requires="v2">
          <commentPr autoFill="true" autoScale="false" colHidden="false" locked="false" rowHidden="false" textHAlign="justify" textVAlign="top">
            <anchor moveWithCells="false" sizeWithCells="false">
              <xdr:from>
                <xdr:col>0</xdr:col>
                <xdr:colOff>15</xdr:colOff>
                <xdr:row>10</xdr:row>
                <xdr:rowOff>2</xdr:rowOff>
              </xdr:from>
              <xdr:to>
                <xdr:col>2</xdr:col>
                <xdr:colOff>15</xdr:colOff>
                <xdr:row>14</xdr:row>
                <xdr:rowOff>2</xdr:rowOff>
              </xdr:to>
            </anchor>
          </commentPr>
        </mc:Choice>
        <mc:Fallback/>
      </mc:AlternateContent>
    </comment>
  </commentList>
</comments>
</file>

<file path=xl/comments9.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3" authorId="0">
      <text>
        <r>
          <rPr>
            <sz val="10"/>
            <rFont val="Arial"/>
            <family val="2"/>
          </rPr>
          <t xml:space="preserve">Finance's input. What sales and customer success invoiced this month.</t>
        </r>
      </text>
      <mc:AlternateContent>
        <mc:Choice Requires="v2">
          <commentPr autoFill="true" autoScale="false" colHidden="false" locked="false" rowHidden="false" textHAlign="justify" textVAlign="top">
            <anchor moveWithCells="false" sizeWithCells="false">
              <xdr:from>
                <xdr:col>0</xdr:col>
                <xdr:colOff>15</xdr:colOff>
                <xdr:row>2</xdr:row>
                <xdr:rowOff>2</xdr:rowOff>
              </xdr:from>
              <xdr:to>
                <xdr:col>2</xdr:col>
                <xdr:colOff>15</xdr:colOff>
                <xdr:row>6</xdr:row>
                <xdr:rowOff>2</xdr:rowOff>
              </xdr:to>
            </anchor>
          </commentPr>
        </mc:Choice>
        <mc:Fallback/>
      </mc:AlternateContent>
    </comment>
    <comment ref="A4" authorId="0">
      <text>
        <r>
          <rPr>
            <sz val="10"/>
            <rFont val="Arial"/>
            <family val="2"/>
          </rPr>
          <t xml:space="preserve">How long customers take to pay. Finance defends this assumption.</t>
        </r>
      </text>
      <mc:AlternateContent>
        <mc:Choice Requires="v2">
          <commentPr autoFill="true" autoScale="false" colHidden="false" locked="false" rowHidden="false" textHAlign="justify" textVAlign="top">
            <anchor moveWithCells="false" sizeWithCells="false">
              <xdr:from>
                <xdr:col>0</xdr:col>
                <xdr:colOff>15</xdr:colOff>
                <xdr:row>3</xdr:row>
                <xdr:rowOff>2</xdr:rowOff>
              </xdr:from>
              <xdr:to>
                <xdr:col>2</xdr:col>
                <xdr:colOff>15</xdr:colOff>
                <xdr:row>7</xdr:row>
                <xdr:rowOff>2</xdr:rowOff>
              </xdr:to>
            </anchor>
          </commentPr>
        </mc:Choice>
        <mc:Fallback/>
      </mc:AlternateContent>
    </comment>
    <comment ref="A5" authorId="0">
      <text>
        <r>
          <rPr>
            <sz val="10"/>
            <rFont val="Arial"/>
            <family val="2"/>
          </rPr>
          <t xml:space="preserve">Finance's critical number. Money received in the month.</t>
        </r>
      </text>
      <mc:AlternateContent>
        <mc:Choice Requires="v2">
          <commentPr autoFill="true" autoScale="false" colHidden="false" locked="false" rowHidden="false" textHAlign="justify" textVAlign="top">
            <anchor moveWithCells="false" sizeWithCells="false">
              <xdr:from>
                <xdr:col>0</xdr:col>
                <xdr:colOff>15</xdr:colOff>
                <xdr:row>4</xdr:row>
                <xdr:rowOff>2</xdr:rowOff>
              </xdr:from>
              <xdr:to>
                <xdr:col>2</xdr:col>
                <xdr:colOff>15</xdr:colOff>
                <xdr:row>8</xdr:row>
                <xdr:rowOff>2</xdr:rowOff>
              </xdr:to>
            </anchor>
          </commentPr>
        </mc:Choice>
        <mc:Fallback/>
      </mc:AlternateContent>
    </comment>
    <comment ref="A6" authorId="0">
      <text>
        <r>
          <rPr>
            <sz val="10"/>
            <rFont val="Arial"/>
            <family val="2"/>
          </rPr>
          <t xml:space="preserve">Last month's closing balance.</t>
        </r>
      </text>
      <mc:AlternateContent>
        <mc:Choice Requires="v2">
          <commentPr autoFill="true" autoScale="false" colHidden="false" locked="false" rowHidden="false" textHAlign="justify" textVAlign="top">
            <anchor moveWithCells="false" sizeWithCells="false">
              <xdr:from>
                <xdr:col>0</xdr:col>
                <xdr:colOff>15</xdr:colOff>
                <xdr:row>5</xdr:row>
                <xdr:rowOff>2</xdr:rowOff>
              </xdr:from>
              <xdr:to>
                <xdr:col>2</xdr:col>
                <xdr:colOff>15</xdr:colOff>
                <xdr:row>9</xdr:row>
                <xdr:rowOff>2</xdr:rowOff>
              </xdr:to>
            </anchor>
          </commentPr>
        </mc:Choice>
        <mc:Fallback/>
      </mc:AlternateContent>
    </comment>
    <comment ref="A7" authorId="0">
      <text>
        <r>
          <rPr>
            <sz val="10"/>
            <rFont val="Arial"/>
            <family val="2"/>
          </rPr>
          <t xml:space="preserve">What the operation paid out: the cost of serving customers plus every function's operating cost. Depreciation is deliberately not here. It is an expense, not a payment.</t>
        </r>
      </text>
      <mc:AlternateContent>
        <mc:Choice Requires="v2">
          <commentPr autoFill="true" autoScale="false" colHidden="false" locked="false" rowHidden="false" textHAlign="justify" textVAlign="top">
            <anchor moveWithCells="false" sizeWithCells="false">
              <xdr:from>
                <xdr:col>0</xdr:col>
                <xdr:colOff>15</xdr:colOff>
                <xdr:row>6</xdr:row>
                <xdr:rowOff>2</xdr:rowOff>
              </xdr:from>
              <xdr:to>
                <xdr:col>2</xdr:col>
                <xdr:colOff>15</xdr:colOff>
                <xdr:row>10</xdr:row>
                <xdr:rowOff>2</xdr:rowOff>
              </xdr:to>
            </anchor>
          </commentPr>
        </mc:Choice>
        <mc:Fallback/>
      </mc:AlternateContent>
    </comment>
    <comment ref="A8" authorId="0">
      <text>
        <r>
          <rPr>
            <sz val="10"/>
            <rFont val="Arial"/>
            <family val="2"/>
          </rPr>
          <t xml:space="preserve">Tax leaving the bank, one month after it was charged.</t>
        </r>
      </text>
      <mc:AlternateContent>
        <mc:Choice Requires="v2">
          <commentPr autoFill="true" autoScale="false" colHidden="false" locked="false" rowHidden="false" textHAlign="justify" textVAlign="top">
            <anchor moveWithCells="false" sizeWithCells="false">
              <xdr:from>
                <xdr:col>0</xdr:col>
                <xdr:colOff>15</xdr:colOff>
                <xdr:row>7</xdr:row>
                <xdr:rowOff>2</xdr:rowOff>
              </xdr:from>
              <xdr:to>
                <xdr:col>2</xdr:col>
                <xdr:colOff>15</xdr:colOff>
                <xdr:row>11</xdr:row>
                <xdr:rowOff>2</xdr:rowOff>
              </xdr:to>
            </anchor>
          </commentPr>
        </mc:Choice>
        <mc:Fallback/>
      </mc:AlternateContent>
    </comment>
    <comment ref="A9" authorId="0">
      <text>
        <r>
          <rPr>
            <sz val="10"/>
            <rFont val="Arial"/>
            <family val="2"/>
          </rPr>
          <t xml:space="preserve">Kit for each person added: laptop, desk, phone. It leaves the bank in full this month but reaches the profit and loss slowly, through depreciation.</t>
        </r>
      </text>
      <mc:AlternateContent>
        <mc:Choice Requires="v2">
          <commentPr autoFill="true" autoScale="false" colHidden="false" locked="false" rowHidden="false" textHAlign="justify" textVAlign="top">
            <anchor moveWithCells="false" sizeWithCells="false">
              <xdr:from>
                <xdr:col>0</xdr:col>
                <xdr:colOff>15</xdr:colOff>
                <xdr:row>8</xdr:row>
                <xdr:rowOff>2</xdr:rowOff>
              </xdr:from>
              <xdr:to>
                <xdr:col>2</xdr:col>
                <xdr:colOff>15</xdr:colOff>
                <xdr:row>12</xdr:row>
                <xdr:rowOff>2</xdr:rowOff>
              </xdr:to>
            </anchor>
          </commentPr>
        </mc:Choice>
        <mc:Fallback/>
      </mc:AlternateContent>
    </comment>
    <comment ref="A10" authorId="0">
      <text>
        <r>
          <rPr>
            <sz val="10"/>
            <rFont val="Arial"/>
            <family val="2"/>
          </rPr>
          <t xml:space="preserve">Cash collected less operating payments, tax paid and equipment.</t>
        </r>
      </text>
      <mc:AlternateContent>
        <mc:Choice Requires="v2">
          <commentPr autoFill="true" autoScale="false" colHidden="false" locked="false" rowHidden="false" textHAlign="justify" textVAlign="top">
            <anchor moveWithCells="false" sizeWithCells="false">
              <xdr:from>
                <xdr:col>0</xdr:col>
                <xdr:colOff>15</xdr:colOff>
                <xdr:row>9</xdr:row>
                <xdr:rowOff>2</xdr:rowOff>
              </xdr:from>
              <xdr:to>
                <xdr:col>2</xdr:col>
                <xdr:colOff>15</xdr:colOff>
                <xdr:row>13</xdr:row>
                <xdr:rowOff>2</xdr:rowOff>
              </xdr:to>
            </anchor>
          </commentPr>
        </mc:Choice>
        <mc:Fallback/>
      </mc:AlternateContent>
    </comment>
    <comment ref="A11" authorId="0">
      <text>
        <r>
          <rPr>
            <sz val="10"/>
            <rFont val="Arial"/>
            <family val="2"/>
          </rPr>
          <t xml:space="preserve">Finance's output. Opening cash plus the net movement.</t>
        </r>
      </text>
      <mc:AlternateContent>
        <mc:Choice Requires="v2">
          <commentPr autoFill="true" autoScale="false" colHidden="false" locked="false" rowHidden="false" textHAlign="justify" textVAlign="top">
            <anchor moveWithCells="false" sizeWithCells="false">
              <xdr:from>
                <xdr:col>0</xdr:col>
                <xdr:colOff>15</xdr:colOff>
                <xdr:row>10</xdr:row>
                <xdr:rowOff>2</xdr:rowOff>
              </xdr:from>
              <xdr:to>
                <xdr:col>2</xdr:col>
                <xdr:colOff>15</xdr:colOff>
                <xdr:row>14</xdr:row>
                <xdr:rowOff>2</xdr:rowOff>
              </xdr:to>
            </anchor>
          </commentPr>
        </mc:Choice>
        <mc:Fallback/>
      </mc:AlternateContent>
    </comment>
    <comment ref="A12" authorId="0">
      <text>
        <r>
          <rPr>
            <sz val="10"/>
            <rFont val="Arial"/>
            <family val="2"/>
          </rPr>
          <t xml:space="preserve">Closing cash divided by one month of the payments that repeat: operating payments and tax. Equipment is excluded because it is lumpy and can be deferred when cash is short. The target is a full year held in reserve.</t>
        </r>
      </text>
      <mc:AlternateContent>
        <mc:Choice Requires="v2">
          <commentPr autoFill="true" autoScale="false" colHidden="false" locked="false" rowHidden="false" textHAlign="justify" textVAlign="top">
            <anchor moveWithCells="false" sizeWithCells="false">
              <xdr:from>
                <xdr:col>0</xdr:col>
                <xdr:colOff>15</xdr:colOff>
                <xdr:row>11</xdr:row>
                <xdr:rowOff>2</xdr:rowOff>
              </xdr:from>
              <xdr:to>
                <xdr:col>2</xdr:col>
                <xdr:colOff>15</xdr:colOff>
                <xdr:row>15</xdr:row>
                <xdr:rowOff>2</xdr:rowOff>
              </xdr:to>
            </anchor>
          </commentPr>
        </mc:Choice>
        <mc:Fallback/>
      </mc:AlternateContent>
    </comment>
    <comment ref="A13" authorId="0">
      <text>
        <r>
          <rPr>
            <sz val="10"/>
            <rFont val="Arial"/>
            <family val="2"/>
          </rPr>
          <t xml:space="preserve">How close a forecast came to the Approved plan, measured on revenue. The Actual column grades a month that has closed. The Rolling column shows how far the current estimate sits from plan. Blank under Approved.</t>
        </r>
      </text>
      <mc:AlternateContent>
        <mc:Choice Requires="v2">
          <commentPr autoFill="true" autoScale="false" colHidden="false" locked="false" rowHidden="false" textHAlign="justify" textVAlign="top">
            <anchor moveWithCells="false" sizeWithCells="false">
              <xdr:from>
                <xdr:col>0</xdr:col>
                <xdr:colOff>15</xdr:colOff>
                <xdr:row>12</xdr:row>
                <xdr:rowOff>2</xdr:rowOff>
              </xdr:from>
              <xdr:to>
                <xdr:col>2</xdr:col>
                <xdr:colOff>15</xdr:colOff>
                <xdr:row>16</xdr:row>
                <xdr:rowOff>2</xdr:rowOff>
              </xdr:to>
            </anchor>
          </commentPr>
        </mc:Choice>
        <mc:Fallback/>
      </mc:AlternateContent>
    </comment>
    <comment ref="A14" authorId="0">
      <text>
        <r>
          <rPr>
            <sz val="10"/>
            <rFont val="Arial"/>
            <family val="2"/>
          </rPr>
          <t xml:space="preserve">The combined rate the company pays on taxable profit. Finance defends this assumption.</t>
        </r>
      </text>
      <mc:AlternateContent>
        <mc:Choice Requires="v2">
          <commentPr autoFill="true" autoScale="false" colHidden="false" locked="false" rowHidden="false" textHAlign="justify" textVAlign="top">
            <anchor moveWithCells="false" sizeWithCells="false">
              <xdr:from>
                <xdr:col>0</xdr:col>
                <xdr:colOff>15</xdr:colOff>
                <xdr:row>13</xdr:row>
                <xdr:rowOff>2</xdr:rowOff>
              </xdr:from>
              <xdr:to>
                <xdr:col>2</xdr:col>
                <xdr:colOff>15</xdr:colOff>
                <xdr:row>17</xdr:row>
                <xdr:rowOff>2</xdr:rowOff>
              </xdr:to>
            </anchor>
          </commentPr>
        </mc:Choice>
        <mc:Fallback/>
      </mc:AlternateContent>
    </comment>
    <comment ref="A15" authorId="0">
      <text>
        <r>
          <rPr>
            <sz val="10"/>
            <rFont val="Arial"/>
            <family val="2"/>
          </rPr>
          <t xml:space="preserve">Losses from earlier months that have not yet been used. They shelter profit before tax is charged, so a company does not pay tax on a recovery until it has earned back what it lost.</t>
        </r>
      </text>
      <mc:AlternateContent>
        <mc:Choice Requires="v2">
          <commentPr autoFill="true" autoScale="false" colHidden="false" locked="false" rowHidden="false" textHAlign="justify" textVAlign="top">
            <anchor moveWithCells="false" sizeWithCells="false">
              <xdr:from>
                <xdr:col>0</xdr:col>
                <xdr:colOff>15</xdr:colOff>
                <xdr:row>14</xdr:row>
                <xdr:rowOff>2</xdr:rowOff>
              </xdr:from>
              <xdr:to>
                <xdr:col>2</xdr:col>
                <xdr:colOff>15</xdr:colOff>
                <xdr:row>18</xdr:row>
                <xdr:rowOff>2</xdr:rowOff>
              </xdr:to>
            </anchor>
          </commentPr>
        </mc:Choice>
        <mc:Fallback/>
      </mc:AlternateContent>
    </comment>
    <comment ref="A16" authorId="0">
      <text>
        <r>
          <rPr>
            <sz val="10"/>
            <rFont val="Arial"/>
            <family val="2"/>
          </rPr>
          <t xml:space="preserve">The rate applied to operating profit after any carried-forward losses are used. It is charged this month and paid next.</t>
        </r>
      </text>
      <mc:AlternateContent>
        <mc:Choice Requires="v2">
          <commentPr autoFill="true" autoScale="false" colHidden="false" locked="false" rowHidden="false" textHAlign="justify" textVAlign="top">
            <anchor moveWithCells="false" sizeWithCells="false">
              <xdr:from>
                <xdr:col>0</xdr:col>
                <xdr:colOff>15</xdr:colOff>
                <xdr:row>15</xdr:row>
                <xdr:rowOff>2</xdr:rowOff>
              </xdr:from>
              <xdr:to>
                <xdr:col>2</xdr:col>
                <xdr:colOff>15</xdr:colOff>
                <xdr:row>19</xdr:row>
                <xdr:rowOff>2</xdr:rowOff>
              </xdr:to>
            </anchor>
          </commentPr>
        </mc:Choice>
        <mc:Fallback/>
      </mc:AlternateContent>
    </comment>
    <comment ref="A17" authorId="0">
      <text>
        <r>
          <rPr>
            <sz val="10"/>
            <rFont val="Arial"/>
            <family val="2"/>
          </rPr>
          <t xml:space="preserve">What is left of the loss pool after this month either added to it or used some of it.</t>
        </r>
      </text>
      <mc:AlternateContent>
        <mc:Choice Requires="v2">
          <commentPr autoFill="true" autoScale="false" colHidden="false" locked="false" rowHidden="false" textHAlign="justify" textVAlign="top">
            <anchor moveWithCells="false" sizeWithCells="false">
              <xdr:from>
                <xdr:col>0</xdr:col>
                <xdr:colOff>15</xdr:colOff>
                <xdr:row>16</xdr:row>
                <xdr:rowOff>2</xdr:rowOff>
              </xdr:from>
              <xdr:to>
                <xdr:col>2</xdr:col>
                <xdr:colOff>15</xdr:colOff>
                <xdr:row>20</xdr:row>
                <xdr:rowOff>2</xdr:rowOff>
              </xdr:to>
            </anchor>
          </commentPr>
        </mc:Choice>
        <mc:Fallback/>
      </mc:AlternateContent>
    </comment>
    <comment ref="A18" authorId="0">
      <text>
        <r>
          <rPr>
            <sz val="10"/>
            <rFont val="Arial"/>
            <family val="2"/>
          </rPr>
          <t xml:space="preserve">What it costs to equip one new person. Finance defends this assumption.</t>
        </r>
      </text>
      <mc:AlternateContent>
        <mc:Choice Requires="v2">
          <commentPr autoFill="true" autoScale="false" colHidden="false" locked="false" rowHidden="false" textHAlign="justify" textVAlign="top">
            <anchor moveWithCells="false" sizeWithCells="false">
              <xdr:from>
                <xdr:col>0</xdr:col>
                <xdr:colOff>15</xdr:colOff>
                <xdr:row>17</xdr:row>
                <xdr:rowOff>2</xdr:rowOff>
              </xdr:from>
              <xdr:to>
                <xdr:col>2</xdr:col>
                <xdr:colOff>15</xdr:colOff>
                <xdr:row>21</xdr:row>
                <xdr:rowOff>2</xdr:rowOff>
              </xdr:to>
            </anchor>
          </commentPr>
        </mc:Choice>
        <mc:Fallback/>
      </mc:AlternateContent>
    </comment>
    <comment ref="A19" authorId="0">
      <text>
        <r>
          <rPr>
            <sz val="10"/>
            <rFont val="Arial"/>
            <family val="2"/>
          </rPr>
          <t xml:space="preserve">How long equipment is written off over. Change this cell and every month follows.</t>
        </r>
      </text>
      <mc:AlternateContent>
        <mc:Choice Requires="v2">
          <commentPr autoFill="true" autoScale="false" colHidden="false" locked="false" rowHidden="false" textHAlign="justify" textVAlign="top">
            <anchor moveWithCells="false" sizeWithCells="false">
              <xdr:from>
                <xdr:col>0</xdr:col>
                <xdr:colOff>15</xdr:colOff>
                <xdr:row>18</xdr:row>
                <xdr:rowOff>2</xdr:rowOff>
              </xdr:from>
              <xdr:to>
                <xdr:col>2</xdr:col>
                <xdr:colOff>15</xdr:colOff>
                <xdr:row>22</xdr:row>
                <xdr:rowOff>2</xdr:rowOff>
              </xdr:to>
            </anchor>
          </commentPr>
        </mc:Choice>
        <mc:Fallback/>
      </mc:AlternateContent>
    </comment>
    <comment ref="A20" authorId="0">
      <text>
        <r>
          <rPr>
            <sz val="10"/>
            <rFont val="Arial"/>
            <family val="2"/>
          </rPr>
          <t xml:space="preserve">The equipment on hand at the start plus everything bought since, spread evenly over its life. An expense on the profit and loss, never a payment. Assets are not retired inside the thirty six months.</t>
        </r>
      </text>
      <mc:AlternateContent>
        <mc:Choice Requires="v2">
          <commentPr autoFill="true" autoScale="false" colHidden="false" locked="false" rowHidden="false" textHAlign="justify" textVAlign="top">
            <anchor moveWithCells="false" sizeWithCells="false">
              <xdr:from>
                <xdr:col>0</xdr:col>
                <xdr:colOff>15</xdr:colOff>
                <xdr:row>19</xdr:row>
                <xdr:rowOff>2</xdr:rowOff>
              </xdr:from>
              <xdr:to>
                <xdr:col>2</xdr:col>
                <xdr:colOff>15</xdr:colOff>
                <xdr:row>23</xdr:row>
                <xdr:rowOff>2</xdr:rowOff>
              </xdr:to>
            </anchor>
          </commentPr>
        </mc:Choice>
        <mc:Fallback/>
      </mc:AlternateContent>
    </comment>
  </commentList>
</comments>
</file>

<file path=xl/sharedStrings.xml><?xml version="1.0" encoding="utf-8"?>
<sst xmlns="http://schemas.openxmlformats.org/spreadsheetml/2006/main" count="1405" uniqueCount="346">
  <si>
    <t xml:space="preserve">36-Month Rolling Financial Analysis</t>
  </si>
  <si>
    <t xml:space="preserve">A complete, fictional worked example of a 36 month rolling forecast built the way a cash</t>
  </si>
  <si>
    <t xml:space="preserve">system is actually run. It accompanies the article Cash! Who Owns the Forecast? at</t>
  </si>
  <si>
    <t xml:space="preserve">https://www.darlison.com/who-owns-the-forecast/</t>
  </si>
  <si>
    <t xml:space="preserve">HOW TO READ IT</t>
  </si>
  <si>
    <t xml:space="preserve">Columns run NEWEST FIRST. The far end of the plan, December 2028, is at the left, and time</t>
  </si>
  <si>
    <t xml:space="preserve">walks right into the past. Every month carries three columns: Actual, Rolling and Approved.</t>
  </si>
  <si>
    <t xml:space="preserve">Actual is what happened, and fills in as each month closes. Rolling is the current best</t>
  </si>
  <si>
    <t xml:space="preserve">estimate. Approved is the plan, and does not move until the annual reset.</t>
  </si>
  <si>
    <t xml:space="preserve">The weekly Scoreboard takes its targets from APPROVED, never from Rolling. Rolling moves</t>
  </si>
  <si>
    <t xml:space="preserve">every month, so a forecast drifting downwards would quietly lower the weekly target and hide</t>
  </si>
  <si>
    <t xml:space="preserve">the miss the board exists to show you.</t>
  </si>
  <si>
    <t xml:space="preserve">Each tab opens with three fiscal year blocks carrying the same three columns.</t>
  </si>
  <si>
    <t xml:space="preserve">Month blocks alternate a light band so each group of three reads as one month.</t>
  </si>
  <si>
    <t xml:space="preserve">EVERY DRIVER IS DEFINED IN PLACE</t>
  </si>
  <si>
    <t xml:space="preserve">Hover the label in column A. Each driver says what it measures, who is accountable</t>
  </si>
  <si>
    <t xml:space="preserve">for it, how it is derived, and why it matters to Cash.</t>
  </si>
  <si>
    <t xml:space="preserve">The Cash Drivers tab reconciles the key handoffs and timing to the forecast.</t>
  </si>
  <si>
    <t xml:space="preserve">WHERE THE NUMBERS COME FROM</t>
  </si>
  <si>
    <t xml:space="preserve">Enter Actual results only for a completed month. Rolling is calculated automatically from</t>
  </si>
  <si>
    <t xml:space="preserve">complete, consecutive Actual months plus Approved values for every open month. A numeric zero</t>
  </si>
  <si>
    <t xml:space="preserve">is a valid Actual. Timing, pipeline, delivery backlog, receivables, and opening Cash are seeded</t>
  </si>
  <si>
    <t xml:space="preserve">Opening values are seeded under the earliest model month at the far right. Formulas carry the effect through every later month.</t>
  </si>
  <si>
    <t xml:space="preserve">THE DATES</t>
  </si>
  <si>
    <t xml:space="preserve">Set one date, First month of the model, on the Finance tab. Every month heading on every tab</t>
  </si>
  <si>
    <t xml:space="preserve">steps off it, and the fiscal year headings follow, each named for the year its block ends in.</t>
  </si>
  <si>
    <t xml:space="preserve">Change that one cell and the whole 36 months rolls.</t>
  </si>
  <si>
    <t xml:space="preserve">THE CASH TIMING CHAIN</t>
  </si>
  <si>
    <t xml:space="preserve">The Cash Drivers tab uses days for lead qualification, sales close, delivery, and collection.</t>
  </si>
  <si>
    <t xml:space="preserve">Each monthly flow starts at the midpoint of its source month. Opening cohorts start at the</t>
  </si>
  <si>
    <t xml:space="preserve">forecast start date. The model calculates the month in which each handoff lands, then carries</t>
  </si>
  <si>
    <t xml:space="preserve">signed-contract quantity and value through delivery, backlog, revenue, and Cash collection.</t>
  </si>
  <si>
    <t xml:space="preserve">Finance charges income tax at a stated rate on operating profit, after any losses carried</t>
  </si>
  <si>
    <t xml:space="preserve">forward are used, and pays it the following month. Equipment is bought for every person</t>
  </si>
  <si>
    <t xml:space="preserve">added: it leaves the bank in full that month and reaches the profit and loss slowly through</t>
  </si>
  <si>
    <t xml:space="preserve">depreciation. That is the reason profit and cash are different numbers here, and the reason</t>
  </si>
  <si>
    <t xml:space="preserve">the model needs both.</t>
  </si>
  <si>
    <t xml:space="preserve">THE CEO'S NUMBERS</t>
  </si>
  <si>
    <t xml:space="preserve">The Summary carries three: Reserve in Months, Growth Efficiency and the Rule of 40. Reserve</t>
  </si>
  <si>
    <t xml:space="preserve">is marked as the critical one here, but that is a choice, not a rule. Which number belongs</t>
  </si>
  <si>
    <t xml:space="preserve">to the head of the company depends on what the owner wants from it. Building something to</t>
  </si>
  <si>
    <t xml:space="preserve">hold, and Reserve represents it well. Building to sell, and the Rule of 40 may serve better,</t>
  </si>
  <si>
    <t xml:space="preserve">because growth plus margin is what a buyer prices. Move the mark to whichever number</t>
  </si>
  <si>
    <t xml:space="preserve">reflects the trade-off between growth and profit that you are actually making.</t>
  </si>
  <si>
    <t xml:space="preserve">THE CHAIN</t>
  </si>
  <si>
    <t xml:space="preserve">Marketing turns prospect enquiries into qualified leads. Sales converts qualified leads into</t>
  </si>
  <si>
    <t xml:space="preserve">signed contracts. Delivery timing and capacity determine when contract value becomes revenue.</t>
  </si>
  <si>
    <t xml:space="preserve">Customer success owns expansion, contraction, and churn in the existing recurring-revenue base.</t>
  </si>
  <si>
    <t xml:space="preserve">Support and Engineering affect retention, price, service cost, and capacity. Finance maps billed</t>
  </si>
  <si>
    <t xml:space="preserve">revenue through customer payment timing to Cash in the bank and reports the closing balance.</t>
  </si>
  <si>
    <t xml:space="preserve">A small miss at any handoff now changes future Cash in the month that the timing rules place it.</t>
  </si>
  <si>
    <t xml:space="preserve">The Cash Drivers tab shows the quantity, conversion, timing, capacity, and value behind that result.</t>
  </si>
  <si>
    <t xml:space="preserve">HOW REVENUE IS BUILT</t>
  </si>
  <si>
    <t xml:space="preserve">Revenue is a balance that rolls forward, not a count multiplied by a price. Each month:</t>
  </si>
  <si>
    <t xml:space="preserve">opening recurring revenue, plus new from sales, plus the net change on the existing base</t>
  </si>
  <si>
    <t xml:space="preserve">from customer success, gives closing recurring revenue. For a month that balance is the</t>
  </si>
  <si>
    <t xml:space="preserve">revenue; for a year, revenue is the sum of the twelve months.</t>
  </si>
  <si>
    <t xml:space="preserve">HOW EACH FUNCTION TAB IS BUILT</t>
  </si>
  <si>
    <t xml:space="preserve">The widgets first. Then the same nine standard department accounts every function carries,</t>
  </si>
  <si>
    <t xml:space="preserve">so the cost structure is identical everywhere. Then that function's own program lines.</t>
  </si>
  <si>
    <t xml:space="preserve">Then a People roster: one row per seat, with its monthly cost, blank until the month the</t>
  </si>
  <si>
    <t xml:space="preserve">seat starts. The roster drives salaries and headcount, so adding a row with a start month</t>
  </si>
  <si>
    <t xml:space="preserve">flows through to the department total, to operating profit and to cash.</t>
  </si>
  <si>
    <t xml:space="preserve">WHO OWNS WHAT</t>
  </si>
  <si>
    <t xml:space="preserve">Ownership of each function and its critical number is defined on the Functional</t>
  </si>
  <si>
    <t xml:space="preserve">Accountability Chart, and the tab names match it. The roster names seats rather than people,</t>
  </si>
  <si>
    <t xml:space="preserve">so this model does not go stale when somebody changes job.</t>
  </si>
  <si>
    <t xml:space="preserve">MONTHLY CLOSE</t>
  </si>
  <si>
    <t xml:space="preserve">1. Enter the finished month's Actual results in each function tab.</t>
  </si>
  <si>
    <t xml:space="preserve">2. Confirm the month is complete. The Cash Drivers tab will mark it usable only after the required</t>
  </si>
  <si>
    <t xml:space="preserve">Actual inputs are present and every earlier month is also usable.</t>
  </si>
  <si>
    <t xml:space="preserve">3. Review the automatically recalculated Rolling forecast and the effect on future Closing Cash.</t>
  </si>
  <si>
    <t xml:space="preserve">TRACE THE MISS</t>
  </si>
  <si>
    <t xml:space="preserve">February 2026: sales closed 11 new customers against 19 approved. Those 11 came out of the</t>
  </si>
  <si>
    <t xml:space="preserve">76 leads January accepted, because a lead takes a sales cycle to close, so the close rate</t>
  </si>
  <si>
    <t xml:space="preserve">was 14.5 percent against an assumption of 26. Follow it from the Sales tab into the</t>
  </si>
  <si>
    <t xml:space="preserve">Summary and on to Closing Cash at the far left. The gap at December 2028 is 779,265</t>
  </si>
  <si>
    <t xml:space="preserve">dollars, which is the February miss itself plus the March onward reforecast it triggered.</t>
  </si>
  <si>
    <t xml:space="preserve">Two months into a three year plan, the owner already knows.</t>
  </si>
  <si>
    <t xml:space="preserve">THE CHECKS TAB</t>
  </si>
  <si>
    <t xml:space="preserve">The checks test automatic Rolling behavior, cash roll-forward, consolidation, revenue and delivery</t>
  </si>
  <si>
    <t xml:space="preserve">bridges, function handoffs, capacity, backlog quantity and value, tax, collections, payroll,</t>
  </si>
  <si>
    <t xml:space="preserve">commissions, unit costs, opening seeds, and formula errors. Every row should read OK and the</t>
  </si>
  <si>
    <t xml:space="preserve">final Model status should read PASS.</t>
  </si>
  <si>
    <t xml:space="preserve">AT YEAR END</t>
  </si>
  <si>
    <t xml:space="preserve">Add twelve new month blocks at the LEFT of every tab, refine the open months, and have the</t>
  </si>
  <si>
    <t xml:space="preserve">leadership team approve the full 36 months as the new Approved plan.</t>
  </si>
  <si>
    <t xml:space="preserve">WHAT THIS MODEL DELIBERATELY LEAVES OUT</t>
  </si>
  <si>
    <t xml:space="preserve">Payables timing remains a same-month simplification. Financing and owner distributions are included</t>
  </si>
  <si>
    <t xml:space="preserve">as explicit Cash lines but default to zero. Revenue gives each end-of-month customer a full month</t>
  </si>
  <si>
    <t xml:space="preserve">rather than pro-rating the sign-up date. Churned revenue follows the blended customer churn rate</t>
  </si>
  <si>
    <t xml:space="preserve">rather than being tracked by cohort. Equipment is not retired inside the thirty-six months.</t>
  </si>
  <si>
    <t xml:space="preserve">Add further detail only when it is material to the business.</t>
  </si>
  <si>
    <t xml:space="preserve">A NOTE ON THE SHAPE OF THIS PLAN</t>
  </si>
  <si>
    <t xml:space="preserve">Reserve starts near one month and reaches about seven by December 2028, so the plan closes</t>
  </si>
  <si>
    <t xml:space="preserve">short of the full year the target asks for. That is deliberate. Building a year of cash</t>
  </si>
  <si>
    <t xml:space="preserve">takes longer than three years from this starting point, and a plan that pretended otherwise</t>
  </si>
  <si>
    <t xml:space="preserve">would be teaching the wrong thing. The number to watch is the direction.</t>
  </si>
  <si>
    <t xml:space="preserve">All numbers are fictional.</t>
  </si>
  <si>
    <t xml:space="preserve">Actual</t>
  </si>
  <si>
    <t xml:space="preserve">Rolling</t>
  </si>
  <si>
    <t xml:space="preserve">Approved</t>
  </si>
  <si>
    <t xml:space="preserve">Opening Recurring Revenue</t>
  </si>
  <si>
    <t xml:space="preserve">New Recurring Revenue</t>
  </si>
  <si>
    <t xml:space="preserve">Net Change on Existing</t>
  </si>
  <si>
    <t xml:space="preserve">Closing Recurring Revenue</t>
  </si>
  <si>
    <t xml:space="preserve">Revenue</t>
  </si>
  <si>
    <t xml:space="preserve">Gross Profit</t>
  </si>
  <si>
    <t xml:space="preserve">Gross Margin</t>
  </si>
  <si>
    <t xml:space="preserve">Operating Expenses</t>
  </si>
  <si>
    <t xml:space="preserve">Depreciation</t>
  </si>
  <si>
    <t xml:space="preserve">Operating Profit</t>
  </si>
  <si>
    <t xml:space="preserve">Operating Margin</t>
  </si>
  <si>
    <t xml:space="preserve">Income Tax</t>
  </si>
  <si>
    <t xml:space="preserve">Net Profit</t>
  </si>
  <si>
    <t xml:space="preserve">Customers, End of Month</t>
  </si>
  <si>
    <t xml:space="preserve">Average Revenue per Customer</t>
  </si>
  <si>
    <t xml:space="preserve">Profit per Customer</t>
  </si>
  <si>
    <t xml:space="preserve">People</t>
  </si>
  <si>
    <t xml:space="preserve">Closing Cash</t>
  </si>
  <si>
    <t xml:space="preserve">Reserve in Months</t>
  </si>
  <si>
    <t xml:space="preserve">Growth Efficiency</t>
  </si>
  <si>
    <t xml:space="preserve">Rule of 40</t>
  </si>
  <si>
    <t xml:space="preserve">Minimum Cash Reserve</t>
  </si>
  <si>
    <t xml:space="preserve">Cash Above / (Below) Reserve</t>
  </si>
  <si>
    <t xml:space="preserve">Status</t>
  </si>
  <si>
    <t xml:space="preserve">KFFM Cash Drivers</t>
  </si>
  <si>
    <t xml:space="preserve">Prospect enquiries [count]</t>
  </si>
  <si>
    <t xml:space="preserve">Enquiry-to-MQL conversion [%]</t>
  </si>
  <si>
    <t xml:space="preserve">Marketing qualified leads [count]</t>
  </si>
  <si>
    <t xml:space="preserve">MQL-to-qualified-lead conversion [%]</t>
  </si>
  <si>
    <t xml:space="preserve">Average lead qualification time [days]</t>
  </si>
  <si>
    <t xml:space="preserve">Qualified leads [count]</t>
  </si>
  <si>
    <t xml:space="preserve">Qualified-lead-to-signed-contract conversion [%]</t>
  </si>
  <si>
    <t xml:space="preserve">Average sales close time [days]</t>
  </si>
  <si>
    <t xml:space="preserve">Signed contracts [count]</t>
  </si>
  <si>
    <t xml:space="preserve">Average revenue per signed contract [$]</t>
  </si>
  <si>
    <t xml:space="preserve">Average delivery completion time [days]</t>
  </si>
  <si>
    <t xml:space="preserve">Delivery resources available [count]</t>
  </si>
  <si>
    <t xml:space="preserve">Delivery capacity per resource [contracts/month]</t>
  </si>
  <si>
    <t xml:space="preserve">Total delivery capacity [contracts/month]</t>
  </si>
  <si>
    <t xml:space="preserve">Opening delivery backlog [contracts]</t>
  </si>
  <si>
    <t xml:space="preserve">Contracts scheduled for completion [count]</t>
  </si>
  <si>
    <t xml:space="preserve">Contracts completed [count]</t>
  </si>
  <si>
    <t xml:space="preserve">Closing delivery backlog [contracts]</t>
  </si>
  <si>
    <t xml:space="preserve">Average customer payment time [days]</t>
  </si>
  <si>
    <t xml:space="preserve">Total time from prospect enquiry to Cash [days]</t>
  </si>
  <si>
    <t xml:space="preserve">Opening delivery backlog value [$]</t>
  </si>
  <si>
    <t xml:space="preserve">Contracts scheduled value [$]</t>
  </si>
  <si>
    <t xml:space="preserve">Completed contract value [$]</t>
  </si>
  <si>
    <t xml:space="preserve">Month usable</t>
  </si>
  <si>
    <t xml:space="preserve">OPENING POSITION</t>
  </si>
  <si>
    <t xml:space="preserve">Forecast start month</t>
  </si>
  <si>
    <t xml:space="preserve">Qualified leads at model start [count]</t>
  </si>
  <si>
    <t xml:space="preserve">Signed contracts at model start [count]</t>
  </si>
  <si>
    <t xml:space="preserve">Invoices awaiting collection at model start [$]</t>
  </si>
  <si>
    <t xml:space="preserve">Prospect enquiry to MQL conversion [%]</t>
  </si>
  <si>
    <t xml:space="preserve">MQL to qualified lead conversion [%]</t>
  </si>
  <si>
    <t xml:space="preserve">Salaries and Wages</t>
  </si>
  <si>
    <t xml:space="preserve">Bonuses</t>
  </si>
  <si>
    <t xml:space="preserve">Payroll Taxes and Benefits</t>
  </si>
  <si>
    <t xml:space="preserve">Contractors and Freelancers</t>
  </si>
  <si>
    <t xml:space="preserve">Recruiting</t>
  </si>
  <si>
    <t xml:space="preserve">Training and Development</t>
  </si>
  <si>
    <t xml:space="preserve">Software Subscriptions</t>
  </si>
  <si>
    <t xml:space="preserve">Dues and Subscriptions</t>
  </si>
  <si>
    <t xml:space="preserve">Travel, Meals and Entertainment</t>
  </si>
  <si>
    <t xml:space="preserve">Total Standard Department Cost</t>
  </si>
  <si>
    <t xml:space="preserve">Advertising and Paid Media</t>
  </si>
  <si>
    <t xml:space="preserve">Content and Creative Production</t>
  </si>
  <si>
    <t xml:space="preserve">Website and SEO</t>
  </si>
  <si>
    <t xml:space="preserve">Events and Trade Shows</t>
  </si>
  <si>
    <t xml:space="preserve">Public Relations</t>
  </si>
  <si>
    <t xml:space="preserve">Market Research</t>
  </si>
  <si>
    <t xml:space="preserve">Lead Lists and Data</t>
  </si>
  <si>
    <t xml:space="preserve">Promotional Items and Collateral</t>
  </si>
  <si>
    <t xml:space="preserve">Agency Fees</t>
  </si>
  <si>
    <t xml:space="preserve">Total Marketing Programs</t>
  </si>
  <si>
    <t xml:space="preserve">Total Marketing Cost</t>
  </si>
  <si>
    <t xml:space="preserve">Cost per MQL</t>
  </si>
  <si>
    <t xml:space="preserve">Cost per SQL</t>
  </si>
  <si>
    <t xml:space="preserve">Head of Marketing</t>
  </si>
  <si>
    <t xml:space="preserve">Demand Generation Manager</t>
  </si>
  <si>
    <t xml:space="preserve">Product Marketing Manager</t>
  </si>
  <si>
    <t xml:space="preserve">Content and Brand Lead</t>
  </si>
  <si>
    <t xml:space="preserve">Field Marketing Manager</t>
  </si>
  <si>
    <t xml:space="preserve">Total People Cost</t>
  </si>
  <si>
    <t xml:space="preserve">Headcount</t>
  </si>
  <si>
    <t xml:space="preserve">Qualified lead to signed contract conversion [%]</t>
  </si>
  <si>
    <t xml:space="preserve">Completed contract value added [$]</t>
  </si>
  <si>
    <t xml:space="preserve">Sales Commissions (Cost of Revenue)</t>
  </si>
  <si>
    <t xml:space="preserve">Sales Tools and CRM</t>
  </si>
  <si>
    <t xml:space="preserve">Prospecting Data</t>
  </si>
  <si>
    <t xml:space="preserve">Partner and Channel Fees</t>
  </si>
  <si>
    <t xml:space="preserve">Total Sales Programs</t>
  </si>
  <si>
    <t xml:space="preserve">Total Sales Cost</t>
  </si>
  <si>
    <t xml:space="preserve">Cost per New Customer</t>
  </si>
  <si>
    <t xml:space="preserve">VP Sales</t>
  </si>
  <si>
    <t xml:space="preserve">Sales Manager</t>
  </si>
  <si>
    <t xml:space="preserve">Senior Account Executive</t>
  </si>
  <si>
    <t xml:space="preserve">Account Executive</t>
  </si>
  <si>
    <t xml:space="preserve">Sales Development Rep</t>
  </si>
  <si>
    <t xml:space="preserve">Solutions Engineer</t>
  </si>
  <si>
    <t xml:space="preserve">Sales Operations Analyst</t>
  </si>
  <si>
    <t xml:space="preserve">Opening contract value</t>
  </si>
  <si>
    <t xml:space="preserve">Accepted leads per month before the model opens</t>
  </si>
  <si>
    <t xml:space="preserve">Expansion Rate</t>
  </si>
  <si>
    <t xml:space="preserve">Expansion Revenue</t>
  </si>
  <si>
    <t xml:space="preserve">Contraction Rate</t>
  </si>
  <si>
    <t xml:space="preserve">Contraction Revenue</t>
  </si>
  <si>
    <t xml:space="preserve">Revenue Churn Rate</t>
  </si>
  <si>
    <t xml:space="preserve">Churned Revenue</t>
  </si>
  <si>
    <t xml:space="preserve">Net Revenue Retention</t>
  </si>
  <si>
    <t xml:space="preserve">Net Change in Existing Revenue</t>
  </si>
  <si>
    <t xml:space="preserve">Customer Base</t>
  </si>
  <si>
    <t xml:space="preserve">Customers at Risk</t>
  </si>
  <si>
    <t xml:space="preserve">Healthy Churn Rate</t>
  </si>
  <si>
    <t xml:space="preserve">At-Risk Churn Rate</t>
  </si>
  <si>
    <t xml:space="preserve">Customer Churn Rate</t>
  </si>
  <si>
    <t xml:space="preserve">Customers Lost</t>
  </si>
  <si>
    <t xml:space="preserve">Customer Success Platform</t>
  </si>
  <si>
    <t xml:space="preserve">Onboarding and Enablement</t>
  </si>
  <si>
    <t xml:space="preserve">Customer Events and Community</t>
  </si>
  <si>
    <t xml:space="preserve">Health Scoring and Survey Tools</t>
  </si>
  <si>
    <t xml:space="preserve">Total Customer Success Programs</t>
  </si>
  <si>
    <t xml:space="preserve">Total Customer Success Cost</t>
  </si>
  <si>
    <t xml:space="preserve">Cost per Customer</t>
  </si>
  <si>
    <t xml:space="preserve">Head of Customer Success</t>
  </si>
  <si>
    <t xml:space="preserve">Customer Success Manager</t>
  </si>
  <si>
    <t xml:space="preserve">Onboarding Specialist</t>
  </si>
  <si>
    <t xml:space="preserve">Renewals Specialist</t>
  </si>
  <si>
    <t xml:space="preserve">Customers Supported</t>
  </si>
  <si>
    <t xml:space="preserve">Tickets per Customer</t>
  </si>
  <si>
    <t xml:space="preserve">Tickets Received</t>
  </si>
  <si>
    <t xml:space="preserve">SLA Resolution Rate</t>
  </si>
  <si>
    <t xml:space="preserve">Tickets Resolved within SLA</t>
  </si>
  <si>
    <t xml:space="preserve">Tickets Unresolved</t>
  </si>
  <si>
    <t xml:space="preserve">Unresolved Tickets per Affected Customer</t>
  </si>
  <si>
    <t xml:space="preserve">Customers with an Unresolved Issue</t>
  </si>
  <si>
    <t xml:space="preserve">Support Desk Platform</t>
  </si>
  <si>
    <t xml:space="preserve">Knowledge Base and Documentation</t>
  </si>
  <si>
    <t xml:space="preserve">Escalation and On-call</t>
  </si>
  <si>
    <t xml:space="preserve">Total Support Programs</t>
  </si>
  <si>
    <t xml:space="preserve">Total Support Cost</t>
  </si>
  <si>
    <t xml:space="preserve">Cost per Ticket</t>
  </si>
  <si>
    <t xml:space="preserve">Support Manager</t>
  </si>
  <si>
    <t xml:space="preserve">Technical Support Rep</t>
  </si>
  <si>
    <t xml:space="preserve">Support Operations Analyst</t>
  </si>
  <si>
    <t xml:space="preserve">Knowledge Architect</t>
  </si>
  <si>
    <t xml:space="preserve">Development Capacity</t>
  </si>
  <si>
    <t xml:space="preserve">Engineer-weeks per Release</t>
  </si>
  <si>
    <t xml:space="preserve">Releases Shipped that Meet Acceptance</t>
  </si>
  <si>
    <t xml:space="preserve">Product Release Share</t>
  </si>
  <si>
    <t xml:space="preserve">Product Releases</t>
  </si>
  <si>
    <t xml:space="preserve">Quality Releases</t>
  </si>
  <si>
    <t xml:space="preserve">Contract Value Uplift per Product Release</t>
  </si>
  <si>
    <t xml:space="preserve">Ticket Reduction per Quality Release</t>
  </si>
  <si>
    <t xml:space="preserve">Hosting</t>
  </si>
  <si>
    <t xml:space="preserve">Development Tools and Licences</t>
  </si>
  <si>
    <t xml:space="preserve">Third-party APIs and Services</t>
  </si>
  <si>
    <t xml:space="preserve">Security and Penetration Testing</t>
  </si>
  <si>
    <t xml:space="preserve">Contractors, Project Based</t>
  </si>
  <si>
    <t xml:space="preserve">Total Engineering Programs</t>
  </si>
  <si>
    <t xml:space="preserve">Total Engineering Cost</t>
  </si>
  <si>
    <t xml:space="preserve">Cost per Release</t>
  </si>
  <si>
    <t xml:space="preserve">VP Engineering</t>
  </si>
  <si>
    <t xml:space="preserve">Engineering Manager</t>
  </si>
  <si>
    <t xml:space="preserve">Senior Developer</t>
  </si>
  <si>
    <t xml:space="preserve">Developer</t>
  </si>
  <si>
    <t xml:space="preserve">QA Engineer</t>
  </si>
  <si>
    <t xml:space="preserve">DevOps Engineer</t>
  </si>
  <si>
    <t xml:space="preserve">UX Designer</t>
  </si>
  <si>
    <t xml:space="preserve">Hosting cost per customer</t>
  </si>
  <si>
    <t xml:space="preserve">Revenue Billed</t>
  </si>
  <si>
    <t xml:space="preserve">Cash Collected</t>
  </si>
  <si>
    <t xml:space="preserve">Opening Cash</t>
  </si>
  <si>
    <t xml:space="preserve">Operating Payments</t>
  </si>
  <si>
    <t xml:space="preserve">Income Tax Paid</t>
  </si>
  <si>
    <t xml:space="preserve">Equipment Purchases</t>
  </si>
  <si>
    <t xml:space="preserve">Net Cash Movement</t>
  </si>
  <si>
    <t xml:space="preserve">Forecast Accuracy</t>
  </si>
  <si>
    <t xml:space="preserve">Income Tax Rate</t>
  </si>
  <si>
    <t xml:space="preserve">Losses Carried Forward, Opening</t>
  </si>
  <si>
    <t xml:space="preserve">Income Tax Expense</t>
  </si>
  <si>
    <t xml:space="preserve">Losses Carried Forward, Closing</t>
  </si>
  <si>
    <t xml:space="preserve">Equipment Cost per Person Added</t>
  </si>
  <si>
    <t xml:space="preserve">Depreciation Life in Months</t>
  </si>
  <si>
    <t xml:space="preserve">Facilities and Rent</t>
  </si>
  <si>
    <t xml:space="preserve">Audit and Accounting Fees</t>
  </si>
  <si>
    <t xml:space="preserve">Banking and Merchant Fees</t>
  </si>
  <si>
    <t xml:space="preserve">Insurance</t>
  </si>
  <si>
    <t xml:space="preserve">Legal and Professional</t>
  </si>
  <si>
    <t xml:space="preserve">Total Finance Programs</t>
  </si>
  <si>
    <t xml:space="preserve">Total Finance Cost</t>
  </si>
  <si>
    <t xml:space="preserve">Finance Cost as a Share of Revenue</t>
  </si>
  <si>
    <t xml:space="preserve">Chief Executive Officer</t>
  </si>
  <si>
    <t xml:space="preserve">CFO</t>
  </si>
  <si>
    <t xml:space="preserve">Controller</t>
  </si>
  <si>
    <t xml:space="preserve">Accountant</t>
  </si>
  <si>
    <t xml:space="preserve">Accounts Clerk</t>
  </si>
  <si>
    <t xml:space="preserve">Office Manager</t>
  </si>
  <si>
    <t xml:space="preserve">HR Manager</t>
  </si>
  <si>
    <t xml:space="preserve">People Operations</t>
  </si>
  <si>
    <t xml:space="preserve">Other Cash in</t>
  </si>
  <si>
    <t xml:space="preserve">Debt Principal and Interest</t>
  </si>
  <si>
    <t xml:space="preserve">Owner Distributions</t>
  </si>
  <si>
    <t xml:space="preserve">Total Other Cash Out</t>
  </si>
  <si>
    <t xml:space="preserve">Opening position, December 2025</t>
  </si>
  <si>
    <t xml:space="preserve">First month of the model</t>
  </si>
  <si>
    <t xml:space="preserve">Customers at start</t>
  </si>
  <si>
    <t xml:space="preserve">Recurring revenue at start</t>
  </si>
  <si>
    <t xml:space="preserve">Cash at start</t>
  </si>
  <si>
    <t xml:space="preserve">Equipment on hand at start</t>
  </si>
  <si>
    <t xml:space="preserve">Model checks (every row should say OK)</t>
  </si>
  <si>
    <t xml:space="preserve">Closed months: Rolling mirrors Actual (Jan, Feb closes and customers lost)</t>
  </si>
  <si>
    <t xml:space="preserve">Cash roll-forward: Dec-2028 opening = Nov-2028 closing (Rolling)</t>
  </si>
  <si>
    <t xml:space="preserve">Cash roll-forward: Dec-2028 opening = Nov-2028 closing (Approved)</t>
  </si>
  <si>
    <t xml:space="preserve">Consolidation: function totals = Summary opex + cost of revenue (Dec-2028 Approved)</t>
  </si>
  <si>
    <t xml:space="preserve">Consolidation: function totals = Summary opex + cost of revenue (Dec-2028 Rolling)</t>
  </si>
  <si>
    <t xml:space="preserve">Revenue bridge foots: Dec-2028 revenue = Nov-2028 + new + net change on existing (Rolling)</t>
  </si>
  <si>
    <t xml:space="preserve">Handoff: Marketing's sales qualified leads equal Sales' input, every month</t>
  </si>
  <si>
    <t xml:space="preserve">Handoff: Support's customers with an unresolved issue equal Customer Success's at-risk count</t>
  </si>
  <si>
    <t xml:space="preserve">Link: Engineering's product releases move Sales' contract value by the stated uplift</t>
  </si>
  <si>
    <t xml:space="preserve">Link: Engineering's quality releases cut Support's tickets per customer by the stated reduction</t>
  </si>
  <si>
    <t xml:space="preserve">Rosters: every function's people total equals its salaries line</t>
  </si>
  <si>
    <t xml:space="preserve">Reserve agrees between the Summary and the Finance tab in every fiscal year</t>
  </si>
  <si>
    <t xml:space="preserve">Payroll taxes and benefits equal the stated share of salaries on every tab</t>
  </si>
  <si>
    <t xml:space="preserve">Sales close timing maps qualified leads by day</t>
  </si>
  <si>
    <t xml:space="preserve">Income tax equals the stated rate on profit after losses carried forward</t>
  </si>
  <si>
    <t xml:space="preserve">Cash foots: closing = opening + collected less payments, tax and equipment</t>
  </si>
  <si>
    <t xml:space="preserve">Depreciation stays out of the cash payments line</t>
  </si>
  <si>
    <t xml:space="preserve">Sales commissions equal the closes times the commission per close</t>
  </si>
  <si>
    <t xml:space="preserve">Unit costs divide by a count, not by a rate</t>
  </si>
  <si>
    <t xml:space="preserve">Customer payment timing maps billed revenue to Cash</t>
  </si>
  <si>
    <t xml:space="preserve">No formula errors on any sheet</t>
  </si>
  <si>
    <t xml:space="preserve">KFFM timing inputs are non-negative days</t>
  </si>
  <si>
    <t xml:space="preserve">KFFM conversion inputs are between 0% and 100%</t>
  </si>
  <si>
    <t xml:space="preserve">Actual months are complete, empty, and consecutive</t>
  </si>
  <si>
    <t xml:space="preserve">Delivery capacity equals resources times capacity per resource</t>
  </si>
  <si>
    <t xml:space="preserve">Completed contracts do not exceed delivery capacity</t>
  </si>
  <si>
    <t xml:space="preserve">Delivery backlog carries forward</t>
  </si>
  <si>
    <t xml:space="preserve">Signed-contract value follows delivery and backlog</t>
  </si>
  <si>
    <t xml:space="preserve">Collection timing produces every Rolling and Approved Cash value</t>
  </si>
  <si>
    <t xml:space="preserve">Rolling inputs use Actual for closed months and Approved for open months</t>
  </si>
  <si>
    <t xml:space="preserve">Opening timing, pipeline, backlog, and receivables are non-negative</t>
  </si>
  <si>
    <t xml:space="preserve">Model status</t>
  </si>
</sst>
</file>

<file path=xl/styles.xml><?xml version="1.0" encoding="utf-8"?>
<styleSheet xmlns="http://schemas.openxmlformats.org/spreadsheetml/2006/main">
  <numFmts count="17">
    <numFmt numFmtId="164" formatCode="General"/>
    <numFmt numFmtId="165" formatCode="mmm/yyyy"/>
    <numFmt numFmtId="166" formatCode="\$#,##0;&quot;($&quot;#,##0\);\-"/>
    <numFmt numFmtId="167" formatCode="0.0%"/>
    <numFmt numFmtId="168" formatCode="\$#,##0"/>
    <numFmt numFmtId="169" formatCode="0.0"/>
    <numFmt numFmtId="170" formatCode="0.00"/>
    <numFmt numFmtId="171" formatCode="\$#,##0;[RED]&quot;($&quot;#,##0\);\-"/>
    <numFmt numFmtId="172" formatCode="mmm\ yyyy"/>
    <numFmt numFmtId="173" formatCode="#,##0;[RED]\(#,##0\);\-"/>
    <numFmt numFmtId="174" formatCode="0"/>
    <numFmt numFmtId="175" formatCode="#,##0"/>
    <numFmt numFmtId="176" formatCode="0%"/>
    <numFmt numFmtId="177" formatCode="0.00%"/>
    <numFmt numFmtId="178" formatCode="0.000"/>
    <numFmt numFmtId="179" formatCode="\$#,##0.00"/>
    <numFmt numFmtId="180" formatCode="0.0000"/>
  </numFmts>
  <fonts count="20">
    <font>
      <sz val="10"/>
      <name val="Arial"/>
      <family val="2"/>
    </font>
    <font>
      <sz val="10"/>
      <name val="Arial"/>
      <family val="0"/>
    </font>
    <font>
      <sz val="10"/>
      <name val="Arial"/>
      <family val="0"/>
    </font>
    <font>
      <sz val="10"/>
      <name val="Arial"/>
      <family val="0"/>
    </font>
    <font>
      <sz val="11"/>
      <color theme="1"/>
      <name val="Calibri"/>
      <family val="0"/>
      <charset val="1"/>
    </font>
    <font>
      <b val="true"/>
      <sz val="14"/>
      <color rgb="FF326AB5"/>
      <name val="Arial"/>
      <family val="0"/>
      <charset val="1"/>
    </font>
    <font>
      <sz val="10"/>
      <color theme="1"/>
      <name val="Arial"/>
      <family val="0"/>
      <charset val="1"/>
    </font>
    <font>
      <b val="true"/>
      <sz val="10"/>
      <color theme="1"/>
      <name val="Arial"/>
      <family val="0"/>
      <charset val="1"/>
    </font>
    <font>
      <i val="true"/>
      <sz val="10"/>
      <color theme="1"/>
      <name val="Arial"/>
      <family val="0"/>
      <charset val="1"/>
    </font>
    <font>
      <b val="true"/>
      <sz val="11"/>
      <color rgb="FF303030"/>
      <name val="Calibri"/>
      <family val="0"/>
      <charset val="1"/>
    </font>
    <font>
      <b val="true"/>
      <sz val="11"/>
      <color rgb="FF2E7F49"/>
      <name val="Calibri"/>
      <family val="0"/>
      <charset val="1"/>
    </font>
    <font>
      <b val="true"/>
      <sz val="12"/>
      <color rgb="FFFFFFFF"/>
      <name val="Calibri"/>
      <family val="0"/>
      <charset val="1"/>
    </font>
    <font>
      <b val="true"/>
      <sz val="10"/>
      <color rgb="FF303030"/>
      <name val="Calibri"/>
      <family val="0"/>
      <charset val="1"/>
    </font>
    <font>
      <sz val="10"/>
      <color rgb="FF303030"/>
      <name val="Calibri"/>
      <family val="0"/>
      <charset val="1"/>
    </font>
    <font>
      <b val="true"/>
      <sz val="11"/>
      <color rgb="FFFFFFFF"/>
      <name val="Calibri"/>
      <family val="0"/>
      <charset val="1"/>
    </font>
    <font>
      <sz val="11"/>
      <color rgb="FF0000FF"/>
      <name val="Calibri"/>
      <family val="0"/>
      <charset val="1"/>
    </font>
    <font>
      <b val="true"/>
      <sz val="10"/>
      <color rgb="FFFFFFFF"/>
      <name val="Calibri"/>
      <family val="0"/>
      <charset val="1"/>
    </font>
    <font>
      <sz val="11"/>
      <color rgb="FF227944"/>
      <name val="Calibri"/>
      <family val="0"/>
      <charset val="1"/>
    </font>
    <font>
      <b val="true"/>
      <sz val="13"/>
      <color theme="1"/>
      <name val="Arial"/>
      <family val="0"/>
      <charset val="1"/>
    </font>
    <font>
      <b val="true"/>
      <sz val="10"/>
      <color rgb="FF2E7F49"/>
      <name val="Calibri"/>
      <family val="0"/>
      <charset val="1"/>
    </font>
  </fonts>
  <fills count="12">
    <fill>
      <patternFill patternType="none"/>
    </fill>
    <fill>
      <patternFill patternType="gray125"/>
    </fill>
    <fill>
      <patternFill patternType="solid">
        <fgColor rgb="FFEFEFEF"/>
        <bgColor rgb="FFF0F0ED"/>
      </patternFill>
    </fill>
    <fill>
      <patternFill patternType="solid">
        <fgColor rgb="FF303030"/>
        <bgColor rgb="FF333300"/>
      </patternFill>
    </fill>
    <fill>
      <patternFill patternType="solid">
        <fgColor rgb="FFF7F7F4"/>
        <bgColor rgb="FFF0F0ED"/>
      </patternFill>
    </fill>
    <fill>
      <patternFill patternType="solid">
        <fgColor rgb="FFFFFFFF"/>
        <bgColor rgb="FFF7F7F4"/>
      </patternFill>
    </fill>
    <fill>
      <patternFill patternType="solid">
        <fgColor rgb="FFB7B7B2"/>
        <bgColor rgb="FF969696"/>
      </patternFill>
    </fill>
    <fill>
      <patternFill patternType="solid">
        <fgColor rgb="FF2E7F49"/>
        <bgColor rgb="FF227944"/>
      </patternFill>
    </fill>
    <fill>
      <patternFill patternType="solid">
        <fgColor rgb="FF326AB5"/>
        <bgColor rgb="FF0066CC"/>
      </patternFill>
    </fill>
    <fill>
      <patternFill patternType="solid">
        <fgColor rgb="FFF0F0ED"/>
        <bgColor rgb="FFEFEFEF"/>
      </patternFill>
    </fill>
    <fill>
      <patternFill patternType="solid">
        <fgColor rgb="FFEAF6ED"/>
        <bgColor rgb="FFF0F0ED"/>
      </patternFill>
    </fill>
    <fill>
      <patternFill patternType="solid">
        <fgColor rgb="FFEAF1FA"/>
        <bgColor rgb="FFEFEFEF"/>
      </patternFill>
    </fill>
  </fills>
  <borders count="3">
    <border diagonalUp="false" diagonalDown="false">
      <left/>
      <right/>
      <top/>
      <bottom/>
      <diagonal/>
    </border>
    <border diagonalUp="false" diagonalDown="false">
      <left/>
      <right/>
      <top/>
      <bottom style="thin"/>
      <diagonal/>
    </border>
    <border diagonalUp="false" diagonalDown="false">
      <left/>
      <right/>
      <top style="thin"/>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cellStyleXfs>
  <cellXfs count="156">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20" applyFont="true" applyBorder="false" applyAlignment="false" applyProtection="false">
      <alignment horizontal="general" vertical="bottom" textRotation="0" wrapText="false" indent="0" shrinkToFit="false"/>
      <protection locked="true" hidden="false"/>
    </xf>
    <xf numFmtId="164" fontId="6" fillId="0" borderId="0" xfId="20" applyFont="true" applyBorder="false" applyAlignment="false" applyProtection="false">
      <alignment horizontal="general" vertical="bottom" textRotation="0" wrapText="false" indent="0" shrinkToFit="false"/>
      <protection locked="true" hidden="false"/>
    </xf>
    <xf numFmtId="164" fontId="7" fillId="0" borderId="0" xfId="20" applyFont="true" applyBorder="false" applyAlignment="false" applyProtection="false">
      <alignment horizontal="general" vertical="bottom" textRotation="0" wrapText="false" indent="0" shrinkToFit="false"/>
      <protection locked="true" hidden="false"/>
    </xf>
    <xf numFmtId="164" fontId="7" fillId="0" borderId="0" xfId="20" applyFont="true" applyBorder="false" applyAlignment="true" applyProtection="false">
      <alignment horizontal="general" vertical="bottom" textRotation="0" wrapText="false" indent="0" shrinkToFit="false"/>
      <protection locked="true" hidden="false"/>
    </xf>
    <xf numFmtId="164" fontId="6" fillId="0" borderId="0" xfId="20" applyFont="true" applyBorder="false" applyAlignment="true" applyProtection="false">
      <alignment horizontal="general" vertical="bottom" textRotation="0" wrapText="false" indent="0" shrinkToFit="false"/>
      <protection locked="true" hidden="false"/>
    </xf>
    <xf numFmtId="164" fontId="4" fillId="2" borderId="0" xfId="20" applyFont="true" applyBorder="true" applyAlignment="true" applyProtection="false">
      <alignment horizontal="center" vertical="bottom" textRotation="0" wrapText="false" indent="0" shrinkToFit="false"/>
      <protection locked="true" hidden="false"/>
    </xf>
    <xf numFmtId="164" fontId="4" fillId="0" borderId="0" xfId="20" applyFont="true" applyBorder="true" applyAlignment="true" applyProtection="false">
      <alignment horizontal="center" vertical="bottom" textRotation="0" wrapText="false" indent="0" shrinkToFit="false"/>
      <protection locked="true" hidden="false"/>
    </xf>
    <xf numFmtId="165" fontId="4" fillId="0" borderId="0" xfId="20" applyFont="true" applyBorder="true" applyAlignment="true" applyProtection="false">
      <alignment horizontal="center" vertical="bottom" textRotation="0" wrapText="false" indent="0" shrinkToFit="false"/>
      <protection locked="true" hidden="false"/>
    </xf>
    <xf numFmtId="165" fontId="4" fillId="2" borderId="0" xfId="20" applyFont="true" applyBorder="true" applyAlignment="true" applyProtection="false">
      <alignment horizontal="center" vertical="bottom" textRotation="0" wrapText="false" indent="0" shrinkToFit="false"/>
      <protection locked="true" hidden="false"/>
    </xf>
    <xf numFmtId="164" fontId="4" fillId="0" borderId="1" xfId="20" applyFont="true" applyBorder="true" applyAlignment="false" applyProtection="false">
      <alignment horizontal="general" vertical="bottom" textRotation="0" wrapText="false" indent="0" shrinkToFit="false"/>
      <protection locked="true" hidden="false"/>
    </xf>
    <xf numFmtId="164" fontId="4" fillId="2" borderId="1" xfId="20" applyFont="true" applyBorder="true" applyAlignment="false" applyProtection="false">
      <alignment horizontal="general" vertical="bottom" textRotation="0" wrapText="false" indent="0" shrinkToFit="false"/>
      <protection locked="true" hidden="false"/>
    </xf>
    <xf numFmtId="166" fontId="6" fillId="2" borderId="0" xfId="20" applyFont="true" applyBorder="true" applyAlignment="false" applyProtection="false">
      <alignment horizontal="general" vertical="bottom" textRotation="0" wrapText="false" indent="0" shrinkToFit="false"/>
      <protection locked="true" hidden="false"/>
    </xf>
    <xf numFmtId="166" fontId="6" fillId="0" borderId="0" xfId="20" applyFont="true" applyBorder="false" applyAlignment="false" applyProtection="false">
      <alignment horizontal="general" vertical="bottom" textRotation="0" wrapText="false" indent="0" shrinkToFit="false"/>
      <protection locked="true" hidden="false"/>
    </xf>
    <xf numFmtId="164" fontId="6" fillId="0" borderId="2" xfId="20" applyFont="true" applyBorder="true" applyAlignment="true" applyProtection="false">
      <alignment horizontal="general" vertical="bottom" textRotation="0" wrapText="false" indent="0" shrinkToFit="false"/>
      <protection locked="true" hidden="false"/>
    </xf>
    <xf numFmtId="166" fontId="6" fillId="2" borderId="2" xfId="20" applyFont="true" applyBorder="true" applyAlignment="false" applyProtection="false">
      <alignment horizontal="general" vertical="bottom" textRotation="0" wrapText="false" indent="0" shrinkToFit="false"/>
      <protection locked="true" hidden="false"/>
    </xf>
    <xf numFmtId="166" fontId="6" fillId="0" borderId="2" xfId="20" applyFont="true" applyBorder="true" applyAlignment="false" applyProtection="false">
      <alignment horizontal="general" vertical="bottom" textRotation="0" wrapText="false" indent="0" shrinkToFit="false"/>
      <protection locked="true" hidden="false"/>
    </xf>
    <xf numFmtId="164" fontId="8" fillId="0" borderId="0" xfId="20" applyFont="true" applyBorder="false" applyAlignment="true" applyProtection="false">
      <alignment horizontal="general" vertical="bottom" textRotation="0" wrapText="false" indent="0" shrinkToFit="false"/>
      <protection locked="true" hidden="false"/>
    </xf>
    <xf numFmtId="167" fontId="8" fillId="2" borderId="0" xfId="20" applyFont="true" applyBorder="true" applyAlignment="false" applyProtection="false">
      <alignment horizontal="general" vertical="bottom" textRotation="0" wrapText="false" indent="0" shrinkToFit="false"/>
      <protection locked="true" hidden="false"/>
    </xf>
    <xf numFmtId="167" fontId="8" fillId="0" borderId="0" xfId="20" applyFont="true" applyBorder="false" applyAlignment="false" applyProtection="false">
      <alignment horizontal="general" vertical="bottom" textRotation="0" wrapText="false" indent="0" shrinkToFit="false"/>
      <protection locked="true" hidden="false"/>
    </xf>
    <xf numFmtId="164" fontId="8" fillId="0" borderId="1" xfId="20" applyFont="true" applyBorder="true" applyAlignment="true" applyProtection="false">
      <alignment horizontal="general" vertical="bottom" textRotation="0" wrapText="false" indent="0" shrinkToFit="false"/>
      <protection locked="true" hidden="false"/>
    </xf>
    <xf numFmtId="167" fontId="8" fillId="2" borderId="1" xfId="20" applyFont="true" applyBorder="true" applyAlignment="false" applyProtection="false">
      <alignment horizontal="general" vertical="bottom" textRotation="0" wrapText="false" indent="0" shrinkToFit="false"/>
      <protection locked="true" hidden="false"/>
    </xf>
    <xf numFmtId="167" fontId="8" fillId="0" borderId="1" xfId="20" applyFont="true" applyBorder="true" applyAlignment="false" applyProtection="false">
      <alignment horizontal="general" vertical="bottom" textRotation="0" wrapText="false" indent="0" shrinkToFit="false"/>
      <protection locked="true" hidden="false"/>
    </xf>
    <xf numFmtId="164" fontId="6" fillId="2" borderId="0" xfId="20" applyFont="true" applyBorder="true" applyAlignment="false" applyProtection="false">
      <alignment horizontal="general" vertical="bottom" textRotation="0" wrapText="false" indent="0" shrinkToFit="false"/>
      <protection locked="true" hidden="false"/>
    </xf>
    <xf numFmtId="168" fontId="6" fillId="2" borderId="0" xfId="20" applyFont="true" applyBorder="true" applyAlignment="false" applyProtection="false">
      <alignment horizontal="general" vertical="bottom" textRotation="0" wrapText="false" indent="0" shrinkToFit="false"/>
      <protection locked="true" hidden="false"/>
    </xf>
    <xf numFmtId="168" fontId="6" fillId="0" borderId="0" xfId="20" applyFont="true" applyBorder="false" applyAlignment="false" applyProtection="false">
      <alignment horizontal="general" vertical="bottom" textRotation="0" wrapText="false" indent="0" shrinkToFit="false"/>
      <protection locked="true" hidden="false"/>
    </xf>
    <xf numFmtId="164" fontId="6" fillId="0" borderId="1" xfId="20" applyFont="true" applyBorder="true" applyAlignment="true" applyProtection="false">
      <alignment horizontal="general" vertical="bottom" textRotation="0" wrapText="false" indent="0" shrinkToFit="false"/>
      <protection locked="true" hidden="false"/>
    </xf>
    <xf numFmtId="166" fontId="6" fillId="2" borderId="1" xfId="20" applyFont="true" applyBorder="true" applyAlignment="false" applyProtection="false">
      <alignment horizontal="general" vertical="bottom" textRotation="0" wrapText="false" indent="0" shrinkToFit="false"/>
      <protection locked="true" hidden="false"/>
    </xf>
    <xf numFmtId="166" fontId="6" fillId="0" borderId="1" xfId="20" applyFont="true" applyBorder="true" applyAlignment="false" applyProtection="false">
      <alignment horizontal="general" vertical="bottom" textRotation="0" wrapText="false" indent="0" shrinkToFit="false"/>
      <protection locked="true" hidden="false"/>
    </xf>
    <xf numFmtId="169" fontId="6" fillId="0" borderId="0" xfId="20" applyFont="true" applyBorder="false" applyAlignment="false" applyProtection="false">
      <alignment horizontal="general" vertical="bottom" textRotation="0" wrapText="false" indent="0" shrinkToFit="false"/>
      <protection locked="true" hidden="false"/>
    </xf>
    <xf numFmtId="170" fontId="6" fillId="0" borderId="0" xfId="20" applyFont="true" applyBorder="false" applyAlignment="false" applyProtection="false">
      <alignment horizontal="general" vertical="bottom" textRotation="0" wrapText="false" indent="0" shrinkToFit="false"/>
      <protection locked="true" hidden="false"/>
    </xf>
    <xf numFmtId="167" fontId="6" fillId="0" borderId="0" xfId="20" applyFont="true" applyBorder="false" applyAlignment="false" applyProtection="false">
      <alignment horizontal="general" vertical="bottom" textRotation="0" wrapText="false" indent="0" shrinkToFit="false"/>
      <protection locked="true" hidden="false"/>
    </xf>
    <xf numFmtId="164" fontId="9" fillId="0" borderId="0" xfId="20" applyFont="true" applyBorder="false" applyAlignment="false" applyProtection="false">
      <alignment horizontal="general" vertical="bottom" textRotation="0" wrapText="false" indent="0" shrinkToFit="false"/>
      <protection locked="true" hidden="false"/>
    </xf>
    <xf numFmtId="171" fontId="9" fillId="0" borderId="0" xfId="20" applyFont="true" applyBorder="false" applyAlignment="false" applyProtection="false">
      <alignment horizontal="general" vertical="bottom" textRotation="0" wrapText="false" indent="0" shrinkToFit="false"/>
      <protection locked="true" hidden="false"/>
    </xf>
    <xf numFmtId="164" fontId="10" fillId="0" borderId="0" xfId="20" applyFont="true" applyBorder="false" applyAlignment="true" applyProtection="false">
      <alignment horizontal="center" vertical="bottom" textRotation="0" wrapText="false" indent="0" shrinkToFit="false"/>
      <protection locked="true" hidden="false"/>
    </xf>
    <xf numFmtId="164" fontId="11" fillId="3" borderId="0" xfId="20" applyFont="true" applyBorder="false" applyAlignment="false" applyProtection="false">
      <alignment horizontal="general" vertical="bottom" textRotation="0" wrapText="false" indent="0" shrinkToFit="false"/>
      <protection locked="true" hidden="false"/>
    </xf>
    <xf numFmtId="164" fontId="12" fillId="4" borderId="0" xfId="20" applyFont="true" applyBorder="true" applyAlignment="true" applyProtection="false">
      <alignment horizontal="center" vertical="bottom" textRotation="0" wrapText="false" indent="0" shrinkToFit="false"/>
      <protection locked="true" hidden="false"/>
    </xf>
    <xf numFmtId="172" fontId="9" fillId="5" borderId="0" xfId="20" applyFont="true" applyBorder="true" applyAlignment="true" applyProtection="false">
      <alignment horizontal="center" vertical="bottom" textRotation="0" wrapText="false" indent="0" shrinkToFit="false"/>
      <protection locked="true" hidden="false"/>
    </xf>
    <xf numFmtId="172" fontId="9" fillId="4" borderId="0" xfId="20" applyFont="true" applyBorder="true" applyAlignment="true" applyProtection="false">
      <alignment horizontal="center" vertical="bottom" textRotation="0" wrapText="false" indent="0" shrinkToFit="false"/>
      <protection locked="true" hidden="false"/>
    </xf>
    <xf numFmtId="164" fontId="13" fillId="5" borderId="0" xfId="20" applyFont="true" applyBorder="false" applyAlignment="true" applyProtection="false">
      <alignment horizontal="general" vertical="center" textRotation="0" wrapText="false" indent="0" shrinkToFit="false"/>
      <protection locked="true" hidden="false"/>
    </xf>
    <xf numFmtId="164" fontId="14" fillId="6" borderId="0" xfId="20" applyFont="true" applyBorder="false" applyAlignment="true" applyProtection="false">
      <alignment horizontal="center" vertical="bottom" textRotation="0" wrapText="false" indent="0" shrinkToFit="false"/>
      <protection locked="true" hidden="false"/>
    </xf>
    <xf numFmtId="164" fontId="14" fillId="7" borderId="0" xfId="20" applyFont="true" applyBorder="false" applyAlignment="true" applyProtection="false">
      <alignment horizontal="center" vertical="bottom" textRotation="0" wrapText="false" indent="0" shrinkToFit="false"/>
      <protection locked="true" hidden="false"/>
    </xf>
    <xf numFmtId="164" fontId="14" fillId="8" borderId="0" xfId="20" applyFont="true" applyBorder="false" applyAlignment="true" applyProtection="false">
      <alignment horizontal="center" vertical="bottom" textRotation="0" wrapText="false" indent="0" shrinkToFit="false"/>
      <protection locked="true" hidden="false"/>
    </xf>
    <xf numFmtId="173" fontId="13" fillId="5" borderId="0" xfId="20" applyFont="true" applyBorder="false" applyAlignment="true" applyProtection="false">
      <alignment horizontal="general" vertical="center" textRotation="0" wrapText="false" indent="0" shrinkToFit="false"/>
      <protection locked="true" hidden="false"/>
    </xf>
    <xf numFmtId="173" fontId="4" fillId="9" borderId="0" xfId="20" applyFont="true" applyBorder="false" applyAlignment="true" applyProtection="false">
      <alignment horizontal="right" vertical="bottom" textRotation="0" wrapText="false" indent="0" shrinkToFit="false"/>
      <protection locked="true" hidden="false"/>
    </xf>
    <xf numFmtId="173" fontId="4" fillId="10" borderId="0" xfId="20" applyFont="true" applyBorder="false" applyAlignment="true" applyProtection="false">
      <alignment horizontal="right" vertical="bottom" textRotation="0" wrapText="false" indent="0" shrinkToFit="false"/>
      <protection locked="true" hidden="false"/>
    </xf>
    <xf numFmtId="173" fontId="4" fillId="11" borderId="0" xfId="20" applyFont="true" applyBorder="false" applyAlignment="true" applyProtection="false">
      <alignment horizontal="right" vertical="bottom" textRotation="0" wrapText="false" indent="0" shrinkToFit="false"/>
      <protection locked="true" hidden="false"/>
    </xf>
    <xf numFmtId="167" fontId="13" fillId="5" borderId="0" xfId="20" applyFont="true" applyBorder="false" applyAlignment="true" applyProtection="false">
      <alignment horizontal="general" vertical="center" textRotation="0" wrapText="false" indent="0" shrinkToFit="false"/>
      <protection locked="true" hidden="false"/>
    </xf>
    <xf numFmtId="167" fontId="4" fillId="9" borderId="0" xfId="20" applyFont="true" applyBorder="false" applyAlignment="true" applyProtection="false">
      <alignment horizontal="right" vertical="bottom" textRotation="0" wrapText="false" indent="0" shrinkToFit="false"/>
      <protection locked="true" hidden="false"/>
    </xf>
    <xf numFmtId="167" fontId="4" fillId="10" borderId="0" xfId="20" applyFont="true" applyBorder="false" applyAlignment="true" applyProtection="false">
      <alignment horizontal="right" vertical="bottom" textRotation="0" wrapText="false" indent="0" shrinkToFit="false"/>
      <protection locked="true" hidden="false"/>
    </xf>
    <xf numFmtId="167" fontId="4" fillId="11" borderId="0" xfId="20" applyFont="true" applyBorder="false" applyAlignment="true" applyProtection="false">
      <alignment horizontal="right" vertical="bottom" textRotation="0" wrapText="false" indent="0" shrinkToFit="false"/>
      <protection locked="true" hidden="false"/>
    </xf>
    <xf numFmtId="174" fontId="13" fillId="5" borderId="0" xfId="20" applyFont="true" applyBorder="false" applyAlignment="true" applyProtection="false">
      <alignment horizontal="general" vertical="center" textRotation="0" wrapText="false" indent="0" shrinkToFit="false"/>
      <protection locked="true" hidden="false"/>
    </xf>
    <xf numFmtId="174" fontId="15" fillId="9" borderId="0" xfId="20" applyFont="true" applyBorder="false" applyAlignment="true" applyProtection="false">
      <alignment horizontal="right" vertical="bottom" textRotation="0" wrapText="false" indent="0" shrinkToFit="false"/>
      <protection locked="true" hidden="false"/>
    </xf>
    <xf numFmtId="174" fontId="4" fillId="10" borderId="0" xfId="20" applyFont="true" applyBorder="false" applyAlignment="true" applyProtection="false">
      <alignment horizontal="right" vertical="bottom" textRotation="0" wrapText="false" indent="0" shrinkToFit="false"/>
      <protection locked="true" hidden="false"/>
    </xf>
    <xf numFmtId="174" fontId="15" fillId="11" borderId="0" xfId="20" applyFont="true" applyBorder="false" applyAlignment="true" applyProtection="false">
      <alignment horizontal="right" vertical="bottom" textRotation="0" wrapText="false" indent="0" shrinkToFit="false"/>
      <protection locked="true" hidden="false"/>
    </xf>
    <xf numFmtId="174" fontId="4" fillId="9" borderId="0" xfId="20" applyFont="true" applyBorder="false" applyAlignment="true" applyProtection="false">
      <alignment horizontal="right" vertical="bottom" textRotation="0" wrapText="false" indent="0" shrinkToFit="false"/>
      <protection locked="true" hidden="false"/>
    </xf>
    <xf numFmtId="174" fontId="4" fillId="11" borderId="0" xfId="20" applyFont="true" applyBorder="false" applyAlignment="true" applyProtection="false">
      <alignment horizontal="right" vertical="bottom" textRotation="0" wrapText="false" indent="0" shrinkToFit="false"/>
      <protection locked="true" hidden="false"/>
    </xf>
    <xf numFmtId="171" fontId="13" fillId="5" borderId="0" xfId="20" applyFont="true" applyBorder="false" applyAlignment="true" applyProtection="false">
      <alignment horizontal="general" vertical="center" textRotation="0" wrapText="false" indent="0" shrinkToFit="false"/>
      <protection locked="true" hidden="false"/>
    </xf>
    <xf numFmtId="171" fontId="4" fillId="9" borderId="0" xfId="20" applyFont="true" applyBorder="false" applyAlignment="true" applyProtection="false">
      <alignment horizontal="right" vertical="bottom" textRotation="0" wrapText="false" indent="0" shrinkToFit="false"/>
      <protection locked="true" hidden="false"/>
    </xf>
    <xf numFmtId="171" fontId="4" fillId="10" borderId="0" xfId="20" applyFont="true" applyBorder="false" applyAlignment="true" applyProtection="false">
      <alignment horizontal="right" vertical="bottom" textRotation="0" wrapText="false" indent="0" shrinkToFit="false"/>
      <protection locked="true" hidden="false"/>
    </xf>
    <xf numFmtId="171" fontId="4" fillId="11" borderId="0" xfId="20" applyFont="true" applyBorder="false" applyAlignment="true" applyProtection="false">
      <alignment horizontal="right" vertical="bottom" textRotation="0" wrapText="false" indent="0" shrinkToFit="false"/>
      <protection locked="true" hidden="false"/>
    </xf>
    <xf numFmtId="173" fontId="15" fillId="9" borderId="0" xfId="20" applyFont="true" applyBorder="false" applyAlignment="true" applyProtection="false">
      <alignment horizontal="right" vertical="bottom" textRotation="0" wrapText="false" indent="0" shrinkToFit="false"/>
      <protection locked="true" hidden="false"/>
    </xf>
    <xf numFmtId="173" fontId="15" fillId="11" borderId="0" xfId="20" applyFont="true" applyBorder="false" applyAlignment="true" applyProtection="false">
      <alignment horizontal="right" vertical="bottom" textRotation="0" wrapText="false" indent="0" shrinkToFit="false"/>
      <protection locked="true" hidden="false"/>
    </xf>
    <xf numFmtId="164" fontId="10" fillId="0" borderId="0" xfId="20" applyFont="true" applyBorder="false" applyAlignment="true" applyProtection="false">
      <alignment horizontal="center" vertical="bottom" textRotation="0" wrapText="false" indent="0" shrinkToFit="false"/>
      <protection locked="true" hidden="false"/>
    </xf>
    <xf numFmtId="164" fontId="16" fillId="3" borderId="0" xfId="20" applyFont="true" applyBorder="false" applyAlignment="false" applyProtection="false">
      <alignment horizontal="general" vertical="bottom" textRotation="0" wrapText="false" indent="0" shrinkToFit="false"/>
      <protection locked="true" hidden="false"/>
    </xf>
    <xf numFmtId="172" fontId="17" fillId="4" borderId="0" xfId="20" applyFont="true" applyBorder="false" applyAlignment="true" applyProtection="false">
      <alignment horizontal="center" vertical="bottom" textRotation="0" wrapText="false" indent="0" shrinkToFit="false"/>
      <protection locked="true" hidden="false"/>
    </xf>
    <xf numFmtId="172" fontId="17" fillId="4" borderId="0" xfId="20" applyFont="true" applyBorder="true" applyAlignment="true" applyProtection="false">
      <alignment horizontal="center" vertical="bottom" textRotation="0" wrapText="false" indent="0" shrinkToFit="false"/>
      <protection locked="true" hidden="false"/>
    </xf>
    <xf numFmtId="173" fontId="17" fillId="4" borderId="0" xfId="20" applyFont="true" applyBorder="false" applyAlignment="true" applyProtection="false">
      <alignment horizontal="center" vertical="bottom" textRotation="0" wrapText="false" indent="0" shrinkToFit="false"/>
      <protection locked="true" hidden="false"/>
    </xf>
    <xf numFmtId="173" fontId="17" fillId="4" borderId="0" xfId="20" applyFont="true" applyBorder="true" applyAlignment="true" applyProtection="false">
      <alignment horizontal="center" vertical="bottom" textRotation="0" wrapText="false" indent="0" shrinkToFit="false"/>
      <protection locked="true" hidden="false"/>
    </xf>
    <xf numFmtId="173" fontId="15" fillId="4" borderId="0" xfId="20" applyFont="true" applyBorder="false" applyAlignment="true" applyProtection="false">
      <alignment horizontal="center" vertical="bottom" textRotation="0" wrapText="false" indent="0" shrinkToFit="false"/>
      <protection locked="true" hidden="false"/>
    </xf>
    <xf numFmtId="173" fontId="15" fillId="4" borderId="0" xfId="20" applyFont="true" applyBorder="true" applyAlignment="true" applyProtection="false">
      <alignment horizontal="center" vertical="bottom" textRotation="0" wrapText="false" indent="0" shrinkToFit="false"/>
      <protection locked="true" hidden="false"/>
    </xf>
    <xf numFmtId="171" fontId="15" fillId="4" borderId="0" xfId="20" applyFont="true" applyBorder="false" applyAlignment="true" applyProtection="false">
      <alignment horizontal="center" vertical="bottom" textRotation="0" wrapText="false" indent="0" shrinkToFit="false"/>
      <protection locked="true" hidden="false"/>
    </xf>
    <xf numFmtId="171" fontId="15" fillId="4" borderId="0" xfId="20" applyFont="true" applyBorder="true" applyAlignment="true" applyProtection="false">
      <alignment horizontal="center" vertical="bottom" textRotation="0" wrapText="false" indent="0" shrinkToFit="false"/>
      <protection locked="true" hidden="false"/>
    </xf>
    <xf numFmtId="171" fontId="17" fillId="4" borderId="0" xfId="20" applyFont="true" applyBorder="false" applyAlignment="true" applyProtection="false">
      <alignment horizontal="center" vertical="bottom" textRotation="0" wrapText="false" indent="0" shrinkToFit="false"/>
      <protection locked="true" hidden="false"/>
    </xf>
    <xf numFmtId="171" fontId="17" fillId="4" borderId="0" xfId="20" applyFont="true" applyBorder="true" applyAlignment="true" applyProtection="false">
      <alignment horizontal="center" vertical="bottom" textRotation="0" wrapText="false" indent="0" shrinkToFit="false"/>
      <protection locked="true" hidden="false"/>
    </xf>
    <xf numFmtId="175" fontId="6" fillId="2" borderId="0" xfId="20" applyFont="true" applyBorder="true" applyAlignment="false" applyProtection="false">
      <alignment horizontal="general" vertical="bottom" textRotation="0" wrapText="false" indent="0" shrinkToFit="false"/>
      <protection locked="true" hidden="false"/>
    </xf>
    <xf numFmtId="175" fontId="6" fillId="0" borderId="0" xfId="20" applyFont="true" applyBorder="false" applyAlignment="false" applyProtection="false">
      <alignment horizontal="general" vertical="bottom" textRotation="0" wrapText="false" indent="0" shrinkToFit="false"/>
      <protection locked="true" hidden="false"/>
    </xf>
    <xf numFmtId="175" fontId="6" fillId="0" borderId="0" xfId="20" applyFont="true" applyBorder="false" applyAlignment="true" applyProtection="false">
      <alignment horizontal="general" vertical="bottom" textRotation="0" wrapText="false" indent="0" shrinkToFit="false"/>
      <protection locked="true" hidden="false"/>
    </xf>
    <xf numFmtId="175" fontId="6" fillId="2" borderId="0" xfId="20" applyFont="true" applyBorder="true" applyAlignment="true" applyProtection="false">
      <alignment horizontal="general" vertical="bottom" textRotation="0" wrapText="false" indent="0" shrinkToFit="false"/>
      <protection locked="true" hidden="false"/>
    </xf>
    <xf numFmtId="167" fontId="8" fillId="0" borderId="0" xfId="20" applyFont="true" applyBorder="false" applyAlignment="true" applyProtection="false">
      <alignment horizontal="general" vertical="bottom" textRotation="0" wrapText="false" indent="0" shrinkToFit="false"/>
      <protection locked="true" hidden="false"/>
    </xf>
    <xf numFmtId="167" fontId="8" fillId="2" borderId="0" xfId="20" applyFont="true" applyBorder="true" applyAlignment="true" applyProtection="false">
      <alignment horizontal="general" vertical="bottom" textRotation="0" wrapText="false" indent="0" shrinkToFit="false"/>
      <protection locked="true" hidden="false"/>
    </xf>
    <xf numFmtId="164" fontId="6" fillId="2" borderId="0" xfId="20" applyFont="true" applyBorder="true" applyAlignment="true" applyProtection="false">
      <alignment horizontal="general" vertical="bottom" textRotation="0" wrapText="false" indent="0" shrinkToFit="false"/>
      <protection locked="true" hidden="false"/>
    </xf>
    <xf numFmtId="176" fontId="8" fillId="2" borderId="0" xfId="20" applyFont="true" applyBorder="true" applyAlignment="false" applyProtection="false">
      <alignment horizontal="general" vertical="bottom" textRotation="0" wrapText="false" indent="0" shrinkToFit="false"/>
      <protection locked="true" hidden="false"/>
    </xf>
    <xf numFmtId="176" fontId="8" fillId="0" borderId="0" xfId="20" applyFont="true" applyBorder="false" applyAlignment="false" applyProtection="false">
      <alignment horizontal="general" vertical="bottom" textRotation="0" wrapText="false" indent="0" shrinkToFit="false"/>
      <protection locked="true" hidden="false"/>
    </xf>
    <xf numFmtId="176" fontId="8" fillId="0" borderId="0" xfId="20" applyFont="true" applyBorder="false" applyAlignment="true" applyProtection="false">
      <alignment horizontal="general" vertical="bottom" textRotation="0" wrapText="false" indent="0" shrinkToFit="false"/>
      <protection locked="true" hidden="false"/>
    </xf>
    <xf numFmtId="176" fontId="8" fillId="2" borderId="0" xfId="20" applyFont="true" applyBorder="true" applyAlignment="true" applyProtection="false">
      <alignment horizontal="general" vertical="bottom" textRotation="0" wrapText="false" indent="0" shrinkToFit="false"/>
      <protection locked="true" hidden="false"/>
    </xf>
    <xf numFmtId="164" fontId="6" fillId="2" borderId="1" xfId="20" applyFont="true" applyBorder="true" applyAlignment="false" applyProtection="false">
      <alignment horizontal="general" vertical="bottom" textRotation="0" wrapText="false" indent="0" shrinkToFit="false"/>
      <protection locked="true" hidden="false"/>
    </xf>
    <xf numFmtId="164" fontId="6" fillId="0" borderId="1" xfId="20" applyFont="true" applyBorder="true" applyAlignment="false" applyProtection="false">
      <alignment horizontal="general" vertical="bottom" textRotation="0" wrapText="false" indent="0" shrinkToFit="false"/>
      <protection locked="true" hidden="false"/>
    </xf>
    <xf numFmtId="164" fontId="6" fillId="2" borderId="1" xfId="20" applyFont="true" applyBorder="true" applyAlignment="true" applyProtection="false">
      <alignment horizontal="general" vertical="bottom" textRotation="0" wrapText="false" indent="0" shrinkToFit="false"/>
      <protection locked="true" hidden="false"/>
    </xf>
    <xf numFmtId="166" fontId="6" fillId="0" borderId="0" xfId="20" applyFont="true" applyBorder="false" applyAlignment="true" applyProtection="false">
      <alignment horizontal="general" vertical="bottom" textRotation="0" wrapText="false" indent="0" shrinkToFit="false"/>
      <protection locked="true" hidden="false"/>
    </xf>
    <xf numFmtId="166" fontId="6" fillId="2" borderId="0" xfId="20" applyFont="true" applyBorder="true" applyAlignment="true" applyProtection="false">
      <alignment horizontal="general" vertical="bottom" textRotation="0" wrapText="false" indent="0" shrinkToFit="false"/>
      <protection locked="true" hidden="false"/>
    </xf>
    <xf numFmtId="164" fontId="4" fillId="2" borderId="0" xfId="20" applyFont="true" applyBorder="true" applyAlignment="false" applyProtection="false">
      <alignment horizontal="general" vertical="bottom" textRotation="0" wrapText="false" indent="0" shrinkToFit="false"/>
      <protection locked="true" hidden="false"/>
    </xf>
    <xf numFmtId="174" fontId="8" fillId="2" borderId="0" xfId="20" applyFont="true" applyBorder="true" applyAlignment="false" applyProtection="false">
      <alignment horizontal="general" vertical="bottom" textRotation="0" wrapText="false" indent="0" shrinkToFit="false"/>
      <protection locked="true" hidden="false"/>
    </xf>
    <xf numFmtId="174" fontId="8" fillId="0" borderId="0" xfId="20" applyFont="true" applyBorder="false" applyAlignment="false" applyProtection="false">
      <alignment horizontal="general" vertical="bottom" textRotation="0" wrapText="false" indent="0" shrinkToFit="false"/>
      <protection locked="true" hidden="false"/>
    </xf>
    <xf numFmtId="174" fontId="8" fillId="0" borderId="0" xfId="20" applyFont="true" applyBorder="false" applyAlignment="true" applyProtection="false">
      <alignment horizontal="general" vertical="bottom" textRotation="0" wrapText="false" indent="0" shrinkToFit="false"/>
      <protection locked="true" hidden="false"/>
    </xf>
    <xf numFmtId="174" fontId="8" fillId="2" borderId="0" xfId="20" applyFont="true" applyBorder="true" applyAlignment="true" applyProtection="false">
      <alignment horizontal="general" vertical="bottom" textRotation="0" wrapText="false" indent="0" shrinkToFit="false"/>
      <protection locked="true" hidden="false"/>
    </xf>
    <xf numFmtId="168" fontId="8" fillId="2" borderId="1" xfId="20" applyFont="true" applyBorder="true" applyAlignment="false" applyProtection="false">
      <alignment horizontal="general" vertical="bottom" textRotation="0" wrapText="false" indent="0" shrinkToFit="false"/>
      <protection locked="true" hidden="false"/>
    </xf>
    <xf numFmtId="168" fontId="8" fillId="0" borderId="1" xfId="20" applyFont="true" applyBorder="true" applyAlignment="false" applyProtection="false">
      <alignment horizontal="general" vertical="bottom" textRotation="0" wrapText="false" indent="0" shrinkToFit="false"/>
      <protection locked="true" hidden="false"/>
    </xf>
    <xf numFmtId="168" fontId="6" fillId="0" borderId="1" xfId="20" applyFont="true" applyBorder="true" applyAlignment="false" applyProtection="false">
      <alignment horizontal="general" vertical="bottom" textRotation="0" wrapText="false" indent="0" shrinkToFit="false"/>
      <protection locked="true" hidden="false"/>
    </xf>
    <xf numFmtId="168" fontId="6" fillId="2" borderId="1" xfId="20" applyFont="true" applyBorder="true" applyAlignment="false" applyProtection="false">
      <alignment horizontal="general" vertical="bottom" textRotation="0" wrapText="false" indent="0" shrinkToFit="false"/>
      <protection locked="true" hidden="false"/>
    </xf>
    <xf numFmtId="168" fontId="6" fillId="0" borderId="1" xfId="20" applyFont="true" applyBorder="true" applyAlignment="true" applyProtection="false">
      <alignment horizontal="general" vertical="bottom" textRotation="0" wrapText="false" indent="0" shrinkToFit="false"/>
      <protection locked="true" hidden="false"/>
    </xf>
    <xf numFmtId="168" fontId="6" fillId="2" borderId="1" xfId="20" applyFont="true" applyBorder="true" applyAlignment="true" applyProtection="false">
      <alignment horizontal="general" vertical="bottom" textRotation="0" wrapText="false" indent="0" shrinkToFit="false"/>
      <protection locked="true" hidden="false"/>
    </xf>
    <xf numFmtId="168" fontId="6" fillId="0" borderId="0" xfId="20" applyFont="true" applyBorder="false" applyAlignment="true" applyProtection="false">
      <alignment horizontal="general" vertical="bottom" textRotation="0" wrapText="false" indent="0" shrinkToFit="false"/>
      <protection locked="true" hidden="false"/>
    </xf>
    <xf numFmtId="168" fontId="6" fillId="0" borderId="0" xfId="20" applyFont="true" applyBorder="true" applyAlignment="true" applyProtection="false">
      <alignment horizontal="general" vertical="bottom" textRotation="0" wrapText="false" indent="0" shrinkToFit="false"/>
      <protection locked="true" hidden="false"/>
    </xf>
    <xf numFmtId="174" fontId="6" fillId="0" borderId="0" xfId="20" applyFont="true" applyBorder="false" applyAlignment="true" applyProtection="false">
      <alignment horizontal="general" vertical="bottom" textRotation="0" wrapText="false" indent="0" shrinkToFit="false"/>
      <protection locked="true" hidden="false"/>
    </xf>
    <xf numFmtId="174" fontId="6" fillId="0" borderId="0" xfId="20" applyFont="true" applyBorder="true" applyAlignment="true" applyProtection="false">
      <alignment horizontal="general" vertical="bottom" textRotation="0" wrapText="false" indent="0" shrinkToFit="false"/>
      <protection locked="true" hidden="false"/>
    </xf>
    <xf numFmtId="177" fontId="8" fillId="2" borderId="0" xfId="20" applyFont="true" applyBorder="true" applyAlignment="false" applyProtection="false">
      <alignment horizontal="general" vertical="bottom" textRotation="0" wrapText="false" indent="0" shrinkToFit="false"/>
      <protection locked="true" hidden="false"/>
    </xf>
    <xf numFmtId="177" fontId="8" fillId="0" borderId="0" xfId="20" applyFont="true" applyBorder="false" applyAlignment="false" applyProtection="false">
      <alignment horizontal="general" vertical="bottom" textRotation="0" wrapText="false" indent="0" shrinkToFit="false"/>
      <protection locked="true" hidden="false"/>
    </xf>
    <xf numFmtId="177" fontId="6" fillId="0" borderId="0" xfId="20" applyFont="true" applyBorder="false" applyAlignment="false" applyProtection="false">
      <alignment horizontal="general" vertical="bottom" textRotation="0" wrapText="false" indent="0" shrinkToFit="false"/>
      <protection locked="true" hidden="false"/>
    </xf>
    <xf numFmtId="177" fontId="8" fillId="0" borderId="0" xfId="20" applyFont="true" applyBorder="false" applyAlignment="true" applyProtection="false">
      <alignment horizontal="general" vertical="bottom" textRotation="0" wrapText="false" indent="0" shrinkToFit="false"/>
      <protection locked="true" hidden="false"/>
    </xf>
    <xf numFmtId="177" fontId="6" fillId="2" borderId="0" xfId="20" applyFont="true" applyBorder="true" applyAlignment="false" applyProtection="false">
      <alignment horizontal="general" vertical="bottom" textRotation="0" wrapText="false" indent="0" shrinkToFit="false"/>
      <protection locked="true" hidden="false"/>
    </xf>
    <xf numFmtId="177" fontId="8" fillId="2" borderId="0" xfId="20" applyFont="true" applyBorder="true" applyAlignment="true" applyProtection="false">
      <alignment horizontal="general" vertical="bottom" textRotation="0" wrapText="false" indent="0" shrinkToFit="false"/>
      <protection locked="true" hidden="false"/>
    </xf>
    <xf numFmtId="167" fontId="6" fillId="2" borderId="0" xfId="20" applyFont="true" applyBorder="true" applyAlignment="false" applyProtection="false">
      <alignment horizontal="general" vertical="bottom" textRotation="0" wrapText="false" indent="0" shrinkToFit="false"/>
      <protection locked="true" hidden="false"/>
    </xf>
    <xf numFmtId="178" fontId="8" fillId="2" borderId="0" xfId="20" applyFont="true" applyBorder="true" applyAlignment="false" applyProtection="false">
      <alignment horizontal="general" vertical="bottom" textRotation="0" wrapText="false" indent="0" shrinkToFit="false"/>
      <protection locked="true" hidden="false"/>
    </xf>
    <xf numFmtId="178" fontId="8" fillId="0" borderId="0" xfId="20" applyFont="true" applyBorder="false" applyAlignment="false" applyProtection="false">
      <alignment horizontal="general" vertical="bottom" textRotation="0" wrapText="false" indent="0" shrinkToFit="false"/>
      <protection locked="true" hidden="false"/>
    </xf>
    <xf numFmtId="178" fontId="6" fillId="0" borderId="0" xfId="20" applyFont="true" applyBorder="false" applyAlignment="false" applyProtection="false">
      <alignment horizontal="general" vertical="bottom" textRotation="0" wrapText="false" indent="0" shrinkToFit="false"/>
      <protection locked="true" hidden="false"/>
    </xf>
    <xf numFmtId="178" fontId="6" fillId="2" borderId="0" xfId="20" applyFont="true" applyBorder="true" applyAlignment="false" applyProtection="false">
      <alignment horizontal="general" vertical="bottom" textRotation="0" wrapText="false" indent="0" shrinkToFit="false"/>
      <protection locked="true" hidden="false"/>
    </xf>
    <xf numFmtId="178" fontId="8" fillId="2" borderId="0" xfId="20" applyFont="true" applyBorder="true" applyAlignment="true" applyProtection="false">
      <alignment horizontal="general" vertical="bottom" textRotation="0" wrapText="false" indent="0" shrinkToFit="false"/>
      <protection locked="true" hidden="false"/>
    </xf>
    <xf numFmtId="176" fontId="6" fillId="0" borderId="0" xfId="20" applyFont="true" applyBorder="false" applyAlignment="false" applyProtection="false">
      <alignment horizontal="general" vertical="bottom" textRotation="0" wrapText="false" indent="0" shrinkToFit="false"/>
      <protection locked="true" hidden="false"/>
    </xf>
    <xf numFmtId="176" fontId="6" fillId="2" borderId="0" xfId="20" applyFont="true" applyBorder="true" applyAlignment="false" applyProtection="false">
      <alignment horizontal="general" vertical="bottom" textRotation="0" wrapText="false" indent="0" shrinkToFit="false"/>
      <protection locked="true" hidden="false"/>
    </xf>
    <xf numFmtId="169" fontId="8" fillId="2" borderId="0" xfId="20" applyFont="true" applyBorder="true" applyAlignment="false" applyProtection="false">
      <alignment horizontal="general" vertical="bottom" textRotation="0" wrapText="false" indent="0" shrinkToFit="false"/>
      <protection locked="true" hidden="false"/>
    </xf>
    <xf numFmtId="169" fontId="8" fillId="0" borderId="0" xfId="20" applyFont="true" applyBorder="false" applyAlignment="false" applyProtection="false">
      <alignment horizontal="general" vertical="bottom" textRotation="0" wrapText="false" indent="0" shrinkToFit="false"/>
      <protection locked="true" hidden="false"/>
    </xf>
    <xf numFmtId="169" fontId="8" fillId="0" borderId="0" xfId="20" applyFont="true" applyBorder="false" applyAlignment="true" applyProtection="false">
      <alignment horizontal="general" vertical="bottom" textRotation="0" wrapText="false" indent="0" shrinkToFit="false"/>
      <protection locked="true" hidden="false"/>
    </xf>
    <xf numFmtId="169" fontId="6" fillId="2" borderId="0" xfId="20" applyFont="true" applyBorder="true" applyAlignment="false" applyProtection="false">
      <alignment horizontal="general" vertical="bottom" textRotation="0" wrapText="false" indent="0" shrinkToFit="false"/>
      <protection locked="true" hidden="false"/>
    </xf>
    <xf numFmtId="169" fontId="8" fillId="2" borderId="0" xfId="20" applyFont="true" applyBorder="true" applyAlignment="true" applyProtection="false">
      <alignment horizontal="general" vertical="bottom" textRotation="0" wrapText="false" indent="0" shrinkToFit="false"/>
      <protection locked="true" hidden="false"/>
    </xf>
    <xf numFmtId="179" fontId="8" fillId="2" borderId="0" xfId="20" applyFont="true" applyBorder="true" applyAlignment="false" applyProtection="false">
      <alignment horizontal="general" vertical="bottom" textRotation="0" wrapText="false" indent="0" shrinkToFit="false"/>
      <protection locked="true" hidden="false"/>
    </xf>
    <xf numFmtId="179" fontId="8" fillId="0" borderId="0" xfId="20" applyFont="true" applyBorder="false" applyAlignment="false" applyProtection="false">
      <alignment horizontal="general" vertical="bottom" textRotation="0" wrapText="false" indent="0" shrinkToFit="false"/>
      <protection locked="true" hidden="false"/>
    </xf>
    <xf numFmtId="179" fontId="6" fillId="0" borderId="0" xfId="20" applyFont="true" applyBorder="false" applyAlignment="false" applyProtection="false">
      <alignment horizontal="general" vertical="bottom" textRotation="0" wrapText="false" indent="0" shrinkToFit="false"/>
      <protection locked="true" hidden="false"/>
    </xf>
    <xf numFmtId="179" fontId="8" fillId="0" borderId="0" xfId="20" applyFont="true" applyBorder="false" applyAlignment="true" applyProtection="false">
      <alignment horizontal="general" vertical="bottom" textRotation="0" wrapText="false" indent="0" shrinkToFit="false"/>
      <protection locked="true" hidden="false"/>
    </xf>
    <xf numFmtId="179" fontId="6" fillId="2" borderId="0" xfId="20" applyFont="true" applyBorder="true" applyAlignment="false" applyProtection="false">
      <alignment horizontal="general" vertical="bottom" textRotation="0" wrapText="false" indent="0" shrinkToFit="false"/>
      <protection locked="true" hidden="false"/>
    </xf>
    <xf numFmtId="179" fontId="8" fillId="2" borderId="0" xfId="20" applyFont="true" applyBorder="true" applyAlignment="true" applyProtection="false">
      <alignment horizontal="general" vertical="bottom" textRotation="0" wrapText="false" indent="0" shrinkToFit="false"/>
      <protection locked="true" hidden="false"/>
    </xf>
    <xf numFmtId="180" fontId="8" fillId="2" borderId="0" xfId="20" applyFont="true" applyBorder="true" applyAlignment="false" applyProtection="false">
      <alignment horizontal="general" vertical="bottom" textRotation="0" wrapText="false" indent="0" shrinkToFit="false"/>
      <protection locked="true" hidden="false"/>
    </xf>
    <xf numFmtId="180" fontId="8" fillId="0" borderId="0" xfId="20" applyFont="true" applyBorder="false" applyAlignment="false" applyProtection="false">
      <alignment horizontal="general" vertical="bottom" textRotation="0" wrapText="false" indent="0" shrinkToFit="false"/>
      <protection locked="true" hidden="false"/>
    </xf>
    <xf numFmtId="180" fontId="6" fillId="0" borderId="0" xfId="20" applyFont="true" applyBorder="false" applyAlignment="false" applyProtection="false">
      <alignment horizontal="general" vertical="bottom" textRotation="0" wrapText="false" indent="0" shrinkToFit="false"/>
      <protection locked="true" hidden="false"/>
    </xf>
    <xf numFmtId="180" fontId="8" fillId="0" borderId="0" xfId="20" applyFont="true" applyBorder="false" applyAlignment="true" applyProtection="false">
      <alignment horizontal="general" vertical="bottom" textRotation="0" wrapText="false" indent="0" shrinkToFit="false"/>
      <protection locked="true" hidden="false"/>
    </xf>
    <xf numFmtId="180" fontId="6" fillId="2" borderId="0" xfId="20" applyFont="true" applyBorder="true" applyAlignment="false" applyProtection="false">
      <alignment horizontal="general" vertical="bottom" textRotation="0" wrapText="false" indent="0" shrinkToFit="false"/>
      <protection locked="true" hidden="false"/>
    </xf>
    <xf numFmtId="180" fontId="8" fillId="2" borderId="0" xfId="20" applyFont="true" applyBorder="true" applyAlignment="true" applyProtection="false">
      <alignment horizontal="general" vertical="bottom" textRotation="0" wrapText="false" indent="0" shrinkToFit="false"/>
      <protection locked="true" hidden="false"/>
    </xf>
    <xf numFmtId="174" fontId="6" fillId="0" borderId="0" xfId="20" applyFont="true" applyBorder="false" applyAlignment="false" applyProtection="false">
      <alignment horizontal="general" vertical="bottom" textRotation="0" wrapText="false" indent="0" shrinkToFit="false"/>
      <protection locked="true" hidden="false"/>
    </xf>
    <xf numFmtId="174" fontId="6" fillId="2" borderId="0" xfId="20" applyFont="true" applyBorder="true" applyAlignment="false" applyProtection="false">
      <alignment horizontal="general" vertical="bottom" textRotation="0" wrapText="false" indent="0" shrinkToFit="false"/>
      <protection locked="true" hidden="false"/>
    </xf>
    <xf numFmtId="167" fontId="6" fillId="2" borderId="1" xfId="20" applyFont="true" applyBorder="true" applyAlignment="false" applyProtection="false">
      <alignment horizontal="general" vertical="bottom" textRotation="0" wrapText="false" indent="0" shrinkToFit="false"/>
      <protection locked="true" hidden="false"/>
    </xf>
    <xf numFmtId="167" fontId="6" fillId="0" borderId="1" xfId="20" applyFont="true" applyBorder="true" applyAlignment="false" applyProtection="false">
      <alignment horizontal="general" vertical="bottom" textRotation="0" wrapText="false" indent="0" shrinkToFit="false"/>
      <protection locked="true" hidden="false"/>
    </xf>
    <xf numFmtId="168" fontId="8" fillId="2" borderId="0" xfId="20" applyFont="true" applyBorder="true" applyAlignment="false" applyProtection="false">
      <alignment horizontal="general" vertical="bottom" textRotation="0" wrapText="false" indent="0" shrinkToFit="false"/>
      <protection locked="true" hidden="false"/>
    </xf>
    <xf numFmtId="168" fontId="8" fillId="0" borderId="0" xfId="20" applyFont="true" applyBorder="false" applyAlignment="false" applyProtection="false">
      <alignment horizontal="general" vertical="bottom" textRotation="0" wrapText="false" indent="0" shrinkToFit="false"/>
      <protection locked="true" hidden="false"/>
    </xf>
    <xf numFmtId="168" fontId="8" fillId="0" borderId="0" xfId="20" applyFont="true" applyBorder="false" applyAlignment="true" applyProtection="false">
      <alignment horizontal="general" vertical="bottom" textRotation="0" wrapText="false" indent="0" shrinkToFit="false"/>
      <protection locked="true" hidden="false"/>
    </xf>
    <xf numFmtId="168" fontId="8" fillId="2" borderId="0" xfId="20" applyFont="true" applyBorder="true" applyAlignment="true" applyProtection="false">
      <alignment horizontal="general" vertical="bottom" textRotation="0" wrapText="false" indent="0" shrinkToFit="false"/>
      <protection locked="true" hidden="false"/>
    </xf>
    <xf numFmtId="164" fontId="4" fillId="0" borderId="0" xfId="20" applyFont="true" applyBorder="false" applyAlignment="true" applyProtection="false">
      <alignment horizontal="general" vertical="bottom" textRotation="0" wrapText="false" indent="0" shrinkToFit="false"/>
      <protection locked="true" hidden="false"/>
    </xf>
    <xf numFmtId="171" fontId="4" fillId="0" borderId="0" xfId="20" applyFont="true" applyBorder="false" applyAlignment="false" applyProtection="false">
      <alignment horizontal="general" vertical="bottom" textRotation="0" wrapText="false" indent="0" shrinkToFit="false"/>
      <protection locked="true" hidden="false"/>
    </xf>
    <xf numFmtId="171" fontId="15" fillId="0" borderId="0" xfId="20" applyFont="true" applyBorder="false" applyAlignment="false" applyProtection="false">
      <alignment horizontal="general" vertical="bottom" textRotation="0" wrapText="false" indent="0" shrinkToFit="false"/>
      <protection locked="true" hidden="false"/>
    </xf>
    <xf numFmtId="171" fontId="15" fillId="0" borderId="0" xfId="20" applyFont="true" applyBorder="false" applyAlignment="true" applyProtection="false">
      <alignment horizontal="general" vertical="bottom" textRotation="0" wrapText="false" indent="0" shrinkToFit="false"/>
      <protection locked="true" hidden="false"/>
    </xf>
    <xf numFmtId="165" fontId="6" fillId="0" borderId="0" xfId="20" applyFont="true" applyBorder="false" applyAlignment="true" applyProtection="false">
      <alignment horizontal="general" vertical="bottom" textRotation="0" wrapText="false" indent="0" shrinkToFit="false"/>
      <protection locked="true" hidden="false"/>
    </xf>
    <xf numFmtId="165" fontId="6" fillId="0" borderId="0" xfId="20" applyFont="true" applyBorder="true" applyAlignment="true" applyProtection="false">
      <alignment horizontal="general" vertical="bottom" textRotation="0" wrapText="false" indent="0" shrinkToFit="false"/>
      <protection locked="true" hidden="false"/>
    </xf>
    <xf numFmtId="164" fontId="6" fillId="0" borderId="0" xfId="20" applyFont="true" applyBorder="true" applyAlignment="true" applyProtection="false">
      <alignment horizontal="general" vertical="bottom" textRotation="0" wrapText="false" indent="0" shrinkToFit="false"/>
      <protection locked="true" hidden="false"/>
    </xf>
    <xf numFmtId="166" fontId="6" fillId="0" borderId="0" xfId="20" applyFont="true" applyBorder="true" applyAlignment="true" applyProtection="false">
      <alignment horizontal="general" vertical="bottom" textRotation="0" wrapText="false" indent="0" shrinkToFit="false"/>
      <protection locked="true" hidden="false"/>
    </xf>
    <xf numFmtId="164" fontId="18" fillId="0" borderId="0" xfId="20" applyFont="true" applyBorder="false" applyAlignment="true" applyProtection="false">
      <alignment horizontal="general" vertical="bottom" textRotation="0" wrapText="false" indent="0" shrinkToFit="false"/>
      <protection locked="true" hidden="false"/>
    </xf>
    <xf numFmtId="164" fontId="12" fillId="0" borderId="0" xfId="20" applyFont="true" applyBorder="false" applyAlignment="true" applyProtection="false">
      <alignment horizontal="general" vertical="bottom" textRotation="0" wrapText="false" indent="0" shrinkToFit="false"/>
      <protection locked="true" hidden="false"/>
    </xf>
    <xf numFmtId="164" fontId="19" fillId="0" borderId="0" xfId="20" applyFont="true" applyBorder="false" applyAlignment="true" applyProtection="false">
      <alignment horizontal="center" vertical="bottom"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Normal" xfId="20"/>
  </cellStyles>
  <dxfs count="2">
    <dxf>
      <fill>
        <patternFill>
          <bgColor rgb="FFFFF4CC"/>
        </patternFill>
      </fill>
    </dxf>
    <dxf>
      <font>
        <b val="1"/>
        <color rgb="FFB64A4A"/>
      </font>
      <fill>
        <patternFill>
          <bgColor rgb="FFFAEEE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227944"/>
      <rgbColor rgb="FFB7B7B2"/>
      <rgbColor rgb="FF808080"/>
      <rgbColor rgb="FF9999FF"/>
      <rgbColor rgb="FFB64A4A"/>
      <rgbColor rgb="FFFFF4CC"/>
      <rgbColor rgb="FFEAF6ED"/>
      <rgbColor rgb="FF660066"/>
      <rgbColor rgb="FFFF8080"/>
      <rgbColor rgb="FF0066CC"/>
      <rgbColor rgb="FFEFEFEF"/>
      <rgbColor rgb="FF000080"/>
      <rgbColor rgb="FFFF00FF"/>
      <rgbColor rgb="FFFFFF00"/>
      <rgbColor rgb="FF00FFFF"/>
      <rgbColor rgb="FF800080"/>
      <rgbColor rgb="FF800000"/>
      <rgbColor rgb="FF008080"/>
      <rgbColor rgb="FF0000FF"/>
      <rgbColor rgb="FF00CCFF"/>
      <rgbColor rgb="FFEAF1FA"/>
      <rgbColor rgb="FFF0F0ED"/>
      <rgbColor rgb="FFF7F7F4"/>
      <rgbColor rgb="FF99CCFF"/>
      <rgbColor rgb="FFFF99CC"/>
      <rgbColor rgb="FFCC99FF"/>
      <rgbColor rgb="FFFAEEEE"/>
      <rgbColor rgb="FF326AB5"/>
      <rgbColor rgb="FF33CCCC"/>
      <rgbColor rgb="FF99CC00"/>
      <rgbColor rgb="FFFFCC00"/>
      <rgbColor rgb="FFFF9900"/>
      <rgbColor rgb="FFFF6600"/>
      <rgbColor rgb="FF666699"/>
      <rgbColor rgb="FF969696"/>
      <rgbColor rgb="FF003366"/>
      <rgbColor rgb="FF2E7F49"/>
      <rgbColor rgb="FF003300"/>
      <rgbColor rgb="FF333300"/>
      <rgbColor rgb="FF993300"/>
      <rgbColor rgb="FF993366"/>
      <rgbColor rgb="FF333399"/>
      <rgbColor rgb="FF30303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Office">
      <a:majorFont>
        <a:latin typeface="Calibri Light" pitchFamily="0" charset="1"/>
        <a:ea typeface="Calibri Light" pitchFamily="0" charset="1"/>
        <a:cs typeface="Calibri Light"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l="0" t="0" r="0" b="0"/>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l="0" t="0" r="0" b="0"/>
        </a:gradFill>
      </a:fillStyleLst>
      <a:lnStyleLst>
        <a:ln w="6350">
          <a:prstDash val="solid"/>
        </a:ln>
        <a:ln w="12700">
          <a:prstDash val="solid"/>
        </a:ln>
        <a:ln w="1905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2.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3.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4.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5.v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6.v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7.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00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false" zeroHeight="false" outlineLevelRow="0" outlineLevelCol="0"/>
  <cols>
    <col collapsed="false" customWidth="true" hidden="false" outlineLevel="0" max="1" min="1" style="0" width="106"/>
    <col collapsed="false" customWidth="true" hidden="false" outlineLevel="0" max="26" min="2" style="0" width="8.71"/>
  </cols>
  <sheetData>
    <row r="1" customFormat="false" ht="17.35" hidden="false" customHeight="false" outlineLevel="0" collapsed="false">
      <c r="A1" s="1" t="s">
        <v>0</v>
      </c>
    </row>
    <row r="3" customFormat="false" ht="15" hidden="false" customHeight="false" outlineLevel="0" collapsed="false">
      <c r="A3" s="2" t="s">
        <v>1</v>
      </c>
    </row>
    <row r="4" customFormat="false" ht="15" hidden="false" customHeight="false" outlineLevel="0" collapsed="false">
      <c r="A4" s="2" t="s">
        <v>2</v>
      </c>
    </row>
    <row r="5" customFormat="false" ht="15" hidden="false" customHeight="false" outlineLevel="0" collapsed="false">
      <c r="A5" s="2" t="s">
        <v>3</v>
      </c>
    </row>
    <row r="6" customFormat="false" ht="15" hidden="false" customHeight="false" outlineLevel="0" collapsed="false">
      <c r="A6" s="2"/>
    </row>
    <row r="7" customFormat="false" ht="15" hidden="false" customHeight="false" outlineLevel="0" collapsed="false">
      <c r="A7" s="3" t="s">
        <v>4</v>
      </c>
    </row>
    <row r="8" customFormat="false" ht="15" hidden="false" customHeight="false" outlineLevel="0" collapsed="false">
      <c r="A8" s="2" t="s">
        <v>5</v>
      </c>
    </row>
    <row r="9" customFormat="false" ht="15" hidden="false" customHeight="false" outlineLevel="0" collapsed="false">
      <c r="A9" s="2" t="s">
        <v>6</v>
      </c>
    </row>
    <row r="10" customFormat="false" ht="15" hidden="false" customHeight="false" outlineLevel="0" collapsed="false">
      <c r="A10" s="2" t="s">
        <v>7</v>
      </c>
    </row>
    <row r="11" customFormat="false" ht="15" hidden="false" customHeight="false" outlineLevel="0" collapsed="false">
      <c r="A11" s="2" t="s">
        <v>8</v>
      </c>
    </row>
    <row r="12" customFormat="false" ht="15" hidden="false" customHeight="false" outlineLevel="0" collapsed="false">
      <c r="A12" s="2"/>
    </row>
    <row r="13" customFormat="false" ht="15" hidden="false" customHeight="false" outlineLevel="0" collapsed="false">
      <c r="A13" s="2" t="s">
        <v>9</v>
      </c>
    </row>
    <row r="14" customFormat="false" ht="15" hidden="false" customHeight="false" outlineLevel="0" collapsed="false">
      <c r="A14" s="2" t="s">
        <v>10</v>
      </c>
    </row>
    <row r="15" customFormat="false" ht="15" hidden="false" customHeight="false" outlineLevel="0" collapsed="false">
      <c r="A15" s="2" t="s">
        <v>11</v>
      </c>
    </row>
    <row r="16" customFormat="false" ht="15" hidden="false" customHeight="false" outlineLevel="0" collapsed="false">
      <c r="A16" s="2" t="s">
        <v>12</v>
      </c>
    </row>
    <row r="17" customFormat="false" ht="15" hidden="false" customHeight="false" outlineLevel="0" collapsed="false">
      <c r="A17" s="2" t="s">
        <v>13</v>
      </c>
    </row>
    <row r="18" customFormat="false" ht="15" hidden="false" customHeight="false" outlineLevel="0" collapsed="false">
      <c r="A18" s="2"/>
    </row>
    <row r="19" customFormat="false" ht="15" hidden="false" customHeight="false" outlineLevel="0" collapsed="false">
      <c r="A19" s="4" t="s">
        <v>14</v>
      </c>
    </row>
    <row r="20" customFormat="false" ht="15" hidden="false" customHeight="false" outlineLevel="0" collapsed="false">
      <c r="A20" s="5" t="s">
        <v>15</v>
      </c>
    </row>
    <row r="21" customFormat="false" ht="15.75" hidden="false" customHeight="true" outlineLevel="0" collapsed="false">
      <c r="A21" s="5" t="s">
        <v>16</v>
      </c>
    </row>
    <row r="22" customFormat="false" ht="15.75" hidden="false" customHeight="true" outlineLevel="0" collapsed="false">
      <c r="A22" s="5" t="s">
        <v>17</v>
      </c>
    </row>
    <row r="23" customFormat="false" ht="15.75" hidden="false" customHeight="true" outlineLevel="0" collapsed="false">
      <c r="A23" s="2"/>
    </row>
    <row r="24" customFormat="false" ht="15.75" hidden="false" customHeight="true" outlineLevel="0" collapsed="false">
      <c r="A24" s="3" t="s">
        <v>18</v>
      </c>
    </row>
    <row r="25" customFormat="false" ht="15.75" hidden="false" customHeight="true" outlineLevel="0" collapsed="false">
      <c r="A25" s="5" t="s">
        <v>19</v>
      </c>
    </row>
    <row r="26" customFormat="false" ht="15.75" hidden="false" customHeight="true" outlineLevel="0" collapsed="false">
      <c r="A26" s="5" t="s">
        <v>20</v>
      </c>
    </row>
    <row r="27" customFormat="false" ht="15.75" hidden="false" customHeight="true" outlineLevel="0" collapsed="false">
      <c r="A27" s="5" t="s">
        <v>21</v>
      </c>
    </row>
    <row r="28" customFormat="false" ht="15.75" hidden="false" customHeight="true" outlineLevel="0" collapsed="false">
      <c r="A28" s="5" t="s">
        <v>22</v>
      </c>
    </row>
    <row r="29" customFormat="false" ht="15.75" hidden="false" customHeight="true" outlineLevel="0" collapsed="false">
      <c r="A29" s="2"/>
    </row>
    <row r="30" customFormat="false" ht="15.75" hidden="false" customHeight="true" outlineLevel="0" collapsed="false">
      <c r="A30" s="2"/>
    </row>
    <row r="31" customFormat="false" ht="15.75" hidden="false" customHeight="true" outlineLevel="0" collapsed="false">
      <c r="A31" s="3" t="s">
        <v>23</v>
      </c>
    </row>
    <row r="32" customFormat="false" ht="15.75" hidden="false" customHeight="true" outlineLevel="0" collapsed="false">
      <c r="A32" s="2" t="s">
        <v>24</v>
      </c>
    </row>
    <row r="33" customFormat="false" ht="15.75" hidden="false" customHeight="true" outlineLevel="0" collapsed="false">
      <c r="A33" s="2" t="s">
        <v>25</v>
      </c>
    </row>
    <row r="34" customFormat="false" ht="15.75" hidden="false" customHeight="true" outlineLevel="0" collapsed="false">
      <c r="A34" s="2" t="s">
        <v>26</v>
      </c>
    </row>
    <row r="35" customFormat="false" ht="15.75" hidden="false" customHeight="true" outlineLevel="0" collapsed="false">
      <c r="A35" s="2"/>
    </row>
    <row r="36" customFormat="false" ht="15.75" hidden="false" customHeight="true" outlineLevel="0" collapsed="false">
      <c r="A36" s="4" t="s">
        <v>27</v>
      </c>
    </row>
    <row r="37" customFormat="false" ht="15.75" hidden="false" customHeight="true" outlineLevel="0" collapsed="false">
      <c r="A37" s="5" t="s">
        <v>28</v>
      </c>
    </row>
    <row r="38" customFormat="false" ht="15.75" hidden="false" customHeight="true" outlineLevel="0" collapsed="false">
      <c r="A38" s="5" t="s">
        <v>29</v>
      </c>
    </row>
    <row r="39" customFormat="false" ht="15.75" hidden="false" customHeight="true" outlineLevel="0" collapsed="false">
      <c r="A39" s="5" t="s">
        <v>30</v>
      </c>
    </row>
    <row r="40" customFormat="false" ht="15.75" hidden="false" customHeight="true" outlineLevel="0" collapsed="false">
      <c r="A40" s="5" t="s">
        <v>31</v>
      </c>
    </row>
    <row r="41" customFormat="false" ht="15.75" hidden="false" customHeight="true" outlineLevel="0" collapsed="false">
      <c r="A41" s="2"/>
    </row>
    <row r="42" customFormat="false" ht="15.75" hidden="false" customHeight="true" outlineLevel="0" collapsed="false">
      <c r="A42" s="2" t="s">
        <v>32</v>
      </c>
    </row>
    <row r="43" customFormat="false" ht="15.75" hidden="false" customHeight="true" outlineLevel="0" collapsed="false">
      <c r="A43" s="2" t="s">
        <v>33</v>
      </c>
    </row>
    <row r="44" customFormat="false" ht="15.75" hidden="false" customHeight="true" outlineLevel="0" collapsed="false">
      <c r="A44" s="2" t="s">
        <v>34</v>
      </c>
    </row>
    <row r="45" customFormat="false" ht="15.75" hidden="false" customHeight="true" outlineLevel="0" collapsed="false">
      <c r="A45" s="2" t="s">
        <v>35</v>
      </c>
    </row>
    <row r="46" customFormat="false" ht="15.75" hidden="false" customHeight="true" outlineLevel="0" collapsed="false">
      <c r="A46" s="2" t="s">
        <v>36</v>
      </c>
    </row>
    <row r="47" customFormat="false" ht="15.75" hidden="false" customHeight="true" outlineLevel="0" collapsed="false">
      <c r="A47" s="2"/>
    </row>
    <row r="48" customFormat="false" ht="15.75" hidden="false" customHeight="true" outlineLevel="0" collapsed="false">
      <c r="A48" s="3" t="s">
        <v>37</v>
      </c>
    </row>
    <row r="49" customFormat="false" ht="15.75" hidden="false" customHeight="true" outlineLevel="0" collapsed="false">
      <c r="A49" s="2" t="s">
        <v>38</v>
      </c>
    </row>
    <row r="50" customFormat="false" ht="15.75" hidden="false" customHeight="true" outlineLevel="0" collapsed="false">
      <c r="A50" s="2" t="s">
        <v>39</v>
      </c>
    </row>
    <row r="51" customFormat="false" ht="15.75" hidden="false" customHeight="true" outlineLevel="0" collapsed="false">
      <c r="A51" s="2" t="s">
        <v>40</v>
      </c>
    </row>
    <row r="52" customFormat="false" ht="15.75" hidden="false" customHeight="true" outlineLevel="0" collapsed="false">
      <c r="A52" s="2" t="s">
        <v>41</v>
      </c>
    </row>
    <row r="53" customFormat="false" ht="15.75" hidden="false" customHeight="true" outlineLevel="0" collapsed="false">
      <c r="A53" s="2" t="s">
        <v>42</v>
      </c>
    </row>
    <row r="54" customFormat="false" ht="15.75" hidden="false" customHeight="true" outlineLevel="0" collapsed="false">
      <c r="A54" s="2" t="s">
        <v>43</v>
      </c>
    </row>
    <row r="55" customFormat="false" ht="15.75" hidden="false" customHeight="true" outlineLevel="0" collapsed="false">
      <c r="A55" s="2"/>
    </row>
    <row r="56" customFormat="false" ht="15.75" hidden="false" customHeight="true" outlineLevel="0" collapsed="false">
      <c r="A56" s="4" t="s">
        <v>44</v>
      </c>
    </row>
    <row r="57" customFormat="false" ht="15.75" hidden="false" customHeight="true" outlineLevel="0" collapsed="false">
      <c r="A57" s="5" t="s">
        <v>45</v>
      </c>
    </row>
    <row r="58" customFormat="false" ht="15.75" hidden="false" customHeight="true" outlineLevel="0" collapsed="false">
      <c r="A58" s="5" t="s">
        <v>46</v>
      </c>
    </row>
    <row r="59" customFormat="false" ht="15.75" hidden="false" customHeight="true" outlineLevel="0" collapsed="false">
      <c r="A59" s="5" t="s">
        <v>47</v>
      </c>
    </row>
    <row r="60" customFormat="false" ht="15.75" hidden="false" customHeight="true" outlineLevel="0" collapsed="false">
      <c r="A60" s="5" t="s">
        <v>48</v>
      </c>
    </row>
    <row r="61" customFormat="false" ht="15.75" hidden="false" customHeight="true" outlineLevel="0" collapsed="false">
      <c r="A61" s="5" t="s">
        <v>49</v>
      </c>
    </row>
    <row r="62" customFormat="false" ht="15.75" hidden="false" customHeight="true" outlineLevel="0" collapsed="false">
      <c r="A62" s="2"/>
    </row>
    <row r="63" customFormat="false" ht="15.75" hidden="false" customHeight="true" outlineLevel="0" collapsed="false">
      <c r="A63" s="5" t="s">
        <v>50</v>
      </c>
    </row>
    <row r="64" customFormat="false" ht="15.75" hidden="false" customHeight="true" outlineLevel="0" collapsed="false">
      <c r="A64" s="5" t="s">
        <v>51</v>
      </c>
    </row>
    <row r="65" customFormat="false" ht="15.75" hidden="false" customHeight="true" outlineLevel="0" collapsed="false">
      <c r="A65" s="2"/>
    </row>
    <row r="66" customFormat="false" ht="15.75" hidden="false" customHeight="true" outlineLevel="0" collapsed="false">
      <c r="A66" s="2"/>
    </row>
    <row r="67" customFormat="false" ht="15.75" hidden="false" customHeight="true" outlineLevel="0" collapsed="false">
      <c r="A67" s="2"/>
    </row>
    <row r="68" customFormat="false" ht="15.75" hidden="false" customHeight="true" outlineLevel="0" collapsed="false">
      <c r="A68" s="3" t="s">
        <v>52</v>
      </c>
    </row>
    <row r="69" customFormat="false" ht="15.75" hidden="false" customHeight="true" outlineLevel="0" collapsed="false">
      <c r="A69" s="2" t="s">
        <v>53</v>
      </c>
    </row>
    <row r="70" customFormat="false" ht="15.75" hidden="false" customHeight="true" outlineLevel="0" collapsed="false">
      <c r="A70" s="2" t="s">
        <v>54</v>
      </c>
    </row>
    <row r="71" customFormat="false" ht="15.75" hidden="false" customHeight="true" outlineLevel="0" collapsed="false">
      <c r="A71" s="2" t="s">
        <v>55</v>
      </c>
    </row>
    <row r="72" customFormat="false" ht="15.75" hidden="false" customHeight="true" outlineLevel="0" collapsed="false">
      <c r="A72" s="2" t="s">
        <v>56</v>
      </c>
    </row>
    <row r="73" customFormat="false" ht="15.75" hidden="false" customHeight="true" outlineLevel="0" collapsed="false">
      <c r="A73" s="2"/>
    </row>
    <row r="74" customFormat="false" ht="15.75" hidden="false" customHeight="true" outlineLevel="0" collapsed="false">
      <c r="A74" s="3" t="s">
        <v>57</v>
      </c>
    </row>
    <row r="75" customFormat="false" ht="15.75" hidden="false" customHeight="true" outlineLevel="0" collapsed="false">
      <c r="A75" s="2" t="s">
        <v>58</v>
      </c>
    </row>
    <row r="76" customFormat="false" ht="15.75" hidden="false" customHeight="true" outlineLevel="0" collapsed="false">
      <c r="A76" s="2" t="s">
        <v>59</v>
      </c>
    </row>
    <row r="77" customFormat="false" ht="15.75" hidden="false" customHeight="true" outlineLevel="0" collapsed="false">
      <c r="A77" s="2" t="s">
        <v>60</v>
      </c>
    </row>
    <row r="78" customFormat="false" ht="15.75" hidden="false" customHeight="true" outlineLevel="0" collapsed="false">
      <c r="A78" s="2" t="s">
        <v>61</v>
      </c>
    </row>
    <row r="79" customFormat="false" ht="15.75" hidden="false" customHeight="true" outlineLevel="0" collapsed="false">
      <c r="A79" s="2" t="s">
        <v>62</v>
      </c>
    </row>
    <row r="80" customFormat="false" ht="15.75" hidden="false" customHeight="true" outlineLevel="0" collapsed="false">
      <c r="A80" s="2"/>
    </row>
    <row r="81" customFormat="false" ht="15.75" hidden="false" customHeight="true" outlineLevel="0" collapsed="false">
      <c r="A81" s="3" t="s">
        <v>63</v>
      </c>
    </row>
    <row r="82" customFormat="false" ht="15.75" hidden="false" customHeight="true" outlineLevel="0" collapsed="false">
      <c r="A82" s="2" t="s">
        <v>64</v>
      </c>
    </row>
    <row r="83" customFormat="false" ht="15.75" hidden="false" customHeight="true" outlineLevel="0" collapsed="false">
      <c r="A83" s="2" t="s">
        <v>65</v>
      </c>
    </row>
    <row r="84" customFormat="false" ht="15.75" hidden="false" customHeight="true" outlineLevel="0" collapsed="false">
      <c r="A84" s="2" t="s">
        <v>66</v>
      </c>
    </row>
    <row r="85" customFormat="false" ht="15.75" hidden="false" customHeight="true" outlineLevel="0" collapsed="false">
      <c r="A85" s="2"/>
    </row>
    <row r="86" customFormat="false" ht="15.75" hidden="false" customHeight="true" outlineLevel="0" collapsed="false">
      <c r="A86" s="4" t="s">
        <v>67</v>
      </c>
    </row>
    <row r="87" customFormat="false" ht="15.75" hidden="false" customHeight="true" outlineLevel="0" collapsed="false">
      <c r="A87" s="5" t="s">
        <v>68</v>
      </c>
    </row>
    <row r="88" customFormat="false" ht="15.75" hidden="false" customHeight="true" outlineLevel="0" collapsed="false">
      <c r="A88" s="5" t="s">
        <v>69</v>
      </c>
    </row>
    <row r="89" customFormat="false" ht="15.75" hidden="false" customHeight="true" outlineLevel="0" collapsed="false">
      <c r="A89" s="5" t="s">
        <v>70</v>
      </c>
    </row>
    <row r="90" customFormat="false" ht="15.75" hidden="false" customHeight="true" outlineLevel="0" collapsed="false">
      <c r="A90" s="5" t="s">
        <v>71</v>
      </c>
    </row>
    <row r="91" customFormat="false" ht="15.75" hidden="false" customHeight="true" outlineLevel="0" collapsed="false">
      <c r="A91" s="2"/>
    </row>
    <row r="92" customFormat="false" ht="15.75" hidden="false" customHeight="true" outlineLevel="0" collapsed="false">
      <c r="A92" s="3" t="s">
        <v>72</v>
      </c>
    </row>
    <row r="93" customFormat="false" ht="15.75" hidden="false" customHeight="true" outlineLevel="0" collapsed="false">
      <c r="A93" s="2" t="s">
        <v>73</v>
      </c>
    </row>
    <row r="94" customFormat="false" ht="15.75" hidden="false" customHeight="true" outlineLevel="0" collapsed="false">
      <c r="A94" s="2" t="s">
        <v>74</v>
      </c>
    </row>
    <row r="95" customFormat="false" ht="15.75" hidden="false" customHeight="true" outlineLevel="0" collapsed="false">
      <c r="A95" s="2" t="s">
        <v>75</v>
      </c>
    </row>
    <row r="96" customFormat="false" ht="15.75" hidden="false" customHeight="true" outlineLevel="0" collapsed="false">
      <c r="A96" s="2" t="s">
        <v>76</v>
      </c>
    </row>
    <row r="97" customFormat="false" ht="15.75" hidden="false" customHeight="true" outlineLevel="0" collapsed="false">
      <c r="A97" s="2" t="s">
        <v>77</v>
      </c>
    </row>
    <row r="98" customFormat="false" ht="15.75" hidden="false" customHeight="true" outlineLevel="0" collapsed="false">
      <c r="A98" s="2" t="s">
        <v>78</v>
      </c>
    </row>
    <row r="99" customFormat="false" ht="15.75" hidden="false" customHeight="true" outlineLevel="0" collapsed="false">
      <c r="A99" s="2"/>
    </row>
    <row r="100" customFormat="false" ht="15.75" hidden="false" customHeight="true" outlineLevel="0" collapsed="false">
      <c r="A100" s="4" t="s">
        <v>79</v>
      </c>
    </row>
    <row r="101" customFormat="false" ht="15.75" hidden="false" customHeight="true" outlineLevel="0" collapsed="false">
      <c r="A101" s="5" t="s">
        <v>80</v>
      </c>
    </row>
    <row r="102" customFormat="false" ht="15.75" hidden="false" customHeight="true" outlineLevel="0" collapsed="false">
      <c r="A102" s="5" t="s">
        <v>81</v>
      </c>
    </row>
    <row r="103" customFormat="false" ht="15.75" hidden="false" customHeight="true" outlineLevel="0" collapsed="false">
      <c r="A103" s="5" t="s">
        <v>82</v>
      </c>
    </row>
    <row r="104" customFormat="false" ht="15.75" hidden="false" customHeight="true" outlineLevel="0" collapsed="false">
      <c r="A104" s="5" t="s">
        <v>83</v>
      </c>
    </row>
    <row r="105" customFormat="false" ht="15.75" hidden="false" customHeight="true" outlineLevel="0" collapsed="false">
      <c r="A105" s="2"/>
    </row>
    <row r="106" customFormat="false" ht="15.75" hidden="false" customHeight="true" outlineLevel="0" collapsed="false">
      <c r="A106" s="2"/>
    </row>
    <row r="107" customFormat="false" ht="15.75" hidden="false" customHeight="true" outlineLevel="0" collapsed="false">
      <c r="A107" s="2"/>
    </row>
    <row r="108" customFormat="false" ht="15.75" hidden="false" customHeight="true" outlineLevel="0" collapsed="false">
      <c r="A108" s="2"/>
    </row>
    <row r="109" customFormat="false" ht="15.75" hidden="false" customHeight="true" outlineLevel="0" collapsed="false">
      <c r="A109" s="2"/>
    </row>
    <row r="110" customFormat="false" ht="15.75" hidden="false" customHeight="true" outlineLevel="0" collapsed="false">
      <c r="A110" s="2"/>
    </row>
    <row r="111" customFormat="false" ht="15.75" hidden="false" customHeight="true" outlineLevel="0" collapsed="false">
      <c r="A111" s="3" t="s">
        <v>84</v>
      </c>
    </row>
    <row r="112" customFormat="false" ht="15.75" hidden="false" customHeight="true" outlineLevel="0" collapsed="false">
      <c r="A112" s="2" t="s">
        <v>85</v>
      </c>
    </row>
    <row r="113" customFormat="false" ht="15.75" hidden="false" customHeight="true" outlineLevel="0" collapsed="false">
      <c r="A113" s="2" t="s">
        <v>86</v>
      </c>
    </row>
    <row r="114" customFormat="false" ht="15.75" hidden="false" customHeight="true" outlineLevel="0" collapsed="false">
      <c r="A114" s="2"/>
    </row>
    <row r="115" customFormat="false" ht="15.75" hidden="false" customHeight="true" outlineLevel="0" collapsed="false">
      <c r="A115" s="4" t="s">
        <v>87</v>
      </c>
    </row>
    <row r="116" customFormat="false" ht="15.75" hidden="false" customHeight="true" outlineLevel="0" collapsed="false">
      <c r="A116" s="5" t="s">
        <v>88</v>
      </c>
    </row>
    <row r="117" customFormat="false" ht="15.75" hidden="false" customHeight="true" outlineLevel="0" collapsed="false">
      <c r="A117" s="5" t="s">
        <v>89</v>
      </c>
    </row>
    <row r="118" customFormat="false" ht="15.75" hidden="false" customHeight="true" outlineLevel="0" collapsed="false">
      <c r="A118" s="5" t="s">
        <v>90</v>
      </c>
    </row>
    <row r="119" customFormat="false" ht="15.75" hidden="false" customHeight="true" outlineLevel="0" collapsed="false">
      <c r="A119" s="5" t="s">
        <v>91</v>
      </c>
    </row>
    <row r="120" customFormat="false" ht="15.75" hidden="false" customHeight="true" outlineLevel="0" collapsed="false">
      <c r="A120" s="5" t="s">
        <v>92</v>
      </c>
    </row>
    <row r="121" customFormat="false" ht="15.75" hidden="false" customHeight="true" outlineLevel="0" collapsed="false">
      <c r="A121" s="2"/>
    </row>
    <row r="122" customFormat="false" ht="15.75" hidden="false" customHeight="true" outlineLevel="0" collapsed="false">
      <c r="A122" s="2"/>
    </row>
    <row r="123" customFormat="false" ht="15.75" hidden="false" customHeight="true" outlineLevel="0" collapsed="false">
      <c r="A123" s="3" t="s">
        <v>93</v>
      </c>
    </row>
    <row r="124" customFormat="false" ht="15.75" hidden="false" customHeight="true" outlineLevel="0" collapsed="false">
      <c r="A124" s="2" t="s">
        <v>94</v>
      </c>
    </row>
    <row r="125" customFormat="false" ht="15.75" hidden="false" customHeight="true" outlineLevel="0" collapsed="false">
      <c r="A125" s="2" t="s">
        <v>95</v>
      </c>
    </row>
    <row r="126" customFormat="false" ht="15.75" hidden="false" customHeight="true" outlineLevel="0" collapsed="false">
      <c r="A126" s="2" t="s">
        <v>96</v>
      </c>
    </row>
    <row r="127" customFormat="false" ht="15.75" hidden="false" customHeight="true" outlineLevel="0" collapsed="false">
      <c r="A127" s="2" t="s">
        <v>97</v>
      </c>
    </row>
    <row r="128" customFormat="false" ht="15.75" hidden="false" customHeight="true" outlineLevel="0" collapsed="false">
      <c r="A128" s="2"/>
    </row>
    <row r="129" customFormat="false" ht="15.75" hidden="false" customHeight="true" outlineLevel="0" collapsed="false">
      <c r="A129" s="2" t="s">
        <v>98</v>
      </c>
    </row>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N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false" zeroHeight="false" outlineLevelRow="0" outlineLevelCol="0"/>
  <cols>
    <col collapsed="false" customWidth="true" hidden="false" outlineLevel="0" max="1" min="1" style="0" width="44"/>
    <col collapsed="false" customWidth="true" hidden="false" outlineLevel="0" max="118" min="2" style="0" width="11"/>
  </cols>
  <sheetData>
    <row r="1" customFormat="false" ht="15" hidden="false" customHeight="false" outlineLevel="0" collapsed="false">
      <c r="B1" s="6" t="str">
        <f aca="false">"FY"&amp;YEAR(K$1)</f>
        <v>FY2028</v>
      </c>
      <c r="C1" s="6"/>
      <c r="D1" s="6"/>
      <c r="E1" s="7" t="str">
        <f aca="false">"FY"&amp;YEAR(AU$1)</f>
        <v>FY2027</v>
      </c>
      <c r="F1" s="7"/>
      <c r="G1" s="7"/>
      <c r="H1" s="6" t="str">
        <f aca="false">"FY"&amp;YEAR(CE$1)</f>
        <v>FY2026</v>
      </c>
      <c r="I1" s="6"/>
      <c r="J1" s="6"/>
      <c r="K1" s="8" t="n">
        <f aca="false">EOMONTH(N$1,1)</f>
        <v>47118</v>
      </c>
      <c r="L1" s="8"/>
      <c r="M1" s="8"/>
      <c r="N1" s="9" t="n">
        <f aca="false">EOMONTH(Q$1,1)</f>
        <v>47087</v>
      </c>
      <c r="O1" s="9"/>
      <c r="P1" s="9"/>
      <c r="Q1" s="8" t="n">
        <f aca="false">EOMONTH(T$1,1)</f>
        <v>47057</v>
      </c>
      <c r="R1" s="8"/>
      <c r="S1" s="8"/>
      <c r="T1" s="9" t="n">
        <f aca="false">EOMONTH(W$1,1)</f>
        <v>47026</v>
      </c>
      <c r="U1" s="9"/>
      <c r="V1" s="9"/>
      <c r="W1" s="8" t="n">
        <f aca="false">EOMONTH(Z$1,1)</f>
        <v>46996</v>
      </c>
      <c r="X1" s="8"/>
      <c r="Y1" s="8"/>
      <c r="Z1" s="9" t="n">
        <f aca="false">EOMONTH(AC$1,1)</f>
        <v>46965</v>
      </c>
      <c r="AA1" s="9"/>
      <c r="AB1" s="9"/>
      <c r="AC1" s="8" t="n">
        <f aca="false">EOMONTH(AF$1,1)</f>
        <v>46934</v>
      </c>
      <c r="AD1" s="8"/>
      <c r="AE1" s="8"/>
      <c r="AF1" s="9" t="n">
        <f aca="false">EOMONTH(AI$1,1)</f>
        <v>46904</v>
      </c>
      <c r="AG1" s="9"/>
      <c r="AH1" s="9"/>
      <c r="AI1" s="8" t="n">
        <f aca="false">EOMONTH(AL$1,1)</f>
        <v>46873</v>
      </c>
      <c r="AJ1" s="8"/>
      <c r="AK1" s="8"/>
      <c r="AL1" s="9" t="n">
        <f aca="false">EOMONTH(AO$1,1)</f>
        <v>46843</v>
      </c>
      <c r="AM1" s="9"/>
      <c r="AN1" s="9"/>
      <c r="AO1" s="8" t="n">
        <f aca="false">EOMONTH(AR$1,1)</f>
        <v>46812</v>
      </c>
      <c r="AP1" s="8"/>
      <c r="AQ1" s="8"/>
      <c r="AR1" s="9" t="n">
        <f aca="false">EOMONTH(AU$1,1)</f>
        <v>46783</v>
      </c>
      <c r="AS1" s="9"/>
      <c r="AT1" s="9"/>
      <c r="AU1" s="8" t="n">
        <f aca="false">EOMONTH(AX$1,1)</f>
        <v>46752</v>
      </c>
      <c r="AV1" s="8"/>
      <c r="AW1" s="8"/>
      <c r="AX1" s="9" t="n">
        <f aca="false">EOMONTH(BA$1,1)</f>
        <v>46721</v>
      </c>
      <c r="AY1" s="9"/>
      <c r="AZ1" s="9"/>
      <c r="BA1" s="8" t="n">
        <f aca="false">EOMONTH(BD$1,1)</f>
        <v>46691</v>
      </c>
      <c r="BB1" s="8"/>
      <c r="BC1" s="8"/>
      <c r="BD1" s="9" t="n">
        <f aca="false">EOMONTH(BG$1,1)</f>
        <v>46660</v>
      </c>
      <c r="BE1" s="9"/>
      <c r="BF1" s="9"/>
      <c r="BG1" s="8" t="n">
        <f aca="false">EOMONTH(BJ$1,1)</f>
        <v>46630</v>
      </c>
      <c r="BH1" s="8"/>
      <c r="BI1" s="8"/>
      <c r="BJ1" s="9" t="n">
        <f aca="false">EOMONTH(BM$1,1)</f>
        <v>46599</v>
      </c>
      <c r="BK1" s="9"/>
      <c r="BL1" s="9"/>
      <c r="BM1" s="8" t="n">
        <f aca="false">EOMONTH(BP$1,1)</f>
        <v>46568</v>
      </c>
      <c r="BN1" s="8"/>
      <c r="BO1" s="8"/>
      <c r="BP1" s="9" t="n">
        <f aca="false">EOMONTH(BS$1,1)</f>
        <v>46538</v>
      </c>
      <c r="BQ1" s="9"/>
      <c r="BR1" s="9"/>
      <c r="BS1" s="8" t="n">
        <f aca="false">EOMONTH(BV$1,1)</f>
        <v>46507</v>
      </c>
      <c r="BT1" s="8"/>
      <c r="BU1" s="8"/>
      <c r="BV1" s="9" t="n">
        <f aca="false">EOMONTH(BY$1,1)</f>
        <v>46477</v>
      </c>
      <c r="BW1" s="9"/>
      <c r="BX1" s="9"/>
      <c r="BY1" s="8" t="n">
        <f aca="false">EOMONTH(CB$1,1)</f>
        <v>46446</v>
      </c>
      <c r="BZ1" s="8"/>
      <c r="CA1" s="8"/>
      <c r="CB1" s="9" t="n">
        <f aca="false">EOMONTH(CE$1,1)</f>
        <v>46418</v>
      </c>
      <c r="CC1" s="9"/>
      <c r="CD1" s="9"/>
      <c r="CE1" s="8" t="n">
        <f aca="false">EOMONTH(CH$1,1)</f>
        <v>46387</v>
      </c>
      <c r="CF1" s="8"/>
      <c r="CG1" s="8"/>
      <c r="CH1" s="9" t="n">
        <f aca="false">EOMONTH(CK$1,1)</f>
        <v>46356</v>
      </c>
      <c r="CI1" s="9"/>
      <c r="CJ1" s="9"/>
      <c r="CK1" s="8" t="n">
        <f aca="false">EOMONTH(CN$1,1)</f>
        <v>46326</v>
      </c>
      <c r="CL1" s="8"/>
      <c r="CM1" s="8"/>
      <c r="CN1" s="9" t="n">
        <f aca="false">EOMONTH(CQ$1,1)</f>
        <v>46295</v>
      </c>
      <c r="CO1" s="9"/>
      <c r="CP1" s="9"/>
      <c r="CQ1" s="8" t="n">
        <f aca="false">EOMONTH(CT$1,1)</f>
        <v>46265</v>
      </c>
      <c r="CR1" s="8"/>
      <c r="CS1" s="8"/>
      <c r="CT1" s="9" t="n">
        <f aca="false">EOMONTH(CW$1,1)</f>
        <v>46234</v>
      </c>
      <c r="CU1" s="9"/>
      <c r="CV1" s="9"/>
      <c r="CW1" s="8" t="n">
        <f aca="false">EOMONTH(CZ$1,1)</f>
        <v>46203</v>
      </c>
      <c r="CX1" s="8"/>
      <c r="CY1" s="8"/>
      <c r="CZ1" s="9" t="n">
        <f aca="false">EOMONTH(DC$1,1)</f>
        <v>46173</v>
      </c>
      <c r="DA1" s="9"/>
      <c r="DB1" s="9"/>
      <c r="DC1" s="8" t="n">
        <f aca="false">EOMONTH(DF$1,1)</f>
        <v>46142</v>
      </c>
      <c r="DD1" s="8"/>
      <c r="DE1" s="8"/>
      <c r="DF1" s="9" t="n">
        <f aca="false">EOMONTH(DI$1,1)</f>
        <v>46112</v>
      </c>
      <c r="DG1" s="9"/>
      <c r="DH1" s="9"/>
      <c r="DI1" s="8" t="n">
        <f aca="false">EOMONTH(DL$1,1)</f>
        <v>46081</v>
      </c>
      <c r="DJ1" s="8"/>
      <c r="DK1" s="8"/>
      <c r="DL1" s="9" t="n">
        <f aca="false">Finance!$DL$61</f>
        <v>46053</v>
      </c>
      <c r="DM1" s="9"/>
      <c r="DN1" s="9"/>
    </row>
    <row r="2" customFormat="false" ht="15" hidden="false" customHeight="false" outlineLevel="0" collapsed="false">
      <c r="A2" s="10"/>
      <c r="B2" s="11" t="s">
        <v>99</v>
      </c>
      <c r="C2" s="11" t="s">
        <v>100</v>
      </c>
      <c r="D2" s="11" t="s">
        <v>101</v>
      </c>
      <c r="E2" s="10" t="s">
        <v>99</v>
      </c>
      <c r="F2" s="10" t="s">
        <v>100</v>
      </c>
      <c r="G2" s="10" t="s">
        <v>101</v>
      </c>
      <c r="H2" s="11" t="s">
        <v>99</v>
      </c>
      <c r="I2" s="11" t="s">
        <v>100</v>
      </c>
      <c r="J2" s="11" t="s">
        <v>101</v>
      </c>
      <c r="K2" s="10" t="s">
        <v>99</v>
      </c>
      <c r="L2" s="10" t="s">
        <v>100</v>
      </c>
      <c r="M2" s="10" t="s">
        <v>101</v>
      </c>
      <c r="N2" s="11" t="s">
        <v>99</v>
      </c>
      <c r="O2" s="11" t="s">
        <v>100</v>
      </c>
      <c r="P2" s="11" t="s">
        <v>101</v>
      </c>
      <c r="Q2" s="10" t="s">
        <v>99</v>
      </c>
      <c r="R2" s="10" t="s">
        <v>100</v>
      </c>
      <c r="S2" s="10" t="s">
        <v>101</v>
      </c>
      <c r="T2" s="11" t="s">
        <v>99</v>
      </c>
      <c r="U2" s="11" t="s">
        <v>100</v>
      </c>
      <c r="V2" s="11" t="s">
        <v>101</v>
      </c>
      <c r="W2" s="10" t="s">
        <v>99</v>
      </c>
      <c r="X2" s="10" t="s">
        <v>100</v>
      </c>
      <c r="Y2" s="10" t="s">
        <v>101</v>
      </c>
      <c r="Z2" s="11" t="s">
        <v>99</v>
      </c>
      <c r="AA2" s="11" t="s">
        <v>100</v>
      </c>
      <c r="AB2" s="11" t="s">
        <v>101</v>
      </c>
      <c r="AC2" s="10" t="s">
        <v>99</v>
      </c>
      <c r="AD2" s="10" t="s">
        <v>100</v>
      </c>
      <c r="AE2" s="10" t="s">
        <v>101</v>
      </c>
      <c r="AF2" s="11" t="s">
        <v>99</v>
      </c>
      <c r="AG2" s="11" t="s">
        <v>100</v>
      </c>
      <c r="AH2" s="11" t="s">
        <v>101</v>
      </c>
      <c r="AI2" s="10" t="s">
        <v>99</v>
      </c>
      <c r="AJ2" s="10" t="s">
        <v>100</v>
      </c>
      <c r="AK2" s="10" t="s">
        <v>101</v>
      </c>
      <c r="AL2" s="11" t="s">
        <v>99</v>
      </c>
      <c r="AM2" s="11" t="s">
        <v>100</v>
      </c>
      <c r="AN2" s="11" t="s">
        <v>101</v>
      </c>
      <c r="AO2" s="10" t="s">
        <v>99</v>
      </c>
      <c r="AP2" s="10" t="s">
        <v>100</v>
      </c>
      <c r="AQ2" s="10" t="s">
        <v>101</v>
      </c>
      <c r="AR2" s="11" t="s">
        <v>99</v>
      </c>
      <c r="AS2" s="11" t="s">
        <v>100</v>
      </c>
      <c r="AT2" s="11" t="s">
        <v>101</v>
      </c>
      <c r="AU2" s="10" t="s">
        <v>99</v>
      </c>
      <c r="AV2" s="10" t="s">
        <v>100</v>
      </c>
      <c r="AW2" s="10" t="s">
        <v>101</v>
      </c>
      <c r="AX2" s="11" t="s">
        <v>99</v>
      </c>
      <c r="AY2" s="11" t="s">
        <v>100</v>
      </c>
      <c r="AZ2" s="11" t="s">
        <v>101</v>
      </c>
      <c r="BA2" s="10" t="s">
        <v>99</v>
      </c>
      <c r="BB2" s="10" t="s">
        <v>100</v>
      </c>
      <c r="BC2" s="10" t="s">
        <v>101</v>
      </c>
      <c r="BD2" s="11" t="s">
        <v>99</v>
      </c>
      <c r="BE2" s="11" t="s">
        <v>100</v>
      </c>
      <c r="BF2" s="11" t="s">
        <v>101</v>
      </c>
      <c r="BG2" s="10" t="s">
        <v>99</v>
      </c>
      <c r="BH2" s="10" t="s">
        <v>100</v>
      </c>
      <c r="BI2" s="10" t="s">
        <v>101</v>
      </c>
      <c r="BJ2" s="11" t="s">
        <v>99</v>
      </c>
      <c r="BK2" s="11" t="s">
        <v>100</v>
      </c>
      <c r="BL2" s="11" t="s">
        <v>101</v>
      </c>
      <c r="BM2" s="10" t="s">
        <v>99</v>
      </c>
      <c r="BN2" s="10" t="s">
        <v>100</v>
      </c>
      <c r="BO2" s="10" t="s">
        <v>101</v>
      </c>
      <c r="BP2" s="11" t="s">
        <v>99</v>
      </c>
      <c r="BQ2" s="11" t="s">
        <v>100</v>
      </c>
      <c r="BR2" s="11" t="s">
        <v>101</v>
      </c>
      <c r="BS2" s="10" t="s">
        <v>99</v>
      </c>
      <c r="BT2" s="10" t="s">
        <v>100</v>
      </c>
      <c r="BU2" s="10" t="s">
        <v>101</v>
      </c>
      <c r="BV2" s="11" t="s">
        <v>99</v>
      </c>
      <c r="BW2" s="11" t="s">
        <v>100</v>
      </c>
      <c r="BX2" s="11" t="s">
        <v>101</v>
      </c>
      <c r="BY2" s="10" t="s">
        <v>99</v>
      </c>
      <c r="BZ2" s="10" t="s">
        <v>100</v>
      </c>
      <c r="CA2" s="10" t="s">
        <v>101</v>
      </c>
      <c r="CB2" s="11" t="s">
        <v>99</v>
      </c>
      <c r="CC2" s="11" t="s">
        <v>100</v>
      </c>
      <c r="CD2" s="11" t="s">
        <v>101</v>
      </c>
      <c r="CE2" s="10" t="s">
        <v>99</v>
      </c>
      <c r="CF2" s="10" t="s">
        <v>100</v>
      </c>
      <c r="CG2" s="10" t="s">
        <v>101</v>
      </c>
      <c r="CH2" s="11" t="s">
        <v>99</v>
      </c>
      <c r="CI2" s="11" t="s">
        <v>100</v>
      </c>
      <c r="CJ2" s="11" t="s">
        <v>101</v>
      </c>
      <c r="CK2" s="10" t="s">
        <v>99</v>
      </c>
      <c r="CL2" s="10" t="s">
        <v>100</v>
      </c>
      <c r="CM2" s="10" t="s">
        <v>101</v>
      </c>
      <c r="CN2" s="11" t="s">
        <v>99</v>
      </c>
      <c r="CO2" s="11" t="s">
        <v>100</v>
      </c>
      <c r="CP2" s="11" t="s">
        <v>101</v>
      </c>
      <c r="CQ2" s="10" t="s">
        <v>99</v>
      </c>
      <c r="CR2" s="10" t="s">
        <v>100</v>
      </c>
      <c r="CS2" s="10" t="s">
        <v>101</v>
      </c>
      <c r="CT2" s="11" t="s">
        <v>99</v>
      </c>
      <c r="CU2" s="11" t="s">
        <v>100</v>
      </c>
      <c r="CV2" s="11" t="s">
        <v>101</v>
      </c>
      <c r="CW2" s="10" t="s">
        <v>99</v>
      </c>
      <c r="CX2" s="10" t="s">
        <v>100</v>
      </c>
      <c r="CY2" s="10" t="s">
        <v>101</v>
      </c>
      <c r="CZ2" s="11" t="s">
        <v>99</v>
      </c>
      <c r="DA2" s="11" t="s">
        <v>100</v>
      </c>
      <c r="DB2" s="11" t="s">
        <v>101</v>
      </c>
      <c r="DC2" s="10" t="s">
        <v>99</v>
      </c>
      <c r="DD2" s="10" t="s">
        <v>100</v>
      </c>
      <c r="DE2" s="10" t="s">
        <v>101</v>
      </c>
      <c r="DF2" s="11" t="s">
        <v>99</v>
      </c>
      <c r="DG2" s="11" t="s">
        <v>100</v>
      </c>
      <c r="DH2" s="11" t="s">
        <v>101</v>
      </c>
      <c r="DI2" s="10" t="s">
        <v>99</v>
      </c>
      <c r="DJ2" s="10" t="s">
        <v>100</v>
      </c>
      <c r="DK2" s="10" t="s">
        <v>101</v>
      </c>
      <c r="DL2" s="11" t="s">
        <v>99</v>
      </c>
      <c r="DM2" s="11" t="s">
        <v>100</v>
      </c>
      <c r="DN2" s="11" t="s">
        <v>101</v>
      </c>
    </row>
    <row r="3" customFormat="false" ht="15" hidden="false" customHeight="false" outlineLevel="0" collapsed="false">
      <c r="A3" s="5" t="s">
        <v>102</v>
      </c>
      <c r="B3" s="12" t="str">
        <f aca="false">IF(AR3&lt;&gt;"",AR3,IF(AO3&lt;&gt;"",AO3,IF(AL3&lt;&gt;"",AL3,IF(AI3&lt;&gt;"",AI3,IF(AF3&lt;&gt;"",AF3,IF(AC3&lt;&gt;"",AC3,IF(Z3&lt;&gt;"",Z3,IF(W3&lt;&gt;"",W3,IF(T3&lt;&gt;"",T3,IF(Q3&lt;&gt;"",Q3,IF(N3&lt;&gt;"",N3,IF(K3&lt;&gt;"",K3,""))))))))))))</f>
        <v/>
      </c>
      <c r="C3" s="12" t="n">
        <f aca="false">IF(AS3&lt;&gt;"",AS3,IF(AP3&lt;&gt;"",AP3,IF(AM3&lt;&gt;"",AM3,IF(AJ3&lt;&gt;"",AJ3,IF(AG3&lt;&gt;"",AG3,IF(AD3&lt;&gt;"",AD3,IF(AA3&lt;&gt;"",AA3,IF(X3&lt;&gt;"",X3,IF(U3&lt;&gt;"",U3,IF(R3&lt;&gt;"",R3,IF(O3&lt;&gt;"",O3,IF(L3&lt;&gt;"",L3,""))))))))))))</f>
        <v>1789165.55188105</v>
      </c>
      <c r="D3" s="12" t="n">
        <f aca="false">IF(AT3&lt;&gt;"",AT3,IF(AQ3&lt;&gt;"",AQ3,IF(AN3&lt;&gt;"",AN3,IF(AK3&lt;&gt;"",AK3,IF(AH3&lt;&gt;"",AH3,IF(AE3&lt;&gt;"",AE3,IF(AB3&lt;&gt;"",AB3,IF(Y3&lt;&gt;"",Y3,IF(V3&lt;&gt;"",V3,IF(S3&lt;&gt;"",S3,IF(P3&lt;&gt;"",P3,IF(M3&lt;&gt;"",M3,""))))))))))))</f>
        <v>1762752.248</v>
      </c>
      <c r="E3" s="13" t="str">
        <f aca="false">IF(CB3&lt;&gt;"",CB3,IF(BY3&lt;&gt;"",BY3,IF(BV3&lt;&gt;"",BV3,IF(BS3&lt;&gt;"",BS3,IF(BP3&lt;&gt;"",BP3,IF(BM3&lt;&gt;"",BM3,IF(BJ3&lt;&gt;"",BJ3,IF(BG3&lt;&gt;"",BG3,IF(BD3&lt;&gt;"",BD3,IF(BA3&lt;&gt;"",BA3,IF(AX3&lt;&gt;"",AX3,IF(AU3&lt;&gt;"",AU3,""))))))))))))</f>
        <v/>
      </c>
      <c r="F3" s="13" t="n">
        <f aca="false">IF(CC3&lt;&gt;"",CC3,IF(BZ3&lt;&gt;"",BZ3,IF(BW3&lt;&gt;"",BW3,IF(BT3&lt;&gt;"",BT3,IF(BQ3&lt;&gt;"",BQ3,IF(BN3&lt;&gt;"",BN3,IF(BK3&lt;&gt;"",BK3,IF(BH3&lt;&gt;"",BH3,IF(BE3&lt;&gt;"",BE3,IF(BB3&lt;&gt;"",BB3,IF(AY3&lt;&gt;"",AY3,IF(AV3&lt;&gt;"",AV3,""))))))))))))</f>
        <v>1337598.15018913</v>
      </c>
      <c r="G3" s="13" t="n">
        <f aca="false">IF(CD3&lt;&gt;"",CD3,IF(CA3&lt;&gt;"",CA3,IF(BX3&lt;&gt;"",BX3,IF(BU3&lt;&gt;"",BU3,IF(BR3&lt;&gt;"",BR3,IF(BO3&lt;&gt;"",BO3,IF(BL3&lt;&gt;"",BL3,IF(BI3&lt;&gt;"",BI3,IF(BF3&lt;&gt;"",BF3,IF(BC3&lt;&gt;"",BC3,IF(AZ3&lt;&gt;"",AZ3,IF(AW3&lt;&gt;"",AW3,""))))))))))))</f>
        <v>1311129.236</v>
      </c>
      <c r="H3" s="12" t="n">
        <f aca="false">IF(DL3&lt;&gt;"",DL3,IF(DI3&lt;&gt;"",DI3,IF(DF3&lt;&gt;"",DF3,IF(DC3&lt;&gt;"",DC3,IF(CZ3&lt;&gt;"",CZ3,IF(CW3&lt;&gt;"",CW3,IF(CT3&lt;&gt;"",CT3,IF(CQ3&lt;&gt;"",CQ3,IF(CN3&lt;&gt;"",CN3,IF(CK3&lt;&gt;"",CK3,IF(CH3&lt;&gt;"",CH3,IF(CE3&lt;&gt;"",CE3,""))))))))))))</f>
        <v>996000</v>
      </c>
      <c r="I3" s="12" t="n">
        <f aca="false">IF(DM3&lt;&gt;"",DM3,IF(DJ3&lt;&gt;"",DJ3,IF(DG3&lt;&gt;"",DG3,IF(DD3&lt;&gt;"",DD3,IF(DA3&lt;&gt;"",DA3,IF(CX3&lt;&gt;"",CX3,IF(CU3&lt;&gt;"",CU3,IF(CR3&lt;&gt;"",CR3,IF(CO3&lt;&gt;"",CO3,IF(CL3&lt;&gt;"",CL3,IF(CI3&lt;&gt;"",CI3,IF(CF3&lt;&gt;"",CF3,""))))))))))))</f>
        <v>996000</v>
      </c>
      <c r="J3" s="12" t="n">
        <f aca="false">IF(DN3&lt;&gt;"",DN3,IF(DK3&lt;&gt;"",DK3,IF(DH3&lt;&gt;"",DH3,IF(DE3&lt;&gt;"",DE3,IF(DB3&lt;&gt;"",DB3,IF(CY3&lt;&gt;"",CY3,IF(CV3&lt;&gt;"",CV3,IF(CS3&lt;&gt;"",CS3,IF(CP3&lt;&gt;"",CP3,IF(CM3&lt;&gt;"",CM3,IF(CJ3&lt;&gt;"",CJ3,IF(CG3&lt;&gt;"",CG3,""))))))))))))</f>
        <v>996000</v>
      </c>
      <c r="K3" s="13" t="str">
        <f aca="false">IF(COUNT(Summary!N6)=1,Summary!N6,"")</f>
        <v/>
      </c>
      <c r="L3" s="13" t="n">
        <f aca="false">Summary!O6</f>
        <v>2382997.26275961</v>
      </c>
      <c r="M3" s="13" t="n">
        <f aca="false">Summary!P6</f>
        <v>2356950.906</v>
      </c>
      <c r="N3" s="12" t="str">
        <f aca="false">IF(COUNT(Summary!Q6)=1,Summary!Q6,"")</f>
        <v/>
      </c>
      <c r="O3" s="12" t="n">
        <f aca="false">Summary!R6</f>
        <v>2324352.76622078</v>
      </c>
      <c r="P3" s="12" t="n">
        <f aca="false">Summary!S6</f>
        <v>2298273.858</v>
      </c>
      <c r="Q3" s="13" t="str">
        <f aca="false">IF(COUNT(Summary!T6)=1,Summary!T6,"")</f>
        <v/>
      </c>
      <c r="R3" s="13" t="n">
        <f aca="false">Summary!U6</f>
        <v>2266210.69868097</v>
      </c>
      <c r="S3" s="13" t="n">
        <f aca="false">Summary!V6</f>
        <v>2240098.86</v>
      </c>
      <c r="T3" s="12" t="str">
        <f aca="false">IF(COUNT(Summary!W6)=1,Summary!W6,"")</f>
        <v/>
      </c>
      <c r="U3" s="12" t="n">
        <f aca="false">Summary!X6</f>
        <v>2208501.55491807</v>
      </c>
      <c r="V3" s="12" t="n">
        <f aca="false">Summary!Y6</f>
        <v>2182357.052</v>
      </c>
      <c r="W3" s="13" t="str">
        <f aca="false">IF(COUNT(Summary!Z6)=1,Summary!Z6,"")</f>
        <v/>
      </c>
      <c r="X3" s="13" t="n">
        <f aca="false">Summary!AA6</f>
        <v>2151224.33343859</v>
      </c>
      <c r="Y3" s="13" t="n">
        <f aca="false">Summary!AB6</f>
        <v>2125047.439</v>
      </c>
      <c r="Z3" s="12" t="str">
        <f aca="false">IF(COUNT(Summary!AC6)=1,Summary!AC6,"")</f>
        <v/>
      </c>
      <c r="AA3" s="12" t="n">
        <f aca="false">Summary!AD6</f>
        <v>2094444.63942965</v>
      </c>
      <c r="AB3" s="12" t="n">
        <f aca="false">Summary!AE6</f>
        <v>2068234.942</v>
      </c>
      <c r="AC3" s="13" t="str">
        <f aca="false">IF(COUNT(Summary!AF6)=1,Summary!AF6,"")</f>
        <v/>
      </c>
      <c r="AD3" s="13" t="n">
        <f aca="false">Summary!AG6</f>
        <v>2038095.83632833</v>
      </c>
      <c r="AE3" s="13" t="n">
        <f aca="false">Summary!AH6</f>
        <v>2011853.599</v>
      </c>
      <c r="AF3" s="12" t="str">
        <f aca="false">IF(COUNT(Summary!AI6)=1,Summary!AI6,"")</f>
        <v/>
      </c>
      <c r="AG3" s="12" t="n">
        <f aca="false">Summary!AJ6</f>
        <v>1982242.71847953</v>
      </c>
      <c r="AH3" s="12" t="n">
        <f aca="false">Summary!AK6</f>
        <v>1955967.485</v>
      </c>
      <c r="AI3" s="13" t="str">
        <f aca="false">IF(COUNT(Summary!AL6)=1,Summary!AL6,"")</f>
        <v/>
      </c>
      <c r="AJ3" s="13" t="n">
        <f aca="false">Summary!AM6</f>
        <v>1926883.28803952</v>
      </c>
      <c r="AK3" s="13" t="n">
        <f aca="false">Summary!AN6</f>
        <v>1900574.578</v>
      </c>
      <c r="AL3" s="12" t="str">
        <f aca="false">IF(COUNT(Summary!AO6)=1,Summary!AO6,"")</f>
        <v/>
      </c>
      <c r="AM3" s="12" t="n">
        <f aca="false">Summary!AP6</f>
        <v>1871950.48663577</v>
      </c>
      <c r="AN3" s="12" t="n">
        <f aca="false">Summary!AQ6</f>
        <v>1845608.557</v>
      </c>
      <c r="AO3" s="13" t="str">
        <f aca="false">IF(COUNT(Summary!AR6)=1,Summary!AR6,"")</f>
        <v/>
      </c>
      <c r="AP3" s="13" t="n">
        <f aca="false">Summary!AS6</f>
        <v>1830431.02476958</v>
      </c>
      <c r="AQ3" s="13" t="n">
        <f aca="false">Summary!AT6</f>
        <v>1804020.957</v>
      </c>
      <c r="AR3" s="12" t="str">
        <f aca="false">IF(COUNT(Summary!AU6)=1,Summary!AU6,"")</f>
        <v/>
      </c>
      <c r="AS3" s="12" t="n">
        <f aca="false">Summary!AV6</f>
        <v>1789165.55188105</v>
      </c>
      <c r="AT3" s="12" t="n">
        <f aca="false">Summary!AW6</f>
        <v>1762752.248</v>
      </c>
      <c r="AU3" s="13" t="str">
        <f aca="false">IF(COUNT(Summary!AX6)=1,Summary!AX6,"")</f>
        <v/>
      </c>
      <c r="AV3" s="13" t="n">
        <f aca="false">Summary!AY6</f>
        <v>1748219.66210855</v>
      </c>
      <c r="AW3" s="13" t="n">
        <f aca="false">Summary!AZ6</f>
        <v>1721739.191</v>
      </c>
      <c r="AX3" s="12" t="str">
        <f aca="false">IF(COUNT(Summary!BA6)=1,Summary!BA6,"")</f>
        <v/>
      </c>
      <c r="AY3" s="12" t="n">
        <f aca="false">Summary!BB6</f>
        <v>1707528.12090369</v>
      </c>
      <c r="AZ3" s="12" t="n">
        <f aca="false">Summary!BC6</f>
        <v>1681044.513</v>
      </c>
      <c r="BA3" s="13" t="str">
        <f aca="false">IF(COUNT(Summary!BD6)=1,Summary!BD6,"")</f>
        <v/>
      </c>
      <c r="BB3" s="13" t="n">
        <f aca="false">Summary!BE6</f>
        <v>1667154.08014186</v>
      </c>
      <c r="BC3" s="13" t="n">
        <f aca="false">Summary!BF6</f>
        <v>1640666.867</v>
      </c>
      <c r="BD3" s="12" t="str">
        <f aca="false">IF(COUNT(Summary!BG6)=1,Summary!BG6,"")</f>
        <v/>
      </c>
      <c r="BE3" s="12" t="n">
        <f aca="false">Summary!BH6</f>
        <v>1627033.10606109</v>
      </c>
      <c r="BF3" s="12" t="n">
        <f aca="false">Summary!BI6</f>
        <v>1600542.669</v>
      </c>
      <c r="BG3" s="13" t="str">
        <f aca="false">IF(COUNT(Summary!BJ6)=1,Summary!BJ6,"")</f>
        <v/>
      </c>
      <c r="BH3" s="13" t="n">
        <f aca="false">Summary!BK6</f>
        <v>1587227.55144917</v>
      </c>
      <c r="BI3" s="13" t="n">
        <f aca="false">Summary!BL6</f>
        <v>1560733.403</v>
      </c>
      <c r="BJ3" s="12" t="str">
        <f aca="false">IF(COUNT(Summary!BM6)=1,Summary!BM6,"")</f>
        <v/>
      </c>
      <c r="BK3" s="12" t="n">
        <f aca="false">Summary!BN6</f>
        <v>1547673.79705404</v>
      </c>
      <c r="BL3" s="12" t="n">
        <f aca="false">Summary!BO6</f>
        <v>1521176.333</v>
      </c>
      <c r="BM3" s="13" t="str">
        <f aca="false">IF(COUNT(Summary!BP6)=1,Summary!BP6,"")</f>
        <v/>
      </c>
      <c r="BN3" s="13" t="n">
        <f aca="false">Summary!BQ6</f>
        <v>1508391.50096901</v>
      </c>
      <c r="BO3" s="13" t="n">
        <f aca="false">Summary!BR6</f>
        <v>1481890.212</v>
      </c>
      <c r="BP3" s="12" t="str">
        <f aca="false">IF(COUNT(Summary!BS6)=1,Summary!BS6,"")</f>
        <v/>
      </c>
      <c r="BQ3" s="12" t="n">
        <f aca="false">Summary!BT6</f>
        <v>1469379.44274868</v>
      </c>
      <c r="BR3" s="12" t="n">
        <f aca="false">Summary!BU6</f>
        <v>1442873.802</v>
      </c>
      <c r="BS3" s="13" t="str">
        <f aca="false">IF(COUNT(Summary!BV6)=1,Summary!BV6,"")</f>
        <v/>
      </c>
      <c r="BT3" s="13" t="n">
        <f aca="false">Summary!BW6</f>
        <v>1430576.9418171</v>
      </c>
      <c r="BU3" s="13" t="n">
        <f aca="false">Summary!BX6</f>
        <v>1404067.34</v>
      </c>
      <c r="BV3" s="12" t="str">
        <f aca="false">IF(COUNT(Summary!BY6)=1,Summary!BY6,"")</f>
        <v/>
      </c>
      <c r="BW3" s="12" t="n">
        <f aca="false">Summary!BZ6</f>
        <v>1392044.4317137</v>
      </c>
      <c r="BX3" s="12" t="n">
        <f aca="false">Summary!CA6</f>
        <v>1365530.294</v>
      </c>
      <c r="BY3" s="13" t="str">
        <f aca="false">IF(COUNT(Summary!CB6)=1,Summary!CB6,"")</f>
        <v/>
      </c>
      <c r="BZ3" s="13" t="n">
        <f aca="false">Summary!CC6</f>
        <v>1364744.10633544</v>
      </c>
      <c r="CA3" s="13" t="n">
        <f aca="false">Summary!CD6</f>
        <v>1338252.8</v>
      </c>
      <c r="CB3" s="12" t="str">
        <f aca="false">IF(COUNT(Summary!CE6)=1,Summary!CE6,"")</f>
        <v/>
      </c>
      <c r="CC3" s="12" t="n">
        <f aca="false">Summary!CF6</f>
        <v>1337598.15018913</v>
      </c>
      <c r="CD3" s="12" t="n">
        <f aca="false">Summary!CG6</f>
        <v>1311129.236</v>
      </c>
      <c r="CE3" s="13" t="str">
        <f aca="false">IF(COUNT(Summary!CH6)=1,Summary!CH6,"")</f>
        <v/>
      </c>
      <c r="CF3" s="13" t="n">
        <f aca="false">Summary!CI6</f>
        <v>1310605.83472651</v>
      </c>
      <c r="CG3" s="13" t="n">
        <f aca="false">Summary!CJ6</f>
        <v>1284099.945</v>
      </c>
      <c r="CH3" s="12" t="str">
        <f aca="false">IF(COUNT(Summary!CK6)=1,Summary!CK6,"")</f>
        <v/>
      </c>
      <c r="CI3" s="12" t="n">
        <f aca="false">Summary!CL6</f>
        <v>1283706.9185022</v>
      </c>
      <c r="CJ3" s="12" t="n">
        <f aca="false">Summary!CM6</f>
        <v>1257223.726</v>
      </c>
      <c r="CK3" s="13" t="str">
        <f aca="false">IF(COUNT(Summary!CN6)=1,Summary!CN6,"")</f>
        <v/>
      </c>
      <c r="CL3" s="13" t="n">
        <f aca="false">Summary!CO6</f>
        <v>1256960.78831946</v>
      </c>
      <c r="CM3" s="13" t="n">
        <f aca="false">Summary!CP6</f>
        <v>1230499.836</v>
      </c>
      <c r="CN3" s="12" t="str">
        <f aca="false">IF(COUNT(Summary!CQ6)=1,Summary!CQ6,"")</f>
        <v/>
      </c>
      <c r="CO3" s="12" t="n">
        <f aca="false">Summary!CR6</f>
        <v>1230366.70847815</v>
      </c>
      <c r="CP3" s="12" t="n">
        <f aca="false">Summary!CS6</f>
        <v>1203869.999</v>
      </c>
      <c r="CQ3" s="13" t="str">
        <f aca="false">IF(COUNT(Summary!CT6)=1,Summary!CT6,"")</f>
        <v/>
      </c>
      <c r="CR3" s="13" t="n">
        <f aca="false">Summary!CU6</f>
        <v>1203865.78790022</v>
      </c>
      <c r="CS3" s="13" t="n">
        <f aca="false">Summary!CV6</f>
        <v>1177391.632</v>
      </c>
      <c r="CT3" s="12" t="str">
        <f aca="false">IF(COUNT(Summary!CW6)=1,Summary!CW6,"")</f>
        <v/>
      </c>
      <c r="CU3" s="12" t="n">
        <f aca="false">Summary!CX6</f>
        <v>1177516.06136902</v>
      </c>
      <c r="CV3" s="12" t="n">
        <f aca="false">Summary!CY6</f>
        <v>1151063.985</v>
      </c>
      <c r="CW3" s="13" t="str">
        <f aca="false">IF(COUNT(Summary!CZ6)=1,Summary!CZ6,"")</f>
        <v/>
      </c>
      <c r="CX3" s="13" t="n">
        <f aca="false">Summary!DA6</f>
        <v>1151316.78440544</v>
      </c>
      <c r="CY3" s="13" t="n">
        <f aca="false">Summary!DB6</f>
        <v>1124830.219</v>
      </c>
      <c r="CZ3" s="12" t="str">
        <f aca="false">IF(COUNT(Summary!DC6)=1,Summary!DC6,"")</f>
        <v/>
      </c>
      <c r="DA3" s="12" t="n">
        <f aca="false">Summary!DD6</f>
        <v>1125211.94154308</v>
      </c>
      <c r="DB3" s="12" t="n">
        <f aca="false">Summary!DE6</f>
        <v>1098747.754</v>
      </c>
      <c r="DC3" s="13" t="str">
        <f aca="false">IF(COUNT(Summary!DF6)=1,Summary!DF6,"")</f>
        <v/>
      </c>
      <c r="DD3" s="13" t="n">
        <f aca="false">Summary!DG6</f>
        <v>1086062.34875488</v>
      </c>
      <c r="DE3" s="13" t="n">
        <f aca="false">Summary!DH6</f>
        <v>1049966.122</v>
      </c>
      <c r="DF3" s="12" t="n">
        <f aca="false">IF(COUNT(Summary!DI6)=1,Summary!DI6,"")</f>
        <v>1037575.4476564</v>
      </c>
      <c r="DG3" s="12" t="n">
        <f aca="false">Summary!DJ6</f>
        <v>1037575.4476564</v>
      </c>
      <c r="DH3" s="12" t="n">
        <f aca="false">Summary!DK6</f>
        <v>1001538.478</v>
      </c>
      <c r="DI3" s="13" t="n">
        <f aca="false">IF(COUNT(Summary!DL6)=1,Summary!DL6,"")</f>
        <v>1021542</v>
      </c>
      <c r="DJ3" s="13" t="n">
        <f aca="false">Summary!DM6</f>
        <v>1021542</v>
      </c>
      <c r="DK3" s="13" t="n">
        <f aca="false">Summary!DN6</f>
        <v>998742</v>
      </c>
      <c r="DL3" s="12" t="n">
        <f aca="false">IF(COUNT(Finance!$DL$63)=1,Finance!$DL$63,"")</f>
        <v>996000</v>
      </c>
      <c r="DM3" s="12" t="n">
        <f aca="false">Finance!$DL$63</f>
        <v>996000</v>
      </c>
      <c r="DN3" s="12" t="n">
        <f aca="false">Finance!$DL$63</f>
        <v>996000</v>
      </c>
    </row>
    <row r="4" customFormat="false" ht="15" hidden="false" customHeight="false" outlineLevel="0" collapsed="false">
      <c r="A4" s="5" t="s">
        <v>103</v>
      </c>
      <c r="B4" s="12" t="str">
        <f aca="false">IF(COUNT(AR4,AO4,AL4,AI4,AF4,AC4,Z4,W4,T4,Q4,N4,K4)=0,"",SUM(AR4,AO4,AL4,AI4,AF4,AC4,Z4,W4,T4,Q4,N4,K4))</f>
        <v/>
      </c>
      <c r="C4" s="12" t="n">
        <f aca="false">IF(COUNT(AS4,AP4,AM4,AJ4,AG4,AD4,AA4,X4,U4,R4,O4,L4)=0,"",SUM(AS4,AP4,AM4,AJ4,AG4,AD4,AA4,X4,U4,R4,O4,L4))</f>
        <v>580563</v>
      </c>
      <c r="D4" s="12" t="n">
        <f aca="false">IF(COUNT(AT4,AQ4,AN4,AK4,AH4,AE4,AB4,Y4,V4,S4,P4,M4)=0,"",SUM(AT4,AQ4,AN4,AK4,AH4,AE4,AB4,Y4,V4,S4,P4,M4))</f>
        <v>581871</v>
      </c>
      <c r="E4" s="13" t="str">
        <f aca="false">IF(COUNT(CB4,BY4,BV4,BS4,BP4,BM4,BJ4,BG4,BD4,BA4,AX4,AU4)=0,"",SUM(CB4,BY4,BV4,BS4,BP4,BM4,BJ4,BG4,BD4,BA4,AX4,AU4))</f>
        <v/>
      </c>
      <c r="F4" s="13" t="n">
        <f aca="false">IF(COUNT(CC4,BZ4,BW4,BT4,BQ4,BN4,BK4,BH4,BE4,BB4,AY4,AV4)=0,"",SUM(CC4,BZ4,BW4,BT4,BQ4,BN4,BK4,BH4,BE4,BB4,AY4,AV4))</f>
        <v>399177</v>
      </c>
      <c r="G4" s="13" t="n">
        <f aca="false">IF(COUNT(CD4,CA4,BX4,BU4,BR4,BO4,BL4,BI4,BF4,BC4,AZ4,AW4)=0,"",SUM(CD4,CA4,BX4,BU4,BR4,BO4,BL4,BI4,BF4,BC4,AZ4,AW4))</f>
        <v>400131</v>
      </c>
      <c r="H4" s="12" t="n">
        <f aca="false">IF(COUNT(DL4,DI4,DF4,DC4,CZ4,CW4,CT4,CQ4,CN4,CK4,CH4,CE4)=0,"",SUM(DL4,DI4,DF4,DC4,CZ4,CW4,CT4,CQ4,CN4,CK4,CH4,CE4))</f>
        <v>36000</v>
      </c>
      <c r="I4" s="12" t="n">
        <f aca="false">IF(COUNT(DM4,DJ4,DG4,DD4,DA4,CX4,CU4,CR4,CO4,CL4,CI4,CF4)=0,"",SUM(DM4,DJ4,DG4,DD4,DA4,CX4,CU4,CR4,CO4,CL4,CI4,CF4))</f>
        <v>302598</v>
      </c>
      <c r="J4" s="12" t="n">
        <f aca="false">IF(COUNT(DN4,DK4,DH4,DE4,DB4,CY4,CV4,CS4,CP4,CM4,CJ4,CG4)=0,"",SUM(DN4,DK4,DH4,DE4,DB4,CY4,CV4,CS4,CP4,CM4,CJ4,CG4))</f>
        <v>276849</v>
      </c>
      <c r="K4" s="13" t="str">
        <f aca="false">IF(COUNT(Sales!K8)=1,Sales!K8,"")</f>
        <v/>
      </c>
      <c r="L4" s="13" t="n">
        <f aca="false">Sales!L8</f>
        <v>52098</v>
      </c>
      <c r="M4" s="13" t="n">
        <f aca="false">Sales!M8</f>
        <v>52212</v>
      </c>
      <c r="N4" s="12" t="str">
        <f aca="false">IF(COUNT(Sales!N8)=1,Sales!N8,"")</f>
        <v/>
      </c>
      <c r="O4" s="12" t="n">
        <f aca="false">Sales!O8</f>
        <v>51813</v>
      </c>
      <c r="P4" s="12" t="n">
        <f aca="false">Sales!P8</f>
        <v>51927</v>
      </c>
      <c r="Q4" s="13" t="str">
        <f aca="false">IF(COUNT(Sales!Q8)=1,Sales!Q8,"")</f>
        <v/>
      </c>
      <c r="R4" s="13" t="n">
        <f aca="false">Sales!R8</f>
        <v>51528</v>
      </c>
      <c r="S4" s="13" t="n">
        <f aca="false">Sales!S8</f>
        <v>51642</v>
      </c>
      <c r="T4" s="12" t="str">
        <f aca="false">IF(COUNT(Sales!T8)=1,Sales!T8,"")</f>
        <v/>
      </c>
      <c r="U4" s="12" t="n">
        <f aca="false">Sales!U8</f>
        <v>51243</v>
      </c>
      <c r="V4" s="12" t="n">
        <f aca="false">Sales!V8</f>
        <v>51357</v>
      </c>
      <c r="W4" s="13" t="str">
        <f aca="false">IF(COUNT(Sales!W8)=1,Sales!W8,"")</f>
        <v/>
      </c>
      <c r="X4" s="13" t="n">
        <f aca="false">Sales!X8</f>
        <v>50958</v>
      </c>
      <c r="Y4" s="13" t="n">
        <f aca="false">Sales!Y8</f>
        <v>51072</v>
      </c>
      <c r="Z4" s="12" t="str">
        <f aca="false">IF(COUNT(Sales!Z8)=1,Sales!Z8,"")</f>
        <v/>
      </c>
      <c r="AA4" s="12" t="n">
        <f aca="false">Sales!AA8</f>
        <v>50673</v>
      </c>
      <c r="AB4" s="12" t="n">
        <f aca="false">Sales!AB8</f>
        <v>50787</v>
      </c>
      <c r="AC4" s="13" t="str">
        <f aca="false">IF(COUNT(Sales!AC8)=1,Sales!AC8,"")</f>
        <v/>
      </c>
      <c r="AD4" s="13" t="n">
        <f aca="false">Sales!AD8</f>
        <v>50388</v>
      </c>
      <c r="AE4" s="13" t="n">
        <f aca="false">Sales!AE8</f>
        <v>50502</v>
      </c>
      <c r="AF4" s="12" t="str">
        <f aca="false">IF(COUNT(Sales!AF8)=1,Sales!AF8,"")</f>
        <v/>
      </c>
      <c r="AG4" s="12" t="n">
        <f aca="false">Sales!AG8</f>
        <v>50103</v>
      </c>
      <c r="AH4" s="12" t="n">
        <f aca="false">Sales!AH8</f>
        <v>50217</v>
      </c>
      <c r="AI4" s="13" t="str">
        <f aca="false">IF(COUNT(Sales!AI8)=1,Sales!AI8,"")</f>
        <v/>
      </c>
      <c r="AJ4" s="13" t="n">
        <f aca="false">Sales!AJ8</f>
        <v>49818</v>
      </c>
      <c r="AK4" s="13" t="n">
        <f aca="false">Sales!AK8</f>
        <v>49932</v>
      </c>
      <c r="AL4" s="12" t="str">
        <f aca="false">IF(COUNT(Sales!AL8)=1,Sales!AL8,"")</f>
        <v/>
      </c>
      <c r="AM4" s="12" t="n">
        <f aca="false">Sales!AM8</f>
        <v>49533</v>
      </c>
      <c r="AN4" s="12" t="n">
        <f aca="false">Sales!AN8</f>
        <v>49647</v>
      </c>
      <c r="AO4" s="13" t="str">
        <f aca="false">IF(COUNT(Sales!AO8)=1,Sales!AO8,"")</f>
        <v/>
      </c>
      <c r="AP4" s="13" t="n">
        <f aca="false">Sales!AP8</f>
        <v>36288</v>
      </c>
      <c r="AQ4" s="13" t="n">
        <f aca="false">Sales!AQ8</f>
        <v>36372</v>
      </c>
      <c r="AR4" s="12" t="str">
        <f aca="false">IF(COUNT(Sales!AR8)=1,Sales!AR8,"")</f>
        <v/>
      </c>
      <c r="AS4" s="12" t="n">
        <f aca="false">Sales!AS8</f>
        <v>36120</v>
      </c>
      <c r="AT4" s="12" t="n">
        <f aca="false">Sales!AT8</f>
        <v>36204</v>
      </c>
      <c r="AU4" s="13" t="str">
        <f aca="false">IF(COUNT(Sales!AU8)=1,Sales!AU8,"")</f>
        <v/>
      </c>
      <c r="AV4" s="13" t="n">
        <f aca="false">Sales!AV8</f>
        <v>35952</v>
      </c>
      <c r="AW4" s="13" t="n">
        <f aca="false">Sales!AW8</f>
        <v>36036</v>
      </c>
      <c r="AX4" s="12" t="str">
        <f aca="false">IF(COUNT(Sales!AX8)=1,Sales!AX8,"")</f>
        <v/>
      </c>
      <c r="AY4" s="12" t="n">
        <f aca="false">Sales!AY8</f>
        <v>35784</v>
      </c>
      <c r="AZ4" s="12" t="n">
        <f aca="false">Sales!AZ8</f>
        <v>35868</v>
      </c>
      <c r="BA4" s="13" t="str">
        <f aca="false">IF(COUNT(Sales!BA8)=1,Sales!BA8,"")</f>
        <v/>
      </c>
      <c r="BB4" s="13" t="n">
        <f aca="false">Sales!BB8</f>
        <v>35616</v>
      </c>
      <c r="BC4" s="13" t="n">
        <f aca="false">Sales!BC8</f>
        <v>35700</v>
      </c>
      <c r="BD4" s="12" t="str">
        <f aca="false">IF(COUNT(Sales!BD8)=1,Sales!BD8,"")</f>
        <v/>
      </c>
      <c r="BE4" s="12" t="n">
        <f aca="false">Sales!BE8</f>
        <v>35448</v>
      </c>
      <c r="BF4" s="12" t="n">
        <f aca="false">Sales!BF8</f>
        <v>35532</v>
      </c>
      <c r="BG4" s="13" t="str">
        <f aca="false">IF(COUNT(Sales!BG8)=1,Sales!BG8,"")</f>
        <v/>
      </c>
      <c r="BH4" s="13" t="n">
        <f aca="false">Sales!BH8</f>
        <v>35280</v>
      </c>
      <c r="BI4" s="13" t="n">
        <f aca="false">Sales!BI8</f>
        <v>35364</v>
      </c>
      <c r="BJ4" s="12" t="str">
        <f aca="false">IF(COUNT(Sales!BJ8)=1,Sales!BJ8,"")</f>
        <v/>
      </c>
      <c r="BK4" s="12" t="n">
        <f aca="false">Sales!BK8</f>
        <v>35112</v>
      </c>
      <c r="BL4" s="12" t="n">
        <f aca="false">Sales!BL8</f>
        <v>35196</v>
      </c>
      <c r="BM4" s="13" t="str">
        <f aca="false">IF(COUNT(Sales!BM8)=1,Sales!BM8,"")</f>
        <v/>
      </c>
      <c r="BN4" s="13" t="n">
        <f aca="false">Sales!BN8</f>
        <v>34986</v>
      </c>
      <c r="BO4" s="13" t="n">
        <f aca="false">Sales!BO8</f>
        <v>35070</v>
      </c>
      <c r="BP4" s="12" t="str">
        <f aca="false">IF(COUNT(Sales!BP8)=1,Sales!BP8,"")</f>
        <v/>
      </c>
      <c r="BQ4" s="12" t="n">
        <f aca="false">Sales!BQ8</f>
        <v>34860</v>
      </c>
      <c r="BR4" s="12" t="n">
        <f aca="false">Sales!BR8</f>
        <v>34944</v>
      </c>
      <c r="BS4" s="13" t="str">
        <f aca="false">IF(COUNT(Sales!BS8)=1,Sales!BS8,"")</f>
        <v/>
      </c>
      <c r="BT4" s="13" t="n">
        <f aca="false">Sales!BT8</f>
        <v>34734</v>
      </c>
      <c r="BU4" s="13" t="n">
        <f aca="false">Sales!BU8</f>
        <v>34818</v>
      </c>
      <c r="BV4" s="12" t="str">
        <f aca="false">IF(COUNT(Sales!BV8)=1,Sales!BV8,"")</f>
        <v/>
      </c>
      <c r="BW4" s="12" t="n">
        <f aca="false">Sales!BW8</f>
        <v>34608</v>
      </c>
      <c r="BX4" s="12" t="n">
        <f aca="false">Sales!BX8</f>
        <v>34692</v>
      </c>
      <c r="BY4" s="13" t="str">
        <f aca="false">IF(COUNT(Sales!BY8)=1,Sales!BY8,"")</f>
        <v/>
      </c>
      <c r="BZ4" s="13" t="n">
        <f aca="false">Sales!BZ8</f>
        <v>23427</v>
      </c>
      <c r="CA4" s="13" t="n">
        <f aca="false">Sales!CA8</f>
        <v>23484</v>
      </c>
      <c r="CB4" s="12" t="str">
        <f aca="false">IF(COUNT(Sales!CB8)=1,Sales!CB8,"")</f>
        <v/>
      </c>
      <c r="CC4" s="12" t="n">
        <f aca="false">Sales!CC8</f>
        <v>23370</v>
      </c>
      <c r="CD4" s="12" t="n">
        <f aca="false">Sales!CD8</f>
        <v>23427</v>
      </c>
      <c r="CE4" s="13" t="str">
        <f aca="false">IF(COUNT(Sales!CE8)=1,Sales!CE8,"")</f>
        <v/>
      </c>
      <c r="CF4" s="13" t="n">
        <f aca="false">Sales!CF8</f>
        <v>23313</v>
      </c>
      <c r="CG4" s="13" t="n">
        <f aca="false">Sales!CG8</f>
        <v>23370</v>
      </c>
      <c r="CH4" s="12" t="str">
        <f aca="false">IF(COUNT(Sales!CH8)=1,Sales!CH8,"")</f>
        <v/>
      </c>
      <c r="CI4" s="12" t="n">
        <f aca="false">Sales!CI8</f>
        <v>23256</v>
      </c>
      <c r="CJ4" s="12" t="n">
        <f aca="false">Sales!CJ8</f>
        <v>23313</v>
      </c>
      <c r="CK4" s="13" t="str">
        <f aca="false">IF(COUNT(Sales!CK8)=1,Sales!CK8,"")</f>
        <v/>
      </c>
      <c r="CL4" s="13" t="n">
        <f aca="false">Sales!CL8</f>
        <v>23199</v>
      </c>
      <c r="CM4" s="13" t="n">
        <f aca="false">Sales!CM8</f>
        <v>23256</v>
      </c>
      <c r="CN4" s="12" t="str">
        <f aca="false">IF(COUNT(Sales!CN8)=1,Sales!CN8,"")</f>
        <v/>
      </c>
      <c r="CO4" s="12" t="n">
        <f aca="false">Sales!CO8</f>
        <v>23142</v>
      </c>
      <c r="CP4" s="12" t="n">
        <f aca="false">Sales!CP8</f>
        <v>23199</v>
      </c>
      <c r="CQ4" s="13" t="str">
        <f aca="false">IF(COUNT(Sales!CQ8)=1,Sales!CQ8,"")</f>
        <v/>
      </c>
      <c r="CR4" s="13" t="n">
        <f aca="false">Sales!CR8</f>
        <v>23085</v>
      </c>
      <c r="CS4" s="13" t="n">
        <f aca="false">Sales!CS8</f>
        <v>23142</v>
      </c>
      <c r="CT4" s="12" t="str">
        <f aca="false">IF(COUNT(Sales!CT8)=1,Sales!CT8,"")</f>
        <v/>
      </c>
      <c r="CU4" s="12" t="n">
        <f aca="false">Sales!CU8</f>
        <v>23028</v>
      </c>
      <c r="CV4" s="12" t="n">
        <f aca="false">Sales!CV8</f>
        <v>23085</v>
      </c>
      <c r="CW4" s="13" t="str">
        <f aca="false">IF(COUNT(Sales!CW8)=1,Sales!CW8,"")</f>
        <v/>
      </c>
      <c r="CX4" s="13" t="n">
        <f aca="false">Sales!CX8</f>
        <v>22971</v>
      </c>
      <c r="CY4" s="13" t="n">
        <f aca="false">Sales!CY8</f>
        <v>23028</v>
      </c>
      <c r="CZ4" s="12" t="str">
        <f aca="false">IF(COUNT(Sales!CZ8)=1,Sales!CZ8,"")</f>
        <v/>
      </c>
      <c r="DA4" s="12" t="n">
        <f aca="false">Sales!DA8</f>
        <v>22914</v>
      </c>
      <c r="DB4" s="12" t="n">
        <f aca="false">Sales!DB8</f>
        <v>22971</v>
      </c>
      <c r="DC4" s="13" t="str">
        <f aca="false">IF(COUNT(Sales!DC8)=1,Sales!DC8,"")</f>
        <v/>
      </c>
      <c r="DD4" s="13" t="n">
        <f aca="false">Sales!DD8</f>
        <v>36090</v>
      </c>
      <c r="DE4" s="13" t="n">
        <f aca="false">Sales!DE8</f>
        <v>45828</v>
      </c>
      <c r="DF4" s="12" t="str">
        <f aca="false">IF(COUNT(Sales!DF8)=1,Sales!DF8,"")</f>
        <v/>
      </c>
      <c r="DG4" s="12" t="n">
        <f aca="false">Sales!DG8</f>
        <v>45600</v>
      </c>
      <c r="DH4" s="12" t="n">
        <f aca="false">Sales!DH8</f>
        <v>45657</v>
      </c>
      <c r="DI4" s="13" t="n">
        <f aca="false">IF(COUNT(Sales!DI8)=1,Sales!DI8,"")</f>
        <v>13200</v>
      </c>
      <c r="DJ4" s="13" t="n">
        <f aca="false">Sales!DJ8</f>
        <v>13200</v>
      </c>
      <c r="DK4" s="13" t="n">
        <f aca="false">Sales!DK8</f>
        <v>0</v>
      </c>
      <c r="DL4" s="12" t="n">
        <f aca="false">IF(COUNT(Sales!DL8)=1,Sales!DL8,"")</f>
        <v>22800</v>
      </c>
      <c r="DM4" s="12" t="n">
        <f aca="false">Sales!DM8</f>
        <v>22800</v>
      </c>
      <c r="DN4" s="12" t="n">
        <f aca="false">Sales!DN8</f>
        <v>0</v>
      </c>
    </row>
    <row r="5" customFormat="false" ht="15" hidden="false" customHeight="false" outlineLevel="0" collapsed="false">
      <c r="A5" s="5" t="s">
        <v>104</v>
      </c>
      <c r="B5" s="12" t="str">
        <f aca="false">IF(COUNT(AR5,AO5,AL5,AI5,AF5,AC5,Z5,W5,T5,Q5,N5,K5)=0,"",SUM(AR5,AO5,AL5,AI5,AF5,AC5,Z5,W5,T5,Q5,N5,K5))</f>
        <v/>
      </c>
      <c r="C5" s="12" t="n">
        <f aca="false">IF(COUNT(AS5,AP5,AM5,AJ5,AG5,AD5,AA5,X5,U5,R5,O5,L5)=0,"",SUM(AS5,AP5,AM5,AJ5,AG5,AD5,AA5,X5,U5,R5,O5,L5))</f>
        <v>72348.7703393056</v>
      </c>
      <c r="D5" s="12" t="n">
        <f aca="false">IF(COUNT(AT5,AQ5,AN5,AK5,AH5,AE5,AB5,Y5,V5,S5,P5,M5)=0,"",SUM(AT5,AQ5,AN5,AK5,AH5,AE5,AB5,Y5,V5,S5,P5,M5))</f>
        <v>71440.530647</v>
      </c>
      <c r="E5" s="13" t="str">
        <f aca="false">IF(COUNT(CB5,BY5,BV5,BS5,BP5,BM5,BJ5,BG5,BD5,BA5,AX5,AU5)=0,"",SUM(CB5,BY5,BV5,BS5,BP5,BM5,BJ5,BG5,BD5,BA5,AX5,AU5))</f>
        <v/>
      </c>
      <c r="F5" s="13" t="n">
        <f aca="false">IF(COUNT(CC5,BZ5,BW5,BT5,BQ5,BN5,BK5,BH5,BE5,BB5,AY5,AV5)=0,"",SUM(CC5,BZ5,BW5,BT5,BQ5,BN5,BK5,BH5,BE5,BB5,AY5,AV5))</f>
        <v>52390.4016919197</v>
      </c>
      <c r="G5" s="13" t="n">
        <f aca="false">IF(COUNT(CD5,CA5,BX5,BU5,BR5,BO5,BL5,BI5,BF5,BC5,AZ5,AW5)=0,"",SUM(CD5,CA5,BX5,BU5,BR5,BO5,BL5,BI5,BF5,BC5,AZ5,AW5))</f>
        <v>51492.012037</v>
      </c>
      <c r="H5" s="12" t="n">
        <f aca="false">IF(COUNT(DL5,DI5,DF5,DC5,CZ5,CW5,CT5,CQ5,CN5,CK5,CH5,CE5)=0,"",SUM(DL5,DI5,DF5,DC5,CZ5,CW5,CT5,CQ5,CN5,CK5,CH5,CE5))</f>
        <v>5575.4476563981</v>
      </c>
      <c r="I5" s="12" t="n">
        <f aca="false">IF(COUNT(DM5,DJ5,DG5,DD5,DA5,CX5,CU5,CR5,CO5,CL5,CI5,CF5)=0,"",SUM(DM5,DJ5,DG5,DD5,DA5,CX5,CU5,CR5,CO5,CL5,CI5,CF5))</f>
        <v>39000.1501891316</v>
      </c>
      <c r="J5" s="12" t="n">
        <f aca="false">IF(COUNT(DN5,DK5,DH5,DE5,DB5,CY5,CV5,CS5,CP5,CM5,CJ5,CG5)=0,"",SUM(DN5,DK5,DH5,DE5,DB5,CY5,CV5,CS5,CP5,CM5,CJ5,CG5))</f>
        <v>38280.236322</v>
      </c>
      <c r="K5" s="13" t="str">
        <f aca="false">IF(COUNT('Customer Success'!K11)=1,'Customer Success'!K11,"")</f>
        <v/>
      </c>
      <c r="L5" s="13" t="n">
        <f aca="false">'Customer Success'!L11</f>
        <v>6982.05946074619</v>
      </c>
      <c r="M5" s="13" t="n">
        <f aca="false">'Customer Success'!M11</f>
        <v>6900.873</v>
      </c>
      <c r="N5" s="12" t="str">
        <f aca="false">IF(COUNT('Customer Success'!N11)=1,'Customer Success'!N11,"")</f>
        <v/>
      </c>
      <c r="O5" s="12" t="n">
        <f aca="false">'Customer Success'!O11</f>
        <v>6831.49653883356</v>
      </c>
      <c r="P5" s="12" t="n">
        <f aca="false">'Customer Success'!P11</f>
        <v>6750.048416</v>
      </c>
      <c r="Q5" s="13" t="str">
        <f aca="false">IF(COUNT('Customer Success'!Q11)=1,'Customer Success'!Q11,"")</f>
        <v/>
      </c>
      <c r="R5" s="13" t="n">
        <f aca="false">'Customer Success'!R11</f>
        <v>6614.06753980854</v>
      </c>
      <c r="S5" s="13" t="n">
        <f aca="false">'Customer Success'!S11</f>
        <v>6532.997345</v>
      </c>
      <c r="T5" s="12" t="str">
        <f aca="false">IF(COUNT('Customer Success'!T11)=1,'Customer Success'!T11,"")</f>
        <v/>
      </c>
      <c r="U5" s="12" t="n">
        <f aca="false">'Customer Success'!U11</f>
        <v>6466.14376290171</v>
      </c>
      <c r="V5" s="12" t="n">
        <f aca="false">'Customer Success'!V11</f>
        <v>6384.808591</v>
      </c>
      <c r="W5" s="13" t="str">
        <f aca="false">IF(COUNT('Customer Success'!W11)=1,'Customer Success'!W11,"")</f>
        <v/>
      </c>
      <c r="X5" s="13" t="n">
        <f aca="false">'Customer Success'!X11</f>
        <v>6319.22147947586</v>
      </c>
      <c r="Y5" s="13" t="n">
        <f aca="false">'Customer Success'!Y11</f>
        <v>6237.613149</v>
      </c>
      <c r="Z5" s="12" t="str">
        <f aca="false">IF(COUNT('Customer Success'!Z11)=1,'Customer Success'!Z11,"")</f>
        <v/>
      </c>
      <c r="AA5" s="12" t="n">
        <f aca="false">'Customer Success'!AA11</f>
        <v>6106.69400893947</v>
      </c>
      <c r="AB5" s="12" t="n">
        <f aca="false">'Customer Success'!AB11</f>
        <v>6025.496967</v>
      </c>
      <c r="AC5" s="13" t="str">
        <f aca="false">IF(COUNT('Customer Success'!AC11)=1,'Customer Success'!AC11,"")</f>
        <v/>
      </c>
      <c r="AD5" s="13" t="n">
        <f aca="false">'Customer Success'!AD11</f>
        <v>5960.8031013252</v>
      </c>
      <c r="AE5" s="13" t="n">
        <f aca="false">'Customer Success'!AE11</f>
        <v>5879.342846</v>
      </c>
      <c r="AF5" s="12" t="str">
        <f aca="false">IF(COUNT('Customer Success'!AF11)=1,'Customer Success'!AF11,"")</f>
        <v/>
      </c>
      <c r="AG5" s="12" t="n">
        <f aca="false">'Customer Success'!AG11</f>
        <v>5750.11784879444</v>
      </c>
      <c r="AH5" s="12" t="n">
        <f aca="false">'Customer Success'!AH11</f>
        <v>5669.113475</v>
      </c>
      <c r="AI5" s="13" t="str">
        <f aca="false">IF(COUNT('Customer Success'!AI11)=1,'Customer Success'!AI11,"")</f>
        <v/>
      </c>
      <c r="AJ5" s="13" t="n">
        <f aca="false">'Customer Success'!AJ11</f>
        <v>5541.43044001674</v>
      </c>
      <c r="AK5" s="13" t="n">
        <f aca="false">'Customer Success'!AK11</f>
        <v>5460.90738</v>
      </c>
      <c r="AL5" s="12" t="str">
        <f aca="false">IF(COUNT('Customer Success'!AL11)=1,'Customer Success'!AL11,"")</f>
        <v/>
      </c>
      <c r="AM5" s="12" t="n">
        <f aca="false">'Customer Success'!AM11</f>
        <v>5399.80140374254</v>
      </c>
      <c r="AN5" s="12" t="n">
        <f aca="false">'Customer Success'!AN11</f>
        <v>5319.020934</v>
      </c>
      <c r="AO5" s="13" t="str">
        <f aca="false">IF(COUNT('Customer Success'!AO11)=1,'Customer Success'!AO11,"")</f>
        <v/>
      </c>
      <c r="AP5" s="13" t="n">
        <f aca="false">'Customer Success'!AP11</f>
        <v>5231.46186619315</v>
      </c>
      <c r="AQ5" s="13" t="n">
        <f aca="false">'Customer Success'!AQ11</f>
        <v>5215.59954</v>
      </c>
      <c r="AR5" s="12" t="str">
        <f aca="false">IF(COUNT('Customer Success'!AR11)=1,'Customer Success'!AR11,"")</f>
        <v/>
      </c>
      <c r="AS5" s="12" t="n">
        <f aca="false">'Customer Success'!AS11</f>
        <v>5145.47288852818</v>
      </c>
      <c r="AT5" s="12" t="n">
        <f aca="false">'Customer Success'!AT11</f>
        <v>5064.709004</v>
      </c>
      <c r="AU5" s="13" t="str">
        <f aca="false">IF(COUNT('Customer Success'!AU11)=1,'Customer Success'!AU11,"")</f>
        <v/>
      </c>
      <c r="AV5" s="13" t="n">
        <f aca="false">'Customer Success'!AV11</f>
        <v>4993.88977249861</v>
      </c>
      <c r="AW5" s="13" t="n">
        <f aca="false">'Customer Success'!AW11</f>
        <v>4977.057087</v>
      </c>
      <c r="AX5" s="12" t="str">
        <f aca="false">IF(COUNT('Customer Success'!AX11)=1,'Customer Success'!AX11,"")</f>
        <v/>
      </c>
      <c r="AY5" s="12" t="n">
        <f aca="false">'Customer Success'!AY11</f>
        <v>4907.54120486581</v>
      </c>
      <c r="AZ5" s="12" t="n">
        <f aca="false">'Customer Success'!AZ11</f>
        <v>4826.677975</v>
      </c>
      <c r="BA5" s="13" t="str">
        <f aca="false">IF(COUNT('Customer Success'!BA11)=1,'Customer Success'!BA11,"")</f>
        <v/>
      </c>
      <c r="BB5" s="13" t="n">
        <f aca="false">'Customer Success'!BB11</f>
        <v>4758.040761831</v>
      </c>
      <c r="BC5" s="13" t="n">
        <f aca="false">'Customer Success'!BC11</f>
        <v>4677.645962</v>
      </c>
      <c r="BD5" s="12" t="str">
        <f aca="false">IF(COUNT('Customer Success'!BD11)=1,'Customer Success'!BD11,"")</f>
        <v/>
      </c>
      <c r="BE5" s="12" t="n">
        <f aca="false">'Customer Success'!BE11</f>
        <v>4672.97408076147</v>
      </c>
      <c r="BF5" s="12" t="n">
        <f aca="false">'Customer Success'!BF11</f>
        <v>4592.198247</v>
      </c>
      <c r="BG5" s="13" t="str">
        <f aca="false">IF(COUNT('Customer Success'!BG11)=1,'Customer Success'!BG11,"")</f>
        <v/>
      </c>
      <c r="BH5" s="13" t="n">
        <f aca="false">'Customer Success'!BH11</f>
        <v>4525.55461192242</v>
      </c>
      <c r="BI5" s="13" t="n">
        <f aca="false">'Customer Success'!BI11</f>
        <v>4445.266276</v>
      </c>
      <c r="BJ5" s="12" t="str">
        <f aca="false">IF(COUNT('Customer Success'!BJ11)=1,'Customer Success'!BJ11,"")</f>
        <v/>
      </c>
      <c r="BK5" s="12" t="n">
        <f aca="false">'Customer Success'!BK11</f>
        <v>4441.75439513267</v>
      </c>
      <c r="BL5" s="12" t="n">
        <f aca="false">'Customer Success'!BL11</f>
        <v>4361.070277</v>
      </c>
      <c r="BM5" s="13" t="str">
        <f aca="false">IF(COUNT('Customer Success'!BM11)=1,'Customer Success'!BM11,"")</f>
        <v/>
      </c>
      <c r="BN5" s="13" t="n">
        <f aca="false">'Customer Success'!BN11</f>
        <v>4296.29608502691</v>
      </c>
      <c r="BO5" s="13" t="n">
        <f aca="false">'Customer Success'!BO11</f>
        <v>4216.120274</v>
      </c>
      <c r="BP5" s="12" t="str">
        <f aca="false">IF(COUNT('Customer Success'!BP11)=1,'Customer Success'!BP11,"")</f>
        <v/>
      </c>
      <c r="BQ5" s="12" t="n">
        <f aca="false">'Customer Success'!BQ11</f>
        <v>4152.05822032992</v>
      </c>
      <c r="BR5" s="12" t="n">
        <f aca="false">'Customer Success'!BR11</f>
        <v>4072.41017</v>
      </c>
      <c r="BS5" s="13" t="str">
        <f aca="false">IF(COUNT('Customer Success'!BS11)=1,'Customer Success'!BS11,"")</f>
        <v/>
      </c>
      <c r="BT5" s="13" t="n">
        <f aca="false">'Customer Success'!BT11</f>
        <v>4068.5009315807</v>
      </c>
      <c r="BU5" s="13" t="n">
        <f aca="false">'Customer Success'!BU11</f>
        <v>3988.462281</v>
      </c>
      <c r="BV5" s="12" t="str">
        <f aca="false">IF(COUNT('Customer Success'!BV11)=1,'Customer Success'!BV11,"")</f>
        <v/>
      </c>
      <c r="BW5" s="12" t="n">
        <f aca="false">'Customer Success'!BW11</f>
        <v>3924.51010340276</v>
      </c>
      <c r="BX5" s="12" t="n">
        <f aca="false">'Customer Success'!BX11</f>
        <v>3845.045828</v>
      </c>
      <c r="BY5" s="13" t="str">
        <f aca="false">IF(COUNT('Customer Success'!BY11)=1,'Customer Success'!BY11,"")</f>
        <v/>
      </c>
      <c r="BZ5" s="13" t="n">
        <f aca="false">'Customer Success'!BZ11</f>
        <v>3873.32537825888</v>
      </c>
      <c r="CA5" s="13" t="n">
        <f aca="false">'Customer Success'!CA11</f>
        <v>3793.493496</v>
      </c>
      <c r="CB5" s="12" t="str">
        <f aca="false">IF(COUNT('Customer Success'!CB11)=1,'Customer Success'!CB11,"")</f>
        <v/>
      </c>
      <c r="CC5" s="12" t="n">
        <f aca="false">'Customer Success'!CC11</f>
        <v>3775.95614630856</v>
      </c>
      <c r="CD5" s="12" t="n">
        <f aca="false">'Customer Success'!CD11</f>
        <v>3696.564164</v>
      </c>
      <c r="CE5" s="13" t="str">
        <f aca="false">IF(COUNT('Customer Success'!CE11)=1,'Customer Success'!CE11,"")</f>
        <v/>
      </c>
      <c r="CF5" s="13" t="n">
        <f aca="false">'Customer Success'!CF11</f>
        <v>3679.3154626267</v>
      </c>
      <c r="CG5" s="13" t="n">
        <f aca="false">'Customer Success'!CG11</f>
        <v>3659.290949</v>
      </c>
      <c r="CH5" s="12" t="str">
        <f aca="false">IF(COUNT('Customer Success'!CH11)=1,'Customer Success'!CH11,"")</f>
        <v/>
      </c>
      <c r="CI5" s="12" t="n">
        <f aca="false">'Customer Success'!CI11</f>
        <v>3642.91622430325</v>
      </c>
      <c r="CJ5" s="12" t="n">
        <f aca="false">'Customer Success'!CJ11</f>
        <v>3563.219575</v>
      </c>
      <c r="CK5" s="13" t="str">
        <f aca="false">IF(COUNT('Customer Success'!CK11)=1,'Customer Success'!CK11,"")</f>
        <v/>
      </c>
      <c r="CL5" s="13" t="n">
        <f aca="false">'Customer Success'!CL11</f>
        <v>3547.13018274444</v>
      </c>
      <c r="CM5" s="13" t="n">
        <f aca="false">'Customer Success'!CM11</f>
        <v>3467.889769</v>
      </c>
      <c r="CN5" s="12" t="str">
        <f aca="false">IF(COUNT('Customer Success'!CN11)=1,'Customer Success'!CN11,"")</f>
        <v/>
      </c>
      <c r="CO5" s="12" t="n">
        <f aca="false">'Customer Success'!CO11</f>
        <v>3452.07984130336</v>
      </c>
      <c r="CP5" s="12" t="n">
        <f aca="false">'Customer Success'!CP11</f>
        <v>3430.837185</v>
      </c>
      <c r="CQ5" s="13" t="str">
        <f aca="false">IF(COUNT('Customer Success'!CQ11)=1,'Customer Success'!CQ11,"")</f>
        <v/>
      </c>
      <c r="CR5" s="13" t="n">
        <f aca="false">'Customer Success'!CR11</f>
        <v>3415.92057793861</v>
      </c>
      <c r="CS5" s="13" t="n">
        <f aca="false">'Customer Success'!CS11</f>
        <v>3336.366785</v>
      </c>
      <c r="CT5" s="12" t="str">
        <f aca="false">IF(COUNT('Customer Success'!CT11)=1,'Customer Success'!CT11,"")</f>
        <v/>
      </c>
      <c r="CU5" s="12" t="n">
        <f aca="false">'Customer Success'!CU11</f>
        <v>3321.72653119819</v>
      </c>
      <c r="CV5" s="12" t="n">
        <f aca="false">'Customer Success'!CV11</f>
        <v>3242.646846</v>
      </c>
      <c r="CW5" s="13" t="str">
        <f aca="false">IF(COUNT('Customer Success'!CW11)=1,'Customer Success'!CW11,"")</f>
        <v/>
      </c>
      <c r="CX5" s="13" t="n">
        <f aca="false">'Customer Success'!CX11</f>
        <v>3228.27696358202</v>
      </c>
      <c r="CY5" s="13" t="n">
        <f aca="false">'Customer Success'!CY11</f>
        <v>3205.766124</v>
      </c>
      <c r="CZ5" s="12" t="str">
        <f aca="false">IF(COUNT('Customer Success'!CZ11)=1,'Customer Success'!CZ11,"")</f>
        <v/>
      </c>
      <c r="DA5" s="12" t="n">
        <f aca="false">'Customer Success'!DA11</f>
        <v>3190.84286235108</v>
      </c>
      <c r="DB5" s="12" t="n">
        <f aca="false">'Customer Success'!DB11</f>
        <v>3111.465141</v>
      </c>
      <c r="DC5" s="13" t="str">
        <f aca="false">IF(COUNT('Customer Success'!DC11)=1,'Customer Success'!DC11,"")</f>
        <v/>
      </c>
      <c r="DD5" s="13" t="n">
        <f aca="false">'Customer Success'!DD11</f>
        <v>3059.5927882066</v>
      </c>
      <c r="DE5" s="13" t="n">
        <f aca="false">'Customer Success'!DE11</f>
        <v>2953.631763</v>
      </c>
      <c r="DF5" s="12" t="str">
        <f aca="false">IF(COUNT('Customer Success'!DF11)=1,'Customer Success'!DF11,"")</f>
        <v/>
      </c>
      <c r="DG5" s="12" t="n">
        <f aca="false">'Customer Success'!DG11</f>
        <v>2886.90109847927</v>
      </c>
      <c r="DH5" s="12" t="n">
        <f aca="false">'Customer Success'!DH11</f>
        <v>2770.644585</v>
      </c>
      <c r="DI5" s="13" t="n">
        <f aca="false">IF(COUNT('Customer Success'!DI11)=1,'Customer Success'!DI11,"")</f>
        <v>2833.4476563981</v>
      </c>
      <c r="DJ5" s="13" t="n">
        <f aca="false">'Customer Success'!DJ11</f>
        <v>2833.4476563981</v>
      </c>
      <c r="DK5" s="13" t="n">
        <f aca="false">'Customer Success'!DK11</f>
        <v>2796.4776</v>
      </c>
      <c r="DL5" s="12" t="n">
        <f aca="false">IF(COUNT('Customer Success'!DL11)=1,'Customer Success'!DL11,"")</f>
        <v>2742</v>
      </c>
      <c r="DM5" s="12" t="n">
        <f aca="false">'Customer Success'!DM11</f>
        <v>2742</v>
      </c>
      <c r="DN5" s="12" t="n">
        <f aca="false">'Customer Success'!DN11</f>
        <v>2742</v>
      </c>
    </row>
    <row r="6" customFormat="false" ht="15" hidden="false" customHeight="false" outlineLevel="0" collapsed="false">
      <c r="A6" s="14" t="s">
        <v>105</v>
      </c>
      <c r="B6" s="15" t="str">
        <f aca="false">IF(K6&lt;&gt;"",K6,IF(N6&lt;&gt;"",N6,IF(Q6&lt;&gt;"",Q6,IF(T6&lt;&gt;"",T6,IF(W6&lt;&gt;"",W6,IF(Z6&lt;&gt;"",Z6,IF(AC6&lt;&gt;"",AC6,IF(AF6&lt;&gt;"",AF6,IF(AI6&lt;&gt;"",AI6,IF(AL6&lt;&gt;"",AL6,IF(AO6&lt;&gt;"",AO6,IF(AR6&lt;&gt;"",AR6,""))))))))))))</f>
        <v/>
      </c>
      <c r="C6" s="15" t="n">
        <f aca="false">IF(L6&lt;&gt;"",L6,IF(O6&lt;&gt;"",O6,IF(R6&lt;&gt;"",R6,IF(U6&lt;&gt;"",U6,IF(X6&lt;&gt;"",X6,IF(AA6&lt;&gt;"",AA6,IF(AD6&lt;&gt;"",AD6,IF(AG6&lt;&gt;"",AG6,IF(AJ6&lt;&gt;"",AJ6,IF(AM6&lt;&gt;"",AM6,IF(AP6&lt;&gt;"",AP6,IF(AS6&lt;&gt;"",AS6,""))))))))))))</f>
        <v>2442077.32222036</v>
      </c>
      <c r="D6" s="15" t="n">
        <f aca="false">IF(M6&lt;&gt;"",M6,IF(P6&lt;&gt;"",P6,IF(S6&lt;&gt;"",S6,IF(V6&lt;&gt;"",V6,IF(Y6&lt;&gt;"",Y6,IF(AB6&lt;&gt;"",AB6,IF(AE6&lt;&gt;"",AE6,IF(AH6&lt;&gt;"",AH6,IF(AK6&lt;&gt;"",AK6,IF(AN6&lt;&gt;"",AN6,IF(AQ6&lt;&gt;"",AQ6,IF(AT6&lt;&gt;"",AT6,""))))))))))))</f>
        <v>2416063.779</v>
      </c>
      <c r="E6" s="16" t="str">
        <f aca="false">IF(AU6&lt;&gt;"",AU6,IF(AX6&lt;&gt;"",AX6,IF(BA6&lt;&gt;"",BA6,IF(BD6&lt;&gt;"",BD6,IF(BG6&lt;&gt;"",BG6,IF(BJ6&lt;&gt;"",BJ6,IF(BM6&lt;&gt;"",BM6,IF(BP6&lt;&gt;"",BP6,IF(BS6&lt;&gt;"",BS6,IF(BV6&lt;&gt;"",BV6,IF(BY6&lt;&gt;"",BY6,IF(CB6&lt;&gt;"",CB6,""))))))))))))</f>
        <v/>
      </c>
      <c r="F6" s="16" t="n">
        <f aca="false">IF(AV6&lt;&gt;"",AV6,IF(AY6&lt;&gt;"",AY6,IF(BB6&lt;&gt;"",BB6,IF(BE6&lt;&gt;"",BE6,IF(BH6&lt;&gt;"",BH6,IF(BK6&lt;&gt;"",BK6,IF(BN6&lt;&gt;"",BN6,IF(BQ6&lt;&gt;"",BQ6,IF(BT6&lt;&gt;"",BT6,IF(BW6&lt;&gt;"",BW6,IF(BZ6&lt;&gt;"",BZ6,IF(CC6&lt;&gt;"",CC6,""))))))))))))</f>
        <v>1789165.55188105</v>
      </c>
      <c r="G6" s="16" t="n">
        <f aca="false">IF(AW6&lt;&gt;"",AW6,IF(AZ6&lt;&gt;"",AZ6,IF(BC6&lt;&gt;"",BC6,IF(BF6&lt;&gt;"",BF6,IF(BI6&lt;&gt;"",BI6,IF(BL6&lt;&gt;"",BL6,IF(BO6&lt;&gt;"",BO6,IF(BR6&lt;&gt;"",BR6,IF(BU6&lt;&gt;"",BU6,IF(BX6&lt;&gt;"",BX6,IF(CA6&lt;&gt;"",CA6,IF(CD6&lt;&gt;"",CD6,""))))))))))))</f>
        <v>1762752.248087</v>
      </c>
      <c r="H6" s="15" t="n">
        <f aca="false">IF(CE6&lt;&gt;"",CE6,IF(CH6&lt;&gt;"",CH6,IF(CK6&lt;&gt;"",CK6,IF(CN6&lt;&gt;"",CN6,IF(CQ6&lt;&gt;"",CQ6,IF(CT6&lt;&gt;"",CT6,IF(CW6&lt;&gt;"",CW6,IF(CZ6&lt;&gt;"",CZ6,IF(DC6&lt;&gt;"",DC6,IF(DF6&lt;&gt;"",DF6,IF(DI6&lt;&gt;"",DI6,IF(DL6&lt;&gt;"",DL6,""))))))))))))</f>
        <v>1037575.4476564</v>
      </c>
      <c r="I6" s="15" t="n">
        <f aca="false">IF(CF6&lt;&gt;"",CF6,IF(CI6&lt;&gt;"",CI6,IF(CL6&lt;&gt;"",CL6,IF(CO6&lt;&gt;"",CO6,IF(CR6&lt;&gt;"",CR6,IF(CU6&lt;&gt;"",CU6,IF(CX6&lt;&gt;"",CX6,IF(DA6&lt;&gt;"",DA6,IF(DD6&lt;&gt;"",DD6,IF(DG6&lt;&gt;"",DG6,IF(DJ6&lt;&gt;"",DJ6,IF(DM6&lt;&gt;"",DM6,""))))))))))))</f>
        <v>1337598.15018913</v>
      </c>
      <c r="J6" s="15" t="n">
        <f aca="false">IF(CG6&lt;&gt;"",CG6,IF(CJ6&lt;&gt;"",CJ6,IF(CM6&lt;&gt;"",CM6,IF(CP6&lt;&gt;"",CP6,IF(CS6&lt;&gt;"",CS6,IF(CV6&lt;&gt;"",CV6,IF(CY6&lt;&gt;"",CY6,IF(DB6&lt;&gt;"",DB6,IF(DE6&lt;&gt;"",DE6,IF(DH6&lt;&gt;"",DH6,IF(DK6&lt;&gt;"",DK6,IF(DN6&lt;&gt;"",DN6,""))))))))))))</f>
        <v>1311129.235949</v>
      </c>
      <c r="K6" s="16" t="str">
        <f aca="false">IF(COUNT(K3,K4,K5)=3,K3+K4+K5,"")</f>
        <v/>
      </c>
      <c r="L6" s="16" t="n">
        <f aca="false">L3+L4+L5</f>
        <v>2442077.32222036</v>
      </c>
      <c r="M6" s="16" t="n">
        <f aca="false">M3+M4+M5</f>
        <v>2416063.779</v>
      </c>
      <c r="N6" s="15" t="str">
        <f aca="false">IF(COUNT(N3,N4,N5)=3,N3+N4+N5,"")</f>
        <v/>
      </c>
      <c r="O6" s="15" t="n">
        <f aca="false">O3+O4+O5</f>
        <v>2382997.26275961</v>
      </c>
      <c r="P6" s="15" t="n">
        <f aca="false">P3+P4+P5</f>
        <v>2356950.906416</v>
      </c>
      <c r="Q6" s="16" t="str">
        <f aca="false">IF(COUNT(Q3,Q4,Q5)=3,Q3+Q4+Q5,"")</f>
        <v/>
      </c>
      <c r="R6" s="16" t="n">
        <f aca="false">R3+R4+R5</f>
        <v>2324352.76622078</v>
      </c>
      <c r="S6" s="16" t="n">
        <f aca="false">S3+S4+S5</f>
        <v>2298273.857345</v>
      </c>
      <c r="T6" s="15" t="str">
        <f aca="false">IF(COUNT(T3,T4,T5)=3,T3+T4+T5,"")</f>
        <v/>
      </c>
      <c r="U6" s="15" t="n">
        <f aca="false">U3+U4+U5</f>
        <v>2266210.69868097</v>
      </c>
      <c r="V6" s="15" t="n">
        <f aca="false">V3+V4+V5</f>
        <v>2240098.860591</v>
      </c>
      <c r="W6" s="16" t="str">
        <f aca="false">IF(COUNT(W3,W4,W5)=3,W3+W4+W5,"")</f>
        <v/>
      </c>
      <c r="X6" s="16" t="n">
        <f aca="false">X3+X4+X5</f>
        <v>2208501.55491807</v>
      </c>
      <c r="Y6" s="16" t="n">
        <f aca="false">Y3+Y4+Y5</f>
        <v>2182357.052149</v>
      </c>
      <c r="Z6" s="15" t="str">
        <f aca="false">IF(COUNT(Z3,Z4,Z5)=3,Z3+Z4+Z5,"")</f>
        <v/>
      </c>
      <c r="AA6" s="15" t="n">
        <f aca="false">AA3+AA4+AA5</f>
        <v>2151224.33343859</v>
      </c>
      <c r="AB6" s="15" t="n">
        <f aca="false">AB3+AB4+AB5</f>
        <v>2125047.438967</v>
      </c>
      <c r="AC6" s="16" t="str">
        <f aca="false">IF(COUNT(AC3,AC4,AC5)=3,AC3+AC4+AC5,"")</f>
        <v/>
      </c>
      <c r="AD6" s="16" t="n">
        <f aca="false">AD3+AD4+AD5</f>
        <v>2094444.63942965</v>
      </c>
      <c r="AE6" s="16" t="n">
        <f aca="false">AE3+AE4+AE5</f>
        <v>2068234.941846</v>
      </c>
      <c r="AF6" s="15" t="str">
        <f aca="false">IF(COUNT(AF3,AF4,AF5)=3,AF3+AF4+AF5,"")</f>
        <v/>
      </c>
      <c r="AG6" s="15" t="n">
        <f aca="false">AG3+AG4+AG5</f>
        <v>2038095.83632833</v>
      </c>
      <c r="AH6" s="15" t="n">
        <f aca="false">AH3+AH4+AH5</f>
        <v>2011853.598475</v>
      </c>
      <c r="AI6" s="16" t="str">
        <f aca="false">IF(COUNT(AI3,AI4,AI5)=3,AI3+AI4+AI5,"")</f>
        <v/>
      </c>
      <c r="AJ6" s="16" t="n">
        <f aca="false">AJ3+AJ4+AJ5</f>
        <v>1982242.71847953</v>
      </c>
      <c r="AK6" s="16" t="n">
        <f aca="false">AK3+AK4+AK5</f>
        <v>1955967.48538</v>
      </c>
      <c r="AL6" s="15" t="str">
        <f aca="false">IF(COUNT(AL3,AL4,AL5)=3,AL3+AL4+AL5,"")</f>
        <v/>
      </c>
      <c r="AM6" s="15" t="n">
        <f aca="false">AM3+AM4+AM5</f>
        <v>1926883.28803952</v>
      </c>
      <c r="AN6" s="15" t="n">
        <f aca="false">AN3+AN4+AN5</f>
        <v>1900574.577934</v>
      </c>
      <c r="AO6" s="16" t="str">
        <f aca="false">IF(COUNT(AO3,AO4,AO5)=3,AO3+AO4+AO5,"")</f>
        <v/>
      </c>
      <c r="AP6" s="16" t="n">
        <f aca="false">AP3+AP4+AP5</f>
        <v>1871950.48663577</v>
      </c>
      <c r="AQ6" s="16" t="n">
        <f aca="false">AQ3+AQ4+AQ5</f>
        <v>1845608.55654</v>
      </c>
      <c r="AR6" s="15" t="str">
        <f aca="false">IF(COUNT(AR3,AR4,AR5)=3,AR3+AR4+AR5,"")</f>
        <v/>
      </c>
      <c r="AS6" s="15" t="n">
        <f aca="false">AS3+AS4+AS5</f>
        <v>1830431.02476958</v>
      </c>
      <c r="AT6" s="15" t="n">
        <f aca="false">AT3+AT4+AT5</f>
        <v>1804020.957004</v>
      </c>
      <c r="AU6" s="16" t="str">
        <f aca="false">IF(COUNT(AU3,AU4,AU5)=3,AU3+AU4+AU5,"")</f>
        <v/>
      </c>
      <c r="AV6" s="16" t="n">
        <f aca="false">AV3+AV4+AV5</f>
        <v>1789165.55188105</v>
      </c>
      <c r="AW6" s="16" t="n">
        <f aca="false">AW3+AW4+AW5</f>
        <v>1762752.248087</v>
      </c>
      <c r="AX6" s="15" t="str">
        <f aca="false">IF(COUNT(AX3,AX4,AX5)=3,AX3+AX4+AX5,"")</f>
        <v/>
      </c>
      <c r="AY6" s="15" t="n">
        <f aca="false">AY3+AY4+AY5</f>
        <v>1748219.66210855</v>
      </c>
      <c r="AZ6" s="15" t="n">
        <f aca="false">AZ3+AZ4+AZ5</f>
        <v>1721739.190975</v>
      </c>
      <c r="BA6" s="16" t="str">
        <f aca="false">IF(COUNT(BA3,BA4,BA5)=3,BA3+BA4+BA5,"")</f>
        <v/>
      </c>
      <c r="BB6" s="16" t="n">
        <f aca="false">BB3+BB4+BB5</f>
        <v>1707528.12090369</v>
      </c>
      <c r="BC6" s="16" t="n">
        <f aca="false">BC3+BC4+BC5</f>
        <v>1681044.512962</v>
      </c>
      <c r="BD6" s="15" t="str">
        <f aca="false">IF(COUNT(BD3,BD4,BD5)=3,BD3+BD4+BD5,"")</f>
        <v/>
      </c>
      <c r="BE6" s="15" t="n">
        <f aca="false">BE3+BE4+BE5</f>
        <v>1667154.08014186</v>
      </c>
      <c r="BF6" s="15" t="n">
        <f aca="false">BF3+BF4+BF5</f>
        <v>1640666.867247</v>
      </c>
      <c r="BG6" s="16" t="str">
        <f aca="false">IF(COUNT(BG3,BG4,BG5)=3,BG3+BG4+BG5,"")</f>
        <v/>
      </c>
      <c r="BH6" s="16" t="n">
        <f aca="false">BH3+BH4+BH5</f>
        <v>1627033.10606109</v>
      </c>
      <c r="BI6" s="16" t="n">
        <f aca="false">BI3+BI4+BI5</f>
        <v>1600542.669276</v>
      </c>
      <c r="BJ6" s="15" t="str">
        <f aca="false">IF(COUNT(BJ3,BJ4,BJ5)=3,BJ3+BJ4+BJ5,"")</f>
        <v/>
      </c>
      <c r="BK6" s="15" t="n">
        <f aca="false">BK3+BK4+BK5</f>
        <v>1587227.55144917</v>
      </c>
      <c r="BL6" s="15" t="n">
        <f aca="false">BL3+BL4+BL5</f>
        <v>1560733.403277</v>
      </c>
      <c r="BM6" s="16" t="str">
        <f aca="false">IF(COUNT(BM3,BM4,BM5)=3,BM3+BM4+BM5,"")</f>
        <v/>
      </c>
      <c r="BN6" s="16" t="n">
        <f aca="false">BN3+BN4+BN5</f>
        <v>1547673.79705404</v>
      </c>
      <c r="BO6" s="16" t="n">
        <f aca="false">BO3+BO4+BO5</f>
        <v>1521176.332274</v>
      </c>
      <c r="BP6" s="15" t="str">
        <f aca="false">IF(COUNT(BP3,BP4,BP5)=3,BP3+BP4+BP5,"")</f>
        <v/>
      </c>
      <c r="BQ6" s="15" t="n">
        <f aca="false">BQ3+BQ4+BQ5</f>
        <v>1508391.50096901</v>
      </c>
      <c r="BR6" s="15" t="n">
        <f aca="false">BR3+BR4+BR5</f>
        <v>1481890.21217</v>
      </c>
      <c r="BS6" s="16" t="str">
        <f aca="false">IF(COUNT(BS3,BS4,BS5)=3,BS3+BS4+BS5,"")</f>
        <v/>
      </c>
      <c r="BT6" s="16" t="n">
        <f aca="false">BT3+BT4+BT5</f>
        <v>1469379.44274868</v>
      </c>
      <c r="BU6" s="16" t="n">
        <f aca="false">BU3+BU4+BU5</f>
        <v>1442873.802281</v>
      </c>
      <c r="BV6" s="15" t="str">
        <f aca="false">IF(COUNT(BV3,BV4,BV5)=3,BV3+BV4+BV5,"")</f>
        <v/>
      </c>
      <c r="BW6" s="15" t="n">
        <f aca="false">BW3+BW4+BW5</f>
        <v>1430576.9418171</v>
      </c>
      <c r="BX6" s="15" t="n">
        <f aca="false">BX3+BX4+BX5</f>
        <v>1404067.339828</v>
      </c>
      <c r="BY6" s="16" t="str">
        <f aca="false">IF(COUNT(BY3,BY4,BY5)=3,BY3+BY4+BY5,"")</f>
        <v/>
      </c>
      <c r="BZ6" s="16" t="n">
        <f aca="false">BZ3+BZ4+BZ5</f>
        <v>1392044.4317137</v>
      </c>
      <c r="CA6" s="16" t="n">
        <f aca="false">CA3+CA4+CA5</f>
        <v>1365530.293496</v>
      </c>
      <c r="CB6" s="15" t="str">
        <f aca="false">IF(COUNT(CB3,CB4,CB5)=3,CB3+CB4+CB5,"")</f>
        <v/>
      </c>
      <c r="CC6" s="15" t="n">
        <f aca="false">CC3+CC4+CC5</f>
        <v>1364744.10633544</v>
      </c>
      <c r="CD6" s="15" t="n">
        <f aca="false">CD3+CD4+CD5</f>
        <v>1338252.800164</v>
      </c>
      <c r="CE6" s="16" t="str">
        <f aca="false">IF(COUNT(CE3,CE4,CE5)=3,CE3+CE4+CE5,"")</f>
        <v/>
      </c>
      <c r="CF6" s="16" t="n">
        <f aca="false">CF3+CF4+CF5</f>
        <v>1337598.15018913</v>
      </c>
      <c r="CG6" s="16" t="n">
        <f aca="false">CG3+CG4+CG5</f>
        <v>1311129.235949</v>
      </c>
      <c r="CH6" s="15" t="str">
        <f aca="false">IF(COUNT(CH3,CH4,CH5)=3,CH3+CH4+CH5,"")</f>
        <v/>
      </c>
      <c r="CI6" s="15" t="n">
        <f aca="false">CI3+CI4+CI5</f>
        <v>1310605.83472651</v>
      </c>
      <c r="CJ6" s="15" t="n">
        <f aca="false">CJ3+CJ4+CJ5</f>
        <v>1284099.945575</v>
      </c>
      <c r="CK6" s="16" t="str">
        <f aca="false">IF(COUNT(CK3,CK4,CK5)=3,CK3+CK4+CK5,"")</f>
        <v/>
      </c>
      <c r="CL6" s="16" t="n">
        <f aca="false">CL3+CL4+CL5</f>
        <v>1283706.9185022</v>
      </c>
      <c r="CM6" s="16" t="n">
        <f aca="false">CM3+CM4+CM5</f>
        <v>1257223.725769</v>
      </c>
      <c r="CN6" s="15" t="str">
        <f aca="false">IF(COUNT(CN3,CN4,CN5)=3,CN3+CN4+CN5,"")</f>
        <v/>
      </c>
      <c r="CO6" s="15" t="n">
        <f aca="false">CO3+CO4+CO5</f>
        <v>1256960.78831946</v>
      </c>
      <c r="CP6" s="15" t="n">
        <f aca="false">CP3+CP4+CP5</f>
        <v>1230499.836185</v>
      </c>
      <c r="CQ6" s="16" t="str">
        <f aca="false">IF(COUNT(CQ3,CQ4,CQ5)=3,CQ3+CQ4+CQ5,"")</f>
        <v/>
      </c>
      <c r="CR6" s="16" t="n">
        <f aca="false">CR3+CR4+CR5</f>
        <v>1230366.70847815</v>
      </c>
      <c r="CS6" s="16" t="n">
        <f aca="false">CS3+CS4+CS5</f>
        <v>1203869.998785</v>
      </c>
      <c r="CT6" s="15" t="str">
        <f aca="false">IF(COUNT(CT3,CT4,CT5)=3,CT3+CT4+CT5,"")</f>
        <v/>
      </c>
      <c r="CU6" s="15" t="n">
        <f aca="false">CU3+CU4+CU5</f>
        <v>1203865.78790022</v>
      </c>
      <c r="CV6" s="15" t="n">
        <f aca="false">CV3+CV4+CV5</f>
        <v>1177391.631846</v>
      </c>
      <c r="CW6" s="16" t="str">
        <f aca="false">IF(COUNT(CW3,CW4,CW5)=3,CW3+CW4+CW5,"")</f>
        <v/>
      </c>
      <c r="CX6" s="16" t="n">
        <f aca="false">CX3+CX4+CX5</f>
        <v>1177516.06136902</v>
      </c>
      <c r="CY6" s="16" t="n">
        <f aca="false">CY3+CY4+CY5</f>
        <v>1151063.985124</v>
      </c>
      <c r="CZ6" s="15" t="str">
        <f aca="false">IF(COUNT(CZ3,CZ4,CZ5)=3,CZ3+CZ4+CZ5,"")</f>
        <v/>
      </c>
      <c r="DA6" s="15" t="n">
        <f aca="false">DA3+DA4+DA5</f>
        <v>1151316.78440544</v>
      </c>
      <c r="DB6" s="15" t="n">
        <f aca="false">DB3+DB4+DB5</f>
        <v>1124830.219141</v>
      </c>
      <c r="DC6" s="16" t="str">
        <f aca="false">IF(COUNT(DC3,DC4,DC5)=3,DC3+DC4+DC5,"")</f>
        <v/>
      </c>
      <c r="DD6" s="16" t="n">
        <f aca="false">DD3+DD4+DD5</f>
        <v>1125211.94154308</v>
      </c>
      <c r="DE6" s="16" t="n">
        <f aca="false">DE3+DE4+DE5</f>
        <v>1098747.753763</v>
      </c>
      <c r="DF6" s="15" t="str">
        <f aca="false">IF(COUNT(DF3,DF4,DF5)=3,DF3+DF4+DF5,"")</f>
        <v/>
      </c>
      <c r="DG6" s="15" t="n">
        <f aca="false">DG3+DG4+DG5</f>
        <v>1086062.34875488</v>
      </c>
      <c r="DH6" s="15" t="n">
        <f aca="false">DH3+DH4+DH5</f>
        <v>1049966.122585</v>
      </c>
      <c r="DI6" s="16" t="n">
        <f aca="false">IF(COUNT(DI3,DI4,DI5)=3,DI3+DI4+DI5,"")</f>
        <v>1037575.4476564</v>
      </c>
      <c r="DJ6" s="16" t="n">
        <f aca="false">DJ3+DJ4+DJ5</f>
        <v>1037575.4476564</v>
      </c>
      <c r="DK6" s="16" t="n">
        <f aca="false">DK3+DK4+DK5</f>
        <v>1001538.4776</v>
      </c>
      <c r="DL6" s="15" t="n">
        <f aca="false">IF(COUNT(DL3,DL4,DL5)=3,DL3+DL4+DL5,"")</f>
        <v>1021542</v>
      </c>
      <c r="DM6" s="15" t="n">
        <f aca="false">DM3+DM4+DM5</f>
        <v>1021542</v>
      </c>
      <c r="DN6" s="15" t="n">
        <f aca="false">DN3+DN4+DN5</f>
        <v>998742</v>
      </c>
    </row>
    <row r="7" customFormat="false" ht="15" hidden="false" customHeight="false" outlineLevel="0" collapsed="false">
      <c r="A7" s="5" t="s">
        <v>106</v>
      </c>
      <c r="B7" s="12" t="str">
        <f aca="false">IF(COUNT(AR7,AO7,AL7,AI7,AF7,AC7,Z7,W7,T7,Q7,N7,K7)=0,"",SUM(AR7,AO7,AL7,AI7,AF7,AC7,Z7,W7,T7,Q7,N7,K7))</f>
        <v/>
      </c>
      <c r="C7" s="12" t="n">
        <f aca="false">IF(COUNT(AS7,AP7,AM7,AJ7,AG7,AD7,AA7,X7,U7,R7,O7,L7)=0,"",SUM(AS7,AP7,AM7,AJ7,AG7,AD7,AA7,X7,U7,R7,O7,L7))</f>
        <v>25519411.9319208</v>
      </c>
      <c r="D7" s="12" t="n">
        <f aca="false">IF(COUNT(AT7,AQ7,AN7,AK7,AH7,AE7,AB7,Y7,V7,S7,P7,M7)=0,"",SUM(AT7,AQ7,AN7,AK7,AH7,AE7,AB7,Y7,V7,S7,P7,M7))</f>
        <v>25205052.011647</v>
      </c>
      <c r="E7" s="13" t="str">
        <f aca="false">IF(COUNT(CB7,BY7,BV7,BS7,BP7,BM7,BJ7,BG7,BD7,BA7,AX7,AU7)=0,"",SUM(CB7,BY7,BV7,BS7,BP7,BM7,BJ7,BG7,BD7,BA7,AX7,AU7))</f>
        <v/>
      </c>
      <c r="F7" s="13" t="n">
        <f aca="false">IF(COUNT(CC7,BZ7,BW7,BT7,BQ7,BN7,BK7,BH7,BE7,BB7,AY7,AV7)=0,"",SUM(CC7,BZ7,BW7,BT7,BQ7,BN7,BK7,BH7,BE7,BB7,AY7,AV7))</f>
        <v>18839138.2931834</v>
      </c>
      <c r="G7" s="13" t="n">
        <f aca="false">IF(COUNT(CD7,CA7,BX7,BU7,BR7,BO7,BL7,BI7,BF7,BC7,AZ7,AW7)=0,"",SUM(CD7,CA7,BX7,BU7,BR7,BO7,BL7,BI7,BF7,BC7,AZ7,AW7))</f>
        <v>18521269.672037</v>
      </c>
      <c r="H7" s="12" t="n">
        <f aca="false">IF(COUNT(DL7,DI7,DF7,DC7,CZ7,CW7,CT7,CQ7,CN7,CK7,CH7,CE7)=0,"",SUM(DL7,DI7,DF7,DC7,CZ7,CW7,CT7,CQ7,CN7,CK7,CH7,CE7))</f>
        <v>2059117.4476564</v>
      </c>
      <c r="I7" s="12" t="n">
        <f aca="false">IF(COUNT(DM7,DJ7,DG7,DD7,DA7,CX7,CU7,CR7,CO7,CL7,CI7,CF7)=0,"",SUM(DM7,DJ7,DG7,DD7,DA7,CX7,CU7,CR7,CO7,CL7,CI7,CF7))</f>
        <v>14222328.7718445</v>
      </c>
      <c r="J7" s="12" t="n">
        <f aca="false">IF(COUNT(DN7,DK7,DH7,DE7,DB7,CY7,CV7,CS7,CP7,CM7,CJ7,CG7)=0,"",SUM(DN7,DK7,DH7,DE7,DB7,CY7,CV7,CS7,CP7,CM7,CJ7,CG7))</f>
        <v>13889102.932322</v>
      </c>
      <c r="K7" s="13" t="str">
        <f aca="false">IF(COUNT(K6)=1,K6,"")</f>
        <v/>
      </c>
      <c r="L7" s="13" t="n">
        <f aca="false">L6</f>
        <v>2442077.32222036</v>
      </c>
      <c r="M7" s="13" t="n">
        <f aca="false">M6</f>
        <v>2416063.779</v>
      </c>
      <c r="N7" s="12" t="str">
        <f aca="false">IF(COUNT(N6)=1,N6,"")</f>
        <v/>
      </c>
      <c r="O7" s="12" t="n">
        <f aca="false">O6</f>
        <v>2382997.26275961</v>
      </c>
      <c r="P7" s="12" t="n">
        <f aca="false">P6</f>
        <v>2356950.906416</v>
      </c>
      <c r="Q7" s="13" t="str">
        <f aca="false">IF(COUNT(Q6)=1,Q6,"")</f>
        <v/>
      </c>
      <c r="R7" s="13" t="n">
        <f aca="false">R6</f>
        <v>2324352.76622078</v>
      </c>
      <c r="S7" s="13" t="n">
        <f aca="false">S6</f>
        <v>2298273.857345</v>
      </c>
      <c r="T7" s="12" t="str">
        <f aca="false">IF(COUNT(T6)=1,T6,"")</f>
        <v/>
      </c>
      <c r="U7" s="12" t="n">
        <f aca="false">U6</f>
        <v>2266210.69868097</v>
      </c>
      <c r="V7" s="12" t="n">
        <f aca="false">V6</f>
        <v>2240098.860591</v>
      </c>
      <c r="W7" s="13" t="str">
        <f aca="false">IF(COUNT(W6)=1,W6,"")</f>
        <v/>
      </c>
      <c r="X7" s="13" t="n">
        <f aca="false">X6</f>
        <v>2208501.55491807</v>
      </c>
      <c r="Y7" s="13" t="n">
        <f aca="false">Y6</f>
        <v>2182357.052149</v>
      </c>
      <c r="Z7" s="12" t="str">
        <f aca="false">IF(COUNT(Z6)=1,Z6,"")</f>
        <v/>
      </c>
      <c r="AA7" s="12" t="n">
        <f aca="false">AA6</f>
        <v>2151224.33343859</v>
      </c>
      <c r="AB7" s="12" t="n">
        <f aca="false">AB6</f>
        <v>2125047.438967</v>
      </c>
      <c r="AC7" s="13" t="str">
        <f aca="false">IF(COUNT(AC6)=1,AC6,"")</f>
        <v/>
      </c>
      <c r="AD7" s="13" t="n">
        <f aca="false">AD6</f>
        <v>2094444.63942965</v>
      </c>
      <c r="AE7" s="13" t="n">
        <f aca="false">AE6</f>
        <v>2068234.941846</v>
      </c>
      <c r="AF7" s="12" t="str">
        <f aca="false">IF(COUNT(AF6)=1,AF6,"")</f>
        <v/>
      </c>
      <c r="AG7" s="12" t="n">
        <f aca="false">AG6</f>
        <v>2038095.83632833</v>
      </c>
      <c r="AH7" s="12" t="n">
        <f aca="false">AH6</f>
        <v>2011853.598475</v>
      </c>
      <c r="AI7" s="13" t="str">
        <f aca="false">IF(COUNT(AI6)=1,AI6,"")</f>
        <v/>
      </c>
      <c r="AJ7" s="13" t="n">
        <f aca="false">AJ6</f>
        <v>1982242.71847953</v>
      </c>
      <c r="AK7" s="13" t="n">
        <f aca="false">AK6</f>
        <v>1955967.48538</v>
      </c>
      <c r="AL7" s="12" t="str">
        <f aca="false">IF(COUNT(AL6)=1,AL6,"")</f>
        <v/>
      </c>
      <c r="AM7" s="12" t="n">
        <f aca="false">AM6</f>
        <v>1926883.28803952</v>
      </c>
      <c r="AN7" s="12" t="n">
        <f aca="false">AN6</f>
        <v>1900574.577934</v>
      </c>
      <c r="AO7" s="13" t="str">
        <f aca="false">IF(COUNT(AO6)=1,AO6,"")</f>
        <v/>
      </c>
      <c r="AP7" s="13" t="n">
        <f aca="false">AP6</f>
        <v>1871950.48663577</v>
      </c>
      <c r="AQ7" s="13" t="n">
        <f aca="false">AQ6</f>
        <v>1845608.55654</v>
      </c>
      <c r="AR7" s="12" t="str">
        <f aca="false">IF(COUNT(AR6)=1,AR6,"")</f>
        <v/>
      </c>
      <c r="AS7" s="12" t="n">
        <f aca="false">AS6</f>
        <v>1830431.02476958</v>
      </c>
      <c r="AT7" s="12" t="n">
        <f aca="false">AT6</f>
        <v>1804020.957004</v>
      </c>
      <c r="AU7" s="13" t="str">
        <f aca="false">IF(COUNT(AU6)=1,AU6,"")</f>
        <v/>
      </c>
      <c r="AV7" s="13" t="n">
        <f aca="false">AV6</f>
        <v>1789165.55188105</v>
      </c>
      <c r="AW7" s="13" t="n">
        <f aca="false">AW6</f>
        <v>1762752.248087</v>
      </c>
      <c r="AX7" s="12" t="str">
        <f aca="false">IF(COUNT(AX6)=1,AX6,"")</f>
        <v/>
      </c>
      <c r="AY7" s="12" t="n">
        <f aca="false">AY6</f>
        <v>1748219.66210855</v>
      </c>
      <c r="AZ7" s="12" t="n">
        <f aca="false">AZ6</f>
        <v>1721739.190975</v>
      </c>
      <c r="BA7" s="13" t="str">
        <f aca="false">IF(COUNT(BA6)=1,BA6,"")</f>
        <v/>
      </c>
      <c r="BB7" s="13" t="n">
        <f aca="false">BB6</f>
        <v>1707528.12090369</v>
      </c>
      <c r="BC7" s="13" t="n">
        <f aca="false">BC6</f>
        <v>1681044.512962</v>
      </c>
      <c r="BD7" s="12" t="str">
        <f aca="false">IF(COUNT(BD6)=1,BD6,"")</f>
        <v/>
      </c>
      <c r="BE7" s="12" t="n">
        <f aca="false">BE6</f>
        <v>1667154.08014186</v>
      </c>
      <c r="BF7" s="12" t="n">
        <f aca="false">BF6</f>
        <v>1640666.867247</v>
      </c>
      <c r="BG7" s="13" t="str">
        <f aca="false">IF(COUNT(BG6)=1,BG6,"")</f>
        <v/>
      </c>
      <c r="BH7" s="13" t="n">
        <f aca="false">BH6</f>
        <v>1627033.10606109</v>
      </c>
      <c r="BI7" s="13" t="n">
        <f aca="false">BI6</f>
        <v>1600542.669276</v>
      </c>
      <c r="BJ7" s="12" t="str">
        <f aca="false">IF(COUNT(BJ6)=1,BJ6,"")</f>
        <v/>
      </c>
      <c r="BK7" s="12" t="n">
        <f aca="false">BK6</f>
        <v>1587227.55144917</v>
      </c>
      <c r="BL7" s="12" t="n">
        <f aca="false">BL6</f>
        <v>1560733.403277</v>
      </c>
      <c r="BM7" s="13" t="str">
        <f aca="false">IF(COUNT(BM6)=1,BM6,"")</f>
        <v/>
      </c>
      <c r="BN7" s="13" t="n">
        <f aca="false">BN6</f>
        <v>1547673.79705404</v>
      </c>
      <c r="BO7" s="13" t="n">
        <f aca="false">BO6</f>
        <v>1521176.332274</v>
      </c>
      <c r="BP7" s="12" t="str">
        <f aca="false">IF(COUNT(BP6)=1,BP6,"")</f>
        <v/>
      </c>
      <c r="BQ7" s="12" t="n">
        <f aca="false">BQ6</f>
        <v>1508391.50096901</v>
      </c>
      <c r="BR7" s="12" t="n">
        <f aca="false">BR6</f>
        <v>1481890.21217</v>
      </c>
      <c r="BS7" s="13" t="str">
        <f aca="false">IF(COUNT(BS6)=1,BS6,"")</f>
        <v/>
      </c>
      <c r="BT7" s="13" t="n">
        <f aca="false">BT6</f>
        <v>1469379.44274868</v>
      </c>
      <c r="BU7" s="13" t="n">
        <f aca="false">BU6</f>
        <v>1442873.802281</v>
      </c>
      <c r="BV7" s="12" t="str">
        <f aca="false">IF(COUNT(BV6)=1,BV6,"")</f>
        <v/>
      </c>
      <c r="BW7" s="12" t="n">
        <f aca="false">BW6</f>
        <v>1430576.9418171</v>
      </c>
      <c r="BX7" s="12" t="n">
        <f aca="false">BX6</f>
        <v>1404067.339828</v>
      </c>
      <c r="BY7" s="13" t="str">
        <f aca="false">IF(COUNT(BY6)=1,BY6,"")</f>
        <v/>
      </c>
      <c r="BZ7" s="13" t="n">
        <f aca="false">BZ6</f>
        <v>1392044.4317137</v>
      </c>
      <c r="CA7" s="13" t="n">
        <f aca="false">CA6</f>
        <v>1365530.293496</v>
      </c>
      <c r="CB7" s="12" t="str">
        <f aca="false">IF(COUNT(CB6)=1,CB6,"")</f>
        <v/>
      </c>
      <c r="CC7" s="12" t="n">
        <f aca="false">CC6</f>
        <v>1364744.10633544</v>
      </c>
      <c r="CD7" s="12" t="n">
        <f aca="false">CD6</f>
        <v>1338252.800164</v>
      </c>
      <c r="CE7" s="13" t="str">
        <f aca="false">IF(COUNT(CE6)=1,CE6,"")</f>
        <v/>
      </c>
      <c r="CF7" s="13" t="n">
        <f aca="false">CF6</f>
        <v>1337598.15018913</v>
      </c>
      <c r="CG7" s="13" t="n">
        <f aca="false">CG6</f>
        <v>1311129.235949</v>
      </c>
      <c r="CH7" s="12" t="str">
        <f aca="false">IF(COUNT(CH6)=1,CH6,"")</f>
        <v/>
      </c>
      <c r="CI7" s="12" t="n">
        <f aca="false">CI6</f>
        <v>1310605.83472651</v>
      </c>
      <c r="CJ7" s="12" t="n">
        <f aca="false">CJ6</f>
        <v>1284099.945575</v>
      </c>
      <c r="CK7" s="13" t="str">
        <f aca="false">IF(COUNT(CK6)=1,CK6,"")</f>
        <v/>
      </c>
      <c r="CL7" s="13" t="n">
        <f aca="false">CL6</f>
        <v>1283706.9185022</v>
      </c>
      <c r="CM7" s="13" t="n">
        <f aca="false">CM6</f>
        <v>1257223.725769</v>
      </c>
      <c r="CN7" s="12" t="str">
        <f aca="false">IF(COUNT(CN6)=1,CN6,"")</f>
        <v/>
      </c>
      <c r="CO7" s="12" t="n">
        <f aca="false">CO6</f>
        <v>1256960.78831946</v>
      </c>
      <c r="CP7" s="12" t="n">
        <f aca="false">CP6</f>
        <v>1230499.836185</v>
      </c>
      <c r="CQ7" s="13" t="str">
        <f aca="false">IF(COUNT(CQ6)=1,CQ6,"")</f>
        <v/>
      </c>
      <c r="CR7" s="13" t="n">
        <f aca="false">CR6</f>
        <v>1230366.70847815</v>
      </c>
      <c r="CS7" s="13" t="n">
        <f aca="false">CS6</f>
        <v>1203869.998785</v>
      </c>
      <c r="CT7" s="12" t="str">
        <f aca="false">IF(COUNT(CT6)=1,CT6,"")</f>
        <v/>
      </c>
      <c r="CU7" s="12" t="n">
        <f aca="false">CU6</f>
        <v>1203865.78790022</v>
      </c>
      <c r="CV7" s="12" t="n">
        <f aca="false">CV6</f>
        <v>1177391.631846</v>
      </c>
      <c r="CW7" s="13" t="str">
        <f aca="false">IF(COUNT(CW6)=1,CW6,"")</f>
        <v/>
      </c>
      <c r="CX7" s="13" t="n">
        <f aca="false">CX6</f>
        <v>1177516.06136902</v>
      </c>
      <c r="CY7" s="13" t="n">
        <f aca="false">CY6</f>
        <v>1151063.985124</v>
      </c>
      <c r="CZ7" s="12" t="str">
        <f aca="false">IF(COUNT(CZ6)=1,CZ6,"")</f>
        <v/>
      </c>
      <c r="DA7" s="12" t="n">
        <f aca="false">DA6</f>
        <v>1151316.78440544</v>
      </c>
      <c r="DB7" s="12" t="n">
        <f aca="false">DB6</f>
        <v>1124830.219141</v>
      </c>
      <c r="DC7" s="13" t="str">
        <f aca="false">IF(COUNT(DC6)=1,DC6,"")</f>
        <v/>
      </c>
      <c r="DD7" s="13" t="n">
        <f aca="false">DD6</f>
        <v>1125211.94154308</v>
      </c>
      <c r="DE7" s="13" t="n">
        <f aca="false">DE6</f>
        <v>1098747.753763</v>
      </c>
      <c r="DF7" s="12" t="str">
        <f aca="false">IF(COUNT(DF6)=1,DF6,"")</f>
        <v/>
      </c>
      <c r="DG7" s="12" t="n">
        <f aca="false">DG6</f>
        <v>1086062.34875488</v>
      </c>
      <c r="DH7" s="12" t="n">
        <f aca="false">DH6</f>
        <v>1049966.122585</v>
      </c>
      <c r="DI7" s="13" t="n">
        <f aca="false">IF(COUNT(DI6)=1,DI6,"")</f>
        <v>1037575.4476564</v>
      </c>
      <c r="DJ7" s="13" t="n">
        <f aca="false">DJ6</f>
        <v>1037575.4476564</v>
      </c>
      <c r="DK7" s="13" t="n">
        <f aca="false">DK6</f>
        <v>1001538.4776</v>
      </c>
      <c r="DL7" s="12" t="n">
        <f aca="false">IF(COUNT(DL6)=1,DL6,"")</f>
        <v>1021542</v>
      </c>
      <c r="DM7" s="12" t="n">
        <f aca="false">DM6</f>
        <v>1021542</v>
      </c>
      <c r="DN7" s="12" t="n">
        <f aca="false">DN6</f>
        <v>998742</v>
      </c>
    </row>
    <row r="8" customFormat="false" ht="15" hidden="false" customHeight="false" outlineLevel="0" collapsed="false">
      <c r="A8" s="5" t="s">
        <v>107</v>
      </c>
      <c r="B8" s="12" t="n">
        <f aca="false">IF(COUNT(AR8,AO8,AL8,AI8,AF8,AC8,Z8,W8,T8,Q8,N8,K8)=0,"",SUM(AR8,AO8,AL8,AI8,AF8,AC8,Z8,W8,T8,Q8,N8,K8))</f>
        <v>0</v>
      </c>
      <c r="C8" s="12" t="n">
        <f aca="false">IF(COUNT(AS8,AP8,AM8,AJ8,AG8,AD8,AA8,X8,U8,R8,O8,L8)=0,"",SUM(AS8,AP8,AM8,AJ8,AG8,AD8,AA8,X8,U8,R8,O8,L8))</f>
        <v>20762206.9319208</v>
      </c>
      <c r="D8" s="12" t="n">
        <f aca="false">IF(COUNT(AT8,AQ8,AN8,AK8,AH8,AE8,AB8,Y8,V8,S8,P8,M8)=0,"",SUM(AT8,AQ8,AN8,AK8,AH8,AE8,AB8,Y8,V8,S8,P8,M8))</f>
        <v>20452707.012</v>
      </c>
      <c r="E8" s="13" t="n">
        <f aca="false">IF(COUNT(CB8,BY8,BV8,BS8,BP8,BM8,BJ8,BG8,BD8,BA8,AX8,AU8)=0,"",SUM(CB8,BY8,BV8,BS8,BP8,BM8,BJ8,BG8,BD8,BA8,AX8,AU8))</f>
        <v>0</v>
      </c>
      <c r="F8" s="13" t="n">
        <f aca="false">IF(COUNT(CC8,BZ8,BW8,BT8,BQ8,BN8,BK8,BH8,BE8,BB8,AY8,AV8)=0,"",SUM(CC8,BZ8,BW8,BT8,BQ8,BN8,BK8,BH8,BE8,BB8,AY8,AV8))</f>
        <v>15047823.2931834</v>
      </c>
      <c r="G8" s="13" t="n">
        <f aca="false">IF(COUNT(CD8,CA8,BX8,BU8,BR8,BO8,BL8,BI8,BF8,BC8,AZ8,AW8)=0,"",SUM(CD8,CA8,BX8,BU8,BR8,BO8,BL8,BI8,BF8,BC8,AZ8,AW8))</f>
        <v>14734814.672</v>
      </c>
      <c r="H8" s="12" t="n">
        <f aca="false">IF(COUNT(DL8,DI8,DF8,DC8,CZ8,CW8,CT8,CQ8,CN8,CK8,CH8,CE8)=0,"",SUM(DL8,DI8,DF8,DC8,CZ8,CW8,CT8,CQ8,CN8,CK8,CH8,CE8))</f>
        <v>1593167.4476564</v>
      </c>
      <c r="I8" s="12" t="n">
        <f aca="false">IF(COUNT(DM8,DJ8,DG8,DD8,DA8,CX8,CU8,CR8,CO8,CL8,CI8,CF8)=0,"",SUM(DM8,DJ8,DG8,DD8,DA8,CX8,CU8,CR8,CO8,CL8,CI8,CF8))</f>
        <v>11185878.7718445</v>
      </c>
      <c r="J8" s="12" t="n">
        <f aca="false">IF(COUNT(DN8,DK8,DH8,DE8,DB8,CY8,CV8,CS8,CP8,CM8,CJ8,CG8)=0,"",SUM(DN8,DK8,DH8,DE8,DB8,CY8,CV8,CS8,CP8,CM8,CJ8,CG8))</f>
        <v>10866347.932</v>
      </c>
      <c r="K8" s="13" t="n">
        <f aca="false">K7-Engineering!K11-Support!K25-Sales!K19</f>
        <v>0</v>
      </c>
      <c r="L8" s="13" t="n">
        <f aca="false">L7-Engineering!L11-Support!L25-Sales!L19</f>
        <v>2020897.32222036</v>
      </c>
      <c r="M8" s="13" t="n">
        <f aca="false">M7-Engineering!M11-Support!M25-Sales!M19</f>
        <v>1995288.779</v>
      </c>
      <c r="N8" s="12" t="n">
        <f aca="false">N7-Engineering!N11-Support!N25-Sales!N19</f>
        <v>0</v>
      </c>
      <c r="O8" s="12" t="n">
        <f aca="false">O7-Engineering!O11-Support!O25-Sales!O19</f>
        <v>1965732.26275961</v>
      </c>
      <c r="P8" s="12" t="n">
        <f aca="false">P7-Engineering!P11-Support!P25-Sales!P19</f>
        <v>1940090.906</v>
      </c>
      <c r="Q8" s="13" t="n">
        <f aca="false">Q7-Engineering!Q11-Support!Q25-Sales!Q19</f>
        <v>0</v>
      </c>
      <c r="R8" s="13" t="n">
        <f aca="false">R7-Engineering!R11-Support!R25-Sales!R19</f>
        <v>1911002.76622078</v>
      </c>
      <c r="S8" s="13" t="n">
        <f aca="false">S7-Engineering!S11-Support!S25-Sales!S19</f>
        <v>1885328.858</v>
      </c>
      <c r="T8" s="12" t="n">
        <f aca="false">T7-Engineering!T11-Support!T25-Sales!T19</f>
        <v>0</v>
      </c>
      <c r="U8" s="12" t="n">
        <f aca="false">U7-Engineering!U11-Support!U25-Sales!U19</f>
        <v>1856775.69868097</v>
      </c>
      <c r="V8" s="12" t="n">
        <f aca="false">V7-Engineering!V11-Support!V25-Sales!V19</f>
        <v>1831068.86</v>
      </c>
      <c r="W8" s="13" t="n">
        <f aca="false">W7-Engineering!W11-Support!W25-Sales!W19</f>
        <v>0</v>
      </c>
      <c r="X8" s="13" t="n">
        <f aca="false">X7-Engineering!X11-Support!X25-Sales!X19</f>
        <v>1802981.55491807</v>
      </c>
      <c r="Y8" s="13" t="n">
        <f aca="false">Y7-Engineering!Y11-Support!Y25-Sales!Y19</f>
        <v>1777242.052</v>
      </c>
      <c r="Z8" s="12" t="n">
        <f aca="false">Z7-Engineering!Z11-Support!Z25-Sales!Z19</f>
        <v>0</v>
      </c>
      <c r="AA8" s="12" t="n">
        <f aca="false">AA7-Engineering!AA11-Support!AA25-Sales!AA19</f>
        <v>1749619.33343859</v>
      </c>
      <c r="AB8" s="12" t="n">
        <f aca="false">AB7-Engineering!AB11-Support!AB25-Sales!AB19</f>
        <v>1723847.439</v>
      </c>
      <c r="AC8" s="13" t="n">
        <f aca="false">AC7-Engineering!AC11-Support!AC25-Sales!AC19</f>
        <v>0</v>
      </c>
      <c r="AD8" s="13" t="n">
        <f aca="false">AD7-Engineering!AD11-Support!AD25-Sales!AD19</f>
        <v>1696889.63942965</v>
      </c>
      <c r="AE8" s="13" t="n">
        <f aca="false">AE7-Engineering!AE11-Support!AE25-Sales!AE19</f>
        <v>1671084.942</v>
      </c>
      <c r="AF8" s="12" t="n">
        <f aca="false">AF7-Engineering!AF11-Support!AF25-Sales!AF19</f>
        <v>0</v>
      </c>
      <c r="AG8" s="12" t="n">
        <f aca="false">AG7-Engineering!AG11-Support!AG25-Sales!AG19</f>
        <v>1644590.83632833</v>
      </c>
      <c r="AH8" s="12" t="n">
        <f aca="false">AH7-Engineering!AH11-Support!AH25-Sales!AH19</f>
        <v>1618753.599</v>
      </c>
      <c r="AI8" s="13" t="n">
        <f aca="false">AI7-Engineering!AI11-Support!AI25-Sales!AI19</f>
        <v>0</v>
      </c>
      <c r="AJ8" s="13" t="n">
        <f aca="false">AJ7-Engineering!AJ11-Support!AJ25-Sales!AJ19</f>
        <v>1592787.71847953</v>
      </c>
      <c r="AK8" s="13" t="n">
        <f aca="false">AK7-Engineering!AK11-Support!AK25-Sales!AK19</f>
        <v>1566917.485</v>
      </c>
      <c r="AL8" s="12" t="n">
        <f aca="false">AL7-Engineering!AL11-Support!AL25-Sales!AL19</f>
        <v>0</v>
      </c>
      <c r="AM8" s="12" t="n">
        <f aca="false">AM7-Engineering!AM11-Support!AM25-Sales!AM19</f>
        <v>1541478.28803952</v>
      </c>
      <c r="AN8" s="12" t="n">
        <f aca="false">AN7-Engineering!AN11-Support!AN25-Sales!AN19</f>
        <v>1515574.578</v>
      </c>
      <c r="AO8" s="13" t="n">
        <f aca="false">AO7-Engineering!AO11-Support!AO25-Sales!AO19</f>
        <v>0</v>
      </c>
      <c r="AP8" s="13" t="n">
        <f aca="false">AP7-Engineering!AP11-Support!AP25-Sales!AP19</f>
        <v>1499135.48663577</v>
      </c>
      <c r="AQ8" s="13" t="n">
        <f aca="false">AQ7-Engineering!AQ11-Support!AQ25-Sales!AQ19</f>
        <v>1473198.557</v>
      </c>
      <c r="AR8" s="12" t="n">
        <f aca="false">AR7-Engineering!AR11-Support!AR25-Sales!AR19</f>
        <v>0</v>
      </c>
      <c r="AS8" s="12" t="n">
        <f aca="false">AS7-Engineering!AS11-Support!AS25-Sales!AS19</f>
        <v>1480316.02476958</v>
      </c>
      <c r="AT8" s="12" t="n">
        <f aca="false">AT7-Engineering!AT11-Support!AT25-Sales!AT19</f>
        <v>1454310.957</v>
      </c>
      <c r="AU8" s="13" t="n">
        <f aca="false">AU7-Engineering!AU11-Support!AU25-Sales!AU19</f>
        <v>0</v>
      </c>
      <c r="AV8" s="13" t="n">
        <f aca="false">AV7-Engineering!AV11-Support!AV25-Sales!AV19</f>
        <v>1441885.55188105</v>
      </c>
      <c r="AW8" s="13" t="n">
        <f aca="false">AW7-Engineering!AW11-Support!AW25-Sales!AW19</f>
        <v>1415877.248</v>
      </c>
      <c r="AX8" s="12" t="n">
        <f aca="false">AX7-Engineering!AX11-Support!AX25-Sales!AX19</f>
        <v>0</v>
      </c>
      <c r="AY8" s="12" t="n">
        <f aca="false">AY7-Engineering!AY11-Support!AY25-Sales!AY19</f>
        <v>1403774.66210855</v>
      </c>
      <c r="AZ8" s="12" t="n">
        <f aca="false">AZ7-Engineering!AZ11-Support!AZ25-Sales!AZ19</f>
        <v>1377699.191</v>
      </c>
      <c r="BA8" s="13" t="n">
        <f aca="false">BA7-Engineering!BA11-Support!BA25-Sales!BA19</f>
        <v>0</v>
      </c>
      <c r="BB8" s="13" t="n">
        <f aca="false">BB7-Engineering!BB11-Support!BB25-Sales!BB19</f>
        <v>1365918.12090369</v>
      </c>
      <c r="BC8" s="13" t="n">
        <f aca="false">BC7-Engineering!BC11-Support!BC25-Sales!BC19</f>
        <v>1339839.513</v>
      </c>
      <c r="BD8" s="12" t="n">
        <f aca="false">BD7-Engineering!BD11-Support!BD25-Sales!BD19</f>
        <v>0</v>
      </c>
      <c r="BE8" s="12" t="n">
        <f aca="false">BE7-Engineering!BE11-Support!BE25-Sales!BE19</f>
        <v>1328379.08014186</v>
      </c>
      <c r="BF8" s="12" t="n">
        <f aca="false">BF7-Engineering!BF11-Support!BF25-Sales!BF19</f>
        <v>1302296.867</v>
      </c>
      <c r="BG8" s="13" t="n">
        <f aca="false">BG7-Engineering!BG11-Support!BG25-Sales!BG19</f>
        <v>0</v>
      </c>
      <c r="BH8" s="13" t="n">
        <f aca="false">BH7-Engineering!BH11-Support!BH25-Sales!BH19</f>
        <v>1299633.10606109</v>
      </c>
      <c r="BI8" s="13" t="n">
        <f aca="false">BI7-Engineering!BI11-Support!BI25-Sales!BI19</f>
        <v>1273547.669</v>
      </c>
      <c r="BJ8" s="12" t="n">
        <f aca="false">BJ7-Engineering!BJ11-Support!BJ25-Sales!BJ19</f>
        <v>0</v>
      </c>
      <c r="BK8" s="12" t="n">
        <f aca="false">BK7-Engineering!BK11-Support!BK25-Sales!BK19</f>
        <v>1273642.55144917</v>
      </c>
      <c r="BL8" s="12" t="n">
        <f aca="false">BL7-Engineering!BL11-Support!BL25-Sales!BL19</f>
        <v>1247553.403</v>
      </c>
      <c r="BM8" s="13" t="n">
        <f aca="false">BM7-Engineering!BM11-Support!BM25-Sales!BM19</f>
        <v>0</v>
      </c>
      <c r="BN8" s="13" t="n">
        <f aca="false">BN7-Engineering!BN11-Support!BN25-Sales!BN19</f>
        <v>1236923.79705404</v>
      </c>
      <c r="BO8" s="13" t="n">
        <f aca="false">BO7-Engineering!BO11-Support!BO25-Sales!BO19</f>
        <v>1210831.333</v>
      </c>
      <c r="BP8" s="12" t="n">
        <f aca="false">BP7-Engineering!BP11-Support!BP25-Sales!BP19</f>
        <v>0</v>
      </c>
      <c r="BQ8" s="12" t="n">
        <f aca="false">BQ7-Engineering!BQ11-Support!BQ25-Sales!BQ19</f>
        <v>1200476.50096901</v>
      </c>
      <c r="BR8" s="12" t="n">
        <f aca="false">BR7-Engineering!BR11-Support!BR25-Sales!BR19</f>
        <v>1174380.212</v>
      </c>
      <c r="BS8" s="13" t="n">
        <f aca="false">BS7-Engineering!BS11-Support!BS25-Sales!BS19</f>
        <v>0</v>
      </c>
      <c r="BT8" s="13" t="n">
        <f aca="false">BT7-Engineering!BT11-Support!BT25-Sales!BT19</f>
        <v>1164434.44274868</v>
      </c>
      <c r="BU8" s="13" t="n">
        <f aca="false">BU7-Engineering!BU11-Support!BU25-Sales!BU19</f>
        <v>1138333.802</v>
      </c>
      <c r="BV8" s="12" t="n">
        <f aca="false">BV7-Engineering!BV11-Support!BV25-Sales!BV19</f>
        <v>0</v>
      </c>
      <c r="BW8" s="12" t="n">
        <f aca="false">BW7-Engineering!BW11-Support!BW25-Sales!BW19</f>
        <v>1137141.9418171</v>
      </c>
      <c r="BX8" s="12" t="n">
        <f aca="false">BX7-Engineering!BX11-Support!BX25-Sales!BX19</f>
        <v>1111037.34</v>
      </c>
      <c r="BY8" s="13" t="n">
        <f aca="false">BY7-Engineering!BY11-Support!BY25-Sales!BY19</f>
        <v>0</v>
      </c>
      <c r="BZ8" s="13" t="n">
        <f aca="false">BZ7-Engineering!BZ11-Support!BZ25-Sales!BZ19</f>
        <v>1101579.4317137</v>
      </c>
      <c r="CA8" s="13" t="n">
        <f aca="false">CA7-Engineering!CA11-Support!CA25-Sales!CA19</f>
        <v>1075470.294</v>
      </c>
      <c r="CB8" s="12" t="n">
        <f aca="false">CB7-Engineering!CB11-Support!CB25-Sales!CB19</f>
        <v>0</v>
      </c>
      <c r="CC8" s="12" t="n">
        <f aca="false">CC7-Engineering!CC11-Support!CC25-Sales!CC19</f>
        <v>1094034.10633544</v>
      </c>
      <c r="CD8" s="12" t="n">
        <f aca="false">CD7-Engineering!CD11-Support!CD25-Sales!CD19</f>
        <v>1067947.8</v>
      </c>
      <c r="CE8" s="13" t="n">
        <f aca="false">CE7-Engineering!CE11-Support!CE25-Sales!CE19</f>
        <v>0</v>
      </c>
      <c r="CF8" s="13" t="n">
        <f aca="false">CF7-Engineering!CF11-Support!CF25-Sales!CF19</f>
        <v>1068643.15018913</v>
      </c>
      <c r="CG8" s="13" t="n">
        <f aca="false">CG7-Engineering!CG11-Support!CG25-Sales!CG19</f>
        <v>1042579.236</v>
      </c>
      <c r="CH8" s="12" t="n">
        <f aca="false">CH7-Engineering!CH11-Support!CH25-Sales!CH19</f>
        <v>0</v>
      </c>
      <c r="CI8" s="12" t="n">
        <f aca="false">CI7-Engineering!CI11-Support!CI25-Sales!CI19</f>
        <v>1043405.83472651</v>
      </c>
      <c r="CJ8" s="12" t="n">
        <f aca="false">CJ7-Engineering!CJ11-Support!CJ25-Sales!CJ19</f>
        <v>1017304.945</v>
      </c>
      <c r="CK8" s="13" t="n">
        <f aca="false">CK7-Engineering!CK11-Support!CK25-Sales!CK19</f>
        <v>0</v>
      </c>
      <c r="CL8" s="13" t="n">
        <f aca="false">CL7-Engineering!CL11-Support!CL25-Sales!CL19</f>
        <v>1018261.9185022</v>
      </c>
      <c r="CM8" s="13" t="n">
        <f aca="false">CM7-Engineering!CM11-Support!CM25-Sales!CM19</f>
        <v>992183.726</v>
      </c>
      <c r="CN8" s="12" t="n">
        <f aca="false">CN7-Engineering!CN11-Support!CN25-Sales!CN19</f>
        <v>0</v>
      </c>
      <c r="CO8" s="12" t="n">
        <f aca="false">CO7-Engineering!CO11-Support!CO25-Sales!CO19</f>
        <v>1001810.78831946</v>
      </c>
      <c r="CP8" s="12" t="n">
        <f aca="false">CP7-Engineering!CP11-Support!CP25-Sales!CP19</f>
        <v>975754.836</v>
      </c>
      <c r="CQ8" s="13" t="n">
        <f aca="false">CQ7-Engineering!CQ11-Support!CQ25-Sales!CQ19</f>
        <v>0</v>
      </c>
      <c r="CR8" s="13" t="n">
        <f aca="false">CR7-Engineering!CR11-Support!CR25-Sales!CR19</f>
        <v>976971.708478154</v>
      </c>
      <c r="CS8" s="13" t="n">
        <f aca="false">CS7-Engineering!CS11-Support!CS25-Sales!CS19</f>
        <v>950879.999</v>
      </c>
      <c r="CT8" s="12" t="n">
        <f aca="false">CT7-Engineering!CT11-Support!CT25-Sales!CT19</f>
        <v>0</v>
      </c>
      <c r="CU8" s="12" t="n">
        <f aca="false">CU7-Engineering!CU11-Support!CU25-Sales!CU19</f>
        <v>952225.787900216</v>
      </c>
      <c r="CV8" s="12" t="n">
        <f aca="false">CV7-Engineering!CV11-Support!CV25-Sales!CV19</f>
        <v>926156.632</v>
      </c>
      <c r="CW8" s="13" t="n">
        <f aca="false">CW7-Engineering!CW11-Support!CW25-Sales!CW19</f>
        <v>0</v>
      </c>
      <c r="CX8" s="13" t="n">
        <f aca="false">CX7-Engineering!CX11-Support!CX25-Sales!CX19</f>
        <v>927631.061369017</v>
      </c>
      <c r="CY8" s="13" t="n">
        <f aca="false">CY7-Engineering!CY11-Support!CY25-Sales!CY19</f>
        <v>901583.985</v>
      </c>
      <c r="CZ8" s="12" t="n">
        <f aca="false">CZ7-Engineering!CZ11-Support!CZ25-Sales!CZ19</f>
        <v>0</v>
      </c>
      <c r="DA8" s="12" t="n">
        <f aca="false">DA7-Engineering!DA11-Support!DA25-Sales!DA19</f>
        <v>903321.784405435</v>
      </c>
      <c r="DB8" s="12" t="n">
        <f aca="false">DB7-Engineering!DB11-Support!DB25-Sales!DB19</f>
        <v>877240.219</v>
      </c>
      <c r="DC8" s="13" t="n">
        <f aca="false">DC7-Engineering!DC11-Support!DC25-Sales!DC19</f>
        <v>0</v>
      </c>
      <c r="DD8" s="13" t="n">
        <f aca="false">DD7-Engineering!DD11-Support!DD25-Sales!DD19</f>
        <v>879106.941543084</v>
      </c>
      <c r="DE8" s="13" t="n">
        <f aca="false">DE7-Engineering!DE11-Support!DE25-Sales!DE19</f>
        <v>853047.754</v>
      </c>
      <c r="DF8" s="12" t="n">
        <f aca="false">DF7-Engineering!DF11-Support!DF25-Sales!DF19</f>
        <v>0</v>
      </c>
      <c r="DG8" s="12" t="n">
        <f aca="false">DG7-Engineering!DG11-Support!DG25-Sales!DG19</f>
        <v>821332.348754878</v>
      </c>
      <c r="DH8" s="12" t="n">
        <f aca="false">DH7-Engineering!DH11-Support!DH25-Sales!DH19</f>
        <v>770721.122</v>
      </c>
      <c r="DI8" s="13" t="n">
        <f aca="false">DI7-Engineering!DI11-Support!DI25-Sales!DI19</f>
        <v>811655.447656398</v>
      </c>
      <c r="DJ8" s="13" t="n">
        <f aca="false">DJ7-Engineering!DJ11-Support!DJ25-Sales!DJ19</f>
        <v>811655.447656398</v>
      </c>
      <c r="DK8" s="13" t="n">
        <f aca="false">DK7-Engineering!DK11-Support!DK25-Sales!DK19</f>
        <v>762183.478</v>
      </c>
      <c r="DL8" s="12" t="n">
        <f aca="false">DL7-Engineering!DL11-Support!DL25-Sales!DL19</f>
        <v>781512</v>
      </c>
      <c r="DM8" s="12" t="n">
        <f aca="false">DM7-Engineering!DM11-Support!DM25-Sales!DM19</f>
        <v>781512</v>
      </c>
      <c r="DN8" s="12" t="n">
        <f aca="false">DN7-Engineering!DN11-Support!DN25-Sales!DN19</f>
        <v>796712</v>
      </c>
    </row>
    <row r="9" customFormat="false" ht="15" hidden="false" customHeight="false" outlineLevel="0" collapsed="false">
      <c r="A9" s="17" t="s">
        <v>108</v>
      </c>
      <c r="B9" s="18" t="str">
        <f aca="false">IF(N(B7)=0,"",B8/B7)</f>
        <v/>
      </c>
      <c r="C9" s="18" t="n">
        <f aca="false">IF(N(C7)=0,"",C8/C7)</f>
        <v>0.813584850125426</v>
      </c>
      <c r="D9" s="18" t="n">
        <f aca="false">IF(N(D7)=0,"",D8/D7)</f>
        <v>0.81145268030191</v>
      </c>
      <c r="E9" s="19" t="str">
        <f aca="false">IF(N(E7)=0,"",E8/E7)</f>
        <v/>
      </c>
      <c r="F9" s="19" t="n">
        <f aca="false">IF(N(F7)=0,"",F8/F7)</f>
        <v>0.798753268806789</v>
      </c>
      <c r="G9" s="19" t="n">
        <f aca="false">IF(N(G7)=0,"",G8/G7)</f>
        <v>0.795561801804889</v>
      </c>
      <c r="H9" s="18" t="n">
        <f aca="false">IF(N(H7)=0,"",H8/H7)</f>
        <v>0.773713733264547</v>
      </c>
      <c r="I9" s="18" t="n">
        <f aca="false">IF(N(I7)=0,"",I8/I7)</f>
        <v>0.786501208858906</v>
      </c>
      <c r="J9" s="18" t="n">
        <f aca="false">IF(N(J7)=0,"",J8/J7)</f>
        <v>0.782364993977573</v>
      </c>
      <c r="K9" s="19" t="str">
        <f aca="false">IF(COUNT(K7,K8)=2,IF(K7=0,"",K8/K7),"")</f>
        <v/>
      </c>
      <c r="L9" s="19" t="n">
        <f aca="false">IF(L7=0,"",L8/L7)</f>
        <v>0.827532078461357</v>
      </c>
      <c r="M9" s="19" t="n">
        <f aca="false">IF(M7=0,"",M8/M7)</f>
        <v>0.825842759757709</v>
      </c>
      <c r="N9" s="18" t="str">
        <f aca="false">IF(COUNT(N7,N8)=2,IF(N7=0,"",N8/N7),"")</f>
        <v/>
      </c>
      <c r="O9" s="18" t="n">
        <f aca="false">IF(O7=0,"",O8/O7)</f>
        <v>0.8248990854833</v>
      </c>
      <c r="P9" s="18" t="n">
        <f aca="false">IF(P7=0,"",P8/P7)</f>
        <v>0.823135900166083</v>
      </c>
      <c r="Q9" s="19" t="str">
        <f aca="false">IF(COUNT(Q7,Q8)=2,IF(Q7=0,"",Q8/Q7),"")</f>
        <v/>
      </c>
      <c r="R9" s="19" t="n">
        <f aca="false">IF(R7=0,"",R8/R7)</f>
        <v>0.822165548187388</v>
      </c>
      <c r="S9" s="19" t="n">
        <f aca="false">IF(S7=0,"",S8/S7)</f>
        <v>0.820323849559843</v>
      </c>
      <c r="T9" s="18" t="str">
        <f aca="false">IF(COUNT(T7,T8)=2,IF(T7=0,"",T8/T7),"")</f>
        <v/>
      </c>
      <c r="U9" s="18" t="n">
        <f aca="false">IF(U7=0,"",U8/U7)</f>
        <v>0.819330567877776</v>
      </c>
      <c r="V9" s="18" t="n">
        <f aca="false">IF(V7=0,"",V8/V7)</f>
        <v>0.817405379830832</v>
      </c>
      <c r="W9" s="19" t="str">
        <f aca="false">IF(COUNT(W7,W8)=2,IF(W7=0,"",W8/W7),"")</f>
        <v/>
      </c>
      <c r="X9" s="19" t="n">
        <f aca="false">IF(X7=0,"",X8/X7)</f>
        <v>0.816382289115008</v>
      </c>
      <c r="Y9" s="19" t="n">
        <f aca="false">IF(Y7=0,"",Y8/Y7)</f>
        <v>0.814368139370193</v>
      </c>
      <c r="Z9" s="18" t="str">
        <f aca="false">IF(COUNT(Z7,Z8)=2,IF(Z7=0,"",Z8/Z7),"")</f>
        <v/>
      </c>
      <c r="AA9" s="18" t="n">
        <f aca="false">IF(AA7=0,"",AA8/AA7)</f>
        <v>0.813313286876938</v>
      </c>
      <c r="AB9" s="18" t="n">
        <f aca="false">IF(AB7=0,"",AB8/AB7)</f>
        <v>0.81120421473413</v>
      </c>
      <c r="AC9" s="19" t="str">
        <f aca="false">IF(COUNT(AC7,AC8)=2,IF(AC7=0,"",AC8/AC7),"")</f>
        <v/>
      </c>
      <c r="AD9" s="19" t="n">
        <f aca="false">IF(AD7=0,"",AD8/AD7)</f>
        <v>0.810185959315564</v>
      </c>
      <c r="AE9" s="19" t="n">
        <f aca="false">IF(AE7=0,"",AE8/AE7)</f>
        <v>0.807976360997207</v>
      </c>
      <c r="AF9" s="18" t="str">
        <f aca="false">IF(COUNT(AF7,AF8)=2,IF(AF7=0,"",AF8/AF7),"")</f>
        <v/>
      </c>
      <c r="AG9" s="18" t="n">
        <f aca="false">IF(AG7=0,"",AG8/AG7)</f>
        <v>0.806925173494831</v>
      </c>
      <c r="AH9" s="18" t="n">
        <f aca="false">IF(AH7=0,"",AH8/AH7)</f>
        <v>0.804608049127942</v>
      </c>
      <c r="AI9" s="19" t="str">
        <f aca="false">IF(COUNT(AI7,AI8)=2,IF(AI7=0,"",AI8/AI7),"")</f>
        <v/>
      </c>
      <c r="AJ9" s="19" t="n">
        <f aca="false">IF(AJ7=0,"",AJ8/AJ7)</f>
        <v>0.803528096549786</v>
      </c>
      <c r="AK9" s="19" t="n">
        <f aca="false">IF(AK7=0,"",AK8/AK7)</f>
        <v>0.801095875423299</v>
      </c>
      <c r="AL9" s="18" t="str">
        <f aca="false">IF(COUNT(AL7,AL8)=2,IF(AL7=0,"",AL8/AL7),"")</f>
        <v/>
      </c>
      <c r="AM9" s="18" t="n">
        <f aca="false">IF(AM7=0,"",AM8/AM7)</f>
        <v>0.799985291069639</v>
      </c>
      <c r="AN9" s="18" t="n">
        <f aca="false">IF(AN7=0,"",AN8/AN7)</f>
        <v>0.797429680264107</v>
      </c>
      <c r="AO9" s="19" t="str">
        <f aca="false">IF(COUNT(AO7,AO8)=2,IF(AO7=0,"",AO8/AO7),"")</f>
        <v/>
      </c>
      <c r="AP9" s="19" t="n">
        <f aca="false">IF(AP7=0,"",AP8/AP7)</f>
        <v>0.800841420399952</v>
      </c>
      <c r="AQ9" s="19" t="n">
        <f aca="false">IF(AQ7=0,"",AQ8/AQ7)</f>
        <v>0.79821831762735</v>
      </c>
      <c r="AR9" s="18" t="str">
        <f aca="false">IF(COUNT(AR7,AR8)=2,IF(AR7=0,"",AR8/AR7),"")</f>
        <v/>
      </c>
      <c r="AS9" s="18" t="n">
        <f aca="false">IF(AS7=0,"",AS8/AS7)</f>
        <v>0.808725379289245</v>
      </c>
      <c r="AT9" s="18" t="n">
        <f aca="false">IF(AT7=0,"",AT8/AT7)</f>
        <v>0.806149702060681</v>
      </c>
      <c r="AU9" s="19" t="str">
        <f aca="false">IF(COUNT(AU7,AU8)=2,IF(AU7=0,"",AU8/AU7),"")</f>
        <v/>
      </c>
      <c r="AV9" s="19" t="n">
        <f aca="false">IF(AV7=0,"",AV8/AV7)</f>
        <v>0.805898342031633</v>
      </c>
      <c r="AW9" s="19" t="n">
        <f aca="false">IF(AW7=0,"",AW8/AW7)</f>
        <v>0.803219652413752</v>
      </c>
      <c r="AX9" s="18" t="str">
        <f aca="false">IF(COUNT(AX7,AX8)=2,IF(AX7=0,"",AX8/AX7),"")</f>
        <v/>
      </c>
      <c r="AY9" s="18" t="n">
        <f aca="false">IF(AY7=0,"",AY8/AY7)</f>
        <v>0.802973843924991</v>
      </c>
      <c r="AZ9" s="18" t="n">
        <f aca="false">IF(AZ7=0,"",AZ8/AZ7)</f>
        <v>0.800178794919471</v>
      </c>
      <c r="BA9" s="19" t="str">
        <f aca="false">IF(COUNT(BA7,BA8)=2,IF(BA7=0,"",BA8/BA7),"")</f>
        <v/>
      </c>
      <c r="BB9" s="19" t="n">
        <f aca="false">IF(BB7=0,"",BB8/BB7)</f>
        <v>0.799938873147689</v>
      </c>
      <c r="BC9" s="19" t="n">
        <f aca="false">IF(BC7=0,"",BC8/BC7)</f>
        <v>0.797027980323497</v>
      </c>
      <c r="BD9" s="18" t="str">
        <f aca="false">IF(COUNT(BD7,BD8)=2,IF(BD7=0,"",BD8/BD7),"")</f>
        <v/>
      </c>
      <c r="BE9" s="18" t="n">
        <f aca="false">IF(BE7=0,"",BE8/BE7)</f>
        <v>0.796794427080685</v>
      </c>
      <c r="BF9" s="18" t="n">
        <f aca="false">IF(BF7=0,"",BF8/BF7)</f>
        <v>0.793760691459091</v>
      </c>
      <c r="BG9" s="19" t="str">
        <f aca="false">IF(COUNT(BG7,BG8)=2,IF(BG7=0,"",BG8/BG7),"")</f>
        <v/>
      </c>
      <c r="BH9" s="19" t="n">
        <f aca="false">IF(BH7=0,"",BH8/BH7)</f>
        <v>0.798774838212969</v>
      </c>
      <c r="BI9" s="19" t="n">
        <f aca="false">IF(BI7=0,"",BI8/BI7)</f>
        <v>0.795697417786484</v>
      </c>
      <c r="BJ9" s="18" t="str">
        <f aca="false">IF(COUNT(BJ7,BJ8)=2,IF(BJ7=0,"",BJ8/BJ7),"")</f>
        <v/>
      </c>
      <c r="BK9" s="18" t="n">
        <f aca="false">IF(BK7=0,"",BK8/BK7)</f>
        <v>0.802432234928325</v>
      </c>
      <c r="BL9" s="18" t="n">
        <f aca="false">IF(BL7=0,"",BL8/BL7)</f>
        <v>0.799337926887814</v>
      </c>
      <c r="BM9" s="19" t="str">
        <f aca="false">IF(COUNT(BM7,BM8)=2,IF(BM7=0,"",BM8/BM7),"")</f>
        <v/>
      </c>
      <c r="BN9" s="19" t="n">
        <f aca="false">IF(BN7=0,"",BN8/BN7)</f>
        <v>0.799214795397128</v>
      </c>
      <c r="BO9" s="19" t="n">
        <f aca="false">IF(BO7=0,"",BO8/BO7)</f>
        <v>0.795983547278791</v>
      </c>
      <c r="BP9" s="18" t="str">
        <f aca="false">IF(COUNT(BP7,BP8)=2,IF(BP7=0,"",BP8/BP7),"")</f>
        <v/>
      </c>
      <c r="BQ9" s="18" t="n">
        <f aca="false">IF(BQ7=0,"",BQ8/BQ7)</f>
        <v>0.795865330849325</v>
      </c>
      <c r="BR9" s="18" t="n">
        <f aca="false">IF(BR7=0,"",BR8/BR7)</f>
        <v>0.792488001037743</v>
      </c>
      <c r="BS9" s="19" t="str">
        <f aca="false">IF(COUNT(BS7,BS8)=2,IF(BS7=0,"",BS8/BS7),"")</f>
        <v/>
      </c>
      <c r="BT9" s="19" t="n">
        <f aca="false">IF(BT7=0,"",BT8/BT7)</f>
        <v>0.792466812092078</v>
      </c>
      <c r="BU9" s="19" t="n">
        <f aca="false">IF(BU7=0,"",BU8/BU7)</f>
        <v>0.78893511005636</v>
      </c>
      <c r="BV9" s="18" t="str">
        <f aca="false">IF(COUNT(BV7,BV8)=2,IF(BV7=0,"",BV8/BV7),"")</f>
        <v/>
      </c>
      <c r="BW9" s="18" t="n">
        <f aca="false">IF(BW7=0,"",BW8/BW7)</f>
        <v>0.794883454763865</v>
      </c>
      <c r="BX9" s="18" t="n">
        <f aca="false">IF(BX7=0,"",BX8/BX7)</f>
        <v>0.791299183795632</v>
      </c>
      <c r="BY9" s="19" t="str">
        <f aca="false">IF(COUNT(BY7,BY8)=2,IF(BY7=0,"",BY8/BY7),"")</f>
        <v/>
      </c>
      <c r="BZ9" s="19" t="n">
        <f aca="false">IF(BZ7=0,"",BZ8/BZ7)</f>
        <v>0.79133927525401</v>
      </c>
      <c r="CA9" s="19" t="n">
        <f aca="false">IF(CA7=0,"",CA8/CA7)</f>
        <v>0.787584353948388</v>
      </c>
      <c r="CB9" s="18" t="str">
        <f aca="false">IF(COUNT(CB7,CB8)=2,IF(CB7=0,"",CB8/CB7),"")</f>
        <v/>
      </c>
      <c r="CC9" s="18" t="n">
        <f aca="false">IF(CC7=0,"",CC8/CC7)</f>
        <v>0.801640469635806</v>
      </c>
      <c r="CD9" s="18" t="n">
        <f aca="false">IF(CD7=0,"",CD8/CD7)</f>
        <v>0.798016488266735</v>
      </c>
      <c r="CE9" s="19" t="str">
        <f aca="false">IF(COUNT(CE7,CE8)=2,IF(CE7=0,"",CE8/CE7),"")</f>
        <v/>
      </c>
      <c r="CF9" s="19" t="n">
        <f aca="false">IF(CF7=0,"",CF8/CF7)</f>
        <v>0.798926904943783</v>
      </c>
      <c r="CG9" s="19" t="n">
        <f aca="false">IF(CG7=0,"",CG8/CG7)</f>
        <v>0.795176560337607</v>
      </c>
      <c r="CH9" s="18" t="str">
        <f aca="false">IF(COUNT(CH7,CH8)=2,IF(CH7=0,"",CH8/CH7),"")</f>
        <v/>
      </c>
      <c r="CI9" s="18" t="n">
        <f aca="false">IF(CI7=0,"",CI8/CI7)</f>
        <v>0.796124820353971</v>
      </c>
      <c r="CJ9" s="18" t="n">
        <f aca="false">IF(CJ7=0,"",CJ8/CJ7)</f>
        <v>0.792231904148603</v>
      </c>
      <c r="CK9" s="19" t="str">
        <f aca="false">IF(COUNT(CK7,CK8)=2,IF(CK7=0,"",CK8/CK7),"")</f>
        <v/>
      </c>
      <c r="CL9" s="19" t="n">
        <f aca="false">IF(CL7=0,"",CL8/CL7)</f>
        <v>0.793219935038042</v>
      </c>
      <c r="CM9" s="19" t="n">
        <f aca="false">IF(CM7=0,"",CM8/CM7)</f>
        <v>0.789186288536765</v>
      </c>
      <c r="CN9" s="18" t="str">
        <f aca="false">IF(COUNT(CN7,CN8)=2,IF(CN7=0,"",CN8/CN7),"")</f>
        <v/>
      </c>
      <c r="CO9" s="18" t="n">
        <f aca="false">IF(CO7=0,"",CO8/CO7)</f>
        <v>0.797010374252698</v>
      </c>
      <c r="CP9" s="18" t="n">
        <f aca="false">IF(CP7=0,"",CP8/CP7)</f>
        <v>0.792974372938721</v>
      </c>
      <c r="CQ9" s="19" t="str">
        <f aca="false">IF(COUNT(CQ7,CQ8)=2,IF(CQ7=0,"",CQ8/CQ7),"")</f>
        <v/>
      </c>
      <c r="CR9" s="19" t="n">
        <f aca="false">IF(CR7=0,"",CR8/CR7)</f>
        <v>0.794049206424461</v>
      </c>
      <c r="CS9" s="19" t="n">
        <f aca="false">IF(CS7=0,"",CS8/CS7)</f>
        <v>0.789852724928498</v>
      </c>
      <c r="CT9" s="18" t="str">
        <f aca="false">IF(COUNT(CT7,CT8)=2,IF(CT7=0,"",CT8/CT7),"")</f>
        <v/>
      </c>
      <c r="CU9" s="18" t="n">
        <f aca="false">IF(CU7=0,"",CU8/CU7)</f>
        <v>0.790973377157838</v>
      </c>
      <c r="CV9" s="18" t="n">
        <f aca="false">IF(CV7=0,"",CV8/CV7)</f>
        <v>0.786617304683833</v>
      </c>
      <c r="CW9" s="19" t="str">
        <f aca="false">IF(COUNT(CW7,CW8)=2,IF(CW7=0,"",CW8/CW7),"")</f>
        <v/>
      </c>
      <c r="CX9" s="19" t="n">
        <f aca="false">IF(CX7=0,"",CX8/CX7)</f>
        <v>0.787786334133332</v>
      </c>
      <c r="CY9" s="19" t="n">
        <f aca="false">IF(CY7=0,"",CY8/CY7)</f>
        <v>0.783261396978619</v>
      </c>
      <c r="CZ9" s="18" t="str">
        <f aca="false">IF(COUNT(CZ7,CZ8)=2,IF(CZ7=0,"",CZ8/CZ7),"")</f>
        <v/>
      </c>
      <c r="DA9" s="18" t="n">
        <f aca="false">IF(DA7=0,"",DA8/DA7)</f>
        <v>0.784598814714518</v>
      </c>
      <c r="DB9" s="18" t="n">
        <f aca="false">IF(DB7=0,"",DB8/DB7)</f>
        <v>0.779886781197897</v>
      </c>
      <c r="DC9" s="19" t="str">
        <f aca="false">IF(COUNT(DC7,DC8)=2,IF(DC7=0,"",DC8/DC7),"")</f>
        <v/>
      </c>
      <c r="DD9" s="19" t="n">
        <f aca="false">IF(DD7=0,"",DD8/DD7)</f>
        <v>0.781281204976817</v>
      </c>
      <c r="DE9" s="19" t="n">
        <f aca="false">IF(DE7=0,"",DE8/DE7)</f>
        <v>0.776381795620037</v>
      </c>
      <c r="DF9" s="18" t="str">
        <f aca="false">IF(COUNT(DF7,DF8)=2,IF(DF7=0,"",DF8/DF7),"")</f>
        <v/>
      </c>
      <c r="DG9" s="18" t="n">
        <f aca="false">IF(DG7=0,"",DG8/DG7)</f>
        <v>0.756247879964257</v>
      </c>
      <c r="DH9" s="18" t="n">
        <f aca="false">IF(DH7=0,"",DH8/DH7)</f>
        <v>0.734043799529928</v>
      </c>
      <c r="DI9" s="19" t="n">
        <f aca="false">IF(COUNT(DI7,DI8)=2,IF(DI7=0,"",DI8/DI7),"")</f>
        <v>0.782261617205484</v>
      </c>
      <c r="DJ9" s="19" t="n">
        <f aca="false">IF(DJ7=0,"",DJ8/DJ7)</f>
        <v>0.782261617205484</v>
      </c>
      <c r="DK9" s="19" t="n">
        <f aca="false">IF(DK7=0,"",DK8/DK7)</f>
        <v>0.761012677043053</v>
      </c>
      <c r="DL9" s="18" t="n">
        <f aca="false">IF(COUNT(DL7,DL8)=2,IF(DL7=0,"",DL8/DL7),"")</f>
        <v>0.765031687390239</v>
      </c>
      <c r="DM9" s="18" t="n">
        <f aca="false">IF(DM7=0,"",DM8/DM7)</f>
        <v>0.765031687390239</v>
      </c>
      <c r="DN9" s="18" t="n">
        <f aca="false">IF(DN7=0,"",DN8/DN7)</f>
        <v>0.797715526131874</v>
      </c>
    </row>
    <row r="10" customFormat="false" ht="15" hidden="false" customHeight="false" outlineLevel="0" collapsed="false">
      <c r="A10" s="5" t="s">
        <v>109</v>
      </c>
      <c r="B10" s="12" t="n">
        <f aca="false">IF(COUNT(AR10,AO10,AL10,AI10,AF10,AC10,Z10,W10,T10,Q10,N10,K10)=0,"",SUM(AR10,AO10,AL10,AI10,AF10,AC10,Z10,W10,T10,Q10,N10,K10))</f>
        <v>0</v>
      </c>
      <c r="C10" s="12" t="n">
        <f aca="false">IF(COUNT(AS10,AP10,AM10,AJ10,AG10,AD10,AA10,X10,U10,R10,O10,L10)=0,"",SUM(AS10,AP10,AM10,AJ10,AG10,AD10,AA10,X10,U10,R10,O10,L10))</f>
        <v>13501860</v>
      </c>
      <c r="D10" s="12" t="n">
        <f aca="false">IF(COUNT(AT10,AQ10,AN10,AK10,AH10,AE10,AB10,Y10,V10,S10,P10,M10)=0,"",SUM(AT10,AQ10,AN10,AK10,AH10,AE10,AB10,Y10,V10,S10,P10,M10))</f>
        <v>13501860</v>
      </c>
      <c r="E10" s="13" t="n">
        <f aca="false">IF(COUNT(CB10,BY10,BV10,BS10,BP10,BM10,BJ10,BG10,BD10,BA10,AX10,AU10)=0,"",SUM(CB10,BY10,BV10,BS10,BP10,BM10,BJ10,BG10,BD10,BA10,AX10,AU10))</f>
        <v>0</v>
      </c>
      <c r="F10" s="13" t="n">
        <f aca="false">IF(COUNT(CC10,BZ10,BW10,BT10,BQ10,BN10,BK10,BH10,BE10,BB10,AY10,AV10)=0,"",SUM(CC10,BZ10,BW10,BT10,BQ10,BN10,BK10,BH10,BE10,BB10,AY10,AV10))</f>
        <v>11320500</v>
      </c>
      <c r="G10" s="13" t="n">
        <f aca="false">IF(COUNT(CD10,CA10,BX10,BU10,BR10,BO10,BL10,BI10,BF10,BC10,AZ10,AW10)=0,"",SUM(CD10,CA10,BX10,BU10,BR10,BO10,BL10,BI10,BF10,BC10,AZ10,AW10))</f>
        <v>11320500</v>
      </c>
      <c r="H10" s="12" t="n">
        <f aca="false">IF(COUNT(DL10,DI10,DF10,DC10,CZ10,CW10,CT10,CQ10,CN10,CK10,CH10,CE10)=0,"",SUM(DL10,DI10,DF10,DC10,CZ10,CW10,CT10,CQ10,CN10,CK10,CH10,CE10))</f>
        <v>1570160</v>
      </c>
      <c r="I10" s="12" t="n">
        <f aca="false">IF(COUNT(DM10,DJ10,DG10,DD10,DA10,CX10,CU10,CR10,CO10,CL10,CI10,CF10)=0,"",SUM(DM10,DJ10,DG10,DD10,DA10,CX10,CU10,CR10,CO10,CL10,CI10,CF10))</f>
        <v>9640560</v>
      </c>
      <c r="J10" s="12" t="n">
        <f aca="false">IF(COUNT(DN10,DK10,DH10,DE10,DB10,CY10,CV10,CS10,CP10,CM10,CJ10,CG10)=0,"",SUM(DN10,DK10,DH10,DE10,DB10,CY10,CV10,CS10,CP10,CM10,CJ10,CG10))</f>
        <v>9640560</v>
      </c>
      <c r="K10" s="13" t="n">
        <f aca="false">Marketing!K28+Sales!K24-Sales!K19+'Customer Success'!K33+Engineering!K27-Engineering!K11+Finance!K38</f>
        <v>0</v>
      </c>
      <c r="L10" s="13" t="n">
        <f aca="false">Marketing!L28+Sales!L24-Sales!L19+'Customer Success'!L33+Engineering!L27-Engineering!L11+Finance!L38</f>
        <v>1140100</v>
      </c>
      <c r="M10" s="13" t="n">
        <f aca="false">Marketing!M28+Sales!M24-Sales!M19+'Customer Success'!M33+Engineering!M27-Engineering!M11+Finance!M38</f>
        <v>1140100</v>
      </c>
      <c r="N10" s="12" t="n">
        <f aca="false">Marketing!N28+Sales!N24-Sales!N19+'Customer Success'!N33+Engineering!N27-Engineering!N11+Finance!N38</f>
        <v>0</v>
      </c>
      <c r="O10" s="12" t="n">
        <f aca="false">Marketing!O28+Sales!O24-Sales!O19+'Customer Success'!O33+Engineering!O27-Engineering!O11+Finance!O38</f>
        <v>1140100</v>
      </c>
      <c r="P10" s="12" t="n">
        <f aca="false">Marketing!P28+Sales!P24-Sales!P19+'Customer Success'!P33+Engineering!P27-Engineering!P11+Finance!P38</f>
        <v>1140100</v>
      </c>
      <c r="Q10" s="13" t="n">
        <f aca="false">Marketing!Q28+Sales!Q24-Sales!Q19+'Customer Success'!Q33+Engineering!Q27-Engineering!Q11+Finance!Q38</f>
        <v>0</v>
      </c>
      <c r="R10" s="13" t="n">
        <f aca="false">Marketing!R28+Sales!R24-Sales!R19+'Customer Success'!R33+Engineering!R27-Engineering!R11+Finance!R38</f>
        <v>1140100</v>
      </c>
      <c r="S10" s="13" t="n">
        <f aca="false">Marketing!S28+Sales!S24-Sales!S19+'Customer Success'!S33+Engineering!S27-Engineering!S11+Finance!S38</f>
        <v>1140100</v>
      </c>
      <c r="T10" s="12" t="n">
        <f aca="false">Marketing!T28+Sales!T24-Sales!T19+'Customer Success'!T33+Engineering!T27-Engineering!T11+Finance!T38</f>
        <v>0</v>
      </c>
      <c r="U10" s="12" t="n">
        <f aca="false">Marketing!U28+Sales!U24-Sales!U19+'Customer Success'!U33+Engineering!U27-Engineering!U11+Finance!U38</f>
        <v>1140100</v>
      </c>
      <c r="V10" s="12" t="n">
        <f aca="false">Marketing!V28+Sales!V24-Sales!V19+'Customer Success'!V33+Engineering!V27-Engineering!V11+Finance!V38</f>
        <v>1140100</v>
      </c>
      <c r="W10" s="13" t="n">
        <f aca="false">Marketing!W28+Sales!W24-Sales!W19+'Customer Success'!W33+Engineering!W27-Engineering!W11+Finance!W38</f>
        <v>0</v>
      </c>
      <c r="X10" s="13" t="n">
        <f aca="false">Marketing!X28+Sales!X24-Sales!X19+'Customer Success'!X33+Engineering!X27-Engineering!X11+Finance!X38</f>
        <v>1140100</v>
      </c>
      <c r="Y10" s="13" t="n">
        <f aca="false">Marketing!Y28+Sales!Y24-Sales!Y19+'Customer Success'!Y33+Engineering!Y27-Engineering!Y11+Finance!Y38</f>
        <v>1140100</v>
      </c>
      <c r="Z10" s="12" t="n">
        <f aca="false">Marketing!Z28+Sales!Z24-Sales!Z19+'Customer Success'!Z33+Engineering!Z27-Engineering!Z11+Finance!Z38</f>
        <v>0</v>
      </c>
      <c r="AA10" s="12" t="n">
        <f aca="false">Marketing!AA28+Sales!AA24-Sales!AA19+'Customer Success'!AA33+Engineering!AA27-Engineering!AA11+Finance!AA38</f>
        <v>1140100</v>
      </c>
      <c r="AB10" s="12" t="n">
        <f aca="false">Marketing!AB28+Sales!AB24-Sales!AB19+'Customer Success'!AB33+Engineering!AB27-Engineering!AB11+Finance!AB38</f>
        <v>1140100</v>
      </c>
      <c r="AC10" s="13" t="n">
        <f aca="false">Marketing!AC28+Sales!AC24-Sales!AC19+'Customer Success'!AC33+Engineering!AC27-Engineering!AC11+Finance!AC38</f>
        <v>0</v>
      </c>
      <c r="AD10" s="13" t="n">
        <f aca="false">Marketing!AD28+Sales!AD24-Sales!AD19+'Customer Success'!AD33+Engineering!AD27-Engineering!AD11+Finance!AD38</f>
        <v>1125460</v>
      </c>
      <c r="AE10" s="13" t="n">
        <f aca="false">Marketing!AE28+Sales!AE24-Sales!AE19+'Customer Success'!AE33+Engineering!AE27-Engineering!AE11+Finance!AE38</f>
        <v>1125460</v>
      </c>
      <c r="AF10" s="12" t="n">
        <f aca="false">Marketing!AF28+Sales!AF24-Sales!AF19+'Customer Success'!AF33+Engineering!AF27-Engineering!AF11+Finance!AF38</f>
        <v>0</v>
      </c>
      <c r="AG10" s="12" t="n">
        <f aca="false">Marketing!AG28+Sales!AG24-Sales!AG19+'Customer Success'!AG33+Engineering!AG27-Engineering!AG11+Finance!AG38</f>
        <v>1125460</v>
      </c>
      <c r="AH10" s="12" t="n">
        <f aca="false">Marketing!AH28+Sales!AH24-Sales!AH19+'Customer Success'!AH33+Engineering!AH27-Engineering!AH11+Finance!AH38</f>
        <v>1125460</v>
      </c>
      <c r="AI10" s="13" t="n">
        <f aca="false">Marketing!AI28+Sales!AI24-Sales!AI19+'Customer Success'!AI33+Engineering!AI27-Engineering!AI11+Finance!AI38</f>
        <v>0</v>
      </c>
      <c r="AJ10" s="13" t="n">
        <f aca="false">Marketing!AJ28+Sales!AJ24-Sales!AJ19+'Customer Success'!AJ33+Engineering!AJ27-Engineering!AJ11+Finance!AJ38</f>
        <v>1125460</v>
      </c>
      <c r="AK10" s="13" t="n">
        <f aca="false">Marketing!AK28+Sales!AK24-Sales!AK19+'Customer Success'!AK33+Engineering!AK27-Engineering!AK11+Finance!AK38</f>
        <v>1125460</v>
      </c>
      <c r="AL10" s="12" t="n">
        <f aca="false">Marketing!AL28+Sales!AL24-Sales!AL19+'Customer Success'!AL33+Engineering!AL27-Engineering!AL11+Finance!AL38</f>
        <v>0</v>
      </c>
      <c r="AM10" s="12" t="n">
        <f aca="false">Marketing!AM28+Sales!AM24-Sales!AM19+'Customer Success'!AM33+Engineering!AM27-Engineering!AM11+Finance!AM38</f>
        <v>1110820</v>
      </c>
      <c r="AN10" s="12" t="n">
        <f aca="false">Marketing!AN28+Sales!AN24-Sales!AN19+'Customer Success'!AN33+Engineering!AN27-Engineering!AN11+Finance!AN38</f>
        <v>1110820</v>
      </c>
      <c r="AO10" s="13" t="n">
        <f aca="false">Marketing!AO28+Sales!AO24-Sales!AO19+'Customer Success'!AO33+Engineering!AO27-Engineering!AO11+Finance!AO38</f>
        <v>0</v>
      </c>
      <c r="AP10" s="13" t="n">
        <f aca="false">Marketing!AP28+Sales!AP24-Sales!AP19+'Customer Success'!AP33+Engineering!AP27-Engineering!AP11+Finance!AP38</f>
        <v>1101060</v>
      </c>
      <c r="AQ10" s="13" t="n">
        <f aca="false">Marketing!AQ28+Sales!AQ24-Sales!AQ19+'Customer Success'!AQ33+Engineering!AQ27-Engineering!AQ11+Finance!AQ38</f>
        <v>1101060</v>
      </c>
      <c r="AR10" s="12" t="n">
        <f aca="false">Marketing!AR28+Sales!AR24-Sales!AR19+'Customer Success'!AR33+Engineering!AR27-Engineering!AR11+Finance!AR38</f>
        <v>0</v>
      </c>
      <c r="AS10" s="12" t="n">
        <f aca="false">Marketing!AS28+Sales!AS24-Sales!AS19+'Customer Success'!AS33+Engineering!AS27-Engineering!AS11+Finance!AS38</f>
        <v>1073000</v>
      </c>
      <c r="AT10" s="12" t="n">
        <f aca="false">Marketing!AT28+Sales!AT24-Sales!AT19+'Customer Success'!AT33+Engineering!AT27-Engineering!AT11+Finance!AT38</f>
        <v>1073000</v>
      </c>
      <c r="AU10" s="13" t="n">
        <f aca="false">Marketing!AU28+Sales!AU24-Sales!AU19+'Customer Success'!AU33+Engineering!AU27-Engineering!AU11+Finance!AU38</f>
        <v>0</v>
      </c>
      <c r="AV10" s="13" t="n">
        <f aca="false">Marketing!AV28+Sales!AV24-Sales!AV19+'Customer Success'!AV33+Engineering!AV27-Engineering!AV11+Finance!AV38</f>
        <v>1043720</v>
      </c>
      <c r="AW10" s="13" t="n">
        <f aca="false">Marketing!AW28+Sales!AW24-Sales!AW19+'Customer Success'!AW33+Engineering!AW27-Engineering!AW11+Finance!AW38</f>
        <v>1043720</v>
      </c>
      <c r="AX10" s="12" t="n">
        <f aca="false">Marketing!AX28+Sales!AX24-Sales!AX19+'Customer Success'!AX33+Engineering!AX27-Engineering!AX11+Finance!AX38</f>
        <v>0</v>
      </c>
      <c r="AY10" s="12" t="n">
        <f aca="false">Marketing!AY28+Sales!AY24-Sales!AY19+'Customer Success'!AY33+Engineering!AY27-Engineering!AY11+Finance!AY38</f>
        <v>1043720</v>
      </c>
      <c r="AZ10" s="12" t="n">
        <f aca="false">Marketing!AZ28+Sales!AZ24-Sales!AZ19+'Customer Success'!AZ33+Engineering!AZ27-Engineering!AZ11+Finance!AZ38</f>
        <v>1043720</v>
      </c>
      <c r="BA10" s="13" t="n">
        <f aca="false">Marketing!BA28+Sales!BA24-Sales!BA19+'Customer Success'!BA33+Engineering!BA27-Engineering!BA11+Finance!BA38</f>
        <v>0</v>
      </c>
      <c r="BB10" s="13" t="n">
        <f aca="false">Marketing!BB28+Sales!BB24-Sales!BB19+'Customer Success'!BB33+Engineering!BB27-Engineering!BB11+Finance!BB38</f>
        <v>1015660</v>
      </c>
      <c r="BC10" s="13" t="n">
        <f aca="false">Marketing!BC28+Sales!BC24-Sales!BC19+'Customer Success'!BC33+Engineering!BC27-Engineering!BC11+Finance!BC38</f>
        <v>1015660</v>
      </c>
      <c r="BD10" s="12" t="n">
        <f aca="false">Marketing!BD28+Sales!BD24-Sales!BD19+'Customer Success'!BD33+Engineering!BD27-Engineering!BD11+Finance!BD38</f>
        <v>0</v>
      </c>
      <c r="BE10" s="12" t="n">
        <f aca="false">Marketing!BE28+Sales!BE24-Sales!BE19+'Customer Success'!BE33+Engineering!BE27-Engineering!BE11+Finance!BE38</f>
        <v>986380</v>
      </c>
      <c r="BF10" s="12" t="n">
        <f aca="false">Marketing!BF28+Sales!BF24-Sales!BF19+'Customer Success'!BF33+Engineering!BF27-Engineering!BF11+Finance!BF38</f>
        <v>986380</v>
      </c>
      <c r="BG10" s="13" t="n">
        <f aca="false">Marketing!BG28+Sales!BG24-Sales!BG19+'Customer Success'!BG33+Engineering!BG27-Engineering!BG11+Finance!BG38</f>
        <v>0</v>
      </c>
      <c r="BH10" s="13" t="n">
        <f aca="false">Marketing!BH28+Sales!BH24-Sales!BH19+'Customer Success'!BH33+Engineering!BH27-Engineering!BH11+Finance!BH38</f>
        <v>976620</v>
      </c>
      <c r="BI10" s="13" t="n">
        <f aca="false">Marketing!BI28+Sales!BI24-Sales!BI19+'Customer Success'!BI33+Engineering!BI27-Engineering!BI11+Finance!BI38</f>
        <v>976620</v>
      </c>
      <c r="BJ10" s="12" t="n">
        <f aca="false">Marketing!BJ28+Sales!BJ24-Sales!BJ19+'Customer Success'!BJ33+Engineering!BJ27-Engineering!BJ11+Finance!BJ38</f>
        <v>0</v>
      </c>
      <c r="BK10" s="12" t="n">
        <f aca="false">Marketing!BK28+Sales!BK24-Sales!BK19+'Customer Success'!BK33+Engineering!BK27-Engineering!BK11+Finance!BK38</f>
        <v>944900</v>
      </c>
      <c r="BL10" s="12" t="n">
        <f aca="false">Marketing!BL28+Sales!BL24-Sales!BL19+'Customer Success'!BL33+Engineering!BL27-Engineering!BL11+Finance!BL38</f>
        <v>944900</v>
      </c>
      <c r="BM10" s="13" t="n">
        <f aca="false">Marketing!BM28+Sales!BM24-Sales!BM19+'Customer Success'!BM33+Engineering!BM27-Engineering!BM11+Finance!BM38</f>
        <v>0</v>
      </c>
      <c r="BN10" s="13" t="n">
        <f aca="false">Marketing!BN28+Sales!BN24-Sales!BN19+'Customer Success'!BN33+Engineering!BN27-Engineering!BN11+Finance!BN38</f>
        <v>935140</v>
      </c>
      <c r="BO10" s="13" t="n">
        <f aca="false">Marketing!BO28+Sales!BO24-Sales!BO19+'Customer Success'!BO33+Engineering!BO27-Engineering!BO11+Finance!BO38</f>
        <v>935140</v>
      </c>
      <c r="BP10" s="12" t="n">
        <f aca="false">Marketing!BP28+Sales!BP24-Sales!BP19+'Customer Success'!BP33+Engineering!BP27-Engineering!BP11+Finance!BP38</f>
        <v>0</v>
      </c>
      <c r="BQ10" s="12" t="n">
        <f aca="false">Marketing!BQ28+Sales!BQ24-Sales!BQ19+'Customer Success'!BQ33+Engineering!BQ27-Engineering!BQ11+Finance!BQ38</f>
        <v>900980</v>
      </c>
      <c r="BR10" s="12" t="n">
        <f aca="false">Marketing!BR28+Sales!BR24-Sales!BR19+'Customer Success'!BR33+Engineering!BR27-Engineering!BR11+Finance!BR38</f>
        <v>900980</v>
      </c>
      <c r="BS10" s="13" t="n">
        <f aca="false">Marketing!BS28+Sales!BS24-Sales!BS19+'Customer Success'!BS33+Engineering!BS27-Engineering!BS11+Finance!BS38</f>
        <v>0</v>
      </c>
      <c r="BT10" s="13" t="n">
        <f aca="false">Marketing!BT28+Sales!BT24-Sales!BT19+'Customer Success'!BT33+Engineering!BT27-Engineering!BT11+Finance!BT38</f>
        <v>892440</v>
      </c>
      <c r="BU10" s="13" t="n">
        <f aca="false">Marketing!BU28+Sales!BU24-Sales!BU19+'Customer Success'!BU33+Engineering!BU27-Engineering!BU11+Finance!BU38</f>
        <v>892440</v>
      </c>
      <c r="BV10" s="12" t="n">
        <f aca="false">Marketing!BV28+Sales!BV24-Sales!BV19+'Customer Success'!BV33+Engineering!BV27-Engineering!BV11+Finance!BV38</f>
        <v>0</v>
      </c>
      <c r="BW10" s="12" t="n">
        <f aca="false">Marketing!BW28+Sales!BW24-Sales!BW19+'Customer Success'!BW33+Engineering!BW27-Engineering!BW11+Finance!BW38</f>
        <v>877800</v>
      </c>
      <c r="BX10" s="12" t="n">
        <f aca="false">Marketing!BX28+Sales!BX24-Sales!BX19+'Customer Success'!BX33+Engineering!BX27-Engineering!BX11+Finance!BX38</f>
        <v>877800</v>
      </c>
      <c r="BY10" s="13" t="n">
        <f aca="false">Marketing!BY28+Sales!BY24-Sales!BY19+'Customer Success'!BY33+Engineering!BY27-Engineering!BY11+Finance!BY38</f>
        <v>0</v>
      </c>
      <c r="BZ10" s="13" t="n">
        <f aca="false">Marketing!BZ28+Sales!BZ24-Sales!BZ19+'Customer Success'!BZ33+Engineering!BZ27-Engineering!BZ11+Finance!BZ38</f>
        <v>868040</v>
      </c>
      <c r="CA10" s="13" t="n">
        <f aca="false">Marketing!CA28+Sales!CA24-Sales!CA19+'Customer Success'!CA33+Engineering!CA27-Engineering!CA11+Finance!CA38</f>
        <v>868040</v>
      </c>
      <c r="CB10" s="12" t="n">
        <f aca="false">Marketing!CB28+Sales!CB24-Sales!CB19+'Customer Success'!CB33+Engineering!CB27-Engineering!CB11+Finance!CB38</f>
        <v>0</v>
      </c>
      <c r="CC10" s="12" t="n">
        <f aca="false">Marketing!CC28+Sales!CC24-Sales!CC19+'Customer Success'!CC33+Engineering!CC27-Engineering!CC11+Finance!CC38</f>
        <v>835100</v>
      </c>
      <c r="CD10" s="12" t="n">
        <f aca="false">Marketing!CD28+Sales!CD24-Sales!CD19+'Customer Success'!CD33+Engineering!CD27-Engineering!CD11+Finance!CD38</f>
        <v>835100</v>
      </c>
      <c r="CE10" s="13" t="n">
        <f aca="false">Marketing!CE28+Sales!CE24-Sales!CE19+'Customer Success'!CE33+Engineering!CE27-Engineering!CE11+Finance!CE38</f>
        <v>0</v>
      </c>
      <c r="CF10" s="13" t="n">
        <f aca="false">Marketing!CF28+Sales!CF24-Sales!CF19+'Customer Success'!CF33+Engineering!CF27-Engineering!CF11+Finance!CF38</f>
        <v>820460</v>
      </c>
      <c r="CG10" s="13" t="n">
        <f aca="false">Marketing!CG28+Sales!CG24-Sales!CG19+'Customer Success'!CG33+Engineering!CG27-Engineering!CG11+Finance!CG38</f>
        <v>820460</v>
      </c>
      <c r="CH10" s="12" t="n">
        <f aca="false">Marketing!CH28+Sales!CH24-Sales!CH19+'Customer Success'!CH33+Engineering!CH27-Engineering!CH11+Finance!CH38</f>
        <v>0</v>
      </c>
      <c r="CI10" s="12" t="n">
        <f aca="false">Marketing!CI28+Sales!CI24-Sales!CI19+'Customer Success'!CI33+Engineering!CI27-Engineering!CI11+Finance!CI38</f>
        <v>820460</v>
      </c>
      <c r="CJ10" s="12" t="n">
        <f aca="false">Marketing!CJ28+Sales!CJ24-Sales!CJ19+'Customer Success'!CJ33+Engineering!CJ27-Engineering!CJ11+Finance!CJ38</f>
        <v>820460</v>
      </c>
      <c r="CK10" s="13" t="n">
        <f aca="false">Marketing!CK28+Sales!CK24-Sales!CK19+'Customer Success'!CK33+Engineering!CK27-Engineering!CK11+Finance!CK38</f>
        <v>0</v>
      </c>
      <c r="CL10" s="13" t="n">
        <f aca="false">Marketing!CL28+Sales!CL24-Sales!CL19+'Customer Success'!CL33+Engineering!CL27-Engineering!CL11+Finance!CL38</f>
        <v>820460</v>
      </c>
      <c r="CM10" s="13" t="n">
        <f aca="false">Marketing!CM28+Sales!CM24-Sales!CM19+'Customer Success'!CM33+Engineering!CM27-Engineering!CM11+Finance!CM38</f>
        <v>820460</v>
      </c>
      <c r="CN10" s="12" t="n">
        <f aca="false">Marketing!CN28+Sales!CN24-Sales!CN19+'Customer Success'!CN33+Engineering!CN27-Engineering!CN11+Finance!CN38</f>
        <v>0</v>
      </c>
      <c r="CO10" s="12" t="n">
        <f aca="false">Marketing!CO28+Sales!CO24-Sales!CO19+'Customer Success'!CO33+Engineering!CO27-Engineering!CO11+Finance!CO38</f>
        <v>820460</v>
      </c>
      <c r="CP10" s="12" t="n">
        <f aca="false">Marketing!CP28+Sales!CP24-Sales!CP19+'Customer Success'!CP33+Engineering!CP27-Engineering!CP11+Finance!CP38</f>
        <v>820460</v>
      </c>
      <c r="CQ10" s="13" t="n">
        <f aca="false">Marketing!CQ28+Sales!CQ24-Sales!CQ19+'Customer Success'!CQ33+Engineering!CQ27-Engineering!CQ11+Finance!CQ38</f>
        <v>0</v>
      </c>
      <c r="CR10" s="13" t="n">
        <f aca="false">Marketing!CR28+Sales!CR24-Sales!CR19+'Customer Success'!CR33+Engineering!CR27-Engineering!CR11+Finance!CR38</f>
        <v>809480</v>
      </c>
      <c r="CS10" s="13" t="n">
        <f aca="false">Marketing!CS28+Sales!CS24-Sales!CS19+'Customer Success'!CS33+Engineering!CS27-Engineering!CS11+Finance!CS38</f>
        <v>809480</v>
      </c>
      <c r="CT10" s="12" t="n">
        <f aca="false">Marketing!CT28+Sales!CT24-Sales!CT19+'Customer Success'!CT33+Engineering!CT27-Engineering!CT11+Finance!CT38</f>
        <v>0</v>
      </c>
      <c r="CU10" s="12" t="n">
        <f aca="false">Marketing!CU28+Sales!CU24-Sales!CU19+'Customer Success'!CU33+Engineering!CU27-Engineering!CU11+Finance!CU38</f>
        <v>809480</v>
      </c>
      <c r="CV10" s="12" t="n">
        <f aca="false">Marketing!CV28+Sales!CV24-Sales!CV19+'Customer Success'!CV33+Engineering!CV27-Engineering!CV11+Finance!CV38</f>
        <v>809480</v>
      </c>
      <c r="CW10" s="13" t="n">
        <f aca="false">Marketing!CW28+Sales!CW24-Sales!CW19+'Customer Success'!CW33+Engineering!CW27-Engineering!CW11+Finance!CW38</f>
        <v>0</v>
      </c>
      <c r="CX10" s="13" t="n">
        <f aca="false">Marketing!CX28+Sales!CX24-Sales!CX19+'Customer Success'!CX33+Engineering!CX27-Engineering!CX11+Finance!CX38</f>
        <v>794840</v>
      </c>
      <c r="CY10" s="13" t="n">
        <f aca="false">Marketing!CY28+Sales!CY24-Sales!CY19+'Customer Success'!CY33+Engineering!CY27-Engineering!CY11+Finance!CY38</f>
        <v>794840</v>
      </c>
      <c r="CZ10" s="12" t="n">
        <f aca="false">Marketing!CZ28+Sales!CZ24-Sales!CZ19+'Customer Success'!CZ33+Engineering!CZ27-Engineering!CZ11+Finance!CZ38</f>
        <v>0</v>
      </c>
      <c r="DA10" s="12" t="n">
        <f aca="false">Marketing!DA28+Sales!DA24-Sales!DA19+'Customer Success'!DA33+Engineering!DA27-Engineering!DA11+Finance!DA38</f>
        <v>794840</v>
      </c>
      <c r="DB10" s="12" t="n">
        <f aca="false">Marketing!DB28+Sales!DB24-Sales!DB19+'Customer Success'!DB33+Engineering!DB27-Engineering!DB11+Finance!DB38</f>
        <v>794840</v>
      </c>
      <c r="DC10" s="13" t="n">
        <f aca="false">Marketing!DC28+Sales!DC24-Sales!DC19+'Customer Success'!DC33+Engineering!DC27-Engineering!DC11+Finance!DC38</f>
        <v>0</v>
      </c>
      <c r="DD10" s="13" t="n">
        <f aca="false">Marketing!DD28+Sales!DD24-Sales!DD19+'Customer Success'!DD33+Engineering!DD27-Engineering!DD11+Finance!DD38</f>
        <v>794840</v>
      </c>
      <c r="DE10" s="13" t="n">
        <f aca="false">Marketing!DE28+Sales!DE24-Sales!DE19+'Customer Success'!DE33+Engineering!DE27-Engineering!DE11+Finance!DE38</f>
        <v>794840</v>
      </c>
      <c r="DF10" s="12" t="n">
        <f aca="false">Marketing!DF28+Sales!DF24-Sales!DF19+'Customer Success'!DF33+Engineering!DF27-Engineering!DF11+Finance!DF38</f>
        <v>0</v>
      </c>
      <c r="DG10" s="12" t="n">
        <f aca="false">Marketing!DG28+Sales!DG24-Sales!DG19+'Customer Success'!DG33+Engineering!DG27-Engineering!DG11+Finance!DG38</f>
        <v>785080</v>
      </c>
      <c r="DH10" s="12" t="n">
        <f aca="false">Marketing!DH28+Sales!DH24-Sales!DH19+'Customer Success'!DH33+Engineering!DH27-Engineering!DH11+Finance!DH38</f>
        <v>785080</v>
      </c>
      <c r="DI10" s="13" t="n">
        <f aca="false">Marketing!DI28+Sales!DI24-Sales!DI19+'Customer Success'!DI33+Engineering!DI27-Engineering!DI11+Finance!DI38</f>
        <v>785080</v>
      </c>
      <c r="DJ10" s="13" t="n">
        <f aca="false">Marketing!DJ28+Sales!DJ24-Sales!DJ19+'Customer Success'!DJ33+Engineering!DJ27-Engineering!DJ11+Finance!DJ38</f>
        <v>785080</v>
      </c>
      <c r="DK10" s="13" t="n">
        <f aca="false">Marketing!DK28+Sales!DK24-Sales!DK19+'Customer Success'!DK33+Engineering!DK27-Engineering!DK11+Finance!DK38</f>
        <v>785080</v>
      </c>
      <c r="DL10" s="12" t="n">
        <f aca="false">Marketing!DL28+Sales!DL24-Sales!DL19+'Customer Success'!DL33+Engineering!DL27-Engineering!DL11+Finance!DL38</f>
        <v>785080</v>
      </c>
      <c r="DM10" s="12" t="n">
        <f aca="false">Marketing!DM28+Sales!DM24-Sales!DM19+'Customer Success'!DM33+Engineering!DM27-Engineering!DM11+Finance!DM38</f>
        <v>785080</v>
      </c>
      <c r="DN10" s="12" t="n">
        <f aca="false">Marketing!DN28+Sales!DN24-Sales!DN19+'Customer Success'!DN33+Engineering!DN27-Engineering!DN11+Finance!DN38</f>
        <v>785080</v>
      </c>
    </row>
    <row r="11" customFormat="false" ht="15" hidden="false" customHeight="false" outlineLevel="0" collapsed="false">
      <c r="A11" s="5" t="s">
        <v>110</v>
      </c>
      <c r="B11" s="12" t="str">
        <f aca="false">IF(COUNT(AR11,AO11,AL11,AI11,AF11,AC11,Z11,W11,T11,Q11,N11,K11)=0,"",SUM(AR11,AO11,AL11,AI11,AF11,AC11,Z11,W11,T11,Q11,N11,K11))</f>
        <v/>
      </c>
      <c r="C11" s="12" t="n">
        <f aca="false">IF(COUNT(AS11,AP11,AM11,AJ11,AG11,AD11,AA11,X11,U11,R11,O11,L11)=0,"",SUM(AS11,AP11,AM11,AJ11,AG11,AD11,AA11,X11,U11,R11,O11,L11))</f>
        <v>106125</v>
      </c>
      <c r="D11" s="12" t="n">
        <f aca="false">IF(COUNT(AT11,AQ11,AN11,AK11,AH11,AE11,AB11,Y11,V11,S11,P11,M11)=0,"",SUM(AT11,AQ11,AN11,AK11,AH11,AE11,AB11,Y11,V11,S11,P11,M11))</f>
        <v>106125</v>
      </c>
      <c r="E11" s="13" t="str">
        <f aca="false">IF(COUNT(CB11,BY11,BV11,BS11,BP11,BM11,BJ11,BG11,BD11,BA11,AX11,AU11)=0,"",SUM(CB11,BY11,BV11,BS11,BP11,BM11,BJ11,BG11,BD11,BA11,AX11,AU11))</f>
        <v/>
      </c>
      <c r="F11" s="13" t="n">
        <f aca="false">IF(COUNT(CC11,BZ11,BW11,BT11,BQ11,BN11,BK11,BH11,BE11,BB11,AY11,AV11)=0,"",SUM(CC11,BZ11,BW11,BT11,BQ11,BN11,BK11,BH11,BE11,BB11,AY11,AV11))</f>
        <v>82250</v>
      </c>
      <c r="G11" s="13" t="n">
        <f aca="false">IF(COUNT(CD11,CA11,BX11,BU11,BR11,BO11,BL11,BI11,BF11,BC11,AZ11,AW11)=0,"",SUM(CD11,CA11,BX11,BU11,BR11,BO11,BL11,BI11,BF11,BC11,AZ11,AW11))</f>
        <v>82250</v>
      </c>
      <c r="H11" s="12" t="n">
        <f aca="false">IF(COUNT(DL11,DI11,DF11,DC11,CZ11,CW11,CT11,CQ11,CN11,CK11,CH11,CE11)=0,"",SUM(DL11,DI11,DF11,DC11,CZ11,CW11,CT11,CQ11,CN11,CK11,CH11,CE11))</f>
        <v>10000</v>
      </c>
      <c r="I11" s="12" t="n">
        <f aca="false">IF(COUNT(DM11,DJ11,DG11,DD11,DA11,CX11,CU11,CR11,CO11,CL11,CI11,CF11)=0,"",SUM(DM11,DJ11,DG11,DD11,DA11,CX11,CU11,CR11,CO11,CL11,CI11,CF11))</f>
        <v>62750</v>
      </c>
      <c r="J11" s="12" t="n">
        <f aca="false">IF(COUNT(DN11,DK11,DH11,DE11,DB11,CY11,CV11,CS11,CP11,CM11,CJ11,CG11)=0,"",SUM(DN11,DK11,DH11,DE11,DB11,CY11,CV11,CS11,CP11,CM11,CJ11,CG11))</f>
        <v>62750</v>
      </c>
      <c r="K11" s="13" t="str">
        <f aca="false">IF(COUNT(Finance!K20)=1,Finance!K20,"")</f>
        <v/>
      </c>
      <c r="L11" s="13" t="n">
        <f aca="false">Finance!L20</f>
        <v>9000</v>
      </c>
      <c r="M11" s="13" t="n">
        <f aca="false">Finance!M20</f>
        <v>9000</v>
      </c>
      <c r="N11" s="12" t="str">
        <f aca="false">IF(COUNT(Finance!N20)=1,Finance!N20,"")</f>
        <v/>
      </c>
      <c r="O11" s="12" t="n">
        <f aca="false">Finance!O20</f>
        <v>9000</v>
      </c>
      <c r="P11" s="12" t="n">
        <f aca="false">Finance!P20</f>
        <v>9000</v>
      </c>
      <c r="Q11" s="13" t="str">
        <f aca="false">IF(COUNT(Finance!Q20)=1,Finance!Q20,"")</f>
        <v/>
      </c>
      <c r="R11" s="13" t="n">
        <f aca="false">Finance!R20</f>
        <v>9000</v>
      </c>
      <c r="S11" s="13" t="n">
        <f aca="false">Finance!S20</f>
        <v>9000</v>
      </c>
      <c r="T11" s="12" t="str">
        <f aca="false">IF(COUNT(Finance!T20)=1,Finance!T20,"")</f>
        <v/>
      </c>
      <c r="U11" s="12" t="n">
        <f aca="false">Finance!U20</f>
        <v>9000</v>
      </c>
      <c r="V11" s="12" t="n">
        <f aca="false">Finance!V20</f>
        <v>9000</v>
      </c>
      <c r="W11" s="13" t="str">
        <f aca="false">IF(COUNT(Finance!W20)=1,Finance!W20,"")</f>
        <v/>
      </c>
      <c r="X11" s="13" t="n">
        <f aca="false">Finance!X20</f>
        <v>9000</v>
      </c>
      <c r="Y11" s="13" t="n">
        <f aca="false">Finance!Y20</f>
        <v>9000</v>
      </c>
      <c r="Z11" s="12" t="str">
        <f aca="false">IF(COUNT(Finance!Z20)=1,Finance!Z20,"")</f>
        <v/>
      </c>
      <c r="AA11" s="12" t="n">
        <f aca="false">Finance!AA20</f>
        <v>9000</v>
      </c>
      <c r="AB11" s="12" t="n">
        <f aca="false">Finance!AB20</f>
        <v>9000</v>
      </c>
      <c r="AC11" s="13" t="str">
        <f aca="false">IF(COUNT(Finance!AC20)=1,Finance!AC20,"")</f>
        <v/>
      </c>
      <c r="AD11" s="13" t="n">
        <f aca="false">Finance!AD20</f>
        <v>8875</v>
      </c>
      <c r="AE11" s="13" t="n">
        <f aca="false">Finance!AE20</f>
        <v>8875</v>
      </c>
      <c r="AF11" s="12" t="str">
        <f aca="false">IF(COUNT(Finance!AF20)=1,Finance!AF20,"")</f>
        <v/>
      </c>
      <c r="AG11" s="12" t="n">
        <f aca="false">Finance!AG20</f>
        <v>8875</v>
      </c>
      <c r="AH11" s="12" t="n">
        <f aca="false">Finance!AH20</f>
        <v>8875</v>
      </c>
      <c r="AI11" s="13" t="str">
        <f aca="false">IF(COUNT(Finance!AI20)=1,Finance!AI20,"")</f>
        <v/>
      </c>
      <c r="AJ11" s="13" t="n">
        <f aca="false">Finance!AJ20</f>
        <v>8875</v>
      </c>
      <c r="AK11" s="13" t="n">
        <f aca="false">Finance!AK20</f>
        <v>8875</v>
      </c>
      <c r="AL11" s="12" t="str">
        <f aca="false">IF(COUNT(Finance!AL20)=1,Finance!AL20,"")</f>
        <v/>
      </c>
      <c r="AM11" s="12" t="n">
        <f aca="false">Finance!AM20</f>
        <v>8750</v>
      </c>
      <c r="AN11" s="12" t="n">
        <f aca="false">Finance!AN20</f>
        <v>8750</v>
      </c>
      <c r="AO11" s="13" t="str">
        <f aca="false">IF(COUNT(Finance!AO20)=1,Finance!AO20,"")</f>
        <v/>
      </c>
      <c r="AP11" s="13" t="n">
        <f aca="false">Finance!AP20</f>
        <v>8500</v>
      </c>
      <c r="AQ11" s="13" t="n">
        <f aca="false">Finance!AQ20</f>
        <v>8500</v>
      </c>
      <c r="AR11" s="12" t="str">
        <f aca="false">IF(COUNT(Finance!AR20)=1,Finance!AR20,"")</f>
        <v/>
      </c>
      <c r="AS11" s="12" t="n">
        <f aca="false">Finance!AS20</f>
        <v>8250</v>
      </c>
      <c r="AT11" s="12" t="n">
        <f aca="false">Finance!AT20</f>
        <v>8250</v>
      </c>
      <c r="AU11" s="13" t="str">
        <f aca="false">IF(COUNT(Finance!AU20)=1,Finance!AU20,"")</f>
        <v/>
      </c>
      <c r="AV11" s="13" t="n">
        <f aca="false">Finance!AV20</f>
        <v>8000</v>
      </c>
      <c r="AW11" s="13" t="n">
        <f aca="false">Finance!AW20</f>
        <v>8000</v>
      </c>
      <c r="AX11" s="12" t="str">
        <f aca="false">IF(COUNT(Finance!AX20)=1,Finance!AX20,"")</f>
        <v/>
      </c>
      <c r="AY11" s="12" t="n">
        <f aca="false">Finance!AY20</f>
        <v>8000</v>
      </c>
      <c r="AZ11" s="12" t="n">
        <f aca="false">Finance!AZ20</f>
        <v>8000</v>
      </c>
      <c r="BA11" s="13" t="str">
        <f aca="false">IF(COUNT(Finance!BA20)=1,Finance!BA20,"")</f>
        <v/>
      </c>
      <c r="BB11" s="13" t="n">
        <f aca="false">Finance!BB20</f>
        <v>7750</v>
      </c>
      <c r="BC11" s="13" t="n">
        <f aca="false">Finance!BC20</f>
        <v>7750</v>
      </c>
      <c r="BD11" s="12" t="str">
        <f aca="false">IF(COUNT(Finance!BD20)=1,Finance!BD20,"")</f>
        <v/>
      </c>
      <c r="BE11" s="12" t="n">
        <f aca="false">Finance!BE20</f>
        <v>7500</v>
      </c>
      <c r="BF11" s="12" t="n">
        <f aca="false">Finance!BF20</f>
        <v>7500</v>
      </c>
      <c r="BG11" s="13" t="str">
        <f aca="false">IF(COUNT(Finance!BG20)=1,Finance!BG20,"")</f>
        <v/>
      </c>
      <c r="BH11" s="13" t="n">
        <f aca="false">Finance!BH20</f>
        <v>7250</v>
      </c>
      <c r="BI11" s="13" t="n">
        <f aca="false">Finance!BI20</f>
        <v>7250</v>
      </c>
      <c r="BJ11" s="12" t="str">
        <f aca="false">IF(COUNT(Finance!BJ20)=1,Finance!BJ20,"")</f>
        <v/>
      </c>
      <c r="BK11" s="12" t="n">
        <f aca="false">Finance!BK20</f>
        <v>6875</v>
      </c>
      <c r="BL11" s="12" t="n">
        <f aca="false">Finance!BL20</f>
        <v>6875</v>
      </c>
      <c r="BM11" s="13" t="str">
        <f aca="false">IF(COUNT(Finance!BM20)=1,Finance!BM20,"")</f>
        <v/>
      </c>
      <c r="BN11" s="13" t="n">
        <f aca="false">Finance!BN20</f>
        <v>6750</v>
      </c>
      <c r="BO11" s="13" t="n">
        <f aca="false">Finance!BO20</f>
        <v>6750</v>
      </c>
      <c r="BP11" s="12" t="str">
        <f aca="false">IF(COUNT(Finance!BP20)=1,Finance!BP20,"")</f>
        <v/>
      </c>
      <c r="BQ11" s="12" t="n">
        <f aca="false">Finance!BQ20</f>
        <v>6375</v>
      </c>
      <c r="BR11" s="12" t="n">
        <f aca="false">Finance!BR20</f>
        <v>6375</v>
      </c>
      <c r="BS11" s="13" t="str">
        <f aca="false">IF(COUNT(Finance!BS20)=1,Finance!BS20,"")</f>
        <v/>
      </c>
      <c r="BT11" s="13" t="n">
        <f aca="false">Finance!BT20</f>
        <v>6250</v>
      </c>
      <c r="BU11" s="13" t="n">
        <f aca="false">Finance!BU20</f>
        <v>6250</v>
      </c>
      <c r="BV11" s="12" t="str">
        <f aca="false">IF(COUNT(Finance!BV20)=1,Finance!BV20,"")</f>
        <v/>
      </c>
      <c r="BW11" s="12" t="n">
        <f aca="false">Finance!BW20</f>
        <v>6000</v>
      </c>
      <c r="BX11" s="12" t="n">
        <f aca="false">Finance!BX20</f>
        <v>6000</v>
      </c>
      <c r="BY11" s="13" t="str">
        <f aca="false">IF(COUNT(Finance!BY20)=1,Finance!BY20,"")</f>
        <v/>
      </c>
      <c r="BZ11" s="13" t="n">
        <f aca="false">Finance!BZ20</f>
        <v>5875</v>
      </c>
      <c r="CA11" s="13" t="n">
        <f aca="false">Finance!CA20</f>
        <v>5875</v>
      </c>
      <c r="CB11" s="12" t="str">
        <f aca="false">IF(COUNT(Finance!CB20)=1,Finance!CB20,"")</f>
        <v/>
      </c>
      <c r="CC11" s="12" t="n">
        <f aca="false">Finance!CC20</f>
        <v>5625</v>
      </c>
      <c r="CD11" s="12" t="n">
        <f aca="false">Finance!CD20</f>
        <v>5625</v>
      </c>
      <c r="CE11" s="13" t="str">
        <f aca="false">IF(COUNT(Finance!CE20)=1,Finance!CE20,"")</f>
        <v/>
      </c>
      <c r="CF11" s="13" t="n">
        <f aca="false">Finance!CF20</f>
        <v>5500</v>
      </c>
      <c r="CG11" s="13" t="n">
        <f aca="false">Finance!CG20</f>
        <v>5500</v>
      </c>
      <c r="CH11" s="12" t="str">
        <f aca="false">IF(COUNT(Finance!CH20)=1,Finance!CH20,"")</f>
        <v/>
      </c>
      <c r="CI11" s="12" t="n">
        <f aca="false">Finance!CI20</f>
        <v>5500</v>
      </c>
      <c r="CJ11" s="12" t="n">
        <f aca="false">Finance!CJ20</f>
        <v>5500</v>
      </c>
      <c r="CK11" s="13" t="str">
        <f aca="false">IF(COUNT(Finance!CK20)=1,Finance!CK20,"")</f>
        <v/>
      </c>
      <c r="CL11" s="13" t="n">
        <f aca="false">Finance!CL20</f>
        <v>5500</v>
      </c>
      <c r="CM11" s="13" t="n">
        <f aca="false">Finance!CM20</f>
        <v>5500</v>
      </c>
      <c r="CN11" s="12" t="str">
        <f aca="false">IF(COUNT(Finance!CN20)=1,Finance!CN20,"")</f>
        <v/>
      </c>
      <c r="CO11" s="12" t="n">
        <f aca="false">Finance!CO20</f>
        <v>5375</v>
      </c>
      <c r="CP11" s="12" t="n">
        <f aca="false">Finance!CP20</f>
        <v>5375</v>
      </c>
      <c r="CQ11" s="13" t="str">
        <f aca="false">IF(COUNT(Finance!CQ20)=1,Finance!CQ20,"")</f>
        <v/>
      </c>
      <c r="CR11" s="13" t="n">
        <f aca="false">Finance!CR20</f>
        <v>5250</v>
      </c>
      <c r="CS11" s="13" t="n">
        <f aca="false">Finance!CS20</f>
        <v>5250</v>
      </c>
      <c r="CT11" s="12" t="str">
        <f aca="false">IF(COUNT(Finance!CT20)=1,Finance!CT20,"")</f>
        <v/>
      </c>
      <c r="CU11" s="12" t="n">
        <f aca="false">Finance!CU20</f>
        <v>5250</v>
      </c>
      <c r="CV11" s="12" t="n">
        <f aca="false">Finance!CV20</f>
        <v>5250</v>
      </c>
      <c r="CW11" s="13" t="str">
        <f aca="false">IF(COUNT(Finance!CW20)=1,Finance!CW20,"")</f>
        <v/>
      </c>
      <c r="CX11" s="13" t="n">
        <f aca="false">Finance!CX20</f>
        <v>5125</v>
      </c>
      <c r="CY11" s="13" t="n">
        <f aca="false">Finance!CY20</f>
        <v>5125</v>
      </c>
      <c r="CZ11" s="12" t="str">
        <f aca="false">IF(COUNT(Finance!CZ20)=1,Finance!CZ20,"")</f>
        <v/>
      </c>
      <c r="DA11" s="12" t="n">
        <f aca="false">Finance!DA20</f>
        <v>5125</v>
      </c>
      <c r="DB11" s="12" t="n">
        <f aca="false">Finance!DB20</f>
        <v>5125</v>
      </c>
      <c r="DC11" s="13" t="str">
        <f aca="false">IF(COUNT(Finance!DC20)=1,Finance!DC20,"")</f>
        <v/>
      </c>
      <c r="DD11" s="13" t="n">
        <f aca="false">Finance!DD20</f>
        <v>5125</v>
      </c>
      <c r="DE11" s="13" t="n">
        <f aca="false">Finance!DE20</f>
        <v>5125</v>
      </c>
      <c r="DF11" s="12" t="str">
        <f aca="false">IF(COUNT(Finance!DF20)=1,Finance!DF20,"")</f>
        <v/>
      </c>
      <c r="DG11" s="12" t="n">
        <f aca="false">Finance!DG20</f>
        <v>5000</v>
      </c>
      <c r="DH11" s="12" t="n">
        <f aca="false">Finance!DH20</f>
        <v>5000</v>
      </c>
      <c r="DI11" s="13" t="n">
        <f aca="false">IF(COUNT(Finance!DI20)=1,Finance!DI20,"")</f>
        <v>5000</v>
      </c>
      <c r="DJ11" s="13" t="n">
        <f aca="false">Finance!DJ20</f>
        <v>5000</v>
      </c>
      <c r="DK11" s="13" t="n">
        <f aca="false">Finance!DK20</f>
        <v>5000</v>
      </c>
      <c r="DL11" s="12" t="n">
        <f aca="false">IF(COUNT(Finance!DL20)=1,Finance!DL20,"")</f>
        <v>5000</v>
      </c>
      <c r="DM11" s="12" t="n">
        <f aca="false">Finance!DM20</f>
        <v>5000</v>
      </c>
      <c r="DN11" s="12" t="n">
        <f aca="false">Finance!DN20</f>
        <v>5000</v>
      </c>
    </row>
    <row r="12" customFormat="false" ht="15" hidden="false" customHeight="false" outlineLevel="0" collapsed="false">
      <c r="A12" s="5" t="s">
        <v>111</v>
      </c>
      <c r="B12" s="12" t="n">
        <f aca="false">IF(COUNT(B8,B10)&lt;2,"",B8-B10-N(B11))</f>
        <v>0</v>
      </c>
      <c r="C12" s="12" t="n">
        <f aca="false">IF(COUNT(C8,C10)&lt;2,"",C8-C10-N(C11))</f>
        <v>7154221.93192075</v>
      </c>
      <c r="D12" s="12" t="n">
        <f aca="false">IF(COUNT(D8,D10)&lt;2,"",D8-D10-N(D11))</f>
        <v>6844722.012</v>
      </c>
      <c r="E12" s="13" t="n">
        <f aca="false">IF(COUNT(E8,E10)&lt;2,"",E8-E10-N(E11))</f>
        <v>0</v>
      </c>
      <c r="F12" s="13" t="n">
        <f aca="false">IF(COUNT(F8,F10)&lt;2,"",F8-F10-N(F11))</f>
        <v>3645073.29318339</v>
      </c>
      <c r="G12" s="13" t="n">
        <f aca="false">IF(COUNT(G8,G10)&lt;2,"",G8-G10-N(G11))</f>
        <v>3332064.672</v>
      </c>
      <c r="H12" s="12" t="n">
        <f aca="false">IF(COUNT(H8,H10)&lt;2,"",H8-H10-N(H11))</f>
        <v>13007.4476563982</v>
      </c>
      <c r="I12" s="12" t="n">
        <f aca="false">IF(COUNT(I8,I10)&lt;2,"",I8-I10-N(I11))</f>
        <v>1482568.77184448</v>
      </c>
      <c r="J12" s="12" t="n">
        <f aca="false">IF(COUNT(J8,J10)&lt;2,"",J8-J10-N(J11))</f>
        <v>1163037.932</v>
      </c>
      <c r="K12" s="13" t="str">
        <f aca="false">IF(COUNT(K8,K10,K11)=3,K8-K10-K11,"")</f>
        <v/>
      </c>
      <c r="L12" s="13" t="n">
        <f aca="false">L8-L10-L11</f>
        <v>871797.322220357</v>
      </c>
      <c r="M12" s="13" t="n">
        <f aca="false">M8-M10-M11</f>
        <v>846188.779</v>
      </c>
      <c r="N12" s="12" t="str">
        <f aca="false">IF(COUNT(N8,N10,N11)=3,N8-N10-N11,"")</f>
        <v/>
      </c>
      <c r="O12" s="12" t="n">
        <f aca="false">O8-O10-O11</f>
        <v>816632.262759611</v>
      </c>
      <c r="P12" s="12" t="n">
        <f aca="false">P8-P10-P11</f>
        <v>790990.906</v>
      </c>
      <c r="Q12" s="13" t="str">
        <f aca="false">IF(COUNT(Q8,Q10,Q11)=3,Q8-Q10-Q11,"")</f>
        <v/>
      </c>
      <c r="R12" s="13" t="n">
        <f aca="false">R8-R10-R11</f>
        <v>761902.766220777</v>
      </c>
      <c r="S12" s="13" t="n">
        <f aca="false">S8-S10-S11</f>
        <v>736228.858</v>
      </c>
      <c r="T12" s="12" t="str">
        <f aca="false">IF(COUNT(T8,T10,T11)=3,T8-T10-T11,"")</f>
        <v/>
      </c>
      <c r="U12" s="12" t="n">
        <f aca="false">U8-U10-U11</f>
        <v>707675.698680969</v>
      </c>
      <c r="V12" s="12" t="n">
        <f aca="false">V8-V10-V11</f>
        <v>681968.86</v>
      </c>
      <c r="W12" s="13" t="str">
        <f aca="false">IF(COUNT(W8,W10,W11)=3,W8-W10-W11,"")</f>
        <v/>
      </c>
      <c r="X12" s="13" t="n">
        <f aca="false">X8-X10-X11</f>
        <v>653881.554918067</v>
      </c>
      <c r="Y12" s="13" t="n">
        <f aca="false">Y8-Y10-Y11</f>
        <v>628142.052</v>
      </c>
      <c r="Z12" s="12" t="str">
        <f aca="false">IF(COUNT(Z8,Z10,Z11)=3,Z8-Z10-Z11,"")</f>
        <v/>
      </c>
      <c r="AA12" s="12" t="n">
        <f aca="false">AA8-AA10-AA11</f>
        <v>600519.333438591</v>
      </c>
      <c r="AB12" s="12" t="n">
        <f aca="false">AB8-AB10-AB11</f>
        <v>574747.439</v>
      </c>
      <c r="AC12" s="13" t="str">
        <f aca="false">IF(COUNT(AC8,AC10,AC11)=3,AC8-AC10-AC11,"")</f>
        <v/>
      </c>
      <c r="AD12" s="13" t="n">
        <f aca="false">AD8-AD10-AD11</f>
        <v>562554.639429652</v>
      </c>
      <c r="AE12" s="13" t="n">
        <f aca="false">AE8-AE10-AE11</f>
        <v>536749.942</v>
      </c>
      <c r="AF12" s="12" t="str">
        <f aca="false">IF(COUNT(AF8,AF10,AF11)=3,AF8-AF10-AF11,"")</f>
        <v/>
      </c>
      <c r="AG12" s="12" t="n">
        <f aca="false">AG8-AG10-AG11</f>
        <v>510255.836328327</v>
      </c>
      <c r="AH12" s="12" t="n">
        <f aca="false">AH8-AH10-AH11</f>
        <v>484418.599</v>
      </c>
      <c r="AI12" s="13" t="str">
        <f aca="false">IF(COUNT(AI8,AI10,AI11)=3,AI8-AI10-AI11,"")</f>
        <v/>
      </c>
      <c r="AJ12" s="13" t="n">
        <f aca="false">AJ8-AJ10-AJ11</f>
        <v>458452.718479532</v>
      </c>
      <c r="AK12" s="13" t="n">
        <f aca="false">AK8-AK10-AK11</f>
        <v>432582.485</v>
      </c>
      <c r="AL12" s="12" t="str">
        <f aca="false">IF(COUNT(AL8,AL10,AL11)=3,AL8-AL10-AL11,"")</f>
        <v/>
      </c>
      <c r="AM12" s="12" t="n">
        <f aca="false">AM8-AM10-AM11</f>
        <v>421908.288039515</v>
      </c>
      <c r="AN12" s="12" t="n">
        <f aca="false">AN8-AN10-AN11</f>
        <v>396004.578</v>
      </c>
      <c r="AO12" s="13" t="str">
        <f aca="false">IF(COUNT(AO8,AO10,AO11)=3,AO8-AO10-AO11,"")</f>
        <v/>
      </c>
      <c r="AP12" s="13" t="n">
        <f aca="false">AP8-AP10-AP11</f>
        <v>389575.486635773</v>
      </c>
      <c r="AQ12" s="13" t="n">
        <f aca="false">AQ8-AQ10-AQ11</f>
        <v>363638.557</v>
      </c>
      <c r="AR12" s="12" t="str">
        <f aca="false">IF(COUNT(AR8,AR10,AR11)=3,AR8-AR10-AR11,"")</f>
        <v/>
      </c>
      <c r="AS12" s="12" t="n">
        <f aca="false">AS8-AS10-AS11</f>
        <v>399066.02476958</v>
      </c>
      <c r="AT12" s="12" t="n">
        <f aca="false">AT8-AT10-AT11</f>
        <v>373060.957</v>
      </c>
      <c r="AU12" s="13" t="str">
        <f aca="false">IF(COUNT(AU8,AU10,AU11)=3,AU8-AU10-AU11,"")</f>
        <v/>
      </c>
      <c r="AV12" s="13" t="n">
        <f aca="false">AV8-AV10-AV11</f>
        <v>390165.551881051</v>
      </c>
      <c r="AW12" s="13" t="n">
        <f aca="false">AW8-AW10-AW11</f>
        <v>364157.248</v>
      </c>
      <c r="AX12" s="12" t="str">
        <f aca="false">IF(COUNT(AX8,AX10,AX11)=3,AX8-AX10-AX11,"")</f>
        <v/>
      </c>
      <c r="AY12" s="12" t="n">
        <f aca="false">AY8-AY10-AY11</f>
        <v>352054.662108553</v>
      </c>
      <c r="AZ12" s="12" t="n">
        <f aca="false">AZ8-AZ10-AZ11</f>
        <v>325979.191</v>
      </c>
      <c r="BA12" s="13" t="str">
        <f aca="false">IF(COUNT(BA8,BA10,BA11)=3,BA8-BA10-BA11,"")</f>
        <v/>
      </c>
      <c r="BB12" s="13" t="n">
        <f aca="false">BB8-BB10-BB11</f>
        <v>342508.120903687</v>
      </c>
      <c r="BC12" s="13" t="n">
        <f aca="false">BC8-BC10-BC11</f>
        <v>316429.513</v>
      </c>
      <c r="BD12" s="12" t="str">
        <f aca="false">IF(COUNT(BD8,BD10,BD11)=3,BD8-BD10-BD11,"")</f>
        <v/>
      </c>
      <c r="BE12" s="12" t="n">
        <f aca="false">BE8-BE10-BE11</f>
        <v>334499.080141856</v>
      </c>
      <c r="BF12" s="12" t="n">
        <f aca="false">BF8-BF10-BF11</f>
        <v>308416.867</v>
      </c>
      <c r="BG12" s="13" t="str">
        <f aca="false">IF(COUNT(BG8,BG10,BG11)=3,BG8-BG10-BG11,"")</f>
        <v/>
      </c>
      <c r="BH12" s="13" t="n">
        <f aca="false">BH8-BH10-BH11</f>
        <v>315763.106061095</v>
      </c>
      <c r="BI12" s="13" t="n">
        <f aca="false">BI8-BI10-BI11</f>
        <v>289677.669</v>
      </c>
      <c r="BJ12" s="12" t="str">
        <f aca="false">IF(COUNT(BJ8,BJ10,BJ11)=3,BJ8-BJ10-BJ11,"")</f>
        <v/>
      </c>
      <c r="BK12" s="12" t="n">
        <f aca="false">BK8-BK10-BK11</f>
        <v>321867.551449172</v>
      </c>
      <c r="BL12" s="12" t="n">
        <f aca="false">BL8-BL10-BL11</f>
        <v>295778.403</v>
      </c>
      <c r="BM12" s="13" t="str">
        <f aca="false">IF(COUNT(BM8,BM10,BM11)=3,BM8-BM10-BM11,"")</f>
        <v/>
      </c>
      <c r="BN12" s="13" t="n">
        <f aca="false">BN8-BN10-BN11</f>
        <v>295033.79705404</v>
      </c>
      <c r="BO12" s="13" t="n">
        <f aca="false">BO8-BO10-BO11</f>
        <v>268941.333</v>
      </c>
      <c r="BP12" s="12" t="str">
        <f aca="false">IF(COUNT(BP8,BP10,BP11)=3,BP8-BP10-BP11,"")</f>
        <v/>
      </c>
      <c r="BQ12" s="12" t="n">
        <f aca="false">BQ8-BQ10-BQ11</f>
        <v>293121.500969013</v>
      </c>
      <c r="BR12" s="12" t="n">
        <f aca="false">BR8-BR10-BR11</f>
        <v>267025.212</v>
      </c>
      <c r="BS12" s="13" t="str">
        <f aca="false">IF(COUNT(BS8,BS10,BS11)=3,BS8-BS10-BS11,"")</f>
        <v/>
      </c>
      <c r="BT12" s="13" t="n">
        <f aca="false">BT8-BT10-BT11</f>
        <v>265744.442748683</v>
      </c>
      <c r="BU12" s="13" t="n">
        <f aca="false">BU8-BU10-BU11</f>
        <v>239643.802</v>
      </c>
      <c r="BV12" s="12" t="str">
        <f aca="false">IF(COUNT(BV8,BV10,BV11)=3,BV8-BV10-BV11,"")</f>
        <v/>
      </c>
      <c r="BW12" s="12" t="n">
        <f aca="false">BW8-BW10-BW11</f>
        <v>253341.941817102</v>
      </c>
      <c r="BX12" s="12" t="n">
        <f aca="false">BX8-BX10-BX11</f>
        <v>227237.34</v>
      </c>
      <c r="BY12" s="13" t="str">
        <f aca="false">IF(COUNT(BY8,BY10,BY11)=3,BY8-BY10-BY11,"")</f>
        <v/>
      </c>
      <c r="BZ12" s="13" t="n">
        <f aca="false">BZ8-BZ10-BZ11</f>
        <v>227664.431713699</v>
      </c>
      <c r="CA12" s="13" t="n">
        <f aca="false">CA8-CA10-CA11</f>
        <v>201555.294</v>
      </c>
      <c r="CB12" s="12" t="str">
        <f aca="false">IF(COUNT(CB8,CB10,CB11)=3,CB8-CB10-CB11,"")</f>
        <v/>
      </c>
      <c r="CC12" s="12" t="n">
        <f aca="false">CC8-CC10-CC11</f>
        <v>253309.10633544</v>
      </c>
      <c r="CD12" s="12" t="n">
        <f aca="false">CD8-CD10-CD11</f>
        <v>227222.8</v>
      </c>
      <c r="CE12" s="13" t="str">
        <f aca="false">IF(COUNT(CE8,CE10,CE11)=3,CE8-CE10-CE11,"")</f>
        <v/>
      </c>
      <c r="CF12" s="13" t="n">
        <f aca="false">CF8-CF10-CF11</f>
        <v>242683.150189132</v>
      </c>
      <c r="CG12" s="13" t="n">
        <f aca="false">CG8-CG10-CG11</f>
        <v>216619.236</v>
      </c>
      <c r="CH12" s="12" t="str">
        <f aca="false">IF(COUNT(CH8,CH10,CH11)=3,CH8-CH10-CH11,"")</f>
        <v/>
      </c>
      <c r="CI12" s="12" t="n">
        <f aca="false">CI8-CI10-CI11</f>
        <v>217445.834726505</v>
      </c>
      <c r="CJ12" s="12" t="n">
        <f aca="false">CJ8-CJ10-CJ11</f>
        <v>191344.945</v>
      </c>
      <c r="CK12" s="13" t="str">
        <f aca="false">IF(COUNT(CK8,CK10,CK11)=3,CK8-CK10-CK11,"")</f>
        <v/>
      </c>
      <c r="CL12" s="13" t="n">
        <f aca="false">CL8-CL10-CL11</f>
        <v>192301.918502202</v>
      </c>
      <c r="CM12" s="13" t="n">
        <f aca="false">CM8-CM10-CM11</f>
        <v>166223.726</v>
      </c>
      <c r="CN12" s="12" t="str">
        <f aca="false">IF(COUNT(CN8,CN10,CN11)=3,CN8-CN10-CN11,"")</f>
        <v/>
      </c>
      <c r="CO12" s="12" t="n">
        <f aca="false">CO8-CO10-CO11</f>
        <v>175975.788319458</v>
      </c>
      <c r="CP12" s="12" t="n">
        <f aca="false">CP8-CP10-CP11</f>
        <v>149919.836</v>
      </c>
      <c r="CQ12" s="13" t="str">
        <f aca="false">IF(COUNT(CQ8,CQ10,CQ11)=3,CQ8-CQ10-CQ11,"")</f>
        <v/>
      </c>
      <c r="CR12" s="13" t="n">
        <f aca="false">CR8-CR10-CR11</f>
        <v>162241.708478154</v>
      </c>
      <c r="CS12" s="13" t="n">
        <f aca="false">CS8-CS10-CS11</f>
        <v>136149.999</v>
      </c>
      <c r="CT12" s="12" t="str">
        <f aca="false">IF(COUNT(CT8,CT10,CT11)=3,CT8-CT10-CT11,"")</f>
        <v/>
      </c>
      <c r="CU12" s="12" t="n">
        <f aca="false">CU8-CU10-CU11</f>
        <v>137495.787900215</v>
      </c>
      <c r="CV12" s="12" t="n">
        <f aca="false">CV8-CV10-CV11</f>
        <v>111426.632</v>
      </c>
      <c r="CW12" s="13" t="str">
        <f aca="false">IF(COUNT(CW8,CW10,CW11)=3,CW8-CW10-CW11,"")</f>
        <v/>
      </c>
      <c r="CX12" s="13" t="n">
        <f aca="false">CX8-CX10-CX11</f>
        <v>127666.061369017</v>
      </c>
      <c r="CY12" s="13" t="n">
        <f aca="false">CY8-CY10-CY11</f>
        <v>101618.985</v>
      </c>
      <c r="CZ12" s="12" t="str">
        <f aca="false">IF(COUNT(CZ8,CZ10,CZ11)=3,CZ8-CZ10-CZ11,"")</f>
        <v/>
      </c>
      <c r="DA12" s="12" t="n">
        <f aca="false">DA8-DA10-DA11</f>
        <v>103356.784405435</v>
      </c>
      <c r="DB12" s="12" t="n">
        <f aca="false">DB8-DB10-DB11</f>
        <v>77275.219</v>
      </c>
      <c r="DC12" s="13" t="str">
        <f aca="false">IF(COUNT(DC8,DC10,DC11)=3,DC8-DC10-DC11,"")</f>
        <v/>
      </c>
      <c r="DD12" s="13" t="n">
        <f aca="false">DD8-DD10-DD11</f>
        <v>79141.9415430841</v>
      </c>
      <c r="DE12" s="13" t="n">
        <f aca="false">DE8-DE10-DE11</f>
        <v>53082.754</v>
      </c>
      <c r="DF12" s="12" t="str">
        <f aca="false">IF(COUNT(DF8,DF10,DF11)=3,DF8-DF10-DF11,"")</f>
        <v/>
      </c>
      <c r="DG12" s="12" t="n">
        <f aca="false">DG8-DG10-DG11</f>
        <v>31252.3487548775</v>
      </c>
      <c r="DH12" s="12" t="n">
        <f aca="false">DH8-DH10-DH11</f>
        <v>-19358.878</v>
      </c>
      <c r="DI12" s="13" t="n">
        <f aca="false">IF(COUNT(DI8,DI10,DI11)=3,DI8-DI10-DI11,"")</f>
        <v>21575.4476563981</v>
      </c>
      <c r="DJ12" s="13" t="n">
        <f aca="false">DJ8-DJ10-DJ11</f>
        <v>21575.4476563981</v>
      </c>
      <c r="DK12" s="13" t="n">
        <f aca="false">DK8-DK10-DK11</f>
        <v>-27896.522</v>
      </c>
      <c r="DL12" s="12" t="n">
        <f aca="false">IF(COUNT(DL8,DL10,DL11)=3,DL8-DL10-DL11,"")</f>
        <v>-8568</v>
      </c>
      <c r="DM12" s="12" t="n">
        <f aca="false">DM8-DM10-DM11</f>
        <v>-8568</v>
      </c>
      <c r="DN12" s="12" t="n">
        <f aca="false">DN8-DN10-DN11</f>
        <v>6632</v>
      </c>
    </row>
    <row r="13" customFormat="false" ht="15" hidden="false" customHeight="false" outlineLevel="0" collapsed="false">
      <c r="A13" s="20" t="s">
        <v>112</v>
      </c>
      <c r="B13" s="21" t="str">
        <f aca="false">IF(N(B7)=0,"",B12/B7)</f>
        <v/>
      </c>
      <c r="C13" s="21" t="n">
        <f aca="false">IF(N(C7)=0,"",C12/C7)</f>
        <v>0.280344310088586</v>
      </c>
      <c r="D13" s="21" t="n">
        <f aca="false">IF(N(D7)=0,"",D12/D7)</f>
        <v>0.271561511114404</v>
      </c>
      <c r="E13" s="22" t="str">
        <f aca="false">IF(N(E7)=0,"",E12/E7)</f>
        <v/>
      </c>
      <c r="F13" s="22" t="n">
        <f aca="false">IF(N(F7)=0,"",F12/F7)</f>
        <v>0.19348407748046</v>
      </c>
      <c r="G13" s="22" t="n">
        <f aca="false">IF(N(G7)=0,"",G12/G7)</f>
        <v>0.179904765224097</v>
      </c>
      <c r="H13" s="21" t="n">
        <f aca="false">IF(N(H7)=0,"",H12/H7)</f>
        <v>0.00631700133044995</v>
      </c>
      <c r="I13" s="21" t="n">
        <f aca="false">IF(N(I7)=0,"",I12/I7)</f>
        <v>0.104242335810678</v>
      </c>
      <c r="J13" s="21" t="n">
        <f aca="false">IF(N(J7)=0,"",J12/J7)</f>
        <v>0.0837374406156526</v>
      </c>
      <c r="K13" s="22" t="str">
        <f aca="false">IF(COUNT(K7,K12)=2,IF(K7=0,"",K12/K7),"")</f>
        <v/>
      </c>
      <c r="L13" s="22" t="n">
        <f aca="false">IF(L7=0,"",L12/L7)</f>
        <v>0.356990056902749</v>
      </c>
      <c r="M13" s="22" t="n">
        <f aca="false">IF(M7=0,"",M12/M7)</f>
        <v>0.350234454220507</v>
      </c>
      <c r="N13" s="21" t="str">
        <f aca="false">IF(COUNT(N7,N12)=2,IF(N7=0,"",N12/N7),"")</f>
        <v/>
      </c>
      <c r="O13" s="21" t="n">
        <f aca="false">IF(O7=0,"",O12/O7)</f>
        <v>0.342691229873221</v>
      </c>
      <c r="P13" s="21" t="n">
        <f aca="false">IF(P7=0,"",P12/P7)</f>
        <v>0.335599228582486</v>
      </c>
      <c r="Q13" s="22" t="str">
        <f aca="false">IF(COUNT(Q7,Q12)=2,IF(Q7=0,"",Q12/Q7),"")</f>
        <v/>
      </c>
      <c r="R13" s="22" t="n">
        <f aca="false">IF(R7=0,"",R12/R7)</f>
        <v>0.327791365103144</v>
      </c>
      <c r="S13" s="22" t="n">
        <f aca="false">IF(S7=0,"",S12/S7)</f>
        <v>0.320339917563394</v>
      </c>
      <c r="T13" s="21" t="str">
        <f aca="false">IF(COUNT(T7,T12)=2,IF(T7=0,"",T12/T7),"")</f>
        <v/>
      </c>
      <c r="U13" s="21" t="n">
        <f aca="false">IF(U7=0,"",U12/U7)</f>
        <v>0.312272684571151</v>
      </c>
      <c r="V13" s="21" t="n">
        <f aca="false">IF(V7=0,"",V12/V7)</f>
        <v>0.304436947849738</v>
      </c>
      <c r="W13" s="22" t="str">
        <f aca="false">IF(COUNT(W7,W12)=2,IF(W7=0,"",W12/W7),"")</f>
        <v/>
      </c>
      <c r="X13" s="22" t="n">
        <f aca="false">IF(X7=0,"",X12/X7)</f>
        <v>0.29607475415263</v>
      </c>
      <c r="Y13" s="22" t="n">
        <f aca="false">IF(Y7=0,"",Y12/Y7)</f>
        <v>0.287827352257258</v>
      </c>
      <c r="Z13" s="21" t="str">
        <f aca="false">IF(COUNT(Z7,Z12)=2,IF(Z7=0,"",Z12/Z7),"")</f>
        <v/>
      </c>
      <c r="AA13" s="21" t="n">
        <f aca="false">IF(AA7=0,"",AA12/AA7)</f>
        <v>0.279152352501843</v>
      </c>
      <c r="AB13" s="21" t="n">
        <f aca="false">IF(AB7=0,"",AB12/AB7)</f>
        <v>0.270463345175667</v>
      </c>
      <c r="AC13" s="22" t="str">
        <f aca="false">IF(COUNT(AC7,AC12)=2,IF(AC7=0,"",AC12/AC7),"")</f>
        <v/>
      </c>
      <c r="AD13" s="22" t="n">
        <f aca="false">IF(AD7=0,"",AD12/AD7)</f>
        <v>0.268593702043537</v>
      </c>
      <c r="AE13" s="22" t="n">
        <f aca="false">IF(AE7=0,"",AE12/AE7)</f>
        <v>0.259520778389386</v>
      </c>
      <c r="AF13" s="21" t="str">
        <f aca="false">IF(COUNT(AF7,AF12)=2,IF(AF7=0,"",AF12/AF7),"")</f>
        <v/>
      </c>
      <c r="AG13" s="21" t="n">
        <f aca="false">IF(AG7=0,"",AG12/AG7)</f>
        <v>0.250359098543454</v>
      </c>
      <c r="AH13" s="21" t="n">
        <f aca="false">IF(AH7=0,"",AH12/AH7)</f>
        <v>0.240782231553624</v>
      </c>
      <c r="AI13" s="22" t="str">
        <f aca="false">IF(COUNT(AI7,AI12)=2,IF(AI7=0,"",AI12/AI7),"")</f>
        <v/>
      </c>
      <c r="AJ13" s="22" t="n">
        <f aca="false">IF(AJ7=0,"",AJ12/AJ7)</f>
        <v>0.231279809584159</v>
      </c>
      <c r="AK13" s="22" t="n">
        <f aca="false">IF(AK7=0,"",AK12/AK7)</f>
        <v>0.221160366025184</v>
      </c>
      <c r="AL13" s="21" t="str">
        <f aca="false">IF(COUNT(AL7,AL12)=2,IF(AL7=0,"",AL12/AL7),"")</f>
        <v/>
      </c>
      <c r="AM13" s="21" t="n">
        <f aca="false">IF(AM7=0,"",AM12/AM7)</f>
        <v>0.218958922244212</v>
      </c>
      <c r="AN13" s="21" t="n">
        <f aca="false">IF(AN7=0,"",AN12/AN7)</f>
        <v>0.208360451937894</v>
      </c>
      <c r="AO13" s="22" t="str">
        <f aca="false">IF(COUNT(AO7,AO12)=2,IF(AO7=0,"",AO12/AO7),"")</f>
        <v/>
      </c>
      <c r="AP13" s="22" t="n">
        <f aca="false">IF(AP7=0,"",AP12/AP7)</f>
        <v>0.208112067822856</v>
      </c>
      <c r="AQ13" s="22" t="n">
        <f aca="false">IF(AQ7=0,"",AQ12/AQ7)</f>
        <v>0.197029080576935</v>
      </c>
      <c r="AR13" s="21" t="str">
        <f aca="false">IF(COUNT(AR7,AR12)=2,IF(AR7=0,"",AR12/AR7),"")</f>
        <v/>
      </c>
      <c r="AS13" s="21" t="n">
        <f aca="false">IF(AS7=0,"",AS12/AS7)</f>
        <v>0.218017515748683</v>
      </c>
      <c r="AT13" s="21" t="n">
        <f aca="false">IF(AT7=0,"",AT12/AT7)</f>
        <v>0.206794137036831</v>
      </c>
      <c r="AU13" s="22" t="str">
        <f aca="false">IF(COUNT(AU7,AU12)=2,IF(AU7=0,"",AU12/AU7),"")</f>
        <v/>
      </c>
      <c r="AV13" s="22" t="n">
        <f aca="false">IF(AV7=0,"",AV12/AV7)</f>
        <v>0.218071240792026</v>
      </c>
      <c r="AW13" s="22" t="n">
        <f aca="false">IF(AW7=0,"",AW12/AW7)</f>
        <v>0.206584475155369</v>
      </c>
      <c r="AX13" s="21" t="str">
        <f aca="false">IF(COUNT(AX7,AX12)=2,IF(AX7=0,"",AX12/AX7),"")</f>
        <v/>
      </c>
      <c r="AY13" s="21" t="n">
        <f aca="false">IF(AY7=0,"",AY12/AY7)</f>
        <v>0.201378962689354</v>
      </c>
      <c r="AZ13" s="21" t="n">
        <f aca="false">IF(AZ7=0,"",AZ12/AZ7)</f>
        <v>0.189331341650765</v>
      </c>
      <c r="BA13" s="22" t="str">
        <f aca="false">IF(COUNT(BA7,BA12)=2,IF(BA7=0,"",BA12/BA7),"")</f>
        <v/>
      </c>
      <c r="BB13" s="22" t="n">
        <f aca="false">IF(BB7=0,"",BB12/BB7)</f>
        <v>0.200587104077922</v>
      </c>
      <c r="BC13" s="22" t="n">
        <f aca="false">IF(BC7=0,"",BC12/BC7)</f>
        <v>0.188233869216498</v>
      </c>
      <c r="BD13" s="21" t="str">
        <f aca="false">IF(COUNT(BD7,BD12)=2,IF(BD7=0,"",BD12/BD7),"")</f>
        <v/>
      </c>
      <c r="BE13" s="21" t="n">
        <f aca="false">IF(BE7=0,"",BE12/BE7)</f>
        <v>0.200640771075817</v>
      </c>
      <c r="BF13" s="21" t="n">
        <f aca="false">IF(BF7=0,"",BF12/BF7)</f>
        <v>0.187982626550822</v>
      </c>
      <c r="BG13" s="22" t="str">
        <f aca="false">IF(COUNT(BG7,BG12)=2,IF(BG7=0,"",BG12/BG7),"")</f>
        <v/>
      </c>
      <c r="BH13" s="22" t="n">
        <f aca="false">IF(BH7=0,"",BH12/BH7)</f>
        <v>0.194072944726693</v>
      </c>
      <c r="BI13" s="22" t="n">
        <f aca="false">IF(BI7=0,"",BI12/BI7)</f>
        <v>0.180987158018745</v>
      </c>
      <c r="BJ13" s="21" t="str">
        <f aca="false">IF(COUNT(BJ7,BJ12)=2,IF(BJ7=0,"",BJ12/BJ7),"")</f>
        <v/>
      </c>
      <c r="BK13" s="21" t="n">
        <f aca="false">IF(BK7=0,"",BK12/BK7)</f>
        <v>0.202786015877371</v>
      </c>
      <c r="BL13" s="21" t="n">
        <f aca="false">IF(BL7=0,"",BL12/BL7)</f>
        <v>0.189512444840975</v>
      </c>
      <c r="BM13" s="22" t="str">
        <f aca="false">IF(COUNT(BM7,BM12)=2,IF(BM7=0,"",BM12/BM7),"")</f>
        <v/>
      </c>
      <c r="BN13" s="22" t="n">
        <f aca="false">IF(BN7=0,"",BN12/BN7)</f>
        <v>0.19063047886165</v>
      </c>
      <c r="BO13" s="22" t="n">
        <f aca="false">IF(BO7=0,"",BO12/BO7)</f>
        <v>0.176798262827269</v>
      </c>
      <c r="BP13" s="21" t="str">
        <f aca="false">IF(COUNT(BP7,BP12)=2,IF(BP7=0,"",BP12/BP7),"")</f>
        <v/>
      </c>
      <c r="BQ13" s="21" t="n">
        <f aca="false">IF(BQ7=0,"",BQ12/BQ7)</f>
        <v>0.194327202706132</v>
      </c>
      <c r="BR13" s="21" t="n">
        <f aca="false">IF(BR7=0,"",BR12/BR7)</f>
        <v>0.180192304265903</v>
      </c>
      <c r="BS13" s="22" t="str">
        <f aca="false">IF(COUNT(BS7,BS12)=2,IF(BS7=0,"",BS12/BS7),"")</f>
        <v/>
      </c>
      <c r="BT13" s="22" t="n">
        <f aca="false">IF(BT7=0,"",BT12/BT7)</f>
        <v>0.180854879969989</v>
      </c>
      <c r="BU13" s="22" t="n">
        <f aca="false">IF(BU7=0,"",BU12/BU7)</f>
        <v>0.166087846089626</v>
      </c>
      <c r="BV13" s="21" t="str">
        <f aca="false">IF(COUNT(BV7,BV12)=2,IF(BV7=0,"",BV12/BV7),"")</f>
        <v/>
      </c>
      <c r="BW13" s="21" t="n">
        <f aca="false">IF(BW7=0,"",BW12/BW7)</f>
        <v>0.177090748782313</v>
      </c>
      <c r="BX13" s="21" t="n">
        <f aca="false">IF(BX7=0,"",BX12/BX7)</f>
        <v>0.161842194853587</v>
      </c>
      <c r="BY13" s="22" t="str">
        <f aca="false">IF(COUNT(BY7,BY12)=2,IF(BY7=0,"",BY12/BY7),"")</f>
        <v/>
      </c>
      <c r="BZ13" s="22" t="n">
        <f aca="false">IF(BZ7=0,"",BZ12/BZ7)</f>
        <v>0.163546813971612</v>
      </c>
      <c r="CA13" s="22" t="n">
        <f aca="false">IF(CA7=0,"",CA12/CA7)</f>
        <v>0.147602213557623</v>
      </c>
      <c r="CB13" s="21" t="str">
        <f aca="false">IF(COUNT(CB7,CB12)=2,IF(CB7=0,"",CB12/CB7),"")</f>
        <v/>
      </c>
      <c r="CC13" s="21" t="n">
        <f aca="false">IF(CC7=0,"",CC12/CC7)</f>
        <v>0.18560923264627</v>
      </c>
      <c r="CD13" s="21" t="n">
        <f aca="false">IF(CD7=0,"",CD12/CD7)</f>
        <v>0.169790640432177</v>
      </c>
      <c r="CE13" s="22" t="str">
        <f aca="false">IF(COUNT(CE7,CE12)=2,IF(CE7=0,"",CE12/CE7),"")</f>
        <v/>
      </c>
      <c r="CF13" s="22" t="n">
        <f aca="false">IF(CF7=0,"",CF12/CF7)</f>
        <v>0.181432031851134</v>
      </c>
      <c r="CG13" s="22" t="n">
        <f aca="false">IF(CG7=0,"",CG12/CG7)</f>
        <v>0.165215777408251</v>
      </c>
      <c r="CH13" s="21" t="str">
        <f aca="false">IF(COUNT(CH7,CH12)=2,IF(CH7=0,"",CH12/CH7),"")</f>
        <v/>
      </c>
      <c r="CI13" s="21" t="n">
        <f aca="false">IF(CI7=0,"",CI12/CI7)</f>
        <v>0.165912457403245</v>
      </c>
      <c r="CJ13" s="21" t="n">
        <f aca="false">IF(CJ7=0,"",CJ12/CJ7)</f>
        <v>0.149010943937326</v>
      </c>
      <c r="CK13" s="22" t="str">
        <f aca="false">IF(COUNT(CK7,CK12)=2,IF(CK7=0,"",CK12/CK7),"")</f>
        <v/>
      </c>
      <c r="CL13" s="22" t="n">
        <f aca="false">IF(CL7=0,"",CL12/CL7)</f>
        <v>0.149802042608429</v>
      </c>
      <c r="CM13" s="22" t="n">
        <f aca="false">IF(CM7=0,"",CM12/CM7)</f>
        <v>0.132214913378545</v>
      </c>
      <c r="CN13" s="21" t="str">
        <f aca="false">IF(COUNT(CN7,CN12)=2,IF(CN7=0,"",CN12/CN7),"")</f>
        <v/>
      </c>
      <c r="CO13" s="21" t="n">
        <f aca="false">IF(CO7=0,"",CO12/CO7)</f>
        <v>0.140001016702148</v>
      </c>
      <c r="CP13" s="21" t="n">
        <f aca="false">IF(CP7=0,"",CP12/CP7)</f>
        <v>0.121836534708372</v>
      </c>
      <c r="CQ13" s="22" t="str">
        <f aca="false">IF(COUNT(CQ7,CQ12)=2,IF(CQ7=0,"",CQ12/CQ7),"")</f>
        <v/>
      </c>
      <c r="CR13" s="22" t="n">
        <f aca="false">IF(CR7=0,"",CR12/CR7)</f>
        <v>0.131864514343721</v>
      </c>
      <c r="CS13" s="22" t="n">
        <f aca="false">IF(CS7=0,"",CS12/CS7)</f>
        <v>0.113093605736009</v>
      </c>
      <c r="CT13" s="21" t="str">
        <f aca="false">IF(COUNT(CT7,CT12)=2,IF(CT7=0,"",CT12/CT7),"")</f>
        <v/>
      </c>
      <c r="CU13" s="21" t="n">
        <f aca="false">IF(CU7=0,"",CU12/CU7)</f>
        <v>0.114211890795598</v>
      </c>
      <c r="CV13" s="21" t="n">
        <f aca="false">IF(CV7=0,"",CV12/CV7)</f>
        <v>0.0946385459061716</v>
      </c>
      <c r="CW13" s="22" t="str">
        <f aca="false">IF(COUNT(CW7,CW12)=2,IF(CW7=0,"",CW12/CW7),"")</f>
        <v/>
      </c>
      <c r="CX13" s="22" t="n">
        <f aca="false">IF(CX7=0,"",CX12/CX7)</f>
        <v>0.108419804669661</v>
      </c>
      <c r="CY13" s="22" t="n">
        <f aca="false">IF(CY7=0,"",CY12/CY7)</f>
        <v>0.0882826552765901</v>
      </c>
      <c r="CZ13" s="21" t="str">
        <f aca="false">IF(COUNT(CZ7,CZ12)=2,IF(CZ7=0,"",CZ12/CZ7),"")</f>
        <v/>
      </c>
      <c r="DA13" s="21" t="n">
        <f aca="false">IF(DA7=0,"",DA12/DA7)</f>
        <v>0.0897726723047913</v>
      </c>
      <c r="DB13" s="21" t="n">
        <f aca="false">IF(DB7=0,"",DB12/DB7)</f>
        <v>0.0686994514238895</v>
      </c>
      <c r="DC13" s="22" t="str">
        <f aca="false">IF(COUNT(DC7,DC12)=2,IF(DC7=0,"",DC12/DC7),"")</f>
        <v/>
      </c>
      <c r="DD13" s="22" t="n">
        <f aca="false">IF(DD7=0,"",DD12/DD7)</f>
        <v>0.0703351418707404</v>
      </c>
      <c r="DE13" s="22" t="n">
        <f aca="false">IF(DE7=0,"",DE12/DE7)</f>
        <v>0.0483120478000539</v>
      </c>
      <c r="DF13" s="21" t="str">
        <f aca="false">IF(COUNT(DF7,DF12)=2,IF(DF7=0,"",DF12/DF7),"")</f>
        <v/>
      </c>
      <c r="DG13" s="21" t="n">
        <f aca="false">IF(DG7=0,"",DG12/DG7)</f>
        <v>0.0287758329811423</v>
      </c>
      <c r="DH13" s="21" t="n">
        <f aca="false">IF(DH7=0,"",DH12/DH7)</f>
        <v>-0.0184376215418634</v>
      </c>
      <c r="DI13" s="22" t="n">
        <f aca="false">IF(COUNT(DI7,DI12)=2,IF(DI7=0,"",DI12/DI7),"")</f>
        <v>0.0207941000388272</v>
      </c>
      <c r="DJ13" s="22" t="n">
        <f aca="false">IF(DJ7=0,"",DJ12/DJ7)</f>
        <v>0.0207941000388272</v>
      </c>
      <c r="DK13" s="22" t="n">
        <f aca="false">IF(DK7=0,"",DK12/DK7)</f>
        <v>-0.0278536697530072</v>
      </c>
      <c r="DL13" s="21" t="n">
        <f aca="false">IF(COUNT(DL7,DL12)=2,IF(DL7=0,"",DL12/DL7),"")</f>
        <v>-0.00838732034512531</v>
      </c>
      <c r="DM13" s="21" t="n">
        <f aca="false">IF(DM7=0,"",DM12/DM7)</f>
        <v>-0.00838732034512531</v>
      </c>
      <c r="DN13" s="21" t="n">
        <f aca="false">IF(DN7=0,"",DN12/DN7)</f>
        <v>0.0066403535647845</v>
      </c>
    </row>
    <row r="14" customFormat="false" ht="15" hidden="false" customHeight="false" outlineLevel="0" collapsed="false">
      <c r="A14" s="5" t="s">
        <v>113</v>
      </c>
      <c r="B14" s="12" t="str">
        <f aca="false">IF(COUNT(AR14,AO14,AL14,AI14,AF14,AC14,Z14,W14,T14,Q14,N14,K14)=0,"",SUM(AR14,AO14,AL14,AI14,AF14,AC14,Z14,W14,T14,Q14,N14,K14))</f>
        <v/>
      </c>
      <c r="C14" s="12" t="n">
        <f aca="false">IF(COUNT(AS14,AP14,AM14,AJ14,AG14,AD14,AA14,X14,U14,R14,O14,L14)=0,"",SUM(AS14,AP14,AM14,AJ14,AG14,AD14,AA14,X14,U14,R14,O14,L14))</f>
        <v>1895868.811959</v>
      </c>
      <c r="D14" s="12" t="n">
        <f aca="false">IF(COUNT(AT14,AQ14,AN14,AK14,AH14,AE14,AB14,Y14,V14,S14,P14,M14)=0,"",SUM(AT14,AQ14,AN14,AK14,AH14,AE14,AB14,Y14,V14,S14,P14,M14))</f>
        <v>1813851.3327825</v>
      </c>
      <c r="E14" s="13" t="str">
        <f aca="false">IF(COUNT(CB14,BY14,BV14,BS14,BP14,BM14,BJ14,BG14,BD14,BA14,AX14,AU14)=0,"",SUM(CB14,BY14,BV14,BS14,BP14,BM14,BJ14,BG14,BD14,BA14,AX14,AU14))</f>
        <v/>
      </c>
      <c r="F14" s="13" t="n">
        <f aca="false">IF(COUNT(CC14,BZ14,BW14,BT14,BQ14,BN14,BK14,BH14,BE14,BB14,AY14,AV14)=0,"",SUM(CC14,BZ14,BW14,BT14,BQ14,BN14,BK14,BH14,BE14,BB14,AY14,AV14))</f>
        <v>965944.422693599</v>
      </c>
      <c r="G14" s="13" t="n">
        <f aca="false">IF(COUNT(CD14,CA14,BX14,BU14,BR14,BO14,BL14,BI14,BF14,BC14,AZ14,AW14)=0,"",SUM(CD14,CA14,BX14,BU14,BR14,BO14,BL14,BI14,BF14,BC14,AZ14,AW14))</f>
        <v>882997.138451</v>
      </c>
      <c r="H14" s="12" t="n">
        <f aca="false">IF(COUNT(DL14,DI14,DF14,DC14,CZ14,CW14,CT14,CQ14,CN14,CK14,CH14,CE14)=0,"",SUM(DL14,DI14,DF14,DC14,CZ14,CW14,CT14,CQ14,CN14,CK14,CH14,CE14))</f>
        <v>3446.97362894549</v>
      </c>
      <c r="I14" s="12" t="n">
        <f aca="false">IF(COUNT(DM14,DJ14,DG14,DD14,DA14,CX14,CU14,CR14,CO14,CL14,CI14,CF14)=0,"",SUM(DM14,DJ14,DG14,DD14,DA14,CX14,CU14,CR14,CO14,CL14,CI14,CF14))</f>
        <v>392880.724538787</v>
      </c>
      <c r="J14" s="12" t="n">
        <f aca="false">IF(COUNT(DN14,DK14,DH14,DE14,DB14,CY14,CV14,CS14,CP14,CM14,CJ14,CG14)=0,"",SUM(DN14,DK14,DH14,DE14,DB14,CY14,CV14,CS14,CP14,CM14,CJ14,CG14))</f>
        <v>308205.0520913</v>
      </c>
      <c r="K14" s="13" t="str">
        <f aca="false">IF(COUNT(Finance!K16)=1,Finance!K16,"")</f>
        <v/>
      </c>
      <c r="L14" s="13" t="n">
        <f aca="false">Finance!L16</f>
        <v>231026.290388395</v>
      </c>
      <c r="M14" s="13" t="n">
        <f aca="false">Finance!M16</f>
        <v>224240.026435</v>
      </c>
      <c r="N14" s="12" t="str">
        <f aca="false">IF(COUNT(Finance!N16)=1,Finance!N16,"")</f>
        <v/>
      </c>
      <c r="O14" s="12" t="n">
        <f aca="false">Finance!O16</f>
        <v>216407.549631297</v>
      </c>
      <c r="P14" s="12" t="n">
        <f aca="false">Finance!P16</f>
        <v>209612.59009</v>
      </c>
      <c r="Q14" s="13" t="str">
        <f aca="false">IF(COUNT(Finance!Q16)=1,Finance!Q16,"")</f>
        <v/>
      </c>
      <c r="R14" s="13" t="n">
        <f aca="false">Finance!R16</f>
        <v>201904.233048506</v>
      </c>
      <c r="S14" s="13" t="n">
        <f aca="false">Finance!S16</f>
        <v>195100.647264</v>
      </c>
      <c r="T14" s="12" t="str">
        <f aca="false">IF(COUNT(Finance!T16)=1,Finance!T16,"")</f>
        <v/>
      </c>
      <c r="U14" s="12" t="n">
        <f aca="false">Finance!U16</f>
        <v>187534.060150457</v>
      </c>
      <c r="V14" s="12" t="n">
        <f aca="false">Finance!V16</f>
        <v>180721.747953</v>
      </c>
      <c r="W14" s="13" t="str">
        <f aca="false">IF(COUNT(Finance!W16)=1,Finance!W16,"")</f>
        <v/>
      </c>
      <c r="X14" s="13" t="n">
        <f aca="false">Finance!X16</f>
        <v>173278.612053288</v>
      </c>
      <c r="Y14" s="13" t="n">
        <f aca="false">Finance!Y16</f>
        <v>166457.6437005</v>
      </c>
      <c r="Z14" s="12" t="str">
        <f aca="false">IF(COUNT(Finance!Z16)=1,Finance!Z16,"")</f>
        <v/>
      </c>
      <c r="AA14" s="12" t="n">
        <f aca="false">Finance!AA16</f>
        <v>159137.623361227</v>
      </c>
      <c r="AB14" s="12" t="n">
        <f aca="false">Finance!AB16</f>
        <v>152308.0712025</v>
      </c>
      <c r="AC14" s="13" t="str">
        <f aca="false">IF(COUNT(Finance!AC16)=1,Finance!AC16,"")</f>
        <v/>
      </c>
      <c r="AD14" s="13" t="n">
        <f aca="false">Finance!AD16</f>
        <v>149076.979448858</v>
      </c>
      <c r="AE14" s="13" t="n">
        <f aca="false">Finance!AE16</f>
        <v>142238.7344975</v>
      </c>
      <c r="AF14" s="12" t="str">
        <f aca="false">IF(COUNT(Finance!AF16)=1,Finance!AF16,"")</f>
        <v/>
      </c>
      <c r="AG14" s="12" t="n">
        <f aca="false">Finance!AG16</f>
        <v>135217.796627007</v>
      </c>
      <c r="AH14" s="12" t="n">
        <f aca="false">Finance!AH16</f>
        <v>128370.9286555</v>
      </c>
      <c r="AI14" s="13" t="str">
        <f aca="false">IF(COUNT(Finance!AI16)=1,Finance!AI16,"")</f>
        <v/>
      </c>
      <c r="AJ14" s="13" t="n">
        <f aca="false">Finance!AJ16</f>
        <v>121489.970397076</v>
      </c>
      <c r="AK14" s="13" t="n">
        <f aca="false">Finance!AK16</f>
        <v>114634.358578</v>
      </c>
      <c r="AL14" s="12" t="str">
        <f aca="false">IF(COUNT(Finance!AL16)=1,Finance!AL16,"")</f>
        <v/>
      </c>
      <c r="AM14" s="12" t="n">
        <f aca="false">Finance!AM16</f>
        <v>111805.696330472</v>
      </c>
      <c r="AN14" s="12" t="n">
        <f aca="false">Finance!AN16</f>
        <v>104941.213117</v>
      </c>
      <c r="AO14" s="13" t="str">
        <f aca="false">IF(COUNT(Finance!AO16)=1,Finance!AO16,"")</f>
        <v/>
      </c>
      <c r="AP14" s="13" t="n">
        <f aca="false">Finance!AP16</f>
        <v>103237.50395848</v>
      </c>
      <c r="AQ14" s="13" t="n">
        <f aca="false">Finance!AQ16</f>
        <v>96364.2175785</v>
      </c>
      <c r="AR14" s="12" t="str">
        <f aca="false">IF(COUNT(Finance!AR16)=1,Finance!AR16,"")</f>
        <v/>
      </c>
      <c r="AS14" s="12" t="n">
        <f aca="false">Finance!AS16</f>
        <v>105752.496563939</v>
      </c>
      <c r="AT14" s="12" t="n">
        <f aca="false">Finance!AT16</f>
        <v>98861.153711</v>
      </c>
      <c r="AU14" s="13" t="str">
        <f aca="false">IF(COUNT(Finance!AU16)=1,Finance!AU16,"")</f>
        <v/>
      </c>
      <c r="AV14" s="13" t="n">
        <f aca="false">Finance!AV16</f>
        <v>103393.871248479</v>
      </c>
      <c r="AW14" s="13" t="n">
        <f aca="false">Finance!AW16</f>
        <v>96501.670826</v>
      </c>
      <c r="AX14" s="12" t="str">
        <f aca="false">IF(COUNT(Finance!AX16)=1,Finance!AX16,"")</f>
        <v/>
      </c>
      <c r="AY14" s="12" t="n">
        <f aca="false">Finance!AY16</f>
        <v>93294.4854587665</v>
      </c>
      <c r="AZ14" s="12" t="n">
        <f aca="false">Finance!AZ16</f>
        <v>86384.4856945</v>
      </c>
      <c r="BA14" s="13" t="str">
        <f aca="false">IF(COUNT(Finance!BA16)=1,Finance!BA16,"")</f>
        <v/>
      </c>
      <c r="BB14" s="13" t="n">
        <f aca="false">Finance!BB16</f>
        <v>90764.6520394771</v>
      </c>
      <c r="BC14" s="13" t="n">
        <f aca="false">Finance!BC16</f>
        <v>83853.8210245</v>
      </c>
      <c r="BD14" s="12" t="str">
        <f aca="false">IF(COUNT(Finance!BD16)=1,Finance!BD16,"")</f>
        <v/>
      </c>
      <c r="BE14" s="12" t="n">
        <f aca="false">Finance!BE16</f>
        <v>88642.2562375919</v>
      </c>
      <c r="BF14" s="12" t="n">
        <f aca="false">Finance!BF16</f>
        <v>81730.4698345</v>
      </c>
      <c r="BG14" s="13" t="str">
        <f aca="false">IF(COUNT(Finance!BG16)=1,Finance!BG16,"")</f>
        <v/>
      </c>
      <c r="BH14" s="13" t="n">
        <f aca="false">Finance!BH16</f>
        <v>83677.2231061901</v>
      </c>
      <c r="BI14" s="13" t="n">
        <f aca="false">Finance!BI16</f>
        <v>76764.5823115</v>
      </c>
      <c r="BJ14" s="12" t="str">
        <f aca="false">IF(COUNT(Finance!BJ16)=1,Finance!BJ16,"")</f>
        <v/>
      </c>
      <c r="BK14" s="12" t="n">
        <f aca="false">Finance!BK16</f>
        <v>85294.9011340306</v>
      </c>
      <c r="BL14" s="12" t="n">
        <f aca="false">Finance!BL16</f>
        <v>78381.276742</v>
      </c>
      <c r="BM14" s="13" t="str">
        <f aca="false">IF(COUNT(Finance!BM16)=1,Finance!BM16,"")</f>
        <v/>
      </c>
      <c r="BN14" s="13" t="n">
        <f aca="false">Finance!BN16</f>
        <v>78183.9562193205</v>
      </c>
      <c r="BO14" s="13" t="n">
        <f aca="false">Finance!BO16</f>
        <v>71269.4531125</v>
      </c>
      <c r="BP14" s="12" t="str">
        <f aca="false">IF(COUNT(Finance!BP16)=1,Finance!BP16,"")</f>
        <v/>
      </c>
      <c r="BQ14" s="12" t="n">
        <f aca="false">Finance!BQ16</f>
        <v>77677.1977567884</v>
      </c>
      <c r="BR14" s="12" t="n">
        <f aca="false">Finance!BR16</f>
        <v>70761.6812595</v>
      </c>
      <c r="BS14" s="13" t="str">
        <f aca="false">IF(COUNT(Finance!BS16)=1,Finance!BS16,"")</f>
        <v/>
      </c>
      <c r="BT14" s="13" t="n">
        <f aca="false">Finance!BT16</f>
        <v>70422.277328401</v>
      </c>
      <c r="BU14" s="13" t="n">
        <f aca="false">Finance!BU16</f>
        <v>63505.6075565</v>
      </c>
      <c r="BV14" s="12" t="str">
        <f aca="false">IF(COUNT(Finance!BV16)=1,Finance!BV16,"")</f>
        <v/>
      </c>
      <c r="BW14" s="12" t="n">
        <f aca="false">Finance!BW16</f>
        <v>67135.614581532</v>
      </c>
      <c r="BX14" s="12" t="n">
        <f aca="false">Finance!BX16</f>
        <v>60217.895047</v>
      </c>
      <c r="BY14" s="13" t="str">
        <f aca="false">IF(COUNT(Finance!BY16)=1,Finance!BY16,"")</f>
        <v/>
      </c>
      <c r="BZ14" s="13" t="n">
        <f aca="false">Finance!BZ16</f>
        <v>60331.0744041303</v>
      </c>
      <c r="CA14" s="13" t="n">
        <f aca="false">Finance!CA16</f>
        <v>53412.15291</v>
      </c>
      <c r="CB14" s="12" t="str">
        <f aca="false">IF(COUNT(Finance!CB16)=1,Finance!CB16,"")</f>
        <v/>
      </c>
      <c r="CC14" s="12" t="n">
        <f aca="false">Finance!CC16</f>
        <v>67126.9131788917</v>
      </c>
      <c r="CD14" s="12" t="n">
        <f aca="false">Finance!CD16</f>
        <v>60214.0421325</v>
      </c>
      <c r="CE14" s="13" t="str">
        <f aca="false">IF(COUNT(Finance!CE16)=1,Finance!CE16,"")</f>
        <v/>
      </c>
      <c r="CF14" s="13" t="n">
        <f aca="false">Finance!CF16</f>
        <v>64311.03480012</v>
      </c>
      <c r="CG14" s="13" t="n">
        <f aca="false">Finance!CG16</f>
        <v>57404.0976195</v>
      </c>
      <c r="CH14" s="12" t="str">
        <f aca="false">IF(COUNT(Finance!CH16)=1,Finance!CH16,"")</f>
        <v/>
      </c>
      <c r="CI14" s="12" t="n">
        <f aca="false">Finance!CI16</f>
        <v>57623.1462025239</v>
      </c>
      <c r="CJ14" s="12" t="n">
        <f aca="false">Finance!CJ16</f>
        <v>50706.410531</v>
      </c>
      <c r="CK14" s="13" t="str">
        <f aca="false">IF(COUNT(Finance!CK16)=1,Finance!CK16,"")</f>
        <v/>
      </c>
      <c r="CL14" s="13" t="n">
        <f aca="false">Finance!CL16</f>
        <v>50960.0084030835</v>
      </c>
      <c r="CM14" s="13" t="n">
        <f aca="false">Finance!CM16</f>
        <v>44049.287337</v>
      </c>
      <c r="CN14" s="12" t="str">
        <f aca="false">IF(COUNT(Finance!CN16)=1,Finance!CN16,"")</f>
        <v/>
      </c>
      <c r="CO14" s="12" t="n">
        <f aca="false">Finance!CO16</f>
        <v>46633.5839046563</v>
      </c>
      <c r="CP14" s="12" t="n">
        <f aca="false">Finance!CP16</f>
        <v>39728.75654</v>
      </c>
      <c r="CQ14" s="13" t="str">
        <f aca="false">IF(COUNT(Finance!CQ16)=1,Finance!CQ16,"")</f>
        <v/>
      </c>
      <c r="CR14" s="13" t="n">
        <f aca="false">Finance!CR16</f>
        <v>42994.0527467109</v>
      </c>
      <c r="CS14" s="13" t="n">
        <f aca="false">Finance!CS16</f>
        <v>36079.749682</v>
      </c>
      <c r="CT14" s="12" t="str">
        <f aca="false">IF(COUNT(Finance!CT16)=1,Finance!CT16,"")</f>
        <v/>
      </c>
      <c r="CU14" s="12" t="n">
        <f aca="false">Finance!CU16</f>
        <v>36436.3837935571</v>
      </c>
      <c r="CV14" s="12" t="n">
        <f aca="false">Finance!CV16</f>
        <v>29528.0575065</v>
      </c>
      <c r="CW14" s="13" t="str">
        <f aca="false">IF(COUNT(Finance!CW16)=1,Finance!CW16,"")</f>
        <v/>
      </c>
      <c r="CX14" s="13" t="n">
        <f aca="false">Finance!CX16</f>
        <v>33831.5062627896</v>
      </c>
      <c r="CY14" s="13" t="n">
        <f aca="false">Finance!CY16</f>
        <v>26929.031078</v>
      </c>
      <c r="CZ14" s="12" t="str">
        <f aca="false">IF(COUNT(Finance!CZ16)=1,Finance!CZ16,"")</f>
        <v/>
      </c>
      <c r="DA14" s="12" t="n">
        <f aca="false">Finance!DA16</f>
        <v>27389.5478674403</v>
      </c>
      <c r="DB14" s="12" t="n">
        <f aca="false">Finance!DB16</f>
        <v>20477.93305885</v>
      </c>
      <c r="DC14" s="13" t="str">
        <f aca="false">IF(COUNT(Finance!DC16)=1,Finance!DC16,"")</f>
        <v/>
      </c>
      <c r="DD14" s="13" t="n">
        <f aca="false">Finance!DD16</f>
        <v>20972.6145089173</v>
      </c>
      <c r="DE14" s="13" t="n">
        <f aca="false">Finance!DE16</f>
        <v>1544.24873845</v>
      </c>
      <c r="DF14" s="12" t="str">
        <f aca="false">IF(COUNT(Finance!DF16)=1,Finance!DF16,"")</f>
        <v/>
      </c>
      <c r="DG14" s="12" t="n">
        <f aca="false">Finance!DG16</f>
        <v>8281.87242004253</v>
      </c>
      <c r="DH14" s="12" t="n">
        <f aca="false">Finance!DH16</f>
        <v>0</v>
      </c>
      <c r="DI14" s="13" t="n">
        <f aca="false">IF(COUNT(Finance!DI16)=1,Finance!DI16,"")</f>
        <v>3446.97362894549</v>
      </c>
      <c r="DJ14" s="13" t="n">
        <f aca="false">Finance!DJ16</f>
        <v>3446.97362894549</v>
      </c>
      <c r="DK14" s="13" t="n">
        <f aca="false">Finance!DK16</f>
        <v>0</v>
      </c>
      <c r="DL14" s="12" t="n">
        <f aca="false">IF(COUNT(Finance!DL16)=1,Finance!DL16,"")</f>
        <v>0</v>
      </c>
      <c r="DM14" s="12" t="n">
        <f aca="false">Finance!DM16</f>
        <v>0</v>
      </c>
      <c r="DN14" s="12" t="n">
        <f aca="false">Finance!DN16</f>
        <v>1757.48</v>
      </c>
    </row>
    <row r="15" customFormat="false" ht="15" hidden="false" customHeight="false" outlineLevel="0" collapsed="false">
      <c r="A15" s="5" t="s">
        <v>114</v>
      </c>
      <c r="B15" s="12" t="n">
        <f aca="false">IF(COUNT(B12)=0,"",B12-N(B14))</f>
        <v>0</v>
      </c>
      <c r="C15" s="12" t="n">
        <f aca="false">IF(COUNT(C12)=0,"",C12-N(C14))</f>
        <v>5258353.11996175</v>
      </c>
      <c r="D15" s="12" t="n">
        <f aca="false">IF(COUNT(D12)=0,"",D12-N(D14))</f>
        <v>5030870.6792175</v>
      </c>
      <c r="E15" s="13" t="n">
        <f aca="false">IF(COUNT(E12)=0,"",E12-N(E14))</f>
        <v>0</v>
      </c>
      <c r="F15" s="13" t="n">
        <f aca="false">IF(COUNT(F12)=0,"",F12-N(F14))</f>
        <v>2679128.87048979</v>
      </c>
      <c r="G15" s="13" t="n">
        <f aca="false">IF(COUNT(G12)=0,"",G12-N(G14))</f>
        <v>2449067.533549</v>
      </c>
      <c r="H15" s="12" t="n">
        <f aca="false">IF(COUNT(H12)=0,"",H12-N(H14))</f>
        <v>9560.47402745269</v>
      </c>
      <c r="I15" s="12" t="n">
        <f aca="false">IF(COUNT(I12)=0,"",I12-N(I14))</f>
        <v>1089688.04730569</v>
      </c>
      <c r="J15" s="12" t="n">
        <f aca="false">IF(COUNT(J12)=0,"",J12-N(J14))</f>
        <v>854832.8799087</v>
      </c>
      <c r="K15" s="13" t="str">
        <f aca="false">IF(COUNT(K12,K14)=2,K12-K14,"")</f>
        <v/>
      </c>
      <c r="L15" s="13" t="n">
        <f aca="false">L12-L14</f>
        <v>640771.031831963</v>
      </c>
      <c r="M15" s="13" t="n">
        <f aca="false">M12-M14</f>
        <v>621948.752565</v>
      </c>
      <c r="N15" s="12" t="str">
        <f aca="false">IF(COUNT(N12,N14)=2,N12-N14,"")</f>
        <v/>
      </c>
      <c r="O15" s="12" t="n">
        <f aca="false">O12-O14</f>
        <v>600224.713128314</v>
      </c>
      <c r="P15" s="12" t="n">
        <f aca="false">P12-P14</f>
        <v>581378.31591</v>
      </c>
      <c r="Q15" s="13" t="str">
        <f aca="false">IF(COUNT(Q12,Q14)=2,Q12-Q14,"")</f>
        <v/>
      </c>
      <c r="R15" s="13" t="n">
        <f aca="false">R12-R14</f>
        <v>559998.533172271</v>
      </c>
      <c r="S15" s="13" t="n">
        <f aca="false">S12-S14</f>
        <v>541128.210736</v>
      </c>
      <c r="T15" s="12" t="str">
        <f aca="false">IF(COUNT(T12,T14)=2,T12-T14,"")</f>
        <v/>
      </c>
      <c r="U15" s="12" t="n">
        <f aca="false">U12-U14</f>
        <v>520141.638530512</v>
      </c>
      <c r="V15" s="12" t="n">
        <f aca="false">V12-V14</f>
        <v>501247.112047</v>
      </c>
      <c r="W15" s="13" t="str">
        <f aca="false">IF(COUNT(W12,W14)=2,W12-W14,"")</f>
        <v/>
      </c>
      <c r="X15" s="13" t="n">
        <f aca="false">X12-X14</f>
        <v>480602.942864779</v>
      </c>
      <c r="Y15" s="13" t="n">
        <f aca="false">Y12-Y14</f>
        <v>461684.4082995</v>
      </c>
      <c r="Z15" s="12" t="str">
        <f aca="false">IF(COUNT(Z12,Z14)=2,Z12-Z14,"")</f>
        <v/>
      </c>
      <c r="AA15" s="12" t="n">
        <f aca="false">AA12-AA14</f>
        <v>441381.710077364</v>
      </c>
      <c r="AB15" s="12" t="n">
        <f aca="false">AB12-AB14</f>
        <v>422439.3677975</v>
      </c>
      <c r="AC15" s="13" t="str">
        <f aca="false">IF(COUNT(AC12,AC14)=2,AC12-AC14,"")</f>
        <v/>
      </c>
      <c r="AD15" s="13" t="n">
        <f aca="false">AD12-AD14</f>
        <v>413477.659980794</v>
      </c>
      <c r="AE15" s="13" t="n">
        <f aca="false">AE12-AE14</f>
        <v>394511.2075025</v>
      </c>
      <c r="AF15" s="12" t="str">
        <f aca="false">IF(COUNT(AF12,AF14)=2,AF12-AF14,"")</f>
        <v/>
      </c>
      <c r="AG15" s="12" t="n">
        <f aca="false">AG12-AG14</f>
        <v>375038.03970132</v>
      </c>
      <c r="AH15" s="12" t="n">
        <f aca="false">AH12-AH14</f>
        <v>356047.6703445</v>
      </c>
      <c r="AI15" s="13" t="str">
        <f aca="false">IF(COUNT(AI12,AI14)=2,AI12-AI14,"")</f>
        <v/>
      </c>
      <c r="AJ15" s="13" t="n">
        <f aca="false">AJ12-AJ14</f>
        <v>336962.748082456</v>
      </c>
      <c r="AK15" s="13" t="n">
        <f aca="false">AK12-AK14</f>
        <v>317948.126422</v>
      </c>
      <c r="AL15" s="12" t="str">
        <f aca="false">IF(COUNT(AL12,AL14)=2,AL12-AL14,"")</f>
        <v/>
      </c>
      <c r="AM15" s="12" t="n">
        <f aca="false">AM12-AM14</f>
        <v>310102.591709044</v>
      </c>
      <c r="AN15" s="12" t="n">
        <f aca="false">AN12-AN14</f>
        <v>291063.364883</v>
      </c>
      <c r="AO15" s="13" t="str">
        <f aca="false">IF(COUNT(AO12,AO14)=2,AO12-AO14,"")</f>
        <v/>
      </c>
      <c r="AP15" s="13" t="n">
        <f aca="false">AP12-AP14</f>
        <v>286337.982677293</v>
      </c>
      <c r="AQ15" s="13" t="n">
        <f aca="false">AQ12-AQ14</f>
        <v>267274.3394215</v>
      </c>
      <c r="AR15" s="12" t="str">
        <f aca="false">IF(COUNT(AR12,AR14)=2,AR12-AR14,"")</f>
        <v/>
      </c>
      <c r="AS15" s="12" t="n">
        <f aca="false">AS12-AS14</f>
        <v>293313.528205641</v>
      </c>
      <c r="AT15" s="12" t="n">
        <f aca="false">AT12-AT14</f>
        <v>274199.803289</v>
      </c>
      <c r="AU15" s="13" t="str">
        <f aca="false">IF(COUNT(AU12,AU14)=2,AU12-AU14,"")</f>
        <v/>
      </c>
      <c r="AV15" s="13" t="n">
        <f aca="false">AV12-AV14</f>
        <v>286771.680632573</v>
      </c>
      <c r="AW15" s="13" t="n">
        <f aca="false">AW12-AW14</f>
        <v>267655.577174</v>
      </c>
      <c r="AX15" s="12" t="str">
        <f aca="false">IF(COUNT(AX12,AX14)=2,AX12-AX14,"")</f>
        <v/>
      </c>
      <c r="AY15" s="12" t="n">
        <f aca="false">AY12-AY14</f>
        <v>258760.176649786</v>
      </c>
      <c r="AZ15" s="12" t="n">
        <f aca="false">AZ12-AZ14</f>
        <v>239594.7053055</v>
      </c>
      <c r="BA15" s="13" t="str">
        <f aca="false">IF(COUNT(BA12,BA14)=2,BA12-BA14,"")</f>
        <v/>
      </c>
      <c r="BB15" s="13" t="n">
        <f aca="false">BB12-BB14</f>
        <v>251743.46886421</v>
      </c>
      <c r="BC15" s="13" t="n">
        <f aca="false">BC12-BC14</f>
        <v>232575.6919755</v>
      </c>
      <c r="BD15" s="12" t="str">
        <f aca="false">IF(COUNT(BD12,BD14)=2,BD12-BD14,"")</f>
        <v/>
      </c>
      <c r="BE15" s="12" t="n">
        <f aca="false">BE12-BE14</f>
        <v>245856.823904264</v>
      </c>
      <c r="BF15" s="12" t="n">
        <f aca="false">BF12-BF14</f>
        <v>226686.3971655</v>
      </c>
      <c r="BG15" s="13" t="str">
        <f aca="false">IF(COUNT(BG12,BG14)=2,BG12-BG14,"")</f>
        <v/>
      </c>
      <c r="BH15" s="13" t="n">
        <f aca="false">BH12-BH14</f>
        <v>232085.882954905</v>
      </c>
      <c r="BI15" s="13" t="n">
        <f aca="false">BI12-BI14</f>
        <v>212913.0866885</v>
      </c>
      <c r="BJ15" s="12" t="str">
        <f aca="false">IF(COUNT(BJ12,BJ14)=2,BJ12-BJ14,"")</f>
        <v/>
      </c>
      <c r="BK15" s="12" t="n">
        <f aca="false">BK12-BK14</f>
        <v>236572.650315142</v>
      </c>
      <c r="BL15" s="12" t="n">
        <f aca="false">BL12-BL14</f>
        <v>217397.126258</v>
      </c>
      <c r="BM15" s="13" t="str">
        <f aca="false">IF(COUNT(BM12,BM14)=2,BM12-BM14,"")</f>
        <v/>
      </c>
      <c r="BN15" s="13" t="n">
        <f aca="false">BN12-BN14</f>
        <v>216849.840834719</v>
      </c>
      <c r="BO15" s="13" t="n">
        <f aca="false">BO12-BO14</f>
        <v>197671.8798875</v>
      </c>
      <c r="BP15" s="12" t="str">
        <f aca="false">IF(COUNT(BP12,BP14)=2,BP12-BP14,"")</f>
        <v/>
      </c>
      <c r="BQ15" s="12" t="n">
        <f aca="false">BQ12-BQ14</f>
        <v>215444.303212224</v>
      </c>
      <c r="BR15" s="12" t="n">
        <f aca="false">BR12-BR14</f>
        <v>196263.5307405</v>
      </c>
      <c r="BS15" s="13" t="str">
        <f aca="false">IF(COUNT(BS12,BS14)=2,BS12-BS14,"")</f>
        <v/>
      </c>
      <c r="BT15" s="13" t="n">
        <f aca="false">BT12-BT14</f>
        <v>195322.165420282</v>
      </c>
      <c r="BU15" s="13" t="n">
        <f aca="false">BU12-BU14</f>
        <v>176138.1944435</v>
      </c>
      <c r="BV15" s="12" t="str">
        <f aca="false">IF(COUNT(BV12,BV14)=2,BV12-BV14,"")</f>
        <v/>
      </c>
      <c r="BW15" s="12" t="n">
        <f aca="false">BW12-BW14</f>
        <v>186206.32723557</v>
      </c>
      <c r="BX15" s="12" t="n">
        <f aca="false">BX12-BX14</f>
        <v>167019.444953</v>
      </c>
      <c r="BY15" s="13" t="str">
        <f aca="false">IF(COUNT(BY12,BY14)=2,BY12-BY14,"")</f>
        <v/>
      </c>
      <c r="BZ15" s="13" t="n">
        <f aca="false">BZ12-BZ14</f>
        <v>167333.357309569</v>
      </c>
      <c r="CA15" s="13" t="n">
        <f aca="false">CA12-CA14</f>
        <v>148143.14109</v>
      </c>
      <c r="CB15" s="12" t="str">
        <f aca="false">IF(COUNT(CB12,CB14)=2,CB12-CB14,"")</f>
        <v/>
      </c>
      <c r="CC15" s="12" t="n">
        <f aca="false">CC12-CC14</f>
        <v>186182.193156549</v>
      </c>
      <c r="CD15" s="12" t="n">
        <f aca="false">CD12-CD14</f>
        <v>167008.7578675</v>
      </c>
      <c r="CE15" s="13" t="str">
        <f aca="false">IF(COUNT(CE12,CE14)=2,CE12-CE14,"")</f>
        <v/>
      </c>
      <c r="CF15" s="13" t="n">
        <f aca="false">CF12-CF14</f>
        <v>178372.115389012</v>
      </c>
      <c r="CG15" s="13" t="n">
        <f aca="false">CG12-CG14</f>
        <v>159215.1383805</v>
      </c>
      <c r="CH15" s="12" t="str">
        <f aca="false">IF(COUNT(CH12,CH14)=2,CH12-CH14,"")</f>
        <v/>
      </c>
      <c r="CI15" s="12" t="n">
        <f aca="false">CI12-CI14</f>
        <v>159822.688523981</v>
      </c>
      <c r="CJ15" s="12" t="n">
        <f aca="false">CJ12-CJ14</f>
        <v>140638.534469</v>
      </c>
      <c r="CK15" s="13" t="str">
        <f aca="false">IF(COUNT(CK12,CK14)=2,CK12-CK14,"")</f>
        <v/>
      </c>
      <c r="CL15" s="13" t="n">
        <f aca="false">CL12-CL14</f>
        <v>141341.910099118</v>
      </c>
      <c r="CM15" s="13" t="n">
        <f aca="false">CM12-CM14</f>
        <v>122174.438663</v>
      </c>
      <c r="CN15" s="12" t="str">
        <f aca="false">IF(COUNT(CN12,CN14)=2,CN12-CN14,"")</f>
        <v/>
      </c>
      <c r="CO15" s="12" t="n">
        <f aca="false">CO12-CO14</f>
        <v>129342.204414801</v>
      </c>
      <c r="CP15" s="12" t="n">
        <f aca="false">CP12-CP14</f>
        <v>110191.07946</v>
      </c>
      <c r="CQ15" s="13" t="str">
        <f aca="false">IF(COUNT(CQ12,CQ14)=2,CQ12-CQ14,"")</f>
        <v/>
      </c>
      <c r="CR15" s="13" t="n">
        <f aca="false">CR12-CR14</f>
        <v>119247.655731443</v>
      </c>
      <c r="CS15" s="13" t="n">
        <f aca="false">CS12-CS14</f>
        <v>100070.249318</v>
      </c>
      <c r="CT15" s="12" t="str">
        <f aca="false">IF(COUNT(CT12,CT14)=2,CT12-CT14,"")</f>
        <v/>
      </c>
      <c r="CU15" s="12" t="n">
        <f aca="false">CU12-CU14</f>
        <v>101059.404106658</v>
      </c>
      <c r="CV15" s="12" t="n">
        <f aca="false">CV12-CV14</f>
        <v>81898.5744935</v>
      </c>
      <c r="CW15" s="13" t="str">
        <f aca="false">IF(COUNT(CW12,CW14)=2,CW12-CW14,"")</f>
        <v/>
      </c>
      <c r="CX15" s="13" t="n">
        <f aca="false">CX12-CX14</f>
        <v>93834.5551062277</v>
      </c>
      <c r="CY15" s="13" t="n">
        <f aca="false">CY12-CY14</f>
        <v>74689.9539220001</v>
      </c>
      <c r="CZ15" s="12" t="str">
        <f aca="false">IF(COUNT(CZ12,CZ14)=2,CZ12-CZ14,"")</f>
        <v/>
      </c>
      <c r="DA15" s="12" t="n">
        <f aca="false">DA12-DA14</f>
        <v>75967.2365379949</v>
      </c>
      <c r="DB15" s="12" t="n">
        <f aca="false">DB12-DB14</f>
        <v>56797.28594115</v>
      </c>
      <c r="DC15" s="13" t="str">
        <f aca="false">IF(COUNT(DC12,DC14)=2,DC12-DC14,"")</f>
        <v/>
      </c>
      <c r="DD15" s="13" t="n">
        <f aca="false">DD12-DD14</f>
        <v>58169.3270341668</v>
      </c>
      <c r="DE15" s="13" t="n">
        <f aca="false">DE12-DE14</f>
        <v>51538.50526155</v>
      </c>
      <c r="DF15" s="12" t="str">
        <f aca="false">IF(COUNT(DF12,DF14)=2,DF12-DF14,"")</f>
        <v/>
      </c>
      <c r="DG15" s="12" t="n">
        <f aca="false">DG12-DG14</f>
        <v>22970.4763348349</v>
      </c>
      <c r="DH15" s="12" t="n">
        <f aca="false">DH12-DH14</f>
        <v>-19358.878</v>
      </c>
      <c r="DI15" s="13" t="n">
        <f aca="false">IF(COUNT(DI12,DI14)=2,DI12-DI14,"")</f>
        <v>18128.4740274526</v>
      </c>
      <c r="DJ15" s="13" t="n">
        <f aca="false">DJ12-DJ14</f>
        <v>18128.4740274526</v>
      </c>
      <c r="DK15" s="13" t="n">
        <f aca="false">DK12-DK14</f>
        <v>-27896.522</v>
      </c>
      <c r="DL15" s="12" t="n">
        <f aca="false">IF(COUNT(DL12,DL14)=2,DL12-DL14,"")</f>
        <v>-8568</v>
      </c>
      <c r="DM15" s="12" t="n">
        <f aca="false">DM12-DM14</f>
        <v>-8568</v>
      </c>
      <c r="DN15" s="12" t="n">
        <f aca="false">DN12-DN14</f>
        <v>4874.52</v>
      </c>
    </row>
    <row r="16" customFormat="false" ht="15" hidden="false" customHeight="false" outlineLevel="0" collapsed="false">
      <c r="A16" s="5" t="s">
        <v>115</v>
      </c>
      <c r="B16" s="23" t="str">
        <f aca="false">IF(K16&lt;&gt;"",K16,IF(N16&lt;&gt;"",N16,IF(Q16&lt;&gt;"",Q16,IF(T16&lt;&gt;"",T16,IF(W16&lt;&gt;"",W16,IF(Z16&lt;&gt;"",Z16,IF(AC16&lt;&gt;"",AC16,IF(AF16&lt;&gt;"",AF16,IF(AI16&lt;&gt;"",AI16,IF(AL16&lt;&gt;"",AL16,IF(AO16&lt;&gt;"",AO16,IF(AR16&lt;&gt;"",AR16,""))))))))))))</f>
        <v/>
      </c>
      <c r="C16" s="23" t="n">
        <f aca="false">IF(L16&lt;&gt;"",L16,IF(O16&lt;&gt;"",O16,IF(R16&lt;&gt;"",R16,IF(U16&lt;&gt;"",U16,IF(X16&lt;&gt;"",X16,IF(AA16&lt;&gt;"",AA16,IF(AD16&lt;&gt;"",AD16,IF(AG16&lt;&gt;"",AG16,IF(AJ16&lt;&gt;"",AJ16,IF(AM16&lt;&gt;"",AM16,IF(AP16&lt;&gt;"",AP16,IF(AS16&lt;&gt;"",AS16,""))))))))))))</f>
        <v>1585</v>
      </c>
      <c r="D16" s="23" t="n">
        <f aca="false">IF(M16&lt;&gt;"",M16,IF(P16&lt;&gt;"",P16,IF(S16&lt;&gt;"",S16,IF(V16&lt;&gt;"",V16,IF(Y16&lt;&gt;"",Y16,IF(AB16&lt;&gt;"",AB16,IF(AE16&lt;&gt;"",AE16,IF(AH16&lt;&gt;"",AH16,IF(AK16&lt;&gt;"",AK16,IF(AN16&lt;&gt;"",AN16,IF(AQ16&lt;&gt;"",AQ16,IF(AT16&lt;&gt;"",AT16,""))))))))))))</f>
        <v>1582</v>
      </c>
      <c r="E16" s="2" t="str">
        <f aca="false">IF(AU16&lt;&gt;"",AU16,IF(AX16&lt;&gt;"",AX16,IF(BA16&lt;&gt;"",BA16,IF(BD16&lt;&gt;"",BD16,IF(BG16&lt;&gt;"",BG16,IF(BJ16&lt;&gt;"",BJ16,IF(BM16&lt;&gt;"",BM16,IF(BP16&lt;&gt;"",BP16,IF(BS16&lt;&gt;"",BS16,IF(BV16&lt;&gt;"",BV16,IF(BY16&lt;&gt;"",BY16,IF(CB16&lt;&gt;"",CB16,""))))))))))))</f>
        <v/>
      </c>
      <c r="F16" s="2" t="n">
        <f aca="false">IF(AV16&lt;&gt;"",AV16,IF(AY16&lt;&gt;"",AY16,IF(BB16&lt;&gt;"",BB16,IF(BE16&lt;&gt;"",BE16,IF(BH16&lt;&gt;"",BH16,IF(BK16&lt;&gt;"",BK16,IF(BN16&lt;&gt;"",BN16,IF(BQ16&lt;&gt;"",BQ16,IF(BT16&lt;&gt;"",BT16,IF(BW16&lt;&gt;"",BW16,IF(BZ16&lt;&gt;"",BZ16,IF(CC16&lt;&gt;"",CC16,""))))))))))))</f>
        <v>1241</v>
      </c>
      <c r="G16" s="2" t="n">
        <f aca="false">IF(AW16&lt;&gt;"",AW16,IF(AZ16&lt;&gt;"",AZ16,IF(BC16&lt;&gt;"",BC16,IF(BF16&lt;&gt;"",BF16,IF(BI16&lt;&gt;"",BI16,IF(BL16&lt;&gt;"",BL16,IF(BO16&lt;&gt;"",BO16,IF(BR16&lt;&gt;"",BR16,IF(BU16&lt;&gt;"",BU16,IF(BX16&lt;&gt;"",BX16,IF(CA16&lt;&gt;"",CA16,IF(CD16&lt;&gt;"",CD16,""))))))))))))</f>
        <v>1238</v>
      </c>
      <c r="H16" s="23" t="n">
        <f aca="false">IF(CE16&lt;&gt;"",CE16,IF(CH16&lt;&gt;"",CH16,IF(CK16&lt;&gt;"",CK16,IF(CN16&lt;&gt;"",CN16,IF(CQ16&lt;&gt;"",CQ16,IF(CT16&lt;&gt;"",CT16,IF(CW16&lt;&gt;"",CW16,IF(CZ16&lt;&gt;"",CZ16,IF(DC16&lt;&gt;"",DC16,IF(DF16&lt;&gt;"",DF16,IF(DI16&lt;&gt;"",DI16,IF(DL16&lt;&gt;"",DL16,""))))))))))))</f>
        <v>850</v>
      </c>
      <c r="I16" s="23" t="n">
        <f aca="false">IF(CF16&lt;&gt;"",CF16,IF(CI16&lt;&gt;"",CI16,IF(CL16&lt;&gt;"",CL16,IF(CO16&lt;&gt;"",CO16,IF(CR16&lt;&gt;"",CR16,IF(CU16&lt;&gt;"",CU16,IF(CX16&lt;&gt;"",CX16,IF(DA16&lt;&gt;"",DA16,IF(DD16&lt;&gt;"",DD16,IF(DG16&lt;&gt;"",DG16,IF(DJ16&lt;&gt;"",DJ16,IF(DM16&lt;&gt;"",DM16,""))))))))))))</f>
        <v>994</v>
      </c>
      <c r="J16" s="23" t="n">
        <f aca="false">IF(CG16&lt;&gt;"",CG16,IF(CJ16&lt;&gt;"",CJ16,IF(CM16&lt;&gt;"",CM16,IF(CP16&lt;&gt;"",CP16,IF(CS16&lt;&gt;"",CS16,IF(CV16&lt;&gt;"",CV16,IF(CY16&lt;&gt;"",CY16,IF(DB16&lt;&gt;"",DB16,IF(DE16&lt;&gt;"",DE16,IF(DH16&lt;&gt;"",DH16,IF(DK16&lt;&gt;"",DK16,IF(DN16&lt;&gt;"",DN16,""))))))))))))</f>
        <v>991</v>
      </c>
      <c r="K16" s="2" t="str">
        <f aca="false">IF(COUNT(Summary!N16,Sales!K6,'Customer Success'!K17)=3,Summary!N16+Sales!K6-'Customer Success'!K17,"")</f>
        <v/>
      </c>
      <c r="L16" s="2" t="n">
        <f aca="false">Summary!O16+Sales!L6-'Customer Success'!L17</f>
        <v>1585</v>
      </c>
      <c r="M16" s="2" t="n">
        <f aca="false">Summary!P16+Sales!M6-'Customer Success'!M17</f>
        <v>1582</v>
      </c>
      <c r="N16" s="23" t="str">
        <f aca="false">IF(COUNT(Summary!Q16,Sales!N6,'Customer Success'!N17)=3,Summary!Q16+Sales!N6-'Customer Success'!N17,"")</f>
        <v/>
      </c>
      <c r="O16" s="23" t="n">
        <f aca="false">Summary!R16+Sales!O6-'Customer Success'!O17</f>
        <v>1556</v>
      </c>
      <c r="P16" s="23" t="n">
        <f aca="false">Summary!S16+Sales!P6-'Customer Success'!P17</f>
        <v>1553</v>
      </c>
      <c r="Q16" s="2" t="str">
        <f aca="false">IF(COUNT(Summary!T16,Sales!Q6,'Customer Success'!Q17)=3,Summary!T16+Sales!Q6-'Customer Success'!Q17,"")</f>
        <v/>
      </c>
      <c r="R16" s="2" t="n">
        <f aca="false">Summary!U16+Sales!R6-'Customer Success'!R17</f>
        <v>1527</v>
      </c>
      <c r="S16" s="2" t="n">
        <f aca="false">Summary!V16+Sales!S6-'Customer Success'!S17</f>
        <v>1524</v>
      </c>
      <c r="T16" s="23" t="str">
        <f aca="false">IF(COUNT(Summary!W16,Sales!T6,'Customer Success'!T17)=3,Summary!W16+Sales!T6-'Customer Success'!T17,"")</f>
        <v/>
      </c>
      <c r="U16" s="23" t="n">
        <f aca="false">Summary!X16+Sales!U6-'Customer Success'!U17</f>
        <v>1498</v>
      </c>
      <c r="V16" s="23" t="n">
        <f aca="false">Summary!Y16+Sales!V6-'Customer Success'!V17</f>
        <v>1495</v>
      </c>
      <c r="W16" s="2" t="str">
        <f aca="false">IF(COUNT(Summary!Z16,Sales!W6,'Customer Success'!W17)=3,Summary!Z16+Sales!W6-'Customer Success'!W17,"")</f>
        <v/>
      </c>
      <c r="X16" s="2" t="n">
        <f aca="false">Summary!AA16+Sales!X6-'Customer Success'!X17</f>
        <v>1469</v>
      </c>
      <c r="Y16" s="2" t="n">
        <f aca="false">Summary!AB16+Sales!Y6-'Customer Success'!Y17</f>
        <v>1466</v>
      </c>
      <c r="Z16" s="23" t="str">
        <f aca="false">IF(COUNT(Summary!AC16,Sales!Z6,'Customer Success'!Z17)=3,Summary!AC16+Sales!Z6-'Customer Success'!Z17,"")</f>
        <v/>
      </c>
      <c r="AA16" s="23" t="n">
        <f aca="false">Summary!AD16+Sales!AA6-'Customer Success'!AA17</f>
        <v>1440</v>
      </c>
      <c r="AB16" s="23" t="n">
        <f aca="false">Summary!AE16+Sales!AB6-'Customer Success'!AB17</f>
        <v>1437</v>
      </c>
      <c r="AC16" s="2" t="str">
        <f aca="false">IF(COUNT(Summary!AF16,Sales!AC6,'Customer Success'!AC17)=3,Summary!AF16+Sales!AC6-'Customer Success'!AC17,"")</f>
        <v/>
      </c>
      <c r="AD16" s="2" t="n">
        <f aca="false">Summary!AG16+Sales!AD6-'Customer Success'!AD17</f>
        <v>1411</v>
      </c>
      <c r="AE16" s="2" t="n">
        <f aca="false">Summary!AH16+Sales!AE6-'Customer Success'!AE17</f>
        <v>1408</v>
      </c>
      <c r="AF16" s="23" t="str">
        <f aca="false">IF(COUNT(Summary!AI16,Sales!AF6,'Customer Success'!AF17)=3,Summary!AI16+Sales!AF6-'Customer Success'!AF17,"")</f>
        <v/>
      </c>
      <c r="AG16" s="23" t="n">
        <f aca="false">Summary!AJ16+Sales!AG6-'Customer Success'!AG17</f>
        <v>1381</v>
      </c>
      <c r="AH16" s="23" t="n">
        <f aca="false">Summary!AK16+Sales!AH6-'Customer Success'!AH17</f>
        <v>1378</v>
      </c>
      <c r="AI16" s="2" t="str">
        <f aca="false">IF(COUNT(Summary!AL16,Sales!AI6,'Customer Success'!AI17)=3,Summary!AL16+Sales!AI6-'Customer Success'!AI17,"")</f>
        <v/>
      </c>
      <c r="AJ16" s="2" t="n">
        <f aca="false">Summary!AM16+Sales!AJ6-'Customer Success'!AJ17</f>
        <v>1351</v>
      </c>
      <c r="AK16" s="2" t="n">
        <f aca="false">Summary!AN16+Sales!AK6-'Customer Success'!AK17</f>
        <v>1348</v>
      </c>
      <c r="AL16" s="23" t="str">
        <f aca="false">IF(COUNT(Summary!AO16,Sales!AL6,'Customer Success'!AL17)=3,Summary!AO16+Sales!AL6-'Customer Success'!AL17,"")</f>
        <v/>
      </c>
      <c r="AM16" s="23" t="n">
        <f aca="false">Summary!AP16+Sales!AM6-'Customer Success'!AM17</f>
        <v>1321</v>
      </c>
      <c r="AN16" s="23" t="n">
        <f aca="false">Summary!AQ16+Sales!AN6-'Customer Success'!AN17</f>
        <v>1318</v>
      </c>
      <c r="AO16" s="2" t="str">
        <f aca="false">IF(COUNT(Summary!AR16,Sales!AO6,'Customer Success'!AO17)=3,Summary!AR16+Sales!AO6-'Customer Success'!AO17,"")</f>
        <v/>
      </c>
      <c r="AP16" s="2" t="n">
        <f aca="false">Summary!AS16+Sales!AP6-'Customer Success'!AP17</f>
        <v>1291</v>
      </c>
      <c r="AQ16" s="2" t="n">
        <f aca="false">Summary!AT16+Sales!AQ6-'Customer Success'!AQ17</f>
        <v>1288</v>
      </c>
      <c r="AR16" s="23" t="str">
        <f aca="false">IF(COUNT(Summary!AU16,Sales!AR6,'Customer Success'!AR17)=3,Summary!AU16+Sales!AR6-'Customer Success'!AR17,"")</f>
        <v/>
      </c>
      <c r="AS16" s="23" t="n">
        <f aca="false">Summary!AV16+Sales!AS6-'Customer Success'!AS17</f>
        <v>1261</v>
      </c>
      <c r="AT16" s="23" t="n">
        <f aca="false">Summary!AW16+Sales!AT6-'Customer Success'!AT17</f>
        <v>1258</v>
      </c>
      <c r="AU16" s="2" t="str">
        <f aca="false">IF(COUNT(Summary!AX16,Sales!AU6,'Customer Success'!AU17)=3,Summary!AX16+Sales!AU6-'Customer Success'!AU17,"")</f>
        <v/>
      </c>
      <c r="AV16" s="2" t="n">
        <f aca="false">Summary!AY16+Sales!AV6-'Customer Success'!AV17</f>
        <v>1241</v>
      </c>
      <c r="AW16" s="2" t="n">
        <f aca="false">Summary!AZ16+Sales!AW6-'Customer Success'!AW17</f>
        <v>1238</v>
      </c>
      <c r="AX16" s="23" t="str">
        <f aca="false">IF(COUNT(Summary!BA16,Sales!AX6,'Customer Success'!AX17)=3,Summary!BA16+Sales!AX6-'Customer Success'!AX17,"")</f>
        <v/>
      </c>
      <c r="AY16" s="23" t="n">
        <f aca="false">Summary!BB16+Sales!AY6-'Customer Success'!AY17</f>
        <v>1220</v>
      </c>
      <c r="AZ16" s="23" t="n">
        <f aca="false">Summary!BC16+Sales!AZ6-'Customer Success'!AZ17</f>
        <v>1217</v>
      </c>
      <c r="BA16" s="2" t="str">
        <f aca="false">IF(COUNT(Summary!BD16,Sales!BA6,'Customer Success'!BA17)=3,Summary!BD16+Sales!BA6-'Customer Success'!BA17,"")</f>
        <v/>
      </c>
      <c r="BB16" s="2" t="n">
        <f aca="false">Summary!BE16+Sales!BB6-'Customer Success'!BB17</f>
        <v>1199</v>
      </c>
      <c r="BC16" s="2" t="n">
        <f aca="false">Summary!BF16+Sales!BC6-'Customer Success'!BC17</f>
        <v>1196</v>
      </c>
      <c r="BD16" s="23" t="str">
        <f aca="false">IF(COUNT(Summary!BG16,Sales!BD6,'Customer Success'!BD17)=3,Summary!BG16+Sales!BD6-'Customer Success'!BD17,"")</f>
        <v/>
      </c>
      <c r="BE16" s="23" t="n">
        <f aca="false">Summary!BH16+Sales!BE6-'Customer Success'!BE17</f>
        <v>1178</v>
      </c>
      <c r="BF16" s="23" t="n">
        <f aca="false">Summary!BI16+Sales!BF6-'Customer Success'!BF17</f>
        <v>1175</v>
      </c>
      <c r="BG16" s="2" t="str">
        <f aca="false">IF(COUNT(Summary!BJ16,Sales!BG6,'Customer Success'!BG17)=3,Summary!BJ16+Sales!BG6-'Customer Success'!BG17,"")</f>
        <v/>
      </c>
      <c r="BH16" s="2" t="n">
        <f aca="false">Summary!BK16+Sales!BH6-'Customer Success'!BH17</f>
        <v>1157</v>
      </c>
      <c r="BI16" s="2" t="n">
        <f aca="false">Summary!BL16+Sales!BI6-'Customer Success'!BI17</f>
        <v>1154</v>
      </c>
      <c r="BJ16" s="23" t="str">
        <f aca="false">IF(COUNT(Summary!BM16,Sales!BJ6,'Customer Success'!BJ17)=3,Summary!BM16+Sales!BJ6-'Customer Success'!BJ17,"")</f>
        <v/>
      </c>
      <c r="BK16" s="23" t="n">
        <f aca="false">Summary!BN16+Sales!BK6-'Customer Success'!BK17</f>
        <v>1136</v>
      </c>
      <c r="BL16" s="23" t="n">
        <f aca="false">Summary!BO16+Sales!BL6-'Customer Success'!BL17</f>
        <v>1133</v>
      </c>
      <c r="BM16" s="2" t="str">
        <f aca="false">IF(COUNT(Summary!BP16,Sales!BM6,'Customer Success'!BM17)=3,Summary!BP16+Sales!BM6-'Customer Success'!BM17,"")</f>
        <v/>
      </c>
      <c r="BN16" s="2" t="n">
        <f aca="false">Summary!BQ16+Sales!BN6-'Customer Success'!BN17</f>
        <v>1115</v>
      </c>
      <c r="BO16" s="2" t="n">
        <f aca="false">Summary!BR16+Sales!BO6-'Customer Success'!BO17</f>
        <v>1112</v>
      </c>
      <c r="BP16" s="23" t="str">
        <f aca="false">IF(COUNT(Summary!BS16,Sales!BP6,'Customer Success'!BP17)=3,Summary!BS16+Sales!BP6-'Customer Success'!BP17,"")</f>
        <v/>
      </c>
      <c r="BQ16" s="23" t="n">
        <f aca="false">Summary!BT16+Sales!BQ6-'Customer Success'!BQ17</f>
        <v>1094</v>
      </c>
      <c r="BR16" s="23" t="n">
        <f aca="false">Summary!BU16+Sales!BR6-'Customer Success'!BR17</f>
        <v>1091</v>
      </c>
      <c r="BS16" s="2" t="str">
        <f aca="false">IF(COUNT(Summary!BV16,Sales!BS6,'Customer Success'!BS17)=3,Summary!BV16+Sales!BS6-'Customer Success'!BS17,"")</f>
        <v/>
      </c>
      <c r="BT16" s="2" t="n">
        <f aca="false">Summary!BW16+Sales!BT6-'Customer Success'!BT17</f>
        <v>1073</v>
      </c>
      <c r="BU16" s="2" t="n">
        <f aca="false">Summary!BX16+Sales!BU6-'Customer Success'!BU17</f>
        <v>1070</v>
      </c>
      <c r="BV16" s="23" t="str">
        <f aca="false">IF(COUNT(Summary!BY16,Sales!BV6,'Customer Success'!BV17)=3,Summary!BY16+Sales!BV6-'Customer Success'!BV17,"")</f>
        <v/>
      </c>
      <c r="BW16" s="23" t="n">
        <f aca="false">Summary!BZ16+Sales!BW6-'Customer Success'!BW17</f>
        <v>1051</v>
      </c>
      <c r="BX16" s="23" t="n">
        <f aca="false">Summary!CA16+Sales!BX6-'Customer Success'!BX17</f>
        <v>1048</v>
      </c>
      <c r="BY16" s="2" t="str">
        <f aca="false">IF(COUNT(Summary!CB16,Sales!BY6,'Customer Success'!BY17)=3,Summary!CB16+Sales!BY6-'Customer Success'!BY17,"")</f>
        <v/>
      </c>
      <c r="BZ16" s="2" t="n">
        <f aca="false">Summary!CC16+Sales!BZ6-'Customer Success'!BZ17</f>
        <v>1029</v>
      </c>
      <c r="CA16" s="2" t="n">
        <f aca="false">Summary!CD16+Sales!CA6-'Customer Success'!CA17</f>
        <v>1026</v>
      </c>
      <c r="CB16" s="23" t="str">
        <f aca="false">IF(COUNT(Summary!CE16,Sales!CB6,'Customer Success'!CB17)=3,Summary!CE16+Sales!CB6-'Customer Success'!CB17,"")</f>
        <v/>
      </c>
      <c r="CC16" s="23" t="n">
        <f aca="false">Summary!CF16+Sales!CC6-'Customer Success'!CC17</f>
        <v>1007</v>
      </c>
      <c r="CD16" s="23" t="n">
        <f aca="false">Summary!CG16+Sales!CD6-'Customer Success'!CD17</f>
        <v>1004</v>
      </c>
      <c r="CE16" s="2" t="str">
        <f aca="false">IF(COUNT(Summary!CH16,Sales!CE6,'Customer Success'!CE17)=3,Summary!CH16+Sales!CE6-'Customer Success'!CE17,"")</f>
        <v/>
      </c>
      <c r="CF16" s="2" t="n">
        <f aca="false">Summary!CI16+Sales!CF6-'Customer Success'!CF17</f>
        <v>994</v>
      </c>
      <c r="CG16" s="2" t="n">
        <f aca="false">Summary!CJ16+Sales!CG6-'Customer Success'!CG17</f>
        <v>991</v>
      </c>
      <c r="CH16" s="23" t="str">
        <f aca="false">IF(COUNT(Summary!CK16,Sales!CH6,'Customer Success'!CH17)=3,Summary!CK16+Sales!CH6-'Customer Success'!CH17,"")</f>
        <v/>
      </c>
      <c r="CI16" s="23" t="n">
        <f aca="false">Summary!CL16+Sales!CI6-'Customer Success'!CI17</f>
        <v>981</v>
      </c>
      <c r="CJ16" s="23" t="n">
        <f aca="false">Summary!CM16+Sales!CJ6-'Customer Success'!CJ17</f>
        <v>978</v>
      </c>
      <c r="CK16" s="2" t="str">
        <f aca="false">IF(COUNT(Summary!CN16,Sales!CK6,'Customer Success'!CK17)=3,Summary!CN16+Sales!CK6-'Customer Success'!CK17,"")</f>
        <v/>
      </c>
      <c r="CL16" s="2" t="n">
        <f aca="false">Summary!CO16+Sales!CL6-'Customer Success'!CL17</f>
        <v>968</v>
      </c>
      <c r="CM16" s="2" t="n">
        <f aca="false">Summary!CP16+Sales!CM6-'Customer Success'!CM17</f>
        <v>965</v>
      </c>
      <c r="CN16" s="23" t="str">
        <f aca="false">IF(COUNT(Summary!CQ16,Sales!CN6,'Customer Success'!CN17)=3,Summary!CQ16+Sales!CN6-'Customer Success'!CN17,"")</f>
        <v/>
      </c>
      <c r="CO16" s="23" t="n">
        <f aca="false">Summary!CR16+Sales!CO6-'Customer Success'!CO17</f>
        <v>955</v>
      </c>
      <c r="CP16" s="23" t="n">
        <f aca="false">Summary!CS16+Sales!CP6-'Customer Success'!CP17</f>
        <v>952</v>
      </c>
      <c r="CQ16" s="2" t="str">
        <f aca="false">IF(COUNT(Summary!CT16,Sales!CQ6,'Customer Success'!CQ17)=3,Summary!CT16+Sales!CQ6-'Customer Success'!CQ17,"")</f>
        <v/>
      </c>
      <c r="CR16" s="2" t="n">
        <f aca="false">Summary!CU16+Sales!CR6-'Customer Success'!CR17</f>
        <v>942</v>
      </c>
      <c r="CS16" s="2" t="n">
        <f aca="false">Summary!CV16+Sales!CS6-'Customer Success'!CS17</f>
        <v>939</v>
      </c>
      <c r="CT16" s="23" t="str">
        <f aca="false">IF(COUNT(Summary!CW16,Sales!CT6,'Customer Success'!CT17)=3,Summary!CW16+Sales!CT6-'Customer Success'!CT17,"")</f>
        <v/>
      </c>
      <c r="CU16" s="23" t="n">
        <f aca="false">Summary!CX16+Sales!CU6-'Customer Success'!CU17</f>
        <v>929</v>
      </c>
      <c r="CV16" s="23" t="n">
        <f aca="false">Summary!CY16+Sales!CV6-'Customer Success'!CV17</f>
        <v>926</v>
      </c>
      <c r="CW16" s="2" t="str">
        <f aca="false">IF(COUNT(Summary!CZ16,Sales!CW6,'Customer Success'!CW17)=3,Summary!CZ16+Sales!CW6-'Customer Success'!CW17,"")</f>
        <v/>
      </c>
      <c r="CX16" s="2" t="n">
        <f aca="false">Summary!DA16+Sales!CX6-'Customer Success'!CX17</f>
        <v>916</v>
      </c>
      <c r="CY16" s="2" t="n">
        <f aca="false">Summary!DB16+Sales!CY6-'Customer Success'!CY17</f>
        <v>913</v>
      </c>
      <c r="CZ16" s="23" t="str">
        <f aca="false">IF(COUNT(Summary!DC16,Sales!CZ6,'Customer Success'!CZ17)=3,Summary!DC16+Sales!CZ6-'Customer Success'!CZ17,"")</f>
        <v/>
      </c>
      <c r="DA16" s="23" t="n">
        <f aca="false">Summary!DD16+Sales!DA6-'Customer Success'!DA17</f>
        <v>903</v>
      </c>
      <c r="DB16" s="23" t="n">
        <f aca="false">Summary!DE16+Sales!DB6-'Customer Success'!DB17</f>
        <v>900</v>
      </c>
      <c r="DC16" s="2" t="str">
        <f aca="false">IF(COUNT(Summary!DF16,Sales!DC6,'Customer Success'!DC17)=3,Summary!DF16+Sales!DC6-'Customer Success'!DC17,"")</f>
        <v/>
      </c>
      <c r="DD16" s="2" t="n">
        <f aca="false">Summary!DG16+Sales!DD6-'Customer Success'!DD17</f>
        <v>889</v>
      </c>
      <c r="DE16" s="2" t="n">
        <f aca="false">Summary!DH16+Sales!DE6-'Customer Success'!DE17</f>
        <v>886</v>
      </c>
      <c r="DF16" s="23" t="str">
        <f aca="false">IF(COUNT(Summary!DI16,Sales!DF6,'Customer Success'!DF17)=3,Summary!DI16+Sales!DF6-'Customer Success'!DF17,"")</f>
        <v/>
      </c>
      <c r="DG16" s="23" t="n">
        <f aca="false">Summary!DJ16+Sales!DG6-'Customer Success'!DG17</f>
        <v>875</v>
      </c>
      <c r="DH16" s="23" t="n">
        <f aca="false">Summary!DK16+Sales!DH6-'Customer Success'!DH17</f>
        <v>872</v>
      </c>
      <c r="DI16" s="2" t="n">
        <f aca="false">IF(COUNT(Summary!DL16,Sales!DI6,'Customer Success'!DI17)=3,Summary!DL16+Sales!DI6-'Customer Success'!DI17,"")</f>
        <v>850</v>
      </c>
      <c r="DJ16" s="2" t="n">
        <f aca="false">Summary!DM16+Sales!DJ6-'Customer Success'!DJ17</f>
        <v>850</v>
      </c>
      <c r="DK16" s="2" t="n">
        <f aca="false">Summary!DN16+Sales!DK6-'Customer Success'!DK17</f>
        <v>839</v>
      </c>
      <c r="DL16" s="23" t="n">
        <f aca="false">IF(COUNT(Finance!$DL$62,Sales!DL6,'Customer Success'!DL17)=3,Finance!$DL$62+Sales!DL6-'Customer Success'!DL17,"")</f>
        <v>844</v>
      </c>
      <c r="DM16" s="23" t="n">
        <f aca="false">Finance!$DL$62+Sales!DM6-'Customer Success'!DM17</f>
        <v>844</v>
      </c>
      <c r="DN16" s="23" t="n">
        <f aca="false">Finance!$DL$62+Sales!DN6-'Customer Success'!DN17</f>
        <v>825</v>
      </c>
    </row>
    <row r="17" customFormat="false" ht="15" hidden="false" customHeight="false" outlineLevel="0" collapsed="false">
      <c r="A17" s="5" t="s">
        <v>116</v>
      </c>
      <c r="B17" s="24" t="str">
        <f aca="false">IF(N(B16)=0,"",B6/B16)</f>
        <v/>
      </c>
      <c r="C17" s="24" t="n">
        <f aca="false">IF(N(C16)=0,"",C6/C16)</f>
        <v>1540.74279004439</v>
      </c>
      <c r="D17" s="24" t="n">
        <f aca="false">IF(N(D16)=0,"",D6/D16)</f>
        <v>1527.22109924147</v>
      </c>
      <c r="E17" s="25" t="str">
        <f aca="false">IF(N(E16)=0,"",E6/E16)</f>
        <v/>
      </c>
      <c r="F17" s="25" t="n">
        <f aca="false">IF(N(F16)=0,"",F6/F16)</f>
        <v>1441.71277347385</v>
      </c>
      <c r="G17" s="25" t="n">
        <f aca="false">IF(N(G16)=0,"",G6/G16)</f>
        <v>1423.87095968255</v>
      </c>
      <c r="H17" s="24" t="n">
        <f aca="false">IF(N(H16)=0,"",H6/H16)</f>
        <v>1220.67699724282</v>
      </c>
      <c r="I17" s="24" t="n">
        <f aca="false">IF(N(I16)=0,"",I6/I16)</f>
        <v>1345.67218328887</v>
      </c>
      <c r="J17" s="24" t="n">
        <f aca="false">IF(N(J16)=0,"",J6/J16)</f>
        <v>1323.03656503431</v>
      </c>
      <c r="K17" s="25" t="str">
        <f aca="false">IF(COUNT(K6,K16)=2,IF(N(K16)=0,"",K6/K16),"")</f>
        <v/>
      </c>
      <c r="L17" s="25" t="n">
        <f aca="false">IF(N(L16)=0,"",L6/L16)</f>
        <v>1540.74279004439</v>
      </c>
      <c r="M17" s="25" t="n">
        <f aca="false">IF(N(M16)=0,"",M6/M16)</f>
        <v>1527.22109924147</v>
      </c>
      <c r="N17" s="24" t="str">
        <f aca="false">IF(COUNT(N6,N16)=2,IF(N(N16)=0,"",N6/N16),"")</f>
        <v/>
      </c>
      <c r="O17" s="24" t="n">
        <f aca="false">IF(N(O16)=0,"",O6/O16)</f>
        <v>1531.48924341877</v>
      </c>
      <c r="P17" s="24" t="n">
        <f aca="false">IF(N(P16)=0,"",P6/P16)</f>
        <v>1517.67605049324</v>
      </c>
      <c r="Q17" s="25" t="str">
        <f aca="false">IF(COUNT(Q6,Q16)=2,IF(N(Q16)=0,"",Q6/Q16),"")</f>
        <v/>
      </c>
      <c r="R17" s="25" t="n">
        <f aca="false">IF(N(R16)=0,"",R6/R16)</f>
        <v>1522.16946052441</v>
      </c>
      <c r="S17" s="25" t="n">
        <f aca="false">IF(N(S16)=0,"",S6/S16)</f>
        <v>1508.05371216864</v>
      </c>
      <c r="T17" s="24" t="str">
        <f aca="false">IF(COUNT(T6,T16)=2,IF(N(T16)=0,"",T6/T16),"")</f>
        <v/>
      </c>
      <c r="U17" s="24" t="n">
        <f aca="false">IF(N(U16)=0,"",U6/U16)</f>
        <v>1512.82423142922</v>
      </c>
      <c r="V17" s="24" t="n">
        <f aca="false">IF(N(V16)=0,"",V6/V16)</f>
        <v>1498.39388668294</v>
      </c>
      <c r="W17" s="25" t="str">
        <f aca="false">IF(COUNT(W6,W16)=2,IF(N(W16)=0,"",W6/W16),"")</f>
        <v/>
      </c>
      <c r="X17" s="25" t="n">
        <f aca="false">IF(N(X16)=0,"",X6/X16)</f>
        <v>1503.4047344575</v>
      </c>
      <c r="Y17" s="25" t="n">
        <f aca="false">IF(N(Y16)=0,"",Y6/Y16)</f>
        <v>1488.64737527217</v>
      </c>
      <c r="Z17" s="24" t="str">
        <f aca="false">IF(COUNT(Z6,Z16)=2,IF(N(Z16)=0,"",Z6/Z16),"")</f>
        <v/>
      </c>
      <c r="AA17" s="24" t="n">
        <f aca="false">IF(N(AA16)=0,"",AA6/AA16)</f>
        <v>1493.90578711013</v>
      </c>
      <c r="AB17" s="24" t="n">
        <f aca="false">IF(N(AB16)=0,"",AB6/AB16)</f>
        <v>1478.80823866875</v>
      </c>
      <c r="AC17" s="25" t="str">
        <f aca="false">IF(COUNT(AC6,AC16)=2,IF(N(AC16)=0,"",AC6/AC16),"")</f>
        <v/>
      </c>
      <c r="AD17" s="25" t="n">
        <f aca="false">IF(N(AD16)=0,"",AD6/AD16)</f>
        <v>1484.36898613016</v>
      </c>
      <c r="AE17" s="25" t="n">
        <f aca="false">IF(N(AE16)=0,"",AE6/AE16)</f>
        <v>1468.91686210653</v>
      </c>
      <c r="AF17" s="24" t="str">
        <f aca="false">IF(COUNT(AF6,AF16)=2,IF(N(AF16)=0,"",AF6/AF16),"")</f>
        <v/>
      </c>
      <c r="AG17" s="24" t="n">
        <f aca="false">IF(N(AG16)=0,"",AG6/AG16)</f>
        <v>1475.8116121132</v>
      </c>
      <c r="AH17" s="24" t="n">
        <f aca="false">IF(N(AH16)=0,"",AH6/AH16)</f>
        <v>1459.98084069303</v>
      </c>
      <c r="AI17" s="25" t="str">
        <f aca="false">IF(COUNT(AI6,AI16)=2,IF(N(AI16)=0,"",AI6/AI16),"")</f>
        <v/>
      </c>
      <c r="AJ17" s="25" t="n">
        <f aca="false">IF(N(AJ16)=0,"",AJ6/AJ16)</f>
        <v>1467.24109435939</v>
      </c>
      <c r="AK17" s="25" t="n">
        <f aca="false">IF(N(AK16)=0,"",AK6/AK16)</f>
        <v>1451.01445502967</v>
      </c>
      <c r="AL17" s="24" t="str">
        <f aca="false">IF(COUNT(AL6,AL16)=2,IF(N(AL16)=0,"",AL6/AL16),"")</f>
        <v/>
      </c>
      <c r="AM17" s="24" t="n">
        <f aca="false">IF(N(AM16)=0,"",AM6/AM16)</f>
        <v>1458.65502501099</v>
      </c>
      <c r="AN17" s="24" t="n">
        <f aca="false">IF(N(AN16)=0,"",AN6/AN16)</f>
        <v>1442.01409554932</v>
      </c>
      <c r="AO17" s="25" t="str">
        <f aca="false">IF(COUNT(AO6,AO16)=2,IF(N(AO16)=0,"",AO6/AO16),"")</f>
        <v/>
      </c>
      <c r="AP17" s="25" t="n">
        <f aca="false">IF(N(AP16)=0,"",AP6/AP16)</f>
        <v>1450.00037694483</v>
      </c>
      <c r="AQ17" s="25" t="n">
        <f aca="false">IF(N(AQ16)=0,"",AQ6/AQ16)</f>
        <v>1432.92589793478</v>
      </c>
      <c r="AR17" s="24" t="str">
        <f aca="false">IF(COUNT(AR6,AR16)=2,IF(N(AR16)=0,"",AR6/AR16),"")</f>
        <v/>
      </c>
      <c r="AS17" s="24" t="n">
        <f aca="false">IF(N(AS16)=0,"",AS6/AS16)</f>
        <v>1451.57099505914</v>
      </c>
      <c r="AT17" s="24" t="n">
        <f aca="false">IF(N(AT16)=0,"",AT6/AT16)</f>
        <v>1434.03891653736</v>
      </c>
      <c r="AU17" s="25" t="str">
        <f aca="false">IF(COUNT(AU6,AU16)=2,IF(N(AU16)=0,"",AU6/AU16),"")</f>
        <v/>
      </c>
      <c r="AV17" s="25" t="n">
        <f aca="false">IF(N(AV16)=0,"",AV6/AV16)</f>
        <v>1441.71277347385</v>
      </c>
      <c r="AW17" s="25" t="n">
        <f aca="false">IF(N(AW16)=0,"",AW6/AW16)</f>
        <v>1423.87095968255</v>
      </c>
      <c r="AX17" s="24" t="str">
        <f aca="false">IF(COUNT(AX6,AX16)=2,IF(N(AX16)=0,"",AX6/AX16),"")</f>
        <v/>
      </c>
      <c r="AY17" s="24" t="n">
        <f aca="false">IF(N(AY16)=0,"",AY6/AY16)</f>
        <v>1432.96693615455</v>
      </c>
      <c r="AZ17" s="24" t="n">
        <f aca="false">IF(N(AZ16)=0,"",AZ6/AZ16)</f>
        <v>1414.74050203369</v>
      </c>
      <c r="BA17" s="25" t="str">
        <f aca="false">IF(COUNT(BA6,BA16)=2,IF(N(BA16)=0,"",BA6/BA16),"")</f>
        <v/>
      </c>
      <c r="BB17" s="25" t="n">
        <f aca="false">IF(N(BB16)=0,"",BB6/BB16)</f>
        <v>1424.12687314736</v>
      </c>
      <c r="BC17" s="25" t="n">
        <f aca="false">IF(N(BC16)=0,"",BC6/BC16)</f>
        <v>1405.55561284448</v>
      </c>
      <c r="BD17" s="24" t="str">
        <f aca="false">IF(COUNT(BD6,BD16)=2,IF(N(BD16)=0,"",BD6/BD16),"")</f>
        <v/>
      </c>
      <c r="BE17" s="24" t="n">
        <f aca="false">IF(N(BE16)=0,"",BE6/BE16)</f>
        <v>1415.24115461957</v>
      </c>
      <c r="BF17" s="24" t="n">
        <f aca="false">IF(N(BF16)=0,"",BF6/BF16)</f>
        <v>1396.31222744426</v>
      </c>
      <c r="BG17" s="25" t="str">
        <f aca="false">IF(COUNT(BG6,BG16)=2,IF(N(BG16)=0,"",BG6/BG16),"")</f>
        <v/>
      </c>
      <c r="BH17" s="25" t="n">
        <f aca="false">IF(N(BH16)=0,"",BH6/BH16)</f>
        <v>1406.25160420146</v>
      </c>
      <c r="BI17" s="25" t="n">
        <f aca="false">IF(N(BI16)=0,"",BI6/BI16)</f>
        <v>1386.95205309879</v>
      </c>
      <c r="BJ17" s="24" t="str">
        <f aca="false">IF(COUNT(BJ6,BJ16)=2,IF(N(BJ16)=0,"",BJ6/BJ16),"")</f>
        <v/>
      </c>
      <c r="BK17" s="24" t="n">
        <f aca="false">IF(N(BK16)=0,"",BK6/BK16)</f>
        <v>1397.20735162779</v>
      </c>
      <c r="BL17" s="24" t="n">
        <f aca="false">IF(N(BL16)=0,"",BL6/BL16)</f>
        <v>1377.52286255693</v>
      </c>
      <c r="BM17" s="25" t="str">
        <f aca="false">IF(COUNT(BM6,BM16)=2,IF(N(BM16)=0,"",BM6/BM16),"")</f>
        <v/>
      </c>
      <c r="BN17" s="25" t="n">
        <f aca="false">IF(N(BN16)=0,"",BN6/BN16)</f>
        <v>1388.04824847896</v>
      </c>
      <c r="BO17" s="25" t="n">
        <f aca="false">IF(N(BO16)=0,"",BO6/BO16)</f>
        <v>1367.96432758453</v>
      </c>
      <c r="BP17" s="24" t="str">
        <f aca="false">IF(COUNT(BP6,BP16)=2,IF(N(BP16)=0,"",BP6/BP16),"")</f>
        <v/>
      </c>
      <c r="BQ17" s="24" t="n">
        <f aca="false">IF(N(BQ16)=0,"",BQ6/BQ16)</f>
        <v>1378.78564988027</v>
      </c>
      <c r="BR17" s="24" t="n">
        <f aca="false">IF(N(BR16)=0,"",BR6/BR16)</f>
        <v>1358.28617064161</v>
      </c>
      <c r="BS17" s="25" t="str">
        <f aca="false">IF(COUNT(BS6,BS16)=2,IF(N(BS16)=0,"",BS6/BS16),"")</f>
        <v/>
      </c>
      <c r="BT17" s="25" t="n">
        <f aca="false">IF(N(BT16)=0,"",BT6/BT16)</f>
        <v>1369.41234179747</v>
      </c>
      <c r="BU17" s="25" t="n">
        <f aca="false">IF(N(BU16)=0,"",BU6/BU16)</f>
        <v>1348.48018904766</v>
      </c>
      <c r="BV17" s="24" t="str">
        <f aca="false">IF(COUNT(BV6,BV16)=2,IF(N(BV16)=0,"",BV6/BV16),"")</f>
        <v/>
      </c>
      <c r="BW17" s="24" t="n">
        <f aca="false">IF(N(BW16)=0,"",BW6/BW16)</f>
        <v>1361.1578894549</v>
      </c>
      <c r="BX17" s="24" t="n">
        <f aca="false">IF(N(BX16)=0,"",BX6/BX16)</f>
        <v>1339.75891204962</v>
      </c>
      <c r="BY17" s="25" t="str">
        <f aca="false">IF(COUNT(BY6,BY16)=2,IF(N(BY16)=0,"",BY6/BY16),"")</f>
        <v/>
      </c>
      <c r="BZ17" s="25" t="n">
        <f aca="false">IF(N(BZ16)=0,"",BZ6/BZ16)</f>
        <v>1352.81285880826</v>
      </c>
      <c r="CA17" s="25" t="n">
        <f aca="false">IF(N(CA16)=0,"",CA6/CA16)</f>
        <v>1330.92621198441</v>
      </c>
      <c r="CB17" s="24" t="str">
        <f aca="false">IF(COUNT(CB6,CB16)=2,IF(N(CB16)=0,"",CB6/CB16),"")</f>
        <v/>
      </c>
      <c r="CC17" s="24" t="n">
        <f aca="false">IF(N(CC16)=0,"",CC6/CC16)</f>
        <v>1355.25730519905</v>
      </c>
      <c r="CD17" s="24" t="n">
        <f aca="false">IF(N(CD16)=0,"",CD6/CD16)</f>
        <v>1332.9211157012</v>
      </c>
      <c r="CE17" s="25" t="str">
        <f aca="false">IF(COUNT(CE6,CE16)=2,IF(N(CE16)=0,"",CE6/CE16),"")</f>
        <v/>
      </c>
      <c r="CF17" s="25" t="n">
        <f aca="false">IF(N(CF16)=0,"",CF6/CF16)</f>
        <v>1345.67218328887</v>
      </c>
      <c r="CG17" s="25" t="n">
        <f aca="false">IF(N(CG16)=0,"",CG6/CG16)</f>
        <v>1323.03656503431</v>
      </c>
      <c r="CH17" s="24" t="str">
        <f aca="false">IF(COUNT(CH6,CH16)=2,IF(N(CH16)=0,"",CH6/CH16),"")</f>
        <v/>
      </c>
      <c r="CI17" s="24" t="n">
        <f aca="false">IF(N(CI16)=0,"",CI6/CI16)</f>
        <v>1335.98963784557</v>
      </c>
      <c r="CJ17" s="24" t="n">
        <f aca="false">IF(N(CJ16)=0,"",CJ6/CJ16)</f>
        <v>1312.98562942229</v>
      </c>
      <c r="CK17" s="25" t="str">
        <f aca="false">IF(COUNT(CK6,CK16)=2,IF(N(CK16)=0,"",CK6/CK16),"")</f>
        <v/>
      </c>
      <c r="CL17" s="25" t="n">
        <f aca="false">IF(N(CL16)=0,"",CL6/CL16)</f>
        <v>1326.14351084938</v>
      </c>
      <c r="CM17" s="25" t="n">
        <f aca="false">IF(N(CM16)=0,"",CM6/CM16)</f>
        <v>1302.82251375026</v>
      </c>
      <c r="CN17" s="24" t="str">
        <f aca="false">IF(COUNT(CN6,CN16)=2,IF(N(CN16)=0,"",CN6/CN16),"")</f>
        <v/>
      </c>
      <c r="CO17" s="24" t="n">
        <f aca="false">IF(N(CO16)=0,"",CO6/CO16)</f>
        <v>1316.18930714079</v>
      </c>
      <c r="CP17" s="24" t="n">
        <f aca="false">IF(N(CP16)=0,"",CP6/CP16)</f>
        <v>1292.54184473214</v>
      </c>
      <c r="CQ17" s="25" t="str">
        <f aca="false">IF(COUNT(CQ6,CQ16)=2,IF(N(CQ16)=0,"",CQ6/CQ16),"")</f>
        <v/>
      </c>
      <c r="CR17" s="25" t="n">
        <f aca="false">IF(N(CR16)=0,"",CR6/CR16)</f>
        <v>1306.12177120823</v>
      </c>
      <c r="CS17" s="25" t="n">
        <f aca="false">IF(N(CS16)=0,"",CS6/CS16)</f>
        <v>1282.07667602236</v>
      </c>
      <c r="CT17" s="24" t="str">
        <f aca="false">IF(COUNT(CT6,CT16)=2,IF(N(CT16)=0,"",CT6/CT16),"")</f>
        <v/>
      </c>
      <c r="CU17" s="24" t="n">
        <f aca="false">IF(N(CU16)=0,"",CU6/CU16)</f>
        <v>1295.87275339097</v>
      </c>
      <c r="CV17" s="24" t="n">
        <f aca="false">IF(N(CV16)=0,"",CV6/CV16)</f>
        <v>1271.48124389417</v>
      </c>
      <c r="CW17" s="25" t="str">
        <f aca="false">IF(COUNT(CW6,CW16)=2,IF(N(CW16)=0,"",CW6/CW16),"")</f>
        <v/>
      </c>
      <c r="CX17" s="25" t="n">
        <f aca="false">IF(N(CX16)=0,"",CX6/CX16)</f>
        <v>1285.49788359063</v>
      </c>
      <c r="CY17" s="25" t="n">
        <f aca="false">IF(N(CY16)=0,"",CY6/CY16)</f>
        <v>1260.74916223877</v>
      </c>
      <c r="CZ17" s="24" t="str">
        <f aca="false">IF(COUNT(CZ6,CZ16)=2,IF(N(CZ16)=0,"",CZ6/CZ16),"")</f>
        <v/>
      </c>
      <c r="DA17" s="24" t="n">
        <f aca="false">IF(N(DA16)=0,"",DA6/DA16)</f>
        <v>1274.99090188863</v>
      </c>
      <c r="DB17" s="24" t="n">
        <f aca="false">IF(N(DB16)=0,"",DB6/DB16)</f>
        <v>1249.81135460111</v>
      </c>
      <c r="DC17" s="25" t="str">
        <f aca="false">IF(COUNT(DC6,DC16)=2,IF(N(DC16)=0,"",DC6/DC16),"")</f>
        <v/>
      </c>
      <c r="DD17" s="25" t="n">
        <f aca="false">IF(N(DD16)=0,"",DD6/DD16)</f>
        <v>1265.70522108333</v>
      </c>
      <c r="DE17" s="25" t="n">
        <f aca="false">IF(N(DE16)=0,"",DE6/DE16)</f>
        <v>1240.12161824266</v>
      </c>
      <c r="DF17" s="24" t="str">
        <f aca="false">IF(COUNT(DF6,DF16)=2,IF(N(DF16)=0,"",DF6/DF16),"")</f>
        <v/>
      </c>
      <c r="DG17" s="24" t="n">
        <f aca="false">IF(N(DG16)=0,"",DG6/DG16)</f>
        <v>1241.21411286272</v>
      </c>
      <c r="DH17" s="24" t="n">
        <f aca="false">IF(N(DH16)=0,"",DH6/DH16)</f>
        <v>1204.08959012041</v>
      </c>
      <c r="DI17" s="25" t="n">
        <f aca="false">IF(COUNT(DI6,DI16)=2,IF(N(DI16)=0,"",DI6/DI16),"")</f>
        <v>1220.67699724282</v>
      </c>
      <c r="DJ17" s="25" t="n">
        <f aca="false">IF(N(DJ16)=0,"",DJ6/DJ16)</f>
        <v>1220.67699724282</v>
      </c>
      <c r="DK17" s="25" t="n">
        <f aca="false">IF(N(DK16)=0,"",DK6/DK16)</f>
        <v>1193.72881716329</v>
      </c>
      <c r="DL17" s="24" t="n">
        <f aca="false">IF(COUNT(DL6,DL16)=2,IF(N(DL16)=0,"",DL6/DL16),"")</f>
        <v>1210.35781990521</v>
      </c>
      <c r="DM17" s="24" t="n">
        <f aca="false">IF(N(DM16)=0,"",DM6/DM16)</f>
        <v>1210.35781990521</v>
      </c>
      <c r="DN17" s="24" t="n">
        <f aca="false">IF(N(DN16)=0,"",DN6/DN16)</f>
        <v>1210.59636363636</v>
      </c>
    </row>
    <row r="18" customFormat="false" ht="15" hidden="false" customHeight="false" outlineLevel="0" collapsed="false">
      <c r="A18" s="5" t="s">
        <v>117</v>
      </c>
      <c r="B18" s="24" t="str">
        <f aca="false">IF(COUNT(AR12,AO12,AL12,AI12,AF12,AC12,Z12,W12,T12,Q12,N12,K12)=0,"",IF(N(B16)=0,"",SUM(AR12,AO12,AL12,AI12,AF12,AC12,Z12,W12,T12,Q12,N12,K12)/COUNT(AR12,AO12,AL12,AI12,AF12,AC12,Z12,W12,T12,Q12,N12,K12)*12/B16))</f>
        <v/>
      </c>
      <c r="C18" s="24" t="n">
        <f aca="false">IF(COUNT(AS12,AP12,AM12,AJ12,AG12,AD12,AA12,X12,U12,R12,O12,L12)=0,"",IF(N(C16)=0,"",SUM(AS12,AP12,AM12,AJ12,AG12,AD12,AA12,X12,U12,R12,O12,L12)/COUNT(AS12,AP12,AM12,AJ12,AG12,AD12,AA12,X12,U12,R12,O12,L12)*12/C16))</f>
        <v>4513.70468890899</v>
      </c>
      <c r="D18" s="24" t="n">
        <f aca="false">IF(COUNT(AT12,AQ12,AN12,AK12,AH12,AE12,AB12,Y12,V12,S12,P12,M12)=0,"",IF(N(D16)=0,"",SUM(AT12,AQ12,AN12,AK12,AH12,AE12,AB12,Y12,V12,S12,P12,M12)/COUNT(AT12,AQ12,AN12,AK12,AH12,AE12,AB12,Y12,V12,S12,P12,M12)*12/D16))</f>
        <v>4326.6257977244</v>
      </c>
      <c r="E18" s="25" t="str">
        <f aca="false">IF(COUNT(CB12,BY12,BV12,BS12,BP12,BM12,BJ12,BG12,BD12,BA12,AX12,AU12)=0,"",IF(N(E16)=0,"",SUM(CB12,BY12,BV12,BS12,BP12,BM12,BJ12,BG12,BD12,BA12,AX12,AU12)/COUNT(CB12,BY12,BV12,BS12,BP12,BM12,BJ12,BG12,BD12,BA12,AX12,AU12)*12/E16))</f>
        <v/>
      </c>
      <c r="F18" s="25" t="n">
        <f aca="false">IF(COUNT(CC12,BZ12,BW12,BT12,BQ12,BN12,BK12,BH12,BE12,BB12,AY12,AV12)=0,"",IF(N(F16)=0,"",SUM(CC12,BZ12,BW12,BT12,BQ12,BN12,BK12,BH12,BE12,BB12,AY12,AV12)/COUNT(CC12,BZ12,BW12,BT12,BQ12,BN12,BK12,BH12,BE12,BB12,AY12,AV12)*12/F16))</f>
        <v>2937.20652150152</v>
      </c>
      <c r="G18" s="25" t="n">
        <f aca="false">IF(COUNT(CD12,CA12,BX12,BU12,BR12,BO12,BL12,BI12,BF12,BC12,AZ12,AW12)=0,"",IF(N(G16)=0,"",SUM(CD12,CA12,BX12,BU12,BR12,BO12,BL12,BI12,BF12,BC12,AZ12,AW12)/COUNT(CD12,CA12,BX12,BU12,BR12,BO12,BL12,BI12,BF12,BC12,AZ12,AW12)*12/G16))</f>
        <v>2691.49004200323</v>
      </c>
      <c r="H18" s="24" t="n">
        <f aca="false">IF(COUNT(DL12,DI12,DF12,DC12,CZ12,CW12,CT12,CQ12,CN12,CK12,CH12,CE12)=0,"",IF(N(H16)=0,"",SUM(DL12,DI12,DF12,DC12,CZ12,CW12,CT12,CQ12,CN12,CK12,CH12,CE12)/COUNT(DL12,DI12,DF12,DC12,CZ12,CW12,CT12,CQ12,CN12,CK12,CH12,CE12)*12/H16))</f>
        <v>91.8172775745745</v>
      </c>
      <c r="I18" s="24" t="n">
        <f aca="false">IF(COUNT(DM12,DJ12,DG12,DD12,DA12,CX12,CU12,CR12,CO12,CL12,CI12,CF12)=0,"",IF(N(I16)=0,"",SUM(DM12,DJ12,DG12,DD12,DA12,CX12,CU12,CR12,CO12,CL12,CI12,CF12)/COUNT(DM12,DJ12,DG12,DD12,DA12,CX12,CU12,CR12,CO12,CL12,CI12,CF12)*12/I16))</f>
        <v>1491.51787911919</v>
      </c>
      <c r="J18" s="24" t="n">
        <f aca="false">IF(COUNT(DN12,DK12,DH12,DE12,DB12,CY12,CV12,CS12,CP12,CM12,CJ12,CG12)=0,"",IF(N(J16)=0,"",SUM(DN12,DK12,DH12,DE12,DB12,CY12,CV12,CS12,CP12,CM12,CJ12,CG12)/COUNT(DN12,DK12,DH12,DE12,DB12,CY12,CV12,CS12,CP12,CM12,CJ12,CG12)*12/J16))</f>
        <v>1173.60033501514</v>
      </c>
      <c r="K18" s="25" t="str">
        <f aca="false">IF(COUNT(AR12,AO12,AL12,AI12,AF12,AC12,Z12,W12,T12,Q12,N12,K12)=0,"",IF(N(K16)=0,"",SUM(AR12,AO12,AL12,AI12,AF12,AC12,Z12,W12,T12,Q12,N12,K12)/COUNT(AR12,AO12,AL12,AI12,AF12,AC12,Z12,W12,T12,Q12,N12,K12)*12/K16))</f>
        <v/>
      </c>
      <c r="L18" s="25" t="n">
        <f aca="false">IF(COUNT(AS12,AP12,AM12,AJ12,AG12,AD12,AA12,X12,U12,R12,O12,L12)=0,"",IF(N(L16)=0,"",SUM(AS12,AP12,AM12,AJ12,AG12,AD12,AA12,X12,U12,R12,O12,L12)/COUNT(AS12,AP12,AM12,AJ12,AG12,AD12,AA12,X12,U12,R12,O12,L12)*12/L16))</f>
        <v>4513.70468890899</v>
      </c>
      <c r="M18" s="25" t="n">
        <f aca="false">IF(COUNT(AT12,AQ12,AN12,AK12,AH12,AE12,AB12,Y12,V12,S12,P12,M12)=0,"",IF(N(M16)=0,"",SUM(AT12,AQ12,AN12,AK12,AH12,AE12,AB12,Y12,V12,S12,P12,M12)/COUNT(AT12,AQ12,AN12,AK12,AH12,AE12,AB12,Y12,V12,S12,P12,M12)*12/M16))</f>
        <v>4326.6257977244</v>
      </c>
      <c r="N18" s="24" t="str">
        <f aca="false">IF(COUNT(AU12,AR12,AO12,AL12,AI12,AF12,AC12,Z12,W12,T12,Q12,N12)=0,"",IF(N(N16)=0,"",SUM(AU12,AR12,AO12,AL12,AI12,AF12,AC12,Z12,W12,T12,Q12,N12)/COUNT(AU12,AR12,AO12,AL12,AI12,AF12,AC12,Z12,W12,T12,Q12,N12)*12/N16))</f>
        <v/>
      </c>
      <c r="O18" s="24" t="n">
        <f aca="false">IF(COUNT(AV12,AS12,AP12,AM12,AJ12,AG12,AD12,AA12,X12,U12,R12,O12)=0,"",IF(N(O16)=0,"",SUM(AV12,AS12,AP12,AM12,AJ12,AG12,AD12,AA12,X12,U12,R12,O12)/COUNT(AV12,AS12,AP12,AM12,AJ12,AG12,AD12,AA12,X12,U12,R12,O12)*12/O16))</f>
        <v>4288.29701901121</v>
      </c>
      <c r="P18" s="24" t="n">
        <f aca="false">IF(COUNT(AW12,AT12,AQ12,AN12,AK12,AH12,AE12,AB12,Y12,V12,S12,P12)=0,"",IF(N(P16)=0,"",SUM(AW12,AT12,AQ12,AN12,AK12,AH12,AE12,AB12,Y12,V12,S12,P12)/COUNT(AW12,AT12,AQ12,AN12,AK12,AH12,AE12,AB12,Y12,V12,S12,P12)*12/P16))</f>
        <v>4097.03186155828</v>
      </c>
      <c r="Q18" s="25" t="str">
        <f aca="false">IF(COUNT(AX12,AU12,AR12,AO12,AL12,AI12,AF12,AC12,Z12,W12,T12,Q12)=0,"",IF(N(Q16)=0,"",SUM(AX12,AU12,AR12,AO12,AL12,AI12,AF12,AC12,Z12,W12,T12,Q12)/COUNT(AX12,AU12,AR12,AO12,AL12,AI12,AF12,AC12,Z12,W12,T12,Q12)*12/Q16))</f>
        <v/>
      </c>
      <c r="R18" s="25" t="n">
        <f aca="false">IF(COUNT(AY12,AV12,AS12,AP12,AM12,AJ12,AG12,AD12,AA12,X12,U12,R12)=0,"",IF(N(R16)=0,"",SUM(AY12,AV12,AS12,AP12,AM12,AJ12,AG12,AD12,AA12,X12,U12,R12)/COUNT(AY12,AV12,AS12,AP12,AM12,AJ12,AG12,AD12,AA12,X12,U12,R12)*12/R16))</f>
        <v>4065.49611062894</v>
      </c>
      <c r="S18" s="25" t="n">
        <f aca="false">IF(COUNT(AZ12,AW12,AT12,AQ12,AN12,AK12,AH12,AE12,AB12,Y12,V12,S12)=0,"",IF(N(S16)=0,"",SUM(AZ12,AW12,AT12,AQ12,AN12,AK12,AH12,AE12,AB12,Y12,V12,S12)/COUNT(AZ12,AW12,AT12,AQ12,AN12,AK12,AH12,AE12,AB12,Y12,V12,S12)*12/S16))</f>
        <v>3869.86795669291</v>
      </c>
      <c r="T18" s="24" t="str">
        <f aca="false">IF(COUNT(BA12,AX12,AU12,AR12,AO12,AL12,AI12,AF12,AC12,Z12,W12,T12)=0,"",IF(N(T16)=0,"",SUM(BA12,AX12,AU12,AR12,AO12,AL12,AI12,AF12,AC12,Z12,W12,T12)/COUNT(BA12,AX12,AU12,AR12,AO12,AL12,AI12,AF12,AC12,Z12,W12,T12)*12/T16))</f>
        <v/>
      </c>
      <c r="U18" s="24" t="n">
        <f aca="false">IF(COUNT(BB12,AY12,AV12,AS12,AP12,AM12,AJ12,AG12,AD12,AA12,X12,U12)=0,"",IF(N(U16)=0,"",SUM(BB12,AY12,AV12,AS12,AP12,AM12,AJ12,AG12,AD12,AA12,X12,U12)/COUNT(BB12,AY12,AV12,AS12,AP12,AM12,AJ12,AG12,AD12,AA12,X12,U12)*12/U16))</f>
        <v>3864.23091829993</v>
      </c>
      <c r="V18" s="24" t="n">
        <f aca="false">IF(COUNT(BC12,AZ12,AW12,AT12,AQ12,AN12,AK12,AH12,AE12,AB12,Y12,V12)=0,"",IF(N(V16)=0,"",SUM(BC12,AZ12,AW12,AT12,AQ12,AN12,AK12,AH12,AE12,AB12,Y12,V12)/COUNT(BC12,AZ12,AW12,AT12,AQ12,AN12,AK12,AH12,AE12,AB12,Y12,V12)*12/V16))</f>
        <v>3664.13339197324</v>
      </c>
      <c r="W18" s="25" t="str">
        <f aca="false">IF(COUNT(BD12,BA12,AX12,AU12,AR12,AO12,AL12,AI12,AF12,AC12,Z12,W12)=0,"",IF(N(W16)=0,"",SUM(BD12,BA12,AX12,AU12,AR12,AO12,AL12,AI12,AF12,AC12,Z12,W12)/COUNT(BD12,BA12,AX12,AU12,AR12,AO12,AL12,AI12,AF12,AC12,Z12,W12)*12/W16))</f>
        <v/>
      </c>
      <c r="X18" s="25" t="n">
        <f aca="false">IF(COUNT(BE12,BB12,AY12,AV12,AS12,AP12,AM12,AJ12,AG12,AD12,AA12,X12)=0,"",IF(N(X16)=0,"",SUM(BE12,BB12,AY12,AV12,AS12,AP12,AM12,AJ12,AG12,AD12,AA12,X12)/COUNT(BE12,BB12,AY12,AV12,AS12,AP12,AM12,AJ12,AG12,AD12,AA12,X12)*12/X16))</f>
        <v>3686.48148201102</v>
      </c>
      <c r="Y18" s="25" t="n">
        <f aca="false">IF(COUNT(BF12,BC12,AZ12,AW12,AT12,AQ12,AN12,AK12,AH12,AE12,AB12,Y12)=0,"",IF(N(Y16)=0,"",SUM(BF12,BC12,AZ12,AW12,AT12,AQ12,AN12,AK12,AH12,AE12,AB12,Y12)/COUNT(BF12,BC12,AZ12,AW12,AT12,AQ12,AN12,AK12,AH12,AE12,AB12,Y12)*12/Y16))</f>
        <v>3481.80588540246</v>
      </c>
      <c r="Z18" s="24" t="str">
        <f aca="false">IF(COUNT(BG12,BD12,BA12,AX12,AU12,AR12,AO12,AL12,AI12,AF12,AC12,Z12)=0,"",IF(N(Z16)=0,"",SUM(BG12,BD12,BA12,AX12,AU12,AR12,AO12,AL12,AI12,AF12,AC12,Z12)/COUNT(BG12,BD12,BA12,AX12,AU12,AR12,AO12,AL12,AI12,AF12,AC12,Z12)*12/Z16))</f>
        <v/>
      </c>
      <c r="AA18" s="24" t="n">
        <f aca="false">IF(COUNT(BH12,BE12,BB12,AY12,AV12,AS12,AP12,AM12,AJ12,AG12,AD12,AA12)=0,"",IF(N(AA16)=0,"",SUM(BH12,BE12,BB12,AY12,AV12,AS12,AP12,AM12,AJ12,AG12,AD12,AA12)/COUNT(BH12,BE12,BB12,AY12,AV12,AS12,AP12,AM12,AJ12,AG12,AD12,AA12)*12/AA16))</f>
        <v>3525.91864459529</v>
      </c>
      <c r="AB18" s="24" t="n">
        <f aca="false">IF(COUNT(BI12,BF12,BC12,AZ12,AW12,AT12,AQ12,AN12,AK12,AH12,AE12,AB12)=0,"",IF(N(AB16)=0,"",SUM(BI12,BF12,BC12,AZ12,AW12,AT12,AQ12,AN12,AK12,AH12,AE12,AB12)/COUNT(BI12,BF12,BC12,AZ12,AW12,AT12,AQ12,AN12,AK12,AH12,AE12,AB12)*12/AB16))</f>
        <v>3316.536565762</v>
      </c>
      <c r="AC18" s="25" t="str">
        <f aca="false">IF(COUNT(BJ12,BG12,BD12,BA12,AX12,AU12,AR12,AO12,AL12,AI12,AF12,AC12)=0,"",IF(N(AC16)=0,"",SUM(BJ12,BG12,BD12,BA12,AX12,AU12,AR12,AO12,AL12,AI12,AF12,AC12)/COUNT(BJ12,BG12,BD12,BA12,AX12,AU12,AR12,AO12,AL12,AI12,AF12,AC12)*12/AC16))</f>
        <v/>
      </c>
      <c r="AD18" s="25" t="n">
        <f aca="false">IF(COUNT(BK12,BH12,BE12,BB12,AY12,AV12,AS12,AP12,AM12,AJ12,AG12,AD12)=0,"",IF(N(AD16)=0,"",SUM(BK12,BH12,BE12,BB12,AY12,AV12,AS12,AP12,AM12,AJ12,AG12,AD12)/COUNT(BK12,BH12,BE12,BB12,AY12,AV12,AS12,AP12,AM12,AJ12,AG12,AD12)*12/AD16))</f>
        <v>3400.90082652572</v>
      </c>
      <c r="AE18" s="25" t="n">
        <f aca="false">IF(COUNT(BL12,BI12,BF12,BC12,AZ12,AW12,AT12,AQ12,AN12,AK12,AH12,AE12)=0,"",IF(N(AE16)=0,"",SUM(BL12,BI12,BF12,BC12,AZ12,AW12,AT12,AQ12,AN12,AK12,AH12,AE12)/COUNT(BL12,BI12,BF12,BC12,AZ12,AW12,AT12,AQ12,AN12,AK12,AH12,AE12)*12/AE16))</f>
        <v>3186.71449502841</v>
      </c>
      <c r="AF18" s="24" t="str">
        <f aca="false">IF(COUNT(BM12,BJ12,BG12,BD12,BA12,AX12,AU12,AR12,AO12,AL12,AI12,AF12)=0,"",IF(N(AF16)=0,"",SUM(BM12,BJ12,BG12,BD12,BA12,AX12,AU12,AR12,AO12,AL12,AI12,AF12)/COUNT(BM12,BJ12,BG12,BD12,BA12,AX12,AU12,AR12,AO12,AL12,AI12,AF12)*12/AF16))</f>
        <v/>
      </c>
      <c r="AG18" s="24" t="n">
        <f aca="false">IF(COUNT(BN12,BK12,BH12,BE12,BB12,AY12,AV12,AS12,AP12,AM12,AJ12,AG12)=0,"",IF(N(AG16)=0,"",SUM(BN12,BK12,BH12,BE12,BB12,AY12,AV12,AS12,AP12,AM12,AJ12,AG12)/COUNT(BN12,BK12,BH12,BE12,BB12,AY12,AV12,AS12,AP12,AM12,AJ12,AG12)*12/AG16))</f>
        <v>3281.06460814785</v>
      </c>
      <c r="AH18" s="24" t="n">
        <f aca="false">IF(COUNT(BO12,BL12,BI12,BF12,BC12,AZ12,AW12,AT12,AQ12,AN12,AK12,AH12)=0,"",IF(N(AH16)=0,"",SUM(BO12,BL12,BI12,BF12,BC12,AZ12,AW12,AT12,AQ12,AN12,AK12,AH12)/COUNT(BO12,BL12,BI12,BF12,BC12,AZ12,AW12,AT12,AQ12,AN12,AK12,AH12)*12/AH16))</f>
        <v>3061.74557329463</v>
      </c>
      <c r="AI18" s="25" t="str">
        <f aca="false">IF(COUNT(BP12,BM12,BJ12,BG12,BD12,BA12,AX12,AU12,AR12,AO12,AL12,AI12)=0,"",IF(N(AI16)=0,"",SUM(BP12,BM12,BJ12,BG12,BD12,BA12,AX12,AU12,AR12,AO12,AL12,AI12)/COUNT(BP12,BM12,BJ12,BG12,BD12,BA12,AX12,AU12,AR12,AO12,AL12,AI12)*12/AI16))</f>
        <v/>
      </c>
      <c r="AJ18" s="25" t="n">
        <f aca="false">IF(COUNT(BQ12,BN12,BK12,BH12,BE12,BB12,AY12,AV12,AS12,AP12,AM12,AJ12)=0,"",IF(N(AJ16)=0,"",SUM(BQ12,BN12,BK12,BH12,BE12,BB12,AY12,AV12,AS12,AP12,AM12,AJ12)/COUNT(BQ12,BN12,BK12,BH12,BE12,BB12,AY12,AV12,AS12,AP12,AM12,AJ12)*12/AJ16))</f>
        <v>3193.20199000212</v>
      </c>
      <c r="AK18" s="25" t="n">
        <f aca="false">IF(COUNT(BR12,BO12,BL12,BI12,BF12,BC12,AZ12,AW12,AT12,AQ12,AN12,AK12)=0,"",IF(N(AK16)=0,"",SUM(BR12,BO12,BL12,BI12,BF12,BC12,AZ12,AW12,AT12,AQ12,AN12,AK12)/COUNT(BR12,BO12,BL12,BI12,BF12,BC12,AZ12,AW12,AT12,AQ12,AN12,AK12)*12/AK16))</f>
        <v>2968.61425296736</v>
      </c>
      <c r="AL18" s="24" t="str">
        <f aca="false">IF(COUNT(BS12,BP12,BM12,BJ12,BG12,BD12,BA12,AX12,AU12,AR12,AO12,AL12)=0,"",IF(N(AL16)=0,"",SUM(BS12,BP12,BM12,BJ12,BG12,BD12,BA12,AX12,AU12,AR12,AO12,AL12)/COUNT(BS12,BP12,BM12,BJ12,BG12,BD12,BA12,AX12,AU12,AR12,AO12,AL12)*12/AL16))</f>
        <v/>
      </c>
      <c r="AM18" s="24" t="n">
        <f aca="false">IF(COUNT(BT12,BQ12,BN12,BK12,BH12,BE12,BB12,AY12,AV12,AS12,AP12,AM12)=0,"",IF(N(AM16)=0,"",SUM(BT12,BQ12,BN12,BK12,BH12,BE12,BB12,AY12,AV12,AS12,AP12,AM12)/COUNT(BT12,BQ12,BN12,BK12,BH12,BE12,BB12,AY12,AV12,AS12,AP12,AM12)*12/AM16))</f>
        <v>3119.83922237851</v>
      </c>
      <c r="AN18" s="24" t="n">
        <f aca="false">IF(COUNT(BU12,BR12,BO12,BL12,BI12,BF12,BC12,AZ12,AW12,AT12,AQ12,AN12)=0,"",IF(N(AN16)=0,"",SUM(BU12,BR12,BO12,BL12,BI12,BF12,BC12,AZ12,AW12,AT12,AQ12,AN12)/COUNT(BU12,BR12,BO12,BL12,BI12,BF12,BC12,AZ12,AW12,AT12,AQ12,AN12)*12/AN16))</f>
        <v>2889.7976707132</v>
      </c>
      <c r="AO18" s="25" t="str">
        <f aca="false">IF(COUNT(BV12,BS12,BP12,BM12,BJ12,BG12,BD12,BA12,AX12,AU12,AR12,AO12)=0,"",IF(N(AO16)=0,"",SUM(BV12,BS12,BP12,BM12,BJ12,BG12,BD12,BA12,AX12,AU12,AR12,AO12)/COUNT(BV12,BS12,BP12,BM12,BJ12,BG12,BD12,BA12,AX12,AU12,AR12,AO12)*12/AO16))</f>
        <v/>
      </c>
      <c r="AP18" s="25" t="n">
        <f aca="false">IF(COUNT(BW12,BT12,BQ12,BN12,BK12,BH12,BE12,BB12,AY12,AV12,AS12,AP12)=0,"",IF(N(AP16)=0,"",SUM(BW12,BT12,BQ12,BN12,BK12,BH12,BE12,BB12,AY12,AV12,AS12,AP12)/COUNT(BW12,BT12,BQ12,BN12,BK12,BH12,BE12,BB12,AY12,AV12,AS12,AP12)*12/AP16))</f>
        <v>3061.76705386491</v>
      </c>
      <c r="AQ18" s="25" t="n">
        <f aca="false">IF(COUNT(BX12,BU12,BR12,BO12,BL12,BI12,BF12,BC12,AZ12,AW12,AT12,AQ12)=0,"",IF(N(AQ16)=0,"",SUM(BX12,BU12,BR12,BO12,BL12,BI12,BF12,BC12,AZ12,AW12,AT12,AQ12)/COUNT(BX12,BU12,BR12,BO12,BL12,BI12,BF12,BC12,AZ12,AW12,AT12,AQ12)*12/AQ16))</f>
        <v>2826.07615838509</v>
      </c>
      <c r="AR18" s="24" t="str">
        <f aca="false">IF(COUNT(BY12,BV12,BS12,BP12,BM12,BJ12,BG12,BD12,BA12,AX12,AU12,AR12)=0,"",IF(N(AR16)=0,"",SUM(BY12,BV12,BS12,BP12,BM12,BJ12,BG12,BD12,BA12,AX12,AU12,AR12)/COUNT(BY12,BV12,BS12,BP12,BM12,BJ12,BG12,BD12,BA12,AX12,AU12,AR12)*12/AR16))</f>
        <v/>
      </c>
      <c r="AS18" s="24" t="n">
        <f aca="false">IF(COUNT(BZ12,BW12,BT12,BQ12,BN12,BK12,BH12,BE12,BB12,AY12,AV12,AS12)=0,"",IF(N(AS16)=0,"",SUM(BZ12,BW12,BT12,BQ12,BN12,BK12,BH12,BE12,BB12,AY12,AV12,AS12)/COUNT(BZ12,BW12,BT12,BQ12,BN12,BK12,BH12,BE12,BB12,AY12,AV12,AS12)*12/AS16))</f>
        <v>3006.20952546989</v>
      </c>
      <c r="AT18" s="24" t="n">
        <f aca="false">IF(COUNT(CA12,BX12,BU12,BR12,BO12,BL12,BI12,BF12,BC12,AZ12,AW12,AT12)=0,"",IF(N(AT16)=0,"",SUM(CA12,BX12,BU12,BR12,BO12,BL12,BI12,BF12,BC12,AZ12,AW12,AT12)/COUNT(CA12,BX12,BU12,BR12,BO12,BL12,BI12,BF12,BC12,AZ12,AW12,AT12)*12/AT16))</f>
        <v>2764.62863990461</v>
      </c>
      <c r="AU18" s="25" t="str">
        <f aca="false">IF(COUNT(CB12,BY12,BV12,BS12,BP12,BM12,BJ12,BG12,BD12,BA12,AX12,AU12)=0,"",IF(N(AU16)=0,"",SUM(CB12,BY12,BV12,BS12,BP12,BM12,BJ12,BG12,BD12,BA12,AX12,AU12)/COUNT(CB12,BY12,BV12,BS12,BP12,BM12,BJ12,BG12,BD12,BA12,AX12,AU12)*12/AU16))</f>
        <v/>
      </c>
      <c r="AV18" s="25" t="n">
        <f aca="false">IF(COUNT(CC12,BZ12,BW12,BT12,BQ12,BN12,BK12,BH12,BE12,BB12,AY12,AV12)=0,"",IF(N(AV16)=0,"",SUM(CC12,BZ12,BW12,BT12,BQ12,BN12,BK12,BH12,BE12,BB12,AY12,AV12)/COUNT(CC12,BZ12,BW12,BT12,BQ12,BN12,BK12,BH12,BE12,BB12,AY12,AV12)*12/AV16))</f>
        <v>2937.20652150152</v>
      </c>
      <c r="AW18" s="25" t="n">
        <f aca="false">IF(COUNT(CD12,CA12,BX12,BU12,BR12,BO12,BL12,BI12,BF12,BC12,AZ12,AW12)=0,"",IF(N(AW16)=0,"",SUM(CD12,CA12,BX12,BU12,BR12,BO12,BL12,BI12,BF12,BC12,AZ12,AW12)/COUNT(CD12,CA12,BX12,BU12,BR12,BO12,BL12,BI12,BF12,BC12,AZ12,AW12)*12/AW16))</f>
        <v>2691.49004200323</v>
      </c>
      <c r="AX18" s="24" t="str">
        <f aca="false">IF(COUNT(CE12,CB12,BY12,BV12,BS12,BP12,BM12,BJ12,BG12,BD12,BA12,AX12)=0,"",IF(N(AX16)=0,"",SUM(CE12,CB12,BY12,BV12,BS12,BP12,BM12,BJ12,BG12,BD12,BA12,AX12)/COUNT(CE12,CB12,BY12,BV12,BS12,BP12,BM12,BJ12,BG12,BD12,BA12,AX12)*12/AX16))</f>
        <v/>
      </c>
      <c r="AY18" s="24" t="n">
        <f aca="false">IF(COUNT(CF12,CC12,BZ12,BW12,BT12,BQ12,BN12,BK12,BH12,BE12,BB12,AY12)=0,"",IF(N(AY16)=0,"",SUM(CF12,CC12,BZ12,BW12,BT12,BQ12,BN12,BK12,BH12,BE12,BB12,AY12)/COUNT(CF12,CC12,BZ12,BW12,BT12,BQ12,BN12,BK12,BH12,BE12,BB12,AY12)*12/AY16))</f>
        <v>2866.87777991104</v>
      </c>
      <c r="AZ18" s="24" t="n">
        <f aca="false">IF(COUNT(CG12,CD12,CA12,BX12,BU12,BR12,BO12,BL12,BI12,BF12,BC12,AZ12)=0,"",IF(N(AZ16)=0,"",SUM(CG12,CD12,CA12,BX12,BU12,BR12,BO12,BL12,BI12,BF12,BC12,AZ12)/COUNT(CG12,CD12,CA12,BX12,BU12,BR12,BO12,BL12,BI12,BF12,BC12,AZ12)*12/AZ16))</f>
        <v>2616.70226787182</v>
      </c>
      <c r="BA18" s="25" t="str">
        <f aca="false">IF(COUNT(CH12,CE12,CB12,BY12,BV12,BS12,BP12,BM12,BJ12,BG12,BD12,BA12)=0,"",IF(N(BA16)=0,"",SUM(CH12,CE12,CB12,BY12,BV12,BS12,BP12,BM12,BJ12,BG12,BD12,BA12)/COUNT(CH12,CE12,CB12,BY12,BV12,BS12,BP12,BM12,BJ12,BG12,BD12,BA12)*12/BA16))</f>
        <v/>
      </c>
      <c r="BB18" s="25" t="n">
        <f aca="false">IF(COUNT(CI12,CF12,CC12,BZ12,BW12,BT12,BQ12,BN12,BK12,BH12,BE12,BB12)=0,"",IF(N(BB16)=0,"",SUM(CI12,CF12,CC12,BZ12,BW12,BT12,BQ12,BN12,BK12,BH12,BE12,BB12)/COUNT(CI12,CF12,CC12,BZ12,BW12,BT12,BQ12,BN12,BK12,BH12,BE12,BB12)*12/BB16))</f>
        <v>2804.82240542904</v>
      </c>
      <c r="BC18" s="25" t="n">
        <f aca="false">IF(COUNT(CJ12,CG12,CD12,CA12,BX12,BU12,BR12,BO12,BL12,BI12,BF12,BC12)=0,"",IF(N(BC16)=0,"",SUM(CJ12,CG12,CD12,CA12,BX12,BU12,BR12,BO12,BL12,BI12,BF12,BC12)/COUNT(CJ12,CG12,CD12,CA12,BX12,BU12,BR12,BO12,BL12,BI12,BF12,BC12)*12/BC16))</f>
        <v>2550.07726923077</v>
      </c>
      <c r="BD18" s="24" t="str">
        <f aca="false">IF(COUNT(CK12,CH12,CE12,CB12,BY12,BV12,BS12,BP12,BM12,BJ12,BG12,BD12)=0,"",IF(N(BD16)=0,"",SUM(CK12,CH12,CE12,CB12,BY12,BV12,BS12,BP12,BM12,BJ12,BG12,BD12)/COUNT(CK12,CH12,CE12,CB12,BY12,BV12,BS12,BP12,BM12,BJ12,BG12,BD12)*12/BD16))</f>
        <v/>
      </c>
      <c r="BE18" s="24" t="n">
        <f aca="false">IF(COUNT(CL12,CI12,CF12,CC12,BZ12,BW12,BT12,BQ12,BN12,BK12,BH12,BE12)=0,"",IF(N(BE16)=0,"",SUM(CL12,CI12,CF12,CC12,BZ12,BW12,BT12,BQ12,BN12,BK12,BH12,BE12)/COUNT(CL12,CI12,CF12,CC12,BZ12,BW12,BT12,BQ12,BN12,BK12,BH12,BE12)*12/BE16))</f>
        <v>2727.31397428518</v>
      </c>
      <c r="BF18" s="24" t="n">
        <f aca="false">IF(COUNT(CM12,CJ12,CG12,CD12,CA12,BX12,BU12,BR12,BO12,BL12,BI12,BF12)=0,"",IF(N(BF16)=0,"",SUM(CM12,CJ12,CG12,CD12,CA12,BX12,BU12,BR12,BO12,BL12,BI12,BF12)/COUNT(CM12,CJ12,CG12,CD12,CA12,BX12,BU12,BR12,BO12,BL12,BI12,BF12)*12/BF16))</f>
        <v>2467.81840595745</v>
      </c>
      <c r="BG18" s="25" t="str">
        <f aca="false">IF(COUNT(CN12,CK12,CH12,CE12,CB12,BY12,BV12,BS12,BP12,BM12,BJ12,BG12)=0,"",IF(N(BG16)=0,"",SUM(CN12,CK12,CH12,CE12,CB12,BY12,BV12,BS12,BP12,BM12,BJ12,BG12)/COUNT(CN12,CK12,CH12,CE12,CB12,BY12,BV12,BS12,BP12,BM12,BJ12,BG12)*12/BG16))</f>
        <v/>
      </c>
      <c r="BH18" s="25" t="n">
        <f aca="false">IF(COUNT(CO12,CL12,CI12,CF12,CC12,BZ12,BW12,BT12,BQ12,BN12,BK12,BH12)=0,"",IF(N(BH16)=0,"",SUM(CO12,CL12,CI12,CF12,CC12,BZ12,BW12,BT12,BQ12,BN12,BK12,BH12)/COUNT(CO12,CL12,CI12,CF12,CC12,BZ12,BW12,BT12,BQ12,BN12,BK12,BH12)*12/BH16))</f>
        <v>2639.80343118889</v>
      </c>
      <c r="BI18" s="25" t="n">
        <f aca="false">IF(COUNT(CP12,CM12,CJ12,CG12,CD12,CA12,BX12,BU12,BR12,BO12,BL12,BI12)=0,"",IF(N(BI16)=0,"",SUM(CP12,CM12,CJ12,CG12,CD12,CA12,BX12,BU12,BR12,BO12,BL12,BI12)/COUNT(CP12,CM12,CJ12,CG12,CD12,CA12,BX12,BU12,BR12,BO12,BL12,BI12)*12/BI16))</f>
        <v>2375.38093240901</v>
      </c>
      <c r="BJ18" s="24" t="str">
        <f aca="false">IF(COUNT(CQ12,CN12,CK12,CH12,CE12,CB12,BY12,BV12,BS12,BP12,BM12,BJ12)=0,"",IF(N(BJ16)=0,"",SUM(CQ12,CN12,CK12,CH12,CE12,CB12,BY12,BV12,BS12,BP12,BM12,BJ12)/COUNT(CQ12,CN12,CK12,CH12,CE12,CB12,BY12,BV12,BS12,BP12,BM12,BJ12)*12/BJ16))</f>
        <v/>
      </c>
      <c r="BK18" s="24" t="n">
        <f aca="false">IF(COUNT(CR12,CO12,CL12,CI12,CF12,CC12,BZ12,BW12,BT12,BQ12,BN12,BK12)=0,"",IF(N(BK16)=0,"",SUM(CR12,CO12,CL12,CI12,CF12,CC12,BZ12,BW12,BT12,BQ12,BN12,BK12)/COUNT(CR12,CO12,CL12,CI12,CF12,CC12,BZ12,BW12,BT12,BQ12,BN12,BK12)*12/BK16))</f>
        <v>2553.46053899877</v>
      </c>
      <c r="BL18" s="24" t="n">
        <f aca="false">IF(COUNT(CS12,CP12,CM12,CJ12,CG12,CD12,CA12,BX12,BU12,BR12,BO12,BL12)=0,"",IF(N(BL16)=0,"",SUM(CS12,CP12,CM12,CJ12,CG12,CD12,CA12,BX12,BU12,BR12,BO12,BL12)/COUNT(CS12,CP12,CM12,CJ12,CG12,CD12,CA12,BX12,BU12,BR12,BO12,BL12)*12/BL16))</f>
        <v>2283.90284730803</v>
      </c>
      <c r="BM18" s="25" t="str">
        <f aca="false">IF(COUNT(CT12,CQ12,CN12,CK12,CH12,CE12,CB12,BY12,BV12,BS12,BP12,BM12)=0,"",IF(N(BM16)=0,"",SUM(CT12,CQ12,CN12,CK12,CH12,CE12,CB12,BY12,BV12,BS12,BP12,BM12)/COUNT(CT12,CQ12,CN12,CK12,CH12,CE12,CB12,BY12,BV12,BS12,BP12,BM12)*12/BM16))</f>
        <v/>
      </c>
      <c r="BN18" s="25" t="n">
        <f aca="false">IF(COUNT(CU12,CR12,CO12,CL12,CI12,CF12,CC12,BZ12,BW12,BT12,BQ12,BN12)=0,"",IF(N(BN16)=0,"",SUM(CU12,CR12,CO12,CL12,CI12,CF12,CC12,BZ12,BW12,BT12,BQ12,BN12)/COUNT(CU12,CR12,CO12,CL12,CI12,CF12,CC12,BZ12,BW12,BT12,BQ12,BN12)*12/BN16))</f>
        <v>2436.19677915125</v>
      </c>
      <c r="BO18" s="25" t="n">
        <f aca="false">IF(COUNT(CV12,CS12,CP12,CM12,CJ12,CG12,CD12,CA12,BX12,BU12,BR12,BO12)=0,"",IF(N(BO16)=0,"",SUM(CV12,CS12,CP12,CM12,CJ12,CG12,CD12,CA12,BX12,BU12,BR12,BO12)/COUNT(CV12,CS12,CP12,CM12,CJ12,CG12,CD12,CA12,BX12,BU12,BR12,BO12)*12/BO16))</f>
        <v>2161.25013938849</v>
      </c>
      <c r="BP18" s="24" t="str">
        <f aca="false">IF(COUNT(CW12,CT12,CQ12,CN12,CK12,CH12,CE12,CB12,BY12,BV12,BS12,BP12)=0,"",IF(N(BP16)=0,"",SUM(CW12,CT12,CQ12,CN12,CK12,CH12,CE12,CB12,BY12,BV12,BS12,BP12)/COUNT(CW12,CT12,CQ12,CN12,CK12,CH12,CE12,CB12,BY12,BV12,BS12,BP12)*12/BP16))</f>
        <v/>
      </c>
      <c r="BQ18" s="24" t="n">
        <f aca="false">IF(COUNT(CX12,CU12,CR12,CO12,CL12,CI12,CF12,CC12,BZ12,BW12,BT12,BQ12)=0,"",IF(N(BQ16)=0,"",SUM(CX12,CU12,CR12,CO12,CL12,CI12,CF12,CC12,BZ12,BW12,BT12,BQ12)/COUNT(CX12,CU12,CR12,CO12,CL12,CI12,CF12,CC12,BZ12,BW12,BT12,BQ12)*12/BQ16))</f>
        <v>2329.97410700971</v>
      </c>
      <c r="BR18" s="24" t="n">
        <f aca="false">IF(COUNT(CY12,CV12,CS12,CP12,CM12,CJ12,CG12,CD12,CA12,BX12,BU12,BR12)=0,"",IF(N(BR16)=0,"",SUM(CY12,CV12,CS12,CP12,CM12,CJ12,CG12,CD12,CA12,BX12,BU12,BR12)/COUNT(CY12,CV12,CS12,CP12,CM12,CJ12,CG12,CD12,CA12,BX12,BU12,BR12)*12/BR16))</f>
        <v>2049.48469935839</v>
      </c>
      <c r="BS18" s="25" t="str">
        <f aca="false">IF(COUNT(CZ12,CW12,CT12,CQ12,CN12,CK12,CH12,CE12,CB12,BY12,BV12,BS12)=0,"",IF(N(BS16)=0,"",SUM(CZ12,CW12,CT12,CQ12,CN12,CK12,CH12,CE12,CB12,BY12,BV12,BS12)/COUNT(CZ12,CW12,CT12,CQ12,CN12,CK12,CH12,CE12,CB12,BY12,BV12,BS12)*12/BS16))</f>
        <v/>
      </c>
      <c r="BT18" s="25" t="n">
        <f aca="false">IF(COUNT(DA12,CX12,CU12,CR12,CO12,CL12,CI12,CF12,CC12,BZ12,BW12,BT12)=0,"",IF(N(BT16)=0,"",SUM(DA12,CX12,CU12,CR12,CO12,CL12,CI12,CF12,CC12,BZ12,BW12,BT12)/COUNT(DA12,CX12,CU12,CR12,CO12,CL12,CI12,CF12,CC12,BZ12,BW12,BT12)*12/BT16))</f>
        <v>2198.7203695294</v>
      </c>
      <c r="BU18" s="25" t="n">
        <f aca="false">IF(COUNT(DB12,CY12,CV12,CS12,CP12,CM12,CJ12,CG12,CD12,CA12,BX12,BU12)=0,"",IF(N(BU16)=0,"",SUM(DB12,CY12,CV12,CS12,CP12,CM12,CJ12,CG12,CD12,CA12,BX12,BU12)/COUNT(DB12,CY12,CV12,CS12,CP12,CM12,CJ12,CG12,CD12,CA12,BX12,BU12)*12/BU16))</f>
        <v>1912.37178878505</v>
      </c>
      <c r="BV18" s="24" t="str">
        <f aca="false">IF(COUNT(DC12,CZ12,CW12,CT12,CQ12,CN12,CK12,CH12,CE12,CB12,BY12,BV12)=0,"",IF(N(BV16)=0,"",SUM(DC12,CZ12,CW12,CT12,CQ12,CN12,CK12,CH12,CE12,CB12,BY12,BV12)/COUNT(DC12,CZ12,CW12,CT12,CQ12,CN12,CK12,CH12,CE12,CB12,BY12,BV12)*12/BV16))</f>
        <v/>
      </c>
      <c r="BW18" s="24" t="n">
        <f aca="false">IF(COUNT(DD12,DA12,CX12,CU12,CR12,CO12,CL12,CI12,CF12,CC12,BZ12,BW12)=0,"",IF(N(BW16)=0,"",SUM(DD12,DA12,CX12,CU12,CR12,CO12,CL12,CI12,CF12,CC12,BZ12,BW12)/COUNT(DD12,DA12,CX12,CU12,CR12,CO12,CL12,CI12,CF12,CC12,BZ12,BW12)*12/BW16))</f>
        <v>2067.19738848663</v>
      </c>
      <c r="BX18" s="24" t="n">
        <f aca="false">IF(COUNT(DE12,DB12,CY12,CV12,CS12,CP12,CM12,CJ12,CG12,CD12,CA12,BX12)=0,"",IF(N(BX16)=0,"",SUM(DE12,DB12,CY12,CV12,CS12,CP12,CM12,CJ12,CG12,CD12,CA12,BX12)/COUNT(DE12,DB12,CY12,CV12,CS12,CP12,CM12,CJ12,CG12,CD12,CA12,BX12)*12/BX16))</f>
        <v>1774.50073091603</v>
      </c>
      <c r="BY18" s="25" t="str">
        <f aca="false">IF(COUNT(DF12,DC12,CZ12,CW12,CT12,CQ12,CN12,CK12,CH12,CE12,CB12,BY12)=0,"",IF(N(BY16)=0,"",SUM(DF12,DC12,CZ12,CW12,CT12,CQ12,CN12,CK12,CH12,CE12,CB12,BY12)/COUNT(DF12,DC12,CZ12,CW12,CT12,CQ12,CN12,CK12,CH12,CE12,CB12,BY12)*12/BY16))</f>
        <v/>
      </c>
      <c r="BZ18" s="25" t="n">
        <f aca="false">IF(COUNT(DG12,DD12,DA12,CX12,CU12,CR12,CO12,CL12,CI12,CF12,CC12,BZ12)=0,"",IF(N(BZ16)=0,"",SUM(DG12,DD12,DA12,CX12,CU12,CR12,CO12,CL12,CI12,CF12,CC12,BZ12)/COUNT(DG12,DD12,DA12,CX12,CU12,CR12,CO12,CL12,CI12,CF12,CC12,BZ12)*12/BZ16))</f>
        <v>1895.56352015279</v>
      </c>
      <c r="CA18" s="25" t="n">
        <f aca="false">IF(COUNT(DH12,DE12,DB12,CY12,CV12,CS12,CP12,CM12,CJ12,CG12,CD12,CA12)=0,"",IF(N(CA16)=0,"",SUM(DH12,DE12,DB12,CY12,CV12,CS12,CP12,CM12,CJ12,CG12,CD12,CA12)/COUNT(DH12,DE12,DB12,CY12,CV12,CS12,CP12,CM12,CJ12,CG12,CD12,CA12)*12/CA16))</f>
        <v>1572.2032631579</v>
      </c>
      <c r="CB18" s="24" t="str">
        <f aca="false">IF(COUNT(DI12,DF12,DC12,CZ12,CW12,CT12,CQ12,CN12,CK12,CH12,CE12,CB12)=0,"",IF(N(CB16)=0,"",SUM(DI12,DF12,DC12,CZ12,CW12,CT12,CQ12,CN12,CK12,CH12,CE12,CB12)/COUNT(DI12,DF12,DC12,CZ12,CW12,CT12,CQ12,CN12,CK12,CH12,CE12,CB12)*12/CB16))</f>
        <v/>
      </c>
      <c r="CC18" s="24" t="n">
        <f aca="false">IF(COUNT(DJ12,DG12,DD12,DA12,CX12,CU12,CR12,CO12,CL12,CI12,CF12,CC12)=0,"",IF(N(CC16)=0,"",SUM(DJ12,DG12,DD12,DA12,CX12,CU12,CR12,CO12,CL12,CI12,CF12,CC12)/COUNT(DJ12,DG12,DD12,DA12,CX12,CU12,CR12,CO12,CL12,CI12,CF12,CC12)*12/CC16))</f>
        <v>1732.31964069505</v>
      </c>
      <c r="CD18" s="24" t="n">
        <f aca="false">IF(COUNT(DK12,DH12,DE12,DB12,CY12,CV12,CS12,CP12,CM12,CJ12,CG12,CD12)=0,"",IF(N(CD16)=0,"",SUM(DK12,DH12,DE12,DB12,CY12,CV12,CS12,CP12,CM12,CJ12,CG12,CD12)/COUNT(DK12,DH12,DE12,DB12,CY12,CV12,CS12,CP12,CM12,CJ12,CG12,CD12)*12/CD16))</f>
        <v>1378.11626693227</v>
      </c>
      <c r="CE18" s="25" t="str">
        <f aca="false">IF(COUNT(DL12,DI12,DF12,DC12,CZ12,CW12,CT12,CQ12,CN12,CK12,CH12,CE12)=0,"",IF(N(CE16)=0,"",SUM(DL12,DI12,DF12,DC12,CZ12,CW12,CT12,CQ12,CN12,CK12,CH12,CE12)/COUNT(DL12,DI12,DF12,DC12,CZ12,CW12,CT12,CQ12,CN12,CK12,CH12,CE12)*12/CE16))</f>
        <v/>
      </c>
      <c r="CF18" s="25" t="n">
        <f aca="false">IF(COUNT(DM12,DJ12,DG12,DD12,DA12,CX12,CU12,CR12,CO12,CL12,CI12,CF12)=0,"",IF(N(CF16)=0,"",SUM(DM12,DJ12,DG12,DD12,DA12,CX12,CU12,CR12,CO12,CL12,CI12,CF12)/COUNT(DM12,DJ12,DG12,DD12,DA12,CX12,CU12,CR12,CO12,CL12,CI12,CF12)*12/CF16))</f>
        <v>1491.51787911919</v>
      </c>
      <c r="CG18" s="25" t="n">
        <f aca="false">IF(COUNT(DN12,DK12,DH12,DE12,DB12,CY12,CV12,CS12,CP12,CM12,CJ12,CG12)=0,"",IF(N(CG16)=0,"",SUM(DN12,DK12,DH12,DE12,DB12,CY12,CV12,CS12,CP12,CM12,CJ12,CG12)/COUNT(DN12,DK12,DH12,DE12,DB12,CY12,CV12,CS12,CP12,CM12,CJ12,CG12)*12/CG16))</f>
        <v>1173.60033501514</v>
      </c>
      <c r="CH18" s="24" t="str">
        <f aca="false">IF(COUNT(DL12,DI12,DF12,DC12,CZ12,CW12,CT12,CQ12,CN12,CK12,CH12)=0,"",IF(N(CH16)=0,"",SUM(DL12,DI12,DF12,DC12,CZ12,CW12,CT12,CQ12,CN12,CK12,CH12)/COUNT(DL12,DI12,DF12,DC12,CZ12,CW12,CT12,CQ12,CN12,CK12,CH12)*12/CH16))</f>
        <v/>
      </c>
      <c r="CI18" s="24" t="n">
        <f aca="false">IF(COUNT(DM12,DJ12,DG12,DD12,DA12,CX12,CU12,CR12,CO12,CL12,CI12)=0,"",IF(N(CI16)=0,"",SUM(DM12,DJ12,DG12,DD12,DA12,CX12,CU12,CR12,CO12,CL12,CI12)/COUNT(DM12,DJ12,DG12,DD12,DA12,CX12,CU12,CR12,CO12,CL12,CI12)*12/CI16))</f>
        <v>1378.79969047022</v>
      </c>
      <c r="CJ18" s="24" t="n">
        <f aca="false">IF(COUNT(DN12,DK12,DH12,DE12,DB12,CY12,CV12,CS12,CP12,CM12,CJ12)=0,"",IF(N(CJ16)=0,"",SUM(DN12,DK12,DH12,DE12,DB12,CY12,CV12,CS12,CP12,CM12,CJ12)/COUNT(DN12,DK12,DH12,DE12,DB12,CY12,CV12,CS12,CP12,CM12,CJ12)*12/CJ16))</f>
        <v>1055.68175794757</v>
      </c>
      <c r="CK18" s="25" t="str">
        <f aca="false">IF(COUNT(DL12,DI12,DF12,DC12,CZ12,CW12,CT12,CQ12,CN12,CK12)=0,"",IF(N(CK16)=0,"",SUM(DL12,DI12,DF12,DC12,CZ12,CW12,CT12,CQ12,CN12,CK12)/COUNT(DL12,DI12,DF12,DC12,CZ12,CW12,CT12,CQ12,CN12,CK12)*12/CK16))</f>
        <v/>
      </c>
      <c r="CL18" s="25" t="n">
        <f aca="false">IF(COUNT(DM12,DJ12,DG12,DD12,DA12,CX12,CU12,CR12,CO12,CL12)=0,"",IF(N(CL16)=0,"",SUM(DM12,DJ12,DG12,DD12,DA12,CX12,CU12,CR12,CO12,CL12)/COUNT(DM12,DJ12,DG12,DD12,DA12,CX12,CU12,CR12,CO12,CL12)*12/CL16))</f>
        <v>1267.48733916799</v>
      </c>
      <c r="CM18" s="25" t="n">
        <f aca="false">IF(COUNT(DN12,DK12,DH12,DE12,DB12,CY12,CV12,CS12,CP12,CM12)=0,"",IF(N(CM16)=0,"",SUM(DN12,DK12,DH12,DE12,DB12,CY12,CV12,CS12,CP12,CM12)/COUNT(DN12,DK12,DH12,DE12,DB12,CY12,CV12,CS12,CP12,CM12)*12/CM16))</f>
        <v>938.951814715026</v>
      </c>
      <c r="CN18" s="24" t="str">
        <f aca="false">IF(COUNT(DL12,DI12,DF12,DC12,CZ12,CW12,CT12,CQ12,CN12)=0,"",IF(N(CN16)=0,"",SUM(DL12,DI12,DF12,DC12,CZ12,CW12,CT12,CQ12,CN12)/COUNT(DL12,DI12,DF12,DC12,CZ12,CW12,CT12,CQ12,CN12)*12/CN16))</f>
        <v/>
      </c>
      <c r="CO18" s="24" t="n">
        <f aca="false">IF(COUNT(DM12,DJ12,DG12,DD12,DA12,CX12,CU12,CR12,CO12)=0,"",IF(N(CO16)=0,"",SUM(DM12,DJ12,DG12,DD12,DA12,CX12,CU12,CR12,CO12)/COUNT(DM12,DJ12,DG12,DD12,DA12,CX12,CU12,CR12,CO12)*12/CO16))</f>
        <v>1159.00574998484</v>
      </c>
      <c r="CP18" s="24" t="n">
        <f aca="false">IF(COUNT(DN12,DK12,DH12,DE12,DB12,CY12,CV12,CS12,CP12)=0,"",IF(N(CP16)=0,"",SUM(DN12,DK12,DH12,DE12,DB12,CY12,CV12,CS12,CP12)/COUNT(DN12,DK12,DH12,DE12,DB12,CY12,CV12,CS12,CP12)*12/CP16))</f>
        <v>824.719922969188</v>
      </c>
      <c r="CQ18" s="25" t="str">
        <f aca="false">IF(COUNT(DL12,DI12,DF12,DC12,CZ12,CW12,CT12,CQ12)=0,"",IF(N(CQ16)=0,"",SUM(DL12,DI12,DF12,DC12,CZ12,CW12,CT12,CQ12)/COUNT(DL12,DI12,DF12,DC12,CZ12,CW12,CT12,CQ12)*12/CQ16))</f>
        <v/>
      </c>
      <c r="CR18" s="25" t="n">
        <f aca="false">IF(COUNT(DM12,DJ12,DG12,DD12,DA12,CX12,CU12,CR12)=0,"",IF(N(CR16)=0,"",SUM(DM12,DJ12,DG12,DD12,DA12,CX12,CU12,CR12)/COUNT(DM12,DJ12,DG12,DD12,DA12,CX12,CU12,CR12)*12/CR16))</f>
        <v>1041.659363228</v>
      </c>
      <c r="CS18" s="25" t="n">
        <f aca="false">IF(COUNT(DN12,DK12,DH12,DE12,DB12,CY12,CV12,CS12)=0,"",IF(N(CS16)=0,"",SUM(DN12,DK12,DH12,DE12,DB12,CY12,CV12,CS12)/COUNT(DN12,DK12,DH12,DE12,DB12,CY12,CV12,CS12)*12/CS16))</f>
        <v>701.166436102237</v>
      </c>
      <c r="CT18" s="24" t="str">
        <f aca="false">IF(COUNT(DL12,DI12,DF12,DC12,CZ12,CW12,CT12)=0,"",IF(N(CT16)=0,"",SUM(DL12,DI12,DF12,DC12,CZ12,CW12,CT12)/COUNT(DL12,DI12,DF12,DC12,CZ12,CW12,CT12)*12/CT16))</f>
        <v/>
      </c>
      <c r="CU18" s="24" t="n">
        <f aca="false">IF(COUNT(DM12,DJ12,DG12,DD12,DA12,CX12,CU12)=0,"",IF(N(CU16)=0,"",SUM(DM12,DJ12,DG12,DD12,DA12,CX12,CU12)/COUNT(DM12,DJ12,DG12,DD12,DA12,CX12,CU12)*12/CU16))</f>
        <v>907.741728363575</v>
      </c>
      <c r="CV18" s="24" t="n">
        <f aca="false">IF(COUNT(DN12,DK12,DH12,DE12,DB12,CY12,CV12)=0,"",IF(N(CV16)=0,"",SUM(DN12,DK12,DH12,DE12,DB12,CY12,CV12)/COUNT(DN12,DK12,DH12,DE12,DB12,CY12,CV12)*12/CV16))</f>
        <v>560.5310521444</v>
      </c>
      <c r="CW18" s="25" t="str">
        <f aca="false">IF(COUNT(DL12,DI12,DF12,DC12,CZ12,CW12)=0,"",IF(N(CW16)=0,"",SUM(DL12,DI12,DF12,DC12,CZ12,CW12)/COUNT(DL12,DI12,DF12,DC12,CZ12,CW12)*12/CW16))</f>
        <v/>
      </c>
      <c r="CX18" s="25" t="n">
        <f aca="false">IF(COUNT(DM12,DJ12,DG12,DD12,DA12,CX12)=0,"",IF(N(CX16)=0,"",SUM(DM12,DJ12,DG12,DD12,DA12,CX12)/COUNT(DM12,DJ12,DG12,DD12,DA12,CX12)*12/CX16))</f>
        <v>773.852802901336</v>
      </c>
      <c r="CY18" s="25" t="n">
        <f aca="false">IF(COUNT(DN12,DK12,DH12,DE12,DB12,CY12)=0,"",IF(N(CY16)=0,"",SUM(DN12,DK12,DH12,DE12,DB12,CY12)/COUNT(DN12,DK12,DH12,DE12,DB12,CY12)*12/CY16))</f>
        <v>419.175373493976</v>
      </c>
      <c r="CZ18" s="24" t="str">
        <f aca="false">IF(COUNT(DL12,DI12,DF12,DC12,CZ12)=0,"",IF(N(CZ16)=0,"",SUM(DL12,DI12,DF12,DC12,CZ12)/COUNT(DL12,DI12,DF12,DC12,CZ12)*12/CZ16))</f>
        <v/>
      </c>
      <c r="DA18" s="24" t="n">
        <f aca="false">IF(COUNT(DM12,DJ12,DG12,DD12,DA12)=0,"",IF(N(DA16)=0,"",SUM(DM12,DJ12,DG12,DD12,DA12)/COUNT(DM12,DJ12,DG12,DD12,DA12)*12/DA16))</f>
        <v>602.680458099122</v>
      </c>
      <c r="DB18" s="24" t="n">
        <f aca="false">IF(COUNT(DN12,DK12,DH12,DE12,DB12)=0,"",IF(N(DB16)=0,"",SUM(DN12,DK12,DH12,DE12,DB12)/COUNT(DN12,DK12,DH12,DE12,DB12)*12/DB16))</f>
        <v>239.292194666667</v>
      </c>
      <c r="DC18" s="25" t="str">
        <f aca="false">IF(COUNT(DL12,DI12,DF12,DC12)=0,"",IF(N(DC16)=0,"",SUM(DL12,DI12,DF12,DC12)/COUNT(DL12,DI12,DF12,DC12)*12/DC16))</f>
        <v/>
      </c>
      <c r="DD18" s="25" t="n">
        <f aca="false">IF(COUNT(DM12,DJ12,DG12,DD12)=0,"",IF(N(DD16)=0,"",SUM(DM12,DJ12,DG12,DD12)/COUNT(DM12,DJ12,DG12,DD12)*12/DD16))</f>
        <v>416.428811994464</v>
      </c>
      <c r="DE18" s="25" t="n">
        <f aca="false">IF(COUNT(DN12,DK12,DH12,DE12)=0,"",IF(N(DE16)=0,"",SUM(DN12,DK12,DH12,DE12)/COUNT(DN12,DK12,DH12,DE12)*12/DE16))</f>
        <v>42.187428893905</v>
      </c>
      <c r="DF18" s="24" t="str">
        <f aca="false">IF(COUNT(DL12,DI12,DF12)=0,"",IF(N(DF16)=0,"",SUM(DL12,DI12,DF12)/COUNT(DL12,DI12,DF12)*12/DF16))</f>
        <v/>
      </c>
      <c r="DG18" s="24" t="n">
        <f aca="false">IF(COUNT(DM12,DJ12,DG12)=0,"",IF(N(DG16)=0,"",SUM(DM12,DJ12,DG12)/COUNT(DM12,DJ12,DG12)*12/DG16))</f>
        <v>202.330497880117</v>
      </c>
      <c r="DH18" s="24" t="n">
        <f aca="false">IF(COUNT(DN12,DK12,DH12)=0,"",IF(N(DH16)=0,"",SUM(DN12,DK12,DH12)/COUNT(DN12,DK12,DH12)*12/DH16))</f>
        <v>-186.345871559633</v>
      </c>
      <c r="DI18" s="25" t="n">
        <f aca="false">IF(COUNT(DL12,DI12)=0,"",IF(N(DI16)=0,"",SUM(DL12,DI12)/COUNT(DL12,DI12)*12/DI16))</f>
        <v>91.8172775745745</v>
      </c>
      <c r="DJ18" s="25" t="n">
        <f aca="false">IF(COUNT(DM12,DJ12)=0,"",IF(N(DJ16)=0,"",SUM(DM12,DJ12)/COUNT(DM12,DJ12)*12/DJ16))</f>
        <v>91.8172775745745</v>
      </c>
      <c r="DK18" s="25" t="n">
        <f aca="false">IF(COUNT(DN12,DK12)=0,"",IF(N(DK16)=0,"",SUM(DN12,DK12)/COUNT(DN12,DK12)*12/DK16))</f>
        <v>-152.070479141836</v>
      </c>
      <c r="DL18" s="24" t="n">
        <f aca="false">IF(COUNT(DL12)=0,"",IF(N(DL16)=0,"",SUM(DL12)/COUNT(DL12)*12/DL16))</f>
        <v>-121.81990521327</v>
      </c>
      <c r="DM18" s="24" t="n">
        <f aca="false">IF(COUNT(DM12)=0,"",IF(N(DM16)=0,"",SUM(DM12)/COUNT(DM12)*12/DM16))</f>
        <v>-121.81990521327</v>
      </c>
      <c r="DN18" s="24" t="n">
        <f aca="false">IF(COUNT(DN12)=0,"",IF(N(DN16)=0,"",SUM(DN12)/COUNT(DN12)*12/DN16))</f>
        <v>96.4654545454546</v>
      </c>
    </row>
    <row r="19" customFormat="false" ht="15" hidden="false" customHeight="false" outlineLevel="0" collapsed="false">
      <c r="A19" s="5" t="s">
        <v>118</v>
      </c>
      <c r="B19" s="23" t="str">
        <f aca="false">IF(K19&lt;&gt;"",K19,IF(N19&lt;&gt;"",N19,IF(Q19&lt;&gt;"",Q19,IF(T19&lt;&gt;"",T19,IF(W19&lt;&gt;"",W19,IF(Z19&lt;&gt;"",Z19,IF(AC19&lt;&gt;"",AC19,IF(AF19&lt;&gt;"",AF19,IF(AI19&lt;&gt;"",AI19,IF(AL19&lt;&gt;"",AL19,IF(AO19&lt;&gt;"",AO19,IF(AR19&lt;&gt;"",AR19,""))))))))))))</f>
        <v/>
      </c>
      <c r="C19" s="23" t="n">
        <f aca="false">IF(L19&lt;&gt;"",L19,IF(O19&lt;&gt;"",O19,IF(R19&lt;&gt;"",R19,IF(U19&lt;&gt;"",U19,IF(X19&lt;&gt;"",X19,IF(AA19&lt;&gt;"",AA19,IF(AD19&lt;&gt;"",AD19,IF(AG19&lt;&gt;"",AG19,IF(AJ19&lt;&gt;"",AJ19,IF(AM19&lt;&gt;"",AM19,IF(AP19&lt;&gt;"",AP19,IF(AS19&lt;&gt;"",AS19,""))))))))))))</f>
        <v>78</v>
      </c>
      <c r="D19" s="23" t="n">
        <f aca="false">IF(M19&lt;&gt;"",M19,IF(P19&lt;&gt;"",P19,IF(S19&lt;&gt;"",S19,IF(V19&lt;&gt;"",V19,IF(Y19&lt;&gt;"",Y19,IF(AB19&lt;&gt;"",AB19,IF(AE19&lt;&gt;"",AE19,IF(AH19&lt;&gt;"",AH19,IF(AK19&lt;&gt;"",AK19,IF(AN19&lt;&gt;"",AN19,IF(AQ19&lt;&gt;"",AQ19,IF(AT19&lt;&gt;"",AT19,""))))))))))))</f>
        <v>78</v>
      </c>
      <c r="E19" s="2" t="str">
        <f aca="false">IF(AU19&lt;&gt;"",AU19,IF(AX19&lt;&gt;"",AX19,IF(BA19&lt;&gt;"",BA19,IF(BD19&lt;&gt;"",BD19,IF(BG19&lt;&gt;"",BG19,IF(BJ19&lt;&gt;"",BJ19,IF(BM19&lt;&gt;"",BM19,IF(BP19&lt;&gt;"",BP19,IF(BS19&lt;&gt;"",BS19,IF(BV19&lt;&gt;"",BV19,IF(BY19&lt;&gt;"",BY19,IF(CB19&lt;&gt;"",CB19,""))))))))))))</f>
        <v/>
      </c>
      <c r="F19" s="2" t="n">
        <f aca="false">IF(AV19&lt;&gt;"",AV19,IF(AY19&lt;&gt;"",AY19,IF(BB19&lt;&gt;"",BB19,IF(BE19&lt;&gt;"",BE19,IF(BH19&lt;&gt;"",BH19,IF(BK19&lt;&gt;"",BK19,IF(BN19&lt;&gt;"",BN19,IF(BQ19&lt;&gt;"",BQ19,IF(BT19&lt;&gt;"",BT19,IF(BW19&lt;&gt;"",BW19,IF(BZ19&lt;&gt;"",BZ19,IF(CC19&lt;&gt;"",CC19,""))))))))))))</f>
        <v>70</v>
      </c>
      <c r="G19" s="2" t="n">
        <f aca="false">IF(AW19&lt;&gt;"",AW19,IF(AZ19&lt;&gt;"",AZ19,IF(BC19&lt;&gt;"",BC19,IF(BF19&lt;&gt;"",BF19,IF(BI19&lt;&gt;"",BI19,IF(BL19&lt;&gt;"",BL19,IF(BO19&lt;&gt;"",BO19,IF(BR19&lt;&gt;"",BR19,IF(BU19&lt;&gt;"",BU19,IF(BX19&lt;&gt;"",BX19,IF(CA19&lt;&gt;"",CA19,IF(CD19&lt;&gt;"",CD19,""))))))))))))</f>
        <v>70</v>
      </c>
      <c r="H19" s="23" t="n">
        <f aca="false">IF(CE19&lt;&gt;"",CE19,IF(CH19&lt;&gt;"",CH19,IF(CK19&lt;&gt;"",CK19,IF(CN19&lt;&gt;"",CN19,IF(CQ19&lt;&gt;"",CQ19,IF(CT19&lt;&gt;"",CT19,IF(CW19&lt;&gt;"",CW19,IF(CZ19&lt;&gt;"",CZ19,IF(DC19&lt;&gt;"",DC19,IF(DF19&lt;&gt;"",DF19,IF(DI19&lt;&gt;"",DI19,IF(DL19&lt;&gt;"",DL19,""))))))))))))</f>
        <v>46</v>
      </c>
      <c r="I19" s="23" t="n">
        <f aca="false">IF(CF19&lt;&gt;"",CF19,IF(CI19&lt;&gt;"",CI19,IF(CL19&lt;&gt;"",CL19,IF(CO19&lt;&gt;"",CO19,IF(CR19&lt;&gt;"",CR19,IF(CU19&lt;&gt;"",CU19,IF(CX19&lt;&gt;"",CX19,IF(DA19&lt;&gt;"",DA19,IF(DD19&lt;&gt;"",DD19,IF(DG19&lt;&gt;"",DG19,IF(DJ19&lt;&gt;"",DJ19,IF(DM19&lt;&gt;"",DM19,""))))))))))))</f>
        <v>50</v>
      </c>
      <c r="J19" s="23" t="n">
        <f aca="false">IF(CG19&lt;&gt;"",CG19,IF(CJ19&lt;&gt;"",CJ19,IF(CM19&lt;&gt;"",CM19,IF(CP19&lt;&gt;"",CP19,IF(CS19&lt;&gt;"",CS19,IF(CV19&lt;&gt;"",CV19,IF(CY19&lt;&gt;"",CY19,IF(DB19&lt;&gt;"",DB19,IF(DE19&lt;&gt;"",DE19,IF(DH19&lt;&gt;"",DH19,IF(DK19&lt;&gt;"",DK19,IF(DN19&lt;&gt;"",DN19,""))))))))))))</f>
        <v>50</v>
      </c>
      <c r="K19" s="2" t="str">
        <f aca="false">IF(COUNT(Marketing!K39,Sales!K52,'Customer Success'!K48,Support!K42,Engineering!K47,Finance!K50)=6,Marketing!K39+Sales!K52+'Customer Success'!K48+Support!K42+Engineering!K47+Finance!K50,"")</f>
        <v/>
      </c>
      <c r="L19" s="2" t="n">
        <f aca="false">Marketing!L39+Sales!L52+'Customer Success'!L48+Support!L42+Engineering!L47+Finance!L50</f>
        <v>78</v>
      </c>
      <c r="M19" s="2" t="n">
        <f aca="false">Marketing!M39+Sales!M52+'Customer Success'!M48+Support!M42+Engineering!M47+Finance!M50</f>
        <v>78</v>
      </c>
      <c r="N19" s="23" t="str">
        <f aca="false">IF(COUNT(Marketing!N39,Sales!N52,'Customer Success'!N48,Support!N42,Engineering!N47,Finance!N50)=6,Marketing!N39+Sales!N52+'Customer Success'!N48+Support!N42+Engineering!N47+Finance!N50,"")</f>
        <v/>
      </c>
      <c r="O19" s="23" t="n">
        <f aca="false">Marketing!O39+Sales!O52+'Customer Success'!O48+Support!O42+Engineering!O47+Finance!O50</f>
        <v>78</v>
      </c>
      <c r="P19" s="23" t="n">
        <f aca="false">Marketing!P39+Sales!P52+'Customer Success'!P48+Support!P42+Engineering!P47+Finance!P50</f>
        <v>78</v>
      </c>
      <c r="Q19" s="2" t="str">
        <f aca="false">IF(COUNT(Marketing!Q39,Sales!Q52,'Customer Success'!Q48,Support!Q42,Engineering!Q47,Finance!Q50)=6,Marketing!Q39+Sales!Q52+'Customer Success'!Q48+Support!Q42+Engineering!Q47+Finance!Q50,"")</f>
        <v/>
      </c>
      <c r="R19" s="2" t="n">
        <f aca="false">Marketing!R39+Sales!R52+'Customer Success'!R48+Support!R42+Engineering!R47+Finance!R50</f>
        <v>78</v>
      </c>
      <c r="S19" s="2" t="n">
        <f aca="false">Marketing!S39+Sales!S52+'Customer Success'!S48+Support!S42+Engineering!S47+Finance!S50</f>
        <v>78</v>
      </c>
      <c r="T19" s="23" t="str">
        <f aca="false">IF(COUNT(Marketing!T39,Sales!T52,'Customer Success'!T48,Support!T42,Engineering!T47,Finance!T50)=6,Marketing!T39+Sales!T52+'Customer Success'!T48+Support!T42+Engineering!T47+Finance!T50,"")</f>
        <v/>
      </c>
      <c r="U19" s="23" t="n">
        <f aca="false">Marketing!U39+Sales!U52+'Customer Success'!U48+Support!U42+Engineering!U47+Finance!U50</f>
        <v>78</v>
      </c>
      <c r="V19" s="23" t="n">
        <f aca="false">Marketing!V39+Sales!V52+'Customer Success'!V48+Support!V42+Engineering!V47+Finance!V50</f>
        <v>78</v>
      </c>
      <c r="W19" s="2" t="str">
        <f aca="false">IF(COUNT(Marketing!W39,Sales!W52,'Customer Success'!W48,Support!W42,Engineering!W47,Finance!W50)=6,Marketing!W39+Sales!W52+'Customer Success'!W48+Support!W42+Engineering!W47+Finance!W50,"")</f>
        <v/>
      </c>
      <c r="X19" s="2" t="n">
        <f aca="false">Marketing!X39+Sales!X52+'Customer Success'!X48+Support!X42+Engineering!X47+Finance!X50</f>
        <v>78</v>
      </c>
      <c r="Y19" s="2" t="n">
        <f aca="false">Marketing!Y39+Sales!Y52+'Customer Success'!Y48+Support!Y42+Engineering!Y47+Finance!Y50</f>
        <v>78</v>
      </c>
      <c r="Z19" s="23" t="str">
        <f aca="false">IF(COUNT(Marketing!Z39,Sales!Z52,'Customer Success'!Z48,Support!Z42,Engineering!Z47,Finance!Z50)=6,Marketing!Z39+Sales!Z52+'Customer Success'!Z48+Support!Z42+Engineering!Z47+Finance!Z50,"")</f>
        <v/>
      </c>
      <c r="AA19" s="23" t="n">
        <f aca="false">Marketing!AA39+Sales!AA52+'Customer Success'!AA48+Support!AA42+Engineering!AA47+Finance!AA50</f>
        <v>78</v>
      </c>
      <c r="AB19" s="23" t="n">
        <f aca="false">Marketing!AB39+Sales!AB52+'Customer Success'!AB48+Support!AB42+Engineering!AB47+Finance!AB50</f>
        <v>78</v>
      </c>
      <c r="AC19" s="2" t="str">
        <f aca="false">IF(COUNT(Marketing!AC39,Sales!AC52,'Customer Success'!AC48,Support!AC42,Engineering!AC47,Finance!AC50)=6,Marketing!AC39+Sales!AC52+'Customer Success'!AC48+Support!AC42+Engineering!AC47+Finance!AC50,"")</f>
        <v/>
      </c>
      <c r="AD19" s="2" t="n">
        <f aca="false">Marketing!AD39+Sales!AD52+'Customer Success'!AD48+Support!AD42+Engineering!AD47+Finance!AD50</f>
        <v>77</v>
      </c>
      <c r="AE19" s="2" t="n">
        <f aca="false">Marketing!AE39+Sales!AE52+'Customer Success'!AE48+Support!AE42+Engineering!AE47+Finance!AE50</f>
        <v>77</v>
      </c>
      <c r="AF19" s="23" t="str">
        <f aca="false">IF(COUNT(Marketing!AF39,Sales!AF52,'Customer Success'!AF48,Support!AF42,Engineering!AF47,Finance!AF50)=6,Marketing!AF39+Sales!AF52+'Customer Success'!AF48+Support!AF42+Engineering!AF47+Finance!AF50,"")</f>
        <v/>
      </c>
      <c r="AG19" s="23" t="n">
        <f aca="false">Marketing!AG39+Sales!AG52+'Customer Success'!AG48+Support!AG42+Engineering!AG47+Finance!AG50</f>
        <v>77</v>
      </c>
      <c r="AH19" s="23" t="n">
        <f aca="false">Marketing!AH39+Sales!AH52+'Customer Success'!AH48+Support!AH42+Engineering!AH47+Finance!AH50</f>
        <v>77</v>
      </c>
      <c r="AI19" s="2" t="str">
        <f aca="false">IF(COUNT(Marketing!AI39,Sales!AI52,'Customer Success'!AI48,Support!AI42,Engineering!AI47,Finance!AI50)=6,Marketing!AI39+Sales!AI52+'Customer Success'!AI48+Support!AI42+Engineering!AI47+Finance!AI50,"")</f>
        <v/>
      </c>
      <c r="AJ19" s="2" t="n">
        <f aca="false">Marketing!AJ39+Sales!AJ52+'Customer Success'!AJ48+Support!AJ42+Engineering!AJ47+Finance!AJ50</f>
        <v>77</v>
      </c>
      <c r="AK19" s="2" t="n">
        <f aca="false">Marketing!AK39+Sales!AK52+'Customer Success'!AK48+Support!AK42+Engineering!AK47+Finance!AK50</f>
        <v>77</v>
      </c>
      <c r="AL19" s="23" t="str">
        <f aca="false">IF(COUNT(Marketing!AL39,Sales!AL52,'Customer Success'!AL48,Support!AL42,Engineering!AL47,Finance!AL50)=6,Marketing!AL39+Sales!AL52+'Customer Success'!AL48+Support!AL42+Engineering!AL47+Finance!AL50,"")</f>
        <v/>
      </c>
      <c r="AM19" s="23" t="n">
        <f aca="false">Marketing!AM39+Sales!AM52+'Customer Success'!AM48+Support!AM42+Engineering!AM47+Finance!AM50</f>
        <v>76</v>
      </c>
      <c r="AN19" s="23" t="n">
        <f aca="false">Marketing!AN39+Sales!AN52+'Customer Success'!AN48+Support!AN42+Engineering!AN47+Finance!AN50</f>
        <v>76</v>
      </c>
      <c r="AO19" s="2" t="str">
        <f aca="false">IF(COUNT(Marketing!AO39,Sales!AO52,'Customer Success'!AO48,Support!AO42,Engineering!AO47,Finance!AO50)=6,Marketing!AO39+Sales!AO52+'Customer Success'!AO48+Support!AO42+Engineering!AO47+Finance!AO50,"")</f>
        <v/>
      </c>
      <c r="AP19" s="2" t="n">
        <f aca="false">Marketing!AP39+Sales!AP52+'Customer Success'!AP48+Support!AP42+Engineering!AP47+Finance!AP50</f>
        <v>74</v>
      </c>
      <c r="AQ19" s="2" t="n">
        <f aca="false">Marketing!AQ39+Sales!AQ52+'Customer Success'!AQ48+Support!AQ42+Engineering!AQ47+Finance!AQ50</f>
        <v>74</v>
      </c>
      <c r="AR19" s="23" t="str">
        <f aca="false">IF(COUNT(Marketing!AR39,Sales!AR52,'Customer Success'!AR48,Support!AR42,Engineering!AR47,Finance!AR50)=6,Marketing!AR39+Sales!AR52+'Customer Success'!AR48+Support!AR42+Engineering!AR47+Finance!AR50,"")</f>
        <v/>
      </c>
      <c r="AS19" s="23" t="n">
        <f aca="false">Marketing!AS39+Sales!AS52+'Customer Success'!AS48+Support!AS42+Engineering!AS47+Finance!AS50</f>
        <v>72</v>
      </c>
      <c r="AT19" s="23" t="n">
        <f aca="false">Marketing!AT39+Sales!AT52+'Customer Success'!AT48+Support!AT42+Engineering!AT47+Finance!AT50</f>
        <v>72</v>
      </c>
      <c r="AU19" s="2" t="str">
        <f aca="false">IF(COUNT(Marketing!AU39,Sales!AU52,'Customer Success'!AU48,Support!AU42,Engineering!AU47,Finance!AU50)=6,Marketing!AU39+Sales!AU52+'Customer Success'!AU48+Support!AU42+Engineering!AU47+Finance!AU50,"")</f>
        <v/>
      </c>
      <c r="AV19" s="2" t="n">
        <f aca="false">Marketing!AV39+Sales!AV52+'Customer Success'!AV48+Support!AV42+Engineering!AV47+Finance!AV50</f>
        <v>70</v>
      </c>
      <c r="AW19" s="2" t="n">
        <f aca="false">Marketing!AW39+Sales!AW52+'Customer Success'!AW48+Support!AW42+Engineering!AW47+Finance!AW50</f>
        <v>70</v>
      </c>
      <c r="AX19" s="23" t="str">
        <f aca="false">IF(COUNT(Marketing!AX39,Sales!AX52,'Customer Success'!AX48,Support!AX42,Engineering!AX47,Finance!AX50)=6,Marketing!AX39+Sales!AX52+'Customer Success'!AX48+Support!AX42+Engineering!AX47+Finance!AX50,"")</f>
        <v/>
      </c>
      <c r="AY19" s="23" t="n">
        <f aca="false">Marketing!AY39+Sales!AY52+'Customer Success'!AY48+Support!AY42+Engineering!AY47+Finance!AY50</f>
        <v>70</v>
      </c>
      <c r="AZ19" s="23" t="n">
        <f aca="false">Marketing!AZ39+Sales!AZ52+'Customer Success'!AZ48+Support!AZ42+Engineering!AZ47+Finance!AZ50</f>
        <v>70</v>
      </c>
      <c r="BA19" s="2" t="str">
        <f aca="false">IF(COUNT(Marketing!BA39,Sales!BA52,'Customer Success'!BA48,Support!BA42,Engineering!BA47,Finance!BA50)=6,Marketing!BA39+Sales!BA52+'Customer Success'!BA48+Support!BA42+Engineering!BA47+Finance!BA50,"")</f>
        <v/>
      </c>
      <c r="BB19" s="2" t="n">
        <f aca="false">Marketing!BB39+Sales!BB52+'Customer Success'!BB48+Support!BB42+Engineering!BB47+Finance!BB50</f>
        <v>68</v>
      </c>
      <c r="BC19" s="2" t="n">
        <f aca="false">Marketing!BC39+Sales!BC52+'Customer Success'!BC48+Support!BC42+Engineering!BC47+Finance!BC50</f>
        <v>68</v>
      </c>
      <c r="BD19" s="23" t="str">
        <f aca="false">IF(COUNT(Marketing!BD39,Sales!BD52,'Customer Success'!BD48,Support!BD42,Engineering!BD47,Finance!BD50)=6,Marketing!BD39+Sales!BD52+'Customer Success'!BD48+Support!BD42+Engineering!BD47+Finance!BD50,"")</f>
        <v/>
      </c>
      <c r="BE19" s="23" t="n">
        <f aca="false">Marketing!BE39+Sales!BE52+'Customer Success'!BE48+Support!BE42+Engineering!BE47+Finance!BE50</f>
        <v>66</v>
      </c>
      <c r="BF19" s="23" t="n">
        <f aca="false">Marketing!BF39+Sales!BF52+'Customer Success'!BF48+Support!BF42+Engineering!BF47+Finance!BF50</f>
        <v>66</v>
      </c>
      <c r="BG19" s="2" t="str">
        <f aca="false">IF(COUNT(Marketing!BG39,Sales!BG52,'Customer Success'!BG48,Support!BG42,Engineering!BG47,Finance!BG50)=6,Marketing!BG39+Sales!BG52+'Customer Success'!BG48+Support!BG42+Engineering!BG47+Finance!BG50,"")</f>
        <v/>
      </c>
      <c r="BH19" s="2" t="n">
        <f aca="false">Marketing!BH39+Sales!BH52+'Customer Success'!BH48+Support!BH42+Engineering!BH47+Finance!BH50</f>
        <v>64</v>
      </c>
      <c r="BI19" s="2" t="n">
        <f aca="false">Marketing!BI39+Sales!BI52+'Customer Success'!BI48+Support!BI42+Engineering!BI47+Finance!BI50</f>
        <v>64</v>
      </c>
      <c r="BJ19" s="23" t="str">
        <f aca="false">IF(COUNT(Marketing!BJ39,Sales!BJ52,'Customer Success'!BJ48,Support!BJ42,Engineering!BJ47,Finance!BJ50)=6,Marketing!BJ39+Sales!BJ52+'Customer Success'!BJ48+Support!BJ42+Engineering!BJ47+Finance!BJ50,"")</f>
        <v/>
      </c>
      <c r="BK19" s="23" t="n">
        <f aca="false">Marketing!BK39+Sales!BK52+'Customer Success'!BK48+Support!BK42+Engineering!BK47+Finance!BK50</f>
        <v>61</v>
      </c>
      <c r="BL19" s="23" t="n">
        <f aca="false">Marketing!BL39+Sales!BL52+'Customer Success'!BL48+Support!BL42+Engineering!BL47+Finance!BL50</f>
        <v>61</v>
      </c>
      <c r="BM19" s="2" t="str">
        <f aca="false">IF(COUNT(Marketing!BM39,Sales!BM52,'Customer Success'!BM48,Support!BM42,Engineering!BM47,Finance!BM50)=6,Marketing!BM39+Sales!BM52+'Customer Success'!BM48+Support!BM42+Engineering!BM47+Finance!BM50,"")</f>
        <v/>
      </c>
      <c r="BN19" s="2" t="n">
        <f aca="false">Marketing!BN39+Sales!BN52+'Customer Success'!BN48+Support!BN42+Engineering!BN47+Finance!BN50</f>
        <v>60</v>
      </c>
      <c r="BO19" s="2" t="n">
        <f aca="false">Marketing!BO39+Sales!BO52+'Customer Success'!BO48+Support!BO42+Engineering!BO47+Finance!BO50</f>
        <v>60</v>
      </c>
      <c r="BP19" s="23" t="str">
        <f aca="false">IF(COUNT(Marketing!BP39,Sales!BP52,'Customer Success'!BP48,Support!BP42,Engineering!BP47,Finance!BP50)=6,Marketing!BP39+Sales!BP52+'Customer Success'!BP48+Support!BP42+Engineering!BP47+Finance!BP50,"")</f>
        <v/>
      </c>
      <c r="BQ19" s="23" t="n">
        <f aca="false">Marketing!BQ39+Sales!BQ52+'Customer Success'!BQ48+Support!BQ42+Engineering!BQ47+Finance!BQ50</f>
        <v>57</v>
      </c>
      <c r="BR19" s="23" t="n">
        <f aca="false">Marketing!BR39+Sales!BR52+'Customer Success'!BR48+Support!BR42+Engineering!BR47+Finance!BR50</f>
        <v>57</v>
      </c>
      <c r="BS19" s="2" t="str">
        <f aca="false">IF(COUNT(Marketing!BS39,Sales!BS52,'Customer Success'!BS48,Support!BS42,Engineering!BS47,Finance!BS50)=6,Marketing!BS39+Sales!BS52+'Customer Success'!BS48+Support!BS42+Engineering!BS47+Finance!BS50,"")</f>
        <v/>
      </c>
      <c r="BT19" s="2" t="n">
        <f aca="false">Marketing!BT39+Sales!BT52+'Customer Success'!BT48+Support!BT42+Engineering!BT47+Finance!BT50</f>
        <v>56</v>
      </c>
      <c r="BU19" s="2" t="n">
        <f aca="false">Marketing!BU39+Sales!BU52+'Customer Success'!BU48+Support!BU42+Engineering!BU47+Finance!BU50</f>
        <v>56</v>
      </c>
      <c r="BV19" s="23" t="str">
        <f aca="false">IF(COUNT(Marketing!BV39,Sales!BV52,'Customer Success'!BV48,Support!BV42,Engineering!BV47,Finance!BV50)=6,Marketing!BV39+Sales!BV52+'Customer Success'!BV48+Support!BV42+Engineering!BV47+Finance!BV50,"")</f>
        <v/>
      </c>
      <c r="BW19" s="23" t="n">
        <f aca="false">Marketing!BW39+Sales!BW52+'Customer Success'!BW48+Support!BW42+Engineering!BW47+Finance!BW50</f>
        <v>54</v>
      </c>
      <c r="BX19" s="23" t="n">
        <f aca="false">Marketing!BX39+Sales!BX52+'Customer Success'!BX48+Support!BX42+Engineering!BX47+Finance!BX50</f>
        <v>54</v>
      </c>
      <c r="BY19" s="2" t="str">
        <f aca="false">IF(COUNT(Marketing!BY39,Sales!BY52,'Customer Success'!BY48,Support!BY42,Engineering!BY47,Finance!BY50)=6,Marketing!BY39+Sales!BY52+'Customer Success'!BY48+Support!BY42+Engineering!BY47+Finance!BY50,"")</f>
        <v/>
      </c>
      <c r="BZ19" s="2" t="n">
        <f aca="false">Marketing!BZ39+Sales!BZ52+'Customer Success'!BZ48+Support!BZ42+Engineering!BZ47+Finance!BZ50</f>
        <v>53</v>
      </c>
      <c r="CA19" s="2" t="n">
        <f aca="false">Marketing!CA39+Sales!CA52+'Customer Success'!CA48+Support!CA42+Engineering!CA47+Finance!CA50</f>
        <v>53</v>
      </c>
      <c r="CB19" s="23" t="str">
        <f aca="false">IF(COUNT(Marketing!CB39,Sales!CB52,'Customer Success'!CB48,Support!CB42,Engineering!CB47,Finance!CB50)=6,Marketing!CB39+Sales!CB52+'Customer Success'!CB48+Support!CB42+Engineering!CB47+Finance!CB50,"")</f>
        <v/>
      </c>
      <c r="CC19" s="23" t="n">
        <f aca="false">Marketing!CC39+Sales!CC52+'Customer Success'!CC48+Support!CC42+Engineering!CC47+Finance!CC50</f>
        <v>51</v>
      </c>
      <c r="CD19" s="23" t="n">
        <f aca="false">Marketing!CD39+Sales!CD52+'Customer Success'!CD48+Support!CD42+Engineering!CD47+Finance!CD50</f>
        <v>51</v>
      </c>
      <c r="CE19" s="2" t="str">
        <f aca="false">IF(COUNT(Marketing!CE39,Sales!CE52,'Customer Success'!CE48,Support!CE42,Engineering!CE47,Finance!CE50)=6,Marketing!CE39+Sales!CE52+'Customer Success'!CE48+Support!CE42+Engineering!CE47+Finance!CE50,"")</f>
        <v/>
      </c>
      <c r="CF19" s="2" t="n">
        <f aca="false">Marketing!CF39+Sales!CF52+'Customer Success'!CF48+Support!CF42+Engineering!CF47+Finance!CF50</f>
        <v>50</v>
      </c>
      <c r="CG19" s="2" t="n">
        <f aca="false">Marketing!CG39+Sales!CG52+'Customer Success'!CG48+Support!CG42+Engineering!CG47+Finance!CG50</f>
        <v>50</v>
      </c>
      <c r="CH19" s="23" t="str">
        <f aca="false">IF(COUNT(Marketing!CH39,Sales!CH52,'Customer Success'!CH48,Support!CH42,Engineering!CH47,Finance!CH50)=6,Marketing!CH39+Sales!CH52+'Customer Success'!CH48+Support!CH42+Engineering!CH47+Finance!CH50,"")</f>
        <v/>
      </c>
      <c r="CI19" s="23" t="n">
        <f aca="false">Marketing!CI39+Sales!CI52+'Customer Success'!CI48+Support!CI42+Engineering!CI47+Finance!CI50</f>
        <v>50</v>
      </c>
      <c r="CJ19" s="23" t="n">
        <f aca="false">Marketing!CJ39+Sales!CJ52+'Customer Success'!CJ48+Support!CJ42+Engineering!CJ47+Finance!CJ50</f>
        <v>50</v>
      </c>
      <c r="CK19" s="2" t="str">
        <f aca="false">IF(COUNT(Marketing!CK39,Sales!CK52,'Customer Success'!CK48,Support!CK42,Engineering!CK47,Finance!CK50)=6,Marketing!CK39+Sales!CK52+'Customer Success'!CK48+Support!CK42+Engineering!CK47+Finance!CK50,"")</f>
        <v/>
      </c>
      <c r="CL19" s="2" t="n">
        <f aca="false">Marketing!CL39+Sales!CL52+'Customer Success'!CL48+Support!CL42+Engineering!CL47+Finance!CL50</f>
        <v>50</v>
      </c>
      <c r="CM19" s="2" t="n">
        <f aca="false">Marketing!CM39+Sales!CM52+'Customer Success'!CM48+Support!CM42+Engineering!CM47+Finance!CM50</f>
        <v>50</v>
      </c>
      <c r="CN19" s="23" t="str">
        <f aca="false">IF(COUNT(Marketing!CN39,Sales!CN52,'Customer Success'!CN48,Support!CN42,Engineering!CN47,Finance!CN50)=6,Marketing!CN39+Sales!CN52+'Customer Success'!CN48+Support!CN42+Engineering!CN47+Finance!CN50,"")</f>
        <v/>
      </c>
      <c r="CO19" s="23" t="n">
        <f aca="false">Marketing!CO39+Sales!CO52+'Customer Success'!CO48+Support!CO42+Engineering!CO47+Finance!CO50</f>
        <v>49</v>
      </c>
      <c r="CP19" s="23" t="n">
        <f aca="false">Marketing!CP39+Sales!CP52+'Customer Success'!CP48+Support!CP42+Engineering!CP47+Finance!CP50</f>
        <v>49</v>
      </c>
      <c r="CQ19" s="2" t="str">
        <f aca="false">IF(COUNT(Marketing!CQ39,Sales!CQ52,'Customer Success'!CQ48,Support!CQ42,Engineering!CQ47,Finance!CQ50)=6,Marketing!CQ39+Sales!CQ52+'Customer Success'!CQ48+Support!CQ42+Engineering!CQ47+Finance!CQ50,"")</f>
        <v/>
      </c>
      <c r="CR19" s="2" t="n">
        <f aca="false">Marketing!CR39+Sales!CR52+'Customer Success'!CR48+Support!CR42+Engineering!CR47+Finance!CR50</f>
        <v>48</v>
      </c>
      <c r="CS19" s="2" t="n">
        <f aca="false">Marketing!CS39+Sales!CS52+'Customer Success'!CS48+Support!CS42+Engineering!CS47+Finance!CS50</f>
        <v>48</v>
      </c>
      <c r="CT19" s="23" t="str">
        <f aca="false">IF(COUNT(Marketing!CT39,Sales!CT52,'Customer Success'!CT48,Support!CT42,Engineering!CT47,Finance!CT50)=6,Marketing!CT39+Sales!CT52+'Customer Success'!CT48+Support!CT42+Engineering!CT47+Finance!CT50,"")</f>
        <v/>
      </c>
      <c r="CU19" s="23" t="n">
        <f aca="false">Marketing!CU39+Sales!CU52+'Customer Success'!CU48+Support!CU42+Engineering!CU47+Finance!CU50</f>
        <v>48</v>
      </c>
      <c r="CV19" s="23" t="n">
        <f aca="false">Marketing!CV39+Sales!CV52+'Customer Success'!CV48+Support!CV42+Engineering!CV47+Finance!CV50</f>
        <v>48</v>
      </c>
      <c r="CW19" s="2" t="str">
        <f aca="false">IF(COUNT(Marketing!CW39,Sales!CW52,'Customer Success'!CW48,Support!CW42,Engineering!CW47,Finance!CW50)=6,Marketing!CW39+Sales!CW52+'Customer Success'!CW48+Support!CW42+Engineering!CW47+Finance!CW50,"")</f>
        <v/>
      </c>
      <c r="CX19" s="2" t="n">
        <f aca="false">Marketing!CX39+Sales!CX52+'Customer Success'!CX48+Support!CX42+Engineering!CX47+Finance!CX50</f>
        <v>47</v>
      </c>
      <c r="CY19" s="2" t="n">
        <f aca="false">Marketing!CY39+Sales!CY52+'Customer Success'!CY48+Support!CY42+Engineering!CY47+Finance!CY50</f>
        <v>47</v>
      </c>
      <c r="CZ19" s="23" t="str">
        <f aca="false">IF(COUNT(Marketing!CZ39,Sales!CZ52,'Customer Success'!CZ48,Support!CZ42,Engineering!CZ47,Finance!CZ50)=6,Marketing!CZ39+Sales!CZ52+'Customer Success'!CZ48+Support!CZ42+Engineering!CZ47+Finance!CZ50,"")</f>
        <v/>
      </c>
      <c r="DA19" s="23" t="n">
        <f aca="false">Marketing!DA39+Sales!DA52+'Customer Success'!DA48+Support!DA42+Engineering!DA47+Finance!DA50</f>
        <v>47</v>
      </c>
      <c r="DB19" s="23" t="n">
        <f aca="false">Marketing!DB39+Sales!DB52+'Customer Success'!DB48+Support!DB42+Engineering!DB47+Finance!DB50</f>
        <v>47</v>
      </c>
      <c r="DC19" s="2" t="str">
        <f aca="false">IF(COUNT(Marketing!DC39,Sales!DC52,'Customer Success'!DC48,Support!DC42,Engineering!DC47,Finance!DC50)=6,Marketing!DC39+Sales!DC52+'Customer Success'!DC48+Support!DC42+Engineering!DC47+Finance!DC50,"")</f>
        <v/>
      </c>
      <c r="DD19" s="2" t="n">
        <f aca="false">Marketing!DD39+Sales!DD52+'Customer Success'!DD48+Support!DD42+Engineering!DD47+Finance!DD50</f>
        <v>47</v>
      </c>
      <c r="DE19" s="2" t="n">
        <f aca="false">Marketing!DE39+Sales!DE52+'Customer Success'!DE48+Support!DE42+Engineering!DE47+Finance!DE50</f>
        <v>47</v>
      </c>
      <c r="DF19" s="23" t="str">
        <f aca="false">IF(COUNT(Marketing!DF39,Sales!DF52,'Customer Success'!DF48,Support!DF42,Engineering!DF47,Finance!DF50)=6,Marketing!DF39+Sales!DF52+'Customer Success'!DF48+Support!DF42+Engineering!DF47+Finance!DF50,"")</f>
        <v/>
      </c>
      <c r="DG19" s="23" t="n">
        <f aca="false">Marketing!DG39+Sales!DG52+'Customer Success'!DG48+Support!DG42+Engineering!DG47+Finance!DG50</f>
        <v>46</v>
      </c>
      <c r="DH19" s="23" t="n">
        <f aca="false">Marketing!DH39+Sales!DH52+'Customer Success'!DH48+Support!DH42+Engineering!DH47+Finance!DH50</f>
        <v>46</v>
      </c>
      <c r="DI19" s="2" t="n">
        <f aca="false">IF(COUNT(Marketing!DI39,Sales!DI52,'Customer Success'!DI48,Support!DI42,Engineering!DI47,Finance!DI50)=6,Marketing!DI39+Sales!DI52+'Customer Success'!DI48+Support!DI42+Engineering!DI47+Finance!DI50,"")</f>
        <v>46</v>
      </c>
      <c r="DJ19" s="2" t="n">
        <f aca="false">Marketing!DJ39+Sales!DJ52+'Customer Success'!DJ48+Support!DJ42+Engineering!DJ47+Finance!DJ50</f>
        <v>46</v>
      </c>
      <c r="DK19" s="2" t="n">
        <f aca="false">Marketing!DK39+Sales!DK52+'Customer Success'!DK48+Support!DK42+Engineering!DK47+Finance!DK50</f>
        <v>46</v>
      </c>
      <c r="DL19" s="23" t="n">
        <f aca="false">IF(COUNT(Marketing!DL39,Sales!DL52,'Customer Success'!DL48,Support!DL42,Engineering!DL47,Finance!DL50)=6,Marketing!DL39+Sales!DL52+'Customer Success'!DL48+Support!DL42+Engineering!DL47+Finance!DL50,"")</f>
        <v>46</v>
      </c>
      <c r="DM19" s="23" t="n">
        <f aca="false">Marketing!DM39+Sales!DM52+'Customer Success'!DM48+Support!DM42+Engineering!DM47+Finance!DM50</f>
        <v>46</v>
      </c>
      <c r="DN19" s="23" t="n">
        <f aca="false">Marketing!DN39+Sales!DN52+'Customer Success'!DN48+Support!DN42+Engineering!DN47+Finance!DN50</f>
        <v>46</v>
      </c>
    </row>
    <row r="20" customFormat="false" ht="15" hidden="false" customHeight="false" outlineLevel="0" collapsed="false">
      <c r="A20" s="26" t="s">
        <v>119</v>
      </c>
      <c r="B20" s="27" t="str">
        <f aca="false">IF(K20&lt;&gt;"",K20,IF(N20&lt;&gt;"",N20,IF(Q20&lt;&gt;"",Q20,IF(T20&lt;&gt;"",T20,IF(W20&lt;&gt;"",W20,IF(Z20&lt;&gt;"",Z20,IF(AC20&lt;&gt;"",AC20,IF(AF20&lt;&gt;"",AF20,IF(AI20&lt;&gt;"",AI20,IF(AL20&lt;&gt;"",AL20,IF(AO20&lt;&gt;"",AO20,IF(AR20&lt;&gt;"",AR20,""))))))))))))</f>
        <v/>
      </c>
      <c r="C20" s="27" t="n">
        <f aca="false">IF(L20&lt;&gt;"",L20,IF(O20&lt;&gt;"",O20,IF(R20&lt;&gt;"",R20,IF(U20&lt;&gt;"",U20,IF(X20&lt;&gt;"",X20,IF(AA20&lt;&gt;"",AA20,IF(AD20&lt;&gt;"",AD20,IF(AG20&lt;&gt;"",AG20,IF(AJ20&lt;&gt;"",AJ20,IF(AM20&lt;&gt;"",AM20,IF(AP20&lt;&gt;"",AP20,IF(AS20&lt;&gt;"",AS20,""))))))))))))</f>
        <v>10115245.331197</v>
      </c>
      <c r="D20" s="27" t="n">
        <f aca="false">IF(M20&lt;&gt;"",M20,IF(P20&lt;&gt;"",P20,IF(S20&lt;&gt;"",S20,IF(V20&lt;&gt;"",V20,IF(Y20&lt;&gt;"",Y20,IF(AB20&lt;&gt;"",AB20,IF(AE20&lt;&gt;"",AE20,IF(AH20&lt;&gt;"",AH20,IF(AK20&lt;&gt;"",AK20,IF(AN20&lt;&gt;"",AN20,IF(AQ20&lt;&gt;"",AQ20,IF(AT20&lt;&gt;"",AT20,""))))))))))))</f>
        <v>8446072.503</v>
      </c>
      <c r="E20" s="28" t="str">
        <f aca="false">IF(AU20&lt;&gt;"",AU20,IF(AX20&lt;&gt;"",AX20,IF(BA20&lt;&gt;"",BA20,IF(BD20&lt;&gt;"",BD20,IF(BG20&lt;&gt;"",BG20,IF(BJ20&lt;&gt;"",BJ20,IF(BM20&lt;&gt;"",BM20,IF(BP20&lt;&gt;"",BP20,IF(BS20&lt;&gt;"",BS20,IF(BV20&lt;&gt;"",BV20,IF(BY20&lt;&gt;"",BY20,IF(CB20&lt;&gt;"",CB20,""))))))))))))</f>
        <v/>
      </c>
      <c r="F20" s="28" t="n">
        <f aca="false">IF(AV20&lt;&gt;"",AV20,IF(AY20&lt;&gt;"",AY20,IF(BB20&lt;&gt;"",BB20,IF(BE20&lt;&gt;"",BE20,IF(BH20&lt;&gt;"",BH20,IF(BK20&lt;&gt;"",BK20,IF(BN20&lt;&gt;"",BN20,IF(BQ20&lt;&gt;"",BQ20,IF(BT20&lt;&gt;"",BT20,IF(BW20&lt;&gt;"",BW20,IF(BZ20&lt;&gt;"",BZ20,IF(CC20&lt;&gt;"",CC20,""))))))))))))</f>
        <v>5312045.7240161</v>
      </c>
      <c r="G20" s="28" t="n">
        <f aca="false">IF(AW20&lt;&gt;"",AW20,IF(AZ20&lt;&gt;"",AZ20,IF(BC20&lt;&gt;"",BC20,IF(BF20&lt;&gt;"",BF20,IF(BI20&lt;&gt;"",BI20,IF(BL20&lt;&gt;"",BL20,IF(BO20&lt;&gt;"",BO20,IF(BR20&lt;&gt;"",BR20,IF(BU20&lt;&gt;"",BU20,IF(BX20&lt;&gt;"",BX20,IF(CA20&lt;&gt;"",CA20,IF(CD20&lt;&gt;"",CD20,""))))))))))))</f>
        <v>3870649.48</v>
      </c>
      <c r="H20" s="27" t="n">
        <f aca="false">IF(CE20&lt;&gt;"",CE20,IF(CH20&lt;&gt;"",CH20,IF(CK20&lt;&gt;"",CK20,IF(CN20&lt;&gt;"",CN20,IF(CQ20&lt;&gt;"",CQ20,IF(CT20&lt;&gt;"",CT20,IF(CW20&lt;&gt;"",CW20,IF(CZ20&lt;&gt;"",CZ20,IF(DC20&lt;&gt;"",DC20,IF(DF20&lt;&gt;"",DF20,IF(DI20&lt;&gt;"",DI20,IF(DL20&lt;&gt;"",DL20,""))))))))))))</f>
        <v>1177985.02637105</v>
      </c>
      <c r="I20" s="27" t="n">
        <f aca="false">IF(CF20&lt;&gt;"",CF20,IF(CI20&lt;&gt;"",CI20,IF(CL20&lt;&gt;"",CL20,IF(CO20&lt;&gt;"",CO20,IF(CR20&lt;&gt;"",CR20,IF(CU20&lt;&gt;"",CU20,IF(CX20&lt;&gt;"",CX20,IF(DA20&lt;&gt;"",DA20,IF(DD20&lt;&gt;"",DD20,IF(DG20&lt;&gt;"",DG20,IF(DJ20&lt;&gt;"",DJ20,IF(DM20&lt;&gt;"",DM20,""))))))))))))</f>
        <v>3053151.31026133</v>
      </c>
      <c r="J20" s="27" t="n">
        <f aca="false">IF(CG20&lt;&gt;"",CG20,IF(CJ20&lt;&gt;"",CJ20,IF(CM20&lt;&gt;"",CM20,IF(CP20&lt;&gt;"",CP20,IF(CS20&lt;&gt;"",CS20,IF(CV20&lt;&gt;"",CV20,IF(CY20&lt;&gt;"",CY20,IF(DB20&lt;&gt;"",DB20,IF(DE20&lt;&gt;"",DE20,IF(DH20&lt;&gt;"",DH20,IF(DK20&lt;&gt;"",DK20,IF(DN20&lt;&gt;"",DN20,""))))))))))))</f>
        <v>1841858.046</v>
      </c>
      <c r="K20" s="28" t="str">
        <f aca="false">IF(COUNT(Finance!K11)=1,Finance!K11,"")</f>
        <v/>
      </c>
      <c r="L20" s="28" t="n">
        <f aca="false">Finance!L11</f>
        <v>10115245.331197</v>
      </c>
      <c r="M20" s="28" t="n">
        <f aca="false">Finance!M11</f>
        <v>8446072.503</v>
      </c>
      <c r="N20" s="27" t="str">
        <f aca="false">IF(COUNT(Finance!N11)=1,Finance!N11,"")</f>
        <v/>
      </c>
      <c r="O20" s="27" t="n">
        <f aca="false">Finance!O11</f>
        <v>9509935.88082831</v>
      </c>
      <c r="P20" s="27" t="n">
        <f aca="false">Finance!P11</f>
        <v>7859609.093</v>
      </c>
      <c r="Q20" s="28" t="str">
        <f aca="false">IF(COUNT(Finance!Q11)=1,Finance!Q11,"")</f>
        <v/>
      </c>
      <c r="R20" s="28" t="n">
        <f aca="false">Finance!R11</f>
        <v>8944852.11387681</v>
      </c>
      <c r="S20" s="28" t="n">
        <f aca="false">Finance!S11</f>
        <v>7313395.74</v>
      </c>
      <c r="T20" s="27" t="str">
        <f aca="false">IF(COUNT(Finance!T11)=1,Finance!T11,"")</f>
        <v/>
      </c>
      <c r="U20" s="27" t="n">
        <f aca="false">Finance!U11</f>
        <v>8419625.17402727</v>
      </c>
      <c r="V20" s="27" t="n">
        <f aca="false">Finance!V11</f>
        <v>6807063.488</v>
      </c>
      <c r="W20" s="28" t="str">
        <f aca="false">IF(COUNT(Finance!W11)=1,Finance!W11,"")</f>
        <v/>
      </c>
      <c r="X20" s="28" t="n">
        <f aca="false">Finance!X11</f>
        <v>7933936.78608056</v>
      </c>
      <c r="Y20" s="28" t="n">
        <f aca="false">Finance!Y11</f>
        <v>6340294.132</v>
      </c>
      <c r="Z20" s="27" t="str">
        <f aca="false">IF(COUNT(Finance!Z11)=1,Finance!Z11,"")</f>
        <v/>
      </c>
      <c r="AA20" s="27" t="n">
        <f aca="false">Finance!AA11</f>
        <v>7487470.40944179</v>
      </c>
      <c r="AB20" s="27" t="n">
        <f aca="false">Finance!AB11</f>
        <v>5912770.203</v>
      </c>
      <c r="AC20" s="28" t="str">
        <f aca="false">IF(COUNT(Finance!AC11)=1,Finance!AC11,"")</f>
        <v/>
      </c>
      <c r="AD20" s="28" t="n">
        <f aca="false">Finance!AD11</f>
        <v>7088307.38889065</v>
      </c>
      <c r="AE20" s="28" t="n">
        <f aca="false">Finance!AE11</f>
        <v>5532573.938</v>
      </c>
      <c r="AF20" s="27" t="str">
        <f aca="false">IF(COUNT(Finance!AF11)=1,Finance!AF11,"")</f>
        <v/>
      </c>
      <c r="AG20" s="27" t="n">
        <f aca="false">Finance!AG11</f>
        <v>6708444.18551765</v>
      </c>
      <c r="AH20" s="27" t="n">
        <f aca="false">Finance!AH11</f>
        <v>5171700.866</v>
      </c>
      <c r="AI20" s="28" t="str">
        <f aca="false">IF(COUNT(Finance!AI11)=1,Finance!AI11,"")</f>
        <v/>
      </c>
      <c r="AJ20" s="28" t="n">
        <f aca="false">Finance!AJ11</f>
        <v>6366656.15591473</v>
      </c>
      <c r="AK20" s="28" t="n">
        <f aca="false">Finance!AK11</f>
        <v>4848928.225</v>
      </c>
      <c r="AL20" s="27" t="str">
        <f aca="false">IF(COUNT(Finance!AL11)=1,Finance!AL11,"")</f>
        <v/>
      </c>
      <c r="AM20" s="27" t="n">
        <f aca="false">Finance!AM11</f>
        <v>6070993.8522452</v>
      </c>
      <c r="AN20" s="27" t="n">
        <f aca="false">Finance!AN11</f>
        <v>4572304.438</v>
      </c>
      <c r="AO20" s="28" t="str">
        <f aca="false">IF(COUNT(Finance!AO11)=1,Finance!AO11,"")</f>
        <v/>
      </c>
      <c r="AP20" s="28" t="n">
        <f aca="false">Finance!AP11</f>
        <v>5807506.35620368</v>
      </c>
      <c r="AQ20" s="28" t="n">
        <f aca="false">Finance!AQ11</f>
        <v>4327879.656</v>
      </c>
      <c r="AR20" s="27" t="str">
        <f aca="false">IF(COUNT(Finance!AR11)=1,Finance!AR11,"")</f>
        <v/>
      </c>
      <c r="AS20" s="27" t="n">
        <f aca="false">Finance!AS11</f>
        <v>5565702.85276762</v>
      </c>
      <c r="AT20" s="27" t="n">
        <f aca="false">Finance!AT11</f>
        <v>4105189.809</v>
      </c>
      <c r="AU20" s="28" t="str">
        <f aca="false">IF(COUNT(Finance!AU11)=1,Finance!AU11,"")</f>
        <v/>
      </c>
      <c r="AV20" s="28" t="n">
        <f aca="false">Finance!AV11</f>
        <v>5312045.7240161</v>
      </c>
      <c r="AW20" s="28" t="n">
        <f aca="false">Finance!AW11</f>
        <v>3870649.48</v>
      </c>
      <c r="AX20" s="27" t="str">
        <f aca="false">IF(COUNT(Finance!AX11)=1,Finance!AX11,"")</f>
        <v/>
      </c>
      <c r="AY20" s="27" t="n">
        <f aca="false">Finance!AY11</f>
        <v>5048120.20947486</v>
      </c>
      <c r="AZ20" s="27" t="n">
        <f aca="false">Finance!AZ11</f>
        <v>3625889.966</v>
      </c>
      <c r="BA20" s="28" t="str">
        <f aca="false">IF(COUNT(Finance!BA11)=1,Finance!BA11,"")</f>
        <v/>
      </c>
      <c r="BB20" s="28" t="n">
        <f aca="false">Finance!BB11</f>
        <v>4828521.86151434</v>
      </c>
      <c r="BC20" s="28" t="n">
        <f aca="false">Finance!BC11</f>
        <v>3425458.787</v>
      </c>
      <c r="BD20" s="27" t="str">
        <f aca="false">IF(COUNT(Finance!BD11)=1,Finance!BD11,"")</f>
        <v/>
      </c>
      <c r="BE20" s="27" t="n">
        <f aca="false">Finance!BE11</f>
        <v>4616280.11775193</v>
      </c>
      <c r="BF20" s="27" t="n">
        <f aca="false">Finance!BF11</f>
        <v>3232387.257</v>
      </c>
      <c r="BG20" s="28" t="str">
        <f aca="false">IF(COUNT(Finance!BG11)=1,Finance!BG11,"")</f>
        <v/>
      </c>
      <c r="BH20" s="28" t="n">
        <f aca="false">Finance!BH11</f>
        <v>4407079.34085812</v>
      </c>
      <c r="BI20" s="28" t="n">
        <f aca="false">Finance!BI11</f>
        <v>3042358.839</v>
      </c>
      <c r="BJ20" s="27" t="str">
        <f aca="false">IF(COUNT(Finance!BJ11)=1,Finance!BJ11,"")</f>
        <v/>
      </c>
      <c r="BK20" s="27" t="n">
        <f aca="false">Finance!BK11</f>
        <v>4222666.24199215</v>
      </c>
      <c r="BL20" s="27" t="n">
        <f aca="false">Finance!BL11</f>
        <v>2877122.116</v>
      </c>
      <c r="BM20" s="28" t="str">
        <f aca="false">IF(COUNT(Finance!BM11)=1,Finance!BM11,"")</f>
        <v/>
      </c>
      <c r="BN20" s="28" t="n">
        <f aca="false">Finance!BN11</f>
        <v>4016161.19821147</v>
      </c>
      <c r="BO20" s="28" t="n">
        <f aca="false">Finance!BO11</f>
        <v>2689795.569</v>
      </c>
      <c r="BP20" s="27" t="str">
        <f aca="false">IF(COUNT(Finance!BP11)=1,Finance!BP11,"")</f>
        <v/>
      </c>
      <c r="BQ20" s="27" t="n">
        <f aca="false">Finance!BQ11</f>
        <v>3844836.39596826</v>
      </c>
      <c r="BR20" s="27" t="n">
        <f aca="false">Finance!BR11</f>
        <v>2537652.25</v>
      </c>
      <c r="BS20" s="28" t="str">
        <f aca="false">IF(COUNT(Finance!BS11)=1,Finance!BS11,"")</f>
        <v/>
      </c>
      <c r="BT20" s="28" t="n">
        <f aca="false">Finance!BT11</f>
        <v>3659274.67329666</v>
      </c>
      <c r="BU20" s="28" t="n">
        <f aca="false">Finance!BU11</f>
        <v>2371273.858</v>
      </c>
      <c r="BV20" s="27" t="str">
        <f aca="false">IF(COUNT(Finance!BV11)=1,Finance!BV11,"")</f>
        <v/>
      </c>
      <c r="BW20" s="27" t="n">
        <f aca="false">Finance!BW11</f>
        <v>3502218.28787819</v>
      </c>
      <c r="BX20" s="27" t="n">
        <f aca="false">Finance!BX11</f>
        <v>2233404.753</v>
      </c>
      <c r="BY20" s="28" t="str">
        <f aca="false">IF(COUNT(Finance!BY11)=1,Finance!BY11,"")</f>
        <v/>
      </c>
      <c r="BZ20" s="28" t="n">
        <f aca="false">Finance!BZ11</f>
        <v>3346240.36228232</v>
      </c>
      <c r="CA20" s="28" t="n">
        <f aca="false">Finance!CA11</f>
        <v>2096616.906</v>
      </c>
      <c r="CB20" s="27" t="str">
        <f aca="false">IF(COUNT(Finance!CB11)=1,Finance!CB11,"")</f>
        <v/>
      </c>
      <c r="CC20" s="27" t="n">
        <f aca="false">Finance!CC11</f>
        <v>3216128.27546121</v>
      </c>
      <c r="CD20" s="27" t="n">
        <f aca="false">Finance!CD11</f>
        <v>1985677.948</v>
      </c>
      <c r="CE20" s="28" t="str">
        <f aca="false">IF(COUNT(Finance!CE11)=1,Finance!CE11,"")</f>
        <v/>
      </c>
      <c r="CF20" s="28" t="n">
        <f aca="false">Finance!CF11</f>
        <v>3053151.31026133</v>
      </c>
      <c r="CG20" s="28" t="n">
        <f aca="false">Finance!CG11</f>
        <v>1841858.046</v>
      </c>
      <c r="CH20" s="27" t="str">
        <f aca="false">IF(COUNT(Finance!CH11)=1,Finance!CH11,"")</f>
        <v/>
      </c>
      <c r="CI20" s="27" t="n">
        <f aca="false">Finance!CI11</f>
        <v>2889583.45646386</v>
      </c>
      <c r="CJ20" s="27" t="n">
        <f aca="false">Finance!CJ11</f>
        <v>1697474.456</v>
      </c>
      <c r="CK20" s="28" t="str">
        <f aca="false">IF(COUNT(Finance!CK11)=1,Finance!CK11,"")</f>
        <v/>
      </c>
      <c r="CL20" s="28" t="n">
        <f aca="false">Finance!CL11</f>
        <v>2744496.46486694</v>
      </c>
      <c r="CM20" s="28" t="n">
        <f aca="false">Finance!CM11</f>
        <v>1571554.743</v>
      </c>
      <c r="CN20" s="27" t="str">
        <f aca="false">IF(COUNT(Finance!CN11)=1,Finance!CN11,"")</f>
        <v/>
      </c>
      <c r="CO20" s="27" t="n">
        <f aca="false">Finance!CO11</f>
        <v>2624574.0487716</v>
      </c>
      <c r="CP20" s="27" t="n">
        <f aca="false">Finance!CP11</f>
        <v>1470783.5</v>
      </c>
      <c r="CQ20" s="28" t="str">
        <f aca="false">IF(COUNT(Finance!CQ11)=1,Finance!CQ11,"")</f>
        <v/>
      </c>
      <c r="CR20" s="28" t="n">
        <f aca="false">Finance!CR11</f>
        <v>2517311.10151831</v>
      </c>
      <c r="CS20" s="28" t="n">
        <f aca="false">Finance!CS11</f>
        <v>1382698.25</v>
      </c>
      <c r="CT20" s="27" t="str">
        <f aca="false">IF(COUNT(Finance!CT11)=1,Finance!CT11,"")</f>
        <v/>
      </c>
      <c r="CU20" s="27" t="n">
        <f aca="false">Finance!CU11</f>
        <v>2412756.48531187</v>
      </c>
      <c r="CV20" s="27" t="n">
        <f aca="false">Finance!CV11</f>
        <v>1297304.307</v>
      </c>
      <c r="CW20" s="28" t="str">
        <f aca="false">IF(COUNT(Finance!CW11)=1,Finance!CW11,"")</f>
        <v/>
      </c>
      <c r="CX20" s="28" t="n">
        <f aca="false">Finance!CX11</f>
        <v>2334691.99157465</v>
      </c>
      <c r="CY20" s="28" t="n">
        <f aca="false">Finance!CY11</f>
        <v>1238384.338</v>
      </c>
      <c r="CZ20" s="27" t="str">
        <f aca="false">IF(COUNT(Finance!CZ11)=1,Finance!CZ11,"")</f>
        <v/>
      </c>
      <c r="DA20" s="27" t="n">
        <f aca="false">Finance!DA11</f>
        <v>2255489.53944209</v>
      </c>
      <c r="DB20" s="27" t="n">
        <f aca="false">Finance!DB11</f>
        <v>1178352.271</v>
      </c>
      <c r="DC20" s="28" t="str">
        <f aca="false">IF(COUNT(Finance!DC11)=1,Finance!DC11,"")</f>
        <v/>
      </c>
      <c r="DD20" s="28" t="n">
        <f aca="false">Finance!DD11</f>
        <v>2194085.15395101</v>
      </c>
      <c r="DE20" s="28" t="n">
        <f aca="false">Finance!DE11</f>
        <v>1123578.52</v>
      </c>
      <c r="DF20" s="27" t="n">
        <f aca="false">IF(COUNT(Finance!DF11)=1,Finance!DF11,"")</f>
        <v>1177985.02637105</v>
      </c>
      <c r="DG20" s="27" t="n">
        <f aca="false">Finance!DG11</f>
        <v>2161750.02637105</v>
      </c>
      <c r="DH20" s="27" t="n">
        <f aca="false">Finance!DH11</f>
        <v>1118652.52</v>
      </c>
      <c r="DI20" s="28" t="n">
        <f aca="false">IF(COUNT(Finance!DI11)=1,Finance!DI11,"")</f>
        <v>1181432</v>
      </c>
      <c r="DJ20" s="28" t="n">
        <f aca="false">Finance!DJ11</f>
        <v>1181432</v>
      </c>
      <c r="DK20" s="28" t="n">
        <f aca="false">Finance!DK11</f>
        <v>185439.52</v>
      </c>
      <c r="DL20" s="27" t="n">
        <f aca="false">IF(COUNT(Finance!DL11)=1,Finance!DL11,"")</f>
        <v>1170890</v>
      </c>
      <c r="DM20" s="27" t="n">
        <f aca="false">Finance!DM11</f>
        <v>1170890</v>
      </c>
      <c r="DN20" s="27" t="n">
        <f aca="false">Finance!DN11</f>
        <v>212890</v>
      </c>
    </row>
    <row r="21" customFormat="false" ht="15.75" hidden="false" customHeight="true" outlineLevel="0" collapsed="false">
      <c r="A21" s="5" t="s">
        <v>120</v>
      </c>
      <c r="B21" s="29" t="str">
        <f aca="false">IF(K21&lt;&gt;"",K21,IF(N21&lt;&gt;"",N21,IF(Q21&lt;&gt;"",Q21,IF(T21&lt;&gt;"",T21,IF(W21&lt;&gt;"",W21,IF(Z21&lt;&gt;"",Z21,IF(AC21&lt;&gt;"",AC21,IF(AF21&lt;&gt;"",AF21,IF(AI21&lt;&gt;"",AI21,IF(AL21&lt;&gt;"",AL21,IF(AO21&lt;&gt;"",AO21,IF(AR21&lt;&gt;"",AR21,""))))))))))))</f>
        <v/>
      </c>
      <c r="C21" s="29" t="n">
        <f aca="false">IF(L21&lt;&gt;"",L21,IF(O21&lt;&gt;"",O21,IF(R21&lt;&gt;"",R21,IF(U21&lt;&gt;"",U21,IF(X21&lt;&gt;"",X21,IF(AA21&lt;&gt;"",AA21,IF(AD21&lt;&gt;"",AD21,IF(AG21&lt;&gt;"",AG21,IF(AJ21&lt;&gt;"",AJ21,IF(AM21&lt;&gt;"",AM21,IF(AP21&lt;&gt;"",AP21,IF(AS21&lt;&gt;"",AS21,""))))))))))))</f>
        <v>5.6901142910603</v>
      </c>
      <c r="D21" s="29" t="n">
        <f aca="false">IF(M21&lt;&gt;"",M21,IF(P21&lt;&gt;"",P21,IF(S21&lt;&gt;"",S21,IF(V21&lt;&gt;"",V21,IF(Y21&lt;&gt;"",Y21,IF(AB21&lt;&gt;"",AB21,IF(AE21&lt;&gt;"",AE21,IF(AH21&lt;&gt;"",AH21,IF(AK21&lt;&gt;"",AK21,IF(AN21&lt;&gt;"",AN21,IF(AQ21&lt;&gt;"",AQ21,IF(AT21&lt;&gt;"",AT21,""))))))))))))</f>
        <v>4.770478229</v>
      </c>
      <c r="E21" s="29" t="str">
        <f aca="false">IF(AU21&lt;&gt;"",AU21,IF(AX21&lt;&gt;"",AX21,IF(BA21&lt;&gt;"",BA21,IF(BD21&lt;&gt;"",BD21,IF(BG21&lt;&gt;"",BG21,IF(BJ21&lt;&gt;"",BJ21,IF(BM21&lt;&gt;"",BM21,IF(BP21&lt;&gt;"",BP21,IF(BS21&lt;&gt;"",BS21,IF(BV21&lt;&gt;"",BV21,IF(BY21&lt;&gt;"",BY21,IF(CB21&lt;&gt;"",CB21,""))))))))))))</f>
        <v/>
      </c>
      <c r="F21" s="29" t="n">
        <f aca="false">IF(AV21&lt;&gt;"",AV21,IF(AY21&lt;&gt;"",AY21,IF(BB21&lt;&gt;"",BB21,IF(BE21&lt;&gt;"",BE21,IF(BH21&lt;&gt;"",BH21,IF(BK21&lt;&gt;"",BK21,IF(BN21&lt;&gt;"",BN21,IF(BQ21&lt;&gt;"",BQ21,IF(BT21&lt;&gt;"",BT21,IF(BW21&lt;&gt;"",BW21,IF(BZ21&lt;&gt;"",BZ21,IF(CC21&lt;&gt;"",CC21,""))))))))))))</f>
        <v>3.57883545081975</v>
      </c>
      <c r="G21" s="29" t="n">
        <f aca="false">IF(AW21&lt;&gt;"",AW21,IF(AZ21&lt;&gt;"",AZ21,IF(BC21&lt;&gt;"",BC21,IF(BF21&lt;&gt;"",BF21,IF(BI21&lt;&gt;"",BI21,IF(BL21&lt;&gt;"",BL21,IF(BO21&lt;&gt;"",BO21,IF(BR21&lt;&gt;"",BR21,IF(BU21&lt;&gt;"",BU21,IF(BX21&lt;&gt;"",BX21,IF(CA21&lt;&gt;"",CA21,IF(CD21&lt;&gt;"",CD21,""))))))))))))</f>
        <v>2.620652161</v>
      </c>
      <c r="H21" s="29" t="n">
        <f aca="false">IF(CE21&lt;&gt;"",CE21,IF(CH21&lt;&gt;"",CH21,IF(CK21&lt;&gt;"",CK21,IF(CN21&lt;&gt;"",CN21,IF(CQ21&lt;&gt;"",CQ21,IF(CT21&lt;&gt;"",CT21,IF(CW21&lt;&gt;"",CW21,IF(CZ21&lt;&gt;"",CZ21,IF(DC21&lt;&gt;"",DC21,IF(DF21&lt;&gt;"",DF21,IF(DI21&lt;&gt;"",DI21,IF(DL21&lt;&gt;"",DL21,""))))))))))))</f>
        <v>1.16857764589515</v>
      </c>
      <c r="I21" s="29" t="n">
        <f aca="false">IF(CF21&lt;&gt;"",CF21,IF(CI21&lt;&gt;"",CI21,IF(CL21&lt;&gt;"",CL21,IF(CO21&lt;&gt;"",CO21,IF(CR21&lt;&gt;"",CR21,IF(CU21&lt;&gt;"",CU21,IF(CX21&lt;&gt;"",CX21,IF(DA21&lt;&gt;"",DA21,IF(DD21&lt;&gt;"",DD21,IF(DG21&lt;&gt;"",DG21,IF(DJ21&lt;&gt;"",DJ21,IF(DM21&lt;&gt;"",DM21,""))))))))))))</f>
        <v>2.66176963719066</v>
      </c>
      <c r="J21" s="29" t="n">
        <f aca="false">IF(CG21&lt;&gt;"",CG21,IF(CJ21&lt;&gt;"",CJ21,IF(CM21&lt;&gt;"",CM21,IF(CP21&lt;&gt;"",CP21,IF(CS21&lt;&gt;"",CS21,IF(CV21&lt;&gt;"",CV21,IF(CY21&lt;&gt;"",CY21,IF(DB21&lt;&gt;"",DB21,IF(DE21&lt;&gt;"",DE21,IF(DH21&lt;&gt;"",DH21,IF(DK21&lt;&gt;"",DK21,IF(DN21&lt;&gt;"",DN21,""))))))))))))</f>
        <v>1.616066969</v>
      </c>
      <c r="K21" s="29" t="str">
        <f aca="false">IF(COUNT(Finance!K12)=1,Finance!K12,"")</f>
        <v/>
      </c>
      <c r="L21" s="29" t="n">
        <f aca="false">Finance!L12</f>
        <v>5.6901142910603</v>
      </c>
      <c r="M21" s="29" t="n">
        <f aca="false">Finance!M12</f>
        <v>4.770478229</v>
      </c>
      <c r="N21" s="29" t="str">
        <f aca="false">IF(COUNT(Finance!N12)=1,Finance!N12,"")</f>
        <v/>
      </c>
      <c r="O21" s="29" t="n">
        <f aca="false">Finance!O12</f>
        <v>5.40561711771043</v>
      </c>
      <c r="P21" s="29" t="n">
        <f aca="false">Finance!P12</f>
        <v>4.485922965</v>
      </c>
      <c r="Q21" s="29" t="str">
        <f aca="false">IF(COUNT(Finance!Q12)=1,Finance!Q12,"")</f>
        <v/>
      </c>
      <c r="R21" s="29" t="n">
        <f aca="false">Finance!R12</f>
        <v>5.13781390571939</v>
      </c>
      <c r="S21" s="29" t="n">
        <f aca="false">Finance!S12</f>
        <v>4.218212022</v>
      </c>
      <c r="T21" s="29" t="str">
        <f aca="false">IF(COUNT(Finance!T12)=1,Finance!T12,"")</f>
        <v/>
      </c>
      <c r="U21" s="29" t="n">
        <f aca="false">Finance!U12</f>
        <v>4.8871364349116</v>
      </c>
      <c r="V21" s="29" t="n">
        <f aca="false">Finance!V12</f>
        <v>3.967773674</v>
      </c>
      <c r="W21" s="29" t="str">
        <f aca="false">IF(COUNT(Finance!W12)=1,Finance!W12,"")</f>
        <v/>
      </c>
      <c r="X21" s="29" t="n">
        <f aca="false">Finance!X12</f>
        <v>4.65399695379418</v>
      </c>
      <c r="Y21" s="29" t="n">
        <f aca="false">Finance!Y12</f>
        <v>3.735026781</v>
      </c>
      <c r="Z21" s="29" t="str">
        <f aca="false">IF(COUNT(Finance!Z12)=1,Finance!Z12,"")</f>
        <v/>
      </c>
      <c r="AA21" s="29" t="n">
        <f aca="false">Finance!AA12</f>
        <v>4.4284067966483</v>
      </c>
      <c r="AB21" s="29" t="n">
        <f aca="false">Finance!AB12</f>
        <v>3.512108205</v>
      </c>
      <c r="AC21" s="29" t="str">
        <f aca="false">IF(COUNT(Finance!AC12)=1,Finance!AC12,"")</f>
        <v/>
      </c>
      <c r="AD21" s="29" t="n">
        <f aca="false">Finance!AD12</f>
        <v>4.27461536360208</v>
      </c>
      <c r="AE21" s="29" t="n">
        <f aca="false">Finance!AE12</f>
        <v>3.351082888</v>
      </c>
      <c r="AF21" s="29" t="str">
        <f aca="false">IF(COUNT(Finance!AF12)=1,Finance!AF12,"")</f>
        <v/>
      </c>
      <c r="AG21" s="29" t="n">
        <f aca="false">Finance!AG12</f>
        <v>4.08938026741073</v>
      </c>
      <c r="AH21" s="29" t="n">
        <f aca="false">Finance!AH12</f>
        <v>3.166616906</v>
      </c>
      <c r="AI21" s="29" t="str">
        <f aca="false">IF(COUNT(Finance!AI12)=1,Finance!AI12,"")</f>
        <v/>
      </c>
      <c r="AJ21" s="29" t="n">
        <f aca="false">Finance!AJ12</f>
        <v>3.91379796806945</v>
      </c>
      <c r="AK21" s="29" t="n">
        <f aca="false">Finance!AK12</f>
        <v>2.994179871</v>
      </c>
      <c r="AL21" s="29" t="str">
        <f aca="false">IF(COUNT(Finance!AL12)=1,Finance!AL12,"")</f>
        <v/>
      </c>
      <c r="AM21" s="29" t="n">
        <f aca="false">Finance!AM12</f>
        <v>3.79564624817413</v>
      </c>
      <c r="AN21" s="29" t="n">
        <f aca="false">Finance!AN12</f>
        <v>2.871718227</v>
      </c>
      <c r="AO21" s="29" t="str">
        <f aca="false">IF(COUNT(Finance!AO12)=1,Finance!AO12,"")</f>
        <v/>
      </c>
      <c r="AP21" s="29" t="n">
        <f aca="false">Finance!AP12</f>
        <v>3.67650371295535</v>
      </c>
      <c r="AQ21" s="29" t="n">
        <f aca="false">Finance!AQ12</f>
        <v>2.752524267</v>
      </c>
      <c r="AR21" s="29" t="str">
        <f aca="false">IF(COUNT(Finance!AR12)=1,Finance!AR12,"")</f>
        <v/>
      </c>
      <c r="AS21" s="29" t="n">
        <f aca="false">Finance!AS12</f>
        <v>3.6460337424804</v>
      </c>
      <c r="AT21" s="29" t="n">
        <f aca="false">Finance!AT12</f>
        <v>2.702184224</v>
      </c>
      <c r="AU21" s="29" t="str">
        <f aca="false">IF(COUNT(Finance!AU12)=1,Finance!AU12,"")</f>
        <v/>
      </c>
      <c r="AV21" s="29" t="n">
        <f aca="false">Finance!AV12</f>
        <v>3.57883545081975</v>
      </c>
      <c r="AW21" s="29" t="n">
        <f aca="false">Finance!AW12</f>
        <v>2.620652161</v>
      </c>
      <c r="AX21" s="29" t="str">
        <f aca="false">IF(COUNT(Finance!AX12)=1,Finance!AX12,"")</f>
        <v/>
      </c>
      <c r="AY21" s="29" t="n">
        <f aca="false">Finance!AY12</f>
        <v>3.41336060340219</v>
      </c>
      <c r="AZ21" s="29" t="n">
        <f aca="false">Finance!AZ12</f>
        <v>2.463886866</v>
      </c>
      <c r="BA21" s="29" t="str">
        <f aca="false">IF(COUNT(Finance!BA12)=1,Finance!BA12,"")</f>
        <v/>
      </c>
      <c r="BB21" s="29" t="n">
        <f aca="false">Finance!BB12</f>
        <v>3.33942937455875</v>
      </c>
      <c r="BC21" s="29" t="n">
        <f aca="false">Finance!BC12</f>
        <v>2.381113286</v>
      </c>
      <c r="BD21" s="29" t="str">
        <f aca="false">IF(COUNT(Finance!BD12)=1,Finance!BD12,"")</f>
        <v/>
      </c>
      <c r="BE21" s="29" t="n">
        <f aca="false">Finance!BE12</f>
        <v>3.27667130410601</v>
      </c>
      <c r="BF21" s="29" t="n">
        <f aca="false">Finance!BF12</f>
        <v>2.306352925</v>
      </c>
      <c r="BG21" s="29" t="str">
        <f aca="false">IF(COUNT(Finance!BG12)=1,Finance!BG12,"")</f>
        <v/>
      </c>
      <c r="BH21" s="29" t="n">
        <f aca="false">Finance!BH12</f>
        <v>3.1721241435335</v>
      </c>
      <c r="BI21" s="29" t="n">
        <f aca="false">Finance!BI12</f>
        <v>2.201423325</v>
      </c>
      <c r="BJ21" s="29" t="str">
        <f aca="false">IF(COUNT(Finance!BJ12)=1,Finance!BJ12,"")</f>
        <v/>
      </c>
      <c r="BK21" s="29" t="n">
        <f aca="false">Finance!BK12</f>
        <v>3.15909651551696</v>
      </c>
      <c r="BL21" s="29" t="n">
        <f aca="false">Finance!BL12</f>
        <v>2.164308346</v>
      </c>
      <c r="BM21" s="29" t="str">
        <f aca="false">IF(COUNT(Finance!BM12)=1,Finance!BM12,"")</f>
        <v/>
      </c>
      <c r="BN21" s="29" t="n">
        <f aca="false">Finance!BN12</f>
        <v>3.03434627650047</v>
      </c>
      <c r="BO21" s="29" t="n">
        <f aca="false">Finance!BO12</f>
        <v>2.04353455</v>
      </c>
      <c r="BP21" s="29" t="str">
        <f aca="false">IF(COUNT(Finance!BP12)=1,Finance!BP12,"")</f>
        <v/>
      </c>
      <c r="BQ21" s="29" t="n">
        <f aca="false">Finance!BQ12</f>
        <v>3.00538143594639</v>
      </c>
      <c r="BR21" s="29" t="n">
        <f aca="false">Finance!BR12</f>
        <v>1.99501652</v>
      </c>
      <c r="BS21" s="29" t="str">
        <f aca="false">IF(COUNT(Finance!BS12)=1,Finance!BS12,"")</f>
        <v/>
      </c>
      <c r="BT21" s="29" t="n">
        <f aca="false">Finance!BT12</f>
        <v>2.89380388986986</v>
      </c>
      <c r="BU21" s="29" t="n">
        <f aca="false">Finance!BU12</f>
        <v>1.886157992</v>
      </c>
      <c r="BV21" s="29" t="str">
        <f aca="false">IF(COUNT(Finance!BV12)=1,Finance!BV12,"")</f>
        <v/>
      </c>
      <c r="BW21" s="29" t="n">
        <f aca="false">Finance!BW12</f>
        <v>2.84371123942552</v>
      </c>
      <c r="BX21" s="29" t="n">
        <f aca="false">Finance!BX12</f>
        <v>1.824316168</v>
      </c>
      <c r="BY21" s="29" t="str">
        <f aca="false">IF(COUNT(Finance!BY12)=1,Finance!BY12,"")</f>
        <v/>
      </c>
      <c r="BZ21" s="29" t="n">
        <f aca="false">Finance!BZ12</f>
        <v>2.73021641024609</v>
      </c>
      <c r="CA21" s="29" t="n">
        <f aca="false">Finance!CA12</f>
        <v>1.720916638</v>
      </c>
      <c r="CB21" s="29" t="str">
        <f aca="false">IF(COUNT(Finance!CB12)=1,Finance!CB12,"")</f>
        <v/>
      </c>
      <c r="CC21" s="29" t="n">
        <f aca="false">Finance!CC12</f>
        <v>2.74854325305808</v>
      </c>
      <c r="CD21" s="29" t="n">
        <f aca="false">Finance!CD12</f>
        <v>1.707656013</v>
      </c>
      <c r="CE21" s="29" t="str">
        <f aca="false">IF(COUNT(Finance!CE12)=1,Finance!CE12,"")</f>
        <v/>
      </c>
      <c r="CF21" s="29" t="n">
        <f aca="false">Finance!CF12</f>
        <v>2.66176963719066</v>
      </c>
      <c r="CG21" s="29" t="n">
        <f aca="false">Finance!CG12</f>
        <v>1.616066969</v>
      </c>
      <c r="CH21" s="29" t="str">
        <f aca="false">IF(COUNT(Finance!CH12)=1,Finance!CH12,"")</f>
        <v/>
      </c>
      <c r="CI21" s="29" t="n">
        <f aca="false">Finance!CI12</f>
        <v>2.53779437840417</v>
      </c>
      <c r="CJ21" s="29" t="n">
        <f aca="false">Finance!CJ12</f>
        <v>1.500457901</v>
      </c>
      <c r="CK21" s="29" t="str">
        <f aca="false">IF(COUNT(Finance!CK12)=1,Finance!CK12,"")</f>
        <v/>
      </c>
      <c r="CL21" s="29" t="n">
        <f aca="false">Finance!CL12</f>
        <v>2.42331387545732</v>
      </c>
      <c r="CM21" s="29" t="n">
        <f aca="false">Finance!CM12</f>
        <v>1.396653555</v>
      </c>
      <c r="CN21" s="29" t="str">
        <f aca="false">IF(COUNT(Finance!CN12)=1,Finance!CN12,"")</f>
        <v/>
      </c>
      <c r="CO21" s="29" t="n">
        <f aca="false">Finance!CO12</f>
        <v>2.34629406386201</v>
      </c>
      <c r="CP21" s="29" t="n">
        <f aca="false">Finance!CP12</f>
        <v>1.323498321</v>
      </c>
      <c r="CQ21" s="29" t="str">
        <f aca="false">IF(COUNT(Finance!CQ12)=1,Finance!CQ12,"")</f>
        <v/>
      </c>
      <c r="CR21" s="29" t="n">
        <f aca="false">Finance!CR12</f>
        <v>2.28989814772176</v>
      </c>
      <c r="CS21" s="29" t="n">
        <f aca="false">Finance!CS12</f>
        <v>1.266209441</v>
      </c>
      <c r="CT21" s="29" t="str">
        <f aca="false">IF(COUNT(Finance!CT12)=1,Finance!CT12,"")</f>
        <v/>
      </c>
      <c r="CU21" s="29" t="n">
        <f aca="false">Finance!CU12</f>
        <v>2.20352816678331</v>
      </c>
      <c r="CV21" s="29" t="n">
        <f aca="false">Finance!CV12</f>
        <v>1.192765528</v>
      </c>
      <c r="CW21" s="29" t="str">
        <f aca="false">IF(COUNT(Finance!CW12)=1,Finance!CW12,"")</f>
        <v/>
      </c>
      <c r="CX21" s="29" t="n">
        <f aca="false">Finance!CX12</f>
        <v>2.17765162894079</v>
      </c>
      <c r="CY21" s="29" t="n">
        <f aca="false">Finance!CY12</f>
        <v>1.163022861</v>
      </c>
      <c r="CZ21" s="29" t="str">
        <f aca="false">IF(COUNT(Finance!CZ12)=1,Finance!CZ12,"")</f>
        <v/>
      </c>
      <c r="DA21" s="29" t="n">
        <f aca="false">Finance!DA12</f>
        <v>2.12020435714148</v>
      </c>
      <c r="DB21" s="29" t="n">
        <f aca="false">Finance!DB12</f>
        <v>1.128717756</v>
      </c>
      <c r="DC21" s="29" t="str">
        <f aca="false">IF(COUNT(Finance!DC12)=1,Finance!DC12,"")</f>
        <v/>
      </c>
      <c r="DD21" s="29" t="n">
        <f aca="false">Finance!DD12</f>
        <v>2.09114464337951</v>
      </c>
      <c r="DE21" s="29" t="n">
        <f aca="false">Finance!DE12</f>
        <v>1.079803294</v>
      </c>
      <c r="DF21" s="29" t="str">
        <f aca="false">IF(COUNT(Finance!DF12)=1,Finance!DF12,"")</f>
        <v/>
      </c>
      <c r="DG21" s="29" t="n">
        <f aca="false">Finance!DG12</f>
        <v>2.05244311739314</v>
      </c>
      <c r="DH21" s="29" t="n">
        <f aca="false">Finance!DH12</f>
        <v>1.051044108</v>
      </c>
      <c r="DI21" s="29" t="n">
        <f aca="false">IF(COUNT(Finance!DI12)=1,Finance!DI12,"")</f>
        <v>1.16857764589515</v>
      </c>
      <c r="DJ21" s="29" t="n">
        <f aca="false">Finance!DJ12</f>
        <v>1.16857764589515</v>
      </c>
      <c r="DK21" s="29" t="n">
        <f aca="false">Finance!DK12</f>
        <v>0.180706372</v>
      </c>
      <c r="DL21" s="29" t="n">
        <f aca="false">IF(COUNT(Finance!DL12)=1,Finance!DL12,"")</f>
        <v>1.14220912877642</v>
      </c>
      <c r="DM21" s="29" t="n">
        <f aca="false">Finance!DM12</f>
        <v>1.14220912877642</v>
      </c>
      <c r="DN21" s="29" t="n">
        <f aca="false">Finance!DN12</f>
        <v>0.2156699861</v>
      </c>
    </row>
    <row r="22" customFormat="false" ht="15.75" hidden="false" customHeight="true" outlineLevel="0" collapsed="false">
      <c r="A22" s="5" t="s">
        <v>121</v>
      </c>
      <c r="B22" s="30" t="str">
        <f aca="false">IF(OR(N(SUM(Marketing!AR28,Sales!AR24,Marketing!AO28,Sales!AO24,Marketing!AL28,Sales!AL24,Marketing!AI28,Sales!AI24,Marketing!AF28,Sales!AF24,Marketing!AC28,Sales!AC24,Marketing!Z28,Sales!Z24,Marketing!W28,Sales!W24,Marketing!T28,Sales!T24,Marketing!Q28,Sales!Q24,Marketing!N28,Sales!N24,Marketing!K28,Sales!K24))=0,N(B4)=0),"",B4*12/(SUM(Marketing!AR28,Sales!AR24,Marketing!AO28,Sales!AO24,Marketing!AL28,Sales!AL24,Marketing!AI28,Sales!AI24,Marketing!AF28,Sales!AF24,Marketing!AC28,Sales!AC24,Marketing!Z28,Sales!Z24,Marketing!W28,Sales!W24,Marketing!T28,Sales!T24,Marketing!Q28,Sales!Q24,Marketing!N28,Sales!N24,Marketing!K28,Sales!K24)))</f>
        <v/>
      </c>
      <c r="C22" s="30" t="n">
        <f aca="false">IF(OR(N(SUM(Marketing!AS28,Sales!AS24,Marketing!AP28,Sales!AP24,Marketing!AM28,Sales!AM24,Marketing!AJ28,Sales!AJ24,Marketing!AG28,Sales!AG24,Marketing!AD28,Sales!AD24,Marketing!AA28,Sales!AA24,Marketing!X28,Sales!X24,Marketing!U28,Sales!U24,Marketing!R28,Sales!R24,Marketing!O28,Sales!O24,Marketing!L28,Sales!L24))=0,N(C4)=0),"",C4*12/(SUM(Marketing!AS28,Sales!AS24,Marketing!AP28,Sales!AP24,Marketing!AM28,Sales!AM24,Marketing!AJ28,Sales!AJ24,Marketing!AG28,Sales!AG24,Marketing!AD28,Sales!AD24,Marketing!AA28,Sales!AA24,Marketing!X28,Sales!X24,Marketing!U28,Sales!U24,Marketing!R28,Sales!R24,Marketing!O28,Sales!O24,Marketing!L28,Sales!L24)))</f>
        <v>0.983460569853979</v>
      </c>
      <c r="D22" s="30" t="n">
        <f aca="false">IF(OR(N(SUM(Marketing!AT28,Sales!AT24,Marketing!AQ28,Sales!AQ24,Marketing!AN28,Sales!AN24,Marketing!AK28,Sales!AK24,Marketing!AH28,Sales!AH24,Marketing!AE28,Sales!AE24,Marketing!AB28,Sales!AB24,Marketing!Y28,Sales!Y24,Marketing!V28,Sales!V24,Marketing!S28,Sales!S24,Marketing!P28,Sales!P24,Marketing!M28,Sales!M24))=0,N(D4)=0),"",D4*12/(SUM(Marketing!AT28,Sales!AT24,Marketing!AQ28,Sales!AQ24,Marketing!AN28,Sales!AN24,Marketing!AK28,Sales!AK24,Marketing!AH28,Sales!AH24,Marketing!AE28,Sales!AE24,Marketing!AB28,Sales!AB24,Marketing!Y28,Sales!Y24,Marketing!V28,Sales!V24,Marketing!S28,Sales!S24,Marketing!P28,Sales!P24,Marketing!M28,Sales!M24)))</f>
        <v>0.985676292222385</v>
      </c>
      <c r="E22" s="30" t="str">
        <f aca="false">IF(OR(N(SUM(Marketing!CB28,Sales!CB24,Marketing!BY28,Sales!BY24,Marketing!BV28,Sales!BV24,Marketing!BS28,Sales!BS24,Marketing!BP28,Sales!BP24,Marketing!BM28,Sales!BM24,Marketing!BJ28,Sales!BJ24,Marketing!BG28,Sales!BG24,Marketing!BD28,Sales!BD24,Marketing!BA28,Sales!BA24,Marketing!AX28,Sales!AX24,Marketing!AU28,Sales!AU24))=0,N(E4)=0),"",E4*12/(SUM(Marketing!CB28,Sales!CB24,Marketing!BY28,Sales!BY24,Marketing!BV28,Sales!BV24,Marketing!BS28,Sales!BS24,Marketing!BP28,Sales!BP24,Marketing!BM28,Sales!BM24,Marketing!BJ28,Sales!BJ24,Marketing!BG28,Sales!BG24,Marketing!BD28,Sales!BD24,Marketing!BA28,Sales!BA24,Marketing!AX28,Sales!AX24,Marketing!AU28,Sales!AU24)))</f>
        <v/>
      </c>
      <c r="F22" s="30" t="n">
        <f aca="false">IF(OR(N(SUM(Marketing!CC28,Sales!CC24,Marketing!BZ28,Sales!BZ24,Marketing!BW28,Sales!BW24,Marketing!BT28,Sales!BT24,Marketing!BQ28,Sales!BQ24,Marketing!BN28,Sales!BN24,Marketing!BK28,Sales!BK24,Marketing!BH28,Sales!BH24,Marketing!BE28,Sales!BE24,Marketing!BB28,Sales!BB24,Marketing!AY28,Sales!AY24,Marketing!AV28,Sales!AV24))=0,N(F4)=0),"",F4*12/(SUM(Marketing!CC28,Sales!CC24,Marketing!BZ28,Sales!BZ24,Marketing!BW28,Sales!BW24,Marketing!BT28,Sales!BT24,Marketing!BQ28,Sales!BQ24,Marketing!BN28,Sales!BN24,Marketing!BK28,Sales!BK24,Marketing!BH28,Sales!BH24,Marketing!BE28,Sales!BE24,Marketing!BB28,Sales!BB24,Marketing!AY28,Sales!AY24,Marketing!AV28,Sales!AV24)))</f>
        <v>0.833897490712468</v>
      </c>
      <c r="G22" s="30" t="n">
        <f aca="false">IF(OR(N(SUM(Marketing!CD28,Sales!CD24,Marketing!CA28,Sales!CA24,Marketing!BX28,Sales!BX24,Marketing!BU28,Sales!BU24,Marketing!BR28,Sales!BR24,Marketing!BO28,Sales!BO24,Marketing!BL28,Sales!BL24,Marketing!BI28,Sales!BI24,Marketing!BF28,Sales!BF24,Marketing!BC28,Sales!BC24,Marketing!AZ28,Sales!AZ24,Marketing!AW28,Sales!AW24))=0,N(G4)=0),"",G4*12/(SUM(Marketing!CD28,Sales!CD24,Marketing!CA28,Sales!CA24,Marketing!BX28,Sales!BX24,Marketing!BU28,Sales!BU24,Marketing!BR28,Sales!BR24,Marketing!BO28,Sales!BO24,Marketing!BL28,Sales!BL24,Marketing!BI28,Sales!BI24,Marketing!BF28,Sales!BF24,Marketing!BC28,Sales!BC24,Marketing!AZ28,Sales!AZ24,Marketing!AW28,Sales!AW24)))</f>
        <v>0.835890436714216</v>
      </c>
      <c r="H22" s="30" t="n">
        <f aca="false">IF(OR(N(SUM(Marketing!DL28,Sales!DL24,Marketing!DI28,Sales!DI24,Marketing!DF28,Sales!DF24,Marketing!DC28,Sales!DC24,Marketing!CZ28,Sales!CZ24,Marketing!CW28,Sales!CW24,Marketing!CT28,Sales!CT24,Marketing!CQ28,Sales!CQ24,Marketing!CN28,Sales!CN24,Marketing!CK28,Sales!CK24,Marketing!CH28,Sales!CH24,Marketing!CE28,Sales!CE24))=0,N(H4)=0),"",H4*12/(SUM(Marketing!DL28,Sales!DL24,Marketing!DI28,Sales!DI24,Marketing!DF28,Sales!DF24,Marketing!DC28,Sales!DC24,Marketing!CZ28,Sales!CZ24,Marketing!CW28,Sales!CW24,Marketing!CT28,Sales!CT24,Marketing!CQ28,Sales!CQ24,Marketing!CN28,Sales!CN24,Marketing!CK28,Sales!CK24,Marketing!CH28,Sales!CH24,Marketing!CE28,Sales!CE24)))</f>
        <v>0.598404255319149</v>
      </c>
      <c r="I22" s="30" t="n">
        <f aca="false">IF(OR(N(SUM(Marketing!DM28,Sales!DM24,Marketing!DJ28,Sales!DJ24,Marketing!DG28,Sales!DG24,Marketing!DD28,Sales!DD24,Marketing!DA28,Sales!DA24,Marketing!CX28,Sales!CX24,Marketing!CU28,Sales!CU24,Marketing!CR28,Sales!CR24,Marketing!CO28,Sales!CO24,Marketing!CL28,Sales!CL24,Marketing!CI28,Sales!CI24,Marketing!CF28,Sales!CF24))=0,N(I4)=0),"",I4*12/(SUM(Marketing!DM28,Sales!DM24,Marketing!DJ28,Sales!DJ24,Marketing!DG28,Sales!DG24,Marketing!DD28,Sales!DD24,Marketing!DA28,Sales!DA24,Marketing!CX28,Sales!CX24,Marketing!CU28,Sales!CU24,Marketing!CR28,Sales!CR24,Marketing!CO28,Sales!CO24,Marketing!CL28,Sales!CL24,Marketing!CI28,Sales!CI24,Marketing!CF28,Sales!CF24)))</f>
        <v>0.795389548943329</v>
      </c>
      <c r="J22" s="30" t="n">
        <f aca="false">IF(OR(N(SUM(Marketing!DN28,Sales!DN24,Marketing!DK28,Sales!DK24,Marketing!DH28,Sales!DH24,Marketing!DE28,Sales!DE24,Marketing!DB28,Sales!DB24,Marketing!CY28,Sales!CY24,Marketing!CV28,Sales!CV24,Marketing!CS28,Sales!CS24,Marketing!CP28,Sales!CP24,Marketing!CM28,Sales!CM24,Marketing!CJ28,Sales!CJ24,Marketing!CG28,Sales!CG24))=0,N(J4)=0),"",J4*12/(SUM(Marketing!DN28,Sales!DN24,Marketing!DK28,Sales!DK24,Marketing!DH28,Sales!DH24,Marketing!DE28,Sales!DE24,Marketing!DB28,Sales!DB24,Marketing!CY28,Sales!CY24,Marketing!CV28,Sales!CV24,Marketing!CS28,Sales!CS24,Marketing!CP28,Sales!CP24,Marketing!CM28,Sales!CM24,Marketing!CJ28,Sales!CJ24,Marketing!CG28,Sales!CG24)))</f>
        <v>0.728665052376691</v>
      </c>
      <c r="K22" s="30" t="str">
        <f aca="false">IF(COUNT(K4,Marketing!N28,Sales!N24)=3,IF(N(SUM(Marketing!N28,Sales!N24))=0,"",K4*12/(SUM(Marketing!N28,Sales!N24))),"")</f>
        <v/>
      </c>
      <c r="L22" s="30" t="n">
        <f aca="false">IF(N(SUM(Marketing!O28,Sales!O24))=0,"",L4*12/(SUM(Marketing!O28,Sales!O24)))</f>
        <v>1.03403241812769</v>
      </c>
      <c r="M22" s="30" t="n">
        <f aca="false">IF(N(SUM(Marketing!P28,Sales!P24))=0,"",M4*12/(SUM(Marketing!P28,Sales!P24)))</f>
        <v>1.0362950711214</v>
      </c>
      <c r="N22" s="30" t="str">
        <f aca="false">IF(COUNT(N4,Marketing!Q28,Sales!Q24)=3,IF(N(SUM(Marketing!Q28,Sales!Q24))=0,"",N4*12/(SUM(Marketing!Q28,Sales!Q24))),"")</f>
        <v/>
      </c>
      <c r="O22" s="30" t="n">
        <f aca="false">IF(N(SUM(Marketing!R28,Sales!R24))=0,"",O4*12/(SUM(Marketing!R28,Sales!R24)))</f>
        <v>1.0283757856434</v>
      </c>
      <c r="P22" s="30" t="n">
        <f aca="false">IF(N(SUM(Marketing!S28,Sales!S24))=0,"",P4*12/(SUM(Marketing!S28,Sales!S24)))</f>
        <v>1.03063843863712</v>
      </c>
      <c r="Q22" s="30" t="str">
        <f aca="false">IF(COUNT(Q4,Marketing!T28,Sales!T24)=3,IF(N(SUM(Marketing!T28,Sales!T24))=0,"",Q4*12/(SUM(Marketing!T28,Sales!T24))),"")</f>
        <v/>
      </c>
      <c r="R22" s="30" t="n">
        <f aca="false">IF(N(SUM(Marketing!U28,Sales!U24))=0,"",R4*12/(SUM(Marketing!U28,Sales!U24)))</f>
        <v>1.02271915315911</v>
      </c>
      <c r="S22" s="30" t="n">
        <f aca="false">IF(N(SUM(Marketing!V28,Sales!V24))=0,"",S4*12/(SUM(Marketing!V28,Sales!V24)))</f>
        <v>1.02498180615283</v>
      </c>
      <c r="T22" s="30" t="str">
        <f aca="false">IF(COUNT(T4,Marketing!W28,Sales!W24)=3,IF(N(SUM(Marketing!W28,Sales!W24))=0,"",T4*12/(SUM(Marketing!W28,Sales!W24))),"")</f>
        <v/>
      </c>
      <c r="U22" s="30" t="n">
        <f aca="false">IF(N(SUM(Marketing!X28,Sales!X24))=0,"",U4*12/(SUM(Marketing!X28,Sales!X24)))</f>
        <v>1.01706252067483</v>
      </c>
      <c r="V22" s="30" t="n">
        <f aca="false">IF(N(SUM(Marketing!Y28,Sales!Y24))=0,"",V4*12/(SUM(Marketing!Y28,Sales!Y24)))</f>
        <v>1.01932517366854</v>
      </c>
      <c r="W22" s="30" t="str">
        <f aca="false">IF(COUNT(W4,Marketing!Z28,Sales!Z24)=3,IF(N(SUM(Marketing!Z28,Sales!Z24))=0,"",W4*12/(SUM(Marketing!Z28,Sales!Z24))),"")</f>
        <v/>
      </c>
      <c r="X22" s="30" t="n">
        <f aca="false">IF(N(SUM(Marketing!AA28,Sales!AA24))=0,"",X4*12/(SUM(Marketing!AA28,Sales!AA24)))</f>
        <v>1.01140588819054</v>
      </c>
      <c r="Y22" s="30" t="n">
        <f aca="false">IF(N(SUM(Marketing!AB28,Sales!AB24))=0,"",Y4*12/(SUM(Marketing!AB28,Sales!AB24)))</f>
        <v>1.01366854118425</v>
      </c>
      <c r="Z22" s="30" t="str">
        <f aca="false">IF(COUNT(Z4,Marketing!AC28,Sales!AC24)=3,IF(N(SUM(Marketing!AC28,Sales!AC24))=0,"",Z4*12/(SUM(Marketing!AC28,Sales!AC24))),"")</f>
        <v/>
      </c>
      <c r="AA22" s="30" t="n">
        <f aca="false">IF(N(SUM(Marketing!AD28,Sales!AD24))=0,"",AA4*12/(SUM(Marketing!AD28,Sales!AD24)))</f>
        <v>1.03070716658757</v>
      </c>
      <c r="AB22" s="30" t="n">
        <f aca="false">IF(N(SUM(Marketing!AE28,Sales!AE24))=0,"",AB4*12/(SUM(Marketing!AE28,Sales!AE24)))</f>
        <v>1.03302596786223</v>
      </c>
      <c r="AC22" s="30" t="str">
        <f aca="false">IF(COUNT(AC4,Marketing!AF28,Sales!AF24)=3,IF(N(SUM(Marketing!AF28,Sales!AF24))=0,"",AC4*12/(SUM(Marketing!AF28,Sales!AF24))),"")</f>
        <v/>
      </c>
      <c r="AD22" s="30" t="n">
        <f aca="false">IF(N(SUM(Marketing!AG28,Sales!AG24))=0,"",AD4*12/(SUM(Marketing!AG28,Sales!AG24)))</f>
        <v>1.02491016340091</v>
      </c>
      <c r="AE22" s="30" t="n">
        <f aca="false">IF(N(SUM(Marketing!AH28,Sales!AH24))=0,"",AE4*12/(SUM(Marketing!AH28,Sales!AH24)))</f>
        <v>1.02722896467557</v>
      </c>
      <c r="AF22" s="30" t="str">
        <f aca="false">IF(COUNT(AF4,Marketing!AI28,Sales!AI24)=3,IF(N(SUM(Marketing!AI28,Sales!AI24))=0,"",AF4*12/(SUM(Marketing!AI28,Sales!AI24))),"")</f>
        <v/>
      </c>
      <c r="AG22" s="30" t="n">
        <f aca="false">IF(N(SUM(Marketing!AJ28,Sales!AJ24))=0,"",AG4*12/(SUM(Marketing!AJ28,Sales!AJ24)))</f>
        <v>1.01911316021425</v>
      </c>
      <c r="AH22" s="30" t="n">
        <f aca="false">IF(N(SUM(Marketing!AK28,Sales!AK24))=0,"",AH4*12/(SUM(Marketing!AK28,Sales!AK24)))</f>
        <v>1.02143196148891</v>
      </c>
      <c r="AI22" s="30" t="str">
        <f aca="false">IF(COUNT(AI4,Marketing!AL28,Sales!AL24)=3,IF(N(SUM(Marketing!AL28,Sales!AL24))=0,"",AI4*12/(SUM(Marketing!AL28,Sales!AL24))),"")</f>
        <v/>
      </c>
      <c r="AJ22" s="30" t="n">
        <f aca="false">IF(N(SUM(Marketing!AM28,Sales!AM24))=0,"",AJ4*12/(SUM(Marketing!AM28,Sales!AM24)))</f>
        <v>1.03910171730515</v>
      </c>
      <c r="AK22" s="30" t="n">
        <f aca="false">IF(N(SUM(Marketing!AN28,Sales!AN24))=0,"",AK4*12/(SUM(Marketing!AN28,Sales!AN24)))</f>
        <v>1.04147952443857</v>
      </c>
      <c r="AL22" s="30" t="str">
        <f aca="false">IF(COUNT(AL4,Marketing!AO28,Sales!AO24)=3,IF(N(SUM(Marketing!AO28,Sales!AO24))=0,"",AL4*12/(SUM(Marketing!AO28,Sales!AO24))),"")</f>
        <v/>
      </c>
      <c r="AM22" s="30" t="n">
        <f aca="false">IF(N(SUM(Marketing!AP28,Sales!AP24))=0,"",AM4*12/(SUM(Marketing!AP28,Sales!AP24)))</f>
        <v>1.05098663271801</v>
      </c>
      <c r="AN22" s="30" t="n">
        <f aca="false">IF(N(SUM(Marketing!AQ28,Sales!AQ24))=0,"",AN4*12/(SUM(Marketing!AQ28,Sales!AQ24)))</f>
        <v>1.05340547422024</v>
      </c>
      <c r="AO22" s="30" t="str">
        <f aca="false">IF(COUNT(AO4,Marketing!AR28,Sales!AR24)=3,IF(N(SUM(Marketing!AR28,Sales!AR24))=0,"",AO4*12/(SUM(Marketing!AR28,Sales!AR24))),"")</f>
        <v/>
      </c>
      <c r="AP22" s="30" t="n">
        <f aca="false">IF(N(SUM(Marketing!AS28,Sales!AS24))=0,"",AP4*12/(SUM(Marketing!AS28,Sales!AS24)))</f>
        <v>0.798181684874258</v>
      </c>
      <c r="AQ22" s="30" t="n">
        <f aca="false">IF(N(SUM(Marketing!AT28,Sales!AT24))=0,"",AQ4*12/(SUM(Marketing!AT28,Sales!AT24)))</f>
        <v>0.800029327663319</v>
      </c>
      <c r="AR22" s="30" t="str">
        <f aca="false">IF(COUNT(AR4,Marketing!AU28,Sales!AU24)=3,IF(N(SUM(Marketing!AU28,Sales!AU24))=0,"",AR4*12/(SUM(Marketing!AU28,Sales!AU24))),"")</f>
        <v/>
      </c>
      <c r="AS22" s="30" t="n">
        <f aca="false">IF(N(SUM(Marketing!AV28,Sales!AV24))=0,"",AS4*12/(SUM(Marketing!AV28,Sales!AV24)))</f>
        <v>0.816394183681157</v>
      </c>
      <c r="AT22" s="30" t="n">
        <f aca="false">IF(N(SUM(Marketing!AW28,Sales!AW24))=0,"",AT4*12/(SUM(Marketing!AW28,Sales!AW24)))</f>
        <v>0.818292774805997</v>
      </c>
      <c r="AU22" s="30" t="str">
        <f aca="false">IF(COUNT(AU4,Marketing!AX28,Sales!AX24)=3,IF(N(SUM(Marketing!AX28,Sales!AX24))=0,"",AU4*12/(SUM(Marketing!AX28,Sales!AX24))),"")</f>
        <v/>
      </c>
      <c r="AV22" s="30" t="n">
        <f aca="false">IF(N(SUM(Marketing!AY28,Sales!AY24))=0,"",AV4*12/(SUM(Marketing!AY28,Sales!AY24)))</f>
        <v>0.812597001431477</v>
      </c>
      <c r="AW22" s="30" t="n">
        <f aca="false">IF(N(SUM(Marketing!AZ28,Sales!AZ24))=0,"",AW4*12/(SUM(Marketing!AZ28,Sales!AZ24)))</f>
        <v>0.814495592556317</v>
      </c>
      <c r="AX22" s="30" t="str">
        <f aca="false">IF(COUNT(AX4,Marketing!BA28,Sales!BA24)=3,IF(N(SUM(Marketing!BA28,Sales!BA24))=0,"",AX4*12/(SUM(Marketing!BA28,Sales!BA24))),"")</f>
        <v/>
      </c>
      <c r="AY22" s="30" t="n">
        <f aca="false">IF(N(SUM(Marketing!BB28,Sales!BB24))=0,"",AY4*12/(SUM(Marketing!BB28,Sales!BB24)))</f>
        <v>0.823946580704582</v>
      </c>
      <c r="AZ22" s="30" t="n">
        <f aca="false">IF(N(SUM(Marketing!BC28,Sales!BC24))=0,"",AZ4*12/(SUM(Marketing!BC28,Sales!BC24)))</f>
        <v>0.825880727607645</v>
      </c>
      <c r="BA22" s="30" t="str">
        <f aca="false">IF(COUNT(BA4,Marketing!BD28,Sales!BD24)=3,IF(N(SUM(Marketing!BD28,Sales!BD24))=0,"",BA4*12/(SUM(Marketing!BD28,Sales!BD24))),"")</f>
        <v/>
      </c>
      <c r="BB22" s="30" t="n">
        <f aca="false">IF(N(SUM(Marketing!BE28,Sales!BE24))=0,"",BB4*12/(SUM(Marketing!BE28,Sales!BE24)))</f>
        <v>0.868894852403025</v>
      </c>
      <c r="BC22" s="30" t="n">
        <f aca="false">IF(N(SUM(Marketing!BF28,Sales!BF24))=0,"",BC4*12/(SUM(Marketing!BF28,Sales!BF24)))</f>
        <v>0.870944132715296</v>
      </c>
      <c r="BD22" s="30" t="str">
        <f aca="false">IF(COUNT(BD4,Marketing!BG28,Sales!BG24)=3,IF(N(SUM(Marketing!BG28,Sales!BG24))=0,"",BD4*12/(SUM(Marketing!BG28,Sales!BG24))),"")</f>
        <v/>
      </c>
      <c r="BE22" s="30" t="n">
        <f aca="false">IF(N(SUM(Marketing!BH28,Sales!BH24))=0,"",BE4*12/(SUM(Marketing!BH28,Sales!BH24)))</f>
        <v>0.864796291778483</v>
      </c>
      <c r="BF22" s="30" t="n">
        <f aca="false">IF(N(SUM(Marketing!BI28,Sales!BI24))=0,"",BF4*12/(SUM(Marketing!BI28,Sales!BI24)))</f>
        <v>0.866845572090754</v>
      </c>
      <c r="BG22" s="30" t="str">
        <f aca="false">IF(COUNT(BG4,Marketing!BJ28,Sales!BJ24)=3,IF(N(SUM(Marketing!BJ28,Sales!BJ24))=0,"",BG4*12/(SUM(Marketing!BJ28,Sales!BJ24))),"")</f>
        <v/>
      </c>
      <c r="BH22" s="30" t="n">
        <f aca="false">IF(N(SUM(Marketing!BK28,Sales!BK24))=0,"",BH4*12/(SUM(Marketing!BK28,Sales!BK24)))</f>
        <v>0.88937439603378</v>
      </c>
      <c r="BI22" s="30" t="n">
        <f aca="false">IF(N(SUM(Marketing!BL28,Sales!BL24))=0,"",BI4*12/(SUM(Marketing!BL28,Sales!BL24)))</f>
        <v>0.891491954119575</v>
      </c>
      <c r="BJ22" s="30" t="str">
        <f aca="false">IF(COUNT(BJ4,Marketing!BM28,Sales!BM24)=3,IF(N(SUM(Marketing!BM28,Sales!BM24))=0,"",BJ4*12/(SUM(Marketing!BM28,Sales!BM24))),"")</f>
        <v/>
      </c>
      <c r="BK22" s="30" t="n">
        <f aca="false">IF(N(SUM(Marketing!BN28,Sales!BN24))=0,"",BK4*12/(SUM(Marketing!BN28,Sales!BN24)))</f>
        <v>0.903667481662592</v>
      </c>
      <c r="BL22" s="30" t="n">
        <f aca="false">IF(N(SUM(Marketing!BO28,Sales!BO24))=0,"",BL4*12/(SUM(Marketing!BO28,Sales!BO24)))</f>
        <v>0.905829365590014</v>
      </c>
      <c r="BM22" s="30" t="str">
        <f aca="false">IF(COUNT(BM4,Marketing!BP28,Sales!BP24)=3,IF(N(SUM(Marketing!BP28,Sales!BP24))=0,"",BM4*12/(SUM(Marketing!BP28,Sales!BP24))),"")</f>
        <v/>
      </c>
      <c r="BN22" s="30" t="n">
        <f aca="false">IF(N(SUM(Marketing!BQ28,Sales!BQ24))=0,"",BN4*12/(SUM(Marketing!BQ28,Sales!BQ24)))</f>
        <v>0.900424655771458</v>
      </c>
      <c r="BO22" s="30" t="n">
        <f aca="false">IF(N(SUM(Marketing!BR28,Sales!BR24))=0,"",BO4*12/(SUM(Marketing!BR28,Sales!BR24)))</f>
        <v>0.902586539698881</v>
      </c>
      <c r="BP22" s="30" t="str">
        <f aca="false">IF(COUNT(BP4,Marketing!BS28,Sales!BS24)=3,IF(N(SUM(Marketing!BS28,Sales!BS24))=0,"",BP4*12/(SUM(Marketing!BS28,Sales!BS24))),"")</f>
        <v/>
      </c>
      <c r="BQ22" s="30" t="n">
        <f aca="false">IF(N(SUM(Marketing!BT28,Sales!BT24))=0,"",BQ4*12/(SUM(Marketing!BT28,Sales!BT24)))</f>
        <v>0.897181829880324</v>
      </c>
      <c r="BR22" s="30" t="n">
        <f aca="false">IF(N(SUM(Marketing!BU28,Sales!BU24))=0,"",BR4*12/(SUM(Marketing!BU28,Sales!BU24)))</f>
        <v>0.899343713807747</v>
      </c>
      <c r="BS22" s="30" t="str">
        <f aca="false">IF(COUNT(BS4,Marketing!BV28,Sales!BV24)=3,IF(N(SUM(Marketing!BV28,Sales!BV24))=0,"",BS4*12/(SUM(Marketing!BV28,Sales!BV24))),"")</f>
        <v/>
      </c>
      <c r="BT22" s="30" t="n">
        <f aca="false">IF(N(SUM(Marketing!BW28,Sales!BW24))=0,"",BT4*12/(SUM(Marketing!BW28,Sales!BW24)))</f>
        <v>0.922917497010761</v>
      </c>
      <c r="BU22" s="30" t="n">
        <f aca="false">IF(N(SUM(Marketing!BX28,Sales!BX24))=0,"",BU4*12/(SUM(Marketing!BX28,Sales!BX24)))</f>
        <v>0.925149461937027</v>
      </c>
      <c r="BV22" s="30" t="str">
        <f aca="false">IF(COUNT(BV4,Marketing!BY28,Sales!BY24)=3,IF(N(SUM(Marketing!BY28,Sales!BY24))=0,"",BV4*12/(SUM(Marketing!BY28,Sales!BY24))),"")</f>
        <v/>
      </c>
      <c r="BW22" s="30" t="n">
        <f aca="false">IF(N(SUM(Marketing!BZ28,Sales!BZ24))=0,"",BW4*12/(SUM(Marketing!BZ28,Sales!BZ24)))</f>
        <v>0.939881410401485</v>
      </c>
      <c r="BX22" s="30" t="n">
        <f aca="false">IF(N(SUM(Marketing!CA28,Sales!CA24))=0,"",BX4*12/(SUM(Marketing!CA28,Sales!CA24)))</f>
        <v>0.942162675960712</v>
      </c>
      <c r="BY22" s="30" t="str">
        <f aca="false">IF(COUNT(BY4,Marketing!CB28,Sales!CB24)=3,IF(N(SUM(Marketing!CB28,Sales!CB24))=0,"",BY4*12/(SUM(Marketing!CB28,Sales!CB24))),"")</f>
        <v/>
      </c>
      <c r="BZ22" s="30" t="n">
        <f aca="false">IF(N(SUM(Marketing!CC28,Sales!CC24))=0,"",BZ4*12/(SUM(Marketing!CC28,Sales!CC24)))</f>
        <v>0.686975221152436</v>
      </c>
      <c r="CA22" s="30" t="n">
        <f aca="false">IF(N(SUM(Marketing!CD28,Sales!CD24))=0,"",CA4*12/(SUM(Marketing!CD28,Sales!CD24)))</f>
        <v>0.688646693709985</v>
      </c>
      <c r="CB22" s="30" t="str">
        <f aca="false">IF(COUNT(CB4,Marketing!CE28,Sales!CE24)=3,IF(N(SUM(Marketing!CE28,Sales!CE24))=0,"",CB4*12/(SUM(Marketing!CE28,Sales!CE24))),"")</f>
        <v/>
      </c>
      <c r="CC22" s="30" t="n">
        <f aca="false">IF(N(SUM(Marketing!CF28,Sales!CF24))=0,"",CC4*12/(SUM(Marketing!CF28,Sales!CF24)))</f>
        <v>0.710730396877693</v>
      </c>
      <c r="CD22" s="30" t="n">
        <f aca="false">IF(N(SUM(Marketing!CG28,Sales!CG24))=0,"",CD4*12/(SUM(Marketing!CG28,Sales!CG24)))</f>
        <v>0.712463885650565</v>
      </c>
      <c r="CE22" s="30" t="str">
        <f aca="false">IF(COUNT(CE4,Marketing!CH28,Sales!CH24)=3,IF(N(SUM(Marketing!CH28,Sales!CH24))=0,"",CE4*12/(SUM(Marketing!CH28,Sales!CH24))),"")</f>
        <v/>
      </c>
      <c r="CF22" s="30" t="n">
        <f aca="false">IF(N(SUM(Marketing!CI28,Sales!CI24))=0,"",CF4*12/(SUM(Marketing!CI28,Sales!CI24)))</f>
        <v>0.70899690810482</v>
      </c>
      <c r="CG22" s="30" t="n">
        <f aca="false">IF(N(SUM(Marketing!CJ28,Sales!CJ24))=0,"",CG4*12/(SUM(Marketing!CJ28,Sales!CJ24)))</f>
        <v>0.710730396877693</v>
      </c>
      <c r="CH22" s="30" t="str">
        <f aca="false">IF(COUNT(CH4,Marketing!CK28,Sales!CK24)=3,IF(N(SUM(Marketing!CK28,Sales!CK24))=0,"",CH4*12/(SUM(Marketing!CK28,Sales!CK24))),"")</f>
        <v/>
      </c>
      <c r="CI22" s="30" t="n">
        <f aca="false">IF(N(SUM(Marketing!CL28,Sales!CL24))=0,"",CI4*12/(SUM(Marketing!CL28,Sales!CL24)))</f>
        <v>0.707263419331948</v>
      </c>
      <c r="CJ22" s="30" t="n">
        <f aca="false">IF(N(SUM(Marketing!CM28,Sales!CM24))=0,"",CJ4*12/(SUM(Marketing!CM28,Sales!CM24)))</f>
        <v>0.70899690810482</v>
      </c>
      <c r="CK22" s="30" t="str">
        <f aca="false">IF(COUNT(CK4,Marketing!CN28,Sales!CN24)=3,IF(N(SUM(Marketing!CN28,Sales!CN24))=0,"",CK4*12/(SUM(Marketing!CN28,Sales!CN24))),"")</f>
        <v/>
      </c>
      <c r="CL22" s="30" t="n">
        <f aca="false">IF(N(SUM(Marketing!CO28,Sales!CO24))=0,"",CL4*12/(SUM(Marketing!CO28,Sales!CO24)))</f>
        <v>0.705529930559075</v>
      </c>
      <c r="CM22" s="30" t="n">
        <f aca="false">IF(N(SUM(Marketing!CP28,Sales!CP24))=0,"",CM4*12/(SUM(Marketing!CP28,Sales!CP24)))</f>
        <v>0.707263419331948</v>
      </c>
      <c r="CN22" s="30" t="str">
        <f aca="false">IF(COUNT(CN4,Marketing!CQ28,Sales!CQ24)=3,IF(N(SUM(Marketing!CQ28,Sales!CQ24))=0,"",CN4*12/(SUM(Marketing!CQ28,Sales!CQ24))),"")</f>
        <v/>
      </c>
      <c r="CO22" s="30" t="n">
        <f aca="false">IF(N(SUM(Marketing!CR28,Sales!CR24))=0,"",CO4*12/(SUM(Marketing!CR28,Sales!CR24)))</f>
        <v>0.723941605839416</v>
      </c>
      <c r="CP22" s="30" t="n">
        <f aca="false">IF(N(SUM(Marketing!CS28,Sales!CS24))=0,"",CP4*12/(SUM(Marketing!CS28,Sales!CS24)))</f>
        <v>0.725724713242961</v>
      </c>
      <c r="CQ22" s="30" t="str">
        <f aca="false">IF(COUNT(CQ4,Marketing!CT28,Sales!CT24)=3,IF(N(SUM(Marketing!CT28,Sales!CT24))=0,"",CQ4*12/(SUM(Marketing!CT28,Sales!CT24))),"")</f>
        <v/>
      </c>
      <c r="CR22" s="30" t="n">
        <f aca="false">IF(N(SUM(Marketing!CU28,Sales!CU24))=0,"",CR4*12/(SUM(Marketing!CU28,Sales!CU24)))</f>
        <v>0.722158498435871</v>
      </c>
      <c r="CS22" s="30" t="n">
        <f aca="false">IF(N(SUM(Marketing!CV28,Sales!CV24))=0,"",CS4*12/(SUM(Marketing!CV28,Sales!CV24)))</f>
        <v>0.723941605839416</v>
      </c>
      <c r="CT22" s="30" t="str">
        <f aca="false">IF(COUNT(CT4,Marketing!CW28,Sales!CW24)=3,IF(N(SUM(Marketing!CW28,Sales!CW24))=0,"",CT4*12/(SUM(Marketing!CW28,Sales!CW24))),"")</f>
        <v/>
      </c>
      <c r="CU22" s="30" t="n">
        <f aca="false">IF(N(SUM(Marketing!CX28,Sales!CX24))=0,"",CU4*12/(SUM(Marketing!CX28,Sales!CX24)))</f>
        <v>0.748959236773634</v>
      </c>
      <c r="CV22" s="30" t="n">
        <f aca="false">IF(N(SUM(Marketing!CY28,Sales!CY24))=0,"",CV4*12/(SUM(Marketing!CY28,Sales!CY24)))</f>
        <v>0.750813096270598</v>
      </c>
      <c r="CW22" s="30" t="str">
        <f aca="false">IF(COUNT(CW4,Marketing!CZ28,Sales!CZ24)=3,IF(N(SUM(Marketing!CZ28,Sales!CZ24))=0,"",CW4*12/(SUM(Marketing!CZ28,Sales!CZ24))),"")</f>
        <v/>
      </c>
      <c r="CX22" s="30" t="n">
        <f aca="false">IF(N(SUM(Marketing!DA28,Sales!DA24))=0,"",CX4*12/(SUM(Marketing!DA28,Sales!DA24)))</f>
        <v>0.74710537727667</v>
      </c>
      <c r="CY22" s="30" t="n">
        <f aca="false">IF(N(SUM(Marketing!DB28,Sales!DB24))=0,"",CY4*12/(SUM(Marketing!DB28,Sales!DB24)))</f>
        <v>0.748959236773634</v>
      </c>
      <c r="CZ22" s="30" t="str">
        <f aca="false">IF(COUNT(CZ4,Marketing!DC28,Sales!DC24)=3,IF(N(SUM(Marketing!DC28,Sales!DC24))=0,"",CZ4*12/(SUM(Marketing!DC28,Sales!DC24))),"")</f>
        <v/>
      </c>
      <c r="DA22" s="30" t="n">
        <f aca="false">IF(N(SUM(Marketing!DD28,Sales!DD24))=0,"",DA4*12/(SUM(Marketing!DD28,Sales!DD24)))</f>
        <v>0.745251517779705</v>
      </c>
      <c r="DB22" s="30" t="n">
        <f aca="false">IF(N(SUM(Marketing!DE28,Sales!DE24))=0,"",DB4*12/(SUM(Marketing!DE28,Sales!DE24)))</f>
        <v>0.74710537727667</v>
      </c>
      <c r="DC22" s="30" t="str">
        <f aca="false">IF(COUNT(DC4,Marketing!DF28,Sales!DF24)=3,IF(N(SUM(Marketing!DF28,Sales!DF24))=0,"",DC4*12/(SUM(Marketing!DF28,Sales!DF24))),"")</f>
        <v/>
      </c>
      <c r="DD22" s="30" t="n">
        <f aca="false">IF(N(SUM(Marketing!DG28,Sales!DG24))=0,"",DD4*12/(SUM(Marketing!DG28,Sales!DG24)))</f>
        <v>1.10773480662983</v>
      </c>
      <c r="DE22" s="30" t="n">
        <f aca="false">IF(N(SUM(Marketing!DH28,Sales!DH24))=0,"",DE4*12/(SUM(Marketing!DH28,Sales!DH24)))</f>
        <v>1.3513269117358</v>
      </c>
      <c r="DF22" s="30" t="str">
        <f aca="false">IF(COUNT(DF4,Marketing!DI28,Sales!DI24)=3,IF(N(SUM(Marketing!DI28,Sales!DI24))=0,"",DF4*12/(SUM(Marketing!DI28,Sales!DI24))),"")</f>
        <v/>
      </c>
      <c r="DG22" s="30" t="n">
        <f aca="false">IF(N(SUM(Marketing!DJ28,Sales!DJ24))=0,"",DG4*12/(SUM(Marketing!DJ28,Sales!DJ24)))</f>
        <v>1.55031731640979</v>
      </c>
      <c r="DH22" s="30" t="n">
        <f aca="false">IF(N(SUM(Marketing!DK28,Sales!DK24))=0,"",DH4*12/(SUM(Marketing!DK28,Sales!DK24)))</f>
        <v>1.48494145706852</v>
      </c>
      <c r="DI22" s="30" t="n">
        <f aca="false">IF(COUNT(DI4,Marketing!DL28,Sales!DL24)=3,IF(N(SUM(Marketing!DL28,Sales!DL24))=0,"",DI4*12/(SUM(Marketing!DL28,Sales!DL24))),"")</f>
        <v>0.429314830875976</v>
      </c>
      <c r="DJ22" s="30" t="n">
        <f aca="false">IF(N(SUM(Marketing!DM28,Sales!DM24))=0,"",DJ4*12/(SUM(Marketing!DM28,Sales!DM24)))</f>
        <v>0.429314830875976</v>
      </c>
      <c r="DK22" s="30" t="n">
        <f aca="false">IF(N(SUM(Marketing!DN28,Sales!DN24))=0,"",DK4*12/(SUM(Marketing!DN28,Sales!DN24)))</f>
        <v>0</v>
      </c>
      <c r="DL22" s="30" t="n">
        <f aca="false">IF(COUNT(DL4,Marketing!DL28,Sales!DL24)=3,IF(N(SUM(Marketing!DL28,Sales!DL24))=0,"",DL4*12/(SUM(Marketing!DL28,Sales!DL24))),"")</f>
        <v>0.741543798785776</v>
      </c>
      <c r="DM22" s="30" t="n">
        <f aca="false">IF(N(SUM(Marketing!DM28,Sales!DM24))=0,"",DM4*12/(SUM(Marketing!DM28,Sales!DM24)))</f>
        <v>0.741543798785776</v>
      </c>
      <c r="DN22" s="30" t="n">
        <f aca="false">IF(N(SUM(Marketing!DN28,Sales!DN24))=0,"",DN4*12/(SUM(Marketing!DN28,Sales!DN24)))</f>
        <v>0</v>
      </c>
    </row>
    <row r="23" customFormat="false" ht="15.75" hidden="false" customHeight="true" outlineLevel="0" collapsed="false">
      <c r="A23" s="5" t="s">
        <v>122</v>
      </c>
      <c r="B23" s="31" t="str">
        <f aca="false">IF(OR(N(IF(AR3&lt;&gt;"",AR3,IF(AO3&lt;&gt;"",AO3,IF(AL3&lt;&gt;"",AL3,IF(AI3&lt;&gt;"",AI3,IF(AF3&lt;&gt;"",AF3,IF(AC3&lt;&gt;"",AC3,IF(Z3&lt;&gt;"",Z3,IF(W3&lt;&gt;"",W3,IF(T3&lt;&gt;"",T3,IF(Q3&lt;&gt;"",Q3,IF(N3&lt;&gt;"",N3,IF(K3&lt;&gt;"",K3,"")))))))))))))=0,N(B7)=0),"",B6/N(IF(AR3&lt;&gt;"",AR3,IF(AO3&lt;&gt;"",AO3,IF(AL3&lt;&gt;"",AL3,IF(AI3&lt;&gt;"",AI3,IF(AF3&lt;&gt;"",AF3,IF(AC3&lt;&gt;"",AC3,IF(Z3&lt;&gt;"",Z3,IF(W3&lt;&gt;"",W3,IF(T3&lt;&gt;"",T3,IF(Q3&lt;&gt;"",Q3,IF(N3&lt;&gt;"",N3,IF(K3&lt;&gt;"",K3,"")))))))))))))-1+B12/B7)</f>
        <v/>
      </c>
      <c r="C23" s="31" t="n">
        <f aca="false">IF(OR(N(IF(AS3&lt;&gt;"",AS3,IF(AP3&lt;&gt;"",AP3,IF(AM3&lt;&gt;"",AM3,IF(AJ3&lt;&gt;"",AJ3,IF(AG3&lt;&gt;"",AG3,IF(AD3&lt;&gt;"",AD3,IF(AA3&lt;&gt;"",AA3,IF(X3&lt;&gt;"",X3,IF(U3&lt;&gt;"",U3,IF(R3&lt;&gt;"",R3,IF(O3&lt;&gt;"",O3,IF(L3&lt;&gt;"",L3,"")))))))))))))=0,N(C7)=0),"",C6/N(IF(AS3&lt;&gt;"",AS3,IF(AP3&lt;&gt;"",AP3,IF(AM3&lt;&gt;"",AM3,IF(AJ3&lt;&gt;"",AJ3,IF(AG3&lt;&gt;"",AG3,IF(AD3&lt;&gt;"",AD3,IF(AA3&lt;&gt;"",AA3,IF(X3&lt;&gt;"",X3,IF(U3&lt;&gt;"",U3,IF(R3&lt;&gt;"",R3,IF(O3&lt;&gt;"",O3,IF(L3&lt;&gt;"",L3,"")))))))))))))-1+C12/C7)</f>
        <v>0.645269607053343</v>
      </c>
      <c r="D23" s="31" t="n">
        <f aca="false">IF(OR(N(IF(AT3&lt;&gt;"",AT3,IF(AQ3&lt;&gt;"",AQ3,IF(AN3&lt;&gt;"",AN3,IF(AK3&lt;&gt;"",AK3,IF(AH3&lt;&gt;"",AH3,IF(AE3&lt;&gt;"",AE3,IF(AB3&lt;&gt;"",AB3,IF(Y3&lt;&gt;"",Y3,IF(V3&lt;&gt;"",V3,IF(S3&lt;&gt;"",S3,IF(P3&lt;&gt;"",P3,IF(M3&lt;&gt;"",M3,"")))))))))))))=0,N(D7)=0),"",D6/N(IF(AT3&lt;&gt;"",AT3,IF(AQ3&lt;&gt;"",AQ3,IF(AN3&lt;&gt;"",AN3,IF(AK3&lt;&gt;"",AK3,IF(AH3&lt;&gt;"",AH3,IF(AE3&lt;&gt;"",AE3,IF(AB3&lt;&gt;"",AB3,IF(Y3&lt;&gt;"",Y3,IF(V3&lt;&gt;"",V3,IF(S3&lt;&gt;"",S3,IF(P3&lt;&gt;"",P3,IF(M3&lt;&gt;"",M3,"")))))))))))))-1+D12/D7)</f>
        <v>0.642181677244522</v>
      </c>
      <c r="E23" s="31" t="str">
        <f aca="false">IF(OR(N(IF(CB3&lt;&gt;"",CB3,IF(BY3&lt;&gt;"",BY3,IF(BV3&lt;&gt;"",BV3,IF(BS3&lt;&gt;"",BS3,IF(BP3&lt;&gt;"",BP3,IF(BM3&lt;&gt;"",BM3,IF(BJ3&lt;&gt;"",BJ3,IF(BG3&lt;&gt;"",BG3,IF(BD3&lt;&gt;"",BD3,IF(BA3&lt;&gt;"",BA3,IF(AX3&lt;&gt;"",AX3,IF(AU3&lt;&gt;"",AU3,"")))))))))))))=0,N(E7)=0),"",E6/N(IF(CB3&lt;&gt;"",CB3,IF(BY3&lt;&gt;"",BY3,IF(BV3&lt;&gt;"",BV3,IF(BS3&lt;&gt;"",BS3,IF(BP3&lt;&gt;"",BP3,IF(BM3&lt;&gt;"",BM3,IF(BJ3&lt;&gt;"",BJ3,IF(BG3&lt;&gt;"",BG3,IF(BD3&lt;&gt;"",BD3,IF(BA3&lt;&gt;"",BA3,IF(AX3&lt;&gt;"",AX3,IF(AU3&lt;&gt;"",AU3,"")))))))))))))-1+E12/E7)</f>
        <v/>
      </c>
      <c r="F23" s="31" t="n">
        <f aca="false">IF(OR(N(IF(CC3&lt;&gt;"",CC3,IF(BZ3&lt;&gt;"",BZ3,IF(BW3&lt;&gt;"",BW3,IF(BT3&lt;&gt;"",BT3,IF(BQ3&lt;&gt;"",BQ3,IF(BN3&lt;&gt;"",BN3,IF(BK3&lt;&gt;"",BK3,IF(BH3&lt;&gt;"",BH3,IF(BE3&lt;&gt;"",BE3,IF(BB3&lt;&gt;"",BB3,IF(AY3&lt;&gt;"",AY3,IF(AV3&lt;&gt;"",AV3,"")))))))))))))=0,N(F7)=0),"",F6/N(IF(CC3&lt;&gt;"",CC3,IF(BZ3&lt;&gt;"",BZ3,IF(BW3&lt;&gt;"",BW3,IF(BT3&lt;&gt;"",BT3,IF(BQ3&lt;&gt;"",BQ3,IF(BN3&lt;&gt;"",BN3,IF(BK3&lt;&gt;"",BK3,IF(BH3&lt;&gt;"",BH3,IF(BE3&lt;&gt;"",BE3,IF(BB3&lt;&gt;"",BB3,IF(AY3&lt;&gt;"",AY3,IF(AV3&lt;&gt;"",AV3,"")))))))))))))-1+F12/F7)</f>
        <v>0.531079790832836</v>
      </c>
      <c r="G23" s="31" t="n">
        <f aca="false">IF(OR(N(IF(CD3&lt;&gt;"",CD3,IF(CA3&lt;&gt;"",CA3,IF(BX3&lt;&gt;"",BX3,IF(BU3&lt;&gt;"",BU3,IF(BR3&lt;&gt;"",BR3,IF(BO3&lt;&gt;"",BO3,IF(BL3&lt;&gt;"",BL3,IF(BI3&lt;&gt;"",BI3,IF(BF3&lt;&gt;"",BF3,IF(BC3&lt;&gt;"",BC3,IF(AZ3&lt;&gt;"",AZ3,IF(AW3&lt;&gt;"",AW3,"")))))))))))))=0,N(G7)=0),"",G6/N(IF(CD3&lt;&gt;"",CD3,IF(CA3&lt;&gt;"",CA3,IF(BX3&lt;&gt;"",BX3,IF(BU3&lt;&gt;"",BU3,IF(BR3&lt;&gt;"",BR3,IF(BO3&lt;&gt;"",BO3,IF(BL3&lt;&gt;"",BL3,IF(BI3&lt;&gt;"",BI3,IF(BF3&lt;&gt;"",BF3,IF(BC3&lt;&gt;"",BC3,IF(AZ3&lt;&gt;"",AZ3,IF(AW3&lt;&gt;"",AW3,"")))))))))))))-1+G12/G7)</f>
        <v>0.524358233033887</v>
      </c>
      <c r="H23" s="31" t="n">
        <f aca="false">IF(OR(N(IF(DL3&lt;&gt;"",DL3,IF(DI3&lt;&gt;"",DI3,IF(DF3&lt;&gt;"",DF3,IF(DC3&lt;&gt;"",DC3,IF(CZ3&lt;&gt;"",CZ3,IF(CW3&lt;&gt;"",CW3,IF(CT3&lt;&gt;"",CT3,IF(CQ3&lt;&gt;"",CQ3,IF(CN3&lt;&gt;"",CN3,IF(CK3&lt;&gt;"",CK3,IF(CH3&lt;&gt;"",CH3,IF(CE3&lt;&gt;"",CE3,"")))))))))))))=0,N(H7)=0),"",H6/N(IF(DL3&lt;&gt;"",DL3,IF(DI3&lt;&gt;"",DI3,IF(DF3&lt;&gt;"",DF3,IF(DC3&lt;&gt;"",DC3,IF(CZ3&lt;&gt;"",CZ3,IF(CW3&lt;&gt;"",CW3,IF(CT3&lt;&gt;"",CT3,IF(CQ3&lt;&gt;"",CQ3,IF(CN3&lt;&gt;"",CN3,IF(CK3&lt;&gt;"",CK3,IF(CH3&lt;&gt;"",CH3,IF(CE3&lt;&gt;"",CE3,"")))))))))))))-1+H12/H7)</f>
        <v>0.0480594186561508</v>
      </c>
      <c r="I23" s="31" t="n">
        <f aca="false">IF(OR(N(IF(DM3&lt;&gt;"",DM3,IF(DJ3&lt;&gt;"",DJ3,IF(DG3&lt;&gt;"",DG3,IF(DD3&lt;&gt;"",DD3,IF(DA3&lt;&gt;"",DA3,IF(CX3&lt;&gt;"",CX3,IF(CU3&lt;&gt;"",CU3,IF(CR3&lt;&gt;"",CR3,IF(CO3&lt;&gt;"",CO3,IF(CL3&lt;&gt;"",CL3,IF(CI3&lt;&gt;"",CI3,IF(CF3&lt;&gt;"",CF3,"")))))))))))))=0,N(I7)=0),"",I6/N(IF(DM3&lt;&gt;"",DM3,IF(DJ3&lt;&gt;"",DJ3,IF(DG3&lt;&gt;"",DG3,IF(DD3&lt;&gt;"",DD3,IF(DA3&lt;&gt;"",DA3,IF(CX3&lt;&gt;"",CX3,IF(CU3&lt;&gt;"",CU3,IF(CR3&lt;&gt;"",CR3,IF(CO3&lt;&gt;"",CO3,IF(CL3&lt;&gt;"",CL3,IF(CI3&lt;&gt;"",CI3,IF(CF3&lt;&gt;"",CF3,"")))))))))))))-1+I12/I7)</f>
        <v>0.447212366121051</v>
      </c>
      <c r="J23" s="31" t="n">
        <f aca="false">IF(OR(N(IF(DN3&lt;&gt;"",DN3,IF(DK3&lt;&gt;"",DK3,IF(DH3&lt;&gt;"",DH3,IF(DE3&lt;&gt;"",DE3,IF(DB3&lt;&gt;"",DB3,IF(CY3&lt;&gt;"",CY3,IF(CV3&lt;&gt;"",CV3,IF(CS3&lt;&gt;"",CS3,IF(CP3&lt;&gt;"",CP3,IF(CM3&lt;&gt;"",CM3,IF(CJ3&lt;&gt;"",CJ3,IF(CG3&lt;&gt;"",CG3,"")))))))))))))=0,N(J7)=0),"",J6/N(IF(DN3&lt;&gt;"",DN3,IF(DK3&lt;&gt;"",DK3,IF(DH3&lt;&gt;"",DH3,IF(DE3&lt;&gt;"",DE3,IF(DB3&lt;&gt;"",DB3,IF(CY3&lt;&gt;"",CY3,IF(CV3&lt;&gt;"",CV3,IF(CS3&lt;&gt;"",CS3,IF(CP3&lt;&gt;"",CP3,IF(CM3&lt;&gt;"",CM3,IF(CJ3&lt;&gt;"",CJ3,IF(CG3&lt;&gt;"",CG3,"")))))))))))))-1+J12/J7)</f>
        <v>0.400132255825492</v>
      </c>
      <c r="K23" s="31" t="str">
        <f aca="false">IF(OR(N(AR3)=0,N(K6)=0,SUM(AR7,AO7,AL7,AI7,AF7,AC7,Z7,W7,T7,Q7,N7,K7)=0),"",(K6/AR3)^(12/12)-1+SUM(AR12,AO12,AL12,AI12,AF12,AC12,Z12,W12,T12,Q12,N12,K12)/SUM(AR7,AO7,AL7,AI7,AF7,AC7,Z7,W7,T7,Q7,N7,K7))</f>
        <v/>
      </c>
      <c r="L23" s="31" t="n">
        <f aca="false">IF(OR(N(AS3)=0,N(L6)=0,SUM(AS7,AP7,AM7,AJ7,AG7,AD7,AA7,X7,U7,R7,O7,L7)=0),"",(L6/AS3)^(12/12)-1+SUM(AS12,AP12,AM12,AJ12,AG12,AD12,AA12,X12,U12,R12,O12,L12)/SUM(AS7,AP7,AM7,AJ7,AG7,AD7,AA7,X7,U7,R7,O7,L7))</f>
        <v>0.645269607053343</v>
      </c>
      <c r="M23" s="31" t="n">
        <f aca="false">IF(OR(N(AT3)=0,N(M6)=0,SUM(AT7,AQ7,AN7,AK7,AH7,AE7,AB7,Y7,V7,S7,P7,M7)=0),"",(M6/AT3)^(12/12)-1+SUM(AT12,AQ12,AN12,AK12,AH12,AE12,AB12,Y12,V12,S12,P12,M12)/SUM(AT7,AQ7,AN7,AK7,AH7,AE7,AB7,Y7,V7,S7,P7,M7))</f>
        <v>0.642181677244522</v>
      </c>
      <c r="N23" s="31" t="str">
        <f aca="false">IF(OR(N(AU3)=0,N(N6)=0,SUM(AU7,AR7,AO7,AL7,AI7,AF7,AC7,Z7,W7,T7,Q7,N7)=0),"",(N6/AU3)^(12/12)-1+SUM(AU12,AR12,AO12,AL12,AI12,AF12,AC12,Z12,W12,T12,Q12,N12)/SUM(AU7,AR7,AO7,AL7,AI7,AF7,AC7,Z7,W7,T7,Q7,N7))</f>
        <v/>
      </c>
      <c r="O23" s="31" t="n">
        <f aca="false">IF(OR(N(AV3)=0,N(O6)=0,SUM(AV7,AS7,AP7,AM7,AJ7,AG7,AD7,AA7,X7,U7,R7,O7)=0),"",(O6/AV3)^(12/12)-1+SUM(AV12,AS12,AP12,AM12,AJ12,AG12,AD12,AA12,X12,U12,R12,O12)/SUM(AV7,AS7,AP7,AM7,AJ7,AG7,AD7,AA7,X7,U7,R7,O7))</f>
        <v>0.631435973391199</v>
      </c>
      <c r="P23" s="31" t="n">
        <f aca="false">IF(OR(N(AW3)=0,N(P6)=0,SUM(AW7,AT7,AQ7,AN7,AK7,AH7,AE7,AB7,Y7,V7,S7,P7)=0),"",(P6/AW3)^(12/12)-1+SUM(AW12,AT12,AQ12,AN12,AK12,AH12,AE12,AB12,Y12,V12,S12,P12)/SUM(AW7,AT7,AQ7,AN7,AK7,AH7,AE7,AB7,Y7,V7,S7,P7))</f>
        <v>0.628090439872309</v>
      </c>
      <c r="Q23" s="31" t="str">
        <f aca="false">IF(OR(N(AX3)=0,N(Q6)=0,SUM(AX7,AU7,AR7,AO7,AL7,AI7,AF7,AC7,Z7,W7,T7,Q7)=0),"",(Q6/AX3)^(12/12)-1+SUM(AX12,AU12,AR12,AO12,AL12,AI12,AF12,AC12,Z12,W12,T12,Q12)/SUM(AX7,AU7,AR7,AO7,AL7,AI7,AF7,AC7,Z7,W7,T7,Q7))</f>
        <v/>
      </c>
      <c r="R23" s="31" t="n">
        <f aca="false">IF(OR(N(AY3)=0,N(R6)=0,SUM(AY7,AV7,AS7,AP7,AM7,AJ7,AG7,AD7,AA7,X7,U7,R7)=0),"",(R6/AY3)^(12/12)-1+SUM(AY12,AV12,AS12,AP12,AM12,AJ12,AG12,AD12,AA12,X12,U12,R12)/SUM(AY7,AV7,AS7,AP7,AM7,AJ7,AG7,AD7,AA7,X7,U7,R7))</f>
        <v>0.617431965908066</v>
      </c>
      <c r="S23" s="31" t="n">
        <f aca="false">IF(OR(N(AZ3)=0,N(S6)=0,SUM(AZ7,AW7,AT7,AQ7,AN7,AK7,AH7,AE7,AB7,Y7,V7,S7)=0),"",(S6/AZ3)^(12/12)-1+SUM(AZ12,AW12,AT12,AQ12,AN12,AK12,AH12,AE12,AB12,Y12,V12,S12)/SUM(AZ7,AW7,AT7,AQ7,AN7,AK7,AH7,AE7,AB7,Y7,V7,S7))</f>
        <v>0.613764399352006</v>
      </c>
      <c r="T23" s="31" t="str">
        <f aca="false">IF(OR(N(BA3)=0,N(T6)=0,SUM(BA7,AX7,AU7,AR7,AO7,AL7,AI7,AF7,AC7,Z7,W7,T7)=0),"",(T6/BA3)^(12/12)-1+SUM(BA12,AX12,AU12,AR12,AO12,AL12,AI12,AF12,AC12,Z12,W12,T12)/SUM(BA7,AX7,AU7,AR7,AO7,AL7,AI7,AF7,AC7,Z7,W7,T7))</f>
        <v/>
      </c>
      <c r="U23" s="31" t="n">
        <f aca="false">IF(OR(N(BB3)=0,N(U6)=0,SUM(BB7,AY7,AV7,AS7,AP7,AM7,AJ7,AG7,AD7,AA7,X7,U7)=0),"",(U6/BB3)^(12/12)-1+SUM(BB12,AY12,AV12,AS12,AP12,AM12,AJ12,AG12,AD12,AA12,X12,U12)/SUM(BB7,AY7,AV7,AS7,AP7,AM7,AJ7,AG7,AD7,AA7,X7,U7))</f>
        <v>0.604454566329413</v>
      </c>
      <c r="V23" s="31" t="n">
        <f aca="false">IF(OR(N(BC3)=0,N(V6)=0,SUM(BC7,AZ7,AW7,AT7,AQ7,AN7,AK7,AH7,AE7,AB7,Y7,V7)=0),"",(V6/BC3)^(12/12)-1+SUM(BC12,AZ12,AW12,AT12,AQ12,AN12,AK12,AH12,AE12,AB12,Y12,V12)/SUM(BC7,AZ7,AW7,AT7,AQ7,AN7,AK7,AH7,AE7,AB7,Y7,V7))</f>
        <v>0.600467939001001</v>
      </c>
      <c r="W23" s="31" t="str">
        <f aca="false">IF(OR(N(BD3)=0,N(W6)=0,SUM(BD7,BA7,AX7,AU7,AR7,AO7,AL7,AI7,AF7,AC7,Z7,W7)=0),"",(W6/BD3)^(12/12)-1+SUM(BD12,BA12,AX12,AU12,AR12,AO12,AL12,AI12,AF12,AC12,Z12,W12)/SUM(BD7,BA7,AX7,AU7,AR7,AO7,AL7,AI7,AF7,AC7,Z7,W7))</f>
        <v/>
      </c>
      <c r="X23" s="31" t="n">
        <f aca="false">IF(OR(N(BE3)=0,N(X6)=0,SUM(BE7,BB7,AY7,AV7,AS7,AP7,AM7,AJ7,AG7,AD7,AA7,X7)=0),"",(X6/BE3)^(12/12)-1+SUM(BE12,BB12,AY12,AV12,AS12,AP12,AM12,AJ12,AG12,AD12,AA12,X12)/SUM(BE7,BB7,AY7,AV7,AS7,AP7,AM7,AJ7,AG7,AD7,AA7,X7))</f>
        <v>0.592671516708175</v>
      </c>
      <c r="Y23" s="31" t="n">
        <f aca="false">IF(OR(N(BF3)=0,N(Y6)=0,SUM(BF7,BC7,AZ7,AW7,AT7,AQ7,AN7,AK7,AH7,AE7,AB7,Y7)=0),"",(Y6/BF3)^(12/12)-1+SUM(BF12,BC12,AZ12,AW12,AT12,AQ12,AN12,AK12,AH12,AE12,AB12,Y12)/SUM(BF7,BC7,AZ7,AW7,AT7,AQ7,AN7,AK7,AH7,AE7,AB7,Y7))</f>
        <v>0.588372250580521</v>
      </c>
      <c r="Z23" s="31" t="str">
        <f aca="false">IF(OR(N(BG3)=0,N(Z6)=0,SUM(BG7,BD7,BA7,AX7,AU7,AR7,AO7,AL7,AI7,AF7,AC7,Z7)=0),"",(Z6/BG3)^(12/12)-1+SUM(BG12,BD12,BA12,AX12,AU12,AR12,AO12,AL12,AI12,AF12,AC12,Z12)/SUM(BG7,BD7,BA7,AX7,AU7,AR7,AO7,AL7,AI7,AF7,AC7,Z7))</f>
        <v/>
      </c>
      <c r="AA23" s="31" t="n">
        <f aca="false">IF(OR(N(BH3)=0,N(AA6)=0,SUM(BH7,BE7,BB7,AY7,AV7,AS7,AP7,AM7,AJ7,AG7,AD7,AA7)=0),"",(AA6/BH3)^(12/12)-1+SUM(BH12,BE12,BB12,AY12,AV12,AS12,AP12,AM12,AJ12,AG12,AD12,AA12)/SUM(BH7,BE7,BB7,AY7,AV7,AS7,AP7,AM7,AJ7,AG7,AD7,AA7))</f>
        <v>0.581653458099757</v>
      </c>
      <c r="AB23" s="31" t="n">
        <f aca="false">IF(OR(N(BI3)=0,N(AB6)=0,SUM(BI7,BF7,BC7,AZ7,AW7,AT7,AQ7,AN7,AK7,AH7,AE7,AB7)=0),"",(AB6/BI3)^(12/12)-1+SUM(BI12,BF12,BC12,AZ12,AW12,AT12,AQ12,AN12,AK12,AH12,AE12,AB12)/SUM(BI7,BF7,BC7,AZ7,AW7,AT7,AQ7,AN7,AK7,AH7,AE7,AB7))</f>
        <v>0.57704367705279</v>
      </c>
      <c r="AC23" s="31" t="str">
        <f aca="false">IF(OR(N(BJ3)=0,N(AC6)=0,SUM(BJ7,BG7,BD7,BA7,AX7,AU7,AR7,AO7,AL7,AI7,AF7,AC7)=0),"",(AC6/BJ3)^(12/12)-1+SUM(BJ12,BG12,BD12,BA12,AX12,AU12,AR12,AO12,AL12,AI12,AF12,AC12)/SUM(BJ7,BG7,BD7,BA7,AX7,AU7,AR7,AO7,AL7,AI7,AF7,AC7))</f>
        <v/>
      </c>
      <c r="AD23" s="31" t="n">
        <f aca="false">IF(OR(N(BK3)=0,N(AD6)=0,SUM(BK7,BH7,BE7,BB7,AY7,AV7,AS7,AP7,AM7,AJ7,AG7,AD7)=0),"",(AD6/BK3)^(12/12)-1+SUM(BK12,BH12,BE12,BB12,AY12,AV12,AS12,AP12,AM12,AJ12,AG12,AD12)/SUM(BK7,BH7,BE7,BB7,AY7,AV7,AS7,AP7,AM7,AJ7,AG7,AD7))</f>
        <v>0.572699784644401</v>
      </c>
      <c r="AE23" s="31" t="n">
        <f aca="false">IF(OR(N(BL3)=0,N(AE6)=0,SUM(BL7,BI7,BF7,BC7,AZ7,AW7,AT7,AQ7,AN7,AK7,AH7,AE7)=0),"",(AE6/BL3)^(12/12)-1+SUM(BL12,BI12,BF12,BC12,AZ12,AW12,AT12,AQ12,AN12,AK12,AH12,AE12)/SUM(BL7,BI7,BF7,BC7,AZ7,AW7,AT7,AQ7,AN7,AK7,AH7,AE7))</f>
        <v>0.567801081674033</v>
      </c>
      <c r="AF23" s="31" t="str">
        <f aca="false">IF(OR(N(BM3)=0,N(AF6)=0,SUM(BM7,BJ7,BG7,BD7,BA7,AX7,AU7,AR7,AO7,AL7,AI7,AF7)=0),"",(AF6/BM3)^(12/12)-1+SUM(BM12,BJ12,BG12,BD12,BA12,AX12,AU12,AR12,AO12,AL12,AI12,AF12)/SUM(BM7,BJ7,BG7,BD7,BA7,AX7,AU7,AR7,AO7,AL7,AI7,AF7))</f>
        <v/>
      </c>
      <c r="AG23" s="31" t="n">
        <f aca="false">IF(OR(N(BN3)=0,N(AG6)=0,SUM(BN7,BK7,BH7,BE7,BB7,AY7,AV7,AS7,AP7,AM7,AJ7,AG7)=0),"",(AG6/BN3)^(12/12)-1+SUM(BN12,BK12,BH12,BE12,BB12,AY12,AV12,AS12,AP12,AM12,AJ12,AG12)/SUM(BN7,BK7,BH7,BE7,BB7,AY7,AV7,AS7,AP7,AM7,AJ7,AG7))</f>
        <v>0.563666217422515</v>
      </c>
      <c r="AH23" s="31" t="n">
        <f aca="false">IF(OR(N(BO3)=0,N(AH6)=0,SUM(BO7,BL7,BI7,BF7,BC7,AZ7,AW7,AT7,AQ7,AN7,AK7,AH7)=0),"",(AH6/BO3)^(12/12)-1+SUM(BO12,BL12,BI12,BF12,BC12,AZ12,AW12,AT12,AQ12,AN12,AK12,AH12)/SUM(BO7,BL7,BI7,BF7,BC7,AZ7,AW7,AT7,AQ7,AN7,AK7,AH7))</f>
        <v>0.558471556087243</v>
      </c>
      <c r="AI23" s="31" t="str">
        <f aca="false">IF(OR(N(BP3)=0,N(AI6)=0,SUM(BP7,BM7,BJ7,BG7,BD7,BA7,AX7,AU7,AR7,AO7,AL7,AI7)=0),"",(AI6/BP3)^(12/12)-1+SUM(BP12,BM12,BJ12,BG12,BD12,BA12,AX12,AU12,AR12,AO12,AL12,AI12)/SUM(BP7,BM7,BJ7,BG7,BD7,BA7,AX7,AU7,AR7,AO7,AL7,AI7))</f>
        <v/>
      </c>
      <c r="AJ23" s="31" t="n">
        <f aca="false">IF(OR(N(BQ3)=0,N(AJ6)=0,SUM(BQ7,BN7,BK7,BH7,BE7,BB7,AY7,AV7,AS7,AP7,AM7,AJ7)=0),"",(AJ6/BQ3)^(12/12)-1+SUM(BQ12,BN12,BK12,BH12,BE12,BB12,AY12,AV12,AS12,AP12,AM12,AJ12)/SUM(BQ7,BN7,BK7,BH7,BE7,BB7,AY7,AV7,AS7,AP7,AM7,AJ7))</f>
        <v>0.556499370423232</v>
      </c>
      <c r="AK23" s="31" t="n">
        <f aca="false">IF(OR(N(BR3)=0,N(AK6)=0,SUM(BR7,BO7,BL7,BI7,BF7,BC7,AZ7,AW7,AT7,AQ7,AN7,AK7)=0),"",(AK6/BR3)^(12/12)-1+SUM(BR12,BO12,BL12,BI12,BF12,BC12,AZ12,AW12,AT12,AQ12,AN12,AK12)/SUM(BR7,BO7,BL7,BI7,BF7,BC7,AZ7,AW7,AT7,AQ7,AN7,AK7))</f>
        <v>0.551031822822657</v>
      </c>
      <c r="AL23" s="31" t="str">
        <f aca="false">IF(OR(N(BS3)=0,N(AL6)=0,SUM(BS7,BP7,BM7,BJ7,BG7,BD7,BA7,AX7,AU7,AR7,AO7,AL7)=0),"",(AL6/BS3)^(12/12)-1+SUM(BS12,BP12,BM12,BJ12,BG12,BD12,BA12,AX12,AU12,AR12,AO12,AL12)/SUM(BS7,BP7,BM7,BJ7,BG7,BD7,BA7,AX7,AU7,AR7,AO7,AL7))</f>
        <v/>
      </c>
      <c r="AM23" s="31" t="n">
        <f aca="false">IF(OR(N(BT3)=0,N(AM6)=0,SUM(BT7,BQ7,BN7,BK7,BH7,BE7,BB7,AY7,AV7,AS7,AP7,AM7)=0),"",(AM6/BT3)^(12/12)-1+SUM(BT12,BQ12,BN12,BK12,BH12,BE12,BB12,AY12,AV12,AS12,AP12,AM12)/SUM(BT7,BQ7,BN7,BK7,BH7,BE7,BB7,AY7,AV7,AS7,AP7,AM7))</f>
        <v>0.550137304488765</v>
      </c>
      <c r="AN23" s="31" t="n">
        <f aca="false">IF(OR(N(BU3)=0,N(AN6)=0,SUM(BU7,BR7,BO7,BL7,BI7,BF7,BC7,AZ7,AW7,AT7,AQ7,AN7)=0),"",(AN6/BU3)^(12/12)-1+SUM(BU12,BR12,BO12,BL12,BI12,BF12,BC12,AZ12,AW12,AT12,AQ12,AN12)/SUM(BU7,BR7,BO7,BL7,BI7,BF7,BC7,AZ7,AW7,AT7,AQ7,AN7))</f>
        <v>0.544405345213434</v>
      </c>
      <c r="AO23" s="31" t="str">
        <f aca="false">IF(OR(N(BV3)=0,N(AO6)=0,SUM(BV7,BS7,BP7,BM7,BJ7,BG7,BD7,BA7,AX7,AU7,AR7,AO7)=0),"",(AO6/BV3)^(12/12)-1+SUM(BV12,BS12,BP12,BM12,BJ12,BG12,BD12,BA12,AX12,AU12,AR12,AO12)/SUM(BV7,BS7,BP7,BM7,BJ7,BG7,BD7,BA7,AX7,AU7,AR7,AO7))</f>
        <v/>
      </c>
      <c r="AP23" s="31" t="n">
        <f aca="false">IF(OR(N(BW3)=0,N(AP6)=0,SUM(BW7,BT7,BQ7,BN7,BK7,BH7,BE7,BB7,AY7,AV7,AS7,AP7)=0),"",(AP6/BW3)^(12/12)-1+SUM(BW12,BT12,BQ12,BN12,BK12,BH12,BE12,BB12,AY12,AV12,AS12,AP12)/SUM(BW7,BT7,BQ7,BN7,BK7,BH7,BE7,BB7,AY7,AV7,AS7,AP7))</f>
        <v>0.544536555798551</v>
      </c>
      <c r="AQ23" s="31" t="n">
        <f aca="false">IF(OR(N(BX3)=0,N(AQ6)=0,SUM(BX7,BU7,BR7,BO7,BL7,BI7,BF7,BC7,AZ7,AW7,AT7,AQ7)=0),"",(AQ6/BX3)^(12/12)-1+SUM(BX12,BU12,BR12,BO12,BL12,BI12,BF12,BC12,AZ12,AW12,AT12,AQ12)/SUM(BX7,BU7,BR7,BO7,BL7,BI7,BF7,BC7,AZ7,AW7,AT7,AQ7))</f>
        <v>0.538550374532029</v>
      </c>
      <c r="AR23" s="31" t="str">
        <f aca="false">IF(OR(N(BY3)=0,N(AR6)=0,SUM(BY7,BV7,BS7,BP7,BM7,BJ7,BG7,BD7,BA7,AX7,AU7,AR7)=0),"",(AR6/BY3)^(12/12)-1+SUM(BY12,BV12,BS12,BP12,BM12,BJ12,BG12,BD12,BA12,AX12,AU12,AR12)/SUM(BY7,BV7,BS7,BP7,BM7,BJ7,BG7,BD7,BA7,AX7,AU7,AR7))</f>
        <v/>
      </c>
      <c r="AS23" s="31" t="n">
        <f aca="false">IF(OR(N(BZ3)=0,N(AS6)=0,SUM(BZ7,BW7,BT7,BQ7,BN7,BK7,BH7,BE7,BB7,AY7,AV7,AS7)=0),"",(AS6/BZ3)^(12/12)-1+SUM(BZ12,BW12,BT12,BQ12,BN12,BK12,BH12,BE12,BB12,AY12,AV12,AS12)/SUM(BZ7,BW7,BT7,BQ7,BN7,BK7,BH7,BE7,BB7,AY7,AV7,AS7))</f>
        <v>0.537593525869715</v>
      </c>
      <c r="AT23" s="31" t="n">
        <f aca="false">IF(OR(N(CA3)=0,N(AT6)=0,SUM(CA7,BX7,BU7,BR7,BO7,BL7,BI7,BF7,BC7,AZ7,AW7,AT7)=0),"",(AT6/CA3)^(12/12)-1+SUM(CA12,BX12,BU12,BR12,BO12,BL12,BI12,BF12,BC12,AZ12,AW12,AT12)/SUM(CA7,BX7,BU7,BR7,BO7,BL7,BI7,BF7,BC7,AZ7,AW7,AT7))</f>
        <v>0.531214463216313</v>
      </c>
      <c r="AU23" s="31" t="str">
        <f aca="false">IF(OR(N(CB3)=0,N(AU6)=0,SUM(CB7,BY7,BV7,BS7,BP7,BM7,BJ7,BG7,BD7,BA7,AX7,AU7)=0),"",(AU6/CB3)^(12/12)-1+SUM(CB12,BY12,BV12,BS12,BP12,BM12,BJ12,BG12,BD12,BA12,AX12,AU12)/SUM(CB7,BY7,BV7,BS7,BP7,BM7,BJ7,BG7,BD7,BA7,AX7,AU7))</f>
        <v/>
      </c>
      <c r="AV23" s="31" t="n">
        <f aca="false">IF(OR(N(CC3)=0,N(AV6)=0,SUM(CC7,BZ7,BW7,BT7,BQ7,BN7,BK7,BH7,BE7,BB7,AY7,AV7)=0),"",(AV6/CC3)^(12/12)-1+SUM(CC12,BZ12,BW12,BT12,BQ12,BN12,BK12,BH12,BE12,BB12,AY12,AV12)/SUM(CC7,BZ7,BW7,BT7,BQ7,BN7,BK7,BH7,BE7,BB7,AY7,AV7))</f>
        <v>0.531079790832836</v>
      </c>
      <c r="AW23" s="31" t="n">
        <f aca="false">IF(OR(N(CD3)=0,N(AW6)=0,SUM(CD7,CA7,BX7,BU7,BR7,BO7,BL7,BI7,BF7,BC7,AZ7,AW7)=0),"",(AW6/CD3)^(12/12)-1+SUM(CD12,CA12,BX12,BU12,BR12,BO12,BL12,BI12,BF12,BC12,AZ12,AW12)/SUM(CD7,CA7,BX7,BU7,BR7,BO7,BL7,BI7,BF7,BC7,AZ7,AW7))</f>
        <v>0.524358233033887</v>
      </c>
      <c r="AX23" s="31" t="str">
        <f aca="false">IF(OR(N(CE3)=0,N(AX6)=0,SUM(CE7,CB7,BY7,BV7,BS7,BP7,BM7,BJ7,BG7,BD7,BA7,AX7)=0),"",(AX6/CE3)^(12/12)-1+SUM(CE12,CB12,BY12,BV12,BS12,BP12,BM12,BJ12,BG12,BD12,BA12,AX12)/SUM(CE7,CB7,BY7,BV7,BS7,BP7,BM7,BJ7,BG7,BD7,BA7,AX7))</f>
        <v/>
      </c>
      <c r="AY23" s="31" t="n">
        <f aca="false">IF(OR(N(CF3)=0,N(AY6)=0,SUM(CF7,CC7,BZ7,BW7,BT7,BQ7,BN7,BK7,BH7,BE7,BB7,AY7)=0),"",(AY6/CF3)^(12/12)-1+SUM(CF12,CC12,BZ12,BW12,BT12,BQ12,BN12,BK12,BH12,BE12,BB12,AY12)/SUM(CF7,CC7,BZ7,BW7,BT7,BQ7,BN7,BK7,BH7,BE7,BB7,AY7))</f>
        <v>0.524116888146845</v>
      </c>
      <c r="AZ23" s="31" t="n">
        <f aca="false">IF(OR(N(CG3)=0,N(AZ6)=0,SUM(CG7,CD7,CA7,BX7,BU7,BR7,BO7,BL7,BI7,BF7,BC7,AZ7)=0),"",(AZ6/CG3)^(12/12)-1+SUM(CG12,CD12,CA12,BX12,BU12,BR12,BO12,BL12,BI12,BF12,BC12,AZ12)/SUM(CG7,CD7,CA7,BX7,BU7,BR7,BO7,BL7,BI7,BF7,BC7,AZ7))</f>
        <v>0.517050249824955</v>
      </c>
      <c r="BA23" s="31" t="str">
        <f aca="false">IF(OR(N(CH3)=0,N(BA6)=0,SUM(CH7,CE7,CB7,BY7,BV7,BS7,BP7,BM7,BJ7,BG7,BD7,BA7)=0),"",(BA6/CH3)^(12/12)-1+SUM(CH12,CE12,CB12,BY12,BV12,BS12,BP12,BM12,BJ12,BG12,BD12,BA12)/SUM(CH7,CE7,CB7,BY7,BV7,BS7,BP7,BM7,BJ7,BG7,BD7,BA7))</f>
        <v/>
      </c>
      <c r="BB23" s="31" t="n">
        <f aca="false">IF(OR(N(CI3)=0,N(BB6)=0,SUM(CI7,CF7,CC7,BZ7,BW7,BT7,BQ7,BN7,BK7,BH7,BE7,BB7)=0),"",(BB6/CI3)^(12/12)-1+SUM(CI12,CF12,CC12,BZ12,BW12,BT12,BQ12,BN12,BK12,BH12,BE12,BB12)/SUM(CI7,CF7,CC7,BZ7,BW7,BT7,BQ7,BN7,BK7,BH7,BE7,BB7))</f>
        <v>0.517507387321125</v>
      </c>
      <c r="BC23" s="31" t="n">
        <f aca="false">IF(OR(N(CJ3)=0,N(BC6)=0,SUM(CJ7,CG7,CD7,CA7,BX7,BU7,BR7,BO7,BL7,BI7,BF7,BC7)=0),"",(BC6/CJ3)^(12/12)-1+SUM(CJ12,CG12,CD12,CA12,BX12,BU12,BR12,BO12,BL12,BI12,BF12,BC12)/SUM(CJ7,CG7,CD7,CA7,BX7,BU7,BR7,BO7,BL7,BI7,BF7,BC7))</f>
        <v>0.510083255354464</v>
      </c>
      <c r="BD23" s="31" t="str">
        <f aca="false">IF(OR(N(CK3)=0,N(BD6)=0,SUM(CK7,CH7,CE7,CB7,BY7,BV7,BS7,BP7,BM7,BJ7,BG7,BD7)=0),"",(BD6/CK3)^(12/12)-1+SUM(CK12,CH12,CE12,CB12,BY12,BV12,BS12,BP12,BM12,BJ12,BG12,BD12)/SUM(CK7,CH7,CE7,CB7,BY7,BV7,BS7,BP7,BM7,BJ7,BG7,BD7))</f>
        <v/>
      </c>
      <c r="BE23" s="31" t="n">
        <f aca="false">IF(OR(N(CL3)=0,N(BE6)=0,SUM(CL7,CI7,CF7,CC7,BZ7,BW7,BT7,BQ7,BN7,BK7,BH7,BE7)=0),"",(BE6/CL3)^(12/12)-1+SUM(CL12,CI12,CF12,CC12,BZ12,BW12,BT12,BQ12,BN12,BK12,BH12,BE12)/SUM(CL7,CI7,CF7,CC7,BZ7,BW7,BT7,BQ7,BN7,BK7,BH7,BE7))</f>
        <v>0.50965079868922</v>
      </c>
      <c r="BF23" s="31" t="n">
        <f aca="false">IF(OR(N(CM3)=0,N(BF6)=0,SUM(CM7,CJ7,CG7,CD7,CA7,BX7,BU7,BR7,BO7,BL7,BI7,BF7)=0),"",(BF6/CM3)^(12/12)-1+SUM(CM12,CJ12,CG12,CD12,CA12,BX12,BU12,BR12,BO12,BL12,BI12,BF12)/SUM(CM7,CJ7,CG7,CD7,CA7,BX7,BU7,BR7,BO7,BL7,BI7,BF7))</f>
        <v>0.501839902494292</v>
      </c>
      <c r="BG23" s="31" t="str">
        <f aca="false">IF(OR(N(CN3)=0,N(BG6)=0,SUM(CN7,CK7,CH7,CE7,CB7,BY7,BV7,BS7,BP7,BM7,BJ7,BG7)=0),"",(BG6/CN3)^(12/12)-1+SUM(CN12,CK12,CH12,CE12,CB12,BY12,BV12,BS12,BP12,BM12,BJ12,BG12)/SUM(CN7,CK7,CH7,CE7,CB7,BY7,BV7,BS7,BP7,BM7,BJ7,BG7))</f>
        <v/>
      </c>
      <c r="BH23" s="31" t="n">
        <f aca="false">IF(OR(N(CO3)=0,N(BH6)=0,SUM(CO7,CL7,CI7,CF7,CC7,BZ7,BW7,BT7,BQ7,BN7,BK7,BH7)=0),"",(BH6/CO3)^(12/12)-1+SUM(CO12,CL12,CI12,CF12,CC12,BZ12,BW12,BT12,BQ12,BN12,BK12,BH12)/SUM(CO7,CL7,CI7,CF7,CC7,BZ7,BW7,BT7,BQ7,BN7,BK7,BH7))</f>
        <v>0.500841782450596</v>
      </c>
      <c r="BI23" s="31" t="n">
        <f aca="false">IF(OR(N(CP3)=0,N(BI6)=0,SUM(CP7,CM7,CJ7,CG7,CD7,CA7,BX7,BU7,BR7,BO7,BL7,BI7)=0),"",(BI6/CP3)^(12/12)-1+SUM(CP12,CM12,CJ12,CG12,CD12,CA12,BX12,BU12,BR12,BO12,BL12,BI12)/SUM(CP7,CM7,CJ7,CG7,CD7,CA7,BX7,BU7,BR7,BO7,BL7,BI7))</f>
        <v>0.492683211874162</v>
      </c>
      <c r="BJ23" s="31" t="str">
        <f aca="false">IF(OR(N(CQ3)=0,N(BJ6)=0,SUM(CQ7,CN7,CK7,CH7,CE7,CB7,BY7,BV7,BS7,BP7,BM7,BJ7)=0),"",(BJ6/CQ3)^(12/12)-1+SUM(CQ12,CN12,CK12,CH12,CE12,CB12,BY12,BV12,BS12,BP12,BM12,BJ12)/SUM(CQ7,CN7,CK7,CH7,CE7,CB7,BY7,BV7,BS7,BP7,BM7,BJ7))</f>
        <v/>
      </c>
      <c r="BK23" s="31" t="n">
        <f aca="false">IF(OR(N(CR3)=0,N(BK6)=0,SUM(CR7,CO7,CL7,CI7,CF7,CC7,BZ7,BW7,BT7,BQ7,BN7,BK7)=0),"",(BK6/CR3)^(12/12)-1+SUM(CR12,CO12,CL12,CI12,CF12,CC12,BZ12,BW12,BT12,BQ12,BN12,BK12)/SUM(CR7,CO7,CL7,CI7,CF7,CC7,BZ7,BW7,BT7,BQ7,BN7,BK7))</f>
        <v>0.491938495028842</v>
      </c>
      <c r="BL23" s="31" t="n">
        <f aca="false">IF(OR(N(CS3)=0,N(BL6)=0,SUM(CS7,CP7,CM7,CJ7,CG7,CD7,CA7,BX7,BU7,BR7,BO7,BL7)=0),"",(BL6/CS3)^(12/12)-1+SUM(CS12,CP12,CM12,CJ12,CG12,CD12,CA12,BX12,BU12,BR12,BO12,BL12)/SUM(CS7,CP7,CM7,CJ7,CG7,CD7,CA7,BX7,BU7,BR7,BO7,BL7))</f>
        <v>0.483356914863049</v>
      </c>
      <c r="BM23" s="31" t="str">
        <f aca="false">IF(OR(N(CT3)=0,N(BM6)=0,SUM(CT7,CQ7,CN7,CK7,CH7,CE7,CB7,BY7,BV7,BS7,BP7,BM7)=0),"",(BM6/CT3)^(12/12)-1+SUM(CT12,CQ12,CN12,CK12,CH12,CE12,CB12,BY12,BV12,BS12,BP12,BM12)/SUM(CT7,CQ7,CN7,CK7,CH7,CE7,CB7,BY7,BV7,BS7,BP7,BM7))</f>
        <v/>
      </c>
      <c r="BN23" s="31" t="n">
        <f aca="false">IF(OR(N(CU3)=0,N(BN6)=0,SUM(CU7,CR7,CO7,CL7,CI7,CF7,CC7,BZ7,BW7,BT7,BQ7,BN7)=0),"",(BN6/CU3)^(12/12)-1+SUM(CU12,CR12,CO12,CL12,CI12,CF12,CC12,BZ12,BW12,BT12,BQ12,BN12)/SUM(CU7,CR7,CO7,CL7,CI7,CF7,CC7,BZ7,BW7,BT7,BQ7,BN7))</f>
        <v>0.480636165601316</v>
      </c>
      <c r="BO23" s="31" t="n">
        <f aca="false">IF(OR(N(CV3)=0,N(BO6)=0,SUM(CV7,CS7,CP7,CM7,CJ7,CG7,CD7,CA7,BX7,BU7,BR7,BO7)=0),"",(BO6/CV3)^(12/12)-1+SUM(CV12,CS12,CP12,CM12,CJ12,CG12,CD12,CA12,BX12,BU12,BR12,BO12)/SUM(CV7,CS7,CP7,CM7,CJ7,CG7,CD7,CA7,BX7,BU7,BR7,BO7))</f>
        <v>0.471577377681068</v>
      </c>
      <c r="BP23" s="31" t="str">
        <f aca="false">IF(OR(N(CW3)=0,N(BP6)=0,SUM(CW7,CT7,CQ7,CN7,CK7,CH7,CE7,CB7,BY7,BV7,BS7,BP7)=0),"",(BP6/CW3)^(12/12)-1+SUM(CW12,CT12,CQ12,CN12,CK12,CH12,CE12,CB12,BY12,BV12,BS12,BP12)/SUM(CW7,CT7,CQ7,CN7,CK7,CH7,CE7,CB7,BY7,BV7,BS7,BP7))</f>
        <v/>
      </c>
      <c r="BQ23" s="31" t="n">
        <f aca="false">IF(OR(N(CX3)=0,N(BQ6)=0,SUM(CX7,CU7,CR7,CO7,CL7,CI7,CF7,CC7,BZ7,BW7,BT7,BQ7)=0),"",(BQ6/CX3)^(12/12)-1+SUM(CX12,CU12,CR12,CO12,CL12,CI12,CF12,CC12,BZ12,BW12,BT12,BQ12)/SUM(CX7,CU7,CR7,CO7,CL7,CI7,CF7,CC7,BZ7,BW7,BT7,BQ7))</f>
        <v>0.469798300276259</v>
      </c>
      <c r="BR23" s="31" t="n">
        <f aca="false">IF(OR(N(CY3)=0,N(BR6)=0,SUM(CY7,CV7,CS7,CP7,CM7,CJ7,CG7,CD7,CA7,BX7,BU7,BR7)=0),"",(BR6/CY3)^(12/12)-1+SUM(CY12,CV12,CS12,CP12,CM12,CJ12,CG12,CD12,CA12,BX12,BU12,BR12)/SUM(CY7,CV7,CS7,CP7,CM7,CJ7,CG7,CD7,CA7,BX7,BU7,BR7))</f>
        <v>0.460328426878117</v>
      </c>
      <c r="BS23" s="31" t="str">
        <f aca="false">IF(OR(N(CZ3)=0,N(BS6)=0,SUM(CZ7,CW7,CT7,CQ7,CN7,CK7,CH7,CE7,CB7,BY7,BV7,BS7)=0),"",(BS6/CZ3)^(12/12)-1+SUM(CZ12,CW12,CT12,CQ12,CN12,CK12,CH12,CE12,CB12,BY12,BV12,BS12)/SUM(CZ7,CW7,CT7,CQ7,CN7,CK7,CH7,CE7,CB7,BY7,BV7,BS7))</f>
        <v/>
      </c>
      <c r="BT23" s="31" t="n">
        <f aca="false">IF(OR(N(DA3)=0,N(BT6)=0,SUM(DA7,CX7,CU7,CR7,CO7,CL7,CI7,CF7,CC7,BZ7,BW7,BT7)=0),"",(BT6/DA3)^(12/12)-1+SUM(DA12,CX12,CU12,CR12,CO12,CL12,CI12,CF12,CC12,BZ12,BW12,BT12)/SUM(DA7,CX7,CU7,CR7,CO7,CL7,CI7,CF7,CC7,BZ7,BW7,BT7))</f>
        <v>0.457017422057327</v>
      </c>
      <c r="BU23" s="31" t="n">
        <f aca="false">IF(OR(N(DB3)=0,N(BU6)=0,SUM(DB7,CY7,CV7,CS7,CP7,CM7,CJ7,CG7,CD7,CA7,BX7,BU7)=0),"",(BU6/DB3)^(12/12)-1+SUM(DB12,CY12,CV12,CS12,CP12,CM12,CJ12,CG12,CD12,CA12,BX12,BU12)/SUM(DB7,CY7,CV7,CS7,CP7,CM7,CJ7,CG7,CD7,CA7,BX7,BU7))</f>
        <v>0.447019623095241</v>
      </c>
      <c r="BV23" s="31" t="str">
        <f aca="false">IF(OR(N(DC3)=0,N(BV6)=0,SUM(DC7,CZ7,CW7,CT7,CQ7,CN7,CK7,CH7,CE7,CB7,BY7,BV7)=0),"",(BV6/DC3)^(12/12)-1+SUM(DC12,CZ12,CW12,CT12,CQ12,CN12,CK12,CH12,CE12,CB12,BY12,BV12)/SUM(DC7,CZ7,CW7,CT7,CQ7,CN7,CK7,CH7,CE7,CB7,BY7,BV7))</f>
        <v/>
      </c>
      <c r="BW23" s="31" t="n">
        <f aca="false">IF(OR(N(DD3)=0,N(BW6)=0,SUM(DD7,DA7,CX7,CU7,CR7,CO7,CL7,CI7,CF7,CC7,BZ7,BW7)=0),"",(BW6/DD3)^(12/12)-1+SUM(DD12,DA12,CX12,CU12,CR12,CO12,CL12,CI12,CF12,CC12,BZ12,BW12)/SUM(DD7,DA7,CX7,CU7,CR7,CO7,CL7,CI7,CF7,CC7,BZ7,BW7))</f>
        <v>0.459546089274189</v>
      </c>
      <c r="BX23" s="31" t="n">
        <f aca="false">IF(OR(N(DE3)=0,N(BX6)=0,SUM(DE7,DB7,CY7,CV7,CS7,CP7,CM7,CJ7,CG7,CD7,CA7,BX7)=0),"",(BX6/DE3)^(12/12)-1+SUM(DE12,DB12,CY12,CV12,CS12,CP12,CM12,CJ12,CG12,CD12,CA12,BX12)/SUM(DE7,DB7,CY7,CV7,CS7,CP7,CM7,CJ7,CG7,CD7,CA7,BX7))</f>
        <v>0.461670638836239</v>
      </c>
      <c r="BY23" s="31" t="str">
        <f aca="false">IF(OR(N(DF3)=0,N(BY6)=0,SUM(DF7,DC7,CZ7,CW7,CT7,CQ7,CN7,CK7,CH7,CE7,CB7,BY7)=0),"",(BY6/DF3)^(12/12)-1+SUM(DF12,DC12,CZ12,CW12,CT12,CQ12,CN12,CK12,CH12,CE12,CB12,BY12)/SUM(DF7,DC7,CZ7,CW7,CT7,CQ7,CN7,CK7,CH7,CE7,CB7,BY7))</f>
        <v/>
      </c>
      <c r="BZ23" s="31" t="n">
        <f aca="false">IF(OR(N(DG3)=0,N(BZ6)=0,SUM(DG7,DD7,DA7,CX7,CU7,CR7,CO7,CL7,CI7,CF7,CC7,BZ7)=0),"",(BZ6/DG3)^(12/12)-1+SUM(DG12,DD12,DA12,CX12,CU12,CR12,CO12,CL12,CI12,CF12,CC12,BZ12)/SUM(DG7,DD7,DA7,CX7,CU7,CR7,CO7,CL7,CI7,CF7,CC7,BZ7))</f>
        <v>0.472364909228498</v>
      </c>
      <c r="CA23" s="31" t="n">
        <f aca="false">IF(OR(N(DH3)=0,N(CA6)=0,SUM(DH7,DE7,DB7,CY7,CV7,CS7,CP7,CM7,CJ7,CG7,CD7,CA7)=0),"",(CA6/DH3)^(12/12)-1+SUM(DH12,DE12,DB12,CY12,CV12,CS12,CP12,CM12,CJ12,CG12,CD12,CA12)/SUM(DH7,DE7,DB7,CY7,CV7,CS7,CP7,CM7,CJ7,CG7,CD7,CA7))</f>
        <v>0.473973636949573</v>
      </c>
      <c r="CB23" s="31" t="str">
        <f aca="false">IF(OR(N(DI3)=0,N(CB6)=0,SUM(DI7,DF7,DC7,CZ7,CW7,CT7,CQ7,CN7,CK7,CH7,CE7,CB7)=0),"",(CB6/DI3)^(12/12)-1+SUM(DI12,DF12,DC12,CZ12,CW12,CT12,CQ12,CN12,CK12,CH12,CE12,CB12)/SUM(DI7,DF7,DC7,CZ7,CW7,CT7,CQ7,CN7,CK7,CH7,CE7,CB7))</f>
        <v/>
      </c>
      <c r="CC23" s="31" t="n">
        <f aca="false">IF(OR(N(DJ3)=0,N(CC6)=0,SUM(DJ7,DG7,DD7,DA7,CX7,CU7,CR7,CO7,CL7,CI7,CF7,CC7)=0),"",(CC6/DJ3)^(12/12)-1+SUM(DJ12,DG12,DD12,DA12,CX12,CU12,CR12,CO12,CL12,CI12,CF12,CC12)/SUM(DJ7,DG7,DD7,DA7,CX7,CU7,CR7,CO7,CL7,CI7,CF7,CC7))</f>
        <v>0.455730101870561</v>
      </c>
      <c r="CD23" s="31" t="n">
        <f aca="false">IF(OR(N(DK3)=0,N(CD6)=0,SUM(DK7,DH7,DE7,DB7,CY7,CV7,CS7,CP7,CM7,CJ7,CG7,CD7)=0),"",(CD6/DK3)^(12/12)-1+SUM(DK12,DH12,DE12,DB12,CY12,CV12,CS12,CP12,CM12,CJ12,CG12,CD12)/SUM(DK7,DH7,DE7,DB7,CY7,CV7,CS7,CP7,CM7,CJ7,CG7,CD7))</f>
        <v>0.4371811367789</v>
      </c>
      <c r="CE23" s="31" t="str">
        <f aca="false">IF(OR(N(DL3)=0,N(CE6)=0,SUM(DL7,DI7,DF7,DC7,CZ7,CW7,CT7,CQ7,CN7,CK7,CH7,CE7)=0),"",(CE6/DL3)^(12/12)-1+SUM(DL12,DI12,DF12,DC12,CZ12,CW12,CT12,CQ12,CN12,CK12,CH12,CE12)/SUM(DL7,DI7,DF7,DC7,CZ7,CW7,CT7,CQ7,CN7,CK7,CH7,CE7))</f>
        <v/>
      </c>
      <c r="CF23" s="31" t="n">
        <f aca="false">IF(OR(N(DM3)=0,N(CF6)=0,SUM(DM7,DJ7,DG7,DD7,DA7,CX7,CU7,CR7,CO7,CL7,CI7,CF7)=0),"",(CF6/DM3)^(12/12)-1+SUM(DM12,DJ12,DG12,DD12,DA12,CX12,CU12,CR12,CO12,CL12,CI12,CF12)/SUM(DM7,DJ7,DG7,DD7,DA7,CX7,CU7,CR7,CO7,CL7,CI7,CF7))</f>
        <v>0.447212366121051</v>
      </c>
      <c r="CG23" s="31" t="n">
        <f aca="false">IF(OR(N(DN3)=0,N(CG6)=0,SUM(DN7,DK7,DH7,DE7,DB7,CY7,CV7,CS7,CP7,CM7,CJ7,CG7)=0),"",(CG6/DN3)^(12/12)-1+SUM(DN12,DK12,DH12,DE12,DB12,CY12,CV12,CS12,CP12,CM12,CJ12,CG12)/SUM(DN7,DK7,DH7,DE7,DB7,CY7,CV7,CS7,CP7,CM7,CJ7,CG7))</f>
        <v>0.400132255825492</v>
      </c>
      <c r="CH23" s="31" t="str">
        <f aca="false">IF(OR(N(DL3)=0,N(CH6)=0,SUM(DL7,DI7,DF7,DC7,CZ7,CW7,CT7,CQ7,CN7,CK7,CH7)=0),"",(CH6/DL3)^(12/11)-1+SUM(DL12,DI12,DF12,DC12,CZ12,CW12,CT12,CQ12,CN12,CK12,CH12)/SUM(DL7,DI7,DF7,DC7,CZ7,CW7,CT7,CQ7,CN7,CK7,CH7))</f>
        <v/>
      </c>
      <c r="CI23" s="31" t="n">
        <f aca="false">IF(OR(N(DM3)=0,N(CI6)=0,SUM(DM7,DJ7,DG7,DD7,DA7,CX7,CU7,CR7,CO7,CL7,CI7)=0),"",(CI6/DM3)^(12/11)-1+SUM(DM12,DJ12,DG12,DD12,DA12,CX12,CU12,CR12,CO12,CL12,CI12)/SUM(DM7,DJ7,DG7,DD7,DA7,CX7,CU7,CR7,CO7,CL7,CI7))</f>
        <v>0.445348141346719</v>
      </c>
      <c r="CJ23" s="31" t="n">
        <f aca="false">IF(OR(N(DN3)=0,N(CJ6)=0,SUM(DN7,DK7,DH7,DE7,DB7,CY7,CV7,CS7,CP7,CM7,CJ7)=0),"",(CJ6/DN3)^(12/11)-1+SUM(DN12,DK12,DH12,DE12,DB12,CY12,CV12,CS12,CP12,CM12,CJ12)/SUM(DN7,DK7,DH7,DE7,DB7,CY7,CV7,CS7,CP7,CM7,CJ7))</f>
        <v>0.39462551386411</v>
      </c>
      <c r="CK23" s="31" t="str">
        <f aca="false">IF(OR(N(DL3)=0,N(CK6)=0,SUM(DL7,DI7,DF7,DC7,CZ7,CW7,CT7,CQ7,CN7,CK7)=0),"",(CK6/DL3)^(12/10)-1+SUM(DL12,DI12,DF12,DC12,CZ12,CW12,CT12,CQ12,CN12,CK12)/SUM(DL7,DI7,DF7,DC7,CZ7,CW7,CT7,CQ7,CN7,CK7))</f>
        <v/>
      </c>
      <c r="CL23" s="31" t="n">
        <f aca="false">IF(OR(N(DM3)=0,N(CL6)=0,SUM(DM7,DJ7,DG7,DD7,DA7,CX7,CU7,CR7,CO7,CL7)=0),"",(CL6/DM3)^(12/10)-1+SUM(DM12,DJ12,DG12,DD12,DA12,CX12,CU12,CR12,CO12,CL12)/SUM(DM7,DJ7,DG7,DD7,DA7,CX7,CU7,CR7,CO7,CL7))</f>
        <v>0.444301450909639</v>
      </c>
      <c r="CM23" s="31" t="n">
        <f aca="false">IF(OR(N(DN3)=0,N(CM6)=0,SUM(DN7,DK7,DH7,DE7,DB7,CY7,CV7,CS7,CP7,CM7)=0),"",(CM6/DN3)^(12/10)-1+SUM(DN12,DK12,DH12,DE12,DB12,CY12,CV12,CS12,CP12,CM12)/SUM(DN7,DK7,DH7,DE7,DB7,CY7,CV7,CS7,CP7,CM7))</f>
        <v>0.389320984620266</v>
      </c>
      <c r="CN23" s="31" t="str">
        <f aca="false">IF(OR(N(DL3)=0,N(CN6)=0,SUM(DL7,DI7,DF7,DC7,CZ7,CW7,CT7,CQ7,CN7)=0),"",(CN6/DL3)^(12/9)-1+SUM(DL12,DI12,DF12,DC12,CZ12,CW12,CT12,CQ12,CN12)/SUM(DL7,DI7,DF7,DC7,CZ7,CW7,CT7,CQ7,CN7))</f>
        <v/>
      </c>
      <c r="CO23" s="31" t="n">
        <f aca="false">IF(OR(N(DM3)=0,N(CO6)=0,SUM(DM7,DJ7,DG7,DD7,DA7,CX7,CU7,CR7,CO7)=0),"",(CO6/DM3)^(12/9)-1+SUM(DM12,DJ12,DG12,DD12,DA12,CX12,CU12,CR12,CO12)/SUM(DM7,DJ7,DG7,DD7,DA7,CX7,CU7,CR7,CO7))</f>
        <v>0.444468348738583</v>
      </c>
      <c r="CP23" s="31" t="n">
        <f aca="false">IF(OR(N(DN3)=0,N(CP6)=0,SUM(DN7,DK7,DH7,DE7,DB7,CY7,CV7,CS7,CP7)=0),"",(CP6/DN3)^(12/9)-1+SUM(DN12,DK12,DH12,DE12,DB12,CY12,CV12,CS12,CP12)/SUM(DN7,DK7,DH7,DE7,DB7,CY7,CV7,CS7,CP7))</f>
        <v>0.384322275084219</v>
      </c>
      <c r="CQ23" s="31" t="str">
        <f aca="false">IF(OR(N(DL3)=0,N(CQ6)=0,SUM(DL7,DI7,DF7,DC7,CZ7,CW7,CT7,CQ7)=0),"",(CQ6/DL3)^(12/8)-1+SUM(DL12,DI12,DF12,DC12,CZ12,CW12,CT12,CQ12)/SUM(DL7,DI7,DF7,DC7,CZ7,CW7,CT7,CQ7))</f>
        <v/>
      </c>
      <c r="CR23" s="31" t="n">
        <f aca="false">IF(OR(N(DM3)=0,N(CR6)=0,SUM(DM7,DJ7,DG7,DD7,DA7,CX7,CU7,CR7)=0),"",(CR6/DM3)^(12/8)-1+SUM(DM12,DJ12,DG12,DD12,DA12,CX12,CU12,CR12)/SUM(DM7,DJ7,DG7,DD7,DA7,CX7,CU7,CR7))</f>
        <v>0.445391170059614</v>
      </c>
      <c r="CS23" s="31" t="n">
        <f aca="false">IF(OR(N(DN3)=0,N(CS6)=0,SUM(DN7,DK7,DH7,DE7,DB7,CY7,CV7,CS7)=0),"",(CS6/DN3)^(12/8)-1+SUM(DN12,DK12,DH12,DE12,DB12,CY12,CV12,CS12)/SUM(DN7,DK7,DH7,DE7,DB7,CY7,CV7,CS7))</f>
        <v>0.378707117392293</v>
      </c>
      <c r="CT23" s="31" t="str">
        <f aca="false">IF(OR(N(DL3)=0,N(CT6)=0,SUM(DL7,DI7,DF7,DC7,CZ7,CW7,CT7)=0),"",(CT6/DL3)^(12/7)-1+SUM(DL12,DI12,DF12,DC12,CZ12,CW12,CT12)/SUM(DL7,DI7,DF7,DC7,CZ7,CW7,CT7))</f>
        <v/>
      </c>
      <c r="CU23" s="31" t="n">
        <f aca="false">IF(OR(N(DM3)=0,N(CU6)=0,SUM(DM7,DJ7,DG7,DD7,DA7,CX7,CU7)=0),"",(CU6/DM3)^(12/7)-1+SUM(DM12,DJ12,DG12,DD12,DA12,CX12,CU12)/SUM(DM7,DJ7,DG7,DD7,DA7,CX7,CU7))</f>
        <v>0.446983547501786</v>
      </c>
      <c r="CV23" s="31" t="n">
        <f aca="false">IF(OR(N(DN3)=0,N(CV6)=0,SUM(DN7,DK7,DH7,DE7,DB7,CY7,CV7)=0),"",(CV6/DN3)^(12/7)-1+SUM(DN12,DK12,DH12,DE12,DB12,CY12,CV12)/SUM(DN7,DK7,DH7,DE7,DB7,CY7,CV7))</f>
        <v>0.372007072342105</v>
      </c>
      <c r="CW23" s="31" t="str">
        <f aca="false">IF(OR(N(DL3)=0,N(CW6)=0,SUM(DL7,DI7,DF7,DC7,CZ7,CW7)=0),"",(CW6/DL3)^(12/6)-1+SUM(DL12,DI12,DF12,DC12,CZ12,CW12)/SUM(DL7,DI7,DF7,DC7,CZ7,CW7))</f>
        <v/>
      </c>
      <c r="CX23" s="31" t="n">
        <f aca="false">IF(OR(N(DM3)=0,N(CX6)=0,SUM(DM7,DJ7,DG7,DD7,DA7,CX7)=0),"",(CX6/DM3)^(12/6)-1+SUM(DM12,DJ12,DG12,DD12,DA12,CX12)/SUM(DM7,DJ7,DG7,DD7,DA7,CX7))</f>
        <v>0.451410342630513</v>
      </c>
      <c r="CY23" s="31" t="n">
        <f aca="false">IF(OR(N(DN3)=0,N(CY6)=0,SUM(DN7,DK7,DH7,DE7,DB7,CY7)=0),"",(CY6/DN3)^(12/6)-1+SUM(DN12,DK12,DH12,DE12,DB12,CY12)/SUM(DN7,DK7,DH7,DE7,DB7,CY7))</f>
        <v>0.365394994173009</v>
      </c>
      <c r="CZ23" s="31" t="str">
        <f aca="false">IF(OR(N(DL3)=0,N(CZ6)=0,SUM(DL7,DI7,DF7,DC7,CZ7)=0),"",(CZ6/DL3)^(12/5)-1+SUM(DL12,DI12,DF12,DC12,CZ12)/SUM(DL7,DI7,DF7,DC7,CZ7))</f>
        <v/>
      </c>
      <c r="DA23" s="31" t="n">
        <f aca="false">IF(OR(N(DM3)=0,N(DA6)=0,SUM(DM7,DJ7,DG7,DD7,DA7)=0),"",(DA6/DM3)^(12/5)-1+SUM(DM12,DJ12,DG12,DD12,DA12)/SUM(DM7,DJ7,DG7,DD7,DA7))</f>
        <v>0.457765302065737</v>
      </c>
      <c r="DB23" s="31" t="n">
        <f aca="false">IF(OR(N(DN3)=0,N(DB6)=0,SUM(DN7,DK7,DH7,DE7,DB7)=0),"",(DB6/DN3)^(12/5)-1+SUM(DN12,DK12,DH12,DE12,DB12)/SUM(DN7,DK7,DH7,DE7,DB7))</f>
        <v>0.356032818386455</v>
      </c>
      <c r="DC23" s="31" t="str">
        <f aca="false">IF(OR(N(DL3)=0,N(DC6)=0,SUM(DL7,DI7,DF7,DC7)=0),"",(DC6/DL3)^(12/4)-1+SUM(DL12,DI12,DF12,DC12)/SUM(DL7,DI7,DF7,DC7))</f>
        <v/>
      </c>
      <c r="DD23" s="31" t="n">
        <f aca="false">IF(OR(N(DM3)=0,N(DD6)=0,SUM(DM7,DJ7,DG7,DD7)=0),"",(DD6/DM3)^(12/4)-1+SUM(DM12,DJ12,DG12,DD12)/SUM(DM7,DJ7,DG7,DD7))</f>
        <v>0.470763323466029</v>
      </c>
      <c r="DE23" s="31" t="n">
        <f aca="false">IF(OR(N(DN3)=0,N(DE6)=0,SUM(DN7,DK7,DH7,DE7)=0),"",(DE6/DN3)^(12/4)-1+SUM(DN12,DK12,DH12,DE12)/SUM(DN7,DK7,DH7,DE7))</f>
        <v>0.345508209063734</v>
      </c>
      <c r="DF23" s="31" t="str">
        <f aca="false">IF(OR(N(DL3)=0,N(DF6)=0,SUM(DL7,DI7,DF7)=0),"",(DF6/DL3)^(12/3)-1+SUM(DL12,DI12,DF12)/SUM(DL7,DI7,DF7))</f>
        <v/>
      </c>
      <c r="DG23" s="31" t="n">
        <f aca="false">IF(OR(N(DM3)=0,N(DG6)=0,SUM(DM7,DJ7,DG7)=0),"",(DG6/DM3)^(12/3)-1+SUM(DM12,DJ12,DG12)/SUM(DM7,DJ7,DG7))</f>
        <v>0.427851756830465</v>
      </c>
      <c r="DH23" s="31" t="n">
        <f aca="false">IF(OR(N(DN3)=0,N(DH6)=0,SUM(DN7,DK7,DH7)=0),"",(DH6/DN3)^(12/3)-1+SUM(DN12,DK12,DH12)/SUM(DN7,DK7,DH7))</f>
        <v>0.221672930200692</v>
      </c>
      <c r="DI23" s="31" t="n">
        <f aca="false">IF(OR(N(DL3)=0,N(DI6)=0,SUM(DL7,DI7)=0),"",(DI6/DL3)^(12/2)-1+SUM(DL12,DI12)/SUM(DL7,DI7))</f>
        <v>0.284408917243066</v>
      </c>
      <c r="DJ23" s="31" t="n">
        <f aca="false">IF(OR(N(DM3)=0,N(DJ6)=0,SUM(DM7,DJ7)=0),"",(DJ6/DM3)^(12/2)-1+SUM(DM12,DJ12)/SUM(DM7,DJ7))</f>
        <v>0.284408917243066</v>
      </c>
      <c r="DK23" s="31" t="n">
        <f aca="false">IF(OR(N(DN3)=0,N(DK6)=0,SUM(DN7,DK7)=0),"",(DK6/DN3)^(12/2)-1+SUM(DN12,DK12)/SUM(DN7,DK7))</f>
        <v>0.0232008302251643</v>
      </c>
      <c r="DL23" s="31" t="n">
        <f aca="false">IF(OR(N(DL3)=0,N(DL6)=0,SUM(DL7)=0),"",(DL6/DL3)^(12/1)-1+SUM(DL12)/SUM(DL7))</f>
        <v>0.346685591013212</v>
      </c>
      <c r="DM23" s="31" t="n">
        <f aca="false">IF(OR(N(DM3)=0,N(DM6)=0,SUM(DM7)=0),"",(DM6/DM3)^(12/1)-1+SUM(DM12)/SUM(DM7))</f>
        <v>0.346685591013212</v>
      </c>
      <c r="DN23" s="31" t="n">
        <f aca="false">IF(OR(N(DN3)=0,N(DN6)=0,SUM(DN7)=0),"",(DN6/DN3)^(12/1)-1+SUM(DN12)/SUM(DN7))</f>
        <v>0.0401813360378584</v>
      </c>
    </row>
    <row r="24" customFormat="false" ht="15.75" hidden="false" customHeight="true" outlineLevel="0" collapsed="false">
      <c r="A24" s="32" t="s">
        <v>123</v>
      </c>
      <c r="B24" s="33" t="n">
        <f aca="false">IF(K24&lt;&gt;"",K24,IF(N24&lt;&gt;"",N24,IF(Q24&lt;&gt;"",Q24,IF(T24&lt;&gt;"",T24,IF(W24&lt;&gt;"",W24,IF(Z24&lt;&gt;"",Z24,IF(AC24&lt;&gt;"",AC24,IF(AF24&lt;&gt;"",AF24,IF(AI24&lt;&gt;"",AI24,IF(AL24&lt;&gt;"",AL24,IF(AO24&lt;&gt;"",AO24,IF(AR24&lt;&gt;"",AR24,""))))))))))))</f>
        <v>0</v>
      </c>
      <c r="C24" s="33" t="n">
        <f aca="false">L24</f>
        <v>1000000</v>
      </c>
      <c r="D24" s="33" t="n">
        <f aca="false">M24</f>
        <v>1000000</v>
      </c>
      <c r="E24" s="33" t="n">
        <f aca="false">IF(AU24&lt;&gt;"",AU24,IF(AX24&lt;&gt;"",AX24,IF(BA24&lt;&gt;"",BA24,IF(BD24&lt;&gt;"",BD24,IF(BG24&lt;&gt;"",BG24,IF(BJ24&lt;&gt;"",BJ24,IF(BM24&lt;&gt;"",BM24,IF(BP24&lt;&gt;"",BP24,IF(BS24&lt;&gt;"",BS24,IF(BV24&lt;&gt;"",BV24,IF(BY24&lt;&gt;"",BY24,IF(CB24&lt;&gt;"",CB24,""))))))))))))</f>
        <v>0</v>
      </c>
      <c r="F24" s="33" t="n">
        <f aca="false">AV24</f>
        <v>1000000</v>
      </c>
      <c r="G24" s="33" t="n">
        <f aca="false">AW24</f>
        <v>1000000</v>
      </c>
      <c r="H24" s="33" t="n">
        <f aca="false">IF(CE24&lt;&gt;"",CE24,IF(CH24&lt;&gt;"",CH24,IF(CK24&lt;&gt;"",CK24,IF(CN24&lt;&gt;"",CN24,IF(CQ24&lt;&gt;"",CQ24,IF(CT24&lt;&gt;"",CT24,IF(CW24&lt;&gt;"",CW24,IF(CZ24&lt;&gt;"",CZ24,IF(DC24&lt;&gt;"",DC24,IF(DF24&lt;&gt;"",DF24,IF(DI24&lt;&gt;"",DI24,IF(DL24&lt;&gt;"",DL24,""))))))))))))</f>
        <v>0</v>
      </c>
      <c r="I24" s="33" t="n">
        <f aca="false">CF24</f>
        <v>1000000</v>
      </c>
      <c r="J24" s="33" t="n">
        <f aca="false">CG24</f>
        <v>1000000</v>
      </c>
      <c r="K24" s="33" t="n">
        <f aca="false">Finance!K55</f>
        <v>0</v>
      </c>
      <c r="L24" s="33" t="n">
        <f aca="false">Finance!L55</f>
        <v>1000000</v>
      </c>
      <c r="M24" s="33" t="n">
        <f aca="false">Finance!M55</f>
        <v>1000000</v>
      </c>
      <c r="N24" s="33" t="n">
        <f aca="false">Finance!N55</f>
        <v>0</v>
      </c>
      <c r="O24" s="33" t="n">
        <f aca="false">Finance!O55</f>
        <v>1000000</v>
      </c>
      <c r="P24" s="33" t="n">
        <f aca="false">Finance!P55</f>
        <v>1000000</v>
      </c>
      <c r="Q24" s="33" t="n">
        <f aca="false">Finance!Q55</f>
        <v>0</v>
      </c>
      <c r="R24" s="33" t="n">
        <f aca="false">Finance!R55</f>
        <v>1000000</v>
      </c>
      <c r="S24" s="33" t="n">
        <f aca="false">Finance!S55</f>
        <v>1000000</v>
      </c>
      <c r="T24" s="33" t="n">
        <f aca="false">Finance!T55</f>
        <v>0</v>
      </c>
      <c r="U24" s="33" t="n">
        <f aca="false">Finance!U55</f>
        <v>1000000</v>
      </c>
      <c r="V24" s="33" t="n">
        <f aca="false">Finance!V55</f>
        <v>1000000</v>
      </c>
      <c r="W24" s="33" t="n">
        <f aca="false">Finance!W55</f>
        <v>0</v>
      </c>
      <c r="X24" s="33" t="n">
        <f aca="false">Finance!X55</f>
        <v>1000000</v>
      </c>
      <c r="Y24" s="33" t="n">
        <f aca="false">Finance!Y55</f>
        <v>1000000</v>
      </c>
      <c r="Z24" s="33" t="n">
        <f aca="false">Finance!Z55</f>
        <v>0</v>
      </c>
      <c r="AA24" s="33" t="n">
        <f aca="false">Finance!AA55</f>
        <v>1000000</v>
      </c>
      <c r="AB24" s="33" t="n">
        <f aca="false">Finance!AB55</f>
        <v>1000000</v>
      </c>
      <c r="AC24" s="33" t="n">
        <f aca="false">Finance!AC55</f>
        <v>0</v>
      </c>
      <c r="AD24" s="33" t="n">
        <f aca="false">Finance!AD55</f>
        <v>1000000</v>
      </c>
      <c r="AE24" s="33" t="n">
        <f aca="false">Finance!AE55</f>
        <v>1000000</v>
      </c>
      <c r="AF24" s="33" t="n">
        <f aca="false">Finance!AF55</f>
        <v>0</v>
      </c>
      <c r="AG24" s="33" t="n">
        <f aca="false">Finance!AG55</f>
        <v>1000000</v>
      </c>
      <c r="AH24" s="33" t="n">
        <f aca="false">Finance!AH55</f>
        <v>1000000</v>
      </c>
      <c r="AI24" s="33" t="n">
        <f aca="false">Finance!AI55</f>
        <v>0</v>
      </c>
      <c r="AJ24" s="33" t="n">
        <f aca="false">Finance!AJ55</f>
        <v>1000000</v>
      </c>
      <c r="AK24" s="33" t="n">
        <f aca="false">Finance!AK55</f>
        <v>1000000</v>
      </c>
      <c r="AL24" s="33" t="n">
        <f aca="false">Finance!AL55</f>
        <v>0</v>
      </c>
      <c r="AM24" s="33" t="n">
        <f aca="false">Finance!AM55</f>
        <v>1000000</v>
      </c>
      <c r="AN24" s="33" t="n">
        <f aca="false">Finance!AN55</f>
        <v>1000000</v>
      </c>
      <c r="AO24" s="33" t="n">
        <f aca="false">Finance!AO55</f>
        <v>0</v>
      </c>
      <c r="AP24" s="33" t="n">
        <f aca="false">Finance!AP55</f>
        <v>1000000</v>
      </c>
      <c r="AQ24" s="33" t="n">
        <f aca="false">Finance!AQ55</f>
        <v>1000000</v>
      </c>
      <c r="AR24" s="33" t="n">
        <f aca="false">Finance!AR55</f>
        <v>0</v>
      </c>
      <c r="AS24" s="33" t="n">
        <f aca="false">Finance!AS55</f>
        <v>1000000</v>
      </c>
      <c r="AT24" s="33" t="n">
        <f aca="false">Finance!AT55</f>
        <v>1000000</v>
      </c>
      <c r="AU24" s="33" t="n">
        <f aca="false">Finance!AU55</f>
        <v>0</v>
      </c>
      <c r="AV24" s="33" t="n">
        <f aca="false">Finance!AV55</f>
        <v>1000000</v>
      </c>
      <c r="AW24" s="33" t="n">
        <f aca="false">Finance!AW55</f>
        <v>1000000</v>
      </c>
      <c r="AX24" s="33" t="n">
        <f aca="false">Finance!AX55</f>
        <v>0</v>
      </c>
      <c r="AY24" s="33" t="n">
        <f aca="false">Finance!AY55</f>
        <v>1000000</v>
      </c>
      <c r="AZ24" s="33" t="n">
        <f aca="false">Finance!AZ55</f>
        <v>1000000</v>
      </c>
      <c r="BA24" s="33" t="n">
        <f aca="false">Finance!BA55</f>
        <v>0</v>
      </c>
      <c r="BB24" s="33" t="n">
        <f aca="false">Finance!BB55</f>
        <v>1000000</v>
      </c>
      <c r="BC24" s="33" t="n">
        <f aca="false">Finance!BC55</f>
        <v>1000000</v>
      </c>
      <c r="BD24" s="33" t="n">
        <f aca="false">Finance!BD55</f>
        <v>0</v>
      </c>
      <c r="BE24" s="33" t="n">
        <f aca="false">Finance!BE55</f>
        <v>1000000</v>
      </c>
      <c r="BF24" s="33" t="n">
        <f aca="false">Finance!BF55</f>
        <v>1000000</v>
      </c>
      <c r="BG24" s="33" t="n">
        <f aca="false">Finance!BG55</f>
        <v>0</v>
      </c>
      <c r="BH24" s="33" t="n">
        <f aca="false">Finance!BH55</f>
        <v>1000000</v>
      </c>
      <c r="BI24" s="33" t="n">
        <f aca="false">Finance!BI55</f>
        <v>1000000</v>
      </c>
      <c r="BJ24" s="33" t="n">
        <f aca="false">Finance!BJ55</f>
        <v>0</v>
      </c>
      <c r="BK24" s="33" t="n">
        <f aca="false">Finance!BK55</f>
        <v>1000000</v>
      </c>
      <c r="BL24" s="33" t="n">
        <f aca="false">Finance!BL55</f>
        <v>1000000</v>
      </c>
      <c r="BM24" s="33" t="n">
        <f aca="false">Finance!BM55</f>
        <v>0</v>
      </c>
      <c r="BN24" s="33" t="n">
        <f aca="false">Finance!BN55</f>
        <v>1000000</v>
      </c>
      <c r="BO24" s="33" t="n">
        <f aca="false">Finance!BO55</f>
        <v>1000000</v>
      </c>
      <c r="BP24" s="33" t="n">
        <f aca="false">Finance!BP55</f>
        <v>0</v>
      </c>
      <c r="BQ24" s="33" t="n">
        <f aca="false">Finance!BQ55</f>
        <v>1000000</v>
      </c>
      <c r="BR24" s="33" t="n">
        <f aca="false">Finance!BR55</f>
        <v>1000000</v>
      </c>
      <c r="BS24" s="33" t="n">
        <f aca="false">Finance!BS55</f>
        <v>0</v>
      </c>
      <c r="BT24" s="33" t="n">
        <f aca="false">Finance!BT55</f>
        <v>1000000</v>
      </c>
      <c r="BU24" s="33" t="n">
        <f aca="false">Finance!BU55</f>
        <v>1000000</v>
      </c>
      <c r="BV24" s="33" t="n">
        <f aca="false">Finance!BV55</f>
        <v>0</v>
      </c>
      <c r="BW24" s="33" t="n">
        <f aca="false">Finance!BW55</f>
        <v>1000000</v>
      </c>
      <c r="BX24" s="33" t="n">
        <f aca="false">Finance!BX55</f>
        <v>1000000</v>
      </c>
      <c r="BY24" s="33" t="n">
        <f aca="false">Finance!BY55</f>
        <v>0</v>
      </c>
      <c r="BZ24" s="33" t="n">
        <f aca="false">Finance!BZ55</f>
        <v>1000000</v>
      </c>
      <c r="CA24" s="33" t="n">
        <f aca="false">Finance!CA55</f>
        <v>1000000</v>
      </c>
      <c r="CB24" s="33" t="n">
        <f aca="false">Finance!CB55</f>
        <v>0</v>
      </c>
      <c r="CC24" s="33" t="n">
        <f aca="false">Finance!CC55</f>
        <v>1000000</v>
      </c>
      <c r="CD24" s="33" t="n">
        <f aca="false">Finance!CD55</f>
        <v>1000000</v>
      </c>
      <c r="CE24" s="33" t="n">
        <f aca="false">Finance!CE55</f>
        <v>0</v>
      </c>
      <c r="CF24" s="33" t="n">
        <f aca="false">Finance!CF55</f>
        <v>1000000</v>
      </c>
      <c r="CG24" s="33" t="n">
        <f aca="false">Finance!CG55</f>
        <v>1000000</v>
      </c>
      <c r="CH24" s="33" t="n">
        <f aca="false">Finance!CH55</f>
        <v>0</v>
      </c>
      <c r="CI24" s="33" t="n">
        <f aca="false">Finance!CI55</f>
        <v>1000000</v>
      </c>
      <c r="CJ24" s="33" t="n">
        <f aca="false">Finance!CJ55</f>
        <v>1000000</v>
      </c>
      <c r="CK24" s="33" t="n">
        <f aca="false">Finance!CK55</f>
        <v>0</v>
      </c>
      <c r="CL24" s="33" t="n">
        <f aca="false">Finance!CL55</f>
        <v>1000000</v>
      </c>
      <c r="CM24" s="33" t="n">
        <f aca="false">Finance!CM55</f>
        <v>1000000</v>
      </c>
      <c r="CN24" s="33" t="n">
        <f aca="false">Finance!CN55</f>
        <v>0</v>
      </c>
      <c r="CO24" s="33" t="n">
        <f aca="false">Finance!CO55</f>
        <v>1000000</v>
      </c>
      <c r="CP24" s="33" t="n">
        <f aca="false">Finance!CP55</f>
        <v>1000000</v>
      </c>
      <c r="CQ24" s="33" t="n">
        <f aca="false">Finance!CQ55</f>
        <v>0</v>
      </c>
      <c r="CR24" s="33" t="n">
        <f aca="false">Finance!CR55</f>
        <v>1000000</v>
      </c>
      <c r="CS24" s="33" t="n">
        <f aca="false">Finance!CS55</f>
        <v>1000000</v>
      </c>
      <c r="CT24" s="33" t="n">
        <f aca="false">Finance!CT55</f>
        <v>0</v>
      </c>
      <c r="CU24" s="33" t="n">
        <f aca="false">Finance!CU55</f>
        <v>1000000</v>
      </c>
      <c r="CV24" s="33" t="n">
        <f aca="false">Finance!CV55</f>
        <v>1000000</v>
      </c>
      <c r="CW24" s="33" t="n">
        <f aca="false">Finance!CW55</f>
        <v>0</v>
      </c>
      <c r="CX24" s="33" t="n">
        <f aca="false">Finance!CX55</f>
        <v>1000000</v>
      </c>
      <c r="CY24" s="33" t="n">
        <f aca="false">Finance!CY55</f>
        <v>1000000</v>
      </c>
      <c r="CZ24" s="33" t="n">
        <f aca="false">Finance!CZ55</f>
        <v>0</v>
      </c>
      <c r="DA24" s="33" t="n">
        <f aca="false">Finance!DA55</f>
        <v>1000000</v>
      </c>
      <c r="DB24" s="33" t="n">
        <f aca="false">Finance!DB55</f>
        <v>1000000</v>
      </c>
      <c r="DC24" s="33" t="n">
        <f aca="false">Finance!DC55</f>
        <v>0</v>
      </c>
      <c r="DD24" s="33" t="n">
        <f aca="false">Finance!DD55</f>
        <v>1000000</v>
      </c>
      <c r="DE24" s="33" t="n">
        <f aca="false">Finance!DE55</f>
        <v>1000000</v>
      </c>
      <c r="DF24" s="33" t="n">
        <f aca="false">Finance!DF55</f>
        <v>0</v>
      </c>
      <c r="DG24" s="33" t="n">
        <f aca="false">Finance!DG55</f>
        <v>1000000</v>
      </c>
      <c r="DH24" s="33" t="n">
        <f aca="false">Finance!DH55</f>
        <v>1000000</v>
      </c>
      <c r="DI24" s="33" t="n">
        <f aca="false">Finance!DI55</f>
        <v>1000000</v>
      </c>
      <c r="DJ24" s="33" t="n">
        <f aca="false">Finance!DJ55</f>
        <v>1000000</v>
      </c>
      <c r="DK24" s="33" t="n">
        <f aca="false">Finance!DK55</f>
        <v>1000000</v>
      </c>
      <c r="DL24" s="33" t="n">
        <f aca="false">Finance!DL55</f>
        <v>1000000</v>
      </c>
      <c r="DM24" s="33" t="n">
        <f aca="false">Finance!DM55</f>
        <v>1000000</v>
      </c>
      <c r="DN24" s="33" t="n">
        <f aca="false">Finance!DN55</f>
        <v>1000000</v>
      </c>
    </row>
    <row r="25" customFormat="false" ht="15.75" hidden="false" customHeight="true" outlineLevel="0" collapsed="false">
      <c r="A25" s="32" t="s">
        <v>124</v>
      </c>
      <c r="B25" s="32" t="str">
        <f aca="false">IF(K25&lt;&gt;"",K25,IF(N25&lt;&gt;"",N25,IF(Q25&lt;&gt;"",Q25,IF(T25&lt;&gt;"",T25,IF(W25&lt;&gt;"",W25,IF(Z25&lt;&gt;"",Z25,IF(AC25&lt;&gt;"",AC25,IF(AF25&lt;&gt;"",AF25,IF(AI25&lt;&gt;"",AI25,IF(AL25&lt;&gt;"",AL25,IF(AO25&lt;&gt;"",AO25,IF(AR25&lt;&gt;"",AR25,""))))))))))))</f>
        <v/>
      </c>
      <c r="C25" s="33" t="n">
        <f aca="false">L25</f>
        <v>9115245.33119701</v>
      </c>
      <c r="D25" s="33" t="n">
        <f aca="false">M25</f>
        <v>7446072.503</v>
      </c>
      <c r="E25" s="32" t="str">
        <f aca="false">IF(AU25&lt;&gt;"",AU25,IF(AX25&lt;&gt;"",AX25,IF(BA25&lt;&gt;"",BA25,IF(BD25&lt;&gt;"",BD25,IF(BG25&lt;&gt;"",BG25,IF(BJ25&lt;&gt;"",BJ25,IF(BM25&lt;&gt;"",BM25,IF(BP25&lt;&gt;"",BP25,IF(BS25&lt;&gt;"",BS25,IF(BV25&lt;&gt;"",BV25,IF(BY25&lt;&gt;"",BY25,IF(CB25&lt;&gt;"",CB25,""))))))))))))</f>
        <v/>
      </c>
      <c r="F25" s="33" t="n">
        <f aca="false">AV25</f>
        <v>4312045.7240161</v>
      </c>
      <c r="G25" s="33" t="n">
        <f aca="false">AW25</f>
        <v>2870649.48</v>
      </c>
      <c r="H25" s="33" t="n">
        <f aca="false">IF(CE25&lt;&gt;"",CE25,IF(CH25&lt;&gt;"",CH25,IF(CK25&lt;&gt;"",CK25,IF(CN25&lt;&gt;"",CN25,IF(CQ25&lt;&gt;"",CQ25,IF(CT25&lt;&gt;"",CT25,IF(CW25&lt;&gt;"",CW25,IF(CZ25&lt;&gt;"",CZ25,IF(DC25&lt;&gt;"",DC25,IF(DF25&lt;&gt;"",DF25,IF(DI25&lt;&gt;"",DI25,IF(DL25&lt;&gt;"",DL25,""))))))))))))</f>
        <v>1177985.026</v>
      </c>
      <c r="I25" s="33" t="n">
        <f aca="false">CF25</f>
        <v>2053151.31026133</v>
      </c>
      <c r="J25" s="33" t="n">
        <f aca="false">CG25</f>
        <v>841858.0455</v>
      </c>
      <c r="K25" s="33" t="str">
        <f aca="false">Finance!K56</f>
        <v/>
      </c>
      <c r="L25" s="33" t="n">
        <f aca="false">Finance!L56</f>
        <v>9115245.33119701</v>
      </c>
      <c r="M25" s="33" t="n">
        <f aca="false">Finance!M56</f>
        <v>7446072.503</v>
      </c>
      <c r="N25" s="33" t="str">
        <f aca="false">Finance!N56</f>
        <v/>
      </c>
      <c r="O25" s="33" t="n">
        <f aca="false">Finance!O56</f>
        <v>8509935.88082831</v>
      </c>
      <c r="P25" s="33" t="n">
        <f aca="false">Finance!P56</f>
        <v>6859609.093</v>
      </c>
      <c r="Q25" s="33" t="str">
        <f aca="false">Finance!Q56</f>
        <v/>
      </c>
      <c r="R25" s="33" t="n">
        <f aca="false">Finance!R56</f>
        <v>7944852.11387681</v>
      </c>
      <c r="S25" s="33" t="n">
        <f aca="false">Finance!S56</f>
        <v>6313395.74</v>
      </c>
      <c r="T25" s="33" t="str">
        <f aca="false">Finance!T56</f>
        <v/>
      </c>
      <c r="U25" s="33" t="n">
        <f aca="false">Finance!U56</f>
        <v>7419625.17402727</v>
      </c>
      <c r="V25" s="33" t="n">
        <f aca="false">Finance!V56</f>
        <v>5807063.488</v>
      </c>
      <c r="W25" s="33" t="str">
        <f aca="false">Finance!W56</f>
        <v/>
      </c>
      <c r="X25" s="33" t="n">
        <f aca="false">Finance!X56</f>
        <v>6933936.78608056</v>
      </c>
      <c r="Y25" s="33" t="n">
        <f aca="false">Finance!Y56</f>
        <v>5340294.132</v>
      </c>
      <c r="Z25" s="33" t="str">
        <f aca="false">Finance!Z56</f>
        <v/>
      </c>
      <c r="AA25" s="33" t="n">
        <f aca="false">Finance!AA56</f>
        <v>6487470.40944179</v>
      </c>
      <c r="AB25" s="33" t="n">
        <f aca="false">Finance!AB56</f>
        <v>4912770.203</v>
      </c>
      <c r="AC25" s="33" t="str">
        <f aca="false">Finance!AC56</f>
        <v/>
      </c>
      <c r="AD25" s="33" t="n">
        <f aca="false">Finance!AD56</f>
        <v>6088307.38889065</v>
      </c>
      <c r="AE25" s="33" t="n">
        <f aca="false">Finance!AE56</f>
        <v>4532573.938</v>
      </c>
      <c r="AF25" s="33" t="str">
        <f aca="false">Finance!AF56</f>
        <v/>
      </c>
      <c r="AG25" s="33" t="n">
        <f aca="false">Finance!AG56</f>
        <v>5708444.18551765</v>
      </c>
      <c r="AH25" s="33" t="n">
        <f aca="false">Finance!AH56</f>
        <v>4171700.866</v>
      </c>
      <c r="AI25" s="33" t="str">
        <f aca="false">Finance!AI56</f>
        <v/>
      </c>
      <c r="AJ25" s="33" t="n">
        <f aca="false">Finance!AJ56</f>
        <v>5366656.15591473</v>
      </c>
      <c r="AK25" s="33" t="n">
        <f aca="false">Finance!AK56</f>
        <v>3848928.225</v>
      </c>
      <c r="AL25" s="33" t="str">
        <f aca="false">Finance!AL56</f>
        <v/>
      </c>
      <c r="AM25" s="33" t="n">
        <f aca="false">Finance!AM56</f>
        <v>5070993.8522452</v>
      </c>
      <c r="AN25" s="33" t="n">
        <f aca="false">Finance!AN56</f>
        <v>3572304.438</v>
      </c>
      <c r="AO25" s="33" t="str">
        <f aca="false">Finance!AO56</f>
        <v/>
      </c>
      <c r="AP25" s="33" t="n">
        <f aca="false">Finance!AP56</f>
        <v>4807506.35620368</v>
      </c>
      <c r="AQ25" s="33" t="n">
        <f aca="false">Finance!AQ56</f>
        <v>3327879.656</v>
      </c>
      <c r="AR25" s="33" t="str">
        <f aca="false">Finance!AR56</f>
        <v/>
      </c>
      <c r="AS25" s="33" t="n">
        <f aca="false">Finance!AS56</f>
        <v>4565702.85276762</v>
      </c>
      <c r="AT25" s="33" t="n">
        <f aca="false">Finance!AT56</f>
        <v>3105189.809</v>
      </c>
      <c r="AU25" s="33" t="str">
        <f aca="false">Finance!AU56</f>
        <v/>
      </c>
      <c r="AV25" s="33" t="n">
        <f aca="false">Finance!AV56</f>
        <v>4312045.7240161</v>
      </c>
      <c r="AW25" s="33" t="n">
        <f aca="false">Finance!AW56</f>
        <v>2870649.48</v>
      </c>
      <c r="AX25" s="33" t="str">
        <f aca="false">Finance!AX56</f>
        <v/>
      </c>
      <c r="AY25" s="33" t="n">
        <f aca="false">Finance!AY56</f>
        <v>4048120.20947486</v>
      </c>
      <c r="AZ25" s="33" t="n">
        <f aca="false">Finance!AZ56</f>
        <v>2625889.966</v>
      </c>
      <c r="BA25" s="33" t="str">
        <f aca="false">Finance!BA56</f>
        <v/>
      </c>
      <c r="BB25" s="33" t="n">
        <f aca="false">Finance!BB56</f>
        <v>3828521.86151434</v>
      </c>
      <c r="BC25" s="33" t="n">
        <f aca="false">Finance!BC56</f>
        <v>2425458.787</v>
      </c>
      <c r="BD25" s="33" t="str">
        <f aca="false">Finance!BD56</f>
        <v/>
      </c>
      <c r="BE25" s="33" t="n">
        <f aca="false">Finance!BE56</f>
        <v>3616280.11775193</v>
      </c>
      <c r="BF25" s="33" t="n">
        <f aca="false">Finance!BF56</f>
        <v>2232387.257</v>
      </c>
      <c r="BG25" s="33" t="str">
        <f aca="false">Finance!BG56</f>
        <v/>
      </c>
      <c r="BH25" s="33" t="n">
        <f aca="false">Finance!BH56</f>
        <v>3407079.34085812</v>
      </c>
      <c r="BI25" s="33" t="n">
        <f aca="false">Finance!BI56</f>
        <v>2042358.839</v>
      </c>
      <c r="BJ25" s="33" t="str">
        <f aca="false">Finance!BJ56</f>
        <v/>
      </c>
      <c r="BK25" s="33" t="n">
        <f aca="false">Finance!BK56</f>
        <v>3222666.24199215</v>
      </c>
      <c r="BL25" s="33" t="n">
        <f aca="false">Finance!BL56</f>
        <v>1877122.116</v>
      </c>
      <c r="BM25" s="33" t="str">
        <f aca="false">Finance!BM56</f>
        <v/>
      </c>
      <c r="BN25" s="33" t="n">
        <f aca="false">Finance!BN56</f>
        <v>3016161.19821147</v>
      </c>
      <c r="BO25" s="33" t="n">
        <f aca="false">Finance!BO56</f>
        <v>1689795.569</v>
      </c>
      <c r="BP25" s="33" t="str">
        <f aca="false">Finance!BP56</f>
        <v/>
      </c>
      <c r="BQ25" s="33" t="n">
        <f aca="false">Finance!BQ56</f>
        <v>2844836.39596826</v>
      </c>
      <c r="BR25" s="33" t="n">
        <f aca="false">Finance!BR56</f>
        <v>1537652.25</v>
      </c>
      <c r="BS25" s="33" t="str">
        <f aca="false">Finance!BS56</f>
        <v/>
      </c>
      <c r="BT25" s="33" t="n">
        <f aca="false">Finance!BT56</f>
        <v>2659274.67329666</v>
      </c>
      <c r="BU25" s="33" t="n">
        <f aca="false">Finance!BU56</f>
        <v>1371273.858</v>
      </c>
      <c r="BV25" s="33" t="str">
        <f aca="false">Finance!BV56</f>
        <v/>
      </c>
      <c r="BW25" s="33" t="n">
        <f aca="false">Finance!BW56</f>
        <v>2502218.28787819</v>
      </c>
      <c r="BX25" s="33" t="n">
        <f aca="false">Finance!BX56</f>
        <v>1233404.753</v>
      </c>
      <c r="BY25" s="33" t="str">
        <f aca="false">Finance!BY56</f>
        <v/>
      </c>
      <c r="BZ25" s="33" t="n">
        <f aca="false">Finance!BZ56</f>
        <v>2346240.36228232</v>
      </c>
      <c r="CA25" s="33" t="n">
        <f aca="false">Finance!CA56</f>
        <v>1096616.906</v>
      </c>
      <c r="CB25" s="33" t="str">
        <f aca="false">Finance!CB56</f>
        <v/>
      </c>
      <c r="CC25" s="33" t="n">
        <f aca="false">Finance!CC56</f>
        <v>2216128.27546121</v>
      </c>
      <c r="CD25" s="33" t="n">
        <f aca="false">Finance!CD56</f>
        <v>985677.9479</v>
      </c>
      <c r="CE25" s="33" t="str">
        <f aca="false">Finance!CE56</f>
        <v/>
      </c>
      <c r="CF25" s="33" t="n">
        <f aca="false">Finance!CF56</f>
        <v>2053151.31026133</v>
      </c>
      <c r="CG25" s="33" t="n">
        <f aca="false">Finance!CG56</f>
        <v>841858.0455</v>
      </c>
      <c r="CH25" s="33" t="str">
        <f aca="false">Finance!CH56</f>
        <v/>
      </c>
      <c r="CI25" s="33" t="n">
        <f aca="false">Finance!CI56</f>
        <v>1889583.45646386</v>
      </c>
      <c r="CJ25" s="33" t="n">
        <f aca="false">Finance!CJ56</f>
        <v>697474.456</v>
      </c>
      <c r="CK25" s="33" t="str">
        <f aca="false">Finance!CK56</f>
        <v/>
      </c>
      <c r="CL25" s="33" t="n">
        <f aca="false">Finance!CL56</f>
        <v>1744496.46486694</v>
      </c>
      <c r="CM25" s="33" t="n">
        <f aca="false">Finance!CM56</f>
        <v>571554.7434</v>
      </c>
      <c r="CN25" s="33" t="str">
        <f aca="false">Finance!CN56</f>
        <v/>
      </c>
      <c r="CO25" s="33" t="n">
        <f aca="false">Finance!CO56</f>
        <v>1624574.0487716</v>
      </c>
      <c r="CP25" s="33" t="n">
        <f aca="false">Finance!CP56</f>
        <v>470783.4999</v>
      </c>
      <c r="CQ25" s="33" t="str">
        <f aca="false">Finance!CQ56</f>
        <v/>
      </c>
      <c r="CR25" s="33" t="n">
        <f aca="false">Finance!CR56</f>
        <v>1517311.10151831</v>
      </c>
      <c r="CS25" s="33" t="n">
        <f aca="false">Finance!CS56</f>
        <v>382698.2496</v>
      </c>
      <c r="CT25" s="33" t="str">
        <f aca="false">Finance!CT56</f>
        <v/>
      </c>
      <c r="CU25" s="33" t="n">
        <f aca="false">Finance!CU56</f>
        <v>1412756.48531186</v>
      </c>
      <c r="CV25" s="33" t="n">
        <f aca="false">Finance!CV56</f>
        <v>297304.3071</v>
      </c>
      <c r="CW25" s="33" t="str">
        <f aca="false">Finance!CW56</f>
        <v/>
      </c>
      <c r="CX25" s="33" t="n">
        <f aca="false">Finance!CX56</f>
        <v>1334691.99157465</v>
      </c>
      <c r="CY25" s="33" t="n">
        <f aca="false">Finance!CY56</f>
        <v>238384.3382</v>
      </c>
      <c r="CZ25" s="33" t="str">
        <f aca="false">Finance!CZ56</f>
        <v/>
      </c>
      <c r="DA25" s="33" t="n">
        <f aca="false">Finance!DA56</f>
        <v>1255489.53944209</v>
      </c>
      <c r="DB25" s="33" t="n">
        <f aca="false">Finance!DB56</f>
        <v>178352.2713</v>
      </c>
      <c r="DC25" s="33" t="str">
        <f aca="false">Finance!DC56</f>
        <v/>
      </c>
      <c r="DD25" s="33" t="n">
        <f aca="false">Finance!DD56</f>
        <v>1194085.15395101</v>
      </c>
      <c r="DE25" s="33" t="n">
        <f aca="false">Finance!DE56</f>
        <v>123578.52</v>
      </c>
      <c r="DF25" s="33" t="n">
        <f aca="false">Finance!DF56</f>
        <v>1177985.026</v>
      </c>
      <c r="DG25" s="33" t="n">
        <f aca="false">Finance!DG56</f>
        <v>1161750.02637105</v>
      </c>
      <c r="DH25" s="33" t="n">
        <f aca="false">Finance!DH56</f>
        <v>118652.52</v>
      </c>
      <c r="DI25" s="33" t="n">
        <f aca="false">Finance!DI56</f>
        <v>181432</v>
      </c>
      <c r="DJ25" s="33" t="n">
        <f aca="false">Finance!DJ56</f>
        <v>181432</v>
      </c>
      <c r="DK25" s="33" t="n">
        <f aca="false">Finance!DK56</f>
        <v>-814560.48</v>
      </c>
      <c r="DL25" s="33" t="n">
        <f aca="false">Finance!DL56</f>
        <v>170890</v>
      </c>
      <c r="DM25" s="33" t="n">
        <f aca="false">Finance!DM56</f>
        <v>170890</v>
      </c>
      <c r="DN25" s="33" t="n">
        <f aca="false">Finance!DN56</f>
        <v>-787110</v>
      </c>
    </row>
    <row r="26" customFormat="false" ht="15.75" hidden="false" customHeight="true" outlineLevel="0" collapsed="false">
      <c r="A26" s="32" t="s">
        <v>125</v>
      </c>
      <c r="B26" s="34" t="str">
        <f aca="false">IF(K26&lt;&gt;"",K26,IF(N26&lt;&gt;"",N26,IF(Q26&lt;&gt;"",Q26,IF(T26&lt;&gt;"",T26,IF(W26&lt;&gt;"",W26,IF(Z26&lt;&gt;"",Z26,IF(AC26&lt;&gt;"",AC26,IF(AF26&lt;&gt;"",AF26,IF(AI26&lt;&gt;"",AI26,IF(AL26&lt;&gt;"",AL26,IF(AO26&lt;&gt;"",AO26,IF(AR26&lt;&gt;"",AR26,""))))))))))))</f>
        <v/>
      </c>
      <c r="C26" s="34" t="str">
        <f aca="false">L26</f>
        <v>OK</v>
      </c>
      <c r="D26" s="34" t="str">
        <f aca="false">M26</f>
        <v>OK</v>
      </c>
      <c r="E26" s="34" t="str">
        <f aca="false">IF(AU26&lt;&gt;"",AU26,IF(AX26&lt;&gt;"",AX26,IF(BA26&lt;&gt;"",BA26,IF(BD26&lt;&gt;"",BD26,IF(BG26&lt;&gt;"",BG26,IF(BJ26&lt;&gt;"",BJ26,IF(BM26&lt;&gt;"",BM26,IF(BP26&lt;&gt;"",BP26,IF(BS26&lt;&gt;"",BS26,IF(BV26&lt;&gt;"",BV26,IF(BY26&lt;&gt;"",BY26,IF(CB26&lt;&gt;"",CB26,""))))))))))))</f>
        <v/>
      </c>
      <c r="F26" s="34" t="str">
        <f aca="false">AV26</f>
        <v>OK</v>
      </c>
      <c r="G26" s="34" t="str">
        <f aca="false">AW26</f>
        <v>OK</v>
      </c>
      <c r="H26" s="34" t="str">
        <f aca="false">IF(CE26&lt;&gt;"",CE26,IF(CH26&lt;&gt;"",CH26,IF(CK26&lt;&gt;"",CK26,IF(CN26&lt;&gt;"",CN26,IF(CQ26&lt;&gt;"",CQ26,IF(CT26&lt;&gt;"",CT26,IF(CW26&lt;&gt;"",CW26,IF(CZ26&lt;&gt;"",CZ26,IF(DC26&lt;&gt;"",DC26,IF(DF26&lt;&gt;"",DF26,IF(DI26&lt;&gt;"",DI26,IF(DL26&lt;&gt;"",DL26,""))))))))))))</f>
        <v>OK</v>
      </c>
      <c r="I26" s="34" t="str">
        <f aca="false">CF26</f>
        <v>OK</v>
      </c>
      <c r="J26" s="34" t="str">
        <f aca="false">CG26</f>
        <v>OK</v>
      </c>
      <c r="K26" s="34" t="str">
        <f aca="false">Finance!K57</f>
        <v/>
      </c>
      <c r="L26" s="34" t="str">
        <f aca="false">Finance!L57</f>
        <v>OK</v>
      </c>
      <c r="M26" s="34" t="str">
        <f aca="false">Finance!M57</f>
        <v>OK</v>
      </c>
      <c r="N26" s="34" t="str">
        <f aca="false">Finance!N57</f>
        <v/>
      </c>
      <c r="O26" s="34" t="str">
        <f aca="false">Finance!O57</f>
        <v>OK</v>
      </c>
      <c r="P26" s="34" t="str">
        <f aca="false">Finance!P57</f>
        <v>OK</v>
      </c>
      <c r="Q26" s="34" t="str">
        <f aca="false">Finance!Q57</f>
        <v/>
      </c>
      <c r="R26" s="34" t="str">
        <f aca="false">Finance!R57</f>
        <v>OK</v>
      </c>
      <c r="S26" s="34" t="str">
        <f aca="false">Finance!S57</f>
        <v>OK</v>
      </c>
      <c r="T26" s="34" t="str">
        <f aca="false">Finance!T57</f>
        <v/>
      </c>
      <c r="U26" s="34" t="str">
        <f aca="false">Finance!U57</f>
        <v>OK</v>
      </c>
      <c r="V26" s="34" t="str">
        <f aca="false">Finance!V57</f>
        <v>OK</v>
      </c>
      <c r="W26" s="34" t="str">
        <f aca="false">Finance!W57</f>
        <v/>
      </c>
      <c r="X26" s="34" t="str">
        <f aca="false">Finance!X57</f>
        <v>OK</v>
      </c>
      <c r="Y26" s="34" t="str">
        <f aca="false">Finance!Y57</f>
        <v>OK</v>
      </c>
      <c r="Z26" s="34" t="str">
        <f aca="false">Finance!Z57</f>
        <v/>
      </c>
      <c r="AA26" s="34" t="str">
        <f aca="false">Finance!AA57</f>
        <v>OK</v>
      </c>
      <c r="AB26" s="34" t="str">
        <f aca="false">Finance!AB57</f>
        <v>OK</v>
      </c>
      <c r="AC26" s="34" t="str">
        <f aca="false">Finance!AC57</f>
        <v/>
      </c>
      <c r="AD26" s="34" t="str">
        <f aca="false">Finance!AD57</f>
        <v>OK</v>
      </c>
      <c r="AE26" s="34" t="str">
        <f aca="false">Finance!AE57</f>
        <v>OK</v>
      </c>
      <c r="AF26" s="34" t="str">
        <f aca="false">Finance!AF57</f>
        <v/>
      </c>
      <c r="AG26" s="34" t="str">
        <f aca="false">Finance!AG57</f>
        <v>OK</v>
      </c>
      <c r="AH26" s="34" t="str">
        <f aca="false">Finance!AH57</f>
        <v>OK</v>
      </c>
      <c r="AI26" s="34" t="str">
        <f aca="false">Finance!AI57</f>
        <v/>
      </c>
      <c r="AJ26" s="34" t="str">
        <f aca="false">Finance!AJ57</f>
        <v>OK</v>
      </c>
      <c r="AK26" s="34" t="str">
        <f aca="false">Finance!AK57</f>
        <v>OK</v>
      </c>
      <c r="AL26" s="34" t="str">
        <f aca="false">Finance!AL57</f>
        <v/>
      </c>
      <c r="AM26" s="34" t="str">
        <f aca="false">Finance!AM57</f>
        <v>OK</v>
      </c>
      <c r="AN26" s="34" t="str">
        <f aca="false">Finance!AN57</f>
        <v>OK</v>
      </c>
      <c r="AO26" s="34" t="str">
        <f aca="false">Finance!AO57</f>
        <v/>
      </c>
      <c r="AP26" s="34" t="str">
        <f aca="false">Finance!AP57</f>
        <v>OK</v>
      </c>
      <c r="AQ26" s="34" t="str">
        <f aca="false">Finance!AQ57</f>
        <v>OK</v>
      </c>
      <c r="AR26" s="34" t="str">
        <f aca="false">Finance!AR57</f>
        <v/>
      </c>
      <c r="AS26" s="34" t="str">
        <f aca="false">Finance!AS57</f>
        <v>OK</v>
      </c>
      <c r="AT26" s="34" t="str">
        <f aca="false">Finance!AT57</f>
        <v>OK</v>
      </c>
      <c r="AU26" s="34" t="str">
        <f aca="false">Finance!AU57</f>
        <v/>
      </c>
      <c r="AV26" s="34" t="str">
        <f aca="false">Finance!AV57</f>
        <v>OK</v>
      </c>
      <c r="AW26" s="34" t="str">
        <f aca="false">Finance!AW57</f>
        <v>OK</v>
      </c>
      <c r="AX26" s="34" t="str">
        <f aca="false">Finance!AX57</f>
        <v/>
      </c>
      <c r="AY26" s="34" t="str">
        <f aca="false">Finance!AY57</f>
        <v>OK</v>
      </c>
      <c r="AZ26" s="34" t="str">
        <f aca="false">Finance!AZ57</f>
        <v>OK</v>
      </c>
      <c r="BA26" s="34" t="str">
        <f aca="false">Finance!BA57</f>
        <v/>
      </c>
      <c r="BB26" s="34" t="str">
        <f aca="false">Finance!BB57</f>
        <v>OK</v>
      </c>
      <c r="BC26" s="34" t="str">
        <f aca="false">Finance!BC57</f>
        <v>OK</v>
      </c>
      <c r="BD26" s="34" t="str">
        <f aca="false">Finance!BD57</f>
        <v/>
      </c>
      <c r="BE26" s="34" t="str">
        <f aca="false">Finance!BE57</f>
        <v>OK</v>
      </c>
      <c r="BF26" s="34" t="str">
        <f aca="false">Finance!BF57</f>
        <v>OK</v>
      </c>
      <c r="BG26" s="34" t="str">
        <f aca="false">Finance!BG57</f>
        <v/>
      </c>
      <c r="BH26" s="34" t="str">
        <f aca="false">Finance!BH57</f>
        <v>OK</v>
      </c>
      <c r="BI26" s="34" t="str">
        <f aca="false">Finance!BI57</f>
        <v>OK</v>
      </c>
      <c r="BJ26" s="34" t="str">
        <f aca="false">Finance!BJ57</f>
        <v/>
      </c>
      <c r="BK26" s="34" t="str">
        <f aca="false">Finance!BK57</f>
        <v>OK</v>
      </c>
      <c r="BL26" s="34" t="str">
        <f aca="false">Finance!BL57</f>
        <v>OK</v>
      </c>
      <c r="BM26" s="34" t="str">
        <f aca="false">Finance!BM57</f>
        <v/>
      </c>
      <c r="BN26" s="34" t="str">
        <f aca="false">Finance!BN57</f>
        <v>OK</v>
      </c>
      <c r="BO26" s="34" t="str">
        <f aca="false">Finance!BO57</f>
        <v>OK</v>
      </c>
      <c r="BP26" s="34" t="str">
        <f aca="false">Finance!BP57</f>
        <v/>
      </c>
      <c r="BQ26" s="34" t="str">
        <f aca="false">Finance!BQ57</f>
        <v>OK</v>
      </c>
      <c r="BR26" s="34" t="str">
        <f aca="false">Finance!BR57</f>
        <v>OK</v>
      </c>
      <c r="BS26" s="34" t="str">
        <f aca="false">Finance!BS57</f>
        <v/>
      </c>
      <c r="BT26" s="34" t="str">
        <f aca="false">Finance!BT57</f>
        <v>OK</v>
      </c>
      <c r="BU26" s="34" t="str">
        <f aca="false">Finance!BU57</f>
        <v>OK</v>
      </c>
      <c r="BV26" s="34" t="str">
        <f aca="false">Finance!BV57</f>
        <v/>
      </c>
      <c r="BW26" s="34" t="str">
        <f aca="false">Finance!BW57</f>
        <v>OK</v>
      </c>
      <c r="BX26" s="34" t="str">
        <f aca="false">Finance!BX57</f>
        <v>OK</v>
      </c>
      <c r="BY26" s="34" t="str">
        <f aca="false">Finance!BY57</f>
        <v/>
      </c>
      <c r="BZ26" s="34" t="str">
        <f aca="false">Finance!BZ57</f>
        <v>OK</v>
      </c>
      <c r="CA26" s="34" t="str">
        <f aca="false">Finance!CA57</f>
        <v>OK</v>
      </c>
      <c r="CB26" s="34" t="str">
        <f aca="false">Finance!CB57</f>
        <v/>
      </c>
      <c r="CC26" s="34" t="str">
        <f aca="false">Finance!CC57</f>
        <v>OK</v>
      </c>
      <c r="CD26" s="34" t="str">
        <f aca="false">Finance!CD57</f>
        <v>OK</v>
      </c>
      <c r="CE26" s="34" t="str">
        <f aca="false">Finance!CE57</f>
        <v/>
      </c>
      <c r="CF26" s="34" t="str">
        <f aca="false">Finance!CF57</f>
        <v>OK</v>
      </c>
      <c r="CG26" s="34" t="str">
        <f aca="false">Finance!CG57</f>
        <v>OK</v>
      </c>
      <c r="CH26" s="34" t="str">
        <f aca="false">Finance!CH57</f>
        <v/>
      </c>
      <c r="CI26" s="34" t="str">
        <f aca="false">Finance!CI57</f>
        <v>OK</v>
      </c>
      <c r="CJ26" s="34" t="str">
        <f aca="false">Finance!CJ57</f>
        <v>OK</v>
      </c>
      <c r="CK26" s="34" t="str">
        <f aca="false">Finance!CK57</f>
        <v/>
      </c>
      <c r="CL26" s="34" t="str">
        <f aca="false">Finance!CL57</f>
        <v>OK</v>
      </c>
      <c r="CM26" s="34" t="str">
        <f aca="false">Finance!CM57</f>
        <v>OK</v>
      </c>
      <c r="CN26" s="34" t="str">
        <f aca="false">Finance!CN57</f>
        <v/>
      </c>
      <c r="CO26" s="34" t="str">
        <f aca="false">Finance!CO57</f>
        <v>OK</v>
      </c>
      <c r="CP26" s="34" t="str">
        <f aca="false">Finance!CP57</f>
        <v>OK</v>
      </c>
      <c r="CQ26" s="34" t="str">
        <f aca="false">Finance!CQ57</f>
        <v/>
      </c>
      <c r="CR26" s="34" t="str">
        <f aca="false">Finance!CR57</f>
        <v>OK</v>
      </c>
      <c r="CS26" s="34" t="str">
        <f aca="false">Finance!CS57</f>
        <v>OK</v>
      </c>
      <c r="CT26" s="34" t="str">
        <f aca="false">Finance!CT57</f>
        <v/>
      </c>
      <c r="CU26" s="34" t="str">
        <f aca="false">Finance!CU57</f>
        <v>OK</v>
      </c>
      <c r="CV26" s="34" t="str">
        <f aca="false">Finance!CV57</f>
        <v>OK</v>
      </c>
      <c r="CW26" s="34" t="str">
        <f aca="false">Finance!CW57</f>
        <v/>
      </c>
      <c r="CX26" s="34" t="str">
        <f aca="false">Finance!CX57</f>
        <v>OK</v>
      </c>
      <c r="CY26" s="34" t="str">
        <f aca="false">Finance!CY57</f>
        <v>OK</v>
      </c>
      <c r="CZ26" s="34" t="str">
        <f aca="false">Finance!CZ57</f>
        <v/>
      </c>
      <c r="DA26" s="34" t="str">
        <f aca="false">Finance!DA57</f>
        <v>OK</v>
      </c>
      <c r="DB26" s="34" t="str">
        <f aca="false">Finance!DB57</f>
        <v>OK</v>
      </c>
      <c r="DC26" s="34" t="str">
        <f aca="false">Finance!DC57</f>
        <v/>
      </c>
      <c r="DD26" s="34" t="str">
        <f aca="false">Finance!DD57</f>
        <v>OK</v>
      </c>
      <c r="DE26" s="34" t="str">
        <f aca="false">Finance!DE57</f>
        <v>OK</v>
      </c>
      <c r="DF26" s="34" t="str">
        <f aca="false">Finance!DF57</f>
        <v>OK</v>
      </c>
      <c r="DG26" s="34" t="str">
        <f aca="false">Finance!DG57</f>
        <v>OK</v>
      </c>
      <c r="DH26" s="34" t="str">
        <f aca="false">Finance!DH57</f>
        <v>OK</v>
      </c>
      <c r="DI26" s="34" t="str">
        <f aca="false">Finance!DI57</f>
        <v>OK</v>
      </c>
      <c r="DJ26" s="34" t="str">
        <f aca="false">Finance!DJ57</f>
        <v>OK</v>
      </c>
      <c r="DK26" s="34" t="str">
        <f aca="false">Finance!DK57</f>
        <v>ACTION</v>
      </c>
      <c r="DL26" s="34" t="str">
        <f aca="false">Finance!DL57</f>
        <v>OK</v>
      </c>
      <c r="DM26" s="34" t="str">
        <f aca="false">Finance!DM57</f>
        <v>OK</v>
      </c>
      <c r="DN26" s="34" t="str">
        <f aca="false">Finance!DN57</f>
        <v>ACTION</v>
      </c>
    </row>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39">
    <mergeCell ref="B1:D1"/>
    <mergeCell ref="E1:G1"/>
    <mergeCell ref="H1:J1"/>
    <mergeCell ref="K1:M1"/>
    <mergeCell ref="N1:P1"/>
    <mergeCell ref="Q1:S1"/>
    <mergeCell ref="T1:V1"/>
    <mergeCell ref="W1:Y1"/>
    <mergeCell ref="Z1:AB1"/>
    <mergeCell ref="AC1:AE1"/>
    <mergeCell ref="AF1:AH1"/>
    <mergeCell ref="AI1:AK1"/>
    <mergeCell ref="AL1:AN1"/>
    <mergeCell ref="AO1:AQ1"/>
    <mergeCell ref="AR1:AT1"/>
    <mergeCell ref="AU1:AW1"/>
    <mergeCell ref="AX1:AZ1"/>
    <mergeCell ref="BA1:BC1"/>
    <mergeCell ref="BD1:BF1"/>
    <mergeCell ref="BG1:BI1"/>
    <mergeCell ref="BJ1:BL1"/>
    <mergeCell ref="BM1:BO1"/>
    <mergeCell ref="BP1:BR1"/>
    <mergeCell ref="BS1:BU1"/>
    <mergeCell ref="BV1:BX1"/>
    <mergeCell ref="BY1:CA1"/>
    <mergeCell ref="CB1:CD1"/>
    <mergeCell ref="CE1:CG1"/>
    <mergeCell ref="CH1:CJ1"/>
    <mergeCell ref="CK1:CM1"/>
    <mergeCell ref="CN1:CP1"/>
    <mergeCell ref="CQ1:CS1"/>
    <mergeCell ref="CT1:CV1"/>
    <mergeCell ref="CW1:CY1"/>
    <mergeCell ref="CZ1:DB1"/>
    <mergeCell ref="DC1:DE1"/>
    <mergeCell ref="DF1:DH1"/>
    <mergeCell ref="DI1:DK1"/>
    <mergeCell ref="DL1:DN1"/>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N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false" zeroHeight="false" outlineLevelRow="0" outlineLevelCol="0"/>
  <cols>
    <col collapsed="false" customWidth="true" hidden="false" outlineLevel="0" max="1" min="1" style="0" width="51.57"/>
    <col collapsed="false" customWidth="true" hidden="false" outlineLevel="0" max="10" min="2" style="0" width="13.29"/>
    <col collapsed="false" customWidth="true" hidden="false" outlineLevel="0" max="118" min="11" style="0" width="11.57"/>
  </cols>
  <sheetData>
    <row r="1" customFormat="false" ht="18" hidden="false" customHeight="true" outlineLevel="0" collapsed="false">
      <c r="A1" s="35" t="s">
        <v>126</v>
      </c>
      <c r="B1" s="36" t="str">
        <f aca="false">Summary!B$1</f>
        <v>FY2028</v>
      </c>
      <c r="C1" s="36"/>
      <c r="D1" s="36"/>
      <c r="E1" s="36" t="str">
        <f aca="false">Summary!E$1</f>
        <v>FY2027</v>
      </c>
      <c r="F1" s="36"/>
      <c r="G1" s="36"/>
      <c r="H1" s="36" t="str">
        <f aca="false">Summary!H$1</f>
        <v>FY2026</v>
      </c>
      <c r="I1" s="36"/>
      <c r="J1" s="36"/>
      <c r="K1" s="37" t="n">
        <f aca="false">Finance!K$1</f>
        <v>47118</v>
      </c>
      <c r="L1" s="37"/>
      <c r="M1" s="37"/>
      <c r="N1" s="38" t="n">
        <f aca="false">Finance!N$1</f>
        <v>47087</v>
      </c>
      <c r="O1" s="38"/>
      <c r="P1" s="38"/>
      <c r="Q1" s="37" t="n">
        <f aca="false">Finance!Q$1</f>
        <v>47057</v>
      </c>
      <c r="R1" s="37"/>
      <c r="S1" s="37"/>
      <c r="T1" s="38" t="n">
        <f aca="false">Finance!T$1</f>
        <v>47026</v>
      </c>
      <c r="U1" s="38"/>
      <c r="V1" s="38"/>
      <c r="W1" s="37" t="n">
        <f aca="false">Finance!W$1</f>
        <v>46996</v>
      </c>
      <c r="X1" s="37"/>
      <c r="Y1" s="37"/>
      <c r="Z1" s="38" t="n">
        <f aca="false">Finance!Z$1</f>
        <v>46965</v>
      </c>
      <c r="AA1" s="38"/>
      <c r="AB1" s="38"/>
      <c r="AC1" s="37" t="n">
        <f aca="false">Finance!AC$1</f>
        <v>46934</v>
      </c>
      <c r="AD1" s="37"/>
      <c r="AE1" s="37"/>
      <c r="AF1" s="38" t="n">
        <f aca="false">Finance!AF$1</f>
        <v>46904</v>
      </c>
      <c r="AG1" s="38"/>
      <c r="AH1" s="38"/>
      <c r="AI1" s="37" t="n">
        <f aca="false">Finance!AI$1</f>
        <v>46873</v>
      </c>
      <c r="AJ1" s="37"/>
      <c r="AK1" s="37"/>
      <c r="AL1" s="38" t="n">
        <f aca="false">Finance!AL$1</f>
        <v>46843</v>
      </c>
      <c r="AM1" s="38"/>
      <c r="AN1" s="38"/>
      <c r="AO1" s="37" t="n">
        <f aca="false">Finance!AO$1</f>
        <v>46812</v>
      </c>
      <c r="AP1" s="37"/>
      <c r="AQ1" s="37"/>
      <c r="AR1" s="38" t="n">
        <f aca="false">Finance!AR$1</f>
        <v>46783</v>
      </c>
      <c r="AS1" s="38"/>
      <c r="AT1" s="38"/>
      <c r="AU1" s="37" t="n">
        <f aca="false">Finance!AU$1</f>
        <v>46752</v>
      </c>
      <c r="AV1" s="37"/>
      <c r="AW1" s="37"/>
      <c r="AX1" s="38" t="n">
        <f aca="false">Finance!AX$1</f>
        <v>46721</v>
      </c>
      <c r="AY1" s="38"/>
      <c r="AZ1" s="38"/>
      <c r="BA1" s="37" t="n">
        <f aca="false">Finance!BA$1</f>
        <v>46691</v>
      </c>
      <c r="BB1" s="37"/>
      <c r="BC1" s="37"/>
      <c r="BD1" s="38" t="n">
        <f aca="false">Finance!BD$1</f>
        <v>46660</v>
      </c>
      <c r="BE1" s="38"/>
      <c r="BF1" s="38"/>
      <c r="BG1" s="37" t="n">
        <f aca="false">Finance!BG$1</f>
        <v>46630</v>
      </c>
      <c r="BH1" s="37"/>
      <c r="BI1" s="37"/>
      <c r="BJ1" s="38" t="n">
        <f aca="false">Finance!BJ$1</f>
        <v>46599</v>
      </c>
      <c r="BK1" s="38"/>
      <c r="BL1" s="38"/>
      <c r="BM1" s="37" t="n">
        <f aca="false">Finance!BM$1</f>
        <v>46568</v>
      </c>
      <c r="BN1" s="37"/>
      <c r="BO1" s="37"/>
      <c r="BP1" s="38" t="n">
        <f aca="false">Finance!BP$1</f>
        <v>46538</v>
      </c>
      <c r="BQ1" s="38"/>
      <c r="BR1" s="38"/>
      <c r="BS1" s="37" t="n">
        <f aca="false">Finance!BS$1</f>
        <v>46507</v>
      </c>
      <c r="BT1" s="37"/>
      <c r="BU1" s="37"/>
      <c r="BV1" s="38" t="n">
        <f aca="false">Finance!BV$1</f>
        <v>46477</v>
      </c>
      <c r="BW1" s="38"/>
      <c r="BX1" s="38"/>
      <c r="BY1" s="37" t="n">
        <f aca="false">Finance!BY$1</f>
        <v>46446</v>
      </c>
      <c r="BZ1" s="37"/>
      <c r="CA1" s="37"/>
      <c r="CB1" s="38" t="n">
        <f aca="false">Finance!CB$1</f>
        <v>46418</v>
      </c>
      <c r="CC1" s="38"/>
      <c r="CD1" s="38"/>
      <c r="CE1" s="37" t="n">
        <f aca="false">Finance!CE$1</f>
        <v>46387</v>
      </c>
      <c r="CF1" s="37"/>
      <c r="CG1" s="37"/>
      <c r="CH1" s="38" t="n">
        <f aca="false">Finance!CH$1</f>
        <v>46356</v>
      </c>
      <c r="CI1" s="38"/>
      <c r="CJ1" s="38"/>
      <c r="CK1" s="37" t="n">
        <f aca="false">Finance!CK$1</f>
        <v>46326</v>
      </c>
      <c r="CL1" s="37"/>
      <c r="CM1" s="37"/>
      <c r="CN1" s="38" t="n">
        <f aca="false">Finance!CN$1</f>
        <v>46295</v>
      </c>
      <c r="CO1" s="38"/>
      <c r="CP1" s="38"/>
      <c r="CQ1" s="37" t="n">
        <f aca="false">Finance!CQ$1</f>
        <v>46265</v>
      </c>
      <c r="CR1" s="37"/>
      <c r="CS1" s="37"/>
      <c r="CT1" s="38" t="n">
        <f aca="false">Finance!CT$1</f>
        <v>46234</v>
      </c>
      <c r="CU1" s="38"/>
      <c r="CV1" s="38"/>
      <c r="CW1" s="37" t="n">
        <f aca="false">Finance!CW$1</f>
        <v>46203</v>
      </c>
      <c r="CX1" s="37"/>
      <c r="CY1" s="37"/>
      <c r="CZ1" s="38" t="n">
        <f aca="false">Finance!CZ$1</f>
        <v>46173</v>
      </c>
      <c r="DA1" s="38"/>
      <c r="DB1" s="38"/>
      <c r="DC1" s="37" t="n">
        <f aca="false">Finance!DC$1</f>
        <v>46142</v>
      </c>
      <c r="DD1" s="37"/>
      <c r="DE1" s="37"/>
      <c r="DF1" s="38" t="n">
        <f aca="false">Finance!DF$1</f>
        <v>46112</v>
      </c>
      <c r="DG1" s="38"/>
      <c r="DH1" s="38"/>
      <c r="DI1" s="37" t="n">
        <f aca="false">Finance!DI$1</f>
        <v>46081</v>
      </c>
      <c r="DJ1" s="37"/>
      <c r="DK1" s="37"/>
      <c r="DL1" s="38" t="n">
        <f aca="false">Finance!DL$1</f>
        <v>46053</v>
      </c>
      <c r="DM1" s="38"/>
      <c r="DN1" s="38"/>
    </row>
    <row r="2" customFormat="false" ht="18" hidden="false" customHeight="true" outlineLevel="0" collapsed="false">
      <c r="A2" s="39"/>
      <c r="B2" s="40" t="s">
        <v>99</v>
      </c>
      <c r="C2" s="41" t="s">
        <v>100</v>
      </c>
      <c r="D2" s="42" t="s">
        <v>101</v>
      </c>
      <c r="E2" s="40" t="s">
        <v>99</v>
      </c>
      <c r="F2" s="41" t="s">
        <v>100</v>
      </c>
      <c r="G2" s="42" t="s">
        <v>101</v>
      </c>
      <c r="H2" s="40" t="s">
        <v>99</v>
      </c>
      <c r="I2" s="41" t="s">
        <v>100</v>
      </c>
      <c r="J2" s="42" t="s">
        <v>101</v>
      </c>
      <c r="K2" s="40" t="s">
        <v>99</v>
      </c>
      <c r="L2" s="41" t="s">
        <v>100</v>
      </c>
      <c r="M2" s="42" t="s">
        <v>101</v>
      </c>
      <c r="N2" s="40" t="s">
        <v>99</v>
      </c>
      <c r="O2" s="41" t="s">
        <v>100</v>
      </c>
      <c r="P2" s="42" t="s">
        <v>101</v>
      </c>
      <c r="Q2" s="40" t="s">
        <v>99</v>
      </c>
      <c r="R2" s="41" t="s">
        <v>100</v>
      </c>
      <c r="S2" s="42" t="s">
        <v>101</v>
      </c>
      <c r="T2" s="40" t="s">
        <v>99</v>
      </c>
      <c r="U2" s="41" t="s">
        <v>100</v>
      </c>
      <c r="V2" s="42" t="s">
        <v>101</v>
      </c>
      <c r="W2" s="40" t="s">
        <v>99</v>
      </c>
      <c r="X2" s="41" t="s">
        <v>100</v>
      </c>
      <c r="Y2" s="42" t="s">
        <v>101</v>
      </c>
      <c r="Z2" s="40" t="s">
        <v>99</v>
      </c>
      <c r="AA2" s="41" t="s">
        <v>100</v>
      </c>
      <c r="AB2" s="42" t="s">
        <v>101</v>
      </c>
      <c r="AC2" s="40" t="s">
        <v>99</v>
      </c>
      <c r="AD2" s="41" t="s">
        <v>100</v>
      </c>
      <c r="AE2" s="42" t="s">
        <v>101</v>
      </c>
      <c r="AF2" s="40" t="s">
        <v>99</v>
      </c>
      <c r="AG2" s="41" t="s">
        <v>100</v>
      </c>
      <c r="AH2" s="42" t="s">
        <v>101</v>
      </c>
      <c r="AI2" s="40" t="s">
        <v>99</v>
      </c>
      <c r="AJ2" s="41" t="s">
        <v>100</v>
      </c>
      <c r="AK2" s="42" t="s">
        <v>101</v>
      </c>
      <c r="AL2" s="40" t="s">
        <v>99</v>
      </c>
      <c r="AM2" s="41" t="s">
        <v>100</v>
      </c>
      <c r="AN2" s="42" t="s">
        <v>101</v>
      </c>
      <c r="AO2" s="40" t="s">
        <v>99</v>
      </c>
      <c r="AP2" s="41" t="s">
        <v>100</v>
      </c>
      <c r="AQ2" s="42" t="s">
        <v>101</v>
      </c>
      <c r="AR2" s="40" t="s">
        <v>99</v>
      </c>
      <c r="AS2" s="41" t="s">
        <v>100</v>
      </c>
      <c r="AT2" s="42" t="s">
        <v>101</v>
      </c>
      <c r="AU2" s="40" t="s">
        <v>99</v>
      </c>
      <c r="AV2" s="41" t="s">
        <v>100</v>
      </c>
      <c r="AW2" s="42" t="s">
        <v>101</v>
      </c>
      <c r="AX2" s="40" t="s">
        <v>99</v>
      </c>
      <c r="AY2" s="41" t="s">
        <v>100</v>
      </c>
      <c r="AZ2" s="42" t="s">
        <v>101</v>
      </c>
      <c r="BA2" s="40" t="s">
        <v>99</v>
      </c>
      <c r="BB2" s="41" t="s">
        <v>100</v>
      </c>
      <c r="BC2" s="42" t="s">
        <v>101</v>
      </c>
      <c r="BD2" s="40" t="s">
        <v>99</v>
      </c>
      <c r="BE2" s="41" t="s">
        <v>100</v>
      </c>
      <c r="BF2" s="42" t="s">
        <v>101</v>
      </c>
      <c r="BG2" s="40" t="s">
        <v>99</v>
      </c>
      <c r="BH2" s="41" t="s">
        <v>100</v>
      </c>
      <c r="BI2" s="42" t="s">
        <v>101</v>
      </c>
      <c r="BJ2" s="40" t="s">
        <v>99</v>
      </c>
      <c r="BK2" s="41" t="s">
        <v>100</v>
      </c>
      <c r="BL2" s="42" t="s">
        <v>101</v>
      </c>
      <c r="BM2" s="40" t="s">
        <v>99</v>
      </c>
      <c r="BN2" s="41" t="s">
        <v>100</v>
      </c>
      <c r="BO2" s="42" t="s">
        <v>101</v>
      </c>
      <c r="BP2" s="40" t="s">
        <v>99</v>
      </c>
      <c r="BQ2" s="41" t="s">
        <v>100</v>
      </c>
      <c r="BR2" s="42" t="s">
        <v>101</v>
      </c>
      <c r="BS2" s="40" t="s">
        <v>99</v>
      </c>
      <c r="BT2" s="41" t="s">
        <v>100</v>
      </c>
      <c r="BU2" s="42" t="s">
        <v>101</v>
      </c>
      <c r="BV2" s="40" t="s">
        <v>99</v>
      </c>
      <c r="BW2" s="41" t="s">
        <v>100</v>
      </c>
      <c r="BX2" s="42" t="s">
        <v>101</v>
      </c>
      <c r="BY2" s="40" t="s">
        <v>99</v>
      </c>
      <c r="BZ2" s="41" t="s">
        <v>100</v>
      </c>
      <c r="CA2" s="42" t="s">
        <v>101</v>
      </c>
      <c r="CB2" s="40" t="s">
        <v>99</v>
      </c>
      <c r="CC2" s="41" t="s">
        <v>100</v>
      </c>
      <c r="CD2" s="42" t="s">
        <v>101</v>
      </c>
      <c r="CE2" s="40" t="s">
        <v>99</v>
      </c>
      <c r="CF2" s="41" t="s">
        <v>100</v>
      </c>
      <c r="CG2" s="42" t="s">
        <v>101</v>
      </c>
      <c r="CH2" s="40" t="s">
        <v>99</v>
      </c>
      <c r="CI2" s="41" t="s">
        <v>100</v>
      </c>
      <c r="CJ2" s="42" t="s">
        <v>101</v>
      </c>
      <c r="CK2" s="40" t="s">
        <v>99</v>
      </c>
      <c r="CL2" s="41" t="s">
        <v>100</v>
      </c>
      <c r="CM2" s="42" t="s">
        <v>101</v>
      </c>
      <c r="CN2" s="40" t="s">
        <v>99</v>
      </c>
      <c r="CO2" s="41" t="s">
        <v>100</v>
      </c>
      <c r="CP2" s="42" t="s">
        <v>101</v>
      </c>
      <c r="CQ2" s="40" t="s">
        <v>99</v>
      </c>
      <c r="CR2" s="41" t="s">
        <v>100</v>
      </c>
      <c r="CS2" s="42" t="s">
        <v>101</v>
      </c>
      <c r="CT2" s="40" t="s">
        <v>99</v>
      </c>
      <c r="CU2" s="41" t="s">
        <v>100</v>
      </c>
      <c r="CV2" s="42" t="s">
        <v>101</v>
      </c>
      <c r="CW2" s="40" t="s">
        <v>99</v>
      </c>
      <c r="CX2" s="41" t="s">
        <v>100</v>
      </c>
      <c r="CY2" s="42" t="s">
        <v>101</v>
      </c>
      <c r="CZ2" s="40" t="s">
        <v>99</v>
      </c>
      <c r="DA2" s="41" t="s">
        <v>100</v>
      </c>
      <c r="DB2" s="42" t="s">
        <v>101</v>
      </c>
      <c r="DC2" s="40" t="s">
        <v>99</v>
      </c>
      <c r="DD2" s="41" t="s">
        <v>100</v>
      </c>
      <c r="DE2" s="42" t="s">
        <v>101</v>
      </c>
      <c r="DF2" s="40" t="s">
        <v>99</v>
      </c>
      <c r="DG2" s="41" t="s">
        <v>100</v>
      </c>
      <c r="DH2" s="42" t="s">
        <v>101</v>
      </c>
      <c r="DI2" s="40" t="s">
        <v>99</v>
      </c>
      <c r="DJ2" s="41" t="s">
        <v>100</v>
      </c>
      <c r="DK2" s="42" t="s">
        <v>101</v>
      </c>
      <c r="DL2" s="40" t="s">
        <v>99</v>
      </c>
      <c r="DM2" s="41" t="s">
        <v>100</v>
      </c>
      <c r="DN2" s="42" t="s">
        <v>101</v>
      </c>
    </row>
    <row r="3" customFormat="false" ht="18" hidden="false" customHeight="true" outlineLevel="0" collapsed="false">
      <c r="A3" s="39" t="s">
        <v>127</v>
      </c>
      <c r="B3" s="43" t="n">
        <f aca="false">IF(COUNT(AR3,AO3,AL3,AI3,AF3,AC3,Z3,W3,T3,Q3,N3,K3)=0,"",SUM(AR3,AO3,AL3,AI3,AF3,AC3,Z3,W3,T3,Q3,N3,K3))</f>
        <v>0</v>
      </c>
      <c r="C3" s="43" t="n">
        <f aca="false">SUM(AS3,AP3,AM3,AJ3,AG3,AD3,AA3,X3,U3,R3,O3,L3)</f>
        <v>118800</v>
      </c>
      <c r="D3" s="43" t="n">
        <f aca="false">SUM(AT3,AQ3,AN3,AK3,AH3,AE3,AB3,Y3,V3,S3,P3,M3)</f>
        <v>118800</v>
      </c>
      <c r="E3" s="43" t="n">
        <f aca="false">IF(COUNT(CB3,BY3,BV3,BS3,BP3,BM3,BJ3,BG3,BD3,BA3,AX3,AU3)=0,"",SUM(CB3,BY3,BV3,BS3,BP3,BM3,BJ3,BG3,BD3,BA3,AX3,AU3))</f>
        <v>0</v>
      </c>
      <c r="F3" s="43" t="n">
        <f aca="false">SUM(CC3,BZ3,BW3,BT3,BQ3,BN3,BK3,BH3,BE3,BB3,AY3,AV3)</f>
        <v>86400</v>
      </c>
      <c r="G3" s="43" t="n">
        <f aca="false">SUM(CD3,CA3,BX3,BU3,BR3,BO3,BL3,BI3,BF3,BC3,AZ3,AW3)</f>
        <v>86400</v>
      </c>
      <c r="H3" s="43" t="n">
        <f aca="false">IF(COUNT(DL3,DI3,DF3,DC3,CZ3,CW3,CT3,CQ3,CN3,CK3,CH3,CE3)=0,"",SUM(DL3,DI3,DF3,DC3,CZ3,CW3,CT3,CQ3,CN3,CK3,CH3,CE3))</f>
        <v>10000</v>
      </c>
      <c r="I3" s="43" t="n">
        <f aca="false">SUM(DM3,DJ3,DG3,DD3,DA3,CX3,CU3,CR3,CO3,CL3,CI3,CF3)</f>
        <v>60000</v>
      </c>
      <c r="J3" s="43" t="n">
        <f aca="false">SUM(DN3,DK3,DH3,DE3,DB3,CY3,CV3,CS3,CP3,CM3,CJ3,CG3)</f>
        <v>60000</v>
      </c>
      <c r="K3" s="44" t="n">
        <f aca="false">Marketing!K3</f>
        <v>0</v>
      </c>
      <c r="L3" s="45" t="n">
        <f aca="false">Marketing!L3</f>
        <v>9900</v>
      </c>
      <c r="M3" s="46" t="n">
        <f aca="false">Marketing!M3</f>
        <v>9900</v>
      </c>
      <c r="N3" s="44" t="n">
        <f aca="false">Marketing!N3</f>
        <v>0</v>
      </c>
      <c r="O3" s="45" t="n">
        <f aca="false">Marketing!O3</f>
        <v>9900</v>
      </c>
      <c r="P3" s="46" t="n">
        <f aca="false">Marketing!P3</f>
        <v>9900</v>
      </c>
      <c r="Q3" s="44" t="n">
        <f aca="false">Marketing!Q3</f>
        <v>0</v>
      </c>
      <c r="R3" s="45" t="n">
        <f aca="false">Marketing!R3</f>
        <v>9900</v>
      </c>
      <c r="S3" s="46" t="n">
        <f aca="false">Marketing!S3</f>
        <v>9900</v>
      </c>
      <c r="T3" s="44" t="n">
        <f aca="false">Marketing!T3</f>
        <v>0</v>
      </c>
      <c r="U3" s="45" t="n">
        <f aca="false">Marketing!U3</f>
        <v>9900</v>
      </c>
      <c r="V3" s="46" t="n">
        <f aca="false">Marketing!V3</f>
        <v>9900</v>
      </c>
      <c r="W3" s="44" t="n">
        <f aca="false">Marketing!W3</f>
        <v>0</v>
      </c>
      <c r="X3" s="45" t="n">
        <f aca="false">Marketing!X3</f>
        <v>9900</v>
      </c>
      <c r="Y3" s="46" t="n">
        <f aca="false">Marketing!Y3</f>
        <v>9900</v>
      </c>
      <c r="Z3" s="44" t="n">
        <f aca="false">Marketing!Z3</f>
        <v>0</v>
      </c>
      <c r="AA3" s="45" t="n">
        <f aca="false">Marketing!AA3</f>
        <v>9900</v>
      </c>
      <c r="AB3" s="46" t="n">
        <f aca="false">Marketing!AB3</f>
        <v>9900</v>
      </c>
      <c r="AC3" s="44" t="n">
        <f aca="false">Marketing!AC3</f>
        <v>0</v>
      </c>
      <c r="AD3" s="45" t="n">
        <f aca="false">Marketing!AD3</f>
        <v>9900</v>
      </c>
      <c r="AE3" s="46" t="n">
        <f aca="false">Marketing!AE3</f>
        <v>9900</v>
      </c>
      <c r="AF3" s="44" t="n">
        <f aca="false">Marketing!AF3</f>
        <v>0</v>
      </c>
      <c r="AG3" s="45" t="n">
        <f aca="false">Marketing!AG3</f>
        <v>9900</v>
      </c>
      <c r="AH3" s="46" t="n">
        <f aca="false">Marketing!AH3</f>
        <v>9900</v>
      </c>
      <c r="AI3" s="44" t="n">
        <f aca="false">Marketing!AI3</f>
        <v>0</v>
      </c>
      <c r="AJ3" s="45" t="n">
        <f aca="false">Marketing!AJ3</f>
        <v>9900</v>
      </c>
      <c r="AK3" s="46" t="n">
        <f aca="false">Marketing!AK3</f>
        <v>9900</v>
      </c>
      <c r="AL3" s="44" t="n">
        <f aca="false">Marketing!AL3</f>
        <v>0</v>
      </c>
      <c r="AM3" s="45" t="n">
        <f aca="false">Marketing!AM3</f>
        <v>9900</v>
      </c>
      <c r="AN3" s="46" t="n">
        <f aca="false">Marketing!AN3</f>
        <v>9900</v>
      </c>
      <c r="AO3" s="44" t="n">
        <f aca="false">Marketing!AO3</f>
        <v>0</v>
      </c>
      <c r="AP3" s="45" t="n">
        <f aca="false">Marketing!AP3</f>
        <v>9900</v>
      </c>
      <c r="AQ3" s="46" t="n">
        <f aca="false">Marketing!AQ3</f>
        <v>9900</v>
      </c>
      <c r="AR3" s="44" t="n">
        <f aca="false">Marketing!AR3</f>
        <v>0</v>
      </c>
      <c r="AS3" s="45" t="n">
        <f aca="false">Marketing!AS3</f>
        <v>9900</v>
      </c>
      <c r="AT3" s="46" t="n">
        <f aca="false">Marketing!AT3</f>
        <v>9900</v>
      </c>
      <c r="AU3" s="44" t="n">
        <f aca="false">Marketing!AU3</f>
        <v>0</v>
      </c>
      <c r="AV3" s="45" t="n">
        <f aca="false">Marketing!AV3</f>
        <v>7200</v>
      </c>
      <c r="AW3" s="46" t="n">
        <f aca="false">Marketing!AW3</f>
        <v>7200</v>
      </c>
      <c r="AX3" s="44" t="n">
        <f aca="false">Marketing!AX3</f>
        <v>0</v>
      </c>
      <c r="AY3" s="45" t="n">
        <f aca="false">Marketing!AY3</f>
        <v>7200</v>
      </c>
      <c r="AZ3" s="46" t="n">
        <f aca="false">Marketing!AZ3</f>
        <v>7200</v>
      </c>
      <c r="BA3" s="44" t="n">
        <f aca="false">Marketing!BA3</f>
        <v>0</v>
      </c>
      <c r="BB3" s="45" t="n">
        <f aca="false">Marketing!BB3</f>
        <v>7200</v>
      </c>
      <c r="BC3" s="46" t="n">
        <f aca="false">Marketing!BC3</f>
        <v>7200</v>
      </c>
      <c r="BD3" s="44" t="n">
        <f aca="false">Marketing!BD3</f>
        <v>0</v>
      </c>
      <c r="BE3" s="45" t="n">
        <f aca="false">Marketing!BE3</f>
        <v>7200</v>
      </c>
      <c r="BF3" s="46" t="n">
        <f aca="false">Marketing!BF3</f>
        <v>7200</v>
      </c>
      <c r="BG3" s="44" t="n">
        <f aca="false">Marketing!BG3</f>
        <v>0</v>
      </c>
      <c r="BH3" s="45" t="n">
        <f aca="false">Marketing!BH3</f>
        <v>7200</v>
      </c>
      <c r="BI3" s="46" t="n">
        <f aca="false">Marketing!BI3</f>
        <v>7200</v>
      </c>
      <c r="BJ3" s="44" t="n">
        <f aca="false">Marketing!BJ3</f>
        <v>0</v>
      </c>
      <c r="BK3" s="45" t="n">
        <f aca="false">Marketing!BK3</f>
        <v>7200</v>
      </c>
      <c r="BL3" s="46" t="n">
        <f aca="false">Marketing!BL3</f>
        <v>7200</v>
      </c>
      <c r="BM3" s="44" t="n">
        <f aca="false">Marketing!BM3</f>
        <v>0</v>
      </c>
      <c r="BN3" s="45" t="n">
        <f aca="false">Marketing!BN3</f>
        <v>7200</v>
      </c>
      <c r="BO3" s="46" t="n">
        <f aca="false">Marketing!BO3</f>
        <v>7200</v>
      </c>
      <c r="BP3" s="44" t="n">
        <f aca="false">Marketing!BP3</f>
        <v>0</v>
      </c>
      <c r="BQ3" s="45" t="n">
        <f aca="false">Marketing!BQ3</f>
        <v>7200</v>
      </c>
      <c r="BR3" s="46" t="n">
        <f aca="false">Marketing!BR3</f>
        <v>7200</v>
      </c>
      <c r="BS3" s="44" t="n">
        <f aca="false">Marketing!BS3</f>
        <v>0</v>
      </c>
      <c r="BT3" s="45" t="n">
        <f aca="false">Marketing!BT3</f>
        <v>7200</v>
      </c>
      <c r="BU3" s="46" t="n">
        <f aca="false">Marketing!BU3</f>
        <v>7200</v>
      </c>
      <c r="BV3" s="44" t="n">
        <f aca="false">Marketing!BV3</f>
        <v>0</v>
      </c>
      <c r="BW3" s="45" t="n">
        <f aca="false">Marketing!BW3</f>
        <v>7200</v>
      </c>
      <c r="BX3" s="46" t="n">
        <f aca="false">Marketing!BX3</f>
        <v>7200</v>
      </c>
      <c r="BY3" s="44" t="n">
        <f aca="false">Marketing!BY3</f>
        <v>0</v>
      </c>
      <c r="BZ3" s="45" t="n">
        <f aca="false">Marketing!BZ3</f>
        <v>7200</v>
      </c>
      <c r="CA3" s="46" t="n">
        <f aca="false">Marketing!CA3</f>
        <v>7200</v>
      </c>
      <c r="CB3" s="44" t="n">
        <f aca="false">Marketing!CB3</f>
        <v>0</v>
      </c>
      <c r="CC3" s="45" t="n">
        <f aca="false">Marketing!CC3</f>
        <v>7200</v>
      </c>
      <c r="CD3" s="46" t="n">
        <f aca="false">Marketing!CD3</f>
        <v>7200</v>
      </c>
      <c r="CE3" s="44" t="n">
        <f aca="false">Marketing!CE3</f>
        <v>0</v>
      </c>
      <c r="CF3" s="45" t="n">
        <f aca="false">Marketing!CF3</f>
        <v>5000</v>
      </c>
      <c r="CG3" s="46" t="n">
        <f aca="false">Marketing!CG3</f>
        <v>5000</v>
      </c>
      <c r="CH3" s="44" t="n">
        <f aca="false">Marketing!CH3</f>
        <v>0</v>
      </c>
      <c r="CI3" s="45" t="n">
        <f aca="false">Marketing!CI3</f>
        <v>5000</v>
      </c>
      <c r="CJ3" s="46" t="n">
        <f aca="false">Marketing!CJ3</f>
        <v>5000</v>
      </c>
      <c r="CK3" s="44" t="n">
        <f aca="false">Marketing!CK3</f>
        <v>0</v>
      </c>
      <c r="CL3" s="45" t="n">
        <f aca="false">Marketing!CL3</f>
        <v>5000</v>
      </c>
      <c r="CM3" s="46" t="n">
        <f aca="false">Marketing!CM3</f>
        <v>5000</v>
      </c>
      <c r="CN3" s="44" t="n">
        <f aca="false">Marketing!CN3</f>
        <v>0</v>
      </c>
      <c r="CO3" s="45" t="n">
        <f aca="false">Marketing!CO3</f>
        <v>5000</v>
      </c>
      <c r="CP3" s="46" t="n">
        <f aca="false">Marketing!CP3</f>
        <v>5000</v>
      </c>
      <c r="CQ3" s="44" t="n">
        <f aca="false">Marketing!CQ3</f>
        <v>0</v>
      </c>
      <c r="CR3" s="45" t="n">
        <f aca="false">Marketing!CR3</f>
        <v>5000</v>
      </c>
      <c r="CS3" s="46" t="n">
        <f aca="false">Marketing!CS3</f>
        <v>5000</v>
      </c>
      <c r="CT3" s="44" t="n">
        <f aca="false">Marketing!CT3</f>
        <v>0</v>
      </c>
      <c r="CU3" s="45" t="n">
        <f aca="false">Marketing!CU3</f>
        <v>5000</v>
      </c>
      <c r="CV3" s="46" t="n">
        <f aca="false">Marketing!CV3</f>
        <v>5000</v>
      </c>
      <c r="CW3" s="44" t="n">
        <f aca="false">Marketing!CW3</f>
        <v>0</v>
      </c>
      <c r="CX3" s="45" t="n">
        <f aca="false">Marketing!CX3</f>
        <v>5000</v>
      </c>
      <c r="CY3" s="46" t="n">
        <f aca="false">Marketing!CY3</f>
        <v>5000</v>
      </c>
      <c r="CZ3" s="44" t="n">
        <f aca="false">Marketing!CZ3</f>
        <v>0</v>
      </c>
      <c r="DA3" s="45" t="n">
        <f aca="false">Marketing!DA3</f>
        <v>5000</v>
      </c>
      <c r="DB3" s="46" t="n">
        <f aca="false">Marketing!DB3</f>
        <v>5000</v>
      </c>
      <c r="DC3" s="44" t="n">
        <f aca="false">Marketing!DC3</f>
        <v>0</v>
      </c>
      <c r="DD3" s="45" t="n">
        <f aca="false">Marketing!DD3</f>
        <v>5000</v>
      </c>
      <c r="DE3" s="46" t="n">
        <f aca="false">Marketing!DE3</f>
        <v>5000</v>
      </c>
      <c r="DF3" s="44" t="n">
        <f aca="false">Marketing!DF3</f>
        <v>0</v>
      </c>
      <c r="DG3" s="45" t="n">
        <f aca="false">Marketing!DG3</f>
        <v>5000</v>
      </c>
      <c r="DH3" s="46" t="n">
        <f aca="false">Marketing!DH3</f>
        <v>5000</v>
      </c>
      <c r="DI3" s="44" t="n">
        <f aca="false">Marketing!DI3</f>
        <v>5000</v>
      </c>
      <c r="DJ3" s="45" t="n">
        <f aca="false">Marketing!DJ3</f>
        <v>5000</v>
      </c>
      <c r="DK3" s="46" t="n">
        <f aca="false">Marketing!DK3</f>
        <v>5000</v>
      </c>
      <c r="DL3" s="44" t="n">
        <f aca="false">Marketing!DL3</f>
        <v>5000</v>
      </c>
      <c r="DM3" s="45" t="n">
        <f aca="false">Marketing!DM3</f>
        <v>5000</v>
      </c>
      <c r="DN3" s="46" t="n">
        <f aca="false">Marketing!DN3</f>
        <v>5000</v>
      </c>
    </row>
    <row r="4" customFormat="false" ht="18" hidden="false" customHeight="true" outlineLevel="0" collapsed="false">
      <c r="A4" s="39" t="s">
        <v>128</v>
      </c>
      <c r="B4" s="47" t="str">
        <f aca="false">IFERROR(B5/B3,"")</f>
        <v/>
      </c>
      <c r="C4" s="47" t="n">
        <f aca="false">IFERROR(C5/C3,"")</f>
        <v>0.024040404040404</v>
      </c>
      <c r="D4" s="47" t="n">
        <f aca="false">IFERROR(D5/D3,"")</f>
        <v>0.024040404040404</v>
      </c>
      <c r="E4" s="47" t="str">
        <f aca="false">IFERROR(E5/E3,"")</f>
        <v/>
      </c>
      <c r="F4" s="47" t="n">
        <f aca="false">IFERROR(F5/F3,"")</f>
        <v>0.0240277777777778</v>
      </c>
      <c r="G4" s="47" t="n">
        <f aca="false">IFERROR(G5/G3,"")</f>
        <v>0.0240277777777778</v>
      </c>
      <c r="H4" s="47" t="n">
        <f aca="false">IFERROR(H5/H3,"")</f>
        <v>0.0242</v>
      </c>
      <c r="I4" s="47" t="n">
        <f aca="false">IFERROR(I5/I3,"")</f>
        <v>0.0240333333333333</v>
      </c>
      <c r="J4" s="47" t="n">
        <f aca="false">IFERROR(J5/J3,"")</f>
        <v>0.024</v>
      </c>
      <c r="K4" s="48" t="str">
        <f aca="false">Marketing!K4</f>
        <v/>
      </c>
      <c r="L4" s="49" t="n">
        <f aca="false">Marketing!L4</f>
        <v>0.024</v>
      </c>
      <c r="M4" s="50" t="n">
        <f aca="false">Marketing!M4</f>
        <v>0.024</v>
      </c>
      <c r="N4" s="48" t="str">
        <f aca="false">Marketing!N4</f>
        <v/>
      </c>
      <c r="O4" s="49" t="n">
        <f aca="false">Marketing!O4</f>
        <v>0.024</v>
      </c>
      <c r="P4" s="50" t="n">
        <f aca="false">Marketing!P4</f>
        <v>0.024</v>
      </c>
      <c r="Q4" s="48" t="str">
        <f aca="false">Marketing!Q4</f>
        <v/>
      </c>
      <c r="R4" s="49" t="n">
        <f aca="false">Marketing!R4</f>
        <v>0.024</v>
      </c>
      <c r="S4" s="50" t="n">
        <f aca="false">Marketing!S4</f>
        <v>0.024</v>
      </c>
      <c r="T4" s="48" t="str">
        <f aca="false">Marketing!T4</f>
        <v/>
      </c>
      <c r="U4" s="49" t="n">
        <f aca="false">Marketing!U4</f>
        <v>0.024</v>
      </c>
      <c r="V4" s="50" t="n">
        <f aca="false">Marketing!V4</f>
        <v>0.024</v>
      </c>
      <c r="W4" s="48" t="str">
        <f aca="false">Marketing!W4</f>
        <v/>
      </c>
      <c r="X4" s="49" t="n">
        <f aca="false">Marketing!X4</f>
        <v>0.024</v>
      </c>
      <c r="Y4" s="50" t="n">
        <f aca="false">Marketing!Y4</f>
        <v>0.024</v>
      </c>
      <c r="Z4" s="48" t="str">
        <f aca="false">Marketing!Z4</f>
        <v/>
      </c>
      <c r="AA4" s="49" t="n">
        <f aca="false">Marketing!AA4</f>
        <v>0.024</v>
      </c>
      <c r="AB4" s="50" t="n">
        <f aca="false">Marketing!AB4</f>
        <v>0.024</v>
      </c>
      <c r="AC4" s="48" t="str">
        <f aca="false">Marketing!AC4</f>
        <v/>
      </c>
      <c r="AD4" s="49" t="n">
        <f aca="false">Marketing!AD4</f>
        <v>0.024</v>
      </c>
      <c r="AE4" s="50" t="n">
        <f aca="false">Marketing!AE4</f>
        <v>0.024</v>
      </c>
      <c r="AF4" s="48" t="str">
        <f aca="false">Marketing!AF4</f>
        <v/>
      </c>
      <c r="AG4" s="49" t="n">
        <f aca="false">Marketing!AG4</f>
        <v>0.024</v>
      </c>
      <c r="AH4" s="50" t="n">
        <f aca="false">Marketing!AH4</f>
        <v>0.024</v>
      </c>
      <c r="AI4" s="48" t="str">
        <f aca="false">Marketing!AI4</f>
        <v/>
      </c>
      <c r="AJ4" s="49" t="n">
        <f aca="false">Marketing!AJ4</f>
        <v>0.024</v>
      </c>
      <c r="AK4" s="50" t="n">
        <f aca="false">Marketing!AK4</f>
        <v>0.024</v>
      </c>
      <c r="AL4" s="48" t="str">
        <f aca="false">Marketing!AL4</f>
        <v/>
      </c>
      <c r="AM4" s="49" t="n">
        <f aca="false">Marketing!AM4</f>
        <v>0.024</v>
      </c>
      <c r="AN4" s="50" t="n">
        <f aca="false">Marketing!AN4</f>
        <v>0.024</v>
      </c>
      <c r="AO4" s="48" t="str">
        <f aca="false">Marketing!AO4</f>
        <v/>
      </c>
      <c r="AP4" s="49" t="n">
        <f aca="false">Marketing!AP4</f>
        <v>0.024</v>
      </c>
      <c r="AQ4" s="50" t="n">
        <f aca="false">Marketing!AQ4</f>
        <v>0.024</v>
      </c>
      <c r="AR4" s="48" t="str">
        <f aca="false">Marketing!AR4</f>
        <v/>
      </c>
      <c r="AS4" s="49" t="n">
        <f aca="false">Marketing!AS4</f>
        <v>0.024</v>
      </c>
      <c r="AT4" s="50" t="n">
        <f aca="false">Marketing!AT4</f>
        <v>0.024</v>
      </c>
      <c r="AU4" s="48" t="str">
        <f aca="false">Marketing!AU4</f>
        <v/>
      </c>
      <c r="AV4" s="49" t="n">
        <f aca="false">Marketing!AV4</f>
        <v>0.024</v>
      </c>
      <c r="AW4" s="50" t="n">
        <f aca="false">Marketing!AW4</f>
        <v>0.024</v>
      </c>
      <c r="AX4" s="48" t="str">
        <f aca="false">Marketing!AX4</f>
        <v/>
      </c>
      <c r="AY4" s="49" t="n">
        <f aca="false">Marketing!AY4</f>
        <v>0.024</v>
      </c>
      <c r="AZ4" s="50" t="n">
        <f aca="false">Marketing!AZ4</f>
        <v>0.024</v>
      </c>
      <c r="BA4" s="48" t="str">
        <f aca="false">Marketing!BA4</f>
        <v/>
      </c>
      <c r="BB4" s="49" t="n">
        <f aca="false">Marketing!BB4</f>
        <v>0.024</v>
      </c>
      <c r="BC4" s="50" t="n">
        <f aca="false">Marketing!BC4</f>
        <v>0.024</v>
      </c>
      <c r="BD4" s="48" t="str">
        <f aca="false">Marketing!BD4</f>
        <v/>
      </c>
      <c r="BE4" s="49" t="n">
        <f aca="false">Marketing!BE4</f>
        <v>0.024</v>
      </c>
      <c r="BF4" s="50" t="n">
        <f aca="false">Marketing!BF4</f>
        <v>0.024</v>
      </c>
      <c r="BG4" s="48" t="str">
        <f aca="false">Marketing!BG4</f>
        <v/>
      </c>
      <c r="BH4" s="49" t="n">
        <f aca="false">Marketing!BH4</f>
        <v>0.024</v>
      </c>
      <c r="BI4" s="50" t="n">
        <f aca="false">Marketing!BI4</f>
        <v>0.024</v>
      </c>
      <c r="BJ4" s="48" t="str">
        <f aca="false">Marketing!BJ4</f>
        <v/>
      </c>
      <c r="BK4" s="49" t="n">
        <f aca="false">Marketing!BK4</f>
        <v>0.024</v>
      </c>
      <c r="BL4" s="50" t="n">
        <f aca="false">Marketing!BL4</f>
        <v>0.024</v>
      </c>
      <c r="BM4" s="48" t="str">
        <f aca="false">Marketing!BM4</f>
        <v/>
      </c>
      <c r="BN4" s="49" t="n">
        <f aca="false">Marketing!BN4</f>
        <v>0.024</v>
      </c>
      <c r="BO4" s="50" t="n">
        <f aca="false">Marketing!BO4</f>
        <v>0.024</v>
      </c>
      <c r="BP4" s="48" t="str">
        <f aca="false">Marketing!BP4</f>
        <v/>
      </c>
      <c r="BQ4" s="49" t="n">
        <f aca="false">Marketing!BQ4</f>
        <v>0.024</v>
      </c>
      <c r="BR4" s="50" t="n">
        <f aca="false">Marketing!BR4</f>
        <v>0.024</v>
      </c>
      <c r="BS4" s="48" t="str">
        <f aca="false">Marketing!BS4</f>
        <v/>
      </c>
      <c r="BT4" s="49" t="n">
        <f aca="false">Marketing!BT4</f>
        <v>0.024</v>
      </c>
      <c r="BU4" s="50" t="n">
        <f aca="false">Marketing!BU4</f>
        <v>0.024</v>
      </c>
      <c r="BV4" s="48" t="str">
        <f aca="false">Marketing!BV4</f>
        <v/>
      </c>
      <c r="BW4" s="49" t="n">
        <f aca="false">Marketing!BW4</f>
        <v>0.024</v>
      </c>
      <c r="BX4" s="50" t="n">
        <f aca="false">Marketing!BX4</f>
        <v>0.024</v>
      </c>
      <c r="BY4" s="48" t="str">
        <f aca="false">Marketing!BY4</f>
        <v/>
      </c>
      <c r="BZ4" s="49" t="n">
        <f aca="false">Marketing!BZ4</f>
        <v>0.024</v>
      </c>
      <c r="CA4" s="50" t="n">
        <f aca="false">Marketing!CA4</f>
        <v>0.024</v>
      </c>
      <c r="CB4" s="48" t="str">
        <f aca="false">Marketing!CB4</f>
        <v/>
      </c>
      <c r="CC4" s="49" t="n">
        <f aca="false">Marketing!CC4</f>
        <v>0.024</v>
      </c>
      <c r="CD4" s="50" t="n">
        <f aca="false">Marketing!CD4</f>
        <v>0.024</v>
      </c>
      <c r="CE4" s="48" t="str">
        <f aca="false">Marketing!CE4</f>
        <v/>
      </c>
      <c r="CF4" s="49" t="n">
        <f aca="false">Marketing!CF4</f>
        <v>0.024</v>
      </c>
      <c r="CG4" s="50" t="n">
        <f aca="false">Marketing!CG4</f>
        <v>0.024</v>
      </c>
      <c r="CH4" s="48" t="str">
        <f aca="false">Marketing!CH4</f>
        <v/>
      </c>
      <c r="CI4" s="49" t="n">
        <f aca="false">Marketing!CI4</f>
        <v>0.024</v>
      </c>
      <c r="CJ4" s="50" t="n">
        <f aca="false">Marketing!CJ4</f>
        <v>0.024</v>
      </c>
      <c r="CK4" s="48" t="str">
        <f aca="false">Marketing!CK4</f>
        <v/>
      </c>
      <c r="CL4" s="49" t="n">
        <f aca="false">Marketing!CL4</f>
        <v>0.024</v>
      </c>
      <c r="CM4" s="50" t="n">
        <f aca="false">Marketing!CM4</f>
        <v>0.024</v>
      </c>
      <c r="CN4" s="48" t="str">
        <f aca="false">Marketing!CN4</f>
        <v/>
      </c>
      <c r="CO4" s="49" t="n">
        <f aca="false">Marketing!CO4</f>
        <v>0.024</v>
      </c>
      <c r="CP4" s="50" t="n">
        <f aca="false">Marketing!CP4</f>
        <v>0.024</v>
      </c>
      <c r="CQ4" s="48" t="str">
        <f aca="false">Marketing!CQ4</f>
        <v/>
      </c>
      <c r="CR4" s="49" t="n">
        <f aca="false">Marketing!CR4</f>
        <v>0.024</v>
      </c>
      <c r="CS4" s="50" t="n">
        <f aca="false">Marketing!CS4</f>
        <v>0.024</v>
      </c>
      <c r="CT4" s="48" t="str">
        <f aca="false">Marketing!CT4</f>
        <v/>
      </c>
      <c r="CU4" s="49" t="n">
        <f aca="false">Marketing!CU4</f>
        <v>0.024</v>
      </c>
      <c r="CV4" s="50" t="n">
        <f aca="false">Marketing!CV4</f>
        <v>0.024</v>
      </c>
      <c r="CW4" s="48" t="str">
        <f aca="false">Marketing!CW4</f>
        <v/>
      </c>
      <c r="CX4" s="49" t="n">
        <f aca="false">Marketing!CX4</f>
        <v>0.024</v>
      </c>
      <c r="CY4" s="50" t="n">
        <f aca="false">Marketing!CY4</f>
        <v>0.024</v>
      </c>
      <c r="CZ4" s="48" t="str">
        <f aca="false">Marketing!CZ4</f>
        <v/>
      </c>
      <c r="DA4" s="49" t="n">
        <f aca="false">Marketing!DA4</f>
        <v>0.024</v>
      </c>
      <c r="DB4" s="50" t="n">
        <f aca="false">Marketing!DB4</f>
        <v>0.024</v>
      </c>
      <c r="DC4" s="48" t="str">
        <f aca="false">Marketing!DC4</f>
        <v/>
      </c>
      <c r="DD4" s="49" t="n">
        <f aca="false">Marketing!DD4</f>
        <v>0.024</v>
      </c>
      <c r="DE4" s="50" t="n">
        <f aca="false">Marketing!DE4</f>
        <v>0.024</v>
      </c>
      <c r="DF4" s="48" t="str">
        <f aca="false">Marketing!DF4</f>
        <v/>
      </c>
      <c r="DG4" s="49" t="n">
        <f aca="false">Marketing!DG4</f>
        <v>0.024</v>
      </c>
      <c r="DH4" s="50" t="n">
        <f aca="false">Marketing!DH4</f>
        <v>0.024</v>
      </c>
      <c r="DI4" s="48" t="n">
        <f aca="false">Marketing!DI4</f>
        <v>0.024</v>
      </c>
      <c r="DJ4" s="49" t="n">
        <f aca="false">Marketing!DJ4</f>
        <v>0.024</v>
      </c>
      <c r="DK4" s="50" t="n">
        <f aca="false">Marketing!DK4</f>
        <v>0.024</v>
      </c>
      <c r="DL4" s="48" t="n">
        <f aca="false">Marketing!DL4</f>
        <v>0.0244</v>
      </c>
      <c r="DM4" s="49" t="n">
        <f aca="false">Marketing!DM4</f>
        <v>0.0244</v>
      </c>
      <c r="DN4" s="50" t="n">
        <f aca="false">Marketing!DN4</f>
        <v>0.024</v>
      </c>
    </row>
    <row r="5" customFormat="false" ht="18" hidden="false" customHeight="true" outlineLevel="0" collapsed="false">
      <c r="A5" s="39" t="s">
        <v>129</v>
      </c>
      <c r="B5" s="43" t="n">
        <f aca="false">IF(COUNT(AR5,AO5,AL5,AI5,AF5,AC5,Z5,W5,T5,Q5,N5,K5)=0,"",SUM(AR5,AO5,AL5,AI5,AF5,AC5,Z5,W5,T5,Q5,N5,K5))</f>
        <v>0</v>
      </c>
      <c r="C5" s="43" t="n">
        <f aca="false">SUM(AS5,AP5,AM5,AJ5,AG5,AD5,AA5,X5,U5,R5,O5,L5)</f>
        <v>2856</v>
      </c>
      <c r="D5" s="43" t="n">
        <f aca="false">SUM(AT5,AQ5,AN5,AK5,AH5,AE5,AB5,Y5,V5,S5,P5,M5)</f>
        <v>2856</v>
      </c>
      <c r="E5" s="43" t="n">
        <f aca="false">IF(COUNT(CB5,BY5,BV5,BS5,BP5,BM5,BJ5,BG5,BD5,BA5,AX5,AU5)=0,"",SUM(CB5,BY5,BV5,BS5,BP5,BM5,BJ5,BG5,BD5,BA5,AX5,AU5))</f>
        <v>0</v>
      </c>
      <c r="F5" s="43" t="n">
        <f aca="false">SUM(CC5,BZ5,BW5,BT5,BQ5,BN5,BK5,BH5,BE5,BB5,AY5,AV5)</f>
        <v>2076</v>
      </c>
      <c r="G5" s="43" t="n">
        <f aca="false">SUM(CD5,CA5,BX5,BU5,BR5,BO5,BL5,BI5,BF5,BC5,AZ5,AW5)</f>
        <v>2076</v>
      </c>
      <c r="H5" s="43" t="n">
        <f aca="false">IF(COUNT(DL5,DI5,DF5,DC5,CZ5,CW5,CT5,CQ5,CN5,CK5,CH5,CE5)=0,"",SUM(DL5,DI5,DF5,DC5,CZ5,CW5,CT5,CQ5,CN5,CK5,CH5,CE5))</f>
        <v>242</v>
      </c>
      <c r="I5" s="43" t="n">
        <f aca="false">SUM(DM5,DJ5,DG5,DD5,DA5,CX5,CU5,CR5,CO5,CL5,CI5,CF5)</f>
        <v>1442</v>
      </c>
      <c r="J5" s="43" t="n">
        <f aca="false">SUM(DN5,DK5,DH5,DE5,DB5,CY5,CV5,CS5,CP5,CM5,CJ5,CG5)</f>
        <v>1440</v>
      </c>
      <c r="K5" s="44" t="n">
        <f aca="false">Marketing!K5</f>
        <v>0</v>
      </c>
      <c r="L5" s="45" t="n">
        <f aca="false">Marketing!L5</f>
        <v>238</v>
      </c>
      <c r="M5" s="46" t="n">
        <f aca="false">Marketing!M5</f>
        <v>238</v>
      </c>
      <c r="N5" s="44" t="n">
        <f aca="false">Marketing!N5</f>
        <v>0</v>
      </c>
      <c r="O5" s="45" t="n">
        <f aca="false">Marketing!O5</f>
        <v>238</v>
      </c>
      <c r="P5" s="46" t="n">
        <f aca="false">Marketing!P5</f>
        <v>238</v>
      </c>
      <c r="Q5" s="44" t="n">
        <f aca="false">Marketing!Q5</f>
        <v>0</v>
      </c>
      <c r="R5" s="45" t="n">
        <f aca="false">Marketing!R5</f>
        <v>238</v>
      </c>
      <c r="S5" s="46" t="n">
        <f aca="false">Marketing!S5</f>
        <v>238</v>
      </c>
      <c r="T5" s="44" t="n">
        <f aca="false">Marketing!T5</f>
        <v>0</v>
      </c>
      <c r="U5" s="45" t="n">
        <f aca="false">Marketing!U5</f>
        <v>238</v>
      </c>
      <c r="V5" s="46" t="n">
        <f aca="false">Marketing!V5</f>
        <v>238</v>
      </c>
      <c r="W5" s="44" t="n">
        <f aca="false">Marketing!W5</f>
        <v>0</v>
      </c>
      <c r="X5" s="45" t="n">
        <f aca="false">Marketing!X5</f>
        <v>238</v>
      </c>
      <c r="Y5" s="46" t="n">
        <f aca="false">Marketing!Y5</f>
        <v>238</v>
      </c>
      <c r="Z5" s="44" t="n">
        <f aca="false">Marketing!Z5</f>
        <v>0</v>
      </c>
      <c r="AA5" s="45" t="n">
        <f aca="false">Marketing!AA5</f>
        <v>238</v>
      </c>
      <c r="AB5" s="46" t="n">
        <f aca="false">Marketing!AB5</f>
        <v>238</v>
      </c>
      <c r="AC5" s="44" t="n">
        <f aca="false">Marketing!AC5</f>
        <v>0</v>
      </c>
      <c r="AD5" s="45" t="n">
        <f aca="false">Marketing!AD5</f>
        <v>238</v>
      </c>
      <c r="AE5" s="46" t="n">
        <f aca="false">Marketing!AE5</f>
        <v>238</v>
      </c>
      <c r="AF5" s="44" t="n">
        <f aca="false">Marketing!AF5</f>
        <v>0</v>
      </c>
      <c r="AG5" s="45" t="n">
        <f aca="false">Marketing!AG5</f>
        <v>238</v>
      </c>
      <c r="AH5" s="46" t="n">
        <f aca="false">Marketing!AH5</f>
        <v>238</v>
      </c>
      <c r="AI5" s="44" t="n">
        <f aca="false">Marketing!AI5</f>
        <v>0</v>
      </c>
      <c r="AJ5" s="45" t="n">
        <f aca="false">Marketing!AJ5</f>
        <v>238</v>
      </c>
      <c r="AK5" s="46" t="n">
        <f aca="false">Marketing!AK5</f>
        <v>238</v>
      </c>
      <c r="AL5" s="44" t="n">
        <f aca="false">Marketing!AL5</f>
        <v>0</v>
      </c>
      <c r="AM5" s="45" t="n">
        <f aca="false">Marketing!AM5</f>
        <v>238</v>
      </c>
      <c r="AN5" s="46" t="n">
        <f aca="false">Marketing!AN5</f>
        <v>238</v>
      </c>
      <c r="AO5" s="44" t="n">
        <f aca="false">Marketing!AO5</f>
        <v>0</v>
      </c>
      <c r="AP5" s="45" t="n">
        <f aca="false">Marketing!AP5</f>
        <v>238</v>
      </c>
      <c r="AQ5" s="46" t="n">
        <f aca="false">Marketing!AQ5</f>
        <v>238</v>
      </c>
      <c r="AR5" s="44" t="n">
        <f aca="false">Marketing!AR5</f>
        <v>0</v>
      </c>
      <c r="AS5" s="45" t="n">
        <f aca="false">Marketing!AS5</f>
        <v>238</v>
      </c>
      <c r="AT5" s="46" t="n">
        <f aca="false">Marketing!AT5</f>
        <v>238</v>
      </c>
      <c r="AU5" s="44" t="n">
        <f aca="false">Marketing!AU5</f>
        <v>0</v>
      </c>
      <c r="AV5" s="45" t="n">
        <f aca="false">Marketing!AV5</f>
        <v>173</v>
      </c>
      <c r="AW5" s="46" t="n">
        <f aca="false">Marketing!AW5</f>
        <v>173</v>
      </c>
      <c r="AX5" s="44" t="n">
        <f aca="false">Marketing!AX5</f>
        <v>0</v>
      </c>
      <c r="AY5" s="45" t="n">
        <f aca="false">Marketing!AY5</f>
        <v>173</v>
      </c>
      <c r="AZ5" s="46" t="n">
        <f aca="false">Marketing!AZ5</f>
        <v>173</v>
      </c>
      <c r="BA5" s="44" t="n">
        <f aca="false">Marketing!BA5</f>
        <v>0</v>
      </c>
      <c r="BB5" s="45" t="n">
        <f aca="false">Marketing!BB5</f>
        <v>173</v>
      </c>
      <c r="BC5" s="46" t="n">
        <f aca="false">Marketing!BC5</f>
        <v>173</v>
      </c>
      <c r="BD5" s="44" t="n">
        <f aca="false">Marketing!BD5</f>
        <v>0</v>
      </c>
      <c r="BE5" s="45" t="n">
        <f aca="false">Marketing!BE5</f>
        <v>173</v>
      </c>
      <c r="BF5" s="46" t="n">
        <f aca="false">Marketing!BF5</f>
        <v>173</v>
      </c>
      <c r="BG5" s="44" t="n">
        <f aca="false">Marketing!BG5</f>
        <v>0</v>
      </c>
      <c r="BH5" s="45" t="n">
        <f aca="false">Marketing!BH5</f>
        <v>173</v>
      </c>
      <c r="BI5" s="46" t="n">
        <f aca="false">Marketing!BI5</f>
        <v>173</v>
      </c>
      <c r="BJ5" s="44" t="n">
        <f aca="false">Marketing!BJ5</f>
        <v>0</v>
      </c>
      <c r="BK5" s="45" t="n">
        <f aca="false">Marketing!BK5</f>
        <v>173</v>
      </c>
      <c r="BL5" s="46" t="n">
        <f aca="false">Marketing!BL5</f>
        <v>173</v>
      </c>
      <c r="BM5" s="44" t="n">
        <f aca="false">Marketing!BM5</f>
        <v>0</v>
      </c>
      <c r="BN5" s="45" t="n">
        <f aca="false">Marketing!BN5</f>
        <v>173</v>
      </c>
      <c r="BO5" s="46" t="n">
        <f aca="false">Marketing!BO5</f>
        <v>173</v>
      </c>
      <c r="BP5" s="44" t="n">
        <f aca="false">Marketing!BP5</f>
        <v>0</v>
      </c>
      <c r="BQ5" s="45" t="n">
        <f aca="false">Marketing!BQ5</f>
        <v>173</v>
      </c>
      <c r="BR5" s="46" t="n">
        <f aca="false">Marketing!BR5</f>
        <v>173</v>
      </c>
      <c r="BS5" s="44" t="n">
        <f aca="false">Marketing!BS5</f>
        <v>0</v>
      </c>
      <c r="BT5" s="45" t="n">
        <f aca="false">Marketing!BT5</f>
        <v>173</v>
      </c>
      <c r="BU5" s="46" t="n">
        <f aca="false">Marketing!BU5</f>
        <v>173</v>
      </c>
      <c r="BV5" s="44" t="n">
        <f aca="false">Marketing!BV5</f>
        <v>0</v>
      </c>
      <c r="BW5" s="45" t="n">
        <f aca="false">Marketing!BW5</f>
        <v>173</v>
      </c>
      <c r="BX5" s="46" t="n">
        <f aca="false">Marketing!BX5</f>
        <v>173</v>
      </c>
      <c r="BY5" s="44" t="n">
        <f aca="false">Marketing!BY5</f>
        <v>0</v>
      </c>
      <c r="BZ5" s="45" t="n">
        <f aca="false">Marketing!BZ5</f>
        <v>173</v>
      </c>
      <c r="CA5" s="46" t="n">
        <f aca="false">Marketing!CA5</f>
        <v>173</v>
      </c>
      <c r="CB5" s="44" t="n">
        <f aca="false">Marketing!CB5</f>
        <v>0</v>
      </c>
      <c r="CC5" s="45" t="n">
        <f aca="false">Marketing!CC5</f>
        <v>173</v>
      </c>
      <c r="CD5" s="46" t="n">
        <f aca="false">Marketing!CD5</f>
        <v>173</v>
      </c>
      <c r="CE5" s="44" t="n">
        <f aca="false">Marketing!CE5</f>
        <v>0</v>
      </c>
      <c r="CF5" s="45" t="n">
        <f aca="false">Marketing!CF5</f>
        <v>120</v>
      </c>
      <c r="CG5" s="46" t="n">
        <f aca="false">Marketing!CG5</f>
        <v>120</v>
      </c>
      <c r="CH5" s="44" t="n">
        <f aca="false">Marketing!CH5</f>
        <v>0</v>
      </c>
      <c r="CI5" s="45" t="n">
        <f aca="false">Marketing!CI5</f>
        <v>120</v>
      </c>
      <c r="CJ5" s="46" t="n">
        <f aca="false">Marketing!CJ5</f>
        <v>120</v>
      </c>
      <c r="CK5" s="44" t="n">
        <f aca="false">Marketing!CK5</f>
        <v>0</v>
      </c>
      <c r="CL5" s="45" t="n">
        <f aca="false">Marketing!CL5</f>
        <v>120</v>
      </c>
      <c r="CM5" s="46" t="n">
        <f aca="false">Marketing!CM5</f>
        <v>120</v>
      </c>
      <c r="CN5" s="44" t="n">
        <f aca="false">Marketing!CN5</f>
        <v>0</v>
      </c>
      <c r="CO5" s="45" t="n">
        <f aca="false">Marketing!CO5</f>
        <v>120</v>
      </c>
      <c r="CP5" s="46" t="n">
        <f aca="false">Marketing!CP5</f>
        <v>120</v>
      </c>
      <c r="CQ5" s="44" t="n">
        <f aca="false">Marketing!CQ5</f>
        <v>0</v>
      </c>
      <c r="CR5" s="45" t="n">
        <f aca="false">Marketing!CR5</f>
        <v>120</v>
      </c>
      <c r="CS5" s="46" t="n">
        <f aca="false">Marketing!CS5</f>
        <v>120</v>
      </c>
      <c r="CT5" s="44" t="n">
        <f aca="false">Marketing!CT5</f>
        <v>0</v>
      </c>
      <c r="CU5" s="45" t="n">
        <f aca="false">Marketing!CU5</f>
        <v>120</v>
      </c>
      <c r="CV5" s="46" t="n">
        <f aca="false">Marketing!CV5</f>
        <v>120</v>
      </c>
      <c r="CW5" s="44" t="n">
        <f aca="false">Marketing!CW5</f>
        <v>0</v>
      </c>
      <c r="CX5" s="45" t="n">
        <f aca="false">Marketing!CX5</f>
        <v>120</v>
      </c>
      <c r="CY5" s="46" t="n">
        <f aca="false">Marketing!CY5</f>
        <v>120</v>
      </c>
      <c r="CZ5" s="44" t="n">
        <f aca="false">Marketing!CZ5</f>
        <v>0</v>
      </c>
      <c r="DA5" s="45" t="n">
        <f aca="false">Marketing!DA5</f>
        <v>120</v>
      </c>
      <c r="DB5" s="46" t="n">
        <f aca="false">Marketing!DB5</f>
        <v>120</v>
      </c>
      <c r="DC5" s="44" t="n">
        <f aca="false">Marketing!DC5</f>
        <v>0</v>
      </c>
      <c r="DD5" s="45" t="n">
        <f aca="false">Marketing!DD5</f>
        <v>120</v>
      </c>
      <c r="DE5" s="46" t="n">
        <f aca="false">Marketing!DE5</f>
        <v>120</v>
      </c>
      <c r="DF5" s="44" t="n">
        <f aca="false">Marketing!DF5</f>
        <v>0</v>
      </c>
      <c r="DG5" s="45" t="n">
        <f aca="false">Marketing!DG5</f>
        <v>120</v>
      </c>
      <c r="DH5" s="46" t="n">
        <f aca="false">Marketing!DH5</f>
        <v>120</v>
      </c>
      <c r="DI5" s="44" t="n">
        <f aca="false">Marketing!DI5</f>
        <v>120</v>
      </c>
      <c r="DJ5" s="45" t="n">
        <f aca="false">Marketing!DJ5</f>
        <v>120</v>
      </c>
      <c r="DK5" s="46" t="n">
        <f aca="false">Marketing!DK5</f>
        <v>120</v>
      </c>
      <c r="DL5" s="44" t="n">
        <f aca="false">Marketing!DL5</f>
        <v>122</v>
      </c>
      <c r="DM5" s="45" t="n">
        <f aca="false">Marketing!DM5</f>
        <v>122</v>
      </c>
      <c r="DN5" s="46" t="n">
        <f aca="false">Marketing!DN5</f>
        <v>120</v>
      </c>
    </row>
    <row r="6" customFormat="false" ht="18" hidden="false" customHeight="true" outlineLevel="0" collapsed="false">
      <c r="A6" s="39" t="s">
        <v>130</v>
      </c>
      <c r="B6" s="47" t="str">
        <f aca="false">IFERROR(B8/B5,"")</f>
        <v/>
      </c>
      <c r="C6" s="47" t="n">
        <f aca="false">IFERROR(C8/C5,"")</f>
        <v>0.621848739495798</v>
      </c>
      <c r="D6" s="47" t="n">
        <f aca="false">IFERROR(D8/D5,"")</f>
        <v>0.621848739495798</v>
      </c>
      <c r="E6" s="47" t="str">
        <f aca="false">IFERROR(E8/E5,"")</f>
        <v/>
      </c>
      <c r="F6" s="47" t="n">
        <f aca="false">IFERROR(F8/F5,"")</f>
        <v>0.61849710982659</v>
      </c>
      <c r="G6" s="47" t="n">
        <f aca="false">IFERROR(G8/G5,"")</f>
        <v>0.61849710982659</v>
      </c>
      <c r="H6" s="47" t="n">
        <f aca="false">IFERROR(H8/H5,"")</f>
        <v>0.619834710743802</v>
      </c>
      <c r="I6" s="47" t="n">
        <f aca="false">IFERROR(I8/I5,"")</f>
        <v>0.617198335644938</v>
      </c>
      <c r="J6" s="47" t="n">
        <f aca="false">IFERROR(J8/J5,"")</f>
        <v>0.616666666666667</v>
      </c>
      <c r="K6" s="48" t="str">
        <f aca="false">Marketing!K6</f>
        <v/>
      </c>
      <c r="L6" s="49" t="n">
        <f aca="false">Marketing!L6</f>
        <v>0.62</v>
      </c>
      <c r="M6" s="50" t="n">
        <f aca="false">Marketing!M6</f>
        <v>0.62</v>
      </c>
      <c r="N6" s="48" t="str">
        <f aca="false">Marketing!N6</f>
        <v/>
      </c>
      <c r="O6" s="49" t="n">
        <f aca="false">Marketing!O6</f>
        <v>0.62</v>
      </c>
      <c r="P6" s="50" t="n">
        <f aca="false">Marketing!P6</f>
        <v>0.62</v>
      </c>
      <c r="Q6" s="48" t="str">
        <f aca="false">Marketing!Q6</f>
        <v/>
      </c>
      <c r="R6" s="49" t="n">
        <f aca="false">Marketing!R6</f>
        <v>0.62</v>
      </c>
      <c r="S6" s="50" t="n">
        <f aca="false">Marketing!S6</f>
        <v>0.62</v>
      </c>
      <c r="T6" s="48" t="str">
        <f aca="false">Marketing!T6</f>
        <v/>
      </c>
      <c r="U6" s="49" t="n">
        <f aca="false">Marketing!U6</f>
        <v>0.62</v>
      </c>
      <c r="V6" s="50" t="n">
        <f aca="false">Marketing!V6</f>
        <v>0.62</v>
      </c>
      <c r="W6" s="48" t="str">
        <f aca="false">Marketing!W6</f>
        <v/>
      </c>
      <c r="X6" s="49" t="n">
        <f aca="false">Marketing!X6</f>
        <v>0.62</v>
      </c>
      <c r="Y6" s="50" t="n">
        <f aca="false">Marketing!Y6</f>
        <v>0.62</v>
      </c>
      <c r="Z6" s="48" t="str">
        <f aca="false">Marketing!Z6</f>
        <v/>
      </c>
      <c r="AA6" s="49" t="n">
        <f aca="false">Marketing!AA6</f>
        <v>0.62</v>
      </c>
      <c r="AB6" s="50" t="n">
        <f aca="false">Marketing!AB6</f>
        <v>0.62</v>
      </c>
      <c r="AC6" s="48" t="str">
        <f aca="false">Marketing!AC6</f>
        <v/>
      </c>
      <c r="AD6" s="49" t="n">
        <f aca="false">Marketing!AD6</f>
        <v>0.62</v>
      </c>
      <c r="AE6" s="50" t="n">
        <f aca="false">Marketing!AE6</f>
        <v>0.62</v>
      </c>
      <c r="AF6" s="48" t="str">
        <f aca="false">Marketing!AF6</f>
        <v/>
      </c>
      <c r="AG6" s="49" t="n">
        <f aca="false">Marketing!AG6</f>
        <v>0.62</v>
      </c>
      <c r="AH6" s="50" t="n">
        <f aca="false">Marketing!AH6</f>
        <v>0.62</v>
      </c>
      <c r="AI6" s="48" t="str">
        <f aca="false">Marketing!AI6</f>
        <v/>
      </c>
      <c r="AJ6" s="49" t="n">
        <f aca="false">Marketing!AJ6</f>
        <v>0.62</v>
      </c>
      <c r="AK6" s="50" t="n">
        <f aca="false">Marketing!AK6</f>
        <v>0.62</v>
      </c>
      <c r="AL6" s="48" t="str">
        <f aca="false">Marketing!AL6</f>
        <v/>
      </c>
      <c r="AM6" s="49" t="n">
        <f aca="false">Marketing!AM6</f>
        <v>0.62</v>
      </c>
      <c r="AN6" s="50" t="n">
        <f aca="false">Marketing!AN6</f>
        <v>0.62</v>
      </c>
      <c r="AO6" s="48" t="str">
        <f aca="false">Marketing!AO6</f>
        <v/>
      </c>
      <c r="AP6" s="49" t="n">
        <f aca="false">Marketing!AP6</f>
        <v>0.62</v>
      </c>
      <c r="AQ6" s="50" t="n">
        <f aca="false">Marketing!AQ6</f>
        <v>0.62</v>
      </c>
      <c r="AR6" s="48" t="str">
        <f aca="false">Marketing!AR6</f>
        <v/>
      </c>
      <c r="AS6" s="49" t="n">
        <f aca="false">Marketing!AS6</f>
        <v>0.62</v>
      </c>
      <c r="AT6" s="50" t="n">
        <f aca="false">Marketing!AT6</f>
        <v>0.62</v>
      </c>
      <c r="AU6" s="48" t="str">
        <f aca="false">Marketing!AU6</f>
        <v/>
      </c>
      <c r="AV6" s="49" t="n">
        <f aca="false">Marketing!AV6</f>
        <v>0.62</v>
      </c>
      <c r="AW6" s="50" t="n">
        <f aca="false">Marketing!AW6</f>
        <v>0.62</v>
      </c>
      <c r="AX6" s="48" t="str">
        <f aca="false">Marketing!AX6</f>
        <v/>
      </c>
      <c r="AY6" s="49" t="n">
        <f aca="false">Marketing!AY6</f>
        <v>0.62</v>
      </c>
      <c r="AZ6" s="50" t="n">
        <f aca="false">Marketing!AZ6</f>
        <v>0.62</v>
      </c>
      <c r="BA6" s="48" t="str">
        <f aca="false">Marketing!BA6</f>
        <v/>
      </c>
      <c r="BB6" s="49" t="n">
        <f aca="false">Marketing!BB6</f>
        <v>0.62</v>
      </c>
      <c r="BC6" s="50" t="n">
        <f aca="false">Marketing!BC6</f>
        <v>0.62</v>
      </c>
      <c r="BD6" s="48" t="str">
        <f aca="false">Marketing!BD6</f>
        <v/>
      </c>
      <c r="BE6" s="49" t="n">
        <f aca="false">Marketing!BE6</f>
        <v>0.62</v>
      </c>
      <c r="BF6" s="50" t="n">
        <f aca="false">Marketing!BF6</f>
        <v>0.62</v>
      </c>
      <c r="BG6" s="48" t="str">
        <f aca="false">Marketing!BG6</f>
        <v/>
      </c>
      <c r="BH6" s="49" t="n">
        <f aca="false">Marketing!BH6</f>
        <v>0.62</v>
      </c>
      <c r="BI6" s="50" t="n">
        <f aca="false">Marketing!BI6</f>
        <v>0.62</v>
      </c>
      <c r="BJ6" s="48" t="str">
        <f aca="false">Marketing!BJ6</f>
        <v/>
      </c>
      <c r="BK6" s="49" t="n">
        <f aca="false">Marketing!BK6</f>
        <v>0.62</v>
      </c>
      <c r="BL6" s="50" t="n">
        <f aca="false">Marketing!BL6</f>
        <v>0.62</v>
      </c>
      <c r="BM6" s="48" t="str">
        <f aca="false">Marketing!BM6</f>
        <v/>
      </c>
      <c r="BN6" s="49" t="n">
        <f aca="false">Marketing!BN6</f>
        <v>0.62</v>
      </c>
      <c r="BO6" s="50" t="n">
        <f aca="false">Marketing!BO6</f>
        <v>0.62</v>
      </c>
      <c r="BP6" s="48" t="str">
        <f aca="false">Marketing!BP6</f>
        <v/>
      </c>
      <c r="BQ6" s="49" t="n">
        <f aca="false">Marketing!BQ6</f>
        <v>0.62</v>
      </c>
      <c r="BR6" s="50" t="n">
        <f aca="false">Marketing!BR6</f>
        <v>0.62</v>
      </c>
      <c r="BS6" s="48" t="str">
        <f aca="false">Marketing!BS6</f>
        <v/>
      </c>
      <c r="BT6" s="49" t="n">
        <f aca="false">Marketing!BT6</f>
        <v>0.62</v>
      </c>
      <c r="BU6" s="50" t="n">
        <f aca="false">Marketing!BU6</f>
        <v>0.62</v>
      </c>
      <c r="BV6" s="48" t="str">
        <f aca="false">Marketing!BV6</f>
        <v/>
      </c>
      <c r="BW6" s="49" t="n">
        <f aca="false">Marketing!BW6</f>
        <v>0.62</v>
      </c>
      <c r="BX6" s="50" t="n">
        <f aca="false">Marketing!BX6</f>
        <v>0.62</v>
      </c>
      <c r="BY6" s="48" t="str">
        <f aca="false">Marketing!BY6</f>
        <v/>
      </c>
      <c r="BZ6" s="49" t="n">
        <f aca="false">Marketing!BZ6</f>
        <v>0.62</v>
      </c>
      <c r="CA6" s="50" t="n">
        <f aca="false">Marketing!CA6</f>
        <v>0.62</v>
      </c>
      <c r="CB6" s="48" t="str">
        <f aca="false">Marketing!CB6</f>
        <v/>
      </c>
      <c r="CC6" s="49" t="n">
        <f aca="false">Marketing!CC6</f>
        <v>0.62</v>
      </c>
      <c r="CD6" s="50" t="n">
        <f aca="false">Marketing!CD6</f>
        <v>0.62</v>
      </c>
      <c r="CE6" s="48" t="str">
        <f aca="false">Marketing!CE6</f>
        <v/>
      </c>
      <c r="CF6" s="49" t="n">
        <f aca="false">Marketing!CF6</f>
        <v>0.62</v>
      </c>
      <c r="CG6" s="50" t="n">
        <f aca="false">Marketing!CG6</f>
        <v>0.62</v>
      </c>
      <c r="CH6" s="48" t="str">
        <f aca="false">Marketing!CH6</f>
        <v/>
      </c>
      <c r="CI6" s="49" t="n">
        <f aca="false">Marketing!CI6</f>
        <v>0.62</v>
      </c>
      <c r="CJ6" s="50" t="n">
        <f aca="false">Marketing!CJ6</f>
        <v>0.62</v>
      </c>
      <c r="CK6" s="48" t="str">
        <f aca="false">Marketing!CK6</f>
        <v/>
      </c>
      <c r="CL6" s="49" t="n">
        <f aca="false">Marketing!CL6</f>
        <v>0.62</v>
      </c>
      <c r="CM6" s="50" t="n">
        <f aca="false">Marketing!CM6</f>
        <v>0.62</v>
      </c>
      <c r="CN6" s="48" t="str">
        <f aca="false">Marketing!CN6</f>
        <v/>
      </c>
      <c r="CO6" s="49" t="n">
        <f aca="false">Marketing!CO6</f>
        <v>0.62</v>
      </c>
      <c r="CP6" s="50" t="n">
        <f aca="false">Marketing!CP6</f>
        <v>0.62</v>
      </c>
      <c r="CQ6" s="48" t="str">
        <f aca="false">Marketing!CQ6</f>
        <v/>
      </c>
      <c r="CR6" s="49" t="n">
        <f aca="false">Marketing!CR6</f>
        <v>0.62</v>
      </c>
      <c r="CS6" s="50" t="n">
        <f aca="false">Marketing!CS6</f>
        <v>0.62</v>
      </c>
      <c r="CT6" s="48" t="str">
        <f aca="false">Marketing!CT6</f>
        <v/>
      </c>
      <c r="CU6" s="49" t="n">
        <f aca="false">Marketing!CU6</f>
        <v>0.62</v>
      </c>
      <c r="CV6" s="50" t="n">
        <f aca="false">Marketing!CV6</f>
        <v>0.62</v>
      </c>
      <c r="CW6" s="48" t="str">
        <f aca="false">Marketing!CW6</f>
        <v/>
      </c>
      <c r="CX6" s="49" t="n">
        <f aca="false">Marketing!CX6</f>
        <v>0.62</v>
      </c>
      <c r="CY6" s="50" t="n">
        <f aca="false">Marketing!CY6</f>
        <v>0.62</v>
      </c>
      <c r="CZ6" s="48" t="str">
        <f aca="false">Marketing!CZ6</f>
        <v/>
      </c>
      <c r="DA6" s="49" t="n">
        <f aca="false">Marketing!DA6</f>
        <v>0.62</v>
      </c>
      <c r="DB6" s="50" t="n">
        <f aca="false">Marketing!DB6</f>
        <v>0.62</v>
      </c>
      <c r="DC6" s="48" t="str">
        <f aca="false">Marketing!DC6</f>
        <v/>
      </c>
      <c r="DD6" s="49" t="n">
        <f aca="false">Marketing!DD6</f>
        <v>0.62</v>
      </c>
      <c r="DE6" s="50" t="n">
        <f aca="false">Marketing!DE6</f>
        <v>0.62</v>
      </c>
      <c r="DF6" s="48" t="str">
        <f aca="false">Marketing!DF6</f>
        <v/>
      </c>
      <c r="DG6" s="49" t="n">
        <f aca="false">Marketing!DG6</f>
        <v>0.62</v>
      </c>
      <c r="DH6" s="50" t="n">
        <f aca="false">Marketing!DH6</f>
        <v>0.62</v>
      </c>
      <c r="DI6" s="48" t="n">
        <f aca="false">Marketing!DI6</f>
        <v>0.616666666666667</v>
      </c>
      <c r="DJ6" s="49" t="n">
        <f aca="false">Marketing!DJ6</f>
        <v>0.6166666667</v>
      </c>
      <c r="DK6" s="50" t="n">
        <f aca="false">Marketing!DK6</f>
        <v>0.62</v>
      </c>
      <c r="DL6" s="48" t="n">
        <f aca="false">Marketing!DL6</f>
        <v>0.622950819672131</v>
      </c>
      <c r="DM6" s="49" t="n">
        <f aca="false">Marketing!DM6</f>
        <v>0.6229508197</v>
      </c>
      <c r="DN6" s="50" t="n">
        <f aca="false">Marketing!DN6</f>
        <v>0.62</v>
      </c>
    </row>
    <row r="7" customFormat="false" ht="18" hidden="false" customHeight="true" outlineLevel="0" collapsed="false">
      <c r="A7" s="39" t="s">
        <v>131</v>
      </c>
      <c r="B7" s="51" t="str">
        <f aca="false">IFERROR(SUM(AR7*AR3,AO7*AO3,AL7*AL3,AI7*AI3,AF7*AF3,AC7*AC3,Z7*Z3,W7*W3,T7*T3,Q7*Q3,N7*N3,K7*K3)/SUM(AR3,AO3,AL3,AI3,AF3,AC3,Z3,W3,T3,Q3,N3,K3),"")</f>
        <v/>
      </c>
      <c r="C7" s="51" t="n">
        <f aca="false">IFERROR(SUM(AS7*AS3,AP7*AP3,AM7*AM3,AJ7*AJ3,AG7*AG3,AD7*AD3,AA7*AA3,X7*X3,U7*U3,R7*R3,O7*O3,L7*L3)/SUM(AS3,AP3,AM3,AJ3,AG3,AD3,AA3,X3,U3,R3,O3,L3),"")</f>
        <v>14</v>
      </c>
      <c r="D7" s="51" t="n">
        <f aca="false">IFERROR(SUM(AT7*AT3,AQ7*AQ3,AN7*AN3,AK7*AK3,AH7*AH3,AE7*AE3,AB7*AB3,Y7*Y3,V7*V3,S7*S3,P7*P3,M7*M3)/SUM(AT3,AQ3,AN3,AK3,AH3,AE3,AB3,Y3,V3,S3,P3,M3),"")</f>
        <v>14</v>
      </c>
      <c r="E7" s="51" t="str">
        <f aca="false">IFERROR(SUM(CB7*CB3,BY7*BY3,BV7*BV3,BS7*BS3,BP7*BP3,BM7*BM3,BJ7*BJ3,BG7*BG3,BD7*BD3,BA7*BA3,AX7*AX3,AU7*AU3)/SUM(CB3,BY3,BV3,BS3,BP3,BM3,BJ3,BG3,BD3,BA3,AX3,AU3),"")</f>
        <v/>
      </c>
      <c r="F7" s="51" t="n">
        <f aca="false">IFERROR(SUM(CC7*CC3,BZ7*BZ3,BW7*BW3,BT7*BT3,BQ7*BQ3,BN7*BN3,BK7*BK3,BH7*BH3,BE7*BE3,BB7*BB3,AY7*AY3,AV7*AV3)/SUM(CC3,BZ3,BW3,BT3,BQ3,BN3,BK3,BH3,BE3,BB3,AY3,AV3),"")</f>
        <v>14</v>
      </c>
      <c r="G7" s="51" t="n">
        <f aca="false">IFERROR(SUM(CD7*CD3,CA7*CA3,BX7*BX3,BU7*BU3,BR7*BR3,BO7*BO3,BL7*BL3,BI7*BI3,BF7*BF3,BC7*BC3,AZ7*AZ3,AW7*AW3)/SUM(CD3,CA3,BX3,BU3,BR3,BO3,BL3,BI3,BF3,BC3,AZ3,AW3),"")</f>
        <v>14</v>
      </c>
      <c r="H7" s="51" t="n">
        <f aca="false">IFERROR(SUM(DL7*DL3,DI7*DI3,DF7*DF3,DC7*DC3,CZ7*CZ3,CW7*CW3,CT7*CT3,CQ7*CQ3,CN7*CN3,CK7*CK3,CH7*CH3,CE7*CE3)/SUM(DL3,DI3,DF3,DC3,CZ3,CW3,CT3,CQ3,CN3,CK3,CH3,CE3),"")</f>
        <v>14</v>
      </c>
      <c r="I7" s="51" t="n">
        <f aca="false">IFERROR(SUM(DM7*DM3,DJ7*DJ3,DG7*DG3,DD7*DD3,DA7*DA3,CX7*CX3,CU7*CU3,CR7*CR3,CO7*CO3,CL7*CL3,CI7*CI3,CF7*CF3)/SUM(DM3,DJ3,DG3,DD3,DA3,CX3,CU3,CR3,CO3,CL3,CI3,CF3),"")</f>
        <v>14</v>
      </c>
      <c r="J7" s="51" t="n">
        <f aca="false">IFERROR(SUM(DN7*DN3,DK7*DK3,DH7*DH3,DE7*DE3,DB7*DB3,CY7*CY3,CV7*CV3,CS7*CS3,CP7*CP3,CM7*CM3,CJ7*CJ3,CG7*CG3)/SUM(DN3,DK3,DH3,DE3,DB3,CY3,CV3,CS3,CP3,CM3,CJ3,CG3),"")</f>
        <v>14</v>
      </c>
      <c r="K7" s="52"/>
      <c r="L7" s="53" t="n">
        <f aca="false">IF(L$26,K7,M7)</f>
        <v>14</v>
      </c>
      <c r="M7" s="54" t="n">
        <v>14</v>
      </c>
      <c r="N7" s="52"/>
      <c r="O7" s="53" t="n">
        <f aca="false">IF(O$26,N7,P7)</f>
        <v>14</v>
      </c>
      <c r="P7" s="54" t="n">
        <v>14</v>
      </c>
      <c r="Q7" s="52"/>
      <c r="R7" s="53" t="n">
        <f aca="false">IF(R$26,Q7,S7)</f>
        <v>14</v>
      </c>
      <c r="S7" s="54" t="n">
        <v>14</v>
      </c>
      <c r="T7" s="52"/>
      <c r="U7" s="53" t="n">
        <f aca="false">IF(U$26,T7,V7)</f>
        <v>14</v>
      </c>
      <c r="V7" s="54" t="n">
        <v>14</v>
      </c>
      <c r="W7" s="52"/>
      <c r="X7" s="53" t="n">
        <f aca="false">IF(X$26,W7,Y7)</f>
        <v>14</v>
      </c>
      <c r="Y7" s="54" t="n">
        <v>14</v>
      </c>
      <c r="Z7" s="52"/>
      <c r="AA7" s="53" t="n">
        <f aca="false">IF(AA$26,Z7,AB7)</f>
        <v>14</v>
      </c>
      <c r="AB7" s="54" t="n">
        <v>14</v>
      </c>
      <c r="AC7" s="52"/>
      <c r="AD7" s="53" t="n">
        <f aca="false">IF(AD$26,AC7,AE7)</f>
        <v>14</v>
      </c>
      <c r="AE7" s="54" t="n">
        <v>14</v>
      </c>
      <c r="AF7" s="52"/>
      <c r="AG7" s="53" t="n">
        <f aca="false">IF(AG$26,AF7,AH7)</f>
        <v>14</v>
      </c>
      <c r="AH7" s="54" t="n">
        <v>14</v>
      </c>
      <c r="AI7" s="52"/>
      <c r="AJ7" s="53" t="n">
        <f aca="false">IF(AJ$26,AI7,AK7)</f>
        <v>14</v>
      </c>
      <c r="AK7" s="54" t="n">
        <v>14</v>
      </c>
      <c r="AL7" s="52"/>
      <c r="AM7" s="53" t="n">
        <f aca="false">IF(AM$26,AL7,AN7)</f>
        <v>14</v>
      </c>
      <c r="AN7" s="54" t="n">
        <v>14</v>
      </c>
      <c r="AO7" s="52"/>
      <c r="AP7" s="53" t="n">
        <f aca="false">IF(AP$26,AO7,AQ7)</f>
        <v>14</v>
      </c>
      <c r="AQ7" s="54" t="n">
        <v>14</v>
      </c>
      <c r="AR7" s="52"/>
      <c r="AS7" s="53" t="n">
        <f aca="false">IF(AS$26,AR7,AT7)</f>
        <v>14</v>
      </c>
      <c r="AT7" s="54" t="n">
        <v>14</v>
      </c>
      <c r="AU7" s="52"/>
      <c r="AV7" s="53" t="n">
        <f aca="false">IF(AV$26,AU7,AW7)</f>
        <v>14</v>
      </c>
      <c r="AW7" s="54" t="n">
        <v>14</v>
      </c>
      <c r="AX7" s="52"/>
      <c r="AY7" s="53" t="n">
        <f aca="false">IF(AY$26,AX7,AZ7)</f>
        <v>14</v>
      </c>
      <c r="AZ7" s="54" t="n">
        <v>14</v>
      </c>
      <c r="BA7" s="52"/>
      <c r="BB7" s="53" t="n">
        <f aca="false">IF(BB$26,BA7,BC7)</f>
        <v>14</v>
      </c>
      <c r="BC7" s="54" t="n">
        <v>14</v>
      </c>
      <c r="BD7" s="52"/>
      <c r="BE7" s="53" t="n">
        <f aca="false">IF(BE$26,BD7,BF7)</f>
        <v>14</v>
      </c>
      <c r="BF7" s="54" t="n">
        <v>14</v>
      </c>
      <c r="BG7" s="52"/>
      <c r="BH7" s="53" t="n">
        <f aca="false">IF(BH$26,BG7,BI7)</f>
        <v>14</v>
      </c>
      <c r="BI7" s="54" t="n">
        <v>14</v>
      </c>
      <c r="BJ7" s="52"/>
      <c r="BK7" s="53" t="n">
        <f aca="false">IF(BK$26,BJ7,BL7)</f>
        <v>14</v>
      </c>
      <c r="BL7" s="54" t="n">
        <v>14</v>
      </c>
      <c r="BM7" s="52"/>
      <c r="BN7" s="53" t="n">
        <f aca="false">IF(BN$26,BM7,BO7)</f>
        <v>14</v>
      </c>
      <c r="BO7" s="54" t="n">
        <v>14</v>
      </c>
      <c r="BP7" s="52"/>
      <c r="BQ7" s="53" t="n">
        <f aca="false">IF(BQ$26,BP7,BR7)</f>
        <v>14</v>
      </c>
      <c r="BR7" s="54" t="n">
        <v>14</v>
      </c>
      <c r="BS7" s="52"/>
      <c r="BT7" s="53" t="n">
        <f aca="false">IF(BT$26,BS7,BU7)</f>
        <v>14</v>
      </c>
      <c r="BU7" s="54" t="n">
        <v>14</v>
      </c>
      <c r="BV7" s="52"/>
      <c r="BW7" s="53" t="n">
        <f aca="false">IF(BW$26,BV7,BX7)</f>
        <v>14</v>
      </c>
      <c r="BX7" s="54" t="n">
        <v>14</v>
      </c>
      <c r="BY7" s="52"/>
      <c r="BZ7" s="53" t="n">
        <f aca="false">IF(BZ$26,BY7,CA7)</f>
        <v>14</v>
      </c>
      <c r="CA7" s="54" t="n">
        <v>14</v>
      </c>
      <c r="CB7" s="52"/>
      <c r="CC7" s="53" t="n">
        <f aca="false">IF(CC$26,CB7,CD7)</f>
        <v>14</v>
      </c>
      <c r="CD7" s="54" t="n">
        <v>14</v>
      </c>
      <c r="CE7" s="52"/>
      <c r="CF7" s="53" t="n">
        <f aca="false">IF(CF$26,CE7,CG7)</f>
        <v>14</v>
      </c>
      <c r="CG7" s="54" t="n">
        <v>14</v>
      </c>
      <c r="CH7" s="52"/>
      <c r="CI7" s="53" t="n">
        <f aca="false">IF(CI$26,CH7,CJ7)</f>
        <v>14</v>
      </c>
      <c r="CJ7" s="54" t="n">
        <v>14</v>
      </c>
      <c r="CK7" s="52"/>
      <c r="CL7" s="53" t="n">
        <f aca="false">IF(CL$26,CK7,CM7)</f>
        <v>14</v>
      </c>
      <c r="CM7" s="54" t="n">
        <v>14</v>
      </c>
      <c r="CN7" s="52"/>
      <c r="CO7" s="53" t="n">
        <f aca="false">IF(CO$26,CN7,CP7)</f>
        <v>14</v>
      </c>
      <c r="CP7" s="54" t="n">
        <v>14</v>
      </c>
      <c r="CQ7" s="52"/>
      <c r="CR7" s="53" t="n">
        <f aca="false">IF(CR$26,CQ7,CS7)</f>
        <v>14</v>
      </c>
      <c r="CS7" s="54" t="n">
        <v>14</v>
      </c>
      <c r="CT7" s="52"/>
      <c r="CU7" s="53" t="n">
        <f aca="false">IF(CU$26,CT7,CV7)</f>
        <v>14</v>
      </c>
      <c r="CV7" s="54" t="n">
        <v>14</v>
      </c>
      <c r="CW7" s="52"/>
      <c r="CX7" s="53" t="n">
        <f aca="false">IF(CX$26,CW7,CY7)</f>
        <v>14</v>
      </c>
      <c r="CY7" s="54" t="n">
        <v>14</v>
      </c>
      <c r="CZ7" s="52"/>
      <c r="DA7" s="53" t="n">
        <f aca="false">IF(DA$26,CZ7,DB7)</f>
        <v>14</v>
      </c>
      <c r="DB7" s="54" t="n">
        <v>14</v>
      </c>
      <c r="DC7" s="52"/>
      <c r="DD7" s="53" t="n">
        <f aca="false">IF(DD$26,DC7,DE7)</f>
        <v>14</v>
      </c>
      <c r="DE7" s="54" t="n">
        <v>14</v>
      </c>
      <c r="DF7" s="52"/>
      <c r="DG7" s="53" t="n">
        <f aca="false">IF(DG$26,DF7,DH7)</f>
        <v>14</v>
      </c>
      <c r="DH7" s="54" t="n">
        <v>14</v>
      </c>
      <c r="DI7" s="52" t="n">
        <v>14</v>
      </c>
      <c r="DJ7" s="53" t="n">
        <f aca="false">IF(DJ$26,DI7,DK7)</f>
        <v>14</v>
      </c>
      <c r="DK7" s="54" t="n">
        <v>14</v>
      </c>
      <c r="DL7" s="52" t="n">
        <v>14</v>
      </c>
      <c r="DM7" s="53" t="n">
        <f aca="false">IF(DM$26,DL7,DN7)</f>
        <v>14</v>
      </c>
      <c r="DN7" s="54" t="n">
        <v>14</v>
      </c>
    </row>
    <row r="8" customFormat="false" ht="18" hidden="false" customHeight="true" outlineLevel="0" collapsed="false">
      <c r="A8" s="39" t="s">
        <v>132</v>
      </c>
      <c r="B8" s="43" t="n">
        <f aca="false">IF(COUNT(AR8,AO8,AL8,AI8,AF8,AC8,Z8,W8,T8,Q8,N8,K8)=0,"",SUM(AR8,AO8,AL8,AI8,AF8,AC8,Z8,W8,T8,Q8,N8,K8))</f>
        <v>0</v>
      </c>
      <c r="C8" s="43" t="n">
        <f aca="false">SUM(AS8,AP8,AM8,AJ8,AG8,AD8,AA8,X8,U8,R8,O8,L8)</f>
        <v>1776</v>
      </c>
      <c r="D8" s="43" t="n">
        <f aca="false">SUM(AT8,AQ8,AN8,AK8,AH8,AE8,AB8,Y8,V8,S8,P8,M8)</f>
        <v>1776</v>
      </c>
      <c r="E8" s="43" t="n">
        <f aca="false">IF(COUNT(CB8,BY8,BV8,BS8,BP8,BM8,BJ8,BG8,BD8,BA8,AX8,AU8)=0,"",SUM(CB8,BY8,BV8,BS8,BP8,BM8,BJ8,BG8,BD8,BA8,AX8,AU8))</f>
        <v>0</v>
      </c>
      <c r="F8" s="43" t="n">
        <f aca="false">SUM(CC8,BZ8,BW8,BT8,BQ8,BN8,BK8,BH8,BE8,BB8,AY8,AV8)</f>
        <v>1284</v>
      </c>
      <c r="G8" s="43" t="n">
        <f aca="false">SUM(CD8,CA8,BX8,BU8,BR8,BO8,BL8,BI8,BF8,BC8,AZ8,AW8)</f>
        <v>1284</v>
      </c>
      <c r="H8" s="43" t="n">
        <f aca="false">IF(COUNT(DL8,DI8,DF8,DC8,CZ8,CW8,CT8,CQ8,CN8,CK8,CH8,CE8)=0,"",SUM(DL8,DI8,DF8,DC8,CZ8,CW8,CT8,CQ8,CN8,CK8,CH8,CE8))</f>
        <v>150</v>
      </c>
      <c r="I8" s="43" t="n">
        <f aca="false">SUM(DM8,DJ8,DG8,DD8,DA8,CX8,CU8,CR8,CO8,CL8,CI8,CF8)</f>
        <v>890</v>
      </c>
      <c r="J8" s="43" t="n">
        <f aca="false">SUM(DN8,DK8,DH8,DE8,DB8,CY8,CV8,CS8,CP8,CM8,CJ8,CG8)</f>
        <v>888</v>
      </c>
      <c r="K8" s="44" t="n">
        <f aca="false">Marketing!K7</f>
        <v>0</v>
      </c>
      <c r="L8" s="45" t="n">
        <f aca="false">Marketing!L7</f>
        <v>148</v>
      </c>
      <c r="M8" s="46" t="n">
        <f aca="false">Marketing!M7</f>
        <v>148</v>
      </c>
      <c r="N8" s="44" t="n">
        <f aca="false">Marketing!N7</f>
        <v>0</v>
      </c>
      <c r="O8" s="45" t="n">
        <f aca="false">Marketing!O7</f>
        <v>148</v>
      </c>
      <c r="P8" s="46" t="n">
        <f aca="false">Marketing!P7</f>
        <v>148</v>
      </c>
      <c r="Q8" s="44" t="n">
        <f aca="false">Marketing!Q7</f>
        <v>0</v>
      </c>
      <c r="R8" s="45" t="n">
        <f aca="false">Marketing!R7</f>
        <v>148</v>
      </c>
      <c r="S8" s="46" t="n">
        <f aca="false">Marketing!S7</f>
        <v>148</v>
      </c>
      <c r="T8" s="44" t="n">
        <f aca="false">Marketing!T7</f>
        <v>0</v>
      </c>
      <c r="U8" s="45" t="n">
        <f aca="false">Marketing!U7</f>
        <v>148</v>
      </c>
      <c r="V8" s="46" t="n">
        <f aca="false">Marketing!V7</f>
        <v>148</v>
      </c>
      <c r="W8" s="44" t="n">
        <f aca="false">Marketing!W7</f>
        <v>0</v>
      </c>
      <c r="X8" s="45" t="n">
        <f aca="false">Marketing!X7</f>
        <v>148</v>
      </c>
      <c r="Y8" s="46" t="n">
        <f aca="false">Marketing!Y7</f>
        <v>148</v>
      </c>
      <c r="Z8" s="44" t="n">
        <f aca="false">Marketing!Z7</f>
        <v>0</v>
      </c>
      <c r="AA8" s="45" t="n">
        <f aca="false">Marketing!AA7</f>
        <v>148</v>
      </c>
      <c r="AB8" s="46" t="n">
        <f aca="false">Marketing!AB7</f>
        <v>148</v>
      </c>
      <c r="AC8" s="44" t="n">
        <f aca="false">Marketing!AC7</f>
        <v>0</v>
      </c>
      <c r="AD8" s="45" t="n">
        <f aca="false">Marketing!AD7</f>
        <v>148</v>
      </c>
      <c r="AE8" s="46" t="n">
        <f aca="false">Marketing!AE7</f>
        <v>148</v>
      </c>
      <c r="AF8" s="44" t="n">
        <f aca="false">Marketing!AF7</f>
        <v>0</v>
      </c>
      <c r="AG8" s="45" t="n">
        <f aca="false">Marketing!AG7</f>
        <v>148</v>
      </c>
      <c r="AH8" s="46" t="n">
        <f aca="false">Marketing!AH7</f>
        <v>148</v>
      </c>
      <c r="AI8" s="44" t="n">
        <f aca="false">Marketing!AI7</f>
        <v>0</v>
      </c>
      <c r="AJ8" s="45" t="n">
        <f aca="false">Marketing!AJ7</f>
        <v>148</v>
      </c>
      <c r="AK8" s="46" t="n">
        <f aca="false">Marketing!AK7</f>
        <v>148</v>
      </c>
      <c r="AL8" s="44" t="n">
        <f aca="false">Marketing!AL7</f>
        <v>0</v>
      </c>
      <c r="AM8" s="45" t="n">
        <f aca="false">Marketing!AM7</f>
        <v>148</v>
      </c>
      <c r="AN8" s="46" t="n">
        <f aca="false">Marketing!AN7</f>
        <v>148</v>
      </c>
      <c r="AO8" s="44" t="n">
        <f aca="false">Marketing!AO7</f>
        <v>0</v>
      </c>
      <c r="AP8" s="45" t="n">
        <f aca="false">Marketing!AP7</f>
        <v>148</v>
      </c>
      <c r="AQ8" s="46" t="n">
        <f aca="false">Marketing!AQ7</f>
        <v>148</v>
      </c>
      <c r="AR8" s="44" t="n">
        <f aca="false">Marketing!AR7</f>
        <v>0</v>
      </c>
      <c r="AS8" s="45" t="n">
        <f aca="false">Marketing!AS7</f>
        <v>148</v>
      </c>
      <c r="AT8" s="46" t="n">
        <f aca="false">Marketing!AT7</f>
        <v>148</v>
      </c>
      <c r="AU8" s="44" t="n">
        <f aca="false">Marketing!AU7</f>
        <v>0</v>
      </c>
      <c r="AV8" s="45" t="n">
        <f aca="false">Marketing!AV7</f>
        <v>107</v>
      </c>
      <c r="AW8" s="46" t="n">
        <f aca="false">Marketing!AW7</f>
        <v>107</v>
      </c>
      <c r="AX8" s="44" t="n">
        <f aca="false">Marketing!AX7</f>
        <v>0</v>
      </c>
      <c r="AY8" s="45" t="n">
        <f aca="false">Marketing!AY7</f>
        <v>107</v>
      </c>
      <c r="AZ8" s="46" t="n">
        <f aca="false">Marketing!AZ7</f>
        <v>107</v>
      </c>
      <c r="BA8" s="44" t="n">
        <f aca="false">Marketing!BA7</f>
        <v>0</v>
      </c>
      <c r="BB8" s="45" t="n">
        <f aca="false">Marketing!BB7</f>
        <v>107</v>
      </c>
      <c r="BC8" s="46" t="n">
        <f aca="false">Marketing!BC7</f>
        <v>107</v>
      </c>
      <c r="BD8" s="44" t="n">
        <f aca="false">Marketing!BD7</f>
        <v>0</v>
      </c>
      <c r="BE8" s="45" t="n">
        <f aca="false">Marketing!BE7</f>
        <v>107</v>
      </c>
      <c r="BF8" s="46" t="n">
        <f aca="false">Marketing!BF7</f>
        <v>107</v>
      </c>
      <c r="BG8" s="44" t="n">
        <f aca="false">Marketing!BG7</f>
        <v>0</v>
      </c>
      <c r="BH8" s="45" t="n">
        <f aca="false">Marketing!BH7</f>
        <v>107</v>
      </c>
      <c r="BI8" s="46" t="n">
        <f aca="false">Marketing!BI7</f>
        <v>107</v>
      </c>
      <c r="BJ8" s="44" t="n">
        <f aca="false">Marketing!BJ7</f>
        <v>0</v>
      </c>
      <c r="BK8" s="45" t="n">
        <f aca="false">Marketing!BK7</f>
        <v>107</v>
      </c>
      <c r="BL8" s="46" t="n">
        <f aca="false">Marketing!BL7</f>
        <v>107</v>
      </c>
      <c r="BM8" s="44" t="n">
        <f aca="false">Marketing!BM7</f>
        <v>0</v>
      </c>
      <c r="BN8" s="45" t="n">
        <f aca="false">Marketing!BN7</f>
        <v>107</v>
      </c>
      <c r="BO8" s="46" t="n">
        <f aca="false">Marketing!BO7</f>
        <v>107</v>
      </c>
      <c r="BP8" s="44" t="n">
        <f aca="false">Marketing!BP7</f>
        <v>0</v>
      </c>
      <c r="BQ8" s="45" t="n">
        <f aca="false">Marketing!BQ7</f>
        <v>107</v>
      </c>
      <c r="BR8" s="46" t="n">
        <f aca="false">Marketing!BR7</f>
        <v>107</v>
      </c>
      <c r="BS8" s="44" t="n">
        <f aca="false">Marketing!BS7</f>
        <v>0</v>
      </c>
      <c r="BT8" s="45" t="n">
        <f aca="false">Marketing!BT7</f>
        <v>107</v>
      </c>
      <c r="BU8" s="46" t="n">
        <f aca="false">Marketing!BU7</f>
        <v>107</v>
      </c>
      <c r="BV8" s="44" t="n">
        <f aca="false">Marketing!BV7</f>
        <v>0</v>
      </c>
      <c r="BW8" s="45" t="n">
        <f aca="false">Marketing!BW7</f>
        <v>107</v>
      </c>
      <c r="BX8" s="46" t="n">
        <f aca="false">Marketing!BX7</f>
        <v>107</v>
      </c>
      <c r="BY8" s="44" t="n">
        <f aca="false">Marketing!BY7</f>
        <v>0</v>
      </c>
      <c r="BZ8" s="45" t="n">
        <f aca="false">Marketing!BZ7</f>
        <v>107</v>
      </c>
      <c r="CA8" s="46" t="n">
        <f aca="false">Marketing!CA7</f>
        <v>107</v>
      </c>
      <c r="CB8" s="44" t="n">
        <f aca="false">Marketing!CB7</f>
        <v>0</v>
      </c>
      <c r="CC8" s="45" t="n">
        <f aca="false">Marketing!CC7</f>
        <v>107</v>
      </c>
      <c r="CD8" s="46" t="n">
        <f aca="false">Marketing!CD7</f>
        <v>107</v>
      </c>
      <c r="CE8" s="44" t="n">
        <f aca="false">Marketing!CE7</f>
        <v>0</v>
      </c>
      <c r="CF8" s="45" t="n">
        <f aca="false">Marketing!CF7</f>
        <v>74</v>
      </c>
      <c r="CG8" s="46" t="n">
        <f aca="false">Marketing!CG7</f>
        <v>74</v>
      </c>
      <c r="CH8" s="44" t="n">
        <f aca="false">Marketing!CH7</f>
        <v>0</v>
      </c>
      <c r="CI8" s="45" t="n">
        <f aca="false">Marketing!CI7</f>
        <v>74</v>
      </c>
      <c r="CJ8" s="46" t="n">
        <f aca="false">Marketing!CJ7</f>
        <v>74</v>
      </c>
      <c r="CK8" s="44" t="n">
        <f aca="false">Marketing!CK7</f>
        <v>0</v>
      </c>
      <c r="CL8" s="45" t="n">
        <f aca="false">Marketing!CL7</f>
        <v>74</v>
      </c>
      <c r="CM8" s="46" t="n">
        <f aca="false">Marketing!CM7</f>
        <v>74</v>
      </c>
      <c r="CN8" s="44" t="n">
        <f aca="false">Marketing!CN7</f>
        <v>0</v>
      </c>
      <c r="CO8" s="45" t="n">
        <f aca="false">Marketing!CO7</f>
        <v>74</v>
      </c>
      <c r="CP8" s="46" t="n">
        <f aca="false">Marketing!CP7</f>
        <v>74</v>
      </c>
      <c r="CQ8" s="44" t="n">
        <f aca="false">Marketing!CQ7</f>
        <v>0</v>
      </c>
      <c r="CR8" s="45" t="n">
        <f aca="false">Marketing!CR7</f>
        <v>74</v>
      </c>
      <c r="CS8" s="46" t="n">
        <f aca="false">Marketing!CS7</f>
        <v>74</v>
      </c>
      <c r="CT8" s="44" t="n">
        <f aca="false">Marketing!CT7</f>
        <v>0</v>
      </c>
      <c r="CU8" s="45" t="n">
        <f aca="false">Marketing!CU7</f>
        <v>74</v>
      </c>
      <c r="CV8" s="46" t="n">
        <f aca="false">Marketing!CV7</f>
        <v>74</v>
      </c>
      <c r="CW8" s="44" t="n">
        <f aca="false">Marketing!CW7</f>
        <v>0</v>
      </c>
      <c r="CX8" s="45" t="n">
        <f aca="false">Marketing!CX7</f>
        <v>74</v>
      </c>
      <c r="CY8" s="46" t="n">
        <f aca="false">Marketing!CY7</f>
        <v>74</v>
      </c>
      <c r="CZ8" s="44" t="n">
        <f aca="false">Marketing!CZ7</f>
        <v>0</v>
      </c>
      <c r="DA8" s="45" t="n">
        <f aca="false">Marketing!DA7</f>
        <v>74</v>
      </c>
      <c r="DB8" s="46" t="n">
        <f aca="false">Marketing!DB7</f>
        <v>74</v>
      </c>
      <c r="DC8" s="44" t="n">
        <f aca="false">Marketing!DC7</f>
        <v>0</v>
      </c>
      <c r="DD8" s="45" t="n">
        <f aca="false">Marketing!DD7</f>
        <v>74</v>
      </c>
      <c r="DE8" s="46" t="n">
        <f aca="false">Marketing!DE7</f>
        <v>74</v>
      </c>
      <c r="DF8" s="44" t="n">
        <f aca="false">Marketing!DF7</f>
        <v>0</v>
      </c>
      <c r="DG8" s="45" t="n">
        <f aca="false">Marketing!DG7</f>
        <v>74</v>
      </c>
      <c r="DH8" s="46" t="n">
        <f aca="false">Marketing!DH7</f>
        <v>74</v>
      </c>
      <c r="DI8" s="44" t="n">
        <f aca="false">Marketing!DI7</f>
        <v>74</v>
      </c>
      <c r="DJ8" s="45" t="n">
        <f aca="false">Marketing!DJ7</f>
        <v>74</v>
      </c>
      <c r="DK8" s="46" t="n">
        <f aca="false">Marketing!DK7</f>
        <v>74</v>
      </c>
      <c r="DL8" s="44" t="n">
        <f aca="false">Marketing!DL7</f>
        <v>76</v>
      </c>
      <c r="DM8" s="45" t="n">
        <f aca="false">Marketing!DM7</f>
        <v>76</v>
      </c>
      <c r="DN8" s="46" t="n">
        <f aca="false">Marketing!DN7</f>
        <v>74</v>
      </c>
    </row>
    <row r="9" customFormat="false" ht="18" hidden="false" customHeight="true" outlineLevel="0" collapsed="false">
      <c r="A9" s="39" t="s">
        <v>133</v>
      </c>
      <c r="B9" s="47" t="str">
        <f aca="false">IFERROR(B11/B8,"")</f>
        <v/>
      </c>
      <c r="C9" s="47" t="n">
        <f aca="false">IFERROR(C11/C8,"")</f>
        <v>0.251126126126126</v>
      </c>
      <c r="D9" s="47" t="n">
        <f aca="false">IFERROR(D11/D8,"")</f>
        <v>0.251126126126126</v>
      </c>
      <c r="E9" s="47" t="str">
        <f aca="false">IFERROR(E11/E8,"")</f>
        <v/>
      </c>
      <c r="F9" s="47" t="n">
        <f aca="false">IFERROR(F11/F8,"")</f>
        <v>0.254672897196262</v>
      </c>
      <c r="G9" s="47" t="n">
        <f aca="false">IFERROR(G11/G8,"")</f>
        <v>0.254672897196262</v>
      </c>
      <c r="H9" s="47" t="n">
        <f aca="false">IFERROR(H11/H8,"")</f>
        <v>0.2</v>
      </c>
      <c r="I9" s="47" t="n">
        <f aca="false">IFERROR(I11/I8,"")</f>
        <v>0.259550561797753</v>
      </c>
      <c r="J9" s="47" t="n">
        <f aca="false">IFERROR(J11/J8,"")</f>
        <v>0.256756756756757</v>
      </c>
      <c r="K9" s="48" t="str">
        <f aca="false">Sales!K5</f>
        <v/>
      </c>
      <c r="L9" s="49" t="n">
        <f aca="false">Sales!L5</f>
        <v>0.26</v>
      </c>
      <c r="M9" s="50" t="n">
        <f aca="false">Sales!M5</f>
        <v>0.26</v>
      </c>
      <c r="N9" s="48" t="str">
        <f aca="false">Sales!N5</f>
        <v/>
      </c>
      <c r="O9" s="49" t="n">
        <f aca="false">Sales!O5</f>
        <v>0.26</v>
      </c>
      <c r="P9" s="50" t="n">
        <f aca="false">Sales!P5</f>
        <v>0.26</v>
      </c>
      <c r="Q9" s="48" t="str">
        <f aca="false">Sales!Q5</f>
        <v/>
      </c>
      <c r="R9" s="49" t="n">
        <f aca="false">Sales!R5</f>
        <v>0.26</v>
      </c>
      <c r="S9" s="50" t="n">
        <f aca="false">Sales!S5</f>
        <v>0.26</v>
      </c>
      <c r="T9" s="48" t="str">
        <f aca="false">Sales!T5</f>
        <v/>
      </c>
      <c r="U9" s="49" t="n">
        <f aca="false">Sales!U5</f>
        <v>0.26</v>
      </c>
      <c r="V9" s="50" t="n">
        <f aca="false">Sales!V5</f>
        <v>0.26</v>
      </c>
      <c r="W9" s="48" t="str">
        <f aca="false">Sales!W5</f>
        <v/>
      </c>
      <c r="X9" s="49" t="n">
        <f aca="false">Sales!X5</f>
        <v>0.26</v>
      </c>
      <c r="Y9" s="50" t="n">
        <f aca="false">Sales!Y5</f>
        <v>0.26</v>
      </c>
      <c r="Z9" s="48" t="str">
        <f aca="false">Sales!Z5</f>
        <v/>
      </c>
      <c r="AA9" s="49" t="n">
        <f aca="false">Sales!AA5</f>
        <v>0.26</v>
      </c>
      <c r="AB9" s="50" t="n">
        <f aca="false">Sales!AB5</f>
        <v>0.26</v>
      </c>
      <c r="AC9" s="48" t="str">
        <f aca="false">Sales!AC5</f>
        <v/>
      </c>
      <c r="AD9" s="49" t="n">
        <f aca="false">Sales!AD5</f>
        <v>0.26</v>
      </c>
      <c r="AE9" s="50" t="n">
        <f aca="false">Sales!AE5</f>
        <v>0.26</v>
      </c>
      <c r="AF9" s="48" t="str">
        <f aca="false">Sales!AF5</f>
        <v/>
      </c>
      <c r="AG9" s="49" t="n">
        <f aca="false">Sales!AG5</f>
        <v>0.26</v>
      </c>
      <c r="AH9" s="50" t="n">
        <f aca="false">Sales!AH5</f>
        <v>0.26</v>
      </c>
      <c r="AI9" s="48" t="str">
        <f aca="false">Sales!AI5</f>
        <v/>
      </c>
      <c r="AJ9" s="49" t="n">
        <f aca="false">Sales!AJ5</f>
        <v>0.26</v>
      </c>
      <c r="AK9" s="50" t="n">
        <f aca="false">Sales!AK5</f>
        <v>0.26</v>
      </c>
      <c r="AL9" s="48" t="str">
        <f aca="false">Sales!AL5</f>
        <v/>
      </c>
      <c r="AM9" s="49" t="n">
        <f aca="false">Sales!AM5</f>
        <v>0.26</v>
      </c>
      <c r="AN9" s="50" t="n">
        <f aca="false">Sales!AN5</f>
        <v>0.26</v>
      </c>
      <c r="AO9" s="48" t="str">
        <f aca="false">Sales!AO5</f>
        <v/>
      </c>
      <c r="AP9" s="49" t="n">
        <f aca="false">Sales!AP5</f>
        <v>0.26</v>
      </c>
      <c r="AQ9" s="50" t="n">
        <f aca="false">Sales!AQ5</f>
        <v>0.26</v>
      </c>
      <c r="AR9" s="48" t="str">
        <f aca="false">Sales!AR5</f>
        <v/>
      </c>
      <c r="AS9" s="49" t="n">
        <f aca="false">Sales!AS5</f>
        <v>0.26</v>
      </c>
      <c r="AT9" s="50" t="n">
        <f aca="false">Sales!AT5</f>
        <v>0.26</v>
      </c>
      <c r="AU9" s="48" t="str">
        <f aca="false">Sales!AU5</f>
        <v/>
      </c>
      <c r="AV9" s="49" t="n">
        <f aca="false">Sales!AV5</f>
        <v>0.26</v>
      </c>
      <c r="AW9" s="50" t="n">
        <f aca="false">Sales!AW5</f>
        <v>0.26</v>
      </c>
      <c r="AX9" s="48" t="str">
        <f aca="false">Sales!AX5</f>
        <v/>
      </c>
      <c r="AY9" s="49" t="n">
        <f aca="false">Sales!AY5</f>
        <v>0.26</v>
      </c>
      <c r="AZ9" s="50" t="n">
        <f aca="false">Sales!AZ5</f>
        <v>0.26</v>
      </c>
      <c r="BA9" s="48" t="str">
        <f aca="false">Sales!BA5</f>
        <v/>
      </c>
      <c r="BB9" s="49" t="n">
        <f aca="false">Sales!BB5</f>
        <v>0.26</v>
      </c>
      <c r="BC9" s="50" t="n">
        <f aca="false">Sales!BC5</f>
        <v>0.26</v>
      </c>
      <c r="BD9" s="48" t="str">
        <f aca="false">Sales!BD5</f>
        <v/>
      </c>
      <c r="BE9" s="49" t="n">
        <f aca="false">Sales!BE5</f>
        <v>0.26</v>
      </c>
      <c r="BF9" s="50" t="n">
        <f aca="false">Sales!BF5</f>
        <v>0.26</v>
      </c>
      <c r="BG9" s="48" t="str">
        <f aca="false">Sales!BG5</f>
        <v/>
      </c>
      <c r="BH9" s="49" t="n">
        <f aca="false">Sales!BH5</f>
        <v>0.26</v>
      </c>
      <c r="BI9" s="50" t="n">
        <f aca="false">Sales!BI5</f>
        <v>0.26</v>
      </c>
      <c r="BJ9" s="48" t="str">
        <f aca="false">Sales!BJ5</f>
        <v/>
      </c>
      <c r="BK9" s="49" t="n">
        <f aca="false">Sales!BK5</f>
        <v>0.26</v>
      </c>
      <c r="BL9" s="50" t="n">
        <f aca="false">Sales!BL5</f>
        <v>0.26</v>
      </c>
      <c r="BM9" s="48" t="str">
        <f aca="false">Sales!BM5</f>
        <v/>
      </c>
      <c r="BN9" s="49" t="n">
        <f aca="false">Sales!BN5</f>
        <v>0.26</v>
      </c>
      <c r="BO9" s="50" t="n">
        <f aca="false">Sales!BO5</f>
        <v>0.26</v>
      </c>
      <c r="BP9" s="48" t="str">
        <f aca="false">Sales!BP5</f>
        <v/>
      </c>
      <c r="BQ9" s="49" t="n">
        <f aca="false">Sales!BQ5</f>
        <v>0.26</v>
      </c>
      <c r="BR9" s="50" t="n">
        <f aca="false">Sales!BR5</f>
        <v>0.26</v>
      </c>
      <c r="BS9" s="48" t="str">
        <f aca="false">Sales!BS5</f>
        <v/>
      </c>
      <c r="BT9" s="49" t="n">
        <f aca="false">Sales!BT5</f>
        <v>0.26</v>
      </c>
      <c r="BU9" s="50" t="n">
        <f aca="false">Sales!BU5</f>
        <v>0.26</v>
      </c>
      <c r="BV9" s="48" t="str">
        <f aca="false">Sales!BV5</f>
        <v/>
      </c>
      <c r="BW9" s="49" t="n">
        <f aca="false">Sales!BW5</f>
        <v>0.26</v>
      </c>
      <c r="BX9" s="50" t="n">
        <f aca="false">Sales!BX5</f>
        <v>0.26</v>
      </c>
      <c r="BY9" s="48" t="str">
        <f aca="false">Sales!BY5</f>
        <v/>
      </c>
      <c r="BZ9" s="49" t="n">
        <f aca="false">Sales!BZ5</f>
        <v>0.26</v>
      </c>
      <c r="CA9" s="50" t="n">
        <f aca="false">Sales!CA5</f>
        <v>0.26</v>
      </c>
      <c r="CB9" s="48" t="str">
        <f aca="false">Sales!CB5</f>
        <v/>
      </c>
      <c r="CC9" s="49" t="n">
        <f aca="false">Sales!CC5</f>
        <v>0.26</v>
      </c>
      <c r="CD9" s="50" t="n">
        <f aca="false">Sales!CD5</f>
        <v>0.26</v>
      </c>
      <c r="CE9" s="48" t="str">
        <f aca="false">Sales!CE5</f>
        <v/>
      </c>
      <c r="CF9" s="49" t="n">
        <f aca="false">Sales!CF5</f>
        <v>0.26</v>
      </c>
      <c r="CG9" s="50" t="n">
        <f aca="false">Sales!CG5</f>
        <v>0.26</v>
      </c>
      <c r="CH9" s="48" t="str">
        <f aca="false">Sales!CH5</f>
        <v/>
      </c>
      <c r="CI9" s="49" t="n">
        <f aca="false">Sales!CI5</f>
        <v>0.26</v>
      </c>
      <c r="CJ9" s="50" t="n">
        <f aca="false">Sales!CJ5</f>
        <v>0.26</v>
      </c>
      <c r="CK9" s="48" t="str">
        <f aca="false">Sales!CK5</f>
        <v/>
      </c>
      <c r="CL9" s="49" t="n">
        <f aca="false">Sales!CL5</f>
        <v>0.26</v>
      </c>
      <c r="CM9" s="50" t="n">
        <f aca="false">Sales!CM5</f>
        <v>0.26</v>
      </c>
      <c r="CN9" s="48" t="str">
        <f aca="false">Sales!CN5</f>
        <v/>
      </c>
      <c r="CO9" s="49" t="n">
        <f aca="false">Sales!CO5</f>
        <v>0.26</v>
      </c>
      <c r="CP9" s="50" t="n">
        <f aca="false">Sales!CP5</f>
        <v>0.26</v>
      </c>
      <c r="CQ9" s="48" t="str">
        <f aca="false">Sales!CQ5</f>
        <v/>
      </c>
      <c r="CR9" s="49" t="n">
        <f aca="false">Sales!CR5</f>
        <v>0.26</v>
      </c>
      <c r="CS9" s="50" t="n">
        <f aca="false">Sales!CS5</f>
        <v>0.26</v>
      </c>
      <c r="CT9" s="48" t="str">
        <f aca="false">Sales!CT5</f>
        <v/>
      </c>
      <c r="CU9" s="49" t="n">
        <f aca="false">Sales!CU5</f>
        <v>0.26</v>
      </c>
      <c r="CV9" s="50" t="n">
        <f aca="false">Sales!CV5</f>
        <v>0.26</v>
      </c>
      <c r="CW9" s="48" t="str">
        <f aca="false">Sales!CW5</f>
        <v/>
      </c>
      <c r="CX9" s="49" t="n">
        <f aca="false">Sales!CX5</f>
        <v>0.26</v>
      </c>
      <c r="CY9" s="50" t="n">
        <f aca="false">Sales!CY5</f>
        <v>0.26</v>
      </c>
      <c r="CZ9" s="48" t="str">
        <f aca="false">Sales!CZ5</f>
        <v/>
      </c>
      <c r="DA9" s="49" t="n">
        <f aca="false">Sales!DA5</f>
        <v>0.26</v>
      </c>
      <c r="DB9" s="50" t="n">
        <f aca="false">Sales!DB5</f>
        <v>0.26</v>
      </c>
      <c r="DC9" s="48" t="str">
        <f aca="false">Sales!DC5</f>
        <v/>
      </c>
      <c r="DD9" s="49" t="n">
        <f aca="false">Sales!DD5</f>
        <v>0.26</v>
      </c>
      <c r="DE9" s="50" t="n">
        <f aca="false">Sales!DE5</f>
        <v>0.26</v>
      </c>
      <c r="DF9" s="48" t="str">
        <f aca="false">Sales!DF5</f>
        <v/>
      </c>
      <c r="DG9" s="49" t="n">
        <f aca="false">Sales!DG5</f>
        <v>0.26</v>
      </c>
      <c r="DH9" s="50" t="n">
        <f aca="false">Sales!DH5</f>
        <v>0.26</v>
      </c>
      <c r="DI9" s="48" t="n">
        <f aca="false">Sales!DI5</f>
        <v>0.148648648648649</v>
      </c>
      <c r="DJ9" s="49" t="n">
        <f aca="false">Sales!DJ5</f>
        <v>0.148648648648649</v>
      </c>
      <c r="DK9" s="50" t="n">
        <f aca="false">Sales!DK5</f>
        <v>0.26</v>
      </c>
      <c r="DL9" s="48" t="n">
        <f aca="false">Sales!DL5</f>
        <v>0.256756756756757</v>
      </c>
      <c r="DM9" s="49" t="n">
        <f aca="false">Sales!DM5</f>
        <v>0.256756756756757</v>
      </c>
      <c r="DN9" s="50" t="n">
        <f aca="false">Sales!DN5</f>
        <v>0.26</v>
      </c>
    </row>
    <row r="10" customFormat="false" ht="18" hidden="false" customHeight="true" outlineLevel="0" collapsed="false">
      <c r="A10" s="39" t="s">
        <v>134</v>
      </c>
      <c r="B10" s="51" t="str">
        <f aca="false">IFERROR(SUM(AR10*AR8,AO10*AO8,AL10*AL8,AI10*AI8,AF10*AF8,AC10*AC8,Z10*Z8,W10*W8,T10*T8,Q10*Q8,N10*N8,K10*K8)/SUM(AR8,AO8,AL8,AI8,AF8,AC8,Z8,W8,T8,Q8,N8,K8),"")</f>
        <v/>
      </c>
      <c r="C10" s="51" t="n">
        <f aca="false">IFERROR(SUM(AS10*AS8,AP10*AP8,AM10*AM8,AJ10*AJ8,AG10*AG8,AD10*AD8,AA10*AA8,X10*X8,U10*U8,R10*R8,O10*O8,L10*L8)/SUM(AS8,AP8,AM8,AJ8,AG8,AD8,AA8,X8,U8,R8,O8,L8),"")</f>
        <v>30</v>
      </c>
      <c r="D10" s="51" t="n">
        <f aca="false">IFERROR(SUM(AT10*AT8,AQ10*AQ8,AN10*AN8,AK10*AK8,AH10*AH8,AE10*AE8,AB10*AB8,Y10*Y8,V10*V8,S10*S8,P10*P8,M10*M8)/SUM(AT8,AQ8,AN8,AK8,AH8,AE8,AB8,Y8,V8,S8,P8,M8),"")</f>
        <v>30</v>
      </c>
      <c r="E10" s="51" t="str">
        <f aca="false">IFERROR(SUM(CB10*CB8,BY10*BY8,BV10*BV8,BS10*BS8,BP10*BP8,BM10*BM8,BJ10*BJ8,BG10*BG8,BD10*BD8,BA10*BA8,AX10*AX8,AU10*AU8)/SUM(CB8,BY8,BV8,BS8,BP8,BM8,BJ8,BG8,BD8,BA8,AX8,AU8),"")</f>
        <v/>
      </c>
      <c r="F10" s="51" t="n">
        <f aca="false">IFERROR(SUM(CC10*CC8,BZ10*BZ8,BW10*BW8,BT10*BT8,BQ10*BQ8,BN10*BN8,BK10*BK8,BH10*BH8,BE10*BE8,BB10*BB8,AY10*AY8,AV10*AV8)/SUM(CC8,BZ8,BW8,BT8,BQ8,BN8,BK8,BH8,BE8,BB8,AY8,AV8),"")</f>
        <v>30</v>
      </c>
      <c r="G10" s="51" t="n">
        <f aca="false">IFERROR(SUM(CD10*CD8,CA10*CA8,BX10*BX8,BU10*BU8,BR10*BR8,BO10*BO8,BL10*BL8,BI10*BI8,BF10*BF8,BC10*BC8,AZ10*AZ8,AW10*AW8)/SUM(CD8,CA8,BX8,BU8,BR8,BO8,BL8,BI8,BF8,BC8,AZ8,AW8),"")</f>
        <v>30</v>
      </c>
      <c r="H10" s="51" t="n">
        <f aca="false">IFERROR(SUM(DL10*DL8,DI10*DI8,DF10*DF8,DC10*DC8,CZ10*CZ8,CW10*CW8,CT10*CT8,CQ10*CQ8,CN10*CN8,CK10*CK8,CH10*CH8,CE10*CE8)/SUM(DL8,DI8,DF8,DC8,CZ8,CW8,CT8,CQ8,CN8,CK8,CH8,CE8),"")</f>
        <v>30</v>
      </c>
      <c r="I10" s="51" t="n">
        <f aca="false">IFERROR(SUM(DM10*DM8,DJ10*DJ8,DG10*DG8,DD10*DD8,DA10*DA8,CX10*CX8,CU10*CU8,CR10*CR8,CO10*CO8,CL10*CL8,CI10*CI8,CF10*CF8)/SUM(DM8,DJ8,DG8,DD8,DA8,CX8,CU8,CR8,CO8,CL8,CI8,CF8),"")</f>
        <v>30</v>
      </c>
      <c r="J10" s="51" t="n">
        <f aca="false">IFERROR(SUM(DN10*DN8,DK10*DK8,DH10*DH8,DE10*DE8,DB10*DB8,CY10*CY8,CV10*CV8,CS10*CS8,CP10*CP8,CM10*CM8,CJ10*CJ8,CG10*CG8)/SUM(DN8,DK8,DH8,DE8,DB8,CY8,CV8,CS8,CP8,CM8,CJ8,CG8),"")</f>
        <v>30</v>
      </c>
      <c r="K10" s="55" t="n">
        <f aca="false">Sales!K4</f>
        <v>0</v>
      </c>
      <c r="L10" s="53" t="n">
        <f aca="false">Sales!L4</f>
        <v>30</v>
      </c>
      <c r="M10" s="56" t="n">
        <f aca="false">Sales!M4</f>
        <v>30</v>
      </c>
      <c r="N10" s="55" t="n">
        <f aca="false">Sales!N4</f>
        <v>0</v>
      </c>
      <c r="O10" s="53" t="n">
        <f aca="false">Sales!O4</f>
        <v>30</v>
      </c>
      <c r="P10" s="56" t="n">
        <f aca="false">Sales!P4</f>
        <v>30</v>
      </c>
      <c r="Q10" s="55" t="n">
        <f aca="false">Sales!Q4</f>
        <v>0</v>
      </c>
      <c r="R10" s="53" t="n">
        <f aca="false">Sales!R4</f>
        <v>30</v>
      </c>
      <c r="S10" s="56" t="n">
        <f aca="false">Sales!S4</f>
        <v>30</v>
      </c>
      <c r="T10" s="55" t="n">
        <f aca="false">Sales!T4</f>
        <v>0</v>
      </c>
      <c r="U10" s="53" t="n">
        <f aca="false">Sales!U4</f>
        <v>30</v>
      </c>
      <c r="V10" s="56" t="n">
        <f aca="false">Sales!V4</f>
        <v>30</v>
      </c>
      <c r="W10" s="55" t="n">
        <f aca="false">Sales!W4</f>
        <v>0</v>
      </c>
      <c r="X10" s="53" t="n">
        <f aca="false">Sales!X4</f>
        <v>30</v>
      </c>
      <c r="Y10" s="56" t="n">
        <f aca="false">Sales!Y4</f>
        <v>30</v>
      </c>
      <c r="Z10" s="55" t="n">
        <f aca="false">Sales!Z4</f>
        <v>0</v>
      </c>
      <c r="AA10" s="53" t="n">
        <f aca="false">Sales!AA4</f>
        <v>30</v>
      </c>
      <c r="AB10" s="56" t="n">
        <f aca="false">Sales!AB4</f>
        <v>30</v>
      </c>
      <c r="AC10" s="55" t="n">
        <f aca="false">Sales!AC4</f>
        <v>0</v>
      </c>
      <c r="AD10" s="53" t="n">
        <f aca="false">Sales!AD4</f>
        <v>30</v>
      </c>
      <c r="AE10" s="56" t="n">
        <f aca="false">Sales!AE4</f>
        <v>30</v>
      </c>
      <c r="AF10" s="55" t="n">
        <f aca="false">Sales!AF4</f>
        <v>0</v>
      </c>
      <c r="AG10" s="53" t="n">
        <f aca="false">Sales!AG4</f>
        <v>30</v>
      </c>
      <c r="AH10" s="56" t="n">
        <f aca="false">Sales!AH4</f>
        <v>30</v>
      </c>
      <c r="AI10" s="55" t="n">
        <f aca="false">Sales!AI4</f>
        <v>0</v>
      </c>
      <c r="AJ10" s="53" t="n">
        <f aca="false">Sales!AJ4</f>
        <v>30</v>
      </c>
      <c r="AK10" s="56" t="n">
        <f aca="false">Sales!AK4</f>
        <v>30</v>
      </c>
      <c r="AL10" s="55" t="n">
        <f aca="false">Sales!AL4</f>
        <v>0</v>
      </c>
      <c r="AM10" s="53" t="n">
        <f aca="false">Sales!AM4</f>
        <v>30</v>
      </c>
      <c r="AN10" s="56" t="n">
        <f aca="false">Sales!AN4</f>
        <v>30</v>
      </c>
      <c r="AO10" s="55" t="n">
        <f aca="false">Sales!AO4</f>
        <v>0</v>
      </c>
      <c r="AP10" s="53" t="n">
        <f aca="false">Sales!AP4</f>
        <v>30</v>
      </c>
      <c r="AQ10" s="56" t="n">
        <f aca="false">Sales!AQ4</f>
        <v>30</v>
      </c>
      <c r="AR10" s="55" t="n">
        <f aca="false">Sales!AR4</f>
        <v>0</v>
      </c>
      <c r="AS10" s="53" t="n">
        <f aca="false">Sales!AS4</f>
        <v>30</v>
      </c>
      <c r="AT10" s="56" t="n">
        <f aca="false">Sales!AT4</f>
        <v>30</v>
      </c>
      <c r="AU10" s="55" t="n">
        <f aca="false">Sales!AU4</f>
        <v>0</v>
      </c>
      <c r="AV10" s="53" t="n">
        <f aca="false">Sales!AV4</f>
        <v>30</v>
      </c>
      <c r="AW10" s="56" t="n">
        <f aca="false">Sales!AW4</f>
        <v>30</v>
      </c>
      <c r="AX10" s="55" t="n">
        <f aca="false">Sales!AX4</f>
        <v>0</v>
      </c>
      <c r="AY10" s="53" t="n">
        <f aca="false">Sales!AY4</f>
        <v>30</v>
      </c>
      <c r="AZ10" s="56" t="n">
        <f aca="false">Sales!AZ4</f>
        <v>30</v>
      </c>
      <c r="BA10" s="55" t="n">
        <f aca="false">Sales!BA4</f>
        <v>0</v>
      </c>
      <c r="BB10" s="53" t="n">
        <f aca="false">Sales!BB4</f>
        <v>30</v>
      </c>
      <c r="BC10" s="56" t="n">
        <f aca="false">Sales!BC4</f>
        <v>30</v>
      </c>
      <c r="BD10" s="55" t="n">
        <f aca="false">Sales!BD4</f>
        <v>0</v>
      </c>
      <c r="BE10" s="53" t="n">
        <f aca="false">Sales!BE4</f>
        <v>30</v>
      </c>
      <c r="BF10" s="56" t="n">
        <f aca="false">Sales!BF4</f>
        <v>30</v>
      </c>
      <c r="BG10" s="55" t="n">
        <f aca="false">Sales!BG4</f>
        <v>0</v>
      </c>
      <c r="BH10" s="53" t="n">
        <f aca="false">Sales!BH4</f>
        <v>30</v>
      </c>
      <c r="BI10" s="56" t="n">
        <f aca="false">Sales!BI4</f>
        <v>30</v>
      </c>
      <c r="BJ10" s="55" t="n">
        <f aca="false">Sales!BJ4</f>
        <v>0</v>
      </c>
      <c r="BK10" s="53" t="n">
        <f aca="false">Sales!BK4</f>
        <v>30</v>
      </c>
      <c r="BL10" s="56" t="n">
        <f aca="false">Sales!BL4</f>
        <v>30</v>
      </c>
      <c r="BM10" s="55" t="n">
        <f aca="false">Sales!BM4</f>
        <v>0</v>
      </c>
      <c r="BN10" s="53" t="n">
        <f aca="false">Sales!BN4</f>
        <v>30</v>
      </c>
      <c r="BO10" s="56" t="n">
        <f aca="false">Sales!BO4</f>
        <v>30</v>
      </c>
      <c r="BP10" s="55" t="n">
        <f aca="false">Sales!BP4</f>
        <v>0</v>
      </c>
      <c r="BQ10" s="53" t="n">
        <f aca="false">Sales!BQ4</f>
        <v>30</v>
      </c>
      <c r="BR10" s="56" t="n">
        <f aca="false">Sales!BR4</f>
        <v>30</v>
      </c>
      <c r="BS10" s="55" t="n">
        <f aca="false">Sales!BS4</f>
        <v>0</v>
      </c>
      <c r="BT10" s="53" t="n">
        <f aca="false">Sales!BT4</f>
        <v>30</v>
      </c>
      <c r="BU10" s="56" t="n">
        <f aca="false">Sales!BU4</f>
        <v>30</v>
      </c>
      <c r="BV10" s="55" t="n">
        <f aca="false">Sales!BV4</f>
        <v>0</v>
      </c>
      <c r="BW10" s="53" t="n">
        <f aca="false">Sales!BW4</f>
        <v>30</v>
      </c>
      <c r="BX10" s="56" t="n">
        <f aca="false">Sales!BX4</f>
        <v>30</v>
      </c>
      <c r="BY10" s="55" t="n">
        <f aca="false">Sales!BY4</f>
        <v>0</v>
      </c>
      <c r="BZ10" s="53" t="n">
        <f aca="false">Sales!BZ4</f>
        <v>30</v>
      </c>
      <c r="CA10" s="56" t="n">
        <f aca="false">Sales!CA4</f>
        <v>30</v>
      </c>
      <c r="CB10" s="55" t="n">
        <f aca="false">Sales!CB4</f>
        <v>0</v>
      </c>
      <c r="CC10" s="53" t="n">
        <f aca="false">Sales!CC4</f>
        <v>30</v>
      </c>
      <c r="CD10" s="56" t="n">
        <f aca="false">Sales!CD4</f>
        <v>30</v>
      </c>
      <c r="CE10" s="55" t="n">
        <f aca="false">Sales!CE4</f>
        <v>0</v>
      </c>
      <c r="CF10" s="53" t="n">
        <f aca="false">Sales!CF4</f>
        <v>30</v>
      </c>
      <c r="CG10" s="56" t="n">
        <f aca="false">Sales!CG4</f>
        <v>30</v>
      </c>
      <c r="CH10" s="55" t="n">
        <f aca="false">Sales!CH4</f>
        <v>0</v>
      </c>
      <c r="CI10" s="53" t="n">
        <f aca="false">Sales!CI4</f>
        <v>30</v>
      </c>
      <c r="CJ10" s="56" t="n">
        <f aca="false">Sales!CJ4</f>
        <v>30</v>
      </c>
      <c r="CK10" s="55" t="n">
        <f aca="false">Sales!CK4</f>
        <v>0</v>
      </c>
      <c r="CL10" s="53" t="n">
        <f aca="false">Sales!CL4</f>
        <v>30</v>
      </c>
      <c r="CM10" s="56" t="n">
        <f aca="false">Sales!CM4</f>
        <v>30</v>
      </c>
      <c r="CN10" s="55" t="n">
        <f aca="false">Sales!CN4</f>
        <v>0</v>
      </c>
      <c r="CO10" s="53" t="n">
        <f aca="false">Sales!CO4</f>
        <v>30</v>
      </c>
      <c r="CP10" s="56" t="n">
        <f aca="false">Sales!CP4</f>
        <v>30</v>
      </c>
      <c r="CQ10" s="55" t="n">
        <f aca="false">Sales!CQ4</f>
        <v>0</v>
      </c>
      <c r="CR10" s="53" t="n">
        <f aca="false">Sales!CR4</f>
        <v>30</v>
      </c>
      <c r="CS10" s="56" t="n">
        <f aca="false">Sales!CS4</f>
        <v>30</v>
      </c>
      <c r="CT10" s="55" t="n">
        <f aca="false">Sales!CT4</f>
        <v>0</v>
      </c>
      <c r="CU10" s="53" t="n">
        <f aca="false">Sales!CU4</f>
        <v>30</v>
      </c>
      <c r="CV10" s="56" t="n">
        <f aca="false">Sales!CV4</f>
        <v>30</v>
      </c>
      <c r="CW10" s="55" t="n">
        <f aca="false">Sales!CW4</f>
        <v>0</v>
      </c>
      <c r="CX10" s="53" t="n">
        <f aca="false">Sales!CX4</f>
        <v>30</v>
      </c>
      <c r="CY10" s="56" t="n">
        <f aca="false">Sales!CY4</f>
        <v>30</v>
      </c>
      <c r="CZ10" s="55" t="n">
        <f aca="false">Sales!CZ4</f>
        <v>0</v>
      </c>
      <c r="DA10" s="53" t="n">
        <f aca="false">Sales!DA4</f>
        <v>30</v>
      </c>
      <c r="DB10" s="56" t="n">
        <f aca="false">Sales!DB4</f>
        <v>30</v>
      </c>
      <c r="DC10" s="55" t="n">
        <f aca="false">Sales!DC4</f>
        <v>0</v>
      </c>
      <c r="DD10" s="53" t="n">
        <f aca="false">Sales!DD4</f>
        <v>30</v>
      </c>
      <c r="DE10" s="56" t="n">
        <f aca="false">Sales!DE4</f>
        <v>30</v>
      </c>
      <c r="DF10" s="55" t="n">
        <f aca="false">Sales!DF4</f>
        <v>0</v>
      </c>
      <c r="DG10" s="53" t="n">
        <f aca="false">Sales!DG4</f>
        <v>30</v>
      </c>
      <c r="DH10" s="56" t="n">
        <f aca="false">Sales!DH4</f>
        <v>30</v>
      </c>
      <c r="DI10" s="55" t="n">
        <f aca="false">Sales!DI4</f>
        <v>30</v>
      </c>
      <c r="DJ10" s="53" t="n">
        <f aca="false">Sales!DJ4</f>
        <v>30</v>
      </c>
      <c r="DK10" s="56" t="n">
        <f aca="false">Sales!DK4</f>
        <v>30</v>
      </c>
      <c r="DL10" s="55" t="n">
        <f aca="false">Sales!DL4</f>
        <v>30</v>
      </c>
      <c r="DM10" s="53" t="n">
        <f aca="false">Sales!DM4</f>
        <v>30</v>
      </c>
      <c r="DN10" s="56" t="n">
        <f aca="false">Sales!DN4</f>
        <v>30</v>
      </c>
    </row>
    <row r="11" customFormat="false" ht="18" hidden="false" customHeight="true" outlineLevel="0" collapsed="false">
      <c r="A11" s="39" t="s">
        <v>135</v>
      </c>
      <c r="B11" s="43" t="n">
        <f aca="false">IF(COUNT(AR11,AO11,AL11,AI11,AF11,AC11,Z11,W11,T11,Q11,N11,K11)=0,"",SUM(AR11,AO11,AL11,AI11,AF11,AC11,Z11,W11,T11,Q11,N11,K11))</f>
        <v>0</v>
      </c>
      <c r="C11" s="43" t="n">
        <f aca="false">SUM(AS11,AP11,AM11,AJ11,AG11,AD11,AA11,X11,U11,R11,O11,L11)</f>
        <v>446</v>
      </c>
      <c r="D11" s="43" t="n">
        <f aca="false">SUM(AT11,AQ11,AN11,AK11,AH11,AE11,AB11,Y11,V11,S11,P11,M11)</f>
        <v>446</v>
      </c>
      <c r="E11" s="43" t="n">
        <f aca="false">IF(COUNT(CB11,BY11,BV11,BS11,BP11,BM11,BJ11,BG11,BD11,BA11,AX11,AU11)=0,"",SUM(CB11,BY11,BV11,BS11,BP11,BM11,BJ11,BG11,BD11,BA11,AX11,AU11))</f>
        <v>0</v>
      </c>
      <c r="F11" s="43" t="n">
        <f aca="false">SUM(CC11,BZ11,BW11,BT11,BQ11,BN11,BK11,BH11,BE11,BB11,AY11,AV11)</f>
        <v>327</v>
      </c>
      <c r="G11" s="43" t="n">
        <f aca="false">SUM(CD11,CA11,BX11,BU11,BR11,BO11,BL11,BI11,BF11,BC11,AZ11,AW11)</f>
        <v>327</v>
      </c>
      <c r="H11" s="43" t="n">
        <f aca="false">IF(COUNT(DL11,DI11,DF11,DC11,CZ11,CW11,CT11,CQ11,CN11,CK11,CH11,CE11)=0,"",SUM(DL11,DI11,DF11,DC11,CZ11,CW11,CT11,CQ11,CN11,CK11,CH11,CE11))</f>
        <v>30</v>
      </c>
      <c r="I11" s="43" t="n">
        <f aca="false">SUM(DM11,DJ11,DG11,DD11,DA11,CX11,CU11,CR11,CO11,CL11,CI11,CF11)</f>
        <v>231</v>
      </c>
      <c r="J11" s="43" t="n">
        <f aca="false">SUM(DN11,DK11,DH11,DE11,DB11,CY11,CV11,CS11,CP11,CM11,CJ11,CG11)</f>
        <v>228</v>
      </c>
      <c r="K11" s="44" t="n">
        <f aca="false">Sales!K6</f>
        <v>0</v>
      </c>
      <c r="L11" s="45" t="n">
        <f aca="false">Sales!L6</f>
        <v>38</v>
      </c>
      <c r="M11" s="46" t="n">
        <f aca="false">Sales!M6</f>
        <v>38</v>
      </c>
      <c r="N11" s="44" t="n">
        <f aca="false">Sales!N6</f>
        <v>0</v>
      </c>
      <c r="O11" s="45" t="n">
        <f aca="false">Sales!O6</f>
        <v>38</v>
      </c>
      <c r="P11" s="46" t="n">
        <f aca="false">Sales!P6</f>
        <v>38</v>
      </c>
      <c r="Q11" s="44" t="n">
        <f aca="false">Sales!Q6</f>
        <v>0</v>
      </c>
      <c r="R11" s="45" t="n">
        <f aca="false">Sales!R6</f>
        <v>38</v>
      </c>
      <c r="S11" s="46" t="n">
        <f aca="false">Sales!S6</f>
        <v>38</v>
      </c>
      <c r="T11" s="44" t="n">
        <f aca="false">Sales!T6</f>
        <v>0</v>
      </c>
      <c r="U11" s="45" t="n">
        <f aca="false">Sales!U6</f>
        <v>38</v>
      </c>
      <c r="V11" s="46" t="n">
        <f aca="false">Sales!V6</f>
        <v>38</v>
      </c>
      <c r="W11" s="44" t="n">
        <f aca="false">Sales!W6</f>
        <v>0</v>
      </c>
      <c r="X11" s="45" t="n">
        <f aca="false">Sales!X6</f>
        <v>38</v>
      </c>
      <c r="Y11" s="46" t="n">
        <f aca="false">Sales!Y6</f>
        <v>38</v>
      </c>
      <c r="Z11" s="44" t="n">
        <f aca="false">Sales!Z6</f>
        <v>0</v>
      </c>
      <c r="AA11" s="45" t="n">
        <f aca="false">Sales!AA6</f>
        <v>38</v>
      </c>
      <c r="AB11" s="46" t="n">
        <f aca="false">Sales!AB6</f>
        <v>38</v>
      </c>
      <c r="AC11" s="44" t="n">
        <f aca="false">Sales!AC6</f>
        <v>0</v>
      </c>
      <c r="AD11" s="45" t="n">
        <f aca="false">Sales!AD6</f>
        <v>38</v>
      </c>
      <c r="AE11" s="46" t="n">
        <f aca="false">Sales!AE6</f>
        <v>38</v>
      </c>
      <c r="AF11" s="44" t="n">
        <f aca="false">Sales!AF6</f>
        <v>0</v>
      </c>
      <c r="AG11" s="45" t="n">
        <f aca="false">Sales!AG6</f>
        <v>38</v>
      </c>
      <c r="AH11" s="46" t="n">
        <f aca="false">Sales!AH6</f>
        <v>38</v>
      </c>
      <c r="AI11" s="44" t="n">
        <f aca="false">Sales!AI6</f>
        <v>0</v>
      </c>
      <c r="AJ11" s="45" t="n">
        <f aca="false">Sales!AJ6</f>
        <v>38</v>
      </c>
      <c r="AK11" s="46" t="n">
        <f aca="false">Sales!AK6</f>
        <v>38</v>
      </c>
      <c r="AL11" s="44" t="n">
        <f aca="false">Sales!AL6</f>
        <v>0</v>
      </c>
      <c r="AM11" s="45" t="n">
        <f aca="false">Sales!AM6</f>
        <v>38</v>
      </c>
      <c r="AN11" s="46" t="n">
        <f aca="false">Sales!AN6</f>
        <v>38</v>
      </c>
      <c r="AO11" s="44" t="n">
        <f aca="false">Sales!AO6</f>
        <v>0</v>
      </c>
      <c r="AP11" s="45" t="n">
        <f aca="false">Sales!AP6</f>
        <v>38</v>
      </c>
      <c r="AQ11" s="46" t="n">
        <f aca="false">Sales!AQ6</f>
        <v>38</v>
      </c>
      <c r="AR11" s="44" t="n">
        <f aca="false">Sales!AR6</f>
        <v>0</v>
      </c>
      <c r="AS11" s="45" t="n">
        <f aca="false">Sales!AS6</f>
        <v>28</v>
      </c>
      <c r="AT11" s="46" t="n">
        <f aca="false">Sales!AT6</f>
        <v>28</v>
      </c>
      <c r="AU11" s="44" t="n">
        <f aca="false">Sales!AU6</f>
        <v>0</v>
      </c>
      <c r="AV11" s="45" t="n">
        <f aca="false">Sales!AV6</f>
        <v>28</v>
      </c>
      <c r="AW11" s="46" t="n">
        <f aca="false">Sales!AW6</f>
        <v>28</v>
      </c>
      <c r="AX11" s="44" t="n">
        <f aca="false">Sales!AX6</f>
        <v>0</v>
      </c>
      <c r="AY11" s="45" t="n">
        <f aca="false">Sales!AY6</f>
        <v>28</v>
      </c>
      <c r="AZ11" s="46" t="n">
        <f aca="false">Sales!AZ6</f>
        <v>28</v>
      </c>
      <c r="BA11" s="44" t="n">
        <f aca="false">Sales!BA6</f>
        <v>0</v>
      </c>
      <c r="BB11" s="45" t="n">
        <f aca="false">Sales!BB6</f>
        <v>28</v>
      </c>
      <c r="BC11" s="46" t="n">
        <f aca="false">Sales!BC6</f>
        <v>28</v>
      </c>
      <c r="BD11" s="44" t="n">
        <f aca="false">Sales!BD6</f>
        <v>0</v>
      </c>
      <c r="BE11" s="45" t="n">
        <f aca="false">Sales!BE6</f>
        <v>28</v>
      </c>
      <c r="BF11" s="46" t="n">
        <f aca="false">Sales!BF6</f>
        <v>28</v>
      </c>
      <c r="BG11" s="44" t="n">
        <f aca="false">Sales!BG6</f>
        <v>0</v>
      </c>
      <c r="BH11" s="45" t="n">
        <f aca="false">Sales!BH6</f>
        <v>28</v>
      </c>
      <c r="BI11" s="46" t="n">
        <f aca="false">Sales!BI6</f>
        <v>28</v>
      </c>
      <c r="BJ11" s="44" t="n">
        <f aca="false">Sales!BJ6</f>
        <v>0</v>
      </c>
      <c r="BK11" s="45" t="n">
        <f aca="false">Sales!BK6</f>
        <v>28</v>
      </c>
      <c r="BL11" s="46" t="n">
        <f aca="false">Sales!BL6</f>
        <v>28</v>
      </c>
      <c r="BM11" s="44" t="n">
        <f aca="false">Sales!BM6</f>
        <v>0</v>
      </c>
      <c r="BN11" s="45" t="n">
        <f aca="false">Sales!BN6</f>
        <v>28</v>
      </c>
      <c r="BO11" s="46" t="n">
        <f aca="false">Sales!BO6</f>
        <v>28</v>
      </c>
      <c r="BP11" s="44" t="n">
        <f aca="false">Sales!BP6</f>
        <v>0</v>
      </c>
      <c r="BQ11" s="45" t="n">
        <f aca="false">Sales!BQ6</f>
        <v>28</v>
      </c>
      <c r="BR11" s="46" t="n">
        <f aca="false">Sales!BR6</f>
        <v>28</v>
      </c>
      <c r="BS11" s="44" t="n">
        <f aca="false">Sales!BS6</f>
        <v>0</v>
      </c>
      <c r="BT11" s="45" t="n">
        <f aca="false">Sales!BT6</f>
        <v>28</v>
      </c>
      <c r="BU11" s="46" t="n">
        <f aca="false">Sales!BU6</f>
        <v>28</v>
      </c>
      <c r="BV11" s="44" t="n">
        <f aca="false">Sales!BV6</f>
        <v>0</v>
      </c>
      <c r="BW11" s="45" t="n">
        <f aca="false">Sales!BW6</f>
        <v>28</v>
      </c>
      <c r="BX11" s="46" t="n">
        <f aca="false">Sales!BX6</f>
        <v>28</v>
      </c>
      <c r="BY11" s="44" t="n">
        <f aca="false">Sales!BY6</f>
        <v>0</v>
      </c>
      <c r="BZ11" s="45" t="n">
        <f aca="false">Sales!BZ6</f>
        <v>28</v>
      </c>
      <c r="CA11" s="46" t="n">
        <f aca="false">Sales!CA6</f>
        <v>28</v>
      </c>
      <c r="CB11" s="44" t="n">
        <f aca="false">Sales!CB6</f>
        <v>0</v>
      </c>
      <c r="CC11" s="45" t="n">
        <f aca="false">Sales!CC6</f>
        <v>19</v>
      </c>
      <c r="CD11" s="46" t="n">
        <f aca="false">Sales!CD6</f>
        <v>19</v>
      </c>
      <c r="CE11" s="44" t="n">
        <f aca="false">Sales!CE6</f>
        <v>0</v>
      </c>
      <c r="CF11" s="45" t="n">
        <f aca="false">Sales!CF6</f>
        <v>19</v>
      </c>
      <c r="CG11" s="46" t="n">
        <f aca="false">Sales!CG6</f>
        <v>19</v>
      </c>
      <c r="CH11" s="44" t="n">
        <f aca="false">Sales!CH6</f>
        <v>0</v>
      </c>
      <c r="CI11" s="45" t="n">
        <f aca="false">Sales!CI6</f>
        <v>19</v>
      </c>
      <c r="CJ11" s="46" t="n">
        <f aca="false">Sales!CJ6</f>
        <v>19</v>
      </c>
      <c r="CK11" s="44" t="n">
        <f aca="false">Sales!CK6</f>
        <v>0</v>
      </c>
      <c r="CL11" s="45" t="n">
        <f aca="false">Sales!CL6</f>
        <v>19</v>
      </c>
      <c r="CM11" s="46" t="n">
        <f aca="false">Sales!CM6</f>
        <v>19</v>
      </c>
      <c r="CN11" s="44" t="n">
        <f aca="false">Sales!CN6</f>
        <v>0</v>
      </c>
      <c r="CO11" s="45" t="n">
        <f aca="false">Sales!CO6</f>
        <v>19</v>
      </c>
      <c r="CP11" s="46" t="n">
        <f aca="false">Sales!CP6</f>
        <v>19</v>
      </c>
      <c r="CQ11" s="44" t="n">
        <f aca="false">Sales!CQ6</f>
        <v>0</v>
      </c>
      <c r="CR11" s="45" t="n">
        <f aca="false">Sales!CR6</f>
        <v>19</v>
      </c>
      <c r="CS11" s="46" t="n">
        <f aca="false">Sales!CS6</f>
        <v>19</v>
      </c>
      <c r="CT11" s="44" t="n">
        <f aca="false">Sales!CT6</f>
        <v>0</v>
      </c>
      <c r="CU11" s="45" t="n">
        <f aca="false">Sales!CU6</f>
        <v>19</v>
      </c>
      <c r="CV11" s="46" t="n">
        <f aca="false">Sales!CV6</f>
        <v>19</v>
      </c>
      <c r="CW11" s="44" t="n">
        <f aca="false">Sales!CW6</f>
        <v>0</v>
      </c>
      <c r="CX11" s="45" t="n">
        <f aca="false">Sales!CX6</f>
        <v>19</v>
      </c>
      <c r="CY11" s="46" t="n">
        <f aca="false">Sales!CY6</f>
        <v>19</v>
      </c>
      <c r="CZ11" s="44" t="n">
        <f aca="false">Sales!CZ6</f>
        <v>0</v>
      </c>
      <c r="DA11" s="45" t="n">
        <f aca="false">Sales!DA6</f>
        <v>19</v>
      </c>
      <c r="DB11" s="46" t="n">
        <f aca="false">Sales!DB6</f>
        <v>19</v>
      </c>
      <c r="DC11" s="44" t="n">
        <f aca="false">Sales!DC6</f>
        <v>0</v>
      </c>
      <c r="DD11" s="45" t="n">
        <f aca="false">Sales!DD6</f>
        <v>19</v>
      </c>
      <c r="DE11" s="46" t="n">
        <f aca="false">Sales!DE6</f>
        <v>19</v>
      </c>
      <c r="DF11" s="44" t="n">
        <f aca="false">Sales!DF6</f>
        <v>0</v>
      </c>
      <c r="DG11" s="45" t="n">
        <f aca="false">Sales!DG6</f>
        <v>30</v>
      </c>
      <c r="DH11" s="46" t="n">
        <f aca="false">Sales!DH6</f>
        <v>38</v>
      </c>
      <c r="DI11" s="44" t="n">
        <f aca="false">Sales!DI6</f>
        <v>11</v>
      </c>
      <c r="DJ11" s="45" t="n">
        <f aca="false">Sales!DJ6</f>
        <v>11</v>
      </c>
      <c r="DK11" s="46" t="n">
        <f aca="false">Sales!DK6</f>
        <v>19</v>
      </c>
      <c r="DL11" s="44" t="n">
        <f aca="false">Sales!DL6</f>
        <v>19</v>
      </c>
      <c r="DM11" s="45" t="n">
        <f aca="false">Sales!DM6</f>
        <v>19</v>
      </c>
      <c r="DN11" s="46" t="n">
        <f aca="false">Sales!DN6</f>
        <v>0</v>
      </c>
    </row>
    <row r="12" customFormat="false" ht="18" hidden="false" customHeight="true" outlineLevel="0" collapsed="false">
      <c r="A12" s="39" t="s">
        <v>136</v>
      </c>
      <c r="B12" s="57" t="str">
        <f aca="false">IFERROR(SUM(AR12*AR11,AO12*AO11,AL12*AL11,AI12*AI11,AF12*AF11,AC12*AC11,Z12*Z11,W12*W11,T12*T11,Q12*Q11,N12*N11,K12*K11)/SUM(AR11,AO11,AL11,AI11,AF11,AC11,Z11,W11,T11,Q11,N11,K11),"")</f>
        <v/>
      </c>
      <c r="C12" s="57" t="n">
        <f aca="false">IFERROR(SUM(AS12*AS11,AP12*AP11,AM12*AM11,AJ12*AJ11,AG12*AG11,AD12*AD11,AA12*AA11,X12*X11,U12*U11,R12*R11,O12*O11,L12*L11)/SUM(AS11,AP11,AM11,AJ11,AG11,AD11,AA11,X11,U11,R11,O11,L11),"")</f>
        <v>1338.17488789238</v>
      </c>
      <c r="D12" s="57" t="n">
        <f aca="false">IFERROR(SUM(AT12*AT11,AQ12*AQ11,AN12*AN11,AK12*AK11,AH12*AH11,AE12*AE11,AB12*AB11,Y12*Y11,V12*V11,S12*S11,P12*P11,M12*M11)/SUM(AT11,AQ11,AN11,AK11,AH11,AE11,AB11,Y11,V11,S11,P11,M11),"")</f>
        <v>1341.17488789238</v>
      </c>
      <c r="E12" s="57" t="str">
        <f aca="false">IFERROR(SUM(CB12*CB11,BY12*BY11,BV12*BV11,BS12*BS11,BP12*BP11,BM12*BM11,BJ12*BJ11,BG12*BG11,BD12*BD11,BA12*BA11,AX12*AX11,AU12*AU11)/SUM(CB11,BY11,BV11,BS11,BP11,BM11,BJ11,BG11,BD11,BA11,AX11,AU11),"")</f>
        <v/>
      </c>
      <c r="F12" s="57" t="n">
        <f aca="false">IFERROR(SUM(CC12*CC11,BZ12*BZ11,BW12*BW11,BT12*BT11,BQ12*BQ11,BN12*BN11,BK12*BK11,BH12*BH11,BE12*BE11,BB12*BB11,AY12*AY11,AV12*AV11)/SUM(CC11,BZ11,BW11,BT11,BQ11,BN11,BK11,BH11,BE11,BB11,AY11,AV11),"")</f>
        <v>1259.71559633028</v>
      </c>
      <c r="G12" s="57" t="n">
        <f aca="false">IFERROR(SUM(CD12*CD11,CA12*CA11,BX12*BX11,BU12*BU11,BR12*BR11,BO12*BO11,BL12*BL11,BI12*BI11,BF12*BF11,BC12*BC11,AZ12*AZ11,AW12*AW11)/SUM(CD11,CA11,BX11,BU11,BR11,BO11,BL11,BI11,BF11,BC11,AZ11,AW11),"")</f>
        <v>1262.71559633028</v>
      </c>
      <c r="H12" s="57" t="n">
        <f aca="false">IFERROR(SUM(DL12*DL11,DI12*DI11,DF12*DF11,DC12*DC11,CZ12*CZ11,CW12*CW11,CT12*CT11,CQ12*CQ11,CN12*CN11,CK12*CK11,CH12*CH11,CE12*CE11)/SUM(DL11,DI11,DF11,DC11,CZ11,CW11,CT11,CQ11,CN11,CK11,CH11,CE11),"")</f>
        <v>1200</v>
      </c>
      <c r="I12" s="57" t="n">
        <f aca="false">IFERROR(SUM(DM12*DM11,DJ12*DJ11,DG12*DG11,DD12*DD11,DA12*DA11,CX12*CX11,CU12*CU11,CR12*CR11,CO12*CO11,CL12*CL11,CI12*CI11,CF12*CF11)/SUM(DM11,DJ11,DG11,DD11,DA11,CX11,CU11,CR11,CO11,CL11,CI11,CF11),"")</f>
        <v>1213.71428571429</v>
      </c>
      <c r="J12" s="57" t="n">
        <f aca="false">IFERROR(SUM(DN12*DN11,DK12*DK11,DH12*DH11,DE12*DE11,DB12*DB11,CY12*CY11,CV12*CV11,CS12*CS11,CP12*CP11,CM12*CM11,CJ12*CJ11,CG12*CG11)/SUM(DN11,DK11,DH11,DE11,DB11,CY11,CV11,CS11,CP11,CM11,CJ11,CG11),"")</f>
        <v>1217</v>
      </c>
      <c r="K12" s="58" t="n">
        <f aca="false">Sales!K7</f>
        <v>0</v>
      </c>
      <c r="L12" s="59" t="n">
        <f aca="false">Sales!L7</f>
        <v>1378.5</v>
      </c>
      <c r="M12" s="60" t="n">
        <f aca="false">Sales!M7</f>
        <v>1381.5</v>
      </c>
      <c r="N12" s="58" t="n">
        <f aca="false">Sales!N7</f>
        <v>0</v>
      </c>
      <c r="O12" s="59" t="n">
        <f aca="false">Sales!O7</f>
        <v>1371</v>
      </c>
      <c r="P12" s="60" t="n">
        <f aca="false">Sales!P7</f>
        <v>1374</v>
      </c>
      <c r="Q12" s="58" t="n">
        <f aca="false">Sales!Q7</f>
        <v>0</v>
      </c>
      <c r="R12" s="59" t="n">
        <f aca="false">Sales!R7</f>
        <v>1363.5</v>
      </c>
      <c r="S12" s="60" t="n">
        <f aca="false">Sales!S7</f>
        <v>1366.5</v>
      </c>
      <c r="T12" s="58" t="n">
        <f aca="false">Sales!T7</f>
        <v>0</v>
      </c>
      <c r="U12" s="59" t="n">
        <f aca="false">Sales!U7</f>
        <v>1356</v>
      </c>
      <c r="V12" s="60" t="n">
        <f aca="false">Sales!V7</f>
        <v>1359</v>
      </c>
      <c r="W12" s="58" t="n">
        <f aca="false">Sales!W7</f>
        <v>0</v>
      </c>
      <c r="X12" s="59" t="n">
        <f aca="false">Sales!X7</f>
        <v>1348.5</v>
      </c>
      <c r="Y12" s="60" t="n">
        <f aca="false">Sales!Y7</f>
        <v>1351.5</v>
      </c>
      <c r="Z12" s="58" t="n">
        <f aca="false">Sales!Z7</f>
        <v>0</v>
      </c>
      <c r="AA12" s="59" t="n">
        <f aca="false">Sales!AA7</f>
        <v>1341</v>
      </c>
      <c r="AB12" s="60" t="n">
        <f aca="false">Sales!AB7</f>
        <v>1344</v>
      </c>
      <c r="AC12" s="58" t="n">
        <f aca="false">Sales!AC7</f>
        <v>0</v>
      </c>
      <c r="AD12" s="59" t="n">
        <f aca="false">Sales!AD7</f>
        <v>1333.5</v>
      </c>
      <c r="AE12" s="60" t="n">
        <f aca="false">Sales!AE7</f>
        <v>1336.5</v>
      </c>
      <c r="AF12" s="58" t="n">
        <f aca="false">Sales!AF7</f>
        <v>0</v>
      </c>
      <c r="AG12" s="59" t="n">
        <f aca="false">Sales!AG7</f>
        <v>1326</v>
      </c>
      <c r="AH12" s="60" t="n">
        <f aca="false">Sales!AH7</f>
        <v>1329</v>
      </c>
      <c r="AI12" s="58" t="n">
        <f aca="false">Sales!AI7</f>
        <v>0</v>
      </c>
      <c r="AJ12" s="59" t="n">
        <f aca="false">Sales!AJ7</f>
        <v>1318.5</v>
      </c>
      <c r="AK12" s="60" t="n">
        <f aca="false">Sales!AK7</f>
        <v>1321.5</v>
      </c>
      <c r="AL12" s="58" t="n">
        <f aca="false">Sales!AL7</f>
        <v>0</v>
      </c>
      <c r="AM12" s="59" t="n">
        <f aca="false">Sales!AM7</f>
        <v>1311</v>
      </c>
      <c r="AN12" s="60" t="n">
        <f aca="false">Sales!AN7</f>
        <v>1314</v>
      </c>
      <c r="AO12" s="58" t="n">
        <f aca="false">Sales!AO7</f>
        <v>0</v>
      </c>
      <c r="AP12" s="59" t="n">
        <f aca="false">Sales!AP7</f>
        <v>1303.5</v>
      </c>
      <c r="AQ12" s="60" t="n">
        <f aca="false">Sales!AQ7</f>
        <v>1306.5</v>
      </c>
      <c r="AR12" s="58" t="n">
        <f aca="false">Sales!AR7</f>
        <v>0</v>
      </c>
      <c r="AS12" s="59" t="n">
        <f aca="false">Sales!AS7</f>
        <v>1296</v>
      </c>
      <c r="AT12" s="60" t="n">
        <f aca="false">Sales!AT7</f>
        <v>1299</v>
      </c>
      <c r="AU12" s="58" t="n">
        <f aca="false">Sales!AU7</f>
        <v>0</v>
      </c>
      <c r="AV12" s="59" t="n">
        <f aca="false">Sales!AV7</f>
        <v>1290</v>
      </c>
      <c r="AW12" s="60" t="n">
        <f aca="false">Sales!AW7</f>
        <v>1293</v>
      </c>
      <c r="AX12" s="58" t="n">
        <f aca="false">Sales!AX7</f>
        <v>0</v>
      </c>
      <c r="AY12" s="59" t="n">
        <f aca="false">Sales!AY7</f>
        <v>1284</v>
      </c>
      <c r="AZ12" s="60" t="n">
        <f aca="false">Sales!AZ7</f>
        <v>1287</v>
      </c>
      <c r="BA12" s="58" t="n">
        <f aca="false">Sales!BA7</f>
        <v>0</v>
      </c>
      <c r="BB12" s="59" t="n">
        <f aca="false">Sales!BB7</f>
        <v>1278</v>
      </c>
      <c r="BC12" s="60" t="n">
        <f aca="false">Sales!BC7</f>
        <v>1281</v>
      </c>
      <c r="BD12" s="58" t="n">
        <f aca="false">Sales!BD7</f>
        <v>0</v>
      </c>
      <c r="BE12" s="59" t="n">
        <f aca="false">Sales!BE7</f>
        <v>1272</v>
      </c>
      <c r="BF12" s="60" t="n">
        <f aca="false">Sales!BF7</f>
        <v>1275</v>
      </c>
      <c r="BG12" s="58" t="n">
        <f aca="false">Sales!BG7</f>
        <v>0</v>
      </c>
      <c r="BH12" s="59" t="n">
        <f aca="false">Sales!BH7</f>
        <v>1266</v>
      </c>
      <c r="BI12" s="60" t="n">
        <f aca="false">Sales!BI7</f>
        <v>1269</v>
      </c>
      <c r="BJ12" s="58" t="n">
        <f aca="false">Sales!BJ7</f>
        <v>0</v>
      </c>
      <c r="BK12" s="59" t="n">
        <f aca="false">Sales!BK7</f>
        <v>1260</v>
      </c>
      <c r="BL12" s="60" t="n">
        <f aca="false">Sales!BL7</f>
        <v>1263</v>
      </c>
      <c r="BM12" s="58" t="n">
        <f aca="false">Sales!BM7</f>
        <v>0</v>
      </c>
      <c r="BN12" s="59" t="n">
        <f aca="false">Sales!BN7</f>
        <v>1254</v>
      </c>
      <c r="BO12" s="60" t="n">
        <f aca="false">Sales!BO7</f>
        <v>1257</v>
      </c>
      <c r="BP12" s="58" t="n">
        <f aca="false">Sales!BP7</f>
        <v>0</v>
      </c>
      <c r="BQ12" s="59" t="n">
        <f aca="false">Sales!BQ7</f>
        <v>1249.5</v>
      </c>
      <c r="BR12" s="60" t="n">
        <f aca="false">Sales!BR7</f>
        <v>1252.5</v>
      </c>
      <c r="BS12" s="58" t="n">
        <f aca="false">Sales!BS7</f>
        <v>0</v>
      </c>
      <c r="BT12" s="59" t="n">
        <f aca="false">Sales!BT7</f>
        <v>1245</v>
      </c>
      <c r="BU12" s="60" t="n">
        <f aca="false">Sales!BU7</f>
        <v>1248</v>
      </c>
      <c r="BV12" s="58" t="n">
        <f aca="false">Sales!BV7</f>
        <v>0</v>
      </c>
      <c r="BW12" s="59" t="n">
        <f aca="false">Sales!BW7</f>
        <v>1240.5</v>
      </c>
      <c r="BX12" s="60" t="n">
        <f aca="false">Sales!BX7</f>
        <v>1243.5</v>
      </c>
      <c r="BY12" s="58" t="n">
        <f aca="false">Sales!BY7</f>
        <v>0</v>
      </c>
      <c r="BZ12" s="59" t="n">
        <f aca="false">Sales!BZ7</f>
        <v>1236</v>
      </c>
      <c r="CA12" s="60" t="n">
        <f aca="false">Sales!CA7</f>
        <v>1239</v>
      </c>
      <c r="CB12" s="58" t="n">
        <f aca="false">Sales!CB7</f>
        <v>0</v>
      </c>
      <c r="CC12" s="59" t="n">
        <f aca="false">Sales!CC7</f>
        <v>1233</v>
      </c>
      <c r="CD12" s="60" t="n">
        <f aca="false">Sales!CD7</f>
        <v>1236</v>
      </c>
      <c r="CE12" s="58" t="n">
        <f aca="false">Sales!CE7</f>
        <v>0</v>
      </c>
      <c r="CF12" s="59" t="n">
        <f aca="false">Sales!CF7</f>
        <v>1230</v>
      </c>
      <c r="CG12" s="60" t="n">
        <f aca="false">Sales!CG7</f>
        <v>1233</v>
      </c>
      <c r="CH12" s="58" t="n">
        <f aca="false">Sales!CH7</f>
        <v>0</v>
      </c>
      <c r="CI12" s="59" t="n">
        <f aca="false">Sales!CI7</f>
        <v>1227</v>
      </c>
      <c r="CJ12" s="60" t="n">
        <f aca="false">Sales!CJ7</f>
        <v>1230</v>
      </c>
      <c r="CK12" s="58" t="n">
        <f aca="false">Sales!CK7</f>
        <v>0</v>
      </c>
      <c r="CL12" s="59" t="n">
        <f aca="false">Sales!CL7</f>
        <v>1224</v>
      </c>
      <c r="CM12" s="60" t="n">
        <f aca="false">Sales!CM7</f>
        <v>1227</v>
      </c>
      <c r="CN12" s="58" t="n">
        <f aca="false">Sales!CN7</f>
        <v>0</v>
      </c>
      <c r="CO12" s="59" t="n">
        <f aca="false">Sales!CO7</f>
        <v>1221</v>
      </c>
      <c r="CP12" s="60" t="n">
        <f aca="false">Sales!CP7</f>
        <v>1224</v>
      </c>
      <c r="CQ12" s="58" t="n">
        <f aca="false">Sales!CQ7</f>
        <v>0</v>
      </c>
      <c r="CR12" s="59" t="n">
        <f aca="false">Sales!CR7</f>
        <v>1218</v>
      </c>
      <c r="CS12" s="60" t="n">
        <f aca="false">Sales!CS7</f>
        <v>1221</v>
      </c>
      <c r="CT12" s="58" t="n">
        <f aca="false">Sales!CT7</f>
        <v>0</v>
      </c>
      <c r="CU12" s="59" t="n">
        <f aca="false">Sales!CU7</f>
        <v>1215</v>
      </c>
      <c r="CV12" s="60" t="n">
        <f aca="false">Sales!CV7</f>
        <v>1218</v>
      </c>
      <c r="CW12" s="58" t="n">
        <f aca="false">Sales!CW7</f>
        <v>0</v>
      </c>
      <c r="CX12" s="59" t="n">
        <f aca="false">Sales!CX7</f>
        <v>1212</v>
      </c>
      <c r="CY12" s="60" t="n">
        <f aca="false">Sales!CY7</f>
        <v>1215</v>
      </c>
      <c r="CZ12" s="58" t="n">
        <f aca="false">Sales!CZ7</f>
        <v>0</v>
      </c>
      <c r="DA12" s="59" t="n">
        <f aca="false">Sales!DA7</f>
        <v>1209</v>
      </c>
      <c r="DB12" s="60" t="n">
        <f aca="false">Sales!DB7</f>
        <v>1212</v>
      </c>
      <c r="DC12" s="58" t="n">
        <f aca="false">Sales!DC7</f>
        <v>0</v>
      </c>
      <c r="DD12" s="59" t="n">
        <f aca="false">Sales!DD7</f>
        <v>1206</v>
      </c>
      <c r="DE12" s="60" t="n">
        <f aca="false">Sales!DE7</f>
        <v>1209</v>
      </c>
      <c r="DF12" s="58" t="n">
        <f aca="false">Sales!DF7</f>
        <v>0</v>
      </c>
      <c r="DG12" s="59" t="n">
        <f aca="false">Sales!DG7</f>
        <v>1203</v>
      </c>
      <c r="DH12" s="60" t="n">
        <f aca="false">Sales!DH7</f>
        <v>1206</v>
      </c>
      <c r="DI12" s="58" t="n">
        <f aca="false">Sales!DI7</f>
        <v>1200</v>
      </c>
      <c r="DJ12" s="59" t="n">
        <f aca="false">Sales!DJ7</f>
        <v>1200</v>
      </c>
      <c r="DK12" s="60" t="n">
        <f aca="false">Sales!DK7</f>
        <v>1203</v>
      </c>
      <c r="DL12" s="58" t="n">
        <f aca="false">Sales!DL7</f>
        <v>1200</v>
      </c>
      <c r="DM12" s="59" t="n">
        <f aca="false">Sales!DM7</f>
        <v>1200</v>
      </c>
      <c r="DN12" s="60" t="n">
        <f aca="false">Sales!DN7</f>
        <v>1200</v>
      </c>
    </row>
    <row r="13" customFormat="false" ht="18" hidden="false" customHeight="true" outlineLevel="0" collapsed="false">
      <c r="A13" s="39" t="s">
        <v>137</v>
      </c>
      <c r="B13" s="51" t="str">
        <f aca="false">IFERROR(SUM(AR13*AR11,AO13*AO11,AL13*AL11,AI13*AI11,AF13*AF11,AC13*AC11,Z13*Z11,W13*W11,T13*T11,Q13*Q11,N13*N11,K13*K11)/SUM(AR11,AO11,AL11,AI11,AF11,AC11,Z11,W11,T11,Q11,N11,K11),"")</f>
        <v/>
      </c>
      <c r="C13" s="51" t="n">
        <f aca="false">IFERROR(SUM(AS13*AS11,AP13*AP11,AM13*AM11,AJ13*AJ11,AG13*AG11,AD13*AD11,AA13*AA11,X13*X11,U13*U11,R13*R11,O13*O11,L13*L11)/SUM(AS11,AP11,AM11,AJ11,AG11,AD11,AA11,X11,U11,R11,O11,L11),"")</f>
        <v>30</v>
      </c>
      <c r="D13" s="51" t="n">
        <f aca="false">IFERROR(SUM(AT13*AT11,AQ13*AQ11,AN13*AN11,AK13*AK11,AH13*AH11,AE13*AE11,AB13*AB11,Y13*Y11,V13*V11,S13*S11,P13*P11,M13*M11)/SUM(AT11,AQ11,AN11,AK11,AH11,AE11,AB11,Y11,V11,S11,P11,M11),"")</f>
        <v>30</v>
      </c>
      <c r="E13" s="51" t="str">
        <f aca="false">IFERROR(SUM(CB13*CB11,BY13*BY11,BV13*BV11,BS13*BS11,BP13*BP11,BM13*BM11,BJ13*BJ11,BG13*BG11,BD13*BD11,BA13*BA11,AX13*AX11,AU13*AU11)/SUM(CB11,BY11,BV11,BS11,BP11,BM11,BJ11,BG11,BD11,BA11,AX11,AU11),"")</f>
        <v/>
      </c>
      <c r="F13" s="51" t="n">
        <f aca="false">IFERROR(SUM(CC13*CC11,BZ13*BZ11,BW13*BW11,BT13*BT11,BQ13*BQ11,BN13*BN11,BK13*BK11,BH13*BH11,BE13*BE11,BB13*BB11,AY13*AY11,AV13*AV11)/SUM(CC11,BZ11,BW11,BT11,BQ11,BN11,BK11,BH11,BE11,BB11,AY11,AV11),"")</f>
        <v>30</v>
      </c>
      <c r="G13" s="51" t="n">
        <f aca="false">IFERROR(SUM(CD13*CD11,CA13*CA11,BX13*BX11,BU13*BU11,BR13*BR11,BO13*BO11,BL13*BL11,BI13*BI11,BF13*BF11,BC13*BC11,AZ13*AZ11,AW13*AW11)/SUM(CD11,CA11,BX11,BU11,BR11,BO11,BL11,BI11,BF11,BC11,AZ11,AW11),"")</f>
        <v>30</v>
      </c>
      <c r="H13" s="51" t="n">
        <f aca="false">IFERROR(SUM(DL13*DL11,DI13*DI11,DF13*DF11,DC13*DC11,CZ13*CZ11,CW13*CW11,CT13*CT11,CQ13*CQ11,CN13*CN11,CK13*CK11,CH13*CH11,CE13*CE11)/SUM(DL11,DI11,DF11,DC11,CZ11,CW11,CT11,CQ11,CN11,CK11,CH11,CE11),"")</f>
        <v>30</v>
      </c>
      <c r="I13" s="51" t="n">
        <f aca="false">IFERROR(SUM(DM13*DM11,DJ13*DJ11,DG13*DG11,DD13*DD11,DA13*DA11,CX13*CX11,CU13*CU11,CR13*CR11,CO13*CO11,CL13*CL11,CI13*CI11,CF13*CF11)/SUM(DM11,DJ11,DG11,DD11,DA11,CX11,CU11,CR11,CO11,CL11,CI11,CF11),"")</f>
        <v>30</v>
      </c>
      <c r="J13" s="51" t="n">
        <f aca="false">IFERROR(SUM(DN13*DN11,DK13*DK11,DH13*DH11,DE13*DE11,DB13*DB11,CY13*CY11,CV13*CV11,CS13*CS11,CP13*CP11,CM13*CM11,CJ13*CJ11,CG13*CG11)/SUM(DN11,DK11,DH11,DE11,DB11,CY11,CV11,CS11,CP11,CM11,CJ11,CG11),"")</f>
        <v>30</v>
      </c>
      <c r="K13" s="52"/>
      <c r="L13" s="53" t="n">
        <f aca="false">IF(L$26,K13,M13)</f>
        <v>30</v>
      </c>
      <c r="M13" s="54" t="n">
        <v>30</v>
      </c>
      <c r="N13" s="52"/>
      <c r="O13" s="53" t="n">
        <f aca="false">IF(O$26,N13,P13)</f>
        <v>30</v>
      </c>
      <c r="P13" s="54" t="n">
        <v>30</v>
      </c>
      <c r="Q13" s="52"/>
      <c r="R13" s="53" t="n">
        <f aca="false">IF(R$26,Q13,S13)</f>
        <v>30</v>
      </c>
      <c r="S13" s="54" t="n">
        <v>30</v>
      </c>
      <c r="T13" s="52"/>
      <c r="U13" s="53" t="n">
        <f aca="false">IF(U$26,T13,V13)</f>
        <v>30</v>
      </c>
      <c r="V13" s="54" t="n">
        <v>30</v>
      </c>
      <c r="W13" s="52"/>
      <c r="X13" s="53" t="n">
        <f aca="false">IF(X$26,W13,Y13)</f>
        <v>30</v>
      </c>
      <c r="Y13" s="54" t="n">
        <v>30</v>
      </c>
      <c r="Z13" s="52"/>
      <c r="AA13" s="53" t="n">
        <f aca="false">IF(AA$26,Z13,AB13)</f>
        <v>30</v>
      </c>
      <c r="AB13" s="54" t="n">
        <v>30</v>
      </c>
      <c r="AC13" s="52"/>
      <c r="AD13" s="53" t="n">
        <f aca="false">IF(AD$26,AC13,AE13)</f>
        <v>30</v>
      </c>
      <c r="AE13" s="54" t="n">
        <v>30</v>
      </c>
      <c r="AF13" s="52"/>
      <c r="AG13" s="53" t="n">
        <f aca="false">IF(AG$26,AF13,AH13)</f>
        <v>30</v>
      </c>
      <c r="AH13" s="54" t="n">
        <v>30</v>
      </c>
      <c r="AI13" s="52"/>
      <c r="AJ13" s="53" t="n">
        <f aca="false">IF(AJ$26,AI13,AK13)</f>
        <v>30</v>
      </c>
      <c r="AK13" s="54" t="n">
        <v>30</v>
      </c>
      <c r="AL13" s="52"/>
      <c r="AM13" s="53" t="n">
        <f aca="false">IF(AM$26,AL13,AN13)</f>
        <v>30</v>
      </c>
      <c r="AN13" s="54" t="n">
        <v>30</v>
      </c>
      <c r="AO13" s="52"/>
      <c r="AP13" s="53" t="n">
        <f aca="false">IF(AP$26,AO13,AQ13)</f>
        <v>30</v>
      </c>
      <c r="AQ13" s="54" t="n">
        <v>30</v>
      </c>
      <c r="AR13" s="52"/>
      <c r="AS13" s="53" t="n">
        <f aca="false">IF(AS$26,AR13,AT13)</f>
        <v>30</v>
      </c>
      <c r="AT13" s="54" t="n">
        <v>30</v>
      </c>
      <c r="AU13" s="52"/>
      <c r="AV13" s="53" t="n">
        <f aca="false">IF(AV$26,AU13,AW13)</f>
        <v>30</v>
      </c>
      <c r="AW13" s="54" t="n">
        <v>30</v>
      </c>
      <c r="AX13" s="52"/>
      <c r="AY13" s="53" t="n">
        <f aca="false">IF(AY$26,AX13,AZ13)</f>
        <v>30</v>
      </c>
      <c r="AZ13" s="54" t="n">
        <v>30</v>
      </c>
      <c r="BA13" s="52"/>
      <c r="BB13" s="53" t="n">
        <f aca="false">IF(BB$26,BA13,BC13)</f>
        <v>30</v>
      </c>
      <c r="BC13" s="54" t="n">
        <v>30</v>
      </c>
      <c r="BD13" s="52"/>
      <c r="BE13" s="53" t="n">
        <f aca="false">IF(BE$26,BD13,BF13)</f>
        <v>30</v>
      </c>
      <c r="BF13" s="54" t="n">
        <v>30</v>
      </c>
      <c r="BG13" s="52"/>
      <c r="BH13" s="53" t="n">
        <f aca="false">IF(BH$26,BG13,BI13)</f>
        <v>30</v>
      </c>
      <c r="BI13" s="54" t="n">
        <v>30</v>
      </c>
      <c r="BJ13" s="52"/>
      <c r="BK13" s="53" t="n">
        <f aca="false">IF(BK$26,BJ13,BL13)</f>
        <v>30</v>
      </c>
      <c r="BL13" s="54" t="n">
        <v>30</v>
      </c>
      <c r="BM13" s="52"/>
      <c r="BN13" s="53" t="n">
        <f aca="false">IF(BN$26,BM13,BO13)</f>
        <v>30</v>
      </c>
      <c r="BO13" s="54" t="n">
        <v>30</v>
      </c>
      <c r="BP13" s="52"/>
      <c r="BQ13" s="53" t="n">
        <f aca="false">IF(BQ$26,BP13,BR13)</f>
        <v>30</v>
      </c>
      <c r="BR13" s="54" t="n">
        <v>30</v>
      </c>
      <c r="BS13" s="52"/>
      <c r="BT13" s="53" t="n">
        <f aca="false">IF(BT$26,BS13,BU13)</f>
        <v>30</v>
      </c>
      <c r="BU13" s="54" t="n">
        <v>30</v>
      </c>
      <c r="BV13" s="52"/>
      <c r="BW13" s="53" t="n">
        <f aca="false">IF(BW$26,BV13,BX13)</f>
        <v>30</v>
      </c>
      <c r="BX13" s="54" t="n">
        <v>30</v>
      </c>
      <c r="BY13" s="52"/>
      <c r="BZ13" s="53" t="n">
        <f aca="false">IF(BZ$26,BY13,CA13)</f>
        <v>30</v>
      </c>
      <c r="CA13" s="54" t="n">
        <v>30</v>
      </c>
      <c r="CB13" s="52"/>
      <c r="CC13" s="53" t="n">
        <f aca="false">IF(CC$26,CB13,CD13)</f>
        <v>30</v>
      </c>
      <c r="CD13" s="54" t="n">
        <v>30</v>
      </c>
      <c r="CE13" s="52"/>
      <c r="CF13" s="53" t="n">
        <f aca="false">IF(CF$26,CE13,CG13)</f>
        <v>30</v>
      </c>
      <c r="CG13" s="54" t="n">
        <v>30</v>
      </c>
      <c r="CH13" s="52"/>
      <c r="CI13" s="53" t="n">
        <f aca="false">IF(CI$26,CH13,CJ13)</f>
        <v>30</v>
      </c>
      <c r="CJ13" s="54" t="n">
        <v>30</v>
      </c>
      <c r="CK13" s="52"/>
      <c r="CL13" s="53" t="n">
        <f aca="false">IF(CL$26,CK13,CM13)</f>
        <v>30</v>
      </c>
      <c r="CM13" s="54" t="n">
        <v>30</v>
      </c>
      <c r="CN13" s="52"/>
      <c r="CO13" s="53" t="n">
        <f aca="false">IF(CO$26,CN13,CP13)</f>
        <v>30</v>
      </c>
      <c r="CP13" s="54" t="n">
        <v>30</v>
      </c>
      <c r="CQ13" s="52"/>
      <c r="CR13" s="53" t="n">
        <f aca="false">IF(CR$26,CQ13,CS13)</f>
        <v>30</v>
      </c>
      <c r="CS13" s="54" t="n">
        <v>30</v>
      </c>
      <c r="CT13" s="52"/>
      <c r="CU13" s="53" t="n">
        <f aca="false">IF(CU$26,CT13,CV13)</f>
        <v>30</v>
      </c>
      <c r="CV13" s="54" t="n">
        <v>30</v>
      </c>
      <c r="CW13" s="52"/>
      <c r="CX13" s="53" t="n">
        <f aca="false">IF(CX$26,CW13,CY13)</f>
        <v>30</v>
      </c>
      <c r="CY13" s="54" t="n">
        <v>30</v>
      </c>
      <c r="CZ13" s="52"/>
      <c r="DA13" s="53" t="n">
        <f aca="false">IF(DA$26,CZ13,DB13)</f>
        <v>30</v>
      </c>
      <c r="DB13" s="54" t="n">
        <v>30</v>
      </c>
      <c r="DC13" s="52"/>
      <c r="DD13" s="53" t="n">
        <f aca="false">IF(DD$26,DC13,DE13)</f>
        <v>30</v>
      </c>
      <c r="DE13" s="54" t="n">
        <v>30</v>
      </c>
      <c r="DF13" s="52"/>
      <c r="DG13" s="53" t="n">
        <f aca="false">IF(DG$26,DF13,DH13)</f>
        <v>30</v>
      </c>
      <c r="DH13" s="54" t="n">
        <v>30</v>
      </c>
      <c r="DI13" s="52" t="n">
        <v>30</v>
      </c>
      <c r="DJ13" s="53" t="n">
        <f aca="false">IF(DJ$26,DI13,DK13)</f>
        <v>30</v>
      </c>
      <c r="DK13" s="54" t="n">
        <v>30</v>
      </c>
      <c r="DL13" s="52" t="n">
        <v>30</v>
      </c>
      <c r="DM13" s="53" t="n">
        <f aca="false">IF(DM$26,DL13,DN13)</f>
        <v>30</v>
      </c>
      <c r="DN13" s="54" t="n">
        <v>30</v>
      </c>
    </row>
    <row r="14" customFormat="false" ht="18" hidden="false" customHeight="true" outlineLevel="0" collapsed="false">
      <c r="A14" s="39" t="s">
        <v>138</v>
      </c>
      <c r="B14" s="43" t="str">
        <f aca="false">IFERROR(SUM(AR14,AO14,AL14,AI14,AF14,AC14,Z14,W14,T14,Q14,N14,K14)/COUNT(AR14,AO14,AL14,AI14,AF14,AC14,Z14,W14,T14,Q14,N14,K14),"")</f>
        <v/>
      </c>
      <c r="C14" s="43" t="n">
        <f aca="false">IFERROR(SUM(AS14,AP14,AM14,AJ14,AG14,AD14,AA14,X14,U14,R14,O14,L14)/COUNT(AS14,AP14,AM14,AJ14,AG14,AD14,AA14,X14,U14,R14,O14,L14),"")</f>
        <v>4</v>
      </c>
      <c r="D14" s="43" t="n">
        <f aca="false">IFERROR(SUM(AT14,AQ14,AN14,AK14,AH14,AE14,AB14,Y14,V14,S14,P14,M14)/COUNT(AT14,AQ14,AN14,AK14,AH14,AE14,AB14,Y14,V14,S14,P14,M14),"")</f>
        <v>4</v>
      </c>
      <c r="E14" s="43" t="str">
        <f aca="false">IFERROR(SUM(CB14,BY14,BV14,BS14,BP14,BM14,BJ14,BG14,BD14,BA14,AX14,AU14)/COUNT(CB14,BY14,BV14,BS14,BP14,BM14,BJ14,BG14,BD14,BA14,AX14,AU14),"")</f>
        <v/>
      </c>
      <c r="F14" s="43" t="n">
        <f aca="false">IFERROR(SUM(CC14,BZ14,BW14,BT14,BQ14,BN14,BK14,BH14,BE14,BB14,AY14,AV14)/COUNT(CC14,BZ14,BW14,BT14,BQ14,BN14,BK14,BH14,BE14,BB14,AY14,AV14),"")</f>
        <v>4</v>
      </c>
      <c r="G14" s="43" t="n">
        <f aca="false">IFERROR(SUM(CD14,CA14,BX14,BU14,BR14,BO14,BL14,BI14,BF14,BC14,AZ14,AW14)/COUNT(CD14,CA14,BX14,BU14,BR14,BO14,BL14,BI14,BF14,BC14,AZ14,AW14),"")</f>
        <v>4</v>
      </c>
      <c r="H14" s="43" t="n">
        <f aca="false">IFERROR(SUM(DL14,DI14,DF14,DC14,CZ14,CW14,CT14,CQ14,CN14,CK14,CH14,CE14)/COUNT(DL14,DI14,DF14,DC14,CZ14,CW14,CT14,CQ14,CN14,CK14,CH14,CE14),"")</f>
        <v>4</v>
      </c>
      <c r="I14" s="43" t="n">
        <f aca="false">IFERROR(SUM(DM14,DJ14,DG14,DD14,DA14,CX14,CU14,CR14,CO14,CL14,CI14,CF14)/COUNT(DM14,DJ14,DG14,DD14,DA14,CX14,CU14,CR14,CO14,CL14,CI14,CF14),"")</f>
        <v>4</v>
      </c>
      <c r="J14" s="43" t="n">
        <f aca="false">IFERROR(SUM(DN14,DK14,DH14,DE14,DB14,CY14,CV14,CS14,CP14,CM14,CJ14,CG14)/COUNT(DN14,DK14,DH14,DE14,DB14,CY14,CV14,CS14,CP14,CM14,CJ14,CG14),"")</f>
        <v>4</v>
      </c>
      <c r="K14" s="61"/>
      <c r="L14" s="45" t="n">
        <f aca="false">IF(L$26,K14,M14)</f>
        <v>4</v>
      </c>
      <c r="M14" s="62" t="n">
        <v>4</v>
      </c>
      <c r="N14" s="61"/>
      <c r="O14" s="45" t="n">
        <f aca="false">IF(O$26,N14,P14)</f>
        <v>4</v>
      </c>
      <c r="P14" s="62" t="n">
        <v>4</v>
      </c>
      <c r="Q14" s="61"/>
      <c r="R14" s="45" t="n">
        <f aca="false">IF(R$26,Q14,S14)</f>
        <v>4</v>
      </c>
      <c r="S14" s="62" t="n">
        <v>4</v>
      </c>
      <c r="T14" s="61"/>
      <c r="U14" s="45" t="n">
        <f aca="false">IF(U$26,T14,V14)</f>
        <v>4</v>
      </c>
      <c r="V14" s="62" t="n">
        <v>4</v>
      </c>
      <c r="W14" s="61"/>
      <c r="X14" s="45" t="n">
        <f aca="false">IF(X$26,W14,Y14)</f>
        <v>4</v>
      </c>
      <c r="Y14" s="62" t="n">
        <v>4</v>
      </c>
      <c r="Z14" s="61"/>
      <c r="AA14" s="45" t="n">
        <f aca="false">IF(AA$26,Z14,AB14)</f>
        <v>4</v>
      </c>
      <c r="AB14" s="62" t="n">
        <v>4</v>
      </c>
      <c r="AC14" s="61"/>
      <c r="AD14" s="45" t="n">
        <f aca="false">IF(AD$26,AC14,AE14)</f>
        <v>4</v>
      </c>
      <c r="AE14" s="62" t="n">
        <v>4</v>
      </c>
      <c r="AF14" s="61"/>
      <c r="AG14" s="45" t="n">
        <f aca="false">IF(AG$26,AF14,AH14)</f>
        <v>4</v>
      </c>
      <c r="AH14" s="62" t="n">
        <v>4</v>
      </c>
      <c r="AI14" s="61"/>
      <c r="AJ14" s="45" t="n">
        <f aca="false">IF(AJ$26,AI14,AK14)</f>
        <v>4</v>
      </c>
      <c r="AK14" s="62" t="n">
        <v>4</v>
      </c>
      <c r="AL14" s="61"/>
      <c r="AM14" s="45" t="n">
        <f aca="false">IF(AM$26,AL14,AN14)</f>
        <v>4</v>
      </c>
      <c r="AN14" s="62" t="n">
        <v>4</v>
      </c>
      <c r="AO14" s="61"/>
      <c r="AP14" s="45" t="n">
        <f aca="false">IF(AP$26,AO14,AQ14)</f>
        <v>4</v>
      </c>
      <c r="AQ14" s="62" t="n">
        <v>4</v>
      </c>
      <c r="AR14" s="61"/>
      <c r="AS14" s="45" t="n">
        <f aca="false">IF(AS$26,AR14,AT14)</f>
        <v>4</v>
      </c>
      <c r="AT14" s="62" t="n">
        <v>4</v>
      </c>
      <c r="AU14" s="61"/>
      <c r="AV14" s="45" t="n">
        <f aca="false">IF(AV$26,AU14,AW14)</f>
        <v>4</v>
      </c>
      <c r="AW14" s="62" t="n">
        <v>4</v>
      </c>
      <c r="AX14" s="61"/>
      <c r="AY14" s="45" t="n">
        <f aca="false">IF(AY$26,AX14,AZ14)</f>
        <v>4</v>
      </c>
      <c r="AZ14" s="62" t="n">
        <v>4</v>
      </c>
      <c r="BA14" s="61"/>
      <c r="BB14" s="45" t="n">
        <f aca="false">IF(BB$26,BA14,BC14)</f>
        <v>4</v>
      </c>
      <c r="BC14" s="62" t="n">
        <v>4</v>
      </c>
      <c r="BD14" s="61"/>
      <c r="BE14" s="45" t="n">
        <f aca="false">IF(BE$26,BD14,BF14)</f>
        <v>4</v>
      </c>
      <c r="BF14" s="62" t="n">
        <v>4</v>
      </c>
      <c r="BG14" s="61"/>
      <c r="BH14" s="45" t="n">
        <f aca="false">IF(BH$26,BG14,BI14)</f>
        <v>4</v>
      </c>
      <c r="BI14" s="62" t="n">
        <v>4</v>
      </c>
      <c r="BJ14" s="61"/>
      <c r="BK14" s="45" t="n">
        <f aca="false">IF(BK$26,BJ14,BL14)</f>
        <v>4</v>
      </c>
      <c r="BL14" s="62" t="n">
        <v>4</v>
      </c>
      <c r="BM14" s="61"/>
      <c r="BN14" s="45" t="n">
        <f aca="false">IF(BN$26,BM14,BO14)</f>
        <v>4</v>
      </c>
      <c r="BO14" s="62" t="n">
        <v>4</v>
      </c>
      <c r="BP14" s="61"/>
      <c r="BQ14" s="45" t="n">
        <f aca="false">IF(BQ$26,BP14,BR14)</f>
        <v>4</v>
      </c>
      <c r="BR14" s="62" t="n">
        <v>4</v>
      </c>
      <c r="BS14" s="61"/>
      <c r="BT14" s="45" t="n">
        <f aca="false">IF(BT$26,BS14,BU14)</f>
        <v>4</v>
      </c>
      <c r="BU14" s="62" t="n">
        <v>4</v>
      </c>
      <c r="BV14" s="61"/>
      <c r="BW14" s="45" t="n">
        <f aca="false">IF(BW$26,BV14,BX14)</f>
        <v>4</v>
      </c>
      <c r="BX14" s="62" t="n">
        <v>4</v>
      </c>
      <c r="BY14" s="61"/>
      <c r="BZ14" s="45" t="n">
        <f aca="false">IF(BZ$26,BY14,CA14)</f>
        <v>4</v>
      </c>
      <c r="CA14" s="62" t="n">
        <v>4</v>
      </c>
      <c r="CB14" s="61"/>
      <c r="CC14" s="45" t="n">
        <f aca="false">IF(CC$26,CB14,CD14)</f>
        <v>4</v>
      </c>
      <c r="CD14" s="62" t="n">
        <v>4</v>
      </c>
      <c r="CE14" s="61"/>
      <c r="CF14" s="45" t="n">
        <f aca="false">IF(CF$26,CE14,CG14)</f>
        <v>4</v>
      </c>
      <c r="CG14" s="62" t="n">
        <v>4</v>
      </c>
      <c r="CH14" s="61"/>
      <c r="CI14" s="45" t="n">
        <f aca="false">IF(CI$26,CH14,CJ14)</f>
        <v>4</v>
      </c>
      <c r="CJ14" s="62" t="n">
        <v>4</v>
      </c>
      <c r="CK14" s="61"/>
      <c r="CL14" s="45" t="n">
        <f aca="false">IF(CL$26,CK14,CM14)</f>
        <v>4</v>
      </c>
      <c r="CM14" s="62" t="n">
        <v>4</v>
      </c>
      <c r="CN14" s="61"/>
      <c r="CO14" s="45" t="n">
        <f aca="false">IF(CO$26,CN14,CP14)</f>
        <v>4</v>
      </c>
      <c r="CP14" s="62" t="n">
        <v>4</v>
      </c>
      <c r="CQ14" s="61"/>
      <c r="CR14" s="45" t="n">
        <f aca="false">IF(CR$26,CQ14,CS14)</f>
        <v>4</v>
      </c>
      <c r="CS14" s="62" t="n">
        <v>4</v>
      </c>
      <c r="CT14" s="61"/>
      <c r="CU14" s="45" t="n">
        <f aca="false">IF(CU$26,CT14,CV14)</f>
        <v>4</v>
      </c>
      <c r="CV14" s="62" t="n">
        <v>4</v>
      </c>
      <c r="CW14" s="61"/>
      <c r="CX14" s="45" t="n">
        <f aca="false">IF(CX$26,CW14,CY14)</f>
        <v>4</v>
      </c>
      <c r="CY14" s="62" t="n">
        <v>4</v>
      </c>
      <c r="CZ14" s="61"/>
      <c r="DA14" s="45" t="n">
        <f aca="false">IF(DA$26,CZ14,DB14)</f>
        <v>4</v>
      </c>
      <c r="DB14" s="62" t="n">
        <v>4</v>
      </c>
      <c r="DC14" s="61"/>
      <c r="DD14" s="45" t="n">
        <f aca="false">IF(DD$26,DC14,DE14)</f>
        <v>4</v>
      </c>
      <c r="DE14" s="62" t="n">
        <v>4</v>
      </c>
      <c r="DF14" s="61"/>
      <c r="DG14" s="45" t="n">
        <f aca="false">IF(DG$26,DF14,DH14)</f>
        <v>4</v>
      </c>
      <c r="DH14" s="62" t="n">
        <v>4</v>
      </c>
      <c r="DI14" s="61" t="n">
        <v>4</v>
      </c>
      <c r="DJ14" s="45" t="n">
        <f aca="false">IF(DJ$26,DI14,DK14)</f>
        <v>4</v>
      </c>
      <c r="DK14" s="62" t="n">
        <v>4</v>
      </c>
      <c r="DL14" s="61" t="n">
        <v>4</v>
      </c>
      <c r="DM14" s="45" t="n">
        <f aca="false">IF(DM$26,DL14,DN14)</f>
        <v>4</v>
      </c>
      <c r="DN14" s="62" t="n">
        <v>4</v>
      </c>
    </row>
    <row r="15" customFormat="false" ht="18" hidden="false" customHeight="true" outlineLevel="0" collapsed="false">
      <c r="A15" s="39" t="s">
        <v>139</v>
      </c>
      <c r="B15" s="43" t="str">
        <f aca="false">IFERROR(SUM(AR15*AR14,AO15*AO14,AL15*AL14,AI15*AI14,AF15*AF14,AC15*AC14,Z15*Z14,W15*W14,T15*T14,Q15*Q14,N15*N14,K15*K14)/SUM(AR14,AO14,AL14,AI14,AF14,AC14,Z14,W14,T14,Q14,N14,K14),"")</f>
        <v/>
      </c>
      <c r="C15" s="43" t="n">
        <f aca="false">IFERROR(SUM(AS15*AS14,AP15*AP14,AM15*AM14,AJ15*AJ14,AG15*AG14,AD15*AD14,AA15*AA14,X15*X14,U15*U14,R15*R14,O15*O14,L15*L14)/SUM(AS14,AP14,AM14,AJ14,AG14,AD14,AA14,X14,U14,R14,O14,L14),"")</f>
        <v>10</v>
      </c>
      <c r="D15" s="43" t="n">
        <f aca="false">IFERROR(SUM(AT15*AT14,AQ15*AQ14,AN15*AN14,AK15*AK14,AH15*AH14,AE15*AE14,AB15*AB14,Y15*Y14,V15*V14,S15*S14,P15*P14,M15*M14)/SUM(AT14,AQ14,AN14,AK14,AH14,AE14,AB14,Y14,V14,S14,P14,M14),"")</f>
        <v>10</v>
      </c>
      <c r="E15" s="43" t="str">
        <f aca="false">IFERROR(SUM(CB15*CB14,BY15*BY14,BV15*BV14,BS15*BS14,BP15*BP14,BM15*BM14,BJ15*BJ14,BG15*BG14,BD15*BD14,BA15*BA14,AX15*AX14,AU15*AU14)/SUM(CB14,BY14,BV14,BS14,BP14,BM14,BJ14,BG14,BD14,BA14,AX14,AU14),"")</f>
        <v/>
      </c>
      <c r="F15" s="43" t="n">
        <f aca="false">IFERROR(SUM(CC15*CC14,BZ15*BZ14,BW15*BW14,BT15*BT14,BQ15*BQ14,BN15*BN14,BK15*BK14,BH15*BH14,BE15*BE14,BB15*BB14,AY15*AY14,AV15*AV14)/SUM(CC14,BZ14,BW14,BT14,BQ14,BN14,BK14,BH14,BE14,BB14,AY14,AV14),"")</f>
        <v>10</v>
      </c>
      <c r="G15" s="43" t="n">
        <f aca="false">IFERROR(SUM(CD15*CD14,CA15*CA14,BX15*BX14,BU15*BU14,BR15*BR14,BO15*BO14,BL15*BL14,BI15*BI14,BF15*BF14,BC15*BC14,AZ15*AZ14,AW15*AW14)/SUM(CD14,CA14,BX14,BU14,BR14,BO14,BL14,BI14,BF14,BC14,AZ14,AW14),"")</f>
        <v>10</v>
      </c>
      <c r="H15" s="43" t="n">
        <f aca="false">IFERROR(SUM(DL15*DL14,DI15*DI14,DF15*DF14,DC15*DC14,CZ15*CZ14,CW15*CW14,CT15*CT14,CQ15*CQ14,CN15*CN14,CK15*CK14,CH15*CH14,CE15*CE14)/SUM(DL14,DI14,DF14,DC14,CZ14,CW14,CT14,CQ14,CN14,CK14,CH14,CE14),"")</f>
        <v>10</v>
      </c>
      <c r="I15" s="43" t="n">
        <f aca="false">IFERROR(SUM(DM15*DM14,DJ15*DJ14,DG15*DG14,DD15*DD14,DA15*DA14,CX15*CX14,CU15*CU14,CR15*CR14,CO15*CO14,CL15*CL14,CI15*CI14,CF15*CF14)/SUM(DM14,DJ14,DG14,DD14,DA14,CX14,CU14,CR14,CO14,CL14,CI14,CF14),"")</f>
        <v>10</v>
      </c>
      <c r="J15" s="43" t="n">
        <f aca="false">IFERROR(SUM(DN15*DN14,DK15*DK14,DH15*DH14,DE15*DE14,DB15*DB14,CY15*CY14,CV15*CV14,CS15*CS14,CP15*CP14,CM15*CM14,CJ15*CJ14,CG15*CG14)/SUM(DN14,DK14,DH14,DE14,DB14,CY14,CV14,CS14,CP14,CM14,CJ14,CG14),"")</f>
        <v>10</v>
      </c>
      <c r="K15" s="61"/>
      <c r="L15" s="45" t="n">
        <f aca="false">IF(L$26,K15,M15)</f>
        <v>10</v>
      </c>
      <c r="M15" s="62" t="n">
        <v>10</v>
      </c>
      <c r="N15" s="61"/>
      <c r="O15" s="45" t="n">
        <f aca="false">IF(O$26,N15,P15)</f>
        <v>10</v>
      </c>
      <c r="P15" s="62" t="n">
        <v>10</v>
      </c>
      <c r="Q15" s="61"/>
      <c r="R15" s="45" t="n">
        <f aca="false">IF(R$26,Q15,S15)</f>
        <v>10</v>
      </c>
      <c r="S15" s="62" t="n">
        <v>10</v>
      </c>
      <c r="T15" s="61"/>
      <c r="U15" s="45" t="n">
        <f aca="false">IF(U$26,T15,V15)</f>
        <v>10</v>
      </c>
      <c r="V15" s="62" t="n">
        <v>10</v>
      </c>
      <c r="W15" s="61"/>
      <c r="X15" s="45" t="n">
        <f aca="false">IF(X$26,W15,Y15)</f>
        <v>10</v>
      </c>
      <c r="Y15" s="62" t="n">
        <v>10</v>
      </c>
      <c r="Z15" s="61"/>
      <c r="AA15" s="45" t="n">
        <f aca="false">IF(AA$26,Z15,AB15)</f>
        <v>10</v>
      </c>
      <c r="AB15" s="62" t="n">
        <v>10</v>
      </c>
      <c r="AC15" s="61"/>
      <c r="AD15" s="45" t="n">
        <f aca="false">IF(AD$26,AC15,AE15)</f>
        <v>10</v>
      </c>
      <c r="AE15" s="62" t="n">
        <v>10</v>
      </c>
      <c r="AF15" s="61"/>
      <c r="AG15" s="45" t="n">
        <f aca="false">IF(AG$26,AF15,AH15)</f>
        <v>10</v>
      </c>
      <c r="AH15" s="62" t="n">
        <v>10</v>
      </c>
      <c r="AI15" s="61"/>
      <c r="AJ15" s="45" t="n">
        <f aca="false">IF(AJ$26,AI15,AK15)</f>
        <v>10</v>
      </c>
      <c r="AK15" s="62" t="n">
        <v>10</v>
      </c>
      <c r="AL15" s="61"/>
      <c r="AM15" s="45" t="n">
        <f aca="false">IF(AM$26,AL15,AN15)</f>
        <v>10</v>
      </c>
      <c r="AN15" s="62" t="n">
        <v>10</v>
      </c>
      <c r="AO15" s="61"/>
      <c r="AP15" s="45" t="n">
        <f aca="false">IF(AP$26,AO15,AQ15)</f>
        <v>10</v>
      </c>
      <c r="AQ15" s="62" t="n">
        <v>10</v>
      </c>
      <c r="AR15" s="61"/>
      <c r="AS15" s="45" t="n">
        <f aca="false">IF(AS$26,AR15,AT15)</f>
        <v>10</v>
      </c>
      <c r="AT15" s="62" t="n">
        <v>10</v>
      </c>
      <c r="AU15" s="61"/>
      <c r="AV15" s="45" t="n">
        <f aca="false">IF(AV$26,AU15,AW15)</f>
        <v>10</v>
      </c>
      <c r="AW15" s="62" t="n">
        <v>10</v>
      </c>
      <c r="AX15" s="61"/>
      <c r="AY15" s="45" t="n">
        <f aca="false">IF(AY$26,AX15,AZ15)</f>
        <v>10</v>
      </c>
      <c r="AZ15" s="62" t="n">
        <v>10</v>
      </c>
      <c r="BA15" s="61"/>
      <c r="BB15" s="45" t="n">
        <f aca="false">IF(BB$26,BA15,BC15)</f>
        <v>10</v>
      </c>
      <c r="BC15" s="62" t="n">
        <v>10</v>
      </c>
      <c r="BD15" s="61"/>
      <c r="BE15" s="45" t="n">
        <f aca="false">IF(BE$26,BD15,BF15)</f>
        <v>10</v>
      </c>
      <c r="BF15" s="62" t="n">
        <v>10</v>
      </c>
      <c r="BG15" s="61"/>
      <c r="BH15" s="45" t="n">
        <f aca="false">IF(BH$26,BG15,BI15)</f>
        <v>10</v>
      </c>
      <c r="BI15" s="62" t="n">
        <v>10</v>
      </c>
      <c r="BJ15" s="61"/>
      <c r="BK15" s="45" t="n">
        <f aca="false">IF(BK$26,BJ15,BL15)</f>
        <v>10</v>
      </c>
      <c r="BL15" s="62" t="n">
        <v>10</v>
      </c>
      <c r="BM15" s="61"/>
      <c r="BN15" s="45" t="n">
        <f aca="false">IF(BN$26,BM15,BO15)</f>
        <v>10</v>
      </c>
      <c r="BO15" s="62" t="n">
        <v>10</v>
      </c>
      <c r="BP15" s="61"/>
      <c r="BQ15" s="45" t="n">
        <f aca="false">IF(BQ$26,BP15,BR15)</f>
        <v>10</v>
      </c>
      <c r="BR15" s="62" t="n">
        <v>10</v>
      </c>
      <c r="BS15" s="61"/>
      <c r="BT15" s="45" t="n">
        <f aca="false">IF(BT$26,BS15,BU15)</f>
        <v>10</v>
      </c>
      <c r="BU15" s="62" t="n">
        <v>10</v>
      </c>
      <c r="BV15" s="61"/>
      <c r="BW15" s="45" t="n">
        <f aca="false">IF(BW$26,BV15,BX15)</f>
        <v>10</v>
      </c>
      <c r="BX15" s="62" t="n">
        <v>10</v>
      </c>
      <c r="BY15" s="61"/>
      <c r="BZ15" s="45" t="n">
        <f aca="false">IF(BZ$26,BY15,CA15)</f>
        <v>10</v>
      </c>
      <c r="CA15" s="62" t="n">
        <v>10</v>
      </c>
      <c r="CB15" s="61"/>
      <c r="CC15" s="45" t="n">
        <f aca="false">IF(CC$26,CB15,CD15)</f>
        <v>10</v>
      </c>
      <c r="CD15" s="62" t="n">
        <v>10</v>
      </c>
      <c r="CE15" s="61"/>
      <c r="CF15" s="45" t="n">
        <f aca="false">IF(CF$26,CE15,CG15)</f>
        <v>10</v>
      </c>
      <c r="CG15" s="62" t="n">
        <v>10</v>
      </c>
      <c r="CH15" s="61"/>
      <c r="CI15" s="45" t="n">
        <f aca="false">IF(CI$26,CH15,CJ15)</f>
        <v>10</v>
      </c>
      <c r="CJ15" s="62" t="n">
        <v>10</v>
      </c>
      <c r="CK15" s="61"/>
      <c r="CL15" s="45" t="n">
        <f aca="false">IF(CL$26,CK15,CM15)</f>
        <v>10</v>
      </c>
      <c r="CM15" s="62" t="n">
        <v>10</v>
      </c>
      <c r="CN15" s="61"/>
      <c r="CO15" s="45" t="n">
        <f aca="false">IF(CO$26,CN15,CP15)</f>
        <v>10</v>
      </c>
      <c r="CP15" s="62" t="n">
        <v>10</v>
      </c>
      <c r="CQ15" s="61"/>
      <c r="CR15" s="45" t="n">
        <f aca="false">IF(CR$26,CQ15,CS15)</f>
        <v>10</v>
      </c>
      <c r="CS15" s="62" t="n">
        <v>10</v>
      </c>
      <c r="CT15" s="61"/>
      <c r="CU15" s="45" t="n">
        <f aca="false">IF(CU$26,CT15,CV15)</f>
        <v>10</v>
      </c>
      <c r="CV15" s="62" t="n">
        <v>10</v>
      </c>
      <c r="CW15" s="61"/>
      <c r="CX15" s="45" t="n">
        <f aca="false">IF(CX$26,CW15,CY15)</f>
        <v>10</v>
      </c>
      <c r="CY15" s="62" t="n">
        <v>10</v>
      </c>
      <c r="CZ15" s="61"/>
      <c r="DA15" s="45" t="n">
        <f aca="false">IF(DA$26,CZ15,DB15)</f>
        <v>10</v>
      </c>
      <c r="DB15" s="62" t="n">
        <v>10</v>
      </c>
      <c r="DC15" s="61"/>
      <c r="DD15" s="45" t="n">
        <f aca="false">IF(DD$26,DC15,DE15)</f>
        <v>10</v>
      </c>
      <c r="DE15" s="62" t="n">
        <v>10</v>
      </c>
      <c r="DF15" s="61"/>
      <c r="DG15" s="45" t="n">
        <f aca="false">IF(DG$26,DF15,DH15)</f>
        <v>10</v>
      </c>
      <c r="DH15" s="62" t="n">
        <v>10</v>
      </c>
      <c r="DI15" s="61" t="n">
        <v>10</v>
      </c>
      <c r="DJ15" s="45" t="n">
        <f aca="false">IF(DJ$26,DI15,DK15)</f>
        <v>10</v>
      </c>
      <c r="DK15" s="62" t="n">
        <v>10</v>
      </c>
      <c r="DL15" s="61" t="n">
        <v>10</v>
      </c>
      <c r="DM15" s="45" t="n">
        <f aca="false">IF(DM$26,DL15,DN15)</f>
        <v>10</v>
      </c>
      <c r="DN15" s="62" t="n">
        <v>10</v>
      </c>
    </row>
    <row r="16" customFormat="false" ht="18" hidden="false" customHeight="true" outlineLevel="0" collapsed="false">
      <c r="A16" s="39" t="s">
        <v>140</v>
      </c>
      <c r="B16" s="43" t="n">
        <f aca="false">IF(COUNT(AR16,AO16,AL16,AI16,AF16,AC16,Z16,W16,T16,Q16,N16,K16)=0,"",SUM(AR16,AO16,AL16,AI16,AF16,AC16,Z16,W16,T16,Q16,N16,K16))</f>
        <v>0</v>
      </c>
      <c r="C16" s="43" t="n">
        <f aca="false">SUM(AS16,AP16,AM16,AJ16,AG16,AD16,AA16,X16,U16,R16,O16,L16)</f>
        <v>480</v>
      </c>
      <c r="D16" s="43" t="n">
        <f aca="false">SUM(AT16,AQ16,AN16,AK16,AH16,AE16,AB16,Y16,V16,S16,P16,M16)</f>
        <v>480</v>
      </c>
      <c r="E16" s="43" t="n">
        <f aca="false">IF(COUNT(CB16,BY16,BV16,BS16,BP16,BM16,BJ16,BG16,BD16,BA16,AX16,AU16)=0,"",SUM(CB16,BY16,BV16,BS16,BP16,BM16,BJ16,BG16,BD16,BA16,AX16,AU16))</f>
        <v>0</v>
      </c>
      <c r="F16" s="43" t="n">
        <f aca="false">SUM(CC16,BZ16,BW16,BT16,BQ16,BN16,BK16,BH16,BE16,BB16,AY16,AV16)</f>
        <v>480</v>
      </c>
      <c r="G16" s="43" t="n">
        <f aca="false">SUM(CD16,CA16,BX16,BU16,BR16,BO16,BL16,BI16,BF16,BC16,AZ16,AW16)</f>
        <v>480</v>
      </c>
      <c r="H16" s="43" t="n">
        <f aca="false">IF(COUNT(DL16,DI16,DF16,DC16,CZ16,CW16,CT16,CQ16,CN16,CK16,CH16,CE16)=0,"",SUM(DL16,DI16,DF16,DC16,CZ16,CW16,CT16,CQ16,CN16,CK16,CH16,CE16))</f>
        <v>80</v>
      </c>
      <c r="I16" s="43" t="n">
        <f aca="false">SUM(DM16,DJ16,DG16,DD16,DA16,CX16,CU16,CR16,CO16,CL16,CI16,CF16)</f>
        <v>480</v>
      </c>
      <c r="J16" s="43" t="n">
        <f aca="false">SUM(DN16,DK16,DH16,DE16,DB16,CY16,CV16,CS16,CP16,CM16,CJ16,CG16)</f>
        <v>480</v>
      </c>
      <c r="K16" s="44" t="n">
        <f aca="false">K14*K15</f>
        <v>0</v>
      </c>
      <c r="L16" s="45" t="n">
        <f aca="false">L14*L15</f>
        <v>40</v>
      </c>
      <c r="M16" s="46" t="n">
        <f aca="false">M14*M15</f>
        <v>40</v>
      </c>
      <c r="N16" s="44" t="n">
        <f aca="false">N14*N15</f>
        <v>0</v>
      </c>
      <c r="O16" s="45" t="n">
        <f aca="false">O14*O15</f>
        <v>40</v>
      </c>
      <c r="P16" s="46" t="n">
        <f aca="false">P14*P15</f>
        <v>40</v>
      </c>
      <c r="Q16" s="44" t="n">
        <f aca="false">Q14*Q15</f>
        <v>0</v>
      </c>
      <c r="R16" s="45" t="n">
        <f aca="false">R14*R15</f>
        <v>40</v>
      </c>
      <c r="S16" s="46" t="n">
        <f aca="false">S14*S15</f>
        <v>40</v>
      </c>
      <c r="T16" s="44" t="n">
        <f aca="false">T14*T15</f>
        <v>0</v>
      </c>
      <c r="U16" s="45" t="n">
        <f aca="false">U14*U15</f>
        <v>40</v>
      </c>
      <c r="V16" s="46" t="n">
        <f aca="false">V14*V15</f>
        <v>40</v>
      </c>
      <c r="W16" s="44" t="n">
        <f aca="false">W14*W15</f>
        <v>0</v>
      </c>
      <c r="X16" s="45" t="n">
        <f aca="false">X14*X15</f>
        <v>40</v>
      </c>
      <c r="Y16" s="46" t="n">
        <f aca="false">Y14*Y15</f>
        <v>40</v>
      </c>
      <c r="Z16" s="44" t="n">
        <f aca="false">Z14*Z15</f>
        <v>0</v>
      </c>
      <c r="AA16" s="45" t="n">
        <f aca="false">AA14*AA15</f>
        <v>40</v>
      </c>
      <c r="AB16" s="46" t="n">
        <f aca="false">AB14*AB15</f>
        <v>40</v>
      </c>
      <c r="AC16" s="44" t="n">
        <f aca="false">AC14*AC15</f>
        <v>0</v>
      </c>
      <c r="AD16" s="45" t="n">
        <f aca="false">AD14*AD15</f>
        <v>40</v>
      </c>
      <c r="AE16" s="46" t="n">
        <f aca="false">AE14*AE15</f>
        <v>40</v>
      </c>
      <c r="AF16" s="44" t="n">
        <f aca="false">AF14*AF15</f>
        <v>0</v>
      </c>
      <c r="AG16" s="45" t="n">
        <f aca="false">AG14*AG15</f>
        <v>40</v>
      </c>
      <c r="AH16" s="46" t="n">
        <f aca="false">AH14*AH15</f>
        <v>40</v>
      </c>
      <c r="AI16" s="44" t="n">
        <f aca="false">AI14*AI15</f>
        <v>0</v>
      </c>
      <c r="AJ16" s="45" t="n">
        <f aca="false">AJ14*AJ15</f>
        <v>40</v>
      </c>
      <c r="AK16" s="46" t="n">
        <f aca="false">AK14*AK15</f>
        <v>40</v>
      </c>
      <c r="AL16" s="44" t="n">
        <f aca="false">AL14*AL15</f>
        <v>0</v>
      </c>
      <c r="AM16" s="45" t="n">
        <f aca="false">AM14*AM15</f>
        <v>40</v>
      </c>
      <c r="AN16" s="46" t="n">
        <f aca="false">AN14*AN15</f>
        <v>40</v>
      </c>
      <c r="AO16" s="44" t="n">
        <f aca="false">AO14*AO15</f>
        <v>0</v>
      </c>
      <c r="AP16" s="45" t="n">
        <f aca="false">AP14*AP15</f>
        <v>40</v>
      </c>
      <c r="AQ16" s="46" t="n">
        <f aca="false">AQ14*AQ15</f>
        <v>40</v>
      </c>
      <c r="AR16" s="44" t="n">
        <f aca="false">AR14*AR15</f>
        <v>0</v>
      </c>
      <c r="AS16" s="45" t="n">
        <f aca="false">AS14*AS15</f>
        <v>40</v>
      </c>
      <c r="AT16" s="46" t="n">
        <f aca="false">AT14*AT15</f>
        <v>40</v>
      </c>
      <c r="AU16" s="44" t="n">
        <f aca="false">AU14*AU15</f>
        <v>0</v>
      </c>
      <c r="AV16" s="45" t="n">
        <f aca="false">AV14*AV15</f>
        <v>40</v>
      </c>
      <c r="AW16" s="46" t="n">
        <f aca="false">AW14*AW15</f>
        <v>40</v>
      </c>
      <c r="AX16" s="44" t="n">
        <f aca="false">AX14*AX15</f>
        <v>0</v>
      </c>
      <c r="AY16" s="45" t="n">
        <f aca="false">AY14*AY15</f>
        <v>40</v>
      </c>
      <c r="AZ16" s="46" t="n">
        <f aca="false">AZ14*AZ15</f>
        <v>40</v>
      </c>
      <c r="BA16" s="44" t="n">
        <f aca="false">BA14*BA15</f>
        <v>0</v>
      </c>
      <c r="BB16" s="45" t="n">
        <f aca="false">BB14*BB15</f>
        <v>40</v>
      </c>
      <c r="BC16" s="46" t="n">
        <f aca="false">BC14*BC15</f>
        <v>40</v>
      </c>
      <c r="BD16" s="44" t="n">
        <f aca="false">BD14*BD15</f>
        <v>0</v>
      </c>
      <c r="BE16" s="45" t="n">
        <f aca="false">BE14*BE15</f>
        <v>40</v>
      </c>
      <c r="BF16" s="46" t="n">
        <f aca="false">BF14*BF15</f>
        <v>40</v>
      </c>
      <c r="BG16" s="44" t="n">
        <f aca="false">BG14*BG15</f>
        <v>0</v>
      </c>
      <c r="BH16" s="45" t="n">
        <f aca="false">BH14*BH15</f>
        <v>40</v>
      </c>
      <c r="BI16" s="46" t="n">
        <f aca="false">BI14*BI15</f>
        <v>40</v>
      </c>
      <c r="BJ16" s="44" t="n">
        <f aca="false">BJ14*BJ15</f>
        <v>0</v>
      </c>
      <c r="BK16" s="45" t="n">
        <f aca="false">BK14*BK15</f>
        <v>40</v>
      </c>
      <c r="BL16" s="46" t="n">
        <f aca="false">BL14*BL15</f>
        <v>40</v>
      </c>
      <c r="BM16" s="44" t="n">
        <f aca="false">BM14*BM15</f>
        <v>0</v>
      </c>
      <c r="BN16" s="45" t="n">
        <f aca="false">BN14*BN15</f>
        <v>40</v>
      </c>
      <c r="BO16" s="46" t="n">
        <f aca="false">BO14*BO15</f>
        <v>40</v>
      </c>
      <c r="BP16" s="44" t="n">
        <f aca="false">BP14*BP15</f>
        <v>0</v>
      </c>
      <c r="BQ16" s="45" t="n">
        <f aca="false">BQ14*BQ15</f>
        <v>40</v>
      </c>
      <c r="BR16" s="46" t="n">
        <f aca="false">BR14*BR15</f>
        <v>40</v>
      </c>
      <c r="BS16" s="44" t="n">
        <f aca="false">BS14*BS15</f>
        <v>0</v>
      </c>
      <c r="BT16" s="45" t="n">
        <f aca="false">BT14*BT15</f>
        <v>40</v>
      </c>
      <c r="BU16" s="46" t="n">
        <f aca="false">BU14*BU15</f>
        <v>40</v>
      </c>
      <c r="BV16" s="44" t="n">
        <f aca="false">BV14*BV15</f>
        <v>0</v>
      </c>
      <c r="BW16" s="45" t="n">
        <f aca="false">BW14*BW15</f>
        <v>40</v>
      </c>
      <c r="BX16" s="46" t="n">
        <f aca="false">BX14*BX15</f>
        <v>40</v>
      </c>
      <c r="BY16" s="44" t="n">
        <f aca="false">BY14*BY15</f>
        <v>0</v>
      </c>
      <c r="BZ16" s="45" t="n">
        <f aca="false">BZ14*BZ15</f>
        <v>40</v>
      </c>
      <c r="CA16" s="46" t="n">
        <f aca="false">CA14*CA15</f>
        <v>40</v>
      </c>
      <c r="CB16" s="44" t="n">
        <f aca="false">CB14*CB15</f>
        <v>0</v>
      </c>
      <c r="CC16" s="45" t="n">
        <f aca="false">CC14*CC15</f>
        <v>40</v>
      </c>
      <c r="CD16" s="46" t="n">
        <f aca="false">CD14*CD15</f>
        <v>40</v>
      </c>
      <c r="CE16" s="44" t="n">
        <f aca="false">CE14*CE15</f>
        <v>0</v>
      </c>
      <c r="CF16" s="45" t="n">
        <f aca="false">CF14*CF15</f>
        <v>40</v>
      </c>
      <c r="CG16" s="46" t="n">
        <f aca="false">CG14*CG15</f>
        <v>40</v>
      </c>
      <c r="CH16" s="44" t="n">
        <f aca="false">CH14*CH15</f>
        <v>0</v>
      </c>
      <c r="CI16" s="45" t="n">
        <f aca="false">CI14*CI15</f>
        <v>40</v>
      </c>
      <c r="CJ16" s="46" t="n">
        <f aca="false">CJ14*CJ15</f>
        <v>40</v>
      </c>
      <c r="CK16" s="44" t="n">
        <f aca="false">CK14*CK15</f>
        <v>0</v>
      </c>
      <c r="CL16" s="45" t="n">
        <f aca="false">CL14*CL15</f>
        <v>40</v>
      </c>
      <c r="CM16" s="46" t="n">
        <f aca="false">CM14*CM15</f>
        <v>40</v>
      </c>
      <c r="CN16" s="44" t="n">
        <f aca="false">CN14*CN15</f>
        <v>0</v>
      </c>
      <c r="CO16" s="45" t="n">
        <f aca="false">CO14*CO15</f>
        <v>40</v>
      </c>
      <c r="CP16" s="46" t="n">
        <f aca="false">CP14*CP15</f>
        <v>40</v>
      </c>
      <c r="CQ16" s="44" t="n">
        <f aca="false">CQ14*CQ15</f>
        <v>0</v>
      </c>
      <c r="CR16" s="45" t="n">
        <f aca="false">CR14*CR15</f>
        <v>40</v>
      </c>
      <c r="CS16" s="46" t="n">
        <f aca="false">CS14*CS15</f>
        <v>40</v>
      </c>
      <c r="CT16" s="44" t="n">
        <f aca="false">CT14*CT15</f>
        <v>0</v>
      </c>
      <c r="CU16" s="45" t="n">
        <f aca="false">CU14*CU15</f>
        <v>40</v>
      </c>
      <c r="CV16" s="46" t="n">
        <f aca="false">CV14*CV15</f>
        <v>40</v>
      </c>
      <c r="CW16" s="44" t="n">
        <f aca="false">CW14*CW15</f>
        <v>0</v>
      </c>
      <c r="CX16" s="45" t="n">
        <f aca="false">CX14*CX15</f>
        <v>40</v>
      </c>
      <c r="CY16" s="46" t="n">
        <f aca="false">CY14*CY15</f>
        <v>40</v>
      </c>
      <c r="CZ16" s="44" t="n">
        <f aca="false">CZ14*CZ15</f>
        <v>0</v>
      </c>
      <c r="DA16" s="45" t="n">
        <f aca="false">DA14*DA15</f>
        <v>40</v>
      </c>
      <c r="DB16" s="46" t="n">
        <f aca="false">DB14*DB15</f>
        <v>40</v>
      </c>
      <c r="DC16" s="44" t="n">
        <f aca="false">DC14*DC15</f>
        <v>0</v>
      </c>
      <c r="DD16" s="45" t="n">
        <f aca="false">DD14*DD15</f>
        <v>40</v>
      </c>
      <c r="DE16" s="46" t="n">
        <f aca="false">DE14*DE15</f>
        <v>40</v>
      </c>
      <c r="DF16" s="44" t="n">
        <f aca="false">DF14*DF15</f>
        <v>0</v>
      </c>
      <c r="DG16" s="45" t="n">
        <f aca="false">DG14*DG15</f>
        <v>40</v>
      </c>
      <c r="DH16" s="46" t="n">
        <f aca="false">DH14*DH15</f>
        <v>40</v>
      </c>
      <c r="DI16" s="44" t="n">
        <f aca="false">DI14*DI15</f>
        <v>40</v>
      </c>
      <c r="DJ16" s="45" t="n">
        <f aca="false">DJ14*DJ15</f>
        <v>40</v>
      </c>
      <c r="DK16" s="46" t="n">
        <f aca="false">DK14*DK15</f>
        <v>40</v>
      </c>
      <c r="DL16" s="44" t="n">
        <f aca="false">DL14*DL15</f>
        <v>40</v>
      </c>
      <c r="DM16" s="45" t="n">
        <f aca="false">DM14*DM15</f>
        <v>40</v>
      </c>
      <c r="DN16" s="46" t="n">
        <f aca="false">DN14*DN15</f>
        <v>40</v>
      </c>
    </row>
    <row r="17" customFormat="false" ht="18" hidden="false" customHeight="true" outlineLevel="0" collapsed="false">
      <c r="A17" s="39" t="s">
        <v>141</v>
      </c>
      <c r="B17" s="43" t="str">
        <f aca="false">AR17</f>
        <v/>
      </c>
      <c r="C17" s="43" t="n">
        <f aca="false">AS17</f>
        <v>0</v>
      </c>
      <c r="D17" s="43" t="n">
        <f aca="false">AT17</f>
        <v>0</v>
      </c>
      <c r="E17" s="43" t="str">
        <f aca="false">CB17</f>
        <v/>
      </c>
      <c r="F17" s="43" t="n">
        <f aca="false">CC17</f>
        <v>0</v>
      </c>
      <c r="G17" s="43" t="n">
        <f aca="false">CD17</f>
        <v>0</v>
      </c>
      <c r="H17" s="43" t="n">
        <f aca="false">DL17</f>
        <v>0</v>
      </c>
      <c r="I17" s="43" t="n">
        <f aca="false">DM17</f>
        <v>0</v>
      </c>
      <c r="J17" s="43" t="n">
        <f aca="false">DN17</f>
        <v>0</v>
      </c>
      <c r="K17" s="44" t="str">
        <f aca="false">IF(K19="","",N20)</f>
        <v/>
      </c>
      <c r="L17" s="45" t="n">
        <f aca="false">O20</f>
        <v>0</v>
      </c>
      <c r="M17" s="46" t="n">
        <f aca="false">P20</f>
        <v>0</v>
      </c>
      <c r="N17" s="44" t="str">
        <f aca="false">IF(N19="","",Q20)</f>
        <v/>
      </c>
      <c r="O17" s="45" t="n">
        <f aca="false">R20</f>
        <v>0</v>
      </c>
      <c r="P17" s="46" t="n">
        <f aca="false">S20</f>
        <v>0</v>
      </c>
      <c r="Q17" s="44" t="str">
        <f aca="false">IF(Q19="","",T20)</f>
        <v/>
      </c>
      <c r="R17" s="45" t="n">
        <f aca="false">U20</f>
        <v>0</v>
      </c>
      <c r="S17" s="46" t="n">
        <f aca="false">V20</f>
        <v>0</v>
      </c>
      <c r="T17" s="44" t="str">
        <f aca="false">IF(T19="","",W20)</f>
        <v/>
      </c>
      <c r="U17" s="45" t="n">
        <f aca="false">X20</f>
        <v>0</v>
      </c>
      <c r="V17" s="46" t="n">
        <f aca="false">Y20</f>
        <v>0</v>
      </c>
      <c r="W17" s="44" t="str">
        <f aca="false">IF(W19="","",Z20)</f>
        <v/>
      </c>
      <c r="X17" s="45" t="n">
        <f aca="false">AA20</f>
        <v>0</v>
      </c>
      <c r="Y17" s="46" t="n">
        <f aca="false">AB20</f>
        <v>0</v>
      </c>
      <c r="Z17" s="44" t="str">
        <f aca="false">IF(Z19="","",AC20)</f>
        <v/>
      </c>
      <c r="AA17" s="45" t="n">
        <f aca="false">AD20</f>
        <v>0</v>
      </c>
      <c r="AB17" s="46" t="n">
        <f aca="false">AE20</f>
        <v>0</v>
      </c>
      <c r="AC17" s="44" t="str">
        <f aca="false">IF(AC19="","",AF20)</f>
        <v/>
      </c>
      <c r="AD17" s="45" t="n">
        <f aca="false">AG20</f>
        <v>0</v>
      </c>
      <c r="AE17" s="46" t="n">
        <f aca="false">AH20</f>
        <v>0</v>
      </c>
      <c r="AF17" s="44" t="str">
        <f aca="false">IF(AF19="","",AI20)</f>
        <v/>
      </c>
      <c r="AG17" s="45" t="n">
        <f aca="false">AJ20</f>
        <v>0</v>
      </c>
      <c r="AH17" s="46" t="n">
        <f aca="false">AK20</f>
        <v>0</v>
      </c>
      <c r="AI17" s="44" t="str">
        <f aca="false">IF(AI19="","",AL20)</f>
        <v/>
      </c>
      <c r="AJ17" s="45" t="n">
        <f aca="false">AM20</f>
        <v>0</v>
      </c>
      <c r="AK17" s="46" t="n">
        <f aca="false">AN20</f>
        <v>0</v>
      </c>
      <c r="AL17" s="44" t="str">
        <f aca="false">IF(AL19="","",AO20)</f>
        <v/>
      </c>
      <c r="AM17" s="45" t="n">
        <f aca="false">AP20</f>
        <v>0</v>
      </c>
      <c r="AN17" s="46" t="n">
        <f aca="false">AQ20</f>
        <v>0</v>
      </c>
      <c r="AO17" s="44" t="str">
        <f aca="false">IF(AO19="","",AR20)</f>
        <v/>
      </c>
      <c r="AP17" s="45" t="n">
        <f aca="false">AS20</f>
        <v>0</v>
      </c>
      <c r="AQ17" s="46" t="n">
        <f aca="false">AT20</f>
        <v>0</v>
      </c>
      <c r="AR17" s="44" t="str">
        <f aca="false">IF(AR19="","",AU20)</f>
        <v/>
      </c>
      <c r="AS17" s="45" t="n">
        <f aca="false">AV20</f>
        <v>0</v>
      </c>
      <c r="AT17" s="46" t="n">
        <f aca="false">AW20</f>
        <v>0</v>
      </c>
      <c r="AU17" s="44" t="str">
        <f aca="false">IF(AU19="","",AX20)</f>
        <v/>
      </c>
      <c r="AV17" s="45" t="n">
        <f aca="false">AY20</f>
        <v>0</v>
      </c>
      <c r="AW17" s="46" t="n">
        <f aca="false">AZ20</f>
        <v>0</v>
      </c>
      <c r="AX17" s="44" t="str">
        <f aca="false">IF(AX19="","",BA20)</f>
        <v/>
      </c>
      <c r="AY17" s="45" t="n">
        <f aca="false">BB20</f>
        <v>0</v>
      </c>
      <c r="AZ17" s="46" t="n">
        <f aca="false">BC20</f>
        <v>0</v>
      </c>
      <c r="BA17" s="44" t="str">
        <f aca="false">IF(BA19="","",BD20)</f>
        <v/>
      </c>
      <c r="BB17" s="45" t="n">
        <f aca="false">BE20</f>
        <v>0</v>
      </c>
      <c r="BC17" s="46" t="n">
        <f aca="false">BF20</f>
        <v>0</v>
      </c>
      <c r="BD17" s="44" t="str">
        <f aca="false">IF(BD19="","",BG20)</f>
        <v/>
      </c>
      <c r="BE17" s="45" t="n">
        <f aca="false">BH20</f>
        <v>0</v>
      </c>
      <c r="BF17" s="46" t="n">
        <f aca="false">BI20</f>
        <v>0</v>
      </c>
      <c r="BG17" s="44" t="str">
        <f aca="false">IF(BG19="","",BJ20)</f>
        <v/>
      </c>
      <c r="BH17" s="45" t="n">
        <f aca="false">BK20</f>
        <v>0</v>
      </c>
      <c r="BI17" s="46" t="n">
        <f aca="false">BL20</f>
        <v>0</v>
      </c>
      <c r="BJ17" s="44" t="str">
        <f aca="false">IF(BJ19="","",BM20)</f>
        <v/>
      </c>
      <c r="BK17" s="45" t="n">
        <f aca="false">BN20</f>
        <v>0</v>
      </c>
      <c r="BL17" s="46" t="n">
        <f aca="false">BO20</f>
        <v>0</v>
      </c>
      <c r="BM17" s="44" t="str">
        <f aca="false">IF(BM19="","",BP20)</f>
        <v/>
      </c>
      <c r="BN17" s="45" t="n">
        <f aca="false">BQ20</f>
        <v>0</v>
      </c>
      <c r="BO17" s="46" t="n">
        <f aca="false">BR20</f>
        <v>0</v>
      </c>
      <c r="BP17" s="44" t="str">
        <f aca="false">IF(BP19="","",BS20)</f>
        <v/>
      </c>
      <c r="BQ17" s="45" t="n">
        <f aca="false">BT20</f>
        <v>0</v>
      </c>
      <c r="BR17" s="46" t="n">
        <f aca="false">BU20</f>
        <v>0</v>
      </c>
      <c r="BS17" s="44" t="str">
        <f aca="false">IF(BS19="","",BV20)</f>
        <v/>
      </c>
      <c r="BT17" s="45" t="n">
        <f aca="false">BW20</f>
        <v>0</v>
      </c>
      <c r="BU17" s="46" t="n">
        <f aca="false">BX20</f>
        <v>0</v>
      </c>
      <c r="BV17" s="44" t="str">
        <f aca="false">IF(BV19="","",BY20)</f>
        <v/>
      </c>
      <c r="BW17" s="45" t="n">
        <f aca="false">BZ20</f>
        <v>0</v>
      </c>
      <c r="BX17" s="46" t="n">
        <f aca="false">CA20</f>
        <v>0</v>
      </c>
      <c r="BY17" s="44" t="str">
        <f aca="false">IF(BY19="","",CB20)</f>
        <v/>
      </c>
      <c r="BZ17" s="45" t="n">
        <f aca="false">CC20</f>
        <v>0</v>
      </c>
      <c r="CA17" s="46" t="n">
        <f aca="false">CD20</f>
        <v>0</v>
      </c>
      <c r="CB17" s="44" t="str">
        <f aca="false">IF(CB19="","",CE20)</f>
        <v/>
      </c>
      <c r="CC17" s="45" t="n">
        <f aca="false">CF20</f>
        <v>0</v>
      </c>
      <c r="CD17" s="46" t="n">
        <f aca="false">CG20</f>
        <v>0</v>
      </c>
      <c r="CE17" s="44" t="str">
        <f aca="false">IF(CE19="","",CH20)</f>
        <v/>
      </c>
      <c r="CF17" s="45" t="n">
        <f aca="false">CI20</f>
        <v>0</v>
      </c>
      <c r="CG17" s="46" t="n">
        <f aca="false">CJ20</f>
        <v>0</v>
      </c>
      <c r="CH17" s="44" t="str">
        <f aca="false">IF(CH19="","",CK20)</f>
        <v/>
      </c>
      <c r="CI17" s="45" t="n">
        <f aca="false">CL20</f>
        <v>0</v>
      </c>
      <c r="CJ17" s="46" t="n">
        <f aca="false">CM20</f>
        <v>0</v>
      </c>
      <c r="CK17" s="44" t="str">
        <f aca="false">IF(CK19="","",CN20)</f>
        <v/>
      </c>
      <c r="CL17" s="45" t="n">
        <f aca="false">CO20</f>
        <v>0</v>
      </c>
      <c r="CM17" s="46" t="n">
        <f aca="false">CP20</f>
        <v>0</v>
      </c>
      <c r="CN17" s="44" t="str">
        <f aca="false">IF(CN19="","",CQ20)</f>
        <v/>
      </c>
      <c r="CO17" s="45" t="n">
        <f aca="false">CR20</f>
        <v>0</v>
      </c>
      <c r="CP17" s="46" t="n">
        <f aca="false">CS20</f>
        <v>0</v>
      </c>
      <c r="CQ17" s="44" t="str">
        <f aca="false">IF(CQ19="","",CT20)</f>
        <v/>
      </c>
      <c r="CR17" s="45" t="n">
        <f aca="false">CU20</f>
        <v>0</v>
      </c>
      <c r="CS17" s="46" t="n">
        <f aca="false">CV20</f>
        <v>0</v>
      </c>
      <c r="CT17" s="44" t="str">
        <f aca="false">IF(CT19="","",CW20)</f>
        <v/>
      </c>
      <c r="CU17" s="45" t="n">
        <f aca="false">CX20</f>
        <v>0</v>
      </c>
      <c r="CV17" s="46" t="n">
        <f aca="false">CY20</f>
        <v>0</v>
      </c>
      <c r="CW17" s="44" t="str">
        <f aca="false">IF(CW19="","",CZ20)</f>
        <v/>
      </c>
      <c r="CX17" s="45" t="n">
        <f aca="false">DA20</f>
        <v>0</v>
      </c>
      <c r="CY17" s="46" t="n">
        <f aca="false">DB20</f>
        <v>0</v>
      </c>
      <c r="CZ17" s="44" t="str">
        <f aca="false">IF(CZ19="","",DC20)</f>
        <v/>
      </c>
      <c r="DA17" s="45" t="n">
        <f aca="false">DD20</f>
        <v>0</v>
      </c>
      <c r="DB17" s="46" t="n">
        <f aca="false">DE20</f>
        <v>0</v>
      </c>
      <c r="DC17" s="44" t="str">
        <f aca="false">IF(DC19="","",DF20)</f>
        <v/>
      </c>
      <c r="DD17" s="45" t="n">
        <f aca="false">DG20</f>
        <v>0</v>
      </c>
      <c r="DE17" s="46" t="n">
        <f aca="false">DH20</f>
        <v>0</v>
      </c>
      <c r="DF17" s="44" t="str">
        <f aca="false">IF(DF19="","",DI20)</f>
        <v/>
      </c>
      <c r="DG17" s="45" t="n">
        <f aca="false">DJ20</f>
        <v>8</v>
      </c>
      <c r="DH17" s="46" t="n">
        <f aca="false">DK20</f>
        <v>0</v>
      </c>
      <c r="DI17" s="44" t="n">
        <f aca="false">IF(DI19="","",DL20)</f>
        <v>0</v>
      </c>
      <c r="DJ17" s="45" t="n">
        <f aca="false">DM20</f>
        <v>0</v>
      </c>
      <c r="DK17" s="46" t="n">
        <f aca="false">DN20</f>
        <v>0</v>
      </c>
      <c r="DL17" s="44" t="n">
        <f aca="false">$DL$33</f>
        <v>0</v>
      </c>
      <c r="DM17" s="45" t="n">
        <f aca="false">$DL$33</f>
        <v>0</v>
      </c>
      <c r="DN17" s="46" t="n">
        <f aca="false">$DL$33</f>
        <v>0</v>
      </c>
    </row>
    <row r="18" customFormat="false" ht="18" hidden="false" customHeight="true" outlineLevel="0" collapsed="false">
      <c r="A18" s="39" t="s">
        <v>142</v>
      </c>
      <c r="B18" s="43" t="n">
        <f aca="false">IF(COUNT(AR18,AO18,AL18,AI18,AF18,AC18,Z18,W18,T18,Q18,N18,K18)=0,"",SUM(AR18,AO18,AL18,AI18,AF18,AC18,Z18,W18,T18,Q18,N18,K18))</f>
        <v>0</v>
      </c>
      <c r="C18" s="43" t="n">
        <f aca="false">SUM(AS18,AP18,AM18,AJ18,AG18,AD18,AA18,X18,U18,R18,O18,L18)</f>
        <v>436</v>
      </c>
      <c r="D18" s="43" t="n">
        <f aca="false">SUM(AT18,AQ18,AN18,AK18,AH18,AE18,AB18,Y18,V18,S18,P18,M18)</f>
        <v>436</v>
      </c>
      <c r="E18" s="43" t="n">
        <f aca="false">IF(COUNT(CB18,BY18,BV18,BS18,BP18,BM18,BJ18,BG18,BD18,BA18,AX18,AU18)=0,"",SUM(CB18,BY18,BV18,BS18,BP18,BM18,BJ18,BG18,BD18,BA18,AX18,AU18))</f>
        <v>0</v>
      </c>
      <c r="F18" s="43" t="n">
        <f aca="false">SUM(CC18,BZ18,BW18,BT18,BQ18,BN18,BK18,BH18,BE18,BB18,AY18,AV18)</f>
        <v>318</v>
      </c>
      <c r="G18" s="43" t="n">
        <f aca="false">SUM(CD18,CA18,BX18,BU18,BR18,BO18,BL18,BI18,BF18,BC18,AZ18,AW18)</f>
        <v>318</v>
      </c>
      <c r="H18" s="43" t="n">
        <f aca="false">IF(COUNT(DL18,DI18,DF18,DC18,CZ18,CW18,CT18,CQ18,CN18,CK18,CH18,CE18)=0,"",SUM(DL18,DI18,DF18,DC18,CZ18,CW18,CT18,CQ18,CN18,CK18,CH18,CE18))</f>
        <v>49</v>
      </c>
      <c r="I18" s="43" t="n">
        <f aca="false">SUM(DM18,DJ18,DG18,DD18,DA18,CX18,CU18,CR18,CO18,CL18,CI18,CF18)</f>
        <v>231</v>
      </c>
      <c r="J18" s="43" t="n">
        <f aca="false">SUM(DN18,DK18,DH18,DE18,DB18,CY18,CV18,CS18,CP18,CM18,CJ18,CG18)</f>
        <v>228</v>
      </c>
      <c r="K18" s="44" t="n">
        <f aca="false">ROUND(IF(EOMONTH(DATE(YEAR(Sales!$DL$1),MONTH(Sales!$DL$1),1)+INT((DAY(Sales!$DL$1)-1)/2)+'Cash Drivers'!DL$13,0)=EOMONTH($K$1,0),Sales!DL$6,0)+IF(EOMONTH(DATE(YEAR(Sales!$DI$1),MONTH(Sales!$DI$1),1)+INT((DAY(Sales!$DI$1)-1)/2)+'Cash Drivers'!DI$13,0)=EOMONTH($K$1,0),Sales!DI$6,0)+IF(EOMONTH(DATE(YEAR(Sales!$DF$1),MONTH(Sales!$DF$1),1)+INT((DAY(Sales!$DF$1)-1)/2)+'Cash Drivers'!DF$13,0)=EOMONTH($K$1,0),Sales!DF$6,0)+IF(EOMONTH(DATE(YEAR(Sales!$DC$1),MONTH(Sales!$DC$1),1)+INT((DAY(Sales!$DC$1)-1)/2)+'Cash Drivers'!DC$13,0)=EOMONTH($K$1,0),Sales!DC$6,0)+IF(EOMONTH(DATE(YEAR(Sales!$CZ$1),MONTH(Sales!$CZ$1),1)+INT((DAY(Sales!$CZ$1)-1)/2)+'Cash Drivers'!CZ$13,0)=EOMONTH($K$1,0),Sales!CZ$6,0)+IF(EOMONTH(DATE(YEAR(Sales!$CW$1),MONTH(Sales!$CW$1),1)+INT((DAY(Sales!$CW$1)-1)/2)+'Cash Drivers'!CW$13,0)=EOMONTH($K$1,0),Sales!CW$6,0)+IF(EOMONTH(DATE(YEAR(Sales!$CT$1),MONTH(Sales!$CT$1),1)+INT((DAY(Sales!$CT$1)-1)/2)+'Cash Drivers'!CT$13,0)=EOMONTH($K$1,0),Sales!CT$6,0)+IF(EOMONTH(DATE(YEAR(Sales!$CQ$1),MONTH(Sales!$CQ$1),1)+INT((DAY(Sales!$CQ$1)-1)/2)+'Cash Drivers'!CQ$13,0)=EOMONTH($K$1,0),Sales!CQ$6,0)+IF(EOMONTH(DATE(YEAR(Sales!$CN$1),MONTH(Sales!$CN$1),1)+INT((DAY(Sales!$CN$1)-1)/2)+'Cash Drivers'!CN$13,0)=EOMONTH($K$1,0),Sales!CN$6,0)+IF(EOMONTH(DATE(YEAR(Sales!$CK$1),MONTH(Sales!$CK$1),1)+INT((DAY(Sales!$CK$1)-1)/2)+'Cash Drivers'!CK$13,0)=EOMONTH($K$1,0),Sales!CK$6,0)+IF(EOMONTH(DATE(YEAR(Sales!$CH$1),MONTH(Sales!$CH$1),1)+INT((DAY(Sales!$CH$1)-1)/2)+'Cash Drivers'!CH$13,0)=EOMONTH($K$1,0),Sales!CH$6,0)+IF(EOMONTH(DATE(YEAR(Sales!$CE$1),MONTH(Sales!$CE$1),1)+INT((DAY(Sales!$CE$1)-1)/2)+'Cash Drivers'!CE$13,0)=EOMONTH($K$1,0),Sales!CE$6,0)+IF(EOMONTH(DATE(YEAR(Sales!$CB$1),MONTH(Sales!$CB$1),1)+INT((DAY(Sales!$CB$1)-1)/2)+'Cash Drivers'!CB$13,0)=EOMONTH($K$1,0),Sales!CB$6,0)+IF(EOMONTH(DATE(YEAR(Sales!$BY$1),MONTH(Sales!$BY$1),1)+INT((DAY(Sales!$BY$1)-1)/2)+'Cash Drivers'!BY$13,0)=EOMONTH($K$1,0),Sales!BY$6,0)+IF(EOMONTH(DATE(YEAR(Sales!$BV$1),MONTH(Sales!$BV$1),1)+INT((DAY(Sales!$BV$1)-1)/2)+'Cash Drivers'!BV$13,0)=EOMONTH($K$1,0),Sales!BV$6,0)+IF(EOMONTH(DATE(YEAR(Sales!$BS$1),MONTH(Sales!$BS$1),1)+INT((DAY(Sales!$BS$1)-1)/2)+'Cash Drivers'!BS$13,0)=EOMONTH($K$1,0),Sales!BS$6,0)+IF(EOMONTH(DATE(YEAR(Sales!$BP$1),MONTH(Sales!$BP$1),1)+INT((DAY(Sales!$BP$1)-1)/2)+'Cash Drivers'!BP$13,0)=EOMONTH($K$1,0),Sales!BP$6,0)+IF(EOMONTH(DATE(YEAR(Sales!$BM$1),MONTH(Sales!$BM$1),1)+INT((DAY(Sales!$BM$1)-1)/2)+'Cash Drivers'!BM$13,0)=EOMONTH($K$1,0),Sales!BM$6,0)+IF(EOMONTH(DATE(YEAR(Sales!$BJ$1),MONTH(Sales!$BJ$1),1)+INT((DAY(Sales!$BJ$1)-1)/2)+'Cash Drivers'!BJ$13,0)=EOMONTH($K$1,0),Sales!BJ$6,0)+IF(EOMONTH(DATE(YEAR(Sales!$BG$1),MONTH(Sales!$BG$1),1)+INT((DAY(Sales!$BG$1)-1)/2)+'Cash Drivers'!BG$13,0)=EOMONTH($K$1,0),Sales!BG$6,0)+IF(EOMONTH(DATE(YEAR(Sales!$BD$1),MONTH(Sales!$BD$1),1)+INT((DAY(Sales!$BD$1)-1)/2)+'Cash Drivers'!BD$13,0)=EOMONTH($K$1,0),Sales!BD$6,0)+IF(EOMONTH(DATE(YEAR(Sales!$BA$1),MONTH(Sales!$BA$1),1)+INT((DAY(Sales!$BA$1)-1)/2)+'Cash Drivers'!BA$13,0)=EOMONTH($K$1,0),Sales!BA$6,0)+IF(EOMONTH(DATE(YEAR(Sales!$AX$1),MONTH(Sales!$AX$1),1)+INT((DAY(Sales!$AX$1)-1)/2)+'Cash Drivers'!AX$13,0)=EOMONTH($K$1,0),Sales!AX$6,0)+IF(EOMONTH(DATE(YEAR(Sales!$AU$1),MONTH(Sales!$AU$1),1)+INT((DAY(Sales!$AU$1)-1)/2)+'Cash Drivers'!AU$13,0)=EOMONTH($K$1,0),Sales!AU$6,0)+IF(EOMONTH(DATE(YEAR(Sales!$AR$1),MONTH(Sales!$AR$1),1)+INT((DAY(Sales!$AR$1)-1)/2)+'Cash Drivers'!AR$13,0)=EOMONTH($K$1,0),Sales!AR$6,0)+IF(EOMONTH(DATE(YEAR(Sales!$AO$1),MONTH(Sales!$AO$1),1)+INT((DAY(Sales!$AO$1)-1)/2)+'Cash Drivers'!AO$13,0)=EOMONTH($K$1,0),Sales!AO$6,0)+IF(EOMONTH(DATE(YEAR(Sales!$AL$1),MONTH(Sales!$AL$1),1)+INT((DAY(Sales!$AL$1)-1)/2)+'Cash Drivers'!AL$13,0)=EOMONTH($K$1,0),Sales!AL$6,0)+IF(EOMONTH(DATE(YEAR(Sales!$AI$1),MONTH(Sales!$AI$1),1)+INT((DAY(Sales!$AI$1)-1)/2)+'Cash Drivers'!AI$13,0)=EOMONTH($K$1,0),Sales!AI$6,0)+IF(EOMONTH(DATE(YEAR(Sales!$AF$1),MONTH(Sales!$AF$1),1)+INT((DAY(Sales!$AF$1)-1)/2)+'Cash Drivers'!AF$13,0)=EOMONTH($K$1,0),Sales!AF$6,0)+IF(EOMONTH(DATE(YEAR(Sales!$AC$1),MONTH(Sales!$AC$1),1)+INT((DAY(Sales!$AC$1)-1)/2)+'Cash Drivers'!AC$13,0)=EOMONTH($K$1,0),Sales!AC$6,0)+IF(EOMONTH(DATE(YEAR(Sales!$Z$1),MONTH(Sales!$Z$1),1)+INT((DAY(Sales!$Z$1)-1)/2)+'Cash Drivers'!Z$13,0)=EOMONTH($K$1,0),Sales!Z$6,0)+IF(EOMONTH(DATE(YEAR(Sales!$W$1),MONTH(Sales!$W$1),1)+INT((DAY(Sales!$W$1)-1)/2)+'Cash Drivers'!W$13,0)=EOMONTH($K$1,0),Sales!W$6,0)+IF(EOMONTH(DATE(YEAR(Sales!$T$1),MONTH(Sales!$T$1),1)+INT((DAY(Sales!$T$1)-1)/2)+'Cash Drivers'!T$13,0)=EOMONTH($K$1,0),Sales!T$6,0)+IF(EOMONTH(DATE(YEAR(Sales!$Q$1),MONTH(Sales!$Q$1),1)+INT((DAY(Sales!$Q$1)-1)/2)+'Cash Drivers'!Q$13,0)=EOMONTH($K$1,0),Sales!Q$6,0)+IF(EOMONTH(DATE(YEAR(Sales!$N$1),MONTH(Sales!$N$1),1)+INT((DAY(Sales!$N$1)-1)/2)+'Cash Drivers'!N$13,0)=EOMONTH($K$1,0),Sales!N$6,0)+IF(EOMONTH(DATE(YEAR(Sales!$K$1),MONTH(Sales!$K$1),1)+INT((DAY(Sales!$K$1)-1)/2)+'Cash Drivers'!K$13,0)=EOMONTH($K$1,0),Sales!K$6,0)+IF(EOMONTH('Cash Drivers'!$DL$30+'Cash Drivers'!DL$13,0)=EOMONTH($K$1,0),'Cash Drivers'!$DL$32,0),0)</f>
        <v>0</v>
      </c>
      <c r="L18" s="45" t="n">
        <f aca="false">ROUND(IF(EOMONTH(DATE(YEAR(Sales!$DL$1),MONTH(Sales!$DL$1),1)+INT((DAY(Sales!$DL$1)-1)/2)+'Cash Drivers'!DM$13,0)=EOMONTH($K$1,0),Sales!DM$6,0)+IF(EOMONTH(DATE(YEAR(Sales!$DI$1),MONTH(Sales!$DI$1),1)+INT((DAY(Sales!$DI$1)-1)/2)+'Cash Drivers'!DJ$13,0)=EOMONTH($K$1,0),Sales!DJ$6,0)+IF(EOMONTH(DATE(YEAR(Sales!$DF$1),MONTH(Sales!$DF$1),1)+INT((DAY(Sales!$DF$1)-1)/2)+'Cash Drivers'!DG$13,0)=EOMONTH($K$1,0),Sales!DG$6,0)+IF(EOMONTH(DATE(YEAR(Sales!$DC$1),MONTH(Sales!$DC$1),1)+INT((DAY(Sales!$DC$1)-1)/2)+'Cash Drivers'!DD$13,0)=EOMONTH($K$1,0),Sales!DD$6,0)+IF(EOMONTH(DATE(YEAR(Sales!$CZ$1),MONTH(Sales!$CZ$1),1)+INT((DAY(Sales!$CZ$1)-1)/2)+'Cash Drivers'!DA$13,0)=EOMONTH($K$1,0),Sales!DA$6,0)+IF(EOMONTH(DATE(YEAR(Sales!$CW$1),MONTH(Sales!$CW$1),1)+INT((DAY(Sales!$CW$1)-1)/2)+'Cash Drivers'!CX$13,0)=EOMONTH($K$1,0),Sales!CX$6,0)+IF(EOMONTH(DATE(YEAR(Sales!$CT$1),MONTH(Sales!$CT$1),1)+INT((DAY(Sales!$CT$1)-1)/2)+'Cash Drivers'!CU$13,0)=EOMONTH($K$1,0),Sales!CU$6,0)+IF(EOMONTH(DATE(YEAR(Sales!$CQ$1),MONTH(Sales!$CQ$1),1)+INT((DAY(Sales!$CQ$1)-1)/2)+'Cash Drivers'!CR$13,0)=EOMONTH($K$1,0),Sales!CR$6,0)+IF(EOMONTH(DATE(YEAR(Sales!$CN$1),MONTH(Sales!$CN$1),1)+INT((DAY(Sales!$CN$1)-1)/2)+'Cash Drivers'!CO$13,0)=EOMONTH($K$1,0),Sales!CO$6,0)+IF(EOMONTH(DATE(YEAR(Sales!$CK$1),MONTH(Sales!$CK$1),1)+INT((DAY(Sales!$CK$1)-1)/2)+'Cash Drivers'!CL$13,0)=EOMONTH($K$1,0),Sales!CL$6,0)+IF(EOMONTH(DATE(YEAR(Sales!$CH$1),MONTH(Sales!$CH$1),1)+INT((DAY(Sales!$CH$1)-1)/2)+'Cash Drivers'!CI$13,0)=EOMONTH($K$1,0),Sales!CI$6,0)+IF(EOMONTH(DATE(YEAR(Sales!$CE$1),MONTH(Sales!$CE$1),1)+INT((DAY(Sales!$CE$1)-1)/2)+'Cash Drivers'!CF$13,0)=EOMONTH($K$1,0),Sales!CF$6,0)+IF(EOMONTH(DATE(YEAR(Sales!$CB$1),MONTH(Sales!$CB$1),1)+INT((DAY(Sales!$CB$1)-1)/2)+'Cash Drivers'!CC$13,0)=EOMONTH($K$1,0),Sales!CC$6,0)+IF(EOMONTH(DATE(YEAR(Sales!$BY$1),MONTH(Sales!$BY$1),1)+INT((DAY(Sales!$BY$1)-1)/2)+'Cash Drivers'!BZ$13,0)=EOMONTH($K$1,0),Sales!BZ$6,0)+IF(EOMONTH(DATE(YEAR(Sales!$BV$1),MONTH(Sales!$BV$1),1)+INT((DAY(Sales!$BV$1)-1)/2)+'Cash Drivers'!BW$13,0)=EOMONTH($K$1,0),Sales!BW$6,0)+IF(EOMONTH(DATE(YEAR(Sales!$BS$1),MONTH(Sales!$BS$1),1)+INT((DAY(Sales!$BS$1)-1)/2)+'Cash Drivers'!BT$13,0)=EOMONTH($K$1,0),Sales!BT$6,0)+IF(EOMONTH(DATE(YEAR(Sales!$BP$1),MONTH(Sales!$BP$1),1)+INT((DAY(Sales!$BP$1)-1)/2)+'Cash Drivers'!BQ$13,0)=EOMONTH($K$1,0),Sales!BQ$6,0)+IF(EOMONTH(DATE(YEAR(Sales!$BM$1),MONTH(Sales!$BM$1),1)+INT((DAY(Sales!$BM$1)-1)/2)+'Cash Drivers'!BN$13,0)=EOMONTH($K$1,0),Sales!BN$6,0)+IF(EOMONTH(DATE(YEAR(Sales!$BJ$1),MONTH(Sales!$BJ$1),1)+INT((DAY(Sales!$BJ$1)-1)/2)+'Cash Drivers'!BK$13,0)=EOMONTH($K$1,0),Sales!BK$6,0)+IF(EOMONTH(DATE(YEAR(Sales!$BG$1),MONTH(Sales!$BG$1),1)+INT((DAY(Sales!$BG$1)-1)/2)+'Cash Drivers'!BH$13,0)=EOMONTH($K$1,0),Sales!BH$6,0)+IF(EOMONTH(DATE(YEAR(Sales!$BD$1),MONTH(Sales!$BD$1),1)+INT((DAY(Sales!$BD$1)-1)/2)+'Cash Drivers'!BE$13,0)=EOMONTH($K$1,0),Sales!BE$6,0)+IF(EOMONTH(DATE(YEAR(Sales!$BA$1),MONTH(Sales!$BA$1),1)+INT((DAY(Sales!$BA$1)-1)/2)+'Cash Drivers'!BB$13,0)=EOMONTH($K$1,0),Sales!BB$6,0)+IF(EOMONTH(DATE(YEAR(Sales!$AX$1),MONTH(Sales!$AX$1),1)+INT((DAY(Sales!$AX$1)-1)/2)+'Cash Drivers'!AY$13,0)=EOMONTH($K$1,0),Sales!AY$6,0)+IF(EOMONTH(DATE(YEAR(Sales!$AU$1),MONTH(Sales!$AU$1),1)+INT((DAY(Sales!$AU$1)-1)/2)+'Cash Drivers'!AV$13,0)=EOMONTH($K$1,0),Sales!AV$6,0)+IF(EOMONTH(DATE(YEAR(Sales!$AR$1),MONTH(Sales!$AR$1),1)+INT((DAY(Sales!$AR$1)-1)/2)+'Cash Drivers'!AS$13,0)=EOMONTH($K$1,0),Sales!AS$6,0)+IF(EOMONTH(DATE(YEAR(Sales!$AO$1),MONTH(Sales!$AO$1),1)+INT((DAY(Sales!$AO$1)-1)/2)+'Cash Drivers'!AP$13,0)=EOMONTH($K$1,0),Sales!AP$6,0)+IF(EOMONTH(DATE(YEAR(Sales!$AL$1),MONTH(Sales!$AL$1),1)+INT((DAY(Sales!$AL$1)-1)/2)+'Cash Drivers'!AM$13,0)=EOMONTH($K$1,0),Sales!AM$6,0)+IF(EOMONTH(DATE(YEAR(Sales!$AI$1),MONTH(Sales!$AI$1),1)+INT((DAY(Sales!$AI$1)-1)/2)+'Cash Drivers'!AJ$13,0)=EOMONTH($K$1,0),Sales!AJ$6,0)+IF(EOMONTH(DATE(YEAR(Sales!$AF$1),MONTH(Sales!$AF$1),1)+INT((DAY(Sales!$AF$1)-1)/2)+'Cash Drivers'!AG$13,0)=EOMONTH($K$1,0),Sales!AG$6,0)+IF(EOMONTH(DATE(YEAR(Sales!$AC$1),MONTH(Sales!$AC$1),1)+INT((DAY(Sales!$AC$1)-1)/2)+'Cash Drivers'!AD$13,0)=EOMONTH($K$1,0),Sales!AD$6,0)+IF(EOMONTH(DATE(YEAR(Sales!$Z$1),MONTH(Sales!$Z$1),1)+INT((DAY(Sales!$Z$1)-1)/2)+'Cash Drivers'!AA$13,0)=EOMONTH($K$1,0),Sales!AA$6,0)+IF(EOMONTH(DATE(YEAR(Sales!$W$1),MONTH(Sales!$W$1),1)+INT((DAY(Sales!$W$1)-1)/2)+'Cash Drivers'!X$13,0)=EOMONTH($K$1,0),Sales!X$6,0)+IF(EOMONTH(DATE(YEAR(Sales!$T$1),MONTH(Sales!$T$1),1)+INT((DAY(Sales!$T$1)-1)/2)+'Cash Drivers'!U$13,0)=EOMONTH($K$1,0),Sales!U$6,0)+IF(EOMONTH(DATE(YEAR(Sales!$Q$1),MONTH(Sales!$Q$1),1)+INT((DAY(Sales!$Q$1)-1)/2)+'Cash Drivers'!R$13,0)=EOMONTH($K$1,0),Sales!R$6,0)+IF(EOMONTH(DATE(YEAR(Sales!$N$1),MONTH(Sales!$N$1),1)+INT((DAY(Sales!$N$1)-1)/2)+'Cash Drivers'!O$13,0)=EOMONTH($K$1,0),Sales!O$6,0)+IF(EOMONTH(DATE(YEAR(Sales!$K$1),MONTH(Sales!$K$1),1)+INT((DAY(Sales!$K$1)-1)/2)+'Cash Drivers'!L$13,0)=EOMONTH($K$1,0),Sales!L$6,0)+IF(EOMONTH('Cash Drivers'!$DL$30+'Cash Drivers'!DM$13,0)=EOMONTH($K$1,0),'Cash Drivers'!$DL$32,0),0)</f>
        <v>38</v>
      </c>
      <c r="M18" s="46" t="n">
        <f aca="false">ROUND(IF(EOMONTH(DATE(YEAR(Sales!$DL$1),MONTH(Sales!$DL$1),1)+INT((DAY(Sales!$DL$1)-1)/2)+'Cash Drivers'!DN$13,0)=EOMONTH($K$1,0),Sales!DN$6,0)+IF(EOMONTH(DATE(YEAR(Sales!$DI$1),MONTH(Sales!$DI$1),1)+INT((DAY(Sales!$DI$1)-1)/2)+'Cash Drivers'!DK$13,0)=EOMONTH($K$1,0),Sales!DK$6,0)+IF(EOMONTH(DATE(YEAR(Sales!$DF$1),MONTH(Sales!$DF$1),1)+INT((DAY(Sales!$DF$1)-1)/2)+'Cash Drivers'!DH$13,0)=EOMONTH($K$1,0),Sales!DH$6,0)+IF(EOMONTH(DATE(YEAR(Sales!$DC$1),MONTH(Sales!$DC$1),1)+INT((DAY(Sales!$DC$1)-1)/2)+'Cash Drivers'!DE$13,0)=EOMONTH($K$1,0),Sales!DE$6,0)+IF(EOMONTH(DATE(YEAR(Sales!$CZ$1),MONTH(Sales!$CZ$1),1)+INT((DAY(Sales!$CZ$1)-1)/2)+'Cash Drivers'!DB$13,0)=EOMONTH($K$1,0),Sales!DB$6,0)+IF(EOMONTH(DATE(YEAR(Sales!$CW$1),MONTH(Sales!$CW$1),1)+INT((DAY(Sales!$CW$1)-1)/2)+'Cash Drivers'!CY$13,0)=EOMONTH($K$1,0),Sales!CY$6,0)+IF(EOMONTH(DATE(YEAR(Sales!$CT$1),MONTH(Sales!$CT$1),1)+INT((DAY(Sales!$CT$1)-1)/2)+'Cash Drivers'!CV$13,0)=EOMONTH($K$1,0),Sales!CV$6,0)+IF(EOMONTH(DATE(YEAR(Sales!$CQ$1),MONTH(Sales!$CQ$1),1)+INT((DAY(Sales!$CQ$1)-1)/2)+'Cash Drivers'!CS$13,0)=EOMONTH($K$1,0),Sales!CS$6,0)+IF(EOMONTH(DATE(YEAR(Sales!$CN$1),MONTH(Sales!$CN$1),1)+INT((DAY(Sales!$CN$1)-1)/2)+'Cash Drivers'!CP$13,0)=EOMONTH($K$1,0),Sales!CP$6,0)+IF(EOMONTH(DATE(YEAR(Sales!$CK$1),MONTH(Sales!$CK$1),1)+INT((DAY(Sales!$CK$1)-1)/2)+'Cash Drivers'!CM$13,0)=EOMONTH($K$1,0),Sales!CM$6,0)+IF(EOMONTH(DATE(YEAR(Sales!$CH$1),MONTH(Sales!$CH$1),1)+INT((DAY(Sales!$CH$1)-1)/2)+'Cash Drivers'!CJ$13,0)=EOMONTH($K$1,0),Sales!CJ$6,0)+IF(EOMONTH(DATE(YEAR(Sales!$CE$1),MONTH(Sales!$CE$1),1)+INT((DAY(Sales!$CE$1)-1)/2)+'Cash Drivers'!CG$13,0)=EOMONTH($K$1,0),Sales!CG$6,0)+IF(EOMONTH(DATE(YEAR(Sales!$CB$1),MONTH(Sales!$CB$1),1)+INT((DAY(Sales!$CB$1)-1)/2)+'Cash Drivers'!CD$13,0)=EOMONTH($K$1,0),Sales!CD$6,0)+IF(EOMONTH(DATE(YEAR(Sales!$BY$1),MONTH(Sales!$BY$1),1)+INT((DAY(Sales!$BY$1)-1)/2)+'Cash Drivers'!CA$13,0)=EOMONTH($K$1,0),Sales!CA$6,0)+IF(EOMONTH(DATE(YEAR(Sales!$BV$1),MONTH(Sales!$BV$1),1)+INT((DAY(Sales!$BV$1)-1)/2)+'Cash Drivers'!BX$13,0)=EOMONTH($K$1,0),Sales!BX$6,0)+IF(EOMONTH(DATE(YEAR(Sales!$BS$1),MONTH(Sales!$BS$1),1)+INT((DAY(Sales!$BS$1)-1)/2)+'Cash Drivers'!BU$13,0)=EOMONTH($K$1,0),Sales!BU$6,0)+IF(EOMONTH(DATE(YEAR(Sales!$BP$1),MONTH(Sales!$BP$1),1)+INT((DAY(Sales!$BP$1)-1)/2)+'Cash Drivers'!BR$13,0)=EOMONTH($K$1,0),Sales!BR$6,0)+IF(EOMONTH(DATE(YEAR(Sales!$BM$1),MONTH(Sales!$BM$1),1)+INT((DAY(Sales!$BM$1)-1)/2)+'Cash Drivers'!BO$13,0)=EOMONTH($K$1,0),Sales!BO$6,0)+IF(EOMONTH(DATE(YEAR(Sales!$BJ$1),MONTH(Sales!$BJ$1),1)+INT((DAY(Sales!$BJ$1)-1)/2)+'Cash Drivers'!BL$13,0)=EOMONTH($K$1,0),Sales!BL$6,0)+IF(EOMONTH(DATE(YEAR(Sales!$BG$1),MONTH(Sales!$BG$1),1)+INT((DAY(Sales!$BG$1)-1)/2)+'Cash Drivers'!BI$13,0)=EOMONTH($K$1,0),Sales!BI$6,0)+IF(EOMONTH(DATE(YEAR(Sales!$BD$1),MONTH(Sales!$BD$1),1)+INT((DAY(Sales!$BD$1)-1)/2)+'Cash Drivers'!BF$13,0)=EOMONTH($K$1,0),Sales!BF$6,0)+IF(EOMONTH(DATE(YEAR(Sales!$BA$1),MONTH(Sales!$BA$1),1)+INT((DAY(Sales!$BA$1)-1)/2)+'Cash Drivers'!BC$13,0)=EOMONTH($K$1,0),Sales!BC$6,0)+IF(EOMONTH(DATE(YEAR(Sales!$AX$1),MONTH(Sales!$AX$1),1)+INT((DAY(Sales!$AX$1)-1)/2)+'Cash Drivers'!AZ$13,0)=EOMONTH($K$1,0),Sales!AZ$6,0)+IF(EOMONTH(DATE(YEAR(Sales!$AU$1),MONTH(Sales!$AU$1),1)+INT((DAY(Sales!$AU$1)-1)/2)+'Cash Drivers'!AW$13,0)=EOMONTH($K$1,0),Sales!AW$6,0)+IF(EOMONTH(DATE(YEAR(Sales!$AR$1),MONTH(Sales!$AR$1),1)+INT((DAY(Sales!$AR$1)-1)/2)+'Cash Drivers'!AT$13,0)=EOMONTH($K$1,0),Sales!AT$6,0)+IF(EOMONTH(DATE(YEAR(Sales!$AO$1),MONTH(Sales!$AO$1),1)+INT((DAY(Sales!$AO$1)-1)/2)+'Cash Drivers'!AQ$13,0)=EOMONTH($K$1,0),Sales!AQ$6,0)+IF(EOMONTH(DATE(YEAR(Sales!$AL$1),MONTH(Sales!$AL$1),1)+INT((DAY(Sales!$AL$1)-1)/2)+'Cash Drivers'!AN$13,0)=EOMONTH($K$1,0),Sales!AN$6,0)+IF(EOMONTH(DATE(YEAR(Sales!$AI$1),MONTH(Sales!$AI$1),1)+INT((DAY(Sales!$AI$1)-1)/2)+'Cash Drivers'!AK$13,0)=EOMONTH($K$1,0),Sales!AK$6,0)+IF(EOMONTH(DATE(YEAR(Sales!$AF$1),MONTH(Sales!$AF$1),1)+INT((DAY(Sales!$AF$1)-1)/2)+'Cash Drivers'!AH$13,0)=EOMONTH($K$1,0),Sales!AH$6,0)+IF(EOMONTH(DATE(YEAR(Sales!$AC$1),MONTH(Sales!$AC$1),1)+INT((DAY(Sales!$AC$1)-1)/2)+'Cash Drivers'!AE$13,0)=EOMONTH($K$1,0),Sales!AE$6,0)+IF(EOMONTH(DATE(YEAR(Sales!$Z$1),MONTH(Sales!$Z$1),1)+INT((DAY(Sales!$Z$1)-1)/2)+'Cash Drivers'!AB$13,0)=EOMONTH($K$1,0),Sales!AB$6,0)+IF(EOMONTH(DATE(YEAR(Sales!$W$1),MONTH(Sales!$W$1),1)+INT((DAY(Sales!$W$1)-1)/2)+'Cash Drivers'!Y$13,0)=EOMONTH($K$1,0),Sales!Y$6,0)+IF(EOMONTH(DATE(YEAR(Sales!$T$1),MONTH(Sales!$T$1),1)+INT((DAY(Sales!$T$1)-1)/2)+'Cash Drivers'!V$13,0)=EOMONTH($K$1,0),Sales!V$6,0)+IF(EOMONTH(DATE(YEAR(Sales!$Q$1),MONTH(Sales!$Q$1),1)+INT((DAY(Sales!$Q$1)-1)/2)+'Cash Drivers'!S$13,0)=EOMONTH($K$1,0),Sales!S$6,0)+IF(EOMONTH(DATE(YEAR(Sales!$N$1),MONTH(Sales!$N$1),1)+INT((DAY(Sales!$N$1)-1)/2)+'Cash Drivers'!P$13,0)=EOMONTH($K$1,0),Sales!P$6,0)+IF(EOMONTH(DATE(YEAR(Sales!$K$1),MONTH(Sales!$K$1),1)+INT((DAY(Sales!$K$1)-1)/2)+'Cash Drivers'!M$13,0)=EOMONTH($K$1,0),Sales!M$6,0)+IF(EOMONTH('Cash Drivers'!$DL$30+'Cash Drivers'!DN$13,0)=EOMONTH($K$1,0),'Cash Drivers'!$DL$32,0),0)</f>
        <v>38</v>
      </c>
      <c r="N18" s="44" t="n">
        <f aca="false">ROUND(IF(EOMONTH(DATE(YEAR(Sales!$DL$1),MONTH(Sales!$DL$1),1)+INT((DAY(Sales!$DL$1)-1)/2)+'Cash Drivers'!DL$13,0)=EOMONTH($N$1,0),Sales!DL$6,0)+IF(EOMONTH(DATE(YEAR(Sales!$DI$1),MONTH(Sales!$DI$1),1)+INT((DAY(Sales!$DI$1)-1)/2)+'Cash Drivers'!DI$13,0)=EOMONTH($N$1,0),Sales!DI$6,0)+IF(EOMONTH(DATE(YEAR(Sales!$DF$1),MONTH(Sales!$DF$1),1)+INT((DAY(Sales!$DF$1)-1)/2)+'Cash Drivers'!DF$13,0)=EOMONTH($N$1,0),Sales!DF$6,0)+IF(EOMONTH(DATE(YEAR(Sales!$DC$1),MONTH(Sales!$DC$1),1)+INT((DAY(Sales!$DC$1)-1)/2)+'Cash Drivers'!DC$13,0)=EOMONTH($N$1,0),Sales!DC$6,0)+IF(EOMONTH(DATE(YEAR(Sales!$CZ$1),MONTH(Sales!$CZ$1),1)+INT((DAY(Sales!$CZ$1)-1)/2)+'Cash Drivers'!CZ$13,0)=EOMONTH($N$1,0),Sales!CZ$6,0)+IF(EOMONTH(DATE(YEAR(Sales!$CW$1),MONTH(Sales!$CW$1),1)+INT((DAY(Sales!$CW$1)-1)/2)+'Cash Drivers'!CW$13,0)=EOMONTH($N$1,0),Sales!CW$6,0)+IF(EOMONTH(DATE(YEAR(Sales!$CT$1),MONTH(Sales!$CT$1),1)+INT((DAY(Sales!$CT$1)-1)/2)+'Cash Drivers'!CT$13,0)=EOMONTH($N$1,0),Sales!CT$6,0)+IF(EOMONTH(DATE(YEAR(Sales!$CQ$1),MONTH(Sales!$CQ$1),1)+INT((DAY(Sales!$CQ$1)-1)/2)+'Cash Drivers'!CQ$13,0)=EOMONTH($N$1,0),Sales!CQ$6,0)+IF(EOMONTH(DATE(YEAR(Sales!$CN$1),MONTH(Sales!$CN$1),1)+INT((DAY(Sales!$CN$1)-1)/2)+'Cash Drivers'!CN$13,0)=EOMONTH($N$1,0),Sales!CN$6,0)+IF(EOMONTH(DATE(YEAR(Sales!$CK$1),MONTH(Sales!$CK$1),1)+INT((DAY(Sales!$CK$1)-1)/2)+'Cash Drivers'!CK$13,0)=EOMONTH($N$1,0),Sales!CK$6,0)+IF(EOMONTH(DATE(YEAR(Sales!$CH$1),MONTH(Sales!$CH$1),1)+INT((DAY(Sales!$CH$1)-1)/2)+'Cash Drivers'!CH$13,0)=EOMONTH($N$1,0),Sales!CH$6,0)+IF(EOMONTH(DATE(YEAR(Sales!$CE$1),MONTH(Sales!$CE$1),1)+INT((DAY(Sales!$CE$1)-1)/2)+'Cash Drivers'!CE$13,0)=EOMONTH($N$1,0),Sales!CE$6,0)+IF(EOMONTH(DATE(YEAR(Sales!$CB$1),MONTH(Sales!$CB$1),1)+INT((DAY(Sales!$CB$1)-1)/2)+'Cash Drivers'!CB$13,0)=EOMONTH($N$1,0),Sales!CB$6,0)+IF(EOMONTH(DATE(YEAR(Sales!$BY$1),MONTH(Sales!$BY$1),1)+INT((DAY(Sales!$BY$1)-1)/2)+'Cash Drivers'!BY$13,0)=EOMONTH($N$1,0),Sales!BY$6,0)+IF(EOMONTH(DATE(YEAR(Sales!$BV$1),MONTH(Sales!$BV$1),1)+INT((DAY(Sales!$BV$1)-1)/2)+'Cash Drivers'!BV$13,0)=EOMONTH($N$1,0),Sales!BV$6,0)+IF(EOMONTH(DATE(YEAR(Sales!$BS$1),MONTH(Sales!$BS$1),1)+INT((DAY(Sales!$BS$1)-1)/2)+'Cash Drivers'!BS$13,0)=EOMONTH($N$1,0),Sales!BS$6,0)+IF(EOMONTH(DATE(YEAR(Sales!$BP$1),MONTH(Sales!$BP$1),1)+INT((DAY(Sales!$BP$1)-1)/2)+'Cash Drivers'!BP$13,0)=EOMONTH($N$1,0),Sales!BP$6,0)+IF(EOMONTH(DATE(YEAR(Sales!$BM$1),MONTH(Sales!$BM$1),1)+INT((DAY(Sales!$BM$1)-1)/2)+'Cash Drivers'!BM$13,0)=EOMONTH($N$1,0),Sales!BM$6,0)+IF(EOMONTH(DATE(YEAR(Sales!$BJ$1),MONTH(Sales!$BJ$1),1)+INT((DAY(Sales!$BJ$1)-1)/2)+'Cash Drivers'!BJ$13,0)=EOMONTH($N$1,0),Sales!BJ$6,0)+IF(EOMONTH(DATE(YEAR(Sales!$BG$1),MONTH(Sales!$BG$1),1)+INT((DAY(Sales!$BG$1)-1)/2)+'Cash Drivers'!BG$13,0)=EOMONTH($N$1,0),Sales!BG$6,0)+IF(EOMONTH(DATE(YEAR(Sales!$BD$1),MONTH(Sales!$BD$1),1)+INT((DAY(Sales!$BD$1)-1)/2)+'Cash Drivers'!BD$13,0)=EOMONTH($N$1,0),Sales!BD$6,0)+IF(EOMONTH(DATE(YEAR(Sales!$BA$1),MONTH(Sales!$BA$1),1)+INT((DAY(Sales!$BA$1)-1)/2)+'Cash Drivers'!BA$13,0)=EOMONTH($N$1,0),Sales!BA$6,0)+IF(EOMONTH(DATE(YEAR(Sales!$AX$1),MONTH(Sales!$AX$1),1)+INT((DAY(Sales!$AX$1)-1)/2)+'Cash Drivers'!AX$13,0)=EOMONTH($N$1,0),Sales!AX$6,0)+IF(EOMONTH(DATE(YEAR(Sales!$AU$1),MONTH(Sales!$AU$1),1)+INT((DAY(Sales!$AU$1)-1)/2)+'Cash Drivers'!AU$13,0)=EOMONTH($N$1,0),Sales!AU$6,0)+IF(EOMONTH(DATE(YEAR(Sales!$AR$1),MONTH(Sales!$AR$1),1)+INT((DAY(Sales!$AR$1)-1)/2)+'Cash Drivers'!AR$13,0)=EOMONTH($N$1,0),Sales!AR$6,0)+IF(EOMONTH(DATE(YEAR(Sales!$AO$1),MONTH(Sales!$AO$1),1)+INT((DAY(Sales!$AO$1)-1)/2)+'Cash Drivers'!AO$13,0)=EOMONTH($N$1,0),Sales!AO$6,0)+IF(EOMONTH(DATE(YEAR(Sales!$AL$1),MONTH(Sales!$AL$1),1)+INT((DAY(Sales!$AL$1)-1)/2)+'Cash Drivers'!AL$13,0)=EOMONTH($N$1,0),Sales!AL$6,0)+IF(EOMONTH(DATE(YEAR(Sales!$AI$1),MONTH(Sales!$AI$1),1)+INT((DAY(Sales!$AI$1)-1)/2)+'Cash Drivers'!AI$13,0)=EOMONTH($N$1,0),Sales!AI$6,0)+IF(EOMONTH(DATE(YEAR(Sales!$AF$1),MONTH(Sales!$AF$1),1)+INT((DAY(Sales!$AF$1)-1)/2)+'Cash Drivers'!AF$13,0)=EOMONTH($N$1,0),Sales!AF$6,0)+IF(EOMONTH(DATE(YEAR(Sales!$AC$1),MONTH(Sales!$AC$1),1)+INT((DAY(Sales!$AC$1)-1)/2)+'Cash Drivers'!AC$13,0)=EOMONTH($N$1,0),Sales!AC$6,0)+IF(EOMONTH(DATE(YEAR(Sales!$Z$1),MONTH(Sales!$Z$1),1)+INT((DAY(Sales!$Z$1)-1)/2)+'Cash Drivers'!Z$13,0)=EOMONTH($N$1,0),Sales!Z$6,0)+IF(EOMONTH(DATE(YEAR(Sales!$W$1),MONTH(Sales!$W$1),1)+INT((DAY(Sales!$W$1)-1)/2)+'Cash Drivers'!W$13,0)=EOMONTH($N$1,0),Sales!W$6,0)+IF(EOMONTH(DATE(YEAR(Sales!$T$1),MONTH(Sales!$T$1),1)+INT((DAY(Sales!$T$1)-1)/2)+'Cash Drivers'!T$13,0)=EOMONTH($N$1,0),Sales!T$6,0)+IF(EOMONTH(DATE(YEAR(Sales!$Q$1),MONTH(Sales!$Q$1),1)+INT((DAY(Sales!$Q$1)-1)/2)+'Cash Drivers'!Q$13,0)=EOMONTH($N$1,0),Sales!Q$6,0)+IF(EOMONTH(DATE(YEAR(Sales!$N$1),MONTH(Sales!$N$1),1)+INT((DAY(Sales!$N$1)-1)/2)+'Cash Drivers'!N$13,0)=EOMONTH($N$1,0),Sales!N$6,0)+IF(EOMONTH(DATE(YEAR(Sales!$K$1),MONTH(Sales!$K$1),1)+INT((DAY(Sales!$K$1)-1)/2)+'Cash Drivers'!K$13,0)=EOMONTH($N$1,0),Sales!K$6,0)+IF(EOMONTH('Cash Drivers'!$DL$30+'Cash Drivers'!DL$13,0)=EOMONTH($N$1,0),'Cash Drivers'!$DL$32,0),0)</f>
        <v>0</v>
      </c>
      <c r="O18" s="45" t="n">
        <f aca="false">ROUND(IF(EOMONTH(DATE(YEAR(Sales!$DL$1),MONTH(Sales!$DL$1),1)+INT((DAY(Sales!$DL$1)-1)/2)+'Cash Drivers'!DM$13,0)=EOMONTH($N$1,0),Sales!DM$6,0)+IF(EOMONTH(DATE(YEAR(Sales!$DI$1),MONTH(Sales!$DI$1),1)+INT((DAY(Sales!$DI$1)-1)/2)+'Cash Drivers'!DJ$13,0)=EOMONTH($N$1,0),Sales!DJ$6,0)+IF(EOMONTH(DATE(YEAR(Sales!$DF$1),MONTH(Sales!$DF$1),1)+INT((DAY(Sales!$DF$1)-1)/2)+'Cash Drivers'!DG$13,0)=EOMONTH($N$1,0),Sales!DG$6,0)+IF(EOMONTH(DATE(YEAR(Sales!$DC$1),MONTH(Sales!$DC$1),1)+INT((DAY(Sales!$DC$1)-1)/2)+'Cash Drivers'!DD$13,0)=EOMONTH($N$1,0),Sales!DD$6,0)+IF(EOMONTH(DATE(YEAR(Sales!$CZ$1),MONTH(Sales!$CZ$1),1)+INT((DAY(Sales!$CZ$1)-1)/2)+'Cash Drivers'!DA$13,0)=EOMONTH($N$1,0),Sales!DA$6,0)+IF(EOMONTH(DATE(YEAR(Sales!$CW$1),MONTH(Sales!$CW$1),1)+INT((DAY(Sales!$CW$1)-1)/2)+'Cash Drivers'!CX$13,0)=EOMONTH($N$1,0),Sales!CX$6,0)+IF(EOMONTH(DATE(YEAR(Sales!$CT$1),MONTH(Sales!$CT$1),1)+INT((DAY(Sales!$CT$1)-1)/2)+'Cash Drivers'!CU$13,0)=EOMONTH($N$1,0),Sales!CU$6,0)+IF(EOMONTH(DATE(YEAR(Sales!$CQ$1),MONTH(Sales!$CQ$1),1)+INT((DAY(Sales!$CQ$1)-1)/2)+'Cash Drivers'!CR$13,0)=EOMONTH($N$1,0),Sales!CR$6,0)+IF(EOMONTH(DATE(YEAR(Sales!$CN$1),MONTH(Sales!$CN$1),1)+INT((DAY(Sales!$CN$1)-1)/2)+'Cash Drivers'!CO$13,0)=EOMONTH($N$1,0),Sales!CO$6,0)+IF(EOMONTH(DATE(YEAR(Sales!$CK$1),MONTH(Sales!$CK$1),1)+INT((DAY(Sales!$CK$1)-1)/2)+'Cash Drivers'!CL$13,0)=EOMONTH($N$1,0),Sales!CL$6,0)+IF(EOMONTH(DATE(YEAR(Sales!$CH$1),MONTH(Sales!$CH$1),1)+INT((DAY(Sales!$CH$1)-1)/2)+'Cash Drivers'!CI$13,0)=EOMONTH($N$1,0),Sales!CI$6,0)+IF(EOMONTH(DATE(YEAR(Sales!$CE$1),MONTH(Sales!$CE$1),1)+INT((DAY(Sales!$CE$1)-1)/2)+'Cash Drivers'!CF$13,0)=EOMONTH($N$1,0),Sales!CF$6,0)+IF(EOMONTH(DATE(YEAR(Sales!$CB$1),MONTH(Sales!$CB$1),1)+INT((DAY(Sales!$CB$1)-1)/2)+'Cash Drivers'!CC$13,0)=EOMONTH($N$1,0),Sales!CC$6,0)+IF(EOMONTH(DATE(YEAR(Sales!$BY$1),MONTH(Sales!$BY$1),1)+INT((DAY(Sales!$BY$1)-1)/2)+'Cash Drivers'!BZ$13,0)=EOMONTH($N$1,0),Sales!BZ$6,0)+IF(EOMONTH(DATE(YEAR(Sales!$BV$1),MONTH(Sales!$BV$1),1)+INT((DAY(Sales!$BV$1)-1)/2)+'Cash Drivers'!BW$13,0)=EOMONTH($N$1,0),Sales!BW$6,0)+IF(EOMONTH(DATE(YEAR(Sales!$BS$1),MONTH(Sales!$BS$1),1)+INT((DAY(Sales!$BS$1)-1)/2)+'Cash Drivers'!BT$13,0)=EOMONTH($N$1,0),Sales!BT$6,0)+IF(EOMONTH(DATE(YEAR(Sales!$BP$1),MONTH(Sales!$BP$1),1)+INT((DAY(Sales!$BP$1)-1)/2)+'Cash Drivers'!BQ$13,0)=EOMONTH($N$1,0),Sales!BQ$6,0)+IF(EOMONTH(DATE(YEAR(Sales!$BM$1),MONTH(Sales!$BM$1),1)+INT((DAY(Sales!$BM$1)-1)/2)+'Cash Drivers'!BN$13,0)=EOMONTH($N$1,0),Sales!BN$6,0)+IF(EOMONTH(DATE(YEAR(Sales!$BJ$1),MONTH(Sales!$BJ$1),1)+INT((DAY(Sales!$BJ$1)-1)/2)+'Cash Drivers'!BK$13,0)=EOMONTH($N$1,0),Sales!BK$6,0)+IF(EOMONTH(DATE(YEAR(Sales!$BG$1),MONTH(Sales!$BG$1),1)+INT((DAY(Sales!$BG$1)-1)/2)+'Cash Drivers'!BH$13,0)=EOMONTH($N$1,0),Sales!BH$6,0)+IF(EOMONTH(DATE(YEAR(Sales!$BD$1),MONTH(Sales!$BD$1),1)+INT((DAY(Sales!$BD$1)-1)/2)+'Cash Drivers'!BE$13,0)=EOMONTH($N$1,0),Sales!BE$6,0)+IF(EOMONTH(DATE(YEAR(Sales!$BA$1),MONTH(Sales!$BA$1),1)+INT((DAY(Sales!$BA$1)-1)/2)+'Cash Drivers'!BB$13,0)=EOMONTH($N$1,0),Sales!BB$6,0)+IF(EOMONTH(DATE(YEAR(Sales!$AX$1),MONTH(Sales!$AX$1),1)+INT((DAY(Sales!$AX$1)-1)/2)+'Cash Drivers'!AY$13,0)=EOMONTH($N$1,0),Sales!AY$6,0)+IF(EOMONTH(DATE(YEAR(Sales!$AU$1),MONTH(Sales!$AU$1),1)+INT((DAY(Sales!$AU$1)-1)/2)+'Cash Drivers'!AV$13,0)=EOMONTH($N$1,0),Sales!AV$6,0)+IF(EOMONTH(DATE(YEAR(Sales!$AR$1),MONTH(Sales!$AR$1),1)+INT((DAY(Sales!$AR$1)-1)/2)+'Cash Drivers'!AS$13,0)=EOMONTH($N$1,0),Sales!AS$6,0)+IF(EOMONTH(DATE(YEAR(Sales!$AO$1),MONTH(Sales!$AO$1),1)+INT((DAY(Sales!$AO$1)-1)/2)+'Cash Drivers'!AP$13,0)=EOMONTH($N$1,0),Sales!AP$6,0)+IF(EOMONTH(DATE(YEAR(Sales!$AL$1),MONTH(Sales!$AL$1),1)+INT((DAY(Sales!$AL$1)-1)/2)+'Cash Drivers'!AM$13,0)=EOMONTH($N$1,0),Sales!AM$6,0)+IF(EOMONTH(DATE(YEAR(Sales!$AI$1),MONTH(Sales!$AI$1),1)+INT((DAY(Sales!$AI$1)-1)/2)+'Cash Drivers'!AJ$13,0)=EOMONTH($N$1,0),Sales!AJ$6,0)+IF(EOMONTH(DATE(YEAR(Sales!$AF$1),MONTH(Sales!$AF$1),1)+INT((DAY(Sales!$AF$1)-1)/2)+'Cash Drivers'!AG$13,0)=EOMONTH($N$1,0),Sales!AG$6,0)+IF(EOMONTH(DATE(YEAR(Sales!$AC$1),MONTH(Sales!$AC$1),1)+INT((DAY(Sales!$AC$1)-1)/2)+'Cash Drivers'!AD$13,0)=EOMONTH($N$1,0),Sales!AD$6,0)+IF(EOMONTH(DATE(YEAR(Sales!$Z$1),MONTH(Sales!$Z$1),1)+INT((DAY(Sales!$Z$1)-1)/2)+'Cash Drivers'!AA$13,0)=EOMONTH($N$1,0),Sales!AA$6,0)+IF(EOMONTH(DATE(YEAR(Sales!$W$1),MONTH(Sales!$W$1),1)+INT((DAY(Sales!$W$1)-1)/2)+'Cash Drivers'!X$13,0)=EOMONTH($N$1,0),Sales!X$6,0)+IF(EOMONTH(DATE(YEAR(Sales!$T$1),MONTH(Sales!$T$1),1)+INT((DAY(Sales!$T$1)-1)/2)+'Cash Drivers'!U$13,0)=EOMONTH($N$1,0),Sales!U$6,0)+IF(EOMONTH(DATE(YEAR(Sales!$Q$1),MONTH(Sales!$Q$1),1)+INT((DAY(Sales!$Q$1)-1)/2)+'Cash Drivers'!R$13,0)=EOMONTH($N$1,0),Sales!R$6,0)+IF(EOMONTH(DATE(YEAR(Sales!$N$1),MONTH(Sales!$N$1),1)+INT((DAY(Sales!$N$1)-1)/2)+'Cash Drivers'!O$13,0)=EOMONTH($N$1,0),Sales!O$6,0)+IF(EOMONTH(DATE(YEAR(Sales!$K$1),MONTH(Sales!$K$1),1)+INT((DAY(Sales!$K$1)-1)/2)+'Cash Drivers'!L$13,0)=EOMONTH($N$1,0),Sales!L$6,0)+IF(EOMONTH('Cash Drivers'!$DL$30+'Cash Drivers'!DM$13,0)=EOMONTH($N$1,0),'Cash Drivers'!$DL$32,0),0)</f>
        <v>38</v>
      </c>
      <c r="P18" s="46" t="n">
        <f aca="false">ROUND(IF(EOMONTH(DATE(YEAR(Sales!$DL$1),MONTH(Sales!$DL$1),1)+INT((DAY(Sales!$DL$1)-1)/2)+'Cash Drivers'!DN$13,0)=EOMONTH($N$1,0),Sales!DN$6,0)+IF(EOMONTH(DATE(YEAR(Sales!$DI$1),MONTH(Sales!$DI$1),1)+INT((DAY(Sales!$DI$1)-1)/2)+'Cash Drivers'!DK$13,0)=EOMONTH($N$1,0),Sales!DK$6,0)+IF(EOMONTH(DATE(YEAR(Sales!$DF$1),MONTH(Sales!$DF$1),1)+INT((DAY(Sales!$DF$1)-1)/2)+'Cash Drivers'!DH$13,0)=EOMONTH($N$1,0),Sales!DH$6,0)+IF(EOMONTH(DATE(YEAR(Sales!$DC$1),MONTH(Sales!$DC$1),1)+INT((DAY(Sales!$DC$1)-1)/2)+'Cash Drivers'!DE$13,0)=EOMONTH($N$1,0),Sales!DE$6,0)+IF(EOMONTH(DATE(YEAR(Sales!$CZ$1),MONTH(Sales!$CZ$1),1)+INT((DAY(Sales!$CZ$1)-1)/2)+'Cash Drivers'!DB$13,0)=EOMONTH($N$1,0),Sales!DB$6,0)+IF(EOMONTH(DATE(YEAR(Sales!$CW$1),MONTH(Sales!$CW$1),1)+INT((DAY(Sales!$CW$1)-1)/2)+'Cash Drivers'!CY$13,0)=EOMONTH($N$1,0),Sales!CY$6,0)+IF(EOMONTH(DATE(YEAR(Sales!$CT$1),MONTH(Sales!$CT$1),1)+INT((DAY(Sales!$CT$1)-1)/2)+'Cash Drivers'!CV$13,0)=EOMONTH($N$1,0),Sales!CV$6,0)+IF(EOMONTH(DATE(YEAR(Sales!$CQ$1),MONTH(Sales!$CQ$1),1)+INT((DAY(Sales!$CQ$1)-1)/2)+'Cash Drivers'!CS$13,0)=EOMONTH($N$1,0),Sales!CS$6,0)+IF(EOMONTH(DATE(YEAR(Sales!$CN$1),MONTH(Sales!$CN$1),1)+INT((DAY(Sales!$CN$1)-1)/2)+'Cash Drivers'!CP$13,0)=EOMONTH($N$1,0),Sales!CP$6,0)+IF(EOMONTH(DATE(YEAR(Sales!$CK$1),MONTH(Sales!$CK$1),1)+INT((DAY(Sales!$CK$1)-1)/2)+'Cash Drivers'!CM$13,0)=EOMONTH($N$1,0),Sales!CM$6,0)+IF(EOMONTH(DATE(YEAR(Sales!$CH$1),MONTH(Sales!$CH$1),1)+INT((DAY(Sales!$CH$1)-1)/2)+'Cash Drivers'!CJ$13,0)=EOMONTH($N$1,0),Sales!CJ$6,0)+IF(EOMONTH(DATE(YEAR(Sales!$CE$1),MONTH(Sales!$CE$1),1)+INT((DAY(Sales!$CE$1)-1)/2)+'Cash Drivers'!CG$13,0)=EOMONTH($N$1,0),Sales!CG$6,0)+IF(EOMONTH(DATE(YEAR(Sales!$CB$1),MONTH(Sales!$CB$1),1)+INT((DAY(Sales!$CB$1)-1)/2)+'Cash Drivers'!CD$13,0)=EOMONTH($N$1,0),Sales!CD$6,0)+IF(EOMONTH(DATE(YEAR(Sales!$BY$1),MONTH(Sales!$BY$1),1)+INT((DAY(Sales!$BY$1)-1)/2)+'Cash Drivers'!CA$13,0)=EOMONTH($N$1,0),Sales!CA$6,0)+IF(EOMONTH(DATE(YEAR(Sales!$BV$1),MONTH(Sales!$BV$1),1)+INT((DAY(Sales!$BV$1)-1)/2)+'Cash Drivers'!BX$13,0)=EOMONTH($N$1,0),Sales!BX$6,0)+IF(EOMONTH(DATE(YEAR(Sales!$BS$1),MONTH(Sales!$BS$1),1)+INT((DAY(Sales!$BS$1)-1)/2)+'Cash Drivers'!BU$13,0)=EOMONTH($N$1,0),Sales!BU$6,0)+IF(EOMONTH(DATE(YEAR(Sales!$BP$1),MONTH(Sales!$BP$1),1)+INT((DAY(Sales!$BP$1)-1)/2)+'Cash Drivers'!BR$13,0)=EOMONTH($N$1,0),Sales!BR$6,0)+IF(EOMONTH(DATE(YEAR(Sales!$BM$1),MONTH(Sales!$BM$1),1)+INT((DAY(Sales!$BM$1)-1)/2)+'Cash Drivers'!BO$13,0)=EOMONTH($N$1,0),Sales!BO$6,0)+IF(EOMONTH(DATE(YEAR(Sales!$BJ$1),MONTH(Sales!$BJ$1),1)+INT((DAY(Sales!$BJ$1)-1)/2)+'Cash Drivers'!BL$13,0)=EOMONTH($N$1,0),Sales!BL$6,0)+IF(EOMONTH(DATE(YEAR(Sales!$BG$1),MONTH(Sales!$BG$1),1)+INT((DAY(Sales!$BG$1)-1)/2)+'Cash Drivers'!BI$13,0)=EOMONTH($N$1,0),Sales!BI$6,0)+IF(EOMONTH(DATE(YEAR(Sales!$BD$1),MONTH(Sales!$BD$1),1)+INT((DAY(Sales!$BD$1)-1)/2)+'Cash Drivers'!BF$13,0)=EOMONTH($N$1,0),Sales!BF$6,0)+IF(EOMONTH(DATE(YEAR(Sales!$BA$1),MONTH(Sales!$BA$1),1)+INT((DAY(Sales!$BA$1)-1)/2)+'Cash Drivers'!BC$13,0)=EOMONTH($N$1,0),Sales!BC$6,0)+IF(EOMONTH(DATE(YEAR(Sales!$AX$1),MONTH(Sales!$AX$1),1)+INT((DAY(Sales!$AX$1)-1)/2)+'Cash Drivers'!AZ$13,0)=EOMONTH($N$1,0),Sales!AZ$6,0)+IF(EOMONTH(DATE(YEAR(Sales!$AU$1),MONTH(Sales!$AU$1),1)+INT((DAY(Sales!$AU$1)-1)/2)+'Cash Drivers'!AW$13,0)=EOMONTH($N$1,0),Sales!AW$6,0)+IF(EOMONTH(DATE(YEAR(Sales!$AR$1),MONTH(Sales!$AR$1),1)+INT((DAY(Sales!$AR$1)-1)/2)+'Cash Drivers'!AT$13,0)=EOMONTH($N$1,0),Sales!AT$6,0)+IF(EOMONTH(DATE(YEAR(Sales!$AO$1),MONTH(Sales!$AO$1),1)+INT((DAY(Sales!$AO$1)-1)/2)+'Cash Drivers'!AQ$13,0)=EOMONTH($N$1,0),Sales!AQ$6,0)+IF(EOMONTH(DATE(YEAR(Sales!$AL$1),MONTH(Sales!$AL$1),1)+INT((DAY(Sales!$AL$1)-1)/2)+'Cash Drivers'!AN$13,0)=EOMONTH($N$1,0),Sales!AN$6,0)+IF(EOMONTH(DATE(YEAR(Sales!$AI$1),MONTH(Sales!$AI$1),1)+INT((DAY(Sales!$AI$1)-1)/2)+'Cash Drivers'!AK$13,0)=EOMONTH($N$1,0),Sales!AK$6,0)+IF(EOMONTH(DATE(YEAR(Sales!$AF$1),MONTH(Sales!$AF$1),1)+INT((DAY(Sales!$AF$1)-1)/2)+'Cash Drivers'!AH$13,0)=EOMONTH($N$1,0),Sales!AH$6,0)+IF(EOMONTH(DATE(YEAR(Sales!$AC$1),MONTH(Sales!$AC$1),1)+INT((DAY(Sales!$AC$1)-1)/2)+'Cash Drivers'!AE$13,0)=EOMONTH($N$1,0),Sales!AE$6,0)+IF(EOMONTH(DATE(YEAR(Sales!$Z$1),MONTH(Sales!$Z$1),1)+INT((DAY(Sales!$Z$1)-1)/2)+'Cash Drivers'!AB$13,0)=EOMONTH($N$1,0),Sales!AB$6,0)+IF(EOMONTH(DATE(YEAR(Sales!$W$1),MONTH(Sales!$W$1),1)+INT((DAY(Sales!$W$1)-1)/2)+'Cash Drivers'!Y$13,0)=EOMONTH($N$1,0),Sales!Y$6,0)+IF(EOMONTH(DATE(YEAR(Sales!$T$1),MONTH(Sales!$T$1),1)+INT((DAY(Sales!$T$1)-1)/2)+'Cash Drivers'!V$13,0)=EOMONTH($N$1,0),Sales!V$6,0)+IF(EOMONTH(DATE(YEAR(Sales!$Q$1),MONTH(Sales!$Q$1),1)+INT((DAY(Sales!$Q$1)-1)/2)+'Cash Drivers'!S$13,0)=EOMONTH($N$1,0),Sales!S$6,0)+IF(EOMONTH(DATE(YEAR(Sales!$N$1),MONTH(Sales!$N$1),1)+INT((DAY(Sales!$N$1)-1)/2)+'Cash Drivers'!P$13,0)=EOMONTH($N$1,0),Sales!P$6,0)+IF(EOMONTH(DATE(YEAR(Sales!$K$1),MONTH(Sales!$K$1),1)+INT((DAY(Sales!$K$1)-1)/2)+'Cash Drivers'!M$13,0)=EOMONTH($N$1,0),Sales!M$6,0)+IF(EOMONTH('Cash Drivers'!$DL$30+'Cash Drivers'!DN$13,0)=EOMONTH($N$1,0),'Cash Drivers'!$DL$32,0),0)</f>
        <v>38</v>
      </c>
      <c r="Q18" s="44" t="n">
        <f aca="false">ROUND(IF(EOMONTH(DATE(YEAR(Sales!$DL$1),MONTH(Sales!$DL$1),1)+INT((DAY(Sales!$DL$1)-1)/2)+'Cash Drivers'!DL$13,0)=EOMONTH($Q$1,0),Sales!DL$6,0)+IF(EOMONTH(DATE(YEAR(Sales!$DI$1),MONTH(Sales!$DI$1),1)+INT((DAY(Sales!$DI$1)-1)/2)+'Cash Drivers'!DI$13,0)=EOMONTH($Q$1,0),Sales!DI$6,0)+IF(EOMONTH(DATE(YEAR(Sales!$DF$1),MONTH(Sales!$DF$1),1)+INT((DAY(Sales!$DF$1)-1)/2)+'Cash Drivers'!DF$13,0)=EOMONTH($Q$1,0),Sales!DF$6,0)+IF(EOMONTH(DATE(YEAR(Sales!$DC$1),MONTH(Sales!$DC$1),1)+INT((DAY(Sales!$DC$1)-1)/2)+'Cash Drivers'!DC$13,0)=EOMONTH($Q$1,0),Sales!DC$6,0)+IF(EOMONTH(DATE(YEAR(Sales!$CZ$1),MONTH(Sales!$CZ$1),1)+INT((DAY(Sales!$CZ$1)-1)/2)+'Cash Drivers'!CZ$13,0)=EOMONTH($Q$1,0),Sales!CZ$6,0)+IF(EOMONTH(DATE(YEAR(Sales!$CW$1),MONTH(Sales!$CW$1),1)+INT((DAY(Sales!$CW$1)-1)/2)+'Cash Drivers'!CW$13,0)=EOMONTH($Q$1,0),Sales!CW$6,0)+IF(EOMONTH(DATE(YEAR(Sales!$CT$1),MONTH(Sales!$CT$1),1)+INT((DAY(Sales!$CT$1)-1)/2)+'Cash Drivers'!CT$13,0)=EOMONTH($Q$1,0),Sales!CT$6,0)+IF(EOMONTH(DATE(YEAR(Sales!$CQ$1),MONTH(Sales!$CQ$1),1)+INT((DAY(Sales!$CQ$1)-1)/2)+'Cash Drivers'!CQ$13,0)=EOMONTH($Q$1,0),Sales!CQ$6,0)+IF(EOMONTH(DATE(YEAR(Sales!$CN$1),MONTH(Sales!$CN$1),1)+INT((DAY(Sales!$CN$1)-1)/2)+'Cash Drivers'!CN$13,0)=EOMONTH($Q$1,0),Sales!CN$6,0)+IF(EOMONTH(DATE(YEAR(Sales!$CK$1),MONTH(Sales!$CK$1),1)+INT((DAY(Sales!$CK$1)-1)/2)+'Cash Drivers'!CK$13,0)=EOMONTH($Q$1,0),Sales!CK$6,0)+IF(EOMONTH(DATE(YEAR(Sales!$CH$1),MONTH(Sales!$CH$1),1)+INT((DAY(Sales!$CH$1)-1)/2)+'Cash Drivers'!CH$13,0)=EOMONTH($Q$1,0),Sales!CH$6,0)+IF(EOMONTH(DATE(YEAR(Sales!$CE$1),MONTH(Sales!$CE$1),1)+INT((DAY(Sales!$CE$1)-1)/2)+'Cash Drivers'!CE$13,0)=EOMONTH($Q$1,0),Sales!CE$6,0)+IF(EOMONTH(DATE(YEAR(Sales!$CB$1),MONTH(Sales!$CB$1),1)+INT((DAY(Sales!$CB$1)-1)/2)+'Cash Drivers'!CB$13,0)=EOMONTH($Q$1,0),Sales!CB$6,0)+IF(EOMONTH(DATE(YEAR(Sales!$BY$1),MONTH(Sales!$BY$1),1)+INT((DAY(Sales!$BY$1)-1)/2)+'Cash Drivers'!BY$13,0)=EOMONTH($Q$1,0),Sales!BY$6,0)+IF(EOMONTH(DATE(YEAR(Sales!$BV$1),MONTH(Sales!$BV$1),1)+INT((DAY(Sales!$BV$1)-1)/2)+'Cash Drivers'!BV$13,0)=EOMONTH($Q$1,0),Sales!BV$6,0)+IF(EOMONTH(DATE(YEAR(Sales!$BS$1),MONTH(Sales!$BS$1),1)+INT((DAY(Sales!$BS$1)-1)/2)+'Cash Drivers'!BS$13,0)=EOMONTH($Q$1,0),Sales!BS$6,0)+IF(EOMONTH(DATE(YEAR(Sales!$BP$1),MONTH(Sales!$BP$1),1)+INT((DAY(Sales!$BP$1)-1)/2)+'Cash Drivers'!BP$13,0)=EOMONTH($Q$1,0),Sales!BP$6,0)+IF(EOMONTH(DATE(YEAR(Sales!$BM$1),MONTH(Sales!$BM$1),1)+INT((DAY(Sales!$BM$1)-1)/2)+'Cash Drivers'!BM$13,0)=EOMONTH($Q$1,0),Sales!BM$6,0)+IF(EOMONTH(DATE(YEAR(Sales!$BJ$1),MONTH(Sales!$BJ$1),1)+INT((DAY(Sales!$BJ$1)-1)/2)+'Cash Drivers'!BJ$13,0)=EOMONTH($Q$1,0),Sales!BJ$6,0)+IF(EOMONTH(DATE(YEAR(Sales!$BG$1),MONTH(Sales!$BG$1),1)+INT((DAY(Sales!$BG$1)-1)/2)+'Cash Drivers'!BG$13,0)=EOMONTH($Q$1,0),Sales!BG$6,0)+IF(EOMONTH(DATE(YEAR(Sales!$BD$1),MONTH(Sales!$BD$1),1)+INT((DAY(Sales!$BD$1)-1)/2)+'Cash Drivers'!BD$13,0)=EOMONTH($Q$1,0),Sales!BD$6,0)+IF(EOMONTH(DATE(YEAR(Sales!$BA$1),MONTH(Sales!$BA$1),1)+INT((DAY(Sales!$BA$1)-1)/2)+'Cash Drivers'!BA$13,0)=EOMONTH($Q$1,0),Sales!BA$6,0)+IF(EOMONTH(DATE(YEAR(Sales!$AX$1),MONTH(Sales!$AX$1),1)+INT((DAY(Sales!$AX$1)-1)/2)+'Cash Drivers'!AX$13,0)=EOMONTH($Q$1,0),Sales!AX$6,0)+IF(EOMONTH(DATE(YEAR(Sales!$AU$1),MONTH(Sales!$AU$1),1)+INT((DAY(Sales!$AU$1)-1)/2)+'Cash Drivers'!AU$13,0)=EOMONTH($Q$1,0),Sales!AU$6,0)+IF(EOMONTH(DATE(YEAR(Sales!$AR$1),MONTH(Sales!$AR$1),1)+INT((DAY(Sales!$AR$1)-1)/2)+'Cash Drivers'!AR$13,0)=EOMONTH($Q$1,0),Sales!AR$6,0)+IF(EOMONTH(DATE(YEAR(Sales!$AO$1),MONTH(Sales!$AO$1),1)+INT((DAY(Sales!$AO$1)-1)/2)+'Cash Drivers'!AO$13,0)=EOMONTH($Q$1,0),Sales!AO$6,0)+IF(EOMONTH(DATE(YEAR(Sales!$AL$1),MONTH(Sales!$AL$1),1)+INT((DAY(Sales!$AL$1)-1)/2)+'Cash Drivers'!AL$13,0)=EOMONTH($Q$1,0),Sales!AL$6,0)+IF(EOMONTH(DATE(YEAR(Sales!$AI$1),MONTH(Sales!$AI$1),1)+INT((DAY(Sales!$AI$1)-1)/2)+'Cash Drivers'!AI$13,0)=EOMONTH($Q$1,0),Sales!AI$6,0)+IF(EOMONTH(DATE(YEAR(Sales!$AF$1),MONTH(Sales!$AF$1),1)+INT((DAY(Sales!$AF$1)-1)/2)+'Cash Drivers'!AF$13,0)=EOMONTH($Q$1,0),Sales!AF$6,0)+IF(EOMONTH(DATE(YEAR(Sales!$AC$1),MONTH(Sales!$AC$1),1)+INT((DAY(Sales!$AC$1)-1)/2)+'Cash Drivers'!AC$13,0)=EOMONTH($Q$1,0),Sales!AC$6,0)+IF(EOMONTH(DATE(YEAR(Sales!$Z$1),MONTH(Sales!$Z$1),1)+INT((DAY(Sales!$Z$1)-1)/2)+'Cash Drivers'!Z$13,0)=EOMONTH($Q$1,0),Sales!Z$6,0)+IF(EOMONTH(DATE(YEAR(Sales!$W$1),MONTH(Sales!$W$1),1)+INT((DAY(Sales!$W$1)-1)/2)+'Cash Drivers'!W$13,0)=EOMONTH($Q$1,0),Sales!W$6,0)+IF(EOMONTH(DATE(YEAR(Sales!$T$1),MONTH(Sales!$T$1),1)+INT((DAY(Sales!$T$1)-1)/2)+'Cash Drivers'!T$13,0)=EOMONTH($Q$1,0),Sales!T$6,0)+IF(EOMONTH(DATE(YEAR(Sales!$Q$1),MONTH(Sales!$Q$1),1)+INT((DAY(Sales!$Q$1)-1)/2)+'Cash Drivers'!Q$13,0)=EOMONTH($Q$1,0),Sales!Q$6,0)+IF(EOMONTH(DATE(YEAR(Sales!$N$1),MONTH(Sales!$N$1),1)+INT((DAY(Sales!$N$1)-1)/2)+'Cash Drivers'!N$13,0)=EOMONTH($Q$1,0),Sales!N$6,0)+IF(EOMONTH(DATE(YEAR(Sales!$K$1),MONTH(Sales!$K$1),1)+INT((DAY(Sales!$K$1)-1)/2)+'Cash Drivers'!K$13,0)=EOMONTH($Q$1,0),Sales!K$6,0)+IF(EOMONTH('Cash Drivers'!$DL$30+'Cash Drivers'!DL$13,0)=EOMONTH($Q$1,0),'Cash Drivers'!$DL$32,0),0)</f>
        <v>0</v>
      </c>
      <c r="R18" s="45" t="n">
        <f aca="false">ROUND(IF(EOMONTH(DATE(YEAR(Sales!$DL$1),MONTH(Sales!$DL$1),1)+INT((DAY(Sales!$DL$1)-1)/2)+'Cash Drivers'!DM$13,0)=EOMONTH($Q$1,0),Sales!DM$6,0)+IF(EOMONTH(DATE(YEAR(Sales!$DI$1),MONTH(Sales!$DI$1),1)+INT((DAY(Sales!$DI$1)-1)/2)+'Cash Drivers'!DJ$13,0)=EOMONTH($Q$1,0),Sales!DJ$6,0)+IF(EOMONTH(DATE(YEAR(Sales!$DF$1),MONTH(Sales!$DF$1),1)+INT((DAY(Sales!$DF$1)-1)/2)+'Cash Drivers'!DG$13,0)=EOMONTH($Q$1,0),Sales!DG$6,0)+IF(EOMONTH(DATE(YEAR(Sales!$DC$1),MONTH(Sales!$DC$1),1)+INT((DAY(Sales!$DC$1)-1)/2)+'Cash Drivers'!DD$13,0)=EOMONTH($Q$1,0),Sales!DD$6,0)+IF(EOMONTH(DATE(YEAR(Sales!$CZ$1),MONTH(Sales!$CZ$1),1)+INT((DAY(Sales!$CZ$1)-1)/2)+'Cash Drivers'!DA$13,0)=EOMONTH($Q$1,0),Sales!DA$6,0)+IF(EOMONTH(DATE(YEAR(Sales!$CW$1),MONTH(Sales!$CW$1),1)+INT((DAY(Sales!$CW$1)-1)/2)+'Cash Drivers'!CX$13,0)=EOMONTH($Q$1,0),Sales!CX$6,0)+IF(EOMONTH(DATE(YEAR(Sales!$CT$1),MONTH(Sales!$CT$1),1)+INT((DAY(Sales!$CT$1)-1)/2)+'Cash Drivers'!CU$13,0)=EOMONTH($Q$1,0),Sales!CU$6,0)+IF(EOMONTH(DATE(YEAR(Sales!$CQ$1),MONTH(Sales!$CQ$1),1)+INT((DAY(Sales!$CQ$1)-1)/2)+'Cash Drivers'!CR$13,0)=EOMONTH($Q$1,0),Sales!CR$6,0)+IF(EOMONTH(DATE(YEAR(Sales!$CN$1),MONTH(Sales!$CN$1),1)+INT((DAY(Sales!$CN$1)-1)/2)+'Cash Drivers'!CO$13,0)=EOMONTH($Q$1,0),Sales!CO$6,0)+IF(EOMONTH(DATE(YEAR(Sales!$CK$1),MONTH(Sales!$CK$1),1)+INT((DAY(Sales!$CK$1)-1)/2)+'Cash Drivers'!CL$13,0)=EOMONTH($Q$1,0),Sales!CL$6,0)+IF(EOMONTH(DATE(YEAR(Sales!$CH$1),MONTH(Sales!$CH$1),1)+INT((DAY(Sales!$CH$1)-1)/2)+'Cash Drivers'!CI$13,0)=EOMONTH($Q$1,0),Sales!CI$6,0)+IF(EOMONTH(DATE(YEAR(Sales!$CE$1),MONTH(Sales!$CE$1),1)+INT((DAY(Sales!$CE$1)-1)/2)+'Cash Drivers'!CF$13,0)=EOMONTH($Q$1,0),Sales!CF$6,0)+IF(EOMONTH(DATE(YEAR(Sales!$CB$1),MONTH(Sales!$CB$1),1)+INT((DAY(Sales!$CB$1)-1)/2)+'Cash Drivers'!CC$13,0)=EOMONTH($Q$1,0),Sales!CC$6,0)+IF(EOMONTH(DATE(YEAR(Sales!$BY$1),MONTH(Sales!$BY$1),1)+INT((DAY(Sales!$BY$1)-1)/2)+'Cash Drivers'!BZ$13,0)=EOMONTH($Q$1,0),Sales!BZ$6,0)+IF(EOMONTH(DATE(YEAR(Sales!$BV$1),MONTH(Sales!$BV$1),1)+INT((DAY(Sales!$BV$1)-1)/2)+'Cash Drivers'!BW$13,0)=EOMONTH($Q$1,0),Sales!BW$6,0)+IF(EOMONTH(DATE(YEAR(Sales!$BS$1),MONTH(Sales!$BS$1),1)+INT((DAY(Sales!$BS$1)-1)/2)+'Cash Drivers'!BT$13,0)=EOMONTH($Q$1,0),Sales!BT$6,0)+IF(EOMONTH(DATE(YEAR(Sales!$BP$1),MONTH(Sales!$BP$1),1)+INT((DAY(Sales!$BP$1)-1)/2)+'Cash Drivers'!BQ$13,0)=EOMONTH($Q$1,0),Sales!BQ$6,0)+IF(EOMONTH(DATE(YEAR(Sales!$BM$1),MONTH(Sales!$BM$1),1)+INT((DAY(Sales!$BM$1)-1)/2)+'Cash Drivers'!BN$13,0)=EOMONTH($Q$1,0),Sales!BN$6,0)+IF(EOMONTH(DATE(YEAR(Sales!$BJ$1),MONTH(Sales!$BJ$1),1)+INT((DAY(Sales!$BJ$1)-1)/2)+'Cash Drivers'!BK$13,0)=EOMONTH($Q$1,0),Sales!BK$6,0)+IF(EOMONTH(DATE(YEAR(Sales!$BG$1),MONTH(Sales!$BG$1),1)+INT((DAY(Sales!$BG$1)-1)/2)+'Cash Drivers'!BH$13,0)=EOMONTH($Q$1,0),Sales!BH$6,0)+IF(EOMONTH(DATE(YEAR(Sales!$BD$1),MONTH(Sales!$BD$1),1)+INT((DAY(Sales!$BD$1)-1)/2)+'Cash Drivers'!BE$13,0)=EOMONTH($Q$1,0),Sales!BE$6,0)+IF(EOMONTH(DATE(YEAR(Sales!$BA$1),MONTH(Sales!$BA$1),1)+INT((DAY(Sales!$BA$1)-1)/2)+'Cash Drivers'!BB$13,0)=EOMONTH($Q$1,0),Sales!BB$6,0)+IF(EOMONTH(DATE(YEAR(Sales!$AX$1),MONTH(Sales!$AX$1),1)+INT((DAY(Sales!$AX$1)-1)/2)+'Cash Drivers'!AY$13,0)=EOMONTH($Q$1,0),Sales!AY$6,0)+IF(EOMONTH(DATE(YEAR(Sales!$AU$1),MONTH(Sales!$AU$1),1)+INT((DAY(Sales!$AU$1)-1)/2)+'Cash Drivers'!AV$13,0)=EOMONTH($Q$1,0),Sales!AV$6,0)+IF(EOMONTH(DATE(YEAR(Sales!$AR$1),MONTH(Sales!$AR$1),1)+INT((DAY(Sales!$AR$1)-1)/2)+'Cash Drivers'!AS$13,0)=EOMONTH($Q$1,0),Sales!AS$6,0)+IF(EOMONTH(DATE(YEAR(Sales!$AO$1),MONTH(Sales!$AO$1),1)+INT((DAY(Sales!$AO$1)-1)/2)+'Cash Drivers'!AP$13,0)=EOMONTH($Q$1,0),Sales!AP$6,0)+IF(EOMONTH(DATE(YEAR(Sales!$AL$1),MONTH(Sales!$AL$1),1)+INT((DAY(Sales!$AL$1)-1)/2)+'Cash Drivers'!AM$13,0)=EOMONTH($Q$1,0),Sales!AM$6,0)+IF(EOMONTH(DATE(YEAR(Sales!$AI$1),MONTH(Sales!$AI$1),1)+INT((DAY(Sales!$AI$1)-1)/2)+'Cash Drivers'!AJ$13,0)=EOMONTH($Q$1,0),Sales!AJ$6,0)+IF(EOMONTH(DATE(YEAR(Sales!$AF$1),MONTH(Sales!$AF$1),1)+INT((DAY(Sales!$AF$1)-1)/2)+'Cash Drivers'!AG$13,0)=EOMONTH($Q$1,0),Sales!AG$6,0)+IF(EOMONTH(DATE(YEAR(Sales!$AC$1),MONTH(Sales!$AC$1),1)+INT((DAY(Sales!$AC$1)-1)/2)+'Cash Drivers'!AD$13,0)=EOMONTH($Q$1,0),Sales!AD$6,0)+IF(EOMONTH(DATE(YEAR(Sales!$Z$1),MONTH(Sales!$Z$1),1)+INT((DAY(Sales!$Z$1)-1)/2)+'Cash Drivers'!AA$13,0)=EOMONTH($Q$1,0),Sales!AA$6,0)+IF(EOMONTH(DATE(YEAR(Sales!$W$1),MONTH(Sales!$W$1),1)+INT((DAY(Sales!$W$1)-1)/2)+'Cash Drivers'!X$13,0)=EOMONTH($Q$1,0),Sales!X$6,0)+IF(EOMONTH(DATE(YEAR(Sales!$T$1),MONTH(Sales!$T$1),1)+INT((DAY(Sales!$T$1)-1)/2)+'Cash Drivers'!U$13,0)=EOMONTH($Q$1,0),Sales!U$6,0)+IF(EOMONTH(DATE(YEAR(Sales!$Q$1),MONTH(Sales!$Q$1),1)+INT((DAY(Sales!$Q$1)-1)/2)+'Cash Drivers'!R$13,0)=EOMONTH($Q$1,0),Sales!R$6,0)+IF(EOMONTH(DATE(YEAR(Sales!$N$1),MONTH(Sales!$N$1),1)+INT((DAY(Sales!$N$1)-1)/2)+'Cash Drivers'!O$13,0)=EOMONTH($Q$1,0),Sales!O$6,0)+IF(EOMONTH(DATE(YEAR(Sales!$K$1),MONTH(Sales!$K$1),1)+INT((DAY(Sales!$K$1)-1)/2)+'Cash Drivers'!L$13,0)=EOMONTH($Q$1,0),Sales!L$6,0)+IF(EOMONTH('Cash Drivers'!$DL$30+'Cash Drivers'!DM$13,0)=EOMONTH($Q$1,0),'Cash Drivers'!$DL$32,0),0)</f>
        <v>38</v>
      </c>
      <c r="S18" s="46" t="n">
        <f aca="false">ROUND(IF(EOMONTH(DATE(YEAR(Sales!$DL$1),MONTH(Sales!$DL$1),1)+INT((DAY(Sales!$DL$1)-1)/2)+'Cash Drivers'!DN$13,0)=EOMONTH($Q$1,0),Sales!DN$6,0)+IF(EOMONTH(DATE(YEAR(Sales!$DI$1),MONTH(Sales!$DI$1),1)+INT((DAY(Sales!$DI$1)-1)/2)+'Cash Drivers'!DK$13,0)=EOMONTH($Q$1,0),Sales!DK$6,0)+IF(EOMONTH(DATE(YEAR(Sales!$DF$1),MONTH(Sales!$DF$1),1)+INT((DAY(Sales!$DF$1)-1)/2)+'Cash Drivers'!DH$13,0)=EOMONTH($Q$1,0),Sales!DH$6,0)+IF(EOMONTH(DATE(YEAR(Sales!$DC$1),MONTH(Sales!$DC$1),1)+INT((DAY(Sales!$DC$1)-1)/2)+'Cash Drivers'!DE$13,0)=EOMONTH($Q$1,0),Sales!DE$6,0)+IF(EOMONTH(DATE(YEAR(Sales!$CZ$1),MONTH(Sales!$CZ$1),1)+INT((DAY(Sales!$CZ$1)-1)/2)+'Cash Drivers'!DB$13,0)=EOMONTH($Q$1,0),Sales!DB$6,0)+IF(EOMONTH(DATE(YEAR(Sales!$CW$1),MONTH(Sales!$CW$1),1)+INT((DAY(Sales!$CW$1)-1)/2)+'Cash Drivers'!CY$13,0)=EOMONTH($Q$1,0),Sales!CY$6,0)+IF(EOMONTH(DATE(YEAR(Sales!$CT$1),MONTH(Sales!$CT$1),1)+INT((DAY(Sales!$CT$1)-1)/2)+'Cash Drivers'!CV$13,0)=EOMONTH($Q$1,0),Sales!CV$6,0)+IF(EOMONTH(DATE(YEAR(Sales!$CQ$1),MONTH(Sales!$CQ$1),1)+INT((DAY(Sales!$CQ$1)-1)/2)+'Cash Drivers'!CS$13,0)=EOMONTH($Q$1,0),Sales!CS$6,0)+IF(EOMONTH(DATE(YEAR(Sales!$CN$1),MONTH(Sales!$CN$1),1)+INT((DAY(Sales!$CN$1)-1)/2)+'Cash Drivers'!CP$13,0)=EOMONTH($Q$1,0),Sales!CP$6,0)+IF(EOMONTH(DATE(YEAR(Sales!$CK$1),MONTH(Sales!$CK$1),1)+INT((DAY(Sales!$CK$1)-1)/2)+'Cash Drivers'!CM$13,0)=EOMONTH($Q$1,0),Sales!CM$6,0)+IF(EOMONTH(DATE(YEAR(Sales!$CH$1),MONTH(Sales!$CH$1),1)+INT((DAY(Sales!$CH$1)-1)/2)+'Cash Drivers'!CJ$13,0)=EOMONTH($Q$1,0),Sales!CJ$6,0)+IF(EOMONTH(DATE(YEAR(Sales!$CE$1),MONTH(Sales!$CE$1),1)+INT((DAY(Sales!$CE$1)-1)/2)+'Cash Drivers'!CG$13,0)=EOMONTH($Q$1,0),Sales!CG$6,0)+IF(EOMONTH(DATE(YEAR(Sales!$CB$1),MONTH(Sales!$CB$1),1)+INT((DAY(Sales!$CB$1)-1)/2)+'Cash Drivers'!CD$13,0)=EOMONTH($Q$1,0),Sales!CD$6,0)+IF(EOMONTH(DATE(YEAR(Sales!$BY$1),MONTH(Sales!$BY$1),1)+INT((DAY(Sales!$BY$1)-1)/2)+'Cash Drivers'!CA$13,0)=EOMONTH($Q$1,0),Sales!CA$6,0)+IF(EOMONTH(DATE(YEAR(Sales!$BV$1),MONTH(Sales!$BV$1),1)+INT((DAY(Sales!$BV$1)-1)/2)+'Cash Drivers'!BX$13,0)=EOMONTH($Q$1,0),Sales!BX$6,0)+IF(EOMONTH(DATE(YEAR(Sales!$BS$1),MONTH(Sales!$BS$1),1)+INT((DAY(Sales!$BS$1)-1)/2)+'Cash Drivers'!BU$13,0)=EOMONTH($Q$1,0),Sales!BU$6,0)+IF(EOMONTH(DATE(YEAR(Sales!$BP$1),MONTH(Sales!$BP$1),1)+INT((DAY(Sales!$BP$1)-1)/2)+'Cash Drivers'!BR$13,0)=EOMONTH($Q$1,0),Sales!BR$6,0)+IF(EOMONTH(DATE(YEAR(Sales!$BM$1),MONTH(Sales!$BM$1),1)+INT((DAY(Sales!$BM$1)-1)/2)+'Cash Drivers'!BO$13,0)=EOMONTH($Q$1,0),Sales!BO$6,0)+IF(EOMONTH(DATE(YEAR(Sales!$BJ$1),MONTH(Sales!$BJ$1),1)+INT((DAY(Sales!$BJ$1)-1)/2)+'Cash Drivers'!BL$13,0)=EOMONTH($Q$1,0),Sales!BL$6,0)+IF(EOMONTH(DATE(YEAR(Sales!$BG$1),MONTH(Sales!$BG$1),1)+INT((DAY(Sales!$BG$1)-1)/2)+'Cash Drivers'!BI$13,0)=EOMONTH($Q$1,0),Sales!BI$6,0)+IF(EOMONTH(DATE(YEAR(Sales!$BD$1),MONTH(Sales!$BD$1),1)+INT((DAY(Sales!$BD$1)-1)/2)+'Cash Drivers'!BF$13,0)=EOMONTH($Q$1,0),Sales!BF$6,0)+IF(EOMONTH(DATE(YEAR(Sales!$BA$1),MONTH(Sales!$BA$1),1)+INT((DAY(Sales!$BA$1)-1)/2)+'Cash Drivers'!BC$13,0)=EOMONTH($Q$1,0),Sales!BC$6,0)+IF(EOMONTH(DATE(YEAR(Sales!$AX$1),MONTH(Sales!$AX$1),1)+INT((DAY(Sales!$AX$1)-1)/2)+'Cash Drivers'!AZ$13,0)=EOMONTH($Q$1,0),Sales!AZ$6,0)+IF(EOMONTH(DATE(YEAR(Sales!$AU$1),MONTH(Sales!$AU$1),1)+INT((DAY(Sales!$AU$1)-1)/2)+'Cash Drivers'!AW$13,0)=EOMONTH($Q$1,0),Sales!AW$6,0)+IF(EOMONTH(DATE(YEAR(Sales!$AR$1),MONTH(Sales!$AR$1),1)+INT((DAY(Sales!$AR$1)-1)/2)+'Cash Drivers'!AT$13,0)=EOMONTH($Q$1,0),Sales!AT$6,0)+IF(EOMONTH(DATE(YEAR(Sales!$AO$1),MONTH(Sales!$AO$1),1)+INT((DAY(Sales!$AO$1)-1)/2)+'Cash Drivers'!AQ$13,0)=EOMONTH($Q$1,0),Sales!AQ$6,0)+IF(EOMONTH(DATE(YEAR(Sales!$AL$1),MONTH(Sales!$AL$1),1)+INT((DAY(Sales!$AL$1)-1)/2)+'Cash Drivers'!AN$13,0)=EOMONTH($Q$1,0),Sales!AN$6,0)+IF(EOMONTH(DATE(YEAR(Sales!$AI$1),MONTH(Sales!$AI$1),1)+INT((DAY(Sales!$AI$1)-1)/2)+'Cash Drivers'!AK$13,0)=EOMONTH($Q$1,0),Sales!AK$6,0)+IF(EOMONTH(DATE(YEAR(Sales!$AF$1),MONTH(Sales!$AF$1),1)+INT((DAY(Sales!$AF$1)-1)/2)+'Cash Drivers'!AH$13,0)=EOMONTH($Q$1,0),Sales!AH$6,0)+IF(EOMONTH(DATE(YEAR(Sales!$AC$1),MONTH(Sales!$AC$1),1)+INT((DAY(Sales!$AC$1)-1)/2)+'Cash Drivers'!AE$13,0)=EOMONTH($Q$1,0),Sales!AE$6,0)+IF(EOMONTH(DATE(YEAR(Sales!$Z$1),MONTH(Sales!$Z$1),1)+INT((DAY(Sales!$Z$1)-1)/2)+'Cash Drivers'!AB$13,0)=EOMONTH($Q$1,0),Sales!AB$6,0)+IF(EOMONTH(DATE(YEAR(Sales!$W$1),MONTH(Sales!$W$1),1)+INT((DAY(Sales!$W$1)-1)/2)+'Cash Drivers'!Y$13,0)=EOMONTH($Q$1,0),Sales!Y$6,0)+IF(EOMONTH(DATE(YEAR(Sales!$T$1),MONTH(Sales!$T$1),1)+INT((DAY(Sales!$T$1)-1)/2)+'Cash Drivers'!V$13,0)=EOMONTH($Q$1,0),Sales!V$6,0)+IF(EOMONTH(DATE(YEAR(Sales!$Q$1),MONTH(Sales!$Q$1),1)+INT((DAY(Sales!$Q$1)-1)/2)+'Cash Drivers'!S$13,0)=EOMONTH($Q$1,0),Sales!S$6,0)+IF(EOMONTH(DATE(YEAR(Sales!$N$1),MONTH(Sales!$N$1),1)+INT((DAY(Sales!$N$1)-1)/2)+'Cash Drivers'!P$13,0)=EOMONTH($Q$1,0),Sales!P$6,0)+IF(EOMONTH(DATE(YEAR(Sales!$K$1),MONTH(Sales!$K$1),1)+INT((DAY(Sales!$K$1)-1)/2)+'Cash Drivers'!M$13,0)=EOMONTH($Q$1,0),Sales!M$6,0)+IF(EOMONTH('Cash Drivers'!$DL$30+'Cash Drivers'!DN$13,0)=EOMONTH($Q$1,0),'Cash Drivers'!$DL$32,0),0)</f>
        <v>38</v>
      </c>
      <c r="T18" s="44" t="n">
        <f aca="false">ROUND(IF(EOMONTH(DATE(YEAR(Sales!$DL$1),MONTH(Sales!$DL$1),1)+INT((DAY(Sales!$DL$1)-1)/2)+'Cash Drivers'!DL$13,0)=EOMONTH($T$1,0),Sales!DL$6,0)+IF(EOMONTH(DATE(YEAR(Sales!$DI$1),MONTH(Sales!$DI$1),1)+INT((DAY(Sales!$DI$1)-1)/2)+'Cash Drivers'!DI$13,0)=EOMONTH($T$1,0),Sales!DI$6,0)+IF(EOMONTH(DATE(YEAR(Sales!$DF$1),MONTH(Sales!$DF$1),1)+INT((DAY(Sales!$DF$1)-1)/2)+'Cash Drivers'!DF$13,0)=EOMONTH($T$1,0),Sales!DF$6,0)+IF(EOMONTH(DATE(YEAR(Sales!$DC$1),MONTH(Sales!$DC$1),1)+INT((DAY(Sales!$DC$1)-1)/2)+'Cash Drivers'!DC$13,0)=EOMONTH($T$1,0),Sales!DC$6,0)+IF(EOMONTH(DATE(YEAR(Sales!$CZ$1),MONTH(Sales!$CZ$1),1)+INT((DAY(Sales!$CZ$1)-1)/2)+'Cash Drivers'!CZ$13,0)=EOMONTH($T$1,0),Sales!CZ$6,0)+IF(EOMONTH(DATE(YEAR(Sales!$CW$1),MONTH(Sales!$CW$1),1)+INT((DAY(Sales!$CW$1)-1)/2)+'Cash Drivers'!CW$13,0)=EOMONTH($T$1,0),Sales!CW$6,0)+IF(EOMONTH(DATE(YEAR(Sales!$CT$1),MONTH(Sales!$CT$1),1)+INT((DAY(Sales!$CT$1)-1)/2)+'Cash Drivers'!CT$13,0)=EOMONTH($T$1,0),Sales!CT$6,0)+IF(EOMONTH(DATE(YEAR(Sales!$CQ$1),MONTH(Sales!$CQ$1),1)+INT((DAY(Sales!$CQ$1)-1)/2)+'Cash Drivers'!CQ$13,0)=EOMONTH($T$1,0),Sales!CQ$6,0)+IF(EOMONTH(DATE(YEAR(Sales!$CN$1),MONTH(Sales!$CN$1),1)+INT((DAY(Sales!$CN$1)-1)/2)+'Cash Drivers'!CN$13,0)=EOMONTH($T$1,0),Sales!CN$6,0)+IF(EOMONTH(DATE(YEAR(Sales!$CK$1),MONTH(Sales!$CK$1),1)+INT((DAY(Sales!$CK$1)-1)/2)+'Cash Drivers'!CK$13,0)=EOMONTH($T$1,0),Sales!CK$6,0)+IF(EOMONTH(DATE(YEAR(Sales!$CH$1),MONTH(Sales!$CH$1),1)+INT((DAY(Sales!$CH$1)-1)/2)+'Cash Drivers'!CH$13,0)=EOMONTH($T$1,0),Sales!CH$6,0)+IF(EOMONTH(DATE(YEAR(Sales!$CE$1),MONTH(Sales!$CE$1),1)+INT((DAY(Sales!$CE$1)-1)/2)+'Cash Drivers'!CE$13,0)=EOMONTH($T$1,0),Sales!CE$6,0)+IF(EOMONTH(DATE(YEAR(Sales!$CB$1),MONTH(Sales!$CB$1),1)+INT((DAY(Sales!$CB$1)-1)/2)+'Cash Drivers'!CB$13,0)=EOMONTH($T$1,0),Sales!CB$6,0)+IF(EOMONTH(DATE(YEAR(Sales!$BY$1),MONTH(Sales!$BY$1),1)+INT((DAY(Sales!$BY$1)-1)/2)+'Cash Drivers'!BY$13,0)=EOMONTH($T$1,0),Sales!BY$6,0)+IF(EOMONTH(DATE(YEAR(Sales!$BV$1),MONTH(Sales!$BV$1),1)+INT((DAY(Sales!$BV$1)-1)/2)+'Cash Drivers'!BV$13,0)=EOMONTH($T$1,0),Sales!BV$6,0)+IF(EOMONTH(DATE(YEAR(Sales!$BS$1),MONTH(Sales!$BS$1),1)+INT((DAY(Sales!$BS$1)-1)/2)+'Cash Drivers'!BS$13,0)=EOMONTH($T$1,0),Sales!BS$6,0)+IF(EOMONTH(DATE(YEAR(Sales!$BP$1),MONTH(Sales!$BP$1),1)+INT((DAY(Sales!$BP$1)-1)/2)+'Cash Drivers'!BP$13,0)=EOMONTH($T$1,0),Sales!BP$6,0)+IF(EOMONTH(DATE(YEAR(Sales!$BM$1),MONTH(Sales!$BM$1),1)+INT((DAY(Sales!$BM$1)-1)/2)+'Cash Drivers'!BM$13,0)=EOMONTH($T$1,0),Sales!BM$6,0)+IF(EOMONTH(DATE(YEAR(Sales!$BJ$1),MONTH(Sales!$BJ$1),1)+INT((DAY(Sales!$BJ$1)-1)/2)+'Cash Drivers'!BJ$13,0)=EOMONTH($T$1,0),Sales!BJ$6,0)+IF(EOMONTH(DATE(YEAR(Sales!$BG$1),MONTH(Sales!$BG$1),1)+INT((DAY(Sales!$BG$1)-1)/2)+'Cash Drivers'!BG$13,0)=EOMONTH($T$1,0),Sales!BG$6,0)+IF(EOMONTH(DATE(YEAR(Sales!$BD$1),MONTH(Sales!$BD$1),1)+INT((DAY(Sales!$BD$1)-1)/2)+'Cash Drivers'!BD$13,0)=EOMONTH($T$1,0),Sales!BD$6,0)+IF(EOMONTH(DATE(YEAR(Sales!$BA$1),MONTH(Sales!$BA$1),1)+INT((DAY(Sales!$BA$1)-1)/2)+'Cash Drivers'!BA$13,0)=EOMONTH($T$1,0),Sales!BA$6,0)+IF(EOMONTH(DATE(YEAR(Sales!$AX$1),MONTH(Sales!$AX$1),1)+INT((DAY(Sales!$AX$1)-1)/2)+'Cash Drivers'!AX$13,0)=EOMONTH($T$1,0),Sales!AX$6,0)+IF(EOMONTH(DATE(YEAR(Sales!$AU$1),MONTH(Sales!$AU$1),1)+INT((DAY(Sales!$AU$1)-1)/2)+'Cash Drivers'!AU$13,0)=EOMONTH($T$1,0),Sales!AU$6,0)+IF(EOMONTH(DATE(YEAR(Sales!$AR$1),MONTH(Sales!$AR$1),1)+INT((DAY(Sales!$AR$1)-1)/2)+'Cash Drivers'!AR$13,0)=EOMONTH($T$1,0),Sales!AR$6,0)+IF(EOMONTH(DATE(YEAR(Sales!$AO$1),MONTH(Sales!$AO$1),1)+INT((DAY(Sales!$AO$1)-1)/2)+'Cash Drivers'!AO$13,0)=EOMONTH($T$1,0),Sales!AO$6,0)+IF(EOMONTH(DATE(YEAR(Sales!$AL$1),MONTH(Sales!$AL$1),1)+INT((DAY(Sales!$AL$1)-1)/2)+'Cash Drivers'!AL$13,0)=EOMONTH($T$1,0),Sales!AL$6,0)+IF(EOMONTH(DATE(YEAR(Sales!$AI$1),MONTH(Sales!$AI$1),1)+INT((DAY(Sales!$AI$1)-1)/2)+'Cash Drivers'!AI$13,0)=EOMONTH($T$1,0),Sales!AI$6,0)+IF(EOMONTH(DATE(YEAR(Sales!$AF$1),MONTH(Sales!$AF$1),1)+INT((DAY(Sales!$AF$1)-1)/2)+'Cash Drivers'!AF$13,0)=EOMONTH($T$1,0),Sales!AF$6,0)+IF(EOMONTH(DATE(YEAR(Sales!$AC$1),MONTH(Sales!$AC$1),1)+INT((DAY(Sales!$AC$1)-1)/2)+'Cash Drivers'!AC$13,0)=EOMONTH($T$1,0),Sales!AC$6,0)+IF(EOMONTH(DATE(YEAR(Sales!$Z$1),MONTH(Sales!$Z$1),1)+INT((DAY(Sales!$Z$1)-1)/2)+'Cash Drivers'!Z$13,0)=EOMONTH($T$1,0),Sales!Z$6,0)+IF(EOMONTH(DATE(YEAR(Sales!$W$1),MONTH(Sales!$W$1),1)+INT((DAY(Sales!$W$1)-1)/2)+'Cash Drivers'!W$13,0)=EOMONTH($T$1,0),Sales!W$6,0)+IF(EOMONTH(DATE(YEAR(Sales!$T$1),MONTH(Sales!$T$1),1)+INT((DAY(Sales!$T$1)-1)/2)+'Cash Drivers'!T$13,0)=EOMONTH($T$1,0),Sales!T$6,0)+IF(EOMONTH(DATE(YEAR(Sales!$Q$1),MONTH(Sales!$Q$1),1)+INT((DAY(Sales!$Q$1)-1)/2)+'Cash Drivers'!Q$13,0)=EOMONTH($T$1,0),Sales!Q$6,0)+IF(EOMONTH(DATE(YEAR(Sales!$N$1),MONTH(Sales!$N$1),1)+INT((DAY(Sales!$N$1)-1)/2)+'Cash Drivers'!N$13,0)=EOMONTH($T$1,0),Sales!N$6,0)+IF(EOMONTH(DATE(YEAR(Sales!$K$1),MONTH(Sales!$K$1),1)+INT((DAY(Sales!$K$1)-1)/2)+'Cash Drivers'!K$13,0)=EOMONTH($T$1,0),Sales!K$6,0)+IF(EOMONTH('Cash Drivers'!$DL$30+'Cash Drivers'!DL$13,0)=EOMONTH($T$1,0),'Cash Drivers'!$DL$32,0),0)</f>
        <v>0</v>
      </c>
      <c r="U18" s="45" t="n">
        <f aca="false">ROUND(IF(EOMONTH(DATE(YEAR(Sales!$DL$1),MONTH(Sales!$DL$1),1)+INT((DAY(Sales!$DL$1)-1)/2)+'Cash Drivers'!DM$13,0)=EOMONTH($T$1,0),Sales!DM$6,0)+IF(EOMONTH(DATE(YEAR(Sales!$DI$1),MONTH(Sales!$DI$1),1)+INT((DAY(Sales!$DI$1)-1)/2)+'Cash Drivers'!DJ$13,0)=EOMONTH($T$1,0),Sales!DJ$6,0)+IF(EOMONTH(DATE(YEAR(Sales!$DF$1),MONTH(Sales!$DF$1),1)+INT((DAY(Sales!$DF$1)-1)/2)+'Cash Drivers'!DG$13,0)=EOMONTH($T$1,0),Sales!DG$6,0)+IF(EOMONTH(DATE(YEAR(Sales!$DC$1),MONTH(Sales!$DC$1),1)+INT((DAY(Sales!$DC$1)-1)/2)+'Cash Drivers'!DD$13,0)=EOMONTH($T$1,0),Sales!DD$6,0)+IF(EOMONTH(DATE(YEAR(Sales!$CZ$1),MONTH(Sales!$CZ$1),1)+INT((DAY(Sales!$CZ$1)-1)/2)+'Cash Drivers'!DA$13,0)=EOMONTH($T$1,0),Sales!DA$6,0)+IF(EOMONTH(DATE(YEAR(Sales!$CW$1),MONTH(Sales!$CW$1),1)+INT((DAY(Sales!$CW$1)-1)/2)+'Cash Drivers'!CX$13,0)=EOMONTH($T$1,0),Sales!CX$6,0)+IF(EOMONTH(DATE(YEAR(Sales!$CT$1),MONTH(Sales!$CT$1),1)+INT((DAY(Sales!$CT$1)-1)/2)+'Cash Drivers'!CU$13,0)=EOMONTH($T$1,0),Sales!CU$6,0)+IF(EOMONTH(DATE(YEAR(Sales!$CQ$1),MONTH(Sales!$CQ$1),1)+INT((DAY(Sales!$CQ$1)-1)/2)+'Cash Drivers'!CR$13,0)=EOMONTH($T$1,0),Sales!CR$6,0)+IF(EOMONTH(DATE(YEAR(Sales!$CN$1),MONTH(Sales!$CN$1),1)+INT((DAY(Sales!$CN$1)-1)/2)+'Cash Drivers'!CO$13,0)=EOMONTH($T$1,0),Sales!CO$6,0)+IF(EOMONTH(DATE(YEAR(Sales!$CK$1),MONTH(Sales!$CK$1),1)+INT((DAY(Sales!$CK$1)-1)/2)+'Cash Drivers'!CL$13,0)=EOMONTH($T$1,0),Sales!CL$6,0)+IF(EOMONTH(DATE(YEAR(Sales!$CH$1),MONTH(Sales!$CH$1),1)+INT((DAY(Sales!$CH$1)-1)/2)+'Cash Drivers'!CI$13,0)=EOMONTH($T$1,0),Sales!CI$6,0)+IF(EOMONTH(DATE(YEAR(Sales!$CE$1),MONTH(Sales!$CE$1),1)+INT((DAY(Sales!$CE$1)-1)/2)+'Cash Drivers'!CF$13,0)=EOMONTH($T$1,0),Sales!CF$6,0)+IF(EOMONTH(DATE(YEAR(Sales!$CB$1),MONTH(Sales!$CB$1),1)+INT((DAY(Sales!$CB$1)-1)/2)+'Cash Drivers'!CC$13,0)=EOMONTH($T$1,0),Sales!CC$6,0)+IF(EOMONTH(DATE(YEAR(Sales!$BY$1),MONTH(Sales!$BY$1),1)+INT((DAY(Sales!$BY$1)-1)/2)+'Cash Drivers'!BZ$13,0)=EOMONTH($T$1,0),Sales!BZ$6,0)+IF(EOMONTH(DATE(YEAR(Sales!$BV$1),MONTH(Sales!$BV$1),1)+INT((DAY(Sales!$BV$1)-1)/2)+'Cash Drivers'!BW$13,0)=EOMONTH($T$1,0),Sales!BW$6,0)+IF(EOMONTH(DATE(YEAR(Sales!$BS$1),MONTH(Sales!$BS$1),1)+INT((DAY(Sales!$BS$1)-1)/2)+'Cash Drivers'!BT$13,0)=EOMONTH($T$1,0),Sales!BT$6,0)+IF(EOMONTH(DATE(YEAR(Sales!$BP$1),MONTH(Sales!$BP$1),1)+INT((DAY(Sales!$BP$1)-1)/2)+'Cash Drivers'!BQ$13,0)=EOMONTH($T$1,0),Sales!BQ$6,0)+IF(EOMONTH(DATE(YEAR(Sales!$BM$1),MONTH(Sales!$BM$1),1)+INT((DAY(Sales!$BM$1)-1)/2)+'Cash Drivers'!BN$13,0)=EOMONTH($T$1,0),Sales!BN$6,0)+IF(EOMONTH(DATE(YEAR(Sales!$BJ$1),MONTH(Sales!$BJ$1),1)+INT((DAY(Sales!$BJ$1)-1)/2)+'Cash Drivers'!BK$13,0)=EOMONTH($T$1,0),Sales!BK$6,0)+IF(EOMONTH(DATE(YEAR(Sales!$BG$1),MONTH(Sales!$BG$1),1)+INT((DAY(Sales!$BG$1)-1)/2)+'Cash Drivers'!BH$13,0)=EOMONTH($T$1,0),Sales!BH$6,0)+IF(EOMONTH(DATE(YEAR(Sales!$BD$1),MONTH(Sales!$BD$1),1)+INT((DAY(Sales!$BD$1)-1)/2)+'Cash Drivers'!BE$13,0)=EOMONTH($T$1,0),Sales!BE$6,0)+IF(EOMONTH(DATE(YEAR(Sales!$BA$1),MONTH(Sales!$BA$1),1)+INT((DAY(Sales!$BA$1)-1)/2)+'Cash Drivers'!BB$13,0)=EOMONTH($T$1,0),Sales!BB$6,0)+IF(EOMONTH(DATE(YEAR(Sales!$AX$1),MONTH(Sales!$AX$1),1)+INT((DAY(Sales!$AX$1)-1)/2)+'Cash Drivers'!AY$13,0)=EOMONTH($T$1,0),Sales!AY$6,0)+IF(EOMONTH(DATE(YEAR(Sales!$AU$1),MONTH(Sales!$AU$1),1)+INT((DAY(Sales!$AU$1)-1)/2)+'Cash Drivers'!AV$13,0)=EOMONTH($T$1,0),Sales!AV$6,0)+IF(EOMONTH(DATE(YEAR(Sales!$AR$1),MONTH(Sales!$AR$1),1)+INT((DAY(Sales!$AR$1)-1)/2)+'Cash Drivers'!AS$13,0)=EOMONTH($T$1,0),Sales!AS$6,0)+IF(EOMONTH(DATE(YEAR(Sales!$AO$1),MONTH(Sales!$AO$1),1)+INT((DAY(Sales!$AO$1)-1)/2)+'Cash Drivers'!AP$13,0)=EOMONTH($T$1,0),Sales!AP$6,0)+IF(EOMONTH(DATE(YEAR(Sales!$AL$1),MONTH(Sales!$AL$1),1)+INT((DAY(Sales!$AL$1)-1)/2)+'Cash Drivers'!AM$13,0)=EOMONTH($T$1,0),Sales!AM$6,0)+IF(EOMONTH(DATE(YEAR(Sales!$AI$1),MONTH(Sales!$AI$1),1)+INT((DAY(Sales!$AI$1)-1)/2)+'Cash Drivers'!AJ$13,0)=EOMONTH($T$1,0),Sales!AJ$6,0)+IF(EOMONTH(DATE(YEAR(Sales!$AF$1),MONTH(Sales!$AF$1),1)+INT((DAY(Sales!$AF$1)-1)/2)+'Cash Drivers'!AG$13,0)=EOMONTH($T$1,0),Sales!AG$6,0)+IF(EOMONTH(DATE(YEAR(Sales!$AC$1),MONTH(Sales!$AC$1),1)+INT((DAY(Sales!$AC$1)-1)/2)+'Cash Drivers'!AD$13,0)=EOMONTH($T$1,0),Sales!AD$6,0)+IF(EOMONTH(DATE(YEAR(Sales!$Z$1),MONTH(Sales!$Z$1),1)+INT((DAY(Sales!$Z$1)-1)/2)+'Cash Drivers'!AA$13,0)=EOMONTH($T$1,0),Sales!AA$6,0)+IF(EOMONTH(DATE(YEAR(Sales!$W$1),MONTH(Sales!$W$1),1)+INT((DAY(Sales!$W$1)-1)/2)+'Cash Drivers'!X$13,0)=EOMONTH($T$1,0),Sales!X$6,0)+IF(EOMONTH(DATE(YEAR(Sales!$T$1),MONTH(Sales!$T$1),1)+INT((DAY(Sales!$T$1)-1)/2)+'Cash Drivers'!U$13,0)=EOMONTH($T$1,0),Sales!U$6,0)+IF(EOMONTH(DATE(YEAR(Sales!$Q$1),MONTH(Sales!$Q$1),1)+INT((DAY(Sales!$Q$1)-1)/2)+'Cash Drivers'!R$13,0)=EOMONTH($T$1,0),Sales!R$6,0)+IF(EOMONTH(DATE(YEAR(Sales!$N$1),MONTH(Sales!$N$1),1)+INT((DAY(Sales!$N$1)-1)/2)+'Cash Drivers'!O$13,0)=EOMONTH($T$1,0),Sales!O$6,0)+IF(EOMONTH(DATE(YEAR(Sales!$K$1),MONTH(Sales!$K$1),1)+INT((DAY(Sales!$K$1)-1)/2)+'Cash Drivers'!L$13,0)=EOMONTH($T$1,0),Sales!L$6,0)+IF(EOMONTH('Cash Drivers'!$DL$30+'Cash Drivers'!DM$13,0)=EOMONTH($T$1,0),'Cash Drivers'!$DL$32,0),0)</f>
        <v>38</v>
      </c>
      <c r="V18" s="46" t="n">
        <f aca="false">ROUND(IF(EOMONTH(DATE(YEAR(Sales!$DL$1),MONTH(Sales!$DL$1),1)+INT((DAY(Sales!$DL$1)-1)/2)+'Cash Drivers'!DN$13,0)=EOMONTH($T$1,0),Sales!DN$6,0)+IF(EOMONTH(DATE(YEAR(Sales!$DI$1),MONTH(Sales!$DI$1),1)+INT((DAY(Sales!$DI$1)-1)/2)+'Cash Drivers'!DK$13,0)=EOMONTH($T$1,0),Sales!DK$6,0)+IF(EOMONTH(DATE(YEAR(Sales!$DF$1),MONTH(Sales!$DF$1),1)+INT((DAY(Sales!$DF$1)-1)/2)+'Cash Drivers'!DH$13,0)=EOMONTH($T$1,0),Sales!DH$6,0)+IF(EOMONTH(DATE(YEAR(Sales!$DC$1),MONTH(Sales!$DC$1),1)+INT((DAY(Sales!$DC$1)-1)/2)+'Cash Drivers'!DE$13,0)=EOMONTH($T$1,0),Sales!DE$6,0)+IF(EOMONTH(DATE(YEAR(Sales!$CZ$1),MONTH(Sales!$CZ$1),1)+INT((DAY(Sales!$CZ$1)-1)/2)+'Cash Drivers'!DB$13,0)=EOMONTH($T$1,0),Sales!DB$6,0)+IF(EOMONTH(DATE(YEAR(Sales!$CW$1),MONTH(Sales!$CW$1),1)+INT((DAY(Sales!$CW$1)-1)/2)+'Cash Drivers'!CY$13,0)=EOMONTH($T$1,0),Sales!CY$6,0)+IF(EOMONTH(DATE(YEAR(Sales!$CT$1),MONTH(Sales!$CT$1),1)+INT((DAY(Sales!$CT$1)-1)/2)+'Cash Drivers'!CV$13,0)=EOMONTH($T$1,0),Sales!CV$6,0)+IF(EOMONTH(DATE(YEAR(Sales!$CQ$1),MONTH(Sales!$CQ$1),1)+INT((DAY(Sales!$CQ$1)-1)/2)+'Cash Drivers'!CS$13,0)=EOMONTH($T$1,0),Sales!CS$6,0)+IF(EOMONTH(DATE(YEAR(Sales!$CN$1),MONTH(Sales!$CN$1),1)+INT((DAY(Sales!$CN$1)-1)/2)+'Cash Drivers'!CP$13,0)=EOMONTH($T$1,0),Sales!CP$6,0)+IF(EOMONTH(DATE(YEAR(Sales!$CK$1),MONTH(Sales!$CK$1),1)+INT((DAY(Sales!$CK$1)-1)/2)+'Cash Drivers'!CM$13,0)=EOMONTH($T$1,0),Sales!CM$6,0)+IF(EOMONTH(DATE(YEAR(Sales!$CH$1),MONTH(Sales!$CH$1),1)+INT((DAY(Sales!$CH$1)-1)/2)+'Cash Drivers'!CJ$13,0)=EOMONTH($T$1,0),Sales!CJ$6,0)+IF(EOMONTH(DATE(YEAR(Sales!$CE$1),MONTH(Sales!$CE$1),1)+INT((DAY(Sales!$CE$1)-1)/2)+'Cash Drivers'!CG$13,0)=EOMONTH($T$1,0),Sales!CG$6,0)+IF(EOMONTH(DATE(YEAR(Sales!$CB$1),MONTH(Sales!$CB$1),1)+INT((DAY(Sales!$CB$1)-1)/2)+'Cash Drivers'!CD$13,0)=EOMONTH($T$1,0),Sales!CD$6,0)+IF(EOMONTH(DATE(YEAR(Sales!$BY$1),MONTH(Sales!$BY$1),1)+INT((DAY(Sales!$BY$1)-1)/2)+'Cash Drivers'!CA$13,0)=EOMONTH($T$1,0),Sales!CA$6,0)+IF(EOMONTH(DATE(YEAR(Sales!$BV$1),MONTH(Sales!$BV$1),1)+INT((DAY(Sales!$BV$1)-1)/2)+'Cash Drivers'!BX$13,0)=EOMONTH($T$1,0),Sales!BX$6,0)+IF(EOMONTH(DATE(YEAR(Sales!$BS$1),MONTH(Sales!$BS$1),1)+INT((DAY(Sales!$BS$1)-1)/2)+'Cash Drivers'!BU$13,0)=EOMONTH($T$1,0),Sales!BU$6,0)+IF(EOMONTH(DATE(YEAR(Sales!$BP$1),MONTH(Sales!$BP$1),1)+INT((DAY(Sales!$BP$1)-1)/2)+'Cash Drivers'!BR$13,0)=EOMONTH($T$1,0),Sales!BR$6,0)+IF(EOMONTH(DATE(YEAR(Sales!$BM$1),MONTH(Sales!$BM$1),1)+INT((DAY(Sales!$BM$1)-1)/2)+'Cash Drivers'!BO$13,0)=EOMONTH($T$1,0),Sales!BO$6,0)+IF(EOMONTH(DATE(YEAR(Sales!$BJ$1),MONTH(Sales!$BJ$1),1)+INT((DAY(Sales!$BJ$1)-1)/2)+'Cash Drivers'!BL$13,0)=EOMONTH($T$1,0),Sales!BL$6,0)+IF(EOMONTH(DATE(YEAR(Sales!$BG$1),MONTH(Sales!$BG$1),1)+INT((DAY(Sales!$BG$1)-1)/2)+'Cash Drivers'!BI$13,0)=EOMONTH($T$1,0),Sales!BI$6,0)+IF(EOMONTH(DATE(YEAR(Sales!$BD$1),MONTH(Sales!$BD$1),1)+INT((DAY(Sales!$BD$1)-1)/2)+'Cash Drivers'!BF$13,0)=EOMONTH($T$1,0),Sales!BF$6,0)+IF(EOMONTH(DATE(YEAR(Sales!$BA$1),MONTH(Sales!$BA$1),1)+INT((DAY(Sales!$BA$1)-1)/2)+'Cash Drivers'!BC$13,0)=EOMONTH($T$1,0),Sales!BC$6,0)+IF(EOMONTH(DATE(YEAR(Sales!$AX$1),MONTH(Sales!$AX$1),1)+INT((DAY(Sales!$AX$1)-1)/2)+'Cash Drivers'!AZ$13,0)=EOMONTH($T$1,0),Sales!AZ$6,0)+IF(EOMONTH(DATE(YEAR(Sales!$AU$1),MONTH(Sales!$AU$1),1)+INT((DAY(Sales!$AU$1)-1)/2)+'Cash Drivers'!AW$13,0)=EOMONTH($T$1,0),Sales!AW$6,0)+IF(EOMONTH(DATE(YEAR(Sales!$AR$1),MONTH(Sales!$AR$1),1)+INT((DAY(Sales!$AR$1)-1)/2)+'Cash Drivers'!AT$13,0)=EOMONTH($T$1,0),Sales!AT$6,0)+IF(EOMONTH(DATE(YEAR(Sales!$AO$1),MONTH(Sales!$AO$1),1)+INT((DAY(Sales!$AO$1)-1)/2)+'Cash Drivers'!AQ$13,0)=EOMONTH($T$1,0),Sales!AQ$6,0)+IF(EOMONTH(DATE(YEAR(Sales!$AL$1),MONTH(Sales!$AL$1),1)+INT((DAY(Sales!$AL$1)-1)/2)+'Cash Drivers'!AN$13,0)=EOMONTH($T$1,0),Sales!AN$6,0)+IF(EOMONTH(DATE(YEAR(Sales!$AI$1),MONTH(Sales!$AI$1),1)+INT((DAY(Sales!$AI$1)-1)/2)+'Cash Drivers'!AK$13,0)=EOMONTH($T$1,0),Sales!AK$6,0)+IF(EOMONTH(DATE(YEAR(Sales!$AF$1),MONTH(Sales!$AF$1),1)+INT((DAY(Sales!$AF$1)-1)/2)+'Cash Drivers'!AH$13,0)=EOMONTH($T$1,0),Sales!AH$6,0)+IF(EOMONTH(DATE(YEAR(Sales!$AC$1),MONTH(Sales!$AC$1),1)+INT((DAY(Sales!$AC$1)-1)/2)+'Cash Drivers'!AE$13,0)=EOMONTH($T$1,0),Sales!AE$6,0)+IF(EOMONTH(DATE(YEAR(Sales!$Z$1),MONTH(Sales!$Z$1),1)+INT((DAY(Sales!$Z$1)-1)/2)+'Cash Drivers'!AB$13,0)=EOMONTH($T$1,0),Sales!AB$6,0)+IF(EOMONTH(DATE(YEAR(Sales!$W$1),MONTH(Sales!$W$1),1)+INT((DAY(Sales!$W$1)-1)/2)+'Cash Drivers'!Y$13,0)=EOMONTH($T$1,0),Sales!Y$6,0)+IF(EOMONTH(DATE(YEAR(Sales!$T$1),MONTH(Sales!$T$1),1)+INT((DAY(Sales!$T$1)-1)/2)+'Cash Drivers'!V$13,0)=EOMONTH($T$1,0),Sales!V$6,0)+IF(EOMONTH(DATE(YEAR(Sales!$Q$1),MONTH(Sales!$Q$1),1)+INT((DAY(Sales!$Q$1)-1)/2)+'Cash Drivers'!S$13,0)=EOMONTH($T$1,0),Sales!S$6,0)+IF(EOMONTH(DATE(YEAR(Sales!$N$1),MONTH(Sales!$N$1),1)+INT((DAY(Sales!$N$1)-1)/2)+'Cash Drivers'!P$13,0)=EOMONTH($T$1,0),Sales!P$6,0)+IF(EOMONTH(DATE(YEAR(Sales!$K$1),MONTH(Sales!$K$1),1)+INT((DAY(Sales!$K$1)-1)/2)+'Cash Drivers'!M$13,0)=EOMONTH($T$1,0),Sales!M$6,0)+IF(EOMONTH('Cash Drivers'!$DL$30+'Cash Drivers'!DN$13,0)=EOMONTH($T$1,0),'Cash Drivers'!$DL$32,0),0)</f>
        <v>38</v>
      </c>
      <c r="W18" s="44" t="n">
        <f aca="false">ROUND(IF(EOMONTH(DATE(YEAR(Sales!$DL$1),MONTH(Sales!$DL$1),1)+INT((DAY(Sales!$DL$1)-1)/2)+'Cash Drivers'!DL$13,0)=EOMONTH($W$1,0),Sales!DL$6,0)+IF(EOMONTH(DATE(YEAR(Sales!$DI$1),MONTH(Sales!$DI$1),1)+INT((DAY(Sales!$DI$1)-1)/2)+'Cash Drivers'!DI$13,0)=EOMONTH($W$1,0),Sales!DI$6,0)+IF(EOMONTH(DATE(YEAR(Sales!$DF$1),MONTH(Sales!$DF$1),1)+INT((DAY(Sales!$DF$1)-1)/2)+'Cash Drivers'!DF$13,0)=EOMONTH($W$1,0),Sales!DF$6,0)+IF(EOMONTH(DATE(YEAR(Sales!$DC$1),MONTH(Sales!$DC$1),1)+INT((DAY(Sales!$DC$1)-1)/2)+'Cash Drivers'!DC$13,0)=EOMONTH($W$1,0),Sales!DC$6,0)+IF(EOMONTH(DATE(YEAR(Sales!$CZ$1),MONTH(Sales!$CZ$1),1)+INT((DAY(Sales!$CZ$1)-1)/2)+'Cash Drivers'!CZ$13,0)=EOMONTH($W$1,0),Sales!CZ$6,0)+IF(EOMONTH(DATE(YEAR(Sales!$CW$1),MONTH(Sales!$CW$1),1)+INT((DAY(Sales!$CW$1)-1)/2)+'Cash Drivers'!CW$13,0)=EOMONTH($W$1,0),Sales!CW$6,0)+IF(EOMONTH(DATE(YEAR(Sales!$CT$1),MONTH(Sales!$CT$1),1)+INT((DAY(Sales!$CT$1)-1)/2)+'Cash Drivers'!CT$13,0)=EOMONTH($W$1,0),Sales!CT$6,0)+IF(EOMONTH(DATE(YEAR(Sales!$CQ$1),MONTH(Sales!$CQ$1),1)+INT((DAY(Sales!$CQ$1)-1)/2)+'Cash Drivers'!CQ$13,0)=EOMONTH($W$1,0),Sales!CQ$6,0)+IF(EOMONTH(DATE(YEAR(Sales!$CN$1),MONTH(Sales!$CN$1),1)+INT((DAY(Sales!$CN$1)-1)/2)+'Cash Drivers'!CN$13,0)=EOMONTH($W$1,0),Sales!CN$6,0)+IF(EOMONTH(DATE(YEAR(Sales!$CK$1),MONTH(Sales!$CK$1),1)+INT((DAY(Sales!$CK$1)-1)/2)+'Cash Drivers'!CK$13,0)=EOMONTH($W$1,0),Sales!CK$6,0)+IF(EOMONTH(DATE(YEAR(Sales!$CH$1),MONTH(Sales!$CH$1),1)+INT((DAY(Sales!$CH$1)-1)/2)+'Cash Drivers'!CH$13,0)=EOMONTH($W$1,0),Sales!CH$6,0)+IF(EOMONTH(DATE(YEAR(Sales!$CE$1),MONTH(Sales!$CE$1),1)+INT((DAY(Sales!$CE$1)-1)/2)+'Cash Drivers'!CE$13,0)=EOMONTH($W$1,0),Sales!CE$6,0)+IF(EOMONTH(DATE(YEAR(Sales!$CB$1),MONTH(Sales!$CB$1),1)+INT((DAY(Sales!$CB$1)-1)/2)+'Cash Drivers'!CB$13,0)=EOMONTH($W$1,0),Sales!CB$6,0)+IF(EOMONTH(DATE(YEAR(Sales!$BY$1),MONTH(Sales!$BY$1),1)+INT((DAY(Sales!$BY$1)-1)/2)+'Cash Drivers'!BY$13,0)=EOMONTH($W$1,0),Sales!BY$6,0)+IF(EOMONTH(DATE(YEAR(Sales!$BV$1),MONTH(Sales!$BV$1),1)+INT((DAY(Sales!$BV$1)-1)/2)+'Cash Drivers'!BV$13,0)=EOMONTH($W$1,0),Sales!BV$6,0)+IF(EOMONTH(DATE(YEAR(Sales!$BS$1),MONTH(Sales!$BS$1),1)+INT((DAY(Sales!$BS$1)-1)/2)+'Cash Drivers'!BS$13,0)=EOMONTH($W$1,0),Sales!BS$6,0)+IF(EOMONTH(DATE(YEAR(Sales!$BP$1),MONTH(Sales!$BP$1),1)+INT((DAY(Sales!$BP$1)-1)/2)+'Cash Drivers'!BP$13,0)=EOMONTH($W$1,0),Sales!BP$6,0)+IF(EOMONTH(DATE(YEAR(Sales!$BM$1),MONTH(Sales!$BM$1),1)+INT((DAY(Sales!$BM$1)-1)/2)+'Cash Drivers'!BM$13,0)=EOMONTH($W$1,0),Sales!BM$6,0)+IF(EOMONTH(DATE(YEAR(Sales!$BJ$1),MONTH(Sales!$BJ$1),1)+INT((DAY(Sales!$BJ$1)-1)/2)+'Cash Drivers'!BJ$13,0)=EOMONTH($W$1,0),Sales!BJ$6,0)+IF(EOMONTH(DATE(YEAR(Sales!$BG$1),MONTH(Sales!$BG$1),1)+INT((DAY(Sales!$BG$1)-1)/2)+'Cash Drivers'!BG$13,0)=EOMONTH($W$1,0),Sales!BG$6,0)+IF(EOMONTH(DATE(YEAR(Sales!$BD$1),MONTH(Sales!$BD$1),1)+INT((DAY(Sales!$BD$1)-1)/2)+'Cash Drivers'!BD$13,0)=EOMONTH($W$1,0),Sales!BD$6,0)+IF(EOMONTH(DATE(YEAR(Sales!$BA$1),MONTH(Sales!$BA$1),1)+INT((DAY(Sales!$BA$1)-1)/2)+'Cash Drivers'!BA$13,0)=EOMONTH($W$1,0),Sales!BA$6,0)+IF(EOMONTH(DATE(YEAR(Sales!$AX$1),MONTH(Sales!$AX$1),1)+INT((DAY(Sales!$AX$1)-1)/2)+'Cash Drivers'!AX$13,0)=EOMONTH($W$1,0),Sales!AX$6,0)+IF(EOMONTH(DATE(YEAR(Sales!$AU$1),MONTH(Sales!$AU$1),1)+INT((DAY(Sales!$AU$1)-1)/2)+'Cash Drivers'!AU$13,0)=EOMONTH($W$1,0),Sales!AU$6,0)+IF(EOMONTH(DATE(YEAR(Sales!$AR$1),MONTH(Sales!$AR$1),1)+INT((DAY(Sales!$AR$1)-1)/2)+'Cash Drivers'!AR$13,0)=EOMONTH($W$1,0),Sales!AR$6,0)+IF(EOMONTH(DATE(YEAR(Sales!$AO$1),MONTH(Sales!$AO$1),1)+INT((DAY(Sales!$AO$1)-1)/2)+'Cash Drivers'!AO$13,0)=EOMONTH($W$1,0),Sales!AO$6,0)+IF(EOMONTH(DATE(YEAR(Sales!$AL$1),MONTH(Sales!$AL$1),1)+INT((DAY(Sales!$AL$1)-1)/2)+'Cash Drivers'!AL$13,0)=EOMONTH($W$1,0),Sales!AL$6,0)+IF(EOMONTH(DATE(YEAR(Sales!$AI$1),MONTH(Sales!$AI$1),1)+INT((DAY(Sales!$AI$1)-1)/2)+'Cash Drivers'!AI$13,0)=EOMONTH($W$1,0),Sales!AI$6,0)+IF(EOMONTH(DATE(YEAR(Sales!$AF$1),MONTH(Sales!$AF$1),1)+INT((DAY(Sales!$AF$1)-1)/2)+'Cash Drivers'!AF$13,0)=EOMONTH($W$1,0),Sales!AF$6,0)+IF(EOMONTH(DATE(YEAR(Sales!$AC$1),MONTH(Sales!$AC$1),1)+INT((DAY(Sales!$AC$1)-1)/2)+'Cash Drivers'!AC$13,0)=EOMONTH($W$1,0),Sales!AC$6,0)+IF(EOMONTH(DATE(YEAR(Sales!$Z$1),MONTH(Sales!$Z$1),1)+INT((DAY(Sales!$Z$1)-1)/2)+'Cash Drivers'!Z$13,0)=EOMONTH($W$1,0),Sales!Z$6,0)+IF(EOMONTH(DATE(YEAR(Sales!$W$1),MONTH(Sales!$W$1),1)+INT((DAY(Sales!$W$1)-1)/2)+'Cash Drivers'!W$13,0)=EOMONTH($W$1,0),Sales!W$6,0)+IF(EOMONTH(DATE(YEAR(Sales!$T$1),MONTH(Sales!$T$1),1)+INT((DAY(Sales!$T$1)-1)/2)+'Cash Drivers'!T$13,0)=EOMONTH($W$1,0),Sales!T$6,0)+IF(EOMONTH(DATE(YEAR(Sales!$Q$1),MONTH(Sales!$Q$1),1)+INT((DAY(Sales!$Q$1)-1)/2)+'Cash Drivers'!Q$13,0)=EOMONTH($W$1,0),Sales!Q$6,0)+IF(EOMONTH(DATE(YEAR(Sales!$N$1),MONTH(Sales!$N$1),1)+INT((DAY(Sales!$N$1)-1)/2)+'Cash Drivers'!N$13,0)=EOMONTH($W$1,0),Sales!N$6,0)+IF(EOMONTH(DATE(YEAR(Sales!$K$1),MONTH(Sales!$K$1),1)+INT((DAY(Sales!$K$1)-1)/2)+'Cash Drivers'!K$13,0)=EOMONTH($W$1,0),Sales!K$6,0)+IF(EOMONTH('Cash Drivers'!$DL$30+'Cash Drivers'!DL$13,0)=EOMONTH($W$1,0),'Cash Drivers'!$DL$32,0),0)</f>
        <v>0</v>
      </c>
      <c r="X18" s="45" t="n">
        <f aca="false">ROUND(IF(EOMONTH(DATE(YEAR(Sales!$DL$1),MONTH(Sales!$DL$1),1)+INT((DAY(Sales!$DL$1)-1)/2)+'Cash Drivers'!DM$13,0)=EOMONTH($W$1,0),Sales!DM$6,0)+IF(EOMONTH(DATE(YEAR(Sales!$DI$1),MONTH(Sales!$DI$1),1)+INT((DAY(Sales!$DI$1)-1)/2)+'Cash Drivers'!DJ$13,0)=EOMONTH($W$1,0),Sales!DJ$6,0)+IF(EOMONTH(DATE(YEAR(Sales!$DF$1),MONTH(Sales!$DF$1),1)+INT((DAY(Sales!$DF$1)-1)/2)+'Cash Drivers'!DG$13,0)=EOMONTH($W$1,0),Sales!DG$6,0)+IF(EOMONTH(DATE(YEAR(Sales!$DC$1),MONTH(Sales!$DC$1),1)+INT((DAY(Sales!$DC$1)-1)/2)+'Cash Drivers'!DD$13,0)=EOMONTH($W$1,0),Sales!DD$6,0)+IF(EOMONTH(DATE(YEAR(Sales!$CZ$1),MONTH(Sales!$CZ$1),1)+INT((DAY(Sales!$CZ$1)-1)/2)+'Cash Drivers'!DA$13,0)=EOMONTH($W$1,0),Sales!DA$6,0)+IF(EOMONTH(DATE(YEAR(Sales!$CW$1),MONTH(Sales!$CW$1),1)+INT((DAY(Sales!$CW$1)-1)/2)+'Cash Drivers'!CX$13,0)=EOMONTH($W$1,0),Sales!CX$6,0)+IF(EOMONTH(DATE(YEAR(Sales!$CT$1),MONTH(Sales!$CT$1),1)+INT((DAY(Sales!$CT$1)-1)/2)+'Cash Drivers'!CU$13,0)=EOMONTH($W$1,0),Sales!CU$6,0)+IF(EOMONTH(DATE(YEAR(Sales!$CQ$1),MONTH(Sales!$CQ$1),1)+INT((DAY(Sales!$CQ$1)-1)/2)+'Cash Drivers'!CR$13,0)=EOMONTH($W$1,0),Sales!CR$6,0)+IF(EOMONTH(DATE(YEAR(Sales!$CN$1),MONTH(Sales!$CN$1),1)+INT((DAY(Sales!$CN$1)-1)/2)+'Cash Drivers'!CO$13,0)=EOMONTH($W$1,0),Sales!CO$6,0)+IF(EOMONTH(DATE(YEAR(Sales!$CK$1),MONTH(Sales!$CK$1),1)+INT((DAY(Sales!$CK$1)-1)/2)+'Cash Drivers'!CL$13,0)=EOMONTH($W$1,0),Sales!CL$6,0)+IF(EOMONTH(DATE(YEAR(Sales!$CH$1),MONTH(Sales!$CH$1),1)+INT((DAY(Sales!$CH$1)-1)/2)+'Cash Drivers'!CI$13,0)=EOMONTH($W$1,0),Sales!CI$6,0)+IF(EOMONTH(DATE(YEAR(Sales!$CE$1),MONTH(Sales!$CE$1),1)+INT((DAY(Sales!$CE$1)-1)/2)+'Cash Drivers'!CF$13,0)=EOMONTH($W$1,0),Sales!CF$6,0)+IF(EOMONTH(DATE(YEAR(Sales!$CB$1),MONTH(Sales!$CB$1),1)+INT((DAY(Sales!$CB$1)-1)/2)+'Cash Drivers'!CC$13,0)=EOMONTH($W$1,0),Sales!CC$6,0)+IF(EOMONTH(DATE(YEAR(Sales!$BY$1),MONTH(Sales!$BY$1),1)+INT((DAY(Sales!$BY$1)-1)/2)+'Cash Drivers'!BZ$13,0)=EOMONTH($W$1,0),Sales!BZ$6,0)+IF(EOMONTH(DATE(YEAR(Sales!$BV$1),MONTH(Sales!$BV$1),1)+INT((DAY(Sales!$BV$1)-1)/2)+'Cash Drivers'!BW$13,0)=EOMONTH($W$1,0),Sales!BW$6,0)+IF(EOMONTH(DATE(YEAR(Sales!$BS$1),MONTH(Sales!$BS$1),1)+INT((DAY(Sales!$BS$1)-1)/2)+'Cash Drivers'!BT$13,0)=EOMONTH($W$1,0),Sales!BT$6,0)+IF(EOMONTH(DATE(YEAR(Sales!$BP$1),MONTH(Sales!$BP$1),1)+INT((DAY(Sales!$BP$1)-1)/2)+'Cash Drivers'!BQ$13,0)=EOMONTH($W$1,0),Sales!BQ$6,0)+IF(EOMONTH(DATE(YEAR(Sales!$BM$1),MONTH(Sales!$BM$1),1)+INT((DAY(Sales!$BM$1)-1)/2)+'Cash Drivers'!BN$13,0)=EOMONTH($W$1,0),Sales!BN$6,0)+IF(EOMONTH(DATE(YEAR(Sales!$BJ$1),MONTH(Sales!$BJ$1),1)+INT((DAY(Sales!$BJ$1)-1)/2)+'Cash Drivers'!BK$13,0)=EOMONTH($W$1,0),Sales!BK$6,0)+IF(EOMONTH(DATE(YEAR(Sales!$BG$1),MONTH(Sales!$BG$1),1)+INT((DAY(Sales!$BG$1)-1)/2)+'Cash Drivers'!BH$13,0)=EOMONTH($W$1,0),Sales!BH$6,0)+IF(EOMONTH(DATE(YEAR(Sales!$BD$1),MONTH(Sales!$BD$1),1)+INT((DAY(Sales!$BD$1)-1)/2)+'Cash Drivers'!BE$13,0)=EOMONTH($W$1,0),Sales!BE$6,0)+IF(EOMONTH(DATE(YEAR(Sales!$BA$1),MONTH(Sales!$BA$1),1)+INT((DAY(Sales!$BA$1)-1)/2)+'Cash Drivers'!BB$13,0)=EOMONTH($W$1,0),Sales!BB$6,0)+IF(EOMONTH(DATE(YEAR(Sales!$AX$1),MONTH(Sales!$AX$1),1)+INT((DAY(Sales!$AX$1)-1)/2)+'Cash Drivers'!AY$13,0)=EOMONTH($W$1,0),Sales!AY$6,0)+IF(EOMONTH(DATE(YEAR(Sales!$AU$1),MONTH(Sales!$AU$1),1)+INT((DAY(Sales!$AU$1)-1)/2)+'Cash Drivers'!AV$13,0)=EOMONTH($W$1,0),Sales!AV$6,0)+IF(EOMONTH(DATE(YEAR(Sales!$AR$1),MONTH(Sales!$AR$1),1)+INT((DAY(Sales!$AR$1)-1)/2)+'Cash Drivers'!AS$13,0)=EOMONTH($W$1,0),Sales!AS$6,0)+IF(EOMONTH(DATE(YEAR(Sales!$AO$1),MONTH(Sales!$AO$1),1)+INT((DAY(Sales!$AO$1)-1)/2)+'Cash Drivers'!AP$13,0)=EOMONTH($W$1,0),Sales!AP$6,0)+IF(EOMONTH(DATE(YEAR(Sales!$AL$1),MONTH(Sales!$AL$1),1)+INT((DAY(Sales!$AL$1)-1)/2)+'Cash Drivers'!AM$13,0)=EOMONTH($W$1,0),Sales!AM$6,0)+IF(EOMONTH(DATE(YEAR(Sales!$AI$1),MONTH(Sales!$AI$1),1)+INT((DAY(Sales!$AI$1)-1)/2)+'Cash Drivers'!AJ$13,0)=EOMONTH($W$1,0),Sales!AJ$6,0)+IF(EOMONTH(DATE(YEAR(Sales!$AF$1),MONTH(Sales!$AF$1),1)+INT((DAY(Sales!$AF$1)-1)/2)+'Cash Drivers'!AG$13,0)=EOMONTH($W$1,0),Sales!AG$6,0)+IF(EOMONTH(DATE(YEAR(Sales!$AC$1),MONTH(Sales!$AC$1),1)+INT((DAY(Sales!$AC$1)-1)/2)+'Cash Drivers'!AD$13,0)=EOMONTH($W$1,0),Sales!AD$6,0)+IF(EOMONTH(DATE(YEAR(Sales!$Z$1),MONTH(Sales!$Z$1),1)+INT((DAY(Sales!$Z$1)-1)/2)+'Cash Drivers'!AA$13,0)=EOMONTH($W$1,0),Sales!AA$6,0)+IF(EOMONTH(DATE(YEAR(Sales!$W$1),MONTH(Sales!$W$1),1)+INT((DAY(Sales!$W$1)-1)/2)+'Cash Drivers'!X$13,0)=EOMONTH($W$1,0),Sales!X$6,0)+IF(EOMONTH(DATE(YEAR(Sales!$T$1),MONTH(Sales!$T$1),1)+INT((DAY(Sales!$T$1)-1)/2)+'Cash Drivers'!U$13,0)=EOMONTH($W$1,0),Sales!U$6,0)+IF(EOMONTH(DATE(YEAR(Sales!$Q$1),MONTH(Sales!$Q$1),1)+INT((DAY(Sales!$Q$1)-1)/2)+'Cash Drivers'!R$13,0)=EOMONTH($W$1,0),Sales!R$6,0)+IF(EOMONTH(DATE(YEAR(Sales!$N$1),MONTH(Sales!$N$1),1)+INT((DAY(Sales!$N$1)-1)/2)+'Cash Drivers'!O$13,0)=EOMONTH($W$1,0),Sales!O$6,0)+IF(EOMONTH(DATE(YEAR(Sales!$K$1),MONTH(Sales!$K$1),1)+INT((DAY(Sales!$K$1)-1)/2)+'Cash Drivers'!L$13,0)=EOMONTH($W$1,0),Sales!L$6,0)+IF(EOMONTH('Cash Drivers'!$DL$30+'Cash Drivers'!DM$13,0)=EOMONTH($W$1,0),'Cash Drivers'!$DL$32,0),0)</f>
        <v>38</v>
      </c>
      <c r="Y18" s="46" t="n">
        <f aca="false">ROUND(IF(EOMONTH(DATE(YEAR(Sales!$DL$1),MONTH(Sales!$DL$1),1)+INT((DAY(Sales!$DL$1)-1)/2)+'Cash Drivers'!DN$13,0)=EOMONTH($W$1,0),Sales!DN$6,0)+IF(EOMONTH(DATE(YEAR(Sales!$DI$1),MONTH(Sales!$DI$1),1)+INT((DAY(Sales!$DI$1)-1)/2)+'Cash Drivers'!DK$13,0)=EOMONTH($W$1,0),Sales!DK$6,0)+IF(EOMONTH(DATE(YEAR(Sales!$DF$1),MONTH(Sales!$DF$1),1)+INT((DAY(Sales!$DF$1)-1)/2)+'Cash Drivers'!DH$13,0)=EOMONTH($W$1,0),Sales!DH$6,0)+IF(EOMONTH(DATE(YEAR(Sales!$DC$1),MONTH(Sales!$DC$1),1)+INT((DAY(Sales!$DC$1)-1)/2)+'Cash Drivers'!DE$13,0)=EOMONTH($W$1,0),Sales!DE$6,0)+IF(EOMONTH(DATE(YEAR(Sales!$CZ$1),MONTH(Sales!$CZ$1),1)+INT((DAY(Sales!$CZ$1)-1)/2)+'Cash Drivers'!DB$13,0)=EOMONTH($W$1,0),Sales!DB$6,0)+IF(EOMONTH(DATE(YEAR(Sales!$CW$1),MONTH(Sales!$CW$1),1)+INT((DAY(Sales!$CW$1)-1)/2)+'Cash Drivers'!CY$13,0)=EOMONTH($W$1,0),Sales!CY$6,0)+IF(EOMONTH(DATE(YEAR(Sales!$CT$1),MONTH(Sales!$CT$1),1)+INT((DAY(Sales!$CT$1)-1)/2)+'Cash Drivers'!CV$13,0)=EOMONTH($W$1,0),Sales!CV$6,0)+IF(EOMONTH(DATE(YEAR(Sales!$CQ$1),MONTH(Sales!$CQ$1),1)+INT((DAY(Sales!$CQ$1)-1)/2)+'Cash Drivers'!CS$13,0)=EOMONTH($W$1,0),Sales!CS$6,0)+IF(EOMONTH(DATE(YEAR(Sales!$CN$1),MONTH(Sales!$CN$1),1)+INT((DAY(Sales!$CN$1)-1)/2)+'Cash Drivers'!CP$13,0)=EOMONTH($W$1,0),Sales!CP$6,0)+IF(EOMONTH(DATE(YEAR(Sales!$CK$1),MONTH(Sales!$CK$1),1)+INT((DAY(Sales!$CK$1)-1)/2)+'Cash Drivers'!CM$13,0)=EOMONTH($W$1,0),Sales!CM$6,0)+IF(EOMONTH(DATE(YEAR(Sales!$CH$1),MONTH(Sales!$CH$1),1)+INT((DAY(Sales!$CH$1)-1)/2)+'Cash Drivers'!CJ$13,0)=EOMONTH($W$1,0),Sales!CJ$6,0)+IF(EOMONTH(DATE(YEAR(Sales!$CE$1),MONTH(Sales!$CE$1),1)+INT((DAY(Sales!$CE$1)-1)/2)+'Cash Drivers'!CG$13,0)=EOMONTH($W$1,0),Sales!CG$6,0)+IF(EOMONTH(DATE(YEAR(Sales!$CB$1),MONTH(Sales!$CB$1),1)+INT((DAY(Sales!$CB$1)-1)/2)+'Cash Drivers'!CD$13,0)=EOMONTH($W$1,0),Sales!CD$6,0)+IF(EOMONTH(DATE(YEAR(Sales!$BY$1),MONTH(Sales!$BY$1),1)+INT((DAY(Sales!$BY$1)-1)/2)+'Cash Drivers'!CA$13,0)=EOMONTH($W$1,0),Sales!CA$6,0)+IF(EOMONTH(DATE(YEAR(Sales!$BV$1),MONTH(Sales!$BV$1),1)+INT((DAY(Sales!$BV$1)-1)/2)+'Cash Drivers'!BX$13,0)=EOMONTH($W$1,0),Sales!BX$6,0)+IF(EOMONTH(DATE(YEAR(Sales!$BS$1),MONTH(Sales!$BS$1),1)+INT((DAY(Sales!$BS$1)-1)/2)+'Cash Drivers'!BU$13,0)=EOMONTH($W$1,0),Sales!BU$6,0)+IF(EOMONTH(DATE(YEAR(Sales!$BP$1),MONTH(Sales!$BP$1),1)+INT((DAY(Sales!$BP$1)-1)/2)+'Cash Drivers'!BR$13,0)=EOMONTH($W$1,0),Sales!BR$6,0)+IF(EOMONTH(DATE(YEAR(Sales!$BM$1),MONTH(Sales!$BM$1),1)+INT((DAY(Sales!$BM$1)-1)/2)+'Cash Drivers'!BO$13,0)=EOMONTH($W$1,0),Sales!BO$6,0)+IF(EOMONTH(DATE(YEAR(Sales!$BJ$1),MONTH(Sales!$BJ$1),1)+INT((DAY(Sales!$BJ$1)-1)/2)+'Cash Drivers'!BL$13,0)=EOMONTH($W$1,0),Sales!BL$6,0)+IF(EOMONTH(DATE(YEAR(Sales!$BG$1),MONTH(Sales!$BG$1),1)+INT((DAY(Sales!$BG$1)-1)/2)+'Cash Drivers'!BI$13,0)=EOMONTH($W$1,0),Sales!BI$6,0)+IF(EOMONTH(DATE(YEAR(Sales!$BD$1),MONTH(Sales!$BD$1),1)+INT((DAY(Sales!$BD$1)-1)/2)+'Cash Drivers'!BF$13,0)=EOMONTH($W$1,0),Sales!BF$6,0)+IF(EOMONTH(DATE(YEAR(Sales!$BA$1),MONTH(Sales!$BA$1),1)+INT((DAY(Sales!$BA$1)-1)/2)+'Cash Drivers'!BC$13,0)=EOMONTH($W$1,0),Sales!BC$6,0)+IF(EOMONTH(DATE(YEAR(Sales!$AX$1),MONTH(Sales!$AX$1),1)+INT((DAY(Sales!$AX$1)-1)/2)+'Cash Drivers'!AZ$13,0)=EOMONTH($W$1,0),Sales!AZ$6,0)+IF(EOMONTH(DATE(YEAR(Sales!$AU$1),MONTH(Sales!$AU$1),1)+INT((DAY(Sales!$AU$1)-1)/2)+'Cash Drivers'!AW$13,0)=EOMONTH($W$1,0),Sales!AW$6,0)+IF(EOMONTH(DATE(YEAR(Sales!$AR$1),MONTH(Sales!$AR$1),1)+INT((DAY(Sales!$AR$1)-1)/2)+'Cash Drivers'!AT$13,0)=EOMONTH($W$1,0),Sales!AT$6,0)+IF(EOMONTH(DATE(YEAR(Sales!$AO$1),MONTH(Sales!$AO$1),1)+INT((DAY(Sales!$AO$1)-1)/2)+'Cash Drivers'!AQ$13,0)=EOMONTH($W$1,0),Sales!AQ$6,0)+IF(EOMONTH(DATE(YEAR(Sales!$AL$1),MONTH(Sales!$AL$1),1)+INT((DAY(Sales!$AL$1)-1)/2)+'Cash Drivers'!AN$13,0)=EOMONTH($W$1,0),Sales!AN$6,0)+IF(EOMONTH(DATE(YEAR(Sales!$AI$1),MONTH(Sales!$AI$1),1)+INT((DAY(Sales!$AI$1)-1)/2)+'Cash Drivers'!AK$13,0)=EOMONTH($W$1,0),Sales!AK$6,0)+IF(EOMONTH(DATE(YEAR(Sales!$AF$1),MONTH(Sales!$AF$1),1)+INT((DAY(Sales!$AF$1)-1)/2)+'Cash Drivers'!AH$13,0)=EOMONTH($W$1,0),Sales!AH$6,0)+IF(EOMONTH(DATE(YEAR(Sales!$AC$1),MONTH(Sales!$AC$1),1)+INT((DAY(Sales!$AC$1)-1)/2)+'Cash Drivers'!AE$13,0)=EOMONTH($W$1,0),Sales!AE$6,0)+IF(EOMONTH(DATE(YEAR(Sales!$Z$1),MONTH(Sales!$Z$1),1)+INT((DAY(Sales!$Z$1)-1)/2)+'Cash Drivers'!AB$13,0)=EOMONTH($W$1,0),Sales!AB$6,0)+IF(EOMONTH(DATE(YEAR(Sales!$W$1),MONTH(Sales!$W$1),1)+INT((DAY(Sales!$W$1)-1)/2)+'Cash Drivers'!Y$13,0)=EOMONTH($W$1,0),Sales!Y$6,0)+IF(EOMONTH(DATE(YEAR(Sales!$T$1),MONTH(Sales!$T$1),1)+INT((DAY(Sales!$T$1)-1)/2)+'Cash Drivers'!V$13,0)=EOMONTH($W$1,0),Sales!V$6,0)+IF(EOMONTH(DATE(YEAR(Sales!$Q$1),MONTH(Sales!$Q$1),1)+INT((DAY(Sales!$Q$1)-1)/2)+'Cash Drivers'!S$13,0)=EOMONTH($W$1,0),Sales!S$6,0)+IF(EOMONTH(DATE(YEAR(Sales!$N$1),MONTH(Sales!$N$1),1)+INT((DAY(Sales!$N$1)-1)/2)+'Cash Drivers'!P$13,0)=EOMONTH($W$1,0),Sales!P$6,0)+IF(EOMONTH(DATE(YEAR(Sales!$K$1),MONTH(Sales!$K$1),1)+INT((DAY(Sales!$K$1)-1)/2)+'Cash Drivers'!M$13,0)=EOMONTH($W$1,0),Sales!M$6,0)+IF(EOMONTH('Cash Drivers'!$DL$30+'Cash Drivers'!DN$13,0)=EOMONTH($W$1,0),'Cash Drivers'!$DL$32,0),0)</f>
        <v>38</v>
      </c>
      <c r="Z18" s="44" t="n">
        <f aca="false">ROUND(IF(EOMONTH(DATE(YEAR(Sales!$DL$1),MONTH(Sales!$DL$1),1)+INT((DAY(Sales!$DL$1)-1)/2)+'Cash Drivers'!DL$13,0)=EOMONTH($Z$1,0),Sales!DL$6,0)+IF(EOMONTH(DATE(YEAR(Sales!$DI$1),MONTH(Sales!$DI$1),1)+INT((DAY(Sales!$DI$1)-1)/2)+'Cash Drivers'!DI$13,0)=EOMONTH($Z$1,0),Sales!DI$6,0)+IF(EOMONTH(DATE(YEAR(Sales!$DF$1),MONTH(Sales!$DF$1),1)+INT((DAY(Sales!$DF$1)-1)/2)+'Cash Drivers'!DF$13,0)=EOMONTH($Z$1,0),Sales!DF$6,0)+IF(EOMONTH(DATE(YEAR(Sales!$DC$1),MONTH(Sales!$DC$1),1)+INT((DAY(Sales!$DC$1)-1)/2)+'Cash Drivers'!DC$13,0)=EOMONTH($Z$1,0),Sales!DC$6,0)+IF(EOMONTH(DATE(YEAR(Sales!$CZ$1),MONTH(Sales!$CZ$1),1)+INT((DAY(Sales!$CZ$1)-1)/2)+'Cash Drivers'!CZ$13,0)=EOMONTH($Z$1,0),Sales!CZ$6,0)+IF(EOMONTH(DATE(YEAR(Sales!$CW$1),MONTH(Sales!$CW$1),1)+INT((DAY(Sales!$CW$1)-1)/2)+'Cash Drivers'!CW$13,0)=EOMONTH($Z$1,0),Sales!CW$6,0)+IF(EOMONTH(DATE(YEAR(Sales!$CT$1),MONTH(Sales!$CT$1),1)+INT((DAY(Sales!$CT$1)-1)/2)+'Cash Drivers'!CT$13,0)=EOMONTH($Z$1,0),Sales!CT$6,0)+IF(EOMONTH(DATE(YEAR(Sales!$CQ$1),MONTH(Sales!$CQ$1),1)+INT((DAY(Sales!$CQ$1)-1)/2)+'Cash Drivers'!CQ$13,0)=EOMONTH($Z$1,0),Sales!CQ$6,0)+IF(EOMONTH(DATE(YEAR(Sales!$CN$1),MONTH(Sales!$CN$1),1)+INT((DAY(Sales!$CN$1)-1)/2)+'Cash Drivers'!CN$13,0)=EOMONTH($Z$1,0),Sales!CN$6,0)+IF(EOMONTH(DATE(YEAR(Sales!$CK$1),MONTH(Sales!$CK$1),1)+INT((DAY(Sales!$CK$1)-1)/2)+'Cash Drivers'!CK$13,0)=EOMONTH($Z$1,0),Sales!CK$6,0)+IF(EOMONTH(DATE(YEAR(Sales!$CH$1),MONTH(Sales!$CH$1),1)+INT((DAY(Sales!$CH$1)-1)/2)+'Cash Drivers'!CH$13,0)=EOMONTH($Z$1,0),Sales!CH$6,0)+IF(EOMONTH(DATE(YEAR(Sales!$CE$1),MONTH(Sales!$CE$1),1)+INT((DAY(Sales!$CE$1)-1)/2)+'Cash Drivers'!CE$13,0)=EOMONTH($Z$1,0),Sales!CE$6,0)+IF(EOMONTH(DATE(YEAR(Sales!$CB$1),MONTH(Sales!$CB$1),1)+INT((DAY(Sales!$CB$1)-1)/2)+'Cash Drivers'!CB$13,0)=EOMONTH($Z$1,0),Sales!CB$6,0)+IF(EOMONTH(DATE(YEAR(Sales!$BY$1),MONTH(Sales!$BY$1),1)+INT((DAY(Sales!$BY$1)-1)/2)+'Cash Drivers'!BY$13,0)=EOMONTH($Z$1,0),Sales!BY$6,0)+IF(EOMONTH(DATE(YEAR(Sales!$BV$1),MONTH(Sales!$BV$1),1)+INT((DAY(Sales!$BV$1)-1)/2)+'Cash Drivers'!BV$13,0)=EOMONTH($Z$1,0),Sales!BV$6,0)+IF(EOMONTH(DATE(YEAR(Sales!$BS$1),MONTH(Sales!$BS$1),1)+INT((DAY(Sales!$BS$1)-1)/2)+'Cash Drivers'!BS$13,0)=EOMONTH($Z$1,0),Sales!BS$6,0)+IF(EOMONTH(DATE(YEAR(Sales!$BP$1),MONTH(Sales!$BP$1),1)+INT((DAY(Sales!$BP$1)-1)/2)+'Cash Drivers'!BP$13,0)=EOMONTH($Z$1,0),Sales!BP$6,0)+IF(EOMONTH(DATE(YEAR(Sales!$BM$1),MONTH(Sales!$BM$1),1)+INT((DAY(Sales!$BM$1)-1)/2)+'Cash Drivers'!BM$13,0)=EOMONTH($Z$1,0),Sales!BM$6,0)+IF(EOMONTH(DATE(YEAR(Sales!$BJ$1),MONTH(Sales!$BJ$1),1)+INT((DAY(Sales!$BJ$1)-1)/2)+'Cash Drivers'!BJ$13,0)=EOMONTH($Z$1,0),Sales!BJ$6,0)+IF(EOMONTH(DATE(YEAR(Sales!$BG$1),MONTH(Sales!$BG$1),1)+INT((DAY(Sales!$BG$1)-1)/2)+'Cash Drivers'!BG$13,0)=EOMONTH($Z$1,0),Sales!BG$6,0)+IF(EOMONTH(DATE(YEAR(Sales!$BD$1),MONTH(Sales!$BD$1),1)+INT((DAY(Sales!$BD$1)-1)/2)+'Cash Drivers'!BD$13,0)=EOMONTH($Z$1,0),Sales!BD$6,0)+IF(EOMONTH(DATE(YEAR(Sales!$BA$1),MONTH(Sales!$BA$1),1)+INT((DAY(Sales!$BA$1)-1)/2)+'Cash Drivers'!BA$13,0)=EOMONTH($Z$1,0),Sales!BA$6,0)+IF(EOMONTH(DATE(YEAR(Sales!$AX$1),MONTH(Sales!$AX$1),1)+INT((DAY(Sales!$AX$1)-1)/2)+'Cash Drivers'!AX$13,0)=EOMONTH($Z$1,0),Sales!AX$6,0)+IF(EOMONTH(DATE(YEAR(Sales!$AU$1),MONTH(Sales!$AU$1),1)+INT((DAY(Sales!$AU$1)-1)/2)+'Cash Drivers'!AU$13,0)=EOMONTH($Z$1,0),Sales!AU$6,0)+IF(EOMONTH(DATE(YEAR(Sales!$AR$1),MONTH(Sales!$AR$1),1)+INT((DAY(Sales!$AR$1)-1)/2)+'Cash Drivers'!AR$13,0)=EOMONTH($Z$1,0),Sales!AR$6,0)+IF(EOMONTH(DATE(YEAR(Sales!$AO$1),MONTH(Sales!$AO$1),1)+INT((DAY(Sales!$AO$1)-1)/2)+'Cash Drivers'!AO$13,0)=EOMONTH($Z$1,0),Sales!AO$6,0)+IF(EOMONTH(DATE(YEAR(Sales!$AL$1),MONTH(Sales!$AL$1),1)+INT((DAY(Sales!$AL$1)-1)/2)+'Cash Drivers'!AL$13,0)=EOMONTH($Z$1,0),Sales!AL$6,0)+IF(EOMONTH(DATE(YEAR(Sales!$AI$1),MONTH(Sales!$AI$1),1)+INT((DAY(Sales!$AI$1)-1)/2)+'Cash Drivers'!AI$13,0)=EOMONTH($Z$1,0),Sales!AI$6,0)+IF(EOMONTH(DATE(YEAR(Sales!$AF$1),MONTH(Sales!$AF$1),1)+INT((DAY(Sales!$AF$1)-1)/2)+'Cash Drivers'!AF$13,0)=EOMONTH($Z$1,0),Sales!AF$6,0)+IF(EOMONTH(DATE(YEAR(Sales!$AC$1),MONTH(Sales!$AC$1),1)+INT((DAY(Sales!$AC$1)-1)/2)+'Cash Drivers'!AC$13,0)=EOMONTH($Z$1,0),Sales!AC$6,0)+IF(EOMONTH(DATE(YEAR(Sales!$Z$1),MONTH(Sales!$Z$1),1)+INT((DAY(Sales!$Z$1)-1)/2)+'Cash Drivers'!Z$13,0)=EOMONTH($Z$1,0),Sales!Z$6,0)+IF(EOMONTH(DATE(YEAR(Sales!$W$1),MONTH(Sales!$W$1),1)+INT((DAY(Sales!$W$1)-1)/2)+'Cash Drivers'!W$13,0)=EOMONTH($Z$1,0),Sales!W$6,0)+IF(EOMONTH(DATE(YEAR(Sales!$T$1),MONTH(Sales!$T$1),1)+INT((DAY(Sales!$T$1)-1)/2)+'Cash Drivers'!T$13,0)=EOMONTH($Z$1,0),Sales!T$6,0)+IF(EOMONTH(DATE(YEAR(Sales!$Q$1),MONTH(Sales!$Q$1),1)+INT((DAY(Sales!$Q$1)-1)/2)+'Cash Drivers'!Q$13,0)=EOMONTH($Z$1,0),Sales!Q$6,0)+IF(EOMONTH(DATE(YEAR(Sales!$N$1),MONTH(Sales!$N$1),1)+INT((DAY(Sales!$N$1)-1)/2)+'Cash Drivers'!N$13,0)=EOMONTH($Z$1,0),Sales!N$6,0)+IF(EOMONTH(DATE(YEAR(Sales!$K$1),MONTH(Sales!$K$1),1)+INT((DAY(Sales!$K$1)-1)/2)+'Cash Drivers'!K$13,0)=EOMONTH($Z$1,0),Sales!K$6,0)+IF(EOMONTH('Cash Drivers'!$DL$30+'Cash Drivers'!DL$13,0)=EOMONTH($Z$1,0),'Cash Drivers'!$DL$32,0),0)</f>
        <v>0</v>
      </c>
      <c r="AA18" s="45" t="n">
        <f aca="false">ROUND(IF(EOMONTH(DATE(YEAR(Sales!$DL$1),MONTH(Sales!$DL$1),1)+INT((DAY(Sales!$DL$1)-1)/2)+'Cash Drivers'!DM$13,0)=EOMONTH($Z$1,0),Sales!DM$6,0)+IF(EOMONTH(DATE(YEAR(Sales!$DI$1),MONTH(Sales!$DI$1),1)+INT((DAY(Sales!$DI$1)-1)/2)+'Cash Drivers'!DJ$13,0)=EOMONTH($Z$1,0),Sales!DJ$6,0)+IF(EOMONTH(DATE(YEAR(Sales!$DF$1),MONTH(Sales!$DF$1),1)+INT((DAY(Sales!$DF$1)-1)/2)+'Cash Drivers'!DG$13,0)=EOMONTH($Z$1,0),Sales!DG$6,0)+IF(EOMONTH(DATE(YEAR(Sales!$DC$1),MONTH(Sales!$DC$1),1)+INT((DAY(Sales!$DC$1)-1)/2)+'Cash Drivers'!DD$13,0)=EOMONTH($Z$1,0),Sales!DD$6,0)+IF(EOMONTH(DATE(YEAR(Sales!$CZ$1),MONTH(Sales!$CZ$1),1)+INT((DAY(Sales!$CZ$1)-1)/2)+'Cash Drivers'!DA$13,0)=EOMONTH($Z$1,0),Sales!DA$6,0)+IF(EOMONTH(DATE(YEAR(Sales!$CW$1),MONTH(Sales!$CW$1),1)+INT((DAY(Sales!$CW$1)-1)/2)+'Cash Drivers'!CX$13,0)=EOMONTH($Z$1,0),Sales!CX$6,0)+IF(EOMONTH(DATE(YEAR(Sales!$CT$1),MONTH(Sales!$CT$1),1)+INT((DAY(Sales!$CT$1)-1)/2)+'Cash Drivers'!CU$13,0)=EOMONTH($Z$1,0),Sales!CU$6,0)+IF(EOMONTH(DATE(YEAR(Sales!$CQ$1),MONTH(Sales!$CQ$1),1)+INT((DAY(Sales!$CQ$1)-1)/2)+'Cash Drivers'!CR$13,0)=EOMONTH($Z$1,0),Sales!CR$6,0)+IF(EOMONTH(DATE(YEAR(Sales!$CN$1),MONTH(Sales!$CN$1),1)+INT((DAY(Sales!$CN$1)-1)/2)+'Cash Drivers'!CO$13,0)=EOMONTH($Z$1,0),Sales!CO$6,0)+IF(EOMONTH(DATE(YEAR(Sales!$CK$1),MONTH(Sales!$CK$1),1)+INT((DAY(Sales!$CK$1)-1)/2)+'Cash Drivers'!CL$13,0)=EOMONTH($Z$1,0),Sales!CL$6,0)+IF(EOMONTH(DATE(YEAR(Sales!$CH$1),MONTH(Sales!$CH$1),1)+INT((DAY(Sales!$CH$1)-1)/2)+'Cash Drivers'!CI$13,0)=EOMONTH($Z$1,0),Sales!CI$6,0)+IF(EOMONTH(DATE(YEAR(Sales!$CE$1),MONTH(Sales!$CE$1),1)+INT((DAY(Sales!$CE$1)-1)/2)+'Cash Drivers'!CF$13,0)=EOMONTH($Z$1,0),Sales!CF$6,0)+IF(EOMONTH(DATE(YEAR(Sales!$CB$1),MONTH(Sales!$CB$1),1)+INT((DAY(Sales!$CB$1)-1)/2)+'Cash Drivers'!CC$13,0)=EOMONTH($Z$1,0),Sales!CC$6,0)+IF(EOMONTH(DATE(YEAR(Sales!$BY$1),MONTH(Sales!$BY$1),1)+INT((DAY(Sales!$BY$1)-1)/2)+'Cash Drivers'!BZ$13,0)=EOMONTH($Z$1,0),Sales!BZ$6,0)+IF(EOMONTH(DATE(YEAR(Sales!$BV$1),MONTH(Sales!$BV$1),1)+INT((DAY(Sales!$BV$1)-1)/2)+'Cash Drivers'!BW$13,0)=EOMONTH($Z$1,0),Sales!BW$6,0)+IF(EOMONTH(DATE(YEAR(Sales!$BS$1),MONTH(Sales!$BS$1),1)+INT((DAY(Sales!$BS$1)-1)/2)+'Cash Drivers'!BT$13,0)=EOMONTH($Z$1,0),Sales!BT$6,0)+IF(EOMONTH(DATE(YEAR(Sales!$BP$1),MONTH(Sales!$BP$1),1)+INT((DAY(Sales!$BP$1)-1)/2)+'Cash Drivers'!BQ$13,0)=EOMONTH($Z$1,0),Sales!BQ$6,0)+IF(EOMONTH(DATE(YEAR(Sales!$BM$1),MONTH(Sales!$BM$1),1)+INT((DAY(Sales!$BM$1)-1)/2)+'Cash Drivers'!BN$13,0)=EOMONTH($Z$1,0),Sales!BN$6,0)+IF(EOMONTH(DATE(YEAR(Sales!$BJ$1),MONTH(Sales!$BJ$1),1)+INT((DAY(Sales!$BJ$1)-1)/2)+'Cash Drivers'!BK$13,0)=EOMONTH($Z$1,0),Sales!BK$6,0)+IF(EOMONTH(DATE(YEAR(Sales!$BG$1),MONTH(Sales!$BG$1),1)+INT((DAY(Sales!$BG$1)-1)/2)+'Cash Drivers'!BH$13,0)=EOMONTH($Z$1,0),Sales!BH$6,0)+IF(EOMONTH(DATE(YEAR(Sales!$BD$1),MONTH(Sales!$BD$1),1)+INT((DAY(Sales!$BD$1)-1)/2)+'Cash Drivers'!BE$13,0)=EOMONTH($Z$1,0),Sales!BE$6,0)+IF(EOMONTH(DATE(YEAR(Sales!$BA$1),MONTH(Sales!$BA$1),1)+INT((DAY(Sales!$BA$1)-1)/2)+'Cash Drivers'!BB$13,0)=EOMONTH($Z$1,0),Sales!BB$6,0)+IF(EOMONTH(DATE(YEAR(Sales!$AX$1),MONTH(Sales!$AX$1),1)+INT((DAY(Sales!$AX$1)-1)/2)+'Cash Drivers'!AY$13,0)=EOMONTH($Z$1,0),Sales!AY$6,0)+IF(EOMONTH(DATE(YEAR(Sales!$AU$1),MONTH(Sales!$AU$1),1)+INT((DAY(Sales!$AU$1)-1)/2)+'Cash Drivers'!AV$13,0)=EOMONTH($Z$1,0),Sales!AV$6,0)+IF(EOMONTH(DATE(YEAR(Sales!$AR$1),MONTH(Sales!$AR$1),1)+INT((DAY(Sales!$AR$1)-1)/2)+'Cash Drivers'!AS$13,0)=EOMONTH($Z$1,0),Sales!AS$6,0)+IF(EOMONTH(DATE(YEAR(Sales!$AO$1),MONTH(Sales!$AO$1),1)+INT((DAY(Sales!$AO$1)-1)/2)+'Cash Drivers'!AP$13,0)=EOMONTH($Z$1,0),Sales!AP$6,0)+IF(EOMONTH(DATE(YEAR(Sales!$AL$1),MONTH(Sales!$AL$1),1)+INT((DAY(Sales!$AL$1)-1)/2)+'Cash Drivers'!AM$13,0)=EOMONTH($Z$1,0),Sales!AM$6,0)+IF(EOMONTH(DATE(YEAR(Sales!$AI$1),MONTH(Sales!$AI$1),1)+INT((DAY(Sales!$AI$1)-1)/2)+'Cash Drivers'!AJ$13,0)=EOMONTH($Z$1,0),Sales!AJ$6,0)+IF(EOMONTH(DATE(YEAR(Sales!$AF$1),MONTH(Sales!$AF$1),1)+INT((DAY(Sales!$AF$1)-1)/2)+'Cash Drivers'!AG$13,0)=EOMONTH($Z$1,0),Sales!AG$6,0)+IF(EOMONTH(DATE(YEAR(Sales!$AC$1),MONTH(Sales!$AC$1),1)+INT((DAY(Sales!$AC$1)-1)/2)+'Cash Drivers'!AD$13,0)=EOMONTH($Z$1,0),Sales!AD$6,0)+IF(EOMONTH(DATE(YEAR(Sales!$Z$1),MONTH(Sales!$Z$1),1)+INT((DAY(Sales!$Z$1)-1)/2)+'Cash Drivers'!AA$13,0)=EOMONTH($Z$1,0),Sales!AA$6,0)+IF(EOMONTH(DATE(YEAR(Sales!$W$1),MONTH(Sales!$W$1),1)+INT((DAY(Sales!$W$1)-1)/2)+'Cash Drivers'!X$13,0)=EOMONTH($Z$1,0),Sales!X$6,0)+IF(EOMONTH(DATE(YEAR(Sales!$T$1),MONTH(Sales!$T$1),1)+INT((DAY(Sales!$T$1)-1)/2)+'Cash Drivers'!U$13,0)=EOMONTH($Z$1,0),Sales!U$6,0)+IF(EOMONTH(DATE(YEAR(Sales!$Q$1),MONTH(Sales!$Q$1),1)+INT((DAY(Sales!$Q$1)-1)/2)+'Cash Drivers'!R$13,0)=EOMONTH($Z$1,0),Sales!R$6,0)+IF(EOMONTH(DATE(YEAR(Sales!$N$1),MONTH(Sales!$N$1),1)+INT((DAY(Sales!$N$1)-1)/2)+'Cash Drivers'!O$13,0)=EOMONTH($Z$1,0),Sales!O$6,0)+IF(EOMONTH(DATE(YEAR(Sales!$K$1),MONTH(Sales!$K$1),1)+INT((DAY(Sales!$K$1)-1)/2)+'Cash Drivers'!L$13,0)=EOMONTH($Z$1,0),Sales!L$6,0)+IF(EOMONTH('Cash Drivers'!$DL$30+'Cash Drivers'!DM$13,0)=EOMONTH($Z$1,0),'Cash Drivers'!$DL$32,0),0)</f>
        <v>38</v>
      </c>
      <c r="AB18" s="46" t="n">
        <f aca="false">ROUND(IF(EOMONTH(DATE(YEAR(Sales!$DL$1),MONTH(Sales!$DL$1),1)+INT((DAY(Sales!$DL$1)-1)/2)+'Cash Drivers'!DN$13,0)=EOMONTH($Z$1,0),Sales!DN$6,0)+IF(EOMONTH(DATE(YEAR(Sales!$DI$1),MONTH(Sales!$DI$1),1)+INT((DAY(Sales!$DI$1)-1)/2)+'Cash Drivers'!DK$13,0)=EOMONTH($Z$1,0),Sales!DK$6,0)+IF(EOMONTH(DATE(YEAR(Sales!$DF$1),MONTH(Sales!$DF$1),1)+INT((DAY(Sales!$DF$1)-1)/2)+'Cash Drivers'!DH$13,0)=EOMONTH($Z$1,0),Sales!DH$6,0)+IF(EOMONTH(DATE(YEAR(Sales!$DC$1),MONTH(Sales!$DC$1),1)+INT((DAY(Sales!$DC$1)-1)/2)+'Cash Drivers'!DE$13,0)=EOMONTH($Z$1,0),Sales!DE$6,0)+IF(EOMONTH(DATE(YEAR(Sales!$CZ$1),MONTH(Sales!$CZ$1),1)+INT((DAY(Sales!$CZ$1)-1)/2)+'Cash Drivers'!DB$13,0)=EOMONTH($Z$1,0),Sales!DB$6,0)+IF(EOMONTH(DATE(YEAR(Sales!$CW$1),MONTH(Sales!$CW$1),1)+INT((DAY(Sales!$CW$1)-1)/2)+'Cash Drivers'!CY$13,0)=EOMONTH($Z$1,0),Sales!CY$6,0)+IF(EOMONTH(DATE(YEAR(Sales!$CT$1),MONTH(Sales!$CT$1),1)+INT((DAY(Sales!$CT$1)-1)/2)+'Cash Drivers'!CV$13,0)=EOMONTH($Z$1,0),Sales!CV$6,0)+IF(EOMONTH(DATE(YEAR(Sales!$CQ$1),MONTH(Sales!$CQ$1),1)+INT((DAY(Sales!$CQ$1)-1)/2)+'Cash Drivers'!CS$13,0)=EOMONTH($Z$1,0),Sales!CS$6,0)+IF(EOMONTH(DATE(YEAR(Sales!$CN$1),MONTH(Sales!$CN$1),1)+INT((DAY(Sales!$CN$1)-1)/2)+'Cash Drivers'!CP$13,0)=EOMONTH($Z$1,0),Sales!CP$6,0)+IF(EOMONTH(DATE(YEAR(Sales!$CK$1),MONTH(Sales!$CK$1),1)+INT((DAY(Sales!$CK$1)-1)/2)+'Cash Drivers'!CM$13,0)=EOMONTH($Z$1,0),Sales!CM$6,0)+IF(EOMONTH(DATE(YEAR(Sales!$CH$1),MONTH(Sales!$CH$1),1)+INT((DAY(Sales!$CH$1)-1)/2)+'Cash Drivers'!CJ$13,0)=EOMONTH($Z$1,0),Sales!CJ$6,0)+IF(EOMONTH(DATE(YEAR(Sales!$CE$1),MONTH(Sales!$CE$1),1)+INT((DAY(Sales!$CE$1)-1)/2)+'Cash Drivers'!CG$13,0)=EOMONTH($Z$1,0),Sales!CG$6,0)+IF(EOMONTH(DATE(YEAR(Sales!$CB$1),MONTH(Sales!$CB$1),1)+INT((DAY(Sales!$CB$1)-1)/2)+'Cash Drivers'!CD$13,0)=EOMONTH($Z$1,0),Sales!CD$6,0)+IF(EOMONTH(DATE(YEAR(Sales!$BY$1),MONTH(Sales!$BY$1),1)+INT((DAY(Sales!$BY$1)-1)/2)+'Cash Drivers'!CA$13,0)=EOMONTH($Z$1,0),Sales!CA$6,0)+IF(EOMONTH(DATE(YEAR(Sales!$BV$1),MONTH(Sales!$BV$1),1)+INT((DAY(Sales!$BV$1)-1)/2)+'Cash Drivers'!BX$13,0)=EOMONTH($Z$1,0),Sales!BX$6,0)+IF(EOMONTH(DATE(YEAR(Sales!$BS$1),MONTH(Sales!$BS$1),1)+INT((DAY(Sales!$BS$1)-1)/2)+'Cash Drivers'!BU$13,0)=EOMONTH($Z$1,0),Sales!BU$6,0)+IF(EOMONTH(DATE(YEAR(Sales!$BP$1),MONTH(Sales!$BP$1),1)+INT((DAY(Sales!$BP$1)-1)/2)+'Cash Drivers'!BR$13,0)=EOMONTH($Z$1,0),Sales!BR$6,0)+IF(EOMONTH(DATE(YEAR(Sales!$BM$1),MONTH(Sales!$BM$1),1)+INT((DAY(Sales!$BM$1)-1)/2)+'Cash Drivers'!BO$13,0)=EOMONTH($Z$1,0),Sales!BO$6,0)+IF(EOMONTH(DATE(YEAR(Sales!$BJ$1),MONTH(Sales!$BJ$1),1)+INT((DAY(Sales!$BJ$1)-1)/2)+'Cash Drivers'!BL$13,0)=EOMONTH($Z$1,0),Sales!BL$6,0)+IF(EOMONTH(DATE(YEAR(Sales!$BG$1),MONTH(Sales!$BG$1),1)+INT((DAY(Sales!$BG$1)-1)/2)+'Cash Drivers'!BI$13,0)=EOMONTH($Z$1,0),Sales!BI$6,0)+IF(EOMONTH(DATE(YEAR(Sales!$BD$1),MONTH(Sales!$BD$1),1)+INT((DAY(Sales!$BD$1)-1)/2)+'Cash Drivers'!BF$13,0)=EOMONTH($Z$1,0),Sales!BF$6,0)+IF(EOMONTH(DATE(YEAR(Sales!$BA$1),MONTH(Sales!$BA$1),1)+INT((DAY(Sales!$BA$1)-1)/2)+'Cash Drivers'!BC$13,0)=EOMONTH($Z$1,0),Sales!BC$6,0)+IF(EOMONTH(DATE(YEAR(Sales!$AX$1),MONTH(Sales!$AX$1),1)+INT((DAY(Sales!$AX$1)-1)/2)+'Cash Drivers'!AZ$13,0)=EOMONTH($Z$1,0),Sales!AZ$6,0)+IF(EOMONTH(DATE(YEAR(Sales!$AU$1),MONTH(Sales!$AU$1),1)+INT((DAY(Sales!$AU$1)-1)/2)+'Cash Drivers'!AW$13,0)=EOMONTH($Z$1,0),Sales!AW$6,0)+IF(EOMONTH(DATE(YEAR(Sales!$AR$1),MONTH(Sales!$AR$1),1)+INT((DAY(Sales!$AR$1)-1)/2)+'Cash Drivers'!AT$13,0)=EOMONTH($Z$1,0),Sales!AT$6,0)+IF(EOMONTH(DATE(YEAR(Sales!$AO$1),MONTH(Sales!$AO$1),1)+INT((DAY(Sales!$AO$1)-1)/2)+'Cash Drivers'!AQ$13,0)=EOMONTH($Z$1,0),Sales!AQ$6,0)+IF(EOMONTH(DATE(YEAR(Sales!$AL$1),MONTH(Sales!$AL$1),1)+INT((DAY(Sales!$AL$1)-1)/2)+'Cash Drivers'!AN$13,0)=EOMONTH($Z$1,0),Sales!AN$6,0)+IF(EOMONTH(DATE(YEAR(Sales!$AI$1),MONTH(Sales!$AI$1),1)+INT((DAY(Sales!$AI$1)-1)/2)+'Cash Drivers'!AK$13,0)=EOMONTH($Z$1,0),Sales!AK$6,0)+IF(EOMONTH(DATE(YEAR(Sales!$AF$1),MONTH(Sales!$AF$1),1)+INT((DAY(Sales!$AF$1)-1)/2)+'Cash Drivers'!AH$13,0)=EOMONTH($Z$1,0),Sales!AH$6,0)+IF(EOMONTH(DATE(YEAR(Sales!$AC$1),MONTH(Sales!$AC$1),1)+INT((DAY(Sales!$AC$1)-1)/2)+'Cash Drivers'!AE$13,0)=EOMONTH($Z$1,0),Sales!AE$6,0)+IF(EOMONTH(DATE(YEAR(Sales!$Z$1),MONTH(Sales!$Z$1),1)+INT((DAY(Sales!$Z$1)-1)/2)+'Cash Drivers'!AB$13,0)=EOMONTH($Z$1,0),Sales!AB$6,0)+IF(EOMONTH(DATE(YEAR(Sales!$W$1),MONTH(Sales!$W$1),1)+INT((DAY(Sales!$W$1)-1)/2)+'Cash Drivers'!Y$13,0)=EOMONTH($Z$1,0),Sales!Y$6,0)+IF(EOMONTH(DATE(YEAR(Sales!$T$1),MONTH(Sales!$T$1),1)+INT((DAY(Sales!$T$1)-1)/2)+'Cash Drivers'!V$13,0)=EOMONTH($Z$1,0),Sales!V$6,0)+IF(EOMONTH(DATE(YEAR(Sales!$Q$1),MONTH(Sales!$Q$1),1)+INT((DAY(Sales!$Q$1)-1)/2)+'Cash Drivers'!S$13,0)=EOMONTH($Z$1,0),Sales!S$6,0)+IF(EOMONTH(DATE(YEAR(Sales!$N$1),MONTH(Sales!$N$1),1)+INT((DAY(Sales!$N$1)-1)/2)+'Cash Drivers'!P$13,0)=EOMONTH($Z$1,0),Sales!P$6,0)+IF(EOMONTH(DATE(YEAR(Sales!$K$1),MONTH(Sales!$K$1),1)+INT((DAY(Sales!$K$1)-1)/2)+'Cash Drivers'!M$13,0)=EOMONTH($Z$1,0),Sales!M$6,0)+IF(EOMONTH('Cash Drivers'!$DL$30+'Cash Drivers'!DN$13,0)=EOMONTH($Z$1,0),'Cash Drivers'!$DL$32,0),0)</f>
        <v>38</v>
      </c>
      <c r="AC18" s="44" t="n">
        <f aca="false">ROUND(IF(EOMONTH(DATE(YEAR(Sales!$DL$1),MONTH(Sales!$DL$1),1)+INT((DAY(Sales!$DL$1)-1)/2)+'Cash Drivers'!DL$13,0)=EOMONTH($AC$1,0),Sales!DL$6,0)+IF(EOMONTH(DATE(YEAR(Sales!$DI$1),MONTH(Sales!$DI$1),1)+INT((DAY(Sales!$DI$1)-1)/2)+'Cash Drivers'!DI$13,0)=EOMONTH($AC$1,0),Sales!DI$6,0)+IF(EOMONTH(DATE(YEAR(Sales!$DF$1),MONTH(Sales!$DF$1),1)+INT((DAY(Sales!$DF$1)-1)/2)+'Cash Drivers'!DF$13,0)=EOMONTH($AC$1,0),Sales!DF$6,0)+IF(EOMONTH(DATE(YEAR(Sales!$DC$1),MONTH(Sales!$DC$1),1)+INT((DAY(Sales!$DC$1)-1)/2)+'Cash Drivers'!DC$13,0)=EOMONTH($AC$1,0),Sales!DC$6,0)+IF(EOMONTH(DATE(YEAR(Sales!$CZ$1),MONTH(Sales!$CZ$1),1)+INT((DAY(Sales!$CZ$1)-1)/2)+'Cash Drivers'!CZ$13,0)=EOMONTH($AC$1,0),Sales!CZ$6,0)+IF(EOMONTH(DATE(YEAR(Sales!$CW$1),MONTH(Sales!$CW$1),1)+INT((DAY(Sales!$CW$1)-1)/2)+'Cash Drivers'!CW$13,0)=EOMONTH($AC$1,0),Sales!CW$6,0)+IF(EOMONTH(DATE(YEAR(Sales!$CT$1),MONTH(Sales!$CT$1),1)+INT((DAY(Sales!$CT$1)-1)/2)+'Cash Drivers'!CT$13,0)=EOMONTH($AC$1,0),Sales!CT$6,0)+IF(EOMONTH(DATE(YEAR(Sales!$CQ$1),MONTH(Sales!$CQ$1),1)+INT((DAY(Sales!$CQ$1)-1)/2)+'Cash Drivers'!CQ$13,0)=EOMONTH($AC$1,0),Sales!CQ$6,0)+IF(EOMONTH(DATE(YEAR(Sales!$CN$1),MONTH(Sales!$CN$1),1)+INT((DAY(Sales!$CN$1)-1)/2)+'Cash Drivers'!CN$13,0)=EOMONTH($AC$1,0),Sales!CN$6,0)+IF(EOMONTH(DATE(YEAR(Sales!$CK$1),MONTH(Sales!$CK$1),1)+INT((DAY(Sales!$CK$1)-1)/2)+'Cash Drivers'!CK$13,0)=EOMONTH($AC$1,0),Sales!CK$6,0)+IF(EOMONTH(DATE(YEAR(Sales!$CH$1),MONTH(Sales!$CH$1),1)+INT((DAY(Sales!$CH$1)-1)/2)+'Cash Drivers'!CH$13,0)=EOMONTH($AC$1,0),Sales!CH$6,0)+IF(EOMONTH(DATE(YEAR(Sales!$CE$1),MONTH(Sales!$CE$1),1)+INT((DAY(Sales!$CE$1)-1)/2)+'Cash Drivers'!CE$13,0)=EOMONTH($AC$1,0),Sales!CE$6,0)+IF(EOMONTH(DATE(YEAR(Sales!$CB$1),MONTH(Sales!$CB$1),1)+INT((DAY(Sales!$CB$1)-1)/2)+'Cash Drivers'!CB$13,0)=EOMONTH($AC$1,0),Sales!CB$6,0)+IF(EOMONTH(DATE(YEAR(Sales!$BY$1),MONTH(Sales!$BY$1),1)+INT((DAY(Sales!$BY$1)-1)/2)+'Cash Drivers'!BY$13,0)=EOMONTH($AC$1,0),Sales!BY$6,0)+IF(EOMONTH(DATE(YEAR(Sales!$BV$1),MONTH(Sales!$BV$1),1)+INT((DAY(Sales!$BV$1)-1)/2)+'Cash Drivers'!BV$13,0)=EOMONTH($AC$1,0),Sales!BV$6,0)+IF(EOMONTH(DATE(YEAR(Sales!$BS$1),MONTH(Sales!$BS$1),1)+INT((DAY(Sales!$BS$1)-1)/2)+'Cash Drivers'!BS$13,0)=EOMONTH($AC$1,0),Sales!BS$6,0)+IF(EOMONTH(DATE(YEAR(Sales!$BP$1),MONTH(Sales!$BP$1),1)+INT((DAY(Sales!$BP$1)-1)/2)+'Cash Drivers'!BP$13,0)=EOMONTH($AC$1,0),Sales!BP$6,0)+IF(EOMONTH(DATE(YEAR(Sales!$BM$1),MONTH(Sales!$BM$1),1)+INT((DAY(Sales!$BM$1)-1)/2)+'Cash Drivers'!BM$13,0)=EOMONTH($AC$1,0),Sales!BM$6,0)+IF(EOMONTH(DATE(YEAR(Sales!$BJ$1),MONTH(Sales!$BJ$1),1)+INT((DAY(Sales!$BJ$1)-1)/2)+'Cash Drivers'!BJ$13,0)=EOMONTH($AC$1,0),Sales!BJ$6,0)+IF(EOMONTH(DATE(YEAR(Sales!$BG$1),MONTH(Sales!$BG$1),1)+INT((DAY(Sales!$BG$1)-1)/2)+'Cash Drivers'!BG$13,0)=EOMONTH($AC$1,0),Sales!BG$6,0)+IF(EOMONTH(DATE(YEAR(Sales!$BD$1),MONTH(Sales!$BD$1),1)+INT((DAY(Sales!$BD$1)-1)/2)+'Cash Drivers'!BD$13,0)=EOMONTH($AC$1,0),Sales!BD$6,0)+IF(EOMONTH(DATE(YEAR(Sales!$BA$1),MONTH(Sales!$BA$1),1)+INT((DAY(Sales!$BA$1)-1)/2)+'Cash Drivers'!BA$13,0)=EOMONTH($AC$1,0),Sales!BA$6,0)+IF(EOMONTH(DATE(YEAR(Sales!$AX$1),MONTH(Sales!$AX$1),1)+INT((DAY(Sales!$AX$1)-1)/2)+'Cash Drivers'!AX$13,0)=EOMONTH($AC$1,0),Sales!AX$6,0)+IF(EOMONTH(DATE(YEAR(Sales!$AU$1),MONTH(Sales!$AU$1),1)+INT((DAY(Sales!$AU$1)-1)/2)+'Cash Drivers'!AU$13,0)=EOMONTH($AC$1,0),Sales!AU$6,0)+IF(EOMONTH(DATE(YEAR(Sales!$AR$1),MONTH(Sales!$AR$1),1)+INT((DAY(Sales!$AR$1)-1)/2)+'Cash Drivers'!AR$13,0)=EOMONTH($AC$1,0),Sales!AR$6,0)+IF(EOMONTH(DATE(YEAR(Sales!$AO$1),MONTH(Sales!$AO$1),1)+INT((DAY(Sales!$AO$1)-1)/2)+'Cash Drivers'!AO$13,0)=EOMONTH($AC$1,0),Sales!AO$6,0)+IF(EOMONTH(DATE(YEAR(Sales!$AL$1),MONTH(Sales!$AL$1),1)+INT((DAY(Sales!$AL$1)-1)/2)+'Cash Drivers'!AL$13,0)=EOMONTH($AC$1,0),Sales!AL$6,0)+IF(EOMONTH(DATE(YEAR(Sales!$AI$1),MONTH(Sales!$AI$1),1)+INT((DAY(Sales!$AI$1)-1)/2)+'Cash Drivers'!AI$13,0)=EOMONTH($AC$1,0),Sales!AI$6,0)+IF(EOMONTH(DATE(YEAR(Sales!$AF$1),MONTH(Sales!$AF$1),1)+INT((DAY(Sales!$AF$1)-1)/2)+'Cash Drivers'!AF$13,0)=EOMONTH($AC$1,0),Sales!AF$6,0)+IF(EOMONTH(DATE(YEAR(Sales!$AC$1),MONTH(Sales!$AC$1),1)+INT((DAY(Sales!$AC$1)-1)/2)+'Cash Drivers'!AC$13,0)=EOMONTH($AC$1,0),Sales!AC$6,0)+IF(EOMONTH(DATE(YEAR(Sales!$Z$1),MONTH(Sales!$Z$1),1)+INT((DAY(Sales!$Z$1)-1)/2)+'Cash Drivers'!Z$13,0)=EOMONTH($AC$1,0),Sales!Z$6,0)+IF(EOMONTH(DATE(YEAR(Sales!$W$1),MONTH(Sales!$W$1),1)+INT((DAY(Sales!$W$1)-1)/2)+'Cash Drivers'!W$13,0)=EOMONTH($AC$1,0),Sales!W$6,0)+IF(EOMONTH(DATE(YEAR(Sales!$T$1),MONTH(Sales!$T$1),1)+INT((DAY(Sales!$T$1)-1)/2)+'Cash Drivers'!T$13,0)=EOMONTH($AC$1,0),Sales!T$6,0)+IF(EOMONTH(DATE(YEAR(Sales!$Q$1),MONTH(Sales!$Q$1),1)+INT((DAY(Sales!$Q$1)-1)/2)+'Cash Drivers'!Q$13,0)=EOMONTH($AC$1,0),Sales!Q$6,0)+IF(EOMONTH(DATE(YEAR(Sales!$N$1),MONTH(Sales!$N$1),1)+INT((DAY(Sales!$N$1)-1)/2)+'Cash Drivers'!N$13,0)=EOMONTH($AC$1,0),Sales!N$6,0)+IF(EOMONTH(DATE(YEAR(Sales!$K$1),MONTH(Sales!$K$1),1)+INT((DAY(Sales!$K$1)-1)/2)+'Cash Drivers'!K$13,0)=EOMONTH($AC$1,0),Sales!K$6,0)+IF(EOMONTH('Cash Drivers'!$DL$30+'Cash Drivers'!DL$13,0)=EOMONTH($AC$1,0),'Cash Drivers'!$DL$32,0),0)</f>
        <v>0</v>
      </c>
      <c r="AD18" s="45" t="n">
        <f aca="false">ROUND(IF(EOMONTH(DATE(YEAR(Sales!$DL$1),MONTH(Sales!$DL$1),1)+INT((DAY(Sales!$DL$1)-1)/2)+'Cash Drivers'!DM$13,0)=EOMONTH($AC$1,0),Sales!DM$6,0)+IF(EOMONTH(DATE(YEAR(Sales!$DI$1),MONTH(Sales!$DI$1),1)+INT((DAY(Sales!$DI$1)-1)/2)+'Cash Drivers'!DJ$13,0)=EOMONTH($AC$1,0),Sales!DJ$6,0)+IF(EOMONTH(DATE(YEAR(Sales!$DF$1),MONTH(Sales!$DF$1),1)+INT((DAY(Sales!$DF$1)-1)/2)+'Cash Drivers'!DG$13,0)=EOMONTH($AC$1,0),Sales!DG$6,0)+IF(EOMONTH(DATE(YEAR(Sales!$DC$1),MONTH(Sales!$DC$1),1)+INT((DAY(Sales!$DC$1)-1)/2)+'Cash Drivers'!DD$13,0)=EOMONTH($AC$1,0),Sales!DD$6,0)+IF(EOMONTH(DATE(YEAR(Sales!$CZ$1),MONTH(Sales!$CZ$1),1)+INT((DAY(Sales!$CZ$1)-1)/2)+'Cash Drivers'!DA$13,0)=EOMONTH($AC$1,0),Sales!DA$6,0)+IF(EOMONTH(DATE(YEAR(Sales!$CW$1),MONTH(Sales!$CW$1),1)+INT((DAY(Sales!$CW$1)-1)/2)+'Cash Drivers'!CX$13,0)=EOMONTH($AC$1,0),Sales!CX$6,0)+IF(EOMONTH(DATE(YEAR(Sales!$CT$1),MONTH(Sales!$CT$1),1)+INT((DAY(Sales!$CT$1)-1)/2)+'Cash Drivers'!CU$13,0)=EOMONTH($AC$1,0),Sales!CU$6,0)+IF(EOMONTH(DATE(YEAR(Sales!$CQ$1),MONTH(Sales!$CQ$1),1)+INT((DAY(Sales!$CQ$1)-1)/2)+'Cash Drivers'!CR$13,0)=EOMONTH($AC$1,0),Sales!CR$6,0)+IF(EOMONTH(DATE(YEAR(Sales!$CN$1),MONTH(Sales!$CN$1),1)+INT((DAY(Sales!$CN$1)-1)/2)+'Cash Drivers'!CO$13,0)=EOMONTH($AC$1,0),Sales!CO$6,0)+IF(EOMONTH(DATE(YEAR(Sales!$CK$1),MONTH(Sales!$CK$1),1)+INT((DAY(Sales!$CK$1)-1)/2)+'Cash Drivers'!CL$13,0)=EOMONTH($AC$1,0),Sales!CL$6,0)+IF(EOMONTH(DATE(YEAR(Sales!$CH$1),MONTH(Sales!$CH$1),1)+INT((DAY(Sales!$CH$1)-1)/2)+'Cash Drivers'!CI$13,0)=EOMONTH($AC$1,0),Sales!CI$6,0)+IF(EOMONTH(DATE(YEAR(Sales!$CE$1),MONTH(Sales!$CE$1),1)+INT((DAY(Sales!$CE$1)-1)/2)+'Cash Drivers'!CF$13,0)=EOMONTH($AC$1,0),Sales!CF$6,0)+IF(EOMONTH(DATE(YEAR(Sales!$CB$1),MONTH(Sales!$CB$1),1)+INT((DAY(Sales!$CB$1)-1)/2)+'Cash Drivers'!CC$13,0)=EOMONTH($AC$1,0),Sales!CC$6,0)+IF(EOMONTH(DATE(YEAR(Sales!$BY$1),MONTH(Sales!$BY$1),1)+INT((DAY(Sales!$BY$1)-1)/2)+'Cash Drivers'!BZ$13,0)=EOMONTH($AC$1,0),Sales!BZ$6,0)+IF(EOMONTH(DATE(YEAR(Sales!$BV$1),MONTH(Sales!$BV$1),1)+INT((DAY(Sales!$BV$1)-1)/2)+'Cash Drivers'!BW$13,0)=EOMONTH($AC$1,0),Sales!BW$6,0)+IF(EOMONTH(DATE(YEAR(Sales!$BS$1),MONTH(Sales!$BS$1),1)+INT((DAY(Sales!$BS$1)-1)/2)+'Cash Drivers'!BT$13,0)=EOMONTH($AC$1,0),Sales!BT$6,0)+IF(EOMONTH(DATE(YEAR(Sales!$BP$1),MONTH(Sales!$BP$1),1)+INT((DAY(Sales!$BP$1)-1)/2)+'Cash Drivers'!BQ$13,0)=EOMONTH($AC$1,0),Sales!BQ$6,0)+IF(EOMONTH(DATE(YEAR(Sales!$BM$1),MONTH(Sales!$BM$1),1)+INT((DAY(Sales!$BM$1)-1)/2)+'Cash Drivers'!BN$13,0)=EOMONTH($AC$1,0),Sales!BN$6,0)+IF(EOMONTH(DATE(YEAR(Sales!$BJ$1),MONTH(Sales!$BJ$1),1)+INT((DAY(Sales!$BJ$1)-1)/2)+'Cash Drivers'!BK$13,0)=EOMONTH($AC$1,0),Sales!BK$6,0)+IF(EOMONTH(DATE(YEAR(Sales!$BG$1),MONTH(Sales!$BG$1),1)+INT((DAY(Sales!$BG$1)-1)/2)+'Cash Drivers'!BH$13,0)=EOMONTH($AC$1,0),Sales!BH$6,0)+IF(EOMONTH(DATE(YEAR(Sales!$BD$1),MONTH(Sales!$BD$1),1)+INT((DAY(Sales!$BD$1)-1)/2)+'Cash Drivers'!BE$13,0)=EOMONTH($AC$1,0),Sales!BE$6,0)+IF(EOMONTH(DATE(YEAR(Sales!$BA$1),MONTH(Sales!$BA$1),1)+INT((DAY(Sales!$BA$1)-1)/2)+'Cash Drivers'!BB$13,0)=EOMONTH($AC$1,0),Sales!BB$6,0)+IF(EOMONTH(DATE(YEAR(Sales!$AX$1),MONTH(Sales!$AX$1),1)+INT((DAY(Sales!$AX$1)-1)/2)+'Cash Drivers'!AY$13,0)=EOMONTH($AC$1,0),Sales!AY$6,0)+IF(EOMONTH(DATE(YEAR(Sales!$AU$1),MONTH(Sales!$AU$1),1)+INT((DAY(Sales!$AU$1)-1)/2)+'Cash Drivers'!AV$13,0)=EOMONTH($AC$1,0),Sales!AV$6,0)+IF(EOMONTH(DATE(YEAR(Sales!$AR$1),MONTH(Sales!$AR$1),1)+INT((DAY(Sales!$AR$1)-1)/2)+'Cash Drivers'!AS$13,0)=EOMONTH($AC$1,0),Sales!AS$6,0)+IF(EOMONTH(DATE(YEAR(Sales!$AO$1),MONTH(Sales!$AO$1),1)+INT((DAY(Sales!$AO$1)-1)/2)+'Cash Drivers'!AP$13,0)=EOMONTH($AC$1,0),Sales!AP$6,0)+IF(EOMONTH(DATE(YEAR(Sales!$AL$1),MONTH(Sales!$AL$1),1)+INT((DAY(Sales!$AL$1)-1)/2)+'Cash Drivers'!AM$13,0)=EOMONTH($AC$1,0),Sales!AM$6,0)+IF(EOMONTH(DATE(YEAR(Sales!$AI$1),MONTH(Sales!$AI$1),1)+INT((DAY(Sales!$AI$1)-1)/2)+'Cash Drivers'!AJ$13,0)=EOMONTH($AC$1,0),Sales!AJ$6,0)+IF(EOMONTH(DATE(YEAR(Sales!$AF$1),MONTH(Sales!$AF$1),1)+INT((DAY(Sales!$AF$1)-1)/2)+'Cash Drivers'!AG$13,0)=EOMONTH($AC$1,0),Sales!AG$6,0)+IF(EOMONTH(DATE(YEAR(Sales!$AC$1),MONTH(Sales!$AC$1),1)+INT((DAY(Sales!$AC$1)-1)/2)+'Cash Drivers'!AD$13,0)=EOMONTH($AC$1,0),Sales!AD$6,0)+IF(EOMONTH(DATE(YEAR(Sales!$Z$1),MONTH(Sales!$Z$1),1)+INT((DAY(Sales!$Z$1)-1)/2)+'Cash Drivers'!AA$13,0)=EOMONTH($AC$1,0),Sales!AA$6,0)+IF(EOMONTH(DATE(YEAR(Sales!$W$1),MONTH(Sales!$W$1),1)+INT((DAY(Sales!$W$1)-1)/2)+'Cash Drivers'!X$13,0)=EOMONTH($AC$1,0),Sales!X$6,0)+IF(EOMONTH(DATE(YEAR(Sales!$T$1),MONTH(Sales!$T$1),1)+INT((DAY(Sales!$T$1)-1)/2)+'Cash Drivers'!U$13,0)=EOMONTH($AC$1,0),Sales!U$6,0)+IF(EOMONTH(DATE(YEAR(Sales!$Q$1),MONTH(Sales!$Q$1),1)+INT((DAY(Sales!$Q$1)-1)/2)+'Cash Drivers'!R$13,0)=EOMONTH($AC$1,0),Sales!R$6,0)+IF(EOMONTH(DATE(YEAR(Sales!$N$1),MONTH(Sales!$N$1),1)+INT((DAY(Sales!$N$1)-1)/2)+'Cash Drivers'!O$13,0)=EOMONTH($AC$1,0),Sales!O$6,0)+IF(EOMONTH(DATE(YEAR(Sales!$K$1),MONTH(Sales!$K$1),1)+INT((DAY(Sales!$K$1)-1)/2)+'Cash Drivers'!L$13,0)=EOMONTH($AC$1,0),Sales!L$6,0)+IF(EOMONTH('Cash Drivers'!$DL$30+'Cash Drivers'!DM$13,0)=EOMONTH($AC$1,0),'Cash Drivers'!$DL$32,0),0)</f>
        <v>38</v>
      </c>
      <c r="AE18" s="46" t="n">
        <f aca="false">ROUND(IF(EOMONTH(DATE(YEAR(Sales!$DL$1),MONTH(Sales!$DL$1),1)+INT((DAY(Sales!$DL$1)-1)/2)+'Cash Drivers'!DN$13,0)=EOMONTH($AC$1,0),Sales!DN$6,0)+IF(EOMONTH(DATE(YEAR(Sales!$DI$1),MONTH(Sales!$DI$1),1)+INT((DAY(Sales!$DI$1)-1)/2)+'Cash Drivers'!DK$13,0)=EOMONTH($AC$1,0),Sales!DK$6,0)+IF(EOMONTH(DATE(YEAR(Sales!$DF$1),MONTH(Sales!$DF$1),1)+INT((DAY(Sales!$DF$1)-1)/2)+'Cash Drivers'!DH$13,0)=EOMONTH($AC$1,0),Sales!DH$6,0)+IF(EOMONTH(DATE(YEAR(Sales!$DC$1),MONTH(Sales!$DC$1),1)+INT((DAY(Sales!$DC$1)-1)/2)+'Cash Drivers'!DE$13,0)=EOMONTH($AC$1,0),Sales!DE$6,0)+IF(EOMONTH(DATE(YEAR(Sales!$CZ$1),MONTH(Sales!$CZ$1),1)+INT((DAY(Sales!$CZ$1)-1)/2)+'Cash Drivers'!DB$13,0)=EOMONTH($AC$1,0),Sales!DB$6,0)+IF(EOMONTH(DATE(YEAR(Sales!$CW$1),MONTH(Sales!$CW$1),1)+INT((DAY(Sales!$CW$1)-1)/2)+'Cash Drivers'!CY$13,0)=EOMONTH($AC$1,0),Sales!CY$6,0)+IF(EOMONTH(DATE(YEAR(Sales!$CT$1),MONTH(Sales!$CT$1),1)+INT((DAY(Sales!$CT$1)-1)/2)+'Cash Drivers'!CV$13,0)=EOMONTH($AC$1,0),Sales!CV$6,0)+IF(EOMONTH(DATE(YEAR(Sales!$CQ$1),MONTH(Sales!$CQ$1),1)+INT((DAY(Sales!$CQ$1)-1)/2)+'Cash Drivers'!CS$13,0)=EOMONTH($AC$1,0),Sales!CS$6,0)+IF(EOMONTH(DATE(YEAR(Sales!$CN$1),MONTH(Sales!$CN$1),1)+INT((DAY(Sales!$CN$1)-1)/2)+'Cash Drivers'!CP$13,0)=EOMONTH($AC$1,0),Sales!CP$6,0)+IF(EOMONTH(DATE(YEAR(Sales!$CK$1),MONTH(Sales!$CK$1),1)+INT((DAY(Sales!$CK$1)-1)/2)+'Cash Drivers'!CM$13,0)=EOMONTH($AC$1,0),Sales!CM$6,0)+IF(EOMONTH(DATE(YEAR(Sales!$CH$1),MONTH(Sales!$CH$1),1)+INT((DAY(Sales!$CH$1)-1)/2)+'Cash Drivers'!CJ$13,0)=EOMONTH($AC$1,0),Sales!CJ$6,0)+IF(EOMONTH(DATE(YEAR(Sales!$CE$1),MONTH(Sales!$CE$1),1)+INT((DAY(Sales!$CE$1)-1)/2)+'Cash Drivers'!CG$13,0)=EOMONTH($AC$1,0),Sales!CG$6,0)+IF(EOMONTH(DATE(YEAR(Sales!$CB$1),MONTH(Sales!$CB$1),1)+INT((DAY(Sales!$CB$1)-1)/2)+'Cash Drivers'!CD$13,0)=EOMONTH($AC$1,0),Sales!CD$6,0)+IF(EOMONTH(DATE(YEAR(Sales!$BY$1),MONTH(Sales!$BY$1),1)+INT((DAY(Sales!$BY$1)-1)/2)+'Cash Drivers'!CA$13,0)=EOMONTH($AC$1,0),Sales!CA$6,0)+IF(EOMONTH(DATE(YEAR(Sales!$BV$1),MONTH(Sales!$BV$1),1)+INT((DAY(Sales!$BV$1)-1)/2)+'Cash Drivers'!BX$13,0)=EOMONTH($AC$1,0),Sales!BX$6,0)+IF(EOMONTH(DATE(YEAR(Sales!$BS$1),MONTH(Sales!$BS$1),1)+INT((DAY(Sales!$BS$1)-1)/2)+'Cash Drivers'!BU$13,0)=EOMONTH($AC$1,0),Sales!BU$6,0)+IF(EOMONTH(DATE(YEAR(Sales!$BP$1),MONTH(Sales!$BP$1),1)+INT((DAY(Sales!$BP$1)-1)/2)+'Cash Drivers'!BR$13,0)=EOMONTH($AC$1,0),Sales!BR$6,0)+IF(EOMONTH(DATE(YEAR(Sales!$BM$1),MONTH(Sales!$BM$1),1)+INT((DAY(Sales!$BM$1)-1)/2)+'Cash Drivers'!BO$13,0)=EOMONTH($AC$1,0),Sales!BO$6,0)+IF(EOMONTH(DATE(YEAR(Sales!$BJ$1),MONTH(Sales!$BJ$1),1)+INT((DAY(Sales!$BJ$1)-1)/2)+'Cash Drivers'!BL$13,0)=EOMONTH($AC$1,0),Sales!BL$6,0)+IF(EOMONTH(DATE(YEAR(Sales!$BG$1),MONTH(Sales!$BG$1),1)+INT((DAY(Sales!$BG$1)-1)/2)+'Cash Drivers'!BI$13,0)=EOMONTH($AC$1,0),Sales!BI$6,0)+IF(EOMONTH(DATE(YEAR(Sales!$BD$1),MONTH(Sales!$BD$1),1)+INT((DAY(Sales!$BD$1)-1)/2)+'Cash Drivers'!BF$13,0)=EOMONTH($AC$1,0),Sales!BF$6,0)+IF(EOMONTH(DATE(YEAR(Sales!$BA$1),MONTH(Sales!$BA$1),1)+INT((DAY(Sales!$BA$1)-1)/2)+'Cash Drivers'!BC$13,0)=EOMONTH($AC$1,0),Sales!BC$6,0)+IF(EOMONTH(DATE(YEAR(Sales!$AX$1),MONTH(Sales!$AX$1),1)+INT((DAY(Sales!$AX$1)-1)/2)+'Cash Drivers'!AZ$13,0)=EOMONTH($AC$1,0),Sales!AZ$6,0)+IF(EOMONTH(DATE(YEAR(Sales!$AU$1),MONTH(Sales!$AU$1),1)+INT((DAY(Sales!$AU$1)-1)/2)+'Cash Drivers'!AW$13,0)=EOMONTH($AC$1,0),Sales!AW$6,0)+IF(EOMONTH(DATE(YEAR(Sales!$AR$1),MONTH(Sales!$AR$1),1)+INT((DAY(Sales!$AR$1)-1)/2)+'Cash Drivers'!AT$13,0)=EOMONTH($AC$1,0),Sales!AT$6,0)+IF(EOMONTH(DATE(YEAR(Sales!$AO$1),MONTH(Sales!$AO$1),1)+INT((DAY(Sales!$AO$1)-1)/2)+'Cash Drivers'!AQ$13,0)=EOMONTH($AC$1,0),Sales!AQ$6,0)+IF(EOMONTH(DATE(YEAR(Sales!$AL$1),MONTH(Sales!$AL$1),1)+INT((DAY(Sales!$AL$1)-1)/2)+'Cash Drivers'!AN$13,0)=EOMONTH($AC$1,0),Sales!AN$6,0)+IF(EOMONTH(DATE(YEAR(Sales!$AI$1),MONTH(Sales!$AI$1),1)+INT((DAY(Sales!$AI$1)-1)/2)+'Cash Drivers'!AK$13,0)=EOMONTH($AC$1,0),Sales!AK$6,0)+IF(EOMONTH(DATE(YEAR(Sales!$AF$1),MONTH(Sales!$AF$1),1)+INT((DAY(Sales!$AF$1)-1)/2)+'Cash Drivers'!AH$13,0)=EOMONTH($AC$1,0),Sales!AH$6,0)+IF(EOMONTH(DATE(YEAR(Sales!$AC$1),MONTH(Sales!$AC$1),1)+INT((DAY(Sales!$AC$1)-1)/2)+'Cash Drivers'!AE$13,0)=EOMONTH($AC$1,0),Sales!AE$6,0)+IF(EOMONTH(DATE(YEAR(Sales!$Z$1),MONTH(Sales!$Z$1),1)+INT((DAY(Sales!$Z$1)-1)/2)+'Cash Drivers'!AB$13,0)=EOMONTH($AC$1,0),Sales!AB$6,0)+IF(EOMONTH(DATE(YEAR(Sales!$W$1),MONTH(Sales!$W$1),1)+INT((DAY(Sales!$W$1)-1)/2)+'Cash Drivers'!Y$13,0)=EOMONTH($AC$1,0),Sales!Y$6,0)+IF(EOMONTH(DATE(YEAR(Sales!$T$1),MONTH(Sales!$T$1),1)+INT((DAY(Sales!$T$1)-1)/2)+'Cash Drivers'!V$13,0)=EOMONTH($AC$1,0),Sales!V$6,0)+IF(EOMONTH(DATE(YEAR(Sales!$Q$1),MONTH(Sales!$Q$1),1)+INT((DAY(Sales!$Q$1)-1)/2)+'Cash Drivers'!S$13,0)=EOMONTH($AC$1,0),Sales!S$6,0)+IF(EOMONTH(DATE(YEAR(Sales!$N$1),MONTH(Sales!$N$1),1)+INT((DAY(Sales!$N$1)-1)/2)+'Cash Drivers'!P$13,0)=EOMONTH($AC$1,0),Sales!P$6,0)+IF(EOMONTH(DATE(YEAR(Sales!$K$1),MONTH(Sales!$K$1),1)+INT((DAY(Sales!$K$1)-1)/2)+'Cash Drivers'!M$13,0)=EOMONTH($AC$1,0),Sales!M$6,0)+IF(EOMONTH('Cash Drivers'!$DL$30+'Cash Drivers'!DN$13,0)=EOMONTH($AC$1,0),'Cash Drivers'!$DL$32,0),0)</f>
        <v>38</v>
      </c>
      <c r="AF18" s="44" t="n">
        <f aca="false">ROUND(IF(EOMONTH(DATE(YEAR(Sales!$DL$1),MONTH(Sales!$DL$1),1)+INT((DAY(Sales!$DL$1)-1)/2)+'Cash Drivers'!DL$13,0)=EOMONTH($AF$1,0),Sales!DL$6,0)+IF(EOMONTH(DATE(YEAR(Sales!$DI$1),MONTH(Sales!$DI$1),1)+INT((DAY(Sales!$DI$1)-1)/2)+'Cash Drivers'!DI$13,0)=EOMONTH($AF$1,0),Sales!DI$6,0)+IF(EOMONTH(DATE(YEAR(Sales!$DF$1),MONTH(Sales!$DF$1),1)+INT((DAY(Sales!$DF$1)-1)/2)+'Cash Drivers'!DF$13,0)=EOMONTH($AF$1,0),Sales!DF$6,0)+IF(EOMONTH(DATE(YEAR(Sales!$DC$1),MONTH(Sales!$DC$1),1)+INT((DAY(Sales!$DC$1)-1)/2)+'Cash Drivers'!DC$13,0)=EOMONTH($AF$1,0),Sales!DC$6,0)+IF(EOMONTH(DATE(YEAR(Sales!$CZ$1),MONTH(Sales!$CZ$1),1)+INT((DAY(Sales!$CZ$1)-1)/2)+'Cash Drivers'!CZ$13,0)=EOMONTH($AF$1,0),Sales!CZ$6,0)+IF(EOMONTH(DATE(YEAR(Sales!$CW$1),MONTH(Sales!$CW$1),1)+INT((DAY(Sales!$CW$1)-1)/2)+'Cash Drivers'!CW$13,0)=EOMONTH($AF$1,0),Sales!CW$6,0)+IF(EOMONTH(DATE(YEAR(Sales!$CT$1),MONTH(Sales!$CT$1),1)+INT((DAY(Sales!$CT$1)-1)/2)+'Cash Drivers'!CT$13,0)=EOMONTH($AF$1,0),Sales!CT$6,0)+IF(EOMONTH(DATE(YEAR(Sales!$CQ$1),MONTH(Sales!$CQ$1),1)+INT((DAY(Sales!$CQ$1)-1)/2)+'Cash Drivers'!CQ$13,0)=EOMONTH($AF$1,0),Sales!CQ$6,0)+IF(EOMONTH(DATE(YEAR(Sales!$CN$1),MONTH(Sales!$CN$1),1)+INT((DAY(Sales!$CN$1)-1)/2)+'Cash Drivers'!CN$13,0)=EOMONTH($AF$1,0),Sales!CN$6,0)+IF(EOMONTH(DATE(YEAR(Sales!$CK$1),MONTH(Sales!$CK$1),1)+INT((DAY(Sales!$CK$1)-1)/2)+'Cash Drivers'!CK$13,0)=EOMONTH($AF$1,0),Sales!CK$6,0)+IF(EOMONTH(DATE(YEAR(Sales!$CH$1),MONTH(Sales!$CH$1),1)+INT((DAY(Sales!$CH$1)-1)/2)+'Cash Drivers'!CH$13,0)=EOMONTH($AF$1,0),Sales!CH$6,0)+IF(EOMONTH(DATE(YEAR(Sales!$CE$1),MONTH(Sales!$CE$1),1)+INT((DAY(Sales!$CE$1)-1)/2)+'Cash Drivers'!CE$13,0)=EOMONTH($AF$1,0),Sales!CE$6,0)+IF(EOMONTH(DATE(YEAR(Sales!$CB$1),MONTH(Sales!$CB$1),1)+INT((DAY(Sales!$CB$1)-1)/2)+'Cash Drivers'!CB$13,0)=EOMONTH($AF$1,0),Sales!CB$6,0)+IF(EOMONTH(DATE(YEAR(Sales!$BY$1),MONTH(Sales!$BY$1),1)+INT((DAY(Sales!$BY$1)-1)/2)+'Cash Drivers'!BY$13,0)=EOMONTH($AF$1,0),Sales!BY$6,0)+IF(EOMONTH(DATE(YEAR(Sales!$BV$1),MONTH(Sales!$BV$1),1)+INT((DAY(Sales!$BV$1)-1)/2)+'Cash Drivers'!BV$13,0)=EOMONTH($AF$1,0),Sales!BV$6,0)+IF(EOMONTH(DATE(YEAR(Sales!$BS$1),MONTH(Sales!$BS$1),1)+INT((DAY(Sales!$BS$1)-1)/2)+'Cash Drivers'!BS$13,0)=EOMONTH($AF$1,0),Sales!BS$6,0)+IF(EOMONTH(DATE(YEAR(Sales!$BP$1),MONTH(Sales!$BP$1),1)+INT((DAY(Sales!$BP$1)-1)/2)+'Cash Drivers'!BP$13,0)=EOMONTH($AF$1,0),Sales!BP$6,0)+IF(EOMONTH(DATE(YEAR(Sales!$BM$1),MONTH(Sales!$BM$1),1)+INT((DAY(Sales!$BM$1)-1)/2)+'Cash Drivers'!BM$13,0)=EOMONTH($AF$1,0),Sales!BM$6,0)+IF(EOMONTH(DATE(YEAR(Sales!$BJ$1),MONTH(Sales!$BJ$1),1)+INT((DAY(Sales!$BJ$1)-1)/2)+'Cash Drivers'!BJ$13,0)=EOMONTH($AF$1,0),Sales!BJ$6,0)+IF(EOMONTH(DATE(YEAR(Sales!$BG$1),MONTH(Sales!$BG$1),1)+INT((DAY(Sales!$BG$1)-1)/2)+'Cash Drivers'!BG$13,0)=EOMONTH($AF$1,0),Sales!BG$6,0)+IF(EOMONTH(DATE(YEAR(Sales!$BD$1),MONTH(Sales!$BD$1),1)+INT((DAY(Sales!$BD$1)-1)/2)+'Cash Drivers'!BD$13,0)=EOMONTH($AF$1,0),Sales!BD$6,0)+IF(EOMONTH(DATE(YEAR(Sales!$BA$1),MONTH(Sales!$BA$1),1)+INT((DAY(Sales!$BA$1)-1)/2)+'Cash Drivers'!BA$13,0)=EOMONTH($AF$1,0),Sales!BA$6,0)+IF(EOMONTH(DATE(YEAR(Sales!$AX$1),MONTH(Sales!$AX$1),1)+INT((DAY(Sales!$AX$1)-1)/2)+'Cash Drivers'!AX$13,0)=EOMONTH($AF$1,0),Sales!AX$6,0)+IF(EOMONTH(DATE(YEAR(Sales!$AU$1),MONTH(Sales!$AU$1),1)+INT((DAY(Sales!$AU$1)-1)/2)+'Cash Drivers'!AU$13,0)=EOMONTH($AF$1,0),Sales!AU$6,0)+IF(EOMONTH(DATE(YEAR(Sales!$AR$1),MONTH(Sales!$AR$1),1)+INT((DAY(Sales!$AR$1)-1)/2)+'Cash Drivers'!AR$13,0)=EOMONTH($AF$1,0),Sales!AR$6,0)+IF(EOMONTH(DATE(YEAR(Sales!$AO$1),MONTH(Sales!$AO$1),1)+INT((DAY(Sales!$AO$1)-1)/2)+'Cash Drivers'!AO$13,0)=EOMONTH($AF$1,0),Sales!AO$6,0)+IF(EOMONTH(DATE(YEAR(Sales!$AL$1),MONTH(Sales!$AL$1),1)+INT((DAY(Sales!$AL$1)-1)/2)+'Cash Drivers'!AL$13,0)=EOMONTH($AF$1,0),Sales!AL$6,0)+IF(EOMONTH(DATE(YEAR(Sales!$AI$1),MONTH(Sales!$AI$1),1)+INT((DAY(Sales!$AI$1)-1)/2)+'Cash Drivers'!AI$13,0)=EOMONTH($AF$1,0),Sales!AI$6,0)+IF(EOMONTH(DATE(YEAR(Sales!$AF$1),MONTH(Sales!$AF$1),1)+INT((DAY(Sales!$AF$1)-1)/2)+'Cash Drivers'!AF$13,0)=EOMONTH($AF$1,0),Sales!AF$6,0)+IF(EOMONTH(DATE(YEAR(Sales!$AC$1),MONTH(Sales!$AC$1),1)+INT((DAY(Sales!$AC$1)-1)/2)+'Cash Drivers'!AC$13,0)=EOMONTH($AF$1,0),Sales!AC$6,0)+IF(EOMONTH(DATE(YEAR(Sales!$Z$1),MONTH(Sales!$Z$1),1)+INT((DAY(Sales!$Z$1)-1)/2)+'Cash Drivers'!Z$13,0)=EOMONTH($AF$1,0),Sales!Z$6,0)+IF(EOMONTH(DATE(YEAR(Sales!$W$1),MONTH(Sales!$W$1),1)+INT((DAY(Sales!$W$1)-1)/2)+'Cash Drivers'!W$13,0)=EOMONTH($AF$1,0),Sales!W$6,0)+IF(EOMONTH(DATE(YEAR(Sales!$T$1),MONTH(Sales!$T$1),1)+INT((DAY(Sales!$T$1)-1)/2)+'Cash Drivers'!T$13,0)=EOMONTH($AF$1,0),Sales!T$6,0)+IF(EOMONTH(DATE(YEAR(Sales!$Q$1),MONTH(Sales!$Q$1),1)+INT((DAY(Sales!$Q$1)-1)/2)+'Cash Drivers'!Q$13,0)=EOMONTH($AF$1,0),Sales!Q$6,0)+IF(EOMONTH(DATE(YEAR(Sales!$N$1),MONTH(Sales!$N$1),1)+INT((DAY(Sales!$N$1)-1)/2)+'Cash Drivers'!N$13,0)=EOMONTH($AF$1,0),Sales!N$6,0)+IF(EOMONTH(DATE(YEAR(Sales!$K$1),MONTH(Sales!$K$1),1)+INT((DAY(Sales!$K$1)-1)/2)+'Cash Drivers'!K$13,0)=EOMONTH($AF$1,0),Sales!K$6,0)+IF(EOMONTH('Cash Drivers'!$DL$30+'Cash Drivers'!DL$13,0)=EOMONTH($AF$1,0),'Cash Drivers'!$DL$32,0),0)</f>
        <v>0</v>
      </c>
      <c r="AG18" s="45" t="n">
        <f aca="false">ROUND(IF(EOMONTH(DATE(YEAR(Sales!$DL$1),MONTH(Sales!$DL$1),1)+INT((DAY(Sales!$DL$1)-1)/2)+'Cash Drivers'!DM$13,0)=EOMONTH($AF$1,0),Sales!DM$6,0)+IF(EOMONTH(DATE(YEAR(Sales!$DI$1),MONTH(Sales!$DI$1),1)+INT((DAY(Sales!$DI$1)-1)/2)+'Cash Drivers'!DJ$13,0)=EOMONTH($AF$1,0),Sales!DJ$6,0)+IF(EOMONTH(DATE(YEAR(Sales!$DF$1),MONTH(Sales!$DF$1),1)+INT((DAY(Sales!$DF$1)-1)/2)+'Cash Drivers'!DG$13,0)=EOMONTH($AF$1,0),Sales!DG$6,0)+IF(EOMONTH(DATE(YEAR(Sales!$DC$1),MONTH(Sales!$DC$1),1)+INT((DAY(Sales!$DC$1)-1)/2)+'Cash Drivers'!DD$13,0)=EOMONTH($AF$1,0),Sales!DD$6,0)+IF(EOMONTH(DATE(YEAR(Sales!$CZ$1),MONTH(Sales!$CZ$1),1)+INT((DAY(Sales!$CZ$1)-1)/2)+'Cash Drivers'!DA$13,0)=EOMONTH($AF$1,0),Sales!DA$6,0)+IF(EOMONTH(DATE(YEAR(Sales!$CW$1),MONTH(Sales!$CW$1),1)+INT((DAY(Sales!$CW$1)-1)/2)+'Cash Drivers'!CX$13,0)=EOMONTH($AF$1,0),Sales!CX$6,0)+IF(EOMONTH(DATE(YEAR(Sales!$CT$1),MONTH(Sales!$CT$1),1)+INT((DAY(Sales!$CT$1)-1)/2)+'Cash Drivers'!CU$13,0)=EOMONTH($AF$1,0),Sales!CU$6,0)+IF(EOMONTH(DATE(YEAR(Sales!$CQ$1),MONTH(Sales!$CQ$1),1)+INT((DAY(Sales!$CQ$1)-1)/2)+'Cash Drivers'!CR$13,0)=EOMONTH($AF$1,0),Sales!CR$6,0)+IF(EOMONTH(DATE(YEAR(Sales!$CN$1),MONTH(Sales!$CN$1),1)+INT((DAY(Sales!$CN$1)-1)/2)+'Cash Drivers'!CO$13,0)=EOMONTH($AF$1,0),Sales!CO$6,0)+IF(EOMONTH(DATE(YEAR(Sales!$CK$1),MONTH(Sales!$CK$1),1)+INT((DAY(Sales!$CK$1)-1)/2)+'Cash Drivers'!CL$13,0)=EOMONTH($AF$1,0),Sales!CL$6,0)+IF(EOMONTH(DATE(YEAR(Sales!$CH$1),MONTH(Sales!$CH$1),1)+INT((DAY(Sales!$CH$1)-1)/2)+'Cash Drivers'!CI$13,0)=EOMONTH($AF$1,0),Sales!CI$6,0)+IF(EOMONTH(DATE(YEAR(Sales!$CE$1),MONTH(Sales!$CE$1),1)+INT((DAY(Sales!$CE$1)-1)/2)+'Cash Drivers'!CF$13,0)=EOMONTH($AF$1,0),Sales!CF$6,0)+IF(EOMONTH(DATE(YEAR(Sales!$CB$1),MONTH(Sales!$CB$1),1)+INT((DAY(Sales!$CB$1)-1)/2)+'Cash Drivers'!CC$13,0)=EOMONTH($AF$1,0),Sales!CC$6,0)+IF(EOMONTH(DATE(YEAR(Sales!$BY$1),MONTH(Sales!$BY$1),1)+INT((DAY(Sales!$BY$1)-1)/2)+'Cash Drivers'!BZ$13,0)=EOMONTH($AF$1,0),Sales!BZ$6,0)+IF(EOMONTH(DATE(YEAR(Sales!$BV$1),MONTH(Sales!$BV$1),1)+INT((DAY(Sales!$BV$1)-1)/2)+'Cash Drivers'!BW$13,0)=EOMONTH($AF$1,0),Sales!BW$6,0)+IF(EOMONTH(DATE(YEAR(Sales!$BS$1),MONTH(Sales!$BS$1),1)+INT((DAY(Sales!$BS$1)-1)/2)+'Cash Drivers'!BT$13,0)=EOMONTH($AF$1,0),Sales!BT$6,0)+IF(EOMONTH(DATE(YEAR(Sales!$BP$1),MONTH(Sales!$BP$1),1)+INT((DAY(Sales!$BP$1)-1)/2)+'Cash Drivers'!BQ$13,0)=EOMONTH($AF$1,0),Sales!BQ$6,0)+IF(EOMONTH(DATE(YEAR(Sales!$BM$1),MONTH(Sales!$BM$1),1)+INT((DAY(Sales!$BM$1)-1)/2)+'Cash Drivers'!BN$13,0)=EOMONTH($AF$1,0),Sales!BN$6,0)+IF(EOMONTH(DATE(YEAR(Sales!$BJ$1),MONTH(Sales!$BJ$1),1)+INT((DAY(Sales!$BJ$1)-1)/2)+'Cash Drivers'!BK$13,0)=EOMONTH($AF$1,0),Sales!BK$6,0)+IF(EOMONTH(DATE(YEAR(Sales!$BG$1),MONTH(Sales!$BG$1),1)+INT((DAY(Sales!$BG$1)-1)/2)+'Cash Drivers'!BH$13,0)=EOMONTH($AF$1,0),Sales!BH$6,0)+IF(EOMONTH(DATE(YEAR(Sales!$BD$1),MONTH(Sales!$BD$1),1)+INT((DAY(Sales!$BD$1)-1)/2)+'Cash Drivers'!BE$13,0)=EOMONTH($AF$1,0),Sales!BE$6,0)+IF(EOMONTH(DATE(YEAR(Sales!$BA$1),MONTH(Sales!$BA$1),1)+INT((DAY(Sales!$BA$1)-1)/2)+'Cash Drivers'!BB$13,0)=EOMONTH($AF$1,0),Sales!BB$6,0)+IF(EOMONTH(DATE(YEAR(Sales!$AX$1),MONTH(Sales!$AX$1),1)+INT((DAY(Sales!$AX$1)-1)/2)+'Cash Drivers'!AY$13,0)=EOMONTH($AF$1,0),Sales!AY$6,0)+IF(EOMONTH(DATE(YEAR(Sales!$AU$1),MONTH(Sales!$AU$1),1)+INT((DAY(Sales!$AU$1)-1)/2)+'Cash Drivers'!AV$13,0)=EOMONTH($AF$1,0),Sales!AV$6,0)+IF(EOMONTH(DATE(YEAR(Sales!$AR$1),MONTH(Sales!$AR$1),1)+INT((DAY(Sales!$AR$1)-1)/2)+'Cash Drivers'!AS$13,0)=EOMONTH($AF$1,0),Sales!AS$6,0)+IF(EOMONTH(DATE(YEAR(Sales!$AO$1),MONTH(Sales!$AO$1),1)+INT((DAY(Sales!$AO$1)-1)/2)+'Cash Drivers'!AP$13,0)=EOMONTH($AF$1,0),Sales!AP$6,0)+IF(EOMONTH(DATE(YEAR(Sales!$AL$1),MONTH(Sales!$AL$1),1)+INT((DAY(Sales!$AL$1)-1)/2)+'Cash Drivers'!AM$13,0)=EOMONTH($AF$1,0),Sales!AM$6,0)+IF(EOMONTH(DATE(YEAR(Sales!$AI$1),MONTH(Sales!$AI$1),1)+INT((DAY(Sales!$AI$1)-1)/2)+'Cash Drivers'!AJ$13,0)=EOMONTH($AF$1,0),Sales!AJ$6,0)+IF(EOMONTH(DATE(YEAR(Sales!$AF$1),MONTH(Sales!$AF$1),1)+INT((DAY(Sales!$AF$1)-1)/2)+'Cash Drivers'!AG$13,0)=EOMONTH($AF$1,0),Sales!AG$6,0)+IF(EOMONTH(DATE(YEAR(Sales!$AC$1),MONTH(Sales!$AC$1),1)+INT((DAY(Sales!$AC$1)-1)/2)+'Cash Drivers'!AD$13,0)=EOMONTH($AF$1,0),Sales!AD$6,0)+IF(EOMONTH(DATE(YEAR(Sales!$Z$1),MONTH(Sales!$Z$1),1)+INT((DAY(Sales!$Z$1)-1)/2)+'Cash Drivers'!AA$13,0)=EOMONTH($AF$1,0),Sales!AA$6,0)+IF(EOMONTH(DATE(YEAR(Sales!$W$1),MONTH(Sales!$W$1),1)+INT((DAY(Sales!$W$1)-1)/2)+'Cash Drivers'!X$13,0)=EOMONTH($AF$1,0),Sales!X$6,0)+IF(EOMONTH(DATE(YEAR(Sales!$T$1),MONTH(Sales!$T$1),1)+INT((DAY(Sales!$T$1)-1)/2)+'Cash Drivers'!U$13,0)=EOMONTH($AF$1,0),Sales!U$6,0)+IF(EOMONTH(DATE(YEAR(Sales!$Q$1),MONTH(Sales!$Q$1),1)+INT((DAY(Sales!$Q$1)-1)/2)+'Cash Drivers'!R$13,0)=EOMONTH($AF$1,0),Sales!R$6,0)+IF(EOMONTH(DATE(YEAR(Sales!$N$1),MONTH(Sales!$N$1),1)+INT((DAY(Sales!$N$1)-1)/2)+'Cash Drivers'!O$13,0)=EOMONTH($AF$1,0),Sales!O$6,0)+IF(EOMONTH(DATE(YEAR(Sales!$K$1),MONTH(Sales!$K$1),1)+INT((DAY(Sales!$K$1)-1)/2)+'Cash Drivers'!L$13,0)=EOMONTH($AF$1,0),Sales!L$6,0)+IF(EOMONTH('Cash Drivers'!$DL$30+'Cash Drivers'!DM$13,0)=EOMONTH($AF$1,0),'Cash Drivers'!$DL$32,0),0)</f>
        <v>38</v>
      </c>
      <c r="AH18" s="46" t="n">
        <f aca="false">ROUND(IF(EOMONTH(DATE(YEAR(Sales!$DL$1),MONTH(Sales!$DL$1),1)+INT((DAY(Sales!$DL$1)-1)/2)+'Cash Drivers'!DN$13,0)=EOMONTH($AF$1,0),Sales!DN$6,0)+IF(EOMONTH(DATE(YEAR(Sales!$DI$1),MONTH(Sales!$DI$1),1)+INT((DAY(Sales!$DI$1)-1)/2)+'Cash Drivers'!DK$13,0)=EOMONTH($AF$1,0),Sales!DK$6,0)+IF(EOMONTH(DATE(YEAR(Sales!$DF$1),MONTH(Sales!$DF$1),1)+INT((DAY(Sales!$DF$1)-1)/2)+'Cash Drivers'!DH$13,0)=EOMONTH($AF$1,0),Sales!DH$6,0)+IF(EOMONTH(DATE(YEAR(Sales!$DC$1),MONTH(Sales!$DC$1),1)+INT((DAY(Sales!$DC$1)-1)/2)+'Cash Drivers'!DE$13,0)=EOMONTH($AF$1,0),Sales!DE$6,0)+IF(EOMONTH(DATE(YEAR(Sales!$CZ$1),MONTH(Sales!$CZ$1),1)+INT((DAY(Sales!$CZ$1)-1)/2)+'Cash Drivers'!DB$13,0)=EOMONTH($AF$1,0),Sales!DB$6,0)+IF(EOMONTH(DATE(YEAR(Sales!$CW$1),MONTH(Sales!$CW$1),1)+INT((DAY(Sales!$CW$1)-1)/2)+'Cash Drivers'!CY$13,0)=EOMONTH($AF$1,0),Sales!CY$6,0)+IF(EOMONTH(DATE(YEAR(Sales!$CT$1),MONTH(Sales!$CT$1),1)+INT((DAY(Sales!$CT$1)-1)/2)+'Cash Drivers'!CV$13,0)=EOMONTH($AF$1,0),Sales!CV$6,0)+IF(EOMONTH(DATE(YEAR(Sales!$CQ$1),MONTH(Sales!$CQ$1),1)+INT((DAY(Sales!$CQ$1)-1)/2)+'Cash Drivers'!CS$13,0)=EOMONTH($AF$1,0),Sales!CS$6,0)+IF(EOMONTH(DATE(YEAR(Sales!$CN$1),MONTH(Sales!$CN$1),1)+INT((DAY(Sales!$CN$1)-1)/2)+'Cash Drivers'!CP$13,0)=EOMONTH($AF$1,0),Sales!CP$6,0)+IF(EOMONTH(DATE(YEAR(Sales!$CK$1),MONTH(Sales!$CK$1),1)+INT((DAY(Sales!$CK$1)-1)/2)+'Cash Drivers'!CM$13,0)=EOMONTH($AF$1,0),Sales!CM$6,0)+IF(EOMONTH(DATE(YEAR(Sales!$CH$1),MONTH(Sales!$CH$1),1)+INT((DAY(Sales!$CH$1)-1)/2)+'Cash Drivers'!CJ$13,0)=EOMONTH($AF$1,0),Sales!CJ$6,0)+IF(EOMONTH(DATE(YEAR(Sales!$CE$1),MONTH(Sales!$CE$1),1)+INT((DAY(Sales!$CE$1)-1)/2)+'Cash Drivers'!CG$13,0)=EOMONTH($AF$1,0),Sales!CG$6,0)+IF(EOMONTH(DATE(YEAR(Sales!$CB$1),MONTH(Sales!$CB$1),1)+INT((DAY(Sales!$CB$1)-1)/2)+'Cash Drivers'!CD$13,0)=EOMONTH($AF$1,0),Sales!CD$6,0)+IF(EOMONTH(DATE(YEAR(Sales!$BY$1),MONTH(Sales!$BY$1),1)+INT((DAY(Sales!$BY$1)-1)/2)+'Cash Drivers'!CA$13,0)=EOMONTH($AF$1,0),Sales!CA$6,0)+IF(EOMONTH(DATE(YEAR(Sales!$BV$1),MONTH(Sales!$BV$1),1)+INT((DAY(Sales!$BV$1)-1)/2)+'Cash Drivers'!BX$13,0)=EOMONTH($AF$1,0),Sales!BX$6,0)+IF(EOMONTH(DATE(YEAR(Sales!$BS$1),MONTH(Sales!$BS$1),1)+INT((DAY(Sales!$BS$1)-1)/2)+'Cash Drivers'!BU$13,0)=EOMONTH($AF$1,0),Sales!BU$6,0)+IF(EOMONTH(DATE(YEAR(Sales!$BP$1),MONTH(Sales!$BP$1),1)+INT((DAY(Sales!$BP$1)-1)/2)+'Cash Drivers'!BR$13,0)=EOMONTH($AF$1,0),Sales!BR$6,0)+IF(EOMONTH(DATE(YEAR(Sales!$BM$1),MONTH(Sales!$BM$1),1)+INT((DAY(Sales!$BM$1)-1)/2)+'Cash Drivers'!BO$13,0)=EOMONTH($AF$1,0),Sales!BO$6,0)+IF(EOMONTH(DATE(YEAR(Sales!$BJ$1),MONTH(Sales!$BJ$1),1)+INT((DAY(Sales!$BJ$1)-1)/2)+'Cash Drivers'!BL$13,0)=EOMONTH($AF$1,0),Sales!BL$6,0)+IF(EOMONTH(DATE(YEAR(Sales!$BG$1),MONTH(Sales!$BG$1),1)+INT((DAY(Sales!$BG$1)-1)/2)+'Cash Drivers'!BI$13,0)=EOMONTH($AF$1,0),Sales!BI$6,0)+IF(EOMONTH(DATE(YEAR(Sales!$BD$1),MONTH(Sales!$BD$1),1)+INT((DAY(Sales!$BD$1)-1)/2)+'Cash Drivers'!BF$13,0)=EOMONTH($AF$1,0),Sales!BF$6,0)+IF(EOMONTH(DATE(YEAR(Sales!$BA$1),MONTH(Sales!$BA$1),1)+INT((DAY(Sales!$BA$1)-1)/2)+'Cash Drivers'!BC$13,0)=EOMONTH($AF$1,0),Sales!BC$6,0)+IF(EOMONTH(DATE(YEAR(Sales!$AX$1),MONTH(Sales!$AX$1),1)+INT((DAY(Sales!$AX$1)-1)/2)+'Cash Drivers'!AZ$13,0)=EOMONTH($AF$1,0),Sales!AZ$6,0)+IF(EOMONTH(DATE(YEAR(Sales!$AU$1),MONTH(Sales!$AU$1),1)+INT((DAY(Sales!$AU$1)-1)/2)+'Cash Drivers'!AW$13,0)=EOMONTH($AF$1,0),Sales!AW$6,0)+IF(EOMONTH(DATE(YEAR(Sales!$AR$1),MONTH(Sales!$AR$1),1)+INT((DAY(Sales!$AR$1)-1)/2)+'Cash Drivers'!AT$13,0)=EOMONTH($AF$1,0),Sales!AT$6,0)+IF(EOMONTH(DATE(YEAR(Sales!$AO$1),MONTH(Sales!$AO$1),1)+INT((DAY(Sales!$AO$1)-1)/2)+'Cash Drivers'!AQ$13,0)=EOMONTH($AF$1,0),Sales!AQ$6,0)+IF(EOMONTH(DATE(YEAR(Sales!$AL$1),MONTH(Sales!$AL$1),1)+INT((DAY(Sales!$AL$1)-1)/2)+'Cash Drivers'!AN$13,0)=EOMONTH($AF$1,0),Sales!AN$6,0)+IF(EOMONTH(DATE(YEAR(Sales!$AI$1),MONTH(Sales!$AI$1),1)+INT((DAY(Sales!$AI$1)-1)/2)+'Cash Drivers'!AK$13,0)=EOMONTH($AF$1,0),Sales!AK$6,0)+IF(EOMONTH(DATE(YEAR(Sales!$AF$1),MONTH(Sales!$AF$1),1)+INT((DAY(Sales!$AF$1)-1)/2)+'Cash Drivers'!AH$13,0)=EOMONTH($AF$1,0),Sales!AH$6,0)+IF(EOMONTH(DATE(YEAR(Sales!$AC$1),MONTH(Sales!$AC$1),1)+INT((DAY(Sales!$AC$1)-1)/2)+'Cash Drivers'!AE$13,0)=EOMONTH($AF$1,0),Sales!AE$6,0)+IF(EOMONTH(DATE(YEAR(Sales!$Z$1),MONTH(Sales!$Z$1),1)+INT((DAY(Sales!$Z$1)-1)/2)+'Cash Drivers'!AB$13,0)=EOMONTH($AF$1,0),Sales!AB$6,0)+IF(EOMONTH(DATE(YEAR(Sales!$W$1),MONTH(Sales!$W$1),1)+INT((DAY(Sales!$W$1)-1)/2)+'Cash Drivers'!Y$13,0)=EOMONTH($AF$1,0),Sales!Y$6,0)+IF(EOMONTH(DATE(YEAR(Sales!$T$1),MONTH(Sales!$T$1),1)+INT((DAY(Sales!$T$1)-1)/2)+'Cash Drivers'!V$13,0)=EOMONTH($AF$1,0),Sales!V$6,0)+IF(EOMONTH(DATE(YEAR(Sales!$Q$1),MONTH(Sales!$Q$1),1)+INT((DAY(Sales!$Q$1)-1)/2)+'Cash Drivers'!S$13,0)=EOMONTH($AF$1,0),Sales!S$6,0)+IF(EOMONTH(DATE(YEAR(Sales!$N$1),MONTH(Sales!$N$1),1)+INT((DAY(Sales!$N$1)-1)/2)+'Cash Drivers'!P$13,0)=EOMONTH($AF$1,0),Sales!P$6,0)+IF(EOMONTH(DATE(YEAR(Sales!$K$1),MONTH(Sales!$K$1),1)+INT((DAY(Sales!$K$1)-1)/2)+'Cash Drivers'!M$13,0)=EOMONTH($AF$1,0),Sales!M$6,0)+IF(EOMONTH('Cash Drivers'!$DL$30+'Cash Drivers'!DN$13,0)=EOMONTH($AF$1,0),'Cash Drivers'!$DL$32,0),0)</f>
        <v>38</v>
      </c>
      <c r="AI18" s="44" t="n">
        <f aca="false">ROUND(IF(EOMONTH(DATE(YEAR(Sales!$DL$1),MONTH(Sales!$DL$1),1)+INT((DAY(Sales!$DL$1)-1)/2)+'Cash Drivers'!DL$13,0)=EOMONTH($AI$1,0),Sales!DL$6,0)+IF(EOMONTH(DATE(YEAR(Sales!$DI$1),MONTH(Sales!$DI$1),1)+INT((DAY(Sales!$DI$1)-1)/2)+'Cash Drivers'!DI$13,0)=EOMONTH($AI$1,0),Sales!DI$6,0)+IF(EOMONTH(DATE(YEAR(Sales!$DF$1),MONTH(Sales!$DF$1),1)+INT((DAY(Sales!$DF$1)-1)/2)+'Cash Drivers'!DF$13,0)=EOMONTH($AI$1,0),Sales!DF$6,0)+IF(EOMONTH(DATE(YEAR(Sales!$DC$1),MONTH(Sales!$DC$1),1)+INT((DAY(Sales!$DC$1)-1)/2)+'Cash Drivers'!DC$13,0)=EOMONTH($AI$1,0),Sales!DC$6,0)+IF(EOMONTH(DATE(YEAR(Sales!$CZ$1),MONTH(Sales!$CZ$1),1)+INT((DAY(Sales!$CZ$1)-1)/2)+'Cash Drivers'!CZ$13,0)=EOMONTH($AI$1,0),Sales!CZ$6,0)+IF(EOMONTH(DATE(YEAR(Sales!$CW$1),MONTH(Sales!$CW$1),1)+INT((DAY(Sales!$CW$1)-1)/2)+'Cash Drivers'!CW$13,0)=EOMONTH($AI$1,0),Sales!CW$6,0)+IF(EOMONTH(DATE(YEAR(Sales!$CT$1),MONTH(Sales!$CT$1),1)+INT((DAY(Sales!$CT$1)-1)/2)+'Cash Drivers'!CT$13,0)=EOMONTH($AI$1,0),Sales!CT$6,0)+IF(EOMONTH(DATE(YEAR(Sales!$CQ$1),MONTH(Sales!$CQ$1),1)+INT((DAY(Sales!$CQ$1)-1)/2)+'Cash Drivers'!CQ$13,0)=EOMONTH($AI$1,0),Sales!CQ$6,0)+IF(EOMONTH(DATE(YEAR(Sales!$CN$1),MONTH(Sales!$CN$1),1)+INT((DAY(Sales!$CN$1)-1)/2)+'Cash Drivers'!CN$13,0)=EOMONTH($AI$1,0),Sales!CN$6,0)+IF(EOMONTH(DATE(YEAR(Sales!$CK$1),MONTH(Sales!$CK$1),1)+INT((DAY(Sales!$CK$1)-1)/2)+'Cash Drivers'!CK$13,0)=EOMONTH($AI$1,0),Sales!CK$6,0)+IF(EOMONTH(DATE(YEAR(Sales!$CH$1),MONTH(Sales!$CH$1),1)+INT((DAY(Sales!$CH$1)-1)/2)+'Cash Drivers'!CH$13,0)=EOMONTH($AI$1,0),Sales!CH$6,0)+IF(EOMONTH(DATE(YEAR(Sales!$CE$1),MONTH(Sales!$CE$1),1)+INT((DAY(Sales!$CE$1)-1)/2)+'Cash Drivers'!CE$13,0)=EOMONTH($AI$1,0),Sales!CE$6,0)+IF(EOMONTH(DATE(YEAR(Sales!$CB$1),MONTH(Sales!$CB$1),1)+INT((DAY(Sales!$CB$1)-1)/2)+'Cash Drivers'!CB$13,0)=EOMONTH($AI$1,0),Sales!CB$6,0)+IF(EOMONTH(DATE(YEAR(Sales!$BY$1),MONTH(Sales!$BY$1),1)+INT((DAY(Sales!$BY$1)-1)/2)+'Cash Drivers'!BY$13,0)=EOMONTH($AI$1,0),Sales!BY$6,0)+IF(EOMONTH(DATE(YEAR(Sales!$BV$1),MONTH(Sales!$BV$1),1)+INT((DAY(Sales!$BV$1)-1)/2)+'Cash Drivers'!BV$13,0)=EOMONTH($AI$1,0),Sales!BV$6,0)+IF(EOMONTH(DATE(YEAR(Sales!$BS$1),MONTH(Sales!$BS$1),1)+INT((DAY(Sales!$BS$1)-1)/2)+'Cash Drivers'!BS$13,0)=EOMONTH($AI$1,0),Sales!BS$6,0)+IF(EOMONTH(DATE(YEAR(Sales!$BP$1),MONTH(Sales!$BP$1),1)+INT((DAY(Sales!$BP$1)-1)/2)+'Cash Drivers'!BP$13,0)=EOMONTH($AI$1,0),Sales!BP$6,0)+IF(EOMONTH(DATE(YEAR(Sales!$BM$1),MONTH(Sales!$BM$1),1)+INT((DAY(Sales!$BM$1)-1)/2)+'Cash Drivers'!BM$13,0)=EOMONTH($AI$1,0),Sales!BM$6,0)+IF(EOMONTH(DATE(YEAR(Sales!$BJ$1),MONTH(Sales!$BJ$1),1)+INT((DAY(Sales!$BJ$1)-1)/2)+'Cash Drivers'!BJ$13,0)=EOMONTH($AI$1,0),Sales!BJ$6,0)+IF(EOMONTH(DATE(YEAR(Sales!$BG$1),MONTH(Sales!$BG$1),1)+INT((DAY(Sales!$BG$1)-1)/2)+'Cash Drivers'!BG$13,0)=EOMONTH($AI$1,0),Sales!BG$6,0)+IF(EOMONTH(DATE(YEAR(Sales!$BD$1),MONTH(Sales!$BD$1),1)+INT((DAY(Sales!$BD$1)-1)/2)+'Cash Drivers'!BD$13,0)=EOMONTH($AI$1,0),Sales!BD$6,0)+IF(EOMONTH(DATE(YEAR(Sales!$BA$1),MONTH(Sales!$BA$1),1)+INT((DAY(Sales!$BA$1)-1)/2)+'Cash Drivers'!BA$13,0)=EOMONTH($AI$1,0),Sales!BA$6,0)+IF(EOMONTH(DATE(YEAR(Sales!$AX$1),MONTH(Sales!$AX$1),1)+INT((DAY(Sales!$AX$1)-1)/2)+'Cash Drivers'!AX$13,0)=EOMONTH($AI$1,0),Sales!AX$6,0)+IF(EOMONTH(DATE(YEAR(Sales!$AU$1),MONTH(Sales!$AU$1),1)+INT((DAY(Sales!$AU$1)-1)/2)+'Cash Drivers'!AU$13,0)=EOMONTH($AI$1,0),Sales!AU$6,0)+IF(EOMONTH(DATE(YEAR(Sales!$AR$1),MONTH(Sales!$AR$1),1)+INT((DAY(Sales!$AR$1)-1)/2)+'Cash Drivers'!AR$13,0)=EOMONTH($AI$1,0),Sales!AR$6,0)+IF(EOMONTH(DATE(YEAR(Sales!$AO$1),MONTH(Sales!$AO$1),1)+INT((DAY(Sales!$AO$1)-1)/2)+'Cash Drivers'!AO$13,0)=EOMONTH($AI$1,0),Sales!AO$6,0)+IF(EOMONTH(DATE(YEAR(Sales!$AL$1),MONTH(Sales!$AL$1),1)+INT((DAY(Sales!$AL$1)-1)/2)+'Cash Drivers'!AL$13,0)=EOMONTH($AI$1,0),Sales!AL$6,0)+IF(EOMONTH(DATE(YEAR(Sales!$AI$1),MONTH(Sales!$AI$1),1)+INT((DAY(Sales!$AI$1)-1)/2)+'Cash Drivers'!AI$13,0)=EOMONTH($AI$1,0),Sales!AI$6,0)+IF(EOMONTH(DATE(YEAR(Sales!$AF$1),MONTH(Sales!$AF$1),1)+INT((DAY(Sales!$AF$1)-1)/2)+'Cash Drivers'!AF$13,0)=EOMONTH($AI$1,0),Sales!AF$6,0)+IF(EOMONTH(DATE(YEAR(Sales!$AC$1),MONTH(Sales!$AC$1),1)+INT((DAY(Sales!$AC$1)-1)/2)+'Cash Drivers'!AC$13,0)=EOMONTH($AI$1,0),Sales!AC$6,0)+IF(EOMONTH(DATE(YEAR(Sales!$Z$1),MONTH(Sales!$Z$1),1)+INT((DAY(Sales!$Z$1)-1)/2)+'Cash Drivers'!Z$13,0)=EOMONTH($AI$1,0),Sales!Z$6,0)+IF(EOMONTH(DATE(YEAR(Sales!$W$1),MONTH(Sales!$W$1),1)+INT((DAY(Sales!$W$1)-1)/2)+'Cash Drivers'!W$13,0)=EOMONTH($AI$1,0),Sales!W$6,0)+IF(EOMONTH(DATE(YEAR(Sales!$T$1),MONTH(Sales!$T$1),1)+INT((DAY(Sales!$T$1)-1)/2)+'Cash Drivers'!T$13,0)=EOMONTH($AI$1,0),Sales!T$6,0)+IF(EOMONTH(DATE(YEAR(Sales!$Q$1),MONTH(Sales!$Q$1),1)+INT((DAY(Sales!$Q$1)-1)/2)+'Cash Drivers'!Q$13,0)=EOMONTH($AI$1,0),Sales!Q$6,0)+IF(EOMONTH(DATE(YEAR(Sales!$N$1),MONTH(Sales!$N$1),1)+INT((DAY(Sales!$N$1)-1)/2)+'Cash Drivers'!N$13,0)=EOMONTH($AI$1,0),Sales!N$6,0)+IF(EOMONTH(DATE(YEAR(Sales!$K$1),MONTH(Sales!$K$1),1)+INT((DAY(Sales!$K$1)-1)/2)+'Cash Drivers'!K$13,0)=EOMONTH($AI$1,0),Sales!K$6,0)+IF(EOMONTH('Cash Drivers'!$DL$30+'Cash Drivers'!DL$13,0)=EOMONTH($AI$1,0),'Cash Drivers'!$DL$32,0),0)</f>
        <v>0</v>
      </c>
      <c r="AJ18" s="45" t="n">
        <f aca="false">ROUND(IF(EOMONTH(DATE(YEAR(Sales!$DL$1),MONTH(Sales!$DL$1),1)+INT((DAY(Sales!$DL$1)-1)/2)+'Cash Drivers'!DM$13,0)=EOMONTH($AI$1,0),Sales!DM$6,0)+IF(EOMONTH(DATE(YEAR(Sales!$DI$1),MONTH(Sales!$DI$1),1)+INT((DAY(Sales!$DI$1)-1)/2)+'Cash Drivers'!DJ$13,0)=EOMONTH($AI$1,0),Sales!DJ$6,0)+IF(EOMONTH(DATE(YEAR(Sales!$DF$1),MONTH(Sales!$DF$1),1)+INT((DAY(Sales!$DF$1)-1)/2)+'Cash Drivers'!DG$13,0)=EOMONTH($AI$1,0),Sales!DG$6,0)+IF(EOMONTH(DATE(YEAR(Sales!$DC$1),MONTH(Sales!$DC$1),1)+INT((DAY(Sales!$DC$1)-1)/2)+'Cash Drivers'!DD$13,0)=EOMONTH($AI$1,0),Sales!DD$6,0)+IF(EOMONTH(DATE(YEAR(Sales!$CZ$1),MONTH(Sales!$CZ$1),1)+INT((DAY(Sales!$CZ$1)-1)/2)+'Cash Drivers'!DA$13,0)=EOMONTH($AI$1,0),Sales!DA$6,0)+IF(EOMONTH(DATE(YEAR(Sales!$CW$1),MONTH(Sales!$CW$1),1)+INT((DAY(Sales!$CW$1)-1)/2)+'Cash Drivers'!CX$13,0)=EOMONTH($AI$1,0),Sales!CX$6,0)+IF(EOMONTH(DATE(YEAR(Sales!$CT$1),MONTH(Sales!$CT$1),1)+INT((DAY(Sales!$CT$1)-1)/2)+'Cash Drivers'!CU$13,0)=EOMONTH($AI$1,0),Sales!CU$6,0)+IF(EOMONTH(DATE(YEAR(Sales!$CQ$1),MONTH(Sales!$CQ$1),1)+INT((DAY(Sales!$CQ$1)-1)/2)+'Cash Drivers'!CR$13,0)=EOMONTH($AI$1,0),Sales!CR$6,0)+IF(EOMONTH(DATE(YEAR(Sales!$CN$1),MONTH(Sales!$CN$1),1)+INT((DAY(Sales!$CN$1)-1)/2)+'Cash Drivers'!CO$13,0)=EOMONTH($AI$1,0),Sales!CO$6,0)+IF(EOMONTH(DATE(YEAR(Sales!$CK$1),MONTH(Sales!$CK$1),1)+INT((DAY(Sales!$CK$1)-1)/2)+'Cash Drivers'!CL$13,0)=EOMONTH($AI$1,0),Sales!CL$6,0)+IF(EOMONTH(DATE(YEAR(Sales!$CH$1),MONTH(Sales!$CH$1),1)+INT((DAY(Sales!$CH$1)-1)/2)+'Cash Drivers'!CI$13,0)=EOMONTH($AI$1,0),Sales!CI$6,0)+IF(EOMONTH(DATE(YEAR(Sales!$CE$1),MONTH(Sales!$CE$1),1)+INT((DAY(Sales!$CE$1)-1)/2)+'Cash Drivers'!CF$13,0)=EOMONTH($AI$1,0),Sales!CF$6,0)+IF(EOMONTH(DATE(YEAR(Sales!$CB$1),MONTH(Sales!$CB$1),1)+INT((DAY(Sales!$CB$1)-1)/2)+'Cash Drivers'!CC$13,0)=EOMONTH($AI$1,0),Sales!CC$6,0)+IF(EOMONTH(DATE(YEAR(Sales!$BY$1),MONTH(Sales!$BY$1),1)+INT((DAY(Sales!$BY$1)-1)/2)+'Cash Drivers'!BZ$13,0)=EOMONTH($AI$1,0),Sales!BZ$6,0)+IF(EOMONTH(DATE(YEAR(Sales!$BV$1),MONTH(Sales!$BV$1),1)+INT((DAY(Sales!$BV$1)-1)/2)+'Cash Drivers'!BW$13,0)=EOMONTH($AI$1,0),Sales!BW$6,0)+IF(EOMONTH(DATE(YEAR(Sales!$BS$1),MONTH(Sales!$BS$1),1)+INT((DAY(Sales!$BS$1)-1)/2)+'Cash Drivers'!BT$13,0)=EOMONTH($AI$1,0),Sales!BT$6,0)+IF(EOMONTH(DATE(YEAR(Sales!$BP$1),MONTH(Sales!$BP$1),1)+INT((DAY(Sales!$BP$1)-1)/2)+'Cash Drivers'!BQ$13,0)=EOMONTH($AI$1,0),Sales!BQ$6,0)+IF(EOMONTH(DATE(YEAR(Sales!$BM$1),MONTH(Sales!$BM$1),1)+INT((DAY(Sales!$BM$1)-1)/2)+'Cash Drivers'!BN$13,0)=EOMONTH($AI$1,0),Sales!BN$6,0)+IF(EOMONTH(DATE(YEAR(Sales!$BJ$1),MONTH(Sales!$BJ$1),1)+INT((DAY(Sales!$BJ$1)-1)/2)+'Cash Drivers'!BK$13,0)=EOMONTH($AI$1,0),Sales!BK$6,0)+IF(EOMONTH(DATE(YEAR(Sales!$BG$1),MONTH(Sales!$BG$1),1)+INT((DAY(Sales!$BG$1)-1)/2)+'Cash Drivers'!BH$13,0)=EOMONTH($AI$1,0),Sales!BH$6,0)+IF(EOMONTH(DATE(YEAR(Sales!$BD$1),MONTH(Sales!$BD$1),1)+INT((DAY(Sales!$BD$1)-1)/2)+'Cash Drivers'!BE$13,0)=EOMONTH($AI$1,0),Sales!BE$6,0)+IF(EOMONTH(DATE(YEAR(Sales!$BA$1),MONTH(Sales!$BA$1),1)+INT((DAY(Sales!$BA$1)-1)/2)+'Cash Drivers'!BB$13,0)=EOMONTH($AI$1,0),Sales!BB$6,0)+IF(EOMONTH(DATE(YEAR(Sales!$AX$1),MONTH(Sales!$AX$1),1)+INT((DAY(Sales!$AX$1)-1)/2)+'Cash Drivers'!AY$13,0)=EOMONTH($AI$1,0),Sales!AY$6,0)+IF(EOMONTH(DATE(YEAR(Sales!$AU$1),MONTH(Sales!$AU$1),1)+INT((DAY(Sales!$AU$1)-1)/2)+'Cash Drivers'!AV$13,0)=EOMONTH($AI$1,0),Sales!AV$6,0)+IF(EOMONTH(DATE(YEAR(Sales!$AR$1),MONTH(Sales!$AR$1),1)+INT((DAY(Sales!$AR$1)-1)/2)+'Cash Drivers'!AS$13,0)=EOMONTH($AI$1,0),Sales!AS$6,0)+IF(EOMONTH(DATE(YEAR(Sales!$AO$1),MONTH(Sales!$AO$1),1)+INT((DAY(Sales!$AO$1)-1)/2)+'Cash Drivers'!AP$13,0)=EOMONTH($AI$1,0),Sales!AP$6,0)+IF(EOMONTH(DATE(YEAR(Sales!$AL$1),MONTH(Sales!$AL$1),1)+INT((DAY(Sales!$AL$1)-1)/2)+'Cash Drivers'!AM$13,0)=EOMONTH($AI$1,0),Sales!AM$6,0)+IF(EOMONTH(DATE(YEAR(Sales!$AI$1),MONTH(Sales!$AI$1),1)+INT((DAY(Sales!$AI$1)-1)/2)+'Cash Drivers'!AJ$13,0)=EOMONTH($AI$1,0),Sales!AJ$6,0)+IF(EOMONTH(DATE(YEAR(Sales!$AF$1),MONTH(Sales!$AF$1),1)+INT((DAY(Sales!$AF$1)-1)/2)+'Cash Drivers'!AG$13,0)=EOMONTH($AI$1,0),Sales!AG$6,0)+IF(EOMONTH(DATE(YEAR(Sales!$AC$1),MONTH(Sales!$AC$1),1)+INT((DAY(Sales!$AC$1)-1)/2)+'Cash Drivers'!AD$13,0)=EOMONTH($AI$1,0),Sales!AD$6,0)+IF(EOMONTH(DATE(YEAR(Sales!$Z$1),MONTH(Sales!$Z$1),1)+INT((DAY(Sales!$Z$1)-1)/2)+'Cash Drivers'!AA$13,0)=EOMONTH($AI$1,0),Sales!AA$6,0)+IF(EOMONTH(DATE(YEAR(Sales!$W$1),MONTH(Sales!$W$1),1)+INT((DAY(Sales!$W$1)-1)/2)+'Cash Drivers'!X$13,0)=EOMONTH($AI$1,0),Sales!X$6,0)+IF(EOMONTH(DATE(YEAR(Sales!$T$1),MONTH(Sales!$T$1),1)+INT((DAY(Sales!$T$1)-1)/2)+'Cash Drivers'!U$13,0)=EOMONTH($AI$1,0),Sales!U$6,0)+IF(EOMONTH(DATE(YEAR(Sales!$Q$1),MONTH(Sales!$Q$1),1)+INT((DAY(Sales!$Q$1)-1)/2)+'Cash Drivers'!R$13,0)=EOMONTH($AI$1,0),Sales!R$6,0)+IF(EOMONTH(DATE(YEAR(Sales!$N$1),MONTH(Sales!$N$1),1)+INT((DAY(Sales!$N$1)-1)/2)+'Cash Drivers'!O$13,0)=EOMONTH($AI$1,0),Sales!O$6,0)+IF(EOMONTH(DATE(YEAR(Sales!$K$1),MONTH(Sales!$K$1),1)+INT((DAY(Sales!$K$1)-1)/2)+'Cash Drivers'!L$13,0)=EOMONTH($AI$1,0),Sales!L$6,0)+IF(EOMONTH('Cash Drivers'!$DL$30+'Cash Drivers'!DM$13,0)=EOMONTH($AI$1,0),'Cash Drivers'!$DL$32,0),0)</f>
        <v>38</v>
      </c>
      <c r="AK18" s="46" t="n">
        <f aca="false">ROUND(IF(EOMONTH(DATE(YEAR(Sales!$DL$1),MONTH(Sales!$DL$1),1)+INT((DAY(Sales!$DL$1)-1)/2)+'Cash Drivers'!DN$13,0)=EOMONTH($AI$1,0),Sales!DN$6,0)+IF(EOMONTH(DATE(YEAR(Sales!$DI$1),MONTH(Sales!$DI$1),1)+INT((DAY(Sales!$DI$1)-1)/2)+'Cash Drivers'!DK$13,0)=EOMONTH($AI$1,0),Sales!DK$6,0)+IF(EOMONTH(DATE(YEAR(Sales!$DF$1),MONTH(Sales!$DF$1),1)+INT((DAY(Sales!$DF$1)-1)/2)+'Cash Drivers'!DH$13,0)=EOMONTH($AI$1,0),Sales!DH$6,0)+IF(EOMONTH(DATE(YEAR(Sales!$DC$1),MONTH(Sales!$DC$1),1)+INT((DAY(Sales!$DC$1)-1)/2)+'Cash Drivers'!DE$13,0)=EOMONTH($AI$1,0),Sales!DE$6,0)+IF(EOMONTH(DATE(YEAR(Sales!$CZ$1),MONTH(Sales!$CZ$1),1)+INT((DAY(Sales!$CZ$1)-1)/2)+'Cash Drivers'!DB$13,0)=EOMONTH($AI$1,0),Sales!DB$6,0)+IF(EOMONTH(DATE(YEAR(Sales!$CW$1),MONTH(Sales!$CW$1),1)+INT((DAY(Sales!$CW$1)-1)/2)+'Cash Drivers'!CY$13,0)=EOMONTH($AI$1,0),Sales!CY$6,0)+IF(EOMONTH(DATE(YEAR(Sales!$CT$1),MONTH(Sales!$CT$1),1)+INT((DAY(Sales!$CT$1)-1)/2)+'Cash Drivers'!CV$13,0)=EOMONTH($AI$1,0),Sales!CV$6,0)+IF(EOMONTH(DATE(YEAR(Sales!$CQ$1),MONTH(Sales!$CQ$1),1)+INT((DAY(Sales!$CQ$1)-1)/2)+'Cash Drivers'!CS$13,0)=EOMONTH($AI$1,0),Sales!CS$6,0)+IF(EOMONTH(DATE(YEAR(Sales!$CN$1),MONTH(Sales!$CN$1),1)+INT((DAY(Sales!$CN$1)-1)/2)+'Cash Drivers'!CP$13,0)=EOMONTH($AI$1,0),Sales!CP$6,0)+IF(EOMONTH(DATE(YEAR(Sales!$CK$1),MONTH(Sales!$CK$1),1)+INT((DAY(Sales!$CK$1)-1)/2)+'Cash Drivers'!CM$13,0)=EOMONTH($AI$1,0),Sales!CM$6,0)+IF(EOMONTH(DATE(YEAR(Sales!$CH$1),MONTH(Sales!$CH$1),1)+INT((DAY(Sales!$CH$1)-1)/2)+'Cash Drivers'!CJ$13,0)=EOMONTH($AI$1,0),Sales!CJ$6,0)+IF(EOMONTH(DATE(YEAR(Sales!$CE$1),MONTH(Sales!$CE$1),1)+INT((DAY(Sales!$CE$1)-1)/2)+'Cash Drivers'!CG$13,0)=EOMONTH($AI$1,0),Sales!CG$6,0)+IF(EOMONTH(DATE(YEAR(Sales!$CB$1),MONTH(Sales!$CB$1),1)+INT((DAY(Sales!$CB$1)-1)/2)+'Cash Drivers'!CD$13,0)=EOMONTH($AI$1,0),Sales!CD$6,0)+IF(EOMONTH(DATE(YEAR(Sales!$BY$1),MONTH(Sales!$BY$1),1)+INT((DAY(Sales!$BY$1)-1)/2)+'Cash Drivers'!CA$13,0)=EOMONTH($AI$1,0),Sales!CA$6,0)+IF(EOMONTH(DATE(YEAR(Sales!$BV$1),MONTH(Sales!$BV$1),1)+INT((DAY(Sales!$BV$1)-1)/2)+'Cash Drivers'!BX$13,0)=EOMONTH($AI$1,0),Sales!BX$6,0)+IF(EOMONTH(DATE(YEAR(Sales!$BS$1),MONTH(Sales!$BS$1),1)+INT((DAY(Sales!$BS$1)-1)/2)+'Cash Drivers'!BU$13,0)=EOMONTH($AI$1,0),Sales!BU$6,0)+IF(EOMONTH(DATE(YEAR(Sales!$BP$1),MONTH(Sales!$BP$1),1)+INT((DAY(Sales!$BP$1)-1)/2)+'Cash Drivers'!BR$13,0)=EOMONTH($AI$1,0),Sales!BR$6,0)+IF(EOMONTH(DATE(YEAR(Sales!$BM$1),MONTH(Sales!$BM$1),1)+INT((DAY(Sales!$BM$1)-1)/2)+'Cash Drivers'!BO$13,0)=EOMONTH($AI$1,0),Sales!BO$6,0)+IF(EOMONTH(DATE(YEAR(Sales!$BJ$1),MONTH(Sales!$BJ$1),1)+INT((DAY(Sales!$BJ$1)-1)/2)+'Cash Drivers'!BL$13,0)=EOMONTH($AI$1,0),Sales!BL$6,0)+IF(EOMONTH(DATE(YEAR(Sales!$BG$1),MONTH(Sales!$BG$1),1)+INT((DAY(Sales!$BG$1)-1)/2)+'Cash Drivers'!BI$13,0)=EOMONTH($AI$1,0),Sales!BI$6,0)+IF(EOMONTH(DATE(YEAR(Sales!$BD$1),MONTH(Sales!$BD$1),1)+INT((DAY(Sales!$BD$1)-1)/2)+'Cash Drivers'!BF$13,0)=EOMONTH($AI$1,0),Sales!BF$6,0)+IF(EOMONTH(DATE(YEAR(Sales!$BA$1),MONTH(Sales!$BA$1),1)+INT((DAY(Sales!$BA$1)-1)/2)+'Cash Drivers'!BC$13,0)=EOMONTH($AI$1,0),Sales!BC$6,0)+IF(EOMONTH(DATE(YEAR(Sales!$AX$1),MONTH(Sales!$AX$1),1)+INT((DAY(Sales!$AX$1)-1)/2)+'Cash Drivers'!AZ$13,0)=EOMONTH($AI$1,0),Sales!AZ$6,0)+IF(EOMONTH(DATE(YEAR(Sales!$AU$1),MONTH(Sales!$AU$1),1)+INT((DAY(Sales!$AU$1)-1)/2)+'Cash Drivers'!AW$13,0)=EOMONTH($AI$1,0),Sales!AW$6,0)+IF(EOMONTH(DATE(YEAR(Sales!$AR$1),MONTH(Sales!$AR$1),1)+INT((DAY(Sales!$AR$1)-1)/2)+'Cash Drivers'!AT$13,0)=EOMONTH($AI$1,0),Sales!AT$6,0)+IF(EOMONTH(DATE(YEAR(Sales!$AO$1),MONTH(Sales!$AO$1),1)+INT((DAY(Sales!$AO$1)-1)/2)+'Cash Drivers'!AQ$13,0)=EOMONTH($AI$1,0),Sales!AQ$6,0)+IF(EOMONTH(DATE(YEAR(Sales!$AL$1),MONTH(Sales!$AL$1),1)+INT((DAY(Sales!$AL$1)-1)/2)+'Cash Drivers'!AN$13,0)=EOMONTH($AI$1,0),Sales!AN$6,0)+IF(EOMONTH(DATE(YEAR(Sales!$AI$1),MONTH(Sales!$AI$1),1)+INT((DAY(Sales!$AI$1)-1)/2)+'Cash Drivers'!AK$13,0)=EOMONTH($AI$1,0),Sales!AK$6,0)+IF(EOMONTH(DATE(YEAR(Sales!$AF$1),MONTH(Sales!$AF$1),1)+INT((DAY(Sales!$AF$1)-1)/2)+'Cash Drivers'!AH$13,0)=EOMONTH($AI$1,0),Sales!AH$6,0)+IF(EOMONTH(DATE(YEAR(Sales!$AC$1),MONTH(Sales!$AC$1),1)+INT((DAY(Sales!$AC$1)-1)/2)+'Cash Drivers'!AE$13,0)=EOMONTH($AI$1,0),Sales!AE$6,0)+IF(EOMONTH(DATE(YEAR(Sales!$Z$1),MONTH(Sales!$Z$1),1)+INT((DAY(Sales!$Z$1)-1)/2)+'Cash Drivers'!AB$13,0)=EOMONTH($AI$1,0),Sales!AB$6,0)+IF(EOMONTH(DATE(YEAR(Sales!$W$1),MONTH(Sales!$W$1),1)+INT((DAY(Sales!$W$1)-1)/2)+'Cash Drivers'!Y$13,0)=EOMONTH($AI$1,0),Sales!Y$6,0)+IF(EOMONTH(DATE(YEAR(Sales!$T$1),MONTH(Sales!$T$1),1)+INT((DAY(Sales!$T$1)-1)/2)+'Cash Drivers'!V$13,0)=EOMONTH($AI$1,0),Sales!V$6,0)+IF(EOMONTH(DATE(YEAR(Sales!$Q$1),MONTH(Sales!$Q$1),1)+INT((DAY(Sales!$Q$1)-1)/2)+'Cash Drivers'!S$13,0)=EOMONTH($AI$1,0),Sales!S$6,0)+IF(EOMONTH(DATE(YEAR(Sales!$N$1),MONTH(Sales!$N$1),1)+INT((DAY(Sales!$N$1)-1)/2)+'Cash Drivers'!P$13,0)=EOMONTH($AI$1,0),Sales!P$6,0)+IF(EOMONTH(DATE(YEAR(Sales!$K$1),MONTH(Sales!$K$1),1)+INT((DAY(Sales!$K$1)-1)/2)+'Cash Drivers'!M$13,0)=EOMONTH($AI$1,0),Sales!M$6,0)+IF(EOMONTH('Cash Drivers'!$DL$30+'Cash Drivers'!DN$13,0)=EOMONTH($AI$1,0),'Cash Drivers'!$DL$32,0),0)</f>
        <v>38</v>
      </c>
      <c r="AL18" s="44" t="n">
        <f aca="false">ROUND(IF(EOMONTH(DATE(YEAR(Sales!$DL$1),MONTH(Sales!$DL$1),1)+INT((DAY(Sales!$DL$1)-1)/2)+'Cash Drivers'!DL$13,0)=EOMONTH($AL$1,0),Sales!DL$6,0)+IF(EOMONTH(DATE(YEAR(Sales!$DI$1),MONTH(Sales!$DI$1),1)+INT((DAY(Sales!$DI$1)-1)/2)+'Cash Drivers'!DI$13,0)=EOMONTH($AL$1,0),Sales!DI$6,0)+IF(EOMONTH(DATE(YEAR(Sales!$DF$1),MONTH(Sales!$DF$1),1)+INT((DAY(Sales!$DF$1)-1)/2)+'Cash Drivers'!DF$13,0)=EOMONTH($AL$1,0),Sales!DF$6,0)+IF(EOMONTH(DATE(YEAR(Sales!$DC$1),MONTH(Sales!$DC$1),1)+INT((DAY(Sales!$DC$1)-1)/2)+'Cash Drivers'!DC$13,0)=EOMONTH($AL$1,0),Sales!DC$6,0)+IF(EOMONTH(DATE(YEAR(Sales!$CZ$1),MONTH(Sales!$CZ$1),1)+INT((DAY(Sales!$CZ$1)-1)/2)+'Cash Drivers'!CZ$13,0)=EOMONTH($AL$1,0),Sales!CZ$6,0)+IF(EOMONTH(DATE(YEAR(Sales!$CW$1),MONTH(Sales!$CW$1),1)+INT((DAY(Sales!$CW$1)-1)/2)+'Cash Drivers'!CW$13,0)=EOMONTH($AL$1,0),Sales!CW$6,0)+IF(EOMONTH(DATE(YEAR(Sales!$CT$1),MONTH(Sales!$CT$1),1)+INT((DAY(Sales!$CT$1)-1)/2)+'Cash Drivers'!CT$13,0)=EOMONTH($AL$1,0),Sales!CT$6,0)+IF(EOMONTH(DATE(YEAR(Sales!$CQ$1),MONTH(Sales!$CQ$1),1)+INT((DAY(Sales!$CQ$1)-1)/2)+'Cash Drivers'!CQ$13,0)=EOMONTH($AL$1,0),Sales!CQ$6,0)+IF(EOMONTH(DATE(YEAR(Sales!$CN$1),MONTH(Sales!$CN$1),1)+INT((DAY(Sales!$CN$1)-1)/2)+'Cash Drivers'!CN$13,0)=EOMONTH($AL$1,0),Sales!CN$6,0)+IF(EOMONTH(DATE(YEAR(Sales!$CK$1),MONTH(Sales!$CK$1),1)+INT((DAY(Sales!$CK$1)-1)/2)+'Cash Drivers'!CK$13,0)=EOMONTH($AL$1,0),Sales!CK$6,0)+IF(EOMONTH(DATE(YEAR(Sales!$CH$1),MONTH(Sales!$CH$1),1)+INT((DAY(Sales!$CH$1)-1)/2)+'Cash Drivers'!CH$13,0)=EOMONTH($AL$1,0),Sales!CH$6,0)+IF(EOMONTH(DATE(YEAR(Sales!$CE$1),MONTH(Sales!$CE$1),1)+INT((DAY(Sales!$CE$1)-1)/2)+'Cash Drivers'!CE$13,0)=EOMONTH($AL$1,0),Sales!CE$6,0)+IF(EOMONTH(DATE(YEAR(Sales!$CB$1),MONTH(Sales!$CB$1),1)+INT((DAY(Sales!$CB$1)-1)/2)+'Cash Drivers'!CB$13,0)=EOMONTH($AL$1,0),Sales!CB$6,0)+IF(EOMONTH(DATE(YEAR(Sales!$BY$1),MONTH(Sales!$BY$1),1)+INT((DAY(Sales!$BY$1)-1)/2)+'Cash Drivers'!BY$13,0)=EOMONTH($AL$1,0),Sales!BY$6,0)+IF(EOMONTH(DATE(YEAR(Sales!$BV$1),MONTH(Sales!$BV$1),1)+INT((DAY(Sales!$BV$1)-1)/2)+'Cash Drivers'!BV$13,0)=EOMONTH($AL$1,0),Sales!BV$6,0)+IF(EOMONTH(DATE(YEAR(Sales!$BS$1),MONTH(Sales!$BS$1),1)+INT((DAY(Sales!$BS$1)-1)/2)+'Cash Drivers'!BS$13,0)=EOMONTH($AL$1,0),Sales!BS$6,0)+IF(EOMONTH(DATE(YEAR(Sales!$BP$1),MONTH(Sales!$BP$1),1)+INT((DAY(Sales!$BP$1)-1)/2)+'Cash Drivers'!BP$13,0)=EOMONTH($AL$1,0),Sales!BP$6,0)+IF(EOMONTH(DATE(YEAR(Sales!$BM$1),MONTH(Sales!$BM$1),1)+INT((DAY(Sales!$BM$1)-1)/2)+'Cash Drivers'!BM$13,0)=EOMONTH($AL$1,0),Sales!BM$6,0)+IF(EOMONTH(DATE(YEAR(Sales!$BJ$1),MONTH(Sales!$BJ$1),1)+INT((DAY(Sales!$BJ$1)-1)/2)+'Cash Drivers'!BJ$13,0)=EOMONTH($AL$1,0),Sales!BJ$6,0)+IF(EOMONTH(DATE(YEAR(Sales!$BG$1),MONTH(Sales!$BG$1),1)+INT((DAY(Sales!$BG$1)-1)/2)+'Cash Drivers'!BG$13,0)=EOMONTH($AL$1,0),Sales!BG$6,0)+IF(EOMONTH(DATE(YEAR(Sales!$BD$1),MONTH(Sales!$BD$1),1)+INT((DAY(Sales!$BD$1)-1)/2)+'Cash Drivers'!BD$13,0)=EOMONTH($AL$1,0),Sales!BD$6,0)+IF(EOMONTH(DATE(YEAR(Sales!$BA$1),MONTH(Sales!$BA$1),1)+INT((DAY(Sales!$BA$1)-1)/2)+'Cash Drivers'!BA$13,0)=EOMONTH($AL$1,0),Sales!BA$6,0)+IF(EOMONTH(DATE(YEAR(Sales!$AX$1),MONTH(Sales!$AX$1),1)+INT((DAY(Sales!$AX$1)-1)/2)+'Cash Drivers'!AX$13,0)=EOMONTH($AL$1,0),Sales!AX$6,0)+IF(EOMONTH(DATE(YEAR(Sales!$AU$1),MONTH(Sales!$AU$1),1)+INT((DAY(Sales!$AU$1)-1)/2)+'Cash Drivers'!AU$13,0)=EOMONTH($AL$1,0),Sales!AU$6,0)+IF(EOMONTH(DATE(YEAR(Sales!$AR$1),MONTH(Sales!$AR$1),1)+INT((DAY(Sales!$AR$1)-1)/2)+'Cash Drivers'!AR$13,0)=EOMONTH($AL$1,0),Sales!AR$6,0)+IF(EOMONTH(DATE(YEAR(Sales!$AO$1),MONTH(Sales!$AO$1),1)+INT((DAY(Sales!$AO$1)-1)/2)+'Cash Drivers'!AO$13,0)=EOMONTH($AL$1,0),Sales!AO$6,0)+IF(EOMONTH(DATE(YEAR(Sales!$AL$1),MONTH(Sales!$AL$1),1)+INT((DAY(Sales!$AL$1)-1)/2)+'Cash Drivers'!AL$13,0)=EOMONTH($AL$1,0),Sales!AL$6,0)+IF(EOMONTH(DATE(YEAR(Sales!$AI$1),MONTH(Sales!$AI$1),1)+INT((DAY(Sales!$AI$1)-1)/2)+'Cash Drivers'!AI$13,0)=EOMONTH($AL$1,0),Sales!AI$6,0)+IF(EOMONTH(DATE(YEAR(Sales!$AF$1),MONTH(Sales!$AF$1),1)+INT((DAY(Sales!$AF$1)-1)/2)+'Cash Drivers'!AF$13,0)=EOMONTH($AL$1,0),Sales!AF$6,0)+IF(EOMONTH(DATE(YEAR(Sales!$AC$1),MONTH(Sales!$AC$1),1)+INT((DAY(Sales!$AC$1)-1)/2)+'Cash Drivers'!AC$13,0)=EOMONTH($AL$1,0),Sales!AC$6,0)+IF(EOMONTH(DATE(YEAR(Sales!$Z$1),MONTH(Sales!$Z$1),1)+INT((DAY(Sales!$Z$1)-1)/2)+'Cash Drivers'!Z$13,0)=EOMONTH($AL$1,0),Sales!Z$6,0)+IF(EOMONTH(DATE(YEAR(Sales!$W$1),MONTH(Sales!$W$1),1)+INT((DAY(Sales!$W$1)-1)/2)+'Cash Drivers'!W$13,0)=EOMONTH($AL$1,0),Sales!W$6,0)+IF(EOMONTH(DATE(YEAR(Sales!$T$1),MONTH(Sales!$T$1),1)+INT((DAY(Sales!$T$1)-1)/2)+'Cash Drivers'!T$13,0)=EOMONTH($AL$1,0),Sales!T$6,0)+IF(EOMONTH(DATE(YEAR(Sales!$Q$1),MONTH(Sales!$Q$1),1)+INT((DAY(Sales!$Q$1)-1)/2)+'Cash Drivers'!Q$13,0)=EOMONTH($AL$1,0),Sales!Q$6,0)+IF(EOMONTH(DATE(YEAR(Sales!$N$1),MONTH(Sales!$N$1),1)+INT((DAY(Sales!$N$1)-1)/2)+'Cash Drivers'!N$13,0)=EOMONTH($AL$1,0),Sales!N$6,0)+IF(EOMONTH(DATE(YEAR(Sales!$K$1),MONTH(Sales!$K$1),1)+INT((DAY(Sales!$K$1)-1)/2)+'Cash Drivers'!K$13,0)=EOMONTH($AL$1,0),Sales!K$6,0)+IF(EOMONTH('Cash Drivers'!$DL$30+'Cash Drivers'!DL$13,0)=EOMONTH($AL$1,0),'Cash Drivers'!$DL$32,0),0)</f>
        <v>0</v>
      </c>
      <c r="AM18" s="45" t="n">
        <f aca="false">ROUND(IF(EOMONTH(DATE(YEAR(Sales!$DL$1),MONTH(Sales!$DL$1),1)+INT((DAY(Sales!$DL$1)-1)/2)+'Cash Drivers'!DM$13,0)=EOMONTH($AL$1,0),Sales!DM$6,0)+IF(EOMONTH(DATE(YEAR(Sales!$DI$1),MONTH(Sales!$DI$1),1)+INT((DAY(Sales!$DI$1)-1)/2)+'Cash Drivers'!DJ$13,0)=EOMONTH($AL$1,0),Sales!DJ$6,0)+IF(EOMONTH(DATE(YEAR(Sales!$DF$1),MONTH(Sales!$DF$1),1)+INT((DAY(Sales!$DF$1)-1)/2)+'Cash Drivers'!DG$13,0)=EOMONTH($AL$1,0),Sales!DG$6,0)+IF(EOMONTH(DATE(YEAR(Sales!$DC$1),MONTH(Sales!$DC$1),1)+INT((DAY(Sales!$DC$1)-1)/2)+'Cash Drivers'!DD$13,0)=EOMONTH($AL$1,0),Sales!DD$6,0)+IF(EOMONTH(DATE(YEAR(Sales!$CZ$1),MONTH(Sales!$CZ$1),1)+INT((DAY(Sales!$CZ$1)-1)/2)+'Cash Drivers'!DA$13,0)=EOMONTH($AL$1,0),Sales!DA$6,0)+IF(EOMONTH(DATE(YEAR(Sales!$CW$1),MONTH(Sales!$CW$1),1)+INT((DAY(Sales!$CW$1)-1)/2)+'Cash Drivers'!CX$13,0)=EOMONTH($AL$1,0),Sales!CX$6,0)+IF(EOMONTH(DATE(YEAR(Sales!$CT$1),MONTH(Sales!$CT$1),1)+INT((DAY(Sales!$CT$1)-1)/2)+'Cash Drivers'!CU$13,0)=EOMONTH($AL$1,0),Sales!CU$6,0)+IF(EOMONTH(DATE(YEAR(Sales!$CQ$1),MONTH(Sales!$CQ$1),1)+INT((DAY(Sales!$CQ$1)-1)/2)+'Cash Drivers'!CR$13,0)=EOMONTH($AL$1,0),Sales!CR$6,0)+IF(EOMONTH(DATE(YEAR(Sales!$CN$1),MONTH(Sales!$CN$1),1)+INT((DAY(Sales!$CN$1)-1)/2)+'Cash Drivers'!CO$13,0)=EOMONTH($AL$1,0),Sales!CO$6,0)+IF(EOMONTH(DATE(YEAR(Sales!$CK$1),MONTH(Sales!$CK$1),1)+INT((DAY(Sales!$CK$1)-1)/2)+'Cash Drivers'!CL$13,0)=EOMONTH($AL$1,0),Sales!CL$6,0)+IF(EOMONTH(DATE(YEAR(Sales!$CH$1),MONTH(Sales!$CH$1),1)+INT((DAY(Sales!$CH$1)-1)/2)+'Cash Drivers'!CI$13,0)=EOMONTH($AL$1,0),Sales!CI$6,0)+IF(EOMONTH(DATE(YEAR(Sales!$CE$1),MONTH(Sales!$CE$1),1)+INT((DAY(Sales!$CE$1)-1)/2)+'Cash Drivers'!CF$13,0)=EOMONTH($AL$1,0),Sales!CF$6,0)+IF(EOMONTH(DATE(YEAR(Sales!$CB$1),MONTH(Sales!$CB$1),1)+INT((DAY(Sales!$CB$1)-1)/2)+'Cash Drivers'!CC$13,0)=EOMONTH($AL$1,0),Sales!CC$6,0)+IF(EOMONTH(DATE(YEAR(Sales!$BY$1),MONTH(Sales!$BY$1),1)+INT((DAY(Sales!$BY$1)-1)/2)+'Cash Drivers'!BZ$13,0)=EOMONTH($AL$1,0),Sales!BZ$6,0)+IF(EOMONTH(DATE(YEAR(Sales!$BV$1),MONTH(Sales!$BV$1),1)+INT((DAY(Sales!$BV$1)-1)/2)+'Cash Drivers'!BW$13,0)=EOMONTH($AL$1,0),Sales!BW$6,0)+IF(EOMONTH(DATE(YEAR(Sales!$BS$1),MONTH(Sales!$BS$1),1)+INT((DAY(Sales!$BS$1)-1)/2)+'Cash Drivers'!BT$13,0)=EOMONTH($AL$1,0),Sales!BT$6,0)+IF(EOMONTH(DATE(YEAR(Sales!$BP$1),MONTH(Sales!$BP$1),1)+INT((DAY(Sales!$BP$1)-1)/2)+'Cash Drivers'!BQ$13,0)=EOMONTH($AL$1,0),Sales!BQ$6,0)+IF(EOMONTH(DATE(YEAR(Sales!$BM$1),MONTH(Sales!$BM$1),1)+INT((DAY(Sales!$BM$1)-1)/2)+'Cash Drivers'!BN$13,0)=EOMONTH($AL$1,0),Sales!BN$6,0)+IF(EOMONTH(DATE(YEAR(Sales!$BJ$1),MONTH(Sales!$BJ$1),1)+INT((DAY(Sales!$BJ$1)-1)/2)+'Cash Drivers'!BK$13,0)=EOMONTH($AL$1,0),Sales!BK$6,0)+IF(EOMONTH(DATE(YEAR(Sales!$BG$1),MONTH(Sales!$BG$1),1)+INT((DAY(Sales!$BG$1)-1)/2)+'Cash Drivers'!BH$13,0)=EOMONTH($AL$1,0),Sales!BH$6,0)+IF(EOMONTH(DATE(YEAR(Sales!$BD$1),MONTH(Sales!$BD$1),1)+INT((DAY(Sales!$BD$1)-1)/2)+'Cash Drivers'!BE$13,0)=EOMONTH($AL$1,0),Sales!BE$6,0)+IF(EOMONTH(DATE(YEAR(Sales!$BA$1),MONTH(Sales!$BA$1),1)+INT((DAY(Sales!$BA$1)-1)/2)+'Cash Drivers'!BB$13,0)=EOMONTH($AL$1,0),Sales!BB$6,0)+IF(EOMONTH(DATE(YEAR(Sales!$AX$1),MONTH(Sales!$AX$1),1)+INT((DAY(Sales!$AX$1)-1)/2)+'Cash Drivers'!AY$13,0)=EOMONTH($AL$1,0),Sales!AY$6,0)+IF(EOMONTH(DATE(YEAR(Sales!$AU$1),MONTH(Sales!$AU$1),1)+INT((DAY(Sales!$AU$1)-1)/2)+'Cash Drivers'!AV$13,0)=EOMONTH($AL$1,0),Sales!AV$6,0)+IF(EOMONTH(DATE(YEAR(Sales!$AR$1),MONTH(Sales!$AR$1),1)+INT((DAY(Sales!$AR$1)-1)/2)+'Cash Drivers'!AS$13,0)=EOMONTH($AL$1,0),Sales!AS$6,0)+IF(EOMONTH(DATE(YEAR(Sales!$AO$1),MONTH(Sales!$AO$1),1)+INT((DAY(Sales!$AO$1)-1)/2)+'Cash Drivers'!AP$13,0)=EOMONTH($AL$1,0),Sales!AP$6,0)+IF(EOMONTH(DATE(YEAR(Sales!$AL$1),MONTH(Sales!$AL$1),1)+INT((DAY(Sales!$AL$1)-1)/2)+'Cash Drivers'!AM$13,0)=EOMONTH($AL$1,0),Sales!AM$6,0)+IF(EOMONTH(DATE(YEAR(Sales!$AI$1),MONTH(Sales!$AI$1),1)+INT((DAY(Sales!$AI$1)-1)/2)+'Cash Drivers'!AJ$13,0)=EOMONTH($AL$1,0),Sales!AJ$6,0)+IF(EOMONTH(DATE(YEAR(Sales!$AF$1),MONTH(Sales!$AF$1),1)+INT((DAY(Sales!$AF$1)-1)/2)+'Cash Drivers'!AG$13,0)=EOMONTH($AL$1,0),Sales!AG$6,0)+IF(EOMONTH(DATE(YEAR(Sales!$AC$1),MONTH(Sales!$AC$1),1)+INT((DAY(Sales!$AC$1)-1)/2)+'Cash Drivers'!AD$13,0)=EOMONTH($AL$1,0),Sales!AD$6,0)+IF(EOMONTH(DATE(YEAR(Sales!$Z$1),MONTH(Sales!$Z$1),1)+INT((DAY(Sales!$Z$1)-1)/2)+'Cash Drivers'!AA$13,0)=EOMONTH($AL$1,0),Sales!AA$6,0)+IF(EOMONTH(DATE(YEAR(Sales!$W$1),MONTH(Sales!$W$1),1)+INT((DAY(Sales!$W$1)-1)/2)+'Cash Drivers'!X$13,0)=EOMONTH($AL$1,0),Sales!X$6,0)+IF(EOMONTH(DATE(YEAR(Sales!$T$1),MONTH(Sales!$T$1),1)+INT((DAY(Sales!$T$1)-1)/2)+'Cash Drivers'!U$13,0)=EOMONTH($AL$1,0),Sales!U$6,0)+IF(EOMONTH(DATE(YEAR(Sales!$Q$1),MONTH(Sales!$Q$1),1)+INT((DAY(Sales!$Q$1)-1)/2)+'Cash Drivers'!R$13,0)=EOMONTH($AL$1,0),Sales!R$6,0)+IF(EOMONTH(DATE(YEAR(Sales!$N$1),MONTH(Sales!$N$1),1)+INT((DAY(Sales!$N$1)-1)/2)+'Cash Drivers'!O$13,0)=EOMONTH($AL$1,0),Sales!O$6,0)+IF(EOMONTH(DATE(YEAR(Sales!$K$1),MONTH(Sales!$K$1),1)+INT((DAY(Sales!$K$1)-1)/2)+'Cash Drivers'!L$13,0)=EOMONTH($AL$1,0),Sales!L$6,0)+IF(EOMONTH('Cash Drivers'!$DL$30+'Cash Drivers'!DM$13,0)=EOMONTH($AL$1,0),'Cash Drivers'!$DL$32,0),0)</f>
        <v>38</v>
      </c>
      <c r="AN18" s="46" t="n">
        <f aca="false">ROUND(IF(EOMONTH(DATE(YEAR(Sales!$DL$1),MONTH(Sales!$DL$1),1)+INT((DAY(Sales!$DL$1)-1)/2)+'Cash Drivers'!DN$13,0)=EOMONTH($AL$1,0),Sales!DN$6,0)+IF(EOMONTH(DATE(YEAR(Sales!$DI$1),MONTH(Sales!$DI$1),1)+INT((DAY(Sales!$DI$1)-1)/2)+'Cash Drivers'!DK$13,0)=EOMONTH($AL$1,0),Sales!DK$6,0)+IF(EOMONTH(DATE(YEAR(Sales!$DF$1),MONTH(Sales!$DF$1),1)+INT((DAY(Sales!$DF$1)-1)/2)+'Cash Drivers'!DH$13,0)=EOMONTH($AL$1,0),Sales!DH$6,0)+IF(EOMONTH(DATE(YEAR(Sales!$DC$1),MONTH(Sales!$DC$1),1)+INT((DAY(Sales!$DC$1)-1)/2)+'Cash Drivers'!DE$13,0)=EOMONTH($AL$1,0),Sales!DE$6,0)+IF(EOMONTH(DATE(YEAR(Sales!$CZ$1),MONTH(Sales!$CZ$1),1)+INT((DAY(Sales!$CZ$1)-1)/2)+'Cash Drivers'!DB$13,0)=EOMONTH($AL$1,0),Sales!DB$6,0)+IF(EOMONTH(DATE(YEAR(Sales!$CW$1),MONTH(Sales!$CW$1),1)+INT((DAY(Sales!$CW$1)-1)/2)+'Cash Drivers'!CY$13,0)=EOMONTH($AL$1,0),Sales!CY$6,0)+IF(EOMONTH(DATE(YEAR(Sales!$CT$1),MONTH(Sales!$CT$1),1)+INT((DAY(Sales!$CT$1)-1)/2)+'Cash Drivers'!CV$13,0)=EOMONTH($AL$1,0),Sales!CV$6,0)+IF(EOMONTH(DATE(YEAR(Sales!$CQ$1),MONTH(Sales!$CQ$1),1)+INT((DAY(Sales!$CQ$1)-1)/2)+'Cash Drivers'!CS$13,0)=EOMONTH($AL$1,0),Sales!CS$6,0)+IF(EOMONTH(DATE(YEAR(Sales!$CN$1),MONTH(Sales!$CN$1),1)+INT((DAY(Sales!$CN$1)-1)/2)+'Cash Drivers'!CP$13,0)=EOMONTH($AL$1,0),Sales!CP$6,0)+IF(EOMONTH(DATE(YEAR(Sales!$CK$1),MONTH(Sales!$CK$1),1)+INT((DAY(Sales!$CK$1)-1)/2)+'Cash Drivers'!CM$13,0)=EOMONTH($AL$1,0),Sales!CM$6,0)+IF(EOMONTH(DATE(YEAR(Sales!$CH$1),MONTH(Sales!$CH$1),1)+INT((DAY(Sales!$CH$1)-1)/2)+'Cash Drivers'!CJ$13,0)=EOMONTH($AL$1,0),Sales!CJ$6,0)+IF(EOMONTH(DATE(YEAR(Sales!$CE$1),MONTH(Sales!$CE$1),1)+INT((DAY(Sales!$CE$1)-1)/2)+'Cash Drivers'!CG$13,0)=EOMONTH($AL$1,0),Sales!CG$6,0)+IF(EOMONTH(DATE(YEAR(Sales!$CB$1),MONTH(Sales!$CB$1),1)+INT((DAY(Sales!$CB$1)-1)/2)+'Cash Drivers'!CD$13,0)=EOMONTH($AL$1,0),Sales!CD$6,0)+IF(EOMONTH(DATE(YEAR(Sales!$BY$1),MONTH(Sales!$BY$1),1)+INT((DAY(Sales!$BY$1)-1)/2)+'Cash Drivers'!CA$13,0)=EOMONTH($AL$1,0),Sales!CA$6,0)+IF(EOMONTH(DATE(YEAR(Sales!$BV$1),MONTH(Sales!$BV$1),1)+INT((DAY(Sales!$BV$1)-1)/2)+'Cash Drivers'!BX$13,0)=EOMONTH($AL$1,0),Sales!BX$6,0)+IF(EOMONTH(DATE(YEAR(Sales!$BS$1),MONTH(Sales!$BS$1),1)+INT((DAY(Sales!$BS$1)-1)/2)+'Cash Drivers'!BU$13,0)=EOMONTH($AL$1,0),Sales!BU$6,0)+IF(EOMONTH(DATE(YEAR(Sales!$BP$1),MONTH(Sales!$BP$1),1)+INT((DAY(Sales!$BP$1)-1)/2)+'Cash Drivers'!BR$13,0)=EOMONTH($AL$1,0),Sales!BR$6,0)+IF(EOMONTH(DATE(YEAR(Sales!$BM$1),MONTH(Sales!$BM$1),1)+INT((DAY(Sales!$BM$1)-1)/2)+'Cash Drivers'!BO$13,0)=EOMONTH($AL$1,0),Sales!BO$6,0)+IF(EOMONTH(DATE(YEAR(Sales!$BJ$1),MONTH(Sales!$BJ$1),1)+INT((DAY(Sales!$BJ$1)-1)/2)+'Cash Drivers'!BL$13,0)=EOMONTH($AL$1,0),Sales!BL$6,0)+IF(EOMONTH(DATE(YEAR(Sales!$BG$1),MONTH(Sales!$BG$1),1)+INT((DAY(Sales!$BG$1)-1)/2)+'Cash Drivers'!BI$13,0)=EOMONTH($AL$1,0),Sales!BI$6,0)+IF(EOMONTH(DATE(YEAR(Sales!$BD$1),MONTH(Sales!$BD$1),1)+INT((DAY(Sales!$BD$1)-1)/2)+'Cash Drivers'!BF$13,0)=EOMONTH($AL$1,0),Sales!BF$6,0)+IF(EOMONTH(DATE(YEAR(Sales!$BA$1),MONTH(Sales!$BA$1),1)+INT((DAY(Sales!$BA$1)-1)/2)+'Cash Drivers'!BC$13,0)=EOMONTH($AL$1,0),Sales!BC$6,0)+IF(EOMONTH(DATE(YEAR(Sales!$AX$1),MONTH(Sales!$AX$1),1)+INT((DAY(Sales!$AX$1)-1)/2)+'Cash Drivers'!AZ$13,0)=EOMONTH($AL$1,0),Sales!AZ$6,0)+IF(EOMONTH(DATE(YEAR(Sales!$AU$1),MONTH(Sales!$AU$1),1)+INT((DAY(Sales!$AU$1)-1)/2)+'Cash Drivers'!AW$13,0)=EOMONTH($AL$1,0),Sales!AW$6,0)+IF(EOMONTH(DATE(YEAR(Sales!$AR$1),MONTH(Sales!$AR$1),1)+INT((DAY(Sales!$AR$1)-1)/2)+'Cash Drivers'!AT$13,0)=EOMONTH($AL$1,0),Sales!AT$6,0)+IF(EOMONTH(DATE(YEAR(Sales!$AO$1),MONTH(Sales!$AO$1),1)+INT((DAY(Sales!$AO$1)-1)/2)+'Cash Drivers'!AQ$13,0)=EOMONTH($AL$1,0),Sales!AQ$6,0)+IF(EOMONTH(DATE(YEAR(Sales!$AL$1),MONTH(Sales!$AL$1),1)+INT((DAY(Sales!$AL$1)-1)/2)+'Cash Drivers'!AN$13,0)=EOMONTH($AL$1,0),Sales!AN$6,0)+IF(EOMONTH(DATE(YEAR(Sales!$AI$1),MONTH(Sales!$AI$1),1)+INT((DAY(Sales!$AI$1)-1)/2)+'Cash Drivers'!AK$13,0)=EOMONTH($AL$1,0),Sales!AK$6,0)+IF(EOMONTH(DATE(YEAR(Sales!$AF$1),MONTH(Sales!$AF$1),1)+INT((DAY(Sales!$AF$1)-1)/2)+'Cash Drivers'!AH$13,0)=EOMONTH($AL$1,0),Sales!AH$6,0)+IF(EOMONTH(DATE(YEAR(Sales!$AC$1),MONTH(Sales!$AC$1),1)+INT((DAY(Sales!$AC$1)-1)/2)+'Cash Drivers'!AE$13,0)=EOMONTH($AL$1,0),Sales!AE$6,0)+IF(EOMONTH(DATE(YEAR(Sales!$Z$1),MONTH(Sales!$Z$1),1)+INT((DAY(Sales!$Z$1)-1)/2)+'Cash Drivers'!AB$13,0)=EOMONTH($AL$1,0),Sales!AB$6,0)+IF(EOMONTH(DATE(YEAR(Sales!$W$1),MONTH(Sales!$W$1),1)+INT((DAY(Sales!$W$1)-1)/2)+'Cash Drivers'!Y$13,0)=EOMONTH($AL$1,0),Sales!Y$6,0)+IF(EOMONTH(DATE(YEAR(Sales!$T$1),MONTH(Sales!$T$1),1)+INT((DAY(Sales!$T$1)-1)/2)+'Cash Drivers'!V$13,0)=EOMONTH($AL$1,0),Sales!V$6,0)+IF(EOMONTH(DATE(YEAR(Sales!$Q$1),MONTH(Sales!$Q$1),1)+INT((DAY(Sales!$Q$1)-1)/2)+'Cash Drivers'!S$13,0)=EOMONTH($AL$1,0),Sales!S$6,0)+IF(EOMONTH(DATE(YEAR(Sales!$N$1),MONTH(Sales!$N$1),1)+INT((DAY(Sales!$N$1)-1)/2)+'Cash Drivers'!P$13,0)=EOMONTH($AL$1,0),Sales!P$6,0)+IF(EOMONTH(DATE(YEAR(Sales!$K$1),MONTH(Sales!$K$1),1)+INT((DAY(Sales!$K$1)-1)/2)+'Cash Drivers'!M$13,0)=EOMONTH($AL$1,0),Sales!M$6,0)+IF(EOMONTH('Cash Drivers'!$DL$30+'Cash Drivers'!DN$13,0)=EOMONTH($AL$1,0),'Cash Drivers'!$DL$32,0),0)</f>
        <v>38</v>
      </c>
      <c r="AO18" s="44" t="n">
        <f aca="false">ROUND(IF(EOMONTH(DATE(YEAR(Sales!$DL$1),MONTH(Sales!$DL$1),1)+INT((DAY(Sales!$DL$1)-1)/2)+'Cash Drivers'!DL$13,0)=EOMONTH($AO$1,0),Sales!DL$6,0)+IF(EOMONTH(DATE(YEAR(Sales!$DI$1),MONTH(Sales!$DI$1),1)+INT((DAY(Sales!$DI$1)-1)/2)+'Cash Drivers'!DI$13,0)=EOMONTH($AO$1,0),Sales!DI$6,0)+IF(EOMONTH(DATE(YEAR(Sales!$DF$1),MONTH(Sales!$DF$1),1)+INT((DAY(Sales!$DF$1)-1)/2)+'Cash Drivers'!DF$13,0)=EOMONTH($AO$1,0),Sales!DF$6,0)+IF(EOMONTH(DATE(YEAR(Sales!$DC$1),MONTH(Sales!$DC$1),1)+INT((DAY(Sales!$DC$1)-1)/2)+'Cash Drivers'!DC$13,0)=EOMONTH($AO$1,0),Sales!DC$6,0)+IF(EOMONTH(DATE(YEAR(Sales!$CZ$1),MONTH(Sales!$CZ$1),1)+INT((DAY(Sales!$CZ$1)-1)/2)+'Cash Drivers'!CZ$13,0)=EOMONTH($AO$1,0),Sales!CZ$6,0)+IF(EOMONTH(DATE(YEAR(Sales!$CW$1),MONTH(Sales!$CW$1),1)+INT((DAY(Sales!$CW$1)-1)/2)+'Cash Drivers'!CW$13,0)=EOMONTH($AO$1,0),Sales!CW$6,0)+IF(EOMONTH(DATE(YEAR(Sales!$CT$1),MONTH(Sales!$CT$1),1)+INT((DAY(Sales!$CT$1)-1)/2)+'Cash Drivers'!CT$13,0)=EOMONTH($AO$1,0),Sales!CT$6,0)+IF(EOMONTH(DATE(YEAR(Sales!$CQ$1),MONTH(Sales!$CQ$1),1)+INT((DAY(Sales!$CQ$1)-1)/2)+'Cash Drivers'!CQ$13,0)=EOMONTH($AO$1,0),Sales!CQ$6,0)+IF(EOMONTH(DATE(YEAR(Sales!$CN$1),MONTH(Sales!$CN$1),1)+INT((DAY(Sales!$CN$1)-1)/2)+'Cash Drivers'!CN$13,0)=EOMONTH($AO$1,0),Sales!CN$6,0)+IF(EOMONTH(DATE(YEAR(Sales!$CK$1),MONTH(Sales!$CK$1),1)+INT((DAY(Sales!$CK$1)-1)/2)+'Cash Drivers'!CK$13,0)=EOMONTH($AO$1,0),Sales!CK$6,0)+IF(EOMONTH(DATE(YEAR(Sales!$CH$1),MONTH(Sales!$CH$1),1)+INT((DAY(Sales!$CH$1)-1)/2)+'Cash Drivers'!CH$13,0)=EOMONTH($AO$1,0),Sales!CH$6,0)+IF(EOMONTH(DATE(YEAR(Sales!$CE$1),MONTH(Sales!$CE$1),1)+INT((DAY(Sales!$CE$1)-1)/2)+'Cash Drivers'!CE$13,0)=EOMONTH($AO$1,0),Sales!CE$6,0)+IF(EOMONTH(DATE(YEAR(Sales!$CB$1),MONTH(Sales!$CB$1),1)+INT((DAY(Sales!$CB$1)-1)/2)+'Cash Drivers'!CB$13,0)=EOMONTH($AO$1,0),Sales!CB$6,0)+IF(EOMONTH(DATE(YEAR(Sales!$BY$1),MONTH(Sales!$BY$1),1)+INT((DAY(Sales!$BY$1)-1)/2)+'Cash Drivers'!BY$13,0)=EOMONTH($AO$1,0),Sales!BY$6,0)+IF(EOMONTH(DATE(YEAR(Sales!$BV$1),MONTH(Sales!$BV$1),1)+INT((DAY(Sales!$BV$1)-1)/2)+'Cash Drivers'!BV$13,0)=EOMONTH($AO$1,0),Sales!BV$6,0)+IF(EOMONTH(DATE(YEAR(Sales!$BS$1),MONTH(Sales!$BS$1),1)+INT((DAY(Sales!$BS$1)-1)/2)+'Cash Drivers'!BS$13,0)=EOMONTH($AO$1,0),Sales!BS$6,0)+IF(EOMONTH(DATE(YEAR(Sales!$BP$1),MONTH(Sales!$BP$1),1)+INT((DAY(Sales!$BP$1)-1)/2)+'Cash Drivers'!BP$13,0)=EOMONTH($AO$1,0),Sales!BP$6,0)+IF(EOMONTH(DATE(YEAR(Sales!$BM$1),MONTH(Sales!$BM$1),1)+INT((DAY(Sales!$BM$1)-1)/2)+'Cash Drivers'!BM$13,0)=EOMONTH($AO$1,0),Sales!BM$6,0)+IF(EOMONTH(DATE(YEAR(Sales!$BJ$1),MONTH(Sales!$BJ$1),1)+INT((DAY(Sales!$BJ$1)-1)/2)+'Cash Drivers'!BJ$13,0)=EOMONTH($AO$1,0),Sales!BJ$6,0)+IF(EOMONTH(DATE(YEAR(Sales!$BG$1),MONTH(Sales!$BG$1),1)+INT((DAY(Sales!$BG$1)-1)/2)+'Cash Drivers'!BG$13,0)=EOMONTH($AO$1,0),Sales!BG$6,0)+IF(EOMONTH(DATE(YEAR(Sales!$BD$1),MONTH(Sales!$BD$1),1)+INT((DAY(Sales!$BD$1)-1)/2)+'Cash Drivers'!BD$13,0)=EOMONTH($AO$1,0),Sales!BD$6,0)+IF(EOMONTH(DATE(YEAR(Sales!$BA$1),MONTH(Sales!$BA$1),1)+INT((DAY(Sales!$BA$1)-1)/2)+'Cash Drivers'!BA$13,0)=EOMONTH($AO$1,0),Sales!BA$6,0)+IF(EOMONTH(DATE(YEAR(Sales!$AX$1),MONTH(Sales!$AX$1),1)+INT((DAY(Sales!$AX$1)-1)/2)+'Cash Drivers'!AX$13,0)=EOMONTH($AO$1,0),Sales!AX$6,0)+IF(EOMONTH(DATE(YEAR(Sales!$AU$1),MONTH(Sales!$AU$1),1)+INT((DAY(Sales!$AU$1)-1)/2)+'Cash Drivers'!AU$13,0)=EOMONTH($AO$1,0),Sales!AU$6,0)+IF(EOMONTH(DATE(YEAR(Sales!$AR$1),MONTH(Sales!$AR$1),1)+INT((DAY(Sales!$AR$1)-1)/2)+'Cash Drivers'!AR$13,0)=EOMONTH($AO$1,0),Sales!AR$6,0)+IF(EOMONTH(DATE(YEAR(Sales!$AO$1),MONTH(Sales!$AO$1),1)+INT((DAY(Sales!$AO$1)-1)/2)+'Cash Drivers'!AO$13,0)=EOMONTH($AO$1,0),Sales!AO$6,0)+IF(EOMONTH(DATE(YEAR(Sales!$AL$1),MONTH(Sales!$AL$1),1)+INT((DAY(Sales!$AL$1)-1)/2)+'Cash Drivers'!AL$13,0)=EOMONTH($AO$1,0),Sales!AL$6,0)+IF(EOMONTH(DATE(YEAR(Sales!$AI$1),MONTH(Sales!$AI$1),1)+INT((DAY(Sales!$AI$1)-1)/2)+'Cash Drivers'!AI$13,0)=EOMONTH($AO$1,0),Sales!AI$6,0)+IF(EOMONTH(DATE(YEAR(Sales!$AF$1),MONTH(Sales!$AF$1),1)+INT((DAY(Sales!$AF$1)-1)/2)+'Cash Drivers'!AF$13,0)=EOMONTH($AO$1,0),Sales!AF$6,0)+IF(EOMONTH(DATE(YEAR(Sales!$AC$1),MONTH(Sales!$AC$1),1)+INT((DAY(Sales!$AC$1)-1)/2)+'Cash Drivers'!AC$13,0)=EOMONTH($AO$1,0),Sales!AC$6,0)+IF(EOMONTH(DATE(YEAR(Sales!$Z$1),MONTH(Sales!$Z$1),1)+INT((DAY(Sales!$Z$1)-1)/2)+'Cash Drivers'!Z$13,0)=EOMONTH($AO$1,0),Sales!Z$6,0)+IF(EOMONTH(DATE(YEAR(Sales!$W$1),MONTH(Sales!$W$1),1)+INT((DAY(Sales!$W$1)-1)/2)+'Cash Drivers'!W$13,0)=EOMONTH($AO$1,0),Sales!W$6,0)+IF(EOMONTH(DATE(YEAR(Sales!$T$1),MONTH(Sales!$T$1),1)+INT((DAY(Sales!$T$1)-1)/2)+'Cash Drivers'!T$13,0)=EOMONTH($AO$1,0),Sales!T$6,0)+IF(EOMONTH(DATE(YEAR(Sales!$Q$1),MONTH(Sales!$Q$1),1)+INT((DAY(Sales!$Q$1)-1)/2)+'Cash Drivers'!Q$13,0)=EOMONTH($AO$1,0),Sales!Q$6,0)+IF(EOMONTH(DATE(YEAR(Sales!$N$1),MONTH(Sales!$N$1),1)+INT((DAY(Sales!$N$1)-1)/2)+'Cash Drivers'!N$13,0)=EOMONTH($AO$1,0),Sales!N$6,0)+IF(EOMONTH(DATE(YEAR(Sales!$K$1),MONTH(Sales!$K$1),1)+INT((DAY(Sales!$K$1)-1)/2)+'Cash Drivers'!K$13,0)=EOMONTH($AO$1,0),Sales!K$6,0)+IF(EOMONTH('Cash Drivers'!$DL$30+'Cash Drivers'!DL$13,0)=EOMONTH($AO$1,0),'Cash Drivers'!$DL$32,0),0)</f>
        <v>0</v>
      </c>
      <c r="AP18" s="45" t="n">
        <f aca="false">ROUND(IF(EOMONTH(DATE(YEAR(Sales!$DL$1),MONTH(Sales!$DL$1),1)+INT((DAY(Sales!$DL$1)-1)/2)+'Cash Drivers'!DM$13,0)=EOMONTH($AO$1,0),Sales!DM$6,0)+IF(EOMONTH(DATE(YEAR(Sales!$DI$1),MONTH(Sales!$DI$1),1)+INT((DAY(Sales!$DI$1)-1)/2)+'Cash Drivers'!DJ$13,0)=EOMONTH($AO$1,0),Sales!DJ$6,0)+IF(EOMONTH(DATE(YEAR(Sales!$DF$1),MONTH(Sales!$DF$1),1)+INT((DAY(Sales!$DF$1)-1)/2)+'Cash Drivers'!DG$13,0)=EOMONTH($AO$1,0),Sales!DG$6,0)+IF(EOMONTH(DATE(YEAR(Sales!$DC$1),MONTH(Sales!$DC$1),1)+INT((DAY(Sales!$DC$1)-1)/2)+'Cash Drivers'!DD$13,0)=EOMONTH($AO$1,0),Sales!DD$6,0)+IF(EOMONTH(DATE(YEAR(Sales!$CZ$1),MONTH(Sales!$CZ$1),1)+INT((DAY(Sales!$CZ$1)-1)/2)+'Cash Drivers'!DA$13,0)=EOMONTH($AO$1,0),Sales!DA$6,0)+IF(EOMONTH(DATE(YEAR(Sales!$CW$1),MONTH(Sales!$CW$1),1)+INT((DAY(Sales!$CW$1)-1)/2)+'Cash Drivers'!CX$13,0)=EOMONTH($AO$1,0),Sales!CX$6,0)+IF(EOMONTH(DATE(YEAR(Sales!$CT$1),MONTH(Sales!$CT$1),1)+INT((DAY(Sales!$CT$1)-1)/2)+'Cash Drivers'!CU$13,0)=EOMONTH($AO$1,0),Sales!CU$6,0)+IF(EOMONTH(DATE(YEAR(Sales!$CQ$1),MONTH(Sales!$CQ$1),1)+INT((DAY(Sales!$CQ$1)-1)/2)+'Cash Drivers'!CR$13,0)=EOMONTH($AO$1,0),Sales!CR$6,0)+IF(EOMONTH(DATE(YEAR(Sales!$CN$1),MONTH(Sales!$CN$1),1)+INT((DAY(Sales!$CN$1)-1)/2)+'Cash Drivers'!CO$13,0)=EOMONTH($AO$1,0),Sales!CO$6,0)+IF(EOMONTH(DATE(YEAR(Sales!$CK$1),MONTH(Sales!$CK$1),1)+INT((DAY(Sales!$CK$1)-1)/2)+'Cash Drivers'!CL$13,0)=EOMONTH($AO$1,0),Sales!CL$6,0)+IF(EOMONTH(DATE(YEAR(Sales!$CH$1),MONTH(Sales!$CH$1),1)+INT((DAY(Sales!$CH$1)-1)/2)+'Cash Drivers'!CI$13,0)=EOMONTH($AO$1,0),Sales!CI$6,0)+IF(EOMONTH(DATE(YEAR(Sales!$CE$1),MONTH(Sales!$CE$1),1)+INT((DAY(Sales!$CE$1)-1)/2)+'Cash Drivers'!CF$13,0)=EOMONTH($AO$1,0),Sales!CF$6,0)+IF(EOMONTH(DATE(YEAR(Sales!$CB$1),MONTH(Sales!$CB$1),1)+INT((DAY(Sales!$CB$1)-1)/2)+'Cash Drivers'!CC$13,0)=EOMONTH($AO$1,0),Sales!CC$6,0)+IF(EOMONTH(DATE(YEAR(Sales!$BY$1),MONTH(Sales!$BY$1),1)+INT((DAY(Sales!$BY$1)-1)/2)+'Cash Drivers'!BZ$13,0)=EOMONTH($AO$1,0),Sales!BZ$6,0)+IF(EOMONTH(DATE(YEAR(Sales!$BV$1),MONTH(Sales!$BV$1),1)+INT((DAY(Sales!$BV$1)-1)/2)+'Cash Drivers'!BW$13,0)=EOMONTH($AO$1,0),Sales!BW$6,0)+IF(EOMONTH(DATE(YEAR(Sales!$BS$1),MONTH(Sales!$BS$1),1)+INT((DAY(Sales!$BS$1)-1)/2)+'Cash Drivers'!BT$13,0)=EOMONTH($AO$1,0),Sales!BT$6,0)+IF(EOMONTH(DATE(YEAR(Sales!$BP$1),MONTH(Sales!$BP$1),1)+INT((DAY(Sales!$BP$1)-1)/2)+'Cash Drivers'!BQ$13,0)=EOMONTH($AO$1,0),Sales!BQ$6,0)+IF(EOMONTH(DATE(YEAR(Sales!$BM$1),MONTH(Sales!$BM$1),1)+INT((DAY(Sales!$BM$1)-1)/2)+'Cash Drivers'!BN$13,0)=EOMONTH($AO$1,0),Sales!BN$6,0)+IF(EOMONTH(DATE(YEAR(Sales!$BJ$1),MONTH(Sales!$BJ$1),1)+INT((DAY(Sales!$BJ$1)-1)/2)+'Cash Drivers'!BK$13,0)=EOMONTH($AO$1,0),Sales!BK$6,0)+IF(EOMONTH(DATE(YEAR(Sales!$BG$1),MONTH(Sales!$BG$1),1)+INT((DAY(Sales!$BG$1)-1)/2)+'Cash Drivers'!BH$13,0)=EOMONTH($AO$1,0),Sales!BH$6,0)+IF(EOMONTH(DATE(YEAR(Sales!$BD$1),MONTH(Sales!$BD$1),1)+INT((DAY(Sales!$BD$1)-1)/2)+'Cash Drivers'!BE$13,0)=EOMONTH($AO$1,0),Sales!BE$6,0)+IF(EOMONTH(DATE(YEAR(Sales!$BA$1),MONTH(Sales!$BA$1),1)+INT((DAY(Sales!$BA$1)-1)/2)+'Cash Drivers'!BB$13,0)=EOMONTH($AO$1,0),Sales!BB$6,0)+IF(EOMONTH(DATE(YEAR(Sales!$AX$1),MONTH(Sales!$AX$1),1)+INT((DAY(Sales!$AX$1)-1)/2)+'Cash Drivers'!AY$13,0)=EOMONTH($AO$1,0),Sales!AY$6,0)+IF(EOMONTH(DATE(YEAR(Sales!$AU$1),MONTH(Sales!$AU$1),1)+INT((DAY(Sales!$AU$1)-1)/2)+'Cash Drivers'!AV$13,0)=EOMONTH($AO$1,0),Sales!AV$6,0)+IF(EOMONTH(DATE(YEAR(Sales!$AR$1),MONTH(Sales!$AR$1),1)+INT((DAY(Sales!$AR$1)-1)/2)+'Cash Drivers'!AS$13,0)=EOMONTH($AO$1,0),Sales!AS$6,0)+IF(EOMONTH(DATE(YEAR(Sales!$AO$1),MONTH(Sales!$AO$1),1)+INT((DAY(Sales!$AO$1)-1)/2)+'Cash Drivers'!AP$13,0)=EOMONTH($AO$1,0),Sales!AP$6,0)+IF(EOMONTH(DATE(YEAR(Sales!$AL$1),MONTH(Sales!$AL$1),1)+INT((DAY(Sales!$AL$1)-1)/2)+'Cash Drivers'!AM$13,0)=EOMONTH($AO$1,0),Sales!AM$6,0)+IF(EOMONTH(DATE(YEAR(Sales!$AI$1),MONTH(Sales!$AI$1),1)+INT((DAY(Sales!$AI$1)-1)/2)+'Cash Drivers'!AJ$13,0)=EOMONTH($AO$1,0),Sales!AJ$6,0)+IF(EOMONTH(DATE(YEAR(Sales!$AF$1),MONTH(Sales!$AF$1),1)+INT((DAY(Sales!$AF$1)-1)/2)+'Cash Drivers'!AG$13,0)=EOMONTH($AO$1,0),Sales!AG$6,0)+IF(EOMONTH(DATE(YEAR(Sales!$AC$1),MONTH(Sales!$AC$1),1)+INT((DAY(Sales!$AC$1)-1)/2)+'Cash Drivers'!AD$13,0)=EOMONTH($AO$1,0),Sales!AD$6,0)+IF(EOMONTH(DATE(YEAR(Sales!$Z$1),MONTH(Sales!$Z$1),1)+INT((DAY(Sales!$Z$1)-1)/2)+'Cash Drivers'!AA$13,0)=EOMONTH($AO$1,0),Sales!AA$6,0)+IF(EOMONTH(DATE(YEAR(Sales!$W$1),MONTH(Sales!$W$1),1)+INT((DAY(Sales!$W$1)-1)/2)+'Cash Drivers'!X$13,0)=EOMONTH($AO$1,0),Sales!X$6,0)+IF(EOMONTH(DATE(YEAR(Sales!$T$1),MONTH(Sales!$T$1),1)+INT((DAY(Sales!$T$1)-1)/2)+'Cash Drivers'!U$13,0)=EOMONTH($AO$1,0),Sales!U$6,0)+IF(EOMONTH(DATE(YEAR(Sales!$Q$1),MONTH(Sales!$Q$1),1)+INT((DAY(Sales!$Q$1)-1)/2)+'Cash Drivers'!R$13,0)=EOMONTH($AO$1,0),Sales!R$6,0)+IF(EOMONTH(DATE(YEAR(Sales!$N$1),MONTH(Sales!$N$1),1)+INT((DAY(Sales!$N$1)-1)/2)+'Cash Drivers'!O$13,0)=EOMONTH($AO$1,0),Sales!O$6,0)+IF(EOMONTH(DATE(YEAR(Sales!$K$1),MONTH(Sales!$K$1),1)+INT((DAY(Sales!$K$1)-1)/2)+'Cash Drivers'!L$13,0)=EOMONTH($AO$1,0),Sales!L$6,0)+IF(EOMONTH('Cash Drivers'!$DL$30+'Cash Drivers'!DM$13,0)=EOMONTH($AO$1,0),'Cash Drivers'!$DL$32,0),0)</f>
        <v>28</v>
      </c>
      <c r="AQ18" s="46" t="n">
        <f aca="false">ROUND(IF(EOMONTH(DATE(YEAR(Sales!$DL$1),MONTH(Sales!$DL$1),1)+INT((DAY(Sales!$DL$1)-1)/2)+'Cash Drivers'!DN$13,0)=EOMONTH($AO$1,0),Sales!DN$6,0)+IF(EOMONTH(DATE(YEAR(Sales!$DI$1),MONTH(Sales!$DI$1),1)+INT((DAY(Sales!$DI$1)-1)/2)+'Cash Drivers'!DK$13,0)=EOMONTH($AO$1,0),Sales!DK$6,0)+IF(EOMONTH(DATE(YEAR(Sales!$DF$1),MONTH(Sales!$DF$1),1)+INT((DAY(Sales!$DF$1)-1)/2)+'Cash Drivers'!DH$13,0)=EOMONTH($AO$1,0),Sales!DH$6,0)+IF(EOMONTH(DATE(YEAR(Sales!$DC$1),MONTH(Sales!$DC$1),1)+INT((DAY(Sales!$DC$1)-1)/2)+'Cash Drivers'!DE$13,0)=EOMONTH($AO$1,0),Sales!DE$6,0)+IF(EOMONTH(DATE(YEAR(Sales!$CZ$1),MONTH(Sales!$CZ$1),1)+INT((DAY(Sales!$CZ$1)-1)/2)+'Cash Drivers'!DB$13,0)=EOMONTH($AO$1,0),Sales!DB$6,0)+IF(EOMONTH(DATE(YEAR(Sales!$CW$1),MONTH(Sales!$CW$1),1)+INT((DAY(Sales!$CW$1)-1)/2)+'Cash Drivers'!CY$13,0)=EOMONTH($AO$1,0),Sales!CY$6,0)+IF(EOMONTH(DATE(YEAR(Sales!$CT$1),MONTH(Sales!$CT$1),1)+INT((DAY(Sales!$CT$1)-1)/2)+'Cash Drivers'!CV$13,0)=EOMONTH($AO$1,0),Sales!CV$6,0)+IF(EOMONTH(DATE(YEAR(Sales!$CQ$1),MONTH(Sales!$CQ$1),1)+INT((DAY(Sales!$CQ$1)-1)/2)+'Cash Drivers'!CS$13,0)=EOMONTH($AO$1,0),Sales!CS$6,0)+IF(EOMONTH(DATE(YEAR(Sales!$CN$1),MONTH(Sales!$CN$1),1)+INT((DAY(Sales!$CN$1)-1)/2)+'Cash Drivers'!CP$13,0)=EOMONTH($AO$1,0),Sales!CP$6,0)+IF(EOMONTH(DATE(YEAR(Sales!$CK$1),MONTH(Sales!$CK$1),1)+INT((DAY(Sales!$CK$1)-1)/2)+'Cash Drivers'!CM$13,0)=EOMONTH($AO$1,0),Sales!CM$6,0)+IF(EOMONTH(DATE(YEAR(Sales!$CH$1),MONTH(Sales!$CH$1),1)+INT((DAY(Sales!$CH$1)-1)/2)+'Cash Drivers'!CJ$13,0)=EOMONTH($AO$1,0),Sales!CJ$6,0)+IF(EOMONTH(DATE(YEAR(Sales!$CE$1),MONTH(Sales!$CE$1),1)+INT((DAY(Sales!$CE$1)-1)/2)+'Cash Drivers'!CG$13,0)=EOMONTH($AO$1,0),Sales!CG$6,0)+IF(EOMONTH(DATE(YEAR(Sales!$CB$1),MONTH(Sales!$CB$1),1)+INT((DAY(Sales!$CB$1)-1)/2)+'Cash Drivers'!CD$13,0)=EOMONTH($AO$1,0),Sales!CD$6,0)+IF(EOMONTH(DATE(YEAR(Sales!$BY$1),MONTH(Sales!$BY$1),1)+INT((DAY(Sales!$BY$1)-1)/2)+'Cash Drivers'!CA$13,0)=EOMONTH($AO$1,0),Sales!CA$6,0)+IF(EOMONTH(DATE(YEAR(Sales!$BV$1),MONTH(Sales!$BV$1),1)+INT((DAY(Sales!$BV$1)-1)/2)+'Cash Drivers'!BX$13,0)=EOMONTH($AO$1,0),Sales!BX$6,0)+IF(EOMONTH(DATE(YEAR(Sales!$BS$1),MONTH(Sales!$BS$1),1)+INT((DAY(Sales!$BS$1)-1)/2)+'Cash Drivers'!BU$13,0)=EOMONTH($AO$1,0),Sales!BU$6,0)+IF(EOMONTH(DATE(YEAR(Sales!$BP$1),MONTH(Sales!$BP$1),1)+INT((DAY(Sales!$BP$1)-1)/2)+'Cash Drivers'!BR$13,0)=EOMONTH($AO$1,0),Sales!BR$6,0)+IF(EOMONTH(DATE(YEAR(Sales!$BM$1),MONTH(Sales!$BM$1),1)+INT((DAY(Sales!$BM$1)-1)/2)+'Cash Drivers'!BO$13,0)=EOMONTH($AO$1,0),Sales!BO$6,0)+IF(EOMONTH(DATE(YEAR(Sales!$BJ$1),MONTH(Sales!$BJ$1),1)+INT((DAY(Sales!$BJ$1)-1)/2)+'Cash Drivers'!BL$13,0)=EOMONTH($AO$1,0),Sales!BL$6,0)+IF(EOMONTH(DATE(YEAR(Sales!$BG$1),MONTH(Sales!$BG$1),1)+INT((DAY(Sales!$BG$1)-1)/2)+'Cash Drivers'!BI$13,0)=EOMONTH($AO$1,0),Sales!BI$6,0)+IF(EOMONTH(DATE(YEAR(Sales!$BD$1),MONTH(Sales!$BD$1),1)+INT((DAY(Sales!$BD$1)-1)/2)+'Cash Drivers'!BF$13,0)=EOMONTH($AO$1,0),Sales!BF$6,0)+IF(EOMONTH(DATE(YEAR(Sales!$BA$1),MONTH(Sales!$BA$1),1)+INT((DAY(Sales!$BA$1)-1)/2)+'Cash Drivers'!BC$13,0)=EOMONTH($AO$1,0),Sales!BC$6,0)+IF(EOMONTH(DATE(YEAR(Sales!$AX$1),MONTH(Sales!$AX$1),1)+INT((DAY(Sales!$AX$1)-1)/2)+'Cash Drivers'!AZ$13,0)=EOMONTH($AO$1,0),Sales!AZ$6,0)+IF(EOMONTH(DATE(YEAR(Sales!$AU$1),MONTH(Sales!$AU$1),1)+INT((DAY(Sales!$AU$1)-1)/2)+'Cash Drivers'!AW$13,0)=EOMONTH($AO$1,0),Sales!AW$6,0)+IF(EOMONTH(DATE(YEAR(Sales!$AR$1),MONTH(Sales!$AR$1),1)+INT((DAY(Sales!$AR$1)-1)/2)+'Cash Drivers'!AT$13,0)=EOMONTH($AO$1,0),Sales!AT$6,0)+IF(EOMONTH(DATE(YEAR(Sales!$AO$1),MONTH(Sales!$AO$1),1)+INT((DAY(Sales!$AO$1)-1)/2)+'Cash Drivers'!AQ$13,0)=EOMONTH($AO$1,0),Sales!AQ$6,0)+IF(EOMONTH(DATE(YEAR(Sales!$AL$1),MONTH(Sales!$AL$1),1)+INT((DAY(Sales!$AL$1)-1)/2)+'Cash Drivers'!AN$13,0)=EOMONTH($AO$1,0),Sales!AN$6,0)+IF(EOMONTH(DATE(YEAR(Sales!$AI$1),MONTH(Sales!$AI$1),1)+INT((DAY(Sales!$AI$1)-1)/2)+'Cash Drivers'!AK$13,0)=EOMONTH($AO$1,0),Sales!AK$6,0)+IF(EOMONTH(DATE(YEAR(Sales!$AF$1),MONTH(Sales!$AF$1),1)+INT((DAY(Sales!$AF$1)-1)/2)+'Cash Drivers'!AH$13,0)=EOMONTH($AO$1,0),Sales!AH$6,0)+IF(EOMONTH(DATE(YEAR(Sales!$AC$1),MONTH(Sales!$AC$1),1)+INT((DAY(Sales!$AC$1)-1)/2)+'Cash Drivers'!AE$13,0)=EOMONTH($AO$1,0),Sales!AE$6,0)+IF(EOMONTH(DATE(YEAR(Sales!$Z$1),MONTH(Sales!$Z$1),1)+INT((DAY(Sales!$Z$1)-1)/2)+'Cash Drivers'!AB$13,0)=EOMONTH($AO$1,0),Sales!AB$6,0)+IF(EOMONTH(DATE(YEAR(Sales!$W$1),MONTH(Sales!$W$1),1)+INT((DAY(Sales!$W$1)-1)/2)+'Cash Drivers'!Y$13,0)=EOMONTH($AO$1,0),Sales!Y$6,0)+IF(EOMONTH(DATE(YEAR(Sales!$T$1),MONTH(Sales!$T$1),1)+INT((DAY(Sales!$T$1)-1)/2)+'Cash Drivers'!V$13,0)=EOMONTH($AO$1,0),Sales!V$6,0)+IF(EOMONTH(DATE(YEAR(Sales!$Q$1),MONTH(Sales!$Q$1),1)+INT((DAY(Sales!$Q$1)-1)/2)+'Cash Drivers'!S$13,0)=EOMONTH($AO$1,0),Sales!S$6,0)+IF(EOMONTH(DATE(YEAR(Sales!$N$1),MONTH(Sales!$N$1),1)+INT((DAY(Sales!$N$1)-1)/2)+'Cash Drivers'!P$13,0)=EOMONTH($AO$1,0),Sales!P$6,0)+IF(EOMONTH(DATE(YEAR(Sales!$K$1),MONTH(Sales!$K$1),1)+INT((DAY(Sales!$K$1)-1)/2)+'Cash Drivers'!M$13,0)=EOMONTH($AO$1,0),Sales!M$6,0)+IF(EOMONTH('Cash Drivers'!$DL$30+'Cash Drivers'!DN$13,0)=EOMONTH($AO$1,0),'Cash Drivers'!$DL$32,0),0)</f>
        <v>28</v>
      </c>
      <c r="AR18" s="44" t="n">
        <f aca="false">ROUND(IF(EOMONTH(DATE(YEAR(Sales!$DL$1),MONTH(Sales!$DL$1),1)+INT((DAY(Sales!$DL$1)-1)/2)+'Cash Drivers'!DL$13,0)=EOMONTH($AR$1,0),Sales!DL$6,0)+IF(EOMONTH(DATE(YEAR(Sales!$DI$1),MONTH(Sales!$DI$1),1)+INT((DAY(Sales!$DI$1)-1)/2)+'Cash Drivers'!DI$13,0)=EOMONTH($AR$1,0),Sales!DI$6,0)+IF(EOMONTH(DATE(YEAR(Sales!$DF$1),MONTH(Sales!$DF$1),1)+INT((DAY(Sales!$DF$1)-1)/2)+'Cash Drivers'!DF$13,0)=EOMONTH($AR$1,0),Sales!DF$6,0)+IF(EOMONTH(DATE(YEAR(Sales!$DC$1),MONTH(Sales!$DC$1),1)+INT((DAY(Sales!$DC$1)-1)/2)+'Cash Drivers'!DC$13,0)=EOMONTH($AR$1,0),Sales!DC$6,0)+IF(EOMONTH(DATE(YEAR(Sales!$CZ$1),MONTH(Sales!$CZ$1),1)+INT((DAY(Sales!$CZ$1)-1)/2)+'Cash Drivers'!CZ$13,0)=EOMONTH($AR$1,0),Sales!CZ$6,0)+IF(EOMONTH(DATE(YEAR(Sales!$CW$1),MONTH(Sales!$CW$1),1)+INT((DAY(Sales!$CW$1)-1)/2)+'Cash Drivers'!CW$13,0)=EOMONTH($AR$1,0),Sales!CW$6,0)+IF(EOMONTH(DATE(YEAR(Sales!$CT$1),MONTH(Sales!$CT$1),1)+INT((DAY(Sales!$CT$1)-1)/2)+'Cash Drivers'!CT$13,0)=EOMONTH($AR$1,0),Sales!CT$6,0)+IF(EOMONTH(DATE(YEAR(Sales!$CQ$1),MONTH(Sales!$CQ$1),1)+INT((DAY(Sales!$CQ$1)-1)/2)+'Cash Drivers'!CQ$13,0)=EOMONTH($AR$1,0),Sales!CQ$6,0)+IF(EOMONTH(DATE(YEAR(Sales!$CN$1),MONTH(Sales!$CN$1),1)+INT((DAY(Sales!$CN$1)-1)/2)+'Cash Drivers'!CN$13,0)=EOMONTH($AR$1,0),Sales!CN$6,0)+IF(EOMONTH(DATE(YEAR(Sales!$CK$1),MONTH(Sales!$CK$1),1)+INT((DAY(Sales!$CK$1)-1)/2)+'Cash Drivers'!CK$13,0)=EOMONTH($AR$1,0),Sales!CK$6,0)+IF(EOMONTH(DATE(YEAR(Sales!$CH$1),MONTH(Sales!$CH$1),1)+INT((DAY(Sales!$CH$1)-1)/2)+'Cash Drivers'!CH$13,0)=EOMONTH($AR$1,0),Sales!CH$6,0)+IF(EOMONTH(DATE(YEAR(Sales!$CE$1),MONTH(Sales!$CE$1),1)+INT((DAY(Sales!$CE$1)-1)/2)+'Cash Drivers'!CE$13,0)=EOMONTH($AR$1,0),Sales!CE$6,0)+IF(EOMONTH(DATE(YEAR(Sales!$CB$1),MONTH(Sales!$CB$1),1)+INT((DAY(Sales!$CB$1)-1)/2)+'Cash Drivers'!CB$13,0)=EOMONTH($AR$1,0),Sales!CB$6,0)+IF(EOMONTH(DATE(YEAR(Sales!$BY$1),MONTH(Sales!$BY$1),1)+INT((DAY(Sales!$BY$1)-1)/2)+'Cash Drivers'!BY$13,0)=EOMONTH($AR$1,0),Sales!BY$6,0)+IF(EOMONTH(DATE(YEAR(Sales!$BV$1),MONTH(Sales!$BV$1),1)+INT((DAY(Sales!$BV$1)-1)/2)+'Cash Drivers'!BV$13,0)=EOMONTH($AR$1,0),Sales!BV$6,0)+IF(EOMONTH(DATE(YEAR(Sales!$BS$1),MONTH(Sales!$BS$1),1)+INT((DAY(Sales!$BS$1)-1)/2)+'Cash Drivers'!BS$13,0)=EOMONTH($AR$1,0),Sales!BS$6,0)+IF(EOMONTH(DATE(YEAR(Sales!$BP$1),MONTH(Sales!$BP$1),1)+INT((DAY(Sales!$BP$1)-1)/2)+'Cash Drivers'!BP$13,0)=EOMONTH($AR$1,0),Sales!BP$6,0)+IF(EOMONTH(DATE(YEAR(Sales!$BM$1),MONTH(Sales!$BM$1),1)+INT((DAY(Sales!$BM$1)-1)/2)+'Cash Drivers'!BM$13,0)=EOMONTH($AR$1,0),Sales!BM$6,0)+IF(EOMONTH(DATE(YEAR(Sales!$BJ$1),MONTH(Sales!$BJ$1),1)+INT((DAY(Sales!$BJ$1)-1)/2)+'Cash Drivers'!BJ$13,0)=EOMONTH($AR$1,0),Sales!BJ$6,0)+IF(EOMONTH(DATE(YEAR(Sales!$BG$1),MONTH(Sales!$BG$1),1)+INT((DAY(Sales!$BG$1)-1)/2)+'Cash Drivers'!BG$13,0)=EOMONTH($AR$1,0),Sales!BG$6,0)+IF(EOMONTH(DATE(YEAR(Sales!$BD$1),MONTH(Sales!$BD$1),1)+INT((DAY(Sales!$BD$1)-1)/2)+'Cash Drivers'!BD$13,0)=EOMONTH($AR$1,0),Sales!BD$6,0)+IF(EOMONTH(DATE(YEAR(Sales!$BA$1),MONTH(Sales!$BA$1),1)+INT((DAY(Sales!$BA$1)-1)/2)+'Cash Drivers'!BA$13,0)=EOMONTH($AR$1,0),Sales!BA$6,0)+IF(EOMONTH(DATE(YEAR(Sales!$AX$1),MONTH(Sales!$AX$1),1)+INT((DAY(Sales!$AX$1)-1)/2)+'Cash Drivers'!AX$13,0)=EOMONTH($AR$1,0),Sales!AX$6,0)+IF(EOMONTH(DATE(YEAR(Sales!$AU$1),MONTH(Sales!$AU$1),1)+INT((DAY(Sales!$AU$1)-1)/2)+'Cash Drivers'!AU$13,0)=EOMONTH($AR$1,0),Sales!AU$6,0)+IF(EOMONTH(DATE(YEAR(Sales!$AR$1),MONTH(Sales!$AR$1),1)+INT((DAY(Sales!$AR$1)-1)/2)+'Cash Drivers'!AR$13,0)=EOMONTH($AR$1,0),Sales!AR$6,0)+IF(EOMONTH(DATE(YEAR(Sales!$AO$1),MONTH(Sales!$AO$1),1)+INT((DAY(Sales!$AO$1)-1)/2)+'Cash Drivers'!AO$13,0)=EOMONTH($AR$1,0),Sales!AO$6,0)+IF(EOMONTH(DATE(YEAR(Sales!$AL$1),MONTH(Sales!$AL$1),1)+INT((DAY(Sales!$AL$1)-1)/2)+'Cash Drivers'!AL$13,0)=EOMONTH($AR$1,0),Sales!AL$6,0)+IF(EOMONTH(DATE(YEAR(Sales!$AI$1),MONTH(Sales!$AI$1),1)+INT((DAY(Sales!$AI$1)-1)/2)+'Cash Drivers'!AI$13,0)=EOMONTH($AR$1,0),Sales!AI$6,0)+IF(EOMONTH(DATE(YEAR(Sales!$AF$1),MONTH(Sales!$AF$1),1)+INT((DAY(Sales!$AF$1)-1)/2)+'Cash Drivers'!AF$13,0)=EOMONTH($AR$1,0),Sales!AF$6,0)+IF(EOMONTH(DATE(YEAR(Sales!$AC$1),MONTH(Sales!$AC$1),1)+INT((DAY(Sales!$AC$1)-1)/2)+'Cash Drivers'!AC$13,0)=EOMONTH($AR$1,0),Sales!AC$6,0)+IF(EOMONTH(DATE(YEAR(Sales!$Z$1),MONTH(Sales!$Z$1),1)+INT((DAY(Sales!$Z$1)-1)/2)+'Cash Drivers'!Z$13,0)=EOMONTH($AR$1,0),Sales!Z$6,0)+IF(EOMONTH(DATE(YEAR(Sales!$W$1),MONTH(Sales!$W$1),1)+INT((DAY(Sales!$W$1)-1)/2)+'Cash Drivers'!W$13,0)=EOMONTH($AR$1,0),Sales!W$6,0)+IF(EOMONTH(DATE(YEAR(Sales!$T$1),MONTH(Sales!$T$1),1)+INT((DAY(Sales!$T$1)-1)/2)+'Cash Drivers'!T$13,0)=EOMONTH($AR$1,0),Sales!T$6,0)+IF(EOMONTH(DATE(YEAR(Sales!$Q$1),MONTH(Sales!$Q$1),1)+INT((DAY(Sales!$Q$1)-1)/2)+'Cash Drivers'!Q$13,0)=EOMONTH($AR$1,0),Sales!Q$6,0)+IF(EOMONTH(DATE(YEAR(Sales!$N$1),MONTH(Sales!$N$1),1)+INT((DAY(Sales!$N$1)-1)/2)+'Cash Drivers'!N$13,0)=EOMONTH($AR$1,0),Sales!N$6,0)+IF(EOMONTH(DATE(YEAR(Sales!$K$1),MONTH(Sales!$K$1),1)+INT((DAY(Sales!$K$1)-1)/2)+'Cash Drivers'!K$13,0)=EOMONTH($AR$1,0),Sales!K$6,0)+IF(EOMONTH('Cash Drivers'!$DL$30+'Cash Drivers'!DL$13,0)=EOMONTH($AR$1,0),'Cash Drivers'!$DL$32,0),0)</f>
        <v>0</v>
      </c>
      <c r="AS18" s="45" t="n">
        <f aca="false">ROUND(IF(EOMONTH(DATE(YEAR(Sales!$DL$1),MONTH(Sales!$DL$1),1)+INT((DAY(Sales!$DL$1)-1)/2)+'Cash Drivers'!DM$13,0)=EOMONTH($AR$1,0),Sales!DM$6,0)+IF(EOMONTH(DATE(YEAR(Sales!$DI$1),MONTH(Sales!$DI$1),1)+INT((DAY(Sales!$DI$1)-1)/2)+'Cash Drivers'!DJ$13,0)=EOMONTH($AR$1,0),Sales!DJ$6,0)+IF(EOMONTH(DATE(YEAR(Sales!$DF$1),MONTH(Sales!$DF$1),1)+INT((DAY(Sales!$DF$1)-1)/2)+'Cash Drivers'!DG$13,0)=EOMONTH($AR$1,0),Sales!DG$6,0)+IF(EOMONTH(DATE(YEAR(Sales!$DC$1),MONTH(Sales!$DC$1),1)+INT((DAY(Sales!$DC$1)-1)/2)+'Cash Drivers'!DD$13,0)=EOMONTH($AR$1,0),Sales!DD$6,0)+IF(EOMONTH(DATE(YEAR(Sales!$CZ$1),MONTH(Sales!$CZ$1),1)+INT((DAY(Sales!$CZ$1)-1)/2)+'Cash Drivers'!DA$13,0)=EOMONTH($AR$1,0),Sales!DA$6,0)+IF(EOMONTH(DATE(YEAR(Sales!$CW$1),MONTH(Sales!$CW$1),1)+INT((DAY(Sales!$CW$1)-1)/2)+'Cash Drivers'!CX$13,0)=EOMONTH($AR$1,0),Sales!CX$6,0)+IF(EOMONTH(DATE(YEAR(Sales!$CT$1),MONTH(Sales!$CT$1),1)+INT((DAY(Sales!$CT$1)-1)/2)+'Cash Drivers'!CU$13,0)=EOMONTH($AR$1,0),Sales!CU$6,0)+IF(EOMONTH(DATE(YEAR(Sales!$CQ$1),MONTH(Sales!$CQ$1),1)+INT((DAY(Sales!$CQ$1)-1)/2)+'Cash Drivers'!CR$13,0)=EOMONTH($AR$1,0),Sales!CR$6,0)+IF(EOMONTH(DATE(YEAR(Sales!$CN$1),MONTH(Sales!$CN$1),1)+INT((DAY(Sales!$CN$1)-1)/2)+'Cash Drivers'!CO$13,0)=EOMONTH($AR$1,0),Sales!CO$6,0)+IF(EOMONTH(DATE(YEAR(Sales!$CK$1),MONTH(Sales!$CK$1),1)+INT((DAY(Sales!$CK$1)-1)/2)+'Cash Drivers'!CL$13,0)=EOMONTH($AR$1,0),Sales!CL$6,0)+IF(EOMONTH(DATE(YEAR(Sales!$CH$1),MONTH(Sales!$CH$1),1)+INT((DAY(Sales!$CH$1)-1)/2)+'Cash Drivers'!CI$13,0)=EOMONTH($AR$1,0),Sales!CI$6,0)+IF(EOMONTH(DATE(YEAR(Sales!$CE$1),MONTH(Sales!$CE$1),1)+INT((DAY(Sales!$CE$1)-1)/2)+'Cash Drivers'!CF$13,0)=EOMONTH($AR$1,0),Sales!CF$6,0)+IF(EOMONTH(DATE(YEAR(Sales!$CB$1),MONTH(Sales!$CB$1),1)+INT((DAY(Sales!$CB$1)-1)/2)+'Cash Drivers'!CC$13,0)=EOMONTH($AR$1,0),Sales!CC$6,0)+IF(EOMONTH(DATE(YEAR(Sales!$BY$1),MONTH(Sales!$BY$1),1)+INT((DAY(Sales!$BY$1)-1)/2)+'Cash Drivers'!BZ$13,0)=EOMONTH($AR$1,0),Sales!BZ$6,0)+IF(EOMONTH(DATE(YEAR(Sales!$BV$1),MONTH(Sales!$BV$1),1)+INT((DAY(Sales!$BV$1)-1)/2)+'Cash Drivers'!BW$13,0)=EOMONTH($AR$1,0),Sales!BW$6,0)+IF(EOMONTH(DATE(YEAR(Sales!$BS$1),MONTH(Sales!$BS$1),1)+INT((DAY(Sales!$BS$1)-1)/2)+'Cash Drivers'!BT$13,0)=EOMONTH($AR$1,0),Sales!BT$6,0)+IF(EOMONTH(DATE(YEAR(Sales!$BP$1),MONTH(Sales!$BP$1),1)+INT((DAY(Sales!$BP$1)-1)/2)+'Cash Drivers'!BQ$13,0)=EOMONTH($AR$1,0),Sales!BQ$6,0)+IF(EOMONTH(DATE(YEAR(Sales!$BM$1),MONTH(Sales!$BM$1),1)+INT((DAY(Sales!$BM$1)-1)/2)+'Cash Drivers'!BN$13,0)=EOMONTH($AR$1,0),Sales!BN$6,0)+IF(EOMONTH(DATE(YEAR(Sales!$BJ$1),MONTH(Sales!$BJ$1),1)+INT((DAY(Sales!$BJ$1)-1)/2)+'Cash Drivers'!BK$13,0)=EOMONTH($AR$1,0),Sales!BK$6,0)+IF(EOMONTH(DATE(YEAR(Sales!$BG$1),MONTH(Sales!$BG$1),1)+INT((DAY(Sales!$BG$1)-1)/2)+'Cash Drivers'!BH$13,0)=EOMONTH($AR$1,0),Sales!BH$6,0)+IF(EOMONTH(DATE(YEAR(Sales!$BD$1),MONTH(Sales!$BD$1),1)+INT((DAY(Sales!$BD$1)-1)/2)+'Cash Drivers'!BE$13,0)=EOMONTH($AR$1,0),Sales!BE$6,0)+IF(EOMONTH(DATE(YEAR(Sales!$BA$1),MONTH(Sales!$BA$1),1)+INT((DAY(Sales!$BA$1)-1)/2)+'Cash Drivers'!BB$13,0)=EOMONTH($AR$1,0),Sales!BB$6,0)+IF(EOMONTH(DATE(YEAR(Sales!$AX$1),MONTH(Sales!$AX$1),1)+INT((DAY(Sales!$AX$1)-1)/2)+'Cash Drivers'!AY$13,0)=EOMONTH($AR$1,0),Sales!AY$6,0)+IF(EOMONTH(DATE(YEAR(Sales!$AU$1),MONTH(Sales!$AU$1),1)+INT((DAY(Sales!$AU$1)-1)/2)+'Cash Drivers'!AV$13,0)=EOMONTH($AR$1,0),Sales!AV$6,0)+IF(EOMONTH(DATE(YEAR(Sales!$AR$1),MONTH(Sales!$AR$1),1)+INT((DAY(Sales!$AR$1)-1)/2)+'Cash Drivers'!AS$13,0)=EOMONTH($AR$1,0),Sales!AS$6,0)+IF(EOMONTH(DATE(YEAR(Sales!$AO$1),MONTH(Sales!$AO$1),1)+INT((DAY(Sales!$AO$1)-1)/2)+'Cash Drivers'!AP$13,0)=EOMONTH($AR$1,0),Sales!AP$6,0)+IF(EOMONTH(DATE(YEAR(Sales!$AL$1),MONTH(Sales!$AL$1),1)+INT((DAY(Sales!$AL$1)-1)/2)+'Cash Drivers'!AM$13,0)=EOMONTH($AR$1,0),Sales!AM$6,0)+IF(EOMONTH(DATE(YEAR(Sales!$AI$1),MONTH(Sales!$AI$1),1)+INT((DAY(Sales!$AI$1)-1)/2)+'Cash Drivers'!AJ$13,0)=EOMONTH($AR$1,0),Sales!AJ$6,0)+IF(EOMONTH(DATE(YEAR(Sales!$AF$1),MONTH(Sales!$AF$1),1)+INT((DAY(Sales!$AF$1)-1)/2)+'Cash Drivers'!AG$13,0)=EOMONTH($AR$1,0),Sales!AG$6,0)+IF(EOMONTH(DATE(YEAR(Sales!$AC$1),MONTH(Sales!$AC$1),1)+INT((DAY(Sales!$AC$1)-1)/2)+'Cash Drivers'!AD$13,0)=EOMONTH($AR$1,0),Sales!AD$6,0)+IF(EOMONTH(DATE(YEAR(Sales!$Z$1),MONTH(Sales!$Z$1),1)+INT((DAY(Sales!$Z$1)-1)/2)+'Cash Drivers'!AA$13,0)=EOMONTH($AR$1,0),Sales!AA$6,0)+IF(EOMONTH(DATE(YEAR(Sales!$W$1),MONTH(Sales!$W$1),1)+INT((DAY(Sales!$W$1)-1)/2)+'Cash Drivers'!X$13,0)=EOMONTH($AR$1,0),Sales!X$6,0)+IF(EOMONTH(DATE(YEAR(Sales!$T$1),MONTH(Sales!$T$1),1)+INT((DAY(Sales!$T$1)-1)/2)+'Cash Drivers'!U$13,0)=EOMONTH($AR$1,0),Sales!U$6,0)+IF(EOMONTH(DATE(YEAR(Sales!$Q$1),MONTH(Sales!$Q$1),1)+INT((DAY(Sales!$Q$1)-1)/2)+'Cash Drivers'!R$13,0)=EOMONTH($AR$1,0),Sales!R$6,0)+IF(EOMONTH(DATE(YEAR(Sales!$N$1),MONTH(Sales!$N$1),1)+INT((DAY(Sales!$N$1)-1)/2)+'Cash Drivers'!O$13,0)=EOMONTH($AR$1,0),Sales!O$6,0)+IF(EOMONTH(DATE(YEAR(Sales!$K$1),MONTH(Sales!$K$1),1)+INT((DAY(Sales!$K$1)-1)/2)+'Cash Drivers'!L$13,0)=EOMONTH($AR$1,0),Sales!L$6,0)+IF(EOMONTH('Cash Drivers'!$DL$30+'Cash Drivers'!DM$13,0)=EOMONTH($AR$1,0),'Cash Drivers'!$DL$32,0),0)</f>
        <v>28</v>
      </c>
      <c r="AT18" s="46" t="n">
        <f aca="false">ROUND(IF(EOMONTH(DATE(YEAR(Sales!$DL$1),MONTH(Sales!$DL$1),1)+INT((DAY(Sales!$DL$1)-1)/2)+'Cash Drivers'!DN$13,0)=EOMONTH($AR$1,0),Sales!DN$6,0)+IF(EOMONTH(DATE(YEAR(Sales!$DI$1),MONTH(Sales!$DI$1),1)+INT((DAY(Sales!$DI$1)-1)/2)+'Cash Drivers'!DK$13,0)=EOMONTH($AR$1,0),Sales!DK$6,0)+IF(EOMONTH(DATE(YEAR(Sales!$DF$1),MONTH(Sales!$DF$1),1)+INT((DAY(Sales!$DF$1)-1)/2)+'Cash Drivers'!DH$13,0)=EOMONTH($AR$1,0),Sales!DH$6,0)+IF(EOMONTH(DATE(YEAR(Sales!$DC$1),MONTH(Sales!$DC$1),1)+INT((DAY(Sales!$DC$1)-1)/2)+'Cash Drivers'!DE$13,0)=EOMONTH($AR$1,0),Sales!DE$6,0)+IF(EOMONTH(DATE(YEAR(Sales!$CZ$1),MONTH(Sales!$CZ$1),1)+INT((DAY(Sales!$CZ$1)-1)/2)+'Cash Drivers'!DB$13,0)=EOMONTH($AR$1,0),Sales!DB$6,0)+IF(EOMONTH(DATE(YEAR(Sales!$CW$1),MONTH(Sales!$CW$1),1)+INT((DAY(Sales!$CW$1)-1)/2)+'Cash Drivers'!CY$13,0)=EOMONTH($AR$1,0),Sales!CY$6,0)+IF(EOMONTH(DATE(YEAR(Sales!$CT$1),MONTH(Sales!$CT$1),1)+INT((DAY(Sales!$CT$1)-1)/2)+'Cash Drivers'!CV$13,0)=EOMONTH($AR$1,0),Sales!CV$6,0)+IF(EOMONTH(DATE(YEAR(Sales!$CQ$1),MONTH(Sales!$CQ$1),1)+INT((DAY(Sales!$CQ$1)-1)/2)+'Cash Drivers'!CS$13,0)=EOMONTH($AR$1,0),Sales!CS$6,0)+IF(EOMONTH(DATE(YEAR(Sales!$CN$1),MONTH(Sales!$CN$1),1)+INT((DAY(Sales!$CN$1)-1)/2)+'Cash Drivers'!CP$13,0)=EOMONTH($AR$1,0),Sales!CP$6,0)+IF(EOMONTH(DATE(YEAR(Sales!$CK$1),MONTH(Sales!$CK$1),1)+INT((DAY(Sales!$CK$1)-1)/2)+'Cash Drivers'!CM$13,0)=EOMONTH($AR$1,0),Sales!CM$6,0)+IF(EOMONTH(DATE(YEAR(Sales!$CH$1),MONTH(Sales!$CH$1),1)+INT((DAY(Sales!$CH$1)-1)/2)+'Cash Drivers'!CJ$13,0)=EOMONTH($AR$1,0),Sales!CJ$6,0)+IF(EOMONTH(DATE(YEAR(Sales!$CE$1),MONTH(Sales!$CE$1),1)+INT((DAY(Sales!$CE$1)-1)/2)+'Cash Drivers'!CG$13,0)=EOMONTH($AR$1,0),Sales!CG$6,0)+IF(EOMONTH(DATE(YEAR(Sales!$CB$1),MONTH(Sales!$CB$1),1)+INT((DAY(Sales!$CB$1)-1)/2)+'Cash Drivers'!CD$13,0)=EOMONTH($AR$1,0),Sales!CD$6,0)+IF(EOMONTH(DATE(YEAR(Sales!$BY$1),MONTH(Sales!$BY$1),1)+INT((DAY(Sales!$BY$1)-1)/2)+'Cash Drivers'!CA$13,0)=EOMONTH($AR$1,0),Sales!CA$6,0)+IF(EOMONTH(DATE(YEAR(Sales!$BV$1),MONTH(Sales!$BV$1),1)+INT((DAY(Sales!$BV$1)-1)/2)+'Cash Drivers'!BX$13,0)=EOMONTH($AR$1,0),Sales!BX$6,0)+IF(EOMONTH(DATE(YEAR(Sales!$BS$1),MONTH(Sales!$BS$1),1)+INT((DAY(Sales!$BS$1)-1)/2)+'Cash Drivers'!BU$13,0)=EOMONTH($AR$1,0),Sales!BU$6,0)+IF(EOMONTH(DATE(YEAR(Sales!$BP$1),MONTH(Sales!$BP$1),1)+INT((DAY(Sales!$BP$1)-1)/2)+'Cash Drivers'!BR$13,0)=EOMONTH($AR$1,0),Sales!BR$6,0)+IF(EOMONTH(DATE(YEAR(Sales!$BM$1),MONTH(Sales!$BM$1),1)+INT((DAY(Sales!$BM$1)-1)/2)+'Cash Drivers'!BO$13,0)=EOMONTH($AR$1,0),Sales!BO$6,0)+IF(EOMONTH(DATE(YEAR(Sales!$BJ$1),MONTH(Sales!$BJ$1),1)+INT((DAY(Sales!$BJ$1)-1)/2)+'Cash Drivers'!BL$13,0)=EOMONTH($AR$1,0),Sales!BL$6,0)+IF(EOMONTH(DATE(YEAR(Sales!$BG$1),MONTH(Sales!$BG$1),1)+INT((DAY(Sales!$BG$1)-1)/2)+'Cash Drivers'!BI$13,0)=EOMONTH($AR$1,0),Sales!BI$6,0)+IF(EOMONTH(DATE(YEAR(Sales!$BD$1),MONTH(Sales!$BD$1),1)+INT((DAY(Sales!$BD$1)-1)/2)+'Cash Drivers'!BF$13,0)=EOMONTH($AR$1,0),Sales!BF$6,0)+IF(EOMONTH(DATE(YEAR(Sales!$BA$1),MONTH(Sales!$BA$1),1)+INT((DAY(Sales!$BA$1)-1)/2)+'Cash Drivers'!BC$13,0)=EOMONTH($AR$1,0),Sales!BC$6,0)+IF(EOMONTH(DATE(YEAR(Sales!$AX$1),MONTH(Sales!$AX$1),1)+INT((DAY(Sales!$AX$1)-1)/2)+'Cash Drivers'!AZ$13,0)=EOMONTH($AR$1,0),Sales!AZ$6,0)+IF(EOMONTH(DATE(YEAR(Sales!$AU$1),MONTH(Sales!$AU$1),1)+INT((DAY(Sales!$AU$1)-1)/2)+'Cash Drivers'!AW$13,0)=EOMONTH($AR$1,0),Sales!AW$6,0)+IF(EOMONTH(DATE(YEAR(Sales!$AR$1),MONTH(Sales!$AR$1),1)+INT((DAY(Sales!$AR$1)-1)/2)+'Cash Drivers'!AT$13,0)=EOMONTH($AR$1,0),Sales!AT$6,0)+IF(EOMONTH(DATE(YEAR(Sales!$AO$1),MONTH(Sales!$AO$1),1)+INT((DAY(Sales!$AO$1)-1)/2)+'Cash Drivers'!AQ$13,0)=EOMONTH($AR$1,0),Sales!AQ$6,0)+IF(EOMONTH(DATE(YEAR(Sales!$AL$1),MONTH(Sales!$AL$1),1)+INT((DAY(Sales!$AL$1)-1)/2)+'Cash Drivers'!AN$13,0)=EOMONTH($AR$1,0),Sales!AN$6,0)+IF(EOMONTH(DATE(YEAR(Sales!$AI$1),MONTH(Sales!$AI$1),1)+INT((DAY(Sales!$AI$1)-1)/2)+'Cash Drivers'!AK$13,0)=EOMONTH($AR$1,0),Sales!AK$6,0)+IF(EOMONTH(DATE(YEAR(Sales!$AF$1),MONTH(Sales!$AF$1),1)+INT((DAY(Sales!$AF$1)-1)/2)+'Cash Drivers'!AH$13,0)=EOMONTH($AR$1,0),Sales!AH$6,0)+IF(EOMONTH(DATE(YEAR(Sales!$AC$1),MONTH(Sales!$AC$1),1)+INT((DAY(Sales!$AC$1)-1)/2)+'Cash Drivers'!AE$13,0)=EOMONTH($AR$1,0),Sales!AE$6,0)+IF(EOMONTH(DATE(YEAR(Sales!$Z$1),MONTH(Sales!$Z$1),1)+INT((DAY(Sales!$Z$1)-1)/2)+'Cash Drivers'!AB$13,0)=EOMONTH($AR$1,0),Sales!AB$6,0)+IF(EOMONTH(DATE(YEAR(Sales!$W$1),MONTH(Sales!$W$1),1)+INT((DAY(Sales!$W$1)-1)/2)+'Cash Drivers'!Y$13,0)=EOMONTH($AR$1,0),Sales!Y$6,0)+IF(EOMONTH(DATE(YEAR(Sales!$T$1),MONTH(Sales!$T$1),1)+INT((DAY(Sales!$T$1)-1)/2)+'Cash Drivers'!V$13,0)=EOMONTH($AR$1,0),Sales!V$6,0)+IF(EOMONTH(DATE(YEAR(Sales!$Q$1),MONTH(Sales!$Q$1),1)+INT((DAY(Sales!$Q$1)-1)/2)+'Cash Drivers'!S$13,0)=EOMONTH($AR$1,0),Sales!S$6,0)+IF(EOMONTH(DATE(YEAR(Sales!$N$1),MONTH(Sales!$N$1),1)+INT((DAY(Sales!$N$1)-1)/2)+'Cash Drivers'!P$13,0)=EOMONTH($AR$1,0),Sales!P$6,0)+IF(EOMONTH(DATE(YEAR(Sales!$K$1),MONTH(Sales!$K$1),1)+INT((DAY(Sales!$K$1)-1)/2)+'Cash Drivers'!M$13,0)=EOMONTH($AR$1,0),Sales!M$6,0)+IF(EOMONTH('Cash Drivers'!$DL$30+'Cash Drivers'!DN$13,0)=EOMONTH($AR$1,0),'Cash Drivers'!$DL$32,0),0)</f>
        <v>28</v>
      </c>
      <c r="AU18" s="44" t="n">
        <f aca="false">ROUND(IF(EOMONTH(DATE(YEAR(Sales!$DL$1),MONTH(Sales!$DL$1),1)+INT((DAY(Sales!$DL$1)-1)/2)+'Cash Drivers'!DL$13,0)=EOMONTH($AU$1,0),Sales!DL$6,0)+IF(EOMONTH(DATE(YEAR(Sales!$DI$1),MONTH(Sales!$DI$1),1)+INT((DAY(Sales!$DI$1)-1)/2)+'Cash Drivers'!DI$13,0)=EOMONTH($AU$1,0),Sales!DI$6,0)+IF(EOMONTH(DATE(YEAR(Sales!$DF$1),MONTH(Sales!$DF$1),1)+INT((DAY(Sales!$DF$1)-1)/2)+'Cash Drivers'!DF$13,0)=EOMONTH($AU$1,0),Sales!DF$6,0)+IF(EOMONTH(DATE(YEAR(Sales!$DC$1),MONTH(Sales!$DC$1),1)+INT((DAY(Sales!$DC$1)-1)/2)+'Cash Drivers'!DC$13,0)=EOMONTH($AU$1,0),Sales!DC$6,0)+IF(EOMONTH(DATE(YEAR(Sales!$CZ$1),MONTH(Sales!$CZ$1),1)+INT((DAY(Sales!$CZ$1)-1)/2)+'Cash Drivers'!CZ$13,0)=EOMONTH($AU$1,0),Sales!CZ$6,0)+IF(EOMONTH(DATE(YEAR(Sales!$CW$1),MONTH(Sales!$CW$1),1)+INT((DAY(Sales!$CW$1)-1)/2)+'Cash Drivers'!CW$13,0)=EOMONTH($AU$1,0),Sales!CW$6,0)+IF(EOMONTH(DATE(YEAR(Sales!$CT$1),MONTH(Sales!$CT$1),1)+INT((DAY(Sales!$CT$1)-1)/2)+'Cash Drivers'!CT$13,0)=EOMONTH($AU$1,0),Sales!CT$6,0)+IF(EOMONTH(DATE(YEAR(Sales!$CQ$1),MONTH(Sales!$CQ$1),1)+INT((DAY(Sales!$CQ$1)-1)/2)+'Cash Drivers'!CQ$13,0)=EOMONTH($AU$1,0),Sales!CQ$6,0)+IF(EOMONTH(DATE(YEAR(Sales!$CN$1),MONTH(Sales!$CN$1),1)+INT((DAY(Sales!$CN$1)-1)/2)+'Cash Drivers'!CN$13,0)=EOMONTH($AU$1,0),Sales!CN$6,0)+IF(EOMONTH(DATE(YEAR(Sales!$CK$1),MONTH(Sales!$CK$1),1)+INT((DAY(Sales!$CK$1)-1)/2)+'Cash Drivers'!CK$13,0)=EOMONTH($AU$1,0),Sales!CK$6,0)+IF(EOMONTH(DATE(YEAR(Sales!$CH$1),MONTH(Sales!$CH$1),1)+INT((DAY(Sales!$CH$1)-1)/2)+'Cash Drivers'!CH$13,0)=EOMONTH($AU$1,0),Sales!CH$6,0)+IF(EOMONTH(DATE(YEAR(Sales!$CE$1),MONTH(Sales!$CE$1),1)+INT((DAY(Sales!$CE$1)-1)/2)+'Cash Drivers'!CE$13,0)=EOMONTH($AU$1,0),Sales!CE$6,0)+IF(EOMONTH(DATE(YEAR(Sales!$CB$1),MONTH(Sales!$CB$1),1)+INT((DAY(Sales!$CB$1)-1)/2)+'Cash Drivers'!CB$13,0)=EOMONTH($AU$1,0),Sales!CB$6,0)+IF(EOMONTH(DATE(YEAR(Sales!$BY$1),MONTH(Sales!$BY$1),1)+INT((DAY(Sales!$BY$1)-1)/2)+'Cash Drivers'!BY$13,0)=EOMONTH($AU$1,0),Sales!BY$6,0)+IF(EOMONTH(DATE(YEAR(Sales!$BV$1),MONTH(Sales!$BV$1),1)+INT((DAY(Sales!$BV$1)-1)/2)+'Cash Drivers'!BV$13,0)=EOMONTH($AU$1,0),Sales!BV$6,0)+IF(EOMONTH(DATE(YEAR(Sales!$BS$1),MONTH(Sales!$BS$1),1)+INT((DAY(Sales!$BS$1)-1)/2)+'Cash Drivers'!BS$13,0)=EOMONTH($AU$1,0),Sales!BS$6,0)+IF(EOMONTH(DATE(YEAR(Sales!$BP$1),MONTH(Sales!$BP$1),1)+INT((DAY(Sales!$BP$1)-1)/2)+'Cash Drivers'!BP$13,0)=EOMONTH($AU$1,0),Sales!BP$6,0)+IF(EOMONTH(DATE(YEAR(Sales!$BM$1),MONTH(Sales!$BM$1),1)+INT((DAY(Sales!$BM$1)-1)/2)+'Cash Drivers'!BM$13,0)=EOMONTH($AU$1,0),Sales!BM$6,0)+IF(EOMONTH(DATE(YEAR(Sales!$BJ$1),MONTH(Sales!$BJ$1),1)+INT((DAY(Sales!$BJ$1)-1)/2)+'Cash Drivers'!BJ$13,0)=EOMONTH($AU$1,0),Sales!BJ$6,0)+IF(EOMONTH(DATE(YEAR(Sales!$BG$1),MONTH(Sales!$BG$1),1)+INT((DAY(Sales!$BG$1)-1)/2)+'Cash Drivers'!BG$13,0)=EOMONTH($AU$1,0),Sales!BG$6,0)+IF(EOMONTH(DATE(YEAR(Sales!$BD$1),MONTH(Sales!$BD$1),1)+INT((DAY(Sales!$BD$1)-1)/2)+'Cash Drivers'!BD$13,0)=EOMONTH($AU$1,0),Sales!BD$6,0)+IF(EOMONTH(DATE(YEAR(Sales!$BA$1),MONTH(Sales!$BA$1),1)+INT((DAY(Sales!$BA$1)-1)/2)+'Cash Drivers'!BA$13,0)=EOMONTH($AU$1,0),Sales!BA$6,0)+IF(EOMONTH(DATE(YEAR(Sales!$AX$1),MONTH(Sales!$AX$1),1)+INT((DAY(Sales!$AX$1)-1)/2)+'Cash Drivers'!AX$13,0)=EOMONTH($AU$1,0),Sales!AX$6,0)+IF(EOMONTH(DATE(YEAR(Sales!$AU$1),MONTH(Sales!$AU$1),1)+INT((DAY(Sales!$AU$1)-1)/2)+'Cash Drivers'!AU$13,0)=EOMONTH($AU$1,0),Sales!AU$6,0)+IF(EOMONTH(DATE(YEAR(Sales!$AR$1),MONTH(Sales!$AR$1),1)+INT((DAY(Sales!$AR$1)-1)/2)+'Cash Drivers'!AR$13,0)=EOMONTH($AU$1,0),Sales!AR$6,0)+IF(EOMONTH(DATE(YEAR(Sales!$AO$1),MONTH(Sales!$AO$1),1)+INT((DAY(Sales!$AO$1)-1)/2)+'Cash Drivers'!AO$13,0)=EOMONTH($AU$1,0),Sales!AO$6,0)+IF(EOMONTH(DATE(YEAR(Sales!$AL$1),MONTH(Sales!$AL$1),1)+INT((DAY(Sales!$AL$1)-1)/2)+'Cash Drivers'!AL$13,0)=EOMONTH($AU$1,0),Sales!AL$6,0)+IF(EOMONTH(DATE(YEAR(Sales!$AI$1),MONTH(Sales!$AI$1),1)+INT((DAY(Sales!$AI$1)-1)/2)+'Cash Drivers'!AI$13,0)=EOMONTH($AU$1,0),Sales!AI$6,0)+IF(EOMONTH(DATE(YEAR(Sales!$AF$1),MONTH(Sales!$AF$1),1)+INT((DAY(Sales!$AF$1)-1)/2)+'Cash Drivers'!AF$13,0)=EOMONTH($AU$1,0),Sales!AF$6,0)+IF(EOMONTH(DATE(YEAR(Sales!$AC$1),MONTH(Sales!$AC$1),1)+INT((DAY(Sales!$AC$1)-1)/2)+'Cash Drivers'!AC$13,0)=EOMONTH($AU$1,0),Sales!AC$6,0)+IF(EOMONTH(DATE(YEAR(Sales!$Z$1),MONTH(Sales!$Z$1),1)+INT((DAY(Sales!$Z$1)-1)/2)+'Cash Drivers'!Z$13,0)=EOMONTH($AU$1,0),Sales!Z$6,0)+IF(EOMONTH(DATE(YEAR(Sales!$W$1),MONTH(Sales!$W$1),1)+INT((DAY(Sales!$W$1)-1)/2)+'Cash Drivers'!W$13,0)=EOMONTH($AU$1,0),Sales!W$6,0)+IF(EOMONTH(DATE(YEAR(Sales!$T$1),MONTH(Sales!$T$1),1)+INT((DAY(Sales!$T$1)-1)/2)+'Cash Drivers'!T$13,0)=EOMONTH($AU$1,0),Sales!T$6,0)+IF(EOMONTH(DATE(YEAR(Sales!$Q$1),MONTH(Sales!$Q$1),1)+INT((DAY(Sales!$Q$1)-1)/2)+'Cash Drivers'!Q$13,0)=EOMONTH($AU$1,0),Sales!Q$6,0)+IF(EOMONTH(DATE(YEAR(Sales!$N$1),MONTH(Sales!$N$1),1)+INT((DAY(Sales!$N$1)-1)/2)+'Cash Drivers'!N$13,0)=EOMONTH($AU$1,0),Sales!N$6,0)+IF(EOMONTH(DATE(YEAR(Sales!$K$1),MONTH(Sales!$K$1),1)+INT((DAY(Sales!$K$1)-1)/2)+'Cash Drivers'!K$13,0)=EOMONTH($AU$1,0),Sales!K$6,0)+IF(EOMONTH('Cash Drivers'!$DL$30+'Cash Drivers'!DL$13,0)=EOMONTH($AU$1,0),'Cash Drivers'!$DL$32,0),0)</f>
        <v>0</v>
      </c>
      <c r="AV18" s="45" t="n">
        <f aca="false">ROUND(IF(EOMONTH(DATE(YEAR(Sales!$DL$1),MONTH(Sales!$DL$1),1)+INT((DAY(Sales!$DL$1)-1)/2)+'Cash Drivers'!DM$13,0)=EOMONTH($AU$1,0),Sales!DM$6,0)+IF(EOMONTH(DATE(YEAR(Sales!$DI$1),MONTH(Sales!$DI$1),1)+INT((DAY(Sales!$DI$1)-1)/2)+'Cash Drivers'!DJ$13,0)=EOMONTH($AU$1,0),Sales!DJ$6,0)+IF(EOMONTH(DATE(YEAR(Sales!$DF$1),MONTH(Sales!$DF$1),1)+INT((DAY(Sales!$DF$1)-1)/2)+'Cash Drivers'!DG$13,0)=EOMONTH($AU$1,0),Sales!DG$6,0)+IF(EOMONTH(DATE(YEAR(Sales!$DC$1),MONTH(Sales!$DC$1),1)+INT((DAY(Sales!$DC$1)-1)/2)+'Cash Drivers'!DD$13,0)=EOMONTH($AU$1,0),Sales!DD$6,0)+IF(EOMONTH(DATE(YEAR(Sales!$CZ$1),MONTH(Sales!$CZ$1),1)+INT((DAY(Sales!$CZ$1)-1)/2)+'Cash Drivers'!DA$13,0)=EOMONTH($AU$1,0),Sales!DA$6,0)+IF(EOMONTH(DATE(YEAR(Sales!$CW$1),MONTH(Sales!$CW$1),1)+INT((DAY(Sales!$CW$1)-1)/2)+'Cash Drivers'!CX$13,0)=EOMONTH($AU$1,0),Sales!CX$6,0)+IF(EOMONTH(DATE(YEAR(Sales!$CT$1),MONTH(Sales!$CT$1),1)+INT((DAY(Sales!$CT$1)-1)/2)+'Cash Drivers'!CU$13,0)=EOMONTH($AU$1,0),Sales!CU$6,0)+IF(EOMONTH(DATE(YEAR(Sales!$CQ$1),MONTH(Sales!$CQ$1),1)+INT((DAY(Sales!$CQ$1)-1)/2)+'Cash Drivers'!CR$13,0)=EOMONTH($AU$1,0),Sales!CR$6,0)+IF(EOMONTH(DATE(YEAR(Sales!$CN$1),MONTH(Sales!$CN$1),1)+INT((DAY(Sales!$CN$1)-1)/2)+'Cash Drivers'!CO$13,0)=EOMONTH($AU$1,0),Sales!CO$6,0)+IF(EOMONTH(DATE(YEAR(Sales!$CK$1),MONTH(Sales!$CK$1),1)+INT((DAY(Sales!$CK$1)-1)/2)+'Cash Drivers'!CL$13,0)=EOMONTH($AU$1,0),Sales!CL$6,0)+IF(EOMONTH(DATE(YEAR(Sales!$CH$1),MONTH(Sales!$CH$1),1)+INT((DAY(Sales!$CH$1)-1)/2)+'Cash Drivers'!CI$13,0)=EOMONTH($AU$1,0),Sales!CI$6,0)+IF(EOMONTH(DATE(YEAR(Sales!$CE$1),MONTH(Sales!$CE$1),1)+INT((DAY(Sales!$CE$1)-1)/2)+'Cash Drivers'!CF$13,0)=EOMONTH($AU$1,0),Sales!CF$6,0)+IF(EOMONTH(DATE(YEAR(Sales!$CB$1),MONTH(Sales!$CB$1),1)+INT((DAY(Sales!$CB$1)-1)/2)+'Cash Drivers'!CC$13,0)=EOMONTH($AU$1,0),Sales!CC$6,0)+IF(EOMONTH(DATE(YEAR(Sales!$BY$1),MONTH(Sales!$BY$1),1)+INT((DAY(Sales!$BY$1)-1)/2)+'Cash Drivers'!BZ$13,0)=EOMONTH($AU$1,0),Sales!BZ$6,0)+IF(EOMONTH(DATE(YEAR(Sales!$BV$1),MONTH(Sales!$BV$1),1)+INT((DAY(Sales!$BV$1)-1)/2)+'Cash Drivers'!BW$13,0)=EOMONTH($AU$1,0),Sales!BW$6,0)+IF(EOMONTH(DATE(YEAR(Sales!$BS$1),MONTH(Sales!$BS$1),1)+INT((DAY(Sales!$BS$1)-1)/2)+'Cash Drivers'!BT$13,0)=EOMONTH($AU$1,0),Sales!BT$6,0)+IF(EOMONTH(DATE(YEAR(Sales!$BP$1),MONTH(Sales!$BP$1),1)+INT((DAY(Sales!$BP$1)-1)/2)+'Cash Drivers'!BQ$13,0)=EOMONTH($AU$1,0),Sales!BQ$6,0)+IF(EOMONTH(DATE(YEAR(Sales!$BM$1),MONTH(Sales!$BM$1),1)+INT((DAY(Sales!$BM$1)-1)/2)+'Cash Drivers'!BN$13,0)=EOMONTH($AU$1,0),Sales!BN$6,0)+IF(EOMONTH(DATE(YEAR(Sales!$BJ$1),MONTH(Sales!$BJ$1),1)+INT((DAY(Sales!$BJ$1)-1)/2)+'Cash Drivers'!BK$13,0)=EOMONTH($AU$1,0),Sales!BK$6,0)+IF(EOMONTH(DATE(YEAR(Sales!$BG$1),MONTH(Sales!$BG$1),1)+INT((DAY(Sales!$BG$1)-1)/2)+'Cash Drivers'!BH$13,0)=EOMONTH($AU$1,0),Sales!BH$6,0)+IF(EOMONTH(DATE(YEAR(Sales!$BD$1),MONTH(Sales!$BD$1),1)+INT((DAY(Sales!$BD$1)-1)/2)+'Cash Drivers'!BE$13,0)=EOMONTH($AU$1,0),Sales!BE$6,0)+IF(EOMONTH(DATE(YEAR(Sales!$BA$1),MONTH(Sales!$BA$1),1)+INT((DAY(Sales!$BA$1)-1)/2)+'Cash Drivers'!BB$13,0)=EOMONTH($AU$1,0),Sales!BB$6,0)+IF(EOMONTH(DATE(YEAR(Sales!$AX$1),MONTH(Sales!$AX$1),1)+INT((DAY(Sales!$AX$1)-1)/2)+'Cash Drivers'!AY$13,0)=EOMONTH($AU$1,0),Sales!AY$6,0)+IF(EOMONTH(DATE(YEAR(Sales!$AU$1),MONTH(Sales!$AU$1),1)+INT((DAY(Sales!$AU$1)-1)/2)+'Cash Drivers'!AV$13,0)=EOMONTH($AU$1,0),Sales!AV$6,0)+IF(EOMONTH(DATE(YEAR(Sales!$AR$1),MONTH(Sales!$AR$1),1)+INT((DAY(Sales!$AR$1)-1)/2)+'Cash Drivers'!AS$13,0)=EOMONTH($AU$1,0),Sales!AS$6,0)+IF(EOMONTH(DATE(YEAR(Sales!$AO$1),MONTH(Sales!$AO$1),1)+INT((DAY(Sales!$AO$1)-1)/2)+'Cash Drivers'!AP$13,0)=EOMONTH($AU$1,0),Sales!AP$6,0)+IF(EOMONTH(DATE(YEAR(Sales!$AL$1),MONTH(Sales!$AL$1),1)+INT((DAY(Sales!$AL$1)-1)/2)+'Cash Drivers'!AM$13,0)=EOMONTH($AU$1,0),Sales!AM$6,0)+IF(EOMONTH(DATE(YEAR(Sales!$AI$1),MONTH(Sales!$AI$1),1)+INT((DAY(Sales!$AI$1)-1)/2)+'Cash Drivers'!AJ$13,0)=EOMONTH($AU$1,0),Sales!AJ$6,0)+IF(EOMONTH(DATE(YEAR(Sales!$AF$1),MONTH(Sales!$AF$1),1)+INT((DAY(Sales!$AF$1)-1)/2)+'Cash Drivers'!AG$13,0)=EOMONTH($AU$1,0),Sales!AG$6,0)+IF(EOMONTH(DATE(YEAR(Sales!$AC$1),MONTH(Sales!$AC$1),1)+INT((DAY(Sales!$AC$1)-1)/2)+'Cash Drivers'!AD$13,0)=EOMONTH($AU$1,0),Sales!AD$6,0)+IF(EOMONTH(DATE(YEAR(Sales!$Z$1),MONTH(Sales!$Z$1),1)+INT((DAY(Sales!$Z$1)-1)/2)+'Cash Drivers'!AA$13,0)=EOMONTH($AU$1,0),Sales!AA$6,0)+IF(EOMONTH(DATE(YEAR(Sales!$W$1),MONTH(Sales!$W$1),1)+INT((DAY(Sales!$W$1)-1)/2)+'Cash Drivers'!X$13,0)=EOMONTH($AU$1,0),Sales!X$6,0)+IF(EOMONTH(DATE(YEAR(Sales!$T$1),MONTH(Sales!$T$1),1)+INT((DAY(Sales!$T$1)-1)/2)+'Cash Drivers'!U$13,0)=EOMONTH($AU$1,0),Sales!U$6,0)+IF(EOMONTH(DATE(YEAR(Sales!$Q$1),MONTH(Sales!$Q$1),1)+INT((DAY(Sales!$Q$1)-1)/2)+'Cash Drivers'!R$13,0)=EOMONTH($AU$1,0),Sales!R$6,0)+IF(EOMONTH(DATE(YEAR(Sales!$N$1),MONTH(Sales!$N$1),1)+INT((DAY(Sales!$N$1)-1)/2)+'Cash Drivers'!O$13,0)=EOMONTH($AU$1,0),Sales!O$6,0)+IF(EOMONTH(DATE(YEAR(Sales!$K$1),MONTH(Sales!$K$1),1)+INT((DAY(Sales!$K$1)-1)/2)+'Cash Drivers'!L$13,0)=EOMONTH($AU$1,0),Sales!L$6,0)+IF(EOMONTH('Cash Drivers'!$DL$30+'Cash Drivers'!DM$13,0)=EOMONTH($AU$1,0),'Cash Drivers'!$DL$32,0),0)</f>
        <v>28</v>
      </c>
      <c r="AW18" s="46" t="n">
        <f aca="false">ROUND(IF(EOMONTH(DATE(YEAR(Sales!$DL$1),MONTH(Sales!$DL$1),1)+INT((DAY(Sales!$DL$1)-1)/2)+'Cash Drivers'!DN$13,0)=EOMONTH($AU$1,0),Sales!DN$6,0)+IF(EOMONTH(DATE(YEAR(Sales!$DI$1),MONTH(Sales!$DI$1),1)+INT((DAY(Sales!$DI$1)-1)/2)+'Cash Drivers'!DK$13,0)=EOMONTH($AU$1,0),Sales!DK$6,0)+IF(EOMONTH(DATE(YEAR(Sales!$DF$1),MONTH(Sales!$DF$1),1)+INT((DAY(Sales!$DF$1)-1)/2)+'Cash Drivers'!DH$13,0)=EOMONTH($AU$1,0),Sales!DH$6,0)+IF(EOMONTH(DATE(YEAR(Sales!$DC$1),MONTH(Sales!$DC$1),1)+INT((DAY(Sales!$DC$1)-1)/2)+'Cash Drivers'!DE$13,0)=EOMONTH($AU$1,0),Sales!DE$6,0)+IF(EOMONTH(DATE(YEAR(Sales!$CZ$1),MONTH(Sales!$CZ$1),1)+INT((DAY(Sales!$CZ$1)-1)/2)+'Cash Drivers'!DB$13,0)=EOMONTH($AU$1,0),Sales!DB$6,0)+IF(EOMONTH(DATE(YEAR(Sales!$CW$1),MONTH(Sales!$CW$1),1)+INT((DAY(Sales!$CW$1)-1)/2)+'Cash Drivers'!CY$13,0)=EOMONTH($AU$1,0),Sales!CY$6,0)+IF(EOMONTH(DATE(YEAR(Sales!$CT$1),MONTH(Sales!$CT$1),1)+INT((DAY(Sales!$CT$1)-1)/2)+'Cash Drivers'!CV$13,0)=EOMONTH($AU$1,0),Sales!CV$6,0)+IF(EOMONTH(DATE(YEAR(Sales!$CQ$1),MONTH(Sales!$CQ$1),1)+INT((DAY(Sales!$CQ$1)-1)/2)+'Cash Drivers'!CS$13,0)=EOMONTH($AU$1,0),Sales!CS$6,0)+IF(EOMONTH(DATE(YEAR(Sales!$CN$1),MONTH(Sales!$CN$1),1)+INT((DAY(Sales!$CN$1)-1)/2)+'Cash Drivers'!CP$13,0)=EOMONTH($AU$1,0),Sales!CP$6,0)+IF(EOMONTH(DATE(YEAR(Sales!$CK$1),MONTH(Sales!$CK$1),1)+INT((DAY(Sales!$CK$1)-1)/2)+'Cash Drivers'!CM$13,0)=EOMONTH($AU$1,0),Sales!CM$6,0)+IF(EOMONTH(DATE(YEAR(Sales!$CH$1),MONTH(Sales!$CH$1),1)+INT((DAY(Sales!$CH$1)-1)/2)+'Cash Drivers'!CJ$13,0)=EOMONTH($AU$1,0),Sales!CJ$6,0)+IF(EOMONTH(DATE(YEAR(Sales!$CE$1),MONTH(Sales!$CE$1),1)+INT((DAY(Sales!$CE$1)-1)/2)+'Cash Drivers'!CG$13,0)=EOMONTH($AU$1,0),Sales!CG$6,0)+IF(EOMONTH(DATE(YEAR(Sales!$CB$1),MONTH(Sales!$CB$1),1)+INT((DAY(Sales!$CB$1)-1)/2)+'Cash Drivers'!CD$13,0)=EOMONTH($AU$1,0),Sales!CD$6,0)+IF(EOMONTH(DATE(YEAR(Sales!$BY$1),MONTH(Sales!$BY$1),1)+INT((DAY(Sales!$BY$1)-1)/2)+'Cash Drivers'!CA$13,0)=EOMONTH($AU$1,0),Sales!CA$6,0)+IF(EOMONTH(DATE(YEAR(Sales!$BV$1),MONTH(Sales!$BV$1),1)+INT((DAY(Sales!$BV$1)-1)/2)+'Cash Drivers'!BX$13,0)=EOMONTH($AU$1,0),Sales!BX$6,0)+IF(EOMONTH(DATE(YEAR(Sales!$BS$1),MONTH(Sales!$BS$1),1)+INT((DAY(Sales!$BS$1)-1)/2)+'Cash Drivers'!BU$13,0)=EOMONTH($AU$1,0),Sales!BU$6,0)+IF(EOMONTH(DATE(YEAR(Sales!$BP$1),MONTH(Sales!$BP$1),1)+INT((DAY(Sales!$BP$1)-1)/2)+'Cash Drivers'!BR$13,0)=EOMONTH($AU$1,0),Sales!BR$6,0)+IF(EOMONTH(DATE(YEAR(Sales!$BM$1),MONTH(Sales!$BM$1),1)+INT((DAY(Sales!$BM$1)-1)/2)+'Cash Drivers'!BO$13,0)=EOMONTH($AU$1,0),Sales!BO$6,0)+IF(EOMONTH(DATE(YEAR(Sales!$BJ$1),MONTH(Sales!$BJ$1),1)+INT((DAY(Sales!$BJ$1)-1)/2)+'Cash Drivers'!BL$13,0)=EOMONTH($AU$1,0),Sales!BL$6,0)+IF(EOMONTH(DATE(YEAR(Sales!$BG$1),MONTH(Sales!$BG$1),1)+INT((DAY(Sales!$BG$1)-1)/2)+'Cash Drivers'!BI$13,0)=EOMONTH($AU$1,0),Sales!BI$6,0)+IF(EOMONTH(DATE(YEAR(Sales!$BD$1),MONTH(Sales!$BD$1),1)+INT((DAY(Sales!$BD$1)-1)/2)+'Cash Drivers'!BF$13,0)=EOMONTH($AU$1,0),Sales!BF$6,0)+IF(EOMONTH(DATE(YEAR(Sales!$BA$1),MONTH(Sales!$BA$1),1)+INT((DAY(Sales!$BA$1)-1)/2)+'Cash Drivers'!BC$13,0)=EOMONTH($AU$1,0),Sales!BC$6,0)+IF(EOMONTH(DATE(YEAR(Sales!$AX$1),MONTH(Sales!$AX$1),1)+INT((DAY(Sales!$AX$1)-1)/2)+'Cash Drivers'!AZ$13,0)=EOMONTH($AU$1,0),Sales!AZ$6,0)+IF(EOMONTH(DATE(YEAR(Sales!$AU$1),MONTH(Sales!$AU$1),1)+INT((DAY(Sales!$AU$1)-1)/2)+'Cash Drivers'!AW$13,0)=EOMONTH($AU$1,0),Sales!AW$6,0)+IF(EOMONTH(DATE(YEAR(Sales!$AR$1),MONTH(Sales!$AR$1),1)+INT((DAY(Sales!$AR$1)-1)/2)+'Cash Drivers'!AT$13,0)=EOMONTH($AU$1,0),Sales!AT$6,0)+IF(EOMONTH(DATE(YEAR(Sales!$AO$1),MONTH(Sales!$AO$1),1)+INT((DAY(Sales!$AO$1)-1)/2)+'Cash Drivers'!AQ$13,0)=EOMONTH($AU$1,0),Sales!AQ$6,0)+IF(EOMONTH(DATE(YEAR(Sales!$AL$1),MONTH(Sales!$AL$1),1)+INT((DAY(Sales!$AL$1)-1)/2)+'Cash Drivers'!AN$13,0)=EOMONTH($AU$1,0),Sales!AN$6,0)+IF(EOMONTH(DATE(YEAR(Sales!$AI$1),MONTH(Sales!$AI$1),1)+INT((DAY(Sales!$AI$1)-1)/2)+'Cash Drivers'!AK$13,0)=EOMONTH($AU$1,0),Sales!AK$6,0)+IF(EOMONTH(DATE(YEAR(Sales!$AF$1),MONTH(Sales!$AF$1),1)+INT((DAY(Sales!$AF$1)-1)/2)+'Cash Drivers'!AH$13,0)=EOMONTH($AU$1,0),Sales!AH$6,0)+IF(EOMONTH(DATE(YEAR(Sales!$AC$1),MONTH(Sales!$AC$1),1)+INT((DAY(Sales!$AC$1)-1)/2)+'Cash Drivers'!AE$13,0)=EOMONTH($AU$1,0),Sales!AE$6,0)+IF(EOMONTH(DATE(YEAR(Sales!$Z$1),MONTH(Sales!$Z$1),1)+INT((DAY(Sales!$Z$1)-1)/2)+'Cash Drivers'!AB$13,0)=EOMONTH($AU$1,0),Sales!AB$6,0)+IF(EOMONTH(DATE(YEAR(Sales!$W$1),MONTH(Sales!$W$1),1)+INT((DAY(Sales!$W$1)-1)/2)+'Cash Drivers'!Y$13,0)=EOMONTH($AU$1,0),Sales!Y$6,0)+IF(EOMONTH(DATE(YEAR(Sales!$T$1),MONTH(Sales!$T$1),1)+INT((DAY(Sales!$T$1)-1)/2)+'Cash Drivers'!V$13,0)=EOMONTH($AU$1,0),Sales!V$6,0)+IF(EOMONTH(DATE(YEAR(Sales!$Q$1),MONTH(Sales!$Q$1),1)+INT((DAY(Sales!$Q$1)-1)/2)+'Cash Drivers'!S$13,0)=EOMONTH($AU$1,0),Sales!S$6,0)+IF(EOMONTH(DATE(YEAR(Sales!$N$1),MONTH(Sales!$N$1),1)+INT((DAY(Sales!$N$1)-1)/2)+'Cash Drivers'!P$13,0)=EOMONTH($AU$1,0),Sales!P$6,0)+IF(EOMONTH(DATE(YEAR(Sales!$K$1),MONTH(Sales!$K$1),1)+INT((DAY(Sales!$K$1)-1)/2)+'Cash Drivers'!M$13,0)=EOMONTH($AU$1,0),Sales!M$6,0)+IF(EOMONTH('Cash Drivers'!$DL$30+'Cash Drivers'!DN$13,0)=EOMONTH($AU$1,0),'Cash Drivers'!$DL$32,0),0)</f>
        <v>28</v>
      </c>
      <c r="AX18" s="44" t="n">
        <f aca="false">ROUND(IF(EOMONTH(DATE(YEAR(Sales!$DL$1),MONTH(Sales!$DL$1),1)+INT((DAY(Sales!$DL$1)-1)/2)+'Cash Drivers'!DL$13,0)=EOMONTH($AX$1,0),Sales!DL$6,0)+IF(EOMONTH(DATE(YEAR(Sales!$DI$1),MONTH(Sales!$DI$1),1)+INT((DAY(Sales!$DI$1)-1)/2)+'Cash Drivers'!DI$13,0)=EOMONTH($AX$1,0),Sales!DI$6,0)+IF(EOMONTH(DATE(YEAR(Sales!$DF$1),MONTH(Sales!$DF$1),1)+INT((DAY(Sales!$DF$1)-1)/2)+'Cash Drivers'!DF$13,0)=EOMONTH($AX$1,0),Sales!DF$6,0)+IF(EOMONTH(DATE(YEAR(Sales!$DC$1),MONTH(Sales!$DC$1),1)+INT((DAY(Sales!$DC$1)-1)/2)+'Cash Drivers'!DC$13,0)=EOMONTH($AX$1,0),Sales!DC$6,0)+IF(EOMONTH(DATE(YEAR(Sales!$CZ$1),MONTH(Sales!$CZ$1),1)+INT((DAY(Sales!$CZ$1)-1)/2)+'Cash Drivers'!CZ$13,0)=EOMONTH($AX$1,0),Sales!CZ$6,0)+IF(EOMONTH(DATE(YEAR(Sales!$CW$1),MONTH(Sales!$CW$1),1)+INT((DAY(Sales!$CW$1)-1)/2)+'Cash Drivers'!CW$13,0)=EOMONTH($AX$1,0),Sales!CW$6,0)+IF(EOMONTH(DATE(YEAR(Sales!$CT$1),MONTH(Sales!$CT$1),1)+INT((DAY(Sales!$CT$1)-1)/2)+'Cash Drivers'!CT$13,0)=EOMONTH($AX$1,0),Sales!CT$6,0)+IF(EOMONTH(DATE(YEAR(Sales!$CQ$1),MONTH(Sales!$CQ$1),1)+INT((DAY(Sales!$CQ$1)-1)/2)+'Cash Drivers'!CQ$13,0)=EOMONTH($AX$1,0),Sales!CQ$6,0)+IF(EOMONTH(DATE(YEAR(Sales!$CN$1),MONTH(Sales!$CN$1),1)+INT((DAY(Sales!$CN$1)-1)/2)+'Cash Drivers'!CN$13,0)=EOMONTH($AX$1,0),Sales!CN$6,0)+IF(EOMONTH(DATE(YEAR(Sales!$CK$1),MONTH(Sales!$CK$1),1)+INT((DAY(Sales!$CK$1)-1)/2)+'Cash Drivers'!CK$13,0)=EOMONTH($AX$1,0),Sales!CK$6,0)+IF(EOMONTH(DATE(YEAR(Sales!$CH$1),MONTH(Sales!$CH$1),1)+INT((DAY(Sales!$CH$1)-1)/2)+'Cash Drivers'!CH$13,0)=EOMONTH($AX$1,0),Sales!CH$6,0)+IF(EOMONTH(DATE(YEAR(Sales!$CE$1),MONTH(Sales!$CE$1),1)+INT((DAY(Sales!$CE$1)-1)/2)+'Cash Drivers'!CE$13,0)=EOMONTH($AX$1,0),Sales!CE$6,0)+IF(EOMONTH(DATE(YEAR(Sales!$CB$1),MONTH(Sales!$CB$1),1)+INT((DAY(Sales!$CB$1)-1)/2)+'Cash Drivers'!CB$13,0)=EOMONTH($AX$1,0),Sales!CB$6,0)+IF(EOMONTH(DATE(YEAR(Sales!$BY$1),MONTH(Sales!$BY$1),1)+INT((DAY(Sales!$BY$1)-1)/2)+'Cash Drivers'!BY$13,0)=EOMONTH($AX$1,0),Sales!BY$6,0)+IF(EOMONTH(DATE(YEAR(Sales!$BV$1),MONTH(Sales!$BV$1),1)+INT((DAY(Sales!$BV$1)-1)/2)+'Cash Drivers'!BV$13,0)=EOMONTH($AX$1,0),Sales!BV$6,0)+IF(EOMONTH(DATE(YEAR(Sales!$BS$1),MONTH(Sales!$BS$1),1)+INT((DAY(Sales!$BS$1)-1)/2)+'Cash Drivers'!BS$13,0)=EOMONTH($AX$1,0),Sales!BS$6,0)+IF(EOMONTH(DATE(YEAR(Sales!$BP$1),MONTH(Sales!$BP$1),1)+INT((DAY(Sales!$BP$1)-1)/2)+'Cash Drivers'!BP$13,0)=EOMONTH($AX$1,0),Sales!BP$6,0)+IF(EOMONTH(DATE(YEAR(Sales!$BM$1),MONTH(Sales!$BM$1),1)+INT((DAY(Sales!$BM$1)-1)/2)+'Cash Drivers'!BM$13,0)=EOMONTH($AX$1,0),Sales!BM$6,0)+IF(EOMONTH(DATE(YEAR(Sales!$BJ$1),MONTH(Sales!$BJ$1),1)+INT((DAY(Sales!$BJ$1)-1)/2)+'Cash Drivers'!BJ$13,0)=EOMONTH($AX$1,0),Sales!BJ$6,0)+IF(EOMONTH(DATE(YEAR(Sales!$BG$1),MONTH(Sales!$BG$1),1)+INT((DAY(Sales!$BG$1)-1)/2)+'Cash Drivers'!BG$13,0)=EOMONTH($AX$1,0),Sales!BG$6,0)+IF(EOMONTH(DATE(YEAR(Sales!$BD$1),MONTH(Sales!$BD$1),1)+INT((DAY(Sales!$BD$1)-1)/2)+'Cash Drivers'!BD$13,0)=EOMONTH($AX$1,0),Sales!BD$6,0)+IF(EOMONTH(DATE(YEAR(Sales!$BA$1),MONTH(Sales!$BA$1),1)+INT((DAY(Sales!$BA$1)-1)/2)+'Cash Drivers'!BA$13,0)=EOMONTH($AX$1,0),Sales!BA$6,0)+IF(EOMONTH(DATE(YEAR(Sales!$AX$1),MONTH(Sales!$AX$1),1)+INT((DAY(Sales!$AX$1)-1)/2)+'Cash Drivers'!AX$13,0)=EOMONTH($AX$1,0),Sales!AX$6,0)+IF(EOMONTH(DATE(YEAR(Sales!$AU$1),MONTH(Sales!$AU$1),1)+INT((DAY(Sales!$AU$1)-1)/2)+'Cash Drivers'!AU$13,0)=EOMONTH($AX$1,0),Sales!AU$6,0)+IF(EOMONTH(DATE(YEAR(Sales!$AR$1),MONTH(Sales!$AR$1),1)+INT((DAY(Sales!$AR$1)-1)/2)+'Cash Drivers'!AR$13,0)=EOMONTH($AX$1,0),Sales!AR$6,0)+IF(EOMONTH(DATE(YEAR(Sales!$AO$1),MONTH(Sales!$AO$1),1)+INT((DAY(Sales!$AO$1)-1)/2)+'Cash Drivers'!AO$13,0)=EOMONTH($AX$1,0),Sales!AO$6,0)+IF(EOMONTH(DATE(YEAR(Sales!$AL$1),MONTH(Sales!$AL$1),1)+INT((DAY(Sales!$AL$1)-1)/2)+'Cash Drivers'!AL$13,0)=EOMONTH($AX$1,0),Sales!AL$6,0)+IF(EOMONTH(DATE(YEAR(Sales!$AI$1),MONTH(Sales!$AI$1),1)+INT((DAY(Sales!$AI$1)-1)/2)+'Cash Drivers'!AI$13,0)=EOMONTH($AX$1,0),Sales!AI$6,0)+IF(EOMONTH(DATE(YEAR(Sales!$AF$1),MONTH(Sales!$AF$1),1)+INT((DAY(Sales!$AF$1)-1)/2)+'Cash Drivers'!AF$13,0)=EOMONTH($AX$1,0),Sales!AF$6,0)+IF(EOMONTH(DATE(YEAR(Sales!$AC$1),MONTH(Sales!$AC$1),1)+INT((DAY(Sales!$AC$1)-1)/2)+'Cash Drivers'!AC$13,0)=EOMONTH($AX$1,0),Sales!AC$6,0)+IF(EOMONTH(DATE(YEAR(Sales!$Z$1),MONTH(Sales!$Z$1),1)+INT((DAY(Sales!$Z$1)-1)/2)+'Cash Drivers'!Z$13,0)=EOMONTH($AX$1,0),Sales!Z$6,0)+IF(EOMONTH(DATE(YEAR(Sales!$W$1),MONTH(Sales!$W$1),1)+INT((DAY(Sales!$W$1)-1)/2)+'Cash Drivers'!W$13,0)=EOMONTH($AX$1,0),Sales!W$6,0)+IF(EOMONTH(DATE(YEAR(Sales!$T$1),MONTH(Sales!$T$1),1)+INT((DAY(Sales!$T$1)-1)/2)+'Cash Drivers'!T$13,0)=EOMONTH($AX$1,0),Sales!T$6,0)+IF(EOMONTH(DATE(YEAR(Sales!$Q$1),MONTH(Sales!$Q$1),1)+INT((DAY(Sales!$Q$1)-1)/2)+'Cash Drivers'!Q$13,0)=EOMONTH($AX$1,0),Sales!Q$6,0)+IF(EOMONTH(DATE(YEAR(Sales!$N$1),MONTH(Sales!$N$1),1)+INT((DAY(Sales!$N$1)-1)/2)+'Cash Drivers'!N$13,0)=EOMONTH($AX$1,0),Sales!N$6,0)+IF(EOMONTH(DATE(YEAR(Sales!$K$1),MONTH(Sales!$K$1),1)+INT((DAY(Sales!$K$1)-1)/2)+'Cash Drivers'!K$13,0)=EOMONTH($AX$1,0),Sales!K$6,0)+IF(EOMONTH('Cash Drivers'!$DL$30+'Cash Drivers'!DL$13,0)=EOMONTH($AX$1,0),'Cash Drivers'!$DL$32,0),0)</f>
        <v>0</v>
      </c>
      <c r="AY18" s="45" t="n">
        <f aca="false">ROUND(IF(EOMONTH(DATE(YEAR(Sales!$DL$1),MONTH(Sales!$DL$1),1)+INT((DAY(Sales!$DL$1)-1)/2)+'Cash Drivers'!DM$13,0)=EOMONTH($AX$1,0),Sales!DM$6,0)+IF(EOMONTH(DATE(YEAR(Sales!$DI$1),MONTH(Sales!$DI$1),1)+INT((DAY(Sales!$DI$1)-1)/2)+'Cash Drivers'!DJ$13,0)=EOMONTH($AX$1,0),Sales!DJ$6,0)+IF(EOMONTH(DATE(YEAR(Sales!$DF$1),MONTH(Sales!$DF$1),1)+INT((DAY(Sales!$DF$1)-1)/2)+'Cash Drivers'!DG$13,0)=EOMONTH($AX$1,0),Sales!DG$6,0)+IF(EOMONTH(DATE(YEAR(Sales!$DC$1),MONTH(Sales!$DC$1),1)+INT((DAY(Sales!$DC$1)-1)/2)+'Cash Drivers'!DD$13,0)=EOMONTH($AX$1,0),Sales!DD$6,0)+IF(EOMONTH(DATE(YEAR(Sales!$CZ$1),MONTH(Sales!$CZ$1),1)+INT((DAY(Sales!$CZ$1)-1)/2)+'Cash Drivers'!DA$13,0)=EOMONTH($AX$1,0),Sales!DA$6,0)+IF(EOMONTH(DATE(YEAR(Sales!$CW$1),MONTH(Sales!$CW$1),1)+INT((DAY(Sales!$CW$1)-1)/2)+'Cash Drivers'!CX$13,0)=EOMONTH($AX$1,0),Sales!CX$6,0)+IF(EOMONTH(DATE(YEAR(Sales!$CT$1),MONTH(Sales!$CT$1),1)+INT((DAY(Sales!$CT$1)-1)/2)+'Cash Drivers'!CU$13,0)=EOMONTH($AX$1,0),Sales!CU$6,0)+IF(EOMONTH(DATE(YEAR(Sales!$CQ$1),MONTH(Sales!$CQ$1),1)+INT((DAY(Sales!$CQ$1)-1)/2)+'Cash Drivers'!CR$13,0)=EOMONTH($AX$1,0),Sales!CR$6,0)+IF(EOMONTH(DATE(YEAR(Sales!$CN$1),MONTH(Sales!$CN$1),1)+INT((DAY(Sales!$CN$1)-1)/2)+'Cash Drivers'!CO$13,0)=EOMONTH($AX$1,0),Sales!CO$6,0)+IF(EOMONTH(DATE(YEAR(Sales!$CK$1),MONTH(Sales!$CK$1),1)+INT((DAY(Sales!$CK$1)-1)/2)+'Cash Drivers'!CL$13,0)=EOMONTH($AX$1,0),Sales!CL$6,0)+IF(EOMONTH(DATE(YEAR(Sales!$CH$1),MONTH(Sales!$CH$1),1)+INT((DAY(Sales!$CH$1)-1)/2)+'Cash Drivers'!CI$13,0)=EOMONTH($AX$1,0),Sales!CI$6,0)+IF(EOMONTH(DATE(YEAR(Sales!$CE$1),MONTH(Sales!$CE$1),1)+INT((DAY(Sales!$CE$1)-1)/2)+'Cash Drivers'!CF$13,0)=EOMONTH($AX$1,0),Sales!CF$6,0)+IF(EOMONTH(DATE(YEAR(Sales!$CB$1),MONTH(Sales!$CB$1),1)+INT((DAY(Sales!$CB$1)-1)/2)+'Cash Drivers'!CC$13,0)=EOMONTH($AX$1,0),Sales!CC$6,0)+IF(EOMONTH(DATE(YEAR(Sales!$BY$1),MONTH(Sales!$BY$1),1)+INT((DAY(Sales!$BY$1)-1)/2)+'Cash Drivers'!BZ$13,0)=EOMONTH($AX$1,0),Sales!BZ$6,0)+IF(EOMONTH(DATE(YEAR(Sales!$BV$1),MONTH(Sales!$BV$1),1)+INT((DAY(Sales!$BV$1)-1)/2)+'Cash Drivers'!BW$13,0)=EOMONTH($AX$1,0),Sales!BW$6,0)+IF(EOMONTH(DATE(YEAR(Sales!$BS$1),MONTH(Sales!$BS$1),1)+INT((DAY(Sales!$BS$1)-1)/2)+'Cash Drivers'!BT$13,0)=EOMONTH($AX$1,0),Sales!BT$6,0)+IF(EOMONTH(DATE(YEAR(Sales!$BP$1),MONTH(Sales!$BP$1),1)+INT((DAY(Sales!$BP$1)-1)/2)+'Cash Drivers'!BQ$13,0)=EOMONTH($AX$1,0),Sales!BQ$6,0)+IF(EOMONTH(DATE(YEAR(Sales!$BM$1),MONTH(Sales!$BM$1),1)+INT((DAY(Sales!$BM$1)-1)/2)+'Cash Drivers'!BN$13,0)=EOMONTH($AX$1,0),Sales!BN$6,0)+IF(EOMONTH(DATE(YEAR(Sales!$BJ$1),MONTH(Sales!$BJ$1),1)+INT((DAY(Sales!$BJ$1)-1)/2)+'Cash Drivers'!BK$13,0)=EOMONTH($AX$1,0),Sales!BK$6,0)+IF(EOMONTH(DATE(YEAR(Sales!$BG$1),MONTH(Sales!$BG$1),1)+INT((DAY(Sales!$BG$1)-1)/2)+'Cash Drivers'!BH$13,0)=EOMONTH($AX$1,0),Sales!BH$6,0)+IF(EOMONTH(DATE(YEAR(Sales!$BD$1),MONTH(Sales!$BD$1),1)+INT((DAY(Sales!$BD$1)-1)/2)+'Cash Drivers'!BE$13,0)=EOMONTH($AX$1,0),Sales!BE$6,0)+IF(EOMONTH(DATE(YEAR(Sales!$BA$1),MONTH(Sales!$BA$1),1)+INT((DAY(Sales!$BA$1)-1)/2)+'Cash Drivers'!BB$13,0)=EOMONTH($AX$1,0),Sales!BB$6,0)+IF(EOMONTH(DATE(YEAR(Sales!$AX$1),MONTH(Sales!$AX$1),1)+INT((DAY(Sales!$AX$1)-1)/2)+'Cash Drivers'!AY$13,0)=EOMONTH($AX$1,0),Sales!AY$6,0)+IF(EOMONTH(DATE(YEAR(Sales!$AU$1),MONTH(Sales!$AU$1),1)+INT((DAY(Sales!$AU$1)-1)/2)+'Cash Drivers'!AV$13,0)=EOMONTH($AX$1,0),Sales!AV$6,0)+IF(EOMONTH(DATE(YEAR(Sales!$AR$1),MONTH(Sales!$AR$1),1)+INT((DAY(Sales!$AR$1)-1)/2)+'Cash Drivers'!AS$13,0)=EOMONTH($AX$1,0),Sales!AS$6,0)+IF(EOMONTH(DATE(YEAR(Sales!$AO$1),MONTH(Sales!$AO$1),1)+INT((DAY(Sales!$AO$1)-1)/2)+'Cash Drivers'!AP$13,0)=EOMONTH($AX$1,0),Sales!AP$6,0)+IF(EOMONTH(DATE(YEAR(Sales!$AL$1),MONTH(Sales!$AL$1),1)+INT((DAY(Sales!$AL$1)-1)/2)+'Cash Drivers'!AM$13,0)=EOMONTH($AX$1,0),Sales!AM$6,0)+IF(EOMONTH(DATE(YEAR(Sales!$AI$1),MONTH(Sales!$AI$1),1)+INT((DAY(Sales!$AI$1)-1)/2)+'Cash Drivers'!AJ$13,0)=EOMONTH($AX$1,0),Sales!AJ$6,0)+IF(EOMONTH(DATE(YEAR(Sales!$AF$1),MONTH(Sales!$AF$1),1)+INT((DAY(Sales!$AF$1)-1)/2)+'Cash Drivers'!AG$13,0)=EOMONTH($AX$1,0),Sales!AG$6,0)+IF(EOMONTH(DATE(YEAR(Sales!$AC$1),MONTH(Sales!$AC$1),1)+INT((DAY(Sales!$AC$1)-1)/2)+'Cash Drivers'!AD$13,0)=EOMONTH($AX$1,0),Sales!AD$6,0)+IF(EOMONTH(DATE(YEAR(Sales!$Z$1),MONTH(Sales!$Z$1),1)+INT((DAY(Sales!$Z$1)-1)/2)+'Cash Drivers'!AA$13,0)=EOMONTH($AX$1,0),Sales!AA$6,0)+IF(EOMONTH(DATE(YEAR(Sales!$W$1),MONTH(Sales!$W$1),1)+INT((DAY(Sales!$W$1)-1)/2)+'Cash Drivers'!X$13,0)=EOMONTH($AX$1,0),Sales!X$6,0)+IF(EOMONTH(DATE(YEAR(Sales!$T$1),MONTH(Sales!$T$1),1)+INT((DAY(Sales!$T$1)-1)/2)+'Cash Drivers'!U$13,0)=EOMONTH($AX$1,0),Sales!U$6,0)+IF(EOMONTH(DATE(YEAR(Sales!$Q$1),MONTH(Sales!$Q$1),1)+INT((DAY(Sales!$Q$1)-1)/2)+'Cash Drivers'!R$13,0)=EOMONTH($AX$1,0),Sales!R$6,0)+IF(EOMONTH(DATE(YEAR(Sales!$N$1),MONTH(Sales!$N$1),1)+INT((DAY(Sales!$N$1)-1)/2)+'Cash Drivers'!O$13,0)=EOMONTH($AX$1,0),Sales!O$6,0)+IF(EOMONTH(DATE(YEAR(Sales!$K$1),MONTH(Sales!$K$1),1)+INT((DAY(Sales!$K$1)-1)/2)+'Cash Drivers'!L$13,0)=EOMONTH($AX$1,0),Sales!L$6,0)+IF(EOMONTH('Cash Drivers'!$DL$30+'Cash Drivers'!DM$13,0)=EOMONTH($AX$1,0),'Cash Drivers'!$DL$32,0),0)</f>
        <v>28</v>
      </c>
      <c r="AZ18" s="46" t="n">
        <f aca="false">ROUND(IF(EOMONTH(DATE(YEAR(Sales!$DL$1),MONTH(Sales!$DL$1),1)+INT((DAY(Sales!$DL$1)-1)/2)+'Cash Drivers'!DN$13,0)=EOMONTH($AX$1,0),Sales!DN$6,0)+IF(EOMONTH(DATE(YEAR(Sales!$DI$1),MONTH(Sales!$DI$1),1)+INT((DAY(Sales!$DI$1)-1)/2)+'Cash Drivers'!DK$13,0)=EOMONTH($AX$1,0),Sales!DK$6,0)+IF(EOMONTH(DATE(YEAR(Sales!$DF$1),MONTH(Sales!$DF$1),1)+INT((DAY(Sales!$DF$1)-1)/2)+'Cash Drivers'!DH$13,0)=EOMONTH($AX$1,0),Sales!DH$6,0)+IF(EOMONTH(DATE(YEAR(Sales!$DC$1),MONTH(Sales!$DC$1),1)+INT((DAY(Sales!$DC$1)-1)/2)+'Cash Drivers'!DE$13,0)=EOMONTH($AX$1,0),Sales!DE$6,0)+IF(EOMONTH(DATE(YEAR(Sales!$CZ$1),MONTH(Sales!$CZ$1),1)+INT((DAY(Sales!$CZ$1)-1)/2)+'Cash Drivers'!DB$13,0)=EOMONTH($AX$1,0),Sales!DB$6,0)+IF(EOMONTH(DATE(YEAR(Sales!$CW$1),MONTH(Sales!$CW$1),1)+INT((DAY(Sales!$CW$1)-1)/2)+'Cash Drivers'!CY$13,0)=EOMONTH($AX$1,0),Sales!CY$6,0)+IF(EOMONTH(DATE(YEAR(Sales!$CT$1),MONTH(Sales!$CT$1),1)+INT((DAY(Sales!$CT$1)-1)/2)+'Cash Drivers'!CV$13,0)=EOMONTH($AX$1,0),Sales!CV$6,0)+IF(EOMONTH(DATE(YEAR(Sales!$CQ$1),MONTH(Sales!$CQ$1),1)+INT((DAY(Sales!$CQ$1)-1)/2)+'Cash Drivers'!CS$13,0)=EOMONTH($AX$1,0),Sales!CS$6,0)+IF(EOMONTH(DATE(YEAR(Sales!$CN$1),MONTH(Sales!$CN$1),1)+INT((DAY(Sales!$CN$1)-1)/2)+'Cash Drivers'!CP$13,0)=EOMONTH($AX$1,0),Sales!CP$6,0)+IF(EOMONTH(DATE(YEAR(Sales!$CK$1),MONTH(Sales!$CK$1),1)+INT((DAY(Sales!$CK$1)-1)/2)+'Cash Drivers'!CM$13,0)=EOMONTH($AX$1,0),Sales!CM$6,0)+IF(EOMONTH(DATE(YEAR(Sales!$CH$1),MONTH(Sales!$CH$1),1)+INT((DAY(Sales!$CH$1)-1)/2)+'Cash Drivers'!CJ$13,0)=EOMONTH($AX$1,0),Sales!CJ$6,0)+IF(EOMONTH(DATE(YEAR(Sales!$CE$1),MONTH(Sales!$CE$1),1)+INT((DAY(Sales!$CE$1)-1)/2)+'Cash Drivers'!CG$13,0)=EOMONTH($AX$1,0),Sales!CG$6,0)+IF(EOMONTH(DATE(YEAR(Sales!$CB$1),MONTH(Sales!$CB$1),1)+INT((DAY(Sales!$CB$1)-1)/2)+'Cash Drivers'!CD$13,0)=EOMONTH($AX$1,0),Sales!CD$6,0)+IF(EOMONTH(DATE(YEAR(Sales!$BY$1),MONTH(Sales!$BY$1),1)+INT((DAY(Sales!$BY$1)-1)/2)+'Cash Drivers'!CA$13,0)=EOMONTH($AX$1,0),Sales!CA$6,0)+IF(EOMONTH(DATE(YEAR(Sales!$BV$1),MONTH(Sales!$BV$1),1)+INT((DAY(Sales!$BV$1)-1)/2)+'Cash Drivers'!BX$13,0)=EOMONTH($AX$1,0),Sales!BX$6,0)+IF(EOMONTH(DATE(YEAR(Sales!$BS$1),MONTH(Sales!$BS$1),1)+INT((DAY(Sales!$BS$1)-1)/2)+'Cash Drivers'!BU$13,0)=EOMONTH($AX$1,0),Sales!BU$6,0)+IF(EOMONTH(DATE(YEAR(Sales!$BP$1),MONTH(Sales!$BP$1),1)+INT((DAY(Sales!$BP$1)-1)/2)+'Cash Drivers'!BR$13,0)=EOMONTH($AX$1,0),Sales!BR$6,0)+IF(EOMONTH(DATE(YEAR(Sales!$BM$1),MONTH(Sales!$BM$1),1)+INT((DAY(Sales!$BM$1)-1)/2)+'Cash Drivers'!BO$13,0)=EOMONTH($AX$1,0),Sales!BO$6,0)+IF(EOMONTH(DATE(YEAR(Sales!$BJ$1),MONTH(Sales!$BJ$1),1)+INT((DAY(Sales!$BJ$1)-1)/2)+'Cash Drivers'!BL$13,0)=EOMONTH($AX$1,0),Sales!BL$6,0)+IF(EOMONTH(DATE(YEAR(Sales!$BG$1),MONTH(Sales!$BG$1),1)+INT((DAY(Sales!$BG$1)-1)/2)+'Cash Drivers'!BI$13,0)=EOMONTH($AX$1,0),Sales!BI$6,0)+IF(EOMONTH(DATE(YEAR(Sales!$BD$1),MONTH(Sales!$BD$1),1)+INT((DAY(Sales!$BD$1)-1)/2)+'Cash Drivers'!BF$13,0)=EOMONTH($AX$1,0),Sales!BF$6,0)+IF(EOMONTH(DATE(YEAR(Sales!$BA$1),MONTH(Sales!$BA$1),1)+INT((DAY(Sales!$BA$1)-1)/2)+'Cash Drivers'!BC$13,0)=EOMONTH($AX$1,0),Sales!BC$6,0)+IF(EOMONTH(DATE(YEAR(Sales!$AX$1),MONTH(Sales!$AX$1),1)+INT((DAY(Sales!$AX$1)-1)/2)+'Cash Drivers'!AZ$13,0)=EOMONTH($AX$1,0),Sales!AZ$6,0)+IF(EOMONTH(DATE(YEAR(Sales!$AU$1),MONTH(Sales!$AU$1),1)+INT((DAY(Sales!$AU$1)-1)/2)+'Cash Drivers'!AW$13,0)=EOMONTH($AX$1,0),Sales!AW$6,0)+IF(EOMONTH(DATE(YEAR(Sales!$AR$1),MONTH(Sales!$AR$1),1)+INT((DAY(Sales!$AR$1)-1)/2)+'Cash Drivers'!AT$13,0)=EOMONTH($AX$1,0),Sales!AT$6,0)+IF(EOMONTH(DATE(YEAR(Sales!$AO$1),MONTH(Sales!$AO$1),1)+INT((DAY(Sales!$AO$1)-1)/2)+'Cash Drivers'!AQ$13,0)=EOMONTH($AX$1,0),Sales!AQ$6,0)+IF(EOMONTH(DATE(YEAR(Sales!$AL$1),MONTH(Sales!$AL$1),1)+INT((DAY(Sales!$AL$1)-1)/2)+'Cash Drivers'!AN$13,0)=EOMONTH($AX$1,0),Sales!AN$6,0)+IF(EOMONTH(DATE(YEAR(Sales!$AI$1),MONTH(Sales!$AI$1),1)+INT((DAY(Sales!$AI$1)-1)/2)+'Cash Drivers'!AK$13,0)=EOMONTH($AX$1,0),Sales!AK$6,0)+IF(EOMONTH(DATE(YEAR(Sales!$AF$1),MONTH(Sales!$AF$1),1)+INT((DAY(Sales!$AF$1)-1)/2)+'Cash Drivers'!AH$13,0)=EOMONTH($AX$1,0),Sales!AH$6,0)+IF(EOMONTH(DATE(YEAR(Sales!$AC$1),MONTH(Sales!$AC$1),1)+INT((DAY(Sales!$AC$1)-1)/2)+'Cash Drivers'!AE$13,0)=EOMONTH($AX$1,0),Sales!AE$6,0)+IF(EOMONTH(DATE(YEAR(Sales!$Z$1),MONTH(Sales!$Z$1),1)+INT((DAY(Sales!$Z$1)-1)/2)+'Cash Drivers'!AB$13,0)=EOMONTH($AX$1,0),Sales!AB$6,0)+IF(EOMONTH(DATE(YEAR(Sales!$W$1),MONTH(Sales!$W$1),1)+INT((DAY(Sales!$W$1)-1)/2)+'Cash Drivers'!Y$13,0)=EOMONTH($AX$1,0),Sales!Y$6,0)+IF(EOMONTH(DATE(YEAR(Sales!$T$1),MONTH(Sales!$T$1),1)+INT((DAY(Sales!$T$1)-1)/2)+'Cash Drivers'!V$13,0)=EOMONTH($AX$1,0),Sales!V$6,0)+IF(EOMONTH(DATE(YEAR(Sales!$Q$1),MONTH(Sales!$Q$1),1)+INT((DAY(Sales!$Q$1)-1)/2)+'Cash Drivers'!S$13,0)=EOMONTH($AX$1,0),Sales!S$6,0)+IF(EOMONTH(DATE(YEAR(Sales!$N$1),MONTH(Sales!$N$1),1)+INT((DAY(Sales!$N$1)-1)/2)+'Cash Drivers'!P$13,0)=EOMONTH($AX$1,0),Sales!P$6,0)+IF(EOMONTH(DATE(YEAR(Sales!$K$1),MONTH(Sales!$K$1),1)+INT((DAY(Sales!$K$1)-1)/2)+'Cash Drivers'!M$13,0)=EOMONTH($AX$1,0),Sales!M$6,0)+IF(EOMONTH('Cash Drivers'!$DL$30+'Cash Drivers'!DN$13,0)=EOMONTH($AX$1,0),'Cash Drivers'!$DL$32,0),0)</f>
        <v>28</v>
      </c>
      <c r="BA18" s="44" t="n">
        <f aca="false">ROUND(IF(EOMONTH(DATE(YEAR(Sales!$DL$1),MONTH(Sales!$DL$1),1)+INT((DAY(Sales!$DL$1)-1)/2)+'Cash Drivers'!DL$13,0)=EOMONTH($BA$1,0),Sales!DL$6,0)+IF(EOMONTH(DATE(YEAR(Sales!$DI$1),MONTH(Sales!$DI$1),1)+INT((DAY(Sales!$DI$1)-1)/2)+'Cash Drivers'!DI$13,0)=EOMONTH($BA$1,0),Sales!DI$6,0)+IF(EOMONTH(DATE(YEAR(Sales!$DF$1),MONTH(Sales!$DF$1),1)+INT((DAY(Sales!$DF$1)-1)/2)+'Cash Drivers'!DF$13,0)=EOMONTH($BA$1,0),Sales!DF$6,0)+IF(EOMONTH(DATE(YEAR(Sales!$DC$1),MONTH(Sales!$DC$1),1)+INT((DAY(Sales!$DC$1)-1)/2)+'Cash Drivers'!DC$13,0)=EOMONTH($BA$1,0),Sales!DC$6,0)+IF(EOMONTH(DATE(YEAR(Sales!$CZ$1),MONTH(Sales!$CZ$1),1)+INT((DAY(Sales!$CZ$1)-1)/2)+'Cash Drivers'!CZ$13,0)=EOMONTH($BA$1,0),Sales!CZ$6,0)+IF(EOMONTH(DATE(YEAR(Sales!$CW$1),MONTH(Sales!$CW$1),1)+INT((DAY(Sales!$CW$1)-1)/2)+'Cash Drivers'!CW$13,0)=EOMONTH($BA$1,0),Sales!CW$6,0)+IF(EOMONTH(DATE(YEAR(Sales!$CT$1),MONTH(Sales!$CT$1),1)+INT((DAY(Sales!$CT$1)-1)/2)+'Cash Drivers'!CT$13,0)=EOMONTH($BA$1,0),Sales!CT$6,0)+IF(EOMONTH(DATE(YEAR(Sales!$CQ$1),MONTH(Sales!$CQ$1),1)+INT((DAY(Sales!$CQ$1)-1)/2)+'Cash Drivers'!CQ$13,0)=EOMONTH($BA$1,0),Sales!CQ$6,0)+IF(EOMONTH(DATE(YEAR(Sales!$CN$1),MONTH(Sales!$CN$1),1)+INT((DAY(Sales!$CN$1)-1)/2)+'Cash Drivers'!CN$13,0)=EOMONTH($BA$1,0),Sales!CN$6,0)+IF(EOMONTH(DATE(YEAR(Sales!$CK$1),MONTH(Sales!$CK$1),1)+INT((DAY(Sales!$CK$1)-1)/2)+'Cash Drivers'!CK$13,0)=EOMONTH($BA$1,0),Sales!CK$6,0)+IF(EOMONTH(DATE(YEAR(Sales!$CH$1),MONTH(Sales!$CH$1),1)+INT((DAY(Sales!$CH$1)-1)/2)+'Cash Drivers'!CH$13,0)=EOMONTH($BA$1,0),Sales!CH$6,0)+IF(EOMONTH(DATE(YEAR(Sales!$CE$1),MONTH(Sales!$CE$1),1)+INT((DAY(Sales!$CE$1)-1)/2)+'Cash Drivers'!CE$13,0)=EOMONTH($BA$1,0),Sales!CE$6,0)+IF(EOMONTH(DATE(YEAR(Sales!$CB$1),MONTH(Sales!$CB$1),1)+INT((DAY(Sales!$CB$1)-1)/2)+'Cash Drivers'!CB$13,0)=EOMONTH($BA$1,0),Sales!CB$6,0)+IF(EOMONTH(DATE(YEAR(Sales!$BY$1),MONTH(Sales!$BY$1),1)+INT((DAY(Sales!$BY$1)-1)/2)+'Cash Drivers'!BY$13,0)=EOMONTH($BA$1,0),Sales!BY$6,0)+IF(EOMONTH(DATE(YEAR(Sales!$BV$1),MONTH(Sales!$BV$1),1)+INT((DAY(Sales!$BV$1)-1)/2)+'Cash Drivers'!BV$13,0)=EOMONTH($BA$1,0),Sales!BV$6,0)+IF(EOMONTH(DATE(YEAR(Sales!$BS$1),MONTH(Sales!$BS$1),1)+INT((DAY(Sales!$BS$1)-1)/2)+'Cash Drivers'!BS$13,0)=EOMONTH($BA$1,0),Sales!BS$6,0)+IF(EOMONTH(DATE(YEAR(Sales!$BP$1),MONTH(Sales!$BP$1),1)+INT((DAY(Sales!$BP$1)-1)/2)+'Cash Drivers'!BP$13,0)=EOMONTH($BA$1,0),Sales!BP$6,0)+IF(EOMONTH(DATE(YEAR(Sales!$BM$1),MONTH(Sales!$BM$1),1)+INT((DAY(Sales!$BM$1)-1)/2)+'Cash Drivers'!BM$13,0)=EOMONTH($BA$1,0),Sales!BM$6,0)+IF(EOMONTH(DATE(YEAR(Sales!$BJ$1),MONTH(Sales!$BJ$1),1)+INT((DAY(Sales!$BJ$1)-1)/2)+'Cash Drivers'!BJ$13,0)=EOMONTH($BA$1,0),Sales!BJ$6,0)+IF(EOMONTH(DATE(YEAR(Sales!$BG$1),MONTH(Sales!$BG$1),1)+INT((DAY(Sales!$BG$1)-1)/2)+'Cash Drivers'!BG$13,0)=EOMONTH($BA$1,0),Sales!BG$6,0)+IF(EOMONTH(DATE(YEAR(Sales!$BD$1),MONTH(Sales!$BD$1),1)+INT((DAY(Sales!$BD$1)-1)/2)+'Cash Drivers'!BD$13,0)=EOMONTH($BA$1,0),Sales!BD$6,0)+IF(EOMONTH(DATE(YEAR(Sales!$BA$1),MONTH(Sales!$BA$1),1)+INT((DAY(Sales!$BA$1)-1)/2)+'Cash Drivers'!BA$13,0)=EOMONTH($BA$1,0),Sales!BA$6,0)+IF(EOMONTH(DATE(YEAR(Sales!$AX$1),MONTH(Sales!$AX$1),1)+INT((DAY(Sales!$AX$1)-1)/2)+'Cash Drivers'!AX$13,0)=EOMONTH($BA$1,0),Sales!AX$6,0)+IF(EOMONTH(DATE(YEAR(Sales!$AU$1),MONTH(Sales!$AU$1),1)+INT((DAY(Sales!$AU$1)-1)/2)+'Cash Drivers'!AU$13,0)=EOMONTH($BA$1,0),Sales!AU$6,0)+IF(EOMONTH(DATE(YEAR(Sales!$AR$1),MONTH(Sales!$AR$1),1)+INT((DAY(Sales!$AR$1)-1)/2)+'Cash Drivers'!AR$13,0)=EOMONTH($BA$1,0),Sales!AR$6,0)+IF(EOMONTH(DATE(YEAR(Sales!$AO$1),MONTH(Sales!$AO$1),1)+INT((DAY(Sales!$AO$1)-1)/2)+'Cash Drivers'!AO$13,0)=EOMONTH($BA$1,0),Sales!AO$6,0)+IF(EOMONTH(DATE(YEAR(Sales!$AL$1),MONTH(Sales!$AL$1),1)+INT((DAY(Sales!$AL$1)-1)/2)+'Cash Drivers'!AL$13,0)=EOMONTH($BA$1,0),Sales!AL$6,0)+IF(EOMONTH(DATE(YEAR(Sales!$AI$1),MONTH(Sales!$AI$1),1)+INT((DAY(Sales!$AI$1)-1)/2)+'Cash Drivers'!AI$13,0)=EOMONTH($BA$1,0),Sales!AI$6,0)+IF(EOMONTH(DATE(YEAR(Sales!$AF$1),MONTH(Sales!$AF$1),1)+INT((DAY(Sales!$AF$1)-1)/2)+'Cash Drivers'!AF$13,0)=EOMONTH($BA$1,0),Sales!AF$6,0)+IF(EOMONTH(DATE(YEAR(Sales!$AC$1),MONTH(Sales!$AC$1),1)+INT((DAY(Sales!$AC$1)-1)/2)+'Cash Drivers'!AC$13,0)=EOMONTH($BA$1,0),Sales!AC$6,0)+IF(EOMONTH(DATE(YEAR(Sales!$Z$1),MONTH(Sales!$Z$1),1)+INT((DAY(Sales!$Z$1)-1)/2)+'Cash Drivers'!Z$13,0)=EOMONTH($BA$1,0),Sales!Z$6,0)+IF(EOMONTH(DATE(YEAR(Sales!$W$1),MONTH(Sales!$W$1),1)+INT((DAY(Sales!$W$1)-1)/2)+'Cash Drivers'!W$13,0)=EOMONTH($BA$1,0),Sales!W$6,0)+IF(EOMONTH(DATE(YEAR(Sales!$T$1),MONTH(Sales!$T$1),1)+INT((DAY(Sales!$T$1)-1)/2)+'Cash Drivers'!T$13,0)=EOMONTH($BA$1,0),Sales!T$6,0)+IF(EOMONTH(DATE(YEAR(Sales!$Q$1),MONTH(Sales!$Q$1),1)+INT((DAY(Sales!$Q$1)-1)/2)+'Cash Drivers'!Q$13,0)=EOMONTH($BA$1,0),Sales!Q$6,0)+IF(EOMONTH(DATE(YEAR(Sales!$N$1),MONTH(Sales!$N$1),1)+INT((DAY(Sales!$N$1)-1)/2)+'Cash Drivers'!N$13,0)=EOMONTH($BA$1,0),Sales!N$6,0)+IF(EOMONTH(DATE(YEAR(Sales!$K$1),MONTH(Sales!$K$1),1)+INT((DAY(Sales!$K$1)-1)/2)+'Cash Drivers'!K$13,0)=EOMONTH($BA$1,0),Sales!K$6,0)+IF(EOMONTH('Cash Drivers'!$DL$30+'Cash Drivers'!DL$13,0)=EOMONTH($BA$1,0),'Cash Drivers'!$DL$32,0),0)</f>
        <v>0</v>
      </c>
      <c r="BB18" s="45" t="n">
        <f aca="false">ROUND(IF(EOMONTH(DATE(YEAR(Sales!$DL$1),MONTH(Sales!$DL$1),1)+INT((DAY(Sales!$DL$1)-1)/2)+'Cash Drivers'!DM$13,0)=EOMONTH($BA$1,0),Sales!DM$6,0)+IF(EOMONTH(DATE(YEAR(Sales!$DI$1),MONTH(Sales!$DI$1),1)+INT((DAY(Sales!$DI$1)-1)/2)+'Cash Drivers'!DJ$13,0)=EOMONTH($BA$1,0),Sales!DJ$6,0)+IF(EOMONTH(DATE(YEAR(Sales!$DF$1),MONTH(Sales!$DF$1),1)+INT((DAY(Sales!$DF$1)-1)/2)+'Cash Drivers'!DG$13,0)=EOMONTH($BA$1,0),Sales!DG$6,0)+IF(EOMONTH(DATE(YEAR(Sales!$DC$1),MONTH(Sales!$DC$1),1)+INT((DAY(Sales!$DC$1)-1)/2)+'Cash Drivers'!DD$13,0)=EOMONTH($BA$1,0),Sales!DD$6,0)+IF(EOMONTH(DATE(YEAR(Sales!$CZ$1),MONTH(Sales!$CZ$1),1)+INT((DAY(Sales!$CZ$1)-1)/2)+'Cash Drivers'!DA$13,0)=EOMONTH($BA$1,0),Sales!DA$6,0)+IF(EOMONTH(DATE(YEAR(Sales!$CW$1),MONTH(Sales!$CW$1),1)+INT((DAY(Sales!$CW$1)-1)/2)+'Cash Drivers'!CX$13,0)=EOMONTH($BA$1,0),Sales!CX$6,0)+IF(EOMONTH(DATE(YEAR(Sales!$CT$1),MONTH(Sales!$CT$1),1)+INT((DAY(Sales!$CT$1)-1)/2)+'Cash Drivers'!CU$13,0)=EOMONTH($BA$1,0),Sales!CU$6,0)+IF(EOMONTH(DATE(YEAR(Sales!$CQ$1),MONTH(Sales!$CQ$1),1)+INT((DAY(Sales!$CQ$1)-1)/2)+'Cash Drivers'!CR$13,0)=EOMONTH($BA$1,0),Sales!CR$6,0)+IF(EOMONTH(DATE(YEAR(Sales!$CN$1),MONTH(Sales!$CN$1),1)+INT((DAY(Sales!$CN$1)-1)/2)+'Cash Drivers'!CO$13,0)=EOMONTH($BA$1,0),Sales!CO$6,0)+IF(EOMONTH(DATE(YEAR(Sales!$CK$1),MONTH(Sales!$CK$1),1)+INT((DAY(Sales!$CK$1)-1)/2)+'Cash Drivers'!CL$13,0)=EOMONTH($BA$1,0),Sales!CL$6,0)+IF(EOMONTH(DATE(YEAR(Sales!$CH$1),MONTH(Sales!$CH$1),1)+INT((DAY(Sales!$CH$1)-1)/2)+'Cash Drivers'!CI$13,0)=EOMONTH($BA$1,0),Sales!CI$6,0)+IF(EOMONTH(DATE(YEAR(Sales!$CE$1),MONTH(Sales!$CE$1),1)+INT((DAY(Sales!$CE$1)-1)/2)+'Cash Drivers'!CF$13,0)=EOMONTH($BA$1,0),Sales!CF$6,0)+IF(EOMONTH(DATE(YEAR(Sales!$CB$1),MONTH(Sales!$CB$1),1)+INT((DAY(Sales!$CB$1)-1)/2)+'Cash Drivers'!CC$13,0)=EOMONTH($BA$1,0),Sales!CC$6,0)+IF(EOMONTH(DATE(YEAR(Sales!$BY$1),MONTH(Sales!$BY$1),1)+INT((DAY(Sales!$BY$1)-1)/2)+'Cash Drivers'!BZ$13,0)=EOMONTH($BA$1,0),Sales!BZ$6,0)+IF(EOMONTH(DATE(YEAR(Sales!$BV$1),MONTH(Sales!$BV$1),1)+INT((DAY(Sales!$BV$1)-1)/2)+'Cash Drivers'!BW$13,0)=EOMONTH($BA$1,0),Sales!BW$6,0)+IF(EOMONTH(DATE(YEAR(Sales!$BS$1),MONTH(Sales!$BS$1),1)+INT((DAY(Sales!$BS$1)-1)/2)+'Cash Drivers'!BT$13,0)=EOMONTH($BA$1,0),Sales!BT$6,0)+IF(EOMONTH(DATE(YEAR(Sales!$BP$1),MONTH(Sales!$BP$1),1)+INT((DAY(Sales!$BP$1)-1)/2)+'Cash Drivers'!BQ$13,0)=EOMONTH($BA$1,0),Sales!BQ$6,0)+IF(EOMONTH(DATE(YEAR(Sales!$BM$1),MONTH(Sales!$BM$1),1)+INT((DAY(Sales!$BM$1)-1)/2)+'Cash Drivers'!BN$13,0)=EOMONTH($BA$1,0),Sales!BN$6,0)+IF(EOMONTH(DATE(YEAR(Sales!$BJ$1),MONTH(Sales!$BJ$1),1)+INT((DAY(Sales!$BJ$1)-1)/2)+'Cash Drivers'!BK$13,0)=EOMONTH($BA$1,0),Sales!BK$6,0)+IF(EOMONTH(DATE(YEAR(Sales!$BG$1),MONTH(Sales!$BG$1),1)+INT((DAY(Sales!$BG$1)-1)/2)+'Cash Drivers'!BH$13,0)=EOMONTH($BA$1,0),Sales!BH$6,0)+IF(EOMONTH(DATE(YEAR(Sales!$BD$1),MONTH(Sales!$BD$1),1)+INT((DAY(Sales!$BD$1)-1)/2)+'Cash Drivers'!BE$13,0)=EOMONTH($BA$1,0),Sales!BE$6,0)+IF(EOMONTH(DATE(YEAR(Sales!$BA$1),MONTH(Sales!$BA$1),1)+INT((DAY(Sales!$BA$1)-1)/2)+'Cash Drivers'!BB$13,0)=EOMONTH($BA$1,0),Sales!BB$6,0)+IF(EOMONTH(DATE(YEAR(Sales!$AX$1),MONTH(Sales!$AX$1),1)+INT((DAY(Sales!$AX$1)-1)/2)+'Cash Drivers'!AY$13,0)=EOMONTH($BA$1,0),Sales!AY$6,0)+IF(EOMONTH(DATE(YEAR(Sales!$AU$1),MONTH(Sales!$AU$1),1)+INT((DAY(Sales!$AU$1)-1)/2)+'Cash Drivers'!AV$13,0)=EOMONTH($BA$1,0),Sales!AV$6,0)+IF(EOMONTH(DATE(YEAR(Sales!$AR$1),MONTH(Sales!$AR$1),1)+INT((DAY(Sales!$AR$1)-1)/2)+'Cash Drivers'!AS$13,0)=EOMONTH($BA$1,0),Sales!AS$6,0)+IF(EOMONTH(DATE(YEAR(Sales!$AO$1),MONTH(Sales!$AO$1),1)+INT((DAY(Sales!$AO$1)-1)/2)+'Cash Drivers'!AP$13,0)=EOMONTH($BA$1,0),Sales!AP$6,0)+IF(EOMONTH(DATE(YEAR(Sales!$AL$1),MONTH(Sales!$AL$1),1)+INT((DAY(Sales!$AL$1)-1)/2)+'Cash Drivers'!AM$13,0)=EOMONTH($BA$1,0),Sales!AM$6,0)+IF(EOMONTH(DATE(YEAR(Sales!$AI$1),MONTH(Sales!$AI$1),1)+INT((DAY(Sales!$AI$1)-1)/2)+'Cash Drivers'!AJ$13,0)=EOMONTH($BA$1,0),Sales!AJ$6,0)+IF(EOMONTH(DATE(YEAR(Sales!$AF$1),MONTH(Sales!$AF$1),1)+INT((DAY(Sales!$AF$1)-1)/2)+'Cash Drivers'!AG$13,0)=EOMONTH($BA$1,0),Sales!AG$6,0)+IF(EOMONTH(DATE(YEAR(Sales!$AC$1),MONTH(Sales!$AC$1),1)+INT((DAY(Sales!$AC$1)-1)/2)+'Cash Drivers'!AD$13,0)=EOMONTH($BA$1,0),Sales!AD$6,0)+IF(EOMONTH(DATE(YEAR(Sales!$Z$1),MONTH(Sales!$Z$1),1)+INT((DAY(Sales!$Z$1)-1)/2)+'Cash Drivers'!AA$13,0)=EOMONTH($BA$1,0),Sales!AA$6,0)+IF(EOMONTH(DATE(YEAR(Sales!$W$1),MONTH(Sales!$W$1),1)+INT((DAY(Sales!$W$1)-1)/2)+'Cash Drivers'!X$13,0)=EOMONTH($BA$1,0),Sales!X$6,0)+IF(EOMONTH(DATE(YEAR(Sales!$T$1),MONTH(Sales!$T$1),1)+INT((DAY(Sales!$T$1)-1)/2)+'Cash Drivers'!U$13,0)=EOMONTH($BA$1,0),Sales!U$6,0)+IF(EOMONTH(DATE(YEAR(Sales!$Q$1),MONTH(Sales!$Q$1),1)+INT((DAY(Sales!$Q$1)-1)/2)+'Cash Drivers'!R$13,0)=EOMONTH($BA$1,0),Sales!R$6,0)+IF(EOMONTH(DATE(YEAR(Sales!$N$1),MONTH(Sales!$N$1),1)+INT((DAY(Sales!$N$1)-1)/2)+'Cash Drivers'!O$13,0)=EOMONTH($BA$1,0),Sales!O$6,0)+IF(EOMONTH(DATE(YEAR(Sales!$K$1),MONTH(Sales!$K$1),1)+INT((DAY(Sales!$K$1)-1)/2)+'Cash Drivers'!L$13,0)=EOMONTH($BA$1,0),Sales!L$6,0)+IF(EOMONTH('Cash Drivers'!$DL$30+'Cash Drivers'!DM$13,0)=EOMONTH($BA$1,0),'Cash Drivers'!$DL$32,0),0)</f>
        <v>28</v>
      </c>
      <c r="BC18" s="46" t="n">
        <f aca="false">ROUND(IF(EOMONTH(DATE(YEAR(Sales!$DL$1),MONTH(Sales!$DL$1),1)+INT((DAY(Sales!$DL$1)-1)/2)+'Cash Drivers'!DN$13,0)=EOMONTH($BA$1,0),Sales!DN$6,0)+IF(EOMONTH(DATE(YEAR(Sales!$DI$1),MONTH(Sales!$DI$1),1)+INT((DAY(Sales!$DI$1)-1)/2)+'Cash Drivers'!DK$13,0)=EOMONTH($BA$1,0),Sales!DK$6,0)+IF(EOMONTH(DATE(YEAR(Sales!$DF$1),MONTH(Sales!$DF$1),1)+INT((DAY(Sales!$DF$1)-1)/2)+'Cash Drivers'!DH$13,0)=EOMONTH($BA$1,0),Sales!DH$6,0)+IF(EOMONTH(DATE(YEAR(Sales!$DC$1),MONTH(Sales!$DC$1),1)+INT((DAY(Sales!$DC$1)-1)/2)+'Cash Drivers'!DE$13,0)=EOMONTH($BA$1,0),Sales!DE$6,0)+IF(EOMONTH(DATE(YEAR(Sales!$CZ$1),MONTH(Sales!$CZ$1),1)+INT((DAY(Sales!$CZ$1)-1)/2)+'Cash Drivers'!DB$13,0)=EOMONTH($BA$1,0),Sales!DB$6,0)+IF(EOMONTH(DATE(YEAR(Sales!$CW$1),MONTH(Sales!$CW$1),1)+INT((DAY(Sales!$CW$1)-1)/2)+'Cash Drivers'!CY$13,0)=EOMONTH($BA$1,0),Sales!CY$6,0)+IF(EOMONTH(DATE(YEAR(Sales!$CT$1),MONTH(Sales!$CT$1),1)+INT((DAY(Sales!$CT$1)-1)/2)+'Cash Drivers'!CV$13,0)=EOMONTH($BA$1,0),Sales!CV$6,0)+IF(EOMONTH(DATE(YEAR(Sales!$CQ$1),MONTH(Sales!$CQ$1),1)+INT((DAY(Sales!$CQ$1)-1)/2)+'Cash Drivers'!CS$13,0)=EOMONTH($BA$1,0),Sales!CS$6,0)+IF(EOMONTH(DATE(YEAR(Sales!$CN$1),MONTH(Sales!$CN$1),1)+INT((DAY(Sales!$CN$1)-1)/2)+'Cash Drivers'!CP$13,0)=EOMONTH($BA$1,0),Sales!CP$6,0)+IF(EOMONTH(DATE(YEAR(Sales!$CK$1),MONTH(Sales!$CK$1),1)+INT((DAY(Sales!$CK$1)-1)/2)+'Cash Drivers'!CM$13,0)=EOMONTH($BA$1,0),Sales!CM$6,0)+IF(EOMONTH(DATE(YEAR(Sales!$CH$1),MONTH(Sales!$CH$1),1)+INT((DAY(Sales!$CH$1)-1)/2)+'Cash Drivers'!CJ$13,0)=EOMONTH($BA$1,0),Sales!CJ$6,0)+IF(EOMONTH(DATE(YEAR(Sales!$CE$1),MONTH(Sales!$CE$1),1)+INT((DAY(Sales!$CE$1)-1)/2)+'Cash Drivers'!CG$13,0)=EOMONTH($BA$1,0),Sales!CG$6,0)+IF(EOMONTH(DATE(YEAR(Sales!$CB$1),MONTH(Sales!$CB$1),1)+INT((DAY(Sales!$CB$1)-1)/2)+'Cash Drivers'!CD$13,0)=EOMONTH($BA$1,0),Sales!CD$6,0)+IF(EOMONTH(DATE(YEAR(Sales!$BY$1),MONTH(Sales!$BY$1),1)+INT((DAY(Sales!$BY$1)-1)/2)+'Cash Drivers'!CA$13,0)=EOMONTH($BA$1,0),Sales!CA$6,0)+IF(EOMONTH(DATE(YEAR(Sales!$BV$1),MONTH(Sales!$BV$1),1)+INT((DAY(Sales!$BV$1)-1)/2)+'Cash Drivers'!BX$13,0)=EOMONTH($BA$1,0),Sales!BX$6,0)+IF(EOMONTH(DATE(YEAR(Sales!$BS$1),MONTH(Sales!$BS$1),1)+INT((DAY(Sales!$BS$1)-1)/2)+'Cash Drivers'!BU$13,0)=EOMONTH($BA$1,0),Sales!BU$6,0)+IF(EOMONTH(DATE(YEAR(Sales!$BP$1),MONTH(Sales!$BP$1),1)+INT((DAY(Sales!$BP$1)-1)/2)+'Cash Drivers'!BR$13,0)=EOMONTH($BA$1,0),Sales!BR$6,0)+IF(EOMONTH(DATE(YEAR(Sales!$BM$1),MONTH(Sales!$BM$1),1)+INT((DAY(Sales!$BM$1)-1)/2)+'Cash Drivers'!BO$13,0)=EOMONTH($BA$1,0),Sales!BO$6,0)+IF(EOMONTH(DATE(YEAR(Sales!$BJ$1),MONTH(Sales!$BJ$1),1)+INT((DAY(Sales!$BJ$1)-1)/2)+'Cash Drivers'!BL$13,0)=EOMONTH($BA$1,0),Sales!BL$6,0)+IF(EOMONTH(DATE(YEAR(Sales!$BG$1),MONTH(Sales!$BG$1),1)+INT((DAY(Sales!$BG$1)-1)/2)+'Cash Drivers'!BI$13,0)=EOMONTH($BA$1,0),Sales!BI$6,0)+IF(EOMONTH(DATE(YEAR(Sales!$BD$1),MONTH(Sales!$BD$1),1)+INT((DAY(Sales!$BD$1)-1)/2)+'Cash Drivers'!BF$13,0)=EOMONTH($BA$1,0),Sales!BF$6,0)+IF(EOMONTH(DATE(YEAR(Sales!$BA$1),MONTH(Sales!$BA$1),1)+INT((DAY(Sales!$BA$1)-1)/2)+'Cash Drivers'!BC$13,0)=EOMONTH($BA$1,0),Sales!BC$6,0)+IF(EOMONTH(DATE(YEAR(Sales!$AX$1),MONTH(Sales!$AX$1),1)+INT((DAY(Sales!$AX$1)-1)/2)+'Cash Drivers'!AZ$13,0)=EOMONTH($BA$1,0),Sales!AZ$6,0)+IF(EOMONTH(DATE(YEAR(Sales!$AU$1),MONTH(Sales!$AU$1),1)+INT((DAY(Sales!$AU$1)-1)/2)+'Cash Drivers'!AW$13,0)=EOMONTH($BA$1,0),Sales!AW$6,0)+IF(EOMONTH(DATE(YEAR(Sales!$AR$1),MONTH(Sales!$AR$1),1)+INT((DAY(Sales!$AR$1)-1)/2)+'Cash Drivers'!AT$13,0)=EOMONTH($BA$1,0),Sales!AT$6,0)+IF(EOMONTH(DATE(YEAR(Sales!$AO$1),MONTH(Sales!$AO$1),1)+INT((DAY(Sales!$AO$1)-1)/2)+'Cash Drivers'!AQ$13,0)=EOMONTH($BA$1,0),Sales!AQ$6,0)+IF(EOMONTH(DATE(YEAR(Sales!$AL$1),MONTH(Sales!$AL$1),1)+INT((DAY(Sales!$AL$1)-1)/2)+'Cash Drivers'!AN$13,0)=EOMONTH($BA$1,0),Sales!AN$6,0)+IF(EOMONTH(DATE(YEAR(Sales!$AI$1),MONTH(Sales!$AI$1),1)+INT((DAY(Sales!$AI$1)-1)/2)+'Cash Drivers'!AK$13,0)=EOMONTH($BA$1,0),Sales!AK$6,0)+IF(EOMONTH(DATE(YEAR(Sales!$AF$1),MONTH(Sales!$AF$1),1)+INT((DAY(Sales!$AF$1)-1)/2)+'Cash Drivers'!AH$13,0)=EOMONTH($BA$1,0),Sales!AH$6,0)+IF(EOMONTH(DATE(YEAR(Sales!$AC$1),MONTH(Sales!$AC$1),1)+INT((DAY(Sales!$AC$1)-1)/2)+'Cash Drivers'!AE$13,0)=EOMONTH($BA$1,0),Sales!AE$6,0)+IF(EOMONTH(DATE(YEAR(Sales!$Z$1),MONTH(Sales!$Z$1),1)+INT((DAY(Sales!$Z$1)-1)/2)+'Cash Drivers'!AB$13,0)=EOMONTH($BA$1,0),Sales!AB$6,0)+IF(EOMONTH(DATE(YEAR(Sales!$W$1),MONTH(Sales!$W$1),1)+INT((DAY(Sales!$W$1)-1)/2)+'Cash Drivers'!Y$13,0)=EOMONTH($BA$1,0),Sales!Y$6,0)+IF(EOMONTH(DATE(YEAR(Sales!$T$1),MONTH(Sales!$T$1),1)+INT((DAY(Sales!$T$1)-1)/2)+'Cash Drivers'!V$13,0)=EOMONTH($BA$1,0),Sales!V$6,0)+IF(EOMONTH(DATE(YEAR(Sales!$Q$1),MONTH(Sales!$Q$1),1)+INT((DAY(Sales!$Q$1)-1)/2)+'Cash Drivers'!S$13,0)=EOMONTH($BA$1,0),Sales!S$6,0)+IF(EOMONTH(DATE(YEAR(Sales!$N$1),MONTH(Sales!$N$1),1)+INT((DAY(Sales!$N$1)-1)/2)+'Cash Drivers'!P$13,0)=EOMONTH($BA$1,0),Sales!P$6,0)+IF(EOMONTH(DATE(YEAR(Sales!$K$1),MONTH(Sales!$K$1),1)+INT((DAY(Sales!$K$1)-1)/2)+'Cash Drivers'!M$13,0)=EOMONTH($BA$1,0),Sales!M$6,0)+IF(EOMONTH('Cash Drivers'!$DL$30+'Cash Drivers'!DN$13,0)=EOMONTH($BA$1,0),'Cash Drivers'!$DL$32,0),0)</f>
        <v>28</v>
      </c>
      <c r="BD18" s="44" t="n">
        <f aca="false">ROUND(IF(EOMONTH(DATE(YEAR(Sales!$DL$1),MONTH(Sales!$DL$1),1)+INT((DAY(Sales!$DL$1)-1)/2)+'Cash Drivers'!DL$13,0)=EOMONTH($BD$1,0),Sales!DL$6,0)+IF(EOMONTH(DATE(YEAR(Sales!$DI$1),MONTH(Sales!$DI$1),1)+INT((DAY(Sales!$DI$1)-1)/2)+'Cash Drivers'!DI$13,0)=EOMONTH($BD$1,0),Sales!DI$6,0)+IF(EOMONTH(DATE(YEAR(Sales!$DF$1),MONTH(Sales!$DF$1),1)+INT((DAY(Sales!$DF$1)-1)/2)+'Cash Drivers'!DF$13,0)=EOMONTH($BD$1,0),Sales!DF$6,0)+IF(EOMONTH(DATE(YEAR(Sales!$DC$1),MONTH(Sales!$DC$1),1)+INT((DAY(Sales!$DC$1)-1)/2)+'Cash Drivers'!DC$13,0)=EOMONTH($BD$1,0),Sales!DC$6,0)+IF(EOMONTH(DATE(YEAR(Sales!$CZ$1),MONTH(Sales!$CZ$1),1)+INT((DAY(Sales!$CZ$1)-1)/2)+'Cash Drivers'!CZ$13,0)=EOMONTH($BD$1,0),Sales!CZ$6,0)+IF(EOMONTH(DATE(YEAR(Sales!$CW$1),MONTH(Sales!$CW$1),1)+INT((DAY(Sales!$CW$1)-1)/2)+'Cash Drivers'!CW$13,0)=EOMONTH($BD$1,0),Sales!CW$6,0)+IF(EOMONTH(DATE(YEAR(Sales!$CT$1),MONTH(Sales!$CT$1),1)+INT((DAY(Sales!$CT$1)-1)/2)+'Cash Drivers'!CT$13,0)=EOMONTH($BD$1,0),Sales!CT$6,0)+IF(EOMONTH(DATE(YEAR(Sales!$CQ$1),MONTH(Sales!$CQ$1),1)+INT((DAY(Sales!$CQ$1)-1)/2)+'Cash Drivers'!CQ$13,0)=EOMONTH($BD$1,0),Sales!CQ$6,0)+IF(EOMONTH(DATE(YEAR(Sales!$CN$1),MONTH(Sales!$CN$1),1)+INT((DAY(Sales!$CN$1)-1)/2)+'Cash Drivers'!CN$13,0)=EOMONTH($BD$1,0),Sales!CN$6,0)+IF(EOMONTH(DATE(YEAR(Sales!$CK$1),MONTH(Sales!$CK$1),1)+INT((DAY(Sales!$CK$1)-1)/2)+'Cash Drivers'!CK$13,0)=EOMONTH($BD$1,0),Sales!CK$6,0)+IF(EOMONTH(DATE(YEAR(Sales!$CH$1),MONTH(Sales!$CH$1),1)+INT((DAY(Sales!$CH$1)-1)/2)+'Cash Drivers'!CH$13,0)=EOMONTH($BD$1,0),Sales!CH$6,0)+IF(EOMONTH(DATE(YEAR(Sales!$CE$1),MONTH(Sales!$CE$1),1)+INT((DAY(Sales!$CE$1)-1)/2)+'Cash Drivers'!CE$13,0)=EOMONTH($BD$1,0),Sales!CE$6,0)+IF(EOMONTH(DATE(YEAR(Sales!$CB$1),MONTH(Sales!$CB$1),1)+INT((DAY(Sales!$CB$1)-1)/2)+'Cash Drivers'!CB$13,0)=EOMONTH($BD$1,0),Sales!CB$6,0)+IF(EOMONTH(DATE(YEAR(Sales!$BY$1),MONTH(Sales!$BY$1),1)+INT((DAY(Sales!$BY$1)-1)/2)+'Cash Drivers'!BY$13,0)=EOMONTH($BD$1,0),Sales!BY$6,0)+IF(EOMONTH(DATE(YEAR(Sales!$BV$1),MONTH(Sales!$BV$1),1)+INT((DAY(Sales!$BV$1)-1)/2)+'Cash Drivers'!BV$13,0)=EOMONTH($BD$1,0),Sales!BV$6,0)+IF(EOMONTH(DATE(YEAR(Sales!$BS$1),MONTH(Sales!$BS$1),1)+INT((DAY(Sales!$BS$1)-1)/2)+'Cash Drivers'!BS$13,0)=EOMONTH($BD$1,0),Sales!BS$6,0)+IF(EOMONTH(DATE(YEAR(Sales!$BP$1),MONTH(Sales!$BP$1),1)+INT((DAY(Sales!$BP$1)-1)/2)+'Cash Drivers'!BP$13,0)=EOMONTH($BD$1,0),Sales!BP$6,0)+IF(EOMONTH(DATE(YEAR(Sales!$BM$1),MONTH(Sales!$BM$1),1)+INT((DAY(Sales!$BM$1)-1)/2)+'Cash Drivers'!BM$13,0)=EOMONTH($BD$1,0),Sales!BM$6,0)+IF(EOMONTH(DATE(YEAR(Sales!$BJ$1),MONTH(Sales!$BJ$1),1)+INT((DAY(Sales!$BJ$1)-1)/2)+'Cash Drivers'!BJ$13,0)=EOMONTH($BD$1,0),Sales!BJ$6,0)+IF(EOMONTH(DATE(YEAR(Sales!$BG$1),MONTH(Sales!$BG$1),1)+INT((DAY(Sales!$BG$1)-1)/2)+'Cash Drivers'!BG$13,0)=EOMONTH($BD$1,0),Sales!BG$6,0)+IF(EOMONTH(DATE(YEAR(Sales!$BD$1),MONTH(Sales!$BD$1),1)+INT((DAY(Sales!$BD$1)-1)/2)+'Cash Drivers'!BD$13,0)=EOMONTH($BD$1,0),Sales!BD$6,0)+IF(EOMONTH(DATE(YEAR(Sales!$BA$1),MONTH(Sales!$BA$1),1)+INT((DAY(Sales!$BA$1)-1)/2)+'Cash Drivers'!BA$13,0)=EOMONTH($BD$1,0),Sales!BA$6,0)+IF(EOMONTH(DATE(YEAR(Sales!$AX$1),MONTH(Sales!$AX$1),1)+INT((DAY(Sales!$AX$1)-1)/2)+'Cash Drivers'!AX$13,0)=EOMONTH($BD$1,0),Sales!AX$6,0)+IF(EOMONTH(DATE(YEAR(Sales!$AU$1),MONTH(Sales!$AU$1),1)+INT((DAY(Sales!$AU$1)-1)/2)+'Cash Drivers'!AU$13,0)=EOMONTH($BD$1,0),Sales!AU$6,0)+IF(EOMONTH(DATE(YEAR(Sales!$AR$1),MONTH(Sales!$AR$1),1)+INT((DAY(Sales!$AR$1)-1)/2)+'Cash Drivers'!AR$13,0)=EOMONTH($BD$1,0),Sales!AR$6,0)+IF(EOMONTH(DATE(YEAR(Sales!$AO$1),MONTH(Sales!$AO$1),1)+INT((DAY(Sales!$AO$1)-1)/2)+'Cash Drivers'!AO$13,0)=EOMONTH($BD$1,0),Sales!AO$6,0)+IF(EOMONTH(DATE(YEAR(Sales!$AL$1),MONTH(Sales!$AL$1),1)+INT((DAY(Sales!$AL$1)-1)/2)+'Cash Drivers'!AL$13,0)=EOMONTH($BD$1,0),Sales!AL$6,0)+IF(EOMONTH(DATE(YEAR(Sales!$AI$1),MONTH(Sales!$AI$1),1)+INT((DAY(Sales!$AI$1)-1)/2)+'Cash Drivers'!AI$13,0)=EOMONTH($BD$1,0),Sales!AI$6,0)+IF(EOMONTH(DATE(YEAR(Sales!$AF$1),MONTH(Sales!$AF$1),1)+INT((DAY(Sales!$AF$1)-1)/2)+'Cash Drivers'!AF$13,0)=EOMONTH($BD$1,0),Sales!AF$6,0)+IF(EOMONTH(DATE(YEAR(Sales!$AC$1),MONTH(Sales!$AC$1),1)+INT((DAY(Sales!$AC$1)-1)/2)+'Cash Drivers'!AC$13,0)=EOMONTH($BD$1,0),Sales!AC$6,0)+IF(EOMONTH(DATE(YEAR(Sales!$Z$1),MONTH(Sales!$Z$1),1)+INT((DAY(Sales!$Z$1)-1)/2)+'Cash Drivers'!Z$13,0)=EOMONTH($BD$1,0),Sales!Z$6,0)+IF(EOMONTH(DATE(YEAR(Sales!$W$1),MONTH(Sales!$W$1),1)+INT((DAY(Sales!$W$1)-1)/2)+'Cash Drivers'!W$13,0)=EOMONTH($BD$1,0),Sales!W$6,0)+IF(EOMONTH(DATE(YEAR(Sales!$T$1),MONTH(Sales!$T$1),1)+INT((DAY(Sales!$T$1)-1)/2)+'Cash Drivers'!T$13,0)=EOMONTH($BD$1,0),Sales!T$6,0)+IF(EOMONTH(DATE(YEAR(Sales!$Q$1),MONTH(Sales!$Q$1),1)+INT((DAY(Sales!$Q$1)-1)/2)+'Cash Drivers'!Q$13,0)=EOMONTH($BD$1,0),Sales!Q$6,0)+IF(EOMONTH(DATE(YEAR(Sales!$N$1),MONTH(Sales!$N$1),1)+INT((DAY(Sales!$N$1)-1)/2)+'Cash Drivers'!N$13,0)=EOMONTH($BD$1,0),Sales!N$6,0)+IF(EOMONTH(DATE(YEAR(Sales!$K$1),MONTH(Sales!$K$1),1)+INT((DAY(Sales!$K$1)-1)/2)+'Cash Drivers'!K$13,0)=EOMONTH($BD$1,0),Sales!K$6,0)+IF(EOMONTH('Cash Drivers'!$DL$30+'Cash Drivers'!DL$13,0)=EOMONTH($BD$1,0),'Cash Drivers'!$DL$32,0),0)</f>
        <v>0</v>
      </c>
      <c r="BE18" s="45" t="n">
        <f aca="false">ROUND(IF(EOMONTH(DATE(YEAR(Sales!$DL$1),MONTH(Sales!$DL$1),1)+INT((DAY(Sales!$DL$1)-1)/2)+'Cash Drivers'!DM$13,0)=EOMONTH($BD$1,0),Sales!DM$6,0)+IF(EOMONTH(DATE(YEAR(Sales!$DI$1),MONTH(Sales!$DI$1),1)+INT((DAY(Sales!$DI$1)-1)/2)+'Cash Drivers'!DJ$13,0)=EOMONTH($BD$1,0),Sales!DJ$6,0)+IF(EOMONTH(DATE(YEAR(Sales!$DF$1),MONTH(Sales!$DF$1),1)+INT((DAY(Sales!$DF$1)-1)/2)+'Cash Drivers'!DG$13,0)=EOMONTH($BD$1,0),Sales!DG$6,0)+IF(EOMONTH(DATE(YEAR(Sales!$DC$1),MONTH(Sales!$DC$1),1)+INT((DAY(Sales!$DC$1)-1)/2)+'Cash Drivers'!DD$13,0)=EOMONTH($BD$1,0),Sales!DD$6,0)+IF(EOMONTH(DATE(YEAR(Sales!$CZ$1),MONTH(Sales!$CZ$1),1)+INT((DAY(Sales!$CZ$1)-1)/2)+'Cash Drivers'!DA$13,0)=EOMONTH($BD$1,0),Sales!DA$6,0)+IF(EOMONTH(DATE(YEAR(Sales!$CW$1),MONTH(Sales!$CW$1),1)+INT((DAY(Sales!$CW$1)-1)/2)+'Cash Drivers'!CX$13,0)=EOMONTH($BD$1,0),Sales!CX$6,0)+IF(EOMONTH(DATE(YEAR(Sales!$CT$1),MONTH(Sales!$CT$1),1)+INT((DAY(Sales!$CT$1)-1)/2)+'Cash Drivers'!CU$13,0)=EOMONTH($BD$1,0),Sales!CU$6,0)+IF(EOMONTH(DATE(YEAR(Sales!$CQ$1),MONTH(Sales!$CQ$1),1)+INT((DAY(Sales!$CQ$1)-1)/2)+'Cash Drivers'!CR$13,0)=EOMONTH($BD$1,0),Sales!CR$6,0)+IF(EOMONTH(DATE(YEAR(Sales!$CN$1),MONTH(Sales!$CN$1),1)+INT((DAY(Sales!$CN$1)-1)/2)+'Cash Drivers'!CO$13,0)=EOMONTH($BD$1,0),Sales!CO$6,0)+IF(EOMONTH(DATE(YEAR(Sales!$CK$1),MONTH(Sales!$CK$1),1)+INT((DAY(Sales!$CK$1)-1)/2)+'Cash Drivers'!CL$13,0)=EOMONTH($BD$1,0),Sales!CL$6,0)+IF(EOMONTH(DATE(YEAR(Sales!$CH$1),MONTH(Sales!$CH$1),1)+INT((DAY(Sales!$CH$1)-1)/2)+'Cash Drivers'!CI$13,0)=EOMONTH($BD$1,0),Sales!CI$6,0)+IF(EOMONTH(DATE(YEAR(Sales!$CE$1),MONTH(Sales!$CE$1),1)+INT((DAY(Sales!$CE$1)-1)/2)+'Cash Drivers'!CF$13,0)=EOMONTH($BD$1,0),Sales!CF$6,0)+IF(EOMONTH(DATE(YEAR(Sales!$CB$1),MONTH(Sales!$CB$1),1)+INT((DAY(Sales!$CB$1)-1)/2)+'Cash Drivers'!CC$13,0)=EOMONTH($BD$1,0),Sales!CC$6,0)+IF(EOMONTH(DATE(YEAR(Sales!$BY$1),MONTH(Sales!$BY$1),1)+INT((DAY(Sales!$BY$1)-1)/2)+'Cash Drivers'!BZ$13,0)=EOMONTH($BD$1,0),Sales!BZ$6,0)+IF(EOMONTH(DATE(YEAR(Sales!$BV$1),MONTH(Sales!$BV$1),1)+INT((DAY(Sales!$BV$1)-1)/2)+'Cash Drivers'!BW$13,0)=EOMONTH($BD$1,0),Sales!BW$6,0)+IF(EOMONTH(DATE(YEAR(Sales!$BS$1),MONTH(Sales!$BS$1),1)+INT((DAY(Sales!$BS$1)-1)/2)+'Cash Drivers'!BT$13,0)=EOMONTH($BD$1,0),Sales!BT$6,0)+IF(EOMONTH(DATE(YEAR(Sales!$BP$1),MONTH(Sales!$BP$1),1)+INT((DAY(Sales!$BP$1)-1)/2)+'Cash Drivers'!BQ$13,0)=EOMONTH($BD$1,0),Sales!BQ$6,0)+IF(EOMONTH(DATE(YEAR(Sales!$BM$1),MONTH(Sales!$BM$1),1)+INT((DAY(Sales!$BM$1)-1)/2)+'Cash Drivers'!BN$13,0)=EOMONTH($BD$1,0),Sales!BN$6,0)+IF(EOMONTH(DATE(YEAR(Sales!$BJ$1),MONTH(Sales!$BJ$1),1)+INT((DAY(Sales!$BJ$1)-1)/2)+'Cash Drivers'!BK$13,0)=EOMONTH($BD$1,0),Sales!BK$6,0)+IF(EOMONTH(DATE(YEAR(Sales!$BG$1),MONTH(Sales!$BG$1),1)+INT((DAY(Sales!$BG$1)-1)/2)+'Cash Drivers'!BH$13,0)=EOMONTH($BD$1,0),Sales!BH$6,0)+IF(EOMONTH(DATE(YEAR(Sales!$BD$1),MONTH(Sales!$BD$1),1)+INT((DAY(Sales!$BD$1)-1)/2)+'Cash Drivers'!BE$13,0)=EOMONTH($BD$1,0),Sales!BE$6,0)+IF(EOMONTH(DATE(YEAR(Sales!$BA$1),MONTH(Sales!$BA$1),1)+INT((DAY(Sales!$BA$1)-1)/2)+'Cash Drivers'!BB$13,0)=EOMONTH($BD$1,0),Sales!BB$6,0)+IF(EOMONTH(DATE(YEAR(Sales!$AX$1),MONTH(Sales!$AX$1),1)+INT((DAY(Sales!$AX$1)-1)/2)+'Cash Drivers'!AY$13,0)=EOMONTH($BD$1,0),Sales!AY$6,0)+IF(EOMONTH(DATE(YEAR(Sales!$AU$1),MONTH(Sales!$AU$1),1)+INT((DAY(Sales!$AU$1)-1)/2)+'Cash Drivers'!AV$13,0)=EOMONTH($BD$1,0),Sales!AV$6,0)+IF(EOMONTH(DATE(YEAR(Sales!$AR$1),MONTH(Sales!$AR$1),1)+INT((DAY(Sales!$AR$1)-1)/2)+'Cash Drivers'!AS$13,0)=EOMONTH($BD$1,0),Sales!AS$6,0)+IF(EOMONTH(DATE(YEAR(Sales!$AO$1),MONTH(Sales!$AO$1),1)+INT((DAY(Sales!$AO$1)-1)/2)+'Cash Drivers'!AP$13,0)=EOMONTH($BD$1,0),Sales!AP$6,0)+IF(EOMONTH(DATE(YEAR(Sales!$AL$1),MONTH(Sales!$AL$1),1)+INT((DAY(Sales!$AL$1)-1)/2)+'Cash Drivers'!AM$13,0)=EOMONTH($BD$1,0),Sales!AM$6,0)+IF(EOMONTH(DATE(YEAR(Sales!$AI$1),MONTH(Sales!$AI$1),1)+INT((DAY(Sales!$AI$1)-1)/2)+'Cash Drivers'!AJ$13,0)=EOMONTH($BD$1,0),Sales!AJ$6,0)+IF(EOMONTH(DATE(YEAR(Sales!$AF$1),MONTH(Sales!$AF$1),1)+INT((DAY(Sales!$AF$1)-1)/2)+'Cash Drivers'!AG$13,0)=EOMONTH($BD$1,0),Sales!AG$6,0)+IF(EOMONTH(DATE(YEAR(Sales!$AC$1),MONTH(Sales!$AC$1),1)+INT((DAY(Sales!$AC$1)-1)/2)+'Cash Drivers'!AD$13,0)=EOMONTH($BD$1,0),Sales!AD$6,0)+IF(EOMONTH(DATE(YEAR(Sales!$Z$1),MONTH(Sales!$Z$1),1)+INT((DAY(Sales!$Z$1)-1)/2)+'Cash Drivers'!AA$13,0)=EOMONTH($BD$1,0),Sales!AA$6,0)+IF(EOMONTH(DATE(YEAR(Sales!$W$1),MONTH(Sales!$W$1),1)+INT((DAY(Sales!$W$1)-1)/2)+'Cash Drivers'!X$13,0)=EOMONTH($BD$1,0),Sales!X$6,0)+IF(EOMONTH(DATE(YEAR(Sales!$T$1),MONTH(Sales!$T$1),1)+INT((DAY(Sales!$T$1)-1)/2)+'Cash Drivers'!U$13,0)=EOMONTH($BD$1,0),Sales!U$6,0)+IF(EOMONTH(DATE(YEAR(Sales!$Q$1),MONTH(Sales!$Q$1),1)+INT((DAY(Sales!$Q$1)-1)/2)+'Cash Drivers'!R$13,0)=EOMONTH($BD$1,0),Sales!R$6,0)+IF(EOMONTH(DATE(YEAR(Sales!$N$1),MONTH(Sales!$N$1),1)+INT((DAY(Sales!$N$1)-1)/2)+'Cash Drivers'!O$13,0)=EOMONTH($BD$1,0),Sales!O$6,0)+IF(EOMONTH(DATE(YEAR(Sales!$K$1),MONTH(Sales!$K$1),1)+INT((DAY(Sales!$K$1)-1)/2)+'Cash Drivers'!L$13,0)=EOMONTH($BD$1,0),Sales!L$6,0)+IF(EOMONTH('Cash Drivers'!$DL$30+'Cash Drivers'!DM$13,0)=EOMONTH($BD$1,0),'Cash Drivers'!$DL$32,0),0)</f>
        <v>28</v>
      </c>
      <c r="BF18" s="46" t="n">
        <f aca="false">ROUND(IF(EOMONTH(DATE(YEAR(Sales!$DL$1),MONTH(Sales!$DL$1),1)+INT((DAY(Sales!$DL$1)-1)/2)+'Cash Drivers'!DN$13,0)=EOMONTH($BD$1,0),Sales!DN$6,0)+IF(EOMONTH(DATE(YEAR(Sales!$DI$1),MONTH(Sales!$DI$1),1)+INT((DAY(Sales!$DI$1)-1)/2)+'Cash Drivers'!DK$13,0)=EOMONTH($BD$1,0),Sales!DK$6,0)+IF(EOMONTH(DATE(YEAR(Sales!$DF$1),MONTH(Sales!$DF$1),1)+INT((DAY(Sales!$DF$1)-1)/2)+'Cash Drivers'!DH$13,0)=EOMONTH($BD$1,0),Sales!DH$6,0)+IF(EOMONTH(DATE(YEAR(Sales!$DC$1),MONTH(Sales!$DC$1),1)+INT((DAY(Sales!$DC$1)-1)/2)+'Cash Drivers'!DE$13,0)=EOMONTH($BD$1,0),Sales!DE$6,0)+IF(EOMONTH(DATE(YEAR(Sales!$CZ$1),MONTH(Sales!$CZ$1),1)+INT((DAY(Sales!$CZ$1)-1)/2)+'Cash Drivers'!DB$13,0)=EOMONTH($BD$1,0),Sales!DB$6,0)+IF(EOMONTH(DATE(YEAR(Sales!$CW$1),MONTH(Sales!$CW$1),1)+INT((DAY(Sales!$CW$1)-1)/2)+'Cash Drivers'!CY$13,0)=EOMONTH($BD$1,0),Sales!CY$6,0)+IF(EOMONTH(DATE(YEAR(Sales!$CT$1),MONTH(Sales!$CT$1),1)+INT((DAY(Sales!$CT$1)-1)/2)+'Cash Drivers'!CV$13,0)=EOMONTH($BD$1,0),Sales!CV$6,0)+IF(EOMONTH(DATE(YEAR(Sales!$CQ$1),MONTH(Sales!$CQ$1),1)+INT((DAY(Sales!$CQ$1)-1)/2)+'Cash Drivers'!CS$13,0)=EOMONTH($BD$1,0),Sales!CS$6,0)+IF(EOMONTH(DATE(YEAR(Sales!$CN$1),MONTH(Sales!$CN$1),1)+INT((DAY(Sales!$CN$1)-1)/2)+'Cash Drivers'!CP$13,0)=EOMONTH($BD$1,0),Sales!CP$6,0)+IF(EOMONTH(DATE(YEAR(Sales!$CK$1),MONTH(Sales!$CK$1),1)+INT((DAY(Sales!$CK$1)-1)/2)+'Cash Drivers'!CM$13,0)=EOMONTH($BD$1,0),Sales!CM$6,0)+IF(EOMONTH(DATE(YEAR(Sales!$CH$1),MONTH(Sales!$CH$1),1)+INT((DAY(Sales!$CH$1)-1)/2)+'Cash Drivers'!CJ$13,0)=EOMONTH($BD$1,0),Sales!CJ$6,0)+IF(EOMONTH(DATE(YEAR(Sales!$CE$1),MONTH(Sales!$CE$1),1)+INT((DAY(Sales!$CE$1)-1)/2)+'Cash Drivers'!CG$13,0)=EOMONTH($BD$1,0),Sales!CG$6,0)+IF(EOMONTH(DATE(YEAR(Sales!$CB$1),MONTH(Sales!$CB$1),1)+INT((DAY(Sales!$CB$1)-1)/2)+'Cash Drivers'!CD$13,0)=EOMONTH($BD$1,0),Sales!CD$6,0)+IF(EOMONTH(DATE(YEAR(Sales!$BY$1),MONTH(Sales!$BY$1),1)+INT((DAY(Sales!$BY$1)-1)/2)+'Cash Drivers'!CA$13,0)=EOMONTH($BD$1,0),Sales!CA$6,0)+IF(EOMONTH(DATE(YEAR(Sales!$BV$1),MONTH(Sales!$BV$1),1)+INT((DAY(Sales!$BV$1)-1)/2)+'Cash Drivers'!BX$13,0)=EOMONTH($BD$1,0),Sales!BX$6,0)+IF(EOMONTH(DATE(YEAR(Sales!$BS$1),MONTH(Sales!$BS$1),1)+INT((DAY(Sales!$BS$1)-1)/2)+'Cash Drivers'!BU$13,0)=EOMONTH($BD$1,0),Sales!BU$6,0)+IF(EOMONTH(DATE(YEAR(Sales!$BP$1),MONTH(Sales!$BP$1),1)+INT((DAY(Sales!$BP$1)-1)/2)+'Cash Drivers'!BR$13,0)=EOMONTH($BD$1,0),Sales!BR$6,0)+IF(EOMONTH(DATE(YEAR(Sales!$BM$1),MONTH(Sales!$BM$1),1)+INT((DAY(Sales!$BM$1)-1)/2)+'Cash Drivers'!BO$13,0)=EOMONTH($BD$1,0),Sales!BO$6,0)+IF(EOMONTH(DATE(YEAR(Sales!$BJ$1),MONTH(Sales!$BJ$1),1)+INT((DAY(Sales!$BJ$1)-1)/2)+'Cash Drivers'!BL$13,0)=EOMONTH($BD$1,0),Sales!BL$6,0)+IF(EOMONTH(DATE(YEAR(Sales!$BG$1),MONTH(Sales!$BG$1),1)+INT((DAY(Sales!$BG$1)-1)/2)+'Cash Drivers'!BI$13,0)=EOMONTH($BD$1,0),Sales!BI$6,0)+IF(EOMONTH(DATE(YEAR(Sales!$BD$1),MONTH(Sales!$BD$1),1)+INT((DAY(Sales!$BD$1)-1)/2)+'Cash Drivers'!BF$13,0)=EOMONTH($BD$1,0),Sales!BF$6,0)+IF(EOMONTH(DATE(YEAR(Sales!$BA$1),MONTH(Sales!$BA$1),1)+INT((DAY(Sales!$BA$1)-1)/2)+'Cash Drivers'!BC$13,0)=EOMONTH($BD$1,0),Sales!BC$6,0)+IF(EOMONTH(DATE(YEAR(Sales!$AX$1),MONTH(Sales!$AX$1),1)+INT((DAY(Sales!$AX$1)-1)/2)+'Cash Drivers'!AZ$13,0)=EOMONTH($BD$1,0),Sales!AZ$6,0)+IF(EOMONTH(DATE(YEAR(Sales!$AU$1),MONTH(Sales!$AU$1),1)+INT((DAY(Sales!$AU$1)-1)/2)+'Cash Drivers'!AW$13,0)=EOMONTH($BD$1,0),Sales!AW$6,0)+IF(EOMONTH(DATE(YEAR(Sales!$AR$1),MONTH(Sales!$AR$1),1)+INT((DAY(Sales!$AR$1)-1)/2)+'Cash Drivers'!AT$13,0)=EOMONTH($BD$1,0),Sales!AT$6,0)+IF(EOMONTH(DATE(YEAR(Sales!$AO$1),MONTH(Sales!$AO$1),1)+INT((DAY(Sales!$AO$1)-1)/2)+'Cash Drivers'!AQ$13,0)=EOMONTH($BD$1,0),Sales!AQ$6,0)+IF(EOMONTH(DATE(YEAR(Sales!$AL$1),MONTH(Sales!$AL$1),1)+INT((DAY(Sales!$AL$1)-1)/2)+'Cash Drivers'!AN$13,0)=EOMONTH($BD$1,0),Sales!AN$6,0)+IF(EOMONTH(DATE(YEAR(Sales!$AI$1),MONTH(Sales!$AI$1),1)+INT((DAY(Sales!$AI$1)-1)/2)+'Cash Drivers'!AK$13,0)=EOMONTH($BD$1,0),Sales!AK$6,0)+IF(EOMONTH(DATE(YEAR(Sales!$AF$1),MONTH(Sales!$AF$1),1)+INT((DAY(Sales!$AF$1)-1)/2)+'Cash Drivers'!AH$13,0)=EOMONTH($BD$1,0),Sales!AH$6,0)+IF(EOMONTH(DATE(YEAR(Sales!$AC$1),MONTH(Sales!$AC$1),1)+INT((DAY(Sales!$AC$1)-1)/2)+'Cash Drivers'!AE$13,0)=EOMONTH($BD$1,0),Sales!AE$6,0)+IF(EOMONTH(DATE(YEAR(Sales!$Z$1),MONTH(Sales!$Z$1),1)+INT((DAY(Sales!$Z$1)-1)/2)+'Cash Drivers'!AB$13,0)=EOMONTH($BD$1,0),Sales!AB$6,0)+IF(EOMONTH(DATE(YEAR(Sales!$W$1),MONTH(Sales!$W$1),1)+INT((DAY(Sales!$W$1)-1)/2)+'Cash Drivers'!Y$13,0)=EOMONTH($BD$1,0),Sales!Y$6,0)+IF(EOMONTH(DATE(YEAR(Sales!$T$1),MONTH(Sales!$T$1),1)+INT((DAY(Sales!$T$1)-1)/2)+'Cash Drivers'!V$13,0)=EOMONTH($BD$1,0),Sales!V$6,0)+IF(EOMONTH(DATE(YEAR(Sales!$Q$1),MONTH(Sales!$Q$1),1)+INT((DAY(Sales!$Q$1)-1)/2)+'Cash Drivers'!S$13,0)=EOMONTH($BD$1,0),Sales!S$6,0)+IF(EOMONTH(DATE(YEAR(Sales!$N$1),MONTH(Sales!$N$1),1)+INT((DAY(Sales!$N$1)-1)/2)+'Cash Drivers'!P$13,0)=EOMONTH($BD$1,0),Sales!P$6,0)+IF(EOMONTH(DATE(YEAR(Sales!$K$1),MONTH(Sales!$K$1),1)+INT((DAY(Sales!$K$1)-1)/2)+'Cash Drivers'!M$13,0)=EOMONTH($BD$1,0),Sales!M$6,0)+IF(EOMONTH('Cash Drivers'!$DL$30+'Cash Drivers'!DN$13,0)=EOMONTH($BD$1,0),'Cash Drivers'!$DL$32,0),0)</f>
        <v>28</v>
      </c>
      <c r="BG18" s="44" t="n">
        <f aca="false">ROUND(IF(EOMONTH(DATE(YEAR(Sales!$DL$1),MONTH(Sales!$DL$1),1)+INT((DAY(Sales!$DL$1)-1)/2)+'Cash Drivers'!DL$13,0)=EOMONTH($BG$1,0),Sales!DL$6,0)+IF(EOMONTH(DATE(YEAR(Sales!$DI$1),MONTH(Sales!$DI$1),1)+INT((DAY(Sales!$DI$1)-1)/2)+'Cash Drivers'!DI$13,0)=EOMONTH($BG$1,0),Sales!DI$6,0)+IF(EOMONTH(DATE(YEAR(Sales!$DF$1),MONTH(Sales!$DF$1),1)+INT((DAY(Sales!$DF$1)-1)/2)+'Cash Drivers'!DF$13,0)=EOMONTH($BG$1,0),Sales!DF$6,0)+IF(EOMONTH(DATE(YEAR(Sales!$DC$1),MONTH(Sales!$DC$1),1)+INT((DAY(Sales!$DC$1)-1)/2)+'Cash Drivers'!DC$13,0)=EOMONTH($BG$1,0),Sales!DC$6,0)+IF(EOMONTH(DATE(YEAR(Sales!$CZ$1),MONTH(Sales!$CZ$1),1)+INT((DAY(Sales!$CZ$1)-1)/2)+'Cash Drivers'!CZ$13,0)=EOMONTH($BG$1,0),Sales!CZ$6,0)+IF(EOMONTH(DATE(YEAR(Sales!$CW$1),MONTH(Sales!$CW$1),1)+INT((DAY(Sales!$CW$1)-1)/2)+'Cash Drivers'!CW$13,0)=EOMONTH($BG$1,0),Sales!CW$6,0)+IF(EOMONTH(DATE(YEAR(Sales!$CT$1),MONTH(Sales!$CT$1),1)+INT((DAY(Sales!$CT$1)-1)/2)+'Cash Drivers'!CT$13,0)=EOMONTH($BG$1,0),Sales!CT$6,0)+IF(EOMONTH(DATE(YEAR(Sales!$CQ$1),MONTH(Sales!$CQ$1),1)+INT((DAY(Sales!$CQ$1)-1)/2)+'Cash Drivers'!CQ$13,0)=EOMONTH($BG$1,0),Sales!CQ$6,0)+IF(EOMONTH(DATE(YEAR(Sales!$CN$1),MONTH(Sales!$CN$1),1)+INT((DAY(Sales!$CN$1)-1)/2)+'Cash Drivers'!CN$13,0)=EOMONTH($BG$1,0),Sales!CN$6,0)+IF(EOMONTH(DATE(YEAR(Sales!$CK$1),MONTH(Sales!$CK$1),1)+INT((DAY(Sales!$CK$1)-1)/2)+'Cash Drivers'!CK$13,0)=EOMONTH($BG$1,0),Sales!CK$6,0)+IF(EOMONTH(DATE(YEAR(Sales!$CH$1),MONTH(Sales!$CH$1),1)+INT((DAY(Sales!$CH$1)-1)/2)+'Cash Drivers'!CH$13,0)=EOMONTH($BG$1,0),Sales!CH$6,0)+IF(EOMONTH(DATE(YEAR(Sales!$CE$1),MONTH(Sales!$CE$1),1)+INT((DAY(Sales!$CE$1)-1)/2)+'Cash Drivers'!CE$13,0)=EOMONTH($BG$1,0),Sales!CE$6,0)+IF(EOMONTH(DATE(YEAR(Sales!$CB$1),MONTH(Sales!$CB$1),1)+INT((DAY(Sales!$CB$1)-1)/2)+'Cash Drivers'!CB$13,0)=EOMONTH($BG$1,0),Sales!CB$6,0)+IF(EOMONTH(DATE(YEAR(Sales!$BY$1),MONTH(Sales!$BY$1),1)+INT((DAY(Sales!$BY$1)-1)/2)+'Cash Drivers'!BY$13,0)=EOMONTH($BG$1,0),Sales!BY$6,0)+IF(EOMONTH(DATE(YEAR(Sales!$BV$1),MONTH(Sales!$BV$1),1)+INT((DAY(Sales!$BV$1)-1)/2)+'Cash Drivers'!BV$13,0)=EOMONTH($BG$1,0),Sales!BV$6,0)+IF(EOMONTH(DATE(YEAR(Sales!$BS$1),MONTH(Sales!$BS$1),1)+INT((DAY(Sales!$BS$1)-1)/2)+'Cash Drivers'!BS$13,0)=EOMONTH($BG$1,0),Sales!BS$6,0)+IF(EOMONTH(DATE(YEAR(Sales!$BP$1),MONTH(Sales!$BP$1),1)+INT((DAY(Sales!$BP$1)-1)/2)+'Cash Drivers'!BP$13,0)=EOMONTH($BG$1,0),Sales!BP$6,0)+IF(EOMONTH(DATE(YEAR(Sales!$BM$1),MONTH(Sales!$BM$1),1)+INT((DAY(Sales!$BM$1)-1)/2)+'Cash Drivers'!BM$13,0)=EOMONTH($BG$1,0),Sales!BM$6,0)+IF(EOMONTH(DATE(YEAR(Sales!$BJ$1),MONTH(Sales!$BJ$1),1)+INT((DAY(Sales!$BJ$1)-1)/2)+'Cash Drivers'!BJ$13,0)=EOMONTH($BG$1,0),Sales!BJ$6,0)+IF(EOMONTH(DATE(YEAR(Sales!$BG$1),MONTH(Sales!$BG$1),1)+INT((DAY(Sales!$BG$1)-1)/2)+'Cash Drivers'!BG$13,0)=EOMONTH($BG$1,0),Sales!BG$6,0)+IF(EOMONTH(DATE(YEAR(Sales!$BD$1),MONTH(Sales!$BD$1),1)+INT((DAY(Sales!$BD$1)-1)/2)+'Cash Drivers'!BD$13,0)=EOMONTH($BG$1,0),Sales!BD$6,0)+IF(EOMONTH(DATE(YEAR(Sales!$BA$1),MONTH(Sales!$BA$1),1)+INT((DAY(Sales!$BA$1)-1)/2)+'Cash Drivers'!BA$13,0)=EOMONTH($BG$1,0),Sales!BA$6,0)+IF(EOMONTH(DATE(YEAR(Sales!$AX$1),MONTH(Sales!$AX$1),1)+INT((DAY(Sales!$AX$1)-1)/2)+'Cash Drivers'!AX$13,0)=EOMONTH($BG$1,0),Sales!AX$6,0)+IF(EOMONTH(DATE(YEAR(Sales!$AU$1),MONTH(Sales!$AU$1),1)+INT((DAY(Sales!$AU$1)-1)/2)+'Cash Drivers'!AU$13,0)=EOMONTH($BG$1,0),Sales!AU$6,0)+IF(EOMONTH(DATE(YEAR(Sales!$AR$1),MONTH(Sales!$AR$1),1)+INT((DAY(Sales!$AR$1)-1)/2)+'Cash Drivers'!AR$13,0)=EOMONTH($BG$1,0),Sales!AR$6,0)+IF(EOMONTH(DATE(YEAR(Sales!$AO$1),MONTH(Sales!$AO$1),1)+INT((DAY(Sales!$AO$1)-1)/2)+'Cash Drivers'!AO$13,0)=EOMONTH($BG$1,0),Sales!AO$6,0)+IF(EOMONTH(DATE(YEAR(Sales!$AL$1),MONTH(Sales!$AL$1),1)+INT((DAY(Sales!$AL$1)-1)/2)+'Cash Drivers'!AL$13,0)=EOMONTH($BG$1,0),Sales!AL$6,0)+IF(EOMONTH(DATE(YEAR(Sales!$AI$1),MONTH(Sales!$AI$1),1)+INT((DAY(Sales!$AI$1)-1)/2)+'Cash Drivers'!AI$13,0)=EOMONTH($BG$1,0),Sales!AI$6,0)+IF(EOMONTH(DATE(YEAR(Sales!$AF$1),MONTH(Sales!$AF$1),1)+INT((DAY(Sales!$AF$1)-1)/2)+'Cash Drivers'!AF$13,0)=EOMONTH($BG$1,0),Sales!AF$6,0)+IF(EOMONTH(DATE(YEAR(Sales!$AC$1),MONTH(Sales!$AC$1),1)+INT((DAY(Sales!$AC$1)-1)/2)+'Cash Drivers'!AC$13,0)=EOMONTH($BG$1,0),Sales!AC$6,0)+IF(EOMONTH(DATE(YEAR(Sales!$Z$1),MONTH(Sales!$Z$1),1)+INT((DAY(Sales!$Z$1)-1)/2)+'Cash Drivers'!Z$13,0)=EOMONTH($BG$1,0),Sales!Z$6,0)+IF(EOMONTH(DATE(YEAR(Sales!$W$1),MONTH(Sales!$W$1),1)+INT((DAY(Sales!$W$1)-1)/2)+'Cash Drivers'!W$13,0)=EOMONTH($BG$1,0),Sales!W$6,0)+IF(EOMONTH(DATE(YEAR(Sales!$T$1),MONTH(Sales!$T$1),1)+INT((DAY(Sales!$T$1)-1)/2)+'Cash Drivers'!T$13,0)=EOMONTH($BG$1,0),Sales!T$6,0)+IF(EOMONTH(DATE(YEAR(Sales!$Q$1),MONTH(Sales!$Q$1),1)+INT((DAY(Sales!$Q$1)-1)/2)+'Cash Drivers'!Q$13,0)=EOMONTH($BG$1,0),Sales!Q$6,0)+IF(EOMONTH(DATE(YEAR(Sales!$N$1),MONTH(Sales!$N$1),1)+INT((DAY(Sales!$N$1)-1)/2)+'Cash Drivers'!N$13,0)=EOMONTH($BG$1,0),Sales!N$6,0)+IF(EOMONTH(DATE(YEAR(Sales!$K$1),MONTH(Sales!$K$1),1)+INT((DAY(Sales!$K$1)-1)/2)+'Cash Drivers'!K$13,0)=EOMONTH($BG$1,0),Sales!K$6,0)+IF(EOMONTH('Cash Drivers'!$DL$30+'Cash Drivers'!DL$13,0)=EOMONTH($BG$1,0),'Cash Drivers'!$DL$32,0),0)</f>
        <v>0</v>
      </c>
      <c r="BH18" s="45" t="n">
        <f aca="false">ROUND(IF(EOMONTH(DATE(YEAR(Sales!$DL$1),MONTH(Sales!$DL$1),1)+INT((DAY(Sales!$DL$1)-1)/2)+'Cash Drivers'!DM$13,0)=EOMONTH($BG$1,0),Sales!DM$6,0)+IF(EOMONTH(DATE(YEAR(Sales!$DI$1),MONTH(Sales!$DI$1),1)+INT((DAY(Sales!$DI$1)-1)/2)+'Cash Drivers'!DJ$13,0)=EOMONTH($BG$1,0),Sales!DJ$6,0)+IF(EOMONTH(DATE(YEAR(Sales!$DF$1),MONTH(Sales!$DF$1),1)+INT((DAY(Sales!$DF$1)-1)/2)+'Cash Drivers'!DG$13,0)=EOMONTH($BG$1,0),Sales!DG$6,0)+IF(EOMONTH(DATE(YEAR(Sales!$DC$1),MONTH(Sales!$DC$1),1)+INT((DAY(Sales!$DC$1)-1)/2)+'Cash Drivers'!DD$13,0)=EOMONTH($BG$1,0),Sales!DD$6,0)+IF(EOMONTH(DATE(YEAR(Sales!$CZ$1),MONTH(Sales!$CZ$1),1)+INT((DAY(Sales!$CZ$1)-1)/2)+'Cash Drivers'!DA$13,0)=EOMONTH($BG$1,0),Sales!DA$6,0)+IF(EOMONTH(DATE(YEAR(Sales!$CW$1),MONTH(Sales!$CW$1),1)+INT((DAY(Sales!$CW$1)-1)/2)+'Cash Drivers'!CX$13,0)=EOMONTH($BG$1,0),Sales!CX$6,0)+IF(EOMONTH(DATE(YEAR(Sales!$CT$1),MONTH(Sales!$CT$1),1)+INT((DAY(Sales!$CT$1)-1)/2)+'Cash Drivers'!CU$13,0)=EOMONTH($BG$1,0),Sales!CU$6,0)+IF(EOMONTH(DATE(YEAR(Sales!$CQ$1),MONTH(Sales!$CQ$1),1)+INT((DAY(Sales!$CQ$1)-1)/2)+'Cash Drivers'!CR$13,0)=EOMONTH($BG$1,0),Sales!CR$6,0)+IF(EOMONTH(DATE(YEAR(Sales!$CN$1),MONTH(Sales!$CN$1),1)+INT((DAY(Sales!$CN$1)-1)/2)+'Cash Drivers'!CO$13,0)=EOMONTH($BG$1,0),Sales!CO$6,0)+IF(EOMONTH(DATE(YEAR(Sales!$CK$1),MONTH(Sales!$CK$1),1)+INT((DAY(Sales!$CK$1)-1)/2)+'Cash Drivers'!CL$13,0)=EOMONTH($BG$1,0),Sales!CL$6,0)+IF(EOMONTH(DATE(YEAR(Sales!$CH$1),MONTH(Sales!$CH$1),1)+INT((DAY(Sales!$CH$1)-1)/2)+'Cash Drivers'!CI$13,0)=EOMONTH($BG$1,0),Sales!CI$6,0)+IF(EOMONTH(DATE(YEAR(Sales!$CE$1),MONTH(Sales!$CE$1),1)+INT((DAY(Sales!$CE$1)-1)/2)+'Cash Drivers'!CF$13,0)=EOMONTH($BG$1,0),Sales!CF$6,0)+IF(EOMONTH(DATE(YEAR(Sales!$CB$1),MONTH(Sales!$CB$1),1)+INT((DAY(Sales!$CB$1)-1)/2)+'Cash Drivers'!CC$13,0)=EOMONTH($BG$1,0),Sales!CC$6,0)+IF(EOMONTH(DATE(YEAR(Sales!$BY$1),MONTH(Sales!$BY$1),1)+INT((DAY(Sales!$BY$1)-1)/2)+'Cash Drivers'!BZ$13,0)=EOMONTH($BG$1,0),Sales!BZ$6,0)+IF(EOMONTH(DATE(YEAR(Sales!$BV$1),MONTH(Sales!$BV$1),1)+INT((DAY(Sales!$BV$1)-1)/2)+'Cash Drivers'!BW$13,0)=EOMONTH($BG$1,0),Sales!BW$6,0)+IF(EOMONTH(DATE(YEAR(Sales!$BS$1),MONTH(Sales!$BS$1),1)+INT((DAY(Sales!$BS$1)-1)/2)+'Cash Drivers'!BT$13,0)=EOMONTH($BG$1,0),Sales!BT$6,0)+IF(EOMONTH(DATE(YEAR(Sales!$BP$1),MONTH(Sales!$BP$1),1)+INT((DAY(Sales!$BP$1)-1)/2)+'Cash Drivers'!BQ$13,0)=EOMONTH($BG$1,0),Sales!BQ$6,0)+IF(EOMONTH(DATE(YEAR(Sales!$BM$1),MONTH(Sales!$BM$1),1)+INT((DAY(Sales!$BM$1)-1)/2)+'Cash Drivers'!BN$13,0)=EOMONTH($BG$1,0),Sales!BN$6,0)+IF(EOMONTH(DATE(YEAR(Sales!$BJ$1),MONTH(Sales!$BJ$1),1)+INT((DAY(Sales!$BJ$1)-1)/2)+'Cash Drivers'!BK$13,0)=EOMONTH($BG$1,0),Sales!BK$6,0)+IF(EOMONTH(DATE(YEAR(Sales!$BG$1),MONTH(Sales!$BG$1),1)+INT((DAY(Sales!$BG$1)-1)/2)+'Cash Drivers'!BH$13,0)=EOMONTH($BG$1,0),Sales!BH$6,0)+IF(EOMONTH(DATE(YEAR(Sales!$BD$1),MONTH(Sales!$BD$1),1)+INT((DAY(Sales!$BD$1)-1)/2)+'Cash Drivers'!BE$13,0)=EOMONTH($BG$1,0),Sales!BE$6,0)+IF(EOMONTH(DATE(YEAR(Sales!$BA$1),MONTH(Sales!$BA$1),1)+INT((DAY(Sales!$BA$1)-1)/2)+'Cash Drivers'!BB$13,0)=EOMONTH($BG$1,0),Sales!BB$6,0)+IF(EOMONTH(DATE(YEAR(Sales!$AX$1),MONTH(Sales!$AX$1),1)+INT((DAY(Sales!$AX$1)-1)/2)+'Cash Drivers'!AY$13,0)=EOMONTH($BG$1,0),Sales!AY$6,0)+IF(EOMONTH(DATE(YEAR(Sales!$AU$1),MONTH(Sales!$AU$1),1)+INT((DAY(Sales!$AU$1)-1)/2)+'Cash Drivers'!AV$13,0)=EOMONTH($BG$1,0),Sales!AV$6,0)+IF(EOMONTH(DATE(YEAR(Sales!$AR$1),MONTH(Sales!$AR$1),1)+INT((DAY(Sales!$AR$1)-1)/2)+'Cash Drivers'!AS$13,0)=EOMONTH($BG$1,0),Sales!AS$6,0)+IF(EOMONTH(DATE(YEAR(Sales!$AO$1),MONTH(Sales!$AO$1),1)+INT((DAY(Sales!$AO$1)-1)/2)+'Cash Drivers'!AP$13,0)=EOMONTH($BG$1,0),Sales!AP$6,0)+IF(EOMONTH(DATE(YEAR(Sales!$AL$1),MONTH(Sales!$AL$1),1)+INT((DAY(Sales!$AL$1)-1)/2)+'Cash Drivers'!AM$13,0)=EOMONTH($BG$1,0),Sales!AM$6,0)+IF(EOMONTH(DATE(YEAR(Sales!$AI$1),MONTH(Sales!$AI$1),1)+INT((DAY(Sales!$AI$1)-1)/2)+'Cash Drivers'!AJ$13,0)=EOMONTH($BG$1,0),Sales!AJ$6,0)+IF(EOMONTH(DATE(YEAR(Sales!$AF$1),MONTH(Sales!$AF$1),1)+INT((DAY(Sales!$AF$1)-1)/2)+'Cash Drivers'!AG$13,0)=EOMONTH($BG$1,0),Sales!AG$6,0)+IF(EOMONTH(DATE(YEAR(Sales!$AC$1),MONTH(Sales!$AC$1),1)+INT((DAY(Sales!$AC$1)-1)/2)+'Cash Drivers'!AD$13,0)=EOMONTH($BG$1,0),Sales!AD$6,0)+IF(EOMONTH(DATE(YEAR(Sales!$Z$1),MONTH(Sales!$Z$1),1)+INT((DAY(Sales!$Z$1)-1)/2)+'Cash Drivers'!AA$13,0)=EOMONTH($BG$1,0),Sales!AA$6,0)+IF(EOMONTH(DATE(YEAR(Sales!$W$1),MONTH(Sales!$W$1),1)+INT((DAY(Sales!$W$1)-1)/2)+'Cash Drivers'!X$13,0)=EOMONTH($BG$1,0),Sales!X$6,0)+IF(EOMONTH(DATE(YEAR(Sales!$T$1),MONTH(Sales!$T$1),1)+INT((DAY(Sales!$T$1)-1)/2)+'Cash Drivers'!U$13,0)=EOMONTH($BG$1,0),Sales!U$6,0)+IF(EOMONTH(DATE(YEAR(Sales!$Q$1),MONTH(Sales!$Q$1),1)+INT((DAY(Sales!$Q$1)-1)/2)+'Cash Drivers'!R$13,0)=EOMONTH($BG$1,0),Sales!R$6,0)+IF(EOMONTH(DATE(YEAR(Sales!$N$1),MONTH(Sales!$N$1),1)+INT((DAY(Sales!$N$1)-1)/2)+'Cash Drivers'!O$13,0)=EOMONTH($BG$1,0),Sales!O$6,0)+IF(EOMONTH(DATE(YEAR(Sales!$K$1),MONTH(Sales!$K$1),1)+INT((DAY(Sales!$K$1)-1)/2)+'Cash Drivers'!L$13,0)=EOMONTH($BG$1,0),Sales!L$6,0)+IF(EOMONTH('Cash Drivers'!$DL$30+'Cash Drivers'!DM$13,0)=EOMONTH($BG$1,0),'Cash Drivers'!$DL$32,0),0)</f>
        <v>28</v>
      </c>
      <c r="BI18" s="46" t="n">
        <f aca="false">ROUND(IF(EOMONTH(DATE(YEAR(Sales!$DL$1),MONTH(Sales!$DL$1),1)+INT((DAY(Sales!$DL$1)-1)/2)+'Cash Drivers'!DN$13,0)=EOMONTH($BG$1,0),Sales!DN$6,0)+IF(EOMONTH(DATE(YEAR(Sales!$DI$1),MONTH(Sales!$DI$1),1)+INT((DAY(Sales!$DI$1)-1)/2)+'Cash Drivers'!DK$13,0)=EOMONTH($BG$1,0),Sales!DK$6,0)+IF(EOMONTH(DATE(YEAR(Sales!$DF$1),MONTH(Sales!$DF$1),1)+INT((DAY(Sales!$DF$1)-1)/2)+'Cash Drivers'!DH$13,0)=EOMONTH($BG$1,0),Sales!DH$6,0)+IF(EOMONTH(DATE(YEAR(Sales!$DC$1),MONTH(Sales!$DC$1),1)+INT((DAY(Sales!$DC$1)-1)/2)+'Cash Drivers'!DE$13,0)=EOMONTH($BG$1,0),Sales!DE$6,0)+IF(EOMONTH(DATE(YEAR(Sales!$CZ$1),MONTH(Sales!$CZ$1),1)+INT((DAY(Sales!$CZ$1)-1)/2)+'Cash Drivers'!DB$13,0)=EOMONTH($BG$1,0),Sales!DB$6,0)+IF(EOMONTH(DATE(YEAR(Sales!$CW$1),MONTH(Sales!$CW$1),1)+INT((DAY(Sales!$CW$1)-1)/2)+'Cash Drivers'!CY$13,0)=EOMONTH($BG$1,0),Sales!CY$6,0)+IF(EOMONTH(DATE(YEAR(Sales!$CT$1),MONTH(Sales!$CT$1),1)+INT((DAY(Sales!$CT$1)-1)/2)+'Cash Drivers'!CV$13,0)=EOMONTH($BG$1,0),Sales!CV$6,0)+IF(EOMONTH(DATE(YEAR(Sales!$CQ$1),MONTH(Sales!$CQ$1),1)+INT((DAY(Sales!$CQ$1)-1)/2)+'Cash Drivers'!CS$13,0)=EOMONTH($BG$1,0),Sales!CS$6,0)+IF(EOMONTH(DATE(YEAR(Sales!$CN$1),MONTH(Sales!$CN$1),1)+INT((DAY(Sales!$CN$1)-1)/2)+'Cash Drivers'!CP$13,0)=EOMONTH($BG$1,0),Sales!CP$6,0)+IF(EOMONTH(DATE(YEAR(Sales!$CK$1),MONTH(Sales!$CK$1),1)+INT((DAY(Sales!$CK$1)-1)/2)+'Cash Drivers'!CM$13,0)=EOMONTH($BG$1,0),Sales!CM$6,0)+IF(EOMONTH(DATE(YEAR(Sales!$CH$1),MONTH(Sales!$CH$1),1)+INT((DAY(Sales!$CH$1)-1)/2)+'Cash Drivers'!CJ$13,0)=EOMONTH($BG$1,0),Sales!CJ$6,0)+IF(EOMONTH(DATE(YEAR(Sales!$CE$1),MONTH(Sales!$CE$1),1)+INT((DAY(Sales!$CE$1)-1)/2)+'Cash Drivers'!CG$13,0)=EOMONTH($BG$1,0),Sales!CG$6,0)+IF(EOMONTH(DATE(YEAR(Sales!$CB$1),MONTH(Sales!$CB$1),1)+INT((DAY(Sales!$CB$1)-1)/2)+'Cash Drivers'!CD$13,0)=EOMONTH($BG$1,0),Sales!CD$6,0)+IF(EOMONTH(DATE(YEAR(Sales!$BY$1),MONTH(Sales!$BY$1),1)+INT((DAY(Sales!$BY$1)-1)/2)+'Cash Drivers'!CA$13,0)=EOMONTH($BG$1,0),Sales!CA$6,0)+IF(EOMONTH(DATE(YEAR(Sales!$BV$1),MONTH(Sales!$BV$1),1)+INT((DAY(Sales!$BV$1)-1)/2)+'Cash Drivers'!BX$13,0)=EOMONTH($BG$1,0),Sales!BX$6,0)+IF(EOMONTH(DATE(YEAR(Sales!$BS$1),MONTH(Sales!$BS$1),1)+INT((DAY(Sales!$BS$1)-1)/2)+'Cash Drivers'!BU$13,0)=EOMONTH($BG$1,0),Sales!BU$6,0)+IF(EOMONTH(DATE(YEAR(Sales!$BP$1),MONTH(Sales!$BP$1),1)+INT((DAY(Sales!$BP$1)-1)/2)+'Cash Drivers'!BR$13,0)=EOMONTH($BG$1,0),Sales!BR$6,0)+IF(EOMONTH(DATE(YEAR(Sales!$BM$1),MONTH(Sales!$BM$1),1)+INT((DAY(Sales!$BM$1)-1)/2)+'Cash Drivers'!BO$13,0)=EOMONTH($BG$1,0),Sales!BO$6,0)+IF(EOMONTH(DATE(YEAR(Sales!$BJ$1),MONTH(Sales!$BJ$1),1)+INT((DAY(Sales!$BJ$1)-1)/2)+'Cash Drivers'!BL$13,0)=EOMONTH($BG$1,0),Sales!BL$6,0)+IF(EOMONTH(DATE(YEAR(Sales!$BG$1),MONTH(Sales!$BG$1),1)+INT((DAY(Sales!$BG$1)-1)/2)+'Cash Drivers'!BI$13,0)=EOMONTH($BG$1,0),Sales!BI$6,0)+IF(EOMONTH(DATE(YEAR(Sales!$BD$1),MONTH(Sales!$BD$1),1)+INT((DAY(Sales!$BD$1)-1)/2)+'Cash Drivers'!BF$13,0)=EOMONTH($BG$1,0),Sales!BF$6,0)+IF(EOMONTH(DATE(YEAR(Sales!$BA$1),MONTH(Sales!$BA$1),1)+INT((DAY(Sales!$BA$1)-1)/2)+'Cash Drivers'!BC$13,0)=EOMONTH($BG$1,0),Sales!BC$6,0)+IF(EOMONTH(DATE(YEAR(Sales!$AX$1),MONTH(Sales!$AX$1),1)+INT((DAY(Sales!$AX$1)-1)/2)+'Cash Drivers'!AZ$13,0)=EOMONTH($BG$1,0),Sales!AZ$6,0)+IF(EOMONTH(DATE(YEAR(Sales!$AU$1),MONTH(Sales!$AU$1),1)+INT((DAY(Sales!$AU$1)-1)/2)+'Cash Drivers'!AW$13,0)=EOMONTH($BG$1,0),Sales!AW$6,0)+IF(EOMONTH(DATE(YEAR(Sales!$AR$1),MONTH(Sales!$AR$1),1)+INT((DAY(Sales!$AR$1)-1)/2)+'Cash Drivers'!AT$13,0)=EOMONTH($BG$1,0),Sales!AT$6,0)+IF(EOMONTH(DATE(YEAR(Sales!$AO$1),MONTH(Sales!$AO$1),1)+INT((DAY(Sales!$AO$1)-1)/2)+'Cash Drivers'!AQ$13,0)=EOMONTH($BG$1,0),Sales!AQ$6,0)+IF(EOMONTH(DATE(YEAR(Sales!$AL$1),MONTH(Sales!$AL$1),1)+INT((DAY(Sales!$AL$1)-1)/2)+'Cash Drivers'!AN$13,0)=EOMONTH($BG$1,0),Sales!AN$6,0)+IF(EOMONTH(DATE(YEAR(Sales!$AI$1),MONTH(Sales!$AI$1),1)+INT((DAY(Sales!$AI$1)-1)/2)+'Cash Drivers'!AK$13,0)=EOMONTH($BG$1,0),Sales!AK$6,0)+IF(EOMONTH(DATE(YEAR(Sales!$AF$1),MONTH(Sales!$AF$1),1)+INT((DAY(Sales!$AF$1)-1)/2)+'Cash Drivers'!AH$13,0)=EOMONTH($BG$1,0),Sales!AH$6,0)+IF(EOMONTH(DATE(YEAR(Sales!$AC$1),MONTH(Sales!$AC$1),1)+INT((DAY(Sales!$AC$1)-1)/2)+'Cash Drivers'!AE$13,0)=EOMONTH($BG$1,0),Sales!AE$6,0)+IF(EOMONTH(DATE(YEAR(Sales!$Z$1),MONTH(Sales!$Z$1),1)+INT((DAY(Sales!$Z$1)-1)/2)+'Cash Drivers'!AB$13,0)=EOMONTH($BG$1,0),Sales!AB$6,0)+IF(EOMONTH(DATE(YEAR(Sales!$W$1),MONTH(Sales!$W$1),1)+INT((DAY(Sales!$W$1)-1)/2)+'Cash Drivers'!Y$13,0)=EOMONTH($BG$1,0),Sales!Y$6,0)+IF(EOMONTH(DATE(YEAR(Sales!$T$1),MONTH(Sales!$T$1),1)+INT((DAY(Sales!$T$1)-1)/2)+'Cash Drivers'!V$13,0)=EOMONTH($BG$1,0),Sales!V$6,0)+IF(EOMONTH(DATE(YEAR(Sales!$Q$1),MONTH(Sales!$Q$1),1)+INT((DAY(Sales!$Q$1)-1)/2)+'Cash Drivers'!S$13,0)=EOMONTH($BG$1,0),Sales!S$6,0)+IF(EOMONTH(DATE(YEAR(Sales!$N$1),MONTH(Sales!$N$1),1)+INT((DAY(Sales!$N$1)-1)/2)+'Cash Drivers'!P$13,0)=EOMONTH($BG$1,0),Sales!P$6,0)+IF(EOMONTH(DATE(YEAR(Sales!$K$1),MONTH(Sales!$K$1),1)+INT((DAY(Sales!$K$1)-1)/2)+'Cash Drivers'!M$13,0)=EOMONTH($BG$1,0),Sales!M$6,0)+IF(EOMONTH('Cash Drivers'!$DL$30+'Cash Drivers'!DN$13,0)=EOMONTH($BG$1,0),'Cash Drivers'!$DL$32,0),0)</f>
        <v>28</v>
      </c>
      <c r="BJ18" s="44" t="n">
        <f aca="false">ROUND(IF(EOMONTH(DATE(YEAR(Sales!$DL$1),MONTH(Sales!$DL$1),1)+INT((DAY(Sales!$DL$1)-1)/2)+'Cash Drivers'!DL$13,0)=EOMONTH($BJ$1,0),Sales!DL$6,0)+IF(EOMONTH(DATE(YEAR(Sales!$DI$1),MONTH(Sales!$DI$1),1)+INT((DAY(Sales!$DI$1)-1)/2)+'Cash Drivers'!DI$13,0)=EOMONTH($BJ$1,0),Sales!DI$6,0)+IF(EOMONTH(DATE(YEAR(Sales!$DF$1),MONTH(Sales!$DF$1),1)+INT((DAY(Sales!$DF$1)-1)/2)+'Cash Drivers'!DF$13,0)=EOMONTH($BJ$1,0),Sales!DF$6,0)+IF(EOMONTH(DATE(YEAR(Sales!$DC$1),MONTH(Sales!$DC$1),1)+INT((DAY(Sales!$DC$1)-1)/2)+'Cash Drivers'!DC$13,0)=EOMONTH($BJ$1,0),Sales!DC$6,0)+IF(EOMONTH(DATE(YEAR(Sales!$CZ$1),MONTH(Sales!$CZ$1),1)+INT((DAY(Sales!$CZ$1)-1)/2)+'Cash Drivers'!CZ$13,0)=EOMONTH($BJ$1,0),Sales!CZ$6,0)+IF(EOMONTH(DATE(YEAR(Sales!$CW$1),MONTH(Sales!$CW$1),1)+INT((DAY(Sales!$CW$1)-1)/2)+'Cash Drivers'!CW$13,0)=EOMONTH($BJ$1,0),Sales!CW$6,0)+IF(EOMONTH(DATE(YEAR(Sales!$CT$1),MONTH(Sales!$CT$1),1)+INT((DAY(Sales!$CT$1)-1)/2)+'Cash Drivers'!CT$13,0)=EOMONTH($BJ$1,0),Sales!CT$6,0)+IF(EOMONTH(DATE(YEAR(Sales!$CQ$1),MONTH(Sales!$CQ$1),1)+INT((DAY(Sales!$CQ$1)-1)/2)+'Cash Drivers'!CQ$13,0)=EOMONTH($BJ$1,0),Sales!CQ$6,0)+IF(EOMONTH(DATE(YEAR(Sales!$CN$1),MONTH(Sales!$CN$1),1)+INT((DAY(Sales!$CN$1)-1)/2)+'Cash Drivers'!CN$13,0)=EOMONTH($BJ$1,0),Sales!CN$6,0)+IF(EOMONTH(DATE(YEAR(Sales!$CK$1),MONTH(Sales!$CK$1),1)+INT((DAY(Sales!$CK$1)-1)/2)+'Cash Drivers'!CK$13,0)=EOMONTH($BJ$1,0),Sales!CK$6,0)+IF(EOMONTH(DATE(YEAR(Sales!$CH$1),MONTH(Sales!$CH$1),1)+INT((DAY(Sales!$CH$1)-1)/2)+'Cash Drivers'!CH$13,0)=EOMONTH($BJ$1,0),Sales!CH$6,0)+IF(EOMONTH(DATE(YEAR(Sales!$CE$1),MONTH(Sales!$CE$1),1)+INT((DAY(Sales!$CE$1)-1)/2)+'Cash Drivers'!CE$13,0)=EOMONTH($BJ$1,0),Sales!CE$6,0)+IF(EOMONTH(DATE(YEAR(Sales!$CB$1),MONTH(Sales!$CB$1),1)+INT((DAY(Sales!$CB$1)-1)/2)+'Cash Drivers'!CB$13,0)=EOMONTH($BJ$1,0),Sales!CB$6,0)+IF(EOMONTH(DATE(YEAR(Sales!$BY$1),MONTH(Sales!$BY$1),1)+INT((DAY(Sales!$BY$1)-1)/2)+'Cash Drivers'!BY$13,0)=EOMONTH($BJ$1,0),Sales!BY$6,0)+IF(EOMONTH(DATE(YEAR(Sales!$BV$1),MONTH(Sales!$BV$1),1)+INT((DAY(Sales!$BV$1)-1)/2)+'Cash Drivers'!BV$13,0)=EOMONTH($BJ$1,0),Sales!BV$6,0)+IF(EOMONTH(DATE(YEAR(Sales!$BS$1),MONTH(Sales!$BS$1),1)+INT((DAY(Sales!$BS$1)-1)/2)+'Cash Drivers'!BS$13,0)=EOMONTH($BJ$1,0),Sales!BS$6,0)+IF(EOMONTH(DATE(YEAR(Sales!$BP$1),MONTH(Sales!$BP$1),1)+INT((DAY(Sales!$BP$1)-1)/2)+'Cash Drivers'!BP$13,0)=EOMONTH($BJ$1,0),Sales!BP$6,0)+IF(EOMONTH(DATE(YEAR(Sales!$BM$1),MONTH(Sales!$BM$1),1)+INT((DAY(Sales!$BM$1)-1)/2)+'Cash Drivers'!BM$13,0)=EOMONTH($BJ$1,0),Sales!BM$6,0)+IF(EOMONTH(DATE(YEAR(Sales!$BJ$1),MONTH(Sales!$BJ$1),1)+INT((DAY(Sales!$BJ$1)-1)/2)+'Cash Drivers'!BJ$13,0)=EOMONTH($BJ$1,0),Sales!BJ$6,0)+IF(EOMONTH(DATE(YEAR(Sales!$BG$1),MONTH(Sales!$BG$1),1)+INT((DAY(Sales!$BG$1)-1)/2)+'Cash Drivers'!BG$13,0)=EOMONTH($BJ$1,0),Sales!BG$6,0)+IF(EOMONTH(DATE(YEAR(Sales!$BD$1),MONTH(Sales!$BD$1),1)+INT((DAY(Sales!$BD$1)-1)/2)+'Cash Drivers'!BD$13,0)=EOMONTH($BJ$1,0),Sales!BD$6,0)+IF(EOMONTH(DATE(YEAR(Sales!$BA$1),MONTH(Sales!$BA$1),1)+INT((DAY(Sales!$BA$1)-1)/2)+'Cash Drivers'!BA$13,0)=EOMONTH($BJ$1,0),Sales!BA$6,0)+IF(EOMONTH(DATE(YEAR(Sales!$AX$1),MONTH(Sales!$AX$1),1)+INT((DAY(Sales!$AX$1)-1)/2)+'Cash Drivers'!AX$13,0)=EOMONTH($BJ$1,0),Sales!AX$6,0)+IF(EOMONTH(DATE(YEAR(Sales!$AU$1),MONTH(Sales!$AU$1),1)+INT((DAY(Sales!$AU$1)-1)/2)+'Cash Drivers'!AU$13,0)=EOMONTH($BJ$1,0),Sales!AU$6,0)+IF(EOMONTH(DATE(YEAR(Sales!$AR$1),MONTH(Sales!$AR$1),1)+INT((DAY(Sales!$AR$1)-1)/2)+'Cash Drivers'!AR$13,0)=EOMONTH($BJ$1,0),Sales!AR$6,0)+IF(EOMONTH(DATE(YEAR(Sales!$AO$1),MONTH(Sales!$AO$1),1)+INT((DAY(Sales!$AO$1)-1)/2)+'Cash Drivers'!AO$13,0)=EOMONTH($BJ$1,0),Sales!AO$6,0)+IF(EOMONTH(DATE(YEAR(Sales!$AL$1),MONTH(Sales!$AL$1),1)+INT((DAY(Sales!$AL$1)-1)/2)+'Cash Drivers'!AL$13,0)=EOMONTH($BJ$1,0),Sales!AL$6,0)+IF(EOMONTH(DATE(YEAR(Sales!$AI$1),MONTH(Sales!$AI$1),1)+INT((DAY(Sales!$AI$1)-1)/2)+'Cash Drivers'!AI$13,0)=EOMONTH($BJ$1,0),Sales!AI$6,0)+IF(EOMONTH(DATE(YEAR(Sales!$AF$1),MONTH(Sales!$AF$1),1)+INT((DAY(Sales!$AF$1)-1)/2)+'Cash Drivers'!AF$13,0)=EOMONTH($BJ$1,0),Sales!AF$6,0)+IF(EOMONTH(DATE(YEAR(Sales!$AC$1),MONTH(Sales!$AC$1),1)+INT((DAY(Sales!$AC$1)-1)/2)+'Cash Drivers'!AC$13,0)=EOMONTH($BJ$1,0),Sales!AC$6,0)+IF(EOMONTH(DATE(YEAR(Sales!$Z$1),MONTH(Sales!$Z$1),1)+INT((DAY(Sales!$Z$1)-1)/2)+'Cash Drivers'!Z$13,0)=EOMONTH($BJ$1,0),Sales!Z$6,0)+IF(EOMONTH(DATE(YEAR(Sales!$W$1),MONTH(Sales!$W$1),1)+INT((DAY(Sales!$W$1)-1)/2)+'Cash Drivers'!W$13,0)=EOMONTH($BJ$1,0),Sales!W$6,0)+IF(EOMONTH(DATE(YEAR(Sales!$T$1),MONTH(Sales!$T$1),1)+INT((DAY(Sales!$T$1)-1)/2)+'Cash Drivers'!T$13,0)=EOMONTH($BJ$1,0),Sales!T$6,0)+IF(EOMONTH(DATE(YEAR(Sales!$Q$1),MONTH(Sales!$Q$1),1)+INT((DAY(Sales!$Q$1)-1)/2)+'Cash Drivers'!Q$13,0)=EOMONTH($BJ$1,0),Sales!Q$6,0)+IF(EOMONTH(DATE(YEAR(Sales!$N$1),MONTH(Sales!$N$1),1)+INT((DAY(Sales!$N$1)-1)/2)+'Cash Drivers'!N$13,0)=EOMONTH($BJ$1,0),Sales!N$6,0)+IF(EOMONTH(DATE(YEAR(Sales!$K$1),MONTH(Sales!$K$1),1)+INT((DAY(Sales!$K$1)-1)/2)+'Cash Drivers'!K$13,0)=EOMONTH($BJ$1,0),Sales!K$6,0)+IF(EOMONTH('Cash Drivers'!$DL$30+'Cash Drivers'!DL$13,0)=EOMONTH($BJ$1,0),'Cash Drivers'!$DL$32,0),0)</f>
        <v>0</v>
      </c>
      <c r="BK18" s="45" t="n">
        <f aca="false">ROUND(IF(EOMONTH(DATE(YEAR(Sales!$DL$1),MONTH(Sales!$DL$1),1)+INT((DAY(Sales!$DL$1)-1)/2)+'Cash Drivers'!DM$13,0)=EOMONTH($BJ$1,0),Sales!DM$6,0)+IF(EOMONTH(DATE(YEAR(Sales!$DI$1),MONTH(Sales!$DI$1),1)+INT((DAY(Sales!$DI$1)-1)/2)+'Cash Drivers'!DJ$13,0)=EOMONTH($BJ$1,0),Sales!DJ$6,0)+IF(EOMONTH(DATE(YEAR(Sales!$DF$1),MONTH(Sales!$DF$1),1)+INT((DAY(Sales!$DF$1)-1)/2)+'Cash Drivers'!DG$13,0)=EOMONTH($BJ$1,0),Sales!DG$6,0)+IF(EOMONTH(DATE(YEAR(Sales!$DC$1),MONTH(Sales!$DC$1),1)+INT((DAY(Sales!$DC$1)-1)/2)+'Cash Drivers'!DD$13,0)=EOMONTH($BJ$1,0),Sales!DD$6,0)+IF(EOMONTH(DATE(YEAR(Sales!$CZ$1),MONTH(Sales!$CZ$1),1)+INT((DAY(Sales!$CZ$1)-1)/2)+'Cash Drivers'!DA$13,0)=EOMONTH($BJ$1,0),Sales!DA$6,0)+IF(EOMONTH(DATE(YEAR(Sales!$CW$1),MONTH(Sales!$CW$1),1)+INT((DAY(Sales!$CW$1)-1)/2)+'Cash Drivers'!CX$13,0)=EOMONTH($BJ$1,0),Sales!CX$6,0)+IF(EOMONTH(DATE(YEAR(Sales!$CT$1),MONTH(Sales!$CT$1),1)+INT((DAY(Sales!$CT$1)-1)/2)+'Cash Drivers'!CU$13,0)=EOMONTH($BJ$1,0),Sales!CU$6,0)+IF(EOMONTH(DATE(YEAR(Sales!$CQ$1),MONTH(Sales!$CQ$1),1)+INT((DAY(Sales!$CQ$1)-1)/2)+'Cash Drivers'!CR$13,0)=EOMONTH($BJ$1,0),Sales!CR$6,0)+IF(EOMONTH(DATE(YEAR(Sales!$CN$1),MONTH(Sales!$CN$1),1)+INT((DAY(Sales!$CN$1)-1)/2)+'Cash Drivers'!CO$13,0)=EOMONTH($BJ$1,0),Sales!CO$6,0)+IF(EOMONTH(DATE(YEAR(Sales!$CK$1),MONTH(Sales!$CK$1),1)+INT((DAY(Sales!$CK$1)-1)/2)+'Cash Drivers'!CL$13,0)=EOMONTH($BJ$1,0),Sales!CL$6,0)+IF(EOMONTH(DATE(YEAR(Sales!$CH$1),MONTH(Sales!$CH$1),1)+INT((DAY(Sales!$CH$1)-1)/2)+'Cash Drivers'!CI$13,0)=EOMONTH($BJ$1,0),Sales!CI$6,0)+IF(EOMONTH(DATE(YEAR(Sales!$CE$1),MONTH(Sales!$CE$1),1)+INT((DAY(Sales!$CE$1)-1)/2)+'Cash Drivers'!CF$13,0)=EOMONTH($BJ$1,0),Sales!CF$6,0)+IF(EOMONTH(DATE(YEAR(Sales!$CB$1),MONTH(Sales!$CB$1),1)+INT((DAY(Sales!$CB$1)-1)/2)+'Cash Drivers'!CC$13,0)=EOMONTH($BJ$1,0),Sales!CC$6,0)+IF(EOMONTH(DATE(YEAR(Sales!$BY$1),MONTH(Sales!$BY$1),1)+INT((DAY(Sales!$BY$1)-1)/2)+'Cash Drivers'!BZ$13,0)=EOMONTH($BJ$1,0),Sales!BZ$6,0)+IF(EOMONTH(DATE(YEAR(Sales!$BV$1),MONTH(Sales!$BV$1),1)+INT((DAY(Sales!$BV$1)-1)/2)+'Cash Drivers'!BW$13,0)=EOMONTH($BJ$1,0),Sales!BW$6,0)+IF(EOMONTH(DATE(YEAR(Sales!$BS$1),MONTH(Sales!$BS$1),1)+INT((DAY(Sales!$BS$1)-1)/2)+'Cash Drivers'!BT$13,0)=EOMONTH($BJ$1,0),Sales!BT$6,0)+IF(EOMONTH(DATE(YEAR(Sales!$BP$1),MONTH(Sales!$BP$1),1)+INT((DAY(Sales!$BP$1)-1)/2)+'Cash Drivers'!BQ$13,0)=EOMONTH($BJ$1,0),Sales!BQ$6,0)+IF(EOMONTH(DATE(YEAR(Sales!$BM$1),MONTH(Sales!$BM$1),1)+INT((DAY(Sales!$BM$1)-1)/2)+'Cash Drivers'!BN$13,0)=EOMONTH($BJ$1,0),Sales!BN$6,0)+IF(EOMONTH(DATE(YEAR(Sales!$BJ$1),MONTH(Sales!$BJ$1),1)+INT((DAY(Sales!$BJ$1)-1)/2)+'Cash Drivers'!BK$13,0)=EOMONTH($BJ$1,0),Sales!BK$6,0)+IF(EOMONTH(DATE(YEAR(Sales!$BG$1),MONTH(Sales!$BG$1),1)+INT((DAY(Sales!$BG$1)-1)/2)+'Cash Drivers'!BH$13,0)=EOMONTH($BJ$1,0),Sales!BH$6,0)+IF(EOMONTH(DATE(YEAR(Sales!$BD$1),MONTH(Sales!$BD$1),1)+INT((DAY(Sales!$BD$1)-1)/2)+'Cash Drivers'!BE$13,0)=EOMONTH($BJ$1,0),Sales!BE$6,0)+IF(EOMONTH(DATE(YEAR(Sales!$BA$1),MONTH(Sales!$BA$1),1)+INT((DAY(Sales!$BA$1)-1)/2)+'Cash Drivers'!BB$13,0)=EOMONTH($BJ$1,0),Sales!BB$6,0)+IF(EOMONTH(DATE(YEAR(Sales!$AX$1),MONTH(Sales!$AX$1),1)+INT((DAY(Sales!$AX$1)-1)/2)+'Cash Drivers'!AY$13,0)=EOMONTH($BJ$1,0),Sales!AY$6,0)+IF(EOMONTH(DATE(YEAR(Sales!$AU$1),MONTH(Sales!$AU$1),1)+INT((DAY(Sales!$AU$1)-1)/2)+'Cash Drivers'!AV$13,0)=EOMONTH($BJ$1,0),Sales!AV$6,0)+IF(EOMONTH(DATE(YEAR(Sales!$AR$1),MONTH(Sales!$AR$1),1)+INT((DAY(Sales!$AR$1)-1)/2)+'Cash Drivers'!AS$13,0)=EOMONTH($BJ$1,0),Sales!AS$6,0)+IF(EOMONTH(DATE(YEAR(Sales!$AO$1),MONTH(Sales!$AO$1),1)+INT((DAY(Sales!$AO$1)-1)/2)+'Cash Drivers'!AP$13,0)=EOMONTH($BJ$1,0),Sales!AP$6,0)+IF(EOMONTH(DATE(YEAR(Sales!$AL$1),MONTH(Sales!$AL$1),1)+INT((DAY(Sales!$AL$1)-1)/2)+'Cash Drivers'!AM$13,0)=EOMONTH($BJ$1,0),Sales!AM$6,0)+IF(EOMONTH(DATE(YEAR(Sales!$AI$1),MONTH(Sales!$AI$1),1)+INT((DAY(Sales!$AI$1)-1)/2)+'Cash Drivers'!AJ$13,0)=EOMONTH($BJ$1,0),Sales!AJ$6,0)+IF(EOMONTH(DATE(YEAR(Sales!$AF$1),MONTH(Sales!$AF$1),1)+INT((DAY(Sales!$AF$1)-1)/2)+'Cash Drivers'!AG$13,0)=EOMONTH($BJ$1,0),Sales!AG$6,0)+IF(EOMONTH(DATE(YEAR(Sales!$AC$1),MONTH(Sales!$AC$1),1)+INT((DAY(Sales!$AC$1)-1)/2)+'Cash Drivers'!AD$13,0)=EOMONTH($BJ$1,0),Sales!AD$6,0)+IF(EOMONTH(DATE(YEAR(Sales!$Z$1),MONTH(Sales!$Z$1),1)+INT((DAY(Sales!$Z$1)-1)/2)+'Cash Drivers'!AA$13,0)=EOMONTH($BJ$1,0),Sales!AA$6,0)+IF(EOMONTH(DATE(YEAR(Sales!$W$1),MONTH(Sales!$W$1),1)+INT((DAY(Sales!$W$1)-1)/2)+'Cash Drivers'!X$13,0)=EOMONTH($BJ$1,0),Sales!X$6,0)+IF(EOMONTH(DATE(YEAR(Sales!$T$1),MONTH(Sales!$T$1),1)+INT((DAY(Sales!$T$1)-1)/2)+'Cash Drivers'!U$13,0)=EOMONTH($BJ$1,0),Sales!U$6,0)+IF(EOMONTH(DATE(YEAR(Sales!$Q$1),MONTH(Sales!$Q$1),1)+INT((DAY(Sales!$Q$1)-1)/2)+'Cash Drivers'!R$13,0)=EOMONTH($BJ$1,0),Sales!R$6,0)+IF(EOMONTH(DATE(YEAR(Sales!$N$1),MONTH(Sales!$N$1),1)+INT((DAY(Sales!$N$1)-1)/2)+'Cash Drivers'!O$13,0)=EOMONTH($BJ$1,0),Sales!O$6,0)+IF(EOMONTH(DATE(YEAR(Sales!$K$1),MONTH(Sales!$K$1),1)+INT((DAY(Sales!$K$1)-1)/2)+'Cash Drivers'!L$13,0)=EOMONTH($BJ$1,0),Sales!L$6,0)+IF(EOMONTH('Cash Drivers'!$DL$30+'Cash Drivers'!DM$13,0)=EOMONTH($BJ$1,0),'Cash Drivers'!$DL$32,0),0)</f>
        <v>28</v>
      </c>
      <c r="BL18" s="46" t="n">
        <f aca="false">ROUND(IF(EOMONTH(DATE(YEAR(Sales!$DL$1),MONTH(Sales!$DL$1),1)+INT((DAY(Sales!$DL$1)-1)/2)+'Cash Drivers'!DN$13,0)=EOMONTH($BJ$1,0),Sales!DN$6,0)+IF(EOMONTH(DATE(YEAR(Sales!$DI$1),MONTH(Sales!$DI$1),1)+INT((DAY(Sales!$DI$1)-1)/2)+'Cash Drivers'!DK$13,0)=EOMONTH($BJ$1,0),Sales!DK$6,0)+IF(EOMONTH(DATE(YEAR(Sales!$DF$1),MONTH(Sales!$DF$1),1)+INT((DAY(Sales!$DF$1)-1)/2)+'Cash Drivers'!DH$13,0)=EOMONTH($BJ$1,0),Sales!DH$6,0)+IF(EOMONTH(DATE(YEAR(Sales!$DC$1),MONTH(Sales!$DC$1),1)+INT((DAY(Sales!$DC$1)-1)/2)+'Cash Drivers'!DE$13,0)=EOMONTH($BJ$1,0),Sales!DE$6,0)+IF(EOMONTH(DATE(YEAR(Sales!$CZ$1),MONTH(Sales!$CZ$1),1)+INT((DAY(Sales!$CZ$1)-1)/2)+'Cash Drivers'!DB$13,0)=EOMONTH($BJ$1,0),Sales!DB$6,0)+IF(EOMONTH(DATE(YEAR(Sales!$CW$1),MONTH(Sales!$CW$1),1)+INT((DAY(Sales!$CW$1)-1)/2)+'Cash Drivers'!CY$13,0)=EOMONTH($BJ$1,0),Sales!CY$6,0)+IF(EOMONTH(DATE(YEAR(Sales!$CT$1),MONTH(Sales!$CT$1),1)+INT((DAY(Sales!$CT$1)-1)/2)+'Cash Drivers'!CV$13,0)=EOMONTH($BJ$1,0),Sales!CV$6,0)+IF(EOMONTH(DATE(YEAR(Sales!$CQ$1),MONTH(Sales!$CQ$1),1)+INT((DAY(Sales!$CQ$1)-1)/2)+'Cash Drivers'!CS$13,0)=EOMONTH($BJ$1,0),Sales!CS$6,0)+IF(EOMONTH(DATE(YEAR(Sales!$CN$1),MONTH(Sales!$CN$1),1)+INT((DAY(Sales!$CN$1)-1)/2)+'Cash Drivers'!CP$13,0)=EOMONTH($BJ$1,0),Sales!CP$6,0)+IF(EOMONTH(DATE(YEAR(Sales!$CK$1),MONTH(Sales!$CK$1),1)+INT((DAY(Sales!$CK$1)-1)/2)+'Cash Drivers'!CM$13,0)=EOMONTH($BJ$1,0),Sales!CM$6,0)+IF(EOMONTH(DATE(YEAR(Sales!$CH$1),MONTH(Sales!$CH$1),1)+INT((DAY(Sales!$CH$1)-1)/2)+'Cash Drivers'!CJ$13,0)=EOMONTH($BJ$1,0),Sales!CJ$6,0)+IF(EOMONTH(DATE(YEAR(Sales!$CE$1),MONTH(Sales!$CE$1),1)+INT((DAY(Sales!$CE$1)-1)/2)+'Cash Drivers'!CG$13,0)=EOMONTH($BJ$1,0),Sales!CG$6,0)+IF(EOMONTH(DATE(YEAR(Sales!$CB$1),MONTH(Sales!$CB$1),1)+INT((DAY(Sales!$CB$1)-1)/2)+'Cash Drivers'!CD$13,0)=EOMONTH($BJ$1,0),Sales!CD$6,0)+IF(EOMONTH(DATE(YEAR(Sales!$BY$1),MONTH(Sales!$BY$1),1)+INT((DAY(Sales!$BY$1)-1)/2)+'Cash Drivers'!CA$13,0)=EOMONTH($BJ$1,0),Sales!CA$6,0)+IF(EOMONTH(DATE(YEAR(Sales!$BV$1),MONTH(Sales!$BV$1),1)+INT((DAY(Sales!$BV$1)-1)/2)+'Cash Drivers'!BX$13,0)=EOMONTH($BJ$1,0),Sales!BX$6,0)+IF(EOMONTH(DATE(YEAR(Sales!$BS$1),MONTH(Sales!$BS$1),1)+INT((DAY(Sales!$BS$1)-1)/2)+'Cash Drivers'!BU$13,0)=EOMONTH($BJ$1,0),Sales!BU$6,0)+IF(EOMONTH(DATE(YEAR(Sales!$BP$1),MONTH(Sales!$BP$1),1)+INT((DAY(Sales!$BP$1)-1)/2)+'Cash Drivers'!BR$13,0)=EOMONTH($BJ$1,0),Sales!BR$6,0)+IF(EOMONTH(DATE(YEAR(Sales!$BM$1),MONTH(Sales!$BM$1),1)+INT((DAY(Sales!$BM$1)-1)/2)+'Cash Drivers'!BO$13,0)=EOMONTH($BJ$1,0),Sales!BO$6,0)+IF(EOMONTH(DATE(YEAR(Sales!$BJ$1),MONTH(Sales!$BJ$1),1)+INT((DAY(Sales!$BJ$1)-1)/2)+'Cash Drivers'!BL$13,0)=EOMONTH($BJ$1,0),Sales!BL$6,0)+IF(EOMONTH(DATE(YEAR(Sales!$BG$1),MONTH(Sales!$BG$1),1)+INT((DAY(Sales!$BG$1)-1)/2)+'Cash Drivers'!BI$13,0)=EOMONTH($BJ$1,0),Sales!BI$6,0)+IF(EOMONTH(DATE(YEAR(Sales!$BD$1),MONTH(Sales!$BD$1),1)+INT((DAY(Sales!$BD$1)-1)/2)+'Cash Drivers'!BF$13,0)=EOMONTH($BJ$1,0),Sales!BF$6,0)+IF(EOMONTH(DATE(YEAR(Sales!$BA$1),MONTH(Sales!$BA$1),1)+INT((DAY(Sales!$BA$1)-1)/2)+'Cash Drivers'!BC$13,0)=EOMONTH($BJ$1,0),Sales!BC$6,0)+IF(EOMONTH(DATE(YEAR(Sales!$AX$1),MONTH(Sales!$AX$1),1)+INT((DAY(Sales!$AX$1)-1)/2)+'Cash Drivers'!AZ$13,0)=EOMONTH($BJ$1,0),Sales!AZ$6,0)+IF(EOMONTH(DATE(YEAR(Sales!$AU$1),MONTH(Sales!$AU$1),1)+INT((DAY(Sales!$AU$1)-1)/2)+'Cash Drivers'!AW$13,0)=EOMONTH($BJ$1,0),Sales!AW$6,0)+IF(EOMONTH(DATE(YEAR(Sales!$AR$1),MONTH(Sales!$AR$1),1)+INT((DAY(Sales!$AR$1)-1)/2)+'Cash Drivers'!AT$13,0)=EOMONTH($BJ$1,0),Sales!AT$6,0)+IF(EOMONTH(DATE(YEAR(Sales!$AO$1),MONTH(Sales!$AO$1),1)+INT((DAY(Sales!$AO$1)-1)/2)+'Cash Drivers'!AQ$13,0)=EOMONTH($BJ$1,0),Sales!AQ$6,0)+IF(EOMONTH(DATE(YEAR(Sales!$AL$1),MONTH(Sales!$AL$1),1)+INT((DAY(Sales!$AL$1)-1)/2)+'Cash Drivers'!AN$13,0)=EOMONTH($BJ$1,0),Sales!AN$6,0)+IF(EOMONTH(DATE(YEAR(Sales!$AI$1),MONTH(Sales!$AI$1),1)+INT((DAY(Sales!$AI$1)-1)/2)+'Cash Drivers'!AK$13,0)=EOMONTH($BJ$1,0),Sales!AK$6,0)+IF(EOMONTH(DATE(YEAR(Sales!$AF$1),MONTH(Sales!$AF$1),1)+INT((DAY(Sales!$AF$1)-1)/2)+'Cash Drivers'!AH$13,0)=EOMONTH($BJ$1,0),Sales!AH$6,0)+IF(EOMONTH(DATE(YEAR(Sales!$AC$1),MONTH(Sales!$AC$1),1)+INT((DAY(Sales!$AC$1)-1)/2)+'Cash Drivers'!AE$13,0)=EOMONTH($BJ$1,0),Sales!AE$6,0)+IF(EOMONTH(DATE(YEAR(Sales!$Z$1),MONTH(Sales!$Z$1),1)+INT((DAY(Sales!$Z$1)-1)/2)+'Cash Drivers'!AB$13,0)=EOMONTH($BJ$1,0),Sales!AB$6,0)+IF(EOMONTH(DATE(YEAR(Sales!$W$1),MONTH(Sales!$W$1),1)+INT((DAY(Sales!$W$1)-1)/2)+'Cash Drivers'!Y$13,0)=EOMONTH($BJ$1,0),Sales!Y$6,0)+IF(EOMONTH(DATE(YEAR(Sales!$T$1),MONTH(Sales!$T$1),1)+INT((DAY(Sales!$T$1)-1)/2)+'Cash Drivers'!V$13,0)=EOMONTH($BJ$1,0),Sales!V$6,0)+IF(EOMONTH(DATE(YEAR(Sales!$Q$1),MONTH(Sales!$Q$1),1)+INT((DAY(Sales!$Q$1)-1)/2)+'Cash Drivers'!S$13,0)=EOMONTH($BJ$1,0),Sales!S$6,0)+IF(EOMONTH(DATE(YEAR(Sales!$N$1),MONTH(Sales!$N$1),1)+INT((DAY(Sales!$N$1)-1)/2)+'Cash Drivers'!P$13,0)=EOMONTH($BJ$1,0),Sales!P$6,0)+IF(EOMONTH(DATE(YEAR(Sales!$K$1),MONTH(Sales!$K$1),1)+INT((DAY(Sales!$K$1)-1)/2)+'Cash Drivers'!M$13,0)=EOMONTH($BJ$1,0),Sales!M$6,0)+IF(EOMONTH('Cash Drivers'!$DL$30+'Cash Drivers'!DN$13,0)=EOMONTH($BJ$1,0),'Cash Drivers'!$DL$32,0),0)</f>
        <v>28</v>
      </c>
      <c r="BM18" s="44" t="n">
        <f aca="false">ROUND(IF(EOMONTH(DATE(YEAR(Sales!$DL$1),MONTH(Sales!$DL$1),1)+INT((DAY(Sales!$DL$1)-1)/2)+'Cash Drivers'!DL$13,0)=EOMONTH($BM$1,0),Sales!DL$6,0)+IF(EOMONTH(DATE(YEAR(Sales!$DI$1),MONTH(Sales!$DI$1),1)+INT((DAY(Sales!$DI$1)-1)/2)+'Cash Drivers'!DI$13,0)=EOMONTH($BM$1,0),Sales!DI$6,0)+IF(EOMONTH(DATE(YEAR(Sales!$DF$1),MONTH(Sales!$DF$1),1)+INT((DAY(Sales!$DF$1)-1)/2)+'Cash Drivers'!DF$13,0)=EOMONTH($BM$1,0),Sales!DF$6,0)+IF(EOMONTH(DATE(YEAR(Sales!$DC$1),MONTH(Sales!$DC$1),1)+INT((DAY(Sales!$DC$1)-1)/2)+'Cash Drivers'!DC$13,0)=EOMONTH($BM$1,0),Sales!DC$6,0)+IF(EOMONTH(DATE(YEAR(Sales!$CZ$1),MONTH(Sales!$CZ$1),1)+INT((DAY(Sales!$CZ$1)-1)/2)+'Cash Drivers'!CZ$13,0)=EOMONTH($BM$1,0),Sales!CZ$6,0)+IF(EOMONTH(DATE(YEAR(Sales!$CW$1),MONTH(Sales!$CW$1),1)+INT((DAY(Sales!$CW$1)-1)/2)+'Cash Drivers'!CW$13,0)=EOMONTH($BM$1,0),Sales!CW$6,0)+IF(EOMONTH(DATE(YEAR(Sales!$CT$1),MONTH(Sales!$CT$1),1)+INT((DAY(Sales!$CT$1)-1)/2)+'Cash Drivers'!CT$13,0)=EOMONTH($BM$1,0),Sales!CT$6,0)+IF(EOMONTH(DATE(YEAR(Sales!$CQ$1),MONTH(Sales!$CQ$1),1)+INT((DAY(Sales!$CQ$1)-1)/2)+'Cash Drivers'!CQ$13,0)=EOMONTH($BM$1,0),Sales!CQ$6,0)+IF(EOMONTH(DATE(YEAR(Sales!$CN$1),MONTH(Sales!$CN$1),1)+INT((DAY(Sales!$CN$1)-1)/2)+'Cash Drivers'!CN$13,0)=EOMONTH($BM$1,0),Sales!CN$6,0)+IF(EOMONTH(DATE(YEAR(Sales!$CK$1),MONTH(Sales!$CK$1),1)+INT((DAY(Sales!$CK$1)-1)/2)+'Cash Drivers'!CK$13,0)=EOMONTH($BM$1,0),Sales!CK$6,0)+IF(EOMONTH(DATE(YEAR(Sales!$CH$1),MONTH(Sales!$CH$1),1)+INT((DAY(Sales!$CH$1)-1)/2)+'Cash Drivers'!CH$13,0)=EOMONTH($BM$1,0),Sales!CH$6,0)+IF(EOMONTH(DATE(YEAR(Sales!$CE$1),MONTH(Sales!$CE$1),1)+INT((DAY(Sales!$CE$1)-1)/2)+'Cash Drivers'!CE$13,0)=EOMONTH($BM$1,0),Sales!CE$6,0)+IF(EOMONTH(DATE(YEAR(Sales!$CB$1),MONTH(Sales!$CB$1),1)+INT((DAY(Sales!$CB$1)-1)/2)+'Cash Drivers'!CB$13,0)=EOMONTH($BM$1,0),Sales!CB$6,0)+IF(EOMONTH(DATE(YEAR(Sales!$BY$1),MONTH(Sales!$BY$1),1)+INT((DAY(Sales!$BY$1)-1)/2)+'Cash Drivers'!BY$13,0)=EOMONTH($BM$1,0),Sales!BY$6,0)+IF(EOMONTH(DATE(YEAR(Sales!$BV$1),MONTH(Sales!$BV$1),1)+INT((DAY(Sales!$BV$1)-1)/2)+'Cash Drivers'!BV$13,0)=EOMONTH($BM$1,0),Sales!BV$6,0)+IF(EOMONTH(DATE(YEAR(Sales!$BS$1),MONTH(Sales!$BS$1),1)+INT((DAY(Sales!$BS$1)-1)/2)+'Cash Drivers'!BS$13,0)=EOMONTH($BM$1,0),Sales!BS$6,0)+IF(EOMONTH(DATE(YEAR(Sales!$BP$1),MONTH(Sales!$BP$1),1)+INT((DAY(Sales!$BP$1)-1)/2)+'Cash Drivers'!BP$13,0)=EOMONTH($BM$1,0),Sales!BP$6,0)+IF(EOMONTH(DATE(YEAR(Sales!$BM$1),MONTH(Sales!$BM$1),1)+INT((DAY(Sales!$BM$1)-1)/2)+'Cash Drivers'!BM$13,0)=EOMONTH($BM$1,0),Sales!BM$6,0)+IF(EOMONTH(DATE(YEAR(Sales!$BJ$1),MONTH(Sales!$BJ$1),1)+INT((DAY(Sales!$BJ$1)-1)/2)+'Cash Drivers'!BJ$13,0)=EOMONTH($BM$1,0),Sales!BJ$6,0)+IF(EOMONTH(DATE(YEAR(Sales!$BG$1),MONTH(Sales!$BG$1),1)+INT((DAY(Sales!$BG$1)-1)/2)+'Cash Drivers'!BG$13,0)=EOMONTH($BM$1,0),Sales!BG$6,0)+IF(EOMONTH(DATE(YEAR(Sales!$BD$1),MONTH(Sales!$BD$1),1)+INT((DAY(Sales!$BD$1)-1)/2)+'Cash Drivers'!BD$13,0)=EOMONTH($BM$1,0),Sales!BD$6,0)+IF(EOMONTH(DATE(YEAR(Sales!$BA$1),MONTH(Sales!$BA$1),1)+INT((DAY(Sales!$BA$1)-1)/2)+'Cash Drivers'!BA$13,0)=EOMONTH($BM$1,0),Sales!BA$6,0)+IF(EOMONTH(DATE(YEAR(Sales!$AX$1),MONTH(Sales!$AX$1),1)+INT((DAY(Sales!$AX$1)-1)/2)+'Cash Drivers'!AX$13,0)=EOMONTH($BM$1,0),Sales!AX$6,0)+IF(EOMONTH(DATE(YEAR(Sales!$AU$1),MONTH(Sales!$AU$1),1)+INT((DAY(Sales!$AU$1)-1)/2)+'Cash Drivers'!AU$13,0)=EOMONTH($BM$1,0),Sales!AU$6,0)+IF(EOMONTH(DATE(YEAR(Sales!$AR$1),MONTH(Sales!$AR$1),1)+INT((DAY(Sales!$AR$1)-1)/2)+'Cash Drivers'!AR$13,0)=EOMONTH($BM$1,0),Sales!AR$6,0)+IF(EOMONTH(DATE(YEAR(Sales!$AO$1),MONTH(Sales!$AO$1),1)+INT((DAY(Sales!$AO$1)-1)/2)+'Cash Drivers'!AO$13,0)=EOMONTH($BM$1,0),Sales!AO$6,0)+IF(EOMONTH(DATE(YEAR(Sales!$AL$1),MONTH(Sales!$AL$1),1)+INT((DAY(Sales!$AL$1)-1)/2)+'Cash Drivers'!AL$13,0)=EOMONTH($BM$1,0),Sales!AL$6,0)+IF(EOMONTH(DATE(YEAR(Sales!$AI$1),MONTH(Sales!$AI$1),1)+INT((DAY(Sales!$AI$1)-1)/2)+'Cash Drivers'!AI$13,0)=EOMONTH($BM$1,0),Sales!AI$6,0)+IF(EOMONTH(DATE(YEAR(Sales!$AF$1),MONTH(Sales!$AF$1),1)+INT((DAY(Sales!$AF$1)-1)/2)+'Cash Drivers'!AF$13,0)=EOMONTH($BM$1,0),Sales!AF$6,0)+IF(EOMONTH(DATE(YEAR(Sales!$AC$1),MONTH(Sales!$AC$1),1)+INT((DAY(Sales!$AC$1)-1)/2)+'Cash Drivers'!AC$13,0)=EOMONTH($BM$1,0),Sales!AC$6,0)+IF(EOMONTH(DATE(YEAR(Sales!$Z$1),MONTH(Sales!$Z$1),1)+INT((DAY(Sales!$Z$1)-1)/2)+'Cash Drivers'!Z$13,0)=EOMONTH($BM$1,0),Sales!Z$6,0)+IF(EOMONTH(DATE(YEAR(Sales!$W$1),MONTH(Sales!$W$1),1)+INT((DAY(Sales!$W$1)-1)/2)+'Cash Drivers'!W$13,0)=EOMONTH($BM$1,0),Sales!W$6,0)+IF(EOMONTH(DATE(YEAR(Sales!$T$1),MONTH(Sales!$T$1),1)+INT((DAY(Sales!$T$1)-1)/2)+'Cash Drivers'!T$13,0)=EOMONTH($BM$1,0),Sales!T$6,0)+IF(EOMONTH(DATE(YEAR(Sales!$Q$1),MONTH(Sales!$Q$1),1)+INT((DAY(Sales!$Q$1)-1)/2)+'Cash Drivers'!Q$13,0)=EOMONTH($BM$1,0),Sales!Q$6,0)+IF(EOMONTH(DATE(YEAR(Sales!$N$1),MONTH(Sales!$N$1),1)+INT((DAY(Sales!$N$1)-1)/2)+'Cash Drivers'!N$13,0)=EOMONTH($BM$1,0),Sales!N$6,0)+IF(EOMONTH(DATE(YEAR(Sales!$K$1),MONTH(Sales!$K$1),1)+INT((DAY(Sales!$K$1)-1)/2)+'Cash Drivers'!K$13,0)=EOMONTH($BM$1,0),Sales!K$6,0)+IF(EOMONTH('Cash Drivers'!$DL$30+'Cash Drivers'!DL$13,0)=EOMONTH($BM$1,0),'Cash Drivers'!$DL$32,0),0)</f>
        <v>0</v>
      </c>
      <c r="BN18" s="45" t="n">
        <f aca="false">ROUND(IF(EOMONTH(DATE(YEAR(Sales!$DL$1),MONTH(Sales!$DL$1),1)+INT((DAY(Sales!$DL$1)-1)/2)+'Cash Drivers'!DM$13,0)=EOMONTH($BM$1,0),Sales!DM$6,0)+IF(EOMONTH(DATE(YEAR(Sales!$DI$1),MONTH(Sales!$DI$1),1)+INT((DAY(Sales!$DI$1)-1)/2)+'Cash Drivers'!DJ$13,0)=EOMONTH($BM$1,0),Sales!DJ$6,0)+IF(EOMONTH(DATE(YEAR(Sales!$DF$1),MONTH(Sales!$DF$1),1)+INT((DAY(Sales!$DF$1)-1)/2)+'Cash Drivers'!DG$13,0)=EOMONTH($BM$1,0),Sales!DG$6,0)+IF(EOMONTH(DATE(YEAR(Sales!$DC$1),MONTH(Sales!$DC$1),1)+INT((DAY(Sales!$DC$1)-1)/2)+'Cash Drivers'!DD$13,0)=EOMONTH($BM$1,0),Sales!DD$6,0)+IF(EOMONTH(DATE(YEAR(Sales!$CZ$1),MONTH(Sales!$CZ$1),1)+INT((DAY(Sales!$CZ$1)-1)/2)+'Cash Drivers'!DA$13,0)=EOMONTH($BM$1,0),Sales!DA$6,0)+IF(EOMONTH(DATE(YEAR(Sales!$CW$1),MONTH(Sales!$CW$1),1)+INT((DAY(Sales!$CW$1)-1)/2)+'Cash Drivers'!CX$13,0)=EOMONTH($BM$1,0),Sales!CX$6,0)+IF(EOMONTH(DATE(YEAR(Sales!$CT$1),MONTH(Sales!$CT$1),1)+INT((DAY(Sales!$CT$1)-1)/2)+'Cash Drivers'!CU$13,0)=EOMONTH($BM$1,0),Sales!CU$6,0)+IF(EOMONTH(DATE(YEAR(Sales!$CQ$1),MONTH(Sales!$CQ$1),1)+INT((DAY(Sales!$CQ$1)-1)/2)+'Cash Drivers'!CR$13,0)=EOMONTH($BM$1,0),Sales!CR$6,0)+IF(EOMONTH(DATE(YEAR(Sales!$CN$1),MONTH(Sales!$CN$1),1)+INT((DAY(Sales!$CN$1)-1)/2)+'Cash Drivers'!CO$13,0)=EOMONTH($BM$1,0),Sales!CO$6,0)+IF(EOMONTH(DATE(YEAR(Sales!$CK$1),MONTH(Sales!$CK$1),1)+INT((DAY(Sales!$CK$1)-1)/2)+'Cash Drivers'!CL$13,0)=EOMONTH($BM$1,0),Sales!CL$6,0)+IF(EOMONTH(DATE(YEAR(Sales!$CH$1),MONTH(Sales!$CH$1),1)+INT((DAY(Sales!$CH$1)-1)/2)+'Cash Drivers'!CI$13,0)=EOMONTH($BM$1,0),Sales!CI$6,0)+IF(EOMONTH(DATE(YEAR(Sales!$CE$1),MONTH(Sales!$CE$1),1)+INT((DAY(Sales!$CE$1)-1)/2)+'Cash Drivers'!CF$13,0)=EOMONTH($BM$1,0),Sales!CF$6,0)+IF(EOMONTH(DATE(YEAR(Sales!$CB$1),MONTH(Sales!$CB$1),1)+INT((DAY(Sales!$CB$1)-1)/2)+'Cash Drivers'!CC$13,0)=EOMONTH($BM$1,0),Sales!CC$6,0)+IF(EOMONTH(DATE(YEAR(Sales!$BY$1),MONTH(Sales!$BY$1),1)+INT((DAY(Sales!$BY$1)-1)/2)+'Cash Drivers'!BZ$13,0)=EOMONTH($BM$1,0),Sales!BZ$6,0)+IF(EOMONTH(DATE(YEAR(Sales!$BV$1),MONTH(Sales!$BV$1),1)+INT((DAY(Sales!$BV$1)-1)/2)+'Cash Drivers'!BW$13,0)=EOMONTH($BM$1,0),Sales!BW$6,0)+IF(EOMONTH(DATE(YEAR(Sales!$BS$1),MONTH(Sales!$BS$1),1)+INT((DAY(Sales!$BS$1)-1)/2)+'Cash Drivers'!BT$13,0)=EOMONTH($BM$1,0),Sales!BT$6,0)+IF(EOMONTH(DATE(YEAR(Sales!$BP$1),MONTH(Sales!$BP$1),1)+INT((DAY(Sales!$BP$1)-1)/2)+'Cash Drivers'!BQ$13,0)=EOMONTH($BM$1,0),Sales!BQ$6,0)+IF(EOMONTH(DATE(YEAR(Sales!$BM$1),MONTH(Sales!$BM$1),1)+INT((DAY(Sales!$BM$1)-1)/2)+'Cash Drivers'!BN$13,0)=EOMONTH($BM$1,0),Sales!BN$6,0)+IF(EOMONTH(DATE(YEAR(Sales!$BJ$1),MONTH(Sales!$BJ$1),1)+INT((DAY(Sales!$BJ$1)-1)/2)+'Cash Drivers'!BK$13,0)=EOMONTH($BM$1,0),Sales!BK$6,0)+IF(EOMONTH(DATE(YEAR(Sales!$BG$1),MONTH(Sales!$BG$1),1)+INT((DAY(Sales!$BG$1)-1)/2)+'Cash Drivers'!BH$13,0)=EOMONTH($BM$1,0),Sales!BH$6,0)+IF(EOMONTH(DATE(YEAR(Sales!$BD$1),MONTH(Sales!$BD$1),1)+INT((DAY(Sales!$BD$1)-1)/2)+'Cash Drivers'!BE$13,0)=EOMONTH($BM$1,0),Sales!BE$6,0)+IF(EOMONTH(DATE(YEAR(Sales!$BA$1),MONTH(Sales!$BA$1),1)+INT((DAY(Sales!$BA$1)-1)/2)+'Cash Drivers'!BB$13,0)=EOMONTH($BM$1,0),Sales!BB$6,0)+IF(EOMONTH(DATE(YEAR(Sales!$AX$1),MONTH(Sales!$AX$1),1)+INT((DAY(Sales!$AX$1)-1)/2)+'Cash Drivers'!AY$13,0)=EOMONTH($BM$1,0),Sales!AY$6,0)+IF(EOMONTH(DATE(YEAR(Sales!$AU$1),MONTH(Sales!$AU$1),1)+INT((DAY(Sales!$AU$1)-1)/2)+'Cash Drivers'!AV$13,0)=EOMONTH($BM$1,0),Sales!AV$6,0)+IF(EOMONTH(DATE(YEAR(Sales!$AR$1),MONTH(Sales!$AR$1),1)+INT((DAY(Sales!$AR$1)-1)/2)+'Cash Drivers'!AS$13,0)=EOMONTH($BM$1,0),Sales!AS$6,0)+IF(EOMONTH(DATE(YEAR(Sales!$AO$1),MONTH(Sales!$AO$1),1)+INT((DAY(Sales!$AO$1)-1)/2)+'Cash Drivers'!AP$13,0)=EOMONTH($BM$1,0),Sales!AP$6,0)+IF(EOMONTH(DATE(YEAR(Sales!$AL$1),MONTH(Sales!$AL$1),1)+INT((DAY(Sales!$AL$1)-1)/2)+'Cash Drivers'!AM$13,0)=EOMONTH($BM$1,0),Sales!AM$6,0)+IF(EOMONTH(DATE(YEAR(Sales!$AI$1),MONTH(Sales!$AI$1),1)+INT((DAY(Sales!$AI$1)-1)/2)+'Cash Drivers'!AJ$13,0)=EOMONTH($BM$1,0),Sales!AJ$6,0)+IF(EOMONTH(DATE(YEAR(Sales!$AF$1),MONTH(Sales!$AF$1),1)+INT((DAY(Sales!$AF$1)-1)/2)+'Cash Drivers'!AG$13,0)=EOMONTH($BM$1,0),Sales!AG$6,0)+IF(EOMONTH(DATE(YEAR(Sales!$AC$1),MONTH(Sales!$AC$1),1)+INT((DAY(Sales!$AC$1)-1)/2)+'Cash Drivers'!AD$13,0)=EOMONTH($BM$1,0),Sales!AD$6,0)+IF(EOMONTH(DATE(YEAR(Sales!$Z$1),MONTH(Sales!$Z$1),1)+INT((DAY(Sales!$Z$1)-1)/2)+'Cash Drivers'!AA$13,0)=EOMONTH($BM$1,0),Sales!AA$6,0)+IF(EOMONTH(DATE(YEAR(Sales!$W$1),MONTH(Sales!$W$1),1)+INT((DAY(Sales!$W$1)-1)/2)+'Cash Drivers'!X$13,0)=EOMONTH($BM$1,0),Sales!X$6,0)+IF(EOMONTH(DATE(YEAR(Sales!$T$1),MONTH(Sales!$T$1),1)+INT((DAY(Sales!$T$1)-1)/2)+'Cash Drivers'!U$13,0)=EOMONTH($BM$1,0),Sales!U$6,0)+IF(EOMONTH(DATE(YEAR(Sales!$Q$1),MONTH(Sales!$Q$1),1)+INT((DAY(Sales!$Q$1)-1)/2)+'Cash Drivers'!R$13,0)=EOMONTH($BM$1,0),Sales!R$6,0)+IF(EOMONTH(DATE(YEAR(Sales!$N$1),MONTH(Sales!$N$1),1)+INT((DAY(Sales!$N$1)-1)/2)+'Cash Drivers'!O$13,0)=EOMONTH($BM$1,0),Sales!O$6,0)+IF(EOMONTH(DATE(YEAR(Sales!$K$1),MONTH(Sales!$K$1),1)+INT((DAY(Sales!$K$1)-1)/2)+'Cash Drivers'!L$13,0)=EOMONTH($BM$1,0),Sales!L$6,0)+IF(EOMONTH('Cash Drivers'!$DL$30+'Cash Drivers'!DM$13,0)=EOMONTH($BM$1,0),'Cash Drivers'!$DL$32,0),0)</f>
        <v>28</v>
      </c>
      <c r="BO18" s="46" t="n">
        <f aca="false">ROUND(IF(EOMONTH(DATE(YEAR(Sales!$DL$1),MONTH(Sales!$DL$1),1)+INT((DAY(Sales!$DL$1)-1)/2)+'Cash Drivers'!DN$13,0)=EOMONTH($BM$1,0),Sales!DN$6,0)+IF(EOMONTH(DATE(YEAR(Sales!$DI$1),MONTH(Sales!$DI$1),1)+INT((DAY(Sales!$DI$1)-1)/2)+'Cash Drivers'!DK$13,0)=EOMONTH($BM$1,0),Sales!DK$6,0)+IF(EOMONTH(DATE(YEAR(Sales!$DF$1),MONTH(Sales!$DF$1),1)+INT((DAY(Sales!$DF$1)-1)/2)+'Cash Drivers'!DH$13,0)=EOMONTH($BM$1,0),Sales!DH$6,0)+IF(EOMONTH(DATE(YEAR(Sales!$DC$1),MONTH(Sales!$DC$1),1)+INT((DAY(Sales!$DC$1)-1)/2)+'Cash Drivers'!DE$13,0)=EOMONTH($BM$1,0),Sales!DE$6,0)+IF(EOMONTH(DATE(YEAR(Sales!$CZ$1),MONTH(Sales!$CZ$1),1)+INT((DAY(Sales!$CZ$1)-1)/2)+'Cash Drivers'!DB$13,0)=EOMONTH($BM$1,0),Sales!DB$6,0)+IF(EOMONTH(DATE(YEAR(Sales!$CW$1),MONTH(Sales!$CW$1),1)+INT((DAY(Sales!$CW$1)-1)/2)+'Cash Drivers'!CY$13,0)=EOMONTH($BM$1,0),Sales!CY$6,0)+IF(EOMONTH(DATE(YEAR(Sales!$CT$1),MONTH(Sales!$CT$1),1)+INT((DAY(Sales!$CT$1)-1)/2)+'Cash Drivers'!CV$13,0)=EOMONTH($BM$1,0),Sales!CV$6,0)+IF(EOMONTH(DATE(YEAR(Sales!$CQ$1),MONTH(Sales!$CQ$1),1)+INT((DAY(Sales!$CQ$1)-1)/2)+'Cash Drivers'!CS$13,0)=EOMONTH($BM$1,0),Sales!CS$6,0)+IF(EOMONTH(DATE(YEAR(Sales!$CN$1),MONTH(Sales!$CN$1),1)+INT((DAY(Sales!$CN$1)-1)/2)+'Cash Drivers'!CP$13,0)=EOMONTH($BM$1,0),Sales!CP$6,0)+IF(EOMONTH(DATE(YEAR(Sales!$CK$1),MONTH(Sales!$CK$1),1)+INT((DAY(Sales!$CK$1)-1)/2)+'Cash Drivers'!CM$13,0)=EOMONTH($BM$1,0),Sales!CM$6,0)+IF(EOMONTH(DATE(YEAR(Sales!$CH$1),MONTH(Sales!$CH$1),1)+INT((DAY(Sales!$CH$1)-1)/2)+'Cash Drivers'!CJ$13,0)=EOMONTH($BM$1,0),Sales!CJ$6,0)+IF(EOMONTH(DATE(YEAR(Sales!$CE$1),MONTH(Sales!$CE$1),1)+INT((DAY(Sales!$CE$1)-1)/2)+'Cash Drivers'!CG$13,0)=EOMONTH($BM$1,0),Sales!CG$6,0)+IF(EOMONTH(DATE(YEAR(Sales!$CB$1),MONTH(Sales!$CB$1),1)+INT((DAY(Sales!$CB$1)-1)/2)+'Cash Drivers'!CD$13,0)=EOMONTH($BM$1,0),Sales!CD$6,0)+IF(EOMONTH(DATE(YEAR(Sales!$BY$1),MONTH(Sales!$BY$1),1)+INT((DAY(Sales!$BY$1)-1)/2)+'Cash Drivers'!CA$13,0)=EOMONTH($BM$1,0),Sales!CA$6,0)+IF(EOMONTH(DATE(YEAR(Sales!$BV$1),MONTH(Sales!$BV$1),1)+INT((DAY(Sales!$BV$1)-1)/2)+'Cash Drivers'!BX$13,0)=EOMONTH($BM$1,0),Sales!BX$6,0)+IF(EOMONTH(DATE(YEAR(Sales!$BS$1),MONTH(Sales!$BS$1),1)+INT((DAY(Sales!$BS$1)-1)/2)+'Cash Drivers'!BU$13,0)=EOMONTH($BM$1,0),Sales!BU$6,0)+IF(EOMONTH(DATE(YEAR(Sales!$BP$1),MONTH(Sales!$BP$1),1)+INT((DAY(Sales!$BP$1)-1)/2)+'Cash Drivers'!BR$13,0)=EOMONTH($BM$1,0),Sales!BR$6,0)+IF(EOMONTH(DATE(YEAR(Sales!$BM$1),MONTH(Sales!$BM$1),1)+INT((DAY(Sales!$BM$1)-1)/2)+'Cash Drivers'!BO$13,0)=EOMONTH($BM$1,0),Sales!BO$6,0)+IF(EOMONTH(DATE(YEAR(Sales!$BJ$1),MONTH(Sales!$BJ$1),1)+INT((DAY(Sales!$BJ$1)-1)/2)+'Cash Drivers'!BL$13,0)=EOMONTH($BM$1,0),Sales!BL$6,0)+IF(EOMONTH(DATE(YEAR(Sales!$BG$1),MONTH(Sales!$BG$1),1)+INT((DAY(Sales!$BG$1)-1)/2)+'Cash Drivers'!BI$13,0)=EOMONTH($BM$1,0),Sales!BI$6,0)+IF(EOMONTH(DATE(YEAR(Sales!$BD$1),MONTH(Sales!$BD$1),1)+INT((DAY(Sales!$BD$1)-1)/2)+'Cash Drivers'!BF$13,0)=EOMONTH($BM$1,0),Sales!BF$6,0)+IF(EOMONTH(DATE(YEAR(Sales!$BA$1),MONTH(Sales!$BA$1),1)+INT((DAY(Sales!$BA$1)-1)/2)+'Cash Drivers'!BC$13,0)=EOMONTH($BM$1,0),Sales!BC$6,0)+IF(EOMONTH(DATE(YEAR(Sales!$AX$1),MONTH(Sales!$AX$1),1)+INT((DAY(Sales!$AX$1)-1)/2)+'Cash Drivers'!AZ$13,0)=EOMONTH($BM$1,0),Sales!AZ$6,0)+IF(EOMONTH(DATE(YEAR(Sales!$AU$1),MONTH(Sales!$AU$1),1)+INT((DAY(Sales!$AU$1)-1)/2)+'Cash Drivers'!AW$13,0)=EOMONTH($BM$1,0),Sales!AW$6,0)+IF(EOMONTH(DATE(YEAR(Sales!$AR$1),MONTH(Sales!$AR$1),1)+INT((DAY(Sales!$AR$1)-1)/2)+'Cash Drivers'!AT$13,0)=EOMONTH($BM$1,0),Sales!AT$6,0)+IF(EOMONTH(DATE(YEAR(Sales!$AO$1),MONTH(Sales!$AO$1),1)+INT((DAY(Sales!$AO$1)-1)/2)+'Cash Drivers'!AQ$13,0)=EOMONTH($BM$1,0),Sales!AQ$6,0)+IF(EOMONTH(DATE(YEAR(Sales!$AL$1),MONTH(Sales!$AL$1),1)+INT((DAY(Sales!$AL$1)-1)/2)+'Cash Drivers'!AN$13,0)=EOMONTH($BM$1,0),Sales!AN$6,0)+IF(EOMONTH(DATE(YEAR(Sales!$AI$1),MONTH(Sales!$AI$1),1)+INT((DAY(Sales!$AI$1)-1)/2)+'Cash Drivers'!AK$13,0)=EOMONTH($BM$1,0),Sales!AK$6,0)+IF(EOMONTH(DATE(YEAR(Sales!$AF$1),MONTH(Sales!$AF$1),1)+INT((DAY(Sales!$AF$1)-1)/2)+'Cash Drivers'!AH$13,0)=EOMONTH($BM$1,0),Sales!AH$6,0)+IF(EOMONTH(DATE(YEAR(Sales!$AC$1),MONTH(Sales!$AC$1),1)+INT((DAY(Sales!$AC$1)-1)/2)+'Cash Drivers'!AE$13,0)=EOMONTH($BM$1,0),Sales!AE$6,0)+IF(EOMONTH(DATE(YEAR(Sales!$Z$1),MONTH(Sales!$Z$1),1)+INT((DAY(Sales!$Z$1)-1)/2)+'Cash Drivers'!AB$13,0)=EOMONTH($BM$1,0),Sales!AB$6,0)+IF(EOMONTH(DATE(YEAR(Sales!$W$1),MONTH(Sales!$W$1),1)+INT((DAY(Sales!$W$1)-1)/2)+'Cash Drivers'!Y$13,0)=EOMONTH($BM$1,0),Sales!Y$6,0)+IF(EOMONTH(DATE(YEAR(Sales!$T$1),MONTH(Sales!$T$1),1)+INT((DAY(Sales!$T$1)-1)/2)+'Cash Drivers'!V$13,0)=EOMONTH($BM$1,0),Sales!V$6,0)+IF(EOMONTH(DATE(YEAR(Sales!$Q$1),MONTH(Sales!$Q$1),1)+INT((DAY(Sales!$Q$1)-1)/2)+'Cash Drivers'!S$13,0)=EOMONTH($BM$1,0),Sales!S$6,0)+IF(EOMONTH(DATE(YEAR(Sales!$N$1),MONTH(Sales!$N$1),1)+INT((DAY(Sales!$N$1)-1)/2)+'Cash Drivers'!P$13,0)=EOMONTH($BM$1,0),Sales!P$6,0)+IF(EOMONTH(DATE(YEAR(Sales!$K$1),MONTH(Sales!$K$1),1)+INT((DAY(Sales!$K$1)-1)/2)+'Cash Drivers'!M$13,0)=EOMONTH($BM$1,0),Sales!M$6,0)+IF(EOMONTH('Cash Drivers'!$DL$30+'Cash Drivers'!DN$13,0)=EOMONTH($BM$1,0),'Cash Drivers'!$DL$32,0),0)</f>
        <v>28</v>
      </c>
      <c r="BP18" s="44" t="n">
        <f aca="false">ROUND(IF(EOMONTH(DATE(YEAR(Sales!$DL$1),MONTH(Sales!$DL$1),1)+INT((DAY(Sales!$DL$1)-1)/2)+'Cash Drivers'!DL$13,0)=EOMONTH($BP$1,0),Sales!DL$6,0)+IF(EOMONTH(DATE(YEAR(Sales!$DI$1),MONTH(Sales!$DI$1),1)+INT((DAY(Sales!$DI$1)-1)/2)+'Cash Drivers'!DI$13,0)=EOMONTH($BP$1,0),Sales!DI$6,0)+IF(EOMONTH(DATE(YEAR(Sales!$DF$1),MONTH(Sales!$DF$1),1)+INT((DAY(Sales!$DF$1)-1)/2)+'Cash Drivers'!DF$13,0)=EOMONTH($BP$1,0),Sales!DF$6,0)+IF(EOMONTH(DATE(YEAR(Sales!$DC$1),MONTH(Sales!$DC$1),1)+INT((DAY(Sales!$DC$1)-1)/2)+'Cash Drivers'!DC$13,0)=EOMONTH($BP$1,0),Sales!DC$6,0)+IF(EOMONTH(DATE(YEAR(Sales!$CZ$1),MONTH(Sales!$CZ$1),1)+INT((DAY(Sales!$CZ$1)-1)/2)+'Cash Drivers'!CZ$13,0)=EOMONTH($BP$1,0),Sales!CZ$6,0)+IF(EOMONTH(DATE(YEAR(Sales!$CW$1),MONTH(Sales!$CW$1),1)+INT((DAY(Sales!$CW$1)-1)/2)+'Cash Drivers'!CW$13,0)=EOMONTH($BP$1,0),Sales!CW$6,0)+IF(EOMONTH(DATE(YEAR(Sales!$CT$1),MONTH(Sales!$CT$1),1)+INT((DAY(Sales!$CT$1)-1)/2)+'Cash Drivers'!CT$13,0)=EOMONTH($BP$1,0),Sales!CT$6,0)+IF(EOMONTH(DATE(YEAR(Sales!$CQ$1),MONTH(Sales!$CQ$1),1)+INT((DAY(Sales!$CQ$1)-1)/2)+'Cash Drivers'!CQ$13,0)=EOMONTH($BP$1,0),Sales!CQ$6,0)+IF(EOMONTH(DATE(YEAR(Sales!$CN$1),MONTH(Sales!$CN$1),1)+INT((DAY(Sales!$CN$1)-1)/2)+'Cash Drivers'!CN$13,0)=EOMONTH($BP$1,0),Sales!CN$6,0)+IF(EOMONTH(DATE(YEAR(Sales!$CK$1),MONTH(Sales!$CK$1),1)+INT((DAY(Sales!$CK$1)-1)/2)+'Cash Drivers'!CK$13,0)=EOMONTH($BP$1,0),Sales!CK$6,0)+IF(EOMONTH(DATE(YEAR(Sales!$CH$1),MONTH(Sales!$CH$1),1)+INT((DAY(Sales!$CH$1)-1)/2)+'Cash Drivers'!CH$13,0)=EOMONTH($BP$1,0),Sales!CH$6,0)+IF(EOMONTH(DATE(YEAR(Sales!$CE$1),MONTH(Sales!$CE$1),1)+INT((DAY(Sales!$CE$1)-1)/2)+'Cash Drivers'!CE$13,0)=EOMONTH($BP$1,0),Sales!CE$6,0)+IF(EOMONTH(DATE(YEAR(Sales!$CB$1),MONTH(Sales!$CB$1),1)+INT((DAY(Sales!$CB$1)-1)/2)+'Cash Drivers'!CB$13,0)=EOMONTH($BP$1,0),Sales!CB$6,0)+IF(EOMONTH(DATE(YEAR(Sales!$BY$1),MONTH(Sales!$BY$1),1)+INT((DAY(Sales!$BY$1)-1)/2)+'Cash Drivers'!BY$13,0)=EOMONTH($BP$1,0),Sales!BY$6,0)+IF(EOMONTH(DATE(YEAR(Sales!$BV$1),MONTH(Sales!$BV$1),1)+INT((DAY(Sales!$BV$1)-1)/2)+'Cash Drivers'!BV$13,0)=EOMONTH($BP$1,0),Sales!BV$6,0)+IF(EOMONTH(DATE(YEAR(Sales!$BS$1),MONTH(Sales!$BS$1),1)+INT((DAY(Sales!$BS$1)-1)/2)+'Cash Drivers'!BS$13,0)=EOMONTH($BP$1,0),Sales!BS$6,0)+IF(EOMONTH(DATE(YEAR(Sales!$BP$1),MONTH(Sales!$BP$1),1)+INT((DAY(Sales!$BP$1)-1)/2)+'Cash Drivers'!BP$13,0)=EOMONTH($BP$1,0),Sales!BP$6,0)+IF(EOMONTH(DATE(YEAR(Sales!$BM$1),MONTH(Sales!$BM$1),1)+INT((DAY(Sales!$BM$1)-1)/2)+'Cash Drivers'!BM$13,0)=EOMONTH($BP$1,0),Sales!BM$6,0)+IF(EOMONTH(DATE(YEAR(Sales!$BJ$1),MONTH(Sales!$BJ$1),1)+INT((DAY(Sales!$BJ$1)-1)/2)+'Cash Drivers'!BJ$13,0)=EOMONTH($BP$1,0),Sales!BJ$6,0)+IF(EOMONTH(DATE(YEAR(Sales!$BG$1),MONTH(Sales!$BG$1),1)+INT((DAY(Sales!$BG$1)-1)/2)+'Cash Drivers'!BG$13,0)=EOMONTH($BP$1,0),Sales!BG$6,0)+IF(EOMONTH(DATE(YEAR(Sales!$BD$1),MONTH(Sales!$BD$1),1)+INT((DAY(Sales!$BD$1)-1)/2)+'Cash Drivers'!BD$13,0)=EOMONTH($BP$1,0),Sales!BD$6,0)+IF(EOMONTH(DATE(YEAR(Sales!$BA$1),MONTH(Sales!$BA$1),1)+INT((DAY(Sales!$BA$1)-1)/2)+'Cash Drivers'!BA$13,0)=EOMONTH($BP$1,0),Sales!BA$6,0)+IF(EOMONTH(DATE(YEAR(Sales!$AX$1),MONTH(Sales!$AX$1),1)+INT((DAY(Sales!$AX$1)-1)/2)+'Cash Drivers'!AX$13,0)=EOMONTH($BP$1,0),Sales!AX$6,0)+IF(EOMONTH(DATE(YEAR(Sales!$AU$1),MONTH(Sales!$AU$1),1)+INT((DAY(Sales!$AU$1)-1)/2)+'Cash Drivers'!AU$13,0)=EOMONTH($BP$1,0),Sales!AU$6,0)+IF(EOMONTH(DATE(YEAR(Sales!$AR$1),MONTH(Sales!$AR$1),1)+INT((DAY(Sales!$AR$1)-1)/2)+'Cash Drivers'!AR$13,0)=EOMONTH($BP$1,0),Sales!AR$6,0)+IF(EOMONTH(DATE(YEAR(Sales!$AO$1),MONTH(Sales!$AO$1),1)+INT((DAY(Sales!$AO$1)-1)/2)+'Cash Drivers'!AO$13,0)=EOMONTH($BP$1,0),Sales!AO$6,0)+IF(EOMONTH(DATE(YEAR(Sales!$AL$1),MONTH(Sales!$AL$1),1)+INT((DAY(Sales!$AL$1)-1)/2)+'Cash Drivers'!AL$13,0)=EOMONTH($BP$1,0),Sales!AL$6,0)+IF(EOMONTH(DATE(YEAR(Sales!$AI$1),MONTH(Sales!$AI$1),1)+INT((DAY(Sales!$AI$1)-1)/2)+'Cash Drivers'!AI$13,0)=EOMONTH($BP$1,0),Sales!AI$6,0)+IF(EOMONTH(DATE(YEAR(Sales!$AF$1),MONTH(Sales!$AF$1),1)+INT((DAY(Sales!$AF$1)-1)/2)+'Cash Drivers'!AF$13,0)=EOMONTH($BP$1,0),Sales!AF$6,0)+IF(EOMONTH(DATE(YEAR(Sales!$AC$1),MONTH(Sales!$AC$1),1)+INT((DAY(Sales!$AC$1)-1)/2)+'Cash Drivers'!AC$13,0)=EOMONTH($BP$1,0),Sales!AC$6,0)+IF(EOMONTH(DATE(YEAR(Sales!$Z$1),MONTH(Sales!$Z$1),1)+INT((DAY(Sales!$Z$1)-1)/2)+'Cash Drivers'!Z$13,0)=EOMONTH($BP$1,0),Sales!Z$6,0)+IF(EOMONTH(DATE(YEAR(Sales!$W$1),MONTH(Sales!$W$1),1)+INT((DAY(Sales!$W$1)-1)/2)+'Cash Drivers'!W$13,0)=EOMONTH($BP$1,0),Sales!W$6,0)+IF(EOMONTH(DATE(YEAR(Sales!$T$1),MONTH(Sales!$T$1),1)+INT((DAY(Sales!$T$1)-1)/2)+'Cash Drivers'!T$13,0)=EOMONTH($BP$1,0),Sales!T$6,0)+IF(EOMONTH(DATE(YEAR(Sales!$Q$1),MONTH(Sales!$Q$1),1)+INT((DAY(Sales!$Q$1)-1)/2)+'Cash Drivers'!Q$13,0)=EOMONTH($BP$1,0),Sales!Q$6,0)+IF(EOMONTH(DATE(YEAR(Sales!$N$1),MONTH(Sales!$N$1),1)+INT((DAY(Sales!$N$1)-1)/2)+'Cash Drivers'!N$13,0)=EOMONTH($BP$1,0),Sales!N$6,0)+IF(EOMONTH(DATE(YEAR(Sales!$K$1),MONTH(Sales!$K$1),1)+INT((DAY(Sales!$K$1)-1)/2)+'Cash Drivers'!K$13,0)=EOMONTH($BP$1,0),Sales!K$6,0)+IF(EOMONTH('Cash Drivers'!$DL$30+'Cash Drivers'!DL$13,0)=EOMONTH($BP$1,0),'Cash Drivers'!$DL$32,0),0)</f>
        <v>0</v>
      </c>
      <c r="BQ18" s="45" t="n">
        <f aca="false">ROUND(IF(EOMONTH(DATE(YEAR(Sales!$DL$1),MONTH(Sales!$DL$1),1)+INT((DAY(Sales!$DL$1)-1)/2)+'Cash Drivers'!DM$13,0)=EOMONTH($BP$1,0),Sales!DM$6,0)+IF(EOMONTH(DATE(YEAR(Sales!$DI$1),MONTH(Sales!$DI$1),1)+INT((DAY(Sales!$DI$1)-1)/2)+'Cash Drivers'!DJ$13,0)=EOMONTH($BP$1,0),Sales!DJ$6,0)+IF(EOMONTH(DATE(YEAR(Sales!$DF$1),MONTH(Sales!$DF$1),1)+INT((DAY(Sales!$DF$1)-1)/2)+'Cash Drivers'!DG$13,0)=EOMONTH($BP$1,0),Sales!DG$6,0)+IF(EOMONTH(DATE(YEAR(Sales!$DC$1),MONTH(Sales!$DC$1),1)+INT((DAY(Sales!$DC$1)-1)/2)+'Cash Drivers'!DD$13,0)=EOMONTH($BP$1,0),Sales!DD$6,0)+IF(EOMONTH(DATE(YEAR(Sales!$CZ$1),MONTH(Sales!$CZ$1),1)+INT((DAY(Sales!$CZ$1)-1)/2)+'Cash Drivers'!DA$13,0)=EOMONTH($BP$1,0),Sales!DA$6,0)+IF(EOMONTH(DATE(YEAR(Sales!$CW$1),MONTH(Sales!$CW$1),1)+INT((DAY(Sales!$CW$1)-1)/2)+'Cash Drivers'!CX$13,0)=EOMONTH($BP$1,0),Sales!CX$6,0)+IF(EOMONTH(DATE(YEAR(Sales!$CT$1),MONTH(Sales!$CT$1),1)+INT((DAY(Sales!$CT$1)-1)/2)+'Cash Drivers'!CU$13,0)=EOMONTH($BP$1,0),Sales!CU$6,0)+IF(EOMONTH(DATE(YEAR(Sales!$CQ$1),MONTH(Sales!$CQ$1),1)+INT((DAY(Sales!$CQ$1)-1)/2)+'Cash Drivers'!CR$13,0)=EOMONTH($BP$1,0),Sales!CR$6,0)+IF(EOMONTH(DATE(YEAR(Sales!$CN$1),MONTH(Sales!$CN$1),1)+INT((DAY(Sales!$CN$1)-1)/2)+'Cash Drivers'!CO$13,0)=EOMONTH($BP$1,0),Sales!CO$6,0)+IF(EOMONTH(DATE(YEAR(Sales!$CK$1),MONTH(Sales!$CK$1),1)+INT((DAY(Sales!$CK$1)-1)/2)+'Cash Drivers'!CL$13,0)=EOMONTH($BP$1,0),Sales!CL$6,0)+IF(EOMONTH(DATE(YEAR(Sales!$CH$1),MONTH(Sales!$CH$1),1)+INT((DAY(Sales!$CH$1)-1)/2)+'Cash Drivers'!CI$13,0)=EOMONTH($BP$1,0),Sales!CI$6,0)+IF(EOMONTH(DATE(YEAR(Sales!$CE$1),MONTH(Sales!$CE$1),1)+INT((DAY(Sales!$CE$1)-1)/2)+'Cash Drivers'!CF$13,0)=EOMONTH($BP$1,0),Sales!CF$6,0)+IF(EOMONTH(DATE(YEAR(Sales!$CB$1),MONTH(Sales!$CB$1),1)+INT((DAY(Sales!$CB$1)-1)/2)+'Cash Drivers'!CC$13,0)=EOMONTH($BP$1,0),Sales!CC$6,0)+IF(EOMONTH(DATE(YEAR(Sales!$BY$1),MONTH(Sales!$BY$1),1)+INT((DAY(Sales!$BY$1)-1)/2)+'Cash Drivers'!BZ$13,0)=EOMONTH($BP$1,0),Sales!BZ$6,0)+IF(EOMONTH(DATE(YEAR(Sales!$BV$1),MONTH(Sales!$BV$1),1)+INT((DAY(Sales!$BV$1)-1)/2)+'Cash Drivers'!BW$13,0)=EOMONTH($BP$1,0),Sales!BW$6,0)+IF(EOMONTH(DATE(YEAR(Sales!$BS$1),MONTH(Sales!$BS$1),1)+INT((DAY(Sales!$BS$1)-1)/2)+'Cash Drivers'!BT$13,0)=EOMONTH($BP$1,0),Sales!BT$6,0)+IF(EOMONTH(DATE(YEAR(Sales!$BP$1),MONTH(Sales!$BP$1),1)+INT((DAY(Sales!$BP$1)-1)/2)+'Cash Drivers'!BQ$13,0)=EOMONTH($BP$1,0),Sales!BQ$6,0)+IF(EOMONTH(DATE(YEAR(Sales!$BM$1),MONTH(Sales!$BM$1),1)+INT((DAY(Sales!$BM$1)-1)/2)+'Cash Drivers'!BN$13,0)=EOMONTH($BP$1,0),Sales!BN$6,0)+IF(EOMONTH(DATE(YEAR(Sales!$BJ$1),MONTH(Sales!$BJ$1),1)+INT((DAY(Sales!$BJ$1)-1)/2)+'Cash Drivers'!BK$13,0)=EOMONTH($BP$1,0),Sales!BK$6,0)+IF(EOMONTH(DATE(YEAR(Sales!$BG$1),MONTH(Sales!$BG$1),1)+INT((DAY(Sales!$BG$1)-1)/2)+'Cash Drivers'!BH$13,0)=EOMONTH($BP$1,0),Sales!BH$6,0)+IF(EOMONTH(DATE(YEAR(Sales!$BD$1),MONTH(Sales!$BD$1),1)+INT((DAY(Sales!$BD$1)-1)/2)+'Cash Drivers'!BE$13,0)=EOMONTH($BP$1,0),Sales!BE$6,0)+IF(EOMONTH(DATE(YEAR(Sales!$BA$1),MONTH(Sales!$BA$1),1)+INT((DAY(Sales!$BA$1)-1)/2)+'Cash Drivers'!BB$13,0)=EOMONTH($BP$1,0),Sales!BB$6,0)+IF(EOMONTH(DATE(YEAR(Sales!$AX$1),MONTH(Sales!$AX$1),1)+INT((DAY(Sales!$AX$1)-1)/2)+'Cash Drivers'!AY$13,0)=EOMONTH($BP$1,0),Sales!AY$6,0)+IF(EOMONTH(DATE(YEAR(Sales!$AU$1),MONTH(Sales!$AU$1),1)+INT((DAY(Sales!$AU$1)-1)/2)+'Cash Drivers'!AV$13,0)=EOMONTH($BP$1,0),Sales!AV$6,0)+IF(EOMONTH(DATE(YEAR(Sales!$AR$1),MONTH(Sales!$AR$1),1)+INT((DAY(Sales!$AR$1)-1)/2)+'Cash Drivers'!AS$13,0)=EOMONTH($BP$1,0),Sales!AS$6,0)+IF(EOMONTH(DATE(YEAR(Sales!$AO$1),MONTH(Sales!$AO$1),1)+INT((DAY(Sales!$AO$1)-1)/2)+'Cash Drivers'!AP$13,0)=EOMONTH($BP$1,0),Sales!AP$6,0)+IF(EOMONTH(DATE(YEAR(Sales!$AL$1),MONTH(Sales!$AL$1),1)+INT((DAY(Sales!$AL$1)-1)/2)+'Cash Drivers'!AM$13,0)=EOMONTH($BP$1,0),Sales!AM$6,0)+IF(EOMONTH(DATE(YEAR(Sales!$AI$1),MONTH(Sales!$AI$1),1)+INT((DAY(Sales!$AI$1)-1)/2)+'Cash Drivers'!AJ$13,0)=EOMONTH($BP$1,0),Sales!AJ$6,0)+IF(EOMONTH(DATE(YEAR(Sales!$AF$1),MONTH(Sales!$AF$1),1)+INT((DAY(Sales!$AF$1)-1)/2)+'Cash Drivers'!AG$13,0)=EOMONTH($BP$1,0),Sales!AG$6,0)+IF(EOMONTH(DATE(YEAR(Sales!$AC$1),MONTH(Sales!$AC$1),1)+INT((DAY(Sales!$AC$1)-1)/2)+'Cash Drivers'!AD$13,0)=EOMONTH($BP$1,0),Sales!AD$6,0)+IF(EOMONTH(DATE(YEAR(Sales!$Z$1),MONTH(Sales!$Z$1),1)+INT((DAY(Sales!$Z$1)-1)/2)+'Cash Drivers'!AA$13,0)=EOMONTH($BP$1,0),Sales!AA$6,0)+IF(EOMONTH(DATE(YEAR(Sales!$W$1),MONTH(Sales!$W$1),1)+INT((DAY(Sales!$W$1)-1)/2)+'Cash Drivers'!X$13,0)=EOMONTH($BP$1,0),Sales!X$6,0)+IF(EOMONTH(DATE(YEAR(Sales!$T$1),MONTH(Sales!$T$1),1)+INT((DAY(Sales!$T$1)-1)/2)+'Cash Drivers'!U$13,0)=EOMONTH($BP$1,0),Sales!U$6,0)+IF(EOMONTH(DATE(YEAR(Sales!$Q$1),MONTH(Sales!$Q$1),1)+INT((DAY(Sales!$Q$1)-1)/2)+'Cash Drivers'!R$13,0)=EOMONTH($BP$1,0),Sales!R$6,0)+IF(EOMONTH(DATE(YEAR(Sales!$N$1),MONTH(Sales!$N$1),1)+INT((DAY(Sales!$N$1)-1)/2)+'Cash Drivers'!O$13,0)=EOMONTH($BP$1,0),Sales!O$6,0)+IF(EOMONTH(DATE(YEAR(Sales!$K$1),MONTH(Sales!$K$1),1)+INT((DAY(Sales!$K$1)-1)/2)+'Cash Drivers'!L$13,0)=EOMONTH($BP$1,0),Sales!L$6,0)+IF(EOMONTH('Cash Drivers'!$DL$30+'Cash Drivers'!DM$13,0)=EOMONTH($BP$1,0),'Cash Drivers'!$DL$32,0),0)</f>
        <v>28</v>
      </c>
      <c r="BR18" s="46" t="n">
        <f aca="false">ROUND(IF(EOMONTH(DATE(YEAR(Sales!$DL$1),MONTH(Sales!$DL$1),1)+INT((DAY(Sales!$DL$1)-1)/2)+'Cash Drivers'!DN$13,0)=EOMONTH($BP$1,0),Sales!DN$6,0)+IF(EOMONTH(DATE(YEAR(Sales!$DI$1),MONTH(Sales!$DI$1),1)+INT((DAY(Sales!$DI$1)-1)/2)+'Cash Drivers'!DK$13,0)=EOMONTH($BP$1,0),Sales!DK$6,0)+IF(EOMONTH(DATE(YEAR(Sales!$DF$1),MONTH(Sales!$DF$1),1)+INT((DAY(Sales!$DF$1)-1)/2)+'Cash Drivers'!DH$13,0)=EOMONTH($BP$1,0),Sales!DH$6,0)+IF(EOMONTH(DATE(YEAR(Sales!$DC$1),MONTH(Sales!$DC$1),1)+INT((DAY(Sales!$DC$1)-1)/2)+'Cash Drivers'!DE$13,0)=EOMONTH($BP$1,0),Sales!DE$6,0)+IF(EOMONTH(DATE(YEAR(Sales!$CZ$1),MONTH(Sales!$CZ$1),1)+INT((DAY(Sales!$CZ$1)-1)/2)+'Cash Drivers'!DB$13,0)=EOMONTH($BP$1,0),Sales!DB$6,0)+IF(EOMONTH(DATE(YEAR(Sales!$CW$1),MONTH(Sales!$CW$1),1)+INT((DAY(Sales!$CW$1)-1)/2)+'Cash Drivers'!CY$13,0)=EOMONTH($BP$1,0),Sales!CY$6,0)+IF(EOMONTH(DATE(YEAR(Sales!$CT$1),MONTH(Sales!$CT$1),1)+INT((DAY(Sales!$CT$1)-1)/2)+'Cash Drivers'!CV$13,0)=EOMONTH($BP$1,0),Sales!CV$6,0)+IF(EOMONTH(DATE(YEAR(Sales!$CQ$1),MONTH(Sales!$CQ$1),1)+INT((DAY(Sales!$CQ$1)-1)/2)+'Cash Drivers'!CS$13,0)=EOMONTH($BP$1,0),Sales!CS$6,0)+IF(EOMONTH(DATE(YEAR(Sales!$CN$1),MONTH(Sales!$CN$1),1)+INT((DAY(Sales!$CN$1)-1)/2)+'Cash Drivers'!CP$13,0)=EOMONTH($BP$1,0),Sales!CP$6,0)+IF(EOMONTH(DATE(YEAR(Sales!$CK$1),MONTH(Sales!$CK$1),1)+INT((DAY(Sales!$CK$1)-1)/2)+'Cash Drivers'!CM$13,0)=EOMONTH($BP$1,0),Sales!CM$6,0)+IF(EOMONTH(DATE(YEAR(Sales!$CH$1),MONTH(Sales!$CH$1),1)+INT((DAY(Sales!$CH$1)-1)/2)+'Cash Drivers'!CJ$13,0)=EOMONTH($BP$1,0),Sales!CJ$6,0)+IF(EOMONTH(DATE(YEAR(Sales!$CE$1),MONTH(Sales!$CE$1),1)+INT((DAY(Sales!$CE$1)-1)/2)+'Cash Drivers'!CG$13,0)=EOMONTH($BP$1,0),Sales!CG$6,0)+IF(EOMONTH(DATE(YEAR(Sales!$CB$1),MONTH(Sales!$CB$1),1)+INT((DAY(Sales!$CB$1)-1)/2)+'Cash Drivers'!CD$13,0)=EOMONTH($BP$1,0),Sales!CD$6,0)+IF(EOMONTH(DATE(YEAR(Sales!$BY$1),MONTH(Sales!$BY$1),1)+INT((DAY(Sales!$BY$1)-1)/2)+'Cash Drivers'!CA$13,0)=EOMONTH($BP$1,0),Sales!CA$6,0)+IF(EOMONTH(DATE(YEAR(Sales!$BV$1),MONTH(Sales!$BV$1),1)+INT((DAY(Sales!$BV$1)-1)/2)+'Cash Drivers'!BX$13,0)=EOMONTH($BP$1,0),Sales!BX$6,0)+IF(EOMONTH(DATE(YEAR(Sales!$BS$1),MONTH(Sales!$BS$1),1)+INT((DAY(Sales!$BS$1)-1)/2)+'Cash Drivers'!BU$13,0)=EOMONTH($BP$1,0),Sales!BU$6,0)+IF(EOMONTH(DATE(YEAR(Sales!$BP$1),MONTH(Sales!$BP$1),1)+INT((DAY(Sales!$BP$1)-1)/2)+'Cash Drivers'!BR$13,0)=EOMONTH($BP$1,0),Sales!BR$6,0)+IF(EOMONTH(DATE(YEAR(Sales!$BM$1),MONTH(Sales!$BM$1),1)+INT((DAY(Sales!$BM$1)-1)/2)+'Cash Drivers'!BO$13,0)=EOMONTH($BP$1,0),Sales!BO$6,0)+IF(EOMONTH(DATE(YEAR(Sales!$BJ$1),MONTH(Sales!$BJ$1),1)+INT((DAY(Sales!$BJ$1)-1)/2)+'Cash Drivers'!BL$13,0)=EOMONTH($BP$1,0),Sales!BL$6,0)+IF(EOMONTH(DATE(YEAR(Sales!$BG$1),MONTH(Sales!$BG$1),1)+INT((DAY(Sales!$BG$1)-1)/2)+'Cash Drivers'!BI$13,0)=EOMONTH($BP$1,0),Sales!BI$6,0)+IF(EOMONTH(DATE(YEAR(Sales!$BD$1),MONTH(Sales!$BD$1),1)+INT((DAY(Sales!$BD$1)-1)/2)+'Cash Drivers'!BF$13,0)=EOMONTH($BP$1,0),Sales!BF$6,0)+IF(EOMONTH(DATE(YEAR(Sales!$BA$1),MONTH(Sales!$BA$1),1)+INT((DAY(Sales!$BA$1)-1)/2)+'Cash Drivers'!BC$13,0)=EOMONTH($BP$1,0),Sales!BC$6,0)+IF(EOMONTH(DATE(YEAR(Sales!$AX$1),MONTH(Sales!$AX$1),1)+INT((DAY(Sales!$AX$1)-1)/2)+'Cash Drivers'!AZ$13,0)=EOMONTH($BP$1,0),Sales!AZ$6,0)+IF(EOMONTH(DATE(YEAR(Sales!$AU$1),MONTH(Sales!$AU$1),1)+INT((DAY(Sales!$AU$1)-1)/2)+'Cash Drivers'!AW$13,0)=EOMONTH($BP$1,0),Sales!AW$6,0)+IF(EOMONTH(DATE(YEAR(Sales!$AR$1),MONTH(Sales!$AR$1),1)+INT((DAY(Sales!$AR$1)-1)/2)+'Cash Drivers'!AT$13,0)=EOMONTH($BP$1,0),Sales!AT$6,0)+IF(EOMONTH(DATE(YEAR(Sales!$AO$1),MONTH(Sales!$AO$1),1)+INT((DAY(Sales!$AO$1)-1)/2)+'Cash Drivers'!AQ$13,0)=EOMONTH($BP$1,0),Sales!AQ$6,0)+IF(EOMONTH(DATE(YEAR(Sales!$AL$1),MONTH(Sales!$AL$1),1)+INT((DAY(Sales!$AL$1)-1)/2)+'Cash Drivers'!AN$13,0)=EOMONTH($BP$1,0),Sales!AN$6,0)+IF(EOMONTH(DATE(YEAR(Sales!$AI$1),MONTH(Sales!$AI$1),1)+INT((DAY(Sales!$AI$1)-1)/2)+'Cash Drivers'!AK$13,0)=EOMONTH($BP$1,0),Sales!AK$6,0)+IF(EOMONTH(DATE(YEAR(Sales!$AF$1),MONTH(Sales!$AF$1),1)+INT((DAY(Sales!$AF$1)-1)/2)+'Cash Drivers'!AH$13,0)=EOMONTH($BP$1,0),Sales!AH$6,0)+IF(EOMONTH(DATE(YEAR(Sales!$AC$1),MONTH(Sales!$AC$1),1)+INT((DAY(Sales!$AC$1)-1)/2)+'Cash Drivers'!AE$13,0)=EOMONTH($BP$1,0),Sales!AE$6,0)+IF(EOMONTH(DATE(YEAR(Sales!$Z$1),MONTH(Sales!$Z$1),1)+INT((DAY(Sales!$Z$1)-1)/2)+'Cash Drivers'!AB$13,0)=EOMONTH($BP$1,0),Sales!AB$6,0)+IF(EOMONTH(DATE(YEAR(Sales!$W$1),MONTH(Sales!$W$1),1)+INT((DAY(Sales!$W$1)-1)/2)+'Cash Drivers'!Y$13,0)=EOMONTH($BP$1,0),Sales!Y$6,0)+IF(EOMONTH(DATE(YEAR(Sales!$T$1),MONTH(Sales!$T$1),1)+INT((DAY(Sales!$T$1)-1)/2)+'Cash Drivers'!V$13,0)=EOMONTH($BP$1,0),Sales!V$6,0)+IF(EOMONTH(DATE(YEAR(Sales!$Q$1),MONTH(Sales!$Q$1),1)+INT((DAY(Sales!$Q$1)-1)/2)+'Cash Drivers'!S$13,0)=EOMONTH($BP$1,0),Sales!S$6,0)+IF(EOMONTH(DATE(YEAR(Sales!$N$1),MONTH(Sales!$N$1),1)+INT((DAY(Sales!$N$1)-1)/2)+'Cash Drivers'!P$13,0)=EOMONTH($BP$1,0),Sales!P$6,0)+IF(EOMONTH(DATE(YEAR(Sales!$K$1),MONTH(Sales!$K$1),1)+INT((DAY(Sales!$K$1)-1)/2)+'Cash Drivers'!M$13,0)=EOMONTH($BP$1,0),Sales!M$6,0)+IF(EOMONTH('Cash Drivers'!$DL$30+'Cash Drivers'!DN$13,0)=EOMONTH($BP$1,0),'Cash Drivers'!$DL$32,0),0)</f>
        <v>28</v>
      </c>
      <c r="BS18" s="44" t="n">
        <f aca="false">ROUND(IF(EOMONTH(DATE(YEAR(Sales!$DL$1),MONTH(Sales!$DL$1),1)+INT((DAY(Sales!$DL$1)-1)/2)+'Cash Drivers'!DL$13,0)=EOMONTH($BS$1,0),Sales!DL$6,0)+IF(EOMONTH(DATE(YEAR(Sales!$DI$1),MONTH(Sales!$DI$1),1)+INT((DAY(Sales!$DI$1)-1)/2)+'Cash Drivers'!DI$13,0)=EOMONTH($BS$1,0),Sales!DI$6,0)+IF(EOMONTH(DATE(YEAR(Sales!$DF$1),MONTH(Sales!$DF$1),1)+INT((DAY(Sales!$DF$1)-1)/2)+'Cash Drivers'!DF$13,0)=EOMONTH($BS$1,0),Sales!DF$6,0)+IF(EOMONTH(DATE(YEAR(Sales!$DC$1),MONTH(Sales!$DC$1),1)+INT((DAY(Sales!$DC$1)-1)/2)+'Cash Drivers'!DC$13,0)=EOMONTH($BS$1,0),Sales!DC$6,0)+IF(EOMONTH(DATE(YEAR(Sales!$CZ$1),MONTH(Sales!$CZ$1),1)+INT((DAY(Sales!$CZ$1)-1)/2)+'Cash Drivers'!CZ$13,0)=EOMONTH($BS$1,0),Sales!CZ$6,0)+IF(EOMONTH(DATE(YEAR(Sales!$CW$1),MONTH(Sales!$CW$1),1)+INT((DAY(Sales!$CW$1)-1)/2)+'Cash Drivers'!CW$13,0)=EOMONTH($BS$1,0),Sales!CW$6,0)+IF(EOMONTH(DATE(YEAR(Sales!$CT$1),MONTH(Sales!$CT$1),1)+INT((DAY(Sales!$CT$1)-1)/2)+'Cash Drivers'!CT$13,0)=EOMONTH($BS$1,0),Sales!CT$6,0)+IF(EOMONTH(DATE(YEAR(Sales!$CQ$1),MONTH(Sales!$CQ$1),1)+INT((DAY(Sales!$CQ$1)-1)/2)+'Cash Drivers'!CQ$13,0)=EOMONTH($BS$1,0),Sales!CQ$6,0)+IF(EOMONTH(DATE(YEAR(Sales!$CN$1),MONTH(Sales!$CN$1),1)+INT((DAY(Sales!$CN$1)-1)/2)+'Cash Drivers'!CN$13,0)=EOMONTH($BS$1,0),Sales!CN$6,0)+IF(EOMONTH(DATE(YEAR(Sales!$CK$1),MONTH(Sales!$CK$1),1)+INT((DAY(Sales!$CK$1)-1)/2)+'Cash Drivers'!CK$13,0)=EOMONTH($BS$1,0),Sales!CK$6,0)+IF(EOMONTH(DATE(YEAR(Sales!$CH$1),MONTH(Sales!$CH$1),1)+INT((DAY(Sales!$CH$1)-1)/2)+'Cash Drivers'!CH$13,0)=EOMONTH($BS$1,0),Sales!CH$6,0)+IF(EOMONTH(DATE(YEAR(Sales!$CE$1),MONTH(Sales!$CE$1),1)+INT((DAY(Sales!$CE$1)-1)/2)+'Cash Drivers'!CE$13,0)=EOMONTH($BS$1,0),Sales!CE$6,0)+IF(EOMONTH(DATE(YEAR(Sales!$CB$1),MONTH(Sales!$CB$1),1)+INT((DAY(Sales!$CB$1)-1)/2)+'Cash Drivers'!CB$13,0)=EOMONTH($BS$1,0),Sales!CB$6,0)+IF(EOMONTH(DATE(YEAR(Sales!$BY$1),MONTH(Sales!$BY$1),1)+INT((DAY(Sales!$BY$1)-1)/2)+'Cash Drivers'!BY$13,0)=EOMONTH($BS$1,0),Sales!BY$6,0)+IF(EOMONTH(DATE(YEAR(Sales!$BV$1),MONTH(Sales!$BV$1),1)+INT((DAY(Sales!$BV$1)-1)/2)+'Cash Drivers'!BV$13,0)=EOMONTH($BS$1,0),Sales!BV$6,0)+IF(EOMONTH(DATE(YEAR(Sales!$BS$1),MONTH(Sales!$BS$1),1)+INT((DAY(Sales!$BS$1)-1)/2)+'Cash Drivers'!BS$13,0)=EOMONTH($BS$1,0),Sales!BS$6,0)+IF(EOMONTH(DATE(YEAR(Sales!$BP$1),MONTH(Sales!$BP$1),1)+INT((DAY(Sales!$BP$1)-1)/2)+'Cash Drivers'!BP$13,0)=EOMONTH($BS$1,0),Sales!BP$6,0)+IF(EOMONTH(DATE(YEAR(Sales!$BM$1),MONTH(Sales!$BM$1),1)+INT((DAY(Sales!$BM$1)-1)/2)+'Cash Drivers'!BM$13,0)=EOMONTH($BS$1,0),Sales!BM$6,0)+IF(EOMONTH(DATE(YEAR(Sales!$BJ$1),MONTH(Sales!$BJ$1),1)+INT((DAY(Sales!$BJ$1)-1)/2)+'Cash Drivers'!BJ$13,0)=EOMONTH($BS$1,0),Sales!BJ$6,0)+IF(EOMONTH(DATE(YEAR(Sales!$BG$1),MONTH(Sales!$BG$1),1)+INT((DAY(Sales!$BG$1)-1)/2)+'Cash Drivers'!BG$13,0)=EOMONTH($BS$1,0),Sales!BG$6,0)+IF(EOMONTH(DATE(YEAR(Sales!$BD$1),MONTH(Sales!$BD$1),1)+INT((DAY(Sales!$BD$1)-1)/2)+'Cash Drivers'!BD$13,0)=EOMONTH($BS$1,0),Sales!BD$6,0)+IF(EOMONTH(DATE(YEAR(Sales!$BA$1),MONTH(Sales!$BA$1),1)+INT((DAY(Sales!$BA$1)-1)/2)+'Cash Drivers'!BA$13,0)=EOMONTH($BS$1,0),Sales!BA$6,0)+IF(EOMONTH(DATE(YEAR(Sales!$AX$1),MONTH(Sales!$AX$1),1)+INT((DAY(Sales!$AX$1)-1)/2)+'Cash Drivers'!AX$13,0)=EOMONTH($BS$1,0),Sales!AX$6,0)+IF(EOMONTH(DATE(YEAR(Sales!$AU$1),MONTH(Sales!$AU$1),1)+INT((DAY(Sales!$AU$1)-1)/2)+'Cash Drivers'!AU$13,0)=EOMONTH($BS$1,0),Sales!AU$6,0)+IF(EOMONTH(DATE(YEAR(Sales!$AR$1),MONTH(Sales!$AR$1),1)+INT((DAY(Sales!$AR$1)-1)/2)+'Cash Drivers'!AR$13,0)=EOMONTH($BS$1,0),Sales!AR$6,0)+IF(EOMONTH(DATE(YEAR(Sales!$AO$1),MONTH(Sales!$AO$1),1)+INT((DAY(Sales!$AO$1)-1)/2)+'Cash Drivers'!AO$13,0)=EOMONTH($BS$1,0),Sales!AO$6,0)+IF(EOMONTH(DATE(YEAR(Sales!$AL$1),MONTH(Sales!$AL$1),1)+INT((DAY(Sales!$AL$1)-1)/2)+'Cash Drivers'!AL$13,0)=EOMONTH($BS$1,0),Sales!AL$6,0)+IF(EOMONTH(DATE(YEAR(Sales!$AI$1),MONTH(Sales!$AI$1),1)+INT((DAY(Sales!$AI$1)-1)/2)+'Cash Drivers'!AI$13,0)=EOMONTH($BS$1,0),Sales!AI$6,0)+IF(EOMONTH(DATE(YEAR(Sales!$AF$1),MONTH(Sales!$AF$1),1)+INT((DAY(Sales!$AF$1)-1)/2)+'Cash Drivers'!AF$13,0)=EOMONTH($BS$1,0),Sales!AF$6,0)+IF(EOMONTH(DATE(YEAR(Sales!$AC$1),MONTH(Sales!$AC$1),1)+INT((DAY(Sales!$AC$1)-1)/2)+'Cash Drivers'!AC$13,0)=EOMONTH($BS$1,0),Sales!AC$6,0)+IF(EOMONTH(DATE(YEAR(Sales!$Z$1),MONTH(Sales!$Z$1),1)+INT((DAY(Sales!$Z$1)-1)/2)+'Cash Drivers'!Z$13,0)=EOMONTH($BS$1,0),Sales!Z$6,0)+IF(EOMONTH(DATE(YEAR(Sales!$W$1),MONTH(Sales!$W$1),1)+INT((DAY(Sales!$W$1)-1)/2)+'Cash Drivers'!W$13,0)=EOMONTH($BS$1,0),Sales!W$6,0)+IF(EOMONTH(DATE(YEAR(Sales!$T$1),MONTH(Sales!$T$1),1)+INT((DAY(Sales!$T$1)-1)/2)+'Cash Drivers'!T$13,0)=EOMONTH($BS$1,0),Sales!T$6,0)+IF(EOMONTH(DATE(YEAR(Sales!$Q$1),MONTH(Sales!$Q$1),1)+INT((DAY(Sales!$Q$1)-1)/2)+'Cash Drivers'!Q$13,0)=EOMONTH($BS$1,0),Sales!Q$6,0)+IF(EOMONTH(DATE(YEAR(Sales!$N$1),MONTH(Sales!$N$1),1)+INT((DAY(Sales!$N$1)-1)/2)+'Cash Drivers'!N$13,0)=EOMONTH($BS$1,0),Sales!N$6,0)+IF(EOMONTH(DATE(YEAR(Sales!$K$1),MONTH(Sales!$K$1),1)+INT((DAY(Sales!$K$1)-1)/2)+'Cash Drivers'!K$13,0)=EOMONTH($BS$1,0),Sales!K$6,0)+IF(EOMONTH('Cash Drivers'!$DL$30+'Cash Drivers'!DL$13,0)=EOMONTH($BS$1,0),'Cash Drivers'!$DL$32,0),0)</f>
        <v>0</v>
      </c>
      <c r="BT18" s="45" t="n">
        <f aca="false">ROUND(IF(EOMONTH(DATE(YEAR(Sales!$DL$1),MONTH(Sales!$DL$1),1)+INT((DAY(Sales!$DL$1)-1)/2)+'Cash Drivers'!DM$13,0)=EOMONTH($BS$1,0),Sales!DM$6,0)+IF(EOMONTH(DATE(YEAR(Sales!$DI$1),MONTH(Sales!$DI$1),1)+INT((DAY(Sales!$DI$1)-1)/2)+'Cash Drivers'!DJ$13,0)=EOMONTH($BS$1,0),Sales!DJ$6,0)+IF(EOMONTH(DATE(YEAR(Sales!$DF$1),MONTH(Sales!$DF$1),1)+INT((DAY(Sales!$DF$1)-1)/2)+'Cash Drivers'!DG$13,0)=EOMONTH($BS$1,0),Sales!DG$6,0)+IF(EOMONTH(DATE(YEAR(Sales!$DC$1),MONTH(Sales!$DC$1),1)+INT((DAY(Sales!$DC$1)-1)/2)+'Cash Drivers'!DD$13,0)=EOMONTH($BS$1,0),Sales!DD$6,0)+IF(EOMONTH(DATE(YEAR(Sales!$CZ$1),MONTH(Sales!$CZ$1),1)+INT((DAY(Sales!$CZ$1)-1)/2)+'Cash Drivers'!DA$13,0)=EOMONTH($BS$1,0),Sales!DA$6,0)+IF(EOMONTH(DATE(YEAR(Sales!$CW$1),MONTH(Sales!$CW$1),1)+INT((DAY(Sales!$CW$1)-1)/2)+'Cash Drivers'!CX$13,0)=EOMONTH($BS$1,0),Sales!CX$6,0)+IF(EOMONTH(DATE(YEAR(Sales!$CT$1),MONTH(Sales!$CT$1),1)+INT((DAY(Sales!$CT$1)-1)/2)+'Cash Drivers'!CU$13,0)=EOMONTH($BS$1,0),Sales!CU$6,0)+IF(EOMONTH(DATE(YEAR(Sales!$CQ$1),MONTH(Sales!$CQ$1),1)+INT((DAY(Sales!$CQ$1)-1)/2)+'Cash Drivers'!CR$13,0)=EOMONTH($BS$1,0),Sales!CR$6,0)+IF(EOMONTH(DATE(YEAR(Sales!$CN$1),MONTH(Sales!$CN$1),1)+INT((DAY(Sales!$CN$1)-1)/2)+'Cash Drivers'!CO$13,0)=EOMONTH($BS$1,0),Sales!CO$6,0)+IF(EOMONTH(DATE(YEAR(Sales!$CK$1),MONTH(Sales!$CK$1),1)+INT((DAY(Sales!$CK$1)-1)/2)+'Cash Drivers'!CL$13,0)=EOMONTH($BS$1,0),Sales!CL$6,0)+IF(EOMONTH(DATE(YEAR(Sales!$CH$1),MONTH(Sales!$CH$1),1)+INT((DAY(Sales!$CH$1)-1)/2)+'Cash Drivers'!CI$13,0)=EOMONTH($BS$1,0),Sales!CI$6,0)+IF(EOMONTH(DATE(YEAR(Sales!$CE$1),MONTH(Sales!$CE$1),1)+INT((DAY(Sales!$CE$1)-1)/2)+'Cash Drivers'!CF$13,0)=EOMONTH($BS$1,0),Sales!CF$6,0)+IF(EOMONTH(DATE(YEAR(Sales!$CB$1),MONTH(Sales!$CB$1),1)+INT((DAY(Sales!$CB$1)-1)/2)+'Cash Drivers'!CC$13,0)=EOMONTH($BS$1,0),Sales!CC$6,0)+IF(EOMONTH(DATE(YEAR(Sales!$BY$1),MONTH(Sales!$BY$1),1)+INT((DAY(Sales!$BY$1)-1)/2)+'Cash Drivers'!BZ$13,0)=EOMONTH($BS$1,0),Sales!BZ$6,0)+IF(EOMONTH(DATE(YEAR(Sales!$BV$1),MONTH(Sales!$BV$1),1)+INT((DAY(Sales!$BV$1)-1)/2)+'Cash Drivers'!BW$13,0)=EOMONTH($BS$1,0),Sales!BW$6,0)+IF(EOMONTH(DATE(YEAR(Sales!$BS$1),MONTH(Sales!$BS$1),1)+INT((DAY(Sales!$BS$1)-1)/2)+'Cash Drivers'!BT$13,0)=EOMONTH($BS$1,0),Sales!BT$6,0)+IF(EOMONTH(DATE(YEAR(Sales!$BP$1),MONTH(Sales!$BP$1),1)+INT((DAY(Sales!$BP$1)-1)/2)+'Cash Drivers'!BQ$13,0)=EOMONTH($BS$1,0),Sales!BQ$6,0)+IF(EOMONTH(DATE(YEAR(Sales!$BM$1),MONTH(Sales!$BM$1),1)+INT((DAY(Sales!$BM$1)-1)/2)+'Cash Drivers'!BN$13,0)=EOMONTH($BS$1,0),Sales!BN$6,0)+IF(EOMONTH(DATE(YEAR(Sales!$BJ$1),MONTH(Sales!$BJ$1),1)+INT((DAY(Sales!$BJ$1)-1)/2)+'Cash Drivers'!BK$13,0)=EOMONTH($BS$1,0),Sales!BK$6,0)+IF(EOMONTH(DATE(YEAR(Sales!$BG$1),MONTH(Sales!$BG$1),1)+INT((DAY(Sales!$BG$1)-1)/2)+'Cash Drivers'!BH$13,0)=EOMONTH($BS$1,0),Sales!BH$6,0)+IF(EOMONTH(DATE(YEAR(Sales!$BD$1),MONTH(Sales!$BD$1),1)+INT((DAY(Sales!$BD$1)-1)/2)+'Cash Drivers'!BE$13,0)=EOMONTH($BS$1,0),Sales!BE$6,0)+IF(EOMONTH(DATE(YEAR(Sales!$BA$1),MONTH(Sales!$BA$1),1)+INT((DAY(Sales!$BA$1)-1)/2)+'Cash Drivers'!BB$13,0)=EOMONTH($BS$1,0),Sales!BB$6,0)+IF(EOMONTH(DATE(YEAR(Sales!$AX$1),MONTH(Sales!$AX$1),1)+INT((DAY(Sales!$AX$1)-1)/2)+'Cash Drivers'!AY$13,0)=EOMONTH($BS$1,0),Sales!AY$6,0)+IF(EOMONTH(DATE(YEAR(Sales!$AU$1),MONTH(Sales!$AU$1),1)+INT((DAY(Sales!$AU$1)-1)/2)+'Cash Drivers'!AV$13,0)=EOMONTH($BS$1,0),Sales!AV$6,0)+IF(EOMONTH(DATE(YEAR(Sales!$AR$1),MONTH(Sales!$AR$1),1)+INT((DAY(Sales!$AR$1)-1)/2)+'Cash Drivers'!AS$13,0)=EOMONTH($BS$1,0),Sales!AS$6,0)+IF(EOMONTH(DATE(YEAR(Sales!$AO$1),MONTH(Sales!$AO$1),1)+INT((DAY(Sales!$AO$1)-1)/2)+'Cash Drivers'!AP$13,0)=EOMONTH($BS$1,0),Sales!AP$6,0)+IF(EOMONTH(DATE(YEAR(Sales!$AL$1),MONTH(Sales!$AL$1),1)+INT((DAY(Sales!$AL$1)-1)/2)+'Cash Drivers'!AM$13,0)=EOMONTH($BS$1,0),Sales!AM$6,0)+IF(EOMONTH(DATE(YEAR(Sales!$AI$1),MONTH(Sales!$AI$1),1)+INT((DAY(Sales!$AI$1)-1)/2)+'Cash Drivers'!AJ$13,0)=EOMONTH($BS$1,0),Sales!AJ$6,0)+IF(EOMONTH(DATE(YEAR(Sales!$AF$1),MONTH(Sales!$AF$1),1)+INT((DAY(Sales!$AF$1)-1)/2)+'Cash Drivers'!AG$13,0)=EOMONTH($BS$1,0),Sales!AG$6,0)+IF(EOMONTH(DATE(YEAR(Sales!$AC$1),MONTH(Sales!$AC$1),1)+INT((DAY(Sales!$AC$1)-1)/2)+'Cash Drivers'!AD$13,0)=EOMONTH($BS$1,0),Sales!AD$6,0)+IF(EOMONTH(DATE(YEAR(Sales!$Z$1),MONTH(Sales!$Z$1),1)+INT((DAY(Sales!$Z$1)-1)/2)+'Cash Drivers'!AA$13,0)=EOMONTH($BS$1,0),Sales!AA$6,0)+IF(EOMONTH(DATE(YEAR(Sales!$W$1),MONTH(Sales!$W$1),1)+INT((DAY(Sales!$W$1)-1)/2)+'Cash Drivers'!X$13,0)=EOMONTH($BS$1,0),Sales!X$6,0)+IF(EOMONTH(DATE(YEAR(Sales!$T$1),MONTH(Sales!$T$1),1)+INT((DAY(Sales!$T$1)-1)/2)+'Cash Drivers'!U$13,0)=EOMONTH($BS$1,0),Sales!U$6,0)+IF(EOMONTH(DATE(YEAR(Sales!$Q$1),MONTH(Sales!$Q$1),1)+INT((DAY(Sales!$Q$1)-1)/2)+'Cash Drivers'!R$13,0)=EOMONTH($BS$1,0),Sales!R$6,0)+IF(EOMONTH(DATE(YEAR(Sales!$N$1),MONTH(Sales!$N$1),1)+INT((DAY(Sales!$N$1)-1)/2)+'Cash Drivers'!O$13,0)=EOMONTH($BS$1,0),Sales!O$6,0)+IF(EOMONTH(DATE(YEAR(Sales!$K$1),MONTH(Sales!$K$1),1)+INT((DAY(Sales!$K$1)-1)/2)+'Cash Drivers'!L$13,0)=EOMONTH($BS$1,0),Sales!L$6,0)+IF(EOMONTH('Cash Drivers'!$DL$30+'Cash Drivers'!DM$13,0)=EOMONTH($BS$1,0),'Cash Drivers'!$DL$32,0),0)</f>
        <v>28</v>
      </c>
      <c r="BU18" s="46" t="n">
        <f aca="false">ROUND(IF(EOMONTH(DATE(YEAR(Sales!$DL$1),MONTH(Sales!$DL$1),1)+INT((DAY(Sales!$DL$1)-1)/2)+'Cash Drivers'!DN$13,0)=EOMONTH($BS$1,0),Sales!DN$6,0)+IF(EOMONTH(DATE(YEAR(Sales!$DI$1),MONTH(Sales!$DI$1),1)+INT((DAY(Sales!$DI$1)-1)/2)+'Cash Drivers'!DK$13,0)=EOMONTH($BS$1,0),Sales!DK$6,0)+IF(EOMONTH(DATE(YEAR(Sales!$DF$1),MONTH(Sales!$DF$1),1)+INT((DAY(Sales!$DF$1)-1)/2)+'Cash Drivers'!DH$13,0)=EOMONTH($BS$1,0),Sales!DH$6,0)+IF(EOMONTH(DATE(YEAR(Sales!$DC$1),MONTH(Sales!$DC$1),1)+INT((DAY(Sales!$DC$1)-1)/2)+'Cash Drivers'!DE$13,0)=EOMONTH($BS$1,0),Sales!DE$6,0)+IF(EOMONTH(DATE(YEAR(Sales!$CZ$1),MONTH(Sales!$CZ$1),1)+INT((DAY(Sales!$CZ$1)-1)/2)+'Cash Drivers'!DB$13,0)=EOMONTH($BS$1,0),Sales!DB$6,0)+IF(EOMONTH(DATE(YEAR(Sales!$CW$1),MONTH(Sales!$CW$1),1)+INT((DAY(Sales!$CW$1)-1)/2)+'Cash Drivers'!CY$13,0)=EOMONTH($BS$1,0),Sales!CY$6,0)+IF(EOMONTH(DATE(YEAR(Sales!$CT$1),MONTH(Sales!$CT$1),1)+INT((DAY(Sales!$CT$1)-1)/2)+'Cash Drivers'!CV$13,0)=EOMONTH($BS$1,0),Sales!CV$6,0)+IF(EOMONTH(DATE(YEAR(Sales!$CQ$1),MONTH(Sales!$CQ$1),1)+INT((DAY(Sales!$CQ$1)-1)/2)+'Cash Drivers'!CS$13,0)=EOMONTH($BS$1,0),Sales!CS$6,0)+IF(EOMONTH(DATE(YEAR(Sales!$CN$1),MONTH(Sales!$CN$1),1)+INT((DAY(Sales!$CN$1)-1)/2)+'Cash Drivers'!CP$13,0)=EOMONTH($BS$1,0),Sales!CP$6,0)+IF(EOMONTH(DATE(YEAR(Sales!$CK$1),MONTH(Sales!$CK$1),1)+INT((DAY(Sales!$CK$1)-1)/2)+'Cash Drivers'!CM$13,0)=EOMONTH($BS$1,0),Sales!CM$6,0)+IF(EOMONTH(DATE(YEAR(Sales!$CH$1),MONTH(Sales!$CH$1),1)+INT((DAY(Sales!$CH$1)-1)/2)+'Cash Drivers'!CJ$13,0)=EOMONTH($BS$1,0),Sales!CJ$6,0)+IF(EOMONTH(DATE(YEAR(Sales!$CE$1),MONTH(Sales!$CE$1),1)+INT((DAY(Sales!$CE$1)-1)/2)+'Cash Drivers'!CG$13,0)=EOMONTH($BS$1,0),Sales!CG$6,0)+IF(EOMONTH(DATE(YEAR(Sales!$CB$1),MONTH(Sales!$CB$1),1)+INT((DAY(Sales!$CB$1)-1)/2)+'Cash Drivers'!CD$13,0)=EOMONTH($BS$1,0),Sales!CD$6,0)+IF(EOMONTH(DATE(YEAR(Sales!$BY$1),MONTH(Sales!$BY$1),1)+INT((DAY(Sales!$BY$1)-1)/2)+'Cash Drivers'!CA$13,0)=EOMONTH($BS$1,0),Sales!CA$6,0)+IF(EOMONTH(DATE(YEAR(Sales!$BV$1),MONTH(Sales!$BV$1),1)+INT((DAY(Sales!$BV$1)-1)/2)+'Cash Drivers'!BX$13,0)=EOMONTH($BS$1,0),Sales!BX$6,0)+IF(EOMONTH(DATE(YEAR(Sales!$BS$1),MONTH(Sales!$BS$1),1)+INT((DAY(Sales!$BS$1)-1)/2)+'Cash Drivers'!BU$13,0)=EOMONTH($BS$1,0),Sales!BU$6,0)+IF(EOMONTH(DATE(YEAR(Sales!$BP$1),MONTH(Sales!$BP$1),1)+INT((DAY(Sales!$BP$1)-1)/2)+'Cash Drivers'!BR$13,0)=EOMONTH($BS$1,0),Sales!BR$6,0)+IF(EOMONTH(DATE(YEAR(Sales!$BM$1),MONTH(Sales!$BM$1),1)+INT((DAY(Sales!$BM$1)-1)/2)+'Cash Drivers'!BO$13,0)=EOMONTH($BS$1,0),Sales!BO$6,0)+IF(EOMONTH(DATE(YEAR(Sales!$BJ$1),MONTH(Sales!$BJ$1),1)+INT((DAY(Sales!$BJ$1)-1)/2)+'Cash Drivers'!BL$13,0)=EOMONTH($BS$1,0),Sales!BL$6,0)+IF(EOMONTH(DATE(YEAR(Sales!$BG$1),MONTH(Sales!$BG$1),1)+INT((DAY(Sales!$BG$1)-1)/2)+'Cash Drivers'!BI$13,0)=EOMONTH($BS$1,0),Sales!BI$6,0)+IF(EOMONTH(DATE(YEAR(Sales!$BD$1),MONTH(Sales!$BD$1),1)+INT((DAY(Sales!$BD$1)-1)/2)+'Cash Drivers'!BF$13,0)=EOMONTH($BS$1,0),Sales!BF$6,0)+IF(EOMONTH(DATE(YEAR(Sales!$BA$1),MONTH(Sales!$BA$1),1)+INT((DAY(Sales!$BA$1)-1)/2)+'Cash Drivers'!BC$13,0)=EOMONTH($BS$1,0),Sales!BC$6,0)+IF(EOMONTH(DATE(YEAR(Sales!$AX$1),MONTH(Sales!$AX$1),1)+INT((DAY(Sales!$AX$1)-1)/2)+'Cash Drivers'!AZ$13,0)=EOMONTH($BS$1,0),Sales!AZ$6,0)+IF(EOMONTH(DATE(YEAR(Sales!$AU$1),MONTH(Sales!$AU$1),1)+INT((DAY(Sales!$AU$1)-1)/2)+'Cash Drivers'!AW$13,0)=EOMONTH($BS$1,0),Sales!AW$6,0)+IF(EOMONTH(DATE(YEAR(Sales!$AR$1),MONTH(Sales!$AR$1),1)+INT((DAY(Sales!$AR$1)-1)/2)+'Cash Drivers'!AT$13,0)=EOMONTH($BS$1,0),Sales!AT$6,0)+IF(EOMONTH(DATE(YEAR(Sales!$AO$1),MONTH(Sales!$AO$1),1)+INT((DAY(Sales!$AO$1)-1)/2)+'Cash Drivers'!AQ$13,0)=EOMONTH($BS$1,0),Sales!AQ$6,0)+IF(EOMONTH(DATE(YEAR(Sales!$AL$1),MONTH(Sales!$AL$1),1)+INT((DAY(Sales!$AL$1)-1)/2)+'Cash Drivers'!AN$13,0)=EOMONTH($BS$1,0),Sales!AN$6,0)+IF(EOMONTH(DATE(YEAR(Sales!$AI$1),MONTH(Sales!$AI$1),1)+INT((DAY(Sales!$AI$1)-1)/2)+'Cash Drivers'!AK$13,0)=EOMONTH($BS$1,0),Sales!AK$6,0)+IF(EOMONTH(DATE(YEAR(Sales!$AF$1),MONTH(Sales!$AF$1),1)+INT((DAY(Sales!$AF$1)-1)/2)+'Cash Drivers'!AH$13,0)=EOMONTH($BS$1,0),Sales!AH$6,0)+IF(EOMONTH(DATE(YEAR(Sales!$AC$1),MONTH(Sales!$AC$1),1)+INT((DAY(Sales!$AC$1)-1)/2)+'Cash Drivers'!AE$13,0)=EOMONTH($BS$1,0),Sales!AE$6,0)+IF(EOMONTH(DATE(YEAR(Sales!$Z$1),MONTH(Sales!$Z$1),1)+INT((DAY(Sales!$Z$1)-1)/2)+'Cash Drivers'!AB$13,0)=EOMONTH($BS$1,0),Sales!AB$6,0)+IF(EOMONTH(DATE(YEAR(Sales!$W$1),MONTH(Sales!$W$1),1)+INT((DAY(Sales!$W$1)-1)/2)+'Cash Drivers'!Y$13,0)=EOMONTH($BS$1,0),Sales!Y$6,0)+IF(EOMONTH(DATE(YEAR(Sales!$T$1),MONTH(Sales!$T$1),1)+INT((DAY(Sales!$T$1)-1)/2)+'Cash Drivers'!V$13,0)=EOMONTH($BS$1,0),Sales!V$6,0)+IF(EOMONTH(DATE(YEAR(Sales!$Q$1),MONTH(Sales!$Q$1),1)+INT((DAY(Sales!$Q$1)-1)/2)+'Cash Drivers'!S$13,0)=EOMONTH($BS$1,0),Sales!S$6,0)+IF(EOMONTH(DATE(YEAR(Sales!$N$1),MONTH(Sales!$N$1),1)+INT((DAY(Sales!$N$1)-1)/2)+'Cash Drivers'!P$13,0)=EOMONTH($BS$1,0),Sales!P$6,0)+IF(EOMONTH(DATE(YEAR(Sales!$K$1),MONTH(Sales!$K$1),1)+INT((DAY(Sales!$K$1)-1)/2)+'Cash Drivers'!M$13,0)=EOMONTH($BS$1,0),Sales!M$6,0)+IF(EOMONTH('Cash Drivers'!$DL$30+'Cash Drivers'!DN$13,0)=EOMONTH($BS$1,0),'Cash Drivers'!$DL$32,0),0)</f>
        <v>28</v>
      </c>
      <c r="BV18" s="44" t="n">
        <f aca="false">ROUND(IF(EOMONTH(DATE(YEAR(Sales!$DL$1),MONTH(Sales!$DL$1),1)+INT((DAY(Sales!$DL$1)-1)/2)+'Cash Drivers'!DL$13,0)=EOMONTH($BV$1,0),Sales!DL$6,0)+IF(EOMONTH(DATE(YEAR(Sales!$DI$1),MONTH(Sales!$DI$1),1)+INT((DAY(Sales!$DI$1)-1)/2)+'Cash Drivers'!DI$13,0)=EOMONTH($BV$1,0),Sales!DI$6,0)+IF(EOMONTH(DATE(YEAR(Sales!$DF$1),MONTH(Sales!$DF$1),1)+INT((DAY(Sales!$DF$1)-1)/2)+'Cash Drivers'!DF$13,0)=EOMONTH($BV$1,0),Sales!DF$6,0)+IF(EOMONTH(DATE(YEAR(Sales!$DC$1),MONTH(Sales!$DC$1),1)+INT((DAY(Sales!$DC$1)-1)/2)+'Cash Drivers'!DC$13,0)=EOMONTH($BV$1,0),Sales!DC$6,0)+IF(EOMONTH(DATE(YEAR(Sales!$CZ$1),MONTH(Sales!$CZ$1),1)+INT((DAY(Sales!$CZ$1)-1)/2)+'Cash Drivers'!CZ$13,0)=EOMONTH($BV$1,0),Sales!CZ$6,0)+IF(EOMONTH(DATE(YEAR(Sales!$CW$1),MONTH(Sales!$CW$1),1)+INT((DAY(Sales!$CW$1)-1)/2)+'Cash Drivers'!CW$13,0)=EOMONTH($BV$1,0),Sales!CW$6,0)+IF(EOMONTH(DATE(YEAR(Sales!$CT$1),MONTH(Sales!$CT$1),1)+INT((DAY(Sales!$CT$1)-1)/2)+'Cash Drivers'!CT$13,0)=EOMONTH($BV$1,0),Sales!CT$6,0)+IF(EOMONTH(DATE(YEAR(Sales!$CQ$1),MONTH(Sales!$CQ$1),1)+INT((DAY(Sales!$CQ$1)-1)/2)+'Cash Drivers'!CQ$13,0)=EOMONTH($BV$1,0),Sales!CQ$6,0)+IF(EOMONTH(DATE(YEAR(Sales!$CN$1),MONTH(Sales!$CN$1),1)+INT((DAY(Sales!$CN$1)-1)/2)+'Cash Drivers'!CN$13,0)=EOMONTH($BV$1,0),Sales!CN$6,0)+IF(EOMONTH(DATE(YEAR(Sales!$CK$1),MONTH(Sales!$CK$1),1)+INT((DAY(Sales!$CK$1)-1)/2)+'Cash Drivers'!CK$13,0)=EOMONTH($BV$1,0),Sales!CK$6,0)+IF(EOMONTH(DATE(YEAR(Sales!$CH$1),MONTH(Sales!$CH$1),1)+INT((DAY(Sales!$CH$1)-1)/2)+'Cash Drivers'!CH$13,0)=EOMONTH($BV$1,0),Sales!CH$6,0)+IF(EOMONTH(DATE(YEAR(Sales!$CE$1),MONTH(Sales!$CE$1),1)+INT((DAY(Sales!$CE$1)-1)/2)+'Cash Drivers'!CE$13,0)=EOMONTH($BV$1,0),Sales!CE$6,0)+IF(EOMONTH(DATE(YEAR(Sales!$CB$1),MONTH(Sales!$CB$1),1)+INT((DAY(Sales!$CB$1)-1)/2)+'Cash Drivers'!CB$13,0)=EOMONTH($BV$1,0),Sales!CB$6,0)+IF(EOMONTH(DATE(YEAR(Sales!$BY$1),MONTH(Sales!$BY$1),1)+INT((DAY(Sales!$BY$1)-1)/2)+'Cash Drivers'!BY$13,0)=EOMONTH($BV$1,0),Sales!BY$6,0)+IF(EOMONTH(DATE(YEAR(Sales!$BV$1),MONTH(Sales!$BV$1),1)+INT((DAY(Sales!$BV$1)-1)/2)+'Cash Drivers'!BV$13,0)=EOMONTH($BV$1,0),Sales!BV$6,0)+IF(EOMONTH(DATE(YEAR(Sales!$BS$1),MONTH(Sales!$BS$1),1)+INT((DAY(Sales!$BS$1)-1)/2)+'Cash Drivers'!BS$13,0)=EOMONTH($BV$1,0),Sales!BS$6,0)+IF(EOMONTH(DATE(YEAR(Sales!$BP$1),MONTH(Sales!$BP$1),1)+INT((DAY(Sales!$BP$1)-1)/2)+'Cash Drivers'!BP$13,0)=EOMONTH($BV$1,0),Sales!BP$6,0)+IF(EOMONTH(DATE(YEAR(Sales!$BM$1),MONTH(Sales!$BM$1),1)+INT((DAY(Sales!$BM$1)-1)/2)+'Cash Drivers'!BM$13,0)=EOMONTH($BV$1,0),Sales!BM$6,0)+IF(EOMONTH(DATE(YEAR(Sales!$BJ$1),MONTH(Sales!$BJ$1),1)+INT((DAY(Sales!$BJ$1)-1)/2)+'Cash Drivers'!BJ$13,0)=EOMONTH($BV$1,0),Sales!BJ$6,0)+IF(EOMONTH(DATE(YEAR(Sales!$BG$1),MONTH(Sales!$BG$1),1)+INT((DAY(Sales!$BG$1)-1)/2)+'Cash Drivers'!BG$13,0)=EOMONTH($BV$1,0),Sales!BG$6,0)+IF(EOMONTH(DATE(YEAR(Sales!$BD$1),MONTH(Sales!$BD$1),1)+INT((DAY(Sales!$BD$1)-1)/2)+'Cash Drivers'!BD$13,0)=EOMONTH($BV$1,0),Sales!BD$6,0)+IF(EOMONTH(DATE(YEAR(Sales!$BA$1),MONTH(Sales!$BA$1),1)+INT((DAY(Sales!$BA$1)-1)/2)+'Cash Drivers'!BA$13,0)=EOMONTH($BV$1,0),Sales!BA$6,0)+IF(EOMONTH(DATE(YEAR(Sales!$AX$1),MONTH(Sales!$AX$1),1)+INT((DAY(Sales!$AX$1)-1)/2)+'Cash Drivers'!AX$13,0)=EOMONTH($BV$1,0),Sales!AX$6,0)+IF(EOMONTH(DATE(YEAR(Sales!$AU$1),MONTH(Sales!$AU$1),1)+INT((DAY(Sales!$AU$1)-1)/2)+'Cash Drivers'!AU$13,0)=EOMONTH($BV$1,0),Sales!AU$6,0)+IF(EOMONTH(DATE(YEAR(Sales!$AR$1),MONTH(Sales!$AR$1),1)+INT((DAY(Sales!$AR$1)-1)/2)+'Cash Drivers'!AR$13,0)=EOMONTH($BV$1,0),Sales!AR$6,0)+IF(EOMONTH(DATE(YEAR(Sales!$AO$1),MONTH(Sales!$AO$1),1)+INT((DAY(Sales!$AO$1)-1)/2)+'Cash Drivers'!AO$13,0)=EOMONTH($BV$1,0),Sales!AO$6,0)+IF(EOMONTH(DATE(YEAR(Sales!$AL$1),MONTH(Sales!$AL$1),1)+INT((DAY(Sales!$AL$1)-1)/2)+'Cash Drivers'!AL$13,0)=EOMONTH($BV$1,0),Sales!AL$6,0)+IF(EOMONTH(DATE(YEAR(Sales!$AI$1),MONTH(Sales!$AI$1),1)+INT((DAY(Sales!$AI$1)-1)/2)+'Cash Drivers'!AI$13,0)=EOMONTH($BV$1,0),Sales!AI$6,0)+IF(EOMONTH(DATE(YEAR(Sales!$AF$1),MONTH(Sales!$AF$1),1)+INT((DAY(Sales!$AF$1)-1)/2)+'Cash Drivers'!AF$13,0)=EOMONTH($BV$1,0),Sales!AF$6,0)+IF(EOMONTH(DATE(YEAR(Sales!$AC$1),MONTH(Sales!$AC$1),1)+INT((DAY(Sales!$AC$1)-1)/2)+'Cash Drivers'!AC$13,0)=EOMONTH($BV$1,0),Sales!AC$6,0)+IF(EOMONTH(DATE(YEAR(Sales!$Z$1),MONTH(Sales!$Z$1),1)+INT((DAY(Sales!$Z$1)-1)/2)+'Cash Drivers'!Z$13,0)=EOMONTH($BV$1,0),Sales!Z$6,0)+IF(EOMONTH(DATE(YEAR(Sales!$W$1),MONTH(Sales!$W$1),1)+INT((DAY(Sales!$W$1)-1)/2)+'Cash Drivers'!W$13,0)=EOMONTH($BV$1,0),Sales!W$6,0)+IF(EOMONTH(DATE(YEAR(Sales!$T$1),MONTH(Sales!$T$1),1)+INT((DAY(Sales!$T$1)-1)/2)+'Cash Drivers'!T$13,0)=EOMONTH($BV$1,0),Sales!T$6,0)+IF(EOMONTH(DATE(YEAR(Sales!$Q$1),MONTH(Sales!$Q$1),1)+INT((DAY(Sales!$Q$1)-1)/2)+'Cash Drivers'!Q$13,0)=EOMONTH($BV$1,0),Sales!Q$6,0)+IF(EOMONTH(DATE(YEAR(Sales!$N$1),MONTH(Sales!$N$1),1)+INT((DAY(Sales!$N$1)-1)/2)+'Cash Drivers'!N$13,0)=EOMONTH($BV$1,0),Sales!N$6,0)+IF(EOMONTH(DATE(YEAR(Sales!$K$1),MONTH(Sales!$K$1),1)+INT((DAY(Sales!$K$1)-1)/2)+'Cash Drivers'!K$13,0)=EOMONTH($BV$1,0),Sales!K$6,0)+IF(EOMONTH('Cash Drivers'!$DL$30+'Cash Drivers'!DL$13,0)=EOMONTH($BV$1,0),'Cash Drivers'!$DL$32,0),0)</f>
        <v>0</v>
      </c>
      <c r="BW18" s="45" t="n">
        <f aca="false">ROUND(IF(EOMONTH(DATE(YEAR(Sales!$DL$1),MONTH(Sales!$DL$1),1)+INT((DAY(Sales!$DL$1)-1)/2)+'Cash Drivers'!DM$13,0)=EOMONTH($BV$1,0),Sales!DM$6,0)+IF(EOMONTH(DATE(YEAR(Sales!$DI$1),MONTH(Sales!$DI$1),1)+INT((DAY(Sales!$DI$1)-1)/2)+'Cash Drivers'!DJ$13,0)=EOMONTH($BV$1,0),Sales!DJ$6,0)+IF(EOMONTH(DATE(YEAR(Sales!$DF$1),MONTH(Sales!$DF$1),1)+INT((DAY(Sales!$DF$1)-1)/2)+'Cash Drivers'!DG$13,0)=EOMONTH($BV$1,0),Sales!DG$6,0)+IF(EOMONTH(DATE(YEAR(Sales!$DC$1),MONTH(Sales!$DC$1),1)+INT((DAY(Sales!$DC$1)-1)/2)+'Cash Drivers'!DD$13,0)=EOMONTH($BV$1,0),Sales!DD$6,0)+IF(EOMONTH(DATE(YEAR(Sales!$CZ$1),MONTH(Sales!$CZ$1),1)+INT((DAY(Sales!$CZ$1)-1)/2)+'Cash Drivers'!DA$13,0)=EOMONTH($BV$1,0),Sales!DA$6,0)+IF(EOMONTH(DATE(YEAR(Sales!$CW$1),MONTH(Sales!$CW$1),1)+INT((DAY(Sales!$CW$1)-1)/2)+'Cash Drivers'!CX$13,0)=EOMONTH($BV$1,0),Sales!CX$6,0)+IF(EOMONTH(DATE(YEAR(Sales!$CT$1),MONTH(Sales!$CT$1),1)+INT((DAY(Sales!$CT$1)-1)/2)+'Cash Drivers'!CU$13,0)=EOMONTH($BV$1,0),Sales!CU$6,0)+IF(EOMONTH(DATE(YEAR(Sales!$CQ$1),MONTH(Sales!$CQ$1),1)+INT((DAY(Sales!$CQ$1)-1)/2)+'Cash Drivers'!CR$13,0)=EOMONTH($BV$1,0),Sales!CR$6,0)+IF(EOMONTH(DATE(YEAR(Sales!$CN$1),MONTH(Sales!$CN$1),1)+INT((DAY(Sales!$CN$1)-1)/2)+'Cash Drivers'!CO$13,0)=EOMONTH($BV$1,0),Sales!CO$6,0)+IF(EOMONTH(DATE(YEAR(Sales!$CK$1),MONTH(Sales!$CK$1),1)+INT((DAY(Sales!$CK$1)-1)/2)+'Cash Drivers'!CL$13,0)=EOMONTH($BV$1,0),Sales!CL$6,0)+IF(EOMONTH(DATE(YEAR(Sales!$CH$1),MONTH(Sales!$CH$1),1)+INT((DAY(Sales!$CH$1)-1)/2)+'Cash Drivers'!CI$13,0)=EOMONTH($BV$1,0),Sales!CI$6,0)+IF(EOMONTH(DATE(YEAR(Sales!$CE$1),MONTH(Sales!$CE$1),1)+INT((DAY(Sales!$CE$1)-1)/2)+'Cash Drivers'!CF$13,0)=EOMONTH($BV$1,0),Sales!CF$6,0)+IF(EOMONTH(DATE(YEAR(Sales!$CB$1),MONTH(Sales!$CB$1),1)+INT((DAY(Sales!$CB$1)-1)/2)+'Cash Drivers'!CC$13,0)=EOMONTH($BV$1,0),Sales!CC$6,0)+IF(EOMONTH(DATE(YEAR(Sales!$BY$1),MONTH(Sales!$BY$1),1)+INT((DAY(Sales!$BY$1)-1)/2)+'Cash Drivers'!BZ$13,0)=EOMONTH($BV$1,0),Sales!BZ$6,0)+IF(EOMONTH(DATE(YEAR(Sales!$BV$1),MONTH(Sales!$BV$1),1)+INT((DAY(Sales!$BV$1)-1)/2)+'Cash Drivers'!BW$13,0)=EOMONTH($BV$1,0),Sales!BW$6,0)+IF(EOMONTH(DATE(YEAR(Sales!$BS$1),MONTH(Sales!$BS$1),1)+INT((DAY(Sales!$BS$1)-1)/2)+'Cash Drivers'!BT$13,0)=EOMONTH($BV$1,0),Sales!BT$6,0)+IF(EOMONTH(DATE(YEAR(Sales!$BP$1),MONTH(Sales!$BP$1),1)+INT((DAY(Sales!$BP$1)-1)/2)+'Cash Drivers'!BQ$13,0)=EOMONTH($BV$1,0),Sales!BQ$6,0)+IF(EOMONTH(DATE(YEAR(Sales!$BM$1),MONTH(Sales!$BM$1),1)+INT((DAY(Sales!$BM$1)-1)/2)+'Cash Drivers'!BN$13,0)=EOMONTH($BV$1,0),Sales!BN$6,0)+IF(EOMONTH(DATE(YEAR(Sales!$BJ$1),MONTH(Sales!$BJ$1),1)+INT((DAY(Sales!$BJ$1)-1)/2)+'Cash Drivers'!BK$13,0)=EOMONTH($BV$1,0),Sales!BK$6,0)+IF(EOMONTH(DATE(YEAR(Sales!$BG$1),MONTH(Sales!$BG$1),1)+INT((DAY(Sales!$BG$1)-1)/2)+'Cash Drivers'!BH$13,0)=EOMONTH($BV$1,0),Sales!BH$6,0)+IF(EOMONTH(DATE(YEAR(Sales!$BD$1),MONTH(Sales!$BD$1),1)+INT((DAY(Sales!$BD$1)-1)/2)+'Cash Drivers'!BE$13,0)=EOMONTH($BV$1,0),Sales!BE$6,0)+IF(EOMONTH(DATE(YEAR(Sales!$BA$1),MONTH(Sales!$BA$1),1)+INT((DAY(Sales!$BA$1)-1)/2)+'Cash Drivers'!BB$13,0)=EOMONTH($BV$1,0),Sales!BB$6,0)+IF(EOMONTH(DATE(YEAR(Sales!$AX$1),MONTH(Sales!$AX$1),1)+INT((DAY(Sales!$AX$1)-1)/2)+'Cash Drivers'!AY$13,0)=EOMONTH($BV$1,0),Sales!AY$6,0)+IF(EOMONTH(DATE(YEAR(Sales!$AU$1),MONTH(Sales!$AU$1),1)+INT((DAY(Sales!$AU$1)-1)/2)+'Cash Drivers'!AV$13,0)=EOMONTH($BV$1,0),Sales!AV$6,0)+IF(EOMONTH(DATE(YEAR(Sales!$AR$1),MONTH(Sales!$AR$1),1)+INT((DAY(Sales!$AR$1)-1)/2)+'Cash Drivers'!AS$13,0)=EOMONTH($BV$1,0),Sales!AS$6,0)+IF(EOMONTH(DATE(YEAR(Sales!$AO$1),MONTH(Sales!$AO$1),1)+INT((DAY(Sales!$AO$1)-1)/2)+'Cash Drivers'!AP$13,0)=EOMONTH($BV$1,0),Sales!AP$6,0)+IF(EOMONTH(DATE(YEAR(Sales!$AL$1),MONTH(Sales!$AL$1),1)+INT((DAY(Sales!$AL$1)-1)/2)+'Cash Drivers'!AM$13,0)=EOMONTH($BV$1,0),Sales!AM$6,0)+IF(EOMONTH(DATE(YEAR(Sales!$AI$1),MONTH(Sales!$AI$1),1)+INT((DAY(Sales!$AI$1)-1)/2)+'Cash Drivers'!AJ$13,0)=EOMONTH($BV$1,0),Sales!AJ$6,0)+IF(EOMONTH(DATE(YEAR(Sales!$AF$1),MONTH(Sales!$AF$1),1)+INT((DAY(Sales!$AF$1)-1)/2)+'Cash Drivers'!AG$13,0)=EOMONTH($BV$1,0),Sales!AG$6,0)+IF(EOMONTH(DATE(YEAR(Sales!$AC$1),MONTH(Sales!$AC$1),1)+INT((DAY(Sales!$AC$1)-1)/2)+'Cash Drivers'!AD$13,0)=EOMONTH($BV$1,0),Sales!AD$6,0)+IF(EOMONTH(DATE(YEAR(Sales!$Z$1),MONTH(Sales!$Z$1),1)+INT((DAY(Sales!$Z$1)-1)/2)+'Cash Drivers'!AA$13,0)=EOMONTH($BV$1,0),Sales!AA$6,0)+IF(EOMONTH(DATE(YEAR(Sales!$W$1),MONTH(Sales!$W$1),1)+INT((DAY(Sales!$W$1)-1)/2)+'Cash Drivers'!X$13,0)=EOMONTH($BV$1,0),Sales!X$6,0)+IF(EOMONTH(DATE(YEAR(Sales!$T$1),MONTH(Sales!$T$1),1)+INT((DAY(Sales!$T$1)-1)/2)+'Cash Drivers'!U$13,0)=EOMONTH($BV$1,0),Sales!U$6,0)+IF(EOMONTH(DATE(YEAR(Sales!$Q$1),MONTH(Sales!$Q$1),1)+INT((DAY(Sales!$Q$1)-1)/2)+'Cash Drivers'!R$13,0)=EOMONTH($BV$1,0),Sales!R$6,0)+IF(EOMONTH(DATE(YEAR(Sales!$N$1),MONTH(Sales!$N$1),1)+INT((DAY(Sales!$N$1)-1)/2)+'Cash Drivers'!O$13,0)=EOMONTH($BV$1,0),Sales!O$6,0)+IF(EOMONTH(DATE(YEAR(Sales!$K$1),MONTH(Sales!$K$1),1)+INT((DAY(Sales!$K$1)-1)/2)+'Cash Drivers'!L$13,0)=EOMONTH($BV$1,0),Sales!L$6,0)+IF(EOMONTH('Cash Drivers'!$DL$30+'Cash Drivers'!DM$13,0)=EOMONTH($BV$1,0),'Cash Drivers'!$DL$32,0),0)</f>
        <v>28</v>
      </c>
      <c r="BX18" s="46" t="n">
        <f aca="false">ROUND(IF(EOMONTH(DATE(YEAR(Sales!$DL$1),MONTH(Sales!$DL$1),1)+INT((DAY(Sales!$DL$1)-1)/2)+'Cash Drivers'!DN$13,0)=EOMONTH($BV$1,0),Sales!DN$6,0)+IF(EOMONTH(DATE(YEAR(Sales!$DI$1),MONTH(Sales!$DI$1),1)+INT((DAY(Sales!$DI$1)-1)/2)+'Cash Drivers'!DK$13,0)=EOMONTH($BV$1,0),Sales!DK$6,0)+IF(EOMONTH(DATE(YEAR(Sales!$DF$1),MONTH(Sales!$DF$1),1)+INT((DAY(Sales!$DF$1)-1)/2)+'Cash Drivers'!DH$13,0)=EOMONTH($BV$1,0),Sales!DH$6,0)+IF(EOMONTH(DATE(YEAR(Sales!$DC$1),MONTH(Sales!$DC$1),1)+INT((DAY(Sales!$DC$1)-1)/2)+'Cash Drivers'!DE$13,0)=EOMONTH($BV$1,0),Sales!DE$6,0)+IF(EOMONTH(DATE(YEAR(Sales!$CZ$1),MONTH(Sales!$CZ$1),1)+INT((DAY(Sales!$CZ$1)-1)/2)+'Cash Drivers'!DB$13,0)=EOMONTH($BV$1,0),Sales!DB$6,0)+IF(EOMONTH(DATE(YEAR(Sales!$CW$1),MONTH(Sales!$CW$1),1)+INT((DAY(Sales!$CW$1)-1)/2)+'Cash Drivers'!CY$13,0)=EOMONTH($BV$1,0),Sales!CY$6,0)+IF(EOMONTH(DATE(YEAR(Sales!$CT$1),MONTH(Sales!$CT$1),1)+INT((DAY(Sales!$CT$1)-1)/2)+'Cash Drivers'!CV$13,0)=EOMONTH($BV$1,0),Sales!CV$6,0)+IF(EOMONTH(DATE(YEAR(Sales!$CQ$1),MONTH(Sales!$CQ$1),1)+INT((DAY(Sales!$CQ$1)-1)/2)+'Cash Drivers'!CS$13,0)=EOMONTH($BV$1,0),Sales!CS$6,0)+IF(EOMONTH(DATE(YEAR(Sales!$CN$1),MONTH(Sales!$CN$1),1)+INT((DAY(Sales!$CN$1)-1)/2)+'Cash Drivers'!CP$13,0)=EOMONTH($BV$1,0),Sales!CP$6,0)+IF(EOMONTH(DATE(YEAR(Sales!$CK$1),MONTH(Sales!$CK$1),1)+INT((DAY(Sales!$CK$1)-1)/2)+'Cash Drivers'!CM$13,0)=EOMONTH($BV$1,0),Sales!CM$6,0)+IF(EOMONTH(DATE(YEAR(Sales!$CH$1),MONTH(Sales!$CH$1),1)+INT((DAY(Sales!$CH$1)-1)/2)+'Cash Drivers'!CJ$13,0)=EOMONTH($BV$1,0),Sales!CJ$6,0)+IF(EOMONTH(DATE(YEAR(Sales!$CE$1),MONTH(Sales!$CE$1),1)+INT((DAY(Sales!$CE$1)-1)/2)+'Cash Drivers'!CG$13,0)=EOMONTH($BV$1,0),Sales!CG$6,0)+IF(EOMONTH(DATE(YEAR(Sales!$CB$1),MONTH(Sales!$CB$1),1)+INT((DAY(Sales!$CB$1)-1)/2)+'Cash Drivers'!CD$13,0)=EOMONTH($BV$1,0),Sales!CD$6,0)+IF(EOMONTH(DATE(YEAR(Sales!$BY$1),MONTH(Sales!$BY$1),1)+INT((DAY(Sales!$BY$1)-1)/2)+'Cash Drivers'!CA$13,0)=EOMONTH($BV$1,0),Sales!CA$6,0)+IF(EOMONTH(DATE(YEAR(Sales!$BV$1),MONTH(Sales!$BV$1),1)+INT((DAY(Sales!$BV$1)-1)/2)+'Cash Drivers'!BX$13,0)=EOMONTH($BV$1,0),Sales!BX$6,0)+IF(EOMONTH(DATE(YEAR(Sales!$BS$1),MONTH(Sales!$BS$1),1)+INT((DAY(Sales!$BS$1)-1)/2)+'Cash Drivers'!BU$13,0)=EOMONTH($BV$1,0),Sales!BU$6,0)+IF(EOMONTH(DATE(YEAR(Sales!$BP$1),MONTH(Sales!$BP$1),1)+INT((DAY(Sales!$BP$1)-1)/2)+'Cash Drivers'!BR$13,0)=EOMONTH($BV$1,0),Sales!BR$6,0)+IF(EOMONTH(DATE(YEAR(Sales!$BM$1),MONTH(Sales!$BM$1),1)+INT((DAY(Sales!$BM$1)-1)/2)+'Cash Drivers'!BO$13,0)=EOMONTH($BV$1,0),Sales!BO$6,0)+IF(EOMONTH(DATE(YEAR(Sales!$BJ$1),MONTH(Sales!$BJ$1),1)+INT((DAY(Sales!$BJ$1)-1)/2)+'Cash Drivers'!BL$13,0)=EOMONTH($BV$1,0),Sales!BL$6,0)+IF(EOMONTH(DATE(YEAR(Sales!$BG$1),MONTH(Sales!$BG$1),1)+INT((DAY(Sales!$BG$1)-1)/2)+'Cash Drivers'!BI$13,0)=EOMONTH($BV$1,0),Sales!BI$6,0)+IF(EOMONTH(DATE(YEAR(Sales!$BD$1),MONTH(Sales!$BD$1),1)+INT((DAY(Sales!$BD$1)-1)/2)+'Cash Drivers'!BF$13,0)=EOMONTH($BV$1,0),Sales!BF$6,0)+IF(EOMONTH(DATE(YEAR(Sales!$BA$1),MONTH(Sales!$BA$1),1)+INT((DAY(Sales!$BA$1)-1)/2)+'Cash Drivers'!BC$13,0)=EOMONTH($BV$1,0),Sales!BC$6,0)+IF(EOMONTH(DATE(YEAR(Sales!$AX$1),MONTH(Sales!$AX$1),1)+INT((DAY(Sales!$AX$1)-1)/2)+'Cash Drivers'!AZ$13,0)=EOMONTH($BV$1,0),Sales!AZ$6,0)+IF(EOMONTH(DATE(YEAR(Sales!$AU$1),MONTH(Sales!$AU$1),1)+INT((DAY(Sales!$AU$1)-1)/2)+'Cash Drivers'!AW$13,0)=EOMONTH($BV$1,0),Sales!AW$6,0)+IF(EOMONTH(DATE(YEAR(Sales!$AR$1),MONTH(Sales!$AR$1),1)+INT((DAY(Sales!$AR$1)-1)/2)+'Cash Drivers'!AT$13,0)=EOMONTH($BV$1,0),Sales!AT$6,0)+IF(EOMONTH(DATE(YEAR(Sales!$AO$1),MONTH(Sales!$AO$1),1)+INT((DAY(Sales!$AO$1)-1)/2)+'Cash Drivers'!AQ$13,0)=EOMONTH($BV$1,0),Sales!AQ$6,0)+IF(EOMONTH(DATE(YEAR(Sales!$AL$1),MONTH(Sales!$AL$1),1)+INT((DAY(Sales!$AL$1)-1)/2)+'Cash Drivers'!AN$13,0)=EOMONTH($BV$1,0),Sales!AN$6,0)+IF(EOMONTH(DATE(YEAR(Sales!$AI$1),MONTH(Sales!$AI$1),1)+INT((DAY(Sales!$AI$1)-1)/2)+'Cash Drivers'!AK$13,0)=EOMONTH($BV$1,0),Sales!AK$6,0)+IF(EOMONTH(DATE(YEAR(Sales!$AF$1),MONTH(Sales!$AF$1),1)+INT((DAY(Sales!$AF$1)-1)/2)+'Cash Drivers'!AH$13,0)=EOMONTH($BV$1,0),Sales!AH$6,0)+IF(EOMONTH(DATE(YEAR(Sales!$AC$1),MONTH(Sales!$AC$1),1)+INT((DAY(Sales!$AC$1)-1)/2)+'Cash Drivers'!AE$13,0)=EOMONTH($BV$1,0),Sales!AE$6,0)+IF(EOMONTH(DATE(YEAR(Sales!$Z$1),MONTH(Sales!$Z$1),1)+INT((DAY(Sales!$Z$1)-1)/2)+'Cash Drivers'!AB$13,0)=EOMONTH($BV$1,0),Sales!AB$6,0)+IF(EOMONTH(DATE(YEAR(Sales!$W$1),MONTH(Sales!$W$1),1)+INT((DAY(Sales!$W$1)-1)/2)+'Cash Drivers'!Y$13,0)=EOMONTH($BV$1,0),Sales!Y$6,0)+IF(EOMONTH(DATE(YEAR(Sales!$T$1),MONTH(Sales!$T$1),1)+INT((DAY(Sales!$T$1)-1)/2)+'Cash Drivers'!V$13,0)=EOMONTH($BV$1,0),Sales!V$6,0)+IF(EOMONTH(DATE(YEAR(Sales!$Q$1),MONTH(Sales!$Q$1),1)+INT((DAY(Sales!$Q$1)-1)/2)+'Cash Drivers'!S$13,0)=EOMONTH($BV$1,0),Sales!S$6,0)+IF(EOMONTH(DATE(YEAR(Sales!$N$1),MONTH(Sales!$N$1),1)+INT((DAY(Sales!$N$1)-1)/2)+'Cash Drivers'!P$13,0)=EOMONTH($BV$1,0),Sales!P$6,0)+IF(EOMONTH(DATE(YEAR(Sales!$K$1),MONTH(Sales!$K$1),1)+INT((DAY(Sales!$K$1)-1)/2)+'Cash Drivers'!M$13,0)=EOMONTH($BV$1,0),Sales!M$6,0)+IF(EOMONTH('Cash Drivers'!$DL$30+'Cash Drivers'!DN$13,0)=EOMONTH($BV$1,0),'Cash Drivers'!$DL$32,0),0)</f>
        <v>28</v>
      </c>
      <c r="BY18" s="44" t="n">
        <f aca="false">ROUND(IF(EOMONTH(DATE(YEAR(Sales!$DL$1),MONTH(Sales!$DL$1),1)+INT((DAY(Sales!$DL$1)-1)/2)+'Cash Drivers'!DL$13,0)=EOMONTH($BY$1,0),Sales!DL$6,0)+IF(EOMONTH(DATE(YEAR(Sales!$DI$1),MONTH(Sales!$DI$1),1)+INT((DAY(Sales!$DI$1)-1)/2)+'Cash Drivers'!DI$13,0)=EOMONTH($BY$1,0),Sales!DI$6,0)+IF(EOMONTH(DATE(YEAR(Sales!$DF$1),MONTH(Sales!$DF$1),1)+INT((DAY(Sales!$DF$1)-1)/2)+'Cash Drivers'!DF$13,0)=EOMONTH($BY$1,0),Sales!DF$6,0)+IF(EOMONTH(DATE(YEAR(Sales!$DC$1),MONTH(Sales!$DC$1),1)+INT((DAY(Sales!$DC$1)-1)/2)+'Cash Drivers'!DC$13,0)=EOMONTH($BY$1,0),Sales!DC$6,0)+IF(EOMONTH(DATE(YEAR(Sales!$CZ$1),MONTH(Sales!$CZ$1),1)+INT((DAY(Sales!$CZ$1)-1)/2)+'Cash Drivers'!CZ$13,0)=EOMONTH($BY$1,0),Sales!CZ$6,0)+IF(EOMONTH(DATE(YEAR(Sales!$CW$1),MONTH(Sales!$CW$1),1)+INT((DAY(Sales!$CW$1)-1)/2)+'Cash Drivers'!CW$13,0)=EOMONTH($BY$1,0),Sales!CW$6,0)+IF(EOMONTH(DATE(YEAR(Sales!$CT$1),MONTH(Sales!$CT$1),1)+INT((DAY(Sales!$CT$1)-1)/2)+'Cash Drivers'!CT$13,0)=EOMONTH($BY$1,0),Sales!CT$6,0)+IF(EOMONTH(DATE(YEAR(Sales!$CQ$1),MONTH(Sales!$CQ$1),1)+INT((DAY(Sales!$CQ$1)-1)/2)+'Cash Drivers'!CQ$13,0)=EOMONTH($BY$1,0),Sales!CQ$6,0)+IF(EOMONTH(DATE(YEAR(Sales!$CN$1),MONTH(Sales!$CN$1),1)+INT((DAY(Sales!$CN$1)-1)/2)+'Cash Drivers'!CN$13,0)=EOMONTH($BY$1,0),Sales!CN$6,0)+IF(EOMONTH(DATE(YEAR(Sales!$CK$1),MONTH(Sales!$CK$1),1)+INT((DAY(Sales!$CK$1)-1)/2)+'Cash Drivers'!CK$13,0)=EOMONTH($BY$1,0),Sales!CK$6,0)+IF(EOMONTH(DATE(YEAR(Sales!$CH$1),MONTH(Sales!$CH$1),1)+INT((DAY(Sales!$CH$1)-1)/2)+'Cash Drivers'!CH$13,0)=EOMONTH($BY$1,0),Sales!CH$6,0)+IF(EOMONTH(DATE(YEAR(Sales!$CE$1),MONTH(Sales!$CE$1),1)+INT((DAY(Sales!$CE$1)-1)/2)+'Cash Drivers'!CE$13,0)=EOMONTH($BY$1,0),Sales!CE$6,0)+IF(EOMONTH(DATE(YEAR(Sales!$CB$1),MONTH(Sales!$CB$1),1)+INT((DAY(Sales!$CB$1)-1)/2)+'Cash Drivers'!CB$13,0)=EOMONTH($BY$1,0),Sales!CB$6,0)+IF(EOMONTH(DATE(YEAR(Sales!$BY$1),MONTH(Sales!$BY$1),1)+INT((DAY(Sales!$BY$1)-1)/2)+'Cash Drivers'!BY$13,0)=EOMONTH($BY$1,0),Sales!BY$6,0)+IF(EOMONTH(DATE(YEAR(Sales!$BV$1),MONTH(Sales!$BV$1),1)+INT((DAY(Sales!$BV$1)-1)/2)+'Cash Drivers'!BV$13,0)=EOMONTH($BY$1,0),Sales!BV$6,0)+IF(EOMONTH(DATE(YEAR(Sales!$BS$1),MONTH(Sales!$BS$1),1)+INT((DAY(Sales!$BS$1)-1)/2)+'Cash Drivers'!BS$13,0)=EOMONTH($BY$1,0),Sales!BS$6,0)+IF(EOMONTH(DATE(YEAR(Sales!$BP$1),MONTH(Sales!$BP$1),1)+INT((DAY(Sales!$BP$1)-1)/2)+'Cash Drivers'!BP$13,0)=EOMONTH($BY$1,0),Sales!BP$6,0)+IF(EOMONTH(DATE(YEAR(Sales!$BM$1),MONTH(Sales!$BM$1),1)+INT((DAY(Sales!$BM$1)-1)/2)+'Cash Drivers'!BM$13,0)=EOMONTH($BY$1,0),Sales!BM$6,0)+IF(EOMONTH(DATE(YEAR(Sales!$BJ$1),MONTH(Sales!$BJ$1),1)+INT((DAY(Sales!$BJ$1)-1)/2)+'Cash Drivers'!BJ$13,0)=EOMONTH($BY$1,0),Sales!BJ$6,0)+IF(EOMONTH(DATE(YEAR(Sales!$BG$1),MONTH(Sales!$BG$1),1)+INT((DAY(Sales!$BG$1)-1)/2)+'Cash Drivers'!BG$13,0)=EOMONTH($BY$1,0),Sales!BG$6,0)+IF(EOMONTH(DATE(YEAR(Sales!$BD$1),MONTH(Sales!$BD$1),1)+INT((DAY(Sales!$BD$1)-1)/2)+'Cash Drivers'!BD$13,0)=EOMONTH($BY$1,0),Sales!BD$6,0)+IF(EOMONTH(DATE(YEAR(Sales!$BA$1),MONTH(Sales!$BA$1),1)+INT((DAY(Sales!$BA$1)-1)/2)+'Cash Drivers'!BA$13,0)=EOMONTH($BY$1,0),Sales!BA$6,0)+IF(EOMONTH(DATE(YEAR(Sales!$AX$1),MONTH(Sales!$AX$1),1)+INT((DAY(Sales!$AX$1)-1)/2)+'Cash Drivers'!AX$13,0)=EOMONTH($BY$1,0),Sales!AX$6,0)+IF(EOMONTH(DATE(YEAR(Sales!$AU$1),MONTH(Sales!$AU$1),1)+INT((DAY(Sales!$AU$1)-1)/2)+'Cash Drivers'!AU$13,0)=EOMONTH($BY$1,0),Sales!AU$6,0)+IF(EOMONTH(DATE(YEAR(Sales!$AR$1),MONTH(Sales!$AR$1),1)+INT((DAY(Sales!$AR$1)-1)/2)+'Cash Drivers'!AR$13,0)=EOMONTH($BY$1,0),Sales!AR$6,0)+IF(EOMONTH(DATE(YEAR(Sales!$AO$1),MONTH(Sales!$AO$1),1)+INT((DAY(Sales!$AO$1)-1)/2)+'Cash Drivers'!AO$13,0)=EOMONTH($BY$1,0),Sales!AO$6,0)+IF(EOMONTH(DATE(YEAR(Sales!$AL$1),MONTH(Sales!$AL$1),1)+INT((DAY(Sales!$AL$1)-1)/2)+'Cash Drivers'!AL$13,0)=EOMONTH($BY$1,0),Sales!AL$6,0)+IF(EOMONTH(DATE(YEAR(Sales!$AI$1),MONTH(Sales!$AI$1),1)+INT((DAY(Sales!$AI$1)-1)/2)+'Cash Drivers'!AI$13,0)=EOMONTH($BY$1,0),Sales!AI$6,0)+IF(EOMONTH(DATE(YEAR(Sales!$AF$1),MONTH(Sales!$AF$1),1)+INT((DAY(Sales!$AF$1)-1)/2)+'Cash Drivers'!AF$13,0)=EOMONTH($BY$1,0),Sales!AF$6,0)+IF(EOMONTH(DATE(YEAR(Sales!$AC$1),MONTH(Sales!$AC$1),1)+INT((DAY(Sales!$AC$1)-1)/2)+'Cash Drivers'!AC$13,0)=EOMONTH($BY$1,0),Sales!AC$6,0)+IF(EOMONTH(DATE(YEAR(Sales!$Z$1),MONTH(Sales!$Z$1),1)+INT((DAY(Sales!$Z$1)-1)/2)+'Cash Drivers'!Z$13,0)=EOMONTH($BY$1,0),Sales!Z$6,0)+IF(EOMONTH(DATE(YEAR(Sales!$W$1),MONTH(Sales!$W$1),1)+INT((DAY(Sales!$W$1)-1)/2)+'Cash Drivers'!W$13,0)=EOMONTH($BY$1,0),Sales!W$6,0)+IF(EOMONTH(DATE(YEAR(Sales!$T$1),MONTH(Sales!$T$1),1)+INT((DAY(Sales!$T$1)-1)/2)+'Cash Drivers'!T$13,0)=EOMONTH($BY$1,0),Sales!T$6,0)+IF(EOMONTH(DATE(YEAR(Sales!$Q$1),MONTH(Sales!$Q$1),1)+INT((DAY(Sales!$Q$1)-1)/2)+'Cash Drivers'!Q$13,0)=EOMONTH($BY$1,0),Sales!Q$6,0)+IF(EOMONTH(DATE(YEAR(Sales!$N$1),MONTH(Sales!$N$1),1)+INT((DAY(Sales!$N$1)-1)/2)+'Cash Drivers'!N$13,0)=EOMONTH($BY$1,0),Sales!N$6,0)+IF(EOMONTH(DATE(YEAR(Sales!$K$1),MONTH(Sales!$K$1),1)+INT((DAY(Sales!$K$1)-1)/2)+'Cash Drivers'!K$13,0)=EOMONTH($BY$1,0),Sales!K$6,0)+IF(EOMONTH('Cash Drivers'!$DL$30+'Cash Drivers'!DL$13,0)=EOMONTH($BY$1,0),'Cash Drivers'!$DL$32,0),0)</f>
        <v>0</v>
      </c>
      <c r="BZ18" s="45" t="n">
        <f aca="false">ROUND(IF(EOMONTH(DATE(YEAR(Sales!$DL$1),MONTH(Sales!$DL$1),1)+INT((DAY(Sales!$DL$1)-1)/2)+'Cash Drivers'!DM$13,0)=EOMONTH($BY$1,0),Sales!DM$6,0)+IF(EOMONTH(DATE(YEAR(Sales!$DI$1),MONTH(Sales!$DI$1),1)+INT((DAY(Sales!$DI$1)-1)/2)+'Cash Drivers'!DJ$13,0)=EOMONTH($BY$1,0),Sales!DJ$6,0)+IF(EOMONTH(DATE(YEAR(Sales!$DF$1),MONTH(Sales!$DF$1),1)+INT((DAY(Sales!$DF$1)-1)/2)+'Cash Drivers'!DG$13,0)=EOMONTH($BY$1,0),Sales!DG$6,0)+IF(EOMONTH(DATE(YEAR(Sales!$DC$1),MONTH(Sales!$DC$1),1)+INT((DAY(Sales!$DC$1)-1)/2)+'Cash Drivers'!DD$13,0)=EOMONTH($BY$1,0),Sales!DD$6,0)+IF(EOMONTH(DATE(YEAR(Sales!$CZ$1),MONTH(Sales!$CZ$1),1)+INT((DAY(Sales!$CZ$1)-1)/2)+'Cash Drivers'!DA$13,0)=EOMONTH($BY$1,0),Sales!DA$6,0)+IF(EOMONTH(DATE(YEAR(Sales!$CW$1),MONTH(Sales!$CW$1),1)+INT((DAY(Sales!$CW$1)-1)/2)+'Cash Drivers'!CX$13,0)=EOMONTH($BY$1,0),Sales!CX$6,0)+IF(EOMONTH(DATE(YEAR(Sales!$CT$1),MONTH(Sales!$CT$1),1)+INT((DAY(Sales!$CT$1)-1)/2)+'Cash Drivers'!CU$13,0)=EOMONTH($BY$1,0),Sales!CU$6,0)+IF(EOMONTH(DATE(YEAR(Sales!$CQ$1),MONTH(Sales!$CQ$1),1)+INT((DAY(Sales!$CQ$1)-1)/2)+'Cash Drivers'!CR$13,0)=EOMONTH($BY$1,0),Sales!CR$6,0)+IF(EOMONTH(DATE(YEAR(Sales!$CN$1),MONTH(Sales!$CN$1),1)+INT((DAY(Sales!$CN$1)-1)/2)+'Cash Drivers'!CO$13,0)=EOMONTH($BY$1,0),Sales!CO$6,0)+IF(EOMONTH(DATE(YEAR(Sales!$CK$1),MONTH(Sales!$CK$1),1)+INT((DAY(Sales!$CK$1)-1)/2)+'Cash Drivers'!CL$13,0)=EOMONTH($BY$1,0),Sales!CL$6,0)+IF(EOMONTH(DATE(YEAR(Sales!$CH$1),MONTH(Sales!$CH$1),1)+INT((DAY(Sales!$CH$1)-1)/2)+'Cash Drivers'!CI$13,0)=EOMONTH($BY$1,0),Sales!CI$6,0)+IF(EOMONTH(DATE(YEAR(Sales!$CE$1),MONTH(Sales!$CE$1),1)+INT((DAY(Sales!$CE$1)-1)/2)+'Cash Drivers'!CF$13,0)=EOMONTH($BY$1,0),Sales!CF$6,0)+IF(EOMONTH(DATE(YEAR(Sales!$CB$1),MONTH(Sales!$CB$1),1)+INT((DAY(Sales!$CB$1)-1)/2)+'Cash Drivers'!CC$13,0)=EOMONTH($BY$1,0),Sales!CC$6,0)+IF(EOMONTH(DATE(YEAR(Sales!$BY$1),MONTH(Sales!$BY$1),1)+INT((DAY(Sales!$BY$1)-1)/2)+'Cash Drivers'!BZ$13,0)=EOMONTH($BY$1,0),Sales!BZ$6,0)+IF(EOMONTH(DATE(YEAR(Sales!$BV$1),MONTH(Sales!$BV$1),1)+INT((DAY(Sales!$BV$1)-1)/2)+'Cash Drivers'!BW$13,0)=EOMONTH($BY$1,0),Sales!BW$6,0)+IF(EOMONTH(DATE(YEAR(Sales!$BS$1),MONTH(Sales!$BS$1),1)+INT((DAY(Sales!$BS$1)-1)/2)+'Cash Drivers'!BT$13,0)=EOMONTH($BY$1,0),Sales!BT$6,0)+IF(EOMONTH(DATE(YEAR(Sales!$BP$1),MONTH(Sales!$BP$1),1)+INT((DAY(Sales!$BP$1)-1)/2)+'Cash Drivers'!BQ$13,0)=EOMONTH($BY$1,0),Sales!BQ$6,0)+IF(EOMONTH(DATE(YEAR(Sales!$BM$1),MONTH(Sales!$BM$1),1)+INT((DAY(Sales!$BM$1)-1)/2)+'Cash Drivers'!BN$13,0)=EOMONTH($BY$1,0),Sales!BN$6,0)+IF(EOMONTH(DATE(YEAR(Sales!$BJ$1),MONTH(Sales!$BJ$1),1)+INT((DAY(Sales!$BJ$1)-1)/2)+'Cash Drivers'!BK$13,0)=EOMONTH($BY$1,0),Sales!BK$6,0)+IF(EOMONTH(DATE(YEAR(Sales!$BG$1),MONTH(Sales!$BG$1),1)+INT((DAY(Sales!$BG$1)-1)/2)+'Cash Drivers'!BH$13,0)=EOMONTH($BY$1,0),Sales!BH$6,0)+IF(EOMONTH(DATE(YEAR(Sales!$BD$1),MONTH(Sales!$BD$1),1)+INT((DAY(Sales!$BD$1)-1)/2)+'Cash Drivers'!BE$13,0)=EOMONTH($BY$1,0),Sales!BE$6,0)+IF(EOMONTH(DATE(YEAR(Sales!$BA$1),MONTH(Sales!$BA$1),1)+INT((DAY(Sales!$BA$1)-1)/2)+'Cash Drivers'!BB$13,0)=EOMONTH($BY$1,0),Sales!BB$6,0)+IF(EOMONTH(DATE(YEAR(Sales!$AX$1),MONTH(Sales!$AX$1),1)+INT((DAY(Sales!$AX$1)-1)/2)+'Cash Drivers'!AY$13,0)=EOMONTH($BY$1,0),Sales!AY$6,0)+IF(EOMONTH(DATE(YEAR(Sales!$AU$1),MONTH(Sales!$AU$1),1)+INT((DAY(Sales!$AU$1)-1)/2)+'Cash Drivers'!AV$13,0)=EOMONTH($BY$1,0),Sales!AV$6,0)+IF(EOMONTH(DATE(YEAR(Sales!$AR$1),MONTH(Sales!$AR$1),1)+INT((DAY(Sales!$AR$1)-1)/2)+'Cash Drivers'!AS$13,0)=EOMONTH($BY$1,0),Sales!AS$6,0)+IF(EOMONTH(DATE(YEAR(Sales!$AO$1),MONTH(Sales!$AO$1),1)+INT((DAY(Sales!$AO$1)-1)/2)+'Cash Drivers'!AP$13,0)=EOMONTH($BY$1,0),Sales!AP$6,0)+IF(EOMONTH(DATE(YEAR(Sales!$AL$1),MONTH(Sales!$AL$1),1)+INT((DAY(Sales!$AL$1)-1)/2)+'Cash Drivers'!AM$13,0)=EOMONTH($BY$1,0),Sales!AM$6,0)+IF(EOMONTH(DATE(YEAR(Sales!$AI$1),MONTH(Sales!$AI$1),1)+INT((DAY(Sales!$AI$1)-1)/2)+'Cash Drivers'!AJ$13,0)=EOMONTH($BY$1,0),Sales!AJ$6,0)+IF(EOMONTH(DATE(YEAR(Sales!$AF$1),MONTH(Sales!$AF$1),1)+INT((DAY(Sales!$AF$1)-1)/2)+'Cash Drivers'!AG$13,0)=EOMONTH($BY$1,0),Sales!AG$6,0)+IF(EOMONTH(DATE(YEAR(Sales!$AC$1),MONTH(Sales!$AC$1),1)+INT((DAY(Sales!$AC$1)-1)/2)+'Cash Drivers'!AD$13,0)=EOMONTH($BY$1,0),Sales!AD$6,0)+IF(EOMONTH(DATE(YEAR(Sales!$Z$1),MONTH(Sales!$Z$1),1)+INT((DAY(Sales!$Z$1)-1)/2)+'Cash Drivers'!AA$13,0)=EOMONTH($BY$1,0),Sales!AA$6,0)+IF(EOMONTH(DATE(YEAR(Sales!$W$1),MONTH(Sales!$W$1),1)+INT((DAY(Sales!$W$1)-1)/2)+'Cash Drivers'!X$13,0)=EOMONTH($BY$1,0),Sales!X$6,0)+IF(EOMONTH(DATE(YEAR(Sales!$T$1),MONTH(Sales!$T$1),1)+INT((DAY(Sales!$T$1)-1)/2)+'Cash Drivers'!U$13,0)=EOMONTH($BY$1,0),Sales!U$6,0)+IF(EOMONTH(DATE(YEAR(Sales!$Q$1),MONTH(Sales!$Q$1),1)+INT((DAY(Sales!$Q$1)-1)/2)+'Cash Drivers'!R$13,0)=EOMONTH($BY$1,0),Sales!R$6,0)+IF(EOMONTH(DATE(YEAR(Sales!$N$1),MONTH(Sales!$N$1),1)+INT((DAY(Sales!$N$1)-1)/2)+'Cash Drivers'!O$13,0)=EOMONTH($BY$1,0),Sales!O$6,0)+IF(EOMONTH(DATE(YEAR(Sales!$K$1),MONTH(Sales!$K$1),1)+INT((DAY(Sales!$K$1)-1)/2)+'Cash Drivers'!L$13,0)=EOMONTH($BY$1,0),Sales!L$6,0)+IF(EOMONTH('Cash Drivers'!$DL$30+'Cash Drivers'!DM$13,0)=EOMONTH($BY$1,0),'Cash Drivers'!$DL$32,0),0)</f>
        <v>19</v>
      </c>
      <c r="CA18" s="46" t="n">
        <f aca="false">ROUND(IF(EOMONTH(DATE(YEAR(Sales!$DL$1),MONTH(Sales!$DL$1),1)+INT((DAY(Sales!$DL$1)-1)/2)+'Cash Drivers'!DN$13,0)=EOMONTH($BY$1,0),Sales!DN$6,0)+IF(EOMONTH(DATE(YEAR(Sales!$DI$1),MONTH(Sales!$DI$1),1)+INT((DAY(Sales!$DI$1)-1)/2)+'Cash Drivers'!DK$13,0)=EOMONTH($BY$1,0),Sales!DK$6,0)+IF(EOMONTH(DATE(YEAR(Sales!$DF$1),MONTH(Sales!$DF$1),1)+INT((DAY(Sales!$DF$1)-1)/2)+'Cash Drivers'!DH$13,0)=EOMONTH($BY$1,0),Sales!DH$6,0)+IF(EOMONTH(DATE(YEAR(Sales!$DC$1),MONTH(Sales!$DC$1),1)+INT((DAY(Sales!$DC$1)-1)/2)+'Cash Drivers'!DE$13,0)=EOMONTH($BY$1,0),Sales!DE$6,0)+IF(EOMONTH(DATE(YEAR(Sales!$CZ$1),MONTH(Sales!$CZ$1),1)+INT((DAY(Sales!$CZ$1)-1)/2)+'Cash Drivers'!DB$13,0)=EOMONTH($BY$1,0),Sales!DB$6,0)+IF(EOMONTH(DATE(YEAR(Sales!$CW$1),MONTH(Sales!$CW$1),1)+INT((DAY(Sales!$CW$1)-1)/2)+'Cash Drivers'!CY$13,0)=EOMONTH($BY$1,0),Sales!CY$6,0)+IF(EOMONTH(DATE(YEAR(Sales!$CT$1),MONTH(Sales!$CT$1),1)+INT((DAY(Sales!$CT$1)-1)/2)+'Cash Drivers'!CV$13,0)=EOMONTH($BY$1,0),Sales!CV$6,0)+IF(EOMONTH(DATE(YEAR(Sales!$CQ$1),MONTH(Sales!$CQ$1),1)+INT((DAY(Sales!$CQ$1)-1)/2)+'Cash Drivers'!CS$13,0)=EOMONTH($BY$1,0),Sales!CS$6,0)+IF(EOMONTH(DATE(YEAR(Sales!$CN$1),MONTH(Sales!$CN$1),1)+INT((DAY(Sales!$CN$1)-1)/2)+'Cash Drivers'!CP$13,0)=EOMONTH($BY$1,0),Sales!CP$6,0)+IF(EOMONTH(DATE(YEAR(Sales!$CK$1),MONTH(Sales!$CK$1),1)+INT((DAY(Sales!$CK$1)-1)/2)+'Cash Drivers'!CM$13,0)=EOMONTH($BY$1,0),Sales!CM$6,0)+IF(EOMONTH(DATE(YEAR(Sales!$CH$1),MONTH(Sales!$CH$1),1)+INT((DAY(Sales!$CH$1)-1)/2)+'Cash Drivers'!CJ$13,0)=EOMONTH($BY$1,0),Sales!CJ$6,0)+IF(EOMONTH(DATE(YEAR(Sales!$CE$1),MONTH(Sales!$CE$1),1)+INT((DAY(Sales!$CE$1)-1)/2)+'Cash Drivers'!CG$13,0)=EOMONTH($BY$1,0),Sales!CG$6,0)+IF(EOMONTH(DATE(YEAR(Sales!$CB$1),MONTH(Sales!$CB$1),1)+INT((DAY(Sales!$CB$1)-1)/2)+'Cash Drivers'!CD$13,0)=EOMONTH($BY$1,0),Sales!CD$6,0)+IF(EOMONTH(DATE(YEAR(Sales!$BY$1),MONTH(Sales!$BY$1),1)+INT((DAY(Sales!$BY$1)-1)/2)+'Cash Drivers'!CA$13,0)=EOMONTH($BY$1,0),Sales!CA$6,0)+IF(EOMONTH(DATE(YEAR(Sales!$BV$1),MONTH(Sales!$BV$1),1)+INT((DAY(Sales!$BV$1)-1)/2)+'Cash Drivers'!BX$13,0)=EOMONTH($BY$1,0),Sales!BX$6,0)+IF(EOMONTH(DATE(YEAR(Sales!$BS$1),MONTH(Sales!$BS$1),1)+INT((DAY(Sales!$BS$1)-1)/2)+'Cash Drivers'!BU$13,0)=EOMONTH($BY$1,0),Sales!BU$6,0)+IF(EOMONTH(DATE(YEAR(Sales!$BP$1),MONTH(Sales!$BP$1),1)+INT((DAY(Sales!$BP$1)-1)/2)+'Cash Drivers'!BR$13,0)=EOMONTH($BY$1,0),Sales!BR$6,0)+IF(EOMONTH(DATE(YEAR(Sales!$BM$1),MONTH(Sales!$BM$1),1)+INT((DAY(Sales!$BM$1)-1)/2)+'Cash Drivers'!BO$13,0)=EOMONTH($BY$1,0),Sales!BO$6,0)+IF(EOMONTH(DATE(YEAR(Sales!$BJ$1),MONTH(Sales!$BJ$1),1)+INT((DAY(Sales!$BJ$1)-1)/2)+'Cash Drivers'!BL$13,0)=EOMONTH($BY$1,0),Sales!BL$6,0)+IF(EOMONTH(DATE(YEAR(Sales!$BG$1),MONTH(Sales!$BG$1),1)+INT((DAY(Sales!$BG$1)-1)/2)+'Cash Drivers'!BI$13,0)=EOMONTH($BY$1,0),Sales!BI$6,0)+IF(EOMONTH(DATE(YEAR(Sales!$BD$1),MONTH(Sales!$BD$1),1)+INT((DAY(Sales!$BD$1)-1)/2)+'Cash Drivers'!BF$13,0)=EOMONTH($BY$1,0),Sales!BF$6,0)+IF(EOMONTH(DATE(YEAR(Sales!$BA$1),MONTH(Sales!$BA$1),1)+INT((DAY(Sales!$BA$1)-1)/2)+'Cash Drivers'!BC$13,0)=EOMONTH($BY$1,0),Sales!BC$6,0)+IF(EOMONTH(DATE(YEAR(Sales!$AX$1),MONTH(Sales!$AX$1),1)+INT((DAY(Sales!$AX$1)-1)/2)+'Cash Drivers'!AZ$13,0)=EOMONTH($BY$1,0),Sales!AZ$6,0)+IF(EOMONTH(DATE(YEAR(Sales!$AU$1),MONTH(Sales!$AU$1),1)+INT((DAY(Sales!$AU$1)-1)/2)+'Cash Drivers'!AW$13,0)=EOMONTH($BY$1,0),Sales!AW$6,0)+IF(EOMONTH(DATE(YEAR(Sales!$AR$1),MONTH(Sales!$AR$1),1)+INT((DAY(Sales!$AR$1)-1)/2)+'Cash Drivers'!AT$13,0)=EOMONTH($BY$1,0),Sales!AT$6,0)+IF(EOMONTH(DATE(YEAR(Sales!$AO$1),MONTH(Sales!$AO$1),1)+INT((DAY(Sales!$AO$1)-1)/2)+'Cash Drivers'!AQ$13,0)=EOMONTH($BY$1,0),Sales!AQ$6,0)+IF(EOMONTH(DATE(YEAR(Sales!$AL$1),MONTH(Sales!$AL$1),1)+INT((DAY(Sales!$AL$1)-1)/2)+'Cash Drivers'!AN$13,0)=EOMONTH($BY$1,0),Sales!AN$6,0)+IF(EOMONTH(DATE(YEAR(Sales!$AI$1),MONTH(Sales!$AI$1),1)+INT((DAY(Sales!$AI$1)-1)/2)+'Cash Drivers'!AK$13,0)=EOMONTH($BY$1,0),Sales!AK$6,0)+IF(EOMONTH(DATE(YEAR(Sales!$AF$1),MONTH(Sales!$AF$1),1)+INT((DAY(Sales!$AF$1)-1)/2)+'Cash Drivers'!AH$13,0)=EOMONTH($BY$1,0),Sales!AH$6,0)+IF(EOMONTH(DATE(YEAR(Sales!$AC$1),MONTH(Sales!$AC$1),1)+INT((DAY(Sales!$AC$1)-1)/2)+'Cash Drivers'!AE$13,0)=EOMONTH($BY$1,0),Sales!AE$6,0)+IF(EOMONTH(DATE(YEAR(Sales!$Z$1),MONTH(Sales!$Z$1),1)+INT((DAY(Sales!$Z$1)-1)/2)+'Cash Drivers'!AB$13,0)=EOMONTH($BY$1,0),Sales!AB$6,0)+IF(EOMONTH(DATE(YEAR(Sales!$W$1),MONTH(Sales!$W$1),1)+INT((DAY(Sales!$W$1)-1)/2)+'Cash Drivers'!Y$13,0)=EOMONTH($BY$1,0),Sales!Y$6,0)+IF(EOMONTH(DATE(YEAR(Sales!$T$1),MONTH(Sales!$T$1),1)+INT((DAY(Sales!$T$1)-1)/2)+'Cash Drivers'!V$13,0)=EOMONTH($BY$1,0),Sales!V$6,0)+IF(EOMONTH(DATE(YEAR(Sales!$Q$1),MONTH(Sales!$Q$1),1)+INT((DAY(Sales!$Q$1)-1)/2)+'Cash Drivers'!S$13,0)=EOMONTH($BY$1,0),Sales!S$6,0)+IF(EOMONTH(DATE(YEAR(Sales!$N$1),MONTH(Sales!$N$1),1)+INT((DAY(Sales!$N$1)-1)/2)+'Cash Drivers'!P$13,0)=EOMONTH($BY$1,0),Sales!P$6,0)+IF(EOMONTH(DATE(YEAR(Sales!$K$1),MONTH(Sales!$K$1),1)+INT((DAY(Sales!$K$1)-1)/2)+'Cash Drivers'!M$13,0)=EOMONTH($BY$1,0),Sales!M$6,0)+IF(EOMONTH('Cash Drivers'!$DL$30+'Cash Drivers'!DN$13,0)=EOMONTH($BY$1,0),'Cash Drivers'!$DL$32,0),0)</f>
        <v>19</v>
      </c>
      <c r="CB18" s="44" t="n">
        <f aca="false">ROUND(IF(EOMONTH(DATE(YEAR(Sales!$DL$1),MONTH(Sales!$DL$1),1)+INT((DAY(Sales!$DL$1)-1)/2)+'Cash Drivers'!DL$13,0)=EOMONTH($CB$1,0),Sales!DL$6,0)+IF(EOMONTH(DATE(YEAR(Sales!$DI$1),MONTH(Sales!$DI$1),1)+INT((DAY(Sales!$DI$1)-1)/2)+'Cash Drivers'!DI$13,0)=EOMONTH($CB$1,0),Sales!DI$6,0)+IF(EOMONTH(DATE(YEAR(Sales!$DF$1),MONTH(Sales!$DF$1),1)+INT((DAY(Sales!$DF$1)-1)/2)+'Cash Drivers'!DF$13,0)=EOMONTH($CB$1,0),Sales!DF$6,0)+IF(EOMONTH(DATE(YEAR(Sales!$DC$1),MONTH(Sales!$DC$1),1)+INT((DAY(Sales!$DC$1)-1)/2)+'Cash Drivers'!DC$13,0)=EOMONTH($CB$1,0),Sales!DC$6,0)+IF(EOMONTH(DATE(YEAR(Sales!$CZ$1),MONTH(Sales!$CZ$1),1)+INT((DAY(Sales!$CZ$1)-1)/2)+'Cash Drivers'!CZ$13,0)=EOMONTH($CB$1,0),Sales!CZ$6,0)+IF(EOMONTH(DATE(YEAR(Sales!$CW$1),MONTH(Sales!$CW$1),1)+INT((DAY(Sales!$CW$1)-1)/2)+'Cash Drivers'!CW$13,0)=EOMONTH($CB$1,0),Sales!CW$6,0)+IF(EOMONTH(DATE(YEAR(Sales!$CT$1),MONTH(Sales!$CT$1),1)+INT((DAY(Sales!$CT$1)-1)/2)+'Cash Drivers'!CT$13,0)=EOMONTH($CB$1,0),Sales!CT$6,0)+IF(EOMONTH(DATE(YEAR(Sales!$CQ$1),MONTH(Sales!$CQ$1),1)+INT((DAY(Sales!$CQ$1)-1)/2)+'Cash Drivers'!CQ$13,0)=EOMONTH($CB$1,0),Sales!CQ$6,0)+IF(EOMONTH(DATE(YEAR(Sales!$CN$1),MONTH(Sales!$CN$1),1)+INT((DAY(Sales!$CN$1)-1)/2)+'Cash Drivers'!CN$13,0)=EOMONTH($CB$1,0),Sales!CN$6,0)+IF(EOMONTH(DATE(YEAR(Sales!$CK$1),MONTH(Sales!$CK$1),1)+INT((DAY(Sales!$CK$1)-1)/2)+'Cash Drivers'!CK$13,0)=EOMONTH($CB$1,0),Sales!CK$6,0)+IF(EOMONTH(DATE(YEAR(Sales!$CH$1),MONTH(Sales!$CH$1),1)+INT((DAY(Sales!$CH$1)-1)/2)+'Cash Drivers'!CH$13,0)=EOMONTH($CB$1,0),Sales!CH$6,0)+IF(EOMONTH(DATE(YEAR(Sales!$CE$1),MONTH(Sales!$CE$1),1)+INT((DAY(Sales!$CE$1)-1)/2)+'Cash Drivers'!CE$13,0)=EOMONTH($CB$1,0),Sales!CE$6,0)+IF(EOMONTH(DATE(YEAR(Sales!$CB$1),MONTH(Sales!$CB$1),1)+INT((DAY(Sales!$CB$1)-1)/2)+'Cash Drivers'!CB$13,0)=EOMONTH($CB$1,0),Sales!CB$6,0)+IF(EOMONTH(DATE(YEAR(Sales!$BY$1),MONTH(Sales!$BY$1),1)+INT((DAY(Sales!$BY$1)-1)/2)+'Cash Drivers'!BY$13,0)=EOMONTH($CB$1,0),Sales!BY$6,0)+IF(EOMONTH(DATE(YEAR(Sales!$BV$1),MONTH(Sales!$BV$1),1)+INT((DAY(Sales!$BV$1)-1)/2)+'Cash Drivers'!BV$13,0)=EOMONTH($CB$1,0),Sales!BV$6,0)+IF(EOMONTH(DATE(YEAR(Sales!$BS$1),MONTH(Sales!$BS$1),1)+INT((DAY(Sales!$BS$1)-1)/2)+'Cash Drivers'!BS$13,0)=EOMONTH($CB$1,0),Sales!BS$6,0)+IF(EOMONTH(DATE(YEAR(Sales!$BP$1),MONTH(Sales!$BP$1),1)+INT((DAY(Sales!$BP$1)-1)/2)+'Cash Drivers'!BP$13,0)=EOMONTH($CB$1,0),Sales!BP$6,0)+IF(EOMONTH(DATE(YEAR(Sales!$BM$1),MONTH(Sales!$BM$1),1)+INT((DAY(Sales!$BM$1)-1)/2)+'Cash Drivers'!BM$13,0)=EOMONTH($CB$1,0),Sales!BM$6,0)+IF(EOMONTH(DATE(YEAR(Sales!$BJ$1),MONTH(Sales!$BJ$1),1)+INT((DAY(Sales!$BJ$1)-1)/2)+'Cash Drivers'!BJ$13,0)=EOMONTH($CB$1,0),Sales!BJ$6,0)+IF(EOMONTH(DATE(YEAR(Sales!$BG$1),MONTH(Sales!$BG$1),1)+INT((DAY(Sales!$BG$1)-1)/2)+'Cash Drivers'!BG$13,0)=EOMONTH($CB$1,0),Sales!BG$6,0)+IF(EOMONTH(DATE(YEAR(Sales!$BD$1),MONTH(Sales!$BD$1),1)+INT((DAY(Sales!$BD$1)-1)/2)+'Cash Drivers'!BD$13,0)=EOMONTH($CB$1,0),Sales!BD$6,0)+IF(EOMONTH(DATE(YEAR(Sales!$BA$1),MONTH(Sales!$BA$1),1)+INT((DAY(Sales!$BA$1)-1)/2)+'Cash Drivers'!BA$13,0)=EOMONTH($CB$1,0),Sales!BA$6,0)+IF(EOMONTH(DATE(YEAR(Sales!$AX$1),MONTH(Sales!$AX$1),1)+INT((DAY(Sales!$AX$1)-1)/2)+'Cash Drivers'!AX$13,0)=EOMONTH($CB$1,0),Sales!AX$6,0)+IF(EOMONTH(DATE(YEAR(Sales!$AU$1),MONTH(Sales!$AU$1),1)+INT((DAY(Sales!$AU$1)-1)/2)+'Cash Drivers'!AU$13,0)=EOMONTH($CB$1,0),Sales!AU$6,0)+IF(EOMONTH(DATE(YEAR(Sales!$AR$1),MONTH(Sales!$AR$1),1)+INT((DAY(Sales!$AR$1)-1)/2)+'Cash Drivers'!AR$13,0)=EOMONTH($CB$1,0),Sales!AR$6,0)+IF(EOMONTH(DATE(YEAR(Sales!$AO$1),MONTH(Sales!$AO$1),1)+INT((DAY(Sales!$AO$1)-1)/2)+'Cash Drivers'!AO$13,0)=EOMONTH($CB$1,0),Sales!AO$6,0)+IF(EOMONTH(DATE(YEAR(Sales!$AL$1),MONTH(Sales!$AL$1),1)+INT((DAY(Sales!$AL$1)-1)/2)+'Cash Drivers'!AL$13,0)=EOMONTH($CB$1,0),Sales!AL$6,0)+IF(EOMONTH(DATE(YEAR(Sales!$AI$1),MONTH(Sales!$AI$1),1)+INT((DAY(Sales!$AI$1)-1)/2)+'Cash Drivers'!AI$13,0)=EOMONTH($CB$1,0),Sales!AI$6,0)+IF(EOMONTH(DATE(YEAR(Sales!$AF$1),MONTH(Sales!$AF$1),1)+INT((DAY(Sales!$AF$1)-1)/2)+'Cash Drivers'!AF$13,0)=EOMONTH($CB$1,0),Sales!AF$6,0)+IF(EOMONTH(DATE(YEAR(Sales!$AC$1),MONTH(Sales!$AC$1),1)+INT((DAY(Sales!$AC$1)-1)/2)+'Cash Drivers'!AC$13,0)=EOMONTH($CB$1,0),Sales!AC$6,0)+IF(EOMONTH(DATE(YEAR(Sales!$Z$1),MONTH(Sales!$Z$1),1)+INT((DAY(Sales!$Z$1)-1)/2)+'Cash Drivers'!Z$13,0)=EOMONTH($CB$1,0),Sales!Z$6,0)+IF(EOMONTH(DATE(YEAR(Sales!$W$1),MONTH(Sales!$W$1),1)+INT((DAY(Sales!$W$1)-1)/2)+'Cash Drivers'!W$13,0)=EOMONTH($CB$1,0),Sales!W$6,0)+IF(EOMONTH(DATE(YEAR(Sales!$T$1),MONTH(Sales!$T$1),1)+INT((DAY(Sales!$T$1)-1)/2)+'Cash Drivers'!T$13,0)=EOMONTH($CB$1,0),Sales!T$6,0)+IF(EOMONTH(DATE(YEAR(Sales!$Q$1),MONTH(Sales!$Q$1),1)+INT((DAY(Sales!$Q$1)-1)/2)+'Cash Drivers'!Q$13,0)=EOMONTH($CB$1,0),Sales!Q$6,0)+IF(EOMONTH(DATE(YEAR(Sales!$N$1),MONTH(Sales!$N$1),1)+INT((DAY(Sales!$N$1)-1)/2)+'Cash Drivers'!N$13,0)=EOMONTH($CB$1,0),Sales!N$6,0)+IF(EOMONTH(DATE(YEAR(Sales!$K$1),MONTH(Sales!$K$1),1)+INT((DAY(Sales!$K$1)-1)/2)+'Cash Drivers'!K$13,0)=EOMONTH($CB$1,0),Sales!K$6,0)+IF(EOMONTH('Cash Drivers'!$DL$30+'Cash Drivers'!DL$13,0)=EOMONTH($CB$1,0),'Cash Drivers'!$DL$32,0),0)</f>
        <v>0</v>
      </c>
      <c r="CC18" s="45" t="n">
        <f aca="false">ROUND(IF(EOMONTH(DATE(YEAR(Sales!$DL$1),MONTH(Sales!$DL$1),1)+INT((DAY(Sales!$DL$1)-1)/2)+'Cash Drivers'!DM$13,0)=EOMONTH($CB$1,0),Sales!DM$6,0)+IF(EOMONTH(DATE(YEAR(Sales!$DI$1),MONTH(Sales!$DI$1),1)+INT((DAY(Sales!$DI$1)-1)/2)+'Cash Drivers'!DJ$13,0)=EOMONTH($CB$1,0),Sales!DJ$6,0)+IF(EOMONTH(DATE(YEAR(Sales!$DF$1),MONTH(Sales!$DF$1),1)+INT((DAY(Sales!$DF$1)-1)/2)+'Cash Drivers'!DG$13,0)=EOMONTH($CB$1,0),Sales!DG$6,0)+IF(EOMONTH(DATE(YEAR(Sales!$DC$1),MONTH(Sales!$DC$1),1)+INT((DAY(Sales!$DC$1)-1)/2)+'Cash Drivers'!DD$13,0)=EOMONTH($CB$1,0),Sales!DD$6,0)+IF(EOMONTH(DATE(YEAR(Sales!$CZ$1),MONTH(Sales!$CZ$1),1)+INT((DAY(Sales!$CZ$1)-1)/2)+'Cash Drivers'!DA$13,0)=EOMONTH($CB$1,0),Sales!DA$6,0)+IF(EOMONTH(DATE(YEAR(Sales!$CW$1),MONTH(Sales!$CW$1),1)+INT((DAY(Sales!$CW$1)-1)/2)+'Cash Drivers'!CX$13,0)=EOMONTH($CB$1,0),Sales!CX$6,0)+IF(EOMONTH(DATE(YEAR(Sales!$CT$1),MONTH(Sales!$CT$1),1)+INT((DAY(Sales!$CT$1)-1)/2)+'Cash Drivers'!CU$13,0)=EOMONTH($CB$1,0),Sales!CU$6,0)+IF(EOMONTH(DATE(YEAR(Sales!$CQ$1),MONTH(Sales!$CQ$1),1)+INT((DAY(Sales!$CQ$1)-1)/2)+'Cash Drivers'!CR$13,0)=EOMONTH($CB$1,0),Sales!CR$6,0)+IF(EOMONTH(DATE(YEAR(Sales!$CN$1),MONTH(Sales!$CN$1),1)+INT((DAY(Sales!$CN$1)-1)/2)+'Cash Drivers'!CO$13,0)=EOMONTH($CB$1,0),Sales!CO$6,0)+IF(EOMONTH(DATE(YEAR(Sales!$CK$1),MONTH(Sales!$CK$1),1)+INT((DAY(Sales!$CK$1)-1)/2)+'Cash Drivers'!CL$13,0)=EOMONTH($CB$1,0),Sales!CL$6,0)+IF(EOMONTH(DATE(YEAR(Sales!$CH$1),MONTH(Sales!$CH$1),1)+INT((DAY(Sales!$CH$1)-1)/2)+'Cash Drivers'!CI$13,0)=EOMONTH($CB$1,0),Sales!CI$6,0)+IF(EOMONTH(DATE(YEAR(Sales!$CE$1),MONTH(Sales!$CE$1),1)+INT((DAY(Sales!$CE$1)-1)/2)+'Cash Drivers'!CF$13,0)=EOMONTH($CB$1,0),Sales!CF$6,0)+IF(EOMONTH(DATE(YEAR(Sales!$CB$1),MONTH(Sales!$CB$1),1)+INT((DAY(Sales!$CB$1)-1)/2)+'Cash Drivers'!CC$13,0)=EOMONTH($CB$1,0),Sales!CC$6,0)+IF(EOMONTH(DATE(YEAR(Sales!$BY$1),MONTH(Sales!$BY$1),1)+INT((DAY(Sales!$BY$1)-1)/2)+'Cash Drivers'!BZ$13,0)=EOMONTH($CB$1,0),Sales!BZ$6,0)+IF(EOMONTH(DATE(YEAR(Sales!$BV$1),MONTH(Sales!$BV$1),1)+INT((DAY(Sales!$BV$1)-1)/2)+'Cash Drivers'!BW$13,0)=EOMONTH($CB$1,0),Sales!BW$6,0)+IF(EOMONTH(DATE(YEAR(Sales!$BS$1),MONTH(Sales!$BS$1),1)+INT((DAY(Sales!$BS$1)-1)/2)+'Cash Drivers'!BT$13,0)=EOMONTH($CB$1,0),Sales!BT$6,0)+IF(EOMONTH(DATE(YEAR(Sales!$BP$1),MONTH(Sales!$BP$1),1)+INT((DAY(Sales!$BP$1)-1)/2)+'Cash Drivers'!BQ$13,0)=EOMONTH($CB$1,0),Sales!BQ$6,0)+IF(EOMONTH(DATE(YEAR(Sales!$BM$1),MONTH(Sales!$BM$1),1)+INT((DAY(Sales!$BM$1)-1)/2)+'Cash Drivers'!BN$13,0)=EOMONTH($CB$1,0),Sales!BN$6,0)+IF(EOMONTH(DATE(YEAR(Sales!$BJ$1),MONTH(Sales!$BJ$1),1)+INT((DAY(Sales!$BJ$1)-1)/2)+'Cash Drivers'!BK$13,0)=EOMONTH($CB$1,0),Sales!BK$6,0)+IF(EOMONTH(DATE(YEAR(Sales!$BG$1),MONTH(Sales!$BG$1),1)+INT((DAY(Sales!$BG$1)-1)/2)+'Cash Drivers'!BH$13,0)=EOMONTH($CB$1,0),Sales!BH$6,0)+IF(EOMONTH(DATE(YEAR(Sales!$BD$1),MONTH(Sales!$BD$1),1)+INT((DAY(Sales!$BD$1)-1)/2)+'Cash Drivers'!BE$13,0)=EOMONTH($CB$1,0),Sales!BE$6,0)+IF(EOMONTH(DATE(YEAR(Sales!$BA$1),MONTH(Sales!$BA$1),1)+INT((DAY(Sales!$BA$1)-1)/2)+'Cash Drivers'!BB$13,0)=EOMONTH($CB$1,0),Sales!BB$6,0)+IF(EOMONTH(DATE(YEAR(Sales!$AX$1),MONTH(Sales!$AX$1),1)+INT((DAY(Sales!$AX$1)-1)/2)+'Cash Drivers'!AY$13,0)=EOMONTH($CB$1,0),Sales!AY$6,0)+IF(EOMONTH(DATE(YEAR(Sales!$AU$1),MONTH(Sales!$AU$1),1)+INT((DAY(Sales!$AU$1)-1)/2)+'Cash Drivers'!AV$13,0)=EOMONTH($CB$1,0),Sales!AV$6,0)+IF(EOMONTH(DATE(YEAR(Sales!$AR$1),MONTH(Sales!$AR$1),1)+INT((DAY(Sales!$AR$1)-1)/2)+'Cash Drivers'!AS$13,0)=EOMONTH($CB$1,0),Sales!AS$6,0)+IF(EOMONTH(DATE(YEAR(Sales!$AO$1),MONTH(Sales!$AO$1),1)+INT((DAY(Sales!$AO$1)-1)/2)+'Cash Drivers'!AP$13,0)=EOMONTH($CB$1,0),Sales!AP$6,0)+IF(EOMONTH(DATE(YEAR(Sales!$AL$1),MONTH(Sales!$AL$1),1)+INT((DAY(Sales!$AL$1)-1)/2)+'Cash Drivers'!AM$13,0)=EOMONTH($CB$1,0),Sales!AM$6,0)+IF(EOMONTH(DATE(YEAR(Sales!$AI$1),MONTH(Sales!$AI$1),1)+INT((DAY(Sales!$AI$1)-1)/2)+'Cash Drivers'!AJ$13,0)=EOMONTH($CB$1,0),Sales!AJ$6,0)+IF(EOMONTH(DATE(YEAR(Sales!$AF$1),MONTH(Sales!$AF$1),1)+INT((DAY(Sales!$AF$1)-1)/2)+'Cash Drivers'!AG$13,0)=EOMONTH($CB$1,0),Sales!AG$6,0)+IF(EOMONTH(DATE(YEAR(Sales!$AC$1),MONTH(Sales!$AC$1),1)+INT((DAY(Sales!$AC$1)-1)/2)+'Cash Drivers'!AD$13,0)=EOMONTH($CB$1,0),Sales!AD$6,0)+IF(EOMONTH(DATE(YEAR(Sales!$Z$1),MONTH(Sales!$Z$1),1)+INT((DAY(Sales!$Z$1)-1)/2)+'Cash Drivers'!AA$13,0)=EOMONTH($CB$1,0),Sales!AA$6,0)+IF(EOMONTH(DATE(YEAR(Sales!$W$1),MONTH(Sales!$W$1),1)+INT((DAY(Sales!$W$1)-1)/2)+'Cash Drivers'!X$13,0)=EOMONTH($CB$1,0),Sales!X$6,0)+IF(EOMONTH(DATE(YEAR(Sales!$T$1),MONTH(Sales!$T$1),1)+INT((DAY(Sales!$T$1)-1)/2)+'Cash Drivers'!U$13,0)=EOMONTH($CB$1,0),Sales!U$6,0)+IF(EOMONTH(DATE(YEAR(Sales!$Q$1),MONTH(Sales!$Q$1),1)+INT((DAY(Sales!$Q$1)-1)/2)+'Cash Drivers'!R$13,0)=EOMONTH($CB$1,0),Sales!R$6,0)+IF(EOMONTH(DATE(YEAR(Sales!$N$1),MONTH(Sales!$N$1),1)+INT((DAY(Sales!$N$1)-1)/2)+'Cash Drivers'!O$13,0)=EOMONTH($CB$1,0),Sales!O$6,0)+IF(EOMONTH(DATE(YEAR(Sales!$K$1),MONTH(Sales!$K$1),1)+INT((DAY(Sales!$K$1)-1)/2)+'Cash Drivers'!L$13,0)=EOMONTH($CB$1,0),Sales!L$6,0)+IF(EOMONTH('Cash Drivers'!$DL$30+'Cash Drivers'!DM$13,0)=EOMONTH($CB$1,0),'Cash Drivers'!$DL$32,0),0)</f>
        <v>19</v>
      </c>
      <c r="CD18" s="46" t="n">
        <f aca="false">ROUND(IF(EOMONTH(DATE(YEAR(Sales!$DL$1),MONTH(Sales!$DL$1),1)+INT((DAY(Sales!$DL$1)-1)/2)+'Cash Drivers'!DN$13,0)=EOMONTH($CB$1,0),Sales!DN$6,0)+IF(EOMONTH(DATE(YEAR(Sales!$DI$1),MONTH(Sales!$DI$1),1)+INT((DAY(Sales!$DI$1)-1)/2)+'Cash Drivers'!DK$13,0)=EOMONTH($CB$1,0),Sales!DK$6,0)+IF(EOMONTH(DATE(YEAR(Sales!$DF$1),MONTH(Sales!$DF$1),1)+INT((DAY(Sales!$DF$1)-1)/2)+'Cash Drivers'!DH$13,0)=EOMONTH($CB$1,0),Sales!DH$6,0)+IF(EOMONTH(DATE(YEAR(Sales!$DC$1),MONTH(Sales!$DC$1),1)+INT((DAY(Sales!$DC$1)-1)/2)+'Cash Drivers'!DE$13,0)=EOMONTH($CB$1,0),Sales!DE$6,0)+IF(EOMONTH(DATE(YEAR(Sales!$CZ$1),MONTH(Sales!$CZ$1),1)+INT((DAY(Sales!$CZ$1)-1)/2)+'Cash Drivers'!DB$13,0)=EOMONTH($CB$1,0),Sales!DB$6,0)+IF(EOMONTH(DATE(YEAR(Sales!$CW$1),MONTH(Sales!$CW$1),1)+INT((DAY(Sales!$CW$1)-1)/2)+'Cash Drivers'!CY$13,0)=EOMONTH($CB$1,0),Sales!CY$6,0)+IF(EOMONTH(DATE(YEAR(Sales!$CT$1),MONTH(Sales!$CT$1),1)+INT((DAY(Sales!$CT$1)-1)/2)+'Cash Drivers'!CV$13,0)=EOMONTH($CB$1,0),Sales!CV$6,0)+IF(EOMONTH(DATE(YEAR(Sales!$CQ$1),MONTH(Sales!$CQ$1),1)+INT((DAY(Sales!$CQ$1)-1)/2)+'Cash Drivers'!CS$13,0)=EOMONTH($CB$1,0),Sales!CS$6,0)+IF(EOMONTH(DATE(YEAR(Sales!$CN$1),MONTH(Sales!$CN$1),1)+INT((DAY(Sales!$CN$1)-1)/2)+'Cash Drivers'!CP$13,0)=EOMONTH($CB$1,0),Sales!CP$6,0)+IF(EOMONTH(DATE(YEAR(Sales!$CK$1),MONTH(Sales!$CK$1),1)+INT((DAY(Sales!$CK$1)-1)/2)+'Cash Drivers'!CM$13,0)=EOMONTH($CB$1,0),Sales!CM$6,0)+IF(EOMONTH(DATE(YEAR(Sales!$CH$1),MONTH(Sales!$CH$1),1)+INT((DAY(Sales!$CH$1)-1)/2)+'Cash Drivers'!CJ$13,0)=EOMONTH($CB$1,0),Sales!CJ$6,0)+IF(EOMONTH(DATE(YEAR(Sales!$CE$1),MONTH(Sales!$CE$1),1)+INT((DAY(Sales!$CE$1)-1)/2)+'Cash Drivers'!CG$13,0)=EOMONTH($CB$1,0),Sales!CG$6,0)+IF(EOMONTH(DATE(YEAR(Sales!$CB$1),MONTH(Sales!$CB$1),1)+INT((DAY(Sales!$CB$1)-1)/2)+'Cash Drivers'!CD$13,0)=EOMONTH($CB$1,0),Sales!CD$6,0)+IF(EOMONTH(DATE(YEAR(Sales!$BY$1),MONTH(Sales!$BY$1),1)+INT((DAY(Sales!$BY$1)-1)/2)+'Cash Drivers'!CA$13,0)=EOMONTH($CB$1,0),Sales!CA$6,0)+IF(EOMONTH(DATE(YEAR(Sales!$BV$1),MONTH(Sales!$BV$1),1)+INT((DAY(Sales!$BV$1)-1)/2)+'Cash Drivers'!BX$13,0)=EOMONTH($CB$1,0),Sales!BX$6,0)+IF(EOMONTH(DATE(YEAR(Sales!$BS$1),MONTH(Sales!$BS$1),1)+INT((DAY(Sales!$BS$1)-1)/2)+'Cash Drivers'!BU$13,0)=EOMONTH($CB$1,0),Sales!BU$6,0)+IF(EOMONTH(DATE(YEAR(Sales!$BP$1),MONTH(Sales!$BP$1),1)+INT((DAY(Sales!$BP$1)-1)/2)+'Cash Drivers'!BR$13,0)=EOMONTH($CB$1,0),Sales!BR$6,0)+IF(EOMONTH(DATE(YEAR(Sales!$BM$1),MONTH(Sales!$BM$1),1)+INT((DAY(Sales!$BM$1)-1)/2)+'Cash Drivers'!BO$13,0)=EOMONTH($CB$1,0),Sales!BO$6,0)+IF(EOMONTH(DATE(YEAR(Sales!$BJ$1),MONTH(Sales!$BJ$1),1)+INT((DAY(Sales!$BJ$1)-1)/2)+'Cash Drivers'!BL$13,0)=EOMONTH($CB$1,0),Sales!BL$6,0)+IF(EOMONTH(DATE(YEAR(Sales!$BG$1),MONTH(Sales!$BG$1),1)+INT((DAY(Sales!$BG$1)-1)/2)+'Cash Drivers'!BI$13,0)=EOMONTH($CB$1,0),Sales!BI$6,0)+IF(EOMONTH(DATE(YEAR(Sales!$BD$1),MONTH(Sales!$BD$1),1)+INT((DAY(Sales!$BD$1)-1)/2)+'Cash Drivers'!BF$13,0)=EOMONTH($CB$1,0),Sales!BF$6,0)+IF(EOMONTH(DATE(YEAR(Sales!$BA$1),MONTH(Sales!$BA$1),1)+INT((DAY(Sales!$BA$1)-1)/2)+'Cash Drivers'!BC$13,0)=EOMONTH($CB$1,0),Sales!BC$6,0)+IF(EOMONTH(DATE(YEAR(Sales!$AX$1),MONTH(Sales!$AX$1),1)+INT((DAY(Sales!$AX$1)-1)/2)+'Cash Drivers'!AZ$13,0)=EOMONTH($CB$1,0),Sales!AZ$6,0)+IF(EOMONTH(DATE(YEAR(Sales!$AU$1),MONTH(Sales!$AU$1),1)+INT((DAY(Sales!$AU$1)-1)/2)+'Cash Drivers'!AW$13,0)=EOMONTH($CB$1,0),Sales!AW$6,0)+IF(EOMONTH(DATE(YEAR(Sales!$AR$1),MONTH(Sales!$AR$1),1)+INT((DAY(Sales!$AR$1)-1)/2)+'Cash Drivers'!AT$13,0)=EOMONTH($CB$1,0),Sales!AT$6,0)+IF(EOMONTH(DATE(YEAR(Sales!$AO$1),MONTH(Sales!$AO$1),1)+INT((DAY(Sales!$AO$1)-1)/2)+'Cash Drivers'!AQ$13,0)=EOMONTH($CB$1,0),Sales!AQ$6,0)+IF(EOMONTH(DATE(YEAR(Sales!$AL$1),MONTH(Sales!$AL$1),1)+INT((DAY(Sales!$AL$1)-1)/2)+'Cash Drivers'!AN$13,0)=EOMONTH($CB$1,0),Sales!AN$6,0)+IF(EOMONTH(DATE(YEAR(Sales!$AI$1),MONTH(Sales!$AI$1),1)+INT((DAY(Sales!$AI$1)-1)/2)+'Cash Drivers'!AK$13,0)=EOMONTH($CB$1,0),Sales!AK$6,0)+IF(EOMONTH(DATE(YEAR(Sales!$AF$1),MONTH(Sales!$AF$1),1)+INT((DAY(Sales!$AF$1)-1)/2)+'Cash Drivers'!AH$13,0)=EOMONTH($CB$1,0),Sales!AH$6,0)+IF(EOMONTH(DATE(YEAR(Sales!$AC$1),MONTH(Sales!$AC$1),1)+INT((DAY(Sales!$AC$1)-1)/2)+'Cash Drivers'!AE$13,0)=EOMONTH($CB$1,0),Sales!AE$6,0)+IF(EOMONTH(DATE(YEAR(Sales!$Z$1),MONTH(Sales!$Z$1),1)+INT((DAY(Sales!$Z$1)-1)/2)+'Cash Drivers'!AB$13,0)=EOMONTH($CB$1,0),Sales!AB$6,0)+IF(EOMONTH(DATE(YEAR(Sales!$W$1),MONTH(Sales!$W$1),1)+INT((DAY(Sales!$W$1)-1)/2)+'Cash Drivers'!Y$13,0)=EOMONTH($CB$1,0),Sales!Y$6,0)+IF(EOMONTH(DATE(YEAR(Sales!$T$1),MONTH(Sales!$T$1),1)+INT((DAY(Sales!$T$1)-1)/2)+'Cash Drivers'!V$13,0)=EOMONTH($CB$1,0),Sales!V$6,0)+IF(EOMONTH(DATE(YEAR(Sales!$Q$1),MONTH(Sales!$Q$1),1)+INT((DAY(Sales!$Q$1)-1)/2)+'Cash Drivers'!S$13,0)=EOMONTH($CB$1,0),Sales!S$6,0)+IF(EOMONTH(DATE(YEAR(Sales!$N$1),MONTH(Sales!$N$1),1)+INT((DAY(Sales!$N$1)-1)/2)+'Cash Drivers'!P$13,0)=EOMONTH($CB$1,0),Sales!P$6,0)+IF(EOMONTH(DATE(YEAR(Sales!$K$1),MONTH(Sales!$K$1),1)+INT((DAY(Sales!$K$1)-1)/2)+'Cash Drivers'!M$13,0)=EOMONTH($CB$1,0),Sales!M$6,0)+IF(EOMONTH('Cash Drivers'!$DL$30+'Cash Drivers'!DN$13,0)=EOMONTH($CB$1,0),'Cash Drivers'!$DL$32,0),0)</f>
        <v>19</v>
      </c>
      <c r="CE18" s="44" t="n">
        <f aca="false">ROUND(IF(EOMONTH(DATE(YEAR(Sales!$DL$1),MONTH(Sales!$DL$1),1)+INT((DAY(Sales!$DL$1)-1)/2)+'Cash Drivers'!DL$13,0)=EOMONTH($CE$1,0),Sales!DL$6,0)+IF(EOMONTH(DATE(YEAR(Sales!$DI$1),MONTH(Sales!$DI$1),1)+INT((DAY(Sales!$DI$1)-1)/2)+'Cash Drivers'!DI$13,0)=EOMONTH($CE$1,0),Sales!DI$6,0)+IF(EOMONTH(DATE(YEAR(Sales!$DF$1),MONTH(Sales!$DF$1),1)+INT((DAY(Sales!$DF$1)-1)/2)+'Cash Drivers'!DF$13,0)=EOMONTH($CE$1,0),Sales!DF$6,0)+IF(EOMONTH(DATE(YEAR(Sales!$DC$1),MONTH(Sales!$DC$1),1)+INT((DAY(Sales!$DC$1)-1)/2)+'Cash Drivers'!DC$13,0)=EOMONTH($CE$1,0),Sales!DC$6,0)+IF(EOMONTH(DATE(YEAR(Sales!$CZ$1),MONTH(Sales!$CZ$1),1)+INT((DAY(Sales!$CZ$1)-1)/2)+'Cash Drivers'!CZ$13,0)=EOMONTH($CE$1,0),Sales!CZ$6,0)+IF(EOMONTH(DATE(YEAR(Sales!$CW$1),MONTH(Sales!$CW$1),1)+INT((DAY(Sales!$CW$1)-1)/2)+'Cash Drivers'!CW$13,0)=EOMONTH($CE$1,0),Sales!CW$6,0)+IF(EOMONTH(DATE(YEAR(Sales!$CT$1),MONTH(Sales!$CT$1),1)+INT((DAY(Sales!$CT$1)-1)/2)+'Cash Drivers'!CT$13,0)=EOMONTH($CE$1,0),Sales!CT$6,0)+IF(EOMONTH(DATE(YEAR(Sales!$CQ$1),MONTH(Sales!$CQ$1),1)+INT((DAY(Sales!$CQ$1)-1)/2)+'Cash Drivers'!CQ$13,0)=EOMONTH($CE$1,0),Sales!CQ$6,0)+IF(EOMONTH(DATE(YEAR(Sales!$CN$1),MONTH(Sales!$CN$1),1)+INT((DAY(Sales!$CN$1)-1)/2)+'Cash Drivers'!CN$13,0)=EOMONTH($CE$1,0),Sales!CN$6,0)+IF(EOMONTH(DATE(YEAR(Sales!$CK$1),MONTH(Sales!$CK$1),1)+INT((DAY(Sales!$CK$1)-1)/2)+'Cash Drivers'!CK$13,0)=EOMONTH($CE$1,0),Sales!CK$6,0)+IF(EOMONTH(DATE(YEAR(Sales!$CH$1),MONTH(Sales!$CH$1),1)+INT((DAY(Sales!$CH$1)-1)/2)+'Cash Drivers'!CH$13,0)=EOMONTH($CE$1,0),Sales!CH$6,0)+IF(EOMONTH(DATE(YEAR(Sales!$CE$1),MONTH(Sales!$CE$1),1)+INT((DAY(Sales!$CE$1)-1)/2)+'Cash Drivers'!CE$13,0)=EOMONTH($CE$1,0),Sales!CE$6,0)+IF(EOMONTH(DATE(YEAR(Sales!$CB$1),MONTH(Sales!$CB$1),1)+INT((DAY(Sales!$CB$1)-1)/2)+'Cash Drivers'!CB$13,0)=EOMONTH($CE$1,0),Sales!CB$6,0)+IF(EOMONTH(DATE(YEAR(Sales!$BY$1),MONTH(Sales!$BY$1),1)+INT((DAY(Sales!$BY$1)-1)/2)+'Cash Drivers'!BY$13,0)=EOMONTH($CE$1,0),Sales!BY$6,0)+IF(EOMONTH(DATE(YEAR(Sales!$BV$1),MONTH(Sales!$BV$1),1)+INT((DAY(Sales!$BV$1)-1)/2)+'Cash Drivers'!BV$13,0)=EOMONTH($CE$1,0),Sales!BV$6,0)+IF(EOMONTH(DATE(YEAR(Sales!$BS$1),MONTH(Sales!$BS$1),1)+INT((DAY(Sales!$BS$1)-1)/2)+'Cash Drivers'!BS$13,0)=EOMONTH($CE$1,0),Sales!BS$6,0)+IF(EOMONTH(DATE(YEAR(Sales!$BP$1),MONTH(Sales!$BP$1),1)+INT((DAY(Sales!$BP$1)-1)/2)+'Cash Drivers'!BP$13,0)=EOMONTH($CE$1,0),Sales!BP$6,0)+IF(EOMONTH(DATE(YEAR(Sales!$BM$1),MONTH(Sales!$BM$1),1)+INT((DAY(Sales!$BM$1)-1)/2)+'Cash Drivers'!BM$13,0)=EOMONTH($CE$1,0),Sales!BM$6,0)+IF(EOMONTH(DATE(YEAR(Sales!$BJ$1),MONTH(Sales!$BJ$1),1)+INT((DAY(Sales!$BJ$1)-1)/2)+'Cash Drivers'!BJ$13,0)=EOMONTH($CE$1,0),Sales!BJ$6,0)+IF(EOMONTH(DATE(YEAR(Sales!$BG$1),MONTH(Sales!$BG$1),1)+INT((DAY(Sales!$BG$1)-1)/2)+'Cash Drivers'!BG$13,0)=EOMONTH($CE$1,0),Sales!BG$6,0)+IF(EOMONTH(DATE(YEAR(Sales!$BD$1),MONTH(Sales!$BD$1),1)+INT((DAY(Sales!$BD$1)-1)/2)+'Cash Drivers'!BD$13,0)=EOMONTH($CE$1,0),Sales!BD$6,0)+IF(EOMONTH(DATE(YEAR(Sales!$BA$1),MONTH(Sales!$BA$1),1)+INT((DAY(Sales!$BA$1)-1)/2)+'Cash Drivers'!BA$13,0)=EOMONTH($CE$1,0),Sales!BA$6,0)+IF(EOMONTH(DATE(YEAR(Sales!$AX$1),MONTH(Sales!$AX$1),1)+INT((DAY(Sales!$AX$1)-1)/2)+'Cash Drivers'!AX$13,0)=EOMONTH($CE$1,0),Sales!AX$6,0)+IF(EOMONTH(DATE(YEAR(Sales!$AU$1),MONTH(Sales!$AU$1),1)+INT((DAY(Sales!$AU$1)-1)/2)+'Cash Drivers'!AU$13,0)=EOMONTH($CE$1,0),Sales!AU$6,0)+IF(EOMONTH(DATE(YEAR(Sales!$AR$1),MONTH(Sales!$AR$1),1)+INT((DAY(Sales!$AR$1)-1)/2)+'Cash Drivers'!AR$13,0)=EOMONTH($CE$1,0),Sales!AR$6,0)+IF(EOMONTH(DATE(YEAR(Sales!$AO$1),MONTH(Sales!$AO$1),1)+INT((DAY(Sales!$AO$1)-1)/2)+'Cash Drivers'!AO$13,0)=EOMONTH($CE$1,0),Sales!AO$6,0)+IF(EOMONTH(DATE(YEAR(Sales!$AL$1),MONTH(Sales!$AL$1),1)+INT((DAY(Sales!$AL$1)-1)/2)+'Cash Drivers'!AL$13,0)=EOMONTH($CE$1,0),Sales!AL$6,0)+IF(EOMONTH(DATE(YEAR(Sales!$AI$1),MONTH(Sales!$AI$1),1)+INT((DAY(Sales!$AI$1)-1)/2)+'Cash Drivers'!AI$13,0)=EOMONTH($CE$1,0),Sales!AI$6,0)+IF(EOMONTH(DATE(YEAR(Sales!$AF$1),MONTH(Sales!$AF$1),1)+INT((DAY(Sales!$AF$1)-1)/2)+'Cash Drivers'!AF$13,0)=EOMONTH($CE$1,0),Sales!AF$6,0)+IF(EOMONTH(DATE(YEAR(Sales!$AC$1),MONTH(Sales!$AC$1),1)+INT((DAY(Sales!$AC$1)-1)/2)+'Cash Drivers'!AC$13,0)=EOMONTH($CE$1,0),Sales!AC$6,0)+IF(EOMONTH(DATE(YEAR(Sales!$Z$1),MONTH(Sales!$Z$1),1)+INT((DAY(Sales!$Z$1)-1)/2)+'Cash Drivers'!Z$13,0)=EOMONTH($CE$1,0),Sales!Z$6,0)+IF(EOMONTH(DATE(YEAR(Sales!$W$1),MONTH(Sales!$W$1),1)+INT((DAY(Sales!$W$1)-1)/2)+'Cash Drivers'!W$13,0)=EOMONTH($CE$1,0),Sales!W$6,0)+IF(EOMONTH(DATE(YEAR(Sales!$T$1),MONTH(Sales!$T$1),1)+INT((DAY(Sales!$T$1)-1)/2)+'Cash Drivers'!T$13,0)=EOMONTH($CE$1,0),Sales!T$6,0)+IF(EOMONTH(DATE(YEAR(Sales!$Q$1),MONTH(Sales!$Q$1),1)+INT((DAY(Sales!$Q$1)-1)/2)+'Cash Drivers'!Q$13,0)=EOMONTH($CE$1,0),Sales!Q$6,0)+IF(EOMONTH(DATE(YEAR(Sales!$N$1),MONTH(Sales!$N$1),1)+INT((DAY(Sales!$N$1)-1)/2)+'Cash Drivers'!N$13,0)=EOMONTH($CE$1,0),Sales!N$6,0)+IF(EOMONTH(DATE(YEAR(Sales!$K$1),MONTH(Sales!$K$1),1)+INT((DAY(Sales!$K$1)-1)/2)+'Cash Drivers'!K$13,0)=EOMONTH($CE$1,0),Sales!K$6,0)+IF(EOMONTH('Cash Drivers'!$DL$30+'Cash Drivers'!DL$13,0)=EOMONTH($CE$1,0),'Cash Drivers'!$DL$32,0),0)</f>
        <v>0</v>
      </c>
      <c r="CF18" s="45" t="n">
        <f aca="false">ROUND(IF(EOMONTH(DATE(YEAR(Sales!$DL$1),MONTH(Sales!$DL$1),1)+INT((DAY(Sales!$DL$1)-1)/2)+'Cash Drivers'!DM$13,0)=EOMONTH($CE$1,0),Sales!DM$6,0)+IF(EOMONTH(DATE(YEAR(Sales!$DI$1),MONTH(Sales!$DI$1),1)+INT((DAY(Sales!$DI$1)-1)/2)+'Cash Drivers'!DJ$13,0)=EOMONTH($CE$1,0),Sales!DJ$6,0)+IF(EOMONTH(DATE(YEAR(Sales!$DF$1),MONTH(Sales!$DF$1),1)+INT((DAY(Sales!$DF$1)-1)/2)+'Cash Drivers'!DG$13,0)=EOMONTH($CE$1,0),Sales!DG$6,0)+IF(EOMONTH(DATE(YEAR(Sales!$DC$1),MONTH(Sales!$DC$1),1)+INT((DAY(Sales!$DC$1)-1)/2)+'Cash Drivers'!DD$13,0)=EOMONTH($CE$1,0),Sales!DD$6,0)+IF(EOMONTH(DATE(YEAR(Sales!$CZ$1),MONTH(Sales!$CZ$1),1)+INT((DAY(Sales!$CZ$1)-1)/2)+'Cash Drivers'!DA$13,0)=EOMONTH($CE$1,0),Sales!DA$6,0)+IF(EOMONTH(DATE(YEAR(Sales!$CW$1),MONTH(Sales!$CW$1),1)+INT((DAY(Sales!$CW$1)-1)/2)+'Cash Drivers'!CX$13,0)=EOMONTH($CE$1,0),Sales!CX$6,0)+IF(EOMONTH(DATE(YEAR(Sales!$CT$1),MONTH(Sales!$CT$1),1)+INT((DAY(Sales!$CT$1)-1)/2)+'Cash Drivers'!CU$13,0)=EOMONTH($CE$1,0),Sales!CU$6,0)+IF(EOMONTH(DATE(YEAR(Sales!$CQ$1),MONTH(Sales!$CQ$1),1)+INT((DAY(Sales!$CQ$1)-1)/2)+'Cash Drivers'!CR$13,0)=EOMONTH($CE$1,0),Sales!CR$6,0)+IF(EOMONTH(DATE(YEAR(Sales!$CN$1),MONTH(Sales!$CN$1),1)+INT((DAY(Sales!$CN$1)-1)/2)+'Cash Drivers'!CO$13,0)=EOMONTH($CE$1,0),Sales!CO$6,0)+IF(EOMONTH(DATE(YEAR(Sales!$CK$1),MONTH(Sales!$CK$1),1)+INT((DAY(Sales!$CK$1)-1)/2)+'Cash Drivers'!CL$13,0)=EOMONTH($CE$1,0),Sales!CL$6,0)+IF(EOMONTH(DATE(YEAR(Sales!$CH$1),MONTH(Sales!$CH$1),1)+INT((DAY(Sales!$CH$1)-1)/2)+'Cash Drivers'!CI$13,0)=EOMONTH($CE$1,0),Sales!CI$6,0)+IF(EOMONTH(DATE(YEAR(Sales!$CE$1),MONTH(Sales!$CE$1),1)+INT((DAY(Sales!$CE$1)-1)/2)+'Cash Drivers'!CF$13,0)=EOMONTH($CE$1,0),Sales!CF$6,0)+IF(EOMONTH(DATE(YEAR(Sales!$CB$1),MONTH(Sales!$CB$1),1)+INT((DAY(Sales!$CB$1)-1)/2)+'Cash Drivers'!CC$13,0)=EOMONTH($CE$1,0),Sales!CC$6,0)+IF(EOMONTH(DATE(YEAR(Sales!$BY$1),MONTH(Sales!$BY$1),1)+INT((DAY(Sales!$BY$1)-1)/2)+'Cash Drivers'!BZ$13,0)=EOMONTH($CE$1,0),Sales!BZ$6,0)+IF(EOMONTH(DATE(YEAR(Sales!$BV$1),MONTH(Sales!$BV$1),1)+INT((DAY(Sales!$BV$1)-1)/2)+'Cash Drivers'!BW$13,0)=EOMONTH($CE$1,0),Sales!BW$6,0)+IF(EOMONTH(DATE(YEAR(Sales!$BS$1),MONTH(Sales!$BS$1),1)+INT((DAY(Sales!$BS$1)-1)/2)+'Cash Drivers'!BT$13,0)=EOMONTH($CE$1,0),Sales!BT$6,0)+IF(EOMONTH(DATE(YEAR(Sales!$BP$1),MONTH(Sales!$BP$1),1)+INT((DAY(Sales!$BP$1)-1)/2)+'Cash Drivers'!BQ$13,0)=EOMONTH($CE$1,0),Sales!BQ$6,0)+IF(EOMONTH(DATE(YEAR(Sales!$BM$1),MONTH(Sales!$BM$1),1)+INT((DAY(Sales!$BM$1)-1)/2)+'Cash Drivers'!BN$13,0)=EOMONTH($CE$1,0),Sales!BN$6,0)+IF(EOMONTH(DATE(YEAR(Sales!$BJ$1),MONTH(Sales!$BJ$1),1)+INT((DAY(Sales!$BJ$1)-1)/2)+'Cash Drivers'!BK$13,0)=EOMONTH($CE$1,0),Sales!BK$6,0)+IF(EOMONTH(DATE(YEAR(Sales!$BG$1),MONTH(Sales!$BG$1),1)+INT((DAY(Sales!$BG$1)-1)/2)+'Cash Drivers'!BH$13,0)=EOMONTH($CE$1,0),Sales!BH$6,0)+IF(EOMONTH(DATE(YEAR(Sales!$BD$1),MONTH(Sales!$BD$1),1)+INT((DAY(Sales!$BD$1)-1)/2)+'Cash Drivers'!BE$13,0)=EOMONTH($CE$1,0),Sales!BE$6,0)+IF(EOMONTH(DATE(YEAR(Sales!$BA$1),MONTH(Sales!$BA$1),1)+INT((DAY(Sales!$BA$1)-1)/2)+'Cash Drivers'!BB$13,0)=EOMONTH($CE$1,0),Sales!BB$6,0)+IF(EOMONTH(DATE(YEAR(Sales!$AX$1),MONTH(Sales!$AX$1),1)+INT((DAY(Sales!$AX$1)-1)/2)+'Cash Drivers'!AY$13,0)=EOMONTH($CE$1,0),Sales!AY$6,0)+IF(EOMONTH(DATE(YEAR(Sales!$AU$1),MONTH(Sales!$AU$1),1)+INT((DAY(Sales!$AU$1)-1)/2)+'Cash Drivers'!AV$13,0)=EOMONTH($CE$1,0),Sales!AV$6,0)+IF(EOMONTH(DATE(YEAR(Sales!$AR$1),MONTH(Sales!$AR$1),1)+INT((DAY(Sales!$AR$1)-1)/2)+'Cash Drivers'!AS$13,0)=EOMONTH($CE$1,0),Sales!AS$6,0)+IF(EOMONTH(DATE(YEAR(Sales!$AO$1),MONTH(Sales!$AO$1),1)+INT((DAY(Sales!$AO$1)-1)/2)+'Cash Drivers'!AP$13,0)=EOMONTH($CE$1,0),Sales!AP$6,0)+IF(EOMONTH(DATE(YEAR(Sales!$AL$1),MONTH(Sales!$AL$1),1)+INT((DAY(Sales!$AL$1)-1)/2)+'Cash Drivers'!AM$13,0)=EOMONTH($CE$1,0),Sales!AM$6,0)+IF(EOMONTH(DATE(YEAR(Sales!$AI$1),MONTH(Sales!$AI$1),1)+INT((DAY(Sales!$AI$1)-1)/2)+'Cash Drivers'!AJ$13,0)=EOMONTH($CE$1,0),Sales!AJ$6,0)+IF(EOMONTH(DATE(YEAR(Sales!$AF$1),MONTH(Sales!$AF$1),1)+INT((DAY(Sales!$AF$1)-1)/2)+'Cash Drivers'!AG$13,0)=EOMONTH($CE$1,0),Sales!AG$6,0)+IF(EOMONTH(DATE(YEAR(Sales!$AC$1),MONTH(Sales!$AC$1),1)+INT((DAY(Sales!$AC$1)-1)/2)+'Cash Drivers'!AD$13,0)=EOMONTH($CE$1,0),Sales!AD$6,0)+IF(EOMONTH(DATE(YEAR(Sales!$Z$1),MONTH(Sales!$Z$1),1)+INT((DAY(Sales!$Z$1)-1)/2)+'Cash Drivers'!AA$13,0)=EOMONTH($CE$1,0),Sales!AA$6,0)+IF(EOMONTH(DATE(YEAR(Sales!$W$1),MONTH(Sales!$W$1),1)+INT((DAY(Sales!$W$1)-1)/2)+'Cash Drivers'!X$13,0)=EOMONTH($CE$1,0),Sales!X$6,0)+IF(EOMONTH(DATE(YEAR(Sales!$T$1),MONTH(Sales!$T$1),1)+INT((DAY(Sales!$T$1)-1)/2)+'Cash Drivers'!U$13,0)=EOMONTH($CE$1,0),Sales!U$6,0)+IF(EOMONTH(DATE(YEAR(Sales!$Q$1),MONTH(Sales!$Q$1),1)+INT((DAY(Sales!$Q$1)-1)/2)+'Cash Drivers'!R$13,0)=EOMONTH($CE$1,0),Sales!R$6,0)+IF(EOMONTH(DATE(YEAR(Sales!$N$1),MONTH(Sales!$N$1),1)+INT((DAY(Sales!$N$1)-1)/2)+'Cash Drivers'!O$13,0)=EOMONTH($CE$1,0),Sales!O$6,0)+IF(EOMONTH(DATE(YEAR(Sales!$K$1),MONTH(Sales!$K$1),1)+INT((DAY(Sales!$K$1)-1)/2)+'Cash Drivers'!L$13,0)=EOMONTH($CE$1,0),Sales!L$6,0)+IF(EOMONTH('Cash Drivers'!$DL$30+'Cash Drivers'!DM$13,0)=EOMONTH($CE$1,0),'Cash Drivers'!$DL$32,0),0)</f>
        <v>19</v>
      </c>
      <c r="CG18" s="46" t="n">
        <f aca="false">ROUND(IF(EOMONTH(DATE(YEAR(Sales!$DL$1),MONTH(Sales!$DL$1),1)+INT((DAY(Sales!$DL$1)-1)/2)+'Cash Drivers'!DN$13,0)=EOMONTH($CE$1,0),Sales!DN$6,0)+IF(EOMONTH(DATE(YEAR(Sales!$DI$1),MONTH(Sales!$DI$1),1)+INT((DAY(Sales!$DI$1)-1)/2)+'Cash Drivers'!DK$13,0)=EOMONTH($CE$1,0),Sales!DK$6,0)+IF(EOMONTH(DATE(YEAR(Sales!$DF$1),MONTH(Sales!$DF$1),1)+INT((DAY(Sales!$DF$1)-1)/2)+'Cash Drivers'!DH$13,0)=EOMONTH($CE$1,0),Sales!DH$6,0)+IF(EOMONTH(DATE(YEAR(Sales!$DC$1),MONTH(Sales!$DC$1),1)+INT((DAY(Sales!$DC$1)-1)/2)+'Cash Drivers'!DE$13,0)=EOMONTH($CE$1,0),Sales!DE$6,0)+IF(EOMONTH(DATE(YEAR(Sales!$CZ$1),MONTH(Sales!$CZ$1),1)+INT((DAY(Sales!$CZ$1)-1)/2)+'Cash Drivers'!DB$13,0)=EOMONTH($CE$1,0),Sales!DB$6,0)+IF(EOMONTH(DATE(YEAR(Sales!$CW$1),MONTH(Sales!$CW$1),1)+INT((DAY(Sales!$CW$1)-1)/2)+'Cash Drivers'!CY$13,0)=EOMONTH($CE$1,0),Sales!CY$6,0)+IF(EOMONTH(DATE(YEAR(Sales!$CT$1),MONTH(Sales!$CT$1),1)+INT((DAY(Sales!$CT$1)-1)/2)+'Cash Drivers'!CV$13,0)=EOMONTH($CE$1,0),Sales!CV$6,0)+IF(EOMONTH(DATE(YEAR(Sales!$CQ$1),MONTH(Sales!$CQ$1),1)+INT((DAY(Sales!$CQ$1)-1)/2)+'Cash Drivers'!CS$13,0)=EOMONTH($CE$1,0),Sales!CS$6,0)+IF(EOMONTH(DATE(YEAR(Sales!$CN$1),MONTH(Sales!$CN$1),1)+INT((DAY(Sales!$CN$1)-1)/2)+'Cash Drivers'!CP$13,0)=EOMONTH($CE$1,0),Sales!CP$6,0)+IF(EOMONTH(DATE(YEAR(Sales!$CK$1),MONTH(Sales!$CK$1),1)+INT((DAY(Sales!$CK$1)-1)/2)+'Cash Drivers'!CM$13,0)=EOMONTH($CE$1,0),Sales!CM$6,0)+IF(EOMONTH(DATE(YEAR(Sales!$CH$1),MONTH(Sales!$CH$1),1)+INT((DAY(Sales!$CH$1)-1)/2)+'Cash Drivers'!CJ$13,0)=EOMONTH($CE$1,0),Sales!CJ$6,0)+IF(EOMONTH(DATE(YEAR(Sales!$CE$1),MONTH(Sales!$CE$1),1)+INT((DAY(Sales!$CE$1)-1)/2)+'Cash Drivers'!CG$13,0)=EOMONTH($CE$1,0),Sales!CG$6,0)+IF(EOMONTH(DATE(YEAR(Sales!$CB$1),MONTH(Sales!$CB$1),1)+INT((DAY(Sales!$CB$1)-1)/2)+'Cash Drivers'!CD$13,0)=EOMONTH($CE$1,0),Sales!CD$6,0)+IF(EOMONTH(DATE(YEAR(Sales!$BY$1),MONTH(Sales!$BY$1),1)+INT((DAY(Sales!$BY$1)-1)/2)+'Cash Drivers'!CA$13,0)=EOMONTH($CE$1,0),Sales!CA$6,0)+IF(EOMONTH(DATE(YEAR(Sales!$BV$1),MONTH(Sales!$BV$1),1)+INT((DAY(Sales!$BV$1)-1)/2)+'Cash Drivers'!BX$13,0)=EOMONTH($CE$1,0),Sales!BX$6,0)+IF(EOMONTH(DATE(YEAR(Sales!$BS$1),MONTH(Sales!$BS$1),1)+INT((DAY(Sales!$BS$1)-1)/2)+'Cash Drivers'!BU$13,0)=EOMONTH($CE$1,0),Sales!BU$6,0)+IF(EOMONTH(DATE(YEAR(Sales!$BP$1),MONTH(Sales!$BP$1),1)+INT((DAY(Sales!$BP$1)-1)/2)+'Cash Drivers'!BR$13,0)=EOMONTH($CE$1,0),Sales!BR$6,0)+IF(EOMONTH(DATE(YEAR(Sales!$BM$1),MONTH(Sales!$BM$1),1)+INT((DAY(Sales!$BM$1)-1)/2)+'Cash Drivers'!BO$13,0)=EOMONTH($CE$1,0),Sales!BO$6,0)+IF(EOMONTH(DATE(YEAR(Sales!$BJ$1),MONTH(Sales!$BJ$1),1)+INT((DAY(Sales!$BJ$1)-1)/2)+'Cash Drivers'!BL$13,0)=EOMONTH($CE$1,0),Sales!BL$6,0)+IF(EOMONTH(DATE(YEAR(Sales!$BG$1),MONTH(Sales!$BG$1),1)+INT((DAY(Sales!$BG$1)-1)/2)+'Cash Drivers'!BI$13,0)=EOMONTH($CE$1,0),Sales!BI$6,0)+IF(EOMONTH(DATE(YEAR(Sales!$BD$1),MONTH(Sales!$BD$1),1)+INT((DAY(Sales!$BD$1)-1)/2)+'Cash Drivers'!BF$13,0)=EOMONTH($CE$1,0),Sales!BF$6,0)+IF(EOMONTH(DATE(YEAR(Sales!$BA$1),MONTH(Sales!$BA$1),1)+INT((DAY(Sales!$BA$1)-1)/2)+'Cash Drivers'!BC$13,0)=EOMONTH($CE$1,0),Sales!BC$6,0)+IF(EOMONTH(DATE(YEAR(Sales!$AX$1),MONTH(Sales!$AX$1),1)+INT((DAY(Sales!$AX$1)-1)/2)+'Cash Drivers'!AZ$13,0)=EOMONTH($CE$1,0),Sales!AZ$6,0)+IF(EOMONTH(DATE(YEAR(Sales!$AU$1),MONTH(Sales!$AU$1),1)+INT((DAY(Sales!$AU$1)-1)/2)+'Cash Drivers'!AW$13,0)=EOMONTH($CE$1,0),Sales!AW$6,0)+IF(EOMONTH(DATE(YEAR(Sales!$AR$1),MONTH(Sales!$AR$1),1)+INT((DAY(Sales!$AR$1)-1)/2)+'Cash Drivers'!AT$13,0)=EOMONTH($CE$1,0),Sales!AT$6,0)+IF(EOMONTH(DATE(YEAR(Sales!$AO$1),MONTH(Sales!$AO$1),1)+INT((DAY(Sales!$AO$1)-1)/2)+'Cash Drivers'!AQ$13,0)=EOMONTH($CE$1,0),Sales!AQ$6,0)+IF(EOMONTH(DATE(YEAR(Sales!$AL$1),MONTH(Sales!$AL$1),1)+INT((DAY(Sales!$AL$1)-1)/2)+'Cash Drivers'!AN$13,0)=EOMONTH($CE$1,0),Sales!AN$6,0)+IF(EOMONTH(DATE(YEAR(Sales!$AI$1),MONTH(Sales!$AI$1),1)+INT((DAY(Sales!$AI$1)-1)/2)+'Cash Drivers'!AK$13,0)=EOMONTH($CE$1,0),Sales!AK$6,0)+IF(EOMONTH(DATE(YEAR(Sales!$AF$1),MONTH(Sales!$AF$1),1)+INT((DAY(Sales!$AF$1)-1)/2)+'Cash Drivers'!AH$13,0)=EOMONTH($CE$1,0),Sales!AH$6,0)+IF(EOMONTH(DATE(YEAR(Sales!$AC$1),MONTH(Sales!$AC$1),1)+INT((DAY(Sales!$AC$1)-1)/2)+'Cash Drivers'!AE$13,0)=EOMONTH($CE$1,0),Sales!AE$6,0)+IF(EOMONTH(DATE(YEAR(Sales!$Z$1),MONTH(Sales!$Z$1),1)+INT((DAY(Sales!$Z$1)-1)/2)+'Cash Drivers'!AB$13,0)=EOMONTH($CE$1,0),Sales!AB$6,0)+IF(EOMONTH(DATE(YEAR(Sales!$W$1),MONTH(Sales!$W$1),1)+INT((DAY(Sales!$W$1)-1)/2)+'Cash Drivers'!Y$13,0)=EOMONTH($CE$1,0),Sales!Y$6,0)+IF(EOMONTH(DATE(YEAR(Sales!$T$1),MONTH(Sales!$T$1),1)+INT((DAY(Sales!$T$1)-1)/2)+'Cash Drivers'!V$13,0)=EOMONTH($CE$1,0),Sales!V$6,0)+IF(EOMONTH(DATE(YEAR(Sales!$Q$1),MONTH(Sales!$Q$1),1)+INT((DAY(Sales!$Q$1)-1)/2)+'Cash Drivers'!S$13,0)=EOMONTH($CE$1,0),Sales!S$6,0)+IF(EOMONTH(DATE(YEAR(Sales!$N$1),MONTH(Sales!$N$1),1)+INT((DAY(Sales!$N$1)-1)/2)+'Cash Drivers'!P$13,0)=EOMONTH($CE$1,0),Sales!P$6,0)+IF(EOMONTH(DATE(YEAR(Sales!$K$1),MONTH(Sales!$K$1),1)+INT((DAY(Sales!$K$1)-1)/2)+'Cash Drivers'!M$13,0)=EOMONTH($CE$1,0),Sales!M$6,0)+IF(EOMONTH('Cash Drivers'!$DL$30+'Cash Drivers'!DN$13,0)=EOMONTH($CE$1,0),'Cash Drivers'!$DL$32,0),0)</f>
        <v>19</v>
      </c>
      <c r="CH18" s="44" t="n">
        <f aca="false">ROUND(IF(EOMONTH(DATE(YEAR(Sales!$DL$1),MONTH(Sales!$DL$1),1)+INT((DAY(Sales!$DL$1)-1)/2)+'Cash Drivers'!DL$13,0)=EOMONTH($CH$1,0),Sales!DL$6,0)+IF(EOMONTH(DATE(YEAR(Sales!$DI$1),MONTH(Sales!$DI$1),1)+INT((DAY(Sales!$DI$1)-1)/2)+'Cash Drivers'!DI$13,0)=EOMONTH($CH$1,0),Sales!DI$6,0)+IF(EOMONTH(DATE(YEAR(Sales!$DF$1),MONTH(Sales!$DF$1),1)+INT((DAY(Sales!$DF$1)-1)/2)+'Cash Drivers'!DF$13,0)=EOMONTH($CH$1,0),Sales!DF$6,0)+IF(EOMONTH(DATE(YEAR(Sales!$DC$1),MONTH(Sales!$DC$1),1)+INT((DAY(Sales!$DC$1)-1)/2)+'Cash Drivers'!DC$13,0)=EOMONTH($CH$1,0),Sales!DC$6,0)+IF(EOMONTH(DATE(YEAR(Sales!$CZ$1),MONTH(Sales!$CZ$1),1)+INT((DAY(Sales!$CZ$1)-1)/2)+'Cash Drivers'!CZ$13,0)=EOMONTH($CH$1,0),Sales!CZ$6,0)+IF(EOMONTH(DATE(YEAR(Sales!$CW$1),MONTH(Sales!$CW$1),1)+INT((DAY(Sales!$CW$1)-1)/2)+'Cash Drivers'!CW$13,0)=EOMONTH($CH$1,0),Sales!CW$6,0)+IF(EOMONTH(DATE(YEAR(Sales!$CT$1),MONTH(Sales!$CT$1),1)+INT((DAY(Sales!$CT$1)-1)/2)+'Cash Drivers'!CT$13,0)=EOMONTH($CH$1,0),Sales!CT$6,0)+IF(EOMONTH(DATE(YEAR(Sales!$CQ$1),MONTH(Sales!$CQ$1),1)+INT((DAY(Sales!$CQ$1)-1)/2)+'Cash Drivers'!CQ$13,0)=EOMONTH($CH$1,0),Sales!CQ$6,0)+IF(EOMONTH(DATE(YEAR(Sales!$CN$1),MONTH(Sales!$CN$1),1)+INT((DAY(Sales!$CN$1)-1)/2)+'Cash Drivers'!CN$13,0)=EOMONTH($CH$1,0),Sales!CN$6,0)+IF(EOMONTH(DATE(YEAR(Sales!$CK$1),MONTH(Sales!$CK$1),1)+INT((DAY(Sales!$CK$1)-1)/2)+'Cash Drivers'!CK$13,0)=EOMONTH($CH$1,0),Sales!CK$6,0)+IF(EOMONTH(DATE(YEAR(Sales!$CH$1),MONTH(Sales!$CH$1),1)+INT((DAY(Sales!$CH$1)-1)/2)+'Cash Drivers'!CH$13,0)=EOMONTH($CH$1,0),Sales!CH$6,0)+IF(EOMONTH(DATE(YEAR(Sales!$CE$1),MONTH(Sales!$CE$1),1)+INT((DAY(Sales!$CE$1)-1)/2)+'Cash Drivers'!CE$13,0)=EOMONTH($CH$1,0),Sales!CE$6,0)+IF(EOMONTH(DATE(YEAR(Sales!$CB$1),MONTH(Sales!$CB$1),1)+INT((DAY(Sales!$CB$1)-1)/2)+'Cash Drivers'!CB$13,0)=EOMONTH($CH$1,0),Sales!CB$6,0)+IF(EOMONTH(DATE(YEAR(Sales!$BY$1),MONTH(Sales!$BY$1),1)+INT((DAY(Sales!$BY$1)-1)/2)+'Cash Drivers'!BY$13,0)=EOMONTH($CH$1,0),Sales!BY$6,0)+IF(EOMONTH(DATE(YEAR(Sales!$BV$1),MONTH(Sales!$BV$1),1)+INT((DAY(Sales!$BV$1)-1)/2)+'Cash Drivers'!BV$13,0)=EOMONTH($CH$1,0),Sales!BV$6,0)+IF(EOMONTH(DATE(YEAR(Sales!$BS$1),MONTH(Sales!$BS$1),1)+INT((DAY(Sales!$BS$1)-1)/2)+'Cash Drivers'!BS$13,0)=EOMONTH($CH$1,0),Sales!BS$6,0)+IF(EOMONTH(DATE(YEAR(Sales!$BP$1),MONTH(Sales!$BP$1),1)+INT((DAY(Sales!$BP$1)-1)/2)+'Cash Drivers'!BP$13,0)=EOMONTH($CH$1,0),Sales!BP$6,0)+IF(EOMONTH(DATE(YEAR(Sales!$BM$1),MONTH(Sales!$BM$1),1)+INT((DAY(Sales!$BM$1)-1)/2)+'Cash Drivers'!BM$13,0)=EOMONTH($CH$1,0),Sales!BM$6,0)+IF(EOMONTH(DATE(YEAR(Sales!$BJ$1),MONTH(Sales!$BJ$1),1)+INT((DAY(Sales!$BJ$1)-1)/2)+'Cash Drivers'!BJ$13,0)=EOMONTH($CH$1,0),Sales!BJ$6,0)+IF(EOMONTH(DATE(YEAR(Sales!$BG$1),MONTH(Sales!$BG$1),1)+INT((DAY(Sales!$BG$1)-1)/2)+'Cash Drivers'!BG$13,0)=EOMONTH($CH$1,0),Sales!BG$6,0)+IF(EOMONTH(DATE(YEAR(Sales!$BD$1),MONTH(Sales!$BD$1),1)+INT((DAY(Sales!$BD$1)-1)/2)+'Cash Drivers'!BD$13,0)=EOMONTH($CH$1,0),Sales!BD$6,0)+IF(EOMONTH(DATE(YEAR(Sales!$BA$1),MONTH(Sales!$BA$1),1)+INT((DAY(Sales!$BA$1)-1)/2)+'Cash Drivers'!BA$13,0)=EOMONTH($CH$1,0),Sales!BA$6,0)+IF(EOMONTH(DATE(YEAR(Sales!$AX$1),MONTH(Sales!$AX$1),1)+INT((DAY(Sales!$AX$1)-1)/2)+'Cash Drivers'!AX$13,0)=EOMONTH($CH$1,0),Sales!AX$6,0)+IF(EOMONTH(DATE(YEAR(Sales!$AU$1),MONTH(Sales!$AU$1),1)+INT((DAY(Sales!$AU$1)-1)/2)+'Cash Drivers'!AU$13,0)=EOMONTH($CH$1,0),Sales!AU$6,0)+IF(EOMONTH(DATE(YEAR(Sales!$AR$1),MONTH(Sales!$AR$1),1)+INT((DAY(Sales!$AR$1)-1)/2)+'Cash Drivers'!AR$13,0)=EOMONTH($CH$1,0),Sales!AR$6,0)+IF(EOMONTH(DATE(YEAR(Sales!$AO$1),MONTH(Sales!$AO$1),1)+INT((DAY(Sales!$AO$1)-1)/2)+'Cash Drivers'!AO$13,0)=EOMONTH($CH$1,0),Sales!AO$6,0)+IF(EOMONTH(DATE(YEAR(Sales!$AL$1),MONTH(Sales!$AL$1),1)+INT((DAY(Sales!$AL$1)-1)/2)+'Cash Drivers'!AL$13,0)=EOMONTH($CH$1,0),Sales!AL$6,0)+IF(EOMONTH(DATE(YEAR(Sales!$AI$1),MONTH(Sales!$AI$1),1)+INT((DAY(Sales!$AI$1)-1)/2)+'Cash Drivers'!AI$13,0)=EOMONTH($CH$1,0),Sales!AI$6,0)+IF(EOMONTH(DATE(YEAR(Sales!$AF$1),MONTH(Sales!$AF$1),1)+INT((DAY(Sales!$AF$1)-1)/2)+'Cash Drivers'!AF$13,0)=EOMONTH($CH$1,0),Sales!AF$6,0)+IF(EOMONTH(DATE(YEAR(Sales!$AC$1),MONTH(Sales!$AC$1),1)+INT((DAY(Sales!$AC$1)-1)/2)+'Cash Drivers'!AC$13,0)=EOMONTH($CH$1,0),Sales!AC$6,0)+IF(EOMONTH(DATE(YEAR(Sales!$Z$1),MONTH(Sales!$Z$1),1)+INT((DAY(Sales!$Z$1)-1)/2)+'Cash Drivers'!Z$13,0)=EOMONTH($CH$1,0),Sales!Z$6,0)+IF(EOMONTH(DATE(YEAR(Sales!$W$1),MONTH(Sales!$W$1),1)+INT((DAY(Sales!$W$1)-1)/2)+'Cash Drivers'!W$13,0)=EOMONTH($CH$1,0),Sales!W$6,0)+IF(EOMONTH(DATE(YEAR(Sales!$T$1),MONTH(Sales!$T$1),1)+INT((DAY(Sales!$T$1)-1)/2)+'Cash Drivers'!T$13,0)=EOMONTH($CH$1,0),Sales!T$6,0)+IF(EOMONTH(DATE(YEAR(Sales!$Q$1),MONTH(Sales!$Q$1),1)+INT((DAY(Sales!$Q$1)-1)/2)+'Cash Drivers'!Q$13,0)=EOMONTH($CH$1,0),Sales!Q$6,0)+IF(EOMONTH(DATE(YEAR(Sales!$N$1),MONTH(Sales!$N$1),1)+INT((DAY(Sales!$N$1)-1)/2)+'Cash Drivers'!N$13,0)=EOMONTH($CH$1,0),Sales!N$6,0)+IF(EOMONTH(DATE(YEAR(Sales!$K$1),MONTH(Sales!$K$1),1)+INT((DAY(Sales!$K$1)-1)/2)+'Cash Drivers'!K$13,0)=EOMONTH($CH$1,0),Sales!K$6,0)+IF(EOMONTH('Cash Drivers'!$DL$30+'Cash Drivers'!DL$13,0)=EOMONTH($CH$1,0),'Cash Drivers'!$DL$32,0),0)</f>
        <v>0</v>
      </c>
      <c r="CI18" s="45" t="n">
        <f aca="false">ROUND(IF(EOMONTH(DATE(YEAR(Sales!$DL$1),MONTH(Sales!$DL$1),1)+INT((DAY(Sales!$DL$1)-1)/2)+'Cash Drivers'!DM$13,0)=EOMONTH($CH$1,0),Sales!DM$6,0)+IF(EOMONTH(DATE(YEAR(Sales!$DI$1),MONTH(Sales!$DI$1),1)+INT((DAY(Sales!$DI$1)-1)/2)+'Cash Drivers'!DJ$13,0)=EOMONTH($CH$1,0),Sales!DJ$6,0)+IF(EOMONTH(DATE(YEAR(Sales!$DF$1),MONTH(Sales!$DF$1),1)+INT((DAY(Sales!$DF$1)-1)/2)+'Cash Drivers'!DG$13,0)=EOMONTH($CH$1,0),Sales!DG$6,0)+IF(EOMONTH(DATE(YEAR(Sales!$DC$1),MONTH(Sales!$DC$1),1)+INT((DAY(Sales!$DC$1)-1)/2)+'Cash Drivers'!DD$13,0)=EOMONTH($CH$1,0),Sales!DD$6,0)+IF(EOMONTH(DATE(YEAR(Sales!$CZ$1),MONTH(Sales!$CZ$1),1)+INT((DAY(Sales!$CZ$1)-1)/2)+'Cash Drivers'!DA$13,0)=EOMONTH($CH$1,0),Sales!DA$6,0)+IF(EOMONTH(DATE(YEAR(Sales!$CW$1),MONTH(Sales!$CW$1),1)+INT((DAY(Sales!$CW$1)-1)/2)+'Cash Drivers'!CX$13,0)=EOMONTH($CH$1,0),Sales!CX$6,0)+IF(EOMONTH(DATE(YEAR(Sales!$CT$1),MONTH(Sales!$CT$1),1)+INT((DAY(Sales!$CT$1)-1)/2)+'Cash Drivers'!CU$13,0)=EOMONTH($CH$1,0),Sales!CU$6,0)+IF(EOMONTH(DATE(YEAR(Sales!$CQ$1),MONTH(Sales!$CQ$1),1)+INT((DAY(Sales!$CQ$1)-1)/2)+'Cash Drivers'!CR$13,0)=EOMONTH($CH$1,0),Sales!CR$6,0)+IF(EOMONTH(DATE(YEAR(Sales!$CN$1),MONTH(Sales!$CN$1),1)+INT((DAY(Sales!$CN$1)-1)/2)+'Cash Drivers'!CO$13,0)=EOMONTH($CH$1,0),Sales!CO$6,0)+IF(EOMONTH(DATE(YEAR(Sales!$CK$1),MONTH(Sales!$CK$1),1)+INT((DAY(Sales!$CK$1)-1)/2)+'Cash Drivers'!CL$13,0)=EOMONTH($CH$1,0),Sales!CL$6,0)+IF(EOMONTH(DATE(YEAR(Sales!$CH$1),MONTH(Sales!$CH$1),1)+INT((DAY(Sales!$CH$1)-1)/2)+'Cash Drivers'!CI$13,0)=EOMONTH($CH$1,0),Sales!CI$6,0)+IF(EOMONTH(DATE(YEAR(Sales!$CE$1),MONTH(Sales!$CE$1),1)+INT((DAY(Sales!$CE$1)-1)/2)+'Cash Drivers'!CF$13,0)=EOMONTH($CH$1,0),Sales!CF$6,0)+IF(EOMONTH(DATE(YEAR(Sales!$CB$1),MONTH(Sales!$CB$1),1)+INT((DAY(Sales!$CB$1)-1)/2)+'Cash Drivers'!CC$13,0)=EOMONTH($CH$1,0),Sales!CC$6,0)+IF(EOMONTH(DATE(YEAR(Sales!$BY$1),MONTH(Sales!$BY$1),1)+INT((DAY(Sales!$BY$1)-1)/2)+'Cash Drivers'!BZ$13,0)=EOMONTH($CH$1,0),Sales!BZ$6,0)+IF(EOMONTH(DATE(YEAR(Sales!$BV$1),MONTH(Sales!$BV$1),1)+INT((DAY(Sales!$BV$1)-1)/2)+'Cash Drivers'!BW$13,0)=EOMONTH($CH$1,0),Sales!BW$6,0)+IF(EOMONTH(DATE(YEAR(Sales!$BS$1),MONTH(Sales!$BS$1),1)+INT((DAY(Sales!$BS$1)-1)/2)+'Cash Drivers'!BT$13,0)=EOMONTH($CH$1,0),Sales!BT$6,0)+IF(EOMONTH(DATE(YEAR(Sales!$BP$1),MONTH(Sales!$BP$1),1)+INT((DAY(Sales!$BP$1)-1)/2)+'Cash Drivers'!BQ$13,0)=EOMONTH($CH$1,0),Sales!BQ$6,0)+IF(EOMONTH(DATE(YEAR(Sales!$BM$1),MONTH(Sales!$BM$1),1)+INT((DAY(Sales!$BM$1)-1)/2)+'Cash Drivers'!BN$13,0)=EOMONTH($CH$1,0),Sales!BN$6,0)+IF(EOMONTH(DATE(YEAR(Sales!$BJ$1),MONTH(Sales!$BJ$1),1)+INT((DAY(Sales!$BJ$1)-1)/2)+'Cash Drivers'!BK$13,0)=EOMONTH($CH$1,0),Sales!BK$6,0)+IF(EOMONTH(DATE(YEAR(Sales!$BG$1),MONTH(Sales!$BG$1),1)+INT((DAY(Sales!$BG$1)-1)/2)+'Cash Drivers'!BH$13,0)=EOMONTH($CH$1,0),Sales!BH$6,0)+IF(EOMONTH(DATE(YEAR(Sales!$BD$1),MONTH(Sales!$BD$1),1)+INT((DAY(Sales!$BD$1)-1)/2)+'Cash Drivers'!BE$13,0)=EOMONTH($CH$1,0),Sales!BE$6,0)+IF(EOMONTH(DATE(YEAR(Sales!$BA$1),MONTH(Sales!$BA$1),1)+INT((DAY(Sales!$BA$1)-1)/2)+'Cash Drivers'!BB$13,0)=EOMONTH($CH$1,0),Sales!BB$6,0)+IF(EOMONTH(DATE(YEAR(Sales!$AX$1),MONTH(Sales!$AX$1),1)+INT((DAY(Sales!$AX$1)-1)/2)+'Cash Drivers'!AY$13,0)=EOMONTH($CH$1,0),Sales!AY$6,0)+IF(EOMONTH(DATE(YEAR(Sales!$AU$1),MONTH(Sales!$AU$1),1)+INT((DAY(Sales!$AU$1)-1)/2)+'Cash Drivers'!AV$13,0)=EOMONTH($CH$1,0),Sales!AV$6,0)+IF(EOMONTH(DATE(YEAR(Sales!$AR$1),MONTH(Sales!$AR$1),1)+INT((DAY(Sales!$AR$1)-1)/2)+'Cash Drivers'!AS$13,0)=EOMONTH($CH$1,0),Sales!AS$6,0)+IF(EOMONTH(DATE(YEAR(Sales!$AO$1),MONTH(Sales!$AO$1),1)+INT((DAY(Sales!$AO$1)-1)/2)+'Cash Drivers'!AP$13,0)=EOMONTH($CH$1,0),Sales!AP$6,0)+IF(EOMONTH(DATE(YEAR(Sales!$AL$1),MONTH(Sales!$AL$1),1)+INT((DAY(Sales!$AL$1)-1)/2)+'Cash Drivers'!AM$13,0)=EOMONTH($CH$1,0),Sales!AM$6,0)+IF(EOMONTH(DATE(YEAR(Sales!$AI$1),MONTH(Sales!$AI$1),1)+INT((DAY(Sales!$AI$1)-1)/2)+'Cash Drivers'!AJ$13,0)=EOMONTH($CH$1,0),Sales!AJ$6,0)+IF(EOMONTH(DATE(YEAR(Sales!$AF$1),MONTH(Sales!$AF$1),1)+INT((DAY(Sales!$AF$1)-1)/2)+'Cash Drivers'!AG$13,0)=EOMONTH($CH$1,0),Sales!AG$6,0)+IF(EOMONTH(DATE(YEAR(Sales!$AC$1),MONTH(Sales!$AC$1),1)+INT((DAY(Sales!$AC$1)-1)/2)+'Cash Drivers'!AD$13,0)=EOMONTH($CH$1,0),Sales!AD$6,0)+IF(EOMONTH(DATE(YEAR(Sales!$Z$1),MONTH(Sales!$Z$1),1)+INT((DAY(Sales!$Z$1)-1)/2)+'Cash Drivers'!AA$13,0)=EOMONTH($CH$1,0),Sales!AA$6,0)+IF(EOMONTH(DATE(YEAR(Sales!$W$1),MONTH(Sales!$W$1),1)+INT((DAY(Sales!$W$1)-1)/2)+'Cash Drivers'!X$13,0)=EOMONTH($CH$1,0),Sales!X$6,0)+IF(EOMONTH(DATE(YEAR(Sales!$T$1),MONTH(Sales!$T$1),1)+INT((DAY(Sales!$T$1)-1)/2)+'Cash Drivers'!U$13,0)=EOMONTH($CH$1,0),Sales!U$6,0)+IF(EOMONTH(DATE(YEAR(Sales!$Q$1),MONTH(Sales!$Q$1),1)+INT((DAY(Sales!$Q$1)-1)/2)+'Cash Drivers'!R$13,0)=EOMONTH($CH$1,0),Sales!R$6,0)+IF(EOMONTH(DATE(YEAR(Sales!$N$1),MONTH(Sales!$N$1),1)+INT((DAY(Sales!$N$1)-1)/2)+'Cash Drivers'!O$13,0)=EOMONTH($CH$1,0),Sales!O$6,0)+IF(EOMONTH(DATE(YEAR(Sales!$K$1),MONTH(Sales!$K$1),1)+INT((DAY(Sales!$K$1)-1)/2)+'Cash Drivers'!L$13,0)=EOMONTH($CH$1,0),Sales!L$6,0)+IF(EOMONTH('Cash Drivers'!$DL$30+'Cash Drivers'!DM$13,0)=EOMONTH($CH$1,0),'Cash Drivers'!$DL$32,0),0)</f>
        <v>19</v>
      </c>
      <c r="CJ18" s="46" t="n">
        <f aca="false">ROUND(IF(EOMONTH(DATE(YEAR(Sales!$DL$1),MONTH(Sales!$DL$1),1)+INT((DAY(Sales!$DL$1)-1)/2)+'Cash Drivers'!DN$13,0)=EOMONTH($CH$1,0),Sales!DN$6,0)+IF(EOMONTH(DATE(YEAR(Sales!$DI$1),MONTH(Sales!$DI$1),1)+INT((DAY(Sales!$DI$1)-1)/2)+'Cash Drivers'!DK$13,0)=EOMONTH($CH$1,0),Sales!DK$6,0)+IF(EOMONTH(DATE(YEAR(Sales!$DF$1),MONTH(Sales!$DF$1),1)+INT((DAY(Sales!$DF$1)-1)/2)+'Cash Drivers'!DH$13,0)=EOMONTH($CH$1,0),Sales!DH$6,0)+IF(EOMONTH(DATE(YEAR(Sales!$DC$1),MONTH(Sales!$DC$1),1)+INT((DAY(Sales!$DC$1)-1)/2)+'Cash Drivers'!DE$13,0)=EOMONTH($CH$1,0),Sales!DE$6,0)+IF(EOMONTH(DATE(YEAR(Sales!$CZ$1),MONTH(Sales!$CZ$1),1)+INT((DAY(Sales!$CZ$1)-1)/2)+'Cash Drivers'!DB$13,0)=EOMONTH($CH$1,0),Sales!DB$6,0)+IF(EOMONTH(DATE(YEAR(Sales!$CW$1),MONTH(Sales!$CW$1),1)+INT((DAY(Sales!$CW$1)-1)/2)+'Cash Drivers'!CY$13,0)=EOMONTH($CH$1,0),Sales!CY$6,0)+IF(EOMONTH(DATE(YEAR(Sales!$CT$1),MONTH(Sales!$CT$1),1)+INT((DAY(Sales!$CT$1)-1)/2)+'Cash Drivers'!CV$13,0)=EOMONTH($CH$1,0),Sales!CV$6,0)+IF(EOMONTH(DATE(YEAR(Sales!$CQ$1),MONTH(Sales!$CQ$1),1)+INT((DAY(Sales!$CQ$1)-1)/2)+'Cash Drivers'!CS$13,0)=EOMONTH($CH$1,0),Sales!CS$6,0)+IF(EOMONTH(DATE(YEAR(Sales!$CN$1),MONTH(Sales!$CN$1),1)+INT((DAY(Sales!$CN$1)-1)/2)+'Cash Drivers'!CP$13,0)=EOMONTH($CH$1,0),Sales!CP$6,0)+IF(EOMONTH(DATE(YEAR(Sales!$CK$1),MONTH(Sales!$CK$1),1)+INT((DAY(Sales!$CK$1)-1)/2)+'Cash Drivers'!CM$13,0)=EOMONTH($CH$1,0),Sales!CM$6,0)+IF(EOMONTH(DATE(YEAR(Sales!$CH$1),MONTH(Sales!$CH$1),1)+INT((DAY(Sales!$CH$1)-1)/2)+'Cash Drivers'!CJ$13,0)=EOMONTH($CH$1,0),Sales!CJ$6,0)+IF(EOMONTH(DATE(YEAR(Sales!$CE$1),MONTH(Sales!$CE$1),1)+INT((DAY(Sales!$CE$1)-1)/2)+'Cash Drivers'!CG$13,0)=EOMONTH($CH$1,0),Sales!CG$6,0)+IF(EOMONTH(DATE(YEAR(Sales!$CB$1),MONTH(Sales!$CB$1),1)+INT((DAY(Sales!$CB$1)-1)/2)+'Cash Drivers'!CD$13,0)=EOMONTH($CH$1,0),Sales!CD$6,0)+IF(EOMONTH(DATE(YEAR(Sales!$BY$1),MONTH(Sales!$BY$1),1)+INT((DAY(Sales!$BY$1)-1)/2)+'Cash Drivers'!CA$13,0)=EOMONTH($CH$1,0),Sales!CA$6,0)+IF(EOMONTH(DATE(YEAR(Sales!$BV$1),MONTH(Sales!$BV$1),1)+INT((DAY(Sales!$BV$1)-1)/2)+'Cash Drivers'!BX$13,0)=EOMONTH($CH$1,0),Sales!BX$6,0)+IF(EOMONTH(DATE(YEAR(Sales!$BS$1),MONTH(Sales!$BS$1),1)+INT((DAY(Sales!$BS$1)-1)/2)+'Cash Drivers'!BU$13,0)=EOMONTH($CH$1,0),Sales!BU$6,0)+IF(EOMONTH(DATE(YEAR(Sales!$BP$1),MONTH(Sales!$BP$1),1)+INT((DAY(Sales!$BP$1)-1)/2)+'Cash Drivers'!BR$13,0)=EOMONTH($CH$1,0),Sales!BR$6,0)+IF(EOMONTH(DATE(YEAR(Sales!$BM$1),MONTH(Sales!$BM$1),1)+INT((DAY(Sales!$BM$1)-1)/2)+'Cash Drivers'!BO$13,0)=EOMONTH($CH$1,0),Sales!BO$6,0)+IF(EOMONTH(DATE(YEAR(Sales!$BJ$1),MONTH(Sales!$BJ$1),1)+INT((DAY(Sales!$BJ$1)-1)/2)+'Cash Drivers'!BL$13,0)=EOMONTH($CH$1,0),Sales!BL$6,0)+IF(EOMONTH(DATE(YEAR(Sales!$BG$1),MONTH(Sales!$BG$1),1)+INT((DAY(Sales!$BG$1)-1)/2)+'Cash Drivers'!BI$13,0)=EOMONTH($CH$1,0),Sales!BI$6,0)+IF(EOMONTH(DATE(YEAR(Sales!$BD$1),MONTH(Sales!$BD$1),1)+INT((DAY(Sales!$BD$1)-1)/2)+'Cash Drivers'!BF$13,0)=EOMONTH($CH$1,0),Sales!BF$6,0)+IF(EOMONTH(DATE(YEAR(Sales!$BA$1),MONTH(Sales!$BA$1),1)+INT((DAY(Sales!$BA$1)-1)/2)+'Cash Drivers'!BC$13,0)=EOMONTH($CH$1,0),Sales!BC$6,0)+IF(EOMONTH(DATE(YEAR(Sales!$AX$1),MONTH(Sales!$AX$1),1)+INT((DAY(Sales!$AX$1)-1)/2)+'Cash Drivers'!AZ$13,0)=EOMONTH($CH$1,0),Sales!AZ$6,0)+IF(EOMONTH(DATE(YEAR(Sales!$AU$1),MONTH(Sales!$AU$1),1)+INT((DAY(Sales!$AU$1)-1)/2)+'Cash Drivers'!AW$13,0)=EOMONTH($CH$1,0),Sales!AW$6,0)+IF(EOMONTH(DATE(YEAR(Sales!$AR$1),MONTH(Sales!$AR$1),1)+INT((DAY(Sales!$AR$1)-1)/2)+'Cash Drivers'!AT$13,0)=EOMONTH($CH$1,0),Sales!AT$6,0)+IF(EOMONTH(DATE(YEAR(Sales!$AO$1),MONTH(Sales!$AO$1),1)+INT((DAY(Sales!$AO$1)-1)/2)+'Cash Drivers'!AQ$13,0)=EOMONTH($CH$1,0),Sales!AQ$6,0)+IF(EOMONTH(DATE(YEAR(Sales!$AL$1),MONTH(Sales!$AL$1),1)+INT((DAY(Sales!$AL$1)-1)/2)+'Cash Drivers'!AN$13,0)=EOMONTH($CH$1,0),Sales!AN$6,0)+IF(EOMONTH(DATE(YEAR(Sales!$AI$1),MONTH(Sales!$AI$1),1)+INT((DAY(Sales!$AI$1)-1)/2)+'Cash Drivers'!AK$13,0)=EOMONTH($CH$1,0),Sales!AK$6,0)+IF(EOMONTH(DATE(YEAR(Sales!$AF$1),MONTH(Sales!$AF$1),1)+INT((DAY(Sales!$AF$1)-1)/2)+'Cash Drivers'!AH$13,0)=EOMONTH($CH$1,0),Sales!AH$6,0)+IF(EOMONTH(DATE(YEAR(Sales!$AC$1),MONTH(Sales!$AC$1),1)+INT((DAY(Sales!$AC$1)-1)/2)+'Cash Drivers'!AE$13,0)=EOMONTH($CH$1,0),Sales!AE$6,0)+IF(EOMONTH(DATE(YEAR(Sales!$Z$1),MONTH(Sales!$Z$1),1)+INT((DAY(Sales!$Z$1)-1)/2)+'Cash Drivers'!AB$13,0)=EOMONTH($CH$1,0),Sales!AB$6,0)+IF(EOMONTH(DATE(YEAR(Sales!$W$1),MONTH(Sales!$W$1),1)+INT((DAY(Sales!$W$1)-1)/2)+'Cash Drivers'!Y$13,0)=EOMONTH($CH$1,0),Sales!Y$6,0)+IF(EOMONTH(DATE(YEAR(Sales!$T$1),MONTH(Sales!$T$1),1)+INT((DAY(Sales!$T$1)-1)/2)+'Cash Drivers'!V$13,0)=EOMONTH($CH$1,0),Sales!V$6,0)+IF(EOMONTH(DATE(YEAR(Sales!$Q$1),MONTH(Sales!$Q$1),1)+INT((DAY(Sales!$Q$1)-1)/2)+'Cash Drivers'!S$13,0)=EOMONTH($CH$1,0),Sales!S$6,0)+IF(EOMONTH(DATE(YEAR(Sales!$N$1),MONTH(Sales!$N$1),1)+INT((DAY(Sales!$N$1)-1)/2)+'Cash Drivers'!P$13,0)=EOMONTH($CH$1,0),Sales!P$6,0)+IF(EOMONTH(DATE(YEAR(Sales!$K$1),MONTH(Sales!$K$1),1)+INT((DAY(Sales!$K$1)-1)/2)+'Cash Drivers'!M$13,0)=EOMONTH($CH$1,0),Sales!M$6,0)+IF(EOMONTH('Cash Drivers'!$DL$30+'Cash Drivers'!DN$13,0)=EOMONTH($CH$1,0),'Cash Drivers'!$DL$32,0),0)</f>
        <v>19</v>
      </c>
      <c r="CK18" s="44" t="n">
        <f aca="false">ROUND(IF(EOMONTH(DATE(YEAR(Sales!$DL$1),MONTH(Sales!$DL$1),1)+INT((DAY(Sales!$DL$1)-1)/2)+'Cash Drivers'!DL$13,0)=EOMONTH($CK$1,0),Sales!DL$6,0)+IF(EOMONTH(DATE(YEAR(Sales!$DI$1),MONTH(Sales!$DI$1),1)+INT((DAY(Sales!$DI$1)-1)/2)+'Cash Drivers'!DI$13,0)=EOMONTH($CK$1,0),Sales!DI$6,0)+IF(EOMONTH(DATE(YEAR(Sales!$DF$1),MONTH(Sales!$DF$1),1)+INT((DAY(Sales!$DF$1)-1)/2)+'Cash Drivers'!DF$13,0)=EOMONTH($CK$1,0),Sales!DF$6,0)+IF(EOMONTH(DATE(YEAR(Sales!$DC$1),MONTH(Sales!$DC$1),1)+INT((DAY(Sales!$DC$1)-1)/2)+'Cash Drivers'!DC$13,0)=EOMONTH($CK$1,0),Sales!DC$6,0)+IF(EOMONTH(DATE(YEAR(Sales!$CZ$1),MONTH(Sales!$CZ$1),1)+INT((DAY(Sales!$CZ$1)-1)/2)+'Cash Drivers'!CZ$13,0)=EOMONTH($CK$1,0),Sales!CZ$6,0)+IF(EOMONTH(DATE(YEAR(Sales!$CW$1),MONTH(Sales!$CW$1),1)+INT((DAY(Sales!$CW$1)-1)/2)+'Cash Drivers'!CW$13,0)=EOMONTH($CK$1,0),Sales!CW$6,0)+IF(EOMONTH(DATE(YEAR(Sales!$CT$1),MONTH(Sales!$CT$1),1)+INT((DAY(Sales!$CT$1)-1)/2)+'Cash Drivers'!CT$13,0)=EOMONTH($CK$1,0),Sales!CT$6,0)+IF(EOMONTH(DATE(YEAR(Sales!$CQ$1),MONTH(Sales!$CQ$1),1)+INT((DAY(Sales!$CQ$1)-1)/2)+'Cash Drivers'!CQ$13,0)=EOMONTH($CK$1,0),Sales!CQ$6,0)+IF(EOMONTH(DATE(YEAR(Sales!$CN$1),MONTH(Sales!$CN$1),1)+INT((DAY(Sales!$CN$1)-1)/2)+'Cash Drivers'!CN$13,0)=EOMONTH($CK$1,0),Sales!CN$6,0)+IF(EOMONTH(DATE(YEAR(Sales!$CK$1),MONTH(Sales!$CK$1),1)+INT((DAY(Sales!$CK$1)-1)/2)+'Cash Drivers'!CK$13,0)=EOMONTH($CK$1,0),Sales!CK$6,0)+IF(EOMONTH(DATE(YEAR(Sales!$CH$1),MONTH(Sales!$CH$1),1)+INT((DAY(Sales!$CH$1)-1)/2)+'Cash Drivers'!CH$13,0)=EOMONTH($CK$1,0),Sales!CH$6,0)+IF(EOMONTH(DATE(YEAR(Sales!$CE$1),MONTH(Sales!$CE$1),1)+INT((DAY(Sales!$CE$1)-1)/2)+'Cash Drivers'!CE$13,0)=EOMONTH($CK$1,0),Sales!CE$6,0)+IF(EOMONTH(DATE(YEAR(Sales!$CB$1),MONTH(Sales!$CB$1),1)+INT((DAY(Sales!$CB$1)-1)/2)+'Cash Drivers'!CB$13,0)=EOMONTH($CK$1,0),Sales!CB$6,0)+IF(EOMONTH(DATE(YEAR(Sales!$BY$1),MONTH(Sales!$BY$1),1)+INT((DAY(Sales!$BY$1)-1)/2)+'Cash Drivers'!BY$13,0)=EOMONTH($CK$1,0),Sales!BY$6,0)+IF(EOMONTH(DATE(YEAR(Sales!$BV$1),MONTH(Sales!$BV$1),1)+INT((DAY(Sales!$BV$1)-1)/2)+'Cash Drivers'!BV$13,0)=EOMONTH($CK$1,0),Sales!BV$6,0)+IF(EOMONTH(DATE(YEAR(Sales!$BS$1),MONTH(Sales!$BS$1),1)+INT((DAY(Sales!$BS$1)-1)/2)+'Cash Drivers'!BS$13,0)=EOMONTH($CK$1,0),Sales!BS$6,0)+IF(EOMONTH(DATE(YEAR(Sales!$BP$1),MONTH(Sales!$BP$1),1)+INT((DAY(Sales!$BP$1)-1)/2)+'Cash Drivers'!BP$13,0)=EOMONTH($CK$1,0),Sales!BP$6,0)+IF(EOMONTH(DATE(YEAR(Sales!$BM$1),MONTH(Sales!$BM$1),1)+INT((DAY(Sales!$BM$1)-1)/2)+'Cash Drivers'!BM$13,0)=EOMONTH($CK$1,0),Sales!BM$6,0)+IF(EOMONTH(DATE(YEAR(Sales!$BJ$1),MONTH(Sales!$BJ$1),1)+INT((DAY(Sales!$BJ$1)-1)/2)+'Cash Drivers'!BJ$13,0)=EOMONTH($CK$1,0),Sales!BJ$6,0)+IF(EOMONTH(DATE(YEAR(Sales!$BG$1),MONTH(Sales!$BG$1),1)+INT((DAY(Sales!$BG$1)-1)/2)+'Cash Drivers'!BG$13,0)=EOMONTH($CK$1,0),Sales!BG$6,0)+IF(EOMONTH(DATE(YEAR(Sales!$BD$1),MONTH(Sales!$BD$1),1)+INT((DAY(Sales!$BD$1)-1)/2)+'Cash Drivers'!BD$13,0)=EOMONTH($CK$1,0),Sales!BD$6,0)+IF(EOMONTH(DATE(YEAR(Sales!$BA$1),MONTH(Sales!$BA$1),1)+INT((DAY(Sales!$BA$1)-1)/2)+'Cash Drivers'!BA$13,0)=EOMONTH($CK$1,0),Sales!BA$6,0)+IF(EOMONTH(DATE(YEAR(Sales!$AX$1),MONTH(Sales!$AX$1),1)+INT((DAY(Sales!$AX$1)-1)/2)+'Cash Drivers'!AX$13,0)=EOMONTH($CK$1,0),Sales!AX$6,0)+IF(EOMONTH(DATE(YEAR(Sales!$AU$1),MONTH(Sales!$AU$1),1)+INT((DAY(Sales!$AU$1)-1)/2)+'Cash Drivers'!AU$13,0)=EOMONTH($CK$1,0),Sales!AU$6,0)+IF(EOMONTH(DATE(YEAR(Sales!$AR$1),MONTH(Sales!$AR$1),1)+INT((DAY(Sales!$AR$1)-1)/2)+'Cash Drivers'!AR$13,0)=EOMONTH($CK$1,0),Sales!AR$6,0)+IF(EOMONTH(DATE(YEAR(Sales!$AO$1),MONTH(Sales!$AO$1),1)+INT((DAY(Sales!$AO$1)-1)/2)+'Cash Drivers'!AO$13,0)=EOMONTH($CK$1,0),Sales!AO$6,0)+IF(EOMONTH(DATE(YEAR(Sales!$AL$1),MONTH(Sales!$AL$1),1)+INT((DAY(Sales!$AL$1)-1)/2)+'Cash Drivers'!AL$13,0)=EOMONTH($CK$1,0),Sales!AL$6,0)+IF(EOMONTH(DATE(YEAR(Sales!$AI$1),MONTH(Sales!$AI$1),1)+INT((DAY(Sales!$AI$1)-1)/2)+'Cash Drivers'!AI$13,0)=EOMONTH($CK$1,0),Sales!AI$6,0)+IF(EOMONTH(DATE(YEAR(Sales!$AF$1),MONTH(Sales!$AF$1),1)+INT((DAY(Sales!$AF$1)-1)/2)+'Cash Drivers'!AF$13,0)=EOMONTH($CK$1,0),Sales!AF$6,0)+IF(EOMONTH(DATE(YEAR(Sales!$AC$1),MONTH(Sales!$AC$1),1)+INT((DAY(Sales!$AC$1)-1)/2)+'Cash Drivers'!AC$13,0)=EOMONTH($CK$1,0),Sales!AC$6,0)+IF(EOMONTH(DATE(YEAR(Sales!$Z$1),MONTH(Sales!$Z$1),1)+INT((DAY(Sales!$Z$1)-1)/2)+'Cash Drivers'!Z$13,0)=EOMONTH($CK$1,0),Sales!Z$6,0)+IF(EOMONTH(DATE(YEAR(Sales!$W$1),MONTH(Sales!$W$1),1)+INT((DAY(Sales!$W$1)-1)/2)+'Cash Drivers'!W$13,0)=EOMONTH($CK$1,0),Sales!W$6,0)+IF(EOMONTH(DATE(YEAR(Sales!$T$1),MONTH(Sales!$T$1),1)+INT((DAY(Sales!$T$1)-1)/2)+'Cash Drivers'!T$13,0)=EOMONTH($CK$1,0),Sales!T$6,0)+IF(EOMONTH(DATE(YEAR(Sales!$Q$1),MONTH(Sales!$Q$1),1)+INT((DAY(Sales!$Q$1)-1)/2)+'Cash Drivers'!Q$13,0)=EOMONTH($CK$1,0),Sales!Q$6,0)+IF(EOMONTH(DATE(YEAR(Sales!$N$1),MONTH(Sales!$N$1),1)+INT((DAY(Sales!$N$1)-1)/2)+'Cash Drivers'!N$13,0)=EOMONTH($CK$1,0),Sales!N$6,0)+IF(EOMONTH(DATE(YEAR(Sales!$K$1),MONTH(Sales!$K$1),1)+INT((DAY(Sales!$K$1)-1)/2)+'Cash Drivers'!K$13,0)=EOMONTH($CK$1,0),Sales!K$6,0)+IF(EOMONTH('Cash Drivers'!$DL$30+'Cash Drivers'!DL$13,0)=EOMONTH($CK$1,0),'Cash Drivers'!$DL$32,0),0)</f>
        <v>0</v>
      </c>
      <c r="CL18" s="45" t="n">
        <f aca="false">ROUND(IF(EOMONTH(DATE(YEAR(Sales!$DL$1),MONTH(Sales!$DL$1),1)+INT((DAY(Sales!$DL$1)-1)/2)+'Cash Drivers'!DM$13,0)=EOMONTH($CK$1,0),Sales!DM$6,0)+IF(EOMONTH(DATE(YEAR(Sales!$DI$1),MONTH(Sales!$DI$1),1)+INT((DAY(Sales!$DI$1)-1)/2)+'Cash Drivers'!DJ$13,0)=EOMONTH($CK$1,0),Sales!DJ$6,0)+IF(EOMONTH(DATE(YEAR(Sales!$DF$1),MONTH(Sales!$DF$1),1)+INT((DAY(Sales!$DF$1)-1)/2)+'Cash Drivers'!DG$13,0)=EOMONTH($CK$1,0),Sales!DG$6,0)+IF(EOMONTH(DATE(YEAR(Sales!$DC$1),MONTH(Sales!$DC$1),1)+INT((DAY(Sales!$DC$1)-1)/2)+'Cash Drivers'!DD$13,0)=EOMONTH($CK$1,0),Sales!DD$6,0)+IF(EOMONTH(DATE(YEAR(Sales!$CZ$1),MONTH(Sales!$CZ$1),1)+INT((DAY(Sales!$CZ$1)-1)/2)+'Cash Drivers'!DA$13,0)=EOMONTH($CK$1,0),Sales!DA$6,0)+IF(EOMONTH(DATE(YEAR(Sales!$CW$1),MONTH(Sales!$CW$1),1)+INT((DAY(Sales!$CW$1)-1)/2)+'Cash Drivers'!CX$13,0)=EOMONTH($CK$1,0),Sales!CX$6,0)+IF(EOMONTH(DATE(YEAR(Sales!$CT$1),MONTH(Sales!$CT$1),1)+INT((DAY(Sales!$CT$1)-1)/2)+'Cash Drivers'!CU$13,0)=EOMONTH($CK$1,0),Sales!CU$6,0)+IF(EOMONTH(DATE(YEAR(Sales!$CQ$1),MONTH(Sales!$CQ$1),1)+INT((DAY(Sales!$CQ$1)-1)/2)+'Cash Drivers'!CR$13,0)=EOMONTH($CK$1,0),Sales!CR$6,0)+IF(EOMONTH(DATE(YEAR(Sales!$CN$1),MONTH(Sales!$CN$1),1)+INT((DAY(Sales!$CN$1)-1)/2)+'Cash Drivers'!CO$13,0)=EOMONTH($CK$1,0),Sales!CO$6,0)+IF(EOMONTH(DATE(YEAR(Sales!$CK$1),MONTH(Sales!$CK$1),1)+INT((DAY(Sales!$CK$1)-1)/2)+'Cash Drivers'!CL$13,0)=EOMONTH($CK$1,0),Sales!CL$6,0)+IF(EOMONTH(DATE(YEAR(Sales!$CH$1),MONTH(Sales!$CH$1),1)+INT((DAY(Sales!$CH$1)-1)/2)+'Cash Drivers'!CI$13,0)=EOMONTH($CK$1,0),Sales!CI$6,0)+IF(EOMONTH(DATE(YEAR(Sales!$CE$1),MONTH(Sales!$CE$1),1)+INT((DAY(Sales!$CE$1)-1)/2)+'Cash Drivers'!CF$13,0)=EOMONTH($CK$1,0),Sales!CF$6,0)+IF(EOMONTH(DATE(YEAR(Sales!$CB$1),MONTH(Sales!$CB$1),1)+INT((DAY(Sales!$CB$1)-1)/2)+'Cash Drivers'!CC$13,0)=EOMONTH($CK$1,0),Sales!CC$6,0)+IF(EOMONTH(DATE(YEAR(Sales!$BY$1),MONTH(Sales!$BY$1),1)+INT((DAY(Sales!$BY$1)-1)/2)+'Cash Drivers'!BZ$13,0)=EOMONTH($CK$1,0),Sales!BZ$6,0)+IF(EOMONTH(DATE(YEAR(Sales!$BV$1),MONTH(Sales!$BV$1),1)+INT((DAY(Sales!$BV$1)-1)/2)+'Cash Drivers'!BW$13,0)=EOMONTH($CK$1,0),Sales!BW$6,0)+IF(EOMONTH(DATE(YEAR(Sales!$BS$1),MONTH(Sales!$BS$1),1)+INT((DAY(Sales!$BS$1)-1)/2)+'Cash Drivers'!BT$13,0)=EOMONTH($CK$1,0),Sales!BT$6,0)+IF(EOMONTH(DATE(YEAR(Sales!$BP$1),MONTH(Sales!$BP$1),1)+INT((DAY(Sales!$BP$1)-1)/2)+'Cash Drivers'!BQ$13,0)=EOMONTH($CK$1,0),Sales!BQ$6,0)+IF(EOMONTH(DATE(YEAR(Sales!$BM$1),MONTH(Sales!$BM$1),1)+INT((DAY(Sales!$BM$1)-1)/2)+'Cash Drivers'!BN$13,0)=EOMONTH($CK$1,0),Sales!BN$6,0)+IF(EOMONTH(DATE(YEAR(Sales!$BJ$1),MONTH(Sales!$BJ$1),1)+INT((DAY(Sales!$BJ$1)-1)/2)+'Cash Drivers'!BK$13,0)=EOMONTH($CK$1,0),Sales!BK$6,0)+IF(EOMONTH(DATE(YEAR(Sales!$BG$1),MONTH(Sales!$BG$1),1)+INT((DAY(Sales!$BG$1)-1)/2)+'Cash Drivers'!BH$13,0)=EOMONTH($CK$1,0),Sales!BH$6,0)+IF(EOMONTH(DATE(YEAR(Sales!$BD$1),MONTH(Sales!$BD$1),1)+INT((DAY(Sales!$BD$1)-1)/2)+'Cash Drivers'!BE$13,0)=EOMONTH($CK$1,0),Sales!BE$6,0)+IF(EOMONTH(DATE(YEAR(Sales!$BA$1),MONTH(Sales!$BA$1),1)+INT((DAY(Sales!$BA$1)-1)/2)+'Cash Drivers'!BB$13,0)=EOMONTH($CK$1,0),Sales!BB$6,0)+IF(EOMONTH(DATE(YEAR(Sales!$AX$1),MONTH(Sales!$AX$1),1)+INT((DAY(Sales!$AX$1)-1)/2)+'Cash Drivers'!AY$13,0)=EOMONTH($CK$1,0),Sales!AY$6,0)+IF(EOMONTH(DATE(YEAR(Sales!$AU$1),MONTH(Sales!$AU$1),1)+INT((DAY(Sales!$AU$1)-1)/2)+'Cash Drivers'!AV$13,0)=EOMONTH($CK$1,0),Sales!AV$6,0)+IF(EOMONTH(DATE(YEAR(Sales!$AR$1),MONTH(Sales!$AR$1),1)+INT((DAY(Sales!$AR$1)-1)/2)+'Cash Drivers'!AS$13,0)=EOMONTH($CK$1,0),Sales!AS$6,0)+IF(EOMONTH(DATE(YEAR(Sales!$AO$1),MONTH(Sales!$AO$1),1)+INT((DAY(Sales!$AO$1)-1)/2)+'Cash Drivers'!AP$13,0)=EOMONTH($CK$1,0),Sales!AP$6,0)+IF(EOMONTH(DATE(YEAR(Sales!$AL$1),MONTH(Sales!$AL$1),1)+INT((DAY(Sales!$AL$1)-1)/2)+'Cash Drivers'!AM$13,0)=EOMONTH($CK$1,0),Sales!AM$6,0)+IF(EOMONTH(DATE(YEAR(Sales!$AI$1),MONTH(Sales!$AI$1),1)+INT((DAY(Sales!$AI$1)-1)/2)+'Cash Drivers'!AJ$13,0)=EOMONTH($CK$1,0),Sales!AJ$6,0)+IF(EOMONTH(DATE(YEAR(Sales!$AF$1),MONTH(Sales!$AF$1),1)+INT((DAY(Sales!$AF$1)-1)/2)+'Cash Drivers'!AG$13,0)=EOMONTH($CK$1,0),Sales!AG$6,0)+IF(EOMONTH(DATE(YEAR(Sales!$AC$1),MONTH(Sales!$AC$1),1)+INT((DAY(Sales!$AC$1)-1)/2)+'Cash Drivers'!AD$13,0)=EOMONTH($CK$1,0),Sales!AD$6,0)+IF(EOMONTH(DATE(YEAR(Sales!$Z$1),MONTH(Sales!$Z$1),1)+INT((DAY(Sales!$Z$1)-1)/2)+'Cash Drivers'!AA$13,0)=EOMONTH($CK$1,0),Sales!AA$6,0)+IF(EOMONTH(DATE(YEAR(Sales!$W$1),MONTH(Sales!$W$1),1)+INT((DAY(Sales!$W$1)-1)/2)+'Cash Drivers'!X$13,0)=EOMONTH($CK$1,0),Sales!X$6,0)+IF(EOMONTH(DATE(YEAR(Sales!$T$1),MONTH(Sales!$T$1),1)+INT((DAY(Sales!$T$1)-1)/2)+'Cash Drivers'!U$13,0)=EOMONTH($CK$1,0),Sales!U$6,0)+IF(EOMONTH(DATE(YEAR(Sales!$Q$1),MONTH(Sales!$Q$1),1)+INT((DAY(Sales!$Q$1)-1)/2)+'Cash Drivers'!R$13,0)=EOMONTH($CK$1,0),Sales!R$6,0)+IF(EOMONTH(DATE(YEAR(Sales!$N$1),MONTH(Sales!$N$1),1)+INT((DAY(Sales!$N$1)-1)/2)+'Cash Drivers'!O$13,0)=EOMONTH($CK$1,0),Sales!O$6,0)+IF(EOMONTH(DATE(YEAR(Sales!$K$1),MONTH(Sales!$K$1),1)+INT((DAY(Sales!$K$1)-1)/2)+'Cash Drivers'!L$13,0)=EOMONTH($CK$1,0),Sales!L$6,0)+IF(EOMONTH('Cash Drivers'!$DL$30+'Cash Drivers'!DM$13,0)=EOMONTH($CK$1,0),'Cash Drivers'!$DL$32,0),0)</f>
        <v>19</v>
      </c>
      <c r="CM18" s="46" t="n">
        <f aca="false">ROUND(IF(EOMONTH(DATE(YEAR(Sales!$DL$1),MONTH(Sales!$DL$1),1)+INT((DAY(Sales!$DL$1)-1)/2)+'Cash Drivers'!DN$13,0)=EOMONTH($CK$1,0),Sales!DN$6,0)+IF(EOMONTH(DATE(YEAR(Sales!$DI$1),MONTH(Sales!$DI$1),1)+INT((DAY(Sales!$DI$1)-1)/2)+'Cash Drivers'!DK$13,0)=EOMONTH($CK$1,0),Sales!DK$6,0)+IF(EOMONTH(DATE(YEAR(Sales!$DF$1),MONTH(Sales!$DF$1),1)+INT((DAY(Sales!$DF$1)-1)/2)+'Cash Drivers'!DH$13,0)=EOMONTH($CK$1,0),Sales!DH$6,0)+IF(EOMONTH(DATE(YEAR(Sales!$DC$1),MONTH(Sales!$DC$1),1)+INT((DAY(Sales!$DC$1)-1)/2)+'Cash Drivers'!DE$13,0)=EOMONTH($CK$1,0),Sales!DE$6,0)+IF(EOMONTH(DATE(YEAR(Sales!$CZ$1),MONTH(Sales!$CZ$1),1)+INT((DAY(Sales!$CZ$1)-1)/2)+'Cash Drivers'!DB$13,0)=EOMONTH($CK$1,0),Sales!DB$6,0)+IF(EOMONTH(DATE(YEAR(Sales!$CW$1),MONTH(Sales!$CW$1),1)+INT((DAY(Sales!$CW$1)-1)/2)+'Cash Drivers'!CY$13,0)=EOMONTH($CK$1,0),Sales!CY$6,0)+IF(EOMONTH(DATE(YEAR(Sales!$CT$1),MONTH(Sales!$CT$1),1)+INT((DAY(Sales!$CT$1)-1)/2)+'Cash Drivers'!CV$13,0)=EOMONTH($CK$1,0),Sales!CV$6,0)+IF(EOMONTH(DATE(YEAR(Sales!$CQ$1),MONTH(Sales!$CQ$1),1)+INT((DAY(Sales!$CQ$1)-1)/2)+'Cash Drivers'!CS$13,0)=EOMONTH($CK$1,0),Sales!CS$6,0)+IF(EOMONTH(DATE(YEAR(Sales!$CN$1),MONTH(Sales!$CN$1),1)+INT((DAY(Sales!$CN$1)-1)/2)+'Cash Drivers'!CP$13,0)=EOMONTH($CK$1,0),Sales!CP$6,0)+IF(EOMONTH(DATE(YEAR(Sales!$CK$1),MONTH(Sales!$CK$1),1)+INT((DAY(Sales!$CK$1)-1)/2)+'Cash Drivers'!CM$13,0)=EOMONTH($CK$1,0),Sales!CM$6,0)+IF(EOMONTH(DATE(YEAR(Sales!$CH$1),MONTH(Sales!$CH$1),1)+INT((DAY(Sales!$CH$1)-1)/2)+'Cash Drivers'!CJ$13,0)=EOMONTH($CK$1,0),Sales!CJ$6,0)+IF(EOMONTH(DATE(YEAR(Sales!$CE$1),MONTH(Sales!$CE$1),1)+INT((DAY(Sales!$CE$1)-1)/2)+'Cash Drivers'!CG$13,0)=EOMONTH($CK$1,0),Sales!CG$6,0)+IF(EOMONTH(DATE(YEAR(Sales!$CB$1),MONTH(Sales!$CB$1),1)+INT((DAY(Sales!$CB$1)-1)/2)+'Cash Drivers'!CD$13,0)=EOMONTH($CK$1,0),Sales!CD$6,0)+IF(EOMONTH(DATE(YEAR(Sales!$BY$1),MONTH(Sales!$BY$1),1)+INT((DAY(Sales!$BY$1)-1)/2)+'Cash Drivers'!CA$13,0)=EOMONTH($CK$1,0),Sales!CA$6,0)+IF(EOMONTH(DATE(YEAR(Sales!$BV$1),MONTH(Sales!$BV$1),1)+INT((DAY(Sales!$BV$1)-1)/2)+'Cash Drivers'!BX$13,0)=EOMONTH($CK$1,0),Sales!BX$6,0)+IF(EOMONTH(DATE(YEAR(Sales!$BS$1),MONTH(Sales!$BS$1),1)+INT((DAY(Sales!$BS$1)-1)/2)+'Cash Drivers'!BU$13,0)=EOMONTH($CK$1,0),Sales!BU$6,0)+IF(EOMONTH(DATE(YEAR(Sales!$BP$1),MONTH(Sales!$BP$1),1)+INT((DAY(Sales!$BP$1)-1)/2)+'Cash Drivers'!BR$13,0)=EOMONTH($CK$1,0),Sales!BR$6,0)+IF(EOMONTH(DATE(YEAR(Sales!$BM$1),MONTH(Sales!$BM$1),1)+INT((DAY(Sales!$BM$1)-1)/2)+'Cash Drivers'!BO$13,0)=EOMONTH($CK$1,0),Sales!BO$6,0)+IF(EOMONTH(DATE(YEAR(Sales!$BJ$1),MONTH(Sales!$BJ$1),1)+INT((DAY(Sales!$BJ$1)-1)/2)+'Cash Drivers'!BL$13,0)=EOMONTH($CK$1,0),Sales!BL$6,0)+IF(EOMONTH(DATE(YEAR(Sales!$BG$1),MONTH(Sales!$BG$1),1)+INT((DAY(Sales!$BG$1)-1)/2)+'Cash Drivers'!BI$13,0)=EOMONTH($CK$1,0),Sales!BI$6,0)+IF(EOMONTH(DATE(YEAR(Sales!$BD$1),MONTH(Sales!$BD$1),1)+INT((DAY(Sales!$BD$1)-1)/2)+'Cash Drivers'!BF$13,0)=EOMONTH($CK$1,0),Sales!BF$6,0)+IF(EOMONTH(DATE(YEAR(Sales!$BA$1),MONTH(Sales!$BA$1),1)+INT((DAY(Sales!$BA$1)-1)/2)+'Cash Drivers'!BC$13,0)=EOMONTH($CK$1,0),Sales!BC$6,0)+IF(EOMONTH(DATE(YEAR(Sales!$AX$1),MONTH(Sales!$AX$1),1)+INT((DAY(Sales!$AX$1)-1)/2)+'Cash Drivers'!AZ$13,0)=EOMONTH($CK$1,0),Sales!AZ$6,0)+IF(EOMONTH(DATE(YEAR(Sales!$AU$1),MONTH(Sales!$AU$1),1)+INT((DAY(Sales!$AU$1)-1)/2)+'Cash Drivers'!AW$13,0)=EOMONTH($CK$1,0),Sales!AW$6,0)+IF(EOMONTH(DATE(YEAR(Sales!$AR$1),MONTH(Sales!$AR$1),1)+INT((DAY(Sales!$AR$1)-1)/2)+'Cash Drivers'!AT$13,0)=EOMONTH($CK$1,0),Sales!AT$6,0)+IF(EOMONTH(DATE(YEAR(Sales!$AO$1),MONTH(Sales!$AO$1),1)+INT((DAY(Sales!$AO$1)-1)/2)+'Cash Drivers'!AQ$13,0)=EOMONTH($CK$1,0),Sales!AQ$6,0)+IF(EOMONTH(DATE(YEAR(Sales!$AL$1),MONTH(Sales!$AL$1),1)+INT((DAY(Sales!$AL$1)-1)/2)+'Cash Drivers'!AN$13,0)=EOMONTH($CK$1,0),Sales!AN$6,0)+IF(EOMONTH(DATE(YEAR(Sales!$AI$1),MONTH(Sales!$AI$1),1)+INT((DAY(Sales!$AI$1)-1)/2)+'Cash Drivers'!AK$13,0)=EOMONTH($CK$1,0),Sales!AK$6,0)+IF(EOMONTH(DATE(YEAR(Sales!$AF$1),MONTH(Sales!$AF$1),1)+INT((DAY(Sales!$AF$1)-1)/2)+'Cash Drivers'!AH$13,0)=EOMONTH($CK$1,0),Sales!AH$6,0)+IF(EOMONTH(DATE(YEAR(Sales!$AC$1),MONTH(Sales!$AC$1),1)+INT((DAY(Sales!$AC$1)-1)/2)+'Cash Drivers'!AE$13,0)=EOMONTH($CK$1,0),Sales!AE$6,0)+IF(EOMONTH(DATE(YEAR(Sales!$Z$1),MONTH(Sales!$Z$1),1)+INT((DAY(Sales!$Z$1)-1)/2)+'Cash Drivers'!AB$13,0)=EOMONTH($CK$1,0),Sales!AB$6,0)+IF(EOMONTH(DATE(YEAR(Sales!$W$1),MONTH(Sales!$W$1),1)+INT((DAY(Sales!$W$1)-1)/2)+'Cash Drivers'!Y$13,0)=EOMONTH($CK$1,0),Sales!Y$6,0)+IF(EOMONTH(DATE(YEAR(Sales!$T$1),MONTH(Sales!$T$1),1)+INT((DAY(Sales!$T$1)-1)/2)+'Cash Drivers'!V$13,0)=EOMONTH($CK$1,0),Sales!V$6,0)+IF(EOMONTH(DATE(YEAR(Sales!$Q$1),MONTH(Sales!$Q$1),1)+INT((DAY(Sales!$Q$1)-1)/2)+'Cash Drivers'!S$13,0)=EOMONTH($CK$1,0),Sales!S$6,0)+IF(EOMONTH(DATE(YEAR(Sales!$N$1),MONTH(Sales!$N$1),1)+INT((DAY(Sales!$N$1)-1)/2)+'Cash Drivers'!P$13,0)=EOMONTH($CK$1,0),Sales!P$6,0)+IF(EOMONTH(DATE(YEAR(Sales!$K$1),MONTH(Sales!$K$1),1)+INT((DAY(Sales!$K$1)-1)/2)+'Cash Drivers'!M$13,0)=EOMONTH($CK$1,0),Sales!M$6,0)+IF(EOMONTH('Cash Drivers'!$DL$30+'Cash Drivers'!DN$13,0)=EOMONTH($CK$1,0),'Cash Drivers'!$DL$32,0),0)</f>
        <v>19</v>
      </c>
      <c r="CN18" s="44" t="n">
        <f aca="false">ROUND(IF(EOMONTH(DATE(YEAR(Sales!$DL$1),MONTH(Sales!$DL$1),1)+INT((DAY(Sales!$DL$1)-1)/2)+'Cash Drivers'!DL$13,0)=EOMONTH($CN$1,0),Sales!DL$6,0)+IF(EOMONTH(DATE(YEAR(Sales!$DI$1),MONTH(Sales!$DI$1),1)+INT((DAY(Sales!$DI$1)-1)/2)+'Cash Drivers'!DI$13,0)=EOMONTH($CN$1,0),Sales!DI$6,0)+IF(EOMONTH(DATE(YEAR(Sales!$DF$1),MONTH(Sales!$DF$1),1)+INT((DAY(Sales!$DF$1)-1)/2)+'Cash Drivers'!DF$13,0)=EOMONTH($CN$1,0),Sales!DF$6,0)+IF(EOMONTH(DATE(YEAR(Sales!$DC$1),MONTH(Sales!$DC$1),1)+INT((DAY(Sales!$DC$1)-1)/2)+'Cash Drivers'!DC$13,0)=EOMONTH($CN$1,0),Sales!DC$6,0)+IF(EOMONTH(DATE(YEAR(Sales!$CZ$1),MONTH(Sales!$CZ$1),1)+INT((DAY(Sales!$CZ$1)-1)/2)+'Cash Drivers'!CZ$13,0)=EOMONTH($CN$1,0),Sales!CZ$6,0)+IF(EOMONTH(DATE(YEAR(Sales!$CW$1),MONTH(Sales!$CW$1),1)+INT((DAY(Sales!$CW$1)-1)/2)+'Cash Drivers'!CW$13,0)=EOMONTH($CN$1,0),Sales!CW$6,0)+IF(EOMONTH(DATE(YEAR(Sales!$CT$1),MONTH(Sales!$CT$1),1)+INT((DAY(Sales!$CT$1)-1)/2)+'Cash Drivers'!CT$13,0)=EOMONTH($CN$1,0),Sales!CT$6,0)+IF(EOMONTH(DATE(YEAR(Sales!$CQ$1),MONTH(Sales!$CQ$1),1)+INT((DAY(Sales!$CQ$1)-1)/2)+'Cash Drivers'!CQ$13,0)=EOMONTH($CN$1,0),Sales!CQ$6,0)+IF(EOMONTH(DATE(YEAR(Sales!$CN$1),MONTH(Sales!$CN$1),1)+INT((DAY(Sales!$CN$1)-1)/2)+'Cash Drivers'!CN$13,0)=EOMONTH($CN$1,0),Sales!CN$6,0)+IF(EOMONTH(DATE(YEAR(Sales!$CK$1),MONTH(Sales!$CK$1),1)+INT((DAY(Sales!$CK$1)-1)/2)+'Cash Drivers'!CK$13,0)=EOMONTH($CN$1,0),Sales!CK$6,0)+IF(EOMONTH(DATE(YEAR(Sales!$CH$1),MONTH(Sales!$CH$1),1)+INT((DAY(Sales!$CH$1)-1)/2)+'Cash Drivers'!CH$13,0)=EOMONTH($CN$1,0),Sales!CH$6,0)+IF(EOMONTH(DATE(YEAR(Sales!$CE$1),MONTH(Sales!$CE$1),1)+INT((DAY(Sales!$CE$1)-1)/2)+'Cash Drivers'!CE$13,0)=EOMONTH($CN$1,0),Sales!CE$6,0)+IF(EOMONTH(DATE(YEAR(Sales!$CB$1),MONTH(Sales!$CB$1),1)+INT((DAY(Sales!$CB$1)-1)/2)+'Cash Drivers'!CB$13,0)=EOMONTH($CN$1,0),Sales!CB$6,0)+IF(EOMONTH(DATE(YEAR(Sales!$BY$1),MONTH(Sales!$BY$1),1)+INT((DAY(Sales!$BY$1)-1)/2)+'Cash Drivers'!BY$13,0)=EOMONTH($CN$1,0),Sales!BY$6,0)+IF(EOMONTH(DATE(YEAR(Sales!$BV$1),MONTH(Sales!$BV$1),1)+INT((DAY(Sales!$BV$1)-1)/2)+'Cash Drivers'!BV$13,0)=EOMONTH($CN$1,0),Sales!BV$6,0)+IF(EOMONTH(DATE(YEAR(Sales!$BS$1),MONTH(Sales!$BS$1),1)+INT((DAY(Sales!$BS$1)-1)/2)+'Cash Drivers'!BS$13,0)=EOMONTH($CN$1,0),Sales!BS$6,0)+IF(EOMONTH(DATE(YEAR(Sales!$BP$1),MONTH(Sales!$BP$1),1)+INT((DAY(Sales!$BP$1)-1)/2)+'Cash Drivers'!BP$13,0)=EOMONTH($CN$1,0),Sales!BP$6,0)+IF(EOMONTH(DATE(YEAR(Sales!$BM$1),MONTH(Sales!$BM$1),1)+INT((DAY(Sales!$BM$1)-1)/2)+'Cash Drivers'!BM$13,0)=EOMONTH($CN$1,0),Sales!BM$6,0)+IF(EOMONTH(DATE(YEAR(Sales!$BJ$1),MONTH(Sales!$BJ$1),1)+INT((DAY(Sales!$BJ$1)-1)/2)+'Cash Drivers'!BJ$13,0)=EOMONTH($CN$1,0),Sales!BJ$6,0)+IF(EOMONTH(DATE(YEAR(Sales!$BG$1),MONTH(Sales!$BG$1),1)+INT((DAY(Sales!$BG$1)-1)/2)+'Cash Drivers'!BG$13,0)=EOMONTH($CN$1,0),Sales!BG$6,0)+IF(EOMONTH(DATE(YEAR(Sales!$BD$1),MONTH(Sales!$BD$1),1)+INT((DAY(Sales!$BD$1)-1)/2)+'Cash Drivers'!BD$13,0)=EOMONTH($CN$1,0),Sales!BD$6,0)+IF(EOMONTH(DATE(YEAR(Sales!$BA$1),MONTH(Sales!$BA$1),1)+INT((DAY(Sales!$BA$1)-1)/2)+'Cash Drivers'!BA$13,0)=EOMONTH($CN$1,0),Sales!BA$6,0)+IF(EOMONTH(DATE(YEAR(Sales!$AX$1),MONTH(Sales!$AX$1),1)+INT((DAY(Sales!$AX$1)-1)/2)+'Cash Drivers'!AX$13,0)=EOMONTH($CN$1,0),Sales!AX$6,0)+IF(EOMONTH(DATE(YEAR(Sales!$AU$1),MONTH(Sales!$AU$1),1)+INT((DAY(Sales!$AU$1)-1)/2)+'Cash Drivers'!AU$13,0)=EOMONTH($CN$1,0),Sales!AU$6,0)+IF(EOMONTH(DATE(YEAR(Sales!$AR$1),MONTH(Sales!$AR$1),1)+INT((DAY(Sales!$AR$1)-1)/2)+'Cash Drivers'!AR$13,0)=EOMONTH($CN$1,0),Sales!AR$6,0)+IF(EOMONTH(DATE(YEAR(Sales!$AO$1),MONTH(Sales!$AO$1),1)+INT((DAY(Sales!$AO$1)-1)/2)+'Cash Drivers'!AO$13,0)=EOMONTH($CN$1,0),Sales!AO$6,0)+IF(EOMONTH(DATE(YEAR(Sales!$AL$1),MONTH(Sales!$AL$1),1)+INT((DAY(Sales!$AL$1)-1)/2)+'Cash Drivers'!AL$13,0)=EOMONTH($CN$1,0),Sales!AL$6,0)+IF(EOMONTH(DATE(YEAR(Sales!$AI$1),MONTH(Sales!$AI$1),1)+INT((DAY(Sales!$AI$1)-1)/2)+'Cash Drivers'!AI$13,0)=EOMONTH($CN$1,0),Sales!AI$6,0)+IF(EOMONTH(DATE(YEAR(Sales!$AF$1),MONTH(Sales!$AF$1),1)+INT((DAY(Sales!$AF$1)-1)/2)+'Cash Drivers'!AF$13,0)=EOMONTH($CN$1,0),Sales!AF$6,0)+IF(EOMONTH(DATE(YEAR(Sales!$AC$1),MONTH(Sales!$AC$1),1)+INT((DAY(Sales!$AC$1)-1)/2)+'Cash Drivers'!AC$13,0)=EOMONTH($CN$1,0),Sales!AC$6,0)+IF(EOMONTH(DATE(YEAR(Sales!$Z$1),MONTH(Sales!$Z$1),1)+INT((DAY(Sales!$Z$1)-1)/2)+'Cash Drivers'!Z$13,0)=EOMONTH($CN$1,0),Sales!Z$6,0)+IF(EOMONTH(DATE(YEAR(Sales!$W$1),MONTH(Sales!$W$1),1)+INT((DAY(Sales!$W$1)-1)/2)+'Cash Drivers'!W$13,0)=EOMONTH($CN$1,0),Sales!W$6,0)+IF(EOMONTH(DATE(YEAR(Sales!$T$1),MONTH(Sales!$T$1),1)+INT((DAY(Sales!$T$1)-1)/2)+'Cash Drivers'!T$13,0)=EOMONTH($CN$1,0),Sales!T$6,0)+IF(EOMONTH(DATE(YEAR(Sales!$Q$1),MONTH(Sales!$Q$1),1)+INT((DAY(Sales!$Q$1)-1)/2)+'Cash Drivers'!Q$13,0)=EOMONTH($CN$1,0),Sales!Q$6,0)+IF(EOMONTH(DATE(YEAR(Sales!$N$1),MONTH(Sales!$N$1),1)+INT((DAY(Sales!$N$1)-1)/2)+'Cash Drivers'!N$13,0)=EOMONTH($CN$1,0),Sales!N$6,0)+IF(EOMONTH(DATE(YEAR(Sales!$K$1),MONTH(Sales!$K$1),1)+INT((DAY(Sales!$K$1)-1)/2)+'Cash Drivers'!K$13,0)=EOMONTH($CN$1,0),Sales!K$6,0)+IF(EOMONTH('Cash Drivers'!$DL$30+'Cash Drivers'!DL$13,0)=EOMONTH($CN$1,0),'Cash Drivers'!$DL$32,0),0)</f>
        <v>0</v>
      </c>
      <c r="CO18" s="45" t="n">
        <f aca="false">ROUND(IF(EOMONTH(DATE(YEAR(Sales!$DL$1),MONTH(Sales!$DL$1),1)+INT((DAY(Sales!$DL$1)-1)/2)+'Cash Drivers'!DM$13,0)=EOMONTH($CN$1,0),Sales!DM$6,0)+IF(EOMONTH(DATE(YEAR(Sales!$DI$1),MONTH(Sales!$DI$1),1)+INT((DAY(Sales!$DI$1)-1)/2)+'Cash Drivers'!DJ$13,0)=EOMONTH($CN$1,0),Sales!DJ$6,0)+IF(EOMONTH(DATE(YEAR(Sales!$DF$1),MONTH(Sales!$DF$1),1)+INT((DAY(Sales!$DF$1)-1)/2)+'Cash Drivers'!DG$13,0)=EOMONTH($CN$1,0),Sales!DG$6,0)+IF(EOMONTH(DATE(YEAR(Sales!$DC$1),MONTH(Sales!$DC$1),1)+INT((DAY(Sales!$DC$1)-1)/2)+'Cash Drivers'!DD$13,0)=EOMONTH($CN$1,0),Sales!DD$6,0)+IF(EOMONTH(DATE(YEAR(Sales!$CZ$1),MONTH(Sales!$CZ$1),1)+INT((DAY(Sales!$CZ$1)-1)/2)+'Cash Drivers'!DA$13,0)=EOMONTH($CN$1,0),Sales!DA$6,0)+IF(EOMONTH(DATE(YEAR(Sales!$CW$1),MONTH(Sales!$CW$1),1)+INT((DAY(Sales!$CW$1)-1)/2)+'Cash Drivers'!CX$13,0)=EOMONTH($CN$1,0),Sales!CX$6,0)+IF(EOMONTH(DATE(YEAR(Sales!$CT$1),MONTH(Sales!$CT$1),1)+INT((DAY(Sales!$CT$1)-1)/2)+'Cash Drivers'!CU$13,0)=EOMONTH($CN$1,0),Sales!CU$6,0)+IF(EOMONTH(DATE(YEAR(Sales!$CQ$1),MONTH(Sales!$CQ$1),1)+INT((DAY(Sales!$CQ$1)-1)/2)+'Cash Drivers'!CR$13,0)=EOMONTH($CN$1,0),Sales!CR$6,0)+IF(EOMONTH(DATE(YEAR(Sales!$CN$1),MONTH(Sales!$CN$1),1)+INT((DAY(Sales!$CN$1)-1)/2)+'Cash Drivers'!CO$13,0)=EOMONTH($CN$1,0),Sales!CO$6,0)+IF(EOMONTH(DATE(YEAR(Sales!$CK$1),MONTH(Sales!$CK$1),1)+INT((DAY(Sales!$CK$1)-1)/2)+'Cash Drivers'!CL$13,0)=EOMONTH($CN$1,0),Sales!CL$6,0)+IF(EOMONTH(DATE(YEAR(Sales!$CH$1),MONTH(Sales!$CH$1),1)+INT((DAY(Sales!$CH$1)-1)/2)+'Cash Drivers'!CI$13,0)=EOMONTH($CN$1,0),Sales!CI$6,0)+IF(EOMONTH(DATE(YEAR(Sales!$CE$1),MONTH(Sales!$CE$1),1)+INT((DAY(Sales!$CE$1)-1)/2)+'Cash Drivers'!CF$13,0)=EOMONTH($CN$1,0),Sales!CF$6,0)+IF(EOMONTH(DATE(YEAR(Sales!$CB$1),MONTH(Sales!$CB$1),1)+INT((DAY(Sales!$CB$1)-1)/2)+'Cash Drivers'!CC$13,0)=EOMONTH($CN$1,0),Sales!CC$6,0)+IF(EOMONTH(DATE(YEAR(Sales!$BY$1),MONTH(Sales!$BY$1),1)+INT((DAY(Sales!$BY$1)-1)/2)+'Cash Drivers'!BZ$13,0)=EOMONTH($CN$1,0),Sales!BZ$6,0)+IF(EOMONTH(DATE(YEAR(Sales!$BV$1),MONTH(Sales!$BV$1),1)+INT((DAY(Sales!$BV$1)-1)/2)+'Cash Drivers'!BW$13,0)=EOMONTH($CN$1,0),Sales!BW$6,0)+IF(EOMONTH(DATE(YEAR(Sales!$BS$1),MONTH(Sales!$BS$1),1)+INT((DAY(Sales!$BS$1)-1)/2)+'Cash Drivers'!BT$13,0)=EOMONTH($CN$1,0),Sales!BT$6,0)+IF(EOMONTH(DATE(YEAR(Sales!$BP$1),MONTH(Sales!$BP$1),1)+INT((DAY(Sales!$BP$1)-1)/2)+'Cash Drivers'!BQ$13,0)=EOMONTH($CN$1,0),Sales!BQ$6,0)+IF(EOMONTH(DATE(YEAR(Sales!$BM$1),MONTH(Sales!$BM$1),1)+INT((DAY(Sales!$BM$1)-1)/2)+'Cash Drivers'!BN$13,0)=EOMONTH($CN$1,0),Sales!BN$6,0)+IF(EOMONTH(DATE(YEAR(Sales!$BJ$1),MONTH(Sales!$BJ$1),1)+INT((DAY(Sales!$BJ$1)-1)/2)+'Cash Drivers'!BK$13,0)=EOMONTH($CN$1,0),Sales!BK$6,0)+IF(EOMONTH(DATE(YEAR(Sales!$BG$1),MONTH(Sales!$BG$1),1)+INT((DAY(Sales!$BG$1)-1)/2)+'Cash Drivers'!BH$13,0)=EOMONTH($CN$1,0),Sales!BH$6,0)+IF(EOMONTH(DATE(YEAR(Sales!$BD$1),MONTH(Sales!$BD$1),1)+INT((DAY(Sales!$BD$1)-1)/2)+'Cash Drivers'!BE$13,0)=EOMONTH($CN$1,0),Sales!BE$6,0)+IF(EOMONTH(DATE(YEAR(Sales!$BA$1),MONTH(Sales!$BA$1),1)+INT((DAY(Sales!$BA$1)-1)/2)+'Cash Drivers'!BB$13,0)=EOMONTH($CN$1,0),Sales!BB$6,0)+IF(EOMONTH(DATE(YEAR(Sales!$AX$1),MONTH(Sales!$AX$1),1)+INT((DAY(Sales!$AX$1)-1)/2)+'Cash Drivers'!AY$13,0)=EOMONTH($CN$1,0),Sales!AY$6,0)+IF(EOMONTH(DATE(YEAR(Sales!$AU$1),MONTH(Sales!$AU$1),1)+INT((DAY(Sales!$AU$1)-1)/2)+'Cash Drivers'!AV$13,0)=EOMONTH($CN$1,0),Sales!AV$6,0)+IF(EOMONTH(DATE(YEAR(Sales!$AR$1),MONTH(Sales!$AR$1),1)+INT((DAY(Sales!$AR$1)-1)/2)+'Cash Drivers'!AS$13,0)=EOMONTH($CN$1,0),Sales!AS$6,0)+IF(EOMONTH(DATE(YEAR(Sales!$AO$1),MONTH(Sales!$AO$1),1)+INT((DAY(Sales!$AO$1)-1)/2)+'Cash Drivers'!AP$13,0)=EOMONTH($CN$1,0),Sales!AP$6,0)+IF(EOMONTH(DATE(YEAR(Sales!$AL$1),MONTH(Sales!$AL$1),1)+INT((DAY(Sales!$AL$1)-1)/2)+'Cash Drivers'!AM$13,0)=EOMONTH($CN$1,0),Sales!AM$6,0)+IF(EOMONTH(DATE(YEAR(Sales!$AI$1),MONTH(Sales!$AI$1),1)+INT((DAY(Sales!$AI$1)-1)/2)+'Cash Drivers'!AJ$13,0)=EOMONTH($CN$1,0),Sales!AJ$6,0)+IF(EOMONTH(DATE(YEAR(Sales!$AF$1),MONTH(Sales!$AF$1),1)+INT((DAY(Sales!$AF$1)-1)/2)+'Cash Drivers'!AG$13,0)=EOMONTH($CN$1,0),Sales!AG$6,0)+IF(EOMONTH(DATE(YEAR(Sales!$AC$1),MONTH(Sales!$AC$1),1)+INT((DAY(Sales!$AC$1)-1)/2)+'Cash Drivers'!AD$13,0)=EOMONTH($CN$1,0),Sales!AD$6,0)+IF(EOMONTH(DATE(YEAR(Sales!$Z$1),MONTH(Sales!$Z$1),1)+INT((DAY(Sales!$Z$1)-1)/2)+'Cash Drivers'!AA$13,0)=EOMONTH($CN$1,0),Sales!AA$6,0)+IF(EOMONTH(DATE(YEAR(Sales!$W$1),MONTH(Sales!$W$1),1)+INT((DAY(Sales!$W$1)-1)/2)+'Cash Drivers'!X$13,0)=EOMONTH($CN$1,0),Sales!X$6,0)+IF(EOMONTH(DATE(YEAR(Sales!$T$1),MONTH(Sales!$T$1),1)+INT((DAY(Sales!$T$1)-1)/2)+'Cash Drivers'!U$13,0)=EOMONTH($CN$1,0),Sales!U$6,0)+IF(EOMONTH(DATE(YEAR(Sales!$Q$1),MONTH(Sales!$Q$1),1)+INT((DAY(Sales!$Q$1)-1)/2)+'Cash Drivers'!R$13,0)=EOMONTH($CN$1,0),Sales!R$6,0)+IF(EOMONTH(DATE(YEAR(Sales!$N$1),MONTH(Sales!$N$1),1)+INT((DAY(Sales!$N$1)-1)/2)+'Cash Drivers'!O$13,0)=EOMONTH($CN$1,0),Sales!O$6,0)+IF(EOMONTH(DATE(YEAR(Sales!$K$1),MONTH(Sales!$K$1),1)+INT((DAY(Sales!$K$1)-1)/2)+'Cash Drivers'!L$13,0)=EOMONTH($CN$1,0),Sales!L$6,0)+IF(EOMONTH('Cash Drivers'!$DL$30+'Cash Drivers'!DM$13,0)=EOMONTH($CN$1,0),'Cash Drivers'!$DL$32,0),0)</f>
        <v>19</v>
      </c>
      <c r="CP18" s="46" t="n">
        <f aca="false">ROUND(IF(EOMONTH(DATE(YEAR(Sales!$DL$1),MONTH(Sales!$DL$1),1)+INT((DAY(Sales!$DL$1)-1)/2)+'Cash Drivers'!DN$13,0)=EOMONTH($CN$1,0),Sales!DN$6,0)+IF(EOMONTH(DATE(YEAR(Sales!$DI$1),MONTH(Sales!$DI$1),1)+INT((DAY(Sales!$DI$1)-1)/2)+'Cash Drivers'!DK$13,0)=EOMONTH($CN$1,0),Sales!DK$6,0)+IF(EOMONTH(DATE(YEAR(Sales!$DF$1),MONTH(Sales!$DF$1),1)+INT((DAY(Sales!$DF$1)-1)/2)+'Cash Drivers'!DH$13,0)=EOMONTH($CN$1,0),Sales!DH$6,0)+IF(EOMONTH(DATE(YEAR(Sales!$DC$1),MONTH(Sales!$DC$1),1)+INT((DAY(Sales!$DC$1)-1)/2)+'Cash Drivers'!DE$13,0)=EOMONTH($CN$1,0),Sales!DE$6,0)+IF(EOMONTH(DATE(YEAR(Sales!$CZ$1),MONTH(Sales!$CZ$1),1)+INT((DAY(Sales!$CZ$1)-1)/2)+'Cash Drivers'!DB$13,0)=EOMONTH($CN$1,0),Sales!DB$6,0)+IF(EOMONTH(DATE(YEAR(Sales!$CW$1),MONTH(Sales!$CW$1),1)+INT((DAY(Sales!$CW$1)-1)/2)+'Cash Drivers'!CY$13,0)=EOMONTH($CN$1,0),Sales!CY$6,0)+IF(EOMONTH(DATE(YEAR(Sales!$CT$1),MONTH(Sales!$CT$1),1)+INT((DAY(Sales!$CT$1)-1)/2)+'Cash Drivers'!CV$13,0)=EOMONTH($CN$1,0),Sales!CV$6,0)+IF(EOMONTH(DATE(YEAR(Sales!$CQ$1),MONTH(Sales!$CQ$1),1)+INT((DAY(Sales!$CQ$1)-1)/2)+'Cash Drivers'!CS$13,0)=EOMONTH($CN$1,0),Sales!CS$6,0)+IF(EOMONTH(DATE(YEAR(Sales!$CN$1),MONTH(Sales!$CN$1),1)+INT((DAY(Sales!$CN$1)-1)/2)+'Cash Drivers'!CP$13,0)=EOMONTH($CN$1,0),Sales!CP$6,0)+IF(EOMONTH(DATE(YEAR(Sales!$CK$1),MONTH(Sales!$CK$1),1)+INT((DAY(Sales!$CK$1)-1)/2)+'Cash Drivers'!CM$13,0)=EOMONTH($CN$1,0),Sales!CM$6,0)+IF(EOMONTH(DATE(YEAR(Sales!$CH$1),MONTH(Sales!$CH$1),1)+INT((DAY(Sales!$CH$1)-1)/2)+'Cash Drivers'!CJ$13,0)=EOMONTH($CN$1,0),Sales!CJ$6,0)+IF(EOMONTH(DATE(YEAR(Sales!$CE$1),MONTH(Sales!$CE$1),1)+INT((DAY(Sales!$CE$1)-1)/2)+'Cash Drivers'!CG$13,0)=EOMONTH($CN$1,0),Sales!CG$6,0)+IF(EOMONTH(DATE(YEAR(Sales!$CB$1),MONTH(Sales!$CB$1),1)+INT((DAY(Sales!$CB$1)-1)/2)+'Cash Drivers'!CD$13,0)=EOMONTH($CN$1,0),Sales!CD$6,0)+IF(EOMONTH(DATE(YEAR(Sales!$BY$1),MONTH(Sales!$BY$1),1)+INT((DAY(Sales!$BY$1)-1)/2)+'Cash Drivers'!CA$13,0)=EOMONTH($CN$1,0),Sales!CA$6,0)+IF(EOMONTH(DATE(YEAR(Sales!$BV$1),MONTH(Sales!$BV$1),1)+INT((DAY(Sales!$BV$1)-1)/2)+'Cash Drivers'!BX$13,0)=EOMONTH($CN$1,0),Sales!BX$6,0)+IF(EOMONTH(DATE(YEAR(Sales!$BS$1),MONTH(Sales!$BS$1),1)+INT((DAY(Sales!$BS$1)-1)/2)+'Cash Drivers'!BU$13,0)=EOMONTH($CN$1,0),Sales!BU$6,0)+IF(EOMONTH(DATE(YEAR(Sales!$BP$1),MONTH(Sales!$BP$1),1)+INT((DAY(Sales!$BP$1)-1)/2)+'Cash Drivers'!BR$13,0)=EOMONTH($CN$1,0),Sales!BR$6,0)+IF(EOMONTH(DATE(YEAR(Sales!$BM$1),MONTH(Sales!$BM$1),1)+INT((DAY(Sales!$BM$1)-1)/2)+'Cash Drivers'!BO$13,0)=EOMONTH($CN$1,0),Sales!BO$6,0)+IF(EOMONTH(DATE(YEAR(Sales!$BJ$1),MONTH(Sales!$BJ$1),1)+INT((DAY(Sales!$BJ$1)-1)/2)+'Cash Drivers'!BL$13,0)=EOMONTH($CN$1,0),Sales!BL$6,0)+IF(EOMONTH(DATE(YEAR(Sales!$BG$1),MONTH(Sales!$BG$1),1)+INT((DAY(Sales!$BG$1)-1)/2)+'Cash Drivers'!BI$13,0)=EOMONTH($CN$1,0),Sales!BI$6,0)+IF(EOMONTH(DATE(YEAR(Sales!$BD$1),MONTH(Sales!$BD$1),1)+INT((DAY(Sales!$BD$1)-1)/2)+'Cash Drivers'!BF$13,0)=EOMONTH($CN$1,0),Sales!BF$6,0)+IF(EOMONTH(DATE(YEAR(Sales!$BA$1),MONTH(Sales!$BA$1),1)+INT((DAY(Sales!$BA$1)-1)/2)+'Cash Drivers'!BC$13,0)=EOMONTH($CN$1,0),Sales!BC$6,0)+IF(EOMONTH(DATE(YEAR(Sales!$AX$1),MONTH(Sales!$AX$1),1)+INT((DAY(Sales!$AX$1)-1)/2)+'Cash Drivers'!AZ$13,0)=EOMONTH($CN$1,0),Sales!AZ$6,0)+IF(EOMONTH(DATE(YEAR(Sales!$AU$1),MONTH(Sales!$AU$1),1)+INT((DAY(Sales!$AU$1)-1)/2)+'Cash Drivers'!AW$13,0)=EOMONTH($CN$1,0),Sales!AW$6,0)+IF(EOMONTH(DATE(YEAR(Sales!$AR$1),MONTH(Sales!$AR$1),1)+INT((DAY(Sales!$AR$1)-1)/2)+'Cash Drivers'!AT$13,0)=EOMONTH($CN$1,0),Sales!AT$6,0)+IF(EOMONTH(DATE(YEAR(Sales!$AO$1),MONTH(Sales!$AO$1),1)+INT((DAY(Sales!$AO$1)-1)/2)+'Cash Drivers'!AQ$13,0)=EOMONTH($CN$1,0),Sales!AQ$6,0)+IF(EOMONTH(DATE(YEAR(Sales!$AL$1),MONTH(Sales!$AL$1),1)+INT((DAY(Sales!$AL$1)-1)/2)+'Cash Drivers'!AN$13,0)=EOMONTH($CN$1,0),Sales!AN$6,0)+IF(EOMONTH(DATE(YEAR(Sales!$AI$1),MONTH(Sales!$AI$1),1)+INT((DAY(Sales!$AI$1)-1)/2)+'Cash Drivers'!AK$13,0)=EOMONTH($CN$1,0),Sales!AK$6,0)+IF(EOMONTH(DATE(YEAR(Sales!$AF$1),MONTH(Sales!$AF$1),1)+INT((DAY(Sales!$AF$1)-1)/2)+'Cash Drivers'!AH$13,0)=EOMONTH($CN$1,0),Sales!AH$6,0)+IF(EOMONTH(DATE(YEAR(Sales!$AC$1),MONTH(Sales!$AC$1),1)+INT((DAY(Sales!$AC$1)-1)/2)+'Cash Drivers'!AE$13,0)=EOMONTH($CN$1,0),Sales!AE$6,0)+IF(EOMONTH(DATE(YEAR(Sales!$Z$1),MONTH(Sales!$Z$1),1)+INT((DAY(Sales!$Z$1)-1)/2)+'Cash Drivers'!AB$13,0)=EOMONTH($CN$1,0),Sales!AB$6,0)+IF(EOMONTH(DATE(YEAR(Sales!$W$1),MONTH(Sales!$W$1),1)+INT((DAY(Sales!$W$1)-1)/2)+'Cash Drivers'!Y$13,0)=EOMONTH($CN$1,0),Sales!Y$6,0)+IF(EOMONTH(DATE(YEAR(Sales!$T$1),MONTH(Sales!$T$1),1)+INT((DAY(Sales!$T$1)-1)/2)+'Cash Drivers'!V$13,0)=EOMONTH($CN$1,0),Sales!V$6,0)+IF(EOMONTH(DATE(YEAR(Sales!$Q$1),MONTH(Sales!$Q$1),1)+INT((DAY(Sales!$Q$1)-1)/2)+'Cash Drivers'!S$13,0)=EOMONTH($CN$1,0),Sales!S$6,0)+IF(EOMONTH(DATE(YEAR(Sales!$N$1),MONTH(Sales!$N$1),1)+INT((DAY(Sales!$N$1)-1)/2)+'Cash Drivers'!P$13,0)=EOMONTH($CN$1,0),Sales!P$6,0)+IF(EOMONTH(DATE(YEAR(Sales!$K$1),MONTH(Sales!$K$1),1)+INT((DAY(Sales!$K$1)-1)/2)+'Cash Drivers'!M$13,0)=EOMONTH($CN$1,0),Sales!M$6,0)+IF(EOMONTH('Cash Drivers'!$DL$30+'Cash Drivers'!DN$13,0)=EOMONTH($CN$1,0),'Cash Drivers'!$DL$32,0),0)</f>
        <v>19</v>
      </c>
      <c r="CQ18" s="44" t="n">
        <f aca="false">ROUND(IF(EOMONTH(DATE(YEAR(Sales!$DL$1),MONTH(Sales!$DL$1),1)+INT((DAY(Sales!$DL$1)-1)/2)+'Cash Drivers'!DL$13,0)=EOMONTH($CQ$1,0),Sales!DL$6,0)+IF(EOMONTH(DATE(YEAR(Sales!$DI$1),MONTH(Sales!$DI$1),1)+INT((DAY(Sales!$DI$1)-1)/2)+'Cash Drivers'!DI$13,0)=EOMONTH($CQ$1,0),Sales!DI$6,0)+IF(EOMONTH(DATE(YEAR(Sales!$DF$1),MONTH(Sales!$DF$1),1)+INT((DAY(Sales!$DF$1)-1)/2)+'Cash Drivers'!DF$13,0)=EOMONTH($CQ$1,0),Sales!DF$6,0)+IF(EOMONTH(DATE(YEAR(Sales!$DC$1),MONTH(Sales!$DC$1),1)+INT((DAY(Sales!$DC$1)-1)/2)+'Cash Drivers'!DC$13,0)=EOMONTH($CQ$1,0),Sales!DC$6,0)+IF(EOMONTH(DATE(YEAR(Sales!$CZ$1),MONTH(Sales!$CZ$1),1)+INT((DAY(Sales!$CZ$1)-1)/2)+'Cash Drivers'!CZ$13,0)=EOMONTH($CQ$1,0),Sales!CZ$6,0)+IF(EOMONTH(DATE(YEAR(Sales!$CW$1),MONTH(Sales!$CW$1),1)+INT((DAY(Sales!$CW$1)-1)/2)+'Cash Drivers'!CW$13,0)=EOMONTH($CQ$1,0),Sales!CW$6,0)+IF(EOMONTH(DATE(YEAR(Sales!$CT$1),MONTH(Sales!$CT$1),1)+INT((DAY(Sales!$CT$1)-1)/2)+'Cash Drivers'!CT$13,0)=EOMONTH($CQ$1,0),Sales!CT$6,0)+IF(EOMONTH(DATE(YEAR(Sales!$CQ$1),MONTH(Sales!$CQ$1),1)+INT((DAY(Sales!$CQ$1)-1)/2)+'Cash Drivers'!CQ$13,0)=EOMONTH($CQ$1,0),Sales!CQ$6,0)+IF(EOMONTH(DATE(YEAR(Sales!$CN$1),MONTH(Sales!$CN$1),1)+INT((DAY(Sales!$CN$1)-1)/2)+'Cash Drivers'!CN$13,0)=EOMONTH($CQ$1,0),Sales!CN$6,0)+IF(EOMONTH(DATE(YEAR(Sales!$CK$1),MONTH(Sales!$CK$1),1)+INT((DAY(Sales!$CK$1)-1)/2)+'Cash Drivers'!CK$13,0)=EOMONTH($CQ$1,0),Sales!CK$6,0)+IF(EOMONTH(DATE(YEAR(Sales!$CH$1),MONTH(Sales!$CH$1),1)+INT((DAY(Sales!$CH$1)-1)/2)+'Cash Drivers'!CH$13,0)=EOMONTH($CQ$1,0),Sales!CH$6,0)+IF(EOMONTH(DATE(YEAR(Sales!$CE$1),MONTH(Sales!$CE$1),1)+INT((DAY(Sales!$CE$1)-1)/2)+'Cash Drivers'!CE$13,0)=EOMONTH($CQ$1,0),Sales!CE$6,0)+IF(EOMONTH(DATE(YEAR(Sales!$CB$1),MONTH(Sales!$CB$1),1)+INT((DAY(Sales!$CB$1)-1)/2)+'Cash Drivers'!CB$13,0)=EOMONTH($CQ$1,0),Sales!CB$6,0)+IF(EOMONTH(DATE(YEAR(Sales!$BY$1),MONTH(Sales!$BY$1),1)+INT((DAY(Sales!$BY$1)-1)/2)+'Cash Drivers'!BY$13,0)=EOMONTH($CQ$1,0),Sales!BY$6,0)+IF(EOMONTH(DATE(YEAR(Sales!$BV$1),MONTH(Sales!$BV$1),1)+INT((DAY(Sales!$BV$1)-1)/2)+'Cash Drivers'!BV$13,0)=EOMONTH($CQ$1,0),Sales!BV$6,0)+IF(EOMONTH(DATE(YEAR(Sales!$BS$1),MONTH(Sales!$BS$1),1)+INT((DAY(Sales!$BS$1)-1)/2)+'Cash Drivers'!BS$13,0)=EOMONTH($CQ$1,0),Sales!BS$6,0)+IF(EOMONTH(DATE(YEAR(Sales!$BP$1),MONTH(Sales!$BP$1),1)+INT((DAY(Sales!$BP$1)-1)/2)+'Cash Drivers'!BP$13,0)=EOMONTH($CQ$1,0),Sales!BP$6,0)+IF(EOMONTH(DATE(YEAR(Sales!$BM$1),MONTH(Sales!$BM$1),1)+INT((DAY(Sales!$BM$1)-1)/2)+'Cash Drivers'!BM$13,0)=EOMONTH($CQ$1,0),Sales!BM$6,0)+IF(EOMONTH(DATE(YEAR(Sales!$BJ$1),MONTH(Sales!$BJ$1),1)+INT((DAY(Sales!$BJ$1)-1)/2)+'Cash Drivers'!BJ$13,0)=EOMONTH($CQ$1,0),Sales!BJ$6,0)+IF(EOMONTH(DATE(YEAR(Sales!$BG$1),MONTH(Sales!$BG$1),1)+INT((DAY(Sales!$BG$1)-1)/2)+'Cash Drivers'!BG$13,0)=EOMONTH($CQ$1,0),Sales!BG$6,0)+IF(EOMONTH(DATE(YEAR(Sales!$BD$1),MONTH(Sales!$BD$1),1)+INT((DAY(Sales!$BD$1)-1)/2)+'Cash Drivers'!BD$13,0)=EOMONTH($CQ$1,0),Sales!BD$6,0)+IF(EOMONTH(DATE(YEAR(Sales!$BA$1),MONTH(Sales!$BA$1),1)+INT((DAY(Sales!$BA$1)-1)/2)+'Cash Drivers'!BA$13,0)=EOMONTH($CQ$1,0),Sales!BA$6,0)+IF(EOMONTH(DATE(YEAR(Sales!$AX$1),MONTH(Sales!$AX$1),1)+INT((DAY(Sales!$AX$1)-1)/2)+'Cash Drivers'!AX$13,0)=EOMONTH($CQ$1,0),Sales!AX$6,0)+IF(EOMONTH(DATE(YEAR(Sales!$AU$1),MONTH(Sales!$AU$1),1)+INT((DAY(Sales!$AU$1)-1)/2)+'Cash Drivers'!AU$13,0)=EOMONTH($CQ$1,0),Sales!AU$6,0)+IF(EOMONTH(DATE(YEAR(Sales!$AR$1),MONTH(Sales!$AR$1),1)+INT((DAY(Sales!$AR$1)-1)/2)+'Cash Drivers'!AR$13,0)=EOMONTH($CQ$1,0),Sales!AR$6,0)+IF(EOMONTH(DATE(YEAR(Sales!$AO$1),MONTH(Sales!$AO$1),1)+INT((DAY(Sales!$AO$1)-1)/2)+'Cash Drivers'!AO$13,0)=EOMONTH($CQ$1,0),Sales!AO$6,0)+IF(EOMONTH(DATE(YEAR(Sales!$AL$1),MONTH(Sales!$AL$1),1)+INT((DAY(Sales!$AL$1)-1)/2)+'Cash Drivers'!AL$13,0)=EOMONTH($CQ$1,0),Sales!AL$6,0)+IF(EOMONTH(DATE(YEAR(Sales!$AI$1),MONTH(Sales!$AI$1),1)+INT((DAY(Sales!$AI$1)-1)/2)+'Cash Drivers'!AI$13,0)=EOMONTH($CQ$1,0),Sales!AI$6,0)+IF(EOMONTH(DATE(YEAR(Sales!$AF$1),MONTH(Sales!$AF$1),1)+INT((DAY(Sales!$AF$1)-1)/2)+'Cash Drivers'!AF$13,0)=EOMONTH($CQ$1,0),Sales!AF$6,0)+IF(EOMONTH(DATE(YEAR(Sales!$AC$1),MONTH(Sales!$AC$1),1)+INT((DAY(Sales!$AC$1)-1)/2)+'Cash Drivers'!AC$13,0)=EOMONTH($CQ$1,0),Sales!AC$6,0)+IF(EOMONTH(DATE(YEAR(Sales!$Z$1),MONTH(Sales!$Z$1),1)+INT((DAY(Sales!$Z$1)-1)/2)+'Cash Drivers'!Z$13,0)=EOMONTH($CQ$1,0),Sales!Z$6,0)+IF(EOMONTH(DATE(YEAR(Sales!$W$1),MONTH(Sales!$W$1),1)+INT((DAY(Sales!$W$1)-1)/2)+'Cash Drivers'!W$13,0)=EOMONTH($CQ$1,0),Sales!W$6,0)+IF(EOMONTH(DATE(YEAR(Sales!$T$1),MONTH(Sales!$T$1),1)+INT((DAY(Sales!$T$1)-1)/2)+'Cash Drivers'!T$13,0)=EOMONTH($CQ$1,0),Sales!T$6,0)+IF(EOMONTH(DATE(YEAR(Sales!$Q$1),MONTH(Sales!$Q$1),1)+INT((DAY(Sales!$Q$1)-1)/2)+'Cash Drivers'!Q$13,0)=EOMONTH($CQ$1,0),Sales!Q$6,0)+IF(EOMONTH(DATE(YEAR(Sales!$N$1),MONTH(Sales!$N$1),1)+INT((DAY(Sales!$N$1)-1)/2)+'Cash Drivers'!N$13,0)=EOMONTH($CQ$1,0),Sales!N$6,0)+IF(EOMONTH(DATE(YEAR(Sales!$K$1),MONTH(Sales!$K$1),1)+INT((DAY(Sales!$K$1)-1)/2)+'Cash Drivers'!K$13,0)=EOMONTH($CQ$1,0),Sales!K$6,0)+IF(EOMONTH('Cash Drivers'!$DL$30+'Cash Drivers'!DL$13,0)=EOMONTH($CQ$1,0),'Cash Drivers'!$DL$32,0),0)</f>
        <v>0</v>
      </c>
      <c r="CR18" s="45" t="n">
        <f aca="false">ROUND(IF(EOMONTH(DATE(YEAR(Sales!$DL$1),MONTH(Sales!$DL$1),1)+INT((DAY(Sales!$DL$1)-1)/2)+'Cash Drivers'!DM$13,0)=EOMONTH($CQ$1,0),Sales!DM$6,0)+IF(EOMONTH(DATE(YEAR(Sales!$DI$1),MONTH(Sales!$DI$1),1)+INT((DAY(Sales!$DI$1)-1)/2)+'Cash Drivers'!DJ$13,0)=EOMONTH($CQ$1,0),Sales!DJ$6,0)+IF(EOMONTH(DATE(YEAR(Sales!$DF$1),MONTH(Sales!$DF$1),1)+INT((DAY(Sales!$DF$1)-1)/2)+'Cash Drivers'!DG$13,0)=EOMONTH($CQ$1,0),Sales!DG$6,0)+IF(EOMONTH(DATE(YEAR(Sales!$DC$1),MONTH(Sales!$DC$1),1)+INT((DAY(Sales!$DC$1)-1)/2)+'Cash Drivers'!DD$13,0)=EOMONTH($CQ$1,0),Sales!DD$6,0)+IF(EOMONTH(DATE(YEAR(Sales!$CZ$1),MONTH(Sales!$CZ$1),1)+INT((DAY(Sales!$CZ$1)-1)/2)+'Cash Drivers'!DA$13,0)=EOMONTH($CQ$1,0),Sales!DA$6,0)+IF(EOMONTH(DATE(YEAR(Sales!$CW$1),MONTH(Sales!$CW$1),1)+INT((DAY(Sales!$CW$1)-1)/2)+'Cash Drivers'!CX$13,0)=EOMONTH($CQ$1,0),Sales!CX$6,0)+IF(EOMONTH(DATE(YEAR(Sales!$CT$1),MONTH(Sales!$CT$1),1)+INT((DAY(Sales!$CT$1)-1)/2)+'Cash Drivers'!CU$13,0)=EOMONTH($CQ$1,0),Sales!CU$6,0)+IF(EOMONTH(DATE(YEAR(Sales!$CQ$1),MONTH(Sales!$CQ$1),1)+INT((DAY(Sales!$CQ$1)-1)/2)+'Cash Drivers'!CR$13,0)=EOMONTH($CQ$1,0),Sales!CR$6,0)+IF(EOMONTH(DATE(YEAR(Sales!$CN$1),MONTH(Sales!$CN$1),1)+INT((DAY(Sales!$CN$1)-1)/2)+'Cash Drivers'!CO$13,0)=EOMONTH($CQ$1,0),Sales!CO$6,0)+IF(EOMONTH(DATE(YEAR(Sales!$CK$1),MONTH(Sales!$CK$1),1)+INT((DAY(Sales!$CK$1)-1)/2)+'Cash Drivers'!CL$13,0)=EOMONTH($CQ$1,0),Sales!CL$6,0)+IF(EOMONTH(DATE(YEAR(Sales!$CH$1),MONTH(Sales!$CH$1),1)+INT((DAY(Sales!$CH$1)-1)/2)+'Cash Drivers'!CI$13,0)=EOMONTH($CQ$1,0),Sales!CI$6,0)+IF(EOMONTH(DATE(YEAR(Sales!$CE$1),MONTH(Sales!$CE$1),1)+INT((DAY(Sales!$CE$1)-1)/2)+'Cash Drivers'!CF$13,0)=EOMONTH($CQ$1,0),Sales!CF$6,0)+IF(EOMONTH(DATE(YEAR(Sales!$CB$1),MONTH(Sales!$CB$1),1)+INT((DAY(Sales!$CB$1)-1)/2)+'Cash Drivers'!CC$13,0)=EOMONTH($CQ$1,0),Sales!CC$6,0)+IF(EOMONTH(DATE(YEAR(Sales!$BY$1),MONTH(Sales!$BY$1),1)+INT((DAY(Sales!$BY$1)-1)/2)+'Cash Drivers'!BZ$13,0)=EOMONTH($CQ$1,0),Sales!BZ$6,0)+IF(EOMONTH(DATE(YEAR(Sales!$BV$1),MONTH(Sales!$BV$1),1)+INT((DAY(Sales!$BV$1)-1)/2)+'Cash Drivers'!BW$13,0)=EOMONTH($CQ$1,0),Sales!BW$6,0)+IF(EOMONTH(DATE(YEAR(Sales!$BS$1),MONTH(Sales!$BS$1),1)+INT((DAY(Sales!$BS$1)-1)/2)+'Cash Drivers'!BT$13,0)=EOMONTH($CQ$1,0),Sales!BT$6,0)+IF(EOMONTH(DATE(YEAR(Sales!$BP$1),MONTH(Sales!$BP$1),1)+INT((DAY(Sales!$BP$1)-1)/2)+'Cash Drivers'!BQ$13,0)=EOMONTH($CQ$1,0),Sales!BQ$6,0)+IF(EOMONTH(DATE(YEAR(Sales!$BM$1),MONTH(Sales!$BM$1),1)+INT((DAY(Sales!$BM$1)-1)/2)+'Cash Drivers'!BN$13,0)=EOMONTH($CQ$1,0),Sales!BN$6,0)+IF(EOMONTH(DATE(YEAR(Sales!$BJ$1),MONTH(Sales!$BJ$1),1)+INT((DAY(Sales!$BJ$1)-1)/2)+'Cash Drivers'!BK$13,0)=EOMONTH($CQ$1,0),Sales!BK$6,0)+IF(EOMONTH(DATE(YEAR(Sales!$BG$1),MONTH(Sales!$BG$1),1)+INT((DAY(Sales!$BG$1)-1)/2)+'Cash Drivers'!BH$13,0)=EOMONTH($CQ$1,0),Sales!BH$6,0)+IF(EOMONTH(DATE(YEAR(Sales!$BD$1),MONTH(Sales!$BD$1),1)+INT((DAY(Sales!$BD$1)-1)/2)+'Cash Drivers'!BE$13,0)=EOMONTH($CQ$1,0),Sales!BE$6,0)+IF(EOMONTH(DATE(YEAR(Sales!$BA$1),MONTH(Sales!$BA$1),1)+INT((DAY(Sales!$BA$1)-1)/2)+'Cash Drivers'!BB$13,0)=EOMONTH($CQ$1,0),Sales!BB$6,0)+IF(EOMONTH(DATE(YEAR(Sales!$AX$1),MONTH(Sales!$AX$1),1)+INT((DAY(Sales!$AX$1)-1)/2)+'Cash Drivers'!AY$13,0)=EOMONTH($CQ$1,0),Sales!AY$6,0)+IF(EOMONTH(DATE(YEAR(Sales!$AU$1),MONTH(Sales!$AU$1),1)+INT((DAY(Sales!$AU$1)-1)/2)+'Cash Drivers'!AV$13,0)=EOMONTH($CQ$1,0),Sales!AV$6,0)+IF(EOMONTH(DATE(YEAR(Sales!$AR$1),MONTH(Sales!$AR$1),1)+INT((DAY(Sales!$AR$1)-1)/2)+'Cash Drivers'!AS$13,0)=EOMONTH($CQ$1,0),Sales!AS$6,0)+IF(EOMONTH(DATE(YEAR(Sales!$AO$1),MONTH(Sales!$AO$1),1)+INT((DAY(Sales!$AO$1)-1)/2)+'Cash Drivers'!AP$13,0)=EOMONTH($CQ$1,0),Sales!AP$6,0)+IF(EOMONTH(DATE(YEAR(Sales!$AL$1),MONTH(Sales!$AL$1),1)+INT((DAY(Sales!$AL$1)-1)/2)+'Cash Drivers'!AM$13,0)=EOMONTH($CQ$1,0),Sales!AM$6,0)+IF(EOMONTH(DATE(YEAR(Sales!$AI$1),MONTH(Sales!$AI$1),1)+INT((DAY(Sales!$AI$1)-1)/2)+'Cash Drivers'!AJ$13,0)=EOMONTH($CQ$1,0),Sales!AJ$6,0)+IF(EOMONTH(DATE(YEAR(Sales!$AF$1),MONTH(Sales!$AF$1),1)+INT((DAY(Sales!$AF$1)-1)/2)+'Cash Drivers'!AG$13,0)=EOMONTH($CQ$1,0),Sales!AG$6,0)+IF(EOMONTH(DATE(YEAR(Sales!$AC$1),MONTH(Sales!$AC$1),1)+INT((DAY(Sales!$AC$1)-1)/2)+'Cash Drivers'!AD$13,0)=EOMONTH($CQ$1,0),Sales!AD$6,0)+IF(EOMONTH(DATE(YEAR(Sales!$Z$1),MONTH(Sales!$Z$1),1)+INT((DAY(Sales!$Z$1)-1)/2)+'Cash Drivers'!AA$13,0)=EOMONTH($CQ$1,0),Sales!AA$6,0)+IF(EOMONTH(DATE(YEAR(Sales!$W$1),MONTH(Sales!$W$1),1)+INT((DAY(Sales!$W$1)-1)/2)+'Cash Drivers'!X$13,0)=EOMONTH($CQ$1,0),Sales!X$6,0)+IF(EOMONTH(DATE(YEAR(Sales!$T$1),MONTH(Sales!$T$1),1)+INT((DAY(Sales!$T$1)-1)/2)+'Cash Drivers'!U$13,0)=EOMONTH($CQ$1,0),Sales!U$6,0)+IF(EOMONTH(DATE(YEAR(Sales!$Q$1),MONTH(Sales!$Q$1),1)+INT((DAY(Sales!$Q$1)-1)/2)+'Cash Drivers'!R$13,0)=EOMONTH($CQ$1,0),Sales!R$6,0)+IF(EOMONTH(DATE(YEAR(Sales!$N$1),MONTH(Sales!$N$1),1)+INT((DAY(Sales!$N$1)-1)/2)+'Cash Drivers'!O$13,0)=EOMONTH($CQ$1,0),Sales!O$6,0)+IF(EOMONTH(DATE(YEAR(Sales!$K$1),MONTH(Sales!$K$1),1)+INT((DAY(Sales!$K$1)-1)/2)+'Cash Drivers'!L$13,0)=EOMONTH($CQ$1,0),Sales!L$6,0)+IF(EOMONTH('Cash Drivers'!$DL$30+'Cash Drivers'!DM$13,0)=EOMONTH($CQ$1,0),'Cash Drivers'!$DL$32,0),0)</f>
        <v>19</v>
      </c>
      <c r="CS18" s="46" t="n">
        <f aca="false">ROUND(IF(EOMONTH(DATE(YEAR(Sales!$DL$1),MONTH(Sales!$DL$1),1)+INT((DAY(Sales!$DL$1)-1)/2)+'Cash Drivers'!DN$13,0)=EOMONTH($CQ$1,0),Sales!DN$6,0)+IF(EOMONTH(DATE(YEAR(Sales!$DI$1),MONTH(Sales!$DI$1),1)+INT((DAY(Sales!$DI$1)-1)/2)+'Cash Drivers'!DK$13,0)=EOMONTH($CQ$1,0),Sales!DK$6,0)+IF(EOMONTH(DATE(YEAR(Sales!$DF$1),MONTH(Sales!$DF$1),1)+INT((DAY(Sales!$DF$1)-1)/2)+'Cash Drivers'!DH$13,0)=EOMONTH($CQ$1,0),Sales!DH$6,0)+IF(EOMONTH(DATE(YEAR(Sales!$DC$1),MONTH(Sales!$DC$1),1)+INT((DAY(Sales!$DC$1)-1)/2)+'Cash Drivers'!DE$13,0)=EOMONTH($CQ$1,0),Sales!DE$6,0)+IF(EOMONTH(DATE(YEAR(Sales!$CZ$1),MONTH(Sales!$CZ$1),1)+INT((DAY(Sales!$CZ$1)-1)/2)+'Cash Drivers'!DB$13,0)=EOMONTH($CQ$1,0),Sales!DB$6,0)+IF(EOMONTH(DATE(YEAR(Sales!$CW$1),MONTH(Sales!$CW$1),1)+INT((DAY(Sales!$CW$1)-1)/2)+'Cash Drivers'!CY$13,0)=EOMONTH($CQ$1,0),Sales!CY$6,0)+IF(EOMONTH(DATE(YEAR(Sales!$CT$1),MONTH(Sales!$CT$1),1)+INT((DAY(Sales!$CT$1)-1)/2)+'Cash Drivers'!CV$13,0)=EOMONTH($CQ$1,0),Sales!CV$6,0)+IF(EOMONTH(DATE(YEAR(Sales!$CQ$1),MONTH(Sales!$CQ$1),1)+INT((DAY(Sales!$CQ$1)-1)/2)+'Cash Drivers'!CS$13,0)=EOMONTH($CQ$1,0),Sales!CS$6,0)+IF(EOMONTH(DATE(YEAR(Sales!$CN$1),MONTH(Sales!$CN$1),1)+INT((DAY(Sales!$CN$1)-1)/2)+'Cash Drivers'!CP$13,0)=EOMONTH($CQ$1,0),Sales!CP$6,0)+IF(EOMONTH(DATE(YEAR(Sales!$CK$1),MONTH(Sales!$CK$1),1)+INT((DAY(Sales!$CK$1)-1)/2)+'Cash Drivers'!CM$13,0)=EOMONTH($CQ$1,0),Sales!CM$6,0)+IF(EOMONTH(DATE(YEAR(Sales!$CH$1),MONTH(Sales!$CH$1),1)+INT((DAY(Sales!$CH$1)-1)/2)+'Cash Drivers'!CJ$13,0)=EOMONTH($CQ$1,0),Sales!CJ$6,0)+IF(EOMONTH(DATE(YEAR(Sales!$CE$1),MONTH(Sales!$CE$1),1)+INT((DAY(Sales!$CE$1)-1)/2)+'Cash Drivers'!CG$13,0)=EOMONTH($CQ$1,0),Sales!CG$6,0)+IF(EOMONTH(DATE(YEAR(Sales!$CB$1),MONTH(Sales!$CB$1),1)+INT((DAY(Sales!$CB$1)-1)/2)+'Cash Drivers'!CD$13,0)=EOMONTH($CQ$1,0),Sales!CD$6,0)+IF(EOMONTH(DATE(YEAR(Sales!$BY$1),MONTH(Sales!$BY$1),1)+INT((DAY(Sales!$BY$1)-1)/2)+'Cash Drivers'!CA$13,0)=EOMONTH($CQ$1,0),Sales!CA$6,0)+IF(EOMONTH(DATE(YEAR(Sales!$BV$1),MONTH(Sales!$BV$1),1)+INT((DAY(Sales!$BV$1)-1)/2)+'Cash Drivers'!BX$13,0)=EOMONTH($CQ$1,0),Sales!BX$6,0)+IF(EOMONTH(DATE(YEAR(Sales!$BS$1),MONTH(Sales!$BS$1),1)+INT((DAY(Sales!$BS$1)-1)/2)+'Cash Drivers'!BU$13,0)=EOMONTH($CQ$1,0),Sales!BU$6,0)+IF(EOMONTH(DATE(YEAR(Sales!$BP$1),MONTH(Sales!$BP$1),1)+INT((DAY(Sales!$BP$1)-1)/2)+'Cash Drivers'!BR$13,0)=EOMONTH($CQ$1,0),Sales!BR$6,0)+IF(EOMONTH(DATE(YEAR(Sales!$BM$1),MONTH(Sales!$BM$1),1)+INT((DAY(Sales!$BM$1)-1)/2)+'Cash Drivers'!BO$13,0)=EOMONTH($CQ$1,0),Sales!BO$6,0)+IF(EOMONTH(DATE(YEAR(Sales!$BJ$1),MONTH(Sales!$BJ$1),1)+INT((DAY(Sales!$BJ$1)-1)/2)+'Cash Drivers'!BL$13,0)=EOMONTH($CQ$1,0),Sales!BL$6,0)+IF(EOMONTH(DATE(YEAR(Sales!$BG$1),MONTH(Sales!$BG$1),1)+INT((DAY(Sales!$BG$1)-1)/2)+'Cash Drivers'!BI$13,0)=EOMONTH($CQ$1,0),Sales!BI$6,0)+IF(EOMONTH(DATE(YEAR(Sales!$BD$1),MONTH(Sales!$BD$1),1)+INT((DAY(Sales!$BD$1)-1)/2)+'Cash Drivers'!BF$13,0)=EOMONTH($CQ$1,0),Sales!BF$6,0)+IF(EOMONTH(DATE(YEAR(Sales!$BA$1),MONTH(Sales!$BA$1),1)+INT((DAY(Sales!$BA$1)-1)/2)+'Cash Drivers'!BC$13,0)=EOMONTH($CQ$1,0),Sales!BC$6,0)+IF(EOMONTH(DATE(YEAR(Sales!$AX$1),MONTH(Sales!$AX$1),1)+INT((DAY(Sales!$AX$1)-1)/2)+'Cash Drivers'!AZ$13,0)=EOMONTH($CQ$1,0),Sales!AZ$6,0)+IF(EOMONTH(DATE(YEAR(Sales!$AU$1),MONTH(Sales!$AU$1),1)+INT((DAY(Sales!$AU$1)-1)/2)+'Cash Drivers'!AW$13,0)=EOMONTH($CQ$1,0),Sales!AW$6,0)+IF(EOMONTH(DATE(YEAR(Sales!$AR$1),MONTH(Sales!$AR$1),1)+INT((DAY(Sales!$AR$1)-1)/2)+'Cash Drivers'!AT$13,0)=EOMONTH($CQ$1,0),Sales!AT$6,0)+IF(EOMONTH(DATE(YEAR(Sales!$AO$1),MONTH(Sales!$AO$1),1)+INT((DAY(Sales!$AO$1)-1)/2)+'Cash Drivers'!AQ$13,0)=EOMONTH($CQ$1,0),Sales!AQ$6,0)+IF(EOMONTH(DATE(YEAR(Sales!$AL$1),MONTH(Sales!$AL$1),1)+INT((DAY(Sales!$AL$1)-1)/2)+'Cash Drivers'!AN$13,0)=EOMONTH($CQ$1,0),Sales!AN$6,0)+IF(EOMONTH(DATE(YEAR(Sales!$AI$1),MONTH(Sales!$AI$1),1)+INT((DAY(Sales!$AI$1)-1)/2)+'Cash Drivers'!AK$13,0)=EOMONTH($CQ$1,0),Sales!AK$6,0)+IF(EOMONTH(DATE(YEAR(Sales!$AF$1),MONTH(Sales!$AF$1),1)+INT((DAY(Sales!$AF$1)-1)/2)+'Cash Drivers'!AH$13,0)=EOMONTH($CQ$1,0),Sales!AH$6,0)+IF(EOMONTH(DATE(YEAR(Sales!$AC$1),MONTH(Sales!$AC$1),1)+INT((DAY(Sales!$AC$1)-1)/2)+'Cash Drivers'!AE$13,0)=EOMONTH($CQ$1,0),Sales!AE$6,0)+IF(EOMONTH(DATE(YEAR(Sales!$Z$1),MONTH(Sales!$Z$1),1)+INT((DAY(Sales!$Z$1)-1)/2)+'Cash Drivers'!AB$13,0)=EOMONTH($CQ$1,0),Sales!AB$6,0)+IF(EOMONTH(DATE(YEAR(Sales!$W$1),MONTH(Sales!$W$1),1)+INT((DAY(Sales!$W$1)-1)/2)+'Cash Drivers'!Y$13,0)=EOMONTH($CQ$1,0),Sales!Y$6,0)+IF(EOMONTH(DATE(YEAR(Sales!$T$1),MONTH(Sales!$T$1),1)+INT((DAY(Sales!$T$1)-1)/2)+'Cash Drivers'!V$13,0)=EOMONTH($CQ$1,0),Sales!V$6,0)+IF(EOMONTH(DATE(YEAR(Sales!$Q$1),MONTH(Sales!$Q$1),1)+INT((DAY(Sales!$Q$1)-1)/2)+'Cash Drivers'!S$13,0)=EOMONTH($CQ$1,0),Sales!S$6,0)+IF(EOMONTH(DATE(YEAR(Sales!$N$1),MONTH(Sales!$N$1),1)+INT((DAY(Sales!$N$1)-1)/2)+'Cash Drivers'!P$13,0)=EOMONTH($CQ$1,0),Sales!P$6,0)+IF(EOMONTH(DATE(YEAR(Sales!$K$1),MONTH(Sales!$K$1),1)+INT((DAY(Sales!$K$1)-1)/2)+'Cash Drivers'!M$13,0)=EOMONTH($CQ$1,0),Sales!M$6,0)+IF(EOMONTH('Cash Drivers'!$DL$30+'Cash Drivers'!DN$13,0)=EOMONTH($CQ$1,0),'Cash Drivers'!$DL$32,0),0)</f>
        <v>19</v>
      </c>
      <c r="CT18" s="44" t="n">
        <f aca="false">ROUND(IF(EOMONTH(DATE(YEAR(Sales!$DL$1),MONTH(Sales!$DL$1),1)+INT((DAY(Sales!$DL$1)-1)/2)+'Cash Drivers'!DL$13,0)=EOMONTH($CT$1,0),Sales!DL$6,0)+IF(EOMONTH(DATE(YEAR(Sales!$DI$1),MONTH(Sales!$DI$1),1)+INT((DAY(Sales!$DI$1)-1)/2)+'Cash Drivers'!DI$13,0)=EOMONTH($CT$1,0),Sales!DI$6,0)+IF(EOMONTH(DATE(YEAR(Sales!$DF$1),MONTH(Sales!$DF$1),1)+INT((DAY(Sales!$DF$1)-1)/2)+'Cash Drivers'!DF$13,0)=EOMONTH($CT$1,0),Sales!DF$6,0)+IF(EOMONTH(DATE(YEAR(Sales!$DC$1),MONTH(Sales!$DC$1),1)+INT((DAY(Sales!$DC$1)-1)/2)+'Cash Drivers'!DC$13,0)=EOMONTH($CT$1,0),Sales!DC$6,0)+IF(EOMONTH(DATE(YEAR(Sales!$CZ$1),MONTH(Sales!$CZ$1),1)+INT((DAY(Sales!$CZ$1)-1)/2)+'Cash Drivers'!CZ$13,0)=EOMONTH($CT$1,0),Sales!CZ$6,0)+IF(EOMONTH(DATE(YEAR(Sales!$CW$1),MONTH(Sales!$CW$1),1)+INT((DAY(Sales!$CW$1)-1)/2)+'Cash Drivers'!CW$13,0)=EOMONTH($CT$1,0),Sales!CW$6,0)+IF(EOMONTH(DATE(YEAR(Sales!$CT$1),MONTH(Sales!$CT$1),1)+INT((DAY(Sales!$CT$1)-1)/2)+'Cash Drivers'!CT$13,0)=EOMONTH($CT$1,0),Sales!CT$6,0)+IF(EOMONTH(DATE(YEAR(Sales!$CQ$1),MONTH(Sales!$CQ$1),1)+INT((DAY(Sales!$CQ$1)-1)/2)+'Cash Drivers'!CQ$13,0)=EOMONTH($CT$1,0),Sales!CQ$6,0)+IF(EOMONTH(DATE(YEAR(Sales!$CN$1),MONTH(Sales!$CN$1),1)+INT((DAY(Sales!$CN$1)-1)/2)+'Cash Drivers'!CN$13,0)=EOMONTH($CT$1,0),Sales!CN$6,0)+IF(EOMONTH(DATE(YEAR(Sales!$CK$1),MONTH(Sales!$CK$1),1)+INT((DAY(Sales!$CK$1)-1)/2)+'Cash Drivers'!CK$13,0)=EOMONTH($CT$1,0),Sales!CK$6,0)+IF(EOMONTH(DATE(YEAR(Sales!$CH$1),MONTH(Sales!$CH$1),1)+INT((DAY(Sales!$CH$1)-1)/2)+'Cash Drivers'!CH$13,0)=EOMONTH($CT$1,0),Sales!CH$6,0)+IF(EOMONTH(DATE(YEAR(Sales!$CE$1),MONTH(Sales!$CE$1),1)+INT((DAY(Sales!$CE$1)-1)/2)+'Cash Drivers'!CE$13,0)=EOMONTH($CT$1,0),Sales!CE$6,0)+IF(EOMONTH(DATE(YEAR(Sales!$CB$1),MONTH(Sales!$CB$1),1)+INT((DAY(Sales!$CB$1)-1)/2)+'Cash Drivers'!CB$13,0)=EOMONTH($CT$1,0),Sales!CB$6,0)+IF(EOMONTH(DATE(YEAR(Sales!$BY$1),MONTH(Sales!$BY$1),1)+INT((DAY(Sales!$BY$1)-1)/2)+'Cash Drivers'!BY$13,0)=EOMONTH($CT$1,0),Sales!BY$6,0)+IF(EOMONTH(DATE(YEAR(Sales!$BV$1),MONTH(Sales!$BV$1),1)+INT((DAY(Sales!$BV$1)-1)/2)+'Cash Drivers'!BV$13,0)=EOMONTH($CT$1,0),Sales!BV$6,0)+IF(EOMONTH(DATE(YEAR(Sales!$BS$1),MONTH(Sales!$BS$1),1)+INT((DAY(Sales!$BS$1)-1)/2)+'Cash Drivers'!BS$13,0)=EOMONTH($CT$1,0),Sales!BS$6,0)+IF(EOMONTH(DATE(YEAR(Sales!$BP$1),MONTH(Sales!$BP$1),1)+INT((DAY(Sales!$BP$1)-1)/2)+'Cash Drivers'!BP$13,0)=EOMONTH($CT$1,0),Sales!BP$6,0)+IF(EOMONTH(DATE(YEAR(Sales!$BM$1),MONTH(Sales!$BM$1),1)+INT((DAY(Sales!$BM$1)-1)/2)+'Cash Drivers'!BM$13,0)=EOMONTH($CT$1,0),Sales!BM$6,0)+IF(EOMONTH(DATE(YEAR(Sales!$BJ$1),MONTH(Sales!$BJ$1),1)+INT((DAY(Sales!$BJ$1)-1)/2)+'Cash Drivers'!BJ$13,0)=EOMONTH($CT$1,0),Sales!BJ$6,0)+IF(EOMONTH(DATE(YEAR(Sales!$BG$1),MONTH(Sales!$BG$1),1)+INT((DAY(Sales!$BG$1)-1)/2)+'Cash Drivers'!BG$13,0)=EOMONTH($CT$1,0),Sales!BG$6,0)+IF(EOMONTH(DATE(YEAR(Sales!$BD$1),MONTH(Sales!$BD$1),1)+INT((DAY(Sales!$BD$1)-1)/2)+'Cash Drivers'!BD$13,0)=EOMONTH($CT$1,0),Sales!BD$6,0)+IF(EOMONTH(DATE(YEAR(Sales!$BA$1),MONTH(Sales!$BA$1),1)+INT((DAY(Sales!$BA$1)-1)/2)+'Cash Drivers'!BA$13,0)=EOMONTH($CT$1,0),Sales!BA$6,0)+IF(EOMONTH(DATE(YEAR(Sales!$AX$1),MONTH(Sales!$AX$1),1)+INT((DAY(Sales!$AX$1)-1)/2)+'Cash Drivers'!AX$13,0)=EOMONTH($CT$1,0),Sales!AX$6,0)+IF(EOMONTH(DATE(YEAR(Sales!$AU$1),MONTH(Sales!$AU$1),1)+INT((DAY(Sales!$AU$1)-1)/2)+'Cash Drivers'!AU$13,0)=EOMONTH($CT$1,0),Sales!AU$6,0)+IF(EOMONTH(DATE(YEAR(Sales!$AR$1),MONTH(Sales!$AR$1),1)+INT((DAY(Sales!$AR$1)-1)/2)+'Cash Drivers'!AR$13,0)=EOMONTH($CT$1,0),Sales!AR$6,0)+IF(EOMONTH(DATE(YEAR(Sales!$AO$1),MONTH(Sales!$AO$1),1)+INT((DAY(Sales!$AO$1)-1)/2)+'Cash Drivers'!AO$13,0)=EOMONTH($CT$1,0),Sales!AO$6,0)+IF(EOMONTH(DATE(YEAR(Sales!$AL$1),MONTH(Sales!$AL$1),1)+INT((DAY(Sales!$AL$1)-1)/2)+'Cash Drivers'!AL$13,0)=EOMONTH($CT$1,0),Sales!AL$6,0)+IF(EOMONTH(DATE(YEAR(Sales!$AI$1),MONTH(Sales!$AI$1),1)+INT((DAY(Sales!$AI$1)-1)/2)+'Cash Drivers'!AI$13,0)=EOMONTH($CT$1,0),Sales!AI$6,0)+IF(EOMONTH(DATE(YEAR(Sales!$AF$1),MONTH(Sales!$AF$1),1)+INT((DAY(Sales!$AF$1)-1)/2)+'Cash Drivers'!AF$13,0)=EOMONTH($CT$1,0),Sales!AF$6,0)+IF(EOMONTH(DATE(YEAR(Sales!$AC$1),MONTH(Sales!$AC$1),1)+INT((DAY(Sales!$AC$1)-1)/2)+'Cash Drivers'!AC$13,0)=EOMONTH($CT$1,0),Sales!AC$6,0)+IF(EOMONTH(DATE(YEAR(Sales!$Z$1),MONTH(Sales!$Z$1),1)+INT((DAY(Sales!$Z$1)-1)/2)+'Cash Drivers'!Z$13,0)=EOMONTH($CT$1,0),Sales!Z$6,0)+IF(EOMONTH(DATE(YEAR(Sales!$W$1),MONTH(Sales!$W$1),1)+INT((DAY(Sales!$W$1)-1)/2)+'Cash Drivers'!W$13,0)=EOMONTH($CT$1,0),Sales!W$6,0)+IF(EOMONTH(DATE(YEAR(Sales!$T$1),MONTH(Sales!$T$1),1)+INT((DAY(Sales!$T$1)-1)/2)+'Cash Drivers'!T$13,0)=EOMONTH($CT$1,0),Sales!T$6,0)+IF(EOMONTH(DATE(YEAR(Sales!$Q$1),MONTH(Sales!$Q$1),1)+INT((DAY(Sales!$Q$1)-1)/2)+'Cash Drivers'!Q$13,0)=EOMONTH($CT$1,0),Sales!Q$6,0)+IF(EOMONTH(DATE(YEAR(Sales!$N$1),MONTH(Sales!$N$1),1)+INT((DAY(Sales!$N$1)-1)/2)+'Cash Drivers'!N$13,0)=EOMONTH($CT$1,0),Sales!N$6,0)+IF(EOMONTH(DATE(YEAR(Sales!$K$1),MONTH(Sales!$K$1),1)+INT((DAY(Sales!$K$1)-1)/2)+'Cash Drivers'!K$13,0)=EOMONTH($CT$1,0),Sales!K$6,0)+IF(EOMONTH('Cash Drivers'!$DL$30+'Cash Drivers'!DL$13,0)=EOMONTH($CT$1,0),'Cash Drivers'!$DL$32,0),0)</f>
        <v>0</v>
      </c>
      <c r="CU18" s="45" t="n">
        <f aca="false">ROUND(IF(EOMONTH(DATE(YEAR(Sales!$DL$1),MONTH(Sales!$DL$1),1)+INT((DAY(Sales!$DL$1)-1)/2)+'Cash Drivers'!DM$13,0)=EOMONTH($CT$1,0),Sales!DM$6,0)+IF(EOMONTH(DATE(YEAR(Sales!$DI$1),MONTH(Sales!$DI$1),1)+INT((DAY(Sales!$DI$1)-1)/2)+'Cash Drivers'!DJ$13,0)=EOMONTH($CT$1,0),Sales!DJ$6,0)+IF(EOMONTH(DATE(YEAR(Sales!$DF$1),MONTH(Sales!$DF$1),1)+INT((DAY(Sales!$DF$1)-1)/2)+'Cash Drivers'!DG$13,0)=EOMONTH($CT$1,0),Sales!DG$6,0)+IF(EOMONTH(DATE(YEAR(Sales!$DC$1),MONTH(Sales!$DC$1),1)+INT((DAY(Sales!$DC$1)-1)/2)+'Cash Drivers'!DD$13,0)=EOMONTH($CT$1,0),Sales!DD$6,0)+IF(EOMONTH(DATE(YEAR(Sales!$CZ$1),MONTH(Sales!$CZ$1),1)+INT((DAY(Sales!$CZ$1)-1)/2)+'Cash Drivers'!DA$13,0)=EOMONTH($CT$1,0),Sales!DA$6,0)+IF(EOMONTH(DATE(YEAR(Sales!$CW$1),MONTH(Sales!$CW$1),1)+INT((DAY(Sales!$CW$1)-1)/2)+'Cash Drivers'!CX$13,0)=EOMONTH($CT$1,0),Sales!CX$6,0)+IF(EOMONTH(DATE(YEAR(Sales!$CT$1),MONTH(Sales!$CT$1),1)+INT((DAY(Sales!$CT$1)-1)/2)+'Cash Drivers'!CU$13,0)=EOMONTH($CT$1,0),Sales!CU$6,0)+IF(EOMONTH(DATE(YEAR(Sales!$CQ$1),MONTH(Sales!$CQ$1),1)+INT((DAY(Sales!$CQ$1)-1)/2)+'Cash Drivers'!CR$13,0)=EOMONTH($CT$1,0),Sales!CR$6,0)+IF(EOMONTH(DATE(YEAR(Sales!$CN$1),MONTH(Sales!$CN$1),1)+INT((DAY(Sales!$CN$1)-1)/2)+'Cash Drivers'!CO$13,0)=EOMONTH($CT$1,0),Sales!CO$6,0)+IF(EOMONTH(DATE(YEAR(Sales!$CK$1),MONTH(Sales!$CK$1),1)+INT((DAY(Sales!$CK$1)-1)/2)+'Cash Drivers'!CL$13,0)=EOMONTH($CT$1,0),Sales!CL$6,0)+IF(EOMONTH(DATE(YEAR(Sales!$CH$1),MONTH(Sales!$CH$1),1)+INT((DAY(Sales!$CH$1)-1)/2)+'Cash Drivers'!CI$13,0)=EOMONTH($CT$1,0),Sales!CI$6,0)+IF(EOMONTH(DATE(YEAR(Sales!$CE$1),MONTH(Sales!$CE$1),1)+INT((DAY(Sales!$CE$1)-1)/2)+'Cash Drivers'!CF$13,0)=EOMONTH($CT$1,0),Sales!CF$6,0)+IF(EOMONTH(DATE(YEAR(Sales!$CB$1),MONTH(Sales!$CB$1),1)+INT((DAY(Sales!$CB$1)-1)/2)+'Cash Drivers'!CC$13,0)=EOMONTH($CT$1,0),Sales!CC$6,0)+IF(EOMONTH(DATE(YEAR(Sales!$BY$1),MONTH(Sales!$BY$1),1)+INT((DAY(Sales!$BY$1)-1)/2)+'Cash Drivers'!BZ$13,0)=EOMONTH($CT$1,0),Sales!BZ$6,0)+IF(EOMONTH(DATE(YEAR(Sales!$BV$1),MONTH(Sales!$BV$1),1)+INT((DAY(Sales!$BV$1)-1)/2)+'Cash Drivers'!BW$13,0)=EOMONTH($CT$1,0),Sales!BW$6,0)+IF(EOMONTH(DATE(YEAR(Sales!$BS$1),MONTH(Sales!$BS$1),1)+INT((DAY(Sales!$BS$1)-1)/2)+'Cash Drivers'!BT$13,0)=EOMONTH($CT$1,0),Sales!BT$6,0)+IF(EOMONTH(DATE(YEAR(Sales!$BP$1),MONTH(Sales!$BP$1),1)+INT((DAY(Sales!$BP$1)-1)/2)+'Cash Drivers'!BQ$13,0)=EOMONTH($CT$1,0),Sales!BQ$6,0)+IF(EOMONTH(DATE(YEAR(Sales!$BM$1),MONTH(Sales!$BM$1),1)+INT((DAY(Sales!$BM$1)-1)/2)+'Cash Drivers'!BN$13,0)=EOMONTH($CT$1,0),Sales!BN$6,0)+IF(EOMONTH(DATE(YEAR(Sales!$BJ$1),MONTH(Sales!$BJ$1),1)+INT((DAY(Sales!$BJ$1)-1)/2)+'Cash Drivers'!BK$13,0)=EOMONTH($CT$1,0),Sales!BK$6,0)+IF(EOMONTH(DATE(YEAR(Sales!$BG$1),MONTH(Sales!$BG$1),1)+INT((DAY(Sales!$BG$1)-1)/2)+'Cash Drivers'!BH$13,0)=EOMONTH($CT$1,0),Sales!BH$6,0)+IF(EOMONTH(DATE(YEAR(Sales!$BD$1),MONTH(Sales!$BD$1),1)+INT((DAY(Sales!$BD$1)-1)/2)+'Cash Drivers'!BE$13,0)=EOMONTH($CT$1,0),Sales!BE$6,0)+IF(EOMONTH(DATE(YEAR(Sales!$BA$1),MONTH(Sales!$BA$1),1)+INT((DAY(Sales!$BA$1)-1)/2)+'Cash Drivers'!BB$13,0)=EOMONTH($CT$1,0),Sales!BB$6,0)+IF(EOMONTH(DATE(YEAR(Sales!$AX$1),MONTH(Sales!$AX$1),1)+INT((DAY(Sales!$AX$1)-1)/2)+'Cash Drivers'!AY$13,0)=EOMONTH($CT$1,0),Sales!AY$6,0)+IF(EOMONTH(DATE(YEAR(Sales!$AU$1),MONTH(Sales!$AU$1),1)+INT((DAY(Sales!$AU$1)-1)/2)+'Cash Drivers'!AV$13,0)=EOMONTH($CT$1,0),Sales!AV$6,0)+IF(EOMONTH(DATE(YEAR(Sales!$AR$1),MONTH(Sales!$AR$1),1)+INT((DAY(Sales!$AR$1)-1)/2)+'Cash Drivers'!AS$13,0)=EOMONTH($CT$1,0),Sales!AS$6,0)+IF(EOMONTH(DATE(YEAR(Sales!$AO$1),MONTH(Sales!$AO$1),1)+INT((DAY(Sales!$AO$1)-1)/2)+'Cash Drivers'!AP$13,0)=EOMONTH($CT$1,0),Sales!AP$6,0)+IF(EOMONTH(DATE(YEAR(Sales!$AL$1),MONTH(Sales!$AL$1),1)+INT((DAY(Sales!$AL$1)-1)/2)+'Cash Drivers'!AM$13,0)=EOMONTH($CT$1,0),Sales!AM$6,0)+IF(EOMONTH(DATE(YEAR(Sales!$AI$1),MONTH(Sales!$AI$1),1)+INT((DAY(Sales!$AI$1)-1)/2)+'Cash Drivers'!AJ$13,0)=EOMONTH($CT$1,0),Sales!AJ$6,0)+IF(EOMONTH(DATE(YEAR(Sales!$AF$1),MONTH(Sales!$AF$1),1)+INT((DAY(Sales!$AF$1)-1)/2)+'Cash Drivers'!AG$13,0)=EOMONTH($CT$1,0),Sales!AG$6,0)+IF(EOMONTH(DATE(YEAR(Sales!$AC$1),MONTH(Sales!$AC$1),1)+INT((DAY(Sales!$AC$1)-1)/2)+'Cash Drivers'!AD$13,0)=EOMONTH($CT$1,0),Sales!AD$6,0)+IF(EOMONTH(DATE(YEAR(Sales!$Z$1),MONTH(Sales!$Z$1),1)+INT((DAY(Sales!$Z$1)-1)/2)+'Cash Drivers'!AA$13,0)=EOMONTH($CT$1,0),Sales!AA$6,0)+IF(EOMONTH(DATE(YEAR(Sales!$W$1),MONTH(Sales!$W$1),1)+INT((DAY(Sales!$W$1)-1)/2)+'Cash Drivers'!X$13,0)=EOMONTH($CT$1,0),Sales!X$6,0)+IF(EOMONTH(DATE(YEAR(Sales!$T$1),MONTH(Sales!$T$1),1)+INT((DAY(Sales!$T$1)-1)/2)+'Cash Drivers'!U$13,0)=EOMONTH($CT$1,0),Sales!U$6,0)+IF(EOMONTH(DATE(YEAR(Sales!$Q$1),MONTH(Sales!$Q$1),1)+INT((DAY(Sales!$Q$1)-1)/2)+'Cash Drivers'!R$13,0)=EOMONTH($CT$1,0),Sales!R$6,0)+IF(EOMONTH(DATE(YEAR(Sales!$N$1),MONTH(Sales!$N$1),1)+INT((DAY(Sales!$N$1)-1)/2)+'Cash Drivers'!O$13,0)=EOMONTH($CT$1,0),Sales!O$6,0)+IF(EOMONTH(DATE(YEAR(Sales!$K$1),MONTH(Sales!$K$1),1)+INT((DAY(Sales!$K$1)-1)/2)+'Cash Drivers'!L$13,0)=EOMONTH($CT$1,0),Sales!L$6,0)+IF(EOMONTH('Cash Drivers'!$DL$30+'Cash Drivers'!DM$13,0)=EOMONTH($CT$1,0),'Cash Drivers'!$DL$32,0),0)</f>
        <v>19</v>
      </c>
      <c r="CV18" s="46" t="n">
        <f aca="false">ROUND(IF(EOMONTH(DATE(YEAR(Sales!$DL$1),MONTH(Sales!$DL$1),1)+INT((DAY(Sales!$DL$1)-1)/2)+'Cash Drivers'!DN$13,0)=EOMONTH($CT$1,0),Sales!DN$6,0)+IF(EOMONTH(DATE(YEAR(Sales!$DI$1),MONTH(Sales!$DI$1),1)+INT((DAY(Sales!$DI$1)-1)/2)+'Cash Drivers'!DK$13,0)=EOMONTH($CT$1,0),Sales!DK$6,0)+IF(EOMONTH(DATE(YEAR(Sales!$DF$1),MONTH(Sales!$DF$1),1)+INT((DAY(Sales!$DF$1)-1)/2)+'Cash Drivers'!DH$13,0)=EOMONTH($CT$1,0),Sales!DH$6,0)+IF(EOMONTH(DATE(YEAR(Sales!$DC$1),MONTH(Sales!$DC$1),1)+INT((DAY(Sales!$DC$1)-1)/2)+'Cash Drivers'!DE$13,0)=EOMONTH($CT$1,0),Sales!DE$6,0)+IF(EOMONTH(DATE(YEAR(Sales!$CZ$1),MONTH(Sales!$CZ$1),1)+INT((DAY(Sales!$CZ$1)-1)/2)+'Cash Drivers'!DB$13,0)=EOMONTH($CT$1,0),Sales!DB$6,0)+IF(EOMONTH(DATE(YEAR(Sales!$CW$1),MONTH(Sales!$CW$1),1)+INT((DAY(Sales!$CW$1)-1)/2)+'Cash Drivers'!CY$13,0)=EOMONTH($CT$1,0),Sales!CY$6,0)+IF(EOMONTH(DATE(YEAR(Sales!$CT$1),MONTH(Sales!$CT$1),1)+INT((DAY(Sales!$CT$1)-1)/2)+'Cash Drivers'!CV$13,0)=EOMONTH($CT$1,0),Sales!CV$6,0)+IF(EOMONTH(DATE(YEAR(Sales!$CQ$1),MONTH(Sales!$CQ$1),1)+INT((DAY(Sales!$CQ$1)-1)/2)+'Cash Drivers'!CS$13,0)=EOMONTH($CT$1,0),Sales!CS$6,0)+IF(EOMONTH(DATE(YEAR(Sales!$CN$1),MONTH(Sales!$CN$1),1)+INT((DAY(Sales!$CN$1)-1)/2)+'Cash Drivers'!CP$13,0)=EOMONTH($CT$1,0),Sales!CP$6,0)+IF(EOMONTH(DATE(YEAR(Sales!$CK$1),MONTH(Sales!$CK$1),1)+INT((DAY(Sales!$CK$1)-1)/2)+'Cash Drivers'!CM$13,0)=EOMONTH($CT$1,0),Sales!CM$6,0)+IF(EOMONTH(DATE(YEAR(Sales!$CH$1),MONTH(Sales!$CH$1),1)+INT((DAY(Sales!$CH$1)-1)/2)+'Cash Drivers'!CJ$13,0)=EOMONTH($CT$1,0),Sales!CJ$6,0)+IF(EOMONTH(DATE(YEAR(Sales!$CE$1),MONTH(Sales!$CE$1),1)+INT((DAY(Sales!$CE$1)-1)/2)+'Cash Drivers'!CG$13,0)=EOMONTH($CT$1,0),Sales!CG$6,0)+IF(EOMONTH(DATE(YEAR(Sales!$CB$1),MONTH(Sales!$CB$1),1)+INT((DAY(Sales!$CB$1)-1)/2)+'Cash Drivers'!CD$13,0)=EOMONTH($CT$1,0),Sales!CD$6,0)+IF(EOMONTH(DATE(YEAR(Sales!$BY$1),MONTH(Sales!$BY$1),1)+INT((DAY(Sales!$BY$1)-1)/2)+'Cash Drivers'!CA$13,0)=EOMONTH($CT$1,0),Sales!CA$6,0)+IF(EOMONTH(DATE(YEAR(Sales!$BV$1),MONTH(Sales!$BV$1),1)+INT((DAY(Sales!$BV$1)-1)/2)+'Cash Drivers'!BX$13,0)=EOMONTH($CT$1,0),Sales!BX$6,0)+IF(EOMONTH(DATE(YEAR(Sales!$BS$1),MONTH(Sales!$BS$1),1)+INT((DAY(Sales!$BS$1)-1)/2)+'Cash Drivers'!BU$13,0)=EOMONTH($CT$1,0),Sales!BU$6,0)+IF(EOMONTH(DATE(YEAR(Sales!$BP$1),MONTH(Sales!$BP$1),1)+INT((DAY(Sales!$BP$1)-1)/2)+'Cash Drivers'!BR$13,0)=EOMONTH($CT$1,0),Sales!BR$6,0)+IF(EOMONTH(DATE(YEAR(Sales!$BM$1),MONTH(Sales!$BM$1),1)+INT((DAY(Sales!$BM$1)-1)/2)+'Cash Drivers'!BO$13,0)=EOMONTH($CT$1,0),Sales!BO$6,0)+IF(EOMONTH(DATE(YEAR(Sales!$BJ$1),MONTH(Sales!$BJ$1),1)+INT((DAY(Sales!$BJ$1)-1)/2)+'Cash Drivers'!BL$13,0)=EOMONTH($CT$1,0),Sales!BL$6,0)+IF(EOMONTH(DATE(YEAR(Sales!$BG$1),MONTH(Sales!$BG$1),1)+INT((DAY(Sales!$BG$1)-1)/2)+'Cash Drivers'!BI$13,0)=EOMONTH($CT$1,0),Sales!BI$6,0)+IF(EOMONTH(DATE(YEAR(Sales!$BD$1),MONTH(Sales!$BD$1),1)+INT((DAY(Sales!$BD$1)-1)/2)+'Cash Drivers'!BF$13,0)=EOMONTH($CT$1,0),Sales!BF$6,0)+IF(EOMONTH(DATE(YEAR(Sales!$BA$1),MONTH(Sales!$BA$1),1)+INT((DAY(Sales!$BA$1)-1)/2)+'Cash Drivers'!BC$13,0)=EOMONTH($CT$1,0),Sales!BC$6,0)+IF(EOMONTH(DATE(YEAR(Sales!$AX$1),MONTH(Sales!$AX$1),1)+INT((DAY(Sales!$AX$1)-1)/2)+'Cash Drivers'!AZ$13,0)=EOMONTH($CT$1,0),Sales!AZ$6,0)+IF(EOMONTH(DATE(YEAR(Sales!$AU$1),MONTH(Sales!$AU$1),1)+INT((DAY(Sales!$AU$1)-1)/2)+'Cash Drivers'!AW$13,0)=EOMONTH($CT$1,0),Sales!AW$6,0)+IF(EOMONTH(DATE(YEAR(Sales!$AR$1),MONTH(Sales!$AR$1),1)+INT((DAY(Sales!$AR$1)-1)/2)+'Cash Drivers'!AT$13,0)=EOMONTH($CT$1,0),Sales!AT$6,0)+IF(EOMONTH(DATE(YEAR(Sales!$AO$1),MONTH(Sales!$AO$1),1)+INT((DAY(Sales!$AO$1)-1)/2)+'Cash Drivers'!AQ$13,0)=EOMONTH($CT$1,0),Sales!AQ$6,0)+IF(EOMONTH(DATE(YEAR(Sales!$AL$1),MONTH(Sales!$AL$1),1)+INT((DAY(Sales!$AL$1)-1)/2)+'Cash Drivers'!AN$13,0)=EOMONTH($CT$1,0),Sales!AN$6,0)+IF(EOMONTH(DATE(YEAR(Sales!$AI$1),MONTH(Sales!$AI$1),1)+INT((DAY(Sales!$AI$1)-1)/2)+'Cash Drivers'!AK$13,0)=EOMONTH($CT$1,0),Sales!AK$6,0)+IF(EOMONTH(DATE(YEAR(Sales!$AF$1),MONTH(Sales!$AF$1),1)+INT((DAY(Sales!$AF$1)-1)/2)+'Cash Drivers'!AH$13,0)=EOMONTH($CT$1,0),Sales!AH$6,0)+IF(EOMONTH(DATE(YEAR(Sales!$AC$1),MONTH(Sales!$AC$1),1)+INT((DAY(Sales!$AC$1)-1)/2)+'Cash Drivers'!AE$13,0)=EOMONTH($CT$1,0),Sales!AE$6,0)+IF(EOMONTH(DATE(YEAR(Sales!$Z$1),MONTH(Sales!$Z$1),1)+INT((DAY(Sales!$Z$1)-1)/2)+'Cash Drivers'!AB$13,0)=EOMONTH($CT$1,0),Sales!AB$6,0)+IF(EOMONTH(DATE(YEAR(Sales!$W$1),MONTH(Sales!$W$1),1)+INT((DAY(Sales!$W$1)-1)/2)+'Cash Drivers'!Y$13,0)=EOMONTH($CT$1,0),Sales!Y$6,0)+IF(EOMONTH(DATE(YEAR(Sales!$T$1),MONTH(Sales!$T$1),1)+INT((DAY(Sales!$T$1)-1)/2)+'Cash Drivers'!V$13,0)=EOMONTH($CT$1,0),Sales!V$6,0)+IF(EOMONTH(DATE(YEAR(Sales!$Q$1),MONTH(Sales!$Q$1),1)+INT((DAY(Sales!$Q$1)-1)/2)+'Cash Drivers'!S$13,0)=EOMONTH($CT$1,0),Sales!S$6,0)+IF(EOMONTH(DATE(YEAR(Sales!$N$1),MONTH(Sales!$N$1),1)+INT((DAY(Sales!$N$1)-1)/2)+'Cash Drivers'!P$13,0)=EOMONTH($CT$1,0),Sales!P$6,0)+IF(EOMONTH(DATE(YEAR(Sales!$K$1),MONTH(Sales!$K$1),1)+INT((DAY(Sales!$K$1)-1)/2)+'Cash Drivers'!M$13,0)=EOMONTH($CT$1,0),Sales!M$6,0)+IF(EOMONTH('Cash Drivers'!$DL$30+'Cash Drivers'!DN$13,0)=EOMONTH($CT$1,0),'Cash Drivers'!$DL$32,0),0)</f>
        <v>19</v>
      </c>
      <c r="CW18" s="44" t="n">
        <f aca="false">ROUND(IF(EOMONTH(DATE(YEAR(Sales!$DL$1),MONTH(Sales!$DL$1),1)+INT((DAY(Sales!$DL$1)-1)/2)+'Cash Drivers'!DL$13,0)=EOMONTH($CW$1,0),Sales!DL$6,0)+IF(EOMONTH(DATE(YEAR(Sales!$DI$1),MONTH(Sales!$DI$1),1)+INT((DAY(Sales!$DI$1)-1)/2)+'Cash Drivers'!DI$13,0)=EOMONTH($CW$1,0),Sales!DI$6,0)+IF(EOMONTH(DATE(YEAR(Sales!$DF$1),MONTH(Sales!$DF$1),1)+INT((DAY(Sales!$DF$1)-1)/2)+'Cash Drivers'!DF$13,0)=EOMONTH($CW$1,0),Sales!DF$6,0)+IF(EOMONTH(DATE(YEAR(Sales!$DC$1),MONTH(Sales!$DC$1),1)+INT((DAY(Sales!$DC$1)-1)/2)+'Cash Drivers'!DC$13,0)=EOMONTH($CW$1,0),Sales!DC$6,0)+IF(EOMONTH(DATE(YEAR(Sales!$CZ$1),MONTH(Sales!$CZ$1),1)+INT((DAY(Sales!$CZ$1)-1)/2)+'Cash Drivers'!CZ$13,0)=EOMONTH($CW$1,0),Sales!CZ$6,0)+IF(EOMONTH(DATE(YEAR(Sales!$CW$1),MONTH(Sales!$CW$1),1)+INT((DAY(Sales!$CW$1)-1)/2)+'Cash Drivers'!CW$13,0)=EOMONTH($CW$1,0),Sales!CW$6,0)+IF(EOMONTH(DATE(YEAR(Sales!$CT$1),MONTH(Sales!$CT$1),1)+INT((DAY(Sales!$CT$1)-1)/2)+'Cash Drivers'!CT$13,0)=EOMONTH($CW$1,0),Sales!CT$6,0)+IF(EOMONTH(DATE(YEAR(Sales!$CQ$1),MONTH(Sales!$CQ$1),1)+INT((DAY(Sales!$CQ$1)-1)/2)+'Cash Drivers'!CQ$13,0)=EOMONTH($CW$1,0),Sales!CQ$6,0)+IF(EOMONTH(DATE(YEAR(Sales!$CN$1),MONTH(Sales!$CN$1),1)+INT((DAY(Sales!$CN$1)-1)/2)+'Cash Drivers'!CN$13,0)=EOMONTH($CW$1,0),Sales!CN$6,0)+IF(EOMONTH(DATE(YEAR(Sales!$CK$1),MONTH(Sales!$CK$1),1)+INT((DAY(Sales!$CK$1)-1)/2)+'Cash Drivers'!CK$13,0)=EOMONTH($CW$1,0),Sales!CK$6,0)+IF(EOMONTH(DATE(YEAR(Sales!$CH$1),MONTH(Sales!$CH$1),1)+INT((DAY(Sales!$CH$1)-1)/2)+'Cash Drivers'!CH$13,0)=EOMONTH($CW$1,0),Sales!CH$6,0)+IF(EOMONTH(DATE(YEAR(Sales!$CE$1),MONTH(Sales!$CE$1),1)+INT((DAY(Sales!$CE$1)-1)/2)+'Cash Drivers'!CE$13,0)=EOMONTH($CW$1,0),Sales!CE$6,0)+IF(EOMONTH(DATE(YEAR(Sales!$CB$1),MONTH(Sales!$CB$1),1)+INT((DAY(Sales!$CB$1)-1)/2)+'Cash Drivers'!CB$13,0)=EOMONTH($CW$1,0),Sales!CB$6,0)+IF(EOMONTH(DATE(YEAR(Sales!$BY$1),MONTH(Sales!$BY$1),1)+INT((DAY(Sales!$BY$1)-1)/2)+'Cash Drivers'!BY$13,0)=EOMONTH($CW$1,0),Sales!BY$6,0)+IF(EOMONTH(DATE(YEAR(Sales!$BV$1),MONTH(Sales!$BV$1),1)+INT((DAY(Sales!$BV$1)-1)/2)+'Cash Drivers'!BV$13,0)=EOMONTH($CW$1,0),Sales!BV$6,0)+IF(EOMONTH(DATE(YEAR(Sales!$BS$1),MONTH(Sales!$BS$1),1)+INT((DAY(Sales!$BS$1)-1)/2)+'Cash Drivers'!BS$13,0)=EOMONTH($CW$1,0),Sales!BS$6,0)+IF(EOMONTH(DATE(YEAR(Sales!$BP$1),MONTH(Sales!$BP$1),1)+INT((DAY(Sales!$BP$1)-1)/2)+'Cash Drivers'!BP$13,0)=EOMONTH($CW$1,0),Sales!BP$6,0)+IF(EOMONTH(DATE(YEAR(Sales!$BM$1),MONTH(Sales!$BM$1),1)+INT((DAY(Sales!$BM$1)-1)/2)+'Cash Drivers'!BM$13,0)=EOMONTH($CW$1,0),Sales!BM$6,0)+IF(EOMONTH(DATE(YEAR(Sales!$BJ$1),MONTH(Sales!$BJ$1),1)+INT((DAY(Sales!$BJ$1)-1)/2)+'Cash Drivers'!BJ$13,0)=EOMONTH($CW$1,0),Sales!BJ$6,0)+IF(EOMONTH(DATE(YEAR(Sales!$BG$1),MONTH(Sales!$BG$1),1)+INT((DAY(Sales!$BG$1)-1)/2)+'Cash Drivers'!BG$13,0)=EOMONTH($CW$1,0),Sales!BG$6,0)+IF(EOMONTH(DATE(YEAR(Sales!$BD$1),MONTH(Sales!$BD$1),1)+INT((DAY(Sales!$BD$1)-1)/2)+'Cash Drivers'!BD$13,0)=EOMONTH($CW$1,0),Sales!BD$6,0)+IF(EOMONTH(DATE(YEAR(Sales!$BA$1),MONTH(Sales!$BA$1),1)+INT((DAY(Sales!$BA$1)-1)/2)+'Cash Drivers'!BA$13,0)=EOMONTH($CW$1,0),Sales!BA$6,0)+IF(EOMONTH(DATE(YEAR(Sales!$AX$1),MONTH(Sales!$AX$1),1)+INT((DAY(Sales!$AX$1)-1)/2)+'Cash Drivers'!AX$13,0)=EOMONTH($CW$1,0),Sales!AX$6,0)+IF(EOMONTH(DATE(YEAR(Sales!$AU$1),MONTH(Sales!$AU$1),1)+INT((DAY(Sales!$AU$1)-1)/2)+'Cash Drivers'!AU$13,0)=EOMONTH($CW$1,0),Sales!AU$6,0)+IF(EOMONTH(DATE(YEAR(Sales!$AR$1),MONTH(Sales!$AR$1),1)+INT((DAY(Sales!$AR$1)-1)/2)+'Cash Drivers'!AR$13,0)=EOMONTH($CW$1,0),Sales!AR$6,0)+IF(EOMONTH(DATE(YEAR(Sales!$AO$1),MONTH(Sales!$AO$1),1)+INT((DAY(Sales!$AO$1)-1)/2)+'Cash Drivers'!AO$13,0)=EOMONTH($CW$1,0),Sales!AO$6,0)+IF(EOMONTH(DATE(YEAR(Sales!$AL$1),MONTH(Sales!$AL$1),1)+INT((DAY(Sales!$AL$1)-1)/2)+'Cash Drivers'!AL$13,0)=EOMONTH($CW$1,0),Sales!AL$6,0)+IF(EOMONTH(DATE(YEAR(Sales!$AI$1),MONTH(Sales!$AI$1),1)+INT((DAY(Sales!$AI$1)-1)/2)+'Cash Drivers'!AI$13,0)=EOMONTH($CW$1,0),Sales!AI$6,0)+IF(EOMONTH(DATE(YEAR(Sales!$AF$1),MONTH(Sales!$AF$1),1)+INT((DAY(Sales!$AF$1)-1)/2)+'Cash Drivers'!AF$13,0)=EOMONTH($CW$1,0),Sales!AF$6,0)+IF(EOMONTH(DATE(YEAR(Sales!$AC$1),MONTH(Sales!$AC$1),1)+INT((DAY(Sales!$AC$1)-1)/2)+'Cash Drivers'!AC$13,0)=EOMONTH($CW$1,0),Sales!AC$6,0)+IF(EOMONTH(DATE(YEAR(Sales!$Z$1),MONTH(Sales!$Z$1),1)+INT((DAY(Sales!$Z$1)-1)/2)+'Cash Drivers'!Z$13,0)=EOMONTH($CW$1,0),Sales!Z$6,0)+IF(EOMONTH(DATE(YEAR(Sales!$W$1),MONTH(Sales!$W$1),1)+INT((DAY(Sales!$W$1)-1)/2)+'Cash Drivers'!W$13,0)=EOMONTH($CW$1,0),Sales!W$6,0)+IF(EOMONTH(DATE(YEAR(Sales!$T$1),MONTH(Sales!$T$1),1)+INT((DAY(Sales!$T$1)-1)/2)+'Cash Drivers'!T$13,0)=EOMONTH($CW$1,0),Sales!T$6,0)+IF(EOMONTH(DATE(YEAR(Sales!$Q$1),MONTH(Sales!$Q$1),1)+INT((DAY(Sales!$Q$1)-1)/2)+'Cash Drivers'!Q$13,0)=EOMONTH($CW$1,0),Sales!Q$6,0)+IF(EOMONTH(DATE(YEAR(Sales!$N$1),MONTH(Sales!$N$1),1)+INT((DAY(Sales!$N$1)-1)/2)+'Cash Drivers'!N$13,0)=EOMONTH($CW$1,0),Sales!N$6,0)+IF(EOMONTH(DATE(YEAR(Sales!$K$1),MONTH(Sales!$K$1),1)+INT((DAY(Sales!$K$1)-1)/2)+'Cash Drivers'!K$13,0)=EOMONTH($CW$1,0),Sales!K$6,0)+IF(EOMONTH('Cash Drivers'!$DL$30+'Cash Drivers'!DL$13,0)=EOMONTH($CW$1,0),'Cash Drivers'!$DL$32,0),0)</f>
        <v>0</v>
      </c>
      <c r="CX18" s="45" t="n">
        <f aca="false">ROUND(IF(EOMONTH(DATE(YEAR(Sales!$DL$1),MONTH(Sales!$DL$1),1)+INT((DAY(Sales!$DL$1)-1)/2)+'Cash Drivers'!DM$13,0)=EOMONTH($CW$1,0),Sales!DM$6,0)+IF(EOMONTH(DATE(YEAR(Sales!$DI$1),MONTH(Sales!$DI$1),1)+INT((DAY(Sales!$DI$1)-1)/2)+'Cash Drivers'!DJ$13,0)=EOMONTH($CW$1,0),Sales!DJ$6,0)+IF(EOMONTH(DATE(YEAR(Sales!$DF$1),MONTH(Sales!$DF$1),1)+INT((DAY(Sales!$DF$1)-1)/2)+'Cash Drivers'!DG$13,0)=EOMONTH($CW$1,0),Sales!DG$6,0)+IF(EOMONTH(DATE(YEAR(Sales!$DC$1),MONTH(Sales!$DC$1),1)+INT((DAY(Sales!$DC$1)-1)/2)+'Cash Drivers'!DD$13,0)=EOMONTH($CW$1,0),Sales!DD$6,0)+IF(EOMONTH(DATE(YEAR(Sales!$CZ$1),MONTH(Sales!$CZ$1),1)+INT((DAY(Sales!$CZ$1)-1)/2)+'Cash Drivers'!DA$13,0)=EOMONTH($CW$1,0),Sales!DA$6,0)+IF(EOMONTH(DATE(YEAR(Sales!$CW$1),MONTH(Sales!$CW$1),1)+INT((DAY(Sales!$CW$1)-1)/2)+'Cash Drivers'!CX$13,0)=EOMONTH($CW$1,0),Sales!CX$6,0)+IF(EOMONTH(DATE(YEAR(Sales!$CT$1),MONTH(Sales!$CT$1),1)+INT((DAY(Sales!$CT$1)-1)/2)+'Cash Drivers'!CU$13,0)=EOMONTH($CW$1,0),Sales!CU$6,0)+IF(EOMONTH(DATE(YEAR(Sales!$CQ$1),MONTH(Sales!$CQ$1),1)+INT((DAY(Sales!$CQ$1)-1)/2)+'Cash Drivers'!CR$13,0)=EOMONTH($CW$1,0),Sales!CR$6,0)+IF(EOMONTH(DATE(YEAR(Sales!$CN$1),MONTH(Sales!$CN$1),1)+INT((DAY(Sales!$CN$1)-1)/2)+'Cash Drivers'!CO$13,0)=EOMONTH($CW$1,0),Sales!CO$6,0)+IF(EOMONTH(DATE(YEAR(Sales!$CK$1),MONTH(Sales!$CK$1),1)+INT((DAY(Sales!$CK$1)-1)/2)+'Cash Drivers'!CL$13,0)=EOMONTH($CW$1,0),Sales!CL$6,0)+IF(EOMONTH(DATE(YEAR(Sales!$CH$1),MONTH(Sales!$CH$1),1)+INT((DAY(Sales!$CH$1)-1)/2)+'Cash Drivers'!CI$13,0)=EOMONTH($CW$1,0),Sales!CI$6,0)+IF(EOMONTH(DATE(YEAR(Sales!$CE$1),MONTH(Sales!$CE$1),1)+INT((DAY(Sales!$CE$1)-1)/2)+'Cash Drivers'!CF$13,0)=EOMONTH($CW$1,0),Sales!CF$6,0)+IF(EOMONTH(DATE(YEAR(Sales!$CB$1),MONTH(Sales!$CB$1),1)+INT((DAY(Sales!$CB$1)-1)/2)+'Cash Drivers'!CC$13,0)=EOMONTH($CW$1,0),Sales!CC$6,0)+IF(EOMONTH(DATE(YEAR(Sales!$BY$1),MONTH(Sales!$BY$1),1)+INT((DAY(Sales!$BY$1)-1)/2)+'Cash Drivers'!BZ$13,0)=EOMONTH($CW$1,0),Sales!BZ$6,0)+IF(EOMONTH(DATE(YEAR(Sales!$BV$1),MONTH(Sales!$BV$1),1)+INT((DAY(Sales!$BV$1)-1)/2)+'Cash Drivers'!BW$13,0)=EOMONTH($CW$1,0),Sales!BW$6,0)+IF(EOMONTH(DATE(YEAR(Sales!$BS$1),MONTH(Sales!$BS$1),1)+INT((DAY(Sales!$BS$1)-1)/2)+'Cash Drivers'!BT$13,0)=EOMONTH($CW$1,0),Sales!BT$6,0)+IF(EOMONTH(DATE(YEAR(Sales!$BP$1),MONTH(Sales!$BP$1),1)+INT((DAY(Sales!$BP$1)-1)/2)+'Cash Drivers'!BQ$13,0)=EOMONTH($CW$1,0),Sales!BQ$6,0)+IF(EOMONTH(DATE(YEAR(Sales!$BM$1),MONTH(Sales!$BM$1),1)+INT((DAY(Sales!$BM$1)-1)/2)+'Cash Drivers'!BN$13,0)=EOMONTH($CW$1,0),Sales!BN$6,0)+IF(EOMONTH(DATE(YEAR(Sales!$BJ$1),MONTH(Sales!$BJ$1),1)+INT((DAY(Sales!$BJ$1)-1)/2)+'Cash Drivers'!BK$13,0)=EOMONTH($CW$1,0),Sales!BK$6,0)+IF(EOMONTH(DATE(YEAR(Sales!$BG$1),MONTH(Sales!$BG$1),1)+INT((DAY(Sales!$BG$1)-1)/2)+'Cash Drivers'!BH$13,0)=EOMONTH($CW$1,0),Sales!BH$6,0)+IF(EOMONTH(DATE(YEAR(Sales!$BD$1),MONTH(Sales!$BD$1),1)+INT((DAY(Sales!$BD$1)-1)/2)+'Cash Drivers'!BE$13,0)=EOMONTH($CW$1,0),Sales!BE$6,0)+IF(EOMONTH(DATE(YEAR(Sales!$BA$1),MONTH(Sales!$BA$1),1)+INT((DAY(Sales!$BA$1)-1)/2)+'Cash Drivers'!BB$13,0)=EOMONTH($CW$1,0),Sales!BB$6,0)+IF(EOMONTH(DATE(YEAR(Sales!$AX$1),MONTH(Sales!$AX$1),1)+INT((DAY(Sales!$AX$1)-1)/2)+'Cash Drivers'!AY$13,0)=EOMONTH($CW$1,0),Sales!AY$6,0)+IF(EOMONTH(DATE(YEAR(Sales!$AU$1),MONTH(Sales!$AU$1),1)+INT((DAY(Sales!$AU$1)-1)/2)+'Cash Drivers'!AV$13,0)=EOMONTH($CW$1,0),Sales!AV$6,0)+IF(EOMONTH(DATE(YEAR(Sales!$AR$1),MONTH(Sales!$AR$1),1)+INT((DAY(Sales!$AR$1)-1)/2)+'Cash Drivers'!AS$13,0)=EOMONTH($CW$1,0),Sales!AS$6,0)+IF(EOMONTH(DATE(YEAR(Sales!$AO$1),MONTH(Sales!$AO$1),1)+INT((DAY(Sales!$AO$1)-1)/2)+'Cash Drivers'!AP$13,0)=EOMONTH($CW$1,0),Sales!AP$6,0)+IF(EOMONTH(DATE(YEAR(Sales!$AL$1),MONTH(Sales!$AL$1),1)+INT((DAY(Sales!$AL$1)-1)/2)+'Cash Drivers'!AM$13,0)=EOMONTH($CW$1,0),Sales!AM$6,0)+IF(EOMONTH(DATE(YEAR(Sales!$AI$1),MONTH(Sales!$AI$1),1)+INT((DAY(Sales!$AI$1)-1)/2)+'Cash Drivers'!AJ$13,0)=EOMONTH($CW$1,0),Sales!AJ$6,0)+IF(EOMONTH(DATE(YEAR(Sales!$AF$1),MONTH(Sales!$AF$1),1)+INT((DAY(Sales!$AF$1)-1)/2)+'Cash Drivers'!AG$13,0)=EOMONTH($CW$1,0),Sales!AG$6,0)+IF(EOMONTH(DATE(YEAR(Sales!$AC$1),MONTH(Sales!$AC$1),1)+INT((DAY(Sales!$AC$1)-1)/2)+'Cash Drivers'!AD$13,0)=EOMONTH($CW$1,0),Sales!AD$6,0)+IF(EOMONTH(DATE(YEAR(Sales!$Z$1),MONTH(Sales!$Z$1),1)+INT((DAY(Sales!$Z$1)-1)/2)+'Cash Drivers'!AA$13,0)=EOMONTH($CW$1,0),Sales!AA$6,0)+IF(EOMONTH(DATE(YEAR(Sales!$W$1),MONTH(Sales!$W$1),1)+INT((DAY(Sales!$W$1)-1)/2)+'Cash Drivers'!X$13,0)=EOMONTH($CW$1,0),Sales!X$6,0)+IF(EOMONTH(DATE(YEAR(Sales!$T$1),MONTH(Sales!$T$1),1)+INT((DAY(Sales!$T$1)-1)/2)+'Cash Drivers'!U$13,0)=EOMONTH($CW$1,0),Sales!U$6,0)+IF(EOMONTH(DATE(YEAR(Sales!$Q$1),MONTH(Sales!$Q$1),1)+INT((DAY(Sales!$Q$1)-1)/2)+'Cash Drivers'!R$13,0)=EOMONTH($CW$1,0),Sales!R$6,0)+IF(EOMONTH(DATE(YEAR(Sales!$N$1),MONTH(Sales!$N$1),1)+INT((DAY(Sales!$N$1)-1)/2)+'Cash Drivers'!O$13,0)=EOMONTH($CW$1,0),Sales!O$6,0)+IF(EOMONTH(DATE(YEAR(Sales!$K$1),MONTH(Sales!$K$1),1)+INT((DAY(Sales!$K$1)-1)/2)+'Cash Drivers'!L$13,0)=EOMONTH($CW$1,0),Sales!L$6,0)+IF(EOMONTH('Cash Drivers'!$DL$30+'Cash Drivers'!DM$13,0)=EOMONTH($CW$1,0),'Cash Drivers'!$DL$32,0),0)</f>
        <v>19</v>
      </c>
      <c r="CY18" s="46" t="n">
        <f aca="false">ROUND(IF(EOMONTH(DATE(YEAR(Sales!$DL$1),MONTH(Sales!$DL$1),1)+INT((DAY(Sales!$DL$1)-1)/2)+'Cash Drivers'!DN$13,0)=EOMONTH($CW$1,0),Sales!DN$6,0)+IF(EOMONTH(DATE(YEAR(Sales!$DI$1),MONTH(Sales!$DI$1),1)+INT((DAY(Sales!$DI$1)-1)/2)+'Cash Drivers'!DK$13,0)=EOMONTH($CW$1,0),Sales!DK$6,0)+IF(EOMONTH(DATE(YEAR(Sales!$DF$1),MONTH(Sales!$DF$1),1)+INT((DAY(Sales!$DF$1)-1)/2)+'Cash Drivers'!DH$13,0)=EOMONTH($CW$1,0),Sales!DH$6,0)+IF(EOMONTH(DATE(YEAR(Sales!$DC$1),MONTH(Sales!$DC$1),1)+INT((DAY(Sales!$DC$1)-1)/2)+'Cash Drivers'!DE$13,0)=EOMONTH($CW$1,0),Sales!DE$6,0)+IF(EOMONTH(DATE(YEAR(Sales!$CZ$1),MONTH(Sales!$CZ$1),1)+INT((DAY(Sales!$CZ$1)-1)/2)+'Cash Drivers'!DB$13,0)=EOMONTH($CW$1,0),Sales!DB$6,0)+IF(EOMONTH(DATE(YEAR(Sales!$CW$1),MONTH(Sales!$CW$1),1)+INT((DAY(Sales!$CW$1)-1)/2)+'Cash Drivers'!CY$13,0)=EOMONTH($CW$1,0),Sales!CY$6,0)+IF(EOMONTH(DATE(YEAR(Sales!$CT$1),MONTH(Sales!$CT$1),1)+INT((DAY(Sales!$CT$1)-1)/2)+'Cash Drivers'!CV$13,0)=EOMONTH($CW$1,0),Sales!CV$6,0)+IF(EOMONTH(DATE(YEAR(Sales!$CQ$1),MONTH(Sales!$CQ$1),1)+INT((DAY(Sales!$CQ$1)-1)/2)+'Cash Drivers'!CS$13,0)=EOMONTH($CW$1,0),Sales!CS$6,0)+IF(EOMONTH(DATE(YEAR(Sales!$CN$1),MONTH(Sales!$CN$1),1)+INT((DAY(Sales!$CN$1)-1)/2)+'Cash Drivers'!CP$13,0)=EOMONTH($CW$1,0),Sales!CP$6,0)+IF(EOMONTH(DATE(YEAR(Sales!$CK$1),MONTH(Sales!$CK$1),1)+INT((DAY(Sales!$CK$1)-1)/2)+'Cash Drivers'!CM$13,0)=EOMONTH($CW$1,0),Sales!CM$6,0)+IF(EOMONTH(DATE(YEAR(Sales!$CH$1),MONTH(Sales!$CH$1),1)+INT((DAY(Sales!$CH$1)-1)/2)+'Cash Drivers'!CJ$13,0)=EOMONTH($CW$1,0),Sales!CJ$6,0)+IF(EOMONTH(DATE(YEAR(Sales!$CE$1),MONTH(Sales!$CE$1),1)+INT((DAY(Sales!$CE$1)-1)/2)+'Cash Drivers'!CG$13,0)=EOMONTH($CW$1,0),Sales!CG$6,0)+IF(EOMONTH(DATE(YEAR(Sales!$CB$1),MONTH(Sales!$CB$1),1)+INT((DAY(Sales!$CB$1)-1)/2)+'Cash Drivers'!CD$13,0)=EOMONTH($CW$1,0),Sales!CD$6,0)+IF(EOMONTH(DATE(YEAR(Sales!$BY$1),MONTH(Sales!$BY$1),1)+INT((DAY(Sales!$BY$1)-1)/2)+'Cash Drivers'!CA$13,0)=EOMONTH($CW$1,0),Sales!CA$6,0)+IF(EOMONTH(DATE(YEAR(Sales!$BV$1),MONTH(Sales!$BV$1),1)+INT((DAY(Sales!$BV$1)-1)/2)+'Cash Drivers'!BX$13,0)=EOMONTH($CW$1,0),Sales!BX$6,0)+IF(EOMONTH(DATE(YEAR(Sales!$BS$1),MONTH(Sales!$BS$1),1)+INT((DAY(Sales!$BS$1)-1)/2)+'Cash Drivers'!BU$13,0)=EOMONTH($CW$1,0),Sales!BU$6,0)+IF(EOMONTH(DATE(YEAR(Sales!$BP$1),MONTH(Sales!$BP$1),1)+INT((DAY(Sales!$BP$1)-1)/2)+'Cash Drivers'!BR$13,0)=EOMONTH($CW$1,0),Sales!BR$6,0)+IF(EOMONTH(DATE(YEAR(Sales!$BM$1),MONTH(Sales!$BM$1),1)+INT((DAY(Sales!$BM$1)-1)/2)+'Cash Drivers'!BO$13,0)=EOMONTH($CW$1,0),Sales!BO$6,0)+IF(EOMONTH(DATE(YEAR(Sales!$BJ$1),MONTH(Sales!$BJ$1),1)+INT((DAY(Sales!$BJ$1)-1)/2)+'Cash Drivers'!BL$13,0)=EOMONTH($CW$1,0),Sales!BL$6,0)+IF(EOMONTH(DATE(YEAR(Sales!$BG$1),MONTH(Sales!$BG$1),1)+INT((DAY(Sales!$BG$1)-1)/2)+'Cash Drivers'!BI$13,0)=EOMONTH($CW$1,0),Sales!BI$6,0)+IF(EOMONTH(DATE(YEAR(Sales!$BD$1),MONTH(Sales!$BD$1),1)+INT((DAY(Sales!$BD$1)-1)/2)+'Cash Drivers'!BF$13,0)=EOMONTH($CW$1,0),Sales!BF$6,0)+IF(EOMONTH(DATE(YEAR(Sales!$BA$1),MONTH(Sales!$BA$1),1)+INT((DAY(Sales!$BA$1)-1)/2)+'Cash Drivers'!BC$13,0)=EOMONTH($CW$1,0),Sales!BC$6,0)+IF(EOMONTH(DATE(YEAR(Sales!$AX$1),MONTH(Sales!$AX$1),1)+INT((DAY(Sales!$AX$1)-1)/2)+'Cash Drivers'!AZ$13,0)=EOMONTH($CW$1,0),Sales!AZ$6,0)+IF(EOMONTH(DATE(YEAR(Sales!$AU$1),MONTH(Sales!$AU$1),1)+INT((DAY(Sales!$AU$1)-1)/2)+'Cash Drivers'!AW$13,0)=EOMONTH($CW$1,0),Sales!AW$6,0)+IF(EOMONTH(DATE(YEAR(Sales!$AR$1),MONTH(Sales!$AR$1),1)+INT((DAY(Sales!$AR$1)-1)/2)+'Cash Drivers'!AT$13,0)=EOMONTH($CW$1,0),Sales!AT$6,0)+IF(EOMONTH(DATE(YEAR(Sales!$AO$1),MONTH(Sales!$AO$1),1)+INT((DAY(Sales!$AO$1)-1)/2)+'Cash Drivers'!AQ$13,0)=EOMONTH($CW$1,0),Sales!AQ$6,0)+IF(EOMONTH(DATE(YEAR(Sales!$AL$1),MONTH(Sales!$AL$1),1)+INT((DAY(Sales!$AL$1)-1)/2)+'Cash Drivers'!AN$13,0)=EOMONTH($CW$1,0),Sales!AN$6,0)+IF(EOMONTH(DATE(YEAR(Sales!$AI$1),MONTH(Sales!$AI$1),1)+INT((DAY(Sales!$AI$1)-1)/2)+'Cash Drivers'!AK$13,0)=EOMONTH($CW$1,0),Sales!AK$6,0)+IF(EOMONTH(DATE(YEAR(Sales!$AF$1),MONTH(Sales!$AF$1),1)+INT((DAY(Sales!$AF$1)-1)/2)+'Cash Drivers'!AH$13,0)=EOMONTH($CW$1,0),Sales!AH$6,0)+IF(EOMONTH(DATE(YEAR(Sales!$AC$1),MONTH(Sales!$AC$1),1)+INT((DAY(Sales!$AC$1)-1)/2)+'Cash Drivers'!AE$13,0)=EOMONTH($CW$1,0),Sales!AE$6,0)+IF(EOMONTH(DATE(YEAR(Sales!$Z$1),MONTH(Sales!$Z$1),1)+INT((DAY(Sales!$Z$1)-1)/2)+'Cash Drivers'!AB$13,0)=EOMONTH($CW$1,0),Sales!AB$6,0)+IF(EOMONTH(DATE(YEAR(Sales!$W$1),MONTH(Sales!$W$1),1)+INT((DAY(Sales!$W$1)-1)/2)+'Cash Drivers'!Y$13,0)=EOMONTH($CW$1,0),Sales!Y$6,0)+IF(EOMONTH(DATE(YEAR(Sales!$T$1),MONTH(Sales!$T$1),1)+INT((DAY(Sales!$T$1)-1)/2)+'Cash Drivers'!V$13,0)=EOMONTH($CW$1,0),Sales!V$6,0)+IF(EOMONTH(DATE(YEAR(Sales!$Q$1),MONTH(Sales!$Q$1),1)+INT((DAY(Sales!$Q$1)-1)/2)+'Cash Drivers'!S$13,0)=EOMONTH($CW$1,0),Sales!S$6,0)+IF(EOMONTH(DATE(YEAR(Sales!$N$1),MONTH(Sales!$N$1),1)+INT((DAY(Sales!$N$1)-1)/2)+'Cash Drivers'!P$13,0)=EOMONTH($CW$1,0),Sales!P$6,0)+IF(EOMONTH(DATE(YEAR(Sales!$K$1),MONTH(Sales!$K$1),1)+INT((DAY(Sales!$K$1)-1)/2)+'Cash Drivers'!M$13,0)=EOMONTH($CW$1,0),Sales!M$6,0)+IF(EOMONTH('Cash Drivers'!$DL$30+'Cash Drivers'!DN$13,0)=EOMONTH($CW$1,0),'Cash Drivers'!$DL$32,0),0)</f>
        <v>19</v>
      </c>
      <c r="CZ18" s="44" t="n">
        <f aca="false">ROUND(IF(EOMONTH(DATE(YEAR(Sales!$DL$1),MONTH(Sales!$DL$1),1)+INT((DAY(Sales!$DL$1)-1)/2)+'Cash Drivers'!DL$13,0)=EOMONTH($CZ$1,0),Sales!DL$6,0)+IF(EOMONTH(DATE(YEAR(Sales!$DI$1),MONTH(Sales!$DI$1),1)+INT((DAY(Sales!$DI$1)-1)/2)+'Cash Drivers'!DI$13,0)=EOMONTH($CZ$1,0),Sales!DI$6,0)+IF(EOMONTH(DATE(YEAR(Sales!$DF$1),MONTH(Sales!$DF$1),1)+INT((DAY(Sales!$DF$1)-1)/2)+'Cash Drivers'!DF$13,0)=EOMONTH($CZ$1,0),Sales!DF$6,0)+IF(EOMONTH(DATE(YEAR(Sales!$DC$1),MONTH(Sales!$DC$1),1)+INT((DAY(Sales!$DC$1)-1)/2)+'Cash Drivers'!DC$13,0)=EOMONTH($CZ$1,0),Sales!DC$6,0)+IF(EOMONTH(DATE(YEAR(Sales!$CZ$1),MONTH(Sales!$CZ$1),1)+INT((DAY(Sales!$CZ$1)-1)/2)+'Cash Drivers'!CZ$13,0)=EOMONTH($CZ$1,0),Sales!CZ$6,0)+IF(EOMONTH(DATE(YEAR(Sales!$CW$1),MONTH(Sales!$CW$1),1)+INT((DAY(Sales!$CW$1)-1)/2)+'Cash Drivers'!CW$13,0)=EOMONTH($CZ$1,0),Sales!CW$6,0)+IF(EOMONTH(DATE(YEAR(Sales!$CT$1),MONTH(Sales!$CT$1),1)+INT((DAY(Sales!$CT$1)-1)/2)+'Cash Drivers'!CT$13,0)=EOMONTH($CZ$1,0),Sales!CT$6,0)+IF(EOMONTH(DATE(YEAR(Sales!$CQ$1),MONTH(Sales!$CQ$1),1)+INT((DAY(Sales!$CQ$1)-1)/2)+'Cash Drivers'!CQ$13,0)=EOMONTH($CZ$1,0),Sales!CQ$6,0)+IF(EOMONTH(DATE(YEAR(Sales!$CN$1),MONTH(Sales!$CN$1),1)+INT((DAY(Sales!$CN$1)-1)/2)+'Cash Drivers'!CN$13,0)=EOMONTH($CZ$1,0),Sales!CN$6,0)+IF(EOMONTH(DATE(YEAR(Sales!$CK$1),MONTH(Sales!$CK$1),1)+INT((DAY(Sales!$CK$1)-1)/2)+'Cash Drivers'!CK$13,0)=EOMONTH($CZ$1,0),Sales!CK$6,0)+IF(EOMONTH(DATE(YEAR(Sales!$CH$1),MONTH(Sales!$CH$1),1)+INT((DAY(Sales!$CH$1)-1)/2)+'Cash Drivers'!CH$13,0)=EOMONTH($CZ$1,0),Sales!CH$6,0)+IF(EOMONTH(DATE(YEAR(Sales!$CE$1),MONTH(Sales!$CE$1),1)+INT((DAY(Sales!$CE$1)-1)/2)+'Cash Drivers'!CE$13,0)=EOMONTH($CZ$1,0),Sales!CE$6,0)+IF(EOMONTH(DATE(YEAR(Sales!$CB$1),MONTH(Sales!$CB$1),1)+INT((DAY(Sales!$CB$1)-1)/2)+'Cash Drivers'!CB$13,0)=EOMONTH($CZ$1,0),Sales!CB$6,0)+IF(EOMONTH(DATE(YEAR(Sales!$BY$1),MONTH(Sales!$BY$1),1)+INT((DAY(Sales!$BY$1)-1)/2)+'Cash Drivers'!BY$13,0)=EOMONTH($CZ$1,0),Sales!BY$6,0)+IF(EOMONTH(DATE(YEAR(Sales!$BV$1),MONTH(Sales!$BV$1),1)+INT((DAY(Sales!$BV$1)-1)/2)+'Cash Drivers'!BV$13,0)=EOMONTH($CZ$1,0),Sales!BV$6,0)+IF(EOMONTH(DATE(YEAR(Sales!$BS$1),MONTH(Sales!$BS$1),1)+INT((DAY(Sales!$BS$1)-1)/2)+'Cash Drivers'!BS$13,0)=EOMONTH($CZ$1,0),Sales!BS$6,0)+IF(EOMONTH(DATE(YEAR(Sales!$BP$1),MONTH(Sales!$BP$1),1)+INT((DAY(Sales!$BP$1)-1)/2)+'Cash Drivers'!BP$13,0)=EOMONTH($CZ$1,0),Sales!BP$6,0)+IF(EOMONTH(DATE(YEAR(Sales!$BM$1),MONTH(Sales!$BM$1),1)+INT((DAY(Sales!$BM$1)-1)/2)+'Cash Drivers'!BM$13,0)=EOMONTH($CZ$1,0),Sales!BM$6,0)+IF(EOMONTH(DATE(YEAR(Sales!$BJ$1),MONTH(Sales!$BJ$1),1)+INT((DAY(Sales!$BJ$1)-1)/2)+'Cash Drivers'!BJ$13,0)=EOMONTH($CZ$1,0),Sales!BJ$6,0)+IF(EOMONTH(DATE(YEAR(Sales!$BG$1),MONTH(Sales!$BG$1),1)+INT((DAY(Sales!$BG$1)-1)/2)+'Cash Drivers'!BG$13,0)=EOMONTH($CZ$1,0),Sales!BG$6,0)+IF(EOMONTH(DATE(YEAR(Sales!$BD$1),MONTH(Sales!$BD$1),1)+INT((DAY(Sales!$BD$1)-1)/2)+'Cash Drivers'!BD$13,0)=EOMONTH($CZ$1,0),Sales!BD$6,0)+IF(EOMONTH(DATE(YEAR(Sales!$BA$1),MONTH(Sales!$BA$1),1)+INT((DAY(Sales!$BA$1)-1)/2)+'Cash Drivers'!BA$13,0)=EOMONTH($CZ$1,0),Sales!BA$6,0)+IF(EOMONTH(DATE(YEAR(Sales!$AX$1),MONTH(Sales!$AX$1),1)+INT((DAY(Sales!$AX$1)-1)/2)+'Cash Drivers'!AX$13,0)=EOMONTH($CZ$1,0),Sales!AX$6,0)+IF(EOMONTH(DATE(YEAR(Sales!$AU$1),MONTH(Sales!$AU$1),1)+INT((DAY(Sales!$AU$1)-1)/2)+'Cash Drivers'!AU$13,0)=EOMONTH($CZ$1,0),Sales!AU$6,0)+IF(EOMONTH(DATE(YEAR(Sales!$AR$1),MONTH(Sales!$AR$1),1)+INT((DAY(Sales!$AR$1)-1)/2)+'Cash Drivers'!AR$13,0)=EOMONTH($CZ$1,0),Sales!AR$6,0)+IF(EOMONTH(DATE(YEAR(Sales!$AO$1),MONTH(Sales!$AO$1),1)+INT((DAY(Sales!$AO$1)-1)/2)+'Cash Drivers'!AO$13,0)=EOMONTH($CZ$1,0),Sales!AO$6,0)+IF(EOMONTH(DATE(YEAR(Sales!$AL$1),MONTH(Sales!$AL$1),1)+INT((DAY(Sales!$AL$1)-1)/2)+'Cash Drivers'!AL$13,0)=EOMONTH($CZ$1,0),Sales!AL$6,0)+IF(EOMONTH(DATE(YEAR(Sales!$AI$1),MONTH(Sales!$AI$1),1)+INT((DAY(Sales!$AI$1)-1)/2)+'Cash Drivers'!AI$13,0)=EOMONTH($CZ$1,0),Sales!AI$6,0)+IF(EOMONTH(DATE(YEAR(Sales!$AF$1),MONTH(Sales!$AF$1),1)+INT((DAY(Sales!$AF$1)-1)/2)+'Cash Drivers'!AF$13,0)=EOMONTH($CZ$1,0),Sales!AF$6,0)+IF(EOMONTH(DATE(YEAR(Sales!$AC$1),MONTH(Sales!$AC$1),1)+INT((DAY(Sales!$AC$1)-1)/2)+'Cash Drivers'!AC$13,0)=EOMONTH($CZ$1,0),Sales!AC$6,0)+IF(EOMONTH(DATE(YEAR(Sales!$Z$1),MONTH(Sales!$Z$1),1)+INT((DAY(Sales!$Z$1)-1)/2)+'Cash Drivers'!Z$13,0)=EOMONTH($CZ$1,0),Sales!Z$6,0)+IF(EOMONTH(DATE(YEAR(Sales!$W$1),MONTH(Sales!$W$1),1)+INT((DAY(Sales!$W$1)-1)/2)+'Cash Drivers'!W$13,0)=EOMONTH($CZ$1,0),Sales!W$6,0)+IF(EOMONTH(DATE(YEAR(Sales!$T$1),MONTH(Sales!$T$1),1)+INT((DAY(Sales!$T$1)-1)/2)+'Cash Drivers'!T$13,0)=EOMONTH($CZ$1,0),Sales!T$6,0)+IF(EOMONTH(DATE(YEAR(Sales!$Q$1),MONTH(Sales!$Q$1),1)+INT((DAY(Sales!$Q$1)-1)/2)+'Cash Drivers'!Q$13,0)=EOMONTH($CZ$1,0),Sales!Q$6,0)+IF(EOMONTH(DATE(YEAR(Sales!$N$1),MONTH(Sales!$N$1),1)+INT((DAY(Sales!$N$1)-1)/2)+'Cash Drivers'!N$13,0)=EOMONTH($CZ$1,0),Sales!N$6,0)+IF(EOMONTH(DATE(YEAR(Sales!$K$1),MONTH(Sales!$K$1),1)+INT((DAY(Sales!$K$1)-1)/2)+'Cash Drivers'!K$13,0)=EOMONTH($CZ$1,0),Sales!K$6,0)+IF(EOMONTH('Cash Drivers'!$DL$30+'Cash Drivers'!DL$13,0)=EOMONTH($CZ$1,0),'Cash Drivers'!$DL$32,0),0)</f>
        <v>0</v>
      </c>
      <c r="DA18" s="45" t="n">
        <f aca="false">ROUND(IF(EOMONTH(DATE(YEAR(Sales!$DL$1),MONTH(Sales!$DL$1),1)+INT((DAY(Sales!$DL$1)-1)/2)+'Cash Drivers'!DM$13,0)=EOMONTH($CZ$1,0),Sales!DM$6,0)+IF(EOMONTH(DATE(YEAR(Sales!$DI$1),MONTH(Sales!$DI$1),1)+INT((DAY(Sales!$DI$1)-1)/2)+'Cash Drivers'!DJ$13,0)=EOMONTH($CZ$1,0),Sales!DJ$6,0)+IF(EOMONTH(DATE(YEAR(Sales!$DF$1),MONTH(Sales!$DF$1),1)+INT((DAY(Sales!$DF$1)-1)/2)+'Cash Drivers'!DG$13,0)=EOMONTH($CZ$1,0),Sales!DG$6,0)+IF(EOMONTH(DATE(YEAR(Sales!$DC$1),MONTH(Sales!$DC$1),1)+INT((DAY(Sales!$DC$1)-1)/2)+'Cash Drivers'!DD$13,0)=EOMONTH($CZ$1,0),Sales!DD$6,0)+IF(EOMONTH(DATE(YEAR(Sales!$CZ$1),MONTH(Sales!$CZ$1),1)+INT((DAY(Sales!$CZ$1)-1)/2)+'Cash Drivers'!DA$13,0)=EOMONTH($CZ$1,0),Sales!DA$6,0)+IF(EOMONTH(DATE(YEAR(Sales!$CW$1),MONTH(Sales!$CW$1),1)+INT((DAY(Sales!$CW$1)-1)/2)+'Cash Drivers'!CX$13,0)=EOMONTH($CZ$1,0),Sales!CX$6,0)+IF(EOMONTH(DATE(YEAR(Sales!$CT$1),MONTH(Sales!$CT$1),1)+INT((DAY(Sales!$CT$1)-1)/2)+'Cash Drivers'!CU$13,0)=EOMONTH($CZ$1,0),Sales!CU$6,0)+IF(EOMONTH(DATE(YEAR(Sales!$CQ$1),MONTH(Sales!$CQ$1),1)+INT((DAY(Sales!$CQ$1)-1)/2)+'Cash Drivers'!CR$13,0)=EOMONTH($CZ$1,0),Sales!CR$6,0)+IF(EOMONTH(DATE(YEAR(Sales!$CN$1),MONTH(Sales!$CN$1),1)+INT((DAY(Sales!$CN$1)-1)/2)+'Cash Drivers'!CO$13,0)=EOMONTH($CZ$1,0),Sales!CO$6,0)+IF(EOMONTH(DATE(YEAR(Sales!$CK$1),MONTH(Sales!$CK$1),1)+INT((DAY(Sales!$CK$1)-1)/2)+'Cash Drivers'!CL$13,0)=EOMONTH($CZ$1,0),Sales!CL$6,0)+IF(EOMONTH(DATE(YEAR(Sales!$CH$1),MONTH(Sales!$CH$1),1)+INT((DAY(Sales!$CH$1)-1)/2)+'Cash Drivers'!CI$13,0)=EOMONTH($CZ$1,0),Sales!CI$6,0)+IF(EOMONTH(DATE(YEAR(Sales!$CE$1),MONTH(Sales!$CE$1),1)+INT((DAY(Sales!$CE$1)-1)/2)+'Cash Drivers'!CF$13,0)=EOMONTH($CZ$1,0),Sales!CF$6,0)+IF(EOMONTH(DATE(YEAR(Sales!$CB$1),MONTH(Sales!$CB$1),1)+INT((DAY(Sales!$CB$1)-1)/2)+'Cash Drivers'!CC$13,0)=EOMONTH($CZ$1,0),Sales!CC$6,0)+IF(EOMONTH(DATE(YEAR(Sales!$BY$1),MONTH(Sales!$BY$1),1)+INT((DAY(Sales!$BY$1)-1)/2)+'Cash Drivers'!BZ$13,0)=EOMONTH($CZ$1,0),Sales!BZ$6,0)+IF(EOMONTH(DATE(YEAR(Sales!$BV$1),MONTH(Sales!$BV$1),1)+INT((DAY(Sales!$BV$1)-1)/2)+'Cash Drivers'!BW$13,0)=EOMONTH($CZ$1,0),Sales!BW$6,0)+IF(EOMONTH(DATE(YEAR(Sales!$BS$1),MONTH(Sales!$BS$1),1)+INT((DAY(Sales!$BS$1)-1)/2)+'Cash Drivers'!BT$13,0)=EOMONTH($CZ$1,0),Sales!BT$6,0)+IF(EOMONTH(DATE(YEAR(Sales!$BP$1),MONTH(Sales!$BP$1),1)+INT((DAY(Sales!$BP$1)-1)/2)+'Cash Drivers'!BQ$13,0)=EOMONTH($CZ$1,0),Sales!BQ$6,0)+IF(EOMONTH(DATE(YEAR(Sales!$BM$1),MONTH(Sales!$BM$1),1)+INT((DAY(Sales!$BM$1)-1)/2)+'Cash Drivers'!BN$13,0)=EOMONTH($CZ$1,0),Sales!BN$6,0)+IF(EOMONTH(DATE(YEAR(Sales!$BJ$1),MONTH(Sales!$BJ$1),1)+INT((DAY(Sales!$BJ$1)-1)/2)+'Cash Drivers'!BK$13,0)=EOMONTH($CZ$1,0),Sales!BK$6,0)+IF(EOMONTH(DATE(YEAR(Sales!$BG$1),MONTH(Sales!$BG$1),1)+INT((DAY(Sales!$BG$1)-1)/2)+'Cash Drivers'!BH$13,0)=EOMONTH($CZ$1,0),Sales!BH$6,0)+IF(EOMONTH(DATE(YEAR(Sales!$BD$1),MONTH(Sales!$BD$1),1)+INT((DAY(Sales!$BD$1)-1)/2)+'Cash Drivers'!BE$13,0)=EOMONTH($CZ$1,0),Sales!BE$6,0)+IF(EOMONTH(DATE(YEAR(Sales!$BA$1),MONTH(Sales!$BA$1),1)+INT((DAY(Sales!$BA$1)-1)/2)+'Cash Drivers'!BB$13,0)=EOMONTH($CZ$1,0),Sales!BB$6,0)+IF(EOMONTH(DATE(YEAR(Sales!$AX$1),MONTH(Sales!$AX$1),1)+INT((DAY(Sales!$AX$1)-1)/2)+'Cash Drivers'!AY$13,0)=EOMONTH($CZ$1,0),Sales!AY$6,0)+IF(EOMONTH(DATE(YEAR(Sales!$AU$1),MONTH(Sales!$AU$1),1)+INT((DAY(Sales!$AU$1)-1)/2)+'Cash Drivers'!AV$13,0)=EOMONTH($CZ$1,0),Sales!AV$6,0)+IF(EOMONTH(DATE(YEAR(Sales!$AR$1),MONTH(Sales!$AR$1),1)+INT((DAY(Sales!$AR$1)-1)/2)+'Cash Drivers'!AS$13,0)=EOMONTH($CZ$1,0),Sales!AS$6,0)+IF(EOMONTH(DATE(YEAR(Sales!$AO$1),MONTH(Sales!$AO$1),1)+INT((DAY(Sales!$AO$1)-1)/2)+'Cash Drivers'!AP$13,0)=EOMONTH($CZ$1,0),Sales!AP$6,0)+IF(EOMONTH(DATE(YEAR(Sales!$AL$1),MONTH(Sales!$AL$1),1)+INT((DAY(Sales!$AL$1)-1)/2)+'Cash Drivers'!AM$13,0)=EOMONTH($CZ$1,0),Sales!AM$6,0)+IF(EOMONTH(DATE(YEAR(Sales!$AI$1),MONTH(Sales!$AI$1),1)+INT((DAY(Sales!$AI$1)-1)/2)+'Cash Drivers'!AJ$13,0)=EOMONTH($CZ$1,0),Sales!AJ$6,0)+IF(EOMONTH(DATE(YEAR(Sales!$AF$1),MONTH(Sales!$AF$1),1)+INT((DAY(Sales!$AF$1)-1)/2)+'Cash Drivers'!AG$13,0)=EOMONTH($CZ$1,0),Sales!AG$6,0)+IF(EOMONTH(DATE(YEAR(Sales!$AC$1),MONTH(Sales!$AC$1),1)+INT((DAY(Sales!$AC$1)-1)/2)+'Cash Drivers'!AD$13,0)=EOMONTH($CZ$1,0),Sales!AD$6,0)+IF(EOMONTH(DATE(YEAR(Sales!$Z$1),MONTH(Sales!$Z$1),1)+INT((DAY(Sales!$Z$1)-1)/2)+'Cash Drivers'!AA$13,0)=EOMONTH($CZ$1,0),Sales!AA$6,0)+IF(EOMONTH(DATE(YEAR(Sales!$W$1),MONTH(Sales!$W$1),1)+INT((DAY(Sales!$W$1)-1)/2)+'Cash Drivers'!X$13,0)=EOMONTH($CZ$1,0),Sales!X$6,0)+IF(EOMONTH(DATE(YEAR(Sales!$T$1),MONTH(Sales!$T$1),1)+INT((DAY(Sales!$T$1)-1)/2)+'Cash Drivers'!U$13,0)=EOMONTH($CZ$1,0),Sales!U$6,0)+IF(EOMONTH(DATE(YEAR(Sales!$Q$1),MONTH(Sales!$Q$1),1)+INT((DAY(Sales!$Q$1)-1)/2)+'Cash Drivers'!R$13,0)=EOMONTH($CZ$1,0),Sales!R$6,0)+IF(EOMONTH(DATE(YEAR(Sales!$N$1),MONTH(Sales!$N$1),1)+INT((DAY(Sales!$N$1)-1)/2)+'Cash Drivers'!O$13,0)=EOMONTH($CZ$1,0),Sales!O$6,0)+IF(EOMONTH(DATE(YEAR(Sales!$K$1),MONTH(Sales!$K$1),1)+INT((DAY(Sales!$K$1)-1)/2)+'Cash Drivers'!L$13,0)=EOMONTH($CZ$1,0),Sales!L$6,0)+IF(EOMONTH('Cash Drivers'!$DL$30+'Cash Drivers'!DM$13,0)=EOMONTH($CZ$1,0),'Cash Drivers'!$DL$32,0),0)</f>
        <v>19</v>
      </c>
      <c r="DB18" s="46" t="n">
        <f aca="false">ROUND(IF(EOMONTH(DATE(YEAR(Sales!$DL$1),MONTH(Sales!$DL$1),1)+INT((DAY(Sales!$DL$1)-1)/2)+'Cash Drivers'!DN$13,0)=EOMONTH($CZ$1,0),Sales!DN$6,0)+IF(EOMONTH(DATE(YEAR(Sales!$DI$1),MONTH(Sales!$DI$1),1)+INT((DAY(Sales!$DI$1)-1)/2)+'Cash Drivers'!DK$13,0)=EOMONTH($CZ$1,0),Sales!DK$6,0)+IF(EOMONTH(DATE(YEAR(Sales!$DF$1),MONTH(Sales!$DF$1),1)+INT((DAY(Sales!$DF$1)-1)/2)+'Cash Drivers'!DH$13,0)=EOMONTH($CZ$1,0),Sales!DH$6,0)+IF(EOMONTH(DATE(YEAR(Sales!$DC$1),MONTH(Sales!$DC$1),1)+INT((DAY(Sales!$DC$1)-1)/2)+'Cash Drivers'!DE$13,0)=EOMONTH($CZ$1,0),Sales!DE$6,0)+IF(EOMONTH(DATE(YEAR(Sales!$CZ$1),MONTH(Sales!$CZ$1),1)+INT((DAY(Sales!$CZ$1)-1)/2)+'Cash Drivers'!DB$13,0)=EOMONTH($CZ$1,0),Sales!DB$6,0)+IF(EOMONTH(DATE(YEAR(Sales!$CW$1),MONTH(Sales!$CW$1),1)+INT((DAY(Sales!$CW$1)-1)/2)+'Cash Drivers'!CY$13,0)=EOMONTH($CZ$1,0),Sales!CY$6,0)+IF(EOMONTH(DATE(YEAR(Sales!$CT$1),MONTH(Sales!$CT$1),1)+INT((DAY(Sales!$CT$1)-1)/2)+'Cash Drivers'!CV$13,0)=EOMONTH($CZ$1,0),Sales!CV$6,0)+IF(EOMONTH(DATE(YEAR(Sales!$CQ$1),MONTH(Sales!$CQ$1),1)+INT((DAY(Sales!$CQ$1)-1)/2)+'Cash Drivers'!CS$13,0)=EOMONTH($CZ$1,0),Sales!CS$6,0)+IF(EOMONTH(DATE(YEAR(Sales!$CN$1),MONTH(Sales!$CN$1),1)+INT((DAY(Sales!$CN$1)-1)/2)+'Cash Drivers'!CP$13,0)=EOMONTH($CZ$1,0),Sales!CP$6,0)+IF(EOMONTH(DATE(YEAR(Sales!$CK$1),MONTH(Sales!$CK$1),1)+INT((DAY(Sales!$CK$1)-1)/2)+'Cash Drivers'!CM$13,0)=EOMONTH($CZ$1,0),Sales!CM$6,0)+IF(EOMONTH(DATE(YEAR(Sales!$CH$1),MONTH(Sales!$CH$1),1)+INT((DAY(Sales!$CH$1)-1)/2)+'Cash Drivers'!CJ$13,0)=EOMONTH($CZ$1,0),Sales!CJ$6,0)+IF(EOMONTH(DATE(YEAR(Sales!$CE$1),MONTH(Sales!$CE$1),1)+INT((DAY(Sales!$CE$1)-1)/2)+'Cash Drivers'!CG$13,0)=EOMONTH($CZ$1,0),Sales!CG$6,0)+IF(EOMONTH(DATE(YEAR(Sales!$CB$1),MONTH(Sales!$CB$1),1)+INT((DAY(Sales!$CB$1)-1)/2)+'Cash Drivers'!CD$13,0)=EOMONTH($CZ$1,0),Sales!CD$6,0)+IF(EOMONTH(DATE(YEAR(Sales!$BY$1),MONTH(Sales!$BY$1),1)+INT((DAY(Sales!$BY$1)-1)/2)+'Cash Drivers'!CA$13,0)=EOMONTH($CZ$1,0),Sales!CA$6,0)+IF(EOMONTH(DATE(YEAR(Sales!$BV$1),MONTH(Sales!$BV$1),1)+INT((DAY(Sales!$BV$1)-1)/2)+'Cash Drivers'!BX$13,0)=EOMONTH($CZ$1,0),Sales!BX$6,0)+IF(EOMONTH(DATE(YEAR(Sales!$BS$1),MONTH(Sales!$BS$1),1)+INT((DAY(Sales!$BS$1)-1)/2)+'Cash Drivers'!BU$13,0)=EOMONTH($CZ$1,0),Sales!BU$6,0)+IF(EOMONTH(DATE(YEAR(Sales!$BP$1),MONTH(Sales!$BP$1),1)+INT((DAY(Sales!$BP$1)-1)/2)+'Cash Drivers'!BR$13,0)=EOMONTH($CZ$1,0),Sales!BR$6,0)+IF(EOMONTH(DATE(YEAR(Sales!$BM$1),MONTH(Sales!$BM$1),1)+INT((DAY(Sales!$BM$1)-1)/2)+'Cash Drivers'!BO$13,0)=EOMONTH($CZ$1,0),Sales!BO$6,0)+IF(EOMONTH(DATE(YEAR(Sales!$BJ$1),MONTH(Sales!$BJ$1),1)+INT((DAY(Sales!$BJ$1)-1)/2)+'Cash Drivers'!BL$13,0)=EOMONTH($CZ$1,0),Sales!BL$6,0)+IF(EOMONTH(DATE(YEAR(Sales!$BG$1),MONTH(Sales!$BG$1),1)+INT((DAY(Sales!$BG$1)-1)/2)+'Cash Drivers'!BI$13,0)=EOMONTH($CZ$1,0),Sales!BI$6,0)+IF(EOMONTH(DATE(YEAR(Sales!$BD$1),MONTH(Sales!$BD$1),1)+INT((DAY(Sales!$BD$1)-1)/2)+'Cash Drivers'!BF$13,0)=EOMONTH($CZ$1,0),Sales!BF$6,0)+IF(EOMONTH(DATE(YEAR(Sales!$BA$1),MONTH(Sales!$BA$1),1)+INT((DAY(Sales!$BA$1)-1)/2)+'Cash Drivers'!BC$13,0)=EOMONTH($CZ$1,0),Sales!BC$6,0)+IF(EOMONTH(DATE(YEAR(Sales!$AX$1),MONTH(Sales!$AX$1),1)+INT((DAY(Sales!$AX$1)-1)/2)+'Cash Drivers'!AZ$13,0)=EOMONTH($CZ$1,0),Sales!AZ$6,0)+IF(EOMONTH(DATE(YEAR(Sales!$AU$1),MONTH(Sales!$AU$1),1)+INT((DAY(Sales!$AU$1)-1)/2)+'Cash Drivers'!AW$13,0)=EOMONTH($CZ$1,0),Sales!AW$6,0)+IF(EOMONTH(DATE(YEAR(Sales!$AR$1),MONTH(Sales!$AR$1),1)+INT((DAY(Sales!$AR$1)-1)/2)+'Cash Drivers'!AT$13,0)=EOMONTH($CZ$1,0),Sales!AT$6,0)+IF(EOMONTH(DATE(YEAR(Sales!$AO$1),MONTH(Sales!$AO$1),1)+INT((DAY(Sales!$AO$1)-1)/2)+'Cash Drivers'!AQ$13,0)=EOMONTH($CZ$1,0),Sales!AQ$6,0)+IF(EOMONTH(DATE(YEAR(Sales!$AL$1),MONTH(Sales!$AL$1),1)+INT((DAY(Sales!$AL$1)-1)/2)+'Cash Drivers'!AN$13,0)=EOMONTH($CZ$1,0),Sales!AN$6,0)+IF(EOMONTH(DATE(YEAR(Sales!$AI$1),MONTH(Sales!$AI$1),1)+INT((DAY(Sales!$AI$1)-1)/2)+'Cash Drivers'!AK$13,0)=EOMONTH($CZ$1,0),Sales!AK$6,0)+IF(EOMONTH(DATE(YEAR(Sales!$AF$1),MONTH(Sales!$AF$1),1)+INT((DAY(Sales!$AF$1)-1)/2)+'Cash Drivers'!AH$13,0)=EOMONTH($CZ$1,0),Sales!AH$6,0)+IF(EOMONTH(DATE(YEAR(Sales!$AC$1),MONTH(Sales!$AC$1),1)+INT((DAY(Sales!$AC$1)-1)/2)+'Cash Drivers'!AE$13,0)=EOMONTH($CZ$1,0),Sales!AE$6,0)+IF(EOMONTH(DATE(YEAR(Sales!$Z$1),MONTH(Sales!$Z$1),1)+INT((DAY(Sales!$Z$1)-1)/2)+'Cash Drivers'!AB$13,0)=EOMONTH($CZ$1,0),Sales!AB$6,0)+IF(EOMONTH(DATE(YEAR(Sales!$W$1),MONTH(Sales!$W$1),1)+INT((DAY(Sales!$W$1)-1)/2)+'Cash Drivers'!Y$13,0)=EOMONTH($CZ$1,0),Sales!Y$6,0)+IF(EOMONTH(DATE(YEAR(Sales!$T$1),MONTH(Sales!$T$1),1)+INT((DAY(Sales!$T$1)-1)/2)+'Cash Drivers'!V$13,0)=EOMONTH($CZ$1,0),Sales!V$6,0)+IF(EOMONTH(DATE(YEAR(Sales!$Q$1),MONTH(Sales!$Q$1),1)+INT((DAY(Sales!$Q$1)-1)/2)+'Cash Drivers'!S$13,0)=EOMONTH($CZ$1,0),Sales!S$6,0)+IF(EOMONTH(DATE(YEAR(Sales!$N$1),MONTH(Sales!$N$1),1)+INT((DAY(Sales!$N$1)-1)/2)+'Cash Drivers'!P$13,0)=EOMONTH($CZ$1,0),Sales!P$6,0)+IF(EOMONTH(DATE(YEAR(Sales!$K$1),MONTH(Sales!$K$1),1)+INT((DAY(Sales!$K$1)-1)/2)+'Cash Drivers'!M$13,0)=EOMONTH($CZ$1,0),Sales!M$6,0)+IF(EOMONTH('Cash Drivers'!$DL$30+'Cash Drivers'!DN$13,0)=EOMONTH($CZ$1,0),'Cash Drivers'!$DL$32,0),0)</f>
        <v>19</v>
      </c>
      <c r="DC18" s="44" t="n">
        <f aca="false">ROUND(IF(EOMONTH(DATE(YEAR(Sales!$DL$1),MONTH(Sales!$DL$1),1)+INT((DAY(Sales!$DL$1)-1)/2)+'Cash Drivers'!DL$13,0)=EOMONTH($DC$1,0),Sales!DL$6,0)+IF(EOMONTH(DATE(YEAR(Sales!$DI$1),MONTH(Sales!$DI$1),1)+INT((DAY(Sales!$DI$1)-1)/2)+'Cash Drivers'!DI$13,0)=EOMONTH($DC$1,0),Sales!DI$6,0)+IF(EOMONTH(DATE(YEAR(Sales!$DF$1),MONTH(Sales!$DF$1),1)+INT((DAY(Sales!$DF$1)-1)/2)+'Cash Drivers'!DF$13,0)=EOMONTH($DC$1,0),Sales!DF$6,0)+IF(EOMONTH(DATE(YEAR(Sales!$DC$1),MONTH(Sales!$DC$1),1)+INT((DAY(Sales!$DC$1)-1)/2)+'Cash Drivers'!DC$13,0)=EOMONTH($DC$1,0),Sales!DC$6,0)+IF(EOMONTH(DATE(YEAR(Sales!$CZ$1),MONTH(Sales!$CZ$1),1)+INT((DAY(Sales!$CZ$1)-1)/2)+'Cash Drivers'!CZ$13,0)=EOMONTH($DC$1,0),Sales!CZ$6,0)+IF(EOMONTH(DATE(YEAR(Sales!$CW$1),MONTH(Sales!$CW$1),1)+INT((DAY(Sales!$CW$1)-1)/2)+'Cash Drivers'!CW$13,0)=EOMONTH($DC$1,0),Sales!CW$6,0)+IF(EOMONTH(DATE(YEAR(Sales!$CT$1),MONTH(Sales!$CT$1),1)+INT((DAY(Sales!$CT$1)-1)/2)+'Cash Drivers'!CT$13,0)=EOMONTH($DC$1,0),Sales!CT$6,0)+IF(EOMONTH(DATE(YEAR(Sales!$CQ$1),MONTH(Sales!$CQ$1),1)+INT((DAY(Sales!$CQ$1)-1)/2)+'Cash Drivers'!CQ$13,0)=EOMONTH($DC$1,0),Sales!CQ$6,0)+IF(EOMONTH(DATE(YEAR(Sales!$CN$1),MONTH(Sales!$CN$1),1)+INT((DAY(Sales!$CN$1)-1)/2)+'Cash Drivers'!CN$13,0)=EOMONTH($DC$1,0),Sales!CN$6,0)+IF(EOMONTH(DATE(YEAR(Sales!$CK$1),MONTH(Sales!$CK$1),1)+INT((DAY(Sales!$CK$1)-1)/2)+'Cash Drivers'!CK$13,0)=EOMONTH($DC$1,0),Sales!CK$6,0)+IF(EOMONTH(DATE(YEAR(Sales!$CH$1),MONTH(Sales!$CH$1),1)+INT((DAY(Sales!$CH$1)-1)/2)+'Cash Drivers'!CH$13,0)=EOMONTH($DC$1,0),Sales!CH$6,0)+IF(EOMONTH(DATE(YEAR(Sales!$CE$1),MONTH(Sales!$CE$1),1)+INT((DAY(Sales!$CE$1)-1)/2)+'Cash Drivers'!CE$13,0)=EOMONTH($DC$1,0),Sales!CE$6,0)+IF(EOMONTH(DATE(YEAR(Sales!$CB$1),MONTH(Sales!$CB$1),1)+INT((DAY(Sales!$CB$1)-1)/2)+'Cash Drivers'!CB$13,0)=EOMONTH($DC$1,0),Sales!CB$6,0)+IF(EOMONTH(DATE(YEAR(Sales!$BY$1),MONTH(Sales!$BY$1),1)+INT((DAY(Sales!$BY$1)-1)/2)+'Cash Drivers'!BY$13,0)=EOMONTH($DC$1,0),Sales!BY$6,0)+IF(EOMONTH(DATE(YEAR(Sales!$BV$1),MONTH(Sales!$BV$1),1)+INT((DAY(Sales!$BV$1)-1)/2)+'Cash Drivers'!BV$13,0)=EOMONTH($DC$1,0),Sales!BV$6,0)+IF(EOMONTH(DATE(YEAR(Sales!$BS$1),MONTH(Sales!$BS$1),1)+INT((DAY(Sales!$BS$1)-1)/2)+'Cash Drivers'!BS$13,0)=EOMONTH($DC$1,0),Sales!BS$6,0)+IF(EOMONTH(DATE(YEAR(Sales!$BP$1),MONTH(Sales!$BP$1),1)+INT((DAY(Sales!$BP$1)-1)/2)+'Cash Drivers'!BP$13,0)=EOMONTH($DC$1,0),Sales!BP$6,0)+IF(EOMONTH(DATE(YEAR(Sales!$BM$1),MONTH(Sales!$BM$1),1)+INT((DAY(Sales!$BM$1)-1)/2)+'Cash Drivers'!BM$13,0)=EOMONTH($DC$1,0),Sales!BM$6,0)+IF(EOMONTH(DATE(YEAR(Sales!$BJ$1),MONTH(Sales!$BJ$1),1)+INT((DAY(Sales!$BJ$1)-1)/2)+'Cash Drivers'!BJ$13,0)=EOMONTH($DC$1,0),Sales!BJ$6,0)+IF(EOMONTH(DATE(YEAR(Sales!$BG$1),MONTH(Sales!$BG$1),1)+INT((DAY(Sales!$BG$1)-1)/2)+'Cash Drivers'!BG$13,0)=EOMONTH($DC$1,0),Sales!BG$6,0)+IF(EOMONTH(DATE(YEAR(Sales!$BD$1),MONTH(Sales!$BD$1),1)+INT((DAY(Sales!$BD$1)-1)/2)+'Cash Drivers'!BD$13,0)=EOMONTH($DC$1,0),Sales!BD$6,0)+IF(EOMONTH(DATE(YEAR(Sales!$BA$1),MONTH(Sales!$BA$1),1)+INT((DAY(Sales!$BA$1)-1)/2)+'Cash Drivers'!BA$13,0)=EOMONTH($DC$1,0),Sales!BA$6,0)+IF(EOMONTH(DATE(YEAR(Sales!$AX$1),MONTH(Sales!$AX$1),1)+INT((DAY(Sales!$AX$1)-1)/2)+'Cash Drivers'!AX$13,0)=EOMONTH($DC$1,0),Sales!AX$6,0)+IF(EOMONTH(DATE(YEAR(Sales!$AU$1),MONTH(Sales!$AU$1),1)+INT((DAY(Sales!$AU$1)-1)/2)+'Cash Drivers'!AU$13,0)=EOMONTH($DC$1,0),Sales!AU$6,0)+IF(EOMONTH(DATE(YEAR(Sales!$AR$1),MONTH(Sales!$AR$1),1)+INT((DAY(Sales!$AR$1)-1)/2)+'Cash Drivers'!AR$13,0)=EOMONTH($DC$1,0),Sales!AR$6,0)+IF(EOMONTH(DATE(YEAR(Sales!$AO$1),MONTH(Sales!$AO$1),1)+INT((DAY(Sales!$AO$1)-1)/2)+'Cash Drivers'!AO$13,0)=EOMONTH($DC$1,0),Sales!AO$6,0)+IF(EOMONTH(DATE(YEAR(Sales!$AL$1),MONTH(Sales!$AL$1),1)+INT((DAY(Sales!$AL$1)-1)/2)+'Cash Drivers'!AL$13,0)=EOMONTH($DC$1,0),Sales!AL$6,0)+IF(EOMONTH(DATE(YEAR(Sales!$AI$1),MONTH(Sales!$AI$1),1)+INT((DAY(Sales!$AI$1)-1)/2)+'Cash Drivers'!AI$13,0)=EOMONTH($DC$1,0),Sales!AI$6,0)+IF(EOMONTH(DATE(YEAR(Sales!$AF$1),MONTH(Sales!$AF$1),1)+INT((DAY(Sales!$AF$1)-1)/2)+'Cash Drivers'!AF$13,0)=EOMONTH($DC$1,0),Sales!AF$6,0)+IF(EOMONTH(DATE(YEAR(Sales!$AC$1),MONTH(Sales!$AC$1),1)+INT((DAY(Sales!$AC$1)-1)/2)+'Cash Drivers'!AC$13,0)=EOMONTH($DC$1,0),Sales!AC$6,0)+IF(EOMONTH(DATE(YEAR(Sales!$Z$1),MONTH(Sales!$Z$1),1)+INT((DAY(Sales!$Z$1)-1)/2)+'Cash Drivers'!Z$13,0)=EOMONTH($DC$1,0),Sales!Z$6,0)+IF(EOMONTH(DATE(YEAR(Sales!$W$1),MONTH(Sales!$W$1),1)+INT((DAY(Sales!$W$1)-1)/2)+'Cash Drivers'!W$13,0)=EOMONTH($DC$1,0),Sales!W$6,0)+IF(EOMONTH(DATE(YEAR(Sales!$T$1),MONTH(Sales!$T$1),1)+INT((DAY(Sales!$T$1)-1)/2)+'Cash Drivers'!T$13,0)=EOMONTH($DC$1,0),Sales!T$6,0)+IF(EOMONTH(DATE(YEAR(Sales!$Q$1),MONTH(Sales!$Q$1),1)+INT((DAY(Sales!$Q$1)-1)/2)+'Cash Drivers'!Q$13,0)=EOMONTH($DC$1,0),Sales!Q$6,0)+IF(EOMONTH(DATE(YEAR(Sales!$N$1),MONTH(Sales!$N$1),1)+INT((DAY(Sales!$N$1)-1)/2)+'Cash Drivers'!N$13,0)=EOMONTH($DC$1,0),Sales!N$6,0)+IF(EOMONTH(DATE(YEAR(Sales!$K$1),MONTH(Sales!$K$1),1)+INT((DAY(Sales!$K$1)-1)/2)+'Cash Drivers'!K$13,0)=EOMONTH($DC$1,0),Sales!K$6,0)+IF(EOMONTH('Cash Drivers'!$DL$30+'Cash Drivers'!DL$13,0)=EOMONTH($DC$1,0),'Cash Drivers'!$DL$32,0),0)</f>
        <v>0</v>
      </c>
      <c r="DD18" s="45" t="n">
        <f aca="false">ROUND(IF(EOMONTH(DATE(YEAR(Sales!$DL$1),MONTH(Sales!$DL$1),1)+INT((DAY(Sales!$DL$1)-1)/2)+'Cash Drivers'!DM$13,0)=EOMONTH($DC$1,0),Sales!DM$6,0)+IF(EOMONTH(DATE(YEAR(Sales!$DI$1),MONTH(Sales!$DI$1),1)+INT((DAY(Sales!$DI$1)-1)/2)+'Cash Drivers'!DJ$13,0)=EOMONTH($DC$1,0),Sales!DJ$6,0)+IF(EOMONTH(DATE(YEAR(Sales!$DF$1),MONTH(Sales!$DF$1),1)+INT((DAY(Sales!$DF$1)-1)/2)+'Cash Drivers'!DG$13,0)=EOMONTH($DC$1,0),Sales!DG$6,0)+IF(EOMONTH(DATE(YEAR(Sales!$DC$1),MONTH(Sales!$DC$1),1)+INT((DAY(Sales!$DC$1)-1)/2)+'Cash Drivers'!DD$13,0)=EOMONTH($DC$1,0),Sales!DD$6,0)+IF(EOMONTH(DATE(YEAR(Sales!$CZ$1),MONTH(Sales!$CZ$1),1)+INT((DAY(Sales!$CZ$1)-1)/2)+'Cash Drivers'!DA$13,0)=EOMONTH($DC$1,0),Sales!DA$6,0)+IF(EOMONTH(DATE(YEAR(Sales!$CW$1),MONTH(Sales!$CW$1),1)+INT((DAY(Sales!$CW$1)-1)/2)+'Cash Drivers'!CX$13,0)=EOMONTH($DC$1,0),Sales!CX$6,0)+IF(EOMONTH(DATE(YEAR(Sales!$CT$1),MONTH(Sales!$CT$1),1)+INT((DAY(Sales!$CT$1)-1)/2)+'Cash Drivers'!CU$13,0)=EOMONTH($DC$1,0),Sales!CU$6,0)+IF(EOMONTH(DATE(YEAR(Sales!$CQ$1),MONTH(Sales!$CQ$1),1)+INT((DAY(Sales!$CQ$1)-1)/2)+'Cash Drivers'!CR$13,0)=EOMONTH($DC$1,0),Sales!CR$6,0)+IF(EOMONTH(DATE(YEAR(Sales!$CN$1),MONTH(Sales!$CN$1),1)+INT((DAY(Sales!$CN$1)-1)/2)+'Cash Drivers'!CO$13,0)=EOMONTH($DC$1,0),Sales!CO$6,0)+IF(EOMONTH(DATE(YEAR(Sales!$CK$1),MONTH(Sales!$CK$1),1)+INT((DAY(Sales!$CK$1)-1)/2)+'Cash Drivers'!CL$13,0)=EOMONTH($DC$1,0),Sales!CL$6,0)+IF(EOMONTH(DATE(YEAR(Sales!$CH$1),MONTH(Sales!$CH$1),1)+INT((DAY(Sales!$CH$1)-1)/2)+'Cash Drivers'!CI$13,0)=EOMONTH($DC$1,0),Sales!CI$6,0)+IF(EOMONTH(DATE(YEAR(Sales!$CE$1),MONTH(Sales!$CE$1),1)+INT((DAY(Sales!$CE$1)-1)/2)+'Cash Drivers'!CF$13,0)=EOMONTH($DC$1,0),Sales!CF$6,0)+IF(EOMONTH(DATE(YEAR(Sales!$CB$1),MONTH(Sales!$CB$1),1)+INT((DAY(Sales!$CB$1)-1)/2)+'Cash Drivers'!CC$13,0)=EOMONTH($DC$1,0),Sales!CC$6,0)+IF(EOMONTH(DATE(YEAR(Sales!$BY$1),MONTH(Sales!$BY$1),1)+INT((DAY(Sales!$BY$1)-1)/2)+'Cash Drivers'!BZ$13,0)=EOMONTH($DC$1,0),Sales!BZ$6,0)+IF(EOMONTH(DATE(YEAR(Sales!$BV$1),MONTH(Sales!$BV$1),1)+INT((DAY(Sales!$BV$1)-1)/2)+'Cash Drivers'!BW$13,0)=EOMONTH($DC$1,0),Sales!BW$6,0)+IF(EOMONTH(DATE(YEAR(Sales!$BS$1),MONTH(Sales!$BS$1),1)+INT((DAY(Sales!$BS$1)-1)/2)+'Cash Drivers'!BT$13,0)=EOMONTH($DC$1,0),Sales!BT$6,0)+IF(EOMONTH(DATE(YEAR(Sales!$BP$1),MONTH(Sales!$BP$1),1)+INT((DAY(Sales!$BP$1)-1)/2)+'Cash Drivers'!BQ$13,0)=EOMONTH($DC$1,0),Sales!BQ$6,0)+IF(EOMONTH(DATE(YEAR(Sales!$BM$1),MONTH(Sales!$BM$1),1)+INT((DAY(Sales!$BM$1)-1)/2)+'Cash Drivers'!BN$13,0)=EOMONTH($DC$1,0),Sales!BN$6,0)+IF(EOMONTH(DATE(YEAR(Sales!$BJ$1),MONTH(Sales!$BJ$1),1)+INT((DAY(Sales!$BJ$1)-1)/2)+'Cash Drivers'!BK$13,0)=EOMONTH($DC$1,0),Sales!BK$6,0)+IF(EOMONTH(DATE(YEAR(Sales!$BG$1),MONTH(Sales!$BG$1),1)+INT((DAY(Sales!$BG$1)-1)/2)+'Cash Drivers'!BH$13,0)=EOMONTH($DC$1,0),Sales!BH$6,0)+IF(EOMONTH(DATE(YEAR(Sales!$BD$1),MONTH(Sales!$BD$1),1)+INT((DAY(Sales!$BD$1)-1)/2)+'Cash Drivers'!BE$13,0)=EOMONTH($DC$1,0),Sales!BE$6,0)+IF(EOMONTH(DATE(YEAR(Sales!$BA$1),MONTH(Sales!$BA$1),1)+INT((DAY(Sales!$BA$1)-1)/2)+'Cash Drivers'!BB$13,0)=EOMONTH($DC$1,0),Sales!BB$6,0)+IF(EOMONTH(DATE(YEAR(Sales!$AX$1),MONTH(Sales!$AX$1),1)+INT((DAY(Sales!$AX$1)-1)/2)+'Cash Drivers'!AY$13,0)=EOMONTH($DC$1,0),Sales!AY$6,0)+IF(EOMONTH(DATE(YEAR(Sales!$AU$1),MONTH(Sales!$AU$1),1)+INT((DAY(Sales!$AU$1)-1)/2)+'Cash Drivers'!AV$13,0)=EOMONTH($DC$1,0),Sales!AV$6,0)+IF(EOMONTH(DATE(YEAR(Sales!$AR$1),MONTH(Sales!$AR$1),1)+INT((DAY(Sales!$AR$1)-1)/2)+'Cash Drivers'!AS$13,0)=EOMONTH($DC$1,0),Sales!AS$6,0)+IF(EOMONTH(DATE(YEAR(Sales!$AO$1),MONTH(Sales!$AO$1),1)+INT((DAY(Sales!$AO$1)-1)/2)+'Cash Drivers'!AP$13,0)=EOMONTH($DC$1,0),Sales!AP$6,0)+IF(EOMONTH(DATE(YEAR(Sales!$AL$1),MONTH(Sales!$AL$1),1)+INT((DAY(Sales!$AL$1)-1)/2)+'Cash Drivers'!AM$13,0)=EOMONTH($DC$1,0),Sales!AM$6,0)+IF(EOMONTH(DATE(YEAR(Sales!$AI$1),MONTH(Sales!$AI$1),1)+INT((DAY(Sales!$AI$1)-1)/2)+'Cash Drivers'!AJ$13,0)=EOMONTH($DC$1,0),Sales!AJ$6,0)+IF(EOMONTH(DATE(YEAR(Sales!$AF$1),MONTH(Sales!$AF$1),1)+INT((DAY(Sales!$AF$1)-1)/2)+'Cash Drivers'!AG$13,0)=EOMONTH($DC$1,0),Sales!AG$6,0)+IF(EOMONTH(DATE(YEAR(Sales!$AC$1),MONTH(Sales!$AC$1),1)+INT((DAY(Sales!$AC$1)-1)/2)+'Cash Drivers'!AD$13,0)=EOMONTH($DC$1,0),Sales!AD$6,0)+IF(EOMONTH(DATE(YEAR(Sales!$Z$1),MONTH(Sales!$Z$1),1)+INT((DAY(Sales!$Z$1)-1)/2)+'Cash Drivers'!AA$13,0)=EOMONTH($DC$1,0),Sales!AA$6,0)+IF(EOMONTH(DATE(YEAR(Sales!$W$1),MONTH(Sales!$W$1),1)+INT((DAY(Sales!$W$1)-1)/2)+'Cash Drivers'!X$13,0)=EOMONTH($DC$1,0),Sales!X$6,0)+IF(EOMONTH(DATE(YEAR(Sales!$T$1),MONTH(Sales!$T$1),1)+INT((DAY(Sales!$T$1)-1)/2)+'Cash Drivers'!U$13,0)=EOMONTH($DC$1,0),Sales!U$6,0)+IF(EOMONTH(DATE(YEAR(Sales!$Q$1),MONTH(Sales!$Q$1),1)+INT((DAY(Sales!$Q$1)-1)/2)+'Cash Drivers'!R$13,0)=EOMONTH($DC$1,0),Sales!R$6,0)+IF(EOMONTH(DATE(YEAR(Sales!$N$1),MONTH(Sales!$N$1),1)+INT((DAY(Sales!$N$1)-1)/2)+'Cash Drivers'!O$13,0)=EOMONTH($DC$1,0),Sales!O$6,0)+IF(EOMONTH(DATE(YEAR(Sales!$K$1),MONTH(Sales!$K$1),1)+INT((DAY(Sales!$K$1)-1)/2)+'Cash Drivers'!L$13,0)=EOMONTH($DC$1,0),Sales!L$6,0)+IF(EOMONTH('Cash Drivers'!$DL$30+'Cash Drivers'!DM$13,0)=EOMONTH($DC$1,0),'Cash Drivers'!$DL$32,0),0)</f>
        <v>30</v>
      </c>
      <c r="DE18" s="46" t="n">
        <f aca="false">ROUND(IF(EOMONTH(DATE(YEAR(Sales!$DL$1),MONTH(Sales!$DL$1),1)+INT((DAY(Sales!$DL$1)-1)/2)+'Cash Drivers'!DN$13,0)=EOMONTH($DC$1,0),Sales!DN$6,0)+IF(EOMONTH(DATE(YEAR(Sales!$DI$1),MONTH(Sales!$DI$1),1)+INT((DAY(Sales!$DI$1)-1)/2)+'Cash Drivers'!DK$13,0)=EOMONTH($DC$1,0),Sales!DK$6,0)+IF(EOMONTH(DATE(YEAR(Sales!$DF$1),MONTH(Sales!$DF$1),1)+INT((DAY(Sales!$DF$1)-1)/2)+'Cash Drivers'!DH$13,0)=EOMONTH($DC$1,0),Sales!DH$6,0)+IF(EOMONTH(DATE(YEAR(Sales!$DC$1),MONTH(Sales!$DC$1),1)+INT((DAY(Sales!$DC$1)-1)/2)+'Cash Drivers'!DE$13,0)=EOMONTH($DC$1,0),Sales!DE$6,0)+IF(EOMONTH(DATE(YEAR(Sales!$CZ$1),MONTH(Sales!$CZ$1),1)+INT((DAY(Sales!$CZ$1)-1)/2)+'Cash Drivers'!DB$13,0)=EOMONTH($DC$1,0),Sales!DB$6,0)+IF(EOMONTH(DATE(YEAR(Sales!$CW$1),MONTH(Sales!$CW$1),1)+INT((DAY(Sales!$CW$1)-1)/2)+'Cash Drivers'!CY$13,0)=EOMONTH($DC$1,0),Sales!CY$6,0)+IF(EOMONTH(DATE(YEAR(Sales!$CT$1),MONTH(Sales!$CT$1),1)+INT((DAY(Sales!$CT$1)-1)/2)+'Cash Drivers'!CV$13,0)=EOMONTH($DC$1,0),Sales!CV$6,0)+IF(EOMONTH(DATE(YEAR(Sales!$CQ$1),MONTH(Sales!$CQ$1),1)+INT((DAY(Sales!$CQ$1)-1)/2)+'Cash Drivers'!CS$13,0)=EOMONTH($DC$1,0),Sales!CS$6,0)+IF(EOMONTH(DATE(YEAR(Sales!$CN$1),MONTH(Sales!$CN$1),1)+INT((DAY(Sales!$CN$1)-1)/2)+'Cash Drivers'!CP$13,0)=EOMONTH($DC$1,0),Sales!CP$6,0)+IF(EOMONTH(DATE(YEAR(Sales!$CK$1),MONTH(Sales!$CK$1),1)+INT((DAY(Sales!$CK$1)-1)/2)+'Cash Drivers'!CM$13,0)=EOMONTH($DC$1,0),Sales!CM$6,0)+IF(EOMONTH(DATE(YEAR(Sales!$CH$1),MONTH(Sales!$CH$1),1)+INT((DAY(Sales!$CH$1)-1)/2)+'Cash Drivers'!CJ$13,0)=EOMONTH($DC$1,0),Sales!CJ$6,0)+IF(EOMONTH(DATE(YEAR(Sales!$CE$1),MONTH(Sales!$CE$1),1)+INT((DAY(Sales!$CE$1)-1)/2)+'Cash Drivers'!CG$13,0)=EOMONTH($DC$1,0),Sales!CG$6,0)+IF(EOMONTH(DATE(YEAR(Sales!$CB$1),MONTH(Sales!$CB$1),1)+INT((DAY(Sales!$CB$1)-1)/2)+'Cash Drivers'!CD$13,0)=EOMONTH($DC$1,0),Sales!CD$6,0)+IF(EOMONTH(DATE(YEAR(Sales!$BY$1),MONTH(Sales!$BY$1),1)+INT((DAY(Sales!$BY$1)-1)/2)+'Cash Drivers'!CA$13,0)=EOMONTH($DC$1,0),Sales!CA$6,0)+IF(EOMONTH(DATE(YEAR(Sales!$BV$1),MONTH(Sales!$BV$1),1)+INT((DAY(Sales!$BV$1)-1)/2)+'Cash Drivers'!BX$13,0)=EOMONTH($DC$1,0),Sales!BX$6,0)+IF(EOMONTH(DATE(YEAR(Sales!$BS$1),MONTH(Sales!$BS$1),1)+INT((DAY(Sales!$BS$1)-1)/2)+'Cash Drivers'!BU$13,0)=EOMONTH($DC$1,0),Sales!BU$6,0)+IF(EOMONTH(DATE(YEAR(Sales!$BP$1),MONTH(Sales!$BP$1),1)+INT((DAY(Sales!$BP$1)-1)/2)+'Cash Drivers'!BR$13,0)=EOMONTH($DC$1,0),Sales!BR$6,0)+IF(EOMONTH(DATE(YEAR(Sales!$BM$1),MONTH(Sales!$BM$1),1)+INT((DAY(Sales!$BM$1)-1)/2)+'Cash Drivers'!BO$13,0)=EOMONTH($DC$1,0),Sales!BO$6,0)+IF(EOMONTH(DATE(YEAR(Sales!$BJ$1),MONTH(Sales!$BJ$1),1)+INT((DAY(Sales!$BJ$1)-1)/2)+'Cash Drivers'!BL$13,0)=EOMONTH($DC$1,0),Sales!BL$6,0)+IF(EOMONTH(DATE(YEAR(Sales!$BG$1),MONTH(Sales!$BG$1),1)+INT((DAY(Sales!$BG$1)-1)/2)+'Cash Drivers'!BI$13,0)=EOMONTH($DC$1,0),Sales!BI$6,0)+IF(EOMONTH(DATE(YEAR(Sales!$BD$1),MONTH(Sales!$BD$1),1)+INT((DAY(Sales!$BD$1)-1)/2)+'Cash Drivers'!BF$13,0)=EOMONTH($DC$1,0),Sales!BF$6,0)+IF(EOMONTH(DATE(YEAR(Sales!$BA$1),MONTH(Sales!$BA$1),1)+INT((DAY(Sales!$BA$1)-1)/2)+'Cash Drivers'!BC$13,0)=EOMONTH($DC$1,0),Sales!BC$6,0)+IF(EOMONTH(DATE(YEAR(Sales!$AX$1),MONTH(Sales!$AX$1),1)+INT((DAY(Sales!$AX$1)-1)/2)+'Cash Drivers'!AZ$13,0)=EOMONTH($DC$1,0),Sales!AZ$6,0)+IF(EOMONTH(DATE(YEAR(Sales!$AU$1),MONTH(Sales!$AU$1),1)+INT((DAY(Sales!$AU$1)-1)/2)+'Cash Drivers'!AW$13,0)=EOMONTH($DC$1,0),Sales!AW$6,0)+IF(EOMONTH(DATE(YEAR(Sales!$AR$1),MONTH(Sales!$AR$1),1)+INT((DAY(Sales!$AR$1)-1)/2)+'Cash Drivers'!AT$13,0)=EOMONTH($DC$1,0),Sales!AT$6,0)+IF(EOMONTH(DATE(YEAR(Sales!$AO$1),MONTH(Sales!$AO$1),1)+INT((DAY(Sales!$AO$1)-1)/2)+'Cash Drivers'!AQ$13,0)=EOMONTH($DC$1,0),Sales!AQ$6,0)+IF(EOMONTH(DATE(YEAR(Sales!$AL$1),MONTH(Sales!$AL$1),1)+INT((DAY(Sales!$AL$1)-1)/2)+'Cash Drivers'!AN$13,0)=EOMONTH($DC$1,0),Sales!AN$6,0)+IF(EOMONTH(DATE(YEAR(Sales!$AI$1),MONTH(Sales!$AI$1),1)+INT((DAY(Sales!$AI$1)-1)/2)+'Cash Drivers'!AK$13,0)=EOMONTH($DC$1,0),Sales!AK$6,0)+IF(EOMONTH(DATE(YEAR(Sales!$AF$1),MONTH(Sales!$AF$1),1)+INT((DAY(Sales!$AF$1)-1)/2)+'Cash Drivers'!AH$13,0)=EOMONTH($DC$1,0),Sales!AH$6,0)+IF(EOMONTH(DATE(YEAR(Sales!$AC$1),MONTH(Sales!$AC$1),1)+INT((DAY(Sales!$AC$1)-1)/2)+'Cash Drivers'!AE$13,0)=EOMONTH($DC$1,0),Sales!AE$6,0)+IF(EOMONTH(DATE(YEAR(Sales!$Z$1),MONTH(Sales!$Z$1),1)+INT((DAY(Sales!$Z$1)-1)/2)+'Cash Drivers'!AB$13,0)=EOMONTH($DC$1,0),Sales!AB$6,0)+IF(EOMONTH(DATE(YEAR(Sales!$W$1),MONTH(Sales!$W$1),1)+INT((DAY(Sales!$W$1)-1)/2)+'Cash Drivers'!Y$13,0)=EOMONTH($DC$1,0),Sales!Y$6,0)+IF(EOMONTH(DATE(YEAR(Sales!$T$1),MONTH(Sales!$T$1),1)+INT((DAY(Sales!$T$1)-1)/2)+'Cash Drivers'!V$13,0)=EOMONTH($DC$1,0),Sales!V$6,0)+IF(EOMONTH(DATE(YEAR(Sales!$Q$1),MONTH(Sales!$Q$1),1)+INT((DAY(Sales!$Q$1)-1)/2)+'Cash Drivers'!S$13,0)=EOMONTH($DC$1,0),Sales!S$6,0)+IF(EOMONTH(DATE(YEAR(Sales!$N$1),MONTH(Sales!$N$1),1)+INT((DAY(Sales!$N$1)-1)/2)+'Cash Drivers'!P$13,0)=EOMONTH($DC$1,0),Sales!P$6,0)+IF(EOMONTH(DATE(YEAR(Sales!$K$1),MONTH(Sales!$K$1),1)+INT((DAY(Sales!$K$1)-1)/2)+'Cash Drivers'!M$13,0)=EOMONTH($DC$1,0),Sales!M$6,0)+IF(EOMONTH('Cash Drivers'!$DL$30+'Cash Drivers'!DN$13,0)=EOMONTH($DC$1,0),'Cash Drivers'!$DL$32,0),0)</f>
        <v>38</v>
      </c>
      <c r="DF18" s="44" t="n">
        <f aca="false">ROUND(IF(EOMONTH(DATE(YEAR(Sales!$DL$1),MONTH(Sales!$DL$1),1)+INT((DAY(Sales!$DL$1)-1)/2)+'Cash Drivers'!DL$13,0)=EOMONTH($DF$1,0),Sales!DL$6,0)+IF(EOMONTH(DATE(YEAR(Sales!$DI$1),MONTH(Sales!$DI$1),1)+INT((DAY(Sales!$DI$1)-1)/2)+'Cash Drivers'!DI$13,0)=EOMONTH($DF$1,0),Sales!DI$6,0)+IF(EOMONTH(DATE(YEAR(Sales!$DF$1),MONTH(Sales!$DF$1),1)+INT((DAY(Sales!$DF$1)-1)/2)+'Cash Drivers'!DF$13,0)=EOMONTH($DF$1,0),Sales!DF$6,0)+IF(EOMONTH(DATE(YEAR(Sales!$DC$1),MONTH(Sales!$DC$1),1)+INT((DAY(Sales!$DC$1)-1)/2)+'Cash Drivers'!DC$13,0)=EOMONTH($DF$1,0),Sales!DC$6,0)+IF(EOMONTH(DATE(YEAR(Sales!$CZ$1),MONTH(Sales!$CZ$1),1)+INT((DAY(Sales!$CZ$1)-1)/2)+'Cash Drivers'!CZ$13,0)=EOMONTH($DF$1,0),Sales!CZ$6,0)+IF(EOMONTH(DATE(YEAR(Sales!$CW$1),MONTH(Sales!$CW$1),1)+INT((DAY(Sales!$CW$1)-1)/2)+'Cash Drivers'!CW$13,0)=EOMONTH($DF$1,0),Sales!CW$6,0)+IF(EOMONTH(DATE(YEAR(Sales!$CT$1),MONTH(Sales!$CT$1),1)+INT((DAY(Sales!$CT$1)-1)/2)+'Cash Drivers'!CT$13,0)=EOMONTH($DF$1,0),Sales!CT$6,0)+IF(EOMONTH(DATE(YEAR(Sales!$CQ$1),MONTH(Sales!$CQ$1),1)+INT((DAY(Sales!$CQ$1)-1)/2)+'Cash Drivers'!CQ$13,0)=EOMONTH($DF$1,0),Sales!CQ$6,0)+IF(EOMONTH(DATE(YEAR(Sales!$CN$1),MONTH(Sales!$CN$1),1)+INT((DAY(Sales!$CN$1)-1)/2)+'Cash Drivers'!CN$13,0)=EOMONTH($DF$1,0),Sales!CN$6,0)+IF(EOMONTH(DATE(YEAR(Sales!$CK$1),MONTH(Sales!$CK$1),1)+INT((DAY(Sales!$CK$1)-1)/2)+'Cash Drivers'!CK$13,0)=EOMONTH($DF$1,0),Sales!CK$6,0)+IF(EOMONTH(DATE(YEAR(Sales!$CH$1),MONTH(Sales!$CH$1),1)+INT((DAY(Sales!$CH$1)-1)/2)+'Cash Drivers'!CH$13,0)=EOMONTH($DF$1,0),Sales!CH$6,0)+IF(EOMONTH(DATE(YEAR(Sales!$CE$1),MONTH(Sales!$CE$1),1)+INT((DAY(Sales!$CE$1)-1)/2)+'Cash Drivers'!CE$13,0)=EOMONTH($DF$1,0),Sales!CE$6,0)+IF(EOMONTH(DATE(YEAR(Sales!$CB$1),MONTH(Sales!$CB$1),1)+INT((DAY(Sales!$CB$1)-1)/2)+'Cash Drivers'!CB$13,0)=EOMONTH($DF$1,0),Sales!CB$6,0)+IF(EOMONTH(DATE(YEAR(Sales!$BY$1),MONTH(Sales!$BY$1),1)+INT((DAY(Sales!$BY$1)-1)/2)+'Cash Drivers'!BY$13,0)=EOMONTH($DF$1,0),Sales!BY$6,0)+IF(EOMONTH(DATE(YEAR(Sales!$BV$1),MONTH(Sales!$BV$1),1)+INT((DAY(Sales!$BV$1)-1)/2)+'Cash Drivers'!BV$13,0)=EOMONTH($DF$1,0),Sales!BV$6,0)+IF(EOMONTH(DATE(YEAR(Sales!$BS$1),MONTH(Sales!$BS$1),1)+INT((DAY(Sales!$BS$1)-1)/2)+'Cash Drivers'!BS$13,0)=EOMONTH($DF$1,0),Sales!BS$6,0)+IF(EOMONTH(DATE(YEAR(Sales!$BP$1),MONTH(Sales!$BP$1),1)+INT((DAY(Sales!$BP$1)-1)/2)+'Cash Drivers'!BP$13,0)=EOMONTH($DF$1,0),Sales!BP$6,0)+IF(EOMONTH(DATE(YEAR(Sales!$BM$1),MONTH(Sales!$BM$1),1)+INT((DAY(Sales!$BM$1)-1)/2)+'Cash Drivers'!BM$13,0)=EOMONTH($DF$1,0),Sales!BM$6,0)+IF(EOMONTH(DATE(YEAR(Sales!$BJ$1),MONTH(Sales!$BJ$1),1)+INT((DAY(Sales!$BJ$1)-1)/2)+'Cash Drivers'!BJ$13,0)=EOMONTH($DF$1,0),Sales!BJ$6,0)+IF(EOMONTH(DATE(YEAR(Sales!$BG$1),MONTH(Sales!$BG$1),1)+INT((DAY(Sales!$BG$1)-1)/2)+'Cash Drivers'!BG$13,0)=EOMONTH($DF$1,0),Sales!BG$6,0)+IF(EOMONTH(DATE(YEAR(Sales!$BD$1),MONTH(Sales!$BD$1),1)+INT((DAY(Sales!$BD$1)-1)/2)+'Cash Drivers'!BD$13,0)=EOMONTH($DF$1,0),Sales!BD$6,0)+IF(EOMONTH(DATE(YEAR(Sales!$BA$1),MONTH(Sales!$BA$1),1)+INT((DAY(Sales!$BA$1)-1)/2)+'Cash Drivers'!BA$13,0)=EOMONTH($DF$1,0),Sales!BA$6,0)+IF(EOMONTH(DATE(YEAR(Sales!$AX$1),MONTH(Sales!$AX$1),1)+INT((DAY(Sales!$AX$1)-1)/2)+'Cash Drivers'!AX$13,0)=EOMONTH($DF$1,0),Sales!AX$6,0)+IF(EOMONTH(DATE(YEAR(Sales!$AU$1),MONTH(Sales!$AU$1),1)+INT((DAY(Sales!$AU$1)-1)/2)+'Cash Drivers'!AU$13,0)=EOMONTH($DF$1,0),Sales!AU$6,0)+IF(EOMONTH(DATE(YEAR(Sales!$AR$1),MONTH(Sales!$AR$1),1)+INT((DAY(Sales!$AR$1)-1)/2)+'Cash Drivers'!AR$13,0)=EOMONTH($DF$1,0),Sales!AR$6,0)+IF(EOMONTH(DATE(YEAR(Sales!$AO$1),MONTH(Sales!$AO$1),1)+INT((DAY(Sales!$AO$1)-1)/2)+'Cash Drivers'!AO$13,0)=EOMONTH($DF$1,0),Sales!AO$6,0)+IF(EOMONTH(DATE(YEAR(Sales!$AL$1),MONTH(Sales!$AL$1),1)+INT((DAY(Sales!$AL$1)-1)/2)+'Cash Drivers'!AL$13,0)=EOMONTH($DF$1,0),Sales!AL$6,0)+IF(EOMONTH(DATE(YEAR(Sales!$AI$1),MONTH(Sales!$AI$1),1)+INT((DAY(Sales!$AI$1)-1)/2)+'Cash Drivers'!AI$13,0)=EOMONTH($DF$1,0),Sales!AI$6,0)+IF(EOMONTH(DATE(YEAR(Sales!$AF$1),MONTH(Sales!$AF$1),1)+INT((DAY(Sales!$AF$1)-1)/2)+'Cash Drivers'!AF$13,0)=EOMONTH($DF$1,0),Sales!AF$6,0)+IF(EOMONTH(DATE(YEAR(Sales!$AC$1),MONTH(Sales!$AC$1),1)+INT((DAY(Sales!$AC$1)-1)/2)+'Cash Drivers'!AC$13,0)=EOMONTH($DF$1,0),Sales!AC$6,0)+IF(EOMONTH(DATE(YEAR(Sales!$Z$1),MONTH(Sales!$Z$1),1)+INT((DAY(Sales!$Z$1)-1)/2)+'Cash Drivers'!Z$13,0)=EOMONTH($DF$1,0),Sales!Z$6,0)+IF(EOMONTH(DATE(YEAR(Sales!$W$1),MONTH(Sales!$W$1),1)+INT((DAY(Sales!$W$1)-1)/2)+'Cash Drivers'!W$13,0)=EOMONTH($DF$1,0),Sales!W$6,0)+IF(EOMONTH(DATE(YEAR(Sales!$T$1),MONTH(Sales!$T$1),1)+INT((DAY(Sales!$T$1)-1)/2)+'Cash Drivers'!T$13,0)=EOMONTH($DF$1,0),Sales!T$6,0)+IF(EOMONTH(DATE(YEAR(Sales!$Q$1),MONTH(Sales!$Q$1),1)+INT((DAY(Sales!$Q$1)-1)/2)+'Cash Drivers'!Q$13,0)=EOMONTH($DF$1,0),Sales!Q$6,0)+IF(EOMONTH(DATE(YEAR(Sales!$N$1),MONTH(Sales!$N$1),1)+INT((DAY(Sales!$N$1)-1)/2)+'Cash Drivers'!N$13,0)=EOMONTH($DF$1,0),Sales!N$6,0)+IF(EOMONTH(DATE(YEAR(Sales!$K$1),MONTH(Sales!$K$1),1)+INT((DAY(Sales!$K$1)-1)/2)+'Cash Drivers'!K$13,0)=EOMONTH($DF$1,0),Sales!K$6,0)+IF(EOMONTH('Cash Drivers'!$DL$30+'Cash Drivers'!DL$13,0)=EOMONTH($DF$1,0),'Cash Drivers'!$DL$32,0),0)</f>
        <v>30</v>
      </c>
      <c r="DG18" s="45" t="n">
        <f aca="false">ROUND(IF(EOMONTH(DATE(YEAR(Sales!$DL$1),MONTH(Sales!$DL$1),1)+INT((DAY(Sales!$DL$1)-1)/2)+'Cash Drivers'!DM$13,0)=EOMONTH($DF$1,0),Sales!DM$6,0)+IF(EOMONTH(DATE(YEAR(Sales!$DI$1),MONTH(Sales!$DI$1),1)+INT((DAY(Sales!$DI$1)-1)/2)+'Cash Drivers'!DJ$13,0)=EOMONTH($DF$1,0),Sales!DJ$6,0)+IF(EOMONTH(DATE(YEAR(Sales!$DF$1),MONTH(Sales!$DF$1),1)+INT((DAY(Sales!$DF$1)-1)/2)+'Cash Drivers'!DG$13,0)=EOMONTH($DF$1,0),Sales!DG$6,0)+IF(EOMONTH(DATE(YEAR(Sales!$DC$1),MONTH(Sales!$DC$1),1)+INT((DAY(Sales!$DC$1)-1)/2)+'Cash Drivers'!DD$13,0)=EOMONTH($DF$1,0),Sales!DD$6,0)+IF(EOMONTH(DATE(YEAR(Sales!$CZ$1),MONTH(Sales!$CZ$1),1)+INT((DAY(Sales!$CZ$1)-1)/2)+'Cash Drivers'!DA$13,0)=EOMONTH($DF$1,0),Sales!DA$6,0)+IF(EOMONTH(DATE(YEAR(Sales!$CW$1),MONTH(Sales!$CW$1),1)+INT((DAY(Sales!$CW$1)-1)/2)+'Cash Drivers'!CX$13,0)=EOMONTH($DF$1,0),Sales!CX$6,0)+IF(EOMONTH(DATE(YEAR(Sales!$CT$1),MONTH(Sales!$CT$1),1)+INT((DAY(Sales!$CT$1)-1)/2)+'Cash Drivers'!CU$13,0)=EOMONTH($DF$1,0),Sales!CU$6,0)+IF(EOMONTH(DATE(YEAR(Sales!$CQ$1),MONTH(Sales!$CQ$1),1)+INT((DAY(Sales!$CQ$1)-1)/2)+'Cash Drivers'!CR$13,0)=EOMONTH($DF$1,0),Sales!CR$6,0)+IF(EOMONTH(DATE(YEAR(Sales!$CN$1),MONTH(Sales!$CN$1),1)+INT((DAY(Sales!$CN$1)-1)/2)+'Cash Drivers'!CO$13,0)=EOMONTH($DF$1,0),Sales!CO$6,0)+IF(EOMONTH(DATE(YEAR(Sales!$CK$1),MONTH(Sales!$CK$1),1)+INT((DAY(Sales!$CK$1)-1)/2)+'Cash Drivers'!CL$13,0)=EOMONTH($DF$1,0),Sales!CL$6,0)+IF(EOMONTH(DATE(YEAR(Sales!$CH$1),MONTH(Sales!$CH$1),1)+INT((DAY(Sales!$CH$1)-1)/2)+'Cash Drivers'!CI$13,0)=EOMONTH($DF$1,0),Sales!CI$6,0)+IF(EOMONTH(DATE(YEAR(Sales!$CE$1),MONTH(Sales!$CE$1),1)+INT((DAY(Sales!$CE$1)-1)/2)+'Cash Drivers'!CF$13,0)=EOMONTH($DF$1,0),Sales!CF$6,0)+IF(EOMONTH(DATE(YEAR(Sales!$CB$1),MONTH(Sales!$CB$1),1)+INT((DAY(Sales!$CB$1)-1)/2)+'Cash Drivers'!CC$13,0)=EOMONTH($DF$1,0),Sales!CC$6,0)+IF(EOMONTH(DATE(YEAR(Sales!$BY$1),MONTH(Sales!$BY$1),1)+INT((DAY(Sales!$BY$1)-1)/2)+'Cash Drivers'!BZ$13,0)=EOMONTH($DF$1,0),Sales!BZ$6,0)+IF(EOMONTH(DATE(YEAR(Sales!$BV$1),MONTH(Sales!$BV$1),1)+INT((DAY(Sales!$BV$1)-1)/2)+'Cash Drivers'!BW$13,0)=EOMONTH($DF$1,0),Sales!BW$6,0)+IF(EOMONTH(DATE(YEAR(Sales!$BS$1),MONTH(Sales!$BS$1),1)+INT((DAY(Sales!$BS$1)-1)/2)+'Cash Drivers'!BT$13,0)=EOMONTH($DF$1,0),Sales!BT$6,0)+IF(EOMONTH(DATE(YEAR(Sales!$BP$1),MONTH(Sales!$BP$1),1)+INT((DAY(Sales!$BP$1)-1)/2)+'Cash Drivers'!BQ$13,0)=EOMONTH($DF$1,0),Sales!BQ$6,0)+IF(EOMONTH(DATE(YEAR(Sales!$BM$1),MONTH(Sales!$BM$1),1)+INT((DAY(Sales!$BM$1)-1)/2)+'Cash Drivers'!BN$13,0)=EOMONTH($DF$1,0),Sales!BN$6,0)+IF(EOMONTH(DATE(YEAR(Sales!$BJ$1),MONTH(Sales!$BJ$1),1)+INT((DAY(Sales!$BJ$1)-1)/2)+'Cash Drivers'!BK$13,0)=EOMONTH($DF$1,0),Sales!BK$6,0)+IF(EOMONTH(DATE(YEAR(Sales!$BG$1),MONTH(Sales!$BG$1),1)+INT((DAY(Sales!$BG$1)-1)/2)+'Cash Drivers'!BH$13,0)=EOMONTH($DF$1,0),Sales!BH$6,0)+IF(EOMONTH(DATE(YEAR(Sales!$BD$1),MONTH(Sales!$BD$1),1)+INT((DAY(Sales!$BD$1)-1)/2)+'Cash Drivers'!BE$13,0)=EOMONTH($DF$1,0),Sales!BE$6,0)+IF(EOMONTH(DATE(YEAR(Sales!$BA$1),MONTH(Sales!$BA$1),1)+INT((DAY(Sales!$BA$1)-1)/2)+'Cash Drivers'!BB$13,0)=EOMONTH($DF$1,0),Sales!BB$6,0)+IF(EOMONTH(DATE(YEAR(Sales!$AX$1),MONTH(Sales!$AX$1),1)+INT((DAY(Sales!$AX$1)-1)/2)+'Cash Drivers'!AY$13,0)=EOMONTH($DF$1,0),Sales!AY$6,0)+IF(EOMONTH(DATE(YEAR(Sales!$AU$1),MONTH(Sales!$AU$1),1)+INT((DAY(Sales!$AU$1)-1)/2)+'Cash Drivers'!AV$13,0)=EOMONTH($DF$1,0),Sales!AV$6,0)+IF(EOMONTH(DATE(YEAR(Sales!$AR$1),MONTH(Sales!$AR$1),1)+INT((DAY(Sales!$AR$1)-1)/2)+'Cash Drivers'!AS$13,0)=EOMONTH($DF$1,0),Sales!AS$6,0)+IF(EOMONTH(DATE(YEAR(Sales!$AO$1),MONTH(Sales!$AO$1),1)+INT((DAY(Sales!$AO$1)-1)/2)+'Cash Drivers'!AP$13,0)=EOMONTH($DF$1,0),Sales!AP$6,0)+IF(EOMONTH(DATE(YEAR(Sales!$AL$1),MONTH(Sales!$AL$1),1)+INT((DAY(Sales!$AL$1)-1)/2)+'Cash Drivers'!AM$13,0)=EOMONTH($DF$1,0),Sales!AM$6,0)+IF(EOMONTH(DATE(YEAR(Sales!$AI$1),MONTH(Sales!$AI$1),1)+INT((DAY(Sales!$AI$1)-1)/2)+'Cash Drivers'!AJ$13,0)=EOMONTH($DF$1,0),Sales!AJ$6,0)+IF(EOMONTH(DATE(YEAR(Sales!$AF$1),MONTH(Sales!$AF$1),1)+INT((DAY(Sales!$AF$1)-1)/2)+'Cash Drivers'!AG$13,0)=EOMONTH($DF$1,0),Sales!AG$6,0)+IF(EOMONTH(DATE(YEAR(Sales!$AC$1),MONTH(Sales!$AC$1),1)+INT((DAY(Sales!$AC$1)-1)/2)+'Cash Drivers'!AD$13,0)=EOMONTH($DF$1,0),Sales!AD$6,0)+IF(EOMONTH(DATE(YEAR(Sales!$Z$1),MONTH(Sales!$Z$1),1)+INT((DAY(Sales!$Z$1)-1)/2)+'Cash Drivers'!AA$13,0)=EOMONTH($DF$1,0),Sales!AA$6,0)+IF(EOMONTH(DATE(YEAR(Sales!$W$1),MONTH(Sales!$W$1),1)+INT((DAY(Sales!$W$1)-1)/2)+'Cash Drivers'!X$13,0)=EOMONTH($DF$1,0),Sales!X$6,0)+IF(EOMONTH(DATE(YEAR(Sales!$T$1),MONTH(Sales!$T$1),1)+INT((DAY(Sales!$T$1)-1)/2)+'Cash Drivers'!U$13,0)=EOMONTH($DF$1,0),Sales!U$6,0)+IF(EOMONTH(DATE(YEAR(Sales!$Q$1),MONTH(Sales!$Q$1),1)+INT((DAY(Sales!$Q$1)-1)/2)+'Cash Drivers'!R$13,0)=EOMONTH($DF$1,0),Sales!R$6,0)+IF(EOMONTH(DATE(YEAR(Sales!$N$1),MONTH(Sales!$N$1),1)+INT((DAY(Sales!$N$1)-1)/2)+'Cash Drivers'!O$13,0)=EOMONTH($DF$1,0),Sales!O$6,0)+IF(EOMONTH(DATE(YEAR(Sales!$K$1),MONTH(Sales!$K$1),1)+INT((DAY(Sales!$K$1)-1)/2)+'Cash Drivers'!L$13,0)=EOMONTH($DF$1,0),Sales!L$6,0)+IF(EOMONTH('Cash Drivers'!$DL$30+'Cash Drivers'!DM$13,0)=EOMONTH($DF$1,0),'Cash Drivers'!$DL$32,0),0)</f>
        <v>30</v>
      </c>
      <c r="DH18" s="46" t="n">
        <f aca="false">ROUND(IF(EOMONTH(DATE(YEAR(Sales!$DL$1),MONTH(Sales!$DL$1),1)+INT((DAY(Sales!$DL$1)-1)/2)+'Cash Drivers'!DN$13,0)=EOMONTH($DF$1,0),Sales!DN$6,0)+IF(EOMONTH(DATE(YEAR(Sales!$DI$1),MONTH(Sales!$DI$1),1)+INT((DAY(Sales!$DI$1)-1)/2)+'Cash Drivers'!DK$13,0)=EOMONTH($DF$1,0),Sales!DK$6,0)+IF(EOMONTH(DATE(YEAR(Sales!$DF$1),MONTH(Sales!$DF$1),1)+INT((DAY(Sales!$DF$1)-1)/2)+'Cash Drivers'!DH$13,0)=EOMONTH($DF$1,0),Sales!DH$6,0)+IF(EOMONTH(DATE(YEAR(Sales!$DC$1),MONTH(Sales!$DC$1),1)+INT((DAY(Sales!$DC$1)-1)/2)+'Cash Drivers'!DE$13,0)=EOMONTH($DF$1,0),Sales!DE$6,0)+IF(EOMONTH(DATE(YEAR(Sales!$CZ$1),MONTH(Sales!$CZ$1),1)+INT((DAY(Sales!$CZ$1)-1)/2)+'Cash Drivers'!DB$13,0)=EOMONTH($DF$1,0),Sales!DB$6,0)+IF(EOMONTH(DATE(YEAR(Sales!$CW$1),MONTH(Sales!$CW$1),1)+INT((DAY(Sales!$CW$1)-1)/2)+'Cash Drivers'!CY$13,0)=EOMONTH($DF$1,0),Sales!CY$6,0)+IF(EOMONTH(DATE(YEAR(Sales!$CT$1),MONTH(Sales!$CT$1),1)+INT((DAY(Sales!$CT$1)-1)/2)+'Cash Drivers'!CV$13,0)=EOMONTH($DF$1,0),Sales!CV$6,0)+IF(EOMONTH(DATE(YEAR(Sales!$CQ$1),MONTH(Sales!$CQ$1),1)+INT((DAY(Sales!$CQ$1)-1)/2)+'Cash Drivers'!CS$13,0)=EOMONTH($DF$1,0),Sales!CS$6,0)+IF(EOMONTH(DATE(YEAR(Sales!$CN$1),MONTH(Sales!$CN$1),1)+INT((DAY(Sales!$CN$1)-1)/2)+'Cash Drivers'!CP$13,0)=EOMONTH($DF$1,0),Sales!CP$6,0)+IF(EOMONTH(DATE(YEAR(Sales!$CK$1),MONTH(Sales!$CK$1),1)+INT((DAY(Sales!$CK$1)-1)/2)+'Cash Drivers'!CM$13,0)=EOMONTH($DF$1,0),Sales!CM$6,0)+IF(EOMONTH(DATE(YEAR(Sales!$CH$1),MONTH(Sales!$CH$1),1)+INT((DAY(Sales!$CH$1)-1)/2)+'Cash Drivers'!CJ$13,0)=EOMONTH($DF$1,0),Sales!CJ$6,0)+IF(EOMONTH(DATE(YEAR(Sales!$CE$1),MONTH(Sales!$CE$1),1)+INT((DAY(Sales!$CE$1)-1)/2)+'Cash Drivers'!CG$13,0)=EOMONTH($DF$1,0),Sales!CG$6,0)+IF(EOMONTH(DATE(YEAR(Sales!$CB$1),MONTH(Sales!$CB$1),1)+INT((DAY(Sales!$CB$1)-1)/2)+'Cash Drivers'!CD$13,0)=EOMONTH($DF$1,0),Sales!CD$6,0)+IF(EOMONTH(DATE(YEAR(Sales!$BY$1),MONTH(Sales!$BY$1),1)+INT((DAY(Sales!$BY$1)-1)/2)+'Cash Drivers'!CA$13,0)=EOMONTH($DF$1,0),Sales!CA$6,0)+IF(EOMONTH(DATE(YEAR(Sales!$BV$1),MONTH(Sales!$BV$1),1)+INT((DAY(Sales!$BV$1)-1)/2)+'Cash Drivers'!BX$13,0)=EOMONTH($DF$1,0),Sales!BX$6,0)+IF(EOMONTH(DATE(YEAR(Sales!$BS$1),MONTH(Sales!$BS$1),1)+INT((DAY(Sales!$BS$1)-1)/2)+'Cash Drivers'!BU$13,0)=EOMONTH($DF$1,0),Sales!BU$6,0)+IF(EOMONTH(DATE(YEAR(Sales!$BP$1),MONTH(Sales!$BP$1),1)+INT((DAY(Sales!$BP$1)-1)/2)+'Cash Drivers'!BR$13,0)=EOMONTH($DF$1,0),Sales!BR$6,0)+IF(EOMONTH(DATE(YEAR(Sales!$BM$1),MONTH(Sales!$BM$1),1)+INT((DAY(Sales!$BM$1)-1)/2)+'Cash Drivers'!BO$13,0)=EOMONTH($DF$1,0),Sales!BO$6,0)+IF(EOMONTH(DATE(YEAR(Sales!$BJ$1),MONTH(Sales!$BJ$1),1)+INT((DAY(Sales!$BJ$1)-1)/2)+'Cash Drivers'!BL$13,0)=EOMONTH($DF$1,0),Sales!BL$6,0)+IF(EOMONTH(DATE(YEAR(Sales!$BG$1),MONTH(Sales!$BG$1),1)+INT((DAY(Sales!$BG$1)-1)/2)+'Cash Drivers'!BI$13,0)=EOMONTH($DF$1,0),Sales!BI$6,0)+IF(EOMONTH(DATE(YEAR(Sales!$BD$1),MONTH(Sales!$BD$1),1)+INT((DAY(Sales!$BD$1)-1)/2)+'Cash Drivers'!BF$13,0)=EOMONTH($DF$1,0),Sales!BF$6,0)+IF(EOMONTH(DATE(YEAR(Sales!$BA$1),MONTH(Sales!$BA$1),1)+INT((DAY(Sales!$BA$1)-1)/2)+'Cash Drivers'!BC$13,0)=EOMONTH($DF$1,0),Sales!BC$6,0)+IF(EOMONTH(DATE(YEAR(Sales!$AX$1),MONTH(Sales!$AX$1),1)+INT((DAY(Sales!$AX$1)-1)/2)+'Cash Drivers'!AZ$13,0)=EOMONTH($DF$1,0),Sales!AZ$6,0)+IF(EOMONTH(DATE(YEAR(Sales!$AU$1),MONTH(Sales!$AU$1),1)+INT((DAY(Sales!$AU$1)-1)/2)+'Cash Drivers'!AW$13,0)=EOMONTH($DF$1,0),Sales!AW$6,0)+IF(EOMONTH(DATE(YEAR(Sales!$AR$1),MONTH(Sales!$AR$1),1)+INT((DAY(Sales!$AR$1)-1)/2)+'Cash Drivers'!AT$13,0)=EOMONTH($DF$1,0),Sales!AT$6,0)+IF(EOMONTH(DATE(YEAR(Sales!$AO$1),MONTH(Sales!$AO$1),1)+INT((DAY(Sales!$AO$1)-1)/2)+'Cash Drivers'!AQ$13,0)=EOMONTH($DF$1,0),Sales!AQ$6,0)+IF(EOMONTH(DATE(YEAR(Sales!$AL$1),MONTH(Sales!$AL$1),1)+INT((DAY(Sales!$AL$1)-1)/2)+'Cash Drivers'!AN$13,0)=EOMONTH($DF$1,0),Sales!AN$6,0)+IF(EOMONTH(DATE(YEAR(Sales!$AI$1),MONTH(Sales!$AI$1),1)+INT((DAY(Sales!$AI$1)-1)/2)+'Cash Drivers'!AK$13,0)=EOMONTH($DF$1,0),Sales!AK$6,0)+IF(EOMONTH(DATE(YEAR(Sales!$AF$1),MONTH(Sales!$AF$1),1)+INT((DAY(Sales!$AF$1)-1)/2)+'Cash Drivers'!AH$13,0)=EOMONTH($DF$1,0),Sales!AH$6,0)+IF(EOMONTH(DATE(YEAR(Sales!$AC$1),MONTH(Sales!$AC$1),1)+INT((DAY(Sales!$AC$1)-1)/2)+'Cash Drivers'!AE$13,0)=EOMONTH($DF$1,0),Sales!AE$6,0)+IF(EOMONTH(DATE(YEAR(Sales!$Z$1),MONTH(Sales!$Z$1),1)+INT((DAY(Sales!$Z$1)-1)/2)+'Cash Drivers'!AB$13,0)=EOMONTH($DF$1,0),Sales!AB$6,0)+IF(EOMONTH(DATE(YEAR(Sales!$W$1),MONTH(Sales!$W$1),1)+INT((DAY(Sales!$W$1)-1)/2)+'Cash Drivers'!Y$13,0)=EOMONTH($DF$1,0),Sales!Y$6,0)+IF(EOMONTH(DATE(YEAR(Sales!$T$1),MONTH(Sales!$T$1),1)+INT((DAY(Sales!$T$1)-1)/2)+'Cash Drivers'!V$13,0)=EOMONTH($DF$1,0),Sales!V$6,0)+IF(EOMONTH(DATE(YEAR(Sales!$Q$1),MONTH(Sales!$Q$1),1)+INT((DAY(Sales!$Q$1)-1)/2)+'Cash Drivers'!S$13,0)=EOMONTH($DF$1,0),Sales!S$6,0)+IF(EOMONTH(DATE(YEAR(Sales!$N$1),MONTH(Sales!$N$1),1)+INT((DAY(Sales!$N$1)-1)/2)+'Cash Drivers'!P$13,0)=EOMONTH($DF$1,0),Sales!P$6,0)+IF(EOMONTH(DATE(YEAR(Sales!$K$1),MONTH(Sales!$K$1),1)+INT((DAY(Sales!$K$1)-1)/2)+'Cash Drivers'!M$13,0)=EOMONTH($DF$1,0),Sales!M$6,0)+IF(EOMONTH('Cash Drivers'!$DL$30+'Cash Drivers'!DN$13,0)=EOMONTH($DF$1,0),'Cash Drivers'!$DL$32,0),0)</f>
        <v>38</v>
      </c>
      <c r="DI18" s="44" t="n">
        <f aca="false">ROUND(IF(EOMONTH(DATE(YEAR(Sales!$DL$1),MONTH(Sales!$DL$1),1)+INT((DAY(Sales!$DL$1)-1)/2)+'Cash Drivers'!DL$13,0)=EOMONTH($DI$1,0),Sales!DL$6,0)+IF(EOMONTH(DATE(YEAR(Sales!$DI$1),MONTH(Sales!$DI$1),1)+INT((DAY(Sales!$DI$1)-1)/2)+'Cash Drivers'!DI$13,0)=EOMONTH($DI$1,0),Sales!DI$6,0)+IF(EOMONTH(DATE(YEAR(Sales!$DF$1),MONTH(Sales!$DF$1),1)+INT((DAY(Sales!$DF$1)-1)/2)+'Cash Drivers'!DF$13,0)=EOMONTH($DI$1,0),Sales!DF$6,0)+IF(EOMONTH(DATE(YEAR(Sales!$DC$1),MONTH(Sales!$DC$1),1)+INT((DAY(Sales!$DC$1)-1)/2)+'Cash Drivers'!DC$13,0)=EOMONTH($DI$1,0),Sales!DC$6,0)+IF(EOMONTH(DATE(YEAR(Sales!$CZ$1),MONTH(Sales!$CZ$1),1)+INT((DAY(Sales!$CZ$1)-1)/2)+'Cash Drivers'!CZ$13,0)=EOMONTH($DI$1,0),Sales!CZ$6,0)+IF(EOMONTH(DATE(YEAR(Sales!$CW$1),MONTH(Sales!$CW$1),1)+INT((DAY(Sales!$CW$1)-1)/2)+'Cash Drivers'!CW$13,0)=EOMONTH($DI$1,0),Sales!CW$6,0)+IF(EOMONTH(DATE(YEAR(Sales!$CT$1),MONTH(Sales!$CT$1),1)+INT((DAY(Sales!$CT$1)-1)/2)+'Cash Drivers'!CT$13,0)=EOMONTH($DI$1,0),Sales!CT$6,0)+IF(EOMONTH(DATE(YEAR(Sales!$CQ$1),MONTH(Sales!$CQ$1),1)+INT((DAY(Sales!$CQ$1)-1)/2)+'Cash Drivers'!CQ$13,0)=EOMONTH($DI$1,0),Sales!CQ$6,0)+IF(EOMONTH(DATE(YEAR(Sales!$CN$1),MONTH(Sales!$CN$1),1)+INT((DAY(Sales!$CN$1)-1)/2)+'Cash Drivers'!CN$13,0)=EOMONTH($DI$1,0),Sales!CN$6,0)+IF(EOMONTH(DATE(YEAR(Sales!$CK$1),MONTH(Sales!$CK$1),1)+INT((DAY(Sales!$CK$1)-1)/2)+'Cash Drivers'!CK$13,0)=EOMONTH($DI$1,0),Sales!CK$6,0)+IF(EOMONTH(DATE(YEAR(Sales!$CH$1),MONTH(Sales!$CH$1),1)+INT((DAY(Sales!$CH$1)-1)/2)+'Cash Drivers'!CH$13,0)=EOMONTH($DI$1,0),Sales!CH$6,0)+IF(EOMONTH(DATE(YEAR(Sales!$CE$1),MONTH(Sales!$CE$1),1)+INT((DAY(Sales!$CE$1)-1)/2)+'Cash Drivers'!CE$13,0)=EOMONTH($DI$1,0),Sales!CE$6,0)+IF(EOMONTH(DATE(YEAR(Sales!$CB$1),MONTH(Sales!$CB$1),1)+INT((DAY(Sales!$CB$1)-1)/2)+'Cash Drivers'!CB$13,0)=EOMONTH($DI$1,0),Sales!CB$6,0)+IF(EOMONTH(DATE(YEAR(Sales!$BY$1),MONTH(Sales!$BY$1),1)+INT((DAY(Sales!$BY$1)-1)/2)+'Cash Drivers'!BY$13,0)=EOMONTH($DI$1,0),Sales!BY$6,0)+IF(EOMONTH(DATE(YEAR(Sales!$BV$1),MONTH(Sales!$BV$1),1)+INT((DAY(Sales!$BV$1)-1)/2)+'Cash Drivers'!BV$13,0)=EOMONTH($DI$1,0),Sales!BV$6,0)+IF(EOMONTH(DATE(YEAR(Sales!$BS$1),MONTH(Sales!$BS$1),1)+INT((DAY(Sales!$BS$1)-1)/2)+'Cash Drivers'!BS$13,0)=EOMONTH($DI$1,0),Sales!BS$6,0)+IF(EOMONTH(DATE(YEAR(Sales!$BP$1),MONTH(Sales!$BP$1),1)+INT((DAY(Sales!$BP$1)-1)/2)+'Cash Drivers'!BP$13,0)=EOMONTH($DI$1,0),Sales!BP$6,0)+IF(EOMONTH(DATE(YEAR(Sales!$BM$1),MONTH(Sales!$BM$1),1)+INT((DAY(Sales!$BM$1)-1)/2)+'Cash Drivers'!BM$13,0)=EOMONTH($DI$1,0),Sales!BM$6,0)+IF(EOMONTH(DATE(YEAR(Sales!$BJ$1),MONTH(Sales!$BJ$1),1)+INT((DAY(Sales!$BJ$1)-1)/2)+'Cash Drivers'!BJ$13,0)=EOMONTH($DI$1,0),Sales!BJ$6,0)+IF(EOMONTH(DATE(YEAR(Sales!$BG$1),MONTH(Sales!$BG$1),1)+INT((DAY(Sales!$BG$1)-1)/2)+'Cash Drivers'!BG$13,0)=EOMONTH($DI$1,0),Sales!BG$6,0)+IF(EOMONTH(DATE(YEAR(Sales!$BD$1),MONTH(Sales!$BD$1),1)+INT((DAY(Sales!$BD$1)-1)/2)+'Cash Drivers'!BD$13,0)=EOMONTH($DI$1,0),Sales!BD$6,0)+IF(EOMONTH(DATE(YEAR(Sales!$BA$1),MONTH(Sales!$BA$1),1)+INT((DAY(Sales!$BA$1)-1)/2)+'Cash Drivers'!BA$13,0)=EOMONTH($DI$1,0),Sales!BA$6,0)+IF(EOMONTH(DATE(YEAR(Sales!$AX$1),MONTH(Sales!$AX$1),1)+INT((DAY(Sales!$AX$1)-1)/2)+'Cash Drivers'!AX$13,0)=EOMONTH($DI$1,0),Sales!AX$6,0)+IF(EOMONTH(DATE(YEAR(Sales!$AU$1),MONTH(Sales!$AU$1),1)+INT((DAY(Sales!$AU$1)-1)/2)+'Cash Drivers'!AU$13,0)=EOMONTH($DI$1,0),Sales!AU$6,0)+IF(EOMONTH(DATE(YEAR(Sales!$AR$1),MONTH(Sales!$AR$1),1)+INT((DAY(Sales!$AR$1)-1)/2)+'Cash Drivers'!AR$13,0)=EOMONTH($DI$1,0),Sales!AR$6,0)+IF(EOMONTH(DATE(YEAR(Sales!$AO$1),MONTH(Sales!$AO$1),1)+INT((DAY(Sales!$AO$1)-1)/2)+'Cash Drivers'!AO$13,0)=EOMONTH($DI$1,0),Sales!AO$6,0)+IF(EOMONTH(DATE(YEAR(Sales!$AL$1),MONTH(Sales!$AL$1),1)+INT((DAY(Sales!$AL$1)-1)/2)+'Cash Drivers'!AL$13,0)=EOMONTH($DI$1,0),Sales!AL$6,0)+IF(EOMONTH(DATE(YEAR(Sales!$AI$1),MONTH(Sales!$AI$1),1)+INT((DAY(Sales!$AI$1)-1)/2)+'Cash Drivers'!AI$13,0)=EOMONTH($DI$1,0),Sales!AI$6,0)+IF(EOMONTH(DATE(YEAR(Sales!$AF$1),MONTH(Sales!$AF$1),1)+INT((DAY(Sales!$AF$1)-1)/2)+'Cash Drivers'!AF$13,0)=EOMONTH($DI$1,0),Sales!AF$6,0)+IF(EOMONTH(DATE(YEAR(Sales!$AC$1),MONTH(Sales!$AC$1),1)+INT((DAY(Sales!$AC$1)-1)/2)+'Cash Drivers'!AC$13,0)=EOMONTH($DI$1,0),Sales!AC$6,0)+IF(EOMONTH(DATE(YEAR(Sales!$Z$1),MONTH(Sales!$Z$1),1)+INT((DAY(Sales!$Z$1)-1)/2)+'Cash Drivers'!Z$13,0)=EOMONTH($DI$1,0),Sales!Z$6,0)+IF(EOMONTH(DATE(YEAR(Sales!$W$1),MONTH(Sales!$W$1),1)+INT((DAY(Sales!$W$1)-1)/2)+'Cash Drivers'!W$13,0)=EOMONTH($DI$1,0),Sales!W$6,0)+IF(EOMONTH(DATE(YEAR(Sales!$T$1),MONTH(Sales!$T$1),1)+INT((DAY(Sales!$T$1)-1)/2)+'Cash Drivers'!T$13,0)=EOMONTH($DI$1,0),Sales!T$6,0)+IF(EOMONTH(DATE(YEAR(Sales!$Q$1),MONTH(Sales!$Q$1),1)+INT((DAY(Sales!$Q$1)-1)/2)+'Cash Drivers'!Q$13,0)=EOMONTH($DI$1,0),Sales!Q$6,0)+IF(EOMONTH(DATE(YEAR(Sales!$N$1),MONTH(Sales!$N$1),1)+INT((DAY(Sales!$N$1)-1)/2)+'Cash Drivers'!N$13,0)=EOMONTH($DI$1,0),Sales!N$6,0)+IF(EOMONTH(DATE(YEAR(Sales!$K$1),MONTH(Sales!$K$1),1)+INT((DAY(Sales!$K$1)-1)/2)+'Cash Drivers'!K$13,0)=EOMONTH($DI$1,0),Sales!K$6,0)+IF(EOMONTH('Cash Drivers'!$DL$30+'Cash Drivers'!DL$13,0)=EOMONTH($DI$1,0),'Cash Drivers'!$DL$32,0),0)</f>
        <v>19</v>
      </c>
      <c r="DJ18" s="45" t="n">
        <f aca="false">ROUND(IF(EOMONTH(DATE(YEAR(Sales!$DL$1),MONTH(Sales!$DL$1),1)+INT((DAY(Sales!$DL$1)-1)/2)+'Cash Drivers'!DM$13,0)=EOMONTH($DI$1,0),Sales!DM$6,0)+IF(EOMONTH(DATE(YEAR(Sales!$DI$1),MONTH(Sales!$DI$1),1)+INT((DAY(Sales!$DI$1)-1)/2)+'Cash Drivers'!DJ$13,0)=EOMONTH($DI$1,0),Sales!DJ$6,0)+IF(EOMONTH(DATE(YEAR(Sales!$DF$1),MONTH(Sales!$DF$1),1)+INT((DAY(Sales!$DF$1)-1)/2)+'Cash Drivers'!DG$13,0)=EOMONTH($DI$1,0),Sales!DG$6,0)+IF(EOMONTH(DATE(YEAR(Sales!$DC$1),MONTH(Sales!$DC$1),1)+INT((DAY(Sales!$DC$1)-1)/2)+'Cash Drivers'!DD$13,0)=EOMONTH($DI$1,0),Sales!DD$6,0)+IF(EOMONTH(DATE(YEAR(Sales!$CZ$1),MONTH(Sales!$CZ$1),1)+INT((DAY(Sales!$CZ$1)-1)/2)+'Cash Drivers'!DA$13,0)=EOMONTH($DI$1,0),Sales!DA$6,0)+IF(EOMONTH(DATE(YEAR(Sales!$CW$1),MONTH(Sales!$CW$1),1)+INT((DAY(Sales!$CW$1)-1)/2)+'Cash Drivers'!CX$13,0)=EOMONTH($DI$1,0),Sales!CX$6,0)+IF(EOMONTH(DATE(YEAR(Sales!$CT$1),MONTH(Sales!$CT$1),1)+INT((DAY(Sales!$CT$1)-1)/2)+'Cash Drivers'!CU$13,0)=EOMONTH($DI$1,0),Sales!CU$6,0)+IF(EOMONTH(DATE(YEAR(Sales!$CQ$1),MONTH(Sales!$CQ$1),1)+INT((DAY(Sales!$CQ$1)-1)/2)+'Cash Drivers'!CR$13,0)=EOMONTH($DI$1,0),Sales!CR$6,0)+IF(EOMONTH(DATE(YEAR(Sales!$CN$1),MONTH(Sales!$CN$1),1)+INT((DAY(Sales!$CN$1)-1)/2)+'Cash Drivers'!CO$13,0)=EOMONTH($DI$1,0),Sales!CO$6,0)+IF(EOMONTH(DATE(YEAR(Sales!$CK$1),MONTH(Sales!$CK$1),1)+INT((DAY(Sales!$CK$1)-1)/2)+'Cash Drivers'!CL$13,0)=EOMONTH($DI$1,0),Sales!CL$6,0)+IF(EOMONTH(DATE(YEAR(Sales!$CH$1),MONTH(Sales!$CH$1),1)+INT((DAY(Sales!$CH$1)-1)/2)+'Cash Drivers'!CI$13,0)=EOMONTH($DI$1,0),Sales!CI$6,0)+IF(EOMONTH(DATE(YEAR(Sales!$CE$1),MONTH(Sales!$CE$1),1)+INT((DAY(Sales!$CE$1)-1)/2)+'Cash Drivers'!CF$13,0)=EOMONTH($DI$1,0),Sales!CF$6,0)+IF(EOMONTH(DATE(YEAR(Sales!$CB$1),MONTH(Sales!$CB$1),1)+INT((DAY(Sales!$CB$1)-1)/2)+'Cash Drivers'!CC$13,0)=EOMONTH($DI$1,0),Sales!CC$6,0)+IF(EOMONTH(DATE(YEAR(Sales!$BY$1),MONTH(Sales!$BY$1),1)+INT((DAY(Sales!$BY$1)-1)/2)+'Cash Drivers'!BZ$13,0)=EOMONTH($DI$1,0),Sales!BZ$6,0)+IF(EOMONTH(DATE(YEAR(Sales!$BV$1),MONTH(Sales!$BV$1),1)+INT((DAY(Sales!$BV$1)-1)/2)+'Cash Drivers'!BW$13,0)=EOMONTH($DI$1,0),Sales!BW$6,0)+IF(EOMONTH(DATE(YEAR(Sales!$BS$1),MONTH(Sales!$BS$1),1)+INT((DAY(Sales!$BS$1)-1)/2)+'Cash Drivers'!BT$13,0)=EOMONTH($DI$1,0),Sales!BT$6,0)+IF(EOMONTH(DATE(YEAR(Sales!$BP$1),MONTH(Sales!$BP$1),1)+INT((DAY(Sales!$BP$1)-1)/2)+'Cash Drivers'!BQ$13,0)=EOMONTH($DI$1,0),Sales!BQ$6,0)+IF(EOMONTH(DATE(YEAR(Sales!$BM$1),MONTH(Sales!$BM$1),1)+INT((DAY(Sales!$BM$1)-1)/2)+'Cash Drivers'!BN$13,0)=EOMONTH($DI$1,0),Sales!BN$6,0)+IF(EOMONTH(DATE(YEAR(Sales!$BJ$1),MONTH(Sales!$BJ$1),1)+INT((DAY(Sales!$BJ$1)-1)/2)+'Cash Drivers'!BK$13,0)=EOMONTH($DI$1,0),Sales!BK$6,0)+IF(EOMONTH(DATE(YEAR(Sales!$BG$1),MONTH(Sales!$BG$1),1)+INT((DAY(Sales!$BG$1)-1)/2)+'Cash Drivers'!BH$13,0)=EOMONTH($DI$1,0),Sales!BH$6,0)+IF(EOMONTH(DATE(YEAR(Sales!$BD$1),MONTH(Sales!$BD$1),1)+INT((DAY(Sales!$BD$1)-1)/2)+'Cash Drivers'!BE$13,0)=EOMONTH($DI$1,0),Sales!BE$6,0)+IF(EOMONTH(DATE(YEAR(Sales!$BA$1),MONTH(Sales!$BA$1),1)+INT((DAY(Sales!$BA$1)-1)/2)+'Cash Drivers'!BB$13,0)=EOMONTH($DI$1,0),Sales!BB$6,0)+IF(EOMONTH(DATE(YEAR(Sales!$AX$1),MONTH(Sales!$AX$1),1)+INT((DAY(Sales!$AX$1)-1)/2)+'Cash Drivers'!AY$13,0)=EOMONTH($DI$1,0),Sales!AY$6,0)+IF(EOMONTH(DATE(YEAR(Sales!$AU$1),MONTH(Sales!$AU$1),1)+INT((DAY(Sales!$AU$1)-1)/2)+'Cash Drivers'!AV$13,0)=EOMONTH($DI$1,0),Sales!AV$6,0)+IF(EOMONTH(DATE(YEAR(Sales!$AR$1),MONTH(Sales!$AR$1),1)+INT((DAY(Sales!$AR$1)-1)/2)+'Cash Drivers'!AS$13,0)=EOMONTH($DI$1,0),Sales!AS$6,0)+IF(EOMONTH(DATE(YEAR(Sales!$AO$1),MONTH(Sales!$AO$1),1)+INT((DAY(Sales!$AO$1)-1)/2)+'Cash Drivers'!AP$13,0)=EOMONTH($DI$1,0),Sales!AP$6,0)+IF(EOMONTH(DATE(YEAR(Sales!$AL$1),MONTH(Sales!$AL$1),1)+INT((DAY(Sales!$AL$1)-1)/2)+'Cash Drivers'!AM$13,0)=EOMONTH($DI$1,0),Sales!AM$6,0)+IF(EOMONTH(DATE(YEAR(Sales!$AI$1),MONTH(Sales!$AI$1),1)+INT((DAY(Sales!$AI$1)-1)/2)+'Cash Drivers'!AJ$13,0)=EOMONTH($DI$1,0),Sales!AJ$6,0)+IF(EOMONTH(DATE(YEAR(Sales!$AF$1),MONTH(Sales!$AF$1),1)+INT((DAY(Sales!$AF$1)-1)/2)+'Cash Drivers'!AG$13,0)=EOMONTH($DI$1,0),Sales!AG$6,0)+IF(EOMONTH(DATE(YEAR(Sales!$AC$1),MONTH(Sales!$AC$1),1)+INT((DAY(Sales!$AC$1)-1)/2)+'Cash Drivers'!AD$13,0)=EOMONTH($DI$1,0),Sales!AD$6,0)+IF(EOMONTH(DATE(YEAR(Sales!$Z$1),MONTH(Sales!$Z$1),1)+INT((DAY(Sales!$Z$1)-1)/2)+'Cash Drivers'!AA$13,0)=EOMONTH($DI$1,0),Sales!AA$6,0)+IF(EOMONTH(DATE(YEAR(Sales!$W$1),MONTH(Sales!$W$1),1)+INT((DAY(Sales!$W$1)-1)/2)+'Cash Drivers'!X$13,0)=EOMONTH($DI$1,0),Sales!X$6,0)+IF(EOMONTH(DATE(YEAR(Sales!$T$1),MONTH(Sales!$T$1),1)+INT((DAY(Sales!$T$1)-1)/2)+'Cash Drivers'!U$13,0)=EOMONTH($DI$1,0),Sales!U$6,0)+IF(EOMONTH(DATE(YEAR(Sales!$Q$1),MONTH(Sales!$Q$1),1)+INT((DAY(Sales!$Q$1)-1)/2)+'Cash Drivers'!R$13,0)=EOMONTH($DI$1,0),Sales!R$6,0)+IF(EOMONTH(DATE(YEAR(Sales!$N$1),MONTH(Sales!$N$1),1)+INT((DAY(Sales!$N$1)-1)/2)+'Cash Drivers'!O$13,0)=EOMONTH($DI$1,0),Sales!O$6,0)+IF(EOMONTH(DATE(YEAR(Sales!$K$1),MONTH(Sales!$K$1),1)+INT((DAY(Sales!$K$1)-1)/2)+'Cash Drivers'!L$13,0)=EOMONTH($DI$1,0),Sales!L$6,0)+IF(EOMONTH('Cash Drivers'!$DL$30+'Cash Drivers'!DM$13,0)=EOMONTH($DI$1,0),'Cash Drivers'!$DL$32,0),0)</f>
        <v>19</v>
      </c>
      <c r="DK18" s="46" t="n">
        <f aca="false">ROUND(IF(EOMONTH(DATE(YEAR(Sales!$DL$1),MONTH(Sales!$DL$1),1)+INT((DAY(Sales!$DL$1)-1)/2)+'Cash Drivers'!DN$13,0)=EOMONTH($DI$1,0),Sales!DN$6,0)+IF(EOMONTH(DATE(YEAR(Sales!$DI$1),MONTH(Sales!$DI$1),1)+INT((DAY(Sales!$DI$1)-1)/2)+'Cash Drivers'!DK$13,0)=EOMONTH($DI$1,0),Sales!DK$6,0)+IF(EOMONTH(DATE(YEAR(Sales!$DF$1),MONTH(Sales!$DF$1),1)+INT((DAY(Sales!$DF$1)-1)/2)+'Cash Drivers'!DH$13,0)=EOMONTH($DI$1,0),Sales!DH$6,0)+IF(EOMONTH(DATE(YEAR(Sales!$DC$1),MONTH(Sales!$DC$1),1)+INT((DAY(Sales!$DC$1)-1)/2)+'Cash Drivers'!DE$13,0)=EOMONTH($DI$1,0),Sales!DE$6,0)+IF(EOMONTH(DATE(YEAR(Sales!$CZ$1),MONTH(Sales!$CZ$1),1)+INT((DAY(Sales!$CZ$1)-1)/2)+'Cash Drivers'!DB$13,0)=EOMONTH($DI$1,0),Sales!DB$6,0)+IF(EOMONTH(DATE(YEAR(Sales!$CW$1),MONTH(Sales!$CW$1),1)+INT((DAY(Sales!$CW$1)-1)/2)+'Cash Drivers'!CY$13,0)=EOMONTH($DI$1,0),Sales!CY$6,0)+IF(EOMONTH(DATE(YEAR(Sales!$CT$1),MONTH(Sales!$CT$1),1)+INT((DAY(Sales!$CT$1)-1)/2)+'Cash Drivers'!CV$13,0)=EOMONTH($DI$1,0),Sales!CV$6,0)+IF(EOMONTH(DATE(YEAR(Sales!$CQ$1),MONTH(Sales!$CQ$1),1)+INT((DAY(Sales!$CQ$1)-1)/2)+'Cash Drivers'!CS$13,0)=EOMONTH($DI$1,0),Sales!CS$6,0)+IF(EOMONTH(DATE(YEAR(Sales!$CN$1),MONTH(Sales!$CN$1),1)+INT((DAY(Sales!$CN$1)-1)/2)+'Cash Drivers'!CP$13,0)=EOMONTH($DI$1,0),Sales!CP$6,0)+IF(EOMONTH(DATE(YEAR(Sales!$CK$1),MONTH(Sales!$CK$1),1)+INT((DAY(Sales!$CK$1)-1)/2)+'Cash Drivers'!CM$13,0)=EOMONTH($DI$1,0),Sales!CM$6,0)+IF(EOMONTH(DATE(YEAR(Sales!$CH$1),MONTH(Sales!$CH$1),1)+INT((DAY(Sales!$CH$1)-1)/2)+'Cash Drivers'!CJ$13,0)=EOMONTH($DI$1,0),Sales!CJ$6,0)+IF(EOMONTH(DATE(YEAR(Sales!$CE$1),MONTH(Sales!$CE$1),1)+INT((DAY(Sales!$CE$1)-1)/2)+'Cash Drivers'!CG$13,0)=EOMONTH($DI$1,0),Sales!CG$6,0)+IF(EOMONTH(DATE(YEAR(Sales!$CB$1),MONTH(Sales!$CB$1),1)+INT((DAY(Sales!$CB$1)-1)/2)+'Cash Drivers'!CD$13,0)=EOMONTH($DI$1,0),Sales!CD$6,0)+IF(EOMONTH(DATE(YEAR(Sales!$BY$1),MONTH(Sales!$BY$1),1)+INT((DAY(Sales!$BY$1)-1)/2)+'Cash Drivers'!CA$13,0)=EOMONTH($DI$1,0),Sales!CA$6,0)+IF(EOMONTH(DATE(YEAR(Sales!$BV$1),MONTH(Sales!$BV$1),1)+INT((DAY(Sales!$BV$1)-1)/2)+'Cash Drivers'!BX$13,0)=EOMONTH($DI$1,0),Sales!BX$6,0)+IF(EOMONTH(DATE(YEAR(Sales!$BS$1),MONTH(Sales!$BS$1),1)+INT((DAY(Sales!$BS$1)-1)/2)+'Cash Drivers'!BU$13,0)=EOMONTH($DI$1,0),Sales!BU$6,0)+IF(EOMONTH(DATE(YEAR(Sales!$BP$1),MONTH(Sales!$BP$1),1)+INT((DAY(Sales!$BP$1)-1)/2)+'Cash Drivers'!BR$13,0)=EOMONTH($DI$1,0),Sales!BR$6,0)+IF(EOMONTH(DATE(YEAR(Sales!$BM$1),MONTH(Sales!$BM$1),1)+INT((DAY(Sales!$BM$1)-1)/2)+'Cash Drivers'!BO$13,0)=EOMONTH($DI$1,0),Sales!BO$6,0)+IF(EOMONTH(DATE(YEAR(Sales!$BJ$1),MONTH(Sales!$BJ$1),1)+INT((DAY(Sales!$BJ$1)-1)/2)+'Cash Drivers'!BL$13,0)=EOMONTH($DI$1,0),Sales!BL$6,0)+IF(EOMONTH(DATE(YEAR(Sales!$BG$1),MONTH(Sales!$BG$1),1)+INT((DAY(Sales!$BG$1)-1)/2)+'Cash Drivers'!BI$13,0)=EOMONTH($DI$1,0),Sales!BI$6,0)+IF(EOMONTH(DATE(YEAR(Sales!$BD$1),MONTH(Sales!$BD$1),1)+INT((DAY(Sales!$BD$1)-1)/2)+'Cash Drivers'!BF$13,0)=EOMONTH($DI$1,0),Sales!BF$6,0)+IF(EOMONTH(DATE(YEAR(Sales!$BA$1),MONTH(Sales!$BA$1),1)+INT((DAY(Sales!$BA$1)-1)/2)+'Cash Drivers'!BC$13,0)=EOMONTH($DI$1,0),Sales!BC$6,0)+IF(EOMONTH(DATE(YEAR(Sales!$AX$1),MONTH(Sales!$AX$1),1)+INT((DAY(Sales!$AX$1)-1)/2)+'Cash Drivers'!AZ$13,0)=EOMONTH($DI$1,0),Sales!AZ$6,0)+IF(EOMONTH(DATE(YEAR(Sales!$AU$1),MONTH(Sales!$AU$1),1)+INT((DAY(Sales!$AU$1)-1)/2)+'Cash Drivers'!AW$13,0)=EOMONTH($DI$1,0),Sales!AW$6,0)+IF(EOMONTH(DATE(YEAR(Sales!$AR$1),MONTH(Sales!$AR$1),1)+INT((DAY(Sales!$AR$1)-1)/2)+'Cash Drivers'!AT$13,0)=EOMONTH($DI$1,0),Sales!AT$6,0)+IF(EOMONTH(DATE(YEAR(Sales!$AO$1),MONTH(Sales!$AO$1),1)+INT((DAY(Sales!$AO$1)-1)/2)+'Cash Drivers'!AQ$13,0)=EOMONTH($DI$1,0),Sales!AQ$6,0)+IF(EOMONTH(DATE(YEAR(Sales!$AL$1),MONTH(Sales!$AL$1),1)+INT((DAY(Sales!$AL$1)-1)/2)+'Cash Drivers'!AN$13,0)=EOMONTH($DI$1,0),Sales!AN$6,0)+IF(EOMONTH(DATE(YEAR(Sales!$AI$1),MONTH(Sales!$AI$1),1)+INT((DAY(Sales!$AI$1)-1)/2)+'Cash Drivers'!AK$13,0)=EOMONTH($DI$1,0),Sales!AK$6,0)+IF(EOMONTH(DATE(YEAR(Sales!$AF$1),MONTH(Sales!$AF$1),1)+INT((DAY(Sales!$AF$1)-1)/2)+'Cash Drivers'!AH$13,0)=EOMONTH($DI$1,0),Sales!AH$6,0)+IF(EOMONTH(DATE(YEAR(Sales!$AC$1),MONTH(Sales!$AC$1),1)+INT((DAY(Sales!$AC$1)-1)/2)+'Cash Drivers'!AE$13,0)=EOMONTH($DI$1,0),Sales!AE$6,0)+IF(EOMONTH(DATE(YEAR(Sales!$Z$1),MONTH(Sales!$Z$1),1)+INT((DAY(Sales!$Z$1)-1)/2)+'Cash Drivers'!AB$13,0)=EOMONTH($DI$1,0),Sales!AB$6,0)+IF(EOMONTH(DATE(YEAR(Sales!$W$1),MONTH(Sales!$W$1),1)+INT((DAY(Sales!$W$1)-1)/2)+'Cash Drivers'!Y$13,0)=EOMONTH($DI$1,0),Sales!Y$6,0)+IF(EOMONTH(DATE(YEAR(Sales!$T$1),MONTH(Sales!$T$1),1)+INT((DAY(Sales!$T$1)-1)/2)+'Cash Drivers'!V$13,0)=EOMONTH($DI$1,0),Sales!V$6,0)+IF(EOMONTH(DATE(YEAR(Sales!$Q$1),MONTH(Sales!$Q$1),1)+INT((DAY(Sales!$Q$1)-1)/2)+'Cash Drivers'!S$13,0)=EOMONTH($DI$1,0),Sales!S$6,0)+IF(EOMONTH(DATE(YEAR(Sales!$N$1),MONTH(Sales!$N$1),1)+INT((DAY(Sales!$N$1)-1)/2)+'Cash Drivers'!P$13,0)=EOMONTH($DI$1,0),Sales!P$6,0)+IF(EOMONTH(DATE(YEAR(Sales!$K$1),MONTH(Sales!$K$1),1)+INT((DAY(Sales!$K$1)-1)/2)+'Cash Drivers'!M$13,0)=EOMONTH($DI$1,0),Sales!M$6,0)+IF(EOMONTH('Cash Drivers'!$DL$30+'Cash Drivers'!DN$13,0)=EOMONTH($DI$1,0),'Cash Drivers'!$DL$32,0),0)</f>
        <v>0</v>
      </c>
      <c r="DL18" s="44" t="n">
        <f aca="false">ROUND(IF(EOMONTH(DATE(YEAR(Sales!$DL$1),MONTH(Sales!$DL$1),1)+INT((DAY(Sales!$DL$1)-1)/2)+'Cash Drivers'!DL$13,0)=EOMONTH($DL$1,0),Sales!DL$6,0)+IF(EOMONTH(DATE(YEAR(Sales!$DI$1),MONTH(Sales!$DI$1),1)+INT((DAY(Sales!$DI$1)-1)/2)+'Cash Drivers'!DI$13,0)=EOMONTH($DL$1,0),Sales!DI$6,0)+IF(EOMONTH(DATE(YEAR(Sales!$DF$1),MONTH(Sales!$DF$1),1)+INT((DAY(Sales!$DF$1)-1)/2)+'Cash Drivers'!DF$13,0)=EOMONTH($DL$1,0),Sales!DF$6,0)+IF(EOMONTH(DATE(YEAR(Sales!$DC$1),MONTH(Sales!$DC$1),1)+INT((DAY(Sales!$DC$1)-1)/2)+'Cash Drivers'!DC$13,0)=EOMONTH($DL$1,0),Sales!DC$6,0)+IF(EOMONTH(DATE(YEAR(Sales!$CZ$1),MONTH(Sales!$CZ$1),1)+INT((DAY(Sales!$CZ$1)-1)/2)+'Cash Drivers'!CZ$13,0)=EOMONTH($DL$1,0),Sales!CZ$6,0)+IF(EOMONTH(DATE(YEAR(Sales!$CW$1),MONTH(Sales!$CW$1),1)+INT((DAY(Sales!$CW$1)-1)/2)+'Cash Drivers'!CW$13,0)=EOMONTH($DL$1,0),Sales!CW$6,0)+IF(EOMONTH(DATE(YEAR(Sales!$CT$1),MONTH(Sales!$CT$1),1)+INT((DAY(Sales!$CT$1)-1)/2)+'Cash Drivers'!CT$13,0)=EOMONTH($DL$1,0),Sales!CT$6,0)+IF(EOMONTH(DATE(YEAR(Sales!$CQ$1),MONTH(Sales!$CQ$1),1)+INT((DAY(Sales!$CQ$1)-1)/2)+'Cash Drivers'!CQ$13,0)=EOMONTH($DL$1,0),Sales!CQ$6,0)+IF(EOMONTH(DATE(YEAR(Sales!$CN$1),MONTH(Sales!$CN$1),1)+INT((DAY(Sales!$CN$1)-1)/2)+'Cash Drivers'!CN$13,0)=EOMONTH($DL$1,0),Sales!CN$6,0)+IF(EOMONTH(DATE(YEAR(Sales!$CK$1),MONTH(Sales!$CK$1),1)+INT((DAY(Sales!$CK$1)-1)/2)+'Cash Drivers'!CK$13,0)=EOMONTH($DL$1,0),Sales!CK$6,0)+IF(EOMONTH(DATE(YEAR(Sales!$CH$1),MONTH(Sales!$CH$1),1)+INT((DAY(Sales!$CH$1)-1)/2)+'Cash Drivers'!CH$13,0)=EOMONTH($DL$1,0),Sales!CH$6,0)+IF(EOMONTH(DATE(YEAR(Sales!$CE$1),MONTH(Sales!$CE$1),1)+INT((DAY(Sales!$CE$1)-1)/2)+'Cash Drivers'!CE$13,0)=EOMONTH($DL$1,0),Sales!CE$6,0)+IF(EOMONTH(DATE(YEAR(Sales!$CB$1),MONTH(Sales!$CB$1),1)+INT((DAY(Sales!$CB$1)-1)/2)+'Cash Drivers'!CB$13,0)=EOMONTH($DL$1,0),Sales!CB$6,0)+IF(EOMONTH(DATE(YEAR(Sales!$BY$1),MONTH(Sales!$BY$1),1)+INT((DAY(Sales!$BY$1)-1)/2)+'Cash Drivers'!BY$13,0)=EOMONTH($DL$1,0),Sales!BY$6,0)+IF(EOMONTH(DATE(YEAR(Sales!$BV$1),MONTH(Sales!$BV$1),1)+INT((DAY(Sales!$BV$1)-1)/2)+'Cash Drivers'!BV$13,0)=EOMONTH($DL$1,0),Sales!BV$6,0)+IF(EOMONTH(DATE(YEAR(Sales!$BS$1),MONTH(Sales!$BS$1),1)+INT((DAY(Sales!$BS$1)-1)/2)+'Cash Drivers'!BS$13,0)=EOMONTH($DL$1,0),Sales!BS$6,0)+IF(EOMONTH(DATE(YEAR(Sales!$BP$1),MONTH(Sales!$BP$1),1)+INT((DAY(Sales!$BP$1)-1)/2)+'Cash Drivers'!BP$13,0)=EOMONTH($DL$1,0),Sales!BP$6,0)+IF(EOMONTH(DATE(YEAR(Sales!$BM$1),MONTH(Sales!$BM$1),1)+INT((DAY(Sales!$BM$1)-1)/2)+'Cash Drivers'!BM$13,0)=EOMONTH($DL$1,0),Sales!BM$6,0)+IF(EOMONTH(DATE(YEAR(Sales!$BJ$1),MONTH(Sales!$BJ$1),1)+INT((DAY(Sales!$BJ$1)-1)/2)+'Cash Drivers'!BJ$13,0)=EOMONTH($DL$1,0),Sales!BJ$6,0)+IF(EOMONTH(DATE(YEAR(Sales!$BG$1),MONTH(Sales!$BG$1),1)+INT((DAY(Sales!$BG$1)-1)/2)+'Cash Drivers'!BG$13,0)=EOMONTH($DL$1,0),Sales!BG$6,0)+IF(EOMONTH(DATE(YEAR(Sales!$BD$1),MONTH(Sales!$BD$1),1)+INT((DAY(Sales!$BD$1)-1)/2)+'Cash Drivers'!BD$13,0)=EOMONTH($DL$1,0),Sales!BD$6,0)+IF(EOMONTH(DATE(YEAR(Sales!$BA$1),MONTH(Sales!$BA$1),1)+INT((DAY(Sales!$BA$1)-1)/2)+'Cash Drivers'!BA$13,0)=EOMONTH($DL$1,0),Sales!BA$6,0)+IF(EOMONTH(DATE(YEAR(Sales!$AX$1),MONTH(Sales!$AX$1),1)+INT((DAY(Sales!$AX$1)-1)/2)+'Cash Drivers'!AX$13,0)=EOMONTH($DL$1,0),Sales!AX$6,0)+IF(EOMONTH(DATE(YEAR(Sales!$AU$1),MONTH(Sales!$AU$1),1)+INT((DAY(Sales!$AU$1)-1)/2)+'Cash Drivers'!AU$13,0)=EOMONTH($DL$1,0),Sales!AU$6,0)+IF(EOMONTH(DATE(YEAR(Sales!$AR$1),MONTH(Sales!$AR$1),1)+INT((DAY(Sales!$AR$1)-1)/2)+'Cash Drivers'!AR$13,0)=EOMONTH($DL$1,0),Sales!AR$6,0)+IF(EOMONTH(DATE(YEAR(Sales!$AO$1),MONTH(Sales!$AO$1),1)+INT((DAY(Sales!$AO$1)-1)/2)+'Cash Drivers'!AO$13,0)=EOMONTH($DL$1,0),Sales!AO$6,0)+IF(EOMONTH(DATE(YEAR(Sales!$AL$1),MONTH(Sales!$AL$1),1)+INT((DAY(Sales!$AL$1)-1)/2)+'Cash Drivers'!AL$13,0)=EOMONTH($DL$1,0),Sales!AL$6,0)+IF(EOMONTH(DATE(YEAR(Sales!$AI$1),MONTH(Sales!$AI$1),1)+INT((DAY(Sales!$AI$1)-1)/2)+'Cash Drivers'!AI$13,0)=EOMONTH($DL$1,0),Sales!AI$6,0)+IF(EOMONTH(DATE(YEAR(Sales!$AF$1),MONTH(Sales!$AF$1),1)+INT((DAY(Sales!$AF$1)-1)/2)+'Cash Drivers'!AF$13,0)=EOMONTH($DL$1,0),Sales!AF$6,0)+IF(EOMONTH(DATE(YEAR(Sales!$AC$1),MONTH(Sales!$AC$1),1)+INT((DAY(Sales!$AC$1)-1)/2)+'Cash Drivers'!AC$13,0)=EOMONTH($DL$1,0),Sales!AC$6,0)+IF(EOMONTH(DATE(YEAR(Sales!$Z$1),MONTH(Sales!$Z$1),1)+INT((DAY(Sales!$Z$1)-1)/2)+'Cash Drivers'!Z$13,0)=EOMONTH($DL$1,0),Sales!Z$6,0)+IF(EOMONTH(DATE(YEAR(Sales!$W$1),MONTH(Sales!$W$1),1)+INT((DAY(Sales!$W$1)-1)/2)+'Cash Drivers'!W$13,0)=EOMONTH($DL$1,0),Sales!W$6,0)+IF(EOMONTH(DATE(YEAR(Sales!$T$1),MONTH(Sales!$T$1),1)+INT((DAY(Sales!$T$1)-1)/2)+'Cash Drivers'!T$13,0)=EOMONTH($DL$1,0),Sales!T$6,0)+IF(EOMONTH(DATE(YEAR(Sales!$Q$1),MONTH(Sales!$Q$1),1)+INT((DAY(Sales!$Q$1)-1)/2)+'Cash Drivers'!Q$13,0)=EOMONTH($DL$1,0),Sales!Q$6,0)+IF(EOMONTH(DATE(YEAR(Sales!$N$1),MONTH(Sales!$N$1),1)+INT((DAY(Sales!$N$1)-1)/2)+'Cash Drivers'!N$13,0)=EOMONTH($DL$1,0),Sales!N$6,0)+IF(EOMONTH(DATE(YEAR(Sales!$K$1),MONTH(Sales!$K$1),1)+INT((DAY(Sales!$K$1)-1)/2)+'Cash Drivers'!K$13,0)=EOMONTH($DL$1,0),Sales!K$6,0)+IF(EOMONTH('Cash Drivers'!$DL$30+'Cash Drivers'!DL$13,0)=EOMONTH($DL$1,0),'Cash Drivers'!$DL$32,0),0)</f>
        <v>0</v>
      </c>
      <c r="DM18" s="45" t="n">
        <f aca="false">ROUND(IF(EOMONTH(DATE(YEAR(Sales!$DL$1),MONTH(Sales!$DL$1),1)+INT((DAY(Sales!$DL$1)-1)/2)+'Cash Drivers'!DM$13,0)=EOMONTH($DL$1,0),Sales!DM$6,0)+IF(EOMONTH(DATE(YEAR(Sales!$DI$1),MONTH(Sales!$DI$1),1)+INT((DAY(Sales!$DI$1)-1)/2)+'Cash Drivers'!DJ$13,0)=EOMONTH($DL$1,0),Sales!DJ$6,0)+IF(EOMONTH(DATE(YEAR(Sales!$DF$1),MONTH(Sales!$DF$1),1)+INT((DAY(Sales!$DF$1)-1)/2)+'Cash Drivers'!DG$13,0)=EOMONTH($DL$1,0),Sales!DG$6,0)+IF(EOMONTH(DATE(YEAR(Sales!$DC$1),MONTH(Sales!$DC$1),1)+INT((DAY(Sales!$DC$1)-1)/2)+'Cash Drivers'!DD$13,0)=EOMONTH($DL$1,0),Sales!DD$6,0)+IF(EOMONTH(DATE(YEAR(Sales!$CZ$1),MONTH(Sales!$CZ$1),1)+INT((DAY(Sales!$CZ$1)-1)/2)+'Cash Drivers'!DA$13,0)=EOMONTH($DL$1,0),Sales!DA$6,0)+IF(EOMONTH(DATE(YEAR(Sales!$CW$1),MONTH(Sales!$CW$1),1)+INT((DAY(Sales!$CW$1)-1)/2)+'Cash Drivers'!CX$13,0)=EOMONTH($DL$1,0),Sales!CX$6,0)+IF(EOMONTH(DATE(YEAR(Sales!$CT$1),MONTH(Sales!$CT$1),1)+INT((DAY(Sales!$CT$1)-1)/2)+'Cash Drivers'!CU$13,0)=EOMONTH($DL$1,0),Sales!CU$6,0)+IF(EOMONTH(DATE(YEAR(Sales!$CQ$1),MONTH(Sales!$CQ$1),1)+INT((DAY(Sales!$CQ$1)-1)/2)+'Cash Drivers'!CR$13,0)=EOMONTH($DL$1,0),Sales!CR$6,0)+IF(EOMONTH(DATE(YEAR(Sales!$CN$1),MONTH(Sales!$CN$1),1)+INT((DAY(Sales!$CN$1)-1)/2)+'Cash Drivers'!CO$13,0)=EOMONTH($DL$1,0),Sales!CO$6,0)+IF(EOMONTH(DATE(YEAR(Sales!$CK$1),MONTH(Sales!$CK$1),1)+INT((DAY(Sales!$CK$1)-1)/2)+'Cash Drivers'!CL$13,0)=EOMONTH($DL$1,0),Sales!CL$6,0)+IF(EOMONTH(DATE(YEAR(Sales!$CH$1),MONTH(Sales!$CH$1),1)+INT((DAY(Sales!$CH$1)-1)/2)+'Cash Drivers'!CI$13,0)=EOMONTH($DL$1,0),Sales!CI$6,0)+IF(EOMONTH(DATE(YEAR(Sales!$CE$1),MONTH(Sales!$CE$1),1)+INT((DAY(Sales!$CE$1)-1)/2)+'Cash Drivers'!CF$13,0)=EOMONTH($DL$1,0),Sales!CF$6,0)+IF(EOMONTH(DATE(YEAR(Sales!$CB$1),MONTH(Sales!$CB$1),1)+INT((DAY(Sales!$CB$1)-1)/2)+'Cash Drivers'!CC$13,0)=EOMONTH($DL$1,0),Sales!CC$6,0)+IF(EOMONTH(DATE(YEAR(Sales!$BY$1),MONTH(Sales!$BY$1),1)+INT((DAY(Sales!$BY$1)-1)/2)+'Cash Drivers'!BZ$13,0)=EOMONTH($DL$1,0),Sales!BZ$6,0)+IF(EOMONTH(DATE(YEAR(Sales!$BV$1),MONTH(Sales!$BV$1),1)+INT((DAY(Sales!$BV$1)-1)/2)+'Cash Drivers'!BW$13,0)=EOMONTH($DL$1,0),Sales!BW$6,0)+IF(EOMONTH(DATE(YEAR(Sales!$BS$1),MONTH(Sales!$BS$1),1)+INT((DAY(Sales!$BS$1)-1)/2)+'Cash Drivers'!BT$13,0)=EOMONTH($DL$1,0),Sales!BT$6,0)+IF(EOMONTH(DATE(YEAR(Sales!$BP$1),MONTH(Sales!$BP$1),1)+INT((DAY(Sales!$BP$1)-1)/2)+'Cash Drivers'!BQ$13,0)=EOMONTH($DL$1,0),Sales!BQ$6,0)+IF(EOMONTH(DATE(YEAR(Sales!$BM$1),MONTH(Sales!$BM$1),1)+INT((DAY(Sales!$BM$1)-1)/2)+'Cash Drivers'!BN$13,0)=EOMONTH($DL$1,0),Sales!BN$6,0)+IF(EOMONTH(DATE(YEAR(Sales!$BJ$1),MONTH(Sales!$BJ$1),1)+INT((DAY(Sales!$BJ$1)-1)/2)+'Cash Drivers'!BK$13,0)=EOMONTH($DL$1,0),Sales!BK$6,0)+IF(EOMONTH(DATE(YEAR(Sales!$BG$1),MONTH(Sales!$BG$1),1)+INT((DAY(Sales!$BG$1)-1)/2)+'Cash Drivers'!BH$13,0)=EOMONTH($DL$1,0),Sales!BH$6,0)+IF(EOMONTH(DATE(YEAR(Sales!$BD$1),MONTH(Sales!$BD$1),1)+INT((DAY(Sales!$BD$1)-1)/2)+'Cash Drivers'!BE$13,0)=EOMONTH($DL$1,0),Sales!BE$6,0)+IF(EOMONTH(DATE(YEAR(Sales!$BA$1),MONTH(Sales!$BA$1),1)+INT((DAY(Sales!$BA$1)-1)/2)+'Cash Drivers'!BB$13,0)=EOMONTH($DL$1,0),Sales!BB$6,0)+IF(EOMONTH(DATE(YEAR(Sales!$AX$1),MONTH(Sales!$AX$1),1)+INT((DAY(Sales!$AX$1)-1)/2)+'Cash Drivers'!AY$13,0)=EOMONTH($DL$1,0),Sales!AY$6,0)+IF(EOMONTH(DATE(YEAR(Sales!$AU$1),MONTH(Sales!$AU$1),1)+INT((DAY(Sales!$AU$1)-1)/2)+'Cash Drivers'!AV$13,0)=EOMONTH($DL$1,0),Sales!AV$6,0)+IF(EOMONTH(DATE(YEAR(Sales!$AR$1),MONTH(Sales!$AR$1),1)+INT((DAY(Sales!$AR$1)-1)/2)+'Cash Drivers'!AS$13,0)=EOMONTH($DL$1,0),Sales!AS$6,0)+IF(EOMONTH(DATE(YEAR(Sales!$AO$1),MONTH(Sales!$AO$1),1)+INT((DAY(Sales!$AO$1)-1)/2)+'Cash Drivers'!AP$13,0)=EOMONTH($DL$1,0),Sales!AP$6,0)+IF(EOMONTH(DATE(YEAR(Sales!$AL$1),MONTH(Sales!$AL$1),1)+INT((DAY(Sales!$AL$1)-1)/2)+'Cash Drivers'!AM$13,0)=EOMONTH($DL$1,0),Sales!AM$6,0)+IF(EOMONTH(DATE(YEAR(Sales!$AI$1),MONTH(Sales!$AI$1),1)+INT((DAY(Sales!$AI$1)-1)/2)+'Cash Drivers'!AJ$13,0)=EOMONTH($DL$1,0),Sales!AJ$6,0)+IF(EOMONTH(DATE(YEAR(Sales!$AF$1),MONTH(Sales!$AF$1),1)+INT((DAY(Sales!$AF$1)-1)/2)+'Cash Drivers'!AG$13,0)=EOMONTH($DL$1,0),Sales!AG$6,0)+IF(EOMONTH(DATE(YEAR(Sales!$AC$1),MONTH(Sales!$AC$1),1)+INT((DAY(Sales!$AC$1)-1)/2)+'Cash Drivers'!AD$13,0)=EOMONTH($DL$1,0),Sales!AD$6,0)+IF(EOMONTH(DATE(YEAR(Sales!$Z$1),MONTH(Sales!$Z$1),1)+INT((DAY(Sales!$Z$1)-1)/2)+'Cash Drivers'!AA$13,0)=EOMONTH($DL$1,0),Sales!AA$6,0)+IF(EOMONTH(DATE(YEAR(Sales!$W$1),MONTH(Sales!$W$1),1)+INT((DAY(Sales!$W$1)-1)/2)+'Cash Drivers'!X$13,0)=EOMONTH($DL$1,0),Sales!X$6,0)+IF(EOMONTH(DATE(YEAR(Sales!$T$1),MONTH(Sales!$T$1),1)+INT((DAY(Sales!$T$1)-1)/2)+'Cash Drivers'!U$13,0)=EOMONTH($DL$1,0),Sales!U$6,0)+IF(EOMONTH(DATE(YEAR(Sales!$Q$1),MONTH(Sales!$Q$1),1)+INT((DAY(Sales!$Q$1)-1)/2)+'Cash Drivers'!R$13,0)=EOMONTH($DL$1,0),Sales!R$6,0)+IF(EOMONTH(DATE(YEAR(Sales!$N$1),MONTH(Sales!$N$1),1)+INT((DAY(Sales!$N$1)-1)/2)+'Cash Drivers'!O$13,0)=EOMONTH($DL$1,0),Sales!O$6,0)+IF(EOMONTH(DATE(YEAR(Sales!$K$1),MONTH(Sales!$K$1),1)+INT((DAY(Sales!$K$1)-1)/2)+'Cash Drivers'!L$13,0)=EOMONTH($DL$1,0),Sales!L$6,0)+IF(EOMONTH('Cash Drivers'!$DL$30+'Cash Drivers'!DM$13,0)=EOMONTH($DL$1,0),'Cash Drivers'!$DL$32,0),0)</f>
        <v>0</v>
      </c>
      <c r="DN18" s="46" t="n">
        <f aca="false">ROUND(IF(EOMONTH(DATE(YEAR(Sales!$DL$1),MONTH(Sales!$DL$1),1)+INT((DAY(Sales!$DL$1)-1)/2)+'Cash Drivers'!DN$13,0)=EOMONTH($DL$1,0),Sales!DN$6,0)+IF(EOMONTH(DATE(YEAR(Sales!$DI$1),MONTH(Sales!$DI$1),1)+INT((DAY(Sales!$DI$1)-1)/2)+'Cash Drivers'!DK$13,0)=EOMONTH($DL$1,0),Sales!DK$6,0)+IF(EOMONTH(DATE(YEAR(Sales!$DF$1),MONTH(Sales!$DF$1),1)+INT((DAY(Sales!$DF$1)-1)/2)+'Cash Drivers'!DH$13,0)=EOMONTH($DL$1,0),Sales!DH$6,0)+IF(EOMONTH(DATE(YEAR(Sales!$DC$1),MONTH(Sales!$DC$1),1)+INT((DAY(Sales!$DC$1)-1)/2)+'Cash Drivers'!DE$13,0)=EOMONTH($DL$1,0),Sales!DE$6,0)+IF(EOMONTH(DATE(YEAR(Sales!$CZ$1),MONTH(Sales!$CZ$1),1)+INT((DAY(Sales!$CZ$1)-1)/2)+'Cash Drivers'!DB$13,0)=EOMONTH($DL$1,0),Sales!DB$6,0)+IF(EOMONTH(DATE(YEAR(Sales!$CW$1),MONTH(Sales!$CW$1),1)+INT((DAY(Sales!$CW$1)-1)/2)+'Cash Drivers'!CY$13,0)=EOMONTH($DL$1,0),Sales!CY$6,0)+IF(EOMONTH(DATE(YEAR(Sales!$CT$1),MONTH(Sales!$CT$1),1)+INT((DAY(Sales!$CT$1)-1)/2)+'Cash Drivers'!CV$13,0)=EOMONTH($DL$1,0),Sales!CV$6,0)+IF(EOMONTH(DATE(YEAR(Sales!$CQ$1),MONTH(Sales!$CQ$1),1)+INT((DAY(Sales!$CQ$1)-1)/2)+'Cash Drivers'!CS$13,0)=EOMONTH($DL$1,0),Sales!CS$6,0)+IF(EOMONTH(DATE(YEAR(Sales!$CN$1),MONTH(Sales!$CN$1),1)+INT((DAY(Sales!$CN$1)-1)/2)+'Cash Drivers'!CP$13,0)=EOMONTH($DL$1,0),Sales!CP$6,0)+IF(EOMONTH(DATE(YEAR(Sales!$CK$1),MONTH(Sales!$CK$1),1)+INT((DAY(Sales!$CK$1)-1)/2)+'Cash Drivers'!CM$13,0)=EOMONTH($DL$1,0),Sales!CM$6,0)+IF(EOMONTH(DATE(YEAR(Sales!$CH$1),MONTH(Sales!$CH$1),1)+INT((DAY(Sales!$CH$1)-1)/2)+'Cash Drivers'!CJ$13,0)=EOMONTH($DL$1,0),Sales!CJ$6,0)+IF(EOMONTH(DATE(YEAR(Sales!$CE$1),MONTH(Sales!$CE$1),1)+INT((DAY(Sales!$CE$1)-1)/2)+'Cash Drivers'!CG$13,0)=EOMONTH($DL$1,0),Sales!CG$6,0)+IF(EOMONTH(DATE(YEAR(Sales!$CB$1),MONTH(Sales!$CB$1),1)+INT((DAY(Sales!$CB$1)-1)/2)+'Cash Drivers'!CD$13,0)=EOMONTH($DL$1,0),Sales!CD$6,0)+IF(EOMONTH(DATE(YEAR(Sales!$BY$1),MONTH(Sales!$BY$1),1)+INT((DAY(Sales!$BY$1)-1)/2)+'Cash Drivers'!CA$13,0)=EOMONTH($DL$1,0),Sales!CA$6,0)+IF(EOMONTH(DATE(YEAR(Sales!$BV$1),MONTH(Sales!$BV$1),1)+INT((DAY(Sales!$BV$1)-1)/2)+'Cash Drivers'!BX$13,0)=EOMONTH($DL$1,0),Sales!BX$6,0)+IF(EOMONTH(DATE(YEAR(Sales!$BS$1),MONTH(Sales!$BS$1),1)+INT((DAY(Sales!$BS$1)-1)/2)+'Cash Drivers'!BU$13,0)=EOMONTH($DL$1,0),Sales!BU$6,0)+IF(EOMONTH(DATE(YEAR(Sales!$BP$1),MONTH(Sales!$BP$1),1)+INT((DAY(Sales!$BP$1)-1)/2)+'Cash Drivers'!BR$13,0)=EOMONTH($DL$1,0),Sales!BR$6,0)+IF(EOMONTH(DATE(YEAR(Sales!$BM$1),MONTH(Sales!$BM$1),1)+INT((DAY(Sales!$BM$1)-1)/2)+'Cash Drivers'!BO$13,0)=EOMONTH($DL$1,0),Sales!BO$6,0)+IF(EOMONTH(DATE(YEAR(Sales!$BJ$1),MONTH(Sales!$BJ$1),1)+INT((DAY(Sales!$BJ$1)-1)/2)+'Cash Drivers'!BL$13,0)=EOMONTH($DL$1,0),Sales!BL$6,0)+IF(EOMONTH(DATE(YEAR(Sales!$BG$1),MONTH(Sales!$BG$1),1)+INT((DAY(Sales!$BG$1)-1)/2)+'Cash Drivers'!BI$13,0)=EOMONTH($DL$1,0),Sales!BI$6,0)+IF(EOMONTH(DATE(YEAR(Sales!$BD$1),MONTH(Sales!$BD$1),1)+INT((DAY(Sales!$BD$1)-1)/2)+'Cash Drivers'!BF$13,0)=EOMONTH($DL$1,0),Sales!BF$6,0)+IF(EOMONTH(DATE(YEAR(Sales!$BA$1),MONTH(Sales!$BA$1),1)+INT((DAY(Sales!$BA$1)-1)/2)+'Cash Drivers'!BC$13,0)=EOMONTH($DL$1,0),Sales!BC$6,0)+IF(EOMONTH(DATE(YEAR(Sales!$AX$1),MONTH(Sales!$AX$1),1)+INT((DAY(Sales!$AX$1)-1)/2)+'Cash Drivers'!AZ$13,0)=EOMONTH($DL$1,0),Sales!AZ$6,0)+IF(EOMONTH(DATE(YEAR(Sales!$AU$1),MONTH(Sales!$AU$1),1)+INT((DAY(Sales!$AU$1)-1)/2)+'Cash Drivers'!AW$13,0)=EOMONTH($DL$1,0),Sales!AW$6,0)+IF(EOMONTH(DATE(YEAR(Sales!$AR$1),MONTH(Sales!$AR$1),1)+INT((DAY(Sales!$AR$1)-1)/2)+'Cash Drivers'!AT$13,0)=EOMONTH($DL$1,0),Sales!AT$6,0)+IF(EOMONTH(DATE(YEAR(Sales!$AO$1),MONTH(Sales!$AO$1),1)+INT((DAY(Sales!$AO$1)-1)/2)+'Cash Drivers'!AQ$13,0)=EOMONTH($DL$1,0),Sales!AQ$6,0)+IF(EOMONTH(DATE(YEAR(Sales!$AL$1),MONTH(Sales!$AL$1),1)+INT((DAY(Sales!$AL$1)-1)/2)+'Cash Drivers'!AN$13,0)=EOMONTH($DL$1,0),Sales!AN$6,0)+IF(EOMONTH(DATE(YEAR(Sales!$AI$1),MONTH(Sales!$AI$1),1)+INT((DAY(Sales!$AI$1)-1)/2)+'Cash Drivers'!AK$13,0)=EOMONTH($DL$1,0),Sales!AK$6,0)+IF(EOMONTH(DATE(YEAR(Sales!$AF$1),MONTH(Sales!$AF$1),1)+INT((DAY(Sales!$AF$1)-1)/2)+'Cash Drivers'!AH$13,0)=EOMONTH($DL$1,0),Sales!AH$6,0)+IF(EOMONTH(DATE(YEAR(Sales!$AC$1),MONTH(Sales!$AC$1),1)+INT((DAY(Sales!$AC$1)-1)/2)+'Cash Drivers'!AE$13,0)=EOMONTH($DL$1,0),Sales!AE$6,0)+IF(EOMONTH(DATE(YEAR(Sales!$Z$1),MONTH(Sales!$Z$1),1)+INT((DAY(Sales!$Z$1)-1)/2)+'Cash Drivers'!AB$13,0)=EOMONTH($DL$1,0),Sales!AB$6,0)+IF(EOMONTH(DATE(YEAR(Sales!$W$1),MONTH(Sales!$W$1),1)+INT((DAY(Sales!$W$1)-1)/2)+'Cash Drivers'!Y$13,0)=EOMONTH($DL$1,0),Sales!Y$6,0)+IF(EOMONTH(DATE(YEAR(Sales!$T$1),MONTH(Sales!$T$1),1)+INT((DAY(Sales!$T$1)-1)/2)+'Cash Drivers'!V$13,0)=EOMONTH($DL$1,0),Sales!V$6,0)+IF(EOMONTH(DATE(YEAR(Sales!$Q$1),MONTH(Sales!$Q$1),1)+INT((DAY(Sales!$Q$1)-1)/2)+'Cash Drivers'!S$13,0)=EOMONTH($DL$1,0),Sales!S$6,0)+IF(EOMONTH(DATE(YEAR(Sales!$N$1),MONTH(Sales!$N$1),1)+INT((DAY(Sales!$N$1)-1)/2)+'Cash Drivers'!P$13,0)=EOMONTH($DL$1,0),Sales!P$6,0)+IF(EOMONTH(DATE(YEAR(Sales!$K$1),MONTH(Sales!$K$1),1)+INT((DAY(Sales!$K$1)-1)/2)+'Cash Drivers'!M$13,0)=EOMONTH($DL$1,0),Sales!M$6,0)+IF(EOMONTH('Cash Drivers'!$DL$30+'Cash Drivers'!DN$13,0)=EOMONTH($DL$1,0),'Cash Drivers'!$DL$32,0),0)</f>
        <v>0</v>
      </c>
    </row>
    <row r="19" customFormat="false" ht="18" hidden="false" customHeight="true" outlineLevel="0" collapsed="false">
      <c r="A19" s="39" t="s">
        <v>143</v>
      </c>
      <c r="B19" s="43" t="str">
        <f aca="false">IF(COUNT(AR19,AO19,AL19,AI19,AF19,AC19,Z19,W19,T19,Q19,N19,K19)=0,"",SUM(AR19,AO19,AL19,AI19,AF19,AC19,Z19,W19,T19,Q19,N19,K19))</f>
        <v/>
      </c>
      <c r="C19" s="43" t="n">
        <f aca="false">SUM(AS19,AP19,AM19,AJ19,AG19,AD19,AA19,X19,U19,R19,O19,L19)</f>
        <v>436</v>
      </c>
      <c r="D19" s="43" t="n">
        <f aca="false">SUM(AT19,AQ19,AN19,AK19,AH19,AE19,AB19,Y19,V19,S19,P19,M19)</f>
        <v>436</v>
      </c>
      <c r="E19" s="43" t="str">
        <f aca="false">IF(COUNT(CB19,BY19,BV19,BS19,BP19,BM19,BJ19,BG19,BD19,BA19,AX19,AU19)=0,"",SUM(CB19,BY19,BV19,BS19,BP19,BM19,BJ19,BG19,BD19,BA19,AX19,AU19))</f>
        <v/>
      </c>
      <c r="F19" s="43" t="n">
        <f aca="false">SUM(CC19,BZ19,BW19,BT19,BQ19,BN19,BK19,BH19,BE19,BB19,AY19,AV19)</f>
        <v>318</v>
      </c>
      <c r="G19" s="43" t="n">
        <f aca="false">SUM(CD19,CA19,BX19,BU19,BR19,BO19,BL19,BI19,BF19,BC19,AZ19,AW19)</f>
        <v>318</v>
      </c>
      <c r="H19" s="43" t="n">
        <f aca="false">IF(COUNT(DL19,DI19,DF19,DC19,CZ19,CW19,CT19,CQ19,CN19,CK19,CH19,CE19)=0,"",SUM(DL19,DI19,DF19,DC19,CZ19,CW19,CT19,CQ19,CN19,CK19,CH19,CE19))</f>
        <v>30</v>
      </c>
      <c r="I19" s="43" t="n">
        <f aca="false">SUM(DM19,DJ19,DG19,DD19,DA19,CX19,CU19,CR19,CO19,CL19,CI19,CF19)</f>
        <v>250</v>
      </c>
      <c r="J19" s="43" t="n">
        <f aca="false">SUM(DN19,DK19,DH19,DE19,DB19,CY19,CV19,CS19,CP19,CM19,CJ19,CG19)</f>
        <v>228</v>
      </c>
      <c r="K19" s="44" t="str">
        <f aca="false">IF(Sales!K8="","",IFERROR(ROUND(Sales!K8/Sales!K7,0),""))</f>
        <v/>
      </c>
      <c r="L19" s="45" t="n">
        <f aca="false">IF(L$26,K19,MIN(L17+L18,L16))</f>
        <v>38</v>
      </c>
      <c r="M19" s="46" t="n">
        <f aca="false">MIN(M17+M18,M16)</f>
        <v>38</v>
      </c>
      <c r="N19" s="44" t="str">
        <f aca="false">IF(Sales!N8="","",IFERROR(ROUND(Sales!N8/Sales!N7,0),""))</f>
        <v/>
      </c>
      <c r="O19" s="45" t="n">
        <f aca="false">IF(O$26,N19,MIN(O17+O18,O16))</f>
        <v>38</v>
      </c>
      <c r="P19" s="46" t="n">
        <f aca="false">MIN(P17+P18,P16)</f>
        <v>38</v>
      </c>
      <c r="Q19" s="44" t="str">
        <f aca="false">IF(Sales!Q8="","",IFERROR(ROUND(Sales!Q8/Sales!Q7,0),""))</f>
        <v/>
      </c>
      <c r="R19" s="45" t="n">
        <f aca="false">IF(R$26,Q19,MIN(R17+R18,R16))</f>
        <v>38</v>
      </c>
      <c r="S19" s="46" t="n">
        <f aca="false">MIN(S17+S18,S16)</f>
        <v>38</v>
      </c>
      <c r="T19" s="44" t="str">
        <f aca="false">IF(Sales!T8="","",IFERROR(ROUND(Sales!T8/Sales!T7,0),""))</f>
        <v/>
      </c>
      <c r="U19" s="45" t="n">
        <f aca="false">IF(U$26,T19,MIN(U17+U18,U16))</f>
        <v>38</v>
      </c>
      <c r="V19" s="46" t="n">
        <f aca="false">MIN(V17+V18,V16)</f>
        <v>38</v>
      </c>
      <c r="W19" s="44" t="str">
        <f aca="false">IF(Sales!W8="","",IFERROR(ROUND(Sales!W8/Sales!W7,0),""))</f>
        <v/>
      </c>
      <c r="X19" s="45" t="n">
        <f aca="false">IF(X$26,W19,MIN(X17+X18,X16))</f>
        <v>38</v>
      </c>
      <c r="Y19" s="46" t="n">
        <f aca="false">MIN(Y17+Y18,Y16)</f>
        <v>38</v>
      </c>
      <c r="Z19" s="44" t="str">
        <f aca="false">IF(Sales!Z8="","",IFERROR(ROUND(Sales!Z8/Sales!Z7,0),""))</f>
        <v/>
      </c>
      <c r="AA19" s="45" t="n">
        <f aca="false">IF(AA$26,Z19,MIN(AA17+AA18,AA16))</f>
        <v>38</v>
      </c>
      <c r="AB19" s="46" t="n">
        <f aca="false">MIN(AB17+AB18,AB16)</f>
        <v>38</v>
      </c>
      <c r="AC19" s="44" t="str">
        <f aca="false">IF(Sales!AC8="","",IFERROR(ROUND(Sales!AC8/Sales!AC7,0),""))</f>
        <v/>
      </c>
      <c r="AD19" s="45" t="n">
        <f aca="false">IF(AD$26,AC19,MIN(AD17+AD18,AD16))</f>
        <v>38</v>
      </c>
      <c r="AE19" s="46" t="n">
        <f aca="false">MIN(AE17+AE18,AE16)</f>
        <v>38</v>
      </c>
      <c r="AF19" s="44" t="str">
        <f aca="false">IF(Sales!AF8="","",IFERROR(ROUND(Sales!AF8/Sales!AF7,0),""))</f>
        <v/>
      </c>
      <c r="AG19" s="45" t="n">
        <f aca="false">IF(AG$26,AF19,MIN(AG17+AG18,AG16))</f>
        <v>38</v>
      </c>
      <c r="AH19" s="46" t="n">
        <f aca="false">MIN(AH17+AH18,AH16)</f>
        <v>38</v>
      </c>
      <c r="AI19" s="44" t="str">
        <f aca="false">IF(Sales!AI8="","",IFERROR(ROUND(Sales!AI8/Sales!AI7,0),""))</f>
        <v/>
      </c>
      <c r="AJ19" s="45" t="n">
        <f aca="false">IF(AJ$26,AI19,MIN(AJ17+AJ18,AJ16))</f>
        <v>38</v>
      </c>
      <c r="AK19" s="46" t="n">
        <f aca="false">MIN(AK17+AK18,AK16)</f>
        <v>38</v>
      </c>
      <c r="AL19" s="44" t="str">
        <f aca="false">IF(Sales!AL8="","",IFERROR(ROUND(Sales!AL8/Sales!AL7,0),""))</f>
        <v/>
      </c>
      <c r="AM19" s="45" t="n">
        <f aca="false">IF(AM$26,AL19,MIN(AM17+AM18,AM16))</f>
        <v>38</v>
      </c>
      <c r="AN19" s="46" t="n">
        <f aca="false">MIN(AN17+AN18,AN16)</f>
        <v>38</v>
      </c>
      <c r="AO19" s="44" t="str">
        <f aca="false">IF(Sales!AO8="","",IFERROR(ROUND(Sales!AO8/Sales!AO7,0),""))</f>
        <v/>
      </c>
      <c r="AP19" s="45" t="n">
        <f aca="false">IF(AP$26,AO19,MIN(AP17+AP18,AP16))</f>
        <v>28</v>
      </c>
      <c r="AQ19" s="46" t="n">
        <f aca="false">MIN(AQ17+AQ18,AQ16)</f>
        <v>28</v>
      </c>
      <c r="AR19" s="44" t="str">
        <f aca="false">IF(Sales!AR8="","",IFERROR(ROUND(Sales!AR8/Sales!AR7,0),""))</f>
        <v/>
      </c>
      <c r="AS19" s="45" t="n">
        <f aca="false">IF(AS$26,AR19,MIN(AS17+AS18,AS16))</f>
        <v>28</v>
      </c>
      <c r="AT19" s="46" t="n">
        <f aca="false">MIN(AT17+AT18,AT16)</f>
        <v>28</v>
      </c>
      <c r="AU19" s="44" t="str">
        <f aca="false">IF(Sales!AU8="","",IFERROR(ROUND(Sales!AU8/Sales!AU7,0),""))</f>
        <v/>
      </c>
      <c r="AV19" s="45" t="n">
        <f aca="false">IF(AV$26,AU19,MIN(AV17+AV18,AV16))</f>
        <v>28</v>
      </c>
      <c r="AW19" s="46" t="n">
        <f aca="false">MIN(AW17+AW18,AW16)</f>
        <v>28</v>
      </c>
      <c r="AX19" s="44" t="str">
        <f aca="false">IF(Sales!AX8="","",IFERROR(ROUND(Sales!AX8/Sales!AX7,0),""))</f>
        <v/>
      </c>
      <c r="AY19" s="45" t="n">
        <f aca="false">IF(AY$26,AX19,MIN(AY17+AY18,AY16))</f>
        <v>28</v>
      </c>
      <c r="AZ19" s="46" t="n">
        <f aca="false">MIN(AZ17+AZ18,AZ16)</f>
        <v>28</v>
      </c>
      <c r="BA19" s="44" t="str">
        <f aca="false">IF(Sales!BA8="","",IFERROR(ROUND(Sales!BA8/Sales!BA7,0),""))</f>
        <v/>
      </c>
      <c r="BB19" s="45" t="n">
        <f aca="false">IF(BB$26,BA19,MIN(BB17+BB18,BB16))</f>
        <v>28</v>
      </c>
      <c r="BC19" s="46" t="n">
        <f aca="false">MIN(BC17+BC18,BC16)</f>
        <v>28</v>
      </c>
      <c r="BD19" s="44" t="str">
        <f aca="false">IF(Sales!BD8="","",IFERROR(ROUND(Sales!BD8/Sales!BD7,0),""))</f>
        <v/>
      </c>
      <c r="BE19" s="45" t="n">
        <f aca="false">IF(BE$26,BD19,MIN(BE17+BE18,BE16))</f>
        <v>28</v>
      </c>
      <c r="BF19" s="46" t="n">
        <f aca="false">MIN(BF17+BF18,BF16)</f>
        <v>28</v>
      </c>
      <c r="BG19" s="44" t="str">
        <f aca="false">IF(Sales!BG8="","",IFERROR(ROUND(Sales!BG8/Sales!BG7,0),""))</f>
        <v/>
      </c>
      <c r="BH19" s="45" t="n">
        <f aca="false">IF(BH$26,BG19,MIN(BH17+BH18,BH16))</f>
        <v>28</v>
      </c>
      <c r="BI19" s="46" t="n">
        <f aca="false">MIN(BI17+BI18,BI16)</f>
        <v>28</v>
      </c>
      <c r="BJ19" s="44" t="str">
        <f aca="false">IF(Sales!BJ8="","",IFERROR(ROUND(Sales!BJ8/Sales!BJ7,0),""))</f>
        <v/>
      </c>
      <c r="BK19" s="45" t="n">
        <f aca="false">IF(BK$26,BJ19,MIN(BK17+BK18,BK16))</f>
        <v>28</v>
      </c>
      <c r="BL19" s="46" t="n">
        <f aca="false">MIN(BL17+BL18,BL16)</f>
        <v>28</v>
      </c>
      <c r="BM19" s="44" t="str">
        <f aca="false">IF(Sales!BM8="","",IFERROR(ROUND(Sales!BM8/Sales!BM7,0),""))</f>
        <v/>
      </c>
      <c r="BN19" s="45" t="n">
        <f aca="false">IF(BN$26,BM19,MIN(BN17+BN18,BN16))</f>
        <v>28</v>
      </c>
      <c r="BO19" s="46" t="n">
        <f aca="false">MIN(BO17+BO18,BO16)</f>
        <v>28</v>
      </c>
      <c r="BP19" s="44" t="str">
        <f aca="false">IF(Sales!BP8="","",IFERROR(ROUND(Sales!BP8/Sales!BP7,0),""))</f>
        <v/>
      </c>
      <c r="BQ19" s="45" t="n">
        <f aca="false">IF(BQ$26,BP19,MIN(BQ17+BQ18,BQ16))</f>
        <v>28</v>
      </c>
      <c r="BR19" s="46" t="n">
        <f aca="false">MIN(BR17+BR18,BR16)</f>
        <v>28</v>
      </c>
      <c r="BS19" s="44" t="str">
        <f aca="false">IF(Sales!BS8="","",IFERROR(ROUND(Sales!BS8/Sales!BS7,0),""))</f>
        <v/>
      </c>
      <c r="BT19" s="45" t="n">
        <f aca="false">IF(BT$26,BS19,MIN(BT17+BT18,BT16))</f>
        <v>28</v>
      </c>
      <c r="BU19" s="46" t="n">
        <f aca="false">MIN(BU17+BU18,BU16)</f>
        <v>28</v>
      </c>
      <c r="BV19" s="44" t="str">
        <f aca="false">IF(Sales!BV8="","",IFERROR(ROUND(Sales!BV8/Sales!BV7,0),""))</f>
        <v/>
      </c>
      <c r="BW19" s="45" t="n">
        <f aca="false">IF(BW$26,BV19,MIN(BW17+BW18,BW16))</f>
        <v>28</v>
      </c>
      <c r="BX19" s="46" t="n">
        <f aca="false">MIN(BX17+BX18,BX16)</f>
        <v>28</v>
      </c>
      <c r="BY19" s="44" t="str">
        <f aca="false">IF(Sales!BY8="","",IFERROR(ROUND(Sales!BY8/Sales!BY7,0),""))</f>
        <v/>
      </c>
      <c r="BZ19" s="45" t="n">
        <f aca="false">IF(BZ$26,BY19,MIN(BZ17+BZ18,BZ16))</f>
        <v>19</v>
      </c>
      <c r="CA19" s="46" t="n">
        <f aca="false">MIN(CA17+CA18,CA16)</f>
        <v>19</v>
      </c>
      <c r="CB19" s="44" t="str">
        <f aca="false">IF(Sales!CB8="","",IFERROR(ROUND(Sales!CB8/Sales!CB7,0),""))</f>
        <v/>
      </c>
      <c r="CC19" s="45" t="n">
        <f aca="false">IF(CC$26,CB19,MIN(CC17+CC18,CC16))</f>
        <v>19</v>
      </c>
      <c r="CD19" s="46" t="n">
        <f aca="false">MIN(CD17+CD18,CD16)</f>
        <v>19</v>
      </c>
      <c r="CE19" s="44" t="str">
        <f aca="false">IF(Sales!CE8="","",IFERROR(ROUND(Sales!CE8/Sales!CE7,0),""))</f>
        <v/>
      </c>
      <c r="CF19" s="45" t="n">
        <f aca="false">IF(CF$26,CE19,MIN(CF17+CF18,CF16))</f>
        <v>19</v>
      </c>
      <c r="CG19" s="46" t="n">
        <f aca="false">MIN(CG17+CG18,CG16)</f>
        <v>19</v>
      </c>
      <c r="CH19" s="44" t="str">
        <f aca="false">IF(Sales!CH8="","",IFERROR(ROUND(Sales!CH8/Sales!CH7,0),""))</f>
        <v/>
      </c>
      <c r="CI19" s="45" t="n">
        <f aca="false">IF(CI$26,CH19,MIN(CI17+CI18,CI16))</f>
        <v>19</v>
      </c>
      <c r="CJ19" s="46" t="n">
        <f aca="false">MIN(CJ17+CJ18,CJ16)</f>
        <v>19</v>
      </c>
      <c r="CK19" s="44" t="str">
        <f aca="false">IF(Sales!CK8="","",IFERROR(ROUND(Sales!CK8/Sales!CK7,0),""))</f>
        <v/>
      </c>
      <c r="CL19" s="45" t="n">
        <f aca="false">IF(CL$26,CK19,MIN(CL17+CL18,CL16))</f>
        <v>19</v>
      </c>
      <c r="CM19" s="46" t="n">
        <f aca="false">MIN(CM17+CM18,CM16)</f>
        <v>19</v>
      </c>
      <c r="CN19" s="44" t="str">
        <f aca="false">IF(Sales!CN8="","",IFERROR(ROUND(Sales!CN8/Sales!CN7,0),""))</f>
        <v/>
      </c>
      <c r="CO19" s="45" t="n">
        <f aca="false">IF(CO$26,CN19,MIN(CO17+CO18,CO16))</f>
        <v>19</v>
      </c>
      <c r="CP19" s="46" t="n">
        <f aca="false">MIN(CP17+CP18,CP16)</f>
        <v>19</v>
      </c>
      <c r="CQ19" s="44" t="str">
        <f aca="false">IF(Sales!CQ8="","",IFERROR(ROUND(Sales!CQ8/Sales!CQ7,0),""))</f>
        <v/>
      </c>
      <c r="CR19" s="45" t="n">
        <f aca="false">IF(CR$26,CQ19,MIN(CR17+CR18,CR16))</f>
        <v>19</v>
      </c>
      <c r="CS19" s="46" t="n">
        <f aca="false">MIN(CS17+CS18,CS16)</f>
        <v>19</v>
      </c>
      <c r="CT19" s="44" t="str">
        <f aca="false">IF(Sales!CT8="","",IFERROR(ROUND(Sales!CT8/Sales!CT7,0),""))</f>
        <v/>
      </c>
      <c r="CU19" s="45" t="n">
        <f aca="false">IF(CU$26,CT19,MIN(CU17+CU18,CU16))</f>
        <v>19</v>
      </c>
      <c r="CV19" s="46" t="n">
        <f aca="false">MIN(CV17+CV18,CV16)</f>
        <v>19</v>
      </c>
      <c r="CW19" s="44" t="str">
        <f aca="false">IF(Sales!CW8="","",IFERROR(ROUND(Sales!CW8/Sales!CW7,0),""))</f>
        <v/>
      </c>
      <c r="CX19" s="45" t="n">
        <f aca="false">IF(CX$26,CW19,MIN(CX17+CX18,CX16))</f>
        <v>19</v>
      </c>
      <c r="CY19" s="46" t="n">
        <f aca="false">MIN(CY17+CY18,CY16)</f>
        <v>19</v>
      </c>
      <c r="CZ19" s="44" t="str">
        <f aca="false">IF(Sales!CZ8="","",IFERROR(ROUND(Sales!CZ8/Sales!CZ7,0),""))</f>
        <v/>
      </c>
      <c r="DA19" s="45" t="n">
        <f aca="false">IF(DA$26,CZ19,MIN(DA17+DA18,DA16))</f>
        <v>19</v>
      </c>
      <c r="DB19" s="46" t="n">
        <f aca="false">MIN(DB17+DB18,DB16)</f>
        <v>19</v>
      </c>
      <c r="DC19" s="44" t="str">
        <f aca="false">IF(Sales!DC8="","",IFERROR(ROUND(Sales!DC8/Sales!DC7,0),""))</f>
        <v/>
      </c>
      <c r="DD19" s="45" t="n">
        <f aca="false">IF(DD$26,DC19,MIN(DD17+DD18,DD16))</f>
        <v>30</v>
      </c>
      <c r="DE19" s="46" t="n">
        <f aca="false">MIN(DE17+DE18,DE16)</f>
        <v>38</v>
      </c>
      <c r="DF19" s="44" t="str">
        <f aca="false">IF(Sales!DF8="","",IFERROR(ROUND(Sales!DF8/Sales!DF7,0),""))</f>
        <v/>
      </c>
      <c r="DG19" s="45" t="n">
        <f aca="false">IF(DG$26,DF19,MIN(DG17+DG18,DG16))</f>
        <v>38</v>
      </c>
      <c r="DH19" s="46" t="n">
        <f aca="false">MIN(DH17+DH18,DH16)</f>
        <v>38</v>
      </c>
      <c r="DI19" s="44" t="n">
        <f aca="false">IF(Sales!DI8="","",IFERROR(ROUND(Sales!DI8/Sales!DI7,0),""))</f>
        <v>11</v>
      </c>
      <c r="DJ19" s="45" t="n">
        <f aca="false">IF(DJ$26,DI19,MIN(DJ17+DJ18,DJ16))</f>
        <v>11</v>
      </c>
      <c r="DK19" s="46" t="n">
        <f aca="false">MIN(DK17+DK18,DK16)</f>
        <v>0</v>
      </c>
      <c r="DL19" s="44" t="n">
        <f aca="false">IF(Sales!DL8="","",IFERROR(ROUND(Sales!DL8/Sales!DL7,0),""))</f>
        <v>19</v>
      </c>
      <c r="DM19" s="45" t="n">
        <f aca="false">IF(DM$26,DL19,MIN(DM17+DM18,DM16))</f>
        <v>19</v>
      </c>
      <c r="DN19" s="46" t="n">
        <f aca="false">MIN(DN17+DN18,DN16)</f>
        <v>0</v>
      </c>
    </row>
    <row r="20" customFormat="false" ht="18" hidden="false" customHeight="true" outlineLevel="0" collapsed="false">
      <c r="A20" s="39" t="s">
        <v>144</v>
      </c>
      <c r="B20" s="43" t="str">
        <f aca="false">K20</f>
        <v/>
      </c>
      <c r="C20" s="43" t="n">
        <f aca="false">L20</f>
        <v>0</v>
      </c>
      <c r="D20" s="43" t="n">
        <f aca="false">M20</f>
        <v>0</v>
      </c>
      <c r="E20" s="43" t="str">
        <f aca="false">AU20</f>
        <v/>
      </c>
      <c r="F20" s="43" t="n">
        <f aca="false">AV20</f>
        <v>0</v>
      </c>
      <c r="G20" s="43" t="n">
        <f aca="false">AW20</f>
        <v>0</v>
      </c>
      <c r="H20" s="43" t="str">
        <f aca="false">CE20</f>
        <v/>
      </c>
      <c r="I20" s="43" t="n">
        <f aca="false">CF20</f>
        <v>0</v>
      </c>
      <c r="J20" s="43" t="n">
        <f aca="false">CG20</f>
        <v>0</v>
      </c>
      <c r="K20" s="44" t="str">
        <f aca="false">IF(K19="","",MAX(0,K17+K18-K19))</f>
        <v/>
      </c>
      <c r="L20" s="45" t="n">
        <f aca="false">MAX(0,L17+L18-L19)</f>
        <v>0</v>
      </c>
      <c r="M20" s="46" t="n">
        <f aca="false">MAX(0,M17+M18-M19)</f>
        <v>0</v>
      </c>
      <c r="N20" s="44" t="str">
        <f aca="false">IF(N19="","",MAX(0,N17+N18-N19))</f>
        <v/>
      </c>
      <c r="O20" s="45" t="n">
        <f aca="false">MAX(0,O17+O18-O19)</f>
        <v>0</v>
      </c>
      <c r="P20" s="46" t="n">
        <f aca="false">MAX(0,P17+P18-P19)</f>
        <v>0</v>
      </c>
      <c r="Q20" s="44" t="str">
        <f aca="false">IF(Q19="","",MAX(0,Q17+Q18-Q19))</f>
        <v/>
      </c>
      <c r="R20" s="45" t="n">
        <f aca="false">MAX(0,R17+R18-R19)</f>
        <v>0</v>
      </c>
      <c r="S20" s="46" t="n">
        <f aca="false">MAX(0,S17+S18-S19)</f>
        <v>0</v>
      </c>
      <c r="T20" s="44" t="str">
        <f aca="false">IF(T19="","",MAX(0,T17+T18-T19))</f>
        <v/>
      </c>
      <c r="U20" s="45" t="n">
        <f aca="false">MAX(0,U17+U18-U19)</f>
        <v>0</v>
      </c>
      <c r="V20" s="46" t="n">
        <f aca="false">MAX(0,V17+V18-V19)</f>
        <v>0</v>
      </c>
      <c r="W20" s="44" t="str">
        <f aca="false">IF(W19="","",MAX(0,W17+W18-W19))</f>
        <v/>
      </c>
      <c r="X20" s="45" t="n">
        <f aca="false">MAX(0,X17+X18-X19)</f>
        <v>0</v>
      </c>
      <c r="Y20" s="46" t="n">
        <f aca="false">MAX(0,Y17+Y18-Y19)</f>
        <v>0</v>
      </c>
      <c r="Z20" s="44" t="str">
        <f aca="false">IF(Z19="","",MAX(0,Z17+Z18-Z19))</f>
        <v/>
      </c>
      <c r="AA20" s="45" t="n">
        <f aca="false">MAX(0,AA17+AA18-AA19)</f>
        <v>0</v>
      </c>
      <c r="AB20" s="46" t="n">
        <f aca="false">MAX(0,AB17+AB18-AB19)</f>
        <v>0</v>
      </c>
      <c r="AC20" s="44" t="str">
        <f aca="false">IF(AC19="","",MAX(0,AC17+AC18-AC19))</f>
        <v/>
      </c>
      <c r="AD20" s="45" t="n">
        <f aca="false">MAX(0,AD17+AD18-AD19)</f>
        <v>0</v>
      </c>
      <c r="AE20" s="46" t="n">
        <f aca="false">MAX(0,AE17+AE18-AE19)</f>
        <v>0</v>
      </c>
      <c r="AF20" s="44" t="str">
        <f aca="false">IF(AF19="","",MAX(0,AF17+AF18-AF19))</f>
        <v/>
      </c>
      <c r="AG20" s="45" t="n">
        <f aca="false">MAX(0,AG17+AG18-AG19)</f>
        <v>0</v>
      </c>
      <c r="AH20" s="46" t="n">
        <f aca="false">MAX(0,AH17+AH18-AH19)</f>
        <v>0</v>
      </c>
      <c r="AI20" s="44" t="str">
        <f aca="false">IF(AI19="","",MAX(0,AI17+AI18-AI19))</f>
        <v/>
      </c>
      <c r="AJ20" s="45" t="n">
        <f aca="false">MAX(0,AJ17+AJ18-AJ19)</f>
        <v>0</v>
      </c>
      <c r="AK20" s="46" t="n">
        <f aca="false">MAX(0,AK17+AK18-AK19)</f>
        <v>0</v>
      </c>
      <c r="AL20" s="44" t="str">
        <f aca="false">IF(AL19="","",MAX(0,AL17+AL18-AL19))</f>
        <v/>
      </c>
      <c r="AM20" s="45" t="n">
        <f aca="false">MAX(0,AM17+AM18-AM19)</f>
        <v>0</v>
      </c>
      <c r="AN20" s="46" t="n">
        <f aca="false">MAX(0,AN17+AN18-AN19)</f>
        <v>0</v>
      </c>
      <c r="AO20" s="44" t="str">
        <f aca="false">IF(AO19="","",MAX(0,AO17+AO18-AO19))</f>
        <v/>
      </c>
      <c r="AP20" s="45" t="n">
        <f aca="false">MAX(0,AP17+AP18-AP19)</f>
        <v>0</v>
      </c>
      <c r="AQ20" s="46" t="n">
        <f aca="false">MAX(0,AQ17+AQ18-AQ19)</f>
        <v>0</v>
      </c>
      <c r="AR20" s="44" t="str">
        <f aca="false">IF(AR19="","",MAX(0,AR17+AR18-AR19))</f>
        <v/>
      </c>
      <c r="AS20" s="45" t="n">
        <f aca="false">MAX(0,AS17+AS18-AS19)</f>
        <v>0</v>
      </c>
      <c r="AT20" s="46" t="n">
        <f aca="false">MAX(0,AT17+AT18-AT19)</f>
        <v>0</v>
      </c>
      <c r="AU20" s="44" t="str">
        <f aca="false">IF(AU19="","",MAX(0,AU17+AU18-AU19))</f>
        <v/>
      </c>
      <c r="AV20" s="45" t="n">
        <f aca="false">MAX(0,AV17+AV18-AV19)</f>
        <v>0</v>
      </c>
      <c r="AW20" s="46" t="n">
        <f aca="false">MAX(0,AW17+AW18-AW19)</f>
        <v>0</v>
      </c>
      <c r="AX20" s="44" t="str">
        <f aca="false">IF(AX19="","",MAX(0,AX17+AX18-AX19))</f>
        <v/>
      </c>
      <c r="AY20" s="45" t="n">
        <f aca="false">MAX(0,AY17+AY18-AY19)</f>
        <v>0</v>
      </c>
      <c r="AZ20" s="46" t="n">
        <f aca="false">MAX(0,AZ17+AZ18-AZ19)</f>
        <v>0</v>
      </c>
      <c r="BA20" s="44" t="str">
        <f aca="false">IF(BA19="","",MAX(0,BA17+BA18-BA19))</f>
        <v/>
      </c>
      <c r="BB20" s="45" t="n">
        <f aca="false">MAX(0,BB17+BB18-BB19)</f>
        <v>0</v>
      </c>
      <c r="BC20" s="46" t="n">
        <f aca="false">MAX(0,BC17+BC18-BC19)</f>
        <v>0</v>
      </c>
      <c r="BD20" s="44" t="str">
        <f aca="false">IF(BD19="","",MAX(0,BD17+BD18-BD19))</f>
        <v/>
      </c>
      <c r="BE20" s="45" t="n">
        <f aca="false">MAX(0,BE17+BE18-BE19)</f>
        <v>0</v>
      </c>
      <c r="BF20" s="46" t="n">
        <f aca="false">MAX(0,BF17+BF18-BF19)</f>
        <v>0</v>
      </c>
      <c r="BG20" s="44" t="str">
        <f aca="false">IF(BG19="","",MAX(0,BG17+BG18-BG19))</f>
        <v/>
      </c>
      <c r="BH20" s="45" t="n">
        <f aca="false">MAX(0,BH17+BH18-BH19)</f>
        <v>0</v>
      </c>
      <c r="BI20" s="46" t="n">
        <f aca="false">MAX(0,BI17+BI18-BI19)</f>
        <v>0</v>
      </c>
      <c r="BJ20" s="44" t="str">
        <f aca="false">IF(BJ19="","",MAX(0,BJ17+BJ18-BJ19))</f>
        <v/>
      </c>
      <c r="BK20" s="45" t="n">
        <f aca="false">MAX(0,BK17+BK18-BK19)</f>
        <v>0</v>
      </c>
      <c r="BL20" s="46" t="n">
        <f aca="false">MAX(0,BL17+BL18-BL19)</f>
        <v>0</v>
      </c>
      <c r="BM20" s="44" t="str">
        <f aca="false">IF(BM19="","",MAX(0,BM17+BM18-BM19))</f>
        <v/>
      </c>
      <c r="BN20" s="45" t="n">
        <f aca="false">MAX(0,BN17+BN18-BN19)</f>
        <v>0</v>
      </c>
      <c r="BO20" s="46" t="n">
        <f aca="false">MAX(0,BO17+BO18-BO19)</f>
        <v>0</v>
      </c>
      <c r="BP20" s="44" t="str">
        <f aca="false">IF(BP19="","",MAX(0,BP17+BP18-BP19))</f>
        <v/>
      </c>
      <c r="BQ20" s="45" t="n">
        <f aca="false">MAX(0,BQ17+BQ18-BQ19)</f>
        <v>0</v>
      </c>
      <c r="BR20" s="46" t="n">
        <f aca="false">MAX(0,BR17+BR18-BR19)</f>
        <v>0</v>
      </c>
      <c r="BS20" s="44" t="str">
        <f aca="false">IF(BS19="","",MAX(0,BS17+BS18-BS19))</f>
        <v/>
      </c>
      <c r="BT20" s="45" t="n">
        <f aca="false">MAX(0,BT17+BT18-BT19)</f>
        <v>0</v>
      </c>
      <c r="BU20" s="46" t="n">
        <f aca="false">MAX(0,BU17+BU18-BU19)</f>
        <v>0</v>
      </c>
      <c r="BV20" s="44" t="str">
        <f aca="false">IF(BV19="","",MAX(0,BV17+BV18-BV19))</f>
        <v/>
      </c>
      <c r="BW20" s="45" t="n">
        <f aca="false">MAX(0,BW17+BW18-BW19)</f>
        <v>0</v>
      </c>
      <c r="BX20" s="46" t="n">
        <f aca="false">MAX(0,BX17+BX18-BX19)</f>
        <v>0</v>
      </c>
      <c r="BY20" s="44" t="str">
        <f aca="false">IF(BY19="","",MAX(0,BY17+BY18-BY19))</f>
        <v/>
      </c>
      <c r="BZ20" s="45" t="n">
        <f aca="false">MAX(0,BZ17+BZ18-BZ19)</f>
        <v>0</v>
      </c>
      <c r="CA20" s="46" t="n">
        <f aca="false">MAX(0,CA17+CA18-CA19)</f>
        <v>0</v>
      </c>
      <c r="CB20" s="44" t="str">
        <f aca="false">IF(CB19="","",MAX(0,CB17+CB18-CB19))</f>
        <v/>
      </c>
      <c r="CC20" s="45" t="n">
        <f aca="false">MAX(0,CC17+CC18-CC19)</f>
        <v>0</v>
      </c>
      <c r="CD20" s="46" t="n">
        <f aca="false">MAX(0,CD17+CD18-CD19)</f>
        <v>0</v>
      </c>
      <c r="CE20" s="44" t="str">
        <f aca="false">IF(CE19="","",MAX(0,CE17+CE18-CE19))</f>
        <v/>
      </c>
      <c r="CF20" s="45" t="n">
        <f aca="false">MAX(0,CF17+CF18-CF19)</f>
        <v>0</v>
      </c>
      <c r="CG20" s="46" t="n">
        <f aca="false">MAX(0,CG17+CG18-CG19)</f>
        <v>0</v>
      </c>
      <c r="CH20" s="44" t="str">
        <f aca="false">IF(CH19="","",MAX(0,CH17+CH18-CH19))</f>
        <v/>
      </c>
      <c r="CI20" s="45" t="n">
        <f aca="false">MAX(0,CI17+CI18-CI19)</f>
        <v>0</v>
      </c>
      <c r="CJ20" s="46" t="n">
        <f aca="false">MAX(0,CJ17+CJ18-CJ19)</f>
        <v>0</v>
      </c>
      <c r="CK20" s="44" t="str">
        <f aca="false">IF(CK19="","",MAX(0,CK17+CK18-CK19))</f>
        <v/>
      </c>
      <c r="CL20" s="45" t="n">
        <f aca="false">MAX(0,CL17+CL18-CL19)</f>
        <v>0</v>
      </c>
      <c r="CM20" s="46" t="n">
        <f aca="false">MAX(0,CM17+CM18-CM19)</f>
        <v>0</v>
      </c>
      <c r="CN20" s="44" t="str">
        <f aca="false">IF(CN19="","",MAX(0,CN17+CN18-CN19))</f>
        <v/>
      </c>
      <c r="CO20" s="45" t="n">
        <f aca="false">MAX(0,CO17+CO18-CO19)</f>
        <v>0</v>
      </c>
      <c r="CP20" s="46" t="n">
        <f aca="false">MAX(0,CP17+CP18-CP19)</f>
        <v>0</v>
      </c>
      <c r="CQ20" s="44" t="str">
        <f aca="false">IF(CQ19="","",MAX(0,CQ17+CQ18-CQ19))</f>
        <v/>
      </c>
      <c r="CR20" s="45" t="n">
        <f aca="false">MAX(0,CR17+CR18-CR19)</f>
        <v>0</v>
      </c>
      <c r="CS20" s="46" t="n">
        <f aca="false">MAX(0,CS17+CS18-CS19)</f>
        <v>0</v>
      </c>
      <c r="CT20" s="44" t="str">
        <f aca="false">IF(CT19="","",MAX(0,CT17+CT18-CT19))</f>
        <v/>
      </c>
      <c r="CU20" s="45" t="n">
        <f aca="false">MAX(0,CU17+CU18-CU19)</f>
        <v>0</v>
      </c>
      <c r="CV20" s="46" t="n">
        <f aca="false">MAX(0,CV17+CV18-CV19)</f>
        <v>0</v>
      </c>
      <c r="CW20" s="44" t="str">
        <f aca="false">IF(CW19="","",MAX(0,CW17+CW18-CW19))</f>
        <v/>
      </c>
      <c r="CX20" s="45" t="n">
        <f aca="false">MAX(0,CX17+CX18-CX19)</f>
        <v>0</v>
      </c>
      <c r="CY20" s="46" t="n">
        <f aca="false">MAX(0,CY17+CY18-CY19)</f>
        <v>0</v>
      </c>
      <c r="CZ20" s="44" t="str">
        <f aca="false">IF(CZ19="","",MAX(0,CZ17+CZ18-CZ19))</f>
        <v/>
      </c>
      <c r="DA20" s="45" t="n">
        <f aca="false">MAX(0,DA17+DA18-DA19)</f>
        <v>0</v>
      </c>
      <c r="DB20" s="46" t="n">
        <f aca="false">MAX(0,DB17+DB18-DB19)</f>
        <v>0</v>
      </c>
      <c r="DC20" s="44" t="str">
        <f aca="false">IF(DC19="","",MAX(0,DC17+DC18-DC19))</f>
        <v/>
      </c>
      <c r="DD20" s="45" t="n">
        <f aca="false">MAX(0,DD17+DD18-DD19)</f>
        <v>0</v>
      </c>
      <c r="DE20" s="46" t="n">
        <f aca="false">MAX(0,DE17+DE18-DE19)</f>
        <v>0</v>
      </c>
      <c r="DF20" s="44" t="str">
        <f aca="false">IF(DF19="","",MAX(0,DF17+DF18-DF19))</f>
        <v/>
      </c>
      <c r="DG20" s="45" t="n">
        <f aca="false">MAX(0,DG17+DG18-DG19)</f>
        <v>0</v>
      </c>
      <c r="DH20" s="46" t="n">
        <f aca="false">MAX(0,DH17+DH18-DH19)</f>
        <v>0</v>
      </c>
      <c r="DI20" s="44" t="n">
        <f aca="false">IF(DI19="","",MAX(0,DI17+DI18-DI19))</f>
        <v>8</v>
      </c>
      <c r="DJ20" s="45" t="n">
        <f aca="false">MAX(0,DJ17+DJ18-DJ19)</f>
        <v>8</v>
      </c>
      <c r="DK20" s="46" t="n">
        <f aca="false">MAX(0,DK17+DK18-DK19)</f>
        <v>0</v>
      </c>
      <c r="DL20" s="44" t="n">
        <f aca="false">IF(DL19="","",MAX(0,DL17+DL18-DL19))</f>
        <v>0</v>
      </c>
      <c r="DM20" s="45" t="n">
        <f aca="false">MAX(0,DM17+DM18-DM19)</f>
        <v>0</v>
      </c>
      <c r="DN20" s="46" t="n">
        <f aca="false">MAX(0,DN17+DN18-DN19)</f>
        <v>0</v>
      </c>
    </row>
    <row r="21" customFormat="false" ht="18" hidden="false" customHeight="true" outlineLevel="0" collapsed="false">
      <c r="A21" s="39" t="s">
        <v>145</v>
      </c>
      <c r="B21" s="51" t="str">
        <f aca="false">IFERROR(SUM(AR21*AR25,AO21*AO25,AL21*AL25,AI21*AI25,AF21*AF25,AC21*AC25,Z21*Z25,W21*W25,T21*T25,Q21*Q25,N21*N25,K21*K25)/SUM(AR25,AO25,AL25,AI25,AF25,AC25,Z25,W25,T25,Q25,N25,K25),"")</f>
        <v/>
      </c>
      <c r="C21" s="51" t="n">
        <f aca="false">IFERROR(SUM(AS21*AS25,AP21*AP25,AM21*AM25,AJ21*AJ25,AG21*AG25,AD21*AD25,AA21*AA25,X21*X25,U21*U25,R21*R25,O21*O25,L21*L25)/SUM(AS25,AP25,AM25,AJ25,AG25,AD25,AA25,X25,U25,R25,O25,L25),"")</f>
        <v>30</v>
      </c>
      <c r="D21" s="51" t="n">
        <f aca="false">IFERROR(SUM(AT21*AT25,AQ21*AQ25,AN21*AN25,AK21*AK25,AH21*AH25,AE21*AE25,AB21*AB25,Y21*Y25,V21*V25,S21*S25,P21*P25,M21*M25)/SUM(AT25,AQ25,AN25,AK25,AH25,AE25,AB25,Y25,V25,S25,P25,M25),"")</f>
        <v>30</v>
      </c>
      <c r="E21" s="51" t="str">
        <f aca="false">IFERROR(SUM(CB21*CB25,BY21*BY25,BV21*BV25,BS21*BS25,BP21*BP25,BM21*BM25,BJ21*BJ25,BG21*BG25,BD21*BD25,BA21*BA25,AX21*AX25,AU21*AU25)/SUM(CB25,BY25,BV25,BS25,BP25,BM25,BJ25,BG25,BD25,BA25,AX25,AU25),"")</f>
        <v/>
      </c>
      <c r="F21" s="51" t="n">
        <f aca="false">IFERROR(SUM(CC21*CC25,BZ21*BZ25,BW21*BW25,BT21*BT25,BQ21*BQ25,BN21*BN25,BK21*BK25,BH21*BH25,BE21*BE25,BB21*BB25,AY21*AY25,AV21*AV25)/SUM(CC25,BZ25,BW25,BT25,BQ25,BN25,BK25,BH25,BE25,BB25,AY25,AV25),"")</f>
        <v>30</v>
      </c>
      <c r="G21" s="51" t="n">
        <f aca="false">IFERROR(SUM(CD21*CD25,CA21*CA25,BX21*BX25,BU21*BU25,BR21*BR25,BO21*BO25,BL21*BL25,BI21*BI25,BF21*BF25,BC21*BC25,AZ21*AZ25,AW21*AW25)/SUM(CD25,CA25,BX25,BU25,BR25,BO25,BL25,BI25,BF25,BC25,AZ25,AW25),"")</f>
        <v>30</v>
      </c>
      <c r="H21" s="51" t="str">
        <f aca="false">IFERROR(SUM(DL21*DL25,DI21*DI25,DF21*DF25,DC21*DC25,CZ21*CZ25,CW21*CW25,CT21*CT25,CQ21*CQ25,CN21*CN25,CK21*CK25,CH21*CH25,CE21*CE25)/SUM(DL25,DI25,DF25,DC25,CZ25,CW25,CT25,CQ25,CN25,CK25,CH25,CE25),"")</f>
        <v/>
      </c>
      <c r="I21" s="51" t="n">
        <f aca="false">IFERROR(SUM(DM21*DM25,DJ21*DJ25,DG21*DG25,DD21*DD25,DA21*DA25,CX21*CX25,CU21*CU25,CR21*CR25,CO21*CO25,CL21*CL25,CI21*CI25,CF21*CF25)/SUM(DM25,DJ25,DG25,DD25,DA25,CX25,CU25,CR25,CO25,CL25,CI25,CF25),"")</f>
        <v>30</v>
      </c>
      <c r="J21" s="51" t="n">
        <f aca="false">IFERROR(SUM(DN21*DN25,DK21*DK25,DH21*DH25,DE21*DE25,DB21*DB25,CY21*CY25,CV21*CV25,CS21*CS25,CP21*CP25,CM21*CM25,CJ21*CJ25,CG21*CG25)/SUM(DN25,DK25,DH25,DE25,DB25,CY25,CV25,CS25,CP25,CM25,CJ25,CG25),"")</f>
        <v>30</v>
      </c>
      <c r="K21" s="55" t="n">
        <f aca="false">Finance!K4</f>
        <v>0</v>
      </c>
      <c r="L21" s="53" t="n">
        <f aca="false">Finance!L4</f>
        <v>30</v>
      </c>
      <c r="M21" s="56" t="n">
        <f aca="false">Finance!M4</f>
        <v>30</v>
      </c>
      <c r="N21" s="55" t="n">
        <f aca="false">Finance!N4</f>
        <v>0</v>
      </c>
      <c r="O21" s="53" t="n">
        <f aca="false">Finance!O4</f>
        <v>30</v>
      </c>
      <c r="P21" s="56" t="n">
        <f aca="false">Finance!P4</f>
        <v>30</v>
      </c>
      <c r="Q21" s="55" t="n">
        <f aca="false">Finance!Q4</f>
        <v>0</v>
      </c>
      <c r="R21" s="53" t="n">
        <f aca="false">Finance!R4</f>
        <v>30</v>
      </c>
      <c r="S21" s="56" t="n">
        <f aca="false">Finance!S4</f>
        <v>30</v>
      </c>
      <c r="T21" s="55" t="n">
        <f aca="false">Finance!T4</f>
        <v>0</v>
      </c>
      <c r="U21" s="53" t="n">
        <f aca="false">Finance!U4</f>
        <v>30</v>
      </c>
      <c r="V21" s="56" t="n">
        <f aca="false">Finance!V4</f>
        <v>30</v>
      </c>
      <c r="W21" s="55" t="n">
        <f aca="false">Finance!W4</f>
        <v>0</v>
      </c>
      <c r="X21" s="53" t="n">
        <f aca="false">Finance!X4</f>
        <v>30</v>
      </c>
      <c r="Y21" s="56" t="n">
        <f aca="false">Finance!Y4</f>
        <v>30</v>
      </c>
      <c r="Z21" s="55" t="n">
        <f aca="false">Finance!Z4</f>
        <v>0</v>
      </c>
      <c r="AA21" s="53" t="n">
        <f aca="false">Finance!AA4</f>
        <v>30</v>
      </c>
      <c r="AB21" s="56" t="n">
        <f aca="false">Finance!AB4</f>
        <v>30</v>
      </c>
      <c r="AC21" s="55" t="n">
        <f aca="false">Finance!AC4</f>
        <v>0</v>
      </c>
      <c r="AD21" s="53" t="n">
        <f aca="false">Finance!AD4</f>
        <v>30</v>
      </c>
      <c r="AE21" s="56" t="n">
        <f aca="false">Finance!AE4</f>
        <v>30</v>
      </c>
      <c r="AF21" s="55" t="n">
        <f aca="false">Finance!AF4</f>
        <v>0</v>
      </c>
      <c r="AG21" s="53" t="n">
        <f aca="false">Finance!AG4</f>
        <v>30</v>
      </c>
      <c r="AH21" s="56" t="n">
        <f aca="false">Finance!AH4</f>
        <v>30</v>
      </c>
      <c r="AI21" s="55" t="n">
        <f aca="false">Finance!AI4</f>
        <v>0</v>
      </c>
      <c r="AJ21" s="53" t="n">
        <f aca="false">Finance!AJ4</f>
        <v>30</v>
      </c>
      <c r="AK21" s="56" t="n">
        <f aca="false">Finance!AK4</f>
        <v>30</v>
      </c>
      <c r="AL21" s="55" t="n">
        <f aca="false">Finance!AL4</f>
        <v>0</v>
      </c>
      <c r="AM21" s="53" t="n">
        <f aca="false">Finance!AM4</f>
        <v>30</v>
      </c>
      <c r="AN21" s="56" t="n">
        <f aca="false">Finance!AN4</f>
        <v>30</v>
      </c>
      <c r="AO21" s="55" t="n">
        <f aca="false">Finance!AO4</f>
        <v>0</v>
      </c>
      <c r="AP21" s="53" t="n">
        <f aca="false">Finance!AP4</f>
        <v>30</v>
      </c>
      <c r="AQ21" s="56" t="n">
        <f aca="false">Finance!AQ4</f>
        <v>30</v>
      </c>
      <c r="AR21" s="55" t="n">
        <f aca="false">Finance!AR4</f>
        <v>0</v>
      </c>
      <c r="AS21" s="53" t="n">
        <f aca="false">Finance!AS4</f>
        <v>30</v>
      </c>
      <c r="AT21" s="56" t="n">
        <f aca="false">Finance!AT4</f>
        <v>30</v>
      </c>
      <c r="AU21" s="55" t="n">
        <f aca="false">Finance!AU4</f>
        <v>0</v>
      </c>
      <c r="AV21" s="53" t="n">
        <f aca="false">Finance!AV4</f>
        <v>30</v>
      </c>
      <c r="AW21" s="56" t="n">
        <f aca="false">Finance!AW4</f>
        <v>30</v>
      </c>
      <c r="AX21" s="55" t="n">
        <f aca="false">Finance!AX4</f>
        <v>0</v>
      </c>
      <c r="AY21" s="53" t="n">
        <f aca="false">Finance!AY4</f>
        <v>30</v>
      </c>
      <c r="AZ21" s="56" t="n">
        <f aca="false">Finance!AZ4</f>
        <v>30</v>
      </c>
      <c r="BA21" s="55" t="n">
        <f aca="false">Finance!BA4</f>
        <v>0</v>
      </c>
      <c r="BB21" s="53" t="n">
        <f aca="false">Finance!BB4</f>
        <v>30</v>
      </c>
      <c r="BC21" s="56" t="n">
        <f aca="false">Finance!BC4</f>
        <v>30</v>
      </c>
      <c r="BD21" s="55" t="n">
        <f aca="false">Finance!BD4</f>
        <v>0</v>
      </c>
      <c r="BE21" s="53" t="n">
        <f aca="false">Finance!BE4</f>
        <v>30</v>
      </c>
      <c r="BF21" s="56" t="n">
        <f aca="false">Finance!BF4</f>
        <v>30</v>
      </c>
      <c r="BG21" s="55" t="n">
        <f aca="false">Finance!BG4</f>
        <v>0</v>
      </c>
      <c r="BH21" s="53" t="n">
        <f aca="false">Finance!BH4</f>
        <v>30</v>
      </c>
      <c r="BI21" s="56" t="n">
        <f aca="false">Finance!BI4</f>
        <v>30</v>
      </c>
      <c r="BJ21" s="55" t="n">
        <f aca="false">Finance!BJ4</f>
        <v>0</v>
      </c>
      <c r="BK21" s="53" t="n">
        <f aca="false">Finance!BK4</f>
        <v>30</v>
      </c>
      <c r="BL21" s="56" t="n">
        <f aca="false">Finance!BL4</f>
        <v>30</v>
      </c>
      <c r="BM21" s="55" t="n">
        <f aca="false">Finance!BM4</f>
        <v>0</v>
      </c>
      <c r="BN21" s="53" t="n">
        <f aca="false">Finance!BN4</f>
        <v>30</v>
      </c>
      <c r="BO21" s="56" t="n">
        <f aca="false">Finance!BO4</f>
        <v>30</v>
      </c>
      <c r="BP21" s="55" t="n">
        <f aca="false">Finance!BP4</f>
        <v>0</v>
      </c>
      <c r="BQ21" s="53" t="n">
        <f aca="false">Finance!BQ4</f>
        <v>30</v>
      </c>
      <c r="BR21" s="56" t="n">
        <f aca="false">Finance!BR4</f>
        <v>30</v>
      </c>
      <c r="BS21" s="55" t="n">
        <f aca="false">Finance!BS4</f>
        <v>0</v>
      </c>
      <c r="BT21" s="53" t="n">
        <f aca="false">Finance!BT4</f>
        <v>30</v>
      </c>
      <c r="BU21" s="56" t="n">
        <f aca="false">Finance!BU4</f>
        <v>30</v>
      </c>
      <c r="BV21" s="55" t="n">
        <f aca="false">Finance!BV4</f>
        <v>0</v>
      </c>
      <c r="BW21" s="53" t="n">
        <f aca="false">Finance!BW4</f>
        <v>30</v>
      </c>
      <c r="BX21" s="56" t="n">
        <f aca="false">Finance!BX4</f>
        <v>30</v>
      </c>
      <c r="BY21" s="55" t="n">
        <f aca="false">Finance!BY4</f>
        <v>0</v>
      </c>
      <c r="BZ21" s="53" t="n">
        <f aca="false">Finance!BZ4</f>
        <v>30</v>
      </c>
      <c r="CA21" s="56" t="n">
        <f aca="false">Finance!CA4</f>
        <v>30</v>
      </c>
      <c r="CB21" s="55" t="n">
        <f aca="false">Finance!CB4</f>
        <v>0</v>
      </c>
      <c r="CC21" s="53" t="n">
        <f aca="false">Finance!CC4</f>
        <v>30</v>
      </c>
      <c r="CD21" s="56" t="n">
        <f aca="false">Finance!CD4</f>
        <v>30</v>
      </c>
      <c r="CE21" s="55" t="n">
        <f aca="false">Finance!CE4</f>
        <v>0</v>
      </c>
      <c r="CF21" s="53" t="n">
        <f aca="false">Finance!CF4</f>
        <v>30</v>
      </c>
      <c r="CG21" s="56" t="n">
        <f aca="false">Finance!CG4</f>
        <v>30</v>
      </c>
      <c r="CH21" s="55" t="n">
        <f aca="false">Finance!CH4</f>
        <v>0</v>
      </c>
      <c r="CI21" s="53" t="n">
        <f aca="false">Finance!CI4</f>
        <v>30</v>
      </c>
      <c r="CJ21" s="56" t="n">
        <f aca="false">Finance!CJ4</f>
        <v>30</v>
      </c>
      <c r="CK21" s="55" t="n">
        <f aca="false">Finance!CK4</f>
        <v>0</v>
      </c>
      <c r="CL21" s="53" t="n">
        <f aca="false">Finance!CL4</f>
        <v>30</v>
      </c>
      <c r="CM21" s="56" t="n">
        <f aca="false">Finance!CM4</f>
        <v>30</v>
      </c>
      <c r="CN21" s="55" t="n">
        <f aca="false">Finance!CN4</f>
        <v>0</v>
      </c>
      <c r="CO21" s="53" t="n">
        <f aca="false">Finance!CO4</f>
        <v>30</v>
      </c>
      <c r="CP21" s="56" t="n">
        <f aca="false">Finance!CP4</f>
        <v>30</v>
      </c>
      <c r="CQ21" s="55" t="n">
        <f aca="false">Finance!CQ4</f>
        <v>0</v>
      </c>
      <c r="CR21" s="53" t="n">
        <f aca="false">Finance!CR4</f>
        <v>30</v>
      </c>
      <c r="CS21" s="56" t="n">
        <f aca="false">Finance!CS4</f>
        <v>30</v>
      </c>
      <c r="CT21" s="55" t="n">
        <f aca="false">Finance!CT4</f>
        <v>0</v>
      </c>
      <c r="CU21" s="53" t="n">
        <f aca="false">Finance!CU4</f>
        <v>30</v>
      </c>
      <c r="CV21" s="56" t="n">
        <f aca="false">Finance!CV4</f>
        <v>30</v>
      </c>
      <c r="CW21" s="55" t="n">
        <f aca="false">Finance!CW4</f>
        <v>0</v>
      </c>
      <c r="CX21" s="53" t="n">
        <f aca="false">Finance!CX4</f>
        <v>30</v>
      </c>
      <c r="CY21" s="56" t="n">
        <f aca="false">Finance!CY4</f>
        <v>30</v>
      </c>
      <c r="CZ21" s="55" t="n">
        <f aca="false">Finance!CZ4</f>
        <v>0</v>
      </c>
      <c r="DA21" s="53" t="n">
        <f aca="false">Finance!DA4</f>
        <v>30</v>
      </c>
      <c r="DB21" s="56" t="n">
        <f aca="false">Finance!DB4</f>
        <v>30</v>
      </c>
      <c r="DC21" s="55" t="n">
        <f aca="false">Finance!DC4</f>
        <v>0</v>
      </c>
      <c r="DD21" s="53" t="n">
        <f aca="false">Finance!DD4</f>
        <v>30</v>
      </c>
      <c r="DE21" s="56" t="n">
        <f aca="false">Finance!DE4</f>
        <v>30</v>
      </c>
      <c r="DF21" s="55" t="n">
        <f aca="false">Finance!DF4</f>
        <v>0</v>
      </c>
      <c r="DG21" s="53" t="n">
        <f aca="false">Finance!DG4</f>
        <v>30</v>
      </c>
      <c r="DH21" s="56" t="n">
        <f aca="false">Finance!DH4</f>
        <v>30</v>
      </c>
      <c r="DI21" s="55" t="n">
        <f aca="false">Finance!DI4</f>
        <v>30</v>
      </c>
      <c r="DJ21" s="53" t="n">
        <f aca="false">Finance!DJ4</f>
        <v>30</v>
      </c>
      <c r="DK21" s="56" t="n">
        <f aca="false">Finance!DK4</f>
        <v>30</v>
      </c>
      <c r="DL21" s="55" t="n">
        <f aca="false">Finance!DL4</f>
        <v>30</v>
      </c>
      <c r="DM21" s="53" t="n">
        <f aca="false">Finance!DM4</f>
        <v>30</v>
      </c>
      <c r="DN21" s="56" t="n">
        <f aca="false">Finance!DN4</f>
        <v>30</v>
      </c>
    </row>
    <row r="22" customFormat="false" ht="18" hidden="false" customHeight="true" outlineLevel="0" collapsed="false">
      <c r="A22" s="39" t="s">
        <v>146</v>
      </c>
      <c r="B22" s="51" t="str">
        <f aca="false">IF(COUNT(B7,B10,B13,B21)=0,"",SUM(B7,B10,B13,B21))</f>
        <v/>
      </c>
      <c r="C22" s="51" t="n">
        <f aca="false">SUM(C7,C10,C13,C21)</f>
        <v>104</v>
      </c>
      <c r="D22" s="51" t="n">
        <f aca="false">SUM(D7,D10,D13,D21)</f>
        <v>104</v>
      </c>
      <c r="E22" s="51" t="str">
        <f aca="false">IF(COUNT(E7,E10,E13,E21)=0,"",SUM(E7,E10,E13,E21))</f>
        <v/>
      </c>
      <c r="F22" s="51" t="n">
        <f aca="false">SUM(F7,F10,F13,F21)</f>
        <v>104</v>
      </c>
      <c r="G22" s="51" t="n">
        <f aca="false">SUM(G7,G10,G13,G21)</f>
        <v>104</v>
      </c>
      <c r="H22" s="51" t="n">
        <f aca="false">IF(COUNT(H7,H10,H13,H21)=0,"",SUM(H7,H10,H13,H21))</f>
        <v>104</v>
      </c>
      <c r="I22" s="51" t="n">
        <f aca="false">SUM(I7,I10,I13,I21)</f>
        <v>104</v>
      </c>
      <c r="J22" s="51" t="n">
        <f aca="false">SUM(J7,J10,J13,J21)</f>
        <v>104</v>
      </c>
      <c r="K22" s="55" t="n">
        <f aca="false">IF(COUNT(K7,K10,K13,K21)=0,"",SUM(K7,K10,K13,K21))</f>
        <v>0</v>
      </c>
      <c r="L22" s="53" t="n">
        <f aca="false">SUM(L7,L10,L13,L21)</f>
        <v>104</v>
      </c>
      <c r="M22" s="56" t="n">
        <f aca="false">SUM(M7,M10,M13,M21)</f>
        <v>104</v>
      </c>
      <c r="N22" s="55" t="n">
        <f aca="false">IF(COUNT(N7,N10,N13,N21)=0,"",SUM(N7,N10,N13,N21))</f>
        <v>0</v>
      </c>
      <c r="O22" s="53" t="n">
        <f aca="false">SUM(O7,O10,O13,O21)</f>
        <v>104</v>
      </c>
      <c r="P22" s="56" t="n">
        <f aca="false">SUM(P7,P10,P13,P21)</f>
        <v>104</v>
      </c>
      <c r="Q22" s="55" t="n">
        <f aca="false">IF(COUNT(Q7,Q10,Q13,Q21)=0,"",SUM(Q7,Q10,Q13,Q21))</f>
        <v>0</v>
      </c>
      <c r="R22" s="53" t="n">
        <f aca="false">SUM(R7,R10,R13,R21)</f>
        <v>104</v>
      </c>
      <c r="S22" s="56" t="n">
        <f aca="false">SUM(S7,S10,S13,S21)</f>
        <v>104</v>
      </c>
      <c r="T22" s="55" t="n">
        <f aca="false">IF(COUNT(T7,T10,T13,T21)=0,"",SUM(T7,T10,T13,T21))</f>
        <v>0</v>
      </c>
      <c r="U22" s="53" t="n">
        <f aca="false">SUM(U7,U10,U13,U21)</f>
        <v>104</v>
      </c>
      <c r="V22" s="56" t="n">
        <f aca="false">SUM(V7,V10,V13,V21)</f>
        <v>104</v>
      </c>
      <c r="W22" s="55" t="n">
        <f aca="false">IF(COUNT(W7,W10,W13,W21)=0,"",SUM(W7,W10,W13,W21))</f>
        <v>0</v>
      </c>
      <c r="X22" s="53" t="n">
        <f aca="false">SUM(X7,X10,X13,X21)</f>
        <v>104</v>
      </c>
      <c r="Y22" s="56" t="n">
        <f aca="false">SUM(Y7,Y10,Y13,Y21)</f>
        <v>104</v>
      </c>
      <c r="Z22" s="55" t="n">
        <f aca="false">IF(COUNT(Z7,Z10,Z13,Z21)=0,"",SUM(Z7,Z10,Z13,Z21))</f>
        <v>0</v>
      </c>
      <c r="AA22" s="53" t="n">
        <f aca="false">SUM(AA7,AA10,AA13,AA21)</f>
        <v>104</v>
      </c>
      <c r="AB22" s="56" t="n">
        <f aca="false">SUM(AB7,AB10,AB13,AB21)</f>
        <v>104</v>
      </c>
      <c r="AC22" s="55" t="n">
        <f aca="false">IF(COUNT(AC7,AC10,AC13,AC21)=0,"",SUM(AC7,AC10,AC13,AC21))</f>
        <v>0</v>
      </c>
      <c r="AD22" s="53" t="n">
        <f aca="false">SUM(AD7,AD10,AD13,AD21)</f>
        <v>104</v>
      </c>
      <c r="AE22" s="56" t="n">
        <f aca="false">SUM(AE7,AE10,AE13,AE21)</f>
        <v>104</v>
      </c>
      <c r="AF22" s="55" t="n">
        <f aca="false">IF(COUNT(AF7,AF10,AF13,AF21)=0,"",SUM(AF7,AF10,AF13,AF21))</f>
        <v>0</v>
      </c>
      <c r="AG22" s="53" t="n">
        <f aca="false">SUM(AG7,AG10,AG13,AG21)</f>
        <v>104</v>
      </c>
      <c r="AH22" s="56" t="n">
        <f aca="false">SUM(AH7,AH10,AH13,AH21)</f>
        <v>104</v>
      </c>
      <c r="AI22" s="55" t="n">
        <f aca="false">IF(COUNT(AI7,AI10,AI13,AI21)=0,"",SUM(AI7,AI10,AI13,AI21))</f>
        <v>0</v>
      </c>
      <c r="AJ22" s="53" t="n">
        <f aca="false">SUM(AJ7,AJ10,AJ13,AJ21)</f>
        <v>104</v>
      </c>
      <c r="AK22" s="56" t="n">
        <f aca="false">SUM(AK7,AK10,AK13,AK21)</f>
        <v>104</v>
      </c>
      <c r="AL22" s="55" t="n">
        <f aca="false">IF(COUNT(AL7,AL10,AL13,AL21)=0,"",SUM(AL7,AL10,AL13,AL21))</f>
        <v>0</v>
      </c>
      <c r="AM22" s="53" t="n">
        <f aca="false">SUM(AM7,AM10,AM13,AM21)</f>
        <v>104</v>
      </c>
      <c r="AN22" s="56" t="n">
        <f aca="false">SUM(AN7,AN10,AN13,AN21)</f>
        <v>104</v>
      </c>
      <c r="AO22" s="55" t="n">
        <f aca="false">IF(COUNT(AO7,AO10,AO13,AO21)=0,"",SUM(AO7,AO10,AO13,AO21))</f>
        <v>0</v>
      </c>
      <c r="AP22" s="53" t="n">
        <f aca="false">SUM(AP7,AP10,AP13,AP21)</f>
        <v>104</v>
      </c>
      <c r="AQ22" s="56" t="n">
        <f aca="false">SUM(AQ7,AQ10,AQ13,AQ21)</f>
        <v>104</v>
      </c>
      <c r="AR22" s="55" t="n">
        <f aca="false">IF(COUNT(AR7,AR10,AR13,AR21)=0,"",SUM(AR7,AR10,AR13,AR21))</f>
        <v>0</v>
      </c>
      <c r="AS22" s="53" t="n">
        <f aca="false">SUM(AS7,AS10,AS13,AS21)</f>
        <v>104</v>
      </c>
      <c r="AT22" s="56" t="n">
        <f aca="false">SUM(AT7,AT10,AT13,AT21)</f>
        <v>104</v>
      </c>
      <c r="AU22" s="55" t="n">
        <f aca="false">IF(COUNT(AU7,AU10,AU13,AU21)=0,"",SUM(AU7,AU10,AU13,AU21))</f>
        <v>0</v>
      </c>
      <c r="AV22" s="53" t="n">
        <f aca="false">SUM(AV7,AV10,AV13,AV21)</f>
        <v>104</v>
      </c>
      <c r="AW22" s="56" t="n">
        <f aca="false">SUM(AW7,AW10,AW13,AW21)</f>
        <v>104</v>
      </c>
      <c r="AX22" s="55" t="n">
        <f aca="false">IF(COUNT(AX7,AX10,AX13,AX21)=0,"",SUM(AX7,AX10,AX13,AX21))</f>
        <v>0</v>
      </c>
      <c r="AY22" s="53" t="n">
        <f aca="false">SUM(AY7,AY10,AY13,AY21)</f>
        <v>104</v>
      </c>
      <c r="AZ22" s="56" t="n">
        <f aca="false">SUM(AZ7,AZ10,AZ13,AZ21)</f>
        <v>104</v>
      </c>
      <c r="BA22" s="55" t="n">
        <f aca="false">IF(COUNT(BA7,BA10,BA13,BA21)=0,"",SUM(BA7,BA10,BA13,BA21))</f>
        <v>0</v>
      </c>
      <c r="BB22" s="53" t="n">
        <f aca="false">SUM(BB7,BB10,BB13,BB21)</f>
        <v>104</v>
      </c>
      <c r="BC22" s="56" t="n">
        <f aca="false">SUM(BC7,BC10,BC13,BC21)</f>
        <v>104</v>
      </c>
      <c r="BD22" s="55" t="n">
        <f aca="false">IF(COUNT(BD7,BD10,BD13,BD21)=0,"",SUM(BD7,BD10,BD13,BD21))</f>
        <v>0</v>
      </c>
      <c r="BE22" s="53" t="n">
        <f aca="false">SUM(BE7,BE10,BE13,BE21)</f>
        <v>104</v>
      </c>
      <c r="BF22" s="56" t="n">
        <f aca="false">SUM(BF7,BF10,BF13,BF21)</f>
        <v>104</v>
      </c>
      <c r="BG22" s="55" t="n">
        <f aca="false">IF(COUNT(BG7,BG10,BG13,BG21)=0,"",SUM(BG7,BG10,BG13,BG21))</f>
        <v>0</v>
      </c>
      <c r="BH22" s="53" t="n">
        <f aca="false">SUM(BH7,BH10,BH13,BH21)</f>
        <v>104</v>
      </c>
      <c r="BI22" s="56" t="n">
        <f aca="false">SUM(BI7,BI10,BI13,BI21)</f>
        <v>104</v>
      </c>
      <c r="BJ22" s="55" t="n">
        <f aca="false">IF(COUNT(BJ7,BJ10,BJ13,BJ21)=0,"",SUM(BJ7,BJ10,BJ13,BJ21))</f>
        <v>0</v>
      </c>
      <c r="BK22" s="53" t="n">
        <f aca="false">SUM(BK7,BK10,BK13,BK21)</f>
        <v>104</v>
      </c>
      <c r="BL22" s="56" t="n">
        <f aca="false">SUM(BL7,BL10,BL13,BL21)</f>
        <v>104</v>
      </c>
      <c r="BM22" s="55" t="n">
        <f aca="false">IF(COUNT(BM7,BM10,BM13,BM21)=0,"",SUM(BM7,BM10,BM13,BM21))</f>
        <v>0</v>
      </c>
      <c r="BN22" s="53" t="n">
        <f aca="false">SUM(BN7,BN10,BN13,BN21)</f>
        <v>104</v>
      </c>
      <c r="BO22" s="56" t="n">
        <f aca="false">SUM(BO7,BO10,BO13,BO21)</f>
        <v>104</v>
      </c>
      <c r="BP22" s="55" t="n">
        <f aca="false">IF(COUNT(BP7,BP10,BP13,BP21)=0,"",SUM(BP7,BP10,BP13,BP21))</f>
        <v>0</v>
      </c>
      <c r="BQ22" s="53" t="n">
        <f aca="false">SUM(BQ7,BQ10,BQ13,BQ21)</f>
        <v>104</v>
      </c>
      <c r="BR22" s="56" t="n">
        <f aca="false">SUM(BR7,BR10,BR13,BR21)</f>
        <v>104</v>
      </c>
      <c r="BS22" s="55" t="n">
        <f aca="false">IF(COUNT(BS7,BS10,BS13,BS21)=0,"",SUM(BS7,BS10,BS13,BS21))</f>
        <v>0</v>
      </c>
      <c r="BT22" s="53" t="n">
        <f aca="false">SUM(BT7,BT10,BT13,BT21)</f>
        <v>104</v>
      </c>
      <c r="BU22" s="56" t="n">
        <f aca="false">SUM(BU7,BU10,BU13,BU21)</f>
        <v>104</v>
      </c>
      <c r="BV22" s="55" t="n">
        <f aca="false">IF(COUNT(BV7,BV10,BV13,BV21)=0,"",SUM(BV7,BV10,BV13,BV21))</f>
        <v>0</v>
      </c>
      <c r="BW22" s="53" t="n">
        <f aca="false">SUM(BW7,BW10,BW13,BW21)</f>
        <v>104</v>
      </c>
      <c r="BX22" s="56" t="n">
        <f aca="false">SUM(BX7,BX10,BX13,BX21)</f>
        <v>104</v>
      </c>
      <c r="BY22" s="55" t="n">
        <f aca="false">IF(COUNT(BY7,BY10,BY13,BY21)=0,"",SUM(BY7,BY10,BY13,BY21))</f>
        <v>0</v>
      </c>
      <c r="BZ22" s="53" t="n">
        <f aca="false">SUM(BZ7,BZ10,BZ13,BZ21)</f>
        <v>104</v>
      </c>
      <c r="CA22" s="56" t="n">
        <f aca="false">SUM(CA7,CA10,CA13,CA21)</f>
        <v>104</v>
      </c>
      <c r="CB22" s="55" t="n">
        <f aca="false">IF(COUNT(CB7,CB10,CB13,CB21)=0,"",SUM(CB7,CB10,CB13,CB21))</f>
        <v>0</v>
      </c>
      <c r="CC22" s="53" t="n">
        <f aca="false">SUM(CC7,CC10,CC13,CC21)</f>
        <v>104</v>
      </c>
      <c r="CD22" s="56" t="n">
        <f aca="false">SUM(CD7,CD10,CD13,CD21)</f>
        <v>104</v>
      </c>
      <c r="CE22" s="55" t="n">
        <f aca="false">IF(COUNT(CE7,CE10,CE13,CE21)=0,"",SUM(CE7,CE10,CE13,CE21))</f>
        <v>0</v>
      </c>
      <c r="CF22" s="53" t="n">
        <f aca="false">SUM(CF7,CF10,CF13,CF21)</f>
        <v>104</v>
      </c>
      <c r="CG22" s="56" t="n">
        <f aca="false">SUM(CG7,CG10,CG13,CG21)</f>
        <v>104</v>
      </c>
      <c r="CH22" s="55" t="n">
        <f aca="false">IF(COUNT(CH7,CH10,CH13,CH21)=0,"",SUM(CH7,CH10,CH13,CH21))</f>
        <v>0</v>
      </c>
      <c r="CI22" s="53" t="n">
        <f aca="false">SUM(CI7,CI10,CI13,CI21)</f>
        <v>104</v>
      </c>
      <c r="CJ22" s="56" t="n">
        <f aca="false">SUM(CJ7,CJ10,CJ13,CJ21)</f>
        <v>104</v>
      </c>
      <c r="CK22" s="55" t="n">
        <f aca="false">IF(COUNT(CK7,CK10,CK13,CK21)=0,"",SUM(CK7,CK10,CK13,CK21))</f>
        <v>0</v>
      </c>
      <c r="CL22" s="53" t="n">
        <f aca="false">SUM(CL7,CL10,CL13,CL21)</f>
        <v>104</v>
      </c>
      <c r="CM22" s="56" t="n">
        <f aca="false">SUM(CM7,CM10,CM13,CM21)</f>
        <v>104</v>
      </c>
      <c r="CN22" s="55" t="n">
        <f aca="false">IF(COUNT(CN7,CN10,CN13,CN21)=0,"",SUM(CN7,CN10,CN13,CN21))</f>
        <v>0</v>
      </c>
      <c r="CO22" s="53" t="n">
        <f aca="false">SUM(CO7,CO10,CO13,CO21)</f>
        <v>104</v>
      </c>
      <c r="CP22" s="56" t="n">
        <f aca="false">SUM(CP7,CP10,CP13,CP21)</f>
        <v>104</v>
      </c>
      <c r="CQ22" s="55" t="n">
        <f aca="false">IF(COUNT(CQ7,CQ10,CQ13,CQ21)=0,"",SUM(CQ7,CQ10,CQ13,CQ21))</f>
        <v>0</v>
      </c>
      <c r="CR22" s="53" t="n">
        <f aca="false">SUM(CR7,CR10,CR13,CR21)</f>
        <v>104</v>
      </c>
      <c r="CS22" s="56" t="n">
        <f aca="false">SUM(CS7,CS10,CS13,CS21)</f>
        <v>104</v>
      </c>
      <c r="CT22" s="55" t="n">
        <f aca="false">IF(COUNT(CT7,CT10,CT13,CT21)=0,"",SUM(CT7,CT10,CT13,CT21))</f>
        <v>0</v>
      </c>
      <c r="CU22" s="53" t="n">
        <f aca="false">SUM(CU7,CU10,CU13,CU21)</f>
        <v>104</v>
      </c>
      <c r="CV22" s="56" t="n">
        <f aca="false">SUM(CV7,CV10,CV13,CV21)</f>
        <v>104</v>
      </c>
      <c r="CW22" s="55" t="n">
        <f aca="false">IF(COUNT(CW7,CW10,CW13,CW21)=0,"",SUM(CW7,CW10,CW13,CW21))</f>
        <v>0</v>
      </c>
      <c r="CX22" s="53" t="n">
        <f aca="false">SUM(CX7,CX10,CX13,CX21)</f>
        <v>104</v>
      </c>
      <c r="CY22" s="56" t="n">
        <f aca="false">SUM(CY7,CY10,CY13,CY21)</f>
        <v>104</v>
      </c>
      <c r="CZ22" s="55" t="n">
        <f aca="false">IF(COUNT(CZ7,CZ10,CZ13,CZ21)=0,"",SUM(CZ7,CZ10,CZ13,CZ21))</f>
        <v>0</v>
      </c>
      <c r="DA22" s="53" t="n">
        <f aca="false">SUM(DA7,DA10,DA13,DA21)</f>
        <v>104</v>
      </c>
      <c r="DB22" s="56" t="n">
        <f aca="false">SUM(DB7,DB10,DB13,DB21)</f>
        <v>104</v>
      </c>
      <c r="DC22" s="55" t="n">
        <f aca="false">IF(COUNT(DC7,DC10,DC13,DC21)=0,"",SUM(DC7,DC10,DC13,DC21))</f>
        <v>0</v>
      </c>
      <c r="DD22" s="53" t="n">
        <f aca="false">SUM(DD7,DD10,DD13,DD21)</f>
        <v>104</v>
      </c>
      <c r="DE22" s="56" t="n">
        <f aca="false">SUM(DE7,DE10,DE13,DE21)</f>
        <v>104</v>
      </c>
      <c r="DF22" s="55" t="n">
        <f aca="false">IF(COUNT(DF7,DF10,DF13,DF21)=0,"",SUM(DF7,DF10,DF13,DF21))</f>
        <v>0</v>
      </c>
      <c r="DG22" s="53" t="n">
        <f aca="false">SUM(DG7,DG10,DG13,DG21)</f>
        <v>104</v>
      </c>
      <c r="DH22" s="56" t="n">
        <f aca="false">SUM(DH7,DH10,DH13,DH21)</f>
        <v>104</v>
      </c>
      <c r="DI22" s="55" t="n">
        <f aca="false">IF(COUNT(DI7,DI10,DI13,DI21)=0,"",SUM(DI7,DI10,DI13,DI21))</f>
        <v>104</v>
      </c>
      <c r="DJ22" s="53" t="n">
        <f aca="false">SUM(DJ7,DJ10,DJ13,DJ21)</f>
        <v>104</v>
      </c>
      <c r="DK22" s="56" t="n">
        <f aca="false">SUM(DK7,DK10,DK13,DK21)</f>
        <v>104</v>
      </c>
      <c r="DL22" s="55" t="n">
        <f aca="false">IF(COUNT(DL7,DL10,DL13,DL21)=0,"",SUM(DL7,DL10,DL13,DL21))</f>
        <v>104</v>
      </c>
      <c r="DM22" s="53" t="n">
        <f aca="false">SUM(DM7,DM10,DM13,DM21)</f>
        <v>104</v>
      </c>
      <c r="DN22" s="56" t="n">
        <f aca="false">SUM(DN7,DN10,DN13,DN21)</f>
        <v>104</v>
      </c>
    </row>
    <row r="23" customFormat="false" ht="18" hidden="false" customHeight="true" outlineLevel="0" collapsed="false">
      <c r="A23" s="39" t="s">
        <v>147</v>
      </c>
      <c r="B23" s="57" t="str">
        <f aca="false">AR23</f>
        <v/>
      </c>
      <c r="C23" s="57" t="n">
        <f aca="false">AS23</f>
        <v>0</v>
      </c>
      <c r="D23" s="57" t="n">
        <f aca="false">AT23</f>
        <v>0</v>
      </c>
      <c r="E23" s="57" t="str">
        <f aca="false">CB23</f>
        <v/>
      </c>
      <c r="F23" s="57" t="n">
        <f aca="false">CC23</f>
        <v>0</v>
      </c>
      <c r="G23" s="57" t="n">
        <f aca="false">CD23</f>
        <v>0</v>
      </c>
      <c r="H23" s="57" t="n">
        <f aca="false">DL23</f>
        <v>0</v>
      </c>
      <c r="I23" s="57" t="n">
        <f aca="false">DM23</f>
        <v>0</v>
      </c>
      <c r="J23" s="57" t="n">
        <f aca="false">DN23</f>
        <v>0</v>
      </c>
      <c r="K23" s="58" t="str">
        <f aca="false">IF(K19="","",MAX(0,N23+N24-N25))</f>
        <v/>
      </c>
      <c r="L23" s="59" t="n">
        <f aca="false">MAX(0,O23+O24-O25)</f>
        <v>0</v>
      </c>
      <c r="M23" s="60" t="n">
        <f aca="false">MAX(0,P23+P24-P25)</f>
        <v>0</v>
      </c>
      <c r="N23" s="58" t="str">
        <f aca="false">IF(N19="","",MAX(0,Q23+Q24-Q25))</f>
        <v/>
      </c>
      <c r="O23" s="59" t="n">
        <f aca="false">MAX(0,R23+R24-R25)</f>
        <v>0</v>
      </c>
      <c r="P23" s="60" t="n">
        <f aca="false">MAX(0,S23+S24-S25)</f>
        <v>0</v>
      </c>
      <c r="Q23" s="58" t="str">
        <f aca="false">IF(Q19="","",MAX(0,T23+T24-T25))</f>
        <v/>
      </c>
      <c r="R23" s="59" t="n">
        <f aca="false">MAX(0,U23+U24-U25)</f>
        <v>0</v>
      </c>
      <c r="S23" s="60" t="n">
        <f aca="false">MAX(0,V23+V24-V25)</f>
        <v>0</v>
      </c>
      <c r="T23" s="58" t="str">
        <f aca="false">IF(T19="","",MAX(0,W23+W24-W25))</f>
        <v/>
      </c>
      <c r="U23" s="59" t="n">
        <f aca="false">MAX(0,X23+X24-X25)</f>
        <v>0</v>
      </c>
      <c r="V23" s="60" t="n">
        <f aca="false">MAX(0,Y23+Y24-Y25)</f>
        <v>0</v>
      </c>
      <c r="W23" s="58" t="str">
        <f aca="false">IF(W19="","",MAX(0,Z23+Z24-Z25))</f>
        <v/>
      </c>
      <c r="X23" s="59" t="n">
        <f aca="false">MAX(0,AA23+AA24-AA25)</f>
        <v>0</v>
      </c>
      <c r="Y23" s="60" t="n">
        <f aca="false">MAX(0,AB23+AB24-AB25)</f>
        <v>0</v>
      </c>
      <c r="Z23" s="58" t="str">
        <f aca="false">IF(Z19="","",MAX(0,AC23+AC24-AC25))</f>
        <v/>
      </c>
      <c r="AA23" s="59" t="n">
        <f aca="false">MAX(0,AD23+AD24-AD25)</f>
        <v>0</v>
      </c>
      <c r="AB23" s="60" t="n">
        <f aca="false">MAX(0,AE23+AE24-AE25)</f>
        <v>0</v>
      </c>
      <c r="AC23" s="58" t="str">
        <f aca="false">IF(AC19="","",MAX(0,AF23+AF24-AF25))</f>
        <v/>
      </c>
      <c r="AD23" s="59" t="n">
        <f aca="false">MAX(0,AG23+AG24-AG25)</f>
        <v>0</v>
      </c>
      <c r="AE23" s="60" t="n">
        <f aca="false">MAX(0,AH23+AH24-AH25)</f>
        <v>0</v>
      </c>
      <c r="AF23" s="58" t="str">
        <f aca="false">IF(AF19="","",MAX(0,AI23+AI24-AI25))</f>
        <v/>
      </c>
      <c r="AG23" s="59" t="n">
        <f aca="false">MAX(0,AJ23+AJ24-AJ25)</f>
        <v>0</v>
      </c>
      <c r="AH23" s="60" t="n">
        <f aca="false">MAX(0,AK23+AK24-AK25)</f>
        <v>0</v>
      </c>
      <c r="AI23" s="58" t="str">
        <f aca="false">IF(AI19="","",MAX(0,AL23+AL24-AL25))</f>
        <v/>
      </c>
      <c r="AJ23" s="59" t="n">
        <f aca="false">MAX(0,AM23+AM24-AM25)</f>
        <v>0</v>
      </c>
      <c r="AK23" s="60" t="n">
        <f aca="false">MAX(0,AN23+AN24-AN25)</f>
        <v>0</v>
      </c>
      <c r="AL23" s="58" t="str">
        <f aca="false">IF(AL19="","",MAX(0,AO23+AO24-AO25))</f>
        <v/>
      </c>
      <c r="AM23" s="59" t="n">
        <f aca="false">MAX(0,AP23+AP24-AP25)</f>
        <v>0</v>
      </c>
      <c r="AN23" s="60" t="n">
        <f aca="false">MAX(0,AQ23+AQ24-AQ25)</f>
        <v>0</v>
      </c>
      <c r="AO23" s="58" t="str">
        <f aca="false">IF(AO19="","",MAX(0,AR23+AR24-AR25))</f>
        <v/>
      </c>
      <c r="AP23" s="59" t="n">
        <f aca="false">MAX(0,AS23+AS24-AS25)</f>
        <v>0</v>
      </c>
      <c r="AQ23" s="60" t="n">
        <f aca="false">MAX(0,AT23+AT24-AT25)</f>
        <v>0</v>
      </c>
      <c r="AR23" s="58" t="str">
        <f aca="false">IF(AR19="","",MAX(0,AU23+AU24-AU25))</f>
        <v/>
      </c>
      <c r="AS23" s="59" t="n">
        <f aca="false">MAX(0,AV23+AV24-AV25)</f>
        <v>0</v>
      </c>
      <c r="AT23" s="60" t="n">
        <f aca="false">MAX(0,AW23+AW24-AW25)</f>
        <v>0</v>
      </c>
      <c r="AU23" s="58" t="str">
        <f aca="false">IF(AU19="","",MAX(0,AX23+AX24-AX25))</f>
        <v/>
      </c>
      <c r="AV23" s="59" t="n">
        <f aca="false">MAX(0,AY23+AY24-AY25)</f>
        <v>0</v>
      </c>
      <c r="AW23" s="60" t="n">
        <f aca="false">MAX(0,AZ23+AZ24-AZ25)</f>
        <v>0</v>
      </c>
      <c r="AX23" s="58" t="str">
        <f aca="false">IF(AX19="","",MAX(0,BA23+BA24-BA25))</f>
        <v/>
      </c>
      <c r="AY23" s="59" t="n">
        <f aca="false">MAX(0,BB23+BB24-BB25)</f>
        <v>0</v>
      </c>
      <c r="AZ23" s="60" t="n">
        <f aca="false">MAX(0,BC23+BC24-BC25)</f>
        <v>0</v>
      </c>
      <c r="BA23" s="58" t="str">
        <f aca="false">IF(BA19="","",MAX(0,BD23+BD24-BD25))</f>
        <v/>
      </c>
      <c r="BB23" s="59" t="n">
        <f aca="false">MAX(0,BE23+BE24-BE25)</f>
        <v>0</v>
      </c>
      <c r="BC23" s="60" t="n">
        <f aca="false">MAX(0,BF23+BF24-BF25)</f>
        <v>0</v>
      </c>
      <c r="BD23" s="58" t="str">
        <f aca="false">IF(BD19="","",MAX(0,BG23+BG24-BG25))</f>
        <v/>
      </c>
      <c r="BE23" s="59" t="n">
        <f aca="false">MAX(0,BH23+BH24-BH25)</f>
        <v>0</v>
      </c>
      <c r="BF23" s="60" t="n">
        <f aca="false">MAX(0,BI23+BI24-BI25)</f>
        <v>0</v>
      </c>
      <c r="BG23" s="58" t="str">
        <f aca="false">IF(BG19="","",MAX(0,BJ23+BJ24-BJ25))</f>
        <v/>
      </c>
      <c r="BH23" s="59" t="n">
        <f aca="false">MAX(0,BK23+BK24-BK25)</f>
        <v>0</v>
      </c>
      <c r="BI23" s="60" t="n">
        <f aca="false">MAX(0,BL23+BL24-BL25)</f>
        <v>0</v>
      </c>
      <c r="BJ23" s="58" t="str">
        <f aca="false">IF(BJ19="","",MAX(0,BM23+BM24-BM25))</f>
        <v/>
      </c>
      <c r="BK23" s="59" t="n">
        <f aca="false">MAX(0,BN23+BN24-BN25)</f>
        <v>0</v>
      </c>
      <c r="BL23" s="60" t="n">
        <f aca="false">MAX(0,BO23+BO24-BO25)</f>
        <v>0</v>
      </c>
      <c r="BM23" s="58" t="str">
        <f aca="false">IF(BM19="","",MAX(0,BP23+BP24-BP25))</f>
        <v/>
      </c>
      <c r="BN23" s="59" t="n">
        <f aca="false">MAX(0,BQ23+BQ24-BQ25)</f>
        <v>0</v>
      </c>
      <c r="BO23" s="60" t="n">
        <f aca="false">MAX(0,BR23+BR24-BR25)</f>
        <v>0</v>
      </c>
      <c r="BP23" s="58" t="str">
        <f aca="false">IF(BP19="","",MAX(0,BS23+BS24-BS25))</f>
        <v/>
      </c>
      <c r="BQ23" s="59" t="n">
        <f aca="false">MAX(0,BT23+BT24-BT25)</f>
        <v>0</v>
      </c>
      <c r="BR23" s="60" t="n">
        <f aca="false">MAX(0,BU23+BU24-BU25)</f>
        <v>0</v>
      </c>
      <c r="BS23" s="58" t="str">
        <f aca="false">IF(BS19="","",MAX(0,BV23+BV24-BV25))</f>
        <v/>
      </c>
      <c r="BT23" s="59" t="n">
        <f aca="false">MAX(0,BW23+BW24-BW25)</f>
        <v>0</v>
      </c>
      <c r="BU23" s="60" t="n">
        <f aca="false">MAX(0,BX23+BX24-BX25)</f>
        <v>0</v>
      </c>
      <c r="BV23" s="58" t="str">
        <f aca="false">IF(BV19="","",MAX(0,BY23+BY24-BY25))</f>
        <v/>
      </c>
      <c r="BW23" s="59" t="n">
        <f aca="false">MAX(0,BZ23+BZ24-BZ25)</f>
        <v>0</v>
      </c>
      <c r="BX23" s="60" t="n">
        <f aca="false">MAX(0,CA23+CA24-CA25)</f>
        <v>0</v>
      </c>
      <c r="BY23" s="58" t="str">
        <f aca="false">IF(BY19="","",MAX(0,CB23+CB24-CB25))</f>
        <v/>
      </c>
      <c r="BZ23" s="59" t="n">
        <f aca="false">MAX(0,CC23+CC24-CC25)</f>
        <v>0</v>
      </c>
      <c r="CA23" s="60" t="n">
        <f aca="false">MAX(0,CD23+CD24-CD25)</f>
        <v>0</v>
      </c>
      <c r="CB23" s="58" t="str">
        <f aca="false">IF(CB19="","",MAX(0,CE23+CE24-CE25))</f>
        <v/>
      </c>
      <c r="CC23" s="59" t="n">
        <f aca="false">MAX(0,CF23+CF24-CF25)</f>
        <v>0</v>
      </c>
      <c r="CD23" s="60" t="n">
        <f aca="false">MAX(0,CG23+CG24-CG25)</f>
        <v>0</v>
      </c>
      <c r="CE23" s="58" t="str">
        <f aca="false">IF(CE19="","",MAX(0,CH23+CH24-CH25))</f>
        <v/>
      </c>
      <c r="CF23" s="59" t="n">
        <f aca="false">MAX(0,CI23+CI24-CI25)</f>
        <v>0</v>
      </c>
      <c r="CG23" s="60" t="n">
        <f aca="false">MAX(0,CJ23+CJ24-CJ25)</f>
        <v>0</v>
      </c>
      <c r="CH23" s="58" t="str">
        <f aca="false">IF(CH19="","",MAX(0,CK23+CK24-CK25))</f>
        <v/>
      </c>
      <c r="CI23" s="59" t="n">
        <f aca="false">MAX(0,CL23+CL24-CL25)</f>
        <v>0</v>
      </c>
      <c r="CJ23" s="60" t="n">
        <f aca="false">MAX(0,CM23+CM24-CM25)</f>
        <v>0</v>
      </c>
      <c r="CK23" s="58" t="str">
        <f aca="false">IF(CK19="","",MAX(0,CN23+CN24-CN25))</f>
        <v/>
      </c>
      <c r="CL23" s="59" t="n">
        <f aca="false">MAX(0,CO23+CO24-CO25)</f>
        <v>0</v>
      </c>
      <c r="CM23" s="60" t="n">
        <f aca="false">MAX(0,CP23+CP24-CP25)</f>
        <v>0</v>
      </c>
      <c r="CN23" s="58" t="str">
        <f aca="false">IF(CN19="","",MAX(0,CQ23+CQ24-CQ25))</f>
        <v/>
      </c>
      <c r="CO23" s="59" t="n">
        <f aca="false">MAX(0,CR23+CR24-CR25)</f>
        <v>0</v>
      </c>
      <c r="CP23" s="60" t="n">
        <f aca="false">MAX(0,CS23+CS24-CS25)</f>
        <v>0</v>
      </c>
      <c r="CQ23" s="58" t="str">
        <f aca="false">IF(CQ19="","",MAX(0,CT23+CT24-CT25))</f>
        <v/>
      </c>
      <c r="CR23" s="59" t="n">
        <f aca="false">MAX(0,CU23+CU24-CU25)</f>
        <v>0</v>
      </c>
      <c r="CS23" s="60" t="n">
        <f aca="false">MAX(0,CV23+CV24-CV25)</f>
        <v>0</v>
      </c>
      <c r="CT23" s="58" t="str">
        <f aca="false">IF(CT19="","",MAX(0,CW23+CW24-CW25))</f>
        <v/>
      </c>
      <c r="CU23" s="59" t="n">
        <f aca="false">MAX(0,CX23+CX24-CX25)</f>
        <v>0</v>
      </c>
      <c r="CV23" s="60" t="n">
        <f aca="false">MAX(0,CY23+CY24-CY25)</f>
        <v>0</v>
      </c>
      <c r="CW23" s="58" t="str">
        <f aca="false">IF(CW19="","",MAX(0,CZ23+CZ24-CZ25))</f>
        <v/>
      </c>
      <c r="CX23" s="59" t="n">
        <f aca="false">MAX(0,DA23+DA24-DA25)</f>
        <v>0</v>
      </c>
      <c r="CY23" s="60" t="n">
        <f aca="false">MAX(0,DB23+DB24-DB25)</f>
        <v>0</v>
      </c>
      <c r="CZ23" s="58" t="str">
        <f aca="false">IF(CZ19="","",MAX(0,DC23+DC24-DC25))</f>
        <v/>
      </c>
      <c r="DA23" s="59" t="n">
        <f aca="false">MAX(0,DD23+DD24-DD25)</f>
        <v>0</v>
      </c>
      <c r="DB23" s="60" t="n">
        <f aca="false">MAX(0,DE23+DE24-DE25)</f>
        <v>0</v>
      </c>
      <c r="DC23" s="58" t="str">
        <f aca="false">IF(DC19="","",MAX(0,DF23+DF24-DF25))</f>
        <v/>
      </c>
      <c r="DD23" s="59" t="n">
        <f aca="false">MAX(0,DG23+DG24-DG25)</f>
        <v>0</v>
      </c>
      <c r="DE23" s="60" t="n">
        <f aca="false">MAX(0,DH23+DH24-DH25)</f>
        <v>0</v>
      </c>
      <c r="DF23" s="58" t="str">
        <f aca="false">IF(DF19="","",MAX(0,DI23+DI24-DI25))</f>
        <v/>
      </c>
      <c r="DG23" s="59" t="n">
        <f aca="false">MAX(0,DJ23+DJ24-DJ25)</f>
        <v>9600</v>
      </c>
      <c r="DH23" s="60" t="n">
        <f aca="false">MAX(0,DK23+DK24-DK25)</f>
        <v>0</v>
      </c>
      <c r="DI23" s="58" t="n">
        <f aca="false">IF(DI19="","",MAX(0,DL23+DL24-DL25))</f>
        <v>0</v>
      </c>
      <c r="DJ23" s="59" t="n">
        <f aca="false">MAX(0,DM23+DM24-DM25)</f>
        <v>0</v>
      </c>
      <c r="DK23" s="60" t="n">
        <f aca="false">MAX(0,DN23+DN24-DN25)</f>
        <v>0</v>
      </c>
      <c r="DL23" s="58" t="n">
        <f aca="false">$DL$34</f>
        <v>0</v>
      </c>
      <c r="DM23" s="59" t="n">
        <f aca="false">$DL$34</f>
        <v>0</v>
      </c>
      <c r="DN23" s="60" t="n">
        <f aca="false">$DL$34</f>
        <v>0</v>
      </c>
    </row>
    <row r="24" customFormat="false" ht="18" hidden="false" customHeight="true" outlineLevel="0" collapsed="false">
      <c r="A24" s="39" t="s">
        <v>148</v>
      </c>
      <c r="B24" s="57" t="n">
        <f aca="false">IF(COUNT(AR24,AO24,AL24,AI24,AF24,AC24,Z24,W24,T24,Q24,N24,K24)=0,"",SUM(AR24,AO24,AL24,AI24,AF24,AC24,Z24,W24,T24,Q24,N24,K24))</f>
        <v>0</v>
      </c>
      <c r="C24" s="57" t="n">
        <f aca="false">SUM(AS24,AP24,AM24,AJ24,AG24,AD24,AA24,X24,U24,R24,O24,L24)</f>
        <v>580563</v>
      </c>
      <c r="D24" s="57" t="n">
        <f aca="false">SUM(AT24,AQ24,AN24,AK24,AH24,AE24,AB24,Y24,V24,S24,P24,M24)</f>
        <v>581871</v>
      </c>
      <c r="E24" s="57" t="n">
        <f aca="false">IF(COUNT(CB24,BY24,BV24,BS24,BP24,BM24,BJ24,BG24,BD24,BA24,AX24,AU24)=0,"",SUM(CB24,BY24,BV24,BS24,BP24,BM24,BJ24,BG24,BD24,BA24,AX24,AU24))</f>
        <v>0</v>
      </c>
      <c r="F24" s="57" t="n">
        <f aca="false">SUM(CC24,BZ24,BW24,BT24,BQ24,BN24,BK24,BH24,BE24,BB24,AY24,AV24)</f>
        <v>399177</v>
      </c>
      <c r="G24" s="57" t="n">
        <f aca="false">SUM(CD24,CA24,BX24,BU24,BR24,BO24,BL24,BI24,BF24,BC24,AZ24,AW24)</f>
        <v>400131</v>
      </c>
      <c r="H24" s="57" t="n">
        <f aca="false">IF(COUNT(DL24,DI24,DF24,DC24,CZ24,CW24,CT24,CQ24,CN24,CK24,CH24,CE24)=0,"",SUM(DL24,DI24,DF24,DC24,CZ24,CW24,CT24,CQ24,CN24,CK24,CH24,CE24))</f>
        <v>58800</v>
      </c>
      <c r="I24" s="57" t="n">
        <f aca="false">SUM(DM24,DJ24,DG24,DD24,DA24,CX24,CU24,CR24,CO24,CL24,CI24,CF24)</f>
        <v>279798</v>
      </c>
      <c r="J24" s="57" t="n">
        <f aca="false">SUM(DN24,DK24,DH24,DE24,DB24,CY24,CV24,CS24,CP24,CM24,CJ24,CG24)</f>
        <v>276849</v>
      </c>
      <c r="K24" s="58" t="n">
        <f aca="false">ROUND(IF(EOMONTH(DATE(YEAR(Sales!$DL$1),MONTH(Sales!$DL$1),1)+INT((DAY(Sales!$DL$1)-1)/2)+'Cash Drivers'!DL$13,0)=EOMONTH($K$1,0),Sales!DL$6*Sales!DL$7,0)+IF(EOMONTH(DATE(YEAR(Sales!$DI$1),MONTH(Sales!$DI$1),1)+INT((DAY(Sales!$DI$1)-1)/2)+'Cash Drivers'!DI$13,0)=EOMONTH($K$1,0),Sales!DI$6*Sales!DI$7,0)+IF(EOMONTH(DATE(YEAR(Sales!$DF$1),MONTH(Sales!$DF$1),1)+INT((DAY(Sales!$DF$1)-1)/2)+'Cash Drivers'!DF$13,0)=EOMONTH($K$1,0),Sales!DF$6*Sales!DF$7,0)+IF(EOMONTH(DATE(YEAR(Sales!$DC$1),MONTH(Sales!$DC$1),1)+INT((DAY(Sales!$DC$1)-1)/2)+'Cash Drivers'!DC$13,0)=EOMONTH($K$1,0),Sales!DC$6*Sales!DC$7,0)+IF(EOMONTH(DATE(YEAR(Sales!$CZ$1),MONTH(Sales!$CZ$1),1)+INT((DAY(Sales!$CZ$1)-1)/2)+'Cash Drivers'!CZ$13,0)=EOMONTH($K$1,0),Sales!CZ$6*Sales!CZ$7,0)+IF(EOMONTH(DATE(YEAR(Sales!$CW$1),MONTH(Sales!$CW$1),1)+INT((DAY(Sales!$CW$1)-1)/2)+'Cash Drivers'!CW$13,0)=EOMONTH($K$1,0),Sales!CW$6*Sales!CW$7,0)+IF(EOMONTH(DATE(YEAR(Sales!$CT$1),MONTH(Sales!$CT$1),1)+INT((DAY(Sales!$CT$1)-1)/2)+'Cash Drivers'!CT$13,0)=EOMONTH($K$1,0),Sales!CT$6*Sales!CT$7,0)+IF(EOMONTH(DATE(YEAR(Sales!$CQ$1),MONTH(Sales!$CQ$1),1)+INT((DAY(Sales!$CQ$1)-1)/2)+'Cash Drivers'!CQ$13,0)=EOMONTH($K$1,0),Sales!CQ$6*Sales!CQ$7,0)+IF(EOMONTH(DATE(YEAR(Sales!$CN$1),MONTH(Sales!$CN$1),1)+INT((DAY(Sales!$CN$1)-1)/2)+'Cash Drivers'!CN$13,0)=EOMONTH($K$1,0),Sales!CN$6*Sales!CN$7,0)+IF(EOMONTH(DATE(YEAR(Sales!$CK$1),MONTH(Sales!$CK$1),1)+INT((DAY(Sales!$CK$1)-1)/2)+'Cash Drivers'!CK$13,0)=EOMONTH($K$1,0),Sales!CK$6*Sales!CK$7,0)+IF(EOMONTH(DATE(YEAR(Sales!$CH$1),MONTH(Sales!$CH$1),1)+INT((DAY(Sales!$CH$1)-1)/2)+'Cash Drivers'!CH$13,0)=EOMONTH($K$1,0),Sales!CH$6*Sales!CH$7,0)+IF(EOMONTH(DATE(YEAR(Sales!$CE$1),MONTH(Sales!$CE$1),1)+INT((DAY(Sales!$CE$1)-1)/2)+'Cash Drivers'!CE$13,0)=EOMONTH($K$1,0),Sales!CE$6*Sales!CE$7,0)+IF(EOMONTH(DATE(YEAR(Sales!$CB$1),MONTH(Sales!$CB$1),1)+INT((DAY(Sales!$CB$1)-1)/2)+'Cash Drivers'!CB$13,0)=EOMONTH($K$1,0),Sales!CB$6*Sales!CB$7,0)+IF(EOMONTH(DATE(YEAR(Sales!$BY$1),MONTH(Sales!$BY$1),1)+INT((DAY(Sales!$BY$1)-1)/2)+'Cash Drivers'!BY$13,0)=EOMONTH($K$1,0),Sales!BY$6*Sales!BY$7,0)+IF(EOMONTH(DATE(YEAR(Sales!$BV$1),MONTH(Sales!$BV$1),1)+INT((DAY(Sales!$BV$1)-1)/2)+'Cash Drivers'!BV$13,0)=EOMONTH($K$1,0),Sales!BV$6*Sales!BV$7,0)+IF(EOMONTH(DATE(YEAR(Sales!$BS$1),MONTH(Sales!$BS$1),1)+INT((DAY(Sales!$BS$1)-1)/2)+'Cash Drivers'!BS$13,0)=EOMONTH($K$1,0),Sales!BS$6*Sales!BS$7,0)+IF(EOMONTH(DATE(YEAR(Sales!$BP$1),MONTH(Sales!$BP$1),1)+INT((DAY(Sales!$BP$1)-1)/2)+'Cash Drivers'!BP$13,0)=EOMONTH($K$1,0),Sales!BP$6*Sales!BP$7,0)+IF(EOMONTH(DATE(YEAR(Sales!$BM$1),MONTH(Sales!$BM$1),1)+INT((DAY(Sales!$BM$1)-1)/2)+'Cash Drivers'!BM$13,0)=EOMONTH($K$1,0),Sales!BM$6*Sales!BM$7,0)+IF(EOMONTH(DATE(YEAR(Sales!$BJ$1),MONTH(Sales!$BJ$1),1)+INT((DAY(Sales!$BJ$1)-1)/2)+'Cash Drivers'!BJ$13,0)=EOMONTH($K$1,0),Sales!BJ$6*Sales!BJ$7,0)+IF(EOMONTH(DATE(YEAR(Sales!$BG$1),MONTH(Sales!$BG$1),1)+INT((DAY(Sales!$BG$1)-1)/2)+'Cash Drivers'!BG$13,0)=EOMONTH($K$1,0),Sales!BG$6*Sales!BG$7,0)+IF(EOMONTH(DATE(YEAR(Sales!$BD$1),MONTH(Sales!$BD$1),1)+INT((DAY(Sales!$BD$1)-1)/2)+'Cash Drivers'!BD$13,0)=EOMONTH($K$1,0),Sales!BD$6*Sales!BD$7,0)+IF(EOMONTH(DATE(YEAR(Sales!$BA$1),MONTH(Sales!$BA$1),1)+INT((DAY(Sales!$BA$1)-1)/2)+'Cash Drivers'!BA$13,0)=EOMONTH($K$1,0),Sales!BA$6*Sales!BA$7,0)+IF(EOMONTH(DATE(YEAR(Sales!$AX$1),MONTH(Sales!$AX$1),1)+INT((DAY(Sales!$AX$1)-1)/2)+'Cash Drivers'!AX$13,0)=EOMONTH($K$1,0),Sales!AX$6*Sales!AX$7,0)+IF(EOMONTH(DATE(YEAR(Sales!$AU$1),MONTH(Sales!$AU$1),1)+INT((DAY(Sales!$AU$1)-1)/2)+'Cash Drivers'!AU$13,0)=EOMONTH($K$1,0),Sales!AU$6*Sales!AU$7,0)+IF(EOMONTH(DATE(YEAR(Sales!$AR$1),MONTH(Sales!$AR$1),1)+INT((DAY(Sales!$AR$1)-1)/2)+'Cash Drivers'!AR$13,0)=EOMONTH($K$1,0),Sales!AR$6*Sales!AR$7,0)+IF(EOMONTH(DATE(YEAR(Sales!$AO$1),MONTH(Sales!$AO$1),1)+INT((DAY(Sales!$AO$1)-1)/2)+'Cash Drivers'!AO$13,0)=EOMONTH($K$1,0),Sales!AO$6*Sales!AO$7,0)+IF(EOMONTH(DATE(YEAR(Sales!$AL$1),MONTH(Sales!$AL$1),1)+INT((DAY(Sales!$AL$1)-1)/2)+'Cash Drivers'!AL$13,0)=EOMONTH($K$1,0),Sales!AL$6*Sales!AL$7,0)+IF(EOMONTH(DATE(YEAR(Sales!$AI$1),MONTH(Sales!$AI$1),1)+INT((DAY(Sales!$AI$1)-1)/2)+'Cash Drivers'!AI$13,0)=EOMONTH($K$1,0),Sales!AI$6*Sales!AI$7,0)+IF(EOMONTH(DATE(YEAR(Sales!$AF$1),MONTH(Sales!$AF$1),1)+INT((DAY(Sales!$AF$1)-1)/2)+'Cash Drivers'!AF$13,0)=EOMONTH($K$1,0),Sales!AF$6*Sales!AF$7,0)+IF(EOMONTH(DATE(YEAR(Sales!$AC$1),MONTH(Sales!$AC$1),1)+INT((DAY(Sales!$AC$1)-1)/2)+'Cash Drivers'!AC$13,0)=EOMONTH($K$1,0),Sales!AC$6*Sales!AC$7,0)+IF(EOMONTH(DATE(YEAR(Sales!$Z$1),MONTH(Sales!$Z$1),1)+INT((DAY(Sales!$Z$1)-1)/2)+'Cash Drivers'!Z$13,0)=EOMONTH($K$1,0),Sales!Z$6*Sales!Z$7,0)+IF(EOMONTH(DATE(YEAR(Sales!$W$1),MONTH(Sales!$W$1),1)+INT((DAY(Sales!$W$1)-1)/2)+'Cash Drivers'!W$13,0)=EOMONTH($K$1,0),Sales!W$6*Sales!W$7,0)+IF(EOMONTH(DATE(YEAR(Sales!$T$1),MONTH(Sales!$T$1),1)+INT((DAY(Sales!$T$1)-1)/2)+'Cash Drivers'!T$13,0)=EOMONTH($K$1,0),Sales!T$6*Sales!T$7,0)+IF(EOMONTH(DATE(YEAR(Sales!$Q$1),MONTH(Sales!$Q$1),1)+INT((DAY(Sales!$Q$1)-1)/2)+'Cash Drivers'!Q$13,0)=EOMONTH($K$1,0),Sales!Q$6*Sales!Q$7,0)+IF(EOMONTH(DATE(YEAR(Sales!$N$1),MONTH(Sales!$N$1),1)+INT((DAY(Sales!$N$1)-1)/2)+'Cash Drivers'!N$13,0)=EOMONTH($K$1,0),Sales!N$6*Sales!N$7,0)+IF(EOMONTH(DATE(YEAR(Sales!$K$1),MONTH(Sales!$K$1),1)+INT((DAY(Sales!$K$1)-1)/2)+'Cash Drivers'!K$13,0)=EOMONTH($K$1,0),Sales!K$6*Sales!K$7,0)+IF(EOMONTH('Cash Drivers'!$DL$30+'Cash Drivers'!DL$13,0)=EOMONTH($K$1,0),'Cash Drivers'!$DL$32*Sales!$DL$60,0),0)</f>
        <v>0</v>
      </c>
      <c r="L24" s="59" t="n">
        <f aca="false">ROUND(IF(EOMONTH(DATE(YEAR(Sales!$DL$1),MONTH(Sales!$DL$1),1)+INT((DAY(Sales!$DL$1)-1)/2)+'Cash Drivers'!DM$13,0)=EOMONTH($K$1,0),Sales!DM$6*Sales!DM$7,0)+IF(EOMONTH(DATE(YEAR(Sales!$DI$1),MONTH(Sales!$DI$1),1)+INT((DAY(Sales!$DI$1)-1)/2)+'Cash Drivers'!DJ$13,0)=EOMONTH($K$1,0),Sales!DJ$6*Sales!DJ$7,0)+IF(EOMONTH(DATE(YEAR(Sales!$DF$1),MONTH(Sales!$DF$1),1)+INT((DAY(Sales!$DF$1)-1)/2)+'Cash Drivers'!DG$13,0)=EOMONTH($K$1,0),Sales!DG$6*Sales!DG$7,0)+IF(EOMONTH(DATE(YEAR(Sales!$DC$1),MONTH(Sales!$DC$1),1)+INT((DAY(Sales!$DC$1)-1)/2)+'Cash Drivers'!DD$13,0)=EOMONTH($K$1,0),Sales!DD$6*Sales!DD$7,0)+IF(EOMONTH(DATE(YEAR(Sales!$CZ$1),MONTH(Sales!$CZ$1),1)+INT((DAY(Sales!$CZ$1)-1)/2)+'Cash Drivers'!DA$13,0)=EOMONTH($K$1,0),Sales!DA$6*Sales!DA$7,0)+IF(EOMONTH(DATE(YEAR(Sales!$CW$1),MONTH(Sales!$CW$1),1)+INT((DAY(Sales!$CW$1)-1)/2)+'Cash Drivers'!CX$13,0)=EOMONTH($K$1,0),Sales!CX$6*Sales!CX$7,0)+IF(EOMONTH(DATE(YEAR(Sales!$CT$1),MONTH(Sales!$CT$1),1)+INT((DAY(Sales!$CT$1)-1)/2)+'Cash Drivers'!CU$13,0)=EOMONTH($K$1,0),Sales!CU$6*Sales!CU$7,0)+IF(EOMONTH(DATE(YEAR(Sales!$CQ$1),MONTH(Sales!$CQ$1),1)+INT((DAY(Sales!$CQ$1)-1)/2)+'Cash Drivers'!CR$13,0)=EOMONTH($K$1,0),Sales!CR$6*Sales!CR$7,0)+IF(EOMONTH(DATE(YEAR(Sales!$CN$1),MONTH(Sales!$CN$1),1)+INT((DAY(Sales!$CN$1)-1)/2)+'Cash Drivers'!CO$13,0)=EOMONTH($K$1,0),Sales!CO$6*Sales!CO$7,0)+IF(EOMONTH(DATE(YEAR(Sales!$CK$1),MONTH(Sales!$CK$1),1)+INT((DAY(Sales!$CK$1)-1)/2)+'Cash Drivers'!CL$13,0)=EOMONTH($K$1,0),Sales!CL$6*Sales!CL$7,0)+IF(EOMONTH(DATE(YEAR(Sales!$CH$1),MONTH(Sales!$CH$1),1)+INT((DAY(Sales!$CH$1)-1)/2)+'Cash Drivers'!CI$13,0)=EOMONTH($K$1,0),Sales!CI$6*Sales!CI$7,0)+IF(EOMONTH(DATE(YEAR(Sales!$CE$1),MONTH(Sales!$CE$1),1)+INT((DAY(Sales!$CE$1)-1)/2)+'Cash Drivers'!CF$13,0)=EOMONTH($K$1,0),Sales!CF$6*Sales!CF$7,0)+IF(EOMONTH(DATE(YEAR(Sales!$CB$1),MONTH(Sales!$CB$1),1)+INT((DAY(Sales!$CB$1)-1)/2)+'Cash Drivers'!CC$13,0)=EOMONTH($K$1,0),Sales!CC$6*Sales!CC$7,0)+IF(EOMONTH(DATE(YEAR(Sales!$BY$1),MONTH(Sales!$BY$1),1)+INT((DAY(Sales!$BY$1)-1)/2)+'Cash Drivers'!BZ$13,0)=EOMONTH($K$1,0),Sales!BZ$6*Sales!BZ$7,0)+IF(EOMONTH(DATE(YEAR(Sales!$BV$1),MONTH(Sales!$BV$1),1)+INT((DAY(Sales!$BV$1)-1)/2)+'Cash Drivers'!BW$13,0)=EOMONTH($K$1,0),Sales!BW$6*Sales!BW$7,0)+IF(EOMONTH(DATE(YEAR(Sales!$BS$1),MONTH(Sales!$BS$1),1)+INT((DAY(Sales!$BS$1)-1)/2)+'Cash Drivers'!BT$13,0)=EOMONTH($K$1,0),Sales!BT$6*Sales!BT$7,0)+IF(EOMONTH(DATE(YEAR(Sales!$BP$1),MONTH(Sales!$BP$1),1)+INT((DAY(Sales!$BP$1)-1)/2)+'Cash Drivers'!BQ$13,0)=EOMONTH($K$1,0),Sales!BQ$6*Sales!BQ$7,0)+IF(EOMONTH(DATE(YEAR(Sales!$BM$1),MONTH(Sales!$BM$1),1)+INT((DAY(Sales!$BM$1)-1)/2)+'Cash Drivers'!BN$13,0)=EOMONTH($K$1,0),Sales!BN$6*Sales!BN$7,0)+IF(EOMONTH(DATE(YEAR(Sales!$BJ$1),MONTH(Sales!$BJ$1),1)+INT((DAY(Sales!$BJ$1)-1)/2)+'Cash Drivers'!BK$13,0)=EOMONTH($K$1,0),Sales!BK$6*Sales!BK$7,0)+IF(EOMONTH(DATE(YEAR(Sales!$BG$1),MONTH(Sales!$BG$1),1)+INT((DAY(Sales!$BG$1)-1)/2)+'Cash Drivers'!BH$13,0)=EOMONTH($K$1,0),Sales!BH$6*Sales!BH$7,0)+IF(EOMONTH(DATE(YEAR(Sales!$BD$1),MONTH(Sales!$BD$1),1)+INT((DAY(Sales!$BD$1)-1)/2)+'Cash Drivers'!BE$13,0)=EOMONTH($K$1,0),Sales!BE$6*Sales!BE$7,0)+IF(EOMONTH(DATE(YEAR(Sales!$BA$1),MONTH(Sales!$BA$1),1)+INT((DAY(Sales!$BA$1)-1)/2)+'Cash Drivers'!BB$13,0)=EOMONTH($K$1,0),Sales!BB$6*Sales!BB$7,0)+IF(EOMONTH(DATE(YEAR(Sales!$AX$1),MONTH(Sales!$AX$1),1)+INT((DAY(Sales!$AX$1)-1)/2)+'Cash Drivers'!AY$13,0)=EOMONTH($K$1,0),Sales!AY$6*Sales!AY$7,0)+IF(EOMONTH(DATE(YEAR(Sales!$AU$1),MONTH(Sales!$AU$1),1)+INT((DAY(Sales!$AU$1)-1)/2)+'Cash Drivers'!AV$13,0)=EOMONTH($K$1,0),Sales!AV$6*Sales!AV$7,0)+IF(EOMONTH(DATE(YEAR(Sales!$AR$1),MONTH(Sales!$AR$1),1)+INT((DAY(Sales!$AR$1)-1)/2)+'Cash Drivers'!AS$13,0)=EOMONTH($K$1,0),Sales!AS$6*Sales!AS$7,0)+IF(EOMONTH(DATE(YEAR(Sales!$AO$1),MONTH(Sales!$AO$1),1)+INT((DAY(Sales!$AO$1)-1)/2)+'Cash Drivers'!AP$13,0)=EOMONTH($K$1,0),Sales!AP$6*Sales!AP$7,0)+IF(EOMONTH(DATE(YEAR(Sales!$AL$1),MONTH(Sales!$AL$1),1)+INT((DAY(Sales!$AL$1)-1)/2)+'Cash Drivers'!AM$13,0)=EOMONTH($K$1,0),Sales!AM$6*Sales!AM$7,0)+IF(EOMONTH(DATE(YEAR(Sales!$AI$1),MONTH(Sales!$AI$1),1)+INT((DAY(Sales!$AI$1)-1)/2)+'Cash Drivers'!AJ$13,0)=EOMONTH($K$1,0),Sales!AJ$6*Sales!AJ$7,0)+IF(EOMONTH(DATE(YEAR(Sales!$AF$1),MONTH(Sales!$AF$1),1)+INT((DAY(Sales!$AF$1)-1)/2)+'Cash Drivers'!AG$13,0)=EOMONTH($K$1,0),Sales!AG$6*Sales!AG$7,0)+IF(EOMONTH(DATE(YEAR(Sales!$AC$1),MONTH(Sales!$AC$1),1)+INT((DAY(Sales!$AC$1)-1)/2)+'Cash Drivers'!AD$13,0)=EOMONTH($K$1,0),Sales!AD$6*Sales!AD$7,0)+IF(EOMONTH(DATE(YEAR(Sales!$Z$1),MONTH(Sales!$Z$1),1)+INT((DAY(Sales!$Z$1)-1)/2)+'Cash Drivers'!AA$13,0)=EOMONTH($K$1,0),Sales!AA$6*Sales!AA$7,0)+IF(EOMONTH(DATE(YEAR(Sales!$W$1),MONTH(Sales!$W$1),1)+INT((DAY(Sales!$W$1)-1)/2)+'Cash Drivers'!X$13,0)=EOMONTH($K$1,0),Sales!X$6*Sales!X$7,0)+IF(EOMONTH(DATE(YEAR(Sales!$T$1),MONTH(Sales!$T$1),1)+INT((DAY(Sales!$T$1)-1)/2)+'Cash Drivers'!U$13,0)=EOMONTH($K$1,0),Sales!U$6*Sales!U$7,0)+IF(EOMONTH(DATE(YEAR(Sales!$Q$1),MONTH(Sales!$Q$1),1)+INT((DAY(Sales!$Q$1)-1)/2)+'Cash Drivers'!R$13,0)=EOMONTH($K$1,0),Sales!R$6*Sales!R$7,0)+IF(EOMONTH(DATE(YEAR(Sales!$N$1),MONTH(Sales!$N$1),1)+INT((DAY(Sales!$N$1)-1)/2)+'Cash Drivers'!O$13,0)=EOMONTH($K$1,0),Sales!O$6*Sales!O$7,0)+IF(EOMONTH(DATE(YEAR(Sales!$K$1),MONTH(Sales!$K$1),1)+INT((DAY(Sales!$K$1)-1)/2)+'Cash Drivers'!L$13,0)=EOMONTH($K$1,0),Sales!L$6*Sales!L$7,0)+IF(EOMONTH('Cash Drivers'!$DL$30+'Cash Drivers'!DM$13,0)=EOMONTH($K$1,0),'Cash Drivers'!$DL$32*Sales!$DL$60,0),0)</f>
        <v>52098</v>
      </c>
      <c r="M24" s="60" t="n">
        <f aca="false">ROUND(IF(EOMONTH(DATE(YEAR(Sales!$DL$1),MONTH(Sales!$DL$1),1)+INT((DAY(Sales!$DL$1)-1)/2)+'Cash Drivers'!DN$13,0)=EOMONTH($K$1,0),Sales!DN$6*Sales!DN$7,0)+IF(EOMONTH(DATE(YEAR(Sales!$DI$1),MONTH(Sales!$DI$1),1)+INT((DAY(Sales!$DI$1)-1)/2)+'Cash Drivers'!DK$13,0)=EOMONTH($K$1,0),Sales!DK$6*Sales!DK$7,0)+IF(EOMONTH(DATE(YEAR(Sales!$DF$1),MONTH(Sales!$DF$1),1)+INT((DAY(Sales!$DF$1)-1)/2)+'Cash Drivers'!DH$13,0)=EOMONTH($K$1,0),Sales!DH$6*Sales!DH$7,0)+IF(EOMONTH(DATE(YEAR(Sales!$DC$1),MONTH(Sales!$DC$1),1)+INT((DAY(Sales!$DC$1)-1)/2)+'Cash Drivers'!DE$13,0)=EOMONTH($K$1,0),Sales!DE$6*Sales!DE$7,0)+IF(EOMONTH(DATE(YEAR(Sales!$CZ$1),MONTH(Sales!$CZ$1),1)+INT((DAY(Sales!$CZ$1)-1)/2)+'Cash Drivers'!DB$13,0)=EOMONTH($K$1,0),Sales!DB$6*Sales!DB$7,0)+IF(EOMONTH(DATE(YEAR(Sales!$CW$1),MONTH(Sales!$CW$1),1)+INT((DAY(Sales!$CW$1)-1)/2)+'Cash Drivers'!CY$13,0)=EOMONTH($K$1,0),Sales!CY$6*Sales!CY$7,0)+IF(EOMONTH(DATE(YEAR(Sales!$CT$1),MONTH(Sales!$CT$1),1)+INT((DAY(Sales!$CT$1)-1)/2)+'Cash Drivers'!CV$13,0)=EOMONTH($K$1,0),Sales!CV$6*Sales!CV$7,0)+IF(EOMONTH(DATE(YEAR(Sales!$CQ$1),MONTH(Sales!$CQ$1),1)+INT((DAY(Sales!$CQ$1)-1)/2)+'Cash Drivers'!CS$13,0)=EOMONTH($K$1,0),Sales!CS$6*Sales!CS$7,0)+IF(EOMONTH(DATE(YEAR(Sales!$CN$1),MONTH(Sales!$CN$1),1)+INT((DAY(Sales!$CN$1)-1)/2)+'Cash Drivers'!CP$13,0)=EOMONTH($K$1,0),Sales!CP$6*Sales!CP$7,0)+IF(EOMONTH(DATE(YEAR(Sales!$CK$1),MONTH(Sales!$CK$1),1)+INT((DAY(Sales!$CK$1)-1)/2)+'Cash Drivers'!CM$13,0)=EOMONTH($K$1,0),Sales!CM$6*Sales!CM$7,0)+IF(EOMONTH(DATE(YEAR(Sales!$CH$1),MONTH(Sales!$CH$1),1)+INT((DAY(Sales!$CH$1)-1)/2)+'Cash Drivers'!CJ$13,0)=EOMONTH($K$1,0),Sales!CJ$6*Sales!CJ$7,0)+IF(EOMONTH(DATE(YEAR(Sales!$CE$1),MONTH(Sales!$CE$1),1)+INT((DAY(Sales!$CE$1)-1)/2)+'Cash Drivers'!CG$13,0)=EOMONTH($K$1,0),Sales!CG$6*Sales!CG$7,0)+IF(EOMONTH(DATE(YEAR(Sales!$CB$1),MONTH(Sales!$CB$1),1)+INT((DAY(Sales!$CB$1)-1)/2)+'Cash Drivers'!CD$13,0)=EOMONTH($K$1,0),Sales!CD$6*Sales!CD$7,0)+IF(EOMONTH(DATE(YEAR(Sales!$BY$1),MONTH(Sales!$BY$1),1)+INT((DAY(Sales!$BY$1)-1)/2)+'Cash Drivers'!CA$13,0)=EOMONTH($K$1,0),Sales!CA$6*Sales!CA$7,0)+IF(EOMONTH(DATE(YEAR(Sales!$BV$1),MONTH(Sales!$BV$1),1)+INT((DAY(Sales!$BV$1)-1)/2)+'Cash Drivers'!BX$13,0)=EOMONTH($K$1,0),Sales!BX$6*Sales!BX$7,0)+IF(EOMONTH(DATE(YEAR(Sales!$BS$1),MONTH(Sales!$BS$1),1)+INT((DAY(Sales!$BS$1)-1)/2)+'Cash Drivers'!BU$13,0)=EOMONTH($K$1,0),Sales!BU$6*Sales!BU$7,0)+IF(EOMONTH(DATE(YEAR(Sales!$BP$1),MONTH(Sales!$BP$1),1)+INT((DAY(Sales!$BP$1)-1)/2)+'Cash Drivers'!BR$13,0)=EOMONTH($K$1,0),Sales!BR$6*Sales!BR$7,0)+IF(EOMONTH(DATE(YEAR(Sales!$BM$1),MONTH(Sales!$BM$1),1)+INT((DAY(Sales!$BM$1)-1)/2)+'Cash Drivers'!BO$13,0)=EOMONTH($K$1,0),Sales!BO$6*Sales!BO$7,0)+IF(EOMONTH(DATE(YEAR(Sales!$BJ$1),MONTH(Sales!$BJ$1),1)+INT((DAY(Sales!$BJ$1)-1)/2)+'Cash Drivers'!BL$13,0)=EOMONTH($K$1,0),Sales!BL$6*Sales!BL$7,0)+IF(EOMONTH(DATE(YEAR(Sales!$BG$1),MONTH(Sales!$BG$1),1)+INT((DAY(Sales!$BG$1)-1)/2)+'Cash Drivers'!BI$13,0)=EOMONTH($K$1,0),Sales!BI$6*Sales!BI$7,0)+IF(EOMONTH(DATE(YEAR(Sales!$BD$1),MONTH(Sales!$BD$1),1)+INT((DAY(Sales!$BD$1)-1)/2)+'Cash Drivers'!BF$13,0)=EOMONTH($K$1,0),Sales!BF$6*Sales!BF$7,0)+IF(EOMONTH(DATE(YEAR(Sales!$BA$1),MONTH(Sales!$BA$1),1)+INT((DAY(Sales!$BA$1)-1)/2)+'Cash Drivers'!BC$13,0)=EOMONTH($K$1,0),Sales!BC$6*Sales!BC$7,0)+IF(EOMONTH(DATE(YEAR(Sales!$AX$1),MONTH(Sales!$AX$1),1)+INT((DAY(Sales!$AX$1)-1)/2)+'Cash Drivers'!AZ$13,0)=EOMONTH($K$1,0),Sales!AZ$6*Sales!AZ$7,0)+IF(EOMONTH(DATE(YEAR(Sales!$AU$1),MONTH(Sales!$AU$1),1)+INT((DAY(Sales!$AU$1)-1)/2)+'Cash Drivers'!AW$13,0)=EOMONTH($K$1,0),Sales!AW$6*Sales!AW$7,0)+IF(EOMONTH(DATE(YEAR(Sales!$AR$1),MONTH(Sales!$AR$1),1)+INT((DAY(Sales!$AR$1)-1)/2)+'Cash Drivers'!AT$13,0)=EOMONTH($K$1,0),Sales!AT$6*Sales!AT$7,0)+IF(EOMONTH(DATE(YEAR(Sales!$AO$1),MONTH(Sales!$AO$1),1)+INT((DAY(Sales!$AO$1)-1)/2)+'Cash Drivers'!AQ$13,0)=EOMONTH($K$1,0),Sales!AQ$6*Sales!AQ$7,0)+IF(EOMONTH(DATE(YEAR(Sales!$AL$1),MONTH(Sales!$AL$1),1)+INT((DAY(Sales!$AL$1)-1)/2)+'Cash Drivers'!AN$13,0)=EOMONTH($K$1,0),Sales!AN$6*Sales!AN$7,0)+IF(EOMONTH(DATE(YEAR(Sales!$AI$1),MONTH(Sales!$AI$1),1)+INT((DAY(Sales!$AI$1)-1)/2)+'Cash Drivers'!AK$13,0)=EOMONTH($K$1,0),Sales!AK$6*Sales!AK$7,0)+IF(EOMONTH(DATE(YEAR(Sales!$AF$1),MONTH(Sales!$AF$1),1)+INT((DAY(Sales!$AF$1)-1)/2)+'Cash Drivers'!AH$13,0)=EOMONTH($K$1,0),Sales!AH$6*Sales!AH$7,0)+IF(EOMONTH(DATE(YEAR(Sales!$AC$1),MONTH(Sales!$AC$1),1)+INT((DAY(Sales!$AC$1)-1)/2)+'Cash Drivers'!AE$13,0)=EOMONTH($K$1,0),Sales!AE$6*Sales!AE$7,0)+IF(EOMONTH(DATE(YEAR(Sales!$Z$1),MONTH(Sales!$Z$1),1)+INT((DAY(Sales!$Z$1)-1)/2)+'Cash Drivers'!AB$13,0)=EOMONTH($K$1,0),Sales!AB$6*Sales!AB$7,0)+IF(EOMONTH(DATE(YEAR(Sales!$W$1),MONTH(Sales!$W$1),1)+INT((DAY(Sales!$W$1)-1)/2)+'Cash Drivers'!Y$13,0)=EOMONTH($K$1,0),Sales!Y$6*Sales!Y$7,0)+IF(EOMONTH(DATE(YEAR(Sales!$T$1),MONTH(Sales!$T$1),1)+INT((DAY(Sales!$T$1)-1)/2)+'Cash Drivers'!V$13,0)=EOMONTH($K$1,0),Sales!V$6*Sales!V$7,0)+IF(EOMONTH(DATE(YEAR(Sales!$Q$1),MONTH(Sales!$Q$1),1)+INT((DAY(Sales!$Q$1)-1)/2)+'Cash Drivers'!S$13,0)=EOMONTH($K$1,0),Sales!S$6*Sales!S$7,0)+IF(EOMONTH(DATE(YEAR(Sales!$N$1),MONTH(Sales!$N$1),1)+INT((DAY(Sales!$N$1)-1)/2)+'Cash Drivers'!P$13,0)=EOMONTH($K$1,0),Sales!P$6*Sales!P$7,0)+IF(EOMONTH(DATE(YEAR(Sales!$K$1),MONTH(Sales!$K$1),1)+INT((DAY(Sales!$K$1)-1)/2)+'Cash Drivers'!M$13,0)=EOMONTH($K$1,0),Sales!M$6*Sales!M$7,0)+IF(EOMONTH('Cash Drivers'!$DL$30+'Cash Drivers'!DN$13,0)=EOMONTH($K$1,0),'Cash Drivers'!$DL$32*Sales!$DL$60,0),0)</f>
        <v>52212</v>
      </c>
      <c r="N24" s="58" t="n">
        <f aca="false">ROUND(IF(EOMONTH(DATE(YEAR(Sales!$DL$1),MONTH(Sales!$DL$1),1)+INT((DAY(Sales!$DL$1)-1)/2)+'Cash Drivers'!DL$13,0)=EOMONTH($N$1,0),Sales!DL$6*Sales!DL$7,0)+IF(EOMONTH(DATE(YEAR(Sales!$DI$1),MONTH(Sales!$DI$1),1)+INT((DAY(Sales!$DI$1)-1)/2)+'Cash Drivers'!DI$13,0)=EOMONTH($N$1,0),Sales!DI$6*Sales!DI$7,0)+IF(EOMONTH(DATE(YEAR(Sales!$DF$1),MONTH(Sales!$DF$1),1)+INT((DAY(Sales!$DF$1)-1)/2)+'Cash Drivers'!DF$13,0)=EOMONTH($N$1,0),Sales!DF$6*Sales!DF$7,0)+IF(EOMONTH(DATE(YEAR(Sales!$DC$1),MONTH(Sales!$DC$1),1)+INT((DAY(Sales!$DC$1)-1)/2)+'Cash Drivers'!DC$13,0)=EOMONTH($N$1,0),Sales!DC$6*Sales!DC$7,0)+IF(EOMONTH(DATE(YEAR(Sales!$CZ$1),MONTH(Sales!$CZ$1),1)+INT((DAY(Sales!$CZ$1)-1)/2)+'Cash Drivers'!CZ$13,0)=EOMONTH($N$1,0),Sales!CZ$6*Sales!CZ$7,0)+IF(EOMONTH(DATE(YEAR(Sales!$CW$1),MONTH(Sales!$CW$1),1)+INT((DAY(Sales!$CW$1)-1)/2)+'Cash Drivers'!CW$13,0)=EOMONTH($N$1,0),Sales!CW$6*Sales!CW$7,0)+IF(EOMONTH(DATE(YEAR(Sales!$CT$1),MONTH(Sales!$CT$1),1)+INT((DAY(Sales!$CT$1)-1)/2)+'Cash Drivers'!CT$13,0)=EOMONTH($N$1,0),Sales!CT$6*Sales!CT$7,0)+IF(EOMONTH(DATE(YEAR(Sales!$CQ$1),MONTH(Sales!$CQ$1),1)+INT((DAY(Sales!$CQ$1)-1)/2)+'Cash Drivers'!CQ$13,0)=EOMONTH($N$1,0),Sales!CQ$6*Sales!CQ$7,0)+IF(EOMONTH(DATE(YEAR(Sales!$CN$1),MONTH(Sales!$CN$1),1)+INT((DAY(Sales!$CN$1)-1)/2)+'Cash Drivers'!CN$13,0)=EOMONTH($N$1,0),Sales!CN$6*Sales!CN$7,0)+IF(EOMONTH(DATE(YEAR(Sales!$CK$1),MONTH(Sales!$CK$1),1)+INT((DAY(Sales!$CK$1)-1)/2)+'Cash Drivers'!CK$13,0)=EOMONTH($N$1,0),Sales!CK$6*Sales!CK$7,0)+IF(EOMONTH(DATE(YEAR(Sales!$CH$1),MONTH(Sales!$CH$1),1)+INT((DAY(Sales!$CH$1)-1)/2)+'Cash Drivers'!CH$13,0)=EOMONTH($N$1,0),Sales!CH$6*Sales!CH$7,0)+IF(EOMONTH(DATE(YEAR(Sales!$CE$1),MONTH(Sales!$CE$1),1)+INT((DAY(Sales!$CE$1)-1)/2)+'Cash Drivers'!CE$13,0)=EOMONTH($N$1,0),Sales!CE$6*Sales!CE$7,0)+IF(EOMONTH(DATE(YEAR(Sales!$CB$1),MONTH(Sales!$CB$1),1)+INT((DAY(Sales!$CB$1)-1)/2)+'Cash Drivers'!CB$13,0)=EOMONTH($N$1,0),Sales!CB$6*Sales!CB$7,0)+IF(EOMONTH(DATE(YEAR(Sales!$BY$1),MONTH(Sales!$BY$1),1)+INT((DAY(Sales!$BY$1)-1)/2)+'Cash Drivers'!BY$13,0)=EOMONTH($N$1,0),Sales!BY$6*Sales!BY$7,0)+IF(EOMONTH(DATE(YEAR(Sales!$BV$1),MONTH(Sales!$BV$1),1)+INT((DAY(Sales!$BV$1)-1)/2)+'Cash Drivers'!BV$13,0)=EOMONTH($N$1,0),Sales!BV$6*Sales!BV$7,0)+IF(EOMONTH(DATE(YEAR(Sales!$BS$1),MONTH(Sales!$BS$1),1)+INT((DAY(Sales!$BS$1)-1)/2)+'Cash Drivers'!BS$13,0)=EOMONTH($N$1,0),Sales!BS$6*Sales!BS$7,0)+IF(EOMONTH(DATE(YEAR(Sales!$BP$1),MONTH(Sales!$BP$1),1)+INT((DAY(Sales!$BP$1)-1)/2)+'Cash Drivers'!BP$13,0)=EOMONTH($N$1,0),Sales!BP$6*Sales!BP$7,0)+IF(EOMONTH(DATE(YEAR(Sales!$BM$1),MONTH(Sales!$BM$1),1)+INT((DAY(Sales!$BM$1)-1)/2)+'Cash Drivers'!BM$13,0)=EOMONTH($N$1,0),Sales!BM$6*Sales!BM$7,0)+IF(EOMONTH(DATE(YEAR(Sales!$BJ$1),MONTH(Sales!$BJ$1),1)+INT((DAY(Sales!$BJ$1)-1)/2)+'Cash Drivers'!BJ$13,0)=EOMONTH($N$1,0),Sales!BJ$6*Sales!BJ$7,0)+IF(EOMONTH(DATE(YEAR(Sales!$BG$1),MONTH(Sales!$BG$1),1)+INT((DAY(Sales!$BG$1)-1)/2)+'Cash Drivers'!BG$13,0)=EOMONTH($N$1,0),Sales!BG$6*Sales!BG$7,0)+IF(EOMONTH(DATE(YEAR(Sales!$BD$1),MONTH(Sales!$BD$1),1)+INT((DAY(Sales!$BD$1)-1)/2)+'Cash Drivers'!BD$13,0)=EOMONTH($N$1,0),Sales!BD$6*Sales!BD$7,0)+IF(EOMONTH(DATE(YEAR(Sales!$BA$1),MONTH(Sales!$BA$1),1)+INT((DAY(Sales!$BA$1)-1)/2)+'Cash Drivers'!BA$13,0)=EOMONTH($N$1,0),Sales!BA$6*Sales!BA$7,0)+IF(EOMONTH(DATE(YEAR(Sales!$AX$1),MONTH(Sales!$AX$1),1)+INT((DAY(Sales!$AX$1)-1)/2)+'Cash Drivers'!AX$13,0)=EOMONTH($N$1,0),Sales!AX$6*Sales!AX$7,0)+IF(EOMONTH(DATE(YEAR(Sales!$AU$1),MONTH(Sales!$AU$1),1)+INT((DAY(Sales!$AU$1)-1)/2)+'Cash Drivers'!AU$13,0)=EOMONTH($N$1,0),Sales!AU$6*Sales!AU$7,0)+IF(EOMONTH(DATE(YEAR(Sales!$AR$1),MONTH(Sales!$AR$1),1)+INT((DAY(Sales!$AR$1)-1)/2)+'Cash Drivers'!AR$13,0)=EOMONTH($N$1,0),Sales!AR$6*Sales!AR$7,0)+IF(EOMONTH(DATE(YEAR(Sales!$AO$1),MONTH(Sales!$AO$1),1)+INT((DAY(Sales!$AO$1)-1)/2)+'Cash Drivers'!AO$13,0)=EOMONTH($N$1,0),Sales!AO$6*Sales!AO$7,0)+IF(EOMONTH(DATE(YEAR(Sales!$AL$1),MONTH(Sales!$AL$1),1)+INT((DAY(Sales!$AL$1)-1)/2)+'Cash Drivers'!AL$13,0)=EOMONTH($N$1,0),Sales!AL$6*Sales!AL$7,0)+IF(EOMONTH(DATE(YEAR(Sales!$AI$1),MONTH(Sales!$AI$1),1)+INT((DAY(Sales!$AI$1)-1)/2)+'Cash Drivers'!AI$13,0)=EOMONTH($N$1,0),Sales!AI$6*Sales!AI$7,0)+IF(EOMONTH(DATE(YEAR(Sales!$AF$1),MONTH(Sales!$AF$1),1)+INT((DAY(Sales!$AF$1)-1)/2)+'Cash Drivers'!AF$13,0)=EOMONTH($N$1,0),Sales!AF$6*Sales!AF$7,0)+IF(EOMONTH(DATE(YEAR(Sales!$AC$1),MONTH(Sales!$AC$1),1)+INT((DAY(Sales!$AC$1)-1)/2)+'Cash Drivers'!AC$13,0)=EOMONTH($N$1,0),Sales!AC$6*Sales!AC$7,0)+IF(EOMONTH(DATE(YEAR(Sales!$Z$1),MONTH(Sales!$Z$1),1)+INT((DAY(Sales!$Z$1)-1)/2)+'Cash Drivers'!Z$13,0)=EOMONTH($N$1,0),Sales!Z$6*Sales!Z$7,0)+IF(EOMONTH(DATE(YEAR(Sales!$W$1),MONTH(Sales!$W$1),1)+INT((DAY(Sales!$W$1)-1)/2)+'Cash Drivers'!W$13,0)=EOMONTH($N$1,0),Sales!W$6*Sales!W$7,0)+IF(EOMONTH(DATE(YEAR(Sales!$T$1),MONTH(Sales!$T$1),1)+INT((DAY(Sales!$T$1)-1)/2)+'Cash Drivers'!T$13,0)=EOMONTH($N$1,0),Sales!T$6*Sales!T$7,0)+IF(EOMONTH(DATE(YEAR(Sales!$Q$1),MONTH(Sales!$Q$1),1)+INT((DAY(Sales!$Q$1)-1)/2)+'Cash Drivers'!Q$13,0)=EOMONTH($N$1,0),Sales!Q$6*Sales!Q$7,0)+IF(EOMONTH(DATE(YEAR(Sales!$N$1),MONTH(Sales!$N$1),1)+INT((DAY(Sales!$N$1)-1)/2)+'Cash Drivers'!N$13,0)=EOMONTH($N$1,0),Sales!N$6*Sales!N$7,0)+IF(EOMONTH(DATE(YEAR(Sales!$K$1),MONTH(Sales!$K$1),1)+INT((DAY(Sales!$K$1)-1)/2)+'Cash Drivers'!K$13,0)=EOMONTH($N$1,0),Sales!K$6*Sales!K$7,0)+IF(EOMONTH('Cash Drivers'!$DL$30+'Cash Drivers'!DL$13,0)=EOMONTH($N$1,0),'Cash Drivers'!$DL$32*Sales!$DL$60,0),0)</f>
        <v>0</v>
      </c>
      <c r="O24" s="59" t="n">
        <f aca="false">ROUND(IF(EOMONTH(DATE(YEAR(Sales!$DL$1),MONTH(Sales!$DL$1),1)+INT((DAY(Sales!$DL$1)-1)/2)+'Cash Drivers'!DM$13,0)=EOMONTH($N$1,0),Sales!DM$6*Sales!DM$7,0)+IF(EOMONTH(DATE(YEAR(Sales!$DI$1),MONTH(Sales!$DI$1),1)+INT((DAY(Sales!$DI$1)-1)/2)+'Cash Drivers'!DJ$13,0)=EOMONTH($N$1,0),Sales!DJ$6*Sales!DJ$7,0)+IF(EOMONTH(DATE(YEAR(Sales!$DF$1),MONTH(Sales!$DF$1),1)+INT((DAY(Sales!$DF$1)-1)/2)+'Cash Drivers'!DG$13,0)=EOMONTH($N$1,0),Sales!DG$6*Sales!DG$7,0)+IF(EOMONTH(DATE(YEAR(Sales!$DC$1),MONTH(Sales!$DC$1),1)+INT((DAY(Sales!$DC$1)-1)/2)+'Cash Drivers'!DD$13,0)=EOMONTH($N$1,0),Sales!DD$6*Sales!DD$7,0)+IF(EOMONTH(DATE(YEAR(Sales!$CZ$1),MONTH(Sales!$CZ$1),1)+INT((DAY(Sales!$CZ$1)-1)/2)+'Cash Drivers'!DA$13,0)=EOMONTH($N$1,0),Sales!DA$6*Sales!DA$7,0)+IF(EOMONTH(DATE(YEAR(Sales!$CW$1),MONTH(Sales!$CW$1),1)+INT((DAY(Sales!$CW$1)-1)/2)+'Cash Drivers'!CX$13,0)=EOMONTH($N$1,0),Sales!CX$6*Sales!CX$7,0)+IF(EOMONTH(DATE(YEAR(Sales!$CT$1),MONTH(Sales!$CT$1),1)+INT((DAY(Sales!$CT$1)-1)/2)+'Cash Drivers'!CU$13,0)=EOMONTH($N$1,0),Sales!CU$6*Sales!CU$7,0)+IF(EOMONTH(DATE(YEAR(Sales!$CQ$1),MONTH(Sales!$CQ$1),1)+INT((DAY(Sales!$CQ$1)-1)/2)+'Cash Drivers'!CR$13,0)=EOMONTH($N$1,0),Sales!CR$6*Sales!CR$7,0)+IF(EOMONTH(DATE(YEAR(Sales!$CN$1),MONTH(Sales!$CN$1),1)+INT((DAY(Sales!$CN$1)-1)/2)+'Cash Drivers'!CO$13,0)=EOMONTH($N$1,0),Sales!CO$6*Sales!CO$7,0)+IF(EOMONTH(DATE(YEAR(Sales!$CK$1),MONTH(Sales!$CK$1),1)+INT((DAY(Sales!$CK$1)-1)/2)+'Cash Drivers'!CL$13,0)=EOMONTH($N$1,0),Sales!CL$6*Sales!CL$7,0)+IF(EOMONTH(DATE(YEAR(Sales!$CH$1),MONTH(Sales!$CH$1),1)+INT((DAY(Sales!$CH$1)-1)/2)+'Cash Drivers'!CI$13,0)=EOMONTH($N$1,0),Sales!CI$6*Sales!CI$7,0)+IF(EOMONTH(DATE(YEAR(Sales!$CE$1),MONTH(Sales!$CE$1),1)+INT((DAY(Sales!$CE$1)-1)/2)+'Cash Drivers'!CF$13,0)=EOMONTH($N$1,0),Sales!CF$6*Sales!CF$7,0)+IF(EOMONTH(DATE(YEAR(Sales!$CB$1),MONTH(Sales!$CB$1),1)+INT((DAY(Sales!$CB$1)-1)/2)+'Cash Drivers'!CC$13,0)=EOMONTH($N$1,0),Sales!CC$6*Sales!CC$7,0)+IF(EOMONTH(DATE(YEAR(Sales!$BY$1),MONTH(Sales!$BY$1),1)+INT((DAY(Sales!$BY$1)-1)/2)+'Cash Drivers'!BZ$13,0)=EOMONTH($N$1,0),Sales!BZ$6*Sales!BZ$7,0)+IF(EOMONTH(DATE(YEAR(Sales!$BV$1),MONTH(Sales!$BV$1),1)+INT((DAY(Sales!$BV$1)-1)/2)+'Cash Drivers'!BW$13,0)=EOMONTH($N$1,0),Sales!BW$6*Sales!BW$7,0)+IF(EOMONTH(DATE(YEAR(Sales!$BS$1),MONTH(Sales!$BS$1),1)+INT((DAY(Sales!$BS$1)-1)/2)+'Cash Drivers'!BT$13,0)=EOMONTH($N$1,0),Sales!BT$6*Sales!BT$7,0)+IF(EOMONTH(DATE(YEAR(Sales!$BP$1),MONTH(Sales!$BP$1),1)+INT((DAY(Sales!$BP$1)-1)/2)+'Cash Drivers'!BQ$13,0)=EOMONTH($N$1,0),Sales!BQ$6*Sales!BQ$7,0)+IF(EOMONTH(DATE(YEAR(Sales!$BM$1),MONTH(Sales!$BM$1),1)+INT((DAY(Sales!$BM$1)-1)/2)+'Cash Drivers'!BN$13,0)=EOMONTH($N$1,0),Sales!BN$6*Sales!BN$7,0)+IF(EOMONTH(DATE(YEAR(Sales!$BJ$1),MONTH(Sales!$BJ$1),1)+INT((DAY(Sales!$BJ$1)-1)/2)+'Cash Drivers'!BK$13,0)=EOMONTH($N$1,0),Sales!BK$6*Sales!BK$7,0)+IF(EOMONTH(DATE(YEAR(Sales!$BG$1),MONTH(Sales!$BG$1),1)+INT((DAY(Sales!$BG$1)-1)/2)+'Cash Drivers'!BH$13,0)=EOMONTH($N$1,0),Sales!BH$6*Sales!BH$7,0)+IF(EOMONTH(DATE(YEAR(Sales!$BD$1),MONTH(Sales!$BD$1),1)+INT((DAY(Sales!$BD$1)-1)/2)+'Cash Drivers'!BE$13,0)=EOMONTH($N$1,0),Sales!BE$6*Sales!BE$7,0)+IF(EOMONTH(DATE(YEAR(Sales!$BA$1),MONTH(Sales!$BA$1),1)+INT((DAY(Sales!$BA$1)-1)/2)+'Cash Drivers'!BB$13,0)=EOMONTH($N$1,0),Sales!BB$6*Sales!BB$7,0)+IF(EOMONTH(DATE(YEAR(Sales!$AX$1),MONTH(Sales!$AX$1),1)+INT((DAY(Sales!$AX$1)-1)/2)+'Cash Drivers'!AY$13,0)=EOMONTH($N$1,0),Sales!AY$6*Sales!AY$7,0)+IF(EOMONTH(DATE(YEAR(Sales!$AU$1),MONTH(Sales!$AU$1),1)+INT((DAY(Sales!$AU$1)-1)/2)+'Cash Drivers'!AV$13,0)=EOMONTH($N$1,0),Sales!AV$6*Sales!AV$7,0)+IF(EOMONTH(DATE(YEAR(Sales!$AR$1),MONTH(Sales!$AR$1),1)+INT((DAY(Sales!$AR$1)-1)/2)+'Cash Drivers'!AS$13,0)=EOMONTH($N$1,0),Sales!AS$6*Sales!AS$7,0)+IF(EOMONTH(DATE(YEAR(Sales!$AO$1),MONTH(Sales!$AO$1),1)+INT((DAY(Sales!$AO$1)-1)/2)+'Cash Drivers'!AP$13,0)=EOMONTH($N$1,0),Sales!AP$6*Sales!AP$7,0)+IF(EOMONTH(DATE(YEAR(Sales!$AL$1),MONTH(Sales!$AL$1),1)+INT((DAY(Sales!$AL$1)-1)/2)+'Cash Drivers'!AM$13,0)=EOMONTH($N$1,0),Sales!AM$6*Sales!AM$7,0)+IF(EOMONTH(DATE(YEAR(Sales!$AI$1),MONTH(Sales!$AI$1),1)+INT((DAY(Sales!$AI$1)-1)/2)+'Cash Drivers'!AJ$13,0)=EOMONTH($N$1,0),Sales!AJ$6*Sales!AJ$7,0)+IF(EOMONTH(DATE(YEAR(Sales!$AF$1),MONTH(Sales!$AF$1),1)+INT((DAY(Sales!$AF$1)-1)/2)+'Cash Drivers'!AG$13,0)=EOMONTH($N$1,0),Sales!AG$6*Sales!AG$7,0)+IF(EOMONTH(DATE(YEAR(Sales!$AC$1),MONTH(Sales!$AC$1),1)+INT((DAY(Sales!$AC$1)-1)/2)+'Cash Drivers'!AD$13,0)=EOMONTH($N$1,0),Sales!AD$6*Sales!AD$7,0)+IF(EOMONTH(DATE(YEAR(Sales!$Z$1),MONTH(Sales!$Z$1),1)+INT((DAY(Sales!$Z$1)-1)/2)+'Cash Drivers'!AA$13,0)=EOMONTH($N$1,0),Sales!AA$6*Sales!AA$7,0)+IF(EOMONTH(DATE(YEAR(Sales!$W$1),MONTH(Sales!$W$1),1)+INT((DAY(Sales!$W$1)-1)/2)+'Cash Drivers'!X$13,0)=EOMONTH($N$1,0),Sales!X$6*Sales!X$7,0)+IF(EOMONTH(DATE(YEAR(Sales!$T$1),MONTH(Sales!$T$1),1)+INT((DAY(Sales!$T$1)-1)/2)+'Cash Drivers'!U$13,0)=EOMONTH($N$1,0),Sales!U$6*Sales!U$7,0)+IF(EOMONTH(DATE(YEAR(Sales!$Q$1),MONTH(Sales!$Q$1),1)+INT((DAY(Sales!$Q$1)-1)/2)+'Cash Drivers'!R$13,0)=EOMONTH($N$1,0),Sales!R$6*Sales!R$7,0)+IF(EOMONTH(DATE(YEAR(Sales!$N$1),MONTH(Sales!$N$1),1)+INT((DAY(Sales!$N$1)-1)/2)+'Cash Drivers'!O$13,0)=EOMONTH($N$1,0),Sales!O$6*Sales!O$7,0)+IF(EOMONTH(DATE(YEAR(Sales!$K$1),MONTH(Sales!$K$1),1)+INT((DAY(Sales!$K$1)-1)/2)+'Cash Drivers'!L$13,0)=EOMONTH($N$1,0),Sales!L$6*Sales!L$7,0)+IF(EOMONTH('Cash Drivers'!$DL$30+'Cash Drivers'!DM$13,0)=EOMONTH($N$1,0),'Cash Drivers'!$DL$32*Sales!$DL$60,0),0)</f>
        <v>51813</v>
      </c>
      <c r="P24" s="60" t="n">
        <f aca="false">ROUND(IF(EOMONTH(DATE(YEAR(Sales!$DL$1),MONTH(Sales!$DL$1),1)+INT((DAY(Sales!$DL$1)-1)/2)+'Cash Drivers'!DN$13,0)=EOMONTH($N$1,0),Sales!DN$6*Sales!DN$7,0)+IF(EOMONTH(DATE(YEAR(Sales!$DI$1),MONTH(Sales!$DI$1),1)+INT((DAY(Sales!$DI$1)-1)/2)+'Cash Drivers'!DK$13,0)=EOMONTH($N$1,0),Sales!DK$6*Sales!DK$7,0)+IF(EOMONTH(DATE(YEAR(Sales!$DF$1),MONTH(Sales!$DF$1),1)+INT((DAY(Sales!$DF$1)-1)/2)+'Cash Drivers'!DH$13,0)=EOMONTH($N$1,0),Sales!DH$6*Sales!DH$7,0)+IF(EOMONTH(DATE(YEAR(Sales!$DC$1),MONTH(Sales!$DC$1),1)+INT((DAY(Sales!$DC$1)-1)/2)+'Cash Drivers'!DE$13,0)=EOMONTH($N$1,0),Sales!DE$6*Sales!DE$7,0)+IF(EOMONTH(DATE(YEAR(Sales!$CZ$1),MONTH(Sales!$CZ$1),1)+INT((DAY(Sales!$CZ$1)-1)/2)+'Cash Drivers'!DB$13,0)=EOMONTH($N$1,0),Sales!DB$6*Sales!DB$7,0)+IF(EOMONTH(DATE(YEAR(Sales!$CW$1),MONTH(Sales!$CW$1),1)+INT((DAY(Sales!$CW$1)-1)/2)+'Cash Drivers'!CY$13,0)=EOMONTH($N$1,0),Sales!CY$6*Sales!CY$7,0)+IF(EOMONTH(DATE(YEAR(Sales!$CT$1),MONTH(Sales!$CT$1),1)+INT((DAY(Sales!$CT$1)-1)/2)+'Cash Drivers'!CV$13,0)=EOMONTH($N$1,0),Sales!CV$6*Sales!CV$7,0)+IF(EOMONTH(DATE(YEAR(Sales!$CQ$1),MONTH(Sales!$CQ$1),1)+INT((DAY(Sales!$CQ$1)-1)/2)+'Cash Drivers'!CS$13,0)=EOMONTH($N$1,0),Sales!CS$6*Sales!CS$7,0)+IF(EOMONTH(DATE(YEAR(Sales!$CN$1),MONTH(Sales!$CN$1),1)+INT((DAY(Sales!$CN$1)-1)/2)+'Cash Drivers'!CP$13,0)=EOMONTH($N$1,0),Sales!CP$6*Sales!CP$7,0)+IF(EOMONTH(DATE(YEAR(Sales!$CK$1),MONTH(Sales!$CK$1),1)+INT((DAY(Sales!$CK$1)-1)/2)+'Cash Drivers'!CM$13,0)=EOMONTH($N$1,0),Sales!CM$6*Sales!CM$7,0)+IF(EOMONTH(DATE(YEAR(Sales!$CH$1),MONTH(Sales!$CH$1),1)+INT((DAY(Sales!$CH$1)-1)/2)+'Cash Drivers'!CJ$13,0)=EOMONTH($N$1,0),Sales!CJ$6*Sales!CJ$7,0)+IF(EOMONTH(DATE(YEAR(Sales!$CE$1),MONTH(Sales!$CE$1),1)+INT((DAY(Sales!$CE$1)-1)/2)+'Cash Drivers'!CG$13,0)=EOMONTH($N$1,0),Sales!CG$6*Sales!CG$7,0)+IF(EOMONTH(DATE(YEAR(Sales!$CB$1),MONTH(Sales!$CB$1),1)+INT((DAY(Sales!$CB$1)-1)/2)+'Cash Drivers'!CD$13,0)=EOMONTH($N$1,0),Sales!CD$6*Sales!CD$7,0)+IF(EOMONTH(DATE(YEAR(Sales!$BY$1),MONTH(Sales!$BY$1),1)+INT((DAY(Sales!$BY$1)-1)/2)+'Cash Drivers'!CA$13,0)=EOMONTH($N$1,0),Sales!CA$6*Sales!CA$7,0)+IF(EOMONTH(DATE(YEAR(Sales!$BV$1),MONTH(Sales!$BV$1),1)+INT((DAY(Sales!$BV$1)-1)/2)+'Cash Drivers'!BX$13,0)=EOMONTH($N$1,0),Sales!BX$6*Sales!BX$7,0)+IF(EOMONTH(DATE(YEAR(Sales!$BS$1),MONTH(Sales!$BS$1),1)+INT((DAY(Sales!$BS$1)-1)/2)+'Cash Drivers'!BU$13,0)=EOMONTH($N$1,0),Sales!BU$6*Sales!BU$7,0)+IF(EOMONTH(DATE(YEAR(Sales!$BP$1),MONTH(Sales!$BP$1),1)+INT((DAY(Sales!$BP$1)-1)/2)+'Cash Drivers'!BR$13,0)=EOMONTH($N$1,0),Sales!BR$6*Sales!BR$7,0)+IF(EOMONTH(DATE(YEAR(Sales!$BM$1),MONTH(Sales!$BM$1),1)+INT((DAY(Sales!$BM$1)-1)/2)+'Cash Drivers'!BO$13,0)=EOMONTH($N$1,0),Sales!BO$6*Sales!BO$7,0)+IF(EOMONTH(DATE(YEAR(Sales!$BJ$1),MONTH(Sales!$BJ$1),1)+INT((DAY(Sales!$BJ$1)-1)/2)+'Cash Drivers'!BL$13,0)=EOMONTH($N$1,0),Sales!BL$6*Sales!BL$7,0)+IF(EOMONTH(DATE(YEAR(Sales!$BG$1),MONTH(Sales!$BG$1),1)+INT((DAY(Sales!$BG$1)-1)/2)+'Cash Drivers'!BI$13,0)=EOMONTH($N$1,0),Sales!BI$6*Sales!BI$7,0)+IF(EOMONTH(DATE(YEAR(Sales!$BD$1),MONTH(Sales!$BD$1),1)+INT((DAY(Sales!$BD$1)-1)/2)+'Cash Drivers'!BF$13,0)=EOMONTH($N$1,0),Sales!BF$6*Sales!BF$7,0)+IF(EOMONTH(DATE(YEAR(Sales!$BA$1),MONTH(Sales!$BA$1),1)+INT((DAY(Sales!$BA$1)-1)/2)+'Cash Drivers'!BC$13,0)=EOMONTH($N$1,0),Sales!BC$6*Sales!BC$7,0)+IF(EOMONTH(DATE(YEAR(Sales!$AX$1),MONTH(Sales!$AX$1),1)+INT((DAY(Sales!$AX$1)-1)/2)+'Cash Drivers'!AZ$13,0)=EOMONTH($N$1,0),Sales!AZ$6*Sales!AZ$7,0)+IF(EOMONTH(DATE(YEAR(Sales!$AU$1),MONTH(Sales!$AU$1),1)+INT((DAY(Sales!$AU$1)-1)/2)+'Cash Drivers'!AW$13,0)=EOMONTH($N$1,0),Sales!AW$6*Sales!AW$7,0)+IF(EOMONTH(DATE(YEAR(Sales!$AR$1),MONTH(Sales!$AR$1),1)+INT((DAY(Sales!$AR$1)-1)/2)+'Cash Drivers'!AT$13,0)=EOMONTH($N$1,0),Sales!AT$6*Sales!AT$7,0)+IF(EOMONTH(DATE(YEAR(Sales!$AO$1),MONTH(Sales!$AO$1),1)+INT((DAY(Sales!$AO$1)-1)/2)+'Cash Drivers'!AQ$13,0)=EOMONTH($N$1,0),Sales!AQ$6*Sales!AQ$7,0)+IF(EOMONTH(DATE(YEAR(Sales!$AL$1),MONTH(Sales!$AL$1),1)+INT((DAY(Sales!$AL$1)-1)/2)+'Cash Drivers'!AN$13,0)=EOMONTH($N$1,0),Sales!AN$6*Sales!AN$7,0)+IF(EOMONTH(DATE(YEAR(Sales!$AI$1),MONTH(Sales!$AI$1),1)+INT((DAY(Sales!$AI$1)-1)/2)+'Cash Drivers'!AK$13,0)=EOMONTH($N$1,0),Sales!AK$6*Sales!AK$7,0)+IF(EOMONTH(DATE(YEAR(Sales!$AF$1),MONTH(Sales!$AF$1),1)+INT((DAY(Sales!$AF$1)-1)/2)+'Cash Drivers'!AH$13,0)=EOMONTH($N$1,0),Sales!AH$6*Sales!AH$7,0)+IF(EOMONTH(DATE(YEAR(Sales!$AC$1),MONTH(Sales!$AC$1),1)+INT((DAY(Sales!$AC$1)-1)/2)+'Cash Drivers'!AE$13,0)=EOMONTH($N$1,0),Sales!AE$6*Sales!AE$7,0)+IF(EOMONTH(DATE(YEAR(Sales!$Z$1),MONTH(Sales!$Z$1),1)+INT((DAY(Sales!$Z$1)-1)/2)+'Cash Drivers'!AB$13,0)=EOMONTH($N$1,0),Sales!AB$6*Sales!AB$7,0)+IF(EOMONTH(DATE(YEAR(Sales!$W$1),MONTH(Sales!$W$1),1)+INT((DAY(Sales!$W$1)-1)/2)+'Cash Drivers'!Y$13,0)=EOMONTH($N$1,0),Sales!Y$6*Sales!Y$7,0)+IF(EOMONTH(DATE(YEAR(Sales!$T$1),MONTH(Sales!$T$1),1)+INT((DAY(Sales!$T$1)-1)/2)+'Cash Drivers'!V$13,0)=EOMONTH($N$1,0),Sales!V$6*Sales!V$7,0)+IF(EOMONTH(DATE(YEAR(Sales!$Q$1),MONTH(Sales!$Q$1),1)+INT((DAY(Sales!$Q$1)-1)/2)+'Cash Drivers'!S$13,0)=EOMONTH($N$1,0),Sales!S$6*Sales!S$7,0)+IF(EOMONTH(DATE(YEAR(Sales!$N$1),MONTH(Sales!$N$1),1)+INT((DAY(Sales!$N$1)-1)/2)+'Cash Drivers'!P$13,0)=EOMONTH($N$1,0),Sales!P$6*Sales!P$7,0)+IF(EOMONTH(DATE(YEAR(Sales!$K$1),MONTH(Sales!$K$1),1)+INT((DAY(Sales!$K$1)-1)/2)+'Cash Drivers'!M$13,0)=EOMONTH($N$1,0),Sales!M$6*Sales!M$7,0)+IF(EOMONTH('Cash Drivers'!$DL$30+'Cash Drivers'!DN$13,0)=EOMONTH($N$1,0),'Cash Drivers'!$DL$32*Sales!$DL$60,0),0)</f>
        <v>51927</v>
      </c>
      <c r="Q24" s="58" t="n">
        <f aca="false">ROUND(IF(EOMONTH(DATE(YEAR(Sales!$DL$1),MONTH(Sales!$DL$1),1)+INT((DAY(Sales!$DL$1)-1)/2)+'Cash Drivers'!DL$13,0)=EOMONTH($Q$1,0),Sales!DL$6*Sales!DL$7,0)+IF(EOMONTH(DATE(YEAR(Sales!$DI$1),MONTH(Sales!$DI$1),1)+INT((DAY(Sales!$DI$1)-1)/2)+'Cash Drivers'!DI$13,0)=EOMONTH($Q$1,0),Sales!DI$6*Sales!DI$7,0)+IF(EOMONTH(DATE(YEAR(Sales!$DF$1),MONTH(Sales!$DF$1),1)+INT((DAY(Sales!$DF$1)-1)/2)+'Cash Drivers'!DF$13,0)=EOMONTH($Q$1,0),Sales!DF$6*Sales!DF$7,0)+IF(EOMONTH(DATE(YEAR(Sales!$DC$1),MONTH(Sales!$DC$1),1)+INT((DAY(Sales!$DC$1)-1)/2)+'Cash Drivers'!DC$13,0)=EOMONTH($Q$1,0),Sales!DC$6*Sales!DC$7,0)+IF(EOMONTH(DATE(YEAR(Sales!$CZ$1),MONTH(Sales!$CZ$1),1)+INT((DAY(Sales!$CZ$1)-1)/2)+'Cash Drivers'!CZ$13,0)=EOMONTH($Q$1,0),Sales!CZ$6*Sales!CZ$7,0)+IF(EOMONTH(DATE(YEAR(Sales!$CW$1),MONTH(Sales!$CW$1),1)+INT((DAY(Sales!$CW$1)-1)/2)+'Cash Drivers'!CW$13,0)=EOMONTH($Q$1,0),Sales!CW$6*Sales!CW$7,0)+IF(EOMONTH(DATE(YEAR(Sales!$CT$1),MONTH(Sales!$CT$1),1)+INT((DAY(Sales!$CT$1)-1)/2)+'Cash Drivers'!CT$13,0)=EOMONTH($Q$1,0),Sales!CT$6*Sales!CT$7,0)+IF(EOMONTH(DATE(YEAR(Sales!$CQ$1),MONTH(Sales!$CQ$1),1)+INT((DAY(Sales!$CQ$1)-1)/2)+'Cash Drivers'!CQ$13,0)=EOMONTH($Q$1,0),Sales!CQ$6*Sales!CQ$7,0)+IF(EOMONTH(DATE(YEAR(Sales!$CN$1),MONTH(Sales!$CN$1),1)+INT((DAY(Sales!$CN$1)-1)/2)+'Cash Drivers'!CN$13,0)=EOMONTH($Q$1,0),Sales!CN$6*Sales!CN$7,0)+IF(EOMONTH(DATE(YEAR(Sales!$CK$1),MONTH(Sales!$CK$1),1)+INT((DAY(Sales!$CK$1)-1)/2)+'Cash Drivers'!CK$13,0)=EOMONTH($Q$1,0),Sales!CK$6*Sales!CK$7,0)+IF(EOMONTH(DATE(YEAR(Sales!$CH$1),MONTH(Sales!$CH$1),1)+INT((DAY(Sales!$CH$1)-1)/2)+'Cash Drivers'!CH$13,0)=EOMONTH($Q$1,0),Sales!CH$6*Sales!CH$7,0)+IF(EOMONTH(DATE(YEAR(Sales!$CE$1),MONTH(Sales!$CE$1),1)+INT((DAY(Sales!$CE$1)-1)/2)+'Cash Drivers'!CE$13,0)=EOMONTH($Q$1,0),Sales!CE$6*Sales!CE$7,0)+IF(EOMONTH(DATE(YEAR(Sales!$CB$1),MONTH(Sales!$CB$1),1)+INT((DAY(Sales!$CB$1)-1)/2)+'Cash Drivers'!CB$13,0)=EOMONTH($Q$1,0),Sales!CB$6*Sales!CB$7,0)+IF(EOMONTH(DATE(YEAR(Sales!$BY$1),MONTH(Sales!$BY$1),1)+INT((DAY(Sales!$BY$1)-1)/2)+'Cash Drivers'!BY$13,0)=EOMONTH($Q$1,0),Sales!BY$6*Sales!BY$7,0)+IF(EOMONTH(DATE(YEAR(Sales!$BV$1),MONTH(Sales!$BV$1),1)+INT((DAY(Sales!$BV$1)-1)/2)+'Cash Drivers'!BV$13,0)=EOMONTH($Q$1,0),Sales!BV$6*Sales!BV$7,0)+IF(EOMONTH(DATE(YEAR(Sales!$BS$1),MONTH(Sales!$BS$1),1)+INT((DAY(Sales!$BS$1)-1)/2)+'Cash Drivers'!BS$13,0)=EOMONTH($Q$1,0),Sales!BS$6*Sales!BS$7,0)+IF(EOMONTH(DATE(YEAR(Sales!$BP$1),MONTH(Sales!$BP$1),1)+INT((DAY(Sales!$BP$1)-1)/2)+'Cash Drivers'!BP$13,0)=EOMONTH($Q$1,0),Sales!BP$6*Sales!BP$7,0)+IF(EOMONTH(DATE(YEAR(Sales!$BM$1),MONTH(Sales!$BM$1),1)+INT((DAY(Sales!$BM$1)-1)/2)+'Cash Drivers'!BM$13,0)=EOMONTH($Q$1,0),Sales!BM$6*Sales!BM$7,0)+IF(EOMONTH(DATE(YEAR(Sales!$BJ$1),MONTH(Sales!$BJ$1),1)+INT((DAY(Sales!$BJ$1)-1)/2)+'Cash Drivers'!BJ$13,0)=EOMONTH($Q$1,0),Sales!BJ$6*Sales!BJ$7,0)+IF(EOMONTH(DATE(YEAR(Sales!$BG$1),MONTH(Sales!$BG$1),1)+INT((DAY(Sales!$BG$1)-1)/2)+'Cash Drivers'!BG$13,0)=EOMONTH($Q$1,0),Sales!BG$6*Sales!BG$7,0)+IF(EOMONTH(DATE(YEAR(Sales!$BD$1),MONTH(Sales!$BD$1),1)+INT((DAY(Sales!$BD$1)-1)/2)+'Cash Drivers'!BD$13,0)=EOMONTH($Q$1,0),Sales!BD$6*Sales!BD$7,0)+IF(EOMONTH(DATE(YEAR(Sales!$BA$1),MONTH(Sales!$BA$1),1)+INT((DAY(Sales!$BA$1)-1)/2)+'Cash Drivers'!BA$13,0)=EOMONTH($Q$1,0),Sales!BA$6*Sales!BA$7,0)+IF(EOMONTH(DATE(YEAR(Sales!$AX$1),MONTH(Sales!$AX$1),1)+INT((DAY(Sales!$AX$1)-1)/2)+'Cash Drivers'!AX$13,0)=EOMONTH($Q$1,0),Sales!AX$6*Sales!AX$7,0)+IF(EOMONTH(DATE(YEAR(Sales!$AU$1),MONTH(Sales!$AU$1),1)+INT((DAY(Sales!$AU$1)-1)/2)+'Cash Drivers'!AU$13,0)=EOMONTH($Q$1,0),Sales!AU$6*Sales!AU$7,0)+IF(EOMONTH(DATE(YEAR(Sales!$AR$1),MONTH(Sales!$AR$1),1)+INT((DAY(Sales!$AR$1)-1)/2)+'Cash Drivers'!AR$13,0)=EOMONTH($Q$1,0),Sales!AR$6*Sales!AR$7,0)+IF(EOMONTH(DATE(YEAR(Sales!$AO$1),MONTH(Sales!$AO$1),1)+INT((DAY(Sales!$AO$1)-1)/2)+'Cash Drivers'!AO$13,0)=EOMONTH($Q$1,0),Sales!AO$6*Sales!AO$7,0)+IF(EOMONTH(DATE(YEAR(Sales!$AL$1),MONTH(Sales!$AL$1),1)+INT((DAY(Sales!$AL$1)-1)/2)+'Cash Drivers'!AL$13,0)=EOMONTH($Q$1,0),Sales!AL$6*Sales!AL$7,0)+IF(EOMONTH(DATE(YEAR(Sales!$AI$1),MONTH(Sales!$AI$1),1)+INT((DAY(Sales!$AI$1)-1)/2)+'Cash Drivers'!AI$13,0)=EOMONTH($Q$1,0),Sales!AI$6*Sales!AI$7,0)+IF(EOMONTH(DATE(YEAR(Sales!$AF$1),MONTH(Sales!$AF$1),1)+INT((DAY(Sales!$AF$1)-1)/2)+'Cash Drivers'!AF$13,0)=EOMONTH($Q$1,0),Sales!AF$6*Sales!AF$7,0)+IF(EOMONTH(DATE(YEAR(Sales!$AC$1),MONTH(Sales!$AC$1),1)+INT((DAY(Sales!$AC$1)-1)/2)+'Cash Drivers'!AC$13,0)=EOMONTH($Q$1,0),Sales!AC$6*Sales!AC$7,0)+IF(EOMONTH(DATE(YEAR(Sales!$Z$1),MONTH(Sales!$Z$1),1)+INT((DAY(Sales!$Z$1)-1)/2)+'Cash Drivers'!Z$13,0)=EOMONTH($Q$1,0),Sales!Z$6*Sales!Z$7,0)+IF(EOMONTH(DATE(YEAR(Sales!$W$1),MONTH(Sales!$W$1),1)+INT((DAY(Sales!$W$1)-1)/2)+'Cash Drivers'!W$13,0)=EOMONTH($Q$1,0),Sales!W$6*Sales!W$7,0)+IF(EOMONTH(DATE(YEAR(Sales!$T$1),MONTH(Sales!$T$1),1)+INT((DAY(Sales!$T$1)-1)/2)+'Cash Drivers'!T$13,0)=EOMONTH($Q$1,0),Sales!T$6*Sales!T$7,0)+IF(EOMONTH(DATE(YEAR(Sales!$Q$1),MONTH(Sales!$Q$1),1)+INT((DAY(Sales!$Q$1)-1)/2)+'Cash Drivers'!Q$13,0)=EOMONTH($Q$1,0),Sales!Q$6*Sales!Q$7,0)+IF(EOMONTH(DATE(YEAR(Sales!$N$1),MONTH(Sales!$N$1),1)+INT((DAY(Sales!$N$1)-1)/2)+'Cash Drivers'!N$13,0)=EOMONTH($Q$1,0),Sales!N$6*Sales!N$7,0)+IF(EOMONTH(DATE(YEAR(Sales!$K$1),MONTH(Sales!$K$1),1)+INT((DAY(Sales!$K$1)-1)/2)+'Cash Drivers'!K$13,0)=EOMONTH($Q$1,0),Sales!K$6*Sales!K$7,0)+IF(EOMONTH('Cash Drivers'!$DL$30+'Cash Drivers'!DL$13,0)=EOMONTH($Q$1,0),'Cash Drivers'!$DL$32*Sales!$DL$60,0),0)</f>
        <v>0</v>
      </c>
      <c r="R24" s="59" t="n">
        <f aca="false">ROUND(IF(EOMONTH(DATE(YEAR(Sales!$DL$1),MONTH(Sales!$DL$1),1)+INT((DAY(Sales!$DL$1)-1)/2)+'Cash Drivers'!DM$13,0)=EOMONTH($Q$1,0),Sales!DM$6*Sales!DM$7,0)+IF(EOMONTH(DATE(YEAR(Sales!$DI$1),MONTH(Sales!$DI$1),1)+INT((DAY(Sales!$DI$1)-1)/2)+'Cash Drivers'!DJ$13,0)=EOMONTH($Q$1,0),Sales!DJ$6*Sales!DJ$7,0)+IF(EOMONTH(DATE(YEAR(Sales!$DF$1),MONTH(Sales!$DF$1),1)+INT((DAY(Sales!$DF$1)-1)/2)+'Cash Drivers'!DG$13,0)=EOMONTH($Q$1,0),Sales!DG$6*Sales!DG$7,0)+IF(EOMONTH(DATE(YEAR(Sales!$DC$1),MONTH(Sales!$DC$1),1)+INT((DAY(Sales!$DC$1)-1)/2)+'Cash Drivers'!DD$13,0)=EOMONTH($Q$1,0),Sales!DD$6*Sales!DD$7,0)+IF(EOMONTH(DATE(YEAR(Sales!$CZ$1),MONTH(Sales!$CZ$1),1)+INT((DAY(Sales!$CZ$1)-1)/2)+'Cash Drivers'!DA$13,0)=EOMONTH($Q$1,0),Sales!DA$6*Sales!DA$7,0)+IF(EOMONTH(DATE(YEAR(Sales!$CW$1),MONTH(Sales!$CW$1),1)+INT((DAY(Sales!$CW$1)-1)/2)+'Cash Drivers'!CX$13,0)=EOMONTH($Q$1,0),Sales!CX$6*Sales!CX$7,0)+IF(EOMONTH(DATE(YEAR(Sales!$CT$1),MONTH(Sales!$CT$1),1)+INT((DAY(Sales!$CT$1)-1)/2)+'Cash Drivers'!CU$13,0)=EOMONTH($Q$1,0),Sales!CU$6*Sales!CU$7,0)+IF(EOMONTH(DATE(YEAR(Sales!$CQ$1),MONTH(Sales!$CQ$1),1)+INT((DAY(Sales!$CQ$1)-1)/2)+'Cash Drivers'!CR$13,0)=EOMONTH($Q$1,0),Sales!CR$6*Sales!CR$7,0)+IF(EOMONTH(DATE(YEAR(Sales!$CN$1),MONTH(Sales!$CN$1),1)+INT((DAY(Sales!$CN$1)-1)/2)+'Cash Drivers'!CO$13,0)=EOMONTH($Q$1,0),Sales!CO$6*Sales!CO$7,0)+IF(EOMONTH(DATE(YEAR(Sales!$CK$1),MONTH(Sales!$CK$1),1)+INT((DAY(Sales!$CK$1)-1)/2)+'Cash Drivers'!CL$13,0)=EOMONTH($Q$1,0),Sales!CL$6*Sales!CL$7,0)+IF(EOMONTH(DATE(YEAR(Sales!$CH$1),MONTH(Sales!$CH$1),1)+INT((DAY(Sales!$CH$1)-1)/2)+'Cash Drivers'!CI$13,0)=EOMONTH($Q$1,0),Sales!CI$6*Sales!CI$7,0)+IF(EOMONTH(DATE(YEAR(Sales!$CE$1),MONTH(Sales!$CE$1),1)+INT((DAY(Sales!$CE$1)-1)/2)+'Cash Drivers'!CF$13,0)=EOMONTH($Q$1,0),Sales!CF$6*Sales!CF$7,0)+IF(EOMONTH(DATE(YEAR(Sales!$CB$1),MONTH(Sales!$CB$1),1)+INT((DAY(Sales!$CB$1)-1)/2)+'Cash Drivers'!CC$13,0)=EOMONTH($Q$1,0),Sales!CC$6*Sales!CC$7,0)+IF(EOMONTH(DATE(YEAR(Sales!$BY$1),MONTH(Sales!$BY$1),1)+INT((DAY(Sales!$BY$1)-1)/2)+'Cash Drivers'!BZ$13,0)=EOMONTH($Q$1,0),Sales!BZ$6*Sales!BZ$7,0)+IF(EOMONTH(DATE(YEAR(Sales!$BV$1),MONTH(Sales!$BV$1),1)+INT((DAY(Sales!$BV$1)-1)/2)+'Cash Drivers'!BW$13,0)=EOMONTH($Q$1,0),Sales!BW$6*Sales!BW$7,0)+IF(EOMONTH(DATE(YEAR(Sales!$BS$1),MONTH(Sales!$BS$1),1)+INT((DAY(Sales!$BS$1)-1)/2)+'Cash Drivers'!BT$13,0)=EOMONTH($Q$1,0),Sales!BT$6*Sales!BT$7,0)+IF(EOMONTH(DATE(YEAR(Sales!$BP$1),MONTH(Sales!$BP$1),1)+INT((DAY(Sales!$BP$1)-1)/2)+'Cash Drivers'!BQ$13,0)=EOMONTH($Q$1,0),Sales!BQ$6*Sales!BQ$7,0)+IF(EOMONTH(DATE(YEAR(Sales!$BM$1),MONTH(Sales!$BM$1),1)+INT((DAY(Sales!$BM$1)-1)/2)+'Cash Drivers'!BN$13,0)=EOMONTH($Q$1,0),Sales!BN$6*Sales!BN$7,0)+IF(EOMONTH(DATE(YEAR(Sales!$BJ$1),MONTH(Sales!$BJ$1),1)+INT((DAY(Sales!$BJ$1)-1)/2)+'Cash Drivers'!BK$13,0)=EOMONTH($Q$1,0),Sales!BK$6*Sales!BK$7,0)+IF(EOMONTH(DATE(YEAR(Sales!$BG$1),MONTH(Sales!$BG$1),1)+INT((DAY(Sales!$BG$1)-1)/2)+'Cash Drivers'!BH$13,0)=EOMONTH($Q$1,0),Sales!BH$6*Sales!BH$7,0)+IF(EOMONTH(DATE(YEAR(Sales!$BD$1),MONTH(Sales!$BD$1),1)+INT((DAY(Sales!$BD$1)-1)/2)+'Cash Drivers'!BE$13,0)=EOMONTH($Q$1,0),Sales!BE$6*Sales!BE$7,0)+IF(EOMONTH(DATE(YEAR(Sales!$BA$1),MONTH(Sales!$BA$1),1)+INT((DAY(Sales!$BA$1)-1)/2)+'Cash Drivers'!BB$13,0)=EOMONTH($Q$1,0),Sales!BB$6*Sales!BB$7,0)+IF(EOMONTH(DATE(YEAR(Sales!$AX$1),MONTH(Sales!$AX$1),1)+INT((DAY(Sales!$AX$1)-1)/2)+'Cash Drivers'!AY$13,0)=EOMONTH($Q$1,0),Sales!AY$6*Sales!AY$7,0)+IF(EOMONTH(DATE(YEAR(Sales!$AU$1),MONTH(Sales!$AU$1),1)+INT((DAY(Sales!$AU$1)-1)/2)+'Cash Drivers'!AV$13,0)=EOMONTH($Q$1,0),Sales!AV$6*Sales!AV$7,0)+IF(EOMONTH(DATE(YEAR(Sales!$AR$1),MONTH(Sales!$AR$1),1)+INT((DAY(Sales!$AR$1)-1)/2)+'Cash Drivers'!AS$13,0)=EOMONTH($Q$1,0),Sales!AS$6*Sales!AS$7,0)+IF(EOMONTH(DATE(YEAR(Sales!$AO$1),MONTH(Sales!$AO$1),1)+INT((DAY(Sales!$AO$1)-1)/2)+'Cash Drivers'!AP$13,0)=EOMONTH($Q$1,0),Sales!AP$6*Sales!AP$7,0)+IF(EOMONTH(DATE(YEAR(Sales!$AL$1),MONTH(Sales!$AL$1),1)+INT((DAY(Sales!$AL$1)-1)/2)+'Cash Drivers'!AM$13,0)=EOMONTH($Q$1,0),Sales!AM$6*Sales!AM$7,0)+IF(EOMONTH(DATE(YEAR(Sales!$AI$1),MONTH(Sales!$AI$1),1)+INT((DAY(Sales!$AI$1)-1)/2)+'Cash Drivers'!AJ$13,0)=EOMONTH($Q$1,0),Sales!AJ$6*Sales!AJ$7,0)+IF(EOMONTH(DATE(YEAR(Sales!$AF$1),MONTH(Sales!$AF$1),1)+INT((DAY(Sales!$AF$1)-1)/2)+'Cash Drivers'!AG$13,0)=EOMONTH($Q$1,0),Sales!AG$6*Sales!AG$7,0)+IF(EOMONTH(DATE(YEAR(Sales!$AC$1),MONTH(Sales!$AC$1),1)+INT((DAY(Sales!$AC$1)-1)/2)+'Cash Drivers'!AD$13,0)=EOMONTH($Q$1,0),Sales!AD$6*Sales!AD$7,0)+IF(EOMONTH(DATE(YEAR(Sales!$Z$1),MONTH(Sales!$Z$1),1)+INT((DAY(Sales!$Z$1)-1)/2)+'Cash Drivers'!AA$13,0)=EOMONTH($Q$1,0),Sales!AA$6*Sales!AA$7,0)+IF(EOMONTH(DATE(YEAR(Sales!$W$1),MONTH(Sales!$W$1),1)+INT((DAY(Sales!$W$1)-1)/2)+'Cash Drivers'!X$13,0)=EOMONTH($Q$1,0),Sales!X$6*Sales!X$7,0)+IF(EOMONTH(DATE(YEAR(Sales!$T$1),MONTH(Sales!$T$1),1)+INT((DAY(Sales!$T$1)-1)/2)+'Cash Drivers'!U$13,0)=EOMONTH($Q$1,0),Sales!U$6*Sales!U$7,0)+IF(EOMONTH(DATE(YEAR(Sales!$Q$1),MONTH(Sales!$Q$1),1)+INT((DAY(Sales!$Q$1)-1)/2)+'Cash Drivers'!R$13,0)=EOMONTH($Q$1,0),Sales!R$6*Sales!R$7,0)+IF(EOMONTH(DATE(YEAR(Sales!$N$1),MONTH(Sales!$N$1),1)+INT((DAY(Sales!$N$1)-1)/2)+'Cash Drivers'!O$13,0)=EOMONTH($Q$1,0),Sales!O$6*Sales!O$7,0)+IF(EOMONTH(DATE(YEAR(Sales!$K$1),MONTH(Sales!$K$1),1)+INT((DAY(Sales!$K$1)-1)/2)+'Cash Drivers'!L$13,0)=EOMONTH($Q$1,0),Sales!L$6*Sales!L$7,0)+IF(EOMONTH('Cash Drivers'!$DL$30+'Cash Drivers'!DM$13,0)=EOMONTH($Q$1,0),'Cash Drivers'!$DL$32*Sales!$DL$60,0),0)</f>
        <v>51528</v>
      </c>
      <c r="S24" s="60" t="n">
        <f aca="false">ROUND(IF(EOMONTH(DATE(YEAR(Sales!$DL$1),MONTH(Sales!$DL$1),1)+INT((DAY(Sales!$DL$1)-1)/2)+'Cash Drivers'!DN$13,0)=EOMONTH($Q$1,0),Sales!DN$6*Sales!DN$7,0)+IF(EOMONTH(DATE(YEAR(Sales!$DI$1),MONTH(Sales!$DI$1),1)+INT((DAY(Sales!$DI$1)-1)/2)+'Cash Drivers'!DK$13,0)=EOMONTH($Q$1,0),Sales!DK$6*Sales!DK$7,0)+IF(EOMONTH(DATE(YEAR(Sales!$DF$1),MONTH(Sales!$DF$1),1)+INT((DAY(Sales!$DF$1)-1)/2)+'Cash Drivers'!DH$13,0)=EOMONTH($Q$1,0),Sales!DH$6*Sales!DH$7,0)+IF(EOMONTH(DATE(YEAR(Sales!$DC$1),MONTH(Sales!$DC$1),1)+INT((DAY(Sales!$DC$1)-1)/2)+'Cash Drivers'!DE$13,0)=EOMONTH($Q$1,0),Sales!DE$6*Sales!DE$7,0)+IF(EOMONTH(DATE(YEAR(Sales!$CZ$1),MONTH(Sales!$CZ$1),1)+INT((DAY(Sales!$CZ$1)-1)/2)+'Cash Drivers'!DB$13,0)=EOMONTH($Q$1,0),Sales!DB$6*Sales!DB$7,0)+IF(EOMONTH(DATE(YEAR(Sales!$CW$1),MONTH(Sales!$CW$1),1)+INT((DAY(Sales!$CW$1)-1)/2)+'Cash Drivers'!CY$13,0)=EOMONTH($Q$1,0),Sales!CY$6*Sales!CY$7,0)+IF(EOMONTH(DATE(YEAR(Sales!$CT$1),MONTH(Sales!$CT$1),1)+INT((DAY(Sales!$CT$1)-1)/2)+'Cash Drivers'!CV$13,0)=EOMONTH($Q$1,0),Sales!CV$6*Sales!CV$7,0)+IF(EOMONTH(DATE(YEAR(Sales!$CQ$1),MONTH(Sales!$CQ$1),1)+INT((DAY(Sales!$CQ$1)-1)/2)+'Cash Drivers'!CS$13,0)=EOMONTH($Q$1,0),Sales!CS$6*Sales!CS$7,0)+IF(EOMONTH(DATE(YEAR(Sales!$CN$1),MONTH(Sales!$CN$1),1)+INT((DAY(Sales!$CN$1)-1)/2)+'Cash Drivers'!CP$13,0)=EOMONTH($Q$1,0),Sales!CP$6*Sales!CP$7,0)+IF(EOMONTH(DATE(YEAR(Sales!$CK$1),MONTH(Sales!$CK$1),1)+INT((DAY(Sales!$CK$1)-1)/2)+'Cash Drivers'!CM$13,0)=EOMONTH($Q$1,0),Sales!CM$6*Sales!CM$7,0)+IF(EOMONTH(DATE(YEAR(Sales!$CH$1),MONTH(Sales!$CH$1),1)+INT((DAY(Sales!$CH$1)-1)/2)+'Cash Drivers'!CJ$13,0)=EOMONTH($Q$1,0),Sales!CJ$6*Sales!CJ$7,0)+IF(EOMONTH(DATE(YEAR(Sales!$CE$1),MONTH(Sales!$CE$1),1)+INT((DAY(Sales!$CE$1)-1)/2)+'Cash Drivers'!CG$13,0)=EOMONTH($Q$1,0),Sales!CG$6*Sales!CG$7,0)+IF(EOMONTH(DATE(YEAR(Sales!$CB$1),MONTH(Sales!$CB$1),1)+INT((DAY(Sales!$CB$1)-1)/2)+'Cash Drivers'!CD$13,0)=EOMONTH($Q$1,0),Sales!CD$6*Sales!CD$7,0)+IF(EOMONTH(DATE(YEAR(Sales!$BY$1),MONTH(Sales!$BY$1),1)+INT((DAY(Sales!$BY$1)-1)/2)+'Cash Drivers'!CA$13,0)=EOMONTH($Q$1,0),Sales!CA$6*Sales!CA$7,0)+IF(EOMONTH(DATE(YEAR(Sales!$BV$1),MONTH(Sales!$BV$1),1)+INT((DAY(Sales!$BV$1)-1)/2)+'Cash Drivers'!BX$13,0)=EOMONTH($Q$1,0),Sales!BX$6*Sales!BX$7,0)+IF(EOMONTH(DATE(YEAR(Sales!$BS$1),MONTH(Sales!$BS$1),1)+INT((DAY(Sales!$BS$1)-1)/2)+'Cash Drivers'!BU$13,0)=EOMONTH($Q$1,0),Sales!BU$6*Sales!BU$7,0)+IF(EOMONTH(DATE(YEAR(Sales!$BP$1),MONTH(Sales!$BP$1),1)+INT((DAY(Sales!$BP$1)-1)/2)+'Cash Drivers'!BR$13,0)=EOMONTH($Q$1,0),Sales!BR$6*Sales!BR$7,0)+IF(EOMONTH(DATE(YEAR(Sales!$BM$1),MONTH(Sales!$BM$1),1)+INT((DAY(Sales!$BM$1)-1)/2)+'Cash Drivers'!BO$13,0)=EOMONTH($Q$1,0),Sales!BO$6*Sales!BO$7,0)+IF(EOMONTH(DATE(YEAR(Sales!$BJ$1),MONTH(Sales!$BJ$1),1)+INT((DAY(Sales!$BJ$1)-1)/2)+'Cash Drivers'!BL$13,0)=EOMONTH($Q$1,0),Sales!BL$6*Sales!BL$7,0)+IF(EOMONTH(DATE(YEAR(Sales!$BG$1),MONTH(Sales!$BG$1),1)+INT((DAY(Sales!$BG$1)-1)/2)+'Cash Drivers'!BI$13,0)=EOMONTH($Q$1,0),Sales!BI$6*Sales!BI$7,0)+IF(EOMONTH(DATE(YEAR(Sales!$BD$1),MONTH(Sales!$BD$1),1)+INT((DAY(Sales!$BD$1)-1)/2)+'Cash Drivers'!BF$13,0)=EOMONTH($Q$1,0),Sales!BF$6*Sales!BF$7,0)+IF(EOMONTH(DATE(YEAR(Sales!$BA$1),MONTH(Sales!$BA$1),1)+INT((DAY(Sales!$BA$1)-1)/2)+'Cash Drivers'!BC$13,0)=EOMONTH($Q$1,0),Sales!BC$6*Sales!BC$7,0)+IF(EOMONTH(DATE(YEAR(Sales!$AX$1),MONTH(Sales!$AX$1),1)+INT((DAY(Sales!$AX$1)-1)/2)+'Cash Drivers'!AZ$13,0)=EOMONTH($Q$1,0),Sales!AZ$6*Sales!AZ$7,0)+IF(EOMONTH(DATE(YEAR(Sales!$AU$1),MONTH(Sales!$AU$1),1)+INT((DAY(Sales!$AU$1)-1)/2)+'Cash Drivers'!AW$13,0)=EOMONTH($Q$1,0),Sales!AW$6*Sales!AW$7,0)+IF(EOMONTH(DATE(YEAR(Sales!$AR$1),MONTH(Sales!$AR$1),1)+INT((DAY(Sales!$AR$1)-1)/2)+'Cash Drivers'!AT$13,0)=EOMONTH($Q$1,0),Sales!AT$6*Sales!AT$7,0)+IF(EOMONTH(DATE(YEAR(Sales!$AO$1),MONTH(Sales!$AO$1),1)+INT((DAY(Sales!$AO$1)-1)/2)+'Cash Drivers'!AQ$13,0)=EOMONTH($Q$1,0),Sales!AQ$6*Sales!AQ$7,0)+IF(EOMONTH(DATE(YEAR(Sales!$AL$1),MONTH(Sales!$AL$1),1)+INT((DAY(Sales!$AL$1)-1)/2)+'Cash Drivers'!AN$13,0)=EOMONTH($Q$1,0),Sales!AN$6*Sales!AN$7,0)+IF(EOMONTH(DATE(YEAR(Sales!$AI$1),MONTH(Sales!$AI$1),1)+INT((DAY(Sales!$AI$1)-1)/2)+'Cash Drivers'!AK$13,0)=EOMONTH($Q$1,0),Sales!AK$6*Sales!AK$7,0)+IF(EOMONTH(DATE(YEAR(Sales!$AF$1),MONTH(Sales!$AF$1),1)+INT((DAY(Sales!$AF$1)-1)/2)+'Cash Drivers'!AH$13,0)=EOMONTH($Q$1,0),Sales!AH$6*Sales!AH$7,0)+IF(EOMONTH(DATE(YEAR(Sales!$AC$1),MONTH(Sales!$AC$1),1)+INT((DAY(Sales!$AC$1)-1)/2)+'Cash Drivers'!AE$13,0)=EOMONTH($Q$1,0),Sales!AE$6*Sales!AE$7,0)+IF(EOMONTH(DATE(YEAR(Sales!$Z$1),MONTH(Sales!$Z$1),1)+INT((DAY(Sales!$Z$1)-1)/2)+'Cash Drivers'!AB$13,0)=EOMONTH($Q$1,0),Sales!AB$6*Sales!AB$7,0)+IF(EOMONTH(DATE(YEAR(Sales!$W$1),MONTH(Sales!$W$1),1)+INT((DAY(Sales!$W$1)-1)/2)+'Cash Drivers'!Y$13,0)=EOMONTH($Q$1,0),Sales!Y$6*Sales!Y$7,0)+IF(EOMONTH(DATE(YEAR(Sales!$T$1),MONTH(Sales!$T$1),1)+INT((DAY(Sales!$T$1)-1)/2)+'Cash Drivers'!V$13,0)=EOMONTH($Q$1,0),Sales!V$6*Sales!V$7,0)+IF(EOMONTH(DATE(YEAR(Sales!$Q$1),MONTH(Sales!$Q$1),1)+INT((DAY(Sales!$Q$1)-1)/2)+'Cash Drivers'!S$13,0)=EOMONTH($Q$1,0),Sales!S$6*Sales!S$7,0)+IF(EOMONTH(DATE(YEAR(Sales!$N$1),MONTH(Sales!$N$1),1)+INT((DAY(Sales!$N$1)-1)/2)+'Cash Drivers'!P$13,0)=EOMONTH($Q$1,0),Sales!P$6*Sales!P$7,0)+IF(EOMONTH(DATE(YEAR(Sales!$K$1),MONTH(Sales!$K$1),1)+INT((DAY(Sales!$K$1)-1)/2)+'Cash Drivers'!M$13,0)=EOMONTH($Q$1,0),Sales!M$6*Sales!M$7,0)+IF(EOMONTH('Cash Drivers'!$DL$30+'Cash Drivers'!DN$13,0)=EOMONTH($Q$1,0),'Cash Drivers'!$DL$32*Sales!$DL$60,0),0)</f>
        <v>51642</v>
      </c>
      <c r="T24" s="58" t="n">
        <f aca="false">ROUND(IF(EOMONTH(DATE(YEAR(Sales!$DL$1),MONTH(Sales!$DL$1),1)+INT((DAY(Sales!$DL$1)-1)/2)+'Cash Drivers'!DL$13,0)=EOMONTH($T$1,0),Sales!DL$6*Sales!DL$7,0)+IF(EOMONTH(DATE(YEAR(Sales!$DI$1),MONTH(Sales!$DI$1),1)+INT((DAY(Sales!$DI$1)-1)/2)+'Cash Drivers'!DI$13,0)=EOMONTH($T$1,0),Sales!DI$6*Sales!DI$7,0)+IF(EOMONTH(DATE(YEAR(Sales!$DF$1),MONTH(Sales!$DF$1),1)+INT((DAY(Sales!$DF$1)-1)/2)+'Cash Drivers'!DF$13,0)=EOMONTH($T$1,0),Sales!DF$6*Sales!DF$7,0)+IF(EOMONTH(DATE(YEAR(Sales!$DC$1),MONTH(Sales!$DC$1),1)+INT((DAY(Sales!$DC$1)-1)/2)+'Cash Drivers'!DC$13,0)=EOMONTH($T$1,0),Sales!DC$6*Sales!DC$7,0)+IF(EOMONTH(DATE(YEAR(Sales!$CZ$1),MONTH(Sales!$CZ$1),1)+INT((DAY(Sales!$CZ$1)-1)/2)+'Cash Drivers'!CZ$13,0)=EOMONTH($T$1,0),Sales!CZ$6*Sales!CZ$7,0)+IF(EOMONTH(DATE(YEAR(Sales!$CW$1),MONTH(Sales!$CW$1),1)+INT((DAY(Sales!$CW$1)-1)/2)+'Cash Drivers'!CW$13,0)=EOMONTH($T$1,0),Sales!CW$6*Sales!CW$7,0)+IF(EOMONTH(DATE(YEAR(Sales!$CT$1),MONTH(Sales!$CT$1),1)+INT((DAY(Sales!$CT$1)-1)/2)+'Cash Drivers'!CT$13,0)=EOMONTH($T$1,0),Sales!CT$6*Sales!CT$7,0)+IF(EOMONTH(DATE(YEAR(Sales!$CQ$1),MONTH(Sales!$CQ$1),1)+INT((DAY(Sales!$CQ$1)-1)/2)+'Cash Drivers'!CQ$13,0)=EOMONTH($T$1,0),Sales!CQ$6*Sales!CQ$7,0)+IF(EOMONTH(DATE(YEAR(Sales!$CN$1),MONTH(Sales!$CN$1),1)+INT((DAY(Sales!$CN$1)-1)/2)+'Cash Drivers'!CN$13,0)=EOMONTH($T$1,0),Sales!CN$6*Sales!CN$7,0)+IF(EOMONTH(DATE(YEAR(Sales!$CK$1),MONTH(Sales!$CK$1),1)+INT((DAY(Sales!$CK$1)-1)/2)+'Cash Drivers'!CK$13,0)=EOMONTH($T$1,0),Sales!CK$6*Sales!CK$7,0)+IF(EOMONTH(DATE(YEAR(Sales!$CH$1),MONTH(Sales!$CH$1),1)+INT((DAY(Sales!$CH$1)-1)/2)+'Cash Drivers'!CH$13,0)=EOMONTH($T$1,0),Sales!CH$6*Sales!CH$7,0)+IF(EOMONTH(DATE(YEAR(Sales!$CE$1),MONTH(Sales!$CE$1),1)+INT((DAY(Sales!$CE$1)-1)/2)+'Cash Drivers'!CE$13,0)=EOMONTH($T$1,0),Sales!CE$6*Sales!CE$7,0)+IF(EOMONTH(DATE(YEAR(Sales!$CB$1),MONTH(Sales!$CB$1),1)+INT((DAY(Sales!$CB$1)-1)/2)+'Cash Drivers'!CB$13,0)=EOMONTH($T$1,0),Sales!CB$6*Sales!CB$7,0)+IF(EOMONTH(DATE(YEAR(Sales!$BY$1),MONTH(Sales!$BY$1),1)+INT((DAY(Sales!$BY$1)-1)/2)+'Cash Drivers'!BY$13,0)=EOMONTH($T$1,0),Sales!BY$6*Sales!BY$7,0)+IF(EOMONTH(DATE(YEAR(Sales!$BV$1),MONTH(Sales!$BV$1),1)+INT((DAY(Sales!$BV$1)-1)/2)+'Cash Drivers'!BV$13,0)=EOMONTH($T$1,0),Sales!BV$6*Sales!BV$7,0)+IF(EOMONTH(DATE(YEAR(Sales!$BS$1),MONTH(Sales!$BS$1),1)+INT((DAY(Sales!$BS$1)-1)/2)+'Cash Drivers'!BS$13,0)=EOMONTH($T$1,0),Sales!BS$6*Sales!BS$7,0)+IF(EOMONTH(DATE(YEAR(Sales!$BP$1),MONTH(Sales!$BP$1),1)+INT((DAY(Sales!$BP$1)-1)/2)+'Cash Drivers'!BP$13,0)=EOMONTH($T$1,0),Sales!BP$6*Sales!BP$7,0)+IF(EOMONTH(DATE(YEAR(Sales!$BM$1),MONTH(Sales!$BM$1),1)+INT((DAY(Sales!$BM$1)-1)/2)+'Cash Drivers'!BM$13,0)=EOMONTH($T$1,0),Sales!BM$6*Sales!BM$7,0)+IF(EOMONTH(DATE(YEAR(Sales!$BJ$1),MONTH(Sales!$BJ$1),1)+INT((DAY(Sales!$BJ$1)-1)/2)+'Cash Drivers'!BJ$13,0)=EOMONTH($T$1,0),Sales!BJ$6*Sales!BJ$7,0)+IF(EOMONTH(DATE(YEAR(Sales!$BG$1),MONTH(Sales!$BG$1),1)+INT((DAY(Sales!$BG$1)-1)/2)+'Cash Drivers'!BG$13,0)=EOMONTH($T$1,0),Sales!BG$6*Sales!BG$7,0)+IF(EOMONTH(DATE(YEAR(Sales!$BD$1),MONTH(Sales!$BD$1),1)+INT((DAY(Sales!$BD$1)-1)/2)+'Cash Drivers'!BD$13,0)=EOMONTH($T$1,0),Sales!BD$6*Sales!BD$7,0)+IF(EOMONTH(DATE(YEAR(Sales!$BA$1),MONTH(Sales!$BA$1),1)+INT((DAY(Sales!$BA$1)-1)/2)+'Cash Drivers'!BA$13,0)=EOMONTH($T$1,0),Sales!BA$6*Sales!BA$7,0)+IF(EOMONTH(DATE(YEAR(Sales!$AX$1),MONTH(Sales!$AX$1),1)+INT((DAY(Sales!$AX$1)-1)/2)+'Cash Drivers'!AX$13,0)=EOMONTH($T$1,0),Sales!AX$6*Sales!AX$7,0)+IF(EOMONTH(DATE(YEAR(Sales!$AU$1),MONTH(Sales!$AU$1),1)+INT((DAY(Sales!$AU$1)-1)/2)+'Cash Drivers'!AU$13,0)=EOMONTH($T$1,0),Sales!AU$6*Sales!AU$7,0)+IF(EOMONTH(DATE(YEAR(Sales!$AR$1),MONTH(Sales!$AR$1),1)+INT((DAY(Sales!$AR$1)-1)/2)+'Cash Drivers'!AR$13,0)=EOMONTH($T$1,0),Sales!AR$6*Sales!AR$7,0)+IF(EOMONTH(DATE(YEAR(Sales!$AO$1),MONTH(Sales!$AO$1),1)+INT((DAY(Sales!$AO$1)-1)/2)+'Cash Drivers'!AO$13,0)=EOMONTH($T$1,0),Sales!AO$6*Sales!AO$7,0)+IF(EOMONTH(DATE(YEAR(Sales!$AL$1),MONTH(Sales!$AL$1),1)+INT((DAY(Sales!$AL$1)-1)/2)+'Cash Drivers'!AL$13,0)=EOMONTH($T$1,0),Sales!AL$6*Sales!AL$7,0)+IF(EOMONTH(DATE(YEAR(Sales!$AI$1),MONTH(Sales!$AI$1),1)+INT((DAY(Sales!$AI$1)-1)/2)+'Cash Drivers'!AI$13,0)=EOMONTH($T$1,0),Sales!AI$6*Sales!AI$7,0)+IF(EOMONTH(DATE(YEAR(Sales!$AF$1),MONTH(Sales!$AF$1),1)+INT((DAY(Sales!$AF$1)-1)/2)+'Cash Drivers'!AF$13,0)=EOMONTH($T$1,0),Sales!AF$6*Sales!AF$7,0)+IF(EOMONTH(DATE(YEAR(Sales!$AC$1),MONTH(Sales!$AC$1),1)+INT((DAY(Sales!$AC$1)-1)/2)+'Cash Drivers'!AC$13,0)=EOMONTH($T$1,0),Sales!AC$6*Sales!AC$7,0)+IF(EOMONTH(DATE(YEAR(Sales!$Z$1),MONTH(Sales!$Z$1),1)+INT((DAY(Sales!$Z$1)-1)/2)+'Cash Drivers'!Z$13,0)=EOMONTH($T$1,0),Sales!Z$6*Sales!Z$7,0)+IF(EOMONTH(DATE(YEAR(Sales!$W$1),MONTH(Sales!$W$1),1)+INT((DAY(Sales!$W$1)-1)/2)+'Cash Drivers'!W$13,0)=EOMONTH($T$1,0),Sales!W$6*Sales!W$7,0)+IF(EOMONTH(DATE(YEAR(Sales!$T$1),MONTH(Sales!$T$1),1)+INT((DAY(Sales!$T$1)-1)/2)+'Cash Drivers'!T$13,0)=EOMONTH($T$1,0),Sales!T$6*Sales!T$7,0)+IF(EOMONTH(DATE(YEAR(Sales!$Q$1),MONTH(Sales!$Q$1),1)+INT((DAY(Sales!$Q$1)-1)/2)+'Cash Drivers'!Q$13,0)=EOMONTH($T$1,0),Sales!Q$6*Sales!Q$7,0)+IF(EOMONTH(DATE(YEAR(Sales!$N$1),MONTH(Sales!$N$1),1)+INT((DAY(Sales!$N$1)-1)/2)+'Cash Drivers'!N$13,0)=EOMONTH($T$1,0),Sales!N$6*Sales!N$7,0)+IF(EOMONTH(DATE(YEAR(Sales!$K$1),MONTH(Sales!$K$1),1)+INT((DAY(Sales!$K$1)-1)/2)+'Cash Drivers'!K$13,0)=EOMONTH($T$1,0),Sales!K$6*Sales!K$7,0)+IF(EOMONTH('Cash Drivers'!$DL$30+'Cash Drivers'!DL$13,0)=EOMONTH($T$1,0),'Cash Drivers'!$DL$32*Sales!$DL$60,0),0)</f>
        <v>0</v>
      </c>
      <c r="U24" s="59" t="n">
        <f aca="false">ROUND(IF(EOMONTH(DATE(YEAR(Sales!$DL$1),MONTH(Sales!$DL$1),1)+INT((DAY(Sales!$DL$1)-1)/2)+'Cash Drivers'!DM$13,0)=EOMONTH($T$1,0),Sales!DM$6*Sales!DM$7,0)+IF(EOMONTH(DATE(YEAR(Sales!$DI$1),MONTH(Sales!$DI$1),1)+INT((DAY(Sales!$DI$1)-1)/2)+'Cash Drivers'!DJ$13,0)=EOMONTH($T$1,0),Sales!DJ$6*Sales!DJ$7,0)+IF(EOMONTH(DATE(YEAR(Sales!$DF$1),MONTH(Sales!$DF$1),1)+INT((DAY(Sales!$DF$1)-1)/2)+'Cash Drivers'!DG$13,0)=EOMONTH($T$1,0),Sales!DG$6*Sales!DG$7,0)+IF(EOMONTH(DATE(YEAR(Sales!$DC$1),MONTH(Sales!$DC$1),1)+INT((DAY(Sales!$DC$1)-1)/2)+'Cash Drivers'!DD$13,0)=EOMONTH($T$1,0),Sales!DD$6*Sales!DD$7,0)+IF(EOMONTH(DATE(YEAR(Sales!$CZ$1),MONTH(Sales!$CZ$1),1)+INT((DAY(Sales!$CZ$1)-1)/2)+'Cash Drivers'!DA$13,0)=EOMONTH($T$1,0),Sales!DA$6*Sales!DA$7,0)+IF(EOMONTH(DATE(YEAR(Sales!$CW$1),MONTH(Sales!$CW$1),1)+INT((DAY(Sales!$CW$1)-1)/2)+'Cash Drivers'!CX$13,0)=EOMONTH($T$1,0),Sales!CX$6*Sales!CX$7,0)+IF(EOMONTH(DATE(YEAR(Sales!$CT$1),MONTH(Sales!$CT$1),1)+INT((DAY(Sales!$CT$1)-1)/2)+'Cash Drivers'!CU$13,0)=EOMONTH($T$1,0),Sales!CU$6*Sales!CU$7,0)+IF(EOMONTH(DATE(YEAR(Sales!$CQ$1),MONTH(Sales!$CQ$1),1)+INT((DAY(Sales!$CQ$1)-1)/2)+'Cash Drivers'!CR$13,0)=EOMONTH($T$1,0),Sales!CR$6*Sales!CR$7,0)+IF(EOMONTH(DATE(YEAR(Sales!$CN$1),MONTH(Sales!$CN$1),1)+INT((DAY(Sales!$CN$1)-1)/2)+'Cash Drivers'!CO$13,0)=EOMONTH($T$1,0),Sales!CO$6*Sales!CO$7,0)+IF(EOMONTH(DATE(YEAR(Sales!$CK$1),MONTH(Sales!$CK$1),1)+INT((DAY(Sales!$CK$1)-1)/2)+'Cash Drivers'!CL$13,0)=EOMONTH($T$1,0),Sales!CL$6*Sales!CL$7,0)+IF(EOMONTH(DATE(YEAR(Sales!$CH$1),MONTH(Sales!$CH$1),1)+INT((DAY(Sales!$CH$1)-1)/2)+'Cash Drivers'!CI$13,0)=EOMONTH($T$1,0),Sales!CI$6*Sales!CI$7,0)+IF(EOMONTH(DATE(YEAR(Sales!$CE$1),MONTH(Sales!$CE$1),1)+INT((DAY(Sales!$CE$1)-1)/2)+'Cash Drivers'!CF$13,0)=EOMONTH($T$1,0),Sales!CF$6*Sales!CF$7,0)+IF(EOMONTH(DATE(YEAR(Sales!$CB$1),MONTH(Sales!$CB$1),1)+INT((DAY(Sales!$CB$1)-1)/2)+'Cash Drivers'!CC$13,0)=EOMONTH($T$1,0),Sales!CC$6*Sales!CC$7,0)+IF(EOMONTH(DATE(YEAR(Sales!$BY$1),MONTH(Sales!$BY$1),1)+INT((DAY(Sales!$BY$1)-1)/2)+'Cash Drivers'!BZ$13,0)=EOMONTH($T$1,0),Sales!BZ$6*Sales!BZ$7,0)+IF(EOMONTH(DATE(YEAR(Sales!$BV$1),MONTH(Sales!$BV$1),1)+INT((DAY(Sales!$BV$1)-1)/2)+'Cash Drivers'!BW$13,0)=EOMONTH($T$1,0),Sales!BW$6*Sales!BW$7,0)+IF(EOMONTH(DATE(YEAR(Sales!$BS$1),MONTH(Sales!$BS$1),1)+INT((DAY(Sales!$BS$1)-1)/2)+'Cash Drivers'!BT$13,0)=EOMONTH($T$1,0),Sales!BT$6*Sales!BT$7,0)+IF(EOMONTH(DATE(YEAR(Sales!$BP$1),MONTH(Sales!$BP$1),1)+INT((DAY(Sales!$BP$1)-1)/2)+'Cash Drivers'!BQ$13,0)=EOMONTH($T$1,0),Sales!BQ$6*Sales!BQ$7,0)+IF(EOMONTH(DATE(YEAR(Sales!$BM$1),MONTH(Sales!$BM$1),1)+INT((DAY(Sales!$BM$1)-1)/2)+'Cash Drivers'!BN$13,0)=EOMONTH($T$1,0),Sales!BN$6*Sales!BN$7,0)+IF(EOMONTH(DATE(YEAR(Sales!$BJ$1),MONTH(Sales!$BJ$1),1)+INT((DAY(Sales!$BJ$1)-1)/2)+'Cash Drivers'!BK$13,0)=EOMONTH($T$1,0),Sales!BK$6*Sales!BK$7,0)+IF(EOMONTH(DATE(YEAR(Sales!$BG$1),MONTH(Sales!$BG$1),1)+INT((DAY(Sales!$BG$1)-1)/2)+'Cash Drivers'!BH$13,0)=EOMONTH($T$1,0),Sales!BH$6*Sales!BH$7,0)+IF(EOMONTH(DATE(YEAR(Sales!$BD$1),MONTH(Sales!$BD$1),1)+INT((DAY(Sales!$BD$1)-1)/2)+'Cash Drivers'!BE$13,0)=EOMONTH($T$1,0),Sales!BE$6*Sales!BE$7,0)+IF(EOMONTH(DATE(YEAR(Sales!$BA$1),MONTH(Sales!$BA$1),1)+INT((DAY(Sales!$BA$1)-1)/2)+'Cash Drivers'!BB$13,0)=EOMONTH($T$1,0),Sales!BB$6*Sales!BB$7,0)+IF(EOMONTH(DATE(YEAR(Sales!$AX$1),MONTH(Sales!$AX$1),1)+INT((DAY(Sales!$AX$1)-1)/2)+'Cash Drivers'!AY$13,0)=EOMONTH($T$1,0),Sales!AY$6*Sales!AY$7,0)+IF(EOMONTH(DATE(YEAR(Sales!$AU$1),MONTH(Sales!$AU$1),1)+INT((DAY(Sales!$AU$1)-1)/2)+'Cash Drivers'!AV$13,0)=EOMONTH($T$1,0),Sales!AV$6*Sales!AV$7,0)+IF(EOMONTH(DATE(YEAR(Sales!$AR$1),MONTH(Sales!$AR$1),1)+INT((DAY(Sales!$AR$1)-1)/2)+'Cash Drivers'!AS$13,0)=EOMONTH($T$1,0),Sales!AS$6*Sales!AS$7,0)+IF(EOMONTH(DATE(YEAR(Sales!$AO$1),MONTH(Sales!$AO$1),1)+INT((DAY(Sales!$AO$1)-1)/2)+'Cash Drivers'!AP$13,0)=EOMONTH($T$1,0),Sales!AP$6*Sales!AP$7,0)+IF(EOMONTH(DATE(YEAR(Sales!$AL$1),MONTH(Sales!$AL$1),1)+INT((DAY(Sales!$AL$1)-1)/2)+'Cash Drivers'!AM$13,0)=EOMONTH($T$1,0),Sales!AM$6*Sales!AM$7,0)+IF(EOMONTH(DATE(YEAR(Sales!$AI$1),MONTH(Sales!$AI$1),1)+INT((DAY(Sales!$AI$1)-1)/2)+'Cash Drivers'!AJ$13,0)=EOMONTH($T$1,0),Sales!AJ$6*Sales!AJ$7,0)+IF(EOMONTH(DATE(YEAR(Sales!$AF$1),MONTH(Sales!$AF$1),1)+INT((DAY(Sales!$AF$1)-1)/2)+'Cash Drivers'!AG$13,0)=EOMONTH($T$1,0),Sales!AG$6*Sales!AG$7,0)+IF(EOMONTH(DATE(YEAR(Sales!$AC$1),MONTH(Sales!$AC$1),1)+INT((DAY(Sales!$AC$1)-1)/2)+'Cash Drivers'!AD$13,0)=EOMONTH($T$1,0),Sales!AD$6*Sales!AD$7,0)+IF(EOMONTH(DATE(YEAR(Sales!$Z$1),MONTH(Sales!$Z$1),1)+INT((DAY(Sales!$Z$1)-1)/2)+'Cash Drivers'!AA$13,0)=EOMONTH($T$1,0),Sales!AA$6*Sales!AA$7,0)+IF(EOMONTH(DATE(YEAR(Sales!$W$1),MONTH(Sales!$W$1),1)+INT((DAY(Sales!$W$1)-1)/2)+'Cash Drivers'!X$13,0)=EOMONTH($T$1,0),Sales!X$6*Sales!X$7,0)+IF(EOMONTH(DATE(YEAR(Sales!$T$1),MONTH(Sales!$T$1),1)+INT((DAY(Sales!$T$1)-1)/2)+'Cash Drivers'!U$13,0)=EOMONTH($T$1,0),Sales!U$6*Sales!U$7,0)+IF(EOMONTH(DATE(YEAR(Sales!$Q$1),MONTH(Sales!$Q$1),1)+INT((DAY(Sales!$Q$1)-1)/2)+'Cash Drivers'!R$13,0)=EOMONTH($T$1,0),Sales!R$6*Sales!R$7,0)+IF(EOMONTH(DATE(YEAR(Sales!$N$1),MONTH(Sales!$N$1),1)+INT((DAY(Sales!$N$1)-1)/2)+'Cash Drivers'!O$13,0)=EOMONTH($T$1,0),Sales!O$6*Sales!O$7,0)+IF(EOMONTH(DATE(YEAR(Sales!$K$1),MONTH(Sales!$K$1),1)+INT((DAY(Sales!$K$1)-1)/2)+'Cash Drivers'!L$13,0)=EOMONTH($T$1,0),Sales!L$6*Sales!L$7,0)+IF(EOMONTH('Cash Drivers'!$DL$30+'Cash Drivers'!DM$13,0)=EOMONTH($T$1,0),'Cash Drivers'!$DL$32*Sales!$DL$60,0),0)</f>
        <v>51243</v>
      </c>
      <c r="V24" s="60" t="n">
        <f aca="false">ROUND(IF(EOMONTH(DATE(YEAR(Sales!$DL$1),MONTH(Sales!$DL$1),1)+INT((DAY(Sales!$DL$1)-1)/2)+'Cash Drivers'!DN$13,0)=EOMONTH($T$1,0),Sales!DN$6*Sales!DN$7,0)+IF(EOMONTH(DATE(YEAR(Sales!$DI$1),MONTH(Sales!$DI$1),1)+INT((DAY(Sales!$DI$1)-1)/2)+'Cash Drivers'!DK$13,0)=EOMONTH($T$1,0),Sales!DK$6*Sales!DK$7,0)+IF(EOMONTH(DATE(YEAR(Sales!$DF$1),MONTH(Sales!$DF$1),1)+INT((DAY(Sales!$DF$1)-1)/2)+'Cash Drivers'!DH$13,0)=EOMONTH($T$1,0),Sales!DH$6*Sales!DH$7,0)+IF(EOMONTH(DATE(YEAR(Sales!$DC$1),MONTH(Sales!$DC$1),1)+INT((DAY(Sales!$DC$1)-1)/2)+'Cash Drivers'!DE$13,0)=EOMONTH($T$1,0),Sales!DE$6*Sales!DE$7,0)+IF(EOMONTH(DATE(YEAR(Sales!$CZ$1),MONTH(Sales!$CZ$1),1)+INT((DAY(Sales!$CZ$1)-1)/2)+'Cash Drivers'!DB$13,0)=EOMONTH($T$1,0),Sales!DB$6*Sales!DB$7,0)+IF(EOMONTH(DATE(YEAR(Sales!$CW$1),MONTH(Sales!$CW$1),1)+INT((DAY(Sales!$CW$1)-1)/2)+'Cash Drivers'!CY$13,0)=EOMONTH($T$1,0),Sales!CY$6*Sales!CY$7,0)+IF(EOMONTH(DATE(YEAR(Sales!$CT$1),MONTH(Sales!$CT$1),1)+INT((DAY(Sales!$CT$1)-1)/2)+'Cash Drivers'!CV$13,0)=EOMONTH($T$1,0),Sales!CV$6*Sales!CV$7,0)+IF(EOMONTH(DATE(YEAR(Sales!$CQ$1),MONTH(Sales!$CQ$1),1)+INT((DAY(Sales!$CQ$1)-1)/2)+'Cash Drivers'!CS$13,0)=EOMONTH($T$1,0),Sales!CS$6*Sales!CS$7,0)+IF(EOMONTH(DATE(YEAR(Sales!$CN$1),MONTH(Sales!$CN$1),1)+INT((DAY(Sales!$CN$1)-1)/2)+'Cash Drivers'!CP$13,0)=EOMONTH($T$1,0),Sales!CP$6*Sales!CP$7,0)+IF(EOMONTH(DATE(YEAR(Sales!$CK$1),MONTH(Sales!$CK$1),1)+INT((DAY(Sales!$CK$1)-1)/2)+'Cash Drivers'!CM$13,0)=EOMONTH($T$1,0),Sales!CM$6*Sales!CM$7,0)+IF(EOMONTH(DATE(YEAR(Sales!$CH$1),MONTH(Sales!$CH$1),1)+INT((DAY(Sales!$CH$1)-1)/2)+'Cash Drivers'!CJ$13,0)=EOMONTH($T$1,0),Sales!CJ$6*Sales!CJ$7,0)+IF(EOMONTH(DATE(YEAR(Sales!$CE$1),MONTH(Sales!$CE$1),1)+INT((DAY(Sales!$CE$1)-1)/2)+'Cash Drivers'!CG$13,0)=EOMONTH($T$1,0),Sales!CG$6*Sales!CG$7,0)+IF(EOMONTH(DATE(YEAR(Sales!$CB$1),MONTH(Sales!$CB$1),1)+INT((DAY(Sales!$CB$1)-1)/2)+'Cash Drivers'!CD$13,0)=EOMONTH($T$1,0),Sales!CD$6*Sales!CD$7,0)+IF(EOMONTH(DATE(YEAR(Sales!$BY$1),MONTH(Sales!$BY$1),1)+INT((DAY(Sales!$BY$1)-1)/2)+'Cash Drivers'!CA$13,0)=EOMONTH($T$1,0),Sales!CA$6*Sales!CA$7,0)+IF(EOMONTH(DATE(YEAR(Sales!$BV$1),MONTH(Sales!$BV$1),1)+INT((DAY(Sales!$BV$1)-1)/2)+'Cash Drivers'!BX$13,0)=EOMONTH($T$1,0),Sales!BX$6*Sales!BX$7,0)+IF(EOMONTH(DATE(YEAR(Sales!$BS$1),MONTH(Sales!$BS$1),1)+INT((DAY(Sales!$BS$1)-1)/2)+'Cash Drivers'!BU$13,0)=EOMONTH($T$1,0),Sales!BU$6*Sales!BU$7,0)+IF(EOMONTH(DATE(YEAR(Sales!$BP$1),MONTH(Sales!$BP$1),1)+INT((DAY(Sales!$BP$1)-1)/2)+'Cash Drivers'!BR$13,0)=EOMONTH($T$1,0),Sales!BR$6*Sales!BR$7,0)+IF(EOMONTH(DATE(YEAR(Sales!$BM$1),MONTH(Sales!$BM$1),1)+INT((DAY(Sales!$BM$1)-1)/2)+'Cash Drivers'!BO$13,0)=EOMONTH($T$1,0),Sales!BO$6*Sales!BO$7,0)+IF(EOMONTH(DATE(YEAR(Sales!$BJ$1),MONTH(Sales!$BJ$1),1)+INT((DAY(Sales!$BJ$1)-1)/2)+'Cash Drivers'!BL$13,0)=EOMONTH($T$1,0),Sales!BL$6*Sales!BL$7,0)+IF(EOMONTH(DATE(YEAR(Sales!$BG$1),MONTH(Sales!$BG$1),1)+INT((DAY(Sales!$BG$1)-1)/2)+'Cash Drivers'!BI$13,0)=EOMONTH($T$1,0),Sales!BI$6*Sales!BI$7,0)+IF(EOMONTH(DATE(YEAR(Sales!$BD$1),MONTH(Sales!$BD$1),1)+INT((DAY(Sales!$BD$1)-1)/2)+'Cash Drivers'!BF$13,0)=EOMONTH($T$1,0),Sales!BF$6*Sales!BF$7,0)+IF(EOMONTH(DATE(YEAR(Sales!$BA$1),MONTH(Sales!$BA$1),1)+INT((DAY(Sales!$BA$1)-1)/2)+'Cash Drivers'!BC$13,0)=EOMONTH($T$1,0),Sales!BC$6*Sales!BC$7,0)+IF(EOMONTH(DATE(YEAR(Sales!$AX$1),MONTH(Sales!$AX$1),1)+INT((DAY(Sales!$AX$1)-1)/2)+'Cash Drivers'!AZ$13,0)=EOMONTH($T$1,0),Sales!AZ$6*Sales!AZ$7,0)+IF(EOMONTH(DATE(YEAR(Sales!$AU$1),MONTH(Sales!$AU$1),1)+INT((DAY(Sales!$AU$1)-1)/2)+'Cash Drivers'!AW$13,0)=EOMONTH($T$1,0),Sales!AW$6*Sales!AW$7,0)+IF(EOMONTH(DATE(YEAR(Sales!$AR$1),MONTH(Sales!$AR$1),1)+INT((DAY(Sales!$AR$1)-1)/2)+'Cash Drivers'!AT$13,0)=EOMONTH($T$1,0),Sales!AT$6*Sales!AT$7,0)+IF(EOMONTH(DATE(YEAR(Sales!$AO$1),MONTH(Sales!$AO$1),1)+INT((DAY(Sales!$AO$1)-1)/2)+'Cash Drivers'!AQ$13,0)=EOMONTH($T$1,0),Sales!AQ$6*Sales!AQ$7,0)+IF(EOMONTH(DATE(YEAR(Sales!$AL$1),MONTH(Sales!$AL$1),1)+INT((DAY(Sales!$AL$1)-1)/2)+'Cash Drivers'!AN$13,0)=EOMONTH($T$1,0),Sales!AN$6*Sales!AN$7,0)+IF(EOMONTH(DATE(YEAR(Sales!$AI$1),MONTH(Sales!$AI$1),1)+INT((DAY(Sales!$AI$1)-1)/2)+'Cash Drivers'!AK$13,0)=EOMONTH($T$1,0),Sales!AK$6*Sales!AK$7,0)+IF(EOMONTH(DATE(YEAR(Sales!$AF$1),MONTH(Sales!$AF$1),1)+INT((DAY(Sales!$AF$1)-1)/2)+'Cash Drivers'!AH$13,0)=EOMONTH($T$1,0),Sales!AH$6*Sales!AH$7,0)+IF(EOMONTH(DATE(YEAR(Sales!$AC$1),MONTH(Sales!$AC$1),1)+INT((DAY(Sales!$AC$1)-1)/2)+'Cash Drivers'!AE$13,0)=EOMONTH($T$1,0),Sales!AE$6*Sales!AE$7,0)+IF(EOMONTH(DATE(YEAR(Sales!$Z$1),MONTH(Sales!$Z$1),1)+INT((DAY(Sales!$Z$1)-1)/2)+'Cash Drivers'!AB$13,0)=EOMONTH($T$1,0),Sales!AB$6*Sales!AB$7,0)+IF(EOMONTH(DATE(YEAR(Sales!$W$1),MONTH(Sales!$W$1),1)+INT((DAY(Sales!$W$1)-1)/2)+'Cash Drivers'!Y$13,0)=EOMONTH($T$1,0),Sales!Y$6*Sales!Y$7,0)+IF(EOMONTH(DATE(YEAR(Sales!$T$1),MONTH(Sales!$T$1),1)+INT((DAY(Sales!$T$1)-1)/2)+'Cash Drivers'!V$13,0)=EOMONTH($T$1,0),Sales!V$6*Sales!V$7,0)+IF(EOMONTH(DATE(YEAR(Sales!$Q$1),MONTH(Sales!$Q$1),1)+INT((DAY(Sales!$Q$1)-1)/2)+'Cash Drivers'!S$13,0)=EOMONTH($T$1,0),Sales!S$6*Sales!S$7,0)+IF(EOMONTH(DATE(YEAR(Sales!$N$1),MONTH(Sales!$N$1),1)+INT((DAY(Sales!$N$1)-1)/2)+'Cash Drivers'!P$13,0)=EOMONTH($T$1,0),Sales!P$6*Sales!P$7,0)+IF(EOMONTH(DATE(YEAR(Sales!$K$1),MONTH(Sales!$K$1),1)+INT((DAY(Sales!$K$1)-1)/2)+'Cash Drivers'!M$13,0)=EOMONTH($T$1,0),Sales!M$6*Sales!M$7,0)+IF(EOMONTH('Cash Drivers'!$DL$30+'Cash Drivers'!DN$13,0)=EOMONTH($T$1,0),'Cash Drivers'!$DL$32*Sales!$DL$60,0),0)</f>
        <v>51357</v>
      </c>
      <c r="W24" s="58" t="n">
        <f aca="false">ROUND(IF(EOMONTH(DATE(YEAR(Sales!$DL$1),MONTH(Sales!$DL$1),1)+INT((DAY(Sales!$DL$1)-1)/2)+'Cash Drivers'!DL$13,0)=EOMONTH($W$1,0),Sales!DL$6*Sales!DL$7,0)+IF(EOMONTH(DATE(YEAR(Sales!$DI$1),MONTH(Sales!$DI$1),1)+INT((DAY(Sales!$DI$1)-1)/2)+'Cash Drivers'!DI$13,0)=EOMONTH($W$1,0),Sales!DI$6*Sales!DI$7,0)+IF(EOMONTH(DATE(YEAR(Sales!$DF$1),MONTH(Sales!$DF$1),1)+INT((DAY(Sales!$DF$1)-1)/2)+'Cash Drivers'!DF$13,0)=EOMONTH($W$1,0),Sales!DF$6*Sales!DF$7,0)+IF(EOMONTH(DATE(YEAR(Sales!$DC$1),MONTH(Sales!$DC$1),1)+INT((DAY(Sales!$DC$1)-1)/2)+'Cash Drivers'!DC$13,0)=EOMONTH($W$1,0),Sales!DC$6*Sales!DC$7,0)+IF(EOMONTH(DATE(YEAR(Sales!$CZ$1),MONTH(Sales!$CZ$1),1)+INT((DAY(Sales!$CZ$1)-1)/2)+'Cash Drivers'!CZ$13,0)=EOMONTH($W$1,0),Sales!CZ$6*Sales!CZ$7,0)+IF(EOMONTH(DATE(YEAR(Sales!$CW$1),MONTH(Sales!$CW$1),1)+INT((DAY(Sales!$CW$1)-1)/2)+'Cash Drivers'!CW$13,0)=EOMONTH($W$1,0),Sales!CW$6*Sales!CW$7,0)+IF(EOMONTH(DATE(YEAR(Sales!$CT$1),MONTH(Sales!$CT$1),1)+INT((DAY(Sales!$CT$1)-1)/2)+'Cash Drivers'!CT$13,0)=EOMONTH($W$1,0),Sales!CT$6*Sales!CT$7,0)+IF(EOMONTH(DATE(YEAR(Sales!$CQ$1),MONTH(Sales!$CQ$1),1)+INT((DAY(Sales!$CQ$1)-1)/2)+'Cash Drivers'!CQ$13,0)=EOMONTH($W$1,0),Sales!CQ$6*Sales!CQ$7,0)+IF(EOMONTH(DATE(YEAR(Sales!$CN$1),MONTH(Sales!$CN$1),1)+INT((DAY(Sales!$CN$1)-1)/2)+'Cash Drivers'!CN$13,0)=EOMONTH($W$1,0),Sales!CN$6*Sales!CN$7,0)+IF(EOMONTH(DATE(YEAR(Sales!$CK$1),MONTH(Sales!$CK$1),1)+INT((DAY(Sales!$CK$1)-1)/2)+'Cash Drivers'!CK$13,0)=EOMONTH($W$1,0),Sales!CK$6*Sales!CK$7,0)+IF(EOMONTH(DATE(YEAR(Sales!$CH$1),MONTH(Sales!$CH$1),1)+INT((DAY(Sales!$CH$1)-1)/2)+'Cash Drivers'!CH$13,0)=EOMONTH($W$1,0),Sales!CH$6*Sales!CH$7,0)+IF(EOMONTH(DATE(YEAR(Sales!$CE$1),MONTH(Sales!$CE$1),1)+INT((DAY(Sales!$CE$1)-1)/2)+'Cash Drivers'!CE$13,0)=EOMONTH($W$1,0),Sales!CE$6*Sales!CE$7,0)+IF(EOMONTH(DATE(YEAR(Sales!$CB$1),MONTH(Sales!$CB$1),1)+INT((DAY(Sales!$CB$1)-1)/2)+'Cash Drivers'!CB$13,0)=EOMONTH($W$1,0),Sales!CB$6*Sales!CB$7,0)+IF(EOMONTH(DATE(YEAR(Sales!$BY$1),MONTH(Sales!$BY$1),1)+INT((DAY(Sales!$BY$1)-1)/2)+'Cash Drivers'!BY$13,0)=EOMONTH($W$1,0),Sales!BY$6*Sales!BY$7,0)+IF(EOMONTH(DATE(YEAR(Sales!$BV$1),MONTH(Sales!$BV$1),1)+INT((DAY(Sales!$BV$1)-1)/2)+'Cash Drivers'!BV$13,0)=EOMONTH($W$1,0),Sales!BV$6*Sales!BV$7,0)+IF(EOMONTH(DATE(YEAR(Sales!$BS$1),MONTH(Sales!$BS$1),1)+INT((DAY(Sales!$BS$1)-1)/2)+'Cash Drivers'!BS$13,0)=EOMONTH($W$1,0),Sales!BS$6*Sales!BS$7,0)+IF(EOMONTH(DATE(YEAR(Sales!$BP$1),MONTH(Sales!$BP$1),1)+INT((DAY(Sales!$BP$1)-1)/2)+'Cash Drivers'!BP$13,0)=EOMONTH($W$1,0),Sales!BP$6*Sales!BP$7,0)+IF(EOMONTH(DATE(YEAR(Sales!$BM$1),MONTH(Sales!$BM$1),1)+INT((DAY(Sales!$BM$1)-1)/2)+'Cash Drivers'!BM$13,0)=EOMONTH($W$1,0),Sales!BM$6*Sales!BM$7,0)+IF(EOMONTH(DATE(YEAR(Sales!$BJ$1),MONTH(Sales!$BJ$1),1)+INT((DAY(Sales!$BJ$1)-1)/2)+'Cash Drivers'!BJ$13,0)=EOMONTH($W$1,0),Sales!BJ$6*Sales!BJ$7,0)+IF(EOMONTH(DATE(YEAR(Sales!$BG$1),MONTH(Sales!$BG$1),1)+INT((DAY(Sales!$BG$1)-1)/2)+'Cash Drivers'!BG$13,0)=EOMONTH($W$1,0),Sales!BG$6*Sales!BG$7,0)+IF(EOMONTH(DATE(YEAR(Sales!$BD$1),MONTH(Sales!$BD$1),1)+INT((DAY(Sales!$BD$1)-1)/2)+'Cash Drivers'!BD$13,0)=EOMONTH($W$1,0),Sales!BD$6*Sales!BD$7,0)+IF(EOMONTH(DATE(YEAR(Sales!$BA$1),MONTH(Sales!$BA$1),1)+INT((DAY(Sales!$BA$1)-1)/2)+'Cash Drivers'!BA$13,0)=EOMONTH($W$1,0),Sales!BA$6*Sales!BA$7,0)+IF(EOMONTH(DATE(YEAR(Sales!$AX$1),MONTH(Sales!$AX$1),1)+INT((DAY(Sales!$AX$1)-1)/2)+'Cash Drivers'!AX$13,0)=EOMONTH($W$1,0),Sales!AX$6*Sales!AX$7,0)+IF(EOMONTH(DATE(YEAR(Sales!$AU$1),MONTH(Sales!$AU$1),1)+INT((DAY(Sales!$AU$1)-1)/2)+'Cash Drivers'!AU$13,0)=EOMONTH($W$1,0),Sales!AU$6*Sales!AU$7,0)+IF(EOMONTH(DATE(YEAR(Sales!$AR$1),MONTH(Sales!$AR$1),1)+INT((DAY(Sales!$AR$1)-1)/2)+'Cash Drivers'!AR$13,0)=EOMONTH($W$1,0),Sales!AR$6*Sales!AR$7,0)+IF(EOMONTH(DATE(YEAR(Sales!$AO$1),MONTH(Sales!$AO$1),1)+INT((DAY(Sales!$AO$1)-1)/2)+'Cash Drivers'!AO$13,0)=EOMONTH($W$1,0),Sales!AO$6*Sales!AO$7,0)+IF(EOMONTH(DATE(YEAR(Sales!$AL$1),MONTH(Sales!$AL$1),1)+INT((DAY(Sales!$AL$1)-1)/2)+'Cash Drivers'!AL$13,0)=EOMONTH($W$1,0),Sales!AL$6*Sales!AL$7,0)+IF(EOMONTH(DATE(YEAR(Sales!$AI$1),MONTH(Sales!$AI$1),1)+INT((DAY(Sales!$AI$1)-1)/2)+'Cash Drivers'!AI$13,0)=EOMONTH($W$1,0),Sales!AI$6*Sales!AI$7,0)+IF(EOMONTH(DATE(YEAR(Sales!$AF$1),MONTH(Sales!$AF$1),1)+INT((DAY(Sales!$AF$1)-1)/2)+'Cash Drivers'!AF$13,0)=EOMONTH($W$1,0),Sales!AF$6*Sales!AF$7,0)+IF(EOMONTH(DATE(YEAR(Sales!$AC$1),MONTH(Sales!$AC$1),1)+INT((DAY(Sales!$AC$1)-1)/2)+'Cash Drivers'!AC$13,0)=EOMONTH($W$1,0),Sales!AC$6*Sales!AC$7,0)+IF(EOMONTH(DATE(YEAR(Sales!$Z$1),MONTH(Sales!$Z$1),1)+INT((DAY(Sales!$Z$1)-1)/2)+'Cash Drivers'!Z$13,0)=EOMONTH($W$1,0),Sales!Z$6*Sales!Z$7,0)+IF(EOMONTH(DATE(YEAR(Sales!$W$1),MONTH(Sales!$W$1),1)+INT((DAY(Sales!$W$1)-1)/2)+'Cash Drivers'!W$13,0)=EOMONTH($W$1,0),Sales!W$6*Sales!W$7,0)+IF(EOMONTH(DATE(YEAR(Sales!$T$1),MONTH(Sales!$T$1),1)+INT((DAY(Sales!$T$1)-1)/2)+'Cash Drivers'!T$13,0)=EOMONTH($W$1,0),Sales!T$6*Sales!T$7,0)+IF(EOMONTH(DATE(YEAR(Sales!$Q$1),MONTH(Sales!$Q$1),1)+INT((DAY(Sales!$Q$1)-1)/2)+'Cash Drivers'!Q$13,0)=EOMONTH($W$1,0),Sales!Q$6*Sales!Q$7,0)+IF(EOMONTH(DATE(YEAR(Sales!$N$1),MONTH(Sales!$N$1),1)+INT((DAY(Sales!$N$1)-1)/2)+'Cash Drivers'!N$13,0)=EOMONTH($W$1,0),Sales!N$6*Sales!N$7,0)+IF(EOMONTH(DATE(YEAR(Sales!$K$1),MONTH(Sales!$K$1),1)+INT((DAY(Sales!$K$1)-1)/2)+'Cash Drivers'!K$13,0)=EOMONTH($W$1,0),Sales!K$6*Sales!K$7,0)+IF(EOMONTH('Cash Drivers'!$DL$30+'Cash Drivers'!DL$13,0)=EOMONTH($W$1,0),'Cash Drivers'!$DL$32*Sales!$DL$60,0),0)</f>
        <v>0</v>
      </c>
      <c r="X24" s="59" t="n">
        <f aca="false">ROUND(IF(EOMONTH(DATE(YEAR(Sales!$DL$1),MONTH(Sales!$DL$1),1)+INT((DAY(Sales!$DL$1)-1)/2)+'Cash Drivers'!DM$13,0)=EOMONTH($W$1,0),Sales!DM$6*Sales!DM$7,0)+IF(EOMONTH(DATE(YEAR(Sales!$DI$1),MONTH(Sales!$DI$1),1)+INT((DAY(Sales!$DI$1)-1)/2)+'Cash Drivers'!DJ$13,0)=EOMONTH($W$1,0),Sales!DJ$6*Sales!DJ$7,0)+IF(EOMONTH(DATE(YEAR(Sales!$DF$1),MONTH(Sales!$DF$1),1)+INT((DAY(Sales!$DF$1)-1)/2)+'Cash Drivers'!DG$13,0)=EOMONTH($W$1,0),Sales!DG$6*Sales!DG$7,0)+IF(EOMONTH(DATE(YEAR(Sales!$DC$1),MONTH(Sales!$DC$1),1)+INT((DAY(Sales!$DC$1)-1)/2)+'Cash Drivers'!DD$13,0)=EOMONTH($W$1,0),Sales!DD$6*Sales!DD$7,0)+IF(EOMONTH(DATE(YEAR(Sales!$CZ$1),MONTH(Sales!$CZ$1),1)+INT((DAY(Sales!$CZ$1)-1)/2)+'Cash Drivers'!DA$13,0)=EOMONTH($W$1,0),Sales!DA$6*Sales!DA$7,0)+IF(EOMONTH(DATE(YEAR(Sales!$CW$1),MONTH(Sales!$CW$1),1)+INT((DAY(Sales!$CW$1)-1)/2)+'Cash Drivers'!CX$13,0)=EOMONTH($W$1,0),Sales!CX$6*Sales!CX$7,0)+IF(EOMONTH(DATE(YEAR(Sales!$CT$1),MONTH(Sales!$CT$1),1)+INT((DAY(Sales!$CT$1)-1)/2)+'Cash Drivers'!CU$13,0)=EOMONTH($W$1,0),Sales!CU$6*Sales!CU$7,0)+IF(EOMONTH(DATE(YEAR(Sales!$CQ$1),MONTH(Sales!$CQ$1),1)+INT((DAY(Sales!$CQ$1)-1)/2)+'Cash Drivers'!CR$13,0)=EOMONTH($W$1,0),Sales!CR$6*Sales!CR$7,0)+IF(EOMONTH(DATE(YEAR(Sales!$CN$1),MONTH(Sales!$CN$1),1)+INT((DAY(Sales!$CN$1)-1)/2)+'Cash Drivers'!CO$13,0)=EOMONTH($W$1,0),Sales!CO$6*Sales!CO$7,0)+IF(EOMONTH(DATE(YEAR(Sales!$CK$1),MONTH(Sales!$CK$1),1)+INT((DAY(Sales!$CK$1)-1)/2)+'Cash Drivers'!CL$13,0)=EOMONTH($W$1,0),Sales!CL$6*Sales!CL$7,0)+IF(EOMONTH(DATE(YEAR(Sales!$CH$1),MONTH(Sales!$CH$1),1)+INT((DAY(Sales!$CH$1)-1)/2)+'Cash Drivers'!CI$13,0)=EOMONTH($W$1,0),Sales!CI$6*Sales!CI$7,0)+IF(EOMONTH(DATE(YEAR(Sales!$CE$1),MONTH(Sales!$CE$1),1)+INT((DAY(Sales!$CE$1)-1)/2)+'Cash Drivers'!CF$13,0)=EOMONTH($W$1,0),Sales!CF$6*Sales!CF$7,0)+IF(EOMONTH(DATE(YEAR(Sales!$CB$1),MONTH(Sales!$CB$1),1)+INT((DAY(Sales!$CB$1)-1)/2)+'Cash Drivers'!CC$13,0)=EOMONTH($W$1,0),Sales!CC$6*Sales!CC$7,0)+IF(EOMONTH(DATE(YEAR(Sales!$BY$1),MONTH(Sales!$BY$1),1)+INT((DAY(Sales!$BY$1)-1)/2)+'Cash Drivers'!BZ$13,0)=EOMONTH($W$1,0),Sales!BZ$6*Sales!BZ$7,0)+IF(EOMONTH(DATE(YEAR(Sales!$BV$1),MONTH(Sales!$BV$1),1)+INT((DAY(Sales!$BV$1)-1)/2)+'Cash Drivers'!BW$13,0)=EOMONTH($W$1,0),Sales!BW$6*Sales!BW$7,0)+IF(EOMONTH(DATE(YEAR(Sales!$BS$1),MONTH(Sales!$BS$1),1)+INT((DAY(Sales!$BS$1)-1)/2)+'Cash Drivers'!BT$13,0)=EOMONTH($W$1,0),Sales!BT$6*Sales!BT$7,0)+IF(EOMONTH(DATE(YEAR(Sales!$BP$1),MONTH(Sales!$BP$1),1)+INT((DAY(Sales!$BP$1)-1)/2)+'Cash Drivers'!BQ$13,0)=EOMONTH($W$1,0),Sales!BQ$6*Sales!BQ$7,0)+IF(EOMONTH(DATE(YEAR(Sales!$BM$1),MONTH(Sales!$BM$1),1)+INT((DAY(Sales!$BM$1)-1)/2)+'Cash Drivers'!BN$13,0)=EOMONTH($W$1,0),Sales!BN$6*Sales!BN$7,0)+IF(EOMONTH(DATE(YEAR(Sales!$BJ$1),MONTH(Sales!$BJ$1),1)+INT((DAY(Sales!$BJ$1)-1)/2)+'Cash Drivers'!BK$13,0)=EOMONTH($W$1,0),Sales!BK$6*Sales!BK$7,0)+IF(EOMONTH(DATE(YEAR(Sales!$BG$1),MONTH(Sales!$BG$1),1)+INT((DAY(Sales!$BG$1)-1)/2)+'Cash Drivers'!BH$13,0)=EOMONTH($W$1,0),Sales!BH$6*Sales!BH$7,0)+IF(EOMONTH(DATE(YEAR(Sales!$BD$1),MONTH(Sales!$BD$1),1)+INT((DAY(Sales!$BD$1)-1)/2)+'Cash Drivers'!BE$13,0)=EOMONTH($W$1,0),Sales!BE$6*Sales!BE$7,0)+IF(EOMONTH(DATE(YEAR(Sales!$BA$1),MONTH(Sales!$BA$1),1)+INT((DAY(Sales!$BA$1)-1)/2)+'Cash Drivers'!BB$13,0)=EOMONTH($W$1,0),Sales!BB$6*Sales!BB$7,0)+IF(EOMONTH(DATE(YEAR(Sales!$AX$1),MONTH(Sales!$AX$1),1)+INT((DAY(Sales!$AX$1)-1)/2)+'Cash Drivers'!AY$13,0)=EOMONTH($W$1,0),Sales!AY$6*Sales!AY$7,0)+IF(EOMONTH(DATE(YEAR(Sales!$AU$1),MONTH(Sales!$AU$1),1)+INT((DAY(Sales!$AU$1)-1)/2)+'Cash Drivers'!AV$13,0)=EOMONTH($W$1,0),Sales!AV$6*Sales!AV$7,0)+IF(EOMONTH(DATE(YEAR(Sales!$AR$1),MONTH(Sales!$AR$1),1)+INT((DAY(Sales!$AR$1)-1)/2)+'Cash Drivers'!AS$13,0)=EOMONTH($W$1,0),Sales!AS$6*Sales!AS$7,0)+IF(EOMONTH(DATE(YEAR(Sales!$AO$1),MONTH(Sales!$AO$1),1)+INT((DAY(Sales!$AO$1)-1)/2)+'Cash Drivers'!AP$13,0)=EOMONTH($W$1,0),Sales!AP$6*Sales!AP$7,0)+IF(EOMONTH(DATE(YEAR(Sales!$AL$1),MONTH(Sales!$AL$1),1)+INT((DAY(Sales!$AL$1)-1)/2)+'Cash Drivers'!AM$13,0)=EOMONTH($W$1,0),Sales!AM$6*Sales!AM$7,0)+IF(EOMONTH(DATE(YEAR(Sales!$AI$1),MONTH(Sales!$AI$1),1)+INT((DAY(Sales!$AI$1)-1)/2)+'Cash Drivers'!AJ$13,0)=EOMONTH($W$1,0),Sales!AJ$6*Sales!AJ$7,0)+IF(EOMONTH(DATE(YEAR(Sales!$AF$1),MONTH(Sales!$AF$1),1)+INT((DAY(Sales!$AF$1)-1)/2)+'Cash Drivers'!AG$13,0)=EOMONTH($W$1,0),Sales!AG$6*Sales!AG$7,0)+IF(EOMONTH(DATE(YEAR(Sales!$AC$1),MONTH(Sales!$AC$1),1)+INT((DAY(Sales!$AC$1)-1)/2)+'Cash Drivers'!AD$13,0)=EOMONTH($W$1,0),Sales!AD$6*Sales!AD$7,0)+IF(EOMONTH(DATE(YEAR(Sales!$Z$1),MONTH(Sales!$Z$1),1)+INT((DAY(Sales!$Z$1)-1)/2)+'Cash Drivers'!AA$13,0)=EOMONTH($W$1,0),Sales!AA$6*Sales!AA$7,0)+IF(EOMONTH(DATE(YEAR(Sales!$W$1),MONTH(Sales!$W$1),1)+INT((DAY(Sales!$W$1)-1)/2)+'Cash Drivers'!X$13,0)=EOMONTH($W$1,0),Sales!X$6*Sales!X$7,0)+IF(EOMONTH(DATE(YEAR(Sales!$T$1),MONTH(Sales!$T$1),1)+INT((DAY(Sales!$T$1)-1)/2)+'Cash Drivers'!U$13,0)=EOMONTH($W$1,0),Sales!U$6*Sales!U$7,0)+IF(EOMONTH(DATE(YEAR(Sales!$Q$1),MONTH(Sales!$Q$1),1)+INT((DAY(Sales!$Q$1)-1)/2)+'Cash Drivers'!R$13,0)=EOMONTH($W$1,0),Sales!R$6*Sales!R$7,0)+IF(EOMONTH(DATE(YEAR(Sales!$N$1),MONTH(Sales!$N$1),1)+INT((DAY(Sales!$N$1)-1)/2)+'Cash Drivers'!O$13,0)=EOMONTH($W$1,0),Sales!O$6*Sales!O$7,0)+IF(EOMONTH(DATE(YEAR(Sales!$K$1),MONTH(Sales!$K$1),1)+INT((DAY(Sales!$K$1)-1)/2)+'Cash Drivers'!L$13,0)=EOMONTH($W$1,0),Sales!L$6*Sales!L$7,0)+IF(EOMONTH('Cash Drivers'!$DL$30+'Cash Drivers'!DM$13,0)=EOMONTH($W$1,0),'Cash Drivers'!$DL$32*Sales!$DL$60,0),0)</f>
        <v>50958</v>
      </c>
      <c r="Y24" s="60" t="n">
        <f aca="false">ROUND(IF(EOMONTH(DATE(YEAR(Sales!$DL$1),MONTH(Sales!$DL$1),1)+INT((DAY(Sales!$DL$1)-1)/2)+'Cash Drivers'!DN$13,0)=EOMONTH($W$1,0),Sales!DN$6*Sales!DN$7,0)+IF(EOMONTH(DATE(YEAR(Sales!$DI$1),MONTH(Sales!$DI$1),1)+INT((DAY(Sales!$DI$1)-1)/2)+'Cash Drivers'!DK$13,0)=EOMONTH($W$1,0),Sales!DK$6*Sales!DK$7,0)+IF(EOMONTH(DATE(YEAR(Sales!$DF$1),MONTH(Sales!$DF$1),1)+INT((DAY(Sales!$DF$1)-1)/2)+'Cash Drivers'!DH$13,0)=EOMONTH($W$1,0),Sales!DH$6*Sales!DH$7,0)+IF(EOMONTH(DATE(YEAR(Sales!$DC$1),MONTH(Sales!$DC$1),1)+INT((DAY(Sales!$DC$1)-1)/2)+'Cash Drivers'!DE$13,0)=EOMONTH($W$1,0),Sales!DE$6*Sales!DE$7,0)+IF(EOMONTH(DATE(YEAR(Sales!$CZ$1),MONTH(Sales!$CZ$1),1)+INT((DAY(Sales!$CZ$1)-1)/2)+'Cash Drivers'!DB$13,0)=EOMONTH($W$1,0),Sales!DB$6*Sales!DB$7,0)+IF(EOMONTH(DATE(YEAR(Sales!$CW$1),MONTH(Sales!$CW$1),1)+INT((DAY(Sales!$CW$1)-1)/2)+'Cash Drivers'!CY$13,0)=EOMONTH($W$1,0),Sales!CY$6*Sales!CY$7,0)+IF(EOMONTH(DATE(YEAR(Sales!$CT$1),MONTH(Sales!$CT$1),1)+INT((DAY(Sales!$CT$1)-1)/2)+'Cash Drivers'!CV$13,0)=EOMONTH($W$1,0),Sales!CV$6*Sales!CV$7,0)+IF(EOMONTH(DATE(YEAR(Sales!$CQ$1),MONTH(Sales!$CQ$1),1)+INT((DAY(Sales!$CQ$1)-1)/2)+'Cash Drivers'!CS$13,0)=EOMONTH($W$1,0),Sales!CS$6*Sales!CS$7,0)+IF(EOMONTH(DATE(YEAR(Sales!$CN$1),MONTH(Sales!$CN$1),1)+INT((DAY(Sales!$CN$1)-1)/2)+'Cash Drivers'!CP$13,0)=EOMONTH($W$1,0),Sales!CP$6*Sales!CP$7,0)+IF(EOMONTH(DATE(YEAR(Sales!$CK$1),MONTH(Sales!$CK$1),1)+INT((DAY(Sales!$CK$1)-1)/2)+'Cash Drivers'!CM$13,0)=EOMONTH($W$1,0),Sales!CM$6*Sales!CM$7,0)+IF(EOMONTH(DATE(YEAR(Sales!$CH$1),MONTH(Sales!$CH$1),1)+INT((DAY(Sales!$CH$1)-1)/2)+'Cash Drivers'!CJ$13,0)=EOMONTH($W$1,0),Sales!CJ$6*Sales!CJ$7,0)+IF(EOMONTH(DATE(YEAR(Sales!$CE$1),MONTH(Sales!$CE$1),1)+INT((DAY(Sales!$CE$1)-1)/2)+'Cash Drivers'!CG$13,0)=EOMONTH($W$1,0),Sales!CG$6*Sales!CG$7,0)+IF(EOMONTH(DATE(YEAR(Sales!$CB$1),MONTH(Sales!$CB$1),1)+INT((DAY(Sales!$CB$1)-1)/2)+'Cash Drivers'!CD$13,0)=EOMONTH($W$1,0),Sales!CD$6*Sales!CD$7,0)+IF(EOMONTH(DATE(YEAR(Sales!$BY$1),MONTH(Sales!$BY$1),1)+INT((DAY(Sales!$BY$1)-1)/2)+'Cash Drivers'!CA$13,0)=EOMONTH($W$1,0),Sales!CA$6*Sales!CA$7,0)+IF(EOMONTH(DATE(YEAR(Sales!$BV$1),MONTH(Sales!$BV$1),1)+INT((DAY(Sales!$BV$1)-1)/2)+'Cash Drivers'!BX$13,0)=EOMONTH($W$1,0),Sales!BX$6*Sales!BX$7,0)+IF(EOMONTH(DATE(YEAR(Sales!$BS$1),MONTH(Sales!$BS$1),1)+INT((DAY(Sales!$BS$1)-1)/2)+'Cash Drivers'!BU$13,0)=EOMONTH($W$1,0),Sales!BU$6*Sales!BU$7,0)+IF(EOMONTH(DATE(YEAR(Sales!$BP$1),MONTH(Sales!$BP$1),1)+INT((DAY(Sales!$BP$1)-1)/2)+'Cash Drivers'!BR$13,0)=EOMONTH($W$1,0),Sales!BR$6*Sales!BR$7,0)+IF(EOMONTH(DATE(YEAR(Sales!$BM$1),MONTH(Sales!$BM$1),1)+INT((DAY(Sales!$BM$1)-1)/2)+'Cash Drivers'!BO$13,0)=EOMONTH($W$1,0),Sales!BO$6*Sales!BO$7,0)+IF(EOMONTH(DATE(YEAR(Sales!$BJ$1),MONTH(Sales!$BJ$1),1)+INT((DAY(Sales!$BJ$1)-1)/2)+'Cash Drivers'!BL$13,0)=EOMONTH($W$1,0),Sales!BL$6*Sales!BL$7,0)+IF(EOMONTH(DATE(YEAR(Sales!$BG$1),MONTH(Sales!$BG$1),1)+INT((DAY(Sales!$BG$1)-1)/2)+'Cash Drivers'!BI$13,0)=EOMONTH($W$1,0),Sales!BI$6*Sales!BI$7,0)+IF(EOMONTH(DATE(YEAR(Sales!$BD$1),MONTH(Sales!$BD$1),1)+INT((DAY(Sales!$BD$1)-1)/2)+'Cash Drivers'!BF$13,0)=EOMONTH($W$1,0),Sales!BF$6*Sales!BF$7,0)+IF(EOMONTH(DATE(YEAR(Sales!$BA$1),MONTH(Sales!$BA$1),1)+INT((DAY(Sales!$BA$1)-1)/2)+'Cash Drivers'!BC$13,0)=EOMONTH($W$1,0),Sales!BC$6*Sales!BC$7,0)+IF(EOMONTH(DATE(YEAR(Sales!$AX$1),MONTH(Sales!$AX$1),1)+INT((DAY(Sales!$AX$1)-1)/2)+'Cash Drivers'!AZ$13,0)=EOMONTH($W$1,0),Sales!AZ$6*Sales!AZ$7,0)+IF(EOMONTH(DATE(YEAR(Sales!$AU$1),MONTH(Sales!$AU$1),1)+INT((DAY(Sales!$AU$1)-1)/2)+'Cash Drivers'!AW$13,0)=EOMONTH($W$1,0),Sales!AW$6*Sales!AW$7,0)+IF(EOMONTH(DATE(YEAR(Sales!$AR$1),MONTH(Sales!$AR$1),1)+INT((DAY(Sales!$AR$1)-1)/2)+'Cash Drivers'!AT$13,0)=EOMONTH($W$1,0),Sales!AT$6*Sales!AT$7,0)+IF(EOMONTH(DATE(YEAR(Sales!$AO$1),MONTH(Sales!$AO$1),1)+INT((DAY(Sales!$AO$1)-1)/2)+'Cash Drivers'!AQ$13,0)=EOMONTH($W$1,0),Sales!AQ$6*Sales!AQ$7,0)+IF(EOMONTH(DATE(YEAR(Sales!$AL$1),MONTH(Sales!$AL$1),1)+INT((DAY(Sales!$AL$1)-1)/2)+'Cash Drivers'!AN$13,0)=EOMONTH($W$1,0),Sales!AN$6*Sales!AN$7,0)+IF(EOMONTH(DATE(YEAR(Sales!$AI$1),MONTH(Sales!$AI$1),1)+INT((DAY(Sales!$AI$1)-1)/2)+'Cash Drivers'!AK$13,0)=EOMONTH($W$1,0),Sales!AK$6*Sales!AK$7,0)+IF(EOMONTH(DATE(YEAR(Sales!$AF$1),MONTH(Sales!$AF$1),1)+INT((DAY(Sales!$AF$1)-1)/2)+'Cash Drivers'!AH$13,0)=EOMONTH($W$1,0),Sales!AH$6*Sales!AH$7,0)+IF(EOMONTH(DATE(YEAR(Sales!$AC$1),MONTH(Sales!$AC$1),1)+INT((DAY(Sales!$AC$1)-1)/2)+'Cash Drivers'!AE$13,0)=EOMONTH($W$1,0),Sales!AE$6*Sales!AE$7,0)+IF(EOMONTH(DATE(YEAR(Sales!$Z$1),MONTH(Sales!$Z$1),1)+INT((DAY(Sales!$Z$1)-1)/2)+'Cash Drivers'!AB$13,0)=EOMONTH($W$1,0),Sales!AB$6*Sales!AB$7,0)+IF(EOMONTH(DATE(YEAR(Sales!$W$1),MONTH(Sales!$W$1),1)+INT((DAY(Sales!$W$1)-1)/2)+'Cash Drivers'!Y$13,0)=EOMONTH($W$1,0),Sales!Y$6*Sales!Y$7,0)+IF(EOMONTH(DATE(YEAR(Sales!$T$1),MONTH(Sales!$T$1),1)+INT((DAY(Sales!$T$1)-1)/2)+'Cash Drivers'!V$13,0)=EOMONTH($W$1,0),Sales!V$6*Sales!V$7,0)+IF(EOMONTH(DATE(YEAR(Sales!$Q$1),MONTH(Sales!$Q$1),1)+INT((DAY(Sales!$Q$1)-1)/2)+'Cash Drivers'!S$13,0)=EOMONTH($W$1,0),Sales!S$6*Sales!S$7,0)+IF(EOMONTH(DATE(YEAR(Sales!$N$1),MONTH(Sales!$N$1),1)+INT((DAY(Sales!$N$1)-1)/2)+'Cash Drivers'!P$13,0)=EOMONTH($W$1,0),Sales!P$6*Sales!P$7,0)+IF(EOMONTH(DATE(YEAR(Sales!$K$1),MONTH(Sales!$K$1),1)+INT((DAY(Sales!$K$1)-1)/2)+'Cash Drivers'!M$13,0)=EOMONTH($W$1,0),Sales!M$6*Sales!M$7,0)+IF(EOMONTH('Cash Drivers'!$DL$30+'Cash Drivers'!DN$13,0)=EOMONTH($W$1,0),'Cash Drivers'!$DL$32*Sales!$DL$60,0),0)</f>
        <v>51072</v>
      </c>
      <c r="Z24" s="58" t="n">
        <f aca="false">ROUND(IF(EOMONTH(DATE(YEAR(Sales!$DL$1),MONTH(Sales!$DL$1),1)+INT((DAY(Sales!$DL$1)-1)/2)+'Cash Drivers'!DL$13,0)=EOMONTH($Z$1,0),Sales!DL$6*Sales!DL$7,0)+IF(EOMONTH(DATE(YEAR(Sales!$DI$1),MONTH(Sales!$DI$1),1)+INT((DAY(Sales!$DI$1)-1)/2)+'Cash Drivers'!DI$13,0)=EOMONTH($Z$1,0),Sales!DI$6*Sales!DI$7,0)+IF(EOMONTH(DATE(YEAR(Sales!$DF$1),MONTH(Sales!$DF$1),1)+INT((DAY(Sales!$DF$1)-1)/2)+'Cash Drivers'!DF$13,0)=EOMONTH($Z$1,0),Sales!DF$6*Sales!DF$7,0)+IF(EOMONTH(DATE(YEAR(Sales!$DC$1),MONTH(Sales!$DC$1),1)+INT((DAY(Sales!$DC$1)-1)/2)+'Cash Drivers'!DC$13,0)=EOMONTH($Z$1,0),Sales!DC$6*Sales!DC$7,0)+IF(EOMONTH(DATE(YEAR(Sales!$CZ$1),MONTH(Sales!$CZ$1),1)+INT((DAY(Sales!$CZ$1)-1)/2)+'Cash Drivers'!CZ$13,0)=EOMONTH($Z$1,0),Sales!CZ$6*Sales!CZ$7,0)+IF(EOMONTH(DATE(YEAR(Sales!$CW$1),MONTH(Sales!$CW$1),1)+INT((DAY(Sales!$CW$1)-1)/2)+'Cash Drivers'!CW$13,0)=EOMONTH($Z$1,0),Sales!CW$6*Sales!CW$7,0)+IF(EOMONTH(DATE(YEAR(Sales!$CT$1),MONTH(Sales!$CT$1),1)+INT((DAY(Sales!$CT$1)-1)/2)+'Cash Drivers'!CT$13,0)=EOMONTH($Z$1,0),Sales!CT$6*Sales!CT$7,0)+IF(EOMONTH(DATE(YEAR(Sales!$CQ$1),MONTH(Sales!$CQ$1),1)+INT((DAY(Sales!$CQ$1)-1)/2)+'Cash Drivers'!CQ$13,0)=EOMONTH($Z$1,0),Sales!CQ$6*Sales!CQ$7,0)+IF(EOMONTH(DATE(YEAR(Sales!$CN$1),MONTH(Sales!$CN$1),1)+INT((DAY(Sales!$CN$1)-1)/2)+'Cash Drivers'!CN$13,0)=EOMONTH($Z$1,0),Sales!CN$6*Sales!CN$7,0)+IF(EOMONTH(DATE(YEAR(Sales!$CK$1),MONTH(Sales!$CK$1),1)+INT((DAY(Sales!$CK$1)-1)/2)+'Cash Drivers'!CK$13,0)=EOMONTH($Z$1,0),Sales!CK$6*Sales!CK$7,0)+IF(EOMONTH(DATE(YEAR(Sales!$CH$1),MONTH(Sales!$CH$1),1)+INT((DAY(Sales!$CH$1)-1)/2)+'Cash Drivers'!CH$13,0)=EOMONTH($Z$1,0),Sales!CH$6*Sales!CH$7,0)+IF(EOMONTH(DATE(YEAR(Sales!$CE$1),MONTH(Sales!$CE$1),1)+INT((DAY(Sales!$CE$1)-1)/2)+'Cash Drivers'!CE$13,0)=EOMONTH($Z$1,0),Sales!CE$6*Sales!CE$7,0)+IF(EOMONTH(DATE(YEAR(Sales!$CB$1),MONTH(Sales!$CB$1),1)+INT((DAY(Sales!$CB$1)-1)/2)+'Cash Drivers'!CB$13,0)=EOMONTH($Z$1,0),Sales!CB$6*Sales!CB$7,0)+IF(EOMONTH(DATE(YEAR(Sales!$BY$1),MONTH(Sales!$BY$1),1)+INT((DAY(Sales!$BY$1)-1)/2)+'Cash Drivers'!BY$13,0)=EOMONTH($Z$1,0),Sales!BY$6*Sales!BY$7,0)+IF(EOMONTH(DATE(YEAR(Sales!$BV$1),MONTH(Sales!$BV$1),1)+INT((DAY(Sales!$BV$1)-1)/2)+'Cash Drivers'!BV$13,0)=EOMONTH($Z$1,0),Sales!BV$6*Sales!BV$7,0)+IF(EOMONTH(DATE(YEAR(Sales!$BS$1),MONTH(Sales!$BS$1),1)+INT((DAY(Sales!$BS$1)-1)/2)+'Cash Drivers'!BS$13,0)=EOMONTH($Z$1,0),Sales!BS$6*Sales!BS$7,0)+IF(EOMONTH(DATE(YEAR(Sales!$BP$1),MONTH(Sales!$BP$1),1)+INT((DAY(Sales!$BP$1)-1)/2)+'Cash Drivers'!BP$13,0)=EOMONTH($Z$1,0),Sales!BP$6*Sales!BP$7,0)+IF(EOMONTH(DATE(YEAR(Sales!$BM$1),MONTH(Sales!$BM$1),1)+INT((DAY(Sales!$BM$1)-1)/2)+'Cash Drivers'!BM$13,0)=EOMONTH($Z$1,0),Sales!BM$6*Sales!BM$7,0)+IF(EOMONTH(DATE(YEAR(Sales!$BJ$1),MONTH(Sales!$BJ$1),1)+INT((DAY(Sales!$BJ$1)-1)/2)+'Cash Drivers'!BJ$13,0)=EOMONTH($Z$1,0),Sales!BJ$6*Sales!BJ$7,0)+IF(EOMONTH(DATE(YEAR(Sales!$BG$1),MONTH(Sales!$BG$1),1)+INT((DAY(Sales!$BG$1)-1)/2)+'Cash Drivers'!BG$13,0)=EOMONTH($Z$1,0),Sales!BG$6*Sales!BG$7,0)+IF(EOMONTH(DATE(YEAR(Sales!$BD$1),MONTH(Sales!$BD$1),1)+INT((DAY(Sales!$BD$1)-1)/2)+'Cash Drivers'!BD$13,0)=EOMONTH($Z$1,0),Sales!BD$6*Sales!BD$7,0)+IF(EOMONTH(DATE(YEAR(Sales!$BA$1),MONTH(Sales!$BA$1),1)+INT((DAY(Sales!$BA$1)-1)/2)+'Cash Drivers'!BA$13,0)=EOMONTH($Z$1,0),Sales!BA$6*Sales!BA$7,0)+IF(EOMONTH(DATE(YEAR(Sales!$AX$1),MONTH(Sales!$AX$1),1)+INT((DAY(Sales!$AX$1)-1)/2)+'Cash Drivers'!AX$13,0)=EOMONTH($Z$1,0),Sales!AX$6*Sales!AX$7,0)+IF(EOMONTH(DATE(YEAR(Sales!$AU$1),MONTH(Sales!$AU$1),1)+INT((DAY(Sales!$AU$1)-1)/2)+'Cash Drivers'!AU$13,0)=EOMONTH($Z$1,0),Sales!AU$6*Sales!AU$7,0)+IF(EOMONTH(DATE(YEAR(Sales!$AR$1),MONTH(Sales!$AR$1),1)+INT((DAY(Sales!$AR$1)-1)/2)+'Cash Drivers'!AR$13,0)=EOMONTH($Z$1,0),Sales!AR$6*Sales!AR$7,0)+IF(EOMONTH(DATE(YEAR(Sales!$AO$1),MONTH(Sales!$AO$1),1)+INT((DAY(Sales!$AO$1)-1)/2)+'Cash Drivers'!AO$13,0)=EOMONTH($Z$1,0),Sales!AO$6*Sales!AO$7,0)+IF(EOMONTH(DATE(YEAR(Sales!$AL$1),MONTH(Sales!$AL$1),1)+INT((DAY(Sales!$AL$1)-1)/2)+'Cash Drivers'!AL$13,0)=EOMONTH($Z$1,0),Sales!AL$6*Sales!AL$7,0)+IF(EOMONTH(DATE(YEAR(Sales!$AI$1),MONTH(Sales!$AI$1),1)+INT((DAY(Sales!$AI$1)-1)/2)+'Cash Drivers'!AI$13,0)=EOMONTH($Z$1,0),Sales!AI$6*Sales!AI$7,0)+IF(EOMONTH(DATE(YEAR(Sales!$AF$1),MONTH(Sales!$AF$1),1)+INT((DAY(Sales!$AF$1)-1)/2)+'Cash Drivers'!AF$13,0)=EOMONTH($Z$1,0),Sales!AF$6*Sales!AF$7,0)+IF(EOMONTH(DATE(YEAR(Sales!$AC$1),MONTH(Sales!$AC$1),1)+INT((DAY(Sales!$AC$1)-1)/2)+'Cash Drivers'!AC$13,0)=EOMONTH($Z$1,0),Sales!AC$6*Sales!AC$7,0)+IF(EOMONTH(DATE(YEAR(Sales!$Z$1),MONTH(Sales!$Z$1),1)+INT((DAY(Sales!$Z$1)-1)/2)+'Cash Drivers'!Z$13,0)=EOMONTH($Z$1,0),Sales!Z$6*Sales!Z$7,0)+IF(EOMONTH(DATE(YEAR(Sales!$W$1),MONTH(Sales!$W$1),1)+INT((DAY(Sales!$W$1)-1)/2)+'Cash Drivers'!W$13,0)=EOMONTH($Z$1,0),Sales!W$6*Sales!W$7,0)+IF(EOMONTH(DATE(YEAR(Sales!$T$1),MONTH(Sales!$T$1),1)+INT((DAY(Sales!$T$1)-1)/2)+'Cash Drivers'!T$13,0)=EOMONTH($Z$1,0),Sales!T$6*Sales!T$7,0)+IF(EOMONTH(DATE(YEAR(Sales!$Q$1),MONTH(Sales!$Q$1),1)+INT((DAY(Sales!$Q$1)-1)/2)+'Cash Drivers'!Q$13,0)=EOMONTH($Z$1,0),Sales!Q$6*Sales!Q$7,0)+IF(EOMONTH(DATE(YEAR(Sales!$N$1),MONTH(Sales!$N$1),1)+INT((DAY(Sales!$N$1)-1)/2)+'Cash Drivers'!N$13,0)=EOMONTH($Z$1,0),Sales!N$6*Sales!N$7,0)+IF(EOMONTH(DATE(YEAR(Sales!$K$1),MONTH(Sales!$K$1),1)+INT((DAY(Sales!$K$1)-1)/2)+'Cash Drivers'!K$13,0)=EOMONTH($Z$1,0),Sales!K$6*Sales!K$7,0)+IF(EOMONTH('Cash Drivers'!$DL$30+'Cash Drivers'!DL$13,0)=EOMONTH($Z$1,0),'Cash Drivers'!$DL$32*Sales!$DL$60,0),0)</f>
        <v>0</v>
      </c>
      <c r="AA24" s="59" t="n">
        <f aca="false">ROUND(IF(EOMONTH(DATE(YEAR(Sales!$DL$1),MONTH(Sales!$DL$1),1)+INT((DAY(Sales!$DL$1)-1)/2)+'Cash Drivers'!DM$13,0)=EOMONTH($Z$1,0),Sales!DM$6*Sales!DM$7,0)+IF(EOMONTH(DATE(YEAR(Sales!$DI$1),MONTH(Sales!$DI$1),1)+INT((DAY(Sales!$DI$1)-1)/2)+'Cash Drivers'!DJ$13,0)=EOMONTH($Z$1,0),Sales!DJ$6*Sales!DJ$7,0)+IF(EOMONTH(DATE(YEAR(Sales!$DF$1),MONTH(Sales!$DF$1),1)+INT((DAY(Sales!$DF$1)-1)/2)+'Cash Drivers'!DG$13,0)=EOMONTH($Z$1,0),Sales!DG$6*Sales!DG$7,0)+IF(EOMONTH(DATE(YEAR(Sales!$DC$1),MONTH(Sales!$DC$1),1)+INT((DAY(Sales!$DC$1)-1)/2)+'Cash Drivers'!DD$13,0)=EOMONTH($Z$1,0),Sales!DD$6*Sales!DD$7,0)+IF(EOMONTH(DATE(YEAR(Sales!$CZ$1),MONTH(Sales!$CZ$1),1)+INT((DAY(Sales!$CZ$1)-1)/2)+'Cash Drivers'!DA$13,0)=EOMONTH($Z$1,0),Sales!DA$6*Sales!DA$7,0)+IF(EOMONTH(DATE(YEAR(Sales!$CW$1),MONTH(Sales!$CW$1),1)+INT((DAY(Sales!$CW$1)-1)/2)+'Cash Drivers'!CX$13,0)=EOMONTH($Z$1,0),Sales!CX$6*Sales!CX$7,0)+IF(EOMONTH(DATE(YEAR(Sales!$CT$1),MONTH(Sales!$CT$1),1)+INT((DAY(Sales!$CT$1)-1)/2)+'Cash Drivers'!CU$13,0)=EOMONTH($Z$1,0),Sales!CU$6*Sales!CU$7,0)+IF(EOMONTH(DATE(YEAR(Sales!$CQ$1),MONTH(Sales!$CQ$1),1)+INT((DAY(Sales!$CQ$1)-1)/2)+'Cash Drivers'!CR$13,0)=EOMONTH($Z$1,0),Sales!CR$6*Sales!CR$7,0)+IF(EOMONTH(DATE(YEAR(Sales!$CN$1),MONTH(Sales!$CN$1),1)+INT((DAY(Sales!$CN$1)-1)/2)+'Cash Drivers'!CO$13,0)=EOMONTH($Z$1,0),Sales!CO$6*Sales!CO$7,0)+IF(EOMONTH(DATE(YEAR(Sales!$CK$1),MONTH(Sales!$CK$1),1)+INT((DAY(Sales!$CK$1)-1)/2)+'Cash Drivers'!CL$13,0)=EOMONTH($Z$1,0),Sales!CL$6*Sales!CL$7,0)+IF(EOMONTH(DATE(YEAR(Sales!$CH$1),MONTH(Sales!$CH$1),1)+INT((DAY(Sales!$CH$1)-1)/2)+'Cash Drivers'!CI$13,0)=EOMONTH($Z$1,0),Sales!CI$6*Sales!CI$7,0)+IF(EOMONTH(DATE(YEAR(Sales!$CE$1),MONTH(Sales!$CE$1),1)+INT((DAY(Sales!$CE$1)-1)/2)+'Cash Drivers'!CF$13,0)=EOMONTH($Z$1,0),Sales!CF$6*Sales!CF$7,0)+IF(EOMONTH(DATE(YEAR(Sales!$CB$1),MONTH(Sales!$CB$1),1)+INT((DAY(Sales!$CB$1)-1)/2)+'Cash Drivers'!CC$13,0)=EOMONTH($Z$1,0),Sales!CC$6*Sales!CC$7,0)+IF(EOMONTH(DATE(YEAR(Sales!$BY$1),MONTH(Sales!$BY$1),1)+INT((DAY(Sales!$BY$1)-1)/2)+'Cash Drivers'!BZ$13,0)=EOMONTH($Z$1,0),Sales!BZ$6*Sales!BZ$7,0)+IF(EOMONTH(DATE(YEAR(Sales!$BV$1),MONTH(Sales!$BV$1),1)+INT((DAY(Sales!$BV$1)-1)/2)+'Cash Drivers'!BW$13,0)=EOMONTH($Z$1,0),Sales!BW$6*Sales!BW$7,0)+IF(EOMONTH(DATE(YEAR(Sales!$BS$1),MONTH(Sales!$BS$1),1)+INT((DAY(Sales!$BS$1)-1)/2)+'Cash Drivers'!BT$13,0)=EOMONTH($Z$1,0),Sales!BT$6*Sales!BT$7,0)+IF(EOMONTH(DATE(YEAR(Sales!$BP$1),MONTH(Sales!$BP$1),1)+INT((DAY(Sales!$BP$1)-1)/2)+'Cash Drivers'!BQ$13,0)=EOMONTH($Z$1,0),Sales!BQ$6*Sales!BQ$7,0)+IF(EOMONTH(DATE(YEAR(Sales!$BM$1),MONTH(Sales!$BM$1),1)+INT((DAY(Sales!$BM$1)-1)/2)+'Cash Drivers'!BN$13,0)=EOMONTH($Z$1,0),Sales!BN$6*Sales!BN$7,0)+IF(EOMONTH(DATE(YEAR(Sales!$BJ$1),MONTH(Sales!$BJ$1),1)+INT((DAY(Sales!$BJ$1)-1)/2)+'Cash Drivers'!BK$13,0)=EOMONTH($Z$1,0),Sales!BK$6*Sales!BK$7,0)+IF(EOMONTH(DATE(YEAR(Sales!$BG$1),MONTH(Sales!$BG$1),1)+INT((DAY(Sales!$BG$1)-1)/2)+'Cash Drivers'!BH$13,0)=EOMONTH($Z$1,0),Sales!BH$6*Sales!BH$7,0)+IF(EOMONTH(DATE(YEAR(Sales!$BD$1),MONTH(Sales!$BD$1),1)+INT((DAY(Sales!$BD$1)-1)/2)+'Cash Drivers'!BE$13,0)=EOMONTH($Z$1,0),Sales!BE$6*Sales!BE$7,0)+IF(EOMONTH(DATE(YEAR(Sales!$BA$1),MONTH(Sales!$BA$1),1)+INT((DAY(Sales!$BA$1)-1)/2)+'Cash Drivers'!BB$13,0)=EOMONTH($Z$1,0),Sales!BB$6*Sales!BB$7,0)+IF(EOMONTH(DATE(YEAR(Sales!$AX$1),MONTH(Sales!$AX$1),1)+INT((DAY(Sales!$AX$1)-1)/2)+'Cash Drivers'!AY$13,0)=EOMONTH($Z$1,0),Sales!AY$6*Sales!AY$7,0)+IF(EOMONTH(DATE(YEAR(Sales!$AU$1),MONTH(Sales!$AU$1),1)+INT((DAY(Sales!$AU$1)-1)/2)+'Cash Drivers'!AV$13,0)=EOMONTH($Z$1,0),Sales!AV$6*Sales!AV$7,0)+IF(EOMONTH(DATE(YEAR(Sales!$AR$1),MONTH(Sales!$AR$1),1)+INT((DAY(Sales!$AR$1)-1)/2)+'Cash Drivers'!AS$13,0)=EOMONTH($Z$1,0),Sales!AS$6*Sales!AS$7,0)+IF(EOMONTH(DATE(YEAR(Sales!$AO$1),MONTH(Sales!$AO$1),1)+INT((DAY(Sales!$AO$1)-1)/2)+'Cash Drivers'!AP$13,0)=EOMONTH($Z$1,0),Sales!AP$6*Sales!AP$7,0)+IF(EOMONTH(DATE(YEAR(Sales!$AL$1),MONTH(Sales!$AL$1),1)+INT((DAY(Sales!$AL$1)-1)/2)+'Cash Drivers'!AM$13,0)=EOMONTH($Z$1,0),Sales!AM$6*Sales!AM$7,0)+IF(EOMONTH(DATE(YEAR(Sales!$AI$1),MONTH(Sales!$AI$1),1)+INT((DAY(Sales!$AI$1)-1)/2)+'Cash Drivers'!AJ$13,0)=EOMONTH($Z$1,0),Sales!AJ$6*Sales!AJ$7,0)+IF(EOMONTH(DATE(YEAR(Sales!$AF$1),MONTH(Sales!$AF$1),1)+INT((DAY(Sales!$AF$1)-1)/2)+'Cash Drivers'!AG$13,0)=EOMONTH($Z$1,0),Sales!AG$6*Sales!AG$7,0)+IF(EOMONTH(DATE(YEAR(Sales!$AC$1),MONTH(Sales!$AC$1),1)+INT((DAY(Sales!$AC$1)-1)/2)+'Cash Drivers'!AD$13,0)=EOMONTH($Z$1,0),Sales!AD$6*Sales!AD$7,0)+IF(EOMONTH(DATE(YEAR(Sales!$Z$1),MONTH(Sales!$Z$1),1)+INT((DAY(Sales!$Z$1)-1)/2)+'Cash Drivers'!AA$13,0)=EOMONTH($Z$1,0),Sales!AA$6*Sales!AA$7,0)+IF(EOMONTH(DATE(YEAR(Sales!$W$1),MONTH(Sales!$W$1),1)+INT((DAY(Sales!$W$1)-1)/2)+'Cash Drivers'!X$13,0)=EOMONTH($Z$1,0),Sales!X$6*Sales!X$7,0)+IF(EOMONTH(DATE(YEAR(Sales!$T$1),MONTH(Sales!$T$1),1)+INT((DAY(Sales!$T$1)-1)/2)+'Cash Drivers'!U$13,0)=EOMONTH($Z$1,0),Sales!U$6*Sales!U$7,0)+IF(EOMONTH(DATE(YEAR(Sales!$Q$1),MONTH(Sales!$Q$1),1)+INT((DAY(Sales!$Q$1)-1)/2)+'Cash Drivers'!R$13,0)=EOMONTH($Z$1,0),Sales!R$6*Sales!R$7,0)+IF(EOMONTH(DATE(YEAR(Sales!$N$1),MONTH(Sales!$N$1),1)+INT((DAY(Sales!$N$1)-1)/2)+'Cash Drivers'!O$13,0)=EOMONTH($Z$1,0),Sales!O$6*Sales!O$7,0)+IF(EOMONTH(DATE(YEAR(Sales!$K$1),MONTH(Sales!$K$1),1)+INT((DAY(Sales!$K$1)-1)/2)+'Cash Drivers'!L$13,0)=EOMONTH($Z$1,0),Sales!L$6*Sales!L$7,0)+IF(EOMONTH('Cash Drivers'!$DL$30+'Cash Drivers'!DM$13,0)=EOMONTH($Z$1,0),'Cash Drivers'!$DL$32*Sales!$DL$60,0),0)</f>
        <v>50673</v>
      </c>
      <c r="AB24" s="60" t="n">
        <f aca="false">ROUND(IF(EOMONTH(DATE(YEAR(Sales!$DL$1),MONTH(Sales!$DL$1),1)+INT((DAY(Sales!$DL$1)-1)/2)+'Cash Drivers'!DN$13,0)=EOMONTH($Z$1,0),Sales!DN$6*Sales!DN$7,0)+IF(EOMONTH(DATE(YEAR(Sales!$DI$1),MONTH(Sales!$DI$1),1)+INT((DAY(Sales!$DI$1)-1)/2)+'Cash Drivers'!DK$13,0)=EOMONTH($Z$1,0),Sales!DK$6*Sales!DK$7,0)+IF(EOMONTH(DATE(YEAR(Sales!$DF$1),MONTH(Sales!$DF$1),1)+INT((DAY(Sales!$DF$1)-1)/2)+'Cash Drivers'!DH$13,0)=EOMONTH($Z$1,0),Sales!DH$6*Sales!DH$7,0)+IF(EOMONTH(DATE(YEAR(Sales!$DC$1),MONTH(Sales!$DC$1),1)+INT((DAY(Sales!$DC$1)-1)/2)+'Cash Drivers'!DE$13,0)=EOMONTH($Z$1,0),Sales!DE$6*Sales!DE$7,0)+IF(EOMONTH(DATE(YEAR(Sales!$CZ$1),MONTH(Sales!$CZ$1),1)+INT((DAY(Sales!$CZ$1)-1)/2)+'Cash Drivers'!DB$13,0)=EOMONTH($Z$1,0),Sales!DB$6*Sales!DB$7,0)+IF(EOMONTH(DATE(YEAR(Sales!$CW$1),MONTH(Sales!$CW$1),1)+INT((DAY(Sales!$CW$1)-1)/2)+'Cash Drivers'!CY$13,0)=EOMONTH($Z$1,0),Sales!CY$6*Sales!CY$7,0)+IF(EOMONTH(DATE(YEAR(Sales!$CT$1),MONTH(Sales!$CT$1),1)+INT((DAY(Sales!$CT$1)-1)/2)+'Cash Drivers'!CV$13,0)=EOMONTH($Z$1,0),Sales!CV$6*Sales!CV$7,0)+IF(EOMONTH(DATE(YEAR(Sales!$CQ$1),MONTH(Sales!$CQ$1),1)+INT((DAY(Sales!$CQ$1)-1)/2)+'Cash Drivers'!CS$13,0)=EOMONTH($Z$1,0),Sales!CS$6*Sales!CS$7,0)+IF(EOMONTH(DATE(YEAR(Sales!$CN$1),MONTH(Sales!$CN$1),1)+INT((DAY(Sales!$CN$1)-1)/2)+'Cash Drivers'!CP$13,0)=EOMONTH($Z$1,0),Sales!CP$6*Sales!CP$7,0)+IF(EOMONTH(DATE(YEAR(Sales!$CK$1),MONTH(Sales!$CK$1),1)+INT((DAY(Sales!$CK$1)-1)/2)+'Cash Drivers'!CM$13,0)=EOMONTH($Z$1,0),Sales!CM$6*Sales!CM$7,0)+IF(EOMONTH(DATE(YEAR(Sales!$CH$1),MONTH(Sales!$CH$1),1)+INT((DAY(Sales!$CH$1)-1)/2)+'Cash Drivers'!CJ$13,0)=EOMONTH($Z$1,0),Sales!CJ$6*Sales!CJ$7,0)+IF(EOMONTH(DATE(YEAR(Sales!$CE$1),MONTH(Sales!$CE$1),1)+INT((DAY(Sales!$CE$1)-1)/2)+'Cash Drivers'!CG$13,0)=EOMONTH($Z$1,0),Sales!CG$6*Sales!CG$7,0)+IF(EOMONTH(DATE(YEAR(Sales!$CB$1),MONTH(Sales!$CB$1),1)+INT((DAY(Sales!$CB$1)-1)/2)+'Cash Drivers'!CD$13,0)=EOMONTH($Z$1,0),Sales!CD$6*Sales!CD$7,0)+IF(EOMONTH(DATE(YEAR(Sales!$BY$1),MONTH(Sales!$BY$1),1)+INT((DAY(Sales!$BY$1)-1)/2)+'Cash Drivers'!CA$13,0)=EOMONTH($Z$1,0),Sales!CA$6*Sales!CA$7,0)+IF(EOMONTH(DATE(YEAR(Sales!$BV$1),MONTH(Sales!$BV$1),1)+INT((DAY(Sales!$BV$1)-1)/2)+'Cash Drivers'!BX$13,0)=EOMONTH($Z$1,0),Sales!BX$6*Sales!BX$7,0)+IF(EOMONTH(DATE(YEAR(Sales!$BS$1),MONTH(Sales!$BS$1),1)+INT((DAY(Sales!$BS$1)-1)/2)+'Cash Drivers'!BU$13,0)=EOMONTH($Z$1,0),Sales!BU$6*Sales!BU$7,0)+IF(EOMONTH(DATE(YEAR(Sales!$BP$1),MONTH(Sales!$BP$1),1)+INT((DAY(Sales!$BP$1)-1)/2)+'Cash Drivers'!BR$13,0)=EOMONTH($Z$1,0),Sales!BR$6*Sales!BR$7,0)+IF(EOMONTH(DATE(YEAR(Sales!$BM$1),MONTH(Sales!$BM$1),1)+INT((DAY(Sales!$BM$1)-1)/2)+'Cash Drivers'!BO$13,0)=EOMONTH($Z$1,0),Sales!BO$6*Sales!BO$7,0)+IF(EOMONTH(DATE(YEAR(Sales!$BJ$1),MONTH(Sales!$BJ$1),1)+INT((DAY(Sales!$BJ$1)-1)/2)+'Cash Drivers'!BL$13,0)=EOMONTH($Z$1,0),Sales!BL$6*Sales!BL$7,0)+IF(EOMONTH(DATE(YEAR(Sales!$BG$1),MONTH(Sales!$BG$1),1)+INT((DAY(Sales!$BG$1)-1)/2)+'Cash Drivers'!BI$13,0)=EOMONTH($Z$1,0),Sales!BI$6*Sales!BI$7,0)+IF(EOMONTH(DATE(YEAR(Sales!$BD$1),MONTH(Sales!$BD$1),1)+INT((DAY(Sales!$BD$1)-1)/2)+'Cash Drivers'!BF$13,0)=EOMONTH($Z$1,0),Sales!BF$6*Sales!BF$7,0)+IF(EOMONTH(DATE(YEAR(Sales!$BA$1),MONTH(Sales!$BA$1),1)+INT((DAY(Sales!$BA$1)-1)/2)+'Cash Drivers'!BC$13,0)=EOMONTH($Z$1,0),Sales!BC$6*Sales!BC$7,0)+IF(EOMONTH(DATE(YEAR(Sales!$AX$1),MONTH(Sales!$AX$1),1)+INT((DAY(Sales!$AX$1)-1)/2)+'Cash Drivers'!AZ$13,0)=EOMONTH($Z$1,0),Sales!AZ$6*Sales!AZ$7,0)+IF(EOMONTH(DATE(YEAR(Sales!$AU$1),MONTH(Sales!$AU$1),1)+INT((DAY(Sales!$AU$1)-1)/2)+'Cash Drivers'!AW$13,0)=EOMONTH($Z$1,0),Sales!AW$6*Sales!AW$7,0)+IF(EOMONTH(DATE(YEAR(Sales!$AR$1),MONTH(Sales!$AR$1),1)+INT((DAY(Sales!$AR$1)-1)/2)+'Cash Drivers'!AT$13,0)=EOMONTH($Z$1,0),Sales!AT$6*Sales!AT$7,0)+IF(EOMONTH(DATE(YEAR(Sales!$AO$1),MONTH(Sales!$AO$1),1)+INT((DAY(Sales!$AO$1)-1)/2)+'Cash Drivers'!AQ$13,0)=EOMONTH($Z$1,0),Sales!AQ$6*Sales!AQ$7,0)+IF(EOMONTH(DATE(YEAR(Sales!$AL$1),MONTH(Sales!$AL$1),1)+INT((DAY(Sales!$AL$1)-1)/2)+'Cash Drivers'!AN$13,0)=EOMONTH($Z$1,0),Sales!AN$6*Sales!AN$7,0)+IF(EOMONTH(DATE(YEAR(Sales!$AI$1),MONTH(Sales!$AI$1),1)+INT((DAY(Sales!$AI$1)-1)/2)+'Cash Drivers'!AK$13,0)=EOMONTH($Z$1,0),Sales!AK$6*Sales!AK$7,0)+IF(EOMONTH(DATE(YEAR(Sales!$AF$1),MONTH(Sales!$AF$1),1)+INT((DAY(Sales!$AF$1)-1)/2)+'Cash Drivers'!AH$13,0)=EOMONTH($Z$1,0),Sales!AH$6*Sales!AH$7,0)+IF(EOMONTH(DATE(YEAR(Sales!$AC$1),MONTH(Sales!$AC$1),1)+INT((DAY(Sales!$AC$1)-1)/2)+'Cash Drivers'!AE$13,0)=EOMONTH($Z$1,0),Sales!AE$6*Sales!AE$7,0)+IF(EOMONTH(DATE(YEAR(Sales!$Z$1),MONTH(Sales!$Z$1),1)+INT((DAY(Sales!$Z$1)-1)/2)+'Cash Drivers'!AB$13,0)=EOMONTH($Z$1,0),Sales!AB$6*Sales!AB$7,0)+IF(EOMONTH(DATE(YEAR(Sales!$W$1),MONTH(Sales!$W$1),1)+INT((DAY(Sales!$W$1)-1)/2)+'Cash Drivers'!Y$13,0)=EOMONTH($Z$1,0),Sales!Y$6*Sales!Y$7,0)+IF(EOMONTH(DATE(YEAR(Sales!$T$1),MONTH(Sales!$T$1),1)+INT((DAY(Sales!$T$1)-1)/2)+'Cash Drivers'!V$13,0)=EOMONTH($Z$1,0),Sales!V$6*Sales!V$7,0)+IF(EOMONTH(DATE(YEAR(Sales!$Q$1),MONTH(Sales!$Q$1),1)+INT((DAY(Sales!$Q$1)-1)/2)+'Cash Drivers'!S$13,0)=EOMONTH($Z$1,0),Sales!S$6*Sales!S$7,0)+IF(EOMONTH(DATE(YEAR(Sales!$N$1),MONTH(Sales!$N$1),1)+INT((DAY(Sales!$N$1)-1)/2)+'Cash Drivers'!P$13,0)=EOMONTH($Z$1,0),Sales!P$6*Sales!P$7,0)+IF(EOMONTH(DATE(YEAR(Sales!$K$1),MONTH(Sales!$K$1),1)+INT((DAY(Sales!$K$1)-1)/2)+'Cash Drivers'!M$13,0)=EOMONTH($Z$1,0),Sales!M$6*Sales!M$7,0)+IF(EOMONTH('Cash Drivers'!$DL$30+'Cash Drivers'!DN$13,0)=EOMONTH($Z$1,0),'Cash Drivers'!$DL$32*Sales!$DL$60,0),0)</f>
        <v>50787</v>
      </c>
      <c r="AC24" s="58" t="n">
        <f aca="false">ROUND(IF(EOMONTH(DATE(YEAR(Sales!$DL$1),MONTH(Sales!$DL$1),1)+INT((DAY(Sales!$DL$1)-1)/2)+'Cash Drivers'!DL$13,0)=EOMONTH($AC$1,0),Sales!DL$6*Sales!DL$7,0)+IF(EOMONTH(DATE(YEAR(Sales!$DI$1),MONTH(Sales!$DI$1),1)+INT((DAY(Sales!$DI$1)-1)/2)+'Cash Drivers'!DI$13,0)=EOMONTH($AC$1,0),Sales!DI$6*Sales!DI$7,0)+IF(EOMONTH(DATE(YEAR(Sales!$DF$1),MONTH(Sales!$DF$1),1)+INT((DAY(Sales!$DF$1)-1)/2)+'Cash Drivers'!DF$13,0)=EOMONTH($AC$1,0),Sales!DF$6*Sales!DF$7,0)+IF(EOMONTH(DATE(YEAR(Sales!$DC$1),MONTH(Sales!$DC$1),1)+INT((DAY(Sales!$DC$1)-1)/2)+'Cash Drivers'!DC$13,0)=EOMONTH($AC$1,0),Sales!DC$6*Sales!DC$7,0)+IF(EOMONTH(DATE(YEAR(Sales!$CZ$1),MONTH(Sales!$CZ$1),1)+INT((DAY(Sales!$CZ$1)-1)/2)+'Cash Drivers'!CZ$13,0)=EOMONTH($AC$1,0),Sales!CZ$6*Sales!CZ$7,0)+IF(EOMONTH(DATE(YEAR(Sales!$CW$1),MONTH(Sales!$CW$1),1)+INT((DAY(Sales!$CW$1)-1)/2)+'Cash Drivers'!CW$13,0)=EOMONTH($AC$1,0),Sales!CW$6*Sales!CW$7,0)+IF(EOMONTH(DATE(YEAR(Sales!$CT$1),MONTH(Sales!$CT$1),1)+INT((DAY(Sales!$CT$1)-1)/2)+'Cash Drivers'!CT$13,0)=EOMONTH($AC$1,0),Sales!CT$6*Sales!CT$7,0)+IF(EOMONTH(DATE(YEAR(Sales!$CQ$1),MONTH(Sales!$CQ$1),1)+INT((DAY(Sales!$CQ$1)-1)/2)+'Cash Drivers'!CQ$13,0)=EOMONTH($AC$1,0),Sales!CQ$6*Sales!CQ$7,0)+IF(EOMONTH(DATE(YEAR(Sales!$CN$1),MONTH(Sales!$CN$1),1)+INT((DAY(Sales!$CN$1)-1)/2)+'Cash Drivers'!CN$13,0)=EOMONTH($AC$1,0),Sales!CN$6*Sales!CN$7,0)+IF(EOMONTH(DATE(YEAR(Sales!$CK$1),MONTH(Sales!$CK$1),1)+INT((DAY(Sales!$CK$1)-1)/2)+'Cash Drivers'!CK$13,0)=EOMONTH($AC$1,0),Sales!CK$6*Sales!CK$7,0)+IF(EOMONTH(DATE(YEAR(Sales!$CH$1),MONTH(Sales!$CH$1),1)+INT((DAY(Sales!$CH$1)-1)/2)+'Cash Drivers'!CH$13,0)=EOMONTH($AC$1,0),Sales!CH$6*Sales!CH$7,0)+IF(EOMONTH(DATE(YEAR(Sales!$CE$1),MONTH(Sales!$CE$1),1)+INT((DAY(Sales!$CE$1)-1)/2)+'Cash Drivers'!CE$13,0)=EOMONTH($AC$1,0),Sales!CE$6*Sales!CE$7,0)+IF(EOMONTH(DATE(YEAR(Sales!$CB$1),MONTH(Sales!$CB$1),1)+INT((DAY(Sales!$CB$1)-1)/2)+'Cash Drivers'!CB$13,0)=EOMONTH($AC$1,0),Sales!CB$6*Sales!CB$7,0)+IF(EOMONTH(DATE(YEAR(Sales!$BY$1),MONTH(Sales!$BY$1),1)+INT((DAY(Sales!$BY$1)-1)/2)+'Cash Drivers'!BY$13,0)=EOMONTH($AC$1,0),Sales!BY$6*Sales!BY$7,0)+IF(EOMONTH(DATE(YEAR(Sales!$BV$1),MONTH(Sales!$BV$1),1)+INT((DAY(Sales!$BV$1)-1)/2)+'Cash Drivers'!BV$13,0)=EOMONTH($AC$1,0),Sales!BV$6*Sales!BV$7,0)+IF(EOMONTH(DATE(YEAR(Sales!$BS$1),MONTH(Sales!$BS$1),1)+INT((DAY(Sales!$BS$1)-1)/2)+'Cash Drivers'!BS$13,0)=EOMONTH($AC$1,0),Sales!BS$6*Sales!BS$7,0)+IF(EOMONTH(DATE(YEAR(Sales!$BP$1),MONTH(Sales!$BP$1),1)+INT((DAY(Sales!$BP$1)-1)/2)+'Cash Drivers'!BP$13,0)=EOMONTH($AC$1,0),Sales!BP$6*Sales!BP$7,0)+IF(EOMONTH(DATE(YEAR(Sales!$BM$1),MONTH(Sales!$BM$1),1)+INT((DAY(Sales!$BM$1)-1)/2)+'Cash Drivers'!BM$13,0)=EOMONTH($AC$1,0),Sales!BM$6*Sales!BM$7,0)+IF(EOMONTH(DATE(YEAR(Sales!$BJ$1),MONTH(Sales!$BJ$1),1)+INT((DAY(Sales!$BJ$1)-1)/2)+'Cash Drivers'!BJ$13,0)=EOMONTH($AC$1,0),Sales!BJ$6*Sales!BJ$7,0)+IF(EOMONTH(DATE(YEAR(Sales!$BG$1),MONTH(Sales!$BG$1),1)+INT((DAY(Sales!$BG$1)-1)/2)+'Cash Drivers'!BG$13,0)=EOMONTH($AC$1,0),Sales!BG$6*Sales!BG$7,0)+IF(EOMONTH(DATE(YEAR(Sales!$BD$1),MONTH(Sales!$BD$1),1)+INT((DAY(Sales!$BD$1)-1)/2)+'Cash Drivers'!BD$13,0)=EOMONTH($AC$1,0),Sales!BD$6*Sales!BD$7,0)+IF(EOMONTH(DATE(YEAR(Sales!$BA$1),MONTH(Sales!$BA$1),1)+INT((DAY(Sales!$BA$1)-1)/2)+'Cash Drivers'!BA$13,0)=EOMONTH($AC$1,0),Sales!BA$6*Sales!BA$7,0)+IF(EOMONTH(DATE(YEAR(Sales!$AX$1),MONTH(Sales!$AX$1),1)+INT((DAY(Sales!$AX$1)-1)/2)+'Cash Drivers'!AX$13,0)=EOMONTH($AC$1,0),Sales!AX$6*Sales!AX$7,0)+IF(EOMONTH(DATE(YEAR(Sales!$AU$1),MONTH(Sales!$AU$1),1)+INT((DAY(Sales!$AU$1)-1)/2)+'Cash Drivers'!AU$13,0)=EOMONTH($AC$1,0),Sales!AU$6*Sales!AU$7,0)+IF(EOMONTH(DATE(YEAR(Sales!$AR$1),MONTH(Sales!$AR$1),1)+INT((DAY(Sales!$AR$1)-1)/2)+'Cash Drivers'!AR$13,0)=EOMONTH($AC$1,0),Sales!AR$6*Sales!AR$7,0)+IF(EOMONTH(DATE(YEAR(Sales!$AO$1),MONTH(Sales!$AO$1),1)+INT((DAY(Sales!$AO$1)-1)/2)+'Cash Drivers'!AO$13,0)=EOMONTH($AC$1,0),Sales!AO$6*Sales!AO$7,0)+IF(EOMONTH(DATE(YEAR(Sales!$AL$1),MONTH(Sales!$AL$1),1)+INT((DAY(Sales!$AL$1)-1)/2)+'Cash Drivers'!AL$13,0)=EOMONTH($AC$1,0),Sales!AL$6*Sales!AL$7,0)+IF(EOMONTH(DATE(YEAR(Sales!$AI$1),MONTH(Sales!$AI$1),1)+INT((DAY(Sales!$AI$1)-1)/2)+'Cash Drivers'!AI$13,0)=EOMONTH($AC$1,0),Sales!AI$6*Sales!AI$7,0)+IF(EOMONTH(DATE(YEAR(Sales!$AF$1),MONTH(Sales!$AF$1),1)+INT((DAY(Sales!$AF$1)-1)/2)+'Cash Drivers'!AF$13,0)=EOMONTH($AC$1,0),Sales!AF$6*Sales!AF$7,0)+IF(EOMONTH(DATE(YEAR(Sales!$AC$1),MONTH(Sales!$AC$1),1)+INT((DAY(Sales!$AC$1)-1)/2)+'Cash Drivers'!AC$13,0)=EOMONTH($AC$1,0),Sales!AC$6*Sales!AC$7,0)+IF(EOMONTH(DATE(YEAR(Sales!$Z$1),MONTH(Sales!$Z$1),1)+INT((DAY(Sales!$Z$1)-1)/2)+'Cash Drivers'!Z$13,0)=EOMONTH($AC$1,0),Sales!Z$6*Sales!Z$7,0)+IF(EOMONTH(DATE(YEAR(Sales!$W$1),MONTH(Sales!$W$1),1)+INT((DAY(Sales!$W$1)-1)/2)+'Cash Drivers'!W$13,0)=EOMONTH($AC$1,0),Sales!W$6*Sales!W$7,0)+IF(EOMONTH(DATE(YEAR(Sales!$T$1),MONTH(Sales!$T$1),1)+INT((DAY(Sales!$T$1)-1)/2)+'Cash Drivers'!T$13,0)=EOMONTH($AC$1,0),Sales!T$6*Sales!T$7,0)+IF(EOMONTH(DATE(YEAR(Sales!$Q$1),MONTH(Sales!$Q$1),1)+INT((DAY(Sales!$Q$1)-1)/2)+'Cash Drivers'!Q$13,0)=EOMONTH($AC$1,0),Sales!Q$6*Sales!Q$7,0)+IF(EOMONTH(DATE(YEAR(Sales!$N$1),MONTH(Sales!$N$1),1)+INT((DAY(Sales!$N$1)-1)/2)+'Cash Drivers'!N$13,0)=EOMONTH($AC$1,0),Sales!N$6*Sales!N$7,0)+IF(EOMONTH(DATE(YEAR(Sales!$K$1),MONTH(Sales!$K$1),1)+INT((DAY(Sales!$K$1)-1)/2)+'Cash Drivers'!K$13,0)=EOMONTH($AC$1,0),Sales!K$6*Sales!K$7,0)+IF(EOMONTH('Cash Drivers'!$DL$30+'Cash Drivers'!DL$13,0)=EOMONTH($AC$1,0),'Cash Drivers'!$DL$32*Sales!$DL$60,0),0)</f>
        <v>0</v>
      </c>
      <c r="AD24" s="59" t="n">
        <f aca="false">ROUND(IF(EOMONTH(DATE(YEAR(Sales!$DL$1),MONTH(Sales!$DL$1),1)+INT((DAY(Sales!$DL$1)-1)/2)+'Cash Drivers'!DM$13,0)=EOMONTH($AC$1,0),Sales!DM$6*Sales!DM$7,0)+IF(EOMONTH(DATE(YEAR(Sales!$DI$1),MONTH(Sales!$DI$1),1)+INT((DAY(Sales!$DI$1)-1)/2)+'Cash Drivers'!DJ$13,0)=EOMONTH($AC$1,0),Sales!DJ$6*Sales!DJ$7,0)+IF(EOMONTH(DATE(YEAR(Sales!$DF$1),MONTH(Sales!$DF$1),1)+INT((DAY(Sales!$DF$1)-1)/2)+'Cash Drivers'!DG$13,0)=EOMONTH($AC$1,0),Sales!DG$6*Sales!DG$7,0)+IF(EOMONTH(DATE(YEAR(Sales!$DC$1),MONTH(Sales!$DC$1),1)+INT((DAY(Sales!$DC$1)-1)/2)+'Cash Drivers'!DD$13,0)=EOMONTH($AC$1,0),Sales!DD$6*Sales!DD$7,0)+IF(EOMONTH(DATE(YEAR(Sales!$CZ$1),MONTH(Sales!$CZ$1),1)+INT((DAY(Sales!$CZ$1)-1)/2)+'Cash Drivers'!DA$13,0)=EOMONTH($AC$1,0),Sales!DA$6*Sales!DA$7,0)+IF(EOMONTH(DATE(YEAR(Sales!$CW$1),MONTH(Sales!$CW$1),1)+INT((DAY(Sales!$CW$1)-1)/2)+'Cash Drivers'!CX$13,0)=EOMONTH($AC$1,0),Sales!CX$6*Sales!CX$7,0)+IF(EOMONTH(DATE(YEAR(Sales!$CT$1),MONTH(Sales!$CT$1),1)+INT((DAY(Sales!$CT$1)-1)/2)+'Cash Drivers'!CU$13,0)=EOMONTH($AC$1,0),Sales!CU$6*Sales!CU$7,0)+IF(EOMONTH(DATE(YEAR(Sales!$CQ$1),MONTH(Sales!$CQ$1),1)+INT((DAY(Sales!$CQ$1)-1)/2)+'Cash Drivers'!CR$13,0)=EOMONTH($AC$1,0),Sales!CR$6*Sales!CR$7,0)+IF(EOMONTH(DATE(YEAR(Sales!$CN$1),MONTH(Sales!$CN$1),1)+INT((DAY(Sales!$CN$1)-1)/2)+'Cash Drivers'!CO$13,0)=EOMONTH($AC$1,0),Sales!CO$6*Sales!CO$7,0)+IF(EOMONTH(DATE(YEAR(Sales!$CK$1),MONTH(Sales!$CK$1),1)+INT((DAY(Sales!$CK$1)-1)/2)+'Cash Drivers'!CL$13,0)=EOMONTH($AC$1,0),Sales!CL$6*Sales!CL$7,0)+IF(EOMONTH(DATE(YEAR(Sales!$CH$1),MONTH(Sales!$CH$1),1)+INT((DAY(Sales!$CH$1)-1)/2)+'Cash Drivers'!CI$13,0)=EOMONTH($AC$1,0),Sales!CI$6*Sales!CI$7,0)+IF(EOMONTH(DATE(YEAR(Sales!$CE$1),MONTH(Sales!$CE$1),1)+INT((DAY(Sales!$CE$1)-1)/2)+'Cash Drivers'!CF$13,0)=EOMONTH($AC$1,0),Sales!CF$6*Sales!CF$7,0)+IF(EOMONTH(DATE(YEAR(Sales!$CB$1),MONTH(Sales!$CB$1),1)+INT((DAY(Sales!$CB$1)-1)/2)+'Cash Drivers'!CC$13,0)=EOMONTH($AC$1,0),Sales!CC$6*Sales!CC$7,0)+IF(EOMONTH(DATE(YEAR(Sales!$BY$1),MONTH(Sales!$BY$1),1)+INT((DAY(Sales!$BY$1)-1)/2)+'Cash Drivers'!BZ$13,0)=EOMONTH($AC$1,0),Sales!BZ$6*Sales!BZ$7,0)+IF(EOMONTH(DATE(YEAR(Sales!$BV$1),MONTH(Sales!$BV$1),1)+INT((DAY(Sales!$BV$1)-1)/2)+'Cash Drivers'!BW$13,0)=EOMONTH($AC$1,0),Sales!BW$6*Sales!BW$7,0)+IF(EOMONTH(DATE(YEAR(Sales!$BS$1),MONTH(Sales!$BS$1),1)+INT((DAY(Sales!$BS$1)-1)/2)+'Cash Drivers'!BT$13,0)=EOMONTH($AC$1,0),Sales!BT$6*Sales!BT$7,0)+IF(EOMONTH(DATE(YEAR(Sales!$BP$1),MONTH(Sales!$BP$1),1)+INT((DAY(Sales!$BP$1)-1)/2)+'Cash Drivers'!BQ$13,0)=EOMONTH($AC$1,0),Sales!BQ$6*Sales!BQ$7,0)+IF(EOMONTH(DATE(YEAR(Sales!$BM$1),MONTH(Sales!$BM$1),1)+INT((DAY(Sales!$BM$1)-1)/2)+'Cash Drivers'!BN$13,0)=EOMONTH($AC$1,0),Sales!BN$6*Sales!BN$7,0)+IF(EOMONTH(DATE(YEAR(Sales!$BJ$1),MONTH(Sales!$BJ$1),1)+INT((DAY(Sales!$BJ$1)-1)/2)+'Cash Drivers'!BK$13,0)=EOMONTH($AC$1,0),Sales!BK$6*Sales!BK$7,0)+IF(EOMONTH(DATE(YEAR(Sales!$BG$1),MONTH(Sales!$BG$1),1)+INT((DAY(Sales!$BG$1)-1)/2)+'Cash Drivers'!BH$13,0)=EOMONTH($AC$1,0),Sales!BH$6*Sales!BH$7,0)+IF(EOMONTH(DATE(YEAR(Sales!$BD$1),MONTH(Sales!$BD$1),1)+INT((DAY(Sales!$BD$1)-1)/2)+'Cash Drivers'!BE$13,0)=EOMONTH($AC$1,0),Sales!BE$6*Sales!BE$7,0)+IF(EOMONTH(DATE(YEAR(Sales!$BA$1),MONTH(Sales!$BA$1),1)+INT((DAY(Sales!$BA$1)-1)/2)+'Cash Drivers'!BB$13,0)=EOMONTH($AC$1,0),Sales!BB$6*Sales!BB$7,0)+IF(EOMONTH(DATE(YEAR(Sales!$AX$1),MONTH(Sales!$AX$1),1)+INT((DAY(Sales!$AX$1)-1)/2)+'Cash Drivers'!AY$13,0)=EOMONTH($AC$1,0),Sales!AY$6*Sales!AY$7,0)+IF(EOMONTH(DATE(YEAR(Sales!$AU$1),MONTH(Sales!$AU$1),1)+INT((DAY(Sales!$AU$1)-1)/2)+'Cash Drivers'!AV$13,0)=EOMONTH($AC$1,0),Sales!AV$6*Sales!AV$7,0)+IF(EOMONTH(DATE(YEAR(Sales!$AR$1),MONTH(Sales!$AR$1),1)+INT((DAY(Sales!$AR$1)-1)/2)+'Cash Drivers'!AS$13,0)=EOMONTH($AC$1,0),Sales!AS$6*Sales!AS$7,0)+IF(EOMONTH(DATE(YEAR(Sales!$AO$1),MONTH(Sales!$AO$1),1)+INT((DAY(Sales!$AO$1)-1)/2)+'Cash Drivers'!AP$13,0)=EOMONTH($AC$1,0),Sales!AP$6*Sales!AP$7,0)+IF(EOMONTH(DATE(YEAR(Sales!$AL$1),MONTH(Sales!$AL$1),1)+INT((DAY(Sales!$AL$1)-1)/2)+'Cash Drivers'!AM$13,0)=EOMONTH($AC$1,0),Sales!AM$6*Sales!AM$7,0)+IF(EOMONTH(DATE(YEAR(Sales!$AI$1),MONTH(Sales!$AI$1),1)+INT((DAY(Sales!$AI$1)-1)/2)+'Cash Drivers'!AJ$13,0)=EOMONTH($AC$1,0),Sales!AJ$6*Sales!AJ$7,0)+IF(EOMONTH(DATE(YEAR(Sales!$AF$1),MONTH(Sales!$AF$1),1)+INT((DAY(Sales!$AF$1)-1)/2)+'Cash Drivers'!AG$13,0)=EOMONTH($AC$1,0),Sales!AG$6*Sales!AG$7,0)+IF(EOMONTH(DATE(YEAR(Sales!$AC$1),MONTH(Sales!$AC$1),1)+INT((DAY(Sales!$AC$1)-1)/2)+'Cash Drivers'!AD$13,0)=EOMONTH($AC$1,0),Sales!AD$6*Sales!AD$7,0)+IF(EOMONTH(DATE(YEAR(Sales!$Z$1),MONTH(Sales!$Z$1),1)+INT((DAY(Sales!$Z$1)-1)/2)+'Cash Drivers'!AA$13,0)=EOMONTH($AC$1,0),Sales!AA$6*Sales!AA$7,0)+IF(EOMONTH(DATE(YEAR(Sales!$W$1),MONTH(Sales!$W$1),1)+INT((DAY(Sales!$W$1)-1)/2)+'Cash Drivers'!X$13,0)=EOMONTH($AC$1,0),Sales!X$6*Sales!X$7,0)+IF(EOMONTH(DATE(YEAR(Sales!$T$1),MONTH(Sales!$T$1),1)+INT((DAY(Sales!$T$1)-1)/2)+'Cash Drivers'!U$13,0)=EOMONTH($AC$1,0),Sales!U$6*Sales!U$7,0)+IF(EOMONTH(DATE(YEAR(Sales!$Q$1),MONTH(Sales!$Q$1),1)+INT((DAY(Sales!$Q$1)-1)/2)+'Cash Drivers'!R$13,0)=EOMONTH($AC$1,0),Sales!R$6*Sales!R$7,0)+IF(EOMONTH(DATE(YEAR(Sales!$N$1),MONTH(Sales!$N$1),1)+INT((DAY(Sales!$N$1)-1)/2)+'Cash Drivers'!O$13,0)=EOMONTH($AC$1,0),Sales!O$6*Sales!O$7,0)+IF(EOMONTH(DATE(YEAR(Sales!$K$1),MONTH(Sales!$K$1),1)+INT((DAY(Sales!$K$1)-1)/2)+'Cash Drivers'!L$13,0)=EOMONTH($AC$1,0),Sales!L$6*Sales!L$7,0)+IF(EOMONTH('Cash Drivers'!$DL$30+'Cash Drivers'!DM$13,0)=EOMONTH($AC$1,0),'Cash Drivers'!$DL$32*Sales!$DL$60,0),0)</f>
        <v>50388</v>
      </c>
      <c r="AE24" s="60" t="n">
        <f aca="false">ROUND(IF(EOMONTH(DATE(YEAR(Sales!$DL$1),MONTH(Sales!$DL$1),1)+INT((DAY(Sales!$DL$1)-1)/2)+'Cash Drivers'!DN$13,0)=EOMONTH($AC$1,0),Sales!DN$6*Sales!DN$7,0)+IF(EOMONTH(DATE(YEAR(Sales!$DI$1),MONTH(Sales!$DI$1),1)+INT((DAY(Sales!$DI$1)-1)/2)+'Cash Drivers'!DK$13,0)=EOMONTH($AC$1,0),Sales!DK$6*Sales!DK$7,0)+IF(EOMONTH(DATE(YEAR(Sales!$DF$1),MONTH(Sales!$DF$1),1)+INT((DAY(Sales!$DF$1)-1)/2)+'Cash Drivers'!DH$13,0)=EOMONTH($AC$1,0),Sales!DH$6*Sales!DH$7,0)+IF(EOMONTH(DATE(YEAR(Sales!$DC$1),MONTH(Sales!$DC$1),1)+INT((DAY(Sales!$DC$1)-1)/2)+'Cash Drivers'!DE$13,0)=EOMONTH($AC$1,0),Sales!DE$6*Sales!DE$7,0)+IF(EOMONTH(DATE(YEAR(Sales!$CZ$1),MONTH(Sales!$CZ$1),1)+INT((DAY(Sales!$CZ$1)-1)/2)+'Cash Drivers'!DB$13,0)=EOMONTH($AC$1,0),Sales!DB$6*Sales!DB$7,0)+IF(EOMONTH(DATE(YEAR(Sales!$CW$1),MONTH(Sales!$CW$1),1)+INT((DAY(Sales!$CW$1)-1)/2)+'Cash Drivers'!CY$13,0)=EOMONTH($AC$1,0),Sales!CY$6*Sales!CY$7,0)+IF(EOMONTH(DATE(YEAR(Sales!$CT$1),MONTH(Sales!$CT$1),1)+INT((DAY(Sales!$CT$1)-1)/2)+'Cash Drivers'!CV$13,0)=EOMONTH($AC$1,0),Sales!CV$6*Sales!CV$7,0)+IF(EOMONTH(DATE(YEAR(Sales!$CQ$1),MONTH(Sales!$CQ$1),1)+INT((DAY(Sales!$CQ$1)-1)/2)+'Cash Drivers'!CS$13,0)=EOMONTH($AC$1,0),Sales!CS$6*Sales!CS$7,0)+IF(EOMONTH(DATE(YEAR(Sales!$CN$1),MONTH(Sales!$CN$1),1)+INT((DAY(Sales!$CN$1)-1)/2)+'Cash Drivers'!CP$13,0)=EOMONTH($AC$1,0),Sales!CP$6*Sales!CP$7,0)+IF(EOMONTH(DATE(YEAR(Sales!$CK$1),MONTH(Sales!$CK$1),1)+INT((DAY(Sales!$CK$1)-1)/2)+'Cash Drivers'!CM$13,0)=EOMONTH($AC$1,0),Sales!CM$6*Sales!CM$7,0)+IF(EOMONTH(DATE(YEAR(Sales!$CH$1),MONTH(Sales!$CH$1),1)+INT((DAY(Sales!$CH$1)-1)/2)+'Cash Drivers'!CJ$13,0)=EOMONTH($AC$1,0),Sales!CJ$6*Sales!CJ$7,0)+IF(EOMONTH(DATE(YEAR(Sales!$CE$1),MONTH(Sales!$CE$1),1)+INT((DAY(Sales!$CE$1)-1)/2)+'Cash Drivers'!CG$13,0)=EOMONTH($AC$1,0),Sales!CG$6*Sales!CG$7,0)+IF(EOMONTH(DATE(YEAR(Sales!$CB$1),MONTH(Sales!$CB$1),1)+INT((DAY(Sales!$CB$1)-1)/2)+'Cash Drivers'!CD$13,0)=EOMONTH($AC$1,0),Sales!CD$6*Sales!CD$7,0)+IF(EOMONTH(DATE(YEAR(Sales!$BY$1),MONTH(Sales!$BY$1),1)+INT((DAY(Sales!$BY$1)-1)/2)+'Cash Drivers'!CA$13,0)=EOMONTH($AC$1,0),Sales!CA$6*Sales!CA$7,0)+IF(EOMONTH(DATE(YEAR(Sales!$BV$1),MONTH(Sales!$BV$1),1)+INT((DAY(Sales!$BV$1)-1)/2)+'Cash Drivers'!BX$13,0)=EOMONTH($AC$1,0),Sales!BX$6*Sales!BX$7,0)+IF(EOMONTH(DATE(YEAR(Sales!$BS$1),MONTH(Sales!$BS$1),1)+INT((DAY(Sales!$BS$1)-1)/2)+'Cash Drivers'!BU$13,0)=EOMONTH($AC$1,0),Sales!BU$6*Sales!BU$7,0)+IF(EOMONTH(DATE(YEAR(Sales!$BP$1),MONTH(Sales!$BP$1),1)+INT((DAY(Sales!$BP$1)-1)/2)+'Cash Drivers'!BR$13,0)=EOMONTH($AC$1,0),Sales!BR$6*Sales!BR$7,0)+IF(EOMONTH(DATE(YEAR(Sales!$BM$1),MONTH(Sales!$BM$1),1)+INT((DAY(Sales!$BM$1)-1)/2)+'Cash Drivers'!BO$13,0)=EOMONTH($AC$1,0),Sales!BO$6*Sales!BO$7,0)+IF(EOMONTH(DATE(YEAR(Sales!$BJ$1),MONTH(Sales!$BJ$1),1)+INT((DAY(Sales!$BJ$1)-1)/2)+'Cash Drivers'!BL$13,0)=EOMONTH($AC$1,0),Sales!BL$6*Sales!BL$7,0)+IF(EOMONTH(DATE(YEAR(Sales!$BG$1),MONTH(Sales!$BG$1),1)+INT((DAY(Sales!$BG$1)-1)/2)+'Cash Drivers'!BI$13,0)=EOMONTH($AC$1,0),Sales!BI$6*Sales!BI$7,0)+IF(EOMONTH(DATE(YEAR(Sales!$BD$1),MONTH(Sales!$BD$1),1)+INT((DAY(Sales!$BD$1)-1)/2)+'Cash Drivers'!BF$13,0)=EOMONTH($AC$1,0),Sales!BF$6*Sales!BF$7,0)+IF(EOMONTH(DATE(YEAR(Sales!$BA$1),MONTH(Sales!$BA$1),1)+INT((DAY(Sales!$BA$1)-1)/2)+'Cash Drivers'!BC$13,0)=EOMONTH($AC$1,0),Sales!BC$6*Sales!BC$7,0)+IF(EOMONTH(DATE(YEAR(Sales!$AX$1),MONTH(Sales!$AX$1),1)+INT((DAY(Sales!$AX$1)-1)/2)+'Cash Drivers'!AZ$13,0)=EOMONTH($AC$1,0),Sales!AZ$6*Sales!AZ$7,0)+IF(EOMONTH(DATE(YEAR(Sales!$AU$1),MONTH(Sales!$AU$1),1)+INT((DAY(Sales!$AU$1)-1)/2)+'Cash Drivers'!AW$13,0)=EOMONTH($AC$1,0),Sales!AW$6*Sales!AW$7,0)+IF(EOMONTH(DATE(YEAR(Sales!$AR$1),MONTH(Sales!$AR$1),1)+INT((DAY(Sales!$AR$1)-1)/2)+'Cash Drivers'!AT$13,0)=EOMONTH($AC$1,0),Sales!AT$6*Sales!AT$7,0)+IF(EOMONTH(DATE(YEAR(Sales!$AO$1),MONTH(Sales!$AO$1),1)+INT((DAY(Sales!$AO$1)-1)/2)+'Cash Drivers'!AQ$13,0)=EOMONTH($AC$1,0),Sales!AQ$6*Sales!AQ$7,0)+IF(EOMONTH(DATE(YEAR(Sales!$AL$1),MONTH(Sales!$AL$1),1)+INT((DAY(Sales!$AL$1)-1)/2)+'Cash Drivers'!AN$13,0)=EOMONTH($AC$1,0),Sales!AN$6*Sales!AN$7,0)+IF(EOMONTH(DATE(YEAR(Sales!$AI$1),MONTH(Sales!$AI$1),1)+INT((DAY(Sales!$AI$1)-1)/2)+'Cash Drivers'!AK$13,0)=EOMONTH($AC$1,0),Sales!AK$6*Sales!AK$7,0)+IF(EOMONTH(DATE(YEAR(Sales!$AF$1),MONTH(Sales!$AF$1),1)+INT((DAY(Sales!$AF$1)-1)/2)+'Cash Drivers'!AH$13,0)=EOMONTH($AC$1,0),Sales!AH$6*Sales!AH$7,0)+IF(EOMONTH(DATE(YEAR(Sales!$AC$1),MONTH(Sales!$AC$1),1)+INT((DAY(Sales!$AC$1)-1)/2)+'Cash Drivers'!AE$13,0)=EOMONTH($AC$1,0),Sales!AE$6*Sales!AE$7,0)+IF(EOMONTH(DATE(YEAR(Sales!$Z$1),MONTH(Sales!$Z$1),1)+INT((DAY(Sales!$Z$1)-1)/2)+'Cash Drivers'!AB$13,0)=EOMONTH($AC$1,0),Sales!AB$6*Sales!AB$7,0)+IF(EOMONTH(DATE(YEAR(Sales!$W$1),MONTH(Sales!$W$1),1)+INT((DAY(Sales!$W$1)-1)/2)+'Cash Drivers'!Y$13,0)=EOMONTH($AC$1,0),Sales!Y$6*Sales!Y$7,0)+IF(EOMONTH(DATE(YEAR(Sales!$T$1),MONTH(Sales!$T$1),1)+INT((DAY(Sales!$T$1)-1)/2)+'Cash Drivers'!V$13,0)=EOMONTH($AC$1,0),Sales!V$6*Sales!V$7,0)+IF(EOMONTH(DATE(YEAR(Sales!$Q$1),MONTH(Sales!$Q$1),1)+INT((DAY(Sales!$Q$1)-1)/2)+'Cash Drivers'!S$13,0)=EOMONTH($AC$1,0),Sales!S$6*Sales!S$7,0)+IF(EOMONTH(DATE(YEAR(Sales!$N$1),MONTH(Sales!$N$1),1)+INT((DAY(Sales!$N$1)-1)/2)+'Cash Drivers'!P$13,0)=EOMONTH($AC$1,0),Sales!P$6*Sales!P$7,0)+IF(EOMONTH(DATE(YEAR(Sales!$K$1),MONTH(Sales!$K$1),1)+INT((DAY(Sales!$K$1)-1)/2)+'Cash Drivers'!M$13,0)=EOMONTH($AC$1,0),Sales!M$6*Sales!M$7,0)+IF(EOMONTH('Cash Drivers'!$DL$30+'Cash Drivers'!DN$13,0)=EOMONTH($AC$1,0),'Cash Drivers'!$DL$32*Sales!$DL$60,0),0)</f>
        <v>50502</v>
      </c>
      <c r="AF24" s="58" t="n">
        <f aca="false">ROUND(IF(EOMONTH(DATE(YEAR(Sales!$DL$1),MONTH(Sales!$DL$1),1)+INT((DAY(Sales!$DL$1)-1)/2)+'Cash Drivers'!DL$13,0)=EOMONTH($AF$1,0),Sales!DL$6*Sales!DL$7,0)+IF(EOMONTH(DATE(YEAR(Sales!$DI$1),MONTH(Sales!$DI$1),1)+INT((DAY(Sales!$DI$1)-1)/2)+'Cash Drivers'!DI$13,0)=EOMONTH($AF$1,0),Sales!DI$6*Sales!DI$7,0)+IF(EOMONTH(DATE(YEAR(Sales!$DF$1),MONTH(Sales!$DF$1),1)+INT((DAY(Sales!$DF$1)-1)/2)+'Cash Drivers'!DF$13,0)=EOMONTH($AF$1,0),Sales!DF$6*Sales!DF$7,0)+IF(EOMONTH(DATE(YEAR(Sales!$DC$1),MONTH(Sales!$DC$1),1)+INT((DAY(Sales!$DC$1)-1)/2)+'Cash Drivers'!DC$13,0)=EOMONTH($AF$1,0),Sales!DC$6*Sales!DC$7,0)+IF(EOMONTH(DATE(YEAR(Sales!$CZ$1),MONTH(Sales!$CZ$1),1)+INT((DAY(Sales!$CZ$1)-1)/2)+'Cash Drivers'!CZ$13,0)=EOMONTH($AF$1,0),Sales!CZ$6*Sales!CZ$7,0)+IF(EOMONTH(DATE(YEAR(Sales!$CW$1),MONTH(Sales!$CW$1),1)+INT((DAY(Sales!$CW$1)-1)/2)+'Cash Drivers'!CW$13,0)=EOMONTH($AF$1,0),Sales!CW$6*Sales!CW$7,0)+IF(EOMONTH(DATE(YEAR(Sales!$CT$1),MONTH(Sales!$CT$1),1)+INT((DAY(Sales!$CT$1)-1)/2)+'Cash Drivers'!CT$13,0)=EOMONTH($AF$1,0),Sales!CT$6*Sales!CT$7,0)+IF(EOMONTH(DATE(YEAR(Sales!$CQ$1),MONTH(Sales!$CQ$1),1)+INT((DAY(Sales!$CQ$1)-1)/2)+'Cash Drivers'!CQ$13,0)=EOMONTH($AF$1,0),Sales!CQ$6*Sales!CQ$7,0)+IF(EOMONTH(DATE(YEAR(Sales!$CN$1),MONTH(Sales!$CN$1),1)+INT((DAY(Sales!$CN$1)-1)/2)+'Cash Drivers'!CN$13,0)=EOMONTH($AF$1,0),Sales!CN$6*Sales!CN$7,0)+IF(EOMONTH(DATE(YEAR(Sales!$CK$1),MONTH(Sales!$CK$1),1)+INT((DAY(Sales!$CK$1)-1)/2)+'Cash Drivers'!CK$13,0)=EOMONTH($AF$1,0),Sales!CK$6*Sales!CK$7,0)+IF(EOMONTH(DATE(YEAR(Sales!$CH$1),MONTH(Sales!$CH$1),1)+INT((DAY(Sales!$CH$1)-1)/2)+'Cash Drivers'!CH$13,0)=EOMONTH($AF$1,0),Sales!CH$6*Sales!CH$7,0)+IF(EOMONTH(DATE(YEAR(Sales!$CE$1),MONTH(Sales!$CE$1),1)+INT((DAY(Sales!$CE$1)-1)/2)+'Cash Drivers'!CE$13,0)=EOMONTH($AF$1,0),Sales!CE$6*Sales!CE$7,0)+IF(EOMONTH(DATE(YEAR(Sales!$CB$1),MONTH(Sales!$CB$1),1)+INT((DAY(Sales!$CB$1)-1)/2)+'Cash Drivers'!CB$13,0)=EOMONTH($AF$1,0),Sales!CB$6*Sales!CB$7,0)+IF(EOMONTH(DATE(YEAR(Sales!$BY$1),MONTH(Sales!$BY$1),1)+INT((DAY(Sales!$BY$1)-1)/2)+'Cash Drivers'!BY$13,0)=EOMONTH($AF$1,0),Sales!BY$6*Sales!BY$7,0)+IF(EOMONTH(DATE(YEAR(Sales!$BV$1),MONTH(Sales!$BV$1),1)+INT((DAY(Sales!$BV$1)-1)/2)+'Cash Drivers'!BV$13,0)=EOMONTH($AF$1,0),Sales!BV$6*Sales!BV$7,0)+IF(EOMONTH(DATE(YEAR(Sales!$BS$1),MONTH(Sales!$BS$1),1)+INT((DAY(Sales!$BS$1)-1)/2)+'Cash Drivers'!BS$13,0)=EOMONTH($AF$1,0),Sales!BS$6*Sales!BS$7,0)+IF(EOMONTH(DATE(YEAR(Sales!$BP$1),MONTH(Sales!$BP$1),1)+INT((DAY(Sales!$BP$1)-1)/2)+'Cash Drivers'!BP$13,0)=EOMONTH($AF$1,0),Sales!BP$6*Sales!BP$7,0)+IF(EOMONTH(DATE(YEAR(Sales!$BM$1),MONTH(Sales!$BM$1),1)+INT((DAY(Sales!$BM$1)-1)/2)+'Cash Drivers'!BM$13,0)=EOMONTH($AF$1,0),Sales!BM$6*Sales!BM$7,0)+IF(EOMONTH(DATE(YEAR(Sales!$BJ$1),MONTH(Sales!$BJ$1),1)+INT((DAY(Sales!$BJ$1)-1)/2)+'Cash Drivers'!BJ$13,0)=EOMONTH($AF$1,0),Sales!BJ$6*Sales!BJ$7,0)+IF(EOMONTH(DATE(YEAR(Sales!$BG$1),MONTH(Sales!$BG$1),1)+INT((DAY(Sales!$BG$1)-1)/2)+'Cash Drivers'!BG$13,0)=EOMONTH($AF$1,0),Sales!BG$6*Sales!BG$7,0)+IF(EOMONTH(DATE(YEAR(Sales!$BD$1),MONTH(Sales!$BD$1),1)+INT((DAY(Sales!$BD$1)-1)/2)+'Cash Drivers'!BD$13,0)=EOMONTH($AF$1,0),Sales!BD$6*Sales!BD$7,0)+IF(EOMONTH(DATE(YEAR(Sales!$BA$1),MONTH(Sales!$BA$1),1)+INT((DAY(Sales!$BA$1)-1)/2)+'Cash Drivers'!BA$13,0)=EOMONTH($AF$1,0),Sales!BA$6*Sales!BA$7,0)+IF(EOMONTH(DATE(YEAR(Sales!$AX$1),MONTH(Sales!$AX$1),1)+INT((DAY(Sales!$AX$1)-1)/2)+'Cash Drivers'!AX$13,0)=EOMONTH($AF$1,0),Sales!AX$6*Sales!AX$7,0)+IF(EOMONTH(DATE(YEAR(Sales!$AU$1),MONTH(Sales!$AU$1),1)+INT((DAY(Sales!$AU$1)-1)/2)+'Cash Drivers'!AU$13,0)=EOMONTH($AF$1,0),Sales!AU$6*Sales!AU$7,0)+IF(EOMONTH(DATE(YEAR(Sales!$AR$1),MONTH(Sales!$AR$1),1)+INT((DAY(Sales!$AR$1)-1)/2)+'Cash Drivers'!AR$13,0)=EOMONTH($AF$1,0),Sales!AR$6*Sales!AR$7,0)+IF(EOMONTH(DATE(YEAR(Sales!$AO$1),MONTH(Sales!$AO$1),1)+INT((DAY(Sales!$AO$1)-1)/2)+'Cash Drivers'!AO$13,0)=EOMONTH($AF$1,0),Sales!AO$6*Sales!AO$7,0)+IF(EOMONTH(DATE(YEAR(Sales!$AL$1),MONTH(Sales!$AL$1),1)+INT((DAY(Sales!$AL$1)-1)/2)+'Cash Drivers'!AL$13,0)=EOMONTH($AF$1,0),Sales!AL$6*Sales!AL$7,0)+IF(EOMONTH(DATE(YEAR(Sales!$AI$1),MONTH(Sales!$AI$1),1)+INT((DAY(Sales!$AI$1)-1)/2)+'Cash Drivers'!AI$13,0)=EOMONTH($AF$1,0),Sales!AI$6*Sales!AI$7,0)+IF(EOMONTH(DATE(YEAR(Sales!$AF$1),MONTH(Sales!$AF$1),1)+INT((DAY(Sales!$AF$1)-1)/2)+'Cash Drivers'!AF$13,0)=EOMONTH($AF$1,0),Sales!AF$6*Sales!AF$7,0)+IF(EOMONTH(DATE(YEAR(Sales!$AC$1),MONTH(Sales!$AC$1),1)+INT((DAY(Sales!$AC$1)-1)/2)+'Cash Drivers'!AC$13,0)=EOMONTH($AF$1,0),Sales!AC$6*Sales!AC$7,0)+IF(EOMONTH(DATE(YEAR(Sales!$Z$1),MONTH(Sales!$Z$1),1)+INT((DAY(Sales!$Z$1)-1)/2)+'Cash Drivers'!Z$13,0)=EOMONTH($AF$1,0),Sales!Z$6*Sales!Z$7,0)+IF(EOMONTH(DATE(YEAR(Sales!$W$1),MONTH(Sales!$W$1),1)+INT((DAY(Sales!$W$1)-1)/2)+'Cash Drivers'!W$13,0)=EOMONTH($AF$1,0),Sales!W$6*Sales!W$7,0)+IF(EOMONTH(DATE(YEAR(Sales!$T$1),MONTH(Sales!$T$1),1)+INT((DAY(Sales!$T$1)-1)/2)+'Cash Drivers'!T$13,0)=EOMONTH($AF$1,0),Sales!T$6*Sales!T$7,0)+IF(EOMONTH(DATE(YEAR(Sales!$Q$1),MONTH(Sales!$Q$1),1)+INT((DAY(Sales!$Q$1)-1)/2)+'Cash Drivers'!Q$13,0)=EOMONTH($AF$1,0),Sales!Q$6*Sales!Q$7,0)+IF(EOMONTH(DATE(YEAR(Sales!$N$1),MONTH(Sales!$N$1),1)+INT((DAY(Sales!$N$1)-1)/2)+'Cash Drivers'!N$13,0)=EOMONTH($AF$1,0),Sales!N$6*Sales!N$7,0)+IF(EOMONTH(DATE(YEAR(Sales!$K$1),MONTH(Sales!$K$1),1)+INT((DAY(Sales!$K$1)-1)/2)+'Cash Drivers'!K$13,0)=EOMONTH($AF$1,0),Sales!K$6*Sales!K$7,0)+IF(EOMONTH('Cash Drivers'!$DL$30+'Cash Drivers'!DL$13,0)=EOMONTH($AF$1,0),'Cash Drivers'!$DL$32*Sales!$DL$60,0),0)</f>
        <v>0</v>
      </c>
      <c r="AG24" s="59" t="n">
        <f aca="false">ROUND(IF(EOMONTH(DATE(YEAR(Sales!$DL$1),MONTH(Sales!$DL$1),1)+INT((DAY(Sales!$DL$1)-1)/2)+'Cash Drivers'!DM$13,0)=EOMONTH($AF$1,0),Sales!DM$6*Sales!DM$7,0)+IF(EOMONTH(DATE(YEAR(Sales!$DI$1),MONTH(Sales!$DI$1),1)+INT((DAY(Sales!$DI$1)-1)/2)+'Cash Drivers'!DJ$13,0)=EOMONTH($AF$1,0),Sales!DJ$6*Sales!DJ$7,0)+IF(EOMONTH(DATE(YEAR(Sales!$DF$1),MONTH(Sales!$DF$1),1)+INT((DAY(Sales!$DF$1)-1)/2)+'Cash Drivers'!DG$13,0)=EOMONTH($AF$1,0),Sales!DG$6*Sales!DG$7,0)+IF(EOMONTH(DATE(YEAR(Sales!$DC$1),MONTH(Sales!$DC$1),1)+INT((DAY(Sales!$DC$1)-1)/2)+'Cash Drivers'!DD$13,0)=EOMONTH($AF$1,0),Sales!DD$6*Sales!DD$7,0)+IF(EOMONTH(DATE(YEAR(Sales!$CZ$1),MONTH(Sales!$CZ$1),1)+INT((DAY(Sales!$CZ$1)-1)/2)+'Cash Drivers'!DA$13,0)=EOMONTH($AF$1,0),Sales!DA$6*Sales!DA$7,0)+IF(EOMONTH(DATE(YEAR(Sales!$CW$1),MONTH(Sales!$CW$1),1)+INT((DAY(Sales!$CW$1)-1)/2)+'Cash Drivers'!CX$13,0)=EOMONTH($AF$1,0),Sales!CX$6*Sales!CX$7,0)+IF(EOMONTH(DATE(YEAR(Sales!$CT$1),MONTH(Sales!$CT$1),1)+INT((DAY(Sales!$CT$1)-1)/2)+'Cash Drivers'!CU$13,0)=EOMONTH($AF$1,0),Sales!CU$6*Sales!CU$7,0)+IF(EOMONTH(DATE(YEAR(Sales!$CQ$1),MONTH(Sales!$CQ$1),1)+INT((DAY(Sales!$CQ$1)-1)/2)+'Cash Drivers'!CR$13,0)=EOMONTH($AF$1,0),Sales!CR$6*Sales!CR$7,0)+IF(EOMONTH(DATE(YEAR(Sales!$CN$1),MONTH(Sales!$CN$1),1)+INT((DAY(Sales!$CN$1)-1)/2)+'Cash Drivers'!CO$13,0)=EOMONTH($AF$1,0),Sales!CO$6*Sales!CO$7,0)+IF(EOMONTH(DATE(YEAR(Sales!$CK$1),MONTH(Sales!$CK$1),1)+INT((DAY(Sales!$CK$1)-1)/2)+'Cash Drivers'!CL$13,0)=EOMONTH($AF$1,0),Sales!CL$6*Sales!CL$7,0)+IF(EOMONTH(DATE(YEAR(Sales!$CH$1),MONTH(Sales!$CH$1),1)+INT((DAY(Sales!$CH$1)-1)/2)+'Cash Drivers'!CI$13,0)=EOMONTH($AF$1,0),Sales!CI$6*Sales!CI$7,0)+IF(EOMONTH(DATE(YEAR(Sales!$CE$1),MONTH(Sales!$CE$1),1)+INT((DAY(Sales!$CE$1)-1)/2)+'Cash Drivers'!CF$13,0)=EOMONTH($AF$1,0),Sales!CF$6*Sales!CF$7,0)+IF(EOMONTH(DATE(YEAR(Sales!$CB$1),MONTH(Sales!$CB$1),1)+INT((DAY(Sales!$CB$1)-1)/2)+'Cash Drivers'!CC$13,0)=EOMONTH($AF$1,0),Sales!CC$6*Sales!CC$7,0)+IF(EOMONTH(DATE(YEAR(Sales!$BY$1),MONTH(Sales!$BY$1),1)+INT((DAY(Sales!$BY$1)-1)/2)+'Cash Drivers'!BZ$13,0)=EOMONTH($AF$1,0),Sales!BZ$6*Sales!BZ$7,0)+IF(EOMONTH(DATE(YEAR(Sales!$BV$1),MONTH(Sales!$BV$1),1)+INT((DAY(Sales!$BV$1)-1)/2)+'Cash Drivers'!BW$13,0)=EOMONTH($AF$1,0),Sales!BW$6*Sales!BW$7,0)+IF(EOMONTH(DATE(YEAR(Sales!$BS$1),MONTH(Sales!$BS$1),1)+INT((DAY(Sales!$BS$1)-1)/2)+'Cash Drivers'!BT$13,0)=EOMONTH($AF$1,0),Sales!BT$6*Sales!BT$7,0)+IF(EOMONTH(DATE(YEAR(Sales!$BP$1),MONTH(Sales!$BP$1),1)+INT((DAY(Sales!$BP$1)-1)/2)+'Cash Drivers'!BQ$13,0)=EOMONTH($AF$1,0),Sales!BQ$6*Sales!BQ$7,0)+IF(EOMONTH(DATE(YEAR(Sales!$BM$1),MONTH(Sales!$BM$1),1)+INT((DAY(Sales!$BM$1)-1)/2)+'Cash Drivers'!BN$13,0)=EOMONTH($AF$1,0),Sales!BN$6*Sales!BN$7,0)+IF(EOMONTH(DATE(YEAR(Sales!$BJ$1),MONTH(Sales!$BJ$1),1)+INT((DAY(Sales!$BJ$1)-1)/2)+'Cash Drivers'!BK$13,0)=EOMONTH($AF$1,0),Sales!BK$6*Sales!BK$7,0)+IF(EOMONTH(DATE(YEAR(Sales!$BG$1),MONTH(Sales!$BG$1),1)+INT((DAY(Sales!$BG$1)-1)/2)+'Cash Drivers'!BH$13,0)=EOMONTH($AF$1,0),Sales!BH$6*Sales!BH$7,0)+IF(EOMONTH(DATE(YEAR(Sales!$BD$1),MONTH(Sales!$BD$1),1)+INT((DAY(Sales!$BD$1)-1)/2)+'Cash Drivers'!BE$13,0)=EOMONTH($AF$1,0),Sales!BE$6*Sales!BE$7,0)+IF(EOMONTH(DATE(YEAR(Sales!$BA$1),MONTH(Sales!$BA$1),1)+INT((DAY(Sales!$BA$1)-1)/2)+'Cash Drivers'!BB$13,0)=EOMONTH($AF$1,0),Sales!BB$6*Sales!BB$7,0)+IF(EOMONTH(DATE(YEAR(Sales!$AX$1),MONTH(Sales!$AX$1),1)+INT((DAY(Sales!$AX$1)-1)/2)+'Cash Drivers'!AY$13,0)=EOMONTH($AF$1,0),Sales!AY$6*Sales!AY$7,0)+IF(EOMONTH(DATE(YEAR(Sales!$AU$1),MONTH(Sales!$AU$1),1)+INT((DAY(Sales!$AU$1)-1)/2)+'Cash Drivers'!AV$13,0)=EOMONTH($AF$1,0),Sales!AV$6*Sales!AV$7,0)+IF(EOMONTH(DATE(YEAR(Sales!$AR$1),MONTH(Sales!$AR$1),1)+INT((DAY(Sales!$AR$1)-1)/2)+'Cash Drivers'!AS$13,0)=EOMONTH($AF$1,0),Sales!AS$6*Sales!AS$7,0)+IF(EOMONTH(DATE(YEAR(Sales!$AO$1),MONTH(Sales!$AO$1),1)+INT((DAY(Sales!$AO$1)-1)/2)+'Cash Drivers'!AP$13,0)=EOMONTH($AF$1,0),Sales!AP$6*Sales!AP$7,0)+IF(EOMONTH(DATE(YEAR(Sales!$AL$1),MONTH(Sales!$AL$1),1)+INT((DAY(Sales!$AL$1)-1)/2)+'Cash Drivers'!AM$13,0)=EOMONTH($AF$1,0),Sales!AM$6*Sales!AM$7,0)+IF(EOMONTH(DATE(YEAR(Sales!$AI$1),MONTH(Sales!$AI$1),1)+INT((DAY(Sales!$AI$1)-1)/2)+'Cash Drivers'!AJ$13,0)=EOMONTH($AF$1,0),Sales!AJ$6*Sales!AJ$7,0)+IF(EOMONTH(DATE(YEAR(Sales!$AF$1),MONTH(Sales!$AF$1),1)+INT((DAY(Sales!$AF$1)-1)/2)+'Cash Drivers'!AG$13,0)=EOMONTH($AF$1,0),Sales!AG$6*Sales!AG$7,0)+IF(EOMONTH(DATE(YEAR(Sales!$AC$1),MONTH(Sales!$AC$1),1)+INT((DAY(Sales!$AC$1)-1)/2)+'Cash Drivers'!AD$13,0)=EOMONTH($AF$1,0),Sales!AD$6*Sales!AD$7,0)+IF(EOMONTH(DATE(YEAR(Sales!$Z$1),MONTH(Sales!$Z$1),1)+INT((DAY(Sales!$Z$1)-1)/2)+'Cash Drivers'!AA$13,0)=EOMONTH($AF$1,0),Sales!AA$6*Sales!AA$7,0)+IF(EOMONTH(DATE(YEAR(Sales!$W$1),MONTH(Sales!$W$1),1)+INT((DAY(Sales!$W$1)-1)/2)+'Cash Drivers'!X$13,0)=EOMONTH($AF$1,0),Sales!X$6*Sales!X$7,0)+IF(EOMONTH(DATE(YEAR(Sales!$T$1),MONTH(Sales!$T$1),1)+INT((DAY(Sales!$T$1)-1)/2)+'Cash Drivers'!U$13,0)=EOMONTH($AF$1,0),Sales!U$6*Sales!U$7,0)+IF(EOMONTH(DATE(YEAR(Sales!$Q$1),MONTH(Sales!$Q$1),1)+INT((DAY(Sales!$Q$1)-1)/2)+'Cash Drivers'!R$13,0)=EOMONTH($AF$1,0),Sales!R$6*Sales!R$7,0)+IF(EOMONTH(DATE(YEAR(Sales!$N$1),MONTH(Sales!$N$1),1)+INT((DAY(Sales!$N$1)-1)/2)+'Cash Drivers'!O$13,0)=EOMONTH($AF$1,0),Sales!O$6*Sales!O$7,0)+IF(EOMONTH(DATE(YEAR(Sales!$K$1),MONTH(Sales!$K$1),1)+INT((DAY(Sales!$K$1)-1)/2)+'Cash Drivers'!L$13,0)=EOMONTH($AF$1,0),Sales!L$6*Sales!L$7,0)+IF(EOMONTH('Cash Drivers'!$DL$30+'Cash Drivers'!DM$13,0)=EOMONTH($AF$1,0),'Cash Drivers'!$DL$32*Sales!$DL$60,0),0)</f>
        <v>50103</v>
      </c>
      <c r="AH24" s="60" t="n">
        <f aca="false">ROUND(IF(EOMONTH(DATE(YEAR(Sales!$DL$1),MONTH(Sales!$DL$1),1)+INT((DAY(Sales!$DL$1)-1)/2)+'Cash Drivers'!DN$13,0)=EOMONTH($AF$1,0),Sales!DN$6*Sales!DN$7,0)+IF(EOMONTH(DATE(YEAR(Sales!$DI$1),MONTH(Sales!$DI$1),1)+INT((DAY(Sales!$DI$1)-1)/2)+'Cash Drivers'!DK$13,0)=EOMONTH($AF$1,0),Sales!DK$6*Sales!DK$7,0)+IF(EOMONTH(DATE(YEAR(Sales!$DF$1),MONTH(Sales!$DF$1),1)+INT((DAY(Sales!$DF$1)-1)/2)+'Cash Drivers'!DH$13,0)=EOMONTH($AF$1,0),Sales!DH$6*Sales!DH$7,0)+IF(EOMONTH(DATE(YEAR(Sales!$DC$1),MONTH(Sales!$DC$1),1)+INT((DAY(Sales!$DC$1)-1)/2)+'Cash Drivers'!DE$13,0)=EOMONTH($AF$1,0),Sales!DE$6*Sales!DE$7,0)+IF(EOMONTH(DATE(YEAR(Sales!$CZ$1),MONTH(Sales!$CZ$1),1)+INT((DAY(Sales!$CZ$1)-1)/2)+'Cash Drivers'!DB$13,0)=EOMONTH($AF$1,0),Sales!DB$6*Sales!DB$7,0)+IF(EOMONTH(DATE(YEAR(Sales!$CW$1),MONTH(Sales!$CW$1),1)+INT((DAY(Sales!$CW$1)-1)/2)+'Cash Drivers'!CY$13,0)=EOMONTH($AF$1,0),Sales!CY$6*Sales!CY$7,0)+IF(EOMONTH(DATE(YEAR(Sales!$CT$1),MONTH(Sales!$CT$1),1)+INT((DAY(Sales!$CT$1)-1)/2)+'Cash Drivers'!CV$13,0)=EOMONTH($AF$1,0),Sales!CV$6*Sales!CV$7,0)+IF(EOMONTH(DATE(YEAR(Sales!$CQ$1),MONTH(Sales!$CQ$1),1)+INT((DAY(Sales!$CQ$1)-1)/2)+'Cash Drivers'!CS$13,0)=EOMONTH($AF$1,0),Sales!CS$6*Sales!CS$7,0)+IF(EOMONTH(DATE(YEAR(Sales!$CN$1),MONTH(Sales!$CN$1),1)+INT((DAY(Sales!$CN$1)-1)/2)+'Cash Drivers'!CP$13,0)=EOMONTH($AF$1,0),Sales!CP$6*Sales!CP$7,0)+IF(EOMONTH(DATE(YEAR(Sales!$CK$1),MONTH(Sales!$CK$1),1)+INT((DAY(Sales!$CK$1)-1)/2)+'Cash Drivers'!CM$13,0)=EOMONTH($AF$1,0),Sales!CM$6*Sales!CM$7,0)+IF(EOMONTH(DATE(YEAR(Sales!$CH$1),MONTH(Sales!$CH$1),1)+INT((DAY(Sales!$CH$1)-1)/2)+'Cash Drivers'!CJ$13,0)=EOMONTH($AF$1,0),Sales!CJ$6*Sales!CJ$7,0)+IF(EOMONTH(DATE(YEAR(Sales!$CE$1),MONTH(Sales!$CE$1),1)+INT((DAY(Sales!$CE$1)-1)/2)+'Cash Drivers'!CG$13,0)=EOMONTH($AF$1,0),Sales!CG$6*Sales!CG$7,0)+IF(EOMONTH(DATE(YEAR(Sales!$CB$1),MONTH(Sales!$CB$1),1)+INT((DAY(Sales!$CB$1)-1)/2)+'Cash Drivers'!CD$13,0)=EOMONTH($AF$1,0),Sales!CD$6*Sales!CD$7,0)+IF(EOMONTH(DATE(YEAR(Sales!$BY$1),MONTH(Sales!$BY$1),1)+INT((DAY(Sales!$BY$1)-1)/2)+'Cash Drivers'!CA$13,0)=EOMONTH($AF$1,0),Sales!CA$6*Sales!CA$7,0)+IF(EOMONTH(DATE(YEAR(Sales!$BV$1),MONTH(Sales!$BV$1),1)+INT((DAY(Sales!$BV$1)-1)/2)+'Cash Drivers'!BX$13,0)=EOMONTH($AF$1,0),Sales!BX$6*Sales!BX$7,0)+IF(EOMONTH(DATE(YEAR(Sales!$BS$1),MONTH(Sales!$BS$1),1)+INT((DAY(Sales!$BS$1)-1)/2)+'Cash Drivers'!BU$13,0)=EOMONTH($AF$1,0),Sales!BU$6*Sales!BU$7,0)+IF(EOMONTH(DATE(YEAR(Sales!$BP$1),MONTH(Sales!$BP$1),1)+INT((DAY(Sales!$BP$1)-1)/2)+'Cash Drivers'!BR$13,0)=EOMONTH($AF$1,0),Sales!BR$6*Sales!BR$7,0)+IF(EOMONTH(DATE(YEAR(Sales!$BM$1),MONTH(Sales!$BM$1),1)+INT((DAY(Sales!$BM$1)-1)/2)+'Cash Drivers'!BO$13,0)=EOMONTH($AF$1,0),Sales!BO$6*Sales!BO$7,0)+IF(EOMONTH(DATE(YEAR(Sales!$BJ$1),MONTH(Sales!$BJ$1),1)+INT((DAY(Sales!$BJ$1)-1)/2)+'Cash Drivers'!BL$13,0)=EOMONTH($AF$1,0),Sales!BL$6*Sales!BL$7,0)+IF(EOMONTH(DATE(YEAR(Sales!$BG$1),MONTH(Sales!$BG$1),1)+INT((DAY(Sales!$BG$1)-1)/2)+'Cash Drivers'!BI$13,0)=EOMONTH($AF$1,0),Sales!BI$6*Sales!BI$7,0)+IF(EOMONTH(DATE(YEAR(Sales!$BD$1),MONTH(Sales!$BD$1),1)+INT((DAY(Sales!$BD$1)-1)/2)+'Cash Drivers'!BF$13,0)=EOMONTH($AF$1,0),Sales!BF$6*Sales!BF$7,0)+IF(EOMONTH(DATE(YEAR(Sales!$BA$1),MONTH(Sales!$BA$1),1)+INT((DAY(Sales!$BA$1)-1)/2)+'Cash Drivers'!BC$13,0)=EOMONTH($AF$1,0),Sales!BC$6*Sales!BC$7,0)+IF(EOMONTH(DATE(YEAR(Sales!$AX$1),MONTH(Sales!$AX$1),1)+INT((DAY(Sales!$AX$1)-1)/2)+'Cash Drivers'!AZ$13,0)=EOMONTH($AF$1,0),Sales!AZ$6*Sales!AZ$7,0)+IF(EOMONTH(DATE(YEAR(Sales!$AU$1),MONTH(Sales!$AU$1),1)+INT((DAY(Sales!$AU$1)-1)/2)+'Cash Drivers'!AW$13,0)=EOMONTH($AF$1,0),Sales!AW$6*Sales!AW$7,0)+IF(EOMONTH(DATE(YEAR(Sales!$AR$1),MONTH(Sales!$AR$1),1)+INT((DAY(Sales!$AR$1)-1)/2)+'Cash Drivers'!AT$13,0)=EOMONTH($AF$1,0),Sales!AT$6*Sales!AT$7,0)+IF(EOMONTH(DATE(YEAR(Sales!$AO$1),MONTH(Sales!$AO$1),1)+INT((DAY(Sales!$AO$1)-1)/2)+'Cash Drivers'!AQ$13,0)=EOMONTH($AF$1,0),Sales!AQ$6*Sales!AQ$7,0)+IF(EOMONTH(DATE(YEAR(Sales!$AL$1),MONTH(Sales!$AL$1),1)+INT((DAY(Sales!$AL$1)-1)/2)+'Cash Drivers'!AN$13,0)=EOMONTH($AF$1,0),Sales!AN$6*Sales!AN$7,0)+IF(EOMONTH(DATE(YEAR(Sales!$AI$1),MONTH(Sales!$AI$1),1)+INT((DAY(Sales!$AI$1)-1)/2)+'Cash Drivers'!AK$13,0)=EOMONTH($AF$1,0),Sales!AK$6*Sales!AK$7,0)+IF(EOMONTH(DATE(YEAR(Sales!$AF$1),MONTH(Sales!$AF$1),1)+INT((DAY(Sales!$AF$1)-1)/2)+'Cash Drivers'!AH$13,0)=EOMONTH($AF$1,0),Sales!AH$6*Sales!AH$7,0)+IF(EOMONTH(DATE(YEAR(Sales!$AC$1),MONTH(Sales!$AC$1),1)+INT((DAY(Sales!$AC$1)-1)/2)+'Cash Drivers'!AE$13,0)=EOMONTH($AF$1,0),Sales!AE$6*Sales!AE$7,0)+IF(EOMONTH(DATE(YEAR(Sales!$Z$1),MONTH(Sales!$Z$1),1)+INT((DAY(Sales!$Z$1)-1)/2)+'Cash Drivers'!AB$13,0)=EOMONTH($AF$1,0),Sales!AB$6*Sales!AB$7,0)+IF(EOMONTH(DATE(YEAR(Sales!$W$1),MONTH(Sales!$W$1),1)+INT((DAY(Sales!$W$1)-1)/2)+'Cash Drivers'!Y$13,0)=EOMONTH($AF$1,0),Sales!Y$6*Sales!Y$7,0)+IF(EOMONTH(DATE(YEAR(Sales!$T$1),MONTH(Sales!$T$1),1)+INT((DAY(Sales!$T$1)-1)/2)+'Cash Drivers'!V$13,0)=EOMONTH($AF$1,0),Sales!V$6*Sales!V$7,0)+IF(EOMONTH(DATE(YEAR(Sales!$Q$1),MONTH(Sales!$Q$1),1)+INT((DAY(Sales!$Q$1)-1)/2)+'Cash Drivers'!S$13,0)=EOMONTH($AF$1,0),Sales!S$6*Sales!S$7,0)+IF(EOMONTH(DATE(YEAR(Sales!$N$1),MONTH(Sales!$N$1),1)+INT((DAY(Sales!$N$1)-1)/2)+'Cash Drivers'!P$13,0)=EOMONTH($AF$1,0),Sales!P$6*Sales!P$7,0)+IF(EOMONTH(DATE(YEAR(Sales!$K$1),MONTH(Sales!$K$1),1)+INT((DAY(Sales!$K$1)-1)/2)+'Cash Drivers'!M$13,0)=EOMONTH($AF$1,0),Sales!M$6*Sales!M$7,0)+IF(EOMONTH('Cash Drivers'!$DL$30+'Cash Drivers'!DN$13,0)=EOMONTH($AF$1,0),'Cash Drivers'!$DL$32*Sales!$DL$60,0),0)</f>
        <v>50217</v>
      </c>
      <c r="AI24" s="58" t="n">
        <f aca="false">ROUND(IF(EOMONTH(DATE(YEAR(Sales!$DL$1),MONTH(Sales!$DL$1),1)+INT((DAY(Sales!$DL$1)-1)/2)+'Cash Drivers'!DL$13,0)=EOMONTH($AI$1,0),Sales!DL$6*Sales!DL$7,0)+IF(EOMONTH(DATE(YEAR(Sales!$DI$1),MONTH(Sales!$DI$1),1)+INT((DAY(Sales!$DI$1)-1)/2)+'Cash Drivers'!DI$13,0)=EOMONTH($AI$1,0),Sales!DI$6*Sales!DI$7,0)+IF(EOMONTH(DATE(YEAR(Sales!$DF$1),MONTH(Sales!$DF$1),1)+INT((DAY(Sales!$DF$1)-1)/2)+'Cash Drivers'!DF$13,0)=EOMONTH($AI$1,0),Sales!DF$6*Sales!DF$7,0)+IF(EOMONTH(DATE(YEAR(Sales!$DC$1),MONTH(Sales!$DC$1),1)+INT((DAY(Sales!$DC$1)-1)/2)+'Cash Drivers'!DC$13,0)=EOMONTH($AI$1,0),Sales!DC$6*Sales!DC$7,0)+IF(EOMONTH(DATE(YEAR(Sales!$CZ$1),MONTH(Sales!$CZ$1),1)+INT((DAY(Sales!$CZ$1)-1)/2)+'Cash Drivers'!CZ$13,0)=EOMONTH($AI$1,0),Sales!CZ$6*Sales!CZ$7,0)+IF(EOMONTH(DATE(YEAR(Sales!$CW$1),MONTH(Sales!$CW$1),1)+INT((DAY(Sales!$CW$1)-1)/2)+'Cash Drivers'!CW$13,0)=EOMONTH($AI$1,0),Sales!CW$6*Sales!CW$7,0)+IF(EOMONTH(DATE(YEAR(Sales!$CT$1),MONTH(Sales!$CT$1),1)+INT((DAY(Sales!$CT$1)-1)/2)+'Cash Drivers'!CT$13,0)=EOMONTH($AI$1,0),Sales!CT$6*Sales!CT$7,0)+IF(EOMONTH(DATE(YEAR(Sales!$CQ$1),MONTH(Sales!$CQ$1),1)+INT((DAY(Sales!$CQ$1)-1)/2)+'Cash Drivers'!CQ$13,0)=EOMONTH($AI$1,0),Sales!CQ$6*Sales!CQ$7,0)+IF(EOMONTH(DATE(YEAR(Sales!$CN$1),MONTH(Sales!$CN$1),1)+INT((DAY(Sales!$CN$1)-1)/2)+'Cash Drivers'!CN$13,0)=EOMONTH($AI$1,0),Sales!CN$6*Sales!CN$7,0)+IF(EOMONTH(DATE(YEAR(Sales!$CK$1),MONTH(Sales!$CK$1),1)+INT((DAY(Sales!$CK$1)-1)/2)+'Cash Drivers'!CK$13,0)=EOMONTH($AI$1,0),Sales!CK$6*Sales!CK$7,0)+IF(EOMONTH(DATE(YEAR(Sales!$CH$1),MONTH(Sales!$CH$1),1)+INT((DAY(Sales!$CH$1)-1)/2)+'Cash Drivers'!CH$13,0)=EOMONTH($AI$1,0),Sales!CH$6*Sales!CH$7,0)+IF(EOMONTH(DATE(YEAR(Sales!$CE$1),MONTH(Sales!$CE$1),1)+INT((DAY(Sales!$CE$1)-1)/2)+'Cash Drivers'!CE$13,0)=EOMONTH($AI$1,0),Sales!CE$6*Sales!CE$7,0)+IF(EOMONTH(DATE(YEAR(Sales!$CB$1),MONTH(Sales!$CB$1),1)+INT((DAY(Sales!$CB$1)-1)/2)+'Cash Drivers'!CB$13,0)=EOMONTH($AI$1,0),Sales!CB$6*Sales!CB$7,0)+IF(EOMONTH(DATE(YEAR(Sales!$BY$1),MONTH(Sales!$BY$1),1)+INT((DAY(Sales!$BY$1)-1)/2)+'Cash Drivers'!BY$13,0)=EOMONTH($AI$1,0),Sales!BY$6*Sales!BY$7,0)+IF(EOMONTH(DATE(YEAR(Sales!$BV$1),MONTH(Sales!$BV$1),1)+INT((DAY(Sales!$BV$1)-1)/2)+'Cash Drivers'!BV$13,0)=EOMONTH($AI$1,0),Sales!BV$6*Sales!BV$7,0)+IF(EOMONTH(DATE(YEAR(Sales!$BS$1),MONTH(Sales!$BS$1),1)+INT((DAY(Sales!$BS$1)-1)/2)+'Cash Drivers'!BS$13,0)=EOMONTH($AI$1,0),Sales!BS$6*Sales!BS$7,0)+IF(EOMONTH(DATE(YEAR(Sales!$BP$1),MONTH(Sales!$BP$1),1)+INT((DAY(Sales!$BP$1)-1)/2)+'Cash Drivers'!BP$13,0)=EOMONTH($AI$1,0),Sales!BP$6*Sales!BP$7,0)+IF(EOMONTH(DATE(YEAR(Sales!$BM$1),MONTH(Sales!$BM$1),1)+INT((DAY(Sales!$BM$1)-1)/2)+'Cash Drivers'!BM$13,0)=EOMONTH($AI$1,0),Sales!BM$6*Sales!BM$7,0)+IF(EOMONTH(DATE(YEAR(Sales!$BJ$1),MONTH(Sales!$BJ$1),1)+INT((DAY(Sales!$BJ$1)-1)/2)+'Cash Drivers'!BJ$13,0)=EOMONTH($AI$1,0),Sales!BJ$6*Sales!BJ$7,0)+IF(EOMONTH(DATE(YEAR(Sales!$BG$1),MONTH(Sales!$BG$1),1)+INT((DAY(Sales!$BG$1)-1)/2)+'Cash Drivers'!BG$13,0)=EOMONTH($AI$1,0),Sales!BG$6*Sales!BG$7,0)+IF(EOMONTH(DATE(YEAR(Sales!$BD$1),MONTH(Sales!$BD$1),1)+INT((DAY(Sales!$BD$1)-1)/2)+'Cash Drivers'!BD$13,0)=EOMONTH($AI$1,0),Sales!BD$6*Sales!BD$7,0)+IF(EOMONTH(DATE(YEAR(Sales!$BA$1),MONTH(Sales!$BA$1),1)+INT((DAY(Sales!$BA$1)-1)/2)+'Cash Drivers'!BA$13,0)=EOMONTH($AI$1,0),Sales!BA$6*Sales!BA$7,0)+IF(EOMONTH(DATE(YEAR(Sales!$AX$1),MONTH(Sales!$AX$1),1)+INT((DAY(Sales!$AX$1)-1)/2)+'Cash Drivers'!AX$13,0)=EOMONTH($AI$1,0),Sales!AX$6*Sales!AX$7,0)+IF(EOMONTH(DATE(YEAR(Sales!$AU$1),MONTH(Sales!$AU$1),1)+INT((DAY(Sales!$AU$1)-1)/2)+'Cash Drivers'!AU$13,0)=EOMONTH($AI$1,0),Sales!AU$6*Sales!AU$7,0)+IF(EOMONTH(DATE(YEAR(Sales!$AR$1),MONTH(Sales!$AR$1),1)+INT((DAY(Sales!$AR$1)-1)/2)+'Cash Drivers'!AR$13,0)=EOMONTH($AI$1,0),Sales!AR$6*Sales!AR$7,0)+IF(EOMONTH(DATE(YEAR(Sales!$AO$1),MONTH(Sales!$AO$1),1)+INT((DAY(Sales!$AO$1)-1)/2)+'Cash Drivers'!AO$13,0)=EOMONTH($AI$1,0),Sales!AO$6*Sales!AO$7,0)+IF(EOMONTH(DATE(YEAR(Sales!$AL$1),MONTH(Sales!$AL$1),1)+INT((DAY(Sales!$AL$1)-1)/2)+'Cash Drivers'!AL$13,0)=EOMONTH($AI$1,0),Sales!AL$6*Sales!AL$7,0)+IF(EOMONTH(DATE(YEAR(Sales!$AI$1),MONTH(Sales!$AI$1),1)+INT((DAY(Sales!$AI$1)-1)/2)+'Cash Drivers'!AI$13,0)=EOMONTH($AI$1,0),Sales!AI$6*Sales!AI$7,0)+IF(EOMONTH(DATE(YEAR(Sales!$AF$1),MONTH(Sales!$AF$1),1)+INT((DAY(Sales!$AF$1)-1)/2)+'Cash Drivers'!AF$13,0)=EOMONTH($AI$1,0),Sales!AF$6*Sales!AF$7,0)+IF(EOMONTH(DATE(YEAR(Sales!$AC$1),MONTH(Sales!$AC$1),1)+INT((DAY(Sales!$AC$1)-1)/2)+'Cash Drivers'!AC$13,0)=EOMONTH($AI$1,0),Sales!AC$6*Sales!AC$7,0)+IF(EOMONTH(DATE(YEAR(Sales!$Z$1),MONTH(Sales!$Z$1),1)+INT((DAY(Sales!$Z$1)-1)/2)+'Cash Drivers'!Z$13,0)=EOMONTH($AI$1,0),Sales!Z$6*Sales!Z$7,0)+IF(EOMONTH(DATE(YEAR(Sales!$W$1),MONTH(Sales!$W$1),1)+INT((DAY(Sales!$W$1)-1)/2)+'Cash Drivers'!W$13,0)=EOMONTH($AI$1,0),Sales!W$6*Sales!W$7,0)+IF(EOMONTH(DATE(YEAR(Sales!$T$1),MONTH(Sales!$T$1),1)+INT((DAY(Sales!$T$1)-1)/2)+'Cash Drivers'!T$13,0)=EOMONTH($AI$1,0),Sales!T$6*Sales!T$7,0)+IF(EOMONTH(DATE(YEAR(Sales!$Q$1),MONTH(Sales!$Q$1),1)+INT((DAY(Sales!$Q$1)-1)/2)+'Cash Drivers'!Q$13,0)=EOMONTH($AI$1,0),Sales!Q$6*Sales!Q$7,0)+IF(EOMONTH(DATE(YEAR(Sales!$N$1),MONTH(Sales!$N$1),1)+INT((DAY(Sales!$N$1)-1)/2)+'Cash Drivers'!N$13,0)=EOMONTH($AI$1,0),Sales!N$6*Sales!N$7,0)+IF(EOMONTH(DATE(YEAR(Sales!$K$1),MONTH(Sales!$K$1),1)+INT((DAY(Sales!$K$1)-1)/2)+'Cash Drivers'!K$13,0)=EOMONTH($AI$1,0),Sales!K$6*Sales!K$7,0)+IF(EOMONTH('Cash Drivers'!$DL$30+'Cash Drivers'!DL$13,0)=EOMONTH($AI$1,0),'Cash Drivers'!$DL$32*Sales!$DL$60,0),0)</f>
        <v>0</v>
      </c>
      <c r="AJ24" s="59" t="n">
        <f aca="false">ROUND(IF(EOMONTH(DATE(YEAR(Sales!$DL$1),MONTH(Sales!$DL$1),1)+INT((DAY(Sales!$DL$1)-1)/2)+'Cash Drivers'!DM$13,0)=EOMONTH($AI$1,0),Sales!DM$6*Sales!DM$7,0)+IF(EOMONTH(DATE(YEAR(Sales!$DI$1),MONTH(Sales!$DI$1),1)+INT((DAY(Sales!$DI$1)-1)/2)+'Cash Drivers'!DJ$13,0)=EOMONTH($AI$1,0),Sales!DJ$6*Sales!DJ$7,0)+IF(EOMONTH(DATE(YEAR(Sales!$DF$1),MONTH(Sales!$DF$1),1)+INT((DAY(Sales!$DF$1)-1)/2)+'Cash Drivers'!DG$13,0)=EOMONTH($AI$1,0),Sales!DG$6*Sales!DG$7,0)+IF(EOMONTH(DATE(YEAR(Sales!$DC$1),MONTH(Sales!$DC$1),1)+INT((DAY(Sales!$DC$1)-1)/2)+'Cash Drivers'!DD$13,0)=EOMONTH($AI$1,0),Sales!DD$6*Sales!DD$7,0)+IF(EOMONTH(DATE(YEAR(Sales!$CZ$1),MONTH(Sales!$CZ$1),1)+INT((DAY(Sales!$CZ$1)-1)/2)+'Cash Drivers'!DA$13,0)=EOMONTH($AI$1,0),Sales!DA$6*Sales!DA$7,0)+IF(EOMONTH(DATE(YEAR(Sales!$CW$1),MONTH(Sales!$CW$1),1)+INT((DAY(Sales!$CW$1)-1)/2)+'Cash Drivers'!CX$13,0)=EOMONTH($AI$1,0),Sales!CX$6*Sales!CX$7,0)+IF(EOMONTH(DATE(YEAR(Sales!$CT$1),MONTH(Sales!$CT$1),1)+INT((DAY(Sales!$CT$1)-1)/2)+'Cash Drivers'!CU$13,0)=EOMONTH($AI$1,0),Sales!CU$6*Sales!CU$7,0)+IF(EOMONTH(DATE(YEAR(Sales!$CQ$1),MONTH(Sales!$CQ$1),1)+INT((DAY(Sales!$CQ$1)-1)/2)+'Cash Drivers'!CR$13,0)=EOMONTH($AI$1,0),Sales!CR$6*Sales!CR$7,0)+IF(EOMONTH(DATE(YEAR(Sales!$CN$1),MONTH(Sales!$CN$1),1)+INT((DAY(Sales!$CN$1)-1)/2)+'Cash Drivers'!CO$13,0)=EOMONTH($AI$1,0),Sales!CO$6*Sales!CO$7,0)+IF(EOMONTH(DATE(YEAR(Sales!$CK$1),MONTH(Sales!$CK$1),1)+INT((DAY(Sales!$CK$1)-1)/2)+'Cash Drivers'!CL$13,0)=EOMONTH($AI$1,0),Sales!CL$6*Sales!CL$7,0)+IF(EOMONTH(DATE(YEAR(Sales!$CH$1),MONTH(Sales!$CH$1),1)+INT((DAY(Sales!$CH$1)-1)/2)+'Cash Drivers'!CI$13,0)=EOMONTH($AI$1,0),Sales!CI$6*Sales!CI$7,0)+IF(EOMONTH(DATE(YEAR(Sales!$CE$1),MONTH(Sales!$CE$1),1)+INT((DAY(Sales!$CE$1)-1)/2)+'Cash Drivers'!CF$13,0)=EOMONTH($AI$1,0),Sales!CF$6*Sales!CF$7,0)+IF(EOMONTH(DATE(YEAR(Sales!$CB$1),MONTH(Sales!$CB$1),1)+INT((DAY(Sales!$CB$1)-1)/2)+'Cash Drivers'!CC$13,0)=EOMONTH($AI$1,0),Sales!CC$6*Sales!CC$7,0)+IF(EOMONTH(DATE(YEAR(Sales!$BY$1),MONTH(Sales!$BY$1),1)+INT((DAY(Sales!$BY$1)-1)/2)+'Cash Drivers'!BZ$13,0)=EOMONTH($AI$1,0),Sales!BZ$6*Sales!BZ$7,0)+IF(EOMONTH(DATE(YEAR(Sales!$BV$1),MONTH(Sales!$BV$1),1)+INT((DAY(Sales!$BV$1)-1)/2)+'Cash Drivers'!BW$13,0)=EOMONTH($AI$1,0),Sales!BW$6*Sales!BW$7,0)+IF(EOMONTH(DATE(YEAR(Sales!$BS$1),MONTH(Sales!$BS$1),1)+INT((DAY(Sales!$BS$1)-1)/2)+'Cash Drivers'!BT$13,0)=EOMONTH($AI$1,0),Sales!BT$6*Sales!BT$7,0)+IF(EOMONTH(DATE(YEAR(Sales!$BP$1),MONTH(Sales!$BP$1),1)+INT((DAY(Sales!$BP$1)-1)/2)+'Cash Drivers'!BQ$13,0)=EOMONTH($AI$1,0),Sales!BQ$6*Sales!BQ$7,0)+IF(EOMONTH(DATE(YEAR(Sales!$BM$1),MONTH(Sales!$BM$1),1)+INT((DAY(Sales!$BM$1)-1)/2)+'Cash Drivers'!BN$13,0)=EOMONTH($AI$1,0),Sales!BN$6*Sales!BN$7,0)+IF(EOMONTH(DATE(YEAR(Sales!$BJ$1),MONTH(Sales!$BJ$1),1)+INT((DAY(Sales!$BJ$1)-1)/2)+'Cash Drivers'!BK$13,0)=EOMONTH($AI$1,0),Sales!BK$6*Sales!BK$7,0)+IF(EOMONTH(DATE(YEAR(Sales!$BG$1),MONTH(Sales!$BG$1),1)+INT((DAY(Sales!$BG$1)-1)/2)+'Cash Drivers'!BH$13,0)=EOMONTH($AI$1,0),Sales!BH$6*Sales!BH$7,0)+IF(EOMONTH(DATE(YEAR(Sales!$BD$1),MONTH(Sales!$BD$1),1)+INT((DAY(Sales!$BD$1)-1)/2)+'Cash Drivers'!BE$13,0)=EOMONTH($AI$1,0),Sales!BE$6*Sales!BE$7,0)+IF(EOMONTH(DATE(YEAR(Sales!$BA$1),MONTH(Sales!$BA$1),1)+INT((DAY(Sales!$BA$1)-1)/2)+'Cash Drivers'!BB$13,0)=EOMONTH($AI$1,0),Sales!BB$6*Sales!BB$7,0)+IF(EOMONTH(DATE(YEAR(Sales!$AX$1),MONTH(Sales!$AX$1),1)+INT((DAY(Sales!$AX$1)-1)/2)+'Cash Drivers'!AY$13,0)=EOMONTH($AI$1,0),Sales!AY$6*Sales!AY$7,0)+IF(EOMONTH(DATE(YEAR(Sales!$AU$1),MONTH(Sales!$AU$1),1)+INT((DAY(Sales!$AU$1)-1)/2)+'Cash Drivers'!AV$13,0)=EOMONTH($AI$1,0),Sales!AV$6*Sales!AV$7,0)+IF(EOMONTH(DATE(YEAR(Sales!$AR$1),MONTH(Sales!$AR$1),1)+INT((DAY(Sales!$AR$1)-1)/2)+'Cash Drivers'!AS$13,0)=EOMONTH($AI$1,0),Sales!AS$6*Sales!AS$7,0)+IF(EOMONTH(DATE(YEAR(Sales!$AO$1),MONTH(Sales!$AO$1),1)+INT((DAY(Sales!$AO$1)-1)/2)+'Cash Drivers'!AP$13,0)=EOMONTH($AI$1,0),Sales!AP$6*Sales!AP$7,0)+IF(EOMONTH(DATE(YEAR(Sales!$AL$1),MONTH(Sales!$AL$1),1)+INT((DAY(Sales!$AL$1)-1)/2)+'Cash Drivers'!AM$13,0)=EOMONTH($AI$1,0),Sales!AM$6*Sales!AM$7,0)+IF(EOMONTH(DATE(YEAR(Sales!$AI$1),MONTH(Sales!$AI$1),1)+INT((DAY(Sales!$AI$1)-1)/2)+'Cash Drivers'!AJ$13,0)=EOMONTH($AI$1,0),Sales!AJ$6*Sales!AJ$7,0)+IF(EOMONTH(DATE(YEAR(Sales!$AF$1),MONTH(Sales!$AF$1),1)+INT((DAY(Sales!$AF$1)-1)/2)+'Cash Drivers'!AG$13,0)=EOMONTH($AI$1,0),Sales!AG$6*Sales!AG$7,0)+IF(EOMONTH(DATE(YEAR(Sales!$AC$1),MONTH(Sales!$AC$1),1)+INT((DAY(Sales!$AC$1)-1)/2)+'Cash Drivers'!AD$13,0)=EOMONTH($AI$1,0),Sales!AD$6*Sales!AD$7,0)+IF(EOMONTH(DATE(YEAR(Sales!$Z$1),MONTH(Sales!$Z$1),1)+INT((DAY(Sales!$Z$1)-1)/2)+'Cash Drivers'!AA$13,0)=EOMONTH($AI$1,0),Sales!AA$6*Sales!AA$7,0)+IF(EOMONTH(DATE(YEAR(Sales!$W$1),MONTH(Sales!$W$1),1)+INT((DAY(Sales!$W$1)-1)/2)+'Cash Drivers'!X$13,0)=EOMONTH($AI$1,0),Sales!X$6*Sales!X$7,0)+IF(EOMONTH(DATE(YEAR(Sales!$T$1),MONTH(Sales!$T$1),1)+INT((DAY(Sales!$T$1)-1)/2)+'Cash Drivers'!U$13,0)=EOMONTH($AI$1,0),Sales!U$6*Sales!U$7,0)+IF(EOMONTH(DATE(YEAR(Sales!$Q$1),MONTH(Sales!$Q$1),1)+INT((DAY(Sales!$Q$1)-1)/2)+'Cash Drivers'!R$13,0)=EOMONTH($AI$1,0),Sales!R$6*Sales!R$7,0)+IF(EOMONTH(DATE(YEAR(Sales!$N$1),MONTH(Sales!$N$1),1)+INT((DAY(Sales!$N$1)-1)/2)+'Cash Drivers'!O$13,0)=EOMONTH($AI$1,0),Sales!O$6*Sales!O$7,0)+IF(EOMONTH(DATE(YEAR(Sales!$K$1),MONTH(Sales!$K$1),1)+INT((DAY(Sales!$K$1)-1)/2)+'Cash Drivers'!L$13,0)=EOMONTH($AI$1,0),Sales!L$6*Sales!L$7,0)+IF(EOMONTH('Cash Drivers'!$DL$30+'Cash Drivers'!DM$13,0)=EOMONTH($AI$1,0),'Cash Drivers'!$DL$32*Sales!$DL$60,0),0)</f>
        <v>49818</v>
      </c>
      <c r="AK24" s="60" t="n">
        <f aca="false">ROUND(IF(EOMONTH(DATE(YEAR(Sales!$DL$1),MONTH(Sales!$DL$1),1)+INT((DAY(Sales!$DL$1)-1)/2)+'Cash Drivers'!DN$13,0)=EOMONTH($AI$1,0),Sales!DN$6*Sales!DN$7,0)+IF(EOMONTH(DATE(YEAR(Sales!$DI$1),MONTH(Sales!$DI$1),1)+INT((DAY(Sales!$DI$1)-1)/2)+'Cash Drivers'!DK$13,0)=EOMONTH($AI$1,0),Sales!DK$6*Sales!DK$7,0)+IF(EOMONTH(DATE(YEAR(Sales!$DF$1),MONTH(Sales!$DF$1),1)+INT((DAY(Sales!$DF$1)-1)/2)+'Cash Drivers'!DH$13,0)=EOMONTH($AI$1,0),Sales!DH$6*Sales!DH$7,0)+IF(EOMONTH(DATE(YEAR(Sales!$DC$1),MONTH(Sales!$DC$1),1)+INT((DAY(Sales!$DC$1)-1)/2)+'Cash Drivers'!DE$13,0)=EOMONTH($AI$1,0),Sales!DE$6*Sales!DE$7,0)+IF(EOMONTH(DATE(YEAR(Sales!$CZ$1),MONTH(Sales!$CZ$1),1)+INT((DAY(Sales!$CZ$1)-1)/2)+'Cash Drivers'!DB$13,0)=EOMONTH($AI$1,0),Sales!DB$6*Sales!DB$7,0)+IF(EOMONTH(DATE(YEAR(Sales!$CW$1),MONTH(Sales!$CW$1),1)+INT((DAY(Sales!$CW$1)-1)/2)+'Cash Drivers'!CY$13,0)=EOMONTH($AI$1,0),Sales!CY$6*Sales!CY$7,0)+IF(EOMONTH(DATE(YEAR(Sales!$CT$1),MONTH(Sales!$CT$1),1)+INT((DAY(Sales!$CT$1)-1)/2)+'Cash Drivers'!CV$13,0)=EOMONTH($AI$1,0),Sales!CV$6*Sales!CV$7,0)+IF(EOMONTH(DATE(YEAR(Sales!$CQ$1),MONTH(Sales!$CQ$1),1)+INT((DAY(Sales!$CQ$1)-1)/2)+'Cash Drivers'!CS$13,0)=EOMONTH($AI$1,0),Sales!CS$6*Sales!CS$7,0)+IF(EOMONTH(DATE(YEAR(Sales!$CN$1),MONTH(Sales!$CN$1),1)+INT((DAY(Sales!$CN$1)-1)/2)+'Cash Drivers'!CP$13,0)=EOMONTH($AI$1,0),Sales!CP$6*Sales!CP$7,0)+IF(EOMONTH(DATE(YEAR(Sales!$CK$1),MONTH(Sales!$CK$1),1)+INT((DAY(Sales!$CK$1)-1)/2)+'Cash Drivers'!CM$13,0)=EOMONTH($AI$1,0),Sales!CM$6*Sales!CM$7,0)+IF(EOMONTH(DATE(YEAR(Sales!$CH$1),MONTH(Sales!$CH$1),1)+INT((DAY(Sales!$CH$1)-1)/2)+'Cash Drivers'!CJ$13,0)=EOMONTH($AI$1,0),Sales!CJ$6*Sales!CJ$7,0)+IF(EOMONTH(DATE(YEAR(Sales!$CE$1),MONTH(Sales!$CE$1),1)+INT((DAY(Sales!$CE$1)-1)/2)+'Cash Drivers'!CG$13,0)=EOMONTH($AI$1,0),Sales!CG$6*Sales!CG$7,0)+IF(EOMONTH(DATE(YEAR(Sales!$CB$1),MONTH(Sales!$CB$1),1)+INT((DAY(Sales!$CB$1)-1)/2)+'Cash Drivers'!CD$13,0)=EOMONTH($AI$1,0),Sales!CD$6*Sales!CD$7,0)+IF(EOMONTH(DATE(YEAR(Sales!$BY$1),MONTH(Sales!$BY$1),1)+INT((DAY(Sales!$BY$1)-1)/2)+'Cash Drivers'!CA$13,0)=EOMONTH($AI$1,0),Sales!CA$6*Sales!CA$7,0)+IF(EOMONTH(DATE(YEAR(Sales!$BV$1),MONTH(Sales!$BV$1),1)+INT((DAY(Sales!$BV$1)-1)/2)+'Cash Drivers'!BX$13,0)=EOMONTH($AI$1,0),Sales!BX$6*Sales!BX$7,0)+IF(EOMONTH(DATE(YEAR(Sales!$BS$1),MONTH(Sales!$BS$1),1)+INT((DAY(Sales!$BS$1)-1)/2)+'Cash Drivers'!BU$13,0)=EOMONTH($AI$1,0),Sales!BU$6*Sales!BU$7,0)+IF(EOMONTH(DATE(YEAR(Sales!$BP$1),MONTH(Sales!$BP$1),1)+INT((DAY(Sales!$BP$1)-1)/2)+'Cash Drivers'!BR$13,0)=EOMONTH($AI$1,0),Sales!BR$6*Sales!BR$7,0)+IF(EOMONTH(DATE(YEAR(Sales!$BM$1),MONTH(Sales!$BM$1),1)+INT((DAY(Sales!$BM$1)-1)/2)+'Cash Drivers'!BO$13,0)=EOMONTH($AI$1,0),Sales!BO$6*Sales!BO$7,0)+IF(EOMONTH(DATE(YEAR(Sales!$BJ$1),MONTH(Sales!$BJ$1),1)+INT((DAY(Sales!$BJ$1)-1)/2)+'Cash Drivers'!BL$13,0)=EOMONTH($AI$1,0),Sales!BL$6*Sales!BL$7,0)+IF(EOMONTH(DATE(YEAR(Sales!$BG$1),MONTH(Sales!$BG$1),1)+INT((DAY(Sales!$BG$1)-1)/2)+'Cash Drivers'!BI$13,0)=EOMONTH($AI$1,0),Sales!BI$6*Sales!BI$7,0)+IF(EOMONTH(DATE(YEAR(Sales!$BD$1),MONTH(Sales!$BD$1),1)+INT((DAY(Sales!$BD$1)-1)/2)+'Cash Drivers'!BF$13,0)=EOMONTH($AI$1,0),Sales!BF$6*Sales!BF$7,0)+IF(EOMONTH(DATE(YEAR(Sales!$BA$1),MONTH(Sales!$BA$1),1)+INT((DAY(Sales!$BA$1)-1)/2)+'Cash Drivers'!BC$13,0)=EOMONTH($AI$1,0),Sales!BC$6*Sales!BC$7,0)+IF(EOMONTH(DATE(YEAR(Sales!$AX$1),MONTH(Sales!$AX$1),1)+INT((DAY(Sales!$AX$1)-1)/2)+'Cash Drivers'!AZ$13,0)=EOMONTH($AI$1,0),Sales!AZ$6*Sales!AZ$7,0)+IF(EOMONTH(DATE(YEAR(Sales!$AU$1),MONTH(Sales!$AU$1),1)+INT((DAY(Sales!$AU$1)-1)/2)+'Cash Drivers'!AW$13,0)=EOMONTH($AI$1,0),Sales!AW$6*Sales!AW$7,0)+IF(EOMONTH(DATE(YEAR(Sales!$AR$1),MONTH(Sales!$AR$1),1)+INT((DAY(Sales!$AR$1)-1)/2)+'Cash Drivers'!AT$13,0)=EOMONTH($AI$1,0),Sales!AT$6*Sales!AT$7,0)+IF(EOMONTH(DATE(YEAR(Sales!$AO$1),MONTH(Sales!$AO$1),1)+INT((DAY(Sales!$AO$1)-1)/2)+'Cash Drivers'!AQ$13,0)=EOMONTH($AI$1,0),Sales!AQ$6*Sales!AQ$7,0)+IF(EOMONTH(DATE(YEAR(Sales!$AL$1),MONTH(Sales!$AL$1),1)+INT((DAY(Sales!$AL$1)-1)/2)+'Cash Drivers'!AN$13,0)=EOMONTH($AI$1,0),Sales!AN$6*Sales!AN$7,0)+IF(EOMONTH(DATE(YEAR(Sales!$AI$1),MONTH(Sales!$AI$1),1)+INT((DAY(Sales!$AI$1)-1)/2)+'Cash Drivers'!AK$13,0)=EOMONTH($AI$1,0),Sales!AK$6*Sales!AK$7,0)+IF(EOMONTH(DATE(YEAR(Sales!$AF$1),MONTH(Sales!$AF$1),1)+INT((DAY(Sales!$AF$1)-1)/2)+'Cash Drivers'!AH$13,0)=EOMONTH($AI$1,0),Sales!AH$6*Sales!AH$7,0)+IF(EOMONTH(DATE(YEAR(Sales!$AC$1),MONTH(Sales!$AC$1),1)+INT((DAY(Sales!$AC$1)-1)/2)+'Cash Drivers'!AE$13,0)=EOMONTH($AI$1,0),Sales!AE$6*Sales!AE$7,0)+IF(EOMONTH(DATE(YEAR(Sales!$Z$1),MONTH(Sales!$Z$1),1)+INT((DAY(Sales!$Z$1)-1)/2)+'Cash Drivers'!AB$13,0)=EOMONTH($AI$1,0),Sales!AB$6*Sales!AB$7,0)+IF(EOMONTH(DATE(YEAR(Sales!$W$1),MONTH(Sales!$W$1),1)+INT((DAY(Sales!$W$1)-1)/2)+'Cash Drivers'!Y$13,0)=EOMONTH($AI$1,0),Sales!Y$6*Sales!Y$7,0)+IF(EOMONTH(DATE(YEAR(Sales!$T$1),MONTH(Sales!$T$1),1)+INT((DAY(Sales!$T$1)-1)/2)+'Cash Drivers'!V$13,0)=EOMONTH($AI$1,0),Sales!V$6*Sales!V$7,0)+IF(EOMONTH(DATE(YEAR(Sales!$Q$1),MONTH(Sales!$Q$1),1)+INT((DAY(Sales!$Q$1)-1)/2)+'Cash Drivers'!S$13,0)=EOMONTH($AI$1,0),Sales!S$6*Sales!S$7,0)+IF(EOMONTH(DATE(YEAR(Sales!$N$1),MONTH(Sales!$N$1),1)+INT((DAY(Sales!$N$1)-1)/2)+'Cash Drivers'!P$13,0)=EOMONTH($AI$1,0),Sales!P$6*Sales!P$7,0)+IF(EOMONTH(DATE(YEAR(Sales!$K$1),MONTH(Sales!$K$1),1)+INT((DAY(Sales!$K$1)-1)/2)+'Cash Drivers'!M$13,0)=EOMONTH($AI$1,0),Sales!M$6*Sales!M$7,0)+IF(EOMONTH('Cash Drivers'!$DL$30+'Cash Drivers'!DN$13,0)=EOMONTH($AI$1,0),'Cash Drivers'!$DL$32*Sales!$DL$60,0),0)</f>
        <v>49932</v>
      </c>
      <c r="AL24" s="58" t="n">
        <f aca="false">ROUND(IF(EOMONTH(DATE(YEAR(Sales!$DL$1),MONTH(Sales!$DL$1),1)+INT((DAY(Sales!$DL$1)-1)/2)+'Cash Drivers'!DL$13,0)=EOMONTH($AL$1,0),Sales!DL$6*Sales!DL$7,0)+IF(EOMONTH(DATE(YEAR(Sales!$DI$1),MONTH(Sales!$DI$1),1)+INT((DAY(Sales!$DI$1)-1)/2)+'Cash Drivers'!DI$13,0)=EOMONTH($AL$1,0),Sales!DI$6*Sales!DI$7,0)+IF(EOMONTH(DATE(YEAR(Sales!$DF$1),MONTH(Sales!$DF$1),1)+INT((DAY(Sales!$DF$1)-1)/2)+'Cash Drivers'!DF$13,0)=EOMONTH($AL$1,0),Sales!DF$6*Sales!DF$7,0)+IF(EOMONTH(DATE(YEAR(Sales!$DC$1),MONTH(Sales!$DC$1),1)+INT((DAY(Sales!$DC$1)-1)/2)+'Cash Drivers'!DC$13,0)=EOMONTH($AL$1,0),Sales!DC$6*Sales!DC$7,0)+IF(EOMONTH(DATE(YEAR(Sales!$CZ$1),MONTH(Sales!$CZ$1),1)+INT((DAY(Sales!$CZ$1)-1)/2)+'Cash Drivers'!CZ$13,0)=EOMONTH($AL$1,0),Sales!CZ$6*Sales!CZ$7,0)+IF(EOMONTH(DATE(YEAR(Sales!$CW$1),MONTH(Sales!$CW$1),1)+INT((DAY(Sales!$CW$1)-1)/2)+'Cash Drivers'!CW$13,0)=EOMONTH($AL$1,0),Sales!CW$6*Sales!CW$7,0)+IF(EOMONTH(DATE(YEAR(Sales!$CT$1),MONTH(Sales!$CT$1),1)+INT((DAY(Sales!$CT$1)-1)/2)+'Cash Drivers'!CT$13,0)=EOMONTH($AL$1,0),Sales!CT$6*Sales!CT$7,0)+IF(EOMONTH(DATE(YEAR(Sales!$CQ$1),MONTH(Sales!$CQ$1),1)+INT((DAY(Sales!$CQ$1)-1)/2)+'Cash Drivers'!CQ$13,0)=EOMONTH($AL$1,0),Sales!CQ$6*Sales!CQ$7,0)+IF(EOMONTH(DATE(YEAR(Sales!$CN$1),MONTH(Sales!$CN$1),1)+INT((DAY(Sales!$CN$1)-1)/2)+'Cash Drivers'!CN$13,0)=EOMONTH($AL$1,0),Sales!CN$6*Sales!CN$7,0)+IF(EOMONTH(DATE(YEAR(Sales!$CK$1),MONTH(Sales!$CK$1),1)+INT((DAY(Sales!$CK$1)-1)/2)+'Cash Drivers'!CK$13,0)=EOMONTH($AL$1,0),Sales!CK$6*Sales!CK$7,0)+IF(EOMONTH(DATE(YEAR(Sales!$CH$1),MONTH(Sales!$CH$1),1)+INT((DAY(Sales!$CH$1)-1)/2)+'Cash Drivers'!CH$13,0)=EOMONTH($AL$1,0),Sales!CH$6*Sales!CH$7,0)+IF(EOMONTH(DATE(YEAR(Sales!$CE$1),MONTH(Sales!$CE$1),1)+INT((DAY(Sales!$CE$1)-1)/2)+'Cash Drivers'!CE$13,0)=EOMONTH($AL$1,0),Sales!CE$6*Sales!CE$7,0)+IF(EOMONTH(DATE(YEAR(Sales!$CB$1),MONTH(Sales!$CB$1),1)+INT((DAY(Sales!$CB$1)-1)/2)+'Cash Drivers'!CB$13,0)=EOMONTH($AL$1,0),Sales!CB$6*Sales!CB$7,0)+IF(EOMONTH(DATE(YEAR(Sales!$BY$1),MONTH(Sales!$BY$1),1)+INT((DAY(Sales!$BY$1)-1)/2)+'Cash Drivers'!BY$13,0)=EOMONTH($AL$1,0),Sales!BY$6*Sales!BY$7,0)+IF(EOMONTH(DATE(YEAR(Sales!$BV$1),MONTH(Sales!$BV$1),1)+INT((DAY(Sales!$BV$1)-1)/2)+'Cash Drivers'!BV$13,0)=EOMONTH($AL$1,0),Sales!BV$6*Sales!BV$7,0)+IF(EOMONTH(DATE(YEAR(Sales!$BS$1),MONTH(Sales!$BS$1),1)+INT((DAY(Sales!$BS$1)-1)/2)+'Cash Drivers'!BS$13,0)=EOMONTH($AL$1,0),Sales!BS$6*Sales!BS$7,0)+IF(EOMONTH(DATE(YEAR(Sales!$BP$1),MONTH(Sales!$BP$1),1)+INT((DAY(Sales!$BP$1)-1)/2)+'Cash Drivers'!BP$13,0)=EOMONTH($AL$1,0),Sales!BP$6*Sales!BP$7,0)+IF(EOMONTH(DATE(YEAR(Sales!$BM$1),MONTH(Sales!$BM$1),1)+INT((DAY(Sales!$BM$1)-1)/2)+'Cash Drivers'!BM$13,0)=EOMONTH($AL$1,0),Sales!BM$6*Sales!BM$7,0)+IF(EOMONTH(DATE(YEAR(Sales!$BJ$1),MONTH(Sales!$BJ$1),1)+INT((DAY(Sales!$BJ$1)-1)/2)+'Cash Drivers'!BJ$13,0)=EOMONTH($AL$1,0),Sales!BJ$6*Sales!BJ$7,0)+IF(EOMONTH(DATE(YEAR(Sales!$BG$1),MONTH(Sales!$BG$1),1)+INT((DAY(Sales!$BG$1)-1)/2)+'Cash Drivers'!BG$13,0)=EOMONTH($AL$1,0),Sales!BG$6*Sales!BG$7,0)+IF(EOMONTH(DATE(YEAR(Sales!$BD$1),MONTH(Sales!$BD$1),1)+INT((DAY(Sales!$BD$1)-1)/2)+'Cash Drivers'!BD$13,0)=EOMONTH($AL$1,0),Sales!BD$6*Sales!BD$7,0)+IF(EOMONTH(DATE(YEAR(Sales!$BA$1),MONTH(Sales!$BA$1),1)+INT((DAY(Sales!$BA$1)-1)/2)+'Cash Drivers'!BA$13,0)=EOMONTH($AL$1,0),Sales!BA$6*Sales!BA$7,0)+IF(EOMONTH(DATE(YEAR(Sales!$AX$1),MONTH(Sales!$AX$1),1)+INT((DAY(Sales!$AX$1)-1)/2)+'Cash Drivers'!AX$13,0)=EOMONTH($AL$1,0),Sales!AX$6*Sales!AX$7,0)+IF(EOMONTH(DATE(YEAR(Sales!$AU$1),MONTH(Sales!$AU$1),1)+INT((DAY(Sales!$AU$1)-1)/2)+'Cash Drivers'!AU$13,0)=EOMONTH($AL$1,0),Sales!AU$6*Sales!AU$7,0)+IF(EOMONTH(DATE(YEAR(Sales!$AR$1),MONTH(Sales!$AR$1),1)+INT((DAY(Sales!$AR$1)-1)/2)+'Cash Drivers'!AR$13,0)=EOMONTH($AL$1,0),Sales!AR$6*Sales!AR$7,0)+IF(EOMONTH(DATE(YEAR(Sales!$AO$1),MONTH(Sales!$AO$1),1)+INT((DAY(Sales!$AO$1)-1)/2)+'Cash Drivers'!AO$13,0)=EOMONTH($AL$1,0),Sales!AO$6*Sales!AO$7,0)+IF(EOMONTH(DATE(YEAR(Sales!$AL$1),MONTH(Sales!$AL$1),1)+INT((DAY(Sales!$AL$1)-1)/2)+'Cash Drivers'!AL$13,0)=EOMONTH($AL$1,0),Sales!AL$6*Sales!AL$7,0)+IF(EOMONTH(DATE(YEAR(Sales!$AI$1),MONTH(Sales!$AI$1),1)+INT((DAY(Sales!$AI$1)-1)/2)+'Cash Drivers'!AI$13,0)=EOMONTH($AL$1,0),Sales!AI$6*Sales!AI$7,0)+IF(EOMONTH(DATE(YEAR(Sales!$AF$1),MONTH(Sales!$AF$1),1)+INT((DAY(Sales!$AF$1)-1)/2)+'Cash Drivers'!AF$13,0)=EOMONTH($AL$1,0),Sales!AF$6*Sales!AF$7,0)+IF(EOMONTH(DATE(YEAR(Sales!$AC$1),MONTH(Sales!$AC$1),1)+INT((DAY(Sales!$AC$1)-1)/2)+'Cash Drivers'!AC$13,0)=EOMONTH($AL$1,0),Sales!AC$6*Sales!AC$7,0)+IF(EOMONTH(DATE(YEAR(Sales!$Z$1),MONTH(Sales!$Z$1),1)+INT((DAY(Sales!$Z$1)-1)/2)+'Cash Drivers'!Z$13,0)=EOMONTH($AL$1,0),Sales!Z$6*Sales!Z$7,0)+IF(EOMONTH(DATE(YEAR(Sales!$W$1),MONTH(Sales!$W$1),1)+INT((DAY(Sales!$W$1)-1)/2)+'Cash Drivers'!W$13,0)=EOMONTH($AL$1,0),Sales!W$6*Sales!W$7,0)+IF(EOMONTH(DATE(YEAR(Sales!$T$1),MONTH(Sales!$T$1),1)+INT((DAY(Sales!$T$1)-1)/2)+'Cash Drivers'!T$13,0)=EOMONTH($AL$1,0),Sales!T$6*Sales!T$7,0)+IF(EOMONTH(DATE(YEAR(Sales!$Q$1),MONTH(Sales!$Q$1),1)+INT((DAY(Sales!$Q$1)-1)/2)+'Cash Drivers'!Q$13,0)=EOMONTH($AL$1,0),Sales!Q$6*Sales!Q$7,0)+IF(EOMONTH(DATE(YEAR(Sales!$N$1),MONTH(Sales!$N$1),1)+INT((DAY(Sales!$N$1)-1)/2)+'Cash Drivers'!N$13,0)=EOMONTH($AL$1,0),Sales!N$6*Sales!N$7,0)+IF(EOMONTH(DATE(YEAR(Sales!$K$1),MONTH(Sales!$K$1),1)+INT((DAY(Sales!$K$1)-1)/2)+'Cash Drivers'!K$13,0)=EOMONTH($AL$1,0),Sales!K$6*Sales!K$7,0)+IF(EOMONTH('Cash Drivers'!$DL$30+'Cash Drivers'!DL$13,0)=EOMONTH($AL$1,0),'Cash Drivers'!$DL$32*Sales!$DL$60,0),0)</f>
        <v>0</v>
      </c>
      <c r="AM24" s="59" t="n">
        <f aca="false">ROUND(IF(EOMONTH(DATE(YEAR(Sales!$DL$1),MONTH(Sales!$DL$1),1)+INT((DAY(Sales!$DL$1)-1)/2)+'Cash Drivers'!DM$13,0)=EOMONTH($AL$1,0),Sales!DM$6*Sales!DM$7,0)+IF(EOMONTH(DATE(YEAR(Sales!$DI$1),MONTH(Sales!$DI$1),1)+INT((DAY(Sales!$DI$1)-1)/2)+'Cash Drivers'!DJ$13,0)=EOMONTH($AL$1,0),Sales!DJ$6*Sales!DJ$7,0)+IF(EOMONTH(DATE(YEAR(Sales!$DF$1),MONTH(Sales!$DF$1),1)+INT((DAY(Sales!$DF$1)-1)/2)+'Cash Drivers'!DG$13,0)=EOMONTH($AL$1,0),Sales!DG$6*Sales!DG$7,0)+IF(EOMONTH(DATE(YEAR(Sales!$DC$1),MONTH(Sales!$DC$1),1)+INT((DAY(Sales!$DC$1)-1)/2)+'Cash Drivers'!DD$13,0)=EOMONTH($AL$1,0),Sales!DD$6*Sales!DD$7,0)+IF(EOMONTH(DATE(YEAR(Sales!$CZ$1),MONTH(Sales!$CZ$1),1)+INT((DAY(Sales!$CZ$1)-1)/2)+'Cash Drivers'!DA$13,0)=EOMONTH($AL$1,0),Sales!DA$6*Sales!DA$7,0)+IF(EOMONTH(DATE(YEAR(Sales!$CW$1),MONTH(Sales!$CW$1),1)+INT((DAY(Sales!$CW$1)-1)/2)+'Cash Drivers'!CX$13,0)=EOMONTH($AL$1,0),Sales!CX$6*Sales!CX$7,0)+IF(EOMONTH(DATE(YEAR(Sales!$CT$1),MONTH(Sales!$CT$1),1)+INT((DAY(Sales!$CT$1)-1)/2)+'Cash Drivers'!CU$13,0)=EOMONTH($AL$1,0),Sales!CU$6*Sales!CU$7,0)+IF(EOMONTH(DATE(YEAR(Sales!$CQ$1),MONTH(Sales!$CQ$1),1)+INT((DAY(Sales!$CQ$1)-1)/2)+'Cash Drivers'!CR$13,0)=EOMONTH($AL$1,0),Sales!CR$6*Sales!CR$7,0)+IF(EOMONTH(DATE(YEAR(Sales!$CN$1),MONTH(Sales!$CN$1),1)+INT((DAY(Sales!$CN$1)-1)/2)+'Cash Drivers'!CO$13,0)=EOMONTH($AL$1,0),Sales!CO$6*Sales!CO$7,0)+IF(EOMONTH(DATE(YEAR(Sales!$CK$1),MONTH(Sales!$CK$1),1)+INT((DAY(Sales!$CK$1)-1)/2)+'Cash Drivers'!CL$13,0)=EOMONTH($AL$1,0),Sales!CL$6*Sales!CL$7,0)+IF(EOMONTH(DATE(YEAR(Sales!$CH$1),MONTH(Sales!$CH$1),1)+INT((DAY(Sales!$CH$1)-1)/2)+'Cash Drivers'!CI$13,0)=EOMONTH($AL$1,0),Sales!CI$6*Sales!CI$7,0)+IF(EOMONTH(DATE(YEAR(Sales!$CE$1),MONTH(Sales!$CE$1),1)+INT((DAY(Sales!$CE$1)-1)/2)+'Cash Drivers'!CF$13,0)=EOMONTH($AL$1,0),Sales!CF$6*Sales!CF$7,0)+IF(EOMONTH(DATE(YEAR(Sales!$CB$1),MONTH(Sales!$CB$1),1)+INT((DAY(Sales!$CB$1)-1)/2)+'Cash Drivers'!CC$13,0)=EOMONTH($AL$1,0),Sales!CC$6*Sales!CC$7,0)+IF(EOMONTH(DATE(YEAR(Sales!$BY$1),MONTH(Sales!$BY$1),1)+INT((DAY(Sales!$BY$1)-1)/2)+'Cash Drivers'!BZ$13,0)=EOMONTH($AL$1,0),Sales!BZ$6*Sales!BZ$7,0)+IF(EOMONTH(DATE(YEAR(Sales!$BV$1),MONTH(Sales!$BV$1),1)+INT((DAY(Sales!$BV$1)-1)/2)+'Cash Drivers'!BW$13,0)=EOMONTH($AL$1,0),Sales!BW$6*Sales!BW$7,0)+IF(EOMONTH(DATE(YEAR(Sales!$BS$1),MONTH(Sales!$BS$1),1)+INT((DAY(Sales!$BS$1)-1)/2)+'Cash Drivers'!BT$13,0)=EOMONTH($AL$1,0),Sales!BT$6*Sales!BT$7,0)+IF(EOMONTH(DATE(YEAR(Sales!$BP$1),MONTH(Sales!$BP$1),1)+INT((DAY(Sales!$BP$1)-1)/2)+'Cash Drivers'!BQ$13,0)=EOMONTH($AL$1,0),Sales!BQ$6*Sales!BQ$7,0)+IF(EOMONTH(DATE(YEAR(Sales!$BM$1),MONTH(Sales!$BM$1),1)+INT((DAY(Sales!$BM$1)-1)/2)+'Cash Drivers'!BN$13,0)=EOMONTH($AL$1,0),Sales!BN$6*Sales!BN$7,0)+IF(EOMONTH(DATE(YEAR(Sales!$BJ$1),MONTH(Sales!$BJ$1),1)+INT((DAY(Sales!$BJ$1)-1)/2)+'Cash Drivers'!BK$13,0)=EOMONTH($AL$1,0),Sales!BK$6*Sales!BK$7,0)+IF(EOMONTH(DATE(YEAR(Sales!$BG$1),MONTH(Sales!$BG$1),1)+INT((DAY(Sales!$BG$1)-1)/2)+'Cash Drivers'!BH$13,0)=EOMONTH($AL$1,0),Sales!BH$6*Sales!BH$7,0)+IF(EOMONTH(DATE(YEAR(Sales!$BD$1),MONTH(Sales!$BD$1),1)+INT((DAY(Sales!$BD$1)-1)/2)+'Cash Drivers'!BE$13,0)=EOMONTH($AL$1,0),Sales!BE$6*Sales!BE$7,0)+IF(EOMONTH(DATE(YEAR(Sales!$BA$1),MONTH(Sales!$BA$1),1)+INT((DAY(Sales!$BA$1)-1)/2)+'Cash Drivers'!BB$13,0)=EOMONTH($AL$1,0),Sales!BB$6*Sales!BB$7,0)+IF(EOMONTH(DATE(YEAR(Sales!$AX$1),MONTH(Sales!$AX$1),1)+INT((DAY(Sales!$AX$1)-1)/2)+'Cash Drivers'!AY$13,0)=EOMONTH($AL$1,0),Sales!AY$6*Sales!AY$7,0)+IF(EOMONTH(DATE(YEAR(Sales!$AU$1),MONTH(Sales!$AU$1),1)+INT((DAY(Sales!$AU$1)-1)/2)+'Cash Drivers'!AV$13,0)=EOMONTH($AL$1,0),Sales!AV$6*Sales!AV$7,0)+IF(EOMONTH(DATE(YEAR(Sales!$AR$1),MONTH(Sales!$AR$1),1)+INT((DAY(Sales!$AR$1)-1)/2)+'Cash Drivers'!AS$13,0)=EOMONTH($AL$1,0),Sales!AS$6*Sales!AS$7,0)+IF(EOMONTH(DATE(YEAR(Sales!$AO$1),MONTH(Sales!$AO$1),1)+INT((DAY(Sales!$AO$1)-1)/2)+'Cash Drivers'!AP$13,0)=EOMONTH($AL$1,0),Sales!AP$6*Sales!AP$7,0)+IF(EOMONTH(DATE(YEAR(Sales!$AL$1),MONTH(Sales!$AL$1),1)+INT((DAY(Sales!$AL$1)-1)/2)+'Cash Drivers'!AM$13,0)=EOMONTH($AL$1,0),Sales!AM$6*Sales!AM$7,0)+IF(EOMONTH(DATE(YEAR(Sales!$AI$1),MONTH(Sales!$AI$1),1)+INT((DAY(Sales!$AI$1)-1)/2)+'Cash Drivers'!AJ$13,0)=EOMONTH($AL$1,0),Sales!AJ$6*Sales!AJ$7,0)+IF(EOMONTH(DATE(YEAR(Sales!$AF$1),MONTH(Sales!$AF$1),1)+INT((DAY(Sales!$AF$1)-1)/2)+'Cash Drivers'!AG$13,0)=EOMONTH($AL$1,0),Sales!AG$6*Sales!AG$7,0)+IF(EOMONTH(DATE(YEAR(Sales!$AC$1),MONTH(Sales!$AC$1),1)+INT((DAY(Sales!$AC$1)-1)/2)+'Cash Drivers'!AD$13,0)=EOMONTH($AL$1,0),Sales!AD$6*Sales!AD$7,0)+IF(EOMONTH(DATE(YEAR(Sales!$Z$1),MONTH(Sales!$Z$1),1)+INT((DAY(Sales!$Z$1)-1)/2)+'Cash Drivers'!AA$13,0)=EOMONTH($AL$1,0),Sales!AA$6*Sales!AA$7,0)+IF(EOMONTH(DATE(YEAR(Sales!$W$1),MONTH(Sales!$W$1),1)+INT((DAY(Sales!$W$1)-1)/2)+'Cash Drivers'!X$13,0)=EOMONTH($AL$1,0),Sales!X$6*Sales!X$7,0)+IF(EOMONTH(DATE(YEAR(Sales!$T$1),MONTH(Sales!$T$1),1)+INT((DAY(Sales!$T$1)-1)/2)+'Cash Drivers'!U$13,0)=EOMONTH($AL$1,0),Sales!U$6*Sales!U$7,0)+IF(EOMONTH(DATE(YEAR(Sales!$Q$1),MONTH(Sales!$Q$1),1)+INT((DAY(Sales!$Q$1)-1)/2)+'Cash Drivers'!R$13,0)=EOMONTH($AL$1,0),Sales!R$6*Sales!R$7,0)+IF(EOMONTH(DATE(YEAR(Sales!$N$1),MONTH(Sales!$N$1),1)+INT((DAY(Sales!$N$1)-1)/2)+'Cash Drivers'!O$13,0)=EOMONTH($AL$1,0),Sales!O$6*Sales!O$7,0)+IF(EOMONTH(DATE(YEAR(Sales!$K$1),MONTH(Sales!$K$1),1)+INT((DAY(Sales!$K$1)-1)/2)+'Cash Drivers'!L$13,0)=EOMONTH($AL$1,0),Sales!L$6*Sales!L$7,0)+IF(EOMONTH('Cash Drivers'!$DL$30+'Cash Drivers'!DM$13,0)=EOMONTH($AL$1,0),'Cash Drivers'!$DL$32*Sales!$DL$60,0),0)</f>
        <v>49533</v>
      </c>
      <c r="AN24" s="60" t="n">
        <f aca="false">ROUND(IF(EOMONTH(DATE(YEAR(Sales!$DL$1),MONTH(Sales!$DL$1),1)+INT((DAY(Sales!$DL$1)-1)/2)+'Cash Drivers'!DN$13,0)=EOMONTH($AL$1,0),Sales!DN$6*Sales!DN$7,0)+IF(EOMONTH(DATE(YEAR(Sales!$DI$1),MONTH(Sales!$DI$1),1)+INT((DAY(Sales!$DI$1)-1)/2)+'Cash Drivers'!DK$13,0)=EOMONTH($AL$1,0),Sales!DK$6*Sales!DK$7,0)+IF(EOMONTH(DATE(YEAR(Sales!$DF$1),MONTH(Sales!$DF$1),1)+INT((DAY(Sales!$DF$1)-1)/2)+'Cash Drivers'!DH$13,0)=EOMONTH($AL$1,0),Sales!DH$6*Sales!DH$7,0)+IF(EOMONTH(DATE(YEAR(Sales!$DC$1),MONTH(Sales!$DC$1),1)+INT((DAY(Sales!$DC$1)-1)/2)+'Cash Drivers'!DE$13,0)=EOMONTH($AL$1,0),Sales!DE$6*Sales!DE$7,0)+IF(EOMONTH(DATE(YEAR(Sales!$CZ$1),MONTH(Sales!$CZ$1),1)+INT((DAY(Sales!$CZ$1)-1)/2)+'Cash Drivers'!DB$13,0)=EOMONTH($AL$1,0),Sales!DB$6*Sales!DB$7,0)+IF(EOMONTH(DATE(YEAR(Sales!$CW$1),MONTH(Sales!$CW$1),1)+INT((DAY(Sales!$CW$1)-1)/2)+'Cash Drivers'!CY$13,0)=EOMONTH($AL$1,0),Sales!CY$6*Sales!CY$7,0)+IF(EOMONTH(DATE(YEAR(Sales!$CT$1),MONTH(Sales!$CT$1),1)+INT((DAY(Sales!$CT$1)-1)/2)+'Cash Drivers'!CV$13,0)=EOMONTH($AL$1,0),Sales!CV$6*Sales!CV$7,0)+IF(EOMONTH(DATE(YEAR(Sales!$CQ$1),MONTH(Sales!$CQ$1),1)+INT((DAY(Sales!$CQ$1)-1)/2)+'Cash Drivers'!CS$13,0)=EOMONTH($AL$1,0),Sales!CS$6*Sales!CS$7,0)+IF(EOMONTH(DATE(YEAR(Sales!$CN$1),MONTH(Sales!$CN$1),1)+INT((DAY(Sales!$CN$1)-1)/2)+'Cash Drivers'!CP$13,0)=EOMONTH($AL$1,0),Sales!CP$6*Sales!CP$7,0)+IF(EOMONTH(DATE(YEAR(Sales!$CK$1),MONTH(Sales!$CK$1),1)+INT((DAY(Sales!$CK$1)-1)/2)+'Cash Drivers'!CM$13,0)=EOMONTH($AL$1,0),Sales!CM$6*Sales!CM$7,0)+IF(EOMONTH(DATE(YEAR(Sales!$CH$1),MONTH(Sales!$CH$1),1)+INT((DAY(Sales!$CH$1)-1)/2)+'Cash Drivers'!CJ$13,0)=EOMONTH($AL$1,0),Sales!CJ$6*Sales!CJ$7,0)+IF(EOMONTH(DATE(YEAR(Sales!$CE$1),MONTH(Sales!$CE$1),1)+INT((DAY(Sales!$CE$1)-1)/2)+'Cash Drivers'!CG$13,0)=EOMONTH($AL$1,0),Sales!CG$6*Sales!CG$7,0)+IF(EOMONTH(DATE(YEAR(Sales!$CB$1),MONTH(Sales!$CB$1),1)+INT((DAY(Sales!$CB$1)-1)/2)+'Cash Drivers'!CD$13,0)=EOMONTH($AL$1,0),Sales!CD$6*Sales!CD$7,0)+IF(EOMONTH(DATE(YEAR(Sales!$BY$1),MONTH(Sales!$BY$1),1)+INT((DAY(Sales!$BY$1)-1)/2)+'Cash Drivers'!CA$13,0)=EOMONTH($AL$1,0),Sales!CA$6*Sales!CA$7,0)+IF(EOMONTH(DATE(YEAR(Sales!$BV$1),MONTH(Sales!$BV$1),1)+INT((DAY(Sales!$BV$1)-1)/2)+'Cash Drivers'!BX$13,0)=EOMONTH($AL$1,0),Sales!BX$6*Sales!BX$7,0)+IF(EOMONTH(DATE(YEAR(Sales!$BS$1),MONTH(Sales!$BS$1),1)+INT((DAY(Sales!$BS$1)-1)/2)+'Cash Drivers'!BU$13,0)=EOMONTH($AL$1,0),Sales!BU$6*Sales!BU$7,0)+IF(EOMONTH(DATE(YEAR(Sales!$BP$1),MONTH(Sales!$BP$1),1)+INT((DAY(Sales!$BP$1)-1)/2)+'Cash Drivers'!BR$13,0)=EOMONTH($AL$1,0),Sales!BR$6*Sales!BR$7,0)+IF(EOMONTH(DATE(YEAR(Sales!$BM$1),MONTH(Sales!$BM$1),1)+INT((DAY(Sales!$BM$1)-1)/2)+'Cash Drivers'!BO$13,0)=EOMONTH($AL$1,0),Sales!BO$6*Sales!BO$7,0)+IF(EOMONTH(DATE(YEAR(Sales!$BJ$1),MONTH(Sales!$BJ$1),1)+INT((DAY(Sales!$BJ$1)-1)/2)+'Cash Drivers'!BL$13,0)=EOMONTH($AL$1,0),Sales!BL$6*Sales!BL$7,0)+IF(EOMONTH(DATE(YEAR(Sales!$BG$1),MONTH(Sales!$BG$1),1)+INT((DAY(Sales!$BG$1)-1)/2)+'Cash Drivers'!BI$13,0)=EOMONTH($AL$1,0),Sales!BI$6*Sales!BI$7,0)+IF(EOMONTH(DATE(YEAR(Sales!$BD$1),MONTH(Sales!$BD$1),1)+INT((DAY(Sales!$BD$1)-1)/2)+'Cash Drivers'!BF$13,0)=EOMONTH($AL$1,0),Sales!BF$6*Sales!BF$7,0)+IF(EOMONTH(DATE(YEAR(Sales!$BA$1),MONTH(Sales!$BA$1),1)+INT((DAY(Sales!$BA$1)-1)/2)+'Cash Drivers'!BC$13,0)=EOMONTH($AL$1,0),Sales!BC$6*Sales!BC$7,0)+IF(EOMONTH(DATE(YEAR(Sales!$AX$1),MONTH(Sales!$AX$1),1)+INT((DAY(Sales!$AX$1)-1)/2)+'Cash Drivers'!AZ$13,0)=EOMONTH($AL$1,0),Sales!AZ$6*Sales!AZ$7,0)+IF(EOMONTH(DATE(YEAR(Sales!$AU$1),MONTH(Sales!$AU$1),1)+INT((DAY(Sales!$AU$1)-1)/2)+'Cash Drivers'!AW$13,0)=EOMONTH($AL$1,0),Sales!AW$6*Sales!AW$7,0)+IF(EOMONTH(DATE(YEAR(Sales!$AR$1),MONTH(Sales!$AR$1),1)+INT((DAY(Sales!$AR$1)-1)/2)+'Cash Drivers'!AT$13,0)=EOMONTH($AL$1,0),Sales!AT$6*Sales!AT$7,0)+IF(EOMONTH(DATE(YEAR(Sales!$AO$1),MONTH(Sales!$AO$1),1)+INT((DAY(Sales!$AO$1)-1)/2)+'Cash Drivers'!AQ$13,0)=EOMONTH($AL$1,0),Sales!AQ$6*Sales!AQ$7,0)+IF(EOMONTH(DATE(YEAR(Sales!$AL$1),MONTH(Sales!$AL$1),1)+INT((DAY(Sales!$AL$1)-1)/2)+'Cash Drivers'!AN$13,0)=EOMONTH($AL$1,0),Sales!AN$6*Sales!AN$7,0)+IF(EOMONTH(DATE(YEAR(Sales!$AI$1),MONTH(Sales!$AI$1),1)+INT((DAY(Sales!$AI$1)-1)/2)+'Cash Drivers'!AK$13,0)=EOMONTH($AL$1,0),Sales!AK$6*Sales!AK$7,0)+IF(EOMONTH(DATE(YEAR(Sales!$AF$1),MONTH(Sales!$AF$1),1)+INT((DAY(Sales!$AF$1)-1)/2)+'Cash Drivers'!AH$13,0)=EOMONTH($AL$1,0),Sales!AH$6*Sales!AH$7,0)+IF(EOMONTH(DATE(YEAR(Sales!$AC$1),MONTH(Sales!$AC$1),1)+INT((DAY(Sales!$AC$1)-1)/2)+'Cash Drivers'!AE$13,0)=EOMONTH($AL$1,0),Sales!AE$6*Sales!AE$7,0)+IF(EOMONTH(DATE(YEAR(Sales!$Z$1),MONTH(Sales!$Z$1),1)+INT((DAY(Sales!$Z$1)-1)/2)+'Cash Drivers'!AB$13,0)=EOMONTH($AL$1,0),Sales!AB$6*Sales!AB$7,0)+IF(EOMONTH(DATE(YEAR(Sales!$W$1),MONTH(Sales!$W$1),1)+INT((DAY(Sales!$W$1)-1)/2)+'Cash Drivers'!Y$13,0)=EOMONTH($AL$1,0),Sales!Y$6*Sales!Y$7,0)+IF(EOMONTH(DATE(YEAR(Sales!$T$1),MONTH(Sales!$T$1),1)+INT((DAY(Sales!$T$1)-1)/2)+'Cash Drivers'!V$13,0)=EOMONTH($AL$1,0),Sales!V$6*Sales!V$7,0)+IF(EOMONTH(DATE(YEAR(Sales!$Q$1),MONTH(Sales!$Q$1),1)+INT((DAY(Sales!$Q$1)-1)/2)+'Cash Drivers'!S$13,0)=EOMONTH($AL$1,0),Sales!S$6*Sales!S$7,0)+IF(EOMONTH(DATE(YEAR(Sales!$N$1),MONTH(Sales!$N$1),1)+INT((DAY(Sales!$N$1)-1)/2)+'Cash Drivers'!P$13,0)=EOMONTH($AL$1,0),Sales!P$6*Sales!P$7,0)+IF(EOMONTH(DATE(YEAR(Sales!$K$1),MONTH(Sales!$K$1),1)+INT((DAY(Sales!$K$1)-1)/2)+'Cash Drivers'!M$13,0)=EOMONTH($AL$1,0),Sales!M$6*Sales!M$7,0)+IF(EOMONTH('Cash Drivers'!$DL$30+'Cash Drivers'!DN$13,0)=EOMONTH($AL$1,0),'Cash Drivers'!$DL$32*Sales!$DL$60,0),0)</f>
        <v>49647</v>
      </c>
      <c r="AO24" s="58" t="n">
        <f aca="false">ROUND(IF(EOMONTH(DATE(YEAR(Sales!$DL$1),MONTH(Sales!$DL$1),1)+INT((DAY(Sales!$DL$1)-1)/2)+'Cash Drivers'!DL$13,0)=EOMONTH($AO$1,0),Sales!DL$6*Sales!DL$7,0)+IF(EOMONTH(DATE(YEAR(Sales!$DI$1),MONTH(Sales!$DI$1),1)+INT((DAY(Sales!$DI$1)-1)/2)+'Cash Drivers'!DI$13,0)=EOMONTH($AO$1,0),Sales!DI$6*Sales!DI$7,0)+IF(EOMONTH(DATE(YEAR(Sales!$DF$1),MONTH(Sales!$DF$1),1)+INT((DAY(Sales!$DF$1)-1)/2)+'Cash Drivers'!DF$13,0)=EOMONTH($AO$1,0),Sales!DF$6*Sales!DF$7,0)+IF(EOMONTH(DATE(YEAR(Sales!$DC$1),MONTH(Sales!$DC$1),1)+INT((DAY(Sales!$DC$1)-1)/2)+'Cash Drivers'!DC$13,0)=EOMONTH($AO$1,0),Sales!DC$6*Sales!DC$7,0)+IF(EOMONTH(DATE(YEAR(Sales!$CZ$1),MONTH(Sales!$CZ$1),1)+INT((DAY(Sales!$CZ$1)-1)/2)+'Cash Drivers'!CZ$13,0)=EOMONTH($AO$1,0),Sales!CZ$6*Sales!CZ$7,0)+IF(EOMONTH(DATE(YEAR(Sales!$CW$1),MONTH(Sales!$CW$1),1)+INT((DAY(Sales!$CW$1)-1)/2)+'Cash Drivers'!CW$13,0)=EOMONTH($AO$1,0),Sales!CW$6*Sales!CW$7,0)+IF(EOMONTH(DATE(YEAR(Sales!$CT$1),MONTH(Sales!$CT$1),1)+INT((DAY(Sales!$CT$1)-1)/2)+'Cash Drivers'!CT$13,0)=EOMONTH($AO$1,0),Sales!CT$6*Sales!CT$7,0)+IF(EOMONTH(DATE(YEAR(Sales!$CQ$1),MONTH(Sales!$CQ$1),1)+INT((DAY(Sales!$CQ$1)-1)/2)+'Cash Drivers'!CQ$13,0)=EOMONTH($AO$1,0),Sales!CQ$6*Sales!CQ$7,0)+IF(EOMONTH(DATE(YEAR(Sales!$CN$1),MONTH(Sales!$CN$1),1)+INT((DAY(Sales!$CN$1)-1)/2)+'Cash Drivers'!CN$13,0)=EOMONTH($AO$1,0),Sales!CN$6*Sales!CN$7,0)+IF(EOMONTH(DATE(YEAR(Sales!$CK$1),MONTH(Sales!$CK$1),1)+INT((DAY(Sales!$CK$1)-1)/2)+'Cash Drivers'!CK$13,0)=EOMONTH($AO$1,0),Sales!CK$6*Sales!CK$7,0)+IF(EOMONTH(DATE(YEAR(Sales!$CH$1),MONTH(Sales!$CH$1),1)+INT((DAY(Sales!$CH$1)-1)/2)+'Cash Drivers'!CH$13,0)=EOMONTH($AO$1,0),Sales!CH$6*Sales!CH$7,0)+IF(EOMONTH(DATE(YEAR(Sales!$CE$1),MONTH(Sales!$CE$1),1)+INT((DAY(Sales!$CE$1)-1)/2)+'Cash Drivers'!CE$13,0)=EOMONTH($AO$1,0),Sales!CE$6*Sales!CE$7,0)+IF(EOMONTH(DATE(YEAR(Sales!$CB$1),MONTH(Sales!$CB$1),1)+INT((DAY(Sales!$CB$1)-1)/2)+'Cash Drivers'!CB$13,0)=EOMONTH($AO$1,0),Sales!CB$6*Sales!CB$7,0)+IF(EOMONTH(DATE(YEAR(Sales!$BY$1),MONTH(Sales!$BY$1),1)+INT((DAY(Sales!$BY$1)-1)/2)+'Cash Drivers'!BY$13,0)=EOMONTH($AO$1,0),Sales!BY$6*Sales!BY$7,0)+IF(EOMONTH(DATE(YEAR(Sales!$BV$1),MONTH(Sales!$BV$1),1)+INT((DAY(Sales!$BV$1)-1)/2)+'Cash Drivers'!BV$13,0)=EOMONTH($AO$1,0),Sales!BV$6*Sales!BV$7,0)+IF(EOMONTH(DATE(YEAR(Sales!$BS$1),MONTH(Sales!$BS$1),1)+INT((DAY(Sales!$BS$1)-1)/2)+'Cash Drivers'!BS$13,0)=EOMONTH($AO$1,0),Sales!BS$6*Sales!BS$7,0)+IF(EOMONTH(DATE(YEAR(Sales!$BP$1),MONTH(Sales!$BP$1),1)+INT((DAY(Sales!$BP$1)-1)/2)+'Cash Drivers'!BP$13,0)=EOMONTH($AO$1,0),Sales!BP$6*Sales!BP$7,0)+IF(EOMONTH(DATE(YEAR(Sales!$BM$1),MONTH(Sales!$BM$1),1)+INT((DAY(Sales!$BM$1)-1)/2)+'Cash Drivers'!BM$13,0)=EOMONTH($AO$1,0),Sales!BM$6*Sales!BM$7,0)+IF(EOMONTH(DATE(YEAR(Sales!$BJ$1),MONTH(Sales!$BJ$1),1)+INT((DAY(Sales!$BJ$1)-1)/2)+'Cash Drivers'!BJ$13,0)=EOMONTH($AO$1,0),Sales!BJ$6*Sales!BJ$7,0)+IF(EOMONTH(DATE(YEAR(Sales!$BG$1),MONTH(Sales!$BG$1),1)+INT((DAY(Sales!$BG$1)-1)/2)+'Cash Drivers'!BG$13,0)=EOMONTH($AO$1,0),Sales!BG$6*Sales!BG$7,0)+IF(EOMONTH(DATE(YEAR(Sales!$BD$1),MONTH(Sales!$BD$1),1)+INT((DAY(Sales!$BD$1)-1)/2)+'Cash Drivers'!BD$13,0)=EOMONTH($AO$1,0),Sales!BD$6*Sales!BD$7,0)+IF(EOMONTH(DATE(YEAR(Sales!$BA$1),MONTH(Sales!$BA$1),1)+INT((DAY(Sales!$BA$1)-1)/2)+'Cash Drivers'!BA$13,0)=EOMONTH($AO$1,0),Sales!BA$6*Sales!BA$7,0)+IF(EOMONTH(DATE(YEAR(Sales!$AX$1),MONTH(Sales!$AX$1),1)+INT((DAY(Sales!$AX$1)-1)/2)+'Cash Drivers'!AX$13,0)=EOMONTH($AO$1,0),Sales!AX$6*Sales!AX$7,0)+IF(EOMONTH(DATE(YEAR(Sales!$AU$1),MONTH(Sales!$AU$1),1)+INT((DAY(Sales!$AU$1)-1)/2)+'Cash Drivers'!AU$13,0)=EOMONTH($AO$1,0),Sales!AU$6*Sales!AU$7,0)+IF(EOMONTH(DATE(YEAR(Sales!$AR$1),MONTH(Sales!$AR$1),1)+INT((DAY(Sales!$AR$1)-1)/2)+'Cash Drivers'!AR$13,0)=EOMONTH($AO$1,0),Sales!AR$6*Sales!AR$7,0)+IF(EOMONTH(DATE(YEAR(Sales!$AO$1),MONTH(Sales!$AO$1),1)+INT((DAY(Sales!$AO$1)-1)/2)+'Cash Drivers'!AO$13,0)=EOMONTH($AO$1,0),Sales!AO$6*Sales!AO$7,0)+IF(EOMONTH(DATE(YEAR(Sales!$AL$1),MONTH(Sales!$AL$1),1)+INT((DAY(Sales!$AL$1)-1)/2)+'Cash Drivers'!AL$13,0)=EOMONTH($AO$1,0),Sales!AL$6*Sales!AL$7,0)+IF(EOMONTH(DATE(YEAR(Sales!$AI$1),MONTH(Sales!$AI$1),1)+INT((DAY(Sales!$AI$1)-1)/2)+'Cash Drivers'!AI$13,0)=EOMONTH($AO$1,0),Sales!AI$6*Sales!AI$7,0)+IF(EOMONTH(DATE(YEAR(Sales!$AF$1),MONTH(Sales!$AF$1),1)+INT((DAY(Sales!$AF$1)-1)/2)+'Cash Drivers'!AF$13,0)=EOMONTH($AO$1,0),Sales!AF$6*Sales!AF$7,0)+IF(EOMONTH(DATE(YEAR(Sales!$AC$1),MONTH(Sales!$AC$1),1)+INT((DAY(Sales!$AC$1)-1)/2)+'Cash Drivers'!AC$13,0)=EOMONTH($AO$1,0),Sales!AC$6*Sales!AC$7,0)+IF(EOMONTH(DATE(YEAR(Sales!$Z$1),MONTH(Sales!$Z$1),1)+INT((DAY(Sales!$Z$1)-1)/2)+'Cash Drivers'!Z$13,0)=EOMONTH($AO$1,0),Sales!Z$6*Sales!Z$7,0)+IF(EOMONTH(DATE(YEAR(Sales!$W$1),MONTH(Sales!$W$1),1)+INT((DAY(Sales!$W$1)-1)/2)+'Cash Drivers'!W$13,0)=EOMONTH($AO$1,0),Sales!W$6*Sales!W$7,0)+IF(EOMONTH(DATE(YEAR(Sales!$T$1),MONTH(Sales!$T$1),1)+INT((DAY(Sales!$T$1)-1)/2)+'Cash Drivers'!T$13,0)=EOMONTH($AO$1,0),Sales!T$6*Sales!T$7,0)+IF(EOMONTH(DATE(YEAR(Sales!$Q$1),MONTH(Sales!$Q$1),1)+INT((DAY(Sales!$Q$1)-1)/2)+'Cash Drivers'!Q$13,0)=EOMONTH($AO$1,0),Sales!Q$6*Sales!Q$7,0)+IF(EOMONTH(DATE(YEAR(Sales!$N$1),MONTH(Sales!$N$1),1)+INT((DAY(Sales!$N$1)-1)/2)+'Cash Drivers'!N$13,0)=EOMONTH($AO$1,0),Sales!N$6*Sales!N$7,0)+IF(EOMONTH(DATE(YEAR(Sales!$K$1),MONTH(Sales!$K$1),1)+INT((DAY(Sales!$K$1)-1)/2)+'Cash Drivers'!K$13,0)=EOMONTH($AO$1,0),Sales!K$6*Sales!K$7,0)+IF(EOMONTH('Cash Drivers'!$DL$30+'Cash Drivers'!DL$13,0)=EOMONTH($AO$1,0),'Cash Drivers'!$DL$32*Sales!$DL$60,0),0)</f>
        <v>0</v>
      </c>
      <c r="AP24" s="59" t="n">
        <f aca="false">ROUND(IF(EOMONTH(DATE(YEAR(Sales!$DL$1),MONTH(Sales!$DL$1),1)+INT((DAY(Sales!$DL$1)-1)/2)+'Cash Drivers'!DM$13,0)=EOMONTH($AO$1,0),Sales!DM$6*Sales!DM$7,0)+IF(EOMONTH(DATE(YEAR(Sales!$DI$1),MONTH(Sales!$DI$1),1)+INT((DAY(Sales!$DI$1)-1)/2)+'Cash Drivers'!DJ$13,0)=EOMONTH($AO$1,0),Sales!DJ$6*Sales!DJ$7,0)+IF(EOMONTH(DATE(YEAR(Sales!$DF$1),MONTH(Sales!$DF$1),1)+INT((DAY(Sales!$DF$1)-1)/2)+'Cash Drivers'!DG$13,0)=EOMONTH($AO$1,0),Sales!DG$6*Sales!DG$7,0)+IF(EOMONTH(DATE(YEAR(Sales!$DC$1),MONTH(Sales!$DC$1),1)+INT((DAY(Sales!$DC$1)-1)/2)+'Cash Drivers'!DD$13,0)=EOMONTH($AO$1,0),Sales!DD$6*Sales!DD$7,0)+IF(EOMONTH(DATE(YEAR(Sales!$CZ$1),MONTH(Sales!$CZ$1),1)+INT((DAY(Sales!$CZ$1)-1)/2)+'Cash Drivers'!DA$13,0)=EOMONTH($AO$1,0),Sales!DA$6*Sales!DA$7,0)+IF(EOMONTH(DATE(YEAR(Sales!$CW$1),MONTH(Sales!$CW$1),1)+INT((DAY(Sales!$CW$1)-1)/2)+'Cash Drivers'!CX$13,0)=EOMONTH($AO$1,0),Sales!CX$6*Sales!CX$7,0)+IF(EOMONTH(DATE(YEAR(Sales!$CT$1),MONTH(Sales!$CT$1),1)+INT((DAY(Sales!$CT$1)-1)/2)+'Cash Drivers'!CU$13,0)=EOMONTH($AO$1,0),Sales!CU$6*Sales!CU$7,0)+IF(EOMONTH(DATE(YEAR(Sales!$CQ$1),MONTH(Sales!$CQ$1),1)+INT((DAY(Sales!$CQ$1)-1)/2)+'Cash Drivers'!CR$13,0)=EOMONTH($AO$1,0),Sales!CR$6*Sales!CR$7,0)+IF(EOMONTH(DATE(YEAR(Sales!$CN$1),MONTH(Sales!$CN$1),1)+INT((DAY(Sales!$CN$1)-1)/2)+'Cash Drivers'!CO$13,0)=EOMONTH($AO$1,0),Sales!CO$6*Sales!CO$7,0)+IF(EOMONTH(DATE(YEAR(Sales!$CK$1),MONTH(Sales!$CK$1),1)+INT((DAY(Sales!$CK$1)-1)/2)+'Cash Drivers'!CL$13,0)=EOMONTH($AO$1,0),Sales!CL$6*Sales!CL$7,0)+IF(EOMONTH(DATE(YEAR(Sales!$CH$1),MONTH(Sales!$CH$1),1)+INT((DAY(Sales!$CH$1)-1)/2)+'Cash Drivers'!CI$13,0)=EOMONTH($AO$1,0),Sales!CI$6*Sales!CI$7,0)+IF(EOMONTH(DATE(YEAR(Sales!$CE$1),MONTH(Sales!$CE$1),1)+INT((DAY(Sales!$CE$1)-1)/2)+'Cash Drivers'!CF$13,0)=EOMONTH($AO$1,0),Sales!CF$6*Sales!CF$7,0)+IF(EOMONTH(DATE(YEAR(Sales!$CB$1),MONTH(Sales!$CB$1),1)+INT((DAY(Sales!$CB$1)-1)/2)+'Cash Drivers'!CC$13,0)=EOMONTH($AO$1,0),Sales!CC$6*Sales!CC$7,0)+IF(EOMONTH(DATE(YEAR(Sales!$BY$1),MONTH(Sales!$BY$1),1)+INT((DAY(Sales!$BY$1)-1)/2)+'Cash Drivers'!BZ$13,0)=EOMONTH($AO$1,0),Sales!BZ$6*Sales!BZ$7,0)+IF(EOMONTH(DATE(YEAR(Sales!$BV$1),MONTH(Sales!$BV$1),1)+INT((DAY(Sales!$BV$1)-1)/2)+'Cash Drivers'!BW$13,0)=EOMONTH($AO$1,0),Sales!BW$6*Sales!BW$7,0)+IF(EOMONTH(DATE(YEAR(Sales!$BS$1),MONTH(Sales!$BS$1),1)+INT((DAY(Sales!$BS$1)-1)/2)+'Cash Drivers'!BT$13,0)=EOMONTH($AO$1,0),Sales!BT$6*Sales!BT$7,0)+IF(EOMONTH(DATE(YEAR(Sales!$BP$1),MONTH(Sales!$BP$1),1)+INT((DAY(Sales!$BP$1)-1)/2)+'Cash Drivers'!BQ$13,0)=EOMONTH($AO$1,0),Sales!BQ$6*Sales!BQ$7,0)+IF(EOMONTH(DATE(YEAR(Sales!$BM$1),MONTH(Sales!$BM$1),1)+INT((DAY(Sales!$BM$1)-1)/2)+'Cash Drivers'!BN$13,0)=EOMONTH($AO$1,0),Sales!BN$6*Sales!BN$7,0)+IF(EOMONTH(DATE(YEAR(Sales!$BJ$1),MONTH(Sales!$BJ$1),1)+INT((DAY(Sales!$BJ$1)-1)/2)+'Cash Drivers'!BK$13,0)=EOMONTH($AO$1,0),Sales!BK$6*Sales!BK$7,0)+IF(EOMONTH(DATE(YEAR(Sales!$BG$1),MONTH(Sales!$BG$1),1)+INT((DAY(Sales!$BG$1)-1)/2)+'Cash Drivers'!BH$13,0)=EOMONTH($AO$1,0),Sales!BH$6*Sales!BH$7,0)+IF(EOMONTH(DATE(YEAR(Sales!$BD$1),MONTH(Sales!$BD$1),1)+INT((DAY(Sales!$BD$1)-1)/2)+'Cash Drivers'!BE$13,0)=EOMONTH($AO$1,0),Sales!BE$6*Sales!BE$7,0)+IF(EOMONTH(DATE(YEAR(Sales!$BA$1),MONTH(Sales!$BA$1),1)+INT((DAY(Sales!$BA$1)-1)/2)+'Cash Drivers'!BB$13,0)=EOMONTH($AO$1,0),Sales!BB$6*Sales!BB$7,0)+IF(EOMONTH(DATE(YEAR(Sales!$AX$1),MONTH(Sales!$AX$1),1)+INT((DAY(Sales!$AX$1)-1)/2)+'Cash Drivers'!AY$13,0)=EOMONTH($AO$1,0),Sales!AY$6*Sales!AY$7,0)+IF(EOMONTH(DATE(YEAR(Sales!$AU$1),MONTH(Sales!$AU$1),1)+INT((DAY(Sales!$AU$1)-1)/2)+'Cash Drivers'!AV$13,0)=EOMONTH($AO$1,0),Sales!AV$6*Sales!AV$7,0)+IF(EOMONTH(DATE(YEAR(Sales!$AR$1),MONTH(Sales!$AR$1),1)+INT((DAY(Sales!$AR$1)-1)/2)+'Cash Drivers'!AS$13,0)=EOMONTH($AO$1,0),Sales!AS$6*Sales!AS$7,0)+IF(EOMONTH(DATE(YEAR(Sales!$AO$1),MONTH(Sales!$AO$1),1)+INT((DAY(Sales!$AO$1)-1)/2)+'Cash Drivers'!AP$13,0)=EOMONTH($AO$1,0),Sales!AP$6*Sales!AP$7,0)+IF(EOMONTH(DATE(YEAR(Sales!$AL$1),MONTH(Sales!$AL$1),1)+INT((DAY(Sales!$AL$1)-1)/2)+'Cash Drivers'!AM$13,0)=EOMONTH($AO$1,0),Sales!AM$6*Sales!AM$7,0)+IF(EOMONTH(DATE(YEAR(Sales!$AI$1),MONTH(Sales!$AI$1),1)+INT((DAY(Sales!$AI$1)-1)/2)+'Cash Drivers'!AJ$13,0)=EOMONTH($AO$1,0),Sales!AJ$6*Sales!AJ$7,0)+IF(EOMONTH(DATE(YEAR(Sales!$AF$1),MONTH(Sales!$AF$1),1)+INT((DAY(Sales!$AF$1)-1)/2)+'Cash Drivers'!AG$13,0)=EOMONTH($AO$1,0),Sales!AG$6*Sales!AG$7,0)+IF(EOMONTH(DATE(YEAR(Sales!$AC$1),MONTH(Sales!$AC$1),1)+INT((DAY(Sales!$AC$1)-1)/2)+'Cash Drivers'!AD$13,0)=EOMONTH($AO$1,0),Sales!AD$6*Sales!AD$7,0)+IF(EOMONTH(DATE(YEAR(Sales!$Z$1),MONTH(Sales!$Z$1),1)+INT((DAY(Sales!$Z$1)-1)/2)+'Cash Drivers'!AA$13,0)=EOMONTH($AO$1,0),Sales!AA$6*Sales!AA$7,0)+IF(EOMONTH(DATE(YEAR(Sales!$W$1),MONTH(Sales!$W$1),1)+INT((DAY(Sales!$W$1)-1)/2)+'Cash Drivers'!X$13,0)=EOMONTH($AO$1,0),Sales!X$6*Sales!X$7,0)+IF(EOMONTH(DATE(YEAR(Sales!$T$1),MONTH(Sales!$T$1),1)+INT((DAY(Sales!$T$1)-1)/2)+'Cash Drivers'!U$13,0)=EOMONTH($AO$1,0),Sales!U$6*Sales!U$7,0)+IF(EOMONTH(DATE(YEAR(Sales!$Q$1),MONTH(Sales!$Q$1),1)+INT((DAY(Sales!$Q$1)-1)/2)+'Cash Drivers'!R$13,0)=EOMONTH($AO$1,0),Sales!R$6*Sales!R$7,0)+IF(EOMONTH(DATE(YEAR(Sales!$N$1),MONTH(Sales!$N$1),1)+INT((DAY(Sales!$N$1)-1)/2)+'Cash Drivers'!O$13,0)=EOMONTH($AO$1,0),Sales!O$6*Sales!O$7,0)+IF(EOMONTH(DATE(YEAR(Sales!$K$1),MONTH(Sales!$K$1),1)+INT((DAY(Sales!$K$1)-1)/2)+'Cash Drivers'!L$13,0)=EOMONTH($AO$1,0),Sales!L$6*Sales!L$7,0)+IF(EOMONTH('Cash Drivers'!$DL$30+'Cash Drivers'!DM$13,0)=EOMONTH($AO$1,0),'Cash Drivers'!$DL$32*Sales!$DL$60,0),0)</f>
        <v>36288</v>
      </c>
      <c r="AQ24" s="60" t="n">
        <f aca="false">ROUND(IF(EOMONTH(DATE(YEAR(Sales!$DL$1),MONTH(Sales!$DL$1),1)+INT((DAY(Sales!$DL$1)-1)/2)+'Cash Drivers'!DN$13,0)=EOMONTH($AO$1,0),Sales!DN$6*Sales!DN$7,0)+IF(EOMONTH(DATE(YEAR(Sales!$DI$1),MONTH(Sales!$DI$1),1)+INT((DAY(Sales!$DI$1)-1)/2)+'Cash Drivers'!DK$13,0)=EOMONTH($AO$1,0),Sales!DK$6*Sales!DK$7,0)+IF(EOMONTH(DATE(YEAR(Sales!$DF$1),MONTH(Sales!$DF$1),1)+INT((DAY(Sales!$DF$1)-1)/2)+'Cash Drivers'!DH$13,0)=EOMONTH($AO$1,0),Sales!DH$6*Sales!DH$7,0)+IF(EOMONTH(DATE(YEAR(Sales!$DC$1),MONTH(Sales!$DC$1),1)+INT((DAY(Sales!$DC$1)-1)/2)+'Cash Drivers'!DE$13,0)=EOMONTH($AO$1,0),Sales!DE$6*Sales!DE$7,0)+IF(EOMONTH(DATE(YEAR(Sales!$CZ$1),MONTH(Sales!$CZ$1),1)+INT((DAY(Sales!$CZ$1)-1)/2)+'Cash Drivers'!DB$13,0)=EOMONTH($AO$1,0),Sales!DB$6*Sales!DB$7,0)+IF(EOMONTH(DATE(YEAR(Sales!$CW$1),MONTH(Sales!$CW$1),1)+INT((DAY(Sales!$CW$1)-1)/2)+'Cash Drivers'!CY$13,0)=EOMONTH($AO$1,0),Sales!CY$6*Sales!CY$7,0)+IF(EOMONTH(DATE(YEAR(Sales!$CT$1),MONTH(Sales!$CT$1),1)+INT((DAY(Sales!$CT$1)-1)/2)+'Cash Drivers'!CV$13,0)=EOMONTH($AO$1,0),Sales!CV$6*Sales!CV$7,0)+IF(EOMONTH(DATE(YEAR(Sales!$CQ$1),MONTH(Sales!$CQ$1),1)+INT((DAY(Sales!$CQ$1)-1)/2)+'Cash Drivers'!CS$13,0)=EOMONTH($AO$1,0),Sales!CS$6*Sales!CS$7,0)+IF(EOMONTH(DATE(YEAR(Sales!$CN$1),MONTH(Sales!$CN$1),1)+INT((DAY(Sales!$CN$1)-1)/2)+'Cash Drivers'!CP$13,0)=EOMONTH($AO$1,0),Sales!CP$6*Sales!CP$7,0)+IF(EOMONTH(DATE(YEAR(Sales!$CK$1),MONTH(Sales!$CK$1),1)+INT((DAY(Sales!$CK$1)-1)/2)+'Cash Drivers'!CM$13,0)=EOMONTH($AO$1,0),Sales!CM$6*Sales!CM$7,0)+IF(EOMONTH(DATE(YEAR(Sales!$CH$1),MONTH(Sales!$CH$1),1)+INT((DAY(Sales!$CH$1)-1)/2)+'Cash Drivers'!CJ$13,0)=EOMONTH($AO$1,0),Sales!CJ$6*Sales!CJ$7,0)+IF(EOMONTH(DATE(YEAR(Sales!$CE$1),MONTH(Sales!$CE$1),1)+INT((DAY(Sales!$CE$1)-1)/2)+'Cash Drivers'!CG$13,0)=EOMONTH($AO$1,0),Sales!CG$6*Sales!CG$7,0)+IF(EOMONTH(DATE(YEAR(Sales!$CB$1),MONTH(Sales!$CB$1),1)+INT((DAY(Sales!$CB$1)-1)/2)+'Cash Drivers'!CD$13,0)=EOMONTH($AO$1,0),Sales!CD$6*Sales!CD$7,0)+IF(EOMONTH(DATE(YEAR(Sales!$BY$1),MONTH(Sales!$BY$1),1)+INT((DAY(Sales!$BY$1)-1)/2)+'Cash Drivers'!CA$13,0)=EOMONTH($AO$1,0),Sales!CA$6*Sales!CA$7,0)+IF(EOMONTH(DATE(YEAR(Sales!$BV$1),MONTH(Sales!$BV$1),1)+INT((DAY(Sales!$BV$1)-1)/2)+'Cash Drivers'!BX$13,0)=EOMONTH($AO$1,0),Sales!BX$6*Sales!BX$7,0)+IF(EOMONTH(DATE(YEAR(Sales!$BS$1),MONTH(Sales!$BS$1),1)+INT((DAY(Sales!$BS$1)-1)/2)+'Cash Drivers'!BU$13,0)=EOMONTH($AO$1,0),Sales!BU$6*Sales!BU$7,0)+IF(EOMONTH(DATE(YEAR(Sales!$BP$1),MONTH(Sales!$BP$1),1)+INT((DAY(Sales!$BP$1)-1)/2)+'Cash Drivers'!BR$13,0)=EOMONTH($AO$1,0),Sales!BR$6*Sales!BR$7,0)+IF(EOMONTH(DATE(YEAR(Sales!$BM$1),MONTH(Sales!$BM$1),1)+INT((DAY(Sales!$BM$1)-1)/2)+'Cash Drivers'!BO$13,0)=EOMONTH($AO$1,0),Sales!BO$6*Sales!BO$7,0)+IF(EOMONTH(DATE(YEAR(Sales!$BJ$1),MONTH(Sales!$BJ$1),1)+INT((DAY(Sales!$BJ$1)-1)/2)+'Cash Drivers'!BL$13,0)=EOMONTH($AO$1,0),Sales!BL$6*Sales!BL$7,0)+IF(EOMONTH(DATE(YEAR(Sales!$BG$1),MONTH(Sales!$BG$1),1)+INT((DAY(Sales!$BG$1)-1)/2)+'Cash Drivers'!BI$13,0)=EOMONTH($AO$1,0),Sales!BI$6*Sales!BI$7,0)+IF(EOMONTH(DATE(YEAR(Sales!$BD$1),MONTH(Sales!$BD$1),1)+INT((DAY(Sales!$BD$1)-1)/2)+'Cash Drivers'!BF$13,0)=EOMONTH($AO$1,0),Sales!BF$6*Sales!BF$7,0)+IF(EOMONTH(DATE(YEAR(Sales!$BA$1),MONTH(Sales!$BA$1),1)+INT((DAY(Sales!$BA$1)-1)/2)+'Cash Drivers'!BC$13,0)=EOMONTH($AO$1,0),Sales!BC$6*Sales!BC$7,0)+IF(EOMONTH(DATE(YEAR(Sales!$AX$1),MONTH(Sales!$AX$1),1)+INT((DAY(Sales!$AX$1)-1)/2)+'Cash Drivers'!AZ$13,0)=EOMONTH($AO$1,0),Sales!AZ$6*Sales!AZ$7,0)+IF(EOMONTH(DATE(YEAR(Sales!$AU$1),MONTH(Sales!$AU$1),1)+INT((DAY(Sales!$AU$1)-1)/2)+'Cash Drivers'!AW$13,0)=EOMONTH($AO$1,0),Sales!AW$6*Sales!AW$7,0)+IF(EOMONTH(DATE(YEAR(Sales!$AR$1),MONTH(Sales!$AR$1),1)+INT((DAY(Sales!$AR$1)-1)/2)+'Cash Drivers'!AT$13,0)=EOMONTH($AO$1,0),Sales!AT$6*Sales!AT$7,0)+IF(EOMONTH(DATE(YEAR(Sales!$AO$1),MONTH(Sales!$AO$1),1)+INT((DAY(Sales!$AO$1)-1)/2)+'Cash Drivers'!AQ$13,0)=EOMONTH($AO$1,0),Sales!AQ$6*Sales!AQ$7,0)+IF(EOMONTH(DATE(YEAR(Sales!$AL$1),MONTH(Sales!$AL$1),1)+INT((DAY(Sales!$AL$1)-1)/2)+'Cash Drivers'!AN$13,0)=EOMONTH($AO$1,0),Sales!AN$6*Sales!AN$7,0)+IF(EOMONTH(DATE(YEAR(Sales!$AI$1),MONTH(Sales!$AI$1),1)+INT((DAY(Sales!$AI$1)-1)/2)+'Cash Drivers'!AK$13,0)=EOMONTH($AO$1,0),Sales!AK$6*Sales!AK$7,0)+IF(EOMONTH(DATE(YEAR(Sales!$AF$1),MONTH(Sales!$AF$1),1)+INT((DAY(Sales!$AF$1)-1)/2)+'Cash Drivers'!AH$13,0)=EOMONTH($AO$1,0),Sales!AH$6*Sales!AH$7,0)+IF(EOMONTH(DATE(YEAR(Sales!$AC$1),MONTH(Sales!$AC$1),1)+INT((DAY(Sales!$AC$1)-1)/2)+'Cash Drivers'!AE$13,0)=EOMONTH($AO$1,0),Sales!AE$6*Sales!AE$7,0)+IF(EOMONTH(DATE(YEAR(Sales!$Z$1),MONTH(Sales!$Z$1),1)+INT((DAY(Sales!$Z$1)-1)/2)+'Cash Drivers'!AB$13,0)=EOMONTH($AO$1,0),Sales!AB$6*Sales!AB$7,0)+IF(EOMONTH(DATE(YEAR(Sales!$W$1),MONTH(Sales!$W$1),1)+INT((DAY(Sales!$W$1)-1)/2)+'Cash Drivers'!Y$13,0)=EOMONTH($AO$1,0),Sales!Y$6*Sales!Y$7,0)+IF(EOMONTH(DATE(YEAR(Sales!$T$1),MONTH(Sales!$T$1),1)+INT((DAY(Sales!$T$1)-1)/2)+'Cash Drivers'!V$13,0)=EOMONTH($AO$1,0),Sales!V$6*Sales!V$7,0)+IF(EOMONTH(DATE(YEAR(Sales!$Q$1),MONTH(Sales!$Q$1),1)+INT((DAY(Sales!$Q$1)-1)/2)+'Cash Drivers'!S$13,0)=EOMONTH($AO$1,0),Sales!S$6*Sales!S$7,0)+IF(EOMONTH(DATE(YEAR(Sales!$N$1),MONTH(Sales!$N$1),1)+INT((DAY(Sales!$N$1)-1)/2)+'Cash Drivers'!P$13,0)=EOMONTH($AO$1,0),Sales!P$6*Sales!P$7,0)+IF(EOMONTH(DATE(YEAR(Sales!$K$1),MONTH(Sales!$K$1),1)+INT((DAY(Sales!$K$1)-1)/2)+'Cash Drivers'!M$13,0)=EOMONTH($AO$1,0),Sales!M$6*Sales!M$7,0)+IF(EOMONTH('Cash Drivers'!$DL$30+'Cash Drivers'!DN$13,0)=EOMONTH($AO$1,0),'Cash Drivers'!$DL$32*Sales!$DL$60,0),0)</f>
        <v>36372</v>
      </c>
      <c r="AR24" s="58" t="n">
        <f aca="false">ROUND(IF(EOMONTH(DATE(YEAR(Sales!$DL$1),MONTH(Sales!$DL$1),1)+INT((DAY(Sales!$DL$1)-1)/2)+'Cash Drivers'!DL$13,0)=EOMONTH($AR$1,0),Sales!DL$6*Sales!DL$7,0)+IF(EOMONTH(DATE(YEAR(Sales!$DI$1),MONTH(Sales!$DI$1),1)+INT((DAY(Sales!$DI$1)-1)/2)+'Cash Drivers'!DI$13,0)=EOMONTH($AR$1,0),Sales!DI$6*Sales!DI$7,0)+IF(EOMONTH(DATE(YEAR(Sales!$DF$1),MONTH(Sales!$DF$1),1)+INT((DAY(Sales!$DF$1)-1)/2)+'Cash Drivers'!DF$13,0)=EOMONTH($AR$1,0),Sales!DF$6*Sales!DF$7,0)+IF(EOMONTH(DATE(YEAR(Sales!$DC$1),MONTH(Sales!$DC$1),1)+INT((DAY(Sales!$DC$1)-1)/2)+'Cash Drivers'!DC$13,0)=EOMONTH($AR$1,0),Sales!DC$6*Sales!DC$7,0)+IF(EOMONTH(DATE(YEAR(Sales!$CZ$1),MONTH(Sales!$CZ$1),1)+INT((DAY(Sales!$CZ$1)-1)/2)+'Cash Drivers'!CZ$13,0)=EOMONTH($AR$1,0),Sales!CZ$6*Sales!CZ$7,0)+IF(EOMONTH(DATE(YEAR(Sales!$CW$1),MONTH(Sales!$CW$1),1)+INT((DAY(Sales!$CW$1)-1)/2)+'Cash Drivers'!CW$13,0)=EOMONTH($AR$1,0),Sales!CW$6*Sales!CW$7,0)+IF(EOMONTH(DATE(YEAR(Sales!$CT$1),MONTH(Sales!$CT$1),1)+INT((DAY(Sales!$CT$1)-1)/2)+'Cash Drivers'!CT$13,0)=EOMONTH($AR$1,0),Sales!CT$6*Sales!CT$7,0)+IF(EOMONTH(DATE(YEAR(Sales!$CQ$1),MONTH(Sales!$CQ$1),1)+INT((DAY(Sales!$CQ$1)-1)/2)+'Cash Drivers'!CQ$13,0)=EOMONTH($AR$1,0),Sales!CQ$6*Sales!CQ$7,0)+IF(EOMONTH(DATE(YEAR(Sales!$CN$1),MONTH(Sales!$CN$1),1)+INT((DAY(Sales!$CN$1)-1)/2)+'Cash Drivers'!CN$13,0)=EOMONTH($AR$1,0),Sales!CN$6*Sales!CN$7,0)+IF(EOMONTH(DATE(YEAR(Sales!$CK$1),MONTH(Sales!$CK$1),1)+INT((DAY(Sales!$CK$1)-1)/2)+'Cash Drivers'!CK$13,0)=EOMONTH($AR$1,0),Sales!CK$6*Sales!CK$7,0)+IF(EOMONTH(DATE(YEAR(Sales!$CH$1),MONTH(Sales!$CH$1),1)+INT((DAY(Sales!$CH$1)-1)/2)+'Cash Drivers'!CH$13,0)=EOMONTH($AR$1,0),Sales!CH$6*Sales!CH$7,0)+IF(EOMONTH(DATE(YEAR(Sales!$CE$1),MONTH(Sales!$CE$1),1)+INT((DAY(Sales!$CE$1)-1)/2)+'Cash Drivers'!CE$13,0)=EOMONTH($AR$1,0),Sales!CE$6*Sales!CE$7,0)+IF(EOMONTH(DATE(YEAR(Sales!$CB$1),MONTH(Sales!$CB$1),1)+INT((DAY(Sales!$CB$1)-1)/2)+'Cash Drivers'!CB$13,0)=EOMONTH($AR$1,0),Sales!CB$6*Sales!CB$7,0)+IF(EOMONTH(DATE(YEAR(Sales!$BY$1),MONTH(Sales!$BY$1),1)+INT((DAY(Sales!$BY$1)-1)/2)+'Cash Drivers'!BY$13,0)=EOMONTH($AR$1,0),Sales!BY$6*Sales!BY$7,0)+IF(EOMONTH(DATE(YEAR(Sales!$BV$1),MONTH(Sales!$BV$1),1)+INT((DAY(Sales!$BV$1)-1)/2)+'Cash Drivers'!BV$13,0)=EOMONTH($AR$1,0),Sales!BV$6*Sales!BV$7,0)+IF(EOMONTH(DATE(YEAR(Sales!$BS$1),MONTH(Sales!$BS$1),1)+INT((DAY(Sales!$BS$1)-1)/2)+'Cash Drivers'!BS$13,0)=EOMONTH($AR$1,0),Sales!BS$6*Sales!BS$7,0)+IF(EOMONTH(DATE(YEAR(Sales!$BP$1),MONTH(Sales!$BP$1),1)+INT((DAY(Sales!$BP$1)-1)/2)+'Cash Drivers'!BP$13,0)=EOMONTH($AR$1,0),Sales!BP$6*Sales!BP$7,0)+IF(EOMONTH(DATE(YEAR(Sales!$BM$1),MONTH(Sales!$BM$1),1)+INT((DAY(Sales!$BM$1)-1)/2)+'Cash Drivers'!BM$13,0)=EOMONTH($AR$1,0),Sales!BM$6*Sales!BM$7,0)+IF(EOMONTH(DATE(YEAR(Sales!$BJ$1),MONTH(Sales!$BJ$1),1)+INT((DAY(Sales!$BJ$1)-1)/2)+'Cash Drivers'!BJ$13,0)=EOMONTH($AR$1,0),Sales!BJ$6*Sales!BJ$7,0)+IF(EOMONTH(DATE(YEAR(Sales!$BG$1),MONTH(Sales!$BG$1),1)+INT((DAY(Sales!$BG$1)-1)/2)+'Cash Drivers'!BG$13,0)=EOMONTH($AR$1,0),Sales!BG$6*Sales!BG$7,0)+IF(EOMONTH(DATE(YEAR(Sales!$BD$1),MONTH(Sales!$BD$1),1)+INT((DAY(Sales!$BD$1)-1)/2)+'Cash Drivers'!BD$13,0)=EOMONTH($AR$1,0),Sales!BD$6*Sales!BD$7,0)+IF(EOMONTH(DATE(YEAR(Sales!$BA$1),MONTH(Sales!$BA$1),1)+INT((DAY(Sales!$BA$1)-1)/2)+'Cash Drivers'!BA$13,0)=EOMONTH($AR$1,0),Sales!BA$6*Sales!BA$7,0)+IF(EOMONTH(DATE(YEAR(Sales!$AX$1),MONTH(Sales!$AX$1),1)+INT((DAY(Sales!$AX$1)-1)/2)+'Cash Drivers'!AX$13,0)=EOMONTH($AR$1,0),Sales!AX$6*Sales!AX$7,0)+IF(EOMONTH(DATE(YEAR(Sales!$AU$1),MONTH(Sales!$AU$1),1)+INT((DAY(Sales!$AU$1)-1)/2)+'Cash Drivers'!AU$13,0)=EOMONTH($AR$1,0),Sales!AU$6*Sales!AU$7,0)+IF(EOMONTH(DATE(YEAR(Sales!$AR$1),MONTH(Sales!$AR$1),1)+INT((DAY(Sales!$AR$1)-1)/2)+'Cash Drivers'!AR$13,0)=EOMONTH($AR$1,0),Sales!AR$6*Sales!AR$7,0)+IF(EOMONTH(DATE(YEAR(Sales!$AO$1),MONTH(Sales!$AO$1),1)+INT((DAY(Sales!$AO$1)-1)/2)+'Cash Drivers'!AO$13,0)=EOMONTH($AR$1,0),Sales!AO$6*Sales!AO$7,0)+IF(EOMONTH(DATE(YEAR(Sales!$AL$1),MONTH(Sales!$AL$1),1)+INT((DAY(Sales!$AL$1)-1)/2)+'Cash Drivers'!AL$13,0)=EOMONTH($AR$1,0),Sales!AL$6*Sales!AL$7,0)+IF(EOMONTH(DATE(YEAR(Sales!$AI$1),MONTH(Sales!$AI$1),1)+INT((DAY(Sales!$AI$1)-1)/2)+'Cash Drivers'!AI$13,0)=EOMONTH($AR$1,0),Sales!AI$6*Sales!AI$7,0)+IF(EOMONTH(DATE(YEAR(Sales!$AF$1),MONTH(Sales!$AF$1),1)+INT((DAY(Sales!$AF$1)-1)/2)+'Cash Drivers'!AF$13,0)=EOMONTH($AR$1,0),Sales!AF$6*Sales!AF$7,0)+IF(EOMONTH(DATE(YEAR(Sales!$AC$1),MONTH(Sales!$AC$1),1)+INT((DAY(Sales!$AC$1)-1)/2)+'Cash Drivers'!AC$13,0)=EOMONTH($AR$1,0),Sales!AC$6*Sales!AC$7,0)+IF(EOMONTH(DATE(YEAR(Sales!$Z$1),MONTH(Sales!$Z$1),1)+INT((DAY(Sales!$Z$1)-1)/2)+'Cash Drivers'!Z$13,0)=EOMONTH($AR$1,0),Sales!Z$6*Sales!Z$7,0)+IF(EOMONTH(DATE(YEAR(Sales!$W$1),MONTH(Sales!$W$1),1)+INT((DAY(Sales!$W$1)-1)/2)+'Cash Drivers'!W$13,0)=EOMONTH($AR$1,0),Sales!W$6*Sales!W$7,0)+IF(EOMONTH(DATE(YEAR(Sales!$T$1),MONTH(Sales!$T$1),1)+INT((DAY(Sales!$T$1)-1)/2)+'Cash Drivers'!T$13,0)=EOMONTH($AR$1,0),Sales!T$6*Sales!T$7,0)+IF(EOMONTH(DATE(YEAR(Sales!$Q$1),MONTH(Sales!$Q$1),1)+INT((DAY(Sales!$Q$1)-1)/2)+'Cash Drivers'!Q$13,0)=EOMONTH($AR$1,0),Sales!Q$6*Sales!Q$7,0)+IF(EOMONTH(DATE(YEAR(Sales!$N$1),MONTH(Sales!$N$1),1)+INT((DAY(Sales!$N$1)-1)/2)+'Cash Drivers'!N$13,0)=EOMONTH($AR$1,0),Sales!N$6*Sales!N$7,0)+IF(EOMONTH(DATE(YEAR(Sales!$K$1),MONTH(Sales!$K$1),1)+INT((DAY(Sales!$K$1)-1)/2)+'Cash Drivers'!K$13,0)=EOMONTH($AR$1,0),Sales!K$6*Sales!K$7,0)+IF(EOMONTH('Cash Drivers'!$DL$30+'Cash Drivers'!DL$13,0)=EOMONTH($AR$1,0),'Cash Drivers'!$DL$32*Sales!$DL$60,0),0)</f>
        <v>0</v>
      </c>
      <c r="AS24" s="59" t="n">
        <f aca="false">ROUND(IF(EOMONTH(DATE(YEAR(Sales!$DL$1),MONTH(Sales!$DL$1),1)+INT((DAY(Sales!$DL$1)-1)/2)+'Cash Drivers'!DM$13,0)=EOMONTH($AR$1,0),Sales!DM$6*Sales!DM$7,0)+IF(EOMONTH(DATE(YEAR(Sales!$DI$1),MONTH(Sales!$DI$1),1)+INT((DAY(Sales!$DI$1)-1)/2)+'Cash Drivers'!DJ$13,0)=EOMONTH($AR$1,0),Sales!DJ$6*Sales!DJ$7,0)+IF(EOMONTH(DATE(YEAR(Sales!$DF$1),MONTH(Sales!$DF$1),1)+INT((DAY(Sales!$DF$1)-1)/2)+'Cash Drivers'!DG$13,0)=EOMONTH($AR$1,0),Sales!DG$6*Sales!DG$7,0)+IF(EOMONTH(DATE(YEAR(Sales!$DC$1),MONTH(Sales!$DC$1),1)+INT((DAY(Sales!$DC$1)-1)/2)+'Cash Drivers'!DD$13,0)=EOMONTH($AR$1,0),Sales!DD$6*Sales!DD$7,0)+IF(EOMONTH(DATE(YEAR(Sales!$CZ$1),MONTH(Sales!$CZ$1),1)+INT((DAY(Sales!$CZ$1)-1)/2)+'Cash Drivers'!DA$13,0)=EOMONTH($AR$1,0),Sales!DA$6*Sales!DA$7,0)+IF(EOMONTH(DATE(YEAR(Sales!$CW$1),MONTH(Sales!$CW$1),1)+INT((DAY(Sales!$CW$1)-1)/2)+'Cash Drivers'!CX$13,0)=EOMONTH($AR$1,0),Sales!CX$6*Sales!CX$7,0)+IF(EOMONTH(DATE(YEAR(Sales!$CT$1),MONTH(Sales!$CT$1),1)+INT((DAY(Sales!$CT$1)-1)/2)+'Cash Drivers'!CU$13,0)=EOMONTH($AR$1,0),Sales!CU$6*Sales!CU$7,0)+IF(EOMONTH(DATE(YEAR(Sales!$CQ$1),MONTH(Sales!$CQ$1),1)+INT((DAY(Sales!$CQ$1)-1)/2)+'Cash Drivers'!CR$13,0)=EOMONTH($AR$1,0),Sales!CR$6*Sales!CR$7,0)+IF(EOMONTH(DATE(YEAR(Sales!$CN$1),MONTH(Sales!$CN$1),1)+INT((DAY(Sales!$CN$1)-1)/2)+'Cash Drivers'!CO$13,0)=EOMONTH($AR$1,0),Sales!CO$6*Sales!CO$7,0)+IF(EOMONTH(DATE(YEAR(Sales!$CK$1),MONTH(Sales!$CK$1),1)+INT((DAY(Sales!$CK$1)-1)/2)+'Cash Drivers'!CL$13,0)=EOMONTH($AR$1,0),Sales!CL$6*Sales!CL$7,0)+IF(EOMONTH(DATE(YEAR(Sales!$CH$1),MONTH(Sales!$CH$1),1)+INT((DAY(Sales!$CH$1)-1)/2)+'Cash Drivers'!CI$13,0)=EOMONTH($AR$1,0),Sales!CI$6*Sales!CI$7,0)+IF(EOMONTH(DATE(YEAR(Sales!$CE$1),MONTH(Sales!$CE$1),1)+INT((DAY(Sales!$CE$1)-1)/2)+'Cash Drivers'!CF$13,0)=EOMONTH($AR$1,0),Sales!CF$6*Sales!CF$7,0)+IF(EOMONTH(DATE(YEAR(Sales!$CB$1),MONTH(Sales!$CB$1),1)+INT((DAY(Sales!$CB$1)-1)/2)+'Cash Drivers'!CC$13,0)=EOMONTH($AR$1,0),Sales!CC$6*Sales!CC$7,0)+IF(EOMONTH(DATE(YEAR(Sales!$BY$1),MONTH(Sales!$BY$1),1)+INT((DAY(Sales!$BY$1)-1)/2)+'Cash Drivers'!BZ$13,0)=EOMONTH($AR$1,0),Sales!BZ$6*Sales!BZ$7,0)+IF(EOMONTH(DATE(YEAR(Sales!$BV$1),MONTH(Sales!$BV$1),1)+INT((DAY(Sales!$BV$1)-1)/2)+'Cash Drivers'!BW$13,0)=EOMONTH($AR$1,0),Sales!BW$6*Sales!BW$7,0)+IF(EOMONTH(DATE(YEAR(Sales!$BS$1),MONTH(Sales!$BS$1),1)+INT((DAY(Sales!$BS$1)-1)/2)+'Cash Drivers'!BT$13,0)=EOMONTH($AR$1,0),Sales!BT$6*Sales!BT$7,0)+IF(EOMONTH(DATE(YEAR(Sales!$BP$1),MONTH(Sales!$BP$1),1)+INT((DAY(Sales!$BP$1)-1)/2)+'Cash Drivers'!BQ$13,0)=EOMONTH($AR$1,0),Sales!BQ$6*Sales!BQ$7,0)+IF(EOMONTH(DATE(YEAR(Sales!$BM$1),MONTH(Sales!$BM$1),1)+INT((DAY(Sales!$BM$1)-1)/2)+'Cash Drivers'!BN$13,0)=EOMONTH($AR$1,0),Sales!BN$6*Sales!BN$7,0)+IF(EOMONTH(DATE(YEAR(Sales!$BJ$1),MONTH(Sales!$BJ$1),1)+INT((DAY(Sales!$BJ$1)-1)/2)+'Cash Drivers'!BK$13,0)=EOMONTH($AR$1,0),Sales!BK$6*Sales!BK$7,0)+IF(EOMONTH(DATE(YEAR(Sales!$BG$1),MONTH(Sales!$BG$1),1)+INT((DAY(Sales!$BG$1)-1)/2)+'Cash Drivers'!BH$13,0)=EOMONTH($AR$1,0),Sales!BH$6*Sales!BH$7,0)+IF(EOMONTH(DATE(YEAR(Sales!$BD$1),MONTH(Sales!$BD$1),1)+INT((DAY(Sales!$BD$1)-1)/2)+'Cash Drivers'!BE$13,0)=EOMONTH($AR$1,0),Sales!BE$6*Sales!BE$7,0)+IF(EOMONTH(DATE(YEAR(Sales!$BA$1),MONTH(Sales!$BA$1),1)+INT((DAY(Sales!$BA$1)-1)/2)+'Cash Drivers'!BB$13,0)=EOMONTH($AR$1,0),Sales!BB$6*Sales!BB$7,0)+IF(EOMONTH(DATE(YEAR(Sales!$AX$1),MONTH(Sales!$AX$1),1)+INT((DAY(Sales!$AX$1)-1)/2)+'Cash Drivers'!AY$13,0)=EOMONTH($AR$1,0),Sales!AY$6*Sales!AY$7,0)+IF(EOMONTH(DATE(YEAR(Sales!$AU$1),MONTH(Sales!$AU$1),1)+INT((DAY(Sales!$AU$1)-1)/2)+'Cash Drivers'!AV$13,0)=EOMONTH($AR$1,0),Sales!AV$6*Sales!AV$7,0)+IF(EOMONTH(DATE(YEAR(Sales!$AR$1),MONTH(Sales!$AR$1),1)+INT((DAY(Sales!$AR$1)-1)/2)+'Cash Drivers'!AS$13,0)=EOMONTH($AR$1,0),Sales!AS$6*Sales!AS$7,0)+IF(EOMONTH(DATE(YEAR(Sales!$AO$1),MONTH(Sales!$AO$1),1)+INT((DAY(Sales!$AO$1)-1)/2)+'Cash Drivers'!AP$13,0)=EOMONTH($AR$1,0),Sales!AP$6*Sales!AP$7,0)+IF(EOMONTH(DATE(YEAR(Sales!$AL$1),MONTH(Sales!$AL$1),1)+INT((DAY(Sales!$AL$1)-1)/2)+'Cash Drivers'!AM$13,0)=EOMONTH($AR$1,0),Sales!AM$6*Sales!AM$7,0)+IF(EOMONTH(DATE(YEAR(Sales!$AI$1),MONTH(Sales!$AI$1),1)+INT((DAY(Sales!$AI$1)-1)/2)+'Cash Drivers'!AJ$13,0)=EOMONTH($AR$1,0),Sales!AJ$6*Sales!AJ$7,0)+IF(EOMONTH(DATE(YEAR(Sales!$AF$1),MONTH(Sales!$AF$1),1)+INT((DAY(Sales!$AF$1)-1)/2)+'Cash Drivers'!AG$13,0)=EOMONTH($AR$1,0),Sales!AG$6*Sales!AG$7,0)+IF(EOMONTH(DATE(YEAR(Sales!$AC$1),MONTH(Sales!$AC$1),1)+INT((DAY(Sales!$AC$1)-1)/2)+'Cash Drivers'!AD$13,0)=EOMONTH($AR$1,0),Sales!AD$6*Sales!AD$7,0)+IF(EOMONTH(DATE(YEAR(Sales!$Z$1),MONTH(Sales!$Z$1),1)+INT((DAY(Sales!$Z$1)-1)/2)+'Cash Drivers'!AA$13,0)=EOMONTH($AR$1,0),Sales!AA$6*Sales!AA$7,0)+IF(EOMONTH(DATE(YEAR(Sales!$W$1),MONTH(Sales!$W$1),1)+INT((DAY(Sales!$W$1)-1)/2)+'Cash Drivers'!X$13,0)=EOMONTH($AR$1,0),Sales!X$6*Sales!X$7,0)+IF(EOMONTH(DATE(YEAR(Sales!$T$1),MONTH(Sales!$T$1),1)+INT((DAY(Sales!$T$1)-1)/2)+'Cash Drivers'!U$13,0)=EOMONTH($AR$1,0),Sales!U$6*Sales!U$7,0)+IF(EOMONTH(DATE(YEAR(Sales!$Q$1),MONTH(Sales!$Q$1),1)+INT((DAY(Sales!$Q$1)-1)/2)+'Cash Drivers'!R$13,0)=EOMONTH($AR$1,0),Sales!R$6*Sales!R$7,0)+IF(EOMONTH(DATE(YEAR(Sales!$N$1),MONTH(Sales!$N$1),1)+INT((DAY(Sales!$N$1)-1)/2)+'Cash Drivers'!O$13,0)=EOMONTH($AR$1,0),Sales!O$6*Sales!O$7,0)+IF(EOMONTH(DATE(YEAR(Sales!$K$1),MONTH(Sales!$K$1),1)+INT((DAY(Sales!$K$1)-1)/2)+'Cash Drivers'!L$13,0)=EOMONTH($AR$1,0),Sales!L$6*Sales!L$7,0)+IF(EOMONTH('Cash Drivers'!$DL$30+'Cash Drivers'!DM$13,0)=EOMONTH($AR$1,0),'Cash Drivers'!$DL$32*Sales!$DL$60,0),0)</f>
        <v>36120</v>
      </c>
      <c r="AT24" s="60" t="n">
        <f aca="false">ROUND(IF(EOMONTH(DATE(YEAR(Sales!$DL$1),MONTH(Sales!$DL$1),1)+INT((DAY(Sales!$DL$1)-1)/2)+'Cash Drivers'!DN$13,0)=EOMONTH($AR$1,0),Sales!DN$6*Sales!DN$7,0)+IF(EOMONTH(DATE(YEAR(Sales!$DI$1),MONTH(Sales!$DI$1),1)+INT((DAY(Sales!$DI$1)-1)/2)+'Cash Drivers'!DK$13,0)=EOMONTH($AR$1,0),Sales!DK$6*Sales!DK$7,0)+IF(EOMONTH(DATE(YEAR(Sales!$DF$1),MONTH(Sales!$DF$1),1)+INT((DAY(Sales!$DF$1)-1)/2)+'Cash Drivers'!DH$13,0)=EOMONTH($AR$1,0),Sales!DH$6*Sales!DH$7,0)+IF(EOMONTH(DATE(YEAR(Sales!$DC$1),MONTH(Sales!$DC$1),1)+INT((DAY(Sales!$DC$1)-1)/2)+'Cash Drivers'!DE$13,0)=EOMONTH($AR$1,0),Sales!DE$6*Sales!DE$7,0)+IF(EOMONTH(DATE(YEAR(Sales!$CZ$1),MONTH(Sales!$CZ$1),1)+INT((DAY(Sales!$CZ$1)-1)/2)+'Cash Drivers'!DB$13,0)=EOMONTH($AR$1,0),Sales!DB$6*Sales!DB$7,0)+IF(EOMONTH(DATE(YEAR(Sales!$CW$1),MONTH(Sales!$CW$1),1)+INT((DAY(Sales!$CW$1)-1)/2)+'Cash Drivers'!CY$13,0)=EOMONTH($AR$1,0),Sales!CY$6*Sales!CY$7,0)+IF(EOMONTH(DATE(YEAR(Sales!$CT$1),MONTH(Sales!$CT$1),1)+INT((DAY(Sales!$CT$1)-1)/2)+'Cash Drivers'!CV$13,0)=EOMONTH($AR$1,0),Sales!CV$6*Sales!CV$7,0)+IF(EOMONTH(DATE(YEAR(Sales!$CQ$1),MONTH(Sales!$CQ$1),1)+INT((DAY(Sales!$CQ$1)-1)/2)+'Cash Drivers'!CS$13,0)=EOMONTH($AR$1,0),Sales!CS$6*Sales!CS$7,0)+IF(EOMONTH(DATE(YEAR(Sales!$CN$1),MONTH(Sales!$CN$1),1)+INT((DAY(Sales!$CN$1)-1)/2)+'Cash Drivers'!CP$13,0)=EOMONTH($AR$1,0),Sales!CP$6*Sales!CP$7,0)+IF(EOMONTH(DATE(YEAR(Sales!$CK$1),MONTH(Sales!$CK$1),1)+INT((DAY(Sales!$CK$1)-1)/2)+'Cash Drivers'!CM$13,0)=EOMONTH($AR$1,0),Sales!CM$6*Sales!CM$7,0)+IF(EOMONTH(DATE(YEAR(Sales!$CH$1),MONTH(Sales!$CH$1),1)+INT((DAY(Sales!$CH$1)-1)/2)+'Cash Drivers'!CJ$13,0)=EOMONTH($AR$1,0),Sales!CJ$6*Sales!CJ$7,0)+IF(EOMONTH(DATE(YEAR(Sales!$CE$1),MONTH(Sales!$CE$1),1)+INT((DAY(Sales!$CE$1)-1)/2)+'Cash Drivers'!CG$13,0)=EOMONTH($AR$1,0),Sales!CG$6*Sales!CG$7,0)+IF(EOMONTH(DATE(YEAR(Sales!$CB$1),MONTH(Sales!$CB$1),1)+INT((DAY(Sales!$CB$1)-1)/2)+'Cash Drivers'!CD$13,0)=EOMONTH($AR$1,0),Sales!CD$6*Sales!CD$7,0)+IF(EOMONTH(DATE(YEAR(Sales!$BY$1),MONTH(Sales!$BY$1),1)+INT((DAY(Sales!$BY$1)-1)/2)+'Cash Drivers'!CA$13,0)=EOMONTH($AR$1,0),Sales!CA$6*Sales!CA$7,0)+IF(EOMONTH(DATE(YEAR(Sales!$BV$1),MONTH(Sales!$BV$1),1)+INT((DAY(Sales!$BV$1)-1)/2)+'Cash Drivers'!BX$13,0)=EOMONTH($AR$1,0),Sales!BX$6*Sales!BX$7,0)+IF(EOMONTH(DATE(YEAR(Sales!$BS$1),MONTH(Sales!$BS$1),1)+INT((DAY(Sales!$BS$1)-1)/2)+'Cash Drivers'!BU$13,0)=EOMONTH($AR$1,0),Sales!BU$6*Sales!BU$7,0)+IF(EOMONTH(DATE(YEAR(Sales!$BP$1),MONTH(Sales!$BP$1),1)+INT((DAY(Sales!$BP$1)-1)/2)+'Cash Drivers'!BR$13,0)=EOMONTH($AR$1,0),Sales!BR$6*Sales!BR$7,0)+IF(EOMONTH(DATE(YEAR(Sales!$BM$1),MONTH(Sales!$BM$1),1)+INT((DAY(Sales!$BM$1)-1)/2)+'Cash Drivers'!BO$13,0)=EOMONTH($AR$1,0),Sales!BO$6*Sales!BO$7,0)+IF(EOMONTH(DATE(YEAR(Sales!$BJ$1),MONTH(Sales!$BJ$1),1)+INT((DAY(Sales!$BJ$1)-1)/2)+'Cash Drivers'!BL$13,0)=EOMONTH($AR$1,0),Sales!BL$6*Sales!BL$7,0)+IF(EOMONTH(DATE(YEAR(Sales!$BG$1),MONTH(Sales!$BG$1),1)+INT((DAY(Sales!$BG$1)-1)/2)+'Cash Drivers'!BI$13,0)=EOMONTH($AR$1,0),Sales!BI$6*Sales!BI$7,0)+IF(EOMONTH(DATE(YEAR(Sales!$BD$1),MONTH(Sales!$BD$1),1)+INT((DAY(Sales!$BD$1)-1)/2)+'Cash Drivers'!BF$13,0)=EOMONTH($AR$1,0),Sales!BF$6*Sales!BF$7,0)+IF(EOMONTH(DATE(YEAR(Sales!$BA$1),MONTH(Sales!$BA$1),1)+INT((DAY(Sales!$BA$1)-1)/2)+'Cash Drivers'!BC$13,0)=EOMONTH($AR$1,0),Sales!BC$6*Sales!BC$7,0)+IF(EOMONTH(DATE(YEAR(Sales!$AX$1),MONTH(Sales!$AX$1),1)+INT((DAY(Sales!$AX$1)-1)/2)+'Cash Drivers'!AZ$13,0)=EOMONTH($AR$1,0),Sales!AZ$6*Sales!AZ$7,0)+IF(EOMONTH(DATE(YEAR(Sales!$AU$1),MONTH(Sales!$AU$1),1)+INT((DAY(Sales!$AU$1)-1)/2)+'Cash Drivers'!AW$13,0)=EOMONTH($AR$1,0),Sales!AW$6*Sales!AW$7,0)+IF(EOMONTH(DATE(YEAR(Sales!$AR$1),MONTH(Sales!$AR$1),1)+INT((DAY(Sales!$AR$1)-1)/2)+'Cash Drivers'!AT$13,0)=EOMONTH($AR$1,0),Sales!AT$6*Sales!AT$7,0)+IF(EOMONTH(DATE(YEAR(Sales!$AO$1),MONTH(Sales!$AO$1),1)+INT((DAY(Sales!$AO$1)-1)/2)+'Cash Drivers'!AQ$13,0)=EOMONTH($AR$1,0),Sales!AQ$6*Sales!AQ$7,0)+IF(EOMONTH(DATE(YEAR(Sales!$AL$1),MONTH(Sales!$AL$1),1)+INT((DAY(Sales!$AL$1)-1)/2)+'Cash Drivers'!AN$13,0)=EOMONTH($AR$1,0),Sales!AN$6*Sales!AN$7,0)+IF(EOMONTH(DATE(YEAR(Sales!$AI$1),MONTH(Sales!$AI$1),1)+INT((DAY(Sales!$AI$1)-1)/2)+'Cash Drivers'!AK$13,0)=EOMONTH($AR$1,0),Sales!AK$6*Sales!AK$7,0)+IF(EOMONTH(DATE(YEAR(Sales!$AF$1),MONTH(Sales!$AF$1),1)+INT((DAY(Sales!$AF$1)-1)/2)+'Cash Drivers'!AH$13,0)=EOMONTH($AR$1,0),Sales!AH$6*Sales!AH$7,0)+IF(EOMONTH(DATE(YEAR(Sales!$AC$1),MONTH(Sales!$AC$1),1)+INT((DAY(Sales!$AC$1)-1)/2)+'Cash Drivers'!AE$13,0)=EOMONTH($AR$1,0),Sales!AE$6*Sales!AE$7,0)+IF(EOMONTH(DATE(YEAR(Sales!$Z$1),MONTH(Sales!$Z$1),1)+INT((DAY(Sales!$Z$1)-1)/2)+'Cash Drivers'!AB$13,0)=EOMONTH($AR$1,0),Sales!AB$6*Sales!AB$7,0)+IF(EOMONTH(DATE(YEAR(Sales!$W$1),MONTH(Sales!$W$1),1)+INT((DAY(Sales!$W$1)-1)/2)+'Cash Drivers'!Y$13,0)=EOMONTH($AR$1,0),Sales!Y$6*Sales!Y$7,0)+IF(EOMONTH(DATE(YEAR(Sales!$T$1),MONTH(Sales!$T$1),1)+INT((DAY(Sales!$T$1)-1)/2)+'Cash Drivers'!V$13,0)=EOMONTH($AR$1,0),Sales!V$6*Sales!V$7,0)+IF(EOMONTH(DATE(YEAR(Sales!$Q$1),MONTH(Sales!$Q$1),1)+INT((DAY(Sales!$Q$1)-1)/2)+'Cash Drivers'!S$13,0)=EOMONTH($AR$1,0),Sales!S$6*Sales!S$7,0)+IF(EOMONTH(DATE(YEAR(Sales!$N$1),MONTH(Sales!$N$1),1)+INT((DAY(Sales!$N$1)-1)/2)+'Cash Drivers'!P$13,0)=EOMONTH($AR$1,0),Sales!P$6*Sales!P$7,0)+IF(EOMONTH(DATE(YEAR(Sales!$K$1),MONTH(Sales!$K$1),1)+INT((DAY(Sales!$K$1)-1)/2)+'Cash Drivers'!M$13,0)=EOMONTH($AR$1,0),Sales!M$6*Sales!M$7,0)+IF(EOMONTH('Cash Drivers'!$DL$30+'Cash Drivers'!DN$13,0)=EOMONTH($AR$1,0),'Cash Drivers'!$DL$32*Sales!$DL$60,0),0)</f>
        <v>36204</v>
      </c>
      <c r="AU24" s="58" t="n">
        <f aca="false">ROUND(IF(EOMONTH(DATE(YEAR(Sales!$DL$1),MONTH(Sales!$DL$1),1)+INT((DAY(Sales!$DL$1)-1)/2)+'Cash Drivers'!DL$13,0)=EOMONTH($AU$1,0),Sales!DL$6*Sales!DL$7,0)+IF(EOMONTH(DATE(YEAR(Sales!$DI$1),MONTH(Sales!$DI$1),1)+INT((DAY(Sales!$DI$1)-1)/2)+'Cash Drivers'!DI$13,0)=EOMONTH($AU$1,0),Sales!DI$6*Sales!DI$7,0)+IF(EOMONTH(DATE(YEAR(Sales!$DF$1),MONTH(Sales!$DF$1),1)+INT((DAY(Sales!$DF$1)-1)/2)+'Cash Drivers'!DF$13,0)=EOMONTH($AU$1,0),Sales!DF$6*Sales!DF$7,0)+IF(EOMONTH(DATE(YEAR(Sales!$DC$1),MONTH(Sales!$DC$1),1)+INT((DAY(Sales!$DC$1)-1)/2)+'Cash Drivers'!DC$13,0)=EOMONTH($AU$1,0),Sales!DC$6*Sales!DC$7,0)+IF(EOMONTH(DATE(YEAR(Sales!$CZ$1),MONTH(Sales!$CZ$1),1)+INT((DAY(Sales!$CZ$1)-1)/2)+'Cash Drivers'!CZ$13,0)=EOMONTH($AU$1,0),Sales!CZ$6*Sales!CZ$7,0)+IF(EOMONTH(DATE(YEAR(Sales!$CW$1),MONTH(Sales!$CW$1),1)+INT((DAY(Sales!$CW$1)-1)/2)+'Cash Drivers'!CW$13,0)=EOMONTH($AU$1,0),Sales!CW$6*Sales!CW$7,0)+IF(EOMONTH(DATE(YEAR(Sales!$CT$1),MONTH(Sales!$CT$1),1)+INT((DAY(Sales!$CT$1)-1)/2)+'Cash Drivers'!CT$13,0)=EOMONTH($AU$1,0),Sales!CT$6*Sales!CT$7,0)+IF(EOMONTH(DATE(YEAR(Sales!$CQ$1),MONTH(Sales!$CQ$1),1)+INT((DAY(Sales!$CQ$1)-1)/2)+'Cash Drivers'!CQ$13,0)=EOMONTH($AU$1,0),Sales!CQ$6*Sales!CQ$7,0)+IF(EOMONTH(DATE(YEAR(Sales!$CN$1),MONTH(Sales!$CN$1),1)+INT((DAY(Sales!$CN$1)-1)/2)+'Cash Drivers'!CN$13,0)=EOMONTH($AU$1,0),Sales!CN$6*Sales!CN$7,0)+IF(EOMONTH(DATE(YEAR(Sales!$CK$1),MONTH(Sales!$CK$1),1)+INT((DAY(Sales!$CK$1)-1)/2)+'Cash Drivers'!CK$13,0)=EOMONTH($AU$1,0),Sales!CK$6*Sales!CK$7,0)+IF(EOMONTH(DATE(YEAR(Sales!$CH$1),MONTH(Sales!$CH$1),1)+INT((DAY(Sales!$CH$1)-1)/2)+'Cash Drivers'!CH$13,0)=EOMONTH($AU$1,0),Sales!CH$6*Sales!CH$7,0)+IF(EOMONTH(DATE(YEAR(Sales!$CE$1),MONTH(Sales!$CE$1),1)+INT((DAY(Sales!$CE$1)-1)/2)+'Cash Drivers'!CE$13,0)=EOMONTH($AU$1,0),Sales!CE$6*Sales!CE$7,0)+IF(EOMONTH(DATE(YEAR(Sales!$CB$1),MONTH(Sales!$CB$1),1)+INT((DAY(Sales!$CB$1)-1)/2)+'Cash Drivers'!CB$13,0)=EOMONTH($AU$1,0),Sales!CB$6*Sales!CB$7,0)+IF(EOMONTH(DATE(YEAR(Sales!$BY$1),MONTH(Sales!$BY$1),1)+INT((DAY(Sales!$BY$1)-1)/2)+'Cash Drivers'!BY$13,0)=EOMONTH($AU$1,0),Sales!BY$6*Sales!BY$7,0)+IF(EOMONTH(DATE(YEAR(Sales!$BV$1),MONTH(Sales!$BV$1),1)+INT((DAY(Sales!$BV$1)-1)/2)+'Cash Drivers'!BV$13,0)=EOMONTH($AU$1,0),Sales!BV$6*Sales!BV$7,0)+IF(EOMONTH(DATE(YEAR(Sales!$BS$1),MONTH(Sales!$BS$1),1)+INT((DAY(Sales!$BS$1)-1)/2)+'Cash Drivers'!BS$13,0)=EOMONTH($AU$1,0),Sales!BS$6*Sales!BS$7,0)+IF(EOMONTH(DATE(YEAR(Sales!$BP$1),MONTH(Sales!$BP$1),1)+INT((DAY(Sales!$BP$1)-1)/2)+'Cash Drivers'!BP$13,0)=EOMONTH($AU$1,0),Sales!BP$6*Sales!BP$7,0)+IF(EOMONTH(DATE(YEAR(Sales!$BM$1),MONTH(Sales!$BM$1),1)+INT((DAY(Sales!$BM$1)-1)/2)+'Cash Drivers'!BM$13,0)=EOMONTH($AU$1,0),Sales!BM$6*Sales!BM$7,0)+IF(EOMONTH(DATE(YEAR(Sales!$BJ$1),MONTH(Sales!$BJ$1),1)+INT((DAY(Sales!$BJ$1)-1)/2)+'Cash Drivers'!BJ$13,0)=EOMONTH($AU$1,0),Sales!BJ$6*Sales!BJ$7,0)+IF(EOMONTH(DATE(YEAR(Sales!$BG$1),MONTH(Sales!$BG$1),1)+INT((DAY(Sales!$BG$1)-1)/2)+'Cash Drivers'!BG$13,0)=EOMONTH($AU$1,0),Sales!BG$6*Sales!BG$7,0)+IF(EOMONTH(DATE(YEAR(Sales!$BD$1),MONTH(Sales!$BD$1),1)+INT((DAY(Sales!$BD$1)-1)/2)+'Cash Drivers'!BD$13,0)=EOMONTH($AU$1,0),Sales!BD$6*Sales!BD$7,0)+IF(EOMONTH(DATE(YEAR(Sales!$BA$1),MONTH(Sales!$BA$1),1)+INT((DAY(Sales!$BA$1)-1)/2)+'Cash Drivers'!BA$13,0)=EOMONTH($AU$1,0),Sales!BA$6*Sales!BA$7,0)+IF(EOMONTH(DATE(YEAR(Sales!$AX$1),MONTH(Sales!$AX$1),1)+INT((DAY(Sales!$AX$1)-1)/2)+'Cash Drivers'!AX$13,0)=EOMONTH($AU$1,0),Sales!AX$6*Sales!AX$7,0)+IF(EOMONTH(DATE(YEAR(Sales!$AU$1),MONTH(Sales!$AU$1),1)+INT((DAY(Sales!$AU$1)-1)/2)+'Cash Drivers'!AU$13,0)=EOMONTH($AU$1,0),Sales!AU$6*Sales!AU$7,0)+IF(EOMONTH(DATE(YEAR(Sales!$AR$1),MONTH(Sales!$AR$1),1)+INT((DAY(Sales!$AR$1)-1)/2)+'Cash Drivers'!AR$13,0)=EOMONTH($AU$1,0),Sales!AR$6*Sales!AR$7,0)+IF(EOMONTH(DATE(YEAR(Sales!$AO$1),MONTH(Sales!$AO$1),1)+INT((DAY(Sales!$AO$1)-1)/2)+'Cash Drivers'!AO$13,0)=EOMONTH($AU$1,0),Sales!AO$6*Sales!AO$7,0)+IF(EOMONTH(DATE(YEAR(Sales!$AL$1),MONTH(Sales!$AL$1),1)+INT((DAY(Sales!$AL$1)-1)/2)+'Cash Drivers'!AL$13,0)=EOMONTH($AU$1,0),Sales!AL$6*Sales!AL$7,0)+IF(EOMONTH(DATE(YEAR(Sales!$AI$1),MONTH(Sales!$AI$1),1)+INT((DAY(Sales!$AI$1)-1)/2)+'Cash Drivers'!AI$13,0)=EOMONTH($AU$1,0),Sales!AI$6*Sales!AI$7,0)+IF(EOMONTH(DATE(YEAR(Sales!$AF$1),MONTH(Sales!$AF$1),1)+INT((DAY(Sales!$AF$1)-1)/2)+'Cash Drivers'!AF$13,0)=EOMONTH($AU$1,0),Sales!AF$6*Sales!AF$7,0)+IF(EOMONTH(DATE(YEAR(Sales!$AC$1),MONTH(Sales!$AC$1),1)+INT((DAY(Sales!$AC$1)-1)/2)+'Cash Drivers'!AC$13,0)=EOMONTH($AU$1,0),Sales!AC$6*Sales!AC$7,0)+IF(EOMONTH(DATE(YEAR(Sales!$Z$1),MONTH(Sales!$Z$1),1)+INT((DAY(Sales!$Z$1)-1)/2)+'Cash Drivers'!Z$13,0)=EOMONTH($AU$1,0),Sales!Z$6*Sales!Z$7,0)+IF(EOMONTH(DATE(YEAR(Sales!$W$1),MONTH(Sales!$W$1),1)+INT((DAY(Sales!$W$1)-1)/2)+'Cash Drivers'!W$13,0)=EOMONTH($AU$1,0),Sales!W$6*Sales!W$7,0)+IF(EOMONTH(DATE(YEAR(Sales!$T$1),MONTH(Sales!$T$1),1)+INT((DAY(Sales!$T$1)-1)/2)+'Cash Drivers'!T$13,0)=EOMONTH($AU$1,0),Sales!T$6*Sales!T$7,0)+IF(EOMONTH(DATE(YEAR(Sales!$Q$1),MONTH(Sales!$Q$1),1)+INT((DAY(Sales!$Q$1)-1)/2)+'Cash Drivers'!Q$13,0)=EOMONTH($AU$1,0),Sales!Q$6*Sales!Q$7,0)+IF(EOMONTH(DATE(YEAR(Sales!$N$1),MONTH(Sales!$N$1),1)+INT((DAY(Sales!$N$1)-1)/2)+'Cash Drivers'!N$13,0)=EOMONTH($AU$1,0),Sales!N$6*Sales!N$7,0)+IF(EOMONTH(DATE(YEAR(Sales!$K$1),MONTH(Sales!$K$1),1)+INT((DAY(Sales!$K$1)-1)/2)+'Cash Drivers'!K$13,0)=EOMONTH($AU$1,0),Sales!K$6*Sales!K$7,0)+IF(EOMONTH('Cash Drivers'!$DL$30+'Cash Drivers'!DL$13,0)=EOMONTH($AU$1,0),'Cash Drivers'!$DL$32*Sales!$DL$60,0),0)</f>
        <v>0</v>
      </c>
      <c r="AV24" s="59" t="n">
        <f aca="false">ROUND(IF(EOMONTH(DATE(YEAR(Sales!$DL$1),MONTH(Sales!$DL$1),1)+INT((DAY(Sales!$DL$1)-1)/2)+'Cash Drivers'!DM$13,0)=EOMONTH($AU$1,0),Sales!DM$6*Sales!DM$7,0)+IF(EOMONTH(DATE(YEAR(Sales!$DI$1),MONTH(Sales!$DI$1),1)+INT((DAY(Sales!$DI$1)-1)/2)+'Cash Drivers'!DJ$13,0)=EOMONTH($AU$1,0),Sales!DJ$6*Sales!DJ$7,0)+IF(EOMONTH(DATE(YEAR(Sales!$DF$1),MONTH(Sales!$DF$1),1)+INT((DAY(Sales!$DF$1)-1)/2)+'Cash Drivers'!DG$13,0)=EOMONTH($AU$1,0),Sales!DG$6*Sales!DG$7,0)+IF(EOMONTH(DATE(YEAR(Sales!$DC$1),MONTH(Sales!$DC$1),1)+INT((DAY(Sales!$DC$1)-1)/2)+'Cash Drivers'!DD$13,0)=EOMONTH($AU$1,0),Sales!DD$6*Sales!DD$7,0)+IF(EOMONTH(DATE(YEAR(Sales!$CZ$1),MONTH(Sales!$CZ$1),1)+INT((DAY(Sales!$CZ$1)-1)/2)+'Cash Drivers'!DA$13,0)=EOMONTH($AU$1,0),Sales!DA$6*Sales!DA$7,0)+IF(EOMONTH(DATE(YEAR(Sales!$CW$1),MONTH(Sales!$CW$1),1)+INT((DAY(Sales!$CW$1)-1)/2)+'Cash Drivers'!CX$13,0)=EOMONTH($AU$1,0),Sales!CX$6*Sales!CX$7,0)+IF(EOMONTH(DATE(YEAR(Sales!$CT$1),MONTH(Sales!$CT$1),1)+INT((DAY(Sales!$CT$1)-1)/2)+'Cash Drivers'!CU$13,0)=EOMONTH($AU$1,0),Sales!CU$6*Sales!CU$7,0)+IF(EOMONTH(DATE(YEAR(Sales!$CQ$1),MONTH(Sales!$CQ$1),1)+INT((DAY(Sales!$CQ$1)-1)/2)+'Cash Drivers'!CR$13,0)=EOMONTH($AU$1,0),Sales!CR$6*Sales!CR$7,0)+IF(EOMONTH(DATE(YEAR(Sales!$CN$1),MONTH(Sales!$CN$1),1)+INT((DAY(Sales!$CN$1)-1)/2)+'Cash Drivers'!CO$13,0)=EOMONTH($AU$1,0),Sales!CO$6*Sales!CO$7,0)+IF(EOMONTH(DATE(YEAR(Sales!$CK$1),MONTH(Sales!$CK$1),1)+INT((DAY(Sales!$CK$1)-1)/2)+'Cash Drivers'!CL$13,0)=EOMONTH($AU$1,0),Sales!CL$6*Sales!CL$7,0)+IF(EOMONTH(DATE(YEAR(Sales!$CH$1),MONTH(Sales!$CH$1),1)+INT((DAY(Sales!$CH$1)-1)/2)+'Cash Drivers'!CI$13,0)=EOMONTH($AU$1,0),Sales!CI$6*Sales!CI$7,0)+IF(EOMONTH(DATE(YEAR(Sales!$CE$1),MONTH(Sales!$CE$1),1)+INT((DAY(Sales!$CE$1)-1)/2)+'Cash Drivers'!CF$13,0)=EOMONTH($AU$1,0),Sales!CF$6*Sales!CF$7,0)+IF(EOMONTH(DATE(YEAR(Sales!$CB$1),MONTH(Sales!$CB$1),1)+INT((DAY(Sales!$CB$1)-1)/2)+'Cash Drivers'!CC$13,0)=EOMONTH($AU$1,0),Sales!CC$6*Sales!CC$7,0)+IF(EOMONTH(DATE(YEAR(Sales!$BY$1),MONTH(Sales!$BY$1),1)+INT((DAY(Sales!$BY$1)-1)/2)+'Cash Drivers'!BZ$13,0)=EOMONTH($AU$1,0),Sales!BZ$6*Sales!BZ$7,0)+IF(EOMONTH(DATE(YEAR(Sales!$BV$1),MONTH(Sales!$BV$1),1)+INT((DAY(Sales!$BV$1)-1)/2)+'Cash Drivers'!BW$13,0)=EOMONTH($AU$1,0),Sales!BW$6*Sales!BW$7,0)+IF(EOMONTH(DATE(YEAR(Sales!$BS$1),MONTH(Sales!$BS$1),1)+INT((DAY(Sales!$BS$1)-1)/2)+'Cash Drivers'!BT$13,0)=EOMONTH($AU$1,0),Sales!BT$6*Sales!BT$7,0)+IF(EOMONTH(DATE(YEAR(Sales!$BP$1),MONTH(Sales!$BP$1),1)+INT((DAY(Sales!$BP$1)-1)/2)+'Cash Drivers'!BQ$13,0)=EOMONTH($AU$1,0),Sales!BQ$6*Sales!BQ$7,0)+IF(EOMONTH(DATE(YEAR(Sales!$BM$1),MONTH(Sales!$BM$1),1)+INT((DAY(Sales!$BM$1)-1)/2)+'Cash Drivers'!BN$13,0)=EOMONTH($AU$1,0),Sales!BN$6*Sales!BN$7,0)+IF(EOMONTH(DATE(YEAR(Sales!$BJ$1),MONTH(Sales!$BJ$1),1)+INT((DAY(Sales!$BJ$1)-1)/2)+'Cash Drivers'!BK$13,0)=EOMONTH($AU$1,0),Sales!BK$6*Sales!BK$7,0)+IF(EOMONTH(DATE(YEAR(Sales!$BG$1),MONTH(Sales!$BG$1),1)+INT((DAY(Sales!$BG$1)-1)/2)+'Cash Drivers'!BH$13,0)=EOMONTH($AU$1,0),Sales!BH$6*Sales!BH$7,0)+IF(EOMONTH(DATE(YEAR(Sales!$BD$1),MONTH(Sales!$BD$1),1)+INT((DAY(Sales!$BD$1)-1)/2)+'Cash Drivers'!BE$13,0)=EOMONTH($AU$1,0),Sales!BE$6*Sales!BE$7,0)+IF(EOMONTH(DATE(YEAR(Sales!$BA$1),MONTH(Sales!$BA$1),1)+INT((DAY(Sales!$BA$1)-1)/2)+'Cash Drivers'!BB$13,0)=EOMONTH($AU$1,0),Sales!BB$6*Sales!BB$7,0)+IF(EOMONTH(DATE(YEAR(Sales!$AX$1),MONTH(Sales!$AX$1),1)+INT((DAY(Sales!$AX$1)-1)/2)+'Cash Drivers'!AY$13,0)=EOMONTH($AU$1,0),Sales!AY$6*Sales!AY$7,0)+IF(EOMONTH(DATE(YEAR(Sales!$AU$1),MONTH(Sales!$AU$1),1)+INT((DAY(Sales!$AU$1)-1)/2)+'Cash Drivers'!AV$13,0)=EOMONTH($AU$1,0),Sales!AV$6*Sales!AV$7,0)+IF(EOMONTH(DATE(YEAR(Sales!$AR$1),MONTH(Sales!$AR$1),1)+INT((DAY(Sales!$AR$1)-1)/2)+'Cash Drivers'!AS$13,0)=EOMONTH($AU$1,0),Sales!AS$6*Sales!AS$7,0)+IF(EOMONTH(DATE(YEAR(Sales!$AO$1),MONTH(Sales!$AO$1),1)+INT((DAY(Sales!$AO$1)-1)/2)+'Cash Drivers'!AP$13,0)=EOMONTH($AU$1,0),Sales!AP$6*Sales!AP$7,0)+IF(EOMONTH(DATE(YEAR(Sales!$AL$1),MONTH(Sales!$AL$1),1)+INT((DAY(Sales!$AL$1)-1)/2)+'Cash Drivers'!AM$13,0)=EOMONTH($AU$1,0),Sales!AM$6*Sales!AM$7,0)+IF(EOMONTH(DATE(YEAR(Sales!$AI$1),MONTH(Sales!$AI$1),1)+INT((DAY(Sales!$AI$1)-1)/2)+'Cash Drivers'!AJ$13,0)=EOMONTH($AU$1,0),Sales!AJ$6*Sales!AJ$7,0)+IF(EOMONTH(DATE(YEAR(Sales!$AF$1),MONTH(Sales!$AF$1),1)+INT((DAY(Sales!$AF$1)-1)/2)+'Cash Drivers'!AG$13,0)=EOMONTH($AU$1,0),Sales!AG$6*Sales!AG$7,0)+IF(EOMONTH(DATE(YEAR(Sales!$AC$1),MONTH(Sales!$AC$1),1)+INT((DAY(Sales!$AC$1)-1)/2)+'Cash Drivers'!AD$13,0)=EOMONTH($AU$1,0),Sales!AD$6*Sales!AD$7,0)+IF(EOMONTH(DATE(YEAR(Sales!$Z$1),MONTH(Sales!$Z$1),1)+INT((DAY(Sales!$Z$1)-1)/2)+'Cash Drivers'!AA$13,0)=EOMONTH($AU$1,0),Sales!AA$6*Sales!AA$7,0)+IF(EOMONTH(DATE(YEAR(Sales!$W$1),MONTH(Sales!$W$1),1)+INT((DAY(Sales!$W$1)-1)/2)+'Cash Drivers'!X$13,0)=EOMONTH($AU$1,0),Sales!X$6*Sales!X$7,0)+IF(EOMONTH(DATE(YEAR(Sales!$T$1),MONTH(Sales!$T$1),1)+INT((DAY(Sales!$T$1)-1)/2)+'Cash Drivers'!U$13,0)=EOMONTH($AU$1,0),Sales!U$6*Sales!U$7,0)+IF(EOMONTH(DATE(YEAR(Sales!$Q$1),MONTH(Sales!$Q$1),1)+INT((DAY(Sales!$Q$1)-1)/2)+'Cash Drivers'!R$13,0)=EOMONTH($AU$1,0),Sales!R$6*Sales!R$7,0)+IF(EOMONTH(DATE(YEAR(Sales!$N$1),MONTH(Sales!$N$1),1)+INT((DAY(Sales!$N$1)-1)/2)+'Cash Drivers'!O$13,0)=EOMONTH($AU$1,0),Sales!O$6*Sales!O$7,0)+IF(EOMONTH(DATE(YEAR(Sales!$K$1),MONTH(Sales!$K$1),1)+INT((DAY(Sales!$K$1)-1)/2)+'Cash Drivers'!L$13,0)=EOMONTH($AU$1,0),Sales!L$6*Sales!L$7,0)+IF(EOMONTH('Cash Drivers'!$DL$30+'Cash Drivers'!DM$13,0)=EOMONTH($AU$1,0),'Cash Drivers'!$DL$32*Sales!$DL$60,0),0)</f>
        <v>35952</v>
      </c>
      <c r="AW24" s="60" t="n">
        <f aca="false">ROUND(IF(EOMONTH(DATE(YEAR(Sales!$DL$1),MONTH(Sales!$DL$1),1)+INT((DAY(Sales!$DL$1)-1)/2)+'Cash Drivers'!DN$13,0)=EOMONTH($AU$1,0),Sales!DN$6*Sales!DN$7,0)+IF(EOMONTH(DATE(YEAR(Sales!$DI$1),MONTH(Sales!$DI$1),1)+INT((DAY(Sales!$DI$1)-1)/2)+'Cash Drivers'!DK$13,0)=EOMONTH($AU$1,0),Sales!DK$6*Sales!DK$7,0)+IF(EOMONTH(DATE(YEAR(Sales!$DF$1),MONTH(Sales!$DF$1),1)+INT((DAY(Sales!$DF$1)-1)/2)+'Cash Drivers'!DH$13,0)=EOMONTH($AU$1,0),Sales!DH$6*Sales!DH$7,0)+IF(EOMONTH(DATE(YEAR(Sales!$DC$1),MONTH(Sales!$DC$1),1)+INT((DAY(Sales!$DC$1)-1)/2)+'Cash Drivers'!DE$13,0)=EOMONTH($AU$1,0),Sales!DE$6*Sales!DE$7,0)+IF(EOMONTH(DATE(YEAR(Sales!$CZ$1),MONTH(Sales!$CZ$1),1)+INT((DAY(Sales!$CZ$1)-1)/2)+'Cash Drivers'!DB$13,0)=EOMONTH($AU$1,0),Sales!DB$6*Sales!DB$7,0)+IF(EOMONTH(DATE(YEAR(Sales!$CW$1),MONTH(Sales!$CW$1),1)+INT((DAY(Sales!$CW$1)-1)/2)+'Cash Drivers'!CY$13,0)=EOMONTH($AU$1,0),Sales!CY$6*Sales!CY$7,0)+IF(EOMONTH(DATE(YEAR(Sales!$CT$1),MONTH(Sales!$CT$1),1)+INT((DAY(Sales!$CT$1)-1)/2)+'Cash Drivers'!CV$13,0)=EOMONTH($AU$1,0),Sales!CV$6*Sales!CV$7,0)+IF(EOMONTH(DATE(YEAR(Sales!$CQ$1),MONTH(Sales!$CQ$1),1)+INT((DAY(Sales!$CQ$1)-1)/2)+'Cash Drivers'!CS$13,0)=EOMONTH($AU$1,0),Sales!CS$6*Sales!CS$7,0)+IF(EOMONTH(DATE(YEAR(Sales!$CN$1),MONTH(Sales!$CN$1),1)+INT((DAY(Sales!$CN$1)-1)/2)+'Cash Drivers'!CP$13,0)=EOMONTH($AU$1,0),Sales!CP$6*Sales!CP$7,0)+IF(EOMONTH(DATE(YEAR(Sales!$CK$1),MONTH(Sales!$CK$1),1)+INT((DAY(Sales!$CK$1)-1)/2)+'Cash Drivers'!CM$13,0)=EOMONTH($AU$1,0),Sales!CM$6*Sales!CM$7,0)+IF(EOMONTH(DATE(YEAR(Sales!$CH$1),MONTH(Sales!$CH$1),1)+INT((DAY(Sales!$CH$1)-1)/2)+'Cash Drivers'!CJ$13,0)=EOMONTH($AU$1,0),Sales!CJ$6*Sales!CJ$7,0)+IF(EOMONTH(DATE(YEAR(Sales!$CE$1),MONTH(Sales!$CE$1),1)+INT((DAY(Sales!$CE$1)-1)/2)+'Cash Drivers'!CG$13,0)=EOMONTH($AU$1,0),Sales!CG$6*Sales!CG$7,0)+IF(EOMONTH(DATE(YEAR(Sales!$CB$1),MONTH(Sales!$CB$1),1)+INT((DAY(Sales!$CB$1)-1)/2)+'Cash Drivers'!CD$13,0)=EOMONTH($AU$1,0),Sales!CD$6*Sales!CD$7,0)+IF(EOMONTH(DATE(YEAR(Sales!$BY$1),MONTH(Sales!$BY$1),1)+INT((DAY(Sales!$BY$1)-1)/2)+'Cash Drivers'!CA$13,0)=EOMONTH($AU$1,0),Sales!CA$6*Sales!CA$7,0)+IF(EOMONTH(DATE(YEAR(Sales!$BV$1),MONTH(Sales!$BV$1),1)+INT((DAY(Sales!$BV$1)-1)/2)+'Cash Drivers'!BX$13,0)=EOMONTH($AU$1,0),Sales!BX$6*Sales!BX$7,0)+IF(EOMONTH(DATE(YEAR(Sales!$BS$1),MONTH(Sales!$BS$1),1)+INT((DAY(Sales!$BS$1)-1)/2)+'Cash Drivers'!BU$13,0)=EOMONTH($AU$1,0),Sales!BU$6*Sales!BU$7,0)+IF(EOMONTH(DATE(YEAR(Sales!$BP$1),MONTH(Sales!$BP$1),1)+INT((DAY(Sales!$BP$1)-1)/2)+'Cash Drivers'!BR$13,0)=EOMONTH($AU$1,0),Sales!BR$6*Sales!BR$7,0)+IF(EOMONTH(DATE(YEAR(Sales!$BM$1),MONTH(Sales!$BM$1),1)+INT((DAY(Sales!$BM$1)-1)/2)+'Cash Drivers'!BO$13,0)=EOMONTH($AU$1,0),Sales!BO$6*Sales!BO$7,0)+IF(EOMONTH(DATE(YEAR(Sales!$BJ$1),MONTH(Sales!$BJ$1),1)+INT((DAY(Sales!$BJ$1)-1)/2)+'Cash Drivers'!BL$13,0)=EOMONTH($AU$1,0),Sales!BL$6*Sales!BL$7,0)+IF(EOMONTH(DATE(YEAR(Sales!$BG$1),MONTH(Sales!$BG$1),1)+INT((DAY(Sales!$BG$1)-1)/2)+'Cash Drivers'!BI$13,0)=EOMONTH($AU$1,0),Sales!BI$6*Sales!BI$7,0)+IF(EOMONTH(DATE(YEAR(Sales!$BD$1),MONTH(Sales!$BD$1),1)+INT((DAY(Sales!$BD$1)-1)/2)+'Cash Drivers'!BF$13,0)=EOMONTH($AU$1,0),Sales!BF$6*Sales!BF$7,0)+IF(EOMONTH(DATE(YEAR(Sales!$BA$1),MONTH(Sales!$BA$1),1)+INT((DAY(Sales!$BA$1)-1)/2)+'Cash Drivers'!BC$13,0)=EOMONTH($AU$1,0),Sales!BC$6*Sales!BC$7,0)+IF(EOMONTH(DATE(YEAR(Sales!$AX$1),MONTH(Sales!$AX$1),1)+INT((DAY(Sales!$AX$1)-1)/2)+'Cash Drivers'!AZ$13,0)=EOMONTH($AU$1,0),Sales!AZ$6*Sales!AZ$7,0)+IF(EOMONTH(DATE(YEAR(Sales!$AU$1),MONTH(Sales!$AU$1),1)+INT((DAY(Sales!$AU$1)-1)/2)+'Cash Drivers'!AW$13,0)=EOMONTH($AU$1,0),Sales!AW$6*Sales!AW$7,0)+IF(EOMONTH(DATE(YEAR(Sales!$AR$1),MONTH(Sales!$AR$1),1)+INT((DAY(Sales!$AR$1)-1)/2)+'Cash Drivers'!AT$13,0)=EOMONTH($AU$1,0),Sales!AT$6*Sales!AT$7,0)+IF(EOMONTH(DATE(YEAR(Sales!$AO$1),MONTH(Sales!$AO$1),1)+INT((DAY(Sales!$AO$1)-1)/2)+'Cash Drivers'!AQ$13,0)=EOMONTH($AU$1,0),Sales!AQ$6*Sales!AQ$7,0)+IF(EOMONTH(DATE(YEAR(Sales!$AL$1),MONTH(Sales!$AL$1),1)+INT((DAY(Sales!$AL$1)-1)/2)+'Cash Drivers'!AN$13,0)=EOMONTH($AU$1,0),Sales!AN$6*Sales!AN$7,0)+IF(EOMONTH(DATE(YEAR(Sales!$AI$1),MONTH(Sales!$AI$1),1)+INT((DAY(Sales!$AI$1)-1)/2)+'Cash Drivers'!AK$13,0)=EOMONTH($AU$1,0),Sales!AK$6*Sales!AK$7,0)+IF(EOMONTH(DATE(YEAR(Sales!$AF$1),MONTH(Sales!$AF$1),1)+INT((DAY(Sales!$AF$1)-1)/2)+'Cash Drivers'!AH$13,0)=EOMONTH($AU$1,0),Sales!AH$6*Sales!AH$7,0)+IF(EOMONTH(DATE(YEAR(Sales!$AC$1),MONTH(Sales!$AC$1),1)+INT((DAY(Sales!$AC$1)-1)/2)+'Cash Drivers'!AE$13,0)=EOMONTH($AU$1,0),Sales!AE$6*Sales!AE$7,0)+IF(EOMONTH(DATE(YEAR(Sales!$Z$1),MONTH(Sales!$Z$1),1)+INT((DAY(Sales!$Z$1)-1)/2)+'Cash Drivers'!AB$13,0)=EOMONTH($AU$1,0),Sales!AB$6*Sales!AB$7,0)+IF(EOMONTH(DATE(YEAR(Sales!$W$1),MONTH(Sales!$W$1),1)+INT((DAY(Sales!$W$1)-1)/2)+'Cash Drivers'!Y$13,0)=EOMONTH($AU$1,0),Sales!Y$6*Sales!Y$7,0)+IF(EOMONTH(DATE(YEAR(Sales!$T$1),MONTH(Sales!$T$1),1)+INT((DAY(Sales!$T$1)-1)/2)+'Cash Drivers'!V$13,0)=EOMONTH($AU$1,0),Sales!V$6*Sales!V$7,0)+IF(EOMONTH(DATE(YEAR(Sales!$Q$1),MONTH(Sales!$Q$1),1)+INT((DAY(Sales!$Q$1)-1)/2)+'Cash Drivers'!S$13,0)=EOMONTH($AU$1,0),Sales!S$6*Sales!S$7,0)+IF(EOMONTH(DATE(YEAR(Sales!$N$1),MONTH(Sales!$N$1),1)+INT((DAY(Sales!$N$1)-1)/2)+'Cash Drivers'!P$13,0)=EOMONTH($AU$1,0),Sales!P$6*Sales!P$7,0)+IF(EOMONTH(DATE(YEAR(Sales!$K$1),MONTH(Sales!$K$1),1)+INT((DAY(Sales!$K$1)-1)/2)+'Cash Drivers'!M$13,0)=EOMONTH($AU$1,0),Sales!M$6*Sales!M$7,0)+IF(EOMONTH('Cash Drivers'!$DL$30+'Cash Drivers'!DN$13,0)=EOMONTH($AU$1,0),'Cash Drivers'!$DL$32*Sales!$DL$60,0),0)</f>
        <v>36036</v>
      </c>
      <c r="AX24" s="58" t="n">
        <f aca="false">ROUND(IF(EOMONTH(DATE(YEAR(Sales!$DL$1),MONTH(Sales!$DL$1),1)+INT((DAY(Sales!$DL$1)-1)/2)+'Cash Drivers'!DL$13,0)=EOMONTH($AX$1,0),Sales!DL$6*Sales!DL$7,0)+IF(EOMONTH(DATE(YEAR(Sales!$DI$1),MONTH(Sales!$DI$1),1)+INT((DAY(Sales!$DI$1)-1)/2)+'Cash Drivers'!DI$13,0)=EOMONTH($AX$1,0),Sales!DI$6*Sales!DI$7,0)+IF(EOMONTH(DATE(YEAR(Sales!$DF$1),MONTH(Sales!$DF$1),1)+INT((DAY(Sales!$DF$1)-1)/2)+'Cash Drivers'!DF$13,0)=EOMONTH($AX$1,0),Sales!DF$6*Sales!DF$7,0)+IF(EOMONTH(DATE(YEAR(Sales!$DC$1),MONTH(Sales!$DC$1),1)+INT((DAY(Sales!$DC$1)-1)/2)+'Cash Drivers'!DC$13,0)=EOMONTH($AX$1,0),Sales!DC$6*Sales!DC$7,0)+IF(EOMONTH(DATE(YEAR(Sales!$CZ$1),MONTH(Sales!$CZ$1),1)+INT((DAY(Sales!$CZ$1)-1)/2)+'Cash Drivers'!CZ$13,0)=EOMONTH($AX$1,0),Sales!CZ$6*Sales!CZ$7,0)+IF(EOMONTH(DATE(YEAR(Sales!$CW$1),MONTH(Sales!$CW$1),1)+INT((DAY(Sales!$CW$1)-1)/2)+'Cash Drivers'!CW$13,0)=EOMONTH($AX$1,0),Sales!CW$6*Sales!CW$7,0)+IF(EOMONTH(DATE(YEAR(Sales!$CT$1),MONTH(Sales!$CT$1),1)+INT((DAY(Sales!$CT$1)-1)/2)+'Cash Drivers'!CT$13,0)=EOMONTH($AX$1,0),Sales!CT$6*Sales!CT$7,0)+IF(EOMONTH(DATE(YEAR(Sales!$CQ$1),MONTH(Sales!$CQ$1),1)+INT((DAY(Sales!$CQ$1)-1)/2)+'Cash Drivers'!CQ$13,0)=EOMONTH($AX$1,0),Sales!CQ$6*Sales!CQ$7,0)+IF(EOMONTH(DATE(YEAR(Sales!$CN$1),MONTH(Sales!$CN$1),1)+INT((DAY(Sales!$CN$1)-1)/2)+'Cash Drivers'!CN$13,0)=EOMONTH($AX$1,0),Sales!CN$6*Sales!CN$7,0)+IF(EOMONTH(DATE(YEAR(Sales!$CK$1),MONTH(Sales!$CK$1),1)+INT((DAY(Sales!$CK$1)-1)/2)+'Cash Drivers'!CK$13,0)=EOMONTH($AX$1,0),Sales!CK$6*Sales!CK$7,0)+IF(EOMONTH(DATE(YEAR(Sales!$CH$1),MONTH(Sales!$CH$1),1)+INT((DAY(Sales!$CH$1)-1)/2)+'Cash Drivers'!CH$13,0)=EOMONTH($AX$1,0),Sales!CH$6*Sales!CH$7,0)+IF(EOMONTH(DATE(YEAR(Sales!$CE$1),MONTH(Sales!$CE$1),1)+INT((DAY(Sales!$CE$1)-1)/2)+'Cash Drivers'!CE$13,0)=EOMONTH($AX$1,0),Sales!CE$6*Sales!CE$7,0)+IF(EOMONTH(DATE(YEAR(Sales!$CB$1),MONTH(Sales!$CB$1),1)+INT((DAY(Sales!$CB$1)-1)/2)+'Cash Drivers'!CB$13,0)=EOMONTH($AX$1,0),Sales!CB$6*Sales!CB$7,0)+IF(EOMONTH(DATE(YEAR(Sales!$BY$1),MONTH(Sales!$BY$1),1)+INT((DAY(Sales!$BY$1)-1)/2)+'Cash Drivers'!BY$13,0)=EOMONTH($AX$1,0),Sales!BY$6*Sales!BY$7,0)+IF(EOMONTH(DATE(YEAR(Sales!$BV$1),MONTH(Sales!$BV$1),1)+INT((DAY(Sales!$BV$1)-1)/2)+'Cash Drivers'!BV$13,0)=EOMONTH($AX$1,0),Sales!BV$6*Sales!BV$7,0)+IF(EOMONTH(DATE(YEAR(Sales!$BS$1),MONTH(Sales!$BS$1),1)+INT((DAY(Sales!$BS$1)-1)/2)+'Cash Drivers'!BS$13,0)=EOMONTH($AX$1,0),Sales!BS$6*Sales!BS$7,0)+IF(EOMONTH(DATE(YEAR(Sales!$BP$1),MONTH(Sales!$BP$1),1)+INT((DAY(Sales!$BP$1)-1)/2)+'Cash Drivers'!BP$13,0)=EOMONTH($AX$1,0),Sales!BP$6*Sales!BP$7,0)+IF(EOMONTH(DATE(YEAR(Sales!$BM$1),MONTH(Sales!$BM$1),1)+INT((DAY(Sales!$BM$1)-1)/2)+'Cash Drivers'!BM$13,0)=EOMONTH($AX$1,0),Sales!BM$6*Sales!BM$7,0)+IF(EOMONTH(DATE(YEAR(Sales!$BJ$1),MONTH(Sales!$BJ$1),1)+INT((DAY(Sales!$BJ$1)-1)/2)+'Cash Drivers'!BJ$13,0)=EOMONTH($AX$1,0),Sales!BJ$6*Sales!BJ$7,0)+IF(EOMONTH(DATE(YEAR(Sales!$BG$1),MONTH(Sales!$BG$1),1)+INT((DAY(Sales!$BG$1)-1)/2)+'Cash Drivers'!BG$13,0)=EOMONTH($AX$1,0),Sales!BG$6*Sales!BG$7,0)+IF(EOMONTH(DATE(YEAR(Sales!$BD$1),MONTH(Sales!$BD$1),1)+INT((DAY(Sales!$BD$1)-1)/2)+'Cash Drivers'!BD$13,0)=EOMONTH($AX$1,0),Sales!BD$6*Sales!BD$7,0)+IF(EOMONTH(DATE(YEAR(Sales!$BA$1),MONTH(Sales!$BA$1),1)+INT((DAY(Sales!$BA$1)-1)/2)+'Cash Drivers'!BA$13,0)=EOMONTH($AX$1,0),Sales!BA$6*Sales!BA$7,0)+IF(EOMONTH(DATE(YEAR(Sales!$AX$1),MONTH(Sales!$AX$1),1)+INT((DAY(Sales!$AX$1)-1)/2)+'Cash Drivers'!AX$13,0)=EOMONTH($AX$1,0),Sales!AX$6*Sales!AX$7,0)+IF(EOMONTH(DATE(YEAR(Sales!$AU$1),MONTH(Sales!$AU$1),1)+INT((DAY(Sales!$AU$1)-1)/2)+'Cash Drivers'!AU$13,0)=EOMONTH($AX$1,0),Sales!AU$6*Sales!AU$7,0)+IF(EOMONTH(DATE(YEAR(Sales!$AR$1),MONTH(Sales!$AR$1),1)+INT((DAY(Sales!$AR$1)-1)/2)+'Cash Drivers'!AR$13,0)=EOMONTH($AX$1,0),Sales!AR$6*Sales!AR$7,0)+IF(EOMONTH(DATE(YEAR(Sales!$AO$1),MONTH(Sales!$AO$1),1)+INT((DAY(Sales!$AO$1)-1)/2)+'Cash Drivers'!AO$13,0)=EOMONTH($AX$1,0),Sales!AO$6*Sales!AO$7,0)+IF(EOMONTH(DATE(YEAR(Sales!$AL$1),MONTH(Sales!$AL$1),1)+INT((DAY(Sales!$AL$1)-1)/2)+'Cash Drivers'!AL$13,0)=EOMONTH($AX$1,0),Sales!AL$6*Sales!AL$7,0)+IF(EOMONTH(DATE(YEAR(Sales!$AI$1),MONTH(Sales!$AI$1),1)+INT((DAY(Sales!$AI$1)-1)/2)+'Cash Drivers'!AI$13,0)=EOMONTH($AX$1,0),Sales!AI$6*Sales!AI$7,0)+IF(EOMONTH(DATE(YEAR(Sales!$AF$1),MONTH(Sales!$AF$1),1)+INT((DAY(Sales!$AF$1)-1)/2)+'Cash Drivers'!AF$13,0)=EOMONTH($AX$1,0),Sales!AF$6*Sales!AF$7,0)+IF(EOMONTH(DATE(YEAR(Sales!$AC$1),MONTH(Sales!$AC$1),1)+INT((DAY(Sales!$AC$1)-1)/2)+'Cash Drivers'!AC$13,0)=EOMONTH($AX$1,0),Sales!AC$6*Sales!AC$7,0)+IF(EOMONTH(DATE(YEAR(Sales!$Z$1),MONTH(Sales!$Z$1),1)+INT((DAY(Sales!$Z$1)-1)/2)+'Cash Drivers'!Z$13,0)=EOMONTH($AX$1,0),Sales!Z$6*Sales!Z$7,0)+IF(EOMONTH(DATE(YEAR(Sales!$W$1),MONTH(Sales!$W$1),1)+INT((DAY(Sales!$W$1)-1)/2)+'Cash Drivers'!W$13,0)=EOMONTH($AX$1,0),Sales!W$6*Sales!W$7,0)+IF(EOMONTH(DATE(YEAR(Sales!$T$1),MONTH(Sales!$T$1),1)+INT((DAY(Sales!$T$1)-1)/2)+'Cash Drivers'!T$13,0)=EOMONTH($AX$1,0),Sales!T$6*Sales!T$7,0)+IF(EOMONTH(DATE(YEAR(Sales!$Q$1),MONTH(Sales!$Q$1),1)+INT((DAY(Sales!$Q$1)-1)/2)+'Cash Drivers'!Q$13,0)=EOMONTH($AX$1,0),Sales!Q$6*Sales!Q$7,0)+IF(EOMONTH(DATE(YEAR(Sales!$N$1),MONTH(Sales!$N$1),1)+INT((DAY(Sales!$N$1)-1)/2)+'Cash Drivers'!N$13,0)=EOMONTH($AX$1,0),Sales!N$6*Sales!N$7,0)+IF(EOMONTH(DATE(YEAR(Sales!$K$1),MONTH(Sales!$K$1),1)+INT((DAY(Sales!$K$1)-1)/2)+'Cash Drivers'!K$13,0)=EOMONTH($AX$1,0),Sales!K$6*Sales!K$7,0)+IF(EOMONTH('Cash Drivers'!$DL$30+'Cash Drivers'!DL$13,0)=EOMONTH($AX$1,0),'Cash Drivers'!$DL$32*Sales!$DL$60,0),0)</f>
        <v>0</v>
      </c>
      <c r="AY24" s="59" t="n">
        <f aca="false">ROUND(IF(EOMONTH(DATE(YEAR(Sales!$DL$1),MONTH(Sales!$DL$1),1)+INT((DAY(Sales!$DL$1)-1)/2)+'Cash Drivers'!DM$13,0)=EOMONTH($AX$1,0),Sales!DM$6*Sales!DM$7,0)+IF(EOMONTH(DATE(YEAR(Sales!$DI$1),MONTH(Sales!$DI$1),1)+INT((DAY(Sales!$DI$1)-1)/2)+'Cash Drivers'!DJ$13,0)=EOMONTH($AX$1,0),Sales!DJ$6*Sales!DJ$7,0)+IF(EOMONTH(DATE(YEAR(Sales!$DF$1),MONTH(Sales!$DF$1),1)+INT((DAY(Sales!$DF$1)-1)/2)+'Cash Drivers'!DG$13,0)=EOMONTH($AX$1,0),Sales!DG$6*Sales!DG$7,0)+IF(EOMONTH(DATE(YEAR(Sales!$DC$1),MONTH(Sales!$DC$1),1)+INT((DAY(Sales!$DC$1)-1)/2)+'Cash Drivers'!DD$13,0)=EOMONTH($AX$1,0),Sales!DD$6*Sales!DD$7,0)+IF(EOMONTH(DATE(YEAR(Sales!$CZ$1),MONTH(Sales!$CZ$1),1)+INT((DAY(Sales!$CZ$1)-1)/2)+'Cash Drivers'!DA$13,0)=EOMONTH($AX$1,0),Sales!DA$6*Sales!DA$7,0)+IF(EOMONTH(DATE(YEAR(Sales!$CW$1),MONTH(Sales!$CW$1),1)+INT((DAY(Sales!$CW$1)-1)/2)+'Cash Drivers'!CX$13,0)=EOMONTH($AX$1,0),Sales!CX$6*Sales!CX$7,0)+IF(EOMONTH(DATE(YEAR(Sales!$CT$1),MONTH(Sales!$CT$1),1)+INT((DAY(Sales!$CT$1)-1)/2)+'Cash Drivers'!CU$13,0)=EOMONTH($AX$1,0),Sales!CU$6*Sales!CU$7,0)+IF(EOMONTH(DATE(YEAR(Sales!$CQ$1),MONTH(Sales!$CQ$1),1)+INT((DAY(Sales!$CQ$1)-1)/2)+'Cash Drivers'!CR$13,0)=EOMONTH($AX$1,0),Sales!CR$6*Sales!CR$7,0)+IF(EOMONTH(DATE(YEAR(Sales!$CN$1),MONTH(Sales!$CN$1),1)+INT((DAY(Sales!$CN$1)-1)/2)+'Cash Drivers'!CO$13,0)=EOMONTH($AX$1,0),Sales!CO$6*Sales!CO$7,0)+IF(EOMONTH(DATE(YEAR(Sales!$CK$1),MONTH(Sales!$CK$1),1)+INT((DAY(Sales!$CK$1)-1)/2)+'Cash Drivers'!CL$13,0)=EOMONTH($AX$1,0),Sales!CL$6*Sales!CL$7,0)+IF(EOMONTH(DATE(YEAR(Sales!$CH$1),MONTH(Sales!$CH$1),1)+INT((DAY(Sales!$CH$1)-1)/2)+'Cash Drivers'!CI$13,0)=EOMONTH($AX$1,0),Sales!CI$6*Sales!CI$7,0)+IF(EOMONTH(DATE(YEAR(Sales!$CE$1),MONTH(Sales!$CE$1),1)+INT((DAY(Sales!$CE$1)-1)/2)+'Cash Drivers'!CF$13,0)=EOMONTH($AX$1,0),Sales!CF$6*Sales!CF$7,0)+IF(EOMONTH(DATE(YEAR(Sales!$CB$1),MONTH(Sales!$CB$1),1)+INT((DAY(Sales!$CB$1)-1)/2)+'Cash Drivers'!CC$13,0)=EOMONTH($AX$1,0),Sales!CC$6*Sales!CC$7,0)+IF(EOMONTH(DATE(YEAR(Sales!$BY$1),MONTH(Sales!$BY$1),1)+INT((DAY(Sales!$BY$1)-1)/2)+'Cash Drivers'!BZ$13,0)=EOMONTH($AX$1,0),Sales!BZ$6*Sales!BZ$7,0)+IF(EOMONTH(DATE(YEAR(Sales!$BV$1),MONTH(Sales!$BV$1),1)+INT((DAY(Sales!$BV$1)-1)/2)+'Cash Drivers'!BW$13,0)=EOMONTH($AX$1,0),Sales!BW$6*Sales!BW$7,0)+IF(EOMONTH(DATE(YEAR(Sales!$BS$1),MONTH(Sales!$BS$1),1)+INT((DAY(Sales!$BS$1)-1)/2)+'Cash Drivers'!BT$13,0)=EOMONTH($AX$1,0),Sales!BT$6*Sales!BT$7,0)+IF(EOMONTH(DATE(YEAR(Sales!$BP$1),MONTH(Sales!$BP$1),1)+INT((DAY(Sales!$BP$1)-1)/2)+'Cash Drivers'!BQ$13,0)=EOMONTH($AX$1,0),Sales!BQ$6*Sales!BQ$7,0)+IF(EOMONTH(DATE(YEAR(Sales!$BM$1),MONTH(Sales!$BM$1),1)+INT((DAY(Sales!$BM$1)-1)/2)+'Cash Drivers'!BN$13,0)=EOMONTH($AX$1,0),Sales!BN$6*Sales!BN$7,0)+IF(EOMONTH(DATE(YEAR(Sales!$BJ$1),MONTH(Sales!$BJ$1),1)+INT((DAY(Sales!$BJ$1)-1)/2)+'Cash Drivers'!BK$13,0)=EOMONTH($AX$1,0),Sales!BK$6*Sales!BK$7,0)+IF(EOMONTH(DATE(YEAR(Sales!$BG$1),MONTH(Sales!$BG$1),1)+INT((DAY(Sales!$BG$1)-1)/2)+'Cash Drivers'!BH$13,0)=EOMONTH($AX$1,0),Sales!BH$6*Sales!BH$7,0)+IF(EOMONTH(DATE(YEAR(Sales!$BD$1),MONTH(Sales!$BD$1),1)+INT((DAY(Sales!$BD$1)-1)/2)+'Cash Drivers'!BE$13,0)=EOMONTH($AX$1,0),Sales!BE$6*Sales!BE$7,0)+IF(EOMONTH(DATE(YEAR(Sales!$BA$1),MONTH(Sales!$BA$1),1)+INT((DAY(Sales!$BA$1)-1)/2)+'Cash Drivers'!BB$13,0)=EOMONTH($AX$1,0),Sales!BB$6*Sales!BB$7,0)+IF(EOMONTH(DATE(YEAR(Sales!$AX$1),MONTH(Sales!$AX$1),1)+INT((DAY(Sales!$AX$1)-1)/2)+'Cash Drivers'!AY$13,0)=EOMONTH($AX$1,0),Sales!AY$6*Sales!AY$7,0)+IF(EOMONTH(DATE(YEAR(Sales!$AU$1),MONTH(Sales!$AU$1),1)+INT((DAY(Sales!$AU$1)-1)/2)+'Cash Drivers'!AV$13,0)=EOMONTH($AX$1,0),Sales!AV$6*Sales!AV$7,0)+IF(EOMONTH(DATE(YEAR(Sales!$AR$1),MONTH(Sales!$AR$1),1)+INT((DAY(Sales!$AR$1)-1)/2)+'Cash Drivers'!AS$13,0)=EOMONTH($AX$1,0),Sales!AS$6*Sales!AS$7,0)+IF(EOMONTH(DATE(YEAR(Sales!$AO$1),MONTH(Sales!$AO$1),1)+INT((DAY(Sales!$AO$1)-1)/2)+'Cash Drivers'!AP$13,0)=EOMONTH($AX$1,0),Sales!AP$6*Sales!AP$7,0)+IF(EOMONTH(DATE(YEAR(Sales!$AL$1),MONTH(Sales!$AL$1),1)+INT((DAY(Sales!$AL$1)-1)/2)+'Cash Drivers'!AM$13,0)=EOMONTH($AX$1,0),Sales!AM$6*Sales!AM$7,0)+IF(EOMONTH(DATE(YEAR(Sales!$AI$1),MONTH(Sales!$AI$1),1)+INT((DAY(Sales!$AI$1)-1)/2)+'Cash Drivers'!AJ$13,0)=EOMONTH($AX$1,0),Sales!AJ$6*Sales!AJ$7,0)+IF(EOMONTH(DATE(YEAR(Sales!$AF$1),MONTH(Sales!$AF$1),1)+INT((DAY(Sales!$AF$1)-1)/2)+'Cash Drivers'!AG$13,0)=EOMONTH($AX$1,0),Sales!AG$6*Sales!AG$7,0)+IF(EOMONTH(DATE(YEAR(Sales!$AC$1),MONTH(Sales!$AC$1),1)+INT((DAY(Sales!$AC$1)-1)/2)+'Cash Drivers'!AD$13,0)=EOMONTH($AX$1,0),Sales!AD$6*Sales!AD$7,0)+IF(EOMONTH(DATE(YEAR(Sales!$Z$1),MONTH(Sales!$Z$1),1)+INT((DAY(Sales!$Z$1)-1)/2)+'Cash Drivers'!AA$13,0)=EOMONTH($AX$1,0),Sales!AA$6*Sales!AA$7,0)+IF(EOMONTH(DATE(YEAR(Sales!$W$1),MONTH(Sales!$W$1),1)+INT((DAY(Sales!$W$1)-1)/2)+'Cash Drivers'!X$13,0)=EOMONTH($AX$1,0),Sales!X$6*Sales!X$7,0)+IF(EOMONTH(DATE(YEAR(Sales!$T$1),MONTH(Sales!$T$1),1)+INT((DAY(Sales!$T$1)-1)/2)+'Cash Drivers'!U$13,0)=EOMONTH($AX$1,0),Sales!U$6*Sales!U$7,0)+IF(EOMONTH(DATE(YEAR(Sales!$Q$1),MONTH(Sales!$Q$1),1)+INT((DAY(Sales!$Q$1)-1)/2)+'Cash Drivers'!R$13,0)=EOMONTH($AX$1,0),Sales!R$6*Sales!R$7,0)+IF(EOMONTH(DATE(YEAR(Sales!$N$1),MONTH(Sales!$N$1),1)+INT((DAY(Sales!$N$1)-1)/2)+'Cash Drivers'!O$13,0)=EOMONTH($AX$1,0),Sales!O$6*Sales!O$7,0)+IF(EOMONTH(DATE(YEAR(Sales!$K$1),MONTH(Sales!$K$1),1)+INT((DAY(Sales!$K$1)-1)/2)+'Cash Drivers'!L$13,0)=EOMONTH($AX$1,0),Sales!L$6*Sales!L$7,0)+IF(EOMONTH('Cash Drivers'!$DL$30+'Cash Drivers'!DM$13,0)=EOMONTH($AX$1,0),'Cash Drivers'!$DL$32*Sales!$DL$60,0),0)</f>
        <v>35784</v>
      </c>
      <c r="AZ24" s="60" t="n">
        <f aca="false">ROUND(IF(EOMONTH(DATE(YEAR(Sales!$DL$1),MONTH(Sales!$DL$1),1)+INT((DAY(Sales!$DL$1)-1)/2)+'Cash Drivers'!DN$13,0)=EOMONTH($AX$1,0),Sales!DN$6*Sales!DN$7,0)+IF(EOMONTH(DATE(YEAR(Sales!$DI$1),MONTH(Sales!$DI$1),1)+INT((DAY(Sales!$DI$1)-1)/2)+'Cash Drivers'!DK$13,0)=EOMONTH($AX$1,0),Sales!DK$6*Sales!DK$7,0)+IF(EOMONTH(DATE(YEAR(Sales!$DF$1),MONTH(Sales!$DF$1),1)+INT((DAY(Sales!$DF$1)-1)/2)+'Cash Drivers'!DH$13,0)=EOMONTH($AX$1,0),Sales!DH$6*Sales!DH$7,0)+IF(EOMONTH(DATE(YEAR(Sales!$DC$1),MONTH(Sales!$DC$1),1)+INT((DAY(Sales!$DC$1)-1)/2)+'Cash Drivers'!DE$13,0)=EOMONTH($AX$1,0),Sales!DE$6*Sales!DE$7,0)+IF(EOMONTH(DATE(YEAR(Sales!$CZ$1),MONTH(Sales!$CZ$1),1)+INT((DAY(Sales!$CZ$1)-1)/2)+'Cash Drivers'!DB$13,0)=EOMONTH($AX$1,0),Sales!DB$6*Sales!DB$7,0)+IF(EOMONTH(DATE(YEAR(Sales!$CW$1),MONTH(Sales!$CW$1),1)+INT((DAY(Sales!$CW$1)-1)/2)+'Cash Drivers'!CY$13,0)=EOMONTH($AX$1,0),Sales!CY$6*Sales!CY$7,0)+IF(EOMONTH(DATE(YEAR(Sales!$CT$1),MONTH(Sales!$CT$1),1)+INT((DAY(Sales!$CT$1)-1)/2)+'Cash Drivers'!CV$13,0)=EOMONTH($AX$1,0),Sales!CV$6*Sales!CV$7,0)+IF(EOMONTH(DATE(YEAR(Sales!$CQ$1),MONTH(Sales!$CQ$1),1)+INT((DAY(Sales!$CQ$1)-1)/2)+'Cash Drivers'!CS$13,0)=EOMONTH($AX$1,0),Sales!CS$6*Sales!CS$7,0)+IF(EOMONTH(DATE(YEAR(Sales!$CN$1),MONTH(Sales!$CN$1),1)+INT((DAY(Sales!$CN$1)-1)/2)+'Cash Drivers'!CP$13,0)=EOMONTH($AX$1,0),Sales!CP$6*Sales!CP$7,0)+IF(EOMONTH(DATE(YEAR(Sales!$CK$1),MONTH(Sales!$CK$1),1)+INT((DAY(Sales!$CK$1)-1)/2)+'Cash Drivers'!CM$13,0)=EOMONTH($AX$1,0),Sales!CM$6*Sales!CM$7,0)+IF(EOMONTH(DATE(YEAR(Sales!$CH$1),MONTH(Sales!$CH$1),1)+INT((DAY(Sales!$CH$1)-1)/2)+'Cash Drivers'!CJ$13,0)=EOMONTH($AX$1,0),Sales!CJ$6*Sales!CJ$7,0)+IF(EOMONTH(DATE(YEAR(Sales!$CE$1),MONTH(Sales!$CE$1),1)+INT((DAY(Sales!$CE$1)-1)/2)+'Cash Drivers'!CG$13,0)=EOMONTH($AX$1,0),Sales!CG$6*Sales!CG$7,0)+IF(EOMONTH(DATE(YEAR(Sales!$CB$1),MONTH(Sales!$CB$1),1)+INT((DAY(Sales!$CB$1)-1)/2)+'Cash Drivers'!CD$13,0)=EOMONTH($AX$1,0),Sales!CD$6*Sales!CD$7,0)+IF(EOMONTH(DATE(YEAR(Sales!$BY$1),MONTH(Sales!$BY$1),1)+INT((DAY(Sales!$BY$1)-1)/2)+'Cash Drivers'!CA$13,0)=EOMONTH($AX$1,0),Sales!CA$6*Sales!CA$7,0)+IF(EOMONTH(DATE(YEAR(Sales!$BV$1),MONTH(Sales!$BV$1),1)+INT((DAY(Sales!$BV$1)-1)/2)+'Cash Drivers'!BX$13,0)=EOMONTH($AX$1,0),Sales!BX$6*Sales!BX$7,0)+IF(EOMONTH(DATE(YEAR(Sales!$BS$1),MONTH(Sales!$BS$1),1)+INT((DAY(Sales!$BS$1)-1)/2)+'Cash Drivers'!BU$13,0)=EOMONTH($AX$1,0),Sales!BU$6*Sales!BU$7,0)+IF(EOMONTH(DATE(YEAR(Sales!$BP$1),MONTH(Sales!$BP$1),1)+INT((DAY(Sales!$BP$1)-1)/2)+'Cash Drivers'!BR$13,0)=EOMONTH($AX$1,0),Sales!BR$6*Sales!BR$7,0)+IF(EOMONTH(DATE(YEAR(Sales!$BM$1),MONTH(Sales!$BM$1),1)+INT((DAY(Sales!$BM$1)-1)/2)+'Cash Drivers'!BO$13,0)=EOMONTH($AX$1,0),Sales!BO$6*Sales!BO$7,0)+IF(EOMONTH(DATE(YEAR(Sales!$BJ$1),MONTH(Sales!$BJ$1),1)+INT((DAY(Sales!$BJ$1)-1)/2)+'Cash Drivers'!BL$13,0)=EOMONTH($AX$1,0),Sales!BL$6*Sales!BL$7,0)+IF(EOMONTH(DATE(YEAR(Sales!$BG$1),MONTH(Sales!$BG$1),1)+INT((DAY(Sales!$BG$1)-1)/2)+'Cash Drivers'!BI$13,0)=EOMONTH($AX$1,0),Sales!BI$6*Sales!BI$7,0)+IF(EOMONTH(DATE(YEAR(Sales!$BD$1),MONTH(Sales!$BD$1),1)+INT((DAY(Sales!$BD$1)-1)/2)+'Cash Drivers'!BF$13,0)=EOMONTH($AX$1,0),Sales!BF$6*Sales!BF$7,0)+IF(EOMONTH(DATE(YEAR(Sales!$BA$1),MONTH(Sales!$BA$1),1)+INT((DAY(Sales!$BA$1)-1)/2)+'Cash Drivers'!BC$13,0)=EOMONTH($AX$1,0),Sales!BC$6*Sales!BC$7,0)+IF(EOMONTH(DATE(YEAR(Sales!$AX$1),MONTH(Sales!$AX$1),1)+INT((DAY(Sales!$AX$1)-1)/2)+'Cash Drivers'!AZ$13,0)=EOMONTH($AX$1,0),Sales!AZ$6*Sales!AZ$7,0)+IF(EOMONTH(DATE(YEAR(Sales!$AU$1),MONTH(Sales!$AU$1),1)+INT((DAY(Sales!$AU$1)-1)/2)+'Cash Drivers'!AW$13,0)=EOMONTH($AX$1,0),Sales!AW$6*Sales!AW$7,0)+IF(EOMONTH(DATE(YEAR(Sales!$AR$1),MONTH(Sales!$AR$1),1)+INT((DAY(Sales!$AR$1)-1)/2)+'Cash Drivers'!AT$13,0)=EOMONTH($AX$1,0),Sales!AT$6*Sales!AT$7,0)+IF(EOMONTH(DATE(YEAR(Sales!$AO$1),MONTH(Sales!$AO$1),1)+INT((DAY(Sales!$AO$1)-1)/2)+'Cash Drivers'!AQ$13,0)=EOMONTH($AX$1,0),Sales!AQ$6*Sales!AQ$7,0)+IF(EOMONTH(DATE(YEAR(Sales!$AL$1),MONTH(Sales!$AL$1),1)+INT((DAY(Sales!$AL$1)-1)/2)+'Cash Drivers'!AN$13,0)=EOMONTH($AX$1,0),Sales!AN$6*Sales!AN$7,0)+IF(EOMONTH(DATE(YEAR(Sales!$AI$1),MONTH(Sales!$AI$1),1)+INT((DAY(Sales!$AI$1)-1)/2)+'Cash Drivers'!AK$13,0)=EOMONTH($AX$1,0),Sales!AK$6*Sales!AK$7,0)+IF(EOMONTH(DATE(YEAR(Sales!$AF$1),MONTH(Sales!$AF$1),1)+INT((DAY(Sales!$AF$1)-1)/2)+'Cash Drivers'!AH$13,0)=EOMONTH($AX$1,0),Sales!AH$6*Sales!AH$7,0)+IF(EOMONTH(DATE(YEAR(Sales!$AC$1),MONTH(Sales!$AC$1),1)+INT((DAY(Sales!$AC$1)-1)/2)+'Cash Drivers'!AE$13,0)=EOMONTH($AX$1,0),Sales!AE$6*Sales!AE$7,0)+IF(EOMONTH(DATE(YEAR(Sales!$Z$1),MONTH(Sales!$Z$1),1)+INT((DAY(Sales!$Z$1)-1)/2)+'Cash Drivers'!AB$13,0)=EOMONTH($AX$1,0),Sales!AB$6*Sales!AB$7,0)+IF(EOMONTH(DATE(YEAR(Sales!$W$1),MONTH(Sales!$W$1),1)+INT((DAY(Sales!$W$1)-1)/2)+'Cash Drivers'!Y$13,0)=EOMONTH($AX$1,0),Sales!Y$6*Sales!Y$7,0)+IF(EOMONTH(DATE(YEAR(Sales!$T$1),MONTH(Sales!$T$1),1)+INT((DAY(Sales!$T$1)-1)/2)+'Cash Drivers'!V$13,0)=EOMONTH($AX$1,0),Sales!V$6*Sales!V$7,0)+IF(EOMONTH(DATE(YEAR(Sales!$Q$1),MONTH(Sales!$Q$1),1)+INT((DAY(Sales!$Q$1)-1)/2)+'Cash Drivers'!S$13,0)=EOMONTH($AX$1,0),Sales!S$6*Sales!S$7,0)+IF(EOMONTH(DATE(YEAR(Sales!$N$1),MONTH(Sales!$N$1),1)+INT((DAY(Sales!$N$1)-1)/2)+'Cash Drivers'!P$13,0)=EOMONTH($AX$1,0),Sales!P$6*Sales!P$7,0)+IF(EOMONTH(DATE(YEAR(Sales!$K$1),MONTH(Sales!$K$1),1)+INT((DAY(Sales!$K$1)-1)/2)+'Cash Drivers'!M$13,0)=EOMONTH($AX$1,0),Sales!M$6*Sales!M$7,0)+IF(EOMONTH('Cash Drivers'!$DL$30+'Cash Drivers'!DN$13,0)=EOMONTH($AX$1,0),'Cash Drivers'!$DL$32*Sales!$DL$60,0),0)</f>
        <v>35868</v>
      </c>
      <c r="BA24" s="58" t="n">
        <f aca="false">ROUND(IF(EOMONTH(DATE(YEAR(Sales!$DL$1),MONTH(Sales!$DL$1),1)+INT((DAY(Sales!$DL$1)-1)/2)+'Cash Drivers'!DL$13,0)=EOMONTH($BA$1,0),Sales!DL$6*Sales!DL$7,0)+IF(EOMONTH(DATE(YEAR(Sales!$DI$1),MONTH(Sales!$DI$1),1)+INT((DAY(Sales!$DI$1)-1)/2)+'Cash Drivers'!DI$13,0)=EOMONTH($BA$1,0),Sales!DI$6*Sales!DI$7,0)+IF(EOMONTH(DATE(YEAR(Sales!$DF$1),MONTH(Sales!$DF$1),1)+INT((DAY(Sales!$DF$1)-1)/2)+'Cash Drivers'!DF$13,0)=EOMONTH($BA$1,0),Sales!DF$6*Sales!DF$7,0)+IF(EOMONTH(DATE(YEAR(Sales!$DC$1),MONTH(Sales!$DC$1),1)+INT((DAY(Sales!$DC$1)-1)/2)+'Cash Drivers'!DC$13,0)=EOMONTH($BA$1,0),Sales!DC$6*Sales!DC$7,0)+IF(EOMONTH(DATE(YEAR(Sales!$CZ$1),MONTH(Sales!$CZ$1),1)+INT((DAY(Sales!$CZ$1)-1)/2)+'Cash Drivers'!CZ$13,0)=EOMONTH($BA$1,0),Sales!CZ$6*Sales!CZ$7,0)+IF(EOMONTH(DATE(YEAR(Sales!$CW$1),MONTH(Sales!$CW$1),1)+INT((DAY(Sales!$CW$1)-1)/2)+'Cash Drivers'!CW$13,0)=EOMONTH($BA$1,0),Sales!CW$6*Sales!CW$7,0)+IF(EOMONTH(DATE(YEAR(Sales!$CT$1),MONTH(Sales!$CT$1),1)+INT((DAY(Sales!$CT$1)-1)/2)+'Cash Drivers'!CT$13,0)=EOMONTH($BA$1,0),Sales!CT$6*Sales!CT$7,0)+IF(EOMONTH(DATE(YEAR(Sales!$CQ$1),MONTH(Sales!$CQ$1),1)+INT((DAY(Sales!$CQ$1)-1)/2)+'Cash Drivers'!CQ$13,0)=EOMONTH($BA$1,0),Sales!CQ$6*Sales!CQ$7,0)+IF(EOMONTH(DATE(YEAR(Sales!$CN$1),MONTH(Sales!$CN$1),1)+INT((DAY(Sales!$CN$1)-1)/2)+'Cash Drivers'!CN$13,0)=EOMONTH($BA$1,0),Sales!CN$6*Sales!CN$7,0)+IF(EOMONTH(DATE(YEAR(Sales!$CK$1),MONTH(Sales!$CK$1),1)+INT((DAY(Sales!$CK$1)-1)/2)+'Cash Drivers'!CK$13,0)=EOMONTH($BA$1,0),Sales!CK$6*Sales!CK$7,0)+IF(EOMONTH(DATE(YEAR(Sales!$CH$1),MONTH(Sales!$CH$1),1)+INT((DAY(Sales!$CH$1)-1)/2)+'Cash Drivers'!CH$13,0)=EOMONTH($BA$1,0),Sales!CH$6*Sales!CH$7,0)+IF(EOMONTH(DATE(YEAR(Sales!$CE$1),MONTH(Sales!$CE$1),1)+INT((DAY(Sales!$CE$1)-1)/2)+'Cash Drivers'!CE$13,0)=EOMONTH($BA$1,0),Sales!CE$6*Sales!CE$7,0)+IF(EOMONTH(DATE(YEAR(Sales!$CB$1),MONTH(Sales!$CB$1),1)+INT((DAY(Sales!$CB$1)-1)/2)+'Cash Drivers'!CB$13,0)=EOMONTH($BA$1,0),Sales!CB$6*Sales!CB$7,0)+IF(EOMONTH(DATE(YEAR(Sales!$BY$1),MONTH(Sales!$BY$1),1)+INT((DAY(Sales!$BY$1)-1)/2)+'Cash Drivers'!BY$13,0)=EOMONTH($BA$1,0),Sales!BY$6*Sales!BY$7,0)+IF(EOMONTH(DATE(YEAR(Sales!$BV$1),MONTH(Sales!$BV$1),1)+INT((DAY(Sales!$BV$1)-1)/2)+'Cash Drivers'!BV$13,0)=EOMONTH($BA$1,0),Sales!BV$6*Sales!BV$7,0)+IF(EOMONTH(DATE(YEAR(Sales!$BS$1),MONTH(Sales!$BS$1),1)+INT((DAY(Sales!$BS$1)-1)/2)+'Cash Drivers'!BS$13,0)=EOMONTH($BA$1,0),Sales!BS$6*Sales!BS$7,0)+IF(EOMONTH(DATE(YEAR(Sales!$BP$1),MONTH(Sales!$BP$1),1)+INT((DAY(Sales!$BP$1)-1)/2)+'Cash Drivers'!BP$13,0)=EOMONTH($BA$1,0),Sales!BP$6*Sales!BP$7,0)+IF(EOMONTH(DATE(YEAR(Sales!$BM$1),MONTH(Sales!$BM$1),1)+INT((DAY(Sales!$BM$1)-1)/2)+'Cash Drivers'!BM$13,0)=EOMONTH($BA$1,0),Sales!BM$6*Sales!BM$7,0)+IF(EOMONTH(DATE(YEAR(Sales!$BJ$1),MONTH(Sales!$BJ$1),1)+INT((DAY(Sales!$BJ$1)-1)/2)+'Cash Drivers'!BJ$13,0)=EOMONTH($BA$1,0),Sales!BJ$6*Sales!BJ$7,0)+IF(EOMONTH(DATE(YEAR(Sales!$BG$1),MONTH(Sales!$BG$1),1)+INT((DAY(Sales!$BG$1)-1)/2)+'Cash Drivers'!BG$13,0)=EOMONTH($BA$1,0),Sales!BG$6*Sales!BG$7,0)+IF(EOMONTH(DATE(YEAR(Sales!$BD$1),MONTH(Sales!$BD$1),1)+INT((DAY(Sales!$BD$1)-1)/2)+'Cash Drivers'!BD$13,0)=EOMONTH($BA$1,0),Sales!BD$6*Sales!BD$7,0)+IF(EOMONTH(DATE(YEAR(Sales!$BA$1),MONTH(Sales!$BA$1),1)+INT((DAY(Sales!$BA$1)-1)/2)+'Cash Drivers'!BA$13,0)=EOMONTH($BA$1,0),Sales!BA$6*Sales!BA$7,0)+IF(EOMONTH(DATE(YEAR(Sales!$AX$1),MONTH(Sales!$AX$1),1)+INT((DAY(Sales!$AX$1)-1)/2)+'Cash Drivers'!AX$13,0)=EOMONTH($BA$1,0),Sales!AX$6*Sales!AX$7,0)+IF(EOMONTH(DATE(YEAR(Sales!$AU$1),MONTH(Sales!$AU$1),1)+INT((DAY(Sales!$AU$1)-1)/2)+'Cash Drivers'!AU$13,0)=EOMONTH($BA$1,0),Sales!AU$6*Sales!AU$7,0)+IF(EOMONTH(DATE(YEAR(Sales!$AR$1),MONTH(Sales!$AR$1),1)+INT((DAY(Sales!$AR$1)-1)/2)+'Cash Drivers'!AR$13,0)=EOMONTH($BA$1,0),Sales!AR$6*Sales!AR$7,0)+IF(EOMONTH(DATE(YEAR(Sales!$AO$1),MONTH(Sales!$AO$1),1)+INT((DAY(Sales!$AO$1)-1)/2)+'Cash Drivers'!AO$13,0)=EOMONTH($BA$1,0),Sales!AO$6*Sales!AO$7,0)+IF(EOMONTH(DATE(YEAR(Sales!$AL$1),MONTH(Sales!$AL$1),1)+INT((DAY(Sales!$AL$1)-1)/2)+'Cash Drivers'!AL$13,0)=EOMONTH($BA$1,0),Sales!AL$6*Sales!AL$7,0)+IF(EOMONTH(DATE(YEAR(Sales!$AI$1),MONTH(Sales!$AI$1),1)+INT((DAY(Sales!$AI$1)-1)/2)+'Cash Drivers'!AI$13,0)=EOMONTH($BA$1,0),Sales!AI$6*Sales!AI$7,0)+IF(EOMONTH(DATE(YEAR(Sales!$AF$1),MONTH(Sales!$AF$1),1)+INT((DAY(Sales!$AF$1)-1)/2)+'Cash Drivers'!AF$13,0)=EOMONTH($BA$1,0),Sales!AF$6*Sales!AF$7,0)+IF(EOMONTH(DATE(YEAR(Sales!$AC$1),MONTH(Sales!$AC$1),1)+INT((DAY(Sales!$AC$1)-1)/2)+'Cash Drivers'!AC$13,0)=EOMONTH($BA$1,0),Sales!AC$6*Sales!AC$7,0)+IF(EOMONTH(DATE(YEAR(Sales!$Z$1),MONTH(Sales!$Z$1),1)+INT((DAY(Sales!$Z$1)-1)/2)+'Cash Drivers'!Z$13,0)=EOMONTH($BA$1,0),Sales!Z$6*Sales!Z$7,0)+IF(EOMONTH(DATE(YEAR(Sales!$W$1),MONTH(Sales!$W$1),1)+INT((DAY(Sales!$W$1)-1)/2)+'Cash Drivers'!W$13,0)=EOMONTH($BA$1,0),Sales!W$6*Sales!W$7,0)+IF(EOMONTH(DATE(YEAR(Sales!$T$1),MONTH(Sales!$T$1),1)+INT((DAY(Sales!$T$1)-1)/2)+'Cash Drivers'!T$13,0)=EOMONTH($BA$1,0),Sales!T$6*Sales!T$7,0)+IF(EOMONTH(DATE(YEAR(Sales!$Q$1),MONTH(Sales!$Q$1),1)+INT((DAY(Sales!$Q$1)-1)/2)+'Cash Drivers'!Q$13,0)=EOMONTH($BA$1,0),Sales!Q$6*Sales!Q$7,0)+IF(EOMONTH(DATE(YEAR(Sales!$N$1),MONTH(Sales!$N$1),1)+INT((DAY(Sales!$N$1)-1)/2)+'Cash Drivers'!N$13,0)=EOMONTH($BA$1,0),Sales!N$6*Sales!N$7,0)+IF(EOMONTH(DATE(YEAR(Sales!$K$1),MONTH(Sales!$K$1),1)+INT((DAY(Sales!$K$1)-1)/2)+'Cash Drivers'!K$13,0)=EOMONTH($BA$1,0),Sales!K$6*Sales!K$7,0)+IF(EOMONTH('Cash Drivers'!$DL$30+'Cash Drivers'!DL$13,0)=EOMONTH($BA$1,0),'Cash Drivers'!$DL$32*Sales!$DL$60,0),0)</f>
        <v>0</v>
      </c>
      <c r="BB24" s="59" t="n">
        <f aca="false">ROUND(IF(EOMONTH(DATE(YEAR(Sales!$DL$1),MONTH(Sales!$DL$1),1)+INT((DAY(Sales!$DL$1)-1)/2)+'Cash Drivers'!DM$13,0)=EOMONTH($BA$1,0),Sales!DM$6*Sales!DM$7,0)+IF(EOMONTH(DATE(YEAR(Sales!$DI$1),MONTH(Sales!$DI$1),1)+INT((DAY(Sales!$DI$1)-1)/2)+'Cash Drivers'!DJ$13,0)=EOMONTH($BA$1,0),Sales!DJ$6*Sales!DJ$7,0)+IF(EOMONTH(DATE(YEAR(Sales!$DF$1),MONTH(Sales!$DF$1),1)+INT((DAY(Sales!$DF$1)-1)/2)+'Cash Drivers'!DG$13,0)=EOMONTH($BA$1,0),Sales!DG$6*Sales!DG$7,0)+IF(EOMONTH(DATE(YEAR(Sales!$DC$1),MONTH(Sales!$DC$1),1)+INT((DAY(Sales!$DC$1)-1)/2)+'Cash Drivers'!DD$13,0)=EOMONTH($BA$1,0),Sales!DD$6*Sales!DD$7,0)+IF(EOMONTH(DATE(YEAR(Sales!$CZ$1),MONTH(Sales!$CZ$1),1)+INT((DAY(Sales!$CZ$1)-1)/2)+'Cash Drivers'!DA$13,0)=EOMONTH($BA$1,0),Sales!DA$6*Sales!DA$7,0)+IF(EOMONTH(DATE(YEAR(Sales!$CW$1),MONTH(Sales!$CW$1),1)+INT((DAY(Sales!$CW$1)-1)/2)+'Cash Drivers'!CX$13,0)=EOMONTH($BA$1,0),Sales!CX$6*Sales!CX$7,0)+IF(EOMONTH(DATE(YEAR(Sales!$CT$1),MONTH(Sales!$CT$1),1)+INT((DAY(Sales!$CT$1)-1)/2)+'Cash Drivers'!CU$13,0)=EOMONTH($BA$1,0),Sales!CU$6*Sales!CU$7,0)+IF(EOMONTH(DATE(YEAR(Sales!$CQ$1),MONTH(Sales!$CQ$1),1)+INT((DAY(Sales!$CQ$1)-1)/2)+'Cash Drivers'!CR$13,0)=EOMONTH($BA$1,0),Sales!CR$6*Sales!CR$7,0)+IF(EOMONTH(DATE(YEAR(Sales!$CN$1),MONTH(Sales!$CN$1),1)+INT((DAY(Sales!$CN$1)-1)/2)+'Cash Drivers'!CO$13,0)=EOMONTH($BA$1,0),Sales!CO$6*Sales!CO$7,0)+IF(EOMONTH(DATE(YEAR(Sales!$CK$1),MONTH(Sales!$CK$1),1)+INT((DAY(Sales!$CK$1)-1)/2)+'Cash Drivers'!CL$13,0)=EOMONTH($BA$1,0),Sales!CL$6*Sales!CL$7,0)+IF(EOMONTH(DATE(YEAR(Sales!$CH$1),MONTH(Sales!$CH$1),1)+INT((DAY(Sales!$CH$1)-1)/2)+'Cash Drivers'!CI$13,0)=EOMONTH($BA$1,0),Sales!CI$6*Sales!CI$7,0)+IF(EOMONTH(DATE(YEAR(Sales!$CE$1),MONTH(Sales!$CE$1),1)+INT((DAY(Sales!$CE$1)-1)/2)+'Cash Drivers'!CF$13,0)=EOMONTH($BA$1,0),Sales!CF$6*Sales!CF$7,0)+IF(EOMONTH(DATE(YEAR(Sales!$CB$1),MONTH(Sales!$CB$1),1)+INT((DAY(Sales!$CB$1)-1)/2)+'Cash Drivers'!CC$13,0)=EOMONTH($BA$1,0),Sales!CC$6*Sales!CC$7,0)+IF(EOMONTH(DATE(YEAR(Sales!$BY$1),MONTH(Sales!$BY$1),1)+INT((DAY(Sales!$BY$1)-1)/2)+'Cash Drivers'!BZ$13,0)=EOMONTH($BA$1,0),Sales!BZ$6*Sales!BZ$7,0)+IF(EOMONTH(DATE(YEAR(Sales!$BV$1),MONTH(Sales!$BV$1),1)+INT((DAY(Sales!$BV$1)-1)/2)+'Cash Drivers'!BW$13,0)=EOMONTH($BA$1,0),Sales!BW$6*Sales!BW$7,0)+IF(EOMONTH(DATE(YEAR(Sales!$BS$1),MONTH(Sales!$BS$1),1)+INT((DAY(Sales!$BS$1)-1)/2)+'Cash Drivers'!BT$13,0)=EOMONTH($BA$1,0),Sales!BT$6*Sales!BT$7,0)+IF(EOMONTH(DATE(YEAR(Sales!$BP$1),MONTH(Sales!$BP$1),1)+INT((DAY(Sales!$BP$1)-1)/2)+'Cash Drivers'!BQ$13,0)=EOMONTH($BA$1,0),Sales!BQ$6*Sales!BQ$7,0)+IF(EOMONTH(DATE(YEAR(Sales!$BM$1),MONTH(Sales!$BM$1),1)+INT((DAY(Sales!$BM$1)-1)/2)+'Cash Drivers'!BN$13,0)=EOMONTH($BA$1,0),Sales!BN$6*Sales!BN$7,0)+IF(EOMONTH(DATE(YEAR(Sales!$BJ$1),MONTH(Sales!$BJ$1),1)+INT((DAY(Sales!$BJ$1)-1)/2)+'Cash Drivers'!BK$13,0)=EOMONTH($BA$1,0),Sales!BK$6*Sales!BK$7,0)+IF(EOMONTH(DATE(YEAR(Sales!$BG$1),MONTH(Sales!$BG$1),1)+INT((DAY(Sales!$BG$1)-1)/2)+'Cash Drivers'!BH$13,0)=EOMONTH($BA$1,0),Sales!BH$6*Sales!BH$7,0)+IF(EOMONTH(DATE(YEAR(Sales!$BD$1),MONTH(Sales!$BD$1),1)+INT((DAY(Sales!$BD$1)-1)/2)+'Cash Drivers'!BE$13,0)=EOMONTH($BA$1,0),Sales!BE$6*Sales!BE$7,0)+IF(EOMONTH(DATE(YEAR(Sales!$BA$1),MONTH(Sales!$BA$1),1)+INT((DAY(Sales!$BA$1)-1)/2)+'Cash Drivers'!BB$13,0)=EOMONTH($BA$1,0),Sales!BB$6*Sales!BB$7,0)+IF(EOMONTH(DATE(YEAR(Sales!$AX$1),MONTH(Sales!$AX$1),1)+INT((DAY(Sales!$AX$1)-1)/2)+'Cash Drivers'!AY$13,0)=EOMONTH($BA$1,0),Sales!AY$6*Sales!AY$7,0)+IF(EOMONTH(DATE(YEAR(Sales!$AU$1),MONTH(Sales!$AU$1),1)+INT((DAY(Sales!$AU$1)-1)/2)+'Cash Drivers'!AV$13,0)=EOMONTH($BA$1,0),Sales!AV$6*Sales!AV$7,0)+IF(EOMONTH(DATE(YEAR(Sales!$AR$1),MONTH(Sales!$AR$1),1)+INT((DAY(Sales!$AR$1)-1)/2)+'Cash Drivers'!AS$13,0)=EOMONTH($BA$1,0),Sales!AS$6*Sales!AS$7,0)+IF(EOMONTH(DATE(YEAR(Sales!$AO$1),MONTH(Sales!$AO$1),1)+INT((DAY(Sales!$AO$1)-1)/2)+'Cash Drivers'!AP$13,0)=EOMONTH($BA$1,0),Sales!AP$6*Sales!AP$7,0)+IF(EOMONTH(DATE(YEAR(Sales!$AL$1),MONTH(Sales!$AL$1),1)+INT((DAY(Sales!$AL$1)-1)/2)+'Cash Drivers'!AM$13,0)=EOMONTH($BA$1,0),Sales!AM$6*Sales!AM$7,0)+IF(EOMONTH(DATE(YEAR(Sales!$AI$1),MONTH(Sales!$AI$1),1)+INT((DAY(Sales!$AI$1)-1)/2)+'Cash Drivers'!AJ$13,0)=EOMONTH($BA$1,0),Sales!AJ$6*Sales!AJ$7,0)+IF(EOMONTH(DATE(YEAR(Sales!$AF$1),MONTH(Sales!$AF$1),1)+INT((DAY(Sales!$AF$1)-1)/2)+'Cash Drivers'!AG$13,0)=EOMONTH($BA$1,0),Sales!AG$6*Sales!AG$7,0)+IF(EOMONTH(DATE(YEAR(Sales!$AC$1),MONTH(Sales!$AC$1),1)+INT((DAY(Sales!$AC$1)-1)/2)+'Cash Drivers'!AD$13,0)=EOMONTH($BA$1,0),Sales!AD$6*Sales!AD$7,0)+IF(EOMONTH(DATE(YEAR(Sales!$Z$1),MONTH(Sales!$Z$1),1)+INT((DAY(Sales!$Z$1)-1)/2)+'Cash Drivers'!AA$13,0)=EOMONTH($BA$1,0),Sales!AA$6*Sales!AA$7,0)+IF(EOMONTH(DATE(YEAR(Sales!$W$1),MONTH(Sales!$W$1),1)+INT((DAY(Sales!$W$1)-1)/2)+'Cash Drivers'!X$13,0)=EOMONTH($BA$1,0),Sales!X$6*Sales!X$7,0)+IF(EOMONTH(DATE(YEAR(Sales!$T$1),MONTH(Sales!$T$1),1)+INT((DAY(Sales!$T$1)-1)/2)+'Cash Drivers'!U$13,0)=EOMONTH($BA$1,0),Sales!U$6*Sales!U$7,0)+IF(EOMONTH(DATE(YEAR(Sales!$Q$1),MONTH(Sales!$Q$1),1)+INT((DAY(Sales!$Q$1)-1)/2)+'Cash Drivers'!R$13,0)=EOMONTH($BA$1,0),Sales!R$6*Sales!R$7,0)+IF(EOMONTH(DATE(YEAR(Sales!$N$1),MONTH(Sales!$N$1),1)+INT((DAY(Sales!$N$1)-1)/2)+'Cash Drivers'!O$13,0)=EOMONTH($BA$1,0),Sales!O$6*Sales!O$7,0)+IF(EOMONTH(DATE(YEAR(Sales!$K$1),MONTH(Sales!$K$1),1)+INT((DAY(Sales!$K$1)-1)/2)+'Cash Drivers'!L$13,0)=EOMONTH($BA$1,0),Sales!L$6*Sales!L$7,0)+IF(EOMONTH('Cash Drivers'!$DL$30+'Cash Drivers'!DM$13,0)=EOMONTH($BA$1,0),'Cash Drivers'!$DL$32*Sales!$DL$60,0),0)</f>
        <v>35616</v>
      </c>
      <c r="BC24" s="60" t="n">
        <f aca="false">ROUND(IF(EOMONTH(DATE(YEAR(Sales!$DL$1),MONTH(Sales!$DL$1),1)+INT((DAY(Sales!$DL$1)-1)/2)+'Cash Drivers'!DN$13,0)=EOMONTH($BA$1,0),Sales!DN$6*Sales!DN$7,0)+IF(EOMONTH(DATE(YEAR(Sales!$DI$1),MONTH(Sales!$DI$1),1)+INT((DAY(Sales!$DI$1)-1)/2)+'Cash Drivers'!DK$13,0)=EOMONTH($BA$1,0),Sales!DK$6*Sales!DK$7,0)+IF(EOMONTH(DATE(YEAR(Sales!$DF$1),MONTH(Sales!$DF$1),1)+INT((DAY(Sales!$DF$1)-1)/2)+'Cash Drivers'!DH$13,0)=EOMONTH($BA$1,0),Sales!DH$6*Sales!DH$7,0)+IF(EOMONTH(DATE(YEAR(Sales!$DC$1),MONTH(Sales!$DC$1),1)+INT((DAY(Sales!$DC$1)-1)/2)+'Cash Drivers'!DE$13,0)=EOMONTH($BA$1,0),Sales!DE$6*Sales!DE$7,0)+IF(EOMONTH(DATE(YEAR(Sales!$CZ$1),MONTH(Sales!$CZ$1),1)+INT((DAY(Sales!$CZ$1)-1)/2)+'Cash Drivers'!DB$13,0)=EOMONTH($BA$1,0),Sales!DB$6*Sales!DB$7,0)+IF(EOMONTH(DATE(YEAR(Sales!$CW$1),MONTH(Sales!$CW$1),1)+INT((DAY(Sales!$CW$1)-1)/2)+'Cash Drivers'!CY$13,0)=EOMONTH($BA$1,0),Sales!CY$6*Sales!CY$7,0)+IF(EOMONTH(DATE(YEAR(Sales!$CT$1),MONTH(Sales!$CT$1),1)+INT((DAY(Sales!$CT$1)-1)/2)+'Cash Drivers'!CV$13,0)=EOMONTH($BA$1,0),Sales!CV$6*Sales!CV$7,0)+IF(EOMONTH(DATE(YEAR(Sales!$CQ$1),MONTH(Sales!$CQ$1),1)+INT((DAY(Sales!$CQ$1)-1)/2)+'Cash Drivers'!CS$13,0)=EOMONTH($BA$1,0),Sales!CS$6*Sales!CS$7,0)+IF(EOMONTH(DATE(YEAR(Sales!$CN$1),MONTH(Sales!$CN$1),1)+INT((DAY(Sales!$CN$1)-1)/2)+'Cash Drivers'!CP$13,0)=EOMONTH($BA$1,0),Sales!CP$6*Sales!CP$7,0)+IF(EOMONTH(DATE(YEAR(Sales!$CK$1),MONTH(Sales!$CK$1),1)+INT((DAY(Sales!$CK$1)-1)/2)+'Cash Drivers'!CM$13,0)=EOMONTH($BA$1,0),Sales!CM$6*Sales!CM$7,0)+IF(EOMONTH(DATE(YEAR(Sales!$CH$1),MONTH(Sales!$CH$1),1)+INT((DAY(Sales!$CH$1)-1)/2)+'Cash Drivers'!CJ$13,0)=EOMONTH($BA$1,0),Sales!CJ$6*Sales!CJ$7,0)+IF(EOMONTH(DATE(YEAR(Sales!$CE$1),MONTH(Sales!$CE$1),1)+INT((DAY(Sales!$CE$1)-1)/2)+'Cash Drivers'!CG$13,0)=EOMONTH($BA$1,0),Sales!CG$6*Sales!CG$7,0)+IF(EOMONTH(DATE(YEAR(Sales!$CB$1),MONTH(Sales!$CB$1),1)+INT((DAY(Sales!$CB$1)-1)/2)+'Cash Drivers'!CD$13,0)=EOMONTH($BA$1,0),Sales!CD$6*Sales!CD$7,0)+IF(EOMONTH(DATE(YEAR(Sales!$BY$1),MONTH(Sales!$BY$1),1)+INT((DAY(Sales!$BY$1)-1)/2)+'Cash Drivers'!CA$13,0)=EOMONTH($BA$1,0),Sales!CA$6*Sales!CA$7,0)+IF(EOMONTH(DATE(YEAR(Sales!$BV$1),MONTH(Sales!$BV$1),1)+INT((DAY(Sales!$BV$1)-1)/2)+'Cash Drivers'!BX$13,0)=EOMONTH($BA$1,0),Sales!BX$6*Sales!BX$7,0)+IF(EOMONTH(DATE(YEAR(Sales!$BS$1),MONTH(Sales!$BS$1),1)+INT((DAY(Sales!$BS$1)-1)/2)+'Cash Drivers'!BU$13,0)=EOMONTH($BA$1,0),Sales!BU$6*Sales!BU$7,0)+IF(EOMONTH(DATE(YEAR(Sales!$BP$1),MONTH(Sales!$BP$1),1)+INT((DAY(Sales!$BP$1)-1)/2)+'Cash Drivers'!BR$13,0)=EOMONTH($BA$1,0),Sales!BR$6*Sales!BR$7,0)+IF(EOMONTH(DATE(YEAR(Sales!$BM$1),MONTH(Sales!$BM$1),1)+INT((DAY(Sales!$BM$1)-1)/2)+'Cash Drivers'!BO$13,0)=EOMONTH($BA$1,0),Sales!BO$6*Sales!BO$7,0)+IF(EOMONTH(DATE(YEAR(Sales!$BJ$1),MONTH(Sales!$BJ$1),1)+INT((DAY(Sales!$BJ$1)-1)/2)+'Cash Drivers'!BL$13,0)=EOMONTH($BA$1,0),Sales!BL$6*Sales!BL$7,0)+IF(EOMONTH(DATE(YEAR(Sales!$BG$1),MONTH(Sales!$BG$1),1)+INT((DAY(Sales!$BG$1)-1)/2)+'Cash Drivers'!BI$13,0)=EOMONTH($BA$1,0),Sales!BI$6*Sales!BI$7,0)+IF(EOMONTH(DATE(YEAR(Sales!$BD$1),MONTH(Sales!$BD$1),1)+INT((DAY(Sales!$BD$1)-1)/2)+'Cash Drivers'!BF$13,0)=EOMONTH($BA$1,0),Sales!BF$6*Sales!BF$7,0)+IF(EOMONTH(DATE(YEAR(Sales!$BA$1),MONTH(Sales!$BA$1),1)+INT((DAY(Sales!$BA$1)-1)/2)+'Cash Drivers'!BC$13,0)=EOMONTH($BA$1,0),Sales!BC$6*Sales!BC$7,0)+IF(EOMONTH(DATE(YEAR(Sales!$AX$1),MONTH(Sales!$AX$1),1)+INT((DAY(Sales!$AX$1)-1)/2)+'Cash Drivers'!AZ$13,0)=EOMONTH($BA$1,0),Sales!AZ$6*Sales!AZ$7,0)+IF(EOMONTH(DATE(YEAR(Sales!$AU$1),MONTH(Sales!$AU$1),1)+INT((DAY(Sales!$AU$1)-1)/2)+'Cash Drivers'!AW$13,0)=EOMONTH($BA$1,0),Sales!AW$6*Sales!AW$7,0)+IF(EOMONTH(DATE(YEAR(Sales!$AR$1),MONTH(Sales!$AR$1),1)+INT((DAY(Sales!$AR$1)-1)/2)+'Cash Drivers'!AT$13,0)=EOMONTH($BA$1,0),Sales!AT$6*Sales!AT$7,0)+IF(EOMONTH(DATE(YEAR(Sales!$AO$1),MONTH(Sales!$AO$1),1)+INT((DAY(Sales!$AO$1)-1)/2)+'Cash Drivers'!AQ$13,0)=EOMONTH($BA$1,0),Sales!AQ$6*Sales!AQ$7,0)+IF(EOMONTH(DATE(YEAR(Sales!$AL$1),MONTH(Sales!$AL$1),1)+INT((DAY(Sales!$AL$1)-1)/2)+'Cash Drivers'!AN$13,0)=EOMONTH($BA$1,0),Sales!AN$6*Sales!AN$7,0)+IF(EOMONTH(DATE(YEAR(Sales!$AI$1),MONTH(Sales!$AI$1),1)+INT((DAY(Sales!$AI$1)-1)/2)+'Cash Drivers'!AK$13,0)=EOMONTH($BA$1,0),Sales!AK$6*Sales!AK$7,0)+IF(EOMONTH(DATE(YEAR(Sales!$AF$1),MONTH(Sales!$AF$1),1)+INT((DAY(Sales!$AF$1)-1)/2)+'Cash Drivers'!AH$13,0)=EOMONTH($BA$1,0),Sales!AH$6*Sales!AH$7,0)+IF(EOMONTH(DATE(YEAR(Sales!$AC$1),MONTH(Sales!$AC$1),1)+INT((DAY(Sales!$AC$1)-1)/2)+'Cash Drivers'!AE$13,0)=EOMONTH($BA$1,0),Sales!AE$6*Sales!AE$7,0)+IF(EOMONTH(DATE(YEAR(Sales!$Z$1),MONTH(Sales!$Z$1),1)+INT((DAY(Sales!$Z$1)-1)/2)+'Cash Drivers'!AB$13,0)=EOMONTH($BA$1,0),Sales!AB$6*Sales!AB$7,0)+IF(EOMONTH(DATE(YEAR(Sales!$W$1),MONTH(Sales!$W$1),1)+INT((DAY(Sales!$W$1)-1)/2)+'Cash Drivers'!Y$13,0)=EOMONTH($BA$1,0),Sales!Y$6*Sales!Y$7,0)+IF(EOMONTH(DATE(YEAR(Sales!$T$1),MONTH(Sales!$T$1),1)+INT((DAY(Sales!$T$1)-1)/2)+'Cash Drivers'!V$13,0)=EOMONTH($BA$1,0),Sales!V$6*Sales!V$7,0)+IF(EOMONTH(DATE(YEAR(Sales!$Q$1),MONTH(Sales!$Q$1),1)+INT((DAY(Sales!$Q$1)-1)/2)+'Cash Drivers'!S$13,0)=EOMONTH($BA$1,0),Sales!S$6*Sales!S$7,0)+IF(EOMONTH(DATE(YEAR(Sales!$N$1),MONTH(Sales!$N$1),1)+INT((DAY(Sales!$N$1)-1)/2)+'Cash Drivers'!P$13,0)=EOMONTH($BA$1,0),Sales!P$6*Sales!P$7,0)+IF(EOMONTH(DATE(YEAR(Sales!$K$1),MONTH(Sales!$K$1),1)+INT((DAY(Sales!$K$1)-1)/2)+'Cash Drivers'!M$13,0)=EOMONTH($BA$1,0),Sales!M$6*Sales!M$7,0)+IF(EOMONTH('Cash Drivers'!$DL$30+'Cash Drivers'!DN$13,0)=EOMONTH($BA$1,0),'Cash Drivers'!$DL$32*Sales!$DL$60,0),0)</f>
        <v>35700</v>
      </c>
      <c r="BD24" s="58" t="n">
        <f aca="false">ROUND(IF(EOMONTH(DATE(YEAR(Sales!$DL$1),MONTH(Sales!$DL$1),1)+INT((DAY(Sales!$DL$1)-1)/2)+'Cash Drivers'!DL$13,0)=EOMONTH($BD$1,0),Sales!DL$6*Sales!DL$7,0)+IF(EOMONTH(DATE(YEAR(Sales!$DI$1),MONTH(Sales!$DI$1),1)+INT((DAY(Sales!$DI$1)-1)/2)+'Cash Drivers'!DI$13,0)=EOMONTH($BD$1,0),Sales!DI$6*Sales!DI$7,0)+IF(EOMONTH(DATE(YEAR(Sales!$DF$1),MONTH(Sales!$DF$1),1)+INT((DAY(Sales!$DF$1)-1)/2)+'Cash Drivers'!DF$13,0)=EOMONTH($BD$1,0),Sales!DF$6*Sales!DF$7,0)+IF(EOMONTH(DATE(YEAR(Sales!$DC$1),MONTH(Sales!$DC$1),1)+INT((DAY(Sales!$DC$1)-1)/2)+'Cash Drivers'!DC$13,0)=EOMONTH($BD$1,0),Sales!DC$6*Sales!DC$7,0)+IF(EOMONTH(DATE(YEAR(Sales!$CZ$1),MONTH(Sales!$CZ$1),1)+INT((DAY(Sales!$CZ$1)-1)/2)+'Cash Drivers'!CZ$13,0)=EOMONTH($BD$1,0),Sales!CZ$6*Sales!CZ$7,0)+IF(EOMONTH(DATE(YEAR(Sales!$CW$1),MONTH(Sales!$CW$1),1)+INT((DAY(Sales!$CW$1)-1)/2)+'Cash Drivers'!CW$13,0)=EOMONTH($BD$1,0),Sales!CW$6*Sales!CW$7,0)+IF(EOMONTH(DATE(YEAR(Sales!$CT$1),MONTH(Sales!$CT$1),1)+INT((DAY(Sales!$CT$1)-1)/2)+'Cash Drivers'!CT$13,0)=EOMONTH($BD$1,0),Sales!CT$6*Sales!CT$7,0)+IF(EOMONTH(DATE(YEAR(Sales!$CQ$1),MONTH(Sales!$CQ$1),1)+INT((DAY(Sales!$CQ$1)-1)/2)+'Cash Drivers'!CQ$13,0)=EOMONTH($BD$1,0),Sales!CQ$6*Sales!CQ$7,0)+IF(EOMONTH(DATE(YEAR(Sales!$CN$1),MONTH(Sales!$CN$1),1)+INT((DAY(Sales!$CN$1)-1)/2)+'Cash Drivers'!CN$13,0)=EOMONTH($BD$1,0),Sales!CN$6*Sales!CN$7,0)+IF(EOMONTH(DATE(YEAR(Sales!$CK$1),MONTH(Sales!$CK$1),1)+INT((DAY(Sales!$CK$1)-1)/2)+'Cash Drivers'!CK$13,0)=EOMONTH($BD$1,0),Sales!CK$6*Sales!CK$7,0)+IF(EOMONTH(DATE(YEAR(Sales!$CH$1),MONTH(Sales!$CH$1),1)+INT((DAY(Sales!$CH$1)-1)/2)+'Cash Drivers'!CH$13,0)=EOMONTH($BD$1,0),Sales!CH$6*Sales!CH$7,0)+IF(EOMONTH(DATE(YEAR(Sales!$CE$1),MONTH(Sales!$CE$1),1)+INT((DAY(Sales!$CE$1)-1)/2)+'Cash Drivers'!CE$13,0)=EOMONTH($BD$1,0),Sales!CE$6*Sales!CE$7,0)+IF(EOMONTH(DATE(YEAR(Sales!$CB$1),MONTH(Sales!$CB$1),1)+INT((DAY(Sales!$CB$1)-1)/2)+'Cash Drivers'!CB$13,0)=EOMONTH($BD$1,0),Sales!CB$6*Sales!CB$7,0)+IF(EOMONTH(DATE(YEAR(Sales!$BY$1),MONTH(Sales!$BY$1),1)+INT((DAY(Sales!$BY$1)-1)/2)+'Cash Drivers'!BY$13,0)=EOMONTH($BD$1,0),Sales!BY$6*Sales!BY$7,0)+IF(EOMONTH(DATE(YEAR(Sales!$BV$1),MONTH(Sales!$BV$1),1)+INT((DAY(Sales!$BV$1)-1)/2)+'Cash Drivers'!BV$13,0)=EOMONTH($BD$1,0),Sales!BV$6*Sales!BV$7,0)+IF(EOMONTH(DATE(YEAR(Sales!$BS$1),MONTH(Sales!$BS$1),1)+INT((DAY(Sales!$BS$1)-1)/2)+'Cash Drivers'!BS$13,0)=EOMONTH($BD$1,0),Sales!BS$6*Sales!BS$7,0)+IF(EOMONTH(DATE(YEAR(Sales!$BP$1),MONTH(Sales!$BP$1),1)+INT((DAY(Sales!$BP$1)-1)/2)+'Cash Drivers'!BP$13,0)=EOMONTH($BD$1,0),Sales!BP$6*Sales!BP$7,0)+IF(EOMONTH(DATE(YEAR(Sales!$BM$1),MONTH(Sales!$BM$1),1)+INT((DAY(Sales!$BM$1)-1)/2)+'Cash Drivers'!BM$13,0)=EOMONTH($BD$1,0),Sales!BM$6*Sales!BM$7,0)+IF(EOMONTH(DATE(YEAR(Sales!$BJ$1),MONTH(Sales!$BJ$1),1)+INT((DAY(Sales!$BJ$1)-1)/2)+'Cash Drivers'!BJ$13,0)=EOMONTH($BD$1,0),Sales!BJ$6*Sales!BJ$7,0)+IF(EOMONTH(DATE(YEAR(Sales!$BG$1),MONTH(Sales!$BG$1),1)+INT((DAY(Sales!$BG$1)-1)/2)+'Cash Drivers'!BG$13,0)=EOMONTH($BD$1,0),Sales!BG$6*Sales!BG$7,0)+IF(EOMONTH(DATE(YEAR(Sales!$BD$1),MONTH(Sales!$BD$1),1)+INT((DAY(Sales!$BD$1)-1)/2)+'Cash Drivers'!BD$13,0)=EOMONTH($BD$1,0),Sales!BD$6*Sales!BD$7,0)+IF(EOMONTH(DATE(YEAR(Sales!$BA$1),MONTH(Sales!$BA$1),1)+INT((DAY(Sales!$BA$1)-1)/2)+'Cash Drivers'!BA$13,0)=EOMONTH($BD$1,0),Sales!BA$6*Sales!BA$7,0)+IF(EOMONTH(DATE(YEAR(Sales!$AX$1),MONTH(Sales!$AX$1),1)+INT((DAY(Sales!$AX$1)-1)/2)+'Cash Drivers'!AX$13,0)=EOMONTH($BD$1,0),Sales!AX$6*Sales!AX$7,0)+IF(EOMONTH(DATE(YEAR(Sales!$AU$1),MONTH(Sales!$AU$1),1)+INT((DAY(Sales!$AU$1)-1)/2)+'Cash Drivers'!AU$13,0)=EOMONTH($BD$1,0),Sales!AU$6*Sales!AU$7,0)+IF(EOMONTH(DATE(YEAR(Sales!$AR$1),MONTH(Sales!$AR$1),1)+INT((DAY(Sales!$AR$1)-1)/2)+'Cash Drivers'!AR$13,0)=EOMONTH($BD$1,0),Sales!AR$6*Sales!AR$7,0)+IF(EOMONTH(DATE(YEAR(Sales!$AO$1),MONTH(Sales!$AO$1),1)+INT((DAY(Sales!$AO$1)-1)/2)+'Cash Drivers'!AO$13,0)=EOMONTH($BD$1,0),Sales!AO$6*Sales!AO$7,0)+IF(EOMONTH(DATE(YEAR(Sales!$AL$1),MONTH(Sales!$AL$1),1)+INT((DAY(Sales!$AL$1)-1)/2)+'Cash Drivers'!AL$13,0)=EOMONTH($BD$1,0),Sales!AL$6*Sales!AL$7,0)+IF(EOMONTH(DATE(YEAR(Sales!$AI$1),MONTH(Sales!$AI$1),1)+INT((DAY(Sales!$AI$1)-1)/2)+'Cash Drivers'!AI$13,0)=EOMONTH($BD$1,0),Sales!AI$6*Sales!AI$7,0)+IF(EOMONTH(DATE(YEAR(Sales!$AF$1),MONTH(Sales!$AF$1),1)+INT((DAY(Sales!$AF$1)-1)/2)+'Cash Drivers'!AF$13,0)=EOMONTH($BD$1,0),Sales!AF$6*Sales!AF$7,0)+IF(EOMONTH(DATE(YEAR(Sales!$AC$1),MONTH(Sales!$AC$1),1)+INT((DAY(Sales!$AC$1)-1)/2)+'Cash Drivers'!AC$13,0)=EOMONTH($BD$1,0),Sales!AC$6*Sales!AC$7,0)+IF(EOMONTH(DATE(YEAR(Sales!$Z$1),MONTH(Sales!$Z$1),1)+INT((DAY(Sales!$Z$1)-1)/2)+'Cash Drivers'!Z$13,0)=EOMONTH($BD$1,0),Sales!Z$6*Sales!Z$7,0)+IF(EOMONTH(DATE(YEAR(Sales!$W$1),MONTH(Sales!$W$1),1)+INT((DAY(Sales!$W$1)-1)/2)+'Cash Drivers'!W$13,0)=EOMONTH($BD$1,0),Sales!W$6*Sales!W$7,0)+IF(EOMONTH(DATE(YEAR(Sales!$T$1),MONTH(Sales!$T$1),1)+INT((DAY(Sales!$T$1)-1)/2)+'Cash Drivers'!T$13,0)=EOMONTH($BD$1,0),Sales!T$6*Sales!T$7,0)+IF(EOMONTH(DATE(YEAR(Sales!$Q$1),MONTH(Sales!$Q$1),1)+INT((DAY(Sales!$Q$1)-1)/2)+'Cash Drivers'!Q$13,0)=EOMONTH($BD$1,0),Sales!Q$6*Sales!Q$7,0)+IF(EOMONTH(DATE(YEAR(Sales!$N$1),MONTH(Sales!$N$1),1)+INT((DAY(Sales!$N$1)-1)/2)+'Cash Drivers'!N$13,0)=EOMONTH($BD$1,0),Sales!N$6*Sales!N$7,0)+IF(EOMONTH(DATE(YEAR(Sales!$K$1),MONTH(Sales!$K$1),1)+INT((DAY(Sales!$K$1)-1)/2)+'Cash Drivers'!K$13,0)=EOMONTH($BD$1,0),Sales!K$6*Sales!K$7,0)+IF(EOMONTH('Cash Drivers'!$DL$30+'Cash Drivers'!DL$13,0)=EOMONTH($BD$1,0),'Cash Drivers'!$DL$32*Sales!$DL$60,0),0)</f>
        <v>0</v>
      </c>
      <c r="BE24" s="59" t="n">
        <f aca="false">ROUND(IF(EOMONTH(DATE(YEAR(Sales!$DL$1),MONTH(Sales!$DL$1),1)+INT((DAY(Sales!$DL$1)-1)/2)+'Cash Drivers'!DM$13,0)=EOMONTH($BD$1,0),Sales!DM$6*Sales!DM$7,0)+IF(EOMONTH(DATE(YEAR(Sales!$DI$1),MONTH(Sales!$DI$1),1)+INT((DAY(Sales!$DI$1)-1)/2)+'Cash Drivers'!DJ$13,0)=EOMONTH($BD$1,0),Sales!DJ$6*Sales!DJ$7,0)+IF(EOMONTH(DATE(YEAR(Sales!$DF$1),MONTH(Sales!$DF$1),1)+INT((DAY(Sales!$DF$1)-1)/2)+'Cash Drivers'!DG$13,0)=EOMONTH($BD$1,0),Sales!DG$6*Sales!DG$7,0)+IF(EOMONTH(DATE(YEAR(Sales!$DC$1),MONTH(Sales!$DC$1),1)+INT((DAY(Sales!$DC$1)-1)/2)+'Cash Drivers'!DD$13,0)=EOMONTH($BD$1,0),Sales!DD$6*Sales!DD$7,0)+IF(EOMONTH(DATE(YEAR(Sales!$CZ$1),MONTH(Sales!$CZ$1),1)+INT((DAY(Sales!$CZ$1)-1)/2)+'Cash Drivers'!DA$13,0)=EOMONTH($BD$1,0),Sales!DA$6*Sales!DA$7,0)+IF(EOMONTH(DATE(YEAR(Sales!$CW$1),MONTH(Sales!$CW$1),1)+INT((DAY(Sales!$CW$1)-1)/2)+'Cash Drivers'!CX$13,0)=EOMONTH($BD$1,0),Sales!CX$6*Sales!CX$7,0)+IF(EOMONTH(DATE(YEAR(Sales!$CT$1),MONTH(Sales!$CT$1),1)+INT((DAY(Sales!$CT$1)-1)/2)+'Cash Drivers'!CU$13,0)=EOMONTH($BD$1,0),Sales!CU$6*Sales!CU$7,0)+IF(EOMONTH(DATE(YEAR(Sales!$CQ$1),MONTH(Sales!$CQ$1),1)+INT((DAY(Sales!$CQ$1)-1)/2)+'Cash Drivers'!CR$13,0)=EOMONTH($BD$1,0),Sales!CR$6*Sales!CR$7,0)+IF(EOMONTH(DATE(YEAR(Sales!$CN$1),MONTH(Sales!$CN$1),1)+INT((DAY(Sales!$CN$1)-1)/2)+'Cash Drivers'!CO$13,0)=EOMONTH($BD$1,0),Sales!CO$6*Sales!CO$7,0)+IF(EOMONTH(DATE(YEAR(Sales!$CK$1),MONTH(Sales!$CK$1),1)+INT((DAY(Sales!$CK$1)-1)/2)+'Cash Drivers'!CL$13,0)=EOMONTH($BD$1,0),Sales!CL$6*Sales!CL$7,0)+IF(EOMONTH(DATE(YEAR(Sales!$CH$1),MONTH(Sales!$CH$1),1)+INT((DAY(Sales!$CH$1)-1)/2)+'Cash Drivers'!CI$13,0)=EOMONTH($BD$1,0),Sales!CI$6*Sales!CI$7,0)+IF(EOMONTH(DATE(YEAR(Sales!$CE$1),MONTH(Sales!$CE$1),1)+INT((DAY(Sales!$CE$1)-1)/2)+'Cash Drivers'!CF$13,0)=EOMONTH($BD$1,0),Sales!CF$6*Sales!CF$7,0)+IF(EOMONTH(DATE(YEAR(Sales!$CB$1),MONTH(Sales!$CB$1),1)+INT((DAY(Sales!$CB$1)-1)/2)+'Cash Drivers'!CC$13,0)=EOMONTH($BD$1,0),Sales!CC$6*Sales!CC$7,0)+IF(EOMONTH(DATE(YEAR(Sales!$BY$1),MONTH(Sales!$BY$1),1)+INT((DAY(Sales!$BY$1)-1)/2)+'Cash Drivers'!BZ$13,0)=EOMONTH($BD$1,0),Sales!BZ$6*Sales!BZ$7,0)+IF(EOMONTH(DATE(YEAR(Sales!$BV$1),MONTH(Sales!$BV$1),1)+INT((DAY(Sales!$BV$1)-1)/2)+'Cash Drivers'!BW$13,0)=EOMONTH($BD$1,0),Sales!BW$6*Sales!BW$7,0)+IF(EOMONTH(DATE(YEAR(Sales!$BS$1),MONTH(Sales!$BS$1),1)+INT((DAY(Sales!$BS$1)-1)/2)+'Cash Drivers'!BT$13,0)=EOMONTH($BD$1,0),Sales!BT$6*Sales!BT$7,0)+IF(EOMONTH(DATE(YEAR(Sales!$BP$1),MONTH(Sales!$BP$1),1)+INT((DAY(Sales!$BP$1)-1)/2)+'Cash Drivers'!BQ$13,0)=EOMONTH($BD$1,0),Sales!BQ$6*Sales!BQ$7,0)+IF(EOMONTH(DATE(YEAR(Sales!$BM$1),MONTH(Sales!$BM$1),1)+INT((DAY(Sales!$BM$1)-1)/2)+'Cash Drivers'!BN$13,0)=EOMONTH($BD$1,0),Sales!BN$6*Sales!BN$7,0)+IF(EOMONTH(DATE(YEAR(Sales!$BJ$1),MONTH(Sales!$BJ$1),1)+INT((DAY(Sales!$BJ$1)-1)/2)+'Cash Drivers'!BK$13,0)=EOMONTH($BD$1,0),Sales!BK$6*Sales!BK$7,0)+IF(EOMONTH(DATE(YEAR(Sales!$BG$1),MONTH(Sales!$BG$1),1)+INT((DAY(Sales!$BG$1)-1)/2)+'Cash Drivers'!BH$13,0)=EOMONTH($BD$1,0),Sales!BH$6*Sales!BH$7,0)+IF(EOMONTH(DATE(YEAR(Sales!$BD$1),MONTH(Sales!$BD$1),1)+INT((DAY(Sales!$BD$1)-1)/2)+'Cash Drivers'!BE$13,0)=EOMONTH($BD$1,0),Sales!BE$6*Sales!BE$7,0)+IF(EOMONTH(DATE(YEAR(Sales!$BA$1),MONTH(Sales!$BA$1),1)+INT((DAY(Sales!$BA$1)-1)/2)+'Cash Drivers'!BB$13,0)=EOMONTH($BD$1,0),Sales!BB$6*Sales!BB$7,0)+IF(EOMONTH(DATE(YEAR(Sales!$AX$1),MONTH(Sales!$AX$1),1)+INT((DAY(Sales!$AX$1)-1)/2)+'Cash Drivers'!AY$13,0)=EOMONTH($BD$1,0),Sales!AY$6*Sales!AY$7,0)+IF(EOMONTH(DATE(YEAR(Sales!$AU$1),MONTH(Sales!$AU$1),1)+INT((DAY(Sales!$AU$1)-1)/2)+'Cash Drivers'!AV$13,0)=EOMONTH($BD$1,0),Sales!AV$6*Sales!AV$7,0)+IF(EOMONTH(DATE(YEAR(Sales!$AR$1),MONTH(Sales!$AR$1),1)+INT((DAY(Sales!$AR$1)-1)/2)+'Cash Drivers'!AS$13,0)=EOMONTH($BD$1,0),Sales!AS$6*Sales!AS$7,0)+IF(EOMONTH(DATE(YEAR(Sales!$AO$1),MONTH(Sales!$AO$1),1)+INT((DAY(Sales!$AO$1)-1)/2)+'Cash Drivers'!AP$13,0)=EOMONTH($BD$1,0),Sales!AP$6*Sales!AP$7,0)+IF(EOMONTH(DATE(YEAR(Sales!$AL$1),MONTH(Sales!$AL$1),1)+INT((DAY(Sales!$AL$1)-1)/2)+'Cash Drivers'!AM$13,0)=EOMONTH($BD$1,0),Sales!AM$6*Sales!AM$7,0)+IF(EOMONTH(DATE(YEAR(Sales!$AI$1),MONTH(Sales!$AI$1),1)+INT((DAY(Sales!$AI$1)-1)/2)+'Cash Drivers'!AJ$13,0)=EOMONTH($BD$1,0),Sales!AJ$6*Sales!AJ$7,0)+IF(EOMONTH(DATE(YEAR(Sales!$AF$1),MONTH(Sales!$AF$1),1)+INT((DAY(Sales!$AF$1)-1)/2)+'Cash Drivers'!AG$13,0)=EOMONTH($BD$1,0),Sales!AG$6*Sales!AG$7,0)+IF(EOMONTH(DATE(YEAR(Sales!$AC$1),MONTH(Sales!$AC$1),1)+INT((DAY(Sales!$AC$1)-1)/2)+'Cash Drivers'!AD$13,0)=EOMONTH($BD$1,0),Sales!AD$6*Sales!AD$7,0)+IF(EOMONTH(DATE(YEAR(Sales!$Z$1),MONTH(Sales!$Z$1),1)+INT((DAY(Sales!$Z$1)-1)/2)+'Cash Drivers'!AA$13,0)=EOMONTH($BD$1,0),Sales!AA$6*Sales!AA$7,0)+IF(EOMONTH(DATE(YEAR(Sales!$W$1),MONTH(Sales!$W$1),1)+INT((DAY(Sales!$W$1)-1)/2)+'Cash Drivers'!X$13,0)=EOMONTH($BD$1,0),Sales!X$6*Sales!X$7,0)+IF(EOMONTH(DATE(YEAR(Sales!$T$1),MONTH(Sales!$T$1),1)+INT((DAY(Sales!$T$1)-1)/2)+'Cash Drivers'!U$13,0)=EOMONTH($BD$1,0),Sales!U$6*Sales!U$7,0)+IF(EOMONTH(DATE(YEAR(Sales!$Q$1),MONTH(Sales!$Q$1),1)+INT((DAY(Sales!$Q$1)-1)/2)+'Cash Drivers'!R$13,0)=EOMONTH($BD$1,0),Sales!R$6*Sales!R$7,0)+IF(EOMONTH(DATE(YEAR(Sales!$N$1),MONTH(Sales!$N$1),1)+INT((DAY(Sales!$N$1)-1)/2)+'Cash Drivers'!O$13,0)=EOMONTH($BD$1,0),Sales!O$6*Sales!O$7,0)+IF(EOMONTH(DATE(YEAR(Sales!$K$1),MONTH(Sales!$K$1),1)+INT((DAY(Sales!$K$1)-1)/2)+'Cash Drivers'!L$13,0)=EOMONTH($BD$1,0),Sales!L$6*Sales!L$7,0)+IF(EOMONTH('Cash Drivers'!$DL$30+'Cash Drivers'!DM$13,0)=EOMONTH($BD$1,0),'Cash Drivers'!$DL$32*Sales!$DL$60,0),0)</f>
        <v>35448</v>
      </c>
      <c r="BF24" s="60" t="n">
        <f aca="false">ROUND(IF(EOMONTH(DATE(YEAR(Sales!$DL$1),MONTH(Sales!$DL$1),1)+INT((DAY(Sales!$DL$1)-1)/2)+'Cash Drivers'!DN$13,0)=EOMONTH($BD$1,0),Sales!DN$6*Sales!DN$7,0)+IF(EOMONTH(DATE(YEAR(Sales!$DI$1),MONTH(Sales!$DI$1),1)+INT((DAY(Sales!$DI$1)-1)/2)+'Cash Drivers'!DK$13,0)=EOMONTH($BD$1,0),Sales!DK$6*Sales!DK$7,0)+IF(EOMONTH(DATE(YEAR(Sales!$DF$1),MONTH(Sales!$DF$1),1)+INT((DAY(Sales!$DF$1)-1)/2)+'Cash Drivers'!DH$13,0)=EOMONTH($BD$1,0),Sales!DH$6*Sales!DH$7,0)+IF(EOMONTH(DATE(YEAR(Sales!$DC$1),MONTH(Sales!$DC$1),1)+INT((DAY(Sales!$DC$1)-1)/2)+'Cash Drivers'!DE$13,0)=EOMONTH($BD$1,0),Sales!DE$6*Sales!DE$7,0)+IF(EOMONTH(DATE(YEAR(Sales!$CZ$1),MONTH(Sales!$CZ$1),1)+INT((DAY(Sales!$CZ$1)-1)/2)+'Cash Drivers'!DB$13,0)=EOMONTH($BD$1,0),Sales!DB$6*Sales!DB$7,0)+IF(EOMONTH(DATE(YEAR(Sales!$CW$1),MONTH(Sales!$CW$1),1)+INT((DAY(Sales!$CW$1)-1)/2)+'Cash Drivers'!CY$13,0)=EOMONTH($BD$1,0),Sales!CY$6*Sales!CY$7,0)+IF(EOMONTH(DATE(YEAR(Sales!$CT$1),MONTH(Sales!$CT$1),1)+INT((DAY(Sales!$CT$1)-1)/2)+'Cash Drivers'!CV$13,0)=EOMONTH($BD$1,0),Sales!CV$6*Sales!CV$7,0)+IF(EOMONTH(DATE(YEAR(Sales!$CQ$1),MONTH(Sales!$CQ$1),1)+INT((DAY(Sales!$CQ$1)-1)/2)+'Cash Drivers'!CS$13,0)=EOMONTH($BD$1,0),Sales!CS$6*Sales!CS$7,0)+IF(EOMONTH(DATE(YEAR(Sales!$CN$1),MONTH(Sales!$CN$1),1)+INT((DAY(Sales!$CN$1)-1)/2)+'Cash Drivers'!CP$13,0)=EOMONTH($BD$1,0),Sales!CP$6*Sales!CP$7,0)+IF(EOMONTH(DATE(YEAR(Sales!$CK$1),MONTH(Sales!$CK$1),1)+INT((DAY(Sales!$CK$1)-1)/2)+'Cash Drivers'!CM$13,0)=EOMONTH($BD$1,0),Sales!CM$6*Sales!CM$7,0)+IF(EOMONTH(DATE(YEAR(Sales!$CH$1),MONTH(Sales!$CH$1),1)+INT((DAY(Sales!$CH$1)-1)/2)+'Cash Drivers'!CJ$13,0)=EOMONTH($BD$1,0),Sales!CJ$6*Sales!CJ$7,0)+IF(EOMONTH(DATE(YEAR(Sales!$CE$1),MONTH(Sales!$CE$1),1)+INT((DAY(Sales!$CE$1)-1)/2)+'Cash Drivers'!CG$13,0)=EOMONTH($BD$1,0),Sales!CG$6*Sales!CG$7,0)+IF(EOMONTH(DATE(YEAR(Sales!$CB$1),MONTH(Sales!$CB$1),1)+INT((DAY(Sales!$CB$1)-1)/2)+'Cash Drivers'!CD$13,0)=EOMONTH($BD$1,0),Sales!CD$6*Sales!CD$7,0)+IF(EOMONTH(DATE(YEAR(Sales!$BY$1),MONTH(Sales!$BY$1),1)+INT((DAY(Sales!$BY$1)-1)/2)+'Cash Drivers'!CA$13,0)=EOMONTH($BD$1,0),Sales!CA$6*Sales!CA$7,0)+IF(EOMONTH(DATE(YEAR(Sales!$BV$1),MONTH(Sales!$BV$1),1)+INT((DAY(Sales!$BV$1)-1)/2)+'Cash Drivers'!BX$13,0)=EOMONTH($BD$1,0),Sales!BX$6*Sales!BX$7,0)+IF(EOMONTH(DATE(YEAR(Sales!$BS$1),MONTH(Sales!$BS$1),1)+INT((DAY(Sales!$BS$1)-1)/2)+'Cash Drivers'!BU$13,0)=EOMONTH($BD$1,0),Sales!BU$6*Sales!BU$7,0)+IF(EOMONTH(DATE(YEAR(Sales!$BP$1),MONTH(Sales!$BP$1),1)+INT((DAY(Sales!$BP$1)-1)/2)+'Cash Drivers'!BR$13,0)=EOMONTH($BD$1,0),Sales!BR$6*Sales!BR$7,0)+IF(EOMONTH(DATE(YEAR(Sales!$BM$1),MONTH(Sales!$BM$1),1)+INT((DAY(Sales!$BM$1)-1)/2)+'Cash Drivers'!BO$13,0)=EOMONTH($BD$1,0),Sales!BO$6*Sales!BO$7,0)+IF(EOMONTH(DATE(YEAR(Sales!$BJ$1),MONTH(Sales!$BJ$1),1)+INT((DAY(Sales!$BJ$1)-1)/2)+'Cash Drivers'!BL$13,0)=EOMONTH($BD$1,0),Sales!BL$6*Sales!BL$7,0)+IF(EOMONTH(DATE(YEAR(Sales!$BG$1),MONTH(Sales!$BG$1),1)+INT((DAY(Sales!$BG$1)-1)/2)+'Cash Drivers'!BI$13,0)=EOMONTH($BD$1,0),Sales!BI$6*Sales!BI$7,0)+IF(EOMONTH(DATE(YEAR(Sales!$BD$1),MONTH(Sales!$BD$1),1)+INT((DAY(Sales!$BD$1)-1)/2)+'Cash Drivers'!BF$13,0)=EOMONTH($BD$1,0),Sales!BF$6*Sales!BF$7,0)+IF(EOMONTH(DATE(YEAR(Sales!$BA$1),MONTH(Sales!$BA$1),1)+INT((DAY(Sales!$BA$1)-1)/2)+'Cash Drivers'!BC$13,0)=EOMONTH($BD$1,0),Sales!BC$6*Sales!BC$7,0)+IF(EOMONTH(DATE(YEAR(Sales!$AX$1),MONTH(Sales!$AX$1),1)+INT((DAY(Sales!$AX$1)-1)/2)+'Cash Drivers'!AZ$13,0)=EOMONTH($BD$1,0),Sales!AZ$6*Sales!AZ$7,0)+IF(EOMONTH(DATE(YEAR(Sales!$AU$1),MONTH(Sales!$AU$1),1)+INT((DAY(Sales!$AU$1)-1)/2)+'Cash Drivers'!AW$13,0)=EOMONTH($BD$1,0),Sales!AW$6*Sales!AW$7,0)+IF(EOMONTH(DATE(YEAR(Sales!$AR$1),MONTH(Sales!$AR$1),1)+INT((DAY(Sales!$AR$1)-1)/2)+'Cash Drivers'!AT$13,0)=EOMONTH($BD$1,0),Sales!AT$6*Sales!AT$7,0)+IF(EOMONTH(DATE(YEAR(Sales!$AO$1),MONTH(Sales!$AO$1),1)+INT((DAY(Sales!$AO$1)-1)/2)+'Cash Drivers'!AQ$13,0)=EOMONTH($BD$1,0),Sales!AQ$6*Sales!AQ$7,0)+IF(EOMONTH(DATE(YEAR(Sales!$AL$1),MONTH(Sales!$AL$1),1)+INT((DAY(Sales!$AL$1)-1)/2)+'Cash Drivers'!AN$13,0)=EOMONTH($BD$1,0),Sales!AN$6*Sales!AN$7,0)+IF(EOMONTH(DATE(YEAR(Sales!$AI$1),MONTH(Sales!$AI$1),1)+INT((DAY(Sales!$AI$1)-1)/2)+'Cash Drivers'!AK$13,0)=EOMONTH($BD$1,0),Sales!AK$6*Sales!AK$7,0)+IF(EOMONTH(DATE(YEAR(Sales!$AF$1),MONTH(Sales!$AF$1),1)+INT((DAY(Sales!$AF$1)-1)/2)+'Cash Drivers'!AH$13,0)=EOMONTH($BD$1,0),Sales!AH$6*Sales!AH$7,0)+IF(EOMONTH(DATE(YEAR(Sales!$AC$1),MONTH(Sales!$AC$1),1)+INT((DAY(Sales!$AC$1)-1)/2)+'Cash Drivers'!AE$13,0)=EOMONTH($BD$1,0),Sales!AE$6*Sales!AE$7,0)+IF(EOMONTH(DATE(YEAR(Sales!$Z$1),MONTH(Sales!$Z$1),1)+INT((DAY(Sales!$Z$1)-1)/2)+'Cash Drivers'!AB$13,0)=EOMONTH($BD$1,0),Sales!AB$6*Sales!AB$7,0)+IF(EOMONTH(DATE(YEAR(Sales!$W$1),MONTH(Sales!$W$1),1)+INT((DAY(Sales!$W$1)-1)/2)+'Cash Drivers'!Y$13,0)=EOMONTH($BD$1,0),Sales!Y$6*Sales!Y$7,0)+IF(EOMONTH(DATE(YEAR(Sales!$T$1),MONTH(Sales!$T$1),1)+INT((DAY(Sales!$T$1)-1)/2)+'Cash Drivers'!V$13,0)=EOMONTH($BD$1,0),Sales!V$6*Sales!V$7,0)+IF(EOMONTH(DATE(YEAR(Sales!$Q$1),MONTH(Sales!$Q$1),1)+INT((DAY(Sales!$Q$1)-1)/2)+'Cash Drivers'!S$13,0)=EOMONTH($BD$1,0),Sales!S$6*Sales!S$7,0)+IF(EOMONTH(DATE(YEAR(Sales!$N$1),MONTH(Sales!$N$1),1)+INT((DAY(Sales!$N$1)-1)/2)+'Cash Drivers'!P$13,0)=EOMONTH($BD$1,0),Sales!P$6*Sales!P$7,0)+IF(EOMONTH(DATE(YEAR(Sales!$K$1),MONTH(Sales!$K$1),1)+INT((DAY(Sales!$K$1)-1)/2)+'Cash Drivers'!M$13,0)=EOMONTH($BD$1,0),Sales!M$6*Sales!M$7,0)+IF(EOMONTH('Cash Drivers'!$DL$30+'Cash Drivers'!DN$13,0)=EOMONTH($BD$1,0),'Cash Drivers'!$DL$32*Sales!$DL$60,0),0)</f>
        <v>35532</v>
      </c>
      <c r="BG24" s="58" t="n">
        <f aca="false">ROUND(IF(EOMONTH(DATE(YEAR(Sales!$DL$1),MONTH(Sales!$DL$1),1)+INT((DAY(Sales!$DL$1)-1)/2)+'Cash Drivers'!DL$13,0)=EOMONTH($BG$1,0),Sales!DL$6*Sales!DL$7,0)+IF(EOMONTH(DATE(YEAR(Sales!$DI$1),MONTH(Sales!$DI$1),1)+INT((DAY(Sales!$DI$1)-1)/2)+'Cash Drivers'!DI$13,0)=EOMONTH($BG$1,0),Sales!DI$6*Sales!DI$7,0)+IF(EOMONTH(DATE(YEAR(Sales!$DF$1),MONTH(Sales!$DF$1),1)+INT((DAY(Sales!$DF$1)-1)/2)+'Cash Drivers'!DF$13,0)=EOMONTH($BG$1,0),Sales!DF$6*Sales!DF$7,0)+IF(EOMONTH(DATE(YEAR(Sales!$DC$1),MONTH(Sales!$DC$1),1)+INT((DAY(Sales!$DC$1)-1)/2)+'Cash Drivers'!DC$13,0)=EOMONTH($BG$1,0),Sales!DC$6*Sales!DC$7,0)+IF(EOMONTH(DATE(YEAR(Sales!$CZ$1),MONTH(Sales!$CZ$1),1)+INT((DAY(Sales!$CZ$1)-1)/2)+'Cash Drivers'!CZ$13,0)=EOMONTH($BG$1,0),Sales!CZ$6*Sales!CZ$7,0)+IF(EOMONTH(DATE(YEAR(Sales!$CW$1),MONTH(Sales!$CW$1),1)+INT((DAY(Sales!$CW$1)-1)/2)+'Cash Drivers'!CW$13,0)=EOMONTH($BG$1,0),Sales!CW$6*Sales!CW$7,0)+IF(EOMONTH(DATE(YEAR(Sales!$CT$1),MONTH(Sales!$CT$1),1)+INT((DAY(Sales!$CT$1)-1)/2)+'Cash Drivers'!CT$13,0)=EOMONTH($BG$1,0),Sales!CT$6*Sales!CT$7,0)+IF(EOMONTH(DATE(YEAR(Sales!$CQ$1),MONTH(Sales!$CQ$1),1)+INT((DAY(Sales!$CQ$1)-1)/2)+'Cash Drivers'!CQ$13,0)=EOMONTH($BG$1,0),Sales!CQ$6*Sales!CQ$7,0)+IF(EOMONTH(DATE(YEAR(Sales!$CN$1),MONTH(Sales!$CN$1),1)+INT((DAY(Sales!$CN$1)-1)/2)+'Cash Drivers'!CN$13,0)=EOMONTH($BG$1,0),Sales!CN$6*Sales!CN$7,0)+IF(EOMONTH(DATE(YEAR(Sales!$CK$1),MONTH(Sales!$CK$1),1)+INT((DAY(Sales!$CK$1)-1)/2)+'Cash Drivers'!CK$13,0)=EOMONTH($BG$1,0),Sales!CK$6*Sales!CK$7,0)+IF(EOMONTH(DATE(YEAR(Sales!$CH$1),MONTH(Sales!$CH$1),1)+INT((DAY(Sales!$CH$1)-1)/2)+'Cash Drivers'!CH$13,0)=EOMONTH($BG$1,0),Sales!CH$6*Sales!CH$7,0)+IF(EOMONTH(DATE(YEAR(Sales!$CE$1),MONTH(Sales!$CE$1),1)+INT((DAY(Sales!$CE$1)-1)/2)+'Cash Drivers'!CE$13,0)=EOMONTH($BG$1,0),Sales!CE$6*Sales!CE$7,0)+IF(EOMONTH(DATE(YEAR(Sales!$CB$1),MONTH(Sales!$CB$1),1)+INT((DAY(Sales!$CB$1)-1)/2)+'Cash Drivers'!CB$13,0)=EOMONTH($BG$1,0),Sales!CB$6*Sales!CB$7,0)+IF(EOMONTH(DATE(YEAR(Sales!$BY$1),MONTH(Sales!$BY$1),1)+INT((DAY(Sales!$BY$1)-1)/2)+'Cash Drivers'!BY$13,0)=EOMONTH($BG$1,0),Sales!BY$6*Sales!BY$7,0)+IF(EOMONTH(DATE(YEAR(Sales!$BV$1),MONTH(Sales!$BV$1),1)+INT((DAY(Sales!$BV$1)-1)/2)+'Cash Drivers'!BV$13,0)=EOMONTH($BG$1,0),Sales!BV$6*Sales!BV$7,0)+IF(EOMONTH(DATE(YEAR(Sales!$BS$1),MONTH(Sales!$BS$1),1)+INT((DAY(Sales!$BS$1)-1)/2)+'Cash Drivers'!BS$13,0)=EOMONTH($BG$1,0),Sales!BS$6*Sales!BS$7,0)+IF(EOMONTH(DATE(YEAR(Sales!$BP$1),MONTH(Sales!$BP$1),1)+INT((DAY(Sales!$BP$1)-1)/2)+'Cash Drivers'!BP$13,0)=EOMONTH($BG$1,0),Sales!BP$6*Sales!BP$7,0)+IF(EOMONTH(DATE(YEAR(Sales!$BM$1),MONTH(Sales!$BM$1),1)+INT((DAY(Sales!$BM$1)-1)/2)+'Cash Drivers'!BM$13,0)=EOMONTH($BG$1,0),Sales!BM$6*Sales!BM$7,0)+IF(EOMONTH(DATE(YEAR(Sales!$BJ$1),MONTH(Sales!$BJ$1),1)+INT((DAY(Sales!$BJ$1)-1)/2)+'Cash Drivers'!BJ$13,0)=EOMONTH($BG$1,0),Sales!BJ$6*Sales!BJ$7,0)+IF(EOMONTH(DATE(YEAR(Sales!$BG$1),MONTH(Sales!$BG$1),1)+INT((DAY(Sales!$BG$1)-1)/2)+'Cash Drivers'!BG$13,0)=EOMONTH($BG$1,0),Sales!BG$6*Sales!BG$7,0)+IF(EOMONTH(DATE(YEAR(Sales!$BD$1),MONTH(Sales!$BD$1),1)+INT((DAY(Sales!$BD$1)-1)/2)+'Cash Drivers'!BD$13,0)=EOMONTH($BG$1,0),Sales!BD$6*Sales!BD$7,0)+IF(EOMONTH(DATE(YEAR(Sales!$BA$1),MONTH(Sales!$BA$1),1)+INT((DAY(Sales!$BA$1)-1)/2)+'Cash Drivers'!BA$13,0)=EOMONTH($BG$1,0),Sales!BA$6*Sales!BA$7,0)+IF(EOMONTH(DATE(YEAR(Sales!$AX$1),MONTH(Sales!$AX$1),1)+INT((DAY(Sales!$AX$1)-1)/2)+'Cash Drivers'!AX$13,0)=EOMONTH($BG$1,0),Sales!AX$6*Sales!AX$7,0)+IF(EOMONTH(DATE(YEAR(Sales!$AU$1),MONTH(Sales!$AU$1),1)+INT((DAY(Sales!$AU$1)-1)/2)+'Cash Drivers'!AU$13,0)=EOMONTH($BG$1,0),Sales!AU$6*Sales!AU$7,0)+IF(EOMONTH(DATE(YEAR(Sales!$AR$1),MONTH(Sales!$AR$1),1)+INT((DAY(Sales!$AR$1)-1)/2)+'Cash Drivers'!AR$13,0)=EOMONTH($BG$1,0),Sales!AR$6*Sales!AR$7,0)+IF(EOMONTH(DATE(YEAR(Sales!$AO$1),MONTH(Sales!$AO$1),1)+INT((DAY(Sales!$AO$1)-1)/2)+'Cash Drivers'!AO$13,0)=EOMONTH($BG$1,0),Sales!AO$6*Sales!AO$7,0)+IF(EOMONTH(DATE(YEAR(Sales!$AL$1),MONTH(Sales!$AL$1),1)+INT((DAY(Sales!$AL$1)-1)/2)+'Cash Drivers'!AL$13,0)=EOMONTH($BG$1,0),Sales!AL$6*Sales!AL$7,0)+IF(EOMONTH(DATE(YEAR(Sales!$AI$1),MONTH(Sales!$AI$1),1)+INT((DAY(Sales!$AI$1)-1)/2)+'Cash Drivers'!AI$13,0)=EOMONTH($BG$1,0),Sales!AI$6*Sales!AI$7,0)+IF(EOMONTH(DATE(YEAR(Sales!$AF$1),MONTH(Sales!$AF$1),1)+INT((DAY(Sales!$AF$1)-1)/2)+'Cash Drivers'!AF$13,0)=EOMONTH($BG$1,0),Sales!AF$6*Sales!AF$7,0)+IF(EOMONTH(DATE(YEAR(Sales!$AC$1),MONTH(Sales!$AC$1),1)+INT((DAY(Sales!$AC$1)-1)/2)+'Cash Drivers'!AC$13,0)=EOMONTH($BG$1,0),Sales!AC$6*Sales!AC$7,0)+IF(EOMONTH(DATE(YEAR(Sales!$Z$1),MONTH(Sales!$Z$1),1)+INT((DAY(Sales!$Z$1)-1)/2)+'Cash Drivers'!Z$13,0)=EOMONTH($BG$1,0),Sales!Z$6*Sales!Z$7,0)+IF(EOMONTH(DATE(YEAR(Sales!$W$1),MONTH(Sales!$W$1),1)+INT((DAY(Sales!$W$1)-1)/2)+'Cash Drivers'!W$13,0)=EOMONTH($BG$1,0),Sales!W$6*Sales!W$7,0)+IF(EOMONTH(DATE(YEAR(Sales!$T$1),MONTH(Sales!$T$1),1)+INT((DAY(Sales!$T$1)-1)/2)+'Cash Drivers'!T$13,0)=EOMONTH($BG$1,0),Sales!T$6*Sales!T$7,0)+IF(EOMONTH(DATE(YEAR(Sales!$Q$1),MONTH(Sales!$Q$1),1)+INT((DAY(Sales!$Q$1)-1)/2)+'Cash Drivers'!Q$13,0)=EOMONTH($BG$1,0),Sales!Q$6*Sales!Q$7,0)+IF(EOMONTH(DATE(YEAR(Sales!$N$1),MONTH(Sales!$N$1),1)+INT((DAY(Sales!$N$1)-1)/2)+'Cash Drivers'!N$13,0)=EOMONTH($BG$1,0),Sales!N$6*Sales!N$7,0)+IF(EOMONTH(DATE(YEAR(Sales!$K$1),MONTH(Sales!$K$1),1)+INT((DAY(Sales!$K$1)-1)/2)+'Cash Drivers'!K$13,0)=EOMONTH($BG$1,0),Sales!K$6*Sales!K$7,0)+IF(EOMONTH('Cash Drivers'!$DL$30+'Cash Drivers'!DL$13,0)=EOMONTH($BG$1,0),'Cash Drivers'!$DL$32*Sales!$DL$60,0),0)</f>
        <v>0</v>
      </c>
      <c r="BH24" s="59" t="n">
        <f aca="false">ROUND(IF(EOMONTH(DATE(YEAR(Sales!$DL$1),MONTH(Sales!$DL$1),1)+INT((DAY(Sales!$DL$1)-1)/2)+'Cash Drivers'!DM$13,0)=EOMONTH($BG$1,0),Sales!DM$6*Sales!DM$7,0)+IF(EOMONTH(DATE(YEAR(Sales!$DI$1),MONTH(Sales!$DI$1),1)+INT((DAY(Sales!$DI$1)-1)/2)+'Cash Drivers'!DJ$13,0)=EOMONTH($BG$1,0),Sales!DJ$6*Sales!DJ$7,0)+IF(EOMONTH(DATE(YEAR(Sales!$DF$1),MONTH(Sales!$DF$1),1)+INT((DAY(Sales!$DF$1)-1)/2)+'Cash Drivers'!DG$13,0)=EOMONTH($BG$1,0),Sales!DG$6*Sales!DG$7,0)+IF(EOMONTH(DATE(YEAR(Sales!$DC$1),MONTH(Sales!$DC$1),1)+INT((DAY(Sales!$DC$1)-1)/2)+'Cash Drivers'!DD$13,0)=EOMONTH($BG$1,0),Sales!DD$6*Sales!DD$7,0)+IF(EOMONTH(DATE(YEAR(Sales!$CZ$1),MONTH(Sales!$CZ$1),1)+INT((DAY(Sales!$CZ$1)-1)/2)+'Cash Drivers'!DA$13,0)=EOMONTH($BG$1,0),Sales!DA$6*Sales!DA$7,0)+IF(EOMONTH(DATE(YEAR(Sales!$CW$1),MONTH(Sales!$CW$1),1)+INT((DAY(Sales!$CW$1)-1)/2)+'Cash Drivers'!CX$13,0)=EOMONTH($BG$1,0),Sales!CX$6*Sales!CX$7,0)+IF(EOMONTH(DATE(YEAR(Sales!$CT$1),MONTH(Sales!$CT$1),1)+INT((DAY(Sales!$CT$1)-1)/2)+'Cash Drivers'!CU$13,0)=EOMONTH($BG$1,0),Sales!CU$6*Sales!CU$7,0)+IF(EOMONTH(DATE(YEAR(Sales!$CQ$1),MONTH(Sales!$CQ$1),1)+INT((DAY(Sales!$CQ$1)-1)/2)+'Cash Drivers'!CR$13,0)=EOMONTH($BG$1,0),Sales!CR$6*Sales!CR$7,0)+IF(EOMONTH(DATE(YEAR(Sales!$CN$1),MONTH(Sales!$CN$1),1)+INT((DAY(Sales!$CN$1)-1)/2)+'Cash Drivers'!CO$13,0)=EOMONTH($BG$1,0),Sales!CO$6*Sales!CO$7,0)+IF(EOMONTH(DATE(YEAR(Sales!$CK$1),MONTH(Sales!$CK$1),1)+INT((DAY(Sales!$CK$1)-1)/2)+'Cash Drivers'!CL$13,0)=EOMONTH($BG$1,0),Sales!CL$6*Sales!CL$7,0)+IF(EOMONTH(DATE(YEAR(Sales!$CH$1),MONTH(Sales!$CH$1),1)+INT((DAY(Sales!$CH$1)-1)/2)+'Cash Drivers'!CI$13,0)=EOMONTH($BG$1,0),Sales!CI$6*Sales!CI$7,0)+IF(EOMONTH(DATE(YEAR(Sales!$CE$1),MONTH(Sales!$CE$1),1)+INT((DAY(Sales!$CE$1)-1)/2)+'Cash Drivers'!CF$13,0)=EOMONTH($BG$1,0),Sales!CF$6*Sales!CF$7,0)+IF(EOMONTH(DATE(YEAR(Sales!$CB$1),MONTH(Sales!$CB$1),1)+INT((DAY(Sales!$CB$1)-1)/2)+'Cash Drivers'!CC$13,0)=EOMONTH($BG$1,0),Sales!CC$6*Sales!CC$7,0)+IF(EOMONTH(DATE(YEAR(Sales!$BY$1),MONTH(Sales!$BY$1),1)+INT((DAY(Sales!$BY$1)-1)/2)+'Cash Drivers'!BZ$13,0)=EOMONTH($BG$1,0),Sales!BZ$6*Sales!BZ$7,0)+IF(EOMONTH(DATE(YEAR(Sales!$BV$1),MONTH(Sales!$BV$1),1)+INT((DAY(Sales!$BV$1)-1)/2)+'Cash Drivers'!BW$13,0)=EOMONTH($BG$1,0),Sales!BW$6*Sales!BW$7,0)+IF(EOMONTH(DATE(YEAR(Sales!$BS$1),MONTH(Sales!$BS$1),1)+INT((DAY(Sales!$BS$1)-1)/2)+'Cash Drivers'!BT$13,0)=EOMONTH($BG$1,0),Sales!BT$6*Sales!BT$7,0)+IF(EOMONTH(DATE(YEAR(Sales!$BP$1),MONTH(Sales!$BP$1),1)+INT((DAY(Sales!$BP$1)-1)/2)+'Cash Drivers'!BQ$13,0)=EOMONTH($BG$1,0),Sales!BQ$6*Sales!BQ$7,0)+IF(EOMONTH(DATE(YEAR(Sales!$BM$1),MONTH(Sales!$BM$1),1)+INT((DAY(Sales!$BM$1)-1)/2)+'Cash Drivers'!BN$13,0)=EOMONTH($BG$1,0),Sales!BN$6*Sales!BN$7,0)+IF(EOMONTH(DATE(YEAR(Sales!$BJ$1),MONTH(Sales!$BJ$1),1)+INT((DAY(Sales!$BJ$1)-1)/2)+'Cash Drivers'!BK$13,0)=EOMONTH($BG$1,0),Sales!BK$6*Sales!BK$7,0)+IF(EOMONTH(DATE(YEAR(Sales!$BG$1),MONTH(Sales!$BG$1),1)+INT((DAY(Sales!$BG$1)-1)/2)+'Cash Drivers'!BH$13,0)=EOMONTH($BG$1,0),Sales!BH$6*Sales!BH$7,0)+IF(EOMONTH(DATE(YEAR(Sales!$BD$1),MONTH(Sales!$BD$1),1)+INT((DAY(Sales!$BD$1)-1)/2)+'Cash Drivers'!BE$13,0)=EOMONTH($BG$1,0),Sales!BE$6*Sales!BE$7,0)+IF(EOMONTH(DATE(YEAR(Sales!$BA$1),MONTH(Sales!$BA$1),1)+INT((DAY(Sales!$BA$1)-1)/2)+'Cash Drivers'!BB$13,0)=EOMONTH($BG$1,0),Sales!BB$6*Sales!BB$7,0)+IF(EOMONTH(DATE(YEAR(Sales!$AX$1),MONTH(Sales!$AX$1),1)+INT((DAY(Sales!$AX$1)-1)/2)+'Cash Drivers'!AY$13,0)=EOMONTH($BG$1,0),Sales!AY$6*Sales!AY$7,0)+IF(EOMONTH(DATE(YEAR(Sales!$AU$1),MONTH(Sales!$AU$1),1)+INT((DAY(Sales!$AU$1)-1)/2)+'Cash Drivers'!AV$13,0)=EOMONTH($BG$1,0),Sales!AV$6*Sales!AV$7,0)+IF(EOMONTH(DATE(YEAR(Sales!$AR$1),MONTH(Sales!$AR$1),1)+INT((DAY(Sales!$AR$1)-1)/2)+'Cash Drivers'!AS$13,0)=EOMONTH($BG$1,0),Sales!AS$6*Sales!AS$7,0)+IF(EOMONTH(DATE(YEAR(Sales!$AO$1),MONTH(Sales!$AO$1),1)+INT((DAY(Sales!$AO$1)-1)/2)+'Cash Drivers'!AP$13,0)=EOMONTH($BG$1,0),Sales!AP$6*Sales!AP$7,0)+IF(EOMONTH(DATE(YEAR(Sales!$AL$1),MONTH(Sales!$AL$1),1)+INT((DAY(Sales!$AL$1)-1)/2)+'Cash Drivers'!AM$13,0)=EOMONTH($BG$1,0),Sales!AM$6*Sales!AM$7,0)+IF(EOMONTH(DATE(YEAR(Sales!$AI$1),MONTH(Sales!$AI$1),1)+INT((DAY(Sales!$AI$1)-1)/2)+'Cash Drivers'!AJ$13,0)=EOMONTH($BG$1,0),Sales!AJ$6*Sales!AJ$7,0)+IF(EOMONTH(DATE(YEAR(Sales!$AF$1),MONTH(Sales!$AF$1),1)+INT((DAY(Sales!$AF$1)-1)/2)+'Cash Drivers'!AG$13,0)=EOMONTH($BG$1,0),Sales!AG$6*Sales!AG$7,0)+IF(EOMONTH(DATE(YEAR(Sales!$AC$1),MONTH(Sales!$AC$1),1)+INT((DAY(Sales!$AC$1)-1)/2)+'Cash Drivers'!AD$13,0)=EOMONTH($BG$1,0),Sales!AD$6*Sales!AD$7,0)+IF(EOMONTH(DATE(YEAR(Sales!$Z$1),MONTH(Sales!$Z$1),1)+INT((DAY(Sales!$Z$1)-1)/2)+'Cash Drivers'!AA$13,0)=EOMONTH($BG$1,0),Sales!AA$6*Sales!AA$7,0)+IF(EOMONTH(DATE(YEAR(Sales!$W$1),MONTH(Sales!$W$1),1)+INT((DAY(Sales!$W$1)-1)/2)+'Cash Drivers'!X$13,0)=EOMONTH($BG$1,0),Sales!X$6*Sales!X$7,0)+IF(EOMONTH(DATE(YEAR(Sales!$T$1),MONTH(Sales!$T$1),1)+INT((DAY(Sales!$T$1)-1)/2)+'Cash Drivers'!U$13,0)=EOMONTH($BG$1,0),Sales!U$6*Sales!U$7,0)+IF(EOMONTH(DATE(YEAR(Sales!$Q$1),MONTH(Sales!$Q$1),1)+INT((DAY(Sales!$Q$1)-1)/2)+'Cash Drivers'!R$13,0)=EOMONTH($BG$1,0),Sales!R$6*Sales!R$7,0)+IF(EOMONTH(DATE(YEAR(Sales!$N$1),MONTH(Sales!$N$1),1)+INT((DAY(Sales!$N$1)-1)/2)+'Cash Drivers'!O$13,0)=EOMONTH($BG$1,0),Sales!O$6*Sales!O$7,0)+IF(EOMONTH(DATE(YEAR(Sales!$K$1),MONTH(Sales!$K$1),1)+INT((DAY(Sales!$K$1)-1)/2)+'Cash Drivers'!L$13,0)=EOMONTH($BG$1,0),Sales!L$6*Sales!L$7,0)+IF(EOMONTH('Cash Drivers'!$DL$30+'Cash Drivers'!DM$13,0)=EOMONTH($BG$1,0),'Cash Drivers'!$DL$32*Sales!$DL$60,0),0)</f>
        <v>35280</v>
      </c>
      <c r="BI24" s="60" t="n">
        <f aca="false">ROUND(IF(EOMONTH(DATE(YEAR(Sales!$DL$1),MONTH(Sales!$DL$1),1)+INT((DAY(Sales!$DL$1)-1)/2)+'Cash Drivers'!DN$13,0)=EOMONTH($BG$1,0),Sales!DN$6*Sales!DN$7,0)+IF(EOMONTH(DATE(YEAR(Sales!$DI$1),MONTH(Sales!$DI$1),1)+INT((DAY(Sales!$DI$1)-1)/2)+'Cash Drivers'!DK$13,0)=EOMONTH($BG$1,0),Sales!DK$6*Sales!DK$7,0)+IF(EOMONTH(DATE(YEAR(Sales!$DF$1),MONTH(Sales!$DF$1),1)+INT((DAY(Sales!$DF$1)-1)/2)+'Cash Drivers'!DH$13,0)=EOMONTH($BG$1,0),Sales!DH$6*Sales!DH$7,0)+IF(EOMONTH(DATE(YEAR(Sales!$DC$1),MONTH(Sales!$DC$1),1)+INT((DAY(Sales!$DC$1)-1)/2)+'Cash Drivers'!DE$13,0)=EOMONTH($BG$1,0),Sales!DE$6*Sales!DE$7,0)+IF(EOMONTH(DATE(YEAR(Sales!$CZ$1),MONTH(Sales!$CZ$1),1)+INT((DAY(Sales!$CZ$1)-1)/2)+'Cash Drivers'!DB$13,0)=EOMONTH($BG$1,0),Sales!DB$6*Sales!DB$7,0)+IF(EOMONTH(DATE(YEAR(Sales!$CW$1),MONTH(Sales!$CW$1),1)+INT((DAY(Sales!$CW$1)-1)/2)+'Cash Drivers'!CY$13,0)=EOMONTH($BG$1,0),Sales!CY$6*Sales!CY$7,0)+IF(EOMONTH(DATE(YEAR(Sales!$CT$1),MONTH(Sales!$CT$1),1)+INT((DAY(Sales!$CT$1)-1)/2)+'Cash Drivers'!CV$13,0)=EOMONTH($BG$1,0),Sales!CV$6*Sales!CV$7,0)+IF(EOMONTH(DATE(YEAR(Sales!$CQ$1),MONTH(Sales!$CQ$1),1)+INT((DAY(Sales!$CQ$1)-1)/2)+'Cash Drivers'!CS$13,0)=EOMONTH($BG$1,0),Sales!CS$6*Sales!CS$7,0)+IF(EOMONTH(DATE(YEAR(Sales!$CN$1),MONTH(Sales!$CN$1),1)+INT((DAY(Sales!$CN$1)-1)/2)+'Cash Drivers'!CP$13,0)=EOMONTH($BG$1,0),Sales!CP$6*Sales!CP$7,0)+IF(EOMONTH(DATE(YEAR(Sales!$CK$1),MONTH(Sales!$CK$1),1)+INT((DAY(Sales!$CK$1)-1)/2)+'Cash Drivers'!CM$13,0)=EOMONTH($BG$1,0),Sales!CM$6*Sales!CM$7,0)+IF(EOMONTH(DATE(YEAR(Sales!$CH$1),MONTH(Sales!$CH$1),1)+INT((DAY(Sales!$CH$1)-1)/2)+'Cash Drivers'!CJ$13,0)=EOMONTH($BG$1,0),Sales!CJ$6*Sales!CJ$7,0)+IF(EOMONTH(DATE(YEAR(Sales!$CE$1),MONTH(Sales!$CE$1),1)+INT((DAY(Sales!$CE$1)-1)/2)+'Cash Drivers'!CG$13,0)=EOMONTH($BG$1,0),Sales!CG$6*Sales!CG$7,0)+IF(EOMONTH(DATE(YEAR(Sales!$CB$1),MONTH(Sales!$CB$1),1)+INT((DAY(Sales!$CB$1)-1)/2)+'Cash Drivers'!CD$13,0)=EOMONTH($BG$1,0),Sales!CD$6*Sales!CD$7,0)+IF(EOMONTH(DATE(YEAR(Sales!$BY$1),MONTH(Sales!$BY$1),1)+INT((DAY(Sales!$BY$1)-1)/2)+'Cash Drivers'!CA$13,0)=EOMONTH($BG$1,0),Sales!CA$6*Sales!CA$7,0)+IF(EOMONTH(DATE(YEAR(Sales!$BV$1),MONTH(Sales!$BV$1),1)+INT((DAY(Sales!$BV$1)-1)/2)+'Cash Drivers'!BX$13,0)=EOMONTH($BG$1,0),Sales!BX$6*Sales!BX$7,0)+IF(EOMONTH(DATE(YEAR(Sales!$BS$1),MONTH(Sales!$BS$1),1)+INT((DAY(Sales!$BS$1)-1)/2)+'Cash Drivers'!BU$13,0)=EOMONTH($BG$1,0),Sales!BU$6*Sales!BU$7,0)+IF(EOMONTH(DATE(YEAR(Sales!$BP$1),MONTH(Sales!$BP$1),1)+INT((DAY(Sales!$BP$1)-1)/2)+'Cash Drivers'!BR$13,0)=EOMONTH($BG$1,0),Sales!BR$6*Sales!BR$7,0)+IF(EOMONTH(DATE(YEAR(Sales!$BM$1),MONTH(Sales!$BM$1),1)+INT((DAY(Sales!$BM$1)-1)/2)+'Cash Drivers'!BO$13,0)=EOMONTH($BG$1,0),Sales!BO$6*Sales!BO$7,0)+IF(EOMONTH(DATE(YEAR(Sales!$BJ$1),MONTH(Sales!$BJ$1),1)+INT((DAY(Sales!$BJ$1)-1)/2)+'Cash Drivers'!BL$13,0)=EOMONTH($BG$1,0),Sales!BL$6*Sales!BL$7,0)+IF(EOMONTH(DATE(YEAR(Sales!$BG$1),MONTH(Sales!$BG$1),1)+INT((DAY(Sales!$BG$1)-1)/2)+'Cash Drivers'!BI$13,0)=EOMONTH($BG$1,0),Sales!BI$6*Sales!BI$7,0)+IF(EOMONTH(DATE(YEAR(Sales!$BD$1),MONTH(Sales!$BD$1),1)+INT((DAY(Sales!$BD$1)-1)/2)+'Cash Drivers'!BF$13,0)=EOMONTH($BG$1,0),Sales!BF$6*Sales!BF$7,0)+IF(EOMONTH(DATE(YEAR(Sales!$BA$1),MONTH(Sales!$BA$1),1)+INT((DAY(Sales!$BA$1)-1)/2)+'Cash Drivers'!BC$13,0)=EOMONTH($BG$1,0),Sales!BC$6*Sales!BC$7,0)+IF(EOMONTH(DATE(YEAR(Sales!$AX$1),MONTH(Sales!$AX$1),1)+INT((DAY(Sales!$AX$1)-1)/2)+'Cash Drivers'!AZ$13,0)=EOMONTH($BG$1,0),Sales!AZ$6*Sales!AZ$7,0)+IF(EOMONTH(DATE(YEAR(Sales!$AU$1),MONTH(Sales!$AU$1),1)+INT((DAY(Sales!$AU$1)-1)/2)+'Cash Drivers'!AW$13,0)=EOMONTH($BG$1,0),Sales!AW$6*Sales!AW$7,0)+IF(EOMONTH(DATE(YEAR(Sales!$AR$1),MONTH(Sales!$AR$1),1)+INT((DAY(Sales!$AR$1)-1)/2)+'Cash Drivers'!AT$13,0)=EOMONTH($BG$1,0),Sales!AT$6*Sales!AT$7,0)+IF(EOMONTH(DATE(YEAR(Sales!$AO$1),MONTH(Sales!$AO$1),1)+INT((DAY(Sales!$AO$1)-1)/2)+'Cash Drivers'!AQ$13,0)=EOMONTH($BG$1,0),Sales!AQ$6*Sales!AQ$7,0)+IF(EOMONTH(DATE(YEAR(Sales!$AL$1),MONTH(Sales!$AL$1),1)+INT((DAY(Sales!$AL$1)-1)/2)+'Cash Drivers'!AN$13,0)=EOMONTH($BG$1,0),Sales!AN$6*Sales!AN$7,0)+IF(EOMONTH(DATE(YEAR(Sales!$AI$1),MONTH(Sales!$AI$1),1)+INT((DAY(Sales!$AI$1)-1)/2)+'Cash Drivers'!AK$13,0)=EOMONTH($BG$1,0),Sales!AK$6*Sales!AK$7,0)+IF(EOMONTH(DATE(YEAR(Sales!$AF$1),MONTH(Sales!$AF$1),1)+INT((DAY(Sales!$AF$1)-1)/2)+'Cash Drivers'!AH$13,0)=EOMONTH($BG$1,0),Sales!AH$6*Sales!AH$7,0)+IF(EOMONTH(DATE(YEAR(Sales!$AC$1),MONTH(Sales!$AC$1),1)+INT((DAY(Sales!$AC$1)-1)/2)+'Cash Drivers'!AE$13,0)=EOMONTH($BG$1,0),Sales!AE$6*Sales!AE$7,0)+IF(EOMONTH(DATE(YEAR(Sales!$Z$1),MONTH(Sales!$Z$1),1)+INT((DAY(Sales!$Z$1)-1)/2)+'Cash Drivers'!AB$13,0)=EOMONTH($BG$1,0),Sales!AB$6*Sales!AB$7,0)+IF(EOMONTH(DATE(YEAR(Sales!$W$1),MONTH(Sales!$W$1),1)+INT((DAY(Sales!$W$1)-1)/2)+'Cash Drivers'!Y$13,0)=EOMONTH($BG$1,0),Sales!Y$6*Sales!Y$7,0)+IF(EOMONTH(DATE(YEAR(Sales!$T$1),MONTH(Sales!$T$1),1)+INT((DAY(Sales!$T$1)-1)/2)+'Cash Drivers'!V$13,0)=EOMONTH($BG$1,0),Sales!V$6*Sales!V$7,0)+IF(EOMONTH(DATE(YEAR(Sales!$Q$1),MONTH(Sales!$Q$1),1)+INT((DAY(Sales!$Q$1)-1)/2)+'Cash Drivers'!S$13,0)=EOMONTH($BG$1,0),Sales!S$6*Sales!S$7,0)+IF(EOMONTH(DATE(YEAR(Sales!$N$1),MONTH(Sales!$N$1),1)+INT((DAY(Sales!$N$1)-1)/2)+'Cash Drivers'!P$13,0)=EOMONTH($BG$1,0),Sales!P$6*Sales!P$7,0)+IF(EOMONTH(DATE(YEAR(Sales!$K$1),MONTH(Sales!$K$1),1)+INT((DAY(Sales!$K$1)-1)/2)+'Cash Drivers'!M$13,0)=EOMONTH($BG$1,0),Sales!M$6*Sales!M$7,0)+IF(EOMONTH('Cash Drivers'!$DL$30+'Cash Drivers'!DN$13,0)=EOMONTH($BG$1,0),'Cash Drivers'!$DL$32*Sales!$DL$60,0),0)</f>
        <v>35364</v>
      </c>
      <c r="BJ24" s="58" t="n">
        <f aca="false">ROUND(IF(EOMONTH(DATE(YEAR(Sales!$DL$1),MONTH(Sales!$DL$1),1)+INT((DAY(Sales!$DL$1)-1)/2)+'Cash Drivers'!DL$13,0)=EOMONTH($BJ$1,0),Sales!DL$6*Sales!DL$7,0)+IF(EOMONTH(DATE(YEAR(Sales!$DI$1),MONTH(Sales!$DI$1),1)+INT((DAY(Sales!$DI$1)-1)/2)+'Cash Drivers'!DI$13,0)=EOMONTH($BJ$1,0),Sales!DI$6*Sales!DI$7,0)+IF(EOMONTH(DATE(YEAR(Sales!$DF$1),MONTH(Sales!$DF$1),1)+INT((DAY(Sales!$DF$1)-1)/2)+'Cash Drivers'!DF$13,0)=EOMONTH($BJ$1,0),Sales!DF$6*Sales!DF$7,0)+IF(EOMONTH(DATE(YEAR(Sales!$DC$1),MONTH(Sales!$DC$1),1)+INT((DAY(Sales!$DC$1)-1)/2)+'Cash Drivers'!DC$13,0)=EOMONTH($BJ$1,0),Sales!DC$6*Sales!DC$7,0)+IF(EOMONTH(DATE(YEAR(Sales!$CZ$1),MONTH(Sales!$CZ$1),1)+INT((DAY(Sales!$CZ$1)-1)/2)+'Cash Drivers'!CZ$13,0)=EOMONTH($BJ$1,0),Sales!CZ$6*Sales!CZ$7,0)+IF(EOMONTH(DATE(YEAR(Sales!$CW$1),MONTH(Sales!$CW$1),1)+INT((DAY(Sales!$CW$1)-1)/2)+'Cash Drivers'!CW$13,0)=EOMONTH($BJ$1,0),Sales!CW$6*Sales!CW$7,0)+IF(EOMONTH(DATE(YEAR(Sales!$CT$1),MONTH(Sales!$CT$1),1)+INT((DAY(Sales!$CT$1)-1)/2)+'Cash Drivers'!CT$13,0)=EOMONTH($BJ$1,0),Sales!CT$6*Sales!CT$7,0)+IF(EOMONTH(DATE(YEAR(Sales!$CQ$1),MONTH(Sales!$CQ$1),1)+INT((DAY(Sales!$CQ$1)-1)/2)+'Cash Drivers'!CQ$13,0)=EOMONTH($BJ$1,0),Sales!CQ$6*Sales!CQ$7,0)+IF(EOMONTH(DATE(YEAR(Sales!$CN$1),MONTH(Sales!$CN$1),1)+INT((DAY(Sales!$CN$1)-1)/2)+'Cash Drivers'!CN$13,0)=EOMONTH($BJ$1,0),Sales!CN$6*Sales!CN$7,0)+IF(EOMONTH(DATE(YEAR(Sales!$CK$1),MONTH(Sales!$CK$1),1)+INT((DAY(Sales!$CK$1)-1)/2)+'Cash Drivers'!CK$13,0)=EOMONTH($BJ$1,0),Sales!CK$6*Sales!CK$7,0)+IF(EOMONTH(DATE(YEAR(Sales!$CH$1),MONTH(Sales!$CH$1),1)+INT((DAY(Sales!$CH$1)-1)/2)+'Cash Drivers'!CH$13,0)=EOMONTH($BJ$1,0),Sales!CH$6*Sales!CH$7,0)+IF(EOMONTH(DATE(YEAR(Sales!$CE$1),MONTH(Sales!$CE$1),1)+INT((DAY(Sales!$CE$1)-1)/2)+'Cash Drivers'!CE$13,0)=EOMONTH($BJ$1,0),Sales!CE$6*Sales!CE$7,0)+IF(EOMONTH(DATE(YEAR(Sales!$CB$1),MONTH(Sales!$CB$1),1)+INT((DAY(Sales!$CB$1)-1)/2)+'Cash Drivers'!CB$13,0)=EOMONTH($BJ$1,0),Sales!CB$6*Sales!CB$7,0)+IF(EOMONTH(DATE(YEAR(Sales!$BY$1),MONTH(Sales!$BY$1),1)+INT((DAY(Sales!$BY$1)-1)/2)+'Cash Drivers'!BY$13,0)=EOMONTH($BJ$1,0),Sales!BY$6*Sales!BY$7,0)+IF(EOMONTH(DATE(YEAR(Sales!$BV$1),MONTH(Sales!$BV$1),1)+INT((DAY(Sales!$BV$1)-1)/2)+'Cash Drivers'!BV$13,0)=EOMONTH($BJ$1,0),Sales!BV$6*Sales!BV$7,0)+IF(EOMONTH(DATE(YEAR(Sales!$BS$1),MONTH(Sales!$BS$1),1)+INT((DAY(Sales!$BS$1)-1)/2)+'Cash Drivers'!BS$13,0)=EOMONTH($BJ$1,0),Sales!BS$6*Sales!BS$7,0)+IF(EOMONTH(DATE(YEAR(Sales!$BP$1),MONTH(Sales!$BP$1),1)+INT((DAY(Sales!$BP$1)-1)/2)+'Cash Drivers'!BP$13,0)=EOMONTH($BJ$1,0),Sales!BP$6*Sales!BP$7,0)+IF(EOMONTH(DATE(YEAR(Sales!$BM$1),MONTH(Sales!$BM$1),1)+INT((DAY(Sales!$BM$1)-1)/2)+'Cash Drivers'!BM$13,0)=EOMONTH($BJ$1,0),Sales!BM$6*Sales!BM$7,0)+IF(EOMONTH(DATE(YEAR(Sales!$BJ$1),MONTH(Sales!$BJ$1),1)+INT((DAY(Sales!$BJ$1)-1)/2)+'Cash Drivers'!BJ$13,0)=EOMONTH($BJ$1,0),Sales!BJ$6*Sales!BJ$7,0)+IF(EOMONTH(DATE(YEAR(Sales!$BG$1),MONTH(Sales!$BG$1),1)+INT((DAY(Sales!$BG$1)-1)/2)+'Cash Drivers'!BG$13,0)=EOMONTH($BJ$1,0),Sales!BG$6*Sales!BG$7,0)+IF(EOMONTH(DATE(YEAR(Sales!$BD$1),MONTH(Sales!$BD$1),1)+INT((DAY(Sales!$BD$1)-1)/2)+'Cash Drivers'!BD$13,0)=EOMONTH($BJ$1,0),Sales!BD$6*Sales!BD$7,0)+IF(EOMONTH(DATE(YEAR(Sales!$BA$1),MONTH(Sales!$BA$1),1)+INT((DAY(Sales!$BA$1)-1)/2)+'Cash Drivers'!BA$13,0)=EOMONTH($BJ$1,0),Sales!BA$6*Sales!BA$7,0)+IF(EOMONTH(DATE(YEAR(Sales!$AX$1),MONTH(Sales!$AX$1),1)+INT((DAY(Sales!$AX$1)-1)/2)+'Cash Drivers'!AX$13,0)=EOMONTH($BJ$1,0),Sales!AX$6*Sales!AX$7,0)+IF(EOMONTH(DATE(YEAR(Sales!$AU$1),MONTH(Sales!$AU$1),1)+INT((DAY(Sales!$AU$1)-1)/2)+'Cash Drivers'!AU$13,0)=EOMONTH($BJ$1,0),Sales!AU$6*Sales!AU$7,0)+IF(EOMONTH(DATE(YEAR(Sales!$AR$1),MONTH(Sales!$AR$1),1)+INT((DAY(Sales!$AR$1)-1)/2)+'Cash Drivers'!AR$13,0)=EOMONTH($BJ$1,0),Sales!AR$6*Sales!AR$7,0)+IF(EOMONTH(DATE(YEAR(Sales!$AO$1),MONTH(Sales!$AO$1),1)+INT((DAY(Sales!$AO$1)-1)/2)+'Cash Drivers'!AO$13,0)=EOMONTH($BJ$1,0),Sales!AO$6*Sales!AO$7,0)+IF(EOMONTH(DATE(YEAR(Sales!$AL$1),MONTH(Sales!$AL$1),1)+INT((DAY(Sales!$AL$1)-1)/2)+'Cash Drivers'!AL$13,0)=EOMONTH($BJ$1,0),Sales!AL$6*Sales!AL$7,0)+IF(EOMONTH(DATE(YEAR(Sales!$AI$1),MONTH(Sales!$AI$1),1)+INT((DAY(Sales!$AI$1)-1)/2)+'Cash Drivers'!AI$13,0)=EOMONTH($BJ$1,0),Sales!AI$6*Sales!AI$7,0)+IF(EOMONTH(DATE(YEAR(Sales!$AF$1),MONTH(Sales!$AF$1),1)+INT((DAY(Sales!$AF$1)-1)/2)+'Cash Drivers'!AF$13,0)=EOMONTH($BJ$1,0),Sales!AF$6*Sales!AF$7,0)+IF(EOMONTH(DATE(YEAR(Sales!$AC$1),MONTH(Sales!$AC$1),1)+INT((DAY(Sales!$AC$1)-1)/2)+'Cash Drivers'!AC$13,0)=EOMONTH($BJ$1,0),Sales!AC$6*Sales!AC$7,0)+IF(EOMONTH(DATE(YEAR(Sales!$Z$1),MONTH(Sales!$Z$1),1)+INT((DAY(Sales!$Z$1)-1)/2)+'Cash Drivers'!Z$13,0)=EOMONTH($BJ$1,0),Sales!Z$6*Sales!Z$7,0)+IF(EOMONTH(DATE(YEAR(Sales!$W$1),MONTH(Sales!$W$1),1)+INT((DAY(Sales!$W$1)-1)/2)+'Cash Drivers'!W$13,0)=EOMONTH($BJ$1,0),Sales!W$6*Sales!W$7,0)+IF(EOMONTH(DATE(YEAR(Sales!$T$1),MONTH(Sales!$T$1),1)+INT((DAY(Sales!$T$1)-1)/2)+'Cash Drivers'!T$13,0)=EOMONTH($BJ$1,0),Sales!T$6*Sales!T$7,0)+IF(EOMONTH(DATE(YEAR(Sales!$Q$1),MONTH(Sales!$Q$1),1)+INT((DAY(Sales!$Q$1)-1)/2)+'Cash Drivers'!Q$13,0)=EOMONTH($BJ$1,0),Sales!Q$6*Sales!Q$7,0)+IF(EOMONTH(DATE(YEAR(Sales!$N$1),MONTH(Sales!$N$1),1)+INT((DAY(Sales!$N$1)-1)/2)+'Cash Drivers'!N$13,0)=EOMONTH($BJ$1,0),Sales!N$6*Sales!N$7,0)+IF(EOMONTH(DATE(YEAR(Sales!$K$1),MONTH(Sales!$K$1),1)+INT((DAY(Sales!$K$1)-1)/2)+'Cash Drivers'!K$13,0)=EOMONTH($BJ$1,0),Sales!K$6*Sales!K$7,0)+IF(EOMONTH('Cash Drivers'!$DL$30+'Cash Drivers'!DL$13,0)=EOMONTH($BJ$1,0),'Cash Drivers'!$DL$32*Sales!$DL$60,0),0)</f>
        <v>0</v>
      </c>
      <c r="BK24" s="59" t="n">
        <f aca="false">ROUND(IF(EOMONTH(DATE(YEAR(Sales!$DL$1),MONTH(Sales!$DL$1),1)+INT((DAY(Sales!$DL$1)-1)/2)+'Cash Drivers'!DM$13,0)=EOMONTH($BJ$1,0),Sales!DM$6*Sales!DM$7,0)+IF(EOMONTH(DATE(YEAR(Sales!$DI$1),MONTH(Sales!$DI$1),1)+INT((DAY(Sales!$DI$1)-1)/2)+'Cash Drivers'!DJ$13,0)=EOMONTH($BJ$1,0),Sales!DJ$6*Sales!DJ$7,0)+IF(EOMONTH(DATE(YEAR(Sales!$DF$1),MONTH(Sales!$DF$1),1)+INT((DAY(Sales!$DF$1)-1)/2)+'Cash Drivers'!DG$13,0)=EOMONTH($BJ$1,0),Sales!DG$6*Sales!DG$7,0)+IF(EOMONTH(DATE(YEAR(Sales!$DC$1),MONTH(Sales!$DC$1),1)+INT((DAY(Sales!$DC$1)-1)/2)+'Cash Drivers'!DD$13,0)=EOMONTH($BJ$1,0),Sales!DD$6*Sales!DD$7,0)+IF(EOMONTH(DATE(YEAR(Sales!$CZ$1),MONTH(Sales!$CZ$1),1)+INT((DAY(Sales!$CZ$1)-1)/2)+'Cash Drivers'!DA$13,0)=EOMONTH($BJ$1,0),Sales!DA$6*Sales!DA$7,0)+IF(EOMONTH(DATE(YEAR(Sales!$CW$1),MONTH(Sales!$CW$1),1)+INT((DAY(Sales!$CW$1)-1)/2)+'Cash Drivers'!CX$13,0)=EOMONTH($BJ$1,0),Sales!CX$6*Sales!CX$7,0)+IF(EOMONTH(DATE(YEAR(Sales!$CT$1),MONTH(Sales!$CT$1),1)+INT((DAY(Sales!$CT$1)-1)/2)+'Cash Drivers'!CU$13,0)=EOMONTH($BJ$1,0),Sales!CU$6*Sales!CU$7,0)+IF(EOMONTH(DATE(YEAR(Sales!$CQ$1),MONTH(Sales!$CQ$1),1)+INT((DAY(Sales!$CQ$1)-1)/2)+'Cash Drivers'!CR$13,0)=EOMONTH($BJ$1,0),Sales!CR$6*Sales!CR$7,0)+IF(EOMONTH(DATE(YEAR(Sales!$CN$1),MONTH(Sales!$CN$1),1)+INT((DAY(Sales!$CN$1)-1)/2)+'Cash Drivers'!CO$13,0)=EOMONTH($BJ$1,0),Sales!CO$6*Sales!CO$7,0)+IF(EOMONTH(DATE(YEAR(Sales!$CK$1),MONTH(Sales!$CK$1),1)+INT((DAY(Sales!$CK$1)-1)/2)+'Cash Drivers'!CL$13,0)=EOMONTH($BJ$1,0),Sales!CL$6*Sales!CL$7,0)+IF(EOMONTH(DATE(YEAR(Sales!$CH$1),MONTH(Sales!$CH$1),1)+INT((DAY(Sales!$CH$1)-1)/2)+'Cash Drivers'!CI$13,0)=EOMONTH($BJ$1,0),Sales!CI$6*Sales!CI$7,0)+IF(EOMONTH(DATE(YEAR(Sales!$CE$1),MONTH(Sales!$CE$1),1)+INT((DAY(Sales!$CE$1)-1)/2)+'Cash Drivers'!CF$13,0)=EOMONTH($BJ$1,0),Sales!CF$6*Sales!CF$7,0)+IF(EOMONTH(DATE(YEAR(Sales!$CB$1),MONTH(Sales!$CB$1),1)+INT((DAY(Sales!$CB$1)-1)/2)+'Cash Drivers'!CC$13,0)=EOMONTH($BJ$1,0),Sales!CC$6*Sales!CC$7,0)+IF(EOMONTH(DATE(YEAR(Sales!$BY$1),MONTH(Sales!$BY$1),1)+INT((DAY(Sales!$BY$1)-1)/2)+'Cash Drivers'!BZ$13,0)=EOMONTH($BJ$1,0),Sales!BZ$6*Sales!BZ$7,0)+IF(EOMONTH(DATE(YEAR(Sales!$BV$1),MONTH(Sales!$BV$1),1)+INT((DAY(Sales!$BV$1)-1)/2)+'Cash Drivers'!BW$13,0)=EOMONTH($BJ$1,0),Sales!BW$6*Sales!BW$7,0)+IF(EOMONTH(DATE(YEAR(Sales!$BS$1),MONTH(Sales!$BS$1),1)+INT((DAY(Sales!$BS$1)-1)/2)+'Cash Drivers'!BT$13,0)=EOMONTH($BJ$1,0),Sales!BT$6*Sales!BT$7,0)+IF(EOMONTH(DATE(YEAR(Sales!$BP$1),MONTH(Sales!$BP$1),1)+INT((DAY(Sales!$BP$1)-1)/2)+'Cash Drivers'!BQ$13,0)=EOMONTH($BJ$1,0),Sales!BQ$6*Sales!BQ$7,0)+IF(EOMONTH(DATE(YEAR(Sales!$BM$1),MONTH(Sales!$BM$1),1)+INT((DAY(Sales!$BM$1)-1)/2)+'Cash Drivers'!BN$13,0)=EOMONTH($BJ$1,0),Sales!BN$6*Sales!BN$7,0)+IF(EOMONTH(DATE(YEAR(Sales!$BJ$1),MONTH(Sales!$BJ$1),1)+INT((DAY(Sales!$BJ$1)-1)/2)+'Cash Drivers'!BK$13,0)=EOMONTH($BJ$1,0),Sales!BK$6*Sales!BK$7,0)+IF(EOMONTH(DATE(YEAR(Sales!$BG$1),MONTH(Sales!$BG$1),1)+INT((DAY(Sales!$BG$1)-1)/2)+'Cash Drivers'!BH$13,0)=EOMONTH($BJ$1,0),Sales!BH$6*Sales!BH$7,0)+IF(EOMONTH(DATE(YEAR(Sales!$BD$1),MONTH(Sales!$BD$1),1)+INT((DAY(Sales!$BD$1)-1)/2)+'Cash Drivers'!BE$13,0)=EOMONTH($BJ$1,0),Sales!BE$6*Sales!BE$7,0)+IF(EOMONTH(DATE(YEAR(Sales!$BA$1),MONTH(Sales!$BA$1),1)+INT((DAY(Sales!$BA$1)-1)/2)+'Cash Drivers'!BB$13,0)=EOMONTH($BJ$1,0),Sales!BB$6*Sales!BB$7,0)+IF(EOMONTH(DATE(YEAR(Sales!$AX$1),MONTH(Sales!$AX$1),1)+INT((DAY(Sales!$AX$1)-1)/2)+'Cash Drivers'!AY$13,0)=EOMONTH($BJ$1,0),Sales!AY$6*Sales!AY$7,0)+IF(EOMONTH(DATE(YEAR(Sales!$AU$1),MONTH(Sales!$AU$1),1)+INT((DAY(Sales!$AU$1)-1)/2)+'Cash Drivers'!AV$13,0)=EOMONTH($BJ$1,0),Sales!AV$6*Sales!AV$7,0)+IF(EOMONTH(DATE(YEAR(Sales!$AR$1),MONTH(Sales!$AR$1),1)+INT((DAY(Sales!$AR$1)-1)/2)+'Cash Drivers'!AS$13,0)=EOMONTH($BJ$1,0),Sales!AS$6*Sales!AS$7,0)+IF(EOMONTH(DATE(YEAR(Sales!$AO$1),MONTH(Sales!$AO$1),1)+INT((DAY(Sales!$AO$1)-1)/2)+'Cash Drivers'!AP$13,0)=EOMONTH($BJ$1,0),Sales!AP$6*Sales!AP$7,0)+IF(EOMONTH(DATE(YEAR(Sales!$AL$1),MONTH(Sales!$AL$1),1)+INT((DAY(Sales!$AL$1)-1)/2)+'Cash Drivers'!AM$13,0)=EOMONTH($BJ$1,0),Sales!AM$6*Sales!AM$7,0)+IF(EOMONTH(DATE(YEAR(Sales!$AI$1),MONTH(Sales!$AI$1),1)+INT((DAY(Sales!$AI$1)-1)/2)+'Cash Drivers'!AJ$13,0)=EOMONTH($BJ$1,0),Sales!AJ$6*Sales!AJ$7,0)+IF(EOMONTH(DATE(YEAR(Sales!$AF$1),MONTH(Sales!$AF$1),1)+INT((DAY(Sales!$AF$1)-1)/2)+'Cash Drivers'!AG$13,0)=EOMONTH($BJ$1,0),Sales!AG$6*Sales!AG$7,0)+IF(EOMONTH(DATE(YEAR(Sales!$AC$1),MONTH(Sales!$AC$1),1)+INT((DAY(Sales!$AC$1)-1)/2)+'Cash Drivers'!AD$13,0)=EOMONTH($BJ$1,0),Sales!AD$6*Sales!AD$7,0)+IF(EOMONTH(DATE(YEAR(Sales!$Z$1),MONTH(Sales!$Z$1),1)+INT((DAY(Sales!$Z$1)-1)/2)+'Cash Drivers'!AA$13,0)=EOMONTH($BJ$1,0),Sales!AA$6*Sales!AA$7,0)+IF(EOMONTH(DATE(YEAR(Sales!$W$1),MONTH(Sales!$W$1),1)+INT((DAY(Sales!$W$1)-1)/2)+'Cash Drivers'!X$13,0)=EOMONTH($BJ$1,0),Sales!X$6*Sales!X$7,0)+IF(EOMONTH(DATE(YEAR(Sales!$T$1),MONTH(Sales!$T$1),1)+INT((DAY(Sales!$T$1)-1)/2)+'Cash Drivers'!U$13,0)=EOMONTH($BJ$1,0),Sales!U$6*Sales!U$7,0)+IF(EOMONTH(DATE(YEAR(Sales!$Q$1),MONTH(Sales!$Q$1),1)+INT((DAY(Sales!$Q$1)-1)/2)+'Cash Drivers'!R$13,0)=EOMONTH($BJ$1,0),Sales!R$6*Sales!R$7,0)+IF(EOMONTH(DATE(YEAR(Sales!$N$1),MONTH(Sales!$N$1),1)+INT((DAY(Sales!$N$1)-1)/2)+'Cash Drivers'!O$13,0)=EOMONTH($BJ$1,0),Sales!O$6*Sales!O$7,0)+IF(EOMONTH(DATE(YEAR(Sales!$K$1),MONTH(Sales!$K$1),1)+INT((DAY(Sales!$K$1)-1)/2)+'Cash Drivers'!L$13,0)=EOMONTH($BJ$1,0),Sales!L$6*Sales!L$7,0)+IF(EOMONTH('Cash Drivers'!$DL$30+'Cash Drivers'!DM$13,0)=EOMONTH($BJ$1,0),'Cash Drivers'!$DL$32*Sales!$DL$60,0),0)</f>
        <v>35112</v>
      </c>
      <c r="BL24" s="60" t="n">
        <f aca="false">ROUND(IF(EOMONTH(DATE(YEAR(Sales!$DL$1),MONTH(Sales!$DL$1),1)+INT((DAY(Sales!$DL$1)-1)/2)+'Cash Drivers'!DN$13,0)=EOMONTH($BJ$1,0),Sales!DN$6*Sales!DN$7,0)+IF(EOMONTH(DATE(YEAR(Sales!$DI$1),MONTH(Sales!$DI$1),1)+INT((DAY(Sales!$DI$1)-1)/2)+'Cash Drivers'!DK$13,0)=EOMONTH($BJ$1,0),Sales!DK$6*Sales!DK$7,0)+IF(EOMONTH(DATE(YEAR(Sales!$DF$1),MONTH(Sales!$DF$1),1)+INT((DAY(Sales!$DF$1)-1)/2)+'Cash Drivers'!DH$13,0)=EOMONTH($BJ$1,0),Sales!DH$6*Sales!DH$7,0)+IF(EOMONTH(DATE(YEAR(Sales!$DC$1),MONTH(Sales!$DC$1),1)+INT((DAY(Sales!$DC$1)-1)/2)+'Cash Drivers'!DE$13,0)=EOMONTH($BJ$1,0),Sales!DE$6*Sales!DE$7,0)+IF(EOMONTH(DATE(YEAR(Sales!$CZ$1),MONTH(Sales!$CZ$1),1)+INT((DAY(Sales!$CZ$1)-1)/2)+'Cash Drivers'!DB$13,0)=EOMONTH($BJ$1,0),Sales!DB$6*Sales!DB$7,0)+IF(EOMONTH(DATE(YEAR(Sales!$CW$1),MONTH(Sales!$CW$1),1)+INT((DAY(Sales!$CW$1)-1)/2)+'Cash Drivers'!CY$13,0)=EOMONTH($BJ$1,0),Sales!CY$6*Sales!CY$7,0)+IF(EOMONTH(DATE(YEAR(Sales!$CT$1),MONTH(Sales!$CT$1),1)+INT((DAY(Sales!$CT$1)-1)/2)+'Cash Drivers'!CV$13,0)=EOMONTH($BJ$1,0),Sales!CV$6*Sales!CV$7,0)+IF(EOMONTH(DATE(YEAR(Sales!$CQ$1),MONTH(Sales!$CQ$1),1)+INT((DAY(Sales!$CQ$1)-1)/2)+'Cash Drivers'!CS$13,0)=EOMONTH($BJ$1,0),Sales!CS$6*Sales!CS$7,0)+IF(EOMONTH(DATE(YEAR(Sales!$CN$1),MONTH(Sales!$CN$1),1)+INT((DAY(Sales!$CN$1)-1)/2)+'Cash Drivers'!CP$13,0)=EOMONTH($BJ$1,0),Sales!CP$6*Sales!CP$7,0)+IF(EOMONTH(DATE(YEAR(Sales!$CK$1),MONTH(Sales!$CK$1),1)+INT((DAY(Sales!$CK$1)-1)/2)+'Cash Drivers'!CM$13,0)=EOMONTH($BJ$1,0),Sales!CM$6*Sales!CM$7,0)+IF(EOMONTH(DATE(YEAR(Sales!$CH$1),MONTH(Sales!$CH$1),1)+INT((DAY(Sales!$CH$1)-1)/2)+'Cash Drivers'!CJ$13,0)=EOMONTH($BJ$1,0),Sales!CJ$6*Sales!CJ$7,0)+IF(EOMONTH(DATE(YEAR(Sales!$CE$1),MONTH(Sales!$CE$1),1)+INT((DAY(Sales!$CE$1)-1)/2)+'Cash Drivers'!CG$13,0)=EOMONTH($BJ$1,0),Sales!CG$6*Sales!CG$7,0)+IF(EOMONTH(DATE(YEAR(Sales!$CB$1),MONTH(Sales!$CB$1),1)+INT((DAY(Sales!$CB$1)-1)/2)+'Cash Drivers'!CD$13,0)=EOMONTH($BJ$1,0),Sales!CD$6*Sales!CD$7,0)+IF(EOMONTH(DATE(YEAR(Sales!$BY$1),MONTH(Sales!$BY$1),1)+INT((DAY(Sales!$BY$1)-1)/2)+'Cash Drivers'!CA$13,0)=EOMONTH($BJ$1,0),Sales!CA$6*Sales!CA$7,0)+IF(EOMONTH(DATE(YEAR(Sales!$BV$1),MONTH(Sales!$BV$1),1)+INT((DAY(Sales!$BV$1)-1)/2)+'Cash Drivers'!BX$13,0)=EOMONTH($BJ$1,0),Sales!BX$6*Sales!BX$7,0)+IF(EOMONTH(DATE(YEAR(Sales!$BS$1),MONTH(Sales!$BS$1),1)+INT((DAY(Sales!$BS$1)-1)/2)+'Cash Drivers'!BU$13,0)=EOMONTH($BJ$1,0),Sales!BU$6*Sales!BU$7,0)+IF(EOMONTH(DATE(YEAR(Sales!$BP$1),MONTH(Sales!$BP$1),1)+INT((DAY(Sales!$BP$1)-1)/2)+'Cash Drivers'!BR$13,0)=EOMONTH($BJ$1,0),Sales!BR$6*Sales!BR$7,0)+IF(EOMONTH(DATE(YEAR(Sales!$BM$1),MONTH(Sales!$BM$1),1)+INT((DAY(Sales!$BM$1)-1)/2)+'Cash Drivers'!BO$13,0)=EOMONTH($BJ$1,0),Sales!BO$6*Sales!BO$7,0)+IF(EOMONTH(DATE(YEAR(Sales!$BJ$1),MONTH(Sales!$BJ$1),1)+INT((DAY(Sales!$BJ$1)-1)/2)+'Cash Drivers'!BL$13,0)=EOMONTH($BJ$1,0),Sales!BL$6*Sales!BL$7,0)+IF(EOMONTH(DATE(YEAR(Sales!$BG$1),MONTH(Sales!$BG$1),1)+INT((DAY(Sales!$BG$1)-1)/2)+'Cash Drivers'!BI$13,0)=EOMONTH($BJ$1,0),Sales!BI$6*Sales!BI$7,0)+IF(EOMONTH(DATE(YEAR(Sales!$BD$1),MONTH(Sales!$BD$1),1)+INT((DAY(Sales!$BD$1)-1)/2)+'Cash Drivers'!BF$13,0)=EOMONTH($BJ$1,0),Sales!BF$6*Sales!BF$7,0)+IF(EOMONTH(DATE(YEAR(Sales!$BA$1),MONTH(Sales!$BA$1),1)+INT((DAY(Sales!$BA$1)-1)/2)+'Cash Drivers'!BC$13,0)=EOMONTH($BJ$1,0),Sales!BC$6*Sales!BC$7,0)+IF(EOMONTH(DATE(YEAR(Sales!$AX$1),MONTH(Sales!$AX$1),1)+INT((DAY(Sales!$AX$1)-1)/2)+'Cash Drivers'!AZ$13,0)=EOMONTH($BJ$1,0),Sales!AZ$6*Sales!AZ$7,0)+IF(EOMONTH(DATE(YEAR(Sales!$AU$1),MONTH(Sales!$AU$1),1)+INT((DAY(Sales!$AU$1)-1)/2)+'Cash Drivers'!AW$13,0)=EOMONTH($BJ$1,0),Sales!AW$6*Sales!AW$7,0)+IF(EOMONTH(DATE(YEAR(Sales!$AR$1),MONTH(Sales!$AR$1),1)+INT((DAY(Sales!$AR$1)-1)/2)+'Cash Drivers'!AT$13,0)=EOMONTH($BJ$1,0),Sales!AT$6*Sales!AT$7,0)+IF(EOMONTH(DATE(YEAR(Sales!$AO$1),MONTH(Sales!$AO$1),1)+INT((DAY(Sales!$AO$1)-1)/2)+'Cash Drivers'!AQ$13,0)=EOMONTH($BJ$1,0),Sales!AQ$6*Sales!AQ$7,0)+IF(EOMONTH(DATE(YEAR(Sales!$AL$1),MONTH(Sales!$AL$1),1)+INT((DAY(Sales!$AL$1)-1)/2)+'Cash Drivers'!AN$13,0)=EOMONTH($BJ$1,0),Sales!AN$6*Sales!AN$7,0)+IF(EOMONTH(DATE(YEAR(Sales!$AI$1),MONTH(Sales!$AI$1),1)+INT((DAY(Sales!$AI$1)-1)/2)+'Cash Drivers'!AK$13,0)=EOMONTH($BJ$1,0),Sales!AK$6*Sales!AK$7,0)+IF(EOMONTH(DATE(YEAR(Sales!$AF$1),MONTH(Sales!$AF$1),1)+INT((DAY(Sales!$AF$1)-1)/2)+'Cash Drivers'!AH$13,0)=EOMONTH($BJ$1,0),Sales!AH$6*Sales!AH$7,0)+IF(EOMONTH(DATE(YEAR(Sales!$AC$1),MONTH(Sales!$AC$1),1)+INT((DAY(Sales!$AC$1)-1)/2)+'Cash Drivers'!AE$13,0)=EOMONTH($BJ$1,0),Sales!AE$6*Sales!AE$7,0)+IF(EOMONTH(DATE(YEAR(Sales!$Z$1),MONTH(Sales!$Z$1),1)+INT((DAY(Sales!$Z$1)-1)/2)+'Cash Drivers'!AB$13,0)=EOMONTH($BJ$1,0),Sales!AB$6*Sales!AB$7,0)+IF(EOMONTH(DATE(YEAR(Sales!$W$1),MONTH(Sales!$W$1),1)+INT((DAY(Sales!$W$1)-1)/2)+'Cash Drivers'!Y$13,0)=EOMONTH($BJ$1,0),Sales!Y$6*Sales!Y$7,0)+IF(EOMONTH(DATE(YEAR(Sales!$T$1),MONTH(Sales!$T$1),1)+INT((DAY(Sales!$T$1)-1)/2)+'Cash Drivers'!V$13,0)=EOMONTH($BJ$1,0),Sales!V$6*Sales!V$7,0)+IF(EOMONTH(DATE(YEAR(Sales!$Q$1),MONTH(Sales!$Q$1),1)+INT((DAY(Sales!$Q$1)-1)/2)+'Cash Drivers'!S$13,0)=EOMONTH($BJ$1,0),Sales!S$6*Sales!S$7,0)+IF(EOMONTH(DATE(YEAR(Sales!$N$1),MONTH(Sales!$N$1),1)+INT((DAY(Sales!$N$1)-1)/2)+'Cash Drivers'!P$13,0)=EOMONTH($BJ$1,0),Sales!P$6*Sales!P$7,0)+IF(EOMONTH(DATE(YEAR(Sales!$K$1),MONTH(Sales!$K$1),1)+INT((DAY(Sales!$K$1)-1)/2)+'Cash Drivers'!M$13,0)=EOMONTH($BJ$1,0),Sales!M$6*Sales!M$7,0)+IF(EOMONTH('Cash Drivers'!$DL$30+'Cash Drivers'!DN$13,0)=EOMONTH($BJ$1,0),'Cash Drivers'!$DL$32*Sales!$DL$60,0),0)</f>
        <v>35196</v>
      </c>
      <c r="BM24" s="58" t="n">
        <f aca="false">ROUND(IF(EOMONTH(DATE(YEAR(Sales!$DL$1),MONTH(Sales!$DL$1),1)+INT((DAY(Sales!$DL$1)-1)/2)+'Cash Drivers'!DL$13,0)=EOMONTH($BM$1,0),Sales!DL$6*Sales!DL$7,0)+IF(EOMONTH(DATE(YEAR(Sales!$DI$1),MONTH(Sales!$DI$1),1)+INT((DAY(Sales!$DI$1)-1)/2)+'Cash Drivers'!DI$13,0)=EOMONTH($BM$1,0),Sales!DI$6*Sales!DI$7,0)+IF(EOMONTH(DATE(YEAR(Sales!$DF$1),MONTH(Sales!$DF$1),1)+INT((DAY(Sales!$DF$1)-1)/2)+'Cash Drivers'!DF$13,0)=EOMONTH($BM$1,0),Sales!DF$6*Sales!DF$7,0)+IF(EOMONTH(DATE(YEAR(Sales!$DC$1),MONTH(Sales!$DC$1),1)+INT((DAY(Sales!$DC$1)-1)/2)+'Cash Drivers'!DC$13,0)=EOMONTH($BM$1,0),Sales!DC$6*Sales!DC$7,0)+IF(EOMONTH(DATE(YEAR(Sales!$CZ$1),MONTH(Sales!$CZ$1),1)+INT((DAY(Sales!$CZ$1)-1)/2)+'Cash Drivers'!CZ$13,0)=EOMONTH($BM$1,0),Sales!CZ$6*Sales!CZ$7,0)+IF(EOMONTH(DATE(YEAR(Sales!$CW$1),MONTH(Sales!$CW$1),1)+INT((DAY(Sales!$CW$1)-1)/2)+'Cash Drivers'!CW$13,0)=EOMONTH($BM$1,0),Sales!CW$6*Sales!CW$7,0)+IF(EOMONTH(DATE(YEAR(Sales!$CT$1),MONTH(Sales!$CT$1),1)+INT((DAY(Sales!$CT$1)-1)/2)+'Cash Drivers'!CT$13,0)=EOMONTH($BM$1,0),Sales!CT$6*Sales!CT$7,0)+IF(EOMONTH(DATE(YEAR(Sales!$CQ$1),MONTH(Sales!$CQ$1),1)+INT((DAY(Sales!$CQ$1)-1)/2)+'Cash Drivers'!CQ$13,0)=EOMONTH($BM$1,0),Sales!CQ$6*Sales!CQ$7,0)+IF(EOMONTH(DATE(YEAR(Sales!$CN$1),MONTH(Sales!$CN$1),1)+INT((DAY(Sales!$CN$1)-1)/2)+'Cash Drivers'!CN$13,0)=EOMONTH($BM$1,0),Sales!CN$6*Sales!CN$7,0)+IF(EOMONTH(DATE(YEAR(Sales!$CK$1),MONTH(Sales!$CK$1),1)+INT((DAY(Sales!$CK$1)-1)/2)+'Cash Drivers'!CK$13,0)=EOMONTH($BM$1,0),Sales!CK$6*Sales!CK$7,0)+IF(EOMONTH(DATE(YEAR(Sales!$CH$1),MONTH(Sales!$CH$1),1)+INT((DAY(Sales!$CH$1)-1)/2)+'Cash Drivers'!CH$13,0)=EOMONTH($BM$1,0),Sales!CH$6*Sales!CH$7,0)+IF(EOMONTH(DATE(YEAR(Sales!$CE$1),MONTH(Sales!$CE$1),1)+INT((DAY(Sales!$CE$1)-1)/2)+'Cash Drivers'!CE$13,0)=EOMONTH($BM$1,0),Sales!CE$6*Sales!CE$7,0)+IF(EOMONTH(DATE(YEAR(Sales!$CB$1),MONTH(Sales!$CB$1),1)+INT((DAY(Sales!$CB$1)-1)/2)+'Cash Drivers'!CB$13,0)=EOMONTH($BM$1,0),Sales!CB$6*Sales!CB$7,0)+IF(EOMONTH(DATE(YEAR(Sales!$BY$1),MONTH(Sales!$BY$1),1)+INT((DAY(Sales!$BY$1)-1)/2)+'Cash Drivers'!BY$13,0)=EOMONTH($BM$1,0),Sales!BY$6*Sales!BY$7,0)+IF(EOMONTH(DATE(YEAR(Sales!$BV$1),MONTH(Sales!$BV$1),1)+INT((DAY(Sales!$BV$1)-1)/2)+'Cash Drivers'!BV$13,0)=EOMONTH($BM$1,0),Sales!BV$6*Sales!BV$7,0)+IF(EOMONTH(DATE(YEAR(Sales!$BS$1),MONTH(Sales!$BS$1),1)+INT((DAY(Sales!$BS$1)-1)/2)+'Cash Drivers'!BS$13,0)=EOMONTH($BM$1,0),Sales!BS$6*Sales!BS$7,0)+IF(EOMONTH(DATE(YEAR(Sales!$BP$1),MONTH(Sales!$BP$1),1)+INT((DAY(Sales!$BP$1)-1)/2)+'Cash Drivers'!BP$13,0)=EOMONTH($BM$1,0),Sales!BP$6*Sales!BP$7,0)+IF(EOMONTH(DATE(YEAR(Sales!$BM$1),MONTH(Sales!$BM$1),1)+INT((DAY(Sales!$BM$1)-1)/2)+'Cash Drivers'!BM$13,0)=EOMONTH($BM$1,0),Sales!BM$6*Sales!BM$7,0)+IF(EOMONTH(DATE(YEAR(Sales!$BJ$1),MONTH(Sales!$BJ$1),1)+INT((DAY(Sales!$BJ$1)-1)/2)+'Cash Drivers'!BJ$13,0)=EOMONTH($BM$1,0),Sales!BJ$6*Sales!BJ$7,0)+IF(EOMONTH(DATE(YEAR(Sales!$BG$1),MONTH(Sales!$BG$1),1)+INT((DAY(Sales!$BG$1)-1)/2)+'Cash Drivers'!BG$13,0)=EOMONTH($BM$1,0),Sales!BG$6*Sales!BG$7,0)+IF(EOMONTH(DATE(YEAR(Sales!$BD$1),MONTH(Sales!$BD$1),1)+INT((DAY(Sales!$BD$1)-1)/2)+'Cash Drivers'!BD$13,0)=EOMONTH($BM$1,0),Sales!BD$6*Sales!BD$7,0)+IF(EOMONTH(DATE(YEAR(Sales!$BA$1),MONTH(Sales!$BA$1),1)+INT((DAY(Sales!$BA$1)-1)/2)+'Cash Drivers'!BA$13,0)=EOMONTH($BM$1,0),Sales!BA$6*Sales!BA$7,0)+IF(EOMONTH(DATE(YEAR(Sales!$AX$1),MONTH(Sales!$AX$1),1)+INT((DAY(Sales!$AX$1)-1)/2)+'Cash Drivers'!AX$13,0)=EOMONTH($BM$1,0),Sales!AX$6*Sales!AX$7,0)+IF(EOMONTH(DATE(YEAR(Sales!$AU$1),MONTH(Sales!$AU$1),1)+INT((DAY(Sales!$AU$1)-1)/2)+'Cash Drivers'!AU$13,0)=EOMONTH($BM$1,0),Sales!AU$6*Sales!AU$7,0)+IF(EOMONTH(DATE(YEAR(Sales!$AR$1),MONTH(Sales!$AR$1),1)+INT((DAY(Sales!$AR$1)-1)/2)+'Cash Drivers'!AR$13,0)=EOMONTH($BM$1,0),Sales!AR$6*Sales!AR$7,0)+IF(EOMONTH(DATE(YEAR(Sales!$AO$1),MONTH(Sales!$AO$1),1)+INT((DAY(Sales!$AO$1)-1)/2)+'Cash Drivers'!AO$13,0)=EOMONTH($BM$1,0),Sales!AO$6*Sales!AO$7,0)+IF(EOMONTH(DATE(YEAR(Sales!$AL$1),MONTH(Sales!$AL$1),1)+INT((DAY(Sales!$AL$1)-1)/2)+'Cash Drivers'!AL$13,0)=EOMONTH($BM$1,0),Sales!AL$6*Sales!AL$7,0)+IF(EOMONTH(DATE(YEAR(Sales!$AI$1),MONTH(Sales!$AI$1),1)+INT((DAY(Sales!$AI$1)-1)/2)+'Cash Drivers'!AI$13,0)=EOMONTH($BM$1,0),Sales!AI$6*Sales!AI$7,0)+IF(EOMONTH(DATE(YEAR(Sales!$AF$1),MONTH(Sales!$AF$1),1)+INT((DAY(Sales!$AF$1)-1)/2)+'Cash Drivers'!AF$13,0)=EOMONTH($BM$1,0),Sales!AF$6*Sales!AF$7,0)+IF(EOMONTH(DATE(YEAR(Sales!$AC$1),MONTH(Sales!$AC$1),1)+INT((DAY(Sales!$AC$1)-1)/2)+'Cash Drivers'!AC$13,0)=EOMONTH($BM$1,0),Sales!AC$6*Sales!AC$7,0)+IF(EOMONTH(DATE(YEAR(Sales!$Z$1),MONTH(Sales!$Z$1),1)+INT((DAY(Sales!$Z$1)-1)/2)+'Cash Drivers'!Z$13,0)=EOMONTH($BM$1,0),Sales!Z$6*Sales!Z$7,0)+IF(EOMONTH(DATE(YEAR(Sales!$W$1),MONTH(Sales!$W$1),1)+INT((DAY(Sales!$W$1)-1)/2)+'Cash Drivers'!W$13,0)=EOMONTH($BM$1,0),Sales!W$6*Sales!W$7,0)+IF(EOMONTH(DATE(YEAR(Sales!$T$1),MONTH(Sales!$T$1),1)+INT((DAY(Sales!$T$1)-1)/2)+'Cash Drivers'!T$13,0)=EOMONTH($BM$1,0),Sales!T$6*Sales!T$7,0)+IF(EOMONTH(DATE(YEAR(Sales!$Q$1),MONTH(Sales!$Q$1),1)+INT((DAY(Sales!$Q$1)-1)/2)+'Cash Drivers'!Q$13,0)=EOMONTH($BM$1,0),Sales!Q$6*Sales!Q$7,0)+IF(EOMONTH(DATE(YEAR(Sales!$N$1),MONTH(Sales!$N$1),1)+INT((DAY(Sales!$N$1)-1)/2)+'Cash Drivers'!N$13,0)=EOMONTH($BM$1,0),Sales!N$6*Sales!N$7,0)+IF(EOMONTH(DATE(YEAR(Sales!$K$1),MONTH(Sales!$K$1),1)+INT((DAY(Sales!$K$1)-1)/2)+'Cash Drivers'!K$13,0)=EOMONTH($BM$1,0),Sales!K$6*Sales!K$7,0)+IF(EOMONTH('Cash Drivers'!$DL$30+'Cash Drivers'!DL$13,0)=EOMONTH($BM$1,0),'Cash Drivers'!$DL$32*Sales!$DL$60,0),0)</f>
        <v>0</v>
      </c>
      <c r="BN24" s="59" t="n">
        <f aca="false">ROUND(IF(EOMONTH(DATE(YEAR(Sales!$DL$1),MONTH(Sales!$DL$1),1)+INT((DAY(Sales!$DL$1)-1)/2)+'Cash Drivers'!DM$13,0)=EOMONTH($BM$1,0),Sales!DM$6*Sales!DM$7,0)+IF(EOMONTH(DATE(YEAR(Sales!$DI$1),MONTH(Sales!$DI$1),1)+INT((DAY(Sales!$DI$1)-1)/2)+'Cash Drivers'!DJ$13,0)=EOMONTH($BM$1,0),Sales!DJ$6*Sales!DJ$7,0)+IF(EOMONTH(DATE(YEAR(Sales!$DF$1),MONTH(Sales!$DF$1),1)+INT((DAY(Sales!$DF$1)-1)/2)+'Cash Drivers'!DG$13,0)=EOMONTH($BM$1,0),Sales!DG$6*Sales!DG$7,0)+IF(EOMONTH(DATE(YEAR(Sales!$DC$1),MONTH(Sales!$DC$1),1)+INT((DAY(Sales!$DC$1)-1)/2)+'Cash Drivers'!DD$13,0)=EOMONTH($BM$1,0),Sales!DD$6*Sales!DD$7,0)+IF(EOMONTH(DATE(YEAR(Sales!$CZ$1),MONTH(Sales!$CZ$1),1)+INT((DAY(Sales!$CZ$1)-1)/2)+'Cash Drivers'!DA$13,0)=EOMONTH($BM$1,0),Sales!DA$6*Sales!DA$7,0)+IF(EOMONTH(DATE(YEAR(Sales!$CW$1),MONTH(Sales!$CW$1),1)+INT((DAY(Sales!$CW$1)-1)/2)+'Cash Drivers'!CX$13,0)=EOMONTH($BM$1,0),Sales!CX$6*Sales!CX$7,0)+IF(EOMONTH(DATE(YEAR(Sales!$CT$1),MONTH(Sales!$CT$1),1)+INT((DAY(Sales!$CT$1)-1)/2)+'Cash Drivers'!CU$13,0)=EOMONTH($BM$1,0),Sales!CU$6*Sales!CU$7,0)+IF(EOMONTH(DATE(YEAR(Sales!$CQ$1),MONTH(Sales!$CQ$1),1)+INT((DAY(Sales!$CQ$1)-1)/2)+'Cash Drivers'!CR$13,0)=EOMONTH($BM$1,0),Sales!CR$6*Sales!CR$7,0)+IF(EOMONTH(DATE(YEAR(Sales!$CN$1),MONTH(Sales!$CN$1),1)+INT((DAY(Sales!$CN$1)-1)/2)+'Cash Drivers'!CO$13,0)=EOMONTH($BM$1,0),Sales!CO$6*Sales!CO$7,0)+IF(EOMONTH(DATE(YEAR(Sales!$CK$1),MONTH(Sales!$CK$1),1)+INT((DAY(Sales!$CK$1)-1)/2)+'Cash Drivers'!CL$13,0)=EOMONTH($BM$1,0),Sales!CL$6*Sales!CL$7,0)+IF(EOMONTH(DATE(YEAR(Sales!$CH$1),MONTH(Sales!$CH$1),1)+INT((DAY(Sales!$CH$1)-1)/2)+'Cash Drivers'!CI$13,0)=EOMONTH($BM$1,0),Sales!CI$6*Sales!CI$7,0)+IF(EOMONTH(DATE(YEAR(Sales!$CE$1),MONTH(Sales!$CE$1),1)+INT((DAY(Sales!$CE$1)-1)/2)+'Cash Drivers'!CF$13,0)=EOMONTH($BM$1,0),Sales!CF$6*Sales!CF$7,0)+IF(EOMONTH(DATE(YEAR(Sales!$CB$1),MONTH(Sales!$CB$1),1)+INT((DAY(Sales!$CB$1)-1)/2)+'Cash Drivers'!CC$13,0)=EOMONTH($BM$1,0),Sales!CC$6*Sales!CC$7,0)+IF(EOMONTH(DATE(YEAR(Sales!$BY$1),MONTH(Sales!$BY$1),1)+INT((DAY(Sales!$BY$1)-1)/2)+'Cash Drivers'!BZ$13,0)=EOMONTH($BM$1,0),Sales!BZ$6*Sales!BZ$7,0)+IF(EOMONTH(DATE(YEAR(Sales!$BV$1),MONTH(Sales!$BV$1),1)+INT((DAY(Sales!$BV$1)-1)/2)+'Cash Drivers'!BW$13,0)=EOMONTH($BM$1,0),Sales!BW$6*Sales!BW$7,0)+IF(EOMONTH(DATE(YEAR(Sales!$BS$1),MONTH(Sales!$BS$1),1)+INT((DAY(Sales!$BS$1)-1)/2)+'Cash Drivers'!BT$13,0)=EOMONTH($BM$1,0),Sales!BT$6*Sales!BT$7,0)+IF(EOMONTH(DATE(YEAR(Sales!$BP$1),MONTH(Sales!$BP$1),1)+INT((DAY(Sales!$BP$1)-1)/2)+'Cash Drivers'!BQ$13,0)=EOMONTH($BM$1,0),Sales!BQ$6*Sales!BQ$7,0)+IF(EOMONTH(DATE(YEAR(Sales!$BM$1),MONTH(Sales!$BM$1),1)+INT((DAY(Sales!$BM$1)-1)/2)+'Cash Drivers'!BN$13,0)=EOMONTH($BM$1,0),Sales!BN$6*Sales!BN$7,0)+IF(EOMONTH(DATE(YEAR(Sales!$BJ$1),MONTH(Sales!$BJ$1),1)+INT((DAY(Sales!$BJ$1)-1)/2)+'Cash Drivers'!BK$13,0)=EOMONTH($BM$1,0),Sales!BK$6*Sales!BK$7,0)+IF(EOMONTH(DATE(YEAR(Sales!$BG$1),MONTH(Sales!$BG$1),1)+INT((DAY(Sales!$BG$1)-1)/2)+'Cash Drivers'!BH$13,0)=EOMONTH($BM$1,0),Sales!BH$6*Sales!BH$7,0)+IF(EOMONTH(DATE(YEAR(Sales!$BD$1),MONTH(Sales!$BD$1),1)+INT((DAY(Sales!$BD$1)-1)/2)+'Cash Drivers'!BE$13,0)=EOMONTH($BM$1,0),Sales!BE$6*Sales!BE$7,0)+IF(EOMONTH(DATE(YEAR(Sales!$BA$1),MONTH(Sales!$BA$1),1)+INT((DAY(Sales!$BA$1)-1)/2)+'Cash Drivers'!BB$13,0)=EOMONTH($BM$1,0),Sales!BB$6*Sales!BB$7,0)+IF(EOMONTH(DATE(YEAR(Sales!$AX$1),MONTH(Sales!$AX$1),1)+INT((DAY(Sales!$AX$1)-1)/2)+'Cash Drivers'!AY$13,0)=EOMONTH($BM$1,0),Sales!AY$6*Sales!AY$7,0)+IF(EOMONTH(DATE(YEAR(Sales!$AU$1),MONTH(Sales!$AU$1),1)+INT((DAY(Sales!$AU$1)-1)/2)+'Cash Drivers'!AV$13,0)=EOMONTH($BM$1,0),Sales!AV$6*Sales!AV$7,0)+IF(EOMONTH(DATE(YEAR(Sales!$AR$1),MONTH(Sales!$AR$1),1)+INT((DAY(Sales!$AR$1)-1)/2)+'Cash Drivers'!AS$13,0)=EOMONTH($BM$1,0),Sales!AS$6*Sales!AS$7,0)+IF(EOMONTH(DATE(YEAR(Sales!$AO$1),MONTH(Sales!$AO$1),1)+INT((DAY(Sales!$AO$1)-1)/2)+'Cash Drivers'!AP$13,0)=EOMONTH($BM$1,0),Sales!AP$6*Sales!AP$7,0)+IF(EOMONTH(DATE(YEAR(Sales!$AL$1),MONTH(Sales!$AL$1),1)+INT((DAY(Sales!$AL$1)-1)/2)+'Cash Drivers'!AM$13,0)=EOMONTH($BM$1,0),Sales!AM$6*Sales!AM$7,0)+IF(EOMONTH(DATE(YEAR(Sales!$AI$1),MONTH(Sales!$AI$1),1)+INT((DAY(Sales!$AI$1)-1)/2)+'Cash Drivers'!AJ$13,0)=EOMONTH($BM$1,0),Sales!AJ$6*Sales!AJ$7,0)+IF(EOMONTH(DATE(YEAR(Sales!$AF$1),MONTH(Sales!$AF$1),1)+INT((DAY(Sales!$AF$1)-1)/2)+'Cash Drivers'!AG$13,0)=EOMONTH($BM$1,0),Sales!AG$6*Sales!AG$7,0)+IF(EOMONTH(DATE(YEAR(Sales!$AC$1),MONTH(Sales!$AC$1),1)+INT((DAY(Sales!$AC$1)-1)/2)+'Cash Drivers'!AD$13,0)=EOMONTH($BM$1,0),Sales!AD$6*Sales!AD$7,0)+IF(EOMONTH(DATE(YEAR(Sales!$Z$1),MONTH(Sales!$Z$1),1)+INT((DAY(Sales!$Z$1)-1)/2)+'Cash Drivers'!AA$13,0)=EOMONTH($BM$1,0),Sales!AA$6*Sales!AA$7,0)+IF(EOMONTH(DATE(YEAR(Sales!$W$1),MONTH(Sales!$W$1),1)+INT((DAY(Sales!$W$1)-1)/2)+'Cash Drivers'!X$13,0)=EOMONTH($BM$1,0),Sales!X$6*Sales!X$7,0)+IF(EOMONTH(DATE(YEAR(Sales!$T$1),MONTH(Sales!$T$1),1)+INT((DAY(Sales!$T$1)-1)/2)+'Cash Drivers'!U$13,0)=EOMONTH($BM$1,0),Sales!U$6*Sales!U$7,0)+IF(EOMONTH(DATE(YEAR(Sales!$Q$1),MONTH(Sales!$Q$1),1)+INT((DAY(Sales!$Q$1)-1)/2)+'Cash Drivers'!R$13,0)=EOMONTH($BM$1,0),Sales!R$6*Sales!R$7,0)+IF(EOMONTH(DATE(YEAR(Sales!$N$1),MONTH(Sales!$N$1),1)+INT((DAY(Sales!$N$1)-1)/2)+'Cash Drivers'!O$13,0)=EOMONTH($BM$1,0),Sales!O$6*Sales!O$7,0)+IF(EOMONTH(DATE(YEAR(Sales!$K$1),MONTH(Sales!$K$1),1)+INT((DAY(Sales!$K$1)-1)/2)+'Cash Drivers'!L$13,0)=EOMONTH($BM$1,0),Sales!L$6*Sales!L$7,0)+IF(EOMONTH('Cash Drivers'!$DL$30+'Cash Drivers'!DM$13,0)=EOMONTH($BM$1,0),'Cash Drivers'!$DL$32*Sales!$DL$60,0),0)</f>
        <v>34986</v>
      </c>
      <c r="BO24" s="60" t="n">
        <f aca="false">ROUND(IF(EOMONTH(DATE(YEAR(Sales!$DL$1),MONTH(Sales!$DL$1),1)+INT((DAY(Sales!$DL$1)-1)/2)+'Cash Drivers'!DN$13,0)=EOMONTH($BM$1,0),Sales!DN$6*Sales!DN$7,0)+IF(EOMONTH(DATE(YEAR(Sales!$DI$1),MONTH(Sales!$DI$1),1)+INT((DAY(Sales!$DI$1)-1)/2)+'Cash Drivers'!DK$13,0)=EOMONTH($BM$1,0),Sales!DK$6*Sales!DK$7,0)+IF(EOMONTH(DATE(YEAR(Sales!$DF$1),MONTH(Sales!$DF$1),1)+INT((DAY(Sales!$DF$1)-1)/2)+'Cash Drivers'!DH$13,0)=EOMONTH($BM$1,0),Sales!DH$6*Sales!DH$7,0)+IF(EOMONTH(DATE(YEAR(Sales!$DC$1),MONTH(Sales!$DC$1),1)+INT((DAY(Sales!$DC$1)-1)/2)+'Cash Drivers'!DE$13,0)=EOMONTH($BM$1,0),Sales!DE$6*Sales!DE$7,0)+IF(EOMONTH(DATE(YEAR(Sales!$CZ$1),MONTH(Sales!$CZ$1),1)+INT((DAY(Sales!$CZ$1)-1)/2)+'Cash Drivers'!DB$13,0)=EOMONTH($BM$1,0),Sales!DB$6*Sales!DB$7,0)+IF(EOMONTH(DATE(YEAR(Sales!$CW$1),MONTH(Sales!$CW$1),1)+INT((DAY(Sales!$CW$1)-1)/2)+'Cash Drivers'!CY$13,0)=EOMONTH($BM$1,0),Sales!CY$6*Sales!CY$7,0)+IF(EOMONTH(DATE(YEAR(Sales!$CT$1),MONTH(Sales!$CT$1),1)+INT((DAY(Sales!$CT$1)-1)/2)+'Cash Drivers'!CV$13,0)=EOMONTH($BM$1,0),Sales!CV$6*Sales!CV$7,0)+IF(EOMONTH(DATE(YEAR(Sales!$CQ$1),MONTH(Sales!$CQ$1),1)+INT((DAY(Sales!$CQ$1)-1)/2)+'Cash Drivers'!CS$13,0)=EOMONTH($BM$1,0),Sales!CS$6*Sales!CS$7,0)+IF(EOMONTH(DATE(YEAR(Sales!$CN$1),MONTH(Sales!$CN$1),1)+INT((DAY(Sales!$CN$1)-1)/2)+'Cash Drivers'!CP$13,0)=EOMONTH($BM$1,0),Sales!CP$6*Sales!CP$7,0)+IF(EOMONTH(DATE(YEAR(Sales!$CK$1),MONTH(Sales!$CK$1),1)+INT((DAY(Sales!$CK$1)-1)/2)+'Cash Drivers'!CM$13,0)=EOMONTH($BM$1,0),Sales!CM$6*Sales!CM$7,0)+IF(EOMONTH(DATE(YEAR(Sales!$CH$1),MONTH(Sales!$CH$1),1)+INT((DAY(Sales!$CH$1)-1)/2)+'Cash Drivers'!CJ$13,0)=EOMONTH($BM$1,0),Sales!CJ$6*Sales!CJ$7,0)+IF(EOMONTH(DATE(YEAR(Sales!$CE$1),MONTH(Sales!$CE$1),1)+INT((DAY(Sales!$CE$1)-1)/2)+'Cash Drivers'!CG$13,0)=EOMONTH($BM$1,0),Sales!CG$6*Sales!CG$7,0)+IF(EOMONTH(DATE(YEAR(Sales!$CB$1),MONTH(Sales!$CB$1),1)+INT((DAY(Sales!$CB$1)-1)/2)+'Cash Drivers'!CD$13,0)=EOMONTH($BM$1,0),Sales!CD$6*Sales!CD$7,0)+IF(EOMONTH(DATE(YEAR(Sales!$BY$1),MONTH(Sales!$BY$1),1)+INT((DAY(Sales!$BY$1)-1)/2)+'Cash Drivers'!CA$13,0)=EOMONTH($BM$1,0),Sales!CA$6*Sales!CA$7,0)+IF(EOMONTH(DATE(YEAR(Sales!$BV$1),MONTH(Sales!$BV$1),1)+INT((DAY(Sales!$BV$1)-1)/2)+'Cash Drivers'!BX$13,0)=EOMONTH($BM$1,0),Sales!BX$6*Sales!BX$7,0)+IF(EOMONTH(DATE(YEAR(Sales!$BS$1),MONTH(Sales!$BS$1),1)+INT((DAY(Sales!$BS$1)-1)/2)+'Cash Drivers'!BU$13,0)=EOMONTH($BM$1,0),Sales!BU$6*Sales!BU$7,0)+IF(EOMONTH(DATE(YEAR(Sales!$BP$1),MONTH(Sales!$BP$1),1)+INT((DAY(Sales!$BP$1)-1)/2)+'Cash Drivers'!BR$13,0)=EOMONTH($BM$1,0),Sales!BR$6*Sales!BR$7,0)+IF(EOMONTH(DATE(YEAR(Sales!$BM$1),MONTH(Sales!$BM$1),1)+INT((DAY(Sales!$BM$1)-1)/2)+'Cash Drivers'!BO$13,0)=EOMONTH($BM$1,0),Sales!BO$6*Sales!BO$7,0)+IF(EOMONTH(DATE(YEAR(Sales!$BJ$1),MONTH(Sales!$BJ$1),1)+INT((DAY(Sales!$BJ$1)-1)/2)+'Cash Drivers'!BL$13,0)=EOMONTH($BM$1,0),Sales!BL$6*Sales!BL$7,0)+IF(EOMONTH(DATE(YEAR(Sales!$BG$1),MONTH(Sales!$BG$1),1)+INT((DAY(Sales!$BG$1)-1)/2)+'Cash Drivers'!BI$13,0)=EOMONTH($BM$1,0),Sales!BI$6*Sales!BI$7,0)+IF(EOMONTH(DATE(YEAR(Sales!$BD$1),MONTH(Sales!$BD$1),1)+INT((DAY(Sales!$BD$1)-1)/2)+'Cash Drivers'!BF$13,0)=EOMONTH($BM$1,0),Sales!BF$6*Sales!BF$7,0)+IF(EOMONTH(DATE(YEAR(Sales!$BA$1),MONTH(Sales!$BA$1),1)+INT((DAY(Sales!$BA$1)-1)/2)+'Cash Drivers'!BC$13,0)=EOMONTH($BM$1,0),Sales!BC$6*Sales!BC$7,0)+IF(EOMONTH(DATE(YEAR(Sales!$AX$1),MONTH(Sales!$AX$1),1)+INT((DAY(Sales!$AX$1)-1)/2)+'Cash Drivers'!AZ$13,0)=EOMONTH($BM$1,0),Sales!AZ$6*Sales!AZ$7,0)+IF(EOMONTH(DATE(YEAR(Sales!$AU$1),MONTH(Sales!$AU$1),1)+INT((DAY(Sales!$AU$1)-1)/2)+'Cash Drivers'!AW$13,0)=EOMONTH($BM$1,0),Sales!AW$6*Sales!AW$7,0)+IF(EOMONTH(DATE(YEAR(Sales!$AR$1),MONTH(Sales!$AR$1),1)+INT((DAY(Sales!$AR$1)-1)/2)+'Cash Drivers'!AT$13,0)=EOMONTH($BM$1,0),Sales!AT$6*Sales!AT$7,0)+IF(EOMONTH(DATE(YEAR(Sales!$AO$1),MONTH(Sales!$AO$1),1)+INT((DAY(Sales!$AO$1)-1)/2)+'Cash Drivers'!AQ$13,0)=EOMONTH($BM$1,0),Sales!AQ$6*Sales!AQ$7,0)+IF(EOMONTH(DATE(YEAR(Sales!$AL$1),MONTH(Sales!$AL$1),1)+INT((DAY(Sales!$AL$1)-1)/2)+'Cash Drivers'!AN$13,0)=EOMONTH($BM$1,0),Sales!AN$6*Sales!AN$7,0)+IF(EOMONTH(DATE(YEAR(Sales!$AI$1),MONTH(Sales!$AI$1),1)+INT((DAY(Sales!$AI$1)-1)/2)+'Cash Drivers'!AK$13,0)=EOMONTH($BM$1,0),Sales!AK$6*Sales!AK$7,0)+IF(EOMONTH(DATE(YEAR(Sales!$AF$1),MONTH(Sales!$AF$1),1)+INT((DAY(Sales!$AF$1)-1)/2)+'Cash Drivers'!AH$13,0)=EOMONTH($BM$1,0),Sales!AH$6*Sales!AH$7,0)+IF(EOMONTH(DATE(YEAR(Sales!$AC$1),MONTH(Sales!$AC$1),1)+INT((DAY(Sales!$AC$1)-1)/2)+'Cash Drivers'!AE$13,0)=EOMONTH($BM$1,0),Sales!AE$6*Sales!AE$7,0)+IF(EOMONTH(DATE(YEAR(Sales!$Z$1),MONTH(Sales!$Z$1),1)+INT((DAY(Sales!$Z$1)-1)/2)+'Cash Drivers'!AB$13,0)=EOMONTH($BM$1,0),Sales!AB$6*Sales!AB$7,0)+IF(EOMONTH(DATE(YEAR(Sales!$W$1),MONTH(Sales!$W$1),1)+INT((DAY(Sales!$W$1)-1)/2)+'Cash Drivers'!Y$13,0)=EOMONTH($BM$1,0),Sales!Y$6*Sales!Y$7,0)+IF(EOMONTH(DATE(YEAR(Sales!$T$1),MONTH(Sales!$T$1),1)+INT((DAY(Sales!$T$1)-1)/2)+'Cash Drivers'!V$13,0)=EOMONTH($BM$1,0),Sales!V$6*Sales!V$7,0)+IF(EOMONTH(DATE(YEAR(Sales!$Q$1),MONTH(Sales!$Q$1),1)+INT((DAY(Sales!$Q$1)-1)/2)+'Cash Drivers'!S$13,0)=EOMONTH($BM$1,0),Sales!S$6*Sales!S$7,0)+IF(EOMONTH(DATE(YEAR(Sales!$N$1),MONTH(Sales!$N$1),1)+INT((DAY(Sales!$N$1)-1)/2)+'Cash Drivers'!P$13,0)=EOMONTH($BM$1,0),Sales!P$6*Sales!P$7,0)+IF(EOMONTH(DATE(YEAR(Sales!$K$1),MONTH(Sales!$K$1),1)+INT((DAY(Sales!$K$1)-1)/2)+'Cash Drivers'!M$13,0)=EOMONTH($BM$1,0),Sales!M$6*Sales!M$7,0)+IF(EOMONTH('Cash Drivers'!$DL$30+'Cash Drivers'!DN$13,0)=EOMONTH($BM$1,0),'Cash Drivers'!$DL$32*Sales!$DL$60,0),0)</f>
        <v>35070</v>
      </c>
      <c r="BP24" s="58" t="n">
        <f aca="false">ROUND(IF(EOMONTH(DATE(YEAR(Sales!$DL$1),MONTH(Sales!$DL$1),1)+INT((DAY(Sales!$DL$1)-1)/2)+'Cash Drivers'!DL$13,0)=EOMONTH($BP$1,0),Sales!DL$6*Sales!DL$7,0)+IF(EOMONTH(DATE(YEAR(Sales!$DI$1),MONTH(Sales!$DI$1),1)+INT((DAY(Sales!$DI$1)-1)/2)+'Cash Drivers'!DI$13,0)=EOMONTH($BP$1,0),Sales!DI$6*Sales!DI$7,0)+IF(EOMONTH(DATE(YEAR(Sales!$DF$1),MONTH(Sales!$DF$1),1)+INT((DAY(Sales!$DF$1)-1)/2)+'Cash Drivers'!DF$13,0)=EOMONTH($BP$1,0),Sales!DF$6*Sales!DF$7,0)+IF(EOMONTH(DATE(YEAR(Sales!$DC$1),MONTH(Sales!$DC$1),1)+INT((DAY(Sales!$DC$1)-1)/2)+'Cash Drivers'!DC$13,0)=EOMONTH($BP$1,0),Sales!DC$6*Sales!DC$7,0)+IF(EOMONTH(DATE(YEAR(Sales!$CZ$1),MONTH(Sales!$CZ$1),1)+INT((DAY(Sales!$CZ$1)-1)/2)+'Cash Drivers'!CZ$13,0)=EOMONTH($BP$1,0),Sales!CZ$6*Sales!CZ$7,0)+IF(EOMONTH(DATE(YEAR(Sales!$CW$1),MONTH(Sales!$CW$1),1)+INT((DAY(Sales!$CW$1)-1)/2)+'Cash Drivers'!CW$13,0)=EOMONTH($BP$1,0),Sales!CW$6*Sales!CW$7,0)+IF(EOMONTH(DATE(YEAR(Sales!$CT$1),MONTH(Sales!$CT$1),1)+INT((DAY(Sales!$CT$1)-1)/2)+'Cash Drivers'!CT$13,0)=EOMONTH($BP$1,0),Sales!CT$6*Sales!CT$7,0)+IF(EOMONTH(DATE(YEAR(Sales!$CQ$1),MONTH(Sales!$CQ$1),1)+INT((DAY(Sales!$CQ$1)-1)/2)+'Cash Drivers'!CQ$13,0)=EOMONTH($BP$1,0),Sales!CQ$6*Sales!CQ$7,0)+IF(EOMONTH(DATE(YEAR(Sales!$CN$1),MONTH(Sales!$CN$1),1)+INT((DAY(Sales!$CN$1)-1)/2)+'Cash Drivers'!CN$13,0)=EOMONTH($BP$1,0),Sales!CN$6*Sales!CN$7,0)+IF(EOMONTH(DATE(YEAR(Sales!$CK$1),MONTH(Sales!$CK$1),1)+INT((DAY(Sales!$CK$1)-1)/2)+'Cash Drivers'!CK$13,0)=EOMONTH($BP$1,0),Sales!CK$6*Sales!CK$7,0)+IF(EOMONTH(DATE(YEAR(Sales!$CH$1),MONTH(Sales!$CH$1),1)+INT((DAY(Sales!$CH$1)-1)/2)+'Cash Drivers'!CH$13,0)=EOMONTH($BP$1,0),Sales!CH$6*Sales!CH$7,0)+IF(EOMONTH(DATE(YEAR(Sales!$CE$1),MONTH(Sales!$CE$1),1)+INT((DAY(Sales!$CE$1)-1)/2)+'Cash Drivers'!CE$13,0)=EOMONTH($BP$1,0),Sales!CE$6*Sales!CE$7,0)+IF(EOMONTH(DATE(YEAR(Sales!$CB$1),MONTH(Sales!$CB$1),1)+INT((DAY(Sales!$CB$1)-1)/2)+'Cash Drivers'!CB$13,0)=EOMONTH($BP$1,0),Sales!CB$6*Sales!CB$7,0)+IF(EOMONTH(DATE(YEAR(Sales!$BY$1),MONTH(Sales!$BY$1),1)+INT((DAY(Sales!$BY$1)-1)/2)+'Cash Drivers'!BY$13,0)=EOMONTH($BP$1,0),Sales!BY$6*Sales!BY$7,0)+IF(EOMONTH(DATE(YEAR(Sales!$BV$1),MONTH(Sales!$BV$1),1)+INT((DAY(Sales!$BV$1)-1)/2)+'Cash Drivers'!BV$13,0)=EOMONTH($BP$1,0),Sales!BV$6*Sales!BV$7,0)+IF(EOMONTH(DATE(YEAR(Sales!$BS$1),MONTH(Sales!$BS$1),1)+INT((DAY(Sales!$BS$1)-1)/2)+'Cash Drivers'!BS$13,0)=EOMONTH($BP$1,0),Sales!BS$6*Sales!BS$7,0)+IF(EOMONTH(DATE(YEAR(Sales!$BP$1),MONTH(Sales!$BP$1),1)+INT((DAY(Sales!$BP$1)-1)/2)+'Cash Drivers'!BP$13,0)=EOMONTH($BP$1,0),Sales!BP$6*Sales!BP$7,0)+IF(EOMONTH(DATE(YEAR(Sales!$BM$1),MONTH(Sales!$BM$1),1)+INT((DAY(Sales!$BM$1)-1)/2)+'Cash Drivers'!BM$13,0)=EOMONTH($BP$1,0),Sales!BM$6*Sales!BM$7,0)+IF(EOMONTH(DATE(YEAR(Sales!$BJ$1),MONTH(Sales!$BJ$1),1)+INT((DAY(Sales!$BJ$1)-1)/2)+'Cash Drivers'!BJ$13,0)=EOMONTH($BP$1,0),Sales!BJ$6*Sales!BJ$7,0)+IF(EOMONTH(DATE(YEAR(Sales!$BG$1),MONTH(Sales!$BG$1),1)+INT((DAY(Sales!$BG$1)-1)/2)+'Cash Drivers'!BG$13,0)=EOMONTH($BP$1,0),Sales!BG$6*Sales!BG$7,0)+IF(EOMONTH(DATE(YEAR(Sales!$BD$1),MONTH(Sales!$BD$1),1)+INT((DAY(Sales!$BD$1)-1)/2)+'Cash Drivers'!BD$13,0)=EOMONTH($BP$1,0),Sales!BD$6*Sales!BD$7,0)+IF(EOMONTH(DATE(YEAR(Sales!$BA$1),MONTH(Sales!$BA$1),1)+INT((DAY(Sales!$BA$1)-1)/2)+'Cash Drivers'!BA$13,0)=EOMONTH($BP$1,0),Sales!BA$6*Sales!BA$7,0)+IF(EOMONTH(DATE(YEAR(Sales!$AX$1),MONTH(Sales!$AX$1),1)+INT((DAY(Sales!$AX$1)-1)/2)+'Cash Drivers'!AX$13,0)=EOMONTH($BP$1,0),Sales!AX$6*Sales!AX$7,0)+IF(EOMONTH(DATE(YEAR(Sales!$AU$1),MONTH(Sales!$AU$1),1)+INT((DAY(Sales!$AU$1)-1)/2)+'Cash Drivers'!AU$13,0)=EOMONTH($BP$1,0),Sales!AU$6*Sales!AU$7,0)+IF(EOMONTH(DATE(YEAR(Sales!$AR$1),MONTH(Sales!$AR$1),1)+INT((DAY(Sales!$AR$1)-1)/2)+'Cash Drivers'!AR$13,0)=EOMONTH($BP$1,0),Sales!AR$6*Sales!AR$7,0)+IF(EOMONTH(DATE(YEAR(Sales!$AO$1),MONTH(Sales!$AO$1),1)+INT((DAY(Sales!$AO$1)-1)/2)+'Cash Drivers'!AO$13,0)=EOMONTH($BP$1,0),Sales!AO$6*Sales!AO$7,0)+IF(EOMONTH(DATE(YEAR(Sales!$AL$1),MONTH(Sales!$AL$1),1)+INT((DAY(Sales!$AL$1)-1)/2)+'Cash Drivers'!AL$13,0)=EOMONTH($BP$1,0),Sales!AL$6*Sales!AL$7,0)+IF(EOMONTH(DATE(YEAR(Sales!$AI$1),MONTH(Sales!$AI$1),1)+INT((DAY(Sales!$AI$1)-1)/2)+'Cash Drivers'!AI$13,0)=EOMONTH($BP$1,0),Sales!AI$6*Sales!AI$7,0)+IF(EOMONTH(DATE(YEAR(Sales!$AF$1),MONTH(Sales!$AF$1),1)+INT((DAY(Sales!$AF$1)-1)/2)+'Cash Drivers'!AF$13,0)=EOMONTH($BP$1,0),Sales!AF$6*Sales!AF$7,0)+IF(EOMONTH(DATE(YEAR(Sales!$AC$1),MONTH(Sales!$AC$1),1)+INT((DAY(Sales!$AC$1)-1)/2)+'Cash Drivers'!AC$13,0)=EOMONTH($BP$1,0),Sales!AC$6*Sales!AC$7,0)+IF(EOMONTH(DATE(YEAR(Sales!$Z$1),MONTH(Sales!$Z$1),1)+INT((DAY(Sales!$Z$1)-1)/2)+'Cash Drivers'!Z$13,0)=EOMONTH($BP$1,0),Sales!Z$6*Sales!Z$7,0)+IF(EOMONTH(DATE(YEAR(Sales!$W$1),MONTH(Sales!$W$1),1)+INT((DAY(Sales!$W$1)-1)/2)+'Cash Drivers'!W$13,0)=EOMONTH($BP$1,0),Sales!W$6*Sales!W$7,0)+IF(EOMONTH(DATE(YEAR(Sales!$T$1),MONTH(Sales!$T$1),1)+INT((DAY(Sales!$T$1)-1)/2)+'Cash Drivers'!T$13,0)=EOMONTH($BP$1,0),Sales!T$6*Sales!T$7,0)+IF(EOMONTH(DATE(YEAR(Sales!$Q$1),MONTH(Sales!$Q$1),1)+INT((DAY(Sales!$Q$1)-1)/2)+'Cash Drivers'!Q$13,0)=EOMONTH($BP$1,0),Sales!Q$6*Sales!Q$7,0)+IF(EOMONTH(DATE(YEAR(Sales!$N$1),MONTH(Sales!$N$1),1)+INT((DAY(Sales!$N$1)-1)/2)+'Cash Drivers'!N$13,0)=EOMONTH($BP$1,0),Sales!N$6*Sales!N$7,0)+IF(EOMONTH(DATE(YEAR(Sales!$K$1),MONTH(Sales!$K$1),1)+INT((DAY(Sales!$K$1)-1)/2)+'Cash Drivers'!K$13,0)=EOMONTH($BP$1,0),Sales!K$6*Sales!K$7,0)+IF(EOMONTH('Cash Drivers'!$DL$30+'Cash Drivers'!DL$13,0)=EOMONTH($BP$1,0),'Cash Drivers'!$DL$32*Sales!$DL$60,0),0)</f>
        <v>0</v>
      </c>
      <c r="BQ24" s="59" t="n">
        <f aca="false">ROUND(IF(EOMONTH(DATE(YEAR(Sales!$DL$1),MONTH(Sales!$DL$1),1)+INT((DAY(Sales!$DL$1)-1)/2)+'Cash Drivers'!DM$13,0)=EOMONTH($BP$1,0),Sales!DM$6*Sales!DM$7,0)+IF(EOMONTH(DATE(YEAR(Sales!$DI$1),MONTH(Sales!$DI$1),1)+INT((DAY(Sales!$DI$1)-1)/2)+'Cash Drivers'!DJ$13,0)=EOMONTH($BP$1,0),Sales!DJ$6*Sales!DJ$7,0)+IF(EOMONTH(DATE(YEAR(Sales!$DF$1),MONTH(Sales!$DF$1),1)+INT((DAY(Sales!$DF$1)-1)/2)+'Cash Drivers'!DG$13,0)=EOMONTH($BP$1,0),Sales!DG$6*Sales!DG$7,0)+IF(EOMONTH(DATE(YEAR(Sales!$DC$1),MONTH(Sales!$DC$1),1)+INT((DAY(Sales!$DC$1)-1)/2)+'Cash Drivers'!DD$13,0)=EOMONTH($BP$1,0),Sales!DD$6*Sales!DD$7,0)+IF(EOMONTH(DATE(YEAR(Sales!$CZ$1),MONTH(Sales!$CZ$1),1)+INT((DAY(Sales!$CZ$1)-1)/2)+'Cash Drivers'!DA$13,0)=EOMONTH($BP$1,0),Sales!DA$6*Sales!DA$7,0)+IF(EOMONTH(DATE(YEAR(Sales!$CW$1),MONTH(Sales!$CW$1),1)+INT((DAY(Sales!$CW$1)-1)/2)+'Cash Drivers'!CX$13,0)=EOMONTH($BP$1,0),Sales!CX$6*Sales!CX$7,0)+IF(EOMONTH(DATE(YEAR(Sales!$CT$1),MONTH(Sales!$CT$1),1)+INT((DAY(Sales!$CT$1)-1)/2)+'Cash Drivers'!CU$13,0)=EOMONTH($BP$1,0),Sales!CU$6*Sales!CU$7,0)+IF(EOMONTH(DATE(YEAR(Sales!$CQ$1),MONTH(Sales!$CQ$1),1)+INT((DAY(Sales!$CQ$1)-1)/2)+'Cash Drivers'!CR$13,0)=EOMONTH($BP$1,0),Sales!CR$6*Sales!CR$7,0)+IF(EOMONTH(DATE(YEAR(Sales!$CN$1),MONTH(Sales!$CN$1),1)+INT((DAY(Sales!$CN$1)-1)/2)+'Cash Drivers'!CO$13,0)=EOMONTH($BP$1,0),Sales!CO$6*Sales!CO$7,0)+IF(EOMONTH(DATE(YEAR(Sales!$CK$1),MONTH(Sales!$CK$1),1)+INT((DAY(Sales!$CK$1)-1)/2)+'Cash Drivers'!CL$13,0)=EOMONTH($BP$1,0),Sales!CL$6*Sales!CL$7,0)+IF(EOMONTH(DATE(YEAR(Sales!$CH$1),MONTH(Sales!$CH$1),1)+INT((DAY(Sales!$CH$1)-1)/2)+'Cash Drivers'!CI$13,0)=EOMONTH($BP$1,0),Sales!CI$6*Sales!CI$7,0)+IF(EOMONTH(DATE(YEAR(Sales!$CE$1),MONTH(Sales!$CE$1),1)+INT((DAY(Sales!$CE$1)-1)/2)+'Cash Drivers'!CF$13,0)=EOMONTH($BP$1,0),Sales!CF$6*Sales!CF$7,0)+IF(EOMONTH(DATE(YEAR(Sales!$CB$1),MONTH(Sales!$CB$1),1)+INT((DAY(Sales!$CB$1)-1)/2)+'Cash Drivers'!CC$13,0)=EOMONTH($BP$1,0),Sales!CC$6*Sales!CC$7,0)+IF(EOMONTH(DATE(YEAR(Sales!$BY$1),MONTH(Sales!$BY$1),1)+INT((DAY(Sales!$BY$1)-1)/2)+'Cash Drivers'!BZ$13,0)=EOMONTH($BP$1,0),Sales!BZ$6*Sales!BZ$7,0)+IF(EOMONTH(DATE(YEAR(Sales!$BV$1),MONTH(Sales!$BV$1),1)+INT((DAY(Sales!$BV$1)-1)/2)+'Cash Drivers'!BW$13,0)=EOMONTH($BP$1,0),Sales!BW$6*Sales!BW$7,0)+IF(EOMONTH(DATE(YEAR(Sales!$BS$1),MONTH(Sales!$BS$1),1)+INT((DAY(Sales!$BS$1)-1)/2)+'Cash Drivers'!BT$13,0)=EOMONTH($BP$1,0),Sales!BT$6*Sales!BT$7,0)+IF(EOMONTH(DATE(YEAR(Sales!$BP$1),MONTH(Sales!$BP$1),1)+INT((DAY(Sales!$BP$1)-1)/2)+'Cash Drivers'!BQ$13,0)=EOMONTH($BP$1,0),Sales!BQ$6*Sales!BQ$7,0)+IF(EOMONTH(DATE(YEAR(Sales!$BM$1),MONTH(Sales!$BM$1),1)+INT((DAY(Sales!$BM$1)-1)/2)+'Cash Drivers'!BN$13,0)=EOMONTH($BP$1,0),Sales!BN$6*Sales!BN$7,0)+IF(EOMONTH(DATE(YEAR(Sales!$BJ$1),MONTH(Sales!$BJ$1),1)+INT((DAY(Sales!$BJ$1)-1)/2)+'Cash Drivers'!BK$13,0)=EOMONTH($BP$1,0),Sales!BK$6*Sales!BK$7,0)+IF(EOMONTH(DATE(YEAR(Sales!$BG$1),MONTH(Sales!$BG$1),1)+INT((DAY(Sales!$BG$1)-1)/2)+'Cash Drivers'!BH$13,0)=EOMONTH($BP$1,0),Sales!BH$6*Sales!BH$7,0)+IF(EOMONTH(DATE(YEAR(Sales!$BD$1),MONTH(Sales!$BD$1),1)+INT((DAY(Sales!$BD$1)-1)/2)+'Cash Drivers'!BE$13,0)=EOMONTH($BP$1,0),Sales!BE$6*Sales!BE$7,0)+IF(EOMONTH(DATE(YEAR(Sales!$BA$1),MONTH(Sales!$BA$1),1)+INT((DAY(Sales!$BA$1)-1)/2)+'Cash Drivers'!BB$13,0)=EOMONTH($BP$1,0),Sales!BB$6*Sales!BB$7,0)+IF(EOMONTH(DATE(YEAR(Sales!$AX$1),MONTH(Sales!$AX$1),1)+INT((DAY(Sales!$AX$1)-1)/2)+'Cash Drivers'!AY$13,0)=EOMONTH($BP$1,0),Sales!AY$6*Sales!AY$7,0)+IF(EOMONTH(DATE(YEAR(Sales!$AU$1),MONTH(Sales!$AU$1),1)+INT((DAY(Sales!$AU$1)-1)/2)+'Cash Drivers'!AV$13,0)=EOMONTH($BP$1,0),Sales!AV$6*Sales!AV$7,0)+IF(EOMONTH(DATE(YEAR(Sales!$AR$1),MONTH(Sales!$AR$1),1)+INT((DAY(Sales!$AR$1)-1)/2)+'Cash Drivers'!AS$13,0)=EOMONTH($BP$1,0),Sales!AS$6*Sales!AS$7,0)+IF(EOMONTH(DATE(YEAR(Sales!$AO$1),MONTH(Sales!$AO$1),1)+INT((DAY(Sales!$AO$1)-1)/2)+'Cash Drivers'!AP$13,0)=EOMONTH($BP$1,0),Sales!AP$6*Sales!AP$7,0)+IF(EOMONTH(DATE(YEAR(Sales!$AL$1),MONTH(Sales!$AL$1),1)+INT((DAY(Sales!$AL$1)-1)/2)+'Cash Drivers'!AM$13,0)=EOMONTH($BP$1,0),Sales!AM$6*Sales!AM$7,0)+IF(EOMONTH(DATE(YEAR(Sales!$AI$1),MONTH(Sales!$AI$1),1)+INT((DAY(Sales!$AI$1)-1)/2)+'Cash Drivers'!AJ$13,0)=EOMONTH($BP$1,0),Sales!AJ$6*Sales!AJ$7,0)+IF(EOMONTH(DATE(YEAR(Sales!$AF$1),MONTH(Sales!$AF$1),1)+INT((DAY(Sales!$AF$1)-1)/2)+'Cash Drivers'!AG$13,0)=EOMONTH($BP$1,0),Sales!AG$6*Sales!AG$7,0)+IF(EOMONTH(DATE(YEAR(Sales!$AC$1),MONTH(Sales!$AC$1),1)+INT((DAY(Sales!$AC$1)-1)/2)+'Cash Drivers'!AD$13,0)=EOMONTH($BP$1,0),Sales!AD$6*Sales!AD$7,0)+IF(EOMONTH(DATE(YEAR(Sales!$Z$1),MONTH(Sales!$Z$1),1)+INT((DAY(Sales!$Z$1)-1)/2)+'Cash Drivers'!AA$13,0)=EOMONTH($BP$1,0),Sales!AA$6*Sales!AA$7,0)+IF(EOMONTH(DATE(YEAR(Sales!$W$1),MONTH(Sales!$W$1),1)+INT((DAY(Sales!$W$1)-1)/2)+'Cash Drivers'!X$13,0)=EOMONTH($BP$1,0),Sales!X$6*Sales!X$7,0)+IF(EOMONTH(DATE(YEAR(Sales!$T$1),MONTH(Sales!$T$1),1)+INT((DAY(Sales!$T$1)-1)/2)+'Cash Drivers'!U$13,0)=EOMONTH($BP$1,0),Sales!U$6*Sales!U$7,0)+IF(EOMONTH(DATE(YEAR(Sales!$Q$1),MONTH(Sales!$Q$1),1)+INT((DAY(Sales!$Q$1)-1)/2)+'Cash Drivers'!R$13,0)=EOMONTH($BP$1,0),Sales!R$6*Sales!R$7,0)+IF(EOMONTH(DATE(YEAR(Sales!$N$1),MONTH(Sales!$N$1),1)+INT((DAY(Sales!$N$1)-1)/2)+'Cash Drivers'!O$13,0)=EOMONTH($BP$1,0),Sales!O$6*Sales!O$7,0)+IF(EOMONTH(DATE(YEAR(Sales!$K$1),MONTH(Sales!$K$1),1)+INT((DAY(Sales!$K$1)-1)/2)+'Cash Drivers'!L$13,0)=EOMONTH($BP$1,0),Sales!L$6*Sales!L$7,0)+IF(EOMONTH('Cash Drivers'!$DL$30+'Cash Drivers'!DM$13,0)=EOMONTH($BP$1,0),'Cash Drivers'!$DL$32*Sales!$DL$60,0),0)</f>
        <v>34860</v>
      </c>
      <c r="BR24" s="60" t="n">
        <f aca="false">ROUND(IF(EOMONTH(DATE(YEAR(Sales!$DL$1),MONTH(Sales!$DL$1),1)+INT((DAY(Sales!$DL$1)-1)/2)+'Cash Drivers'!DN$13,0)=EOMONTH($BP$1,0),Sales!DN$6*Sales!DN$7,0)+IF(EOMONTH(DATE(YEAR(Sales!$DI$1),MONTH(Sales!$DI$1),1)+INT((DAY(Sales!$DI$1)-1)/2)+'Cash Drivers'!DK$13,0)=EOMONTH($BP$1,0),Sales!DK$6*Sales!DK$7,0)+IF(EOMONTH(DATE(YEAR(Sales!$DF$1),MONTH(Sales!$DF$1),1)+INT((DAY(Sales!$DF$1)-1)/2)+'Cash Drivers'!DH$13,0)=EOMONTH($BP$1,0),Sales!DH$6*Sales!DH$7,0)+IF(EOMONTH(DATE(YEAR(Sales!$DC$1),MONTH(Sales!$DC$1),1)+INT((DAY(Sales!$DC$1)-1)/2)+'Cash Drivers'!DE$13,0)=EOMONTH($BP$1,0),Sales!DE$6*Sales!DE$7,0)+IF(EOMONTH(DATE(YEAR(Sales!$CZ$1),MONTH(Sales!$CZ$1),1)+INT((DAY(Sales!$CZ$1)-1)/2)+'Cash Drivers'!DB$13,0)=EOMONTH($BP$1,0),Sales!DB$6*Sales!DB$7,0)+IF(EOMONTH(DATE(YEAR(Sales!$CW$1),MONTH(Sales!$CW$1),1)+INT((DAY(Sales!$CW$1)-1)/2)+'Cash Drivers'!CY$13,0)=EOMONTH($BP$1,0),Sales!CY$6*Sales!CY$7,0)+IF(EOMONTH(DATE(YEAR(Sales!$CT$1),MONTH(Sales!$CT$1),1)+INT((DAY(Sales!$CT$1)-1)/2)+'Cash Drivers'!CV$13,0)=EOMONTH($BP$1,0),Sales!CV$6*Sales!CV$7,0)+IF(EOMONTH(DATE(YEAR(Sales!$CQ$1),MONTH(Sales!$CQ$1),1)+INT((DAY(Sales!$CQ$1)-1)/2)+'Cash Drivers'!CS$13,0)=EOMONTH($BP$1,0),Sales!CS$6*Sales!CS$7,0)+IF(EOMONTH(DATE(YEAR(Sales!$CN$1),MONTH(Sales!$CN$1),1)+INT((DAY(Sales!$CN$1)-1)/2)+'Cash Drivers'!CP$13,0)=EOMONTH($BP$1,0),Sales!CP$6*Sales!CP$7,0)+IF(EOMONTH(DATE(YEAR(Sales!$CK$1),MONTH(Sales!$CK$1),1)+INT((DAY(Sales!$CK$1)-1)/2)+'Cash Drivers'!CM$13,0)=EOMONTH($BP$1,0),Sales!CM$6*Sales!CM$7,0)+IF(EOMONTH(DATE(YEAR(Sales!$CH$1),MONTH(Sales!$CH$1),1)+INT((DAY(Sales!$CH$1)-1)/2)+'Cash Drivers'!CJ$13,0)=EOMONTH($BP$1,0),Sales!CJ$6*Sales!CJ$7,0)+IF(EOMONTH(DATE(YEAR(Sales!$CE$1),MONTH(Sales!$CE$1),1)+INT((DAY(Sales!$CE$1)-1)/2)+'Cash Drivers'!CG$13,0)=EOMONTH($BP$1,0),Sales!CG$6*Sales!CG$7,0)+IF(EOMONTH(DATE(YEAR(Sales!$CB$1),MONTH(Sales!$CB$1),1)+INT((DAY(Sales!$CB$1)-1)/2)+'Cash Drivers'!CD$13,0)=EOMONTH($BP$1,0),Sales!CD$6*Sales!CD$7,0)+IF(EOMONTH(DATE(YEAR(Sales!$BY$1),MONTH(Sales!$BY$1),1)+INT((DAY(Sales!$BY$1)-1)/2)+'Cash Drivers'!CA$13,0)=EOMONTH($BP$1,0),Sales!CA$6*Sales!CA$7,0)+IF(EOMONTH(DATE(YEAR(Sales!$BV$1),MONTH(Sales!$BV$1),1)+INT((DAY(Sales!$BV$1)-1)/2)+'Cash Drivers'!BX$13,0)=EOMONTH($BP$1,0),Sales!BX$6*Sales!BX$7,0)+IF(EOMONTH(DATE(YEAR(Sales!$BS$1),MONTH(Sales!$BS$1),1)+INT((DAY(Sales!$BS$1)-1)/2)+'Cash Drivers'!BU$13,0)=EOMONTH($BP$1,0),Sales!BU$6*Sales!BU$7,0)+IF(EOMONTH(DATE(YEAR(Sales!$BP$1),MONTH(Sales!$BP$1),1)+INT((DAY(Sales!$BP$1)-1)/2)+'Cash Drivers'!BR$13,0)=EOMONTH($BP$1,0),Sales!BR$6*Sales!BR$7,0)+IF(EOMONTH(DATE(YEAR(Sales!$BM$1),MONTH(Sales!$BM$1),1)+INT((DAY(Sales!$BM$1)-1)/2)+'Cash Drivers'!BO$13,0)=EOMONTH($BP$1,0),Sales!BO$6*Sales!BO$7,0)+IF(EOMONTH(DATE(YEAR(Sales!$BJ$1),MONTH(Sales!$BJ$1),1)+INT((DAY(Sales!$BJ$1)-1)/2)+'Cash Drivers'!BL$13,0)=EOMONTH($BP$1,0),Sales!BL$6*Sales!BL$7,0)+IF(EOMONTH(DATE(YEAR(Sales!$BG$1),MONTH(Sales!$BG$1),1)+INT((DAY(Sales!$BG$1)-1)/2)+'Cash Drivers'!BI$13,0)=EOMONTH($BP$1,0),Sales!BI$6*Sales!BI$7,0)+IF(EOMONTH(DATE(YEAR(Sales!$BD$1),MONTH(Sales!$BD$1),1)+INT((DAY(Sales!$BD$1)-1)/2)+'Cash Drivers'!BF$13,0)=EOMONTH($BP$1,0),Sales!BF$6*Sales!BF$7,0)+IF(EOMONTH(DATE(YEAR(Sales!$BA$1),MONTH(Sales!$BA$1),1)+INT((DAY(Sales!$BA$1)-1)/2)+'Cash Drivers'!BC$13,0)=EOMONTH($BP$1,0),Sales!BC$6*Sales!BC$7,0)+IF(EOMONTH(DATE(YEAR(Sales!$AX$1),MONTH(Sales!$AX$1),1)+INT((DAY(Sales!$AX$1)-1)/2)+'Cash Drivers'!AZ$13,0)=EOMONTH($BP$1,0),Sales!AZ$6*Sales!AZ$7,0)+IF(EOMONTH(DATE(YEAR(Sales!$AU$1),MONTH(Sales!$AU$1),1)+INT((DAY(Sales!$AU$1)-1)/2)+'Cash Drivers'!AW$13,0)=EOMONTH($BP$1,0),Sales!AW$6*Sales!AW$7,0)+IF(EOMONTH(DATE(YEAR(Sales!$AR$1),MONTH(Sales!$AR$1),1)+INT((DAY(Sales!$AR$1)-1)/2)+'Cash Drivers'!AT$13,0)=EOMONTH($BP$1,0),Sales!AT$6*Sales!AT$7,0)+IF(EOMONTH(DATE(YEAR(Sales!$AO$1),MONTH(Sales!$AO$1),1)+INT((DAY(Sales!$AO$1)-1)/2)+'Cash Drivers'!AQ$13,0)=EOMONTH($BP$1,0),Sales!AQ$6*Sales!AQ$7,0)+IF(EOMONTH(DATE(YEAR(Sales!$AL$1),MONTH(Sales!$AL$1),1)+INT((DAY(Sales!$AL$1)-1)/2)+'Cash Drivers'!AN$13,0)=EOMONTH($BP$1,0),Sales!AN$6*Sales!AN$7,0)+IF(EOMONTH(DATE(YEAR(Sales!$AI$1),MONTH(Sales!$AI$1),1)+INT((DAY(Sales!$AI$1)-1)/2)+'Cash Drivers'!AK$13,0)=EOMONTH($BP$1,0),Sales!AK$6*Sales!AK$7,0)+IF(EOMONTH(DATE(YEAR(Sales!$AF$1),MONTH(Sales!$AF$1),1)+INT((DAY(Sales!$AF$1)-1)/2)+'Cash Drivers'!AH$13,0)=EOMONTH($BP$1,0),Sales!AH$6*Sales!AH$7,0)+IF(EOMONTH(DATE(YEAR(Sales!$AC$1),MONTH(Sales!$AC$1),1)+INT((DAY(Sales!$AC$1)-1)/2)+'Cash Drivers'!AE$13,0)=EOMONTH($BP$1,0),Sales!AE$6*Sales!AE$7,0)+IF(EOMONTH(DATE(YEAR(Sales!$Z$1),MONTH(Sales!$Z$1),1)+INT((DAY(Sales!$Z$1)-1)/2)+'Cash Drivers'!AB$13,0)=EOMONTH($BP$1,0),Sales!AB$6*Sales!AB$7,0)+IF(EOMONTH(DATE(YEAR(Sales!$W$1),MONTH(Sales!$W$1),1)+INT((DAY(Sales!$W$1)-1)/2)+'Cash Drivers'!Y$13,0)=EOMONTH($BP$1,0),Sales!Y$6*Sales!Y$7,0)+IF(EOMONTH(DATE(YEAR(Sales!$T$1),MONTH(Sales!$T$1),1)+INT((DAY(Sales!$T$1)-1)/2)+'Cash Drivers'!V$13,0)=EOMONTH($BP$1,0),Sales!V$6*Sales!V$7,0)+IF(EOMONTH(DATE(YEAR(Sales!$Q$1),MONTH(Sales!$Q$1),1)+INT((DAY(Sales!$Q$1)-1)/2)+'Cash Drivers'!S$13,0)=EOMONTH($BP$1,0),Sales!S$6*Sales!S$7,0)+IF(EOMONTH(DATE(YEAR(Sales!$N$1),MONTH(Sales!$N$1),1)+INT((DAY(Sales!$N$1)-1)/2)+'Cash Drivers'!P$13,0)=EOMONTH($BP$1,0),Sales!P$6*Sales!P$7,0)+IF(EOMONTH(DATE(YEAR(Sales!$K$1),MONTH(Sales!$K$1),1)+INT((DAY(Sales!$K$1)-1)/2)+'Cash Drivers'!M$13,0)=EOMONTH($BP$1,0),Sales!M$6*Sales!M$7,0)+IF(EOMONTH('Cash Drivers'!$DL$30+'Cash Drivers'!DN$13,0)=EOMONTH($BP$1,0),'Cash Drivers'!$DL$32*Sales!$DL$60,0),0)</f>
        <v>34944</v>
      </c>
      <c r="BS24" s="58" t="n">
        <f aca="false">ROUND(IF(EOMONTH(DATE(YEAR(Sales!$DL$1),MONTH(Sales!$DL$1),1)+INT((DAY(Sales!$DL$1)-1)/2)+'Cash Drivers'!DL$13,0)=EOMONTH($BS$1,0),Sales!DL$6*Sales!DL$7,0)+IF(EOMONTH(DATE(YEAR(Sales!$DI$1),MONTH(Sales!$DI$1),1)+INT((DAY(Sales!$DI$1)-1)/2)+'Cash Drivers'!DI$13,0)=EOMONTH($BS$1,0),Sales!DI$6*Sales!DI$7,0)+IF(EOMONTH(DATE(YEAR(Sales!$DF$1),MONTH(Sales!$DF$1),1)+INT((DAY(Sales!$DF$1)-1)/2)+'Cash Drivers'!DF$13,0)=EOMONTH($BS$1,0),Sales!DF$6*Sales!DF$7,0)+IF(EOMONTH(DATE(YEAR(Sales!$DC$1),MONTH(Sales!$DC$1),1)+INT((DAY(Sales!$DC$1)-1)/2)+'Cash Drivers'!DC$13,0)=EOMONTH($BS$1,0),Sales!DC$6*Sales!DC$7,0)+IF(EOMONTH(DATE(YEAR(Sales!$CZ$1),MONTH(Sales!$CZ$1),1)+INT((DAY(Sales!$CZ$1)-1)/2)+'Cash Drivers'!CZ$13,0)=EOMONTH($BS$1,0),Sales!CZ$6*Sales!CZ$7,0)+IF(EOMONTH(DATE(YEAR(Sales!$CW$1),MONTH(Sales!$CW$1),1)+INT((DAY(Sales!$CW$1)-1)/2)+'Cash Drivers'!CW$13,0)=EOMONTH($BS$1,0),Sales!CW$6*Sales!CW$7,0)+IF(EOMONTH(DATE(YEAR(Sales!$CT$1),MONTH(Sales!$CT$1),1)+INT((DAY(Sales!$CT$1)-1)/2)+'Cash Drivers'!CT$13,0)=EOMONTH($BS$1,0),Sales!CT$6*Sales!CT$7,0)+IF(EOMONTH(DATE(YEAR(Sales!$CQ$1),MONTH(Sales!$CQ$1),1)+INT((DAY(Sales!$CQ$1)-1)/2)+'Cash Drivers'!CQ$13,0)=EOMONTH($BS$1,0),Sales!CQ$6*Sales!CQ$7,0)+IF(EOMONTH(DATE(YEAR(Sales!$CN$1),MONTH(Sales!$CN$1),1)+INT((DAY(Sales!$CN$1)-1)/2)+'Cash Drivers'!CN$13,0)=EOMONTH($BS$1,0),Sales!CN$6*Sales!CN$7,0)+IF(EOMONTH(DATE(YEAR(Sales!$CK$1),MONTH(Sales!$CK$1),1)+INT((DAY(Sales!$CK$1)-1)/2)+'Cash Drivers'!CK$13,0)=EOMONTH($BS$1,0),Sales!CK$6*Sales!CK$7,0)+IF(EOMONTH(DATE(YEAR(Sales!$CH$1),MONTH(Sales!$CH$1),1)+INT((DAY(Sales!$CH$1)-1)/2)+'Cash Drivers'!CH$13,0)=EOMONTH($BS$1,0),Sales!CH$6*Sales!CH$7,0)+IF(EOMONTH(DATE(YEAR(Sales!$CE$1),MONTH(Sales!$CE$1),1)+INT((DAY(Sales!$CE$1)-1)/2)+'Cash Drivers'!CE$13,0)=EOMONTH($BS$1,0),Sales!CE$6*Sales!CE$7,0)+IF(EOMONTH(DATE(YEAR(Sales!$CB$1),MONTH(Sales!$CB$1),1)+INT((DAY(Sales!$CB$1)-1)/2)+'Cash Drivers'!CB$13,0)=EOMONTH($BS$1,0),Sales!CB$6*Sales!CB$7,0)+IF(EOMONTH(DATE(YEAR(Sales!$BY$1),MONTH(Sales!$BY$1),1)+INT((DAY(Sales!$BY$1)-1)/2)+'Cash Drivers'!BY$13,0)=EOMONTH($BS$1,0),Sales!BY$6*Sales!BY$7,0)+IF(EOMONTH(DATE(YEAR(Sales!$BV$1),MONTH(Sales!$BV$1),1)+INT((DAY(Sales!$BV$1)-1)/2)+'Cash Drivers'!BV$13,0)=EOMONTH($BS$1,0),Sales!BV$6*Sales!BV$7,0)+IF(EOMONTH(DATE(YEAR(Sales!$BS$1),MONTH(Sales!$BS$1),1)+INT((DAY(Sales!$BS$1)-1)/2)+'Cash Drivers'!BS$13,0)=EOMONTH($BS$1,0),Sales!BS$6*Sales!BS$7,0)+IF(EOMONTH(DATE(YEAR(Sales!$BP$1),MONTH(Sales!$BP$1),1)+INT((DAY(Sales!$BP$1)-1)/2)+'Cash Drivers'!BP$13,0)=EOMONTH($BS$1,0),Sales!BP$6*Sales!BP$7,0)+IF(EOMONTH(DATE(YEAR(Sales!$BM$1),MONTH(Sales!$BM$1),1)+INT((DAY(Sales!$BM$1)-1)/2)+'Cash Drivers'!BM$13,0)=EOMONTH($BS$1,0),Sales!BM$6*Sales!BM$7,0)+IF(EOMONTH(DATE(YEAR(Sales!$BJ$1),MONTH(Sales!$BJ$1),1)+INT((DAY(Sales!$BJ$1)-1)/2)+'Cash Drivers'!BJ$13,0)=EOMONTH($BS$1,0),Sales!BJ$6*Sales!BJ$7,0)+IF(EOMONTH(DATE(YEAR(Sales!$BG$1),MONTH(Sales!$BG$1),1)+INT((DAY(Sales!$BG$1)-1)/2)+'Cash Drivers'!BG$13,0)=EOMONTH($BS$1,0),Sales!BG$6*Sales!BG$7,0)+IF(EOMONTH(DATE(YEAR(Sales!$BD$1),MONTH(Sales!$BD$1),1)+INT((DAY(Sales!$BD$1)-1)/2)+'Cash Drivers'!BD$13,0)=EOMONTH($BS$1,0),Sales!BD$6*Sales!BD$7,0)+IF(EOMONTH(DATE(YEAR(Sales!$BA$1),MONTH(Sales!$BA$1),1)+INT((DAY(Sales!$BA$1)-1)/2)+'Cash Drivers'!BA$13,0)=EOMONTH($BS$1,0),Sales!BA$6*Sales!BA$7,0)+IF(EOMONTH(DATE(YEAR(Sales!$AX$1),MONTH(Sales!$AX$1),1)+INT((DAY(Sales!$AX$1)-1)/2)+'Cash Drivers'!AX$13,0)=EOMONTH($BS$1,0),Sales!AX$6*Sales!AX$7,0)+IF(EOMONTH(DATE(YEAR(Sales!$AU$1),MONTH(Sales!$AU$1),1)+INT((DAY(Sales!$AU$1)-1)/2)+'Cash Drivers'!AU$13,0)=EOMONTH($BS$1,0),Sales!AU$6*Sales!AU$7,0)+IF(EOMONTH(DATE(YEAR(Sales!$AR$1),MONTH(Sales!$AR$1),1)+INT((DAY(Sales!$AR$1)-1)/2)+'Cash Drivers'!AR$13,0)=EOMONTH($BS$1,0),Sales!AR$6*Sales!AR$7,0)+IF(EOMONTH(DATE(YEAR(Sales!$AO$1),MONTH(Sales!$AO$1),1)+INT((DAY(Sales!$AO$1)-1)/2)+'Cash Drivers'!AO$13,0)=EOMONTH($BS$1,0),Sales!AO$6*Sales!AO$7,0)+IF(EOMONTH(DATE(YEAR(Sales!$AL$1),MONTH(Sales!$AL$1),1)+INT((DAY(Sales!$AL$1)-1)/2)+'Cash Drivers'!AL$13,0)=EOMONTH($BS$1,0),Sales!AL$6*Sales!AL$7,0)+IF(EOMONTH(DATE(YEAR(Sales!$AI$1),MONTH(Sales!$AI$1),1)+INT((DAY(Sales!$AI$1)-1)/2)+'Cash Drivers'!AI$13,0)=EOMONTH($BS$1,0),Sales!AI$6*Sales!AI$7,0)+IF(EOMONTH(DATE(YEAR(Sales!$AF$1),MONTH(Sales!$AF$1),1)+INT((DAY(Sales!$AF$1)-1)/2)+'Cash Drivers'!AF$13,0)=EOMONTH($BS$1,0),Sales!AF$6*Sales!AF$7,0)+IF(EOMONTH(DATE(YEAR(Sales!$AC$1),MONTH(Sales!$AC$1),1)+INT((DAY(Sales!$AC$1)-1)/2)+'Cash Drivers'!AC$13,0)=EOMONTH($BS$1,0),Sales!AC$6*Sales!AC$7,0)+IF(EOMONTH(DATE(YEAR(Sales!$Z$1),MONTH(Sales!$Z$1),1)+INT((DAY(Sales!$Z$1)-1)/2)+'Cash Drivers'!Z$13,0)=EOMONTH($BS$1,0),Sales!Z$6*Sales!Z$7,0)+IF(EOMONTH(DATE(YEAR(Sales!$W$1),MONTH(Sales!$W$1),1)+INT((DAY(Sales!$W$1)-1)/2)+'Cash Drivers'!W$13,0)=EOMONTH($BS$1,0),Sales!W$6*Sales!W$7,0)+IF(EOMONTH(DATE(YEAR(Sales!$T$1),MONTH(Sales!$T$1),1)+INT((DAY(Sales!$T$1)-1)/2)+'Cash Drivers'!T$13,0)=EOMONTH($BS$1,0),Sales!T$6*Sales!T$7,0)+IF(EOMONTH(DATE(YEAR(Sales!$Q$1),MONTH(Sales!$Q$1),1)+INT((DAY(Sales!$Q$1)-1)/2)+'Cash Drivers'!Q$13,0)=EOMONTH($BS$1,0),Sales!Q$6*Sales!Q$7,0)+IF(EOMONTH(DATE(YEAR(Sales!$N$1),MONTH(Sales!$N$1),1)+INT((DAY(Sales!$N$1)-1)/2)+'Cash Drivers'!N$13,0)=EOMONTH($BS$1,0),Sales!N$6*Sales!N$7,0)+IF(EOMONTH(DATE(YEAR(Sales!$K$1),MONTH(Sales!$K$1),1)+INT((DAY(Sales!$K$1)-1)/2)+'Cash Drivers'!K$13,0)=EOMONTH($BS$1,0),Sales!K$6*Sales!K$7,0)+IF(EOMONTH('Cash Drivers'!$DL$30+'Cash Drivers'!DL$13,0)=EOMONTH($BS$1,0),'Cash Drivers'!$DL$32*Sales!$DL$60,0),0)</f>
        <v>0</v>
      </c>
      <c r="BT24" s="59" t="n">
        <f aca="false">ROUND(IF(EOMONTH(DATE(YEAR(Sales!$DL$1),MONTH(Sales!$DL$1),1)+INT((DAY(Sales!$DL$1)-1)/2)+'Cash Drivers'!DM$13,0)=EOMONTH($BS$1,0),Sales!DM$6*Sales!DM$7,0)+IF(EOMONTH(DATE(YEAR(Sales!$DI$1),MONTH(Sales!$DI$1),1)+INT((DAY(Sales!$DI$1)-1)/2)+'Cash Drivers'!DJ$13,0)=EOMONTH($BS$1,0),Sales!DJ$6*Sales!DJ$7,0)+IF(EOMONTH(DATE(YEAR(Sales!$DF$1),MONTH(Sales!$DF$1),1)+INT((DAY(Sales!$DF$1)-1)/2)+'Cash Drivers'!DG$13,0)=EOMONTH($BS$1,0),Sales!DG$6*Sales!DG$7,0)+IF(EOMONTH(DATE(YEAR(Sales!$DC$1),MONTH(Sales!$DC$1),1)+INT((DAY(Sales!$DC$1)-1)/2)+'Cash Drivers'!DD$13,0)=EOMONTH($BS$1,0),Sales!DD$6*Sales!DD$7,0)+IF(EOMONTH(DATE(YEAR(Sales!$CZ$1),MONTH(Sales!$CZ$1),1)+INT((DAY(Sales!$CZ$1)-1)/2)+'Cash Drivers'!DA$13,0)=EOMONTH($BS$1,0),Sales!DA$6*Sales!DA$7,0)+IF(EOMONTH(DATE(YEAR(Sales!$CW$1),MONTH(Sales!$CW$1),1)+INT((DAY(Sales!$CW$1)-1)/2)+'Cash Drivers'!CX$13,0)=EOMONTH($BS$1,0),Sales!CX$6*Sales!CX$7,0)+IF(EOMONTH(DATE(YEAR(Sales!$CT$1),MONTH(Sales!$CT$1),1)+INT((DAY(Sales!$CT$1)-1)/2)+'Cash Drivers'!CU$13,0)=EOMONTH($BS$1,0),Sales!CU$6*Sales!CU$7,0)+IF(EOMONTH(DATE(YEAR(Sales!$CQ$1),MONTH(Sales!$CQ$1),1)+INT((DAY(Sales!$CQ$1)-1)/2)+'Cash Drivers'!CR$13,0)=EOMONTH($BS$1,0),Sales!CR$6*Sales!CR$7,0)+IF(EOMONTH(DATE(YEAR(Sales!$CN$1),MONTH(Sales!$CN$1),1)+INT((DAY(Sales!$CN$1)-1)/2)+'Cash Drivers'!CO$13,0)=EOMONTH($BS$1,0),Sales!CO$6*Sales!CO$7,0)+IF(EOMONTH(DATE(YEAR(Sales!$CK$1),MONTH(Sales!$CK$1),1)+INT((DAY(Sales!$CK$1)-1)/2)+'Cash Drivers'!CL$13,0)=EOMONTH($BS$1,0),Sales!CL$6*Sales!CL$7,0)+IF(EOMONTH(DATE(YEAR(Sales!$CH$1),MONTH(Sales!$CH$1),1)+INT((DAY(Sales!$CH$1)-1)/2)+'Cash Drivers'!CI$13,0)=EOMONTH($BS$1,0),Sales!CI$6*Sales!CI$7,0)+IF(EOMONTH(DATE(YEAR(Sales!$CE$1),MONTH(Sales!$CE$1),1)+INT((DAY(Sales!$CE$1)-1)/2)+'Cash Drivers'!CF$13,0)=EOMONTH($BS$1,0),Sales!CF$6*Sales!CF$7,0)+IF(EOMONTH(DATE(YEAR(Sales!$CB$1),MONTH(Sales!$CB$1),1)+INT((DAY(Sales!$CB$1)-1)/2)+'Cash Drivers'!CC$13,0)=EOMONTH($BS$1,0),Sales!CC$6*Sales!CC$7,0)+IF(EOMONTH(DATE(YEAR(Sales!$BY$1),MONTH(Sales!$BY$1),1)+INT((DAY(Sales!$BY$1)-1)/2)+'Cash Drivers'!BZ$13,0)=EOMONTH($BS$1,0),Sales!BZ$6*Sales!BZ$7,0)+IF(EOMONTH(DATE(YEAR(Sales!$BV$1),MONTH(Sales!$BV$1),1)+INT((DAY(Sales!$BV$1)-1)/2)+'Cash Drivers'!BW$13,0)=EOMONTH($BS$1,0),Sales!BW$6*Sales!BW$7,0)+IF(EOMONTH(DATE(YEAR(Sales!$BS$1),MONTH(Sales!$BS$1),1)+INT((DAY(Sales!$BS$1)-1)/2)+'Cash Drivers'!BT$13,0)=EOMONTH($BS$1,0),Sales!BT$6*Sales!BT$7,0)+IF(EOMONTH(DATE(YEAR(Sales!$BP$1),MONTH(Sales!$BP$1),1)+INT((DAY(Sales!$BP$1)-1)/2)+'Cash Drivers'!BQ$13,0)=EOMONTH($BS$1,0),Sales!BQ$6*Sales!BQ$7,0)+IF(EOMONTH(DATE(YEAR(Sales!$BM$1),MONTH(Sales!$BM$1),1)+INT((DAY(Sales!$BM$1)-1)/2)+'Cash Drivers'!BN$13,0)=EOMONTH($BS$1,0),Sales!BN$6*Sales!BN$7,0)+IF(EOMONTH(DATE(YEAR(Sales!$BJ$1),MONTH(Sales!$BJ$1),1)+INT((DAY(Sales!$BJ$1)-1)/2)+'Cash Drivers'!BK$13,0)=EOMONTH($BS$1,0),Sales!BK$6*Sales!BK$7,0)+IF(EOMONTH(DATE(YEAR(Sales!$BG$1),MONTH(Sales!$BG$1),1)+INT((DAY(Sales!$BG$1)-1)/2)+'Cash Drivers'!BH$13,0)=EOMONTH($BS$1,0),Sales!BH$6*Sales!BH$7,0)+IF(EOMONTH(DATE(YEAR(Sales!$BD$1),MONTH(Sales!$BD$1),1)+INT((DAY(Sales!$BD$1)-1)/2)+'Cash Drivers'!BE$13,0)=EOMONTH($BS$1,0),Sales!BE$6*Sales!BE$7,0)+IF(EOMONTH(DATE(YEAR(Sales!$BA$1),MONTH(Sales!$BA$1),1)+INT((DAY(Sales!$BA$1)-1)/2)+'Cash Drivers'!BB$13,0)=EOMONTH($BS$1,0),Sales!BB$6*Sales!BB$7,0)+IF(EOMONTH(DATE(YEAR(Sales!$AX$1),MONTH(Sales!$AX$1),1)+INT((DAY(Sales!$AX$1)-1)/2)+'Cash Drivers'!AY$13,0)=EOMONTH($BS$1,0),Sales!AY$6*Sales!AY$7,0)+IF(EOMONTH(DATE(YEAR(Sales!$AU$1),MONTH(Sales!$AU$1),1)+INT((DAY(Sales!$AU$1)-1)/2)+'Cash Drivers'!AV$13,0)=EOMONTH($BS$1,0),Sales!AV$6*Sales!AV$7,0)+IF(EOMONTH(DATE(YEAR(Sales!$AR$1),MONTH(Sales!$AR$1),1)+INT((DAY(Sales!$AR$1)-1)/2)+'Cash Drivers'!AS$13,0)=EOMONTH($BS$1,0),Sales!AS$6*Sales!AS$7,0)+IF(EOMONTH(DATE(YEAR(Sales!$AO$1),MONTH(Sales!$AO$1),1)+INT((DAY(Sales!$AO$1)-1)/2)+'Cash Drivers'!AP$13,0)=EOMONTH($BS$1,0),Sales!AP$6*Sales!AP$7,0)+IF(EOMONTH(DATE(YEAR(Sales!$AL$1),MONTH(Sales!$AL$1),1)+INT((DAY(Sales!$AL$1)-1)/2)+'Cash Drivers'!AM$13,0)=EOMONTH($BS$1,0),Sales!AM$6*Sales!AM$7,0)+IF(EOMONTH(DATE(YEAR(Sales!$AI$1),MONTH(Sales!$AI$1),1)+INT((DAY(Sales!$AI$1)-1)/2)+'Cash Drivers'!AJ$13,0)=EOMONTH($BS$1,0),Sales!AJ$6*Sales!AJ$7,0)+IF(EOMONTH(DATE(YEAR(Sales!$AF$1),MONTH(Sales!$AF$1),1)+INT((DAY(Sales!$AF$1)-1)/2)+'Cash Drivers'!AG$13,0)=EOMONTH($BS$1,0),Sales!AG$6*Sales!AG$7,0)+IF(EOMONTH(DATE(YEAR(Sales!$AC$1),MONTH(Sales!$AC$1),1)+INT((DAY(Sales!$AC$1)-1)/2)+'Cash Drivers'!AD$13,0)=EOMONTH($BS$1,0),Sales!AD$6*Sales!AD$7,0)+IF(EOMONTH(DATE(YEAR(Sales!$Z$1),MONTH(Sales!$Z$1),1)+INT((DAY(Sales!$Z$1)-1)/2)+'Cash Drivers'!AA$13,0)=EOMONTH($BS$1,0),Sales!AA$6*Sales!AA$7,0)+IF(EOMONTH(DATE(YEAR(Sales!$W$1),MONTH(Sales!$W$1),1)+INT((DAY(Sales!$W$1)-1)/2)+'Cash Drivers'!X$13,0)=EOMONTH($BS$1,0),Sales!X$6*Sales!X$7,0)+IF(EOMONTH(DATE(YEAR(Sales!$T$1),MONTH(Sales!$T$1),1)+INT((DAY(Sales!$T$1)-1)/2)+'Cash Drivers'!U$13,0)=EOMONTH($BS$1,0),Sales!U$6*Sales!U$7,0)+IF(EOMONTH(DATE(YEAR(Sales!$Q$1),MONTH(Sales!$Q$1),1)+INT((DAY(Sales!$Q$1)-1)/2)+'Cash Drivers'!R$13,0)=EOMONTH($BS$1,0),Sales!R$6*Sales!R$7,0)+IF(EOMONTH(DATE(YEAR(Sales!$N$1),MONTH(Sales!$N$1),1)+INT((DAY(Sales!$N$1)-1)/2)+'Cash Drivers'!O$13,0)=EOMONTH($BS$1,0),Sales!O$6*Sales!O$7,0)+IF(EOMONTH(DATE(YEAR(Sales!$K$1),MONTH(Sales!$K$1),1)+INT((DAY(Sales!$K$1)-1)/2)+'Cash Drivers'!L$13,0)=EOMONTH($BS$1,0),Sales!L$6*Sales!L$7,0)+IF(EOMONTH('Cash Drivers'!$DL$30+'Cash Drivers'!DM$13,0)=EOMONTH($BS$1,0),'Cash Drivers'!$DL$32*Sales!$DL$60,0),0)</f>
        <v>34734</v>
      </c>
      <c r="BU24" s="60" t="n">
        <f aca="false">ROUND(IF(EOMONTH(DATE(YEAR(Sales!$DL$1),MONTH(Sales!$DL$1),1)+INT((DAY(Sales!$DL$1)-1)/2)+'Cash Drivers'!DN$13,0)=EOMONTH($BS$1,0),Sales!DN$6*Sales!DN$7,0)+IF(EOMONTH(DATE(YEAR(Sales!$DI$1),MONTH(Sales!$DI$1),1)+INT((DAY(Sales!$DI$1)-1)/2)+'Cash Drivers'!DK$13,0)=EOMONTH($BS$1,0),Sales!DK$6*Sales!DK$7,0)+IF(EOMONTH(DATE(YEAR(Sales!$DF$1),MONTH(Sales!$DF$1),1)+INT((DAY(Sales!$DF$1)-1)/2)+'Cash Drivers'!DH$13,0)=EOMONTH($BS$1,0),Sales!DH$6*Sales!DH$7,0)+IF(EOMONTH(DATE(YEAR(Sales!$DC$1),MONTH(Sales!$DC$1),1)+INT((DAY(Sales!$DC$1)-1)/2)+'Cash Drivers'!DE$13,0)=EOMONTH($BS$1,0),Sales!DE$6*Sales!DE$7,0)+IF(EOMONTH(DATE(YEAR(Sales!$CZ$1),MONTH(Sales!$CZ$1),1)+INT((DAY(Sales!$CZ$1)-1)/2)+'Cash Drivers'!DB$13,0)=EOMONTH($BS$1,0),Sales!DB$6*Sales!DB$7,0)+IF(EOMONTH(DATE(YEAR(Sales!$CW$1),MONTH(Sales!$CW$1),1)+INT((DAY(Sales!$CW$1)-1)/2)+'Cash Drivers'!CY$13,0)=EOMONTH($BS$1,0),Sales!CY$6*Sales!CY$7,0)+IF(EOMONTH(DATE(YEAR(Sales!$CT$1),MONTH(Sales!$CT$1),1)+INT((DAY(Sales!$CT$1)-1)/2)+'Cash Drivers'!CV$13,0)=EOMONTH($BS$1,0),Sales!CV$6*Sales!CV$7,0)+IF(EOMONTH(DATE(YEAR(Sales!$CQ$1),MONTH(Sales!$CQ$1),1)+INT((DAY(Sales!$CQ$1)-1)/2)+'Cash Drivers'!CS$13,0)=EOMONTH($BS$1,0),Sales!CS$6*Sales!CS$7,0)+IF(EOMONTH(DATE(YEAR(Sales!$CN$1),MONTH(Sales!$CN$1),1)+INT((DAY(Sales!$CN$1)-1)/2)+'Cash Drivers'!CP$13,0)=EOMONTH($BS$1,0),Sales!CP$6*Sales!CP$7,0)+IF(EOMONTH(DATE(YEAR(Sales!$CK$1),MONTH(Sales!$CK$1),1)+INT((DAY(Sales!$CK$1)-1)/2)+'Cash Drivers'!CM$13,0)=EOMONTH($BS$1,0),Sales!CM$6*Sales!CM$7,0)+IF(EOMONTH(DATE(YEAR(Sales!$CH$1),MONTH(Sales!$CH$1),1)+INT((DAY(Sales!$CH$1)-1)/2)+'Cash Drivers'!CJ$13,0)=EOMONTH($BS$1,0),Sales!CJ$6*Sales!CJ$7,0)+IF(EOMONTH(DATE(YEAR(Sales!$CE$1),MONTH(Sales!$CE$1),1)+INT((DAY(Sales!$CE$1)-1)/2)+'Cash Drivers'!CG$13,0)=EOMONTH($BS$1,0),Sales!CG$6*Sales!CG$7,0)+IF(EOMONTH(DATE(YEAR(Sales!$CB$1),MONTH(Sales!$CB$1),1)+INT((DAY(Sales!$CB$1)-1)/2)+'Cash Drivers'!CD$13,0)=EOMONTH($BS$1,0),Sales!CD$6*Sales!CD$7,0)+IF(EOMONTH(DATE(YEAR(Sales!$BY$1),MONTH(Sales!$BY$1),1)+INT((DAY(Sales!$BY$1)-1)/2)+'Cash Drivers'!CA$13,0)=EOMONTH($BS$1,0),Sales!CA$6*Sales!CA$7,0)+IF(EOMONTH(DATE(YEAR(Sales!$BV$1),MONTH(Sales!$BV$1),1)+INT((DAY(Sales!$BV$1)-1)/2)+'Cash Drivers'!BX$13,0)=EOMONTH($BS$1,0),Sales!BX$6*Sales!BX$7,0)+IF(EOMONTH(DATE(YEAR(Sales!$BS$1),MONTH(Sales!$BS$1),1)+INT((DAY(Sales!$BS$1)-1)/2)+'Cash Drivers'!BU$13,0)=EOMONTH($BS$1,0),Sales!BU$6*Sales!BU$7,0)+IF(EOMONTH(DATE(YEAR(Sales!$BP$1),MONTH(Sales!$BP$1),1)+INT((DAY(Sales!$BP$1)-1)/2)+'Cash Drivers'!BR$13,0)=EOMONTH($BS$1,0),Sales!BR$6*Sales!BR$7,0)+IF(EOMONTH(DATE(YEAR(Sales!$BM$1),MONTH(Sales!$BM$1),1)+INT((DAY(Sales!$BM$1)-1)/2)+'Cash Drivers'!BO$13,0)=EOMONTH($BS$1,0),Sales!BO$6*Sales!BO$7,0)+IF(EOMONTH(DATE(YEAR(Sales!$BJ$1),MONTH(Sales!$BJ$1),1)+INT((DAY(Sales!$BJ$1)-1)/2)+'Cash Drivers'!BL$13,0)=EOMONTH($BS$1,0),Sales!BL$6*Sales!BL$7,0)+IF(EOMONTH(DATE(YEAR(Sales!$BG$1),MONTH(Sales!$BG$1),1)+INT((DAY(Sales!$BG$1)-1)/2)+'Cash Drivers'!BI$13,0)=EOMONTH($BS$1,0),Sales!BI$6*Sales!BI$7,0)+IF(EOMONTH(DATE(YEAR(Sales!$BD$1),MONTH(Sales!$BD$1),1)+INT((DAY(Sales!$BD$1)-1)/2)+'Cash Drivers'!BF$13,0)=EOMONTH($BS$1,0),Sales!BF$6*Sales!BF$7,0)+IF(EOMONTH(DATE(YEAR(Sales!$BA$1),MONTH(Sales!$BA$1),1)+INT((DAY(Sales!$BA$1)-1)/2)+'Cash Drivers'!BC$13,0)=EOMONTH($BS$1,0),Sales!BC$6*Sales!BC$7,0)+IF(EOMONTH(DATE(YEAR(Sales!$AX$1),MONTH(Sales!$AX$1),1)+INT((DAY(Sales!$AX$1)-1)/2)+'Cash Drivers'!AZ$13,0)=EOMONTH($BS$1,0),Sales!AZ$6*Sales!AZ$7,0)+IF(EOMONTH(DATE(YEAR(Sales!$AU$1),MONTH(Sales!$AU$1),1)+INT((DAY(Sales!$AU$1)-1)/2)+'Cash Drivers'!AW$13,0)=EOMONTH($BS$1,0),Sales!AW$6*Sales!AW$7,0)+IF(EOMONTH(DATE(YEAR(Sales!$AR$1),MONTH(Sales!$AR$1),1)+INT((DAY(Sales!$AR$1)-1)/2)+'Cash Drivers'!AT$13,0)=EOMONTH($BS$1,0),Sales!AT$6*Sales!AT$7,0)+IF(EOMONTH(DATE(YEAR(Sales!$AO$1),MONTH(Sales!$AO$1),1)+INT((DAY(Sales!$AO$1)-1)/2)+'Cash Drivers'!AQ$13,0)=EOMONTH($BS$1,0),Sales!AQ$6*Sales!AQ$7,0)+IF(EOMONTH(DATE(YEAR(Sales!$AL$1),MONTH(Sales!$AL$1),1)+INT((DAY(Sales!$AL$1)-1)/2)+'Cash Drivers'!AN$13,0)=EOMONTH($BS$1,0),Sales!AN$6*Sales!AN$7,0)+IF(EOMONTH(DATE(YEAR(Sales!$AI$1),MONTH(Sales!$AI$1),1)+INT((DAY(Sales!$AI$1)-1)/2)+'Cash Drivers'!AK$13,0)=EOMONTH($BS$1,0),Sales!AK$6*Sales!AK$7,0)+IF(EOMONTH(DATE(YEAR(Sales!$AF$1),MONTH(Sales!$AF$1),1)+INT((DAY(Sales!$AF$1)-1)/2)+'Cash Drivers'!AH$13,0)=EOMONTH($BS$1,0),Sales!AH$6*Sales!AH$7,0)+IF(EOMONTH(DATE(YEAR(Sales!$AC$1),MONTH(Sales!$AC$1),1)+INT((DAY(Sales!$AC$1)-1)/2)+'Cash Drivers'!AE$13,0)=EOMONTH($BS$1,0),Sales!AE$6*Sales!AE$7,0)+IF(EOMONTH(DATE(YEAR(Sales!$Z$1),MONTH(Sales!$Z$1),1)+INT((DAY(Sales!$Z$1)-1)/2)+'Cash Drivers'!AB$13,0)=EOMONTH($BS$1,0),Sales!AB$6*Sales!AB$7,0)+IF(EOMONTH(DATE(YEAR(Sales!$W$1),MONTH(Sales!$W$1),1)+INT((DAY(Sales!$W$1)-1)/2)+'Cash Drivers'!Y$13,0)=EOMONTH($BS$1,0),Sales!Y$6*Sales!Y$7,0)+IF(EOMONTH(DATE(YEAR(Sales!$T$1),MONTH(Sales!$T$1),1)+INT((DAY(Sales!$T$1)-1)/2)+'Cash Drivers'!V$13,0)=EOMONTH($BS$1,0),Sales!V$6*Sales!V$7,0)+IF(EOMONTH(DATE(YEAR(Sales!$Q$1),MONTH(Sales!$Q$1),1)+INT((DAY(Sales!$Q$1)-1)/2)+'Cash Drivers'!S$13,0)=EOMONTH($BS$1,0),Sales!S$6*Sales!S$7,0)+IF(EOMONTH(DATE(YEAR(Sales!$N$1),MONTH(Sales!$N$1),1)+INT((DAY(Sales!$N$1)-1)/2)+'Cash Drivers'!P$13,0)=EOMONTH($BS$1,0),Sales!P$6*Sales!P$7,0)+IF(EOMONTH(DATE(YEAR(Sales!$K$1),MONTH(Sales!$K$1),1)+INT((DAY(Sales!$K$1)-1)/2)+'Cash Drivers'!M$13,0)=EOMONTH($BS$1,0),Sales!M$6*Sales!M$7,0)+IF(EOMONTH('Cash Drivers'!$DL$30+'Cash Drivers'!DN$13,0)=EOMONTH($BS$1,0),'Cash Drivers'!$DL$32*Sales!$DL$60,0),0)</f>
        <v>34818</v>
      </c>
      <c r="BV24" s="58" t="n">
        <f aca="false">ROUND(IF(EOMONTH(DATE(YEAR(Sales!$DL$1),MONTH(Sales!$DL$1),1)+INT((DAY(Sales!$DL$1)-1)/2)+'Cash Drivers'!DL$13,0)=EOMONTH($BV$1,0),Sales!DL$6*Sales!DL$7,0)+IF(EOMONTH(DATE(YEAR(Sales!$DI$1),MONTH(Sales!$DI$1),1)+INT((DAY(Sales!$DI$1)-1)/2)+'Cash Drivers'!DI$13,0)=EOMONTH($BV$1,0),Sales!DI$6*Sales!DI$7,0)+IF(EOMONTH(DATE(YEAR(Sales!$DF$1),MONTH(Sales!$DF$1),1)+INT((DAY(Sales!$DF$1)-1)/2)+'Cash Drivers'!DF$13,0)=EOMONTH($BV$1,0),Sales!DF$6*Sales!DF$7,0)+IF(EOMONTH(DATE(YEAR(Sales!$DC$1),MONTH(Sales!$DC$1),1)+INT((DAY(Sales!$DC$1)-1)/2)+'Cash Drivers'!DC$13,0)=EOMONTH($BV$1,0),Sales!DC$6*Sales!DC$7,0)+IF(EOMONTH(DATE(YEAR(Sales!$CZ$1),MONTH(Sales!$CZ$1),1)+INT((DAY(Sales!$CZ$1)-1)/2)+'Cash Drivers'!CZ$13,0)=EOMONTH($BV$1,0),Sales!CZ$6*Sales!CZ$7,0)+IF(EOMONTH(DATE(YEAR(Sales!$CW$1),MONTH(Sales!$CW$1),1)+INT((DAY(Sales!$CW$1)-1)/2)+'Cash Drivers'!CW$13,0)=EOMONTH($BV$1,0),Sales!CW$6*Sales!CW$7,0)+IF(EOMONTH(DATE(YEAR(Sales!$CT$1),MONTH(Sales!$CT$1),1)+INT((DAY(Sales!$CT$1)-1)/2)+'Cash Drivers'!CT$13,0)=EOMONTH($BV$1,0),Sales!CT$6*Sales!CT$7,0)+IF(EOMONTH(DATE(YEAR(Sales!$CQ$1),MONTH(Sales!$CQ$1),1)+INT((DAY(Sales!$CQ$1)-1)/2)+'Cash Drivers'!CQ$13,0)=EOMONTH($BV$1,0),Sales!CQ$6*Sales!CQ$7,0)+IF(EOMONTH(DATE(YEAR(Sales!$CN$1),MONTH(Sales!$CN$1),1)+INT((DAY(Sales!$CN$1)-1)/2)+'Cash Drivers'!CN$13,0)=EOMONTH($BV$1,0),Sales!CN$6*Sales!CN$7,0)+IF(EOMONTH(DATE(YEAR(Sales!$CK$1),MONTH(Sales!$CK$1),1)+INT((DAY(Sales!$CK$1)-1)/2)+'Cash Drivers'!CK$13,0)=EOMONTH($BV$1,0),Sales!CK$6*Sales!CK$7,0)+IF(EOMONTH(DATE(YEAR(Sales!$CH$1),MONTH(Sales!$CH$1),1)+INT((DAY(Sales!$CH$1)-1)/2)+'Cash Drivers'!CH$13,0)=EOMONTH($BV$1,0),Sales!CH$6*Sales!CH$7,0)+IF(EOMONTH(DATE(YEAR(Sales!$CE$1),MONTH(Sales!$CE$1),1)+INT((DAY(Sales!$CE$1)-1)/2)+'Cash Drivers'!CE$13,0)=EOMONTH($BV$1,0),Sales!CE$6*Sales!CE$7,0)+IF(EOMONTH(DATE(YEAR(Sales!$CB$1),MONTH(Sales!$CB$1),1)+INT((DAY(Sales!$CB$1)-1)/2)+'Cash Drivers'!CB$13,0)=EOMONTH($BV$1,0),Sales!CB$6*Sales!CB$7,0)+IF(EOMONTH(DATE(YEAR(Sales!$BY$1),MONTH(Sales!$BY$1),1)+INT((DAY(Sales!$BY$1)-1)/2)+'Cash Drivers'!BY$13,0)=EOMONTH($BV$1,0),Sales!BY$6*Sales!BY$7,0)+IF(EOMONTH(DATE(YEAR(Sales!$BV$1),MONTH(Sales!$BV$1),1)+INT((DAY(Sales!$BV$1)-1)/2)+'Cash Drivers'!BV$13,0)=EOMONTH($BV$1,0),Sales!BV$6*Sales!BV$7,0)+IF(EOMONTH(DATE(YEAR(Sales!$BS$1),MONTH(Sales!$BS$1),1)+INT((DAY(Sales!$BS$1)-1)/2)+'Cash Drivers'!BS$13,0)=EOMONTH($BV$1,0),Sales!BS$6*Sales!BS$7,0)+IF(EOMONTH(DATE(YEAR(Sales!$BP$1),MONTH(Sales!$BP$1),1)+INT((DAY(Sales!$BP$1)-1)/2)+'Cash Drivers'!BP$13,0)=EOMONTH($BV$1,0),Sales!BP$6*Sales!BP$7,0)+IF(EOMONTH(DATE(YEAR(Sales!$BM$1),MONTH(Sales!$BM$1),1)+INT((DAY(Sales!$BM$1)-1)/2)+'Cash Drivers'!BM$13,0)=EOMONTH($BV$1,0),Sales!BM$6*Sales!BM$7,0)+IF(EOMONTH(DATE(YEAR(Sales!$BJ$1),MONTH(Sales!$BJ$1),1)+INT((DAY(Sales!$BJ$1)-1)/2)+'Cash Drivers'!BJ$13,0)=EOMONTH($BV$1,0),Sales!BJ$6*Sales!BJ$7,0)+IF(EOMONTH(DATE(YEAR(Sales!$BG$1),MONTH(Sales!$BG$1),1)+INT((DAY(Sales!$BG$1)-1)/2)+'Cash Drivers'!BG$13,0)=EOMONTH($BV$1,0),Sales!BG$6*Sales!BG$7,0)+IF(EOMONTH(DATE(YEAR(Sales!$BD$1),MONTH(Sales!$BD$1),1)+INT((DAY(Sales!$BD$1)-1)/2)+'Cash Drivers'!BD$13,0)=EOMONTH($BV$1,0),Sales!BD$6*Sales!BD$7,0)+IF(EOMONTH(DATE(YEAR(Sales!$BA$1),MONTH(Sales!$BA$1),1)+INT((DAY(Sales!$BA$1)-1)/2)+'Cash Drivers'!BA$13,0)=EOMONTH($BV$1,0),Sales!BA$6*Sales!BA$7,0)+IF(EOMONTH(DATE(YEAR(Sales!$AX$1),MONTH(Sales!$AX$1),1)+INT((DAY(Sales!$AX$1)-1)/2)+'Cash Drivers'!AX$13,0)=EOMONTH($BV$1,0),Sales!AX$6*Sales!AX$7,0)+IF(EOMONTH(DATE(YEAR(Sales!$AU$1),MONTH(Sales!$AU$1),1)+INT((DAY(Sales!$AU$1)-1)/2)+'Cash Drivers'!AU$13,0)=EOMONTH($BV$1,0),Sales!AU$6*Sales!AU$7,0)+IF(EOMONTH(DATE(YEAR(Sales!$AR$1),MONTH(Sales!$AR$1),1)+INT((DAY(Sales!$AR$1)-1)/2)+'Cash Drivers'!AR$13,0)=EOMONTH($BV$1,0),Sales!AR$6*Sales!AR$7,0)+IF(EOMONTH(DATE(YEAR(Sales!$AO$1),MONTH(Sales!$AO$1),1)+INT((DAY(Sales!$AO$1)-1)/2)+'Cash Drivers'!AO$13,0)=EOMONTH($BV$1,0),Sales!AO$6*Sales!AO$7,0)+IF(EOMONTH(DATE(YEAR(Sales!$AL$1),MONTH(Sales!$AL$1),1)+INT((DAY(Sales!$AL$1)-1)/2)+'Cash Drivers'!AL$13,0)=EOMONTH($BV$1,0),Sales!AL$6*Sales!AL$7,0)+IF(EOMONTH(DATE(YEAR(Sales!$AI$1),MONTH(Sales!$AI$1),1)+INT((DAY(Sales!$AI$1)-1)/2)+'Cash Drivers'!AI$13,0)=EOMONTH($BV$1,0),Sales!AI$6*Sales!AI$7,0)+IF(EOMONTH(DATE(YEAR(Sales!$AF$1),MONTH(Sales!$AF$1),1)+INT((DAY(Sales!$AF$1)-1)/2)+'Cash Drivers'!AF$13,0)=EOMONTH($BV$1,0),Sales!AF$6*Sales!AF$7,0)+IF(EOMONTH(DATE(YEAR(Sales!$AC$1),MONTH(Sales!$AC$1),1)+INT((DAY(Sales!$AC$1)-1)/2)+'Cash Drivers'!AC$13,0)=EOMONTH($BV$1,0),Sales!AC$6*Sales!AC$7,0)+IF(EOMONTH(DATE(YEAR(Sales!$Z$1),MONTH(Sales!$Z$1),1)+INT((DAY(Sales!$Z$1)-1)/2)+'Cash Drivers'!Z$13,0)=EOMONTH($BV$1,0),Sales!Z$6*Sales!Z$7,0)+IF(EOMONTH(DATE(YEAR(Sales!$W$1),MONTH(Sales!$W$1),1)+INT((DAY(Sales!$W$1)-1)/2)+'Cash Drivers'!W$13,0)=EOMONTH($BV$1,0),Sales!W$6*Sales!W$7,0)+IF(EOMONTH(DATE(YEAR(Sales!$T$1),MONTH(Sales!$T$1),1)+INT((DAY(Sales!$T$1)-1)/2)+'Cash Drivers'!T$13,0)=EOMONTH($BV$1,0),Sales!T$6*Sales!T$7,0)+IF(EOMONTH(DATE(YEAR(Sales!$Q$1),MONTH(Sales!$Q$1),1)+INT((DAY(Sales!$Q$1)-1)/2)+'Cash Drivers'!Q$13,0)=EOMONTH($BV$1,0),Sales!Q$6*Sales!Q$7,0)+IF(EOMONTH(DATE(YEAR(Sales!$N$1),MONTH(Sales!$N$1),1)+INT((DAY(Sales!$N$1)-1)/2)+'Cash Drivers'!N$13,0)=EOMONTH($BV$1,0),Sales!N$6*Sales!N$7,0)+IF(EOMONTH(DATE(YEAR(Sales!$K$1),MONTH(Sales!$K$1),1)+INT((DAY(Sales!$K$1)-1)/2)+'Cash Drivers'!K$13,0)=EOMONTH($BV$1,0),Sales!K$6*Sales!K$7,0)+IF(EOMONTH('Cash Drivers'!$DL$30+'Cash Drivers'!DL$13,0)=EOMONTH($BV$1,0),'Cash Drivers'!$DL$32*Sales!$DL$60,0),0)</f>
        <v>0</v>
      </c>
      <c r="BW24" s="59" t="n">
        <f aca="false">ROUND(IF(EOMONTH(DATE(YEAR(Sales!$DL$1),MONTH(Sales!$DL$1),1)+INT((DAY(Sales!$DL$1)-1)/2)+'Cash Drivers'!DM$13,0)=EOMONTH($BV$1,0),Sales!DM$6*Sales!DM$7,0)+IF(EOMONTH(DATE(YEAR(Sales!$DI$1),MONTH(Sales!$DI$1),1)+INT((DAY(Sales!$DI$1)-1)/2)+'Cash Drivers'!DJ$13,0)=EOMONTH($BV$1,0),Sales!DJ$6*Sales!DJ$7,0)+IF(EOMONTH(DATE(YEAR(Sales!$DF$1),MONTH(Sales!$DF$1),1)+INT((DAY(Sales!$DF$1)-1)/2)+'Cash Drivers'!DG$13,0)=EOMONTH($BV$1,0),Sales!DG$6*Sales!DG$7,0)+IF(EOMONTH(DATE(YEAR(Sales!$DC$1),MONTH(Sales!$DC$1),1)+INT((DAY(Sales!$DC$1)-1)/2)+'Cash Drivers'!DD$13,0)=EOMONTH($BV$1,0),Sales!DD$6*Sales!DD$7,0)+IF(EOMONTH(DATE(YEAR(Sales!$CZ$1),MONTH(Sales!$CZ$1),1)+INT((DAY(Sales!$CZ$1)-1)/2)+'Cash Drivers'!DA$13,0)=EOMONTH($BV$1,0),Sales!DA$6*Sales!DA$7,0)+IF(EOMONTH(DATE(YEAR(Sales!$CW$1),MONTH(Sales!$CW$1),1)+INT((DAY(Sales!$CW$1)-1)/2)+'Cash Drivers'!CX$13,0)=EOMONTH($BV$1,0),Sales!CX$6*Sales!CX$7,0)+IF(EOMONTH(DATE(YEAR(Sales!$CT$1),MONTH(Sales!$CT$1),1)+INT((DAY(Sales!$CT$1)-1)/2)+'Cash Drivers'!CU$13,0)=EOMONTH($BV$1,0),Sales!CU$6*Sales!CU$7,0)+IF(EOMONTH(DATE(YEAR(Sales!$CQ$1),MONTH(Sales!$CQ$1),1)+INT((DAY(Sales!$CQ$1)-1)/2)+'Cash Drivers'!CR$13,0)=EOMONTH($BV$1,0),Sales!CR$6*Sales!CR$7,0)+IF(EOMONTH(DATE(YEAR(Sales!$CN$1),MONTH(Sales!$CN$1),1)+INT((DAY(Sales!$CN$1)-1)/2)+'Cash Drivers'!CO$13,0)=EOMONTH($BV$1,0),Sales!CO$6*Sales!CO$7,0)+IF(EOMONTH(DATE(YEAR(Sales!$CK$1),MONTH(Sales!$CK$1),1)+INT((DAY(Sales!$CK$1)-1)/2)+'Cash Drivers'!CL$13,0)=EOMONTH($BV$1,0),Sales!CL$6*Sales!CL$7,0)+IF(EOMONTH(DATE(YEAR(Sales!$CH$1),MONTH(Sales!$CH$1),1)+INT((DAY(Sales!$CH$1)-1)/2)+'Cash Drivers'!CI$13,0)=EOMONTH($BV$1,0),Sales!CI$6*Sales!CI$7,0)+IF(EOMONTH(DATE(YEAR(Sales!$CE$1),MONTH(Sales!$CE$1),1)+INT((DAY(Sales!$CE$1)-1)/2)+'Cash Drivers'!CF$13,0)=EOMONTH($BV$1,0),Sales!CF$6*Sales!CF$7,0)+IF(EOMONTH(DATE(YEAR(Sales!$CB$1),MONTH(Sales!$CB$1),1)+INT((DAY(Sales!$CB$1)-1)/2)+'Cash Drivers'!CC$13,0)=EOMONTH($BV$1,0),Sales!CC$6*Sales!CC$7,0)+IF(EOMONTH(DATE(YEAR(Sales!$BY$1),MONTH(Sales!$BY$1),1)+INT((DAY(Sales!$BY$1)-1)/2)+'Cash Drivers'!BZ$13,0)=EOMONTH($BV$1,0),Sales!BZ$6*Sales!BZ$7,0)+IF(EOMONTH(DATE(YEAR(Sales!$BV$1),MONTH(Sales!$BV$1),1)+INT((DAY(Sales!$BV$1)-1)/2)+'Cash Drivers'!BW$13,0)=EOMONTH($BV$1,0),Sales!BW$6*Sales!BW$7,0)+IF(EOMONTH(DATE(YEAR(Sales!$BS$1),MONTH(Sales!$BS$1),1)+INT((DAY(Sales!$BS$1)-1)/2)+'Cash Drivers'!BT$13,0)=EOMONTH($BV$1,0),Sales!BT$6*Sales!BT$7,0)+IF(EOMONTH(DATE(YEAR(Sales!$BP$1),MONTH(Sales!$BP$1),1)+INT((DAY(Sales!$BP$1)-1)/2)+'Cash Drivers'!BQ$13,0)=EOMONTH($BV$1,0),Sales!BQ$6*Sales!BQ$7,0)+IF(EOMONTH(DATE(YEAR(Sales!$BM$1),MONTH(Sales!$BM$1),1)+INT((DAY(Sales!$BM$1)-1)/2)+'Cash Drivers'!BN$13,0)=EOMONTH($BV$1,0),Sales!BN$6*Sales!BN$7,0)+IF(EOMONTH(DATE(YEAR(Sales!$BJ$1),MONTH(Sales!$BJ$1),1)+INT((DAY(Sales!$BJ$1)-1)/2)+'Cash Drivers'!BK$13,0)=EOMONTH($BV$1,0),Sales!BK$6*Sales!BK$7,0)+IF(EOMONTH(DATE(YEAR(Sales!$BG$1),MONTH(Sales!$BG$1),1)+INT((DAY(Sales!$BG$1)-1)/2)+'Cash Drivers'!BH$13,0)=EOMONTH($BV$1,0),Sales!BH$6*Sales!BH$7,0)+IF(EOMONTH(DATE(YEAR(Sales!$BD$1),MONTH(Sales!$BD$1),1)+INT((DAY(Sales!$BD$1)-1)/2)+'Cash Drivers'!BE$13,0)=EOMONTH($BV$1,0),Sales!BE$6*Sales!BE$7,0)+IF(EOMONTH(DATE(YEAR(Sales!$BA$1),MONTH(Sales!$BA$1),1)+INT((DAY(Sales!$BA$1)-1)/2)+'Cash Drivers'!BB$13,0)=EOMONTH($BV$1,0),Sales!BB$6*Sales!BB$7,0)+IF(EOMONTH(DATE(YEAR(Sales!$AX$1),MONTH(Sales!$AX$1),1)+INT((DAY(Sales!$AX$1)-1)/2)+'Cash Drivers'!AY$13,0)=EOMONTH($BV$1,0),Sales!AY$6*Sales!AY$7,0)+IF(EOMONTH(DATE(YEAR(Sales!$AU$1),MONTH(Sales!$AU$1),1)+INT((DAY(Sales!$AU$1)-1)/2)+'Cash Drivers'!AV$13,0)=EOMONTH($BV$1,0),Sales!AV$6*Sales!AV$7,0)+IF(EOMONTH(DATE(YEAR(Sales!$AR$1),MONTH(Sales!$AR$1),1)+INT((DAY(Sales!$AR$1)-1)/2)+'Cash Drivers'!AS$13,0)=EOMONTH($BV$1,0),Sales!AS$6*Sales!AS$7,0)+IF(EOMONTH(DATE(YEAR(Sales!$AO$1),MONTH(Sales!$AO$1),1)+INT((DAY(Sales!$AO$1)-1)/2)+'Cash Drivers'!AP$13,0)=EOMONTH($BV$1,0),Sales!AP$6*Sales!AP$7,0)+IF(EOMONTH(DATE(YEAR(Sales!$AL$1),MONTH(Sales!$AL$1),1)+INT((DAY(Sales!$AL$1)-1)/2)+'Cash Drivers'!AM$13,0)=EOMONTH($BV$1,0),Sales!AM$6*Sales!AM$7,0)+IF(EOMONTH(DATE(YEAR(Sales!$AI$1),MONTH(Sales!$AI$1),1)+INT((DAY(Sales!$AI$1)-1)/2)+'Cash Drivers'!AJ$13,0)=EOMONTH($BV$1,0),Sales!AJ$6*Sales!AJ$7,0)+IF(EOMONTH(DATE(YEAR(Sales!$AF$1),MONTH(Sales!$AF$1),1)+INT((DAY(Sales!$AF$1)-1)/2)+'Cash Drivers'!AG$13,0)=EOMONTH($BV$1,0),Sales!AG$6*Sales!AG$7,0)+IF(EOMONTH(DATE(YEAR(Sales!$AC$1),MONTH(Sales!$AC$1),1)+INT((DAY(Sales!$AC$1)-1)/2)+'Cash Drivers'!AD$13,0)=EOMONTH($BV$1,0),Sales!AD$6*Sales!AD$7,0)+IF(EOMONTH(DATE(YEAR(Sales!$Z$1),MONTH(Sales!$Z$1),1)+INT((DAY(Sales!$Z$1)-1)/2)+'Cash Drivers'!AA$13,0)=EOMONTH($BV$1,0),Sales!AA$6*Sales!AA$7,0)+IF(EOMONTH(DATE(YEAR(Sales!$W$1),MONTH(Sales!$W$1),1)+INT((DAY(Sales!$W$1)-1)/2)+'Cash Drivers'!X$13,0)=EOMONTH($BV$1,0),Sales!X$6*Sales!X$7,0)+IF(EOMONTH(DATE(YEAR(Sales!$T$1),MONTH(Sales!$T$1),1)+INT((DAY(Sales!$T$1)-1)/2)+'Cash Drivers'!U$13,0)=EOMONTH($BV$1,0),Sales!U$6*Sales!U$7,0)+IF(EOMONTH(DATE(YEAR(Sales!$Q$1),MONTH(Sales!$Q$1),1)+INT((DAY(Sales!$Q$1)-1)/2)+'Cash Drivers'!R$13,0)=EOMONTH($BV$1,0),Sales!R$6*Sales!R$7,0)+IF(EOMONTH(DATE(YEAR(Sales!$N$1),MONTH(Sales!$N$1),1)+INT((DAY(Sales!$N$1)-1)/2)+'Cash Drivers'!O$13,0)=EOMONTH($BV$1,0),Sales!O$6*Sales!O$7,0)+IF(EOMONTH(DATE(YEAR(Sales!$K$1),MONTH(Sales!$K$1),1)+INT((DAY(Sales!$K$1)-1)/2)+'Cash Drivers'!L$13,0)=EOMONTH($BV$1,0),Sales!L$6*Sales!L$7,0)+IF(EOMONTH('Cash Drivers'!$DL$30+'Cash Drivers'!DM$13,0)=EOMONTH($BV$1,0),'Cash Drivers'!$DL$32*Sales!$DL$60,0),0)</f>
        <v>34608</v>
      </c>
      <c r="BX24" s="60" t="n">
        <f aca="false">ROUND(IF(EOMONTH(DATE(YEAR(Sales!$DL$1),MONTH(Sales!$DL$1),1)+INT((DAY(Sales!$DL$1)-1)/2)+'Cash Drivers'!DN$13,0)=EOMONTH($BV$1,0),Sales!DN$6*Sales!DN$7,0)+IF(EOMONTH(DATE(YEAR(Sales!$DI$1),MONTH(Sales!$DI$1),1)+INT((DAY(Sales!$DI$1)-1)/2)+'Cash Drivers'!DK$13,0)=EOMONTH($BV$1,0),Sales!DK$6*Sales!DK$7,0)+IF(EOMONTH(DATE(YEAR(Sales!$DF$1),MONTH(Sales!$DF$1),1)+INT((DAY(Sales!$DF$1)-1)/2)+'Cash Drivers'!DH$13,0)=EOMONTH($BV$1,0),Sales!DH$6*Sales!DH$7,0)+IF(EOMONTH(DATE(YEAR(Sales!$DC$1),MONTH(Sales!$DC$1),1)+INT((DAY(Sales!$DC$1)-1)/2)+'Cash Drivers'!DE$13,0)=EOMONTH($BV$1,0),Sales!DE$6*Sales!DE$7,0)+IF(EOMONTH(DATE(YEAR(Sales!$CZ$1),MONTH(Sales!$CZ$1),1)+INT((DAY(Sales!$CZ$1)-1)/2)+'Cash Drivers'!DB$13,0)=EOMONTH($BV$1,0),Sales!DB$6*Sales!DB$7,0)+IF(EOMONTH(DATE(YEAR(Sales!$CW$1),MONTH(Sales!$CW$1),1)+INT((DAY(Sales!$CW$1)-1)/2)+'Cash Drivers'!CY$13,0)=EOMONTH($BV$1,0),Sales!CY$6*Sales!CY$7,0)+IF(EOMONTH(DATE(YEAR(Sales!$CT$1),MONTH(Sales!$CT$1),1)+INT((DAY(Sales!$CT$1)-1)/2)+'Cash Drivers'!CV$13,0)=EOMONTH($BV$1,0),Sales!CV$6*Sales!CV$7,0)+IF(EOMONTH(DATE(YEAR(Sales!$CQ$1),MONTH(Sales!$CQ$1),1)+INT((DAY(Sales!$CQ$1)-1)/2)+'Cash Drivers'!CS$13,0)=EOMONTH($BV$1,0),Sales!CS$6*Sales!CS$7,0)+IF(EOMONTH(DATE(YEAR(Sales!$CN$1),MONTH(Sales!$CN$1),1)+INT((DAY(Sales!$CN$1)-1)/2)+'Cash Drivers'!CP$13,0)=EOMONTH($BV$1,0),Sales!CP$6*Sales!CP$7,0)+IF(EOMONTH(DATE(YEAR(Sales!$CK$1),MONTH(Sales!$CK$1),1)+INT((DAY(Sales!$CK$1)-1)/2)+'Cash Drivers'!CM$13,0)=EOMONTH($BV$1,0),Sales!CM$6*Sales!CM$7,0)+IF(EOMONTH(DATE(YEAR(Sales!$CH$1),MONTH(Sales!$CH$1),1)+INT((DAY(Sales!$CH$1)-1)/2)+'Cash Drivers'!CJ$13,0)=EOMONTH($BV$1,0),Sales!CJ$6*Sales!CJ$7,0)+IF(EOMONTH(DATE(YEAR(Sales!$CE$1),MONTH(Sales!$CE$1),1)+INT((DAY(Sales!$CE$1)-1)/2)+'Cash Drivers'!CG$13,0)=EOMONTH($BV$1,0),Sales!CG$6*Sales!CG$7,0)+IF(EOMONTH(DATE(YEAR(Sales!$CB$1),MONTH(Sales!$CB$1),1)+INT((DAY(Sales!$CB$1)-1)/2)+'Cash Drivers'!CD$13,0)=EOMONTH($BV$1,0),Sales!CD$6*Sales!CD$7,0)+IF(EOMONTH(DATE(YEAR(Sales!$BY$1),MONTH(Sales!$BY$1),1)+INT((DAY(Sales!$BY$1)-1)/2)+'Cash Drivers'!CA$13,0)=EOMONTH($BV$1,0),Sales!CA$6*Sales!CA$7,0)+IF(EOMONTH(DATE(YEAR(Sales!$BV$1),MONTH(Sales!$BV$1),1)+INT((DAY(Sales!$BV$1)-1)/2)+'Cash Drivers'!BX$13,0)=EOMONTH($BV$1,0),Sales!BX$6*Sales!BX$7,0)+IF(EOMONTH(DATE(YEAR(Sales!$BS$1),MONTH(Sales!$BS$1),1)+INT((DAY(Sales!$BS$1)-1)/2)+'Cash Drivers'!BU$13,0)=EOMONTH($BV$1,0),Sales!BU$6*Sales!BU$7,0)+IF(EOMONTH(DATE(YEAR(Sales!$BP$1),MONTH(Sales!$BP$1),1)+INT((DAY(Sales!$BP$1)-1)/2)+'Cash Drivers'!BR$13,0)=EOMONTH($BV$1,0),Sales!BR$6*Sales!BR$7,0)+IF(EOMONTH(DATE(YEAR(Sales!$BM$1),MONTH(Sales!$BM$1),1)+INT((DAY(Sales!$BM$1)-1)/2)+'Cash Drivers'!BO$13,0)=EOMONTH($BV$1,0),Sales!BO$6*Sales!BO$7,0)+IF(EOMONTH(DATE(YEAR(Sales!$BJ$1),MONTH(Sales!$BJ$1),1)+INT((DAY(Sales!$BJ$1)-1)/2)+'Cash Drivers'!BL$13,0)=EOMONTH($BV$1,0),Sales!BL$6*Sales!BL$7,0)+IF(EOMONTH(DATE(YEAR(Sales!$BG$1),MONTH(Sales!$BG$1),1)+INT((DAY(Sales!$BG$1)-1)/2)+'Cash Drivers'!BI$13,0)=EOMONTH($BV$1,0),Sales!BI$6*Sales!BI$7,0)+IF(EOMONTH(DATE(YEAR(Sales!$BD$1),MONTH(Sales!$BD$1),1)+INT((DAY(Sales!$BD$1)-1)/2)+'Cash Drivers'!BF$13,0)=EOMONTH($BV$1,0),Sales!BF$6*Sales!BF$7,0)+IF(EOMONTH(DATE(YEAR(Sales!$BA$1),MONTH(Sales!$BA$1),1)+INT((DAY(Sales!$BA$1)-1)/2)+'Cash Drivers'!BC$13,0)=EOMONTH($BV$1,0),Sales!BC$6*Sales!BC$7,0)+IF(EOMONTH(DATE(YEAR(Sales!$AX$1),MONTH(Sales!$AX$1),1)+INT((DAY(Sales!$AX$1)-1)/2)+'Cash Drivers'!AZ$13,0)=EOMONTH($BV$1,0),Sales!AZ$6*Sales!AZ$7,0)+IF(EOMONTH(DATE(YEAR(Sales!$AU$1),MONTH(Sales!$AU$1),1)+INT((DAY(Sales!$AU$1)-1)/2)+'Cash Drivers'!AW$13,0)=EOMONTH($BV$1,0),Sales!AW$6*Sales!AW$7,0)+IF(EOMONTH(DATE(YEAR(Sales!$AR$1),MONTH(Sales!$AR$1),1)+INT((DAY(Sales!$AR$1)-1)/2)+'Cash Drivers'!AT$13,0)=EOMONTH($BV$1,0),Sales!AT$6*Sales!AT$7,0)+IF(EOMONTH(DATE(YEAR(Sales!$AO$1),MONTH(Sales!$AO$1),1)+INT((DAY(Sales!$AO$1)-1)/2)+'Cash Drivers'!AQ$13,0)=EOMONTH($BV$1,0),Sales!AQ$6*Sales!AQ$7,0)+IF(EOMONTH(DATE(YEAR(Sales!$AL$1),MONTH(Sales!$AL$1),1)+INT((DAY(Sales!$AL$1)-1)/2)+'Cash Drivers'!AN$13,0)=EOMONTH($BV$1,0),Sales!AN$6*Sales!AN$7,0)+IF(EOMONTH(DATE(YEAR(Sales!$AI$1),MONTH(Sales!$AI$1),1)+INT((DAY(Sales!$AI$1)-1)/2)+'Cash Drivers'!AK$13,0)=EOMONTH($BV$1,0),Sales!AK$6*Sales!AK$7,0)+IF(EOMONTH(DATE(YEAR(Sales!$AF$1),MONTH(Sales!$AF$1),1)+INT((DAY(Sales!$AF$1)-1)/2)+'Cash Drivers'!AH$13,0)=EOMONTH($BV$1,0),Sales!AH$6*Sales!AH$7,0)+IF(EOMONTH(DATE(YEAR(Sales!$AC$1),MONTH(Sales!$AC$1),1)+INT((DAY(Sales!$AC$1)-1)/2)+'Cash Drivers'!AE$13,0)=EOMONTH($BV$1,0),Sales!AE$6*Sales!AE$7,0)+IF(EOMONTH(DATE(YEAR(Sales!$Z$1),MONTH(Sales!$Z$1),1)+INT((DAY(Sales!$Z$1)-1)/2)+'Cash Drivers'!AB$13,0)=EOMONTH($BV$1,0),Sales!AB$6*Sales!AB$7,0)+IF(EOMONTH(DATE(YEAR(Sales!$W$1),MONTH(Sales!$W$1),1)+INT((DAY(Sales!$W$1)-1)/2)+'Cash Drivers'!Y$13,0)=EOMONTH($BV$1,0),Sales!Y$6*Sales!Y$7,0)+IF(EOMONTH(DATE(YEAR(Sales!$T$1),MONTH(Sales!$T$1),1)+INT((DAY(Sales!$T$1)-1)/2)+'Cash Drivers'!V$13,0)=EOMONTH($BV$1,0),Sales!V$6*Sales!V$7,0)+IF(EOMONTH(DATE(YEAR(Sales!$Q$1),MONTH(Sales!$Q$1),1)+INT((DAY(Sales!$Q$1)-1)/2)+'Cash Drivers'!S$13,0)=EOMONTH($BV$1,0),Sales!S$6*Sales!S$7,0)+IF(EOMONTH(DATE(YEAR(Sales!$N$1),MONTH(Sales!$N$1),1)+INT((DAY(Sales!$N$1)-1)/2)+'Cash Drivers'!P$13,0)=EOMONTH($BV$1,0),Sales!P$6*Sales!P$7,0)+IF(EOMONTH(DATE(YEAR(Sales!$K$1),MONTH(Sales!$K$1),1)+INT((DAY(Sales!$K$1)-1)/2)+'Cash Drivers'!M$13,0)=EOMONTH($BV$1,0),Sales!M$6*Sales!M$7,0)+IF(EOMONTH('Cash Drivers'!$DL$30+'Cash Drivers'!DN$13,0)=EOMONTH($BV$1,0),'Cash Drivers'!$DL$32*Sales!$DL$60,0),0)</f>
        <v>34692</v>
      </c>
      <c r="BY24" s="58" t="n">
        <f aca="false">ROUND(IF(EOMONTH(DATE(YEAR(Sales!$DL$1),MONTH(Sales!$DL$1),1)+INT((DAY(Sales!$DL$1)-1)/2)+'Cash Drivers'!DL$13,0)=EOMONTH($BY$1,0),Sales!DL$6*Sales!DL$7,0)+IF(EOMONTH(DATE(YEAR(Sales!$DI$1),MONTH(Sales!$DI$1),1)+INT((DAY(Sales!$DI$1)-1)/2)+'Cash Drivers'!DI$13,0)=EOMONTH($BY$1,0),Sales!DI$6*Sales!DI$7,0)+IF(EOMONTH(DATE(YEAR(Sales!$DF$1),MONTH(Sales!$DF$1),1)+INT((DAY(Sales!$DF$1)-1)/2)+'Cash Drivers'!DF$13,0)=EOMONTH($BY$1,0),Sales!DF$6*Sales!DF$7,0)+IF(EOMONTH(DATE(YEAR(Sales!$DC$1),MONTH(Sales!$DC$1),1)+INT((DAY(Sales!$DC$1)-1)/2)+'Cash Drivers'!DC$13,0)=EOMONTH($BY$1,0),Sales!DC$6*Sales!DC$7,0)+IF(EOMONTH(DATE(YEAR(Sales!$CZ$1),MONTH(Sales!$CZ$1),1)+INT((DAY(Sales!$CZ$1)-1)/2)+'Cash Drivers'!CZ$13,0)=EOMONTH($BY$1,0),Sales!CZ$6*Sales!CZ$7,0)+IF(EOMONTH(DATE(YEAR(Sales!$CW$1),MONTH(Sales!$CW$1),1)+INT((DAY(Sales!$CW$1)-1)/2)+'Cash Drivers'!CW$13,0)=EOMONTH($BY$1,0),Sales!CW$6*Sales!CW$7,0)+IF(EOMONTH(DATE(YEAR(Sales!$CT$1),MONTH(Sales!$CT$1),1)+INT((DAY(Sales!$CT$1)-1)/2)+'Cash Drivers'!CT$13,0)=EOMONTH($BY$1,0),Sales!CT$6*Sales!CT$7,0)+IF(EOMONTH(DATE(YEAR(Sales!$CQ$1),MONTH(Sales!$CQ$1),1)+INT((DAY(Sales!$CQ$1)-1)/2)+'Cash Drivers'!CQ$13,0)=EOMONTH($BY$1,0),Sales!CQ$6*Sales!CQ$7,0)+IF(EOMONTH(DATE(YEAR(Sales!$CN$1),MONTH(Sales!$CN$1),1)+INT((DAY(Sales!$CN$1)-1)/2)+'Cash Drivers'!CN$13,0)=EOMONTH($BY$1,0),Sales!CN$6*Sales!CN$7,0)+IF(EOMONTH(DATE(YEAR(Sales!$CK$1),MONTH(Sales!$CK$1),1)+INT((DAY(Sales!$CK$1)-1)/2)+'Cash Drivers'!CK$13,0)=EOMONTH($BY$1,0),Sales!CK$6*Sales!CK$7,0)+IF(EOMONTH(DATE(YEAR(Sales!$CH$1),MONTH(Sales!$CH$1),1)+INT((DAY(Sales!$CH$1)-1)/2)+'Cash Drivers'!CH$13,0)=EOMONTH($BY$1,0),Sales!CH$6*Sales!CH$7,0)+IF(EOMONTH(DATE(YEAR(Sales!$CE$1),MONTH(Sales!$CE$1),1)+INT((DAY(Sales!$CE$1)-1)/2)+'Cash Drivers'!CE$13,0)=EOMONTH($BY$1,0),Sales!CE$6*Sales!CE$7,0)+IF(EOMONTH(DATE(YEAR(Sales!$CB$1),MONTH(Sales!$CB$1),1)+INT((DAY(Sales!$CB$1)-1)/2)+'Cash Drivers'!CB$13,0)=EOMONTH($BY$1,0),Sales!CB$6*Sales!CB$7,0)+IF(EOMONTH(DATE(YEAR(Sales!$BY$1),MONTH(Sales!$BY$1),1)+INT((DAY(Sales!$BY$1)-1)/2)+'Cash Drivers'!BY$13,0)=EOMONTH($BY$1,0),Sales!BY$6*Sales!BY$7,0)+IF(EOMONTH(DATE(YEAR(Sales!$BV$1),MONTH(Sales!$BV$1),1)+INT((DAY(Sales!$BV$1)-1)/2)+'Cash Drivers'!BV$13,0)=EOMONTH($BY$1,0),Sales!BV$6*Sales!BV$7,0)+IF(EOMONTH(DATE(YEAR(Sales!$BS$1),MONTH(Sales!$BS$1),1)+INT((DAY(Sales!$BS$1)-1)/2)+'Cash Drivers'!BS$13,0)=EOMONTH($BY$1,0),Sales!BS$6*Sales!BS$7,0)+IF(EOMONTH(DATE(YEAR(Sales!$BP$1),MONTH(Sales!$BP$1),1)+INT((DAY(Sales!$BP$1)-1)/2)+'Cash Drivers'!BP$13,0)=EOMONTH($BY$1,0),Sales!BP$6*Sales!BP$7,0)+IF(EOMONTH(DATE(YEAR(Sales!$BM$1),MONTH(Sales!$BM$1),1)+INT((DAY(Sales!$BM$1)-1)/2)+'Cash Drivers'!BM$13,0)=EOMONTH($BY$1,0),Sales!BM$6*Sales!BM$7,0)+IF(EOMONTH(DATE(YEAR(Sales!$BJ$1),MONTH(Sales!$BJ$1),1)+INT((DAY(Sales!$BJ$1)-1)/2)+'Cash Drivers'!BJ$13,0)=EOMONTH($BY$1,0),Sales!BJ$6*Sales!BJ$7,0)+IF(EOMONTH(DATE(YEAR(Sales!$BG$1),MONTH(Sales!$BG$1),1)+INT((DAY(Sales!$BG$1)-1)/2)+'Cash Drivers'!BG$13,0)=EOMONTH($BY$1,0),Sales!BG$6*Sales!BG$7,0)+IF(EOMONTH(DATE(YEAR(Sales!$BD$1),MONTH(Sales!$BD$1),1)+INT((DAY(Sales!$BD$1)-1)/2)+'Cash Drivers'!BD$13,0)=EOMONTH($BY$1,0),Sales!BD$6*Sales!BD$7,0)+IF(EOMONTH(DATE(YEAR(Sales!$BA$1),MONTH(Sales!$BA$1),1)+INT((DAY(Sales!$BA$1)-1)/2)+'Cash Drivers'!BA$13,0)=EOMONTH($BY$1,0),Sales!BA$6*Sales!BA$7,0)+IF(EOMONTH(DATE(YEAR(Sales!$AX$1),MONTH(Sales!$AX$1),1)+INT((DAY(Sales!$AX$1)-1)/2)+'Cash Drivers'!AX$13,0)=EOMONTH($BY$1,0),Sales!AX$6*Sales!AX$7,0)+IF(EOMONTH(DATE(YEAR(Sales!$AU$1),MONTH(Sales!$AU$1),1)+INT((DAY(Sales!$AU$1)-1)/2)+'Cash Drivers'!AU$13,0)=EOMONTH($BY$1,0),Sales!AU$6*Sales!AU$7,0)+IF(EOMONTH(DATE(YEAR(Sales!$AR$1),MONTH(Sales!$AR$1),1)+INT((DAY(Sales!$AR$1)-1)/2)+'Cash Drivers'!AR$13,0)=EOMONTH($BY$1,0),Sales!AR$6*Sales!AR$7,0)+IF(EOMONTH(DATE(YEAR(Sales!$AO$1),MONTH(Sales!$AO$1),1)+INT((DAY(Sales!$AO$1)-1)/2)+'Cash Drivers'!AO$13,0)=EOMONTH($BY$1,0),Sales!AO$6*Sales!AO$7,0)+IF(EOMONTH(DATE(YEAR(Sales!$AL$1),MONTH(Sales!$AL$1),1)+INT((DAY(Sales!$AL$1)-1)/2)+'Cash Drivers'!AL$13,0)=EOMONTH($BY$1,0),Sales!AL$6*Sales!AL$7,0)+IF(EOMONTH(DATE(YEAR(Sales!$AI$1),MONTH(Sales!$AI$1),1)+INT((DAY(Sales!$AI$1)-1)/2)+'Cash Drivers'!AI$13,0)=EOMONTH($BY$1,0),Sales!AI$6*Sales!AI$7,0)+IF(EOMONTH(DATE(YEAR(Sales!$AF$1),MONTH(Sales!$AF$1),1)+INT((DAY(Sales!$AF$1)-1)/2)+'Cash Drivers'!AF$13,0)=EOMONTH($BY$1,0),Sales!AF$6*Sales!AF$7,0)+IF(EOMONTH(DATE(YEAR(Sales!$AC$1),MONTH(Sales!$AC$1),1)+INT((DAY(Sales!$AC$1)-1)/2)+'Cash Drivers'!AC$13,0)=EOMONTH($BY$1,0),Sales!AC$6*Sales!AC$7,0)+IF(EOMONTH(DATE(YEAR(Sales!$Z$1),MONTH(Sales!$Z$1),1)+INT((DAY(Sales!$Z$1)-1)/2)+'Cash Drivers'!Z$13,0)=EOMONTH($BY$1,0),Sales!Z$6*Sales!Z$7,0)+IF(EOMONTH(DATE(YEAR(Sales!$W$1),MONTH(Sales!$W$1),1)+INT((DAY(Sales!$W$1)-1)/2)+'Cash Drivers'!W$13,0)=EOMONTH($BY$1,0),Sales!W$6*Sales!W$7,0)+IF(EOMONTH(DATE(YEAR(Sales!$T$1),MONTH(Sales!$T$1),1)+INT((DAY(Sales!$T$1)-1)/2)+'Cash Drivers'!T$13,0)=EOMONTH($BY$1,0),Sales!T$6*Sales!T$7,0)+IF(EOMONTH(DATE(YEAR(Sales!$Q$1),MONTH(Sales!$Q$1),1)+INT((DAY(Sales!$Q$1)-1)/2)+'Cash Drivers'!Q$13,0)=EOMONTH($BY$1,0),Sales!Q$6*Sales!Q$7,0)+IF(EOMONTH(DATE(YEAR(Sales!$N$1),MONTH(Sales!$N$1),1)+INT((DAY(Sales!$N$1)-1)/2)+'Cash Drivers'!N$13,0)=EOMONTH($BY$1,0),Sales!N$6*Sales!N$7,0)+IF(EOMONTH(DATE(YEAR(Sales!$K$1),MONTH(Sales!$K$1),1)+INT((DAY(Sales!$K$1)-1)/2)+'Cash Drivers'!K$13,0)=EOMONTH($BY$1,0),Sales!K$6*Sales!K$7,0)+IF(EOMONTH('Cash Drivers'!$DL$30+'Cash Drivers'!DL$13,0)=EOMONTH($BY$1,0),'Cash Drivers'!$DL$32*Sales!$DL$60,0),0)</f>
        <v>0</v>
      </c>
      <c r="BZ24" s="59" t="n">
        <f aca="false">ROUND(IF(EOMONTH(DATE(YEAR(Sales!$DL$1),MONTH(Sales!$DL$1),1)+INT((DAY(Sales!$DL$1)-1)/2)+'Cash Drivers'!DM$13,0)=EOMONTH($BY$1,0),Sales!DM$6*Sales!DM$7,0)+IF(EOMONTH(DATE(YEAR(Sales!$DI$1),MONTH(Sales!$DI$1),1)+INT((DAY(Sales!$DI$1)-1)/2)+'Cash Drivers'!DJ$13,0)=EOMONTH($BY$1,0),Sales!DJ$6*Sales!DJ$7,0)+IF(EOMONTH(DATE(YEAR(Sales!$DF$1),MONTH(Sales!$DF$1),1)+INT((DAY(Sales!$DF$1)-1)/2)+'Cash Drivers'!DG$13,0)=EOMONTH($BY$1,0),Sales!DG$6*Sales!DG$7,0)+IF(EOMONTH(DATE(YEAR(Sales!$DC$1),MONTH(Sales!$DC$1),1)+INT((DAY(Sales!$DC$1)-1)/2)+'Cash Drivers'!DD$13,0)=EOMONTH($BY$1,0),Sales!DD$6*Sales!DD$7,0)+IF(EOMONTH(DATE(YEAR(Sales!$CZ$1),MONTH(Sales!$CZ$1),1)+INT((DAY(Sales!$CZ$1)-1)/2)+'Cash Drivers'!DA$13,0)=EOMONTH($BY$1,0),Sales!DA$6*Sales!DA$7,0)+IF(EOMONTH(DATE(YEAR(Sales!$CW$1),MONTH(Sales!$CW$1),1)+INT((DAY(Sales!$CW$1)-1)/2)+'Cash Drivers'!CX$13,0)=EOMONTH($BY$1,0),Sales!CX$6*Sales!CX$7,0)+IF(EOMONTH(DATE(YEAR(Sales!$CT$1),MONTH(Sales!$CT$1),1)+INT((DAY(Sales!$CT$1)-1)/2)+'Cash Drivers'!CU$13,0)=EOMONTH($BY$1,0),Sales!CU$6*Sales!CU$7,0)+IF(EOMONTH(DATE(YEAR(Sales!$CQ$1),MONTH(Sales!$CQ$1),1)+INT((DAY(Sales!$CQ$1)-1)/2)+'Cash Drivers'!CR$13,0)=EOMONTH($BY$1,0),Sales!CR$6*Sales!CR$7,0)+IF(EOMONTH(DATE(YEAR(Sales!$CN$1),MONTH(Sales!$CN$1),1)+INT((DAY(Sales!$CN$1)-1)/2)+'Cash Drivers'!CO$13,0)=EOMONTH($BY$1,0),Sales!CO$6*Sales!CO$7,0)+IF(EOMONTH(DATE(YEAR(Sales!$CK$1),MONTH(Sales!$CK$1),1)+INT((DAY(Sales!$CK$1)-1)/2)+'Cash Drivers'!CL$13,0)=EOMONTH($BY$1,0),Sales!CL$6*Sales!CL$7,0)+IF(EOMONTH(DATE(YEAR(Sales!$CH$1),MONTH(Sales!$CH$1),1)+INT((DAY(Sales!$CH$1)-1)/2)+'Cash Drivers'!CI$13,0)=EOMONTH($BY$1,0),Sales!CI$6*Sales!CI$7,0)+IF(EOMONTH(DATE(YEAR(Sales!$CE$1),MONTH(Sales!$CE$1),1)+INT((DAY(Sales!$CE$1)-1)/2)+'Cash Drivers'!CF$13,0)=EOMONTH($BY$1,0),Sales!CF$6*Sales!CF$7,0)+IF(EOMONTH(DATE(YEAR(Sales!$CB$1),MONTH(Sales!$CB$1),1)+INT((DAY(Sales!$CB$1)-1)/2)+'Cash Drivers'!CC$13,0)=EOMONTH($BY$1,0),Sales!CC$6*Sales!CC$7,0)+IF(EOMONTH(DATE(YEAR(Sales!$BY$1),MONTH(Sales!$BY$1),1)+INT((DAY(Sales!$BY$1)-1)/2)+'Cash Drivers'!BZ$13,0)=EOMONTH($BY$1,0),Sales!BZ$6*Sales!BZ$7,0)+IF(EOMONTH(DATE(YEAR(Sales!$BV$1),MONTH(Sales!$BV$1),1)+INT((DAY(Sales!$BV$1)-1)/2)+'Cash Drivers'!BW$13,0)=EOMONTH($BY$1,0),Sales!BW$6*Sales!BW$7,0)+IF(EOMONTH(DATE(YEAR(Sales!$BS$1),MONTH(Sales!$BS$1),1)+INT((DAY(Sales!$BS$1)-1)/2)+'Cash Drivers'!BT$13,0)=EOMONTH($BY$1,0),Sales!BT$6*Sales!BT$7,0)+IF(EOMONTH(DATE(YEAR(Sales!$BP$1),MONTH(Sales!$BP$1),1)+INT((DAY(Sales!$BP$1)-1)/2)+'Cash Drivers'!BQ$13,0)=EOMONTH($BY$1,0),Sales!BQ$6*Sales!BQ$7,0)+IF(EOMONTH(DATE(YEAR(Sales!$BM$1),MONTH(Sales!$BM$1),1)+INT((DAY(Sales!$BM$1)-1)/2)+'Cash Drivers'!BN$13,0)=EOMONTH($BY$1,0),Sales!BN$6*Sales!BN$7,0)+IF(EOMONTH(DATE(YEAR(Sales!$BJ$1),MONTH(Sales!$BJ$1),1)+INT((DAY(Sales!$BJ$1)-1)/2)+'Cash Drivers'!BK$13,0)=EOMONTH($BY$1,0),Sales!BK$6*Sales!BK$7,0)+IF(EOMONTH(DATE(YEAR(Sales!$BG$1),MONTH(Sales!$BG$1),1)+INT((DAY(Sales!$BG$1)-1)/2)+'Cash Drivers'!BH$13,0)=EOMONTH($BY$1,0),Sales!BH$6*Sales!BH$7,0)+IF(EOMONTH(DATE(YEAR(Sales!$BD$1),MONTH(Sales!$BD$1),1)+INT((DAY(Sales!$BD$1)-1)/2)+'Cash Drivers'!BE$13,0)=EOMONTH($BY$1,0),Sales!BE$6*Sales!BE$7,0)+IF(EOMONTH(DATE(YEAR(Sales!$BA$1),MONTH(Sales!$BA$1),1)+INT((DAY(Sales!$BA$1)-1)/2)+'Cash Drivers'!BB$13,0)=EOMONTH($BY$1,0),Sales!BB$6*Sales!BB$7,0)+IF(EOMONTH(DATE(YEAR(Sales!$AX$1),MONTH(Sales!$AX$1),1)+INT((DAY(Sales!$AX$1)-1)/2)+'Cash Drivers'!AY$13,0)=EOMONTH($BY$1,0),Sales!AY$6*Sales!AY$7,0)+IF(EOMONTH(DATE(YEAR(Sales!$AU$1),MONTH(Sales!$AU$1),1)+INT((DAY(Sales!$AU$1)-1)/2)+'Cash Drivers'!AV$13,0)=EOMONTH($BY$1,0),Sales!AV$6*Sales!AV$7,0)+IF(EOMONTH(DATE(YEAR(Sales!$AR$1),MONTH(Sales!$AR$1),1)+INT((DAY(Sales!$AR$1)-1)/2)+'Cash Drivers'!AS$13,0)=EOMONTH($BY$1,0),Sales!AS$6*Sales!AS$7,0)+IF(EOMONTH(DATE(YEAR(Sales!$AO$1),MONTH(Sales!$AO$1),1)+INT((DAY(Sales!$AO$1)-1)/2)+'Cash Drivers'!AP$13,0)=EOMONTH($BY$1,0),Sales!AP$6*Sales!AP$7,0)+IF(EOMONTH(DATE(YEAR(Sales!$AL$1),MONTH(Sales!$AL$1),1)+INT((DAY(Sales!$AL$1)-1)/2)+'Cash Drivers'!AM$13,0)=EOMONTH($BY$1,0),Sales!AM$6*Sales!AM$7,0)+IF(EOMONTH(DATE(YEAR(Sales!$AI$1),MONTH(Sales!$AI$1),1)+INT((DAY(Sales!$AI$1)-1)/2)+'Cash Drivers'!AJ$13,0)=EOMONTH($BY$1,0),Sales!AJ$6*Sales!AJ$7,0)+IF(EOMONTH(DATE(YEAR(Sales!$AF$1),MONTH(Sales!$AF$1),1)+INT((DAY(Sales!$AF$1)-1)/2)+'Cash Drivers'!AG$13,0)=EOMONTH($BY$1,0),Sales!AG$6*Sales!AG$7,0)+IF(EOMONTH(DATE(YEAR(Sales!$AC$1),MONTH(Sales!$AC$1),1)+INT((DAY(Sales!$AC$1)-1)/2)+'Cash Drivers'!AD$13,0)=EOMONTH($BY$1,0),Sales!AD$6*Sales!AD$7,0)+IF(EOMONTH(DATE(YEAR(Sales!$Z$1),MONTH(Sales!$Z$1),1)+INT((DAY(Sales!$Z$1)-1)/2)+'Cash Drivers'!AA$13,0)=EOMONTH($BY$1,0),Sales!AA$6*Sales!AA$7,0)+IF(EOMONTH(DATE(YEAR(Sales!$W$1),MONTH(Sales!$W$1),1)+INT((DAY(Sales!$W$1)-1)/2)+'Cash Drivers'!X$13,0)=EOMONTH($BY$1,0),Sales!X$6*Sales!X$7,0)+IF(EOMONTH(DATE(YEAR(Sales!$T$1),MONTH(Sales!$T$1),1)+INT((DAY(Sales!$T$1)-1)/2)+'Cash Drivers'!U$13,0)=EOMONTH($BY$1,0),Sales!U$6*Sales!U$7,0)+IF(EOMONTH(DATE(YEAR(Sales!$Q$1),MONTH(Sales!$Q$1),1)+INT((DAY(Sales!$Q$1)-1)/2)+'Cash Drivers'!R$13,0)=EOMONTH($BY$1,0),Sales!R$6*Sales!R$7,0)+IF(EOMONTH(DATE(YEAR(Sales!$N$1),MONTH(Sales!$N$1),1)+INT((DAY(Sales!$N$1)-1)/2)+'Cash Drivers'!O$13,0)=EOMONTH($BY$1,0),Sales!O$6*Sales!O$7,0)+IF(EOMONTH(DATE(YEAR(Sales!$K$1),MONTH(Sales!$K$1),1)+INT((DAY(Sales!$K$1)-1)/2)+'Cash Drivers'!L$13,0)=EOMONTH($BY$1,0),Sales!L$6*Sales!L$7,0)+IF(EOMONTH('Cash Drivers'!$DL$30+'Cash Drivers'!DM$13,0)=EOMONTH($BY$1,0),'Cash Drivers'!$DL$32*Sales!$DL$60,0),0)</f>
        <v>23427</v>
      </c>
      <c r="CA24" s="60" t="n">
        <f aca="false">ROUND(IF(EOMONTH(DATE(YEAR(Sales!$DL$1),MONTH(Sales!$DL$1),1)+INT((DAY(Sales!$DL$1)-1)/2)+'Cash Drivers'!DN$13,0)=EOMONTH($BY$1,0),Sales!DN$6*Sales!DN$7,0)+IF(EOMONTH(DATE(YEAR(Sales!$DI$1),MONTH(Sales!$DI$1),1)+INT((DAY(Sales!$DI$1)-1)/2)+'Cash Drivers'!DK$13,0)=EOMONTH($BY$1,0),Sales!DK$6*Sales!DK$7,0)+IF(EOMONTH(DATE(YEAR(Sales!$DF$1),MONTH(Sales!$DF$1),1)+INT((DAY(Sales!$DF$1)-1)/2)+'Cash Drivers'!DH$13,0)=EOMONTH($BY$1,0),Sales!DH$6*Sales!DH$7,0)+IF(EOMONTH(DATE(YEAR(Sales!$DC$1),MONTH(Sales!$DC$1),1)+INT((DAY(Sales!$DC$1)-1)/2)+'Cash Drivers'!DE$13,0)=EOMONTH($BY$1,0),Sales!DE$6*Sales!DE$7,0)+IF(EOMONTH(DATE(YEAR(Sales!$CZ$1),MONTH(Sales!$CZ$1),1)+INT((DAY(Sales!$CZ$1)-1)/2)+'Cash Drivers'!DB$13,0)=EOMONTH($BY$1,0),Sales!DB$6*Sales!DB$7,0)+IF(EOMONTH(DATE(YEAR(Sales!$CW$1),MONTH(Sales!$CW$1),1)+INT((DAY(Sales!$CW$1)-1)/2)+'Cash Drivers'!CY$13,0)=EOMONTH($BY$1,0),Sales!CY$6*Sales!CY$7,0)+IF(EOMONTH(DATE(YEAR(Sales!$CT$1),MONTH(Sales!$CT$1),1)+INT((DAY(Sales!$CT$1)-1)/2)+'Cash Drivers'!CV$13,0)=EOMONTH($BY$1,0),Sales!CV$6*Sales!CV$7,0)+IF(EOMONTH(DATE(YEAR(Sales!$CQ$1),MONTH(Sales!$CQ$1),1)+INT((DAY(Sales!$CQ$1)-1)/2)+'Cash Drivers'!CS$13,0)=EOMONTH($BY$1,0),Sales!CS$6*Sales!CS$7,0)+IF(EOMONTH(DATE(YEAR(Sales!$CN$1),MONTH(Sales!$CN$1),1)+INT((DAY(Sales!$CN$1)-1)/2)+'Cash Drivers'!CP$13,0)=EOMONTH($BY$1,0),Sales!CP$6*Sales!CP$7,0)+IF(EOMONTH(DATE(YEAR(Sales!$CK$1),MONTH(Sales!$CK$1),1)+INT((DAY(Sales!$CK$1)-1)/2)+'Cash Drivers'!CM$13,0)=EOMONTH($BY$1,0),Sales!CM$6*Sales!CM$7,0)+IF(EOMONTH(DATE(YEAR(Sales!$CH$1),MONTH(Sales!$CH$1),1)+INT((DAY(Sales!$CH$1)-1)/2)+'Cash Drivers'!CJ$13,0)=EOMONTH($BY$1,0),Sales!CJ$6*Sales!CJ$7,0)+IF(EOMONTH(DATE(YEAR(Sales!$CE$1),MONTH(Sales!$CE$1),1)+INT((DAY(Sales!$CE$1)-1)/2)+'Cash Drivers'!CG$13,0)=EOMONTH($BY$1,0),Sales!CG$6*Sales!CG$7,0)+IF(EOMONTH(DATE(YEAR(Sales!$CB$1),MONTH(Sales!$CB$1),1)+INT((DAY(Sales!$CB$1)-1)/2)+'Cash Drivers'!CD$13,0)=EOMONTH($BY$1,0),Sales!CD$6*Sales!CD$7,0)+IF(EOMONTH(DATE(YEAR(Sales!$BY$1),MONTH(Sales!$BY$1),1)+INT((DAY(Sales!$BY$1)-1)/2)+'Cash Drivers'!CA$13,0)=EOMONTH($BY$1,0),Sales!CA$6*Sales!CA$7,0)+IF(EOMONTH(DATE(YEAR(Sales!$BV$1),MONTH(Sales!$BV$1),1)+INT((DAY(Sales!$BV$1)-1)/2)+'Cash Drivers'!BX$13,0)=EOMONTH($BY$1,0),Sales!BX$6*Sales!BX$7,0)+IF(EOMONTH(DATE(YEAR(Sales!$BS$1),MONTH(Sales!$BS$1),1)+INT((DAY(Sales!$BS$1)-1)/2)+'Cash Drivers'!BU$13,0)=EOMONTH($BY$1,0),Sales!BU$6*Sales!BU$7,0)+IF(EOMONTH(DATE(YEAR(Sales!$BP$1),MONTH(Sales!$BP$1),1)+INT((DAY(Sales!$BP$1)-1)/2)+'Cash Drivers'!BR$13,0)=EOMONTH($BY$1,0),Sales!BR$6*Sales!BR$7,0)+IF(EOMONTH(DATE(YEAR(Sales!$BM$1),MONTH(Sales!$BM$1),1)+INT((DAY(Sales!$BM$1)-1)/2)+'Cash Drivers'!BO$13,0)=EOMONTH($BY$1,0),Sales!BO$6*Sales!BO$7,0)+IF(EOMONTH(DATE(YEAR(Sales!$BJ$1),MONTH(Sales!$BJ$1),1)+INT((DAY(Sales!$BJ$1)-1)/2)+'Cash Drivers'!BL$13,0)=EOMONTH($BY$1,0),Sales!BL$6*Sales!BL$7,0)+IF(EOMONTH(DATE(YEAR(Sales!$BG$1),MONTH(Sales!$BG$1),1)+INT((DAY(Sales!$BG$1)-1)/2)+'Cash Drivers'!BI$13,0)=EOMONTH($BY$1,0),Sales!BI$6*Sales!BI$7,0)+IF(EOMONTH(DATE(YEAR(Sales!$BD$1),MONTH(Sales!$BD$1),1)+INT((DAY(Sales!$BD$1)-1)/2)+'Cash Drivers'!BF$13,0)=EOMONTH($BY$1,0),Sales!BF$6*Sales!BF$7,0)+IF(EOMONTH(DATE(YEAR(Sales!$BA$1),MONTH(Sales!$BA$1),1)+INT((DAY(Sales!$BA$1)-1)/2)+'Cash Drivers'!BC$13,0)=EOMONTH($BY$1,0),Sales!BC$6*Sales!BC$7,0)+IF(EOMONTH(DATE(YEAR(Sales!$AX$1),MONTH(Sales!$AX$1),1)+INT((DAY(Sales!$AX$1)-1)/2)+'Cash Drivers'!AZ$13,0)=EOMONTH($BY$1,0),Sales!AZ$6*Sales!AZ$7,0)+IF(EOMONTH(DATE(YEAR(Sales!$AU$1),MONTH(Sales!$AU$1),1)+INT((DAY(Sales!$AU$1)-1)/2)+'Cash Drivers'!AW$13,0)=EOMONTH($BY$1,0),Sales!AW$6*Sales!AW$7,0)+IF(EOMONTH(DATE(YEAR(Sales!$AR$1),MONTH(Sales!$AR$1),1)+INT((DAY(Sales!$AR$1)-1)/2)+'Cash Drivers'!AT$13,0)=EOMONTH($BY$1,0),Sales!AT$6*Sales!AT$7,0)+IF(EOMONTH(DATE(YEAR(Sales!$AO$1),MONTH(Sales!$AO$1),1)+INT((DAY(Sales!$AO$1)-1)/2)+'Cash Drivers'!AQ$13,0)=EOMONTH($BY$1,0),Sales!AQ$6*Sales!AQ$7,0)+IF(EOMONTH(DATE(YEAR(Sales!$AL$1),MONTH(Sales!$AL$1),1)+INT((DAY(Sales!$AL$1)-1)/2)+'Cash Drivers'!AN$13,0)=EOMONTH($BY$1,0),Sales!AN$6*Sales!AN$7,0)+IF(EOMONTH(DATE(YEAR(Sales!$AI$1),MONTH(Sales!$AI$1),1)+INT((DAY(Sales!$AI$1)-1)/2)+'Cash Drivers'!AK$13,0)=EOMONTH($BY$1,0),Sales!AK$6*Sales!AK$7,0)+IF(EOMONTH(DATE(YEAR(Sales!$AF$1),MONTH(Sales!$AF$1),1)+INT((DAY(Sales!$AF$1)-1)/2)+'Cash Drivers'!AH$13,0)=EOMONTH($BY$1,0),Sales!AH$6*Sales!AH$7,0)+IF(EOMONTH(DATE(YEAR(Sales!$AC$1),MONTH(Sales!$AC$1),1)+INT((DAY(Sales!$AC$1)-1)/2)+'Cash Drivers'!AE$13,0)=EOMONTH($BY$1,0),Sales!AE$6*Sales!AE$7,0)+IF(EOMONTH(DATE(YEAR(Sales!$Z$1),MONTH(Sales!$Z$1),1)+INT((DAY(Sales!$Z$1)-1)/2)+'Cash Drivers'!AB$13,0)=EOMONTH($BY$1,0),Sales!AB$6*Sales!AB$7,0)+IF(EOMONTH(DATE(YEAR(Sales!$W$1),MONTH(Sales!$W$1),1)+INT((DAY(Sales!$W$1)-1)/2)+'Cash Drivers'!Y$13,0)=EOMONTH($BY$1,0),Sales!Y$6*Sales!Y$7,0)+IF(EOMONTH(DATE(YEAR(Sales!$T$1),MONTH(Sales!$T$1),1)+INT((DAY(Sales!$T$1)-1)/2)+'Cash Drivers'!V$13,0)=EOMONTH($BY$1,0),Sales!V$6*Sales!V$7,0)+IF(EOMONTH(DATE(YEAR(Sales!$Q$1),MONTH(Sales!$Q$1),1)+INT((DAY(Sales!$Q$1)-1)/2)+'Cash Drivers'!S$13,0)=EOMONTH($BY$1,0),Sales!S$6*Sales!S$7,0)+IF(EOMONTH(DATE(YEAR(Sales!$N$1),MONTH(Sales!$N$1),1)+INT((DAY(Sales!$N$1)-1)/2)+'Cash Drivers'!P$13,0)=EOMONTH($BY$1,0),Sales!P$6*Sales!P$7,0)+IF(EOMONTH(DATE(YEAR(Sales!$K$1),MONTH(Sales!$K$1),1)+INT((DAY(Sales!$K$1)-1)/2)+'Cash Drivers'!M$13,0)=EOMONTH($BY$1,0),Sales!M$6*Sales!M$7,0)+IF(EOMONTH('Cash Drivers'!$DL$30+'Cash Drivers'!DN$13,0)=EOMONTH($BY$1,0),'Cash Drivers'!$DL$32*Sales!$DL$60,0),0)</f>
        <v>23484</v>
      </c>
      <c r="CB24" s="58" t="n">
        <f aca="false">ROUND(IF(EOMONTH(DATE(YEAR(Sales!$DL$1),MONTH(Sales!$DL$1),1)+INT((DAY(Sales!$DL$1)-1)/2)+'Cash Drivers'!DL$13,0)=EOMONTH($CB$1,0),Sales!DL$6*Sales!DL$7,0)+IF(EOMONTH(DATE(YEAR(Sales!$DI$1),MONTH(Sales!$DI$1),1)+INT((DAY(Sales!$DI$1)-1)/2)+'Cash Drivers'!DI$13,0)=EOMONTH($CB$1,0),Sales!DI$6*Sales!DI$7,0)+IF(EOMONTH(DATE(YEAR(Sales!$DF$1),MONTH(Sales!$DF$1),1)+INT((DAY(Sales!$DF$1)-1)/2)+'Cash Drivers'!DF$13,0)=EOMONTH($CB$1,0),Sales!DF$6*Sales!DF$7,0)+IF(EOMONTH(DATE(YEAR(Sales!$DC$1),MONTH(Sales!$DC$1),1)+INT((DAY(Sales!$DC$1)-1)/2)+'Cash Drivers'!DC$13,0)=EOMONTH($CB$1,0),Sales!DC$6*Sales!DC$7,0)+IF(EOMONTH(DATE(YEAR(Sales!$CZ$1),MONTH(Sales!$CZ$1),1)+INT((DAY(Sales!$CZ$1)-1)/2)+'Cash Drivers'!CZ$13,0)=EOMONTH($CB$1,0),Sales!CZ$6*Sales!CZ$7,0)+IF(EOMONTH(DATE(YEAR(Sales!$CW$1),MONTH(Sales!$CW$1),1)+INT((DAY(Sales!$CW$1)-1)/2)+'Cash Drivers'!CW$13,0)=EOMONTH($CB$1,0),Sales!CW$6*Sales!CW$7,0)+IF(EOMONTH(DATE(YEAR(Sales!$CT$1),MONTH(Sales!$CT$1),1)+INT((DAY(Sales!$CT$1)-1)/2)+'Cash Drivers'!CT$13,0)=EOMONTH($CB$1,0),Sales!CT$6*Sales!CT$7,0)+IF(EOMONTH(DATE(YEAR(Sales!$CQ$1),MONTH(Sales!$CQ$1),1)+INT((DAY(Sales!$CQ$1)-1)/2)+'Cash Drivers'!CQ$13,0)=EOMONTH($CB$1,0),Sales!CQ$6*Sales!CQ$7,0)+IF(EOMONTH(DATE(YEAR(Sales!$CN$1),MONTH(Sales!$CN$1),1)+INT((DAY(Sales!$CN$1)-1)/2)+'Cash Drivers'!CN$13,0)=EOMONTH($CB$1,0),Sales!CN$6*Sales!CN$7,0)+IF(EOMONTH(DATE(YEAR(Sales!$CK$1),MONTH(Sales!$CK$1),1)+INT((DAY(Sales!$CK$1)-1)/2)+'Cash Drivers'!CK$13,0)=EOMONTH($CB$1,0),Sales!CK$6*Sales!CK$7,0)+IF(EOMONTH(DATE(YEAR(Sales!$CH$1),MONTH(Sales!$CH$1),1)+INT((DAY(Sales!$CH$1)-1)/2)+'Cash Drivers'!CH$13,0)=EOMONTH($CB$1,0),Sales!CH$6*Sales!CH$7,0)+IF(EOMONTH(DATE(YEAR(Sales!$CE$1),MONTH(Sales!$CE$1),1)+INT((DAY(Sales!$CE$1)-1)/2)+'Cash Drivers'!CE$13,0)=EOMONTH($CB$1,0),Sales!CE$6*Sales!CE$7,0)+IF(EOMONTH(DATE(YEAR(Sales!$CB$1),MONTH(Sales!$CB$1),1)+INT((DAY(Sales!$CB$1)-1)/2)+'Cash Drivers'!CB$13,0)=EOMONTH($CB$1,0),Sales!CB$6*Sales!CB$7,0)+IF(EOMONTH(DATE(YEAR(Sales!$BY$1),MONTH(Sales!$BY$1),1)+INT((DAY(Sales!$BY$1)-1)/2)+'Cash Drivers'!BY$13,0)=EOMONTH($CB$1,0),Sales!BY$6*Sales!BY$7,0)+IF(EOMONTH(DATE(YEAR(Sales!$BV$1),MONTH(Sales!$BV$1),1)+INT((DAY(Sales!$BV$1)-1)/2)+'Cash Drivers'!BV$13,0)=EOMONTH($CB$1,0),Sales!BV$6*Sales!BV$7,0)+IF(EOMONTH(DATE(YEAR(Sales!$BS$1),MONTH(Sales!$BS$1),1)+INT((DAY(Sales!$BS$1)-1)/2)+'Cash Drivers'!BS$13,0)=EOMONTH($CB$1,0),Sales!BS$6*Sales!BS$7,0)+IF(EOMONTH(DATE(YEAR(Sales!$BP$1),MONTH(Sales!$BP$1),1)+INT((DAY(Sales!$BP$1)-1)/2)+'Cash Drivers'!BP$13,0)=EOMONTH($CB$1,0),Sales!BP$6*Sales!BP$7,0)+IF(EOMONTH(DATE(YEAR(Sales!$BM$1),MONTH(Sales!$BM$1),1)+INT((DAY(Sales!$BM$1)-1)/2)+'Cash Drivers'!BM$13,0)=EOMONTH($CB$1,0),Sales!BM$6*Sales!BM$7,0)+IF(EOMONTH(DATE(YEAR(Sales!$BJ$1),MONTH(Sales!$BJ$1),1)+INT((DAY(Sales!$BJ$1)-1)/2)+'Cash Drivers'!BJ$13,0)=EOMONTH($CB$1,0),Sales!BJ$6*Sales!BJ$7,0)+IF(EOMONTH(DATE(YEAR(Sales!$BG$1),MONTH(Sales!$BG$1),1)+INT((DAY(Sales!$BG$1)-1)/2)+'Cash Drivers'!BG$13,0)=EOMONTH($CB$1,0),Sales!BG$6*Sales!BG$7,0)+IF(EOMONTH(DATE(YEAR(Sales!$BD$1),MONTH(Sales!$BD$1),1)+INT((DAY(Sales!$BD$1)-1)/2)+'Cash Drivers'!BD$13,0)=EOMONTH($CB$1,0),Sales!BD$6*Sales!BD$7,0)+IF(EOMONTH(DATE(YEAR(Sales!$BA$1),MONTH(Sales!$BA$1),1)+INT((DAY(Sales!$BA$1)-1)/2)+'Cash Drivers'!BA$13,0)=EOMONTH($CB$1,0),Sales!BA$6*Sales!BA$7,0)+IF(EOMONTH(DATE(YEAR(Sales!$AX$1),MONTH(Sales!$AX$1),1)+INT((DAY(Sales!$AX$1)-1)/2)+'Cash Drivers'!AX$13,0)=EOMONTH($CB$1,0),Sales!AX$6*Sales!AX$7,0)+IF(EOMONTH(DATE(YEAR(Sales!$AU$1),MONTH(Sales!$AU$1),1)+INT((DAY(Sales!$AU$1)-1)/2)+'Cash Drivers'!AU$13,0)=EOMONTH($CB$1,0),Sales!AU$6*Sales!AU$7,0)+IF(EOMONTH(DATE(YEAR(Sales!$AR$1),MONTH(Sales!$AR$1),1)+INT((DAY(Sales!$AR$1)-1)/2)+'Cash Drivers'!AR$13,0)=EOMONTH($CB$1,0),Sales!AR$6*Sales!AR$7,0)+IF(EOMONTH(DATE(YEAR(Sales!$AO$1),MONTH(Sales!$AO$1),1)+INT((DAY(Sales!$AO$1)-1)/2)+'Cash Drivers'!AO$13,0)=EOMONTH($CB$1,0),Sales!AO$6*Sales!AO$7,0)+IF(EOMONTH(DATE(YEAR(Sales!$AL$1),MONTH(Sales!$AL$1),1)+INT((DAY(Sales!$AL$1)-1)/2)+'Cash Drivers'!AL$13,0)=EOMONTH($CB$1,0),Sales!AL$6*Sales!AL$7,0)+IF(EOMONTH(DATE(YEAR(Sales!$AI$1),MONTH(Sales!$AI$1),1)+INT((DAY(Sales!$AI$1)-1)/2)+'Cash Drivers'!AI$13,0)=EOMONTH($CB$1,0),Sales!AI$6*Sales!AI$7,0)+IF(EOMONTH(DATE(YEAR(Sales!$AF$1),MONTH(Sales!$AF$1),1)+INT((DAY(Sales!$AF$1)-1)/2)+'Cash Drivers'!AF$13,0)=EOMONTH($CB$1,0),Sales!AF$6*Sales!AF$7,0)+IF(EOMONTH(DATE(YEAR(Sales!$AC$1),MONTH(Sales!$AC$1),1)+INT((DAY(Sales!$AC$1)-1)/2)+'Cash Drivers'!AC$13,0)=EOMONTH($CB$1,0),Sales!AC$6*Sales!AC$7,0)+IF(EOMONTH(DATE(YEAR(Sales!$Z$1),MONTH(Sales!$Z$1),1)+INT((DAY(Sales!$Z$1)-1)/2)+'Cash Drivers'!Z$13,0)=EOMONTH($CB$1,0),Sales!Z$6*Sales!Z$7,0)+IF(EOMONTH(DATE(YEAR(Sales!$W$1),MONTH(Sales!$W$1),1)+INT((DAY(Sales!$W$1)-1)/2)+'Cash Drivers'!W$13,0)=EOMONTH($CB$1,0),Sales!W$6*Sales!W$7,0)+IF(EOMONTH(DATE(YEAR(Sales!$T$1),MONTH(Sales!$T$1),1)+INT((DAY(Sales!$T$1)-1)/2)+'Cash Drivers'!T$13,0)=EOMONTH($CB$1,0),Sales!T$6*Sales!T$7,0)+IF(EOMONTH(DATE(YEAR(Sales!$Q$1),MONTH(Sales!$Q$1),1)+INT((DAY(Sales!$Q$1)-1)/2)+'Cash Drivers'!Q$13,0)=EOMONTH($CB$1,0),Sales!Q$6*Sales!Q$7,0)+IF(EOMONTH(DATE(YEAR(Sales!$N$1),MONTH(Sales!$N$1),1)+INT((DAY(Sales!$N$1)-1)/2)+'Cash Drivers'!N$13,0)=EOMONTH($CB$1,0),Sales!N$6*Sales!N$7,0)+IF(EOMONTH(DATE(YEAR(Sales!$K$1),MONTH(Sales!$K$1),1)+INT((DAY(Sales!$K$1)-1)/2)+'Cash Drivers'!K$13,0)=EOMONTH($CB$1,0),Sales!K$6*Sales!K$7,0)+IF(EOMONTH('Cash Drivers'!$DL$30+'Cash Drivers'!DL$13,0)=EOMONTH($CB$1,0),'Cash Drivers'!$DL$32*Sales!$DL$60,0),0)</f>
        <v>0</v>
      </c>
      <c r="CC24" s="59" t="n">
        <f aca="false">ROUND(IF(EOMONTH(DATE(YEAR(Sales!$DL$1),MONTH(Sales!$DL$1),1)+INT((DAY(Sales!$DL$1)-1)/2)+'Cash Drivers'!DM$13,0)=EOMONTH($CB$1,0),Sales!DM$6*Sales!DM$7,0)+IF(EOMONTH(DATE(YEAR(Sales!$DI$1),MONTH(Sales!$DI$1),1)+INT((DAY(Sales!$DI$1)-1)/2)+'Cash Drivers'!DJ$13,0)=EOMONTH($CB$1,0),Sales!DJ$6*Sales!DJ$7,0)+IF(EOMONTH(DATE(YEAR(Sales!$DF$1),MONTH(Sales!$DF$1),1)+INT((DAY(Sales!$DF$1)-1)/2)+'Cash Drivers'!DG$13,0)=EOMONTH($CB$1,0),Sales!DG$6*Sales!DG$7,0)+IF(EOMONTH(DATE(YEAR(Sales!$DC$1),MONTH(Sales!$DC$1),1)+INT((DAY(Sales!$DC$1)-1)/2)+'Cash Drivers'!DD$13,0)=EOMONTH($CB$1,0),Sales!DD$6*Sales!DD$7,0)+IF(EOMONTH(DATE(YEAR(Sales!$CZ$1),MONTH(Sales!$CZ$1),1)+INT((DAY(Sales!$CZ$1)-1)/2)+'Cash Drivers'!DA$13,0)=EOMONTH($CB$1,0),Sales!DA$6*Sales!DA$7,0)+IF(EOMONTH(DATE(YEAR(Sales!$CW$1),MONTH(Sales!$CW$1),1)+INT((DAY(Sales!$CW$1)-1)/2)+'Cash Drivers'!CX$13,0)=EOMONTH($CB$1,0),Sales!CX$6*Sales!CX$7,0)+IF(EOMONTH(DATE(YEAR(Sales!$CT$1),MONTH(Sales!$CT$1),1)+INT((DAY(Sales!$CT$1)-1)/2)+'Cash Drivers'!CU$13,0)=EOMONTH($CB$1,0),Sales!CU$6*Sales!CU$7,0)+IF(EOMONTH(DATE(YEAR(Sales!$CQ$1),MONTH(Sales!$CQ$1),1)+INT((DAY(Sales!$CQ$1)-1)/2)+'Cash Drivers'!CR$13,0)=EOMONTH($CB$1,0),Sales!CR$6*Sales!CR$7,0)+IF(EOMONTH(DATE(YEAR(Sales!$CN$1),MONTH(Sales!$CN$1),1)+INT((DAY(Sales!$CN$1)-1)/2)+'Cash Drivers'!CO$13,0)=EOMONTH($CB$1,0),Sales!CO$6*Sales!CO$7,0)+IF(EOMONTH(DATE(YEAR(Sales!$CK$1),MONTH(Sales!$CK$1),1)+INT((DAY(Sales!$CK$1)-1)/2)+'Cash Drivers'!CL$13,0)=EOMONTH($CB$1,0),Sales!CL$6*Sales!CL$7,0)+IF(EOMONTH(DATE(YEAR(Sales!$CH$1),MONTH(Sales!$CH$1),1)+INT((DAY(Sales!$CH$1)-1)/2)+'Cash Drivers'!CI$13,0)=EOMONTH($CB$1,0),Sales!CI$6*Sales!CI$7,0)+IF(EOMONTH(DATE(YEAR(Sales!$CE$1),MONTH(Sales!$CE$1),1)+INT((DAY(Sales!$CE$1)-1)/2)+'Cash Drivers'!CF$13,0)=EOMONTH($CB$1,0),Sales!CF$6*Sales!CF$7,0)+IF(EOMONTH(DATE(YEAR(Sales!$CB$1),MONTH(Sales!$CB$1),1)+INT((DAY(Sales!$CB$1)-1)/2)+'Cash Drivers'!CC$13,0)=EOMONTH($CB$1,0),Sales!CC$6*Sales!CC$7,0)+IF(EOMONTH(DATE(YEAR(Sales!$BY$1),MONTH(Sales!$BY$1),1)+INT((DAY(Sales!$BY$1)-1)/2)+'Cash Drivers'!BZ$13,0)=EOMONTH($CB$1,0),Sales!BZ$6*Sales!BZ$7,0)+IF(EOMONTH(DATE(YEAR(Sales!$BV$1),MONTH(Sales!$BV$1),1)+INT((DAY(Sales!$BV$1)-1)/2)+'Cash Drivers'!BW$13,0)=EOMONTH($CB$1,0),Sales!BW$6*Sales!BW$7,0)+IF(EOMONTH(DATE(YEAR(Sales!$BS$1),MONTH(Sales!$BS$1),1)+INT((DAY(Sales!$BS$1)-1)/2)+'Cash Drivers'!BT$13,0)=EOMONTH($CB$1,0),Sales!BT$6*Sales!BT$7,0)+IF(EOMONTH(DATE(YEAR(Sales!$BP$1),MONTH(Sales!$BP$1),1)+INT((DAY(Sales!$BP$1)-1)/2)+'Cash Drivers'!BQ$13,0)=EOMONTH($CB$1,0),Sales!BQ$6*Sales!BQ$7,0)+IF(EOMONTH(DATE(YEAR(Sales!$BM$1),MONTH(Sales!$BM$1),1)+INT((DAY(Sales!$BM$1)-1)/2)+'Cash Drivers'!BN$13,0)=EOMONTH($CB$1,0),Sales!BN$6*Sales!BN$7,0)+IF(EOMONTH(DATE(YEAR(Sales!$BJ$1),MONTH(Sales!$BJ$1),1)+INT((DAY(Sales!$BJ$1)-1)/2)+'Cash Drivers'!BK$13,0)=EOMONTH($CB$1,0),Sales!BK$6*Sales!BK$7,0)+IF(EOMONTH(DATE(YEAR(Sales!$BG$1),MONTH(Sales!$BG$1),1)+INT((DAY(Sales!$BG$1)-1)/2)+'Cash Drivers'!BH$13,0)=EOMONTH($CB$1,0),Sales!BH$6*Sales!BH$7,0)+IF(EOMONTH(DATE(YEAR(Sales!$BD$1),MONTH(Sales!$BD$1),1)+INT((DAY(Sales!$BD$1)-1)/2)+'Cash Drivers'!BE$13,0)=EOMONTH($CB$1,0),Sales!BE$6*Sales!BE$7,0)+IF(EOMONTH(DATE(YEAR(Sales!$BA$1),MONTH(Sales!$BA$1),1)+INT((DAY(Sales!$BA$1)-1)/2)+'Cash Drivers'!BB$13,0)=EOMONTH($CB$1,0),Sales!BB$6*Sales!BB$7,0)+IF(EOMONTH(DATE(YEAR(Sales!$AX$1),MONTH(Sales!$AX$1),1)+INT((DAY(Sales!$AX$1)-1)/2)+'Cash Drivers'!AY$13,0)=EOMONTH($CB$1,0),Sales!AY$6*Sales!AY$7,0)+IF(EOMONTH(DATE(YEAR(Sales!$AU$1),MONTH(Sales!$AU$1),1)+INT((DAY(Sales!$AU$1)-1)/2)+'Cash Drivers'!AV$13,0)=EOMONTH($CB$1,0),Sales!AV$6*Sales!AV$7,0)+IF(EOMONTH(DATE(YEAR(Sales!$AR$1),MONTH(Sales!$AR$1),1)+INT((DAY(Sales!$AR$1)-1)/2)+'Cash Drivers'!AS$13,0)=EOMONTH($CB$1,0),Sales!AS$6*Sales!AS$7,0)+IF(EOMONTH(DATE(YEAR(Sales!$AO$1),MONTH(Sales!$AO$1),1)+INT((DAY(Sales!$AO$1)-1)/2)+'Cash Drivers'!AP$13,0)=EOMONTH($CB$1,0),Sales!AP$6*Sales!AP$7,0)+IF(EOMONTH(DATE(YEAR(Sales!$AL$1),MONTH(Sales!$AL$1),1)+INT((DAY(Sales!$AL$1)-1)/2)+'Cash Drivers'!AM$13,0)=EOMONTH($CB$1,0),Sales!AM$6*Sales!AM$7,0)+IF(EOMONTH(DATE(YEAR(Sales!$AI$1),MONTH(Sales!$AI$1),1)+INT((DAY(Sales!$AI$1)-1)/2)+'Cash Drivers'!AJ$13,0)=EOMONTH($CB$1,0),Sales!AJ$6*Sales!AJ$7,0)+IF(EOMONTH(DATE(YEAR(Sales!$AF$1),MONTH(Sales!$AF$1),1)+INT((DAY(Sales!$AF$1)-1)/2)+'Cash Drivers'!AG$13,0)=EOMONTH($CB$1,0),Sales!AG$6*Sales!AG$7,0)+IF(EOMONTH(DATE(YEAR(Sales!$AC$1),MONTH(Sales!$AC$1),1)+INT((DAY(Sales!$AC$1)-1)/2)+'Cash Drivers'!AD$13,0)=EOMONTH($CB$1,0),Sales!AD$6*Sales!AD$7,0)+IF(EOMONTH(DATE(YEAR(Sales!$Z$1),MONTH(Sales!$Z$1),1)+INT((DAY(Sales!$Z$1)-1)/2)+'Cash Drivers'!AA$13,0)=EOMONTH($CB$1,0),Sales!AA$6*Sales!AA$7,0)+IF(EOMONTH(DATE(YEAR(Sales!$W$1),MONTH(Sales!$W$1),1)+INT((DAY(Sales!$W$1)-1)/2)+'Cash Drivers'!X$13,0)=EOMONTH($CB$1,0),Sales!X$6*Sales!X$7,0)+IF(EOMONTH(DATE(YEAR(Sales!$T$1),MONTH(Sales!$T$1),1)+INT((DAY(Sales!$T$1)-1)/2)+'Cash Drivers'!U$13,0)=EOMONTH($CB$1,0),Sales!U$6*Sales!U$7,0)+IF(EOMONTH(DATE(YEAR(Sales!$Q$1),MONTH(Sales!$Q$1),1)+INT((DAY(Sales!$Q$1)-1)/2)+'Cash Drivers'!R$13,0)=EOMONTH($CB$1,0),Sales!R$6*Sales!R$7,0)+IF(EOMONTH(DATE(YEAR(Sales!$N$1),MONTH(Sales!$N$1),1)+INT((DAY(Sales!$N$1)-1)/2)+'Cash Drivers'!O$13,0)=EOMONTH($CB$1,0),Sales!O$6*Sales!O$7,0)+IF(EOMONTH(DATE(YEAR(Sales!$K$1),MONTH(Sales!$K$1),1)+INT((DAY(Sales!$K$1)-1)/2)+'Cash Drivers'!L$13,0)=EOMONTH($CB$1,0),Sales!L$6*Sales!L$7,0)+IF(EOMONTH('Cash Drivers'!$DL$30+'Cash Drivers'!DM$13,0)=EOMONTH($CB$1,0),'Cash Drivers'!$DL$32*Sales!$DL$60,0),0)</f>
        <v>23370</v>
      </c>
      <c r="CD24" s="60" t="n">
        <f aca="false">ROUND(IF(EOMONTH(DATE(YEAR(Sales!$DL$1),MONTH(Sales!$DL$1),1)+INT((DAY(Sales!$DL$1)-1)/2)+'Cash Drivers'!DN$13,0)=EOMONTH($CB$1,0),Sales!DN$6*Sales!DN$7,0)+IF(EOMONTH(DATE(YEAR(Sales!$DI$1),MONTH(Sales!$DI$1),1)+INT((DAY(Sales!$DI$1)-1)/2)+'Cash Drivers'!DK$13,0)=EOMONTH($CB$1,0),Sales!DK$6*Sales!DK$7,0)+IF(EOMONTH(DATE(YEAR(Sales!$DF$1),MONTH(Sales!$DF$1),1)+INT((DAY(Sales!$DF$1)-1)/2)+'Cash Drivers'!DH$13,0)=EOMONTH($CB$1,0),Sales!DH$6*Sales!DH$7,0)+IF(EOMONTH(DATE(YEAR(Sales!$DC$1),MONTH(Sales!$DC$1),1)+INT((DAY(Sales!$DC$1)-1)/2)+'Cash Drivers'!DE$13,0)=EOMONTH($CB$1,0),Sales!DE$6*Sales!DE$7,0)+IF(EOMONTH(DATE(YEAR(Sales!$CZ$1),MONTH(Sales!$CZ$1),1)+INT((DAY(Sales!$CZ$1)-1)/2)+'Cash Drivers'!DB$13,0)=EOMONTH($CB$1,0),Sales!DB$6*Sales!DB$7,0)+IF(EOMONTH(DATE(YEAR(Sales!$CW$1),MONTH(Sales!$CW$1),1)+INT((DAY(Sales!$CW$1)-1)/2)+'Cash Drivers'!CY$13,0)=EOMONTH($CB$1,0),Sales!CY$6*Sales!CY$7,0)+IF(EOMONTH(DATE(YEAR(Sales!$CT$1),MONTH(Sales!$CT$1),1)+INT((DAY(Sales!$CT$1)-1)/2)+'Cash Drivers'!CV$13,0)=EOMONTH($CB$1,0),Sales!CV$6*Sales!CV$7,0)+IF(EOMONTH(DATE(YEAR(Sales!$CQ$1),MONTH(Sales!$CQ$1),1)+INT((DAY(Sales!$CQ$1)-1)/2)+'Cash Drivers'!CS$13,0)=EOMONTH($CB$1,0),Sales!CS$6*Sales!CS$7,0)+IF(EOMONTH(DATE(YEAR(Sales!$CN$1),MONTH(Sales!$CN$1),1)+INT((DAY(Sales!$CN$1)-1)/2)+'Cash Drivers'!CP$13,0)=EOMONTH($CB$1,0),Sales!CP$6*Sales!CP$7,0)+IF(EOMONTH(DATE(YEAR(Sales!$CK$1),MONTH(Sales!$CK$1),1)+INT((DAY(Sales!$CK$1)-1)/2)+'Cash Drivers'!CM$13,0)=EOMONTH($CB$1,0),Sales!CM$6*Sales!CM$7,0)+IF(EOMONTH(DATE(YEAR(Sales!$CH$1),MONTH(Sales!$CH$1),1)+INT((DAY(Sales!$CH$1)-1)/2)+'Cash Drivers'!CJ$13,0)=EOMONTH($CB$1,0),Sales!CJ$6*Sales!CJ$7,0)+IF(EOMONTH(DATE(YEAR(Sales!$CE$1),MONTH(Sales!$CE$1),1)+INT((DAY(Sales!$CE$1)-1)/2)+'Cash Drivers'!CG$13,0)=EOMONTH($CB$1,0),Sales!CG$6*Sales!CG$7,0)+IF(EOMONTH(DATE(YEAR(Sales!$CB$1),MONTH(Sales!$CB$1),1)+INT((DAY(Sales!$CB$1)-1)/2)+'Cash Drivers'!CD$13,0)=EOMONTH($CB$1,0),Sales!CD$6*Sales!CD$7,0)+IF(EOMONTH(DATE(YEAR(Sales!$BY$1),MONTH(Sales!$BY$1),1)+INT((DAY(Sales!$BY$1)-1)/2)+'Cash Drivers'!CA$13,0)=EOMONTH($CB$1,0),Sales!CA$6*Sales!CA$7,0)+IF(EOMONTH(DATE(YEAR(Sales!$BV$1),MONTH(Sales!$BV$1),1)+INT((DAY(Sales!$BV$1)-1)/2)+'Cash Drivers'!BX$13,0)=EOMONTH($CB$1,0),Sales!BX$6*Sales!BX$7,0)+IF(EOMONTH(DATE(YEAR(Sales!$BS$1),MONTH(Sales!$BS$1),1)+INT((DAY(Sales!$BS$1)-1)/2)+'Cash Drivers'!BU$13,0)=EOMONTH($CB$1,0),Sales!BU$6*Sales!BU$7,0)+IF(EOMONTH(DATE(YEAR(Sales!$BP$1),MONTH(Sales!$BP$1),1)+INT((DAY(Sales!$BP$1)-1)/2)+'Cash Drivers'!BR$13,0)=EOMONTH($CB$1,0),Sales!BR$6*Sales!BR$7,0)+IF(EOMONTH(DATE(YEAR(Sales!$BM$1),MONTH(Sales!$BM$1),1)+INT((DAY(Sales!$BM$1)-1)/2)+'Cash Drivers'!BO$13,0)=EOMONTH($CB$1,0),Sales!BO$6*Sales!BO$7,0)+IF(EOMONTH(DATE(YEAR(Sales!$BJ$1),MONTH(Sales!$BJ$1),1)+INT((DAY(Sales!$BJ$1)-1)/2)+'Cash Drivers'!BL$13,0)=EOMONTH($CB$1,0),Sales!BL$6*Sales!BL$7,0)+IF(EOMONTH(DATE(YEAR(Sales!$BG$1),MONTH(Sales!$BG$1),1)+INT((DAY(Sales!$BG$1)-1)/2)+'Cash Drivers'!BI$13,0)=EOMONTH($CB$1,0),Sales!BI$6*Sales!BI$7,0)+IF(EOMONTH(DATE(YEAR(Sales!$BD$1),MONTH(Sales!$BD$1),1)+INT((DAY(Sales!$BD$1)-1)/2)+'Cash Drivers'!BF$13,0)=EOMONTH($CB$1,0),Sales!BF$6*Sales!BF$7,0)+IF(EOMONTH(DATE(YEAR(Sales!$BA$1),MONTH(Sales!$BA$1),1)+INT((DAY(Sales!$BA$1)-1)/2)+'Cash Drivers'!BC$13,0)=EOMONTH($CB$1,0),Sales!BC$6*Sales!BC$7,0)+IF(EOMONTH(DATE(YEAR(Sales!$AX$1),MONTH(Sales!$AX$1),1)+INT((DAY(Sales!$AX$1)-1)/2)+'Cash Drivers'!AZ$13,0)=EOMONTH($CB$1,0),Sales!AZ$6*Sales!AZ$7,0)+IF(EOMONTH(DATE(YEAR(Sales!$AU$1),MONTH(Sales!$AU$1),1)+INT((DAY(Sales!$AU$1)-1)/2)+'Cash Drivers'!AW$13,0)=EOMONTH($CB$1,0),Sales!AW$6*Sales!AW$7,0)+IF(EOMONTH(DATE(YEAR(Sales!$AR$1),MONTH(Sales!$AR$1),1)+INT((DAY(Sales!$AR$1)-1)/2)+'Cash Drivers'!AT$13,0)=EOMONTH($CB$1,0),Sales!AT$6*Sales!AT$7,0)+IF(EOMONTH(DATE(YEAR(Sales!$AO$1),MONTH(Sales!$AO$1),1)+INT((DAY(Sales!$AO$1)-1)/2)+'Cash Drivers'!AQ$13,0)=EOMONTH($CB$1,0),Sales!AQ$6*Sales!AQ$7,0)+IF(EOMONTH(DATE(YEAR(Sales!$AL$1),MONTH(Sales!$AL$1),1)+INT((DAY(Sales!$AL$1)-1)/2)+'Cash Drivers'!AN$13,0)=EOMONTH($CB$1,0),Sales!AN$6*Sales!AN$7,0)+IF(EOMONTH(DATE(YEAR(Sales!$AI$1),MONTH(Sales!$AI$1),1)+INT((DAY(Sales!$AI$1)-1)/2)+'Cash Drivers'!AK$13,0)=EOMONTH($CB$1,0),Sales!AK$6*Sales!AK$7,0)+IF(EOMONTH(DATE(YEAR(Sales!$AF$1),MONTH(Sales!$AF$1),1)+INT((DAY(Sales!$AF$1)-1)/2)+'Cash Drivers'!AH$13,0)=EOMONTH($CB$1,0),Sales!AH$6*Sales!AH$7,0)+IF(EOMONTH(DATE(YEAR(Sales!$AC$1),MONTH(Sales!$AC$1),1)+INT((DAY(Sales!$AC$1)-1)/2)+'Cash Drivers'!AE$13,0)=EOMONTH($CB$1,0),Sales!AE$6*Sales!AE$7,0)+IF(EOMONTH(DATE(YEAR(Sales!$Z$1),MONTH(Sales!$Z$1),1)+INT((DAY(Sales!$Z$1)-1)/2)+'Cash Drivers'!AB$13,0)=EOMONTH($CB$1,0),Sales!AB$6*Sales!AB$7,0)+IF(EOMONTH(DATE(YEAR(Sales!$W$1),MONTH(Sales!$W$1),1)+INT((DAY(Sales!$W$1)-1)/2)+'Cash Drivers'!Y$13,0)=EOMONTH($CB$1,0),Sales!Y$6*Sales!Y$7,0)+IF(EOMONTH(DATE(YEAR(Sales!$T$1),MONTH(Sales!$T$1),1)+INT((DAY(Sales!$T$1)-1)/2)+'Cash Drivers'!V$13,0)=EOMONTH($CB$1,0),Sales!V$6*Sales!V$7,0)+IF(EOMONTH(DATE(YEAR(Sales!$Q$1),MONTH(Sales!$Q$1),1)+INT((DAY(Sales!$Q$1)-1)/2)+'Cash Drivers'!S$13,0)=EOMONTH($CB$1,0),Sales!S$6*Sales!S$7,0)+IF(EOMONTH(DATE(YEAR(Sales!$N$1),MONTH(Sales!$N$1),1)+INT((DAY(Sales!$N$1)-1)/2)+'Cash Drivers'!P$13,0)=EOMONTH($CB$1,0),Sales!P$6*Sales!P$7,0)+IF(EOMONTH(DATE(YEAR(Sales!$K$1),MONTH(Sales!$K$1),1)+INT((DAY(Sales!$K$1)-1)/2)+'Cash Drivers'!M$13,0)=EOMONTH($CB$1,0),Sales!M$6*Sales!M$7,0)+IF(EOMONTH('Cash Drivers'!$DL$30+'Cash Drivers'!DN$13,0)=EOMONTH($CB$1,0),'Cash Drivers'!$DL$32*Sales!$DL$60,0),0)</f>
        <v>23427</v>
      </c>
      <c r="CE24" s="58" t="n">
        <f aca="false">ROUND(IF(EOMONTH(DATE(YEAR(Sales!$DL$1),MONTH(Sales!$DL$1),1)+INT((DAY(Sales!$DL$1)-1)/2)+'Cash Drivers'!DL$13,0)=EOMONTH($CE$1,0),Sales!DL$6*Sales!DL$7,0)+IF(EOMONTH(DATE(YEAR(Sales!$DI$1),MONTH(Sales!$DI$1),1)+INT((DAY(Sales!$DI$1)-1)/2)+'Cash Drivers'!DI$13,0)=EOMONTH($CE$1,0),Sales!DI$6*Sales!DI$7,0)+IF(EOMONTH(DATE(YEAR(Sales!$DF$1),MONTH(Sales!$DF$1),1)+INT((DAY(Sales!$DF$1)-1)/2)+'Cash Drivers'!DF$13,0)=EOMONTH($CE$1,0),Sales!DF$6*Sales!DF$7,0)+IF(EOMONTH(DATE(YEAR(Sales!$DC$1),MONTH(Sales!$DC$1),1)+INT((DAY(Sales!$DC$1)-1)/2)+'Cash Drivers'!DC$13,0)=EOMONTH($CE$1,0),Sales!DC$6*Sales!DC$7,0)+IF(EOMONTH(DATE(YEAR(Sales!$CZ$1),MONTH(Sales!$CZ$1),1)+INT((DAY(Sales!$CZ$1)-1)/2)+'Cash Drivers'!CZ$13,0)=EOMONTH($CE$1,0),Sales!CZ$6*Sales!CZ$7,0)+IF(EOMONTH(DATE(YEAR(Sales!$CW$1),MONTH(Sales!$CW$1),1)+INT((DAY(Sales!$CW$1)-1)/2)+'Cash Drivers'!CW$13,0)=EOMONTH($CE$1,0),Sales!CW$6*Sales!CW$7,0)+IF(EOMONTH(DATE(YEAR(Sales!$CT$1),MONTH(Sales!$CT$1),1)+INT((DAY(Sales!$CT$1)-1)/2)+'Cash Drivers'!CT$13,0)=EOMONTH($CE$1,0),Sales!CT$6*Sales!CT$7,0)+IF(EOMONTH(DATE(YEAR(Sales!$CQ$1),MONTH(Sales!$CQ$1),1)+INT((DAY(Sales!$CQ$1)-1)/2)+'Cash Drivers'!CQ$13,0)=EOMONTH($CE$1,0),Sales!CQ$6*Sales!CQ$7,0)+IF(EOMONTH(DATE(YEAR(Sales!$CN$1),MONTH(Sales!$CN$1),1)+INT((DAY(Sales!$CN$1)-1)/2)+'Cash Drivers'!CN$13,0)=EOMONTH($CE$1,0),Sales!CN$6*Sales!CN$7,0)+IF(EOMONTH(DATE(YEAR(Sales!$CK$1),MONTH(Sales!$CK$1),1)+INT((DAY(Sales!$CK$1)-1)/2)+'Cash Drivers'!CK$13,0)=EOMONTH($CE$1,0),Sales!CK$6*Sales!CK$7,0)+IF(EOMONTH(DATE(YEAR(Sales!$CH$1),MONTH(Sales!$CH$1),1)+INT((DAY(Sales!$CH$1)-1)/2)+'Cash Drivers'!CH$13,0)=EOMONTH($CE$1,0),Sales!CH$6*Sales!CH$7,0)+IF(EOMONTH(DATE(YEAR(Sales!$CE$1),MONTH(Sales!$CE$1),1)+INT((DAY(Sales!$CE$1)-1)/2)+'Cash Drivers'!CE$13,0)=EOMONTH($CE$1,0),Sales!CE$6*Sales!CE$7,0)+IF(EOMONTH(DATE(YEAR(Sales!$CB$1),MONTH(Sales!$CB$1),1)+INT((DAY(Sales!$CB$1)-1)/2)+'Cash Drivers'!CB$13,0)=EOMONTH($CE$1,0),Sales!CB$6*Sales!CB$7,0)+IF(EOMONTH(DATE(YEAR(Sales!$BY$1),MONTH(Sales!$BY$1),1)+INT((DAY(Sales!$BY$1)-1)/2)+'Cash Drivers'!BY$13,0)=EOMONTH($CE$1,0),Sales!BY$6*Sales!BY$7,0)+IF(EOMONTH(DATE(YEAR(Sales!$BV$1),MONTH(Sales!$BV$1),1)+INT((DAY(Sales!$BV$1)-1)/2)+'Cash Drivers'!BV$13,0)=EOMONTH($CE$1,0),Sales!BV$6*Sales!BV$7,0)+IF(EOMONTH(DATE(YEAR(Sales!$BS$1),MONTH(Sales!$BS$1),1)+INT((DAY(Sales!$BS$1)-1)/2)+'Cash Drivers'!BS$13,0)=EOMONTH($CE$1,0),Sales!BS$6*Sales!BS$7,0)+IF(EOMONTH(DATE(YEAR(Sales!$BP$1),MONTH(Sales!$BP$1),1)+INT((DAY(Sales!$BP$1)-1)/2)+'Cash Drivers'!BP$13,0)=EOMONTH($CE$1,0),Sales!BP$6*Sales!BP$7,0)+IF(EOMONTH(DATE(YEAR(Sales!$BM$1),MONTH(Sales!$BM$1),1)+INT((DAY(Sales!$BM$1)-1)/2)+'Cash Drivers'!BM$13,0)=EOMONTH($CE$1,0),Sales!BM$6*Sales!BM$7,0)+IF(EOMONTH(DATE(YEAR(Sales!$BJ$1),MONTH(Sales!$BJ$1),1)+INT((DAY(Sales!$BJ$1)-1)/2)+'Cash Drivers'!BJ$13,0)=EOMONTH($CE$1,0),Sales!BJ$6*Sales!BJ$7,0)+IF(EOMONTH(DATE(YEAR(Sales!$BG$1),MONTH(Sales!$BG$1),1)+INT((DAY(Sales!$BG$1)-1)/2)+'Cash Drivers'!BG$13,0)=EOMONTH($CE$1,0),Sales!BG$6*Sales!BG$7,0)+IF(EOMONTH(DATE(YEAR(Sales!$BD$1),MONTH(Sales!$BD$1),1)+INT((DAY(Sales!$BD$1)-1)/2)+'Cash Drivers'!BD$13,0)=EOMONTH($CE$1,0),Sales!BD$6*Sales!BD$7,0)+IF(EOMONTH(DATE(YEAR(Sales!$BA$1),MONTH(Sales!$BA$1),1)+INT((DAY(Sales!$BA$1)-1)/2)+'Cash Drivers'!BA$13,0)=EOMONTH($CE$1,0),Sales!BA$6*Sales!BA$7,0)+IF(EOMONTH(DATE(YEAR(Sales!$AX$1),MONTH(Sales!$AX$1),1)+INT((DAY(Sales!$AX$1)-1)/2)+'Cash Drivers'!AX$13,0)=EOMONTH($CE$1,0),Sales!AX$6*Sales!AX$7,0)+IF(EOMONTH(DATE(YEAR(Sales!$AU$1),MONTH(Sales!$AU$1),1)+INT((DAY(Sales!$AU$1)-1)/2)+'Cash Drivers'!AU$13,0)=EOMONTH($CE$1,0),Sales!AU$6*Sales!AU$7,0)+IF(EOMONTH(DATE(YEAR(Sales!$AR$1),MONTH(Sales!$AR$1),1)+INT((DAY(Sales!$AR$1)-1)/2)+'Cash Drivers'!AR$13,0)=EOMONTH($CE$1,0),Sales!AR$6*Sales!AR$7,0)+IF(EOMONTH(DATE(YEAR(Sales!$AO$1),MONTH(Sales!$AO$1),1)+INT((DAY(Sales!$AO$1)-1)/2)+'Cash Drivers'!AO$13,0)=EOMONTH($CE$1,0),Sales!AO$6*Sales!AO$7,0)+IF(EOMONTH(DATE(YEAR(Sales!$AL$1),MONTH(Sales!$AL$1),1)+INT((DAY(Sales!$AL$1)-1)/2)+'Cash Drivers'!AL$13,0)=EOMONTH($CE$1,0),Sales!AL$6*Sales!AL$7,0)+IF(EOMONTH(DATE(YEAR(Sales!$AI$1),MONTH(Sales!$AI$1),1)+INT((DAY(Sales!$AI$1)-1)/2)+'Cash Drivers'!AI$13,0)=EOMONTH($CE$1,0),Sales!AI$6*Sales!AI$7,0)+IF(EOMONTH(DATE(YEAR(Sales!$AF$1),MONTH(Sales!$AF$1),1)+INT((DAY(Sales!$AF$1)-1)/2)+'Cash Drivers'!AF$13,0)=EOMONTH($CE$1,0),Sales!AF$6*Sales!AF$7,0)+IF(EOMONTH(DATE(YEAR(Sales!$AC$1),MONTH(Sales!$AC$1),1)+INT((DAY(Sales!$AC$1)-1)/2)+'Cash Drivers'!AC$13,0)=EOMONTH($CE$1,0),Sales!AC$6*Sales!AC$7,0)+IF(EOMONTH(DATE(YEAR(Sales!$Z$1),MONTH(Sales!$Z$1),1)+INT((DAY(Sales!$Z$1)-1)/2)+'Cash Drivers'!Z$13,0)=EOMONTH($CE$1,0),Sales!Z$6*Sales!Z$7,0)+IF(EOMONTH(DATE(YEAR(Sales!$W$1),MONTH(Sales!$W$1),1)+INT((DAY(Sales!$W$1)-1)/2)+'Cash Drivers'!W$13,0)=EOMONTH($CE$1,0),Sales!W$6*Sales!W$7,0)+IF(EOMONTH(DATE(YEAR(Sales!$T$1),MONTH(Sales!$T$1),1)+INT((DAY(Sales!$T$1)-1)/2)+'Cash Drivers'!T$13,0)=EOMONTH($CE$1,0),Sales!T$6*Sales!T$7,0)+IF(EOMONTH(DATE(YEAR(Sales!$Q$1),MONTH(Sales!$Q$1),1)+INT((DAY(Sales!$Q$1)-1)/2)+'Cash Drivers'!Q$13,0)=EOMONTH($CE$1,0),Sales!Q$6*Sales!Q$7,0)+IF(EOMONTH(DATE(YEAR(Sales!$N$1),MONTH(Sales!$N$1),1)+INT((DAY(Sales!$N$1)-1)/2)+'Cash Drivers'!N$13,0)=EOMONTH($CE$1,0),Sales!N$6*Sales!N$7,0)+IF(EOMONTH(DATE(YEAR(Sales!$K$1),MONTH(Sales!$K$1),1)+INT((DAY(Sales!$K$1)-1)/2)+'Cash Drivers'!K$13,0)=EOMONTH($CE$1,0),Sales!K$6*Sales!K$7,0)+IF(EOMONTH('Cash Drivers'!$DL$30+'Cash Drivers'!DL$13,0)=EOMONTH($CE$1,0),'Cash Drivers'!$DL$32*Sales!$DL$60,0),0)</f>
        <v>0</v>
      </c>
      <c r="CF24" s="59" t="n">
        <f aca="false">ROUND(IF(EOMONTH(DATE(YEAR(Sales!$DL$1),MONTH(Sales!$DL$1),1)+INT((DAY(Sales!$DL$1)-1)/2)+'Cash Drivers'!DM$13,0)=EOMONTH($CE$1,0),Sales!DM$6*Sales!DM$7,0)+IF(EOMONTH(DATE(YEAR(Sales!$DI$1),MONTH(Sales!$DI$1),1)+INT((DAY(Sales!$DI$1)-1)/2)+'Cash Drivers'!DJ$13,0)=EOMONTH($CE$1,0),Sales!DJ$6*Sales!DJ$7,0)+IF(EOMONTH(DATE(YEAR(Sales!$DF$1),MONTH(Sales!$DF$1),1)+INT((DAY(Sales!$DF$1)-1)/2)+'Cash Drivers'!DG$13,0)=EOMONTH($CE$1,0),Sales!DG$6*Sales!DG$7,0)+IF(EOMONTH(DATE(YEAR(Sales!$DC$1),MONTH(Sales!$DC$1),1)+INT((DAY(Sales!$DC$1)-1)/2)+'Cash Drivers'!DD$13,0)=EOMONTH($CE$1,0),Sales!DD$6*Sales!DD$7,0)+IF(EOMONTH(DATE(YEAR(Sales!$CZ$1),MONTH(Sales!$CZ$1),1)+INT((DAY(Sales!$CZ$1)-1)/2)+'Cash Drivers'!DA$13,0)=EOMONTH($CE$1,0),Sales!DA$6*Sales!DA$7,0)+IF(EOMONTH(DATE(YEAR(Sales!$CW$1),MONTH(Sales!$CW$1),1)+INT((DAY(Sales!$CW$1)-1)/2)+'Cash Drivers'!CX$13,0)=EOMONTH($CE$1,0),Sales!CX$6*Sales!CX$7,0)+IF(EOMONTH(DATE(YEAR(Sales!$CT$1),MONTH(Sales!$CT$1),1)+INT((DAY(Sales!$CT$1)-1)/2)+'Cash Drivers'!CU$13,0)=EOMONTH($CE$1,0),Sales!CU$6*Sales!CU$7,0)+IF(EOMONTH(DATE(YEAR(Sales!$CQ$1),MONTH(Sales!$CQ$1),1)+INT((DAY(Sales!$CQ$1)-1)/2)+'Cash Drivers'!CR$13,0)=EOMONTH($CE$1,0),Sales!CR$6*Sales!CR$7,0)+IF(EOMONTH(DATE(YEAR(Sales!$CN$1),MONTH(Sales!$CN$1),1)+INT((DAY(Sales!$CN$1)-1)/2)+'Cash Drivers'!CO$13,0)=EOMONTH($CE$1,0),Sales!CO$6*Sales!CO$7,0)+IF(EOMONTH(DATE(YEAR(Sales!$CK$1),MONTH(Sales!$CK$1),1)+INT((DAY(Sales!$CK$1)-1)/2)+'Cash Drivers'!CL$13,0)=EOMONTH($CE$1,0),Sales!CL$6*Sales!CL$7,0)+IF(EOMONTH(DATE(YEAR(Sales!$CH$1),MONTH(Sales!$CH$1),1)+INT((DAY(Sales!$CH$1)-1)/2)+'Cash Drivers'!CI$13,0)=EOMONTH($CE$1,0),Sales!CI$6*Sales!CI$7,0)+IF(EOMONTH(DATE(YEAR(Sales!$CE$1),MONTH(Sales!$CE$1),1)+INT((DAY(Sales!$CE$1)-1)/2)+'Cash Drivers'!CF$13,0)=EOMONTH($CE$1,0),Sales!CF$6*Sales!CF$7,0)+IF(EOMONTH(DATE(YEAR(Sales!$CB$1),MONTH(Sales!$CB$1),1)+INT((DAY(Sales!$CB$1)-1)/2)+'Cash Drivers'!CC$13,0)=EOMONTH($CE$1,0),Sales!CC$6*Sales!CC$7,0)+IF(EOMONTH(DATE(YEAR(Sales!$BY$1),MONTH(Sales!$BY$1),1)+INT((DAY(Sales!$BY$1)-1)/2)+'Cash Drivers'!BZ$13,0)=EOMONTH($CE$1,0),Sales!BZ$6*Sales!BZ$7,0)+IF(EOMONTH(DATE(YEAR(Sales!$BV$1),MONTH(Sales!$BV$1),1)+INT((DAY(Sales!$BV$1)-1)/2)+'Cash Drivers'!BW$13,0)=EOMONTH($CE$1,0),Sales!BW$6*Sales!BW$7,0)+IF(EOMONTH(DATE(YEAR(Sales!$BS$1),MONTH(Sales!$BS$1),1)+INT((DAY(Sales!$BS$1)-1)/2)+'Cash Drivers'!BT$13,0)=EOMONTH($CE$1,0),Sales!BT$6*Sales!BT$7,0)+IF(EOMONTH(DATE(YEAR(Sales!$BP$1),MONTH(Sales!$BP$1),1)+INT((DAY(Sales!$BP$1)-1)/2)+'Cash Drivers'!BQ$13,0)=EOMONTH($CE$1,0),Sales!BQ$6*Sales!BQ$7,0)+IF(EOMONTH(DATE(YEAR(Sales!$BM$1),MONTH(Sales!$BM$1),1)+INT((DAY(Sales!$BM$1)-1)/2)+'Cash Drivers'!BN$13,0)=EOMONTH($CE$1,0),Sales!BN$6*Sales!BN$7,0)+IF(EOMONTH(DATE(YEAR(Sales!$BJ$1),MONTH(Sales!$BJ$1),1)+INT((DAY(Sales!$BJ$1)-1)/2)+'Cash Drivers'!BK$13,0)=EOMONTH($CE$1,0),Sales!BK$6*Sales!BK$7,0)+IF(EOMONTH(DATE(YEAR(Sales!$BG$1),MONTH(Sales!$BG$1),1)+INT((DAY(Sales!$BG$1)-1)/2)+'Cash Drivers'!BH$13,0)=EOMONTH($CE$1,0),Sales!BH$6*Sales!BH$7,0)+IF(EOMONTH(DATE(YEAR(Sales!$BD$1),MONTH(Sales!$BD$1),1)+INT((DAY(Sales!$BD$1)-1)/2)+'Cash Drivers'!BE$13,0)=EOMONTH($CE$1,0),Sales!BE$6*Sales!BE$7,0)+IF(EOMONTH(DATE(YEAR(Sales!$BA$1),MONTH(Sales!$BA$1),1)+INT((DAY(Sales!$BA$1)-1)/2)+'Cash Drivers'!BB$13,0)=EOMONTH($CE$1,0),Sales!BB$6*Sales!BB$7,0)+IF(EOMONTH(DATE(YEAR(Sales!$AX$1),MONTH(Sales!$AX$1),1)+INT((DAY(Sales!$AX$1)-1)/2)+'Cash Drivers'!AY$13,0)=EOMONTH($CE$1,0),Sales!AY$6*Sales!AY$7,0)+IF(EOMONTH(DATE(YEAR(Sales!$AU$1),MONTH(Sales!$AU$1),1)+INT((DAY(Sales!$AU$1)-1)/2)+'Cash Drivers'!AV$13,0)=EOMONTH($CE$1,0),Sales!AV$6*Sales!AV$7,0)+IF(EOMONTH(DATE(YEAR(Sales!$AR$1),MONTH(Sales!$AR$1),1)+INT((DAY(Sales!$AR$1)-1)/2)+'Cash Drivers'!AS$13,0)=EOMONTH($CE$1,0),Sales!AS$6*Sales!AS$7,0)+IF(EOMONTH(DATE(YEAR(Sales!$AO$1),MONTH(Sales!$AO$1),1)+INT((DAY(Sales!$AO$1)-1)/2)+'Cash Drivers'!AP$13,0)=EOMONTH($CE$1,0),Sales!AP$6*Sales!AP$7,0)+IF(EOMONTH(DATE(YEAR(Sales!$AL$1),MONTH(Sales!$AL$1),1)+INT((DAY(Sales!$AL$1)-1)/2)+'Cash Drivers'!AM$13,0)=EOMONTH($CE$1,0),Sales!AM$6*Sales!AM$7,0)+IF(EOMONTH(DATE(YEAR(Sales!$AI$1),MONTH(Sales!$AI$1),1)+INT((DAY(Sales!$AI$1)-1)/2)+'Cash Drivers'!AJ$13,0)=EOMONTH($CE$1,0),Sales!AJ$6*Sales!AJ$7,0)+IF(EOMONTH(DATE(YEAR(Sales!$AF$1),MONTH(Sales!$AF$1),1)+INT((DAY(Sales!$AF$1)-1)/2)+'Cash Drivers'!AG$13,0)=EOMONTH($CE$1,0),Sales!AG$6*Sales!AG$7,0)+IF(EOMONTH(DATE(YEAR(Sales!$AC$1),MONTH(Sales!$AC$1),1)+INT((DAY(Sales!$AC$1)-1)/2)+'Cash Drivers'!AD$13,0)=EOMONTH($CE$1,0),Sales!AD$6*Sales!AD$7,0)+IF(EOMONTH(DATE(YEAR(Sales!$Z$1),MONTH(Sales!$Z$1),1)+INT((DAY(Sales!$Z$1)-1)/2)+'Cash Drivers'!AA$13,0)=EOMONTH($CE$1,0),Sales!AA$6*Sales!AA$7,0)+IF(EOMONTH(DATE(YEAR(Sales!$W$1),MONTH(Sales!$W$1),1)+INT((DAY(Sales!$W$1)-1)/2)+'Cash Drivers'!X$13,0)=EOMONTH($CE$1,0),Sales!X$6*Sales!X$7,0)+IF(EOMONTH(DATE(YEAR(Sales!$T$1),MONTH(Sales!$T$1),1)+INT((DAY(Sales!$T$1)-1)/2)+'Cash Drivers'!U$13,0)=EOMONTH($CE$1,0),Sales!U$6*Sales!U$7,0)+IF(EOMONTH(DATE(YEAR(Sales!$Q$1),MONTH(Sales!$Q$1),1)+INT((DAY(Sales!$Q$1)-1)/2)+'Cash Drivers'!R$13,0)=EOMONTH($CE$1,0),Sales!R$6*Sales!R$7,0)+IF(EOMONTH(DATE(YEAR(Sales!$N$1),MONTH(Sales!$N$1),1)+INT((DAY(Sales!$N$1)-1)/2)+'Cash Drivers'!O$13,0)=EOMONTH($CE$1,0),Sales!O$6*Sales!O$7,0)+IF(EOMONTH(DATE(YEAR(Sales!$K$1),MONTH(Sales!$K$1),1)+INT((DAY(Sales!$K$1)-1)/2)+'Cash Drivers'!L$13,0)=EOMONTH($CE$1,0),Sales!L$6*Sales!L$7,0)+IF(EOMONTH('Cash Drivers'!$DL$30+'Cash Drivers'!DM$13,0)=EOMONTH($CE$1,0),'Cash Drivers'!$DL$32*Sales!$DL$60,0),0)</f>
        <v>23313</v>
      </c>
      <c r="CG24" s="60" t="n">
        <f aca="false">ROUND(IF(EOMONTH(DATE(YEAR(Sales!$DL$1),MONTH(Sales!$DL$1),1)+INT((DAY(Sales!$DL$1)-1)/2)+'Cash Drivers'!DN$13,0)=EOMONTH($CE$1,0),Sales!DN$6*Sales!DN$7,0)+IF(EOMONTH(DATE(YEAR(Sales!$DI$1),MONTH(Sales!$DI$1),1)+INT((DAY(Sales!$DI$1)-1)/2)+'Cash Drivers'!DK$13,0)=EOMONTH($CE$1,0),Sales!DK$6*Sales!DK$7,0)+IF(EOMONTH(DATE(YEAR(Sales!$DF$1),MONTH(Sales!$DF$1),1)+INT((DAY(Sales!$DF$1)-1)/2)+'Cash Drivers'!DH$13,0)=EOMONTH($CE$1,0),Sales!DH$6*Sales!DH$7,0)+IF(EOMONTH(DATE(YEAR(Sales!$DC$1),MONTH(Sales!$DC$1),1)+INT((DAY(Sales!$DC$1)-1)/2)+'Cash Drivers'!DE$13,0)=EOMONTH($CE$1,0),Sales!DE$6*Sales!DE$7,0)+IF(EOMONTH(DATE(YEAR(Sales!$CZ$1),MONTH(Sales!$CZ$1),1)+INT((DAY(Sales!$CZ$1)-1)/2)+'Cash Drivers'!DB$13,0)=EOMONTH($CE$1,0),Sales!DB$6*Sales!DB$7,0)+IF(EOMONTH(DATE(YEAR(Sales!$CW$1),MONTH(Sales!$CW$1),1)+INT((DAY(Sales!$CW$1)-1)/2)+'Cash Drivers'!CY$13,0)=EOMONTH($CE$1,0),Sales!CY$6*Sales!CY$7,0)+IF(EOMONTH(DATE(YEAR(Sales!$CT$1),MONTH(Sales!$CT$1),1)+INT((DAY(Sales!$CT$1)-1)/2)+'Cash Drivers'!CV$13,0)=EOMONTH($CE$1,0),Sales!CV$6*Sales!CV$7,0)+IF(EOMONTH(DATE(YEAR(Sales!$CQ$1),MONTH(Sales!$CQ$1),1)+INT((DAY(Sales!$CQ$1)-1)/2)+'Cash Drivers'!CS$13,0)=EOMONTH($CE$1,0),Sales!CS$6*Sales!CS$7,0)+IF(EOMONTH(DATE(YEAR(Sales!$CN$1),MONTH(Sales!$CN$1),1)+INT((DAY(Sales!$CN$1)-1)/2)+'Cash Drivers'!CP$13,0)=EOMONTH($CE$1,0),Sales!CP$6*Sales!CP$7,0)+IF(EOMONTH(DATE(YEAR(Sales!$CK$1),MONTH(Sales!$CK$1),1)+INT((DAY(Sales!$CK$1)-1)/2)+'Cash Drivers'!CM$13,0)=EOMONTH($CE$1,0),Sales!CM$6*Sales!CM$7,0)+IF(EOMONTH(DATE(YEAR(Sales!$CH$1),MONTH(Sales!$CH$1),1)+INT((DAY(Sales!$CH$1)-1)/2)+'Cash Drivers'!CJ$13,0)=EOMONTH($CE$1,0),Sales!CJ$6*Sales!CJ$7,0)+IF(EOMONTH(DATE(YEAR(Sales!$CE$1),MONTH(Sales!$CE$1),1)+INT((DAY(Sales!$CE$1)-1)/2)+'Cash Drivers'!CG$13,0)=EOMONTH($CE$1,0),Sales!CG$6*Sales!CG$7,0)+IF(EOMONTH(DATE(YEAR(Sales!$CB$1),MONTH(Sales!$CB$1),1)+INT((DAY(Sales!$CB$1)-1)/2)+'Cash Drivers'!CD$13,0)=EOMONTH($CE$1,0),Sales!CD$6*Sales!CD$7,0)+IF(EOMONTH(DATE(YEAR(Sales!$BY$1),MONTH(Sales!$BY$1),1)+INT((DAY(Sales!$BY$1)-1)/2)+'Cash Drivers'!CA$13,0)=EOMONTH($CE$1,0),Sales!CA$6*Sales!CA$7,0)+IF(EOMONTH(DATE(YEAR(Sales!$BV$1),MONTH(Sales!$BV$1),1)+INT((DAY(Sales!$BV$1)-1)/2)+'Cash Drivers'!BX$13,0)=EOMONTH($CE$1,0),Sales!BX$6*Sales!BX$7,0)+IF(EOMONTH(DATE(YEAR(Sales!$BS$1),MONTH(Sales!$BS$1),1)+INT((DAY(Sales!$BS$1)-1)/2)+'Cash Drivers'!BU$13,0)=EOMONTH($CE$1,0),Sales!BU$6*Sales!BU$7,0)+IF(EOMONTH(DATE(YEAR(Sales!$BP$1),MONTH(Sales!$BP$1),1)+INT((DAY(Sales!$BP$1)-1)/2)+'Cash Drivers'!BR$13,0)=EOMONTH($CE$1,0),Sales!BR$6*Sales!BR$7,0)+IF(EOMONTH(DATE(YEAR(Sales!$BM$1),MONTH(Sales!$BM$1),1)+INT((DAY(Sales!$BM$1)-1)/2)+'Cash Drivers'!BO$13,0)=EOMONTH($CE$1,0),Sales!BO$6*Sales!BO$7,0)+IF(EOMONTH(DATE(YEAR(Sales!$BJ$1),MONTH(Sales!$BJ$1),1)+INT((DAY(Sales!$BJ$1)-1)/2)+'Cash Drivers'!BL$13,0)=EOMONTH($CE$1,0),Sales!BL$6*Sales!BL$7,0)+IF(EOMONTH(DATE(YEAR(Sales!$BG$1),MONTH(Sales!$BG$1),1)+INT((DAY(Sales!$BG$1)-1)/2)+'Cash Drivers'!BI$13,0)=EOMONTH($CE$1,0),Sales!BI$6*Sales!BI$7,0)+IF(EOMONTH(DATE(YEAR(Sales!$BD$1),MONTH(Sales!$BD$1),1)+INT((DAY(Sales!$BD$1)-1)/2)+'Cash Drivers'!BF$13,0)=EOMONTH($CE$1,0),Sales!BF$6*Sales!BF$7,0)+IF(EOMONTH(DATE(YEAR(Sales!$BA$1),MONTH(Sales!$BA$1),1)+INT((DAY(Sales!$BA$1)-1)/2)+'Cash Drivers'!BC$13,0)=EOMONTH($CE$1,0),Sales!BC$6*Sales!BC$7,0)+IF(EOMONTH(DATE(YEAR(Sales!$AX$1),MONTH(Sales!$AX$1),1)+INT((DAY(Sales!$AX$1)-1)/2)+'Cash Drivers'!AZ$13,0)=EOMONTH($CE$1,0),Sales!AZ$6*Sales!AZ$7,0)+IF(EOMONTH(DATE(YEAR(Sales!$AU$1),MONTH(Sales!$AU$1),1)+INT((DAY(Sales!$AU$1)-1)/2)+'Cash Drivers'!AW$13,0)=EOMONTH($CE$1,0),Sales!AW$6*Sales!AW$7,0)+IF(EOMONTH(DATE(YEAR(Sales!$AR$1),MONTH(Sales!$AR$1),1)+INT((DAY(Sales!$AR$1)-1)/2)+'Cash Drivers'!AT$13,0)=EOMONTH($CE$1,0),Sales!AT$6*Sales!AT$7,0)+IF(EOMONTH(DATE(YEAR(Sales!$AO$1),MONTH(Sales!$AO$1),1)+INT((DAY(Sales!$AO$1)-1)/2)+'Cash Drivers'!AQ$13,0)=EOMONTH($CE$1,0),Sales!AQ$6*Sales!AQ$7,0)+IF(EOMONTH(DATE(YEAR(Sales!$AL$1),MONTH(Sales!$AL$1),1)+INT((DAY(Sales!$AL$1)-1)/2)+'Cash Drivers'!AN$13,0)=EOMONTH($CE$1,0),Sales!AN$6*Sales!AN$7,0)+IF(EOMONTH(DATE(YEAR(Sales!$AI$1),MONTH(Sales!$AI$1),1)+INT((DAY(Sales!$AI$1)-1)/2)+'Cash Drivers'!AK$13,0)=EOMONTH($CE$1,0),Sales!AK$6*Sales!AK$7,0)+IF(EOMONTH(DATE(YEAR(Sales!$AF$1),MONTH(Sales!$AF$1),1)+INT((DAY(Sales!$AF$1)-1)/2)+'Cash Drivers'!AH$13,0)=EOMONTH($CE$1,0),Sales!AH$6*Sales!AH$7,0)+IF(EOMONTH(DATE(YEAR(Sales!$AC$1),MONTH(Sales!$AC$1),1)+INT((DAY(Sales!$AC$1)-1)/2)+'Cash Drivers'!AE$13,0)=EOMONTH($CE$1,0),Sales!AE$6*Sales!AE$7,0)+IF(EOMONTH(DATE(YEAR(Sales!$Z$1),MONTH(Sales!$Z$1),1)+INT((DAY(Sales!$Z$1)-1)/2)+'Cash Drivers'!AB$13,0)=EOMONTH($CE$1,0),Sales!AB$6*Sales!AB$7,0)+IF(EOMONTH(DATE(YEAR(Sales!$W$1),MONTH(Sales!$W$1),1)+INT((DAY(Sales!$W$1)-1)/2)+'Cash Drivers'!Y$13,0)=EOMONTH($CE$1,0),Sales!Y$6*Sales!Y$7,0)+IF(EOMONTH(DATE(YEAR(Sales!$T$1),MONTH(Sales!$T$1),1)+INT((DAY(Sales!$T$1)-1)/2)+'Cash Drivers'!V$13,0)=EOMONTH($CE$1,0),Sales!V$6*Sales!V$7,0)+IF(EOMONTH(DATE(YEAR(Sales!$Q$1),MONTH(Sales!$Q$1),1)+INT((DAY(Sales!$Q$1)-1)/2)+'Cash Drivers'!S$13,0)=EOMONTH($CE$1,0),Sales!S$6*Sales!S$7,0)+IF(EOMONTH(DATE(YEAR(Sales!$N$1),MONTH(Sales!$N$1),1)+INT((DAY(Sales!$N$1)-1)/2)+'Cash Drivers'!P$13,0)=EOMONTH($CE$1,0),Sales!P$6*Sales!P$7,0)+IF(EOMONTH(DATE(YEAR(Sales!$K$1),MONTH(Sales!$K$1),1)+INT((DAY(Sales!$K$1)-1)/2)+'Cash Drivers'!M$13,0)=EOMONTH($CE$1,0),Sales!M$6*Sales!M$7,0)+IF(EOMONTH('Cash Drivers'!$DL$30+'Cash Drivers'!DN$13,0)=EOMONTH($CE$1,0),'Cash Drivers'!$DL$32*Sales!$DL$60,0),0)</f>
        <v>23370</v>
      </c>
      <c r="CH24" s="58" t="n">
        <f aca="false">ROUND(IF(EOMONTH(DATE(YEAR(Sales!$DL$1),MONTH(Sales!$DL$1),1)+INT((DAY(Sales!$DL$1)-1)/2)+'Cash Drivers'!DL$13,0)=EOMONTH($CH$1,0),Sales!DL$6*Sales!DL$7,0)+IF(EOMONTH(DATE(YEAR(Sales!$DI$1),MONTH(Sales!$DI$1),1)+INT((DAY(Sales!$DI$1)-1)/2)+'Cash Drivers'!DI$13,0)=EOMONTH($CH$1,0),Sales!DI$6*Sales!DI$7,0)+IF(EOMONTH(DATE(YEAR(Sales!$DF$1),MONTH(Sales!$DF$1),1)+INT((DAY(Sales!$DF$1)-1)/2)+'Cash Drivers'!DF$13,0)=EOMONTH($CH$1,0),Sales!DF$6*Sales!DF$7,0)+IF(EOMONTH(DATE(YEAR(Sales!$DC$1),MONTH(Sales!$DC$1),1)+INT((DAY(Sales!$DC$1)-1)/2)+'Cash Drivers'!DC$13,0)=EOMONTH($CH$1,0),Sales!DC$6*Sales!DC$7,0)+IF(EOMONTH(DATE(YEAR(Sales!$CZ$1),MONTH(Sales!$CZ$1),1)+INT((DAY(Sales!$CZ$1)-1)/2)+'Cash Drivers'!CZ$13,0)=EOMONTH($CH$1,0),Sales!CZ$6*Sales!CZ$7,0)+IF(EOMONTH(DATE(YEAR(Sales!$CW$1),MONTH(Sales!$CW$1),1)+INT((DAY(Sales!$CW$1)-1)/2)+'Cash Drivers'!CW$13,0)=EOMONTH($CH$1,0),Sales!CW$6*Sales!CW$7,0)+IF(EOMONTH(DATE(YEAR(Sales!$CT$1),MONTH(Sales!$CT$1),1)+INT((DAY(Sales!$CT$1)-1)/2)+'Cash Drivers'!CT$13,0)=EOMONTH($CH$1,0),Sales!CT$6*Sales!CT$7,0)+IF(EOMONTH(DATE(YEAR(Sales!$CQ$1),MONTH(Sales!$CQ$1),1)+INT((DAY(Sales!$CQ$1)-1)/2)+'Cash Drivers'!CQ$13,0)=EOMONTH($CH$1,0),Sales!CQ$6*Sales!CQ$7,0)+IF(EOMONTH(DATE(YEAR(Sales!$CN$1),MONTH(Sales!$CN$1),1)+INT((DAY(Sales!$CN$1)-1)/2)+'Cash Drivers'!CN$13,0)=EOMONTH($CH$1,0),Sales!CN$6*Sales!CN$7,0)+IF(EOMONTH(DATE(YEAR(Sales!$CK$1),MONTH(Sales!$CK$1),1)+INT((DAY(Sales!$CK$1)-1)/2)+'Cash Drivers'!CK$13,0)=EOMONTH($CH$1,0),Sales!CK$6*Sales!CK$7,0)+IF(EOMONTH(DATE(YEAR(Sales!$CH$1),MONTH(Sales!$CH$1),1)+INT((DAY(Sales!$CH$1)-1)/2)+'Cash Drivers'!CH$13,0)=EOMONTH($CH$1,0),Sales!CH$6*Sales!CH$7,0)+IF(EOMONTH(DATE(YEAR(Sales!$CE$1),MONTH(Sales!$CE$1),1)+INT((DAY(Sales!$CE$1)-1)/2)+'Cash Drivers'!CE$13,0)=EOMONTH($CH$1,0),Sales!CE$6*Sales!CE$7,0)+IF(EOMONTH(DATE(YEAR(Sales!$CB$1),MONTH(Sales!$CB$1),1)+INT((DAY(Sales!$CB$1)-1)/2)+'Cash Drivers'!CB$13,0)=EOMONTH($CH$1,0),Sales!CB$6*Sales!CB$7,0)+IF(EOMONTH(DATE(YEAR(Sales!$BY$1),MONTH(Sales!$BY$1),1)+INT((DAY(Sales!$BY$1)-1)/2)+'Cash Drivers'!BY$13,0)=EOMONTH($CH$1,0),Sales!BY$6*Sales!BY$7,0)+IF(EOMONTH(DATE(YEAR(Sales!$BV$1),MONTH(Sales!$BV$1),1)+INT((DAY(Sales!$BV$1)-1)/2)+'Cash Drivers'!BV$13,0)=EOMONTH($CH$1,0),Sales!BV$6*Sales!BV$7,0)+IF(EOMONTH(DATE(YEAR(Sales!$BS$1),MONTH(Sales!$BS$1),1)+INT((DAY(Sales!$BS$1)-1)/2)+'Cash Drivers'!BS$13,0)=EOMONTH($CH$1,0),Sales!BS$6*Sales!BS$7,0)+IF(EOMONTH(DATE(YEAR(Sales!$BP$1),MONTH(Sales!$BP$1),1)+INT((DAY(Sales!$BP$1)-1)/2)+'Cash Drivers'!BP$13,0)=EOMONTH($CH$1,0),Sales!BP$6*Sales!BP$7,0)+IF(EOMONTH(DATE(YEAR(Sales!$BM$1),MONTH(Sales!$BM$1),1)+INT((DAY(Sales!$BM$1)-1)/2)+'Cash Drivers'!BM$13,0)=EOMONTH($CH$1,0),Sales!BM$6*Sales!BM$7,0)+IF(EOMONTH(DATE(YEAR(Sales!$BJ$1),MONTH(Sales!$BJ$1),1)+INT((DAY(Sales!$BJ$1)-1)/2)+'Cash Drivers'!BJ$13,0)=EOMONTH($CH$1,0),Sales!BJ$6*Sales!BJ$7,0)+IF(EOMONTH(DATE(YEAR(Sales!$BG$1),MONTH(Sales!$BG$1),1)+INT((DAY(Sales!$BG$1)-1)/2)+'Cash Drivers'!BG$13,0)=EOMONTH($CH$1,0),Sales!BG$6*Sales!BG$7,0)+IF(EOMONTH(DATE(YEAR(Sales!$BD$1),MONTH(Sales!$BD$1),1)+INT((DAY(Sales!$BD$1)-1)/2)+'Cash Drivers'!BD$13,0)=EOMONTH($CH$1,0),Sales!BD$6*Sales!BD$7,0)+IF(EOMONTH(DATE(YEAR(Sales!$BA$1),MONTH(Sales!$BA$1),1)+INT((DAY(Sales!$BA$1)-1)/2)+'Cash Drivers'!BA$13,0)=EOMONTH($CH$1,0),Sales!BA$6*Sales!BA$7,0)+IF(EOMONTH(DATE(YEAR(Sales!$AX$1),MONTH(Sales!$AX$1),1)+INT((DAY(Sales!$AX$1)-1)/2)+'Cash Drivers'!AX$13,0)=EOMONTH($CH$1,0),Sales!AX$6*Sales!AX$7,0)+IF(EOMONTH(DATE(YEAR(Sales!$AU$1),MONTH(Sales!$AU$1),1)+INT((DAY(Sales!$AU$1)-1)/2)+'Cash Drivers'!AU$13,0)=EOMONTH($CH$1,0),Sales!AU$6*Sales!AU$7,0)+IF(EOMONTH(DATE(YEAR(Sales!$AR$1),MONTH(Sales!$AR$1),1)+INT((DAY(Sales!$AR$1)-1)/2)+'Cash Drivers'!AR$13,0)=EOMONTH($CH$1,0),Sales!AR$6*Sales!AR$7,0)+IF(EOMONTH(DATE(YEAR(Sales!$AO$1),MONTH(Sales!$AO$1),1)+INT((DAY(Sales!$AO$1)-1)/2)+'Cash Drivers'!AO$13,0)=EOMONTH($CH$1,0),Sales!AO$6*Sales!AO$7,0)+IF(EOMONTH(DATE(YEAR(Sales!$AL$1),MONTH(Sales!$AL$1),1)+INT((DAY(Sales!$AL$1)-1)/2)+'Cash Drivers'!AL$13,0)=EOMONTH($CH$1,0),Sales!AL$6*Sales!AL$7,0)+IF(EOMONTH(DATE(YEAR(Sales!$AI$1),MONTH(Sales!$AI$1),1)+INT((DAY(Sales!$AI$1)-1)/2)+'Cash Drivers'!AI$13,0)=EOMONTH($CH$1,0),Sales!AI$6*Sales!AI$7,0)+IF(EOMONTH(DATE(YEAR(Sales!$AF$1),MONTH(Sales!$AF$1),1)+INT((DAY(Sales!$AF$1)-1)/2)+'Cash Drivers'!AF$13,0)=EOMONTH($CH$1,0),Sales!AF$6*Sales!AF$7,0)+IF(EOMONTH(DATE(YEAR(Sales!$AC$1),MONTH(Sales!$AC$1),1)+INT((DAY(Sales!$AC$1)-1)/2)+'Cash Drivers'!AC$13,0)=EOMONTH($CH$1,0),Sales!AC$6*Sales!AC$7,0)+IF(EOMONTH(DATE(YEAR(Sales!$Z$1),MONTH(Sales!$Z$1),1)+INT((DAY(Sales!$Z$1)-1)/2)+'Cash Drivers'!Z$13,0)=EOMONTH($CH$1,0),Sales!Z$6*Sales!Z$7,0)+IF(EOMONTH(DATE(YEAR(Sales!$W$1),MONTH(Sales!$W$1),1)+INT((DAY(Sales!$W$1)-1)/2)+'Cash Drivers'!W$13,0)=EOMONTH($CH$1,0),Sales!W$6*Sales!W$7,0)+IF(EOMONTH(DATE(YEAR(Sales!$T$1),MONTH(Sales!$T$1),1)+INT((DAY(Sales!$T$1)-1)/2)+'Cash Drivers'!T$13,0)=EOMONTH($CH$1,0),Sales!T$6*Sales!T$7,0)+IF(EOMONTH(DATE(YEAR(Sales!$Q$1),MONTH(Sales!$Q$1),1)+INT((DAY(Sales!$Q$1)-1)/2)+'Cash Drivers'!Q$13,0)=EOMONTH($CH$1,0),Sales!Q$6*Sales!Q$7,0)+IF(EOMONTH(DATE(YEAR(Sales!$N$1),MONTH(Sales!$N$1),1)+INT((DAY(Sales!$N$1)-1)/2)+'Cash Drivers'!N$13,0)=EOMONTH($CH$1,0),Sales!N$6*Sales!N$7,0)+IF(EOMONTH(DATE(YEAR(Sales!$K$1),MONTH(Sales!$K$1),1)+INT((DAY(Sales!$K$1)-1)/2)+'Cash Drivers'!K$13,0)=EOMONTH($CH$1,0),Sales!K$6*Sales!K$7,0)+IF(EOMONTH('Cash Drivers'!$DL$30+'Cash Drivers'!DL$13,0)=EOMONTH($CH$1,0),'Cash Drivers'!$DL$32*Sales!$DL$60,0),0)</f>
        <v>0</v>
      </c>
      <c r="CI24" s="59" t="n">
        <f aca="false">ROUND(IF(EOMONTH(DATE(YEAR(Sales!$DL$1),MONTH(Sales!$DL$1),1)+INT((DAY(Sales!$DL$1)-1)/2)+'Cash Drivers'!DM$13,0)=EOMONTH($CH$1,0),Sales!DM$6*Sales!DM$7,0)+IF(EOMONTH(DATE(YEAR(Sales!$DI$1),MONTH(Sales!$DI$1),1)+INT((DAY(Sales!$DI$1)-1)/2)+'Cash Drivers'!DJ$13,0)=EOMONTH($CH$1,0),Sales!DJ$6*Sales!DJ$7,0)+IF(EOMONTH(DATE(YEAR(Sales!$DF$1),MONTH(Sales!$DF$1),1)+INT((DAY(Sales!$DF$1)-1)/2)+'Cash Drivers'!DG$13,0)=EOMONTH($CH$1,0),Sales!DG$6*Sales!DG$7,0)+IF(EOMONTH(DATE(YEAR(Sales!$DC$1),MONTH(Sales!$DC$1),1)+INT((DAY(Sales!$DC$1)-1)/2)+'Cash Drivers'!DD$13,0)=EOMONTH($CH$1,0),Sales!DD$6*Sales!DD$7,0)+IF(EOMONTH(DATE(YEAR(Sales!$CZ$1),MONTH(Sales!$CZ$1),1)+INT((DAY(Sales!$CZ$1)-1)/2)+'Cash Drivers'!DA$13,0)=EOMONTH($CH$1,0),Sales!DA$6*Sales!DA$7,0)+IF(EOMONTH(DATE(YEAR(Sales!$CW$1),MONTH(Sales!$CW$1),1)+INT((DAY(Sales!$CW$1)-1)/2)+'Cash Drivers'!CX$13,0)=EOMONTH($CH$1,0),Sales!CX$6*Sales!CX$7,0)+IF(EOMONTH(DATE(YEAR(Sales!$CT$1),MONTH(Sales!$CT$1),1)+INT((DAY(Sales!$CT$1)-1)/2)+'Cash Drivers'!CU$13,0)=EOMONTH($CH$1,0),Sales!CU$6*Sales!CU$7,0)+IF(EOMONTH(DATE(YEAR(Sales!$CQ$1),MONTH(Sales!$CQ$1),1)+INT((DAY(Sales!$CQ$1)-1)/2)+'Cash Drivers'!CR$13,0)=EOMONTH($CH$1,0),Sales!CR$6*Sales!CR$7,0)+IF(EOMONTH(DATE(YEAR(Sales!$CN$1),MONTH(Sales!$CN$1),1)+INT((DAY(Sales!$CN$1)-1)/2)+'Cash Drivers'!CO$13,0)=EOMONTH($CH$1,0),Sales!CO$6*Sales!CO$7,0)+IF(EOMONTH(DATE(YEAR(Sales!$CK$1),MONTH(Sales!$CK$1),1)+INT((DAY(Sales!$CK$1)-1)/2)+'Cash Drivers'!CL$13,0)=EOMONTH($CH$1,0),Sales!CL$6*Sales!CL$7,0)+IF(EOMONTH(DATE(YEAR(Sales!$CH$1),MONTH(Sales!$CH$1),1)+INT((DAY(Sales!$CH$1)-1)/2)+'Cash Drivers'!CI$13,0)=EOMONTH($CH$1,0),Sales!CI$6*Sales!CI$7,0)+IF(EOMONTH(DATE(YEAR(Sales!$CE$1),MONTH(Sales!$CE$1),1)+INT((DAY(Sales!$CE$1)-1)/2)+'Cash Drivers'!CF$13,0)=EOMONTH($CH$1,0),Sales!CF$6*Sales!CF$7,0)+IF(EOMONTH(DATE(YEAR(Sales!$CB$1),MONTH(Sales!$CB$1),1)+INT((DAY(Sales!$CB$1)-1)/2)+'Cash Drivers'!CC$13,0)=EOMONTH($CH$1,0),Sales!CC$6*Sales!CC$7,0)+IF(EOMONTH(DATE(YEAR(Sales!$BY$1),MONTH(Sales!$BY$1),1)+INT((DAY(Sales!$BY$1)-1)/2)+'Cash Drivers'!BZ$13,0)=EOMONTH($CH$1,0),Sales!BZ$6*Sales!BZ$7,0)+IF(EOMONTH(DATE(YEAR(Sales!$BV$1),MONTH(Sales!$BV$1),1)+INT((DAY(Sales!$BV$1)-1)/2)+'Cash Drivers'!BW$13,0)=EOMONTH($CH$1,0),Sales!BW$6*Sales!BW$7,0)+IF(EOMONTH(DATE(YEAR(Sales!$BS$1),MONTH(Sales!$BS$1),1)+INT((DAY(Sales!$BS$1)-1)/2)+'Cash Drivers'!BT$13,0)=EOMONTH($CH$1,0),Sales!BT$6*Sales!BT$7,0)+IF(EOMONTH(DATE(YEAR(Sales!$BP$1),MONTH(Sales!$BP$1),1)+INT((DAY(Sales!$BP$1)-1)/2)+'Cash Drivers'!BQ$13,0)=EOMONTH($CH$1,0),Sales!BQ$6*Sales!BQ$7,0)+IF(EOMONTH(DATE(YEAR(Sales!$BM$1),MONTH(Sales!$BM$1),1)+INT((DAY(Sales!$BM$1)-1)/2)+'Cash Drivers'!BN$13,0)=EOMONTH($CH$1,0),Sales!BN$6*Sales!BN$7,0)+IF(EOMONTH(DATE(YEAR(Sales!$BJ$1),MONTH(Sales!$BJ$1),1)+INT((DAY(Sales!$BJ$1)-1)/2)+'Cash Drivers'!BK$13,0)=EOMONTH($CH$1,0),Sales!BK$6*Sales!BK$7,0)+IF(EOMONTH(DATE(YEAR(Sales!$BG$1),MONTH(Sales!$BG$1),1)+INT((DAY(Sales!$BG$1)-1)/2)+'Cash Drivers'!BH$13,0)=EOMONTH($CH$1,0),Sales!BH$6*Sales!BH$7,0)+IF(EOMONTH(DATE(YEAR(Sales!$BD$1),MONTH(Sales!$BD$1),1)+INT((DAY(Sales!$BD$1)-1)/2)+'Cash Drivers'!BE$13,0)=EOMONTH($CH$1,0),Sales!BE$6*Sales!BE$7,0)+IF(EOMONTH(DATE(YEAR(Sales!$BA$1),MONTH(Sales!$BA$1),1)+INT((DAY(Sales!$BA$1)-1)/2)+'Cash Drivers'!BB$13,0)=EOMONTH($CH$1,0),Sales!BB$6*Sales!BB$7,0)+IF(EOMONTH(DATE(YEAR(Sales!$AX$1),MONTH(Sales!$AX$1),1)+INT((DAY(Sales!$AX$1)-1)/2)+'Cash Drivers'!AY$13,0)=EOMONTH($CH$1,0),Sales!AY$6*Sales!AY$7,0)+IF(EOMONTH(DATE(YEAR(Sales!$AU$1),MONTH(Sales!$AU$1),1)+INT((DAY(Sales!$AU$1)-1)/2)+'Cash Drivers'!AV$13,0)=EOMONTH($CH$1,0),Sales!AV$6*Sales!AV$7,0)+IF(EOMONTH(DATE(YEAR(Sales!$AR$1),MONTH(Sales!$AR$1),1)+INT((DAY(Sales!$AR$1)-1)/2)+'Cash Drivers'!AS$13,0)=EOMONTH($CH$1,0),Sales!AS$6*Sales!AS$7,0)+IF(EOMONTH(DATE(YEAR(Sales!$AO$1),MONTH(Sales!$AO$1),1)+INT((DAY(Sales!$AO$1)-1)/2)+'Cash Drivers'!AP$13,0)=EOMONTH($CH$1,0),Sales!AP$6*Sales!AP$7,0)+IF(EOMONTH(DATE(YEAR(Sales!$AL$1),MONTH(Sales!$AL$1),1)+INT((DAY(Sales!$AL$1)-1)/2)+'Cash Drivers'!AM$13,0)=EOMONTH($CH$1,0),Sales!AM$6*Sales!AM$7,0)+IF(EOMONTH(DATE(YEAR(Sales!$AI$1),MONTH(Sales!$AI$1),1)+INT((DAY(Sales!$AI$1)-1)/2)+'Cash Drivers'!AJ$13,0)=EOMONTH($CH$1,0),Sales!AJ$6*Sales!AJ$7,0)+IF(EOMONTH(DATE(YEAR(Sales!$AF$1),MONTH(Sales!$AF$1),1)+INT((DAY(Sales!$AF$1)-1)/2)+'Cash Drivers'!AG$13,0)=EOMONTH($CH$1,0),Sales!AG$6*Sales!AG$7,0)+IF(EOMONTH(DATE(YEAR(Sales!$AC$1),MONTH(Sales!$AC$1),1)+INT((DAY(Sales!$AC$1)-1)/2)+'Cash Drivers'!AD$13,0)=EOMONTH($CH$1,0),Sales!AD$6*Sales!AD$7,0)+IF(EOMONTH(DATE(YEAR(Sales!$Z$1),MONTH(Sales!$Z$1),1)+INT((DAY(Sales!$Z$1)-1)/2)+'Cash Drivers'!AA$13,0)=EOMONTH($CH$1,0),Sales!AA$6*Sales!AA$7,0)+IF(EOMONTH(DATE(YEAR(Sales!$W$1),MONTH(Sales!$W$1),1)+INT((DAY(Sales!$W$1)-1)/2)+'Cash Drivers'!X$13,0)=EOMONTH($CH$1,0),Sales!X$6*Sales!X$7,0)+IF(EOMONTH(DATE(YEAR(Sales!$T$1),MONTH(Sales!$T$1),1)+INT((DAY(Sales!$T$1)-1)/2)+'Cash Drivers'!U$13,0)=EOMONTH($CH$1,0),Sales!U$6*Sales!U$7,0)+IF(EOMONTH(DATE(YEAR(Sales!$Q$1),MONTH(Sales!$Q$1),1)+INT((DAY(Sales!$Q$1)-1)/2)+'Cash Drivers'!R$13,0)=EOMONTH($CH$1,0),Sales!R$6*Sales!R$7,0)+IF(EOMONTH(DATE(YEAR(Sales!$N$1),MONTH(Sales!$N$1),1)+INT((DAY(Sales!$N$1)-1)/2)+'Cash Drivers'!O$13,0)=EOMONTH($CH$1,0),Sales!O$6*Sales!O$7,0)+IF(EOMONTH(DATE(YEAR(Sales!$K$1),MONTH(Sales!$K$1),1)+INT((DAY(Sales!$K$1)-1)/2)+'Cash Drivers'!L$13,0)=EOMONTH($CH$1,0),Sales!L$6*Sales!L$7,0)+IF(EOMONTH('Cash Drivers'!$DL$30+'Cash Drivers'!DM$13,0)=EOMONTH($CH$1,0),'Cash Drivers'!$DL$32*Sales!$DL$60,0),0)</f>
        <v>23256</v>
      </c>
      <c r="CJ24" s="60" t="n">
        <f aca="false">ROUND(IF(EOMONTH(DATE(YEAR(Sales!$DL$1),MONTH(Sales!$DL$1),1)+INT((DAY(Sales!$DL$1)-1)/2)+'Cash Drivers'!DN$13,0)=EOMONTH($CH$1,0),Sales!DN$6*Sales!DN$7,0)+IF(EOMONTH(DATE(YEAR(Sales!$DI$1),MONTH(Sales!$DI$1),1)+INT((DAY(Sales!$DI$1)-1)/2)+'Cash Drivers'!DK$13,0)=EOMONTH($CH$1,0),Sales!DK$6*Sales!DK$7,0)+IF(EOMONTH(DATE(YEAR(Sales!$DF$1),MONTH(Sales!$DF$1),1)+INT((DAY(Sales!$DF$1)-1)/2)+'Cash Drivers'!DH$13,0)=EOMONTH($CH$1,0),Sales!DH$6*Sales!DH$7,0)+IF(EOMONTH(DATE(YEAR(Sales!$DC$1),MONTH(Sales!$DC$1),1)+INT((DAY(Sales!$DC$1)-1)/2)+'Cash Drivers'!DE$13,0)=EOMONTH($CH$1,0),Sales!DE$6*Sales!DE$7,0)+IF(EOMONTH(DATE(YEAR(Sales!$CZ$1),MONTH(Sales!$CZ$1),1)+INT((DAY(Sales!$CZ$1)-1)/2)+'Cash Drivers'!DB$13,0)=EOMONTH($CH$1,0),Sales!DB$6*Sales!DB$7,0)+IF(EOMONTH(DATE(YEAR(Sales!$CW$1),MONTH(Sales!$CW$1),1)+INT((DAY(Sales!$CW$1)-1)/2)+'Cash Drivers'!CY$13,0)=EOMONTH($CH$1,0),Sales!CY$6*Sales!CY$7,0)+IF(EOMONTH(DATE(YEAR(Sales!$CT$1),MONTH(Sales!$CT$1),1)+INT((DAY(Sales!$CT$1)-1)/2)+'Cash Drivers'!CV$13,0)=EOMONTH($CH$1,0),Sales!CV$6*Sales!CV$7,0)+IF(EOMONTH(DATE(YEAR(Sales!$CQ$1),MONTH(Sales!$CQ$1),1)+INT((DAY(Sales!$CQ$1)-1)/2)+'Cash Drivers'!CS$13,0)=EOMONTH($CH$1,0),Sales!CS$6*Sales!CS$7,0)+IF(EOMONTH(DATE(YEAR(Sales!$CN$1),MONTH(Sales!$CN$1),1)+INT((DAY(Sales!$CN$1)-1)/2)+'Cash Drivers'!CP$13,0)=EOMONTH($CH$1,0),Sales!CP$6*Sales!CP$7,0)+IF(EOMONTH(DATE(YEAR(Sales!$CK$1),MONTH(Sales!$CK$1),1)+INT((DAY(Sales!$CK$1)-1)/2)+'Cash Drivers'!CM$13,0)=EOMONTH($CH$1,0),Sales!CM$6*Sales!CM$7,0)+IF(EOMONTH(DATE(YEAR(Sales!$CH$1),MONTH(Sales!$CH$1),1)+INT((DAY(Sales!$CH$1)-1)/2)+'Cash Drivers'!CJ$13,0)=EOMONTH($CH$1,0),Sales!CJ$6*Sales!CJ$7,0)+IF(EOMONTH(DATE(YEAR(Sales!$CE$1),MONTH(Sales!$CE$1),1)+INT((DAY(Sales!$CE$1)-1)/2)+'Cash Drivers'!CG$13,0)=EOMONTH($CH$1,0),Sales!CG$6*Sales!CG$7,0)+IF(EOMONTH(DATE(YEAR(Sales!$CB$1),MONTH(Sales!$CB$1),1)+INT((DAY(Sales!$CB$1)-1)/2)+'Cash Drivers'!CD$13,0)=EOMONTH($CH$1,0),Sales!CD$6*Sales!CD$7,0)+IF(EOMONTH(DATE(YEAR(Sales!$BY$1),MONTH(Sales!$BY$1),1)+INT((DAY(Sales!$BY$1)-1)/2)+'Cash Drivers'!CA$13,0)=EOMONTH($CH$1,0),Sales!CA$6*Sales!CA$7,0)+IF(EOMONTH(DATE(YEAR(Sales!$BV$1),MONTH(Sales!$BV$1),1)+INT((DAY(Sales!$BV$1)-1)/2)+'Cash Drivers'!BX$13,0)=EOMONTH($CH$1,0),Sales!BX$6*Sales!BX$7,0)+IF(EOMONTH(DATE(YEAR(Sales!$BS$1),MONTH(Sales!$BS$1),1)+INT((DAY(Sales!$BS$1)-1)/2)+'Cash Drivers'!BU$13,0)=EOMONTH($CH$1,0),Sales!BU$6*Sales!BU$7,0)+IF(EOMONTH(DATE(YEAR(Sales!$BP$1),MONTH(Sales!$BP$1),1)+INT((DAY(Sales!$BP$1)-1)/2)+'Cash Drivers'!BR$13,0)=EOMONTH($CH$1,0),Sales!BR$6*Sales!BR$7,0)+IF(EOMONTH(DATE(YEAR(Sales!$BM$1),MONTH(Sales!$BM$1),1)+INT((DAY(Sales!$BM$1)-1)/2)+'Cash Drivers'!BO$13,0)=EOMONTH($CH$1,0),Sales!BO$6*Sales!BO$7,0)+IF(EOMONTH(DATE(YEAR(Sales!$BJ$1),MONTH(Sales!$BJ$1),1)+INT((DAY(Sales!$BJ$1)-1)/2)+'Cash Drivers'!BL$13,0)=EOMONTH($CH$1,0),Sales!BL$6*Sales!BL$7,0)+IF(EOMONTH(DATE(YEAR(Sales!$BG$1),MONTH(Sales!$BG$1),1)+INT((DAY(Sales!$BG$1)-1)/2)+'Cash Drivers'!BI$13,0)=EOMONTH($CH$1,0),Sales!BI$6*Sales!BI$7,0)+IF(EOMONTH(DATE(YEAR(Sales!$BD$1),MONTH(Sales!$BD$1),1)+INT((DAY(Sales!$BD$1)-1)/2)+'Cash Drivers'!BF$13,0)=EOMONTH($CH$1,0),Sales!BF$6*Sales!BF$7,0)+IF(EOMONTH(DATE(YEAR(Sales!$BA$1),MONTH(Sales!$BA$1),1)+INT((DAY(Sales!$BA$1)-1)/2)+'Cash Drivers'!BC$13,0)=EOMONTH($CH$1,0),Sales!BC$6*Sales!BC$7,0)+IF(EOMONTH(DATE(YEAR(Sales!$AX$1),MONTH(Sales!$AX$1),1)+INT((DAY(Sales!$AX$1)-1)/2)+'Cash Drivers'!AZ$13,0)=EOMONTH($CH$1,0),Sales!AZ$6*Sales!AZ$7,0)+IF(EOMONTH(DATE(YEAR(Sales!$AU$1),MONTH(Sales!$AU$1),1)+INT((DAY(Sales!$AU$1)-1)/2)+'Cash Drivers'!AW$13,0)=EOMONTH($CH$1,0),Sales!AW$6*Sales!AW$7,0)+IF(EOMONTH(DATE(YEAR(Sales!$AR$1),MONTH(Sales!$AR$1),1)+INT((DAY(Sales!$AR$1)-1)/2)+'Cash Drivers'!AT$13,0)=EOMONTH($CH$1,0),Sales!AT$6*Sales!AT$7,0)+IF(EOMONTH(DATE(YEAR(Sales!$AO$1),MONTH(Sales!$AO$1),1)+INT((DAY(Sales!$AO$1)-1)/2)+'Cash Drivers'!AQ$13,0)=EOMONTH($CH$1,0),Sales!AQ$6*Sales!AQ$7,0)+IF(EOMONTH(DATE(YEAR(Sales!$AL$1),MONTH(Sales!$AL$1),1)+INT((DAY(Sales!$AL$1)-1)/2)+'Cash Drivers'!AN$13,0)=EOMONTH($CH$1,0),Sales!AN$6*Sales!AN$7,0)+IF(EOMONTH(DATE(YEAR(Sales!$AI$1),MONTH(Sales!$AI$1),1)+INT((DAY(Sales!$AI$1)-1)/2)+'Cash Drivers'!AK$13,0)=EOMONTH($CH$1,0),Sales!AK$6*Sales!AK$7,0)+IF(EOMONTH(DATE(YEAR(Sales!$AF$1),MONTH(Sales!$AF$1),1)+INT((DAY(Sales!$AF$1)-1)/2)+'Cash Drivers'!AH$13,0)=EOMONTH($CH$1,0),Sales!AH$6*Sales!AH$7,0)+IF(EOMONTH(DATE(YEAR(Sales!$AC$1),MONTH(Sales!$AC$1),1)+INT((DAY(Sales!$AC$1)-1)/2)+'Cash Drivers'!AE$13,0)=EOMONTH($CH$1,0),Sales!AE$6*Sales!AE$7,0)+IF(EOMONTH(DATE(YEAR(Sales!$Z$1),MONTH(Sales!$Z$1),1)+INT((DAY(Sales!$Z$1)-1)/2)+'Cash Drivers'!AB$13,0)=EOMONTH($CH$1,0),Sales!AB$6*Sales!AB$7,0)+IF(EOMONTH(DATE(YEAR(Sales!$W$1),MONTH(Sales!$W$1),1)+INT((DAY(Sales!$W$1)-1)/2)+'Cash Drivers'!Y$13,0)=EOMONTH($CH$1,0),Sales!Y$6*Sales!Y$7,0)+IF(EOMONTH(DATE(YEAR(Sales!$T$1),MONTH(Sales!$T$1),1)+INT((DAY(Sales!$T$1)-1)/2)+'Cash Drivers'!V$13,0)=EOMONTH($CH$1,0),Sales!V$6*Sales!V$7,0)+IF(EOMONTH(DATE(YEAR(Sales!$Q$1),MONTH(Sales!$Q$1),1)+INT((DAY(Sales!$Q$1)-1)/2)+'Cash Drivers'!S$13,0)=EOMONTH($CH$1,0),Sales!S$6*Sales!S$7,0)+IF(EOMONTH(DATE(YEAR(Sales!$N$1),MONTH(Sales!$N$1),1)+INT((DAY(Sales!$N$1)-1)/2)+'Cash Drivers'!P$13,0)=EOMONTH($CH$1,0),Sales!P$6*Sales!P$7,0)+IF(EOMONTH(DATE(YEAR(Sales!$K$1),MONTH(Sales!$K$1),1)+INT((DAY(Sales!$K$1)-1)/2)+'Cash Drivers'!M$13,0)=EOMONTH($CH$1,0),Sales!M$6*Sales!M$7,0)+IF(EOMONTH('Cash Drivers'!$DL$30+'Cash Drivers'!DN$13,0)=EOMONTH($CH$1,0),'Cash Drivers'!$DL$32*Sales!$DL$60,0),0)</f>
        <v>23313</v>
      </c>
      <c r="CK24" s="58" t="n">
        <f aca="false">ROUND(IF(EOMONTH(DATE(YEAR(Sales!$DL$1),MONTH(Sales!$DL$1),1)+INT((DAY(Sales!$DL$1)-1)/2)+'Cash Drivers'!DL$13,0)=EOMONTH($CK$1,0),Sales!DL$6*Sales!DL$7,0)+IF(EOMONTH(DATE(YEAR(Sales!$DI$1),MONTH(Sales!$DI$1),1)+INT((DAY(Sales!$DI$1)-1)/2)+'Cash Drivers'!DI$13,0)=EOMONTH($CK$1,0),Sales!DI$6*Sales!DI$7,0)+IF(EOMONTH(DATE(YEAR(Sales!$DF$1),MONTH(Sales!$DF$1),1)+INT((DAY(Sales!$DF$1)-1)/2)+'Cash Drivers'!DF$13,0)=EOMONTH($CK$1,0),Sales!DF$6*Sales!DF$7,0)+IF(EOMONTH(DATE(YEAR(Sales!$DC$1),MONTH(Sales!$DC$1),1)+INT((DAY(Sales!$DC$1)-1)/2)+'Cash Drivers'!DC$13,0)=EOMONTH($CK$1,0),Sales!DC$6*Sales!DC$7,0)+IF(EOMONTH(DATE(YEAR(Sales!$CZ$1),MONTH(Sales!$CZ$1),1)+INT((DAY(Sales!$CZ$1)-1)/2)+'Cash Drivers'!CZ$13,0)=EOMONTH($CK$1,0),Sales!CZ$6*Sales!CZ$7,0)+IF(EOMONTH(DATE(YEAR(Sales!$CW$1),MONTH(Sales!$CW$1),1)+INT((DAY(Sales!$CW$1)-1)/2)+'Cash Drivers'!CW$13,0)=EOMONTH($CK$1,0),Sales!CW$6*Sales!CW$7,0)+IF(EOMONTH(DATE(YEAR(Sales!$CT$1),MONTH(Sales!$CT$1),1)+INT((DAY(Sales!$CT$1)-1)/2)+'Cash Drivers'!CT$13,0)=EOMONTH($CK$1,0),Sales!CT$6*Sales!CT$7,0)+IF(EOMONTH(DATE(YEAR(Sales!$CQ$1),MONTH(Sales!$CQ$1),1)+INT((DAY(Sales!$CQ$1)-1)/2)+'Cash Drivers'!CQ$13,0)=EOMONTH($CK$1,0),Sales!CQ$6*Sales!CQ$7,0)+IF(EOMONTH(DATE(YEAR(Sales!$CN$1),MONTH(Sales!$CN$1),1)+INT((DAY(Sales!$CN$1)-1)/2)+'Cash Drivers'!CN$13,0)=EOMONTH($CK$1,0),Sales!CN$6*Sales!CN$7,0)+IF(EOMONTH(DATE(YEAR(Sales!$CK$1),MONTH(Sales!$CK$1),1)+INT((DAY(Sales!$CK$1)-1)/2)+'Cash Drivers'!CK$13,0)=EOMONTH($CK$1,0),Sales!CK$6*Sales!CK$7,0)+IF(EOMONTH(DATE(YEAR(Sales!$CH$1),MONTH(Sales!$CH$1),1)+INT((DAY(Sales!$CH$1)-1)/2)+'Cash Drivers'!CH$13,0)=EOMONTH($CK$1,0),Sales!CH$6*Sales!CH$7,0)+IF(EOMONTH(DATE(YEAR(Sales!$CE$1),MONTH(Sales!$CE$1),1)+INT((DAY(Sales!$CE$1)-1)/2)+'Cash Drivers'!CE$13,0)=EOMONTH($CK$1,0),Sales!CE$6*Sales!CE$7,0)+IF(EOMONTH(DATE(YEAR(Sales!$CB$1),MONTH(Sales!$CB$1),1)+INT((DAY(Sales!$CB$1)-1)/2)+'Cash Drivers'!CB$13,0)=EOMONTH($CK$1,0),Sales!CB$6*Sales!CB$7,0)+IF(EOMONTH(DATE(YEAR(Sales!$BY$1),MONTH(Sales!$BY$1),1)+INT((DAY(Sales!$BY$1)-1)/2)+'Cash Drivers'!BY$13,0)=EOMONTH($CK$1,0),Sales!BY$6*Sales!BY$7,0)+IF(EOMONTH(DATE(YEAR(Sales!$BV$1),MONTH(Sales!$BV$1),1)+INT((DAY(Sales!$BV$1)-1)/2)+'Cash Drivers'!BV$13,0)=EOMONTH($CK$1,0),Sales!BV$6*Sales!BV$7,0)+IF(EOMONTH(DATE(YEAR(Sales!$BS$1),MONTH(Sales!$BS$1),1)+INT((DAY(Sales!$BS$1)-1)/2)+'Cash Drivers'!BS$13,0)=EOMONTH($CK$1,0),Sales!BS$6*Sales!BS$7,0)+IF(EOMONTH(DATE(YEAR(Sales!$BP$1),MONTH(Sales!$BP$1),1)+INT((DAY(Sales!$BP$1)-1)/2)+'Cash Drivers'!BP$13,0)=EOMONTH($CK$1,0),Sales!BP$6*Sales!BP$7,0)+IF(EOMONTH(DATE(YEAR(Sales!$BM$1),MONTH(Sales!$BM$1),1)+INT((DAY(Sales!$BM$1)-1)/2)+'Cash Drivers'!BM$13,0)=EOMONTH($CK$1,0),Sales!BM$6*Sales!BM$7,0)+IF(EOMONTH(DATE(YEAR(Sales!$BJ$1),MONTH(Sales!$BJ$1),1)+INT((DAY(Sales!$BJ$1)-1)/2)+'Cash Drivers'!BJ$13,0)=EOMONTH($CK$1,0),Sales!BJ$6*Sales!BJ$7,0)+IF(EOMONTH(DATE(YEAR(Sales!$BG$1),MONTH(Sales!$BG$1),1)+INT((DAY(Sales!$BG$1)-1)/2)+'Cash Drivers'!BG$13,0)=EOMONTH($CK$1,0),Sales!BG$6*Sales!BG$7,0)+IF(EOMONTH(DATE(YEAR(Sales!$BD$1),MONTH(Sales!$BD$1),1)+INT((DAY(Sales!$BD$1)-1)/2)+'Cash Drivers'!BD$13,0)=EOMONTH($CK$1,0),Sales!BD$6*Sales!BD$7,0)+IF(EOMONTH(DATE(YEAR(Sales!$BA$1),MONTH(Sales!$BA$1),1)+INT((DAY(Sales!$BA$1)-1)/2)+'Cash Drivers'!BA$13,0)=EOMONTH($CK$1,0),Sales!BA$6*Sales!BA$7,0)+IF(EOMONTH(DATE(YEAR(Sales!$AX$1),MONTH(Sales!$AX$1),1)+INT((DAY(Sales!$AX$1)-1)/2)+'Cash Drivers'!AX$13,0)=EOMONTH($CK$1,0),Sales!AX$6*Sales!AX$7,0)+IF(EOMONTH(DATE(YEAR(Sales!$AU$1),MONTH(Sales!$AU$1),1)+INT((DAY(Sales!$AU$1)-1)/2)+'Cash Drivers'!AU$13,0)=EOMONTH($CK$1,0),Sales!AU$6*Sales!AU$7,0)+IF(EOMONTH(DATE(YEAR(Sales!$AR$1),MONTH(Sales!$AR$1),1)+INT((DAY(Sales!$AR$1)-1)/2)+'Cash Drivers'!AR$13,0)=EOMONTH($CK$1,0),Sales!AR$6*Sales!AR$7,0)+IF(EOMONTH(DATE(YEAR(Sales!$AO$1),MONTH(Sales!$AO$1),1)+INT((DAY(Sales!$AO$1)-1)/2)+'Cash Drivers'!AO$13,0)=EOMONTH($CK$1,0),Sales!AO$6*Sales!AO$7,0)+IF(EOMONTH(DATE(YEAR(Sales!$AL$1),MONTH(Sales!$AL$1),1)+INT((DAY(Sales!$AL$1)-1)/2)+'Cash Drivers'!AL$13,0)=EOMONTH($CK$1,0),Sales!AL$6*Sales!AL$7,0)+IF(EOMONTH(DATE(YEAR(Sales!$AI$1),MONTH(Sales!$AI$1),1)+INT((DAY(Sales!$AI$1)-1)/2)+'Cash Drivers'!AI$13,0)=EOMONTH($CK$1,0),Sales!AI$6*Sales!AI$7,0)+IF(EOMONTH(DATE(YEAR(Sales!$AF$1),MONTH(Sales!$AF$1),1)+INT((DAY(Sales!$AF$1)-1)/2)+'Cash Drivers'!AF$13,0)=EOMONTH($CK$1,0),Sales!AF$6*Sales!AF$7,0)+IF(EOMONTH(DATE(YEAR(Sales!$AC$1),MONTH(Sales!$AC$1),1)+INT((DAY(Sales!$AC$1)-1)/2)+'Cash Drivers'!AC$13,0)=EOMONTH($CK$1,0),Sales!AC$6*Sales!AC$7,0)+IF(EOMONTH(DATE(YEAR(Sales!$Z$1),MONTH(Sales!$Z$1),1)+INT((DAY(Sales!$Z$1)-1)/2)+'Cash Drivers'!Z$13,0)=EOMONTH($CK$1,0),Sales!Z$6*Sales!Z$7,0)+IF(EOMONTH(DATE(YEAR(Sales!$W$1),MONTH(Sales!$W$1),1)+INT((DAY(Sales!$W$1)-1)/2)+'Cash Drivers'!W$13,0)=EOMONTH($CK$1,0),Sales!W$6*Sales!W$7,0)+IF(EOMONTH(DATE(YEAR(Sales!$T$1),MONTH(Sales!$T$1),1)+INT((DAY(Sales!$T$1)-1)/2)+'Cash Drivers'!T$13,0)=EOMONTH($CK$1,0),Sales!T$6*Sales!T$7,0)+IF(EOMONTH(DATE(YEAR(Sales!$Q$1),MONTH(Sales!$Q$1),1)+INT((DAY(Sales!$Q$1)-1)/2)+'Cash Drivers'!Q$13,0)=EOMONTH($CK$1,0),Sales!Q$6*Sales!Q$7,0)+IF(EOMONTH(DATE(YEAR(Sales!$N$1),MONTH(Sales!$N$1),1)+INT((DAY(Sales!$N$1)-1)/2)+'Cash Drivers'!N$13,0)=EOMONTH($CK$1,0),Sales!N$6*Sales!N$7,0)+IF(EOMONTH(DATE(YEAR(Sales!$K$1),MONTH(Sales!$K$1),1)+INT((DAY(Sales!$K$1)-1)/2)+'Cash Drivers'!K$13,0)=EOMONTH($CK$1,0),Sales!K$6*Sales!K$7,0)+IF(EOMONTH('Cash Drivers'!$DL$30+'Cash Drivers'!DL$13,0)=EOMONTH($CK$1,0),'Cash Drivers'!$DL$32*Sales!$DL$60,0),0)</f>
        <v>0</v>
      </c>
      <c r="CL24" s="59" t="n">
        <f aca="false">ROUND(IF(EOMONTH(DATE(YEAR(Sales!$DL$1),MONTH(Sales!$DL$1),1)+INT((DAY(Sales!$DL$1)-1)/2)+'Cash Drivers'!DM$13,0)=EOMONTH($CK$1,0),Sales!DM$6*Sales!DM$7,0)+IF(EOMONTH(DATE(YEAR(Sales!$DI$1),MONTH(Sales!$DI$1),1)+INT((DAY(Sales!$DI$1)-1)/2)+'Cash Drivers'!DJ$13,0)=EOMONTH($CK$1,0),Sales!DJ$6*Sales!DJ$7,0)+IF(EOMONTH(DATE(YEAR(Sales!$DF$1),MONTH(Sales!$DF$1),1)+INT((DAY(Sales!$DF$1)-1)/2)+'Cash Drivers'!DG$13,0)=EOMONTH($CK$1,0),Sales!DG$6*Sales!DG$7,0)+IF(EOMONTH(DATE(YEAR(Sales!$DC$1),MONTH(Sales!$DC$1),1)+INT((DAY(Sales!$DC$1)-1)/2)+'Cash Drivers'!DD$13,0)=EOMONTH($CK$1,0),Sales!DD$6*Sales!DD$7,0)+IF(EOMONTH(DATE(YEAR(Sales!$CZ$1),MONTH(Sales!$CZ$1),1)+INT((DAY(Sales!$CZ$1)-1)/2)+'Cash Drivers'!DA$13,0)=EOMONTH($CK$1,0),Sales!DA$6*Sales!DA$7,0)+IF(EOMONTH(DATE(YEAR(Sales!$CW$1),MONTH(Sales!$CW$1),1)+INT((DAY(Sales!$CW$1)-1)/2)+'Cash Drivers'!CX$13,0)=EOMONTH($CK$1,0),Sales!CX$6*Sales!CX$7,0)+IF(EOMONTH(DATE(YEAR(Sales!$CT$1),MONTH(Sales!$CT$1),1)+INT((DAY(Sales!$CT$1)-1)/2)+'Cash Drivers'!CU$13,0)=EOMONTH($CK$1,0),Sales!CU$6*Sales!CU$7,0)+IF(EOMONTH(DATE(YEAR(Sales!$CQ$1),MONTH(Sales!$CQ$1),1)+INT((DAY(Sales!$CQ$1)-1)/2)+'Cash Drivers'!CR$13,0)=EOMONTH($CK$1,0),Sales!CR$6*Sales!CR$7,0)+IF(EOMONTH(DATE(YEAR(Sales!$CN$1),MONTH(Sales!$CN$1),1)+INT((DAY(Sales!$CN$1)-1)/2)+'Cash Drivers'!CO$13,0)=EOMONTH($CK$1,0),Sales!CO$6*Sales!CO$7,0)+IF(EOMONTH(DATE(YEAR(Sales!$CK$1),MONTH(Sales!$CK$1),1)+INT((DAY(Sales!$CK$1)-1)/2)+'Cash Drivers'!CL$13,0)=EOMONTH($CK$1,0),Sales!CL$6*Sales!CL$7,0)+IF(EOMONTH(DATE(YEAR(Sales!$CH$1),MONTH(Sales!$CH$1),1)+INT((DAY(Sales!$CH$1)-1)/2)+'Cash Drivers'!CI$13,0)=EOMONTH($CK$1,0),Sales!CI$6*Sales!CI$7,0)+IF(EOMONTH(DATE(YEAR(Sales!$CE$1),MONTH(Sales!$CE$1),1)+INT((DAY(Sales!$CE$1)-1)/2)+'Cash Drivers'!CF$13,0)=EOMONTH($CK$1,0),Sales!CF$6*Sales!CF$7,0)+IF(EOMONTH(DATE(YEAR(Sales!$CB$1),MONTH(Sales!$CB$1),1)+INT((DAY(Sales!$CB$1)-1)/2)+'Cash Drivers'!CC$13,0)=EOMONTH($CK$1,0),Sales!CC$6*Sales!CC$7,0)+IF(EOMONTH(DATE(YEAR(Sales!$BY$1),MONTH(Sales!$BY$1),1)+INT((DAY(Sales!$BY$1)-1)/2)+'Cash Drivers'!BZ$13,0)=EOMONTH($CK$1,0),Sales!BZ$6*Sales!BZ$7,0)+IF(EOMONTH(DATE(YEAR(Sales!$BV$1),MONTH(Sales!$BV$1),1)+INT((DAY(Sales!$BV$1)-1)/2)+'Cash Drivers'!BW$13,0)=EOMONTH($CK$1,0),Sales!BW$6*Sales!BW$7,0)+IF(EOMONTH(DATE(YEAR(Sales!$BS$1),MONTH(Sales!$BS$1),1)+INT((DAY(Sales!$BS$1)-1)/2)+'Cash Drivers'!BT$13,0)=EOMONTH($CK$1,0),Sales!BT$6*Sales!BT$7,0)+IF(EOMONTH(DATE(YEAR(Sales!$BP$1),MONTH(Sales!$BP$1),1)+INT((DAY(Sales!$BP$1)-1)/2)+'Cash Drivers'!BQ$13,0)=EOMONTH($CK$1,0),Sales!BQ$6*Sales!BQ$7,0)+IF(EOMONTH(DATE(YEAR(Sales!$BM$1),MONTH(Sales!$BM$1),1)+INT((DAY(Sales!$BM$1)-1)/2)+'Cash Drivers'!BN$13,0)=EOMONTH($CK$1,0),Sales!BN$6*Sales!BN$7,0)+IF(EOMONTH(DATE(YEAR(Sales!$BJ$1),MONTH(Sales!$BJ$1),1)+INT((DAY(Sales!$BJ$1)-1)/2)+'Cash Drivers'!BK$13,0)=EOMONTH($CK$1,0),Sales!BK$6*Sales!BK$7,0)+IF(EOMONTH(DATE(YEAR(Sales!$BG$1),MONTH(Sales!$BG$1),1)+INT((DAY(Sales!$BG$1)-1)/2)+'Cash Drivers'!BH$13,0)=EOMONTH($CK$1,0),Sales!BH$6*Sales!BH$7,0)+IF(EOMONTH(DATE(YEAR(Sales!$BD$1),MONTH(Sales!$BD$1),1)+INT((DAY(Sales!$BD$1)-1)/2)+'Cash Drivers'!BE$13,0)=EOMONTH($CK$1,0),Sales!BE$6*Sales!BE$7,0)+IF(EOMONTH(DATE(YEAR(Sales!$BA$1),MONTH(Sales!$BA$1),1)+INT((DAY(Sales!$BA$1)-1)/2)+'Cash Drivers'!BB$13,0)=EOMONTH($CK$1,0),Sales!BB$6*Sales!BB$7,0)+IF(EOMONTH(DATE(YEAR(Sales!$AX$1),MONTH(Sales!$AX$1),1)+INT((DAY(Sales!$AX$1)-1)/2)+'Cash Drivers'!AY$13,0)=EOMONTH($CK$1,0),Sales!AY$6*Sales!AY$7,0)+IF(EOMONTH(DATE(YEAR(Sales!$AU$1),MONTH(Sales!$AU$1),1)+INT((DAY(Sales!$AU$1)-1)/2)+'Cash Drivers'!AV$13,0)=EOMONTH($CK$1,0),Sales!AV$6*Sales!AV$7,0)+IF(EOMONTH(DATE(YEAR(Sales!$AR$1),MONTH(Sales!$AR$1),1)+INT((DAY(Sales!$AR$1)-1)/2)+'Cash Drivers'!AS$13,0)=EOMONTH($CK$1,0),Sales!AS$6*Sales!AS$7,0)+IF(EOMONTH(DATE(YEAR(Sales!$AO$1),MONTH(Sales!$AO$1),1)+INT((DAY(Sales!$AO$1)-1)/2)+'Cash Drivers'!AP$13,0)=EOMONTH($CK$1,0),Sales!AP$6*Sales!AP$7,0)+IF(EOMONTH(DATE(YEAR(Sales!$AL$1),MONTH(Sales!$AL$1),1)+INT((DAY(Sales!$AL$1)-1)/2)+'Cash Drivers'!AM$13,0)=EOMONTH($CK$1,0),Sales!AM$6*Sales!AM$7,0)+IF(EOMONTH(DATE(YEAR(Sales!$AI$1),MONTH(Sales!$AI$1),1)+INT((DAY(Sales!$AI$1)-1)/2)+'Cash Drivers'!AJ$13,0)=EOMONTH($CK$1,0),Sales!AJ$6*Sales!AJ$7,0)+IF(EOMONTH(DATE(YEAR(Sales!$AF$1),MONTH(Sales!$AF$1),1)+INT((DAY(Sales!$AF$1)-1)/2)+'Cash Drivers'!AG$13,0)=EOMONTH($CK$1,0),Sales!AG$6*Sales!AG$7,0)+IF(EOMONTH(DATE(YEAR(Sales!$AC$1),MONTH(Sales!$AC$1),1)+INT((DAY(Sales!$AC$1)-1)/2)+'Cash Drivers'!AD$13,0)=EOMONTH($CK$1,0),Sales!AD$6*Sales!AD$7,0)+IF(EOMONTH(DATE(YEAR(Sales!$Z$1),MONTH(Sales!$Z$1),1)+INT((DAY(Sales!$Z$1)-1)/2)+'Cash Drivers'!AA$13,0)=EOMONTH($CK$1,0),Sales!AA$6*Sales!AA$7,0)+IF(EOMONTH(DATE(YEAR(Sales!$W$1),MONTH(Sales!$W$1),1)+INT((DAY(Sales!$W$1)-1)/2)+'Cash Drivers'!X$13,0)=EOMONTH($CK$1,0),Sales!X$6*Sales!X$7,0)+IF(EOMONTH(DATE(YEAR(Sales!$T$1),MONTH(Sales!$T$1),1)+INT((DAY(Sales!$T$1)-1)/2)+'Cash Drivers'!U$13,0)=EOMONTH($CK$1,0),Sales!U$6*Sales!U$7,0)+IF(EOMONTH(DATE(YEAR(Sales!$Q$1),MONTH(Sales!$Q$1),1)+INT((DAY(Sales!$Q$1)-1)/2)+'Cash Drivers'!R$13,0)=EOMONTH($CK$1,0),Sales!R$6*Sales!R$7,0)+IF(EOMONTH(DATE(YEAR(Sales!$N$1),MONTH(Sales!$N$1),1)+INT((DAY(Sales!$N$1)-1)/2)+'Cash Drivers'!O$13,0)=EOMONTH($CK$1,0),Sales!O$6*Sales!O$7,0)+IF(EOMONTH(DATE(YEAR(Sales!$K$1),MONTH(Sales!$K$1),1)+INT((DAY(Sales!$K$1)-1)/2)+'Cash Drivers'!L$13,0)=EOMONTH($CK$1,0),Sales!L$6*Sales!L$7,0)+IF(EOMONTH('Cash Drivers'!$DL$30+'Cash Drivers'!DM$13,0)=EOMONTH($CK$1,0),'Cash Drivers'!$DL$32*Sales!$DL$60,0),0)</f>
        <v>23199</v>
      </c>
      <c r="CM24" s="60" t="n">
        <f aca="false">ROUND(IF(EOMONTH(DATE(YEAR(Sales!$DL$1),MONTH(Sales!$DL$1),1)+INT((DAY(Sales!$DL$1)-1)/2)+'Cash Drivers'!DN$13,0)=EOMONTH($CK$1,0),Sales!DN$6*Sales!DN$7,0)+IF(EOMONTH(DATE(YEAR(Sales!$DI$1),MONTH(Sales!$DI$1),1)+INT((DAY(Sales!$DI$1)-1)/2)+'Cash Drivers'!DK$13,0)=EOMONTH($CK$1,0),Sales!DK$6*Sales!DK$7,0)+IF(EOMONTH(DATE(YEAR(Sales!$DF$1),MONTH(Sales!$DF$1),1)+INT((DAY(Sales!$DF$1)-1)/2)+'Cash Drivers'!DH$13,0)=EOMONTH($CK$1,0),Sales!DH$6*Sales!DH$7,0)+IF(EOMONTH(DATE(YEAR(Sales!$DC$1),MONTH(Sales!$DC$1),1)+INT((DAY(Sales!$DC$1)-1)/2)+'Cash Drivers'!DE$13,0)=EOMONTH($CK$1,0),Sales!DE$6*Sales!DE$7,0)+IF(EOMONTH(DATE(YEAR(Sales!$CZ$1),MONTH(Sales!$CZ$1),1)+INT((DAY(Sales!$CZ$1)-1)/2)+'Cash Drivers'!DB$13,0)=EOMONTH($CK$1,0),Sales!DB$6*Sales!DB$7,0)+IF(EOMONTH(DATE(YEAR(Sales!$CW$1),MONTH(Sales!$CW$1),1)+INT((DAY(Sales!$CW$1)-1)/2)+'Cash Drivers'!CY$13,0)=EOMONTH($CK$1,0),Sales!CY$6*Sales!CY$7,0)+IF(EOMONTH(DATE(YEAR(Sales!$CT$1),MONTH(Sales!$CT$1),1)+INT((DAY(Sales!$CT$1)-1)/2)+'Cash Drivers'!CV$13,0)=EOMONTH($CK$1,0),Sales!CV$6*Sales!CV$7,0)+IF(EOMONTH(DATE(YEAR(Sales!$CQ$1),MONTH(Sales!$CQ$1),1)+INT((DAY(Sales!$CQ$1)-1)/2)+'Cash Drivers'!CS$13,0)=EOMONTH($CK$1,0),Sales!CS$6*Sales!CS$7,0)+IF(EOMONTH(DATE(YEAR(Sales!$CN$1),MONTH(Sales!$CN$1),1)+INT((DAY(Sales!$CN$1)-1)/2)+'Cash Drivers'!CP$13,0)=EOMONTH($CK$1,0),Sales!CP$6*Sales!CP$7,0)+IF(EOMONTH(DATE(YEAR(Sales!$CK$1),MONTH(Sales!$CK$1),1)+INT((DAY(Sales!$CK$1)-1)/2)+'Cash Drivers'!CM$13,0)=EOMONTH($CK$1,0),Sales!CM$6*Sales!CM$7,0)+IF(EOMONTH(DATE(YEAR(Sales!$CH$1),MONTH(Sales!$CH$1),1)+INT((DAY(Sales!$CH$1)-1)/2)+'Cash Drivers'!CJ$13,0)=EOMONTH($CK$1,0),Sales!CJ$6*Sales!CJ$7,0)+IF(EOMONTH(DATE(YEAR(Sales!$CE$1),MONTH(Sales!$CE$1),1)+INT((DAY(Sales!$CE$1)-1)/2)+'Cash Drivers'!CG$13,0)=EOMONTH($CK$1,0),Sales!CG$6*Sales!CG$7,0)+IF(EOMONTH(DATE(YEAR(Sales!$CB$1),MONTH(Sales!$CB$1),1)+INT((DAY(Sales!$CB$1)-1)/2)+'Cash Drivers'!CD$13,0)=EOMONTH($CK$1,0),Sales!CD$6*Sales!CD$7,0)+IF(EOMONTH(DATE(YEAR(Sales!$BY$1),MONTH(Sales!$BY$1),1)+INT((DAY(Sales!$BY$1)-1)/2)+'Cash Drivers'!CA$13,0)=EOMONTH($CK$1,0),Sales!CA$6*Sales!CA$7,0)+IF(EOMONTH(DATE(YEAR(Sales!$BV$1),MONTH(Sales!$BV$1),1)+INT((DAY(Sales!$BV$1)-1)/2)+'Cash Drivers'!BX$13,0)=EOMONTH($CK$1,0),Sales!BX$6*Sales!BX$7,0)+IF(EOMONTH(DATE(YEAR(Sales!$BS$1),MONTH(Sales!$BS$1),1)+INT((DAY(Sales!$BS$1)-1)/2)+'Cash Drivers'!BU$13,0)=EOMONTH($CK$1,0),Sales!BU$6*Sales!BU$7,0)+IF(EOMONTH(DATE(YEAR(Sales!$BP$1),MONTH(Sales!$BP$1),1)+INT((DAY(Sales!$BP$1)-1)/2)+'Cash Drivers'!BR$13,0)=EOMONTH($CK$1,0),Sales!BR$6*Sales!BR$7,0)+IF(EOMONTH(DATE(YEAR(Sales!$BM$1),MONTH(Sales!$BM$1),1)+INT((DAY(Sales!$BM$1)-1)/2)+'Cash Drivers'!BO$13,0)=EOMONTH($CK$1,0),Sales!BO$6*Sales!BO$7,0)+IF(EOMONTH(DATE(YEAR(Sales!$BJ$1),MONTH(Sales!$BJ$1),1)+INT((DAY(Sales!$BJ$1)-1)/2)+'Cash Drivers'!BL$13,0)=EOMONTH($CK$1,0),Sales!BL$6*Sales!BL$7,0)+IF(EOMONTH(DATE(YEAR(Sales!$BG$1),MONTH(Sales!$BG$1),1)+INT((DAY(Sales!$BG$1)-1)/2)+'Cash Drivers'!BI$13,0)=EOMONTH($CK$1,0),Sales!BI$6*Sales!BI$7,0)+IF(EOMONTH(DATE(YEAR(Sales!$BD$1),MONTH(Sales!$BD$1),1)+INT((DAY(Sales!$BD$1)-1)/2)+'Cash Drivers'!BF$13,0)=EOMONTH($CK$1,0),Sales!BF$6*Sales!BF$7,0)+IF(EOMONTH(DATE(YEAR(Sales!$BA$1),MONTH(Sales!$BA$1),1)+INT((DAY(Sales!$BA$1)-1)/2)+'Cash Drivers'!BC$13,0)=EOMONTH($CK$1,0),Sales!BC$6*Sales!BC$7,0)+IF(EOMONTH(DATE(YEAR(Sales!$AX$1),MONTH(Sales!$AX$1),1)+INT((DAY(Sales!$AX$1)-1)/2)+'Cash Drivers'!AZ$13,0)=EOMONTH($CK$1,0),Sales!AZ$6*Sales!AZ$7,0)+IF(EOMONTH(DATE(YEAR(Sales!$AU$1),MONTH(Sales!$AU$1),1)+INT((DAY(Sales!$AU$1)-1)/2)+'Cash Drivers'!AW$13,0)=EOMONTH($CK$1,0),Sales!AW$6*Sales!AW$7,0)+IF(EOMONTH(DATE(YEAR(Sales!$AR$1),MONTH(Sales!$AR$1),1)+INT((DAY(Sales!$AR$1)-1)/2)+'Cash Drivers'!AT$13,0)=EOMONTH($CK$1,0),Sales!AT$6*Sales!AT$7,0)+IF(EOMONTH(DATE(YEAR(Sales!$AO$1),MONTH(Sales!$AO$1),1)+INT((DAY(Sales!$AO$1)-1)/2)+'Cash Drivers'!AQ$13,0)=EOMONTH($CK$1,0),Sales!AQ$6*Sales!AQ$7,0)+IF(EOMONTH(DATE(YEAR(Sales!$AL$1),MONTH(Sales!$AL$1),1)+INT((DAY(Sales!$AL$1)-1)/2)+'Cash Drivers'!AN$13,0)=EOMONTH($CK$1,0),Sales!AN$6*Sales!AN$7,0)+IF(EOMONTH(DATE(YEAR(Sales!$AI$1),MONTH(Sales!$AI$1),1)+INT((DAY(Sales!$AI$1)-1)/2)+'Cash Drivers'!AK$13,0)=EOMONTH($CK$1,0),Sales!AK$6*Sales!AK$7,0)+IF(EOMONTH(DATE(YEAR(Sales!$AF$1),MONTH(Sales!$AF$1),1)+INT((DAY(Sales!$AF$1)-1)/2)+'Cash Drivers'!AH$13,0)=EOMONTH($CK$1,0),Sales!AH$6*Sales!AH$7,0)+IF(EOMONTH(DATE(YEAR(Sales!$AC$1),MONTH(Sales!$AC$1),1)+INT((DAY(Sales!$AC$1)-1)/2)+'Cash Drivers'!AE$13,0)=EOMONTH($CK$1,0),Sales!AE$6*Sales!AE$7,0)+IF(EOMONTH(DATE(YEAR(Sales!$Z$1),MONTH(Sales!$Z$1),1)+INT((DAY(Sales!$Z$1)-1)/2)+'Cash Drivers'!AB$13,0)=EOMONTH($CK$1,0),Sales!AB$6*Sales!AB$7,0)+IF(EOMONTH(DATE(YEAR(Sales!$W$1),MONTH(Sales!$W$1),1)+INT((DAY(Sales!$W$1)-1)/2)+'Cash Drivers'!Y$13,0)=EOMONTH($CK$1,0),Sales!Y$6*Sales!Y$7,0)+IF(EOMONTH(DATE(YEAR(Sales!$T$1),MONTH(Sales!$T$1),1)+INT((DAY(Sales!$T$1)-1)/2)+'Cash Drivers'!V$13,0)=EOMONTH($CK$1,0),Sales!V$6*Sales!V$7,0)+IF(EOMONTH(DATE(YEAR(Sales!$Q$1),MONTH(Sales!$Q$1),1)+INT((DAY(Sales!$Q$1)-1)/2)+'Cash Drivers'!S$13,0)=EOMONTH($CK$1,0),Sales!S$6*Sales!S$7,0)+IF(EOMONTH(DATE(YEAR(Sales!$N$1),MONTH(Sales!$N$1),1)+INT((DAY(Sales!$N$1)-1)/2)+'Cash Drivers'!P$13,0)=EOMONTH($CK$1,0),Sales!P$6*Sales!P$7,0)+IF(EOMONTH(DATE(YEAR(Sales!$K$1),MONTH(Sales!$K$1),1)+INT((DAY(Sales!$K$1)-1)/2)+'Cash Drivers'!M$13,0)=EOMONTH($CK$1,0),Sales!M$6*Sales!M$7,0)+IF(EOMONTH('Cash Drivers'!$DL$30+'Cash Drivers'!DN$13,0)=EOMONTH($CK$1,0),'Cash Drivers'!$DL$32*Sales!$DL$60,0),0)</f>
        <v>23256</v>
      </c>
      <c r="CN24" s="58" t="n">
        <f aca="false">ROUND(IF(EOMONTH(DATE(YEAR(Sales!$DL$1),MONTH(Sales!$DL$1),1)+INT((DAY(Sales!$DL$1)-1)/2)+'Cash Drivers'!DL$13,0)=EOMONTH($CN$1,0),Sales!DL$6*Sales!DL$7,0)+IF(EOMONTH(DATE(YEAR(Sales!$DI$1),MONTH(Sales!$DI$1),1)+INT((DAY(Sales!$DI$1)-1)/2)+'Cash Drivers'!DI$13,0)=EOMONTH($CN$1,0),Sales!DI$6*Sales!DI$7,0)+IF(EOMONTH(DATE(YEAR(Sales!$DF$1),MONTH(Sales!$DF$1),1)+INT((DAY(Sales!$DF$1)-1)/2)+'Cash Drivers'!DF$13,0)=EOMONTH($CN$1,0),Sales!DF$6*Sales!DF$7,0)+IF(EOMONTH(DATE(YEAR(Sales!$DC$1),MONTH(Sales!$DC$1),1)+INT((DAY(Sales!$DC$1)-1)/2)+'Cash Drivers'!DC$13,0)=EOMONTH($CN$1,0),Sales!DC$6*Sales!DC$7,0)+IF(EOMONTH(DATE(YEAR(Sales!$CZ$1),MONTH(Sales!$CZ$1),1)+INT((DAY(Sales!$CZ$1)-1)/2)+'Cash Drivers'!CZ$13,0)=EOMONTH($CN$1,0),Sales!CZ$6*Sales!CZ$7,0)+IF(EOMONTH(DATE(YEAR(Sales!$CW$1),MONTH(Sales!$CW$1),1)+INT((DAY(Sales!$CW$1)-1)/2)+'Cash Drivers'!CW$13,0)=EOMONTH($CN$1,0),Sales!CW$6*Sales!CW$7,0)+IF(EOMONTH(DATE(YEAR(Sales!$CT$1),MONTH(Sales!$CT$1),1)+INT((DAY(Sales!$CT$1)-1)/2)+'Cash Drivers'!CT$13,0)=EOMONTH($CN$1,0),Sales!CT$6*Sales!CT$7,0)+IF(EOMONTH(DATE(YEAR(Sales!$CQ$1),MONTH(Sales!$CQ$1),1)+INT((DAY(Sales!$CQ$1)-1)/2)+'Cash Drivers'!CQ$13,0)=EOMONTH($CN$1,0),Sales!CQ$6*Sales!CQ$7,0)+IF(EOMONTH(DATE(YEAR(Sales!$CN$1),MONTH(Sales!$CN$1),1)+INT((DAY(Sales!$CN$1)-1)/2)+'Cash Drivers'!CN$13,0)=EOMONTH($CN$1,0),Sales!CN$6*Sales!CN$7,0)+IF(EOMONTH(DATE(YEAR(Sales!$CK$1),MONTH(Sales!$CK$1),1)+INT((DAY(Sales!$CK$1)-1)/2)+'Cash Drivers'!CK$13,0)=EOMONTH($CN$1,0),Sales!CK$6*Sales!CK$7,0)+IF(EOMONTH(DATE(YEAR(Sales!$CH$1),MONTH(Sales!$CH$1),1)+INT((DAY(Sales!$CH$1)-1)/2)+'Cash Drivers'!CH$13,0)=EOMONTH($CN$1,0),Sales!CH$6*Sales!CH$7,0)+IF(EOMONTH(DATE(YEAR(Sales!$CE$1),MONTH(Sales!$CE$1),1)+INT((DAY(Sales!$CE$1)-1)/2)+'Cash Drivers'!CE$13,0)=EOMONTH($CN$1,0),Sales!CE$6*Sales!CE$7,0)+IF(EOMONTH(DATE(YEAR(Sales!$CB$1),MONTH(Sales!$CB$1),1)+INT((DAY(Sales!$CB$1)-1)/2)+'Cash Drivers'!CB$13,0)=EOMONTH($CN$1,0),Sales!CB$6*Sales!CB$7,0)+IF(EOMONTH(DATE(YEAR(Sales!$BY$1),MONTH(Sales!$BY$1),1)+INT((DAY(Sales!$BY$1)-1)/2)+'Cash Drivers'!BY$13,0)=EOMONTH($CN$1,0),Sales!BY$6*Sales!BY$7,0)+IF(EOMONTH(DATE(YEAR(Sales!$BV$1),MONTH(Sales!$BV$1),1)+INT((DAY(Sales!$BV$1)-1)/2)+'Cash Drivers'!BV$13,0)=EOMONTH($CN$1,0),Sales!BV$6*Sales!BV$7,0)+IF(EOMONTH(DATE(YEAR(Sales!$BS$1),MONTH(Sales!$BS$1),1)+INT((DAY(Sales!$BS$1)-1)/2)+'Cash Drivers'!BS$13,0)=EOMONTH($CN$1,0),Sales!BS$6*Sales!BS$7,0)+IF(EOMONTH(DATE(YEAR(Sales!$BP$1),MONTH(Sales!$BP$1),1)+INT((DAY(Sales!$BP$1)-1)/2)+'Cash Drivers'!BP$13,0)=EOMONTH($CN$1,0),Sales!BP$6*Sales!BP$7,0)+IF(EOMONTH(DATE(YEAR(Sales!$BM$1),MONTH(Sales!$BM$1),1)+INT((DAY(Sales!$BM$1)-1)/2)+'Cash Drivers'!BM$13,0)=EOMONTH($CN$1,0),Sales!BM$6*Sales!BM$7,0)+IF(EOMONTH(DATE(YEAR(Sales!$BJ$1),MONTH(Sales!$BJ$1),1)+INT((DAY(Sales!$BJ$1)-1)/2)+'Cash Drivers'!BJ$13,0)=EOMONTH($CN$1,0),Sales!BJ$6*Sales!BJ$7,0)+IF(EOMONTH(DATE(YEAR(Sales!$BG$1),MONTH(Sales!$BG$1),1)+INT((DAY(Sales!$BG$1)-1)/2)+'Cash Drivers'!BG$13,0)=EOMONTH($CN$1,0),Sales!BG$6*Sales!BG$7,0)+IF(EOMONTH(DATE(YEAR(Sales!$BD$1),MONTH(Sales!$BD$1),1)+INT((DAY(Sales!$BD$1)-1)/2)+'Cash Drivers'!BD$13,0)=EOMONTH($CN$1,0),Sales!BD$6*Sales!BD$7,0)+IF(EOMONTH(DATE(YEAR(Sales!$BA$1),MONTH(Sales!$BA$1),1)+INT((DAY(Sales!$BA$1)-1)/2)+'Cash Drivers'!BA$13,0)=EOMONTH($CN$1,0),Sales!BA$6*Sales!BA$7,0)+IF(EOMONTH(DATE(YEAR(Sales!$AX$1),MONTH(Sales!$AX$1),1)+INT((DAY(Sales!$AX$1)-1)/2)+'Cash Drivers'!AX$13,0)=EOMONTH($CN$1,0),Sales!AX$6*Sales!AX$7,0)+IF(EOMONTH(DATE(YEAR(Sales!$AU$1),MONTH(Sales!$AU$1),1)+INT((DAY(Sales!$AU$1)-1)/2)+'Cash Drivers'!AU$13,0)=EOMONTH($CN$1,0),Sales!AU$6*Sales!AU$7,0)+IF(EOMONTH(DATE(YEAR(Sales!$AR$1),MONTH(Sales!$AR$1),1)+INT((DAY(Sales!$AR$1)-1)/2)+'Cash Drivers'!AR$13,0)=EOMONTH($CN$1,0),Sales!AR$6*Sales!AR$7,0)+IF(EOMONTH(DATE(YEAR(Sales!$AO$1),MONTH(Sales!$AO$1),1)+INT((DAY(Sales!$AO$1)-1)/2)+'Cash Drivers'!AO$13,0)=EOMONTH($CN$1,0),Sales!AO$6*Sales!AO$7,0)+IF(EOMONTH(DATE(YEAR(Sales!$AL$1),MONTH(Sales!$AL$1),1)+INT((DAY(Sales!$AL$1)-1)/2)+'Cash Drivers'!AL$13,0)=EOMONTH($CN$1,0),Sales!AL$6*Sales!AL$7,0)+IF(EOMONTH(DATE(YEAR(Sales!$AI$1),MONTH(Sales!$AI$1),1)+INT((DAY(Sales!$AI$1)-1)/2)+'Cash Drivers'!AI$13,0)=EOMONTH($CN$1,0),Sales!AI$6*Sales!AI$7,0)+IF(EOMONTH(DATE(YEAR(Sales!$AF$1),MONTH(Sales!$AF$1),1)+INT((DAY(Sales!$AF$1)-1)/2)+'Cash Drivers'!AF$13,0)=EOMONTH($CN$1,0),Sales!AF$6*Sales!AF$7,0)+IF(EOMONTH(DATE(YEAR(Sales!$AC$1),MONTH(Sales!$AC$1),1)+INT((DAY(Sales!$AC$1)-1)/2)+'Cash Drivers'!AC$13,0)=EOMONTH($CN$1,0),Sales!AC$6*Sales!AC$7,0)+IF(EOMONTH(DATE(YEAR(Sales!$Z$1),MONTH(Sales!$Z$1),1)+INT((DAY(Sales!$Z$1)-1)/2)+'Cash Drivers'!Z$13,0)=EOMONTH($CN$1,0),Sales!Z$6*Sales!Z$7,0)+IF(EOMONTH(DATE(YEAR(Sales!$W$1),MONTH(Sales!$W$1),1)+INT((DAY(Sales!$W$1)-1)/2)+'Cash Drivers'!W$13,0)=EOMONTH($CN$1,0),Sales!W$6*Sales!W$7,0)+IF(EOMONTH(DATE(YEAR(Sales!$T$1),MONTH(Sales!$T$1),1)+INT((DAY(Sales!$T$1)-1)/2)+'Cash Drivers'!T$13,0)=EOMONTH($CN$1,0),Sales!T$6*Sales!T$7,0)+IF(EOMONTH(DATE(YEAR(Sales!$Q$1),MONTH(Sales!$Q$1),1)+INT((DAY(Sales!$Q$1)-1)/2)+'Cash Drivers'!Q$13,0)=EOMONTH($CN$1,0),Sales!Q$6*Sales!Q$7,0)+IF(EOMONTH(DATE(YEAR(Sales!$N$1),MONTH(Sales!$N$1),1)+INT((DAY(Sales!$N$1)-1)/2)+'Cash Drivers'!N$13,0)=EOMONTH($CN$1,0),Sales!N$6*Sales!N$7,0)+IF(EOMONTH(DATE(YEAR(Sales!$K$1),MONTH(Sales!$K$1),1)+INT((DAY(Sales!$K$1)-1)/2)+'Cash Drivers'!K$13,0)=EOMONTH($CN$1,0),Sales!K$6*Sales!K$7,0)+IF(EOMONTH('Cash Drivers'!$DL$30+'Cash Drivers'!DL$13,0)=EOMONTH($CN$1,0),'Cash Drivers'!$DL$32*Sales!$DL$60,0),0)</f>
        <v>0</v>
      </c>
      <c r="CO24" s="59" t="n">
        <f aca="false">ROUND(IF(EOMONTH(DATE(YEAR(Sales!$DL$1),MONTH(Sales!$DL$1),1)+INT((DAY(Sales!$DL$1)-1)/2)+'Cash Drivers'!DM$13,0)=EOMONTH($CN$1,0),Sales!DM$6*Sales!DM$7,0)+IF(EOMONTH(DATE(YEAR(Sales!$DI$1),MONTH(Sales!$DI$1),1)+INT((DAY(Sales!$DI$1)-1)/2)+'Cash Drivers'!DJ$13,0)=EOMONTH($CN$1,0),Sales!DJ$6*Sales!DJ$7,0)+IF(EOMONTH(DATE(YEAR(Sales!$DF$1),MONTH(Sales!$DF$1),1)+INT((DAY(Sales!$DF$1)-1)/2)+'Cash Drivers'!DG$13,0)=EOMONTH($CN$1,0),Sales!DG$6*Sales!DG$7,0)+IF(EOMONTH(DATE(YEAR(Sales!$DC$1),MONTH(Sales!$DC$1),1)+INT((DAY(Sales!$DC$1)-1)/2)+'Cash Drivers'!DD$13,0)=EOMONTH($CN$1,0),Sales!DD$6*Sales!DD$7,0)+IF(EOMONTH(DATE(YEAR(Sales!$CZ$1),MONTH(Sales!$CZ$1),1)+INT((DAY(Sales!$CZ$1)-1)/2)+'Cash Drivers'!DA$13,0)=EOMONTH($CN$1,0),Sales!DA$6*Sales!DA$7,0)+IF(EOMONTH(DATE(YEAR(Sales!$CW$1),MONTH(Sales!$CW$1),1)+INT((DAY(Sales!$CW$1)-1)/2)+'Cash Drivers'!CX$13,0)=EOMONTH($CN$1,0),Sales!CX$6*Sales!CX$7,0)+IF(EOMONTH(DATE(YEAR(Sales!$CT$1),MONTH(Sales!$CT$1),1)+INT((DAY(Sales!$CT$1)-1)/2)+'Cash Drivers'!CU$13,0)=EOMONTH($CN$1,0),Sales!CU$6*Sales!CU$7,0)+IF(EOMONTH(DATE(YEAR(Sales!$CQ$1),MONTH(Sales!$CQ$1),1)+INT((DAY(Sales!$CQ$1)-1)/2)+'Cash Drivers'!CR$13,0)=EOMONTH($CN$1,0),Sales!CR$6*Sales!CR$7,0)+IF(EOMONTH(DATE(YEAR(Sales!$CN$1),MONTH(Sales!$CN$1),1)+INT((DAY(Sales!$CN$1)-1)/2)+'Cash Drivers'!CO$13,0)=EOMONTH($CN$1,0),Sales!CO$6*Sales!CO$7,0)+IF(EOMONTH(DATE(YEAR(Sales!$CK$1),MONTH(Sales!$CK$1),1)+INT((DAY(Sales!$CK$1)-1)/2)+'Cash Drivers'!CL$13,0)=EOMONTH($CN$1,0),Sales!CL$6*Sales!CL$7,0)+IF(EOMONTH(DATE(YEAR(Sales!$CH$1),MONTH(Sales!$CH$1),1)+INT((DAY(Sales!$CH$1)-1)/2)+'Cash Drivers'!CI$13,0)=EOMONTH($CN$1,0),Sales!CI$6*Sales!CI$7,0)+IF(EOMONTH(DATE(YEAR(Sales!$CE$1),MONTH(Sales!$CE$1),1)+INT((DAY(Sales!$CE$1)-1)/2)+'Cash Drivers'!CF$13,0)=EOMONTH($CN$1,0),Sales!CF$6*Sales!CF$7,0)+IF(EOMONTH(DATE(YEAR(Sales!$CB$1),MONTH(Sales!$CB$1),1)+INT((DAY(Sales!$CB$1)-1)/2)+'Cash Drivers'!CC$13,0)=EOMONTH($CN$1,0),Sales!CC$6*Sales!CC$7,0)+IF(EOMONTH(DATE(YEAR(Sales!$BY$1),MONTH(Sales!$BY$1),1)+INT((DAY(Sales!$BY$1)-1)/2)+'Cash Drivers'!BZ$13,0)=EOMONTH($CN$1,0),Sales!BZ$6*Sales!BZ$7,0)+IF(EOMONTH(DATE(YEAR(Sales!$BV$1),MONTH(Sales!$BV$1),1)+INT((DAY(Sales!$BV$1)-1)/2)+'Cash Drivers'!BW$13,0)=EOMONTH($CN$1,0),Sales!BW$6*Sales!BW$7,0)+IF(EOMONTH(DATE(YEAR(Sales!$BS$1),MONTH(Sales!$BS$1),1)+INT((DAY(Sales!$BS$1)-1)/2)+'Cash Drivers'!BT$13,0)=EOMONTH($CN$1,0),Sales!BT$6*Sales!BT$7,0)+IF(EOMONTH(DATE(YEAR(Sales!$BP$1),MONTH(Sales!$BP$1),1)+INT((DAY(Sales!$BP$1)-1)/2)+'Cash Drivers'!BQ$13,0)=EOMONTH($CN$1,0),Sales!BQ$6*Sales!BQ$7,0)+IF(EOMONTH(DATE(YEAR(Sales!$BM$1),MONTH(Sales!$BM$1),1)+INT((DAY(Sales!$BM$1)-1)/2)+'Cash Drivers'!BN$13,0)=EOMONTH($CN$1,0),Sales!BN$6*Sales!BN$7,0)+IF(EOMONTH(DATE(YEAR(Sales!$BJ$1),MONTH(Sales!$BJ$1),1)+INT((DAY(Sales!$BJ$1)-1)/2)+'Cash Drivers'!BK$13,0)=EOMONTH($CN$1,0),Sales!BK$6*Sales!BK$7,0)+IF(EOMONTH(DATE(YEAR(Sales!$BG$1),MONTH(Sales!$BG$1),1)+INT((DAY(Sales!$BG$1)-1)/2)+'Cash Drivers'!BH$13,0)=EOMONTH($CN$1,0),Sales!BH$6*Sales!BH$7,0)+IF(EOMONTH(DATE(YEAR(Sales!$BD$1),MONTH(Sales!$BD$1),1)+INT((DAY(Sales!$BD$1)-1)/2)+'Cash Drivers'!BE$13,0)=EOMONTH($CN$1,0),Sales!BE$6*Sales!BE$7,0)+IF(EOMONTH(DATE(YEAR(Sales!$BA$1),MONTH(Sales!$BA$1),1)+INT((DAY(Sales!$BA$1)-1)/2)+'Cash Drivers'!BB$13,0)=EOMONTH($CN$1,0),Sales!BB$6*Sales!BB$7,0)+IF(EOMONTH(DATE(YEAR(Sales!$AX$1),MONTH(Sales!$AX$1),1)+INT((DAY(Sales!$AX$1)-1)/2)+'Cash Drivers'!AY$13,0)=EOMONTH($CN$1,0),Sales!AY$6*Sales!AY$7,0)+IF(EOMONTH(DATE(YEAR(Sales!$AU$1),MONTH(Sales!$AU$1),1)+INT((DAY(Sales!$AU$1)-1)/2)+'Cash Drivers'!AV$13,0)=EOMONTH($CN$1,0),Sales!AV$6*Sales!AV$7,0)+IF(EOMONTH(DATE(YEAR(Sales!$AR$1),MONTH(Sales!$AR$1),1)+INT((DAY(Sales!$AR$1)-1)/2)+'Cash Drivers'!AS$13,0)=EOMONTH($CN$1,0),Sales!AS$6*Sales!AS$7,0)+IF(EOMONTH(DATE(YEAR(Sales!$AO$1),MONTH(Sales!$AO$1),1)+INT((DAY(Sales!$AO$1)-1)/2)+'Cash Drivers'!AP$13,0)=EOMONTH($CN$1,0),Sales!AP$6*Sales!AP$7,0)+IF(EOMONTH(DATE(YEAR(Sales!$AL$1),MONTH(Sales!$AL$1),1)+INT((DAY(Sales!$AL$1)-1)/2)+'Cash Drivers'!AM$13,0)=EOMONTH($CN$1,0),Sales!AM$6*Sales!AM$7,0)+IF(EOMONTH(DATE(YEAR(Sales!$AI$1),MONTH(Sales!$AI$1),1)+INT((DAY(Sales!$AI$1)-1)/2)+'Cash Drivers'!AJ$13,0)=EOMONTH($CN$1,0),Sales!AJ$6*Sales!AJ$7,0)+IF(EOMONTH(DATE(YEAR(Sales!$AF$1),MONTH(Sales!$AF$1),1)+INT((DAY(Sales!$AF$1)-1)/2)+'Cash Drivers'!AG$13,0)=EOMONTH($CN$1,0),Sales!AG$6*Sales!AG$7,0)+IF(EOMONTH(DATE(YEAR(Sales!$AC$1),MONTH(Sales!$AC$1),1)+INT((DAY(Sales!$AC$1)-1)/2)+'Cash Drivers'!AD$13,0)=EOMONTH($CN$1,0),Sales!AD$6*Sales!AD$7,0)+IF(EOMONTH(DATE(YEAR(Sales!$Z$1),MONTH(Sales!$Z$1),1)+INT((DAY(Sales!$Z$1)-1)/2)+'Cash Drivers'!AA$13,0)=EOMONTH($CN$1,0),Sales!AA$6*Sales!AA$7,0)+IF(EOMONTH(DATE(YEAR(Sales!$W$1),MONTH(Sales!$W$1),1)+INT((DAY(Sales!$W$1)-1)/2)+'Cash Drivers'!X$13,0)=EOMONTH($CN$1,0),Sales!X$6*Sales!X$7,0)+IF(EOMONTH(DATE(YEAR(Sales!$T$1),MONTH(Sales!$T$1),1)+INT((DAY(Sales!$T$1)-1)/2)+'Cash Drivers'!U$13,0)=EOMONTH($CN$1,0),Sales!U$6*Sales!U$7,0)+IF(EOMONTH(DATE(YEAR(Sales!$Q$1),MONTH(Sales!$Q$1),1)+INT((DAY(Sales!$Q$1)-1)/2)+'Cash Drivers'!R$13,0)=EOMONTH($CN$1,0),Sales!R$6*Sales!R$7,0)+IF(EOMONTH(DATE(YEAR(Sales!$N$1),MONTH(Sales!$N$1),1)+INT((DAY(Sales!$N$1)-1)/2)+'Cash Drivers'!O$13,0)=EOMONTH($CN$1,0),Sales!O$6*Sales!O$7,0)+IF(EOMONTH(DATE(YEAR(Sales!$K$1),MONTH(Sales!$K$1),1)+INT((DAY(Sales!$K$1)-1)/2)+'Cash Drivers'!L$13,0)=EOMONTH($CN$1,0),Sales!L$6*Sales!L$7,0)+IF(EOMONTH('Cash Drivers'!$DL$30+'Cash Drivers'!DM$13,0)=EOMONTH($CN$1,0),'Cash Drivers'!$DL$32*Sales!$DL$60,0),0)</f>
        <v>23142</v>
      </c>
      <c r="CP24" s="60" t="n">
        <f aca="false">ROUND(IF(EOMONTH(DATE(YEAR(Sales!$DL$1),MONTH(Sales!$DL$1),1)+INT((DAY(Sales!$DL$1)-1)/2)+'Cash Drivers'!DN$13,0)=EOMONTH($CN$1,0),Sales!DN$6*Sales!DN$7,0)+IF(EOMONTH(DATE(YEAR(Sales!$DI$1),MONTH(Sales!$DI$1),1)+INT((DAY(Sales!$DI$1)-1)/2)+'Cash Drivers'!DK$13,0)=EOMONTH($CN$1,0),Sales!DK$6*Sales!DK$7,0)+IF(EOMONTH(DATE(YEAR(Sales!$DF$1),MONTH(Sales!$DF$1),1)+INT((DAY(Sales!$DF$1)-1)/2)+'Cash Drivers'!DH$13,0)=EOMONTH($CN$1,0),Sales!DH$6*Sales!DH$7,0)+IF(EOMONTH(DATE(YEAR(Sales!$DC$1),MONTH(Sales!$DC$1),1)+INT((DAY(Sales!$DC$1)-1)/2)+'Cash Drivers'!DE$13,0)=EOMONTH($CN$1,0),Sales!DE$6*Sales!DE$7,0)+IF(EOMONTH(DATE(YEAR(Sales!$CZ$1),MONTH(Sales!$CZ$1),1)+INT((DAY(Sales!$CZ$1)-1)/2)+'Cash Drivers'!DB$13,0)=EOMONTH($CN$1,0),Sales!DB$6*Sales!DB$7,0)+IF(EOMONTH(DATE(YEAR(Sales!$CW$1),MONTH(Sales!$CW$1),1)+INT((DAY(Sales!$CW$1)-1)/2)+'Cash Drivers'!CY$13,0)=EOMONTH($CN$1,0),Sales!CY$6*Sales!CY$7,0)+IF(EOMONTH(DATE(YEAR(Sales!$CT$1),MONTH(Sales!$CT$1),1)+INT((DAY(Sales!$CT$1)-1)/2)+'Cash Drivers'!CV$13,0)=EOMONTH($CN$1,0),Sales!CV$6*Sales!CV$7,0)+IF(EOMONTH(DATE(YEAR(Sales!$CQ$1),MONTH(Sales!$CQ$1),1)+INT((DAY(Sales!$CQ$1)-1)/2)+'Cash Drivers'!CS$13,0)=EOMONTH($CN$1,0),Sales!CS$6*Sales!CS$7,0)+IF(EOMONTH(DATE(YEAR(Sales!$CN$1),MONTH(Sales!$CN$1),1)+INT((DAY(Sales!$CN$1)-1)/2)+'Cash Drivers'!CP$13,0)=EOMONTH($CN$1,0),Sales!CP$6*Sales!CP$7,0)+IF(EOMONTH(DATE(YEAR(Sales!$CK$1),MONTH(Sales!$CK$1),1)+INT((DAY(Sales!$CK$1)-1)/2)+'Cash Drivers'!CM$13,0)=EOMONTH($CN$1,0),Sales!CM$6*Sales!CM$7,0)+IF(EOMONTH(DATE(YEAR(Sales!$CH$1),MONTH(Sales!$CH$1),1)+INT((DAY(Sales!$CH$1)-1)/2)+'Cash Drivers'!CJ$13,0)=EOMONTH($CN$1,0),Sales!CJ$6*Sales!CJ$7,0)+IF(EOMONTH(DATE(YEAR(Sales!$CE$1),MONTH(Sales!$CE$1),1)+INT((DAY(Sales!$CE$1)-1)/2)+'Cash Drivers'!CG$13,0)=EOMONTH($CN$1,0),Sales!CG$6*Sales!CG$7,0)+IF(EOMONTH(DATE(YEAR(Sales!$CB$1),MONTH(Sales!$CB$1),1)+INT((DAY(Sales!$CB$1)-1)/2)+'Cash Drivers'!CD$13,0)=EOMONTH($CN$1,0),Sales!CD$6*Sales!CD$7,0)+IF(EOMONTH(DATE(YEAR(Sales!$BY$1),MONTH(Sales!$BY$1),1)+INT((DAY(Sales!$BY$1)-1)/2)+'Cash Drivers'!CA$13,0)=EOMONTH($CN$1,0),Sales!CA$6*Sales!CA$7,0)+IF(EOMONTH(DATE(YEAR(Sales!$BV$1),MONTH(Sales!$BV$1),1)+INT((DAY(Sales!$BV$1)-1)/2)+'Cash Drivers'!BX$13,0)=EOMONTH($CN$1,0),Sales!BX$6*Sales!BX$7,0)+IF(EOMONTH(DATE(YEAR(Sales!$BS$1),MONTH(Sales!$BS$1),1)+INT((DAY(Sales!$BS$1)-1)/2)+'Cash Drivers'!BU$13,0)=EOMONTH($CN$1,0),Sales!BU$6*Sales!BU$7,0)+IF(EOMONTH(DATE(YEAR(Sales!$BP$1),MONTH(Sales!$BP$1),1)+INT((DAY(Sales!$BP$1)-1)/2)+'Cash Drivers'!BR$13,0)=EOMONTH($CN$1,0),Sales!BR$6*Sales!BR$7,0)+IF(EOMONTH(DATE(YEAR(Sales!$BM$1),MONTH(Sales!$BM$1),1)+INT((DAY(Sales!$BM$1)-1)/2)+'Cash Drivers'!BO$13,0)=EOMONTH($CN$1,0),Sales!BO$6*Sales!BO$7,0)+IF(EOMONTH(DATE(YEAR(Sales!$BJ$1),MONTH(Sales!$BJ$1),1)+INT((DAY(Sales!$BJ$1)-1)/2)+'Cash Drivers'!BL$13,0)=EOMONTH($CN$1,0),Sales!BL$6*Sales!BL$7,0)+IF(EOMONTH(DATE(YEAR(Sales!$BG$1),MONTH(Sales!$BG$1),1)+INT((DAY(Sales!$BG$1)-1)/2)+'Cash Drivers'!BI$13,0)=EOMONTH($CN$1,0),Sales!BI$6*Sales!BI$7,0)+IF(EOMONTH(DATE(YEAR(Sales!$BD$1),MONTH(Sales!$BD$1),1)+INT((DAY(Sales!$BD$1)-1)/2)+'Cash Drivers'!BF$13,0)=EOMONTH($CN$1,0),Sales!BF$6*Sales!BF$7,0)+IF(EOMONTH(DATE(YEAR(Sales!$BA$1),MONTH(Sales!$BA$1),1)+INT((DAY(Sales!$BA$1)-1)/2)+'Cash Drivers'!BC$13,0)=EOMONTH($CN$1,0),Sales!BC$6*Sales!BC$7,0)+IF(EOMONTH(DATE(YEAR(Sales!$AX$1),MONTH(Sales!$AX$1),1)+INT((DAY(Sales!$AX$1)-1)/2)+'Cash Drivers'!AZ$13,0)=EOMONTH($CN$1,0),Sales!AZ$6*Sales!AZ$7,0)+IF(EOMONTH(DATE(YEAR(Sales!$AU$1),MONTH(Sales!$AU$1),1)+INT((DAY(Sales!$AU$1)-1)/2)+'Cash Drivers'!AW$13,0)=EOMONTH($CN$1,0),Sales!AW$6*Sales!AW$7,0)+IF(EOMONTH(DATE(YEAR(Sales!$AR$1),MONTH(Sales!$AR$1),1)+INT((DAY(Sales!$AR$1)-1)/2)+'Cash Drivers'!AT$13,0)=EOMONTH($CN$1,0),Sales!AT$6*Sales!AT$7,0)+IF(EOMONTH(DATE(YEAR(Sales!$AO$1),MONTH(Sales!$AO$1),1)+INT((DAY(Sales!$AO$1)-1)/2)+'Cash Drivers'!AQ$13,0)=EOMONTH($CN$1,0),Sales!AQ$6*Sales!AQ$7,0)+IF(EOMONTH(DATE(YEAR(Sales!$AL$1),MONTH(Sales!$AL$1),1)+INT((DAY(Sales!$AL$1)-1)/2)+'Cash Drivers'!AN$13,0)=EOMONTH($CN$1,0),Sales!AN$6*Sales!AN$7,0)+IF(EOMONTH(DATE(YEAR(Sales!$AI$1),MONTH(Sales!$AI$1),1)+INT((DAY(Sales!$AI$1)-1)/2)+'Cash Drivers'!AK$13,0)=EOMONTH($CN$1,0),Sales!AK$6*Sales!AK$7,0)+IF(EOMONTH(DATE(YEAR(Sales!$AF$1),MONTH(Sales!$AF$1),1)+INT((DAY(Sales!$AF$1)-1)/2)+'Cash Drivers'!AH$13,0)=EOMONTH($CN$1,0),Sales!AH$6*Sales!AH$7,0)+IF(EOMONTH(DATE(YEAR(Sales!$AC$1),MONTH(Sales!$AC$1),1)+INT((DAY(Sales!$AC$1)-1)/2)+'Cash Drivers'!AE$13,0)=EOMONTH($CN$1,0),Sales!AE$6*Sales!AE$7,0)+IF(EOMONTH(DATE(YEAR(Sales!$Z$1),MONTH(Sales!$Z$1),1)+INT((DAY(Sales!$Z$1)-1)/2)+'Cash Drivers'!AB$13,0)=EOMONTH($CN$1,0),Sales!AB$6*Sales!AB$7,0)+IF(EOMONTH(DATE(YEAR(Sales!$W$1),MONTH(Sales!$W$1),1)+INT((DAY(Sales!$W$1)-1)/2)+'Cash Drivers'!Y$13,0)=EOMONTH($CN$1,0),Sales!Y$6*Sales!Y$7,0)+IF(EOMONTH(DATE(YEAR(Sales!$T$1),MONTH(Sales!$T$1),1)+INT((DAY(Sales!$T$1)-1)/2)+'Cash Drivers'!V$13,0)=EOMONTH($CN$1,0),Sales!V$6*Sales!V$7,0)+IF(EOMONTH(DATE(YEAR(Sales!$Q$1),MONTH(Sales!$Q$1),1)+INT((DAY(Sales!$Q$1)-1)/2)+'Cash Drivers'!S$13,0)=EOMONTH($CN$1,0),Sales!S$6*Sales!S$7,0)+IF(EOMONTH(DATE(YEAR(Sales!$N$1),MONTH(Sales!$N$1),1)+INT((DAY(Sales!$N$1)-1)/2)+'Cash Drivers'!P$13,0)=EOMONTH($CN$1,0),Sales!P$6*Sales!P$7,0)+IF(EOMONTH(DATE(YEAR(Sales!$K$1),MONTH(Sales!$K$1),1)+INT((DAY(Sales!$K$1)-1)/2)+'Cash Drivers'!M$13,0)=EOMONTH($CN$1,0),Sales!M$6*Sales!M$7,0)+IF(EOMONTH('Cash Drivers'!$DL$30+'Cash Drivers'!DN$13,0)=EOMONTH($CN$1,0),'Cash Drivers'!$DL$32*Sales!$DL$60,0),0)</f>
        <v>23199</v>
      </c>
      <c r="CQ24" s="58" t="n">
        <f aca="false">ROUND(IF(EOMONTH(DATE(YEAR(Sales!$DL$1),MONTH(Sales!$DL$1),1)+INT((DAY(Sales!$DL$1)-1)/2)+'Cash Drivers'!DL$13,0)=EOMONTH($CQ$1,0),Sales!DL$6*Sales!DL$7,0)+IF(EOMONTH(DATE(YEAR(Sales!$DI$1),MONTH(Sales!$DI$1),1)+INT((DAY(Sales!$DI$1)-1)/2)+'Cash Drivers'!DI$13,0)=EOMONTH($CQ$1,0),Sales!DI$6*Sales!DI$7,0)+IF(EOMONTH(DATE(YEAR(Sales!$DF$1),MONTH(Sales!$DF$1),1)+INT((DAY(Sales!$DF$1)-1)/2)+'Cash Drivers'!DF$13,0)=EOMONTH($CQ$1,0),Sales!DF$6*Sales!DF$7,0)+IF(EOMONTH(DATE(YEAR(Sales!$DC$1),MONTH(Sales!$DC$1),1)+INT((DAY(Sales!$DC$1)-1)/2)+'Cash Drivers'!DC$13,0)=EOMONTH($CQ$1,0),Sales!DC$6*Sales!DC$7,0)+IF(EOMONTH(DATE(YEAR(Sales!$CZ$1),MONTH(Sales!$CZ$1),1)+INT((DAY(Sales!$CZ$1)-1)/2)+'Cash Drivers'!CZ$13,0)=EOMONTH($CQ$1,0),Sales!CZ$6*Sales!CZ$7,0)+IF(EOMONTH(DATE(YEAR(Sales!$CW$1),MONTH(Sales!$CW$1),1)+INT((DAY(Sales!$CW$1)-1)/2)+'Cash Drivers'!CW$13,0)=EOMONTH($CQ$1,0),Sales!CW$6*Sales!CW$7,0)+IF(EOMONTH(DATE(YEAR(Sales!$CT$1),MONTH(Sales!$CT$1),1)+INT((DAY(Sales!$CT$1)-1)/2)+'Cash Drivers'!CT$13,0)=EOMONTH($CQ$1,0),Sales!CT$6*Sales!CT$7,0)+IF(EOMONTH(DATE(YEAR(Sales!$CQ$1),MONTH(Sales!$CQ$1),1)+INT((DAY(Sales!$CQ$1)-1)/2)+'Cash Drivers'!CQ$13,0)=EOMONTH($CQ$1,0),Sales!CQ$6*Sales!CQ$7,0)+IF(EOMONTH(DATE(YEAR(Sales!$CN$1),MONTH(Sales!$CN$1),1)+INT((DAY(Sales!$CN$1)-1)/2)+'Cash Drivers'!CN$13,0)=EOMONTH($CQ$1,0),Sales!CN$6*Sales!CN$7,0)+IF(EOMONTH(DATE(YEAR(Sales!$CK$1),MONTH(Sales!$CK$1),1)+INT((DAY(Sales!$CK$1)-1)/2)+'Cash Drivers'!CK$13,0)=EOMONTH($CQ$1,0),Sales!CK$6*Sales!CK$7,0)+IF(EOMONTH(DATE(YEAR(Sales!$CH$1),MONTH(Sales!$CH$1),1)+INT((DAY(Sales!$CH$1)-1)/2)+'Cash Drivers'!CH$13,0)=EOMONTH($CQ$1,0),Sales!CH$6*Sales!CH$7,0)+IF(EOMONTH(DATE(YEAR(Sales!$CE$1),MONTH(Sales!$CE$1),1)+INT((DAY(Sales!$CE$1)-1)/2)+'Cash Drivers'!CE$13,0)=EOMONTH($CQ$1,0),Sales!CE$6*Sales!CE$7,0)+IF(EOMONTH(DATE(YEAR(Sales!$CB$1),MONTH(Sales!$CB$1),1)+INT((DAY(Sales!$CB$1)-1)/2)+'Cash Drivers'!CB$13,0)=EOMONTH($CQ$1,0),Sales!CB$6*Sales!CB$7,0)+IF(EOMONTH(DATE(YEAR(Sales!$BY$1),MONTH(Sales!$BY$1),1)+INT((DAY(Sales!$BY$1)-1)/2)+'Cash Drivers'!BY$13,0)=EOMONTH($CQ$1,0),Sales!BY$6*Sales!BY$7,0)+IF(EOMONTH(DATE(YEAR(Sales!$BV$1),MONTH(Sales!$BV$1),1)+INT((DAY(Sales!$BV$1)-1)/2)+'Cash Drivers'!BV$13,0)=EOMONTH($CQ$1,0),Sales!BV$6*Sales!BV$7,0)+IF(EOMONTH(DATE(YEAR(Sales!$BS$1),MONTH(Sales!$BS$1),1)+INT((DAY(Sales!$BS$1)-1)/2)+'Cash Drivers'!BS$13,0)=EOMONTH($CQ$1,0),Sales!BS$6*Sales!BS$7,0)+IF(EOMONTH(DATE(YEAR(Sales!$BP$1),MONTH(Sales!$BP$1),1)+INT((DAY(Sales!$BP$1)-1)/2)+'Cash Drivers'!BP$13,0)=EOMONTH($CQ$1,0),Sales!BP$6*Sales!BP$7,0)+IF(EOMONTH(DATE(YEAR(Sales!$BM$1),MONTH(Sales!$BM$1),1)+INT((DAY(Sales!$BM$1)-1)/2)+'Cash Drivers'!BM$13,0)=EOMONTH($CQ$1,0),Sales!BM$6*Sales!BM$7,0)+IF(EOMONTH(DATE(YEAR(Sales!$BJ$1),MONTH(Sales!$BJ$1),1)+INT((DAY(Sales!$BJ$1)-1)/2)+'Cash Drivers'!BJ$13,0)=EOMONTH($CQ$1,0),Sales!BJ$6*Sales!BJ$7,0)+IF(EOMONTH(DATE(YEAR(Sales!$BG$1),MONTH(Sales!$BG$1),1)+INT((DAY(Sales!$BG$1)-1)/2)+'Cash Drivers'!BG$13,0)=EOMONTH($CQ$1,0),Sales!BG$6*Sales!BG$7,0)+IF(EOMONTH(DATE(YEAR(Sales!$BD$1),MONTH(Sales!$BD$1),1)+INT((DAY(Sales!$BD$1)-1)/2)+'Cash Drivers'!BD$13,0)=EOMONTH($CQ$1,0),Sales!BD$6*Sales!BD$7,0)+IF(EOMONTH(DATE(YEAR(Sales!$BA$1),MONTH(Sales!$BA$1),1)+INT((DAY(Sales!$BA$1)-1)/2)+'Cash Drivers'!BA$13,0)=EOMONTH($CQ$1,0),Sales!BA$6*Sales!BA$7,0)+IF(EOMONTH(DATE(YEAR(Sales!$AX$1),MONTH(Sales!$AX$1),1)+INT((DAY(Sales!$AX$1)-1)/2)+'Cash Drivers'!AX$13,0)=EOMONTH($CQ$1,0),Sales!AX$6*Sales!AX$7,0)+IF(EOMONTH(DATE(YEAR(Sales!$AU$1),MONTH(Sales!$AU$1),1)+INT((DAY(Sales!$AU$1)-1)/2)+'Cash Drivers'!AU$13,0)=EOMONTH($CQ$1,0),Sales!AU$6*Sales!AU$7,0)+IF(EOMONTH(DATE(YEAR(Sales!$AR$1),MONTH(Sales!$AR$1),1)+INT((DAY(Sales!$AR$1)-1)/2)+'Cash Drivers'!AR$13,0)=EOMONTH($CQ$1,0),Sales!AR$6*Sales!AR$7,0)+IF(EOMONTH(DATE(YEAR(Sales!$AO$1),MONTH(Sales!$AO$1),1)+INT((DAY(Sales!$AO$1)-1)/2)+'Cash Drivers'!AO$13,0)=EOMONTH($CQ$1,0),Sales!AO$6*Sales!AO$7,0)+IF(EOMONTH(DATE(YEAR(Sales!$AL$1),MONTH(Sales!$AL$1),1)+INT((DAY(Sales!$AL$1)-1)/2)+'Cash Drivers'!AL$13,0)=EOMONTH($CQ$1,0),Sales!AL$6*Sales!AL$7,0)+IF(EOMONTH(DATE(YEAR(Sales!$AI$1),MONTH(Sales!$AI$1),1)+INT((DAY(Sales!$AI$1)-1)/2)+'Cash Drivers'!AI$13,0)=EOMONTH($CQ$1,0),Sales!AI$6*Sales!AI$7,0)+IF(EOMONTH(DATE(YEAR(Sales!$AF$1),MONTH(Sales!$AF$1),1)+INT((DAY(Sales!$AF$1)-1)/2)+'Cash Drivers'!AF$13,0)=EOMONTH($CQ$1,0),Sales!AF$6*Sales!AF$7,0)+IF(EOMONTH(DATE(YEAR(Sales!$AC$1),MONTH(Sales!$AC$1),1)+INT((DAY(Sales!$AC$1)-1)/2)+'Cash Drivers'!AC$13,0)=EOMONTH($CQ$1,0),Sales!AC$6*Sales!AC$7,0)+IF(EOMONTH(DATE(YEAR(Sales!$Z$1),MONTH(Sales!$Z$1),1)+INT((DAY(Sales!$Z$1)-1)/2)+'Cash Drivers'!Z$13,0)=EOMONTH($CQ$1,0),Sales!Z$6*Sales!Z$7,0)+IF(EOMONTH(DATE(YEAR(Sales!$W$1),MONTH(Sales!$W$1),1)+INT((DAY(Sales!$W$1)-1)/2)+'Cash Drivers'!W$13,0)=EOMONTH($CQ$1,0),Sales!W$6*Sales!W$7,0)+IF(EOMONTH(DATE(YEAR(Sales!$T$1),MONTH(Sales!$T$1),1)+INT((DAY(Sales!$T$1)-1)/2)+'Cash Drivers'!T$13,0)=EOMONTH($CQ$1,0),Sales!T$6*Sales!T$7,0)+IF(EOMONTH(DATE(YEAR(Sales!$Q$1),MONTH(Sales!$Q$1),1)+INT((DAY(Sales!$Q$1)-1)/2)+'Cash Drivers'!Q$13,0)=EOMONTH($CQ$1,0),Sales!Q$6*Sales!Q$7,0)+IF(EOMONTH(DATE(YEAR(Sales!$N$1),MONTH(Sales!$N$1),1)+INT((DAY(Sales!$N$1)-1)/2)+'Cash Drivers'!N$13,0)=EOMONTH($CQ$1,0),Sales!N$6*Sales!N$7,0)+IF(EOMONTH(DATE(YEAR(Sales!$K$1),MONTH(Sales!$K$1),1)+INT((DAY(Sales!$K$1)-1)/2)+'Cash Drivers'!K$13,0)=EOMONTH($CQ$1,0),Sales!K$6*Sales!K$7,0)+IF(EOMONTH('Cash Drivers'!$DL$30+'Cash Drivers'!DL$13,0)=EOMONTH($CQ$1,0),'Cash Drivers'!$DL$32*Sales!$DL$60,0),0)</f>
        <v>0</v>
      </c>
      <c r="CR24" s="59" t="n">
        <f aca="false">ROUND(IF(EOMONTH(DATE(YEAR(Sales!$DL$1),MONTH(Sales!$DL$1),1)+INT((DAY(Sales!$DL$1)-1)/2)+'Cash Drivers'!DM$13,0)=EOMONTH($CQ$1,0),Sales!DM$6*Sales!DM$7,0)+IF(EOMONTH(DATE(YEAR(Sales!$DI$1),MONTH(Sales!$DI$1),1)+INT((DAY(Sales!$DI$1)-1)/2)+'Cash Drivers'!DJ$13,0)=EOMONTH($CQ$1,0),Sales!DJ$6*Sales!DJ$7,0)+IF(EOMONTH(DATE(YEAR(Sales!$DF$1),MONTH(Sales!$DF$1),1)+INT((DAY(Sales!$DF$1)-1)/2)+'Cash Drivers'!DG$13,0)=EOMONTH($CQ$1,0),Sales!DG$6*Sales!DG$7,0)+IF(EOMONTH(DATE(YEAR(Sales!$DC$1),MONTH(Sales!$DC$1),1)+INT((DAY(Sales!$DC$1)-1)/2)+'Cash Drivers'!DD$13,0)=EOMONTH($CQ$1,0),Sales!DD$6*Sales!DD$7,0)+IF(EOMONTH(DATE(YEAR(Sales!$CZ$1),MONTH(Sales!$CZ$1),1)+INT((DAY(Sales!$CZ$1)-1)/2)+'Cash Drivers'!DA$13,0)=EOMONTH($CQ$1,0),Sales!DA$6*Sales!DA$7,0)+IF(EOMONTH(DATE(YEAR(Sales!$CW$1),MONTH(Sales!$CW$1),1)+INT((DAY(Sales!$CW$1)-1)/2)+'Cash Drivers'!CX$13,0)=EOMONTH($CQ$1,0),Sales!CX$6*Sales!CX$7,0)+IF(EOMONTH(DATE(YEAR(Sales!$CT$1),MONTH(Sales!$CT$1),1)+INT((DAY(Sales!$CT$1)-1)/2)+'Cash Drivers'!CU$13,0)=EOMONTH($CQ$1,0),Sales!CU$6*Sales!CU$7,0)+IF(EOMONTH(DATE(YEAR(Sales!$CQ$1),MONTH(Sales!$CQ$1),1)+INT((DAY(Sales!$CQ$1)-1)/2)+'Cash Drivers'!CR$13,0)=EOMONTH($CQ$1,0),Sales!CR$6*Sales!CR$7,0)+IF(EOMONTH(DATE(YEAR(Sales!$CN$1),MONTH(Sales!$CN$1),1)+INT((DAY(Sales!$CN$1)-1)/2)+'Cash Drivers'!CO$13,0)=EOMONTH($CQ$1,0),Sales!CO$6*Sales!CO$7,0)+IF(EOMONTH(DATE(YEAR(Sales!$CK$1),MONTH(Sales!$CK$1),1)+INT((DAY(Sales!$CK$1)-1)/2)+'Cash Drivers'!CL$13,0)=EOMONTH($CQ$1,0),Sales!CL$6*Sales!CL$7,0)+IF(EOMONTH(DATE(YEAR(Sales!$CH$1),MONTH(Sales!$CH$1),1)+INT((DAY(Sales!$CH$1)-1)/2)+'Cash Drivers'!CI$13,0)=EOMONTH($CQ$1,0),Sales!CI$6*Sales!CI$7,0)+IF(EOMONTH(DATE(YEAR(Sales!$CE$1),MONTH(Sales!$CE$1),1)+INT((DAY(Sales!$CE$1)-1)/2)+'Cash Drivers'!CF$13,0)=EOMONTH($CQ$1,0),Sales!CF$6*Sales!CF$7,0)+IF(EOMONTH(DATE(YEAR(Sales!$CB$1),MONTH(Sales!$CB$1),1)+INT((DAY(Sales!$CB$1)-1)/2)+'Cash Drivers'!CC$13,0)=EOMONTH($CQ$1,0),Sales!CC$6*Sales!CC$7,0)+IF(EOMONTH(DATE(YEAR(Sales!$BY$1),MONTH(Sales!$BY$1),1)+INT((DAY(Sales!$BY$1)-1)/2)+'Cash Drivers'!BZ$13,0)=EOMONTH($CQ$1,0),Sales!BZ$6*Sales!BZ$7,0)+IF(EOMONTH(DATE(YEAR(Sales!$BV$1),MONTH(Sales!$BV$1),1)+INT((DAY(Sales!$BV$1)-1)/2)+'Cash Drivers'!BW$13,0)=EOMONTH($CQ$1,0),Sales!BW$6*Sales!BW$7,0)+IF(EOMONTH(DATE(YEAR(Sales!$BS$1),MONTH(Sales!$BS$1),1)+INT((DAY(Sales!$BS$1)-1)/2)+'Cash Drivers'!BT$13,0)=EOMONTH($CQ$1,0),Sales!BT$6*Sales!BT$7,0)+IF(EOMONTH(DATE(YEAR(Sales!$BP$1),MONTH(Sales!$BP$1),1)+INT((DAY(Sales!$BP$1)-1)/2)+'Cash Drivers'!BQ$13,0)=EOMONTH($CQ$1,0),Sales!BQ$6*Sales!BQ$7,0)+IF(EOMONTH(DATE(YEAR(Sales!$BM$1),MONTH(Sales!$BM$1),1)+INT((DAY(Sales!$BM$1)-1)/2)+'Cash Drivers'!BN$13,0)=EOMONTH($CQ$1,0),Sales!BN$6*Sales!BN$7,0)+IF(EOMONTH(DATE(YEAR(Sales!$BJ$1),MONTH(Sales!$BJ$1),1)+INT((DAY(Sales!$BJ$1)-1)/2)+'Cash Drivers'!BK$13,0)=EOMONTH($CQ$1,0),Sales!BK$6*Sales!BK$7,0)+IF(EOMONTH(DATE(YEAR(Sales!$BG$1),MONTH(Sales!$BG$1),1)+INT((DAY(Sales!$BG$1)-1)/2)+'Cash Drivers'!BH$13,0)=EOMONTH($CQ$1,0),Sales!BH$6*Sales!BH$7,0)+IF(EOMONTH(DATE(YEAR(Sales!$BD$1),MONTH(Sales!$BD$1),1)+INT((DAY(Sales!$BD$1)-1)/2)+'Cash Drivers'!BE$13,0)=EOMONTH($CQ$1,0),Sales!BE$6*Sales!BE$7,0)+IF(EOMONTH(DATE(YEAR(Sales!$BA$1),MONTH(Sales!$BA$1),1)+INT((DAY(Sales!$BA$1)-1)/2)+'Cash Drivers'!BB$13,0)=EOMONTH($CQ$1,0),Sales!BB$6*Sales!BB$7,0)+IF(EOMONTH(DATE(YEAR(Sales!$AX$1),MONTH(Sales!$AX$1),1)+INT((DAY(Sales!$AX$1)-1)/2)+'Cash Drivers'!AY$13,0)=EOMONTH($CQ$1,0),Sales!AY$6*Sales!AY$7,0)+IF(EOMONTH(DATE(YEAR(Sales!$AU$1),MONTH(Sales!$AU$1),1)+INT((DAY(Sales!$AU$1)-1)/2)+'Cash Drivers'!AV$13,0)=EOMONTH($CQ$1,0),Sales!AV$6*Sales!AV$7,0)+IF(EOMONTH(DATE(YEAR(Sales!$AR$1),MONTH(Sales!$AR$1),1)+INT((DAY(Sales!$AR$1)-1)/2)+'Cash Drivers'!AS$13,0)=EOMONTH($CQ$1,0),Sales!AS$6*Sales!AS$7,0)+IF(EOMONTH(DATE(YEAR(Sales!$AO$1),MONTH(Sales!$AO$1),1)+INT((DAY(Sales!$AO$1)-1)/2)+'Cash Drivers'!AP$13,0)=EOMONTH($CQ$1,0),Sales!AP$6*Sales!AP$7,0)+IF(EOMONTH(DATE(YEAR(Sales!$AL$1),MONTH(Sales!$AL$1),1)+INT((DAY(Sales!$AL$1)-1)/2)+'Cash Drivers'!AM$13,0)=EOMONTH($CQ$1,0),Sales!AM$6*Sales!AM$7,0)+IF(EOMONTH(DATE(YEAR(Sales!$AI$1),MONTH(Sales!$AI$1),1)+INT((DAY(Sales!$AI$1)-1)/2)+'Cash Drivers'!AJ$13,0)=EOMONTH($CQ$1,0),Sales!AJ$6*Sales!AJ$7,0)+IF(EOMONTH(DATE(YEAR(Sales!$AF$1),MONTH(Sales!$AF$1),1)+INT((DAY(Sales!$AF$1)-1)/2)+'Cash Drivers'!AG$13,0)=EOMONTH($CQ$1,0),Sales!AG$6*Sales!AG$7,0)+IF(EOMONTH(DATE(YEAR(Sales!$AC$1),MONTH(Sales!$AC$1),1)+INT((DAY(Sales!$AC$1)-1)/2)+'Cash Drivers'!AD$13,0)=EOMONTH($CQ$1,0),Sales!AD$6*Sales!AD$7,0)+IF(EOMONTH(DATE(YEAR(Sales!$Z$1),MONTH(Sales!$Z$1),1)+INT((DAY(Sales!$Z$1)-1)/2)+'Cash Drivers'!AA$13,0)=EOMONTH($CQ$1,0),Sales!AA$6*Sales!AA$7,0)+IF(EOMONTH(DATE(YEAR(Sales!$W$1),MONTH(Sales!$W$1),1)+INT((DAY(Sales!$W$1)-1)/2)+'Cash Drivers'!X$13,0)=EOMONTH($CQ$1,0),Sales!X$6*Sales!X$7,0)+IF(EOMONTH(DATE(YEAR(Sales!$T$1),MONTH(Sales!$T$1),1)+INT((DAY(Sales!$T$1)-1)/2)+'Cash Drivers'!U$13,0)=EOMONTH($CQ$1,0),Sales!U$6*Sales!U$7,0)+IF(EOMONTH(DATE(YEAR(Sales!$Q$1),MONTH(Sales!$Q$1),1)+INT((DAY(Sales!$Q$1)-1)/2)+'Cash Drivers'!R$13,0)=EOMONTH($CQ$1,0),Sales!R$6*Sales!R$7,0)+IF(EOMONTH(DATE(YEAR(Sales!$N$1),MONTH(Sales!$N$1),1)+INT((DAY(Sales!$N$1)-1)/2)+'Cash Drivers'!O$13,0)=EOMONTH($CQ$1,0),Sales!O$6*Sales!O$7,0)+IF(EOMONTH(DATE(YEAR(Sales!$K$1),MONTH(Sales!$K$1),1)+INT((DAY(Sales!$K$1)-1)/2)+'Cash Drivers'!L$13,0)=EOMONTH($CQ$1,0),Sales!L$6*Sales!L$7,0)+IF(EOMONTH('Cash Drivers'!$DL$30+'Cash Drivers'!DM$13,0)=EOMONTH($CQ$1,0),'Cash Drivers'!$DL$32*Sales!$DL$60,0),0)</f>
        <v>23085</v>
      </c>
      <c r="CS24" s="60" t="n">
        <f aca="false">ROUND(IF(EOMONTH(DATE(YEAR(Sales!$DL$1),MONTH(Sales!$DL$1),1)+INT((DAY(Sales!$DL$1)-1)/2)+'Cash Drivers'!DN$13,0)=EOMONTH($CQ$1,0),Sales!DN$6*Sales!DN$7,0)+IF(EOMONTH(DATE(YEAR(Sales!$DI$1),MONTH(Sales!$DI$1),1)+INT((DAY(Sales!$DI$1)-1)/2)+'Cash Drivers'!DK$13,0)=EOMONTH($CQ$1,0),Sales!DK$6*Sales!DK$7,0)+IF(EOMONTH(DATE(YEAR(Sales!$DF$1),MONTH(Sales!$DF$1),1)+INT((DAY(Sales!$DF$1)-1)/2)+'Cash Drivers'!DH$13,0)=EOMONTH($CQ$1,0),Sales!DH$6*Sales!DH$7,0)+IF(EOMONTH(DATE(YEAR(Sales!$DC$1),MONTH(Sales!$DC$1),1)+INT((DAY(Sales!$DC$1)-1)/2)+'Cash Drivers'!DE$13,0)=EOMONTH($CQ$1,0),Sales!DE$6*Sales!DE$7,0)+IF(EOMONTH(DATE(YEAR(Sales!$CZ$1),MONTH(Sales!$CZ$1),1)+INT((DAY(Sales!$CZ$1)-1)/2)+'Cash Drivers'!DB$13,0)=EOMONTH($CQ$1,0),Sales!DB$6*Sales!DB$7,0)+IF(EOMONTH(DATE(YEAR(Sales!$CW$1),MONTH(Sales!$CW$1),1)+INT((DAY(Sales!$CW$1)-1)/2)+'Cash Drivers'!CY$13,0)=EOMONTH($CQ$1,0),Sales!CY$6*Sales!CY$7,0)+IF(EOMONTH(DATE(YEAR(Sales!$CT$1),MONTH(Sales!$CT$1),1)+INT((DAY(Sales!$CT$1)-1)/2)+'Cash Drivers'!CV$13,0)=EOMONTH($CQ$1,0),Sales!CV$6*Sales!CV$7,0)+IF(EOMONTH(DATE(YEAR(Sales!$CQ$1),MONTH(Sales!$CQ$1),1)+INT((DAY(Sales!$CQ$1)-1)/2)+'Cash Drivers'!CS$13,0)=EOMONTH($CQ$1,0),Sales!CS$6*Sales!CS$7,0)+IF(EOMONTH(DATE(YEAR(Sales!$CN$1),MONTH(Sales!$CN$1),1)+INT((DAY(Sales!$CN$1)-1)/2)+'Cash Drivers'!CP$13,0)=EOMONTH($CQ$1,0),Sales!CP$6*Sales!CP$7,0)+IF(EOMONTH(DATE(YEAR(Sales!$CK$1),MONTH(Sales!$CK$1),1)+INT((DAY(Sales!$CK$1)-1)/2)+'Cash Drivers'!CM$13,0)=EOMONTH($CQ$1,0),Sales!CM$6*Sales!CM$7,0)+IF(EOMONTH(DATE(YEAR(Sales!$CH$1),MONTH(Sales!$CH$1),1)+INT((DAY(Sales!$CH$1)-1)/2)+'Cash Drivers'!CJ$13,0)=EOMONTH($CQ$1,0),Sales!CJ$6*Sales!CJ$7,0)+IF(EOMONTH(DATE(YEAR(Sales!$CE$1),MONTH(Sales!$CE$1),1)+INT((DAY(Sales!$CE$1)-1)/2)+'Cash Drivers'!CG$13,0)=EOMONTH($CQ$1,0),Sales!CG$6*Sales!CG$7,0)+IF(EOMONTH(DATE(YEAR(Sales!$CB$1),MONTH(Sales!$CB$1),1)+INT((DAY(Sales!$CB$1)-1)/2)+'Cash Drivers'!CD$13,0)=EOMONTH($CQ$1,0),Sales!CD$6*Sales!CD$7,0)+IF(EOMONTH(DATE(YEAR(Sales!$BY$1),MONTH(Sales!$BY$1),1)+INT((DAY(Sales!$BY$1)-1)/2)+'Cash Drivers'!CA$13,0)=EOMONTH($CQ$1,0),Sales!CA$6*Sales!CA$7,0)+IF(EOMONTH(DATE(YEAR(Sales!$BV$1),MONTH(Sales!$BV$1),1)+INT((DAY(Sales!$BV$1)-1)/2)+'Cash Drivers'!BX$13,0)=EOMONTH($CQ$1,0),Sales!BX$6*Sales!BX$7,0)+IF(EOMONTH(DATE(YEAR(Sales!$BS$1),MONTH(Sales!$BS$1),1)+INT((DAY(Sales!$BS$1)-1)/2)+'Cash Drivers'!BU$13,0)=EOMONTH($CQ$1,0),Sales!BU$6*Sales!BU$7,0)+IF(EOMONTH(DATE(YEAR(Sales!$BP$1),MONTH(Sales!$BP$1),1)+INT((DAY(Sales!$BP$1)-1)/2)+'Cash Drivers'!BR$13,0)=EOMONTH($CQ$1,0),Sales!BR$6*Sales!BR$7,0)+IF(EOMONTH(DATE(YEAR(Sales!$BM$1),MONTH(Sales!$BM$1),1)+INT((DAY(Sales!$BM$1)-1)/2)+'Cash Drivers'!BO$13,0)=EOMONTH($CQ$1,0),Sales!BO$6*Sales!BO$7,0)+IF(EOMONTH(DATE(YEAR(Sales!$BJ$1),MONTH(Sales!$BJ$1),1)+INT((DAY(Sales!$BJ$1)-1)/2)+'Cash Drivers'!BL$13,0)=EOMONTH($CQ$1,0),Sales!BL$6*Sales!BL$7,0)+IF(EOMONTH(DATE(YEAR(Sales!$BG$1),MONTH(Sales!$BG$1),1)+INT((DAY(Sales!$BG$1)-1)/2)+'Cash Drivers'!BI$13,0)=EOMONTH($CQ$1,0),Sales!BI$6*Sales!BI$7,0)+IF(EOMONTH(DATE(YEAR(Sales!$BD$1),MONTH(Sales!$BD$1),1)+INT((DAY(Sales!$BD$1)-1)/2)+'Cash Drivers'!BF$13,0)=EOMONTH($CQ$1,0),Sales!BF$6*Sales!BF$7,0)+IF(EOMONTH(DATE(YEAR(Sales!$BA$1),MONTH(Sales!$BA$1),1)+INT((DAY(Sales!$BA$1)-1)/2)+'Cash Drivers'!BC$13,0)=EOMONTH($CQ$1,0),Sales!BC$6*Sales!BC$7,0)+IF(EOMONTH(DATE(YEAR(Sales!$AX$1),MONTH(Sales!$AX$1),1)+INT((DAY(Sales!$AX$1)-1)/2)+'Cash Drivers'!AZ$13,0)=EOMONTH($CQ$1,0),Sales!AZ$6*Sales!AZ$7,0)+IF(EOMONTH(DATE(YEAR(Sales!$AU$1),MONTH(Sales!$AU$1),1)+INT((DAY(Sales!$AU$1)-1)/2)+'Cash Drivers'!AW$13,0)=EOMONTH($CQ$1,0),Sales!AW$6*Sales!AW$7,0)+IF(EOMONTH(DATE(YEAR(Sales!$AR$1),MONTH(Sales!$AR$1),1)+INT((DAY(Sales!$AR$1)-1)/2)+'Cash Drivers'!AT$13,0)=EOMONTH($CQ$1,0),Sales!AT$6*Sales!AT$7,0)+IF(EOMONTH(DATE(YEAR(Sales!$AO$1),MONTH(Sales!$AO$1),1)+INT((DAY(Sales!$AO$1)-1)/2)+'Cash Drivers'!AQ$13,0)=EOMONTH($CQ$1,0),Sales!AQ$6*Sales!AQ$7,0)+IF(EOMONTH(DATE(YEAR(Sales!$AL$1),MONTH(Sales!$AL$1),1)+INT((DAY(Sales!$AL$1)-1)/2)+'Cash Drivers'!AN$13,0)=EOMONTH($CQ$1,0),Sales!AN$6*Sales!AN$7,0)+IF(EOMONTH(DATE(YEAR(Sales!$AI$1),MONTH(Sales!$AI$1),1)+INT((DAY(Sales!$AI$1)-1)/2)+'Cash Drivers'!AK$13,0)=EOMONTH($CQ$1,0),Sales!AK$6*Sales!AK$7,0)+IF(EOMONTH(DATE(YEAR(Sales!$AF$1),MONTH(Sales!$AF$1),1)+INT((DAY(Sales!$AF$1)-1)/2)+'Cash Drivers'!AH$13,0)=EOMONTH($CQ$1,0),Sales!AH$6*Sales!AH$7,0)+IF(EOMONTH(DATE(YEAR(Sales!$AC$1),MONTH(Sales!$AC$1),1)+INT((DAY(Sales!$AC$1)-1)/2)+'Cash Drivers'!AE$13,0)=EOMONTH($CQ$1,0),Sales!AE$6*Sales!AE$7,0)+IF(EOMONTH(DATE(YEAR(Sales!$Z$1),MONTH(Sales!$Z$1),1)+INT((DAY(Sales!$Z$1)-1)/2)+'Cash Drivers'!AB$13,0)=EOMONTH($CQ$1,0),Sales!AB$6*Sales!AB$7,0)+IF(EOMONTH(DATE(YEAR(Sales!$W$1),MONTH(Sales!$W$1),1)+INT((DAY(Sales!$W$1)-1)/2)+'Cash Drivers'!Y$13,0)=EOMONTH($CQ$1,0),Sales!Y$6*Sales!Y$7,0)+IF(EOMONTH(DATE(YEAR(Sales!$T$1),MONTH(Sales!$T$1),1)+INT((DAY(Sales!$T$1)-1)/2)+'Cash Drivers'!V$13,0)=EOMONTH($CQ$1,0),Sales!V$6*Sales!V$7,0)+IF(EOMONTH(DATE(YEAR(Sales!$Q$1),MONTH(Sales!$Q$1),1)+INT((DAY(Sales!$Q$1)-1)/2)+'Cash Drivers'!S$13,0)=EOMONTH($CQ$1,0),Sales!S$6*Sales!S$7,0)+IF(EOMONTH(DATE(YEAR(Sales!$N$1),MONTH(Sales!$N$1),1)+INT((DAY(Sales!$N$1)-1)/2)+'Cash Drivers'!P$13,0)=EOMONTH($CQ$1,0),Sales!P$6*Sales!P$7,0)+IF(EOMONTH(DATE(YEAR(Sales!$K$1),MONTH(Sales!$K$1),1)+INT((DAY(Sales!$K$1)-1)/2)+'Cash Drivers'!M$13,0)=EOMONTH($CQ$1,0),Sales!M$6*Sales!M$7,0)+IF(EOMONTH('Cash Drivers'!$DL$30+'Cash Drivers'!DN$13,0)=EOMONTH($CQ$1,0),'Cash Drivers'!$DL$32*Sales!$DL$60,0),0)</f>
        <v>23142</v>
      </c>
      <c r="CT24" s="58" t="n">
        <f aca="false">ROUND(IF(EOMONTH(DATE(YEAR(Sales!$DL$1),MONTH(Sales!$DL$1),1)+INT((DAY(Sales!$DL$1)-1)/2)+'Cash Drivers'!DL$13,0)=EOMONTH($CT$1,0),Sales!DL$6*Sales!DL$7,0)+IF(EOMONTH(DATE(YEAR(Sales!$DI$1),MONTH(Sales!$DI$1),1)+INT((DAY(Sales!$DI$1)-1)/2)+'Cash Drivers'!DI$13,0)=EOMONTH($CT$1,0),Sales!DI$6*Sales!DI$7,0)+IF(EOMONTH(DATE(YEAR(Sales!$DF$1),MONTH(Sales!$DF$1),1)+INT((DAY(Sales!$DF$1)-1)/2)+'Cash Drivers'!DF$13,0)=EOMONTH($CT$1,0),Sales!DF$6*Sales!DF$7,0)+IF(EOMONTH(DATE(YEAR(Sales!$DC$1),MONTH(Sales!$DC$1),1)+INT((DAY(Sales!$DC$1)-1)/2)+'Cash Drivers'!DC$13,0)=EOMONTH($CT$1,0),Sales!DC$6*Sales!DC$7,0)+IF(EOMONTH(DATE(YEAR(Sales!$CZ$1),MONTH(Sales!$CZ$1),1)+INT((DAY(Sales!$CZ$1)-1)/2)+'Cash Drivers'!CZ$13,0)=EOMONTH($CT$1,0),Sales!CZ$6*Sales!CZ$7,0)+IF(EOMONTH(DATE(YEAR(Sales!$CW$1),MONTH(Sales!$CW$1),1)+INT((DAY(Sales!$CW$1)-1)/2)+'Cash Drivers'!CW$13,0)=EOMONTH($CT$1,0),Sales!CW$6*Sales!CW$7,0)+IF(EOMONTH(DATE(YEAR(Sales!$CT$1),MONTH(Sales!$CT$1),1)+INT((DAY(Sales!$CT$1)-1)/2)+'Cash Drivers'!CT$13,0)=EOMONTH($CT$1,0),Sales!CT$6*Sales!CT$7,0)+IF(EOMONTH(DATE(YEAR(Sales!$CQ$1),MONTH(Sales!$CQ$1),1)+INT((DAY(Sales!$CQ$1)-1)/2)+'Cash Drivers'!CQ$13,0)=EOMONTH($CT$1,0),Sales!CQ$6*Sales!CQ$7,0)+IF(EOMONTH(DATE(YEAR(Sales!$CN$1),MONTH(Sales!$CN$1),1)+INT((DAY(Sales!$CN$1)-1)/2)+'Cash Drivers'!CN$13,0)=EOMONTH($CT$1,0),Sales!CN$6*Sales!CN$7,0)+IF(EOMONTH(DATE(YEAR(Sales!$CK$1),MONTH(Sales!$CK$1),1)+INT((DAY(Sales!$CK$1)-1)/2)+'Cash Drivers'!CK$13,0)=EOMONTH($CT$1,0),Sales!CK$6*Sales!CK$7,0)+IF(EOMONTH(DATE(YEAR(Sales!$CH$1),MONTH(Sales!$CH$1),1)+INT((DAY(Sales!$CH$1)-1)/2)+'Cash Drivers'!CH$13,0)=EOMONTH($CT$1,0),Sales!CH$6*Sales!CH$7,0)+IF(EOMONTH(DATE(YEAR(Sales!$CE$1),MONTH(Sales!$CE$1),1)+INT((DAY(Sales!$CE$1)-1)/2)+'Cash Drivers'!CE$13,0)=EOMONTH($CT$1,0),Sales!CE$6*Sales!CE$7,0)+IF(EOMONTH(DATE(YEAR(Sales!$CB$1),MONTH(Sales!$CB$1),1)+INT((DAY(Sales!$CB$1)-1)/2)+'Cash Drivers'!CB$13,0)=EOMONTH($CT$1,0),Sales!CB$6*Sales!CB$7,0)+IF(EOMONTH(DATE(YEAR(Sales!$BY$1),MONTH(Sales!$BY$1),1)+INT((DAY(Sales!$BY$1)-1)/2)+'Cash Drivers'!BY$13,0)=EOMONTH($CT$1,0),Sales!BY$6*Sales!BY$7,0)+IF(EOMONTH(DATE(YEAR(Sales!$BV$1),MONTH(Sales!$BV$1),1)+INT((DAY(Sales!$BV$1)-1)/2)+'Cash Drivers'!BV$13,0)=EOMONTH($CT$1,0),Sales!BV$6*Sales!BV$7,0)+IF(EOMONTH(DATE(YEAR(Sales!$BS$1),MONTH(Sales!$BS$1),1)+INT((DAY(Sales!$BS$1)-1)/2)+'Cash Drivers'!BS$13,0)=EOMONTH($CT$1,0),Sales!BS$6*Sales!BS$7,0)+IF(EOMONTH(DATE(YEAR(Sales!$BP$1),MONTH(Sales!$BP$1),1)+INT((DAY(Sales!$BP$1)-1)/2)+'Cash Drivers'!BP$13,0)=EOMONTH($CT$1,0),Sales!BP$6*Sales!BP$7,0)+IF(EOMONTH(DATE(YEAR(Sales!$BM$1),MONTH(Sales!$BM$1),1)+INT((DAY(Sales!$BM$1)-1)/2)+'Cash Drivers'!BM$13,0)=EOMONTH($CT$1,0),Sales!BM$6*Sales!BM$7,0)+IF(EOMONTH(DATE(YEAR(Sales!$BJ$1),MONTH(Sales!$BJ$1),1)+INT((DAY(Sales!$BJ$1)-1)/2)+'Cash Drivers'!BJ$13,0)=EOMONTH($CT$1,0),Sales!BJ$6*Sales!BJ$7,0)+IF(EOMONTH(DATE(YEAR(Sales!$BG$1),MONTH(Sales!$BG$1),1)+INT((DAY(Sales!$BG$1)-1)/2)+'Cash Drivers'!BG$13,0)=EOMONTH($CT$1,0),Sales!BG$6*Sales!BG$7,0)+IF(EOMONTH(DATE(YEAR(Sales!$BD$1),MONTH(Sales!$BD$1),1)+INT((DAY(Sales!$BD$1)-1)/2)+'Cash Drivers'!BD$13,0)=EOMONTH($CT$1,0),Sales!BD$6*Sales!BD$7,0)+IF(EOMONTH(DATE(YEAR(Sales!$BA$1),MONTH(Sales!$BA$1),1)+INT((DAY(Sales!$BA$1)-1)/2)+'Cash Drivers'!BA$13,0)=EOMONTH($CT$1,0),Sales!BA$6*Sales!BA$7,0)+IF(EOMONTH(DATE(YEAR(Sales!$AX$1),MONTH(Sales!$AX$1),1)+INT((DAY(Sales!$AX$1)-1)/2)+'Cash Drivers'!AX$13,0)=EOMONTH($CT$1,0),Sales!AX$6*Sales!AX$7,0)+IF(EOMONTH(DATE(YEAR(Sales!$AU$1),MONTH(Sales!$AU$1),1)+INT((DAY(Sales!$AU$1)-1)/2)+'Cash Drivers'!AU$13,0)=EOMONTH($CT$1,0),Sales!AU$6*Sales!AU$7,0)+IF(EOMONTH(DATE(YEAR(Sales!$AR$1),MONTH(Sales!$AR$1),1)+INT((DAY(Sales!$AR$1)-1)/2)+'Cash Drivers'!AR$13,0)=EOMONTH($CT$1,0),Sales!AR$6*Sales!AR$7,0)+IF(EOMONTH(DATE(YEAR(Sales!$AO$1),MONTH(Sales!$AO$1),1)+INT((DAY(Sales!$AO$1)-1)/2)+'Cash Drivers'!AO$13,0)=EOMONTH($CT$1,0),Sales!AO$6*Sales!AO$7,0)+IF(EOMONTH(DATE(YEAR(Sales!$AL$1),MONTH(Sales!$AL$1),1)+INT((DAY(Sales!$AL$1)-1)/2)+'Cash Drivers'!AL$13,0)=EOMONTH($CT$1,0),Sales!AL$6*Sales!AL$7,0)+IF(EOMONTH(DATE(YEAR(Sales!$AI$1),MONTH(Sales!$AI$1),1)+INT((DAY(Sales!$AI$1)-1)/2)+'Cash Drivers'!AI$13,0)=EOMONTH($CT$1,0),Sales!AI$6*Sales!AI$7,0)+IF(EOMONTH(DATE(YEAR(Sales!$AF$1),MONTH(Sales!$AF$1),1)+INT((DAY(Sales!$AF$1)-1)/2)+'Cash Drivers'!AF$13,0)=EOMONTH($CT$1,0),Sales!AF$6*Sales!AF$7,0)+IF(EOMONTH(DATE(YEAR(Sales!$AC$1),MONTH(Sales!$AC$1),1)+INT((DAY(Sales!$AC$1)-1)/2)+'Cash Drivers'!AC$13,0)=EOMONTH($CT$1,0),Sales!AC$6*Sales!AC$7,0)+IF(EOMONTH(DATE(YEAR(Sales!$Z$1),MONTH(Sales!$Z$1),1)+INT((DAY(Sales!$Z$1)-1)/2)+'Cash Drivers'!Z$13,0)=EOMONTH($CT$1,0),Sales!Z$6*Sales!Z$7,0)+IF(EOMONTH(DATE(YEAR(Sales!$W$1),MONTH(Sales!$W$1),1)+INT((DAY(Sales!$W$1)-1)/2)+'Cash Drivers'!W$13,0)=EOMONTH($CT$1,0),Sales!W$6*Sales!W$7,0)+IF(EOMONTH(DATE(YEAR(Sales!$T$1),MONTH(Sales!$T$1),1)+INT((DAY(Sales!$T$1)-1)/2)+'Cash Drivers'!T$13,0)=EOMONTH($CT$1,0),Sales!T$6*Sales!T$7,0)+IF(EOMONTH(DATE(YEAR(Sales!$Q$1),MONTH(Sales!$Q$1),1)+INT((DAY(Sales!$Q$1)-1)/2)+'Cash Drivers'!Q$13,0)=EOMONTH($CT$1,0),Sales!Q$6*Sales!Q$7,0)+IF(EOMONTH(DATE(YEAR(Sales!$N$1),MONTH(Sales!$N$1),1)+INT((DAY(Sales!$N$1)-1)/2)+'Cash Drivers'!N$13,0)=EOMONTH($CT$1,0),Sales!N$6*Sales!N$7,0)+IF(EOMONTH(DATE(YEAR(Sales!$K$1),MONTH(Sales!$K$1),1)+INT((DAY(Sales!$K$1)-1)/2)+'Cash Drivers'!K$13,0)=EOMONTH($CT$1,0),Sales!K$6*Sales!K$7,0)+IF(EOMONTH('Cash Drivers'!$DL$30+'Cash Drivers'!DL$13,0)=EOMONTH($CT$1,0),'Cash Drivers'!$DL$32*Sales!$DL$60,0),0)</f>
        <v>0</v>
      </c>
      <c r="CU24" s="59" t="n">
        <f aca="false">ROUND(IF(EOMONTH(DATE(YEAR(Sales!$DL$1),MONTH(Sales!$DL$1),1)+INT((DAY(Sales!$DL$1)-1)/2)+'Cash Drivers'!DM$13,0)=EOMONTH($CT$1,0),Sales!DM$6*Sales!DM$7,0)+IF(EOMONTH(DATE(YEAR(Sales!$DI$1),MONTH(Sales!$DI$1),1)+INT((DAY(Sales!$DI$1)-1)/2)+'Cash Drivers'!DJ$13,0)=EOMONTH($CT$1,0),Sales!DJ$6*Sales!DJ$7,0)+IF(EOMONTH(DATE(YEAR(Sales!$DF$1),MONTH(Sales!$DF$1),1)+INT((DAY(Sales!$DF$1)-1)/2)+'Cash Drivers'!DG$13,0)=EOMONTH($CT$1,0),Sales!DG$6*Sales!DG$7,0)+IF(EOMONTH(DATE(YEAR(Sales!$DC$1),MONTH(Sales!$DC$1),1)+INT((DAY(Sales!$DC$1)-1)/2)+'Cash Drivers'!DD$13,0)=EOMONTH($CT$1,0),Sales!DD$6*Sales!DD$7,0)+IF(EOMONTH(DATE(YEAR(Sales!$CZ$1),MONTH(Sales!$CZ$1),1)+INT((DAY(Sales!$CZ$1)-1)/2)+'Cash Drivers'!DA$13,0)=EOMONTH($CT$1,0),Sales!DA$6*Sales!DA$7,0)+IF(EOMONTH(DATE(YEAR(Sales!$CW$1),MONTH(Sales!$CW$1),1)+INT((DAY(Sales!$CW$1)-1)/2)+'Cash Drivers'!CX$13,0)=EOMONTH($CT$1,0),Sales!CX$6*Sales!CX$7,0)+IF(EOMONTH(DATE(YEAR(Sales!$CT$1),MONTH(Sales!$CT$1),1)+INT((DAY(Sales!$CT$1)-1)/2)+'Cash Drivers'!CU$13,0)=EOMONTH($CT$1,0),Sales!CU$6*Sales!CU$7,0)+IF(EOMONTH(DATE(YEAR(Sales!$CQ$1),MONTH(Sales!$CQ$1),1)+INT((DAY(Sales!$CQ$1)-1)/2)+'Cash Drivers'!CR$13,0)=EOMONTH($CT$1,0),Sales!CR$6*Sales!CR$7,0)+IF(EOMONTH(DATE(YEAR(Sales!$CN$1),MONTH(Sales!$CN$1),1)+INT((DAY(Sales!$CN$1)-1)/2)+'Cash Drivers'!CO$13,0)=EOMONTH($CT$1,0),Sales!CO$6*Sales!CO$7,0)+IF(EOMONTH(DATE(YEAR(Sales!$CK$1),MONTH(Sales!$CK$1),1)+INT((DAY(Sales!$CK$1)-1)/2)+'Cash Drivers'!CL$13,0)=EOMONTH($CT$1,0),Sales!CL$6*Sales!CL$7,0)+IF(EOMONTH(DATE(YEAR(Sales!$CH$1),MONTH(Sales!$CH$1),1)+INT((DAY(Sales!$CH$1)-1)/2)+'Cash Drivers'!CI$13,0)=EOMONTH($CT$1,0),Sales!CI$6*Sales!CI$7,0)+IF(EOMONTH(DATE(YEAR(Sales!$CE$1),MONTH(Sales!$CE$1),1)+INT((DAY(Sales!$CE$1)-1)/2)+'Cash Drivers'!CF$13,0)=EOMONTH($CT$1,0),Sales!CF$6*Sales!CF$7,0)+IF(EOMONTH(DATE(YEAR(Sales!$CB$1),MONTH(Sales!$CB$1),1)+INT((DAY(Sales!$CB$1)-1)/2)+'Cash Drivers'!CC$13,0)=EOMONTH($CT$1,0),Sales!CC$6*Sales!CC$7,0)+IF(EOMONTH(DATE(YEAR(Sales!$BY$1),MONTH(Sales!$BY$1),1)+INT((DAY(Sales!$BY$1)-1)/2)+'Cash Drivers'!BZ$13,0)=EOMONTH($CT$1,0),Sales!BZ$6*Sales!BZ$7,0)+IF(EOMONTH(DATE(YEAR(Sales!$BV$1),MONTH(Sales!$BV$1),1)+INT((DAY(Sales!$BV$1)-1)/2)+'Cash Drivers'!BW$13,0)=EOMONTH($CT$1,0),Sales!BW$6*Sales!BW$7,0)+IF(EOMONTH(DATE(YEAR(Sales!$BS$1),MONTH(Sales!$BS$1),1)+INT((DAY(Sales!$BS$1)-1)/2)+'Cash Drivers'!BT$13,0)=EOMONTH($CT$1,0),Sales!BT$6*Sales!BT$7,0)+IF(EOMONTH(DATE(YEAR(Sales!$BP$1),MONTH(Sales!$BP$1),1)+INT((DAY(Sales!$BP$1)-1)/2)+'Cash Drivers'!BQ$13,0)=EOMONTH($CT$1,0),Sales!BQ$6*Sales!BQ$7,0)+IF(EOMONTH(DATE(YEAR(Sales!$BM$1),MONTH(Sales!$BM$1),1)+INT((DAY(Sales!$BM$1)-1)/2)+'Cash Drivers'!BN$13,0)=EOMONTH($CT$1,0),Sales!BN$6*Sales!BN$7,0)+IF(EOMONTH(DATE(YEAR(Sales!$BJ$1),MONTH(Sales!$BJ$1),1)+INT((DAY(Sales!$BJ$1)-1)/2)+'Cash Drivers'!BK$13,0)=EOMONTH($CT$1,0),Sales!BK$6*Sales!BK$7,0)+IF(EOMONTH(DATE(YEAR(Sales!$BG$1),MONTH(Sales!$BG$1),1)+INT((DAY(Sales!$BG$1)-1)/2)+'Cash Drivers'!BH$13,0)=EOMONTH($CT$1,0),Sales!BH$6*Sales!BH$7,0)+IF(EOMONTH(DATE(YEAR(Sales!$BD$1),MONTH(Sales!$BD$1),1)+INT((DAY(Sales!$BD$1)-1)/2)+'Cash Drivers'!BE$13,0)=EOMONTH($CT$1,0),Sales!BE$6*Sales!BE$7,0)+IF(EOMONTH(DATE(YEAR(Sales!$BA$1),MONTH(Sales!$BA$1),1)+INT((DAY(Sales!$BA$1)-1)/2)+'Cash Drivers'!BB$13,0)=EOMONTH($CT$1,0),Sales!BB$6*Sales!BB$7,0)+IF(EOMONTH(DATE(YEAR(Sales!$AX$1),MONTH(Sales!$AX$1),1)+INT((DAY(Sales!$AX$1)-1)/2)+'Cash Drivers'!AY$13,0)=EOMONTH($CT$1,0),Sales!AY$6*Sales!AY$7,0)+IF(EOMONTH(DATE(YEAR(Sales!$AU$1),MONTH(Sales!$AU$1),1)+INT((DAY(Sales!$AU$1)-1)/2)+'Cash Drivers'!AV$13,0)=EOMONTH($CT$1,0),Sales!AV$6*Sales!AV$7,0)+IF(EOMONTH(DATE(YEAR(Sales!$AR$1),MONTH(Sales!$AR$1),1)+INT((DAY(Sales!$AR$1)-1)/2)+'Cash Drivers'!AS$13,0)=EOMONTH($CT$1,0),Sales!AS$6*Sales!AS$7,0)+IF(EOMONTH(DATE(YEAR(Sales!$AO$1),MONTH(Sales!$AO$1),1)+INT((DAY(Sales!$AO$1)-1)/2)+'Cash Drivers'!AP$13,0)=EOMONTH($CT$1,0),Sales!AP$6*Sales!AP$7,0)+IF(EOMONTH(DATE(YEAR(Sales!$AL$1),MONTH(Sales!$AL$1),1)+INT((DAY(Sales!$AL$1)-1)/2)+'Cash Drivers'!AM$13,0)=EOMONTH($CT$1,0),Sales!AM$6*Sales!AM$7,0)+IF(EOMONTH(DATE(YEAR(Sales!$AI$1),MONTH(Sales!$AI$1),1)+INT((DAY(Sales!$AI$1)-1)/2)+'Cash Drivers'!AJ$13,0)=EOMONTH($CT$1,0),Sales!AJ$6*Sales!AJ$7,0)+IF(EOMONTH(DATE(YEAR(Sales!$AF$1),MONTH(Sales!$AF$1),1)+INT((DAY(Sales!$AF$1)-1)/2)+'Cash Drivers'!AG$13,0)=EOMONTH($CT$1,0),Sales!AG$6*Sales!AG$7,0)+IF(EOMONTH(DATE(YEAR(Sales!$AC$1),MONTH(Sales!$AC$1),1)+INT((DAY(Sales!$AC$1)-1)/2)+'Cash Drivers'!AD$13,0)=EOMONTH($CT$1,0),Sales!AD$6*Sales!AD$7,0)+IF(EOMONTH(DATE(YEAR(Sales!$Z$1),MONTH(Sales!$Z$1),1)+INT((DAY(Sales!$Z$1)-1)/2)+'Cash Drivers'!AA$13,0)=EOMONTH($CT$1,0),Sales!AA$6*Sales!AA$7,0)+IF(EOMONTH(DATE(YEAR(Sales!$W$1),MONTH(Sales!$W$1),1)+INT((DAY(Sales!$W$1)-1)/2)+'Cash Drivers'!X$13,0)=EOMONTH($CT$1,0),Sales!X$6*Sales!X$7,0)+IF(EOMONTH(DATE(YEAR(Sales!$T$1),MONTH(Sales!$T$1),1)+INT((DAY(Sales!$T$1)-1)/2)+'Cash Drivers'!U$13,0)=EOMONTH($CT$1,0),Sales!U$6*Sales!U$7,0)+IF(EOMONTH(DATE(YEAR(Sales!$Q$1),MONTH(Sales!$Q$1),1)+INT((DAY(Sales!$Q$1)-1)/2)+'Cash Drivers'!R$13,0)=EOMONTH($CT$1,0),Sales!R$6*Sales!R$7,0)+IF(EOMONTH(DATE(YEAR(Sales!$N$1),MONTH(Sales!$N$1),1)+INT((DAY(Sales!$N$1)-1)/2)+'Cash Drivers'!O$13,0)=EOMONTH($CT$1,0),Sales!O$6*Sales!O$7,0)+IF(EOMONTH(DATE(YEAR(Sales!$K$1),MONTH(Sales!$K$1),1)+INT((DAY(Sales!$K$1)-1)/2)+'Cash Drivers'!L$13,0)=EOMONTH($CT$1,0),Sales!L$6*Sales!L$7,0)+IF(EOMONTH('Cash Drivers'!$DL$30+'Cash Drivers'!DM$13,0)=EOMONTH($CT$1,0),'Cash Drivers'!$DL$32*Sales!$DL$60,0),0)</f>
        <v>23028</v>
      </c>
      <c r="CV24" s="60" t="n">
        <f aca="false">ROUND(IF(EOMONTH(DATE(YEAR(Sales!$DL$1),MONTH(Sales!$DL$1),1)+INT((DAY(Sales!$DL$1)-1)/2)+'Cash Drivers'!DN$13,0)=EOMONTH($CT$1,0),Sales!DN$6*Sales!DN$7,0)+IF(EOMONTH(DATE(YEAR(Sales!$DI$1),MONTH(Sales!$DI$1),1)+INT((DAY(Sales!$DI$1)-1)/2)+'Cash Drivers'!DK$13,0)=EOMONTH($CT$1,0),Sales!DK$6*Sales!DK$7,0)+IF(EOMONTH(DATE(YEAR(Sales!$DF$1),MONTH(Sales!$DF$1),1)+INT((DAY(Sales!$DF$1)-1)/2)+'Cash Drivers'!DH$13,0)=EOMONTH($CT$1,0),Sales!DH$6*Sales!DH$7,0)+IF(EOMONTH(DATE(YEAR(Sales!$DC$1),MONTH(Sales!$DC$1),1)+INT((DAY(Sales!$DC$1)-1)/2)+'Cash Drivers'!DE$13,0)=EOMONTH($CT$1,0),Sales!DE$6*Sales!DE$7,0)+IF(EOMONTH(DATE(YEAR(Sales!$CZ$1),MONTH(Sales!$CZ$1),1)+INT((DAY(Sales!$CZ$1)-1)/2)+'Cash Drivers'!DB$13,0)=EOMONTH($CT$1,0),Sales!DB$6*Sales!DB$7,0)+IF(EOMONTH(DATE(YEAR(Sales!$CW$1),MONTH(Sales!$CW$1),1)+INT((DAY(Sales!$CW$1)-1)/2)+'Cash Drivers'!CY$13,0)=EOMONTH($CT$1,0),Sales!CY$6*Sales!CY$7,0)+IF(EOMONTH(DATE(YEAR(Sales!$CT$1),MONTH(Sales!$CT$1),1)+INT((DAY(Sales!$CT$1)-1)/2)+'Cash Drivers'!CV$13,0)=EOMONTH($CT$1,0),Sales!CV$6*Sales!CV$7,0)+IF(EOMONTH(DATE(YEAR(Sales!$CQ$1),MONTH(Sales!$CQ$1),1)+INT((DAY(Sales!$CQ$1)-1)/2)+'Cash Drivers'!CS$13,0)=EOMONTH($CT$1,0),Sales!CS$6*Sales!CS$7,0)+IF(EOMONTH(DATE(YEAR(Sales!$CN$1),MONTH(Sales!$CN$1),1)+INT((DAY(Sales!$CN$1)-1)/2)+'Cash Drivers'!CP$13,0)=EOMONTH($CT$1,0),Sales!CP$6*Sales!CP$7,0)+IF(EOMONTH(DATE(YEAR(Sales!$CK$1),MONTH(Sales!$CK$1),1)+INT((DAY(Sales!$CK$1)-1)/2)+'Cash Drivers'!CM$13,0)=EOMONTH($CT$1,0),Sales!CM$6*Sales!CM$7,0)+IF(EOMONTH(DATE(YEAR(Sales!$CH$1),MONTH(Sales!$CH$1),1)+INT((DAY(Sales!$CH$1)-1)/2)+'Cash Drivers'!CJ$13,0)=EOMONTH($CT$1,0),Sales!CJ$6*Sales!CJ$7,0)+IF(EOMONTH(DATE(YEAR(Sales!$CE$1),MONTH(Sales!$CE$1),1)+INT((DAY(Sales!$CE$1)-1)/2)+'Cash Drivers'!CG$13,0)=EOMONTH($CT$1,0),Sales!CG$6*Sales!CG$7,0)+IF(EOMONTH(DATE(YEAR(Sales!$CB$1),MONTH(Sales!$CB$1),1)+INT((DAY(Sales!$CB$1)-1)/2)+'Cash Drivers'!CD$13,0)=EOMONTH($CT$1,0),Sales!CD$6*Sales!CD$7,0)+IF(EOMONTH(DATE(YEAR(Sales!$BY$1),MONTH(Sales!$BY$1),1)+INT((DAY(Sales!$BY$1)-1)/2)+'Cash Drivers'!CA$13,0)=EOMONTH($CT$1,0),Sales!CA$6*Sales!CA$7,0)+IF(EOMONTH(DATE(YEAR(Sales!$BV$1),MONTH(Sales!$BV$1),1)+INT((DAY(Sales!$BV$1)-1)/2)+'Cash Drivers'!BX$13,0)=EOMONTH($CT$1,0),Sales!BX$6*Sales!BX$7,0)+IF(EOMONTH(DATE(YEAR(Sales!$BS$1),MONTH(Sales!$BS$1),1)+INT((DAY(Sales!$BS$1)-1)/2)+'Cash Drivers'!BU$13,0)=EOMONTH($CT$1,0),Sales!BU$6*Sales!BU$7,0)+IF(EOMONTH(DATE(YEAR(Sales!$BP$1),MONTH(Sales!$BP$1),1)+INT((DAY(Sales!$BP$1)-1)/2)+'Cash Drivers'!BR$13,0)=EOMONTH($CT$1,0),Sales!BR$6*Sales!BR$7,0)+IF(EOMONTH(DATE(YEAR(Sales!$BM$1),MONTH(Sales!$BM$1),1)+INT((DAY(Sales!$BM$1)-1)/2)+'Cash Drivers'!BO$13,0)=EOMONTH($CT$1,0),Sales!BO$6*Sales!BO$7,0)+IF(EOMONTH(DATE(YEAR(Sales!$BJ$1),MONTH(Sales!$BJ$1),1)+INT((DAY(Sales!$BJ$1)-1)/2)+'Cash Drivers'!BL$13,0)=EOMONTH($CT$1,0),Sales!BL$6*Sales!BL$7,0)+IF(EOMONTH(DATE(YEAR(Sales!$BG$1),MONTH(Sales!$BG$1),1)+INT((DAY(Sales!$BG$1)-1)/2)+'Cash Drivers'!BI$13,0)=EOMONTH($CT$1,0),Sales!BI$6*Sales!BI$7,0)+IF(EOMONTH(DATE(YEAR(Sales!$BD$1),MONTH(Sales!$BD$1),1)+INT((DAY(Sales!$BD$1)-1)/2)+'Cash Drivers'!BF$13,0)=EOMONTH($CT$1,0),Sales!BF$6*Sales!BF$7,0)+IF(EOMONTH(DATE(YEAR(Sales!$BA$1),MONTH(Sales!$BA$1),1)+INT((DAY(Sales!$BA$1)-1)/2)+'Cash Drivers'!BC$13,0)=EOMONTH($CT$1,0),Sales!BC$6*Sales!BC$7,0)+IF(EOMONTH(DATE(YEAR(Sales!$AX$1),MONTH(Sales!$AX$1),1)+INT((DAY(Sales!$AX$1)-1)/2)+'Cash Drivers'!AZ$13,0)=EOMONTH($CT$1,0),Sales!AZ$6*Sales!AZ$7,0)+IF(EOMONTH(DATE(YEAR(Sales!$AU$1),MONTH(Sales!$AU$1),1)+INT((DAY(Sales!$AU$1)-1)/2)+'Cash Drivers'!AW$13,0)=EOMONTH($CT$1,0),Sales!AW$6*Sales!AW$7,0)+IF(EOMONTH(DATE(YEAR(Sales!$AR$1),MONTH(Sales!$AR$1),1)+INT((DAY(Sales!$AR$1)-1)/2)+'Cash Drivers'!AT$13,0)=EOMONTH($CT$1,0),Sales!AT$6*Sales!AT$7,0)+IF(EOMONTH(DATE(YEAR(Sales!$AO$1),MONTH(Sales!$AO$1),1)+INT((DAY(Sales!$AO$1)-1)/2)+'Cash Drivers'!AQ$13,0)=EOMONTH($CT$1,0),Sales!AQ$6*Sales!AQ$7,0)+IF(EOMONTH(DATE(YEAR(Sales!$AL$1),MONTH(Sales!$AL$1),1)+INT((DAY(Sales!$AL$1)-1)/2)+'Cash Drivers'!AN$13,0)=EOMONTH($CT$1,0),Sales!AN$6*Sales!AN$7,0)+IF(EOMONTH(DATE(YEAR(Sales!$AI$1),MONTH(Sales!$AI$1),1)+INT((DAY(Sales!$AI$1)-1)/2)+'Cash Drivers'!AK$13,0)=EOMONTH($CT$1,0),Sales!AK$6*Sales!AK$7,0)+IF(EOMONTH(DATE(YEAR(Sales!$AF$1),MONTH(Sales!$AF$1),1)+INT((DAY(Sales!$AF$1)-1)/2)+'Cash Drivers'!AH$13,0)=EOMONTH($CT$1,0),Sales!AH$6*Sales!AH$7,0)+IF(EOMONTH(DATE(YEAR(Sales!$AC$1),MONTH(Sales!$AC$1),1)+INT((DAY(Sales!$AC$1)-1)/2)+'Cash Drivers'!AE$13,0)=EOMONTH($CT$1,0),Sales!AE$6*Sales!AE$7,0)+IF(EOMONTH(DATE(YEAR(Sales!$Z$1),MONTH(Sales!$Z$1),1)+INT((DAY(Sales!$Z$1)-1)/2)+'Cash Drivers'!AB$13,0)=EOMONTH($CT$1,0),Sales!AB$6*Sales!AB$7,0)+IF(EOMONTH(DATE(YEAR(Sales!$W$1),MONTH(Sales!$W$1),1)+INT((DAY(Sales!$W$1)-1)/2)+'Cash Drivers'!Y$13,0)=EOMONTH($CT$1,0),Sales!Y$6*Sales!Y$7,0)+IF(EOMONTH(DATE(YEAR(Sales!$T$1),MONTH(Sales!$T$1),1)+INT((DAY(Sales!$T$1)-1)/2)+'Cash Drivers'!V$13,0)=EOMONTH($CT$1,0),Sales!V$6*Sales!V$7,0)+IF(EOMONTH(DATE(YEAR(Sales!$Q$1),MONTH(Sales!$Q$1),1)+INT((DAY(Sales!$Q$1)-1)/2)+'Cash Drivers'!S$13,0)=EOMONTH($CT$1,0),Sales!S$6*Sales!S$7,0)+IF(EOMONTH(DATE(YEAR(Sales!$N$1),MONTH(Sales!$N$1),1)+INT((DAY(Sales!$N$1)-1)/2)+'Cash Drivers'!P$13,0)=EOMONTH($CT$1,0),Sales!P$6*Sales!P$7,0)+IF(EOMONTH(DATE(YEAR(Sales!$K$1),MONTH(Sales!$K$1),1)+INT((DAY(Sales!$K$1)-1)/2)+'Cash Drivers'!M$13,0)=EOMONTH($CT$1,0),Sales!M$6*Sales!M$7,0)+IF(EOMONTH('Cash Drivers'!$DL$30+'Cash Drivers'!DN$13,0)=EOMONTH($CT$1,0),'Cash Drivers'!$DL$32*Sales!$DL$60,0),0)</f>
        <v>23085</v>
      </c>
      <c r="CW24" s="58" t="n">
        <f aca="false">ROUND(IF(EOMONTH(DATE(YEAR(Sales!$DL$1),MONTH(Sales!$DL$1),1)+INT((DAY(Sales!$DL$1)-1)/2)+'Cash Drivers'!DL$13,0)=EOMONTH($CW$1,0),Sales!DL$6*Sales!DL$7,0)+IF(EOMONTH(DATE(YEAR(Sales!$DI$1),MONTH(Sales!$DI$1),1)+INT((DAY(Sales!$DI$1)-1)/2)+'Cash Drivers'!DI$13,0)=EOMONTH($CW$1,0),Sales!DI$6*Sales!DI$7,0)+IF(EOMONTH(DATE(YEAR(Sales!$DF$1),MONTH(Sales!$DF$1),1)+INT((DAY(Sales!$DF$1)-1)/2)+'Cash Drivers'!DF$13,0)=EOMONTH($CW$1,0),Sales!DF$6*Sales!DF$7,0)+IF(EOMONTH(DATE(YEAR(Sales!$DC$1),MONTH(Sales!$DC$1),1)+INT((DAY(Sales!$DC$1)-1)/2)+'Cash Drivers'!DC$13,0)=EOMONTH($CW$1,0),Sales!DC$6*Sales!DC$7,0)+IF(EOMONTH(DATE(YEAR(Sales!$CZ$1),MONTH(Sales!$CZ$1),1)+INT((DAY(Sales!$CZ$1)-1)/2)+'Cash Drivers'!CZ$13,0)=EOMONTH($CW$1,0),Sales!CZ$6*Sales!CZ$7,0)+IF(EOMONTH(DATE(YEAR(Sales!$CW$1),MONTH(Sales!$CW$1),1)+INT((DAY(Sales!$CW$1)-1)/2)+'Cash Drivers'!CW$13,0)=EOMONTH($CW$1,0),Sales!CW$6*Sales!CW$7,0)+IF(EOMONTH(DATE(YEAR(Sales!$CT$1),MONTH(Sales!$CT$1),1)+INT((DAY(Sales!$CT$1)-1)/2)+'Cash Drivers'!CT$13,0)=EOMONTH($CW$1,0),Sales!CT$6*Sales!CT$7,0)+IF(EOMONTH(DATE(YEAR(Sales!$CQ$1),MONTH(Sales!$CQ$1),1)+INT((DAY(Sales!$CQ$1)-1)/2)+'Cash Drivers'!CQ$13,0)=EOMONTH($CW$1,0),Sales!CQ$6*Sales!CQ$7,0)+IF(EOMONTH(DATE(YEAR(Sales!$CN$1),MONTH(Sales!$CN$1),1)+INT((DAY(Sales!$CN$1)-1)/2)+'Cash Drivers'!CN$13,0)=EOMONTH($CW$1,0),Sales!CN$6*Sales!CN$7,0)+IF(EOMONTH(DATE(YEAR(Sales!$CK$1),MONTH(Sales!$CK$1),1)+INT((DAY(Sales!$CK$1)-1)/2)+'Cash Drivers'!CK$13,0)=EOMONTH($CW$1,0),Sales!CK$6*Sales!CK$7,0)+IF(EOMONTH(DATE(YEAR(Sales!$CH$1),MONTH(Sales!$CH$1),1)+INT((DAY(Sales!$CH$1)-1)/2)+'Cash Drivers'!CH$13,0)=EOMONTH($CW$1,0),Sales!CH$6*Sales!CH$7,0)+IF(EOMONTH(DATE(YEAR(Sales!$CE$1),MONTH(Sales!$CE$1),1)+INT((DAY(Sales!$CE$1)-1)/2)+'Cash Drivers'!CE$13,0)=EOMONTH($CW$1,0),Sales!CE$6*Sales!CE$7,0)+IF(EOMONTH(DATE(YEAR(Sales!$CB$1),MONTH(Sales!$CB$1),1)+INT((DAY(Sales!$CB$1)-1)/2)+'Cash Drivers'!CB$13,0)=EOMONTH($CW$1,0),Sales!CB$6*Sales!CB$7,0)+IF(EOMONTH(DATE(YEAR(Sales!$BY$1),MONTH(Sales!$BY$1),1)+INT((DAY(Sales!$BY$1)-1)/2)+'Cash Drivers'!BY$13,0)=EOMONTH($CW$1,0),Sales!BY$6*Sales!BY$7,0)+IF(EOMONTH(DATE(YEAR(Sales!$BV$1),MONTH(Sales!$BV$1),1)+INT((DAY(Sales!$BV$1)-1)/2)+'Cash Drivers'!BV$13,0)=EOMONTH($CW$1,0),Sales!BV$6*Sales!BV$7,0)+IF(EOMONTH(DATE(YEAR(Sales!$BS$1),MONTH(Sales!$BS$1),1)+INT((DAY(Sales!$BS$1)-1)/2)+'Cash Drivers'!BS$13,0)=EOMONTH($CW$1,0),Sales!BS$6*Sales!BS$7,0)+IF(EOMONTH(DATE(YEAR(Sales!$BP$1),MONTH(Sales!$BP$1),1)+INT((DAY(Sales!$BP$1)-1)/2)+'Cash Drivers'!BP$13,0)=EOMONTH($CW$1,0),Sales!BP$6*Sales!BP$7,0)+IF(EOMONTH(DATE(YEAR(Sales!$BM$1),MONTH(Sales!$BM$1),1)+INT((DAY(Sales!$BM$1)-1)/2)+'Cash Drivers'!BM$13,0)=EOMONTH($CW$1,0),Sales!BM$6*Sales!BM$7,0)+IF(EOMONTH(DATE(YEAR(Sales!$BJ$1),MONTH(Sales!$BJ$1),1)+INT((DAY(Sales!$BJ$1)-1)/2)+'Cash Drivers'!BJ$13,0)=EOMONTH($CW$1,0),Sales!BJ$6*Sales!BJ$7,0)+IF(EOMONTH(DATE(YEAR(Sales!$BG$1),MONTH(Sales!$BG$1),1)+INT((DAY(Sales!$BG$1)-1)/2)+'Cash Drivers'!BG$13,0)=EOMONTH($CW$1,0),Sales!BG$6*Sales!BG$7,0)+IF(EOMONTH(DATE(YEAR(Sales!$BD$1),MONTH(Sales!$BD$1),1)+INT((DAY(Sales!$BD$1)-1)/2)+'Cash Drivers'!BD$13,0)=EOMONTH($CW$1,0),Sales!BD$6*Sales!BD$7,0)+IF(EOMONTH(DATE(YEAR(Sales!$BA$1),MONTH(Sales!$BA$1),1)+INT((DAY(Sales!$BA$1)-1)/2)+'Cash Drivers'!BA$13,0)=EOMONTH($CW$1,0),Sales!BA$6*Sales!BA$7,0)+IF(EOMONTH(DATE(YEAR(Sales!$AX$1),MONTH(Sales!$AX$1),1)+INT((DAY(Sales!$AX$1)-1)/2)+'Cash Drivers'!AX$13,0)=EOMONTH($CW$1,0),Sales!AX$6*Sales!AX$7,0)+IF(EOMONTH(DATE(YEAR(Sales!$AU$1),MONTH(Sales!$AU$1),1)+INT((DAY(Sales!$AU$1)-1)/2)+'Cash Drivers'!AU$13,0)=EOMONTH($CW$1,0),Sales!AU$6*Sales!AU$7,0)+IF(EOMONTH(DATE(YEAR(Sales!$AR$1),MONTH(Sales!$AR$1),1)+INT((DAY(Sales!$AR$1)-1)/2)+'Cash Drivers'!AR$13,0)=EOMONTH($CW$1,0),Sales!AR$6*Sales!AR$7,0)+IF(EOMONTH(DATE(YEAR(Sales!$AO$1),MONTH(Sales!$AO$1),1)+INT((DAY(Sales!$AO$1)-1)/2)+'Cash Drivers'!AO$13,0)=EOMONTH($CW$1,0),Sales!AO$6*Sales!AO$7,0)+IF(EOMONTH(DATE(YEAR(Sales!$AL$1),MONTH(Sales!$AL$1),1)+INT((DAY(Sales!$AL$1)-1)/2)+'Cash Drivers'!AL$13,0)=EOMONTH($CW$1,0),Sales!AL$6*Sales!AL$7,0)+IF(EOMONTH(DATE(YEAR(Sales!$AI$1),MONTH(Sales!$AI$1),1)+INT((DAY(Sales!$AI$1)-1)/2)+'Cash Drivers'!AI$13,0)=EOMONTH($CW$1,0),Sales!AI$6*Sales!AI$7,0)+IF(EOMONTH(DATE(YEAR(Sales!$AF$1),MONTH(Sales!$AF$1),1)+INT((DAY(Sales!$AF$1)-1)/2)+'Cash Drivers'!AF$13,0)=EOMONTH($CW$1,0),Sales!AF$6*Sales!AF$7,0)+IF(EOMONTH(DATE(YEAR(Sales!$AC$1),MONTH(Sales!$AC$1),1)+INT((DAY(Sales!$AC$1)-1)/2)+'Cash Drivers'!AC$13,0)=EOMONTH($CW$1,0),Sales!AC$6*Sales!AC$7,0)+IF(EOMONTH(DATE(YEAR(Sales!$Z$1),MONTH(Sales!$Z$1),1)+INT((DAY(Sales!$Z$1)-1)/2)+'Cash Drivers'!Z$13,0)=EOMONTH($CW$1,0),Sales!Z$6*Sales!Z$7,0)+IF(EOMONTH(DATE(YEAR(Sales!$W$1),MONTH(Sales!$W$1),1)+INT((DAY(Sales!$W$1)-1)/2)+'Cash Drivers'!W$13,0)=EOMONTH($CW$1,0),Sales!W$6*Sales!W$7,0)+IF(EOMONTH(DATE(YEAR(Sales!$T$1),MONTH(Sales!$T$1),1)+INT((DAY(Sales!$T$1)-1)/2)+'Cash Drivers'!T$13,0)=EOMONTH($CW$1,0),Sales!T$6*Sales!T$7,0)+IF(EOMONTH(DATE(YEAR(Sales!$Q$1),MONTH(Sales!$Q$1),1)+INT((DAY(Sales!$Q$1)-1)/2)+'Cash Drivers'!Q$13,0)=EOMONTH($CW$1,0),Sales!Q$6*Sales!Q$7,0)+IF(EOMONTH(DATE(YEAR(Sales!$N$1),MONTH(Sales!$N$1),1)+INT((DAY(Sales!$N$1)-1)/2)+'Cash Drivers'!N$13,0)=EOMONTH($CW$1,0),Sales!N$6*Sales!N$7,0)+IF(EOMONTH(DATE(YEAR(Sales!$K$1),MONTH(Sales!$K$1),1)+INT((DAY(Sales!$K$1)-1)/2)+'Cash Drivers'!K$13,0)=EOMONTH($CW$1,0),Sales!K$6*Sales!K$7,0)+IF(EOMONTH('Cash Drivers'!$DL$30+'Cash Drivers'!DL$13,0)=EOMONTH($CW$1,0),'Cash Drivers'!$DL$32*Sales!$DL$60,0),0)</f>
        <v>0</v>
      </c>
      <c r="CX24" s="59" t="n">
        <f aca="false">ROUND(IF(EOMONTH(DATE(YEAR(Sales!$DL$1),MONTH(Sales!$DL$1),1)+INT((DAY(Sales!$DL$1)-1)/2)+'Cash Drivers'!DM$13,0)=EOMONTH($CW$1,0),Sales!DM$6*Sales!DM$7,0)+IF(EOMONTH(DATE(YEAR(Sales!$DI$1),MONTH(Sales!$DI$1),1)+INT((DAY(Sales!$DI$1)-1)/2)+'Cash Drivers'!DJ$13,0)=EOMONTH($CW$1,0),Sales!DJ$6*Sales!DJ$7,0)+IF(EOMONTH(DATE(YEAR(Sales!$DF$1),MONTH(Sales!$DF$1),1)+INT((DAY(Sales!$DF$1)-1)/2)+'Cash Drivers'!DG$13,0)=EOMONTH($CW$1,0),Sales!DG$6*Sales!DG$7,0)+IF(EOMONTH(DATE(YEAR(Sales!$DC$1),MONTH(Sales!$DC$1),1)+INT((DAY(Sales!$DC$1)-1)/2)+'Cash Drivers'!DD$13,0)=EOMONTH($CW$1,0),Sales!DD$6*Sales!DD$7,0)+IF(EOMONTH(DATE(YEAR(Sales!$CZ$1),MONTH(Sales!$CZ$1),1)+INT((DAY(Sales!$CZ$1)-1)/2)+'Cash Drivers'!DA$13,0)=EOMONTH($CW$1,0),Sales!DA$6*Sales!DA$7,0)+IF(EOMONTH(DATE(YEAR(Sales!$CW$1),MONTH(Sales!$CW$1),1)+INT((DAY(Sales!$CW$1)-1)/2)+'Cash Drivers'!CX$13,0)=EOMONTH($CW$1,0),Sales!CX$6*Sales!CX$7,0)+IF(EOMONTH(DATE(YEAR(Sales!$CT$1),MONTH(Sales!$CT$1),1)+INT((DAY(Sales!$CT$1)-1)/2)+'Cash Drivers'!CU$13,0)=EOMONTH($CW$1,0),Sales!CU$6*Sales!CU$7,0)+IF(EOMONTH(DATE(YEAR(Sales!$CQ$1),MONTH(Sales!$CQ$1),1)+INT((DAY(Sales!$CQ$1)-1)/2)+'Cash Drivers'!CR$13,0)=EOMONTH($CW$1,0),Sales!CR$6*Sales!CR$7,0)+IF(EOMONTH(DATE(YEAR(Sales!$CN$1),MONTH(Sales!$CN$1),1)+INT((DAY(Sales!$CN$1)-1)/2)+'Cash Drivers'!CO$13,0)=EOMONTH($CW$1,0),Sales!CO$6*Sales!CO$7,0)+IF(EOMONTH(DATE(YEAR(Sales!$CK$1),MONTH(Sales!$CK$1),1)+INT((DAY(Sales!$CK$1)-1)/2)+'Cash Drivers'!CL$13,0)=EOMONTH($CW$1,0),Sales!CL$6*Sales!CL$7,0)+IF(EOMONTH(DATE(YEAR(Sales!$CH$1),MONTH(Sales!$CH$1),1)+INT((DAY(Sales!$CH$1)-1)/2)+'Cash Drivers'!CI$13,0)=EOMONTH($CW$1,0),Sales!CI$6*Sales!CI$7,0)+IF(EOMONTH(DATE(YEAR(Sales!$CE$1),MONTH(Sales!$CE$1),1)+INT((DAY(Sales!$CE$1)-1)/2)+'Cash Drivers'!CF$13,0)=EOMONTH($CW$1,0),Sales!CF$6*Sales!CF$7,0)+IF(EOMONTH(DATE(YEAR(Sales!$CB$1),MONTH(Sales!$CB$1),1)+INT((DAY(Sales!$CB$1)-1)/2)+'Cash Drivers'!CC$13,0)=EOMONTH($CW$1,0),Sales!CC$6*Sales!CC$7,0)+IF(EOMONTH(DATE(YEAR(Sales!$BY$1),MONTH(Sales!$BY$1),1)+INT((DAY(Sales!$BY$1)-1)/2)+'Cash Drivers'!BZ$13,0)=EOMONTH($CW$1,0),Sales!BZ$6*Sales!BZ$7,0)+IF(EOMONTH(DATE(YEAR(Sales!$BV$1),MONTH(Sales!$BV$1),1)+INT((DAY(Sales!$BV$1)-1)/2)+'Cash Drivers'!BW$13,0)=EOMONTH($CW$1,0),Sales!BW$6*Sales!BW$7,0)+IF(EOMONTH(DATE(YEAR(Sales!$BS$1),MONTH(Sales!$BS$1),1)+INT((DAY(Sales!$BS$1)-1)/2)+'Cash Drivers'!BT$13,0)=EOMONTH($CW$1,0),Sales!BT$6*Sales!BT$7,0)+IF(EOMONTH(DATE(YEAR(Sales!$BP$1),MONTH(Sales!$BP$1),1)+INT((DAY(Sales!$BP$1)-1)/2)+'Cash Drivers'!BQ$13,0)=EOMONTH($CW$1,0),Sales!BQ$6*Sales!BQ$7,0)+IF(EOMONTH(DATE(YEAR(Sales!$BM$1),MONTH(Sales!$BM$1),1)+INT((DAY(Sales!$BM$1)-1)/2)+'Cash Drivers'!BN$13,0)=EOMONTH($CW$1,0),Sales!BN$6*Sales!BN$7,0)+IF(EOMONTH(DATE(YEAR(Sales!$BJ$1),MONTH(Sales!$BJ$1),1)+INT((DAY(Sales!$BJ$1)-1)/2)+'Cash Drivers'!BK$13,0)=EOMONTH($CW$1,0),Sales!BK$6*Sales!BK$7,0)+IF(EOMONTH(DATE(YEAR(Sales!$BG$1),MONTH(Sales!$BG$1),1)+INT((DAY(Sales!$BG$1)-1)/2)+'Cash Drivers'!BH$13,0)=EOMONTH($CW$1,0),Sales!BH$6*Sales!BH$7,0)+IF(EOMONTH(DATE(YEAR(Sales!$BD$1),MONTH(Sales!$BD$1),1)+INT((DAY(Sales!$BD$1)-1)/2)+'Cash Drivers'!BE$13,0)=EOMONTH($CW$1,0),Sales!BE$6*Sales!BE$7,0)+IF(EOMONTH(DATE(YEAR(Sales!$BA$1),MONTH(Sales!$BA$1),1)+INT((DAY(Sales!$BA$1)-1)/2)+'Cash Drivers'!BB$13,0)=EOMONTH($CW$1,0),Sales!BB$6*Sales!BB$7,0)+IF(EOMONTH(DATE(YEAR(Sales!$AX$1),MONTH(Sales!$AX$1),1)+INT((DAY(Sales!$AX$1)-1)/2)+'Cash Drivers'!AY$13,0)=EOMONTH($CW$1,0),Sales!AY$6*Sales!AY$7,0)+IF(EOMONTH(DATE(YEAR(Sales!$AU$1),MONTH(Sales!$AU$1),1)+INT((DAY(Sales!$AU$1)-1)/2)+'Cash Drivers'!AV$13,0)=EOMONTH($CW$1,0),Sales!AV$6*Sales!AV$7,0)+IF(EOMONTH(DATE(YEAR(Sales!$AR$1),MONTH(Sales!$AR$1),1)+INT((DAY(Sales!$AR$1)-1)/2)+'Cash Drivers'!AS$13,0)=EOMONTH($CW$1,0),Sales!AS$6*Sales!AS$7,0)+IF(EOMONTH(DATE(YEAR(Sales!$AO$1),MONTH(Sales!$AO$1),1)+INT((DAY(Sales!$AO$1)-1)/2)+'Cash Drivers'!AP$13,0)=EOMONTH($CW$1,0),Sales!AP$6*Sales!AP$7,0)+IF(EOMONTH(DATE(YEAR(Sales!$AL$1),MONTH(Sales!$AL$1),1)+INT((DAY(Sales!$AL$1)-1)/2)+'Cash Drivers'!AM$13,0)=EOMONTH($CW$1,0),Sales!AM$6*Sales!AM$7,0)+IF(EOMONTH(DATE(YEAR(Sales!$AI$1),MONTH(Sales!$AI$1),1)+INT((DAY(Sales!$AI$1)-1)/2)+'Cash Drivers'!AJ$13,0)=EOMONTH($CW$1,0),Sales!AJ$6*Sales!AJ$7,0)+IF(EOMONTH(DATE(YEAR(Sales!$AF$1),MONTH(Sales!$AF$1),1)+INT((DAY(Sales!$AF$1)-1)/2)+'Cash Drivers'!AG$13,0)=EOMONTH($CW$1,0),Sales!AG$6*Sales!AG$7,0)+IF(EOMONTH(DATE(YEAR(Sales!$AC$1),MONTH(Sales!$AC$1),1)+INT((DAY(Sales!$AC$1)-1)/2)+'Cash Drivers'!AD$13,0)=EOMONTH($CW$1,0),Sales!AD$6*Sales!AD$7,0)+IF(EOMONTH(DATE(YEAR(Sales!$Z$1),MONTH(Sales!$Z$1),1)+INT((DAY(Sales!$Z$1)-1)/2)+'Cash Drivers'!AA$13,0)=EOMONTH($CW$1,0),Sales!AA$6*Sales!AA$7,0)+IF(EOMONTH(DATE(YEAR(Sales!$W$1),MONTH(Sales!$W$1),1)+INT((DAY(Sales!$W$1)-1)/2)+'Cash Drivers'!X$13,0)=EOMONTH($CW$1,0),Sales!X$6*Sales!X$7,0)+IF(EOMONTH(DATE(YEAR(Sales!$T$1),MONTH(Sales!$T$1),1)+INT((DAY(Sales!$T$1)-1)/2)+'Cash Drivers'!U$13,0)=EOMONTH($CW$1,0),Sales!U$6*Sales!U$7,0)+IF(EOMONTH(DATE(YEAR(Sales!$Q$1),MONTH(Sales!$Q$1),1)+INT((DAY(Sales!$Q$1)-1)/2)+'Cash Drivers'!R$13,0)=EOMONTH($CW$1,0),Sales!R$6*Sales!R$7,0)+IF(EOMONTH(DATE(YEAR(Sales!$N$1),MONTH(Sales!$N$1),1)+INT((DAY(Sales!$N$1)-1)/2)+'Cash Drivers'!O$13,0)=EOMONTH($CW$1,0),Sales!O$6*Sales!O$7,0)+IF(EOMONTH(DATE(YEAR(Sales!$K$1),MONTH(Sales!$K$1),1)+INT((DAY(Sales!$K$1)-1)/2)+'Cash Drivers'!L$13,0)=EOMONTH($CW$1,0),Sales!L$6*Sales!L$7,0)+IF(EOMONTH('Cash Drivers'!$DL$30+'Cash Drivers'!DM$13,0)=EOMONTH($CW$1,0),'Cash Drivers'!$DL$32*Sales!$DL$60,0),0)</f>
        <v>22971</v>
      </c>
      <c r="CY24" s="60" t="n">
        <f aca="false">ROUND(IF(EOMONTH(DATE(YEAR(Sales!$DL$1),MONTH(Sales!$DL$1),1)+INT((DAY(Sales!$DL$1)-1)/2)+'Cash Drivers'!DN$13,0)=EOMONTH($CW$1,0),Sales!DN$6*Sales!DN$7,0)+IF(EOMONTH(DATE(YEAR(Sales!$DI$1),MONTH(Sales!$DI$1),1)+INT((DAY(Sales!$DI$1)-1)/2)+'Cash Drivers'!DK$13,0)=EOMONTH($CW$1,0),Sales!DK$6*Sales!DK$7,0)+IF(EOMONTH(DATE(YEAR(Sales!$DF$1),MONTH(Sales!$DF$1),1)+INT((DAY(Sales!$DF$1)-1)/2)+'Cash Drivers'!DH$13,0)=EOMONTH($CW$1,0),Sales!DH$6*Sales!DH$7,0)+IF(EOMONTH(DATE(YEAR(Sales!$DC$1),MONTH(Sales!$DC$1),1)+INT((DAY(Sales!$DC$1)-1)/2)+'Cash Drivers'!DE$13,0)=EOMONTH($CW$1,0),Sales!DE$6*Sales!DE$7,0)+IF(EOMONTH(DATE(YEAR(Sales!$CZ$1),MONTH(Sales!$CZ$1),1)+INT((DAY(Sales!$CZ$1)-1)/2)+'Cash Drivers'!DB$13,0)=EOMONTH($CW$1,0),Sales!DB$6*Sales!DB$7,0)+IF(EOMONTH(DATE(YEAR(Sales!$CW$1),MONTH(Sales!$CW$1),1)+INT((DAY(Sales!$CW$1)-1)/2)+'Cash Drivers'!CY$13,0)=EOMONTH($CW$1,0),Sales!CY$6*Sales!CY$7,0)+IF(EOMONTH(DATE(YEAR(Sales!$CT$1),MONTH(Sales!$CT$1),1)+INT((DAY(Sales!$CT$1)-1)/2)+'Cash Drivers'!CV$13,0)=EOMONTH($CW$1,0),Sales!CV$6*Sales!CV$7,0)+IF(EOMONTH(DATE(YEAR(Sales!$CQ$1),MONTH(Sales!$CQ$1),1)+INT((DAY(Sales!$CQ$1)-1)/2)+'Cash Drivers'!CS$13,0)=EOMONTH($CW$1,0),Sales!CS$6*Sales!CS$7,0)+IF(EOMONTH(DATE(YEAR(Sales!$CN$1),MONTH(Sales!$CN$1),1)+INT((DAY(Sales!$CN$1)-1)/2)+'Cash Drivers'!CP$13,0)=EOMONTH($CW$1,0),Sales!CP$6*Sales!CP$7,0)+IF(EOMONTH(DATE(YEAR(Sales!$CK$1),MONTH(Sales!$CK$1),1)+INT((DAY(Sales!$CK$1)-1)/2)+'Cash Drivers'!CM$13,0)=EOMONTH($CW$1,0),Sales!CM$6*Sales!CM$7,0)+IF(EOMONTH(DATE(YEAR(Sales!$CH$1),MONTH(Sales!$CH$1),1)+INT((DAY(Sales!$CH$1)-1)/2)+'Cash Drivers'!CJ$13,0)=EOMONTH($CW$1,0),Sales!CJ$6*Sales!CJ$7,0)+IF(EOMONTH(DATE(YEAR(Sales!$CE$1),MONTH(Sales!$CE$1),1)+INT((DAY(Sales!$CE$1)-1)/2)+'Cash Drivers'!CG$13,0)=EOMONTH($CW$1,0),Sales!CG$6*Sales!CG$7,0)+IF(EOMONTH(DATE(YEAR(Sales!$CB$1),MONTH(Sales!$CB$1),1)+INT((DAY(Sales!$CB$1)-1)/2)+'Cash Drivers'!CD$13,0)=EOMONTH($CW$1,0),Sales!CD$6*Sales!CD$7,0)+IF(EOMONTH(DATE(YEAR(Sales!$BY$1),MONTH(Sales!$BY$1),1)+INT((DAY(Sales!$BY$1)-1)/2)+'Cash Drivers'!CA$13,0)=EOMONTH($CW$1,0),Sales!CA$6*Sales!CA$7,0)+IF(EOMONTH(DATE(YEAR(Sales!$BV$1),MONTH(Sales!$BV$1),1)+INT((DAY(Sales!$BV$1)-1)/2)+'Cash Drivers'!BX$13,0)=EOMONTH($CW$1,0),Sales!BX$6*Sales!BX$7,0)+IF(EOMONTH(DATE(YEAR(Sales!$BS$1),MONTH(Sales!$BS$1),1)+INT((DAY(Sales!$BS$1)-1)/2)+'Cash Drivers'!BU$13,0)=EOMONTH($CW$1,0),Sales!BU$6*Sales!BU$7,0)+IF(EOMONTH(DATE(YEAR(Sales!$BP$1),MONTH(Sales!$BP$1),1)+INT((DAY(Sales!$BP$1)-1)/2)+'Cash Drivers'!BR$13,0)=EOMONTH($CW$1,0),Sales!BR$6*Sales!BR$7,0)+IF(EOMONTH(DATE(YEAR(Sales!$BM$1),MONTH(Sales!$BM$1),1)+INT((DAY(Sales!$BM$1)-1)/2)+'Cash Drivers'!BO$13,0)=EOMONTH($CW$1,0),Sales!BO$6*Sales!BO$7,0)+IF(EOMONTH(DATE(YEAR(Sales!$BJ$1),MONTH(Sales!$BJ$1),1)+INT((DAY(Sales!$BJ$1)-1)/2)+'Cash Drivers'!BL$13,0)=EOMONTH($CW$1,0),Sales!BL$6*Sales!BL$7,0)+IF(EOMONTH(DATE(YEAR(Sales!$BG$1),MONTH(Sales!$BG$1),1)+INT((DAY(Sales!$BG$1)-1)/2)+'Cash Drivers'!BI$13,0)=EOMONTH($CW$1,0),Sales!BI$6*Sales!BI$7,0)+IF(EOMONTH(DATE(YEAR(Sales!$BD$1),MONTH(Sales!$BD$1),1)+INT((DAY(Sales!$BD$1)-1)/2)+'Cash Drivers'!BF$13,0)=EOMONTH($CW$1,0),Sales!BF$6*Sales!BF$7,0)+IF(EOMONTH(DATE(YEAR(Sales!$BA$1),MONTH(Sales!$BA$1),1)+INT((DAY(Sales!$BA$1)-1)/2)+'Cash Drivers'!BC$13,0)=EOMONTH($CW$1,0),Sales!BC$6*Sales!BC$7,0)+IF(EOMONTH(DATE(YEAR(Sales!$AX$1),MONTH(Sales!$AX$1),1)+INT((DAY(Sales!$AX$1)-1)/2)+'Cash Drivers'!AZ$13,0)=EOMONTH($CW$1,0),Sales!AZ$6*Sales!AZ$7,0)+IF(EOMONTH(DATE(YEAR(Sales!$AU$1),MONTH(Sales!$AU$1),1)+INT((DAY(Sales!$AU$1)-1)/2)+'Cash Drivers'!AW$13,0)=EOMONTH($CW$1,0),Sales!AW$6*Sales!AW$7,0)+IF(EOMONTH(DATE(YEAR(Sales!$AR$1),MONTH(Sales!$AR$1),1)+INT((DAY(Sales!$AR$1)-1)/2)+'Cash Drivers'!AT$13,0)=EOMONTH($CW$1,0),Sales!AT$6*Sales!AT$7,0)+IF(EOMONTH(DATE(YEAR(Sales!$AO$1),MONTH(Sales!$AO$1),1)+INT((DAY(Sales!$AO$1)-1)/2)+'Cash Drivers'!AQ$13,0)=EOMONTH($CW$1,0),Sales!AQ$6*Sales!AQ$7,0)+IF(EOMONTH(DATE(YEAR(Sales!$AL$1),MONTH(Sales!$AL$1),1)+INT((DAY(Sales!$AL$1)-1)/2)+'Cash Drivers'!AN$13,0)=EOMONTH($CW$1,0),Sales!AN$6*Sales!AN$7,0)+IF(EOMONTH(DATE(YEAR(Sales!$AI$1),MONTH(Sales!$AI$1),1)+INT((DAY(Sales!$AI$1)-1)/2)+'Cash Drivers'!AK$13,0)=EOMONTH($CW$1,0),Sales!AK$6*Sales!AK$7,0)+IF(EOMONTH(DATE(YEAR(Sales!$AF$1),MONTH(Sales!$AF$1),1)+INT((DAY(Sales!$AF$1)-1)/2)+'Cash Drivers'!AH$13,0)=EOMONTH($CW$1,0),Sales!AH$6*Sales!AH$7,0)+IF(EOMONTH(DATE(YEAR(Sales!$AC$1),MONTH(Sales!$AC$1),1)+INT((DAY(Sales!$AC$1)-1)/2)+'Cash Drivers'!AE$13,0)=EOMONTH($CW$1,0),Sales!AE$6*Sales!AE$7,0)+IF(EOMONTH(DATE(YEAR(Sales!$Z$1),MONTH(Sales!$Z$1),1)+INT((DAY(Sales!$Z$1)-1)/2)+'Cash Drivers'!AB$13,0)=EOMONTH($CW$1,0),Sales!AB$6*Sales!AB$7,0)+IF(EOMONTH(DATE(YEAR(Sales!$W$1),MONTH(Sales!$W$1),1)+INT((DAY(Sales!$W$1)-1)/2)+'Cash Drivers'!Y$13,0)=EOMONTH($CW$1,0),Sales!Y$6*Sales!Y$7,0)+IF(EOMONTH(DATE(YEAR(Sales!$T$1),MONTH(Sales!$T$1),1)+INT((DAY(Sales!$T$1)-1)/2)+'Cash Drivers'!V$13,0)=EOMONTH($CW$1,0),Sales!V$6*Sales!V$7,0)+IF(EOMONTH(DATE(YEAR(Sales!$Q$1),MONTH(Sales!$Q$1),1)+INT((DAY(Sales!$Q$1)-1)/2)+'Cash Drivers'!S$13,0)=EOMONTH($CW$1,0),Sales!S$6*Sales!S$7,0)+IF(EOMONTH(DATE(YEAR(Sales!$N$1),MONTH(Sales!$N$1),1)+INT((DAY(Sales!$N$1)-1)/2)+'Cash Drivers'!P$13,0)=EOMONTH($CW$1,0),Sales!P$6*Sales!P$7,0)+IF(EOMONTH(DATE(YEAR(Sales!$K$1),MONTH(Sales!$K$1),1)+INT((DAY(Sales!$K$1)-1)/2)+'Cash Drivers'!M$13,0)=EOMONTH($CW$1,0),Sales!M$6*Sales!M$7,0)+IF(EOMONTH('Cash Drivers'!$DL$30+'Cash Drivers'!DN$13,0)=EOMONTH($CW$1,0),'Cash Drivers'!$DL$32*Sales!$DL$60,0),0)</f>
        <v>23028</v>
      </c>
      <c r="CZ24" s="58" t="n">
        <f aca="false">ROUND(IF(EOMONTH(DATE(YEAR(Sales!$DL$1),MONTH(Sales!$DL$1),1)+INT((DAY(Sales!$DL$1)-1)/2)+'Cash Drivers'!DL$13,0)=EOMONTH($CZ$1,0),Sales!DL$6*Sales!DL$7,0)+IF(EOMONTH(DATE(YEAR(Sales!$DI$1),MONTH(Sales!$DI$1),1)+INT((DAY(Sales!$DI$1)-1)/2)+'Cash Drivers'!DI$13,0)=EOMONTH($CZ$1,0),Sales!DI$6*Sales!DI$7,0)+IF(EOMONTH(DATE(YEAR(Sales!$DF$1),MONTH(Sales!$DF$1),1)+INT((DAY(Sales!$DF$1)-1)/2)+'Cash Drivers'!DF$13,0)=EOMONTH($CZ$1,0),Sales!DF$6*Sales!DF$7,0)+IF(EOMONTH(DATE(YEAR(Sales!$DC$1),MONTH(Sales!$DC$1),1)+INT((DAY(Sales!$DC$1)-1)/2)+'Cash Drivers'!DC$13,0)=EOMONTH($CZ$1,0),Sales!DC$6*Sales!DC$7,0)+IF(EOMONTH(DATE(YEAR(Sales!$CZ$1),MONTH(Sales!$CZ$1),1)+INT((DAY(Sales!$CZ$1)-1)/2)+'Cash Drivers'!CZ$13,0)=EOMONTH($CZ$1,0),Sales!CZ$6*Sales!CZ$7,0)+IF(EOMONTH(DATE(YEAR(Sales!$CW$1),MONTH(Sales!$CW$1),1)+INT((DAY(Sales!$CW$1)-1)/2)+'Cash Drivers'!CW$13,0)=EOMONTH($CZ$1,0),Sales!CW$6*Sales!CW$7,0)+IF(EOMONTH(DATE(YEAR(Sales!$CT$1),MONTH(Sales!$CT$1),1)+INT((DAY(Sales!$CT$1)-1)/2)+'Cash Drivers'!CT$13,0)=EOMONTH($CZ$1,0),Sales!CT$6*Sales!CT$7,0)+IF(EOMONTH(DATE(YEAR(Sales!$CQ$1),MONTH(Sales!$CQ$1),1)+INT((DAY(Sales!$CQ$1)-1)/2)+'Cash Drivers'!CQ$13,0)=EOMONTH($CZ$1,0),Sales!CQ$6*Sales!CQ$7,0)+IF(EOMONTH(DATE(YEAR(Sales!$CN$1),MONTH(Sales!$CN$1),1)+INT((DAY(Sales!$CN$1)-1)/2)+'Cash Drivers'!CN$13,0)=EOMONTH($CZ$1,0),Sales!CN$6*Sales!CN$7,0)+IF(EOMONTH(DATE(YEAR(Sales!$CK$1),MONTH(Sales!$CK$1),1)+INT((DAY(Sales!$CK$1)-1)/2)+'Cash Drivers'!CK$13,0)=EOMONTH($CZ$1,0),Sales!CK$6*Sales!CK$7,0)+IF(EOMONTH(DATE(YEAR(Sales!$CH$1),MONTH(Sales!$CH$1),1)+INT((DAY(Sales!$CH$1)-1)/2)+'Cash Drivers'!CH$13,0)=EOMONTH($CZ$1,0),Sales!CH$6*Sales!CH$7,0)+IF(EOMONTH(DATE(YEAR(Sales!$CE$1),MONTH(Sales!$CE$1),1)+INT((DAY(Sales!$CE$1)-1)/2)+'Cash Drivers'!CE$13,0)=EOMONTH($CZ$1,0),Sales!CE$6*Sales!CE$7,0)+IF(EOMONTH(DATE(YEAR(Sales!$CB$1),MONTH(Sales!$CB$1),1)+INT((DAY(Sales!$CB$1)-1)/2)+'Cash Drivers'!CB$13,0)=EOMONTH($CZ$1,0),Sales!CB$6*Sales!CB$7,0)+IF(EOMONTH(DATE(YEAR(Sales!$BY$1),MONTH(Sales!$BY$1),1)+INT((DAY(Sales!$BY$1)-1)/2)+'Cash Drivers'!BY$13,0)=EOMONTH($CZ$1,0),Sales!BY$6*Sales!BY$7,0)+IF(EOMONTH(DATE(YEAR(Sales!$BV$1),MONTH(Sales!$BV$1),1)+INT((DAY(Sales!$BV$1)-1)/2)+'Cash Drivers'!BV$13,0)=EOMONTH($CZ$1,0),Sales!BV$6*Sales!BV$7,0)+IF(EOMONTH(DATE(YEAR(Sales!$BS$1),MONTH(Sales!$BS$1),1)+INT((DAY(Sales!$BS$1)-1)/2)+'Cash Drivers'!BS$13,0)=EOMONTH($CZ$1,0),Sales!BS$6*Sales!BS$7,0)+IF(EOMONTH(DATE(YEAR(Sales!$BP$1),MONTH(Sales!$BP$1),1)+INT((DAY(Sales!$BP$1)-1)/2)+'Cash Drivers'!BP$13,0)=EOMONTH($CZ$1,0),Sales!BP$6*Sales!BP$7,0)+IF(EOMONTH(DATE(YEAR(Sales!$BM$1),MONTH(Sales!$BM$1),1)+INT((DAY(Sales!$BM$1)-1)/2)+'Cash Drivers'!BM$13,0)=EOMONTH($CZ$1,0),Sales!BM$6*Sales!BM$7,0)+IF(EOMONTH(DATE(YEAR(Sales!$BJ$1),MONTH(Sales!$BJ$1),1)+INT((DAY(Sales!$BJ$1)-1)/2)+'Cash Drivers'!BJ$13,0)=EOMONTH($CZ$1,0),Sales!BJ$6*Sales!BJ$7,0)+IF(EOMONTH(DATE(YEAR(Sales!$BG$1),MONTH(Sales!$BG$1),1)+INT((DAY(Sales!$BG$1)-1)/2)+'Cash Drivers'!BG$13,0)=EOMONTH($CZ$1,0),Sales!BG$6*Sales!BG$7,0)+IF(EOMONTH(DATE(YEAR(Sales!$BD$1),MONTH(Sales!$BD$1),1)+INT((DAY(Sales!$BD$1)-1)/2)+'Cash Drivers'!BD$13,0)=EOMONTH($CZ$1,0),Sales!BD$6*Sales!BD$7,0)+IF(EOMONTH(DATE(YEAR(Sales!$BA$1),MONTH(Sales!$BA$1),1)+INT((DAY(Sales!$BA$1)-1)/2)+'Cash Drivers'!BA$13,0)=EOMONTH($CZ$1,0),Sales!BA$6*Sales!BA$7,0)+IF(EOMONTH(DATE(YEAR(Sales!$AX$1),MONTH(Sales!$AX$1),1)+INT((DAY(Sales!$AX$1)-1)/2)+'Cash Drivers'!AX$13,0)=EOMONTH($CZ$1,0),Sales!AX$6*Sales!AX$7,0)+IF(EOMONTH(DATE(YEAR(Sales!$AU$1),MONTH(Sales!$AU$1),1)+INT((DAY(Sales!$AU$1)-1)/2)+'Cash Drivers'!AU$13,0)=EOMONTH($CZ$1,0),Sales!AU$6*Sales!AU$7,0)+IF(EOMONTH(DATE(YEAR(Sales!$AR$1),MONTH(Sales!$AR$1),1)+INT((DAY(Sales!$AR$1)-1)/2)+'Cash Drivers'!AR$13,0)=EOMONTH($CZ$1,0),Sales!AR$6*Sales!AR$7,0)+IF(EOMONTH(DATE(YEAR(Sales!$AO$1),MONTH(Sales!$AO$1),1)+INT((DAY(Sales!$AO$1)-1)/2)+'Cash Drivers'!AO$13,0)=EOMONTH($CZ$1,0),Sales!AO$6*Sales!AO$7,0)+IF(EOMONTH(DATE(YEAR(Sales!$AL$1),MONTH(Sales!$AL$1),1)+INT((DAY(Sales!$AL$1)-1)/2)+'Cash Drivers'!AL$13,0)=EOMONTH($CZ$1,0),Sales!AL$6*Sales!AL$7,0)+IF(EOMONTH(DATE(YEAR(Sales!$AI$1),MONTH(Sales!$AI$1),1)+INT((DAY(Sales!$AI$1)-1)/2)+'Cash Drivers'!AI$13,0)=EOMONTH($CZ$1,0),Sales!AI$6*Sales!AI$7,0)+IF(EOMONTH(DATE(YEAR(Sales!$AF$1),MONTH(Sales!$AF$1),1)+INT((DAY(Sales!$AF$1)-1)/2)+'Cash Drivers'!AF$13,0)=EOMONTH($CZ$1,0),Sales!AF$6*Sales!AF$7,0)+IF(EOMONTH(DATE(YEAR(Sales!$AC$1),MONTH(Sales!$AC$1),1)+INT((DAY(Sales!$AC$1)-1)/2)+'Cash Drivers'!AC$13,0)=EOMONTH($CZ$1,0),Sales!AC$6*Sales!AC$7,0)+IF(EOMONTH(DATE(YEAR(Sales!$Z$1),MONTH(Sales!$Z$1),1)+INT((DAY(Sales!$Z$1)-1)/2)+'Cash Drivers'!Z$13,0)=EOMONTH($CZ$1,0),Sales!Z$6*Sales!Z$7,0)+IF(EOMONTH(DATE(YEAR(Sales!$W$1),MONTH(Sales!$W$1),1)+INT((DAY(Sales!$W$1)-1)/2)+'Cash Drivers'!W$13,0)=EOMONTH($CZ$1,0),Sales!W$6*Sales!W$7,0)+IF(EOMONTH(DATE(YEAR(Sales!$T$1),MONTH(Sales!$T$1),1)+INT((DAY(Sales!$T$1)-1)/2)+'Cash Drivers'!T$13,0)=EOMONTH($CZ$1,0),Sales!T$6*Sales!T$7,0)+IF(EOMONTH(DATE(YEAR(Sales!$Q$1),MONTH(Sales!$Q$1),1)+INT((DAY(Sales!$Q$1)-1)/2)+'Cash Drivers'!Q$13,0)=EOMONTH($CZ$1,0),Sales!Q$6*Sales!Q$7,0)+IF(EOMONTH(DATE(YEAR(Sales!$N$1),MONTH(Sales!$N$1),1)+INT((DAY(Sales!$N$1)-1)/2)+'Cash Drivers'!N$13,0)=EOMONTH($CZ$1,0),Sales!N$6*Sales!N$7,0)+IF(EOMONTH(DATE(YEAR(Sales!$K$1),MONTH(Sales!$K$1),1)+INT((DAY(Sales!$K$1)-1)/2)+'Cash Drivers'!K$13,0)=EOMONTH($CZ$1,0),Sales!K$6*Sales!K$7,0)+IF(EOMONTH('Cash Drivers'!$DL$30+'Cash Drivers'!DL$13,0)=EOMONTH($CZ$1,0),'Cash Drivers'!$DL$32*Sales!$DL$60,0),0)</f>
        <v>0</v>
      </c>
      <c r="DA24" s="59" t="n">
        <f aca="false">ROUND(IF(EOMONTH(DATE(YEAR(Sales!$DL$1),MONTH(Sales!$DL$1),1)+INT((DAY(Sales!$DL$1)-1)/2)+'Cash Drivers'!DM$13,0)=EOMONTH($CZ$1,0),Sales!DM$6*Sales!DM$7,0)+IF(EOMONTH(DATE(YEAR(Sales!$DI$1),MONTH(Sales!$DI$1),1)+INT((DAY(Sales!$DI$1)-1)/2)+'Cash Drivers'!DJ$13,0)=EOMONTH($CZ$1,0),Sales!DJ$6*Sales!DJ$7,0)+IF(EOMONTH(DATE(YEAR(Sales!$DF$1),MONTH(Sales!$DF$1),1)+INT((DAY(Sales!$DF$1)-1)/2)+'Cash Drivers'!DG$13,0)=EOMONTH($CZ$1,0),Sales!DG$6*Sales!DG$7,0)+IF(EOMONTH(DATE(YEAR(Sales!$DC$1),MONTH(Sales!$DC$1),1)+INT((DAY(Sales!$DC$1)-1)/2)+'Cash Drivers'!DD$13,0)=EOMONTH($CZ$1,0),Sales!DD$6*Sales!DD$7,0)+IF(EOMONTH(DATE(YEAR(Sales!$CZ$1),MONTH(Sales!$CZ$1),1)+INT((DAY(Sales!$CZ$1)-1)/2)+'Cash Drivers'!DA$13,0)=EOMONTH($CZ$1,0),Sales!DA$6*Sales!DA$7,0)+IF(EOMONTH(DATE(YEAR(Sales!$CW$1),MONTH(Sales!$CW$1),1)+INT((DAY(Sales!$CW$1)-1)/2)+'Cash Drivers'!CX$13,0)=EOMONTH($CZ$1,0),Sales!CX$6*Sales!CX$7,0)+IF(EOMONTH(DATE(YEAR(Sales!$CT$1),MONTH(Sales!$CT$1),1)+INT((DAY(Sales!$CT$1)-1)/2)+'Cash Drivers'!CU$13,0)=EOMONTH($CZ$1,0),Sales!CU$6*Sales!CU$7,0)+IF(EOMONTH(DATE(YEAR(Sales!$CQ$1),MONTH(Sales!$CQ$1),1)+INT((DAY(Sales!$CQ$1)-1)/2)+'Cash Drivers'!CR$13,0)=EOMONTH($CZ$1,0),Sales!CR$6*Sales!CR$7,0)+IF(EOMONTH(DATE(YEAR(Sales!$CN$1),MONTH(Sales!$CN$1),1)+INT((DAY(Sales!$CN$1)-1)/2)+'Cash Drivers'!CO$13,0)=EOMONTH($CZ$1,0),Sales!CO$6*Sales!CO$7,0)+IF(EOMONTH(DATE(YEAR(Sales!$CK$1),MONTH(Sales!$CK$1),1)+INT((DAY(Sales!$CK$1)-1)/2)+'Cash Drivers'!CL$13,0)=EOMONTH($CZ$1,0),Sales!CL$6*Sales!CL$7,0)+IF(EOMONTH(DATE(YEAR(Sales!$CH$1),MONTH(Sales!$CH$1),1)+INT((DAY(Sales!$CH$1)-1)/2)+'Cash Drivers'!CI$13,0)=EOMONTH($CZ$1,0),Sales!CI$6*Sales!CI$7,0)+IF(EOMONTH(DATE(YEAR(Sales!$CE$1),MONTH(Sales!$CE$1),1)+INT((DAY(Sales!$CE$1)-1)/2)+'Cash Drivers'!CF$13,0)=EOMONTH($CZ$1,0),Sales!CF$6*Sales!CF$7,0)+IF(EOMONTH(DATE(YEAR(Sales!$CB$1),MONTH(Sales!$CB$1),1)+INT((DAY(Sales!$CB$1)-1)/2)+'Cash Drivers'!CC$13,0)=EOMONTH($CZ$1,0),Sales!CC$6*Sales!CC$7,0)+IF(EOMONTH(DATE(YEAR(Sales!$BY$1),MONTH(Sales!$BY$1),1)+INT((DAY(Sales!$BY$1)-1)/2)+'Cash Drivers'!BZ$13,0)=EOMONTH($CZ$1,0),Sales!BZ$6*Sales!BZ$7,0)+IF(EOMONTH(DATE(YEAR(Sales!$BV$1),MONTH(Sales!$BV$1),1)+INT((DAY(Sales!$BV$1)-1)/2)+'Cash Drivers'!BW$13,0)=EOMONTH($CZ$1,0),Sales!BW$6*Sales!BW$7,0)+IF(EOMONTH(DATE(YEAR(Sales!$BS$1),MONTH(Sales!$BS$1),1)+INT((DAY(Sales!$BS$1)-1)/2)+'Cash Drivers'!BT$13,0)=EOMONTH($CZ$1,0),Sales!BT$6*Sales!BT$7,0)+IF(EOMONTH(DATE(YEAR(Sales!$BP$1),MONTH(Sales!$BP$1),1)+INT((DAY(Sales!$BP$1)-1)/2)+'Cash Drivers'!BQ$13,0)=EOMONTH($CZ$1,0),Sales!BQ$6*Sales!BQ$7,0)+IF(EOMONTH(DATE(YEAR(Sales!$BM$1),MONTH(Sales!$BM$1),1)+INT((DAY(Sales!$BM$1)-1)/2)+'Cash Drivers'!BN$13,0)=EOMONTH($CZ$1,0),Sales!BN$6*Sales!BN$7,0)+IF(EOMONTH(DATE(YEAR(Sales!$BJ$1),MONTH(Sales!$BJ$1),1)+INT((DAY(Sales!$BJ$1)-1)/2)+'Cash Drivers'!BK$13,0)=EOMONTH($CZ$1,0),Sales!BK$6*Sales!BK$7,0)+IF(EOMONTH(DATE(YEAR(Sales!$BG$1),MONTH(Sales!$BG$1),1)+INT((DAY(Sales!$BG$1)-1)/2)+'Cash Drivers'!BH$13,0)=EOMONTH($CZ$1,0),Sales!BH$6*Sales!BH$7,0)+IF(EOMONTH(DATE(YEAR(Sales!$BD$1),MONTH(Sales!$BD$1),1)+INT((DAY(Sales!$BD$1)-1)/2)+'Cash Drivers'!BE$13,0)=EOMONTH($CZ$1,0),Sales!BE$6*Sales!BE$7,0)+IF(EOMONTH(DATE(YEAR(Sales!$BA$1),MONTH(Sales!$BA$1),1)+INT((DAY(Sales!$BA$1)-1)/2)+'Cash Drivers'!BB$13,0)=EOMONTH($CZ$1,0),Sales!BB$6*Sales!BB$7,0)+IF(EOMONTH(DATE(YEAR(Sales!$AX$1),MONTH(Sales!$AX$1),1)+INT((DAY(Sales!$AX$1)-1)/2)+'Cash Drivers'!AY$13,0)=EOMONTH($CZ$1,0),Sales!AY$6*Sales!AY$7,0)+IF(EOMONTH(DATE(YEAR(Sales!$AU$1),MONTH(Sales!$AU$1),1)+INT((DAY(Sales!$AU$1)-1)/2)+'Cash Drivers'!AV$13,0)=EOMONTH($CZ$1,0),Sales!AV$6*Sales!AV$7,0)+IF(EOMONTH(DATE(YEAR(Sales!$AR$1),MONTH(Sales!$AR$1),1)+INT((DAY(Sales!$AR$1)-1)/2)+'Cash Drivers'!AS$13,0)=EOMONTH($CZ$1,0),Sales!AS$6*Sales!AS$7,0)+IF(EOMONTH(DATE(YEAR(Sales!$AO$1),MONTH(Sales!$AO$1),1)+INT((DAY(Sales!$AO$1)-1)/2)+'Cash Drivers'!AP$13,0)=EOMONTH($CZ$1,0),Sales!AP$6*Sales!AP$7,0)+IF(EOMONTH(DATE(YEAR(Sales!$AL$1),MONTH(Sales!$AL$1),1)+INT((DAY(Sales!$AL$1)-1)/2)+'Cash Drivers'!AM$13,0)=EOMONTH($CZ$1,0),Sales!AM$6*Sales!AM$7,0)+IF(EOMONTH(DATE(YEAR(Sales!$AI$1),MONTH(Sales!$AI$1),1)+INT((DAY(Sales!$AI$1)-1)/2)+'Cash Drivers'!AJ$13,0)=EOMONTH($CZ$1,0),Sales!AJ$6*Sales!AJ$7,0)+IF(EOMONTH(DATE(YEAR(Sales!$AF$1),MONTH(Sales!$AF$1),1)+INT((DAY(Sales!$AF$1)-1)/2)+'Cash Drivers'!AG$13,0)=EOMONTH($CZ$1,0),Sales!AG$6*Sales!AG$7,0)+IF(EOMONTH(DATE(YEAR(Sales!$AC$1),MONTH(Sales!$AC$1),1)+INT((DAY(Sales!$AC$1)-1)/2)+'Cash Drivers'!AD$13,0)=EOMONTH($CZ$1,0),Sales!AD$6*Sales!AD$7,0)+IF(EOMONTH(DATE(YEAR(Sales!$Z$1),MONTH(Sales!$Z$1),1)+INT((DAY(Sales!$Z$1)-1)/2)+'Cash Drivers'!AA$13,0)=EOMONTH($CZ$1,0),Sales!AA$6*Sales!AA$7,0)+IF(EOMONTH(DATE(YEAR(Sales!$W$1),MONTH(Sales!$W$1),1)+INT((DAY(Sales!$W$1)-1)/2)+'Cash Drivers'!X$13,0)=EOMONTH($CZ$1,0),Sales!X$6*Sales!X$7,0)+IF(EOMONTH(DATE(YEAR(Sales!$T$1),MONTH(Sales!$T$1),1)+INT((DAY(Sales!$T$1)-1)/2)+'Cash Drivers'!U$13,0)=EOMONTH($CZ$1,0),Sales!U$6*Sales!U$7,0)+IF(EOMONTH(DATE(YEAR(Sales!$Q$1),MONTH(Sales!$Q$1),1)+INT((DAY(Sales!$Q$1)-1)/2)+'Cash Drivers'!R$13,0)=EOMONTH($CZ$1,0),Sales!R$6*Sales!R$7,0)+IF(EOMONTH(DATE(YEAR(Sales!$N$1),MONTH(Sales!$N$1),1)+INT((DAY(Sales!$N$1)-1)/2)+'Cash Drivers'!O$13,0)=EOMONTH($CZ$1,0),Sales!O$6*Sales!O$7,0)+IF(EOMONTH(DATE(YEAR(Sales!$K$1),MONTH(Sales!$K$1),1)+INT((DAY(Sales!$K$1)-1)/2)+'Cash Drivers'!L$13,0)=EOMONTH($CZ$1,0),Sales!L$6*Sales!L$7,0)+IF(EOMONTH('Cash Drivers'!$DL$30+'Cash Drivers'!DM$13,0)=EOMONTH($CZ$1,0),'Cash Drivers'!$DL$32*Sales!$DL$60,0),0)</f>
        <v>22914</v>
      </c>
      <c r="DB24" s="60" t="n">
        <f aca="false">ROUND(IF(EOMONTH(DATE(YEAR(Sales!$DL$1),MONTH(Sales!$DL$1),1)+INT((DAY(Sales!$DL$1)-1)/2)+'Cash Drivers'!DN$13,0)=EOMONTH($CZ$1,0),Sales!DN$6*Sales!DN$7,0)+IF(EOMONTH(DATE(YEAR(Sales!$DI$1),MONTH(Sales!$DI$1),1)+INT((DAY(Sales!$DI$1)-1)/2)+'Cash Drivers'!DK$13,0)=EOMONTH($CZ$1,0),Sales!DK$6*Sales!DK$7,0)+IF(EOMONTH(DATE(YEAR(Sales!$DF$1),MONTH(Sales!$DF$1),1)+INT((DAY(Sales!$DF$1)-1)/2)+'Cash Drivers'!DH$13,0)=EOMONTH($CZ$1,0),Sales!DH$6*Sales!DH$7,0)+IF(EOMONTH(DATE(YEAR(Sales!$DC$1),MONTH(Sales!$DC$1),1)+INT((DAY(Sales!$DC$1)-1)/2)+'Cash Drivers'!DE$13,0)=EOMONTH($CZ$1,0),Sales!DE$6*Sales!DE$7,0)+IF(EOMONTH(DATE(YEAR(Sales!$CZ$1),MONTH(Sales!$CZ$1),1)+INT((DAY(Sales!$CZ$1)-1)/2)+'Cash Drivers'!DB$13,0)=EOMONTH($CZ$1,0),Sales!DB$6*Sales!DB$7,0)+IF(EOMONTH(DATE(YEAR(Sales!$CW$1),MONTH(Sales!$CW$1),1)+INT((DAY(Sales!$CW$1)-1)/2)+'Cash Drivers'!CY$13,0)=EOMONTH($CZ$1,0),Sales!CY$6*Sales!CY$7,0)+IF(EOMONTH(DATE(YEAR(Sales!$CT$1),MONTH(Sales!$CT$1),1)+INT((DAY(Sales!$CT$1)-1)/2)+'Cash Drivers'!CV$13,0)=EOMONTH($CZ$1,0),Sales!CV$6*Sales!CV$7,0)+IF(EOMONTH(DATE(YEAR(Sales!$CQ$1),MONTH(Sales!$CQ$1),1)+INT((DAY(Sales!$CQ$1)-1)/2)+'Cash Drivers'!CS$13,0)=EOMONTH($CZ$1,0),Sales!CS$6*Sales!CS$7,0)+IF(EOMONTH(DATE(YEAR(Sales!$CN$1),MONTH(Sales!$CN$1),1)+INT((DAY(Sales!$CN$1)-1)/2)+'Cash Drivers'!CP$13,0)=EOMONTH($CZ$1,0),Sales!CP$6*Sales!CP$7,0)+IF(EOMONTH(DATE(YEAR(Sales!$CK$1),MONTH(Sales!$CK$1),1)+INT((DAY(Sales!$CK$1)-1)/2)+'Cash Drivers'!CM$13,0)=EOMONTH($CZ$1,0),Sales!CM$6*Sales!CM$7,0)+IF(EOMONTH(DATE(YEAR(Sales!$CH$1),MONTH(Sales!$CH$1),1)+INT((DAY(Sales!$CH$1)-1)/2)+'Cash Drivers'!CJ$13,0)=EOMONTH($CZ$1,0),Sales!CJ$6*Sales!CJ$7,0)+IF(EOMONTH(DATE(YEAR(Sales!$CE$1),MONTH(Sales!$CE$1),1)+INT((DAY(Sales!$CE$1)-1)/2)+'Cash Drivers'!CG$13,0)=EOMONTH($CZ$1,0),Sales!CG$6*Sales!CG$7,0)+IF(EOMONTH(DATE(YEAR(Sales!$CB$1),MONTH(Sales!$CB$1),1)+INT((DAY(Sales!$CB$1)-1)/2)+'Cash Drivers'!CD$13,0)=EOMONTH($CZ$1,0),Sales!CD$6*Sales!CD$7,0)+IF(EOMONTH(DATE(YEAR(Sales!$BY$1),MONTH(Sales!$BY$1),1)+INT((DAY(Sales!$BY$1)-1)/2)+'Cash Drivers'!CA$13,0)=EOMONTH($CZ$1,0),Sales!CA$6*Sales!CA$7,0)+IF(EOMONTH(DATE(YEAR(Sales!$BV$1),MONTH(Sales!$BV$1),1)+INT((DAY(Sales!$BV$1)-1)/2)+'Cash Drivers'!BX$13,0)=EOMONTH($CZ$1,0),Sales!BX$6*Sales!BX$7,0)+IF(EOMONTH(DATE(YEAR(Sales!$BS$1),MONTH(Sales!$BS$1),1)+INT((DAY(Sales!$BS$1)-1)/2)+'Cash Drivers'!BU$13,0)=EOMONTH($CZ$1,0),Sales!BU$6*Sales!BU$7,0)+IF(EOMONTH(DATE(YEAR(Sales!$BP$1),MONTH(Sales!$BP$1),1)+INT((DAY(Sales!$BP$1)-1)/2)+'Cash Drivers'!BR$13,0)=EOMONTH($CZ$1,0),Sales!BR$6*Sales!BR$7,0)+IF(EOMONTH(DATE(YEAR(Sales!$BM$1),MONTH(Sales!$BM$1),1)+INT((DAY(Sales!$BM$1)-1)/2)+'Cash Drivers'!BO$13,0)=EOMONTH($CZ$1,0),Sales!BO$6*Sales!BO$7,0)+IF(EOMONTH(DATE(YEAR(Sales!$BJ$1),MONTH(Sales!$BJ$1),1)+INT((DAY(Sales!$BJ$1)-1)/2)+'Cash Drivers'!BL$13,0)=EOMONTH($CZ$1,0),Sales!BL$6*Sales!BL$7,0)+IF(EOMONTH(DATE(YEAR(Sales!$BG$1),MONTH(Sales!$BG$1),1)+INT((DAY(Sales!$BG$1)-1)/2)+'Cash Drivers'!BI$13,0)=EOMONTH($CZ$1,0),Sales!BI$6*Sales!BI$7,0)+IF(EOMONTH(DATE(YEAR(Sales!$BD$1),MONTH(Sales!$BD$1),1)+INT((DAY(Sales!$BD$1)-1)/2)+'Cash Drivers'!BF$13,0)=EOMONTH($CZ$1,0),Sales!BF$6*Sales!BF$7,0)+IF(EOMONTH(DATE(YEAR(Sales!$BA$1),MONTH(Sales!$BA$1),1)+INT((DAY(Sales!$BA$1)-1)/2)+'Cash Drivers'!BC$13,0)=EOMONTH($CZ$1,0),Sales!BC$6*Sales!BC$7,0)+IF(EOMONTH(DATE(YEAR(Sales!$AX$1),MONTH(Sales!$AX$1),1)+INT((DAY(Sales!$AX$1)-1)/2)+'Cash Drivers'!AZ$13,0)=EOMONTH($CZ$1,0),Sales!AZ$6*Sales!AZ$7,0)+IF(EOMONTH(DATE(YEAR(Sales!$AU$1),MONTH(Sales!$AU$1),1)+INT((DAY(Sales!$AU$1)-1)/2)+'Cash Drivers'!AW$13,0)=EOMONTH($CZ$1,0),Sales!AW$6*Sales!AW$7,0)+IF(EOMONTH(DATE(YEAR(Sales!$AR$1),MONTH(Sales!$AR$1),1)+INT((DAY(Sales!$AR$1)-1)/2)+'Cash Drivers'!AT$13,0)=EOMONTH($CZ$1,0),Sales!AT$6*Sales!AT$7,0)+IF(EOMONTH(DATE(YEAR(Sales!$AO$1),MONTH(Sales!$AO$1),1)+INT((DAY(Sales!$AO$1)-1)/2)+'Cash Drivers'!AQ$13,0)=EOMONTH($CZ$1,0),Sales!AQ$6*Sales!AQ$7,0)+IF(EOMONTH(DATE(YEAR(Sales!$AL$1),MONTH(Sales!$AL$1),1)+INT((DAY(Sales!$AL$1)-1)/2)+'Cash Drivers'!AN$13,0)=EOMONTH($CZ$1,0),Sales!AN$6*Sales!AN$7,0)+IF(EOMONTH(DATE(YEAR(Sales!$AI$1),MONTH(Sales!$AI$1),1)+INT((DAY(Sales!$AI$1)-1)/2)+'Cash Drivers'!AK$13,0)=EOMONTH($CZ$1,0),Sales!AK$6*Sales!AK$7,0)+IF(EOMONTH(DATE(YEAR(Sales!$AF$1),MONTH(Sales!$AF$1),1)+INT((DAY(Sales!$AF$1)-1)/2)+'Cash Drivers'!AH$13,0)=EOMONTH($CZ$1,0),Sales!AH$6*Sales!AH$7,0)+IF(EOMONTH(DATE(YEAR(Sales!$AC$1),MONTH(Sales!$AC$1),1)+INT((DAY(Sales!$AC$1)-1)/2)+'Cash Drivers'!AE$13,0)=EOMONTH($CZ$1,0),Sales!AE$6*Sales!AE$7,0)+IF(EOMONTH(DATE(YEAR(Sales!$Z$1),MONTH(Sales!$Z$1),1)+INT((DAY(Sales!$Z$1)-1)/2)+'Cash Drivers'!AB$13,0)=EOMONTH($CZ$1,0),Sales!AB$6*Sales!AB$7,0)+IF(EOMONTH(DATE(YEAR(Sales!$W$1),MONTH(Sales!$W$1),1)+INT((DAY(Sales!$W$1)-1)/2)+'Cash Drivers'!Y$13,0)=EOMONTH($CZ$1,0),Sales!Y$6*Sales!Y$7,0)+IF(EOMONTH(DATE(YEAR(Sales!$T$1),MONTH(Sales!$T$1),1)+INT((DAY(Sales!$T$1)-1)/2)+'Cash Drivers'!V$13,0)=EOMONTH($CZ$1,0),Sales!V$6*Sales!V$7,0)+IF(EOMONTH(DATE(YEAR(Sales!$Q$1),MONTH(Sales!$Q$1),1)+INT((DAY(Sales!$Q$1)-1)/2)+'Cash Drivers'!S$13,0)=EOMONTH($CZ$1,0),Sales!S$6*Sales!S$7,0)+IF(EOMONTH(DATE(YEAR(Sales!$N$1),MONTH(Sales!$N$1),1)+INT((DAY(Sales!$N$1)-1)/2)+'Cash Drivers'!P$13,0)=EOMONTH($CZ$1,0),Sales!P$6*Sales!P$7,0)+IF(EOMONTH(DATE(YEAR(Sales!$K$1),MONTH(Sales!$K$1),1)+INT((DAY(Sales!$K$1)-1)/2)+'Cash Drivers'!M$13,0)=EOMONTH($CZ$1,0),Sales!M$6*Sales!M$7,0)+IF(EOMONTH('Cash Drivers'!$DL$30+'Cash Drivers'!DN$13,0)=EOMONTH($CZ$1,0),'Cash Drivers'!$DL$32*Sales!$DL$60,0),0)</f>
        <v>22971</v>
      </c>
      <c r="DC24" s="58" t="n">
        <f aca="false">ROUND(IF(EOMONTH(DATE(YEAR(Sales!$DL$1),MONTH(Sales!$DL$1),1)+INT((DAY(Sales!$DL$1)-1)/2)+'Cash Drivers'!DL$13,0)=EOMONTH($DC$1,0),Sales!DL$6*Sales!DL$7,0)+IF(EOMONTH(DATE(YEAR(Sales!$DI$1),MONTH(Sales!$DI$1),1)+INT((DAY(Sales!$DI$1)-1)/2)+'Cash Drivers'!DI$13,0)=EOMONTH($DC$1,0),Sales!DI$6*Sales!DI$7,0)+IF(EOMONTH(DATE(YEAR(Sales!$DF$1),MONTH(Sales!$DF$1),1)+INT((DAY(Sales!$DF$1)-1)/2)+'Cash Drivers'!DF$13,0)=EOMONTH($DC$1,0),Sales!DF$6*Sales!DF$7,0)+IF(EOMONTH(DATE(YEAR(Sales!$DC$1),MONTH(Sales!$DC$1),1)+INT((DAY(Sales!$DC$1)-1)/2)+'Cash Drivers'!DC$13,0)=EOMONTH($DC$1,0),Sales!DC$6*Sales!DC$7,0)+IF(EOMONTH(DATE(YEAR(Sales!$CZ$1),MONTH(Sales!$CZ$1),1)+INT((DAY(Sales!$CZ$1)-1)/2)+'Cash Drivers'!CZ$13,0)=EOMONTH($DC$1,0),Sales!CZ$6*Sales!CZ$7,0)+IF(EOMONTH(DATE(YEAR(Sales!$CW$1),MONTH(Sales!$CW$1),1)+INT((DAY(Sales!$CW$1)-1)/2)+'Cash Drivers'!CW$13,0)=EOMONTH($DC$1,0),Sales!CW$6*Sales!CW$7,0)+IF(EOMONTH(DATE(YEAR(Sales!$CT$1),MONTH(Sales!$CT$1),1)+INT((DAY(Sales!$CT$1)-1)/2)+'Cash Drivers'!CT$13,0)=EOMONTH($DC$1,0),Sales!CT$6*Sales!CT$7,0)+IF(EOMONTH(DATE(YEAR(Sales!$CQ$1),MONTH(Sales!$CQ$1),1)+INT((DAY(Sales!$CQ$1)-1)/2)+'Cash Drivers'!CQ$13,0)=EOMONTH($DC$1,0),Sales!CQ$6*Sales!CQ$7,0)+IF(EOMONTH(DATE(YEAR(Sales!$CN$1),MONTH(Sales!$CN$1),1)+INT((DAY(Sales!$CN$1)-1)/2)+'Cash Drivers'!CN$13,0)=EOMONTH($DC$1,0),Sales!CN$6*Sales!CN$7,0)+IF(EOMONTH(DATE(YEAR(Sales!$CK$1),MONTH(Sales!$CK$1),1)+INT((DAY(Sales!$CK$1)-1)/2)+'Cash Drivers'!CK$13,0)=EOMONTH($DC$1,0),Sales!CK$6*Sales!CK$7,0)+IF(EOMONTH(DATE(YEAR(Sales!$CH$1),MONTH(Sales!$CH$1),1)+INT((DAY(Sales!$CH$1)-1)/2)+'Cash Drivers'!CH$13,0)=EOMONTH($DC$1,0),Sales!CH$6*Sales!CH$7,0)+IF(EOMONTH(DATE(YEAR(Sales!$CE$1),MONTH(Sales!$CE$1),1)+INT((DAY(Sales!$CE$1)-1)/2)+'Cash Drivers'!CE$13,0)=EOMONTH($DC$1,0),Sales!CE$6*Sales!CE$7,0)+IF(EOMONTH(DATE(YEAR(Sales!$CB$1),MONTH(Sales!$CB$1),1)+INT((DAY(Sales!$CB$1)-1)/2)+'Cash Drivers'!CB$13,0)=EOMONTH($DC$1,0),Sales!CB$6*Sales!CB$7,0)+IF(EOMONTH(DATE(YEAR(Sales!$BY$1),MONTH(Sales!$BY$1),1)+INT((DAY(Sales!$BY$1)-1)/2)+'Cash Drivers'!BY$13,0)=EOMONTH($DC$1,0),Sales!BY$6*Sales!BY$7,0)+IF(EOMONTH(DATE(YEAR(Sales!$BV$1),MONTH(Sales!$BV$1),1)+INT((DAY(Sales!$BV$1)-1)/2)+'Cash Drivers'!BV$13,0)=EOMONTH($DC$1,0),Sales!BV$6*Sales!BV$7,0)+IF(EOMONTH(DATE(YEAR(Sales!$BS$1),MONTH(Sales!$BS$1),1)+INT((DAY(Sales!$BS$1)-1)/2)+'Cash Drivers'!BS$13,0)=EOMONTH($DC$1,0),Sales!BS$6*Sales!BS$7,0)+IF(EOMONTH(DATE(YEAR(Sales!$BP$1),MONTH(Sales!$BP$1),1)+INT((DAY(Sales!$BP$1)-1)/2)+'Cash Drivers'!BP$13,0)=EOMONTH($DC$1,0),Sales!BP$6*Sales!BP$7,0)+IF(EOMONTH(DATE(YEAR(Sales!$BM$1),MONTH(Sales!$BM$1),1)+INT((DAY(Sales!$BM$1)-1)/2)+'Cash Drivers'!BM$13,0)=EOMONTH($DC$1,0),Sales!BM$6*Sales!BM$7,0)+IF(EOMONTH(DATE(YEAR(Sales!$BJ$1),MONTH(Sales!$BJ$1),1)+INT((DAY(Sales!$BJ$1)-1)/2)+'Cash Drivers'!BJ$13,0)=EOMONTH($DC$1,0),Sales!BJ$6*Sales!BJ$7,0)+IF(EOMONTH(DATE(YEAR(Sales!$BG$1),MONTH(Sales!$BG$1),1)+INT((DAY(Sales!$BG$1)-1)/2)+'Cash Drivers'!BG$13,0)=EOMONTH($DC$1,0),Sales!BG$6*Sales!BG$7,0)+IF(EOMONTH(DATE(YEAR(Sales!$BD$1),MONTH(Sales!$BD$1),1)+INT((DAY(Sales!$BD$1)-1)/2)+'Cash Drivers'!BD$13,0)=EOMONTH($DC$1,0),Sales!BD$6*Sales!BD$7,0)+IF(EOMONTH(DATE(YEAR(Sales!$BA$1),MONTH(Sales!$BA$1),1)+INT((DAY(Sales!$BA$1)-1)/2)+'Cash Drivers'!BA$13,0)=EOMONTH($DC$1,0),Sales!BA$6*Sales!BA$7,0)+IF(EOMONTH(DATE(YEAR(Sales!$AX$1),MONTH(Sales!$AX$1),1)+INT((DAY(Sales!$AX$1)-1)/2)+'Cash Drivers'!AX$13,0)=EOMONTH($DC$1,0),Sales!AX$6*Sales!AX$7,0)+IF(EOMONTH(DATE(YEAR(Sales!$AU$1),MONTH(Sales!$AU$1),1)+INT((DAY(Sales!$AU$1)-1)/2)+'Cash Drivers'!AU$13,0)=EOMONTH($DC$1,0),Sales!AU$6*Sales!AU$7,0)+IF(EOMONTH(DATE(YEAR(Sales!$AR$1),MONTH(Sales!$AR$1),1)+INT((DAY(Sales!$AR$1)-1)/2)+'Cash Drivers'!AR$13,0)=EOMONTH($DC$1,0),Sales!AR$6*Sales!AR$7,0)+IF(EOMONTH(DATE(YEAR(Sales!$AO$1),MONTH(Sales!$AO$1),1)+INT((DAY(Sales!$AO$1)-1)/2)+'Cash Drivers'!AO$13,0)=EOMONTH($DC$1,0),Sales!AO$6*Sales!AO$7,0)+IF(EOMONTH(DATE(YEAR(Sales!$AL$1),MONTH(Sales!$AL$1),1)+INT((DAY(Sales!$AL$1)-1)/2)+'Cash Drivers'!AL$13,0)=EOMONTH($DC$1,0),Sales!AL$6*Sales!AL$7,0)+IF(EOMONTH(DATE(YEAR(Sales!$AI$1),MONTH(Sales!$AI$1),1)+INT((DAY(Sales!$AI$1)-1)/2)+'Cash Drivers'!AI$13,0)=EOMONTH($DC$1,0),Sales!AI$6*Sales!AI$7,0)+IF(EOMONTH(DATE(YEAR(Sales!$AF$1),MONTH(Sales!$AF$1),1)+INT((DAY(Sales!$AF$1)-1)/2)+'Cash Drivers'!AF$13,0)=EOMONTH($DC$1,0),Sales!AF$6*Sales!AF$7,0)+IF(EOMONTH(DATE(YEAR(Sales!$AC$1),MONTH(Sales!$AC$1),1)+INT((DAY(Sales!$AC$1)-1)/2)+'Cash Drivers'!AC$13,0)=EOMONTH($DC$1,0),Sales!AC$6*Sales!AC$7,0)+IF(EOMONTH(DATE(YEAR(Sales!$Z$1),MONTH(Sales!$Z$1),1)+INT((DAY(Sales!$Z$1)-1)/2)+'Cash Drivers'!Z$13,0)=EOMONTH($DC$1,0),Sales!Z$6*Sales!Z$7,0)+IF(EOMONTH(DATE(YEAR(Sales!$W$1),MONTH(Sales!$W$1),1)+INT((DAY(Sales!$W$1)-1)/2)+'Cash Drivers'!W$13,0)=EOMONTH($DC$1,0),Sales!W$6*Sales!W$7,0)+IF(EOMONTH(DATE(YEAR(Sales!$T$1),MONTH(Sales!$T$1),1)+INT((DAY(Sales!$T$1)-1)/2)+'Cash Drivers'!T$13,0)=EOMONTH($DC$1,0),Sales!T$6*Sales!T$7,0)+IF(EOMONTH(DATE(YEAR(Sales!$Q$1),MONTH(Sales!$Q$1),1)+INT((DAY(Sales!$Q$1)-1)/2)+'Cash Drivers'!Q$13,0)=EOMONTH($DC$1,0),Sales!Q$6*Sales!Q$7,0)+IF(EOMONTH(DATE(YEAR(Sales!$N$1),MONTH(Sales!$N$1),1)+INT((DAY(Sales!$N$1)-1)/2)+'Cash Drivers'!N$13,0)=EOMONTH($DC$1,0),Sales!N$6*Sales!N$7,0)+IF(EOMONTH(DATE(YEAR(Sales!$K$1),MONTH(Sales!$K$1),1)+INT((DAY(Sales!$K$1)-1)/2)+'Cash Drivers'!K$13,0)=EOMONTH($DC$1,0),Sales!K$6*Sales!K$7,0)+IF(EOMONTH('Cash Drivers'!$DL$30+'Cash Drivers'!DL$13,0)=EOMONTH($DC$1,0),'Cash Drivers'!$DL$32*Sales!$DL$60,0),0)</f>
        <v>0</v>
      </c>
      <c r="DD24" s="59" t="n">
        <f aca="false">ROUND(IF(EOMONTH(DATE(YEAR(Sales!$DL$1),MONTH(Sales!$DL$1),1)+INT((DAY(Sales!$DL$1)-1)/2)+'Cash Drivers'!DM$13,0)=EOMONTH($DC$1,0),Sales!DM$6*Sales!DM$7,0)+IF(EOMONTH(DATE(YEAR(Sales!$DI$1),MONTH(Sales!$DI$1),1)+INT((DAY(Sales!$DI$1)-1)/2)+'Cash Drivers'!DJ$13,0)=EOMONTH($DC$1,0),Sales!DJ$6*Sales!DJ$7,0)+IF(EOMONTH(DATE(YEAR(Sales!$DF$1),MONTH(Sales!$DF$1),1)+INT((DAY(Sales!$DF$1)-1)/2)+'Cash Drivers'!DG$13,0)=EOMONTH($DC$1,0),Sales!DG$6*Sales!DG$7,0)+IF(EOMONTH(DATE(YEAR(Sales!$DC$1),MONTH(Sales!$DC$1),1)+INT((DAY(Sales!$DC$1)-1)/2)+'Cash Drivers'!DD$13,0)=EOMONTH($DC$1,0),Sales!DD$6*Sales!DD$7,0)+IF(EOMONTH(DATE(YEAR(Sales!$CZ$1),MONTH(Sales!$CZ$1),1)+INT((DAY(Sales!$CZ$1)-1)/2)+'Cash Drivers'!DA$13,0)=EOMONTH($DC$1,0),Sales!DA$6*Sales!DA$7,0)+IF(EOMONTH(DATE(YEAR(Sales!$CW$1),MONTH(Sales!$CW$1),1)+INT((DAY(Sales!$CW$1)-1)/2)+'Cash Drivers'!CX$13,0)=EOMONTH($DC$1,0),Sales!CX$6*Sales!CX$7,0)+IF(EOMONTH(DATE(YEAR(Sales!$CT$1),MONTH(Sales!$CT$1),1)+INT((DAY(Sales!$CT$1)-1)/2)+'Cash Drivers'!CU$13,0)=EOMONTH($DC$1,0),Sales!CU$6*Sales!CU$7,0)+IF(EOMONTH(DATE(YEAR(Sales!$CQ$1),MONTH(Sales!$CQ$1),1)+INT((DAY(Sales!$CQ$1)-1)/2)+'Cash Drivers'!CR$13,0)=EOMONTH($DC$1,0),Sales!CR$6*Sales!CR$7,0)+IF(EOMONTH(DATE(YEAR(Sales!$CN$1),MONTH(Sales!$CN$1),1)+INT((DAY(Sales!$CN$1)-1)/2)+'Cash Drivers'!CO$13,0)=EOMONTH($DC$1,0),Sales!CO$6*Sales!CO$7,0)+IF(EOMONTH(DATE(YEAR(Sales!$CK$1),MONTH(Sales!$CK$1),1)+INT((DAY(Sales!$CK$1)-1)/2)+'Cash Drivers'!CL$13,0)=EOMONTH($DC$1,0),Sales!CL$6*Sales!CL$7,0)+IF(EOMONTH(DATE(YEAR(Sales!$CH$1),MONTH(Sales!$CH$1),1)+INT((DAY(Sales!$CH$1)-1)/2)+'Cash Drivers'!CI$13,0)=EOMONTH($DC$1,0),Sales!CI$6*Sales!CI$7,0)+IF(EOMONTH(DATE(YEAR(Sales!$CE$1),MONTH(Sales!$CE$1),1)+INT((DAY(Sales!$CE$1)-1)/2)+'Cash Drivers'!CF$13,0)=EOMONTH($DC$1,0),Sales!CF$6*Sales!CF$7,0)+IF(EOMONTH(DATE(YEAR(Sales!$CB$1),MONTH(Sales!$CB$1),1)+INT((DAY(Sales!$CB$1)-1)/2)+'Cash Drivers'!CC$13,0)=EOMONTH($DC$1,0),Sales!CC$6*Sales!CC$7,0)+IF(EOMONTH(DATE(YEAR(Sales!$BY$1),MONTH(Sales!$BY$1),1)+INT((DAY(Sales!$BY$1)-1)/2)+'Cash Drivers'!BZ$13,0)=EOMONTH($DC$1,0),Sales!BZ$6*Sales!BZ$7,0)+IF(EOMONTH(DATE(YEAR(Sales!$BV$1),MONTH(Sales!$BV$1),1)+INT((DAY(Sales!$BV$1)-1)/2)+'Cash Drivers'!BW$13,0)=EOMONTH($DC$1,0),Sales!BW$6*Sales!BW$7,0)+IF(EOMONTH(DATE(YEAR(Sales!$BS$1),MONTH(Sales!$BS$1),1)+INT((DAY(Sales!$BS$1)-1)/2)+'Cash Drivers'!BT$13,0)=EOMONTH($DC$1,0),Sales!BT$6*Sales!BT$7,0)+IF(EOMONTH(DATE(YEAR(Sales!$BP$1),MONTH(Sales!$BP$1),1)+INT((DAY(Sales!$BP$1)-1)/2)+'Cash Drivers'!BQ$13,0)=EOMONTH($DC$1,0),Sales!BQ$6*Sales!BQ$7,0)+IF(EOMONTH(DATE(YEAR(Sales!$BM$1),MONTH(Sales!$BM$1),1)+INT((DAY(Sales!$BM$1)-1)/2)+'Cash Drivers'!BN$13,0)=EOMONTH($DC$1,0),Sales!BN$6*Sales!BN$7,0)+IF(EOMONTH(DATE(YEAR(Sales!$BJ$1),MONTH(Sales!$BJ$1),1)+INT((DAY(Sales!$BJ$1)-1)/2)+'Cash Drivers'!BK$13,0)=EOMONTH($DC$1,0),Sales!BK$6*Sales!BK$7,0)+IF(EOMONTH(DATE(YEAR(Sales!$BG$1),MONTH(Sales!$BG$1),1)+INT((DAY(Sales!$BG$1)-1)/2)+'Cash Drivers'!BH$13,0)=EOMONTH($DC$1,0),Sales!BH$6*Sales!BH$7,0)+IF(EOMONTH(DATE(YEAR(Sales!$BD$1),MONTH(Sales!$BD$1),1)+INT((DAY(Sales!$BD$1)-1)/2)+'Cash Drivers'!BE$13,0)=EOMONTH($DC$1,0),Sales!BE$6*Sales!BE$7,0)+IF(EOMONTH(DATE(YEAR(Sales!$BA$1),MONTH(Sales!$BA$1),1)+INT((DAY(Sales!$BA$1)-1)/2)+'Cash Drivers'!BB$13,0)=EOMONTH($DC$1,0),Sales!BB$6*Sales!BB$7,0)+IF(EOMONTH(DATE(YEAR(Sales!$AX$1),MONTH(Sales!$AX$1),1)+INT((DAY(Sales!$AX$1)-1)/2)+'Cash Drivers'!AY$13,0)=EOMONTH($DC$1,0),Sales!AY$6*Sales!AY$7,0)+IF(EOMONTH(DATE(YEAR(Sales!$AU$1),MONTH(Sales!$AU$1),1)+INT((DAY(Sales!$AU$1)-1)/2)+'Cash Drivers'!AV$13,0)=EOMONTH($DC$1,0),Sales!AV$6*Sales!AV$7,0)+IF(EOMONTH(DATE(YEAR(Sales!$AR$1),MONTH(Sales!$AR$1),1)+INT((DAY(Sales!$AR$1)-1)/2)+'Cash Drivers'!AS$13,0)=EOMONTH($DC$1,0),Sales!AS$6*Sales!AS$7,0)+IF(EOMONTH(DATE(YEAR(Sales!$AO$1),MONTH(Sales!$AO$1),1)+INT((DAY(Sales!$AO$1)-1)/2)+'Cash Drivers'!AP$13,0)=EOMONTH($DC$1,0),Sales!AP$6*Sales!AP$7,0)+IF(EOMONTH(DATE(YEAR(Sales!$AL$1),MONTH(Sales!$AL$1),1)+INT((DAY(Sales!$AL$1)-1)/2)+'Cash Drivers'!AM$13,0)=EOMONTH($DC$1,0),Sales!AM$6*Sales!AM$7,0)+IF(EOMONTH(DATE(YEAR(Sales!$AI$1),MONTH(Sales!$AI$1),1)+INT((DAY(Sales!$AI$1)-1)/2)+'Cash Drivers'!AJ$13,0)=EOMONTH($DC$1,0),Sales!AJ$6*Sales!AJ$7,0)+IF(EOMONTH(DATE(YEAR(Sales!$AF$1),MONTH(Sales!$AF$1),1)+INT((DAY(Sales!$AF$1)-1)/2)+'Cash Drivers'!AG$13,0)=EOMONTH($DC$1,0),Sales!AG$6*Sales!AG$7,0)+IF(EOMONTH(DATE(YEAR(Sales!$AC$1),MONTH(Sales!$AC$1),1)+INT((DAY(Sales!$AC$1)-1)/2)+'Cash Drivers'!AD$13,0)=EOMONTH($DC$1,0),Sales!AD$6*Sales!AD$7,0)+IF(EOMONTH(DATE(YEAR(Sales!$Z$1),MONTH(Sales!$Z$1),1)+INT((DAY(Sales!$Z$1)-1)/2)+'Cash Drivers'!AA$13,0)=EOMONTH($DC$1,0),Sales!AA$6*Sales!AA$7,0)+IF(EOMONTH(DATE(YEAR(Sales!$W$1),MONTH(Sales!$W$1),1)+INT((DAY(Sales!$W$1)-1)/2)+'Cash Drivers'!X$13,0)=EOMONTH($DC$1,0),Sales!X$6*Sales!X$7,0)+IF(EOMONTH(DATE(YEAR(Sales!$T$1),MONTH(Sales!$T$1),1)+INT((DAY(Sales!$T$1)-1)/2)+'Cash Drivers'!U$13,0)=EOMONTH($DC$1,0),Sales!U$6*Sales!U$7,0)+IF(EOMONTH(DATE(YEAR(Sales!$Q$1),MONTH(Sales!$Q$1),1)+INT((DAY(Sales!$Q$1)-1)/2)+'Cash Drivers'!R$13,0)=EOMONTH($DC$1,0),Sales!R$6*Sales!R$7,0)+IF(EOMONTH(DATE(YEAR(Sales!$N$1),MONTH(Sales!$N$1),1)+INT((DAY(Sales!$N$1)-1)/2)+'Cash Drivers'!O$13,0)=EOMONTH($DC$1,0),Sales!O$6*Sales!O$7,0)+IF(EOMONTH(DATE(YEAR(Sales!$K$1),MONTH(Sales!$K$1),1)+INT((DAY(Sales!$K$1)-1)/2)+'Cash Drivers'!L$13,0)=EOMONTH($DC$1,0),Sales!L$6*Sales!L$7,0)+IF(EOMONTH('Cash Drivers'!$DL$30+'Cash Drivers'!DM$13,0)=EOMONTH($DC$1,0),'Cash Drivers'!$DL$32*Sales!$DL$60,0),0)</f>
        <v>36090</v>
      </c>
      <c r="DE24" s="60" t="n">
        <f aca="false">ROUND(IF(EOMONTH(DATE(YEAR(Sales!$DL$1),MONTH(Sales!$DL$1),1)+INT((DAY(Sales!$DL$1)-1)/2)+'Cash Drivers'!DN$13,0)=EOMONTH($DC$1,0),Sales!DN$6*Sales!DN$7,0)+IF(EOMONTH(DATE(YEAR(Sales!$DI$1),MONTH(Sales!$DI$1),1)+INT((DAY(Sales!$DI$1)-1)/2)+'Cash Drivers'!DK$13,0)=EOMONTH($DC$1,0),Sales!DK$6*Sales!DK$7,0)+IF(EOMONTH(DATE(YEAR(Sales!$DF$1),MONTH(Sales!$DF$1),1)+INT((DAY(Sales!$DF$1)-1)/2)+'Cash Drivers'!DH$13,0)=EOMONTH($DC$1,0),Sales!DH$6*Sales!DH$7,0)+IF(EOMONTH(DATE(YEAR(Sales!$DC$1),MONTH(Sales!$DC$1),1)+INT((DAY(Sales!$DC$1)-1)/2)+'Cash Drivers'!DE$13,0)=EOMONTH($DC$1,0),Sales!DE$6*Sales!DE$7,0)+IF(EOMONTH(DATE(YEAR(Sales!$CZ$1),MONTH(Sales!$CZ$1),1)+INT((DAY(Sales!$CZ$1)-1)/2)+'Cash Drivers'!DB$13,0)=EOMONTH($DC$1,0),Sales!DB$6*Sales!DB$7,0)+IF(EOMONTH(DATE(YEAR(Sales!$CW$1),MONTH(Sales!$CW$1),1)+INT((DAY(Sales!$CW$1)-1)/2)+'Cash Drivers'!CY$13,0)=EOMONTH($DC$1,0),Sales!CY$6*Sales!CY$7,0)+IF(EOMONTH(DATE(YEAR(Sales!$CT$1),MONTH(Sales!$CT$1),1)+INT((DAY(Sales!$CT$1)-1)/2)+'Cash Drivers'!CV$13,0)=EOMONTH($DC$1,0),Sales!CV$6*Sales!CV$7,0)+IF(EOMONTH(DATE(YEAR(Sales!$CQ$1),MONTH(Sales!$CQ$1),1)+INT((DAY(Sales!$CQ$1)-1)/2)+'Cash Drivers'!CS$13,0)=EOMONTH($DC$1,0),Sales!CS$6*Sales!CS$7,0)+IF(EOMONTH(DATE(YEAR(Sales!$CN$1),MONTH(Sales!$CN$1),1)+INT((DAY(Sales!$CN$1)-1)/2)+'Cash Drivers'!CP$13,0)=EOMONTH($DC$1,0),Sales!CP$6*Sales!CP$7,0)+IF(EOMONTH(DATE(YEAR(Sales!$CK$1),MONTH(Sales!$CK$1),1)+INT((DAY(Sales!$CK$1)-1)/2)+'Cash Drivers'!CM$13,0)=EOMONTH($DC$1,0),Sales!CM$6*Sales!CM$7,0)+IF(EOMONTH(DATE(YEAR(Sales!$CH$1),MONTH(Sales!$CH$1),1)+INT((DAY(Sales!$CH$1)-1)/2)+'Cash Drivers'!CJ$13,0)=EOMONTH($DC$1,0),Sales!CJ$6*Sales!CJ$7,0)+IF(EOMONTH(DATE(YEAR(Sales!$CE$1),MONTH(Sales!$CE$1),1)+INT((DAY(Sales!$CE$1)-1)/2)+'Cash Drivers'!CG$13,0)=EOMONTH($DC$1,0),Sales!CG$6*Sales!CG$7,0)+IF(EOMONTH(DATE(YEAR(Sales!$CB$1),MONTH(Sales!$CB$1),1)+INT((DAY(Sales!$CB$1)-1)/2)+'Cash Drivers'!CD$13,0)=EOMONTH($DC$1,0),Sales!CD$6*Sales!CD$7,0)+IF(EOMONTH(DATE(YEAR(Sales!$BY$1),MONTH(Sales!$BY$1),1)+INT((DAY(Sales!$BY$1)-1)/2)+'Cash Drivers'!CA$13,0)=EOMONTH($DC$1,0),Sales!CA$6*Sales!CA$7,0)+IF(EOMONTH(DATE(YEAR(Sales!$BV$1),MONTH(Sales!$BV$1),1)+INT((DAY(Sales!$BV$1)-1)/2)+'Cash Drivers'!BX$13,0)=EOMONTH($DC$1,0),Sales!BX$6*Sales!BX$7,0)+IF(EOMONTH(DATE(YEAR(Sales!$BS$1),MONTH(Sales!$BS$1),1)+INT((DAY(Sales!$BS$1)-1)/2)+'Cash Drivers'!BU$13,0)=EOMONTH($DC$1,0),Sales!BU$6*Sales!BU$7,0)+IF(EOMONTH(DATE(YEAR(Sales!$BP$1),MONTH(Sales!$BP$1),1)+INT((DAY(Sales!$BP$1)-1)/2)+'Cash Drivers'!BR$13,0)=EOMONTH($DC$1,0),Sales!BR$6*Sales!BR$7,0)+IF(EOMONTH(DATE(YEAR(Sales!$BM$1),MONTH(Sales!$BM$1),1)+INT((DAY(Sales!$BM$1)-1)/2)+'Cash Drivers'!BO$13,0)=EOMONTH($DC$1,0),Sales!BO$6*Sales!BO$7,0)+IF(EOMONTH(DATE(YEAR(Sales!$BJ$1),MONTH(Sales!$BJ$1),1)+INT((DAY(Sales!$BJ$1)-1)/2)+'Cash Drivers'!BL$13,0)=EOMONTH($DC$1,0),Sales!BL$6*Sales!BL$7,0)+IF(EOMONTH(DATE(YEAR(Sales!$BG$1),MONTH(Sales!$BG$1),1)+INT((DAY(Sales!$BG$1)-1)/2)+'Cash Drivers'!BI$13,0)=EOMONTH($DC$1,0),Sales!BI$6*Sales!BI$7,0)+IF(EOMONTH(DATE(YEAR(Sales!$BD$1),MONTH(Sales!$BD$1),1)+INT((DAY(Sales!$BD$1)-1)/2)+'Cash Drivers'!BF$13,0)=EOMONTH($DC$1,0),Sales!BF$6*Sales!BF$7,0)+IF(EOMONTH(DATE(YEAR(Sales!$BA$1),MONTH(Sales!$BA$1),1)+INT((DAY(Sales!$BA$1)-1)/2)+'Cash Drivers'!BC$13,0)=EOMONTH($DC$1,0),Sales!BC$6*Sales!BC$7,0)+IF(EOMONTH(DATE(YEAR(Sales!$AX$1),MONTH(Sales!$AX$1),1)+INT((DAY(Sales!$AX$1)-1)/2)+'Cash Drivers'!AZ$13,0)=EOMONTH($DC$1,0),Sales!AZ$6*Sales!AZ$7,0)+IF(EOMONTH(DATE(YEAR(Sales!$AU$1),MONTH(Sales!$AU$1),1)+INT((DAY(Sales!$AU$1)-1)/2)+'Cash Drivers'!AW$13,0)=EOMONTH($DC$1,0),Sales!AW$6*Sales!AW$7,0)+IF(EOMONTH(DATE(YEAR(Sales!$AR$1),MONTH(Sales!$AR$1),1)+INT((DAY(Sales!$AR$1)-1)/2)+'Cash Drivers'!AT$13,0)=EOMONTH($DC$1,0),Sales!AT$6*Sales!AT$7,0)+IF(EOMONTH(DATE(YEAR(Sales!$AO$1),MONTH(Sales!$AO$1),1)+INT((DAY(Sales!$AO$1)-1)/2)+'Cash Drivers'!AQ$13,0)=EOMONTH($DC$1,0),Sales!AQ$6*Sales!AQ$7,0)+IF(EOMONTH(DATE(YEAR(Sales!$AL$1),MONTH(Sales!$AL$1),1)+INT((DAY(Sales!$AL$1)-1)/2)+'Cash Drivers'!AN$13,0)=EOMONTH($DC$1,0),Sales!AN$6*Sales!AN$7,0)+IF(EOMONTH(DATE(YEAR(Sales!$AI$1),MONTH(Sales!$AI$1),1)+INT((DAY(Sales!$AI$1)-1)/2)+'Cash Drivers'!AK$13,0)=EOMONTH($DC$1,0),Sales!AK$6*Sales!AK$7,0)+IF(EOMONTH(DATE(YEAR(Sales!$AF$1),MONTH(Sales!$AF$1),1)+INT((DAY(Sales!$AF$1)-1)/2)+'Cash Drivers'!AH$13,0)=EOMONTH($DC$1,0),Sales!AH$6*Sales!AH$7,0)+IF(EOMONTH(DATE(YEAR(Sales!$AC$1),MONTH(Sales!$AC$1),1)+INT((DAY(Sales!$AC$1)-1)/2)+'Cash Drivers'!AE$13,0)=EOMONTH($DC$1,0),Sales!AE$6*Sales!AE$7,0)+IF(EOMONTH(DATE(YEAR(Sales!$Z$1),MONTH(Sales!$Z$1),1)+INT((DAY(Sales!$Z$1)-1)/2)+'Cash Drivers'!AB$13,0)=EOMONTH($DC$1,0),Sales!AB$6*Sales!AB$7,0)+IF(EOMONTH(DATE(YEAR(Sales!$W$1),MONTH(Sales!$W$1),1)+INT((DAY(Sales!$W$1)-1)/2)+'Cash Drivers'!Y$13,0)=EOMONTH($DC$1,0),Sales!Y$6*Sales!Y$7,0)+IF(EOMONTH(DATE(YEAR(Sales!$T$1),MONTH(Sales!$T$1),1)+INT((DAY(Sales!$T$1)-1)/2)+'Cash Drivers'!V$13,0)=EOMONTH($DC$1,0),Sales!V$6*Sales!V$7,0)+IF(EOMONTH(DATE(YEAR(Sales!$Q$1),MONTH(Sales!$Q$1),1)+INT((DAY(Sales!$Q$1)-1)/2)+'Cash Drivers'!S$13,0)=EOMONTH($DC$1,0),Sales!S$6*Sales!S$7,0)+IF(EOMONTH(DATE(YEAR(Sales!$N$1),MONTH(Sales!$N$1),1)+INT((DAY(Sales!$N$1)-1)/2)+'Cash Drivers'!P$13,0)=EOMONTH($DC$1,0),Sales!P$6*Sales!P$7,0)+IF(EOMONTH(DATE(YEAR(Sales!$K$1),MONTH(Sales!$K$1),1)+INT((DAY(Sales!$K$1)-1)/2)+'Cash Drivers'!M$13,0)=EOMONTH($DC$1,0),Sales!M$6*Sales!M$7,0)+IF(EOMONTH('Cash Drivers'!$DL$30+'Cash Drivers'!DN$13,0)=EOMONTH($DC$1,0),'Cash Drivers'!$DL$32*Sales!$DL$60,0),0)</f>
        <v>45828</v>
      </c>
      <c r="DF24" s="58" t="n">
        <f aca="false">ROUND(IF(EOMONTH(DATE(YEAR(Sales!$DL$1),MONTH(Sales!$DL$1),1)+INT((DAY(Sales!$DL$1)-1)/2)+'Cash Drivers'!DL$13,0)=EOMONTH($DF$1,0),Sales!DL$6*Sales!DL$7,0)+IF(EOMONTH(DATE(YEAR(Sales!$DI$1),MONTH(Sales!$DI$1),1)+INT((DAY(Sales!$DI$1)-1)/2)+'Cash Drivers'!DI$13,0)=EOMONTH($DF$1,0),Sales!DI$6*Sales!DI$7,0)+IF(EOMONTH(DATE(YEAR(Sales!$DF$1),MONTH(Sales!$DF$1),1)+INT((DAY(Sales!$DF$1)-1)/2)+'Cash Drivers'!DF$13,0)=EOMONTH($DF$1,0),Sales!DF$6*Sales!DF$7,0)+IF(EOMONTH(DATE(YEAR(Sales!$DC$1),MONTH(Sales!$DC$1),1)+INT((DAY(Sales!$DC$1)-1)/2)+'Cash Drivers'!DC$13,0)=EOMONTH($DF$1,0),Sales!DC$6*Sales!DC$7,0)+IF(EOMONTH(DATE(YEAR(Sales!$CZ$1),MONTH(Sales!$CZ$1),1)+INT((DAY(Sales!$CZ$1)-1)/2)+'Cash Drivers'!CZ$13,0)=EOMONTH($DF$1,0),Sales!CZ$6*Sales!CZ$7,0)+IF(EOMONTH(DATE(YEAR(Sales!$CW$1),MONTH(Sales!$CW$1),1)+INT((DAY(Sales!$CW$1)-1)/2)+'Cash Drivers'!CW$13,0)=EOMONTH($DF$1,0),Sales!CW$6*Sales!CW$7,0)+IF(EOMONTH(DATE(YEAR(Sales!$CT$1),MONTH(Sales!$CT$1),1)+INT((DAY(Sales!$CT$1)-1)/2)+'Cash Drivers'!CT$13,0)=EOMONTH($DF$1,0),Sales!CT$6*Sales!CT$7,0)+IF(EOMONTH(DATE(YEAR(Sales!$CQ$1),MONTH(Sales!$CQ$1),1)+INT((DAY(Sales!$CQ$1)-1)/2)+'Cash Drivers'!CQ$13,0)=EOMONTH($DF$1,0),Sales!CQ$6*Sales!CQ$7,0)+IF(EOMONTH(DATE(YEAR(Sales!$CN$1),MONTH(Sales!$CN$1),1)+INT((DAY(Sales!$CN$1)-1)/2)+'Cash Drivers'!CN$13,0)=EOMONTH($DF$1,0),Sales!CN$6*Sales!CN$7,0)+IF(EOMONTH(DATE(YEAR(Sales!$CK$1),MONTH(Sales!$CK$1),1)+INT((DAY(Sales!$CK$1)-1)/2)+'Cash Drivers'!CK$13,0)=EOMONTH($DF$1,0),Sales!CK$6*Sales!CK$7,0)+IF(EOMONTH(DATE(YEAR(Sales!$CH$1),MONTH(Sales!$CH$1),1)+INT((DAY(Sales!$CH$1)-1)/2)+'Cash Drivers'!CH$13,0)=EOMONTH($DF$1,0),Sales!CH$6*Sales!CH$7,0)+IF(EOMONTH(DATE(YEAR(Sales!$CE$1),MONTH(Sales!$CE$1),1)+INT((DAY(Sales!$CE$1)-1)/2)+'Cash Drivers'!CE$13,0)=EOMONTH($DF$1,0),Sales!CE$6*Sales!CE$7,0)+IF(EOMONTH(DATE(YEAR(Sales!$CB$1),MONTH(Sales!$CB$1),1)+INT((DAY(Sales!$CB$1)-1)/2)+'Cash Drivers'!CB$13,0)=EOMONTH($DF$1,0),Sales!CB$6*Sales!CB$7,0)+IF(EOMONTH(DATE(YEAR(Sales!$BY$1),MONTH(Sales!$BY$1),1)+INT((DAY(Sales!$BY$1)-1)/2)+'Cash Drivers'!BY$13,0)=EOMONTH($DF$1,0),Sales!BY$6*Sales!BY$7,0)+IF(EOMONTH(DATE(YEAR(Sales!$BV$1),MONTH(Sales!$BV$1),1)+INT((DAY(Sales!$BV$1)-1)/2)+'Cash Drivers'!BV$13,0)=EOMONTH($DF$1,0),Sales!BV$6*Sales!BV$7,0)+IF(EOMONTH(DATE(YEAR(Sales!$BS$1),MONTH(Sales!$BS$1),1)+INT((DAY(Sales!$BS$1)-1)/2)+'Cash Drivers'!BS$13,0)=EOMONTH($DF$1,0),Sales!BS$6*Sales!BS$7,0)+IF(EOMONTH(DATE(YEAR(Sales!$BP$1),MONTH(Sales!$BP$1),1)+INT((DAY(Sales!$BP$1)-1)/2)+'Cash Drivers'!BP$13,0)=EOMONTH($DF$1,0),Sales!BP$6*Sales!BP$7,0)+IF(EOMONTH(DATE(YEAR(Sales!$BM$1),MONTH(Sales!$BM$1),1)+INT((DAY(Sales!$BM$1)-1)/2)+'Cash Drivers'!BM$13,0)=EOMONTH($DF$1,0),Sales!BM$6*Sales!BM$7,0)+IF(EOMONTH(DATE(YEAR(Sales!$BJ$1),MONTH(Sales!$BJ$1),1)+INT((DAY(Sales!$BJ$1)-1)/2)+'Cash Drivers'!BJ$13,0)=EOMONTH($DF$1,0),Sales!BJ$6*Sales!BJ$7,0)+IF(EOMONTH(DATE(YEAR(Sales!$BG$1),MONTH(Sales!$BG$1),1)+INT((DAY(Sales!$BG$1)-1)/2)+'Cash Drivers'!BG$13,0)=EOMONTH($DF$1,0),Sales!BG$6*Sales!BG$7,0)+IF(EOMONTH(DATE(YEAR(Sales!$BD$1),MONTH(Sales!$BD$1),1)+INT((DAY(Sales!$BD$1)-1)/2)+'Cash Drivers'!BD$13,0)=EOMONTH($DF$1,0),Sales!BD$6*Sales!BD$7,0)+IF(EOMONTH(DATE(YEAR(Sales!$BA$1),MONTH(Sales!$BA$1),1)+INT((DAY(Sales!$BA$1)-1)/2)+'Cash Drivers'!BA$13,0)=EOMONTH($DF$1,0),Sales!BA$6*Sales!BA$7,0)+IF(EOMONTH(DATE(YEAR(Sales!$AX$1),MONTH(Sales!$AX$1),1)+INT((DAY(Sales!$AX$1)-1)/2)+'Cash Drivers'!AX$13,0)=EOMONTH($DF$1,0),Sales!AX$6*Sales!AX$7,0)+IF(EOMONTH(DATE(YEAR(Sales!$AU$1),MONTH(Sales!$AU$1),1)+INT((DAY(Sales!$AU$1)-1)/2)+'Cash Drivers'!AU$13,0)=EOMONTH($DF$1,0),Sales!AU$6*Sales!AU$7,0)+IF(EOMONTH(DATE(YEAR(Sales!$AR$1),MONTH(Sales!$AR$1),1)+INT((DAY(Sales!$AR$1)-1)/2)+'Cash Drivers'!AR$13,0)=EOMONTH($DF$1,0),Sales!AR$6*Sales!AR$7,0)+IF(EOMONTH(DATE(YEAR(Sales!$AO$1),MONTH(Sales!$AO$1),1)+INT((DAY(Sales!$AO$1)-1)/2)+'Cash Drivers'!AO$13,0)=EOMONTH($DF$1,0),Sales!AO$6*Sales!AO$7,0)+IF(EOMONTH(DATE(YEAR(Sales!$AL$1),MONTH(Sales!$AL$1),1)+INT((DAY(Sales!$AL$1)-1)/2)+'Cash Drivers'!AL$13,0)=EOMONTH($DF$1,0),Sales!AL$6*Sales!AL$7,0)+IF(EOMONTH(DATE(YEAR(Sales!$AI$1),MONTH(Sales!$AI$1),1)+INT((DAY(Sales!$AI$1)-1)/2)+'Cash Drivers'!AI$13,0)=EOMONTH($DF$1,0),Sales!AI$6*Sales!AI$7,0)+IF(EOMONTH(DATE(YEAR(Sales!$AF$1),MONTH(Sales!$AF$1),1)+INT((DAY(Sales!$AF$1)-1)/2)+'Cash Drivers'!AF$13,0)=EOMONTH($DF$1,0),Sales!AF$6*Sales!AF$7,0)+IF(EOMONTH(DATE(YEAR(Sales!$AC$1),MONTH(Sales!$AC$1),1)+INT((DAY(Sales!$AC$1)-1)/2)+'Cash Drivers'!AC$13,0)=EOMONTH($DF$1,0),Sales!AC$6*Sales!AC$7,0)+IF(EOMONTH(DATE(YEAR(Sales!$Z$1),MONTH(Sales!$Z$1),1)+INT((DAY(Sales!$Z$1)-1)/2)+'Cash Drivers'!Z$13,0)=EOMONTH($DF$1,0),Sales!Z$6*Sales!Z$7,0)+IF(EOMONTH(DATE(YEAR(Sales!$W$1),MONTH(Sales!$W$1),1)+INT((DAY(Sales!$W$1)-1)/2)+'Cash Drivers'!W$13,0)=EOMONTH($DF$1,0),Sales!W$6*Sales!W$7,0)+IF(EOMONTH(DATE(YEAR(Sales!$T$1),MONTH(Sales!$T$1),1)+INT((DAY(Sales!$T$1)-1)/2)+'Cash Drivers'!T$13,0)=EOMONTH($DF$1,0),Sales!T$6*Sales!T$7,0)+IF(EOMONTH(DATE(YEAR(Sales!$Q$1),MONTH(Sales!$Q$1),1)+INT((DAY(Sales!$Q$1)-1)/2)+'Cash Drivers'!Q$13,0)=EOMONTH($DF$1,0),Sales!Q$6*Sales!Q$7,0)+IF(EOMONTH(DATE(YEAR(Sales!$N$1),MONTH(Sales!$N$1),1)+INT((DAY(Sales!$N$1)-1)/2)+'Cash Drivers'!N$13,0)=EOMONTH($DF$1,0),Sales!N$6*Sales!N$7,0)+IF(EOMONTH(DATE(YEAR(Sales!$K$1),MONTH(Sales!$K$1),1)+INT((DAY(Sales!$K$1)-1)/2)+'Cash Drivers'!K$13,0)=EOMONTH($DF$1,0),Sales!K$6*Sales!K$7,0)+IF(EOMONTH('Cash Drivers'!$DL$30+'Cash Drivers'!DL$13,0)=EOMONTH($DF$1,0),'Cash Drivers'!$DL$32*Sales!$DL$60,0),0)</f>
        <v>36000</v>
      </c>
      <c r="DG24" s="59" t="n">
        <f aca="false">ROUND(IF(EOMONTH(DATE(YEAR(Sales!$DL$1),MONTH(Sales!$DL$1),1)+INT((DAY(Sales!$DL$1)-1)/2)+'Cash Drivers'!DM$13,0)=EOMONTH($DF$1,0),Sales!DM$6*Sales!DM$7,0)+IF(EOMONTH(DATE(YEAR(Sales!$DI$1),MONTH(Sales!$DI$1),1)+INT((DAY(Sales!$DI$1)-1)/2)+'Cash Drivers'!DJ$13,0)=EOMONTH($DF$1,0),Sales!DJ$6*Sales!DJ$7,0)+IF(EOMONTH(DATE(YEAR(Sales!$DF$1),MONTH(Sales!$DF$1),1)+INT((DAY(Sales!$DF$1)-1)/2)+'Cash Drivers'!DG$13,0)=EOMONTH($DF$1,0),Sales!DG$6*Sales!DG$7,0)+IF(EOMONTH(DATE(YEAR(Sales!$DC$1),MONTH(Sales!$DC$1),1)+INT((DAY(Sales!$DC$1)-1)/2)+'Cash Drivers'!DD$13,0)=EOMONTH($DF$1,0),Sales!DD$6*Sales!DD$7,0)+IF(EOMONTH(DATE(YEAR(Sales!$CZ$1),MONTH(Sales!$CZ$1),1)+INT((DAY(Sales!$CZ$1)-1)/2)+'Cash Drivers'!DA$13,0)=EOMONTH($DF$1,0),Sales!DA$6*Sales!DA$7,0)+IF(EOMONTH(DATE(YEAR(Sales!$CW$1),MONTH(Sales!$CW$1),1)+INT((DAY(Sales!$CW$1)-1)/2)+'Cash Drivers'!CX$13,0)=EOMONTH($DF$1,0),Sales!CX$6*Sales!CX$7,0)+IF(EOMONTH(DATE(YEAR(Sales!$CT$1),MONTH(Sales!$CT$1),1)+INT((DAY(Sales!$CT$1)-1)/2)+'Cash Drivers'!CU$13,0)=EOMONTH($DF$1,0),Sales!CU$6*Sales!CU$7,0)+IF(EOMONTH(DATE(YEAR(Sales!$CQ$1),MONTH(Sales!$CQ$1),1)+INT((DAY(Sales!$CQ$1)-1)/2)+'Cash Drivers'!CR$13,0)=EOMONTH($DF$1,0),Sales!CR$6*Sales!CR$7,0)+IF(EOMONTH(DATE(YEAR(Sales!$CN$1),MONTH(Sales!$CN$1),1)+INT((DAY(Sales!$CN$1)-1)/2)+'Cash Drivers'!CO$13,0)=EOMONTH($DF$1,0),Sales!CO$6*Sales!CO$7,0)+IF(EOMONTH(DATE(YEAR(Sales!$CK$1),MONTH(Sales!$CK$1),1)+INT((DAY(Sales!$CK$1)-1)/2)+'Cash Drivers'!CL$13,0)=EOMONTH($DF$1,0),Sales!CL$6*Sales!CL$7,0)+IF(EOMONTH(DATE(YEAR(Sales!$CH$1),MONTH(Sales!$CH$1),1)+INT((DAY(Sales!$CH$1)-1)/2)+'Cash Drivers'!CI$13,0)=EOMONTH($DF$1,0),Sales!CI$6*Sales!CI$7,0)+IF(EOMONTH(DATE(YEAR(Sales!$CE$1),MONTH(Sales!$CE$1),1)+INT((DAY(Sales!$CE$1)-1)/2)+'Cash Drivers'!CF$13,0)=EOMONTH($DF$1,0),Sales!CF$6*Sales!CF$7,0)+IF(EOMONTH(DATE(YEAR(Sales!$CB$1),MONTH(Sales!$CB$1),1)+INT((DAY(Sales!$CB$1)-1)/2)+'Cash Drivers'!CC$13,0)=EOMONTH($DF$1,0),Sales!CC$6*Sales!CC$7,0)+IF(EOMONTH(DATE(YEAR(Sales!$BY$1),MONTH(Sales!$BY$1),1)+INT((DAY(Sales!$BY$1)-1)/2)+'Cash Drivers'!BZ$13,0)=EOMONTH($DF$1,0),Sales!BZ$6*Sales!BZ$7,0)+IF(EOMONTH(DATE(YEAR(Sales!$BV$1),MONTH(Sales!$BV$1),1)+INT((DAY(Sales!$BV$1)-1)/2)+'Cash Drivers'!BW$13,0)=EOMONTH($DF$1,0),Sales!BW$6*Sales!BW$7,0)+IF(EOMONTH(DATE(YEAR(Sales!$BS$1),MONTH(Sales!$BS$1),1)+INT((DAY(Sales!$BS$1)-1)/2)+'Cash Drivers'!BT$13,0)=EOMONTH($DF$1,0),Sales!BT$6*Sales!BT$7,0)+IF(EOMONTH(DATE(YEAR(Sales!$BP$1),MONTH(Sales!$BP$1),1)+INT((DAY(Sales!$BP$1)-1)/2)+'Cash Drivers'!BQ$13,0)=EOMONTH($DF$1,0),Sales!BQ$6*Sales!BQ$7,0)+IF(EOMONTH(DATE(YEAR(Sales!$BM$1),MONTH(Sales!$BM$1),1)+INT((DAY(Sales!$BM$1)-1)/2)+'Cash Drivers'!BN$13,0)=EOMONTH($DF$1,0),Sales!BN$6*Sales!BN$7,0)+IF(EOMONTH(DATE(YEAR(Sales!$BJ$1),MONTH(Sales!$BJ$1),1)+INT((DAY(Sales!$BJ$1)-1)/2)+'Cash Drivers'!BK$13,0)=EOMONTH($DF$1,0),Sales!BK$6*Sales!BK$7,0)+IF(EOMONTH(DATE(YEAR(Sales!$BG$1),MONTH(Sales!$BG$1),1)+INT((DAY(Sales!$BG$1)-1)/2)+'Cash Drivers'!BH$13,0)=EOMONTH($DF$1,0),Sales!BH$6*Sales!BH$7,0)+IF(EOMONTH(DATE(YEAR(Sales!$BD$1),MONTH(Sales!$BD$1),1)+INT((DAY(Sales!$BD$1)-1)/2)+'Cash Drivers'!BE$13,0)=EOMONTH($DF$1,0),Sales!BE$6*Sales!BE$7,0)+IF(EOMONTH(DATE(YEAR(Sales!$BA$1),MONTH(Sales!$BA$1),1)+INT((DAY(Sales!$BA$1)-1)/2)+'Cash Drivers'!BB$13,0)=EOMONTH($DF$1,0),Sales!BB$6*Sales!BB$7,0)+IF(EOMONTH(DATE(YEAR(Sales!$AX$1),MONTH(Sales!$AX$1),1)+INT((DAY(Sales!$AX$1)-1)/2)+'Cash Drivers'!AY$13,0)=EOMONTH($DF$1,0),Sales!AY$6*Sales!AY$7,0)+IF(EOMONTH(DATE(YEAR(Sales!$AU$1),MONTH(Sales!$AU$1),1)+INT((DAY(Sales!$AU$1)-1)/2)+'Cash Drivers'!AV$13,0)=EOMONTH($DF$1,0),Sales!AV$6*Sales!AV$7,0)+IF(EOMONTH(DATE(YEAR(Sales!$AR$1),MONTH(Sales!$AR$1),1)+INT((DAY(Sales!$AR$1)-1)/2)+'Cash Drivers'!AS$13,0)=EOMONTH($DF$1,0),Sales!AS$6*Sales!AS$7,0)+IF(EOMONTH(DATE(YEAR(Sales!$AO$1),MONTH(Sales!$AO$1),1)+INT((DAY(Sales!$AO$1)-1)/2)+'Cash Drivers'!AP$13,0)=EOMONTH($DF$1,0),Sales!AP$6*Sales!AP$7,0)+IF(EOMONTH(DATE(YEAR(Sales!$AL$1),MONTH(Sales!$AL$1),1)+INT((DAY(Sales!$AL$1)-1)/2)+'Cash Drivers'!AM$13,0)=EOMONTH($DF$1,0),Sales!AM$6*Sales!AM$7,0)+IF(EOMONTH(DATE(YEAR(Sales!$AI$1),MONTH(Sales!$AI$1),1)+INT((DAY(Sales!$AI$1)-1)/2)+'Cash Drivers'!AJ$13,0)=EOMONTH($DF$1,0),Sales!AJ$6*Sales!AJ$7,0)+IF(EOMONTH(DATE(YEAR(Sales!$AF$1),MONTH(Sales!$AF$1),1)+INT((DAY(Sales!$AF$1)-1)/2)+'Cash Drivers'!AG$13,0)=EOMONTH($DF$1,0),Sales!AG$6*Sales!AG$7,0)+IF(EOMONTH(DATE(YEAR(Sales!$AC$1),MONTH(Sales!$AC$1),1)+INT((DAY(Sales!$AC$1)-1)/2)+'Cash Drivers'!AD$13,0)=EOMONTH($DF$1,0),Sales!AD$6*Sales!AD$7,0)+IF(EOMONTH(DATE(YEAR(Sales!$Z$1),MONTH(Sales!$Z$1),1)+INT((DAY(Sales!$Z$1)-1)/2)+'Cash Drivers'!AA$13,0)=EOMONTH($DF$1,0),Sales!AA$6*Sales!AA$7,0)+IF(EOMONTH(DATE(YEAR(Sales!$W$1),MONTH(Sales!$W$1),1)+INT((DAY(Sales!$W$1)-1)/2)+'Cash Drivers'!X$13,0)=EOMONTH($DF$1,0),Sales!X$6*Sales!X$7,0)+IF(EOMONTH(DATE(YEAR(Sales!$T$1),MONTH(Sales!$T$1),1)+INT((DAY(Sales!$T$1)-1)/2)+'Cash Drivers'!U$13,0)=EOMONTH($DF$1,0),Sales!U$6*Sales!U$7,0)+IF(EOMONTH(DATE(YEAR(Sales!$Q$1),MONTH(Sales!$Q$1),1)+INT((DAY(Sales!$Q$1)-1)/2)+'Cash Drivers'!R$13,0)=EOMONTH($DF$1,0),Sales!R$6*Sales!R$7,0)+IF(EOMONTH(DATE(YEAR(Sales!$N$1),MONTH(Sales!$N$1),1)+INT((DAY(Sales!$N$1)-1)/2)+'Cash Drivers'!O$13,0)=EOMONTH($DF$1,0),Sales!O$6*Sales!O$7,0)+IF(EOMONTH(DATE(YEAR(Sales!$K$1),MONTH(Sales!$K$1),1)+INT((DAY(Sales!$K$1)-1)/2)+'Cash Drivers'!L$13,0)=EOMONTH($DF$1,0),Sales!L$6*Sales!L$7,0)+IF(EOMONTH('Cash Drivers'!$DL$30+'Cash Drivers'!DM$13,0)=EOMONTH($DF$1,0),'Cash Drivers'!$DL$32*Sales!$DL$60,0),0)</f>
        <v>36000</v>
      </c>
      <c r="DH24" s="60" t="n">
        <f aca="false">ROUND(IF(EOMONTH(DATE(YEAR(Sales!$DL$1),MONTH(Sales!$DL$1),1)+INT((DAY(Sales!$DL$1)-1)/2)+'Cash Drivers'!DN$13,0)=EOMONTH($DF$1,0),Sales!DN$6*Sales!DN$7,0)+IF(EOMONTH(DATE(YEAR(Sales!$DI$1),MONTH(Sales!$DI$1),1)+INT((DAY(Sales!$DI$1)-1)/2)+'Cash Drivers'!DK$13,0)=EOMONTH($DF$1,0),Sales!DK$6*Sales!DK$7,0)+IF(EOMONTH(DATE(YEAR(Sales!$DF$1),MONTH(Sales!$DF$1),1)+INT((DAY(Sales!$DF$1)-1)/2)+'Cash Drivers'!DH$13,0)=EOMONTH($DF$1,0),Sales!DH$6*Sales!DH$7,0)+IF(EOMONTH(DATE(YEAR(Sales!$DC$1),MONTH(Sales!$DC$1),1)+INT((DAY(Sales!$DC$1)-1)/2)+'Cash Drivers'!DE$13,0)=EOMONTH($DF$1,0),Sales!DE$6*Sales!DE$7,0)+IF(EOMONTH(DATE(YEAR(Sales!$CZ$1),MONTH(Sales!$CZ$1),1)+INT((DAY(Sales!$CZ$1)-1)/2)+'Cash Drivers'!DB$13,0)=EOMONTH($DF$1,0),Sales!DB$6*Sales!DB$7,0)+IF(EOMONTH(DATE(YEAR(Sales!$CW$1),MONTH(Sales!$CW$1),1)+INT((DAY(Sales!$CW$1)-1)/2)+'Cash Drivers'!CY$13,0)=EOMONTH($DF$1,0),Sales!CY$6*Sales!CY$7,0)+IF(EOMONTH(DATE(YEAR(Sales!$CT$1),MONTH(Sales!$CT$1),1)+INT((DAY(Sales!$CT$1)-1)/2)+'Cash Drivers'!CV$13,0)=EOMONTH($DF$1,0),Sales!CV$6*Sales!CV$7,0)+IF(EOMONTH(DATE(YEAR(Sales!$CQ$1),MONTH(Sales!$CQ$1),1)+INT((DAY(Sales!$CQ$1)-1)/2)+'Cash Drivers'!CS$13,0)=EOMONTH($DF$1,0),Sales!CS$6*Sales!CS$7,0)+IF(EOMONTH(DATE(YEAR(Sales!$CN$1),MONTH(Sales!$CN$1),1)+INT((DAY(Sales!$CN$1)-1)/2)+'Cash Drivers'!CP$13,0)=EOMONTH($DF$1,0),Sales!CP$6*Sales!CP$7,0)+IF(EOMONTH(DATE(YEAR(Sales!$CK$1),MONTH(Sales!$CK$1),1)+INT((DAY(Sales!$CK$1)-1)/2)+'Cash Drivers'!CM$13,0)=EOMONTH($DF$1,0),Sales!CM$6*Sales!CM$7,0)+IF(EOMONTH(DATE(YEAR(Sales!$CH$1),MONTH(Sales!$CH$1),1)+INT((DAY(Sales!$CH$1)-1)/2)+'Cash Drivers'!CJ$13,0)=EOMONTH($DF$1,0),Sales!CJ$6*Sales!CJ$7,0)+IF(EOMONTH(DATE(YEAR(Sales!$CE$1),MONTH(Sales!$CE$1),1)+INT((DAY(Sales!$CE$1)-1)/2)+'Cash Drivers'!CG$13,0)=EOMONTH($DF$1,0),Sales!CG$6*Sales!CG$7,0)+IF(EOMONTH(DATE(YEAR(Sales!$CB$1),MONTH(Sales!$CB$1),1)+INT((DAY(Sales!$CB$1)-1)/2)+'Cash Drivers'!CD$13,0)=EOMONTH($DF$1,0),Sales!CD$6*Sales!CD$7,0)+IF(EOMONTH(DATE(YEAR(Sales!$BY$1),MONTH(Sales!$BY$1),1)+INT((DAY(Sales!$BY$1)-1)/2)+'Cash Drivers'!CA$13,0)=EOMONTH($DF$1,0),Sales!CA$6*Sales!CA$7,0)+IF(EOMONTH(DATE(YEAR(Sales!$BV$1),MONTH(Sales!$BV$1),1)+INT((DAY(Sales!$BV$1)-1)/2)+'Cash Drivers'!BX$13,0)=EOMONTH($DF$1,0),Sales!BX$6*Sales!BX$7,0)+IF(EOMONTH(DATE(YEAR(Sales!$BS$1),MONTH(Sales!$BS$1),1)+INT((DAY(Sales!$BS$1)-1)/2)+'Cash Drivers'!BU$13,0)=EOMONTH($DF$1,0),Sales!BU$6*Sales!BU$7,0)+IF(EOMONTH(DATE(YEAR(Sales!$BP$1),MONTH(Sales!$BP$1),1)+INT((DAY(Sales!$BP$1)-1)/2)+'Cash Drivers'!BR$13,0)=EOMONTH($DF$1,0),Sales!BR$6*Sales!BR$7,0)+IF(EOMONTH(DATE(YEAR(Sales!$BM$1),MONTH(Sales!$BM$1),1)+INT((DAY(Sales!$BM$1)-1)/2)+'Cash Drivers'!BO$13,0)=EOMONTH($DF$1,0),Sales!BO$6*Sales!BO$7,0)+IF(EOMONTH(DATE(YEAR(Sales!$BJ$1),MONTH(Sales!$BJ$1),1)+INT((DAY(Sales!$BJ$1)-1)/2)+'Cash Drivers'!BL$13,0)=EOMONTH($DF$1,0),Sales!BL$6*Sales!BL$7,0)+IF(EOMONTH(DATE(YEAR(Sales!$BG$1),MONTH(Sales!$BG$1),1)+INT((DAY(Sales!$BG$1)-1)/2)+'Cash Drivers'!BI$13,0)=EOMONTH($DF$1,0),Sales!BI$6*Sales!BI$7,0)+IF(EOMONTH(DATE(YEAR(Sales!$BD$1),MONTH(Sales!$BD$1),1)+INT((DAY(Sales!$BD$1)-1)/2)+'Cash Drivers'!BF$13,0)=EOMONTH($DF$1,0),Sales!BF$6*Sales!BF$7,0)+IF(EOMONTH(DATE(YEAR(Sales!$BA$1),MONTH(Sales!$BA$1),1)+INT((DAY(Sales!$BA$1)-1)/2)+'Cash Drivers'!BC$13,0)=EOMONTH($DF$1,0),Sales!BC$6*Sales!BC$7,0)+IF(EOMONTH(DATE(YEAR(Sales!$AX$1),MONTH(Sales!$AX$1),1)+INT((DAY(Sales!$AX$1)-1)/2)+'Cash Drivers'!AZ$13,0)=EOMONTH($DF$1,0),Sales!AZ$6*Sales!AZ$7,0)+IF(EOMONTH(DATE(YEAR(Sales!$AU$1),MONTH(Sales!$AU$1),1)+INT((DAY(Sales!$AU$1)-1)/2)+'Cash Drivers'!AW$13,0)=EOMONTH($DF$1,0),Sales!AW$6*Sales!AW$7,0)+IF(EOMONTH(DATE(YEAR(Sales!$AR$1),MONTH(Sales!$AR$1),1)+INT((DAY(Sales!$AR$1)-1)/2)+'Cash Drivers'!AT$13,0)=EOMONTH($DF$1,0),Sales!AT$6*Sales!AT$7,0)+IF(EOMONTH(DATE(YEAR(Sales!$AO$1),MONTH(Sales!$AO$1),1)+INT((DAY(Sales!$AO$1)-1)/2)+'Cash Drivers'!AQ$13,0)=EOMONTH($DF$1,0),Sales!AQ$6*Sales!AQ$7,0)+IF(EOMONTH(DATE(YEAR(Sales!$AL$1),MONTH(Sales!$AL$1),1)+INT((DAY(Sales!$AL$1)-1)/2)+'Cash Drivers'!AN$13,0)=EOMONTH($DF$1,0),Sales!AN$6*Sales!AN$7,0)+IF(EOMONTH(DATE(YEAR(Sales!$AI$1),MONTH(Sales!$AI$1),1)+INT((DAY(Sales!$AI$1)-1)/2)+'Cash Drivers'!AK$13,0)=EOMONTH($DF$1,0),Sales!AK$6*Sales!AK$7,0)+IF(EOMONTH(DATE(YEAR(Sales!$AF$1),MONTH(Sales!$AF$1),1)+INT((DAY(Sales!$AF$1)-1)/2)+'Cash Drivers'!AH$13,0)=EOMONTH($DF$1,0),Sales!AH$6*Sales!AH$7,0)+IF(EOMONTH(DATE(YEAR(Sales!$AC$1),MONTH(Sales!$AC$1),1)+INT((DAY(Sales!$AC$1)-1)/2)+'Cash Drivers'!AE$13,0)=EOMONTH($DF$1,0),Sales!AE$6*Sales!AE$7,0)+IF(EOMONTH(DATE(YEAR(Sales!$Z$1),MONTH(Sales!$Z$1),1)+INT((DAY(Sales!$Z$1)-1)/2)+'Cash Drivers'!AB$13,0)=EOMONTH($DF$1,0),Sales!AB$6*Sales!AB$7,0)+IF(EOMONTH(DATE(YEAR(Sales!$W$1),MONTH(Sales!$W$1),1)+INT((DAY(Sales!$W$1)-1)/2)+'Cash Drivers'!Y$13,0)=EOMONTH($DF$1,0),Sales!Y$6*Sales!Y$7,0)+IF(EOMONTH(DATE(YEAR(Sales!$T$1),MONTH(Sales!$T$1),1)+INT((DAY(Sales!$T$1)-1)/2)+'Cash Drivers'!V$13,0)=EOMONTH($DF$1,0),Sales!V$6*Sales!V$7,0)+IF(EOMONTH(DATE(YEAR(Sales!$Q$1),MONTH(Sales!$Q$1),1)+INT((DAY(Sales!$Q$1)-1)/2)+'Cash Drivers'!S$13,0)=EOMONTH($DF$1,0),Sales!S$6*Sales!S$7,0)+IF(EOMONTH(DATE(YEAR(Sales!$N$1),MONTH(Sales!$N$1),1)+INT((DAY(Sales!$N$1)-1)/2)+'Cash Drivers'!P$13,0)=EOMONTH($DF$1,0),Sales!P$6*Sales!P$7,0)+IF(EOMONTH(DATE(YEAR(Sales!$K$1),MONTH(Sales!$K$1),1)+INT((DAY(Sales!$K$1)-1)/2)+'Cash Drivers'!M$13,0)=EOMONTH($DF$1,0),Sales!M$6*Sales!M$7,0)+IF(EOMONTH('Cash Drivers'!$DL$30+'Cash Drivers'!DN$13,0)=EOMONTH($DF$1,0),'Cash Drivers'!$DL$32*Sales!$DL$60,0),0)</f>
        <v>45657</v>
      </c>
      <c r="DI24" s="58" t="n">
        <f aca="false">ROUND(IF(EOMONTH(DATE(YEAR(Sales!$DL$1),MONTH(Sales!$DL$1),1)+INT((DAY(Sales!$DL$1)-1)/2)+'Cash Drivers'!DL$13,0)=EOMONTH($DI$1,0),Sales!DL$6*Sales!DL$7,0)+IF(EOMONTH(DATE(YEAR(Sales!$DI$1),MONTH(Sales!$DI$1),1)+INT((DAY(Sales!$DI$1)-1)/2)+'Cash Drivers'!DI$13,0)=EOMONTH($DI$1,0),Sales!DI$6*Sales!DI$7,0)+IF(EOMONTH(DATE(YEAR(Sales!$DF$1),MONTH(Sales!$DF$1),1)+INT((DAY(Sales!$DF$1)-1)/2)+'Cash Drivers'!DF$13,0)=EOMONTH($DI$1,0),Sales!DF$6*Sales!DF$7,0)+IF(EOMONTH(DATE(YEAR(Sales!$DC$1),MONTH(Sales!$DC$1),1)+INT((DAY(Sales!$DC$1)-1)/2)+'Cash Drivers'!DC$13,0)=EOMONTH($DI$1,0),Sales!DC$6*Sales!DC$7,0)+IF(EOMONTH(DATE(YEAR(Sales!$CZ$1),MONTH(Sales!$CZ$1),1)+INT((DAY(Sales!$CZ$1)-1)/2)+'Cash Drivers'!CZ$13,0)=EOMONTH($DI$1,0),Sales!CZ$6*Sales!CZ$7,0)+IF(EOMONTH(DATE(YEAR(Sales!$CW$1),MONTH(Sales!$CW$1),1)+INT((DAY(Sales!$CW$1)-1)/2)+'Cash Drivers'!CW$13,0)=EOMONTH($DI$1,0),Sales!CW$6*Sales!CW$7,0)+IF(EOMONTH(DATE(YEAR(Sales!$CT$1),MONTH(Sales!$CT$1),1)+INT((DAY(Sales!$CT$1)-1)/2)+'Cash Drivers'!CT$13,0)=EOMONTH($DI$1,0),Sales!CT$6*Sales!CT$7,0)+IF(EOMONTH(DATE(YEAR(Sales!$CQ$1),MONTH(Sales!$CQ$1),1)+INT((DAY(Sales!$CQ$1)-1)/2)+'Cash Drivers'!CQ$13,0)=EOMONTH($DI$1,0),Sales!CQ$6*Sales!CQ$7,0)+IF(EOMONTH(DATE(YEAR(Sales!$CN$1),MONTH(Sales!$CN$1),1)+INT((DAY(Sales!$CN$1)-1)/2)+'Cash Drivers'!CN$13,0)=EOMONTH($DI$1,0),Sales!CN$6*Sales!CN$7,0)+IF(EOMONTH(DATE(YEAR(Sales!$CK$1),MONTH(Sales!$CK$1),1)+INT((DAY(Sales!$CK$1)-1)/2)+'Cash Drivers'!CK$13,0)=EOMONTH($DI$1,0),Sales!CK$6*Sales!CK$7,0)+IF(EOMONTH(DATE(YEAR(Sales!$CH$1),MONTH(Sales!$CH$1),1)+INT((DAY(Sales!$CH$1)-1)/2)+'Cash Drivers'!CH$13,0)=EOMONTH($DI$1,0),Sales!CH$6*Sales!CH$7,0)+IF(EOMONTH(DATE(YEAR(Sales!$CE$1),MONTH(Sales!$CE$1),1)+INT((DAY(Sales!$CE$1)-1)/2)+'Cash Drivers'!CE$13,0)=EOMONTH($DI$1,0),Sales!CE$6*Sales!CE$7,0)+IF(EOMONTH(DATE(YEAR(Sales!$CB$1),MONTH(Sales!$CB$1),1)+INT((DAY(Sales!$CB$1)-1)/2)+'Cash Drivers'!CB$13,0)=EOMONTH($DI$1,0),Sales!CB$6*Sales!CB$7,0)+IF(EOMONTH(DATE(YEAR(Sales!$BY$1),MONTH(Sales!$BY$1),1)+INT((DAY(Sales!$BY$1)-1)/2)+'Cash Drivers'!BY$13,0)=EOMONTH($DI$1,0),Sales!BY$6*Sales!BY$7,0)+IF(EOMONTH(DATE(YEAR(Sales!$BV$1),MONTH(Sales!$BV$1),1)+INT((DAY(Sales!$BV$1)-1)/2)+'Cash Drivers'!BV$13,0)=EOMONTH($DI$1,0),Sales!BV$6*Sales!BV$7,0)+IF(EOMONTH(DATE(YEAR(Sales!$BS$1),MONTH(Sales!$BS$1),1)+INT((DAY(Sales!$BS$1)-1)/2)+'Cash Drivers'!BS$13,0)=EOMONTH($DI$1,0),Sales!BS$6*Sales!BS$7,0)+IF(EOMONTH(DATE(YEAR(Sales!$BP$1),MONTH(Sales!$BP$1),1)+INT((DAY(Sales!$BP$1)-1)/2)+'Cash Drivers'!BP$13,0)=EOMONTH($DI$1,0),Sales!BP$6*Sales!BP$7,0)+IF(EOMONTH(DATE(YEAR(Sales!$BM$1),MONTH(Sales!$BM$1),1)+INT((DAY(Sales!$BM$1)-1)/2)+'Cash Drivers'!BM$13,0)=EOMONTH($DI$1,0),Sales!BM$6*Sales!BM$7,0)+IF(EOMONTH(DATE(YEAR(Sales!$BJ$1),MONTH(Sales!$BJ$1),1)+INT((DAY(Sales!$BJ$1)-1)/2)+'Cash Drivers'!BJ$13,0)=EOMONTH($DI$1,0),Sales!BJ$6*Sales!BJ$7,0)+IF(EOMONTH(DATE(YEAR(Sales!$BG$1),MONTH(Sales!$BG$1),1)+INT((DAY(Sales!$BG$1)-1)/2)+'Cash Drivers'!BG$13,0)=EOMONTH($DI$1,0),Sales!BG$6*Sales!BG$7,0)+IF(EOMONTH(DATE(YEAR(Sales!$BD$1),MONTH(Sales!$BD$1),1)+INT((DAY(Sales!$BD$1)-1)/2)+'Cash Drivers'!BD$13,0)=EOMONTH($DI$1,0),Sales!BD$6*Sales!BD$7,0)+IF(EOMONTH(DATE(YEAR(Sales!$BA$1),MONTH(Sales!$BA$1),1)+INT((DAY(Sales!$BA$1)-1)/2)+'Cash Drivers'!BA$13,0)=EOMONTH($DI$1,0),Sales!BA$6*Sales!BA$7,0)+IF(EOMONTH(DATE(YEAR(Sales!$AX$1),MONTH(Sales!$AX$1),1)+INT((DAY(Sales!$AX$1)-1)/2)+'Cash Drivers'!AX$13,0)=EOMONTH($DI$1,0),Sales!AX$6*Sales!AX$7,0)+IF(EOMONTH(DATE(YEAR(Sales!$AU$1),MONTH(Sales!$AU$1),1)+INT((DAY(Sales!$AU$1)-1)/2)+'Cash Drivers'!AU$13,0)=EOMONTH($DI$1,0),Sales!AU$6*Sales!AU$7,0)+IF(EOMONTH(DATE(YEAR(Sales!$AR$1),MONTH(Sales!$AR$1),1)+INT((DAY(Sales!$AR$1)-1)/2)+'Cash Drivers'!AR$13,0)=EOMONTH($DI$1,0),Sales!AR$6*Sales!AR$7,0)+IF(EOMONTH(DATE(YEAR(Sales!$AO$1),MONTH(Sales!$AO$1),1)+INT((DAY(Sales!$AO$1)-1)/2)+'Cash Drivers'!AO$13,0)=EOMONTH($DI$1,0),Sales!AO$6*Sales!AO$7,0)+IF(EOMONTH(DATE(YEAR(Sales!$AL$1),MONTH(Sales!$AL$1),1)+INT((DAY(Sales!$AL$1)-1)/2)+'Cash Drivers'!AL$13,0)=EOMONTH($DI$1,0),Sales!AL$6*Sales!AL$7,0)+IF(EOMONTH(DATE(YEAR(Sales!$AI$1),MONTH(Sales!$AI$1),1)+INT((DAY(Sales!$AI$1)-1)/2)+'Cash Drivers'!AI$13,0)=EOMONTH($DI$1,0),Sales!AI$6*Sales!AI$7,0)+IF(EOMONTH(DATE(YEAR(Sales!$AF$1),MONTH(Sales!$AF$1),1)+INT((DAY(Sales!$AF$1)-1)/2)+'Cash Drivers'!AF$13,0)=EOMONTH($DI$1,0),Sales!AF$6*Sales!AF$7,0)+IF(EOMONTH(DATE(YEAR(Sales!$AC$1),MONTH(Sales!$AC$1),1)+INT((DAY(Sales!$AC$1)-1)/2)+'Cash Drivers'!AC$13,0)=EOMONTH($DI$1,0),Sales!AC$6*Sales!AC$7,0)+IF(EOMONTH(DATE(YEAR(Sales!$Z$1),MONTH(Sales!$Z$1),1)+INT((DAY(Sales!$Z$1)-1)/2)+'Cash Drivers'!Z$13,0)=EOMONTH($DI$1,0),Sales!Z$6*Sales!Z$7,0)+IF(EOMONTH(DATE(YEAR(Sales!$W$1),MONTH(Sales!$W$1),1)+INT((DAY(Sales!$W$1)-1)/2)+'Cash Drivers'!W$13,0)=EOMONTH($DI$1,0),Sales!W$6*Sales!W$7,0)+IF(EOMONTH(DATE(YEAR(Sales!$T$1),MONTH(Sales!$T$1),1)+INT((DAY(Sales!$T$1)-1)/2)+'Cash Drivers'!T$13,0)=EOMONTH($DI$1,0),Sales!T$6*Sales!T$7,0)+IF(EOMONTH(DATE(YEAR(Sales!$Q$1),MONTH(Sales!$Q$1),1)+INT((DAY(Sales!$Q$1)-1)/2)+'Cash Drivers'!Q$13,0)=EOMONTH($DI$1,0),Sales!Q$6*Sales!Q$7,0)+IF(EOMONTH(DATE(YEAR(Sales!$N$1),MONTH(Sales!$N$1),1)+INT((DAY(Sales!$N$1)-1)/2)+'Cash Drivers'!N$13,0)=EOMONTH($DI$1,0),Sales!N$6*Sales!N$7,0)+IF(EOMONTH(DATE(YEAR(Sales!$K$1),MONTH(Sales!$K$1),1)+INT((DAY(Sales!$K$1)-1)/2)+'Cash Drivers'!K$13,0)=EOMONTH($DI$1,0),Sales!K$6*Sales!K$7,0)+IF(EOMONTH('Cash Drivers'!$DL$30+'Cash Drivers'!DL$13,0)=EOMONTH($DI$1,0),'Cash Drivers'!$DL$32*Sales!$DL$60,0),0)</f>
        <v>22800</v>
      </c>
      <c r="DJ24" s="59" t="n">
        <f aca="false">ROUND(IF(EOMONTH(DATE(YEAR(Sales!$DL$1),MONTH(Sales!$DL$1),1)+INT((DAY(Sales!$DL$1)-1)/2)+'Cash Drivers'!DM$13,0)=EOMONTH($DI$1,0),Sales!DM$6*Sales!DM$7,0)+IF(EOMONTH(DATE(YEAR(Sales!$DI$1),MONTH(Sales!$DI$1),1)+INT((DAY(Sales!$DI$1)-1)/2)+'Cash Drivers'!DJ$13,0)=EOMONTH($DI$1,0),Sales!DJ$6*Sales!DJ$7,0)+IF(EOMONTH(DATE(YEAR(Sales!$DF$1),MONTH(Sales!$DF$1),1)+INT((DAY(Sales!$DF$1)-1)/2)+'Cash Drivers'!DG$13,0)=EOMONTH($DI$1,0),Sales!DG$6*Sales!DG$7,0)+IF(EOMONTH(DATE(YEAR(Sales!$DC$1),MONTH(Sales!$DC$1),1)+INT((DAY(Sales!$DC$1)-1)/2)+'Cash Drivers'!DD$13,0)=EOMONTH($DI$1,0),Sales!DD$6*Sales!DD$7,0)+IF(EOMONTH(DATE(YEAR(Sales!$CZ$1),MONTH(Sales!$CZ$1),1)+INT((DAY(Sales!$CZ$1)-1)/2)+'Cash Drivers'!DA$13,0)=EOMONTH($DI$1,0),Sales!DA$6*Sales!DA$7,0)+IF(EOMONTH(DATE(YEAR(Sales!$CW$1),MONTH(Sales!$CW$1),1)+INT((DAY(Sales!$CW$1)-1)/2)+'Cash Drivers'!CX$13,0)=EOMONTH($DI$1,0),Sales!CX$6*Sales!CX$7,0)+IF(EOMONTH(DATE(YEAR(Sales!$CT$1),MONTH(Sales!$CT$1),1)+INT((DAY(Sales!$CT$1)-1)/2)+'Cash Drivers'!CU$13,0)=EOMONTH($DI$1,0),Sales!CU$6*Sales!CU$7,0)+IF(EOMONTH(DATE(YEAR(Sales!$CQ$1),MONTH(Sales!$CQ$1),1)+INT((DAY(Sales!$CQ$1)-1)/2)+'Cash Drivers'!CR$13,0)=EOMONTH($DI$1,0),Sales!CR$6*Sales!CR$7,0)+IF(EOMONTH(DATE(YEAR(Sales!$CN$1),MONTH(Sales!$CN$1),1)+INT((DAY(Sales!$CN$1)-1)/2)+'Cash Drivers'!CO$13,0)=EOMONTH($DI$1,0),Sales!CO$6*Sales!CO$7,0)+IF(EOMONTH(DATE(YEAR(Sales!$CK$1),MONTH(Sales!$CK$1),1)+INT((DAY(Sales!$CK$1)-1)/2)+'Cash Drivers'!CL$13,0)=EOMONTH($DI$1,0),Sales!CL$6*Sales!CL$7,0)+IF(EOMONTH(DATE(YEAR(Sales!$CH$1),MONTH(Sales!$CH$1),1)+INT((DAY(Sales!$CH$1)-1)/2)+'Cash Drivers'!CI$13,0)=EOMONTH($DI$1,0),Sales!CI$6*Sales!CI$7,0)+IF(EOMONTH(DATE(YEAR(Sales!$CE$1),MONTH(Sales!$CE$1),1)+INT((DAY(Sales!$CE$1)-1)/2)+'Cash Drivers'!CF$13,0)=EOMONTH($DI$1,0),Sales!CF$6*Sales!CF$7,0)+IF(EOMONTH(DATE(YEAR(Sales!$CB$1),MONTH(Sales!$CB$1),1)+INT((DAY(Sales!$CB$1)-1)/2)+'Cash Drivers'!CC$13,0)=EOMONTH($DI$1,0),Sales!CC$6*Sales!CC$7,0)+IF(EOMONTH(DATE(YEAR(Sales!$BY$1),MONTH(Sales!$BY$1),1)+INT((DAY(Sales!$BY$1)-1)/2)+'Cash Drivers'!BZ$13,0)=EOMONTH($DI$1,0),Sales!BZ$6*Sales!BZ$7,0)+IF(EOMONTH(DATE(YEAR(Sales!$BV$1),MONTH(Sales!$BV$1),1)+INT((DAY(Sales!$BV$1)-1)/2)+'Cash Drivers'!BW$13,0)=EOMONTH($DI$1,0),Sales!BW$6*Sales!BW$7,0)+IF(EOMONTH(DATE(YEAR(Sales!$BS$1),MONTH(Sales!$BS$1),1)+INT((DAY(Sales!$BS$1)-1)/2)+'Cash Drivers'!BT$13,0)=EOMONTH($DI$1,0),Sales!BT$6*Sales!BT$7,0)+IF(EOMONTH(DATE(YEAR(Sales!$BP$1),MONTH(Sales!$BP$1),1)+INT((DAY(Sales!$BP$1)-1)/2)+'Cash Drivers'!BQ$13,0)=EOMONTH($DI$1,0),Sales!BQ$6*Sales!BQ$7,0)+IF(EOMONTH(DATE(YEAR(Sales!$BM$1),MONTH(Sales!$BM$1),1)+INT((DAY(Sales!$BM$1)-1)/2)+'Cash Drivers'!BN$13,0)=EOMONTH($DI$1,0),Sales!BN$6*Sales!BN$7,0)+IF(EOMONTH(DATE(YEAR(Sales!$BJ$1),MONTH(Sales!$BJ$1),1)+INT((DAY(Sales!$BJ$1)-1)/2)+'Cash Drivers'!BK$13,0)=EOMONTH($DI$1,0),Sales!BK$6*Sales!BK$7,0)+IF(EOMONTH(DATE(YEAR(Sales!$BG$1),MONTH(Sales!$BG$1),1)+INT((DAY(Sales!$BG$1)-1)/2)+'Cash Drivers'!BH$13,0)=EOMONTH($DI$1,0),Sales!BH$6*Sales!BH$7,0)+IF(EOMONTH(DATE(YEAR(Sales!$BD$1),MONTH(Sales!$BD$1),1)+INT((DAY(Sales!$BD$1)-1)/2)+'Cash Drivers'!BE$13,0)=EOMONTH($DI$1,0),Sales!BE$6*Sales!BE$7,0)+IF(EOMONTH(DATE(YEAR(Sales!$BA$1),MONTH(Sales!$BA$1),1)+INT((DAY(Sales!$BA$1)-1)/2)+'Cash Drivers'!BB$13,0)=EOMONTH($DI$1,0),Sales!BB$6*Sales!BB$7,0)+IF(EOMONTH(DATE(YEAR(Sales!$AX$1),MONTH(Sales!$AX$1),1)+INT((DAY(Sales!$AX$1)-1)/2)+'Cash Drivers'!AY$13,0)=EOMONTH($DI$1,0),Sales!AY$6*Sales!AY$7,0)+IF(EOMONTH(DATE(YEAR(Sales!$AU$1),MONTH(Sales!$AU$1),1)+INT((DAY(Sales!$AU$1)-1)/2)+'Cash Drivers'!AV$13,0)=EOMONTH($DI$1,0),Sales!AV$6*Sales!AV$7,0)+IF(EOMONTH(DATE(YEAR(Sales!$AR$1),MONTH(Sales!$AR$1),1)+INT((DAY(Sales!$AR$1)-1)/2)+'Cash Drivers'!AS$13,0)=EOMONTH($DI$1,0),Sales!AS$6*Sales!AS$7,0)+IF(EOMONTH(DATE(YEAR(Sales!$AO$1),MONTH(Sales!$AO$1),1)+INT((DAY(Sales!$AO$1)-1)/2)+'Cash Drivers'!AP$13,0)=EOMONTH($DI$1,0),Sales!AP$6*Sales!AP$7,0)+IF(EOMONTH(DATE(YEAR(Sales!$AL$1),MONTH(Sales!$AL$1),1)+INT((DAY(Sales!$AL$1)-1)/2)+'Cash Drivers'!AM$13,0)=EOMONTH($DI$1,0),Sales!AM$6*Sales!AM$7,0)+IF(EOMONTH(DATE(YEAR(Sales!$AI$1),MONTH(Sales!$AI$1),1)+INT((DAY(Sales!$AI$1)-1)/2)+'Cash Drivers'!AJ$13,0)=EOMONTH($DI$1,0),Sales!AJ$6*Sales!AJ$7,0)+IF(EOMONTH(DATE(YEAR(Sales!$AF$1),MONTH(Sales!$AF$1),1)+INT((DAY(Sales!$AF$1)-1)/2)+'Cash Drivers'!AG$13,0)=EOMONTH($DI$1,0),Sales!AG$6*Sales!AG$7,0)+IF(EOMONTH(DATE(YEAR(Sales!$AC$1),MONTH(Sales!$AC$1),1)+INT((DAY(Sales!$AC$1)-1)/2)+'Cash Drivers'!AD$13,0)=EOMONTH($DI$1,0),Sales!AD$6*Sales!AD$7,0)+IF(EOMONTH(DATE(YEAR(Sales!$Z$1),MONTH(Sales!$Z$1),1)+INT((DAY(Sales!$Z$1)-1)/2)+'Cash Drivers'!AA$13,0)=EOMONTH($DI$1,0),Sales!AA$6*Sales!AA$7,0)+IF(EOMONTH(DATE(YEAR(Sales!$W$1),MONTH(Sales!$W$1),1)+INT((DAY(Sales!$W$1)-1)/2)+'Cash Drivers'!X$13,0)=EOMONTH($DI$1,0),Sales!X$6*Sales!X$7,0)+IF(EOMONTH(DATE(YEAR(Sales!$T$1),MONTH(Sales!$T$1),1)+INT((DAY(Sales!$T$1)-1)/2)+'Cash Drivers'!U$13,0)=EOMONTH($DI$1,0),Sales!U$6*Sales!U$7,0)+IF(EOMONTH(DATE(YEAR(Sales!$Q$1),MONTH(Sales!$Q$1),1)+INT((DAY(Sales!$Q$1)-1)/2)+'Cash Drivers'!R$13,0)=EOMONTH($DI$1,0),Sales!R$6*Sales!R$7,0)+IF(EOMONTH(DATE(YEAR(Sales!$N$1),MONTH(Sales!$N$1),1)+INT((DAY(Sales!$N$1)-1)/2)+'Cash Drivers'!O$13,0)=EOMONTH($DI$1,0),Sales!O$6*Sales!O$7,0)+IF(EOMONTH(DATE(YEAR(Sales!$K$1),MONTH(Sales!$K$1),1)+INT((DAY(Sales!$K$1)-1)/2)+'Cash Drivers'!L$13,0)=EOMONTH($DI$1,0),Sales!L$6*Sales!L$7,0)+IF(EOMONTH('Cash Drivers'!$DL$30+'Cash Drivers'!DM$13,0)=EOMONTH($DI$1,0),'Cash Drivers'!$DL$32*Sales!$DL$60,0),0)</f>
        <v>22800</v>
      </c>
      <c r="DK24" s="60" t="n">
        <f aca="false">ROUND(IF(EOMONTH(DATE(YEAR(Sales!$DL$1),MONTH(Sales!$DL$1),1)+INT((DAY(Sales!$DL$1)-1)/2)+'Cash Drivers'!DN$13,0)=EOMONTH($DI$1,0),Sales!DN$6*Sales!DN$7,0)+IF(EOMONTH(DATE(YEAR(Sales!$DI$1),MONTH(Sales!$DI$1),1)+INT((DAY(Sales!$DI$1)-1)/2)+'Cash Drivers'!DK$13,0)=EOMONTH($DI$1,0),Sales!DK$6*Sales!DK$7,0)+IF(EOMONTH(DATE(YEAR(Sales!$DF$1),MONTH(Sales!$DF$1),1)+INT((DAY(Sales!$DF$1)-1)/2)+'Cash Drivers'!DH$13,0)=EOMONTH($DI$1,0),Sales!DH$6*Sales!DH$7,0)+IF(EOMONTH(DATE(YEAR(Sales!$DC$1),MONTH(Sales!$DC$1),1)+INT((DAY(Sales!$DC$1)-1)/2)+'Cash Drivers'!DE$13,0)=EOMONTH($DI$1,0),Sales!DE$6*Sales!DE$7,0)+IF(EOMONTH(DATE(YEAR(Sales!$CZ$1),MONTH(Sales!$CZ$1),1)+INT((DAY(Sales!$CZ$1)-1)/2)+'Cash Drivers'!DB$13,0)=EOMONTH($DI$1,0),Sales!DB$6*Sales!DB$7,0)+IF(EOMONTH(DATE(YEAR(Sales!$CW$1),MONTH(Sales!$CW$1),1)+INT((DAY(Sales!$CW$1)-1)/2)+'Cash Drivers'!CY$13,0)=EOMONTH($DI$1,0),Sales!CY$6*Sales!CY$7,0)+IF(EOMONTH(DATE(YEAR(Sales!$CT$1),MONTH(Sales!$CT$1),1)+INT((DAY(Sales!$CT$1)-1)/2)+'Cash Drivers'!CV$13,0)=EOMONTH($DI$1,0),Sales!CV$6*Sales!CV$7,0)+IF(EOMONTH(DATE(YEAR(Sales!$CQ$1),MONTH(Sales!$CQ$1),1)+INT((DAY(Sales!$CQ$1)-1)/2)+'Cash Drivers'!CS$13,0)=EOMONTH($DI$1,0),Sales!CS$6*Sales!CS$7,0)+IF(EOMONTH(DATE(YEAR(Sales!$CN$1),MONTH(Sales!$CN$1),1)+INT((DAY(Sales!$CN$1)-1)/2)+'Cash Drivers'!CP$13,0)=EOMONTH($DI$1,0),Sales!CP$6*Sales!CP$7,0)+IF(EOMONTH(DATE(YEAR(Sales!$CK$1),MONTH(Sales!$CK$1),1)+INT((DAY(Sales!$CK$1)-1)/2)+'Cash Drivers'!CM$13,0)=EOMONTH($DI$1,0),Sales!CM$6*Sales!CM$7,0)+IF(EOMONTH(DATE(YEAR(Sales!$CH$1),MONTH(Sales!$CH$1),1)+INT((DAY(Sales!$CH$1)-1)/2)+'Cash Drivers'!CJ$13,0)=EOMONTH($DI$1,0),Sales!CJ$6*Sales!CJ$7,0)+IF(EOMONTH(DATE(YEAR(Sales!$CE$1),MONTH(Sales!$CE$1),1)+INT((DAY(Sales!$CE$1)-1)/2)+'Cash Drivers'!CG$13,0)=EOMONTH($DI$1,0),Sales!CG$6*Sales!CG$7,0)+IF(EOMONTH(DATE(YEAR(Sales!$CB$1),MONTH(Sales!$CB$1),1)+INT((DAY(Sales!$CB$1)-1)/2)+'Cash Drivers'!CD$13,0)=EOMONTH($DI$1,0),Sales!CD$6*Sales!CD$7,0)+IF(EOMONTH(DATE(YEAR(Sales!$BY$1),MONTH(Sales!$BY$1),1)+INT((DAY(Sales!$BY$1)-1)/2)+'Cash Drivers'!CA$13,0)=EOMONTH($DI$1,0),Sales!CA$6*Sales!CA$7,0)+IF(EOMONTH(DATE(YEAR(Sales!$BV$1),MONTH(Sales!$BV$1),1)+INT((DAY(Sales!$BV$1)-1)/2)+'Cash Drivers'!BX$13,0)=EOMONTH($DI$1,0),Sales!BX$6*Sales!BX$7,0)+IF(EOMONTH(DATE(YEAR(Sales!$BS$1),MONTH(Sales!$BS$1),1)+INT((DAY(Sales!$BS$1)-1)/2)+'Cash Drivers'!BU$13,0)=EOMONTH($DI$1,0),Sales!BU$6*Sales!BU$7,0)+IF(EOMONTH(DATE(YEAR(Sales!$BP$1),MONTH(Sales!$BP$1),1)+INT((DAY(Sales!$BP$1)-1)/2)+'Cash Drivers'!BR$13,0)=EOMONTH($DI$1,0),Sales!BR$6*Sales!BR$7,0)+IF(EOMONTH(DATE(YEAR(Sales!$BM$1),MONTH(Sales!$BM$1),1)+INT((DAY(Sales!$BM$1)-1)/2)+'Cash Drivers'!BO$13,0)=EOMONTH($DI$1,0),Sales!BO$6*Sales!BO$7,0)+IF(EOMONTH(DATE(YEAR(Sales!$BJ$1),MONTH(Sales!$BJ$1),1)+INT((DAY(Sales!$BJ$1)-1)/2)+'Cash Drivers'!BL$13,0)=EOMONTH($DI$1,0),Sales!BL$6*Sales!BL$7,0)+IF(EOMONTH(DATE(YEAR(Sales!$BG$1),MONTH(Sales!$BG$1),1)+INT((DAY(Sales!$BG$1)-1)/2)+'Cash Drivers'!BI$13,0)=EOMONTH($DI$1,0),Sales!BI$6*Sales!BI$7,0)+IF(EOMONTH(DATE(YEAR(Sales!$BD$1),MONTH(Sales!$BD$1),1)+INT((DAY(Sales!$BD$1)-1)/2)+'Cash Drivers'!BF$13,0)=EOMONTH($DI$1,0),Sales!BF$6*Sales!BF$7,0)+IF(EOMONTH(DATE(YEAR(Sales!$BA$1),MONTH(Sales!$BA$1),1)+INT((DAY(Sales!$BA$1)-1)/2)+'Cash Drivers'!BC$13,0)=EOMONTH($DI$1,0),Sales!BC$6*Sales!BC$7,0)+IF(EOMONTH(DATE(YEAR(Sales!$AX$1),MONTH(Sales!$AX$1),1)+INT((DAY(Sales!$AX$1)-1)/2)+'Cash Drivers'!AZ$13,0)=EOMONTH($DI$1,0),Sales!AZ$6*Sales!AZ$7,0)+IF(EOMONTH(DATE(YEAR(Sales!$AU$1),MONTH(Sales!$AU$1),1)+INT((DAY(Sales!$AU$1)-1)/2)+'Cash Drivers'!AW$13,0)=EOMONTH($DI$1,0),Sales!AW$6*Sales!AW$7,0)+IF(EOMONTH(DATE(YEAR(Sales!$AR$1),MONTH(Sales!$AR$1),1)+INT((DAY(Sales!$AR$1)-1)/2)+'Cash Drivers'!AT$13,0)=EOMONTH($DI$1,0),Sales!AT$6*Sales!AT$7,0)+IF(EOMONTH(DATE(YEAR(Sales!$AO$1),MONTH(Sales!$AO$1),1)+INT((DAY(Sales!$AO$1)-1)/2)+'Cash Drivers'!AQ$13,0)=EOMONTH($DI$1,0),Sales!AQ$6*Sales!AQ$7,0)+IF(EOMONTH(DATE(YEAR(Sales!$AL$1),MONTH(Sales!$AL$1),1)+INT((DAY(Sales!$AL$1)-1)/2)+'Cash Drivers'!AN$13,0)=EOMONTH($DI$1,0),Sales!AN$6*Sales!AN$7,0)+IF(EOMONTH(DATE(YEAR(Sales!$AI$1),MONTH(Sales!$AI$1),1)+INT((DAY(Sales!$AI$1)-1)/2)+'Cash Drivers'!AK$13,0)=EOMONTH($DI$1,0),Sales!AK$6*Sales!AK$7,0)+IF(EOMONTH(DATE(YEAR(Sales!$AF$1),MONTH(Sales!$AF$1),1)+INT((DAY(Sales!$AF$1)-1)/2)+'Cash Drivers'!AH$13,0)=EOMONTH($DI$1,0),Sales!AH$6*Sales!AH$7,0)+IF(EOMONTH(DATE(YEAR(Sales!$AC$1),MONTH(Sales!$AC$1),1)+INT((DAY(Sales!$AC$1)-1)/2)+'Cash Drivers'!AE$13,0)=EOMONTH($DI$1,0),Sales!AE$6*Sales!AE$7,0)+IF(EOMONTH(DATE(YEAR(Sales!$Z$1),MONTH(Sales!$Z$1),1)+INT((DAY(Sales!$Z$1)-1)/2)+'Cash Drivers'!AB$13,0)=EOMONTH($DI$1,0),Sales!AB$6*Sales!AB$7,0)+IF(EOMONTH(DATE(YEAR(Sales!$W$1),MONTH(Sales!$W$1),1)+INT((DAY(Sales!$W$1)-1)/2)+'Cash Drivers'!Y$13,0)=EOMONTH($DI$1,0),Sales!Y$6*Sales!Y$7,0)+IF(EOMONTH(DATE(YEAR(Sales!$T$1),MONTH(Sales!$T$1),1)+INT((DAY(Sales!$T$1)-1)/2)+'Cash Drivers'!V$13,0)=EOMONTH($DI$1,0),Sales!V$6*Sales!V$7,0)+IF(EOMONTH(DATE(YEAR(Sales!$Q$1),MONTH(Sales!$Q$1),1)+INT((DAY(Sales!$Q$1)-1)/2)+'Cash Drivers'!S$13,0)=EOMONTH($DI$1,0),Sales!S$6*Sales!S$7,0)+IF(EOMONTH(DATE(YEAR(Sales!$N$1),MONTH(Sales!$N$1),1)+INT((DAY(Sales!$N$1)-1)/2)+'Cash Drivers'!P$13,0)=EOMONTH($DI$1,0),Sales!P$6*Sales!P$7,0)+IF(EOMONTH(DATE(YEAR(Sales!$K$1),MONTH(Sales!$K$1),1)+INT((DAY(Sales!$K$1)-1)/2)+'Cash Drivers'!M$13,0)=EOMONTH($DI$1,0),Sales!M$6*Sales!M$7,0)+IF(EOMONTH('Cash Drivers'!$DL$30+'Cash Drivers'!DN$13,0)=EOMONTH($DI$1,0),'Cash Drivers'!$DL$32*Sales!$DL$60,0),0)</f>
        <v>0</v>
      </c>
      <c r="DL24" s="58" t="n">
        <f aca="false">ROUND(IF(EOMONTH(DATE(YEAR(Sales!$DL$1),MONTH(Sales!$DL$1),1)+INT((DAY(Sales!$DL$1)-1)/2)+'Cash Drivers'!DL$13,0)=EOMONTH($DL$1,0),Sales!DL$6*Sales!DL$7,0)+IF(EOMONTH(DATE(YEAR(Sales!$DI$1),MONTH(Sales!$DI$1),1)+INT((DAY(Sales!$DI$1)-1)/2)+'Cash Drivers'!DI$13,0)=EOMONTH($DL$1,0),Sales!DI$6*Sales!DI$7,0)+IF(EOMONTH(DATE(YEAR(Sales!$DF$1),MONTH(Sales!$DF$1),1)+INT((DAY(Sales!$DF$1)-1)/2)+'Cash Drivers'!DF$13,0)=EOMONTH($DL$1,0),Sales!DF$6*Sales!DF$7,0)+IF(EOMONTH(DATE(YEAR(Sales!$DC$1),MONTH(Sales!$DC$1),1)+INT((DAY(Sales!$DC$1)-1)/2)+'Cash Drivers'!DC$13,0)=EOMONTH($DL$1,0),Sales!DC$6*Sales!DC$7,0)+IF(EOMONTH(DATE(YEAR(Sales!$CZ$1),MONTH(Sales!$CZ$1),1)+INT((DAY(Sales!$CZ$1)-1)/2)+'Cash Drivers'!CZ$13,0)=EOMONTH($DL$1,0),Sales!CZ$6*Sales!CZ$7,0)+IF(EOMONTH(DATE(YEAR(Sales!$CW$1),MONTH(Sales!$CW$1),1)+INT((DAY(Sales!$CW$1)-1)/2)+'Cash Drivers'!CW$13,0)=EOMONTH($DL$1,0),Sales!CW$6*Sales!CW$7,0)+IF(EOMONTH(DATE(YEAR(Sales!$CT$1),MONTH(Sales!$CT$1),1)+INT((DAY(Sales!$CT$1)-1)/2)+'Cash Drivers'!CT$13,0)=EOMONTH($DL$1,0),Sales!CT$6*Sales!CT$7,0)+IF(EOMONTH(DATE(YEAR(Sales!$CQ$1),MONTH(Sales!$CQ$1),1)+INT((DAY(Sales!$CQ$1)-1)/2)+'Cash Drivers'!CQ$13,0)=EOMONTH($DL$1,0),Sales!CQ$6*Sales!CQ$7,0)+IF(EOMONTH(DATE(YEAR(Sales!$CN$1),MONTH(Sales!$CN$1),1)+INT((DAY(Sales!$CN$1)-1)/2)+'Cash Drivers'!CN$13,0)=EOMONTH($DL$1,0),Sales!CN$6*Sales!CN$7,0)+IF(EOMONTH(DATE(YEAR(Sales!$CK$1),MONTH(Sales!$CK$1),1)+INT((DAY(Sales!$CK$1)-1)/2)+'Cash Drivers'!CK$13,0)=EOMONTH($DL$1,0),Sales!CK$6*Sales!CK$7,0)+IF(EOMONTH(DATE(YEAR(Sales!$CH$1),MONTH(Sales!$CH$1),1)+INT((DAY(Sales!$CH$1)-1)/2)+'Cash Drivers'!CH$13,0)=EOMONTH($DL$1,0),Sales!CH$6*Sales!CH$7,0)+IF(EOMONTH(DATE(YEAR(Sales!$CE$1),MONTH(Sales!$CE$1),1)+INT((DAY(Sales!$CE$1)-1)/2)+'Cash Drivers'!CE$13,0)=EOMONTH($DL$1,0),Sales!CE$6*Sales!CE$7,0)+IF(EOMONTH(DATE(YEAR(Sales!$CB$1),MONTH(Sales!$CB$1),1)+INT((DAY(Sales!$CB$1)-1)/2)+'Cash Drivers'!CB$13,0)=EOMONTH($DL$1,0),Sales!CB$6*Sales!CB$7,0)+IF(EOMONTH(DATE(YEAR(Sales!$BY$1),MONTH(Sales!$BY$1),1)+INT((DAY(Sales!$BY$1)-1)/2)+'Cash Drivers'!BY$13,0)=EOMONTH($DL$1,0),Sales!BY$6*Sales!BY$7,0)+IF(EOMONTH(DATE(YEAR(Sales!$BV$1),MONTH(Sales!$BV$1),1)+INT((DAY(Sales!$BV$1)-1)/2)+'Cash Drivers'!BV$13,0)=EOMONTH($DL$1,0),Sales!BV$6*Sales!BV$7,0)+IF(EOMONTH(DATE(YEAR(Sales!$BS$1),MONTH(Sales!$BS$1),1)+INT((DAY(Sales!$BS$1)-1)/2)+'Cash Drivers'!BS$13,0)=EOMONTH($DL$1,0),Sales!BS$6*Sales!BS$7,0)+IF(EOMONTH(DATE(YEAR(Sales!$BP$1),MONTH(Sales!$BP$1),1)+INT((DAY(Sales!$BP$1)-1)/2)+'Cash Drivers'!BP$13,0)=EOMONTH($DL$1,0),Sales!BP$6*Sales!BP$7,0)+IF(EOMONTH(DATE(YEAR(Sales!$BM$1),MONTH(Sales!$BM$1),1)+INT((DAY(Sales!$BM$1)-1)/2)+'Cash Drivers'!BM$13,0)=EOMONTH($DL$1,0),Sales!BM$6*Sales!BM$7,0)+IF(EOMONTH(DATE(YEAR(Sales!$BJ$1),MONTH(Sales!$BJ$1),1)+INT((DAY(Sales!$BJ$1)-1)/2)+'Cash Drivers'!BJ$13,0)=EOMONTH($DL$1,0),Sales!BJ$6*Sales!BJ$7,0)+IF(EOMONTH(DATE(YEAR(Sales!$BG$1),MONTH(Sales!$BG$1),1)+INT((DAY(Sales!$BG$1)-1)/2)+'Cash Drivers'!BG$13,0)=EOMONTH($DL$1,0),Sales!BG$6*Sales!BG$7,0)+IF(EOMONTH(DATE(YEAR(Sales!$BD$1),MONTH(Sales!$BD$1),1)+INT((DAY(Sales!$BD$1)-1)/2)+'Cash Drivers'!BD$13,0)=EOMONTH($DL$1,0),Sales!BD$6*Sales!BD$7,0)+IF(EOMONTH(DATE(YEAR(Sales!$BA$1),MONTH(Sales!$BA$1),1)+INT((DAY(Sales!$BA$1)-1)/2)+'Cash Drivers'!BA$13,0)=EOMONTH($DL$1,0),Sales!BA$6*Sales!BA$7,0)+IF(EOMONTH(DATE(YEAR(Sales!$AX$1),MONTH(Sales!$AX$1),1)+INT((DAY(Sales!$AX$1)-1)/2)+'Cash Drivers'!AX$13,0)=EOMONTH($DL$1,0),Sales!AX$6*Sales!AX$7,0)+IF(EOMONTH(DATE(YEAR(Sales!$AU$1),MONTH(Sales!$AU$1),1)+INT((DAY(Sales!$AU$1)-1)/2)+'Cash Drivers'!AU$13,0)=EOMONTH($DL$1,0),Sales!AU$6*Sales!AU$7,0)+IF(EOMONTH(DATE(YEAR(Sales!$AR$1),MONTH(Sales!$AR$1),1)+INT((DAY(Sales!$AR$1)-1)/2)+'Cash Drivers'!AR$13,0)=EOMONTH($DL$1,0),Sales!AR$6*Sales!AR$7,0)+IF(EOMONTH(DATE(YEAR(Sales!$AO$1),MONTH(Sales!$AO$1),1)+INT((DAY(Sales!$AO$1)-1)/2)+'Cash Drivers'!AO$13,0)=EOMONTH($DL$1,0),Sales!AO$6*Sales!AO$7,0)+IF(EOMONTH(DATE(YEAR(Sales!$AL$1),MONTH(Sales!$AL$1),1)+INT((DAY(Sales!$AL$1)-1)/2)+'Cash Drivers'!AL$13,0)=EOMONTH($DL$1,0),Sales!AL$6*Sales!AL$7,0)+IF(EOMONTH(DATE(YEAR(Sales!$AI$1),MONTH(Sales!$AI$1),1)+INT((DAY(Sales!$AI$1)-1)/2)+'Cash Drivers'!AI$13,0)=EOMONTH($DL$1,0),Sales!AI$6*Sales!AI$7,0)+IF(EOMONTH(DATE(YEAR(Sales!$AF$1),MONTH(Sales!$AF$1),1)+INT((DAY(Sales!$AF$1)-1)/2)+'Cash Drivers'!AF$13,0)=EOMONTH($DL$1,0),Sales!AF$6*Sales!AF$7,0)+IF(EOMONTH(DATE(YEAR(Sales!$AC$1),MONTH(Sales!$AC$1),1)+INT((DAY(Sales!$AC$1)-1)/2)+'Cash Drivers'!AC$13,0)=EOMONTH($DL$1,0),Sales!AC$6*Sales!AC$7,0)+IF(EOMONTH(DATE(YEAR(Sales!$Z$1),MONTH(Sales!$Z$1),1)+INT((DAY(Sales!$Z$1)-1)/2)+'Cash Drivers'!Z$13,0)=EOMONTH($DL$1,0),Sales!Z$6*Sales!Z$7,0)+IF(EOMONTH(DATE(YEAR(Sales!$W$1),MONTH(Sales!$W$1),1)+INT((DAY(Sales!$W$1)-1)/2)+'Cash Drivers'!W$13,0)=EOMONTH($DL$1,0),Sales!W$6*Sales!W$7,0)+IF(EOMONTH(DATE(YEAR(Sales!$T$1),MONTH(Sales!$T$1),1)+INT((DAY(Sales!$T$1)-1)/2)+'Cash Drivers'!T$13,0)=EOMONTH($DL$1,0),Sales!T$6*Sales!T$7,0)+IF(EOMONTH(DATE(YEAR(Sales!$Q$1),MONTH(Sales!$Q$1),1)+INT((DAY(Sales!$Q$1)-1)/2)+'Cash Drivers'!Q$13,0)=EOMONTH($DL$1,0),Sales!Q$6*Sales!Q$7,0)+IF(EOMONTH(DATE(YEAR(Sales!$N$1),MONTH(Sales!$N$1),1)+INT((DAY(Sales!$N$1)-1)/2)+'Cash Drivers'!N$13,0)=EOMONTH($DL$1,0),Sales!N$6*Sales!N$7,0)+IF(EOMONTH(DATE(YEAR(Sales!$K$1),MONTH(Sales!$K$1),1)+INT((DAY(Sales!$K$1)-1)/2)+'Cash Drivers'!K$13,0)=EOMONTH($DL$1,0),Sales!K$6*Sales!K$7,0)+IF(EOMONTH('Cash Drivers'!$DL$30+'Cash Drivers'!DL$13,0)=EOMONTH($DL$1,0),'Cash Drivers'!$DL$32*Sales!$DL$60,0),0)</f>
        <v>0</v>
      </c>
      <c r="DM24" s="59" t="n">
        <f aca="false">ROUND(IF(EOMONTH(DATE(YEAR(Sales!$DL$1),MONTH(Sales!$DL$1),1)+INT((DAY(Sales!$DL$1)-1)/2)+'Cash Drivers'!DM$13,0)=EOMONTH($DL$1,0),Sales!DM$6*Sales!DM$7,0)+IF(EOMONTH(DATE(YEAR(Sales!$DI$1),MONTH(Sales!$DI$1),1)+INT((DAY(Sales!$DI$1)-1)/2)+'Cash Drivers'!DJ$13,0)=EOMONTH($DL$1,0),Sales!DJ$6*Sales!DJ$7,0)+IF(EOMONTH(DATE(YEAR(Sales!$DF$1),MONTH(Sales!$DF$1),1)+INT((DAY(Sales!$DF$1)-1)/2)+'Cash Drivers'!DG$13,0)=EOMONTH($DL$1,0),Sales!DG$6*Sales!DG$7,0)+IF(EOMONTH(DATE(YEAR(Sales!$DC$1),MONTH(Sales!$DC$1),1)+INT((DAY(Sales!$DC$1)-1)/2)+'Cash Drivers'!DD$13,0)=EOMONTH($DL$1,0),Sales!DD$6*Sales!DD$7,0)+IF(EOMONTH(DATE(YEAR(Sales!$CZ$1),MONTH(Sales!$CZ$1),1)+INT((DAY(Sales!$CZ$1)-1)/2)+'Cash Drivers'!DA$13,0)=EOMONTH($DL$1,0),Sales!DA$6*Sales!DA$7,0)+IF(EOMONTH(DATE(YEAR(Sales!$CW$1),MONTH(Sales!$CW$1),1)+INT((DAY(Sales!$CW$1)-1)/2)+'Cash Drivers'!CX$13,0)=EOMONTH($DL$1,0),Sales!CX$6*Sales!CX$7,0)+IF(EOMONTH(DATE(YEAR(Sales!$CT$1),MONTH(Sales!$CT$1),1)+INT((DAY(Sales!$CT$1)-1)/2)+'Cash Drivers'!CU$13,0)=EOMONTH($DL$1,0),Sales!CU$6*Sales!CU$7,0)+IF(EOMONTH(DATE(YEAR(Sales!$CQ$1),MONTH(Sales!$CQ$1),1)+INT((DAY(Sales!$CQ$1)-1)/2)+'Cash Drivers'!CR$13,0)=EOMONTH($DL$1,0),Sales!CR$6*Sales!CR$7,0)+IF(EOMONTH(DATE(YEAR(Sales!$CN$1),MONTH(Sales!$CN$1),1)+INT((DAY(Sales!$CN$1)-1)/2)+'Cash Drivers'!CO$13,0)=EOMONTH($DL$1,0),Sales!CO$6*Sales!CO$7,0)+IF(EOMONTH(DATE(YEAR(Sales!$CK$1),MONTH(Sales!$CK$1),1)+INT((DAY(Sales!$CK$1)-1)/2)+'Cash Drivers'!CL$13,0)=EOMONTH($DL$1,0),Sales!CL$6*Sales!CL$7,0)+IF(EOMONTH(DATE(YEAR(Sales!$CH$1),MONTH(Sales!$CH$1),1)+INT((DAY(Sales!$CH$1)-1)/2)+'Cash Drivers'!CI$13,0)=EOMONTH($DL$1,0),Sales!CI$6*Sales!CI$7,0)+IF(EOMONTH(DATE(YEAR(Sales!$CE$1),MONTH(Sales!$CE$1),1)+INT((DAY(Sales!$CE$1)-1)/2)+'Cash Drivers'!CF$13,0)=EOMONTH($DL$1,0),Sales!CF$6*Sales!CF$7,0)+IF(EOMONTH(DATE(YEAR(Sales!$CB$1),MONTH(Sales!$CB$1),1)+INT((DAY(Sales!$CB$1)-1)/2)+'Cash Drivers'!CC$13,0)=EOMONTH($DL$1,0),Sales!CC$6*Sales!CC$7,0)+IF(EOMONTH(DATE(YEAR(Sales!$BY$1),MONTH(Sales!$BY$1),1)+INT((DAY(Sales!$BY$1)-1)/2)+'Cash Drivers'!BZ$13,0)=EOMONTH($DL$1,0),Sales!BZ$6*Sales!BZ$7,0)+IF(EOMONTH(DATE(YEAR(Sales!$BV$1),MONTH(Sales!$BV$1),1)+INT((DAY(Sales!$BV$1)-1)/2)+'Cash Drivers'!BW$13,0)=EOMONTH($DL$1,0),Sales!BW$6*Sales!BW$7,0)+IF(EOMONTH(DATE(YEAR(Sales!$BS$1),MONTH(Sales!$BS$1),1)+INT((DAY(Sales!$BS$1)-1)/2)+'Cash Drivers'!BT$13,0)=EOMONTH($DL$1,0),Sales!BT$6*Sales!BT$7,0)+IF(EOMONTH(DATE(YEAR(Sales!$BP$1),MONTH(Sales!$BP$1),1)+INT((DAY(Sales!$BP$1)-1)/2)+'Cash Drivers'!BQ$13,0)=EOMONTH($DL$1,0),Sales!BQ$6*Sales!BQ$7,0)+IF(EOMONTH(DATE(YEAR(Sales!$BM$1),MONTH(Sales!$BM$1),1)+INT((DAY(Sales!$BM$1)-1)/2)+'Cash Drivers'!BN$13,0)=EOMONTH($DL$1,0),Sales!BN$6*Sales!BN$7,0)+IF(EOMONTH(DATE(YEAR(Sales!$BJ$1),MONTH(Sales!$BJ$1),1)+INT((DAY(Sales!$BJ$1)-1)/2)+'Cash Drivers'!BK$13,0)=EOMONTH($DL$1,0),Sales!BK$6*Sales!BK$7,0)+IF(EOMONTH(DATE(YEAR(Sales!$BG$1),MONTH(Sales!$BG$1),1)+INT((DAY(Sales!$BG$1)-1)/2)+'Cash Drivers'!BH$13,0)=EOMONTH($DL$1,0),Sales!BH$6*Sales!BH$7,0)+IF(EOMONTH(DATE(YEAR(Sales!$BD$1),MONTH(Sales!$BD$1),1)+INT((DAY(Sales!$BD$1)-1)/2)+'Cash Drivers'!BE$13,0)=EOMONTH($DL$1,0),Sales!BE$6*Sales!BE$7,0)+IF(EOMONTH(DATE(YEAR(Sales!$BA$1),MONTH(Sales!$BA$1),1)+INT((DAY(Sales!$BA$1)-1)/2)+'Cash Drivers'!BB$13,0)=EOMONTH($DL$1,0),Sales!BB$6*Sales!BB$7,0)+IF(EOMONTH(DATE(YEAR(Sales!$AX$1),MONTH(Sales!$AX$1),1)+INT((DAY(Sales!$AX$1)-1)/2)+'Cash Drivers'!AY$13,0)=EOMONTH($DL$1,0),Sales!AY$6*Sales!AY$7,0)+IF(EOMONTH(DATE(YEAR(Sales!$AU$1),MONTH(Sales!$AU$1),1)+INT((DAY(Sales!$AU$1)-1)/2)+'Cash Drivers'!AV$13,0)=EOMONTH($DL$1,0),Sales!AV$6*Sales!AV$7,0)+IF(EOMONTH(DATE(YEAR(Sales!$AR$1),MONTH(Sales!$AR$1),1)+INT((DAY(Sales!$AR$1)-1)/2)+'Cash Drivers'!AS$13,0)=EOMONTH($DL$1,0),Sales!AS$6*Sales!AS$7,0)+IF(EOMONTH(DATE(YEAR(Sales!$AO$1),MONTH(Sales!$AO$1),1)+INT((DAY(Sales!$AO$1)-1)/2)+'Cash Drivers'!AP$13,0)=EOMONTH($DL$1,0),Sales!AP$6*Sales!AP$7,0)+IF(EOMONTH(DATE(YEAR(Sales!$AL$1),MONTH(Sales!$AL$1),1)+INT((DAY(Sales!$AL$1)-1)/2)+'Cash Drivers'!AM$13,0)=EOMONTH($DL$1,0),Sales!AM$6*Sales!AM$7,0)+IF(EOMONTH(DATE(YEAR(Sales!$AI$1),MONTH(Sales!$AI$1),1)+INT((DAY(Sales!$AI$1)-1)/2)+'Cash Drivers'!AJ$13,0)=EOMONTH($DL$1,0),Sales!AJ$6*Sales!AJ$7,0)+IF(EOMONTH(DATE(YEAR(Sales!$AF$1),MONTH(Sales!$AF$1),1)+INT((DAY(Sales!$AF$1)-1)/2)+'Cash Drivers'!AG$13,0)=EOMONTH($DL$1,0),Sales!AG$6*Sales!AG$7,0)+IF(EOMONTH(DATE(YEAR(Sales!$AC$1),MONTH(Sales!$AC$1),1)+INT((DAY(Sales!$AC$1)-1)/2)+'Cash Drivers'!AD$13,0)=EOMONTH($DL$1,0),Sales!AD$6*Sales!AD$7,0)+IF(EOMONTH(DATE(YEAR(Sales!$Z$1),MONTH(Sales!$Z$1),1)+INT((DAY(Sales!$Z$1)-1)/2)+'Cash Drivers'!AA$13,0)=EOMONTH($DL$1,0),Sales!AA$6*Sales!AA$7,0)+IF(EOMONTH(DATE(YEAR(Sales!$W$1),MONTH(Sales!$W$1),1)+INT((DAY(Sales!$W$1)-1)/2)+'Cash Drivers'!X$13,0)=EOMONTH($DL$1,0),Sales!X$6*Sales!X$7,0)+IF(EOMONTH(DATE(YEAR(Sales!$T$1),MONTH(Sales!$T$1),1)+INT((DAY(Sales!$T$1)-1)/2)+'Cash Drivers'!U$13,0)=EOMONTH($DL$1,0),Sales!U$6*Sales!U$7,0)+IF(EOMONTH(DATE(YEAR(Sales!$Q$1),MONTH(Sales!$Q$1),1)+INT((DAY(Sales!$Q$1)-1)/2)+'Cash Drivers'!R$13,0)=EOMONTH($DL$1,0),Sales!R$6*Sales!R$7,0)+IF(EOMONTH(DATE(YEAR(Sales!$N$1),MONTH(Sales!$N$1),1)+INT((DAY(Sales!$N$1)-1)/2)+'Cash Drivers'!O$13,0)=EOMONTH($DL$1,0),Sales!O$6*Sales!O$7,0)+IF(EOMONTH(DATE(YEAR(Sales!$K$1),MONTH(Sales!$K$1),1)+INT((DAY(Sales!$K$1)-1)/2)+'Cash Drivers'!L$13,0)=EOMONTH($DL$1,0),Sales!L$6*Sales!L$7,0)+IF(EOMONTH('Cash Drivers'!$DL$30+'Cash Drivers'!DM$13,0)=EOMONTH($DL$1,0),'Cash Drivers'!$DL$32*Sales!$DL$60,0),0)</f>
        <v>0</v>
      </c>
      <c r="DN24" s="60" t="n">
        <f aca="false">ROUND(IF(EOMONTH(DATE(YEAR(Sales!$DL$1),MONTH(Sales!$DL$1),1)+INT((DAY(Sales!$DL$1)-1)/2)+'Cash Drivers'!DN$13,0)=EOMONTH($DL$1,0),Sales!DN$6*Sales!DN$7,0)+IF(EOMONTH(DATE(YEAR(Sales!$DI$1),MONTH(Sales!$DI$1),1)+INT((DAY(Sales!$DI$1)-1)/2)+'Cash Drivers'!DK$13,0)=EOMONTH($DL$1,0),Sales!DK$6*Sales!DK$7,0)+IF(EOMONTH(DATE(YEAR(Sales!$DF$1),MONTH(Sales!$DF$1),1)+INT((DAY(Sales!$DF$1)-1)/2)+'Cash Drivers'!DH$13,0)=EOMONTH($DL$1,0),Sales!DH$6*Sales!DH$7,0)+IF(EOMONTH(DATE(YEAR(Sales!$DC$1),MONTH(Sales!$DC$1),1)+INT((DAY(Sales!$DC$1)-1)/2)+'Cash Drivers'!DE$13,0)=EOMONTH($DL$1,0),Sales!DE$6*Sales!DE$7,0)+IF(EOMONTH(DATE(YEAR(Sales!$CZ$1),MONTH(Sales!$CZ$1),1)+INT((DAY(Sales!$CZ$1)-1)/2)+'Cash Drivers'!DB$13,0)=EOMONTH($DL$1,0),Sales!DB$6*Sales!DB$7,0)+IF(EOMONTH(DATE(YEAR(Sales!$CW$1),MONTH(Sales!$CW$1),1)+INT((DAY(Sales!$CW$1)-1)/2)+'Cash Drivers'!CY$13,0)=EOMONTH($DL$1,0),Sales!CY$6*Sales!CY$7,0)+IF(EOMONTH(DATE(YEAR(Sales!$CT$1),MONTH(Sales!$CT$1),1)+INT((DAY(Sales!$CT$1)-1)/2)+'Cash Drivers'!CV$13,0)=EOMONTH($DL$1,0),Sales!CV$6*Sales!CV$7,0)+IF(EOMONTH(DATE(YEAR(Sales!$CQ$1),MONTH(Sales!$CQ$1),1)+INT((DAY(Sales!$CQ$1)-1)/2)+'Cash Drivers'!CS$13,0)=EOMONTH($DL$1,0),Sales!CS$6*Sales!CS$7,0)+IF(EOMONTH(DATE(YEAR(Sales!$CN$1),MONTH(Sales!$CN$1),1)+INT((DAY(Sales!$CN$1)-1)/2)+'Cash Drivers'!CP$13,0)=EOMONTH($DL$1,0),Sales!CP$6*Sales!CP$7,0)+IF(EOMONTH(DATE(YEAR(Sales!$CK$1),MONTH(Sales!$CK$1),1)+INT((DAY(Sales!$CK$1)-1)/2)+'Cash Drivers'!CM$13,0)=EOMONTH($DL$1,0),Sales!CM$6*Sales!CM$7,0)+IF(EOMONTH(DATE(YEAR(Sales!$CH$1),MONTH(Sales!$CH$1),1)+INT((DAY(Sales!$CH$1)-1)/2)+'Cash Drivers'!CJ$13,0)=EOMONTH($DL$1,0),Sales!CJ$6*Sales!CJ$7,0)+IF(EOMONTH(DATE(YEAR(Sales!$CE$1),MONTH(Sales!$CE$1),1)+INT((DAY(Sales!$CE$1)-1)/2)+'Cash Drivers'!CG$13,0)=EOMONTH($DL$1,0),Sales!CG$6*Sales!CG$7,0)+IF(EOMONTH(DATE(YEAR(Sales!$CB$1),MONTH(Sales!$CB$1),1)+INT((DAY(Sales!$CB$1)-1)/2)+'Cash Drivers'!CD$13,0)=EOMONTH($DL$1,0),Sales!CD$6*Sales!CD$7,0)+IF(EOMONTH(DATE(YEAR(Sales!$BY$1),MONTH(Sales!$BY$1),1)+INT((DAY(Sales!$BY$1)-1)/2)+'Cash Drivers'!CA$13,0)=EOMONTH($DL$1,0),Sales!CA$6*Sales!CA$7,0)+IF(EOMONTH(DATE(YEAR(Sales!$BV$1),MONTH(Sales!$BV$1),1)+INT((DAY(Sales!$BV$1)-1)/2)+'Cash Drivers'!BX$13,0)=EOMONTH($DL$1,0),Sales!BX$6*Sales!BX$7,0)+IF(EOMONTH(DATE(YEAR(Sales!$BS$1),MONTH(Sales!$BS$1),1)+INT((DAY(Sales!$BS$1)-1)/2)+'Cash Drivers'!BU$13,0)=EOMONTH($DL$1,0),Sales!BU$6*Sales!BU$7,0)+IF(EOMONTH(DATE(YEAR(Sales!$BP$1),MONTH(Sales!$BP$1),1)+INT((DAY(Sales!$BP$1)-1)/2)+'Cash Drivers'!BR$13,0)=EOMONTH($DL$1,0),Sales!BR$6*Sales!BR$7,0)+IF(EOMONTH(DATE(YEAR(Sales!$BM$1),MONTH(Sales!$BM$1),1)+INT((DAY(Sales!$BM$1)-1)/2)+'Cash Drivers'!BO$13,0)=EOMONTH($DL$1,0),Sales!BO$6*Sales!BO$7,0)+IF(EOMONTH(DATE(YEAR(Sales!$BJ$1),MONTH(Sales!$BJ$1),1)+INT((DAY(Sales!$BJ$1)-1)/2)+'Cash Drivers'!BL$13,0)=EOMONTH($DL$1,0),Sales!BL$6*Sales!BL$7,0)+IF(EOMONTH(DATE(YEAR(Sales!$BG$1),MONTH(Sales!$BG$1),1)+INT((DAY(Sales!$BG$1)-1)/2)+'Cash Drivers'!BI$13,0)=EOMONTH($DL$1,0),Sales!BI$6*Sales!BI$7,0)+IF(EOMONTH(DATE(YEAR(Sales!$BD$1),MONTH(Sales!$BD$1),1)+INT((DAY(Sales!$BD$1)-1)/2)+'Cash Drivers'!BF$13,0)=EOMONTH($DL$1,0),Sales!BF$6*Sales!BF$7,0)+IF(EOMONTH(DATE(YEAR(Sales!$BA$1),MONTH(Sales!$BA$1),1)+INT((DAY(Sales!$BA$1)-1)/2)+'Cash Drivers'!BC$13,0)=EOMONTH($DL$1,0),Sales!BC$6*Sales!BC$7,0)+IF(EOMONTH(DATE(YEAR(Sales!$AX$1),MONTH(Sales!$AX$1),1)+INT((DAY(Sales!$AX$1)-1)/2)+'Cash Drivers'!AZ$13,0)=EOMONTH($DL$1,0),Sales!AZ$6*Sales!AZ$7,0)+IF(EOMONTH(DATE(YEAR(Sales!$AU$1),MONTH(Sales!$AU$1),1)+INT((DAY(Sales!$AU$1)-1)/2)+'Cash Drivers'!AW$13,0)=EOMONTH($DL$1,0),Sales!AW$6*Sales!AW$7,0)+IF(EOMONTH(DATE(YEAR(Sales!$AR$1),MONTH(Sales!$AR$1),1)+INT((DAY(Sales!$AR$1)-1)/2)+'Cash Drivers'!AT$13,0)=EOMONTH($DL$1,0),Sales!AT$6*Sales!AT$7,0)+IF(EOMONTH(DATE(YEAR(Sales!$AO$1),MONTH(Sales!$AO$1),1)+INT((DAY(Sales!$AO$1)-1)/2)+'Cash Drivers'!AQ$13,0)=EOMONTH($DL$1,0),Sales!AQ$6*Sales!AQ$7,0)+IF(EOMONTH(DATE(YEAR(Sales!$AL$1),MONTH(Sales!$AL$1),1)+INT((DAY(Sales!$AL$1)-1)/2)+'Cash Drivers'!AN$13,0)=EOMONTH($DL$1,0),Sales!AN$6*Sales!AN$7,0)+IF(EOMONTH(DATE(YEAR(Sales!$AI$1),MONTH(Sales!$AI$1),1)+INT((DAY(Sales!$AI$1)-1)/2)+'Cash Drivers'!AK$13,0)=EOMONTH($DL$1,0),Sales!AK$6*Sales!AK$7,0)+IF(EOMONTH(DATE(YEAR(Sales!$AF$1),MONTH(Sales!$AF$1),1)+INT((DAY(Sales!$AF$1)-1)/2)+'Cash Drivers'!AH$13,0)=EOMONTH($DL$1,0),Sales!AH$6*Sales!AH$7,0)+IF(EOMONTH(DATE(YEAR(Sales!$AC$1),MONTH(Sales!$AC$1),1)+INT((DAY(Sales!$AC$1)-1)/2)+'Cash Drivers'!AE$13,0)=EOMONTH($DL$1,0),Sales!AE$6*Sales!AE$7,0)+IF(EOMONTH(DATE(YEAR(Sales!$Z$1),MONTH(Sales!$Z$1),1)+INT((DAY(Sales!$Z$1)-1)/2)+'Cash Drivers'!AB$13,0)=EOMONTH($DL$1,0),Sales!AB$6*Sales!AB$7,0)+IF(EOMONTH(DATE(YEAR(Sales!$W$1),MONTH(Sales!$W$1),1)+INT((DAY(Sales!$W$1)-1)/2)+'Cash Drivers'!Y$13,0)=EOMONTH($DL$1,0),Sales!Y$6*Sales!Y$7,0)+IF(EOMONTH(DATE(YEAR(Sales!$T$1),MONTH(Sales!$T$1),1)+INT((DAY(Sales!$T$1)-1)/2)+'Cash Drivers'!V$13,0)=EOMONTH($DL$1,0),Sales!V$6*Sales!V$7,0)+IF(EOMONTH(DATE(YEAR(Sales!$Q$1),MONTH(Sales!$Q$1),1)+INT((DAY(Sales!$Q$1)-1)/2)+'Cash Drivers'!S$13,0)=EOMONTH($DL$1,0),Sales!S$6*Sales!S$7,0)+IF(EOMONTH(DATE(YEAR(Sales!$N$1),MONTH(Sales!$N$1),1)+INT((DAY(Sales!$N$1)-1)/2)+'Cash Drivers'!P$13,0)=EOMONTH($DL$1,0),Sales!P$6*Sales!P$7,0)+IF(EOMONTH(DATE(YEAR(Sales!$K$1),MONTH(Sales!$K$1),1)+INT((DAY(Sales!$K$1)-1)/2)+'Cash Drivers'!M$13,0)=EOMONTH($DL$1,0),Sales!M$6*Sales!M$7,0)+IF(EOMONTH('Cash Drivers'!$DL$30+'Cash Drivers'!DN$13,0)=EOMONTH($DL$1,0),'Cash Drivers'!$DL$32*Sales!$DL$60,0),0)</f>
        <v>0</v>
      </c>
    </row>
    <row r="25" customFormat="false" ht="18" hidden="false" customHeight="true" outlineLevel="0" collapsed="false">
      <c r="A25" s="39" t="s">
        <v>149</v>
      </c>
      <c r="B25" s="57" t="str">
        <f aca="false">IF(COUNT(AR25,AO25,AL25,AI25,AF25,AC25,Z25,W25,T25,Q25,N25,K25)=0,"",SUM(AR25,AO25,AL25,AI25,AF25,AC25,Z25,W25,T25,Q25,N25,K25))</f>
        <v/>
      </c>
      <c r="C25" s="57" t="n">
        <f aca="false">SUM(AS25,AP25,AM25,AJ25,AG25,AD25,AA25,X25,U25,R25,O25,L25)</f>
        <v>580563</v>
      </c>
      <c r="D25" s="57" t="n">
        <f aca="false">SUM(AT25,AQ25,AN25,AK25,AH25,AE25,AB25,Y25,V25,S25,P25,M25)</f>
        <v>581871</v>
      </c>
      <c r="E25" s="57" t="str">
        <f aca="false">IF(COUNT(CB25,BY25,BV25,BS25,BP25,BM25,BJ25,BG25,BD25,BA25,AX25,AU25)=0,"",SUM(CB25,BY25,BV25,BS25,BP25,BM25,BJ25,BG25,BD25,BA25,AX25,AU25))</f>
        <v/>
      </c>
      <c r="F25" s="57" t="n">
        <f aca="false">SUM(CC25,BZ25,BW25,BT25,BQ25,BN25,BK25,BH25,BE25,BB25,AY25,AV25)</f>
        <v>399177</v>
      </c>
      <c r="G25" s="57" t="n">
        <f aca="false">SUM(CD25,CA25,BX25,BU25,BR25,BO25,BL25,BI25,BF25,BC25,AZ25,AW25)</f>
        <v>400131</v>
      </c>
      <c r="H25" s="57" t="n">
        <f aca="false">IF(COUNT(DL25,DI25,DF25,DC25,CZ25,CW25,CT25,CQ25,CN25,CK25,CH25,CE25)=0,"",SUM(DL25,DI25,DF25,DC25,CZ25,CW25,CT25,CQ25,CN25,CK25,CH25,CE25))</f>
        <v>36000</v>
      </c>
      <c r="I25" s="57" t="n">
        <f aca="false">SUM(DM25,DJ25,DG25,DD25,DA25,CX25,CU25,CR25,CO25,CL25,CI25,CF25)</f>
        <v>302598</v>
      </c>
      <c r="J25" s="57" t="n">
        <f aca="false">SUM(DN25,DK25,DH25,DE25,DB25,CY25,CV25,CS25,CP25,CM25,CJ25,CG25)</f>
        <v>276849</v>
      </c>
      <c r="K25" s="58" t="str">
        <f aca="false">IF(Sales!K8="","",Sales!K8)</f>
        <v/>
      </c>
      <c r="L25" s="59" t="n">
        <f aca="false">IF(L$26,K25,IF(L17+L18=0,0,ROUND(MIN(L17+L18,L16)*(L23+L24)/(L17+L18),0)))</f>
        <v>52098</v>
      </c>
      <c r="M25" s="60" t="n">
        <f aca="false">IF(M17+M18=0,0,ROUND(MIN(M17+M18,M16)*(M23+M24)/(M17+M18),0))</f>
        <v>52212</v>
      </c>
      <c r="N25" s="58" t="str">
        <f aca="false">IF(Sales!N8="","",Sales!N8)</f>
        <v/>
      </c>
      <c r="O25" s="59" t="n">
        <f aca="false">IF(O$26,N25,IF(O17+O18=0,0,ROUND(MIN(O17+O18,O16)*(O23+O24)/(O17+O18),0)))</f>
        <v>51813</v>
      </c>
      <c r="P25" s="60" t="n">
        <f aca="false">IF(P17+P18=0,0,ROUND(MIN(P17+P18,P16)*(P23+P24)/(P17+P18),0))</f>
        <v>51927</v>
      </c>
      <c r="Q25" s="58" t="str">
        <f aca="false">IF(Sales!Q8="","",Sales!Q8)</f>
        <v/>
      </c>
      <c r="R25" s="59" t="n">
        <f aca="false">IF(R$26,Q25,IF(R17+R18=0,0,ROUND(MIN(R17+R18,R16)*(R23+R24)/(R17+R18),0)))</f>
        <v>51528</v>
      </c>
      <c r="S25" s="60" t="n">
        <f aca="false">IF(S17+S18=0,0,ROUND(MIN(S17+S18,S16)*(S23+S24)/(S17+S18),0))</f>
        <v>51642</v>
      </c>
      <c r="T25" s="58" t="str">
        <f aca="false">IF(Sales!T8="","",Sales!T8)</f>
        <v/>
      </c>
      <c r="U25" s="59" t="n">
        <f aca="false">IF(U$26,T25,IF(U17+U18=0,0,ROUND(MIN(U17+U18,U16)*(U23+U24)/(U17+U18),0)))</f>
        <v>51243</v>
      </c>
      <c r="V25" s="60" t="n">
        <f aca="false">IF(V17+V18=0,0,ROUND(MIN(V17+V18,V16)*(V23+V24)/(V17+V18),0))</f>
        <v>51357</v>
      </c>
      <c r="W25" s="58" t="str">
        <f aca="false">IF(Sales!W8="","",Sales!W8)</f>
        <v/>
      </c>
      <c r="X25" s="59" t="n">
        <f aca="false">IF(X$26,W25,IF(X17+X18=0,0,ROUND(MIN(X17+X18,X16)*(X23+X24)/(X17+X18),0)))</f>
        <v>50958</v>
      </c>
      <c r="Y25" s="60" t="n">
        <f aca="false">IF(Y17+Y18=0,0,ROUND(MIN(Y17+Y18,Y16)*(Y23+Y24)/(Y17+Y18),0))</f>
        <v>51072</v>
      </c>
      <c r="Z25" s="58" t="str">
        <f aca="false">IF(Sales!Z8="","",Sales!Z8)</f>
        <v/>
      </c>
      <c r="AA25" s="59" t="n">
        <f aca="false">IF(AA$26,Z25,IF(AA17+AA18=0,0,ROUND(MIN(AA17+AA18,AA16)*(AA23+AA24)/(AA17+AA18),0)))</f>
        <v>50673</v>
      </c>
      <c r="AB25" s="60" t="n">
        <f aca="false">IF(AB17+AB18=0,0,ROUND(MIN(AB17+AB18,AB16)*(AB23+AB24)/(AB17+AB18),0))</f>
        <v>50787</v>
      </c>
      <c r="AC25" s="58" t="str">
        <f aca="false">IF(Sales!AC8="","",Sales!AC8)</f>
        <v/>
      </c>
      <c r="AD25" s="59" t="n">
        <f aca="false">IF(AD$26,AC25,IF(AD17+AD18=0,0,ROUND(MIN(AD17+AD18,AD16)*(AD23+AD24)/(AD17+AD18),0)))</f>
        <v>50388</v>
      </c>
      <c r="AE25" s="60" t="n">
        <f aca="false">IF(AE17+AE18=0,0,ROUND(MIN(AE17+AE18,AE16)*(AE23+AE24)/(AE17+AE18),0))</f>
        <v>50502</v>
      </c>
      <c r="AF25" s="58" t="str">
        <f aca="false">IF(Sales!AF8="","",Sales!AF8)</f>
        <v/>
      </c>
      <c r="AG25" s="59" t="n">
        <f aca="false">IF(AG$26,AF25,IF(AG17+AG18=0,0,ROUND(MIN(AG17+AG18,AG16)*(AG23+AG24)/(AG17+AG18),0)))</f>
        <v>50103</v>
      </c>
      <c r="AH25" s="60" t="n">
        <f aca="false">IF(AH17+AH18=0,0,ROUND(MIN(AH17+AH18,AH16)*(AH23+AH24)/(AH17+AH18),0))</f>
        <v>50217</v>
      </c>
      <c r="AI25" s="58" t="str">
        <f aca="false">IF(Sales!AI8="","",Sales!AI8)</f>
        <v/>
      </c>
      <c r="AJ25" s="59" t="n">
        <f aca="false">IF(AJ$26,AI25,IF(AJ17+AJ18=0,0,ROUND(MIN(AJ17+AJ18,AJ16)*(AJ23+AJ24)/(AJ17+AJ18),0)))</f>
        <v>49818</v>
      </c>
      <c r="AK25" s="60" t="n">
        <f aca="false">IF(AK17+AK18=0,0,ROUND(MIN(AK17+AK18,AK16)*(AK23+AK24)/(AK17+AK18),0))</f>
        <v>49932</v>
      </c>
      <c r="AL25" s="58" t="str">
        <f aca="false">IF(Sales!AL8="","",Sales!AL8)</f>
        <v/>
      </c>
      <c r="AM25" s="59" t="n">
        <f aca="false">IF(AM$26,AL25,IF(AM17+AM18=0,0,ROUND(MIN(AM17+AM18,AM16)*(AM23+AM24)/(AM17+AM18),0)))</f>
        <v>49533</v>
      </c>
      <c r="AN25" s="60" t="n">
        <f aca="false">IF(AN17+AN18=0,0,ROUND(MIN(AN17+AN18,AN16)*(AN23+AN24)/(AN17+AN18),0))</f>
        <v>49647</v>
      </c>
      <c r="AO25" s="58" t="str">
        <f aca="false">IF(Sales!AO8="","",Sales!AO8)</f>
        <v/>
      </c>
      <c r="AP25" s="59" t="n">
        <f aca="false">IF(AP$26,AO25,IF(AP17+AP18=0,0,ROUND(MIN(AP17+AP18,AP16)*(AP23+AP24)/(AP17+AP18),0)))</f>
        <v>36288</v>
      </c>
      <c r="AQ25" s="60" t="n">
        <f aca="false">IF(AQ17+AQ18=0,0,ROUND(MIN(AQ17+AQ18,AQ16)*(AQ23+AQ24)/(AQ17+AQ18),0))</f>
        <v>36372</v>
      </c>
      <c r="AR25" s="58" t="str">
        <f aca="false">IF(Sales!AR8="","",Sales!AR8)</f>
        <v/>
      </c>
      <c r="AS25" s="59" t="n">
        <f aca="false">IF(AS$26,AR25,IF(AS17+AS18=0,0,ROUND(MIN(AS17+AS18,AS16)*(AS23+AS24)/(AS17+AS18),0)))</f>
        <v>36120</v>
      </c>
      <c r="AT25" s="60" t="n">
        <f aca="false">IF(AT17+AT18=0,0,ROUND(MIN(AT17+AT18,AT16)*(AT23+AT24)/(AT17+AT18),0))</f>
        <v>36204</v>
      </c>
      <c r="AU25" s="58" t="str">
        <f aca="false">IF(Sales!AU8="","",Sales!AU8)</f>
        <v/>
      </c>
      <c r="AV25" s="59" t="n">
        <f aca="false">IF(AV$26,AU25,IF(AV17+AV18=0,0,ROUND(MIN(AV17+AV18,AV16)*(AV23+AV24)/(AV17+AV18),0)))</f>
        <v>35952</v>
      </c>
      <c r="AW25" s="60" t="n">
        <f aca="false">IF(AW17+AW18=0,0,ROUND(MIN(AW17+AW18,AW16)*(AW23+AW24)/(AW17+AW18),0))</f>
        <v>36036</v>
      </c>
      <c r="AX25" s="58" t="str">
        <f aca="false">IF(Sales!AX8="","",Sales!AX8)</f>
        <v/>
      </c>
      <c r="AY25" s="59" t="n">
        <f aca="false">IF(AY$26,AX25,IF(AY17+AY18=0,0,ROUND(MIN(AY17+AY18,AY16)*(AY23+AY24)/(AY17+AY18),0)))</f>
        <v>35784</v>
      </c>
      <c r="AZ25" s="60" t="n">
        <f aca="false">IF(AZ17+AZ18=0,0,ROUND(MIN(AZ17+AZ18,AZ16)*(AZ23+AZ24)/(AZ17+AZ18),0))</f>
        <v>35868</v>
      </c>
      <c r="BA25" s="58" t="str">
        <f aca="false">IF(Sales!BA8="","",Sales!BA8)</f>
        <v/>
      </c>
      <c r="BB25" s="59" t="n">
        <f aca="false">IF(BB$26,BA25,IF(BB17+BB18=0,0,ROUND(MIN(BB17+BB18,BB16)*(BB23+BB24)/(BB17+BB18),0)))</f>
        <v>35616</v>
      </c>
      <c r="BC25" s="60" t="n">
        <f aca="false">IF(BC17+BC18=0,0,ROUND(MIN(BC17+BC18,BC16)*(BC23+BC24)/(BC17+BC18),0))</f>
        <v>35700</v>
      </c>
      <c r="BD25" s="58" t="str">
        <f aca="false">IF(Sales!BD8="","",Sales!BD8)</f>
        <v/>
      </c>
      <c r="BE25" s="59" t="n">
        <f aca="false">IF(BE$26,BD25,IF(BE17+BE18=0,0,ROUND(MIN(BE17+BE18,BE16)*(BE23+BE24)/(BE17+BE18),0)))</f>
        <v>35448</v>
      </c>
      <c r="BF25" s="60" t="n">
        <f aca="false">IF(BF17+BF18=0,0,ROUND(MIN(BF17+BF18,BF16)*(BF23+BF24)/(BF17+BF18),0))</f>
        <v>35532</v>
      </c>
      <c r="BG25" s="58" t="str">
        <f aca="false">IF(Sales!BG8="","",Sales!BG8)</f>
        <v/>
      </c>
      <c r="BH25" s="59" t="n">
        <f aca="false">IF(BH$26,BG25,IF(BH17+BH18=0,0,ROUND(MIN(BH17+BH18,BH16)*(BH23+BH24)/(BH17+BH18),0)))</f>
        <v>35280</v>
      </c>
      <c r="BI25" s="60" t="n">
        <f aca="false">IF(BI17+BI18=0,0,ROUND(MIN(BI17+BI18,BI16)*(BI23+BI24)/(BI17+BI18),0))</f>
        <v>35364</v>
      </c>
      <c r="BJ25" s="58" t="str">
        <f aca="false">IF(Sales!BJ8="","",Sales!BJ8)</f>
        <v/>
      </c>
      <c r="BK25" s="59" t="n">
        <f aca="false">IF(BK$26,BJ25,IF(BK17+BK18=0,0,ROUND(MIN(BK17+BK18,BK16)*(BK23+BK24)/(BK17+BK18),0)))</f>
        <v>35112</v>
      </c>
      <c r="BL25" s="60" t="n">
        <f aca="false">IF(BL17+BL18=0,0,ROUND(MIN(BL17+BL18,BL16)*(BL23+BL24)/(BL17+BL18),0))</f>
        <v>35196</v>
      </c>
      <c r="BM25" s="58" t="str">
        <f aca="false">IF(Sales!BM8="","",Sales!BM8)</f>
        <v/>
      </c>
      <c r="BN25" s="59" t="n">
        <f aca="false">IF(BN$26,BM25,IF(BN17+BN18=0,0,ROUND(MIN(BN17+BN18,BN16)*(BN23+BN24)/(BN17+BN18),0)))</f>
        <v>34986</v>
      </c>
      <c r="BO25" s="60" t="n">
        <f aca="false">IF(BO17+BO18=0,0,ROUND(MIN(BO17+BO18,BO16)*(BO23+BO24)/(BO17+BO18),0))</f>
        <v>35070</v>
      </c>
      <c r="BP25" s="58" t="str">
        <f aca="false">IF(Sales!BP8="","",Sales!BP8)</f>
        <v/>
      </c>
      <c r="BQ25" s="59" t="n">
        <f aca="false">IF(BQ$26,BP25,IF(BQ17+BQ18=0,0,ROUND(MIN(BQ17+BQ18,BQ16)*(BQ23+BQ24)/(BQ17+BQ18),0)))</f>
        <v>34860</v>
      </c>
      <c r="BR25" s="60" t="n">
        <f aca="false">IF(BR17+BR18=0,0,ROUND(MIN(BR17+BR18,BR16)*(BR23+BR24)/(BR17+BR18),0))</f>
        <v>34944</v>
      </c>
      <c r="BS25" s="58" t="str">
        <f aca="false">IF(Sales!BS8="","",Sales!BS8)</f>
        <v/>
      </c>
      <c r="BT25" s="59" t="n">
        <f aca="false">IF(BT$26,BS25,IF(BT17+BT18=0,0,ROUND(MIN(BT17+BT18,BT16)*(BT23+BT24)/(BT17+BT18),0)))</f>
        <v>34734</v>
      </c>
      <c r="BU25" s="60" t="n">
        <f aca="false">IF(BU17+BU18=0,0,ROUND(MIN(BU17+BU18,BU16)*(BU23+BU24)/(BU17+BU18),0))</f>
        <v>34818</v>
      </c>
      <c r="BV25" s="58" t="str">
        <f aca="false">IF(Sales!BV8="","",Sales!BV8)</f>
        <v/>
      </c>
      <c r="BW25" s="59" t="n">
        <f aca="false">IF(BW$26,BV25,IF(BW17+BW18=0,0,ROUND(MIN(BW17+BW18,BW16)*(BW23+BW24)/(BW17+BW18),0)))</f>
        <v>34608</v>
      </c>
      <c r="BX25" s="60" t="n">
        <f aca="false">IF(BX17+BX18=0,0,ROUND(MIN(BX17+BX18,BX16)*(BX23+BX24)/(BX17+BX18),0))</f>
        <v>34692</v>
      </c>
      <c r="BY25" s="58" t="str">
        <f aca="false">IF(Sales!BY8="","",Sales!BY8)</f>
        <v/>
      </c>
      <c r="BZ25" s="59" t="n">
        <f aca="false">IF(BZ$26,BY25,IF(BZ17+BZ18=0,0,ROUND(MIN(BZ17+BZ18,BZ16)*(BZ23+BZ24)/(BZ17+BZ18),0)))</f>
        <v>23427</v>
      </c>
      <c r="CA25" s="60" t="n">
        <f aca="false">IF(CA17+CA18=0,0,ROUND(MIN(CA17+CA18,CA16)*(CA23+CA24)/(CA17+CA18),0))</f>
        <v>23484</v>
      </c>
      <c r="CB25" s="58" t="str">
        <f aca="false">IF(Sales!CB8="","",Sales!CB8)</f>
        <v/>
      </c>
      <c r="CC25" s="59" t="n">
        <f aca="false">IF(CC$26,CB25,IF(CC17+CC18=0,0,ROUND(MIN(CC17+CC18,CC16)*(CC23+CC24)/(CC17+CC18),0)))</f>
        <v>23370</v>
      </c>
      <c r="CD25" s="60" t="n">
        <f aca="false">IF(CD17+CD18=0,0,ROUND(MIN(CD17+CD18,CD16)*(CD23+CD24)/(CD17+CD18),0))</f>
        <v>23427</v>
      </c>
      <c r="CE25" s="58" t="str">
        <f aca="false">IF(Sales!CE8="","",Sales!CE8)</f>
        <v/>
      </c>
      <c r="CF25" s="59" t="n">
        <f aca="false">IF(CF$26,CE25,IF(CF17+CF18=0,0,ROUND(MIN(CF17+CF18,CF16)*(CF23+CF24)/(CF17+CF18),0)))</f>
        <v>23313</v>
      </c>
      <c r="CG25" s="60" t="n">
        <f aca="false">IF(CG17+CG18=0,0,ROUND(MIN(CG17+CG18,CG16)*(CG23+CG24)/(CG17+CG18),0))</f>
        <v>23370</v>
      </c>
      <c r="CH25" s="58" t="str">
        <f aca="false">IF(Sales!CH8="","",Sales!CH8)</f>
        <v/>
      </c>
      <c r="CI25" s="59" t="n">
        <f aca="false">IF(CI$26,CH25,IF(CI17+CI18=0,0,ROUND(MIN(CI17+CI18,CI16)*(CI23+CI24)/(CI17+CI18),0)))</f>
        <v>23256</v>
      </c>
      <c r="CJ25" s="60" t="n">
        <f aca="false">IF(CJ17+CJ18=0,0,ROUND(MIN(CJ17+CJ18,CJ16)*(CJ23+CJ24)/(CJ17+CJ18),0))</f>
        <v>23313</v>
      </c>
      <c r="CK25" s="58" t="str">
        <f aca="false">IF(Sales!CK8="","",Sales!CK8)</f>
        <v/>
      </c>
      <c r="CL25" s="59" t="n">
        <f aca="false">IF(CL$26,CK25,IF(CL17+CL18=0,0,ROUND(MIN(CL17+CL18,CL16)*(CL23+CL24)/(CL17+CL18),0)))</f>
        <v>23199</v>
      </c>
      <c r="CM25" s="60" t="n">
        <f aca="false">IF(CM17+CM18=0,0,ROUND(MIN(CM17+CM18,CM16)*(CM23+CM24)/(CM17+CM18),0))</f>
        <v>23256</v>
      </c>
      <c r="CN25" s="58" t="str">
        <f aca="false">IF(Sales!CN8="","",Sales!CN8)</f>
        <v/>
      </c>
      <c r="CO25" s="59" t="n">
        <f aca="false">IF(CO$26,CN25,IF(CO17+CO18=0,0,ROUND(MIN(CO17+CO18,CO16)*(CO23+CO24)/(CO17+CO18),0)))</f>
        <v>23142</v>
      </c>
      <c r="CP25" s="60" t="n">
        <f aca="false">IF(CP17+CP18=0,0,ROUND(MIN(CP17+CP18,CP16)*(CP23+CP24)/(CP17+CP18),0))</f>
        <v>23199</v>
      </c>
      <c r="CQ25" s="58" t="str">
        <f aca="false">IF(Sales!CQ8="","",Sales!CQ8)</f>
        <v/>
      </c>
      <c r="CR25" s="59" t="n">
        <f aca="false">IF(CR$26,CQ25,IF(CR17+CR18=0,0,ROUND(MIN(CR17+CR18,CR16)*(CR23+CR24)/(CR17+CR18),0)))</f>
        <v>23085</v>
      </c>
      <c r="CS25" s="60" t="n">
        <f aca="false">IF(CS17+CS18=0,0,ROUND(MIN(CS17+CS18,CS16)*(CS23+CS24)/(CS17+CS18),0))</f>
        <v>23142</v>
      </c>
      <c r="CT25" s="58" t="str">
        <f aca="false">IF(Sales!CT8="","",Sales!CT8)</f>
        <v/>
      </c>
      <c r="CU25" s="59" t="n">
        <f aca="false">IF(CU$26,CT25,IF(CU17+CU18=0,0,ROUND(MIN(CU17+CU18,CU16)*(CU23+CU24)/(CU17+CU18),0)))</f>
        <v>23028</v>
      </c>
      <c r="CV25" s="60" t="n">
        <f aca="false">IF(CV17+CV18=0,0,ROUND(MIN(CV17+CV18,CV16)*(CV23+CV24)/(CV17+CV18),0))</f>
        <v>23085</v>
      </c>
      <c r="CW25" s="58" t="str">
        <f aca="false">IF(Sales!CW8="","",Sales!CW8)</f>
        <v/>
      </c>
      <c r="CX25" s="59" t="n">
        <f aca="false">IF(CX$26,CW25,IF(CX17+CX18=0,0,ROUND(MIN(CX17+CX18,CX16)*(CX23+CX24)/(CX17+CX18),0)))</f>
        <v>22971</v>
      </c>
      <c r="CY25" s="60" t="n">
        <f aca="false">IF(CY17+CY18=0,0,ROUND(MIN(CY17+CY18,CY16)*(CY23+CY24)/(CY17+CY18),0))</f>
        <v>23028</v>
      </c>
      <c r="CZ25" s="58" t="str">
        <f aca="false">IF(Sales!CZ8="","",Sales!CZ8)</f>
        <v/>
      </c>
      <c r="DA25" s="59" t="n">
        <f aca="false">IF(DA$26,CZ25,IF(DA17+DA18=0,0,ROUND(MIN(DA17+DA18,DA16)*(DA23+DA24)/(DA17+DA18),0)))</f>
        <v>22914</v>
      </c>
      <c r="DB25" s="60" t="n">
        <f aca="false">IF(DB17+DB18=0,0,ROUND(MIN(DB17+DB18,DB16)*(DB23+DB24)/(DB17+DB18),0))</f>
        <v>22971</v>
      </c>
      <c r="DC25" s="58" t="str">
        <f aca="false">IF(Sales!DC8="","",Sales!DC8)</f>
        <v/>
      </c>
      <c r="DD25" s="59" t="n">
        <f aca="false">IF(DD$26,DC25,IF(DD17+DD18=0,0,ROUND(MIN(DD17+DD18,DD16)*(DD23+DD24)/(DD17+DD18),0)))</f>
        <v>36090</v>
      </c>
      <c r="DE25" s="60" t="n">
        <f aca="false">IF(DE17+DE18=0,0,ROUND(MIN(DE17+DE18,DE16)*(DE23+DE24)/(DE17+DE18),0))</f>
        <v>45828</v>
      </c>
      <c r="DF25" s="58" t="str">
        <f aca="false">IF(Sales!DF8="","",Sales!DF8)</f>
        <v/>
      </c>
      <c r="DG25" s="59" t="n">
        <f aca="false">IF(DG$26,DF25,IF(DG17+DG18=0,0,ROUND(MIN(DG17+DG18,DG16)*(DG23+DG24)/(DG17+DG18),0)))</f>
        <v>45600</v>
      </c>
      <c r="DH25" s="60" t="n">
        <f aca="false">IF(DH17+DH18=0,0,ROUND(MIN(DH17+DH18,DH16)*(DH23+DH24)/(DH17+DH18),0))</f>
        <v>45657</v>
      </c>
      <c r="DI25" s="58" t="n">
        <f aca="false">IF(Sales!DI8="","",Sales!DI8)</f>
        <v>13200</v>
      </c>
      <c r="DJ25" s="59" t="n">
        <f aca="false">IF(DJ$26,DI25,IF(DJ17+DJ18=0,0,ROUND(MIN(DJ17+DJ18,DJ16)*(DJ23+DJ24)/(DJ17+DJ18),0)))</f>
        <v>13200</v>
      </c>
      <c r="DK25" s="60" t="n">
        <f aca="false">IF(DK17+DK18=0,0,ROUND(MIN(DK17+DK18,DK16)*(DK23+DK24)/(DK17+DK18),0))</f>
        <v>0</v>
      </c>
      <c r="DL25" s="58" t="n">
        <f aca="false">IF(Sales!DL8="","",Sales!DL8)</f>
        <v>22800</v>
      </c>
      <c r="DM25" s="59" t="n">
        <f aca="false">IF(DM$26,DL25,IF(DM17+DM18=0,0,ROUND(MIN(DM17+DM18,DM16)*(DM23+DM24)/(DM17+DM18),0)))</f>
        <v>22800</v>
      </c>
      <c r="DN25" s="60" t="n">
        <f aca="false">IF(DN17+DN18=0,0,ROUND(MIN(DN17+DN18,DN16)*(DN23+DN24)/(DN17+DN18),0))</f>
        <v>0</v>
      </c>
    </row>
    <row r="26" customFormat="false" ht="18" hidden="false" customHeight="true" outlineLevel="0" collapsed="false">
      <c r="A26" s="39" t="s">
        <v>150</v>
      </c>
      <c r="B26" s="34" t="n">
        <f aca="false">SUM(N(AR26),N(AO26),N(AL26),N(AI26),N(AF26),N(AC26),N(Z26),N(W26),N(T26),N(Q26),N(N26),N(K26))</f>
        <v>0</v>
      </c>
      <c r="C26" s="34" t="n">
        <f aca="false">SUM(N(AS26),N(AP26),N(AM26),N(AJ26),N(AG26),N(AD26),N(AA26),N(X26),N(U26),N(R26),N(O26),N(L26))</f>
        <v>0</v>
      </c>
      <c r="D26" s="34" t="n">
        <f aca="false">SUM(N(AT26),N(AQ26),N(AN26),N(AK26),N(AH26),N(AE26),N(AB26),N(Y26),N(V26),N(S26),N(P26),N(M26))</f>
        <v>12</v>
      </c>
      <c r="E26" s="34" t="n">
        <f aca="false">SUM(N(CB26),N(BY26),N(BV26),N(BS26),N(BP26),N(BM26),N(BJ26),N(BG26),N(BD26),N(BA26),N(AX26),N(AU26))</f>
        <v>0</v>
      </c>
      <c r="F26" s="34" t="n">
        <f aca="false">SUM(N(CC26),N(BZ26),N(BW26),N(BT26),N(BQ26),N(BN26),N(BK26),N(BH26),N(BE26),N(BB26),N(AY26),N(AV26))</f>
        <v>0</v>
      </c>
      <c r="G26" s="34" t="n">
        <f aca="false">SUM(N(CD26),N(CA26),N(BX26),N(BU26),N(BR26),N(BO26),N(BL26),N(BI26),N(BF26),N(BC26),N(AZ26),N(AW26))</f>
        <v>12</v>
      </c>
      <c r="H26" s="34" t="n">
        <f aca="false">SUM(N(DL26),N(DI26),N(DF26),N(DC26),N(CZ26),N(CW26),N(CT26),N(CQ26),N(CN26),N(CK26),N(CH26),N(CE26))</f>
        <v>2</v>
      </c>
      <c r="I26" s="34" t="n">
        <f aca="false">SUM(N(DM26),N(DJ26),N(DG26),N(DD26),N(DA26),N(CX26),N(CU26),N(CR26),N(CO26),N(CL26),N(CI26),N(CF26))</f>
        <v>2</v>
      </c>
      <c r="J26" s="34" t="n">
        <f aca="false">SUM(N(DN26),N(DK26),N(DH26),N(DE26),N(DB26),N(CY26),N(CV26),N(CS26),N(CP26),N(CM26),N(CJ26),N(CG26))</f>
        <v>12</v>
      </c>
      <c r="K26" s="63" t="b">
        <f aca="false">IF(COUNT(Marketing!K3,Marketing!K5,Marketing!K7,Sales!K6,Sales!K7,'Customer Success'!K17,Finance!K5,'Cash Drivers'!K7,'Cash Drivers'!K13,'Cash Drivers'!K14,'Cash Drivers'!K15,Finance!K4)=0,FALSE(),IF(COUNT(Marketing!K3,Marketing!K5,Marketing!K7,Sales!K6,Sales!K7,'Customer Success'!K17,Finance!K5,'Cash Drivers'!K7,'Cash Drivers'!K13,'Cash Drivers'!K14,'Cash Drivers'!K15,Finance!K4)=12,TRUE(),"PARTIAL"))</f>
        <v>0</v>
      </c>
      <c r="L26" s="63" t="b">
        <f aca="false">AND(K26=TRUE(),'Cash Drivers'!O$26)</f>
        <v>0</v>
      </c>
      <c r="M26" s="63" t="b">
        <f aca="false">TRUE()</f>
        <v>1</v>
      </c>
      <c r="N26" s="63" t="b">
        <f aca="false">IF(COUNT(Marketing!N3,Marketing!N5,Marketing!N7,Sales!N6,Sales!N7,'Customer Success'!N17,Finance!N5,'Cash Drivers'!N7,'Cash Drivers'!N13,'Cash Drivers'!N14,'Cash Drivers'!N15,Finance!N4)=0,FALSE(),IF(COUNT(Marketing!N3,Marketing!N5,Marketing!N7,Sales!N6,Sales!N7,'Customer Success'!N17,Finance!N5,'Cash Drivers'!N7,'Cash Drivers'!N13,'Cash Drivers'!N14,'Cash Drivers'!N15,Finance!N4)=12,TRUE(),"PARTIAL"))</f>
        <v>0</v>
      </c>
      <c r="O26" s="63" t="b">
        <f aca="false">AND(N26=TRUE(),'Cash Drivers'!R$26)</f>
        <v>0</v>
      </c>
      <c r="P26" s="63" t="b">
        <f aca="false">TRUE()</f>
        <v>1</v>
      </c>
      <c r="Q26" s="63" t="b">
        <f aca="false">IF(COUNT(Marketing!Q3,Marketing!Q5,Marketing!Q7,Sales!Q6,Sales!Q7,'Customer Success'!Q17,Finance!Q5,'Cash Drivers'!Q7,'Cash Drivers'!Q13,'Cash Drivers'!Q14,'Cash Drivers'!Q15,Finance!Q4)=0,FALSE(),IF(COUNT(Marketing!Q3,Marketing!Q5,Marketing!Q7,Sales!Q6,Sales!Q7,'Customer Success'!Q17,Finance!Q5,'Cash Drivers'!Q7,'Cash Drivers'!Q13,'Cash Drivers'!Q14,'Cash Drivers'!Q15,Finance!Q4)=12,TRUE(),"PARTIAL"))</f>
        <v>0</v>
      </c>
      <c r="R26" s="63" t="b">
        <f aca="false">AND(Q26=TRUE(),'Cash Drivers'!U$26)</f>
        <v>0</v>
      </c>
      <c r="S26" s="63" t="b">
        <f aca="false">TRUE()</f>
        <v>1</v>
      </c>
      <c r="T26" s="63" t="b">
        <f aca="false">IF(COUNT(Marketing!T3,Marketing!T5,Marketing!T7,Sales!T6,Sales!T7,'Customer Success'!T17,Finance!T5,'Cash Drivers'!T7,'Cash Drivers'!T13,'Cash Drivers'!T14,'Cash Drivers'!T15,Finance!T4)=0,FALSE(),IF(COUNT(Marketing!T3,Marketing!T5,Marketing!T7,Sales!T6,Sales!T7,'Customer Success'!T17,Finance!T5,'Cash Drivers'!T7,'Cash Drivers'!T13,'Cash Drivers'!T14,'Cash Drivers'!T15,Finance!T4)=12,TRUE(),"PARTIAL"))</f>
        <v>0</v>
      </c>
      <c r="U26" s="63" t="b">
        <f aca="false">AND(T26=TRUE(),'Cash Drivers'!X$26)</f>
        <v>0</v>
      </c>
      <c r="V26" s="63" t="b">
        <f aca="false">TRUE()</f>
        <v>1</v>
      </c>
      <c r="W26" s="63" t="b">
        <f aca="false">IF(COUNT(Marketing!W3,Marketing!W5,Marketing!W7,Sales!W6,Sales!W7,'Customer Success'!W17,Finance!W5,'Cash Drivers'!W7,'Cash Drivers'!W13,'Cash Drivers'!W14,'Cash Drivers'!W15,Finance!W4)=0,FALSE(),IF(COUNT(Marketing!W3,Marketing!W5,Marketing!W7,Sales!W6,Sales!W7,'Customer Success'!W17,Finance!W5,'Cash Drivers'!W7,'Cash Drivers'!W13,'Cash Drivers'!W14,'Cash Drivers'!W15,Finance!W4)=12,TRUE(),"PARTIAL"))</f>
        <v>0</v>
      </c>
      <c r="X26" s="63" t="b">
        <f aca="false">AND(W26=TRUE(),'Cash Drivers'!AA$26)</f>
        <v>0</v>
      </c>
      <c r="Y26" s="63" t="b">
        <f aca="false">TRUE()</f>
        <v>1</v>
      </c>
      <c r="Z26" s="63" t="b">
        <f aca="false">IF(COUNT(Marketing!Z3,Marketing!Z5,Marketing!Z7,Sales!Z6,Sales!Z7,'Customer Success'!Z17,Finance!Z5,'Cash Drivers'!Z7,'Cash Drivers'!Z13,'Cash Drivers'!Z14,'Cash Drivers'!Z15,Finance!Z4)=0,FALSE(),IF(COUNT(Marketing!Z3,Marketing!Z5,Marketing!Z7,Sales!Z6,Sales!Z7,'Customer Success'!Z17,Finance!Z5,'Cash Drivers'!Z7,'Cash Drivers'!Z13,'Cash Drivers'!Z14,'Cash Drivers'!Z15,Finance!Z4)=12,TRUE(),"PARTIAL"))</f>
        <v>0</v>
      </c>
      <c r="AA26" s="63" t="b">
        <f aca="false">AND(Z26=TRUE(),'Cash Drivers'!AD$26)</f>
        <v>0</v>
      </c>
      <c r="AB26" s="63" t="b">
        <f aca="false">TRUE()</f>
        <v>1</v>
      </c>
      <c r="AC26" s="63" t="b">
        <f aca="false">IF(COUNT(Marketing!AC3,Marketing!AC5,Marketing!AC7,Sales!AC6,Sales!AC7,'Customer Success'!AC17,Finance!AC5,'Cash Drivers'!AC7,'Cash Drivers'!AC13,'Cash Drivers'!AC14,'Cash Drivers'!AC15,Finance!AC4)=0,FALSE(),IF(COUNT(Marketing!AC3,Marketing!AC5,Marketing!AC7,Sales!AC6,Sales!AC7,'Customer Success'!AC17,Finance!AC5,'Cash Drivers'!AC7,'Cash Drivers'!AC13,'Cash Drivers'!AC14,'Cash Drivers'!AC15,Finance!AC4)=12,TRUE(),"PARTIAL"))</f>
        <v>0</v>
      </c>
      <c r="AD26" s="63" t="b">
        <f aca="false">AND(AC26=TRUE(),'Cash Drivers'!AG$26)</f>
        <v>0</v>
      </c>
      <c r="AE26" s="63" t="b">
        <f aca="false">TRUE()</f>
        <v>1</v>
      </c>
      <c r="AF26" s="63" t="b">
        <f aca="false">IF(COUNT(Marketing!AF3,Marketing!AF5,Marketing!AF7,Sales!AF6,Sales!AF7,'Customer Success'!AF17,Finance!AF5,'Cash Drivers'!AF7,'Cash Drivers'!AF13,'Cash Drivers'!AF14,'Cash Drivers'!AF15,Finance!AF4)=0,FALSE(),IF(COUNT(Marketing!AF3,Marketing!AF5,Marketing!AF7,Sales!AF6,Sales!AF7,'Customer Success'!AF17,Finance!AF5,'Cash Drivers'!AF7,'Cash Drivers'!AF13,'Cash Drivers'!AF14,'Cash Drivers'!AF15,Finance!AF4)=12,TRUE(),"PARTIAL"))</f>
        <v>0</v>
      </c>
      <c r="AG26" s="63" t="b">
        <f aca="false">AND(AF26=TRUE(),'Cash Drivers'!AJ$26)</f>
        <v>0</v>
      </c>
      <c r="AH26" s="63" t="b">
        <f aca="false">TRUE()</f>
        <v>1</v>
      </c>
      <c r="AI26" s="63" t="b">
        <f aca="false">IF(COUNT(Marketing!AI3,Marketing!AI5,Marketing!AI7,Sales!AI6,Sales!AI7,'Customer Success'!AI17,Finance!AI5,'Cash Drivers'!AI7,'Cash Drivers'!AI13,'Cash Drivers'!AI14,'Cash Drivers'!AI15,Finance!AI4)=0,FALSE(),IF(COUNT(Marketing!AI3,Marketing!AI5,Marketing!AI7,Sales!AI6,Sales!AI7,'Customer Success'!AI17,Finance!AI5,'Cash Drivers'!AI7,'Cash Drivers'!AI13,'Cash Drivers'!AI14,'Cash Drivers'!AI15,Finance!AI4)=12,TRUE(),"PARTIAL"))</f>
        <v>0</v>
      </c>
      <c r="AJ26" s="63" t="b">
        <f aca="false">AND(AI26=TRUE(),'Cash Drivers'!AM$26)</f>
        <v>0</v>
      </c>
      <c r="AK26" s="63" t="b">
        <f aca="false">TRUE()</f>
        <v>1</v>
      </c>
      <c r="AL26" s="63" t="b">
        <f aca="false">IF(COUNT(Marketing!AL3,Marketing!AL5,Marketing!AL7,Sales!AL6,Sales!AL7,'Customer Success'!AL17,Finance!AL5,'Cash Drivers'!AL7,'Cash Drivers'!AL13,'Cash Drivers'!AL14,'Cash Drivers'!AL15,Finance!AL4)=0,FALSE(),IF(COUNT(Marketing!AL3,Marketing!AL5,Marketing!AL7,Sales!AL6,Sales!AL7,'Customer Success'!AL17,Finance!AL5,'Cash Drivers'!AL7,'Cash Drivers'!AL13,'Cash Drivers'!AL14,'Cash Drivers'!AL15,Finance!AL4)=12,TRUE(),"PARTIAL"))</f>
        <v>0</v>
      </c>
      <c r="AM26" s="63" t="b">
        <f aca="false">AND(AL26=TRUE(),'Cash Drivers'!AP$26)</f>
        <v>0</v>
      </c>
      <c r="AN26" s="63" t="b">
        <f aca="false">TRUE()</f>
        <v>1</v>
      </c>
      <c r="AO26" s="63" t="b">
        <f aca="false">IF(COUNT(Marketing!AO3,Marketing!AO5,Marketing!AO7,Sales!AO6,Sales!AO7,'Customer Success'!AO17,Finance!AO5,'Cash Drivers'!AO7,'Cash Drivers'!AO13,'Cash Drivers'!AO14,'Cash Drivers'!AO15,Finance!AO4)=0,FALSE(),IF(COUNT(Marketing!AO3,Marketing!AO5,Marketing!AO7,Sales!AO6,Sales!AO7,'Customer Success'!AO17,Finance!AO5,'Cash Drivers'!AO7,'Cash Drivers'!AO13,'Cash Drivers'!AO14,'Cash Drivers'!AO15,Finance!AO4)=12,TRUE(),"PARTIAL"))</f>
        <v>0</v>
      </c>
      <c r="AP26" s="63" t="b">
        <f aca="false">AND(AO26=TRUE(),'Cash Drivers'!AS$26)</f>
        <v>0</v>
      </c>
      <c r="AQ26" s="63" t="b">
        <f aca="false">TRUE()</f>
        <v>1</v>
      </c>
      <c r="AR26" s="63" t="b">
        <f aca="false">IF(COUNT(Marketing!AR3,Marketing!AR5,Marketing!AR7,Sales!AR6,Sales!AR7,'Customer Success'!AR17,Finance!AR5,'Cash Drivers'!AR7,'Cash Drivers'!AR13,'Cash Drivers'!AR14,'Cash Drivers'!AR15,Finance!AR4)=0,FALSE(),IF(COUNT(Marketing!AR3,Marketing!AR5,Marketing!AR7,Sales!AR6,Sales!AR7,'Customer Success'!AR17,Finance!AR5,'Cash Drivers'!AR7,'Cash Drivers'!AR13,'Cash Drivers'!AR14,'Cash Drivers'!AR15,Finance!AR4)=12,TRUE(),"PARTIAL"))</f>
        <v>0</v>
      </c>
      <c r="AS26" s="63" t="b">
        <f aca="false">AND(AR26=TRUE(),'Cash Drivers'!AV$26)</f>
        <v>0</v>
      </c>
      <c r="AT26" s="63" t="b">
        <f aca="false">TRUE()</f>
        <v>1</v>
      </c>
      <c r="AU26" s="63" t="b">
        <f aca="false">IF(COUNT(Marketing!AU3,Marketing!AU5,Marketing!AU7,Sales!AU6,Sales!AU7,'Customer Success'!AU17,Finance!AU5,'Cash Drivers'!AU7,'Cash Drivers'!AU13,'Cash Drivers'!AU14,'Cash Drivers'!AU15,Finance!AU4)=0,FALSE(),IF(COUNT(Marketing!AU3,Marketing!AU5,Marketing!AU7,Sales!AU6,Sales!AU7,'Customer Success'!AU17,Finance!AU5,'Cash Drivers'!AU7,'Cash Drivers'!AU13,'Cash Drivers'!AU14,'Cash Drivers'!AU15,Finance!AU4)=12,TRUE(),"PARTIAL"))</f>
        <v>0</v>
      </c>
      <c r="AV26" s="63" t="b">
        <f aca="false">AND(AU26=TRUE(),'Cash Drivers'!AY$26)</f>
        <v>0</v>
      </c>
      <c r="AW26" s="63" t="b">
        <f aca="false">TRUE()</f>
        <v>1</v>
      </c>
      <c r="AX26" s="63" t="b">
        <f aca="false">IF(COUNT(Marketing!AX3,Marketing!AX5,Marketing!AX7,Sales!AX6,Sales!AX7,'Customer Success'!AX17,Finance!AX5,'Cash Drivers'!AX7,'Cash Drivers'!AX13,'Cash Drivers'!AX14,'Cash Drivers'!AX15,Finance!AX4)=0,FALSE(),IF(COUNT(Marketing!AX3,Marketing!AX5,Marketing!AX7,Sales!AX6,Sales!AX7,'Customer Success'!AX17,Finance!AX5,'Cash Drivers'!AX7,'Cash Drivers'!AX13,'Cash Drivers'!AX14,'Cash Drivers'!AX15,Finance!AX4)=12,TRUE(),"PARTIAL"))</f>
        <v>0</v>
      </c>
      <c r="AY26" s="63" t="b">
        <f aca="false">AND(AX26=TRUE(),'Cash Drivers'!BB$26)</f>
        <v>0</v>
      </c>
      <c r="AZ26" s="63" t="b">
        <f aca="false">TRUE()</f>
        <v>1</v>
      </c>
      <c r="BA26" s="63" t="b">
        <f aca="false">IF(COUNT(Marketing!BA3,Marketing!BA5,Marketing!BA7,Sales!BA6,Sales!BA7,'Customer Success'!BA17,Finance!BA5,'Cash Drivers'!BA7,'Cash Drivers'!BA13,'Cash Drivers'!BA14,'Cash Drivers'!BA15,Finance!BA4)=0,FALSE(),IF(COUNT(Marketing!BA3,Marketing!BA5,Marketing!BA7,Sales!BA6,Sales!BA7,'Customer Success'!BA17,Finance!BA5,'Cash Drivers'!BA7,'Cash Drivers'!BA13,'Cash Drivers'!BA14,'Cash Drivers'!BA15,Finance!BA4)=12,TRUE(),"PARTIAL"))</f>
        <v>0</v>
      </c>
      <c r="BB26" s="63" t="b">
        <f aca="false">AND(BA26=TRUE(),'Cash Drivers'!BE$26)</f>
        <v>0</v>
      </c>
      <c r="BC26" s="63" t="b">
        <f aca="false">TRUE()</f>
        <v>1</v>
      </c>
      <c r="BD26" s="63" t="b">
        <f aca="false">IF(COUNT(Marketing!BD3,Marketing!BD5,Marketing!BD7,Sales!BD6,Sales!BD7,'Customer Success'!BD17,Finance!BD5,'Cash Drivers'!BD7,'Cash Drivers'!BD13,'Cash Drivers'!BD14,'Cash Drivers'!BD15,Finance!BD4)=0,FALSE(),IF(COUNT(Marketing!BD3,Marketing!BD5,Marketing!BD7,Sales!BD6,Sales!BD7,'Customer Success'!BD17,Finance!BD5,'Cash Drivers'!BD7,'Cash Drivers'!BD13,'Cash Drivers'!BD14,'Cash Drivers'!BD15,Finance!BD4)=12,TRUE(),"PARTIAL"))</f>
        <v>0</v>
      </c>
      <c r="BE26" s="63" t="b">
        <f aca="false">AND(BD26=TRUE(),'Cash Drivers'!BH$26)</f>
        <v>0</v>
      </c>
      <c r="BF26" s="63" t="b">
        <f aca="false">TRUE()</f>
        <v>1</v>
      </c>
      <c r="BG26" s="63" t="b">
        <f aca="false">IF(COUNT(Marketing!BG3,Marketing!BG5,Marketing!BG7,Sales!BG6,Sales!BG7,'Customer Success'!BG17,Finance!BG5,'Cash Drivers'!BG7,'Cash Drivers'!BG13,'Cash Drivers'!BG14,'Cash Drivers'!BG15,Finance!BG4)=0,FALSE(),IF(COUNT(Marketing!BG3,Marketing!BG5,Marketing!BG7,Sales!BG6,Sales!BG7,'Customer Success'!BG17,Finance!BG5,'Cash Drivers'!BG7,'Cash Drivers'!BG13,'Cash Drivers'!BG14,'Cash Drivers'!BG15,Finance!BG4)=12,TRUE(),"PARTIAL"))</f>
        <v>0</v>
      </c>
      <c r="BH26" s="63" t="b">
        <f aca="false">AND(BG26=TRUE(),'Cash Drivers'!BK$26)</f>
        <v>0</v>
      </c>
      <c r="BI26" s="63" t="b">
        <f aca="false">TRUE()</f>
        <v>1</v>
      </c>
      <c r="BJ26" s="63" t="b">
        <f aca="false">IF(COUNT(Marketing!BJ3,Marketing!BJ5,Marketing!BJ7,Sales!BJ6,Sales!BJ7,'Customer Success'!BJ17,Finance!BJ5,'Cash Drivers'!BJ7,'Cash Drivers'!BJ13,'Cash Drivers'!BJ14,'Cash Drivers'!BJ15,Finance!BJ4)=0,FALSE(),IF(COUNT(Marketing!BJ3,Marketing!BJ5,Marketing!BJ7,Sales!BJ6,Sales!BJ7,'Customer Success'!BJ17,Finance!BJ5,'Cash Drivers'!BJ7,'Cash Drivers'!BJ13,'Cash Drivers'!BJ14,'Cash Drivers'!BJ15,Finance!BJ4)=12,TRUE(),"PARTIAL"))</f>
        <v>0</v>
      </c>
      <c r="BK26" s="63" t="b">
        <f aca="false">AND(BJ26=TRUE(),'Cash Drivers'!BN$26)</f>
        <v>0</v>
      </c>
      <c r="BL26" s="63" t="b">
        <f aca="false">TRUE()</f>
        <v>1</v>
      </c>
      <c r="BM26" s="63" t="b">
        <f aca="false">IF(COUNT(Marketing!BM3,Marketing!BM5,Marketing!BM7,Sales!BM6,Sales!BM7,'Customer Success'!BM17,Finance!BM5,'Cash Drivers'!BM7,'Cash Drivers'!BM13,'Cash Drivers'!BM14,'Cash Drivers'!BM15,Finance!BM4)=0,FALSE(),IF(COUNT(Marketing!BM3,Marketing!BM5,Marketing!BM7,Sales!BM6,Sales!BM7,'Customer Success'!BM17,Finance!BM5,'Cash Drivers'!BM7,'Cash Drivers'!BM13,'Cash Drivers'!BM14,'Cash Drivers'!BM15,Finance!BM4)=12,TRUE(),"PARTIAL"))</f>
        <v>0</v>
      </c>
      <c r="BN26" s="63" t="b">
        <f aca="false">AND(BM26=TRUE(),'Cash Drivers'!BQ$26)</f>
        <v>0</v>
      </c>
      <c r="BO26" s="63" t="b">
        <f aca="false">TRUE()</f>
        <v>1</v>
      </c>
      <c r="BP26" s="63" t="b">
        <f aca="false">IF(COUNT(Marketing!BP3,Marketing!BP5,Marketing!BP7,Sales!BP6,Sales!BP7,'Customer Success'!BP17,Finance!BP5,'Cash Drivers'!BP7,'Cash Drivers'!BP13,'Cash Drivers'!BP14,'Cash Drivers'!BP15,Finance!BP4)=0,FALSE(),IF(COUNT(Marketing!BP3,Marketing!BP5,Marketing!BP7,Sales!BP6,Sales!BP7,'Customer Success'!BP17,Finance!BP5,'Cash Drivers'!BP7,'Cash Drivers'!BP13,'Cash Drivers'!BP14,'Cash Drivers'!BP15,Finance!BP4)=12,TRUE(),"PARTIAL"))</f>
        <v>0</v>
      </c>
      <c r="BQ26" s="63" t="b">
        <f aca="false">AND(BP26=TRUE(),'Cash Drivers'!BT$26)</f>
        <v>0</v>
      </c>
      <c r="BR26" s="63" t="b">
        <f aca="false">TRUE()</f>
        <v>1</v>
      </c>
      <c r="BS26" s="63" t="b">
        <f aca="false">IF(COUNT(Marketing!BS3,Marketing!BS5,Marketing!BS7,Sales!BS6,Sales!BS7,'Customer Success'!BS17,Finance!BS5,'Cash Drivers'!BS7,'Cash Drivers'!BS13,'Cash Drivers'!BS14,'Cash Drivers'!BS15,Finance!BS4)=0,FALSE(),IF(COUNT(Marketing!BS3,Marketing!BS5,Marketing!BS7,Sales!BS6,Sales!BS7,'Customer Success'!BS17,Finance!BS5,'Cash Drivers'!BS7,'Cash Drivers'!BS13,'Cash Drivers'!BS14,'Cash Drivers'!BS15,Finance!BS4)=12,TRUE(),"PARTIAL"))</f>
        <v>0</v>
      </c>
      <c r="BT26" s="63" t="b">
        <f aca="false">AND(BS26=TRUE(),'Cash Drivers'!BW$26)</f>
        <v>0</v>
      </c>
      <c r="BU26" s="63" t="b">
        <f aca="false">TRUE()</f>
        <v>1</v>
      </c>
      <c r="BV26" s="63" t="b">
        <f aca="false">IF(COUNT(Marketing!BV3,Marketing!BV5,Marketing!BV7,Sales!BV6,Sales!BV7,'Customer Success'!BV17,Finance!BV5,'Cash Drivers'!BV7,'Cash Drivers'!BV13,'Cash Drivers'!BV14,'Cash Drivers'!BV15,Finance!BV4)=0,FALSE(),IF(COUNT(Marketing!BV3,Marketing!BV5,Marketing!BV7,Sales!BV6,Sales!BV7,'Customer Success'!BV17,Finance!BV5,'Cash Drivers'!BV7,'Cash Drivers'!BV13,'Cash Drivers'!BV14,'Cash Drivers'!BV15,Finance!BV4)=12,TRUE(),"PARTIAL"))</f>
        <v>0</v>
      </c>
      <c r="BW26" s="63" t="b">
        <f aca="false">AND(BV26=TRUE(),'Cash Drivers'!BZ$26)</f>
        <v>0</v>
      </c>
      <c r="BX26" s="63" t="b">
        <f aca="false">TRUE()</f>
        <v>1</v>
      </c>
      <c r="BY26" s="63" t="b">
        <f aca="false">IF(COUNT(Marketing!BY3,Marketing!BY5,Marketing!BY7,Sales!BY6,Sales!BY7,'Customer Success'!BY17,Finance!BY5,'Cash Drivers'!BY7,'Cash Drivers'!BY13,'Cash Drivers'!BY14,'Cash Drivers'!BY15,Finance!BY4)=0,FALSE(),IF(COUNT(Marketing!BY3,Marketing!BY5,Marketing!BY7,Sales!BY6,Sales!BY7,'Customer Success'!BY17,Finance!BY5,'Cash Drivers'!BY7,'Cash Drivers'!BY13,'Cash Drivers'!BY14,'Cash Drivers'!BY15,Finance!BY4)=12,TRUE(),"PARTIAL"))</f>
        <v>0</v>
      </c>
      <c r="BZ26" s="63" t="b">
        <f aca="false">AND(BY26=TRUE(),'Cash Drivers'!CC$26)</f>
        <v>0</v>
      </c>
      <c r="CA26" s="63" t="b">
        <f aca="false">TRUE()</f>
        <v>1</v>
      </c>
      <c r="CB26" s="63" t="b">
        <f aca="false">IF(COUNT(Marketing!CB3,Marketing!CB5,Marketing!CB7,Sales!CB6,Sales!CB7,'Customer Success'!CB17,Finance!CB5,'Cash Drivers'!CB7,'Cash Drivers'!CB13,'Cash Drivers'!CB14,'Cash Drivers'!CB15,Finance!CB4)=0,FALSE(),IF(COUNT(Marketing!CB3,Marketing!CB5,Marketing!CB7,Sales!CB6,Sales!CB7,'Customer Success'!CB17,Finance!CB5,'Cash Drivers'!CB7,'Cash Drivers'!CB13,'Cash Drivers'!CB14,'Cash Drivers'!CB15,Finance!CB4)=12,TRUE(),"PARTIAL"))</f>
        <v>0</v>
      </c>
      <c r="CC26" s="63" t="b">
        <f aca="false">AND(CB26=TRUE(),'Cash Drivers'!CF$26)</f>
        <v>0</v>
      </c>
      <c r="CD26" s="63" t="b">
        <f aca="false">TRUE()</f>
        <v>1</v>
      </c>
      <c r="CE26" s="63" t="b">
        <f aca="false">IF(COUNT(Marketing!CE3,Marketing!CE5,Marketing!CE7,Sales!CE6,Sales!CE7,'Customer Success'!CE17,Finance!CE5,'Cash Drivers'!CE7,'Cash Drivers'!CE13,'Cash Drivers'!CE14,'Cash Drivers'!CE15,Finance!CE4)=0,FALSE(),IF(COUNT(Marketing!CE3,Marketing!CE5,Marketing!CE7,Sales!CE6,Sales!CE7,'Customer Success'!CE17,Finance!CE5,'Cash Drivers'!CE7,'Cash Drivers'!CE13,'Cash Drivers'!CE14,'Cash Drivers'!CE15,Finance!CE4)=12,TRUE(),"PARTIAL"))</f>
        <v>0</v>
      </c>
      <c r="CF26" s="63" t="b">
        <f aca="false">AND(CE26=TRUE(),'Cash Drivers'!CI$26)</f>
        <v>0</v>
      </c>
      <c r="CG26" s="63" t="b">
        <f aca="false">TRUE()</f>
        <v>1</v>
      </c>
      <c r="CH26" s="63" t="b">
        <f aca="false">IF(COUNT(Marketing!CH3,Marketing!CH5,Marketing!CH7,Sales!CH6,Sales!CH7,'Customer Success'!CH17,Finance!CH5,'Cash Drivers'!CH7,'Cash Drivers'!CH13,'Cash Drivers'!CH14,'Cash Drivers'!CH15,Finance!CH4)=0,FALSE(),IF(COUNT(Marketing!CH3,Marketing!CH5,Marketing!CH7,Sales!CH6,Sales!CH7,'Customer Success'!CH17,Finance!CH5,'Cash Drivers'!CH7,'Cash Drivers'!CH13,'Cash Drivers'!CH14,'Cash Drivers'!CH15,Finance!CH4)=12,TRUE(),"PARTIAL"))</f>
        <v>0</v>
      </c>
      <c r="CI26" s="63" t="b">
        <f aca="false">AND(CH26=TRUE(),'Cash Drivers'!CL$26)</f>
        <v>0</v>
      </c>
      <c r="CJ26" s="63" t="b">
        <f aca="false">TRUE()</f>
        <v>1</v>
      </c>
      <c r="CK26" s="63" t="b">
        <f aca="false">IF(COUNT(Marketing!CK3,Marketing!CK5,Marketing!CK7,Sales!CK6,Sales!CK7,'Customer Success'!CK17,Finance!CK5,'Cash Drivers'!CK7,'Cash Drivers'!CK13,'Cash Drivers'!CK14,'Cash Drivers'!CK15,Finance!CK4)=0,FALSE(),IF(COUNT(Marketing!CK3,Marketing!CK5,Marketing!CK7,Sales!CK6,Sales!CK7,'Customer Success'!CK17,Finance!CK5,'Cash Drivers'!CK7,'Cash Drivers'!CK13,'Cash Drivers'!CK14,'Cash Drivers'!CK15,Finance!CK4)=12,TRUE(),"PARTIAL"))</f>
        <v>0</v>
      </c>
      <c r="CL26" s="63" t="b">
        <f aca="false">AND(CK26=TRUE(),'Cash Drivers'!CO$26)</f>
        <v>0</v>
      </c>
      <c r="CM26" s="63" t="b">
        <f aca="false">TRUE()</f>
        <v>1</v>
      </c>
      <c r="CN26" s="63" t="b">
        <f aca="false">IF(COUNT(Marketing!CN3,Marketing!CN5,Marketing!CN7,Sales!CN6,Sales!CN7,'Customer Success'!CN17,Finance!CN5,'Cash Drivers'!CN7,'Cash Drivers'!CN13,'Cash Drivers'!CN14,'Cash Drivers'!CN15,Finance!CN4)=0,FALSE(),IF(COUNT(Marketing!CN3,Marketing!CN5,Marketing!CN7,Sales!CN6,Sales!CN7,'Customer Success'!CN17,Finance!CN5,'Cash Drivers'!CN7,'Cash Drivers'!CN13,'Cash Drivers'!CN14,'Cash Drivers'!CN15,Finance!CN4)=12,TRUE(),"PARTIAL"))</f>
        <v>0</v>
      </c>
      <c r="CO26" s="63" t="b">
        <f aca="false">AND(CN26=TRUE(),'Cash Drivers'!CR$26)</f>
        <v>0</v>
      </c>
      <c r="CP26" s="63" t="b">
        <f aca="false">TRUE()</f>
        <v>1</v>
      </c>
      <c r="CQ26" s="63" t="b">
        <f aca="false">IF(COUNT(Marketing!CQ3,Marketing!CQ5,Marketing!CQ7,Sales!CQ6,Sales!CQ7,'Customer Success'!CQ17,Finance!CQ5,'Cash Drivers'!CQ7,'Cash Drivers'!CQ13,'Cash Drivers'!CQ14,'Cash Drivers'!CQ15,Finance!CQ4)=0,FALSE(),IF(COUNT(Marketing!CQ3,Marketing!CQ5,Marketing!CQ7,Sales!CQ6,Sales!CQ7,'Customer Success'!CQ17,Finance!CQ5,'Cash Drivers'!CQ7,'Cash Drivers'!CQ13,'Cash Drivers'!CQ14,'Cash Drivers'!CQ15,Finance!CQ4)=12,TRUE(),"PARTIAL"))</f>
        <v>0</v>
      </c>
      <c r="CR26" s="63" t="b">
        <f aca="false">AND(CQ26=TRUE(),'Cash Drivers'!CU$26)</f>
        <v>0</v>
      </c>
      <c r="CS26" s="63" t="b">
        <f aca="false">TRUE()</f>
        <v>1</v>
      </c>
      <c r="CT26" s="63" t="b">
        <f aca="false">IF(COUNT(Marketing!CT3,Marketing!CT5,Marketing!CT7,Sales!CT6,Sales!CT7,'Customer Success'!CT17,Finance!CT5,'Cash Drivers'!CT7,'Cash Drivers'!CT13,'Cash Drivers'!CT14,'Cash Drivers'!CT15,Finance!CT4)=0,FALSE(),IF(COUNT(Marketing!CT3,Marketing!CT5,Marketing!CT7,Sales!CT6,Sales!CT7,'Customer Success'!CT17,Finance!CT5,'Cash Drivers'!CT7,'Cash Drivers'!CT13,'Cash Drivers'!CT14,'Cash Drivers'!CT15,Finance!CT4)=12,TRUE(),"PARTIAL"))</f>
        <v>0</v>
      </c>
      <c r="CU26" s="63" t="b">
        <f aca="false">AND(CT26=TRUE(),'Cash Drivers'!CX$26)</f>
        <v>0</v>
      </c>
      <c r="CV26" s="63" t="b">
        <f aca="false">TRUE()</f>
        <v>1</v>
      </c>
      <c r="CW26" s="63" t="b">
        <f aca="false">IF(COUNT(Marketing!CW3,Marketing!CW5,Marketing!CW7,Sales!CW6,Sales!CW7,'Customer Success'!CW17,Finance!CW5,'Cash Drivers'!CW7,'Cash Drivers'!CW13,'Cash Drivers'!CW14,'Cash Drivers'!CW15,Finance!CW4)=0,FALSE(),IF(COUNT(Marketing!CW3,Marketing!CW5,Marketing!CW7,Sales!CW6,Sales!CW7,'Customer Success'!CW17,Finance!CW5,'Cash Drivers'!CW7,'Cash Drivers'!CW13,'Cash Drivers'!CW14,'Cash Drivers'!CW15,Finance!CW4)=12,TRUE(),"PARTIAL"))</f>
        <v>0</v>
      </c>
      <c r="CX26" s="63" t="b">
        <f aca="false">AND(CW26=TRUE(),'Cash Drivers'!DA$26)</f>
        <v>0</v>
      </c>
      <c r="CY26" s="63" t="b">
        <f aca="false">TRUE()</f>
        <v>1</v>
      </c>
      <c r="CZ26" s="63" t="b">
        <f aca="false">IF(COUNT(Marketing!CZ3,Marketing!CZ5,Marketing!CZ7,Sales!CZ6,Sales!CZ7,'Customer Success'!CZ17,Finance!CZ5,'Cash Drivers'!CZ7,'Cash Drivers'!CZ13,'Cash Drivers'!CZ14,'Cash Drivers'!CZ15,Finance!CZ4)=0,FALSE(),IF(COUNT(Marketing!CZ3,Marketing!CZ5,Marketing!CZ7,Sales!CZ6,Sales!CZ7,'Customer Success'!CZ17,Finance!CZ5,'Cash Drivers'!CZ7,'Cash Drivers'!CZ13,'Cash Drivers'!CZ14,'Cash Drivers'!CZ15,Finance!CZ4)=12,TRUE(),"PARTIAL"))</f>
        <v>0</v>
      </c>
      <c r="DA26" s="63" t="b">
        <f aca="false">AND(CZ26=TRUE(),'Cash Drivers'!DD$26)</f>
        <v>0</v>
      </c>
      <c r="DB26" s="63" t="b">
        <f aca="false">TRUE()</f>
        <v>1</v>
      </c>
      <c r="DC26" s="63" t="b">
        <f aca="false">IF(COUNT(Marketing!DC3,Marketing!DC5,Marketing!DC7,Sales!DC6,Sales!DC7,'Customer Success'!DC17,Finance!DC5,'Cash Drivers'!DC7,'Cash Drivers'!DC13,'Cash Drivers'!DC14,'Cash Drivers'!DC15,Finance!DC4)=0,FALSE(),IF(COUNT(Marketing!DC3,Marketing!DC5,Marketing!DC7,Sales!DC6,Sales!DC7,'Customer Success'!DC17,Finance!DC5,'Cash Drivers'!DC7,'Cash Drivers'!DC13,'Cash Drivers'!DC14,'Cash Drivers'!DC15,Finance!DC4)=12,TRUE(),"PARTIAL"))</f>
        <v>0</v>
      </c>
      <c r="DD26" s="63" t="b">
        <f aca="false">AND(DC26=TRUE(),'Cash Drivers'!DG$26)</f>
        <v>0</v>
      </c>
      <c r="DE26" s="63" t="b">
        <f aca="false">TRUE()</f>
        <v>1</v>
      </c>
      <c r="DF26" s="63" t="b">
        <f aca="false">IF(COUNT(Marketing!DF3,Marketing!DF5,Marketing!DF7,Sales!DF6,Sales!DF7,'Customer Success'!DF17,Finance!DF5,'Cash Drivers'!DF7,'Cash Drivers'!DF13,'Cash Drivers'!DF14,'Cash Drivers'!DF15,Finance!DF4)=0,FALSE(),IF(COUNT(Marketing!DF3,Marketing!DF5,Marketing!DF7,Sales!DF6,Sales!DF7,'Customer Success'!DF17,Finance!DF5,'Cash Drivers'!DF7,'Cash Drivers'!DF13,'Cash Drivers'!DF14,'Cash Drivers'!DF15,Finance!DF4)=12,TRUE(),"PARTIAL"))</f>
        <v>0</v>
      </c>
      <c r="DG26" s="63" t="b">
        <f aca="false">AND(DF26=TRUE(),'Cash Drivers'!DJ$26)</f>
        <v>0</v>
      </c>
      <c r="DH26" s="63" t="b">
        <f aca="false">TRUE()</f>
        <v>1</v>
      </c>
      <c r="DI26" s="63" t="b">
        <f aca="false">IF(COUNT(Marketing!DI3,Marketing!DI5,Marketing!DI7,Sales!DI6,Sales!DI7,'Customer Success'!DI17,Finance!DI5,'Cash Drivers'!DI7,'Cash Drivers'!DI13,'Cash Drivers'!DI14,'Cash Drivers'!DI15,Finance!DI4)=0,FALSE(),IF(COUNT(Marketing!DI3,Marketing!DI5,Marketing!DI7,Sales!DI6,Sales!DI7,'Customer Success'!DI17,Finance!DI5,'Cash Drivers'!DI7,'Cash Drivers'!DI13,'Cash Drivers'!DI14,'Cash Drivers'!DI15,Finance!DI4)=12,TRUE(),"PARTIAL"))</f>
        <v>1</v>
      </c>
      <c r="DJ26" s="63" t="b">
        <f aca="false">AND(DI26=TRUE(),'Cash Drivers'!DM$26)</f>
        <v>1</v>
      </c>
      <c r="DK26" s="63" t="b">
        <f aca="false">TRUE()</f>
        <v>1</v>
      </c>
      <c r="DL26" s="63" t="b">
        <f aca="false">IF(COUNT(Marketing!DL3,Marketing!DL5,Marketing!DL7,Sales!DL6,Sales!DL7,'Customer Success'!DL17,Finance!DL5,'Cash Drivers'!DL7,'Cash Drivers'!DL13,'Cash Drivers'!DL14,'Cash Drivers'!DL15,Finance!DL4)=0,FALSE(),IF(COUNT(Marketing!DL3,Marketing!DL5,Marketing!DL7,Sales!DL6,Sales!DL7,'Customer Success'!DL17,Finance!DL5,'Cash Drivers'!DL7,'Cash Drivers'!DL13,'Cash Drivers'!DL14,'Cash Drivers'!DL15,Finance!DL4)=12,TRUE(),"PARTIAL"))</f>
        <v>1</v>
      </c>
      <c r="DM26" s="63" t="b">
        <f aca="false">AND(DL26=TRUE(),TRUE())</f>
        <v>1</v>
      </c>
      <c r="DN26" s="63" t="b">
        <f aca="false">TRUE()</f>
        <v>1</v>
      </c>
    </row>
    <row r="27" customFormat="false" ht="18" hidden="false" customHeight="true" outlineLevel="0" collapsed="false">
      <c r="A27" s="39"/>
      <c r="B27" s="39"/>
      <c r="C27" s="39"/>
      <c r="D27" s="39"/>
      <c r="E27" s="39"/>
      <c r="F27" s="39"/>
      <c r="G27" s="39"/>
      <c r="H27" s="39"/>
      <c r="I27" s="39"/>
      <c r="J27" s="39"/>
      <c r="K27" s="39"/>
      <c r="L27" s="39"/>
      <c r="M27" s="39"/>
      <c r="N27" s="39"/>
      <c r="O27" s="39"/>
      <c r="P27" s="39"/>
      <c r="Q27" s="39"/>
      <c r="R27" s="39"/>
      <c r="S27" s="39"/>
      <c r="T27" s="39"/>
      <c r="U27" s="39"/>
      <c r="V27" s="39"/>
      <c r="W27" s="39"/>
      <c r="X27" s="39"/>
      <c r="Y27" s="39"/>
      <c r="Z27" s="39"/>
      <c r="AA27" s="39"/>
      <c r="AB27" s="39"/>
      <c r="AC27" s="39"/>
      <c r="AD27" s="39"/>
      <c r="AE27" s="39"/>
      <c r="AF27" s="39"/>
      <c r="AG27" s="39"/>
      <c r="AH27" s="39"/>
      <c r="AI27" s="39"/>
      <c r="AJ27" s="39"/>
      <c r="AK27" s="39"/>
      <c r="AL27" s="39"/>
      <c r="AM27" s="39"/>
      <c r="AN27" s="39"/>
      <c r="AO27" s="39"/>
      <c r="AP27" s="39"/>
      <c r="AQ27" s="39"/>
      <c r="AR27" s="39"/>
      <c r="AS27" s="39"/>
      <c r="AT27" s="39"/>
      <c r="AU27" s="39"/>
      <c r="AV27" s="39"/>
      <c r="AW27" s="39"/>
      <c r="AX27" s="39"/>
      <c r="AY27" s="39"/>
      <c r="AZ27" s="39"/>
      <c r="BA27" s="39"/>
      <c r="BB27" s="39"/>
      <c r="BC27" s="39"/>
      <c r="BD27" s="39"/>
      <c r="BE27" s="39"/>
      <c r="BF27" s="39"/>
      <c r="BG27" s="39"/>
      <c r="BH27" s="39"/>
      <c r="BI27" s="39"/>
      <c r="BJ27" s="39"/>
      <c r="BK27" s="39"/>
      <c r="BL27" s="39"/>
      <c r="BM27" s="39"/>
      <c r="BN27" s="39"/>
      <c r="BO27" s="39"/>
      <c r="BP27" s="39"/>
      <c r="BQ27" s="39"/>
      <c r="BR27" s="39"/>
      <c r="BS27" s="39"/>
      <c r="BT27" s="39"/>
      <c r="BU27" s="39"/>
      <c r="BV27" s="39"/>
      <c r="BW27" s="39"/>
      <c r="BX27" s="39"/>
      <c r="BY27" s="39"/>
      <c r="BZ27" s="39"/>
      <c r="CA27" s="39"/>
      <c r="CB27" s="39"/>
      <c r="CC27" s="39"/>
      <c r="CD27" s="39"/>
      <c r="CE27" s="39"/>
      <c r="CF27" s="39"/>
      <c r="CG27" s="39"/>
      <c r="CH27" s="39"/>
      <c r="CI27" s="39"/>
      <c r="CJ27" s="39"/>
      <c r="CK27" s="39"/>
      <c r="CL27" s="39"/>
      <c r="CM27" s="39"/>
      <c r="CN27" s="39"/>
      <c r="CO27" s="39"/>
      <c r="CP27" s="39"/>
      <c r="CQ27" s="39"/>
      <c r="CR27" s="39"/>
      <c r="CS27" s="39"/>
      <c r="CT27" s="39"/>
      <c r="CU27" s="39"/>
      <c r="CV27" s="39"/>
      <c r="CW27" s="39"/>
      <c r="CX27" s="39"/>
      <c r="CY27" s="39"/>
      <c r="CZ27" s="39"/>
      <c r="DA27" s="39"/>
      <c r="DB27" s="39"/>
      <c r="DC27" s="39"/>
      <c r="DD27" s="39"/>
      <c r="DE27" s="39"/>
      <c r="DF27" s="39"/>
      <c r="DG27" s="39"/>
      <c r="DH27" s="39"/>
      <c r="DI27" s="39"/>
      <c r="DJ27" s="39"/>
      <c r="DK27" s="39"/>
      <c r="DL27" s="39"/>
      <c r="DM27" s="39"/>
      <c r="DN27" s="39"/>
    </row>
    <row r="28" customFormat="false" ht="18" hidden="false" customHeight="true" outlineLevel="0" collapsed="false">
      <c r="A28" s="39"/>
      <c r="B28" s="39"/>
      <c r="C28" s="39"/>
      <c r="D28" s="39"/>
      <c r="E28" s="39"/>
      <c r="F28" s="39"/>
      <c r="G28" s="39"/>
      <c r="H28" s="39"/>
      <c r="I28" s="39"/>
      <c r="J28" s="39"/>
      <c r="K28" s="39"/>
      <c r="L28" s="39"/>
      <c r="M28" s="39"/>
      <c r="N28" s="39"/>
      <c r="O28" s="39"/>
      <c r="P28" s="39"/>
      <c r="Q28" s="39"/>
      <c r="R28" s="39"/>
      <c r="S28" s="39"/>
      <c r="T28" s="39"/>
      <c r="U28" s="39"/>
      <c r="V28" s="39"/>
      <c r="W28" s="39"/>
      <c r="X28" s="39"/>
      <c r="Y28" s="39"/>
      <c r="Z28" s="39"/>
      <c r="AA28" s="39"/>
      <c r="AB28" s="39"/>
      <c r="AC28" s="39"/>
      <c r="AD28" s="39"/>
      <c r="AE28" s="39"/>
      <c r="AF28" s="39"/>
      <c r="AG28" s="39"/>
      <c r="AH28" s="39"/>
      <c r="AI28" s="39"/>
      <c r="AJ28" s="39"/>
      <c r="AK28" s="39"/>
      <c r="AL28" s="39"/>
      <c r="AM28" s="39"/>
      <c r="AN28" s="39"/>
      <c r="AO28" s="39"/>
      <c r="AP28" s="39"/>
      <c r="AQ28" s="39"/>
      <c r="AR28" s="39"/>
      <c r="AS28" s="39"/>
      <c r="AT28" s="39"/>
      <c r="AU28" s="39"/>
      <c r="AV28" s="39"/>
      <c r="AW28" s="39"/>
      <c r="AX28" s="39"/>
      <c r="AY28" s="39"/>
      <c r="AZ28" s="39"/>
      <c r="BA28" s="39"/>
      <c r="BB28" s="39"/>
      <c r="BC28" s="39"/>
      <c r="BD28" s="39"/>
      <c r="BE28" s="39"/>
      <c r="BF28" s="39"/>
      <c r="BG28" s="39"/>
      <c r="BH28" s="39"/>
      <c r="BI28" s="39"/>
      <c r="BJ28" s="39"/>
      <c r="BK28" s="39"/>
      <c r="BL28" s="39"/>
      <c r="BM28" s="39"/>
      <c r="BN28" s="39"/>
      <c r="BO28" s="39"/>
      <c r="BP28" s="39"/>
      <c r="BQ28" s="39"/>
      <c r="BR28" s="39"/>
      <c r="BS28" s="39"/>
      <c r="BT28" s="39"/>
      <c r="BU28" s="39"/>
      <c r="BV28" s="39"/>
      <c r="BW28" s="39"/>
      <c r="BX28" s="39"/>
      <c r="BY28" s="39"/>
      <c r="BZ28" s="39"/>
      <c r="CA28" s="39"/>
      <c r="CB28" s="39"/>
      <c r="CC28" s="39"/>
      <c r="CD28" s="39"/>
      <c r="CE28" s="39"/>
      <c r="CF28" s="39"/>
      <c r="CG28" s="39"/>
      <c r="CH28" s="39"/>
      <c r="CI28" s="39"/>
      <c r="CJ28" s="39"/>
      <c r="CK28" s="39"/>
      <c r="CL28" s="39"/>
      <c r="CM28" s="39"/>
      <c r="CN28" s="39"/>
      <c r="CO28" s="39"/>
      <c r="CP28" s="39"/>
      <c r="CQ28" s="39"/>
      <c r="CR28" s="39"/>
      <c r="CS28" s="39"/>
      <c r="CT28" s="39"/>
      <c r="CU28" s="39"/>
      <c r="CV28" s="39"/>
      <c r="CW28" s="39"/>
      <c r="CX28" s="39"/>
      <c r="CY28" s="39"/>
      <c r="CZ28" s="39"/>
      <c r="DA28" s="39"/>
      <c r="DB28" s="39"/>
      <c r="DC28" s="39"/>
      <c r="DD28" s="39"/>
      <c r="DE28" s="39"/>
      <c r="DF28" s="39"/>
      <c r="DG28" s="39"/>
      <c r="DH28" s="39"/>
      <c r="DI28" s="39"/>
      <c r="DJ28" s="39"/>
      <c r="DK28" s="39"/>
      <c r="DL28" s="39"/>
      <c r="DM28" s="39"/>
      <c r="DN28" s="39"/>
    </row>
    <row r="29" customFormat="false" ht="18" hidden="false" customHeight="true" outlineLevel="0" collapsed="false">
      <c r="A29" s="64" t="s">
        <v>151</v>
      </c>
      <c r="B29" s="64"/>
      <c r="C29" s="64"/>
      <c r="D29" s="64"/>
      <c r="E29" s="64"/>
      <c r="F29" s="64"/>
      <c r="G29" s="64"/>
      <c r="H29" s="64"/>
      <c r="I29" s="64"/>
      <c r="J29" s="64"/>
      <c r="K29" s="64"/>
      <c r="L29" s="64"/>
      <c r="M29" s="64"/>
      <c r="N29" s="64"/>
      <c r="O29" s="64"/>
      <c r="P29" s="64"/>
      <c r="Q29" s="64"/>
      <c r="R29" s="64"/>
      <c r="S29" s="64"/>
      <c r="T29" s="64"/>
      <c r="U29" s="64"/>
      <c r="V29" s="64"/>
      <c r="W29" s="64"/>
      <c r="X29" s="64"/>
      <c r="Y29" s="64"/>
      <c r="Z29" s="64"/>
      <c r="AA29" s="64"/>
      <c r="AB29" s="64"/>
      <c r="AC29" s="64"/>
      <c r="AD29" s="64"/>
      <c r="AE29" s="64"/>
      <c r="AF29" s="64"/>
      <c r="AG29" s="64"/>
      <c r="AH29" s="64"/>
      <c r="AI29" s="64"/>
      <c r="AJ29" s="64"/>
      <c r="AK29" s="64"/>
      <c r="AL29" s="64"/>
      <c r="AM29" s="64"/>
      <c r="AN29" s="64"/>
      <c r="AO29" s="64"/>
      <c r="AP29" s="64"/>
      <c r="AQ29" s="64"/>
      <c r="AR29" s="64"/>
      <c r="AS29" s="64"/>
      <c r="AT29" s="64"/>
      <c r="AU29" s="64"/>
      <c r="AV29" s="64"/>
      <c r="AW29" s="64"/>
      <c r="AX29" s="64"/>
      <c r="AY29" s="64"/>
      <c r="AZ29" s="64"/>
      <c r="BA29" s="64"/>
      <c r="BB29" s="64"/>
      <c r="BC29" s="64"/>
      <c r="BD29" s="64"/>
      <c r="BE29" s="64"/>
      <c r="BF29" s="64"/>
      <c r="BG29" s="64"/>
      <c r="BH29" s="64"/>
      <c r="BI29" s="64"/>
      <c r="BJ29" s="64"/>
      <c r="BK29" s="64"/>
      <c r="BL29" s="64"/>
      <c r="BM29" s="64"/>
      <c r="BN29" s="64"/>
      <c r="BO29" s="64"/>
      <c r="BP29" s="64"/>
      <c r="BQ29" s="64"/>
      <c r="BR29" s="64"/>
      <c r="BS29" s="64"/>
      <c r="BT29" s="64"/>
      <c r="BU29" s="64"/>
      <c r="BV29" s="64"/>
      <c r="BW29" s="64"/>
      <c r="BX29" s="64"/>
      <c r="BY29" s="64"/>
      <c r="BZ29" s="64"/>
      <c r="CA29" s="64"/>
      <c r="CB29" s="64"/>
      <c r="CC29" s="64"/>
      <c r="CD29" s="64"/>
      <c r="CE29" s="64"/>
      <c r="CF29" s="64"/>
      <c r="CG29" s="64"/>
      <c r="CH29" s="64"/>
      <c r="CI29" s="64"/>
      <c r="CJ29" s="64"/>
      <c r="CK29" s="64"/>
      <c r="CL29" s="64"/>
      <c r="CM29" s="64"/>
      <c r="CN29" s="64"/>
      <c r="CO29" s="64"/>
      <c r="CP29" s="64"/>
      <c r="CQ29" s="64"/>
      <c r="CR29" s="64"/>
      <c r="CS29" s="64"/>
      <c r="CT29" s="64"/>
      <c r="CU29" s="64"/>
      <c r="CV29" s="64"/>
      <c r="CW29" s="64"/>
      <c r="CX29" s="64"/>
      <c r="CY29" s="64"/>
      <c r="CZ29" s="64"/>
      <c r="DA29" s="64"/>
      <c r="DB29" s="64"/>
      <c r="DC29" s="64"/>
      <c r="DD29" s="64"/>
      <c r="DE29" s="64"/>
      <c r="DF29" s="64"/>
      <c r="DG29" s="64"/>
      <c r="DH29" s="64"/>
      <c r="DI29" s="64"/>
      <c r="DJ29" s="64"/>
      <c r="DK29" s="64"/>
      <c r="DL29" s="64"/>
      <c r="DM29" s="64"/>
      <c r="DN29" s="64"/>
    </row>
    <row r="30" customFormat="false" ht="18" hidden="false" customHeight="true" outlineLevel="0" collapsed="false">
      <c r="A30" s="32" t="s">
        <v>152</v>
      </c>
      <c r="B30" s="65"/>
      <c r="C30" s="39"/>
      <c r="D30" s="39"/>
      <c r="E30" s="39"/>
      <c r="F30" s="39"/>
      <c r="G30" s="39"/>
      <c r="H30" s="39"/>
      <c r="I30" s="39"/>
      <c r="J30" s="39"/>
      <c r="K30" s="39"/>
      <c r="L30" s="39"/>
      <c r="M30" s="39"/>
      <c r="N30" s="39"/>
      <c r="O30" s="39"/>
      <c r="P30" s="39"/>
      <c r="Q30" s="39"/>
      <c r="R30" s="39"/>
      <c r="S30" s="39"/>
      <c r="T30" s="39"/>
      <c r="U30" s="39"/>
      <c r="V30" s="39"/>
      <c r="W30" s="39"/>
      <c r="X30" s="39"/>
      <c r="Y30" s="39"/>
      <c r="Z30" s="39"/>
      <c r="AA30" s="39"/>
      <c r="AB30" s="39"/>
      <c r="AC30" s="39"/>
      <c r="AD30" s="39"/>
      <c r="AE30" s="39"/>
      <c r="AF30" s="39"/>
      <c r="AG30" s="39"/>
      <c r="AH30" s="39"/>
      <c r="AI30" s="39"/>
      <c r="AJ30" s="39"/>
      <c r="AK30" s="39"/>
      <c r="AL30" s="39"/>
      <c r="AM30" s="39"/>
      <c r="AN30" s="39"/>
      <c r="AO30" s="39"/>
      <c r="AP30" s="39"/>
      <c r="AQ30" s="39"/>
      <c r="AR30" s="39"/>
      <c r="AS30" s="39"/>
      <c r="AT30" s="39"/>
      <c r="AU30" s="39"/>
      <c r="AV30" s="39"/>
      <c r="AW30" s="39"/>
      <c r="AX30" s="39"/>
      <c r="AY30" s="39"/>
      <c r="AZ30" s="39"/>
      <c r="BA30" s="39"/>
      <c r="BB30" s="39"/>
      <c r="BC30" s="39"/>
      <c r="BD30" s="39"/>
      <c r="BE30" s="39"/>
      <c r="BF30" s="39"/>
      <c r="BG30" s="39"/>
      <c r="BH30" s="39"/>
      <c r="BI30" s="39"/>
      <c r="BJ30" s="39"/>
      <c r="BK30" s="39"/>
      <c r="BL30" s="39"/>
      <c r="BM30" s="39"/>
      <c r="BN30" s="39"/>
      <c r="BO30" s="39"/>
      <c r="BP30" s="39"/>
      <c r="BQ30" s="39"/>
      <c r="BR30" s="39"/>
      <c r="BS30" s="39"/>
      <c r="BT30" s="39"/>
      <c r="BU30" s="39"/>
      <c r="BV30" s="39"/>
      <c r="BW30" s="39"/>
      <c r="BX30" s="39"/>
      <c r="BY30" s="39"/>
      <c r="BZ30" s="39"/>
      <c r="CA30" s="39"/>
      <c r="CB30" s="39"/>
      <c r="CC30" s="39"/>
      <c r="CD30" s="39"/>
      <c r="CE30" s="39"/>
      <c r="CF30" s="39"/>
      <c r="CG30" s="39"/>
      <c r="CH30" s="39"/>
      <c r="CI30" s="39"/>
      <c r="CJ30" s="39"/>
      <c r="CK30" s="39"/>
      <c r="CL30" s="39"/>
      <c r="CM30" s="39"/>
      <c r="CN30" s="39"/>
      <c r="CO30" s="39"/>
      <c r="CP30" s="39"/>
      <c r="CQ30" s="39"/>
      <c r="CR30" s="39"/>
      <c r="CS30" s="39"/>
      <c r="CT30" s="39"/>
      <c r="CU30" s="39"/>
      <c r="CV30" s="39"/>
      <c r="CW30" s="39"/>
      <c r="CX30" s="39"/>
      <c r="CY30" s="39"/>
      <c r="CZ30" s="39"/>
      <c r="DA30" s="39"/>
      <c r="DB30" s="39"/>
      <c r="DC30" s="39"/>
      <c r="DD30" s="39"/>
      <c r="DE30" s="39"/>
      <c r="DF30" s="39"/>
      <c r="DG30" s="39"/>
      <c r="DH30" s="39"/>
      <c r="DI30" s="39"/>
      <c r="DJ30" s="39"/>
      <c r="DK30" s="39"/>
      <c r="DL30" s="66" t="n">
        <f aca="false">Finance!$DL$61</f>
        <v>46053</v>
      </c>
      <c r="DM30" s="66"/>
      <c r="DN30" s="66"/>
    </row>
    <row r="31" customFormat="false" ht="18" hidden="false" customHeight="true" outlineLevel="0" collapsed="false">
      <c r="A31" s="32" t="s">
        <v>153</v>
      </c>
      <c r="B31" s="67"/>
      <c r="C31" s="39"/>
      <c r="D31" s="39"/>
      <c r="E31" s="39"/>
      <c r="F31" s="39"/>
      <c r="G31" s="39"/>
      <c r="H31" s="39"/>
      <c r="I31" s="39"/>
      <c r="J31" s="39"/>
      <c r="K31" s="39"/>
      <c r="L31" s="39"/>
      <c r="M31" s="39"/>
      <c r="N31" s="39"/>
      <c r="O31" s="39"/>
      <c r="P31" s="39"/>
      <c r="Q31" s="39"/>
      <c r="R31" s="39"/>
      <c r="S31" s="39"/>
      <c r="T31" s="39"/>
      <c r="U31" s="39"/>
      <c r="V31" s="39"/>
      <c r="W31" s="39"/>
      <c r="X31" s="39"/>
      <c r="Y31" s="39"/>
      <c r="Z31" s="39"/>
      <c r="AA31" s="39"/>
      <c r="AB31" s="39"/>
      <c r="AC31" s="39"/>
      <c r="AD31" s="39"/>
      <c r="AE31" s="39"/>
      <c r="AF31" s="39"/>
      <c r="AG31" s="39"/>
      <c r="AH31" s="39"/>
      <c r="AI31" s="39"/>
      <c r="AJ31" s="39"/>
      <c r="AK31" s="39"/>
      <c r="AL31" s="39"/>
      <c r="AM31" s="39"/>
      <c r="AN31" s="39"/>
      <c r="AO31" s="39"/>
      <c r="AP31" s="39"/>
      <c r="AQ31" s="39"/>
      <c r="AR31" s="39"/>
      <c r="AS31" s="39"/>
      <c r="AT31" s="39"/>
      <c r="AU31" s="39"/>
      <c r="AV31" s="39"/>
      <c r="AW31" s="39"/>
      <c r="AX31" s="39"/>
      <c r="AY31" s="39"/>
      <c r="AZ31" s="39"/>
      <c r="BA31" s="39"/>
      <c r="BB31" s="39"/>
      <c r="BC31" s="39"/>
      <c r="BD31" s="39"/>
      <c r="BE31" s="39"/>
      <c r="BF31" s="39"/>
      <c r="BG31" s="39"/>
      <c r="BH31" s="39"/>
      <c r="BI31" s="39"/>
      <c r="BJ31" s="39"/>
      <c r="BK31" s="39"/>
      <c r="BL31" s="39"/>
      <c r="BM31" s="39"/>
      <c r="BN31" s="39"/>
      <c r="BO31" s="39"/>
      <c r="BP31" s="39"/>
      <c r="BQ31" s="39"/>
      <c r="BR31" s="39"/>
      <c r="BS31" s="39"/>
      <c r="BT31" s="39"/>
      <c r="BU31" s="39"/>
      <c r="BV31" s="39"/>
      <c r="BW31" s="39"/>
      <c r="BX31" s="39"/>
      <c r="BY31" s="39"/>
      <c r="BZ31" s="39"/>
      <c r="CA31" s="39"/>
      <c r="CB31" s="39"/>
      <c r="CC31" s="39"/>
      <c r="CD31" s="39"/>
      <c r="CE31" s="39"/>
      <c r="CF31" s="39"/>
      <c r="CG31" s="39"/>
      <c r="CH31" s="39"/>
      <c r="CI31" s="39"/>
      <c r="CJ31" s="39"/>
      <c r="CK31" s="39"/>
      <c r="CL31" s="39"/>
      <c r="CM31" s="39"/>
      <c r="CN31" s="39"/>
      <c r="CO31" s="39"/>
      <c r="CP31" s="39"/>
      <c r="CQ31" s="39"/>
      <c r="CR31" s="39"/>
      <c r="CS31" s="39"/>
      <c r="CT31" s="39"/>
      <c r="CU31" s="39"/>
      <c r="CV31" s="39"/>
      <c r="CW31" s="39"/>
      <c r="CX31" s="39"/>
      <c r="CY31" s="39"/>
      <c r="CZ31" s="39"/>
      <c r="DA31" s="39"/>
      <c r="DB31" s="39"/>
      <c r="DC31" s="39"/>
      <c r="DD31" s="39"/>
      <c r="DE31" s="39"/>
      <c r="DF31" s="39"/>
      <c r="DG31" s="39"/>
      <c r="DH31" s="39"/>
      <c r="DI31" s="39"/>
      <c r="DJ31" s="39"/>
      <c r="DK31" s="39"/>
      <c r="DL31" s="68" t="n">
        <f aca="false">Sales!$DL$61</f>
        <v>74</v>
      </c>
      <c r="DM31" s="68"/>
      <c r="DN31" s="68"/>
    </row>
    <row r="32" customFormat="false" ht="18" hidden="false" customHeight="true" outlineLevel="0" collapsed="false">
      <c r="A32" s="32" t="s">
        <v>154</v>
      </c>
      <c r="B32" s="69"/>
      <c r="C32" s="39"/>
      <c r="D32" s="39"/>
      <c r="E32" s="39"/>
      <c r="F32" s="39"/>
      <c r="G32" s="39"/>
      <c r="H32" s="39"/>
      <c r="I32" s="39"/>
      <c r="J32" s="39"/>
      <c r="K32" s="39"/>
      <c r="L32" s="39"/>
      <c r="M32" s="39"/>
      <c r="N32" s="39"/>
      <c r="O32" s="39"/>
      <c r="P32" s="39"/>
      <c r="Q32" s="39"/>
      <c r="R32" s="39"/>
      <c r="S32" s="39"/>
      <c r="T32" s="39"/>
      <c r="U32" s="39"/>
      <c r="V32" s="39"/>
      <c r="W32" s="39"/>
      <c r="X32" s="39"/>
      <c r="Y32" s="39"/>
      <c r="Z32" s="39"/>
      <c r="AA32" s="39"/>
      <c r="AB32" s="39"/>
      <c r="AC32" s="39"/>
      <c r="AD32" s="39"/>
      <c r="AE32" s="39"/>
      <c r="AF32" s="39"/>
      <c r="AG32" s="39"/>
      <c r="AH32" s="39"/>
      <c r="AI32" s="39"/>
      <c r="AJ32" s="39"/>
      <c r="AK32" s="39"/>
      <c r="AL32" s="39"/>
      <c r="AM32" s="39"/>
      <c r="AN32" s="39"/>
      <c r="AO32" s="39"/>
      <c r="AP32" s="39"/>
      <c r="AQ32" s="39"/>
      <c r="AR32" s="39"/>
      <c r="AS32" s="39"/>
      <c r="AT32" s="39"/>
      <c r="AU32" s="39"/>
      <c r="AV32" s="39"/>
      <c r="AW32" s="39"/>
      <c r="AX32" s="39"/>
      <c r="AY32" s="39"/>
      <c r="AZ32" s="39"/>
      <c r="BA32" s="39"/>
      <c r="BB32" s="39"/>
      <c r="BC32" s="39"/>
      <c r="BD32" s="39"/>
      <c r="BE32" s="39"/>
      <c r="BF32" s="39"/>
      <c r="BG32" s="39"/>
      <c r="BH32" s="39"/>
      <c r="BI32" s="39"/>
      <c r="BJ32" s="39"/>
      <c r="BK32" s="39"/>
      <c r="BL32" s="39"/>
      <c r="BM32" s="39"/>
      <c r="BN32" s="39"/>
      <c r="BO32" s="39"/>
      <c r="BP32" s="39"/>
      <c r="BQ32" s="39"/>
      <c r="BR32" s="39"/>
      <c r="BS32" s="39"/>
      <c r="BT32" s="39"/>
      <c r="BU32" s="39"/>
      <c r="BV32" s="39"/>
      <c r="BW32" s="39"/>
      <c r="BX32" s="39"/>
      <c r="BY32" s="39"/>
      <c r="BZ32" s="39"/>
      <c r="CA32" s="39"/>
      <c r="CB32" s="39"/>
      <c r="CC32" s="39"/>
      <c r="CD32" s="39"/>
      <c r="CE32" s="39"/>
      <c r="CF32" s="39"/>
      <c r="CG32" s="39"/>
      <c r="CH32" s="39"/>
      <c r="CI32" s="39"/>
      <c r="CJ32" s="39"/>
      <c r="CK32" s="39"/>
      <c r="CL32" s="39"/>
      <c r="CM32" s="39"/>
      <c r="CN32" s="39"/>
      <c r="CO32" s="39"/>
      <c r="CP32" s="39"/>
      <c r="CQ32" s="39"/>
      <c r="CR32" s="39"/>
      <c r="CS32" s="39"/>
      <c r="CT32" s="39"/>
      <c r="CU32" s="39"/>
      <c r="CV32" s="39"/>
      <c r="CW32" s="39"/>
      <c r="CX32" s="39"/>
      <c r="CY32" s="39"/>
      <c r="CZ32" s="39"/>
      <c r="DA32" s="39"/>
      <c r="DB32" s="39"/>
      <c r="DC32" s="39"/>
      <c r="DD32" s="39"/>
      <c r="DE32" s="39"/>
      <c r="DF32" s="39"/>
      <c r="DG32" s="39"/>
      <c r="DH32" s="39"/>
      <c r="DI32" s="39"/>
      <c r="DJ32" s="39"/>
      <c r="DK32" s="39"/>
      <c r="DL32" s="70" t="n">
        <v>19</v>
      </c>
      <c r="DM32" s="70"/>
      <c r="DN32" s="70"/>
    </row>
    <row r="33" customFormat="false" ht="18" hidden="false" customHeight="true" outlineLevel="0" collapsed="false">
      <c r="A33" s="32" t="s">
        <v>141</v>
      </c>
      <c r="B33" s="69"/>
      <c r="C33" s="39"/>
      <c r="D33" s="39"/>
      <c r="E33" s="39"/>
      <c r="F33" s="39"/>
      <c r="G33" s="39"/>
      <c r="H33" s="39"/>
      <c r="I33" s="39"/>
      <c r="J33" s="39"/>
      <c r="K33" s="39"/>
      <c r="L33" s="39"/>
      <c r="M33" s="39"/>
      <c r="N33" s="39"/>
      <c r="O33" s="39"/>
      <c r="P33" s="39"/>
      <c r="Q33" s="39"/>
      <c r="R33" s="39"/>
      <c r="S33" s="39"/>
      <c r="T33" s="39"/>
      <c r="U33" s="39"/>
      <c r="V33" s="39"/>
      <c r="W33" s="39"/>
      <c r="X33" s="39"/>
      <c r="Y33" s="39"/>
      <c r="Z33" s="39"/>
      <c r="AA33" s="39"/>
      <c r="AB33" s="39"/>
      <c r="AC33" s="39"/>
      <c r="AD33" s="39"/>
      <c r="AE33" s="39"/>
      <c r="AF33" s="39"/>
      <c r="AG33" s="39"/>
      <c r="AH33" s="39"/>
      <c r="AI33" s="39"/>
      <c r="AJ33" s="39"/>
      <c r="AK33" s="39"/>
      <c r="AL33" s="39"/>
      <c r="AM33" s="39"/>
      <c r="AN33" s="39"/>
      <c r="AO33" s="39"/>
      <c r="AP33" s="39"/>
      <c r="AQ33" s="39"/>
      <c r="AR33" s="39"/>
      <c r="AS33" s="39"/>
      <c r="AT33" s="39"/>
      <c r="AU33" s="39"/>
      <c r="AV33" s="39"/>
      <c r="AW33" s="39"/>
      <c r="AX33" s="39"/>
      <c r="AY33" s="39"/>
      <c r="AZ33" s="39"/>
      <c r="BA33" s="39"/>
      <c r="BB33" s="39"/>
      <c r="BC33" s="39"/>
      <c r="BD33" s="39"/>
      <c r="BE33" s="39"/>
      <c r="BF33" s="39"/>
      <c r="BG33" s="39"/>
      <c r="BH33" s="39"/>
      <c r="BI33" s="39"/>
      <c r="BJ33" s="39"/>
      <c r="BK33" s="39"/>
      <c r="BL33" s="39"/>
      <c r="BM33" s="39"/>
      <c r="BN33" s="39"/>
      <c r="BO33" s="39"/>
      <c r="BP33" s="39"/>
      <c r="BQ33" s="39"/>
      <c r="BR33" s="39"/>
      <c r="BS33" s="39"/>
      <c r="BT33" s="39"/>
      <c r="BU33" s="39"/>
      <c r="BV33" s="39"/>
      <c r="BW33" s="39"/>
      <c r="BX33" s="39"/>
      <c r="BY33" s="39"/>
      <c r="BZ33" s="39"/>
      <c r="CA33" s="39"/>
      <c r="CB33" s="39"/>
      <c r="CC33" s="39"/>
      <c r="CD33" s="39"/>
      <c r="CE33" s="39"/>
      <c r="CF33" s="39"/>
      <c r="CG33" s="39"/>
      <c r="CH33" s="39"/>
      <c r="CI33" s="39"/>
      <c r="CJ33" s="39"/>
      <c r="CK33" s="39"/>
      <c r="CL33" s="39"/>
      <c r="CM33" s="39"/>
      <c r="CN33" s="39"/>
      <c r="CO33" s="39"/>
      <c r="CP33" s="39"/>
      <c r="CQ33" s="39"/>
      <c r="CR33" s="39"/>
      <c r="CS33" s="39"/>
      <c r="CT33" s="39"/>
      <c r="CU33" s="39"/>
      <c r="CV33" s="39"/>
      <c r="CW33" s="39"/>
      <c r="CX33" s="39"/>
      <c r="CY33" s="39"/>
      <c r="CZ33" s="39"/>
      <c r="DA33" s="39"/>
      <c r="DB33" s="39"/>
      <c r="DC33" s="39"/>
      <c r="DD33" s="39"/>
      <c r="DE33" s="39"/>
      <c r="DF33" s="39"/>
      <c r="DG33" s="39"/>
      <c r="DH33" s="39"/>
      <c r="DI33" s="39"/>
      <c r="DJ33" s="39"/>
      <c r="DK33" s="39"/>
      <c r="DL33" s="70" t="n">
        <v>0</v>
      </c>
      <c r="DM33" s="70"/>
      <c r="DN33" s="70"/>
    </row>
    <row r="34" customFormat="false" ht="18" hidden="false" customHeight="true" outlineLevel="0" collapsed="false">
      <c r="A34" s="32" t="s">
        <v>147</v>
      </c>
      <c r="B34" s="71"/>
      <c r="C34" s="39"/>
      <c r="D34" s="39"/>
      <c r="E34" s="39"/>
      <c r="F34" s="39"/>
      <c r="G34" s="39"/>
      <c r="H34" s="39"/>
      <c r="I34" s="39"/>
      <c r="J34" s="39"/>
      <c r="K34" s="39"/>
      <c r="L34" s="39"/>
      <c r="M34" s="39"/>
      <c r="N34" s="39"/>
      <c r="O34" s="39"/>
      <c r="P34" s="39"/>
      <c r="Q34" s="39"/>
      <c r="R34" s="39"/>
      <c r="S34" s="39"/>
      <c r="T34" s="39"/>
      <c r="U34" s="39"/>
      <c r="V34" s="39"/>
      <c r="W34" s="39"/>
      <c r="X34" s="39"/>
      <c r="Y34" s="39"/>
      <c r="Z34" s="39"/>
      <c r="AA34" s="39"/>
      <c r="AB34" s="39"/>
      <c r="AC34" s="39"/>
      <c r="AD34" s="39"/>
      <c r="AE34" s="39"/>
      <c r="AF34" s="39"/>
      <c r="AG34" s="39"/>
      <c r="AH34" s="39"/>
      <c r="AI34" s="39"/>
      <c r="AJ34" s="39"/>
      <c r="AK34" s="39"/>
      <c r="AL34" s="39"/>
      <c r="AM34" s="39"/>
      <c r="AN34" s="39"/>
      <c r="AO34" s="39"/>
      <c r="AP34" s="39"/>
      <c r="AQ34" s="39"/>
      <c r="AR34" s="39"/>
      <c r="AS34" s="39"/>
      <c r="AT34" s="39"/>
      <c r="AU34" s="39"/>
      <c r="AV34" s="39"/>
      <c r="AW34" s="39"/>
      <c r="AX34" s="39"/>
      <c r="AY34" s="39"/>
      <c r="AZ34" s="39"/>
      <c r="BA34" s="39"/>
      <c r="BB34" s="39"/>
      <c r="BC34" s="39"/>
      <c r="BD34" s="39"/>
      <c r="BE34" s="39"/>
      <c r="BF34" s="39"/>
      <c r="BG34" s="39"/>
      <c r="BH34" s="39"/>
      <c r="BI34" s="39"/>
      <c r="BJ34" s="39"/>
      <c r="BK34" s="39"/>
      <c r="BL34" s="39"/>
      <c r="BM34" s="39"/>
      <c r="BN34" s="39"/>
      <c r="BO34" s="39"/>
      <c r="BP34" s="39"/>
      <c r="BQ34" s="39"/>
      <c r="BR34" s="39"/>
      <c r="BS34" s="39"/>
      <c r="BT34" s="39"/>
      <c r="BU34" s="39"/>
      <c r="BV34" s="39"/>
      <c r="BW34" s="39"/>
      <c r="BX34" s="39"/>
      <c r="BY34" s="39"/>
      <c r="BZ34" s="39"/>
      <c r="CA34" s="39"/>
      <c r="CB34" s="39"/>
      <c r="CC34" s="39"/>
      <c r="CD34" s="39"/>
      <c r="CE34" s="39"/>
      <c r="CF34" s="39"/>
      <c r="CG34" s="39"/>
      <c r="CH34" s="39"/>
      <c r="CI34" s="39"/>
      <c r="CJ34" s="39"/>
      <c r="CK34" s="39"/>
      <c r="CL34" s="39"/>
      <c r="CM34" s="39"/>
      <c r="CN34" s="39"/>
      <c r="CO34" s="39"/>
      <c r="CP34" s="39"/>
      <c r="CQ34" s="39"/>
      <c r="CR34" s="39"/>
      <c r="CS34" s="39"/>
      <c r="CT34" s="39"/>
      <c r="CU34" s="39"/>
      <c r="CV34" s="39"/>
      <c r="CW34" s="39"/>
      <c r="CX34" s="39"/>
      <c r="CY34" s="39"/>
      <c r="CZ34" s="39"/>
      <c r="DA34" s="39"/>
      <c r="DB34" s="39"/>
      <c r="DC34" s="39"/>
      <c r="DD34" s="39"/>
      <c r="DE34" s="39"/>
      <c r="DF34" s="39"/>
      <c r="DG34" s="39"/>
      <c r="DH34" s="39"/>
      <c r="DI34" s="39"/>
      <c r="DJ34" s="39"/>
      <c r="DK34" s="39"/>
      <c r="DL34" s="72" t="n">
        <v>0</v>
      </c>
      <c r="DM34" s="72"/>
      <c r="DN34" s="72"/>
    </row>
    <row r="35" customFormat="false" ht="18" hidden="false" customHeight="true" outlineLevel="0" collapsed="false">
      <c r="A35" s="32" t="s">
        <v>155</v>
      </c>
      <c r="B35" s="73"/>
      <c r="C35" s="39"/>
      <c r="D35" s="39"/>
      <c r="E35" s="39"/>
      <c r="F35" s="39"/>
      <c r="G35" s="39"/>
      <c r="H35" s="39"/>
      <c r="I35" s="39"/>
      <c r="J35" s="39"/>
      <c r="K35" s="39"/>
      <c r="L35" s="39"/>
      <c r="M35" s="39"/>
      <c r="N35" s="39"/>
      <c r="O35" s="39"/>
      <c r="P35" s="39"/>
      <c r="Q35" s="39"/>
      <c r="R35" s="39"/>
      <c r="S35" s="39"/>
      <c r="T35" s="39"/>
      <c r="U35" s="39"/>
      <c r="V35" s="39"/>
      <c r="W35" s="39"/>
      <c r="X35" s="39"/>
      <c r="Y35" s="39"/>
      <c r="Z35" s="39"/>
      <c r="AA35" s="39"/>
      <c r="AB35" s="39"/>
      <c r="AC35" s="39"/>
      <c r="AD35" s="39"/>
      <c r="AE35" s="39"/>
      <c r="AF35" s="39"/>
      <c r="AG35" s="39"/>
      <c r="AH35" s="39"/>
      <c r="AI35" s="39"/>
      <c r="AJ35" s="39"/>
      <c r="AK35" s="39"/>
      <c r="AL35" s="39"/>
      <c r="AM35" s="39"/>
      <c r="AN35" s="39"/>
      <c r="AO35" s="39"/>
      <c r="AP35" s="39"/>
      <c r="AQ35" s="39"/>
      <c r="AR35" s="39"/>
      <c r="AS35" s="39"/>
      <c r="AT35" s="39"/>
      <c r="AU35" s="39"/>
      <c r="AV35" s="39"/>
      <c r="AW35" s="39"/>
      <c r="AX35" s="39"/>
      <c r="AY35" s="39"/>
      <c r="AZ35" s="39"/>
      <c r="BA35" s="39"/>
      <c r="BB35" s="39"/>
      <c r="BC35" s="39"/>
      <c r="BD35" s="39"/>
      <c r="BE35" s="39"/>
      <c r="BF35" s="39"/>
      <c r="BG35" s="39"/>
      <c r="BH35" s="39"/>
      <c r="BI35" s="39"/>
      <c r="BJ35" s="39"/>
      <c r="BK35" s="39"/>
      <c r="BL35" s="39"/>
      <c r="BM35" s="39"/>
      <c r="BN35" s="39"/>
      <c r="BO35" s="39"/>
      <c r="BP35" s="39"/>
      <c r="BQ35" s="39"/>
      <c r="BR35" s="39"/>
      <c r="BS35" s="39"/>
      <c r="BT35" s="39"/>
      <c r="BU35" s="39"/>
      <c r="BV35" s="39"/>
      <c r="BW35" s="39"/>
      <c r="BX35" s="39"/>
      <c r="BY35" s="39"/>
      <c r="BZ35" s="39"/>
      <c r="CA35" s="39"/>
      <c r="CB35" s="39"/>
      <c r="CC35" s="39"/>
      <c r="CD35" s="39"/>
      <c r="CE35" s="39"/>
      <c r="CF35" s="39"/>
      <c r="CG35" s="39"/>
      <c r="CH35" s="39"/>
      <c r="CI35" s="39"/>
      <c r="CJ35" s="39"/>
      <c r="CK35" s="39"/>
      <c r="CL35" s="39"/>
      <c r="CM35" s="39"/>
      <c r="CN35" s="39"/>
      <c r="CO35" s="39"/>
      <c r="CP35" s="39"/>
      <c r="CQ35" s="39"/>
      <c r="CR35" s="39"/>
      <c r="CS35" s="39"/>
      <c r="CT35" s="39"/>
      <c r="CU35" s="39"/>
      <c r="CV35" s="39"/>
      <c r="CW35" s="39"/>
      <c r="CX35" s="39"/>
      <c r="CY35" s="39"/>
      <c r="CZ35" s="39"/>
      <c r="DA35" s="39"/>
      <c r="DB35" s="39"/>
      <c r="DC35" s="39"/>
      <c r="DD35" s="39"/>
      <c r="DE35" s="39"/>
      <c r="DF35" s="39"/>
      <c r="DG35" s="39"/>
      <c r="DH35" s="39"/>
      <c r="DI35" s="39"/>
      <c r="DJ35" s="39"/>
      <c r="DK35" s="39"/>
      <c r="DL35" s="74" t="n">
        <f aca="false">Finance!$DL$63</f>
        <v>996000</v>
      </c>
      <c r="DM35" s="74"/>
      <c r="DN35" s="74"/>
    </row>
  </sheetData>
  <mergeCells count="45">
    <mergeCell ref="B1:D1"/>
    <mergeCell ref="E1:G1"/>
    <mergeCell ref="H1:J1"/>
    <mergeCell ref="K1:M1"/>
    <mergeCell ref="N1:P1"/>
    <mergeCell ref="Q1:S1"/>
    <mergeCell ref="T1:V1"/>
    <mergeCell ref="W1:Y1"/>
    <mergeCell ref="Z1:AB1"/>
    <mergeCell ref="AC1:AE1"/>
    <mergeCell ref="AF1:AH1"/>
    <mergeCell ref="AI1:AK1"/>
    <mergeCell ref="AL1:AN1"/>
    <mergeCell ref="AO1:AQ1"/>
    <mergeCell ref="AR1:AT1"/>
    <mergeCell ref="AU1:AW1"/>
    <mergeCell ref="AX1:AZ1"/>
    <mergeCell ref="BA1:BC1"/>
    <mergeCell ref="BD1:BF1"/>
    <mergeCell ref="BG1:BI1"/>
    <mergeCell ref="BJ1:BL1"/>
    <mergeCell ref="BM1:BO1"/>
    <mergeCell ref="BP1:BR1"/>
    <mergeCell ref="BS1:BU1"/>
    <mergeCell ref="BV1:BX1"/>
    <mergeCell ref="BY1:CA1"/>
    <mergeCell ref="CB1:CD1"/>
    <mergeCell ref="CE1:CG1"/>
    <mergeCell ref="CH1:CJ1"/>
    <mergeCell ref="CK1:CM1"/>
    <mergeCell ref="CN1:CP1"/>
    <mergeCell ref="CQ1:CS1"/>
    <mergeCell ref="CT1:CV1"/>
    <mergeCell ref="CW1:CY1"/>
    <mergeCell ref="CZ1:DB1"/>
    <mergeCell ref="DC1:DE1"/>
    <mergeCell ref="DF1:DH1"/>
    <mergeCell ref="DI1:DK1"/>
    <mergeCell ref="DL1:DN1"/>
    <mergeCell ref="DL30:DN30"/>
    <mergeCell ref="DL31:DN31"/>
    <mergeCell ref="DL32:DN32"/>
    <mergeCell ref="DL33:DN33"/>
    <mergeCell ref="DL34:DN34"/>
    <mergeCell ref="DL35:DN35"/>
  </mergeCells>
  <conditionalFormatting sqref="B20:DN20">
    <cfRule type="cellIs" priority="2" operator="greaterThan" aboveAverage="0" equalAverage="0" bottom="0" percent="0" rank="0" text="" dxfId="0">
      <formula>0</formula>
    </cfRule>
  </conditionalFormatting>
  <dataValidations count="1">
    <dataValidation allowBlank="true" errorStyle="stop" operator="greaterThanOrEqual" showDropDown="false" showErrorMessage="true" showInputMessage="false" sqref="K7 M7:N7 P7:Q7 S7:T7 V7:W7 Y7:Z7 AB7:AC7 AE7:AF7 AH7:AI7 AK7:AL7 AN7:AO7 AQ7:AR7 AT7:AU7 AW7:AX7 AZ7:BA7 BC7:BD7 BF7:BG7 BI7:BJ7 BL7:BM7 BO7:BP7 BR7:BS7 BU7:BV7 BX7:BY7 CA7:CB7 CD7:CE7 CG7:CH7 CJ7:CK7 CM7:CN7 CP7:CQ7 CS7:CT7 CV7:CW7 CY7:CZ7 DB7:DC7 DE7:DF7 DH7:DI7 DK7:DL7 DN7 K13:K15 M13:N15 P13:Q15 S13:T15 V13:W15 Y13:Z15 AB13:AC15 AE13:AF15 AH13:AI15 AK13:AL15 AN13:AO15 AQ13:AR15 AT13:AU15 AW13:AX15 AZ13:BA15 BC13:BD15 BF13:BG15 BI13:BJ15 BL13:BM15 BO13:BP15 BR13:BS15 BU13:BV15 BX13:BY15 CA13:CB15 CD13:CE15 CG13:CH15 CJ13:CK15 CM13:CN15 CP13:CQ15 CS13:CT15 CV13:CW15 CY13:CZ15 DB13:DC15 DE13:DF15 DH13:DI15 DK13:DL15 DN13:DN15 B32:B34 DL32:DL34" type="decimal">
      <formula1>0</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N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false" zeroHeight="false" outlineLevelRow="0" outlineLevelCol="0"/>
  <cols>
    <col collapsed="false" customWidth="true" hidden="false" outlineLevel="0" max="1" min="1" style="0" width="44"/>
    <col collapsed="false" customWidth="true" hidden="false" outlineLevel="0" max="118" min="2" style="0" width="11"/>
  </cols>
  <sheetData>
    <row r="1" customFormat="false" ht="15" hidden="false" customHeight="false" outlineLevel="0" collapsed="false">
      <c r="B1" s="6" t="str">
        <f aca="false">"FY"&amp;YEAR(K$1)</f>
        <v>FY2028</v>
      </c>
      <c r="C1" s="6"/>
      <c r="D1" s="6"/>
      <c r="E1" s="7" t="str">
        <f aca="false">"FY"&amp;YEAR(AU$1)</f>
        <v>FY2027</v>
      </c>
      <c r="F1" s="7"/>
      <c r="G1" s="7"/>
      <c r="H1" s="6" t="str">
        <f aca="false">"FY"&amp;YEAR(CE$1)</f>
        <v>FY2026</v>
      </c>
      <c r="I1" s="6"/>
      <c r="J1" s="6"/>
      <c r="K1" s="8" t="n">
        <f aca="false">EOMONTH(N$1,1)</f>
        <v>47118</v>
      </c>
      <c r="L1" s="8"/>
      <c r="M1" s="8"/>
      <c r="N1" s="9" t="n">
        <f aca="false">EOMONTH(Q$1,1)</f>
        <v>47087</v>
      </c>
      <c r="O1" s="9"/>
      <c r="P1" s="9"/>
      <c r="Q1" s="8" t="n">
        <f aca="false">EOMONTH(T$1,1)</f>
        <v>47057</v>
      </c>
      <c r="R1" s="8"/>
      <c r="S1" s="8"/>
      <c r="T1" s="9" t="n">
        <f aca="false">EOMONTH(W$1,1)</f>
        <v>47026</v>
      </c>
      <c r="U1" s="9"/>
      <c r="V1" s="9"/>
      <c r="W1" s="8" t="n">
        <f aca="false">EOMONTH(Z$1,1)</f>
        <v>46996</v>
      </c>
      <c r="X1" s="8"/>
      <c r="Y1" s="8"/>
      <c r="Z1" s="9" t="n">
        <f aca="false">EOMONTH(AC$1,1)</f>
        <v>46965</v>
      </c>
      <c r="AA1" s="9"/>
      <c r="AB1" s="9"/>
      <c r="AC1" s="8" t="n">
        <f aca="false">EOMONTH(AF$1,1)</f>
        <v>46934</v>
      </c>
      <c r="AD1" s="8"/>
      <c r="AE1" s="8"/>
      <c r="AF1" s="9" t="n">
        <f aca="false">EOMONTH(AI$1,1)</f>
        <v>46904</v>
      </c>
      <c r="AG1" s="9"/>
      <c r="AH1" s="9"/>
      <c r="AI1" s="8" t="n">
        <f aca="false">EOMONTH(AL$1,1)</f>
        <v>46873</v>
      </c>
      <c r="AJ1" s="8"/>
      <c r="AK1" s="8"/>
      <c r="AL1" s="9" t="n">
        <f aca="false">EOMONTH(AO$1,1)</f>
        <v>46843</v>
      </c>
      <c r="AM1" s="9"/>
      <c r="AN1" s="9"/>
      <c r="AO1" s="8" t="n">
        <f aca="false">EOMONTH(AR$1,1)</f>
        <v>46812</v>
      </c>
      <c r="AP1" s="8"/>
      <c r="AQ1" s="8"/>
      <c r="AR1" s="9" t="n">
        <f aca="false">EOMONTH(AU$1,1)</f>
        <v>46783</v>
      </c>
      <c r="AS1" s="9"/>
      <c r="AT1" s="9"/>
      <c r="AU1" s="8" t="n">
        <f aca="false">EOMONTH(AX$1,1)</f>
        <v>46752</v>
      </c>
      <c r="AV1" s="8"/>
      <c r="AW1" s="8"/>
      <c r="AX1" s="9" t="n">
        <f aca="false">EOMONTH(BA$1,1)</f>
        <v>46721</v>
      </c>
      <c r="AY1" s="9"/>
      <c r="AZ1" s="9"/>
      <c r="BA1" s="8" t="n">
        <f aca="false">EOMONTH(BD$1,1)</f>
        <v>46691</v>
      </c>
      <c r="BB1" s="8"/>
      <c r="BC1" s="8"/>
      <c r="BD1" s="9" t="n">
        <f aca="false">EOMONTH(BG$1,1)</f>
        <v>46660</v>
      </c>
      <c r="BE1" s="9"/>
      <c r="BF1" s="9"/>
      <c r="BG1" s="8" t="n">
        <f aca="false">EOMONTH(BJ$1,1)</f>
        <v>46630</v>
      </c>
      <c r="BH1" s="8"/>
      <c r="BI1" s="8"/>
      <c r="BJ1" s="9" t="n">
        <f aca="false">EOMONTH(BM$1,1)</f>
        <v>46599</v>
      </c>
      <c r="BK1" s="9"/>
      <c r="BL1" s="9"/>
      <c r="BM1" s="8" t="n">
        <f aca="false">EOMONTH(BP$1,1)</f>
        <v>46568</v>
      </c>
      <c r="BN1" s="8"/>
      <c r="BO1" s="8"/>
      <c r="BP1" s="9" t="n">
        <f aca="false">EOMONTH(BS$1,1)</f>
        <v>46538</v>
      </c>
      <c r="BQ1" s="9"/>
      <c r="BR1" s="9"/>
      <c r="BS1" s="8" t="n">
        <f aca="false">EOMONTH(BV$1,1)</f>
        <v>46507</v>
      </c>
      <c r="BT1" s="8"/>
      <c r="BU1" s="8"/>
      <c r="BV1" s="9" t="n">
        <f aca="false">EOMONTH(BY$1,1)</f>
        <v>46477</v>
      </c>
      <c r="BW1" s="9"/>
      <c r="BX1" s="9"/>
      <c r="BY1" s="8" t="n">
        <f aca="false">EOMONTH(CB$1,1)</f>
        <v>46446</v>
      </c>
      <c r="BZ1" s="8"/>
      <c r="CA1" s="8"/>
      <c r="CB1" s="9" t="n">
        <f aca="false">EOMONTH(CE$1,1)</f>
        <v>46418</v>
      </c>
      <c r="CC1" s="9"/>
      <c r="CD1" s="9"/>
      <c r="CE1" s="8" t="n">
        <f aca="false">EOMONTH(CH$1,1)</f>
        <v>46387</v>
      </c>
      <c r="CF1" s="8"/>
      <c r="CG1" s="8"/>
      <c r="CH1" s="9" t="n">
        <f aca="false">EOMONTH(CK$1,1)</f>
        <v>46356</v>
      </c>
      <c r="CI1" s="9"/>
      <c r="CJ1" s="9"/>
      <c r="CK1" s="8" t="n">
        <f aca="false">EOMONTH(CN$1,1)</f>
        <v>46326</v>
      </c>
      <c r="CL1" s="8"/>
      <c r="CM1" s="8"/>
      <c r="CN1" s="9" t="n">
        <f aca="false">EOMONTH(CQ$1,1)</f>
        <v>46295</v>
      </c>
      <c r="CO1" s="9"/>
      <c r="CP1" s="9"/>
      <c r="CQ1" s="8" t="n">
        <f aca="false">EOMONTH(CT$1,1)</f>
        <v>46265</v>
      </c>
      <c r="CR1" s="8"/>
      <c r="CS1" s="8"/>
      <c r="CT1" s="9" t="n">
        <f aca="false">EOMONTH(CW$1,1)</f>
        <v>46234</v>
      </c>
      <c r="CU1" s="9"/>
      <c r="CV1" s="9"/>
      <c r="CW1" s="8" t="n">
        <f aca="false">EOMONTH(CZ$1,1)</f>
        <v>46203</v>
      </c>
      <c r="CX1" s="8"/>
      <c r="CY1" s="8"/>
      <c r="CZ1" s="9" t="n">
        <f aca="false">EOMONTH(DC$1,1)</f>
        <v>46173</v>
      </c>
      <c r="DA1" s="9"/>
      <c r="DB1" s="9"/>
      <c r="DC1" s="8" t="n">
        <f aca="false">EOMONTH(DF$1,1)</f>
        <v>46142</v>
      </c>
      <c r="DD1" s="8"/>
      <c r="DE1" s="8"/>
      <c r="DF1" s="9" t="n">
        <f aca="false">EOMONTH(DI$1,1)</f>
        <v>46112</v>
      </c>
      <c r="DG1" s="9"/>
      <c r="DH1" s="9"/>
      <c r="DI1" s="8" t="n">
        <f aca="false">EOMONTH(DL$1,1)</f>
        <v>46081</v>
      </c>
      <c r="DJ1" s="8"/>
      <c r="DK1" s="8"/>
      <c r="DL1" s="9" t="n">
        <f aca="false">Finance!$DL$61</f>
        <v>46053</v>
      </c>
      <c r="DM1" s="9"/>
      <c r="DN1" s="9"/>
    </row>
    <row r="2" customFormat="false" ht="15" hidden="false" customHeight="false" outlineLevel="0" collapsed="false">
      <c r="A2" s="10"/>
      <c r="B2" s="11" t="s">
        <v>99</v>
      </c>
      <c r="C2" s="11" t="s">
        <v>100</v>
      </c>
      <c r="D2" s="11" t="s">
        <v>101</v>
      </c>
      <c r="E2" s="10" t="s">
        <v>99</v>
      </c>
      <c r="F2" s="10" t="s">
        <v>100</v>
      </c>
      <c r="G2" s="10" t="s">
        <v>101</v>
      </c>
      <c r="H2" s="11" t="s">
        <v>99</v>
      </c>
      <c r="I2" s="11" t="s">
        <v>100</v>
      </c>
      <c r="J2" s="11" t="s">
        <v>101</v>
      </c>
      <c r="K2" s="10" t="s">
        <v>99</v>
      </c>
      <c r="L2" s="10" t="s">
        <v>100</v>
      </c>
      <c r="M2" s="10" t="s">
        <v>101</v>
      </c>
      <c r="N2" s="11" t="s">
        <v>99</v>
      </c>
      <c r="O2" s="11" t="s">
        <v>100</v>
      </c>
      <c r="P2" s="11" t="s">
        <v>101</v>
      </c>
      <c r="Q2" s="10" t="s">
        <v>99</v>
      </c>
      <c r="R2" s="10" t="s">
        <v>100</v>
      </c>
      <c r="S2" s="10" t="s">
        <v>101</v>
      </c>
      <c r="T2" s="11" t="s">
        <v>99</v>
      </c>
      <c r="U2" s="11" t="s">
        <v>100</v>
      </c>
      <c r="V2" s="11" t="s">
        <v>101</v>
      </c>
      <c r="W2" s="10" t="s">
        <v>99</v>
      </c>
      <c r="X2" s="10" t="s">
        <v>100</v>
      </c>
      <c r="Y2" s="10" t="s">
        <v>101</v>
      </c>
      <c r="Z2" s="11" t="s">
        <v>99</v>
      </c>
      <c r="AA2" s="11" t="s">
        <v>100</v>
      </c>
      <c r="AB2" s="11" t="s">
        <v>101</v>
      </c>
      <c r="AC2" s="10" t="s">
        <v>99</v>
      </c>
      <c r="AD2" s="10" t="s">
        <v>100</v>
      </c>
      <c r="AE2" s="10" t="s">
        <v>101</v>
      </c>
      <c r="AF2" s="11" t="s">
        <v>99</v>
      </c>
      <c r="AG2" s="11" t="s">
        <v>100</v>
      </c>
      <c r="AH2" s="11" t="s">
        <v>101</v>
      </c>
      <c r="AI2" s="10" t="s">
        <v>99</v>
      </c>
      <c r="AJ2" s="10" t="s">
        <v>100</v>
      </c>
      <c r="AK2" s="10" t="s">
        <v>101</v>
      </c>
      <c r="AL2" s="11" t="s">
        <v>99</v>
      </c>
      <c r="AM2" s="11" t="s">
        <v>100</v>
      </c>
      <c r="AN2" s="11" t="s">
        <v>101</v>
      </c>
      <c r="AO2" s="10" t="s">
        <v>99</v>
      </c>
      <c r="AP2" s="10" t="s">
        <v>100</v>
      </c>
      <c r="AQ2" s="10" t="s">
        <v>101</v>
      </c>
      <c r="AR2" s="11" t="s">
        <v>99</v>
      </c>
      <c r="AS2" s="11" t="s">
        <v>100</v>
      </c>
      <c r="AT2" s="11" t="s">
        <v>101</v>
      </c>
      <c r="AU2" s="10" t="s">
        <v>99</v>
      </c>
      <c r="AV2" s="10" t="s">
        <v>100</v>
      </c>
      <c r="AW2" s="10" t="s">
        <v>101</v>
      </c>
      <c r="AX2" s="11" t="s">
        <v>99</v>
      </c>
      <c r="AY2" s="11" t="s">
        <v>100</v>
      </c>
      <c r="AZ2" s="11" t="s">
        <v>101</v>
      </c>
      <c r="BA2" s="10" t="s">
        <v>99</v>
      </c>
      <c r="BB2" s="10" t="s">
        <v>100</v>
      </c>
      <c r="BC2" s="10" t="s">
        <v>101</v>
      </c>
      <c r="BD2" s="11" t="s">
        <v>99</v>
      </c>
      <c r="BE2" s="11" t="s">
        <v>100</v>
      </c>
      <c r="BF2" s="11" t="s">
        <v>101</v>
      </c>
      <c r="BG2" s="10" t="s">
        <v>99</v>
      </c>
      <c r="BH2" s="10" t="s">
        <v>100</v>
      </c>
      <c r="BI2" s="10" t="s">
        <v>101</v>
      </c>
      <c r="BJ2" s="11" t="s">
        <v>99</v>
      </c>
      <c r="BK2" s="11" t="s">
        <v>100</v>
      </c>
      <c r="BL2" s="11" t="s">
        <v>101</v>
      </c>
      <c r="BM2" s="10" t="s">
        <v>99</v>
      </c>
      <c r="BN2" s="10" t="s">
        <v>100</v>
      </c>
      <c r="BO2" s="10" t="s">
        <v>101</v>
      </c>
      <c r="BP2" s="11" t="s">
        <v>99</v>
      </c>
      <c r="BQ2" s="11" t="s">
        <v>100</v>
      </c>
      <c r="BR2" s="11" t="s">
        <v>101</v>
      </c>
      <c r="BS2" s="10" t="s">
        <v>99</v>
      </c>
      <c r="BT2" s="10" t="s">
        <v>100</v>
      </c>
      <c r="BU2" s="10" t="s">
        <v>101</v>
      </c>
      <c r="BV2" s="11" t="s">
        <v>99</v>
      </c>
      <c r="BW2" s="11" t="s">
        <v>100</v>
      </c>
      <c r="BX2" s="11" t="s">
        <v>101</v>
      </c>
      <c r="BY2" s="10" t="s">
        <v>99</v>
      </c>
      <c r="BZ2" s="10" t="s">
        <v>100</v>
      </c>
      <c r="CA2" s="10" t="s">
        <v>101</v>
      </c>
      <c r="CB2" s="11" t="s">
        <v>99</v>
      </c>
      <c r="CC2" s="11" t="s">
        <v>100</v>
      </c>
      <c r="CD2" s="11" t="s">
        <v>101</v>
      </c>
      <c r="CE2" s="10" t="s">
        <v>99</v>
      </c>
      <c r="CF2" s="10" t="s">
        <v>100</v>
      </c>
      <c r="CG2" s="10" t="s">
        <v>101</v>
      </c>
      <c r="CH2" s="11" t="s">
        <v>99</v>
      </c>
      <c r="CI2" s="11" t="s">
        <v>100</v>
      </c>
      <c r="CJ2" s="11" t="s">
        <v>101</v>
      </c>
      <c r="CK2" s="10" t="s">
        <v>99</v>
      </c>
      <c r="CL2" s="10" t="s">
        <v>100</v>
      </c>
      <c r="CM2" s="10" t="s">
        <v>101</v>
      </c>
      <c r="CN2" s="11" t="s">
        <v>99</v>
      </c>
      <c r="CO2" s="11" t="s">
        <v>100</v>
      </c>
      <c r="CP2" s="11" t="s">
        <v>101</v>
      </c>
      <c r="CQ2" s="10" t="s">
        <v>99</v>
      </c>
      <c r="CR2" s="10" t="s">
        <v>100</v>
      </c>
      <c r="CS2" s="10" t="s">
        <v>101</v>
      </c>
      <c r="CT2" s="11" t="s">
        <v>99</v>
      </c>
      <c r="CU2" s="11" t="s">
        <v>100</v>
      </c>
      <c r="CV2" s="11" t="s">
        <v>101</v>
      </c>
      <c r="CW2" s="10" t="s">
        <v>99</v>
      </c>
      <c r="CX2" s="10" t="s">
        <v>100</v>
      </c>
      <c r="CY2" s="10" t="s">
        <v>101</v>
      </c>
      <c r="CZ2" s="11" t="s">
        <v>99</v>
      </c>
      <c r="DA2" s="11" t="s">
        <v>100</v>
      </c>
      <c r="DB2" s="11" t="s">
        <v>101</v>
      </c>
      <c r="DC2" s="10" t="s">
        <v>99</v>
      </c>
      <c r="DD2" s="10" t="s">
        <v>100</v>
      </c>
      <c r="DE2" s="10" t="s">
        <v>101</v>
      </c>
      <c r="DF2" s="11" t="s">
        <v>99</v>
      </c>
      <c r="DG2" s="11" t="s">
        <v>100</v>
      </c>
      <c r="DH2" s="11" t="s">
        <v>101</v>
      </c>
      <c r="DI2" s="10" t="s">
        <v>99</v>
      </c>
      <c r="DJ2" s="10" t="s">
        <v>100</v>
      </c>
      <c r="DK2" s="10" t="s">
        <v>101</v>
      </c>
      <c r="DL2" s="11" t="s">
        <v>99</v>
      </c>
      <c r="DM2" s="11" t="s">
        <v>100</v>
      </c>
      <c r="DN2" s="11" t="s">
        <v>101</v>
      </c>
    </row>
    <row r="3" customFormat="false" ht="15" hidden="false" customHeight="false" outlineLevel="0" collapsed="false">
      <c r="A3" s="5" t="s">
        <v>127</v>
      </c>
      <c r="B3" s="75" t="str">
        <f aca="false">IF(COUNT(AR3,AO3,AL3,AI3,AF3,AC3,Z3,W3,T3,Q3,N3,K3)=0,"",SUM(AR3,AO3,AL3,AI3,AF3,AC3,Z3,W3,T3,Q3,N3,K3))</f>
        <v/>
      </c>
      <c r="C3" s="75" t="n">
        <f aca="false">IF(COUNT(AS3,AP3,AM3,AJ3,AG3,AD3,AA3,X3,U3,R3,O3,L3)=0,"",SUM(AS3,AP3,AM3,AJ3,AG3,AD3,AA3,X3,U3,R3,O3,L3))</f>
        <v>118800</v>
      </c>
      <c r="D3" s="75" t="n">
        <f aca="false">IF(COUNT(AT3,AQ3,AN3,AK3,AH3,AE3,AB3,Y3,V3,S3,P3,M3)=0,"",SUM(AT3,AQ3,AN3,AK3,AH3,AE3,AB3,Y3,V3,S3,P3,M3))</f>
        <v>118800</v>
      </c>
      <c r="E3" s="76" t="str">
        <f aca="false">IF(COUNT(CB3,BY3,BV3,BS3,BP3,BM3,BJ3,BG3,BD3,BA3,AX3,AU3)=0,"",SUM(CB3,BY3,BV3,BS3,BP3,BM3,BJ3,BG3,BD3,BA3,AX3,AU3))</f>
        <v/>
      </c>
      <c r="F3" s="76" t="n">
        <f aca="false">IF(COUNT(CC3,BZ3,BW3,BT3,BQ3,BN3,BK3,BH3,BE3,BB3,AY3,AV3)=0,"",SUM(CC3,BZ3,BW3,BT3,BQ3,BN3,BK3,BH3,BE3,BB3,AY3,AV3))</f>
        <v>86400</v>
      </c>
      <c r="G3" s="76" t="n">
        <f aca="false">IF(COUNT(CD3,CA3,BX3,BU3,BR3,BO3,BL3,BI3,BF3,BC3,AZ3,AW3)=0,"",SUM(CD3,CA3,BX3,BU3,BR3,BO3,BL3,BI3,BF3,BC3,AZ3,AW3))</f>
        <v>86400</v>
      </c>
      <c r="H3" s="75" t="n">
        <f aca="false">IF(COUNT(DL3,DI3,DF3,DC3,CZ3,CW3,CT3,CQ3,CN3,CK3,CH3,CE3)=0,"",SUM(DL3,DI3,DF3,DC3,CZ3,CW3,CT3,CQ3,CN3,CK3,CH3,CE3))</f>
        <v>10000</v>
      </c>
      <c r="I3" s="75" t="n">
        <f aca="false">IF(COUNT(DM3,DJ3,DG3,DD3,DA3,CX3,CU3,CR3,CO3,CL3,CI3,CF3)=0,"",SUM(DM3,DJ3,DG3,DD3,DA3,CX3,CU3,CR3,CO3,CL3,CI3,CF3))</f>
        <v>60000</v>
      </c>
      <c r="J3" s="75" t="n">
        <f aca="false">IF(COUNT(DN3,DK3,DH3,DE3,DB3,CY3,CV3,CS3,CP3,CM3,CJ3,CG3)=0,"",SUM(DN3,DK3,DH3,DE3,DB3,CY3,CV3,CS3,CP3,CM3,CJ3,CG3))</f>
        <v>60000</v>
      </c>
      <c r="K3" s="76"/>
      <c r="L3" s="76" t="n">
        <f aca="false">IF('Cash Drivers'!L$26,Marketing!K3,Marketing!M3)</f>
        <v>9900</v>
      </c>
      <c r="M3" s="77" t="n">
        <v>9900</v>
      </c>
      <c r="N3" s="75"/>
      <c r="O3" s="75" t="n">
        <f aca="false">IF('Cash Drivers'!O$26,Marketing!N3,Marketing!P3)</f>
        <v>9900</v>
      </c>
      <c r="P3" s="78" t="n">
        <v>9900</v>
      </c>
      <c r="Q3" s="76"/>
      <c r="R3" s="76" t="n">
        <f aca="false">IF('Cash Drivers'!R$26,Marketing!Q3,Marketing!S3)</f>
        <v>9900</v>
      </c>
      <c r="S3" s="77" t="n">
        <v>9900</v>
      </c>
      <c r="T3" s="75"/>
      <c r="U3" s="75" t="n">
        <f aca="false">IF('Cash Drivers'!U$26,Marketing!T3,Marketing!V3)</f>
        <v>9900</v>
      </c>
      <c r="V3" s="78" t="n">
        <v>9900</v>
      </c>
      <c r="W3" s="76"/>
      <c r="X3" s="76" t="n">
        <f aca="false">IF('Cash Drivers'!X$26,Marketing!W3,Marketing!Y3)</f>
        <v>9900</v>
      </c>
      <c r="Y3" s="77" t="n">
        <v>9900</v>
      </c>
      <c r="Z3" s="75"/>
      <c r="AA3" s="75" t="n">
        <f aca="false">IF('Cash Drivers'!AA$26,Marketing!Z3,Marketing!AB3)</f>
        <v>9900</v>
      </c>
      <c r="AB3" s="78" t="n">
        <v>9900</v>
      </c>
      <c r="AC3" s="76"/>
      <c r="AD3" s="76" t="n">
        <f aca="false">IF('Cash Drivers'!AD$26,Marketing!AC3,Marketing!AE3)</f>
        <v>9900</v>
      </c>
      <c r="AE3" s="77" t="n">
        <v>9900</v>
      </c>
      <c r="AF3" s="75"/>
      <c r="AG3" s="75" t="n">
        <f aca="false">IF('Cash Drivers'!AG$26,Marketing!AF3,Marketing!AH3)</f>
        <v>9900</v>
      </c>
      <c r="AH3" s="78" t="n">
        <v>9900</v>
      </c>
      <c r="AI3" s="76"/>
      <c r="AJ3" s="76" t="n">
        <f aca="false">IF('Cash Drivers'!AJ$26,Marketing!AI3,Marketing!AK3)</f>
        <v>9900</v>
      </c>
      <c r="AK3" s="77" t="n">
        <v>9900</v>
      </c>
      <c r="AL3" s="75"/>
      <c r="AM3" s="75" t="n">
        <f aca="false">IF('Cash Drivers'!AM$26,Marketing!AL3,Marketing!AN3)</f>
        <v>9900</v>
      </c>
      <c r="AN3" s="78" t="n">
        <v>9900</v>
      </c>
      <c r="AO3" s="76"/>
      <c r="AP3" s="76" t="n">
        <f aca="false">IF('Cash Drivers'!AP$26,Marketing!AO3,Marketing!AQ3)</f>
        <v>9900</v>
      </c>
      <c r="AQ3" s="77" t="n">
        <v>9900</v>
      </c>
      <c r="AR3" s="75"/>
      <c r="AS3" s="75" t="n">
        <f aca="false">IF('Cash Drivers'!AS$26,Marketing!AR3,Marketing!AT3)</f>
        <v>9900</v>
      </c>
      <c r="AT3" s="78" t="n">
        <v>9900</v>
      </c>
      <c r="AU3" s="76"/>
      <c r="AV3" s="76" t="n">
        <f aca="false">IF('Cash Drivers'!AV$26,Marketing!AU3,Marketing!AW3)</f>
        <v>7200</v>
      </c>
      <c r="AW3" s="77" t="n">
        <v>7200</v>
      </c>
      <c r="AX3" s="75"/>
      <c r="AY3" s="75" t="n">
        <f aca="false">IF('Cash Drivers'!AY$26,Marketing!AX3,Marketing!AZ3)</f>
        <v>7200</v>
      </c>
      <c r="AZ3" s="78" t="n">
        <v>7200</v>
      </c>
      <c r="BA3" s="76"/>
      <c r="BB3" s="76" t="n">
        <f aca="false">IF('Cash Drivers'!BB$26,Marketing!BA3,Marketing!BC3)</f>
        <v>7200</v>
      </c>
      <c r="BC3" s="77" t="n">
        <v>7200</v>
      </c>
      <c r="BD3" s="75"/>
      <c r="BE3" s="75" t="n">
        <f aca="false">IF('Cash Drivers'!BE$26,Marketing!BD3,Marketing!BF3)</f>
        <v>7200</v>
      </c>
      <c r="BF3" s="78" t="n">
        <v>7200</v>
      </c>
      <c r="BG3" s="76"/>
      <c r="BH3" s="76" t="n">
        <f aca="false">IF('Cash Drivers'!BH$26,Marketing!BG3,Marketing!BI3)</f>
        <v>7200</v>
      </c>
      <c r="BI3" s="77" t="n">
        <v>7200</v>
      </c>
      <c r="BJ3" s="75"/>
      <c r="BK3" s="75" t="n">
        <f aca="false">IF('Cash Drivers'!BK$26,Marketing!BJ3,Marketing!BL3)</f>
        <v>7200</v>
      </c>
      <c r="BL3" s="78" t="n">
        <v>7200</v>
      </c>
      <c r="BM3" s="76"/>
      <c r="BN3" s="76" t="n">
        <f aca="false">IF('Cash Drivers'!BN$26,Marketing!BM3,Marketing!BO3)</f>
        <v>7200</v>
      </c>
      <c r="BO3" s="77" t="n">
        <v>7200</v>
      </c>
      <c r="BP3" s="75"/>
      <c r="BQ3" s="75" t="n">
        <f aca="false">IF('Cash Drivers'!BQ$26,Marketing!BP3,Marketing!BR3)</f>
        <v>7200</v>
      </c>
      <c r="BR3" s="78" t="n">
        <v>7200</v>
      </c>
      <c r="BS3" s="76"/>
      <c r="BT3" s="76" t="n">
        <f aca="false">IF('Cash Drivers'!BT$26,Marketing!BS3,Marketing!BU3)</f>
        <v>7200</v>
      </c>
      <c r="BU3" s="77" t="n">
        <v>7200</v>
      </c>
      <c r="BV3" s="75"/>
      <c r="BW3" s="75" t="n">
        <f aca="false">IF('Cash Drivers'!BW$26,Marketing!BV3,Marketing!BX3)</f>
        <v>7200</v>
      </c>
      <c r="BX3" s="78" t="n">
        <v>7200</v>
      </c>
      <c r="BY3" s="76"/>
      <c r="BZ3" s="76" t="n">
        <f aca="false">IF('Cash Drivers'!BZ$26,Marketing!BY3,Marketing!CA3)</f>
        <v>7200</v>
      </c>
      <c r="CA3" s="77" t="n">
        <v>7200</v>
      </c>
      <c r="CB3" s="75"/>
      <c r="CC3" s="75" t="n">
        <f aca="false">IF('Cash Drivers'!CC$26,Marketing!CB3,Marketing!CD3)</f>
        <v>7200</v>
      </c>
      <c r="CD3" s="78" t="n">
        <v>7200</v>
      </c>
      <c r="CE3" s="76"/>
      <c r="CF3" s="76" t="n">
        <f aca="false">IF('Cash Drivers'!CF$26,Marketing!CE3,Marketing!CG3)</f>
        <v>5000</v>
      </c>
      <c r="CG3" s="77" t="n">
        <v>5000</v>
      </c>
      <c r="CH3" s="75"/>
      <c r="CI3" s="75" t="n">
        <f aca="false">IF('Cash Drivers'!CI$26,Marketing!CH3,Marketing!CJ3)</f>
        <v>5000</v>
      </c>
      <c r="CJ3" s="78" t="n">
        <v>5000</v>
      </c>
      <c r="CK3" s="76"/>
      <c r="CL3" s="76" t="n">
        <f aca="false">IF('Cash Drivers'!CL$26,Marketing!CK3,Marketing!CM3)</f>
        <v>5000</v>
      </c>
      <c r="CM3" s="77" t="n">
        <v>5000</v>
      </c>
      <c r="CN3" s="75"/>
      <c r="CO3" s="75" t="n">
        <f aca="false">IF('Cash Drivers'!CO$26,Marketing!CN3,Marketing!CP3)</f>
        <v>5000</v>
      </c>
      <c r="CP3" s="78" t="n">
        <v>5000</v>
      </c>
      <c r="CQ3" s="76"/>
      <c r="CR3" s="76" t="n">
        <f aca="false">IF('Cash Drivers'!CR$26,Marketing!CQ3,Marketing!CS3)</f>
        <v>5000</v>
      </c>
      <c r="CS3" s="77" t="n">
        <v>5000</v>
      </c>
      <c r="CT3" s="75"/>
      <c r="CU3" s="75" t="n">
        <f aca="false">IF('Cash Drivers'!CU$26,Marketing!CT3,Marketing!CV3)</f>
        <v>5000</v>
      </c>
      <c r="CV3" s="78" t="n">
        <v>5000</v>
      </c>
      <c r="CW3" s="76"/>
      <c r="CX3" s="76" t="n">
        <f aca="false">IF('Cash Drivers'!CX$26,Marketing!CW3,Marketing!CY3)</f>
        <v>5000</v>
      </c>
      <c r="CY3" s="77" t="n">
        <v>5000</v>
      </c>
      <c r="CZ3" s="75"/>
      <c r="DA3" s="75" t="n">
        <f aca="false">IF('Cash Drivers'!DA$26,Marketing!CZ3,Marketing!DB3)</f>
        <v>5000</v>
      </c>
      <c r="DB3" s="78" t="n">
        <v>5000</v>
      </c>
      <c r="DC3" s="76"/>
      <c r="DD3" s="76" t="n">
        <f aca="false">IF('Cash Drivers'!DD$26,Marketing!DC3,Marketing!DE3)</f>
        <v>5000</v>
      </c>
      <c r="DE3" s="77" t="n">
        <v>5000</v>
      </c>
      <c r="DF3" s="75"/>
      <c r="DG3" s="75" t="n">
        <f aca="false">IF('Cash Drivers'!DG$26,Marketing!DF3,Marketing!DH3)</f>
        <v>5000</v>
      </c>
      <c r="DH3" s="78" t="n">
        <v>5000</v>
      </c>
      <c r="DI3" s="77" t="n">
        <v>5000</v>
      </c>
      <c r="DJ3" s="76" t="n">
        <f aca="false">DI3</f>
        <v>5000</v>
      </c>
      <c r="DK3" s="77" t="n">
        <v>5000</v>
      </c>
      <c r="DL3" s="78" t="n">
        <v>5000</v>
      </c>
      <c r="DM3" s="75" t="n">
        <f aca="false">DL3</f>
        <v>5000</v>
      </c>
      <c r="DN3" s="78" t="n">
        <v>5000</v>
      </c>
    </row>
    <row r="4" customFormat="false" ht="15" hidden="false" customHeight="false" outlineLevel="0" collapsed="false">
      <c r="A4" s="17" t="s">
        <v>156</v>
      </c>
      <c r="B4" s="18" t="str">
        <f aca="false">IF(SUM(AR3,AO3,AL3,AI3,AF3,AC3,Z3,W3,T3,Q3,N3,K3)=0,"",SUM(AR5,AO5,AL5,AI5,AF5,AC5,Z5,W5,T5,Q5,N5,K5)/SUM(AR3,AO3,AL3,AI3,AF3,AC3,Z3,W3,T3,Q3,N3,K3))</f>
        <v/>
      </c>
      <c r="C4" s="18" t="n">
        <f aca="false">IF(SUM(AS3,AP3,AM3,AJ3,AG3,AD3,AA3,X3,U3,R3,O3,L3)=0,"",SUM(AS5,AP5,AM5,AJ5,AG5,AD5,AA5,X5,U5,R5,O5,L5)/SUM(AS3,AP3,AM3,AJ3,AG3,AD3,AA3,X3,U3,R3,O3,L3))</f>
        <v>0.024040404040404</v>
      </c>
      <c r="D4" s="18" t="n">
        <f aca="false">IF(SUM(AT3,AQ3,AN3,AK3,AH3,AE3,AB3,Y3,V3,S3,P3,M3)=0,"",SUM(AT5,AQ5,AN5,AK5,AH5,AE5,AB5,Y5,V5,S5,P5,M5)/SUM(AT3,AQ3,AN3,AK3,AH3,AE3,AB3,Y3,V3,S3,P3,M3))</f>
        <v>0.024040404040404</v>
      </c>
      <c r="E4" s="19" t="str">
        <f aca="false">IF(SUM(CB3,BY3,BV3,BS3,BP3,BM3,BJ3,BG3,BD3,BA3,AX3,AU3)=0,"",SUM(CB5,BY5,BV5,BS5,BP5,BM5,BJ5,BG5,BD5,BA5,AX5,AU5)/SUM(CB3,BY3,BV3,BS3,BP3,BM3,BJ3,BG3,BD3,BA3,AX3,AU3))</f>
        <v/>
      </c>
      <c r="F4" s="19" t="n">
        <f aca="false">IF(SUM(CC3,BZ3,BW3,BT3,BQ3,BN3,BK3,BH3,BE3,BB3,AY3,AV3)=0,"",SUM(CC5,BZ5,BW5,BT5,BQ5,BN5,BK5,BH5,BE5,BB5,AY5,AV5)/SUM(CC3,BZ3,BW3,BT3,BQ3,BN3,BK3,BH3,BE3,BB3,AY3,AV3))</f>
        <v>0.0240277777777778</v>
      </c>
      <c r="G4" s="19" t="n">
        <f aca="false">IF(SUM(CD3,CA3,BX3,BU3,BR3,BO3,BL3,BI3,BF3,BC3,AZ3,AW3)=0,"",SUM(CD5,CA5,BX5,BU5,BR5,BO5,BL5,BI5,BF5,BC5,AZ5,AW5)/SUM(CD3,CA3,BX3,BU3,BR3,BO3,BL3,BI3,BF3,BC3,AZ3,AW3))</f>
        <v>0.0240277777777778</v>
      </c>
      <c r="H4" s="18" t="n">
        <f aca="false">IF(SUM(DL3,DI3,DF3,DC3,CZ3,CW3,CT3,CQ3,CN3,CK3,CH3,CE3)=0,"",SUM(DL5,DI5,DF5,DC5,CZ5,CW5,CT5,CQ5,CN5,CK5,CH5,CE5)/SUM(DL3,DI3,DF3,DC3,CZ3,CW3,CT3,CQ3,CN3,CK3,CH3,CE3))</f>
        <v>0.0242</v>
      </c>
      <c r="I4" s="18" t="n">
        <f aca="false">IF(SUM(DM3,DJ3,DG3,DD3,DA3,CX3,CU3,CR3,CO3,CL3,CI3,CF3)=0,"",SUM(DM5,DJ5,DG5,DD5,DA5,CX5,CU5,CR5,CO5,CL5,CI5,CF5)/SUM(DM3,DJ3,DG3,DD3,DA3,CX3,CU3,CR3,CO3,CL3,CI3,CF3))</f>
        <v>0.0240333333333333</v>
      </c>
      <c r="J4" s="18" t="n">
        <f aca="false">IF(SUM(DN3,DK3,DH3,DE3,DB3,CY3,CV3,CS3,CP3,CM3,CJ3,CG3)=0,"",SUM(DN5,DK5,DH5,DE5,DB5,CY5,CV5,CS5,CP5,CM5,CJ5,CG5)/SUM(DN3,DK3,DH3,DE3,DB3,CY3,CV3,CS3,CP3,CM3,CJ3,CG3))</f>
        <v>0.024</v>
      </c>
      <c r="K4" s="19" t="str">
        <f aca="false">IF(COUNT(K3,K5)=2,IF(K3=0,"",K5/K3),"")</f>
        <v/>
      </c>
      <c r="L4" s="19" t="n">
        <f aca="false">IF('Cash Drivers'!L$26,Marketing!K4,Marketing!M4)</f>
        <v>0.024</v>
      </c>
      <c r="M4" s="79" t="n">
        <v>0.024</v>
      </c>
      <c r="N4" s="18" t="str">
        <f aca="false">IF(COUNT(N3,N5)=2,IF(N3=0,"",N5/N3),"")</f>
        <v/>
      </c>
      <c r="O4" s="18" t="n">
        <f aca="false">IF('Cash Drivers'!O$26,Marketing!N4,Marketing!P4)</f>
        <v>0.024</v>
      </c>
      <c r="P4" s="80" t="n">
        <v>0.024</v>
      </c>
      <c r="Q4" s="19" t="str">
        <f aca="false">IF(COUNT(Q3,Q5)=2,IF(Q3=0,"",Q5/Q3),"")</f>
        <v/>
      </c>
      <c r="R4" s="19" t="n">
        <f aca="false">IF('Cash Drivers'!R$26,Marketing!Q4,Marketing!S4)</f>
        <v>0.024</v>
      </c>
      <c r="S4" s="79" t="n">
        <v>0.024</v>
      </c>
      <c r="T4" s="18" t="str">
        <f aca="false">IF(COUNT(T3,T5)=2,IF(T3=0,"",T5/T3),"")</f>
        <v/>
      </c>
      <c r="U4" s="18" t="n">
        <f aca="false">IF('Cash Drivers'!U$26,Marketing!T4,Marketing!V4)</f>
        <v>0.024</v>
      </c>
      <c r="V4" s="80" t="n">
        <v>0.024</v>
      </c>
      <c r="W4" s="19" t="str">
        <f aca="false">IF(COUNT(W3,W5)=2,IF(W3=0,"",W5/W3),"")</f>
        <v/>
      </c>
      <c r="X4" s="19" t="n">
        <f aca="false">IF('Cash Drivers'!X$26,Marketing!W4,Marketing!Y4)</f>
        <v>0.024</v>
      </c>
      <c r="Y4" s="79" t="n">
        <v>0.024</v>
      </c>
      <c r="Z4" s="18" t="str">
        <f aca="false">IF(COUNT(Z3,Z5)=2,IF(Z3=0,"",Z5/Z3),"")</f>
        <v/>
      </c>
      <c r="AA4" s="18" t="n">
        <f aca="false">IF('Cash Drivers'!AA$26,Marketing!Z4,Marketing!AB4)</f>
        <v>0.024</v>
      </c>
      <c r="AB4" s="80" t="n">
        <v>0.024</v>
      </c>
      <c r="AC4" s="19" t="str">
        <f aca="false">IF(COUNT(AC3,AC5)=2,IF(AC3=0,"",AC5/AC3),"")</f>
        <v/>
      </c>
      <c r="AD4" s="19" t="n">
        <f aca="false">IF('Cash Drivers'!AD$26,Marketing!AC4,Marketing!AE4)</f>
        <v>0.024</v>
      </c>
      <c r="AE4" s="79" t="n">
        <v>0.024</v>
      </c>
      <c r="AF4" s="18" t="str">
        <f aca="false">IF(COUNT(AF3,AF5)=2,IF(AF3=0,"",AF5/AF3),"")</f>
        <v/>
      </c>
      <c r="AG4" s="18" t="n">
        <f aca="false">IF('Cash Drivers'!AG$26,Marketing!AF4,Marketing!AH4)</f>
        <v>0.024</v>
      </c>
      <c r="AH4" s="80" t="n">
        <v>0.024</v>
      </c>
      <c r="AI4" s="19" t="str">
        <f aca="false">IF(COUNT(AI3,AI5)=2,IF(AI3=0,"",AI5/AI3),"")</f>
        <v/>
      </c>
      <c r="AJ4" s="19" t="n">
        <f aca="false">IF('Cash Drivers'!AJ$26,Marketing!AI4,Marketing!AK4)</f>
        <v>0.024</v>
      </c>
      <c r="AK4" s="79" t="n">
        <v>0.024</v>
      </c>
      <c r="AL4" s="18" t="str">
        <f aca="false">IF(COUNT(AL3,AL5)=2,IF(AL3=0,"",AL5/AL3),"")</f>
        <v/>
      </c>
      <c r="AM4" s="18" t="n">
        <f aca="false">IF('Cash Drivers'!AM$26,Marketing!AL4,Marketing!AN4)</f>
        <v>0.024</v>
      </c>
      <c r="AN4" s="80" t="n">
        <v>0.024</v>
      </c>
      <c r="AO4" s="19" t="str">
        <f aca="false">IF(COUNT(AO3,AO5)=2,IF(AO3=0,"",AO5/AO3),"")</f>
        <v/>
      </c>
      <c r="AP4" s="19" t="n">
        <f aca="false">IF('Cash Drivers'!AP$26,Marketing!AO4,Marketing!AQ4)</f>
        <v>0.024</v>
      </c>
      <c r="AQ4" s="79" t="n">
        <v>0.024</v>
      </c>
      <c r="AR4" s="18" t="str">
        <f aca="false">IF(COUNT(AR3,AR5)=2,IF(AR3=0,"",AR5/AR3),"")</f>
        <v/>
      </c>
      <c r="AS4" s="18" t="n">
        <f aca="false">IF('Cash Drivers'!AS$26,Marketing!AR4,Marketing!AT4)</f>
        <v>0.024</v>
      </c>
      <c r="AT4" s="80" t="n">
        <v>0.024</v>
      </c>
      <c r="AU4" s="19" t="str">
        <f aca="false">IF(COUNT(AU3,AU5)=2,IF(AU3=0,"",AU5/AU3),"")</f>
        <v/>
      </c>
      <c r="AV4" s="19" t="n">
        <f aca="false">IF('Cash Drivers'!AV$26,Marketing!AU4,Marketing!AW4)</f>
        <v>0.024</v>
      </c>
      <c r="AW4" s="79" t="n">
        <v>0.024</v>
      </c>
      <c r="AX4" s="18" t="str">
        <f aca="false">IF(COUNT(AX3,AX5)=2,IF(AX3=0,"",AX5/AX3),"")</f>
        <v/>
      </c>
      <c r="AY4" s="18" t="n">
        <f aca="false">IF('Cash Drivers'!AY$26,Marketing!AX4,Marketing!AZ4)</f>
        <v>0.024</v>
      </c>
      <c r="AZ4" s="80" t="n">
        <v>0.024</v>
      </c>
      <c r="BA4" s="19" t="str">
        <f aca="false">IF(COUNT(BA3,BA5)=2,IF(BA3=0,"",BA5/BA3),"")</f>
        <v/>
      </c>
      <c r="BB4" s="19" t="n">
        <f aca="false">IF('Cash Drivers'!BB$26,Marketing!BA4,Marketing!BC4)</f>
        <v>0.024</v>
      </c>
      <c r="BC4" s="79" t="n">
        <v>0.024</v>
      </c>
      <c r="BD4" s="18" t="str">
        <f aca="false">IF(COUNT(BD3,BD5)=2,IF(BD3=0,"",BD5/BD3),"")</f>
        <v/>
      </c>
      <c r="BE4" s="18" t="n">
        <f aca="false">IF('Cash Drivers'!BE$26,Marketing!BD4,Marketing!BF4)</f>
        <v>0.024</v>
      </c>
      <c r="BF4" s="80" t="n">
        <v>0.024</v>
      </c>
      <c r="BG4" s="19" t="str">
        <f aca="false">IF(COUNT(BG3,BG5)=2,IF(BG3=0,"",BG5/BG3),"")</f>
        <v/>
      </c>
      <c r="BH4" s="19" t="n">
        <f aca="false">IF('Cash Drivers'!BH$26,Marketing!BG4,Marketing!BI4)</f>
        <v>0.024</v>
      </c>
      <c r="BI4" s="79" t="n">
        <v>0.024</v>
      </c>
      <c r="BJ4" s="18" t="str">
        <f aca="false">IF(COUNT(BJ3,BJ5)=2,IF(BJ3=0,"",BJ5/BJ3),"")</f>
        <v/>
      </c>
      <c r="BK4" s="18" t="n">
        <f aca="false">IF('Cash Drivers'!BK$26,Marketing!BJ4,Marketing!BL4)</f>
        <v>0.024</v>
      </c>
      <c r="BL4" s="80" t="n">
        <v>0.024</v>
      </c>
      <c r="BM4" s="19" t="str">
        <f aca="false">IF(COUNT(BM3,BM5)=2,IF(BM3=0,"",BM5/BM3),"")</f>
        <v/>
      </c>
      <c r="BN4" s="19" t="n">
        <f aca="false">IF('Cash Drivers'!BN$26,Marketing!BM4,Marketing!BO4)</f>
        <v>0.024</v>
      </c>
      <c r="BO4" s="79" t="n">
        <v>0.024</v>
      </c>
      <c r="BP4" s="18" t="str">
        <f aca="false">IF(COUNT(BP3,BP5)=2,IF(BP3=0,"",BP5/BP3),"")</f>
        <v/>
      </c>
      <c r="BQ4" s="18" t="n">
        <f aca="false">IF('Cash Drivers'!BQ$26,Marketing!BP4,Marketing!BR4)</f>
        <v>0.024</v>
      </c>
      <c r="BR4" s="80" t="n">
        <v>0.024</v>
      </c>
      <c r="BS4" s="19" t="str">
        <f aca="false">IF(COUNT(BS3,BS5)=2,IF(BS3=0,"",BS5/BS3),"")</f>
        <v/>
      </c>
      <c r="BT4" s="19" t="n">
        <f aca="false">IF('Cash Drivers'!BT$26,Marketing!BS4,Marketing!BU4)</f>
        <v>0.024</v>
      </c>
      <c r="BU4" s="79" t="n">
        <v>0.024</v>
      </c>
      <c r="BV4" s="18" t="str">
        <f aca="false">IF(COUNT(BV3,BV5)=2,IF(BV3=0,"",BV5/BV3),"")</f>
        <v/>
      </c>
      <c r="BW4" s="18" t="n">
        <f aca="false">IF('Cash Drivers'!BW$26,Marketing!BV4,Marketing!BX4)</f>
        <v>0.024</v>
      </c>
      <c r="BX4" s="80" t="n">
        <v>0.024</v>
      </c>
      <c r="BY4" s="19" t="str">
        <f aca="false">IF(COUNT(BY3,BY5)=2,IF(BY3=0,"",BY5/BY3),"")</f>
        <v/>
      </c>
      <c r="BZ4" s="19" t="n">
        <f aca="false">IF('Cash Drivers'!BZ$26,Marketing!BY4,Marketing!CA4)</f>
        <v>0.024</v>
      </c>
      <c r="CA4" s="79" t="n">
        <v>0.024</v>
      </c>
      <c r="CB4" s="18" t="str">
        <f aca="false">IF(COUNT(CB3,CB5)=2,IF(CB3=0,"",CB5/CB3),"")</f>
        <v/>
      </c>
      <c r="CC4" s="18" t="n">
        <f aca="false">IF('Cash Drivers'!CC$26,Marketing!CB4,Marketing!CD4)</f>
        <v>0.024</v>
      </c>
      <c r="CD4" s="80" t="n">
        <v>0.024</v>
      </c>
      <c r="CE4" s="19" t="str">
        <f aca="false">IF(COUNT(CE3,CE5)=2,IF(CE3=0,"",CE5/CE3),"")</f>
        <v/>
      </c>
      <c r="CF4" s="19" t="n">
        <f aca="false">IF('Cash Drivers'!CF$26,Marketing!CE4,Marketing!CG4)</f>
        <v>0.024</v>
      </c>
      <c r="CG4" s="79" t="n">
        <v>0.024</v>
      </c>
      <c r="CH4" s="18" t="str">
        <f aca="false">IF(COUNT(CH3,CH5)=2,IF(CH3=0,"",CH5/CH3),"")</f>
        <v/>
      </c>
      <c r="CI4" s="18" t="n">
        <f aca="false">IF('Cash Drivers'!CI$26,Marketing!CH4,Marketing!CJ4)</f>
        <v>0.024</v>
      </c>
      <c r="CJ4" s="80" t="n">
        <v>0.024</v>
      </c>
      <c r="CK4" s="19" t="str">
        <f aca="false">IF(COUNT(CK3,CK5)=2,IF(CK3=0,"",CK5/CK3),"")</f>
        <v/>
      </c>
      <c r="CL4" s="19" t="n">
        <f aca="false">IF('Cash Drivers'!CL$26,Marketing!CK4,Marketing!CM4)</f>
        <v>0.024</v>
      </c>
      <c r="CM4" s="79" t="n">
        <v>0.024</v>
      </c>
      <c r="CN4" s="18" t="str">
        <f aca="false">IF(COUNT(CN3,CN5)=2,IF(CN3=0,"",CN5/CN3),"")</f>
        <v/>
      </c>
      <c r="CO4" s="18" t="n">
        <f aca="false">IF('Cash Drivers'!CO$26,Marketing!CN4,Marketing!CP4)</f>
        <v>0.024</v>
      </c>
      <c r="CP4" s="80" t="n">
        <v>0.024</v>
      </c>
      <c r="CQ4" s="19" t="str">
        <f aca="false">IF(COUNT(CQ3,CQ5)=2,IF(CQ3=0,"",CQ5/CQ3),"")</f>
        <v/>
      </c>
      <c r="CR4" s="19" t="n">
        <f aca="false">IF('Cash Drivers'!CR$26,Marketing!CQ4,Marketing!CS4)</f>
        <v>0.024</v>
      </c>
      <c r="CS4" s="79" t="n">
        <v>0.024</v>
      </c>
      <c r="CT4" s="18" t="str">
        <f aca="false">IF(COUNT(CT3,CT5)=2,IF(CT3=0,"",CT5/CT3),"")</f>
        <v/>
      </c>
      <c r="CU4" s="18" t="n">
        <f aca="false">IF('Cash Drivers'!CU$26,Marketing!CT4,Marketing!CV4)</f>
        <v>0.024</v>
      </c>
      <c r="CV4" s="80" t="n">
        <v>0.024</v>
      </c>
      <c r="CW4" s="19" t="str">
        <f aca="false">IF(COUNT(CW3,CW5)=2,IF(CW3=0,"",CW5/CW3),"")</f>
        <v/>
      </c>
      <c r="CX4" s="19" t="n">
        <f aca="false">IF('Cash Drivers'!CX$26,Marketing!CW4,Marketing!CY4)</f>
        <v>0.024</v>
      </c>
      <c r="CY4" s="79" t="n">
        <v>0.024</v>
      </c>
      <c r="CZ4" s="18" t="str">
        <f aca="false">IF(COUNT(CZ3,CZ5)=2,IF(CZ3=0,"",CZ5/CZ3),"")</f>
        <v/>
      </c>
      <c r="DA4" s="18" t="n">
        <f aca="false">IF('Cash Drivers'!DA$26,Marketing!CZ4,Marketing!DB4)</f>
        <v>0.024</v>
      </c>
      <c r="DB4" s="80" t="n">
        <v>0.024</v>
      </c>
      <c r="DC4" s="19" t="str">
        <f aca="false">IF(COUNT(DC3,DC5)=2,IF(DC3=0,"",DC5/DC3),"")</f>
        <v/>
      </c>
      <c r="DD4" s="19" t="n">
        <f aca="false">IF('Cash Drivers'!DD$26,Marketing!DC4,Marketing!DE4)</f>
        <v>0.024</v>
      </c>
      <c r="DE4" s="79" t="n">
        <v>0.024</v>
      </c>
      <c r="DF4" s="18" t="str">
        <f aca="false">IF(COUNT(DF3,DF5)=2,IF(DF3=0,"",DF5/DF3),"")</f>
        <v/>
      </c>
      <c r="DG4" s="18" t="n">
        <f aca="false">IF('Cash Drivers'!DG$26,Marketing!DF4,Marketing!DH4)</f>
        <v>0.024</v>
      </c>
      <c r="DH4" s="80" t="n">
        <v>0.024</v>
      </c>
      <c r="DI4" s="19" t="n">
        <f aca="false">IF(COUNT(DI3,DI5)=2,IF(DI3=0,"",DI5/DI3),"")</f>
        <v>0.024</v>
      </c>
      <c r="DJ4" s="19" t="n">
        <f aca="false">DI4</f>
        <v>0.024</v>
      </c>
      <c r="DK4" s="79" t="n">
        <v>0.024</v>
      </c>
      <c r="DL4" s="18" t="n">
        <f aca="false">IF(COUNT(DL3,DL5)=2,IF(DL3=0,"",DL5/DL3),"")</f>
        <v>0.0244</v>
      </c>
      <c r="DM4" s="18" t="n">
        <f aca="false">DL4</f>
        <v>0.0244</v>
      </c>
      <c r="DN4" s="80" t="n">
        <v>0.024</v>
      </c>
    </row>
    <row r="5" customFormat="false" ht="15" hidden="false" customHeight="false" outlineLevel="0" collapsed="false">
      <c r="A5" s="5" t="s">
        <v>129</v>
      </c>
      <c r="B5" s="23" t="str">
        <f aca="false">IF(COUNT(AR5,AO5,AL5,AI5,AF5,AC5,Z5,W5,T5,Q5,N5,K5)=0,"",SUM(AR5,AO5,AL5,AI5,AF5,AC5,Z5,W5,T5,Q5,N5,K5))</f>
        <v/>
      </c>
      <c r="C5" s="23" t="n">
        <f aca="false">IF(COUNT(AS5,AP5,AM5,AJ5,AG5,AD5,AA5,X5,U5,R5,O5,L5)=0,"",SUM(AS5,AP5,AM5,AJ5,AG5,AD5,AA5,X5,U5,R5,O5,L5))</f>
        <v>2856</v>
      </c>
      <c r="D5" s="23" t="n">
        <f aca="false">IF(COUNT(AT5,AQ5,AN5,AK5,AH5,AE5,AB5,Y5,V5,S5,P5,M5)=0,"",SUM(AT5,AQ5,AN5,AK5,AH5,AE5,AB5,Y5,V5,S5,P5,M5))</f>
        <v>2856</v>
      </c>
      <c r="E5" s="2" t="str">
        <f aca="false">IF(COUNT(CB5,BY5,BV5,BS5,BP5,BM5,BJ5,BG5,BD5,BA5,AX5,AU5)=0,"",SUM(CB5,BY5,BV5,BS5,BP5,BM5,BJ5,BG5,BD5,BA5,AX5,AU5))</f>
        <v/>
      </c>
      <c r="F5" s="2" t="n">
        <f aca="false">IF(COUNT(CC5,BZ5,BW5,BT5,BQ5,BN5,BK5,BH5,BE5,BB5,AY5,AV5)=0,"",SUM(CC5,BZ5,BW5,BT5,BQ5,BN5,BK5,BH5,BE5,BB5,AY5,AV5))</f>
        <v>2076</v>
      </c>
      <c r="G5" s="2" t="n">
        <f aca="false">IF(COUNT(CD5,CA5,BX5,BU5,BR5,BO5,BL5,BI5,BF5,BC5,AZ5,AW5)=0,"",SUM(CD5,CA5,BX5,BU5,BR5,BO5,BL5,BI5,BF5,BC5,AZ5,AW5))</f>
        <v>2076</v>
      </c>
      <c r="H5" s="23" t="n">
        <f aca="false">IF(COUNT(DL5,DI5,DF5,DC5,CZ5,CW5,CT5,CQ5,CN5,CK5,CH5,CE5)=0,"",SUM(DL5,DI5,DF5,DC5,CZ5,CW5,CT5,CQ5,CN5,CK5,CH5,CE5))</f>
        <v>242</v>
      </c>
      <c r="I5" s="23" t="n">
        <f aca="false">IF(COUNT(DM5,DJ5,DG5,DD5,DA5,CX5,CU5,CR5,CO5,CL5,CI5,CF5)=0,"",SUM(DM5,DJ5,DG5,DD5,DA5,CX5,CU5,CR5,CO5,CL5,CI5,CF5))</f>
        <v>1442</v>
      </c>
      <c r="J5" s="23" t="n">
        <f aca="false">IF(COUNT(DN5,DK5,DH5,DE5,DB5,CY5,CV5,CS5,CP5,CM5,CJ5,CG5)=0,"",SUM(DN5,DK5,DH5,DE5,DB5,CY5,CV5,CS5,CP5,CM5,CJ5,CG5))</f>
        <v>1440</v>
      </c>
      <c r="K5" s="2"/>
      <c r="L5" s="2" t="n">
        <f aca="false">ROUND(L3*L4,0)</f>
        <v>238</v>
      </c>
      <c r="M5" s="2" t="n">
        <f aca="false">ROUND(M3*M4,0)</f>
        <v>238</v>
      </c>
      <c r="N5" s="23"/>
      <c r="O5" s="23" t="n">
        <f aca="false">ROUND(O3*O4,0)</f>
        <v>238</v>
      </c>
      <c r="P5" s="23" t="n">
        <f aca="false">ROUND(P3*P4,0)</f>
        <v>238</v>
      </c>
      <c r="Q5" s="2"/>
      <c r="R5" s="2" t="n">
        <f aca="false">ROUND(R3*R4,0)</f>
        <v>238</v>
      </c>
      <c r="S5" s="2" t="n">
        <f aca="false">ROUND(S3*S4,0)</f>
        <v>238</v>
      </c>
      <c r="T5" s="23"/>
      <c r="U5" s="23" t="n">
        <f aca="false">ROUND(U3*U4,0)</f>
        <v>238</v>
      </c>
      <c r="V5" s="23" t="n">
        <f aca="false">ROUND(V3*V4,0)</f>
        <v>238</v>
      </c>
      <c r="W5" s="2"/>
      <c r="X5" s="2" t="n">
        <f aca="false">ROUND(X3*X4,0)</f>
        <v>238</v>
      </c>
      <c r="Y5" s="2" t="n">
        <f aca="false">ROUND(Y3*Y4,0)</f>
        <v>238</v>
      </c>
      <c r="Z5" s="23"/>
      <c r="AA5" s="23" t="n">
        <f aca="false">ROUND(AA3*AA4,0)</f>
        <v>238</v>
      </c>
      <c r="AB5" s="23" t="n">
        <f aca="false">ROUND(AB3*AB4,0)</f>
        <v>238</v>
      </c>
      <c r="AC5" s="2"/>
      <c r="AD5" s="2" t="n">
        <f aca="false">ROUND(AD3*AD4,0)</f>
        <v>238</v>
      </c>
      <c r="AE5" s="2" t="n">
        <f aca="false">ROUND(AE3*AE4,0)</f>
        <v>238</v>
      </c>
      <c r="AF5" s="23"/>
      <c r="AG5" s="23" t="n">
        <f aca="false">ROUND(AG3*AG4,0)</f>
        <v>238</v>
      </c>
      <c r="AH5" s="23" t="n">
        <f aca="false">ROUND(AH3*AH4,0)</f>
        <v>238</v>
      </c>
      <c r="AI5" s="2"/>
      <c r="AJ5" s="2" t="n">
        <f aca="false">ROUND(AJ3*AJ4,0)</f>
        <v>238</v>
      </c>
      <c r="AK5" s="2" t="n">
        <f aca="false">ROUND(AK3*AK4,0)</f>
        <v>238</v>
      </c>
      <c r="AL5" s="23"/>
      <c r="AM5" s="23" t="n">
        <f aca="false">ROUND(AM3*AM4,0)</f>
        <v>238</v>
      </c>
      <c r="AN5" s="23" t="n">
        <f aca="false">ROUND(AN3*AN4,0)</f>
        <v>238</v>
      </c>
      <c r="AO5" s="2"/>
      <c r="AP5" s="2" t="n">
        <f aca="false">ROUND(AP3*AP4,0)</f>
        <v>238</v>
      </c>
      <c r="AQ5" s="2" t="n">
        <f aca="false">ROUND(AQ3*AQ4,0)</f>
        <v>238</v>
      </c>
      <c r="AR5" s="23"/>
      <c r="AS5" s="23" t="n">
        <f aca="false">ROUND(AS3*AS4,0)</f>
        <v>238</v>
      </c>
      <c r="AT5" s="23" t="n">
        <f aca="false">ROUND(AT3*AT4,0)</f>
        <v>238</v>
      </c>
      <c r="AU5" s="2"/>
      <c r="AV5" s="2" t="n">
        <f aca="false">ROUND(AV3*AV4,0)</f>
        <v>173</v>
      </c>
      <c r="AW5" s="2" t="n">
        <f aca="false">ROUND(AW3*AW4,0)</f>
        <v>173</v>
      </c>
      <c r="AX5" s="23"/>
      <c r="AY5" s="23" t="n">
        <f aca="false">ROUND(AY3*AY4,0)</f>
        <v>173</v>
      </c>
      <c r="AZ5" s="23" t="n">
        <f aca="false">ROUND(AZ3*AZ4,0)</f>
        <v>173</v>
      </c>
      <c r="BA5" s="2"/>
      <c r="BB5" s="2" t="n">
        <f aca="false">ROUND(BB3*BB4,0)</f>
        <v>173</v>
      </c>
      <c r="BC5" s="2" t="n">
        <f aca="false">ROUND(BC3*BC4,0)</f>
        <v>173</v>
      </c>
      <c r="BD5" s="23"/>
      <c r="BE5" s="23" t="n">
        <f aca="false">ROUND(BE3*BE4,0)</f>
        <v>173</v>
      </c>
      <c r="BF5" s="23" t="n">
        <f aca="false">ROUND(BF3*BF4,0)</f>
        <v>173</v>
      </c>
      <c r="BG5" s="2"/>
      <c r="BH5" s="2" t="n">
        <f aca="false">ROUND(BH3*BH4,0)</f>
        <v>173</v>
      </c>
      <c r="BI5" s="2" t="n">
        <f aca="false">ROUND(BI3*BI4,0)</f>
        <v>173</v>
      </c>
      <c r="BJ5" s="23"/>
      <c r="BK5" s="23" t="n">
        <f aca="false">ROUND(BK3*BK4,0)</f>
        <v>173</v>
      </c>
      <c r="BL5" s="23" t="n">
        <f aca="false">ROUND(BL3*BL4,0)</f>
        <v>173</v>
      </c>
      <c r="BM5" s="2"/>
      <c r="BN5" s="2" t="n">
        <f aca="false">ROUND(BN3*BN4,0)</f>
        <v>173</v>
      </c>
      <c r="BO5" s="2" t="n">
        <f aca="false">ROUND(BO3*BO4,0)</f>
        <v>173</v>
      </c>
      <c r="BP5" s="23"/>
      <c r="BQ5" s="23" t="n">
        <f aca="false">ROUND(BQ3*BQ4,0)</f>
        <v>173</v>
      </c>
      <c r="BR5" s="23" t="n">
        <f aca="false">ROUND(BR3*BR4,0)</f>
        <v>173</v>
      </c>
      <c r="BS5" s="2"/>
      <c r="BT5" s="2" t="n">
        <f aca="false">ROUND(BT3*BT4,0)</f>
        <v>173</v>
      </c>
      <c r="BU5" s="2" t="n">
        <f aca="false">ROUND(BU3*BU4,0)</f>
        <v>173</v>
      </c>
      <c r="BV5" s="23"/>
      <c r="BW5" s="23" t="n">
        <f aca="false">ROUND(BW3*BW4,0)</f>
        <v>173</v>
      </c>
      <c r="BX5" s="23" t="n">
        <f aca="false">ROUND(BX3*BX4,0)</f>
        <v>173</v>
      </c>
      <c r="BY5" s="2"/>
      <c r="BZ5" s="2" t="n">
        <f aca="false">ROUND(BZ3*BZ4,0)</f>
        <v>173</v>
      </c>
      <c r="CA5" s="2" t="n">
        <f aca="false">ROUND(CA3*CA4,0)</f>
        <v>173</v>
      </c>
      <c r="CB5" s="23"/>
      <c r="CC5" s="23" t="n">
        <f aca="false">ROUND(CC3*CC4,0)</f>
        <v>173</v>
      </c>
      <c r="CD5" s="23" t="n">
        <f aca="false">ROUND(CD3*CD4,0)</f>
        <v>173</v>
      </c>
      <c r="CE5" s="2"/>
      <c r="CF5" s="2" t="n">
        <f aca="false">ROUND(CF3*CF4,0)</f>
        <v>120</v>
      </c>
      <c r="CG5" s="2" t="n">
        <f aca="false">ROUND(CG3*CG4,0)</f>
        <v>120</v>
      </c>
      <c r="CH5" s="23"/>
      <c r="CI5" s="23" t="n">
        <f aca="false">ROUND(CI3*CI4,0)</f>
        <v>120</v>
      </c>
      <c r="CJ5" s="23" t="n">
        <f aca="false">ROUND(CJ3*CJ4,0)</f>
        <v>120</v>
      </c>
      <c r="CK5" s="2"/>
      <c r="CL5" s="2" t="n">
        <f aca="false">ROUND(CL3*CL4,0)</f>
        <v>120</v>
      </c>
      <c r="CM5" s="2" t="n">
        <f aca="false">ROUND(CM3*CM4,0)</f>
        <v>120</v>
      </c>
      <c r="CN5" s="23"/>
      <c r="CO5" s="23" t="n">
        <f aca="false">ROUND(CO3*CO4,0)</f>
        <v>120</v>
      </c>
      <c r="CP5" s="23" t="n">
        <f aca="false">ROUND(CP3*CP4,0)</f>
        <v>120</v>
      </c>
      <c r="CQ5" s="2"/>
      <c r="CR5" s="2" t="n">
        <f aca="false">ROUND(CR3*CR4,0)</f>
        <v>120</v>
      </c>
      <c r="CS5" s="2" t="n">
        <f aca="false">ROUND(CS3*CS4,0)</f>
        <v>120</v>
      </c>
      <c r="CT5" s="23"/>
      <c r="CU5" s="23" t="n">
        <f aca="false">ROUND(CU3*CU4,0)</f>
        <v>120</v>
      </c>
      <c r="CV5" s="23" t="n">
        <f aca="false">ROUND(CV3*CV4,0)</f>
        <v>120</v>
      </c>
      <c r="CW5" s="2"/>
      <c r="CX5" s="2" t="n">
        <f aca="false">ROUND(CX3*CX4,0)</f>
        <v>120</v>
      </c>
      <c r="CY5" s="2" t="n">
        <f aca="false">ROUND(CY3*CY4,0)</f>
        <v>120</v>
      </c>
      <c r="CZ5" s="23"/>
      <c r="DA5" s="23" t="n">
        <f aca="false">ROUND(DA3*DA4,0)</f>
        <v>120</v>
      </c>
      <c r="DB5" s="23" t="n">
        <f aca="false">ROUND(DB3*DB4,0)</f>
        <v>120</v>
      </c>
      <c r="DC5" s="2"/>
      <c r="DD5" s="2" t="n">
        <f aca="false">ROUND(DD3*DD4,0)</f>
        <v>120</v>
      </c>
      <c r="DE5" s="2" t="n">
        <f aca="false">ROUND(DE3*DE4,0)</f>
        <v>120</v>
      </c>
      <c r="DF5" s="23"/>
      <c r="DG5" s="23" t="n">
        <f aca="false">ROUND(DG3*DG4,0)</f>
        <v>120</v>
      </c>
      <c r="DH5" s="23" t="n">
        <f aca="false">ROUND(DH3*DH4,0)</f>
        <v>120</v>
      </c>
      <c r="DI5" s="5" t="n">
        <v>120</v>
      </c>
      <c r="DJ5" s="2" t="n">
        <f aca="false">DI5</f>
        <v>120</v>
      </c>
      <c r="DK5" s="2" t="n">
        <f aca="false">ROUND(DK3*DK4,0)</f>
        <v>120</v>
      </c>
      <c r="DL5" s="81" t="n">
        <v>122</v>
      </c>
      <c r="DM5" s="23" t="n">
        <f aca="false">DL5</f>
        <v>122</v>
      </c>
      <c r="DN5" s="23" t="n">
        <f aca="false">ROUND(DN3*DN4,0)</f>
        <v>120</v>
      </c>
    </row>
    <row r="6" customFormat="false" ht="15" hidden="false" customHeight="false" outlineLevel="0" collapsed="false">
      <c r="A6" s="17" t="s">
        <v>157</v>
      </c>
      <c r="B6" s="82" t="str">
        <f aca="false">IF(SUM(AR5,AO5,AL5,AI5,AF5,AC5,Z5,W5,T5,Q5,N5,K5)=0,"",SUM(AR7,AO7,AL7,AI7,AF7,AC7,Z7,W7,T7,Q7,N7,K7)/SUM(AR5,AO5,AL5,AI5,AF5,AC5,Z5,W5,T5,Q5,N5,K5))</f>
        <v/>
      </c>
      <c r="C6" s="82" t="n">
        <f aca="false">IF(SUM(AS5,AP5,AM5,AJ5,AG5,AD5,AA5,X5,U5,R5,O5,L5)=0,"",SUM(AS7,AP7,AM7,AJ7,AG7,AD7,AA7,X7,U7,R7,O7,L7)/SUM(AS5,AP5,AM5,AJ5,AG5,AD5,AA5,X5,U5,R5,O5,L5))</f>
        <v>0.621848739495798</v>
      </c>
      <c r="D6" s="82" t="n">
        <f aca="false">IF(SUM(AT5,AQ5,AN5,AK5,AH5,AE5,AB5,Y5,V5,S5,P5,M5)=0,"",SUM(AT7,AQ7,AN7,AK7,AH7,AE7,AB7,Y7,V7,S7,P7,M7)/SUM(AT5,AQ5,AN5,AK5,AH5,AE5,AB5,Y5,V5,S5,P5,M5))</f>
        <v>0.621848739495798</v>
      </c>
      <c r="E6" s="83" t="str">
        <f aca="false">IF(SUM(CB5,BY5,BV5,BS5,BP5,BM5,BJ5,BG5,BD5,BA5,AX5,AU5)=0,"",SUM(CB7,BY7,BV7,BS7,BP7,BM7,BJ7,BG7,BD7,BA7,AX7,AU7)/SUM(CB5,BY5,BV5,BS5,BP5,BM5,BJ5,BG5,BD5,BA5,AX5,AU5))</f>
        <v/>
      </c>
      <c r="F6" s="83" t="n">
        <f aca="false">IF(SUM(CC5,BZ5,BW5,BT5,BQ5,BN5,BK5,BH5,BE5,BB5,AY5,AV5)=0,"",SUM(CC7,BZ7,BW7,BT7,BQ7,BN7,BK7,BH7,BE7,BB7,AY7,AV7)/SUM(CC5,BZ5,BW5,BT5,BQ5,BN5,BK5,BH5,BE5,BB5,AY5,AV5))</f>
        <v>0.61849710982659</v>
      </c>
      <c r="G6" s="83" t="n">
        <f aca="false">IF(SUM(CD5,CA5,BX5,BU5,BR5,BO5,BL5,BI5,BF5,BC5,AZ5,AW5)=0,"",SUM(CD7,CA7,BX7,BU7,BR7,BO7,BL7,BI7,BF7,BC7,AZ7,AW7)/SUM(CD5,CA5,BX5,BU5,BR5,BO5,BL5,BI5,BF5,BC5,AZ5,AW5))</f>
        <v>0.61849710982659</v>
      </c>
      <c r="H6" s="82" t="n">
        <f aca="false">IF(SUM(DL5,DI5,DF5,DC5,CZ5,CW5,CT5,CQ5,CN5,CK5,CH5,CE5)=0,"",SUM(DL7,DI7,DF7,DC7,CZ7,CW7,CT7,CQ7,CN7,CK7,CH7,CE7)/SUM(DL5,DI5,DF5,DC5,CZ5,CW5,CT5,CQ5,CN5,CK5,CH5,CE5))</f>
        <v>0.619834710743802</v>
      </c>
      <c r="I6" s="82" t="n">
        <f aca="false">IF(SUM(DM5,DJ5,DG5,DD5,DA5,CX5,CU5,CR5,CO5,CL5,CI5,CF5)=0,"",SUM(DM7,DJ7,DG7,DD7,DA7,CX7,CU7,CR7,CO7,CL7,CI7,CF7)/SUM(DM5,DJ5,DG5,DD5,DA5,CX5,CU5,CR5,CO5,CL5,CI5,CF5))</f>
        <v>0.617198335644938</v>
      </c>
      <c r="J6" s="82" t="n">
        <f aca="false">IF(SUM(DN5,DK5,DH5,DE5,DB5,CY5,CV5,CS5,CP5,CM5,CJ5,CG5)=0,"",SUM(DN7,DK7,DH7,DE7,DB7,CY7,CV7,CS7,CP7,CM7,CJ7,CG7)/SUM(DN5,DK5,DH5,DE5,DB5,CY5,CV5,CS5,CP5,CM5,CJ5,CG5))</f>
        <v>0.616666666666667</v>
      </c>
      <c r="K6" s="83" t="str">
        <f aca="false">IF(COUNT(K5,K7)=2,IF(K5=0,"",K7/K5),"")</f>
        <v/>
      </c>
      <c r="L6" s="83" t="n">
        <f aca="false">IF('Cash Drivers'!L$26,Marketing!K6,Marketing!M6)</f>
        <v>0.62</v>
      </c>
      <c r="M6" s="84" t="n">
        <v>0.62</v>
      </c>
      <c r="N6" s="82" t="str">
        <f aca="false">IF(COUNT(N5,N7)=2,IF(N5=0,"",N7/N5),"")</f>
        <v/>
      </c>
      <c r="O6" s="82" t="n">
        <f aca="false">IF('Cash Drivers'!O$26,Marketing!N6,Marketing!P6)</f>
        <v>0.62</v>
      </c>
      <c r="P6" s="85" t="n">
        <v>0.62</v>
      </c>
      <c r="Q6" s="83" t="str">
        <f aca="false">IF(COUNT(Q5,Q7)=2,IF(Q5=0,"",Q7/Q5),"")</f>
        <v/>
      </c>
      <c r="R6" s="83" t="n">
        <f aca="false">IF('Cash Drivers'!R$26,Marketing!Q6,Marketing!S6)</f>
        <v>0.62</v>
      </c>
      <c r="S6" s="84" t="n">
        <v>0.62</v>
      </c>
      <c r="T6" s="82" t="str">
        <f aca="false">IF(COUNT(T5,T7)=2,IF(T5=0,"",T7/T5),"")</f>
        <v/>
      </c>
      <c r="U6" s="82" t="n">
        <f aca="false">IF('Cash Drivers'!U$26,Marketing!T6,Marketing!V6)</f>
        <v>0.62</v>
      </c>
      <c r="V6" s="85" t="n">
        <v>0.62</v>
      </c>
      <c r="W6" s="83" t="str">
        <f aca="false">IF(COUNT(W5,W7)=2,IF(W5=0,"",W7/W5),"")</f>
        <v/>
      </c>
      <c r="X6" s="83" t="n">
        <f aca="false">IF('Cash Drivers'!X$26,Marketing!W6,Marketing!Y6)</f>
        <v>0.62</v>
      </c>
      <c r="Y6" s="84" t="n">
        <v>0.62</v>
      </c>
      <c r="Z6" s="82" t="str">
        <f aca="false">IF(COUNT(Z5,Z7)=2,IF(Z5=0,"",Z7/Z5),"")</f>
        <v/>
      </c>
      <c r="AA6" s="82" t="n">
        <f aca="false">IF('Cash Drivers'!AA$26,Marketing!Z6,Marketing!AB6)</f>
        <v>0.62</v>
      </c>
      <c r="AB6" s="85" t="n">
        <v>0.62</v>
      </c>
      <c r="AC6" s="83" t="str">
        <f aca="false">IF(COUNT(AC5,AC7)=2,IF(AC5=0,"",AC7/AC5),"")</f>
        <v/>
      </c>
      <c r="AD6" s="83" t="n">
        <f aca="false">IF('Cash Drivers'!AD$26,Marketing!AC6,Marketing!AE6)</f>
        <v>0.62</v>
      </c>
      <c r="AE6" s="84" t="n">
        <v>0.62</v>
      </c>
      <c r="AF6" s="82" t="str">
        <f aca="false">IF(COUNT(AF5,AF7)=2,IF(AF5=0,"",AF7/AF5),"")</f>
        <v/>
      </c>
      <c r="AG6" s="82" t="n">
        <f aca="false">IF('Cash Drivers'!AG$26,Marketing!AF6,Marketing!AH6)</f>
        <v>0.62</v>
      </c>
      <c r="AH6" s="85" t="n">
        <v>0.62</v>
      </c>
      <c r="AI6" s="83" t="str">
        <f aca="false">IF(COUNT(AI5,AI7)=2,IF(AI5=0,"",AI7/AI5),"")</f>
        <v/>
      </c>
      <c r="AJ6" s="83" t="n">
        <f aca="false">IF('Cash Drivers'!AJ$26,Marketing!AI6,Marketing!AK6)</f>
        <v>0.62</v>
      </c>
      <c r="AK6" s="84" t="n">
        <v>0.62</v>
      </c>
      <c r="AL6" s="82" t="str">
        <f aca="false">IF(COUNT(AL5,AL7)=2,IF(AL5=0,"",AL7/AL5),"")</f>
        <v/>
      </c>
      <c r="AM6" s="82" t="n">
        <f aca="false">IF('Cash Drivers'!AM$26,Marketing!AL6,Marketing!AN6)</f>
        <v>0.62</v>
      </c>
      <c r="AN6" s="85" t="n">
        <v>0.62</v>
      </c>
      <c r="AO6" s="83" t="str">
        <f aca="false">IF(COUNT(AO5,AO7)=2,IF(AO5=0,"",AO7/AO5),"")</f>
        <v/>
      </c>
      <c r="AP6" s="83" t="n">
        <f aca="false">IF('Cash Drivers'!AP$26,Marketing!AO6,Marketing!AQ6)</f>
        <v>0.62</v>
      </c>
      <c r="AQ6" s="84" t="n">
        <v>0.62</v>
      </c>
      <c r="AR6" s="82" t="str">
        <f aca="false">IF(COUNT(AR5,AR7)=2,IF(AR5=0,"",AR7/AR5),"")</f>
        <v/>
      </c>
      <c r="AS6" s="82" t="n">
        <f aca="false">IF('Cash Drivers'!AS$26,Marketing!AR6,Marketing!AT6)</f>
        <v>0.62</v>
      </c>
      <c r="AT6" s="85" t="n">
        <v>0.62</v>
      </c>
      <c r="AU6" s="83" t="str">
        <f aca="false">IF(COUNT(AU5,AU7)=2,IF(AU5=0,"",AU7/AU5),"")</f>
        <v/>
      </c>
      <c r="AV6" s="83" t="n">
        <f aca="false">IF('Cash Drivers'!AV$26,Marketing!AU6,Marketing!AW6)</f>
        <v>0.62</v>
      </c>
      <c r="AW6" s="84" t="n">
        <v>0.62</v>
      </c>
      <c r="AX6" s="82" t="str">
        <f aca="false">IF(COUNT(AX5,AX7)=2,IF(AX5=0,"",AX7/AX5),"")</f>
        <v/>
      </c>
      <c r="AY6" s="82" t="n">
        <f aca="false">IF('Cash Drivers'!AY$26,Marketing!AX6,Marketing!AZ6)</f>
        <v>0.62</v>
      </c>
      <c r="AZ6" s="85" t="n">
        <v>0.62</v>
      </c>
      <c r="BA6" s="83" t="str">
        <f aca="false">IF(COUNT(BA5,BA7)=2,IF(BA5=0,"",BA7/BA5),"")</f>
        <v/>
      </c>
      <c r="BB6" s="83" t="n">
        <f aca="false">IF('Cash Drivers'!BB$26,Marketing!BA6,Marketing!BC6)</f>
        <v>0.62</v>
      </c>
      <c r="BC6" s="84" t="n">
        <v>0.62</v>
      </c>
      <c r="BD6" s="82" t="str">
        <f aca="false">IF(COUNT(BD5,BD7)=2,IF(BD5=0,"",BD7/BD5),"")</f>
        <v/>
      </c>
      <c r="BE6" s="82" t="n">
        <f aca="false">IF('Cash Drivers'!BE$26,Marketing!BD6,Marketing!BF6)</f>
        <v>0.62</v>
      </c>
      <c r="BF6" s="85" t="n">
        <v>0.62</v>
      </c>
      <c r="BG6" s="83" t="str">
        <f aca="false">IF(COUNT(BG5,BG7)=2,IF(BG5=0,"",BG7/BG5),"")</f>
        <v/>
      </c>
      <c r="BH6" s="83" t="n">
        <f aca="false">IF('Cash Drivers'!BH$26,Marketing!BG6,Marketing!BI6)</f>
        <v>0.62</v>
      </c>
      <c r="BI6" s="84" t="n">
        <v>0.62</v>
      </c>
      <c r="BJ6" s="82" t="str">
        <f aca="false">IF(COUNT(BJ5,BJ7)=2,IF(BJ5=0,"",BJ7/BJ5),"")</f>
        <v/>
      </c>
      <c r="BK6" s="82" t="n">
        <f aca="false">IF('Cash Drivers'!BK$26,Marketing!BJ6,Marketing!BL6)</f>
        <v>0.62</v>
      </c>
      <c r="BL6" s="85" t="n">
        <v>0.62</v>
      </c>
      <c r="BM6" s="83" t="str">
        <f aca="false">IF(COUNT(BM5,BM7)=2,IF(BM5=0,"",BM7/BM5),"")</f>
        <v/>
      </c>
      <c r="BN6" s="83" t="n">
        <f aca="false">IF('Cash Drivers'!BN$26,Marketing!BM6,Marketing!BO6)</f>
        <v>0.62</v>
      </c>
      <c r="BO6" s="84" t="n">
        <v>0.62</v>
      </c>
      <c r="BP6" s="82" t="str">
        <f aca="false">IF(COUNT(BP5,BP7)=2,IF(BP5=0,"",BP7/BP5),"")</f>
        <v/>
      </c>
      <c r="BQ6" s="82" t="n">
        <f aca="false">IF('Cash Drivers'!BQ$26,Marketing!BP6,Marketing!BR6)</f>
        <v>0.62</v>
      </c>
      <c r="BR6" s="85" t="n">
        <v>0.62</v>
      </c>
      <c r="BS6" s="83" t="str">
        <f aca="false">IF(COUNT(BS5,BS7)=2,IF(BS5=0,"",BS7/BS5),"")</f>
        <v/>
      </c>
      <c r="BT6" s="83" t="n">
        <f aca="false">IF('Cash Drivers'!BT$26,Marketing!BS6,Marketing!BU6)</f>
        <v>0.62</v>
      </c>
      <c r="BU6" s="84" t="n">
        <v>0.62</v>
      </c>
      <c r="BV6" s="82" t="str">
        <f aca="false">IF(COUNT(BV5,BV7)=2,IF(BV5=0,"",BV7/BV5),"")</f>
        <v/>
      </c>
      <c r="BW6" s="82" t="n">
        <f aca="false">IF('Cash Drivers'!BW$26,Marketing!BV6,Marketing!BX6)</f>
        <v>0.62</v>
      </c>
      <c r="BX6" s="85" t="n">
        <v>0.62</v>
      </c>
      <c r="BY6" s="83" t="str">
        <f aca="false">IF(COUNT(BY5,BY7)=2,IF(BY5=0,"",BY7/BY5),"")</f>
        <v/>
      </c>
      <c r="BZ6" s="83" t="n">
        <f aca="false">IF('Cash Drivers'!BZ$26,Marketing!BY6,Marketing!CA6)</f>
        <v>0.62</v>
      </c>
      <c r="CA6" s="84" t="n">
        <v>0.62</v>
      </c>
      <c r="CB6" s="82" t="str">
        <f aca="false">IF(COUNT(CB5,CB7)=2,IF(CB5=0,"",CB7/CB5),"")</f>
        <v/>
      </c>
      <c r="CC6" s="82" t="n">
        <f aca="false">IF('Cash Drivers'!CC$26,Marketing!CB6,Marketing!CD6)</f>
        <v>0.62</v>
      </c>
      <c r="CD6" s="85" t="n">
        <v>0.62</v>
      </c>
      <c r="CE6" s="83" t="str">
        <f aca="false">IF(COUNT(CE5,CE7)=2,IF(CE5=0,"",CE7/CE5),"")</f>
        <v/>
      </c>
      <c r="CF6" s="83" t="n">
        <f aca="false">IF('Cash Drivers'!CF$26,Marketing!CE6,Marketing!CG6)</f>
        <v>0.62</v>
      </c>
      <c r="CG6" s="84" t="n">
        <v>0.62</v>
      </c>
      <c r="CH6" s="82" t="str">
        <f aca="false">IF(COUNT(CH5,CH7)=2,IF(CH5=0,"",CH7/CH5),"")</f>
        <v/>
      </c>
      <c r="CI6" s="82" t="n">
        <f aca="false">IF('Cash Drivers'!CI$26,Marketing!CH6,Marketing!CJ6)</f>
        <v>0.62</v>
      </c>
      <c r="CJ6" s="85" t="n">
        <v>0.62</v>
      </c>
      <c r="CK6" s="83" t="str">
        <f aca="false">IF(COUNT(CK5,CK7)=2,IF(CK5=0,"",CK7/CK5),"")</f>
        <v/>
      </c>
      <c r="CL6" s="83" t="n">
        <f aca="false">IF('Cash Drivers'!CL$26,Marketing!CK6,Marketing!CM6)</f>
        <v>0.62</v>
      </c>
      <c r="CM6" s="84" t="n">
        <v>0.62</v>
      </c>
      <c r="CN6" s="82" t="str">
        <f aca="false">IF(COUNT(CN5,CN7)=2,IF(CN5=0,"",CN7/CN5),"")</f>
        <v/>
      </c>
      <c r="CO6" s="82" t="n">
        <f aca="false">IF('Cash Drivers'!CO$26,Marketing!CN6,Marketing!CP6)</f>
        <v>0.62</v>
      </c>
      <c r="CP6" s="85" t="n">
        <v>0.62</v>
      </c>
      <c r="CQ6" s="83" t="str">
        <f aca="false">IF(COUNT(CQ5,CQ7)=2,IF(CQ5=0,"",CQ7/CQ5),"")</f>
        <v/>
      </c>
      <c r="CR6" s="83" t="n">
        <f aca="false">IF('Cash Drivers'!CR$26,Marketing!CQ6,Marketing!CS6)</f>
        <v>0.62</v>
      </c>
      <c r="CS6" s="84" t="n">
        <v>0.62</v>
      </c>
      <c r="CT6" s="82" t="str">
        <f aca="false">IF(COUNT(CT5,CT7)=2,IF(CT5=0,"",CT7/CT5),"")</f>
        <v/>
      </c>
      <c r="CU6" s="82" t="n">
        <f aca="false">IF('Cash Drivers'!CU$26,Marketing!CT6,Marketing!CV6)</f>
        <v>0.62</v>
      </c>
      <c r="CV6" s="85" t="n">
        <v>0.62</v>
      </c>
      <c r="CW6" s="83" t="str">
        <f aca="false">IF(COUNT(CW5,CW7)=2,IF(CW5=0,"",CW7/CW5),"")</f>
        <v/>
      </c>
      <c r="CX6" s="83" t="n">
        <f aca="false">IF('Cash Drivers'!CX$26,Marketing!CW6,Marketing!CY6)</f>
        <v>0.62</v>
      </c>
      <c r="CY6" s="84" t="n">
        <v>0.62</v>
      </c>
      <c r="CZ6" s="82" t="str">
        <f aca="false">IF(COUNT(CZ5,CZ7)=2,IF(CZ5=0,"",CZ7/CZ5),"")</f>
        <v/>
      </c>
      <c r="DA6" s="82" t="n">
        <f aca="false">IF('Cash Drivers'!DA$26,Marketing!CZ6,Marketing!DB6)</f>
        <v>0.62</v>
      </c>
      <c r="DB6" s="85" t="n">
        <v>0.62</v>
      </c>
      <c r="DC6" s="83" t="str">
        <f aca="false">IF(COUNT(DC5,DC7)=2,IF(DC5=0,"",DC7/DC5),"")</f>
        <v/>
      </c>
      <c r="DD6" s="83" t="n">
        <f aca="false">IF('Cash Drivers'!DD$26,Marketing!DC6,Marketing!DE6)</f>
        <v>0.62</v>
      </c>
      <c r="DE6" s="84" t="n">
        <v>0.62</v>
      </c>
      <c r="DF6" s="82" t="str">
        <f aca="false">IF(COUNT(DF5,DF7)=2,IF(DF5=0,"",DF7/DF5),"")</f>
        <v/>
      </c>
      <c r="DG6" s="82" t="n">
        <f aca="false">IF('Cash Drivers'!DG$26,Marketing!DF6,Marketing!DH6)</f>
        <v>0.62</v>
      </c>
      <c r="DH6" s="85" t="n">
        <v>0.62</v>
      </c>
      <c r="DI6" s="83" t="n">
        <f aca="false">IF(COUNT(DI5,DI7)=2,IF(DI5=0,"",DI7/DI5),"")</f>
        <v>0.616666666666667</v>
      </c>
      <c r="DJ6" s="83" t="n">
        <f aca="false">DI6</f>
        <v>0.616666666666667</v>
      </c>
      <c r="DK6" s="84" t="n">
        <v>0.62</v>
      </c>
      <c r="DL6" s="82" t="n">
        <f aca="false">IF(COUNT(DL5,DL7)=2,IF(DL5=0,"",DL7/DL5),"")</f>
        <v>0.622950819672131</v>
      </c>
      <c r="DM6" s="82" t="n">
        <f aca="false">DL6</f>
        <v>0.622950819672131</v>
      </c>
      <c r="DN6" s="85" t="n">
        <v>0.62</v>
      </c>
    </row>
    <row r="7" customFormat="false" ht="15" hidden="false" customHeight="false" outlineLevel="0" collapsed="false">
      <c r="A7" s="26" t="s">
        <v>132</v>
      </c>
      <c r="B7" s="86" t="str">
        <f aca="false">IF(COUNT(AR7,AO7,AL7,AI7,AF7,AC7,Z7,W7,T7,Q7,N7,K7)=0,"",SUM(AR7,AO7,AL7,AI7,AF7,AC7,Z7,W7,T7,Q7,N7,K7))</f>
        <v/>
      </c>
      <c r="C7" s="86" t="n">
        <f aca="false">IF(COUNT(AS7,AP7,AM7,AJ7,AG7,AD7,AA7,X7,U7,R7,O7,L7)=0,"",SUM(AS7,AP7,AM7,AJ7,AG7,AD7,AA7,X7,U7,R7,O7,L7))</f>
        <v>1776</v>
      </c>
      <c r="D7" s="86" t="n">
        <f aca="false">IF(COUNT(AT7,AQ7,AN7,AK7,AH7,AE7,AB7,Y7,V7,S7,P7,M7)=0,"",SUM(AT7,AQ7,AN7,AK7,AH7,AE7,AB7,Y7,V7,S7,P7,M7))</f>
        <v>1776</v>
      </c>
      <c r="E7" s="87" t="str">
        <f aca="false">IF(COUNT(CB7,BY7,BV7,BS7,BP7,BM7,BJ7,BG7,BD7,BA7,AX7,AU7)=0,"",SUM(CB7,BY7,BV7,BS7,BP7,BM7,BJ7,BG7,BD7,BA7,AX7,AU7))</f>
        <v/>
      </c>
      <c r="F7" s="87" t="n">
        <f aca="false">IF(COUNT(CC7,BZ7,BW7,BT7,BQ7,BN7,BK7,BH7,BE7,BB7,AY7,AV7)=0,"",SUM(CC7,BZ7,BW7,BT7,BQ7,BN7,BK7,BH7,BE7,BB7,AY7,AV7))</f>
        <v>1284</v>
      </c>
      <c r="G7" s="87" t="n">
        <f aca="false">IF(COUNT(CD7,CA7,BX7,BU7,BR7,BO7,BL7,BI7,BF7,BC7,AZ7,AW7)=0,"",SUM(CD7,CA7,BX7,BU7,BR7,BO7,BL7,BI7,BF7,BC7,AZ7,AW7))</f>
        <v>1284</v>
      </c>
      <c r="H7" s="86" t="n">
        <f aca="false">IF(COUNT(DL7,DI7,DF7,DC7,CZ7,CW7,CT7,CQ7,CN7,CK7,CH7,CE7)=0,"",SUM(DL7,DI7,DF7,DC7,CZ7,CW7,CT7,CQ7,CN7,CK7,CH7,CE7))</f>
        <v>150</v>
      </c>
      <c r="I7" s="86" t="n">
        <f aca="false">IF(COUNT(DM7,DJ7,DG7,DD7,DA7,CX7,CU7,CR7,CO7,CL7,CI7,CF7)=0,"",SUM(DM7,DJ7,DG7,DD7,DA7,CX7,CU7,CR7,CO7,CL7,CI7,CF7))</f>
        <v>890</v>
      </c>
      <c r="J7" s="86" t="n">
        <f aca="false">IF(COUNT(DN7,DK7,DH7,DE7,DB7,CY7,CV7,CS7,CP7,CM7,CJ7,CG7)=0,"",SUM(DN7,DK7,DH7,DE7,DB7,CY7,CV7,CS7,CP7,CM7,CJ7,CG7))</f>
        <v>888</v>
      </c>
      <c r="K7" s="87"/>
      <c r="L7" s="87" t="n">
        <f aca="false">IF('Cash Drivers'!L$26,K7,ROUND(IF(EOMONTH(DATE(YEAR(Marketing!$DL$1),MONTH(Marketing!$DL$1),1)+INT((DAY(Marketing!$DL$1)-1)/2)+'Cash Drivers'!DM$7,0)=EOMONTH($K$1,0),Marketing!DM$5*Marketing!DM$6,0)+IF(EOMONTH(DATE(YEAR(Marketing!$DI$1),MONTH(Marketing!$DI$1),1)+INT((DAY(Marketing!$DI$1)-1)/2)+'Cash Drivers'!DJ$7,0)=EOMONTH($K$1,0),Marketing!DJ$5*Marketing!DJ$6,0)+IF(EOMONTH(DATE(YEAR(Marketing!$DF$1),MONTH(Marketing!$DF$1),1)+INT((DAY(Marketing!$DF$1)-1)/2)+'Cash Drivers'!DG$7,0)=EOMONTH($K$1,0),Marketing!DG$5*Marketing!DG$6,0)+IF(EOMONTH(DATE(YEAR(Marketing!$DC$1),MONTH(Marketing!$DC$1),1)+INT((DAY(Marketing!$DC$1)-1)/2)+'Cash Drivers'!DD$7,0)=EOMONTH($K$1,0),Marketing!DD$5*Marketing!DD$6,0)+IF(EOMONTH(DATE(YEAR(Marketing!$CZ$1),MONTH(Marketing!$CZ$1),1)+INT((DAY(Marketing!$CZ$1)-1)/2)+'Cash Drivers'!DA$7,0)=EOMONTH($K$1,0),Marketing!DA$5*Marketing!DA$6,0)+IF(EOMONTH(DATE(YEAR(Marketing!$CW$1),MONTH(Marketing!$CW$1),1)+INT((DAY(Marketing!$CW$1)-1)/2)+'Cash Drivers'!CX$7,0)=EOMONTH($K$1,0),Marketing!CX$5*Marketing!CX$6,0)+IF(EOMONTH(DATE(YEAR(Marketing!$CT$1),MONTH(Marketing!$CT$1),1)+INT((DAY(Marketing!$CT$1)-1)/2)+'Cash Drivers'!CU$7,0)=EOMONTH($K$1,0),Marketing!CU$5*Marketing!CU$6,0)+IF(EOMONTH(DATE(YEAR(Marketing!$CQ$1),MONTH(Marketing!$CQ$1),1)+INT((DAY(Marketing!$CQ$1)-1)/2)+'Cash Drivers'!CR$7,0)=EOMONTH($K$1,0),Marketing!CR$5*Marketing!CR$6,0)+IF(EOMONTH(DATE(YEAR(Marketing!$CN$1),MONTH(Marketing!$CN$1),1)+INT((DAY(Marketing!$CN$1)-1)/2)+'Cash Drivers'!CO$7,0)=EOMONTH($K$1,0),Marketing!CO$5*Marketing!CO$6,0)+IF(EOMONTH(DATE(YEAR(Marketing!$CK$1),MONTH(Marketing!$CK$1),1)+INT((DAY(Marketing!$CK$1)-1)/2)+'Cash Drivers'!CL$7,0)=EOMONTH($K$1,0),Marketing!CL$5*Marketing!CL$6,0)+IF(EOMONTH(DATE(YEAR(Marketing!$CH$1),MONTH(Marketing!$CH$1),1)+INT((DAY(Marketing!$CH$1)-1)/2)+'Cash Drivers'!CI$7,0)=EOMONTH($K$1,0),Marketing!CI$5*Marketing!CI$6,0)+IF(EOMONTH(DATE(YEAR(Marketing!$CE$1),MONTH(Marketing!$CE$1),1)+INT((DAY(Marketing!$CE$1)-1)/2)+'Cash Drivers'!CF$7,0)=EOMONTH($K$1,0),Marketing!CF$5*Marketing!CF$6,0)+IF(EOMONTH(DATE(YEAR(Marketing!$CB$1),MONTH(Marketing!$CB$1),1)+INT((DAY(Marketing!$CB$1)-1)/2)+'Cash Drivers'!CC$7,0)=EOMONTH($K$1,0),Marketing!CC$5*Marketing!CC$6,0)+IF(EOMONTH(DATE(YEAR(Marketing!$BY$1),MONTH(Marketing!$BY$1),1)+INT((DAY(Marketing!$BY$1)-1)/2)+'Cash Drivers'!BZ$7,0)=EOMONTH($K$1,0),Marketing!BZ$5*Marketing!BZ$6,0)+IF(EOMONTH(DATE(YEAR(Marketing!$BV$1),MONTH(Marketing!$BV$1),1)+INT((DAY(Marketing!$BV$1)-1)/2)+'Cash Drivers'!BW$7,0)=EOMONTH($K$1,0),Marketing!BW$5*Marketing!BW$6,0)+IF(EOMONTH(DATE(YEAR(Marketing!$BS$1),MONTH(Marketing!$BS$1),1)+INT((DAY(Marketing!$BS$1)-1)/2)+'Cash Drivers'!BT$7,0)=EOMONTH($K$1,0),Marketing!BT$5*Marketing!BT$6,0)+IF(EOMONTH(DATE(YEAR(Marketing!$BP$1),MONTH(Marketing!$BP$1),1)+INT((DAY(Marketing!$BP$1)-1)/2)+'Cash Drivers'!BQ$7,0)=EOMONTH($K$1,0),Marketing!BQ$5*Marketing!BQ$6,0)+IF(EOMONTH(DATE(YEAR(Marketing!$BM$1),MONTH(Marketing!$BM$1),1)+INT((DAY(Marketing!$BM$1)-1)/2)+'Cash Drivers'!BN$7,0)=EOMONTH($K$1,0),Marketing!BN$5*Marketing!BN$6,0)+IF(EOMONTH(DATE(YEAR(Marketing!$BJ$1),MONTH(Marketing!$BJ$1),1)+INT((DAY(Marketing!$BJ$1)-1)/2)+'Cash Drivers'!BK$7,0)=EOMONTH($K$1,0),Marketing!BK$5*Marketing!BK$6,0)+IF(EOMONTH(DATE(YEAR(Marketing!$BG$1),MONTH(Marketing!$BG$1),1)+INT((DAY(Marketing!$BG$1)-1)/2)+'Cash Drivers'!BH$7,0)=EOMONTH($K$1,0),Marketing!BH$5*Marketing!BH$6,0)+IF(EOMONTH(DATE(YEAR(Marketing!$BD$1),MONTH(Marketing!$BD$1),1)+INT((DAY(Marketing!$BD$1)-1)/2)+'Cash Drivers'!BE$7,0)=EOMONTH($K$1,0),Marketing!BE$5*Marketing!BE$6,0)+IF(EOMONTH(DATE(YEAR(Marketing!$BA$1),MONTH(Marketing!$BA$1),1)+INT((DAY(Marketing!$BA$1)-1)/2)+'Cash Drivers'!BB$7,0)=EOMONTH($K$1,0),Marketing!BB$5*Marketing!BB$6,0)+IF(EOMONTH(DATE(YEAR(Marketing!$AX$1),MONTH(Marketing!$AX$1),1)+INT((DAY(Marketing!$AX$1)-1)/2)+'Cash Drivers'!AY$7,0)=EOMONTH($K$1,0),Marketing!AY$5*Marketing!AY$6,0)+IF(EOMONTH(DATE(YEAR(Marketing!$AU$1),MONTH(Marketing!$AU$1),1)+INT((DAY(Marketing!$AU$1)-1)/2)+'Cash Drivers'!AV$7,0)=EOMONTH($K$1,0),Marketing!AV$5*Marketing!AV$6,0)+IF(EOMONTH(DATE(YEAR(Marketing!$AR$1),MONTH(Marketing!$AR$1),1)+INT((DAY(Marketing!$AR$1)-1)/2)+'Cash Drivers'!AS$7,0)=EOMONTH($K$1,0),Marketing!AS$5*Marketing!AS$6,0)+IF(EOMONTH(DATE(YEAR(Marketing!$AO$1),MONTH(Marketing!$AO$1),1)+INT((DAY(Marketing!$AO$1)-1)/2)+'Cash Drivers'!AP$7,0)=EOMONTH($K$1,0),Marketing!AP$5*Marketing!AP$6,0)+IF(EOMONTH(DATE(YEAR(Marketing!$AL$1),MONTH(Marketing!$AL$1),1)+INT((DAY(Marketing!$AL$1)-1)/2)+'Cash Drivers'!AM$7,0)=EOMONTH($K$1,0),Marketing!AM$5*Marketing!AM$6,0)+IF(EOMONTH(DATE(YEAR(Marketing!$AI$1),MONTH(Marketing!$AI$1),1)+INT((DAY(Marketing!$AI$1)-1)/2)+'Cash Drivers'!AJ$7,0)=EOMONTH($K$1,0),Marketing!AJ$5*Marketing!AJ$6,0)+IF(EOMONTH(DATE(YEAR(Marketing!$AF$1),MONTH(Marketing!$AF$1),1)+INT((DAY(Marketing!$AF$1)-1)/2)+'Cash Drivers'!AG$7,0)=EOMONTH($K$1,0),Marketing!AG$5*Marketing!AG$6,0)+IF(EOMONTH(DATE(YEAR(Marketing!$AC$1),MONTH(Marketing!$AC$1),1)+INT((DAY(Marketing!$AC$1)-1)/2)+'Cash Drivers'!AD$7,0)=EOMONTH($K$1,0),Marketing!AD$5*Marketing!AD$6,0)+IF(EOMONTH(DATE(YEAR(Marketing!$Z$1),MONTH(Marketing!$Z$1),1)+INT((DAY(Marketing!$Z$1)-1)/2)+'Cash Drivers'!AA$7,0)=EOMONTH($K$1,0),Marketing!AA$5*Marketing!AA$6,0)+IF(EOMONTH(DATE(YEAR(Marketing!$W$1),MONTH(Marketing!$W$1),1)+INT((DAY(Marketing!$W$1)-1)/2)+'Cash Drivers'!X$7,0)=EOMONTH($K$1,0),Marketing!X$5*Marketing!X$6,0)+IF(EOMONTH(DATE(YEAR(Marketing!$T$1),MONTH(Marketing!$T$1),1)+INT((DAY(Marketing!$T$1)-1)/2)+'Cash Drivers'!U$7,0)=EOMONTH($K$1,0),Marketing!U$5*Marketing!U$6,0)+IF(EOMONTH(DATE(YEAR(Marketing!$Q$1),MONTH(Marketing!$Q$1),1)+INT((DAY(Marketing!$Q$1)-1)/2)+'Cash Drivers'!R$7,0)=EOMONTH($K$1,0),Marketing!R$5*Marketing!R$6,0)+IF(EOMONTH(DATE(YEAR(Marketing!$N$1),MONTH(Marketing!$N$1),1)+INT((DAY(Marketing!$N$1)-1)/2)+'Cash Drivers'!O$7,0)=EOMONTH($K$1,0),Marketing!O$5*Marketing!O$6,0)+IF(EOMONTH(DATE(YEAR(Marketing!$K$1),MONTH(Marketing!$K$1),1)+INT((DAY(Marketing!$K$1)-1)/2)+'Cash Drivers'!L$7,0)=EOMONTH($K$1,0),Marketing!L$5*Marketing!L$6,0)+0,0))</f>
        <v>148</v>
      </c>
      <c r="M7" s="87" t="n">
        <f aca="false">ROUND(IF(EOMONTH(DATE(YEAR(Marketing!$DL$1),MONTH(Marketing!$DL$1),1)+INT((DAY(Marketing!$DL$1)-1)/2)+'Cash Drivers'!DN$7,0)=EOMONTH($K$1,0),Marketing!DN$5*Marketing!DN$6,0)+IF(EOMONTH(DATE(YEAR(Marketing!$DI$1),MONTH(Marketing!$DI$1),1)+INT((DAY(Marketing!$DI$1)-1)/2)+'Cash Drivers'!DK$7,0)=EOMONTH($K$1,0),Marketing!DK$5*Marketing!DK$6,0)+IF(EOMONTH(DATE(YEAR(Marketing!$DF$1),MONTH(Marketing!$DF$1),1)+INT((DAY(Marketing!$DF$1)-1)/2)+'Cash Drivers'!DH$7,0)=EOMONTH($K$1,0),Marketing!DH$5*Marketing!DH$6,0)+IF(EOMONTH(DATE(YEAR(Marketing!$DC$1),MONTH(Marketing!$DC$1),1)+INT((DAY(Marketing!$DC$1)-1)/2)+'Cash Drivers'!DE$7,0)=EOMONTH($K$1,0),Marketing!DE$5*Marketing!DE$6,0)+IF(EOMONTH(DATE(YEAR(Marketing!$CZ$1),MONTH(Marketing!$CZ$1),1)+INT((DAY(Marketing!$CZ$1)-1)/2)+'Cash Drivers'!DB$7,0)=EOMONTH($K$1,0),Marketing!DB$5*Marketing!DB$6,0)+IF(EOMONTH(DATE(YEAR(Marketing!$CW$1),MONTH(Marketing!$CW$1),1)+INT((DAY(Marketing!$CW$1)-1)/2)+'Cash Drivers'!CY$7,0)=EOMONTH($K$1,0),Marketing!CY$5*Marketing!CY$6,0)+IF(EOMONTH(DATE(YEAR(Marketing!$CT$1),MONTH(Marketing!$CT$1),1)+INT((DAY(Marketing!$CT$1)-1)/2)+'Cash Drivers'!CV$7,0)=EOMONTH($K$1,0),Marketing!CV$5*Marketing!CV$6,0)+IF(EOMONTH(DATE(YEAR(Marketing!$CQ$1),MONTH(Marketing!$CQ$1),1)+INT((DAY(Marketing!$CQ$1)-1)/2)+'Cash Drivers'!CS$7,0)=EOMONTH($K$1,0),Marketing!CS$5*Marketing!CS$6,0)+IF(EOMONTH(DATE(YEAR(Marketing!$CN$1),MONTH(Marketing!$CN$1),1)+INT((DAY(Marketing!$CN$1)-1)/2)+'Cash Drivers'!CP$7,0)=EOMONTH($K$1,0),Marketing!CP$5*Marketing!CP$6,0)+IF(EOMONTH(DATE(YEAR(Marketing!$CK$1),MONTH(Marketing!$CK$1),1)+INT((DAY(Marketing!$CK$1)-1)/2)+'Cash Drivers'!CM$7,0)=EOMONTH($K$1,0),Marketing!CM$5*Marketing!CM$6,0)+IF(EOMONTH(DATE(YEAR(Marketing!$CH$1),MONTH(Marketing!$CH$1),1)+INT((DAY(Marketing!$CH$1)-1)/2)+'Cash Drivers'!CJ$7,0)=EOMONTH($K$1,0),Marketing!CJ$5*Marketing!CJ$6,0)+IF(EOMONTH(DATE(YEAR(Marketing!$CE$1),MONTH(Marketing!$CE$1),1)+INT((DAY(Marketing!$CE$1)-1)/2)+'Cash Drivers'!CG$7,0)=EOMONTH($K$1,0),Marketing!CG$5*Marketing!CG$6,0)+IF(EOMONTH(DATE(YEAR(Marketing!$CB$1),MONTH(Marketing!$CB$1),1)+INT((DAY(Marketing!$CB$1)-1)/2)+'Cash Drivers'!CD$7,0)=EOMONTH($K$1,0),Marketing!CD$5*Marketing!CD$6,0)+IF(EOMONTH(DATE(YEAR(Marketing!$BY$1),MONTH(Marketing!$BY$1),1)+INT((DAY(Marketing!$BY$1)-1)/2)+'Cash Drivers'!CA$7,0)=EOMONTH($K$1,0),Marketing!CA$5*Marketing!CA$6,0)+IF(EOMONTH(DATE(YEAR(Marketing!$BV$1),MONTH(Marketing!$BV$1),1)+INT((DAY(Marketing!$BV$1)-1)/2)+'Cash Drivers'!BX$7,0)=EOMONTH($K$1,0),Marketing!BX$5*Marketing!BX$6,0)+IF(EOMONTH(DATE(YEAR(Marketing!$BS$1),MONTH(Marketing!$BS$1),1)+INT((DAY(Marketing!$BS$1)-1)/2)+'Cash Drivers'!BU$7,0)=EOMONTH($K$1,0),Marketing!BU$5*Marketing!BU$6,0)+IF(EOMONTH(DATE(YEAR(Marketing!$BP$1),MONTH(Marketing!$BP$1),1)+INT((DAY(Marketing!$BP$1)-1)/2)+'Cash Drivers'!BR$7,0)=EOMONTH($K$1,0),Marketing!BR$5*Marketing!BR$6,0)+IF(EOMONTH(DATE(YEAR(Marketing!$BM$1),MONTH(Marketing!$BM$1),1)+INT((DAY(Marketing!$BM$1)-1)/2)+'Cash Drivers'!BO$7,0)=EOMONTH($K$1,0),Marketing!BO$5*Marketing!BO$6,0)+IF(EOMONTH(DATE(YEAR(Marketing!$BJ$1),MONTH(Marketing!$BJ$1),1)+INT((DAY(Marketing!$BJ$1)-1)/2)+'Cash Drivers'!BL$7,0)=EOMONTH($K$1,0),Marketing!BL$5*Marketing!BL$6,0)+IF(EOMONTH(DATE(YEAR(Marketing!$BG$1),MONTH(Marketing!$BG$1),1)+INT((DAY(Marketing!$BG$1)-1)/2)+'Cash Drivers'!BI$7,0)=EOMONTH($K$1,0),Marketing!BI$5*Marketing!BI$6,0)+IF(EOMONTH(DATE(YEAR(Marketing!$BD$1),MONTH(Marketing!$BD$1),1)+INT((DAY(Marketing!$BD$1)-1)/2)+'Cash Drivers'!BF$7,0)=EOMONTH($K$1,0),Marketing!BF$5*Marketing!BF$6,0)+IF(EOMONTH(DATE(YEAR(Marketing!$BA$1),MONTH(Marketing!$BA$1),1)+INT((DAY(Marketing!$BA$1)-1)/2)+'Cash Drivers'!BC$7,0)=EOMONTH($K$1,0),Marketing!BC$5*Marketing!BC$6,0)+IF(EOMONTH(DATE(YEAR(Marketing!$AX$1),MONTH(Marketing!$AX$1),1)+INT((DAY(Marketing!$AX$1)-1)/2)+'Cash Drivers'!AZ$7,0)=EOMONTH($K$1,0),Marketing!AZ$5*Marketing!AZ$6,0)+IF(EOMONTH(DATE(YEAR(Marketing!$AU$1),MONTH(Marketing!$AU$1),1)+INT((DAY(Marketing!$AU$1)-1)/2)+'Cash Drivers'!AW$7,0)=EOMONTH($K$1,0),Marketing!AW$5*Marketing!AW$6,0)+IF(EOMONTH(DATE(YEAR(Marketing!$AR$1),MONTH(Marketing!$AR$1),1)+INT((DAY(Marketing!$AR$1)-1)/2)+'Cash Drivers'!AT$7,0)=EOMONTH($K$1,0),Marketing!AT$5*Marketing!AT$6,0)+IF(EOMONTH(DATE(YEAR(Marketing!$AO$1),MONTH(Marketing!$AO$1),1)+INT((DAY(Marketing!$AO$1)-1)/2)+'Cash Drivers'!AQ$7,0)=EOMONTH($K$1,0),Marketing!AQ$5*Marketing!AQ$6,0)+IF(EOMONTH(DATE(YEAR(Marketing!$AL$1),MONTH(Marketing!$AL$1),1)+INT((DAY(Marketing!$AL$1)-1)/2)+'Cash Drivers'!AN$7,0)=EOMONTH($K$1,0),Marketing!AN$5*Marketing!AN$6,0)+IF(EOMONTH(DATE(YEAR(Marketing!$AI$1),MONTH(Marketing!$AI$1),1)+INT((DAY(Marketing!$AI$1)-1)/2)+'Cash Drivers'!AK$7,0)=EOMONTH($K$1,0),Marketing!AK$5*Marketing!AK$6,0)+IF(EOMONTH(DATE(YEAR(Marketing!$AF$1),MONTH(Marketing!$AF$1),1)+INT((DAY(Marketing!$AF$1)-1)/2)+'Cash Drivers'!AH$7,0)=EOMONTH($K$1,0),Marketing!AH$5*Marketing!AH$6,0)+IF(EOMONTH(DATE(YEAR(Marketing!$AC$1),MONTH(Marketing!$AC$1),1)+INT((DAY(Marketing!$AC$1)-1)/2)+'Cash Drivers'!AE$7,0)=EOMONTH($K$1,0),Marketing!AE$5*Marketing!AE$6,0)+IF(EOMONTH(DATE(YEAR(Marketing!$Z$1),MONTH(Marketing!$Z$1),1)+INT((DAY(Marketing!$Z$1)-1)/2)+'Cash Drivers'!AB$7,0)=EOMONTH($K$1,0),Marketing!AB$5*Marketing!AB$6,0)+IF(EOMONTH(DATE(YEAR(Marketing!$W$1),MONTH(Marketing!$W$1),1)+INT((DAY(Marketing!$W$1)-1)/2)+'Cash Drivers'!Y$7,0)=EOMONTH($K$1,0),Marketing!Y$5*Marketing!Y$6,0)+IF(EOMONTH(DATE(YEAR(Marketing!$T$1),MONTH(Marketing!$T$1),1)+INT((DAY(Marketing!$T$1)-1)/2)+'Cash Drivers'!V$7,0)=EOMONTH($K$1,0),Marketing!V$5*Marketing!V$6,0)+IF(EOMONTH(DATE(YEAR(Marketing!$Q$1),MONTH(Marketing!$Q$1),1)+INT((DAY(Marketing!$Q$1)-1)/2)+'Cash Drivers'!S$7,0)=EOMONTH($K$1,0),Marketing!S$5*Marketing!S$6,0)+IF(EOMONTH(DATE(YEAR(Marketing!$N$1),MONTH(Marketing!$N$1),1)+INT((DAY(Marketing!$N$1)-1)/2)+'Cash Drivers'!P$7,0)=EOMONTH($K$1,0),Marketing!P$5*Marketing!P$6,0)+IF(EOMONTH(DATE(YEAR(Marketing!$K$1),MONTH(Marketing!$K$1),1)+INT((DAY(Marketing!$K$1)-1)/2)+'Cash Drivers'!M$7,0)=EOMONTH($K$1,0),Marketing!M$5*Marketing!M$6,0)+0,0)</f>
        <v>148</v>
      </c>
      <c r="N7" s="86"/>
      <c r="O7" s="86" t="n">
        <f aca="false">IF('Cash Drivers'!O$26,N7,ROUND(IF(EOMONTH(DATE(YEAR(Marketing!$DL$1),MONTH(Marketing!$DL$1),1)+INT((DAY(Marketing!$DL$1)-1)/2)+'Cash Drivers'!DM$7,0)=EOMONTH($N$1,0),Marketing!DM$5*Marketing!DM$6,0)+IF(EOMONTH(DATE(YEAR(Marketing!$DI$1),MONTH(Marketing!$DI$1),1)+INT((DAY(Marketing!$DI$1)-1)/2)+'Cash Drivers'!DJ$7,0)=EOMONTH($N$1,0),Marketing!DJ$5*Marketing!DJ$6,0)+IF(EOMONTH(DATE(YEAR(Marketing!$DF$1),MONTH(Marketing!$DF$1),1)+INT((DAY(Marketing!$DF$1)-1)/2)+'Cash Drivers'!DG$7,0)=EOMONTH($N$1,0),Marketing!DG$5*Marketing!DG$6,0)+IF(EOMONTH(DATE(YEAR(Marketing!$DC$1),MONTH(Marketing!$DC$1),1)+INT((DAY(Marketing!$DC$1)-1)/2)+'Cash Drivers'!DD$7,0)=EOMONTH($N$1,0),Marketing!DD$5*Marketing!DD$6,0)+IF(EOMONTH(DATE(YEAR(Marketing!$CZ$1),MONTH(Marketing!$CZ$1),1)+INT((DAY(Marketing!$CZ$1)-1)/2)+'Cash Drivers'!DA$7,0)=EOMONTH($N$1,0),Marketing!DA$5*Marketing!DA$6,0)+IF(EOMONTH(DATE(YEAR(Marketing!$CW$1),MONTH(Marketing!$CW$1),1)+INT((DAY(Marketing!$CW$1)-1)/2)+'Cash Drivers'!CX$7,0)=EOMONTH($N$1,0),Marketing!CX$5*Marketing!CX$6,0)+IF(EOMONTH(DATE(YEAR(Marketing!$CT$1),MONTH(Marketing!$CT$1),1)+INT((DAY(Marketing!$CT$1)-1)/2)+'Cash Drivers'!CU$7,0)=EOMONTH($N$1,0),Marketing!CU$5*Marketing!CU$6,0)+IF(EOMONTH(DATE(YEAR(Marketing!$CQ$1),MONTH(Marketing!$CQ$1),1)+INT((DAY(Marketing!$CQ$1)-1)/2)+'Cash Drivers'!CR$7,0)=EOMONTH($N$1,0),Marketing!CR$5*Marketing!CR$6,0)+IF(EOMONTH(DATE(YEAR(Marketing!$CN$1),MONTH(Marketing!$CN$1),1)+INT((DAY(Marketing!$CN$1)-1)/2)+'Cash Drivers'!CO$7,0)=EOMONTH($N$1,0),Marketing!CO$5*Marketing!CO$6,0)+IF(EOMONTH(DATE(YEAR(Marketing!$CK$1),MONTH(Marketing!$CK$1),1)+INT((DAY(Marketing!$CK$1)-1)/2)+'Cash Drivers'!CL$7,0)=EOMONTH($N$1,0),Marketing!CL$5*Marketing!CL$6,0)+IF(EOMONTH(DATE(YEAR(Marketing!$CH$1),MONTH(Marketing!$CH$1),1)+INT((DAY(Marketing!$CH$1)-1)/2)+'Cash Drivers'!CI$7,0)=EOMONTH($N$1,0),Marketing!CI$5*Marketing!CI$6,0)+IF(EOMONTH(DATE(YEAR(Marketing!$CE$1),MONTH(Marketing!$CE$1),1)+INT((DAY(Marketing!$CE$1)-1)/2)+'Cash Drivers'!CF$7,0)=EOMONTH($N$1,0),Marketing!CF$5*Marketing!CF$6,0)+IF(EOMONTH(DATE(YEAR(Marketing!$CB$1),MONTH(Marketing!$CB$1),1)+INT((DAY(Marketing!$CB$1)-1)/2)+'Cash Drivers'!CC$7,0)=EOMONTH($N$1,0),Marketing!CC$5*Marketing!CC$6,0)+IF(EOMONTH(DATE(YEAR(Marketing!$BY$1),MONTH(Marketing!$BY$1),1)+INT((DAY(Marketing!$BY$1)-1)/2)+'Cash Drivers'!BZ$7,0)=EOMONTH($N$1,0),Marketing!BZ$5*Marketing!BZ$6,0)+IF(EOMONTH(DATE(YEAR(Marketing!$BV$1),MONTH(Marketing!$BV$1),1)+INT((DAY(Marketing!$BV$1)-1)/2)+'Cash Drivers'!BW$7,0)=EOMONTH($N$1,0),Marketing!BW$5*Marketing!BW$6,0)+IF(EOMONTH(DATE(YEAR(Marketing!$BS$1),MONTH(Marketing!$BS$1),1)+INT((DAY(Marketing!$BS$1)-1)/2)+'Cash Drivers'!BT$7,0)=EOMONTH($N$1,0),Marketing!BT$5*Marketing!BT$6,0)+IF(EOMONTH(DATE(YEAR(Marketing!$BP$1),MONTH(Marketing!$BP$1),1)+INT((DAY(Marketing!$BP$1)-1)/2)+'Cash Drivers'!BQ$7,0)=EOMONTH($N$1,0),Marketing!BQ$5*Marketing!BQ$6,0)+IF(EOMONTH(DATE(YEAR(Marketing!$BM$1),MONTH(Marketing!$BM$1),1)+INT((DAY(Marketing!$BM$1)-1)/2)+'Cash Drivers'!BN$7,0)=EOMONTH($N$1,0),Marketing!BN$5*Marketing!BN$6,0)+IF(EOMONTH(DATE(YEAR(Marketing!$BJ$1),MONTH(Marketing!$BJ$1),1)+INT((DAY(Marketing!$BJ$1)-1)/2)+'Cash Drivers'!BK$7,0)=EOMONTH($N$1,0),Marketing!BK$5*Marketing!BK$6,0)+IF(EOMONTH(DATE(YEAR(Marketing!$BG$1),MONTH(Marketing!$BG$1),1)+INT((DAY(Marketing!$BG$1)-1)/2)+'Cash Drivers'!BH$7,0)=EOMONTH($N$1,0),Marketing!BH$5*Marketing!BH$6,0)+IF(EOMONTH(DATE(YEAR(Marketing!$BD$1),MONTH(Marketing!$BD$1),1)+INT((DAY(Marketing!$BD$1)-1)/2)+'Cash Drivers'!BE$7,0)=EOMONTH($N$1,0),Marketing!BE$5*Marketing!BE$6,0)+IF(EOMONTH(DATE(YEAR(Marketing!$BA$1),MONTH(Marketing!$BA$1),1)+INT((DAY(Marketing!$BA$1)-1)/2)+'Cash Drivers'!BB$7,0)=EOMONTH($N$1,0),Marketing!BB$5*Marketing!BB$6,0)+IF(EOMONTH(DATE(YEAR(Marketing!$AX$1),MONTH(Marketing!$AX$1),1)+INT((DAY(Marketing!$AX$1)-1)/2)+'Cash Drivers'!AY$7,0)=EOMONTH($N$1,0),Marketing!AY$5*Marketing!AY$6,0)+IF(EOMONTH(DATE(YEAR(Marketing!$AU$1),MONTH(Marketing!$AU$1),1)+INT((DAY(Marketing!$AU$1)-1)/2)+'Cash Drivers'!AV$7,0)=EOMONTH($N$1,0),Marketing!AV$5*Marketing!AV$6,0)+IF(EOMONTH(DATE(YEAR(Marketing!$AR$1),MONTH(Marketing!$AR$1),1)+INT((DAY(Marketing!$AR$1)-1)/2)+'Cash Drivers'!AS$7,0)=EOMONTH($N$1,0),Marketing!AS$5*Marketing!AS$6,0)+IF(EOMONTH(DATE(YEAR(Marketing!$AO$1),MONTH(Marketing!$AO$1),1)+INT((DAY(Marketing!$AO$1)-1)/2)+'Cash Drivers'!AP$7,0)=EOMONTH($N$1,0),Marketing!AP$5*Marketing!AP$6,0)+IF(EOMONTH(DATE(YEAR(Marketing!$AL$1),MONTH(Marketing!$AL$1),1)+INT((DAY(Marketing!$AL$1)-1)/2)+'Cash Drivers'!AM$7,0)=EOMONTH($N$1,0),Marketing!AM$5*Marketing!AM$6,0)+IF(EOMONTH(DATE(YEAR(Marketing!$AI$1),MONTH(Marketing!$AI$1),1)+INT((DAY(Marketing!$AI$1)-1)/2)+'Cash Drivers'!AJ$7,0)=EOMONTH($N$1,0),Marketing!AJ$5*Marketing!AJ$6,0)+IF(EOMONTH(DATE(YEAR(Marketing!$AF$1),MONTH(Marketing!$AF$1),1)+INT((DAY(Marketing!$AF$1)-1)/2)+'Cash Drivers'!AG$7,0)=EOMONTH($N$1,0),Marketing!AG$5*Marketing!AG$6,0)+IF(EOMONTH(DATE(YEAR(Marketing!$AC$1),MONTH(Marketing!$AC$1),1)+INT((DAY(Marketing!$AC$1)-1)/2)+'Cash Drivers'!AD$7,0)=EOMONTH($N$1,0),Marketing!AD$5*Marketing!AD$6,0)+IF(EOMONTH(DATE(YEAR(Marketing!$Z$1),MONTH(Marketing!$Z$1),1)+INT((DAY(Marketing!$Z$1)-1)/2)+'Cash Drivers'!AA$7,0)=EOMONTH($N$1,0),Marketing!AA$5*Marketing!AA$6,0)+IF(EOMONTH(DATE(YEAR(Marketing!$W$1),MONTH(Marketing!$W$1),1)+INT((DAY(Marketing!$W$1)-1)/2)+'Cash Drivers'!X$7,0)=EOMONTH($N$1,0),Marketing!X$5*Marketing!X$6,0)+IF(EOMONTH(DATE(YEAR(Marketing!$T$1),MONTH(Marketing!$T$1),1)+INT((DAY(Marketing!$T$1)-1)/2)+'Cash Drivers'!U$7,0)=EOMONTH($N$1,0),Marketing!U$5*Marketing!U$6,0)+IF(EOMONTH(DATE(YEAR(Marketing!$Q$1),MONTH(Marketing!$Q$1),1)+INT((DAY(Marketing!$Q$1)-1)/2)+'Cash Drivers'!R$7,0)=EOMONTH($N$1,0),Marketing!R$5*Marketing!R$6,0)+IF(EOMONTH(DATE(YEAR(Marketing!$N$1),MONTH(Marketing!$N$1),1)+INT((DAY(Marketing!$N$1)-1)/2)+'Cash Drivers'!O$7,0)=EOMONTH($N$1,0),Marketing!O$5*Marketing!O$6,0)+IF(EOMONTH(DATE(YEAR(Marketing!$K$1),MONTH(Marketing!$K$1),1)+INT((DAY(Marketing!$K$1)-1)/2)+'Cash Drivers'!L$7,0)=EOMONTH($N$1,0),Marketing!L$5*Marketing!L$6,0)+0,0))</f>
        <v>148</v>
      </c>
      <c r="P7" s="86" t="n">
        <f aca="false">ROUND(IF(EOMONTH(DATE(YEAR(Marketing!$DL$1),MONTH(Marketing!$DL$1),1)+INT((DAY(Marketing!$DL$1)-1)/2)+'Cash Drivers'!DN$7,0)=EOMONTH($N$1,0),Marketing!DN$5*Marketing!DN$6,0)+IF(EOMONTH(DATE(YEAR(Marketing!$DI$1),MONTH(Marketing!$DI$1),1)+INT((DAY(Marketing!$DI$1)-1)/2)+'Cash Drivers'!DK$7,0)=EOMONTH($N$1,0),Marketing!DK$5*Marketing!DK$6,0)+IF(EOMONTH(DATE(YEAR(Marketing!$DF$1),MONTH(Marketing!$DF$1),1)+INT((DAY(Marketing!$DF$1)-1)/2)+'Cash Drivers'!DH$7,0)=EOMONTH($N$1,0),Marketing!DH$5*Marketing!DH$6,0)+IF(EOMONTH(DATE(YEAR(Marketing!$DC$1),MONTH(Marketing!$DC$1),1)+INT((DAY(Marketing!$DC$1)-1)/2)+'Cash Drivers'!DE$7,0)=EOMONTH($N$1,0),Marketing!DE$5*Marketing!DE$6,0)+IF(EOMONTH(DATE(YEAR(Marketing!$CZ$1),MONTH(Marketing!$CZ$1),1)+INT((DAY(Marketing!$CZ$1)-1)/2)+'Cash Drivers'!DB$7,0)=EOMONTH($N$1,0),Marketing!DB$5*Marketing!DB$6,0)+IF(EOMONTH(DATE(YEAR(Marketing!$CW$1),MONTH(Marketing!$CW$1),1)+INT((DAY(Marketing!$CW$1)-1)/2)+'Cash Drivers'!CY$7,0)=EOMONTH($N$1,0),Marketing!CY$5*Marketing!CY$6,0)+IF(EOMONTH(DATE(YEAR(Marketing!$CT$1),MONTH(Marketing!$CT$1),1)+INT((DAY(Marketing!$CT$1)-1)/2)+'Cash Drivers'!CV$7,0)=EOMONTH($N$1,0),Marketing!CV$5*Marketing!CV$6,0)+IF(EOMONTH(DATE(YEAR(Marketing!$CQ$1),MONTH(Marketing!$CQ$1),1)+INT((DAY(Marketing!$CQ$1)-1)/2)+'Cash Drivers'!CS$7,0)=EOMONTH($N$1,0),Marketing!CS$5*Marketing!CS$6,0)+IF(EOMONTH(DATE(YEAR(Marketing!$CN$1),MONTH(Marketing!$CN$1),1)+INT((DAY(Marketing!$CN$1)-1)/2)+'Cash Drivers'!CP$7,0)=EOMONTH($N$1,0),Marketing!CP$5*Marketing!CP$6,0)+IF(EOMONTH(DATE(YEAR(Marketing!$CK$1),MONTH(Marketing!$CK$1),1)+INT((DAY(Marketing!$CK$1)-1)/2)+'Cash Drivers'!CM$7,0)=EOMONTH($N$1,0),Marketing!CM$5*Marketing!CM$6,0)+IF(EOMONTH(DATE(YEAR(Marketing!$CH$1),MONTH(Marketing!$CH$1),1)+INT((DAY(Marketing!$CH$1)-1)/2)+'Cash Drivers'!CJ$7,0)=EOMONTH($N$1,0),Marketing!CJ$5*Marketing!CJ$6,0)+IF(EOMONTH(DATE(YEAR(Marketing!$CE$1),MONTH(Marketing!$CE$1),1)+INT((DAY(Marketing!$CE$1)-1)/2)+'Cash Drivers'!CG$7,0)=EOMONTH($N$1,0),Marketing!CG$5*Marketing!CG$6,0)+IF(EOMONTH(DATE(YEAR(Marketing!$CB$1),MONTH(Marketing!$CB$1),1)+INT((DAY(Marketing!$CB$1)-1)/2)+'Cash Drivers'!CD$7,0)=EOMONTH($N$1,0),Marketing!CD$5*Marketing!CD$6,0)+IF(EOMONTH(DATE(YEAR(Marketing!$BY$1),MONTH(Marketing!$BY$1),1)+INT((DAY(Marketing!$BY$1)-1)/2)+'Cash Drivers'!CA$7,0)=EOMONTH($N$1,0),Marketing!CA$5*Marketing!CA$6,0)+IF(EOMONTH(DATE(YEAR(Marketing!$BV$1),MONTH(Marketing!$BV$1),1)+INT((DAY(Marketing!$BV$1)-1)/2)+'Cash Drivers'!BX$7,0)=EOMONTH($N$1,0),Marketing!BX$5*Marketing!BX$6,0)+IF(EOMONTH(DATE(YEAR(Marketing!$BS$1),MONTH(Marketing!$BS$1),1)+INT((DAY(Marketing!$BS$1)-1)/2)+'Cash Drivers'!BU$7,0)=EOMONTH($N$1,0),Marketing!BU$5*Marketing!BU$6,0)+IF(EOMONTH(DATE(YEAR(Marketing!$BP$1),MONTH(Marketing!$BP$1),1)+INT((DAY(Marketing!$BP$1)-1)/2)+'Cash Drivers'!BR$7,0)=EOMONTH($N$1,0),Marketing!BR$5*Marketing!BR$6,0)+IF(EOMONTH(DATE(YEAR(Marketing!$BM$1),MONTH(Marketing!$BM$1),1)+INT((DAY(Marketing!$BM$1)-1)/2)+'Cash Drivers'!BO$7,0)=EOMONTH($N$1,0),Marketing!BO$5*Marketing!BO$6,0)+IF(EOMONTH(DATE(YEAR(Marketing!$BJ$1),MONTH(Marketing!$BJ$1),1)+INT((DAY(Marketing!$BJ$1)-1)/2)+'Cash Drivers'!BL$7,0)=EOMONTH($N$1,0),Marketing!BL$5*Marketing!BL$6,0)+IF(EOMONTH(DATE(YEAR(Marketing!$BG$1),MONTH(Marketing!$BG$1),1)+INT((DAY(Marketing!$BG$1)-1)/2)+'Cash Drivers'!BI$7,0)=EOMONTH($N$1,0),Marketing!BI$5*Marketing!BI$6,0)+IF(EOMONTH(DATE(YEAR(Marketing!$BD$1),MONTH(Marketing!$BD$1),1)+INT((DAY(Marketing!$BD$1)-1)/2)+'Cash Drivers'!BF$7,0)=EOMONTH($N$1,0),Marketing!BF$5*Marketing!BF$6,0)+IF(EOMONTH(DATE(YEAR(Marketing!$BA$1),MONTH(Marketing!$BA$1),1)+INT((DAY(Marketing!$BA$1)-1)/2)+'Cash Drivers'!BC$7,0)=EOMONTH($N$1,0),Marketing!BC$5*Marketing!BC$6,0)+IF(EOMONTH(DATE(YEAR(Marketing!$AX$1),MONTH(Marketing!$AX$1),1)+INT((DAY(Marketing!$AX$1)-1)/2)+'Cash Drivers'!AZ$7,0)=EOMONTH($N$1,0),Marketing!AZ$5*Marketing!AZ$6,0)+IF(EOMONTH(DATE(YEAR(Marketing!$AU$1),MONTH(Marketing!$AU$1),1)+INT((DAY(Marketing!$AU$1)-1)/2)+'Cash Drivers'!AW$7,0)=EOMONTH($N$1,0),Marketing!AW$5*Marketing!AW$6,0)+IF(EOMONTH(DATE(YEAR(Marketing!$AR$1),MONTH(Marketing!$AR$1),1)+INT((DAY(Marketing!$AR$1)-1)/2)+'Cash Drivers'!AT$7,0)=EOMONTH($N$1,0),Marketing!AT$5*Marketing!AT$6,0)+IF(EOMONTH(DATE(YEAR(Marketing!$AO$1),MONTH(Marketing!$AO$1),1)+INT((DAY(Marketing!$AO$1)-1)/2)+'Cash Drivers'!AQ$7,0)=EOMONTH($N$1,0),Marketing!AQ$5*Marketing!AQ$6,0)+IF(EOMONTH(DATE(YEAR(Marketing!$AL$1),MONTH(Marketing!$AL$1),1)+INT((DAY(Marketing!$AL$1)-1)/2)+'Cash Drivers'!AN$7,0)=EOMONTH($N$1,0),Marketing!AN$5*Marketing!AN$6,0)+IF(EOMONTH(DATE(YEAR(Marketing!$AI$1),MONTH(Marketing!$AI$1),1)+INT((DAY(Marketing!$AI$1)-1)/2)+'Cash Drivers'!AK$7,0)=EOMONTH($N$1,0),Marketing!AK$5*Marketing!AK$6,0)+IF(EOMONTH(DATE(YEAR(Marketing!$AF$1),MONTH(Marketing!$AF$1),1)+INT((DAY(Marketing!$AF$1)-1)/2)+'Cash Drivers'!AH$7,0)=EOMONTH($N$1,0),Marketing!AH$5*Marketing!AH$6,0)+IF(EOMONTH(DATE(YEAR(Marketing!$AC$1),MONTH(Marketing!$AC$1),1)+INT((DAY(Marketing!$AC$1)-1)/2)+'Cash Drivers'!AE$7,0)=EOMONTH($N$1,0),Marketing!AE$5*Marketing!AE$6,0)+IF(EOMONTH(DATE(YEAR(Marketing!$Z$1),MONTH(Marketing!$Z$1),1)+INT((DAY(Marketing!$Z$1)-1)/2)+'Cash Drivers'!AB$7,0)=EOMONTH($N$1,0),Marketing!AB$5*Marketing!AB$6,0)+IF(EOMONTH(DATE(YEAR(Marketing!$W$1),MONTH(Marketing!$W$1),1)+INT((DAY(Marketing!$W$1)-1)/2)+'Cash Drivers'!Y$7,0)=EOMONTH($N$1,0),Marketing!Y$5*Marketing!Y$6,0)+IF(EOMONTH(DATE(YEAR(Marketing!$T$1),MONTH(Marketing!$T$1),1)+INT((DAY(Marketing!$T$1)-1)/2)+'Cash Drivers'!V$7,0)=EOMONTH($N$1,0),Marketing!V$5*Marketing!V$6,0)+IF(EOMONTH(DATE(YEAR(Marketing!$Q$1),MONTH(Marketing!$Q$1),1)+INT((DAY(Marketing!$Q$1)-1)/2)+'Cash Drivers'!S$7,0)=EOMONTH($N$1,0),Marketing!S$5*Marketing!S$6,0)+IF(EOMONTH(DATE(YEAR(Marketing!$N$1),MONTH(Marketing!$N$1),1)+INT((DAY(Marketing!$N$1)-1)/2)+'Cash Drivers'!P$7,0)=EOMONTH($N$1,0),Marketing!P$5*Marketing!P$6,0)+IF(EOMONTH(DATE(YEAR(Marketing!$K$1),MONTH(Marketing!$K$1),1)+INT((DAY(Marketing!$K$1)-1)/2)+'Cash Drivers'!M$7,0)=EOMONTH($N$1,0),Marketing!M$5*Marketing!M$6,0)+0,0)</f>
        <v>148</v>
      </c>
      <c r="Q7" s="87"/>
      <c r="R7" s="87" t="n">
        <f aca="false">IF('Cash Drivers'!R$26,Q7,ROUND(IF(EOMONTH(DATE(YEAR(Marketing!$DL$1),MONTH(Marketing!$DL$1),1)+INT((DAY(Marketing!$DL$1)-1)/2)+'Cash Drivers'!DM$7,0)=EOMONTH($Q$1,0),Marketing!DM$5*Marketing!DM$6,0)+IF(EOMONTH(DATE(YEAR(Marketing!$DI$1),MONTH(Marketing!$DI$1),1)+INT((DAY(Marketing!$DI$1)-1)/2)+'Cash Drivers'!DJ$7,0)=EOMONTH($Q$1,0),Marketing!DJ$5*Marketing!DJ$6,0)+IF(EOMONTH(DATE(YEAR(Marketing!$DF$1),MONTH(Marketing!$DF$1),1)+INT((DAY(Marketing!$DF$1)-1)/2)+'Cash Drivers'!DG$7,0)=EOMONTH($Q$1,0),Marketing!DG$5*Marketing!DG$6,0)+IF(EOMONTH(DATE(YEAR(Marketing!$DC$1),MONTH(Marketing!$DC$1),1)+INT((DAY(Marketing!$DC$1)-1)/2)+'Cash Drivers'!DD$7,0)=EOMONTH($Q$1,0),Marketing!DD$5*Marketing!DD$6,0)+IF(EOMONTH(DATE(YEAR(Marketing!$CZ$1),MONTH(Marketing!$CZ$1),1)+INT((DAY(Marketing!$CZ$1)-1)/2)+'Cash Drivers'!DA$7,0)=EOMONTH($Q$1,0),Marketing!DA$5*Marketing!DA$6,0)+IF(EOMONTH(DATE(YEAR(Marketing!$CW$1),MONTH(Marketing!$CW$1),1)+INT((DAY(Marketing!$CW$1)-1)/2)+'Cash Drivers'!CX$7,0)=EOMONTH($Q$1,0),Marketing!CX$5*Marketing!CX$6,0)+IF(EOMONTH(DATE(YEAR(Marketing!$CT$1),MONTH(Marketing!$CT$1),1)+INT((DAY(Marketing!$CT$1)-1)/2)+'Cash Drivers'!CU$7,0)=EOMONTH($Q$1,0),Marketing!CU$5*Marketing!CU$6,0)+IF(EOMONTH(DATE(YEAR(Marketing!$CQ$1),MONTH(Marketing!$CQ$1),1)+INT((DAY(Marketing!$CQ$1)-1)/2)+'Cash Drivers'!CR$7,0)=EOMONTH($Q$1,0),Marketing!CR$5*Marketing!CR$6,0)+IF(EOMONTH(DATE(YEAR(Marketing!$CN$1),MONTH(Marketing!$CN$1),1)+INT((DAY(Marketing!$CN$1)-1)/2)+'Cash Drivers'!CO$7,0)=EOMONTH($Q$1,0),Marketing!CO$5*Marketing!CO$6,0)+IF(EOMONTH(DATE(YEAR(Marketing!$CK$1),MONTH(Marketing!$CK$1),1)+INT((DAY(Marketing!$CK$1)-1)/2)+'Cash Drivers'!CL$7,0)=EOMONTH($Q$1,0),Marketing!CL$5*Marketing!CL$6,0)+IF(EOMONTH(DATE(YEAR(Marketing!$CH$1),MONTH(Marketing!$CH$1),1)+INT((DAY(Marketing!$CH$1)-1)/2)+'Cash Drivers'!CI$7,0)=EOMONTH($Q$1,0),Marketing!CI$5*Marketing!CI$6,0)+IF(EOMONTH(DATE(YEAR(Marketing!$CE$1),MONTH(Marketing!$CE$1),1)+INT((DAY(Marketing!$CE$1)-1)/2)+'Cash Drivers'!CF$7,0)=EOMONTH($Q$1,0),Marketing!CF$5*Marketing!CF$6,0)+IF(EOMONTH(DATE(YEAR(Marketing!$CB$1),MONTH(Marketing!$CB$1),1)+INT((DAY(Marketing!$CB$1)-1)/2)+'Cash Drivers'!CC$7,0)=EOMONTH($Q$1,0),Marketing!CC$5*Marketing!CC$6,0)+IF(EOMONTH(DATE(YEAR(Marketing!$BY$1),MONTH(Marketing!$BY$1),1)+INT((DAY(Marketing!$BY$1)-1)/2)+'Cash Drivers'!BZ$7,0)=EOMONTH($Q$1,0),Marketing!BZ$5*Marketing!BZ$6,0)+IF(EOMONTH(DATE(YEAR(Marketing!$BV$1),MONTH(Marketing!$BV$1),1)+INT((DAY(Marketing!$BV$1)-1)/2)+'Cash Drivers'!BW$7,0)=EOMONTH($Q$1,0),Marketing!BW$5*Marketing!BW$6,0)+IF(EOMONTH(DATE(YEAR(Marketing!$BS$1),MONTH(Marketing!$BS$1),1)+INT((DAY(Marketing!$BS$1)-1)/2)+'Cash Drivers'!BT$7,0)=EOMONTH($Q$1,0),Marketing!BT$5*Marketing!BT$6,0)+IF(EOMONTH(DATE(YEAR(Marketing!$BP$1),MONTH(Marketing!$BP$1),1)+INT((DAY(Marketing!$BP$1)-1)/2)+'Cash Drivers'!BQ$7,0)=EOMONTH($Q$1,0),Marketing!BQ$5*Marketing!BQ$6,0)+IF(EOMONTH(DATE(YEAR(Marketing!$BM$1),MONTH(Marketing!$BM$1),1)+INT((DAY(Marketing!$BM$1)-1)/2)+'Cash Drivers'!BN$7,0)=EOMONTH($Q$1,0),Marketing!BN$5*Marketing!BN$6,0)+IF(EOMONTH(DATE(YEAR(Marketing!$BJ$1),MONTH(Marketing!$BJ$1),1)+INT((DAY(Marketing!$BJ$1)-1)/2)+'Cash Drivers'!BK$7,0)=EOMONTH($Q$1,0),Marketing!BK$5*Marketing!BK$6,0)+IF(EOMONTH(DATE(YEAR(Marketing!$BG$1),MONTH(Marketing!$BG$1),1)+INT((DAY(Marketing!$BG$1)-1)/2)+'Cash Drivers'!BH$7,0)=EOMONTH($Q$1,0),Marketing!BH$5*Marketing!BH$6,0)+IF(EOMONTH(DATE(YEAR(Marketing!$BD$1),MONTH(Marketing!$BD$1),1)+INT((DAY(Marketing!$BD$1)-1)/2)+'Cash Drivers'!BE$7,0)=EOMONTH($Q$1,0),Marketing!BE$5*Marketing!BE$6,0)+IF(EOMONTH(DATE(YEAR(Marketing!$BA$1),MONTH(Marketing!$BA$1),1)+INT((DAY(Marketing!$BA$1)-1)/2)+'Cash Drivers'!BB$7,0)=EOMONTH($Q$1,0),Marketing!BB$5*Marketing!BB$6,0)+IF(EOMONTH(DATE(YEAR(Marketing!$AX$1),MONTH(Marketing!$AX$1),1)+INT((DAY(Marketing!$AX$1)-1)/2)+'Cash Drivers'!AY$7,0)=EOMONTH($Q$1,0),Marketing!AY$5*Marketing!AY$6,0)+IF(EOMONTH(DATE(YEAR(Marketing!$AU$1),MONTH(Marketing!$AU$1),1)+INT((DAY(Marketing!$AU$1)-1)/2)+'Cash Drivers'!AV$7,0)=EOMONTH($Q$1,0),Marketing!AV$5*Marketing!AV$6,0)+IF(EOMONTH(DATE(YEAR(Marketing!$AR$1),MONTH(Marketing!$AR$1),1)+INT((DAY(Marketing!$AR$1)-1)/2)+'Cash Drivers'!AS$7,0)=EOMONTH($Q$1,0),Marketing!AS$5*Marketing!AS$6,0)+IF(EOMONTH(DATE(YEAR(Marketing!$AO$1),MONTH(Marketing!$AO$1),1)+INT((DAY(Marketing!$AO$1)-1)/2)+'Cash Drivers'!AP$7,0)=EOMONTH($Q$1,0),Marketing!AP$5*Marketing!AP$6,0)+IF(EOMONTH(DATE(YEAR(Marketing!$AL$1),MONTH(Marketing!$AL$1),1)+INT((DAY(Marketing!$AL$1)-1)/2)+'Cash Drivers'!AM$7,0)=EOMONTH($Q$1,0),Marketing!AM$5*Marketing!AM$6,0)+IF(EOMONTH(DATE(YEAR(Marketing!$AI$1),MONTH(Marketing!$AI$1),1)+INT((DAY(Marketing!$AI$1)-1)/2)+'Cash Drivers'!AJ$7,0)=EOMONTH($Q$1,0),Marketing!AJ$5*Marketing!AJ$6,0)+IF(EOMONTH(DATE(YEAR(Marketing!$AF$1),MONTH(Marketing!$AF$1),1)+INT((DAY(Marketing!$AF$1)-1)/2)+'Cash Drivers'!AG$7,0)=EOMONTH($Q$1,0),Marketing!AG$5*Marketing!AG$6,0)+IF(EOMONTH(DATE(YEAR(Marketing!$AC$1),MONTH(Marketing!$AC$1),1)+INT((DAY(Marketing!$AC$1)-1)/2)+'Cash Drivers'!AD$7,0)=EOMONTH($Q$1,0),Marketing!AD$5*Marketing!AD$6,0)+IF(EOMONTH(DATE(YEAR(Marketing!$Z$1),MONTH(Marketing!$Z$1),1)+INT((DAY(Marketing!$Z$1)-1)/2)+'Cash Drivers'!AA$7,0)=EOMONTH($Q$1,0),Marketing!AA$5*Marketing!AA$6,0)+IF(EOMONTH(DATE(YEAR(Marketing!$W$1),MONTH(Marketing!$W$1),1)+INT((DAY(Marketing!$W$1)-1)/2)+'Cash Drivers'!X$7,0)=EOMONTH($Q$1,0),Marketing!X$5*Marketing!X$6,0)+IF(EOMONTH(DATE(YEAR(Marketing!$T$1),MONTH(Marketing!$T$1),1)+INT((DAY(Marketing!$T$1)-1)/2)+'Cash Drivers'!U$7,0)=EOMONTH($Q$1,0),Marketing!U$5*Marketing!U$6,0)+IF(EOMONTH(DATE(YEAR(Marketing!$Q$1),MONTH(Marketing!$Q$1),1)+INT((DAY(Marketing!$Q$1)-1)/2)+'Cash Drivers'!R$7,0)=EOMONTH($Q$1,0),Marketing!R$5*Marketing!R$6,0)+IF(EOMONTH(DATE(YEAR(Marketing!$N$1),MONTH(Marketing!$N$1),1)+INT((DAY(Marketing!$N$1)-1)/2)+'Cash Drivers'!O$7,0)=EOMONTH($Q$1,0),Marketing!O$5*Marketing!O$6,0)+IF(EOMONTH(DATE(YEAR(Marketing!$K$1),MONTH(Marketing!$K$1),1)+INT((DAY(Marketing!$K$1)-1)/2)+'Cash Drivers'!L$7,0)=EOMONTH($Q$1,0),Marketing!L$5*Marketing!L$6,0)+0,0))</f>
        <v>148</v>
      </c>
      <c r="S7" s="87" t="n">
        <f aca="false">ROUND(IF(EOMONTH(DATE(YEAR(Marketing!$DL$1),MONTH(Marketing!$DL$1),1)+INT((DAY(Marketing!$DL$1)-1)/2)+'Cash Drivers'!DN$7,0)=EOMONTH($Q$1,0),Marketing!DN$5*Marketing!DN$6,0)+IF(EOMONTH(DATE(YEAR(Marketing!$DI$1),MONTH(Marketing!$DI$1),1)+INT((DAY(Marketing!$DI$1)-1)/2)+'Cash Drivers'!DK$7,0)=EOMONTH($Q$1,0),Marketing!DK$5*Marketing!DK$6,0)+IF(EOMONTH(DATE(YEAR(Marketing!$DF$1),MONTH(Marketing!$DF$1),1)+INT((DAY(Marketing!$DF$1)-1)/2)+'Cash Drivers'!DH$7,0)=EOMONTH($Q$1,0),Marketing!DH$5*Marketing!DH$6,0)+IF(EOMONTH(DATE(YEAR(Marketing!$DC$1),MONTH(Marketing!$DC$1),1)+INT((DAY(Marketing!$DC$1)-1)/2)+'Cash Drivers'!DE$7,0)=EOMONTH($Q$1,0),Marketing!DE$5*Marketing!DE$6,0)+IF(EOMONTH(DATE(YEAR(Marketing!$CZ$1),MONTH(Marketing!$CZ$1),1)+INT((DAY(Marketing!$CZ$1)-1)/2)+'Cash Drivers'!DB$7,0)=EOMONTH($Q$1,0),Marketing!DB$5*Marketing!DB$6,0)+IF(EOMONTH(DATE(YEAR(Marketing!$CW$1),MONTH(Marketing!$CW$1),1)+INT((DAY(Marketing!$CW$1)-1)/2)+'Cash Drivers'!CY$7,0)=EOMONTH($Q$1,0),Marketing!CY$5*Marketing!CY$6,0)+IF(EOMONTH(DATE(YEAR(Marketing!$CT$1),MONTH(Marketing!$CT$1),1)+INT((DAY(Marketing!$CT$1)-1)/2)+'Cash Drivers'!CV$7,0)=EOMONTH($Q$1,0),Marketing!CV$5*Marketing!CV$6,0)+IF(EOMONTH(DATE(YEAR(Marketing!$CQ$1),MONTH(Marketing!$CQ$1),1)+INT((DAY(Marketing!$CQ$1)-1)/2)+'Cash Drivers'!CS$7,0)=EOMONTH($Q$1,0),Marketing!CS$5*Marketing!CS$6,0)+IF(EOMONTH(DATE(YEAR(Marketing!$CN$1),MONTH(Marketing!$CN$1),1)+INT((DAY(Marketing!$CN$1)-1)/2)+'Cash Drivers'!CP$7,0)=EOMONTH($Q$1,0),Marketing!CP$5*Marketing!CP$6,0)+IF(EOMONTH(DATE(YEAR(Marketing!$CK$1),MONTH(Marketing!$CK$1),1)+INT((DAY(Marketing!$CK$1)-1)/2)+'Cash Drivers'!CM$7,0)=EOMONTH($Q$1,0),Marketing!CM$5*Marketing!CM$6,0)+IF(EOMONTH(DATE(YEAR(Marketing!$CH$1),MONTH(Marketing!$CH$1),1)+INT((DAY(Marketing!$CH$1)-1)/2)+'Cash Drivers'!CJ$7,0)=EOMONTH($Q$1,0),Marketing!CJ$5*Marketing!CJ$6,0)+IF(EOMONTH(DATE(YEAR(Marketing!$CE$1),MONTH(Marketing!$CE$1),1)+INT((DAY(Marketing!$CE$1)-1)/2)+'Cash Drivers'!CG$7,0)=EOMONTH($Q$1,0),Marketing!CG$5*Marketing!CG$6,0)+IF(EOMONTH(DATE(YEAR(Marketing!$CB$1),MONTH(Marketing!$CB$1),1)+INT((DAY(Marketing!$CB$1)-1)/2)+'Cash Drivers'!CD$7,0)=EOMONTH($Q$1,0),Marketing!CD$5*Marketing!CD$6,0)+IF(EOMONTH(DATE(YEAR(Marketing!$BY$1),MONTH(Marketing!$BY$1),1)+INT((DAY(Marketing!$BY$1)-1)/2)+'Cash Drivers'!CA$7,0)=EOMONTH($Q$1,0),Marketing!CA$5*Marketing!CA$6,0)+IF(EOMONTH(DATE(YEAR(Marketing!$BV$1),MONTH(Marketing!$BV$1),1)+INT((DAY(Marketing!$BV$1)-1)/2)+'Cash Drivers'!BX$7,0)=EOMONTH($Q$1,0),Marketing!BX$5*Marketing!BX$6,0)+IF(EOMONTH(DATE(YEAR(Marketing!$BS$1),MONTH(Marketing!$BS$1),1)+INT((DAY(Marketing!$BS$1)-1)/2)+'Cash Drivers'!BU$7,0)=EOMONTH($Q$1,0),Marketing!BU$5*Marketing!BU$6,0)+IF(EOMONTH(DATE(YEAR(Marketing!$BP$1),MONTH(Marketing!$BP$1),1)+INT((DAY(Marketing!$BP$1)-1)/2)+'Cash Drivers'!BR$7,0)=EOMONTH($Q$1,0),Marketing!BR$5*Marketing!BR$6,0)+IF(EOMONTH(DATE(YEAR(Marketing!$BM$1),MONTH(Marketing!$BM$1),1)+INT((DAY(Marketing!$BM$1)-1)/2)+'Cash Drivers'!BO$7,0)=EOMONTH($Q$1,0),Marketing!BO$5*Marketing!BO$6,0)+IF(EOMONTH(DATE(YEAR(Marketing!$BJ$1),MONTH(Marketing!$BJ$1),1)+INT((DAY(Marketing!$BJ$1)-1)/2)+'Cash Drivers'!BL$7,0)=EOMONTH($Q$1,0),Marketing!BL$5*Marketing!BL$6,0)+IF(EOMONTH(DATE(YEAR(Marketing!$BG$1),MONTH(Marketing!$BG$1),1)+INT((DAY(Marketing!$BG$1)-1)/2)+'Cash Drivers'!BI$7,0)=EOMONTH($Q$1,0),Marketing!BI$5*Marketing!BI$6,0)+IF(EOMONTH(DATE(YEAR(Marketing!$BD$1),MONTH(Marketing!$BD$1),1)+INT((DAY(Marketing!$BD$1)-1)/2)+'Cash Drivers'!BF$7,0)=EOMONTH($Q$1,0),Marketing!BF$5*Marketing!BF$6,0)+IF(EOMONTH(DATE(YEAR(Marketing!$BA$1),MONTH(Marketing!$BA$1),1)+INT((DAY(Marketing!$BA$1)-1)/2)+'Cash Drivers'!BC$7,0)=EOMONTH($Q$1,0),Marketing!BC$5*Marketing!BC$6,0)+IF(EOMONTH(DATE(YEAR(Marketing!$AX$1),MONTH(Marketing!$AX$1),1)+INT((DAY(Marketing!$AX$1)-1)/2)+'Cash Drivers'!AZ$7,0)=EOMONTH($Q$1,0),Marketing!AZ$5*Marketing!AZ$6,0)+IF(EOMONTH(DATE(YEAR(Marketing!$AU$1),MONTH(Marketing!$AU$1),1)+INT((DAY(Marketing!$AU$1)-1)/2)+'Cash Drivers'!AW$7,0)=EOMONTH($Q$1,0),Marketing!AW$5*Marketing!AW$6,0)+IF(EOMONTH(DATE(YEAR(Marketing!$AR$1),MONTH(Marketing!$AR$1),1)+INT((DAY(Marketing!$AR$1)-1)/2)+'Cash Drivers'!AT$7,0)=EOMONTH($Q$1,0),Marketing!AT$5*Marketing!AT$6,0)+IF(EOMONTH(DATE(YEAR(Marketing!$AO$1),MONTH(Marketing!$AO$1),1)+INT((DAY(Marketing!$AO$1)-1)/2)+'Cash Drivers'!AQ$7,0)=EOMONTH($Q$1,0),Marketing!AQ$5*Marketing!AQ$6,0)+IF(EOMONTH(DATE(YEAR(Marketing!$AL$1),MONTH(Marketing!$AL$1),1)+INT((DAY(Marketing!$AL$1)-1)/2)+'Cash Drivers'!AN$7,0)=EOMONTH($Q$1,0),Marketing!AN$5*Marketing!AN$6,0)+IF(EOMONTH(DATE(YEAR(Marketing!$AI$1),MONTH(Marketing!$AI$1),1)+INT((DAY(Marketing!$AI$1)-1)/2)+'Cash Drivers'!AK$7,0)=EOMONTH($Q$1,0),Marketing!AK$5*Marketing!AK$6,0)+IF(EOMONTH(DATE(YEAR(Marketing!$AF$1),MONTH(Marketing!$AF$1),1)+INT((DAY(Marketing!$AF$1)-1)/2)+'Cash Drivers'!AH$7,0)=EOMONTH($Q$1,0),Marketing!AH$5*Marketing!AH$6,0)+IF(EOMONTH(DATE(YEAR(Marketing!$AC$1),MONTH(Marketing!$AC$1),1)+INT((DAY(Marketing!$AC$1)-1)/2)+'Cash Drivers'!AE$7,0)=EOMONTH($Q$1,0),Marketing!AE$5*Marketing!AE$6,0)+IF(EOMONTH(DATE(YEAR(Marketing!$Z$1),MONTH(Marketing!$Z$1),1)+INT((DAY(Marketing!$Z$1)-1)/2)+'Cash Drivers'!AB$7,0)=EOMONTH($Q$1,0),Marketing!AB$5*Marketing!AB$6,0)+IF(EOMONTH(DATE(YEAR(Marketing!$W$1),MONTH(Marketing!$W$1),1)+INT((DAY(Marketing!$W$1)-1)/2)+'Cash Drivers'!Y$7,0)=EOMONTH($Q$1,0),Marketing!Y$5*Marketing!Y$6,0)+IF(EOMONTH(DATE(YEAR(Marketing!$T$1),MONTH(Marketing!$T$1),1)+INT((DAY(Marketing!$T$1)-1)/2)+'Cash Drivers'!V$7,0)=EOMONTH($Q$1,0),Marketing!V$5*Marketing!V$6,0)+IF(EOMONTH(DATE(YEAR(Marketing!$Q$1),MONTH(Marketing!$Q$1),1)+INT((DAY(Marketing!$Q$1)-1)/2)+'Cash Drivers'!S$7,0)=EOMONTH($Q$1,0),Marketing!S$5*Marketing!S$6,0)+IF(EOMONTH(DATE(YEAR(Marketing!$N$1),MONTH(Marketing!$N$1),1)+INT((DAY(Marketing!$N$1)-1)/2)+'Cash Drivers'!P$7,0)=EOMONTH($Q$1,0),Marketing!P$5*Marketing!P$6,0)+IF(EOMONTH(DATE(YEAR(Marketing!$K$1),MONTH(Marketing!$K$1),1)+INT((DAY(Marketing!$K$1)-1)/2)+'Cash Drivers'!M$7,0)=EOMONTH($Q$1,0),Marketing!M$5*Marketing!M$6,0)+0,0)</f>
        <v>148</v>
      </c>
      <c r="T7" s="86"/>
      <c r="U7" s="86" t="n">
        <f aca="false">IF('Cash Drivers'!U$26,T7,ROUND(IF(EOMONTH(DATE(YEAR(Marketing!$DL$1),MONTH(Marketing!$DL$1),1)+INT((DAY(Marketing!$DL$1)-1)/2)+'Cash Drivers'!DM$7,0)=EOMONTH($T$1,0),Marketing!DM$5*Marketing!DM$6,0)+IF(EOMONTH(DATE(YEAR(Marketing!$DI$1),MONTH(Marketing!$DI$1),1)+INT((DAY(Marketing!$DI$1)-1)/2)+'Cash Drivers'!DJ$7,0)=EOMONTH($T$1,0),Marketing!DJ$5*Marketing!DJ$6,0)+IF(EOMONTH(DATE(YEAR(Marketing!$DF$1),MONTH(Marketing!$DF$1),1)+INT((DAY(Marketing!$DF$1)-1)/2)+'Cash Drivers'!DG$7,0)=EOMONTH($T$1,0),Marketing!DG$5*Marketing!DG$6,0)+IF(EOMONTH(DATE(YEAR(Marketing!$DC$1),MONTH(Marketing!$DC$1),1)+INT((DAY(Marketing!$DC$1)-1)/2)+'Cash Drivers'!DD$7,0)=EOMONTH($T$1,0),Marketing!DD$5*Marketing!DD$6,0)+IF(EOMONTH(DATE(YEAR(Marketing!$CZ$1),MONTH(Marketing!$CZ$1),1)+INT((DAY(Marketing!$CZ$1)-1)/2)+'Cash Drivers'!DA$7,0)=EOMONTH($T$1,0),Marketing!DA$5*Marketing!DA$6,0)+IF(EOMONTH(DATE(YEAR(Marketing!$CW$1),MONTH(Marketing!$CW$1),1)+INT((DAY(Marketing!$CW$1)-1)/2)+'Cash Drivers'!CX$7,0)=EOMONTH($T$1,0),Marketing!CX$5*Marketing!CX$6,0)+IF(EOMONTH(DATE(YEAR(Marketing!$CT$1),MONTH(Marketing!$CT$1),1)+INT((DAY(Marketing!$CT$1)-1)/2)+'Cash Drivers'!CU$7,0)=EOMONTH($T$1,0),Marketing!CU$5*Marketing!CU$6,0)+IF(EOMONTH(DATE(YEAR(Marketing!$CQ$1),MONTH(Marketing!$CQ$1),1)+INT((DAY(Marketing!$CQ$1)-1)/2)+'Cash Drivers'!CR$7,0)=EOMONTH($T$1,0),Marketing!CR$5*Marketing!CR$6,0)+IF(EOMONTH(DATE(YEAR(Marketing!$CN$1),MONTH(Marketing!$CN$1),1)+INT((DAY(Marketing!$CN$1)-1)/2)+'Cash Drivers'!CO$7,0)=EOMONTH($T$1,0),Marketing!CO$5*Marketing!CO$6,0)+IF(EOMONTH(DATE(YEAR(Marketing!$CK$1),MONTH(Marketing!$CK$1),1)+INT((DAY(Marketing!$CK$1)-1)/2)+'Cash Drivers'!CL$7,0)=EOMONTH($T$1,0),Marketing!CL$5*Marketing!CL$6,0)+IF(EOMONTH(DATE(YEAR(Marketing!$CH$1),MONTH(Marketing!$CH$1),1)+INT((DAY(Marketing!$CH$1)-1)/2)+'Cash Drivers'!CI$7,0)=EOMONTH($T$1,0),Marketing!CI$5*Marketing!CI$6,0)+IF(EOMONTH(DATE(YEAR(Marketing!$CE$1),MONTH(Marketing!$CE$1),1)+INT((DAY(Marketing!$CE$1)-1)/2)+'Cash Drivers'!CF$7,0)=EOMONTH($T$1,0),Marketing!CF$5*Marketing!CF$6,0)+IF(EOMONTH(DATE(YEAR(Marketing!$CB$1),MONTH(Marketing!$CB$1),1)+INT((DAY(Marketing!$CB$1)-1)/2)+'Cash Drivers'!CC$7,0)=EOMONTH($T$1,0),Marketing!CC$5*Marketing!CC$6,0)+IF(EOMONTH(DATE(YEAR(Marketing!$BY$1),MONTH(Marketing!$BY$1),1)+INT((DAY(Marketing!$BY$1)-1)/2)+'Cash Drivers'!BZ$7,0)=EOMONTH($T$1,0),Marketing!BZ$5*Marketing!BZ$6,0)+IF(EOMONTH(DATE(YEAR(Marketing!$BV$1),MONTH(Marketing!$BV$1),1)+INT((DAY(Marketing!$BV$1)-1)/2)+'Cash Drivers'!BW$7,0)=EOMONTH($T$1,0),Marketing!BW$5*Marketing!BW$6,0)+IF(EOMONTH(DATE(YEAR(Marketing!$BS$1),MONTH(Marketing!$BS$1),1)+INT((DAY(Marketing!$BS$1)-1)/2)+'Cash Drivers'!BT$7,0)=EOMONTH($T$1,0),Marketing!BT$5*Marketing!BT$6,0)+IF(EOMONTH(DATE(YEAR(Marketing!$BP$1),MONTH(Marketing!$BP$1),1)+INT((DAY(Marketing!$BP$1)-1)/2)+'Cash Drivers'!BQ$7,0)=EOMONTH($T$1,0),Marketing!BQ$5*Marketing!BQ$6,0)+IF(EOMONTH(DATE(YEAR(Marketing!$BM$1),MONTH(Marketing!$BM$1),1)+INT((DAY(Marketing!$BM$1)-1)/2)+'Cash Drivers'!BN$7,0)=EOMONTH($T$1,0),Marketing!BN$5*Marketing!BN$6,0)+IF(EOMONTH(DATE(YEAR(Marketing!$BJ$1),MONTH(Marketing!$BJ$1),1)+INT((DAY(Marketing!$BJ$1)-1)/2)+'Cash Drivers'!BK$7,0)=EOMONTH($T$1,0),Marketing!BK$5*Marketing!BK$6,0)+IF(EOMONTH(DATE(YEAR(Marketing!$BG$1),MONTH(Marketing!$BG$1),1)+INT((DAY(Marketing!$BG$1)-1)/2)+'Cash Drivers'!BH$7,0)=EOMONTH($T$1,0),Marketing!BH$5*Marketing!BH$6,0)+IF(EOMONTH(DATE(YEAR(Marketing!$BD$1),MONTH(Marketing!$BD$1),1)+INT((DAY(Marketing!$BD$1)-1)/2)+'Cash Drivers'!BE$7,0)=EOMONTH($T$1,0),Marketing!BE$5*Marketing!BE$6,0)+IF(EOMONTH(DATE(YEAR(Marketing!$BA$1),MONTH(Marketing!$BA$1),1)+INT((DAY(Marketing!$BA$1)-1)/2)+'Cash Drivers'!BB$7,0)=EOMONTH($T$1,0),Marketing!BB$5*Marketing!BB$6,0)+IF(EOMONTH(DATE(YEAR(Marketing!$AX$1),MONTH(Marketing!$AX$1),1)+INT((DAY(Marketing!$AX$1)-1)/2)+'Cash Drivers'!AY$7,0)=EOMONTH($T$1,0),Marketing!AY$5*Marketing!AY$6,0)+IF(EOMONTH(DATE(YEAR(Marketing!$AU$1),MONTH(Marketing!$AU$1),1)+INT((DAY(Marketing!$AU$1)-1)/2)+'Cash Drivers'!AV$7,0)=EOMONTH($T$1,0),Marketing!AV$5*Marketing!AV$6,0)+IF(EOMONTH(DATE(YEAR(Marketing!$AR$1),MONTH(Marketing!$AR$1),1)+INT((DAY(Marketing!$AR$1)-1)/2)+'Cash Drivers'!AS$7,0)=EOMONTH($T$1,0),Marketing!AS$5*Marketing!AS$6,0)+IF(EOMONTH(DATE(YEAR(Marketing!$AO$1),MONTH(Marketing!$AO$1),1)+INT((DAY(Marketing!$AO$1)-1)/2)+'Cash Drivers'!AP$7,0)=EOMONTH($T$1,0),Marketing!AP$5*Marketing!AP$6,0)+IF(EOMONTH(DATE(YEAR(Marketing!$AL$1),MONTH(Marketing!$AL$1),1)+INT((DAY(Marketing!$AL$1)-1)/2)+'Cash Drivers'!AM$7,0)=EOMONTH($T$1,0),Marketing!AM$5*Marketing!AM$6,0)+IF(EOMONTH(DATE(YEAR(Marketing!$AI$1),MONTH(Marketing!$AI$1),1)+INT((DAY(Marketing!$AI$1)-1)/2)+'Cash Drivers'!AJ$7,0)=EOMONTH($T$1,0),Marketing!AJ$5*Marketing!AJ$6,0)+IF(EOMONTH(DATE(YEAR(Marketing!$AF$1),MONTH(Marketing!$AF$1),1)+INT((DAY(Marketing!$AF$1)-1)/2)+'Cash Drivers'!AG$7,0)=EOMONTH($T$1,0),Marketing!AG$5*Marketing!AG$6,0)+IF(EOMONTH(DATE(YEAR(Marketing!$AC$1),MONTH(Marketing!$AC$1),1)+INT((DAY(Marketing!$AC$1)-1)/2)+'Cash Drivers'!AD$7,0)=EOMONTH($T$1,0),Marketing!AD$5*Marketing!AD$6,0)+IF(EOMONTH(DATE(YEAR(Marketing!$Z$1),MONTH(Marketing!$Z$1),1)+INT((DAY(Marketing!$Z$1)-1)/2)+'Cash Drivers'!AA$7,0)=EOMONTH($T$1,0),Marketing!AA$5*Marketing!AA$6,0)+IF(EOMONTH(DATE(YEAR(Marketing!$W$1),MONTH(Marketing!$W$1),1)+INT((DAY(Marketing!$W$1)-1)/2)+'Cash Drivers'!X$7,0)=EOMONTH($T$1,0),Marketing!X$5*Marketing!X$6,0)+IF(EOMONTH(DATE(YEAR(Marketing!$T$1),MONTH(Marketing!$T$1),1)+INT((DAY(Marketing!$T$1)-1)/2)+'Cash Drivers'!U$7,0)=EOMONTH($T$1,0),Marketing!U$5*Marketing!U$6,0)+IF(EOMONTH(DATE(YEAR(Marketing!$Q$1),MONTH(Marketing!$Q$1),1)+INT((DAY(Marketing!$Q$1)-1)/2)+'Cash Drivers'!R$7,0)=EOMONTH($T$1,0),Marketing!R$5*Marketing!R$6,0)+IF(EOMONTH(DATE(YEAR(Marketing!$N$1),MONTH(Marketing!$N$1),1)+INT((DAY(Marketing!$N$1)-1)/2)+'Cash Drivers'!O$7,0)=EOMONTH($T$1,0),Marketing!O$5*Marketing!O$6,0)+IF(EOMONTH(DATE(YEAR(Marketing!$K$1),MONTH(Marketing!$K$1),1)+INT((DAY(Marketing!$K$1)-1)/2)+'Cash Drivers'!L$7,0)=EOMONTH($T$1,0),Marketing!L$5*Marketing!L$6,0)+0,0))</f>
        <v>148</v>
      </c>
      <c r="V7" s="86" t="n">
        <f aca="false">ROUND(IF(EOMONTH(DATE(YEAR(Marketing!$DL$1),MONTH(Marketing!$DL$1),1)+INT((DAY(Marketing!$DL$1)-1)/2)+'Cash Drivers'!DN$7,0)=EOMONTH($T$1,0),Marketing!DN$5*Marketing!DN$6,0)+IF(EOMONTH(DATE(YEAR(Marketing!$DI$1),MONTH(Marketing!$DI$1),1)+INT((DAY(Marketing!$DI$1)-1)/2)+'Cash Drivers'!DK$7,0)=EOMONTH($T$1,0),Marketing!DK$5*Marketing!DK$6,0)+IF(EOMONTH(DATE(YEAR(Marketing!$DF$1),MONTH(Marketing!$DF$1),1)+INT((DAY(Marketing!$DF$1)-1)/2)+'Cash Drivers'!DH$7,0)=EOMONTH($T$1,0),Marketing!DH$5*Marketing!DH$6,0)+IF(EOMONTH(DATE(YEAR(Marketing!$DC$1),MONTH(Marketing!$DC$1),1)+INT((DAY(Marketing!$DC$1)-1)/2)+'Cash Drivers'!DE$7,0)=EOMONTH($T$1,0),Marketing!DE$5*Marketing!DE$6,0)+IF(EOMONTH(DATE(YEAR(Marketing!$CZ$1),MONTH(Marketing!$CZ$1),1)+INT((DAY(Marketing!$CZ$1)-1)/2)+'Cash Drivers'!DB$7,0)=EOMONTH($T$1,0),Marketing!DB$5*Marketing!DB$6,0)+IF(EOMONTH(DATE(YEAR(Marketing!$CW$1),MONTH(Marketing!$CW$1),1)+INT((DAY(Marketing!$CW$1)-1)/2)+'Cash Drivers'!CY$7,0)=EOMONTH($T$1,0),Marketing!CY$5*Marketing!CY$6,0)+IF(EOMONTH(DATE(YEAR(Marketing!$CT$1),MONTH(Marketing!$CT$1),1)+INT((DAY(Marketing!$CT$1)-1)/2)+'Cash Drivers'!CV$7,0)=EOMONTH($T$1,0),Marketing!CV$5*Marketing!CV$6,0)+IF(EOMONTH(DATE(YEAR(Marketing!$CQ$1),MONTH(Marketing!$CQ$1),1)+INT((DAY(Marketing!$CQ$1)-1)/2)+'Cash Drivers'!CS$7,0)=EOMONTH($T$1,0),Marketing!CS$5*Marketing!CS$6,0)+IF(EOMONTH(DATE(YEAR(Marketing!$CN$1),MONTH(Marketing!$CN$1),1)+INT((DAY(Marketing!$CN$1)-1)/2)+'Cash Drivers'!CP$7,0)=EOMONTH($T$1,0),Marketing!CP$5*Marketing!CP$6,0)+IF(EOMONTH(DATE(YEAR(Marketing!$CK$1),MONTH(Marketing!$CK$1),1)+INT((DAY(Marketing!$CK$1)-1)/2)+'Cash Drivers'!CM$7,0)=EOMONTH($T$1,0),Marketing!CM$5*Marketing!CM$6,0)+IF(EOMONTH(DATE(YEAR(Marketing!$CH$1),MONTH(Marketing!$CH$1),1)+INT((DAY(Marketing!$CH$1)-1)/2)+'Cash Drivers'!CJ$7,0)=EOMONTH($T$1,0),Marketing!CJ$5*Marketing!CJ$6,0)+IF(EOMONTH(DATE(YEAR(Marketing!$CE$1),MONTH(Marketing!$CE$1),1)+INT((DAY(Marketing!$CE$1)-1)/2)+'Cash Drivers'!CG$7,0)=EOMONTH($T$1,0),Marketing!CG$5*Marketing!CG$6,0)+IF(EOMONTH(DATE(YEAR(Marketing!$CB$1),MONTH(Marketing!$CB$1),1)+INT((DAY(Marketing!$CB$1)-1)/2)+'Cash Drivers'!CD$7,0)=EOMONTH($T$1,0),Marketing!CD$5*Marketing!CD$6,0)+IF(EOMONTH(DATE(YEAR(Marketing!$BY$1),MONTH(Marketing!$BY$1),1)+INT((DAY(Marketing!$BY$1)-1)/2)+'Cash Drivers'!CA$7,0)=EOMONTH($T$1,0),Marketing!CA$5*Marketing!CA$6,0)+IF(EOMONTH(DATE(YEAR(Marketing!$BV$1),MONTH(Marketing!$BV$1),1)+INT((DAY(Marketing!$BV$1)-1)/2)+'Cash Drivers'!BX$7,0)=EOMONTH($T$1,0),Marketing!BX$5*Marketing!BX$6,0)+IF(EOMONTH(DATE(YEAR(Marketing!$BS$1),MONTH(Marketing!$BS$1),1)+INT((DAY(Marketing!$BS$1)-1)/2)+'Cash Drivers'!BU$7,0)=EOMONTH($T$1,0),Marketing!BU$5*Marketing!BU$6,0)+IF(EOMONTH(DATE(YEAR(Marketing!$BP$1),MONTH(Marketing!$BP$1),1)+INT((DAY(Marketing!$BP$1)-1)/2)+'Cash Drivers'!BR$7,0)=EOMONTH($T$1,0),Marketing!BR$5*Marketing!BR$6,0)+IF(EOMONTH(DATE(YEAR(Marketing!$BM$1),MONTH(Marketing!$BM$1),1)+INT((DAY(Marketing!$BM$1)-1)/2)+'Cash Drivers'!BO$7,0)=EOMONTH($T$1,0),Marketing!BO$5*Marketing!BO$6,0)+IF(EOMONTH(DATE(YEAR(Marketing!$BJ$1),MONTH(Marketing!$BJ$1),1)+INT((DAY(Marketing!$BJ$1)-1)/2)+'Cash Drivers'!BL$7,0)=EOMONTH($T$1,0),Marketing!BL$5*Marketing!BL$6,0)+IF(EOMONTH(DATE(YEAR(Marketing!$BG$1),MONTH(Marketing!$BG$1),1)+INT((DAY(Marketing!$BG$1)-1)/2)+'Cash Drivers'!BI$7,0)=EOMONTH($T$1,0),Marketing!BI$5*Marketing!BI$6,0)+IF(EOMONTH(DATE(YEAR(Marketing!$BD$1),MONTH(Marketing!$BD$1),1)+INT((DAY(Marketing!$BD$1)-1)/2)+'Cash Drivers'!BF$7,0)=EOMONTH($T$1,0),Marketing!BF$5*Marketing!BF$6,0)+IF(EOMONTH(DATE(YEAR(Marketing!$BA$1),MONTH(Marketing!$BA$1),1)+INT((DAY(Marketing!$BA$1)-1)/2)+'Cash Drivers'!BC$7,0)=EOMONTH($T$1,0),Marketing!BC$5*Marketing!BC$6,0)+IF(EOMONTH(DATE(YEAR(Marketing!$AX$1),MONTH(Marketing!$AX$1),1)+INT((DAY(Marketing!$AX$1)-1)/2)+'Cash Drivers'!AZ$7,0)=EOMONTH($T$1,0),Marketing!AZ$5*Marketing!AZ$6,0)+IF(EOMONTH(DATE(YEAR(Marketing!$AU$1),MONTH(Marketing!$AU$1),1)+INT((DAY(Marketing!$AU$1)-1)/2)+'Cash Drivers'!AW$7,0)=EOMONTH($T$1,0),Marketing!AW$5*Marketing!AW$6,0)+IF(EOMONTH(DATE(YEAR(Marketing!$AR$1),MONTH(Marketing!$AR$1),1)+INT((DAY(Marketing!$AR$1)-1)/2)+'Cash Drivers'!AT$7,0)=EOMONTH($T$1,0),Marketing!AT$5*Marketing!AT$6,0)+IF(EOMONTH(DATE(YEAR(Marketing!$AO$1),MONTH(Marketing!$AO$1),1)+INT((DAY(Marketing!$AO$1)-1)/2)+'Cash Drivers'!AQ$7,0)=EOMONTH($T$1,0),Marketing!AQ$5*Marketing!AQ$6,0)+IF(EOMONTH(DATE(YEAR(Marketing!$AL$1),MONTH(Marketing!$AL$1),1)+INT((DAY(Marketing!$AL$1)-1)/2)+'Cash Drivers'!AN$7,0)=EOMONTH($T$1,0),Marketing!AN$5*Marketing!AN$6,0)+IF(EOMONTH(DATE(YEAR(Marketing!$AI$1),MONTH(Marketing!$AI$1),1)+INT((DAY(Marketing!$AI$1)-1)/2)+'Cash Drivers'!AK$7,0)=EOMONTH($T$1,0),Marketing!AK$5*Marketing!AK$6,0)+IF(EOMONTH(DATE(YEAR(Marketing!$AF$1),MONTH(Marketing!$AF$1),1)+INT((DAY(Marketing!$AF$1)-1)/2)+'Cash Drivers'!AH$7,0)=EOMONTH($T$1,0),Marketing!AH$5*Marketing!AH$6,0)+IF(EOMONTH(DATE(YEAR(Marketing!$AC$1),MONTH(Marketing!$AC$1),1)+INT((DAY(Marketing!$AC$1)-1)/2)+'Cash Drivers'!AE$7,0)=EOMONTH($T$1,0),Marketing!AE$5*Marketing!AE$6,0)+IF(EOMONTH(DATE(YEAR(Marketing!$Z$1),MONTH(Marketing!$Z$1),1)+INT((DAY(Marketing!$Z$1)-1)/2)+'Cash Drivers'!AB$7,0)=EOMONTH($T$1,0),Marketing!AB$5*Marketing!AB$6,0)+IF(EOMONTH(DATE(YEAR(Marketing!$W$1),MONTH(Marketing!$W$1),1)+INT((DAY(Marketing!$W$1)-1)/2)+'Cash Drivers'!Y$7,0)=EOMONTH($T$1,0),Marketing!Y$5*Marketing!Y$6,0)+IF(EOMONTH(DATE(YEAR(Marketing!$T$1),MONTH(Marketing!$T$1),1)+INT((DAY(Marketing!$T$1)-1)/2)+'Cash Drivers'!V$7,0)=EOMONTH($T$1,0),Marketing!V$5*Marketing!V$6,0)+IF(EOMONTH(DATE(YEAR(Marketing!$Q$1),MONTH(Marketing!$Q$1),1)+INT((DAY(Marketing!$Q$1)-1)/2)+'Cash Drivers'!S$7,0)=EOMONTH($T$1,0),Marketing!S$5*Marketing!S$6,0)+IF(EOMONTH(DATE(YEAR(Marketing!$N$1),MONTH(Marketing!$N$1),1)+INT((DAY(Marketing!$N$1)-1)/2)+'Cash Drivers'!P$7,0)=EOMONTH($T$1,0),Marketing!P$5*Marketing!P$6,0)+IF(EOMONTH(DATE(YEAR(Marketing!$K$1),MONTH(Marketing!$K$1),1)+INT((DAY(Marketing!$K$1)-1)/2)+'Cash Drivers'!M$7,0)=EOMONTH($T$1,0),Marketing!M$5*Marketing!M$6,0)+0,0)</f>
        <v>148</v>
      </c>
      <c r="W7" s="87"/>
      <c r="X7" s="87" t="n">
        <f aca="false">IF('Cash Drivers'!X$26,W7,ROUND(IF(EOMONTH(DATE(YEAR(Marketing!$DL$1),MONTH(Marketing!$DL$1),1)+INT((DAY(Marketing!$DL$1)-1)/2)+'Cash Drivers'!DM$7,0)=EOMONTH($W$1,0),Marketing!DM$5*Marketing!DM$6,0)+IF(EOMONTH(DATE(YEAR(Marketing!$DI$1),MONTH(Marketing!$DI$1),1)+INT((DAY(Marketing!$DI$1)-1)/2)+'Cash Drivers'!DJ$7,0)=EOMONTH($W$1,0),Marketing!DJ$5*Marketing!DJ$6,0)+IF(EOMONTH(DATE(YEAR(Marketing!$DF$1),MONTH(Marketing!$DF$1),1)+INT((DAY(Marketing!$DF$1)-1)/2)+'Cash Drivers'!DG$7,0)=EOMONTH($W$1,0),Marketing!DG$5*Marketing!DG$6,0)+IF(EOMONTH(DATE(YEAR(Marketing!$DC$1),MONTH(Marketing!$DC$1),1)+INT((DAY(Marketing!$DC$1)-1)/2)+'Cash Drivers'!DD$7,0)=EOMONTH($W$1,0),Marketing!DD$5*Marketing!DD$6,0)+IF(EOMONTH(DATE(YEAR(Marketing!$CZ$1),MONTH(Marketing!$CZ$1),1)+INT((DAY(Marketing!$CZ$1)-1)/2)+'Cash Drivers'!DA$7,0)=EOMONTH($W$1,0),Marketing!DA$5*Marketing!DA$6,0)+IF(EOMONTH(DATE(YEAR(Marketing!$CW$1),MONTH(Marketing!$CW$1),1)+INT((DAY(Marketing!$CW$1)-1)/2)+'Cash Drivers'!CX$7,0)=EOMONTH($W$1,0),Marketing!CX$5*Marketing!CX$6,0)+IF(EOMONTH(DATE(YEAR(Marketing!$CT$1),MONTH(Marketing!$CT$1),1)+INT((DAY(Marketing!$CT$1)-1)/2)+'Cash Drivers'!CU$7,0)=EOMONTH($W$1,0),Marketing!CU$5*Marketing!CU$6,0)+IF(EOMONTH(DATE(YEAR(Marketing!$CQ$1),MONTH(Marketing!$CQ$1),1)+INT((DAY(Marketing!$CQ$1)-1)/2)+'Cash Drivers'!CR$7,0)=EOMONTH($W$1,0),Marketing!CR$5*Marketing!CR$6,0)+IF(EOMONTH(DATE(YEAR(Marketing!$CN$1),MONTH(Marketing!$CN$1),1)+INT((DAY(Marketing!$CN$1)-1)/2)+'Cash Drivers'!CO$7,0)=EOMONTH($W$1,0),Marketing!CO$5*Marketing!CO$6,0)+IF(EOMONTH(DATE(YEAR(Marketing!$CK$1),MONTH(Marketing!$CK$1),1)+INT((DAY(Marketing!$CK$1)-1)/2)+'Cash Drivers'!CL$7,0)=EOMONTH($W$1,0),Marketing!CL$5*Marketing!CL$6,0)+IF(EOMONTH(DATE(YEAR(Marketing!$CH$1),MONTH(Marketing!$CH$1),1)+INT((DAY(Marketing!$CH$1)-1)/2)+'Cash Drivers'!CI$7,0)=EOMONTH($W$1,0),Marketing!CI$5*Marketing!CI$6,0)+IF(EOMONTH(DATE(YEAR(Marketing!$CE$1),MONTH(Marketing!$CE$1),1)+INT((DAY(Marketing!$CE$1)-1)/2)+'Cash Drivers'!CF$7,0)=EOMONTH($W$1,0),Marketing!CF$5*Marketing!CF$6,0)+IF(EOMONTH(DATE(YEAR(Marketing!$CB$1),MONTH(Marketing!$CB$1),1)+INT((DAY(Marketing!$CB$1)-1)/2)+'Cash Drivers'!CC$7,0)=EOMONTH($W$1,0),Marketing!CC$5*Marketing!CC$6,0)+IF(EOMONTH(DATE(YEAR(Marketing!$BY$1),MONTH(Marketing!$BY$1),1)+INT((DAY(Marketing!$BY$1)-1)/2)+'Cash Drivers'!BZ$7,0)=EOMONTH($W$1,0),Marketing!BZ$5*Marketing!BZ$6,0)+IF(EOMONTH(DATE(YEAR(Marketing!$BV$1),MONTH(Marketing!$BV$1),1)+INT((DAY(Marketing!$BV$1)-1)/2)+'Cash Drivers'!BW$7,0)=EOMONTH($W$1,0),Marketing!BW$5*Marketing!BW$6,0)+IF(EOMONTH(DATE(YEAR(Marketing!$BS$1),MONTH(Marketing!$BS$1),1)+INT((DAY(Marketing!$BS$1)-1)/2)+'Cash Drivers'!BT$7,0)=EOMONTH($W$1,0),Marketing!BT$5*Marketing!BT$6,0)+IF(EOMONTH(DATE(YEAR(Marketing!$BP$1),MONTH(Marketing!$BP$1),1)+INT((DAY(Marketing!$BP$1)-1)/2)+'Cash Drivers'!BQ$7,0)=EOMONTH($W$1,0),Marketing!BQ$5*Marketing!BQ$6,0)+IF(EOMONTH(DATE(YEAR(Marketing!$BM$1),MONTH(Marketing!$BM$1),1)+INT((DAY(Marketing!$BM$1)-1)/2)+'Cash Drivers'!BN$7,0)=EOMONTH($W$1,0),Marketing!BN$5*Marketing!BN$6,0)+IF(EOMONTH(DATE(YEAR(Marketing!$BJ$1),MONTH(Marketing!$BJ$1),1)+INT((DAY(Marketing!$BJ$1)-1)/2)+'Cash Drivers'!BK$7,0)=EOMONTH($W$1,0),Marketing!BK$5*Marketing!BK$6,0)+IF(EOMONTH(DATE(YEAR(Marketing!$BG$1),MONTH(Marketing!$BG$1),1)+INT((DAY(Marketing!$BG$1)-1)/2)+'Cash Drivers'!BH$7,0)=EOMONTH($W$1,0),Marketing!BH$5*Marketing!BH$6,0)+IF(EOMONTH(DATE(YEAR(Marketing!$BD$1),MONTH(Marketing!$BD$1),1)+INT((DAY(Marketing!$BD$1)-1)/2)+'Cash Drivers'!BE$7,0)=EOMONTH($W$1,0),Marketing!BE$5*Marketing!BE$6,0)+IF(EOMONTH(DATE(YEAR(Marketing!$BA$1),MONTH(Marketing!$BA$1),1)+INT((DAY(Marketing!$BA$1)-1)/2)+'Cash Drivers'!BB$7,0)=EOMONTH($W$1,0),Marketing!BB$5*Marketing!BB$6,0)+IF(EOMONTH(DATE(YEAR(Marketing!$AX$1),MONTH(Marketing!$AX$1),1)+INT((DAY(Marketing!$AX$1)-1)/2)+'Cash Drivers'!AY$7,0)=EOMONTH($W$1,0),Marketing!AY$5*Marketing!AY$6,0)+IF(EOMONTH(DATE(YEAR(Marketing!$AU$1),MONTH(Marketing!$AU$1),1)+INT((DAY(Marketing!$AU$1)-1)/2)+'Cash Drivers'!AV$7,0)=EOMONTH($W$1,0),Marketing!AV$5*Marketing!AV$6,0)+IF(EOMONTH(DATE(YEAR(Marketing!$AR$1),MONTH(Marketing!$AR$1),1)+INT((DAY(Marketing!$AR$1)-1)/2)+'Cash Drivers'!AS$7,0)=EOMONTH($W$1,0),Marketing!AS$5*Marketing!AS$6,0)+IF(EOMONTH(DATE(YEAR(Marketing!$AO$1),MONTH(Marketing!$AO$1),1)+INT((DAY(Marketing!$AO$1)-1)/2)+'Cash Drivers'!AP$7,0)=EOMONTH($W$1,0),Marketing!AP$5*Marketing!AP$6,0)+IF(EOMONTH(DATE(YEAR(Marketing!$AL$1),MONTH(Marketing!$AL$1),1)+INT((DAY(Marketing!$AL$1)-1)/2)+'Cash Drivers'!AM$7,0)=EOMONTH($W$1,0),Marketing!AM$5*Marketing!AM$6,0)+IF(EOMONTH(DATE(YEAR(Marketing!$AI$1),MONTH(Marketing!$AI$1),1)+INT((DAY(Marketing!$AI$1)-1)/2)+'Cash Drivers'!AJ$7,0)=EOMONTH($W$1,0),Marketing!AJ$5*Marketing!AJ$6,0)+IF(EOMONTH(DATE(YEAR(Marketing!$AF$1),MONTH(Marketing!$AF$1),1)+INT((DAY(Marketing!$AF$1)-1)/2)+'Cash Drivers'!AG$7,0)=EOMONTH($W$1,0),Marketing!AG$5*Marketing!AG$6,0)+IF(EOMONTH(DATE(YEAR(Marketing!$AC$1),MONTH(Marketing!$AC$1),1)+INT((DAY(Marketing!$AC$1)-1)/2)+'Cash Drivers'!AD$7,0)=EOMONTH($W$1,0),Marketing!AD$5*Marketing!AD$6,0)+IF(EOMONTH(DATE(YEAR(Marketing!$Z$1),MONTH(Marketing!$Z$1),1)+INT((DAY(Marketing!$Z$1)-1)/2)+'Cash Drivers'!AA$7,0)=EOMONTH($W$1,0),Marketing!AA$5*Marketing!AA$6,0)+IF(EOMONTH(DATE(YEAR(Marketing!$W$1),MONTH(Marketing!$W$1),1)+INT((DAY(Marketing!$W$1)-1)/2)+'Cash Drivers'!X$7,0)=EOMONTH($W$1,0),Marketing!X$5*Marketing!X$6,0)+IF(EOMONTH(DATE(YEAR(Marketing!$T$1),MONTH(Marketing!$T$1),1)+INT((DAY(Marketing!$T$1)-1)/2)+'Cash Drivers'!U$7,0)=EOMONTH($W$1,0),Marketing!U$5*Marketing!U$6,0)+IF(EOMONTH(DATE(YEAR(Marketing!$Q$1),MONTH(Marketing!$Q$1),1)+INT((DAY(Marketing!$Q$1)-1)/2)+'Cash Drivers'!R$7,0)=EOMONTH($W$1,0),Marketing!R$5*Marketing!R$6,0)+IF(EOMONTH(DATE(YEAR(Marketing!$N$1),MONTH(Marketing!$N$1),1)+INT((DAY(Marketing!$N$1)-1)/2)+'Cash Drivers'!O$7,0)=EOMONTH($W$1,0),Marketing!O$5*Marketing!O$6,0)+IF(EOMONTH(DATE(YEAR(Marketing!$K$1),MONTH(Marketing!$K$1),1)+INT((DAY(Marketing!$K$1)-1)/2)+'Cash Drivers'!L$7,0)=EOMONTH($W$1,0),Marketing!L$5*Marketing!L$6,0)+0,0))</f>
        <v>148</v>
      </c>
      <c r="Y7" s="87" t="n">
        <f aca="false">ROUND(IF(EOMONTH(DATE(YEAR(Marketing!$DL$1),MONTH(Marketing!$DL$1),1)+INT((DAY(Marketing!$DL$1)-1)/2)+'Cash Drivers'!DN$7,0)=EOMONTH($W$1,0),Marketing!DN$5*Marketing!DN$6,0)+IF(EOMONTH(DATE(YEAR(Marketing!$DI$1),MONTH(Marketing!$DI$1),1)+INT((DAY(Marketing!$DI$1)-1)/2)+'Cash Drivers'!DK$7,0)=EOMONTH($W$1,0),Marketing!DK$5*Marketing!DK$6,0)+IF(EOMONTH(DATE(YEAR(Marketing!$DF$1),MONTH(Marketing!$DF$1),1)+INT((DAY(Marketing!$DF$1)-1)/2)+'Cash Drivers'!DH$7,0)=EOMONTH($W$1,0),Marketing!DH$5*Marketing!DH$6,0)+IF(EOMONTH(DATE(YEAR(Marketing!$DC$1),MONTH(Marketing!$DC$1),1)+INT((DAY(Marketing!$DC$1)-1)/2)+'Cash Drivers'!DE$7,0)=EOMONTH($W$1,0),Marketing!DE$5*Marketing!DE$6,0)+IF(EOMONTH(DATE(YEAR(Marketing!$CZ$1),MONTH(Marketing!$CZ$1),1)+INT((DAY(Marketing!$CZ$1)-1)/2)+'Cash Drivers'!DB$7,0)=EOMONTH($W$1,0),Marketing!DB$5*Marketing!DB$6,0)+IF(EOMONTH(DATE(YEAR(Marketing!$CW$1),MONTH(Marketing!$CW$1),1)+INT((DAY(Marketing!$CW$1)-1)/2)+'Cash Drivers'!CY$7,0)=EOMONTH($W$1,0),Marketing!CY$5*Marketing!CY$6,0)+IF(EOMONTH(DATE(YEAR(Marketing!$CT$1),MONTH(Marketing!$CT$1),1)+INT((DAY(Marketing!$CT$1)-1)/2)+'Cash Drivers'!CV$7,0)=EOMONTH($W$1,0),Marketing!CV$5*Marketing!CV$6,0)+IF(EOMONTH(DATE(YEAR(Marketing!$CQ$1),MONTH(Marketing!$CQ$1),1)+INT((DAY(Marketing!$CQ$1)-1)/2)+'Cash Drivers'!CS$7,0)=EOMONTH($W$1,0),Marketing!CS$5*Marketing!CS$6,0)+IF(EOMONTH(DATE(YEAR(Marketing!$CN$1),MONTH(Marketing!$CN$1),1)+INT((DAY(Marketing!$CN$1)-1)/2)+'Cash Drivers'!CP$7,0)=EOMONTH($W$1,0),Marketing!CP$5*Marketing!CP$6,0)+IF(EOMONTH(DATE(YEAR(Marketing!$CK$1),MONTH(Marketing!$CK$1),1)+INT((DAY(Marketing!$CK$1)-1)/2)+'Cash Drivers'!CM$7,0)=EOMONTH($W$1,0),Marketing!CM$5*Marketing!CM$6,0)+IF(EOMONTH(DATE(YEAR(Marketing!$CH$1),MONTH(Marketing!$CH$1),1)+INT((DAY(Marketing!$CH$1)-1)/2)+'Cash Drivers'!CJ$7,0)=EOMONTH($W$1,0),Marketing!CJ$5*Marketing!CJ$6,0)+IF(EOMONTH(DATE(YEAR(Marketing!$CE$1),MONTH(Marketing!$CE$1),1)+INT((DAY(Marketing!$CE$1)-1)/2)+'Cash Drivers'!CG$7,0)=EOMONTH($W$1,0),Marketing!CG$5*Marketing!CG$6,0)+IF(EOMONTH(DATE(YEAR(Marketing!$CB$1),MONTH(Marketing!$CB$1),1)+INT((DAY(Marketing!$CB$1)-1)/2)+'Cash Drivers'!CD$7,0)=EOMONTH($W$1,0),Marketing!CD$5*Marketing!CD$6,0)+IF(EOMONTH(DATE(YEAR(Marketing!$BY$1),MONTH(Marketing!$BY$1),1)+INT((DAY(Marketing!$BY$1)-1)/2)+'Cash Drivers'!CA$7,0)=EOMONTH($W$1,0),Marketing!CA$5*Marketing!CA$6,0)+IF(EOMONTH(DATE(YEAR(Marketing!$BV$1),MONTH(Marketing!$BV$1),1)+INT((DAY(Marketing!$BV$1)-1)/2)+'Cash Drivers'!BX$7,0)=EOMONTH($W$1,0),Marketing!BX$5*Marketing!BX$6,0)+IF(EOMONTH(DATE(YEAR(Marketing!$BS$1),MONTH(Marketing!$BS$1),1)+INT((DAY(Marketing!$BS$1)-1)/2)+'Cash Drivers'!BU$7,0)=EOMONTH($W$1,0),Marketing!BU$5*Marketing!BU$6,0)+IF(EOMONTH(DATE(YEAR(Marketing!$BP$1),MONTH(Marketing!$BP$1),1)+INT((DAY(Marketing!$BP$1)-1)/2)+'Cash Drivers'!BR$7,0)=EOMONTH($W$1,0),Marketing!BR$5*Marketing!BR$6,0)+IF(EOMONTH(DATE(YEAR(Marketing!$BM$1),MONTH(Marketing!$BM$1),1)+INT((DAY(Marketing!$BM$1)-1)/2)+'Cash Drivers'!BO$7,0)=EOMONTH($W$1,0),Marketing!BO$5*Marketing!BO$6,0)+IF(EOMONTH(DATE(YEAR(Marketing!$BJ$1),MONTH(Marketing!$BJ$1),1)+INT((DAY(Marketing!$BJ$1)-1)/2)+'Cash Drivers'!BL$7,0)=EOMONTH($W$1,0),Marketing!BL$5*Marketing!BL$6,0)+IF(EOMONTH(DATE(YEAR(Marketing!$BG$1),MONTH(Marketing!$BG$1),1)+INT((DAY(Marketing!$BG$1)-1)/2)+'Cash Drivers'!BI$7,0)=EOMONTH($W$1,0),Marketing!BI$5*Marketing!BI$6,0)+IF(EOMONTH(DATE(YEAR(Marketing!$BD$1),MONTH(Marketing!$BD$1),1)+INT((DAY(Marketing!$BD$1)-1)/2)+'Cash Drivers'!BF$7,0)=EOMONTH($W$1,0),Marketing!BF$5*Marketing!BF$6,0)+IF(EOMONTH(DATE(YEAR(Marketing!$BA$1),MONTH(Marketing!$BA$1),1)+INT((DAY(Marketing!$BA$1)-1)/2)+'Cash Drivers'!BC$7,0)=EOMONTH($W$1,0),Marketing!BC$5*Marketing!BC$6,0)+IF(EOMONTH(DATE(YEAR(Marketing!$AX$1),MONTH(Marketing!$AX$1),1)+INT((DAY(Marketing!$AX$1)-1)/2)+'Cash Drivers'!AZ$7,0)=EOMONTH($W$1,0),Marketing!AZ$5*Marketing!AZ$6,0)+IF(EOMONTH(DATE(YEAR(Marketing!$AU$1),MONTH(Marketing!$AU$1),1)+INT((DAY(Marketing!$AU$1)-1)/2)+'Cash Drivers'!AW$7,0)=EOMONTH($W$1,0),Marketing!AW$5*Marketing!AW$6,0)+IF(EOMONTH(DATE(YEAR(Marketing!$AR$1),MONTH(Marketing!$AR$1),1)+INT((DAY(Marketing!$AR$1)-1)/2)+'Cash Drivers'!AT$7,0)=EOMONTH($W$1,0),Marketing!AT$5*Marketing!AT$6,0)+IF(EOMONTH(DATE(YEAR(Marketing!$AO$1),MONTH(Marketing!$AO$1),1)+INT((DAY(Marketing!$AO$1)-1)/2)+'Cash Drivers'!AQ$7,0)=EOMONTH($W$1,0),Marketing!AQ$5*Marketing!AQ$6,0)+IF(EOMONTH(DATE(YEAR(Marketing!$AL$1),MONTH(Marketing!$AL$1),1)+INT((DAY(Marketing!$AL$1)-1)/2)+'Cash Drivers'!AN$7,0)=EOMONTH($W$1,0),Marketing!AN$5*Marketing!AN$6,0)+IF(EOMONTH(DATE(YEAR(Marketing!$AI$1),MONTH(Marketing!$AI$1),1)+INT((DAY(Marketing!$AI$1)-1)/2)+'Cash Drivers'!AK$7,0)=EOMONTH($W$1,0),Marketing!AK$5*Marketing!AK$6,0)+IF(EOMONTH(DATE(YEAR(Marketing!$AF$1),MONTH(Marketing!$AF$1),1)+INT((DAY(Marketing!$AF$1)-1)/2)+'Cash Drivers'!AH$7,0)=EOMONTH($W$1,0),Marketing!AH$5*Marketing!AH$6,0)+IF(EOMONTH(DATE(YEAR(Marketing!$AC$1),MONTH(Marketing!$AC$1),1)+INT((DAY(Marketing!$AC$1)-1)/2)+'Cash Drivers'!AE$7,0)=EOMONTH($W$1,0),Marketing!AE$5*Marketing!AE$6,0)+IF(EOMONTH(DATE(YEAR(Marketing!$Z$1),MONTH(Marketing!$Z$1),1)+INT((DAY(Marketing!$Z$1)-1)/2)+'Cash Drivers'!AB$7,0)=EOMONTH($W$1,0),Marketing!AB$5*Marketing!AB$6,0)+IF(EOMONTH(DATE(YEAR(Marketing!$W$1),MONTH(Marketing!$W$1),1)+INT((DAY(Marketing!$W$1)-1)/2)+'Cash Drivers'!Y$7,0)=EOMONTH($W$1,0),Marketing!Y$5*Marketing!Y$6,0)+IF(EOMONTH(DATE(YEAR(Marketing!$T$1),MONTH(Marketing!$T$1),1)+INT((DAY(Marketing!$T$1)-1)/2)+'Cash Drivers'!V$7,0)=EOMONTH($W$1,0),Marketing!V$5*Marketing!V$6,0)+IF(EOMONTH(DATE(YEAR(Marketing!$Q$1),MONTH(Marketing!$Q$1),1)+INT((DAY(Marketing!$Q$1)-1)/2)+'Cash Drivers'!S$7,0)=EOMONTH($W$1,0),Marketing!S$5*Marketing!S$6,0)+IF(EOMONTH(DATE(YEAR(Marketing!$N$1),MONTH(Marketing!$N$1),1)+INT((DAY(Marketing!$N$1)-1)/2)+'Cash Drivers'!P$7,0)=EOMONTH($W$1,0),Marketing!P$5*Marketing!P$6,0)+IF(EOMONTH(DATE(YEAR(Marketing!$K$1),MONTH(Marketing!$K$1),1)+INT((DAY(Marketing!$K$1)-1)/2)+'Cash Drivers'!M$7,0)=EOMONTH($W$1,0),Marketing!M$5*Marketing!M$6,0)+0,0)</f>
        <v>148</v>
      </c>
      <c r="Z7" s="86"/>
      <c r="AA7" s="86" t="n">
        <f aca="false">IF('Cash Drivers'!AA$26,Z7,ROUND(IF(EOMONTH(DATE(YEAR(Marketing!$DL$1),MONTH(Marketing!$DL$1),1)+INT((DAY(Marketing!$DL$1)-1)/2)+'Cash Drivers'!DM$7,0)=EOMONTH($Z$1,0),Marketing!DM$5*Marketing!DM$6,0)+IF(EOMONTH(DATE(YEAR(Marketing!$DI$1),MONTH(Marketing!$DI$1),1)+INT((DAY(Marketing!$DI$1)-1)/2)+'Cash Drivers'!DJ$7,0)=EOMONTH($Z$1,0),Marketing!DJ$5*Marketing!DJ$6,0)+IF(EOMONTH(DATE(YEAR(Marketing!$DF$1),MONTH(Marketing!$DF$1),1)+INT((DAY(Marketing!$DF$1)-1)/2)+'Cash Drivers'!DG$7,0)=EOMONTH($Z$1,0),Marketing!DG$5*Marketing!DG$6,0)+IF(EOMONTH(DATE(YEAR(Marketing!$DC$1),MONTH(Marketing!$DC$1),1)+INT((DAY(Marketing!$DC$1)-1)/2)+'Cash Drivers'!DD$7,0)=EOMONTH($Z$1,0),Marketing!DD$5*Marketing!DD$6,0)+IF(EOMONTH(DATE(YEAR(Marketing!$CZ$1),MONTH(Marketing!$CZ$1),1)+INT((DAY(Marketing!$CZ$1)-1)/2)+'Cash Drivers'!DA$7,0)=EOMONTH($Z$1,0),Marketing!DA$5*Marketing!DA$6,0)+IF(EOMONTH(DATE(YEAR(Marketing!$CW$1),MONTH(Marketing!$CW$1),1)+INT((DAY(Marketing!$CW$1)-1)/2)+'Cash Drivers'!CX$7,0)=EOMONTH($Z$1,0),Marketing!CX$5*Marketing!CX$6,0)+IF(EOMONTH(DATE(YEAR(Marketing!$CT$1),MONTH(Marketing!$CT$1),1)+INT((DAY(Marketing!$CT$1)-1)/2)+'Cash Drivers'!CU$7,0)=EOMONTH($Z$1,0),Marketing!CU$5*Marketing!CU$6,0)+IF(EOMONTH(DATE(YEAR(Marketing!$CQ$1),MONTH(Marketing!$CQ$1),1)+INT((DAY(Marketing!$CQ$1)-1)/2)+'Cash Drivers'!CR$7,0)=EOMONTH($Z$1,0),Marketing!CR$5*Marketing!CR$6,0)+IF(EOMONTH(DATE(YEAR(Marketing!$CN$1),MONTH(Marketing!$CN$1),1)+INT((DAY(Marketing!$CN$1)-1)/2)+'Cash Drivers'!CO$7,0)=EOMONTH($Z$1,0),Marketing!CO$5*Marketing!CO$6,0)+IF(EOMONTH(DATE(YEAR(Marketing!$CK$1),MONTH(Marketing!$CK$1),1)+INT((DAY(Marketing!$CK$1)-1)/2)+'Cash Drivers'!CL$7,0)=EOMONTH($Z$1,0),Marketing!CL$5*Marketing!CL$6,0)+IF(EOMONTH(DATE(YEAR(Marketing!$CH$1),MONTH(Marketing!$CH$1),1)+INT((DAY(Marketing!$CH$1)-1)/2)+'Cash Drivers'!CI$7,0)=EOMONTH($Z$1,0),Marketing!CI$5*Marketing!CI$6,0)+IF(EOMONTH(DATE(YEAR(Marketing!$CE$1),MONTH(Marketing!$CE$1),1)+INT((DAY(Marketing!$CE$1)-1)/2)+'Cash Drivers'!CF$7,0)=EOMONTH($Z$1,0),Marketing!CF$5*Marketing!CF$6,0)+IF(EOMONTH(DATE(YEAR(Marketing!$CB$1),MONTH(Marketing!$CB$1),1)+INT((DAY(Marketing!$CB$1)-1)/2)+'Cash Drivers'!CC$7,0)=EOMONTH($Z$1,0),Marketing!CC$5*Marketing!CC$6,0)+IF(EOMONTH(DATE(YEAR(Marketing!$BY$1),MONTH(Marketing!$BY$1),1)+INT((DAY(Marketing!$BY$1)-1)/2)+'Cash Drivers'!BZ$7,0)=EOMONTH($Z$1,0),Marketing!BZ$5*Marketing!BZ$6,0)+IF(EOMONTH(DATE(YEAR(Marketing!$BV$1),MONTH(Marketing!$BV$1),1)+INT((DAY(Marketing!$BV$1)-1)/2)+'Cash Drivers'!BW$7,0)=EOMONTH($Z$1,0),Marketing!BW$5*Marketing!BW$6,0)+IF(EOMONTH(DATE(YEAR(Marketing!$BS$1),MONTH(Marketing!$BS$1),1)+INT((DAY(Marketing!$BS$1)-1)/2)+'Cash Drivers'!BT$7,0)=EOMONTH($Z$1,0),Marketing!BT$5*Marketing!BT$6,0)+IF(EOMONTH(DATE(YEAR(Marketing!$BP$1),MONTH(Marketing!$BP$1),1)+INT((DAY(Marketing!$BP$1)-1)/2)+'Cash Drivers'!BQ$7,0)=EOMONTH($Z$1,0),Marketing!BQ$5*Marketing!BQ$6,0)+IF(EOMONTH(DATE(YEAR(Marketing!$BM$1),MONTH(Marketing!$BM$1),1)+INT((DAY(Marketing!$BM$1)-1)/2)+'Cash Drivers'!BN$7,0)=EOMONTH($Z$1,0),Marketing!BN$5*Marketing!BN$6,0)+IF(EOMONTH(DATE(YEAR(Marketing!$BJ$1),MONTH(Marketing!$BJ$1),1)+INT((DAY(Marketing!$BJ$1)-1)/2)+'Cash Drivers'!BK$7,0)=EOMONTH($Z$1,0),Marketing!BK$5*Marketing!BK$6,0)+IF(EOMONTH(DATE(YEAR(Marketing!$BG$1),MONTH(Marketing!$BG$1),1)+INT((DAY(Marketing!$BG$1)-1)/2)+'Cash Drivers'!BH$7,0)=EOMONTH($Z$1,0),Marketing!BH$5*Marketing!BH$6,0)+IF(EOMONTH(DATE(YEAR(Marketing!$BD$1),MONTH(Marketing!$BD$1),1)+INT((DAY(Marketing!$BD$1)-1)/2)+'Cash Drivers'!BE$7,0)=EOMONTH($Z$1,0),Marketing!BE$5*Marketing!BE$6,0)+IF(EOMONTH(DATE(YEAR(Marketing!$BA$1),MONTH(Marketing!$BA$1),1)+INT((DAY(Marketing!$BA$1)-1)/2)+'Cash Drivers'!BB$7,0)=EOMONTH($Z$1,0),Marketing!BB$5*Marketing!BB$6,0)+IF(EOMONTH(DATE(YEAR(Marketing!$AX$1),MONTH(Marketing!$AX$1),1)+INT((DAY(Marketing!$AX$1)-1)/2)+'Cash Drivers'!AY$7,0)=EOMONTH($Z$1,0),Marketing!AY$5*Marketing!AY$6,0)+IF(EOMONTH(DATE(YEAR(Marketing!$AU$1),MONTH(Marketing!$AU$1),1)+INT((DAY(Marketing!$AU$1)-1)/2)+'Cash Drivers'!AV$7,0)=EOMONTH($Z$1,0),Marketing!AV$5*Marketing!AV$6,0)+IF(EOMONTH(DATE(YEAR(Marketing!$AR$1),MONTH(Marketing!$AR$1),1)+INT((DAY(Marketing!$AR$1)-1)/2)+'Cash Drivers'!AS$7,0)=EOMONTH($Z$1,0),Marketing!AS$5*Marketing!AS$6,0)+IF(EOMONTH(DATE(YEAR(Marketing!$AO$1),MONTH(Marketing!$AO$1),1)+INT((DAY(Marketing!$AO$1)-1)/2)+'Cash Drivers'!AP$7,0)=EOMONTH($Z$1,0),Marketing!AP$5*Marketing!AP$6,0)+IF(EOMONTH(DATE(YEAR(Marketing!$AL$1),MONTH(Marketing!$AL$1),1)+INT((DAY(Marketing!$AL$1)-1)/2)+'Cash Drivers'!AM$7,0)=EOMONTH($Z$1,0),Marketing!AM$5*Marketing!AM$6,0)+IF(EOMONTH(DATE(YEAR(Marketing!$AI$1),MONTH(Marketing!$AI$1),1)+INT((DAY(Marketing!$AI$1)-1)/2)+'Cash Drivers'!AJ$7,0)=EOMONTH($Z$1,0),Marketing!AJ$5*Marketing!AJ$6,0)+IF(EOMONTH(DATE(YEAR(Marketing!$AF$1),MONTH(Marketing!$AF$1),1)+INT((DAY(Marketing!$AF$1)-1)/2)+'Cash Drivers'!AG$7,0)=EOMONTH($Z$1,0),Marketing!AG$5*Marketing!AG$6,0)+IF(EOMONTH(DATE(YEAR(Marketing!$AC$1),MONTH(Marketing!$AC$1),1)+INT((DAY(Marketing!$AC$1)-1)/2)+'Cash Drivers'!AD$7,0)=EOMONTH($Z$1,0),Marketing!AD$5*Marketing!AD$6,0)+IF(EOMONTH(DATE(YEAR(Marketing!$Z$1),MONTH(Marketing!$Z$1),1)+INT((DAY(Marketing!$Z$1)-1)/2)+'Cash Drivers'!AA$7,0)=EOMONTH($Z$1,0),Marketing!AA$5*Marketing!AA$6,0)+IF(EOMONTH(DATE(YEAR(Marketing!$W$1),MONTH(Marketing!$W$1),1)+INT((DAY(Marketing!$W$1)-1)/2)+'Cash Drivers'!X$7,0)=EOMONTH($Z$1,0),Marketing!X$5*Marketing!X$6,0)+IF(EOMONTH(DATE(YEAR(Marketing!$T$1),MONTH(Marketing!$T$1),1)+INT((DAY(Marketing!$T$1)-1)/2)+'Cash Drivers'!U$7,0)=EOMONTH($Z$1,0),Marketing!U$5*Marketing!U$6,0)+IF(EOMONTH(DATE(YEAR(Marketing!$Q$1),MONTH(Marketing!$Q$1),1)+INT((DAY(Marketing!$Q$1)-1)/2)+'Cash Drivers'!R$7,0)=EOMONTH($Z$1,0),Marketing!R$5*Marketing!R$6,0)+IF(EOMONTH(DATE(YEAR(Marketing!$N$1),MONTH(Marketing!$N$1),1)+INT((DAY(Marketing!$N$1)-1)/2)+'Cash Drivers'!O$7,0)=EOMONTH($Z$1,0),Marketing!O$5*Marketing!O$6,0)+IF(EOMONTH(DATE(YEAR(Marketing!$K$1),MONTH(Marketing!$K$1),1)+INT((DAY(Marketing!$K$1)-1)/2)+'Cash Drivers'!L$7,0)=EOMONTH($Z$1,0),Marketing!L$5*Marketing!L$6,0)+0,0))</f>
        <v>148</v>
      </c>
      <c r="AB7" s="86" t="n">
        <f aca="false">ROUND(IF(EOMONTH(DATE(YEAR(Marketing!$DL$1),MONTH(Marketing!$DL$1),1)+INT((DAY(Marketing!$DL$1)-1)/2)+'Cash Drivers'!DN$7,0)=EOMONTH($Z$1,0),Marketing!DN$5*Marketing!DN$6,0)+IF(EOMONTH(DATE(YEAR(Marketing!$DI$1),MONTH(Marketing!$DI$1),1)+INT((DAY(Marketing!$DI$1)-1)/2)+'Cash Drivers'!DK$7,0)=EOMONTH($Z$1,0),Marketing!DK$5*Marketing!DK$6,0)+IF(EOMONTH(DATE(YEAR(Marketing!$DF$1),MONTH(Marketing!$DF$1),1)+INT((DAY(Marketing!$DF$1)-1)/2)+'Cash Drivers'!DH$7,0)=EOMONTH($Z$1,0),Marketing!DH$5*Marketing!DH$6,0)+IF(EOMONTH(DATE(YEAR(Marketing!$DC$1),MONTH(Marketing!$DC$1),1)+INT((DAY(Marketing!$DC$1)-1)/2)+'Cash Drivers'!DE$7,0)=EOMONTH($Z$1,0),Marketing!DE$5*Marketing!DE$6,0)+IF(EOMONTH(DATE(YEAR(Marketing!$CZ$1),MONTH(Marketing!$CZ$1),1)+INT((DAY(Marketing!$CZ$1)-1)/2)+'Cash Drivers'!DB$7,0)=EOMONTH($Z$1,0),Marketing!DB$5*Marketing!DB$6,0)+IF(EOMONTH(DATE(YEAR(Marketing!$CW$1),MONTH(Marketing!$CW$1),1)+INT((DAY(Marketing!$CW$1)-1)/2)+'Cash Drivers'!CY$7,0)=EOMONTH($Z$1,0),Marketing!CY$5*Marketing!CY$6,0)+IF(EOMONTH(DATE(YEAR(Marketing!$CT$1),MONTH(Marketing!$CT$1),1)+INT((DAY(Marketing!$CT$1)-1)/2)+'Cash Drivers'!CV$7,0)=EOMONTH($Z$1,0),Marketing!CV$5*Marketing!CV$6,0)+IF(EOMONTH(DATE(YEAR(Marketing!$CQ$1),MONTH(Marketing!$CQ$1),1)+INT((DAY(Marketing!$CQ$1)-1)/2)+'Cash Drivers'!CS$7,0)=EOMONTH($Z$1,0),Marketing!CS$5*Marketing!CS$6,0)+IF(EOMONTH(DATE(YEAR(Marketing!$CN$1),MONTH(Marketing!$CN$1),1)+INT((DAY(Marketing!$CN$1)-1)/2)+'Cash Drivers'!CP$7,0)=EOMONTH($Z$1,0),Marketing!CP$5*Marketing!CP$6,0)+IF(EOMONTH(DATE(YEAR(Marketing!$CK$1),MONTH(Marketing!$CK$1),1)+INT((DAY(Marketing!$CK$1)-1)/2)+'Cash Drivers'!CM$7,0)=EOMONTH($Z$1,0),Marketing!CM$5*Marketing!CM$6,0)+IF(EOMONTH(DATE(YEAR(Marketing!$CH$1),MONTH(Marketing!$CH$1),1)+INT((DAY(Marketing!$CH$1)-1)/2)+'Cash Drivers'!CJ$7,0)=EOMONTH($Z$1,0),Marketing!CJ$5*Marketing!CJ$6,0)+IF(EOMONTH(DATE(YEAR(Marketing!$CE$1),MONTH(Marketing!$CE$1),1)+INT((DAY(Marketing!$CE$1)-1)/2)+'Cash Drivers'!CG$7,0)=EOMONTH($Z$1,0),Marketing!CG$5*Marketing!CG$6,0)+IF(EOMONTH(DATE(YEAR(Marketing!$CB$1),MONTH(Marketing!$CB$1),1)+INT((DAY(Marketing!$CB$1)-1)/2)+'Cash Drivers'!CD$7,0)=EOMONTH($Z$1,0),Marketing!CD$5*Marketing!CD$6,0)+IF(EOMONTH(DATE(YEAR(Marketing!$BY$1),MONTH(Marketing!$BY$1),1)+INT((DAY(Marketing!$BY$1)-1)/2)+'Cash Drivers'!CA$7,0)=EOMONTH($Z$1,0),Marketing!CA$5*Marketing!CA$6,0)+IF(EOMONTH(DATE(YEAR(Marketing!$BV$1),MONTH(Marketing!$BV$1),1)+INT((DAY(Marketing!$BV$1)-1)/2)+'Cash Drivers'!BX$7,0)=EOMONTH($Z$1,0),Marketing!BX$5*Marketing!BX$6,0)+IF(EOMONTH(DATE(YEAR(Marketing!$BS$1),MONTH(Marketing!$BS$1),1)+INT((DAY(Marketing!$BS$1)-1)/2)+'Cash Drivers'!BU$7,0)=EOMONTH($Z$1,0),Marketing!BU$5*Marketing!BU$6,0)+IF(EOMONTH(DATE(YEAR(Marketing!$BP$1),MONTH(Marketing!$BP$1),1)+INT((DAY(Marketing!$BP$1)-1)/2)+'Cash Drivers'!BR$7,0)=EOMONTH($Z$1,0),Marketing!BR$5*Marketing!BR$6,0)+IF(EOMONTH(DATE(YEAR(Marketing!$BM$1),MONTH(Marketing!$BM$1),1)+INT((DAY(Marketing!$BM$1)-1)/2)+'Cash Drivers'!BO$7,0)=EOMONTH($Z$1,0),Marketing!BO$5*Marketing!BO$6,0)+IF(EOMONTH(DATE(YEAR(Marketing!$BJ$1),MONTH(Marketing!$BJ$1),1)+INT((DAY(Marketing!$BJ$1)-1)/2)+'Cash Drivers'!BL$7,0)=EOMONTH($Z$1,0),Marketing!BL$5*Marketing!BL$6,0)+IF(EOMONTH(DATE(YEAR(Marketing!$BG$1),MONTH(Marketing!$BG$1),1)+INT((DAY(Marketing!$BG$1)-1)/2)+'Cash Drivers'!BI$7,0)=EOMONTH($Z$1,0),Marketing!BI$5*Marketing!BI$6,0)+IF(EOMONTH(DATE(YEAR(Marketing!$BD$1),MONTH(Marketing!$BD$1),1)+INT((DAY(Marketing!$BD$1)-1)/2)+'Cash Drivers'!BF$7,0)=EOMONTH($Z$1,0),Marketing!BF$5*Marketing!BF$6,0)+IF(EOMONTH(DATE(YEAR(Marketing!$BA$1),MONTH(Marketing!$BA$1),1)+INT((DAY(Marketing!$BA$1)-1)/2)+'Cash Drivers'!BC$7,0)=EOMONTH($Z$1,0),Marketing!BC$5*Marketing!BC$6,0)+IF(EOMONTH(DATE(YEAR(Marketing!$AX$1),MONTH(Marketing!$AX$1),1)+INT((DAY(Marketing!$AX$1)-1)/2)+'Cash Drivers'!AZ$7,0)=EOMONTH($Z$1,0),Marketing!AZ$5*Marketing!AZ$6,0)+IF(EOMONTH(DATE(YEAR(Marketing!$AU$1),MONTH(Marketing!$AU$1),1)+INT((DAY(Marketing!$AU$1)-1)/2)+'Cash Drivers'!AW$7,0)=EOMONTH($Z$1,0),Marketing!AW$5*Marketing!AW$6,0)+IF(EOMONTH(DATE(YEAR(Marketing!$AR$1),MONTH(Marketing!$AR$1),1)+INT((DAY(Marketing!$AR$1)-1)/2)+'Cash Drivers'!AT$7,0)=EOMONTH($Z$1,0),Marketing!AT$5*Marketing!AT$6,0)+IF(EOMONTH(DATE(YEAR(Marketing!$AO$1),MONTH(Marketing!$AO$1),1)+INT((DAY(Marketing!$AO$1)-1)/2)+'Cash Drivers'!AQ$7,0)=EOMONTH($Z$1,0),Marketing!AQ$5*Marketing!AQ$6,0)+IF(EOMONTH(DATE(YEAR(Marketing!$AL$1),MONTH(Marketing!$AL$1),1)+INT((DAY(Marketing!$AL$1)-1)/2)+'Cash Drivers'!AN$7,0)=EOMONTH($Z$1,0),Marketing!AN$5*Marketing!AN$6,0)+IF(EOMONTH(DATE(YEAR(Marketing!$AI$1),MONTH(Marketing!$AI$1),1)+INT((DAY(Marketing!$AI$1)-1)/2)+'Cash Drivers'!AK$7,0)=EOMONTH($Z$1,0),Marketing!AK$5*Marketing!AK$6,0)+IF(EOMONTH(DATE(YEAR(Marketing!$AF$1),MONTH(Marketing!$AF$1),1)+INT((DAY(Marketing!$AF$1)-1)/2)+'Cash Drivers'!AH$7,0)=EOMONTH($Z$1,0),Marketing!AH$5*Marketing!AH$6,0)+IF(EOMONTH(DATE(YEAR(Marketing!$AC$1),MONTH(Marketing!$AC$1),1)+INT((DAY(Marketing!$AC$1)-1)/2)+'Cash Drivers'!AE$7,0)=EOMONTH($Z$1,0),Marketing!AE$5*Marketing!AE$6,0)+IF(EOMONTH(DATE(YEAR(Marketing!$Z$1),MONTH(Marketing!$Z$1),1)+INT((DAY(Marketing!$Z$1)-1)/2)+'Cash Drivers'!AB$7,0)=EOMONTH($Z$1,0),Marketing!AB$5*Marketing!AB$6,0)+IF(EOMONTH(DATE(YEAR(Marketing!$W$1),MONTH(Marketing!$W$1),1)+INT((DAY(Marketing!$W$1)-1)/2)+'Cash Drivers'!Y$7,0)=EOMONTH($Z$1,0),Marketing!Y$5*Marketing!Y$6,0)+IF(EOMONTH(DATE(YEAR(Marketing!$T$1),MONTH(Marketing!$T$1),1)+INT((DAY(Marketing!$T$1)-1)/2)+'Cash Drivers'!V$7,0)=EOMONTH($Z$1,0),Marketing!V$5*Marketing!V$6,0)+IF(EOMONTH(DATE(YEAR(Marketing!$Q$1),MONTH(Marketing!$Q$1),1)+INT((DAY(Marketing!$Q$1)-1)/2)+'Cash Drivers'!S$7,0)=EOMONTH($Z$1,0),Marketing!S$5*Marketing!S$6,0)+IF(EOMONTH(DATE(YEAR(Marketing!$N$1),MONTH(Marketing!$N$1),1)+INT((DAY(Marketing!$N$1)-1)/2)+'Cash Drivers'!P$7,0)=EOMONTH($Z$1,0),Marketing!P$5*Marketing!P$6,0)+IF(EOMONTH(DATE(YEAR(Marketing!$K$1),MONTH(Marketing!$K$1),1)+INT((DAY(Marketing!$K$1)-1)/2)+'Cash Drivers'!M$7,0)=EOMONTH($Z$1,0),Marketing!M$5*Marketing!M$6,0)+0,0)</f>
        <v>148</v>
      </c>
      <c r="AC7" s="87"/>
      <c r="AD7" s="87" t="n">
        <f aca="false">IF('Cash Drivers'!AD$26,AC7,ROUND(IF(EOMONTH(DATE(YEAR(Marketing!$DL$1),MONTH(Marketing!$DL$1),1)+INT((DAY(Marketing!$DL$1)-1)/2)+'Cash Drivers'!DM$7,0)=EOMONTH($AC$1,0),Marketing!DM$5*Marketing!DM$6,0)+IF(EOMONTH(DATE(YEAR(Marketing!$DI$1),MONTH(Marketing!$DI$1),1)+INT((DAY(Marketing!$DI$1)-1)/2)+'Cash Drivers'!DJ$7,0)=EOMONTH($AC$1,0),Marketing!DJ$5*Marketing!DJ$6,0)+IF(EOMONTH(DATE(YEAR(Marketing!$DF$1),MONTH(Marketing!$DF$1),1)+INT((DAY(Marketing!$DF$1)-1)/2)+'Cash Drivers'!DG$7,0)=EOMONTH($AC$1,0),Marketing!DG$5*Marketing!DG$6,0)+IF(EOMONTH(DATE(YEAR(Marketing!$DC$1),MONTH(Marketing!$DC$1),1)+INT((DAY(Marketing!$DC$1)-1)/2)+'Cash Drivers'!DD$7,0)=EOMONTH($AC$1,0),Marketing!DD$5*Marketing!DD$6,0)+IF(EOMONTH(DATE(YEAR(Marketing!$CZ$1),MONTH(Marketing!$CZ$1),1)+INT((DAY(Marketing!$CZ$1)-1)/2)+'Cash Drivers'!DA$7,0)=EOMONTH($AC$1,0),Marketing!DA$5*Marketing!DA$6,0)+IF(EOMONTH(DATE(YEAR(Marketing!$CW$1),MONTH(Marketing!$CW$1),1)+INT((DAY(Marketing!$CW$1)-1)/2)+'Cash Drivers'!CX$7,0)=EOMONTH($AC$1,0),Marketing!CX$5*Marketing!CX$6,0)+IF(EOMONTH(DATE(YEAR(Marketing!$CT$1),MONTH(Marketing!$CT$1),1)+INT((DAY(Marketing!$CT$1)-1)/2)+'Cash Drivers'!CU$7,0)=EOMONTH($AC$1,0),Marketing!CU$5*Marketing!CU$6,0)+IF(EOMONTH(DATE(YEAR(Marketing!$CQ$1),MONTH(Marketing!$CQ$1),1)+INT((DAY(Marketing!$CQ$1)-1)/2)+'Cash Drivers'!CR$7,0)=EOMONTH($AC$1,0),Marketing!CR$5*Marketing!CR$6,0)+IF(EOMONTH(DATE(YEAR(Marketing!$CN$1),MONTH(Marketing!$CN$1),1)+INT((DAY(Marketing!$CN$1)-1)/2)+'Cash Drivers'!CO$7,0)=EOMONTH($AC$1,0),Marketing!CO$5*Marketing!CO$6,0)+IF(EOMONTH(DATE(YEAR(Marketing!$CK$1),MONTH(Marketing!$CK$1),1)+INT((DAY(Marketing!$CK$1)-1)/2)+'Cash Drivers'!CL$7,0)=EOMONTH($AC$1,0),Marketing!CL$5*Marketing!CL$6,0)+IF(EOMONTH(DATE(YEAR(Marketing!$CH$1),MONTH(Marketing!$CH$1),1)+INT((DAY(Marketing!$CH$1)-1)/2)+'Cash Drivers'!CI$7,0)=EOMONTH($AC$1,0),Marketing!CI$5*Marketing!CI$6,0)+IF(EOMONTH(DATE(YEAR(Marketing!$CE$1),MONTH(Marketing!$CE$1),1)+INT((DAY(Marketing!$CE$1)-1)/2)+'Cash Drivers'!CF$7,0)=EOMONTH($AC$1,0),Marketing!CF$5*Marketing!CF$6,0)+IF(EOMONTH(DATE(YEAR(Marketing!$CB$1),MONTH(Marketing!$CB$1),1)+INT((DAY(Marketing!$CB$1)-1)/2)+'Cash Drivers'!CC$7,0)=EOMONTH($AC$1,0),Marketing!CC$5*Marketing!CC$6,0)+IF(EOMONTH(DATE(YEAR(Marketing!$BY$1),MONTH(Marketing!$BY$1),1)+INT((DAY(Marketing!$BY$1)-1)/2)+'Cash Drivers'!BZ$7,0)=EOMONTH($AC$1,0),Marketing!BZ$5*Marketing!BZ$6,0)+IF(EOMONTH(DATE(YEAR(Marketing!$BV$1),MONTH(Marketing!$BV$1),1)+INT((DAY(Marketing!$BV$1)-1)/2)+'Cash Drivers'!BW$7,0)=EOMONTH($AC$1,0),Marketing!BW$5*Marketing!BW$6,0)+IF(EOMONTH(DATE(YEAR(Marketing!$BS$1),MONTH(Marketing!$BS$1),1)+INT((DAY(Marketing!$BS$1)-1)/2)+'Cash Drivers'!BT$7,0)=EOMONTH($AC$1,0),Marketing!BT$5*Marketing!BT$6,0)+IF(EOMONTH(DATE(YEAR(Marketing!$BP$1),MONTH(Marketing!$BP$1),1)+INT((DAY(Marketing!$BP$1)-1)/2)+'Cash Drivers'!BQ$7,0)=EOMONTH($AC$1,0),Marketing!BQ$5*Marketing!BQ$6,0)+IF(EOMONTH(DATE(YEAR(Marketing!$BM$1),MONTH(Marketing!$BM$1),1)+INT((DAY(Marketing!$BM$1)-1)/2)+'Cash Drivers'!BN$7,0)=EOMONTH($AC$1,0),Marketing!BN$5*Marketing!BN$6,0)+IF(EOMONTH(DATE(YEAR(Marketing!$BJ$1),MONTH(Marketing!$BJ$1),1)+INT((DAY(Marketing!$BJ$1)-1)/2)+'Cash Drivers'!BK$7,0)=EOMONTH($AC$1,0),Marketing!BK$5*Marketing!BK$6,0)+IF(EOMONTH(DATE(YEAR(Marketing!$BG$1),MONTH(Marketing!$BG$1),1)+INT((DAY(Marketing!$BG$1)-1)/2)+'Cash Drivers'!BH$7,0)=EOMONTH($AC$1,0),Marketing!BH$5*Marketing!BH$6,0)+IF(EOMONTH(DATE(YEAR(Marketing!$BD$1),MONTH(Marketing!$BD$1),1)+INT((DAY(Marketing!$BD$1)-1)/2)+'Cash Drivers'!BE$7,0)=EOMONTH($AC$1,0),Marketing!BE$5*Marketing!BE$6,0)+IF(EOMONTH(DATE(YEAR(Marketing!$BA$1),MONTH(Marketing!$BA$1),1)+INT((DAY(Marketing!$BA$1)-1)/2)+'Cash Drivers'!BB$7,0)=EOMONTH($AC$1,0),Marketing!BB$5*Marketing!BB$6,0)+IF(EOMONTH(DATE(YEAR(Marketing!$AX$1),MONTH(Marketing!$AX$1),1)+INT((DAY(Marketing!$AX$1)-1)/2)+'Cash Drivers'!AY$7,0)=EOMONTH($AC$1,0),Marketing!AY$5*Marketing!AY$6,0)+IF(EOMONTH(DATE(YEAR(Marketing!$AU$1),MONTH(Marketing!$AU$1),1)+INT((DAY(Marketing!$AU$1)-1)/2)+'Cash Drivers'!AV$7,0)=EOMONTH($AC$1,0),Marketing!AV$5*Marketing!AV$6,0)+IF(EOMONTH(DATE(YEAR(Marketing!$AR$1),MONTH(Marketing!$AR$1),1)+INT((DAY(Marketing!$AR$1)-1)/2)+'Cash Drivers'!AS$7,0)=EOMONTH($AC$1,0),Marketing!AS$5*Marketing!AS$6,0)+IF(EOMONTH(DATE(YEAR(Marketing!$AO$1),MONTH(Marketing!$AO$1),1)+INT((DAY(Marketing!$AO$1)-1)/2)+'Cash Drivers'!AP$7,0)=EOMONTH($AC$1,0),Marketing!AP$5*Marketing!AP$6,0)+IF(EOMONTH(DATE(YEAR(Marketing!$AL$1),MONTH(Marketing!$AL$1),1)+INT((DAY(Marketing!$AL$1)-1)/2)+'Cash Drivers'!AM$7,0)=EOMONTH($AC$1,0),Marketing!AM$5*Marketing!AM$6,0)+IF(EOMONTH(DATE(YEAR(Marketing!$AI$1),MONTH(Marketing!$AI$1),1)+INT((DAY(Marketing!$AI$1)-1)/2)+'Cash Drivers'!AJ$7,0)=EOMONTH($AC$1,0),Marketing!AJ$5*Marketing!AJ$6,0)+IF(EOMONTH(DATE(YEAR(Marketing!$AF$1),MONTH(Marketing!$AF$1),1)+INT((DAY(Marketing!$AF$1)-1)/2)+'Cash Drivers'!AG$7,0)=EOMONTH($AC$1,0),Marketing!AG$5*Marketing!AG$6,0)+IF(EOMONTH(DATE(YEAR(Marketing!$AC$1),MONTH(Marketing!$AC$1),1)+INT((DAY(Marketing!$AC$1)-1)/2)+'Cash Drivers'!AD$7,0)=EOMONTH($AC$1,0),Marketing!AD$5*Marketing!AD$6,0)+IF(EOMONTH(DATE(YEAR(Marketing!$Z$1),MONTH(Marketing!$Z$1),1)+INT((DAY(Marketing!$Z$1)-1)/2)+'Cash Drivers'!AA$7,0)=EOMONTH($AC$1,0),Marketing!AA$5*Marketing!AA$6,0)+IF(EOMONTH(DATE(YEAR(Marketing!$W$1),MONTH(Marketing!$W$1),1)+INT((DAY(Marketing!$W$1)-1)/2)+'Cash Drivers'!X$7,0)=EOMONTH($AC$1,0),Marketing!X$5*Marketing!X$6,0)+IF(EOMONTH(DATE(YEAR(Marketing!$T$1),MONTH(Marketing!$T$1),1)+INT((DAY(Marketing!$T$1)-1)/2)+'Cash Drivers'!U$7,0)=EOMONTH($AC$1,0),Marketing!U$5*Marketing!U$6,0)+IF(EOMONTH(DATE(YEAR(Marketing!$Q$1),MONTH(Marketing!$Q$1),1)+INT((DAY(Marketing!$Q$1)-1)/2)+'Cash Drivers'!R$7,0)=EOMONTH($AC$1,0),Marketing!R$5*Marketing!R$6,0)+IF(EOMONTH(DATE(YEAR(Marketing!$N$1),MONTH(Marketing!$N$1),1)+INT((DAY(Marketing!$N$1)-1)/2)+'Cash Drivers'!O$7,0)=EOMONTH($AC$1,0),Marketing!O$5*Marketing!O$6,0)+IF(EOMONTH(DATE(YEAR(Marketing!$K$1),MONTH(Marketing!$K$1),1)+INT((DAY(Marketing!$K$1)-1)/2)+'Cash Drivers'!L$7,0)=EOMONTH($AC$1,0),Marketing!L$5*Marketing!L$6,0)+0,0))</f>
        <v>148</v>
      </c>
      <c r="AE7" s="87" t="n">
        <f aca="false">ROUND(IF(EOMONTH(DATE(YEAR(Marketing!$DL$1),MONTH(Marketing!$DL$1),1)+INT((DAY(Marketing!$DL$1)-1)/2)+'Cash Drivers'!DN$7,0)=EOMONTH($AC$1,0),Marketing!DN$5*Marketing!DN$6,0)+IF(EOMONTH(DATE(YEAR(Marketing!$DI$1),MONTH(Marketing!$DI$1),1)+INT((DAY(Marketing!$DI$1)-1)/2)+'Cash Drivers'!DK$7,0)=EOMONTH($AC$1,0),Marketing!DK$5*Marketing!DK$6,0)+IF(EOMONTH(DATE(YEAR(Marketing!$DF$1),MONTH(Marketing!$DF$1),1)+INT((DAY(Marketing!$DF$1)-1)/2)+'Cash Drivers'!DH$7,0)=EOMONTH($AC$1,0),Marketing!DH$5*Marketing!DH$6,0)+IF(EOMONTH(DATE(YEAR(Marketing!$DC$1),MONTH(Marketing!$DC$1),1)+INT((DAY(Marketing!$DC$1)-1)/2)+'Cash Drivers'!DE$7,0)=EOMONTH($AC$1,0),Marketing!DE$5*Marketing!DE$6,0)+IF(EOMONTH(DATE(YEAR(Marketing!$CZ$1),MONTH(Marketing!$CZ$1),1)+INT((DAY(Marketing!$CZ$1)-1)/2)+'Cash Drivers'!DB$7,0)=EOMONTH($AC$1,0),Marketing!DB$5*Marketing!DB$6,0)+IF(EOMONTH(DATE(YEAR(Marketing!$CW$1),MONTH(Marketing!$CW$1),1)+INT((DAY(Marketing!$CW$1)-1)/2)+'Cash Drivers'!CY$7,0)=EOMONTH($AC$1,0),Marketing!CY$5*Marketing!CY$6,0)+IF(EOMONTH(DATE(YEAR(Marketing!$CT$1),MONTH(Marketing!$CT$1),1)+INT((DAY(Marketing!$CT$1)-1)/2)+'Cash Drivers'!CV$7,0)=EOMONTH($AC$1,0),Marketing!CV$5*Marketing!CV$6,0)+IF(EOMONTH(DATE(YEAR(Marketing!$CQ$1),MONTH(Marketing!$CQ$1),1)+INT((DAY(Marketing!$CQ$1)-1)/2)+'Cash Drivers'!CS$7,0)=EOMONTH($AC$1,0),Marketing!CS$5*Marketing!CS$6,0)+IF(EOMONTH(DATE(YEAR(Marketing!$CN$1),MONTH(Marketing!$CN$1),1)+INT((DAY(Marketing!$CN$1)-1)/2)+'Cash Drivers'!CP$7,0)=EOMONTH($AC$1,0),Marketing!CP$5*Marketing!CP$6,0)+IF(EOMONTH(DATE(YEAR(Marketing!$CK$1),MONTH(Marketing!$CK$1),1)+INT((DAY(Marketing!$CK$1)-1)/2)+'Cash Drivers'!CM$7,0)=EOMONTH($AC$1,0),Marketing!CM$5*Marketing!CM$6,0)+IF(EOMONTH(DATE(YEAR(Marketing!$CH$1),MONTH(Marketing!$CH$1),1)+INT((DAY(Marketing!$CH$1)-1)/2)+'Cash Drivers'!CJ$7,0)=EOMONTH($AC$1,0),Marketing!CJ$5*Marketing!CJ$6,0)+IF(EOMONTH(DATE(YEAR(Marketing!$CE$1),MONTH(Marketing!$CE$1),1)+INT((DAY(Marketing!$CE$1)-1)/2)+'Cash Drivers'!CG$7,0)=EOMONTH($AC$1,0),Marketing!CG$5*Marketing!CG$6,0)+IF(EOMONTH(DATE(YEAR(Marketing!$CB$1),MONTH(Marketing!$CB$1),1)+INT((DAY(Marketing!$CB$1)-1)/2)+'Cash Drivers'!CD$7,0)=EOMONTH($AC$1,0),Marketing!CD$5*Marketing!CD$6,0)+IF(EOMONTH(DATE(YEAR(Marketing!$BY$1),MONTH(Marketing!$BY$1),1)+INT((DAY(Marketing!$BY$1)-1)/2)+'Cash Drivers'!CA$7,0)=EOMONTH($AC$1,0),Marketing!CA$5*Marketing!CA$6,0)+IF(EOMONTH(DATE(YEAR(Marketing!$BV$1),MONTH(Marketing!$BV$1),1)+INT((DAY(Marketing!$BV$1)-1)/2)+'Cash Drivers'!BX$7,0)=EOMONTH($AC$1,0),Marketing!BX$5*Marketing!BX$6,0)+IF(EOMONTH(DATE(YEAR(Marketing!$BS$1),MONTH(Marketing!$BS$1),1)+INT((DAY(Marketing!$BS$1)-1)/2)+'Cash Drivers'!BU$7,0)=EOMONTH($AC$1,0),Marketing!BU$5*Marketing!BU$6,0)+IF(EOMONTH(DATE(YEAR(Marketing!$BP$1),MONTH(Marketing!$BP$1),1)+INT((DAY(Marketing!$BP$1)-1)/2)+'Cash Drivers'!BR$7,0)=EOMONTH($AC$1,0),Marketing!BR$5*Marketing!BR$6,0)+IF(EOMONTH(DATE(YEAR(Marketing!$BM$1),MONTH(Marketing!$BM$1),1)+INT((DAY(Marketing!$BM$1)-1)/2)+'Cash Drivers'!BO$7,0)=EOMONTH($AC$1,0),Marketing!BO$5*Marketing!BO$6,0)+IF(EOMONTH(DATE(YEAR(Marketing!$BJ$1),MONTH(Marketing!$BJ$1),1)+INT((DAY(Marketing!$BJ$1)-1)/2)+'Cash Drivers'!BL$7,0)=EOMONTH($AC$1,0),Marketing!BL$5*Marketing!BL$6,0)+IF(EOMONTH(DATE(YEAR(Marketing!$BG$1),MONTH(Marketing!$BG$1),1)+INT((DAY(Marketing!$BG$1)-1)/2)+'Cash Drivers'!BI$7,0)=EOMONTH($AC$1,0),Marketing!BI$5*Marketing!BI$6,0)+IF(EOMONTH(DATE(YEAR(Marketing!$BD$1),MONTH(Marketing!$BD$1),1)+INT((DAY(Marketing!$BD$1)-1)/2)+'Cash Drivers'!BF$7,0)=EOMONTH($AC$1,0),Marketing!BF$5*Marketing!BF$6,0)+IF(EOMONTH(DATE(YEAR(Marketing!$BA$1),MONTH(Marketing!$BA$1),1)+INT((DAY(Marketing!$BA$1)-1)/2)+'Cash Drivers'!BC$7,0)=EOMONTH($AC$1,0),Marketing!BC$5*Marketing!BC$6,0)+IF(EOMONTH(DATE(YEAR(Marketing!$AX$1),MONTH(Marketing!$AX$1),1)+INT((DAY(Marketing!$AX$1)-1)/2)+'Cash Drivers'!AZ$7,0)=EOMONTH($AC$1,0),Marketing!AZ$5*Marketing!AZ$6,0)+IF(EOMONTH(DATE(YEAR(Marketing!$AU$1),MONTH(Marketing!$AU$1),1)+INT((DAY(Marketing!$AU$1)-1)/2)+'Cash Drivers'!AW$7,0)=EOMONTH($AC$1,0),Marketing!AW$5*Marketing!AW$6,0)+IF(EOMONTH(DATE(YEAR(Marketing!$AR$1),MONTH(Marketing!$AR$1),1)+INT((DAY(Marketing!$AR$1)-1)/2)+'Cash Drivers'!AT$7,0)=EOMONTH($AC$1,0),Marketing!AT$5*Marketing!AT$6,0)+IF(EOMONTH(DATE(YEAR(Marketing!$AO$1),MONTH(Marketing!$AO$1),1)+INT((DAY(Marketing!$AO$1)-1)/2)+'Cash Drivers'!AQ$7,0)=EOMONTH($AC$1,0),Marketing!AQ$5*Marketing!AQ$6,0)+IF(EOMONTH(DATE(YEAR(Marketing!$AL$1),MONTH(Marketing!$AL$1),1)+INT((DAY(Marketing!$AL$1)-1)/2)+'Cash Drivers'!AN$7,0)=EOMONTH($AC$1,0),Marketing!AN$5*Marketing!AN$6,0)+IF(EOMONTH(DATE(YEAR(Marketing!$AI$1),MONTH(Marketing!$AI$1),1)+INT((DAY(Marketing!$AI$1)-1)/2)+'Cash Drivers'!AK$7,0)=EOMONTH($AC$1,0),Marketing!AK$5*Marketing!AK$6,0)+IF(EOMONTH(DATE(YEAR(Marketing!$AF$1),MONTH(Marketing!$AF$1),1)+INT((DAY(Marketing!$AF$1)-1)/2)+'Cash Drivers'!AH$7,0)=EOMONTH($AC$1,0),Marketing!AH$5*Marketing!AH$6,0)+IF(EOMONTH(DATE(YEAR(Marketing!$AC$1),MONTH(Marketing!$AC$1),1)+INT((DAY(Marketing!$AC$1)-1)/2)+'Cash Drivers'!AE$7,0)=EOMONTH($AC$1,0),Marketing!AE$5*Marketing!AE$6,0)+IF(EOMONTH(DATE(YEAR(Marketing!$Z$1),MONTH(Marketing!$Z$1),1)+INT((DAY(Marketing!$Z$1)-1)/2)+'Cash Drivers'!AB$7,0)=EOMONTH($AC$1,0),Marketing!AB$5*Marketing!AB$6,0)+IF(EOMONTH(DATE(YEAR(Marketing!$W$1),MONTH(Marketing!$W$1),1)+INT((DAY(Marketing!$W$1)-1)/2)+'Cash Drivers'!Y$7,0)=EOMONTH($AC$1,0),Marketing!Y$5*Marketing!Y$6,0)+IF(EOMONTH(DATE(YEAR(Marketing!$T$1),MONTH(Marketing!$T$1),1)+INT((DAY(Marketing!$T$1)-1)/2)+'Cash Drivers'!V$7,0)=EOMONTH($AC$1,0),Marketing!V$5*Marketing!V$6,0)+IF(EOMONTH(DATE(YEAR(Marketing!$Q$1),MONTH(Marketing!$Q$1),1)+INT((DAY(Marketing!$Q$1)-1)/2)+'Cash Drivers'!S$7,0)=EOMONTH($AC$1,0),Marketing!S$5*Marketing!S$6,0)+IF(EOMONTH(DATE(YEAR(Marketing!$N$1),MONTH(Marketing!$N$1),1)+INT((DAY(Marketing!$N$1)-1)/2)+'Cash Drivers'!P$7,0)=EOMONTH($AC$1,0),Marketing!P$5*Marketing!P$6,0)+IF(EOMONTH(DATE(YEAR(Marketing!$K$1),MONTH(Marketing!$K$1),1)+INT((DAY(Marketing!$K$1)-1)/2)+'Cash Drivers'!M$7,0)=EOMONTH($AC$1,0),Marketing!M$5*Marketing!M$6,0)+0,0)</f>
        <v>148</v>
      </c>
      <c r="AF7" s="86"/>
      <c r="AG7" s="86" t="n">
        <f aca="false">IF('Cash Drivers'!AG$26,AF7,ROUND(IF(EOMONTH(DATE(YEAR(Marketing!$DL$1),MONTH(Marketing!$DL$1),1)+INT((DAY(Marketing!$DL$1)-1)/2)+'Cash Drivers'!DM$7,0)=EOMONTH($AF$1,0),Marketing!DM$5*Marketing!DM$6,0)+IF(EOMONTH(DATE(YEAR(Marketing!$DI$1),MONTH(Marketing!$DI$1),1)+INT((DAY(Marketing!$DI$1)-1)/2)+'Cash Drivers'!DJ$7,0)=EOMONTH($AF$1,0),Marketing!DJ$5*Marketing!DJ$6,0)+IF(EOMONTH(DATE(YEAR(Marketing!$DF$1),MONTH(Marketing!$DF$1),1)+INT((DAY(Marketing!$DF$1)-1)/2)+'Cash Drivers'!DG$7,0)=EOMONTH($AF$1,0),Marketing!DG$5*Marketing!DG$6,0)+IF(EOMONTH(DATE(YEAR(Marketing!$DC$1),MONTH(Marketing!$DC$1),1)+INT((DAY(Marketing!$DC$1)-1)/2)+'Cash Drivers'!DD$7,0)=EOMONTH($AF$1,0),Marketing!DD$5*Marketing!DD$6,0)+IF(EOMONTH(DATE(YEAR(Marketing!$CZ$1),MONTH(Marketing!$CZ$1),1)+INT((DAY(Marketing!$CZ$1)-1)/2)+'Cash Drivers'!DA$7,0)=EOMONTH($AF$1,0),Marketing!DA$5*Marketing!DA$6,0)+IF(EOMONTH(DATE(YEAR(Marketing!$CW$1),MONTH(Marketing!$CW$1),1)+INT((DAY(Marketing!$CW$1)-1)/2)+'Cash Drivers'!CX$7,0)=EOMONTH($AF$1,0),Marketing!CX$5*Marketing!CX$6,0)+IF(EOMONTH(DATE(YEAR(Marketing!$CT$1),MONTH(Marketing!$CT$1),1)+INT((DAY(Marketing!$CT$1)-1)/2)+'Cash Drivers'!CU$7,0)=EOMONTH($AF$1,0),Marketing!CU$5*Marketing!CU$6,0)+IF(EOMONTH(DATE(YEAR(Marketing!$CQ$1),MONTH(Marketing!$CQ$1),1)+INT((DAY(Marketing!$CQ$1)-1)/2)+'Cash Drivers'!CR$7,0)=EOMONTH($AF$1,0),Marketing!CR$5*Marketing!CR$6,0)+IF(EOMONTH(DATE(YEAR(Marketing!$CN$1),MONTH(Marketing!$CN$1),1)+INT((DAY(Marketing!$CN$1)-1)/2)+'Cash Drivers'!CO$7,0)=EOMONTH($AF$1,0),Marketing!CO$5*Marketing!CO$6,0)+IF(EOMONTH(DATE(YEAR(Marketing!$CK$1),MONTH(Marketing!$CK$1),1)+INT((DAY(Marketing!$CK$1)-1)/2)+'Cash Drivers'!CL$7,0)=EOMONTH($AF$1,0),Marketing!CL$5*Marketing!CL$6,0)+IF(EOMONTH(DATE(YEAR(Marketing!$CH$1),MONTH(Marketing!$CH$1),1)+INT((DAY(Marketing!$CH$1)-1)/2)+'Cash Drivers'!CI$7,0)=EOMONTH($AF$1,0),Marketing!CI$5*Marketing!CI$6,0)+IF(EOMONTH(DATE(YEAR(Marketing!$CE$1),MONTH(Marketing!$CE$1),1)+INT((DAY(Marketing!$CE$1)-1)/2)+'Cash Drivers'!CF$7,0)=EOMONTH($AF$1,0),Marketing!CF$5*Marketing!CF$6,0)+IF(EOMONTH(DATE(YEAR(Marketing!$CB$1),MONTH(Marketing!$CB$1),1)+INT((DAY(Marketing!$CB$1)-1)/2)+'Cash Drivers'!CC$7,0)=EOMONTH($AF$1,0),Marketing!CC$5*Marketing!CC$6,0)+IF(EOMONTH(DATE(YEAR(Marketing!$BY$1),MONTH(Marketing!$BY$1),1)+INT((DAY(Marketing!$BY$1)-1)/2)+'Cash Drivers'!BZ$7,0)=EOMONTH($AF$1,0),Marketing!BZ$5*Marketing!BZ$6,0)+IF(EOMONTH(DATE(YEAR(Marketing!$BV$1),MONTH(Marketing!$BV$1),1)+INT((DAY(Marketing!$BV$1)-1)/2)+'Cash Drivers'!BW$7,0)=EOMONTH($AF$1,0),Marketing!BW$5*Marketing!BW$6,0)+IF(EOMONTH(DATE(YEAR(Marketing!$BS$1),MONTH(Marketing!$BS$1),1)+INT((DAY(Marketing!$BS$1)-1)/2)+'Cash Drivers'!BT$7,0)=EOMONTH($AF$1,0),Marketing!BT$5*Marketing!BT$6,0)+IF(EOMONTH(DATE(YEAR(Marketing!$BP$1),MONTH(Marketing!$BP$1),1)+INT((DAY(Marketing!$BP$1)-1)/2)+'Cash Drivers'!BQ$7,0)=EOMONTH($AF$1,0),Marketing!BQ$5*Marketing!BQ$6,0)+IF(EOMONTH(DATE(YEAR(Marketing!$BM$1),MONTH(Marketing!$BM$1),1)+INT((DAY(Marketing!$BM$1)-1)/2)+'Cash Drivers'!BN$7,0)=EOMONTH($AF$1,0),Marketing!BN$5*Marketing!BN$6,0)+IF(EOMONTH(DATE(YEAR(Marketing!$BJ$1),MONTH(Marketing!$BJ$1),1)+INT((DAY(Marketing!$BJ$1)-1)/2)+'Cash Drivers'!BK$7,0)=EOMONTH($AF$1,0),Marketing!BK$5*Marketing!BK$6,0)+IF(EOMONTH(DATE(YEAR(Marketing!$BG$1),MONTH(Marketing!$BG$1),1)+INT((DAY(Marketing!$BG$1)-1)/2)+'Cash Drivers'!BH$7,0)=EOMONTH($AF$1,0),Marketing!BH$5*Marketing!BH$6,0)+IF(EOMONTH(DATE(YEAR(Marketing!$BD$1),MONTH(Marketing!$BD$1),1)+INT((DAY(Marketing!$BD$1)-1)/2)+'Cash Drivers'!BE$7,0)=EOMONTH($AF$1,0),Marketing!BE$5*Marketing!BE$6,0)+IF(EOMONTH(DATE(YEAR(Marketing!$BA$1),MONTH(Marketing!$BA$1),1)+INT((DAY(Marketing!$BA$1)-1)/2)+'Cash Drivers'!BB$7,0)=EOMONTH($AF$1,0),Marketing!BB$5*Marketing!BB$6,0)+IF(EOMONTH(DATE(YEAR(Marketing!$AX$1),MONTH(Marketing!$AX$1),1)+INT((DAY(Marketing!$AX$1)-1)/2)+'Cash Drivers'!AY$7,0)=EOMONTH($AF$1,0),Marketing!AY$5*Marketing!AY$6,0)+IF(EOMONTH(DATE(YEAR(Marketing!$AU$1),MONTH(Marketing!$AU$1),1)+INT((DAY(Marketing!$AU$1)-1)/2)+'Cash Drivers'!AV$7,0)=EOMONTH($AF$1,0),Marketing!AV$5*Marketing!AV$6,0)+IF(EOMONTH(DATE(YEAR(Marketing!$AR$1),MONTH(Marketing!$AR$1),1)+INT((DAY(Marketing!$AR$1)-1)/2)+'Cash Drivers'!AS$7,0)=EOMONTH($AF$1,0),Marketing!AS$5*Marketing!AS$6,0)+IF(EOMONTH(DATE(YEAR(Marketing!$AO$1),MONTH(Marketing!$AO$1),1)+INT((DAY(Marketing!$AO$1)-1)/2)+'Cash Drivers'!AP$7,0)=EOMONTH($AF$1,0),Marketing!AP$5*Marketing!AP$6,0)+IF(EOMONTH(DATE(YEAR(Marketing!$AL$1),MONTH(Marketing!$AL$1),1)+INT((DAY(Marketing!$AL$1)-1)/2)+'Cash Drivers'!AM$7,0)=EOMONTH($AF$1,0),Marketing!AM$5*Marketing!AM$6,0)+IF(EOMONTH(DATE(YEAR(Marketing!$AI$1),MONTH(Marketing!$AI$1),1)+INT((DAY(Marketing!$AI$1)-1)/2)+'Cash Drivers'!AJ$7,0)=EOMONTH($AF$1,0),Marketing!AJ$5*Marketing!AJ$6,0)+IF(EOMONTH(DATE(YEAR(Marketing!$AF$1),MONTH(Marketing!$AF$1),1)+INT((DAY(Marketing!$AF$1)-1)/2)+'Cash Drivers'!AG$7,0)=EOMONTH($AF$1,0),Marketing!AG$5*Marketing!AG$6,0)+IF(EOMONTH(DATE(YEAR(Marketing!$AC$1),MONTH(Marketing!$AC$1),1)+INT((DAY(Marketing!$AC$1)-1)/2)+'Cash Drivers'!AD$7,0)=EOMONTH($AF$1,0),Marketing!AD$5*Marketing!AD$6,0)+IF(EOMONTH(DATE(YEAR(Marketing!$Z$1),MONTH(Marketing!$Z$1),1)+INT((DAY(Marketing!$Z$1)-1)/2)+'Cash Drivers'!AA$7,0)=EOMONTH($AF$1,0),Marketing!AA$5*Marketing!AA$6,0)+IF(EOMONTH(DATE(YEAR(Marketing!$W$1),MONTH(Marketing!$W$1),1)+INT((DAY(Marketing!$W$1)-1)/2)+'Cash Drivers'!X$7,0)=EOMONTH($AF$1,0),Marketing!X$5*Marketing!X$6,0)+IF(EOMONTH(DATE(YEAR(Marketing!$T$1),MONTH(Marketing!$T$1),1)+INT((DAY(Marketing!$T$1)-1)/2)+'Cash Drivers'!U$7,0)=EOMONTH($AF$1,0),Marketing!U$5*Marketing!U$6,0)+IF(EOMONTH(DATE(YEAR(Marketing!$Q$1),MONTH(Marketing!$Q$1),1)+INT((DAY(Marketing!$Q$1)-1)/2)+'Cash Drivers'!R$7,0)=EOMONTH($AF$1,0),Marketing!R$5*Marketing!R$6,0)+IF(EOMONTH(DATE(YEAR(Marketing!$N$1),MONTH(Marketing!$N$1),1)+INT((DAY(Marketing!$N$1)-1)/2)+'Cash Drivers'!O$7,0)=EOMONTH($AF$1,0),Marketing!O$5*Marketing!O$6,0)+IF(EOMONTH(DATE(YEAR(Marketing!$K$1),MONTH(Marketing!$K$1),1)+INT((DAY(Marketing!$K$1)-1)/2)+'Cash Drivers'!L$7,0)=EOMONTH($AF$1,0),Marketing!L$5*Marketing!L$6,0)+0,0))</f>
        <v>148</v>
      </c>
      <c r="AH7" s="86" t="n">
        <f aca="false">ROUND(IF(EOMONTH(DATE(YEAR(Marketing!$DL$1),MONTH(Marketing!$DL$1),1)+INT((DAY(Marketing!$DL$1)-1)/2)+'Cash Drivers'!DN$7,0)=EOMONTH($AF$1,0),Marketing!DN$5*Marketing!DN$6,0)+IF(EOMONTH(DATE(YEAR(Marketing!$DI$1),MONTH(Marketing!$DI$1),1)+INT((DAY(Marketing!$DI$1)-1)/2)+'Cash Drivers'!DK$7,0)=EOMONTH($AF$1,0),Marketing!DK$5*Marketing!DK$6,0)+IF(EOMONTH(DATE(YEAR(Marketing!$DF$1),MONTH(Marketing!$DF$1),1)+INT((DAY(Marketing!$DF$1)-1)/2)+'Cash Drivers'!DH$7,0)=EOMONTH($AF$1,0),Marketing!DH$5*Marketing!DH$6,0)+IF(EOMONTH(DATE(YEAR(Marketing!$DC$1),MONTH(Marketing!$DC$1),1)+INT((DAY(Marketing!$DC$1)-1)/2)+'Cash Drivers'!DE$7,0)=EOMONTH($AF$1,0),Marketing!DE$5*Marketing!DE$6,0)+IF(EOMONTH(DATE(YEAR(Marketing!$CZ$1),MONTH(Marketing!$CZ$1),1)+INT((DAY(Marketing!$CZ$1)-1)/2)+'Cash Drivers'!DB$7,0)=EOMONTH($AF$1,0),Marketing!DB$5*Marketing!DB$6,0)+IF(EOMONTH(DATE(YEAR(Marketing!$CW$1),MONTH(Marketing!$CW$1),1)+INT((DAY(Marketing!$CW$1)-1)/2)+'Cash Drivers'!CY$7,0)=EOMONTH($AF$1,0),Marketing!CY$5*Marketing!CY$6,0)+IF(EOMONTH(DATE(YEAR(Marketing!$CT$1),MONTH(Marketing!$CT$1),1)+INT((DAY(Marketing!$CT$1)-1)/2)+'Cash Drivers'!CV$7,0)=EOMONTH($AF$1,0),Marketing!CV$5*Marketing!CV$6,0)+IF(EOMONTH(DATE(YEAR(Marketing!$CQ$1),MONTH(Marketing!$CQ$1),1)+INT((DAY(Marketing!$CQ$1)-1)/2)+'Cash Drivers'!CS$7,0)=EOMONTH($AF$1,0),Marketing!CS$5*Marketing!CS$6,0)+IF(EOMONTH(DATE(YEAR(Marketing!$CN$1),MONTH(Marketing!$CN$1),1)+INT((DAY(Marketing!$CN$1)-1)/2)+'Cash Drivers'!CP$7,0)=EOMONTH($AF$1,0),Marketing!CP$5*Marketing!CP$6,0)+IF(EOMONTH(DATE(YEAR(Marketing!$CK$1),MONTH(Marketing!$CK$1),1)+INT((DAY(Marketing!$CK$1)-1)/2)+'Cash Drivers'!CM$7,0)=EOMONTH($AF$1,0),Marketing!CM$5*Marketing!CM$6,0)+IF(EOMONTH(DATE(YEAR(Marketing!$CH$1),MONTH(Marketing!$CH$1),1)+INT((DAY(Marketing!$CH$1)-1)/2)+'Cash Drivers'!CJ$7,0)=EOMONTH($AF$1,0),Marketing!CJ$5*Marketing!CJ$6,0)+IF(EOMONTH(DATE(YEAR(Marketing!$CE$1),MONTH(Marketing!$CE$1),1)+INT((DAY(Marketing!$CE$1)-1)/2)+'Cash Drivers'!CG$7,0)=EOMONTH($AF$1,0),Marketing!CG$5*Marketing!CG$6,0)+IF(EOMONTH(DATE(YEAR(Marketing!$CB$1),MONTH(Marketing!$CB$1),1)+INT((DAY(Marketing!$CB$1)-1)/2)+'Cash Drivers'!CD$7,0)=EOMONTH($AF$1,0),Marketing!CD$5*Marketing!CD$6,0)+IF(EOMONTH(DATE(YEAR(Marketing!$BY$1),MONTH(Marketing!$BY$1),1)+INT((DAY(Marketing!$BY$1)-1)/2)+'Cash Drivers'!CA$7,0)=EOMONTH($AF$1,0),Marketing!CA$5*Marketing!CA$6,0)+IF(EOMONTH(DATE(YEAR(Marketing!$BV$1),MONTH(Marketing!$BV$1),1)+INT((DAY(Marketing!$BV$1)-1)/2)+'Cash Drivers'!BX$7,0)=EOMONTH($AF$1,0),Marketing!BX$5*Marketing!BX$6,0)+IF(EOMONTH(DATE(YEAR(Marketing!$BS$1),MONTH(Marketing!$BS$1),1)+INT((DAY(Marketing!$BS$1)-1)/2)+'Cash Drivers'!BU$7,0)=EOMONTH($AF$1,0),Marketing!BU$5*Marketing!BU$6,0)+IF(EOMONTH(DATE(YEAR(Marketing!$BP$1),MONTH(Marketing!$BP$1),1)+INT((DAY(Marketing!$BP$1)-1)/2)+'Cash Drivers'!BR$7,0)=EOMONTH($AF$1,0),Marketing!BR$5*Marketing!BR$6,0)+IF(EOMONTH(DATE(YEAR(Marketing!$BM$1),MONTH(Marketing!$BM$1),1)+INT((DAY(Marketing!$BM$1)-1)/2)+'Cash Drivers'!BO$7,0)=EOMONTH($AF$1,0),Marketing!BO$5*Marketing!BO$6,0)+IF(EOMONTH(DATE(YEAR(Marketing!$BJ$1),MONTH(Marketing!$BJ$1),1)+INT((DAY(Marketing!$BJ$1)-1)/2)+'Cash Drivers'!BL$7,0)=EOMONTH($AF$1,0),Marketing!BL$5*Marketing!BL$6,0)+IF(EOMONTH(DATE(YEAR(Marketing!$BG$1),MONTH(Marketing!$BG$1),1)+INT((DAY(Marketing!$BG$1)-1)/2)+'Cash Drivers'!BI$7,0)=EOMONTH($AF$1,0),Marketing!BI$5*Marketing!BI$6,0)+IF(EOMONTH(DATE(YEAR(Marketing!$BD$1),MONTH(Marketing!$BD$1),1)+INT((DAY(Marketing!$BD$1)-1)/2)+'Cash Drivers'!BF$7,0)=EOMONTH($AF$1,0),Marketing!BF$5*Marketing!BF$6,0)+IF(EOMONTH(DATE(YEAR(Marketing!$BA$1),MONTH(Marketing!$BA$1),1)+INT((DAY(Marketing!$BA$1)-1)/2)+'Cash Drivers'!BC$7,0)=EOMONTH($AF$1,0),Marketing!BC$5*Marketing!BC$6,0)+IF(EOMONTH(DATE(YEAR(Marketing!$AX$1),MONTH(Marketing!$AX$1),1)+INT((DAY(Marketing!$AX$1)-1)/2)+'Cash Drivers'!AZ$7,0)=EOMONTH($AF$1,0),Marketing!AZ$5*Marketing!AZ$6,0)+IF(EOMONTH(DATE(YEAR(Marketing!$AU$1),MONTH(Marketing!$AU$1),1)+INT((DAY(Marketing!$AU$1)-1)/2)+'Cash Drivers'!AW$7,0)=EOMONTH($AF$1,0),Marketing!AW$5*Marketing!AW$6,0)+IF(EOMONTH(DATE(YEAR(Marketing!$AR$1),MONTH(Marketing!$AR$1),1)+INT((DAY(Marketing!$AR$1)-1)/2)+'Cash Drivers'!AT$7,0)=EOMONTH($AF$1,0),Marketing!AT$5*Marketing!AT$6,0)+IF(EOMONTH(DATE(YEAR(Marketing!$AO$1),MONTH(Marketing!$AO$1),1)+INT((DAY(Marketing!$AO$1)-1)/2)+'Cash Drivers'!AQ$7,0)=EOMONTH($AF$1,0),Marketing!AQ$5*Marketing!AQ$6,0)+IF(EOMONTH(DATE(YEAR(Marketing!$AL$1),MONTH(Marketing!$AL$1),1)+INT((DAY(Marketing!$AL$1)-1)/2)+'Cash Drivers'!AN$7,0)=EOMONTH($AF$1,0),Marketing!AN$5*Marketing!AN$6,0)+IF(EOMONTH(DATE(YEAR(Marketing!$AI$1),MONTH(Marketing!$AI$1),1)+INT((DAY(Marketing!$AI$1)-1)/2)+'Cash Drivers'!AK$7,0)=EOMONTH($AF$1,0),Marketing!AK$5*Marketing!AK$6,0)+IF(EOMONTH(DATE(YEAR(Marketing!$AF$1),MONTH(Marketing!$AF$1),1)+INT((DAY(Marketing!$AF$1)-1)/2)+'Cash Drivers'!AH$7,0)=EOMONTH($AF$1,0),Marketing!AH$5*Marketing!AH$6,0)+IF(EOMONTH(DATE(YEAR(Marketing!$AC$1),MONTH(Marketing!$AC$1),1)+INT((DAY(Marketing!$AC$1)-1)/2)+'Cash Drivers'!AE$7,0)=EOMONTH($AF$1,0),Marketing!AE$5*Marketing!AE$6,0)+IF(EOMONTH(DATE(YEAR(Marketing!$Z$1),MONTH(Marketing!$Z$1),1)+INT((DAY(Marketing!$Z$1)-1)/2)+'Cash Drivers'!AB$7,0)=EOMONTH($AF$1,0),Marketing!AB$5*Marketing!AB$6,0)+IF(EOMONTH(DATE(YEAR(Marketing!$W$1),MONTH(Marketing!$W$1),1)+INT((DAY(Marketing!$W$1)-1)/2)+'Cash Drivers'!Y$7,0)=EOMONTH($AF$1,0),Marketing!Y$5*Marketing!Y$6,0)+IF(EOMONTH(DATE(YEAR(Marketing!$T$1),MONTH(Marketing!$T$1),1)+INT((DAY(Marketing!$T$1)-1)/2)+'Cash Drivers'!V$7,0)=EOMONTH($AF$1,0),Marketing!V$5*Marketing!V$6,0)+IF(EOMONTH(DATE(YEAR(Marketing!$Q$1),MONTH(Marketing!$Q$1),1)+INT((DAY(Marketing!$Q$1)-1)/2)+'Cash Drivers'!S$7,0)=EOMONTH($AF$1,0),Marketing!S$5*Marketing!S$6,0)+IF(EOMONTH(DATE(YEAR(Marketing!$N$1),MONTH(Marketing!$N$1),1)+INT((DAY(Marketing!$N$1)-1)/2)+'Cash Drivers'!P$7,0)=EOMONTH($AF$1,0),Marketing!P$5*Marketing!P$6,0)+IF(EOMONTH(DATE(YEAR(Marketing!$K$1),MONTH(Marketing!$K$1),1)+INT((DAY(Marketing!$K$1)-1)/2)+'Cash Drivers'!M$7,0)=EOMONTH($AF$1,0),Marketing!M$5*Marketing!M$6,0)+0,0)</f>
        <v>148</v>
      </c>
      <c r="AI7" s="87"/>
      <c r="AJ7" s="87" t="n">
        <f aca="false">IF('Cash Drivers'!AJ$26,AI7,ROUND(IF(EOMONTH(DATE(YEAR(Marketing!$DL$1),MONTH(Marketing!$DL$1),1)+INT((DAY(Marketing!$DL$1)-1)/2)+'Cash Drivers'!DM$7,0)=EOMONTH($AI$1,0),Marketing!DM$5*Marketing!DM$6,0)+IF(EOMONTH(DATE(YEAR(Marketing!$DI$1),MONTH(Marketing!$DI$1),1)+INT((DAY(Marketing!$DI$1)-1)/2)+'Cash Drivers'!DJ$7,0)=EOMONTH($AI$1,0),Marketing!DJ$5*Marketing!DJ$6,0)+IF(EOMONTH(DATE(YEAR(Marketing!$DF$1),MONTH(Marketing!$DF$1),1)+INT((DAY(Marketing!$DF$1)-1)/2)+'Cash Drivers'!DG$7,0)=EOMONTH($AI$1,0),Marketing!DG$5*Marketing!DG$6,0)+IF(EOMONTH(DATE(YEAR(Marketing!$DC$1),MONTH(Marketing!$DC$1),1)+INT((DAY(Marketing!$DC$1)-1)/2)+'Cash Drivers'!DD$7,0)=EOMONTH($AI$1,0),Marketing!DD$5*Marketing!DD$6,0)+IF(EOMONTH(DATE(YEAR(Marketing!$CZ$1),MONTH(Marketing!$CZ$1),1)+INT((DAY(Marketing!$CZ$1)-1)/2)+'Cash Drivers'!DA$7,0)=EOMONTH($AI$1,0),Marketing!DA$5*Marketing!DA$6,0)+IF(EOMONTH(DATE(YEAR(Marketing!$CW$1),MONTH(Marketing!$CW$1),1)+INT((DAY(Marketing!$CW$1)-1)/2)+'Cash Drivers'!CX$7,0)=EOMONTH($AI$1,0),Marketing!CX$5*Marketing!CX$6,0)+IF(EOMONTH(DATE(YEAR(Marketing!$CT$1),MONTH(Marketing!$CT$1),1)+INT((DAY(Marketing!$CT$1)-1)/2)+'Cash Drivers'!CU$7,0)=EOMONTH($AI$1,0),Marketing!CU$5*Marketing!CU$6,0)+IF(EOMONTH(DATE(YEAR(Marketing!$CQ$1),MONTH(Marketing!$CQ$1),1)+INT((DAY(Marketing!$CQ$1)-1)/2)+'Cash Drivers'!CR$7,0)=EOMONTH($AI$1,0),Marketing!CR$5*Marketing!CR$6,0)+IF(EOMONTH(DATE(YEAR(Marketing!$CN$1),MONTH(Marketing!$CN$1),1)+INT((DAY(Marketing!$CN$1)-1)/2)+'Cash Drivers'!CO$7,0)=EOMONTH($AI$1,0),Marketing!CO$5*Marketing!CO$6,0)+IF(EOMONTH(DATE(YEAR(Marketing!$CK$1),MONTH(Marketing!$CK$1),1)+INT((DAY(Marketing!$CK$1)-1)/2)+'Cash Drivers'!CL$7,0)=EOMONTH($AI$1,0),Marketing!CL$5*Marketing!CL$6,0)+IF(EOMONTH(DATE(YEAR(Marketing!$CH$1),MONTH(Marketing!$CH$1),1)+INT((DAY(Marketing!$CH$1)-1)/2)+'Cash Drivers'!CI$7,0)=EOMONTH($AI$1,0),Marketing!CI$5*Marketing!CI$6,0)+IF(EOMONTH(DATE(YEAR(Marketing!$CE$1),MONTH(Marketing!$CE$1),1)+INT((DAY(Marketing!$CE$1)-1)/2)+'Cash Drivers'!CF$7,0)=EOMONTH($AI$1,0),Marketing!CF$5*Marketing!CF$6,0)+IF(EOMONTH(DATE(YEAR(Marketing!$CB$1),MONTH(Marketing!$CB$1),1)+INT((DAY(Marketing!$CB$1)-1)/2)+'Cash Drivers'!CC$7,0)=EOMONTH($AI$1,0),Marketing!CC$5*Marketing!CC$6,0)+IF(EOMONTH(DATE(YEAR(Marketing!$BY$1),MONTH(Marketing!$BY$1),1)+INT((DAY(Marketing!$BY$1)-1)/2)+'Cash Drivers'!BZ$7,0)=EOMONTH($AI$1,0),Marketing!BZ$5*Marketing!BZ$6,0)+IF(EOMONTH(DATE(YEAR(Marketing!$BV$1),MONTH(Marketing!$BV$1),1)+INT((DAY(Marketing!$BV$1)-1)/2)+'Cash Drivers'!BW$7,0)=EOMONTH($AI$1,0),Marketing!BW$5*Marketing!BW$6,0)+IF(EOMONTH(DATE(YEAR(Marketing!$BS$1),MONTH(Marketing!$BS$1),1)+INT((DAY(Marketing!$BS$1)-1)/2)+'Cash Drivers'!BT$7,0)=EOMONTH($AI$1,0),Marketing!BT$5*Marketing!BT$6,0)+IF(EOMONTH(DATE(YEAR(Marketing!$BP$1),MONTH(Marketing!$BP$1),1)+INT((DAY(Marketing!$BP$1)-1)/2)+'Cash Drivers'!BQ$7,0)=EOMONTH($AI$1,0),Marketing!BQ$5*Marketing!BQ$6,0)+IF(EOMONTH(DATE(YEAR(Marketing!$BM$1),MONTH(Marketing!$BM$1),1)+INT((DAY(Marketing!$BM$1)-1)/2)+'Cash Drivers'!BN$7,0)=EOMONTH($AI$1,0),Marketing!BN$5*Marketing!BN$6,0)+IF(EOMONTH(DATE(YEAR(Marketing!$BJ$1),MONTH(Marketing!$BJ$1),1)+INT((DAY(Marketing!$BJ$1)-1)/2)+'Cash Drivers'!BK$7,0)=EOMONTH($AI$1,0),Marketing!BK$5*Marketing!BK$6,0)+IF(EOMONTH(DATE(YEAR(Marketing!$BG$1),MONTH(Marketing!$BG$1),1)+INT((DAY(Marketing!$BG$1)-1)/2)+'Cash Drivers'!BH$7,0)=EOMONTH($AI$1,0),Marketing!BH$5*Marketing!BH$6,0)+IF(EOMONTH(DATE(YEAR(Marketing!$BD$1),MONTH(Marketing!$BD$1),1)+INT((DAY(Marketing!$BD$1)-1)/2)+'Cash Drivers'!BE$7,0)=EOMONTH($AI$1,0),Marketing!BE$5*Marketing!BE$6,0)+IF(EOMONTH(DATE(YEAR(Marketing!$BA$1),MONTH(Marketing!$BA$1),1)+INT((DAY(Marketing!$BA$1)-1)/2)+'Cash Drivers'!BB$7,0)=EOMONTH($AI$1,0),Marketing!BB$5*Marketing!BB$6,0)+IF(EOMONTH(DATE(YEAR(Marketing!$AX$1),MONTH(Marketing!$AX$1),1)+INT((DAY(Marketing!$AX$1)-1)/2)+'Cash Drivers'!AY$7,0)=EOMONTH($AI$1,0),Marketing!AY$5*Marketing!AY$6,0)+IF(EOMONTH(DATE(YEAR(Marketing!$AU$1),MONTH(Marketing!$AU$1),1)+INT((DAY(Marketing!$AU$1)-1)/2)+'Cash Drivers'!AV$7,0)=EOMONTH($AI$1,0),Marketing!AV$5*Marketing!AV$6,0)+IF(EOMONTH(DATE(YEAR(Marketing!$AR$1),MONTH(Marketing!$AR$1),1)+INT((DAY(Marketing!$AR$1)-1)/2)+'Cash Drivers'!AS$7,0)=EOMONTH($AI$1,0),Marketing!AS$5*Marketing!AS$6,0)+IF(EOMONTH(DATE(YEAR(Marketing!$AO$1),MONTH(Marketing!$AO$1),1)+INT((DAY(Marketing!$AO$1)-1)/2)+'Cash Drivers'!AP$7,0)=EOMONTH($AI$1,0),Marketing!AP$5*Marketing!AP$6,0)+IF(EOMONTH(DATE(YEAR(Marketing!$AL$1),MONTH(Marketing!$AL$1),1)+INT((DAY(Marketing!$AL$1)-1)/2)+'Cash Drivers'!AM$7,0)=EOMONTH($AI$1,0),Marketing!AM$5*Marketing!AM$6,0)+IF(EOMONTH(DATE(YEAR(Marketing!$AI$1),MONTH(Marketing!$AI$1),1)+INT((DAY(Marketing!$AI$1)-1)/2)+'Cash Drivers'!AJ$7,0)=EOMONTH($AI$1,0),Marketing!AJ$5*Marketing!AJ$6,0)+IF(EOMONTH(DATE(YEAR(Marketing!$AF$1),MONTH(Marketing!$AF$1),1)+INT((DAY(Marketing!$AF$1)-1)/2)+'Cash Drivers'!AG$7,0)=EOMONTH($AI$1,0),Marketing!AG$5*Marketing!AG$6,0)+IF(EOMONTH(DATE(YEAR(Marketing!$AC$1),MONTH(Marketing!$AC$1),1)+INT((DAY(Marketing!$AC$1)-1)/2)+'Cash Drivers'!AD$7,0)=EOMONTH($AI$1,0),Marketing!AD$5*Marketing!AD$6,0)+IF(EOMONTH(DATE(YEAR(Marketing!$Z$1),MONTH(Marketing!$Z$1),1)+INT((DAY(Marketing!$Z$1)-1)/2)+'Cash Drivers'!AA$7,0)=EOMONTH($AI$1,0),Marketing!AA$5*Marketing!AA$6,0)+IF(EOMONTH(DATE(YEAR(Marketing!$W$1),MONTH(Marketing!$W$1),1)+INT((DAY(Marketing!$W$1)-1)/2)+'Cash Drivers'!X$7,0)=EOMONTH($AI$1,0),Marketing!X$5*Marketing!X$6,0)+IF(EOMONTH(DATE(YEAR(Marketing!$T$1),MONTH(Marketing!$T$1),1)+INT((DAY(Marketing!$T$1)-1)/2)+'Cash Drivers'!U$7,0)=EOMONTH($AI$1,0),Marketing!U$5*Marketing!U$6,0)+IF(EOMONTH(DATE(YEAR(Marketing!$Q$1),MONTH(Marketing!$Q$1),1)+INT((DAY(Marketing!$Q$1)-1)/2)+'Cash Drivers'!R$7,0)=EOMONTH($AI$1,0),Marketing!R$5*Marketing!R$6,0)+IF(EOMONTH(DATE(YEAR(Marketing!$N$1),MONTH(Marketing!$N$1),1)+INT((DAY(Marketing!$N$1)-1)/2)+'Cash Drivers'!O$7,0)=EOMONTH($AI$1,0),Marketing!O$5*Marketing!O$6,0)+IF(EOMONTH(DATE(YEAR(Marketing!$K$1),MONTH(Marketing!$K$1),1)+INT((DAY(Marketing!$K$1)-1)/2)+'Cash Drivers'!L$7,0)=EOMONTH($AI$1,0),Marketing!L$5*Marketing!L$6,0)+0,0))</f>
        <v>148</v>
      </c>
      <c r="AK7" s="87" t="n">
        <f aca="false">ROUND(IF(EOMONTH(DATE(YEAR(Marketing!$DL$1),MONTH(Marketing!$DL$1),1)+INT((DAY(Marketing!$DL$1)-1)/2)+'Cash Drivers'!DN$7,0)=EOMONTH($AI$1,0),Marketing!DN$5*Marketing!DN$6,0)+IF(EOMONTH(DATE(YEAR(Marketing!$DI$1),MONTH(Marketing!$DI$1),1)+INT((DAY(Marketing!$DI$1)-1)/2)+'Cash Drivers'!DK$7,0)=EOMONTH($AI$1,0),Marketing!DK$5*Marketing!DK$6,0)+IF(EOMONTH(DATE(YEAR(Marketing!$DF$1),MONTH(Marketing!$DF$1),1)+INT((DAY(Marketing!$DF$1)-1)/2)+'Cash Drivers'!DH$7,0)=EOMONTH($AI$1,0),Marketing!DH$5*Marketing!DH$6,0)+IF(EOMONTH(DATE(YEAR(Marketing!$DC$1),MONTH(Marketing!$DC$1),1)+INT((DAY(Marketing!$DC$1)-1)/2)+'Cash Drivers'!DE$7,0)=EOMONTH($AI$1,0),Marketing!DE$5*Marketing!DE$6,0)+IF(EOMONTH(DATE(YEAR(Marketing!$CZ$1),MONTH(Marketing!$CZ$1),1)+INT((DAY(Marketing!$CZ$1)-1)/2)+'Cash Drivers'!DB$7,0)=EOMONTH($AI$1,0),Marketing!DB$5*Marketing!DB$6,0)+IF(EOMONTH(DATE(YEAR(Marketing!$CW$1),MONTH(Marketing!$CW$1),1)+INT((DAY(Marketing!$CW$1)-1)/2)+'Cash Drivers'!CY$7,0)=EOMONTH($AI$1,0),Marketing!CY$5*Marketing!CY$6,0)+IF(EOMONTH(DATE(YEAR(Marketing!$CT$1),MONTH(Marketing!$CT$1),1)+INT((DAY(Marketing!$CT$1)-1)/2)+'Cash Drivers'!CV$7,0)=EOMONTH($AI$1,0),Marketing!CV$5*Marketing!CV$6,0)+IF(EOMONTH(DATE(YEAR(Marketing!$CQ$1),MONTH(Marketing!$CQ$1),1)+INT((DAY(Marketing!$CQ$1)-1)/2)+'Cash Drivers'!CS$7,0)=EOMONTH($AI$1,0),Marketing!CS$5*Marketing!CS$6,0)+IF(EOMONTH(DATE(YEAR(Marketing!$CN$1),MONTH(Marketing!$CN$1),1)+INT((DAY(Marketing!$CN$1)-1)/2)+'Cash Drivers'!CP$7,0)=EOMONTH($AI$1,0),Marketing!CP$5*Marketing!CP$6,0)+IF(EOMONTH(DATE(YEAR(Marketing!$CK$1),MONTH(Marketing!$CK$1),1)+INT((DAY(Marketing!$CK$1)-1)/2)+'Cash Drivers'!CM$7,0)=EOMONTH($AI$1,0),Marketing!CM$5*Marketing!CM$6,0)+IF(EOMONTH(DATE(YEAR(Marketing!$CH$1),MONTH(Marketing!$CH$1),1)+INT((DAY(Marketing!$CH$1)-1)/2)+'Cash Drivers'!CJ$7,0)=EOMONTH($AI$1,0),Marketing!CJ$5*Marketing!CJ$6,0)+IF(EOMONTH(DATE(YEAR(Marketing!$CE$1),MONTH(Marketing!$CE$1),1)+INT((DAY(Marketing!$CE$1)-1)/2)+'Cash Drivers'!CG$7,0)=EOMONTH($AI$1,0),Marketing!CG$5*Marketing!CG$6,0)+IF(EOMONTH(DATE(YEAR(Marketing!$CB$1),MONTH(Marketing!$CB$1),1)+INT((DAY(Marketing!$CB$1)-1)/2)+'Cash Drivers'!CD$7,0)=EOMONTH($AI$1,0),Marketing!CD$5*Marketing!CD$6,0)+IF(EOMONTH(DATE(YEAR(Marketing!$BY$1),MONTH(Marketing!$BY$1),1)+INT((DAY(Marketing!$BY$1)-1)/2)+'Cash Drivers'!CA$7,0)=EOMONTH($AI$1,0),Marketing!CA$5*Marketing!CA$6,0)+IF(EOMONTH(DATE(YEAR(Marketing!$BV$1),MONTH(Marketing!$BV$1),1)+INT((DAY(Marketing!$BV$1)-1)/2)+'Cash Drivers'!BX$7,0)=EOMONTH($AI$1,0),Marketing!BX$5*Marketing!BX$6,0)+IF(EOMONTH(DATE(YEAR(Marketing!$BS$1),MONTH(Marketing!$BS$1),1)+INT((DAY(Marketing!$BS$1)-1)/2)+'Cash Drivers'!BU$7,0)=EOMONTH($AI$1,0),Marketing!BU$5*Marketing!BU$6,0)+IF(EOMONTH(DATE(YEAR(Marketing!$BP$1),MONTH(Marketing!$BP$1),1)+INT((DAY(Marketing!$BP$1)-1)/2)+'Cash Drivers'!BR$7,0)=EOMONTH($AI$1,0),Marketing!BR$5*Marketing!BR$6,0)+IF(EOMONTH(DATE(YEAR(Marketing!$BM$1),MONTH(Marketing!$BM$1),1)+INT((DAY(Marketing!$BM$1)-1)/2)+'Cash Drivers'!BO$7,0)=EOMONTH($AI$1,0),Marketing!BO$5*Marketing!BO$6,0)+IF(EOMONTH(DATE(YEAR(Marketing!$BJ$1),MONTH(Marketing!$BJ$1),1)+INT((DAY(Marketing!$BJ$1)-1)/2)+'Cash Drivers'!BL$7,0)=EOMONTH($AI$1,0),Marketing!BL$5*Marketing!BL$6,0)+IF(EOMONTH(DATE(YEAR(Marketing!$BG$1),MONTH(Marketing!$BG$1),1)+INT((DAY(Marketing!$BG$1)-1)/2)+'Cash Drivers'!BI$7,0)=EOMONTH($AI$1,0),Marketing!BI$5*Marketing!BI$6,0)+IF(EOMONTH(DATE(YEAR(Marketing!$BD$1),MONTH(Marketing!$BD$1),1)+INT((DAY(Marketing!$BD$1)-1)/2)+'Cash Drivers'!BF$7,0)=EOMONTH($AI$1,0),Marketing!BF$5*Marketing!BF$6,0)+IF(EOMONTH(DATE(YEAR(Marketing!$BA$1),MONTH(Marketing!$BA$1),1)+INT((DAY(Marketing!$BA$1)-1)/2)+'Cash Drivers'!BC$7,0)=EOMONTH($AI$1,0),Marketing!BC$5*Marketing!BC$6,0)+IF(EOMONTH(DATE(YEAR(Marketing!$AX$1),MONTH(Marketing!$AX$1),1)+INT((DAY(Marketing!$AX$1)-1)/2)+'Cash Drivers'!AZ$7,0)=EOMONTH($AI$1,0),Marketing!AZ$5*Marketing!AZ$6,0)+IF(EOMONTH(DATE(YEAR(Marketing!$AU$1),MONTH(Marketing!$AU$1),1)+INT((DAY(Marketing!$AU$1)-1)/2)+'Cash Drivers'!AW$7,0)=EOMONTH($AI$1,0),Marketing!AW$5*Marketing!AW$6,0)+IF(EOMONTH(DATE(YEAR(Marketing!$AR$1),MONTH(Marketing!$AR$1),1)+INT((DAY(Marketing!$AR$1)-1)/2)+'Cash Drivers'!AT$7,0)=EOMONTH($AI$1,0),Marketing!AT$5*Marketing!AT$6,0)+IF(EOMONTH(DATE(YEAR(Marketing!$AO$1),MONTH(Marketing!$AO$1),1)+INT((DAY(Marketing!$AO$1)-1)/2)+'Cash Drivers'!AQ$7,0)=EOMONTH($AI$1,0),Marketing!AQ$5*Marketing!AQ$6,0)+IF(EOMONTH(DATE(YEAR(Marketing!$AL$1),MONTH(Marketing!$AL$1),1)+INT((DAY(Marketing!$AL$1)-1)/2)+'Cash Drivers'!AN$7,0)=EOMONTH($AI$1,0),Marketing!AN$5*Marketing!AN$6,0)+IF(EOMONTH(DATE(YEAR(Marketing!$AI$1),MONTH(Marketing!$AI$1),1)+INT((DAY(Marketing!$AI$1)-1)/2)+'Cash Drivers'!AK$7,0)=EOMONTH($AI$1,0),Marketing!AK$5*Marketing!AK$6,0)+IF(EOMONTH(DATE(YEAR(Marketing!$AF$1),MONTH(Marketing!$AF$1),1)+INT((DAY(Marketing!$AF$1)-1)/2)+'Cash Drivers'!AH$7,0)=EOMONTH($AI$1,0),Marketing!AH$5*Marketing!AH$6,0)+IF(EOMONTH(DATE(YEAR(Marketing!$AC$1),MONTH(Marketing!$AC$1),1)+INT((DAY(Marketing!$AC$1)-1)/2)+'Cash Drivers'!AE$7,0)=EOMONTH($AI$1,0),Marketing!AE$5*Marketing!AE$6,0)+IF(EOMONTH(DATE(YEAR(Marketing!$Z$1),MONTH(Marketing!$Z$1),1)+INT((DAY(Marketing!$Z$1)-1)/2)+'Cash Drivers'!AB$7,0)=EOMONTH($AI$1,0),Marketing!AB$5*Marketing!AB$6,0)+IF(EOMONTH(DATE(YEAR(Marketing!$W$1),MONTH(Marketing!$W$1),1)+INT((DAY(Marketing!$W$1)-1)/2)+'Cash Drivers'!Y$7,0)=EOMONTH($AI$1,0),Marketing!Y$5*Marketing!Y$6,0)+IF(EOMONTH(DATE(YEAR(Marketing!$T$1),MONTH(Marketing!$T$1),1)+INT((DAY(Marketing!$T$1)-1)/2)+'Cash Drivers'!V$7,0)=EOMONTH($AI$1,0),Marketing!V$5*Marketing!V$6,0)+IF(EOMONTH(DATE(YEAR(Marketing!$Q$1),MONTH(Marketing!$Q$1),1)+INT((DAY(Marketing!$Q$1)-1)/2)+'Cash Drivers'!S$7,0)=EOMONTH($AI$1,0),Marketing!S$5*Marketing!S$6,0)+IF(EOMONTH(DATE(YEAR(Marketing!$N$1),MONTH(Marketing!$N$1),1)+INT((DAY(Marketing!$N$1)-1)/2)+'Cash Drivers'!P$7,0)=EOMONTH($AI$1,0),Marketing!P$5*Marketing!P$6,0)+IF(EOMONTH(DATE(YEAR(Marketing!$K$1),MONTH(Marketing!$K$1),1)+INT((DAY(Marketing!$K$1)-1)/2)+'Cash Drivers'!M$7,0)=EOMONTH($AI$1,0),Marketing!M$5*Marketing!M$6,0)+0,0)</f>
        <v>148</v>
      </c>
      <c r="AL7" s="86"/>
      <c r="AM7" s="86" t="n">
        <f aca="false">IF('Cash Drivers'!AM$26,AL7,ROUND(IF(EOMONTH(DATE(YEAR(Marketing!$DL$1),MONTH(Marketing!$DL$1),1)+INT((DAY(Marketing!$DL$1)-1)/2)+'Cash Drivers'!DM$7,0)=EOMONTH($AL$1,0),Marketing!DM$5*Marketing!DM$6,0)+IF(EOMONTH(DATE(YEAR(Marketing!$DI$1),MONTH(Marketing!$DI$1),1)+INT((DAY(Marketing!$DI$1)-1)/2)+'Cash Drivers'!DJ$7,0)=EOMONTH($AL$1,0),Marketing!DJ$5*Marketing!DJ$6,0)+IF(EOMONTH(DATE(YEAR(Marketing!$DF$1),MONTH(Marketing!$DF$1),1)+INT((DAY(Marketing!$DF$1)-1)/2)+'Cash Drivers'!DG$7,0)=EOMONTH($AL$1,0),Marketing!DG$5*Marketing!DG$6,0)+IF(EOMONTH(DATE(YEAR(Marketing!$DC$1),MONTH(Marketing!$DC$1),1)+INT((DAY(Marketing!$DC$1)-1)/2)+'Cash Drivers'!DD$7,0)=EOMONTH($AL$1,0),Marketing!DD$5*Marketing!DD$6,0)+IF(EOMONTH(DATE(YEAR(Marketing!$CZ$1),MONTH(Marketing!$CZ$1),1)+INT((DAY(Marketing!$CZ$1)-1)/2)+'Cash Drivers'!DA$7,0)=EOMONTH($AL$1,0),Marketing!DA$5*Marketing!DA$6,0)+IF(EOMONTH(DATE(YEAR(Marketing!$CW$1),MONTH(Marketing!$CW$1),1)+INT((DAY(Marketing!$CW$1)-1)/2)+'Cash Drivers'!CX$7,0)=EOMONTH($AL$1,0),Marketing!CX$5*Marketing!CX$6,0)+IF(EOMONTH(DATE(YEAR(Marketing!$CT$1),MONTH(Marketing!$CT$1),1)+INT((DAY(Marketing!$CT$1)-1)/2)+'Cash Drivers'!CU$7,0)=EOMONTH($AL$1,0),Marketing!CU$5*Marketing!CU$6,0)+IF(EOMONTH(DATE(YEAR(Marketing!$CQ$1),MONTH(Marketing!$CQ$1),1)+INT((DAY(Marketing!$CQ$1)-1)/2)+'Cash Drivers'!CR$7,0)=EOMONTH($AL$1,0),Marketing!CR$5*Marketing!CR$6,0)+IF(EOMONTH(DATE(YEAR(Marketing!$CN$1),MONTH(Marketing!$CN$1),1)+INT((DAY(Marketing!$CN$1)-1)/2)+'Cash Drivers'!CO$7,0)=EOMONTH($AL$1,0),Marketing!CO$5*Marketing!CO$6,0)+IF(EOMONTH(DATE(YEAR(Marketing!$CK$1),MONTH(Marketing!$CK$1),1)+INT((DAY(Marketing!$CK$1)-1)/2)+'Cash Drivers'!CL$7,0)=EOMONTH($AL$1,0),Marketing!CL$5*Marketing!CL$6,0)+IF(EOMONTH(DATE(YEAR(Marketing!$CH$1),MONTH(Marketing!$CH$1),1)+INT((DAY(Marketing!$CH$1)-1)/2)+'Cash Drivers'!CI$7,0)=EOMONTH($AL$1,0),Marketing!CI$5*Marketing!CI$6,0)+IF(EOMONTH(DATE(YEAR(Marketing!$CE$1),MONTH(Marketing!$CE$1),1)+INT((DAY(Marketing!$CE$1)-1)/2)+'Cash Drivers'!CF$7,0)=EOMONTH($AL$1,0),Marketing!CF$5*Marketing!CF$6,0)+IF(EOMONTH(DATE(YEAR(Marketing!$CB$1),MONTH(Marketing!$CB$1),1)+INT((DAY(Marketing!$CB$1)-1)/2)+'Cash Drivers'!CC$7,0)=EOMONTH($AL$1,0),Marketing!CC$5*Marketing!CC$6,0)+IF(EOMONTH(DATE(YEAR(Marketing!$BY$1),MONTH(Marketing!$BY$1),1)+INT((DAY(Marketing!$BY$1)-1)/2)+'Cash Drivers'!BZ$7,0)=EOMONTH($AL$1,0),Marketing!BZ$5*Marketing!BZ$6,0)+IF(EOMONTH(DATE(YEAR(Marketing!$BV$1),MONTH(Marketing!$BV$1),1)+INT((DAY(Marketing!$BV$1)-1)/2)+'Cash Drivers'!BW$7,0)=EOMONTH($AL$1,0),Marketing!BW$5*Marketing!BW$6,0)+IF(EOMONTH(DATE(YEAR(Marketing!$BS$1),MONTH(Marketing!$BS$1),1)+INT((DAY(Marketing!$BS$1)-1)/2)+'Cash Drivers'!BT$7,0)=EOMONTH($AL$1,0),Marketing!BT$5*Marketing!BT$6,0)+IF(EOMONTH(DATE(YEAR(Marketing!$BP$1),MONTH(Marketing!$BP$1),1)+INT((DAY(Marketing!$BP$1)-1)/2)+'Cash Drivers'!BQ$7,0)=EOMONTH($AL$1,0),Marketing!BQ$5*Marketing!BQ$6,0)+IF(EOMONTH(DATE(YEAR(Marketing!$BM$1),MONTH(Marketing!$BM$1),1)+INT((DAY(Marketing!$BM$1)-1)/2)+'Cash Drivers'!BN$7,0)=EOMONTH($AL$1,0),Marketing!BN$5*Marketing!BN$6,0)+IF(EOMONTH(DATE(YEAR(Marketing!$BJ$1),MONTH(Marketing!$BJ$1),1)+INT((DAY(Marketing!$BJ$1)-1)/2)+'Cash Drivers'!BK$7,0)=EOMONTH($AL$1,0),Marketing!BK$5*Marketing!BK$6,0)+IF(EOMONTH(DATE(YEAR(Marketing!$BG$1),MONTH(Marketing!$BG$1),1)+INT((DAY(Marketing!$BG$1)-1)/2)+'Cash Drivers'!BH$7,0)=EOMONTH($AL$1,0),Marketing!BH$5*Marketing!BH$6,0)+IF(EOMONTH(DATE(YEAR(Marketing!$BD$1),MONTH(Marketing!$BD$1),1)+INT((DAY(Marketing!$BD$1)-1)/2)+'Cash Drivers'!BE$7,0)=EOMONTH($AL$1,0),Marketing!BE$5*Marketing!BE$6,0)+IF(EOMONTH(DATE(YEAR(Marketing!$BA$1),MONTH(Marketing!$BA$1),1)+INT((DAY(Marketing!$BA$1)-1)/2)+'Cash Drivers'!BB$7,0)=EOMONTH($AL$1,0),Marketing!BB$5*Marketing!BB$6,0)+IF(EOMONTH(DATE(YEAR(Marketing!$AX$1),MONTH(Marketing!$AX$1),1)+INT((DAY(Marketing!$AX$1)-1)/2)+'Cash Drivers'!AY$7,0)=EOMONTH($AL$1,0),Marketing!AY$5*Marketing!AY$6,0)+IF(EOMONTH(DATE(YEAR(Marketing!$AU$1),MONTH(Marketing!$AU$1),1)+INT((DAY(Marketing!$AU$1)-1)/2)+'Cash Drivers'!AV$7,0)=EOMONTH($AL$1,0),Marketing!AV$5*Marketing!AV$6,0)+IF(EOMONTH(DATE(YEAR(Marketing!$AR$1),MONTH(Marketing!$AR$1),1)+INT((DAY(Marketing!$AR$1)-1)/2)+'Cash Drivers'!AS$7,0)=EOMONTH($AL$1,0),Marketing!AS$5*Marketing!AS$6,0)+IF(EOMONTH(DATE(YEAR(Marketing!$AO$1),MONTH(Marketing!$AO$1),1)+INT((DAY(Marketing!$AO$1)-1)/2)+'Cash Drivers'!AP$7,0)=EOMONTH($AL$1,0),Marketing!AP$5*Marketing!AP$6,0)+IF(EOMONTH(DATE(YEAR(Marketing!$AL$1),MONTH(Marketing!$AL$1),1)+INT((DAY(Marketing!$AL$1)-1)/2)+'Cash Drivers'!AM$7,0)=EOMONTH($AL$1,0),Marketing!AM$5*Marketing!AM$6,0)+IF(EOMONTH(DATE(YEAR(Marketing!$AI$1),MONTH(Marketing!$AI$1),1)+INT((DAY(Marketing!$AI$1)-1)/2)+'Cash Drivers'!AJ$7,0)=EOMONTH($AL$1,0),Marketing!AJ$5*Marketing!AJ$6,0)+IF(EOMONTH(DATE(YEAR(Marketing!$AF$1),MONTH(Marketing!$AF$1),1)+INT((DAY(Marketing!$AF$1)-1)/2)+'Cash Drivers'!AG$7,0)=EOMONTH($AL$1,0),Marketing!AG$5*Marketing!AG$6,0)+IF(EOMONTH(DATE(YEAR(Marketing!$AC$1),MONTH(Marketing!$AC$1),1)+INT((DAY(Marketing!$AC$1)-1)/2)+'Cash Drivers'!AD$7,0)=EOMONTH($AL$1,0),Marketing!AD$5*Marketing!AD$6,0)+IF(EOMONTH(DATE(YEAR(Marketing!$Z$1),MONTH(Marketing!$Z$1),1)+INT((DAY(Marketing!$Z$1)-1)/2)+'Cash Drivers'!AA$7,0)=EOMONTH($AL$1,0),Marketing!AA$5*Marketing!AA$6,0)+IF(EOMONTH(DATE(YEAR(Marketing!$W$1),MONTH(Marketing!$W$1),1)+INT((DAY(Marketing!$W$1)-1)/2)+'Cash Drivers'!X$7,0)=EOMONTH($AL$1,0),Marketing!X$5*Marketing!X$6,0)+IF(EOMONTH(DATE(YEAR(Marketing!$T$1),MONTH(Marketing!$T$1),1)+INT((DAY(Marketing!$T$1)-1)/2)+'Cash Drivers'!U$7,0)=EOMONTH($AL$1,0),Marketing!U$5*Marketing!U$6,0)+IF(EOMONTH(DATE(YEAR(Marketing!$Q$1),MONTH(Marketing!$Q$1),1)+INT((DAY(Marketing!$Q$1)-1)/2)+'Cash Drivers'!R$7,0)=EOMONTH($AL$1,0),Marketing!R$5*Marketing!R$6,0)+IF(EOMONTH(DATE(YEAR(Marketing!$N$1),MONTH(Marketing!$N$1),1)+INT((DAY(Marketing!$N$1)-1)/2)+'Cash Drivers'!O$7,0)=EOMONTH($AL$1,0),Marketing!O$5*Marketing!O$6,0)+IF(EOMONTH(DATE(YEAR(Marketing!$K$1),MONTH(Marketing!$K$1),1)+INT((DAY(Marketing!$K$1)-1)/2)+'Cash Drivers'!L$7,0)=EOMONTH($AL$1,0),Marketing!L$5*Marketing!L$6,0)+0,0))</f>
        <v>148</v>
      </c>
      <c r="AN7" s="86" t="n">
        <f aca="false">ROUND(IF(EOMONTH(DATE(YEAR(Marketing!$DL$1),MONTH(Marketing!$DL$1),1)+INT((DAY(Marketing!$DL$1)-1)/2)+'Cash Drivers'!DN$7,0)=EOMONTH($AL$1,0),Marketing!DN$5*Marketing!DN$6,0)+IF(EOMONTH(DATE(YEAR(Marketing!$DI$1),MONTH(Marketing!$DI$1),1)+INT((DAY(Marketing!$DI$1)-1)/2)+'Cash Drivers'!DK$7,0)=EOMONTH($AL$1,0),Marketing!DK$5*Marketing!DK$6,0)+IF(EOMONTH(DATE(YEAR(Marketing!$DF$1),MONTH(Marketing!$DF$1),1)+INT((DAY(Marketing!$DF$1)-1)/2)+'Cash Drivers'!DH$7,0)=EOMONTH($AL$1,0),Marketing!DH$5*Marketing!DH$6,0)+IF(EOMONTH(DATE(YEAR(Marketing!$DC$1),MONTH(Marketing!$DC$1),1)+INT((DAY(Marketing!$DC$1)-1)/2)+'Cash Drivers'!DE$7,0)=EOMONTH($AL$1,0),Marketing!DE$5*Marketing!DE$6,0)+IF(EOMONTH(DATE(YEAR(Marketing!$CZ$1),MONTH(Marketing!$CZ$1),1)+INT((DAY(Marketing!$CZ$1)-1)/2)+'Cash Drivers'!DB$7,0)=EOMONTH($AL$1,0),Marketing!DB$5*Marketing!DB$6,0)+IF(EOMONTH(DATE(YEAR(Marketing!$CW$1),MONTH(Marketing!$CW$1),1)+INT((DAY(Marketing!$CW$1)-1)/2)+'Cash Drivers'!CY$7,0)=EOMONTH($AL$1,0),Marketing!CY$5*Marketing!CY$6,0)+IF(EOMONTH(DATE(YEAR(Marketing!$CT$1),MONTH(Marketing!$CT$1),1)+INT((DAY(Marketing!$CT$1)-1)/2)+'Cash Drivers'!CV$7,0)=EOMONTH($AL$1,0),Marketing!CV$5*Marketing!CV$6,0)+IF(EOMONTH(DATE(YEAR(Marketing!$CQ$1),MONTH(Marketing!$CQ$1),1)+INT((DAY(Marketing!$CQ$1)-1)/2)+'Cash Drivers'!CS$7,0)=EOMONTH($AL$1,0),Marketing!CS$5*Marketing!CS$6,0)+IF(EOMONTH(DATE(YEAR(Marketing!$CN$1),MONTH(Marketing!$CN$1),1)+INT((DAY(Marketing!$CN$1)-1)/2)+'Cash Drivers'!CP$7,0)=EOMONTH($AL$1,0),Marketing!CP$5*Marketing!CP$6,0)+IF(EOMONTH(DATE(YEAR(Marketing!$CK$1),MONTH(Marketing!$CK$1),1)+INT((DAY(Marketing!$CK$1)-1)/2)+'Cash Drivers'!CM$7,0)=EOMONTH($AL$1,0),Marketing!CM$5*Marketing!CM$6,0)+IF(EOMONTH(DATE(YEAR(Marketing!$CH$1),MONTH(Marketing!$CH$1),1)+INT((DAY(Marketing!$CH$1)-1)/2)+'Cash Drivers'!CJ$7,0)=EOMONTH($AL$1,0),Marketing!CJ$5*Marketing!CJ$6,0)+IF(EOMONTH(DATE(YEAR(Marketing!$CE$1),MONTH(Marketing!$CE$1),1)+INT((DAY(Marketing!$CE$1)-1)/2)+'Cash Drivers'!CG$7,0)=EOMONTH($AL$1,0),Marketing!CG$5*Marketing!CG$6,0)+IF(EOMONTH(DATE(YEAR(Marketing!$CB$1),MONTH(Marketing!$CB$1),1)+INT((DAY(Marketing!$CB$1)-1)/2)+'Cash Drivers'!CD$7,0)=EOMONTH($AL$1,0),Marketing!CD$5*Marketing!CD$6,0)+IF(EOMONTH(DATE(YEAR(Marketing!$BY$1),MONTH(Marketing!$BY$1),1)+INT((DAY(Marketing!$BY$1)-1)/2)+'Cash Drivers'!CA$7,0)=EOMONTH($AL$1,0),Marketing!CA$5*Marketing!CA$6,0)+IF(EOMONTH(DATE(YEAR(Marketing!$BV$1),MONTH(Marketing!$BV$1),1)+INT((DAY(Marketing!$BV$1)-1)/2)+'Cash Drivers'!BX$7,0)=EOMONTH($AL$1,0),Marketing!BX$5*Marketing!BX$6,0)+IF(EOMONTH(DATE(YEAR(Marketing!$BS$1),MONTH(Marketing!$BS$1),1)+INT((DAY(Marketing!$BS$1)-1)/2)+'Cash Drivers'!BU$7,0)=EOMONTH($AL$1,0),Marketing!BU$5*Marketing!BU$6,0)+IF(EOMONTH(DATE(YEAR(Marketing!$BP$1),MONTH(Marketing!$BP$1),1)+INT((DAY(Marketing!$BP$1)-1)/2)+'Cash Drivers'!BR$7,0)=EOMONTH($AL$1,0),Marketing!BR$5*Marketing!BR$6,0)+IF(EOMONTH(DATE(YEAR(Marketing!$BM$1),MONTH(Marketing!$BM$1),1)+INT((DAY(Marketing!$BM$1)-1)/2)+'Cash Drivers'!BO$7,0)=EOMONTH($AL$1,0),Marketing!BO$5*Marketing!BO$6,0)+IF(EOMONTH(DATE(YEAR(Marketing!$BJ$1),MONTH(Marketing!$BJ$1),1)+INT((DAY(Marketing!$BJ$1)-1)/2)+'Cash Drivers'!BL$7,0)=EOMONTH($AL$1,0),Marketing!BL$5*Marketing!BL$6,0)+IF(EOMONTH(DATE(YEAR(Marketing!$BG$1),MONTH(Marketing!$BG$1),1)+INT((DAY(Marketing!$BG$1)-1)/2)+'Cash Drivers'!BI$7,0)=EOMONTH($AL$1,0),Marketing!BI$5*Marketing!BI$6,0)+IF(EOMONTH(DATE(YEAR(Marketing!$BD$1),MONTH(Marketing!$BD$1),1)+INT((DAY(Marketing!$BD$1)-1)/2)+'Cash Drivers'!BF$7,0)=EOMONTH($AL$1,0),Marketing!BF$5*Marketing!BF$6,0)+IF(EOMONTH(DATE(YEAR(Marketing!$BA$1),MONTH(Marketing!$BA$1),1)+INT((DAY(Marketing!$BA$1)-1)/2)+'Cash Drivers'!BC$7,0)=EOMONTH($AL$1,0),Marketing!BC$5*Marketing!BC$6,0)+IF(EOMONTH(DATE(YEAR(Marketing!$AX$1),MONTH(Marketing!$AX$1),1)+INT((DAY(Marketing!$AX$1)-1)/2)+'Cash Drivers'!AZ$7,0)=EOMONTH($AL$1,0),Marketing!AZ$5*Marketing!AZ$6,0)+IF(EOMONTH(DATE(YEAR(Marketing!$AU$1),MONTH(Marketing!$AU$1),1)+INT((DAY(Marketing!$AU$1)-1)/2)+'Cash Drivers'!AW$7,0)=EOMONTH($AL$1,0),Marketing!AW$5*Marketing!AW$6,0)+IF(EOMONTH(DATE(YEAR(Marketing!$AR$1),MONTH(Marketing!$AR$1),1)+INT((DAY(Marketing!$AR$1)-1)/2)+'Cash Drivers'!AT$7,0)=EOMONTH($AL$1,0),Marketing!AT$5*Marketing!AT$6,0)+IF(EOMONTH(DATE(YEAR(Marketing!$AO$1),MONTH(Marketing!$AO$1),1)+INT((DAY(Marketing!$AO$1)-1)/2)+'Cash Drivers'!AQ$7,0)=EOMONTH($AL$1,0),Marketing!AQ$5*Marketing!AQ$6,0)+IF(EOMONTH(DATE(YEAR(Marketing!$AL$1),MONTH(Marketing!$AL$1),1)+INT((DAY(Marketing!$AL$1)-1)/2)+'Cash Drivers'!AN$7,0)=EOMONTH($AL$1,0),Marketing!AN$5*Marketing!AN$6,0)+IF(EOMONTH(DATE(YEAR(Marketing!$AI$1),MONTH(Marketing!$AI$1),1)+INT((DAY(Marketing!$AI$1)-1)/2)+'Cash Drivers'!AK$7,0)=EOMONTH($AL$1,0),Marketing!AK$5*Marketing!AK$6,0)+IF(EOMONTH(DATE(YEAR(Marketing!$AF$1),MONTH(Marketing!$AF$1),1)+INT((DAY(Marketing!$AF$1)-1)/2)+'Cash Drivers'!AH$7,0)=EOMONTH($AL$1,0),Marketing!AH$5*Marketing!AH$6,0)+IF(EOMONTH(DATE(YEAR(Marketing!$AC$1),MONTH(Marketing!$AC$1),1)+INT((DAY(Marketing!$AC$1)-1)/2)+'Cash Drivers'!AE$7,0)=EOMONTH($AL$1,0),Marketing!AE$5*Marketing!AE$6,0)+IF(EOMONTH(DATE(YEAR(Marketing!$Z$1),MONTH(Marketing!$Z$1),1)+INT((DAY(Marketing!$Z$1)-1)/2)+'Cash Drivers'!AB$7,0)=EOMONTH($AL$1,0),Marketing!AB$5*Marketing!AB$6,0)+IF(EOMONTH(DATE(YEAR(Marketing!$W$1),MONTH(Marketing!$W$1),1)+INT((DAY(Marketing!$W$1)-1)/2)+'Cash Drivers'!Y$7,0)=EOMONTH($AL$1,0),Marketing!Y$5*Marketing!Y$6,0)+IF(EOMONTH(DATE(YEAR(Marketing!$T$1),MONTH(Marketing!$T$1),1)+INT((DAY(Marketing!$T$1)-1)/2)+'Cash Drivers'!V$7,0)=EOMONTH($AL$1,0),Marketing!V$5*Marketing!V$6,0)+IF(EOMONTH(DATE(YEAR(Marketing!$Q$1),MONTH(Marketing!$Q$1),1)+INT((DAY(Marketing!$Q$1)-1)/2)+'Cash Drivers'!S$7,0)=EOMONTH($AL$1,0),Marketing!S$5*Marketing!S$6,0)+IF(EOMONTH(DATE(YEAR(Marketing!$N$1),MONTH(Marketing!$N$1),1)+INT((DAY(Marketing!$N$1)-1)/2)+'Cash Drivers'!P$7,0)=EOMONTH($AL$1,0),Marketing!P$5*Marketing!P$6,0)+IF(EOMONTH(DATE(YEAR(Marketing!$K$1),MONTH(Marketing!$K$1),1)+INT((DAY(Marketing!$K$1)-1)/2)+'Cash Drivers'!M$7,0)=EOMONTH($AL$1,0),Marketing!M$5*Marketing!M$6,0)+0,0)</f>
        <v>148</v>
      </c>
      <c r="AO7" s="87"/>
      <c r="AP7" s="87" t="n">
        <f aca="false">IF('Cash Drivers'!AP$26,AO7,ROUND(IF(EOMONTH(DATE(YEAR(Marketing!$DL$1),MONTH(Marketing!$DL$1),1)+INT((DAY(Marketing!$DL$1)-1)/2)+'Cash Drivers'!DM$7,0)=EOMONTH($AO$1,0),Marketing!DM$5*Marketing!DM$6,0)+IF(EOMONTH(DATE(YEAR(Marketing!$DI$1),MONTH(Marketing!$DI$1),1)+INT((DAY(Marketing!$DI$1)-1)/2)+'Cash Drivers'!DJ$7,0)=EOMONTH($AO$1,0),Marketing!DJ$5*Marketing!DJ$6,0)+IF(EOMONTH(DATE(YEAR(Marketing!$DF$1),MONTH(Marketing!$DF$1),1)+INT((DAY(Marketing!$DF$1)-1)/2)+'Cash Drivers'!DG$7,0)=EOMONTH($AO$1,0),Marketing!DG$5*Marketing!DG$6,0)+IF(EOMONTH(DATE(YEAR(Marketing!$DC$1),MONTH(Marketing!$DC$1),1)+INT((DAY(Marketing!$DC$1)-1)/2)+'Cash Drivers'!DD$7,0)=EOMONTH($AO$1,0),Marketing!DD$5*Marketing!DD$6,0)+IF(EOMONTH(DATE(YEAR(Marketing!$CZ$1),MONTH(Marketing!$CZ$1),1)+INT((DAY(Marketing!$CZ$1)-1)/2)+'Cash Drivers'!DA$7,0)=EOMONTH($AO$1,0),Marketing!DA$5*Marketing!DA$6,0)+IF(EOMONTH(DATE(YEAR(Marketing!$CW$1),MONTH(Marketing!$CW$1),1)+INT((DAY(Marketing!$CW$1)-1)/2)+'Cash Drivers'!CX$7,0)=EOMONTH($AO$1,0),Marketing!CX$5*Marketing!CX$6,0)+IF(EOMONTH(DATE(YEAR(Marketing!$CT$1),MONTH(Marketing!$CT$1),1)+INT((DAY(Marketing!$CT$1)-1)/2)+'Cash Drivers'!CU$7,0)=EOMONTH($AO$1,0),Marketing!CU$5*Marketing!CU$6,0)+IF(EOMONTH(DATE(YEAR(Marketing!$CQ$1),MONTH(Marketing!$CQ$1),1)+INT((DAY(Marketing!$CQ$1)-1)/2)+'Cash Drivers'!CR$7,0)=EOMONTH($AO$1,0),Marketing!CR$5*Marketing!CR$6,0)+IF(EOMONTH(DATE(YEAR(Marketing!$CN$1),MONTH(Marketing!$CN$1),1)+INT((DAY(Marketing!$CN$1)-1)/2)+'Cash Drivers'!CO$7,0)=EOMONTH($AO$1,0),Marketing!CO$5*Marketing!CO$6,0)+IF(EOMONTH(DATE(YEAR(Marketing!$CK$1),MONTH(Marketing!$CK$1),1)+INT((DAY(Marketing!$CK$1)-1)/2)+'Cash Drivers'!CL$7,0)=EOMONTH($AO$1,0),Marketing!CL$5*Marketing!CL$6,0)+IF(EOMONTH(DATE(YEAR(Marketing!$CH$1),MONTH(Marketing!$CH$1),1)+INT((DAY(Marketing!$CH$1)-1)/2)+'Cash Drivers'!CI$7,0)=EOMONTH($AO$1,0),Marketing!CI$5*Marketing!CI$6,0)+IF(EOMONTH(DATE(YEAR(Marketing!$CE$1),MONTH(Marketing!$CE$1),1)+INT((DAY(Marketing!$CE$1)-1)/2)+'Cash Drivers'!CF$7,0)=EOMONTH($AO$1,0),Marketing!CF$5*Marketing!CF$6,0)+IF(EOMONTH(DATE(YEAR(Marketing!$CB$1),MONTH(Marketing!$CB$1),1)+INT((DAY(Marketing!$CB$1)-1)/2)+'Cash Drivers'!CC$7,0)=EOMONTH($AO$1,0),Marketing!CC$5*Marketing!CC$6,0)+IF(EOMONTH(DATE(YEAR(Marketing!$BY$1),MONTH(Marketing!$BY$1),1)+INT((DAY(Marketing!$BY$1)-1)/2)+'Cash Drivers'!BZ$7,0)=EOMONTH($AO$1,0),Marketing!BZ$5*Marketing!BZ$6,0)+IF(EOMONTH(DATE(YEAR(Marketing!$BV$1),MONTH(Marketing!$BV$1),1)+INT((DAY(Marketing!$BV$1)-1)/2)+'Cash Drivers'!BW$7,0)=EOMONTH($AO$1,0),Marketing!BW$5*Marketing!BW$6,0)+IF(EOMONTH(DATE(YEAR(Marketing!$BS$1),MONTH(Marketing!$BS$1),1)+INT((DAY(Marketing!$BS$1)-1)/2)+'Cash Drivers'!BT$7,0)=EOMONTH($AO$1,0),Marketing!BT$5*Marketing!BT$6,0)+IF(EOMONTH(DATE(YEAR(Marketing!$BP$1),MONTH(Marketing!$BP$1),1)+INT((DAY(Marketing!$BP$1)-1)/2)+'Cash Drivers'!BQ$7,0)=EOMONTH($AO$1,0),Marketing!BQ$5*Marketing!BQ$6,0)+IF(EOMONTH(DATE(YEAR(Marketing!$BM$1),MONTH(Marketing!$BM$1),1)+INT((DAY(Marketing!$BM$1)-1)/2)+'Cash Drivers'!BN$7,0)=EOMONTH($AO$1,0),Marketing!BN$5*Marketing!BN$6,0)+IF(EOMONTH(DATE(YEAR(Marketing!$BJ$1),MONTH(Marketing!$BJ$1),1)+INT((DAY(Marketing!$BJ$1)-1)/2)+'Cash Drivers'!BK$7,0)=EOMONTH($AO$1,0),Marketing!BK$5*Marketing!BK$6,0)+IF(EOMONTH(DATE(YEAR(Marketing!$BG$1),MONTH(Marketing!$BG$1),1)+INT((DAY(Marketing!$BG$1)-1)/2)+'Cash Drivers'!BH$7,0)=EOMONTH($AO$1,0),Marketing!BH$5*Marketing!BH$6,0)+IF(EOMONTH(DATE(YEAR(Marketing!$BD$1),MONTH(Marketing!$BD$1),1)+INT((DAY(Marketing!$BD$1)-1)/2)+'Cash Drivers'!BE$7,0)=EOMONTH($AO$1,0),Marketing!BE$5*Marketing!BE$6,0)+IF(EOMONTH(DATE(YEAR(Marketing!$BA$1),MONTH(Marketing!$BA$1),1)+INT((DAY(Marketing!$BA$1)-1)/2)+'Cash Drivers'!BB$7,0)=EOMONTH($AO$1,0),Marketing!BB$5*Marketing!BB$6,0)+IF(EOMONTH(DATE(YEAR(Marketing!$AX$1),MONTH(Marketing!$AX$1),1)+INT((DAY(Marketing!$AX$1)-1)/2)+'Cash Drivers'!AY$7,0)=EOMONTH($AO$1,0),Marketing!AY$5*Marketing!AY$6,0)+IF(EOMONTH(DATE(YEAR(Marketing!$AU$1),MONTH(Marketing!$AU$1),1)+INT((DAY(Marketing!$AU$1)-1)/2)+'Cash Drivers'!AV$7,0)=EOMONTH($AO$1,0),Marketing!AV$5*Marketing!AV$6,0)+IF(EOMONTH(DATE(YEAR(Marketing!$AR$1),MONTH(Marketing!$AR$1),1)+INT((DAY(Marketing!$AR$1)-1)/2)+'Cash Drivers'!AS$7,0)=EOMONTH($AO$1,0),Marketing!AS$5*Marketing!AS$6,0)+IF(EOMONTH(DATE(YEAR(Marketing!$AO$1),MONTH(Marketing!$AO$1),1)+INT((DAY(Marketing!$AO$1)-1)/2)+'Cash Drivers'!AP$7,0)=EOMONTH($AO$1,0),Marketing!AP$5*Marketing!AP$6,0)+IF(EOMONTH(DATE(YEAR(Marketing!$AL$1),MONTH(Marketing!$AL$1),1)+INT((DAY(Marketing!$AL$1)-1)/2)+'Cash Drivers'!AM$7,0)=EOMONTH($AO$1,0),Marketing!AM$5*Marketing!AM$6,0)+IF(EOMONTH(DATE(YEAR(Marketing!$AI$1),MONTH(Marketing!$AI$1),1)+INT((DAY(Marketing!$AI$1)-1)/2)+'Cash Drivers'!AJ$7,0)=EOMONTH($AO$1,0),Marketing!AJ$5*Marketing!AJ$6,0)+IF(EOMONTH(DATE(YEAR(Marketing!$AF$1),MONTH(Marketing!$AF$1),1)+INT((DAY(Marketing!$AF$1)-1)/2)+'Cash Drivers'!AG$7,0)=EOMONTH($AO$1,0),Marketing!AG$5*Marketing!AG$6,0)+IF(EOMONTH(DATE(YEAR(Marketing!$AC$1),MONTH(Marketing!$AC$1),1)+INT((DAY(Marketing!$AC$1)-1)/2)+'Cash Drivers'!AD$7,0)=EOMONTH($AO$1,0),Marketing!AD$5*Marketing!AD$6,0)+IF(EOMONTH(DATE(YEAR(Marketing!$Z$1),MONTH(Marketing!$Z$1),1)+INT((DAY(Marketing!$Z$1)-1)/2)+'Cash Drivers'!AA$7,0)=EOMONTH($AO$1,0),Marketing!AA$5*Marketing!AA$6,0)+IF(EOMONTH(DATE(YEAR(Marketing!$W$1),MONTH(Marketing!$W$1),1)+INT((DAY(Marketing!$W$1)-1)/2)+'Cash Drivers'!X$7,0)=EOMONTH($AO$1,0),Marketing!X$5*Marketing!X$6,0)+IF(EOMONTH(DATE(YEAR(Marketing!$T$1),MONTH(Marketing!$T$1),1)+INT((DAY(Marketing!$T$1)-1)/2)+'Cash Drivers'!U$7,0)=EOMONTH($AO$1,0),Marketing!U$5*Marketing!U$6,0)+IF(EOMONTH(DATE(YEAR(Marketing!$Q$1),MONTH(Marketing!$Q$1),1)+INT((DAY(Marketing!$Q$1)-1)/2)+'Cash Drivers'!R$7,0)=EOMONTH($AO$1,0),Marketing!R$5*Marketing!R$6,0)+IF(EOMONTH(DATE(YEAR(Marketing!$N$1),MONTH(Marketing!$N$1),1)+INT((DAY(Marketing!$N$1)-1)/2)+'Cash Drivers'!O$7,0)=EOMONTH($AO$1,0),Marketing!O$5*Marketing!O$6,0)+IF(EOMONTH(DATE(YEAR(Marketing!$K$1),MONTH(Marketing!$K$1),1)+INT((DAY(Marketing!$K$1)-1)/2)+'Cash Drivers'!L$7,0)=EOMONTH($AO$1,0),Marketing!L$5*Marketing!L$6,0)+0,0))</f>
        <v>148</v>
      </c>
      <c r="AQ7" s="87" t="n">
        <f aca="false">ROUND(IF(EOMONTH(DATE(YEAR(Marketing!$DL$1),MONTH(Marketing!$DL$1),1)+INT((DAY(Marketing!$DL$1)-1)/2)+'Cash Drivers'!DN$7,0)=EOMONTH($AO$1,0),Marketing!DN$5*Marketing!DN$6,0)+IF(EOMONTH(DATE(YEAR(Marketing!$DI$1),MONTH(Marketing!$DI$1),1)+INT((DAY(Marketing!$DI$1)-1)/2)+'Cash Drivers'!DK$7,0)=EOMONTH($AO$1,0),Marketing!DK$5*Marketing!DK$6,0)+IF(EOMONTH(DATE(YEAR(Marketing!$DF$1),MONTH(Marketing!$DF$1),1)+INT((DAY(Marketing!$DF$1)-1)/2)+'Cash Drivers'!DH$7,0)=EOMONTH($AO$1,0),Marketing!DH$5*Marketing!DH$6,0)+IF(EOMONTH(DATE(YEAR(Marketing!$DC$1),MONTH(Marketing!$DC$1),1)+INT((DAY(Marketing!$DC$1)-1)/2)+'Cash Drivers'!DE$7,0)=EOMONTH($AO$1,0),Marketing!DE$5*Marketing!DE$6,0)+IF(EOMONTH(DATE(YEAR(Marketing!$CZ$1),MONTH(Marketing!$CZ$1),1)+INT((DAY(Marketing!$CZ$1)-1)/2)+'Cash Drivers'!DB$7,0)=EOMONTH($AO$1,0),Marketing!DB$5*Marketing!DB$6,0)+IF(EOMONTH(DATE(YEAR(Marketing!$CW$1),MONTH(Marketing!$CW$1),1)+INT((DAY(Marketing!$CW$1)-1)/2)+'Cash Drivers'!CY$7,0)=EOMONTH($AO$1,0),Marketing!CY$5*Marketing!CY$6,0)+IF(EOMONTH(DATE(YEAR(Marketing!$CT$1),MONTH(Marketing!$CT$1),1)+INT((DAY(Marketing!$CT$1)-1)/2)+'Cash Drivers'!CV$7,0)=EOMONTH($AO$1,0),Marketing!CV$5*Marketing!CV$6,0)+IF(EOMONTH(DATE(YEAR(Marketing!$CQ$1),MONTH(Marketing!$CQ$1),1)+INT((DAY(Marketing!$CQ$1)-1)/2)+'Cash Drivers'!CS$7,0)=EOMONTH($AO$1,0),Marketing!CS$5*Marketing!CS$6,0)+IF(EOMONTH(DATE(YEAR(Marketing!$CN$1),MONTH(Marketing!$CN$1),1)+INT((DAY(Marketing!$CN$1)-1)/2)+'Cash Drivers'!CP$7,0)=EOMONTH($AO$1,0),Marketing!CP$5*Marketing!CP$6,0)+IF(EOMONTH(DATE(YEAR(Marketing!$CK$1),MONTH(Marketing!$CK$1),1)+INT((DAY(Marketing!$CK$1)-1)/2)+'Cash Drivers'!CM$7,0)=EOMONTH($AO$1,0),Marketing!CM$5*Marketing!CM$6,0)+IF(EOMONTH(DATE(YEAR(Marketing!$CH$1),MONTH(Marketing!$CH$1),1)+INT((DAY(Marketing!$CH$1)-1)/2)+'Cash Drivers'!CJ$7,0)=EOMONTH($AO$1,0),Marketing!CJ$5*Marketing!CJ$6,0)+IF(EOMONTH(DATE(YEAR(Marketing!$CE$1),MONTH(Marketing!$CE$1),1)+INT((DAY(Marketing!$CE$1)-1)/2)+'Cash Drivers'!CG$7,0)=EOMONTH($AO$1,0),Marketing!CG$5*Marketing!CG$6,0)+IF(EOMONTH(DATE(YEAR(Marketing!$CB$1),MONTH(Marketing!$CB$1),1)+INT((DAY(Marketing!$CB$1)-1)/2)+'Cash Drivers'!CD$7,0)=EOMONTH($AO$1,0),Marketing!CD$5*Marketing!CD$6,0)+IF(EOMONTH(DATE(YEAR(Marketing!$BY$1),MONTH(Marketing!$BY$1),1)+INT((DAY(Marketing!$BY$1)-1)/2)+'Cash Drivers'!CA$7,0)=EOMONTH($AO$1,0),Marketing!CA$5*Marketing!CA$6,0)+IF(EOMONTH(DATE(YEAR(Marketing!$BV$1),MONTH(Marketing!$BV$1),1)+INT((DAY(Marketing!$BV$1)-1)/2)+'Cash Drivers'!BX$7,0)=EOMONTH($AO$1,0),Marketing!BX$5*Marketing!BX$6,0)+IF(EOMONTH(DATE(YEAR(Marketing!$BS$1),MONTH(Marketing!$BS$1),1)+INT((DAY(Marketing!$BS$1)-1)/2)+'Cash Drivers'!BU$7,0)=EOMONTH($AO$1,0),Marketing!BU$5*Marketing!BU$6,0)+IF(EOMONTH(DATE(YEAR(Marketing!$BP$1),MONTH(Marketing!$BP$1),1)+INT((DAY(Marketing!$BP$1)-1)/2)+'Cash Drivers'!BR$7,0)=EOMONTH($AO$1,0),Marketing!BR$5*Marketing!BR$6,0)+IF(EOMONTH(DATE(YEAR(Marketing!$BM$1),MONTH(Marketing!$BM$1),1)+INT((DAY(Marketing!$BM$1)-1)/2)+'Cash Drivers'!BO$7,0)=EOMONTH($AO$1,0),Marketing!BO$5*Marketing!BO$6,0)+IF(EOMONTH(DATE(YEAR(Marketing!$BJ$1),MONTH(Marketing!$BJ$1),1)+INT((DAY(Marketing!$BJ$1)-1)/2)+'Cash Drivers'!BL$7,0)=EOMONTH($AO$1,0),Marketing!BL$5*Marketing!BL$6,0)+IF(EOMONTH(DATE(YEAR(Marketing!$BG$1),MONTH(Marketing!$BG$1),1)+INT((DAY(Marketing!$BG$1)-1)/2)+'Cash Drivers'!BI$7,0)=EOMONTH($AO$1,0),Marketing!BI$5*Marketing!BI$6,0)+IF(EOMONTH(DATE(YEAR(Marketing!$BD$1),MONTH(Marketing!$BD$1),1)+INT((DAY(Marketing!$BD$1)-1)/2)+'Cash Drivers'!BF$7,0)=EOMONTH($AO$1,0),Marketing!BF$5*Marketing!BF$6,0)+IF(EOMONTH(DATE(YEAR(Marketing!$BA$1),MONTH(Marketing!$BA$1),1)+INT((DAY(Marketing!$BA$1)-1)/2)+'Cash Drivers'!BC$7,0)=EOMONTH($AO$1,0),Marketing!BC$5*Marketing!BC$6,0)+IF(EOMONTH(DATE(YEAR(Marketing!$AX$1),MONTH(Marketing!$AX$1),1)+INT((DAY(Marketing!$AX$1)-1)/2)+'Cash Drivers'!AZ$7,0)=EOMONTH($AO$1,0),Marketing!AZ$5*Marketing!AZ$6,0)+IF(EOMONTH(DATE(YEAR(Marketing!$AU$1),MONTH(Marketing!$AU$1),1)+INT((DAY(Marketing!$AU$1)-1)/2)+'Cash Drivers'!AW$7,0)=EOMONTH($AO$1,0),Marketing!AW$5*Marketing!AW$6,0)+IF(EOMONTH(DATE(YEAR(Marketing!$AR$1),MONTH(Marketing!$AR$1),1)+INT((DAY(Marketing!$AR$1)-1)/2)+'Cash Drivers'!AT$7,0)=EOMONTH($AO$1,0),Marketing!AT$5*Marketing!AT$6,0)+IF(EOMONTH(DATE(YEAR(Marketing!$AO$1),MONTH(Marketing!$AO$1),1)+INT((DAY(Marketing!$AO$1)-1)/2)+'Cash Drivers'!AQ$7,0)=EOMONTH($AO$1,0),Marketing!AQ$5*Marketing!AQ$6,0)+IF(EOMONTH(DATE(YEAR(Marketing!$AL$1),MONTH(Marketing!$AL$1),1)+INT((DAY(Marketing!$AL$1)-1)/2)+'Cash Drivers'!AN$7,0)=EOMONTH($AO$1,0),Marketing!AN$5*Marketing!AN$6,0)+IF(EOMONTH(DATE(YEAR(Marketing!$AI$1),MONTH(Marketing!$AI$1),1)+INT((DAY(Marketing!$AI$1)-1)/2)+'Cash Drivers'!AK$7,0)=EOMONTH($AO$1,0),Marketing!AK$5*Marketing!AK$6,0)+IF(EOMONTH(DATE(YEAR(Marketing!$AF$1),MONTH(Marketing!$AF$1),1)+INT((DAY(Marketing!$AF$1)-1)/2)+'Cash Drivers'!AH$7,0)=EOMONTH($AO$1,0),Marketing!AH$5*Marketing!AH$6,0)+IF(EOMONTH(DATE(YEAR(Marketing!$AC$1),MONTH(Marketing!$AC$1),1)+INT((DAY(Marketing!$AC$1)-1)/2)+'Cash Drivers'!AE$7,0)=EOMONTH($AO$1,0),Marketing!AE$5*Marketing!AE$6,0)+IF(EOMONTH(DATE(YEAR(Marketing!$Z$1),MONTH(Marketing!$Z$1),1)+INT((DAY(Marketing!$Z$1)-1)/2)+'Cash Drivers'!AB$7,0)=EOMONTH($AO$1,0),Marketing!AB$5*Marketing!AB$6,0)+IF(EOMONTH(DATE(YEAR(Marketing!$W$1),MONTH(Marketing!$W$1),1)+INT((DAY(Marketing!$W$1)-1)/2)+'Cash Drivers'!Y$7,0)=EOMONTH($AO$1,0),Marketing!Y$5*Marketing!Y$6,0)+IF(EOMONTH(DATE(YEAR(Marketing!$T$1),MONTH(Marketing!$T$1),1)+INT((DAY(Marketing!$T$1)-1)/2)+'Cash Drivers'!V$7,0)=EOMONTH($AO$1,0),Marketing!V$5*Marketing!V$6,0)+IF(EOMONTH(DATE(YEAR(Marketing!$Q$1),MONTH(Marketing!$Q$1),1)+INT((DAY(Marketing!$Q$1)-1)/2)+'Cash Drivers'!S$7,0)=EOMONTH($AO$1,0),Marketing!S$5*Marketing!S$6,0)+IF(EOMONTH(DATE(YEAR(Marketing!$N$1),MONTH(Marketing!$N$1),1)+INT((DAY(Marketing!$N$1)-1)/2)+'Cash Drivers'!P$7,0)=EOMONTH($AO$1,0),Marketing!P$5*Marketing!P$6,0)+IF(EOMONTH(DATE(YEAR(Marketing!$K$1),MONTH(Marketing!$K$1),1)+INT((DAY(Marketing!$K$1)-1)/2)+'Cash Drivers'!M$7,0)=EOMONTH($AO$1,0),Marketing!M$5*Marketing!M$6,0)+0,0)</f>
        <v>148</v>
      </c>
      <c r="AR7" s="86"/>
      <c r="AS7" s="86" t="n">
        <f aca="false">IF('Cash Drivers'!AS$26,AR7,ROUND(IF(EOMONTH(DATE(YEAR(Marketing!$DL$1),MONTH(Marketing!$DL$1),1)+INT((DAY(Marketing!$DL$1)-1)/2)+'Cash Drivers'!DM$7,0)=EOMONTH($AR$1,0),Marketing!DM$5*Marketing!DM$6,0)+IF(EOMONTH(DATE(YEAR(Marketing!$DI$1),MONTH(Marketing!$DI$1),1)+INT((DAY(Marketing!$DI$1)-1)/2)+'Cash Drivers'!DJ$7,0)=EOMONTH($AR$1,0),Marketing!DJ$5*Marketing!DJ$6,0)+IF(EOMONTH(DATE(YEAR(Marketing!$DF$1),MONTH(Marketing!$DF$1),1)+INT((DAY(Marketing!$DF$1)-1)/2)+'Cash Drivers'!DG$7,0)=EOMONTH($AR$1,0),Marketing!DG$5*Marketing!DG$6,0)+IF(EOMONTH(DATE(YEAR(Marketing!$DC$1),MONTH(Marketing!$DC$1),1)+INT((DAY(Marketing!$DC$1)-1)/2)+'Cash Drivers'!DD$7,0)=EOMONTH($AR$1,0),Marketing!DD$5*Marketing!DD$6,0)+IF(EOMONTH(DATE(YEAR(Marketing!$CZ$1),MONTH(Marketing!$CZ$1),1)+INT((DAY(Marketing!$CZ$1)-1)/2)+'Cash Drivers'!DA$7,0)=EOMONTH($AR$1,0),Marketing!DA$5*Marketing!DA$6,0)+IF(EOMONTH(DATE(YEAR(Marketing!$CW$1),MONTH(Marketing!$CW$1),1)+INT((DAY(Marketing!$CW$1)-1)/2)+'Cash Drivers'!CX$7,0)=EOMONTH($AR$1,0),Marketing!CX$5*Marketing!CX$6,0)+IF(EOMONTH(DATE(YEAR(Marketing!$CT$1),MONTH(Marketing!$CT$1),1)+INT((DAY(Marketing!$CT$1)-1)/2)+'Cash Drivers'!CU$7,0)=EOMONTH($AR$1,0),Marketing!CU$5*Marketing!CU$6,0)+IF(EOMONTH(DATE(YEAR(Marketing!$CQ$1),MONTH(Marketing!$CQ$1),1)+INT((DAY(Marketing!$CQ$1)-1)/2)+'Cash Drivers'!CR$7,0)=EOMONTH($AR$1,0),Marketing!CR$5*Marketing!CR$6,0)+IF(EOMONTH(DATE(YEAR(Marketing!$CN$1),MONTH(Marketing!$CN$1),1)+INT((DAY(Marketing!$CN$1)-1)/2)+'Cash Drivers'!CO$7,0)=EOMONTH($AR$1,0),Marketing!CO$5*Marketing!CO$6,0)+IF(EOMONTH(DATE(YEAR(Marketing!$CK$1),MONTH(Marketing!$CK$1),1)+INT((DAY(Marketing!$CK$1)-1)/2)+'Cash Drivers'!CL$7,0)=EOMONTH($AR$1,0),Marketing!CL$5*Marketing!CL$6,0)+IF(EOMONTH(DATE(YEAR(Marketing!$CH$1),MONTH(Marketing!$CH$1),1)+INT((DAY(Marketing!$CH$1)-1)/2)+'Cash Drivers'!CI$7,0)=EOMONTH($AR$1,0),Marketing!CI$5*Marketing!CI$6,0)+IF(EOMONTH(DATE(YEAR(Marketing!$CE$1),MONTH(Marketing!$CE$1),1)+INT((DAY(Marketing!$CE$1)-1)/2)+'Cash Drivers'!CF$7,0)=EOMONTH($AR$1,0),Marketing!CF$5*Marketing!CF$6,0)+IF(EOMONTH(DATE(YEAR(Marketing!$CB$1),MONTH(Marketing!$CB$1),1)+INT((DAY(Marketing!$CB$1)-1)/2)+'Cash Drivers'!CC$7,0)=EOMONTH($AR$1,0),Marketing!CC$5*Marketing!CC$6,0)+IF(EOMONTH(DATE(YEAR(Marketing!$BY$1),MONTH(Marketing!$BY$1),1)+INT((DAY(Marketing!$BY$1)-1)/2)+'Cash Drivers'!BZ$7,0)=EOMONTH($AR$1,0),Marketing!BZ$5*Marketing!BZ$6,0)+IF(EOMONTH(DATE(YEAR(Marketing!$BV$1),MONTH(Marketing!$BV$1),1)+INT((DAY(Marketing!$BV$1)-1)/2)+'Cash Drivers'!BW$7,0)=EOMONTH($AR$1,0),Marketing!BW$5*Marketing!BW$6,0)+IF(EOMONTH(DATE(YEAR(Marketing!$BS$1),MONTH(Marketing!$BS$1),1)+INT((DAY(Marketing!$BS$1)-1)/2)+'Cash Drivers'!BT$7,0)=EOMONTH($AR$1,0),Marketing!BT$5*Marketing!BT$6,0)+IF(EOMONTH(DATE(YEAR(Marketing!$BP$1),MONTH(Marketing!$BP$1),1)+INT((DAY(Marketing!$BP$1)-1)/2)+'Cash Drivers'!BQ$7,0)=EOMONTH($AR$1,0),Marketing!BQ$5*Marketing!BQ$6,0)+IF(EOMONTH(DATE(YEAR(Marketing!$BM$1),MONTH(Marketing!$BM$1),1)+INT((DAY(Marketing!$BM$1)-1)/2)+'Cash Drivers'!BN$7,0)=EOMONTH($AR$1,0),Marketing!BN$5*Marketing!BN$6,0)+IF(EOMONTH(DATE(YEAR(Marketing!$BJ$1),MONTH(Marketing!$BJ$1),1)+INT((DAY(Marketing!$BJ$1)-1)/2)+'Cash Drivers'!BK$7,0)=EOMONTH($AR$1,0),Marketing!BK$5*Marketing!BK$6,0)+IF(EOMONTH(DATE(YEAR(Marketing!$BG$1),MONTH(Marketing!$BG$1),1)+INT((DAY(Marketing!$BG$1)-1)/2)+'Cash Drivers'!BH$7,0)=EOMONTH($AR$1,0),Marketing!BH$5*Marketing!BH$6,0)+IF(EOMONTH(DATE(YEAR(Marketing!$BD$1),MONTH(Marketing!$BD$1),1)+INT((DAY(Marketing!$BD$1)-1)/2)+'Cash Drivers'!BE$7,0)=EOMONTH($AR$1,0),Marketing!BE$5*Marketing!BE$6,0)+IF(EOMONTH(DATE(YEAR(Marketing!$BA$1),MONTH(Marketing!$BA$1),1)+INT((DAY(Marketing!$BA$1)-1)/2)+'Cash Drivers'!BB$7,0)=EOMONTH($AR$1,0),Marketing!BB$5*Marketing!BB$6,0)+IF(EOMONTH(DATE(YEAR(Marketing!$AX$1),MONTH(Marketing!$AX$1),1)+INT((DAY(Marketing!$AX$1)-1)/2)+'Cash Drivers'!AY$7,0)=EOMONTH($AR$1,0),Marketing!AY$5*Marketing!AY$6,0)+IF(EOMONTH(DATE(YEAR(Marketing!$AU$1),MONTH(Marketing!$AU$1),1)+INT((DAY(Marketing!$AU$1)-1)/2)+'Cash Drivers'!AV$7,0)=EOMONTH($AR$1,0),Marketing!AV$5*Marketing!AV$6,0)+IF(EOMONTH(DATE(YEAR(Marketing!$AR$1),MONTH(Marketing!$AR$1),1)+INT((DAY(Marketing!$AR$1)-1)/2)+'Cash Drivers'!AS$7,0)=EOMONTH($AR$1,0),Marketing!AS$5*Marketing!AS$6,0)+IF(EOMONTH(DATE(YEAR(Marketing!$AO$1),MONTH(Marketing!$AO$1),1)+INT((DAY(Marketing!$AO$1)-1)/2)+'Cash Drivers'!AP$7,0)=EOMONTH($AR$1,0),Marketing!AP$5*Marketing!AP$6,0)+IF(EOMONTH(DATE(YEAR(Marketing!$AL$1),MONTH(Marketing!$AL$1),1)+INT((DAY(Marketing!$AL$1)-1)/2)+'Cash Drivers'!AM$7,0)=EOMONTH($AR$1,0),Marketing!AM$5*Marketing!AM$6,0)+IF(EOMONTH(DATE(YEAR(Marketing!$AI$1),MONTH(Marketing!$AI$1),1)+INT((DAY(Marketing!$AI$1)-1)/2)+'Cash Drivers'!AJ$7,0)=EOMONTH($AR$1,0),Marketing!AJ$5*Marketing!AJ$6,0)+IF(EOMONTH(DATE(YEAR(Marketing!$AF$1),MONTH(Marketing!$AF$1),1)+INT((DAY(Marketing!$AF$1)-1)/2)+'Cash Drivers'!AG$7,0)=EOMONTH($AR$1,0),Marketing!AG$5*Marketing!AG$6,0)+IF(EOMONTH(DATE(YEAR(Marketing!$AC$1),MONTH(Marketing!$AC$1),1)+INT((DAY(Marketing!$AC$1)-1)/2)+'Cash Drivers'!AD$7,0)=EOMONTH($AR$1,0),Marketing!AD$5*Marketing!AD$6,0)+IF(EOMONTH(DATE(YEAR(Marketing!$Z$1),MONTH(Marketing!$Z$1),1)+INT((DAY(Marketing!$Z$1)-1)/2)+'Cash Drivers'!AA$7,0)=EOMONTH($AR$1,0),Marketing!AA$5*Marketing!AA$6,0)+IF(EOMONTH(DATE(YEAR(Marketing!$W$1),MONTH(Marketing!$W$1),1)+INT((DAY(Marketing!$W$1)-1)/2)+'Cash Drivers'!X$7,0)=EOMONTH($AR$1,0),Marketing!X$5*Marketing!X$6,0)+IF(EOMONTH(DATE(YEAR(Marketing!$T$1),MONTH(Marketing!$T$1),1)+INT((DAY(Marketing!$T$1)-1)/2)+'Cash Drivers'!U$7,0)=EOMONTH($AR$1,0),Marketing!U$5*Marketing!U$6,0)+IF(EOMONTH(DATE(YEAR(Marketing!$Q$1),MONTH(Marketing!$Q$1),1)+INT((DAY(Marketing!$Q$1)-1)/2)+'Cash Drivers'!R$7,0)=EOMONTH($AR$1,0),Marketing!R$5*Marketing!R$6,0)+IF(EOMONTH(DATE(YEAR(Marketing!$N$1),MONTH(Marketing!$N$1),1)+INT((DAY(Marketing!$N$1)-1)/2)+'Cash Drivers'!O$7,0)=EOMONTH($AR$1,0),Marketing!O$5*Marketing!O$6,0)+IF(EOMONTH(DATE(YEAR(Marketing!$K$1),MONTH(Marketing!$K$1),1)+INT((DAY(Marketing!$K$1)-1)/2)+'Cash Drivers'!L$7,0)=EOMONTH($AR$1,0),Marketing!L$5*Marketing!L$6,0)+0,0))</f>
        <v>148</v>
      </c>
      <c r="AT7" s="86" t="n">
        <f aca="false">ROUND(IF(EOMONTH(DATE(YEAR(Marketing!$DL$1),MONTH(Marketing!$DL$1),1)+INT((DAY(Marketing!$DL$1)-1)/2)+'Cash Drivers'!DN$7,0)=EOMONTH($AR$1,0),Marketing!DN$5*Marketing!DN$6,0)+IF(EOMONTH(DATE(YEAR(Marketing!$DI$1),MONTH(Marketing!$DI$1),1)+INT((DAY(Marketing!$DI$1)-1)/2)+'Cash Drivers'!DK$7,0)=EOMONTH($AR$1,0),Marketing!DK$5*Marketing!DK$6,0)+IF(EOMONTH(DATE(YEAR(Marketing!$DF$1),MONTH(Marketing!$DF$1),1)+INT((DAY(Marketing!$DF$1)-1)/2)+'Cash Drivers'!DH$7,0)=EOMONTH($AR$1,0),Marketing!DH$5*Marketing!DH$6,0)+IF(EOMONTH(DATE(YEAR(Marketing!$DC$1),MONTH(Marketing!$DC$1),1)+INT((DAY(Marketing!$DC$1)-1)/2)+'Cash Drivers'!DE$7,0)=EOMONTH($AR$1,0),Marketing!DE$5*Marketing!DE$6,0)+IF(EOMONTH(DATE(YEAR(Marketing!$CZ$1),MONTH(Marketing!$CZ$1),1)+INT((DAY(Marketing!$CZ$1)-1)/2)+'Cash Drivers'!DB$7,0)=EOMONTH($AR$1,0),Marketing!DB$5*Marketing!DB$6,0)+IF(EOMONTH(DATE(YEAR(Marketing!$CW$1),MONTH(Marketing!$CW$1),1)+INT((DAY(Marketing!$CW$1)-1)/2)+'Cash Drivers'!CY$7,0)=EOMONTH($AR$1,0),Marketing!CY$5*Marketing!CY$6,0)+IF(EOMONTH(DATE(YEAR(Marketing!$CT$1),MONTH(Marketing!$CT$1),1)+INT((DAY(Marketing!$CT$1)-1)/2)+'Cash Drivers'!CV$7,0)=EOMONTH($AR$1,0),Marketing!CV$5*Marketing!CV$6,0)+IF(EOMONTH(DATE(YEAR(Marketing!$CQ$1),MONTH(Marketing!$CQ$1),1)+INT((DAY(Marketing!$CQ$1)-1)/2)+'Cash Drivers'!CS$7,0)=EOMONTH($AR$1,0),Marketing!CS$5*Marketing!CS$6,0)+IF(EOMONTH(DATE(YEAR(Marketing!$CN$1),MONTH(Marketing!$CN$1),1)+INT((DAY(Marketing!$CN$1)-1)/2)+'Cash Drivers'!CP$7,0)=EOMONTH($AR$1,0),Marketing!CP$5*Marketing!CP$6,0)+IF(EOMONTH(DATE(YEAR(Marketing!$CK$1),MONTH(Marketing!$CK$1),1)+INT((DAY(Marketing!$CK$1)-1)/2)+'Cash Drivers'!CM$7,0)=EOMONTH($AR$1,0),Marketing!CM$5*Marketing!CM$6,0)+IF(EOMONTH(DATE(YEAR(Marketing!$CH$1),MONTH(Marketing!$CH$1),1)+INT((DAY(Marketing!$CH$1)-1)/2)+'Cash Drivers'!CJ$7,0)=EOMONTH($AR$1,0),Marketing!CJ$5*Marketing!CJ$6,0)+IF(EOMONTH(DATE(YEAR(Marketing!$CE$1),MONTH(Marketing!$CE$1),1)+INT((DAY(Marketing!$CE$1)-1)/2)+'Cash Drivers'!CG$7,0)=EOMONTH($AR$1,0),Marketing!CG$5*Marketing!CG$6,0)+IF(EOMONTH(DATE(YEAR(Marketing!$CB$1),MONTH(Marketing!$CB$1),1)+INT((DAY(Marketing!$CB$1)-1)/2)+'Cash Drivers'!CD$7,0)=EOMONTH($AR$1,0),Marketing!CD$5*Marketing!CD$6,0)+IF(EOMONTH(DATE(YEAR(Marketing!$BY$1),MONTH(Marketing!$BY$1),1)+INT((DAY(Marketing!$BY$1)-1)/2)+'Cash Drivers'!CA$7,0)=EOMONTH($AR$1,0),Marketing!CA$5*Marketing!CA$6,0)+IF(EOMONTH(DATE(YEAR(Marketing!$BV$1),MONTH(Marketing!$BV$1),1)+INT((DAY(Marketing!$BV$1)-1)/2)+'Cash Drivers'!BX$7,0)=EOMONTH($AR$1,0),Marketing!BX$5*Marketing!BX$6,0)+IF(EOMONTH(DATE(YEAR(Marketing!$BS$1),MONTH(Marketing!$BS$1),1)+INT((DAY(Marketing!$BS$1)-1)/2)+'Cash Drivers'!BU$7,0)=EOMONTH($AR$1,0),Marketing!BU$5*Marketing!BU$6,0)+IF(EOMONTH(DATE(YEAR(Marketing!$BP$1),MONTH(Marketing!$BP$1),1)+INT((DAY(Marketing!$BP$1)-1)/2)+'Cash Drivers'!BR$7,0)=EOMONTH($AR$1,0),Marketing!BR$5*Marketing!BR$6,0)+IF(EOMONTH(DATE(YEAR(Marketing!$BM$1),MONTH(Marketing!$BM$1),1)+INT((DAY(Marketing!$BM$1)-1)/2)+'Cash Drivers'!BO$7,0)=EOMONTH($AR$1,0),Marketing!BO$5*Marketing!BO$6,0)+IF(EOMONTH(DATE(YEAR(Marketing!$BJ$1),MONTH(Marketing!$BJ$1),1)+INT((DAY(Marketing!$BJ$1)-1)/2)+'Cash Drivers'!BL$7,0)=EOMONTH($AR$1,0),Marketing!BL$5*Marketing!BL$6,0)+IF(EOMONTH(DATE(YEAR(Marketing!$BG$1),MONTH(Marketing!$BG$1),1)+INT((DAY(Marketing!$BG$1)-1)/2)+'Cash Drivers'!BI$7,0)=EOMONTH($AR$1,0),Marketing!BI$5*Marketing!BI$6,0)+IF(EOMONTH(DATE(YEAR(Marketing!$BD$1),MONTH(Marketing!$BD$1),1)+INT((DAY(Marketing!$BD$1)-1)/2)+'Cash Drivers'!BF$7,0)=EOMONTH($AR$1,0),Marketing!BF$5*Marketing!BF$6,0)+IF(EOMONTH(DATE(YEAR(Marketing!$BA$1),MONTH(Marketing!$BA$1),1)+INT((DAY(Marketing!$BA$1)-1)/2)+'Cash Drivers'!BC$7,0)=EOMONTH($AR$1,0),Marketing!BC$5*Marketing!BC$6,0)+IF(EOMONTH(DATE(YEAR(Marketing!$AX$1),MONTH(Marketing!$AX$1),1)+INT((DAY(Marketing!$AX$1)-1)/2)+'Cash Drivers'!AZ$7,0)=EOMONTH($AR$1,0),Marketing!AZ$5*Marketing!AZ$6,0)+IF(EOMONTH(DATE(YEAR(Marketing!$AU$1),MONTH(Marketing!$AU$1),1)+INT((DAY(Marketing!$AU$1)-1)/2)+'Cash Drivers'!AW$7,0)=EOMONTH($AR$1,0),Marketing!AW$5*Marketing!AW$6,0)+IF(EOMONTH(DATE(YEAR(Marketing!$AR$1),MONTH(Marketing!$AR$1),1)+INT((DAY(Marketing!$AR$1)-1)/2)+'Cash Drivers'!AT$7,0)=EOMONTH($AR$1,0),Marketing!AT$5*Marketing!AT$6,0)+IF(EOMONTH(DATE(YEAR(Marketing!$AO$1),MONTH(Marketing!$AO$1),1)+INT((DAY(Marketing!$AO$1)-1)/2)+'Cash Drivers'!AQ$7,0)=EOMONTH($AR$1,0),Marketing!AQ$5*Marketing!AQ$6,0)+IF(EOMONTH(DATE(YEAR(Marketing!$AL$1),MONTH(Marketing!$AL$1),1)+INT((DAY(Marketing!$AL$1)-1)/2)+'Cash Drivers'!AN$7,0)=EOMONTH($AR$1,0),Marketing!AN$5*Marketing!AN$6,0)+IF(EOMONTH(DATE(YEAR(Marketing!$AI$1),MONTH(Marketing!$AI$1),1)+INT((DAY(Marketing!$AI$1)-1)/2)+'Cash Drivers'!AK$7,0)=EOMONTH($AR$1,0),Marketing!AK$5*Marketing!AK$6,0)+IF(EOMONTH(DATE(YEAR(Marketing!$AF$1),MONTH(Marketing!$AF$1),1)+INT((DAY(Marketing!$AF$1)-1)/2)+'Cash Drivers'!AH$7,0)=EOMONTH($AR$1,0),Marketing!AH$5*Marketing!AH$6,0)+IF(EOMONTH(DATE(YEAR(Marketing!$AC$1),MONTH(Marketing!$AC$1),1)+INT((DAY(Marketing!$AC$1)-1)/2)+'Cash Drivers'!AE$7,0)=EOMONTH($AR$1,0),Marketing!AE$5*Marketing!AE$6,0)+IF(EOMONTH(DATE(YEAR(Marketing!$Z$1),MONTH(Marketing!$Z$1),1)+INT((DAY(Marketing!$Z$1)-1)/2)+'Cash Drivers'!AB$7,0)=EOMONTH($AR$1,0),Marketing!AB$5*Marketing!AB$6,0)+IF(EOMONTH(DATE(YEAR(Marketing!$W$1),MONTH(Marketing!$W$1),1)+INT((DAY(Marketing!$W$1)-1)/2)+'Cash Drivers'!Y$7,0)=EOMONTH($AR$1,0),Marketing!Y$5*Marketing!Y$6,0)+IF(EOMONTH(DATE(YEAR(Marketing!$T$1),MONTH(Marketing!$T$1),1)+INT((DAY(Marketing!$T$1)-1)/2)+'Cash Drivers'!V$7,0)=EOMONTH($AR$1,0),Marketing!V$5*Marketing!V$6,0)+IF(EOMONTH(DATE(YEAR(Marketing!$Q$1),MONTH(Marketing!$Q$1),1)+INT((DAY(Marketing!$Q$1)-1)/2)+'Cash Drivers'!S$7,0)=EOMONTH($AR$1,0),Marketing!S$5*Marketing!S$6,0)+IF(EOMONTH(DATE(YEAR(Marketing!$N$1),MONTH(Marketing!$N$1),1)+INT((DAY(Marketing!$N$1)-1)/2)+'Cash Drivers'!P$7,0)=EOMONTH($AR$1,0),Marketing!P$5*Marketing!P$6,0)+IF(EOMONTH(DATE(YEAR(Marketing!$K$1),MONTH(Marketing!$K$1),1)+INT((DAY(Marketing!$K$1)-1)/2)+'Cash Drivers'!M$7,0)=EOMONTH($AR$1,0),Marketing!M$5*Marketing!M$6,0)+0,0)</f>
        <v>148</v>
      </c>
      <c r="AU7" s="87"/>
      <c r="AV7" s="87" t="n">
        <f aca="false">IF('Cash Drivers'!AV$26,AU7,ROUND(IF(EOMONTH(DATE(YEAR(Marketing!$DL$1),MONTH(Marketing!$DL$1),1)+INT((DAY(Marketing!$DL$1)-1)/2)+'Cash Drivers'!DM$7,0)=EOMONTH($AU$1,0),Marketing!DM$5*Marketing!DM$6,0)+IF(EOMONTH(DATE(YEAR(Marketing!$DI$1),MONTH(Marketing!$DI$1),1)+INT((DAY(Marketing!$DI$1)-1)/2)+'Cash Drivers'!DJ$7,0)=EOMONTH($AU$1,0),Marketing!DJ$5*Marketing!DJ$6,0)+IF(EOMONTH(DATE(YEAR(Marketing!$DF$1),MONTH(Marketing!$DF$1),1)+INT((DAY(Marketing!$DF$1)-1)/2)+'Cash Drivers'!DG$7,0)=EOMONTH($AU$1,0),Marketing!DG$5*Marketing!DG$6,0)+IF(EOMONTH(DATE(YEAR(Marketing!$DC$1),MONTH(Marketing!$DC$1),1)+INT((DAY(Marketing!$DC$1)-1)/2)+'Cash Drivers'!DD$7,0)=EOMONTH($AU$1,0),Marketing!DD$5*Marketing!DD$6,0)+IF(EOMONTH(DATE(YEAR(Marketing!$CZ$1),MONTH(Marketing!$CZ$1),1)+INT((DAY(Marketing!$CZ$1)-1)/2)+'Cash Drivers'!DA$7,0)=EOMONTH($AU$1,0),Marketing!DA$5*Marketing!DA$6,0)+IF(EOMONTH(DATE(YEAR(Marketing!$CW$1),MONTH(Marketing!$CW$1),1)+INT((DAY(Marketing!$CW$1)-1)/2)+'Cash Drivers'!CX$7,0)=EOMONTH($AU$1,0),Marketing!CX$5*Marketing!CX$6,0)+IF(EOMONTH(DATE(YEAR(Marketing!$CT$1),MONTH(Marketing!$CT$1),1)+INT((DAY(Marketing!$CT$1)-1)/2)+'Cash Drivers'!CU$7,0)=EOMONTH($AU$1,0),Marketing!CU$5*Marketing!CU$6,0)+IF(EOMONTH(DATE(YEAR(Marketing!$CQ$1),MONTH(Marketing!$CQ$1),1)+INT((DAY(Marketing!$CQ$1)-1)/2)+'Cash Drivers'!CR$7,0)=EOMONTH($AU$1,0),Marketing!CR$5*Marketing!CR$6,0)+IF(EOMONTH(DATE(YEAR(Marketing!$CN$1),MONTH(Marketing!$CN$1),1)+INT((DAY(Marketing!$CN$1)-1)/2)+'Cash Drivers'!CO$7,0)=EOMONTH($AU$1,0),Marketing!CO$5*Marketing!CO$6,0)+IF(EOMONTH(DATE(YEAR(Marketing!$CK$1),MONTH(Marketing!$CK$1),1)+INT((DAY(Marketing!$CK$1)-1)/2)+'Cash Drivers'!CL$7,0)=EOMONTH($AU$1,0),Marketing!CL$5*Marketing!CL$6,0)+IF(EOMONTH(DATE(YEAR(Marketing!$CH$1),MONTH(Marketing!$CH$1),1)+INT((DAY(Marketing!$CH$1)-1)/2)+'Cash Drivers'!CI$7,0)=EOMONTH($AU$1,0),Marketing!CI$5*Marketing!CI$6,0)+IF(EOMONTH(DATE(YEAR(Marketing!$CE$1),MONTH(Marketing!$CE$1),1)+INT((DAY(Marketing!$CE$1)-1)/2)+'Cash Drivers'!CF$7,0)=EOMONTH($AU$1,0),Marketing!CF$5*Marketing!CF$6,0)+IF(EOMONTH(DATE(YEAR(Marketing!$CB$1),MONTH(Marketing!$CB$1),1)+INT((DAY(Marketing!$CB$1)-1)/2)+'Cash Drivers'!CC$7,0)=EOMONTH($AU$1,0),Marketing!CC$5*Marketing!CC$6,0)+IF(EOMONTH(DATE(YEAR(Marketing!$BY$1),MONTH(Marketing!$BY$1),1)+INT((DAY(Marketing!$BY$1)-1)/2)+'Cash Drivers'!BZ$7,0)=EOMONTH($AU$1,0),Marketing!BZ$5*Marketing!BZ$6,0)+IF(EOMONTH(DATE(YEAR(Marketing!$BV$1),MONTH(Marketing!$BV$1),1)+INT((DAY(Marketing!$BV$1)-1)/2)+'Cash Drivers'!BW$7,0)=EOMONTH($AU$1,0),Marketing!BW$5*Marketing!BW$6,0)+IF(EOMONTH(DATE(YEAR(Marketing!$BS$1),MONTH(Marketing!$BS$1),1)+INT((DAY(Marketing!$BS$1)-1)/2)+'Cash Drivers'!BT$7,0)=EOMONTH($AU$1,0),Marketing!BT$5*Marketing!BT$6,0)+IF(EOMONTH(DATE(YEAR(Marketing!$BP$1),MONTH(Marketing!$BP$1),1)+INT((DAY(Marketing!$BP$1)-1)/2)+'Cash Drivers'!BQ$7,0)=EOMONTH($AU$1,0),Marketing!BQ$5*Marketing!BQ$6,0)+IF(EOMONTH(DATE(YEAR(Marketing!$BM$1),MONTH(Marketing!$BM$1),1)+INT((DAY(Marketing!$BM$1)-1)/2)+'Cash Drivers'!BN$7,0)=EOMONTH($AU$1,0),Marketing!BN$5*Marketing!BN$6,0)+IF(EOMONTH(DATE(YEAR(Marketing!$BJ$1),MONTH(Marketing!$BJ$1),1)+INT((DAY(Marketing!$BJ$1)-1)/2)+'Cash Drivers'!BK$7,0)=EOMONTH($AU$1,0),Marketing!BK$5*Marketing!BK$6,0)+IF(EOMONTH(DATE(YEAR(Marketing!$BG$1),MONTH(Marketing!$BG$1),1)+INT((DAY(Marketing!$BG$1)-1)/2)+'Cash Drivers'!BH$7,0)=EOMONTH($AU$1,0),Marketing!BH$5*Marketing!BH$6,0)+IF(EOMONTH(DATE(YEAR(Marketing!$BD$1),MONTH(Marketing!$BD$1),1)+INT((DAY(Marketing!$BD$1)-1)/2)+'Cash Drivers'!BE$7,0)=EOMONTH($AU$1,0),Marketing!BE$5*Marketing!BE$6,0)+IF(EOMONTH(DATE(YEAR(Marketing!$BA$1),MONTH(Marketing!$BA$1),1)+INT((DAY(Marketing!$BA$1)-1)/2)+'Cash Drivers'!BB$7,0)=EOMONTH($AU$1,0),Marketing!BB$5*Marketing!BB$6,0)+IF(EOMONTH(DATE(YEAR(Marketing!$AX$1),MONTH(Marketing!$AX$1),1)+INT((DAY(Marketing!$AX$1)-1)/2)+'Cash Drivers'!AY$7,0)=EOMONTH($AU$1,0),Marketing!AY$5*Marketing!AY$6,0)+IF(EOMONTH(DATE(YEAR(Marketing!$AU$1),MONTH(Marketing!$AU$1),1)+INT((DAY(Marketing!$AU$1)-1)/2)+'Cash Drivers'!AV$7,0)=EOMONTH($AU$1,0),Marketing!AV$5*Marketing!AV$6,0)+IF(EOMONTH(DATE(YEAR(Marketing!$AR$1),MONTH(Marketing!$AR$1),1)+INT((DAY(Marketing!$AR$1)-1)/2)+'Cash Drivers'!AS$7,0)=EOMONTH($AU$1,0),Marketing!AS$5*Marketing!AS$6,0)+IF(EOMONTH(DATE(YEAR(Marketing!$AO$1),MONTH(Marketing!$AO$1),1)+INT((DAY(Marketing!$AO$1)-1)/2)+'Cash Drivers'!AP$7,0)=EOMONTH($AU$1,0),Marketing!AP$5*Marketing!AP$6,0)+IF(EOMONTH(DATE(YEAR(Marketing!$AL$1),MONTH(Marketing!$AL$1),1)+INT((DAY(Marketing!$AL$1)-1)/2)+'Cash Drivers'!AM$7,0)=EOMONTH($AU$1,0),Marketing!AM$5*Marketing!AM$6,0)+IF(EOMONTH(DATE(YEAR(Marketing!$AI$1),MONTH(Marketing!$AI$1),1)+INT((DAY(Marketing!$AI$1)-1)/2)+'Cash Drivers'!AJ$7,0)=EOMONTH($AU$1,0),Marketing!AJ$5*Marketing!AJ$6,0)+IF(EOMONTH(DATE(YEAR(Marketing!$AF$1),MONTH(Marketing!$AF$1),1)+INT((DAY(Marketing!$AF$1)-1)/2)+'Cash Drivers'!AG$7,0)=EOMONTH($AU$1,0),Marketing!AG$5*Marketing!AG$6,0)+IF(EOMONTH(DATE(YEAR(Marketing!$AC$1),MONTH(Marketing!$AC$1),1)+INT((DAY(Marketing!$AC$1)-1)/2)+'Cash Drivers'!AD$7,0)=EOMONTH($AU$1,0),Marketing!AD$5*Marketing!AD$6,0)+IF(EOMONTH(DATE(YEAR(Marketing!$Z$1),MONTH(Marketing!$Z$1),1)+INT((DAY(Marketing!$Z$1)-1)/2)+'Cash Drivers'!AA$7,0)=EOMONTH($AU$1,0),Marketing!AA$5*Marketing!AA$6,0)+IF(EOMONTH(DATE(YEAR(Marketing!$W$1),MONTH(Marketing!$W$1),1)+INT((DAY(Marketing!$W$1)-1)/2)+'Cash Drivers'!X$7,0)=EOMONTH($AU$1,0),Marketing!X$5*Marketing!X$6,0)+IF(EOMONTH(DATE(YEAR(Marketing!$T$1),MONTH(Marketing!$T$1),1)+INT((DAY(Marketing!$T$1)-1)/2)+'Cash Drivers'!U$7,0)=EOMONTH($AU$1,0),Marketing!U$5*Marketing!U$6,0)+IF(EOMONTH(DATE(YEAR(Marketing!$Q$1),MONTH(Marketing!$Q$1),1)+INT((DAY(Marketing!$Q$1)-1)/2)+'Cash Drivers'!R$7,0)=EOMONTH($AU$1,0),Marketing!R$5*Marketing!R$6,0)+IF(EOMONTH(DATE(YEAR(Marketing!$N$1),MONTH(Marketing!$N$1),1)+INT((DAY(Marketing!$N$1)-1)/2)+'Cash Drivers'!O$7,0)=EOMONTH($AU$1,0),Marketing!O$5*Marketing!O$6,0)+IF(EOMONTH(DATE(YEAR(Marketing!$K$1),MONTH(Marketing!$K$1),1)+INT((DAY(Marketing!$K$1)-1)/2)+'Cash Drivers'!L$7,0)=EOMONTH($AU$1,0),Marketing!L$5*Marketing!L$6,0)+0,0))</f>
        <v>107</v>
      </c>
      <c r="AW7" s="87" t="n">
        <f aca="false">ROUND(IF(EOMONTH(DATE(YEAR(Marketing!$DL$1),MONTH(Marketing!$DL$1),1)+INT((DAY(Marketing!$DL$1)-1)/2)+'Cash Drivers'!DN$7,0)=EOMONTH($AU$1,0),Marketing!DN$5*Marketing!DN$6,0)+IF(EOMONTH(DATE(YEAR(Marketing!$DI$1),MONTH(Marketing!$DI$1),1)+INT((DAY(Marketing!$DI$1)-1)/2)+'Cash Drivers'!DK$7,0)=EOMONTH($AU$1,0),Marketing!DK$5*Marketing!DK$6,0)+IF(EOMONTH(DATE(YEAR(Marketing!$DF$1),MONTH(Marketing!$DF$1),1)+INT((DAY(Marketing!$DF$1)-1)/2)+'Cash Drivers'!DH$7,0)=EOMONTH($AU$1,0),Marketing!DH$5*Marketing!DH$6,0)+IF(EOMONTH(DATE(YEAR(Marketing!$DC$1),MONTH(Marketing!$DC$1),1)+INT((DAY(Marketing!$DC$1)-1)/2)+'Cash Drivers'!DE$7,0)=EOMONTH($AU$1,0),Marketing!DE$5*Marketing!DE$6,0)+IF(EOMONTH(DATE(YEAR(Marketing!$CZ$1),MONTH(Marketing!$CZ$1),1)+INT((DAY(Marketing!$CZ$1)-1)/2)+'Cash Drivers'!DB$7,0)=EOMONTH($AU$1,0),Marketing!DB$5*Marketing!DB$6,0)+IF(EOMONTH(DATE(YEAR(Marketing!$CW$1),MONTH(Marketing!$CW$1),1)+INT((DAY(Marketing!$CW$1)-1)/2)+'Cash Drivers'!CY$7,0)=EOMONTH($AU$1,0),Marketing!CY$5*Marketing!CY$6,0)+IF(EOMONTH(DATE(YEAR(Marketing!$CT$1),MONTH(Marketing!$CT$1),1)+INT((DAY(Marketing!$CT$1)-1)/2)+'Cash Drivers'!CV$7,0)=EOMONTH($AU$1,0),Marketing!CV$5*Marketing!CV$6,0)+IF(EOMONTH(DATE(YEAR(Marketing!$CQ$1),MONTH(Marketing!$CQ$1),1)+INT((DAY(Marketing!$CQ$1)-1)/2)+'Cash Drivers'!CS$7,0)=EOMONTH($AU$1,0),Marketing!CS$5*Marketing!CS$6,0)+IF(EOMONTH(DATE(YEAR(Marketing!$CN$1),MONTH(Marketing!$CN$1),1)+INT((DAY(Marketing!$CN$1)-1)/2)+'Cash Drivers'!CP$7,0)=EOMONTH($AU$1,0),Marketing!CP$5*Marketing!CP$6,0)+IF(EOMONTH(DATE(YEAR(Marketing!$CK$1),MONTH(Marketing!$CK$1),1)+INT((DAY(Marketing!$CK$1)-1)/2)+'Cash Drivers'!CM$7,0)=EOMONTH($AU$1,0),Marketing!CM$5*Marketing!CM$6,0)+IF(EOMONTH(DATE(YEAR(Marketing!$CH$1),MONTH(Marketing!$CH$1),1)+INT((DAY(Marketing!$CH$1)-1)/2)+'Cash Drivers'!CJ$7,0)=EOMONTH($AU$1,0),Marketing!CJ$5*Marketing!CJ$6,0)+IF(EOMONTH(DATE(YEAR(Marketing!$CE$1),MONTH(Marketing!$CE$1),1)+INT((DAY(Marketing!$CE$1)-1)/2)+'Cash Drivers'!CG$7,0)=EOMONTH($AU$1,0),Marketing!CG$5*Marketing!CG$6,0)+IF(EOMONTH(DATE(YEAR(Marketing!$CB$1),MONTH(Marketing!$CB$1),1)+INT((DAY(Marketing!$CB$1)-1)/2)+'Cash Drivers'!CD$7,0)=EOMONTH($AU$1,0),Marketing!CD$5*Marketing!CD$6,0)+IF(EOMONTH(DATE(YEAR(Marketing!$BY$1),MONTH(Marketing!$BY$1),1)+INT((DAY(Marketing!$BY$1)-1)/2)+'Cash Drivers'!CA$7,0)=EOMONTH($AU$1,0),Marketing!CA$5*Marketing!CA$6,0)+IF(EOMONTH(DATE(YEAR(Marketing!$BV$1),MONTH(Marketing!$BV$1),1)+INT((DAY(Marketing!$BV$1)-1)/2)+'Cash Drivers'!BX$7,0)=EOMONTH($AU$1,0),Marketing!BX$5*Marketing!BX$6,0)+IF(EOMONTH(DATE(YEAR(Marketing!$BS$1),MONTH(Marketing!$BS$1),1)+INT((DAY(Marketing!$BS$1)-1)/2)+'Cash Drivers'!BU$7,0)=EOMONTH($AU$1,0),Marketing!BU$5*Marketing!BU$6,0)+IF(EOMONTH(DATE(YEAR(Marketing!$BP$1),MONTH(Marketing!$BP$1),1)+INT((DAY(Marketing!$BP$1)-1)/2)+'Cash Drivers'!BR$7,0)=EOMONTH($AU$1,0),Marketing!BR$5*Marketing!BR$6,0)+IF(EOMONTH(DATE(YEAR(Marketing!$BM$1),MONTH(Marketing!$BM$1),1)+INT((DAY(Marketing!$BM$1)-1)/2)+'Cash Drivers'!BO$7,0)=EOMONTH($AU$1,0),Marketing!BO$5*Marketing!BO$6,0)+IF(EOMONTH(DATE(YEAR(Marketing!$BJ$1),MONTH(Marketing!$BJ$1),1)+INT((DAY(Marketing!$BJ$1)-1)/2)+'Cash Drivers'!BL$7,0)=EOMONTH($AU$1,0),Marketing!BL$5*Marketing!BL$6,0)+IF(EOMONTH(DATE(YEAR(Marketing!$BG$1),MONTH(Marketing!$BG$1),1)+INT((DAY(Marketing!$BG$1)-1)/2)+'Cash Drivers'!BI$7,0)=EOMONTH($AU$1,0),Marketing!BI$5*Marketing!BI$6,0)+IF(EOMONTH(DATE(YEAR(Marketing!$BD$1),MONTH(Marketing!$BD$1),1)+INT((DAY(Marketing!$BD$1)-1)/2)+'Cash Drivers'!BF$7,0)=EOMONTH($AU$1,0),Marketing!BF$5*Marketing!BF$6,0)+IF(EOMONTH(DATE(YEAR(Marketing!$BA$1),MONTH(Marketing!$BA$1),1)+INT((DAY(Marketing!$BA$1)-1)/2)+'Cash Drivers'!BC$7,0)=EOMONTH($AU$1,0),Marketing!BC$5*Marketing!BC$6,0)+IF(EOMONTH(DATE(YEAR(Marketing!$AX$1),MONTH(Marketing!$AX$1),1)+INT((DAY(Marketing!$AX$1)-1)/2)+'Cash Drivers'!AZ$7,0)=EOMONTH($AU$1,0),Marketing!AZ$5*Marketing!AZ$6,0)+IF(EOMONTH(DATE(YEAR(Marketing!$AU$1),MONTH(Marketing!$AU$1),1)+INT((DAY(Marketing!$AU$1)-1)/2)+'Cash Drivers'!AW$7,0)=EOMONTH($AU$1,0),Marketing!AW$5*Marketing!AW$6,0)+IF(EOMONTH(DATE(YEAR(Marketing!$AR$1),MONTH(Marketing!$AR$1),1)+INT((DAY(Marketing!$AR$1)-1)/2)+'Cash Drivers'!AT$7,0)=EOMONTH($AU$1,0),Marketing!AT$5*Marketing!AT$6,0)+IF(EOMONTH(DATE(YEAR(Marketing!$AO$1),MONTH(Marketing!$AO$1),1)+INT((DAY(Marketing!$AO$1)-1)/2)+'Cash Drivers'!AQ$7,0)=EOMONTH($AU$1,0),Marketing!AQ$5*Marketing!AQ$6,0)+IF(EOMONTH(DATE(YEAR(Marketing!$AL$1),MONTH(Marketing!$AL$1),1)+INT((DAY(Marketing!$AL$1)-1)/2)+'Cash Drivers'!AN$7,0)=EOMONTH($AU$1,0),Marketing!AN$5*Marketing!AN$6,0)+IF(EOMONTH(DATE(YEAR(Marketing!$AI$1),MONTH(Marketing!$AI$1),1)+INT((DAY(Marketing!$AI$1)-1)/2)+'Cash Drivers'!AK$7,0)=EOMONTH($AU$1,0),Marketing!AK$5*Marketing!AK$6,0)+IF(EOMONTH(DATE(YEAR(Marketing!$AF$1),MONTH(Marketing!$AF$1),1)+INT((DAY(Marketing!$AF$1)-1)/2)+'Cash Drivers'!AH$7,0)=EOMONTH($AU$1,0),Marketing!AH$5*Marketing!AH$6,0)+IF(EOMONTH(DATE(YEAR(Marketing!$AC$1),MONTH(Marketing!$AC$1),1)+INT((DAY(Marketing!$AC$1)-1)/2)+'Cash Drivers'!AE$7,0)=EOMONTH($AU$1,0),Marketing!AE$5*Marketing!AE$6,0)+IF(EOMONTH(DATE(YEAR(Marketing!$Z$1),MONTH(Marketing!$Z$1),1)+INT((DAY(Marketing!$Z$1)-1)/2)+'Cash Drivers'!AB$7,0)=EOMONTH($AU$1,0),Marketing!AB$5*Marketing!AB$6,0)+IF(EOMONTH(DATE(YEAR(Marketing!$W$1),MONTH(Marketing!$W$1),1)+INT((DAY(Marketing!$W$1)-1)/2)+'Cash Drivers'!Y$7,0)=EOMONTH($AU$1,0),Marketing!Y$5*Marketing!Y$6,0)+IF(EOMONTH(DATE(YEAR(Marketing!$T$1),MONTH(Marketing!$T$1),1)+INT((DAY(Marketing!$T$1)-1)/2)+'Cash Drivers'!V$7,0)=EOMONTH($AU$1,0),Marketing!V$5*Marketing!V$6,0)+IF(EOMONTH(DATE(YEAR(Marketing!$Q$1),MONTH(Marketing!$Q$1),1)+INT((DAY(Marketing!$Q$1)-1)/2)+'Cash Drivers'!S$7,0)=EOMONTH($AU$1,0),Marketing!S$5*Marketing!S$6,0)+IF(EOMONTH(DATE(YEAR(Marketing!$N$1),MONTH(Marketing!$N$1),1)+INT((DAY(Marketing!$N$1)-1)/2)+'Cash Drivers'!P$7,0)=EOMONTH($AU$1,0),Marketing!P$5*Marketing!P$6,0)+IF(EOMONTH(DATE(YEAR(Marketing!$K$1),MONTH(Marketing!$K$1),1)+INT((DAY(Marketing!$K$1)-1)/2)+'Cash Drivers'!M$7,0)=EOMONTH($AU$1,0),Marketing!M$5*Marketing!M$6,0)+0,0)</f>
        <v>107</v>
      </c>
      <c r="AX7" s="86"/>
      <c r="AY7" s="86" t="n">
        <f aca="false">IF('Cash Drivers'!AY$26,AX7,ROUND(IF(EOMONTH(DATE(YEAR(Marketing!$DL$1),MONTH(Marketing!$DL$1),1)+INT((DAY(Marketing!$DL$1)-1)/2)+'Cash Drivers'!DM$7,0)=EOMONTH($AX$1,0),Marketing!DM$5*Marketing!DM$6,0)+IF(EOMONTH(DATE(YEAR(Marketing!$DI$1),MONTH(Marketing!$DI$1),1)+INT((DAY(Marketing!$DI$1)-1)/2)+'Cash Drivers'!DJ$7,0)=EOMONTH($AX$1,0),Marketing!DJ$5*Marketing!DJ$6,0)+IF(EOMONTH(DATE(YEAR(Marketing!$DF$1),MONTH(Marketing!$DF$1),1)+INT((DAY(Marketing!$DF$1)-1)/2)+'Cash Drivers'!DG$7,0)=EOMONTH($AX$1,0),Marketing!DG$5*Marketing!DG$6,0)+IF(EOMONTH(DATE(YEAR(Marketing!$DC$1),MONTH(Marketing!$DC$1),1)+INT((DAY(Marketing!$DC$1)-1)/2)+'Cash Drivers'!DD$7,0)=EOMONTH($AX$1,0),Marketing!DD$5*Marketing!DD$6,0)+IF(EOMONTH(DATE(YEAR(Marketing!$CZ$1),MONTH(Marketing!$CZ$1),1)+INT((DAY(Marketing!$CZ$1)-1)/2)+'Cash Drivers'!DA$7,0)=EOMONTH($AX$1,0),Marketing!DA$5*Marketing!DA$6,0)+IF(EOMONTH(DATE(YEAR(Marketing!$CW$1),MONTH(Marketing!$CW$1),1)+INT((DAY(Marketing!$CW$1)-1)/2)+'Cash Drivers'!CX$7,0)=EOMONTH($AX$1,0),Marketing!CX$5*Marketing!CX$6,0)+IF(EOMONTH(DATE(YEAR(Marketing!$CT$1),MONTH(Marketing!$CT$1),1)+INT((DAY(Marketing!$CT$1)-1)/2)+'Cash Drivers'!CU$7,0)=EOMONTH($AX$1,0),Marketing!CU$5*Marketing!CU$6,0)+IF(EOMONTH(DATE(YEAR(Marketing!$CQ$1),MONTH(Marketing!$CQ$1),1)+INT((DAY(Marketing!$CQ$1)-1)/2)+'Cash Drivers'!CR$7,0)=EOMONTH($AX$1,0),Marketing!CR$5*Marketing!CR$6,0)+IF(EOMONTH(DATE(YEAR(Marketing!$CN$1),MONTH(Marketing!$CN$1),1)+INT((DAY(Marketing!$CN$1)-1)/2)+'Cash Drivers'!CO$7,0)=EOMONTH($AX$1,0),Marketing!CO$5*Marketing!CO$6,0)+IF(EOMONTH(DATE(YEAR(Marketing!$CK$1),MONTH(Marketing!$CK$1),1)+INT((DAY(Marketing!$CK$1)-1)/2)+'Cash Drivers'!CL$7,0)=EOMONTH($AX$1,0),Marketing!CL$5*Marketing!CL$6,0)+IF(EOMONTH(DATE(YEAR(Marketing!$CH$1),MONTH(Marketing!$CH$1),1)+INT((DAY(Marketing!$CH$1)-1)/2)+'Cash Drivers'!CI$7,0)=EOMONTH($AX$1,0),Marketing!CI$5*Marketing!CI$6,0)+IF(EOMONTH(DATE(YEAR(Marketing!$CE$1),MONTH(Marketing!$CE$1),1)+INT((DAY(Marketing!$CE$1)-1)/2)+'Cash Drivers'!CF$7,0)=EOMONTH($AX$1,0),Marketing!CF$5*Marketing!CF$6,0)+IF(EOMONTH(DATE(YEAR(Marketing!$CB$1),MONTH(Marketing!$CB$1),1)+INT((DAY(Marketing!$CB$1)-1)/2)+'Cash Drivers'!CC$7,0)=EOMONTH($AX$1,0),Marketing!CC$5*Marketing!CC$6,0)+IF(EOMONTH(DATE(YEAR(Marketing!$BY$1),MONTH(Marketing!$BY$1),1)+INT((DAY(Marketing!$BY$1)-1)/2)+'Cash Drivers'!BZ$7,0)=EOMONTH($AX$1,0),Marketing!BZ$5*Marketing!BZ$6,0)+IF(EOMONTH(DATE(YEAR(Marketing!$BV$1),MONTH(Marketing!$BV$1),1)+INT((DAY(Marketing!$BV$1)-1)/2)+'Cash Drivers'!BW$7,0)=EOMONTH($AX$1,0),Marketing!BW$5*Marketing!BW$6,0)+IF(EOMONTH(DATE(YEAR(Marketing!$BS$1),MONTH(Marketing!$BS$1),1)+INT((DAY(Marketing!$BS$1)-1)/2)+'Cash Drivers'!BT$7,0)=EOMONTH($AX$1,0),Marketing!BT$5*Marketing!BT$6,0)+IF(EOMONTH(DATE(YEAR(Marketing!$BP$1),MONTH(Marketing!$BP$1),1)+INT((DAY(Marketing!$BP$1)-1)/2)+'Cash Drivers'!BQ$7,0)=EOMONTH($AX$1,0),Marketing!BQ$5*Marketing!BQ$6,0)+IF(EOMONTH(DATE(YEAR(Marketing!$BM$1),MONTH(Marketing!$BM$1),1)+INT((DAY(Marketing!$BM$1)-1)/2)+'Cash Drivers'!BN$7,0)=EOMONTH($AX$1,0),Marketing!BN$5*Marketing!BN$6,0)+IF(EOMONTH(DATE(YEAR(Marketing!$BJ$1),MONTH(Marketing!$BJ$1),1)+INT((DAY(Marketing!$BJ$1)-1)/2)+'Cash Drivers'!BK$7,0)=EOMONTH($AX$1,0),Marketing!BK$5*Marketing!BK$6,0)+IF(EOMONTH(DATE(YEAR(Marketing!$BG$1),MONTH(Marketing!$BG$1),1)+INT((DAY(Marketing!$BG$1)-1)/2)+'Cash Drivers'!BH$7,0)=EOMONTH($AX$1,0),Marketing!BH$5*Marketing!BH$6,0)+IF(EOMONTH(DATE(YEAR(Marketing!$BD$1),MONTH(Marketing!$BD$1),1)+INT((DAY(Marketing!$BD$1)-1)/2)+'Cash Drivers'!BE$7,0)=EOMONTH($AX$1,0),Marketing!BE$5*Marketing!BE$6,0)+IF(EOMONTH(DATE(YEAR(Marketing!$BA$1),MONTH(Marketing!$BA$1),1)+INT((DAY(Marketing!$BA$1)-1)/2)+'Cash Drivers'!BB$7,0)=EOMONTH($AX$1,0),Marketing!BB$5*Marketing!BB$6,0)+IF(EOMONTH(DATE(YEAR(Marketing!$AX$1),MONTH(Marketing!$AX$1),1)+INT((DAY(Marketing!$AX$1)-1)/2)+'Cash Drivers'!AY$7,0)=EOMONTH($AX$1,0),Marketing!AY$5*Marketing!AY$6,0)+IF(EOMONTH(DATE(YEAR(Marketing!$AU$1),MONTH(Marketing!$AU$1),1)+INT((DAY(Marketing!$AU$1)-1)/2)+'Cash Drivers'!AV$7,0)=EOMONTH($AX$1,0),Marketing!AV$5*Marketing!AV$6,0)+IF(EOMONTH(DATE(YEAR(Marketing!$AR$1),MONTH(Marketing!$AR$1),1)+INT((DAY(Marketing!$AR$1)-1)/2)+'Cash Drivers'!AS$7,0)=EOMONTH($AX$1,0),Marketing!AS$5*Marketing!AS$6,0)+IF(EOMONTH(DATE(YEAR(Marketing!$AO$1),MONTH(Marketing!$AO$1),1)+INT((DAY(Marketing!$AO$1)-1)/2)+'Cash Drivers'!AP$7,0)=EOMONTH($AX$1,0),Marketing!AP$5*Marketing!AP$6,0)+IF(EOMONTH(DATE(YEAR(Marketing!$AL$1),MONTH(Marketing!$AL$1),1)+INT((DAY(Marketing!$AL$1)-1)/2)+'Cash Drivers'!AM$7,0)=EOMONTH($AX$1,0),Marketing!AM$5*Marketing!AM$6,0)+IF(EOMONTH(DATE(YEAR(Marketing!$AI$1),MONTH(Marketing!$AI$1),1)+INT((DAY(Marketing!$AI$1)-1)/2)+'Cash Drivers'!AJ$7,0)=EOMONTH($AX$1,0),Marketing!AJ$5*Marketing!AJ$6,0)+IF(EOMONTH(DATE(YEAR(Marketing!$AF$1),MONTH(Marketing!$AF$1),1)+INT((DAY(Marketing!$AF$1)-1)/2)+'Cash Drivers'!AG$7,0)=EOMONTH($AX$1,0),Marketing!AG$5*Marketing!AG$6,0)+IF(EOMONTH(DATE(YEAR(Marketing!$AC$1),MONTH(Marketing!$AC$1),1)+INT((DAY(Marketing!$AC$1)-1)/2)+'Cash Drivers'!AD$7,0)=EOMONTH($AX$1,0),Marketing!AD$5*Marketing!AD$6,0)+IF(EOMONTH(DATE(YEAR(Marketing!$Z$1),MONTH(Marketing!$Z$1),1)+INT((DAY(Marketing!$Z$1)-1)/2)+'Cash Drivers'!AA$7,0)=EOMONTH($AX$1,0),Marketing!AA$5*Marketing!AA$6,0)+IF(EOMONTH(DATE(YEAR(Marketing!$W$1),MONTH(Marketing!$W$1),1)+INT((DAY(Marketing!$W$1)-1)/2)+'Cash Drivers'!X$7,0)=EOMONTH($AX$1,0),Marketing!X$5*Marketing!X$6,0)+IF(EOMONTH(DATE(YEAR(Marketing!$T$1),MONTH(Marketing!$T$1),1)+INT((DAY(Marketing!$T$1)-1)/2)+'Cash Drivers'!U$7,0)=EOMONTH($AX$1,0),Marketing!U$5*Marketing!U$6,0)+IF(EOMONTH(DATE(YEAR(Marketing!$Q$1),MONTH(Marketing!$Q$1),1)+INT((DAY(Marketing!$Q$1)-1)/2)+'Cash Drivers'!R$7,0)=EOMONTH($AX$1,0),Marketing!R$5*Marketing!R$6,0)+IF(EOMONTH(DATE(YEAR(Marketing!$N$1),MONTH(Marketing!$N$1),1)+INT((DAY(Marketing!$N$1)-1)/2)+'Cash Drivers'!O$7,0)=EOMONTH($AX$1,0),Marketing!O$5*Marketing!O$6,0)+IF(EOMONTH(DATE(YEAR(Marketing!$K$1),MONTH(Marketing!$K$1),1)+INT((DAY(Marketing!$K$1)-1)/2)+'Cash Drivers'!L$7,0)=EOMONTH($AX$1,0),Marketing!L$5*Marketing!L$6,0)+0,0))</f>
        <v>107</v>
      </c>
      <c r="AZ7" s="86" t="n">
        <f aca="false">ROUND(IF(EOMONTH(DATE(YEAR(Marketing!$DL$1),MONTH(Marketing!$DL$1),1)+INT((DAY(Marketing!$DL$1)-1)/2)+'Cash Drivers'!DN$7,0)=EOMONTH($AX$1,0),Marketing!DN$5*Marketing!DN$6,0)+IF(EOMONTH(DATE(YEAR(Marketing!$DI$1),MONTH(Marketing!$DI$1),1)+INT((DAY(Marketing!$DI$1)-1)/2)+'Cash Drivers'!DK$7,0)=EOMONTH($AX$1,0),Marketing!DK$5*Marketing!DK$6,0)+IF(EOMONTH(DATE(YEAR(Marketing!$DF$1),MONTH(Marketing!$DF$1),1)+INT((DAY(Marketing!$DF$1)-1)/2)+'Cash Drivers'!DH$7,0)=EOMONTH($AX$1,0),Marketing!DH$5*Marketing!DH$6,0)+IF(EOMONTH(DATE(YEAR(Marketing!$DC$1),MONTH(Marketing!$DC$1),1)+INT((DAY(Marketing!$DC$1)-1)/2)+'Cash Drivers'!DE$7,0)=EOMONTH($AX$1,0),Marketing!DE$5*Marketing!DE$6,0)+IF(EOMONTH(DATE(YEAR(Marketing!$CZ$1),MONTH(Marketing!$CZ$1),1)+INT((DAY(Marketing!$CZ$1)-1)/2)+'Cash Drivers'!DB$7,0)=EOMONTH($AX$1,0),Marketing!DB$5*Marketing!DB$6,0)+IF(EOMONTH(DATE(YEAR(Marketing!$CW$1),MONTH(Marketing!$CW$1),1)+INT((DAY(Marketing!$CW$1)-1)/2)+'Cash Drivers'!CY$7,0)=EOMONTH($AX$1,0),Marketing!CY$5*Marketing!CY$6,0)+IF(EOMONTH(DATE(YEAR(Marketing!$CT$1),MONTH(Marketing!$CT$1),1)+INT((DAY(Marketing!$CT$1)-1)/2)+'Cash Drivers'!CV$7,0)=EOMONTH($AX$1,0),Marketing!CV$5*Marketing!CV$6,0)+IF(EOMONTH(DATE(YEAR(Marketing!$CQ$1),MONTH(Marketing!$CQ$1),1)+INT((DAY(Marketing!$CQ$1)-1)/2)+'Cash Drivers'!CS$7,0)=EOMONTH($AX$1,0),Marketing!CS$5*Marketing!CS$6,0)+IF(EOMONTH(DATE(YEAR(Marketing!$CN$1),MONTH(Marketing!$CN$1),1)+INT((DAY(Marketing!$CN$1)-1)/2)+'Cash Drivers'!CP$7,0)=EOMONTH($AX$1,0),Marketing!CP$5*Marketing!CP$6,0)+IF(EOMONTH(DATE(YEAR(Marketing!$CK$1),MONTH(Marketing!$CK$1),1)+INT((DAY(Marketing!$CK$1)-1)/2)+'Cash Drivers'!CM$7,0)=EOMONTH($AX$1,0),Marketing!CM$5*Marketing!CM$6,0)+IF(EOMONTH(DATE(YEAR(Marketing!$CH$1),MONTH(Marketing!$CH$1),1)+INT((DAY(Marketing!$CH$1)-1)/2)+'Cash Drivers'!CJ$7,0)=EOMONTH($AX$1,0),Marketing!CJ$5*Marketing!CJ$6,0)+IF(EOMONTH(DATE(YEAR(Marketing!$CE$1),MONTH(Marketing!$CE$1),1)+INT((DAY(Marketing!$CE$1)-1)/2)+'Cash Drivers'!CG$7,0)=EOMONTH($AX$1,0),Marketing!CG$5*Marketing!CG$6,0)+IF(EOMONTH(DATE(YEAR(Marketing!$CB$1),MONTH(Marketing!$CB$1),1)+INT((DAY(Marketing!$CB$1)-1)/2)+'Cash Drivers'!CD$7,0)=EOMONTH($AX$1,0),Marketing!CD$5*Marketing!CD$6,0)+IF(EOMONTH(DATE(YEAR(Marketing!$BY$1),MONTH(Marketing!$BY$1),1)+INT((DAY(Marketing!$BY$1)-1)/2)+'Cash Drivers'!CA$7,0)=EOMONTH($AX$1,0),Marketing!CA$5*Marketing!CA$6,0)+IF(EOMONTH(DATE(YEAR(Marketing!$BV$1),MONTH(Marketing!$BV$1),1)+INT((DAY(Marketing!$BV$1)-1)/2)+'Cash Drivers'!BX$7,0)=EOMONTH($AX$1,0),Marketing!BX$5*Marketing!BX$6,0)+IF(EOMONTH(DATE(YEAR(Marketing!$BS$1),MONTH(Marketing!$BS$1),1)+INT((DAY(Marketing!$BS$1)-1)/2)+'Cash Drivers'!BU$7,0)=EOMONTH($AX$1,0),Marketing!BU$5*Marketing!BU$6,0)+IF(EOMONTH(DATE(YEAR(Marketing!$BP$1),MONTH(Marketing!$BP$1),1)+INT((DAY(Marketing!$BP$1)-1)/2)+'Cash Drivers'!BR$7,0)=EOMONTH($AX$1,0),Marketing!BR$5*Marketing!BR$6,0)+IF(EOMONTH(DATE(YEAR(Marketing!$BM$1),MONTH(Marketing!$BM$1),1)+INT((DAY(Marketing!$BM$1)-1)/2)+'Cash Drivers'!BO$7,0)=EOMONTH($AX$1,0),Marketing!BO$5*Marketing!BO$6,0)+IF(EOMONTH(DATE(YEAR(Marketing!$BJ$1),MONTH(Marketing!$BJ$1),1)+INT((DAY(Marketing!$BJ$1)-1)/2)+'Cash Drivers'!BL$7,0)=EOMONTH($AX$1,0),Marketing!BL$5*Marketing!BL$6,0)+IF(EOMONTH(DATE(YEAR(Marketing!$BG$1),MONTH(Marketing!$BG$1),1)+INT((DAY(Marketing!$BG$1)-1)/2)+'Cash Drivers'!BI$7,0)=EOMONTH($AX$1,0),Marketing!BI$5*Marketing!BI$6,0)+IF(EOMONTH(DATE(YEAR(Marketing!$BD$1),MONTH(Marketing!$BD$1),1)+INT((DAY(Marketing!$BD$1)-1)/2)+'Cash Drivers'!BF$7,0)=EOMONTH($AX$1,0),Marketing!BF$5*Marketing!BF$6,0)+IF(EOMONTH(DATE(YEAR(Marketing!$BA$1),MONTH(Marketing!$BA$1),1)+INT((DAY(Marketing!$BA$1)-1)/2)+'Cash Drivers'!BC$7,0)=EOMONTH($AX$1,0),Marketing!BC$5*Marketing!BC$6,0)+IF(EOMONTH(DATE(YEAR(Marketing!$AX$1),MONTH(Marketing!$AX$1),1)+INT((DAY(Marketing!$AX$1)-1)/2)+'Cash Drivers'!AZ$7,0)=EOMONTH($AX$1,0),Marketing!AZ$5*Marketing!AZ$6,0)+IF(EOMONTH(DATE(YEAR(Marketing!$AU$1),MONTH(Marketing!$AU$1),1)+INT((DAY(Marketing!$AU$1)-1)/2)+'Cash Drivers'!AW$7,0)=EOMONTH($AX$1,0),Marketing!AW$5*Marketing!AW$6,0)+IF(EOMONTH(DATE(YEAR(Marketing!$AR$1),MONTH(Marketing!$AR$1),1)+INT((DAY(Marketing!$AR$1)-1)/2)+'Cash Drivers'!AT$7,0)=EOMONTH($AX$1,0),Marketing!AT$5*Marketing!AT$6,0)+IF(EOMONTH(DATE(YEAR(Marketing!$AO$1),MONTH(Marketing!$AO$1),1)+INT((DAY(Marketing!$AO$1)-1)/2)+'Cash Drivers'!AQ$7,0)=EOMONTH($AX$1,0),Marketing!AQ$5*Marketing!AQ$6,0)+IF(EOMONTH(DATE(YEAR(Marketing!$AL$1),MONTH(Marketing!$AL$1),1)+INT((DAY(Marketing!$AL$1)-1)/2)+'Cash Drivers'!AN$7,0)=EOMONTH($AX$1,0),Marketing!AN$5*Marketing!AN$6,0)+IF(EOMONTH(DATE(YEAR(Marketing!$AI$1),MONTH(Marketing!$AI$1),1)+INT((DAY(Marketing!$AI$1)-1)/2)+'Cash Drivers'!AK$7,0)=EOMONTH($AX$1,0),Marketing!AK$5*Marketing!AK$6,0)+IF(EOMONTH(DATE(YEAR(Marketing!$AF$1),MONTH(Marketing!$AF$1),1)+INT((DAY(Marketing!$AF$1)-1)/2)+'Cash Drivers'!AH$7,0)=EOMONTH($AX$1,0),Marketing!AH$5*Marketing!AH$6,0)+IF(EOMONTH(DATE(YEAR(Marketing!$AC$1),MONTH(Marketing!$AC$1),1)+INT((DAY(Marketing!$AC$1)-1)/2)+'Cash Drivers'!AE$7,0)=EOMONTH($AX$1,0),Marketing!AE$5*Marketing!AE$6,0)+IF(EOMONTH(DATE(YEAR(Marketing!$Z$1),MONTH(Marketing!$Z$1),1)+INT((DAY(Marketing!$Z$1)-1)/2)+'Cash Drivers'!AB$7,0)=EOMONTH($AX$1,0),Marketing!AB$5*Marketing!AB$6,0)+IF(EOMONTH(DATE(YEAR(Marketing!$W$1),MONTH(Marketing!$W$1),1)+INT((DAY(Marketing!$W$1)-1)/2)+'Cash Drivers'!Y$7,0)=EOMONTH($AX$1,0),Marketing!Y$5*Marketing!Y$6,0)+IF(EOMONTH(DATE(YEAR(Marketing!$T$1),MONTH(Marketing!$T$1),1)+INT((DAY(Marketing!$T$1)-1)/2)+'Cash Drivers'!V$7,0)=EOMONTH($AX$1,0),Marketing!V$5*Marketing!V$6,0)+IF(EOMONTH(DATE(YEAR(Marketing!$Q$1),MONTH(Marketing!$Q$1),1)+INT((DAY(Marketing!$Q$1)-1)/2)+'Cash Drivers'!S$7,0)=EOMONTH($AX$1,0),Marketing!S$5*Marketing!S$6,0)+IF(EOMONTH(DATE(YEAR(Marketing!$N$1),MONTH(Marketing!$N$1),1)+INT((DAY(Marketing!$N$1)-1)/2)+'Cash Drivers'!P$7,0)=EOMONTH($AX$1,0),Marketing!P$5*Marketing!P$6,0)+IF(EOMONTH(DATE(YEAR(Marketing!$K$1),MONTH(Marketing!$K$1),1)+INT((DAY(Marketing!$K$1)-1)/2)+'Cash Drivers'!M$7,0)=EOMONTH($AX$1,0),Marketing!M$5*Marketing!M$6,0)+0,0)</f>
        <v>107</v>
      </c>
      <c r="BA7" s="87"/>
      <c r="BB7" s="87" t="n">
        <f aca="false">IF('Cash Drivers'!BB$26,BA7,ROUND(IF(EOMONTH(DATE(YEAR(Marketing!$DL$1),MONTH(Marketing!$DL$1),1)+INT((DAY(Marketing!$DL$1)-1)/2)+'Cash Drivers'!DM$7,0)=EOMONTH($BA$1,0),Marketing!DM$5*Marketing!DM$6,0)+IF(EOMONTH(DATE(YEAR(Marketing!$DI$1),MONTH(Marketing!$DI$1),1)+INT((DAY(Marketing!$DI$1)-1)/2)+'Cash Drivers'!DJ$7,0)=EOMONTH($BA$1,0),Marketing!DJ$5*Marketing!DJ$6,0)+IF(EOMONTH(DATE(YEAR(Marketing!$DF$1),MONTH(Marketing!$DF$1),1)+INT((DAY(Marketing!$DF$1)-1)/2)+'Cash Drivers'!DG$7,0)=EOMONTH($BA$1,0),Marketing!DG$5*Marketing!DG$6,0)+IF(EOMONTH(DATE(YEAR(Marketing!$DC$1),MONTH(Marketing!$DC$1),1)+INT((DAY(Marketing!$DC$1)-1)/2)+'Cash Drivers'!DD$7,0)=EOMONTH($BA$1,0),Marketing!DD$5*Marketing!DD$6,0)+IF(EOMONTH(DATE(YEAR(Marketing!$CZ$1),MONTH(Marketing!$CZ$1),1)+INT((DAY(Marketing!$CZ$1)-1)/2)+'Cash Drivers'!DA$7,0)=EOMONTH($BA$1,0),Marketing!DA$5*Marketing!DA$6,0)+IF(EOMONTH(DATE(YEAR(Marketing!$CW$1),MONTH(Marketing!$CW$1),1)+INT((DAY(Marketing!$CW$1)-1)/2)+'Cash Drivers'!CX$7,0)=EOMONTH($BA$1,0),Marketing!CX$5*Marketing!CX$6,0)+IF(EOMONTH(DATE(YEAR(Marketing!$CT$1),MONTH(Marketing!$CT$1),1)+INT((DAY(Marketing!$CT$1)-1)/2)+'Cash Drivers'!CU$7,0)=EOMONTH($BA$1,0),Marketing!CU$5*Marketing!CU$6,0)+IF(EOMONTH(DATE(YEAR(Marketing!$CQ$1),MONTH(Marketing!$CQ$1),1)+INT((DAY(Marketing!$CQ$1)-1)/2)+'Cash Drivers'!CR$7,0)=EOMONTH($BA$1,0),Marketing!CR$5*Marketing!CR$6,0)+IF(EOMONTH(DATE(YEAR(Marketing!$CN$1),MONTH(Marketing!$CN$1),1)+INT((DAY(Marketing!$CN$1)-1)/2)+'Cash Drivers'!CO$7,0)=EOMONTH($BA$1,0),Marketing!CO$5*Marketing!CO$6,0)+IF(EOMONTH(DATE(YEAR(Marketing!$CK$1),MONTH(Marketing!$CK$1),1)+INT((DAY(Marketing!$CK$1)-1)/2)+'Cash Drivers'!CL$7,0)=EOMONTH($BA$1,0),Marketing!CL$5*Marketing!CL$6,0)+IF(EOMONTH(DATE(YEAR(Marketing!$CH$1),MONTH(Marketing!$CH$1),1)+INT((DAY(Marketing!$CH$1)-1)/2)+'Cash Drivers'!CI$7,0)=EOMONTH($BA$1,0),Marketing!CI$5*Marketing!CI$6,0)+IF(EOMONTH(DATE(YEAR(Marketing!$CE$1),MONTH(Marketing!$CE$1),1)+INT((DAY(Marketing!$CE$1)-1)/2)+'Cash Drivers'!CF$7,0)=EOMONTH($BA$1,0),Marketing!CF$5*Marketing!CF$6,0)+IF(EOMONTH(DATE(YEAR(Marketing!$CB$1),MONTH(Marketing!$CB$1),1)+INT((DAY(Marketing!$CB$1)-1)/2)+'Cash Drivers'!CC$7,0)=EOMONTH($BA$1,0),Marketing!CC$5*Marketing!CC$6,0)+IF(EOMONTH(DATE(YEAR(Marketing!$BY$1),MONTH(Marketing!$BY$1),1)+INT((DAY(Marketing!$BY$1)-1)/2)+'Cash Drivers'!BZ$7,0)=EOMONTH($BA$1,0),Marketing!BZ$5*Marketing!BZ$6,0)+IF(EOMONTH(DATE(YEAR(Marketing!$BV$1),MONTH(Marketing!$BV$1),1)+INT((DAY(Marketing!$BV$1)-1)/2)+'Cash Drivers'!BW$7,0)=EOMONTH($BA$1,0),Marketing!BW$5*Marketing!BW$6,0)+IF(EOMONTH(DATE(YEAR(Marketing!$BS$1),MONTH(Marketing!$BS$1),1)+INT((DAY(Marketing!$BS$1)-1)/2)+'Cash Drivers'!BT$7,0)=EOMONTH($BA$1,0),Marketing!BT$5*Marketing!BT$6,0)+IF(EOMONTH(DATE(YEAR(Marketing!$BP$1),MONTH(Marketing!$BP$1),1)+INT((DAY(Marketing!$BP$1)-1)/2)+'Cash Drivers'!BQ$7,0)=EOMONTH($BA$1,0),Marketing!BQ$5*Marketing!BQ$6,0)+IF(EOMONTH(DATE(YEAR(Marketing!$BM$1),MONTH(Marketing!$BM$1),1)+INT((DAY(Marketing!$BM$1)-1)/2)+'Cash Drivers'!BN$7,0)=EOMONTH($BA$1,0),Marketing!BN$5*Marketing!BN$6,0)+IF(EOMONTH(DATE(YEAR(Marketing!$BJ$1),MONTH(Marketing!$BJ$1),1)+INT((DAY(Marketing!$BJ$1)-1)/2)+'Cash Drivers'!BK$7,0)=EOMONTH($BA$1,0),Marketing!BK$5*Marketing!BK$6,0)+IF(EOMONTH(DATE(YEAR(Marketing!$BG$1),MONTH(Marketing!$BG$1),1)+INT((DAY(Marketing!$BG$1)-1)/2)+'Cash Drivers'!BH$7,0)=EOMONTH($BA$1,0),Marketing!BH$5*Marketing!BH$6,0)+IF(EOMONTH(DATE(YEAR(Marketing!$BD$1),MONTH(Marketing!$BD$1),1)+INT((DAY(Marketing!$BD$1)-1)/2)+'Cash Drivers'!BE$7,0)=EOMONTH($BA$1,0),Marketing!BE$5*Marketing!BE$6,0)+IF(EOMONTH(DATE(YEAR(Marketing!$BA$1),MONTH(Marketing!$BA$1),1)+INT((DAY(Marketing!$BA$1)-1)/2)+'Cash Drivers'!BB$7,0)=EOMONTH($BA$1,0),Marketing!BB$5*Marketing!BB$6,0)+IF(EOMONTH(DATE(YEAR(Marketing!$AX$1),MONTH(Marketing!$AX$1),1)+INT((DAY(Marketing!$AX$1)-1)/2)+'Cash Drivers'!AY$7,0)=EOMONTH($BA$1,0),Marketing!AY$5*Marketing!AY$6,0)+IF(EOMONTH(DATE(YEAR(Marketing!$AU$1),MONTH(Marketing!$AU$1),1)+INT((DAY(Marketing!$AU$1)-1)/2)+'Cash Drivers'!AV$7,0)=EOMONTH($BA$1,0),Marketing!AV$5*Marketing!AV$6,0)+IF(EOMONTH(DATE(YEAR(Marketing!$AR$1),MONTH(Marketing!$AR$1),1)+INT((DAY(Marketing!$AR$1)-1)/2)+'Cash Drivers'!AS$7,0)=EOMONTH($BA$1,0),Marketing!AS$5*Marketing!AS$6,0)+IF(EOMONTH(DATE(YEAR(Marketing!$AO$1),MONTH(Marketing!$AO$1),1)+INT((DAY(Marketing!$AO$1)-1)/2)+'Cash Drivers'!AP$7,0)=EOMONTH($BA$1,0),Marketing!AP$5*Marketing!AP$6,0)+IF(EOMONTH(DATE(YEAR(Marketing!$AL$1),MONTH(Marketing!$AL$1),1)+INT((DAY(Marketing!$AL$1)-1)/2)+'Cash Drivers'!AM$7,0)=EOMONTH($BA$1,0),Marketing!AM$5*Marketing!AM$6,0)+IF(EOMONTH(DATE(YEAR(Marketing!$AI$1),MONTH(Marketing!$AI$1),1)+INT((DAY(Marketing!$AI$1)-1)/2)+'Cash Drivers'!AJ$7,0)=EOMONTH($BA$1,0),Marketing!AJ$5*Marketing!AJ$6,0)+IF(EOMONTH(DATE(YEAR(Marketing!$AF$1),MONTH(Marketing!$AF$1),1)+INT((DAY(Marketing!$AF$1)-1)/2)+'Cash Drivers'!AG$7,0)=EOMONTH($BA$1,0),Marketing!AG$5*Marketing!AG$6,0)+IF(EOMONTH(DATE(YEAR(Marketing!$AC$1),MONTH(Marketing!$AC$1),1)+INT((DAY(Marketing!$AC$1)-1)/2)+'Cash Drivers'!AD$7,0)=EOMONTH($BA$1,0),Marketing!AD$5*Marketing!AD$6,0)+IF(EOMONTH(DATE(YEAR(Marketing!$Z$1),MONTH(Marketing!$Z$1),1)+INT((DAY(Marketing!$Z$1)-1)/2)+'Cash Drivers'!AA$7,0)=EOMONTH($BA$1,0),Marketing!AA$5*Marketing!AA$6,0)+IF(EOMONTH(DATE(YEAR(Marketing!$W$1),MONTH(Marketing!$W$1),1)+INT((DAY(Marketing!$W$1)-1)/2)+'Cash Drivers'!X$7,0)=EOMONTH($BA$1,0),Marketing!X$5*Marketing!X$6,0)+IF(EOMONTH(DATE(YEAR(Marketing!$T$1),MONTH(Marketing!$T$1),1)+INT((DAY(Marketing!$T$1)-1)/2)+'Cash Drivers'!U$7,0)=EOMONTH($BA$1,0),Marketing!U$5*Marketing!U$6,0)+IF(EOMONTH(DATE(YEAR(Marketing!$Q$1),MONTH(Marketing!$Q$1),1)+INT((DAY(Marketing!$Q$1)-1)/2)+'Cash Drivers'!R$7,0)=EOMONTH($BA$1,0),Marketing!R$5*Marketing!R$6,0)+IF(EOMONTH(DATE(YEAR(Marketing!$N$1),MONTH(Marketing!$N$1),1)+INT((DAY(Marketing!$N$1)-1)/2)+'Cash Drivers'!O$7,0)=EOMONTH($BA$1,0),Marketing!O$5*Marketing!O$6,0)+IF(EOMONTH(DATE(YEAR(Marketing!$K$1),MONTH(Marketing!$K$1),1)+INT((DAY(Marketing!$K$1)-1)/2)+'Cash Drivers'!L$7,0)=EOMONTH($BA$1,0),Marketing!L$5*Marketing!L$6,0)+0,0))</f>
        <v>107</v>
      </c>
      <c r="BC7" s="87" t="n">
        <f aca="false">ROUND(IF(EOMONTH(DATE(YEAR(Marketing!$DL$1),MONTH(Marketing!$DL$1),1)+INT((DAY(Marketing!$DL$1)-1)/2)+'Cash Drivers'!DN$7,0)=EOMONTH($BA$1,0),Marketing!DN$5*Marketing!DN$6,0)+IF(EOMONTH(DATE(YEAR(Marketing!$DI$1),MONTH(Marketing!$DI$1),1)+INT((DAY(Marketing!$DI$1)-1)/2)+'Cash Drivers'!DK$7,0)=EOMONTH($BA$1,0),Marketing!DK$5*Marketing!DK$6,0)+IF(EOMONTH(DATE(YEAR(Marketing!$DF$1),MONTH(Marketing!$DF$1),1)+INT((DAY(Marketing!$DF$1)-1)/2)+'Cash Drivers'!DH$7,0)=EOMONTH($BA$1,0),Marketing!DH$5*Marketing!DH$6,0)+IF(EOMONTH(DATE(YEAR(Marketing!$DC$1),MONTH(Marketing!$DC$1),1)+INT((DAY(Marketing!$DC$1)-1)/2)+'Cash Drivers'!DE$7,0)=EOMONTH($BA$1,0),Marketing!DE$5*Marketing!DE$6,0)+IF(EOMONTH(DATE(YEAR(Marketing!$CZ$1),MONTH(Marketing!$CZ$1),1)+INT((DAY(Marketing!$CZ$1)-1)/2)+'Cash Drivers'!DB$7,0)=EOMONTH($BA$1,0),Marketing!DB$5*Marketing!DB$6,0)+IF(EOMONTH(DATE(YEAR(Marketing!$CW$1),MONTH(Marketing!$CW$1),1)+INT((DAY(Marketing!$CW$1)-1)/2)+'Cash Drivers'!CY$7,0)=EOMONTH($BA$1,0),Marketing!CY$5*Marketing!CY$6,0)+IF(EOMONTH(DATE(YEAR(Marketing!$CT$1),MONTH(Marketing!$CT$1),1)+INT((DAY(Marketing!$CT$1)-1)/2)+'Cash Drivers'!CV$7,0)=EOMONTH($BA$1,0),Marketing!CV$5*Marketing!CV$6,0)+IF(EOMONTH(DATE(YEAR(Marketing!$CQ$1),MONTH(Marketing!$CQ$1),1)+INT((DAY(Marketing!$CQ$1)-1)/2)+'Cash Drivers'!CS$7,0)=EOMONTH($BA$1,0),Marketing!CS$5*Marketing!CS$6,0)+IF(EOMONTH(DATE(YEAR(Marketing!$CN$1),MONTH(Marketing!$CN$1),1)+INT((DAY(Marketing!$CN$1)-1)/2)+'Cash Drivers'!CP$7,0)=EOMONTH($BA$1,0),Marketing!CP$5*Marketing!CP$6,0)+IF(EOMONTH(DATE(YEAR(Marketing!$CK$1),MONTH(Marketing!$CK$1),1)+INT((DAY(Marketing!$CK$1)-1)/2)+'Cash Drivers'!CM$7,0)=EOMONTH($BA$1,0),Marketing!CM$5*Marketing!CM$6,0)+IF(EOMONTH(DATE(YEAR(Marketing!$CH$1),MONTH(Marketing!$CH$1),1)+INT((DAY(Marketing!$CH$1)-1)/2)+'Cash Drivers'!CJ$7,0)=EOMONTH($BA$1,0),Marketing!CJ$5*Marketing!CJ$6,0)+IF(EOMONTH(DATE(YEAR(Marketing!$CE$1),MONTH(Marketing!$CE$1),1)+INT((DAY(Marketing!$CE$1)-1)/2)+'Cash Drivers'!CG$7,0)=EOMONTH($BA$1,0),Marketing!CG$5*Marketing!CG$6,0)+IF(EOMONTH(DATE(YEAR(Marketing!$CB$1),MONTH(Marketing!$CB$1),1)+INT((DAY(Marketing!$CB$1)-1)/2)+'Cash Drivers'!CD$7,0)=EOMONTH($BA$1,0),Marketing!CD$5*Marketing!CD$6,0)+IF(EOMONTH(DATE(YEAR(Marketing!$BY$1),MONTH(Marketing!$BY$1),1)+INT((DAY(Marketing!$BY$1)-1)/2)+'Cash Drivers'!CA$7,0)=EOMONTH($BA$1,0),Marketing!CA$5*Marketing!CA$6,0)+IF(EOMONTH(DATE(YEAR(Marketing!$BV$1),MONTH(Marketing!$BV$1),1)+INT((DAY(Marketing!$BV$1)-1)/2)+'Cash Drivers'!BX$7,0)=EOMONTH($BA$1,0),Marketing!BX$5*Marketing!BX$6,0)+IF(EOMONTH(DATE(YEAR(Marketing!$BS$1),MONTH(Marketing!$BS$1),1)+INT((DAY(Marketing!$BS$1)-1)/2)+'Cash Drivers'!BU$7,0)=EOMONTH($BA$1,0),Marketing!BU$5*Marketing!BU$6,0)+IF(EOMONTH(DATE(YEAR(Marketing!$BP$1),MONTH(Marketing!$BP$1),1)+INT((DAY(Marketing!$BP$1)-1)/2)+'Cash Drivers'!BR$7,0)=EOMONTH($BA$1,0),Marketing!BR$5*Marketing!BR$6,0)+IF(EOMONTH(DATE(YEAR(Marketing!$BM$1),MONTH(Marketing!$BM$1),1)+INT((DAY(Marketing!$BM$1)-1)/2)+'Cash Drivers'!BO$7,0)=EOMONTH($BA$1,0),Marketing!BO$5*Marketing!BO$6,0)+IF(EOMONTH(DATE(YEAR(Marketing!$BJ$1),MONTH(Marketing!$BJ$1),1)+INT((DAY(Marketing!$BJ$1)-1)/2)+'Cash Drivers'!BL$7,0)=EOMONTH($BA$1,0),Marketing!BL$5*Marketing!BL$6,0)+IF(EOMONTH(DATE(YEAR(Marketing!$BG$1),MONTH(Marketing!$BG$1),1)+INT((DAY(Marketing!$BG$1)-1)/2)+'Cash Drivers'!BI$7,0)=EOMONTH($BA$1,0),Marketing!BI$5*Marketing!BI$6,0)+IF(EOMONTH(DATE(YEAR(Marketing!$BD$1),MONTH(Marketing!$BD$1),1)+INT((DAY(Marketing!$BD$1)-1)/2)+'Cash Drivers'!BF$7,0)=EOMONTH($BA$1,0),Marketing!BF$5*Marketing!BF$6,0)+IF(EOMONTH(DATE(YEAR(Marketing!$BA$1),MONTH(Marketing!$BA$1),1)+INT((DAY(Marketing!$BA$1)-1)/2)+'Cash Drivers'!BC$7,0)=EOMONTH($BA$1,0),Marketing!BC$5*Marketing!BC$6,0)+IF(EOMONTH(DATE(YEAR(Marketing!$AX$1),MONTH(Marketing!$AX$1),1)+INT((DAY(Marketing!$AX$1)-1)/2)+'Cash Drivers'!AZ$7,0)=EOMONTH($BA$1,0),Marketing!AZ$5*Marketing!AZ$6,0)+IF(EOMONTH(DATE(YEAR(Marketing!$AU$1),MONTH(Marketing!$AU$1),1)+INT((DAY(Marketing!$AU$1)-1)/2)+'Cash Drivers'!AW$7,0)=EOMONTH($BA$1,0),Marketing!AW$5*Marketing!AW$6,0)+IF(EOMONTH(DATE(YEAR(Marketing!$AR$1),MONTH(Marketing!$AR$1),1)+INT((DAY(Marketing!$AR$1)-1)/2)+'Cash Drivers'!AT$7,0)=EOMONTH($BA$1,0),Marketing!AT$5*Marketing!AT$6,0)+IF(EOMONTH(DATE(YEAR(Marketing!$AO$1),MONTH(Marketing!$AO$1),1)+INT((DAY(Marketing!$AO$1)-1)/2)+'Cash Drivers'!AQ$7,0)=EOMONTH($BA$1,0),Marketing!AQ$5*Marketing!AQ$6,0)+IF(EOMONTH(DATE(YEAR(Marketing!$AL$1),MONTH(Marketing!$AL$1),1)+INT((DAY(Marketing!$AL$1)-1)/2)+'Cash Drivers'!AN$7,0)=EOMONTH($BA$1,0),Marketing!AN$5*Marketing!AN$6,0)+IF(EOMONTH(DATE(YEAR(Marketing!$AI$1),MONTH(Marketing!$AI$1),1)+INT((DAY(Marketing!$AI$1)-1)/2)+'Cash Drivers'!AK$7,0)=EOMONTH($BA$1,0),Marketing!AK$5*Marketing!AK$6,0)+IF(EOMONTH(DATE(YEAR(Marketing!$AF$1),MONTH(Marketing!$AF$1),1)+INT((DAY(Marketing!$AF$1)-1)/2)+'Cash Drivers'!AH$7,0)=EOMONTH($BA$1,0),Marketing!AH$5*Marketing!AH$6,0)+IF(EOMONTH(DATE(YEAR(Marketing!$AC$1),MONTH(Marketing!$AC$1),1)+INT((DAY(Marketing!$AC$1)-1)/2)+'Cash Drivers'!AE$7,0)=EOMONTH($BA$1,0),Marketing!AE$5*Marketing!AE$6,0)+IF(EOMONTH(DATE(YEAR(Marketing!$Z$1),MONTH(Marketing!$Z$1),1)+INT((DAY(Marketing!$Z$1)-1)/2)+'Cash Drivers'!AB$7,0)=EOMONTH($BA$1,0),Marketing!AB$5*Marketing!AB$6,0)+IF(EOMONTH(DATE(YEAR(Marketing!$W$1),MONTH(Marketing!$W$1),1)+INT((DAY(Marketing!$W$1)-1)/2)+'Cash Drivers'!Y$7,0)=EOMONTH($BA$1,0),Marketing!Y$5*Marketing!Y$6,0)+IF(EOMONTH(DATE(YEAR(Marketing!$T$1),MONTH(Marketing!$T$1),1)+INT((DAY(Marketing!$T$1)-1)/2)+'Cash Drivers'!V$7,0)=EOMONTH($BA$1,0),Marketing!V$5*Marketing!V$6,0)+IF(EOMONTH(DATE(YEAR(Marketing!$Q$1),MONTH(Marketing!$Q$1),1)+INT((DAY(Marketing!$Q$1)-1)/2)+'Cash Drivers'!S$7,0)=EOMONTH($BA$1,0),Marketing!S$5*Marketing!S$6,0)+IF(EOMONTH(DATE(YEAR(Marketing!$N$1),MONTH(Marketing!$N$1),1)+INT((DAY(Marketing!$N$1)-1)/2)+'Cash Drivers'!P$7,0)=EOMONTH($BA$1,0),Marketing!P$5*Marketing!P$6,0)+IF(EOMONTH(DATE(YEAR(Marketing!$K$1),MONTH(Marketing!$K$1),1)+INT((DAY(Marketing!$K$1)-1)/2)+'Cash Drivers'!M$7,0)=EOMONTH($BA$1,0),Marketing!M$5*Marketing!M$6,0)+0,0)</f>
        <v>107</v>
      </c>
      <c r="BD7" s="86"/>
      <c r="BE7" s="86" t="n">
        <f aca="false">IF('Cash Drivers'!BE$26,BD7,ROUND(IF(EOMONTH(DATE(YEAR(Marketing!$DL$1),MONTH(Marketing!$DL$1),1)+INT((DAY(Marketing!$DL$1)-1)/2)+'Cash Drivers'!DM$7,0)=EOMONTH($BD$1,0),Marketing!DM$5*Marketing!DM$6,0)+IF(EOMONTH(DATE(YEAR(Marketing!$DI$1),MONTH(Marketing!$DI$1),1)+INT((DAY(Marketing!$DI$1)-1)/2)+'Cash Drivers'!DJ$7,0)=EOMONTH($BD$1,0),Marketing!DJ$5*Marketing!DJ$6,0)+IF(EOMONTH(DATE(YEAR(Marketing!$DF$1),MONTH(Marketing!$DF$1),1)+INT((DAY(Marketing!$DF$1)-1)/2)+'Cash Drivers'!DG$7,0)=EOMONTH($BD$1,0),Marketing!DG$5*Marketing!DG$6,0)+IF(EOMONTH(DATE(YEAR(Marketing!$DC$1),MONTH(Marketing!$DC$1),1)+INT((DAY(Marketing!$DC$1)-1)/2)+'Cash Drivers'!DD$7,0)=EOMONTH($BD$1,0),Marketing!DD$5*Marketing!DD$6,0)+IF(EOMONTH(DATE(YEAR(Marketing!$CZ$1),MONTH(Marketing!$CZ$1),1)+INT((DAY(Marketing!$CZ$1)-1)/2)+'Cash Drivers'!DA$7,0)=EOMONTH($BD$1,0),Marketing!DA$5*Marketing!DA$6,0)+IF(EOMONTH(DATE(YEAR(Marketing!$CW$1),MONTH(Marketing!$CW$1),1)+INT((DAY(Marketing!$CW$1)-1)/2)+'Cash Drivers'!CX$7,0)=EOMONTH($BD$1,0),Marketing!CX$5*Marketing!CX$6,0)+IF(EOMONTH(DATE(YEAR(Marketing!$CT$1),MONTH(Marketing!$CT$1),1)+INT((DAY(Marketing!$CT$1)-1)/2)+'Cash Drivers'!CU$7,0)=EOMONTH($BD$1,0),Marketing!CU$5*Marketing!CU$6,0)+IF(EOMONTH(DATE(YEAR(Marketing!$CQ$1),MONTH(Marketing!$CQ$1),1)+INT((DAY(Marketing!$CQ$1)-1)/2)+'Cash Drivers'!CR$7,0)=EOMONTH($BD$1,0),Marketing!CR$5*Marketing!CR$6,0)+IF(EOMONTH(DATE(YEAR(Marketing!$CN$1),MONTH(Marketing!$CN$1),1)+INT((DAY(Marketing!$CN$1)-1)/2)+'Cash Drivers'!CO$7,0)=EOMONTH($BD$1,0),Marketing!CO$5*Marketing!CO$6,0)+IF(EOMONTH(DATE(YEAR(Marketing!$CK$1),MONTH(Marketing!$CK$1),1)+INT((DAY(Marketing!$CK$1)-1)/2)+'Cash Drivers'!CL$7,0)=EOMONTH($BD$1,0),Marketing!CL$5*Marketing!CL$6,0)+IF(EOMONTH(DATE(YEAR(Marketing!$CH$1),MONTH(Marketing!$CH$1),1)+INT((DAY(Marketing!$CH$1)-1)/2)+'Cash Drivers'!CI$7,0)=EOMONTH($BD$1,0),Marketing!CI$5*Marketing!CI$6,0)+IF(EOMONTH(DATE(YEAR(Marketing!$CE$1),MONTH(Marketing!$CE$1),1)+INT((DAY(Marketing!$CE$1)-1)/2)+'Cash Drivers'!CF$7,0)=EOMONTH($BD$1,0),Marketing!CF$5*Marketing!CF$6,0)+IF(EOMONTH(DATE(YEAR(Marketing!$CB$1),MONTH(Marketing!$CB$1),1)+INT((DAY(Marketing!$CB$1)-1)/2)+'Cash Drivers'!CC$7,0)=EOMONTH($BD$1,0),Marketing!CC$5*Marketing!CC$6,0)+IF(EOMONTH(DATE(YEAR(Marketing!$BY$1),MONTH(Marketing!$BY$1),1)+INT((DAY(Marketing!$BY$1)-1)/2)+'Cash Drivers'!BZ$7,0)=EOMONTH($BD$1,0),Marketing!BZ$5*Marketing!BZ$6,0)+IF(EOMONTH(DATE(YEAR(Marketing!$BV$1),MONTH(Marketing!$BV$1),1)+INT((DAY(Marketing!$BV$1)-1)/2)+'Cash Drivers'!BW$7,0)=EOMONTH($BD$1,0),Marketing!BW$5*Marketing!BW$6,0)+IF(EOMONTH(DATE(YEAR(Marketing!$BS$1),MONTH(Marketing!$BS$1),1)+INT((DAY(Marketing!$BS$1)-1)/2)+'Cash Drivers'!BT$7,0)=EOMONTH($BD$1,0),Marketing!BT$5*Marketing!BT$6,0)+IF(EOMONTH(DATE(YEAR(Marketing!$BP$1),MONTH(Marketing!$BP$1),1)+INT((DAY(Marketing!$BP$1)-1)/2)+'Cash Drivers'!BQ$7,0)=EOMONTH($BD$1,0),Marketing!BQ$5*Marketing!BQ$6,0)+IF(EOMONTH(DATE(YEAR(Marketing!$BM$1),MONTH(Marketing!$BM$1),1)+INT((DAY(Marketing!$BM$1)-1)/2)+'Cash Drivers'!BN$7,0)=EOMONTH($BD$1,0),Marketing!BN$5*Marketing!BN$6,0)+IF(EOMONTH(DATE(YEAR(Marketing!$BJ$1),MONTH(Marketing!$BJ$1),1)+INT((DAY(Marketing!$BJ$1)-1)/2)+'Cash Drivers'!BK$7,0)=EOMONTH($BD$1,0),Marketing!BK$5*Marketing!BK$6,0)+IF(EOMONTH(DATE(YEAR(Marketing!$BG$1),MONTH(Marketing!$BG$1),1)+INT((DAY(Marketing!$BG$1)-1)/2)+'Cash Drivers'!BH$7,0)=EOMONTH($BD$1,0),Marketing!BH$5*Marketing!BH$6,0)+IF(EOMONTH(DATE(YEAR(Marketing!$BD$1),MONTH(Marketing!$BD$1),1)+INT((DAY(Marketing!$BD$1)-1)/2)+'Cash Drivers'!BE$7,0)=EOMONTH($BD$1,0),Marketing!BE$5*Marketing!BE$6,0)+IF(EOMONTH(DATE(YEAR(Marketing!$BA$1),MONTH(Marketing!$BA$1),1)+INT((DAY(Marketing!$BA$1)-1)/2)+'Cash Drivers'!BB$7,0)=EOMONTH($BD$1,0),Marketing!BB$5*Marketing!BB$6,0)+IF(EOMONTH(DATE(YEAR(Marketing!$AX$1),MONTH(Marketing!$AX$1),1)+INT((DAY(Marketing!$AX$1)-1)/2)+'Cash Drivers'!AY$7,0)=EOMONTH($BD$1,0),Marketing!AY$5*Marketing!AY$6,0)+IF(EOMONTH(DATE(YEAR(Marketing!$AU$1),MONTH(Marketing!$AU$1),1)+INT((DAY(Marketing!$AU$1)-1)/2)+'Cash Drivers'!AV$7,0)=EOMONTH($BD$1,0),Marketing!AV$5*Marketing!AV$6,0)+IF(EOMONTH(DATE(YEAR(Marketing!$AR$1),MONTH(Marketing!$AR$1),1)+INT((DAY(Marketing!$AR$1)-1)/2)+'Cash Drivers'!AS$7,0)=EOMONTH($BD$1,0),Marketing!AS$5*Marketing!AS$6,0)+IF(EOMONTH(DATE(YEAR(Marketing!$AO$1),MONTH(Marketing!$AO$1),1)+INT((DAY(Marketing!$AO$1)-1)/2)+'Cash Drivers'!AP$7,0)=EOMONTH($BD$1,0),Marketing!AP$5*Marketing!AP$6,0)+IF(EOMONTH(DATE(YEAR(Marketing!$AL$1),MONTH(Marketing!$AL$1),1)+INT((DAY(Marketing!$AL$1)-1)/2)+'Cash Drivers'!AM$7,0)=EOMONTH($BD$1,0),Marketing!AM$5*Marketing!AM$6,0)+IF(EOMONTH(DATE(YEAR(Marketing!$AI$1),MONTH(Marketing!$AI$1),1)+INT((DAY(Marketing!$AI$1)-1)/2)+'Cash Drivers'!AJ$7,0)=EOMONTH($BD$1,0),Marketing!AJ$5*Marketing!AJ$6,0)+IF(EOMONTH(DATE(YEAR(Marketing!$AF$1),MONTH(Marketing!$AF$1),1)+INT((DAY(Marketing!$AF$1)-1)/2)+'Cash Drivers'!AG$7,0)=EOMONTH($BD$1,0),Marketing!AG$5*Marketing!AG$6,0)+IF(EOMONTH(DATE(YEAR(Marketing!$AC$1),MONTH(Marketing!$AC$1),1)+INT((DAY(Marketing!$AC$1)-1)/2)+'Cash Drivers'!AD$7,0)=EOMONTH($BD$1,0),Marketing!AD$5*Marketing!AD$6,0)+IF(EOMONTH(DATE(YEAR(Marketing!$Z$1),MONTH(Marketing!$Z$1),1)+INT((DAY(Marketing!$Z$1)-1)/2)+'Cash Drivers'!AA$7,0)=EOMONTH($BD$1,0),Marketing!AA$5*Marketing!AA$6,0)+IF(EOMONTH(DATE(YEAR(Marketing!$W$1),MONTH(Marketing!$W$1),1)+INT((DAY(Marketing!$W$1)-1)/2)+'Cash Drivers'!X$7,0)=EOMONTH($BD$1,0),Marketing!X$5*Marketing!X$6,0)+IF(EOMONTH(DATE(YEAR(Marketing!$T$1),MONTH(Marketing!$T$1),1)+INT((DAY(Marketing!$T$1)-1)/2)+'Cash Drivers'!U$7,0)=EOMONTH($BD$1,0),Marketing!U$5*Marketing!U$6,0)+IF(EOMONTH(DATE(YEAR(Marketing!$Q$1),MONTH(Marketing!$Q$1),1)+INT((DAY(Marketing!$Q$1)-1)/2)+'Cash Drivers'!R$7,0)=EOMONTH($BD$1,0),Marketing!R$5*Marketing!R$6,0)+IF(EOMONTH(DATE(YEAR(Marketing!$N$1),MONTH(Marketing!$N$1),1)+INT((DAY(Marketing!$N$1)-1)/2)+'Cash Drivers'!O$7,0)=EOMONTH($BD$1,0),Marketing!O$5*Marketing!O$6,0)+IF(EOMONTH(DATE(YEAR(Marketing!$K$1),MONTH(Marketing!$K$1),1)+INT((DAY(Marketing!$K$1)-1)/2)+'Cash Drivers'!L$7,0)=EOMONTH($BD$1,0),Marketing!L$5*Marketing!L$6,0)+0,0))</f>
        <v>107</v>
      </c>
      <c r="BF7" s="86" t="n">
        <f aca="false">ROUND(IF(EOMONTH(DATE(YEAR(Marketing!$DL$1),MONTH(Marketing!$DL$1),1)+INT((DAY(Marketing!$DL$1)-1)/2)+'Cash Drivers'!DN$7,0)=EOMONTH($BD$1,0),Marketing!DN$5*Marketing!DN$6,0)+IF(EOMONTH(DATE(YEAR(Marketing!$DI$1),MONTH(Marketing!$DI$1),1)+INT((DAY(Marketing!$DI$1)-1)/2)+'Cash Drivers'!DK$7,0)=EOMONTH($BD$1,0),Marketing!DK$5*Marketing!DK$6,0)+IF(EOMONTH(DATE(YEAR(Marketing!$DF$1),MONTH(Marketing!$DF$1),1)+INT((DAY(Marketing!$DF$1)-1)/2)+'Cash Drivers'!DH$7,0)=EOMONTH($BD$1,0),Marketing!DH$5*Marketing!DH$6,0)+IF(EOMONTH(DATE(YEAR(Marketing!$DC$1),MONTH(Marketing!$DC$1),1)+INT((DAY(Marketing!$DC$1)-1)/2)+'Cash Drivers'!DE$7,0)=EOMONTH($BD$1,0),Marketing!DE$5*Marketing!DE$6,0)+IF(EOMONTH(DATE(YEAR(Marketing!$CZ$1),MONTH(Marketing!$CZ$1),1)+INT((DAY(Marketing!$CZ$1)-1)/2)+'Cash Drivers'!DB$7,0)=EOMONTH($BD$1,0),Marketing!DB$5*Marketing!DB$6,0)+IF(EOMONTH(DATE(YEAR(Marketing!$CW$1),MONTH(Marketing!$CW$1),1)+INT((DAY(Marketing!$CW$1)-1)/2)+'Cash Drivers'!CY$7,0)=EOMONTH($BD$1,0),Marketing!CY$5*Marketing!CY$6,0)+IF(EOMONTH(DATE(YEAR(Marketing!$CT$1),MONTH(Marketing!$CT$1),1)+INT((DAY(Marketing!$CT$1)-1)/2)+'Cash Drivers'!CV$7,0)=EOMONTH($BD$1,0),Marketing!CV$5*Marketing!CV$6,0)+IF(EOMONTH(DATE(YEAR(Marketing!$CQ$1),MONTH(Marketing!$CQ$1),1)+INT((DAY(Marketing!$CQ$1)-1)/2)+'Cash Drivers'!CS$7,0)=EOMONTH($BD$1,0),Marketing!CS$5*Marketing!CS$6,0)+IF(EOMONTH(DATE(YEAR(Marketing!$CN$1),MONTH(Marketing!$CN$1),1)+INT((DAY(Marketing!$CN$1)-1)/2)+'Cash Drivers'!CP$7,0)=EOMONTH($BD$1,0),Marketing!CP$5*Marketing!CP$6,0)+IF(EOMONTH(DATE(YEAR(Marketing!$CK$1),MONTH(Marketing!$CK$1),1)+INT((DAY(Marketing!$CK$1)-1)/2)+'Cash Drivers'!CM$7,0)=EOMONTH($BD$1,0),Marketing!CM$5*Marketing!CM$6,0)+IF(EOMONTH(DATE(YEAR(Marketing!$CH$1),MONTH(Marketing!$CH$1),1)+INT((DAY(Marketing!$CH$1)-1)/2)+'Cash Drivers'!CJ$7,0)=EOMONTH($BD$1,0),Marketing!CJ$5*Marketing!CJ$6,0)+IF(EOMONTH(DATE(YEAR(Marketing!$CE$1),MONTH(Marketing!$CE$1),1)+INT((DAY(Marketing!$CE$1)-1)/2)+'Cash Drivers'!CG$7,0)=EOMONTH($BD$1,0),Marketing!CG$5*Marketing!CG$6,0)+IF(EOMONTH(DATE(YEAR(Marketing!$CB$1),MONTH(Marketing!$CB$1),1)+INT((DAY(Marketing!$CB$1)-1)/2)+'Cash Drivers'!CD$7,0)=EOMONTH($BD$1,0),Marketing!CD$5*Marketing!CD$6,0)+IF(EOMONTH(DATE(YEAR(Marketing!$BY$1),MONTH(Marketing!$BY$1),1)+INT((DAY(Marketing!$BY$1)-1)/2)+'Cash Drivers'!CA$7,0)=EOMONTH($BD$1,0),Marketing!CA$5*Marketing!CA$6,0)+IF(EOMONTH(DATE(YEAR(Marketing!$BV$1),MONTH(Marketing!$BV$1),1)+INT((DAY(Marketing!$BV$1)-1)/2)+'Cash Drivers'!BX$7,0)=EOMONTH($BD$1,0),Marketing!BX$5*Marketing!BX$6,0)+IF(EOMONTH(DATE(YEAR(Marketing!$BS$1),MONTH(Marketing!$BS$1),1)+INT((DAY(Marketing!$BS$1)-1)/2)+'Cash Drivers'!BU$7,0)=EOMONTH($BD$1,0),Marketing!BU$5*Marketing!BU$6,0)+IF(EOMONTH(DATE(YEAR(Marketing!$BP$1),MONTH(Marketing!$BP$1),1)+INT((DAY(Marketing!$BP$1)-1)/2)+'Cash Drivers'!BR$7,0)=EOMONTH($BD$1,0),Marketing!BR$5*Marketing!BR$6,0)+IF(EOMONTH(DATE(YEAR(Marketing!$BM$1),MONTH(Marketing!$BM$1),1)+INT((DAY(Marketing!$BM$1)-1)/2)+'Cash Drivers'!BO$7,0)=EOMONTH($BD$1,0),Marketing!BO$5*Marketing!BO$6,0)+IF(EOMONTH(DATE(YEAR(Marketing!$BJ$1),MONTH(Marketing!$BJ$1),1)+INT((DAY(Marketing!$BJ$1)-1)/2)+'Cash Drivers'!BL$7,0)=EOMONTH($BD$1,0),Marketing!BL$5*Marketing!BL$6,0)+IF(EOMONTH(DATE(YEAR(Marketing!$BG$1),MONTH(Marketing!$BG$1),1)+INT((DAY(Marketing!$BG$1)-1)/2)+'Cash Drivers'!BI$7,0)=EOMONTH($BD$1,0),Marketing!BI$5*Marketing!BI$6,0)+IF(EOMONTH(DATE(YEAR(Marketing!$BD$1),MONTH(Marketing!$BD$1),1)+INT((DAY(Marketing!$BD$1)-1)/2)+'Cash Drivers'!BF$7,0)=EOMONTH($BD$1,0),Marketing!BF$5*Marketing!BF$6,0)+IF(EOMONTH(DATE(YEAR(Marketing!$BA$1),MONTH(Marketing!$BA$1),1)+INT((DAY(Marketing!$BA$1)-1)/2)+'Cash Drivers'!BC$7,0)=EOMONTH($BD$1,0),Marketing!BC$5*Marketing!BC$6,0)+IF(EOMONTH(DATE(YEAR(Marketing!$AX$1),MONTH(Marketing!$AX$1),1)+INT((DAY(Marketing!$AX$1)-1)/2)+'Cash Drivers'!AZ$7,0)=EOMONTH($BD$1,0),Marketing!AZ$5*Marketing!AZ$6,0)+IF(EOMONTH(DATE(YEAR(Marketing!$AU$1),MONTH(Marketing!$AU$1),1)+INT((DAY(Marketing!$AU$1)-1)/2)+'Cash Drivers'!AW$7,0)=EOMONTH($BD$1,0),Marketing!AW$5*Marketing!AW$6,0)+IF(EOMONTH(DATE(YEAR(Marketing!$AR$1),MONTH(Marketing!$AR$1),1)+INT((DAY(Marketing!$AR$1)-1)/2)+'Cash Drivers'!AT$7,0)=EOMONTH($BD$1,0),Marketing!AT$5*Marketing!AT$6,0)+IF(EOMONTH(DATE(YEAR(Marketing!$AO$1),MONTH(Marketing!$AO$1),1)+INT((DAY(Marketing!$AO$1)-1)/2)+'Cash Drivers'!AQ$7,0)=EOMONTH($BD$1,0),Marketing!AQ$5*Marketing!AQ$6,0)+IF(EOMONTH(DATE(YEAR(Marketing!$AL$1),MONTH(Marketing!$AL$1),1)+INT((DAY(Marketing!$AL$1)-1)/2)+'Cash Drivers'!AN$7,0)=EOMONTH($BD$1,0),Marketing!AN$5*Marketing!AN$6,0)+IF(EOMONTH(DATE(YEAR(Marketing!$AI$1),MONTH(Marketing!$AI$1),1)+INT((DAY(Marketing!$AI$1)-1)/2)+'Cash Drivers'!AK$7,0)=EOMONTH($BD$1,0),Marketing!AK$5*Marketing!AK$6,0)+IF(EOMONTH(DATE(YEAR(Marketing!$AF$1),MONTH(Marketing!$AF$1),1)+INT((DAY(Marketing!$AF$1)-1)/2)+'Cash Drivers'!AH$7,0)=EOMONTH($BD$1,0),Marketing!AH$5*Marketing!AH$6,0)+IF(EOMONTH(DATE(YEAR(Marketing!$AC$1),MONTH(Marketing!$AC$1),1)+INT((DAY(Marketing!$AC$1)-1)/2)+'Cash Drivers'!AE$7,0)=EOMONTH($BD$1,0),Marketing!AE$5*Marketing!AE$6,0)+IF(EOMONTH(DATE(YEAR(Marketing!$Z$1),MONTH(Marketing!$Z$1),1)+INT((DAY(Marketing!$Z$1)-1)/2)+'Cash Drivers'!AB$7,0)=EOMONTH($BD$1,0),Marketing!AB$5*Marketing!AB$6,0)+IF(EOMONTH(DATE(YEAR(Marketing!$W$1),MONTH(Marketing!$W$1),1)+INT((DAY(Marketing!$W$1)-1)/2)+'Cash Drivers'!Y$7,0)=EOMONTH($BD$1,0),Marketing!Y$5*Marketing!Y$6,0)+IF(EOMONTH(DATE(YEAR(Marketing!$T$1),MONTH(Marketing!$T$1),1)+INT((DAY(Marketing!$T$1)-1)/2)+'Cash Drivers'!V$7,0)=EOMONTH($BD$1,0),Marketing!V$5*Marketing!V$6,0)+IF(EOMONTH(DATE(YEAR(Marketing!$Q$1),MONTH(Marketing!$Q$1),1)+INT((DAY(Marketing!$Q$1)-1)/2)+'Cash Drivers'!S$7,0)=EOMONTH($BD$1,0),Marketing!S$5*Marketing!S$6,0)+IF(EOMONTH(DATE(YEAR(Marketing!$N$1),MONTH(Marketing!$N$1),1)+INT((DAY(Marketing!$N$1)-1)/2)+'Cash Drivers'!P$7,0)=EOMONTH($BD$1,0),Marketing!P$5*Marketing!P$6,0)+IF(EOMONTH(DATE(YEAR(Marketing!$K$1),MONTH(Marketing!$K$1),1)+INT((DAY(Marketing!$K$1)-1)/2)+'Cash Drivers'!M$7,0)=EOMONTH($BD$1,0),Marketing!M$5*Marketing!M$6,0)+0,0)</f>
        <v>107</v>
      </c>
      <c r="BG7" s="87"/>
      <c r="BH7" s="87" t="n">
        <f aca="false">IF('Cash Drivers'!BH$26,BG7,ROUND(IF(EOMONTH(DATE(YEAR(Marketing!$DL$1),MONTH(Marketing!$DL$1),1)+INT((DAY(Marketing!$DL$1)-1)/2)+'Cash Drivers'!DM$7,0)=EOMONTH($BG$1,0),Marketing!DM$5*Marketing!DM$6,0)+IF(EOMONTH(DATE(YEAR(Marketing!$DI$1),MONTH(Marketing!$DI$1),1)+INT((DAY(Marketing!$DI$1)-1)/2)+'Cash Drivers'!DJ$7,0)=EOMONTH($BG$1,0),Marketing!DJ$5*Marketing!DJ$6,0)+IF(EOMONTH(DATE(YEAR(Marketing!$DF$1),MONTH(Marketing!$DF$1),1)+INT((DAY(Marketing!$DF$1)-1)/2)+'Cash Drivers'!DG$7,0)=EOMONTH($BG$1,0),Marketing!DG$5*Marketing!DG$6,0)+IF(EOMONTH(DATE(YEAR(Marketing!$DC$1),MONTH(Marketing!$DC$1),1)+INT((DAY(Marketing!$DC$1)-1)/2)+'Cash Drivers'!DD$7,0)=EOMONTH($BG$1,0),Marketing!DD$5*Marketing!DD$6,0)+IF(EOMONTH(DATE(YEAR(Marketing!$CZ$1),MONTH(Marketing!$CZ$1),1)+INT((DAY(Marketing!$CZ$1)-1)/2)+'Cash Drivers'!DA$7,0)=EOMONTH($BG$1,0),Marketing!DA$5*Marketing!DA$6,0)+IF(EOMONTH(DATE(YEAR(Marketing!$CW$1),MONTH(Marketing!$CW$1),1)+INT((DAY(Marketing!$CW$1)-1)/2)+'Cash Drivers'!CX$7,0)=EOMONTH($BG$1,0),Marketing!CX$5*Marketing!CX$6,0)+IF(EOMONTH(DATE(YEAR(Marketing!$CT$1),MONTH(Marketing!$CT$1),1)+INT((DAY(Marketing!$CT$1)-1)/2)+'Cash Drivers'!CU$7,0)=EOMONTH($BG$1,0),Marketing!CU$5*Marketing!CU$6,0)+IF(EOMONTH(DATE(YEAR(Marketing!$CQ$1),MONTH(Marketing!$CQ$1),1)+INT((DAY(Marketing!$CQ$1)-1)/2)+'Cash Drivers'!CR$7,0)=EOMONTH($BG$1,0),Marketing!CR$5*Marketing!CR$6,0)+IF(EOMONTH(DATE(YEAR(Marketing!$CN$1),MONTH(Marketing!$CN$1),1)+INT((DAY(Marketing!$CN$1)-1)/2)+'Cash Drivers'!CO$7,0)=EOMONTH($BG$1,0),Marketing!CO$5*Marketing!CO$6,0)+IF(EOMONTH(DATE(YEAR(Marketing!$CK$1),MONTH(Marketing!$CK$1),1)+INT((DAY(Marketing!$CK$1)-1)/2)+'Cash Drivers'!CL$7,0)=EOMONTH($BG$1,0),Marketing!CL$5*Marketing!CL$6,0)+IF(EOMONTH(DATE(YEAR(Marketing!$CH$1),MONTH(Marketing!$CH$1),1)+INT((DAY(Marketing!$CH$1)-1)/2)+'Cash Drivers'!CI$7,0)=EOMONTH($BG$1,0),Marketing!CI$5*Marketing!CI$6,0)+IF(EOMONTH(DATE(YEAR(Marketing!$CE$1),MONTH(Marketing!$CE$1),1)+INT((DAY(Marketing!$CE$1)-1)/2)+'Cash Drivers'!CF$7,0)=EOMONTH($BG$1,0),Marketing!CF$5*Marketing!CF$6,0)+IF(EOMONTH(DATE(YEAR(Marketing!$CB$1),MONTH(Marketing!$CB$1),1)+INT((DAY(Marketing!$CB$1)-1)/2)+'Cash Drivers'!CC$7,0)=EOMONTH($BG$1,0),Marketing!CC$5*Marketing!CC$6,0)+IF(EOMONTH(DATE(YEAR(Marketing!$BY$1),MONTH(Marketing!$BY$1),1)+INT((DAY(Marketing!$BY$1)-1)/2)+'Cash Drivers'!BZ$7,0)=EOMONTH($BG$1,0),Marketing!BZ$5*Marketing!BZ$6,0)+IF(EOMONTH(DATE(YEAR(Marketing!$BV$1),MONTH(Marketing!$BV$1),1)+INT((DAY(Marketing!$BV$1)-1)/2)+'Cash Drivers'!BW$7,0)=EOMONTH($BG$1,0),Marketing!BW$5*Marketing!BW$6,0)+IF(EOMONTH(DATE(YEAR(Marketing!$BS$1),MONTH(Marketing!$BS$1),1)+INT((DAY(Marketing!$BS$1)-1)/2)+'Cash Drivers'!BT$7,0)=EOMONTH($BG$1,0),Marketing!BT$5*Marketing!BT$6,0)+IF(EOMONTH(DATE(YEAR(Marketing!$BP$1),MONTH(Marketing!$BP$1),1)+INT((DAY(Marketing!$BP$1)-1)/2)+'Cash Drivers'!BQ$7,0)=EOMONTH($BG$1,0),Marketing!BQ$5*Marketing!BQ$6,0)+IF(EOMONTH(DATE(YEAR(Marketing!$BM$1),MONTH(Marketing!$BM$1),1)+INT((DAY(Marketing!$BM$1)-1)/2)+'Cash Drivers'!BN$7,0)=EOMONTH($BG$1,0),Marketing!BN$5*Marketing!BN$6,0)+IF(EOMONTH(DATE(YEAR(Marketing!$BJ$1),MONTH(Marketing!$BJ$1),1)+INT((DAY(Marketing!$BJ$1)-1)/2)+'Cash Drivers'!BK$7,0)=EOMONTH($BG$1,0),Marketing!BK$5*Marketing!BK$6,0)+IF(EOMONTH(DATE(YEAR(Marketing!$BG$1),MONTH(Marketing!$BG$1),1)+INT((DAY(Marketing!$BG$1)-1)/2)+'Cash Drivers'!BH$7,0)=EOMONTH($BG$1,0),Marketing!BH$5*Marketing!BH$6,0)+IF(EOMONTH(DATE(YEAR(Marketing!$BD$1),MONTH(Marketing!$BD$1),1)+INT((DAY(Marketing!$BD$1)-1)/2)+'Cash Drivers'!BE$7,0)=EOMONTH($BG$1,0),Marketing!BE$5*Marketing!BE$6,0)+IF(EOMONTH(DATE(YEAR(Marketing!$BA$1),MONTH(Marketing!$BA$1),1)+INT((DAY(Marketing!$BA$1)-1)/2)+'Cash Drivers'!BB$7,0)=EOMONTH($BG$1,0),Marketing!BB$5*Marketing!BB$6,0)+IF(EOMONTH(DATE(YEAR(Marketing!$AX$1),MONTH(Marketing!$AX$1),1)+INT((DAY(Marketing!$AX$1)-1)/2)+'Cash Drivers'!AY$7,0)=EOMONTH($BG$1,0),Marketing!AY$5*Marketing!AY$6,0)+IF(EOMONTH(DATE(YEAR(Marketing!$AU$1),MONTH(Marketing!$AU$1),1)+INT((DAY(Marketing!$AU$1)-1)/2)+'Cash Drivers'!AV$7,0)=EOMONTH($BG$1,0),Marketing!AV$5*Marketing!AV$6,0)+IF(EOMONTH(DATE(YEAR(Marketing!$AR$1),MONTH(Marketing!$AR$1),1)+INT((DAY(Marketing!$AR$1)-1)/2)+'Cash Drivers'!AS$7,0)=EOMONTH($BG$1,0),Marketing!AS$5*Marketing!AS$6,0)+IF(EOMONTH(DATE(YEAR(Marketing!$AO$1),MONTH(Marketing!$AO$1),1)+INT((DAY(Marketing!$AO$1)-1)/2)+'Cash Drivers'!AP$7,0)=EOMONTH($BG$1,0),Marketing!AP$5*Marketing!AP$6,0)+IF(EOMONTH(DATE(YEAR(Marketing!$AL$1),MONTH(Marketing!$AL$1),1)+INT((DAY(Marketing!$AL$1)-1)/2)+'Cash Drivers'!AM$7,0)=EOMONTH($BG$1,0),Marketing!AM$5*Marketing!AM$6,0)+IF(EOMONTH(DATE(YEAR(Marketing!$AI$1),MONTH(Marketing!$AI$1),1)+INT((DAY(Marketing!$AI$1)-1)/2)+'Cash Drivers'!AJ$7,0)=EOMONTH($BG$1,0),Marketing!AJ$5*Marketing!AJ$6,0)+IF(EOMONTH(DATE(YEAR(Marketing!$AF$1),MONTH(Marketing!$AF$1),1)+INT((DAY(Marketing!$AF$1)-1)/2)+'Cash Drivers'!AG$7,0)=EOMONTH($BG$1,0),Marketing!AG$5*Marketing!AG$6,0)+IF(EOMONTH(DATE(YEAR(Marketing!$AC$1),MONTH(Marketing!$AC$1),1)+INT((DAY(Marketing!$AC$1)-1)/2)+'Cash Drivers'!AD$7,0)=EOMONTH($BG$1,0),Marketing!AD$5*Marketing!AD$6,0)+IF(EOMONTH(DATE(YEAR(Marketing!$Z$1),MONTH(Marketing!$Z$1),1)+INT((DAY(Marketing!$Z$1)-1)/2)+'Cash Drivers'!AA$7,0)=EOMONTH($BG$1,0),Marketing!AA$5*Marketing!AA$6,0)+IF(EOMONTH(DATE(YEAR(Marketing!$W$1),MONTH(Marketing!$W$1),1)+INT((DAY(Marketing!$W$1)-1)/2)+'Cash Drivers'!X$7,0)=EOMONTH($BG$1,0),Marketing!X$5*Marketing!X$6,0)+IF(EOMONTH(DATE(YEAR(Marketing!$T$1),MONTH(Marketing!$T$1),1)+INT((DAY(Marketing!$T$1)-1)/2)+'Cash Drivers'!U$7,0)=EOMONTH($BG$1,0),Marketing!U$5*Marketing!U$6,0)+IF(EOMONTH(DATE(YEAR(Marketing!$Q$1),MONTH(Marketing!$Q$1),1)+INT((DAY(Marketing!$Q$1)-1)/2)+'Cash Drivers'!R$7,0)=EOMONTH($BG$1,0),Marketing!R$5*Marketing!R$6,0)+IF(EOMONTH(DATE(YEAR(Marketing!$N$1),MONTH(Marketing!$N$1),1)+INT((DAY(Marketing!$N$1)-1)/2)+'Cash Drivers'!O$7,0)=EOMONTH($BG$1,0),Marketing!O$5*Marketing!O$6,0)+IF(EOMONTH(DATE(YEAR(Marketing!$K$1),MONTH(Marketing!$K$1),1)+INT((DAY(Marketing!$K$1)-1)/2)+'Cash Drivers'!L$7,0)=EOMONTH($BG$1,0),Marketing!L$5*Marketing!L$6,0)+0,0))</f>
        <v>107</v>
      </c>
      <c r="BI7" s="87" t="n">
        <f aca="false">ROUND(IF(EOMONTH(DATE(YEAR(Marketing!$DL$1),MONTH(Marketing!$DL$1),1)+INT((DAY(Marketing!$DL$1)-1)/2)+'Cash Drivers'!DN$7,0)=EOMONTH($BG$1,0),Marketing!DN$5*Marketing!DN$6,0)+IF(EOMONTH(DATE(YEAR(Marketing!$DI$1),MONTH(Marketing!$DI$1),1)+INT((DAY(Marketing!$DI$1)-1)/2)+'Cash Drivers'!DK$7,0)=EOMONTH($BG$1,0),Marketing!DK$5*Marketing!DK$6,0)+IF(EOMONTH(DATE(YEAR(Marketing!$DF$1),MONTH(Marketing!$DF$1),1)+INT((DAY(Marketing!$DF$1)-1)/2)+'Cash Drivers'!DH$7,0)=EOMONTH($BG$1,0),Marketing!DH$5*Marketing!DH$6,0)+IF(EOMONTH(DATE(YEAR(Marketing!$DC$1),MONTH(Marketing!$DC$1),1)+INT((DAY(Marketing!$DC$1)-1)/2)+'Cash Drivers'!DE$7,0)=EOMONTH($BG$1,0),Marketing!DE$5*Marketing!DE$6,0)+IF(EOMONTH(DATE(YEAR(Marketing!$CZ$1),MONTH(Marketing!$CZ$1),1)+INT((DAY(Marketing!$CZ$1)-1)/2)+'Cash Drivers'!DB$7,0)=EOMONTH($BG$1,0),Marketing!DB$5*Marketing!DB$6,0)+IF(EOMONTH(DATE(YEAR(Marketing!$CW$1),MONTH(Marketing!$CW$1),1)+INT((DAY(Marketing!$CW$1)-1)/2)+'Cash Drivers'!CY$7,0)=EOMONTH($BG$1,0),Marketing!CY$5*Marketing!CY$6,0)+IF(EOMONTH(DATE(YEAR(Marketing!$CT$1),MONTH(Marketing!$CT$1),1)+INT((DAY(Marketing!$CT$1)-1)/2)+'Cash Drivers'!CV$7,0)=EOMONTH($BG$1,0),Marketing!CV$5*Marketing!CV$6,0)+IF(EOMONTH(DATE(YEAR(Marketing!$CQ$1),MONTH(Marketing!$CQ$1),1)+INT((DAY(Marketing!$CQ$1)-1)/2)+'Cash Drivers'!CS$7,0)=EOMONTH($BG$1,0),Marketing!CS$5*Marketing!CS$6,0)+IF(EOMONTH(DATE(YEAR(Marketing!$CN$1),MONTH(Marketing!$CN$1),1)+INT((DAY(Marketing!$CN$1)-1)/2)+'Cash Drivers'!CP$7,0)=EOMONTH($BG$1,0),Marketing!CP$5*Marketing!CP$6,0)+IF(EOMONTH(DATE(YEAR(Marketing!$CK$1),MONTH(Marketing!$CK$1),1)+INT((DAY(Marketing!$CK$1)-1)/2)+'Cash Drivers'!CM$7,0)=EOMONTH($BG$1,0),Marketing!CM$5*Marketing!CM$6,0)+IF(EOMONTH(DATE(YEAR(Marketing!$CH$1),MONTH(Marketing!$CH$1),1)+INT((DAY(Marketing!$CH$1)-1)/2)+'Cash Drivers'!CJ$7,0)=EOMONTH($BG$1,0),Marketing!CJ$5*Marketing!CJ$6,0)+IF(EOMONTH(DATE(YEAR(Marketing!$CE$1),MONTH(Marketing!$CE$1),1)+INT((DAY(Marketing!$CE$1)-1)/2)+'Cash Drivers'!CG$7,0)=EOMONTH($BG$1,0),Marketing!CG$5*Marketing!CG$6,0)+IF(EOMONTH(DATE(YEAR(Marketing!$CB$1),MONTH(Marketing!$CB$1),1)+INT((DAY(Marketing!$CB$1)-1)/2)+'Cash Drivers'!CD$7,0)=EOMONTH($BG$1,0),Marketing!CD$5*Marketing!CD$6,0)+IF(EOMONTH(DATE(YEAR(Marketing!$BY$1),MONTH(Marketing!$BY$1),1)+INT((DAY(Marketing!$BY$1)-1)/2)+'Cash Drivers'!CA$7,0)=EOMONTH($BG$1,0),Marketing!CA$5*Marketing!CA$6,0)+IF(EOMONTH(DATE(YEAR(Marketing!$BV$1),MONTH(Marketing!$BV$1),1)+INT((DAY(Marketing!$BV$1)-1)/2)+'Cash Drivers'!BX$7,0)=EOMONTH($BG$1,0),Marketing!BX$5*Marketing!BX$6,0)+IF(EOMONTH(DATE(YEAR(Marketing!$BS$1),MONTH(Marketing!$BS$1),1)+INT((DAY(Marketing!$BS$1)-1)/2)+'Cash Drivers'!BU$7,0)=EOMONTH($BG$1,0),Marketing!BU$5*Marketing!BU$6,0)+IF(EOMONTH(DATE(YEAR(Marketing!$BP$1),MONTH(Marketing!$BP$1),1)+INT((DAY(Marketing!$BP$1)-1)/2)+'Cash Drivers'!BR$7,0)=EOMONTH($BG$1,0),Marketing!BR$5*Marketing!BR$6,0)+IF(EOMONTH(DATE(YEAR(Marketing!$BM$1),MONTH(Marketing!$BM$1),1)+INT((DAY(Marketing!$BM$1)-1)/2)+'Cash Drivers'!BO$7,0)=EOMONTH($BG$1,0),Marketing!BO$5*Marketing!BO$6,0)+IF(EOMONTH(DATE(YEAR(Marketing!$BJ$1),MONTH(Marketing!$BJ$1),1)+INT((DAY(Marketing!$BJ$1)-1)/2)+'Cash Drivers'!BL$7,0)=EOMONTH($BG$1,0),Marketing!BL$5*Marketing!BL$6,0)+IF(EOMONTH(DATE(YEAR(Marketing!$BG$1),MONTH(Marketing!$BG$1),1)+INT((DAY(Marketing!$BG$1)-1)/2)+'Cash Drivers'!BI$7,0)=EOMONTH($BG$1,0),Marketing!BI$5*Marketing!BI$6,0)+IF(EOMONTH(DATE(YEAR(Marketing!$BD$1),MONTH(Marketing!$BD$1),1)+INT((DAY(Marketing!$BD$1)-1)/2)+'Cash Drivers'!BF$7,0)=EOMONTH($BG$1,0),Marketing!BF$5*Marketing!BF$6,0)+IF(EOMONTH(DATE(YEAR(Marketing!$BA$1),MONTH(Marketing!$BA$1),1)+INT((DAY(Marketing!$BA$1)-1)/2)+'Cash Drivers'!BC$7,0)=EOMONTH($BG$1,0),Marketing!BC$5*Marketing!BC$6,0)+IF(EOMONTH(DATE(YEAR(Marketing!$AX$1),MONTH(Marketing!$AX$1),1)+INT((DAY(Marketing!$AX$1)-1)/2)+'Cash Drivers'!AZ$7,0)=EOMONTH($BG$1,0),Marketing!AZ$5*Marketing!AZ$6,0)+IF(EOMONTH(DATE(YEAR(Marketing!$AU$1),MONTH(Marketing!$AU$1),1)+INT((DAY(Marketing!$AU$1)-1)/2)+'Cash Drivers'!AW$7,0)=EOMONTH($BG$1,0),Marketing!AW$5*Marketing!AW$6,0)+IF(EOMONTH(DATE(YEAR(Marketing!$AR$1),MONTH(Marketing!$AR$1),1)+INT((DAY(Marketing!$AR$1)-1)/2)+'Cash Drivers'!AT$7,0)=EOMONTH($BG$1,0),Marketing!AT$5*Marketing!AT$6,0)+IF(EOMONTH(DATE(YEAR(Marketing!$AO$1),MONTH(Marketing!$AO$1),1)+INT((DAY(Marketing!$AO$1)-1)/2)+'Cash Drivers'!AQ$7,0)=EOMONTH($BG$1,0),Marketing!AQ$5*Marketing!AQ$6,0)+IF(EOMONTH(DATE(YEAR(Marketing!$AL$1),MONTH(Marketing!$AL$1),1)+INT((DAY(Marketing!$AL$1)-1)/2)+'Cash Drivers'!AN$7,0)=EOMONTH($BG$1,0),Marketing!AN$5*Marketing!AN$6,0)+IF(EOMONTH(DATE(YEAR(Marketing!$AI$1),MONTH(Marketing!$AI$1),1)+INT((DAY(Marketing!$AI$1)-1)/2)+'Cash Drivers'!AK$7,0)=EOMONTH($BG$1,0),Marketing!AK$5*Marketing!AK$6,0)+IF(EOMONTH(DATE(YEAR(Marketing!$AF$1),MONTH(Marketing!$AF$1),1)+INT((DAY(Marketing!$AF$1)-1)/2)+'Cash Drivers'!AH$7,0)=EOMONTH($BG$1,0),Marketing!AH$5*Marketing!AH$6,0)+IF(EOMONTH(DATE(YEAR(Marketing!$AC$1),MONTH(Marketing!$AC$1),1)+INT((DAY(Marketing!$AC$1)-1)/2)+'Cash Drivers'!AE$7,0)=EOMONTH($BG$1,0),Marketing!AE$5*Marketing!AE$6,0)+IF(EOMONTH(DATE(YEAR(Marketing!$Z$1),MONTH(Marketing!$Z$1),1)+INT((DAY(Marketing!$Z$1)-1)/2)+'Cash Drivers'!AB$7,0)=EOMONTH($BG$1,0),Marketing!AB$5*Marketing!AB$6,0)+IF(EOMONTH(DATE(YEAR(Marketing!$W$1),MONTH(Marketing!$W$1),1)+INT((DAY(Marketing!$W$1)-1)/2)+'Cash Drivers'!Y$7,0)=EOMONTH($BG$1,0),Marketing!Y$5*Marketing!Y$6,0)+IF(EOMONTH(DATE(YEAR(Marketing!$T$1),MONTH(Marketing!$T$1),1)+INT((DAY(Marketing!$T$1)-1)/2)+'Cash Drivers'!V$7,0)=EOMONTH($BG$1,0),Marketing!V$5*Marketing!V$6,0)+IF(EOMONTH(DATE(YEAR(Marketing!$Q$1),MONTH(Marketing!$Q$1),1)+INT((DAY(Marketing!$Q$1)-1)/2)+'Cash Drivers'!S$7,0)=EOMONTH($BG$1,0),Marketing!S$5*Marketing!S$6,0)+IF(EOMONTH(DATE(YEAR(Marketing!$N$1),MONTH(Marketing!$N$1),1)+INT((DAY(Marketing!$N$1)-1)/2)+'Cash Drivers'!P$7,0)=EOMONTH($BG$1,0),Marketing!P$5*Marketing!P$6,0)+IF(EOMONTH(DATE(YEAR(Marketing!$K$1),MONTH(Marketing!$K$1),1)+INT((DAY(Marketing!$K$1)-1)/2)+'Cash Drivers'!M$7,0)=EOMONTH($BG$1,0),Marketing!M$5*Marketing!M$6,0)+0,0)</f>
        <v>107</v>
      </c>
      <c r="BJ7" s="86"/>
      <c r="BK7" s="86" t="n">
        <f aca="false">IF('Cash Drivers'!BK$26,BJ7,ROUND(IF(EOMONTH(DATE(YEAR(Marketing!$DL$1),MONTH(Marketing!$DL$1),1)+INT((DAY(Marketing!$DL$1)-1)/2)+'Cash Drivers'!DM$7,0)=EOMONTH($BJ$1,0),Marketing!DM$5*Marketing!DM$6,0)+IF(EOMONTH(DATE(YEAR(Marketing!$DI$1),MONTH(Marketing!$DI$1),1)+INT((DAY(Marketing!$DI$1)-1)/2)+'Cash Drivers'!DJ$7,0)=EOMONTH($BJ$1,0),Marketing!DJ$5*Marketing!DJ$6,0)+IF(EOMONTH(DATE(YEAR(Marketing!$DF$1),MONTH(Marketing!$DF$1),1)+INT((DAY(Marketing!$DF$1)-1)/2)+'Cash Drivers'!DG$7,0)=EOMONTH($BJ$1,0),Marketing!DG$5*Marketing!DG$6,0)+IF(EOMONTH(DATE(YEAR(Marketing!$DC$1),MONTH(Marketing!$DC$1),1)+INT((DAY(Marketing!$DC$1)-1)/2)+'Cash Drivers'!DD$7,0)=EOMONTH($BJ$1,0),Marketing!DD$5*Marketing!DD$6,0)+IF(EOMONTH(DATE(YEAR(Marketing!$CZ$1),MONTH(Marketing!$CZ$1),1)+INT((DAY(Marketing!$CZ$1)-1)/2)+'Cash Drivers'!DA$7,0)=EOMONTH($BJ$1,0),Marketing!DA$5*Marketing!DA$6,0)+IF(EOMONTH(DATE(YEAR(Marketing!$CW$1),MONTH(Marketing!$CW$1),1)+INT((DAY(Marketing!$CW$1)-1)/2)+'Cash Drivers'!CX$7,0)=EOMONTH($BJ$1,0),Marketing!CX$5*Marketing!CX$6,0)+IF(EOMONTH(DATE(YEAR(Marketing!$CT$1),MONTH(Marketing!$CT$1),1)+INT((DAY(Marketing!$CT$1)-1)/2)+'Cash Drivers'!CU$7,0)=EOMONTH($BJ$1,0),Marketing!CU$5*Marketing!CU$6,0)+IF(EOMONTH(DATE(YEAR(Marketing!$CQ$1),MONTH(Marketing!$CQ$1),1)+INT((DAY(Marketing!$CQ$1)-1)/2)+'Cash Drivers'!CR$7,0)=EOMONTH($BJ$1,0),Marketing!CR$5*Marketing!CR$6,0)+IF(EOMONTH(DATE(YEAR(Marketing!$CN$1),MONTH(Marketing!$CN$1),1)+INT((DAY(Marketing!$CN$1)-1)/2)+'Cash Drivers'!CO$7,0)=EOMONTH($BJ$1,0),Marketing!CO$5*Marketing!CO$6,0)+IF(EOMONTH(DATE(YEAR(Marketing!$CK$1),MONTH(Marketing!$CK$1),1)+INT((DAY(Marketing!$CK$1)-1)/2)+'Cash Drivers'!CL$7,0)=EOMONTH($BJ$1,0),Marketing!CL$5*Marketing!CL$6,0)+IF(EOMONTH(DATE(YEAR(Marketing!$CH$1),MONTH(Marketing!$CH$1),1)+INT((DAY(Marketing!$CH$1)-1)/2)+'Cash Drivers'!CI$7,0)=EOMONTH($BJ$1,0),Marketing!CI$5*Marketing!CI$6,0)+IF(EOMONTH(DATE(YEAR(Marketing!$CE$1),MONTH(Marketing!$CE$1),1)+INT((DAY(Marketing!$CE$1)-1)/2)+'Cash Drivers'!CF$7,0)=EOMONTH($BJ$1,0),Marketing!CF$5*Marketing!CF$6,0)+IF(EOMONTH(DATE(YEAR(Marketing!$CB$1),MONTH(Marketing!$CB$1),1)+INT((DAY(Marketing!$CB$1)-1)/2)+'Cash Drivers'!CC$7,0)=EOMONTH($BJ$1,0),Marketing!CC$5*Marketing!CC$6,0)+IF(EOMONTH(DATE(YEAR(Marketing!$BY$1),MONTH(Marketing!$BY$1),1)+INT((DAY(Marketing!$BY$1)-1)/2)+'Cash Drivers'!BZ$7,0)=EOMONTH($BJ$1,0),Marketing!BZ$5*Marketing!BZ$6,0)+IF(EOMONTH(DATE(YEAR(Marketing!$BV$1),MONTH(Marketing!$BV$1),1)+INT((DAY(Marketing!$BV$1)-1)/2)+'Cash Drivers'!BW$7,0)=EOMONTH($BJ$1,0),Marketing!BW$5*Marketing!BW$6,0)+IF(EOMONTH(DATE(YEAR(Marketing!$BS$1),MONTH(Marketing!$BS$1),1)+INT((DAY(Marketing!$BS$1)-1)/2)+'Cash Drivers'!BT$7,0)=EOMONTH($BJ$1,0),Marketing!BT$5*Marketing!BT$6,0)+IF(EOMONTH(DATE(YEAR(Marketing!$BP$1),MONTH(Marketing!$BP$1),1)+INT((DAY(Marketing!$BP$1)-1)/2)+'Cash Drivers'!BQ$7,0)=EOMONTH($BJ$1,0),Marketing!BQ$5*Marketing!BQ$6,0)+IF(EOMONTH(DATE(YEAR(Marketing!$BM$1),MONTH(Marketing!$BM$1),1)+INT((DAY(Marketing!$BM$1)-1)/2)+'Cash Drivers'!BN$7,0)=EOMONTH($BJ$1,0),Marketing!BN$5*Marketing!BN$6,0)+IF(EOMONTH(DATE(YEAR(Marketing!$BJ$1),MONTH(Marketing!$BJ$1),1)+INT((DAY(Marketing!$BJ$1)-1)/2)+'Cash Drivers'!BK$7,0)=EOMONTH($BJ$1,0),Marketing!BK$5*Marketing!BK$6,0)+IF(EOMONTH(DATE(YEAR(Marketing!$BG$1),MONTH(Marketing!$BG$1),1)+INT((DAY(Marketing!$BG$1)-1)/2)+'Cash Drivers'!BH$7,0)=EOMONTH($BJ$1,0),Marketing!BH$5*Marketing!BH$6,0)+IF(EOMONTH(DATE(YEAR(Marketing!$BD$1),MONTH(Marketing!$BD$1),1)+INT((DAY(Marketing!$BD$1)-1)/2)+'Cash Drivers'!BE$7,0)=EOMONTH($BJ$1,0),Marketing!BE$5*Marketing!BE$6,0)+IF(EOMONTH(DATE(YEAR(Marketing!$BA$1),MONTH(Marketing!$BA$1),1)+INT((DAY(Marketing!$BA$1)-1)/2)+'Cash Drivers'!BB$7,0)=EOMONTH($BJ$1,0),Marketing!BB$5*Marketing!BB$6,0)+IF(EOMONTH(DATE(YEAR(Marketing!$AX$1),MONTH(Marketing!$AX$1),1)+INT((DAY(Marketing!$AX$1)-1)/2)+'Cash Drivers'!AY$7,0)=EOMONTH($BJ$1,0),Marketing!AY$5*Marketing!AY$6,0)+IF(EOMONTH(DATE(YEAR(Marketing!$AU$1),MONTH(Marketing!$AU$1),1)+INT((DAY(Marketing!$AU$1)-1)/2)+'Cash Drivers'!AV$7,0)=EOMONTH($BJ$1,0),Marketing!AV$5*Marketing!AV$6,0)+IF(EOMONTH(DATE(YEAR(Marketing!$AR$1),MONTH(Marketing!$AR$1),1)+INT((DAY(Marketing!$AR$1)-1)/2)+'Cash Drivers'!AS$7,0)=EOMONTH($BJ$1,0),Marketing!AS$5*Marketing!AS$6,0)+IF(EOMONTH(DATE(YEAR(Marketing!$AO$1),MONTH(Marketing!$AO$1),1)+INT((DAY(Marketing!$AO$1)-1)/2)+'Cash Drivers'!AP$7,0)=EOMONTH($BJ$1,0),Marketing!AP$5*Marketing!AP$6,0)+IF(EOMONTH(DATE(YEAR(Marketing!$AL$1),MONTH(Marketing!$AL$1),1)+INT((DAY(Marketing!$AL$1)-1)/2)+'Cash Drivers'!AM$7,0)=EOMONTH($BJ$1,0),Marketing!AM$5*Marketing!AM$6,0)+IF(EOMONTH(DATE(YEAR(Marketing!$AI$1),MONTH(Marketing!$AI$1),1)+INT((DAY(Marketing!$AI$1)-1)/2)+'Cash Drivers'!AJ$7,0)=EOMONTH($BJ$1,0),Marketing!AJ$5*Marketing!AJ$6,0)+IF(EOMONTH(DATE(YEAR(Marketing!$AF$1),MONTH(Marketing!$AF$1),1)+INT((DAY(Marketing!$AF$1)-1)/2)+'Cash Drivers'!AG$7,0)=EOMONTH($BJ$1,0),Marketing!AG$5*Marketing!AG$6,0)+IF(EOMONTH(DATE(YEAR(Marketing!$AC$1),MONTH(Marketing!$AC$1),1)+INT((DAY(Marketing!$AC$1)-1)/2)+'Cash Drivers'!AD$7,0)=EOMONTH($BJ$1,0),Marketing!AD$5*Marketing!AD$6,0)+IF(EOMONTH(DATE(YEAR(Marketing!$Z$1),MONTH(Marketing!$Z$1),1)+INT((DAY(Marketing!$Z$1)-1)/2)+'Cash Drivers'!AA$7,0)=EOMONTH($BJ$1,0),Marketing!AA$5*Marketing!AA$6,0)+IF(EOMONTH(DATE(YEAR(Marketing!$W$1),MONTH(Marketing!$W$1),1)+INT((DAY(Marketing!$W$1)-1)/2)+'Cash Drivers'!X$7,0)=EOMONTH($BJ$1,0),Marketing!X$5*Marketing!X$6,0)+IF(EOMONTH(DATE(YEAR(Marketing!$T$1),MONTH(Marketing!$T$1),1)+INT((DAY(Marketing!$T$1)-1)/2)+'Cash Drivers'!U$7,0)=EOMONTH($BJ$1,0),Marketing!U$5*Marketing!U$6,0)+IF(EOMONTH(DATE(YEAR(Marketing!$Q$1),MONTH(Marketing!$Q$1),1)+INT((DAY(Marketing!$Q$1)-1)/2)+'Cash Drivers'!R$7,0)=EOMONTH($BJ$1,0),Marketing!R$5*Marketing!R$6,0)+IF(EOMONTH(DATE(YEAR(Marketing!$N$1),MONTH(Marketing!$N$1),1)+INT((DAY(Marketing!$N$1)-1)/2)+'Cash Drivers'!O$7,0)=EOMONTH($BJ$1,0),Marketing!O$5*Marketing!O$6,0)+IF(EOMONTH(DATE(YEAR(Marketing!$K$1),MONTH(Marketing!$K$1),1)+INT((DAY(Marketing!$K$1)-1)/2)+'Cash Drivers'!L$7,0)=EOMONTH($BJ$1,0),Marketing!L$5*Marketing!L$6,0)+0,0))</f>
        <v>107</v>
      </c>
      <c r="BL7" s="86" t="n">
        <f aca="false">ROUND(IF(EOMONTH(DATE(YEAR(Marketing!$DL$1),MONTH(Marketing!$DL$1),1)+INT((DAY(Marketing!$DL$1)-1)/2)+'Cash Drivers'!DN$7,0)=EOMONTH($BJ$1,0),Marketing!DN$5*Marketing!DN$6,0)+IF(EOMONTH(DATE(YEAR(Marketing!$DI$1),MONTH(Marketing!$DI$1),1)+INT((DAY(Marketing!$DI$1)-1)/2)+'Cash Drivers'!DK$7,0)=EOMONTH($BJ$1,0),Marketing!DK$5*Marketing!DK$6,0)+IF(EOMONTH(DATE(YEAR(Marketing!$DF$1),MONTH(Marketing!$DF$1),1)+INT((DAY(Marketing!$DF$1)-1)/2)+'Cash Drivers'!DH$7,0)=EOMONTH($BJ$1,0),Marketing!DH$5*Marketing!DH$6,0)+IF(EOMONTH(DATE(YEAR(Marketing!$DC$1),MONTH(Marketing!$DC$1),1)+INT((DAY(Marketing!$DC$1)-1)/2)+'Cash Drivers'!DE$7,0)=EOMONTH($BJ$1,0),Marketing!DE$5*Marketing!DE$6,0)+IF(EOMONTH(DATE(YEAR(Marketing!$CZ$1),MONTH(Marketing!$CZ$1),1)+INT((DAY(Marketing!$CZ$1)-1)/2)+'Cash Drivers'!DB$7,0)=EOMONTH($BJ$1,0),Marketing!DB$5*Marketing!DB$6,0)+IF(EOMONTH(DATE(YEAR(Marketing!$CW$1),MONTH(Marketing!$CW$1),1)+INT((DAY(Marketing!$CW$1)-1)/2)+'Cash Drivers'!CY$7,0)=EOMONTH($BJ$1,0),Marketing!CY$5*Marketing!CY$6,0)+IF(EOMONTH(DATE(YEAR(Marketing!$CT$1),MONTH(Marketing!$CT$1),1)+INT((DAY(Marketing!$CT$1)-1)/2)+'Cash Drivers'!CV$7,0)=EOMONTH($BJ$1,0),Marketing!CV$5*Marketing!CV$6,0)+IF(EOMONTH(DATE(YEAR(Marketing!$CQ$1),MONTH(Marketing!$CQ$1),1)+INT((DAY(Marketing!$CQ$1)-1)/2)+'Cash Drivers'!CS$7,0)=EOMONTH($BJ$1,0),Marketing!CS$5*Marketing!CS$6,0)+IF(EOMONTH(DATE(YEAR(Marketing!$CN$1),MONTH(Marketing!$CN$1),1)+INT((DAY(Marketing!$CN$1)-1)/2)+'Cash Drivers'!CP$7,0)=EOMONTH($BJ$1,0),Marketing!CP$5*Marketing!CP$6,0)+IF(EOMONTH(DATE(YEAR(Marketing!$CK$1),MONTH(Marketing!$CK$1),1)+INT((DAY(Marketing!$CK$1)-1)/2)+'Cash Drivers'!CM$7,0)=EOMONTH($BJ$1,0),Marketing!CM$5*Marketing!CM$6,0)+IF(EOMONTH(DATE(YEAR(Marketing!$CH$1),MONTH(Marketing!$CH$1),1)+INT((DAY(Marketing!$CH$1)-1)/2)+'Cash Drivers'!CJ$7,0)=EOMONTH($BJ$1,0),Marketing!CJ$5*Marketing!CJ$6,0)+IF(EOMONTH(DATE(YEAR(Marketing!$CE$1),MONTH(Marketing!$CE$1),1)+INT((DAY(Marketing!$CE$1)-1)/2)+'Cash Drivers'!CG$7,0)=EOMONTH($BJ$1,0),Marketing!CG$5*Marketing!CG$6,0)+IF(EOMONTH(DATE(YEAR(Marketing!$CB$1),MONTH(Marketing!$CB$1),1)+INT((DAY(Marketing!$CB$1)-1)/2)+'Cash Drivers'!CD$7,0)=EOMONTH($BJ$1,0),Marketing!CD$5*Marketing!CD$6,0)+IF(EOMONTH(DATE(YEAR(Marketing!$BY$1),MONTH(Marketing!$BY$1),1)+INT((DAY(Marketing!$BY$1)-1)/2)+'Cash Drivers'!CA$7,0)=EOMONTH($BJ$1,0),Marketing!CA$5*Marketing!CA$6,0)+IF(EOMONTH(DATE(YEAR(Marketing!$BV$1),MONTH(Marketing!$BV$1),1)+INT((DAY(Marketing!$BV$1)-1)/2)+'Cash Drivers'!BX$7,0)=EOMONTH($BJ$1,0),Marketing!BX$5*Marketing!BX$6,0)+IF(EOMONTH(DATE(YEAR(Marketing!$BS$1),MONTH(Marketing!$BS$1),1)+INT((DAY(Marketing!$BS$1)-1)/2)+'Cash Drivers'!BU$7,0)=EOMONTH($BJ$1,0),Marketing!BU$5*Marketing!BU$6,0)+IF(EOMONTH(DATE(YEAR(Marketing!$BP$1),MONTH(Marketing!$BP$1),1)+INT((DAY(Marketing!$BP$1)-1)/2)+'Cash Drivers'!BR$7,0)=EOMONTH($BJ$1,0),Marketing!BR$5*Marketing!BR$6,0)+IF(EOMONTH(DATE(YEAR(Marketing!$BM$1),MONTH(Marketing!$BM$1),1)+INT((DAY(Marketing!$BM$1)-1)/2)+'Cash Drivers'!BO$7,0)=EOMONTH($BJ$1,0),Marketing!BO$5*Marketing!BO$6,0)+IF(EOMONTH(DATE(YEAR(Marketing!$BJ$1),MONTH(Marketing!$BJ$1),1)+INT((DAY(Marketing!$BJ$1)-1)/2)+'Cash Drivers'!BL$7,0)=EOMONTH($BJ$1,0),Marketing!BL$5*Marketing!BL$6,0)+IF(EOMONTH(DATE(YEAR(Marketing!$BG$1),MONTH(Marketing!$BG$1),1)+INT((DAY(Marketing!$BG$1)-1)/2)+'Cash Drivers'!BI$7,0)=EOMONTH($BJ$1,0),Marketing!BI$5*Marketing!BI$6,0)+IF(EOMONTH(DATE(YEAR(Marketing!$BD$1),MONTH(Marketing!$BD$1),1)+INT((DAY(Marketing!$BD$1)-1)/2)+'Cash Drivers'!BF$7,0)=EOMONTH($BJ$1,0),Marketing!BF$5*Marketing!BF$6,0)+IF(EOMONTH(DATE(YEAR(Marketing!$BA$1),MONTH(Marketing!$BA$1),1)+INT((DAY(Marketing!$BA$1)-1)/2)+'Cash Drivers'!BC$7,0)=EOMONTH($BJ$1,0),Marketing!BC$5*Marketing!BC$6,0)+IF(EOMONTH(DATE(YEAR(Marketing!$AX$1),MONTH(Marketing!$AX$1),1)+INT((DAY(Marketing!$AX$1)-1)/2)+'Cash Drivers'!AZ$7,0)=EOMONTH($BJ$1,0),Marketing!AZ$5*Marketing!AZ$6,0)+IF(EOMONTH(DATE(YEAR(Marketing!$AU$1),MONTH(Marketing!$AU$1),1)+INT((DAY(Marketing!$AU$1)-1)/2)+'Cash Drivers'!AW$7,0)=EOMONTH($BJ$1,0),Marketing!AW$5*Marketing!AW$6,0)+IF(EOMONTH(DATE(YEAR(Marketing!$AR$1),MONTH(Marketing!$AR$1),1)+INT((DAY(Marketing!$AR$1)-1)/2)+'Cash Drivers'!AT$7,0)=EOMONTH($BJ$1,0),Marketing!AT$5*Marketing!AT$6,0)+IF(EOMONTH(DATE(YEAR(Marketing!$AO$1),MONTH(Marketing!$AO$1),1)+INT((DAY(Marketing!$AO$1)-1)/2)+'Cash Drivers'!AQ$7,0)=EOMONTH($BJ$1,0),Marketing!AQ$5*Marketing!AQ$6,0)+IF(EOMONTH(DATE(YEAR(Marketing!$AL$1),MONTH(Marketing!$AL$1),1)+INT((DAY(Marketing!$AL$1)-1)/2)+'Cash Drivers'!AN$7,0)=EOMONTH($BJ$1,0),Marketing!AN$5*Marketing!AN$6,0)+IF(EOMONTH(DATE(YEAR(Marketing!$AI$1),MONTH(Marketing!$AI$1),1)+INT((DAY(Marketing!$AI$1)-1)/2)+'Cash Drivers'!AK$7,0)=EOMONTH($BJ$1,0),Marketing!AK$5*Marketing!AK$6,0)+IF(EOMONTH(DATE(YEAR(Marketing!$AF$1),MONTH(Marketing!$AF$1),1)+INT((DAY(Marketing!$AF$1)-1)/2)+'Cash Drivers'!AH$7,0)=EOMONTH($BJ$1,0),Marketing!AH$5*Marketing!AH$6,0)+IF(EOMONTH(DATE(YEAR(Marketing!$AC$1),MONTH(Marketing!$AC$1),1)+INT((DAY(Marketing!$AC$1)-1)/2)+'Cash Drivers'!AE$7,0)=EOMONTH($BJ$1,0),Marketing!AE$5*Marketing!AE$6,0)+IF(EOMONTH(DATE(YEAR(Marketing!$Z$1),MONTH(Marketing!$Z$1),1)+INT((DAY(Marketing!$Z$1)-1)/2)+'Cash Drivers'!AB$7,0)=EOMONTH($BJ$1,0),Marketing!AB$5*Marketing!AB$6,0)+IF(EOMONTH(DATE(YEAR(Marketing!$W$1),MONTH(Marketing!$W$1),1)+INT((DAY(Marketing!$W$1)-1)/2)+'Cash Drivers'!Y$7,0)=EOMONTH($BJ$1,0),Marketing!Y$5*Marketing!Y$6,0)+IF(EOMONTH(DATE(YEAR(Marketing!$T$1),MONTH(Marketing!$T$1),1)+INT((DAY(Marketing!$T$1)-1)/2)+'Cash Drivers'!V$7,0)=EOMONTH($BJ$1,0),Marketing!V$5*Marketing!V$6,0)+IF(EOMONTH(DATE(YEAR(Marketing!$Q$1),MONTH(Marketing!$Q$1),1)+INT((DAY(Marketing!$Q$1)-1)/2)+'Cash Drivers'!S$7,0)=EOMONTH($BJ$1,0),Marketing!S$5*Marketing!S$6,0)+IF(EOMONTH(DATE(YEAR(Marketing!$N$1),MONTH(Marketing!$N$1),1)+INT((DAY(Marketing!$N$1)-1)/2)+'Cash Drivers'!P$7,0)=EOMONTH($BJ$1,0),Marketing!P$5*Marketing!P$6,0)+IF(EOMONTH(DATE(YEAR(Marketing!$K$1),MONTH(Marketing!$K$1),1)+INT((DAY(Marketing!$K$1)-1)/2)+'Cash Drivers'!M$7,0)=EOMONTH($BJ$1,0),Marketing!M$5*Marketing!M$6,0)+0,0)</f>
        <v>107</v>
      </c>
      <c r="BM7" s="87"/>
      <c r="BN7" s="87" t="n">
        <f aca="false">IF('Cash Drivers'!BN$26,BM7,ROUND(IF(EOMONTH(DATE(YEAR(Marketing!$DL$1),MONTH(Marketing!$DL$1),1)+INT((DAY(Marketing!$DL$1)-1)/2)+'Cash Drivers'!DM$7,0)=EOMONTH($BM$1,0),Marketing!DM$5*Marketing!DM$6,0)+IF(EOMONTH(DATE(YEAR(Marketing!$DI$1),MONTH(Marketing!$DI$1),1)+INT((DAY(Marketing!$DI$1)-1)/2)+'Cash Drivers'!DJ$7,0)=EOMONTH($BM$1,0),Marketing!DJ$5*Marketing!DJ$6,0)+IF(EOMONTH(DATE(YEAR(Marketing!$DF$1),MONTH(Marketing!$DF$1),1)+INT((DAY(Marketing!$DF$1)-1)/2)+'Cash Drivers'!DG$7,0)=EOMONTH($BM$1,0),Marketing!DG$5*Marketing!DG$6,0)+IF(EOMONTH(DATE(YEAR(Marketing!$DC$1),MONTH(Marketing!$DC$1),1)+INT((DAY(Marketing!$DC$1)-1)/2)+'Cash Drivers'!DD$7,0)=EOMONTH($BM$1,0),Marketing!DD$5*Marketing!DD$6,0)+IF(EOMONTH(DATE(YEAR(Marketing!$CZ$1),MONTH(Marketing!$CZ$1),1)+INT((DAY(Marketing!$CZ$1)-1)/2)+'Cash Drivers'!DA$7,0)=EOMONTH($BM$1,0),Marketing!DA$5*Marketing!DA$6,0)+IF(EOMONTH(DATE(YEAR(Marketing!$CW$1),MONTH(Marketing!$CW$1),1)+INT((DAY(Marketing!$CW$1)-1)/2)+'Cash Drivers'!CX$7,0)=EOMONTH($BM$1,0),Marketing!CX$5*Marketing!CX$6,0)+IF(EOMONTH(DATE(YEAR(Marketing!$CT$1),MONTH(Marketing!$CT$1),1)+INT((DAY(Marketing!$CT$1)-1)/2)+'Cash Drivers'!CU$7,0)=EOMONTH($BM$1,0),Marketing!CU$5*Marketing!CU$6,0)+IF(EOMONTH(DATE(YEAR(Marketing!$CQ$1),MONTH(Marketing!$CQ$1),1)+INT((DAY(Marketing!$CQ$1)-1)/2)+'Cash Drivers'!CR$7,0)=EOMONTH($BM$1,0),Marketing!CR$5*Marketing!CR$6,0)+IF(EOMONTH(DATE(YEAR(Marketing!$CN$1),MONTH(Marketing!$CN$1),1)+INT((DAY(Marketing!$CN$1)-1)/2)+'Cash Drivers'!CO$7,0)=EOMONTH($BM$1,0),Marketing!CO$5*Marketing!CO$6,0)+IF(EOMONTH(DATE(YEAR(Marketing!$CK$1),MONTH(Marketing!$CK$1),1)+INT((DAY(Marketing!$CK$1)-1)/2)+'Cash Drivers'!CL$7,0)=EOMONTH($BM$1,0),Marketing!CL$5*Marketing!CL$6,0)+IF(EOMONTH(DATE(YEAR(Marketing!$CH$1),MONTH(Marketing!$CH$1),1)+INT((DAY(Marketing!$CH$1)-1)/2)+'Cash Drivers'!CI$7,0)=EOMONTH($BM$1,0),Marketing!CI$5*Marketing!CI$6,0)+IF(EOMONTH(DATE(YEAR(Marketing!$CE$1),MONTH(Marketing!$CE$1),1)+INT((DAY(Marketing!$CE$1)-1)/2)+'Cash Drivers'!CF$7,0)=EOMONTH($BM$1,0),Marketing!CF$5*Marketing!CF$6,0)+IF(EOMONTH(DATE(YEAR(Marketing!$CB$1),MONTH(Marketing!$CB$1),1)+INT((DAY(Marketing!$CB$1)-1)/2)+'Cash Drivers'!CC$7,0)=EOMONTH($BM$1,0),Marketing!CC$5*Marketing!CC$6,0)+IF(EOMONTH(DATE(YEAR(Marketing!$BY$1),MONTH(Marketing!$BY$1),1)+INT((DAY(Marketing!$BY$1)-1)/2)+'Cash Drivers'!BZ$7,0)=EOMONTH($BM$1,0),Marketing!BZ$5*Marketing!BZ$6,0)+IF(EOMONTH(DATE(YEAR(Marketing!$BV$1),MONTH(Marketing!$BV$1),1)+INT((DAY(Marketing!$BV$1)-1)/2)+'Cash Drivers'!BW$7,0)=EOMONTH($BM$1,0),Marketing!BW$5*Marketing!BW$6,0)+IF(EOMONTH(DATE(YEAR(Marketing!$BS$1),MONTH(Marketing!$BS$1),1)+INT((DAY(Marketing!$BS$1)-1)/2)+'Cash Drivers'!BT$7,0)=EOMONTH($BM$1,0),Marketing!BT$5*Marketing!BT$6,0)+IF(EOMONTH(DATE(YEAR(Marketing!$BP$1),MONTH(Marketing!$BP$1),1)+INT((DAY(Marketing!$BP$1)-1)/2)+'Cash Drivers'!BQ$7,0)=EOMONTH($BM$1,0),Marketing!BQ$5*Marketing!BQ$6,0)+IF(EOMONTH(DATE(YEAR(Marketing!$BM$1),MONTH(Marketing!$BM$1),1)+INT((DAY(Marketing!$BM$1)-1)/2)+'Cash Drivers'!BN$7,0)=EOMONTH($BM$1,0),Marketing!BN$5*Marketing!BN$6,0)+IF(EOMONTH(DATE(YEAR(Marketing!$BJ$1),MONTH(Marketing!$BJ$1),1)+INT((DAY(Marketing!$BJ$1)-1)/2)+'Cash Drivers'!BK$7,0)=EOMONTH($BM$1,0),Marketing!BK$5*Marketing!BK$6,0)+IF(EOMONTH(DATE(YEAR(Marketing!$BG$1),MONTH(Marketing!$BG$1),1)+INT((DAY(Marketing!$BG$1)-1)/2)+'Cash Drivers'!BH$7,0)=EOMONTH($BM$1,0),Marketing!BH$5*Marketing!BH$6,0)+IF(EOMONTH(DATE(YEAR(Marketing!$BD$1),MONTH(Marketing!$BD$1),1)+INT((DAY(Marketing!$BD$1)-1)/2)+'Cash Drivers'!BE$7,0)=EOMONTH($BM$1,0),Marketing!BE$5*Marketing!BE$6,0)+IF(EOMONTH(DATE(YEAR(Marketing!$BA$1),MONTH(Marketing!$BA$1),1)+INT((DAY(Marketing!$BA$1)-1)/2)+'Cash Drivers'!BB$7,0)=EOMONTH($BM$1,0),Marketing!BB$5*Marketing!BB$6,0)+IF(EOMONTH(DATE(YEAR(Marketing!$AX$1),MONTH(Marketing!$AX$1),1)+INT((DAY(Marketing!$AX$1)-1)/2)+'Cash Drivers'!AY$7,0)=EOMONTH($BM$1,0),Marketing!AY$5*Marketing!AY$6,0)+IF(EOMONTH(DATE(YEAR(Marketing!$AU$1),MONTH(Marketing!$AU$1),1)+INT((DAY(Marketing!$AU$1)-1)/2)+'Cash Drivers'!AV$7,0)=EOMONTH($BM$1,0),Marketing!AV$5*Marketing!AV$6,0)+IF(EOMONTH(DATE(YEAR(Marketing!$AR$1),MONTH(Marketing!$AR$1),1)+INT((DAY(Marketing!$AR$1)-1)/2)+'Cash Drivers'!AS$7,0)=EOMONTH($BM$1,0),Marketing!AS$5*Marketing!AS$6,0)+IF(EOMONTH(DATE(YEAR(Marketing!$AO$1),MONTH(Marketing!$AO$1),1)+INT((DAY(Marketing!$AO$1)-1)/2)+'Cash Drivers'!AP$7,0)=EOMONTH($BM$1,0),Marketing!AP$5*Marketing!AP$6,0)+IF(EOMONTH(DATE(YEAR(Marketing!$AL$1),MONTH(Marketing!$AL$1),1)+INT((DAY(Marketing!$AL$1)-1)/2)+'Cash Drivers'!AM$7,0)=EOMONTH($BM$1,0),Marketing!AM$5*Marketing!AM$6,0)+IF(EOMONTH(DATE(YEAR(Marketing!$AI$1),MONTH(Marketing!$AI$1),1)+INT((DAY(Marketing!$AI$1)-1)/2)+'Cash Drivers'!AJ$7,0)=EOMONTH($BM$1,0),Marketing!AJ$5*Marketing!AJ$6,0)+IF(EOMONTH(DATE(YEAR(Marketing!$AF$1),MONTH(Marketing!$AF$1),1)+INT((DAY(Marketing!$AF$1)-1)/2)+'Cash Drivers'!AG$7,0)=EOMONTH($BM$1,0),Marketing!AG$5*Marketing!AG$6,0)+IF(EOMONTH(DATE(YEAR(Marketing!$AC$1),MONTH(Marketing!$AC$1),1)+INT((DAY(Marketing!$AC$1)-1)/2)+'Cash Drivers'!AD$7,0)=EOMONTH($BM$1,0),Marketing!AD$5*Marketing!AD$6,0)+IF(EOMONTH(DATE(YEAR(Marketing!$Z$1),MONTH(Marketing!$Z$1),1)+INT((DAY(Marketing!$Z$1)-1)/2)+'Cash Drivers'!AA$7,0)=EOMONTH($BM$1,0),Marketing!AA$5*Marketing!AA$6,0)+IF(EOMONTH(DATE(YEAR(Marketing!$W$1),MONTH(Marketing!$W$1),1)+INT((DAY(Marketing!$W$1)-1)/2)+'Cash Drivers'!X$7,0)=EOMONTH($BM$1,0),Marketing!X$5*Marketing!X$6,0)+IF(EOMONTH(DATE(YEAR(Marketing!$T$1),MONTH(Marketing!$T$1),1)+INT((DAY(Marketing!$T$1)-1)/2)+'Cash Drivers'!U$7,0)=EOMONTH($BM$1,0),Marketing!U$5*Marketing!U$6,0)+IF(EOMONTH(DATE(YEAR(Marketing!$Q$1),MONTH(Marketing!$Q$1),1)+INT((DAY(Marketing!$Q$1)-1)/2)+'Cash Drivers'!R$7,0)=EOMONTH($BM$1,0),Marketing!R$5*Marketing!R$6,0)+IF(EOMONTH(DATE(YEAR(Marketing!$N$1),MONTH(Marketing!$N$1),1)+INT((DAY(Marketing!$N$1)-1)/2)+'Cash Drivers'!O$7,0)=EOMONTH($BM$1,0),Marketing!O$5*Marketing!O$6,0)+IF(EOMONTH(DATE(YEAR(Marketing!$K$1),MONTH(Marketing!$K$1),1)+INT((DAY(Marketing!$K$1)-1)/2)+'Cash Drivers'!L$7,0)=EOMONTH($BM$1,0),Marketing!L$5*Marketing!L$6,0)+0,0))</f>
        <v>107</v>
      </c>
      <c r="BO7" s="87" t="n">
        <f aca="false">ROUND(IF(EOMONTH(DATE(YEAR(Marketing!$DL$1),MONTH(Marketing!$DL$1),1)+INT((DAY(Marketing!$DL$1)-1)/2)+'Cash Drivers'!DN$7,0)=EOMONTH($BM$1,0),Marketing!DN$5*Marketing!DN$6,0)+IF(EOMONTH(DATE(YEAR(Marketing!$DI$1),MONTH(Marketing!$DI$1),1)+INT((DAY(Marketing!$DI$1)-1)/2)+'Cash Drivers'!DK$7,0)=EOMONTH($BM$1,0),Marketing!DK$5*Marketing!DK$6,0)+IF(EOMONTH(DATE(YEAR(Marketing!$DF$1),MONTH(Marketing!$DF$1),1)+INT((DAY(Marketing!$DF$1)-1)/2)+'Cash Drivers'!DH$7,0)=EOMONTH($BM$1,0),Marketing!DH$5*Marketing!DH$6,0)+IF(EOMONTH(DATE(YEAR(Marketing!$DC$1),MONTH(Marketing!$DC$1),1)+INT((DAY(Marketing!$DC$1)-1)/2)+'Cash Drivers'!DE$7,0)=EOMONTH($BM$1,0),Marketing!DE$5*Marketing!DE$6,0)+IF(EOMONTH(DATE(YEAR(Marketing!$CZ$1),MONTH(Marketing!$CZ$1),1)+INT((DAY(Marketing!$CZ$1)-1)/2)+'Cash Drivers'!DB$7,0)=EOMONTH($BM$1,0),Marketing!DB$5*Marketing!DB$6,0)+IF(EOMONTH(DATE(YEAR(Marketing!$CW$1),MONTH(Marketing!$CW$1),1)+INT((DAY(Marketing!$CW$1)-1)/2)+'Cash Drivers'!CY$7,0)=EOMONTH($BM$1,0),Marketing!CY$5*Marketing!CY$6,0)+IF(EOMONTH(DATE(YEAR(Marketing!$CT$1),MONTH(Marketing!$CT$1),1)+INT((DAY(Marketing!$CT$1)-1)/2)+'Cash Drivers'!CV$7,0)=EOMONTH($BM$1,0),Marketing!CV$5*Marketing!CV$6,0)+IF(EOMONTH(DATE(YEAR(Marketing!$CQ$1),MONTH(Marketing!$CQ$1),1)+INT((DAY(Marketing!$CQ$1)-1)/2)+'Cash Drivers'!CS$7,0)=EOMONTH($BM$1,0),Marketing!CS$5*Marketing!CS$6,0)+IF(EOMONTH(DATE(YEAR(Marketing!$CN$1),MONTH(Marketing!$CN$1),1)+INT((DAY(Marketing!$CN$1)-1)/2)+'Cash Drivers'!CP$7,0)=EOMONTH($BM$1,0),Marketing!CP$5*Marketing!CP$6,0)+IF(EOMONTH(DATE(YEAR(Marketing!$CK$1),MONTH(Marketing!$CK$1),1)+INT((DAY(Marketing!$CK$1)-1)/2)+'Cash Drivers'!CM$7,0)=EOMONTH($BM$1,0),Marketing!CM$5*Marketing!CM$6,0)+IF(EOMONTH(DATE(YEAR(Marketing!$CH$1),MONTH(Marketing!$CH$1),1)+INT((DAY(Marketing!$CH$1)-1)/2)+'Cash Drivers'!CJ$7,0)=EOMONTH($BM$1,0),Marketing!CJ$5*Marketing!CJ$6,0)+IF(EOMONTH(DATE(YEAR(Marketing!$CE$1),MONTH(Marketing!$CE$1),1)+INT((DAY(Marketing!$CE$1)-1)/2)+'Cash Drivers'!CG$7,0)=EOMONTH($BM$1,0),Marketing!CG$5*Marketing!CG$6,0)+IF(EOMONTH(DATE(YEAR(Marketing!$CB$1),MONTH(Marketing!$CB$1),1)+INT((DAY(Marketing!$CB$1)-1)/2)+'Cash Drivers'!CD$7,0)=EOMONTH($BM$1,0),Marketing!CD$5*Marketing!CD$6,0)+IF(EOMONTH(DATE(YEAR(Marketing!$BY$1),MONTH(Marketing!$BY$1),1)+INT((DAY(Marketing!$BY$1)-1)/2)+'Cash Drivers'!CA$7,0)=EOMONTH($BM$1,0),Marketing!CA$5*Marketing!CA$6,0)+IF(EOMONTH(DATE(YEAR(Marketing!$BV$1),MONTH(Marketing!$BV$1),1)+INT((DAY(Marketing!$BV$1)-1)/2)+'Cash Drivers'!BX$7,0)=EOMONTH($BM$1,0),Marketing!BX$5*Marketing!BX$6,0)+IF(EOMONTH(DATE(YEAR(Marketing!$BS$1),MONTH(Marketing!$BS$1),1)+INT((DAY(Marketing!$BS$1)-1)/2)+'Cash Drivers'!BU$7,0)=EOMONTH($BM$1,0),Marketing!BU$5*Marketing!BU$6,0)+IF(EOMONTH(DATE(YEAR(Marketing!$BP$1),MONTH(Marketing!$BP$1),1)+INT((DAY(Marketing!$BP$1)-1)/2)+'Cash Drivers'!BR$7,0)=EOMONTH($BM$1,0),Marketing!BR$5*Marketing!BR$6,0)+IF(EOMONTH(DATE(YEAR(Marketing!$BM$1),MONTH(Marketing!$BM$1),1)+INT((DAY(Marketing!$BM$1)-1)/2)+'Cash Drivers'!BO$7,0)=EOMONTH($BM$1,0),Marketing!BO$5*Marketing!BO$6,0)+IF(EOMONTH(DATE(YEAR(Marketing!$BJ$1),MONTH(Marketing!$BJ$1),1)+INT((DAY(Marketing!$BJ$1)-1)/2)+'Cash Drivers'!BL$7,0)=EOMONTH($BM$1,0),Marketing!BL$5*Marketing!BL$6,0)+IF(EOMONTH(DATE(YEAR(Marketing!$BG$1),MONTH(Marketing!$BG$1),1)+INT((DAY(Marketing!$BG$1)-1)/2)+'Cash Drivers'!BI$7,0)=EOMONTH($BM$1,0),Marketing!BI$5*Marketing!BI$6,0)+IF(EOMONTH(DATE(YEAR(Marketing!$BD$1),MONTH(Marketing!$BD$1),1)+INT((DAY(Marketing!$BD$1)-1)/2)+'Cash Drivers'!BF$7,0)=EOMONTH($BM$1,0),Marketing!BF$5*Marketing!BF$6,0)+IF(EOMONTH(DATE(YEAR(Marketing!$BA$1),MONTH(Marketing!$BA$1),1)+INT((DAY(Marketing!$BA$1)-1)/2)+'Cash Drivers'!BC$7,0)=EOMONTH($BM$1,0),Marketing!BC$5*Marketing!BC$6,0)+IF(EOMONTH(DATE(YEAR(Marketing!$AX$1),MONTH(Marketing!$AX$1),1)+INT((DAY(Marketing!$AX$1)-1)/2)+'Cash Drivers'!AZ$7,0)=EOMONTH($BM$1,0),Marketing!AZ$5*Marketing!AZ$6,0)+IF(EOMONTH(DATE(YEAR(Marketing!$AU$1),MONTH(Marketing!$AU$1),1)+INT((DAY(Marketing!$AU$1)-1)/2)+'Cash Drivers'!AW$7,0)=EOMONTH($BM$1,0),Marketing!AW$5*Marketing!AW$6,0)+IF(EOMONTH(DATE(YEAR(Marketing!$AR$1),MONTH(Marketing!$AR$1),1)+INT((DAY(Marketing!$AR$1)-1)/2)+'Cash Drivers'!AT$7,0)=EOMONTH($BM$1,0),Marketing!AT$5*Marketing!AT$6,0)+IF(EOMONTH(DATE(YEAR(Marketing!$AO$1),MONTH(Marketing!$AO$1),1)+INT((DAY(Marketing!$AO$1)-1)/2)+'Cash Drivers'!AQ$7,0)=EOMONTH($BM$1,0),Marketing!AQ$5*Marketing!AQ$6,0)+IF(EOMONTH(DATE(YEAR(Marketing!$AL$1),MONTH(Marketing!$AL$1),1)+INT((DAY(Marketing!$AL$1)-1)/2)+'Cash Drivers'!AN$7,0)=EOMONTH($BM$1,0),Marketing!AN$5*Marketing!AN$6,0)+IF(EOMONTH(DATE(YEAR(Marketing!$AI$1),MONTH(Marketing!$AI$1),1)+INT((DAY(Marketing!$AI$1)-1)/2)+'Cash Drivers'!AK$7,0)=EOMONTH($BM$1,0),Marketing!AK$5*Marketing!AK$6,0)+IF(EOMONTH(DATE(YEAR(Marketing!$AF$1),MONTH(Marketing!$AF$1),1)+INT((DAY(Marketing!$AF$1)-1)/2)+'Cash Drivers'!AH$7,0)=EOMONTH($BM$1,0),Marketing!AH$5*Marketing!AH$6,0)+IF(EOMONTH(DATE(YEAR(Marketing!$AC$1),MONTH(Marketing!$AC$1),1)+INT((DAY(Marketing!$AC$1)-1)/2)+'Cash Drivers'!AE$7,0)=EOMONTH($BM$1,0),Marketing!AE$5*Marketing!AE$6,0)+IF(EOMONTH(DATE(YEAR(Marketing!$Z$1),MONTH(Marketing!$Z$1),1)+INT((DAY(Marketing!$Z$1)-1)/2)+'Cash Drivers'!AB$7,0)=EOMONTH($BM$1,0),Marketing!AB$5*Marketing!AB$6,0)+IF(EOMONTH(DATE(YEAR(Marketing!$W$1),MONTH(Marketing!$W$1),1)+INT((DAY(Marketing!$W$1)-1)/2)+'Cash Drivers'!Y$7,0)=EOMONTH($BM$1,0),Marketing!Y$5*Marketing!Y$6,0)+IF(EOMONTH(DATE(YEAR(Marketing!$T$1),MONTH(Marketing!$T$1),1)+INT((DAY(Marketing!$T$1)-1)/2)+'Cash Drivers'!V$7,0)=EOMONTH($BM$1,0),Marketing!V$5*Marketing!V$6,0)+IF(EOMONTH(DATE(YEAR(Marketing!$Q$1),MONTH(Marketing!$Q$1),1)+INT((DAY(Marketing!$Q$1)-1)/2)+'Cash Drivers'!S$7,0)=EOMONTH($BM$1,0),Marketing!S$5*Marketing!S$6,0)+IF(EOMONTH(DATE(YEAR(Marketing!$N$1),MONTH(Marketing!$N$1),1)+INT((DAY(Marketing!$N$1)-1)/2)+'Cash Drivers'!P$7,0)=EOMONTH($BM$1,0),Marketing!P$5*Marketing!P$6,0)+IF(EOMONTH(DATE(YEAR(Marketing!$K$1),MONTH(Marketing!$K$1),1)+INT((DAY(Marketing!$K$1)-1)/2)+'Cash Drivers'!M$7,0)=EOMONTH($BM$1,0),Marketing!M$5*Marketing!M$6,0)+0,0)</f>
        <v>107</v>
      </c>
      <c r="BP7" s="86"/>
      <c r="BQ7" s="86" t="n">
        <f aca="false">IF('Cash Drivers'!BQ$26,BP7,ROUND(IF(EOMONTH(DATE(YEAR(Marketing!$DL$1),MONTH(Marketing!$DL$1),1)+INT((DAY(Marketing!$DL$1)-1)/2)+'Cash Drivers'!DM$7,0)=EOMONTH($BP$1,0),Marketing!DM$5*Marketing!DM$6,0)+IF(EOMONTH(DATE(YEAR(Marketing!$DI$1),MONTH(Marketing!$DI$1),1)+INT((DAY(Marketing!$DI$1)-1)/2)+'Cash Drivers'!DJ$7,0)=EOMONTH($BP$1,0),Marketing!DJ$5*Marketing!DJ$6,0)+IF(EOMONTH(DATE(YEAR(Marketing!$DF$1),MONTH(Marketing!$DF$1),1)+INT((DAY(Marketing!$DF$1)-1)/2)+'Cash Drivers'!DG$7,0)=EOMONTH($BP$1,0),Marketing!DG$5*Marketing!DG$6,0)+IF(EOMONTH(DATE(YEAR(Marketing!$DC$1),MONTH(Marketing!$DC$1),1)+INT((DAY(Marketing!$DC$1)-1)/2)+'Cash Drivers'!DD$7,0)=EOMONTH($BP$1,0),Marketing!DD$5*Marketing!DD$6,0)+IF(EOMONTH(DATE(YEAR(Marketing!$CZ$1),MONTH(Marketing!$CZ$1),1)+INT((DAY(Marketing!$CZ$1)-1)/2)+'Cash Drivers'!DA$7,0)=EOMONTH($BP$1,0),Marketing!DA$5*Marketing!DA$6,0)+IF(EOMONTH(DATE(YEAR(Marketing!$CW$1),MONTH(Marketing!$CW$1),1)+INT((DAY(Marketing!$CW$1)-1)/2)+'Cash Drivers'!CX$7,0)=EOMONTH($BP$1,0),Marketing!CX$5*Marketing!CX$6,0)+IF(EOMONTH(DATE(YEAR(Marketing!$CT$1),MONTH(Marketing!$CT$1),1)+INT((DAY(Marketing!$CT$1)-1)/2)+'Cash Drivers'!CU$7,0)=EOMONTH($BP$1,0),Marketing!CU$5*Marketing!CU$6,0)+IF(EOMONTH(DATE(YEAR(Marketing!$CQ$1),MONTH(Marketing!$CQ$1),1)+INT((DAY(Marketing!$CQ$1)-1)/2)+'Cash Drivers'!CR$7,0)=EOMONTH($BP$1,0),Marketing!CR$5*Marketing!CR$6,0)+IF(EOMONTH(DATE(YEAR(Marketing!$CN$1),MONTH(Marketing!$CN$1),1)+INT((DAY(Marketing!$CN$1)-1)/2)+'Cash Drivers'!CO$7,0)=EOMONTH($BP$1,0),Marketing!CO$5*Marketing!CO$6,0)+IF(EOMONTH(DATE(YEAR(Marketing!$CK$1),MONTH(Marketing!$CK$1),1)+INT((DAY(Marketing!$CK$1)-1)/2)+'Cash Drivers'!CL$7,0)=EOMONTH($BP$1,0),Marketing!CL$5*Marketing!CL$6,0)+IF(EOMONTH(DATE(YEAR(Marketing!$CH$1),MONTH(Marketing!$CH$1),1)+INT((DAY(Marketing!$CH$1)-1)/2)+'Cash Drivers'!CI$7,0)=EOMONTH($BP$1,0),Marketing!CI$5*Marketing!CI$6,0)+IF(EOMONTH(DATE(YEAR(Marketing!$CE$1),MONTH(Marketing!$CE$1),1)+INT((DAY(Marketing!$CE$1)-1)/2)+'Cash Drivers'!CF$7,0)=EOMONTH($BP$1,0),Marketing!CF$5*Marketing!CF$6,0)+IF(EOMONTH(DATE(YEAR(Marketing!$CB$1),MONTH(Marketing!$CB$1),1)+INT((DAY(Marketing!$CB$1)-1)/2)+'Cash Drivers'!CC$7,0)=EOMONTH($BP$1,0),Marketing!CC$5*Marketing!CC$6,0)+IF(EOMONTH(DATE(YEAR(Marketing!$BY$1),MONTH(Marketing!$BY$1),1)+INT((DAY(Marketing!$BY$1)-1)/2)+'Cash Drivers'!BZ$7,0)=EOMONTH($BP$1,0),Marketing!BZ$5*Marketing!BZ$6,0)+IF(EOMONTH(DATE(YEAR(Marketing!$BV$1),MONTH(Marketing!$BV$1),1)+INT((DAY(Marketing!$BV$1)-1)/2)+'Cash Drivers'!BW$7,0)=EOMONTH($BP$1,0),Marketing!BW$5*Marketing!BW$6,0)+IF(EOMONTH(DATE(YEAR(Marketing!$BS$1),MONTH(Marketing!$BS$1),1)+INT((DAY(Marketing!$BS$1)-1)/2)+'Cash Drivers'!BT$7,0)=EOMONTH($BP$1,0),Marketing!BT$5*Marketing!BT$6,0)+IF(EOMONTH(DATE(YEAR(Marketing!$BP$1),MONTH(Marketing!$BP$1),1)+INT((DAY(Marketing!$BP$1)-1)/2)+'Cash Drivers'!BQ$7,0)=EOMONTH($BP$1,0),Marketing!BQ$5*Marketing!BQ$6,0)+IF(EOMONTH(DATE(YEAR(Marketing!$BM$1),MONTH(Marketing!$BM$1),1)+INT((DAY(Marketing!$BM$1)-1)/2)+'Cash Drivers'!BN$7,0)=EOMONTH($BP$1,0),Marketing!BN$5*Marketing!BN$6,0)+IF(EOMONTH(DATE(YEAR(Marketing!$BJ$1),MONTH(Marketing!$BJ$1),1)+INT((DAY(Marketing!$BJ$1)-1)/2)+'Cash Drivers'!BK$7,0)=EOMONTH($BP$1,0),Marketing!BK$5*Marketing!BK$6,0)+IF(EOMONTH(DATE(YEAR(Marketing!$BG$1),MONTH(Marketing!$BG$1),1)+INT((DAY(Marketing!$BG$1)-1)/2)+'Cash Drivers'!BH$7,0)=EOMONTH($BP$1,0),Marketing!BH$5*Marketing!BH$6,0)+IF(EOMONTH(DATE(YEAR(Marketing!$BD$1),MONTH(Marketing!$BD$1),1)+INT((DAY(Marketing!$BD$1)-1)/2)+'Cash Drivers'!BE$7,0)=EOMONTH($BP$1,0),Marketing!BE$5*Marketing!BE$6,0)+IF(EOMONTH(DATE(YEAR(Marketing!$BA$1),MONTH(Marketing!$BA$1),1)+INT((DAY(Marketing!$BA$1)-1)/2)+'Cash Drivers'!BB$7,0)=EOMONTH($BP$1,0),Marketing!BB$5*Marketing!BB$6,0)+IF(EOMONTH(DATE(YEAR(Marketing!$AX$1),MONTH(Marketing!$AX$1),1)+INT((DAY(Marketing!$AX$1)-1)/2)+'Cash Drivers'!AY$7,0)=EOMONTH($BP$1,0),Marketing!AY$5*Marketing!AY$6,0)+IF(EOMONTH(DATE(YEAR(Marketing!$AU$1),MONTH(Marketing!$AU$1),1)+INT((DAY(Marketing!$AU$1)-1)/2)+'Cash Drivers'!AV$7,0)=EOMONTH($BP$1,0),Marketing!AV$5*Marketing!AV$6,0)+IF(EOMONTH(DATE(YEAR(Marketing!$AR$1),MONTH(Marketing!$AR$1),1)+INT((DAY(Marketing!$AR$1)-1)/2)+'Cash Drivers'!AS$7,0)=EOMONTH($BP$1,0),Marketing!AS$5*Marketing!AS$6,0)+IF(EOMONTH(DATE(YEAR(Marketing!$AO$1),MONTH(Marketing!$AO$1),1)+INT((DAY(Marketing!$AO$1)-1)/2)+'Cash Drivers'!AP$7,0)=EOMONTH($BP$1,0),Marketing!AP$5*Marketing!AP$6,0)+IF(EOMONTH(DATE(YEAR(Marketing!$AL$1),MONTH(Marketing!$AL$1),1)+INT((DAY(Marketing!$AL$1)-1)/2)+'Cash Drivers'!AM$7,0)=EOMONTH($BP$1,0),Marketing!AM$5*Marketing!AM$6,0)+IF(EOMONTH(DATE(YEAR(Marketing!$AI$1),MONTH(Marketing!$AI$1),1)+INT((DAY(Marketing!$AI$1)-1)/2)+'Cash Drivers'!AJ$7,0)=EOMONTH($BP$1,0),Marketing!AJ$5*Marketing!AJ$6,0)+IF(EOMONTH(DATE(YEAR(Marketing!$AF$1),MONTH(Marketing!$AF$1),1)+INT((DAY(Marketing!$AF$1)-1)/2)+'Cash Drivers'!AG$7,0)=EOMONTH($BP$1,0),Marketing!AG$5*Marketing!AG$6,0)+IF(EOMONTH(DATE(YEAR(Marketing!$AC$1),MONTH(Marketing!$AC$1),1)+INT((DAY(Marketing!$AC$1)-1)/2)+'Cash Drivers'!AD$7,0)=EOMONTH($BP$1,0),Marketing!AD$5*Marketing!AD$6,0)+IF(EOMONTH(DATE(YEAR(Marketing!$Z$1),MONTH(Marketing!$Z$1),1)+INT((DAY(Marketing!$Z$1)-1)/2)+'Cash Drivers'!AA$7,0)=EOMONTH($BP$1,0),Marketing!AA$5*Marketing!AA$6,0)+IF(EOMONTH(DATE(YEAR(Marketing!$W$1),MONTH(Marketing!$W$1),1)+INT((DAY(Marketing!$W$1)-1)/2)+'Cash Drivers'!X$7,0)=EOMONTH($BP$1,0),Marketing!X$5*Marketing!X$6,0)+IF(EOMONTH(DATE(YEAR(Marketing!$T$1),MONTH(Marketing!$T$1),1)+INT((DAY(Marketing!$T$1)-1)/2)+'Cash Drivers'!U$7,0)=EOMONTH($BP$1,0),Marketing!U$5*Marketing!U$6,0)+IF(EOMONTH(DATE(YEAR(Marketing!$Q$1),MONTH(Marketing!$Q$1),1)+INT((DAY(Marketing!$Q$1)-1)/2)+'Cash Drivers'!R$7,0)=EOMONTH($BP$1,0),Marketing!R$5*Marketing!R$6,0)+IF(EOMONTH(DATE(YEAR(Marketing!$N$1),MONTH(Marketing!$N$1),1)+INT((DAY(Marketing!$N$1)-1)/2)+'Cash Drivers'!O$7,0)=EOMONTH($BP$1,0),Marketing!O$5*Marketing!O$6,0)+IF(EOMONTH(DATE(YEAR(Marketing!$K$1),MONTH(Marketing!$K$1),1)+INT((DAY(Marketing!$K$1)-1)/2)+'Cash Drivers'!L$7,0)=EOMONTH($BP$1,0),Marketing!L$5*Marketing!L$6,0)+0,0))</f>
        <v>107</v>
      </c>
      <c r="BR7" s="86" t="n">
        <f aca="false">ROUND(IF(EOMONTH(DATE(YEAR(Marketing!$DL$1),MONTH(Marketing!$DL$1),1)+INT((DAY(Marketing!$DL$1)-1)/2)+'Cash Drivers'!DN$7,0)=EOMONTH($BP$1,0),Marketing!DN$5*Marketing!DN$6,0)+IF(EOMONTH(DATE(YEAR(Marketing!$DI$1),MONTH(Marketing!$DI$1),1)+INT((DAY(Marketing!$DI$1)-1)/2)+'Cash Drivers'!DK$7,0)=EOMONTH($BP$1,0),Marketing!DK$5*Marketing!DK$6,0)+IF(EOMONTH(DATE(YEAR(Marketing!$DF$1),MONTH(Marketing!$DF$1),1)+INT((DAY(Marketing!$DF$1)-1)/2)+'Cash Drivers'!DH$7,0)=EOMONTH($BP$1,0),Marketing!DH$5*Marketing!DH$6,0)+IF(EOMONTH(DATE(YEAR(Marketing!$DC$1),MONTH(Marketing!$DC$1),1)+INT((DAY(Marketing!$DC$1)-1)/2)+'Cash Drivers'!DE$7,0)=EOMONTH($BP$1,0),Marketing!DE$5*Marketing!DE$6,0)+IF(EOMONTH(DATE(YEAR(Marketing!$CZ$1),MONTH(Marketing!$CZ$1),1)+INT((DAY(Marketing!$CZ$1)-1)/2)+'Cash Drivers'!DB$7,0)=EOMONTH($BP$1,0),Marketing!DB$5*Marketing!DB$6,0)+IF(EOMONTH(DATE(YEAR(Marketing!$CW$1),MONTH(Marketing!$CW$1),1)+INT((DAY(Marketing!$CW$1)-1)/2)+'Cash Drivers'!CY$7,0)=EOMONTH($BP$1,0),Marketing!CY$5*Marketing!CY$6,0)+IF(EOMONTH(DATE(YEAR(Marketing!$CT$1),MONTH(Marketing!$CT$1),1)+INT((DAY(Marketing!$CT$1)-1)/2)+'Cash Drivers'!CV$7,0)=EOMONTH($BP$1,0),Marketing!CV$5*Marketing!CV$6,0)+IF(EOMONTH(DATE(YEAR(Marketing!$CQ$1),MONTH(Marketing!$CQ$1),1)+INT((DAY(Marketing!$CQ$1)-1)/2)+'Cash Drivers'!CS$7,0)=EOMONTH($BP$1,0),Marketing!CS$5*Marketing!CS$6,0)+IF(EOMONTH(DATE(YEAR(Marketing!$CN$1),MONTH(Marketing!$CN$1),1)+INT((DAY(Marketing!$CN$1)-1)/2)+'Cash Drivers'!CP$7,0)=EOMONTH($BP$1,0),Marketing!CP$5*Marketing!CP$6,0)+IF(EOMONTH(DATE(YEAR(Marketing!$CK$1),MONTH(Marketing!$CK$1),1)+INT((DAY(Marketing!$CK$1)-1)/2)+'Cash Drivers'!CM$7,0)=EOMONTH($BP$1,0),Marketing!CM$5*Marketing!CM$6,0)+IF(EOMONTH(DATE(YEAR(Marketing!$CH$1),MONTH(Marketing!$CH$1),1)+INT((DAY(Marketing!$CH$1)-1)/2)+'Cash Drivers'!CJ$7,0)=EOMONTH($BP$1,0),Marketing!CJ$5*Marketing!CJ$6,0)+IF(EOMONTH(DATE(YEAR(Marketing!$CE$1),MONTH(Marketing!$CE$1),1)+INT((DAY(Marketing!$CE$1)-1)/2)+'Cash Drivers'!CG$7,0)=EOMONTH($BP$1,0),Marketing!CG$5*Marketing!CG$6,0)+IF(EOMONTH(DATE(YEAR(Marketing!$CB$1),MONTH(Marketing!$CB$1),1)+INT((DAY(Marketing!$CB$1)-1)/2)+'Cash Drivers'!CD$7,0)=EOMONTH($BP$1,0),Marketing!CD$5*Marketing!CD$6,0)+IF(EOMONTH(DATE(YEAR(Marketing!$BY$1),MONTH(Marketing!$BY$1),1)+INT((DAY(Marketing!$BY$1)-1)/2)+'Cash Drivers'!CA$7,0)=EOMONTH($BP$1,0),Marketing!CA$5*Marketing!CA$6,0)+IF(EOMONTH(DATE(YEAR(Marketing!$BV$1),MONTH(Marketing!$BV$1),1)+INT((DAY(Marketing!$BV$1)-1)/2)+'Cash Drivers'!BX$7,0)=EOMONTH($BP$1,0),Marketing!BX$5*Marketing!BX$6,0)+IF(EOMONTH(DATE(YEAR(Marketing!$BS$1),MONTH(Marketing!$BS$1),1)+INT((DAY(Marketing!$BS$1)-1)/2)+'Cash Drivers'!BU$7,0)=EOMONTH($BP$1,0),Marketing!BU$5*Marketing!BU$6,0)+IF(EOMONTH(DATE(YEAR(Marketing!$BP$1),MONTH(Marketing!$BP$1),1)+INT((DAY(Marketing!$BP$1)-1)/2)+'Cash Drivers'!BR$7,0)=EOMONTH($BP$1,0),Marketing!BR$5*Marketing!BR$6,0)+IF(EOMONTH(DATE(YEAR(Marketing!$BM$1),MONTH(Marketing!$BM$1),1)+INT((DAY(Marketing!$BM$1)-1)/2)+'Cash Drivers'!BO$7,0)=EOMONTH($BP$1,0),Marketing!BO$5*Marketing!BO$6,0)+IF(EOMONTH(DATE(YEAR(Marketing!$BJ$1),MONTH(Marketing!$BJ$1),1)+INT((DAY(Marketing!$BJ$1)-1)/2)+'Cash Drivers'!BL$7,0)=EOMONTH($BP$1,0),Marketing!BL$5*Marketing!BL$6,0)+IF(EOMONTH(DATE(YEAR(Marketing!$BG$1),MONTH(Marketing!$BG$1),1)+INT((DAY(Marketing!$BG$1)-1)/2)+'Cash Drivers'!BI$7,0)=EOMONTH($BP$1,0),Marketing!BI$5*Marketing!BI$6,0)+IF(EOMONTH(DATE(YEAR(Marketing!$BD$1),MONTH(Marketing!$BD$1),1)+INT((DAY(Marketing!$BD$1)-1)/2)+'Cash Drivers'!BF$7,0)=EOMONTH($BP$1,0),Marketing!BF$5*Marketing!BF$6,0)+IF(EOMONTH(DATE(YEAR(Marketing!$BA$1),MONTH(Marketing!$BA$1),1)+INT((DAY(Marketing!$BA$1)-1)/2)+'Cash Drivers'!BC$7,0)=EOMONTH($BP$1,0),Marketing!BC$5*Marketing!BC$6,0)+IF(EOMONTH(DATE(YEAR(Marketing!$AX$1),MONTH(Marketing!$AX$1),1)+INT((DAY(Marketing!$AX$1)-1)/2)+'Cash Drivers'!AZ$7,0)=EOMONTH($BP$1,0),Marketing!AZ$5*Marketing!AZ$6,0)+IF(EOMONTH(DATE(YEAR(Marketing!$AU$1),MONTH(Marketing!$AU$1),1)+INT((DAY(Marketing!$AU$1)-1)/2)+'Cash Drivers'!AW$7,0)=EOMONTH($BP$1,0),Marketing!AW$5*Marketing!AW$6,0)+IF(EOMONTH(DATE(YEAR(Marketing!$AR$1),MONTH(Marketing!$AR$1),1)+INT((DAY(Marketing!$AR$1)-1)/2)+'Cash Drivers'!AT$7,0)=EOMONTH($BP$1,0),Marketing!AT$5*Marketing!AT$6,0)+IF(EOMONTH(DATE(YEAR(Marketing!$AO$1),MONTH(Marketing!$AO$1),1)+INT((DAY(Marketing!$AO$1)-1)/2)+'Cash Drivers'!AQ$7,0)=EOMONTH($BP$1,0),Marketing!AQ$5*Marketing!AQ$6,0)+IF(EOMONTH(DATE(YEAR(Marketing!$AL$1),MONTH(Marketing!$AL$1),1)+INT((DAY(Marketing!$AL$1)-1)/2)+'Cash Drivers'!AN$7,0)=EOMONTH($BP$1,0),Marketing!AN$5*Marketing!AN$6,0)+IF(EOMONTH(DATE(YEAR(Marketing!$AI$1),MONTH(Marketing!$AI$1),1)+INT((DAY(Marketing!$AI$1)-1)/2)+'Cash Drivers'!AK$7,0)=EOMONTH($BP$1,0),Marketing!AK$5*Marketing!AK$6,0)+IF(EOMONTH(DATE(YEAR(Marketing!$AF$1),MONTH(Marketing!$AF$1),1)+INT((DAY(Marketing!$AF$1)-1)/2)+'Cash Drivers'!AH$7,0)=EOMONTH($BP$1,0),Marketing!AH$5*Marketing!AH$6,0)+IF(EOMONTH(DATE(YEAR(Marketing!$AC$1),MONTH(Marketing!$AC$1),1)+INT((DAY(Marketing!$AC$1)-1)/2)+'Cash Drivers'!AE$7,0)=EOMONTH($BP$1,0),Marketing!AE$5*Marketing!AE$6,0)+IF(EOMONTH(DATE(YEAR(Marketing!$Z$1),MONTH(Marketing!$Z$1),1)+INT((DAY(Marketing!$Z$1)-1)/2)+'Cash Drivers'!AB$7,0)=EOMONTH($BP$1,0),Marketing!AB$5*Marketing!AB$6,0)+IF(EOMONTH(DATE(YEAR(Marketing!$W$1),MONTH(Marketing!$W$1),1)+INT((DAY(Marketing!$W$1)-1)/2)+'Cash Drivers'!Y$7,0)=EOMONTH($BP$1,0),Marketing!Y$5*Marketing!Y$6,0)+IF(EOMONTH(DATE(YEAR(Marketing!$T$1),MONTH(Marketing!$T$1),1)+INT((DAY(Marketing!$T$1)-1)/2)+'Cash Drivers'!V$7,0)=EOMONTH($BP$1,0),Marketing!V$5*Marketing!V$6,0)+IF(EOMONTH(DATE(YEAR(Marketing!$Q$1),MONTH(Marketing!$Q$1),1)+INT((DAY(Marketing!$Q$1)-1)/2)+'Cash Drivers'!S$7,0)=EOMONTH($BP$1,0),Marketing!S$5*Marketing!S$6,0)+IF(EOMONTH(DATE(YEAR(Marketing!$N$1),MONTH(Marketing!$N$1),1)+INT((DAY(Marketing!$N$1)-1)/2)+'Cash Drivers'!P$7,0)=EOMONTH($BP$1,0),Marketing!P$5*Marketing!P$6,0)+IF(EOMONTH(DATE(YEAR(Marketing!$K$1),MONTH(Marketing!$K$1),1)+INT((DAY(Marketing!$K$1)-1)/2)+'Cash Drivers'!M$7,0)=EOMONTH($BP$1,0),Marketing!M$5*Marketing!M$6,0)+0,0)</f>
        <v>107</v>
      </c>
      <c r="BS7" s="87"/>
      <c r="BT7" s="87" t="n">
        <f aca="false">IF('Cash Drivers'!BT$26,BS7,ROUND(IF(EOMONTH(DATE(YEAR(Marketing!$DL$1),MONTH(Marketing!$DL$1),1)+INT((DAY(Marketing!$DL$1)-1)/2)+'Cash Drivers'!DM$7,0)=EOMONTH($BS$1,0),Marketing!DM$5*Marketing!DM$6,0)+IF(EOMONTH(DATE(YEAR(Marketing!$DI$1),MONTH(Marketing!$DI$1),1)+INT((DAY(Marketing!$DI$1)-1)/2)+'Cash Drivers'!DJ$7,0)=EOMONTH($BS$1,0),Marketing!DJ$5*Marketing!DJ$6,0)+IF(EOMONTH(DATE(YEAR(Marketing!$DF$1),MONTH(Marketing!$DF$1),1)+INT((DAY(Marketing!$DF$1)-1)/2)+'Cash Drivers'!DG$7,0)=EOMONTH($BS$1,0),Marketing!DG$5*Marketing!DG$6,0)+IF(EOMONTH(DATE(YEAR(Marketing!$DC$1),MONTH(Marketing!$DC$1),1)+INT((DAY(Marketing!$DC$1)-1)/2)+'Cash Drivers'!DD$7,0)=EOMONTH($BS$1,0),Marketing!DD$5*Marketing!DD$6,0)+IF(EOMONTH(DATE(YEAR(Marketing!$CZ$1),MONTH(Marketing!$CZ$1),1)+INT((DAY(Marketing!$CZ$1)-1)/2)+'Cash Drivers'!DA$7,0)=EOMONTH($BS$1,0),Marketing!DA$5*Marketing!DA$6,0)+IF(EOMONTH(DATE(YEAR(Marketing!$CW$1),MONTH(Marketing!$CW$1),1)+INT((DAY(Marketing!$CW$1)-1)/2)+'Cash Drivers'!CX$7,0)=EOMONTH($BS$1,0),Marketing!CX$5*Marketing!CX$6,0)+IF(EOMONTH(DATE(YEAR(Marketing!$CT$1),MONTH(Marketing!$CT$1),1)+INT((DAY(Marketing!$CT$1)-1)/2)+'Cash Drivers'!CU$7,0)=EOMONTH($BS$1,0),Marketing!CU$5*Marketing!CU$6,0)+IF(EOMONTH(DATE(YEAR(Marketing!$CQ$1),MONTH(Marketing!$CQ$1),1)+INT((DAY(Marketing!$CQ$1)-1)/2)+'Cash Drivers'!CR$7,0)=EOMONTH($BS$1,0),Marketing!CR$5*Marketing!CR$6,0)+IF(EOMONTH(DATE(YEAR(Marketing!$CN$1),MONTH(Marketing!$CN$1),1)+INT((DAY(Marketing!$CN$1)-1)/2)+'Cash Drivers'!CO$7,0)=EOMONTH($BS$1,0),Marketing!CO$5*Marketing!CO$6,0)+IF(EOMONTH(DATE(YEAR(Marketing!$CK$1),MONTH(Marketing!$CK$1),1)+INT((DAY(Marketing!$CK$1)-1)/2)+'Cash Drivers'!CL$7,0)=EOMONTH($BS$1,0),Marketing!CL$5*Marketing!CL$6,0)+IF(EOMONTH(DATE(YEAR(Marketing!$CH$1),MONTH(Marketing!$CH$1),1)+INT((DAY(Marketing!$CH$1)-1)/2)+'Cash Drivers'!CI$7,0)=EOMONTH($BS$1,0),Marketing!CI$5*Marketing!CI$6,0)+IF(EOMONTH(DATE(YEAR(Marketing!$CE$1),MONTH(Marketing!$CE$1),1)+INT((DAY(Marketing!$CE$1)-1)/2)+'Cash Drivers'!CF$7,0)=EOMONTH($BS$1,0),Marketing!CF$5*Marketing!CF$6,0)+IF(EOMONTH(DATE(YEAR(Marketing!$CB$1),MONTH(Marketing!$CB$1),1)+INT((DAY(Marketing!$CB$1)-1)/2)+'Cash Drivers'!CC$7,0)=EOMONTH($BS$1,0),Marketing!CC$5*Marketing!CC$6,0)+IF(EOMONTH(DATE(YEAR(Marketing!$BY$1),MONTH(Marketing!$BY$1),1)+INT((DAY(Marketing!$BY$1)-1)/2)+'Cash Drivers'!BZ$7,0)=EOMONTH($BS$1,0),Marketing!BZ$5*Marketing!BZ$6,0)+IF(EOMONTH(DATE(YEAR(Marketing!$BV$1),MONTH(Marketing!$BV$1),1)+INT((DAY(Marketing!$BV$1)-1)/2)+'Cash Drivers'!BW$7,0)=EOMONTH($BS$1,0),Marketing!BW$5*Marketing!BW$6,0)+IF(EOMONTH(DATE(YEAR(Marketing!$BS$1),MONTH(Marketing!$BS$1),1)+INT((DAY(Marketing!$BS$1)-1)/2)+'Cash Drivers'!BT$7,0)=EOMONTH($BS$1,0),Marketing!BT$5*Marketing!BT$6,0)+IF(EOMONTH(DATE(YEAR(Marketing!$BP$1),MONTH(Marketing!$BP$1),1)+INT((DAY(Marketing!$BP$1)-1)/2)+'Cash Drivers'!BQ$7,0)=EOMONTH($BS$1,0),Marketing!BQ$5*Marketing!BQ$6,0)+IF(EOMONTH(DATE(YEAR(Marketing!$BM$1),MONTH(Marketing!$BM$1),1)+INT((DAY(Marketing!$BM$1)-1)/2)+'Cash Drivers'!BN$7,0)=EOMONTH($BS$1,0),Marketing!BN$5*Marketing!BN$6,0)+IF(EOMONTH(DATE(YEAR(Marketing!$BJ$1),MONTH(Marketing!$BJ$1),1)+INT((DAY(Marketing!$BJ$1)-1)/2)+'Cash Drivers'!BK$7,0)=EOMONTH($BS$1,0),Marketing!BK$5*Marketing!BK$6,0)+IF(EOMONTH(DATE(YEAR(Marketing!$BG$1),MONTH(Marketing!$BG$1),1)+INT((DAY(Marketing!$BG$1)-1)/2)+'Cash Drivers'!BH$7,0)=EOMONTH($BS$1,0),Marketing!BH$5*Marketing!BH$6,0)+IF(EOMONTH(DATE(YEAR(Marketing!$BD$1),MONTH(Marketing!$BD$1),1)+INT((DAY(Marketing!$BD$1)-1)/2)+'Cash Drivers'!BE$7,0)=EOMONTH($BS$1,0),Marketing!BE$5*Marketing!BE$6,0)+IF(EOMONTH(DATE(YEAR(Marketing!$BA$1),MONTH(Marketing!$BA$1),1)+INT((DAY(Marketing!$BA$1)-1)/2)+'Cash Drivers'!BB$7,0)=EOMONTH($BS$1,0),Marketing!BB$5*Marketing!BB$6,0)+IF(EOMONTH(DATE(YEAR(Marketing!$AX$1),MONTH(Marketing!$AX$1),1)+INT((DAY(Marketing!$AX$1)-1)/2)+'Cash Drivers'!AY$7,0)=EOMONTH($BS$1,0),Marketing!AY$5*Marketing!AY$6,0)+IF(EOMONTH(DATE(YEAR(Marketing!$AU$1),MONTH(Marketing!$AU$1),1)+INT((DAY(Marketing!$AU$1)-1)/2)+'Cash Drivers'!AV$7,0)=EOMONTH($BS$1,0),Marketing!AV$5*Marketing!AV$6,0)+IF(EOMONTH(DATE(YEAR(Marketing!$AR$1),MONTH(Marketing!$AR$1),1)+INT((DAY(Marketing!$AR$1)-1)/2)+'Cash Drivers'!AS$7,0)=EOMONTH($BS$1,0),Marketing!AS$5*Marketing!AS$6,0)+IF(EOMONTH(DATE(YEAR(Marketing!$AO$1),MONTH(Marketing!$AO$1),1)+INT((DAY(Marketing!$AO$1)-1)/2)+'Cash Drivers'!AP$7,0)=EOMONTH($BS$1,0),Marketing!AP$5*Marketing!AP$6,0)+IF(EOMONTH(DATE(YEAR(Marketing!$AL$1),MONTH(Marketing!$AL$1),1)+INT((DAY(Marketing!$AL$1)-1)/2)+'Cash Drivers'!AM$7,0)=EOMONTH($BS$1,0),Marketing!AM$5*Marketing!AM$6,0)+IF(EOMONTH(DATE(YEAR(Marketing!$AI$1),MONTH(Marketing!$AI$1),1)+INT((DAY(Marketing!$AI$1)-1)/2)+'Cash Drivers'!AJ$7,0)=EOMONTH($BS$1,0),Marketing!AJ$5*Marketing!AJ$6,0)+IF(EOMONTH(DATE(YEAR(Marketing!$AF$1),MONTH(Marketing!$AF$1),1)+INT((DAY(Marketing!$AF$1)-1)/2)+'Cash Drivers'!AG$7,0)=EOMONTH($BS$1,0),Marketing!AG$5*Marketing!AG$6,0)+IF(EOMONTH(DATE(YEAR(Marketing!$AC$1),MONTH(Marketing!$AC$1),1)+INT((DAY(Marketing!$AC$1)-1)/2)+'Cash Drivers'!AD$7,0)=EOMONTH($BS$1,0),Marketing!AD$5*Marketing!AD$6,0)+IF(EOMONTH(DATE(YEAR(Marketing!$Z$1),MONTH(Marketing!$Z$1),1)+INT((DAY(Marketing!$Z$1)-1)/2)+'Cash Drivers'!AA$7,0)=EOMONTH($BS$1,0),Marketing!AA$5*Marketing!AA$6,0)+IF(EOMONTH(DATE(YEAR(Marketing!$W$1),MONTH(Marketing!$W$1),1)+INT((DAY(Marketing!$W$1)-1)/2)+'Cash Drivers'!X$7,0)=EOMONTH($BS$1,0),Marketing!X$5*Marketing!X$6,0)+IF(EOMONTH(DATE(YEAR(Marketing!$T$1),MONTH(Marketing!$T$1),1)+INT((DAY(Marketing!$T$1)-1)/2)+'Cash Drivers'!U$7,0)=EOMONTH($BS$1,0),Marketing!U$5*Marketing!U$6,0)+IF(EOMONTH(DATE(YEAR(Marketing!$Q$1),MONTH(Marketing!$Q$1),1)+INT((DAY(Marketing!$Q$1)-1)/2)+'Cash Drivers'!R$7,0)=EOMONTH($BS$1,0),Marketing!R$5*Marketing!R$6,0)+IF(EOMONTH(DATE(YEAR(Marketing!$N$1),MONTH(Marketing!$N$1),1)+INT((DAY(Marketing!$N$1)-1)/2)+'Cash Drivers'!O$7,0)=EOMONTH($BS$1,0),Marketing!O$5*Marketing!O$6,0)+IF(EOMONTH(DATE(YEAR(Marketing!$K$1),MONTH(Marketing!$K$1),1)+INT((DAY(Marketing!$K$1)-1)/2)+'Cash Drivers'!L$7,0)=EOMONTH($BS$1,0),Marketing!L$5*Marketing!L$6,0)+0,0))</f>
        <v>107</v>
      </c>
      <c r="BU7" s="87" t="n">
        <f aca="false">ROUND(IF(EOMONTH(DATE(YEAR(Marketing!$DL$1),MONTH(Marketing!$DL$1),1)+INT((DAY(Marketing!$DL$1)-1)/2)+'Cash Drivers'!DN$7,0)=EOMONTH($BS$1,0),Marketing!DN$5*Marketing!DN$6,0)+IF(EOMONTH(DATE(YEAR(Marketing!$DI$1),MONTH(Marketing!$DI$1),1)+INT((DAY(Marketing!$DI$1)-1)/2)+'Cash Drivers'!DK$7,0)=EOMONTH($BS$1,0),Marketing!DK$5*Marketing!DK$6,0)+IF(EOMONTH(DATE(YEAR(Marketing!$DF$1),MONTH(Marketing!$DF$1),1)+INT((DAY(Marketing!$DF$1)-1)/2)+'Cash Drivers'!DH$7,0)=EOMONTH($BS$1,0),Marketing!DH$5*Marketing!DH$6,0)+IF(EOMONTH(DATE(YEAR(Marketing!$DC$1),MONTH(Marketing!$DC$1),1)+INT((DAY(Marketing!$DC$1)-1)/2)+'Cash Drivers'!DE$7,0)=EOMONTH($BS$1,0),Marketing!DE$5*Marketing!DE$6,0)+IF(EOMONTH(DATE(YEAR(Marketing!$CZ$1),MONTH(Marketing!$CZ$1),1)+INT((DAY(Marketing!$CZ$1)-1)/2)+'Cash Drivers'!DB$7,0)=EOMONTH($BS$1,0),Marketing!DB$5*Marketing!DB$6,0)+IF(EOMONTH(DATE(YEAR(Marketing!$CW$1),MONTH(Marketing!$CW$1),1)+INT((DAY(Marketing!$CW$1)-1)/2)+'Cash Drivers'!CY$7,0)=EOMONTH($BS$1,0),Marketing!CY$5*Marketing!CY$6,0)+IF(EOMONTH(DATE(YEAR(Marketing!$CT$1),MONTH(Marketing!$CT$1),1)+INT((DAY(Marketing!$CT$1)-1)/2)+'Cash Drivers'!CV$7,0)=EOMONTH($BS$1,0),Marketing!CV$5*Marketing!CV$6,0)+IF(EOMONTH(DATE(YEAR(Marketing!$CQ$1),MONTH(Marketing!$CQ$1),1)+INT((DAY(Marketing!$CQ$1)-1)/2)+'Cash Drivers'!CS$7,0)=EOMONTH($BS$1,0),Marketing!CS$5*Marketing!CS$6,0)+IF(EOMONTH(DATE(YEAR(Marketing!$CN$1),MONTH(Marketing!$CN$1),1)+INT((DAY(Marketing!$CN$1)-1)/2)+'Cash Drivers'!CP$7,0)=EOMONTH($BS$1,0),Marketing!CP$5*Marketing!CP$6,0)+IF(EOMONTH(DATE(YEAR(Marketing!$CK$1),MONTH(Marketing!$CK$1),1)+INT((DAY(Marketing!$CK$1)-1)/2)+'Cash Drivers'!CM$7,0)=EOMONTH($BS$1,0),Marketing!CM$5*Marketing!CM$6,0)+IF(EOMONTH(DATE(YEAR(Marketing!$CH$1),MONTH(Marketing!$CH$1),1)+INT((DAY(Marketing!$CH$1)-1)/2)+'Cash Drivers'!CJ$7,0)=EOMONTH($BS$1,0),Marketing!CJ$5*Marketing!CJ$6,0)+IF(EOMONTH(DATE(YEAR(Marketing!$CE$1),MONTH(Marketing!$CE$1),1)+INT((DAY(Marketing!$CE$1)-1)/2)+'Cash Drivers'!CG$7,0)=EOMONTH($BS$1,0),Marketing!CG$5*Marketing!CG$6,0)+IF(EOMONTH(DATE(YEAR(Marketing!$CB$1),MONTH(Marketing!$CB$1),1)+INT((DAY(Marketing!$CB$1)-1)/2)+'Cash Drivers'!CD$7,0)=EOMONTH($BS$1,0),Marketing!CD$5*Marketing!CD$6,0)+IF(EOMONTH(DATE(YEAR(Marketing!$BY$1),MONTH(Marketing!$BY$1),1)+INT((DAY(Marketing!$BY$1)-1)/2)+'Cash Drivers'!CA$7,0)=EOMONTH($BS$1,0),Marketing!CA$5*Marketing!CA$6,0)+IF(EOMONTH(DATE(YEAR(Marketing!$BV$1),MONTH(Marketing!$BV$1),1)+INT((DAY(Marketing!$BV$1)-1)/2)+'Cash Drivers'!BX$7,0)=EOMONTH($BS$1,0),Marketing!BX$5*Marketing!BX$6,0)+IF(EOMONTH(DATE(YEAR(Marketing!$BS$1),MONTH(Marketing!$BS$1),1)+INT((DAY(Marketing!$BS$1)-1)/2)+'Cash Drivers'!BU$7,0)=EOMONTH($BS$1,0),Marketing!BU$5*Marketing!BU$6,0)+IF(EOMONTH(DATE(YEAR(Marketing!$BP$1),MONTH(Marketing!$BP$1),1)+INT((DAY(Marketing!$BP$1)-1)/2)+'Cash Drivers'!BR$7,0)=EOMONTH($BS$1,0),Marketing!BR$5*Marketing!BR$6,0)+IF(EOMONTH(DATE(YEAR(Marketing!$BM$1),MONTH(Marketing!$BM$1),1)+INT((DAY(Marketing!$BM$1)-1)/2)+'Cash Drivers'!BO$7,0)=EOMONTH($BS$1,0),Marketing!BO$5*Marketing!BO$6,0)+IF(EOMONTH(DATE(YEAR(Marketing!$BJ$1),MONTH(Marketing!$BJ$1),1)+INT((DAY(Marketing!$BJ$1)-1)/2)+'Cash Drivers'!BL$7,0)=EOMONTH($BS$1,0),Marketing!BL$5*Marketing!BL$6,0)+IF(EOMONTH(DATE(YEAR(Marketing!$BG$1),MONTH(Marketing!$BG$1),1)+INT((DAY(Marketing!$BG$1)-1)/2)+'Cash Drivers'!BI$7,0)=EOMONTH($BS$1,0),Marketing!BI$5*Marketing!BI$6,0)+IF(EOMONTH(DATE(YEAR(Marketing!$BD$1),MONTH(Marketing!$BD$1),1)+INT((DAY(Marketing!$BD$1)-1)/2)+'Cash Drivers'!BF$7,0)=EOMONTH($BS$1,0),Marketing!BF$5*Marketing!BF$6,0)+IF(EOMONTH(DATE(YEAR(Marketing!$BA$1),MONTH(Marketing!$BA$1),1)+INT((DAY(Marketing!$BA$1)-1)/2)+'Cash Drivers'!BC$7,0)=EOMONTH($BS$1,0),Marketing!BC$5*Marketing!BC$6,0)+IF(EOMONTH(DATE(YEAR(Marketing!$AX$1),MONTH(Marketing!$AX$1),1)+INT((DAY(Marketing!$AX$1)-1)/2)+'Cash Drivers'!AZ$7,0)=EOMONTH($BS$1,0),Marketing!AZ$5*Marketing!AZ$6,0)+IF(EOMONTH(DATE(YEAR(Marketing!$AU$1),MONTH(Marketing!$AU$1),1)+INT((DAY(Marketing!$AU$1)-1)/2)+'Cash Drivers'!AW$7,0)=EOMONTH($BS$1,0),Marketing!AW$5*Marketing!AW$6,0)+IF(EOMONTH(DATE(YEAR(Marketing!$AR$1),MONTH(Marketing!$AR$1),1)+INT((DAY(Marketing!$AR$1)-1)/2)+'Cash Drivers'!AT$7,0)=EOMONTH($BS$1,0),Marketing!AT$5*Marketing!AT$6,0)+IF(EOMONTH(DATE(YEAR(Marketing!$AO$1),MONTH(Marketing!$AO$1),1)+INT((DAY(Marketing!$AO$1)-1)/2)+'Cash Drivers'!AQ$7,0)=EOMONTH($BS$1,0),Marketing!AQ$5*Marketing!AQ$6,0)+IF(EOMONTH(DATE(YEAR(Marketing!$AL$1),MONTH(Marketing!$AL$1),1)+INT((DAY(Marketing!$AL$1)-1)/2)+'Cash Drivers'!AN$7,0)=EOMONTH($BS$1,0),Marketing!AN$5*Marketing!AN$6,0)+IF(EOMONTH(DATE(YEAR(Marketing!$AI$1),MONTH(Marketing!$AI$1),1)+INT((DAY(Marketing!$AI$1)-1)/2)+'Cash Drivers'!AK$7,0)=EOMONTH($BS$1,0),Marketing!AK$5*Marketing!AK$6,0)+IF(EOMONTH(DATE(YEAR(Marketing!$AF$1),MONTH(Marketing!$AF$1),1)+INT((DAY(Marketing!$AF$1)-1)/2)+'Cash Drivers'!AH$7,0)=EOMONTH($BS$1,0),Marketing!AH$5*Marketing!AH$6,0)+IF(EOMONTH(DATE(YEAR(Marketing!$AC$1),MONTH(Marketing!$AC$1),1)+INT((DAY(Marketing!$AC$1)-1)/2)+'Cash Drivers'!AE$7,0)=EOMONTH($BS$1,0),Marketing!AE$5*Marketing!AE$6,0)+IF(EOMONTH(DATE(YEAR(Marketing!$Z$1),MONTH(Marketing!$Z$1),1)+INT((DAY(Marketing!$Z$1)-1)/2)+'Cash Drivers'!AB$7,0)=EOMONTH($BS$1,0),Marketing!AB$5*Marketing!AB$6,0)+IF(EOMONTH(DATE(YEAR(Marketing!$W$1),MONTH(Marketing!$W$1),1)+INT((DAY(Marketing!$W$1)-1)/2)+'Cash Drivers'!Y$7,0)=EOMONTH($BS$1,0),Marketing!Y$5*Marketing!Y$6,0)+IF(EOMONTH(DATE(YEAR(Marketing!$T$1),MONTH(Marketing!$T$1),1)+INT((DAY(Marketing!$T$1)-1)/2)+'Cash Drivers'!V$7,0)=EOMONTH($BS$1,0),Marketing!V$5*Marketing!V$6,0)+IF(EOMONTH(DATE(YEAR(Marketing!$Q$1),MONTH(Marketing!$Q$1),1)+INT((DAY(Marketing!$Q$1)-1)/2)+'Cash Drivers'!S$7,0)=EOMONTH($BS$1,0),Marketing!S$5*Marketing!S$6,0)+IF(EOMONTH(DATE(YEAR(Marketing!$N$1),MONTH(Marketing!$N$1),1)+INT((DAY(Marketing!$N$1)-1)/2)+'Cash Drivers'!P$7,0)=EOMONTH($BS$1,0),Marketing!P$5*Marketing!P$6,0)+IF(EOMONTH(DATE(YEAR(Marketing!$K$1),MONTH(Marketing!$K$1),1)+INT((DAY(Marketing!$K$1)-1)/2)+'Cash Drivers'!M$7,0)=EOMONTH($BS$1,0),Marketing!M$5*Marketing!M$6,0)+0,0)</f>
        <v>107</v>
      </c>
      <c r="BV7" s="86"/>
      <c r="BW7" s="86" t="n">
        <f aca="false">IF('Cash Drivers'!BW$26,BV7,ROUND(IF(EOMONTH(DATE(YEAR(Marketing!$DL$1),MONTH(Marketing!$DL$1),1)+INT((DAY(Marketing!$DL$1)-1)/2)+'Cash Drivers'!DM$7,0)=EOMONTH($BV$1,0),Marketing!DM$5*Marketing!DM$6,0)+IF(EOMONTH(DATE(YEAR(Marketing!$DI$1),MONTH(Marketing!$DI$1),1)+INT((DAY(Marketing!$DI$1)-1)/2)+'Cash Drivers'!DJ$7,0)=EOMONTH($BV$1,0),Marketing!DJ$5*Marketing!DJ$6,0)+IF(EOMONTH(DATE(YEAR(Marketing!$DF$1),MONTH(Marketing!$DF$1),1)+INT((DAY(Marketing!$DF$1)-1)/2)+'Cash Drivers'!DG$7,0)=EOMONTH($BV$1,0),Marketing!DG$5*Marketing!DG$6,0)+IF(EOMONTH(DATE(YEAR(Marketing!$DC$1),MONTH(Marketing!$DC$1),1)+INT((DAY(Marketing!$DC$1)-1)/2)+'Cash Drivers'!DD$7,0)=EOMONTH($BV$1,0),Marketing!DD$5*Marketing!DD$6,0)+IF(EOMONTH(DATE(YEAR(Marketing!$CZ$1),MONTH(Marketing!$CZ$1),1)+INT((DAY(Marketing!$CZ$1)-1)/2)+'Cash Drivers'!DA$7,0)=EOMONTH($BV$1,0),Marketing!DA$5*Marketing!DA$6,0)+IF(EOMONTH(DATE(YEAR(Marketing!$CW$1),MONTH(Marketing!$CW$1),1)+INT((DAY(Marketing!$CW$1)-1)/2)+'Cash Drivers'!CX$7,0)=EOMONTH($BV$1,0),Marketing!CX$5*Marketing!CX$6,0)+IF(EOMONTH(DATE(YEAR(Marketing!$CT$1),MONTH(Marketing!$CT$1),1)+INT((DAY(Marketing!$CT$1)-1)/2)+'Cash Drivers'!CU$7,0)=EOMONTH($BV$1,0),Marketing!CU$5*Marketing!CU$6,0)+IF(EOMONTH(DATE(YEAR(Marketing!$CQ$1),MONTH(Marketing!$CQ$1),1)+INT((DAY(Marketing!$CQ$1)-1)/2)+'Cash Drivers'!CR$7,0)=EOMONTH($BV$1,0),Marketing!CR$5*Marketing!CR$6,0)+IF(EOMONTH(DATE(YEAR(Marketing!$CN$1),MONTH(Marketing!$CN$1),1)+INT((DAY(Marketing!$CN$1)-1)/2)+'Cash Drivers'!CO$7,0)=EOMONTH($BV$1,0),Marketing!CO$5*Marketing!CO$6,0)+IF(EOMONTH(DATE(YEAR(Marketing!$CK$1),MONTH(Marketing!$CK$1),1)+INT((DAY(Marketing!$CK$1)-1)/2)+'Cash Drivers'!CL$7,0)=EOMONTH($BV$1,0),Marketing!CL$5*Marketing!CL$6,0)+IF(EOMONTH(DATE(YEAR(Marketing!$CH$1),MONTH(Marketing!$CH$1),1)+INT((DAY(Marketing!$CH$1)-1)/2)+'Cash Drivers'!CI$7,0)=EOMONTH($BV$1,0),Marketing!CI$5*Marketing!CI$6,0)+IF(EOMONTH(DATE(YEAR(Marketing!$CE$1),MONTH(Marketing!$CE$1),1)+INT((DAY(Marketing!$CE$1)-1)/2)+'Cash Drivers'!CF$7,0)=EOMONTH($BV$1,0),Marketing!CF$5*Marketing!CF$6,0)+IF(EOMONTH(DATE(YEAR(Marketing!$CB$1),MONTH(Marketing!$CB$1),1)+INT((DAY(Marketing!$CB$1)-1)/2)+'Cash Drivers'!CC$7,0)=EOMONTH($BV$1,0),Marketing!CC$5*Marketing!CC$6,0)+IF(EOMONTH(DATE(YEAR(Marketing!$BY$1),MONTH(Marketing!$BY$1),1)+INT((DAY(Marketing!$BY$1)-1)/2)+'Cash Drivers'!BZ$7,0)=EOMONTH($BV$1,0),Marketing!BZ$5*Marketing!BZ$6,0)+IF(EOMONTH(DATE(YEAR(Marketing!$BV$1),MONTH(Marketing!$BV$1),1)+INT((DAY(Marketing!$BV$1)-1)/2)+'Cash Drivers'!BW$7,0)=EOMONTH($BV$1,0),Marketing!BW$5*Marketing!BW$6,0)+IF(EOMONTH(DATE(YEAR(Marketing!$BS$1),MONTH(Marketing!$BS$1),1)+INT((DAY(Marketing!$BS$1)-1)/2)+'Cash Drivers'!BT$7,0)=EOMONTH($BV$1,0),Marketing!BT$5*Marketing!BT$6,0)+IF(EOMONTH(DATE(YEAR(Marketing!$BP$1),MONTH(Marketing!$BP$1),1)+INT((DAY(Marketing!$BP$1)-1)/2)+'Cash Drivers'!BQ$7,0)=EOMONTH($BV$1,0),Marketing!BQ$5*Marketing!BQ$6,0)+IF(EOMONTH(DATE(YEAR(Marketing!$BM$1),MONTH(Marketing!$BM$1),1)+INT((DAY(Marketing!$BM$1)-1)/2)+'Cash Drivers'!BN$7,0)=EOMONTH($BV$1,0),Marketing!BN$5*Marketing!BN$6,0)+IF(EOMONTH(DATE(YEAR(Marketing!$BJ$1),MONTH(Marketing!$BJ$1),1)+INT((DAY(Marketing!$BJ$1)-1)/2)+'Cash Drivers'!BK$7,0)=EOMONTH($BV$1,0),Marketing!BK$5*Marketing!BK$6,0)+IF(EOMONTH(DATE(YEAR(Marketing!$BG$1),MONTH(Marketing!$BG$1),1)+INT((DAY(Marketing!$BG$1)-1)/2)+'Cash Drivers'!BH$7,0)=EOMONTH($BV$1,0),Marketing!BH$5*Marketing!BH$6,0)+IF(EOMONTH(DATE(YEAR(Marketing!$BD$1),MONTH(Marketing!$BD$1),1)+INT((DAY(Marketing!$BD$1)-1)/2)+'Cash Drivers'!BE$7,0)=EOMONTH($BV$1,0),Marketing!BE$5*Marketing!BE$6,0)+IF(EOMONTH(DATE(YEAR(Marketing!$BA$1),MONTH(Marketing!$BA$1),1)+INT((DAY(Marketing!$BA$1)-1)/2)+'Cash Drivers'!BB$7,0)=EOMONTH($BV$1,0),Marketing!BB$5*Marketing!BB$6,0)+IF(EOMONTH(DATE(YEAR(Marketing!$AX$1),MONTH(Marketing!$AX$1),1)+INT((DAY(Marketing!$AX$1)-1)/2)+'Cash Drivers'!AY$7,0)=EOMONTH($BV$1,0),Marketing!AY$5*Marketing!AY$6,0)+IF(EOMONTH(DATE(YEAR(Marketing!$AU$1),MONTH(Marketing!$AU$1),1)+INT((DAY(Marketing!$AU$1)-1)/2)+'Cash Drivers'!AV$7,0)=EOMONTH($BV$1,0),Marketing!AV$5*Marketing!AV$6,0)+IF(EOMONTH(DATE(YEAR(Marketing!$AR$1),MONTH(Marketing!$AR$1),1)+INT((DAY(Marketing!$AR$1)-1)/2)+'Cash Drivers'!AS$7,0)=EOMONTH($BV$1,0),Marketing!AS$5*Marketing!AS$6,0)+IF(EOMONTH(DATE(YEAR(Marketing!$AO$1),MONTH(Marketing!$AO$1),1)+INT((DAY(Marketing!$AO$1)-1)/2)+'Cash Drivers'!AP$7,0)=EOMONTH($BV$1,0),Marketing!AP$5*Marketing!AP$6,0)+IF(EOMONTH(DATE(YEAR(Marketing!$AL$1),MONTH(Marketing!$AL$1),1)+INT((DAY(Marketing!$AL$1)-1)/2)+'Cash Drivers'!AM$7,0)=EOMONTH($BV$1,0),Marketing!AM$5*Marketing!AM$6,0)+IF(EOMONTH(DATE(YEAR(Marketing!$AI$1),MONTH(Marketing!$AI$1),1)+INT((DAY(Marketing!$AI$1)-1)/2)+'Cash Drivers'!AJ$7,0)=EOMONTH($BV$1,0),Marketing!AJ$5*Marketing!AJ$6,0)+IF(EOMONTH(DATE(YEAR(Marketing!$AF$1),MONTH(Marketing!$AF$1),1)+INT((DAY(Marketing!$AF$1)-1)/2)+'Cash Drivers'!AG$7,0)=EOMONTH($BV$1,0),Marketing!AG$5*Marketing!AG$6,0)+IF(EOMONTH(DATE(YEAR(Marketing!$AC$1),MONTH(Marketing!$AC$1),1)+INT((DAY(Marketing!$AC$1)-1)/2)+'Cash Drivers'!AD$7,0)=EOMONTH($BV$1,0),Marketing!AD$5*Marketing!AD$6,0)+IF(EOMONTH(DATE(YEAR(Marketing!$Z$1),MONTH(Marketing!$Z$1),1)+INT((DAY(Marketing!$Z$1)-1)/2)+'Cash Drivers'!AA$7,0)=EOMONTH($BV$1,0),Marketing!AA$5*Marketing!AA$6,0)+IF(EOMONTH(DATE(YEAR(Marketing!$W$1),MONTH(Marketing!$W$1),1)+INT((DAY(Marketing!$W$1)-1)/2)+'Cash Drivers'!X$7,0)=EOMONTH($BV$1,0),Marketing!X$5*Marketing!X$6,0)+IF(EOMONTH(DATE(YEAR(Marketing!$T$1),MONTH(Marketing!$T$1),1)+INT((DAY(Marketing!$T$1)-1)/2)+'Cash Drivers'!U$7,0)=EOMONTH($BV$1,0),Marketing!U$5*Marketing!U$6,0)+IF(EOMONTH(DATE(YEAR(Marketing!$Q$1),MONTH(Marketing!$Q$1),1)+INT((DAY(Marketing!$Q$1)-1)/2)+'Cash Drivers'!R$7,0)=EOMONTH($BV$1,0),Marketing!R$5*Marketing!R$6,0)+IF(EOMONTH(DATE(YEAR(Marketing!$N$1),MONTH(Marketing!$N$1),1)+INT((DAY(Marketing!$N$1)-1)/2)+'Cash Drivers'!O$7,0)=EOMONTH($BV$1,0),Marketing!O$5*Marketing!O$6,0)+IF(EOMONTH(DATE(YEAR(Marketing!$K$1),MONTH(Marketing!$K$1),1)+INT((DAY(Marketing!$K$1)-1)/2)+'Cash Drivers'!L$7,0)=EOMONTH($BV$1,0),Marketing!L$5*Marketing!L$6,0)+0,0))</f>
        <v>107</v>
      </c>
      <c r="BX7" s="86" t="n">
        <f aca="false">ROUND(IF(EOMONTH(DATE(YEAR(Marketing!$DL$1),MONTH(Marketing!$DL$1),1)+INT((DAY(Marketing!$DL$1)-1)/2)+'Cash Drivers'!DN$7,0)=EOMONTH($BV$1,0),Marketing!DN$5*Marketing!DN$6,0)+IF(EOMONTH(DATE(YEAR(Marketing!$DI$1),MONTH(Marketing!$DI$1),1)+INT((DAY(Marketing!$DI$1)-1)/2)+'Cash Drivers'!DK$7,0)=EOMONTH($BV$1,0),Marketing!DK$5*Marketing!DK$6,0)+IF(EOMONTH(DATE(YEAR(Marketing!$DF$1),MONTH(Marketing!$DF$1),1)+INT((DAY(Marketing!$DF$1)-1)/2)+'Cash Drivers'!DH$7,0)=EOMONTH($BV$1,0),Marketing!DH$5*Marketing!DH$6,0)+IF(EOMONTH(DATE(YEAR(Marketing!$DC$1),MONTH(Marketing!$DC$1),1)+INT((DAY(Marketing!$DC$1)-1)/2)+'Cash Drivers'!DE$7,0)=EOMONTH($BV$1,0),Marketing!DE$5*Marketing!DE$6,0)+IF(EOMONTH(DATE(YEAR(Marketing!$CZ$1),MONTH(Marketing!$CZ$1),1)+INT((DAY(Marketing!$CZ$1)-1)/2)+'Cash Drivers'!DB$7,0)=EOMONTH($BV$1,0),Marketing!DB$5*Marketing!DB$6,0)+IF(EOMONTH(DATE(YEAR(Marketing!$CW$1),MONTH(Marketing!$CW$1),1)+INT((DAY(Marketing!$CW$1)-1)/2)+'Cash Drivers'!CY$7,0)=EOMONTH($BV$1,0),Marketing!CY$5*Marketing!CY$6,0)+IF(EOMONTH(DATE(YEAR(Marketing!$CT$1),MONTH(Marketing!$CT$1),1)+INT((DAY(Marketing!$CT$1)-1)/2)+'Cash Drivers'!CV$7,0)=EOMONTH($BV$1,0),Marketing!CV$5*Marketing!CV$6,0)+IF(EOMONTH(DATE(YEAR(Marketing!$CQ$1),MONTH(Marketing!$CQ$1),1)+INT((DAY(Marketing!$CQ$1)-1)/2)+'Cash Drivers'!CS$7,0)=EOMONTH($BV$1,0),Marketing!CS$5*Marketing!CS$6,0)+IF(EOMONTH(DATE(YEAR(Marketing!$CN$1),MONTH(Marketing!$CN$1),1)+INT((DAY(Marketing!$CN$1)-1)/2)+'Cash Drivers'!CP$7,0)=EOMONTH($BV$1,0),Marketing!CP$5*Marketing!CP$6,0)+IF(EOMONTH(DATE(YEAR(Marketing!$CK$1),MONTH(Marketing!$CK$1),1)+INT((DAY(Marketing!$CK$1)-1)/2)+'Cash Drivers'!CM$7,0)=EOMONTH($BV$1,0),Marketing!CM$5*Marketing!CM$6,0)+IF(EOMONTH(DATE(YEAR(Marketing!$CH$1),MONTH(Marketing!$CH$1),1)+INT((DAY(Marketing!$CH$1)-1)/2)+'Cash Drivers'!CJ$7,0)=EOMONTH($BV$1,0),Marketing!CJ$5*Marketing!CJ$6,0)+IF(EOMONTH(DATE(YEAR(Marketing!$CE$1),MONTH(Marketing!$CE$1),1)+INT((DAY(Marketing!$CE$1)-1)/2)+'Cash Drivers'!CG$7,0)=EOMONTH($BV$1,0),Marketing!CG$5*Marketing!CG$6,0)+IF(EOMONTH(DATE(YEAR(Marketing!$CB$1),MONTH(Marketing!$CB$1),1)+INT((DAY(Marketing!$CB$1)-1)/2)+'Cash Drivers'!CD$7,0)=EOMONTH($BV$1,0),Marketing!CD$5*Marketing!CD$6,0)+IF(EOMONTH(DATE(YEAR(Marketing!$BY$1),MONTH(Marketing!$BY$1),1)+INT((DAY(Marketing!$BY$1)-1)/2)+'Cash Drivers'!CA$7,0)=EOMONTH($BV$1,0),Marketing!CA$5*Marketing!CA$6,0)+IF(EOMONTH(DATE(YEAR(Marketing!$BV$1),MONTH(Marketing!$BV$1),1)+INT((DAY(Marketing!$BV$1)-1)/2)+'Cash Drivers'!BX$7,0)=EOMONTH($BV$1,0),Marketing!BX$5*Marketing!BX$6,0)+IF(EOMONTH(DATE(YEAR(Marketing!$BS$1),MONTH(Marketing!$BS$1),1)+INT((DAY(Marketing!$BS$1)-1)/2)+'Cash Drivers'!BU$7,0)=EOMONTH($BV$1,0),Marketing!BU$5*Marketing!BU$6,0)+IF(EOMONTH(DATE(YEAR(Marketing!$BP$1),MONTH(Marketing!$BP$1),1)+INT((DAY(Marketing!$BP$1)-1)/2)+'Cash Drivers'!BR$7,0)=EOMONTH($BV$1,0),Marketing!BR$5*Marketing!BR$6,0)+IF(EOMONTH(DATE(YEAR(Marketing!$BM$1),MONTH(Marketing!$BM$1),1)+INT((DAY(Marketing!$BM$1)-1)/2)+'Cash Drivers'!BO$7,0)=EOMONTH($BV$1,0),Marketing!BO$5*Marketing!BO$6,0)+IF(EOMONTH(DATE(YEAR(Marketing!$BJ$1),MONTH(Marketing!$BJ$1),1)+INT((DAY(Marketing!$BJ$1)-1)/2)+'Cash Drivers'!BL$7,0)=EOMONTH($BV$1,0),Marketing!BL$5*Marketing!BL$6,0)+IF(EOMONTH(DATE(YEAR(Marketing!$BG$1),MONTH(Marketing!$BG$1),1)+INT((DAY(Marketing!$BG$1)-1)/2)+'Cash Drivers'!BI$7,0)=EOMONTH($BV$1,0),Marketing!BI$5*Marketing!BI$6,0)+IF(EOMONTH(DATE(YEAR(Marketing!$BD$1),MONTH(Marketing!$BD$1),1)+INT((DAY(Marketing!$BD$1)-1)/2)+'Cash Drivers'!BF$7,0)=EOMONTH($BV$1,0),Marketing!BF$5*Marketing!BF$6,0)+IF(EOMONTH(DATE(YEAR(Marketing!$BA$1),MONTH(Marketing!$BA$1),1)+INT((DAY(Marketing!$BA$1)-1)/2)+'Cash Drivers'!BC$7,0)=EOMONTH($BV$1,0),Marketing!BC$5*Marketing!BC$6,0)+IF(EOMONTH(DATE(YEAR(Marketing!$AX$1),MONTH(Marketing!$AX$1),1)+INT((DAY(Marketing!$AX$1)-1)/2)+'Cash Drivers'!AZ$7,0)=EOMONTH($BV$1,0),Marketing!AZ$5*Marketing!AZ$6,0)+IF(EOMONTH(DATE(YEAR(Marketing!$AU$1),MONTH(Marketing!$AU$1),1)+INT((DAY(Marketing!$AU$1)-1)/2)+'Cash Drivers'!AW$7,0)=EOMONTH($BV$1,0),Marketing!AW$5*Marketing!AW$6,0)+IF(EOMONTH(DATE(YEAR(Marketing!$AR$1),MONTH(Marketing!$AR$1),1)+INT((DAY(Marketing!$AR$1)-1)/2)+'Cash Drivers'!AT$7,0)=EOMONTH($BV$1,0),Marketing!AT$5*Marketing!AT$6,0)+IF(EOMONTH(DATE(YEAR(Marketing!$AO$1),MONTH(Marketing!$AO$1),1)+INT((DAY(Marketing!$AO$1)-1)/2)+'Cash Drivers'!AQ$7,0)=EOMONTH($BV$1,0),Marketing!AQ$5*Marketing!AQ$6,0)+IF(EOMONTH(DATE(YEAR(Marketing!$AL$1),MONTH(Marketing!$AL$1),1)+INT((DAY(Marketing!$AL$1)-1)/2)+'Cash Drivers'!AN$7,0)=EOMONTH($BV$1,0),Marketing!AN$5*Marketing!AN$6,0)+IF(EOMONTH(DATE(YEAR(Marketing!$AI$1),MONTH(Marketing!$AI$1),1)+INT((DAY(Marketing!$AI$1)-1)/2)+'Cash Drivers'!AK$7,0)=EOMONTH($BV$1,0),Marketing!AK$5*Marketing!AK$6,0)+IF(EOMONTH(DATE(YEAR(Marketing!$AF$1),MONTH(Marketing!$AF$1),1)+INT((DAY(Marketing!$AF$1)-1)/2)+'Cash Drivers'!AH$7,0)=EOMONTH($BV$1,0),Marketing!AH$5*Marketing!AH$6,0)+IF(EOMONTH(DATE(YEAR(Marketing!$AC$1),MONTH(Marketing!$AC$1),1)+INT((DAY(Marketing!$AC$1)-1)/2)+'Cash Drivers'!AE$7,0)=EOMONTH($BV$1,0),Marketing!AE$5*Marketing!AE$6,0)+IF(EOMONTH(DATE(YEAR(Marketing!$Z$1),MONTH(Marketing!$Z$1),1)+INT((DAY(Marketing!$Z$1)-1)/2)+'Cash Drivers'!AB$7,0)=EOMONTH($BV$1,0),Marketing!AB$5*Marketing!AB$6,0)+IF(EOMONTH(DATE(YEAR(Marketing!$W$1),MONTH(Marketing!$W$1),1)+INT((DAY(Marketing!$W$1)-1)/2)+'Cash Drivers'!Y$7,0)=EOMONTH($BV$1,0),Marketing!Y$5*Marketing!Y$6,0)+IF(EOMONTH(DATE(YEAR(Marketing!$T$1),MONTH(Marketing!$T$1),1)+INT((DAY(Marketing!$T$1)-1)/2)+'Cash Drivers'!V$7,0)=EOMONTH($BV$1,0),Marketing!V$5*Marketing!V$6,0)+IF(EOMONTH(DATE(YEAR(Marketing!$Q$1),MONTH(Marketing!$Q$1),1)+INT((DAY(Marketing!$Q$1)-1)/2)+'Cash Drivers'!S$7,0)=EOMONTH($BV$1,0),Marketing!S$5*Marketing!S$6,0)+IF(EOMONTH(DATE(YEAR(Marketing!$N$1),MONTH(Marketing!$N$1),1)+INT((DAY(Marketing!$N$1)-1)/2)+'Cash Drivers'!P$7,0)=EOMONTH($BV$1,0),Marketing!P$5*Marketing!P$6,0)+IF(EOMONTH(DATE(YEAR(Marketing!$K$1),MONTH(Marketing!$K$1),1)+INT((DAY(Marketing!$K$1)-1)/2)+'Cash Drivers'!M$7,0)=EOMONTH($BV$1,0),Marketing!M$5*Marketing!M$6,0)+0,0)</f>
        <v>107</v>
      </c>
      <c r="BY7" s="87"/>
      <c r="BZ7" s="87" t="n">
        <f aca="false">IF('Cash Drivers'!BZ$26,BY7,ROUND(IF(EOMONTH(DATE(YEAR(Marketing!$DL$1),MONTH(Marketing!$DL$1),1)+INT((DAY(Marketing!$DL$1)-1)/2)+'Cash Drivers'!DM$7,0)=EOMONTH($BY$1,0),Marketing!DM$5*Marketing!DM$6,0)+IF(EOMONTH(DATE(YEAR(Marketing!$DI$1),MONTH(Marketing!$DI$1),1)+INT((DAY(Marketing!$DI$1)-1)/2)+'Cash Drivers'!DJ$7,0)=EOMONTH($BY$1,0),Marketing!DJ$5*Marketing!DJ$6,0)+IF(EOMONTH(DATE(YEAR(Marketing!$DF$1),MONTH(Marketing!$DF$1),1)+INT((DAY(Marketing!$DF$1)-1)/2)+'Cash Drivers'!DG$7,0)=EOMONTH($BY$1,0),Marketing!DG$5*Marketing!DG$6,0)+IF(EOMONTH(DATE(YEAR(Marketing!$DC$1),MONTH(Marketing!$DC$1),1)+INT((DAY(Marketing!$DC$1)-1)/2)+'Cash Drivers'!DD$7,0)=EOMONTH($BY$1,0),Marketing!DD$5*Marketing!DD$6,0)+IF(EOMONTH(DATE(YEAR(Marketing!$CZ$1),MONTH(Marketing!$CZ$1),1)+INT((DAY(Marketing!$CZ$1)-1)/2)+'Cash Drivers'!DA$7,0)=EOMONTH($BY$1,0),Marketing!DA$5*Marketing!DA$6,0)+IF(EOMONTH(DATE(YEAR(Marketing!$CW$1),MONTH(Marketing!$CW$1),1)+INT((DAY(Marketing!$CW$1)-1)/2)+'Cash Drivers'!CX$7,0)=EOMONTH($BY$1,0),Marketing!CX$5*Marketing!CX$6,0)+IF(EOMONTH(DATE(YEAR(Marketing!$CT$1),MONTH(Marketing!$CT$1),1)+INT((DAY(Marketing!$CT$1)-1)/2)+'Cash Drivers'!CU$7,0)=EOMONTH($BY$1,0),Marketing!CU$5*Marketing!CU$6,0)+IF(EOMONTH(DATE(YEAR(Marketing!$CQ$1),MONTH(Marketing!$CQ$1),1)+INT((DAY(Marketing!$CQ$1)-1)/2)+'Cash Drivers'!CR$7,0)=EOMONTH($BY$1,0),Marketing!CR$5*Marketing!CR$6,0)+IF(EOMONTH(DATE(YEAR(Marketing!$CN$1),MONTH(Marketing!$CN$1),1)+INT((DAY(Marketing!$CN$1)-1)/2)+'Cash Drivers'!CO$7,0)=EOMONTH($BY$1,0),Marketing!CO$5*Marketing!CO$6,0)+IF(EOMONTH(DATE(YEAR(Marketing!$CK$1),MONTH(Marketing!$CK$1),1)+INT((DAY(Marketing!$CK$1)-1)/2)+'Cash Drivers'!CL$7,0)=EOMONTH($BY$1,0),Marketing!CL$5*Marketing!CL$6,0)+IF(EOMONTH(DATE(YEAR(Marketing!$CH$1),MONTH(Marketing!$CH$1),1)+INT((DAY(Marketing!$CH$1)-1)/2)+'Cash Drivers'!CI$7,0)=EOMONTH($BY$1,0),Marketing!CI$5*Marketing!CI$6,0)+IF(EOMONTH(DATE(YEAR(Marketing!$CE$1),MONTH(Marketing!$CE$1),1)+INT((DAY(Marketing!$CE$1)-1)/2)+'Cash Drivers'!CF$7,0)=EOMONTH($BY$1,0),Marketing!CF$5*Marketing!CF$6,0)+IF(EOMONTH(DATE(YEAR(Marketing!$CB$1),MONTH(Marketing!$CB$1),1)+INT((DAY(Marketing!$CB$1)-1)/2)+'Cash Drivers'!CC$7,0)=EOMONTH($BY$1,0),Marketing!CC$5*Marketing!CC$6,0)+IF(EOMONTH(DATE(YEAR(Marketing!$BY$1),MONTH(Marketing!$BY$1),1)+INT((DAY(Marketing!$BY$1)-1)/2)+'Cash Drivers'!BZ$7,0)=EOMONTH($BY$1,0),Marketing!BZ$5*Marketing!BZ$6,0)+IF(EOMONTH(DATE(YEAR(Marketing!$BV$1),MONTH(Marketing!$BV$1),1)+INT((DAY(Marketing!$BV$1)-1)/2)+'Cash Drivers'!BW$7,0)=EOMONTH($BY$1,0),Marketing!BW$5*Marketing!BW$6,0)+IF(EOMONTH(DATE(YEAR(Marketing!$BS$1),MONTH(Marketing!$BS$1),1)+INT((DAY(Marketing!$BS$1)-1)/2)+'Cash Drivers'!BT$7,0)=EOMONTH($BY$1,0),Marketing!BT$5*Marketing!BT$6,0)+IF(EOMONTH(DATE(YEAR(Marketing!$BP$1),MONTH(Marketing!$BP$1),1)+INT((DAY(Marketing!$BP$1)-1)/2)+'Cash Drivers'!BQ$7,0)=EOMONTH($BY$1,0),Marketing!BQ$5*Marketing!BQ$6,0)+IF(EOMONTH(DATE(YEAR(Marketing!$BM$1),MONTH(Marketing!$BM$1),1)+INT((DAY(Marketing!$BM$1)-1)/2)+'Cash Drivers'!BN$7,0)=EOMONTH($BY$1,0),Marketing!BN$5*Marketing!BN$6,0)+IF(EOMONTH(DATE(YEAR(Marketing!$BJ$1),MONTH(Marketing!$BJ$1),1)+INT((DAY(Marketing!$BJ$1)-1)/2)+'Cash Drivers'!BK$7,0)=EOMONTH($BY$1,0),Marketing!BK$5*Marketing!BK$6,0)+IF(EOMONTH(DATE(YEAR(Marketing!$BG$1),MONTH(Marketing!$BG$1),1)+INT((DAY(Marketing!$BG$1)-1)/2)+'Cash Drivers'!BH$7,0)=EOMONTH($BY$1,0),Marketing!BH$5*Marketing!BH$6,0)+IF(EOMONTH(DATE(YEAR(Marketing!$BD$1),MONTH(Marketing!$BD$1),1)+INT((DAY(Marketing!$BD$1)-1)/2)+'Cash Drivers'!BE$7,0)=EOMONTH($BY$1,0),Marketing!BE$5*Marketing!BE$6,0)+IF(EOMONTH(DATE(YEAR(Marketing!$BA$1),MONTH(Marketing!$BA$1),1)+INT((DAY(Marketing!$BA$1)-1)/2)+'Cash Drivers'!BB$7,0)=EOMONTH($BY$1,0),Marketing!BB$5*Marketing!BB$6,0)+IF(EOMONTH(DATE(YEAR(Marketing!$AX$1),MONTH(Marketing!$AX$1),1)+INT((DAY(Marketing!$AX$1)-1)/2)+'Cash Drivers'!AY$7,0)=EOMONTH($BY$1,0),Marketing!AY$5*Marketing!AY$6,0)+IF(EOMONTH(DATE(YEAR(Marketing!$AU$1),MONTH(Marketing!$AU$1),1)+INT((DAY(Marketing!$AU$1)-1)/2)+'Cash Drivers'!AV$7,0)=EOMONTH($BY$1,0),Marketing!AV$5*Marketing!AV$6,0)+IF(EOMONTH(DATE(YEAR(Marketing!$AR$1),MONTH(Marketing!$AR$1),1)+INT((DAY(Marketing!$AR$1)-1)/2)+'Cash Drivers'!AS$7,0)=EOMONTH($BY$1,0),Marketing!AS$5*Marketing!AS$6,0)+IF(EOMONTH(DATE(YEAR(Marketing!$AO$1),MONTH(Marketing!$AO$1),1)+INT((DAY(Marketing!$AO$1)-1)/2)+'Cash Drivers'!AP$7,0)=EOMONTH($BY$1,0),Marketing!AP$5*Marketing!AP$6,0)+IF(EOMONTH(DATE(YEAR(Marketing!$AL$1),MONTH(Marketing!$AL$1),1)+INT((DAY(Marketing!$AL$1)-1)/2)+'Cash Drivers'!AM$7,0)=EOMONTH($BY$1,0),Marketing!AM$5*Marketing!AM$6,0)+IF(EOMONTH(DATE(YEAR(Marketing!$AI$1),MONTH(Marketing!$AI$1),1)+INT((DAY(Marketing!$AI$1)-1)/2)+'Cash Drivers'!AJ$7,0)=EOMONTH($BY$1,0),Marketing!AJ$5*Marketing!AJ$6,0)+IF(EOMONTH(DATE(YEAR(Marketing!$AF$1),MONTH(Marketing!$AF$1),1)+INT((DAY(Marketing!$AF$1)-1)/2)+'Cash Drivers'!AG$7,0)=EOMONTH($BY$1,0),Marketing!AG$5*Marketing!AG$6,0)+IF(EOMONTH(DATE(YEAR(Marketing!$AC$1),MONTH(Marketing!$AC$1),1)+INT((DAY(Marketing!$AC$1)-1)/2)+'Cash Drivers'!AD$7,0)=EOMONTH($BY$1,0),Marketing!AD$5*Marketing!AD$6,0)+IF(EOMONTH(DATE(YEAR(Marketing!$Z$1),MONTH(Marketing!$Z$1),1)+INT((DAY(Marketing!$Z$1)-1)/2)+'Cash Drivers'!AA$7,0)=EOMONTH($BY$1,0),Marketing!AA$5*Marketing!AA$6,0)+IF(EOMONTH(DATE(YEAR(Marketing!$W$1),MONTH(Marketing!$W$1),1)+INT((DAY(Marketing!$W$1)-1)/2)+'Cash Drivers'!X$7,0)=EOMONTH($BY$1,0),Marketing!X$5*Marketing!X$6,0)+IF(EOMONTH(DATE(YEAR(Marketing!$T$1),MONTH(Marketing!$T$1),1)+INT((DAY(Marketing!$T$1)-1)/2)+'Cash Drivers'!U$7,0)=EOMONTH($BY$1,0),Marketing!U$5*Marketing!U$6,0)+IF(EOMONTH(DATE(YEAR(Marketing!$Q$1),MONTH(Marketing!$Q$1),1)+INT((DAY(Marketing!$Q$1)-1)/2)+'Cash Drivers'!R$7,0)=EOMONTH($BY$1,0),Marketing!R$5*Marketing!R$6,0)+IF(EOMONTH(DATE(YEAR(Marketing!$N$1),MONTH(Marketing!$N$1),1)+INT((DAY(Marketing!$N$1)-1)/2)+'Cash Drivers'!O$7,0)=EOMONTH($BY$1,0),Marketing!O$5*Marketing!O$6,0)+IF(EOMONTH(DATE(YEAR(Marketing!$K$1),MONTH(Marketing!$K$1),1)+INT((DAY(Marketing!$K$1)-1)/2)+'Cash Drivers'!L$7,0)=EOMONTH($BY$1,0),Marketing!L$5*Marketing!L$6,0)+0,0))</f>
        <v>107</v>
      </c>
      <c r="CA7" s="87" t="n">
        <f aca="false">ROUND(IF(EOMONTH(DATE(YEAR(Marketing!$DL$1),MONTH(Marketing!$DL$1),1)+INT((DAY(Marketing!$DL$1)-1)/2)+'Cash Drivers'!DN$7,0)=EOMONTH($BY$1,0),Marketing!DN$5*Marketing!DN$6,0)+IF(EOMONTH(DATE(YEAR(Marketing!$DI$1),MONTH(Marketing!$DI$1),1)+INT((DAY(Marketing!$DI$1)-1)/2)+'Cash Drivers'!DK$7,0)=EOMONTH($BY$1,0),Marketing!DK$5*Marketing!DK$6,0)+IF(EOMONTH(DATE(YEAR(Marketing!$DF$1),MONTH(Marketing!$DF$1),1)+INT((DAY(Marketing!$DF$1)-1)/2)+'Cash Drivers'!DH$7,0)=EOMONTH($BY$1,0),Marketing!DH$5*Marketing!DH$6,0)+IF(EOMONTH(DATE(YEAR(Marketing!$DC$1),MONTH(Marketing!$DC$1),1)+INT((DAY(Marketing!$DC$1)-1)/2)+'Cash Drivers'!DE$7,0)=EOMONTH($BY$1,0),Marketing!DE$5*Marketing!DE$6,0)+IF(EOMONTH(DATE(YEAR(Marketing!$CZ$1),MONTH(Marketing!$CZ$1),1)+INT((DAY(Marketing!$CZ$1)-1)/2)+'Cash Drivers'!DB$7,0)=EOMONTH($BY$1,0),Marketing!DB$5*Marketing!DB$6,0)+IF(EOMONTH(DATE(YEAR(Marketing!$CW$1),MONTH(Marketing!$CW$1),1)+INT((DAY(Marketing!$CW$1)-1)/2)+'Cash Drivers'!CY$7,0)=EOMONTH($BY$1,0),Marketing!CY$5*Marketing!CY$6,0)+IF(EOMONTH(DATE(YEAR(Marketing!$CT$1),MONTH(Marketing!$CT$1),1)+INT((DAY(Marketing!$CT$1)-1)/2)+'Cash Drivers'!CV$7,0)=EOMONTH($BY$1,0),Marketing!CV$5*Marketing!CV$6,0)+IF(EOMONTH(DATE(YEAR(Marketing!$CQ$1),MONTH(Marketing!$CQ$1),1)+INT((DAY(Marketing!$CQ$1)-1)/2)+'Cash Drivers'!CS$7,0)=EOMONTH($BY$1,0),Marketing!CS$5*Marketing!CS$6,0)+IF(EOMONTH(DATE(YEAR(Marketing!$CN$1),MONTH(Marketing!$CN$1),1)+INT((DAY(Marketing!$CN$1)-1)/2)+'Cash Drivers'!CP$7,0)=EOMONTH($BY$1,0),Marketing!CP$5*Marketing!CP$6,0)+IF(EOMONTH(DATE(YEAR(Marketing!$CK$1),MONTH(Marketing!$CK$1),1)+INT((DAY(Marketing!$CK$1)-1)/2)+'Cash Drivers'!CM$7,0)=EOMONTH($BY$1,0),Marketing!CM$5*Marketing!CM$6,0)+IF(EOMONTH(DATE(YEAR(Marketing!$CH$1),MONTH(Marketing!$CH$1),1)+INT((DAY(Marketing!$CH$1)-1)/2)+'Cash Drivers'!CJ$7,0)=EOMONTH($BY$1,0),Marketing!CJ$5*Marketing!CJ$6,0)+IF(EOMONTH(DATE(YEAR(Marketing!$CE$1),MONTH(Marketing!$CE$1),1)+INT((DAY(Marketing!$CE$1)-1)/2)+'Cash Drivers'!CG$7,0)=EOMONTH($BY$1,0),Marketing!CG$5*Marketing!CG$6,0)+IF(EOMONTH(DATE(YEAR(Marketing!$CB$1),MONTH(Marketing!$CB$1),1)+INT((DAY(Marketing!$CB$1)-1)/2)+'Cash Drivers'!CD$7,0)=EOMONTH($BY$1,0),Marketing!CD$5*Marketing!CD$6,0)+IF(EOMONTH(DATE(YEAR(Marketing!$BY$1),MONTH(Marketing!$BY$1),1)+INT((DAY(Marketing!$BY$1)-1)/2)+'Cash Drivers'!CA$7,0)=EOMONTH($BY$1,0),Marketing!CA$5*Marketing!CA$6,0)+IF(EOMONTH(DATE(YEAR(Marketing!$BV$1),MONTH(Marketing!$BV$1),1)+INT((DAY(Marketing!$BV$1)-1)/2)+'Cash Drivers'!BX$7,0)=EOMONTH($BY$1,0),Marketing!BX$5*Marketing!BX$6,0)+IF(EOMONTH(DATE(YEAR(Marketing!$BS$1),MONTH(Marketing!$BS$1),1)+INT((DAY(Marketing!$BS$1)-1)/2)+'Cash Drivers'!BU$7,0)=EOMONTH($BY$1,0),Marketing!BU$5*Marketing!BU$6,0)+IF(EOMONTH(DATE(YEAR(Marketing!$BP$1),MONTH(Marketing!$BP$1),1)+INT((DAY(Marketing!$BP$1)-1)/2)+'Cash Drivers'!BR$7,0)=EOMONTH($BY$1,0),Marketing!BR$5*Marketing!BR$6,0)+IF(EOMONTH(DATE(YEAR(Marketing!$BM$1),MONTH(Marketing!$BM$1),1)+INT((DAY(Marketing!$BM$1)-1)/2)+'Cash Drivers'!BO$7,0)=EOMONTH($BY$1,0),Marketing!BO$5*Marketing!BO$6,0)+IF(EOMONTH(DATE(YEAR(Marketing!$BJ$1),MONTH(Marketing!$BJ$1),1)+INT((DAY(Marketing!$BJ$1)-1)/2)+'Cash Drivers'!BL$7,0)=EOMONTH($BY$1,0),Marketing!BL$5*Marketing!BL$6,0)+IF(EOMONTH(DATE(YEAR(Marketing!$BG$1),MONTH(Marketing!$BG$1),1)+INT((DAY(Marketing!$BG$1)-1)/2)+'Cash Drivers'!BI$7,0)=EOMONTH($BY$1,0),Marketing!BI$5*Marketing!BI$6,0)+IF(EOMONTH(DATE(YEAR(Marketing!$BD$1),MONTH(Marketing!$BD$1),1)+INT((DAY(Marketing!$BD$1)-1)/2)+'Cash Drivers'!BF$7,0)=EOMONTH($BY$1,0),Marketing!BF$5*Marketing!BF$6,0)+IF(EOMONTH(DATE(YEAR(Marketing!$BA$1),MONTH(Marketing!$BA$1),1)+INT((DAY(Marketing!$BA$1)-1)/2)+'Cash Drivers'!BC$7,0)=EOMONTH($BY$1,0),Marketing!BC$5*Marketing!BC$6,0)+IF(EOMONTH(DATE(YEAR(Marketing!$AX$1),MONTH(Marketing!$AX$1),1)+INT((DAY(Marketing!$AX$1)-1)/2)+'Cash Drivers'!AZ$7,0)=EOMONTH($BY$1,0),Marketing!AZ$5*Marketing!AZ$6,0)+IF(EOMONTH(DATE(YEAR(Marketing!$AU$1),MONTH(Marketing!$AU$1),1)+INT((DAY(Marketing!$AU$1)-1)/2)+'Cash Drivers'!AW$7,0)=EOMONTH($BY$1,0),Marketing!AW$5*Marketing!AW$6,0)+IF(EOMONTH(DATE(YEAR(Marketing!$AR$1),MONTH(Marketing!$AR$1),1)+INT((DAY(Marketing!$AR$1)-1)/2)+'Cash Drivers'!AT$7,0)=EOMONTH($BY$1,0),Marketing!AT$5*Marketing!AT$6,0)+IF(EOMONTH(DATE(YEAR(Marketing!$AO$1),MONTH(Marketing!$AO$1),1)+INT((DAY(Marketing!$AO$1)-1)/2)+'Cash Drivers'!AQ$7,0)=EOMONTH($BY$1,0),Marketing!AQ$5*Marketing!AQ$6,0)+IF(EOMONTH(DATE(YEAR(Marketing!$AL$1),MONTH(Marketing!$AL$1),1)+INT((DAY(Marketing!$AL$1)-1)/2)+'Cash Drivers'!AN$7,0)=EOMONTH($BY$1,0),Marketing!AN$5*Marketing!AN$6,0)+IF(EOMONTH(DATE(YEAR(Marketing!$AI$1),MONTH(Marketing!$AI$1),1)+INT((DAY(Marketing!$AI$1)-1)/2)+'Cash Drivers'!AK$7,0)=EOMONTH($BY$1,0),Marketing!AK$5*Marketing!AK$6,0)+IF(EOMONTH(DATE(YEAR(Marketing!$AF$1),MONTH(Marketing!$AF$1),1)+INT((DAY(Marketing!$AF$1)-1)/2)+'Cash Drivers'!AH$7,0)=EOMONTH($BY$1,0),Marketing!AH$5*Marketing!AH$6,0)+IF(EOMONTH(DATE(YEAR(Marketing!$AC$1),MONTH(Marketing!$AC$1),1)+INT((DAY(Marketing!$AC$1)-1)/2)+'Cash Drivers'!AE$7,0)=EOMONTH($BY$1,0),Marketing!AE$5*Marketing!AE$6,0)+IF(EOMONTH(DATE(YEAR(Marketing!$Z$1),MONTH(Marketing!$Z$1),1)+INT((DAY(Marketing!$Z$1)-1)/2)+'Cash Drivers'!AB$7,0)=EOMONTH($BY$1,0),Marketing!AB$5*Marketing!AB$6,0)+IF(EOMONTH(DATE(YEAR(Marketing!$W$1),MONTH(Marketing!$W$1),1)+INT((DAY(Marketing!$W$1)-1)/2)+'Cash Drivers'!Y$7,0)=EOMONTH($BY$1,0),Marketing!Y$5*Marketing!Y$6,0)+IF(EOMONTH(DATE(YEAR(Marketing!$T$1),MONTH(Marketing!$T$1),1)+INT((DAY(Marketing!$T$1)-1)/2)+'Cash Drivers'!V$7,0)=EOMONTH($BY$1,0),Marketing!V$5*Marketing!V$6,0)+IF(EOMONTH(DATE(YEAR(Marketing!$Q$1),MONTH(Marketing!$Q$1),1)+INT((DAY(Marketing!$Q$1)-1)/2)+'Cash Drivers'!S$7,0)=EOMONTH($BY$1,0),Marketing!S$5*Marketing!S$6,0)+IF(EOMONTH(DATE(YEAR(Marketing!$N$1),MONTH(Marketing!$N$1),1)+INT((DAY(Marketing!$N$1)-1)/2)+'Cash Drivers'!P$7,0)=EOMONTH($BY$1,0),Marketing!P$5*Marketing!P$6,0)+IF(EOMONTH(DATE(YEAR(Marketing!$K$1),MONTH(Marketing!$K$1),1)+INT((DAY(Marketing!$K$1)-1)/2)+'Cash Drivers'!M$7,0)=EOMONTH($BY$1,0),Marketing!M$5*Marketing!M$6,0)+0,0)</f>
        <v>107</v>
      </c>
      <c r="CB7" s="86"/>
      <c r="CC7" s="86" t="n">
        <f aca="false">IF('Cash Drivers'!CC$26,CB7,ROUND(IF(EOMONTH(DATE(YEAR(Marketing!$DL$1),MONTH(Marketing!$DL$1),1)+INT((DAY(Marketing!$DL$1)-1)/2)+'Cash Drivers'!DM$7,0)=EOMONTH($CB$1,0),Marketing!DM$5*Marketing!DM$6,0)+IF(EOMONTH(DATE(YEAR(Marketing!$DI$1),MONTH(Marketing!$DI$1),1)+INT((DAY(Marketing!$DI$1)-1)/2)+'Cash Drivers'!DJ$7,0)=EOMONTH($CB$1,0),Marketing!DJ$5*Marketing!DJ$6,0)+IF(EOMONTH(DATE(YEAR(Marketing!$DF$1),MONTH(Marketing!$DF$1),1)+INT((DAY(Marketing!$DF$1)-1)/2)+'Cash Drivers'!DG$7,0)=EOMONTH($CB$1,0),Marketing!DG$5*Marketing!DG$6,0)+IF(EOMONTH(DATE(YEAR(Marketing!$DC$1),MONTH(Marketing!$DC$1),1)+INT((DAY(Marketing!$DC$1)-1)/2)+'Cash Drivers'!DD$7,0)=EOMONTH($CB$1,0),Marketing!DD$5*Marketing!DD$6,0)+IF(EOMONTH(DATE(YEAR(Marketing!$CZ$1),MONTH(Marketing!$CZ$1),1)+INT((DAY(Marketing!$CZ$1)-1)/2)+'Cash Drivers'!DA$7,0)=EOMONTH($CB$1,0),Marketing!DA$5*Marketing!DA$6,0)+IF(EOMONTH(DATE(YEAR(Marketing!$CW$1),MONTH(Marketing!$CW$1),1)+INT((DAY(Marketing!$CW$1)-1)/2)+'Cash Drivers'!CX$7,0)=EOMONTH($CB$1,0),Marketing!CX$5*Marketing!CX$6,0)+IF(EOMONTH(DATE(YEAR(Marketing!$CT$1),MONTH(Marketing!$CT$1),1)+INT((DAY(Marketing!$CT$1)-1)/2)+'Cash Drivers'!CU$7,0)=EOMONTH($CB$1,0),Marketing!CU$5*Marketing!CU$6,0)+IF(EOMONTH(DATE(YEAR(Marketing!$CQ$1),MONTH(Marketing!$CQ$1),1)+INT((DAY(Marketing!$CQ$1)-1)/2)+'Cash Drivers'!CR$7,0)=EOMONTH($CB$1,0),Marketing!CR$5*Marketing!CR$6,0)+IF(EOMONTH(DATE(YEAR(Marketing!$CN$1),MONTH(Marketing!$CN$1),1)+INT((DAY(Marketing!$CN$1)-1)/2)+'Cash Drivers'!CO$7,0)=EOMONTH($CB$1,0),Marketing!CO$5*Marketing!CO$6,0)+IF(EOMONTH(DATE(YEAR(Marketing!$CK$1),MONTH(Marketing!$CK$1),1)+INT((DAY(Marketing!$CK$1)-1)/2)+'Cash Drivers'!CL$7,0)=EOMONTH($CB$1,0),Marketing!CL$5*Marketing!CL$6,0)+IF(EOMONTH(DATE(YEAR(Marketing!$CH$1),MONTH(Marketing!$CH$1),1)+INT((DAY(Marketing!$CH$1)-1)/2)+'Cash Drivers'!CI$7,0)=EOMONTH($CB$1,0),Marketing!CI$5*Marketing!CI$6,0)+IF(EOMONTH(DATE(YEAR(Marketing!$CE$1),MONTH(Marketing!$CE$1),1)+INT((DAY(Marketing!$CE$1)-1)/2)+'Cash Drivers'!CF$7,0)=EOMONTH($CB$1,0),Marketing!CF$5*Marketing!CF$6,0)+IF(EOMONTH(DATE(YEAR(Marketing!$CB$1),MONTH(Marketing!$CB$1),1)+INT((DAY(Marketing!$CB$1)-1)/2)+'Cash Drivers'!CC$7,0)=EOMONTH($CB$1,0),Marketing!CC$5*Marketing!CC$6,0)+IF(EOMONTH(DATE(YEAR(Marketing!$BY$1),MONTH(Marketing!$BY$1),1)+INT((DAY(Marketing!$BY$1)-1)/2)+'Cash Drivers'!BZ$7,0)=EOMONTH($CB$1,0),Marketing!BZ$5*Marketing!BZ$6,0)+IF(EOMONTH(DATE(YEAR(Marketing!$BV$1),MONTH(Marketing!$BV$1),1)+INT((DAY(Marketing!$BV$1)-1)/2)+'Cash Drivers'!BW$7,0)=EOMONTH($CB$1,0),Marketing!BW$5*Marketing!BW$6,0)+IF(EOMONTH(DATE(YEAR(Marketing!$BS$1),MONTH(Marketing!$BS$1),1)+INT((DAY(Marketing!$BS$1)-1)/2)+'Cash Drivers'!BT$7,0)=EOMONTH($CB$1,0),Marketing!BT$5*Marketing!BT$6,0)+IF(EOMONTH(DATE(YEAR(Marketing!$BP$1),MONTH(Marketing!$BP$1),1)+INT((DAY(Marketing!$BP$1)-1)/2)+'Cash Drivers'!BQ$7,0)=EOMONTH($CB$1,0),Marketing!BQ$5*Marketing!BQ$6,0)+IF(EOMONTH(DATE(YEAR(Marketing!$BM$1),MONTH(Marketing!$BM$1),1)+INT((DAY(Marketing!$BM$1)-1)/2)+'Cash Drivers'!BN$7,0)=EOMONTH($CB$1,0),Marketing!BN$5*Marketing!BN$6,0)+IF(EOMONTH(DATE(YEAR(Marketing!$BJ$1),MONTH(Marketing!$BJ$1),1)+INT((DAY(Marketing!$BJ$1)-1)/2)+'Cash Drivers'!BK$7,0)=EOMONTH($CB$1,0),Marketing!BK$5*Marketing!BK$6,0)+IF(EOMONTH(DATE(YEAR(Marketing!$BG$1),MONTH(Marketing!$BG$1),1)+INT((DAY(Marketing!$BG$1)-1)/2)+'Cash Drivers'!BH$7,0)=EOMONTH($CB$1,0),Marketing!BH$5*Marketing!BH$6,0)+IF(EOMONTH(DATE(YEAR(Marketing!$BD$1),MONTH(Marketing!$BD$1),1)+INT((DAY(Marketing!$BD$1)-1)/2)+'Cash Drivers'!BE$7,0)=EOMONTH($CB$1,0),Marketing!BE$5*Marketing!BE$6,0)+IF(EOMONTH(DATE(YEAR(Marketing!$BA$1),MONTH(Marketing!$BA$1),1)+INT((DAY(Marketing!$BA$1)-1)/2)+'Cash Drivers'!BB$7,0)=EOMONTH($CB$1,0),Marketing!BB$5*Marketing!BB$6,0)+IF(EOMONTH(DATE(YEAR(Marketing!$AX$1),MONTH(Marketing!$AX$1),1)+INT((DAY(Marketing!$AX$1)-1)/2)+'Cash Drivers'!AY$7,0)=EOMONTH($CB$1,0),Marketing!AY$5*Marketing!AY$6,0)+IF(EOMONTH(DATE(YEAR(Marketing!$AU$1),MONTH(Marketing!$AU$1),1)+INT((DAY(Marketing!$AU$1)-1)/2)+'Cash Drivers'!AV$7,0)=EOMONTH($CB$1,0),Marketing!AV$5*Marketing!AV$6,0)+IF(EOMONTH(DATE(YEAR(Marketing!$AR$1),MONTH(Marketing!$AR$1),1)+INT((DAY(Marketing!$AR$1)-1)/2)+'Cash Drivers'!AS$7,0)=EOMONTH($CB$1,0),Marketing!AS$5*Marketing!AS$6,0)+IF(EOMONTH(DATE(YEAR(Marketing!$AO$1),MONTH(Marketing!$AO$1),1)+INT((DAY(Marketing!$AO$1)-1)/2)+'Cash Drivers'!AP$7,0)=EOMONTH($CB$1,0),Marketing!AP$5*Marketing!AP$6,0)+IF(EOMONTH(DATE(YEAR(Marketing!$AL$1),MONTH(Marketing!$AL$1),1)+INT((DAY(Marketing!$AL$1)-1)/2)+'Cash Drivers'!AM$7,0)=EOMONTH($CB$1,0),Marketing!AM$5*Marketing!AM$6,0)+IF(EOMONTH(DATE(YEAR(Marketing!$AI$1),MONTH(Marketing!$AI$1),1)+INT((DAY(Marketing!$AI$1)-1)/2)+'Cash Drivers'!AJ$7,0)=EOMONTH($CB$1,0),Marketing!AJ$5*Marketing!AJ$6,0)+IF(EOMONTH(DATE(YEAR(Marketing!$AF$1),MONTH(Marketing!$AF$1),1)+INT((DAY(Marketing!$AF$1)-1)/2)+'Cash Drivers'!AG$7,0)=EOMONTH($CB$1,0),Marketing!AG$5*Marketing!AG$6,0)+IF(EOMONTH(DATE(YEAR(Marketing!$AC$1),MONTH(Marketing!$AC$1),1)+INT((DAY(Marketing!$AC$1)-1)/2)+'Cash Drivers'!AD$7,0)=EOMONTH($CB$1,0),Marketing!AD$5*Marketing!AD$6,0)+IF(EOMONTH(DATE(YEAR(Marketing!$Z$1),MONTH(Marketing!$Z$1),1)+INT((DAY(Marketing!$Z$1)-1)/2)+'Cash Drivers'!AA$7,0)=EOMONTH($CB$1,0),Marketing!AA$5*Marketing!AA$6,0)+IF(EOMONTH(DATE(YEAR(Marketing!$W$1),MONTH(Marketing!$W$1),1)+INT((DAY(Marketing!$W$1)-1)/2)+'Cash Drivers'!X$7,0)=EOMONTH($CB$1,0),Marketing!X$5*Marketing!X$6,0)+IF(EOMONTH(DATE(YEAR(Marketing!$T$1),MONTH(Marketing!$T$1),1)+INT((DAY(Marketing!$T$1)-1)/2)+'Cash Drivers'!U$7,0)=EOMONTH($CB$1,0),Marketing!U$5*Marketing!U$6,0)+IF(EOMONTH(DATE(YEAR(Marketing!$Q$1),MONTH(Marketing!$Q$1),1)+INT((DAY(Marketing!$Q$1)-1)/2)+'Cash Drivers'!R$7,0)=EOMONTH($CB$1,0),Marketing!R$5*Marketing!R$6,0)+IF(EOMONTH(DATE(YEAR(Marketing!$N$1),MONTH(Marketing!$N$1),1)+INT((DAY(Marketing!$N$1)-1)/2)+'Cash Drivers'!O$7,0)=EOMONTH($CB$1,0),Marketing!O$5*Marketing!O$6,0)+IF(EOMONTH(DATE(YEAR(Marketing!$K$1),MONTH(Marketing!$K$1),1)+INT((DAY(Marketing!$K$1)-1)/2)+'Cash Drivers'!L$7,0)=EOMONTH($CB$1,0),Marketing!L$5*Marketing!L$6,0)+0,0))</f>
        <v>107</v>
      </c>
      <c r="CD7" s="86" t="n">
        <f aca="false">ROUND(IF(EOMONTH(DATE(YEAR(Marketing!$DL$1),MONTH(Marketing!$DL$1),1)+INT((DAY(Marketing!$DL$1)-1)/2)+'Cash Drivers'!DN$7,0)=EOMONTH($CB$1,0),Marketing!DN$5*Marketing!DN$6,0)+IF(EOMONTH(DATE(YEAR(Marketing!$DI$1),MONTH(Marketing!$DI$1),1)+INT((DAY(Marketing!$DI$1)-1)/2)+'Cash Drivers'!DK$7,0)=EOMONTH($CB$1,0),Marketing!DK$5*Marketing!DK$6,0)+IF(EOMONTH(DATE(YEAR(Marketing!$DF$1),MONTH(Marketing!$DF$1),1)+INT((DAY(Marketing!$DF$1)-1)/2)+'Cash Drivers'!DH$7,0)=EOMONTH($CB$1,0),Marketing!DH$5*Marketing!DH$6,0)+IF(EOMONTH(DATE(YEAR(Marketing!$DC$1),MONTH(Marketing!$DC$1),1)+INT((DAY(Marketing!$DC$1)-1)/2)+'Cash Drivers'!DE$7,0)=EOMONTH($CB$1,0),Marketing!DE$5*Marketing!DE$6,0)+IF(EOMONTH(DATE(YEAR(Marketing!$CZ$1),MONTH(Marketing!$CZ$1),1)+INT((DAY(Marketing!$CZ$1)-1)/2)+'Cash Drivers'!DB$7,0)=EOMONTH($CB$1,0),Marketing!DB$5*Marketing!DB$6,0)+IF(EOMONTH(DATE(YEAR(Marketing!$CW$1),MONTH(Marketing!$CW$1),1)+INT((DAY(Marketing!$CW$1)-1)/2)+'Cash Drivers'!CY$7,0)=EOMONTH($CB$1,0),Marketing!CY$5*Marketing!CY$6,0)+IF(EOMONTH(DATE(YEAR(Marketing!$CT$1),MONTH(Marketing!$CT$1),1)+INT((DAY(Marketing!$CT$1)-1)/2)+'Cash Drivers'!CV$7,0)=EOMONTH($CB$1,0),Marketing!CV$5*Marketing!CV$6,0)+IF(EOMONTH(DATE(YEAR(Marketing!$CQ$1),MONTH(Marketing!$CQ$1),1)+INT((DAY(Marketing!$CQ$1)-1)/2)+'Cash Drivers'!CS$7,0)=EOMONTH($CB$1,0),Marketing!CS$5*Marketing!CS$6,0)+IF(EOMONTH(DATE(YEAR(Marketing!$CN$1),MONTH(Marketing!$CN$1),1)+INT((DAY(Marketing!$CN$1)-1)/2)+'Cash Drivers'!CP$7,0)=EOMONTH($CB$1,0),Marketing!CP$5*Marketing!CP$6,0)+IF(EOMONTH(DATE(YEAR(Marketing!$CK$1),MONTH(Marketing!$CK$1),1)+INT((DAY(Marketing!$CK$1)-1)/2)+'Cash Drivers'!CM$7,0)=EOMONTH($CB$1,0),Marketing!CM$5*Marketing!CM$6,0)+IF(EOMONTH(DATE(YEAR(Marketing!$CH$1),MONTH(Marketing!$CH$1),1)+INT((DAY(Marketing!$CH$1)-1)/2)+'Cash Drivers'!CJ$7,0)=EOMONTH($CB$1,0),Marketing!CJ$5*Marketing!CJ$6,0)+IF(EOMONTH(DATE(YEAR(Marketing!$CE$1),MONTH(Marketing!$CE$1),1)+INT((DAY(Marketing!$CE$1)-1)/2)+'Cash Drivers'!CG$7,0)=EOMONTH($CB$1,0),Marketing!CG$5*Marketing!CG$6,0)+IF(EOMONTH(DATE(YEAR(Marketing!$CB$1),MONTH(Marketing!$CB$1),1)+INT((DAY(Marketing!$CB$1)-1)/2)+'Cash Drivers'!CD$7,0)=EOMONTH($CB$1,0),Marketing!CD$5*Marketing!CD$6,0)+IF(EOMONTH(DATE(YEAR(Marketing!$BY$1),MONTH(Marketing!$BY$1),1)+INT((DAY(Marketing!$BY$1)-1)/2)+'Cash Drivers'!CA$7,0)=EOMONTH($CB$1,0),Marketing!CA$5*Marketing!CA$6,0)+IF(EOMONTH(DATE(YEAR(Marketing!$BV$1),MONTH(Marketing!$BV$1),1)+INT((DAY(Marketing!$BV$1)-1)/2)+'Cash Drivers'!BX$7,0)=EOMONTH($CB$1,0),Marketing!BX$5*Marketing!BX$6,0)+IF(EOMONTH(DATE(YEAR(Marketing!$BS$1),MONTH(Marketing!$BS$1),1)+INT((DAY(Marketing!$BS$1)-1)/2)+'Cash Drivers'!BU$7,0)=EOMONTH($CB$1,0),Marketing!BU$5*Marketing!BU$6,0)+IF(EOMONTH(DATE(YEAR(Marketing!$BP$1),MONTH(Marketing!$BP$1),1)+INT((DAY(Marketing!$BP$1)-1)/2)+'Cash Drivers'!BR$7,0)=EOMONTH($CB$1,0),Marketing!BR$5*Marketing!BR$6,0)+IF(EOMONTH(DATE(YEAR(Marketing!$BM$1),MONTH(Marketing!$BM$1),1)+INT((DAY(Marketing!$BM$1)-1)/2)+'Cash Drivers'!BO$7,0)=EOMONTH($CB$1,0),Marketing!BO$5*Marketing!BO$6,0)+IF(EOMONTH(DATE(YEAR(Marketing!$BJ$1),MONTH(Marketing!$BJ$1),1)+INT((DAY(Marketing!$BJ$1)-1)/2)+'Cash Drivers'!BL$7,0)=EOMONTH($CB$1,0),Marketing!BL$5*Marketing!BL$6,0)+IF(EOMONTH(DATE(YEAR(Marketing!$BG$1),MONTH(Marketing!$BG$1),1)+INT((DAY(Marketing!$BG$1)-1)/2)+'Cash Drivers'!BI$7,0)=EOMONTH($CB$1,0),Marketing!BI$5*Marketing!BI$6,0)+IF(EOMONTH(DATE(YEAR(Marketing!$BD$1),MONTH(Marketing!$BD$1),1)+INT((DAY(Marketing!$BD$1)-1)/2)+'Cash Drivers'!BF$7,0)=EOMONTH($CB$1,0),Marketing!BF$5*Marketing!BF$6,0)+IF(EOMONTH(DATE(YEAR(Marketing!$BA$1),MONTH(Marketing!$BA$1),1)+INT((DAY(Marketing!$BA$1)-1)/2)+'Cash Drivers'!BC$7,0)=EOMONTH($CB$1,0),Marketing!BC$5*Marketing!BC$6,0)+IF(EOMONTH(DATE(YEAR(Marketing!$AX$1),MONTH(Marketing!$AX$1),1)+INT((DAY(Marketing!$AX$1)-1)/2)+'Cash Drivers'!AZ$7,0)=EOMONTH($CB$1,0),Marketing!AZ$5*Marketing!AZ$6,0)+IF(EOMONTH(DATE(YEAR(Marketing!$AU$1),MONTH(Marketing!$AU$1),1)+INT((DAY(Marketing!$AU$1)-1)/2)+'Cash Drivers'!AW$7,0)=EOMONTH($CB$1,0),Marketing!AW$5*Marketing!AW$6,0)+IF(EOMONTH(DATE(YEAR(Marketing!$AR$1),MONTH(Marketing!$AR$1),1)+INT((DAY(Marketing!$AR$1)-1)/2)+'Cash Drivers'!AT$7,0)=EOMONTH($CB$1,0),Marketing!AT$5*Marketing!AT$6,0)+IF(EOMONTH(DATE(YEAR(Marketing!$AO$1),MONTH(Marketing!$AO$1),1)+INT((DAY(Marketing!$AO$1)-1)/2)+'Cash Drivers'!AQ$7,0)=EOMONTH($CB$1,0),Marketing!AQ$5*Marketing!AQ$6,0)+IF(EOMONTH(DATE(YEAR(Marketing!$AL$1),MONTH(Marketing!$AL$1),1)+INT((DAY(Marketing!$AL$1)-1)/2)+'Cash Drivers'!AN$7,0)=EOMONTH($CB$1,0),Marketing!AN$5*Marketing!AN$6,0)+IF(EOMONTH(DATE(YEAR(Marketing!$AI$1),MONTH(Marketing!$AI$1),1)+INT((DAY(Marketing!$AI$1)-1)/2)+'Cash Drivers'!AK$7,0)=EOMONTH($CB$1,0),Marketing!AK$5*Marketing!AK$6,0)+IF(EOMONTH(DATE(YEAR(Marketing!$AF$1),MONTH(Marketing!$AF$1),1)+INT((DAY(Marketing!$AF$1)-1)/2)+'Cash Drivers'!AH$7,0)=EOMONTH($CB$1,0),Marketing!AH$5*Marketing!AH$6,0)+IF(EOMONTH(DATE(YEAR(Marketing!$AC$1),MONTH(Marketing!$AC$1),1)+INT((DAY(Marketing!$AC$1)-1)/2)+'Cash Drivers'!AE$7,0)=EOMONTH($CB$1,0),Marketing!AE$5*Marketing!AE$6,0)+IF(EOMONTH(DATE(YEAR(Marketing!$Z$1),MONTH(Marketing!$Z$1),1)+INT((DAY(Marketing!$Z$1)-1)/2)+'Cash Drivers'!AB$7,0)=EOMONTH($CB$1,0),Marketing!AB$5*Marketing!AB$6,0)+IF(EOMONTH(DATE(YEAR(Marketing!$W$1),MONTH(Marketing!$W$1),1)+INT((DAY(Marketing!$W$1)-1)/2)+'Cash Drivers'!Y$7,0)=EOMONTH($CB$1,0),Marketing!Y$5*Marketing!Y$6,0)+IF(EOMONTH(DATE(YEAR(Marketing!$T$1),MONTH(Marketing!$T$1),1)+INT((DAY(Marketing!$T$1)-1)/2)+'Cash Drivers'!V$7,0)=EOMONTH($CB$1,0),Marketing!V$5*Marketing!V$6,0)+IF(EOMONTH(DATE(YEAR(Marketing!$Q$1),MONTH(Marketing!$Q$1),1)+INT((DAY(Marketing!$Q$1)-1)/2)+'Cash Drivers'!S$7,0)=EOMONTH($CB$1,0),Marketing!S$5*Marketing!S$6,0)+IF(EOMONTH(DATE(YEAR(Marketing!$N$1),MONTH(Marketing!$N$1),1)+INT((DAY(Marketing!$N$1)-1)/2)+'Cash Drivers'!P$7,0)=EOMONTH($CB$1,0),Marketing!P$5*Marketing!P$6,0)+IF(EOMONTH(DATE(YEAR(Marketing!$K$1),MONTH(Marketing!$K$1),1)+INT((DAY(Marketing!$K$1)-1)/2)+'Cash Drivers'!M$7,0)=EOMONTH($CB$1,0),Marketing!M$5*Marketing!M$6,0)+0,0)</f>
        <v>107</v>
      </c>
      <c r="CE7" s="87"/>
      <c r="CF7" s="87" t="n">
        <f aca="false">IF('Cash Drivers'!CF$26,CE7,ROUND(IF(EOMONTH(DATE(YEAR(Marketing!$DL$1),MONTH(Marketing!$DL$1),1)+INT((DAY(Marketing!$DL$1)-1)/2)+'Cash Drivers'!DM$7,0)=EOMONTH($CE$1,0),Marketing!DM$5*Marketing!DM$6,0)+IF(EOMONTH(DATE(YEAR(Marketing!$DI$1),MONTH(Marketing!$DI$1),1)+INT((DAY(Marketing!$DI$1)-1)/2)+'Cash Drivers'!DJ$7,0)=EOMONTH($CE$1,0),Marketing!DJ$5*Marketing!DJ$6,0)+IF(EOMONTH(DATE(YEAR(Marketing!$DF$1),MONTH(Marketing!$DF$1),1)+INT((DAY(Marketing!$DF$1)-1)/2)+'Cash Drivers'!DG$7,0)=EOMONTH($CE$1,0),Marketing!DG$5*Marketing!DG$6,0)+IF(EOMONTH(DATE(YEAR(Marketing!$DC$1),MONTH(Marketing!$DC$1),1)+INT((DAY(Marketing!$DC$1)-1)/2)+'Cash Drivers'!DD$7,0)=EOMONTH($CE$1,0),Marketing!DD$5*Marketing!DD$6,0)+IF(EOMONTH(DATE(YEAR(Marketing!$CZ$1),MONTH(Marketing!$CZ$1),1)+INT((DAY(Marketing!$CZ$1)-1)/2)+'Cash Drivers'!DA$7,0)=EOMONTH($CE$1,0),Marketing!DA$5*Marketing!DA$6,0)+IF(EOMONTH(DATE(YEAR(Marketing!$CW$1),MONTH(Marketing!$CW$1),1)+INT((DAY(Marketing!$CW$1)-1)/2)+'Cash Drivers'!CX$7,0)=EOMONTH($CE$1,0),Marketing!CX$5*Marketing!CX$6,0)+IF(EOMONTH(DATE(YEAR(Marketing!$CT$1),MONTH(Marketing!$CT$1),1)+INT((DAY(Marketing!$CT$1)-1)/2)+'Cash Drivers'!CU$7,0)=EOMONTH($CE$1,0),Marketing!CU$5*Marketing!CU$6,0)+IF(EOMONTH(DATE(YEAR(Marketing!$CQ$1),MONTH(Marketing!$CQ$1),1)+INT((DAY(Marketing!$CQ$1)-1)/2)+'Cash Drivers'!CR$7,0)=EOMONTH($CE$1,0),Marketing!CR$5*Marketing!CR$6,0)+IF(EOMONTH(DATE(YEAR(Marketing!$CN$1),MONTH(Marketing!$CN$1),1)+INT((DAY(Marketing!$CN$1)-1)/2)+'Cash Drivers'!CO$7,0)=EOMONTH($CE$1,0),Marketing!CO$5*Marketing!CO$6,0)+IF(EOMONTH(DATE(YEAR(Marketing!$CK$1),MONTH(Marketing!$CK$1),1)+INT((DAY(Marketing!$CK$1)-1)/2)+'Cash Drivers'!CL$7,0)=EOMONTH($CE$1,0),Marketing!CL$5*Marketing!CL$6,0)+IF(EOMONTH(DATE(YEAR(Marketing!$CH$1),MONTH(Marketing!$CH$1),1)+INT((DAY(Marketing!$CH$1)-1)/2)+'Cash Drivers'!CI$7,0)=EOMONTH($CE$1,0),Marketing!CI$5*Marketing!CI$6,0)+IF(EOMONTH(DATE(YEAR(Marketing!$CE$1),MONTH(Marketing!$CE$1),1)+INT((DAY(Marketing!$CE$1)-1)/2)+'Cash Drivers'!CF$7,0)=EOMONTH($CE$1,0),Marketing!CF$5*Marketing!CF$6,0)+IF(EOMONTH(DATE(YEAR(Marketing!$CB$1),MONTH(Marketing!$CB$1),1)+INT((DAY(Marketing!$CB$1)-1)/2)+'Cash Drivers'!CC$7,0)=EOMONTH($CE$1,0),Marketing!CC$5*Marketing!CC$6,0)+IF(EOMONTH(DATE(YEAR(Marketing!$BY$1),MONTH(Marketing!$BY$1),1)+INT((DAY(Marketing!$BY$1)-1)/2)+'Cash Drivers'!BZ$7,0)=EOMONTH($CE$1,0),Marketing!BZ$5*Marketing!BZ$6,0)+IF(EOMONTH(DATE(YEAR(Marketing!$BV$1),MONTH(Marketing!$BV$1),1)+INT((DAY(Marketing!$BV$1)-1)/2)+'Cash Drivers'!BW$7,0)=EOMONTH($CE$1,0),Marketing!BW$5*Marketing!BW$6,0)+IF(EOMONTH(DATE(YEAR(Marketing!$BS$1),MONTH(Marketing!$BS$1),1)+INT((DAY(Marketing!$BS$1)-1)/2)+'Cash Drivers'!BT$7,0)=EOMONTH($CE$1,0),Marketing!BT$5*Marketing!BT$6,0)+IF(EOMONTH(DATE(YEAR(Marketing!$BP$1),MONTH(Marketing!$BP$1),1)+INT((DAY(Marketing!$BP$1)-1)/2)+'Cash Drivers'!BQ$7,0)=EOMONTH($CE$1,0),Marketing!BQ$5*Marketing!BQ$6,0)+IF(EOMONTH(DATE(YEAR(Marketing!$BM$1),MONTH(Marketing!$BM$1),1)+INT((DAY(Marketing!$BM$1)-1)/2)+'Cash Drivers'!BN$7,0)=EOMONTH($CE$1,0),Marketing!BN$5*Marketing!BN$6,0)+IF(EOMONTH(DATE(YEAR(Marketing!$BJ$1),MONTH(Marketing!$BJ$1),1)+INT((DAY(Marketing!$BJ$1)-1)/2)+'Cash Drivers'!BK$7,0)=EOMONTH($CE$1,0),Marketing!BK$5*Marketing!BK$6,0)+IF(EOMONTH(DATE(YEAR(Marketing!$BG$1),MONTH(Marketing!$BG$1),1)+INT((DAY(Marketing!$BG$1)-1)/2)+'Cash Drivers'!BH$7,0)=EOMONTH($CE$1,0),Marketing!BH$5*Marketing!BH$6,0)+IF(EOMONTH(DATE(YEAR(Marketing!$BD$1),MONTH(Marketing!$BD$1),1)+INT((DAY(Marketing!$BD$1)-1)/2)+'Cash Drivers'!BE$7,0)=EOMONTH($CE$1,0),Marketing!BE$5*Marketing!BE$6,0)+IF(EOMONTH(DATE(YEAR(Marketing!$BA$1),MONTH(Marketing!$BA$1),1)+INT((DAY(Marketing!$BA$1)-1)/2)+'Cash Drivers'!BB$7,0)=EOMONTH($CE$1,0),Marketing!BB$5*Marketing!BB$6,0)+IF(EOMONTH(DATE(YEAR(Marketing!$AX$1),MONTH(Marketing!$AX$1),1)+INT((DAY(Marketing!$AX$1)-1)/2)+'Cash Drivers'!AY$7,0)=EOMONTH($CE$1,0),Marketing!AY$5*Marketing!AY$6,0)+IF(EOMONTH(DATE(YEAR(Marketing!$AU$1),MONTH(Marketing!$AU$1),1)+INT((DAY(Marketing!$AU$1)-1)/2)+'Cash Drivers'!AV$7,0)=EOMONTH($CE$1,0),Marketing!AV$5*Marketing!AV$6,0)+IF(EOMONTH(DATE(YEAR(Marketing!$AR$1),MONTH(Marketing!$AR$1),1)+INT((DAY(Marketing!$AR$1)-1)/2)+'Cash Drivers'!AS$7,0)=EOMONTH($CE$1,0),Marketing!AS$5*Marketing!AS$6,0)+IF(EOMONTH(DATE(YEAR(Marketing!$AO$1),MONTH(Marketing!$AO$1),1)+INT((DAY(Marketing!$AO$1)-1)/2)+'Cash Drivers'!AP$7,0)=EOMONTH($CE$1,0),Marketing!AP$5*Marketing!AP$6,0)+IF(EOMONTH(DATE(YEAR(Marketing!$AL$1),MONTH(Marketing!$AL$1),1)+INT((DAY(Marketing!$AL$1)-1)/2)+'Cash Drivers'!AM$7,0)=EOMONTH($CE$1,0),Marketing!AM$5*Marketing!AM$6,0)+IF(EOMONTH(DATE(YEAR(Marketing!$AI$1),MONTH(Marketing!$AI$1),1)+INT((DAY(Marketing!$AI$1)-1)/2)+'Cash Drivers'!AJ$7,0)=EOMONTH($CE$1,0),Marketing!AJ$5*Marketing!AJ$6,0)+IF(EOMONTH(DATE(YEAR(Marketing!$AF$1),MONTH(Marketing!$AF$1),1)+INT((DAY(Marketing!$AF$1)-1)/2)+'Cash Drivers'!AG$7,0)=EOMONTH($CE$1,0),Marketing!AG$5*Marketing!AG$6,0)+IF(EOMONTH(DATE(YEAR(Marketing!$AC$1),MONTH(Marketing!$AC$1),1)+INT((DAY(Marketing!$AC$1)-1)/2)+'Cash Drivers'!AD$7,0)=EOMONTH($CE$1,0),Marketing!AD$5*Marketing!AD$6,0)+IF(EOMONTH(DATE(YEAR(Marketing!$Z$1),MONTH(Marketing!$Z$1),1)+INT((DAY(Marketing!$Z$1)-1)/2)+'Cash Drivers'!AA$7,0)=EOMONTH($CE$1,0),Marketing!AA$5*Marketing!AA$6,0)+IF(EOMONTH(DATE(YEAR(Marketing!$W$1),MONTH(Marketing!$W$1),1)+INT((DAY(Marketing!$W$1)-1)/2)+'Cash Drivers'!X$7,0)=EOMONTH($CE$1,0),Marketing!X$5*Marketing!X$6,0)+IF(EOMONTH(DATE(YEAR(Marketing!$T$1),MONTH(Marketing!$T$1),1)+INT((DAY(Marketing!$T$1)-1)/2)+'Cash Drivers'!U$7,0)=EOMONTH($CE$1,0),Marketing!U$5*Marketing!U$6,0)+IF(EOMONTH(DATE(YEAR(Marketing!$Q$1),MONTH(Marketing!$Q$1),1)+INT((DAY(Marketing!$Q$1)-1)/2)+'Cash Drivers'!R$7,0)=EOMONTH($CE$1,0),Marketing!R$5*Marketing!R$6,0)+IF(EOMONTH(DATE(YEAR(Marketing!$N$1),MONTH(Marketing!$N$1),1)+INT((DAY(Marketing!$N$1)-1)/2)+'Cash Drivers'!O$7,0)=EOMONTH($CE$1,0),Marketing!O$5*Marketing!O$6,0)+IF(EOMONTH(DATE(YEAR(Marketing!$K$1),MONTH(Marketing!$K$1),1)+INT((DAY(Marketing!$K$1)-1)/2)+'Cash Drivers'!L$7,0)=EOMONTH($CE$1,0),Marketing!L$5*Marketing!L$6,0)+0,0))</f>
        <v>74</v>
      </c>
      <c r="CG7" s="87" t="n">
        <f aca="false">ROUND(IF(EOMONTH(DATE(YEAR(Marketing!$DL$1),MONTH(Marketing!$DL$1),1)+INT((DAY(Marketing!$DL$1)-1)/2)+'Cash Drivers'!DN$7,0)=EOMONTH($CE$1,0),Marketing!DN$5*Marketing!DN$6,0)+IF(EOMONTH(DATE(YEAR(Marketing!$DI$1),MONTH(Marketing!$DI$1),1)+INT((DAY(Marketing!$DI$1)-1)/2)+'Cash Drivers'!DK$7,0)=EOMONTH($CE$1,0),Marketing!DK$5*Marketing!DK$6,0)+IF(EOMONTH(DATE(YEAR(Marketing!$DF$1),MONTH(Marketing!$DF$1),1)+INT((DAY(Marketing!$DF$1)-1)/2)+'Cash Drivers'!DH$7,0)=EOMONTH($CE$1,0),Marketing!DH$5*Marketing!DH$6,0)+IF(EOMONTH(DATE(YEAR(Marketing!$DC$1),MONTH(Marketing!$DC$1),1)+INT((DAY(Marketing!$DC$1)-1)/2)+'Cash Drivers'!DE$7,0)=EOMONTH($CE$1,0),Marketing!DE$5*Marketing!DE$6,0)+IF(EOMONTH(DATE(YEAR(Marketing!$CZ$1),MONTH(Marketing!$CZ$1),1)+INT((DAY(Marketing!$CZ$1)-1)/2)+'Cash Drivers'!DB$7,0)=EOMONTH($CE$1,0),Marketing!DB$5*Marketing!DB$6,0)+IF(EOMONTH(DATE(YEAR(Marketing!$CW$1),MONTH(Marketing!$CW$1),1)+INT((DAY(Marketing!$CW$1)-1)/2)+'Cash Drivers'!CY$7,0)=EOMONTH($CE$1,0),Marketing!CY$5*Marketing!CY$6,0)+IF(EOMONTH(DATE(YEAR(Marketing!$CT$1),MONTH(Marketing!$CT$1),1)+INT((DAY(Marketing!$CT$1)-1)/2)+'Cash Drivers'!CV$7,0)=EOMONTH($CE$1,0),Marketing!CV$5*Marketing!CV$6,0)+IF(EOMONTH(DATE(YEAR(Marketing!$CQ$1),MONTH(Marketing!$CQ$1),1)+INT((DAY(Marketing!$CQ$1)-1)/2)+'Cash Drivers'!CS$7,0)=EOMONTH($CE$1,0),Marketing!CS$5*Marketing!CS$6,0)+IF(EOMONTH(DATE(YEAR(Marketing!$CN$1),MONTH(Marketing!$CN$1),1)+INT((DAY(Marketing!$CN$1)-1)/2)+'Cash Drivers'!CP$7,0)=EOMONTH($CE$1,0),Marketing!CP$5*Marketing!CP$6,0)+IF(EOMONTH(DATE(YEAR(Marketing!$CK$1),MONTH(Marketing!$CK$1),1)+INT((DAY(Marketing!$CK$1)-1)/2)+'Cash Drivers'!CM$7,0)=EOMONTH($CE$1,0),Marketing!CM$5*Marketing!CM$6,0)+IF(EOMONTH(DATE(YEAR(Marketing!$CH$1),MONTH(Marketing!$CH$1),1)+INT((DAY(Marketing!$CH$1)-1)/2)+'Cash Drivers'!CJ$7,0)=EOMONTH($CE$1,0),Marketing!CJ$5*Marketing!CJ$6,0)+IF(EOMONTH(DATE(YEAR(Marketing!$CE$1),MONTH(Marketing!$CE$1),1)+INT((DAY(Marketing!$CE$1)-1)/2)+'Cash Drivers'!CG$7,0)=EOMONTH($CE$1,0),Marketing!CG$5*Marketing!CG$6,0)+IF(EOMONTH(DATE(YEAR(Marketing!$CB$1),MONTH(Marketing!$CB$1),1)+INT((DAY(Marketing!$CB$1)-1)/2)+'Cash Drivers'!CD$7,0)=EOMONTH($CE$1,0),Marketing!CD$5*Marketing!CD$6,0)+IF(EOMONTH(DATE(YEAR(Marketing!$BY$1),MONTH(Marketing!$BY$1),1)+INT((DAY(Marketing!$BY$1)-1)/2)+'Cash Drivers'!CA$7,0)=EOMONTH($CE$1,0),Marketing!CA$5*Marketing!CA$6,0)+IF(EOMONTH(DATE(YEAR(Marketing!$BV$1),MONTH(Marketing!$BV$1),1)+INT((DAY(Marketing!$BV$1)-1)/2)+'Cash Drivers'!BX$7,0)=EOMONTH($CE$1,0),Marketing!BX$5*Marketing!BX$6,0)+IF(EOMONTH(DATE(YEAR(Marketing!$BS$1),MONTH(Marketing!$BS$1),1)+INT((DAY(Marketing!$BS$1)-1)/2)+'Cash Drivers'!BU$7,0)=EOMONTH($CE$1,0),Marketing!BU$5*Marketing!BU$6,0)+IF(EOMONTH(DATE(YEAR(Marketing!$BP$1),MONTH(Marketing!$BP$1),1)+INT((DAY(Marketing!$BP$1)-1)/2)+'Cash Drivers'!BR$7,0)=EOMONTH($CE$1,0),Marketing!BR$5*Marketing!BR$6,0)+IF(EOMONTH(DATE(YEAR(Marketing!$BM$1),MONTH(Marketing!$BM$1),1)+INT((DAY(Marketing!$BM$1)-1)/2)+'Cash Drivers'!BO$7,0)=EOMONTH($CE$1,0),Marketing!BO$5*Marketing!BO$6,0)+IF(EOMONTH(DATE(YEAR(Marketing!$BJ$1),MONTH(Marketing!$BJ$1),1)+INT((DAY(Marketing!$BJ$1)-1)/2)+'Cash Drivers'!BL$7,0)=EOMONTH($CE$1,0),Marketing!BL$5*Marketing!BL$6,0)+IF(EOMONTH(DATE(YEAR(Marketing!$BG$1),MONTH(Marketing!$BG$1),1)+INT((DAY(Marketing!$BG$1)-1)/2)+'Cash Drivers'!BI$7,0)=EOMONTH($CE$1,0),Marketing!BI$5*Marketing!BI$6,0)+IF(EOMONTH(DATE(YEAR(Marketing!$BD$1),MONTH(Marketing!$BD$1),1)+INT((DAY(Marketing!$BD$1)-1)/2)+'Cash Drivers'!BF$7,0)=EOMONTH($CE$1,0),Marketing!BF$5*Marketing!BF$6,0)+IF(EOMONTH(DATE(YEAR(Marketing!$BA$1),MONTH(Marketing!$BA$1),1)+INT((DAY(Marketing!$BA$1)-1)/2)+'Cash Drivers'!BC$7,0)=EOMONTH($CE$1,0),Marketing!BC$5*Marketing!BC$6,0)+IF(EOMONTH(DATE(YEAR(Marketing!$AX$1),MONTH(Marketing!$AX$1),1)+INT((DAY(Marketing!$AX$1)-1)/2)+'Cash Drivers'!AZ$7,0)=EOMONTH($CE$1,0),Marketing!AZ$5*Marketing!AZ$6,0)+IF(EOMONTH(DATE(YEAR(Marketing!$AU$1),MONTH(Marketing!$AU$1),1)+INT((DAY(Marketing!$AU$1)-1)/2)+'Cash Drivers'!AW$7,0)=EOMONTH($CE$1,0),Marketing!AW$5*Marketing!AW$6,0)+IF(EOMONTH(DATE(YEAR(Marketing!$AR$1),MONTH(Marketing!$AR$1),1)+INT((DAY(Marketing!$AR$1)-1)/2)+'Cash Drivers'!AT$7,0)=EOMONTH($CE$1,0),Marketing!AT$5*Marketing!AT$6,0)+IF(EOMONTH(DATE(YEAR(Marketing!$AO$1),MONTH(Marketing!$AO$1),1)+INT((DAY(Marketing!$AO$1)-1)/2)+'Cash Drivers'!AQ$7,0)=EOMONTH($CE$1,0),Marketing!AQ$5*Marketing!AQ$6,0)+IF(EOMONTH(DATE(YEAR(Marketing!$AL$1),MONTH(Marketing!$AL$1),1)+INT((DAY(Marketing!$AL$1)-1)/2)+'Cash Drivers'!AN$7,0)=EOMONTH($CE$1,0),Marketing!AN$5*Marketing!AN$6,0)+IF(EOMONTH(DATE(YEAR(Marketing!$AI$1),MONTH(Marketing!$AI$1),1)+INT((DAY(Marketing!$AI$1)-1)/2)+'Cash Drivers'!AK$7,0)=EOMONTH($CE$1,0),Marketing!AK$5*Marketing!AK$6,0)+IF(EOMONTH(DATE(YEAR(Marketing!$AF$1),MONTH(Marketing!$AF$1),1)+INT((DAY(Marketing!$AF$1)-1)/2)+'Cash Drivers'!AH$7,0)=EOMONTH($CE$1,0),Marketing!AH$5*Marketing!AH$6,0)+IF(EOMONTH(DATE(YEAR(Marketing!$AC$1),MONTH(Marketing!$AC$1),1)+INT((DAY(Marketing!$AC$1)-1)/2)+'Cash Drivers'!AE$7,0)=EOMONTH($CE$1,0),Marketing!AE$5*Marketing!AE$6,0)+IF(EOMONTH(DATE(YEAR(Marketing!$Z$1),MONTH(Marketing!$Z$1),1)+INT((DAY(Marketing!$Z$1)-1)/2)+'Cash Drivers'!AB$7,0)=EOMONTH($CE$1,0),Marketing!AB$5*Marketing!AB$6,0)+IF(EOMONTH(DATE(YEAR(Marketing!$W$1),MONTH(Marketing!$W$1),1)+INT((DAY(Marketing!$W$1)-1)/2)+'Cash Drivers'!Y$7,0)=EOMONTH($CE$1,0),Marketing!Y$5*Marketing!Y$6,0)+IF(EOMONTH(DATE(YEAR(Marketing!$T$1),MONTH(Marketing!$T$1),1)+INT((DAY(Marketing!$T$1)-1)/2)+'Cash Drivers'!V$7,0)=EOMONTH($CE$1,0),Marketing!V$5*Marketing!V$6,0)+IF(EOMONTH(DATE(YEAR(Marketing!$Q$1),MONTH(Marketing!$Q$1),1)+INT((DAY(Marketing!$Q$1)-1)/2)+'Cash Drivers'!S$7,0)=EOMONTH($CE$1,0),Marketing!S$5*Marketing!S$6,0)+IF(EOMONTH(DATE(YEAR(Marketing!$N$1),MONTH(Marketing!$N$1),1)+INT((DAY(Marketing!$N$1)-1)/2)+'Cash Drivers'!P$7,0)=EOMONTH($CE$1,0),Marketing!P$5*Marketing!P$6,0)+IF(EOMONTH(DATE(YEAR(Marketing!$K$1),MONTH(Marketing!$K$1),1)+INT((DAY(Marketing!$K$1)-1)/2)+'Cash Drivers'!M$7,0)=EOMONTH($CE$1,0),Marketing!M$5*Marketing!M$6,0)+0,0)</f>
        <v>74</v>
      </c>
      <c r="CH7" s="86"/>
      <c r="CI7" s="86" t="n">
        <f aca="false">IF('Cash Drivers'!CI$26,CH7,ROUND(IF(EOMONTH(DATE(YEAR(Marketing!$DL$1),MONTH(Marketing!$DL$1),1)+INT((DAY(Marketing!$DL$1)-1)/2)+'Cash Drivers'!DM$7,0)=EOMONTH($CH$1,0),Marketing!DM$5*Marketing!DM$6,0)+IF(EOMONTH(DATE(YEAR(Marketing!$DI$1),MONTH(Marketing!$DI$1),1)+INT((DAY(Marketing!$DI$1)-1)/2)+'Cash Drivers'!DJ$7,0)=EOMONTH($CH$1,0),Marketing!DJ$5*Marketing!DJ$6,0)+IF(EOMONTH(DATE(YEAR(Marketing!$DF$1),MONTH(Marketing!$DF$1),1)+INT((DAY(Marketing!$DF$1)-1)/2)+'Cash Drivers'!DG$7,0)=EOMONTH($CH$1,0),Marketing!DG$5*Marketing!DG$6,0)+IF(EOMONTH(DATE(YEAR(Marketing!$DC$1),MONTH(Marketing!$DC$1),1)+INT((DAY(Marketing!$DC$1)-1)/2)+'Cash Drivers'!DD$7,0)=EOMONTH($CH$1,0),Marketing!DD$5*Marketing!DD$6,0)+IF(EOMONTH(DATE(YEAR(Marketing!$CZ$1),MONTH(Marketing!$CZ$1),1)+INT((DAY(Marketing!$CZ$1)-1)/2)+'Cash Drivers'!DA$7,0)=EOMONTH($CH$1,0),Marketing!DA$5*Marketing!DA$6,0)+IF(EOMONTH(DATE(YEAR(Marketing!$CW$1),MONTH(Marketing!$CW$1),1)+INT((DAY(Marketing!$CW$1)-1)/2)+'Cash Drivers'!CX$7,0)=EOMONTH($CH$1,0),Marketing!CX$5*Marketing!CX$6,0)+IF(EOMONTH(DATE(YEAR(Marketing!$CT$1),MONTH(Marketing!$CT$1),1)+INT((DAY(Marketing!$CT$1)-1)/2)+'Cash Drivers'!CU$7,0)=EOMONTH($CH$1,0),Marketing!CU$5*Marketing!CU$6,0)+IF(EOMONTH(DATE(YEAR(Marketing!$CQ$1),MONTH(Marketing!$CQ$1),1)+INT((DAY(Marketing!$CQ$1)-1)/2)+'Cash Drivers'!CR$7,0)=EOMONTH($CH$1,0),Marketing!CR$5*Marketing!CR$6,0)+IF(EOMONTH(DATE(YEAR(Marketing!$CN$1),MONTH(Marketing!$CN$1),1)+INT((DAY(Marketing!$CN$1)-1)/2)+'Cash Drivers'!CO$7,0)=EOMONTH($CH$1,0),Marketing!CO$5*Marketing!CO$6,0)+IF(EOMONTH(DATE(YEAR(Marketing!$CK$1),MONTH(Marketing!$CK$1),1)+INT((DAY(Marketing!$CK$1)-1)/2)+'Cash Drivers'!CL$7,0)=EOMONTH($CH$1,0),Marketing!CL$5*Marketing!CL$6,0)+IF(EOMONTH(DATE(YEAR(Marketing!$CH$1),MONTH(Marketing!$CH$1),1)+INT((DAY(Marketing!$CH$1)-1)/2)+'Cash Drivers'!CI$7,0)=EOMONTH($CH$1,0),Marketing!CI$5*Marketing!CI$6,0)+IF(EOMONTH(DATE(YEAR(Marketing!$CE$1),MONTH(Marketing!$CE$1),1)+INT((DAY(Marketing!$CE$1)-1)/2)+'Cash Drivers'!CF$7,0)=EOMONTH($CH$1,0),Marketing!CF$5*Marketing!CF$6,0)+IF(EOMONTH(DATE(YEAR(Marketing!$CB$1),MONTH(Marketing!$CB$1),1)+INT((DAY(Marketing!$CB$1)-1)/2)+'Cash Drivers'!CC$7,0)=EOMONTH($CH$1,0),Marketing!CC$5*Marketing!CC$6,0)+IF(EOMONTH(DATE(YEAR(Marketing!$BY$1),MONTH(Marketing!$BY$1),1)+INT((DAY(Marketing!$BY$1)-1)/2)+'Cash Drivers'!BZ$7,0)=EOMONTH($CH$1,0),Marketing!BZ$5*Marketing!BZ$6,0)+IF(EOMONTH(DATE(YEAR(Marketing!$BV$1),MONTH(Marketing!$BV$1),1)+INT((DAY(Marketing!$BV$1)-1)/2)+'Cash Drivers'!BW$7,0)=EOMONTH($CH$1,0),Marketing!BW$5*Marketing!BW$6,0)+IF(EOMONTH(DATE(YEAR(Marketing!$BS$1),MONTH(Marketing!$BS$1),1)+INT((DAY(Marketing!$BS$1)-1)/2)+'Cash Drivers'!BT$7,0)=EOMONTH($CH$1,0),Marketing!BT$5*Marketing!BT$6,0)+IF(EOMONTH(DATE(YEAR(Marketing!$BP$1),MONTH(Marketing!$BP$1),1)+INT((DAY(Marketing!$BP$1)-1)/2)+'Cash Drivers'!BQ$7,0)=EOMONTH($CH$1,0),Marketing!BQ$5*Marketing!BQ$6,0)+IF(EOMONTH(DATE(YEAR(Marketing!$BM$1),MONTH(Marketing!$BM$1),1)+INT((DAY(Marketing!$BM$1)-1)/2)+'Cash Drivers'!BN$7,0)=EOMONTH($CH$1,0),Marketing!BN$5*Marketing!BN$6,0)+IF(EOMONTH(DATE(YEAR(Marketing!$BJ$1),MONTH(Marketing!$BJ$1),1)+INT((DAY(Marketing!$BJ$1)-1)/2)+'Cash Drivers'!BK$7,0)=EOMONTH($CH$1,0),Marketing!BK$5*Marketing!BK$6,0)+IF(EOMONTH(DATE(YEAR(Marketing!$BG$1),MONTH(Marketing!$BG$1),1)+INT((DAY(Marketing!$BG$1)-1)/2)+'Cash Drivers'!BH$7,0)=EOMONTH($CH$1,0),Marketing!BH$5*Marketing!BH$6,0)+IF(EOMONTH(DATE(YEAR(Marketing!$BD$1),MONTH(Marketing!$BD$1),1)+INT((DAY(Marketing!$BD$1)-1)/2)+'Cash Drivers'!BE$7,0)=EOMONTH($CH$1,0),Marketing!BE$5*Marketing!BE$6,0)+IF(EOMONTH(DATE(YEAR(Marketing!$BA$1),MONTH(Marketing!$BA$1),1)+INT((DAY(Marketing!$BA$1)-1)/2)+'Cash Drivers'!BB$7,0)=EOMONTH($CH$1,0),Marketing!BB$5*Marketing!BB$6,0)+IF(EOMONTH(DATE(YEAR(Marketing!$AX$1),MONTH(Marketing!$AX$1),1)+INT((DAY(Marketing!$AX$1)-1)/2)+'Cash Drivers'!AY$7,0)=EOMONTH($CH$1,0),Marketing!AY$5*Marketing!AY$6,0)+IF(EOMONTH(DATE(YEAR(Marketing!$AU$1),MONTH(Marketing!$AU$1),1)+INT((DAY(Marketing!$AU$1)-1)/2)+'Cash Drivers'!AV$7,0)=EOMONTH($CH$1,0),Marketing!AV$5*Marketing!AV$6,0)+IF(EOMONTH(DATE(YEAR(Marketing!$AR$1),MONTH(Marketing!$AR$1),1)+INT((DAY(Marketing!$AR$1)-1)/2)+'Cash Drivers'!AS$7,0)=EOMONTH($CH$1,0),Marketing!AS$5*Marketing!AS$6,0)+IF(EOMONTH(DATE(YEAR(Marketing!$AO$1),MONTH(Marketing!$AO$1),1)+INT((DAY(Marketing!$AO$1)-1)/2)+'Cash Drivers'!AP$7,0)=EOMONTH($CH$1,0),Marketing!AP$5*Marketing!AP$6,0)+IF(EOMONTH(DATE(YEAR(Marketing!$AL$1),MONTH(Marketing!$AL$1),1)+INT((DAY(Marketing!$AL$1)-1)/2)+'Cash Drivers'!AM$7,0)=EOMONTH($CH$1,0),Marketing!AM$5*Marketing!AM$6,0)+IF(EOMONTH(DATE(YEAR(Marketing!$AI$1),MONTH(Marketing!$AI$1),1)+INT((DAY(Marketing!$AI$1)-1)/2)+'Cash Drivers'!AJ$7,0)=EOMONTH($CH$1,0),Marketing!AJ$5*Marketing!AJ$6,0)+IF(EOMONTH(DATE(YEAR(Marketing!$AF$1),MONTH(Marketing!$AF$1),1)+INT((DAY(Marketing!$AF$1)-1)/2)+'Cash Drivers'!AG$7,0)=EOMONTH($CH$1,0),Marketing!AG$5*Marketing!AG$6,0)+IF(EOMONTH(DATE(YEAR(Marketing!$AC$1),MONTH(Marketing!$AC$1),1)+INT((DAY(Marketing!$AC$1)-1)/2)+'Cash Drivers'!AD$7,0)=EOMONTH($CH$1,0),Marketing!AD$5*Marketing!AD$6,0)+IF(EOMONTH(DATE(YEAR(Marketing!$Z$1),MONTH(Marketing!$Z$1),1)+INT((DAY(Marketing!$Z$1)-1)/2)+'Cash Drivers'!AA$7,0)=EOMONTH($CH$1,0),Marketing!AA$5*Marketing!AA$6,0)+IF(EOMONTH(DATE(YEAR(Marketing!$W$1),MONTH(Marketing!$W$1),1)+INT((DAY(Marketing!$W$1)-1)/2)+'Cash Drivers'!X$7,0)=EOMONTH($CH$1,0),Marketing!X$5*Marketing!X$6,0)+IF(EOMONTH(DATE(YEAR(Marketing!$T$1),MONTH(Marketing!$T$1),1)+INT((DAY(Marketing!$T$1)-1)/2)+'Cash Drivers'!U$7,0)=EOMONTH($CH$1,0),Marketing!U$5*Marketing!U$6,0)+IF(EOMONTH(DATE(YEAR(Marketing!$Q$1),MONTH(Marketing!$Q$1),1)+INT((DAY(Marketing!$Q$1)-1)/2)+'Cash Drivers'!R$7,0)=EOMONTH($CH$1,0),Marketing!R$5*Marketing!R$6,0)+IF(EOMONTH(DATE(YEAR(Marketing!$N$1),MONTH(Marketing!$N$1),1)+INT((DAY(Marketing!$N$1)-1)/2)+'Cash Drivers'!O$7,0)=EOMONTH($CH$1,0),Marketing!O$5*Marketing!O$6,0)+IF(EOMONTH(DATE(YEAR(Marketing!$K$1),MONTH(Marketing!$K$1),1)+INT((DAY(Marketing!$K$1)-1)/2)+'Cash Drivers'!L$7,0)=EOMONTH($CH$1,0),Marketing!L$5*Marketing!L$6,0)+0,0))</f>
        <v>74</v>
      </c>
      <c r="CJ7" s="86" t="n">
        <f aca="false">ROUND(IF(EOMONTH(DATE(YEAR(Marketing!$DL$1),MONTH(Marketing!$DL$1),1)+INT((DAY(Marketing!$DL$1)-1)/2)+'Cash Drivers'!DN$7,0)=EOMONTH($CH$1,0),Marketing!DN$5*Marketing!DN$6,0)+IF(EOMONTH(DATE(YEAR(Marketing!$DI$1),MONTH(Marketing!$DI$1),1)+INT((DAY(Marketing!$DI$1)-1)/2)+'Cash Drivers'!DK$7,0)=EOMONTH($CH$1,0),Marketing!DK$5*Marketing!DK$6,0)+IF(EOMONTH(DATE(YEAR(Marketing!$DF$1),MONTH(Marketing!$DF$1),1)+INT((DAY(Marketing!$DF$1)-1)/2)+'Cash Drivers'!DH$7,0)=EOMONTH($CH$1,0),Marketing!DH$5*Marketing!DH$6,0)+IF(EOMONTH(DATE(YEAR(Marketing!$DC$1),MONTH(Marketing!$DC$1),1)+INT((DAY(Marketing!$DC$1)-1)/2)+'Cash Drivers'!DE$7,0)=EOMONTH($CH$1,0),Marketing!DE$5*Marketing!DE$6,0)+IF(EOMONTH(DATE(YEAR(Marketing!$CZ$1),MONTH(Marketing!$CZ$1),1)+INT((DAY(Marketing!$CZ$1)-1)/2)+'Cash Drivers'!DB$7,0)=EOMONTH($CH$1,0),Marketing!DB$5*Marketing!DB$6,0)+IF(EOMONTH(DATE(YEAR(Marketing!$CW$1),MONTH(Marketing!$CW$1),1)+INT((DAY(Marketing!$CW$1)-1)/2)+'Cash Drivers'!CY$7,0)=EOMONTH($CH$1,0),Marketing!CY$5*Marketing!CY$6,0)+IF(EOMONTH(DATE(YEAR(Marketing!$CT$1),MONTH(Marketing!$CT$1),1)+INT((DAY(Marketing!$CT$1)-1)/2)+'Cash Drivers'!CV$7,0)=EOMONTH($CH$1,0),Marketing!CV$5*Marketing!CV$6,0)+IF(EOMONTH(DATE(YEAR(Marketing!$CQ$1),MONTH(Marketing!$CQ$1),1)+INT((DAY(Marketing!$CQ$1)-1)/2)+'Cash Drivers'!CS$7,0)=EOMONTH($CH$1,0),Marketing!CS$5*Marketing!CS$6,0)+IF(EOMONTH(DATE(YEAR(Marketing!$CN$1),MONTH(Marketing!$CN$1),1)+INT((DAY(Marketing!$CN$1)-1)/2)+'Cash Drivers'!CP$7,0)=EOMONTH($CH$1,0),Marketing!CP$5*Marketing!CP$6,0)+IF(EOMONTH(DATE(YEAR(Marketing!$CK$1),MONTH(Marketing!$CK$1),1)+INT((DAY(Marketing!$CK$1)-1)/2)+'Cash Drivers'!CM$7,0)=EOMONTH($CH$1,0),Marketing!CM$5*Marketing!CM$6,0)+IF(EOMONTH(DATE(YEAR(Marketing!$CH$1),MONTH(Marketing!$CH$1),1)+INT((DAY(Marketing!$CH$1)-1)/2)+'Cash Drivers'!CJ$7,0)=EOMONTH($CH$1,0),Marketing!CJ$5*Marketing!CJ$6,0)+IF(EOMONTH(DATE(YEAR(Marketing!$CE$1),MONTH(Marketing!$CE$1),1)+INT((DAY(Marketing!$CE$1)-1)/2)+'Cash Drivers'!CG$7,0)=EOMONTH($CH$1,0),Marketing!CG$5*Marketing!CG$6,0)+IF(EOMONTH(DATE(YEAR(Marketing!$CB$1),MONTH(Marketing!$CB$1),1)+INT((DAY(Marketing!$CB$1)-1)/2)+'Cash Drivers'!CD$7,0)=EOMONTH($CH$1,0),Marketing!CD$5*Marketing!CD$6,0)+IF(EOMONTH(DATE(YEAR(Marketing!$BY$1),MONTH(Marketing!$BY$1),1)+INT((DAY(Marketing!$BY$1)-1)/2)+'Cash Drivers'!CA$7,0)=EOMONTH($CH$1,0),Marketing!CA$5*Marketing!CA$6,0)+IF(EOMONTH(DATE(YEAR(Marketing!$BV$1),MONTH(Marketing!$BV$1),1)+INT((DAY(Marketing!$BV$1)-1)/2)+'Cash Drivers'!BX$7,0)=EOMONTH($CH$1,0),Marketing!BX$5*Marketing!BX$6,0)+IF(EOMONTH(DATE(YEAR(Marketing!$BS$1),MONTH(Marketing!$BS$1),1)+INT((DAY(Marketing!$BS$1)-1)/2)+'Cash Drivers'!BU$7,0)=EOMONTH($CH$1,0),Marketing!BU$5*Marketing!BU$6,0)+IF(EOMONTH(DATE(YEAR(Marketing!$BP$1),MONTH(Marketing!$BP$1),1)+INT((DAY(Marketing!$BP$1)-1)/2)+'Cash Drivers'!BR$7,0)=EOMONTH($CH$1,0),Marketing!BR$5*Marketing!BR$6,0)+IF(EOMONTH(DATE(YEAR(Marketing!$BM$1),MONTH(Marketing!$BM$1),1)+INT((DAY(Marketing!$BM$1)-1)/2)+'Cash Drivers'!BO$7,0)=EOMONTH($CH$1,0),Marketing!BO$5*Marketing!BO$6,0)+IF(EOMONTH(DATE(YEAR(Marketing!$BJ$1),MONTH(Marketing!$BJ$1),1)+INT((DAY(Marketing!$BJ$1)-1)/2)+'Cash Drivers'!BL$7,0)=EOMONTH($CH$1,0),Marketing!BL$5*Marketing!BL$6,0)+IF(EOMONTH(DATE(YEAR(Marketing!$BG$1),MONTH(Marketing!$BG$1),1)+INT((DAY(Marketing!$BG$1)-1)/2)+'Cash Drivers'!BI$7,0)=EOMONTH($CH$1,0),Marketing!BI$5*Marketing!BI$6,0)+IF(EOMONTH(DATE(YEAR(Marketing!$BD$1),MONTH(Marketing!$BD$1),1)+INT((DAY(Marketing!$BD$1)-1)/2)+'Cash Drivers'!BF$7,0)=EOMONTH($CH$1,0),Marketing!BF$5*Marketing!BF$6,0)+IF(EOMONTH(DATE(YEAR(Marketing!$BA$1),MONTH(Marketing!$BA$1),1)+INT((DAY(Marketing!$BA$1)-1)/2)+'Cash Drivers'!BC$7,0)=EOMONTH($CH$1,0),Marketing!BC$5*Marketing!BC$6,0)+IF(EOMONTH(DATE(YEAR(Marketing!$AX$1),MONTH(Marketing!$AX$1),1)+INT((DAY(Marketing!$AX$1)-1)/2)+'Cash Drivers'!AZ$7,0)=EOMONTH($CH$1,0),Marketing!AZ$5*Marketing!AZ$6,0)+IF(EOMONTH(DATE(YEAR(Marketing!$AU$1),MONTH(Marketing!$AU$1),1)+INT((DAY(Marketing!$AU$1)-1)/2)+'Cash Drivers'!AW$7,0)=EOMONTH($CH$1,0),Marketing!AW$5*Marketing!AW$6,0)+IF(EOMONTH(DATE(YEAR(Marketing!$AR$1),MONTH(Marketing!$AR$1),1)+INT((DAY(Marketing!$AR$1)-1)/2)+'Cash Drivers'!AT$7,0)=EOMONTH($CH$1,0),Marketing!AT$5*Marketing!AT$6,0)+IF(EOMONTH(DATE(YEAR(Marketing!$AO$1),MONTH(Marketing!$AO$1),1)+INT((DAY(Marketing!$AO$1)-1)/2)+'Cash Drivers'!AQ$7,0)=EOMONTH($CH$1,0),Marketing!AQ$5*Marketing!AQ$6,0)+IF(EOMONTH(DATE(YEAR(Marketing!$AL$1),MONTH(Marketing!$AL$1),1)+INT((DAY(Marketing!$AL$1)-1)/2)+'Cash Drivers'!AN$7,0)=EOMONTH($CH$1,0),Marketing!AN$5*Marketing!AN$6,0)+IF(EOMONTH(DATE(YEAR(Marketing!$AI$1),MONTH(Marketing!$AI$1),1)+INT((DAY(Marketing!$AI$1)-1)/2)+'Cash Drivers'!AK$7,0)=EOMONTH($CH$1,0),Marketing!AK$5*Marketing!AK$6,0)+IF(EOMONTH(DATE(YEAR(Marketing!$AF$1),MONTH(Marketing!$AF$1),1)+INT((DAY(Marketing!$AF$1)-1)/2)+'Cash Drivers'!AH$7,0)=EOMONTH($CH$1,0),Marketing!AH$5*Marketing!AH$6,0)+IF(EOMONTH(DATE(YEAR(Marketing!$AC$1),MONTH(Marketing!$AC$1),1)+INT((DAY(Marketing!$AC$1)-1)/2)+'Cash Drivers'!AE$7,0)=EOMONTH($CH$1,0),Marketing!AE$5*Marketing!AE$6,0)+IF(EOMONTH(DATE(YEAR(Marketing!$Z$1),MONTH(Marketing!$Z$1),1)+INT((DAY(Marketing!$Z$1)-1)/2)+'Cash Drivers'!AB$7,0)=EOMONTH($CH$1,0),Marketing!AB$5*Marketing!AB$6,0)+IF(EOMONTH(DATE(YEAR(Marketing!$W$1),MONTH(Marketing!$W$1),1)+INT((DAY(Marketing!$W$1)-1)/2)+'Cash Drivers'!Y$7,0)=EOMONTH($CH$1,0),Marketing!Y$5*Marketing!Y$6,0)+IF(EOMONTH(DATE(YEAR(Marketing!$T$1),MONTH(Marketing!$T$1),1)+INT((DAY(Marketing!$T$1)-1)/2)+'Cash Drivers'!V$7,0)=EOMONTH($CH$1,0),Marketing!V$5*Marketing!V$6,0)+IF(EOMONTH(DATE(YEAR(Marketing!$Q$1),MONTH(Marketing!$Q$1),1)+INT((DAY(Marketing!$Q$1)-1)/2)+'Cash Drivers'!S$7,0)=EOMONTH($CH$1,0),Marketing!S$5*Marketing!S$6,0)+IF(EOMONTH(DATE(YEAR(Marketing!$N$1),MONTH(Marketing!$N$1),1)+INT((DAY(Marketing!$N$1)-1)/2)+'Cash Drivers'!P$7,0)=EOMONTH($CH$1,0),Marketing!P$5*Marketing!P$6,0)+IF(EOMONTH(DATE(YEAR(Marketing!$K$1),MONTH(Marketing!$K$1),1)+INT((DAY(Marketing!$K$1)-1)/2)+'Cash Drivers'!M$7,0)=EOMONTH($CH$1,0),Marketing!M$5*Marketing!M$6,0)+0,0)</f>
        <v>74</v>
      </c>
      <c r="CK7" s="87"/>
      <c r="CL7" s="87" t="n">
        <f aca="false">IF('Cash Drivers'!CL$26,CK7,ROUND(IF(EOMONTH(DATE(YEAR(Marketing!$DL$1),MONTH(Marketing!$DL$1),1)+INT((DAY(Marketing!$DL$1)-1)/2)+'Cash Drivers'!DM$7,0)=EOMONTH($CK$1,0),Marketing!DM$5*Marketing!DM$6,0)+IF(EOMONTH(DATE(YEAR(Marketing!$DI$1),MONTH(Marketing!$DI$1),1)+INT((DAY(Marketing!$DI$1)-1)/2)+'Cash Drivers'!DJ$7,0)=EOMONTH($CK$1,0),Marketing!DJ$5*Marketing!DJ$6,0)+IF(EOMONTH(DATE(YEAR(Marketing!$DF$1),MONTH(Marketing!$DF$1),1)+INT((DAY(Marketing!$DF$1)-1)/2)+'Cash Drivers'!DG$7,0)=EOMONTH($CK$1,0),Marketing!DG$5*Marketing!DG$6,0)+IF(EOMONTH(DATE(YEAR(Marketing!$DC$1),MONTH(Marketing!$DC$1),1)+INT((DAY(Marketing!$DC$1)-1)/2)+'Cash Drivers'!DD$7,0)=EOMONTH($CK$1,0),Marketing!DD$5*Marketing!DD$6,0)+IF(EOMONTH(DATE(YEAR(Marketing!$CZ$1),MONTH(Marketing!$CZ$1),1)+INT((DAY(Marketing!$CZ$1)-1)/2)+'Cash Drivers'!DA$7,0)=EOMONTH($CK$1,0),Marketing!DA$5*Marketing!DA$6,0)+IF(EOMONTH(DATE(YEAR(Marketing!$CW$1),MONTH(Marketing!$CW$1),1)+INT((DAY(Marketing!$CW$1)-1)/2)+'Cash Drivers'!CX$7,0)=EOMONTH($CK$1,0),Marketing!CX$5*Marketing!CX$6,0)+IF(EOMONTH(DATE(YEAR(Marketing!$CT$1),MONTH(Marketing!$CT$1),1)+INT((DAY(Marketing!$CT$1)-1)/2)+'Cash Drivers'!CU$7,0)=EOMONTH($CK$1,0),Marketing!CU$5*Marketing!CU$6,0)+IF(EOMONTH(DATE(YEAR(Marketing!$CQ$1),MONTH(Marketing!$CQ$1),1)+INT((DAY(Marketing!$CQ$1)-1)/2)+'Cash Drivers'!CR$7,0)=EOMONTH($CK$1,0),Marketing!CR$5*Marketing!CR$6,0)+IF(EOMONTH(DATE(YEAR(Marketing!$CN$1),MONTH(Marketing!$CN$1),1)+INT((DAY(Marketing!$CN$1)-1)/2)+'Cash Drivers'!CO$7,0)=EOMONTH($CK$1,0),Marketing!CO$5*Marketing!CO$6,0)+IF(EOMONTH(DATE(YEAR(Marketing!$CK$1),MONTH(Marketing!$CK$1),1)+INT((DAY(Marketing!$CK$1)-1)/2)+'Cash Drivers'!CL$7,0)=EOMONTH($CK$1,0),Marketing!CL$5*Marketing!CL$6,0)+IF(EOMONTH(DATE(YEAR(Marketing!$CH$1),MONTH(Marketing!$CH$1),1)+INT((DAY(Marketing!$CH$1)-1)/2)+'Cash Drivers'!CI$7,0)=EOMONTH($CK$1,0),Marketing!CI$5*Marketing!CI$6,0)+IF(EOMONTH(DATE(YEAR(Marketing!$CE$1),MONTH(Marketing!$CE$1),1)+INT((DAY(Marketing!$CE$1)-1)/2)+'Cash Drivers'!CF$7,0)=EOMONTH($CK$1,0),Marketing!CF$5*Marketing!CF$6,0)+IF(EOMONTH(DATE(YEAR(Marketing!$CB$1),MONTH(Marketing!$CB$1),1)+INT((DAY(Marketing!$CB$1)-1)/2)+'Cash Drivers'!CC$7,0)=EOMONTH($CK$1,0),Marketing!CC$5*Marketing!CC$6,0)+IF(EOMONTH(DATE(YEAR(Marketing!$BY$1),MONTH(Marketing!$BY$1),1)+INT((DAY(Marketing!$BY$1)-1)/2)+'Cash Drivers'!BZ$7,0)=EOMONTH($CK$1,0),Marketing!BZ$5*Marketing!BZ$6,0)+IF(EOMONTH(DATE(YEAR(Marketing!$BV$1),MONTH(Marketing!$BV$1),1)+INT((DAY(Marketing!$BV$1)-1)/2)+'Cash Drivers'!BW$7,0)=EOMONTH($CK$1,0),Marketing!BW$5*Marketing!BW$6,0)+IF(EOMONTH(DATE(YEAR(Marketing!$BS$1),MONTH(Marketing!$BS$1),1)+INT((DAY(Marketing!$BS$1)-1)/2)+'Cash Drivers'!BT$7,0)=EOMONTH($CK$1,0),Marketing!BT$5*Marketing!BT$6,0)+IF(EOMONTH(DATE(YEAR(Marketing!$BP$1),MONTH(Marketing!$BP$1),1)+INT((DAY(Marketing!$BP$1)-1)/2)+'Cash Drivers'!BQ$7,0)=EOMONTH($CK$1,0),Marketing!BQ$5*Marketing!BQ$6,0)+IF(EOMONTH(DATE(YEAR(Marketing!$BM$1),MONTH(Marketing!$BM$1),1)+INT((DAY(Marketing!$BM$1)-1)/2)+'Cash Drivers'!BN$7,0)=EOMONTH($CK$1,0),Marketing!BN$5*Marketing!BN$6,0)+IF(EOMONTH(DATE(YEAR(Marketing!$BJ$1),MONTH(Marketing!$BJ$1),1)+INT((DAY(Marketing!$BJ$1)-1)/2)+'Cash Drivers'!BK$7,0)=EOMONTH($CK$1,0),Marketing!BK$5*Marketing!BK$6,0)+IF(EOMONTH(DATE(YEAR(Marketing!$BG$1),MONTH(Marketing!$BG$1),1)+INT((DAY(Marketing!$BG$1)-1)/2)+'Cash Drivers'!BH$7,0)=EOMONTH($CK$1,0),Marketing!BH$5*Marketing!BH$6,0)+IF(EOMONTH(DATE(YEAR(Marketing!$BD$1),MONTH(Marketing!$BD$1),1)+INT((DAY(Marketing!$BD$1)-1)/2)+'Cash Drivers'!BE$7,0)=EOMONTH($CK$1,0),Marketing!BE$5*Marketing!BE$6,0)+IF(EOMONTH(DATE(YEAR(Marketing!$BA$1),MONTH(Marketing!$BA$1),1)+INT((DAY(Marketing!$BA$1)-1)/2)+'Cash Drivers'!BB$7,0)=EOMONTH($CK$1,0),Marketing!BB$5*Marketing!BB$6,0)+IF(EOMONTH(DATE(YEAR(Marketing!$AX$1),MONTH(Marketing!$AX$1),1)+INT((DAY(Marketing!$AX$1)-1)/2)+'Cash Drivers'!AY$7,0)=EOMONTH($CK$1,0),Marketing!AY$5*Marketing!AY$6,0)+IF(EOMONTH(DATE(YEAR(Marketing!$AU$1),MONTH(Marketing!$AU$1),1)+INT((DAY(Marketing!$AU$1)-1)/2)+'Cash Drivers'!AV$7,0)=EOMONTH($CK$1,0),Marketing!AV$5*Marketing!AV$6,0)+IF(EOMONTH(DATE(YEAR(Marketing!$AR$1),MONTH(Marketing!$AR$1),1)+INT((DAY(Marketing!$AR$1)-1)/2)+'Cash Drivers'!AS$7,0)=EOMONTH($CK$1,0),Marketing!AS$5*Marketing!AS$6,0)+IF(EOMONTH(DATE(YEAR(Marketing!$AO$1),MONTH(Marketing!$AO$1),1)+INT((DAY(Marketing!$AO$1)-1)/2)+'Cash Drivers'!AP$7,0)=EOMONTH($CK$1,0),Marketing!AP$5*Marketing!AP$6,0)+IF(EOMONTH(DATE(YEAR(Marketing!$AL$1),MONTH(Marketing!$AL$1),1)+INT((DAY(Marketing!$AL$1)-1)/2)+'Cash Drivers'!AM$7,0)=EOMONTH($CK$1,0),Marketing!AM$5*Marketing!AM$6,0)+IF(EOMONTH(DATE(YEAR(Marketing!$AI$1),MONTH(Marketing!$AI$1),1)+INT((DAY(Marketing!$AI$1)-1)/2)+'Cash Drivers'!AJ$7,0)=EOMONTH($CK$1,0),Marketing!AJ$5*Marketing!AJ$6,0)+IF(EOMONTH(DATE(YEAR(Marketing!$AF$1),MONTH(Marketing!$AF$1),1)+INT((DAY(Marketing!$AF$1)-1)/2)+'Cash Drivers'!AG$7,0)=EOMONTH($CK$1,0),Marketing!AG$5*Marketing!AG$6,0)+IF(EOMONTH(DATE(YEAR(Marketing!$AC$1),MONTH(Marketing!$AC$1),1)+INT((DAY(Marketing!$AC$1)-1)/2)+'Cash Drivers'!AD$7,0)=EOMONTH($CK$1,0),Marketing!AD$5*Marketing!AD$6,0)+IF(EOMONTH(DATE(YEAR(Marketing!$Z$1),MONTH(Marketing!$Z$1),1)+INT((DAY(Marketing!$Z$1)-1)/2)+'Cash Drivers'!AA$7,0)=EOMONTH($CK$1,0),Marketing!AA$5*Marketing!AA$6,0)+IF(EOMONTH(DATE(YEAR(Marketing!$W$1),MONTH(Marketing!$W$1),1)+INT((DAY(Marketing!$W$1)-1)/2)+'Cash Drivers'!X$7,0)=EOMONTH($CK$1,0),Marketing!X$5*Marketing!X$6,0)+IF(EOMONTH(DATE(YEAR(Marketing!$T$1),MONTH(Marketing!$T$1),1)+INT((DAY(Marketing!$T$1)-1)/2)+'Cash Drivers'!U$7,0)=EOMONTH($CK$1,0),Marketing!U$5*Marketing!U$6,0)+IF(EOMONTH(DATE(YEAR(Marketing!$Q$1),MONTH(Marketing!$Q$1),1)+INT((DAY(Marketing!$Q$1)-1)/2)+'Cash Drivers'!R$7,0)=EOMONTH($CK$1,0),Marketing!R$5*Marketing!R$6,0)+IF(EOMONTH(DATE(YEAR(Marketing!$N$1),MONTH(Marketing!$N$1),1)+INT((DAY(Marketing!$N$1)-1)/2)+'Cash Drivers'!O$7,0)=EOMONTH($CK$1,0),Marketing!O$5*Marketing!O$6,0)+IF(EOMONTH(DATE(YEAR(Marketing!$K$1),MONTH(Marketing!$K$1),1)+INT((DAY(Marketing!$K$1)-1)/2)+'Cash Drivers'!L$7,0)=EOMONTH($CK$1,0),Marketing!L$5*Marketing!L$6,0)+0,0))</f>
        <v>74</v>
      </c>
      <c r="CM7" s="87" t="n">
        <f aca="false">ROUND(IF(EOMONTH(DATE(YEAR(Marketing!$DL$1),MONTH(Marketing!$DL$1),1)+INT((DAY(Marketing!$DL$1)-1)/2)+'Cash Drivers'!DN$7,0)=EOMONTH($CK$1,0),Marketing!DN$5*Marketing!DN$6,0)+IF(EOMONTH(DATE(YEAR(Marketing!$DI$1),MONTH(Marketing!$DI$1),1)+INT((DAY(Marketing!$DI$1)-1)/2)+'Cash Drivers'!DK$7,0)=EOMONTH($CK$1,0),Marketing!DK$5*Marketing!DK$6,0)+IF(EOMONTH(DATE(YEAR(Marketing!$DF$1),MONTH(Marketing!$DF$1),1)+INT((DAY(Marketing!$DF$1)-1)/2)+'Cash Drivers'!DH$7,0)=EOMONTH($CK$1,0),Marketing!DH$5*Marketing!DH$6,0)+IF(EOMONTH(DATE(YEAR(Marketing!$DC$1),MONTH(Marketing!$DC$1),1)+INT((DAY(Marketing!$DC$1)-1)/2)+'Cash Drivers'!DE$7,0)=EOMONTH($CK$1,0),Marketing!DE$5*Marketing!DE$6,0)+IF(EOMONTH(DATE(YEAR(Marketing!$CZ$1),MONTH(Marketing!$CZ$1),1)+INT((DAY(Marketing!$CZ$1)-1)/2)+'Cash Drivers'!DB$7,0)=EOMONTH($CK$1,0),Marketing!DB$5*Marketing!DB$6,0)+IF(EOMONTH(DATE(YEAR(Marketing!$CW$1),MONTH(Marketing!$CW$1),1)+INT((DAY(Marketing!$CW$1)-1)/2)+'Cash Drivers'!CY$7,0)=EOMONTH($CK$1,0),Marketing!CY$5*Marketing!CY$6,0)+IF(EOMONTH(DATE(YEAR(Marketing!$CT$1),MONTH(Marketing!$CT$1),1)+INT((DAY(Marketing!$CT$1)-1)/2)+'Cash Drivers'!CV$7,0)=EOMONTH($CK$1,0),Marketing!CV$5*Marketing!CV$6,0)+IF(EOMONTH(DATE(YEAR(Marketing!$CQ$1),MONTH(Marketing!$CQ$1),1)+INT((DAY(Marketing!$CQ$1)-1)/2)+'Cash Drivers'!CS$7,0)=EOMONTH($CK$1,0),Marketing!CS$5*Marketing!CS$6,0)+IF(EOMONTH(DATE(YEAR(Marketing!$CN$1),MONTH(Marketing!$CN$1),1)+INT((DAY(Marketing!$CN$1)-1)/2)+'Cash Drivers'!CP$7,0)=EOMONTH($CK$1,0),Marketing!CP$5*Marketing!CP$6,0)+IF(EOMONTH(DATE(YEAR(Marketing!$CK$1),MONTH(Marketing!$CK$1),1)+INT((DAY(Marketing!$CK$1)-1)/2)+'Cash Drivers'!CM$7,0)=EOMONTH($CK$1,0),Marketing!CM$5*Marketing!CM$6,0)+IF(EOMONTH(DATE(YEAR(Marketing!$CH$1),MONTH(Marketing!$CH$1),1)+INT((DAY(Marketing!$CH$1)-1)/2)+'Cash Drivers'!CJ$7,0)=EOMONTH($CK$1,0),Marketing!CJ$5*Marketing!CJ$6,0)+IF(EOMONTH(DATE(YEAR(Marketing!$CE$1),MONTH(Marketing!$CE$1),1)+INT((DAY(Marketing!$CE$1)-1)/2)+'Cash Drivers'!CG$7,0)=EOMONTH($CK$1,0),Marketing!CG$5*Marketing!CG$6,0)+IF(EOMONTH(DATE(YEAR(Marketing!$CB$1),MONTH(Marketing!$CB$1),1)+INT((DAY(Marketing!$CB$1)-1)/2)+'Cash Drivers'!CD$7,0)=EOMONTH($CK$1,0),Marketing!CD$5*Marketing!CD$6,0)+IF(EOMONTH(DATE(YEAR(Marketing!$BY$1),MONTH(Marketing!$BY$1),1)+INT((DAY(Marketing!$BY$1)-1)/2)+'Cash Drivers'!CA$7,0)=EOMONTH($CK$1,0),Marketing!CA$5*Marketing!CA$6,0)+IF(EOMONTH(DATE(YEAR(Marketing!$BV$1),MONTH(Marketing!$BV$1),1)+INT((DAY(Marketing!$BV$1)-1)/2)+'Cash Drivers'!BX$7,0)=EOMONTH($CK$1,0),Marketing!BX$5*Marketing!BX$6,0)+IF(EOMONTH(DATE(YEAR(Marketing!$BS$1),MONTH(Marketing!$BS$1),1)+INT((DAY(Marketing!$BS$1)-1)/2)+'Cash Drivers'!BU$7,0)=EOMONTH($CK$1,0),Marketing!BU$5*Marketing!BU$6,0)+IF(EOMONTH(DATE(YEAR(Marketing!$BP$1),MONTH(Marketing!$BP$1),1)+INT((DAY(Marketing!$BP$1)-1)/2)+'Cash Drivers'!BR$7,0)=EOMONTH($CK$1,0),Marketing!BR$5*Marketing!BR$6,0)+IF(EOMONTH(DATE(YEAR(Marketing!$BM$1),MONTH(Marketing!$BM$1),1)+INT((DAY(Marketing!$BM$1)-1)/2)+'Cash Drivers'!BO$7,0)=EOMONTH($CK$1,0),Marketing!BO$5*Marketing!BO$6,0)+IF(EOMONTH(DATE(YEAR(Marketing!$BJ$1),MONTH(Marketing!$BJ$1),1)+INT((DAY(Marketing!$BJ$1)-1)/2)+'Cash Drivers'!BL$7,0)=EOMONTH($CK$1,0),Marketing!BL$5*Marketing!BL$6,0)+IF(EOMONTH(DATE(YEAR(Marketing!$BG$1),MONTH(Marketing!$BG$1),1)+INT((DAY(Marketing!$BG$1)-1)/2)+'Cash Drivers'!BI$7,0)=EOMONTH($CK$1,0),Marketing!BI$5*Marketing!BI$6,0)+IF(EOMONTH(DATE(YEAR(Marketing!$BD$1),MONTH(Marketing!$BD$1),1)+INT((DAY(Marketing!$BD$1)-1)/2)+'Cash Drivers'!BF$7,0)=EOMONTH($CK$1,0),Marketing!BF$5*Marketing!BF$6,0)+IF(EOMONTH(DATE(YEAR(Marketing!$BA$1),MONTH(Marketing!$BA$1),1)+INT((DAY(Marketing!$BA$1)-1)/2)+'Cash Drivers'!BC$7,0)=EOMONTH($CK$1,0),Marketing!BC$5*Marketing!BC$6,0)+IF(EOMONTH(DATE(YEAR(Marketing!$AX$1),MONTH(Marketing!$AX$1),1)+INT((DAY(Marketing!$AX$1)-1)/2)+'Cash Drivers'!AZ$7,0)=EOMONTH($CK$1,0),Marketing!AZ$5*Marketing!AZ$6,0)+IF(EOMONTH(DATE(YEAR(Marketing!$AU$1),MONTH(Marketing!$AU$1),1)+INT((DAY(Marketing!$AU$1)-1)/2)+'Cash Drivers'!AW$7,0)=EOMONTH($CK$1,0),Marketing!AW$5*Marketing!AW$6,0)+IF(EOMONTH(DATE(YEAR(Marketing!$AR$1),MONTH(Marketing!$AR$1),1)+INT((DAY(Marketing!$AR$1)-1)/2)+'Cash Drivers'!AT$7,0)=EOMONTH($CK$1,0),Marketing!AT$5*Marketing!AT$6,0)+IF(EOMONTH(DATE(YEAR(Marketing!$AO$1),MONTH(Marketing!$AO$1),1)+INT((DAY(Marketing!$AO$1)-1)/2)+'Cash Drivers'!AQ$7,0)=EOMONTH($CK$1,0),Marketing!AQ$5*Marketing!AQ$6,0)+IF(EOMONTH(DATE(YEAR(Marketing!$AL$1),MONTH(Marketing!$AL$1),1)+INT((DAY(Marketing!$AL$1)-1)/2)+'Cash Drivers'!AN$7,0)=EOMONTH($CK$1,0),Marketing!AN$5*Marketing!AN$6,0)+IF(EOMONTH(DATE(YEAR(Marketing!$AI$1),MONTH(Marketing!$AI$1),1)+INT((DAY(Marketing!$AI$1)-1)/2)+'Cash Drivers'!AK$7,0)=EOMONTH($CK$1,0),Marketing!AK$5*Marketing!AK$6,0)+IF(EOMONTH(DATE(YEAR(Marketing!$AF$1),MONTH(Marketing!$AF$1),1)+INT((DAY(Marketing!$AF$1)-1)/2)+'Cash Drivers'!AH$7,0)=EOMONTH($CK$1,0),Marketing!AH$5*Marketing!AH$6,0)+IF(EOMONTH(DATE(YEAR(Marketing!$AC$1),MONTH(Marketing!$AC$1),1)+INT((DAY(Marketing!$AC$1)-1)/2)+'Cash Drivers'!AE$7,0)=EOMONTH($CK$1,0),Marketing!AE$5*Marketing!AE$6,0)+IF(EOMONTH(DATE(YEAR(Marketing!$Z$1),MONTH(Marketing!$Z$1),1)+INT((DAY(Marketing!$Z$1)-1)/2)+'Cash Drivers'!AB$7,0)=EOMONTH($CK$1,0),Marketing!AB$5*Marketing!AB$6,0)+IF(EOMONTH(DATE(YEAR(Marketing!$W$1),MONTH(Marketing!$W$1),1)+INT((DAY(Marketing!$W$1)-1)/2)+'Cash Drivers'!Y$7,0)=EOMONTH($CK$1,0),Marketing!Y$5*Marketing!Y$6,0)+IF(EOMONTH(DATE(YEAR(Marketing!$T$1),MONTH(Marketing!$T$1),1)+INT((DAY(Marketing!$T$1)-1)/2)+'Cash Drivers'!V$7,0)=EOMONTH($CK$1,0),Marketing!V$5*Marketing!V$6,0)+IF(EOMONTH(DATE(YEAR(Marketing!$Q$1),MONTH(Marketing!$Q$1),1)+INT((DAY(Marketing!$Q$1)-1)/2)+'Cash Drivers'!S$7,0)=EOMONTH($CK$1,0),Marketing!S$5*Marketing!S$6,0)+IF(EOMONTH(DATE(YEAR(Marketing!$N$1),MONTH(Marketing!$N$1),1)+INT((DAY(Marketing!$N$1)-1)/2)+'Cash Drivers'!P$7,0)=EOMONTH($CK$1,0),Marketing!P$5*Marketing!P$6,0)+IF(EOMONTH(DATE(YEAR(Marketing!$K$1),MONTH(Marketing!$K$1),1)+INT((DAY(Marketing!$K$1)-1)/2)+'Cash Drivers'!M$7,0)=EOMONTH($CK$1,0),Marketing!M$5*Marketing!M$6,0)+0,0)</f>
        <v>74</v>
      </c>
      <c r="CN7" s="86"/>
      <c r="CO7" s="86" t="n">
        <f aca="false">IF('Cash Drivers'!CO$26,CN7,ROUND(IF(EOMONTH(DATE(YEAR(Marketing!$DL$1),MONTH(Marketing!$DL$1),1)+INT((DAY(Marketing!$DL$1)-1)/2)+'Cash Drivers'!DM$7,0)=EOMONTH($CN$1,0),Marketing!DM$5*Marketing!DM$6,0)+IF(EOMONTH(DATE(YEAR(Marketing!$DI$1),MONTH(Marketing!$DI$1),1)+INT((DAY(Marketing!$DI$1)-1)/2)+'Cash Drivers'!DJ$7,0)=EOMONTH($CN$1,0),Marketing!DJ$5*Marketing!DJ$6,0)+IF(EOMONTH(DATE(YEAR(Marketing!$DF$1),MONTH(Marketing!$DF$1),1)+INT((DAY(Marketing!$DF$1)-1)/2)+'Cash Drivers'!DG$7,0)=EOMONTH($CN$1,0),Marketing!DG$5*Marketing!DG$6,0)+IF(EOMONTH(DATE(YEAR(Marketing!$DC$1),MONTH(Marketing!$DC$1),1)+INT((DAY(Marketing!$DC$1)-1)/2)+'Cash Drivers'!DD$7,0)=EOMONTH($CN$1,0),Marketing!DD$5*Marketing!DD$6,0)+IF(EOMONTH(DATE(YEAR(Marketing!$CZ$1),MONTH(Marketing!$CZ$1),1)+INT((DAY(Marketing!$CZ$1)-1)/2)+'Cash Drivers'!DA$7,0)=EOMONTH($CN$1,0),Marketing!DA$5*Marketing!DA$6,0)+IF(EOMONTH(DATE(YEAR(Marketing!$CW$1),MONTH(Marketing!$CW$1),1)+INT((DAY(Marketing!$CW$1)-1)/2)+'Cash Drivers'!CX$7,0)=EOMONTH($CN$1,0),Marketing!CX$5*Marketing!CX$6,0)+IF(EOMONTH(DATE(YEAR(Marketing!$CT$1),MONTH(Marketing!$CT$1),1)+INT((DAY(Marketing!$CT$1)-1)/2)+'Cash Drivers'!CU$7,0)=EOMONTH($CN$1,0),Marketing!CU$5*Marketing!CU$6,0)+IF(EOMONTH(DATE(YEAR(Marketing!$CQ$1),MONTH(Marketing!$CQ$1),1)+INT((DAY(Marketing!$CQ$1)-1)/2)+'Cash Drivers'!CR$7,0)=EOMONTH($CN$1,0),Marketing!CR$5*Marketing!CR$6,0)+IF(EOMONTH(DATE(YEAR(Marketing!$CN$1),MONTH(Marketing!$CN$1),1)+INT((DAY(Marketing!$CN$1)-1)/2)+'Cash Drivers'!CO$7,0)=EOMONTH($CN$1,0),Marketing!CO$5*Marketing!CO$6,0)+IF(EOMONTH(DATE(YEAR(Marketing!$CK$1),MONTH(Marketing!$CK$1),1)+INT((DAY(Marketing!$CK$1)-1)/2)+'Cash Drivers'!CL$7,0)=EOMONTH($CN$1,0),Marketing!CL$5*Marketing!CL$6,0)+IF(EOMONTH(DATE(YEAR(Marketing!$CH$1),MONTH(Marketing!$CH$1),1)+INT((DAY(Marketing!$CH$1)-1)/2)+'Cash Drivers'!CI$7,0)=EOMONTH($CN$1,0),Marketing!CI$5*Marketing!CI$6,0)+IF(EOMONTH(DATE(YEAR(Marketing!$CE$1),MONTH(Marketing!$CE$1),1)+INT((DAY(Marketing!$CE$1)-1)/2)+'Cash Drivers'!CF$7,0)=EOMONTH($CN$1,0),Marketing!CF$5*Marketing!CF$6,0)+IF(EOMONTH(DATE(YEAR(Marketing!$CB$1),MONTH(Marketing!$CB$1),1)+INT((DAY(Marketing!$CB$1)-1)/2)+'Cash Drivers'!CC$7,0)=EOMONTH($CN$1,0),Marketing!CC$5*Marketing!CC$6,0)+IF(EOMONTH(DATE(YEAR(Marketing!$BY$1),MONTH(Marketing!$BY$1),1)+INT((DAY(Marketing!$BY$1)-1)/2)+'Cash Drivers'!BZ$7,0)=EOMONTH($CN$1,0),Marketing!BZ$5*Marketing!BZ$6,0)+IF(EOMONTH(DATE(YEAR(Marketing!$BV$1),MONTH(Marketing!$BV$1),1)+INT((DAY(Marketing!$BV$1)-1)/2)+'Cash Drivers'!BW$7,0)=EOMONTH($CN$1,0),Marketing!BW$5*Marketing!BW$6,0)+IF(EOMONTH(DATE(YEAR(Marketing!$BS$1),MONTH(Marketing!$BS$1),1)+INT((DAY(Marketing!$BS$1)-1)/2)+'Cash Drivers'!BT$7,0)=EOMONTH($CN$1,0),Marketing!BT$5*Marketing!BT$6,0)+IF(EOMONTH(DATE(YEAR(Marketing!$BP$1),MONTH(Marketing!$BP$1),1)+INT((DAY(Marketing!$BP$1)-1)/2)+'Cash Drivers'!BQ$7,0)=EOMONTH($CN$1,0),Marketing!BQ$5*Marketing!BQ$6,0)+IF(EOMONTH(DATE(YEAR(Marketing!$BM$1),MONTH(Marketing!$BM$1),1)+INT((DAY(Marketing!$BM$1)-1)/2)+'Cash Drivers'!BN$7,0)=EOMONTH($CN$1,0),Marketing!BN$5*Marketing!BN$6,0)+IF(EOMONTH(DATE(YEAR(Marketing!$BJ$1),MONTH(Marketing!$BJ$1),1)+INT((DAY(Marketing!$BJ$1)-1)/2)+'Cash Drivers'!BK$7,0)=EOMONTH($CN$1,0),Marketing!BK$5*Marketing!BK$6,0)+IF(EOMONTH(DATE(YEAR(Marketing!$BG$1),MONTH(Marketing!$BG$1),1)+INT((DAY(Marketing!$BG$1)-1)/2)+'Cash Drivers'!BH$7,0)=EOMONTH($CN$1,0),Marketing!BH$5*Marketing!BH$6,0)+IF(EOMONTH(DATE(YEAR(Marketing!$BD$1),MONTH(Marketing!$BD$1),1)+INT((DAY(Marketing!$BD$1)-1)/2)+'Cash Drivers'!BE$7,0)=EOMONTH($CN$1,0),Marketing!BE$5*Marketing!BE$6,0)+IF(EOMONTH(DATE(YEAR(Marketing!$BA$1),MONTH(Marketing!$BA$1),1)+INT((DAY(Marketing!$BA$1)-1)/2)+'Cash Drivers'!BB$7,0)=EOMONTH($CN$1,0),Marketing!BB$5*Marketing!BB$6,0)+IF(EOMONTH(DATE(YEAR(Marketing!$AX$1),MONTH(Marketing!$AX$1),1)+INT((DAY(Marketing!$AX$1)-1)/2)+'Cash Drivers'!AY$7,0)=EOMONTH($CN$1,0),Marketing!AY$5*Marketing!AY$6,0)+IF(EOMONTH(DATE(YEAR(Marketing!$AU$1),MONTH(Marketing!$AU$1),1)+INT((DAY(Marketing!$AU$1)-1)/2)+'Cash Drivers'!AV$7,0)=EOMONTH($CN$1,0),Marketing!AV$5*Marketing!AV$6,0)+IF(EOMONTH(DATE(YEAR(Marketing!$AR$1),MONTH(Marketing!$AR$1),1)+INT((DAY(Marketing!$AR$1)-1)/2)+'Cash Drivers'!AS$7,0)=EOMONTH($CN$1,0),Marketing!AS$5*Marketing!AS$6,0)+IF(EOMONTH(DATE(YEAR(Marketing!$AO$1),MONTH(Marketing!$AO$1),1)+INT((DAY(Marketing!$AO$1)-1)/2)+'Cash Drivers'!AP$7,0)=EOMONTH($CN$1,0),Marketing!AP$5*Marketing!AP$6,0)+IF(EOMONTH(DATE(YEAR(Marketing!$AL$1),MONTH(Marketing!$AL$1),1)+INT((DAY(Marketing!$AL$1)-1)/2)+'Cash Drivers'!AM$7,0)=EOMONTH($CN$1,0),Marketing!AM$5*Marketing!AM$6,0)+IF(EOMONTH(DATE(YEAR(Marketing!$AI$1),MONTH(Marketing!$AI$1),1)+INT((DAY(Marketing!$AI$1)-1)/2)+'Cash Drivers'!AJ$7,0)=EOMONTH($CN$1,0),Marketing!AJ$5*Marketing!AJ$6,0)+IF(EOMONTH(DATE(YEAR(Marketing!$AF$1),MONTH(Marketing!$AF$1),1)+INT((DAY(Marketing!$AF$1)-1)/2)+'Cash Drivers'!AG$7,0)=EOMONTH($CN$1,0),Marketing!AG$5*Marketing!AG$6,0)+IF(EOMONTH(DATE(YEAR(Marketing!$AC$1),MONTH(Marketing!$AC$1),1)+INT((DAY(Marketing!$AC$1)-1)/2)+'Cash Drivers'!AD$7,0)=EOMONTH($CN$1,0),Marketing!AD$5*Marketing!AD$6,0)+IF(EOMONTH(DATE(YEAR(Marketing!$Z$1),MONTH(Marketing!$Z$1),1)+INT((DAY(Marketing!$Z$1)-1)/2)+'Cash Drivers'!AA$7,0)=EOMONTH($CN$1,0),Marketing!AA$5*Marketing!AA$6,0)+IF(EOMONTH(DATE(YEAR(Marketing!$W$1),MONTH(Marketing!$W$1),1)+INT((DAY(Marketing!$W$1)-1)/2)+'Cash Drivers'!X$7,0)=EOMONTH($CN$1,0),Marketing!X$5*Marketing!X$6,0)+IF(EOMONTH(DATE(YEAR(Marketing!$T$1),MONTH(Marketing!$T$1),1)+INT((DAY(Marketing!$T$1)-1)/2)+'Cash Drivers'!U$7,0)=EOMONTH($CN$1,0),Marketing!U$5*Marketing!U$6,0)+IF(EOMONTH(DATE(YEAR(Marketing!$Q$1),MONTH(Marketing!$Q$1),1)+INT((DAY(Marketing!$Q$1)-1)/2)+'Cash Drivers'!R$7,0)=EOMONTH($CN$1,0),Marketing!R$5*Marketing!R$6,0)+IF(EOMONTH(DATE(YEAR(Marketing!$N$1),MONTH(Marketing!$N$1),1)+INT((DAY(Marketing!$N$1)-1)/2)+'Cash Drivers'!O$7,0)=EOMONTH($CN$1,0),Marketing!O$5*Marketing!O$6,0)+IF(EOMONTH(DATE(YEAR(Marketing!$K$1),MONTH(Marketing!$K$1),1)+INT((DAY(Marketing!$K$1)-1)/2)+'Cash Drivers'!L$7,0)=EOMONTH($CN$1,0),Marketing!L$5*Marketing!L$6,0)+0,0))</f>
        <v>74</v>
      </c>
      <c r="CP7" s="86" t="n">
        <f aca="false">ROUND(IF(EOMONTH(DATE(YEAR(Marketing!$DL$1),MONTH(Marketing!$DL$1),1)+INT((DAY(Marketing!$DL$1)-1)/2)+'Cash Drivers'!DN$7,0)=EOMONTH($CN$1,0),Marketing!DN$5*Marketing!DN$6,0)+IF(EOMONTH(DATE(YEAR(Marketing!$DI$1),MONTH(Marketing!$DI$1),1)+INT((DAY(Marketing!$DI$1)-1)/2)+'Cash Drivers'!DK$7,0)=EOMONTH($CN$1,0),Marketing!DK$5*Marketing!DK$6,0)+IF(EOMONTH(DATE(YEAR(Marketing!$DF$1),MONTH(Marketing!$DF$1),1)+INT((DAY(Marketing!$DF$1)-1)/2)+'Cash Drivers'!DH$7,0)=EOMONTH($CN$1,0),Marketing!DH$5*Marketing!DH$6,0)+IF(EOMONTH(DATE(YEAR(Marketing!$DC$1),MONTH(Marketing!$DC$1),1)+INT((DAY(Marketing!$DC$1)-1)/2)+'Cash Drivers'!DE$7,0)=EOMONTH($CN$1,0),Marketing!DE$5*Marketing!DE$6,0)+IF(EOMONTH(DATE(YEAR(Marketing!$CZ$1),MONTH(Marketing!$CZ$1),1)+INT((DAY(Marketing!$CZ$1)-1)/2)+'Cash Drivers'!DB$7,0)=EOMONTH($CN$1,0),Marketing!DB$5*Marketing!DB$6,0)+IF(EOMONTH(DATE(YEAR(Marketing!$CW$1),MONTH(Marketing!$CW$1),1)+INT((DAY(Marketing!$CW$1)-1)/2)+'Cash Drivers'!CY$7,0)=EOMONTH($CN$1,0),Marketing!CY$5*Marketing!CY$6,0)+IF(EOMONTH(DATE(YEAR(Marketing!$CT$1),MONTH(Marketing!$CT$1),1)+INT((DAY(Marketing!$CT$1)-1)/2)+'Cash Drivers'!CV$7,0)=EOMONTH($CN$1,0),Marketing!CV$5*Marketing!CV$6,0)+IF(EOMONTH(DATE(YEAR(Marketing!$CQ$1),MONTH(Marketing!$CQ$1),1)+INT((DAY(Marketing!$CQ$1)-1)/2)+'Cash Drivers'!CS$7,0)=EOMONTH($CN$1,0),Marketing!CS$5*Marketing!CS$6,0)+IF(EOMONTH(DATE(YEAR(Marketing!$CN$1),MONTH(Marketing!$CN$1),1)+INT((DAY(Marketing!$CN$1)-1)/2)+'Cash Drivers'!CP$7,0)=EOMONTH($CN$1,0),Marketing!CP$5*Marketing!CP$6,0)+IF(EOMONTH(DATE(YEAR(Marketing!$CK$1),MONTH(Marketing!$CK$1),1)+INT((DAY(Marketing!$CK$1)-1)/2)+'Cash Drivers'!CM$7,0)=EOMONTH($CN$1,0),Marketing!CM$5*Marketing!CM$6,0)+IF(EOMONTH(DATE(YEAR(Marketing!$CH$1),MONTH(Marketing!$CH$1),1)+INT((DAY(Marketing!$CH$1)-1)/2)+'Cash Drivers'!CJ$7,0)=EOMONTH($CN$1,0),Marketing!CJ$5*Marketing!CJ$6,0)+IF(EOMONTH(DATE(YEAR(Marketing!$CE$1),MONTH(Marketing!$CE$1),1)+INT((DAY(Marketing!$CE$1)-1)/2)+'Cash Drivers'!CG$7,0)=EOMONTH($CN$1,0),Marketing!CG$5*Marketing!CG$6,0)+IF(EOMONTH(DATE(YEAR(Marketing!$CB$1),MONTH(Marketing!$CB$1),1)+INT((DAY(Marketing!$CB$1)-1)/2)+'Cash Drivers'!CD$7,0)=EOMONTH($CN$1,0),Marketing!CD$5*Marketing!CD$6,0)+IF(EOMONTH(DATE(YEAR(Marketing!$BY$1),MONTH(Marketing!$BY$1),1)+INT((DAY(Marketing!$BY$1)-1)/2)+'Cash Drivers'!CA$7,0)=EOMONTH($CN$1,0),Marketing!CA$5*Marketing!CA$6,0)+IF(EOMONTH(DATE(YEAR(Marketing!$BV$1),MONTH(Marketing!$BV$1),1)+INT((DAY(Marketing!$BV$1)-1)/2)+'Cash Drivers'!BX$7,0)=EOMONTH($CN$1,0),Marketing!BX$5*Marketing!BX$6,0)+IF(EOMONTH(DATE(YEAR(Marketing!$BS$1),MONTH(Marketing!$BS$1),1)+INT((DAY(Marketing!$BS$1)-1)/2)+'Cash Drivers'!BU$7,0)=EOMONTH($CN$1,0),Marketing!BU$5*Marketing!BU$6,0)+IF(EOMONTH(DATE(YEAR(Marketing!$BP$1),MONTH(Marketing!$BP$1),1)+INT((DAY(Marketing!$BP$1)-1)/2)+'Cash Drivers'!BR$7,0)=EOMONTH($CN$1,0),Marketing!BR$5*Marketing!BR$6,0)+IF(EOMONTH(DATE(YEAR(Marketing!$BM$1),MONTH(Marketing!$BM$1),1)+INT((DAY(Marketing!$BM$1)-1)/2)+'Cash Drivers'!BO$7,0)=EOMONTH($CN$1,0),Marketing!BO$5*Marketing!BO$6,0)+IF(EOMONTH(DATE(YEAR(Marketing!$BJ$1),MONTH(Marketing!$BJ$1),1)+INT((DAY(Marketing!$BJ$1)-1)/2)+'Cash Drivers'!BL$7,0)=EOMONTH($CN$1,0),Marketing!BL$5*Marketing!BL$6,0)+IF(EOMONTH(DATE(YEAR(Marketing!$BG$1),MONTH(Marketing!$BG$1),1)+INT((DAY(Marketing!$BG$1)-1)/2)+'Cash Drivers'!BI$7,0)=EOMONTH($CN$1,0),Marketing!BI$5*Marketing!BI$6,0)+IF(EOMONTH(DATE(YEAR(Marketing!$BD$1),MONTH(Marketing!$BD$1),1)+INT((DAY(Marketing!$BD$1)-1)/2)+'Cash Drivers'!BF$7,0)=EOMONTH($CN$1,0),Marketing!BF$5*Marketing!BF$6,0)+IF(EOMONTH(DATE(YEAR(Marketing!$BA$1),MONTH(Marketing!$BA$1),1)+INT((DAY(Marketing!$BA$1)-1)/2)+'Cash Drivers'!BC$7,0)=EOMONTH($CN$1,0),Marketing!BC$5*Marketing!BC$6,0)+IF(EOMONTH(DATE(YEAR(Marketing!$AX$1),MONTH(Marketing!$AX$1),1)+INT((DAY(Marketing!$AX$1)-1)/2)+'Cash Drivers'!AZ$7,0)=EOMONTH($CN$1,0),Marketing!AZ$5*Marketing!AZ$6,0)+IF(EOMONTH(DATE(YEAR(Marketing!$AU$1),MONTH(Marketing!$AU$1),1)+INT((DAY(Marketing!$AU$1)-1)/2)+'Cash Drivers'!AW$7,0)=EOMONTH($CN$1,0),Marketing!AW$5*Marketing!AW$6,0)+IF(EOMONTH(DATE(YEAR(Marketing!$AR$1),MONTH(Marketing!$AR$1),1)+INT((DAY(Marketing!$AR$1)-1)/2)+'Cash Drivers'!AT$7,0)=EOMONTH($CN$1,0),Marketing!AT$5*Marketing!AT$6,0)+IF(EOMONTH(DATE(YEAR(Marketing!$AO$1),MONTH(Marketing!$AO$1),1)+INT((DAY(Marketing!$AO$1)-1)/2)+'Cash Drivers'!AQ$7,0)=EOMONTH($CN$1,0),Marketing!AQ$5*Marketing!AQ$6,0)+IF(EOMONTH(DATE(YEAR(Marketing!$AL$1),MONTH(Marketing!$AL$1),1)+INT((DAY(Marketing!$AL$1)-1)/2)+'Cash Drivers'!AN$7,0)=EOMONTH($CN$1,0),Marketing!AN$5*Marketing!AN$6,0)+IF(EOMONTH(DATE(YEAR(Marketing!$AI$1),MONTH(Marketing!$AI$1),1)+INT((DAY(Marketing!$AI$1)-1)/2)+'Cash Drivers'!AK$7,0)=EOMONTH($CN$1,0),Marketing!AK$5*Marketing!AK$6,0)+IF(EOMONTH(DATE(YEAR(Marketing!$AF$1),MONTH(Marketing!$AF$1),1)+INT((DAY(Marketing!$AF$1)-1)/2)+'Cash Drivers'!AH$7,0)=EOMONTH($CN$1,0),Marketing!AH$5*Marketing!AH$6,0)+IF(EOMONTH(DATE(YEAR(Marketing!$AC$1),MONTH(Marketing!$AC$1),1)+INT((DAY(Marketing!$AC$1)-1)/2)+'Cash Drivers'!AE$7,0)=EOMONTH($CN$1,0),Marketing!AE$5*Marketing!AE$6,0)+IF(EOMONTH(DATE(YEAR(Marketing!$Z$1),MONTH(Marketing!$Z$1),1)+INT((DAY(Marketing!$Z$1)-1)/2)+'Cash Drivers'!AB$7,0)=EOMONTH($CN$1,0),Marketing!AB$5*Marketing!AB$6,0)+IF(EOMONTH(DATE(YEAR(Marketing!$W$1),MONTH(Marketing!$W$1),1)+INT((DAY(Marketing!$W$1)-1)/2)+'Cash Drivers'!Y$7,0)=EOMONTH($CN$1,0),Marketing!Y$5*Marketing!Y$6,0)+IF(EOMONTH(DATE(YEAR(Marketing!$T$1),MONTH(Marketing!$T$1),1)+INT((DAY(Marketing!$T$1)-1)/2)+'Cash Drivers'!V$7,0)=EOMONTH($CN$1,0),Marketing!V$5*Marketing!V$6,0)+IF(EOMONTH(DATE(YEAR(Marketing!$Q$1),MONTH(Marketing!$Q$1),1)+INT((DAY(Marketing!$Q$1)-1)/2)+'Cash Drivers'!S$7,0)=EOMONTH($CN$1,0),Marketing!S$5*Marketing!S$6,0)+IF(EOMONTH(DATE(YEAR(Marketing!$N$1),MONTH(Marketing!$N$1),1)+INT((DAY(Marketing!$N$1)-1)/2)+'Cash Drivers'!P$7,0)=EOMONTH($CN$1,0),Marketing!P$5*Marketing!P$6,0)+IF(EOMONTH(DATE(YEAR(Marketing!$K$1),MONTH(Marketing!$K$1),1)+INT((DAY(Marketing!$K$1)-1)/2)+'Cash Drivers'!M$7,0)=EOMONTH($CN$1,0),Marketing!M$5*Marketing!M$6,0)+0,0)</f>
        <v>74</v>
      </c>
      <c r="CQ7" s="87"/>
      <c r="CR7" s="87" t="n">
        <f aca="false">IF('Cash Drivers'!CR$26,CQ7,ROUND(IF(EOMONTH(DATE(YEAR(Marketing!$DL$1),MONTH(Marketing!$DL$1),1)+INT((DAY(Marketing!$DL$1)-1)/2)+'Cash Drivers'!DM$7,0)=EOMONTH($CQ$1,0),Marketing!DM$5*Marketing!DM$6,0)+IF(EOMONTH(DATE(YEAR(Marketing!$DI$1),MONTH(Marketing!$DI$1),1)+INT((DAY(Marketing!$DI$1)-1)/2)+'Cash Drivers'!DJ$7,0)=EOMONTH($CQ$1,0),Marketing!DJ$5*Marketing!DJ$6,0)+IF(EOMONTH(DATE(YEAR(Marketing!$DF$1),MONTH(Marketing!$DF$1),1)+INT((DAY(Marketing!$DF$1)-1)/2)+'Cash Drivers'!DG$7,0)=EOMONTH($CQ$1,0),Marketing!DG$5*Marketing!DG$6,0)+IF(EOMONTH(DATE(YEAR(Marketing!$DC$1),MONTH(Marketing!$DC$1),1)+INT((DAY(Marketing!$DC$1)-1)/2)+'Cash Drivers'!DD$7,0)=EOMONTH($CQ$1,0),Marketing!DD$5*Marketing!DD$6,0)+IF(EOMONTH(DATE(YEAR(Marketing!$CZ$1),MONTH(Marketing!$CZ$1),1)+INT((DAY(Marketing!$CZ$1)-1)/2)+'Cash Drivers'!DA$7,0)=EOMONTH($CQ$1,0),Marketing!DA$5*Marketing!DA$6,0)+IF(EOMONTH(DATE(YEAR(Marketing!$CW$1),MONTH(Marketing!$CW$1),1)+INT((DAY(Marketing!$CW$1)-1)/2)+'Cash Drivers'!CX$7,0)=EOMONTH($CQ$1,0),Marketing!CX$5*Marketing!CX$6,0)+IF(EOMONTH(DATE(YEAR(Marketing!$CT$1),MONTH(Marketing!$CT$1),1)+INT((DAY(Marketing!$CT$1)-1)/2)+'Cash Drivers'!CU$7,0)=EOMONTH($CQ$1,0),Marketing!CU$5*Marketing!CU$6,0)+IF(EOMONTH(DATE(YEAR(Marketing!$CQ$1),MONTH(Marketing!$CQ$1),1)+INT((DAY(Marketing!$CQ$1)-1)/2)+'Cash Drivers'!CR$7,0)=EOMONTH($CQ$1,0),Marketing!CR$5*Marketing!CR$6,0)+IF(EOMONTH(DATE(YEAR(Marketing!$CN$1),MONTH(Marketing!$CN$1),1)+INT((DAY(Marketing!$CN$1)-1)/2)+'Cash Drivers'!CO$7,0)=EOMONTH($CQ$1,0),Marketing!CO$5*Marketing!CO$6,0)+IF(EOMONTH(DATE(YEAR(Marketing!$CK$1),MONTH(Marketing!$CK$1),1)+INT((DAY(Marketing!$CK$1)-1)/2)+'Cash Drivers'!CL$7,0)=EOMONTH($CQ$1,0),Marketing!CL$5*Marketing!CL$6,0)+IF(EOMONTH(DATE(YEAR(Marketing!$CH$1),MONTH(Marketing!$CH$1),1)+INT((DAY(Marketing!$CH$1)-1)/2)+'Cash Drivers'!CI$7,0)=EOMONTH($CQ$1,0),Marketing!CI$5*Marketing!CI$6,0)+IF(EOMONTH(DATE(YEAR(Marketing!$CE$1),MONTH(Marketing!$CE$1),1)+INT((DAY(Marketing!$CE$1)-1)/2)+'Cash Drivers'!CF$7,0)=EOMONTH($CQ$1,0),Marketing!CF$5*Marketing!CF$6,0)+IF(EOMONTH(DATE(YEAR(Marketing!$CB$1),MONTH(Marketing!$CB$1),1)+INT((DAY(Marketing!$CB$1)-1)/2)+'Cash Drivers'!CC$7,0)=EOMONTH($CQ$1,0),Marketing!CC$5*Marketing!CC$6,0)+IF(EOMONTH(DATE(YEAR(Marketing!$BY$1),MONTH(Marketing!$BY$1),1)+INT((DAY(Marketing!$BY$1)-1)/2)+'Cash Drivers'!BZ$7,0)=EOMONTH($CQ$1,0),Marketing!BZ$5*Marketing!BZ$6,0)+IF(EOMONTH(DATE(YEAR(Marketing!$BV$1),MONTH(Marketing!$BV$1),1)+INT((DAY(Marketing!$BV$1)-1)/2)+'Cash Drivers'!BW$7,0)=EOMONTH($CQ$1,0),Marketing!BW$5*Marketing!BW$6,0)+IF(EOMONTH(DATE(YEAR(Marketing!$BS$1),MONTH(Marketing!$BS$1),1)+INT((DAY(Marketing!$BS$1)-1)/2)+'Cash Drivers'!BT$7,0)=EOMONTH($CQ$1,0),Marketing!BT$5*Marketing!BT$6,0)+IF(EOMONTH(DATE(YEAR(Marketing!$BP$1),MONTH(Marketing!$BP$1),1)+INT((DAY(Marketing!$BP$1)-1)/2)+'Cash Drivers'!BQ$7,0)=EOMONTH($CQ$1,0),Marketing!BQ$5*Marketing!BQ$6,0)+IF(EOMONTH(DATE(YEAR(Marketing!$BM$1),MONTH(Marketing!$BM$1),1)+INT((DAY(Marketing!$BM$1)-1)/2)+'Cash Drivers'!BN$7,0)=EOMONTH($CQ$1,0),Marketing!BN$5*Marketing!BN$6,0)+IF(EOMONTH(DATE(YEAR(Marketing!$BJ$1),MONTH(Marketing!$BJ$1),1)+INT((DAY(Marketing!$BJ$1)-1)/2)+'Cash Drivers'!BK$7,0)=EOMONTH($CQ$1,0),Marketing!BK$5*Marketing!BK$6,0)+IF(EOMONTH(DATE(YEAR(Marketing!$BG$1),MONTH(Marketing!$BG$1),1)+INT((DAY(Marketing!$BG$1)-1)/2)+'Cash Drivers'!BH$7,0)=EOMONTH($CQ$1,0),Marketing!BH$5*Marketing!BH$6,0)+IF(EOMONTH(DATE(YEAR(Marketing!$BD$1),MONTH(Marketing!$BD$1),1)+INT((DAY(Marketing!$BD$1)-1)/2)+'Cash Drivers'!BE$7,0)=EOMONTH($CQ$1,0),Marketing!BE$5*Marketing!BE$6,0)+IF(EOMONTH(DATE(YEAR(Marketing!$BA$1),MONTH(Marketing!$BA$1),1)+INT((DAY(Marketing!$BA$1)-1)/2)+'Cash Drivers'!BB$7,0)=EOMONTH($CQ$1,0),Marketing!BB$5*Marketing!BB$6,0)+IF(EOMONTH(DATE(YEAR(Marketing!$AX$1),MONTH(Marketing!$AX$1),1)+INT((DAY(Marketing!$AX$1)-1)/2)+'Cash Drivers'!AY$7,0)=EOMONTH($CQ$1,0),Marketing!AY$5*Marketing!AY$6,0)+IF(EOMONTH(DATE(YEAR(Marketing!$AU$1),MONTH(Marketing!$AU$1),1)+INT((DAY(Marketing!$AU$1)-1)/2)+'Cash Drivers'!AV$7,0)=EOMONTH($CQ$1,0),Marketing!AV$5*Marketing!AV$6,0)+IF(EOMONTH(DATE(YEAR(Marketing!$AR$1),MONTH(Marketing!$AR$1),1)+INT((DAY(Marketing!$AR$1)-1)/2)+'Cash Drivers'!AS$7,0)=EOMONTH($CQ$1,0),Marketing!AS$5*Marketing!AS$6,0)+IF(EOMONTH(DATE(YEAR(Marketing!$AO$1),MONTH(Marketing!$AO$1),1)+INT((DAY(Marketing!$AO$1)-1)/2)+'Cash Drivers'!AP$7,0)=EOMONTH($CQ$1,0),Marketing!AP$5*Marketing!AP$6,0)+IF(EOMONTH(DATE(YEAR(Marketing!$AL$1),MONTH(Marketing!$AL$1),1)+INT((DAY(Marketing!$AL$1)-1)/2)+'Cash Drivers'!AM$7,0)=EOMONTH($CQ$1,0),Marketing!AM$5*Marketing!AM$6,0)+IF(EOMONTH(DATE(YEAR(Marketing!$AI$1),MONTH(Marketing!$AI$1),1)+INT((DAY(Marketing!$AI$1)-1)/2)+'Cash Drivers'!AJ$7,0)=EOMONTH($CQ$1,0),Marketing!AJ$5*Marketing!AJ$6,0)+IF(EOMONTH(DATE(YEAR(Marketing!$AF$1),MONTH(Marketing!$AF$1),1)+INT((DAY(Marketing!$AF$1)-1)/2)+'Cash Drivers'!AG$7,0)=EOMONTH($CQ$1,0),Marketing!AG$5*Marketing!AG$6,0)+IF(EOMONTH(DATE(YEAR(Marketing!$AC$1),MONTH(Marketing!$AC$1),1)+INT((DAY(Marketing!$AC$1)-1)/2)+'Cash Drivers'!AD$7,0)=EOMONTH($CQ$1,0),Marketing!AD$5*Marketing!AD$6,0)+IF(EOMONTH(DATE(YEAR(Marketing!$Z$1),MONTH(Marketing!$Z$1),1)+INT((DAY(Marketing!$Z$1)-1)/2)+'Cash Drivers'!AA$7,0)=EOMONTH($CQ$1,0),Marketing!AA$5*Marketing!AA$6,0)+IF(EOMONTH(DATE(YEAR(Marketing!$W$1),MONTH(Marketing!$W$1),1)+INT((DAY(Marketing!$W$1)-1)/2)+'Cash Drivers'!X$7,0)=EOMONTH($CQ$1,0),Marketing!X$5*Marketing!X$6,0)+IF(EOMONTH(DATE(YEAR(Marketing!$T$1),MONTH(Marketing!$T$1),1)+INT((DAY(Marketing!$T$1)-1)/2)+'Cash Drivers'!U$7,0)=EOMONTH($CQ$1,0),Marketing!U$5*Marketing!U$6,0)+IF(EOMONTH(DATE(YEAR(Marketing!$Q$1),MONTH(Marketing!$Q$1),1)+INT((DAY(Marketing!$Q$1)-1)/2)+'Cash Drivers'!R$7,0)=EOMONTH($CQ$1,0),Marketing!R$5*Marketing!R$6,0)+IF(EOMONTH(DATE(YEAR(Marketing!$N$1),MONTH(Marketing!$N$1),1)+INT((DAY(Marketing!$N$1)-1)/2)+'Cash Drivers'!O$7,0)=EOMONTH($CQ$1,0),Marketing!O$5*Marketing!O$6,0)+IF(EOMONTH(DATE(YEAR(Marketing!$K$1),MONTH(Marketing!$K$1),1)+INT((DAY(Marketing!$K$1)-1)/2)+'Cash Drivers'!L$7,0)=EOMONTH($CQ$1,0),Marketing!L$5*Marketing!L$6,0)+0,0))</f>
        <v>74</v>
      </c>
      <c r="CS7" s="87" t="n">
        <f aca="false">ROUND(IF(EOMONTH(DATE(YEAR(Marketing!$DL$1),MONTH(Marketing!$DL$1),1)+INT((DAY(Marketing!$DL$1)-1)/2)+'Cash Drivers'!DN$7,0)=EOMONTH($CQ$1,0),Marketing!DN$5*Marketing!DN$6,0)+IF(EOMONTH(DATE(YEAR(Marketing!$DI$1),MONTH(Marketing!$DI$1),1)+INT((DAY(Marketing!$DI$1)-1)/2)+'Cash Drivers'!DK$7,0)=EOMONTH($CQ$1,0),Marketing!DK$5*Marketing!DK$6,0)+IF(EOMONTH(DATE(YEAR(Marketing!$DF$1),MONTH(Marketing!$DF$1),1)+INT((DAY(Marketing!$DF$1)-1)/2)+'Cash Drivers'!DH$7,0)=EOMONTH($CQ$1,0),Marketing!DH$5*Marketing!DH$6,0)+IF(EOMONTH(DATE(YEAR(Marketing!$DC$1),MONTH(Marketing!$DC$1),1)+INT((DAY(Marketing!$DC$1)-1)/2)+'Cash Drivers'!DE$7,0)=EOMONTH($CQ$1,0),Marketing!DE$5*Marketing!DE$6,0)+IF(EOMONTH(DATE(YEAR(Marketing!$CZ$1),MONTH(Marketing!$CZ$1),1)+INT((DAY(Marketing!$CZ$1)-1)/2)+'Cash Drivers'!DB$7,0)=EOMONTH($CQ$1,0),Marketing!DB$5*Marketing!DB$6,0)+IF(EOMONTH(DATE(YEAR(Marketing!$CW$1),MONTH(Marketing!$CW$1),1)+INT((DAY(Marketing!$CW$1)-1)/2)+'Cash Drivers'!CY$7,0)=EOMONTH($CQ$1,0),Marketing!CY$5*Marketing!CY$6,0)+IF(EOMONTH(DATE(YEAR(Marketing!$CT$1),MONTH(Marketing!$CT$1),1)+INT((DAY(Marketing!$CT$1)-1)/2)+'Cash Drivers'!CV$7,0)=EOMONTH($CQ$1,0),Marketing!CV$5*Marketing!CV$6,0)+IF(EOMONTH(DATE(YEAR(Marketing!$CQ$1),MONTH(Marketing!$CQ$1),1)+INT((DAY(Marketing!$CQ$1)-1)/2)+'Cash Drivers'!CS$7,0)=EOMONTH($CQ$1,0),Marketing!CS$5*Marketing!CS$6,0)+IF(EOMONTH(DATE(YEAR(Marketing!$CN$1),MONTH(Marketing!$CN$1),1)+INT((DAY(Marketing!$CN$1)-1)/2)+'Cash Drivers'!CP$7,0)=EOMONTH($CQ$1,0),Marketing!CP$5*Marketing!CP$6,0)+IF(EOMONTH(DATE(YEAR(Marketing!$CK$1),MONTH(Marketing!$CK$1),1)+INT((DAY(Marketing!$CK$1)-1)/2)+'Cash Drivers'!CM$7,0)=EOMONTH($CQ$1,0),Marketing!CM$5*Marketing!CM$6,0)+IF(EOMONTH(DATE(YEAR(Marketing!$CH$1),MONTH(Marketing!$CH$1),1)+INT((DAY(Marketing!$CH$1)-1)/2)+'Cash Drivers'!CJ$7,0)=EOMONTH($CQ$1,0),Marketing!CJ$5*Marketing!CJ$6,0)+IF(EOMONTH(DATE(YEAR(Marketing!$CE$1),MONTH(Marketing!$CE$1),1)+INT((DAY(Marketing!$CE$1)-1)/2)+'Cash Drivers'!CG$7,0)=EOMONTH($CQ$1,0),Marketing!CG$5*Marketing!CG$6,0)+IF(EOMONTH(DATE(YEAR(Marketing!$CB$1),MONTH(Marketing!$CB$1),1)+INT((DAY(Marketing!$CB$1)-1)/2)+'Cash Drivers'!CD$7,0)=EOMONTH($CQ$1,0),Marketing!CD$5*Marketing!CD$6,0)+IF(EOMONTH(DATE(YEAR(Marketing!$BY$1),MONTH(Marketing!$BY$1),1)+INT((DAY(Marketing!$BY$1)-1)/2)+'Cash Drivers'!CA$7,0)=EOMONTH($CQ$1,0),Marketing!CA$5*Marketing!CA$6,0)+IF(EOMONTH(DATE(YEAR(Marketing!$BV$1),MONTH(Marketing!$BV$1),1)+INT((DAY(Marketing!$BV$1)-1)/2)+'Cash Drivers'!BX$7,0)=EOMONTH($CQ$1,0),Marketing!BX$5*Marketing!BX$6,0)+IF(EOMONTH(DATE(YEAR(Marketing!$BS$1),MONTH(Marketing!$BS$1),1)+INT((DAY(Marketing!$BS$1)-1)/2)+'Cash Drivers'!BU$7,0)=EOMONTH($CQ$1,0),Marketing!BU$5*Marketing!BU$6,0)+IF(EOMONTH(DATE(YEAR(Marketing!$BP$1),MONTH(Marketing!$BP$1),1)+INT((DAY(Marketing!$BP$1)-1)/2)+'Cash Drivers'!BR$7,0)=EOMONTH($CQ$1,0),Marketing!BR$5*Marketing!BR$6,0)+IF(EOMONTH(DATE(YEAR(Marketing!$BM$1),MONTH(Marketing!$BM$1),1)+INT((DAY(Marketing!$BM$1)-1)/2)+'Cash Drivers'!BO$7,0)=EOMONTH($CQ$1,0),Marketing!BO$5*Marketing!BO$6,0)+IF(EOMONTH(DATE(YEAR(Marketing!$BJ$1),MONTH(Marketing!$BJ$1),1)+INT((DAY(Marketing!$BJ$1)-1)/2)+'Cash Drivers'!BL$7,0)=EOMONTH($CQ$1,0),Marketing!BL$5*Marketing!BL$6,0)+IF(EOMONTH(DATE(YEAR(Marketing!$BG$1),MONTH(Marketing!$BG$1),1)+INT((DAY(Marketing!$BG$1)-1)/2)+'Cash Drivers'!BI$7,0)=EOMONTH($CQ$1,0),Marketing!BI$5*Marketing!BI$6,0)+IF(EOMONTH(DATE(YEAR(Marketing!$BD$1),MONTH(Marketing!$BD$1),1)+INT((DAY(Marketing!$BD$1)-1)/2)+'Cash Drivers'!BF$7,0)=EOMONTH($CQ$1,0),Marketing!BF$5*Marketing!BF$6,0)+IF(EOMONTH(DATE(YEAR(Marketing!$BA$1),MONTH(Marketing!$BA$1),1)+INT((DAY(Marketing!$BA$1)-1)/2)+'Cash Drivers'!BC$7,0)=EOMONTH($CQ$1,0),Marketing!BC$5*Marketing!BC$6,0)+IF(EOMONTH(DATE(YEAR(Marketing!$AX$1),MONTH(Marketing!$AX$1),1)+INT((DAY(Marketing!$AX$1)-1)/2)+'Cash Drivers'!AZ$7,0)=EOMONTH($CQ$1,0),Marketing!AZ$5*Marketing!AZ$6,0)+IF(EOMONTH(DATE(YEAR(Marketing!$AU$1),MONTH(Marketing!$AU$1),1)+INT((DAY(Marketing!$AU$1)-1)/2)+'Cash Drivers'!AW$7,0)=EOMONTH($CQ$1,0),Marketing!AW$5*Marketing!AW$6,0)+IF(EOMONTH(DATE(YEAR(Marketing!$AR$1),MONTH(Marketing!$AR$1),1)+INT((DAY(Marketing!$AR$1)-1)/2)+'Cash Drivers'!AT$7,0)=EOMONTH($CQ$1,0),Marketing!AT$5*Marketing!AT$6,0)+IF(EOMONTH(DATE(YEAR(Marketing!$AO$1),MONTH(Marketing!$AO$1),1)+INT((DAY(Marketing!$AO$1)-1)/2)+'Cash Drivers'!AQ$7,0)=EOMONTH($CQ$1,0),Marketing!AQ$5*Marketing!AQ$6,0)+IF(EOMONTH(DATE(YEAR(Marketing!$AL$1),MONTH(Marketing!$AL$1),1)+INT((DAY(Marketing!$AL$1)-1)/2)+'Cash Drivers'!AN$7,0)=EOMONTH($CQ$1,0),Marketing!AN$5*Marketing!AN$6,0)+IF(EOMONTH(DATE(YEAR(Marketing!$AI$1),MONTH(Marketing!$AI$1),1)+INT((DAY(Marketing!$AI$1)-1)/2)+'Cash Drivers'!AK$7,0)=EOMONTH($CQ$1,0),Marketing!AK$5*Marketing!AK$6,0)+IF(EOMONTH(DATE(YEAR(Marketing!$AF$1),MONTH(Marketing!$AF$1),1)+INT((DAY(Marketing!$AF$1)-1)/2)+'Cash Drivers'!AH$7,0)=EOMONTH($CQ$1,0),Marketing!AH$5*Marketing!AH$6,0)+IF(EOMONTH(DATE(YEAR(Marketing!$AC$1),MONTH(Marketing!$AC$1),1)+INT((DAY(Marketing!$AC$1)-1)/2)+'Cash Drivers'!AE$7,0)=EOMONTH($CQ$1,0),Marketing!AE$5*Marketing!AE$6,0)+IF(EOMONTH(DATE(YEAR(Marketing!$Z$1),MONTH(Marketing!$Z$1),1)+INT((DAY(Marketing!$Z$1)-1)/2)+'Cash Drivers'!AB$7,0)=EOMONTH($CQ$1,0),Marketing!AB$5*Marketing!AB$6,0)+IF(EOMONTH(DATE(YEAR(Marketing!$W$1),MONTH(Marketing!$W$1),1)+INT((DAY(Marketing!$W$1)-1)/2)+'Cash Drivers'!Y$7,0)=EOMONTH($CQ$1,0),Marketing!Y$5*Marketing!Y$6,0)+IF(EOMONTH(DATE(YEAR(Marketing!$T$1),MONTH(Marketing!$T$1),1)+INT((DAY(Marketing!$T$1)-1)/2)+'Cash Drivers'!V$7,0)=EOMONTH($CQ$1,0),Marketing!V$5*Marketing!V$6,0)+IF(EOMONTH(DATE(YEAR(Marketing!$Q$1),MONTH(Marketing!$Q$1),1)+INT((DAY(Marketing!$Q$1)-1)/2)+'Cash Drivers'!S$7,0)=EOMONTH($CQ$1,0),Marketing!S$5*Marketing!S$6,0)+IF(EOMONTH(DATE(YEAR(Marketing!$N$1),MONTH(Marketing!$N$1),1)+INT((DAY(Marketing!$N$1)-1)/2)+'Cash Drivers'!P$7,0)=EOMONTH($CQ$1,0),Marketing!P$5*Marketing!P$6,0)+IF(EOMONTH(DATE(YEAR(Marketing!$K$1),MONTH(Marketing!$K$1),1)+INT((DAY(Marketing!$K$1)-1)/2)+'Cash Drivers'!M$7,0)=EOMONTH($CQ$1,0),Marketing!M$5*Marketing!M$6,0)+0,0)</f>
        <v>74</v>
      </c>
      <c r="CT7" s="86"/>
      <c r="CU7" s="86" t="n">
        <f aca="false">IF('Cash Drivers'!CU$26,CT7,ROUND(IF(EOMONTH(DATE(YEAR(Marketing!$DL$1),MONTH(Marketing!$DL$1),1)+INT((DAY(Marketing!$DL$1)-1)/2)+'Cash Drivers'!DM$7,0)=EOMONTH($CT$1,0),Marketing!DM$5*Marketing!DM$6,0)+IF(EOMONTH(DATE(YEAR(Marketing!$DI$1),MONTH(Marketing!$DI$1),1)+INT((DAY(Marketing!$DI$1)-1)/2)+'Cash Drivers'!DJ$7,0)=EOMONTH($CT$1,0),Marketing!DJ$5*Marketing!DJ$6,0)+IF(EOMONTH(DATE(YEAR(Marketing!$DF$1),MONTH(Marketing!$DF$1),1)+INT((DAY(Marketing!$DF$1)-1)/2)+'Cash Drivers'!DG$7,0)=EOMONTH($CT$1,0),Marketing!DG$5*Marketing!DG$6,0)+IF(EOMONTH(DATE(YEAR(Marketing!$DC$1),MONTH(Marketing!$DC$1),1)+INT((DAY(Marketing!$DC$1)-1)/2)+'Cash Drivers'!DD$7,0)=EOMONTH($CT$1,0),Marketing!DD$5*Marketing!DD$6,0)+IF(EOMONTH(DATE(YEAR(Marketing!$CZ$1),MONTH(Marketing!$CZ$1),1)+INT((DAY(Marketing!$CZ$1)-1)/2)+'Cash Drivers'!DA$7,0)=EOMONTH($CT$1,0),Marketing!DA$5*Marketing!DA$6,0)+IF(EOMONTH(DATE(YEAR(Marketing!$CW$1),MONTH(Marketing!$CW$1),1)+INT((DAY(Marketing!$CW$1)-1)/2)+'Cash Drivers'!CX$7,0)=EOMONTH($CT$1,0),Marketing!CX$5*Marketing!CX$6,0)+IF(EOMONTH(DATE(YEAR(Marketing!$CT$1),MONTH(Marketing!$CT$1),1)+INT((DAY(Marketing!$CT$1)-1)/2)+'Cash Drivers'!CU$7,0)=EOMONTH($CT$1,0),Marketing!CU$5*Marketing!CU$6,0)+IF(EOMONTH(DATE(YEAR(Marketing!$CQ$1),MONTH(Marketing!$CQ$1),1)+INT((DAY(Marketing!$CQ$1)-1)/2)+'Cash Drivers'!CR$7,0)=EOMONTH($CT$1,0),Marketing!CR$5*Marketing!CR$6,0)+IF(EOMONTH(DATE(YEAR(Marketing!$CN$1),MONTH(Marketing!$CN$1),1)+INT((DAY(Marketing!$CN$1)-1)/2)+'Cash Drivers'!CO$7,0)=EOMONTH($CT$1,0),Marketing!CO$5*Marketing!CO$6,0)+IF(EOMONTH(DATE(YEAR(Marketing!$CK$1),MONTH(Marketing!$CK$1),1)+INT((DAY(Marketing!$CK$1)-1)/2)+'Cash Drivers'!CL$7,0)=EOMONTH($CT$1,0),Marketing!CL$5*Marketing!CL$6,0)+IF(EOMONTH(DATE(YEAR(Marketing!$CH$1),MONTH(Marketing!$CH$1),1)+INT((DAY(Marketing!$CH$1)-1)/2)+'Cash Drivers'!CI$7,0)=EOMONTH($CT$1,0),Marketing!CI$5*Marketing!CI$6,0)+IF(EOMONTH(DATE(YEAR(Marketing!$CE$1),MONTH(Marketing!$CE$1),1)+INT((DAY(Marketing!$CE$1)-1)/2)+'Cash Drivers'!CF$7,0)=EOMONTH($CT$1,0),Marketing!CF$5*Marketing!CF$6,0)+IF(EOMONTH(DATE(YEAR(Marketing!$CB$1),MONTH(Marketing!$CB$1),1)+INT((DAY(Marketing!$CB$1)-1)/2)+'Cash Drivers'!CC$7,0)=EOMONTH($CT$1,0),Marketing!CC$5*Marketing!CC$6,0)+IF(EOMONTH(DATE(YEAR(Marketing!$BY$1),MONTH(Marketing!$BY$1),1)+INT((DAY(Marketing!$BY$1)-1)/2)+'Cash Drivers'!BZ$7,0)=EOMONTH($CT$1,0),Marketing!BZ$5*Marketing!BZ$6,0)+IF(EOMONTH(DATE(YEAR(Marketing!$BV$1),MONTH(Marketing!$BV$1),1)+INT((DAY(Marketing!$BV$1)-1)/2)+'Cash Drivers'!BW$7,0)=EOMONTH($CT$1,0),Marketing!BW$5*Marketing!BW$6,0)+IF(EOMONTH(DATE(YEAR(Marketing!$BS$1),MONTH(Marketing!$BS$1),1)+INT((DAY(Marketing!$BS$1)-1)/2)+'Cash Drivers'!BT$7,0)=EOMONTH($CT$1,0),Marketing!BT$5*Marketing!BT$6,0)+IF(EOMONTH(DATE(YEAR(Marketing!$BP$1),MONTH(Marketing!$BP$1),1)+INT((DAY(Marketing!$BP$1)-1)/2)+'Cash Drivers'!BQ$7,0)=EOMONTH($CT$1,0),Marketing!BQ$5*Marketing!BQ$6,0)+IF(EOMONTH(DATE(YEAR(Marketing!$BM$1),MONTH(Marketing!$BM$1),1)+INT((DAY(Marketing!$BM$1)-1)/2)+'Cash Drivers'!BN$7,0)=EOMONTH($CT$1,0),Marketing!BN$5*Marketing!BN$6,0)+IF(EOMONTH(DATE(YEAR(Marketing!$BJ$1),MONTH(Marketing!$BJ$1),1)+INT((DAY(Marketing!$BJ$1)-1)/2)+'Cash Drivers'!BK$7,0)=EOMONTH($CT$1,0),Marketing!BK$5*Marketing!BK$6,0)+IF(EOMONTH(DATE(YEAR(Marketing!$BG$1),MONTH(Marketing!$BG$1),1)+INT((DAY(Marketing!$BG$1)-1)/2)+'Cash Drivers'!BH$7,0)=EOMONTH($CT$1,0),Marketing!BH$5*Marketing!BH$6,0)+IF(EOMONTH(DATE(YEAR(Marketing!$BD$1),MONTH(Marketing!$BD$1),1)+INT((DAY(Marketing!$BD$1)-1)/2)+'Cash Drivers'!BE$7,0)=EOMONTH($CT$1,0),Marketing!BE$5*Marketing!BE$6,0)+IF(EOMONTH(DATE(YEAR(Marketing!$BA$1),MONTH(Marketing!$BA$1),1)+INT((DAY(Marketing!$BA$1)-1)/2)+'Cash Drivers'!BB$7,0)=EOMONTH($CT$1,0),Marketing!BB$5*Marketing!BB$6,0)+IF(EOMONTH(DATE(YEAR(Marketing!$AX$1),MONTH(Marketing!$AX$1),1)+INT((DAY(Marketing!$AX$1)-1)/2)+'Cash Drivers'!AY$7,0)=EOMONTH($CT$1,0),Marketing!AY$5*Marketing!AY$6,0)+IF(EOMONTH(DATE(YEAR(Marketing!$AU$1),MONTH(Marketing!$AU$1),1)+INT((DAY(Marketing!$AU$1)-1)/2)+'Cash Drivers'!AV$7,0)=EOMONTH($CT$1,0),Marketing!AV$5*Marketing!AV$6,0)+IF(EOMONTH(DATE(YEAR(Marketing!$AR$1),MONTH(Marketing!$AR$1),1)+INT((DAY(Marketing!$AR$1)-1)/2)+'Cash Drivers'!AS$7,0)=EOMONTH($CT$1,0),Marketing!AS$5*Marketing!AS$6,0)+IF(EOMONTH(DATE(YEAR(Marketing!$AO$1),MONTH(Marketing!$AO$1),1)+INT((DAY(Marketing!$AO$1)-1)/2)+'Cash Drivers'!AP$7,0)=EOMONTH($CT$1,0),Marketing!AP$5*Marketing!AP$6,0)+IF(EOMONTH(DATE(YEAR(Marketing!$AL$1),MONTH(Marketing!$AL$1),1)+INT((DAY(Marketing!$AL$1)-1)/2)+'Cash Drivers'!AM$7,0)=EOMONTH($CT$1,0),Marketing!AM$5*Marketing!AM$6,0)+IF(EOMONTH(DATE(YEAR(Marketing!$AI$1),MONTH(Marketing!$AI$1),1)+INT((DAY(Marketing!$AI$1)-1)/2)+'Cash Drivers'!AJ$7,0)=EOMONTH($CT$1,0),Marketing!AJ$5*Marketing!AJ$6,0)+IF(EOMONTH(DATE(YEAR(Marketing!$AF$1),MONTH(Marketing!$AF$1),1)+INT((DAY(Marketing!$AF$1)-1)/2)+'Cash Drivers'!AG$7,0)=EOMONTH($CT$1,0),Marketing!AG$5*Marketing!AG$6,0)+IF(EOMONTH(DATE(YEAR(Marketing!$AC$1),MONTH(Marketing!$AC$1),1)+INT((DAY(Marketing!$AC$1)-1)/2)+'Cash Drivers'!AD$7,0)=EOMONTH($CT$1,0),Marketing!AD$5*Marketing!AD$6,0)+IF(EOMONTH(DATE(YEAR(Marketing!$Z$1),MONTH(Marketing!$Z$1),1)+INT((DAY(Marketing!$Z$1)-1)/2)+'Cash Drivers'!AA$7,0)=EOMONTH($CT$1,0),Marketing!AA$5*Marketing!AA$6,0)+IF(EOMONTH(DATE(YEAR(Marketing!$W$1),MONTH(Marketing!$W$1),1)+INT((DAY(Marketing!$W$1)-1)/2)+'Cash Drivers'!X$7,0)=EOMONTH($CT$1,0),Marketing!X$5*Marketing!X$6,0)+IF(EOMONTH(DATE(YEAR(Marketing!$T$1),MONTH(Marketing!$T$1),1)+INT((DAY(Marketing!$T$1)-1)/2)+'Cash Drivers'!U$7,0)=EOMONTH($CT$1,0),Marketing!U$5*Marketing!U$6,0)+IF(EOMONTH(DATE(YEAR(Marketing!$Q$1),MONTH(Marketing!$Q$1),1)+INT((DAY(Marketing!$Q$1)-1)/2)+'Cash Drivers'!R$7,0)=EOMONTH($CT$1,0),Marketing!R$5*Marketing!R$6,0)+IF(EOMONTH(DATE(YEAR(Marketing!$N$1),MONTH(Marketing!$N$1),1)+INT((DAY(Marketing!$N$1)-1)/2)+'Cash Drivers'!O$7,0)=EOMONTH($CT$1,0),Marketing!O$5*Marketing!O$6,0)+IF(EOMONTH(DATE(YEAR(Marketing!$K$1),MONTH(Marketing!$K$1),1)+INT((DAY(Marketing!$K$1)-1)/2)+'Cash Drivers'!L$7,0)=EOMONTH($CT$1,0),Marketing!L$5*Marketing!L$6,0)+0,0))</f>
        <v>74</v>
      </c>
      <c r="CV7" s="86" t="n">
        <f aca="false">ROUND(IF(EOMONTH(DATE(YEAR(Marketing!$DL$1),MONTH(Marketing!$DL$1),1)+INT((DAY(Marketing!$DL$1)-1)/2)+'Cash Drivers'!DN$7,0)=EOMONTH($CT$1,0),Marketing!DN$5*Marketing!DN$6,0)+IF(EOMONTH(DATE(YEAR(Marketing!$DI$1),MONTH(Marketing!$DI$1),1)+INT((DAY(Marketing!$DI$1)-1)/2)+'Cash Drivers'!DK$7,0)=EOMONTH($CT$1,0),Marketing!DK$5*Marketing!DK$6,0)+IF(EOMONTH(DATE(YEAR(Marketing!$DF$1),MONTH(Marketing!$DF$1),1)+INT((DAY(Marketing!$DF$1)-1)/2)+'Cash Drivers'!DH$7,0)=EOMONTH($CT$1,0),Marketing!DH$5*Marketing!DH$6,0)+IF(EOMONTH(DATE(YEAR(Marketing!$DC$1),MONTH(Marketing!$DC$1),1)+INT((DAY(Marketing!$DC$1)-1)/2)+'Cash Drivers'!DE$7,0)=EOMONTH($CT$1,0),Marketing!DE$5*Marketing!DE$6,0)+IF(EOMONTH(DATE(YEAR(Marketing!$CZ$1),MONTH(Marketing!$CZ$1),1)+INT((DAY(Marketing!$CZ$1)-1)/2)+'Cash Drivers'!DB$7,0)=EOMONTH($CT$1,0),Marketing!DB$5*Marketing!DB$6,0)+IF(EOMONTH(DATE(YEAR(Marketing!$CW$1),MONTH(Marketing!$CW$1),1)+INT((DAY(Marketing!$CW$1)-1)/2)+'Cash Drivers'!CY$7,0)=EOMONTH($CT$1,0),Marketing!CY$5*Marketing!CY$6,0)+IF(EOMONTH(DATE(YEAR(Marketing!$CT$1),MONTH(Marketing!$CT$1),1)+INT((DAY(Marketing!$CT$1)-1)/2)+'Cash Drivers'!CV$7,0)=EOMONTH($CT$1,0),Marketing!CV$5*Marketing!CV$6,0)+IF(EOMONTH(DATE(YEAR(Marketing!$CQ$1),MONTH(Marketing!$CQ$1),1)+INT((DAY(Marketing!$CQ$1)-1)/2)+'Cash Drivers'!CS$7,0)=EOMONTH($CT$1,0),Marketing!CS$5*Marketing!CS$6,0)+IF(EOMONTH(DATE(YEAR(Marketing!$CN$1),MONTH(Marketing!$CN$1),1)+INT((DAY(Marketing!$CN$1)-1)/2)+'Cash Drivers'!CP$7,0)=EOMONTH($CT$1,0),Marketing!CP$5*Marketing!CP$6,0)+IF(EOMONTH(DATE(YEAR(Marketing!$CK$1),MONTH(Marketing!$CK$1),1)+INT((DAY(Marketing!$CK$1)-1)/2)+'Cash Drivers'!CM$7,0)=EOMONTH($CT$1,0),Marketing!CM$5*Marketing!CM$6,0)+IF(EOMONTH(DATE(YEAR(Marketing!$CH$1),MONTH(Marketing!$CH$1),1)+INT((DAY(Marketing!$CH$1)-1)/2)+'Cash Drivers'!CJ$7,0)=EOMONTH($CT$1,0),Marketing!CJ$5*Marketing!CJ$6,0)+IF(EOMONTH(DATE(YEAR(Marketing!$CE$1),MONTH(Marketing!$CE$1),1)+INT((DAY(Marketing!$CE$1)-1)/2)+'Cash Drivers'!CG$7,0)=EOMONTH($CT$1,0),Marketing!CG$5*Marketing!CG$6,0)+IF(EOMONTH(DATE(YEAR(Marketing!$CB$1),MONTH(Marketing!$CB$1),1)+INT((DAY(Marketing!$CB$1)-1)/2)+'Cash Drivers'!CD$7,0)=EOMONTH($CT$1,0),Marketing!CD$5*Marketing!CD$6,0)+IF(EOMONTH(DATE(YEAR(Marketing!$BY$1),MONTH(Marketing!$BY$1),1)+INT((DAY(Marketing!$BY$1)-1)/2)+'Cash Drivers'!CA$7,0)=EOMONTH($CT$1,0),Marketing!CA$5*Marketing!CA$6,0)+IF(EOMONTH(DATE(YEAR(Marketing!$BV$1),MONTH(Marketing!$BV$1),1)+INT((DAY(Marketing!$BV$1)-1)/2)+'Cash Drivers'!BX$7,0)=EOMONTH($CT$1,0),Marketing!BX$5*Marketing!BX$6,0)+IF(EOMONTH(DATE(YEAR(Marketing!$BS$1),MONTH(Marketing!$BS$1),1)+INT((DAY(Marketing!$BS$1)-1)/2)+'Cash Drivers'!BU$7,0)=EOMONTH($CT$1,0),Marketing!BU$5*Marketing!BU$6,0)+IF(EOMONTH(DATE(YEAR(Marketing!$BP$1),MONTH(Marketing!$BP$1),1)+INT((DAY(Marketing!$BP$1)-1)/2)+'Cash Drivers'!BR$7,0)=EOMONTH($CT$1,0),Marketing!BR$5*Marketing!BR$6,0)+IF(EOMONTH(DATE(YEAR(Marketing!$BM$1),MONTH(Marketing!$BM$1),1)+INT((DAY(Marketing!$BM$1)-1)/2)+'Cash Drivers'!BO$7,0)=EOMONTH($CT$1,0),Marketing!BO$5*Marketing!BO$6,0)+IF(EOMONTH(DATE(YEAR(Marketing!$BJ$1),MONTH(Marketing!$BJ$1),1)+INT((DAY(Marketing!$BJ$1)-1)/2)+'Cash Drivers'!BL$7,0)=EOMONTH($CT$1,0),Marketing!BL$5*Marketing!BL$6,0)+IF(EOMONTH(DATE(YEAR(Marketing!$BG$1),MONTH(Marketing!$BG$1),1)+INT((DAY(Marketing!$BG$1)-1)/2)+'Cash Drivers'!BI$7,0)=EOMONTH($CT$1,0),Marketing!BI$5*Marketing!BI$6,0)+IF(EOMONTH(DATE(YEAR(Marketing!$BD$1),MONTH(Marketing!$BD$1),1)+INT((DAY(Marketing!$BD$1)-1)/2)+'Cash Drivers'!BF$7,0)=EOMONTH($CT$1,0),Marketing!BF$5*Marketing!BF$6,0)+IF(EOMONTH(DATE(YEAR(Marketing!$BA$1),MONTH(Marketing!$BA$1),1)+INT((DAY(Marketing!$BA$1)-1)/2)+'Cash Drivers'!BC$7,0)=EOMONTH($CT$1,0),Marketing!BC$5*Marketing!BC$6,0)+IF(EOMONTH(DATE(YEAR(Marketing!$AX$1),MONTH(Marketing!$AX$1),1)+INT((DAY(Marketing!$AX$1)-1)/2)+'Cash Drivers'!AZ$7,0)=EOMONTH($CT$1,0),Marketing!AZ$5*Marketing!AZ$6,0)+IF(EOMONTH(DATE(YEAR(Marketing!$AU$1),MONTH(Marketing!$AU$1),1)+INT((DAY(Marketing!$AU$1)-1)/2)+'Cash Drivers'!AW$7,0)=EOMONTH($CT$1,0),Marketing!AW$5*Marketing!AW$6,0)+IF(EOMONTH(DATE(YEAR(Marketing!$AR$1),MONTH(Marketing!$AR$1),1)+INT((DAY(Marketing!$AR$1)-1)/2)+'Cash Drivers'!AT$7,0)=EOMONTH($CT$1,0),Marketing!AT$5*Marketing!AT$6,0)+IF(EOMONTH(DATE(YEAR(Marketing!$AO$1),MONTH(Marketing!$AO$1),1)+INT((DAY(Marketing!$AO$1)-1)/2)+'Cash Drivers'!AQ$7,0)=EOMONTH($CT$1,0),Marketing!AQ$5*Marketing!AQ$6,0)+IF(EOMONTH(DATE(YEAR(Marketing!$AL$1),MONTH(Marketing!$AL$1),1)+INT((DAY(Marketing!$AL$1)-1)/2)+'Cash Drivers'!AN$7,0)=EOMONTH($CT$1,0),Marketing!AN$5*Marketing!AN$6,0)+IF(EOMONTH(DATE(YEAR(Marketing!$AI$1),MONTH(Marketing!$AI$1),1)+INT((DAY(Marketing!$AI$1)-1)/2)+'Cash Drivers'!AK$7,0)=EOMONTH($CT$1,0),Marketing!AK$5*Marketing!AK$6,0)+IF(EOMONTH(DATE(YEAR(Marketing!$AF$1),MONTH(Marketing!$AF$1),1)+INT((DAY(Marketing!$AF$1)-1)/2)+'Cash Drivers'!AH$7,0)=EOMONTH($CT$1,0),Marketing!AH$5*Marketing!AH$6,0)+IF(EOMONTH(DATE(YEAR(Marketing!$AC$1),MONTH(Marketing!$AC$1),1)+INT((DAY(Marketing!$AC$1)-1)/2)+'Cash Drivers'!AE$7,0)=EOMONTH($CT$1,0),Marketing!AE$5*Marketing!AE$6,0)+IF(EOMONTH(DATE(YEAR(Marketing!$Z$1),MONTH(Marketing!$Z$1),1)+INT((DAY(Marketing!$Z$1)-1)/2)+'Cash Drivers'!AB$7,0)=EOMONTH($CT$1,0),Marketing!AB$5*Marketing!AB$6,0)+IF(EOMONTH(DATE(YEAR(Marketing!$W$1),MONTH(Marketing!$W$1),1)+INT((DAY(Marketing!$W$1)-1)/2)+'Cash Drivers'!Y$7,0)=EOMONTH($CT$1,0),Marketing!Y$5*Marketing!Y$6,0)+IF(EOMONTH(DATE(YEAR(Marketing!$T$1),MONTH(Marketing!$T$1),1)+INT((DAY(Marketing!$T$1)-1)/2)+'Cash Drivers'!V$7,0)=EOMONTH($CT$1,0),Marketing!V$5*Marketing!V$6,0)+IF(EOMONTH(DATE(YEAR(Marketing!$Q$1),MONTH(Marketing!$Q$1),1)+INT((DAY(Marketing!$Q$1)-1)/2)+'Cash Drivers'!S$7,0)=EOMONTH($CT$1,0),Marketing!S$5*Marketing!S$6,0)+IF(EOMONTH(DATE(YEAR(Marketing!$N$1),MONTH(Marketing!$N$1),1)+INT((DAY(Marketing!$N$1)-1)/2)+'Cash Drivers'!P$7,0)=EOMONTH($CT$1,0),Marketing!P$5*Marketing!P$6,0)+IF(EOMONTH(DATE(YEAR(Marketing!$K$1),MONTH(Marketing!$K$1),1)+INT((DAY(Marketing!$K$1)-1)/2)+'Cash Drivers'!M$7,0)=EOMONTH($CT$1,0),Marketing!M$5*Marketing!M$6,0)+0,0)</f>
        <v>74</v>
      </c>
      <c r="CW7" s="87"/>
      <c r="CX7" s="87" t="n">
        <f aca="false">IF('Cash Drivers'!CX$26,CW7,ROUND(IF(EOMONTH(DATE(YEAR(Marketing!$DL$1),MONTH(Marketing!$DL$1),1)+INT((DAY(Marketing!$DL$1)-1)/2)+'Cash Drivers'!DM$7,0)=EOMONTH($CW$1,0),Marketing!DM$5*Marketing!DM$6,0)+IF(EOMONTH(DATE(YEAR(Marketing!$DI$1),MONTH(Marketing!$DI$1),1)+INT((DAY(Marketing!$DI$1)-1)/2)+'Cash Drivers'!DJ$7,0)=EOMONTH($CW$1,0),Marketing!DJ$5*Marketing!DJ$6,0)+IF(EOMONTH(DATE(YEAR(Marketing!$DF$1),MONTH(Marketing!$DF$1),1)+INT((DAY(Marketing!$DF$1)-1)/2)+'Cash Drivers'!DG$7,0)=EOMONTH($CW$1,0),Marketing!DG$5*Marketing!DG$6,0)+IF(EOMONTH(DATE(YEAR(Marketing!$DC$1),MONTH(Marketing!$DC$1),1)+INT((DAY(Marketing!$DC$1)-1)/2)+'Cash Drivers'!DD$7,0)=EOMONTH($CW$1,0),Marketing!DD$5*Marketing!DD$6,0)+IF(EOMONTH(DATE(YEAR(Marketing!$CZ$1),MONTH(Marketing!$CZ$1),1)+INT((DAY(Marketing!$CZ$1)-1)/2)+'Cash Drivers'!DA$7,0)=EOMONTH($CW$1,0),Marketing!DA$5*Marketing!DA$6,0)+IF(EOMONTH(DATE(YEAR(Marketing!$CW$1),MONTH(Marketing!$CW$1),1)+INT((DAY(Marketing!$CW$1)-1)/2)+'Cash Drivers'!CX$7,0)=EOMONTH($CW$1,0),Marketing!CX$5*Marketing!CX$6,0)+IF(EOMONTH(DATE(YEAR(Marketing!$CT$1),MONTH(Marketing!$CT$1),1)+INT((DAY(Marketing!$CT$1)-1)/2)+'Cash Drivers'!CU$7,0)=EOMONTH($CW$1,0),Marketing!CU$5*Marketing!CU$6,0)+IF(EOMONTH(DATE(YEAR(Marketing!$CQ$1),MONTH(Marketing!$CQ$1),1)+INT((DAY(Marketing!$CQ$1)-1)/2)+'Cash Drivers'!CR$7,0)=EOMONTH($CW$1,0),Marketing!CR$5*Marketing!CR$6,0)+IF(EOMONTH(DATE(YEAR(Marketing!$CN$1),MONTH(Marketing!$CN$1),1)+INT((DAY(Marketing!$CN$1)-1)/2)+'Cash Drivers'!CO$7,0)=EOMONTH($CW$1,0),Marketing!CO$5*Marketing!CO$6,0)+IF(EOMONTH(DATE(YEAR(Marketing!$CK$1),MONTH(Marketing!$CK$1),1)+INT((DAY(Marketing!$CK$1)-1)/2)+'Cash Drivers'!CL$7,0)=EOMONTH($CW$1,0),Marketing!CL$5*Marketing!CL$6,0)+IF(EOMONTH(DATE(YEAR(Marketing!$CH$1),MONTH(Marketing!$CH$1),1)+INT((DAY(Marketing!$CH$1)-1)/2)+'Cash Drivers'!CI$7,0)=EOMONTH($CW$1,0),Marketing!CI$5*Marketing!CI$6,0)+IF(EOMONTH(DATE(YEAR(Marketing!$CE$1),MONTH(Marketing!$CE$1),1)+INT((DAY(Marketing!$CE$1)-1)/2)+'Cash Drivers'!CF$7,0)=EOMONTH($CW$1,0),Marketing!CF$5*Marketing!CF$6,0)+IF(EOMONTH(DATE(YEAR(Marketing!$CB$1),MONTH(Marketing!$CB$1),1)+INT((DAY(Marketing!$CB$1)-1)/2)+'Cash Drivers'!CC$7,0)=EOMONTH($CW$1,0),Marketing!CC$5*Marketing!CC$6,0)+IF(EOMONTH(DATE(YEAR(Marketing!$BY$1),MONTH(Marketing!$BY$1),1)+INT((DAY(Marketing!$BY$1)-1)/2)+'Cash Drivers'!BZ$7,0)=EOMONTH($CW$1,0),Marketing!BZ$5*Marketing!BZ$6,0)+IF(EOMONTH(DATE(YEAR(Marketing!$BV$1),MONTH(Marketing!$BV$1),1)+INT((DAY(Marketing!$BV$1)-1)/2)+'Cash Drivers'!BW$7,0)=EOMONTH($CW$1,0),Marketing!BW$5*Marketing!BW$6,0)+IF(EOMONTH(DATE(YEAR(Marketing!$BS$1),MONTH(Marketing!$BS$1),1)+INT((DAY(Marketing!$BS$1)-1)/2)+'Cash Drivers'!BT$7,0)=EOMONTH($CW$1,0),Marketing!BT$5*Marketing!BT$6,0)+IF(EOMONTH(DATE(YEAR(Marketing!$BP$1),MONTH(Marketing!$BP$1),1)+INT((DAY(Marketing!$BP$1)-1)/2)+'Cash Drivers'!BQ$7,0)=EOMONTH($CW$1,0),Marketing!BQ$5*Marketing!BQ$6,0)+IF(EOMONTH(DATE(YEAR(Marketing!$BM$1),MONTH(Marketing!$BM$1),1)+INT((DAY(Marketing!$BM$1)-1)/2)+'Cash Drivers'!BN$7,0)=EOMONTH($CW$1,0),Marketing!BN$5*Marketing!BN$6,0)+IF(EOMONTH(DATE(YEAR(Marketing!$BJ$1),MONTH(Marketing!$BJ$1),1)+INT((DAY(Marketing!$BJ$1)-1)/2)+'Cash Drivers'!BK$7,0)=EOMONTH($CW$1,0),Marketing!BK$5*Marketing!BK$6,0)+IF(EOMONTH(DATE(YEAR(Marketing!$BG$1),MONTH(Marketing!$BG$1),1)+INT((DAY(Marketing!$BG$1)-1)/2)+'Cash Drivers'!BH$7,0)=EOMONTH($CW$1,0),Marketing!BH$5*Marketing!BH$6,0)+IF(EOMONTH(DATE(YEAR(Marketing!$BD$1),MONTH(Marketing!$BD$1),1)+INT((DAY(Marketing!$BD$1)-1)/2)+'Cash Drivers'!BE$7,0)=EOMONTH($CW$1,0),Marketing!BE$5*Marketing!BE$6,0)+IF(EOMONTH(DATE(YEAR(Marketing!$BA$1),MONTH(Marketing!$BA$1),1)+INT((DAY(Marketing!$BA$1)-1)/2)+'Cash Drivers'!BB$7,0)=EOMONTH($CW$1,0),Marketing!BB$5*Marketing!BB$6,0)+IF(EOMONTH(DATE(YEAR(Marketing!$AX$1),MONTH(Marketing!$AX$1),1)+INT((DAY(Marketing!$AX$1)-1)/2)+'Cash Drivers'!AY$7,0)=EOMONTH($CW$1,0),Marketing!AY$5*Marketing!AY$6,0)+IF(EOMONTH(DATE(YEAR(Marketing!$AU$1),MONTH(Marketing!$AU$1),1)+INT((DAY(Marketing!$AU$1)-1)/2)+'Cash Drivers'!AV$7,0)=EOMONTH($CW$1,0),Marketing!AV$5*Marketing!AV$6,0)+IF(EOMONTH(DATE(YEAR(Marketing!$AR$1),MONTH(Marketing!$AR$1),1)+INT((DAY(Marketing!$AR$1)-1)/2)+'Cash Drivers'!AS$7,0)=EOMONTH($CW$1,0),Marketing!AS$5*Marketing!AS$6,0)+IF(EOMONTH(DATE(YEAR(Marketing!$AO$1),MONTH(Marketing!$AO$1),1)+INT((DAY(Marketing!$AO$1)-1)/2)+'Cash Drivers'!AP$7,0)=EOMONTH($CW$1,0),Marketing!AP$5*Marketing!AP$6,0)+IF(EOMONTH(DATE(YEAR(Marketing!$AL$1),MONTH(Marketing!$AL$1),1)+INT((DAY(Marketing!$AL$1)-1)/2)+'Cash Drivers'!AM$7,0)=EOMONTH($CW$1,0),Marketing!AM$5*Marketing!AM$6,0)+IF(EOMONTH(DATE(YEAR(Marketing!$AI$1),MONTH(Marketing!$AI$1),1)+INT((DAY(Marketing!$AI$1)-1)/2)+'Cash Drivers'!AJ$7,0)=EOMONTH($CW$1,0),Marketing!AJ$5*Marketing!AJ$6,0)+IF(EOMONTH(DATE(YEAR(Marketing!$AF$1),MONTH(Marketing!$AF$1),1)+INT((DAY(Marketing!$AF$1)-1)/2)+'Cash Drivers'!AG$7,0)=EOMONTH($CW$1,0),Marketing!AG$5*Marketing!AG$6,0)+IF(EOMONTH(DATE(YEAR(Marketing!$AC$1),MONTH(Marketing!$AC$1),1)+INT((DAY(Marketing!$AC$1)-1)/2)+'Cash Drivers'!AD$7,0)=EOMONTH($CW$1,0),Marketing!AD$5*Marketing!AD$6,0)+IF(EOMONTH(DATE(YEAR(Marketing!$Z$1),MONTH(Marketing!$Z$1),1)+INT((DAY(Marketing!$Z$1)-1)/2)+'Cash Drivers'!AA$7,0)=EOMONTH($CW$1,0),Marketing!AA$5*Marketing!AA$6,0)+IF(EOMONTH(DATE(YEAR(Marketing!$W$1),MONTH(Marketing!$W$1),1)+INT((DAY(Marketing!$W$1)-1)/2)+'Cash Drivers'!X$7,0)=EOMONTH($CW$1,0),Marketing!X$5*Marketing!X$6,0)+IF(EOMONTH(DATE(YEAR(Marketing!$T$1),MONTH(Marketing!$T$1),1)+INT((DAY(Marketing!$T$1)-1)/2)+'Cash Drivers'!U$7,0)=EOMONTH($CW$1,0),Marketing!U$5*Marketing!U$6,0)+IF(EOMONTH(DATE(YEAR(Marketing!$Q$1),MONTH(Marketing!$Q$1),1)+INT((DAY(Marketing!$Q$1)-1)/2)+'Cash Drivers'!R$7,0)=EOMONTH($CW$1,0),Marketing!R$5*Marketing!R$6,0)+IF(EOMONTH(DATE(YEAR(Marketing!$N$1),MONTH(Marketing!$N$1),1)+INT((DAY(Marketing!$N$1)-1)/2)+'Cash Drivers'!O$7,0)=EOMONTH($CW$1,0),Marketing!O$5*Marketing!O$6,0)+IF(EOMONTH(DATE(YEAR(Marketing!$K$1),MONTH(Marketing!$K$1),1)+INT((DAY(Marketing!$K$1)-1)/2)+'Cash Drivers'!L$7,0)=EOMONTH($CW$1,0),Marketing!L$5*Marketing!L$6,0)+0,0))</f>
        <v>74</v>
      </c>
      <c r="CY7" s="87" t="n">
        <f aca="false">ROUND(IF(EOMONTH(DATE(YEAR(Marketing!$DL$1),MONTH(Marketing!$DL$1),1)+INT((DAY(Marketing!$DL$1)-1)/2)+'Cash Drivers'!DN$7,0)=EOMONTH($CW$1,0),Marketing!DN$5*Marketing!DN$6,0)+IF(EOMONTH(DATE(YEAR(Marketing!$DI$1),MONTH(Marketing!$DI$1),1)+INT((DAY(Marketing!$DI$1)-1)/2)+'Cash Drivers'!DK$7,0)=EOMONTH($CW$1,0),Marketing!DK$5*Marketing!DK$6,0)+IF(EOMONTH(DATE(YEAR(Marketing!$DF$1),MONTH(Marketing!$DF$1),1)+INT((DAY(Marketing!$DF$1)-1)/2)+'Cash Drivers'!DH$7,0)=EOMONTH($CW$1,0),Marketing!DH$5*Marketing!DH$6,0)+IF(EOMONTH(DATE(YEAR(Marketing!$DC$1),MONTH(Marketing!$DC$1),1)+INT((DAY(Marketing!$DC$1)-1)/2)+'Cash Drivers'!DE$7,0)=EOMONTH($CW$1,0),Marketing!DE$5*Marketing!DE$6,0)+IF(EOMONTH(DATE(YEAR(Marketing!$CZ$1),MONTH(Marketing!$CZ$1),1)+INT((DAY(Marketing!$CZ$1)-1)/2)+'Cash Drivers'!DB$7,0)=EOMONTH($CW$1,0),Marketing!DB$5*Marketing!DB$6,0)+IF(EOMONTH(DATE(YEAR(Marketing!$CW$1),MONTH(Marketing!$CW$1),1)+INT((DAY(Marketing!$CW$1)-1)/2)+'Cash Drivers'!CY$7,0)=EOMONTH($CW$1,0),Marketing!CY$5*Marketing!CY$6,0)+IF(EOMONTH(DATE(YEAR(Marketing!$CT$1),MONTH(Marketing!$CT$1),1)+INT((DAY(Marketing!$CT$1)-1)/2)+'Cash Drivers'!CV$7,0)=EOMONTH($CW$1,0),Marketing!CV$5*Marketing!CV$6,0)+IF(EOMONTH(DATE(YEAR(Marketing!$CQ$1),MONTH(Marketing!$CQ$1),1)+INT((DAY(Marketing!$CQ$1)-1)/2)+'Cash Drivers'!CS$7,0)=EOMONTH($CW$1,0),Marketing!CS$5*Marketing!CS$6,0)+IF(EOMONTH(DATE(YEAR(Marketing!$CN$1),MONTH(Marketing!$CN$1),1)+INT((DAY(Marketing!$CN$1)-1)/2)+'Cash Drivers'!CP$7,0)=EOMONTH($CW$1,0),Marketing!CP$5*Marketing!CP$6,0)+IF(EOMONTH(DATE(YEAR(Marketing!$CK$1),MONTH(Marketing!$CK$1),1)+INT((DAY(Marketing!$CK$1)-1)/2)+'Cash Drivers'!CM$7,0)=EOMONTH($CW$1,0),Marketing!CM$5*Marketing!CM$6,0)+IF(EOMONTH(DATE(YEAR(Marketing!$CH$1),MONTH(Marketing!$CH$1),1)+INT((DAY(Marketing!$CH$1)-1)/2)+'Cash Drivers'!CJ$7,0)=EOMONTH($CW$1,0),Marketing!CJ$5*Marketing!CJ$6,0)+IF(EOMONTH(DATE(YEAR(Marketing!$CE$1),MONTH(Marketing!$CE$1),1)+INT((DAY(Marketing!$CE$1)-1)/2)+'Cash Drivers'!CG$7,0)=EOMONTH($CW$1,0),Marketing!CG$5*Marketing!CG$6,0)+IF(EOMONTH(DATE(YEAR(Marketing!$CB$1),MONTH(Marketing!$CB$1),1)+INT((DAY(Marketing!$CB$1)-1)/2)+'Cash Drivers'!CD$7,0)=EOMONTH($CW$1,0),Marketing!CD$5*Marketing!CD$6,0)+IF(EOMONTH(DATE(YEAR(Marketing!$BY$1),MONTH(Marketing!$BY$1),1)+INT((DAY(Marketing!$BY$1)-1)/2)+'Cash Drivers'!CA$7,0)=EOMONTH($CW$1,0),Marketing!CA$5*Marketing!CA$6,0)+IF(EOMONTH(DATE(YEAR(Marketing!$BV$1),MONTH(Marketing!$BV$1),1)+INT((DAY(Marketing!$BV$1)-1)/2)+'Cash Drivers'!BX$7,0)=EOMONTH($CW$1,0),Marketing!BX$5*Marketing!BX$6,0)+IF(EOMONTH(DATE(YEAR(Marketing!$BS$1),MONTH(Marketing!$BS$1),1)+INT((DAY(Marketing!$BS$1)-1)/2)+'Cash Drivers'!BU$7,0)=EOMONTH($CW$1,0),Marketing!BU$5*Marketing!BU$6,0)+IF(EOMONTH(DATE(YEAR(Marketing!$BP$1),MONTH(Marketing!$BP$1),1)+INT((DAY(Marketing!$BP$1)-1)/2)+'Cash Drivers'!BR$7,0)=EOMONTH($CW$1,0),Marketing!BR$5*Marketing!BR$6,0)+IF(EOMONTH(DATE(YEAR(Marketing!$BM$1),MONTH(Marketing!$BM$1),1)+INT((DAY(Marketing!$BM$1)-1)/2)+'Cash Drivers'!BO$7,0)=EOMONTH($CW$1,0),Marketing!BO$5*Marketing!BO$6,0)+IF(EOMONTH(DATE(YEAR(Marketing!$BJ$1),MONTH(Marketing!$BJ$1),1)+INT((DAY(Marketing!$BJ$1)-1)/2)+'Cash Drivers'!BL$7,0)=EOMONTH($CW$1,0),Marketing!BL$5*Marketing!BL$6,0)+IF(EOMONTH(DATE(YEAR(Marketing!$BG$1),MONTH(Marketing!$BG$1),1)+INT((DAY(Marketing!$BG$1)-1)/2)+'Cash Drivers'!BI$7,0)=EOMONTH($CW$1,0),Marketing!BI$5*Marketing!BI$6,0)+IF(EOMONTH(DATE(YEAR(Marketing!$BD$1),MONTH(Marketing!$BD$1),1)+INT((DAY(Marketing!$BD$1)-1)/2)+'Cash Drivers'!BF$7,0)=EOMONTH($CW$1,0),Marketing!BF$5*Marketing!BF$6,0)+IF(EOMONTH(DATE(YEAR(Marketing!$BA$1),MONTH(Marketing!$BA$1),1)+INT((DAY(Marketing!$BA$1)-1)/2)+'Cash Drivers'!BC$7,0)=EOMONTH($CW$1,0),Marketing!BC$5*Marketing!BC$6,0)+IF(EOMONTH(DATE(YEAR(Marketing!$AX$1),MONTH(Marketing!$AX$1),1)+INT((DAY(Marketing!$AX$1)-1)/2)+'Cash Drivers'!AZ$7,0)=EOMONTH($CW$1,0),Marketing!AZ$5*Marketing!AZ$6,0)+IF(EOMONTH(DATE(YEAR(Marketing!$AU$1),MONTH(Marketing!$AU$1),1)+INT((DAY(Marketing!$AU$1)-1)/2)+'Cash Drivers'!AW$7,0)=EOMONTH($CW$1,0),Marketing!AW$5*Marketing!AW$6,0)+IF(EOMONTH(DATE(YEAR(Marketing!$AR$1),MONTH(Marketing!$AR$1),1)+INT((DAY(Marketing!$AR$1)-1)/2)+'Cash Drivers'!AT$7,0)=EOMONTH($CW$1,0),Marketing!AT$5*Marketing!AT$6,0)+IF(EOMONTH(DATE(YEAR(Marketing!$AO$1),MONTH(Marketing!$AO$1),1)+INT((DAY(Marketing!$AO$1)-1)/2)+'Cash Drivers'!AQ$7,0)=EOMONTH($CW$1,0),Marketing!AQ$5*Marketing!AQ$6,0)+IF(EOMONTH(DATE(YEAR(Marketing!$AL$1),MONTH(Marketing!$AL$1),1)+INT((DAY(Marketing!$AL$1)-1)/2)+'Cash Drivers'!AN$7,0)=EOMONTH($CW$1,0),Marketing!AN$5*Marketing!AN$6,0)+IF(EOMONTH(DATE(YEAR(Marketing!$AI$1),MONTH(Marketing!$AI$1),1)+INT((DAY(Marketing!$AI$1)-1)/2)+'Cash Drivers'!AK$7,0)=EOMONTH($CW$1,0),Marketing!AK$5*Marketing!AK$6,0)+IF(EOMONTH(DATE(YEAR(Marketing!$AF$1),MONTH(Marketing!$AF$1),1)+INT((DAY(Marketing!$AF$1)-1)/2)+'Cash Drivers'!AH$7,0)=EOMONTH($CW$1,0),Marketing!AH$5*Marketing!AH$6,0)+IF(EOMONTH(DATE(YEAR(Marketing!$AC$1),MONTH(Marketing!$AC$1),1)+INT((DAY(Marketing!$AC$1)-1)/2)+'Cash Drivers'!AE$7,0)=EOMONTH($CW$1,0),Marketing!AE$5*Marketing!AE$6,0)+IF(EOMONTH(DATE(YEAR(Marketing!$Z$1),MONTH(Marketing!$Z$1),1)+INT((DAY(Marketing!$Z$1)-1)/2)+'Cash Drivers'!AB$7,0)=EOMONTH($CW$1,0),Marketing!AB$5*Marketing!AB$6,0)+IF(EOMONTH(DATE(YEAR(Marketing!$W$1),MONTH(Marketing!$W$1),1)+INT((DAY(Marketing!$W$1)-1)/2)+'Cash Drivers'!Y$7,0)=EOMONTH($CW$1,0),Marketing!Y$5*Marketing!Y$6,0)+IF(EOMONTH(DATE(YEAR(Marketing!$T$1),MONTH(Marketing!$T$1),1)+INT((DAY(Marketing!$T$1)-1)/2)+'Cash Drivers'!V$7,0)=EOMONTH($CW$1,0),Marketing!V$5*Marketing!V$6,0)+IF(EOMONTH(DATE(YEAR(Marketing!$Q$1),MONTH(Marketing!$Q$1),1)+INT((DAY(Marketing!$Q$1)-1)/2)+'Cash Drivers'!S$7,0)=EOMONTH($CW$1,0),Marketing!S$5*Marketing!S$6,0)+IF(EOMONTH(DATE(YEAR(Marketing!$N$1),MONTH(Marketing!$N$1),1)+INT((DAY(Marketing!$N$1)-1)/2)+'Cash Drivers'!P$7,0)=EOMONTH($CW$1,0),Marketing!P$5*Marketing!P$6,0)+IF(EOMONTH(DATE(YEAR(Marketing!$K$1),MONTH(Marketing!$K$1),1)+INT((DAY(Marketing!$K$1)-1)/2)+'Cash Drivers'!M$7,0)=EOMONTH($CW$1,0),Marketing!M$5*Marketing!M$6,0)+0,0)</f>
        <v>74</v>
      </c>
      <c r="CZ7" s="86"/>
      <c r="DA7" s="86" t="n">
        <f aca="false">IF('Cash Drivers'!DA$26,CZ7,ROUND(IF(EOMONTH(DATE(YEAR(Marketing!$DL$1),MONTH(Marketing!$DL$1),1)+INT((DAY(Marketing!$DL$1)-1)/2)+'Cash Drivers'!DM$7,0)=EOMONTH($CZ$1,0),Marketing!DM$5*Marketing!DM$6,0)+IF(EOMONTH(DATE(YEAR(Marketing!$DI$1),MONTH(Marketing!$DI$1),1)+INT((DAY(Marketing!$DI$1)-1)/2)+'Cash Drivers'!DJ$7,0)=EOMONTH($CZ$1,0),Marketing!DJ$5*Marketing!DJ$6,0)+IF(EOMONTH(DATE(YEAR(Marketing!$DF$1),MONTH(Marketing!$DF$1),1)+INT((DAY(Marketing!$DF$1)-1)/2)+'Cash Drivers'!DG$7,0)=EOMONTH($CZ$1,0),Marketing!DG$5*Marketing!DG$6,0)+IF(EOMONTH(DATE(YEAR(Marketing!$DC$1),MONTH(Marketing!$DC$1),1)+INT((DAY(Marketing!$DC$1)-1)/2)+'Cash Drivers'!DD$7,0)=EOMONTH($CZ$1,0),Marketing!DD$5*Marketing!DD$6,0)+IF(EOMONTH(DATE(YEAR(Marketing!$CZ$1),MONTH(Marketing!$CZ$1),1)+INT((DAY(Marketing!$CZ$1)-1)/2)+'Cash Drivers'!DA$7,0)=EOMONTH($CZ$1,0),Marketing!DA$5*Marketing!DA$6,0)+IF(EOMONTH(DATE(YEAR(Marketing!$CW$1),MONTH(Marketing!$CW$1),1)+INT((DAY(Marketing!$CW$1)-1)/2)+'Cash Drivers'!CX$7,0)=EOMONTH($CZ$1,0),Marketing!CX$5*Marketing!CX$6,0)+IF(EOMONTH(DATE(YEAR(Marketing!$CT$1),MONTH(Marketing!$CT$1),1)+INT((DAY(Marketing!$CT$1)-1)/2)+'Cash Drivers'!CU$7,0)=EOMONTH($CZ$1,0),Marketing!CU$5*Marketing!CU$6,0)+IF(EOMONTH(DATE(YEAR(Marketing!$CQ$1),MONTH(Marketing!$CQ$1),1)+INT((DAY(Marketing!$CQ$1)-1)/2)+'Cash Drivers'!CR$7,0)=EOMONTH($CZ$1,0),Marketing!CR$5*Marketing!CR$6,0)+IF(EOMONTH(DATE(YEAR(Marketing!$CN$1),MONTH(Marketing!$CN$1),1)+INT((DAY(Marketing!$CN$1)-1)/2)+'Cash Drivers'!CO$7,0)=EOMONTH($CZ$1,0),Marketing!CO$5*Marketing!CO$6,0)+IF(EOMONTH(DATE(YEAR(Marketing!$CK$1),MONTH(Marketing!$CK$1),1)+INT((DAY(Marketing!$CK$1)-1)/2)+'Cash Drivers'!CL$7,0)=EOMONTH($CZ$1,0),Marketing!CL$5*Marketing!CL$6,0)+IF(EOMONTH(DATE(YEAR(Marketing!$CH$1),MONTH(Marketing!$CH$1),1)+INT((DAY(Marketing!$CH$1)-1)/2)+'Cash Drivers'!CI$7,0)=EOMONTH($CZ$1,0),Marketing!CI$5*Marketing!CI$6,0)+IF(EOMONTH(DATE(YEAR(Marketing!$CE$1),MONTH(Marketing!$CE$1),1)+INT((DAY(Marketing!$CE$1)-1)/2)+'Cash Drivers'!CF$7,0)=EOMONTH($CZ$1,0),Marketing!CF$5*Marketing!CF$6,0)+IF(EOMONTH(DATE(YEAR(Marketing!$CB$1),MONTH(Marketing!$CB$1),1)+INT((DAY(Marketing!$CB$1)-1)/2)+'Cash Drivers'!CC$7,0)=EOMONTH($CZ$1,0),Marketing!CC$5*Marketing!CC$6,0)+IF(EOMONTH(DATE(YEAR(Marketing!$BY$1),MONTH(Marketing!$BY$1),1)+INT((DAY(Marketing!$BY$1)-1)/2)+'Cash Drivers'!BZ$7,0)=EOMONTH($CZ$1,0),Marketing!BZ$5*Marketing!BZ$6,0)+IF(EOMONTH(DATE(YEAR(Marketing!$BV$1),MONTH(Marketing!$BV$1),1)+INT((DAY(Marketing!$BV$1)-1)/2)+'Cash Drivers'!BW$7,0)=EOMONTH($CZ$1,0),Marketing!BW$5*Marketing!BW$6,0)+IF(EOMONTH(DATE(YEAR(Marketing!$BS$1),MONTH(Marketing!$BS$1),1)+INT((DAY(Marketing!$BS$1)-1)/2)+'Cash Drivers'!BT$7,0)=EOMONTH($CZ$1,0),Marketing!BT$5*Marketing!BT$6,0)+IF(EOMONTH(DATE(YEAR(Marketing!$BP$1),MONTH(Marketing!$BP$1),1)+INT((DAY(Marketing!$BP$1)-1)/2)+'Cash Drivers'!BQ$7,0)=EOMONTH($CZ$1,0),Marketing!BQ$5*Marketing!BQ$6,0)+IF(EOMONTH(DATE(YEAR(Marketing!$BM$1),MONTH(Marketing!$BM$1),1)+INT((DAY(Marketing!$BM$1)-1)/2)+'Cash Drivers'!BN$7,0)=EOMONTH($CZ$1,0),Marketing!BN$5*Marketing!BN$6,0)+IF(EOMONTH(DATE(YEAR(Marketing!$BJ$1),MONTH(Marketing!$BJ$1),1)+INT((DAY(Marketing!$BJ$1)-1)/2)+'Cash Drivers'!BK$7,0)=EOMONTH($CZ$1,0),Marketing!BK$5*Marketing!BK$6,0)+IF(EOMONTH(DATE(YEAR(Marketing!$BG$1),MONTH(Marketing!$BG$1),1)+INT((DAY(Marketing!$BG$1)-1)/2)+'Cash Drivers'!BH$7,0)=EOMONTH($CZ$1,0),Marketing!BH$5*Marketing!BH$6,0)+IF(EOMONTH(DATE(YEAR(Marketing!$BD$1),MONTH(Marketing!$BD$1),1)+INT((DAY(Marketing!$BD$1)-1)/2)+'Cash Drivers'!BE$7,0)=EOMONTH($CZ$1,0),Marketing!BE$5*Marketing!BE$6,0)+IF(EOMONTH(DATE(YEAR(Marketing!$BA$1),MONTH(Marketing!$BA$1),1)+INT((DAY(Marketing!$BA$1)-1)/2)+'Cash Drivers'!BB$7,0)=EOMONTH($CZ$1,0),Marketing!BB$5*Marketing!BB$6,0)+IF(EOMONTH(DATE(YEAR(Marketing!$AX$1),MONTH(Marketing!$AX$1),1)+INT((DAY(Marketing!$AX$1)-1)/2)+'Cash Drivers'!AY$7,0)=EOMONTH($CZ$1,0),Marketing!AY$5*Marketing!AY$6,0)+IF(EOMONTH(DATE(YEAR(Marketing!$AU$1),MONTH(Marketing!$AU$1),1)+INT((DAY(Marketing!$AU$1)-1)/2)+'Cash Drivers'!AV$7,0)=EOMONTH($CZ$1,0),Marketing!AV$5*Marketing!AV$6,0)+IF(EOMONTH(DATE(YEAR(Marketing!$AR$1),MONTH(Marketing!$AR$1),1)+INT((DAY(Marketing!$AR$1)-1)/2)+'Cash Drivers'!AS$7,0)=EOMONTH($CZ$1,0),Marketing!AS$5*Marketing!AS$6,0)+IF(EOMONTH(DATE(YEAR(Marketing!$AO$1),MONTH(Marketing!$AO$1),1)+INT((DAY(Marketing!$AO$1)-1)/2)+'Cash Drivers'!AP$7,0)=EOMONTH($CZ$1,0),Marketing!AP$5*Marketing!AP$6,0)+IF(EOMONTH(DATE(YEAR(Marketing!$AL$1),MONTH(Marketing!$AL$1),1)+INT((DAY(Marketing!$AL$1)-1)/2)+'Cash Drivers'!AM$7,0)=EOMONTH($CZ$1,0),Marketing!AM$5*Marketing!AM$6,0)+IF(EOMONTH(DATE(YEAR(Marketing!$AI$1),MONTH(Marketing!$AI$1),1)+INT((DAY(Marketing!$AI$1)-1)/2)+'Cash Drivers'!AJ$7,0)=EOMONTH($CZ$1,0),Marketing!AJ$5*Marketing!AJ$6,0)+IF(EOMONTH(DATE(YEAR(Marketing!$AF$1),MONTH(Marketing!$AF$1),1)+INT((DAY(Marketing!$AF$1)-1)/2)+'Cash Drivers'!AG$7,0)=EOMONTH($CZ$1,0),Marketing!AG$5*Marketing!AG$6,0)+IF(EOMONTH(DATE(YEAR(Marketing!$AC$1),MONTH(Marketing!$AC$1),1)+INT((DAY(Marketing!$AC$1)-1)/2)+'Cash Drivers'!AD$7,0)=EOMONTH($CZ$1,0),Marketing!AD$5*Marketing!AD$6,0)+IF(EOMONTH(DATE(YEAR(Marketing!$Z$1),MONTH(Marketing!$Z$1),1)+INT((DAY(Marketing!$Z$1)-1)/2)+'Cash Drivers'!AA$7,0)=EOMONTH($CZ$1,0),Marketing!AA$5*Marketing!AA$6,0)+IF(EOMONTH(DATE(YEAR(Marketing!$W$1),MONTH(Marketing!$W$1),1)+INT((DAY(Marketing!$W$1)-1)/2)+'Cash Drivers'!X$7,0)=EOMONTH($CZ$1,0),Marketing!X$5*Marketing!X$6,0)+IF(EOMONTH(DATE(YEAR(Marketing!$T$1),MONTH(Marketing!$T$1),1)+INT((DAY(Marketing!$T$1)-1)/2)+'Cash Drivers'!U$7,0)=EOMONTH($CZ$1,0),Marketing!U$5*Marketing!U$6,0)+IF(EOMONTH(DATE(YEAR(Marketing!$Q$1),MONTH(Marketing!$Q$1),1)+INT((DAY(Marketing!$Q$1)-1)/2)+'Cash Drivers'!R$7,0)=EOMONTH($CZ$1,0),Marketing!R$5*Marketing!R$6,0)+IF(EOMONTH(DATE(YEAR(Marketing!$N$1),MONTH(Marketing!$N$1),1)+INT((DAY(Marketing!$N$1)-1)/2)+'Cash Drivers'!O$7,0)=EOMONTH($CZ$1,0),Marketing!O$5*Marketing!O$6,0)+IF(EOMONTH(DATE(YEAR(Marketing!$K$1),MONTH(Marketing!$K$1),1)+INT((DAY(Marketing!$K$1)-1)/2)+'Cash Drivers'!L$7,0)=EOMONTH($CZ$1,0),Marketing!L$5*Marketing!L$6,0)+0,0))</f>
        <v>74</v>
      </c>
      <c r="DB7" s="86" t="n">
        <f aca="false">ROUND(IF(EOMONTH(DATE(YEAR(Marketing!$DL$1),MONTH(Marketing!$DL$1),1)+INT((DAY(Marketing!$DL$1)-1)/2)+'Cash Drivers'!DN$7,0)=EOMONTH($CZ$1,0),Marketing!DN$5*Marketing!DN$6,0)+IF(EOMONTH(DATE(YEAR(Marketing!$DI$1),MONTH(Marketing!$DI$1),1)+INT((DAY(Marketing!$DI$1)-1)/2)+'Cash Drivers'!DK$7,0)=EOMONTH($CZ$1,0),Marketing!DK$5*Marketing!DK$6,0)+IF(EOMONTH(DATE(YEAR(Marketing!$DF$1),MONTH(Marketing!$DF$1),1)+INT((DAY(Marketing!$DF$1)-1)/2)+'Cash Drivers'!DH$7,0)=EOMONTH($CZ$1,0),Marketing!DH$5*Marketing!DH$6,0)+IF(EOMONTH(DATE(YEAR(Marketing!$DC$1),MONTH(Marketing!$DC$1),1)+INT((DAY(Marketing!$DC$1)-1)/2)+'Cash Drivers'!DE$7,0)=EOMONTH($CZ$1,0),Marketing!DE$5*Marketing!DE$6,0)+IF(EOMONTH(DATE(YEAR(Marketing!$CZ$1),MONTH(Marketing!$CZ$1),1)+INT((DAY(Marketing!$CZ$1)-1)/2)+'Cash Drivers'!DB$7,0)=EOMONTH($CZ$1,0),Marketing!DB$5*Marketing!DB$6,0)+IF(EOMONTH(DATE(YEAR(Marketing!$CW$1),MONTH(Marketing!$CW$1),1)+INT((DAY(Marketing!$CW$1)-1)/2)+'Cash Drivers'!CY$7,0)=EOMONTH($CZ$1,0),Marketing!CY$5*Marketing!CY$6,0)+IF(EOMONTH(DATE(YEAR(Marketing!$CT$1),MONTH(Marketing!$CT$1),1)+INT((DAY(Marketing!$CT$1)-1)/2)+'Cash Drivers'!CV$7,0)=EOMONTH($CZ$1,0),Marketing!CV$5*Marketing!CV$6,0)+IF(EOMONTH(DATE(YEAR(Marketing!$CQ$1),MONTH(Marketing!$CQ$1),1)+INT((DAY(Marketing!$CQ$1)-1)/2)+'Cash Drivers'!CS$7,0)=EOMONTH($CZ$1,0),Marketing!CS$5*Marketing!CS$6,0)+IF(EOMONTH(DATE(YEAR(Marketing!$CN$1),MONTH(Marketing!$CN$1),1)+INT((DAY(Marketing!$CN$1)-1)/2)+'Cash Drivers'!CP$7,0)=EOMONTH($CZ$1,0),Marketing!CP$5*Marketing!CP$6,0)+IF(EOMONTH(DATE(YEAR(Marketing!$CK$1),MONTH(Marketing!$CK$1),1)+INT((DAY(Marketing!$CK$1)-1)/2)+'Cash Drivers'!CM$7,0)=EOMONTH($CZ$1,0),Marketing!CM$5*Marketing!CM$6,0)+IF(EOMONTH(DATE(YEAR(Marketing!$CH$1),MONTH(Marketing!$CH$1),1)+INT((DAY(Marketing!$CH$1)-1)/2)+'Cash Drivers'!CJ$7,0)=EOMONTH($CZ$1,0),Marketing!CJ$5*Marketing!CJ$6,0)+IF(EOMONTH(DATE(YEAR(Marketing!$CE$1),MONTH(Marketing!$CE$1),1)+INT((DAY(Marketing!$CE$1)-1)/2)+'Cash Drivers'!CG$7,0)=EOMONTH($CZ$1,0),Marketing!CG$5*Marketing!CG$6,0)+IF(EOMONTH(DATE(YEAR(Marketing!$CB$1),MONTH(Marketing!$CB$1),1)+INT((DAY(Marketing!$CB$1)-1)/2)+'Cash Drivers'!CD$7,0)=EOMONTH($CZ$1,0),Marketing!CD$5*Marketing!CD$6,0)+IF(EOMONTH(DATE(YEAR(Marketing!$BY$1),MONTH(Marketing!$BY$1),1)+INT((DAY(Marketing!$BY$1)-1)/2)+'Cash Drivers'!CA$7,0)=EOMONTH($CZ$1,0),Marketing!CA$5*Marketing!CA$6,0)+IF(EOMONTH(DATE(YEAR(Marketing!$BV$1),MONTH(Marketing!$BV$1),1)+INT((DAY(Marketing!$BV$1)-1)/2)+'Cash Drivers'!BX$7,0)=EOMONTH($CZ$1,0),Marketing!BX$5*Marketing!BX$6,0)+IF(EOMONTH(DATE(YEAR(Marketing!$BS$1),MONTH(Marketing!$BS$1),1)+INT((DAY(Marketing!$BS$1)-1)/2)+'Cash Drivers'!BU$7,0)=EOMONTH($CZ$1,0),Marketing!BU$5*Marketing!BU$6,0)+IF(EOMONTH(DATE(YEAR(Marketing!$BP$1),MONTH(Marketing!$BP$1),1)+INT((DAY(Marketing!$BP$1)-1)/2)+'Cash Drivers'!BR$7,0)=EOMONTH($CZ$1,0),Marketing!BR$5*Marketing!BR$6,0)+IF(EOMONTH(DATE(YEAR(Marketing!$BM$1),MONTH(Marketing!$BM$1),1)+INT((DAY(Marketing!$BM$1)-1)/2)+'Cash Drivers'!BO$7,0)=EOMONTH($CZ$1,0),Marketing!BO$5*Marketing!BO$6,0)+IF(EOMONTH(DATE(YEAR(Marketing!$BJ$1),MONTH(Marketing!$BJ$1),1)+INT((DAY(Marketing!$BJ$1)-1)/2)+'Cash Drivers'!BL$7,0)=EOMONTH($CZ$1,0),Marketing!BL$5*Marketing!BL$6,0)+IF(EOMONTH(DATE(YEAR(Marketing!$BG$1),MONTH(Marketing!$BG$1),1)+INT((DAY(Marketing!$BG$1)-1)/2)+'Cash Drivers'!BI$7,0)=EOMONTH($CZ$1,0),Marketing!BI$5*Marketing!BI$6,0)+IF(EOMONTH(DATE(YEAR(Marketing!$BD$1),MONTH(Marketing!$BD$1),1)+INT((DAY(Marketing!$BD$1)-1)/2)+'Cash Drivers'!BF$7,0)=EOMONTH($CZ$1,0),Marketing!BF$5*Marketing!BF$6,0)+IF(EOMONTH(DATE(YEAR(Marketing!$BA$1),MONTH(Marketing!$BA$1),1)+INT((DAY(Marketing!$BA$1)-1)/2)+'Cash Drivers'!BC$7,0)=EOMONTH($CZ$1,0),Marketing!BC$5*Marketing!BC$6,0)+IF(EOMONTH(DATE(YEAR(Marketing!$AX$1),MONTH(Marketing!$AX$1),1)+INT((DAY(Marketing!$AX$1)-1)/2)+'Cash Drivers'!AZ$7,0)=EOMONTH($CZ$1,0),Marketing!AZ$5*Marketing!AZ$6,0)+IF(EOMONTH(DATE(YEAR(Marketing!$AU$1),MONTH(Marketing!$AU$1),1)+INT((DAY(Marketing!$AU$1)-1)/2)+'Cash Drivers'!AW$7,0)=EOMONTH($CZ$1,0),Marketing!AW$5*Marketing!AW$6,0)+IF(EOMONTH(DATE(YEAR(Marketing!$AR$1),MONTH(Marketing!$AR$1),1)+INT((DAY(Marketing!$AR$1)-1)/2)+'Cash Drivers'!AT$7,0)=EOMONTH($CZ$1,0),Marketing!AT$5*Marketing!AT$6,0)+IF(EOMONTH(DATE(YEAR(Marketing!$AO$1),MONTH(Marketing!$AO$1),1)+INT((DAY(Marketing!$AO$1)-1)/2)+'Cash Drivers'!AQ$7,0)=EOMONTH($CZ$1,0),Marketing!AQ$5*Marketing!AQ$6,0)+IF(EOMONTH(DATE(YEAR(Marketing!$AL$1),MONTH(Marketing!$AL$1),1)+INT((DAY(Marketing!$AL$1)-1)/2)+'Cash Drivers'!AN$7,0)=EOMONTH($CZ$1,0),Marketing!AN$5*Marketing!AN$6,0)+IF(EOMONTH(DATE(YEAR(Marketing!$AI$1),MONTH(Marketing!$AI$1),1)+INT((DAY(Marketing!$AI$1)-1)/2)+'Cash Drivers'!AK$7,0)=EOMONTH($CZ$1,0),Marketing!AK$5*Marketing!AK$6,0)+IF(EOMONTH(DATE(YEAR(Marketing!$AF$1),MONTH(Marketing!$AF$1),1)+INT((DAY(Marketing!$AF$1)-1)/2)+'Cash Drivers'!AH$7,0)=EOMONTH($CZ$1,0),Marketing!AH$5*Marketing!AH$6,0)+IF(EOMONTH(DATE(YEAR(Marketing!$AC$1),MONTH(Marketing!$AC$1),1)+INT((DAY(Marketing!$AC$1)-1)/2)+'Cash Drivers'!AE$7,0)=EOMONTH($CZ$1,0),Marketing!AE$5*Marketing!AE$6,0)+IF(EOMONTH(DATE(YEAR(Marketing!$Z$1),MONTH(Marketing!$Z$1),1)+INT((DAY(Marketing!$Z$1)-1)/2)+'Cash Drivers'!AB$7,0)=EOMONTH($CZ$1,0),Marketing!AB$5*Marketing!AB$6,0)+IF(EOMONTH(DATE(YEAR(Marketing!$W$1),MONTH(Marketing!$W$1),1)+INT((DAY(Marketing!$W$1)-1)/2)+'Cash Drivers'!Y$7,0)=EOMONTH($CZ$1,0),Marketing!Y$5*Marketing!Y$6,0)+IF(EOMONTH(DATE(YEAR(Marketing!$T$1),MONTH(Marketing!$T$1),1)+INT((DAY(Marketing!$T$1)-1)/2)+'Cash Drivers'!V$7,0)=EOMONTH($CZ$1,0),Marketing!V$5*Marketing!V$6,0)+IF(EOMONTH(DATE(YEAR(Marketing!$Q$1),MONTH(Marketing!$Q$1),1)+INT((DAY(Marketing!$Q$1)-1)/2)+'Cash Drivers'!S$7,0)=EOMONTH($CZ$1,0),Marketing!S$5*Marketing!S$6,0)+IF(EOMONTH(DATE(YEAR(Marketing!$N$1),MONTH(Marketing!$N$1),1)+INT((DAY(Marketing!$N$1)-1)/2)+'Cash Drivers'!P$7,0)=EOMONTH($CZ$1,0),Marketing!P$5*Marketing!P$6,0)+IF(EOMONTH(DATE(YEAR(Marketing!$K$1),MONTH(Marketing!$K$1),1)+INT((DAY(Marketing!$K$1)-1)/2)+'Cash Drivers'!M$7,0)=EOMONTH($CZ$1,0),Marketing!M$5*Marketing!M$6,0)+0,0)</f>
        <v>74</v>
      </c>
      <c r="DC7" s="87"/>
      <c r="DD7" s="87" t="n">
        <f aca="false">IF('Cash Drivers'!DD$26,DC7,ROUND(IF(EOMONTH(DATE(YEAR(Marketing!$DL$1),MONTH(Marketing!$DL$1),1)+INT((DAY(Marketing!$DL$1)-1)/2)+'Cash Drivers'!DM$7,0)=EOMONTH($DC$1,0),Marketing!DM$5*Marketing!DM$6,0)+IF(EOMONTH(DATE(YEAR(Marketing!$DI$1),MONTH(Marketing!$DI$1),1)+INT((DAY(Marketing!$DI$1)-1)/2)+'Cash Drivers'!DJ$7,0)=EOMONTH($DC$1,0),Marketing!DJ$5*Marketing!DJ$6,0)+IF(EOMONTH(DATE(YEAR(Marketing!$DF$1),MONTH(Marketing!$DF$1),1)+INT((DAY(Marketing!$DF$1)-1)/2)+'Cash Drivers'!DG$7,0)=EOMONTH($DC$1,0),Marketing!DG$5*Marketing!DG$6,0)+IF(EOMONTH(DATE(YEAR(Marketing!$DC$1),MONTH(Marketing!$DC$1),1)+INT((DAY(Marketing!$DC$1)-1)/2)+'Cash Drivers'!DD$7,0)=EOMONTH($DC$1,0),Marketing!DD$5*Marketing!DD$6,0)+IF(EOMONTH(DATE(YEAR(Marketing!$CZ$1),MONTH(Marketing!$CZ$1),1)+INT((DAY(Marketing!$CZ$1)-1)/2)+'Cash Drivers'!DA$7,0)=EOMONTH($DC$1,0),Marketing!DA$5*Marketing!DA$6,0)+IF(EOMONTH(DATE(YEAR(Marketing!$CW$1),MONTH(Marketing!$CW$1),1)+INT((DAY(Marketing!$CW$1)-1)/2)+'Cash Drivers'!CX$7,0)=EOMONTH($DC$1,0),Marketing!CX$5*Marketing!CX$6,0)+IF(EOMONTH(DATE(YEAR(Marketing!$CT$1),MONTH(Marketing!$CT$1),1)+INT((DAY(Marketing!$CT$1)-1)/2)+'Cash Drivers'!CU$7,0)=EOMONTH($DC$1,0),Marketing!CU$5*Marketing!CU$6,0)+IF(EOMONTH(DATE(YEAR(Marketing!$CQ$1),MONTH(Marketing!$CQ$1),1)+INT((DAY(Marketing!$CQ$1)-1)/2)+'Cash Drivers'!CR$7,0)=EOMONTH($DC$1,0),Marketing!CR$5*Marketing!CR$6,0)+IF(EOMONTH(DATE(YEAR(Marketing!$CN$1),MONTH(Marketing!$CN$1),1)+INT((DAY(Marketing!$CN$1)-1)/2)+'Cash Drivers'!CO$7,0)=EOMONTH($DC$1,0),Marketing!CO$5*Marketing!CO$6,0)+IF(EOMONTH(DATE(YEAR(Marketing!$CK$1),MONTH(Marketing!$CK$1),1)+INT((DAY(Marketing!$CK$1)-1)/2)+'Cash Drivers'!CL$7,0)=EOMONTH($DC$1,0),Marketing!CL$5*Marketing!CL$6,0)+IF(EOMONTH(DATE(YEAR(Marketing!$CH$1),MONTH(Marketing!$CH$1),1)+INT((DAY(Marketing!$CH$1)-1)/2)+'Cash Drivers'!CI$7,0)=EOMONTH($DC$1,0),Marketing!CI$5*Marketing!CI$6,0)+IF(EOMONTH(DATE(YEAR(Marketing!$CE$1),MONTH(Marketing!$CE$1),1)+INT((DAY(Marketing!$CE$1)-1)/2)+'Cash Drivers'!CF$7,0)=EOMONTH($DC$1,0),Marketing!CF$5*Marketing!CF$6,0)+IF(EOMONTH(DATE(YEAR(Marketing!$CB$1),MONTH(Marketing!$CB$1),1)+INT((DAY(Marketing!$CB$1)-1)/2)+'Cash Drivers'!CC$7,0)=EOMONTH($DC$1,0),Marketing!CC$5*Marketing!CC$6,0)+IF(EOMONTH(DATE(YEAR(Marketing!$BY$1),MONTH(Marketing!$BY$1),1)+INT((DAY(Marketing!$BY$1)-1)/2)+'Cash Drivers'!BZ$7,0)=EOMONTH($DC$1,0),Marketing!BZ$5*Marketing!BZ$6,0)+IF(EOMONTH(DATE(YEAR(Marketing!$BV$1),MONTH(Marketing!$BV$1),1)+INT((DAY(Marketing!$BV$1)-1)/2)+'Cash Drivers'!BW$7,0)=EOMONTH($DC$1,0),Marketing!BW$5*Marketing!BW$6,0)+IF(EOMONTH(DATE(YEAR(Marketing!$BS$1),MONTH(Marketing!$BS$1),1)+INT((DAY(Marketing!$BS$1)-1)/2)+'Cash Drivers'!BT$7,0)=EOMONTH($DC$1,0),Marketing!BT$5*Marketing!BT$6,0)+IF(EOMONTH(DATE(YEAR(Marketing!$BP$1),MONTH(Marketing!$BP$1),1)+INT((DAY(Marketing!$BP$1)-1)/2)+'Cash Drivers'!BQ$7,0)=EOMONTH($DC$1,0),Marketing!BQ$5*Marketing!BQ$6,0)+IF(EOMONTH(DATE(YEAR(Marketing!$BM$1),MONTH(Marketing!$BM$1),1)+INT((DAY(Marketing!$BM$1)-1)/2)+'Cash Drivers'!BN$7,0)=EOMONTH($DC$1,0),Marketing!BN$5*Marketing!BN$6,0)+IF(EOMONTH(DATE(YEAR(Marketing!$BJ$1),MONTH(Marketing!$BJ$1),1)+INT((DAY(Marketing!$BJ$1)-1)/2)+'Cash Drivers'!BK$7,0)=EOMONTH($DC$1,0),Marketing!BK$5*Marketing!BK$6,0)+IF(EOMONTH(DATE(YEAR(Marketing!$BG$1),MONTH(Marketing!$BG$1),1)+INT((DAY(Marketing!$BG$1)-1)/2)+'Cash Drivers'!BH$7,0)=EOMONTH($DC$1,0),Marketing!BH$5*Marketing!BH$6,0)+IF(EOMONTH(DATE(YEAR(Marketing!$BD$1),MONTH(Marketing!$BD$1),1)+INT((DAY(Marketing!$BD$1)-1)/2)+'Cash Drivers'!BE$7,0)=EOMONTH($DC$1,0),Marketing!BE$5*Marketing!BE$6,0)+IF(EOMONTH(DATE(YEAR(Marketing!$BA$1),MONTH(Marketing!$BA$1),1)+INT((DAY(Marketing!$BA$1)-1)/2)+'Cash Drivers'!BB$7,0)=EOMONTH($DC$1,0),Marketing!BB$5*Marketing!BB$6,0)+IF(EOMONTH(DATE(YEAR(Marketing!$AX$1),MONTH(Marketing!$AX$1),1)+INT((DAY(Marketing!$AX$1)-1)/2)+'Cash Drivers'!AY$7,0)=EOMONTH($DC$1,0),Marketing!AY$5*Marketing!AY$6,0)+IF(EOMONTH(DATE(YEAR(Marketing!$AU$1),MONTH(Marketing!$AU$1),1)+INT((DAY(Marketing!$AU$1)-1)/2)+'Cash Drivers'!AV$7,0)=EOMONTH($DC$1,0),Marketing!AV$5*Marketing!AV$6,0)+IF(EOMONTH(DATE(YEAR(Marketing!$AR$1),MONTH(Marketing!$AR$1),1)+INT((DAY(Marketing!$AR$1)-1)/2)+'Cash Drivers'!AS$7,0)=EOMONTH($DC$1,0),Marketing!AS$5*Marketing!AS$6,0)+IF(EOMONTH(DATE(YEAR(Marketing!$AO$1),MONTH(Marketing!$AO$1),1)+INT((DAY(Marketing!$AO$1)-1)/2)+'Cash Drivers'!AP$7,0)=EOMONTH($DC$1,0),Marketing!AP$5*Marketing!AP$6,0)+IF(EOMONTH(DATE(YEAR(Marketing!$AL$1),MONTH(Marketing!$AL$1),1)+INT((DAY(Marketing!$AL$1)-1)/2)+'Cash Drivers'!AM$7,0)=EOMONTH($DC$1,0),Marketing!AM$5*Marketing!AM$6,0)+IF(EOMONTH(DATE(YEAR(Marketing!$AI$1),MONTH(Marketing!$AI$1),1)+INT((DAY(Marketing!$AI$1)-1)/2)+'Cash Drivers'!AJ$7,0)=EOMONTH($DC$1,0),Marketing!AJ$5*Marketing!AJ$6,0)+IF(EOMONTH(DATE(YEAR(Marketing!$AF$1),MONTH(Marketing!$AF$1),1)+INT((DAY(Marketing!$AF$1)-1)/2)+'Cash Drivers'!AG$7,0)=EOMONTH($DC$1,0),Marketing!AG$5*Marketing!AG$6,0)+IF(EOMONTH(DATE(YEAR(Marketing!$AC$1),MONTH(Marketing!$AC$1),1)+INT((DAY(Marketing!$AC$1)-1)/2)+'Cash Drivers'!AD$7,0)=EOMONTH($DC$1,0),Marketing!AD$5*Marketing!AD$6,0)+IF(EOMONTH(DATE(YEAR(Marketing!$Z$1),MONTH(Marketing!$Z$1),1)+INT((DAY(Marketing!$Z$1)-1)/2)+'Cash Drivers'!AA$7,0)=EOMONTH($DC$1,0),Marketing!AA$5*Marketing!AA$6,0)+IF(EOMONTH(DATE(YEAR(Marketing!$W$1),MONTH(Marketing!$W$1),1)+INT((DAY(Marketing!$W$1)-1)/2)+'Cash Drivers'!X$7,0)=EOMONTH($DC$1,0),Marketing!X$5*Marketing!X$6,0)+IF(EOMONTH(DATE(YEAR(Marketing!$T$1),MONTH(Marketing!$T$1),1)+INT((DAY(Marketing!$T$1)-1)/2)+'Cash Drivers'!U$7,0)=EOMONTH($DC$1,0),Marketing!U$5*Marketing!U$6,0)+IF(EOMONTH(DATE(YEAR(Marketing!$Q$1),MONTH(Marketing!$Q$1),1)+INT((DAY(Marketing!$Q$1)-1)/2)+'Cash Drivers'!R$7,0)=EOMONTH($DC$1,0),Marketing!R$5*Marketing!R$6,0)+IF(EOMONTH(DATE(YEAR(Marketing!$N$1),MONTH(Marketing!$N$1),1)+INT((DAY(Marketing!$N$1)-1)/2)+'Cash Drivers'!O$7,0)=EOMONTH($DC$1,0),Marketing!O$5*Marketing!O$6,0)+IF(EOMONTH(DATE(YEAR(Marketing!$K$1),MONTH(Marketing!$K$1),1)+INT((DAY(Marketing!$K$1)-1)/2)+'Cash Drivers'!L$7,0)=EOMONTH($DC$1,0),Marketing!L$5*Marketing!L$6,0)+0,0))</f>
        <v>74</v>
      </c>
      <c r="DE7" s="87" t="n">
        <f aca="false">ROUND(IF(EOMONTH(DATE(YEAR(Marketing!$DL$1),MONTH(Marketing!$DL$1),1)+INT((DAY(Marketing!$DL$1)-1)/2)+'Cash Drivers'!DN$7,0)=EOMONTH($DC$1,0),Marketing!DN$5*Marketing!DN$6,0)+IF(EOMONTH(DATE(YEAR(Marketing!$DI$1),MONTH(Marketing!$DI$1),1)+INT((DAY(Marketing!$DI$1)-1)/2)+'Cash Drivers'!DK$7,0)=EOMONTH($DC$1,0),Marketing!DK$5*Marketing!DK$6,0)+IF(EOMONTH(DATE(YEAR(Marketing!$DF$1),MONTH(Marketing!$DF$1),1)+INT((DAY(Marketing!$DF$1)-1)/2)+'Cash Drivers'!DH$7,0)=EOMONTH($DC$1,0),Marketing!DH$5*Marketing!DH$6,0)+IF(EOMONTH(DATE(YEAR(Marketing!$DC$1),MONTH(Marketing!$DC$1),1)+INT((DAY(Marketing!$DC$1)-1)/2)+'Cash Drivers'!DE$7,0)=EOMONTH($DC$1,0),Marketing!DE$5*Marketing!DE$6,0)+IF(EOMONTH(DATE(YEAR(Marketing!$CZ$1),MONTH(Marketing!$CZ$1),1)+INT((DAY(Marketing!$CZ$1)-1)/2)+'Cash Drivers'!DB$7,0)=EOMONTH($DC$1,0),Marketing!DB$5*Marketing!DB$6,0)+IF(EOMONTH(DATE(YEAR(Marketing!$CW$1),MONTH(Marketing!$CW$1),1)+INT((DAY(Marketing!$CW$1)-1)/2)+'Cash Drivers'!CY$7,0)=EOMONTH($DC$1,0),Marketing!CY$5*Marketing!CY$6,0)+IF(EOMONTH(DATE(YEAR(Marketing!$CT$1),MONTH(Marketing!$CT$1),1)+INT((DAY(Marketing!$CT$1)-1)/2)+'Cash Drivers'!CV$7,0)=EOMONTH($DC$1,0),Marketing!CV$5*Marketing!CV$6,0)+IF(EOMONTH(DATE(YEAR(Marketing!$CQ$1),MONTH(Marketing!$CQ$1),1)+INT((DAY(Marketing!$CQ$1)-1)/2)+'Cash Drivers'!CS$7,0)=EOMONTH($DC$1,0),Marketing!CS$5*Marketing!CS$6,0)+IF(EOMONTH(DATE(YEAR(Marketing!$CN$1),MONTH(Marketing!$CN$1),1)+INT((DAY(Marketing!$CN$1)-1)/2)+'Cash Drivers'!CP$7,0)=EOMONTH($DC$1,0),Marketing!CP$5*Marketing!CP$6,0)+IF(EOMONTH(DATE(YEAR(Marketing!$CK$1),MONTH(Marketing!$CK$1),1)+INT((DAY(Marketing!$CK$1)-1)/2)+'Cash Drivers'!CM$7,0)=EOMONTH($DC$1,0),Marketing!CM$5*Marketing!CM$6,0)+IF(EOMONTH(DATE(YEAR(Marketing!$CH$1),MONTH(Marketing!$CH$1),1)+INT((DAY(Marketing!$CH$1)-1)/2)+'Cash Drivers'!CJ$7,0)=EOMONTH($DC$1,0),Marketing!CJ$5*Marketing!CJ$6,0)+IF(EOMONTH(DATE(YEAR(Marketing!$CE$1),MONTH(Marketing!$CE$1),1)+INT((DAY(Marketing!$CE$1)-1)/2)+'Cash Drivers'!CG$7,0)=EOMONTH($DC$1,0),Marketing!CG$5*Marketing!CG$6,0)+IF(EOMONTH(DATE(YEAR(Marketing!$CB$1),MONTH(Marketing!$CB$1),1)+INT((DAY(Marketing!$CB$1)-1)/2)+'Cash Drivers'!CD$7,0)=EOMONTH($DC$1,0),Marketing!CD$5*Marketing!CD$6,0)+IF(EOMONTH(DATE(YEAR(Marketing!$BY$1),MONTH(Marketing!$BY$1),1)+INT((DAY(Marketing!$BY$1)-1)/2)+'Cash Drivers'!CA$7,0)=EOMONTH($DC$1,0),Marketing!CA$5*Marketing!CA$6,0)+IF(EOMONTH(DATE(YEAR(Marketing!$BV$1),MONTH(Marketing!$BV$1),1)+INT((DAY(Marketing!$BV$1)-1)/2)+'Cash Drivers'!BX$7,0)=EOMONTH($DC$1,0),Marketing!BX$5*Marketing!BX$6,0)+IF(EOMONTH(DATE(YEAR(Marketing!$BS$1),MONTH(Marketing!$BS$1),1)+INT((DAY(Marketing!$BS$1)-1)/2)+'Cash Drivers'!BU$7,0)=EOMONTH($DC$1,0),Marketing!BU$5*Marketing!BU$6,0)+IF(EOMONTH(DATE(YEAR(Marketing!$BP$1),MONTH(Marketing!$BP$1),1)+INT((DAY(Marketing!$BP$1)-1)/2)+'Cash Drivers'!BR$7,0)=EOMONTH($DC$1,0),Marketing!BR$5*Marketing!BR$6,0)+IF(EOMONTH(DATE(YEAR(Marketing!$BM$1),MONTH(Marketing!$BM$1),1)+INT((DAY(Marketing!$BM$1)-1)/2)+'Cash Drivers'!BO$7,0)=EOMONTH($DC$1,0),Marketing!BO$5*Marketing!BO$6,0)+IF(EOMONTH(DATE(YEAR(Marketing!$BJ$1),MONTH(Marketing!$BJ$1),1)+INT((DAY(Marketing!$BJ$1)-1)/2)+'Cash Drivers'!BL$7,0)=EOMONTH($DC$1,0),Marketing!BL$5*Marketing!BL$6,0)+IF(EOMONTH(DATE(YEAR(Marketing!$BG$1),MONTH(Marketing!$BG$1),1)+INT((DAY(Marketing!$BG$1)-1)/2)+'Cash Drivers'!BI$7,0)=EOMONTH($DC$1,0),Marketing!BI$5*Marketing!BI$6,0)+IF(EOMONTH(DATE(YEAR(Marketing!$BD$1),MONTH(Marketing!$BD$1),1)+INT((DAY(Marketing!$BD$1)-1)/2)+'Cash Drivers'!BF$7,0)=EOMONTH($DC$1,0),Marketing!BF$5*Marketing!BF$6,0)+IF(EOMONTH(DATE(YEAR(Marketing!$BA$1),MONTH(Marketing!$BA$1),1)+INT((DAY(Marketing!$BA$1)-1)/2)+'Cash Drivers'!BC$7,0)=EOMONTH($DC$1,0),Marketing!BC$5*Marketing!BC$6,0)+IF(EOMONTH(DATE(YEAR(Marketing!$AX$1),MONTH(Marketing!$AX$1),1)+INT((DAY(Marketing!$AX$1)-1)/2)+'Cash Drivers'!AZ$7,0)=EOMONTH($DC$1,0),Marketing!AZ$5*Marketing!AZ$6,0)+IF(EOMONTH(DATE(YEAR(Marketing!$AU$1),MONTH(Marketing!$AU$1),1)+INT((DAY(Marketing!$AU$1)-1)/2)+'Cash Drivers'!AW$7,0)=EOMONTH($DC$1,0),Marketing!AW$5*Marketing!AW$6,0)+IF(EOMONTH(DATE(YEAR(Marketing!$AR$1),MONTH(Marketing!$AR$1),1)+INT((DAY(Marketing!$AR$1)-1)/2)+'Cash Drivers'!AT$7,0)=EOMONTH($DC$1,0),Marketing!AT$5*Marketing!AT$6,0)+IF(EOMONTH(DATE(YEAR(Marketing!$AO$1),MONTH(Marketing!$AO$1),1)+INT((DAY(Marketing!$AO$1)-1)/2)+'Cash Drivers'!AQ$7,0)=EOMONTH($DC$1,0),Marketing!AQ$5*Marketing!AQ$6,0)+IF(EOMONTH(DATE(YEAR(Marketing!$AL$1),MONTH(Marketing!$AL$1),1)+INT((DAY(Marketing!$AL$1)-1)/2)+'Cash Drivers'!AN$7,0)=EOMONTH($DC$1,0),Marketing!AN$5*Marketing!AN$6,0)+IF(EOMONTH(DATE(YEAR(Marketing!$AI$1),MONTH(Marketing!$AI$1),1)+INT((DAY(Marketing!$AI$1)-1)/2)+'Cash Drivers'!AK$7,0)=EOMONTH($DC$1,0),Marketing!AK$5*Marketing!AK$6,0)+IF(EOMONTH(DATE(YEAR(Marketing!$AF$1),MONTH(Marketing!$AF$1),1)+INT((DAY(Marketing!$AF$1)-1)/2)+'Cash Drivers'!AH$7,0)=EOMONTH($DC$1,0),Marketing!AH$5*Marketing!AH$6,0)+IF(EOMONTH(DATE(YEAR(Marketing!$AC$1),MONTH(Marketing!$AC$1),1)+INT((DAY(Marketing!$AC$1)-1)/2)+'Cash Drivers'!AE$7,0)=EOMONTH($DC$1,0),Marketing!AE$5*Marketing!AE$6,0)+IF(EOMONTH(DATE(YEAR(Marketing!$Z$1),MONTH(Marketing!$Z$1),1)+INT((DAY(Marketing!$Z$1)-1)/2)+'Cash Drivers'!AB$7,0)=EOMONTH($DC$1,0),Marketing!AB$5*Marketing!AB$6,0)+IF(EOMONTH(DATE(YEAR(Marketing!$W$1),MONTH(Marketing!$W$1),1)+INT((DAY(Marketing!$W$1)-1)/2)+'Cash Drivers'!Y$7,0)=EOMONTH($DC$1,0),Marketing!Y$5*Marketing!Y$6,0)+IF(EOMONTH(DATE(YEAR(Marketing!$T$1),MONTH(Marketing!$T$1),1)+INT((DAY(Marketing!$T$1)-1)/2)+'Cash Drivers'!V$7,0)=EOMONTH($DC$1,0),Marketing!V$5*Marketing!V$6,0)+IF(EOMONTH(DATE(YEAR(Marketing!$Q$1),MONTH(Marketing!$Q$1),1)+INT((DAY(Marketing!$Q$1)-1)/2)+'Cash Drivers'!S$7,0)=EOMONTH($DC$1,0),Marketing!S$5*Marketing!S$6,0)+IF(EOMONTH(DATE(YEAR(Marketing!$N$1),MONTH(Marketing!$N$1),1)+INT((DAY(Marketing!$N$1)-1)/2)+'Cash Drivers'!P$7,0)=EOMONTH($DC$1,0),Marketing!P$5*Marketing!P$6,0)+IF(EOMONTH(DATE(YEAR(Marketing!$K$1),MONTH(Marketing!$K$1),1)+INT((DAY(Marketing!$K$1)-1)/2)+'Cash Drivers'!M$7,0)=EOMONTH($DC$1,0),Marketing!M$5*Marketing!M$6,0)+0,0)</f>
        <v>74</v>
      </c>
      <c r="DF7" s="86"/>
      <c r="DG7" s="86" t="n">
        <f aca="false">IF('Cash Drivers'!DG$26,DF7,ROUND(IF(EOMONTH(DATE(YEAR(Marketing!$DL$1),MONTH(Marketing!$DL$1),1)+INT((DAY(Marketing!$DL$1)-1)/2)+'Cash Drivers'!DM$7,0)=EOMONTH($DF$1,0),Marketing!DM$5*Marketing!DM$6,0)+IF(EOMONTH(DATE(YEAR(Marketing!$DI$1),MONTH(Marketing!$DI$1),1)+INT((DAY(Marketing!$DI$1)-1)/2)+'Cash Drivers'!DJ$7,0)=EOMONTH($DF$1,0),Marketing!DJ$5*Marketing!DJ$6,0)+IF(EOMONTH(DATE(YEAR(Marketing!$DF$1),MONTH(Marketing!$DF$1),1)+INT((DAY(Marketing!$DF$1)-1)/2)+'Cash Drivers'!DG$7,0)=EOMONTH($DF$1,0),Marketing!DG$5*Marketing!DG$6,0)+IF(EOMONTH(DATE(YEAR(Marketing!$DC$1),MONTH(Marketing!$DC$1),1)+INT((DAY(Marketing!$DC$1)-1)/2)+'Cash Drivers'!DD$7,0)=EOMONTH($DF$1,0),Marketing!DD$5*Marketing!DD$6,0)+IF(EOMONTH(DATE(YEAR(Marketing!$CZ$1),MONTH(Marketing!$CZ$1),1)+INT((DAY(Marketing!$CZ$1)-1)/2)+'Cash Drivers'!DA$7,0)=EOMONTH($DF$1,0),Marketing!DA$5*Marketing!DA$6,0)+IF(EOMONTH(DATE(YEAR(Marketing!$CW$1),MONTH(Marketing!$CW$1),1)+INT((DAY(Marketing!$CW$1)-1)/2)+'Cash Drivers'!CX$7,0)=EOMONTH($DF$1,0),Marketing!CX$5*Marketing!CX$6,0)+IF(EOMONTH(DATE(YEAR(Marketing!$CT$1),MONTH(Marketing!$CT$1),1)+INT((DAY(Marketing!$CT$1)-1)/2)+'Cash Drivers'!CU$7,0)=EOMONTH($DF$1,0),Marketing!CU$5*Marketing!CU$6,0)+IF(EOMONTH(DATE(YEAR(Marketing!$CQ$1),MONTH(Marketing!$CQ$1),1)+INT((DAY(Marketing!$CQ$1)-1)/2)+'Cash Drivers'!CR$7,0)=EOMONTH($DF$1,0),Marketing!CR$5*Marketing!CR$6,0)+IF(EOMONTH(DATE(YEAR(Marketing!$CN$1),MONTH(Marketing!$CN$1),1)+INT((DAY(Marketing!$CN$1)-1)/2)+'Cash Drivers'!CO$7,0)=EOMONTH($DF$1,0),Marketing!CO$5*Marketing!CO$6,0)+IF(EOMONTH(DATE(YEAR(Marketing!$CK$1),MONTH(Marketing!$CK$1),1)+INT((DAY(Marketing!$CK$1)-1)/2)+'Cash Drivers'!CL$7,0)=EOMONTH($DF$1,0),Marketing!CL$5*Marketing!CL$6,0)+IF(EOMONTH(DATE(YEAR(Marketing!$CH$1),MONTH(Marketing!$CH$1),1)+INT((DAY(Marketing!$CH$1)-1)/2)+'Cash Drivers'!CI$7,0)=EOMONTH($DF$1,0),Marketing!CI$5*Marketing!CI$6,0)+IF(EOMONTH(DATE(YEAR(Marketing!$CE$1),MONTH(Marketing!$CE$1),1)+INT((DAY(Marketing!$CE$1)-1)/2)+'Cash Drivers'!CF$7,0)=EOMONTH($DF$1,0),Marketing!CF$5*Marketing!CF$6,0)+IF(EOMONTH(DATE(YEAR(Marketing!$CB$1),MONTH(Marketing!$CB$1),1)+INT((DAY(Marketing!$CB$1)-1)/2)+'Cash Drivers'!CC$7,0)=EOMONTH($DF$1,0),Marketing!CC$5*Marketing!CC$6,0)+IF(EOMONTH(DATE(YEAR(Marketing!$BY$1),MONTH(Marketing!$BY$1),1)+INT((DAY(Marketing!$BY$1)-1)/2)+'Cash Drivers'!BZ$7,0)=EOMONTH($DF$1,0),Marketing!BZ$5*Marketing!BZ$6,0)+IF(EOMONTH(DATE(YEAR(Marketing!$BV$1),MONTH(Marketing!$BV$1),1)+INT((DAY(Marketing!$BV$1)-1)/2)+'Cash Drivers'!BW$7,0)=EOMONTH($DF$1,0),Marketing!BW$5*Marketing!BW$6,0)+IF(EOMONTH(DATE(YEAR(Marketing!$BS$1),MONTH(Marketing!$BS$1),1)+INT((DAY(Marketing!$BS$1)-1)/2)+'Cash Drivers'!BT$7,0)=EOMONTH($DF$1,0),Marketing!BT$5*Marketing!BT$6,0)+IF(EOMONTH(DATE(YEAR(Marketing!$BP$1),MONTH(Marketing!$BP$1),1)+INT((DAY(Marketing!$BP$1)-1)/2)+'Cash Drivers'!BQ$7,0)=EOMONTH($DF$1,0),Marketing!BQ$5*Marketing!BQ$6,0)+IF(EOMONTH(DATE(YEAR(Marketing!$BM$1),MONTH(Marketing!$BM$1),1)+INT((DAY(Marketing!$BM$1)-1)/2)+'Cash Drivers'!BN$7,0)=EOMONTH($DF$1,0),Marketing!BN$5*Marketing!BN$6,0)+IF(EOMONTH(DATE(YEAR(Marketing!$BJ$1),MONTH(Marketing!$BJ$1),1)+INT((DAY(Marketing!$BJ$1)-1)/2)+'Cash Drivers'!BK$7,0)=EOMONTH($DF$1,0),Marketing!BK$5*Marketing!BK$6,0)+IF(EOMONTH(DATE(YEAR(Marketing!$BG$1),MONTH(Marketing!$BG$1),1)+INT((DAY(Marketing!$BG$1)-1)/2)+'Cash Drivers'!BH$7,0)=EOMONTH($DF$1,0),Marketing!BH$5*Marketing!BH$6,0)+IF(EOMONTH(DATE(YEAR(Marketing!$BD$1),MONTH(Marketing!$BD$1),1)+INT((DAY(Marketing!$BD$1)-1)/2)+'Cash Drivers'!BE$7,0)=EOMONTH($DF$1,0),Marketing!BE$5*Marketing!BE$6,0)+IF(EOMONTH(DATE(YEAR(Marketing!$BA$1),MONTH(Marketing!$BA$1),1)+INT((DAY(Marketing!$BA$1)-1)/2)+'Cash Drivers'!BB$7,0)=EOMONTH($DF$1,0),Marketing!BB$5*Marketing!BB$6,0)+IF(EOMONTH(DATE(YEAR(Marketing!$AX$1),MONTH(Marketing!$AX$1),1)+INT((DAY(Marketing!$AX$1)-1)/2)+'Cash Drivers'!AY$7,0)=EOMONTH($DF$1,0),Marketing!AY$5*Marketing!AY$6,0)+IF(EOMONTH(DATE(YEAR(Marketing!$AU$1),MONTH(Marketing!$AU$1),1)+INT((DAY(Marketing!$AU$1)-1)/2)+'Cash Drivers'!AV$7,0)=EOMONTH($DF$1,0),Marketing!AV$5*Marketing!AV$6,0)+IF(EOMONTH(DATE(YEAR(Marketing!$AR$1),MONTH(Marketing!$AR$1),1)+INT((DAY(Marketing!$AR$1)-1)/2)+'Cash Drivers'!AS$7,0)=EOMONTH($DF$1,0),Marketing!AS$5*Marketing!AS$6,0)+IF(EOMONTH(DATE(YEAR(Marketing!$AO$1),MONTH(Marketing!$AO$1),1)+INT((DAY(Marketing!$AO$1)-1)/2)+'Cash Drivers'!AP$7,0)=EOMONTH($DF$1,0),Marketing!AP$5*Marketing!AP$6,0)+IF(EOMONTH(DATE(YEAR(Marketing!$AL$1),MONTH(Marketing!$AL$1),1)+INT((DAY(Marketing!$AL$1)-1)/2)+'Cash Drivers'!AM$7,0)=EOMONTH($DF$1,0),Marketing!AM$5*Marketing!AM$6,0)+IF(EOMONTH(DATE(YEAR(Marketing!$AI$1),MONTH(Marketing!$AI$1),1)+INT((DAY(Marketing!$AI$1)-1)/2)+'Cash Drivers'!AJ$7,0)=EOMONTH($DF$1,0),Marketing!AJ$5*Marketing!AJ$6,0)+IF(EOMONTH(DATE(YEAR(Marketing!$AF$1),MONTH(Marketing!$AF$1),1)+INT((DAY(Marketing!$AF$1)-1)/2)+'Cash Drivers'!AG$7,0)=EOMONTH($DF$1,0),Marketing!AG$5*Marketing!AG$6,0)+IF(EOMONTH(DATE(YEAR(Marketing!$AC$1),MONTH(Marketing!$AC$1),1)+INT((DAY(Marketing!$AC$1)-1)/2)+'Cash Drivers'!AD$7,0)=EOMONTH($DF$1,0),Marketing!AD$5*Marketing!AD$6,0)+IF(EOMONTH(DATE(YEAR(Marketing!$Z$1),MONTH(Marketing!$Z$1),1)+INT((DAY(Marketing!$Z$1)-1)/2)+'Cash Drivers'!AA$7,0)=EOMONTH($DF$1,0),Marketing!AA$5*Marketing!AA$6,0)+IF(EOMONTH(DATE(YEAR(Marketing!$W$1),MONTH(Marketing!$W$1),1)+INT((DAY(Marketing!$W$1)-1)/2)+'Cash Drivers'!X$7,0)=EOMONTH($DF$1,0),Marketing!X$5*Marketing!X$6,0)+IF(EOMONTH(DATE(YEAR(Marketing!$T$1),MONTH(Marketing!$T$1),1)+INT((DAY(Marketing!$T$1)-1)/2)+'Cash Drivers'!U$7,0)=EOMONTH($DF$1,0),Marketing!U$5*Marketing!U$6,0)+IF(EOMONTH(DATE(YEAR(Marketing!$Q$1),MONTH(Marketing!$Q$1),1)+INT((DAY(Marketing!$Q$1)-1)/2)+'Cash Drivers'!R$7,0)=EOMONTH($DF$1,0),Marketing!R$5*Marketing!R$6,0)+IF(EOMONTH(DATE(YEAR(Marketing!$N$1),MONTH(Marketing!$N$1),1)+INT((DAY(Marketing!$N$1)-1)/2)+'Cash Drivers'!O$7,0)=EOMONTH($DF$1,0),Marketing!O$5*Marketing!O$6,0)+IF(EOMONTH(DATE(YEAR(Marketing!$K$1),MONTH(Marketing!$K$1),1)+INT((DAY(Marketing!$K$1)-1)/2)+'Cash Drivers'!L$7,0)=EOMONTH($DF$1,0),Marketing!L$5*Marketing!L$6,0)+0,0))</f>
        <v>74</v>
      </c>
      <c r="DH7" s="86" t="n">
        <f aca="false">ROUND(IF(EOMONTH(DATE(YEAR(Marketing!$DL$1),MONTH(Marketing!$DL$1),1)+INT((DAY(Marketing!$DL$1)-1)/2)+'Cash Drivers'!DN$7,0)=EOMONTH($DF$1,0),Marketing!DN$5*Marketing!DN$6,0)+IF(EOMONTH(DATE(YEAR(Marketing!$DI$1),MONTH(Marketing!$DI$1),1)+INT((DAY(Marketing!$DI$1)-1)/2)+'Cash Drivers'!DK$7,0)=EOMONTH($DF$1,0),Marketing!DK$5*Marketing!DK$6,0)+IF(EOMONTH(DATE(YEAR(Marketing!$DF$1),MONTH(Marketing!$DF$1),1)+INT((DAY(Marketing!$DF$1)-1)/2)+'Cash Drivers'!DH$7,0)=EOMONTH($DF$1,0),Marketing!DH$5*Marketing!DH$6,0)+IF(EOMONTH(DATE(YEAR(Marketing!$DC$1),MONTH(Marketing!$DC$1),1)+INT((DAY(Marketing!$DC$1)-1)/2)+'Cash Drivers'!DE$7,0)=EOMONTH($DF$1,0),Marketing!DE$5*Marketing!DE$6,0)+IF(EOMONTH(DATE(YEAR(Marketing!$CZ$1),MONTH(Marketing!$CZ$1),1)+INT((DAY(Marketing!$CZ$1)-1)/2)+'Cash Drivers'!DB$7,0)=EOMONTH($DF$1,0),Marketing!DB$5*Marketing!DB$6,0)+IF(EOMONTH(DATE(YEAR(Marketing!$CW$1),MONTH(Marketing!$CW$1),1)+INT((DAY(Marketing!$CW$1)-1)/2)+'Cash Drivers'!CY$7,0)=EOMONTH($DF$1,0),Marketing!CY$5*Marketing!CY$6,0)+IF(EOMONTH(DATE(YEAR(Marketing!$CT$1),MONTH(Marketing!$CT$1),1)+INT((DAY(Marketing!$CT$1)-1)/2)+'Cash Drivers'!CV$7,0)=EOMONTH($DF$1,0),Marketing!CV$5*Marketing!CV$6,0)+IF(EOMONTH(DATE(YEAR(Marketing!$CQ$1),MONTH(Marketing!$CQ$1),1)+INT((DAY(Marketing!$CQ$1)-1)/2)+'Cash Drivers'!CS$7,0)=EOMONTH($DF$1,0),Marketing!CS$5*Marketing!CS$6,0)+IF(EOMONTH(DATE(YEAR(Marketing!$CN$1),MONTH(Marketing!$CN$1),1)+INT((DAY(Marketing!$CN$1)-1)/2)+'Cash Drivers'!CP$7,0)=EOMONTH($DF$1,0),Marketing!CP$5*Marketing!CP$6,0)+IF(EOMONTH(DATE(YEAR(Marketing!$CK$1),MONTH(Marketing!$CK$1),1)+INT((DAY(Marketing!$CK$1)-1)/2)+'Cash Drivers'!CM$7,0)=EOMONTH($DF$1,0),Marketing!CM$5*Marketing!CM$6,0)+IF(EOMONTH(DATE(YEAR(Marketing!$CH$1),MONTH(Marketing!$CH$1),1)+INT((DAY(Marketing!$CH$1)-1)/2)+'Cash Drivers'!CJ$7,0)=EOMONTH($DF$1,0),Marketing!CJ$5*Marketing!CJ$6,0)+IF(EOMONTH(DATE(YEAR(Marketing!$CE$1),MONTH(Marketing!$CE$1),1)+INT((DAY(Marketing!$CE$1)-1)/2)+'Cash Drivers'!CG$7,0)=EOMONTH($DF$1,0),Marketing!CG$5*Marketing!CG$6,0)+IF(EOMONTH(DATE(YEAR(Marketing!$CB$1),MONTH(Marketing!$CB$1),1)+INT((DAY(Marketing!$CB$1)-1)/2)+'Cash Drivers'!CD$7,0)=EOMONTH($DF$1,0),Marketing!CD$5*Marketing!CD$6,0)+IF(EOMONTH(DATE(YEAR(Marketing!$BY$1),MONTH(Marketing!$BY$1),1)+INT((DAY(Marketing!$BY$1)-1)/2)+'Cash Drivers'!CA$7,0)=EOMONTH($DF$1,0),Marketing!CA$5*Marketing!CA$6,0)+IF(EOMONTH(DATE(YEAR(Marketing!$BV$1),MONTH(Marketing!$BV$1),1)+INT((DAY(Marketing!$BV$1)-1)/2)+'Cash Drivers'!BX$7,0)=EOMONTH($DF$1,0),Marketing!BX$5*Marketing!BX$6,0)+IF(EOMONTH(DATE(YEAR(Marketing!$BS$1),MONTH(Marketing!$BS$1),1)+INT((DAY(Marketing!$BS$1)-1)/2)+'Cash Drivers'!BU$7,0)=EOMONTH($DF$1,0),Marketing!BU$5*Marketing!BU$6,0)+IF(EOMONTH(DATE(YEAR(Marketing!$BP$1),MONTH(Marketing!$BP$1),1)+INT((DAY(Marketing!$BP$1)-1)/2)+'Cash Drivers'!BR$7,0)=EOMONTH($DF$1,0),Marketing!BR$5*Marketing!BR$6,0)+IF(EOMONTH(DATE(YEAR(Marketing!$BM$1),MONTH(Marketing!$BM$1),1)+INT((DAY(Marketing!$BM$1)-1)/2)+'Cash Drivers'!BO$7,0)=EOMONTH($DF$1,0),Marketing!BO$5*Marketing!BO$6,0)+IF(EOMONTH(DATE(YEAR(Marketing!$BJ$1),MONTH(Marketing!$BJ$1),1)+INT((DAY(Marketing!$BJ$1)-1)/2)+'Cash Drivers'!BL$7,0)=EOMONTH($DF$1,0),Marketing!BL$5*Marketing!BL$6,0)+IF(EOMONTH(DATE(YEAR(Marketing!$BG$1),MONTH(Marketing!$BG$1),1)+INT((DAY(Marketing!$BG$1)-1)/2)+'Cash Drivers'!BI$7,0)=EOMONTH($DF$1,0),Marketing!BI$5*Marketing!BI$6,0)+IF(EOMONTH(DATE(YEAR(Marketing!$BD$1),MONTH(Marketing!$BD$1),1)+INT((DAY(Marketing!$BD$1)-1)/2)+'Cash Drivers'!BF$7,0)=EOMONTH($DF$1,0),Marketing!BF$5*Marketing!BF$6,0)+IF(EOMONTH(DATE(YEAR(Marketing!$BA$1),MONTH(Marketing!$BA$1),1)+INT((DAY(Marketing!$BA$1)-1)/2)+'Cash Drivers'!BC$7,0)=EOMONTH($DF$1,0),Marketing!BC$5*Marketing!BC$6,0)+IF(EOMONTH(DATE(YEAR(Marketing!$AX$1),MONTH(Marketing!$AX$1),1)+INT((DAY(Marketing!$AX$1)-1)/2)+'Cash Drivers'!AZ$7,0)=EOMONTH($DF$1,0),Marketing!AZ$5*Marketing!AZ$6,0)+IF(EOMONTH(DATE(YEAR(Marketing!$AU$1),MONTH(Marketing!$AU$1),1)+INT((DAY(Marketing!$AU$1)-1)/2)+'Cash Drivers'!AW$7,0)=EOMONTH($DF$1,0),Marketing!AW$5*Marketing!AW$6,0)+IF(EOMONTH(DATE(YEAR(Marketing!$AR$1),MONTH(Marketing!$AR$1),1)+INT((DAY(Marketing!$AR$1)-1)/2)+'Cash Drivers'!AT$7,0)=EOMONTH($DF$1,0),Marketing!AT$5*Marketing!AT$6,0)+IF(EOMONTH(DATE(YEAR(Marketing!$AO$1),MONTH(Marketing!$AO$1),1)+INT((DAY(Marketing!$AO$1)-1)/2)+'Cash Drivers'!AQ$7,0)=EOMONTH($DF$1,0),Marketing!AQ$5*Marketing!AQ$6,0)+IF(EOMONTH(DATE(YEAR(Marketing!$AL$1),MONTH(Marketing!$AL$1),1)+INT((DAY(Marketing!$AL$1)-1)/2)+'Cash Drivers'!AN$7,0)=EOMONTH($DF$1,0),Marketing!AN$5*Marketing!AN$6,0)+IF(EOMONTH(DATE(YEAR(Marketing!$AI$1),MONTH(Marketing!$AI$1),1)+INT((DAY(Marketing!$AI$1)-1)/2)+'Cash Drivers'!AK$7,0)=EOMONTH($DF$1,0),Marketing!AK$5*Marketing!AK$6,0)+IF(EOMONTH(DATE(YEAR(Marketing!$AF$1),MONTH(Marketing!$AF$1),1)+INT((DAY(Marketing!$AF$1)-1)/2)+'Cash Drivers'!AH$7,0)=EOMONTH($DF$1,0),Marketing!AH$5*Marketing!AH$6,0)+IF(EOMONTH(DATE(YEAR(Marketing!$AC$1),MONTH(Marketing!$AC$1),1)+INT((DAY(Marketing!$AC$1)-1)/2)+'Cash Drivers'!AE$7,0)=EOMONTH($DF$1,0),Marketing!AE$5*Marketing!AE$6,0)+IF(EOMONTH(DATE(YEAR(Marketing!$Z$1),MONTH(Marketing!$Z$1),1)+INT((DAY(Marketing!$Z$1)-1)/2)+'Cash Drivers'!AB$7,0)=EOMONTH($DF$1,0),Marketing!AB$5*Marketing!AB$6,0)+IF(EOMONTH(DATE(YEAR(Marketing!$W$1),MONTH(Marketing!$W$1),1)+INT((DAY(Marketing!$W$1)-1)/2)+'Cash Drivers'!Y$7,0)=EOMONTH($DF$1,0),Marketing!Y$5*Marketing!Y$6,0)+IF(EOMONTH(DATE(YEAR(Marketing!$T$1),MONTH(Marketing!$T$1),1)+INT((DAY(Marketing!$T$1)-1)/2)+'Cash Drivers'!V$7,0)=EOMONTH($DF$1,0),Marketing!V$5*Marketing!V$6,0)+IF(EOMONTH(DATE(YEAR(Marketing!$Q$1),MONTH(Marketing!$Q$1),1)+INT((DAY(Marketing!$Q$1)-1)/2)+'Cash Drivers'!S$7,0)=EOMONTH($DF$1,0),Marketing!S$5*Marketing!S$6,0)+IF(EOMONTH(DATE(YEAR(Marketing!$N$1),MONTH(Marketing!$N$1),1)+INT((DAY(Marketing!$N$1)-1)/2)+'Cash Drivers'!P$7,0)=EOMONTH($DF$1,0),Marketing!P$5*Marketing!P$6,0)+IF(EOMONTH(DATE(YEAR(Marketing!$K$1),MONTH(Marketing!$K$1),1)+INT((DAY(Marketing!$K$1)-1)/2)+'Cash Drivers'!M$7,0)=EOMONTH($DF$1,0),Marketing!M$5*Marketing!M$6,0)+0,0)</f>
        <v>74</v>
      </c>
      <c r="DI7" s="26" t="n">
        <v>74</v>
      </c>
      <c r="DJ7" s="87" t="n">
        <f aca="false">IF('Cash Drivers'!DJ$26,DI7,ROUND(IF(EOMONTH(DATE(YEAR(Marketing!$DL$1),MONTH(Marketing!$DL$1),1)+INT((DAY(Marketing!$DL$1)-1)/2)+'Cash Drivers'!DM$7,0)=EOMONTH($DI$1,0),Marketing!DM$5*Marketing!DM$6,0)+IF(EOMONTH(DATE(YEAR(Marketing!$DI$1),MONTH(Marketing!$DI$1),1)+INT((DAY(Marketing!$DI$1)-1)/2)+'Cash Drivers'!DJ$7,0)=EOMONTH($DI$1,0),Marketing!DJ$5*Marketing!DJ$6,0)+IF(EOMONTH(DATE(YEAR(Marketing!$DF$1),MONTH(Marketing!$DF$1),1)+INT((DAY(Marketing!$DF$1)-1)/2)+'Cash Drivers'!DG$7,0)=EOMONTH($DI$1,0),Marketing!DG$5*Marketing!DG$6,0)+IF(EOMONTH(DATE(YEAR(Marketing!$DC$1),MONTH(Marketing!$DC$1),1)+INT((DAY(Marketing!$DC$1)-1)/2)+'Cash Drivers'!DD$7,0)=EOMONTH($DI$1,0),Marketing!DD$5*Marketing!DD$6,0)+IF(EOMONTH(DATE(YEAR(Marketing!$CZ$1),MONTH(Marketing!$CZ$1),1)+INT((DAY(Marketing!$CZ$1)-1)/2)+'Cash Drivers'!DA$7,0)=EOMONTH($DI$1,0),Marketing!DA$5*Marketing!DA$6,0)+IF(EOMONTH(DATE(YEAR(Marketing!$CW$1),MONTH(Marketing!$CW$1),1)+INT((DAY(Marketing!$CW$1)-1)/2)+'Cash Drivers'!CX$7,0)=EOMONTH($DI$1,0),Marketing!CX$5*Marketing!CX$6,0)+IF(EOMONTH(DATE(YEAR(Marketing!$CT$1),MONTH(Marketing!$CT$1),1)+INT((DAY(Marketing!$CT$1)-1)/2)+'Cash Drivers'!CU$7,0)=EOMONTH($DI$1,0),Marketing!CU$5*Marketing!CU$6,0)+IF(EOMONTH(DATE(YEAR(Marketing!$CQ$1),MONTH(Marketing!$CQ$1),1)+INT((DAY(Marketing!$CQ$1)-1)/2)+'Cash Drivers'!CR$7,0)=EOMONTH($DI$1,0),Marketing!CR$5*Marketing!CR$6,0)+IF(EOMONTH(DATE(YEAR(Marketing!$CN$1),MONTH(Marketing!$CN$1),1)+INT((DAY(Marketing!$CN$1)-1)/2)+'Cash Drivers'!CO$7,0)=EOMONTH($DI$1,0),Marketing!CO$5*Marketing!CO$6,0)+IF(EOMONTH(DATE(YEAR(Marketing!$CK$1),MONTH(Marketing!$CK$1),1)+INT((DAY(Marketing!$CK$1)-1)/2)+'Cash Drivers'!CL$7,0)=EOMONTH($DI$1,0),Marketing!CL$5*Marketing!CL$6,0)+IF(EOMONTH(DATE(YEAR(Marketing!$CH$1),MONTH(Marketing!$CH$1),1)+INT((DAY(Marketing!$CH$1)-1)/2)+'Cash Drivers'!CI$7,0)=EOMONTH($DI$1,0),Marketing!CI$5*Marketing!CI$6,0)+IF(EOMONTH(DATE(YEAR(Marketing!$CE$1),MONTH(Marketing!$CE$1),1)+INT((DAY(Marketing!$CE$1)-1)/2)+'Cash Drivers'!CF$7,0)=EOMONTH($DI$1,0),Marketing!CF$5*Marketing!CF$6,0)+IF(EOMONTH(DATE(YEAR(Marketing!$CB$1),MONTH(Marketing!$CB$1),1)+INT((DAY(Marketing!$CB$1)-1)/2)+'Cash Drivers'!CC$7,0)=EOMONTH($DI$1,0),Marketing!CC$5*Marketing!CC$6,0)+IF(EOMONTH(DATE(YEAR(Marketing!$BY$1),MONTH(Marketing!$BY$1),1)+INT((DAY(Marketing!$BY$1)-1)/2)+'Cash Drivers'!BZ$7,0)=EOMONTH($DI$1,0),Marketing!BZ$5*Marketing!BZ$6,0)+IF(EOMONTH(DATE(YEAR(Marketing!$BV$1),MONTH(Marketing!$BV$1),1)+INT((DAY(Marketing!$BV$1)-1)/2)+'Cash Drivers'!BW$7,0)=EOMONTH($DI$1,0),Marketing!BW$5*Marketing!BW$6,0)+IF(EOMONTH(DATE(YEAR(Marketing!$BS$1),MONTH(Marketing!$BS$1),1)+INT((DAY(Marketing!$BS$1)-1)/2)+'Cash Drivers'!BT$7,0)=EOMONTH($DI$1,0),Marketing!BT$5*Marketing!BT$6,0)+IF(EOMONTH(DATE(YEAR(Marketing!$BP$1),MONTH(Marketing!$BP$1),1)+INT((DAY(Marketing!$BP$1)-1)/2)+'Cash Drivers'!BQ$7,0)=EOMONTH($DI$1,0),Marketing!BQ$5*Marketing!BQ$6,0)+IF(EOMONTH(DATE(YEAR(Marketing!$BM$1),MONTH(Marketing!$BM$1),1)+INT((DAY(Marketing!$BM$1)-1)/2)+'Cash Drivers'!BN$7,0)=EOMONTH($DI$1,0),Marketing!BN$5*Marketing!BN$6,0)+IF(EOMONTH(DATE(YEAR(Marketing!$BJ$1),MONTH(Marketing!$BJ$1),1)+INT((DAY(Marketing!$BJ$1)-1)/2)+'Cash Drivers'!BK$7,0)=EOMONTH($DI$1,0),Marketing!BK$5*Marketing!BK$6,0)+IF(EOMONTH(DATE(YEAR(Marketing!$BG$1),MONTH(Marketing!$BG$1),1)+INT((DAY(Marketing!$BG$1)-1)/2)+'Cash Drivers'!BH$7,0)=EOMONTH($DI$1,0),Marketing!BH$5*Marketing!BH$6,0)+IF(EOMONTH(DATE(YEAR(Marketing!$BD$1),MONTH(Marketing!$BD$1),1)+INT((DAY(Marketing!$BD$1)-1)/2)+'Cash Drivers'!BE$7,0)=EOMONTH($DI$1,0),Marketing!BE$5*Marketing!BE$6,0)+IF(EOMONTH(DATE(YEAR(Marketing!$BA$1),MONTH(Marketing!$BA$1),1)+INT((DAY(Marketing!$BA$1)-1)/2)+'Cash Drivers'!BB$7,0)=EOMONTH($DI$1,0),Marketing!BB$5*Marketing!BB$6,0)+IF(EOMONTH(DATE(YEAR(Marketing!$AX$1),MONTH(Marketing!$AX$1),1)+INT((DAY(Marketing!$AX$1)-1)/2)+'Cash Drivers'!AY$7,0)=EOMONTH($DI$1,0),Marketing!AY$5*Marketing!AY$6,0)+IF(EOMONTH(DATE(YEAR(Marketing!$AU$1),MONTH(Marketing!$AU$1),1)+INT((DAY(Marketing!$AU$1)-1)/2)+'Cash Drivers'!AV$7,0)=EOMONTH($DI$1,0),Marketing!AV$5*Marketing!AV$6,0)+IF(EOMONTH(DATE(YEAR(Marketing!$AR$1),MONTH(Marketing!$AR$1),1)+INT((DAY(Marketing!$AR$1)-1)/2)+'Cash Drivers'!AS$7,0)=EOMONTH($DI$1,0),Marketing!AS$5*Marketing!AS$6,0)+IF(EOMONTH(DATE(YEAR(Marketing!$AO$1),MONTH(Marketing!$AO$1),1)+INT((DAY(Marketing!$AO$1)-1)/2)+'Cash Drivers'!AP$7,0)=EOMONTH($DI$1,0),Marketing!AP$5*Marketing!AP$6,0)+IF(EOMONTH(DATE(YEAR(Marketing!$AL$1),MONTH(Marketing!$AL$1),1)+INT((DAY(Marketing!$AL$1)-1)/2)+'Cash Drivers'!AM$7,0)=EOMONTH($DI$1,0),Marketing!AM$5*Marketing!AM$6,0)+IF(EOMONTH(DATE(YEAR(Marketing!$AI$1),MONTH(Marketing!$AI$1),1)+INT((DAY(Marketing!$AI$1)-1)/2)+'Cash Drivers'!AJ$7,0)=EOMONTH($DI$1,0),Marketing!AJ$5*Marketing!AJ$6,0)+IF(EOMONTH(DATE(YEAR(Marketing!$AF$1),MONTH(Marketing!$AF$1),1)+INT((DAY(Marketing!$AF$1)-1)/2)+'Cash Drivers'!AG$7,0)=EOMONTH($DI$1,0),Marketing!AG$5*Marketing!AG$6,0)+IF(EOMONTH(DATE(YEAR(Marketing!$AC$1),MONTH(Marketing!$AC$1),1)+INT((DAY(Marketing!$AC$1)-1)/2)+'Cash Drivers'!AD$7,0)=EOMONTH($DI$1,0),Marketing!AD$5*Marketing!AD$6,0)+IF(EOMONTH(DATE(YEAR(Marketing!$Z$1),MONTH(Marketing!$Z$1),1)+INT((DAY(Marketing!$Z$1)-1)/2)+'Cash Drivers'!AA$7,0)=EOMONTH($DI$1,0),Marketing!AA$5*Marketing!AA$6,0)+IF(EOMONTH(DATE(YEAR(Marketing!$W$1),MONTH(Marketing!$W$1),1)+INT((DAY(Marketing!$W$1)-1)/2)+'Cash Drivers'!X$7,0)=EOMONTH($DI$1,0),Marketing!X$5*Marketing!X$6,0)+IF(EOMONTH(DATE(YEAR(Marketing!$T$1),MONTH(Marketing!$T$1),1)+INT((DAY(Marketing!$T$1)-1)/2)+'Cash Drivers'!U$7,0)=EOMONTH($DI$1,0),Marketing!U$5*Marketing!U$6,0)+IF(EOMONTH(DATE(YEAR(Marketing!$Q$1),MONTH(Marketing!$Q$1),1)+INT((DAY(Marketing!$Q$1)-1)/2)+'Cash Drivers'!R$7,0)=EOMONTH($DI$1,0),Marketing!R$5*Marketing!R$6,0)+IF(EOMONTH(DATE(YEAR(Marketing!$N$1),MONTH(Marketing!$N$1),1)+INT((DAY(Marketing!$N$1)-1)/2)+'Cash Drivers'!O$7,0)=EOMONTH($DI$1,0),Marketing!O$5*Marketing!O$6,0)+IF(EOMONTH(DATE(YEAR(Marketing!$K$1),MONTH(Marketing!$K$1),1)+INT((DAY(Marketing!$K$1)-1)/2)+'Cash Drivers'!L$7,0)=EOMONTH($DI$1,0),Marketing!L$5*Marketing!L$6,0)+0,0))</f>
        <v>74</v>
      </c>
      <c r="DK7" s="87" t="n">
        <f aca="false">ROUND(IF(EOMONTH(DATE(YEAR(Marketing!$DL$1),MONTH(Marketing!$DL$1),1)+INT((DAY(Marketing!$DL$1)-1)/2)+'Cash Drivers'!DN$7,0)=EOMONTH($DI$1,0),Marketing!DN$5*Marketing!DN$6,0)+IF(EOMONTH(DATE(YEAR(Marketing!$DI$1),MONTH(Marketing!$DI$1),1)+INT((DAY(Marketing!$DI$1)-1)/2)+'Cash Drivers'!DK$7,0)=EOMONTH($DI$1,0),Marketing!DK$5*Marketing!DK$6,0)+IF(EOMONTH(DATE(YEAR(Marketing!$DF$1),MONTH(Marketing!$DF$1),1)+INT((DAY(Marketing!$DF$1)-1)/2)+'Cash Drivers'!DH$7,0)=EOMONTH($DI$1,0),Marketing!DH$5*Marketing!DH$6,0)+IF(EOMONTH(DATE(YEAR(Marketing!$DC$1),MONTH(Marketing!$DC$1),1)+INT((DAY(Marketing!$DC$1)-1)/2)+'Cash Drivers'!DE$7,0)=EOMONTH($DI$1,0),Marketing!DE$5*Marketing!DE$6,0)+IF(EOMONTH(DATE(YEAR(Marketing!$CZ$1),MONTH(Marketing!$CZ$1),1)+INT((DAY(Marketing!$CZ$1)-1)/2)+'Cash Drivers'!DB$7,0)=EOMONTH($DI$1,0),Marketing!DB$5*Marketing!DB$6,0)+IF(EOMONTH(DATE(YEAR(Marketing!$CW$1),MONTH(Marketing!$CW$1),1)+INT((DAY(Marketing!$CW$1)-1)/2)+'Cash Drivers'!CY$7,0)=EOMONTH($DI$1,0),Marketing!CY$5*Marketing!CY$6,0)+IF(EOMONTH(DATE(YEAR(Marketing!$CT$1),MONTH(Marketing!$CT$1),1)+INT((DAY(Marketing!$CT$1)-1)/2)+'Cash Drivers'!CV$7,0)=EOMONTH($DI$1,0),Marketing!CV$5*Marketing!CV$6,0)+IF(EOMONTH(DATE(YEAR(Marketing!$CQ$1),MONTH(Marketing!$CQ$1),1)+INT((DAY(Marketing!$CQ$1)-1)/2)+'Cash Drivers'!CS$7,0)=EOMONTH($DI$1,0),Marketing!CS$5*Marketing!CS$6,0)+IF(EOMONTH(DATE(YEAR(Marketing!$CN$1),MONTH(Marketing!$CN$1),1)+INT((DAY(Marketing!$CN$1)-1)/2)+'Cash Drivers'!CP$7,0)=EOMONTH($DI$1,0),Marketing!CP$5*Marketing!CP$6,0)+IF(EOMONTH(DATE(YEAR(Marketing!$CK$1),MONTH(Marketing!$CK$1),1)+INT((DAY(Marketing!$CK$1)-1)/2)+'Cash Drivers'!CM$7,0)=EOMONTH($DI$1,0),Marketing!CM$5*Marketing!CM$6,0)+IF(EOMONTH(DATE(YEAR(Marketing!$CH$1),MONTH(Marketing!$CH$1),1)+INT((DAY(Marketing!$CH$1)-1)/2)+'Cash Drivers'!CJ$7,0)=EOMONTH($DI$1,0),Marketing!CJ$5*Marketing!CJ$6,0)+IF(EOMONTH(DATE(YEAR(Marketing!$CE$1),MONTH(Marketing!$CE$1),1)+INT((DAY(Marketing!$CE$1)-1)/2)+'Cash Drivers'!CG$7,0)=EOMONTH($DI$1,0),Marketing!CG$5*Marketing!CG$6,0)+IF(EOMONTH(DATE(YEAR(Marketing!$CB$1),MONTH(Marketing!$CB$1),1)+INT((DAY(Marketing!$CB$1)-1)/2)+'Cash Drivers'!CD$7,0)=EOMONTH($DI$1,0),Marketing!CD$5*Marketing!CD$6,0)+IF(EOMONTH(DATE(YEAR(Marketing!$BY$1),MONTH(Marketing!$BY$1),1)+INT((DAY(Marketing!$BY$1)-1)/2)+'Cash Drivers'!CA$7,0)=EOMONTH($DI$1,0),Marketing!CA$5*Marketing!CA$6,0)+IF(EOMONTH(DATE(YEAR(Marketing!$BV$1),MONTH(Marketing!$BV$1),1)+INT((DAY(Marketing!$BV$1)-1)/2)+'Cash Drivers'!BX$7,0)=EOMONTH($DI$1,0),Marketing!BX$5*Marketing!BX$6,0)+IF(EOMONTH(DATE(YEAR(Marketing!$BS$1),MONTH(Marketing!$BS$1),1)+INT((DAY(Marketing!$BS$1)-1)/2)+'Cash Drivers'!BU$7,0)=EOMONTH($DI$1,0),Marketing!BU$5*Marketing!BU$6,0)+IF(EOMONTH(DATE(YEAR(Marketing!$BP$1),MONTH(Marketing!$BP$1),1)+INT((DAY(Marketing!$BP$1)-1)/2)+'Cash Drivers'!BR$7,0)=EOMONTH($DI$1,0),Marketing!BR$5*Marketing!BR$6,0)+IF(EOMONTH(DATE(YEAR(Marketing!$BM$1),MONTH(Marketing!$BM$1),1)+INT((DAY(Marketing!$BM$1)-1)/2)+'Cash Drivers'!BO$7,0)=EOMONTH($DI$1,0),Marketing!BO$5*Marketing!BO$6,0)+IF(EOMONTH(DATE(YEAR(Marketing!$BJ$1),MONTH(Marketing!$BJ$1),1)+INT((DAY(Marketing!$BJ$1)-1)/2)+'Cash Drivers'!BL$7,0)=EOMONTH($DI$1,0),Marketing!BL$5*Marketing!BL$6,0)+IF(EOMONTH(DATE(YEAR(Marketing!$BG$1),MONTH(Marketing!$BG$1),1)+INT((DAY(Marketing!$BG$1)-1)/2)+'Cash Drivers'!BI$7,0)=EOMONTH($DI$1,0),Marketing!BI$5*Marketing!BI$6,0)+IF(EOMONTH(DATE(YEAR(Marketing!$BD$1),MONTH(Marketing!$BD$1),1)+INT((DAY(Marketing!$BD$1)-1)/2)+'Cash Drivers'!BF$7,0)=EOMONTH($DI$1,0),Marketing!BF$5*Marketing!BF$6,0)+IF(EOMONTH(DATE(YEAR(Marketing!$BA$1),MONTH(Marketing!$BA$1),1)+INT((DAY(Marketing!$BA$1)-1)/2)+'Cash Drivers'!BC$7,0)=EOMONTH($DI$1,0),Marketing!BC$5*Marketing!BC$6,0)+IF(EOMONTH(DATE(YEAR(Marketing!$AX$1),MONTH(Marketing!$AX$1),1)+INT((DAY(Marketing!$AX$1)-1)/2)+'Cash Drivers'!AZ$7,0)=EOMONTH($DI$1,0),Marketing!AZ$5*Marketing!AZ$6,0)+IF(EOMONTH(DATE(YEAR(Marketing!$AU$1),MONTH(Marketing!$AU$1),1)+INT((DAY(Marketing!$AU$1)-1)/2)+'Cash Drivers'!AW$7,0)=EOMONTH($DI$1,0),Marketing!AW$5*Marketing!AW$6,0)+IF(EOMONTH(DATE(YEAR(Marketing!$AR$1),MONTH(Marketing!$AR$1),1)+INT((DAY(Marketing!$AR$1)-1)/2)+'Cash Drivers'!AT$7,0)=EOMONTH($DI$1,0),Marketing!AT$5*Marketing!AT$6,0)+IF(EOMONTH(DATE(YEAR(Marketing!$AO$1),MONTH(Marketing!$AO$1),1)+INT((DAY(Marketing!$AO$1)-1)/2)+'Cash Drivers'!AQ$7,0)=EOMONTH($DI$1,0),Marketing!AQ$5*Marketing!AQ$6,0)+IF(EOMONTH(DATE(YEAR(Marketing!$AL$1),MONTH(Marketing!$AL$1),1)+INT((DAY(Marketing!$AL$1)-1)/2)+'Cash Drivers'!AN$7,0)=EOMONTH($DI$1,0),Marketing!AN$5*Marketing!AN$6,0)+IF(EOMONTH(DATE(YEAR(Marketing!$AI$1),MONTH(Marketing!$AI$1),1)+INT((DAY(Marketing!$AI$1)-1)/2)+'Cash Drivers'!AK$7,0)=EOMONTH($DI$1,0),Marketing!AK$5*Marketing!AK$6,0)+IF(EOMONTH(DATE(YEAR(Marketing!$AF$1),MONTH(Marketing!$AF$1),1)+INT((DAY(Marketing!$AF$1)-1)/2)+'Cash Drivers'!AH$7,0)=EOMONTH($DI$1,0),Marketing!AH$5*Marketing!AH$6,0)+IF(EOMONTH(DATE(YEAR(Marketing!$AC$1),MONTH(Marketing!$AC$1),1)+INT((DAY(Marketing!$AC$1)-1)/2)+'Cash Drivers'!AE$7,0)=EOMONTH($DI$1,0),Marketing!AE$5*Marketing!AE$6,0)+IF(EOMONTH(DATE(YEAR(Marketing!$Z$1),MONTH(Marketing!$Z$1),1)+INT((DAY(Marketing!$Z$1)-1)/2)+'Cash Drivers'!AB$7,0)=EOMONTH($DI$1,0),Marketing!AB$5*Marketing!AB$6,0)+IF(EOMONTH(DATE(YEAR(Marketing!$W$1),MONTH(Marketing!$W$1),1)+INT((DAY(Marketing!$W$1)-1)/2)+'Cash Drivers'!Y$7,0)=EOMONTH($DI$1,0),Marketing!Y$5*Marketing!Y$6,0)+IF(EOMONTH(DATE(YEAR(Marketing!$T$1),MONTH(Marketing!$T$1),1)+INT((DAY(Marketing!$T$1)-1)/2)+'Cash Drivers'!V$7,0)=EOMONTH($DI$1,0),Marketing!V$5*Marketing!V$6,0)+IF(EOMONTH(DATE(YEAR(Marketing!$Q$1),MONTH(Marketing!$Q$1),1)+INT((DAY(Marketing!$Q$1)-1)/2)+'Cash Drivers'!S$7,0)=EOMONTH($DI$1,0),Marketing!S$5*Marketing!S$6,0)+IF(EOMONTH(DATE(YEAR(Marketing!$N$1),MONTH(Marketing!$N$1),1)+INT((DAY(Marketing!$N$1)-1)/2)+'Cash Drivers'!P$7,0)=EOMONTH($DI$1,0),Marketing!P$5*Marketing!P$6,0)+IF(EOMONTH(DATE(YEAR(Marketing!$K$1),MONTH(Marketing!$K$1),1)+INT((DAY(Marketing!$K$1)-1)/2)+'Cash Drivers'!M$7,0)=EOMONTH($DI$1,0),Marketing!M$5*Marketing!M$6,0)+0,0)</f>
        <v>74</v>
      </c>
      <c r="DL7" s="88" t="n">
        <v>76</v>
      </c>
      <c r="DM7" s="86" t="n">
        <f aca="false">IF('Cash Drivers'!DM$26,DL7,ROUND(IF(EOMONTH(DATE(YEAR(Marketing!$DL$1),MONTH(Marketing!$DL$1),1)+INT((DAY(Marketing!$DL$1)-1)/2)+'Cash Drivers'!DM$7,0)=EOMONTH($DL$1,0),Marketing!DM$5*Marketing!DM$6,0)+IF(EOMONTH(DATE(YEAR(Marketing!$DI$1),MONTH(Marketing!$DI$1),1)+INT((DAY(Marketing!$DI$1)-1)/2)+'Cash Drivers'!DJ$7,0)=EOMONTH($DL$1,0),Marketing!DJ$5*Marketing!DJ$6,0)+IF(EOMONTH(DATE(YEAR(Marketing!$DF$1),MONTH(Marketing!$DF$1),1)+INT((DAY(Marketing!$DF$1)-1)/2)+'Cash Drivers'!DG$7,0)=EOMONTH($DL$1,0),Marketing!DG$5*Marketing!DG$6,0)+IF(EOMONTH(DATE(YEAR(Marketing!$DC$1),MONTH(Marketing!$DC$1),1)+INT((DAY(Marketing!$DC$1)-1)/2)+'Cash Drivers'!DD$7,0)=EOMONTH($DL$1,0),Marketing!DD$5*Marketing!DD$6,0)+IF(EOMONTH(DATE(YEAR(Marketing!$CZ$1),MONTH(Marketing!$CZ$1),1)+INT((DAY(Marketing!$CZ$1)-1)/2)+'Cash Drivers'!DA$7,0)=EOMONTH($DL$1,0),Marketing!DA$5*Marketing!DA$6,0)+IF(EOMONTH(DATE(YEAR(Marketing!$CW$1),MONTH(Marketing!$CW$1),1)+INT((DAY(Marketing!$CW$1)-1)/2)+'Cash Drivers'!CX$7,0)=EOMONTH($DL$1,0),Marketing!CX$5*Marketing!CX$6,0)+IF(EOMONTH(DATE(YEAR(Marketing!$CT$1),MONTH(Marketing!$CT$1),1)+INT((DAY(Marketing!$CT$1)-1)/2)+'Cash Drivers'!CU$7,0)=EOMONTH($DL$1,0),Marketing!CU$5*Marketing!CU$6,0)+IF(EOMONTH(DATE(YEAR(Marketing!$CQ$1),MONTH(Marketing!$CQ$1),1)+INT((DAY(Marketing!$CQ$1)-1)/2)+'Cash Drivers'!CR$7,0)=EOMONTH($DL$1,0),Marketing!CR$5*Marketing!CR$6,0)+IF(EOMONTH(DATE(YEAR(Marketing!$CN$1),MONTH(Marketing!$CN$1),1)+INT((DAY(Marketing!$CN$1)-1)/2)+'Cash Drivers'!CO$7,0)=EOMONTH($DL$1,0),Marketing!CO$5*Marketing!CO$6,0)+IF(EOMONTH(DATE(YEAR(Marketing!$CK$1),MONTH(Marketing!$CK$1),1)+INT((DAY(Marketing!$CK$1)-1)/2)+'Cash Drivers'!CL$7,0)=EOMONTH($DL$1,0),Marketing!CL$5*Marketing!CL$6,0)+IF(EOMONTH(DATE(YEAR(Marketing!$CH$1),MONTH(Marketing!$CH$1),1)+INT((DAY(Marketing!$CH$1)-1)/2)+'Cash Drivers'!CI$7,0)=EOMONTH($DL$1,0),Marketing!CI$5*Marketing!CI$6,0)+IF(EOMONTH(DATE(YEAR(Marketing!$CE$1),MONTH(Marketing!$CE$1),1)+INT((DAY(Marketing!$CE$1)-1)/2)+'Cash Drivers'!CF$7,0)=EOMONTH($DL$1,0),Marketing!CF$5*Marketing!CF$6,0)+IF(EOMONTH(DATE(YEAR(Marketing!$CB$1),MONTH(Marketing!$CB$1),1)+INT((DAY(Marketing!$CB$1)-1)/2)+'Cash Drivers'!CC$7,0)=EOMONTH($DL$1,0),Marketing!CC$5*Marketing!CC$6,0)+IF(EOMONTH(DATE(YEAR(Marketing!$BY$1),MONTH(Marketing!$BY$1),1)+INT((DAY(Marketing!$BY$1)-1)/2)+'Cash Drivers'!BZ$7,0)=EOMONTH($DL$1,0),Marketing!BZ$5*Marketing!BZ$6,0)+IF(EOMONTH(DATE(YEAR(Marketing!$BV$1),MONTH(Marketing!$BV$1),1)+INT((DAY(Marketing!$BV$1)-1)/2)+'Cash Drivers'!BW$7,0)=EOMONTH($DL$1,0),Marketing!BW$5*Marketing!BW$6,0)+IF(EOMONTH(DATE(YEAR(Marketing!$BS$1),MONTH(Marketing!$BS$1),1)+INT((DAY(Marketing!$BS$1)-1)/2)+'Cash Drivers'!BT$7,0)=EOMONTH($DL$1,0),Marketing!BT$5*Marketing!BT$6,0)+IF(EOMONTH(DATE(YEAR(Marketing!$BP$1),MONTH(Marketing!$BP$1),1)+INT((DAY(Marketing!$BP$1)-1)/2)+'Cash Drivers'!BQ$7,0)=EOMONTH($DL$1,0),Marketing!BQ$5*Marketing!BQ$6,0)+IF(EOMONTH(DATE(YEAR(Marketing!$BM$1),MONTH(Marketing!$BM$1),1)+INT((DAY(Marketing!$BM$1)-1)/2)+'Cash Drivers'!BN$7,0)=EOMONTH($DL$1,0),Marketing!BN$5*Marketing!BN$6,0)+IF(EOMONTH(DATE(YEAR(Marketing!$BJ$1),MONTH(Marketing!$BJ$1),1)+INT((DAY(Marketing!$BJ$1)-1)/2)+'Cash Drivers'!BK$7,0)=EOMONTH($DL$1,0),Marketing!BK$5*Marketing!BK$6,0)+IF(EOMONTH(DATE(YEAR(Marketing!$BG$1),MONTH(Marketing!$BG$1),1)+INT((DAY(Marketing!$BG$1)-1)/2)+'Cash Drivers'!BH$7,0)=EOMONTH($DL$1,0),Marketing!BH$5*Marketing!BH$6,0)+IF(EOMONTH(DATE(YEAR(Marketing!$BD$1),MONTH(Marketing!$BD$1),1)+INT((DAY(Marketing!$BD$1)-1)/2)+'Cash Drivers'!BE$7,0)=EOMONTH($DL$1,0),Marketing!BE$5*Marketing!BE$6,0)+IF(EOMONTH(DATE(YEAR(Marketing!$BA$1),MONTH(Marketing!$BA$1),1)+INT((DAY(Marketing!$BA$1)-1)/2)+'Cash Drivers'!BB$7,0)=EOMONTH($DL$1,0),Marketing!BB$5*Marketing!BB$6,0)+IF(EOMONTH(DATE(YEAR(Marketing!$AX$1),MONTH(Marketing!$AX$1),1)+INT((DAY(Marketing!$AX$1)-1)/2)+'Cash Drivers'!AY$7,0)=EOMONTH($DL$1,0),Marketing!AY$5*Marketing!AY$6,0)+IF(EOMONTH(DATE(YEAR(Marketing!$AU$1),MONTH(Marketing!$AU$1),1)+INT((DAY(Marketing!$AU$1)-1)/2)+'Cash Drivers'!AV$7,0)=EOMONTH($DL$1,0),Marketing!AV$5*Marketing!AV$6,0)+IF(EOMONTH(DATE(YEAR(Marketing!$AR$1),MONTH(Marketing!$AR$1),1)+INT((DAY(Marketing!$AR$1)-1)/2)+'Cash Drivers'!AS$7,0)=EOMONTH($DL$1,0),Marketing!AS$5*Marketing!AS$6,0)+IF(EOMONTH(DATE(YEAR(Marketing!$AO$1),MONTH(Marketing!$AO$1),1)+INT((DAY(Marketing!$AO$1)-1)/2)+'Cash Drivers'!AP$7,0)=EOMONTH($DL$1,0),Marketing!AP$5*Marketing!AP$6,0)+IF(EOMONTH(DATE(YEAR(Marketing!$AL$1),MONTH(Marketing!$AL$1),1)+INT((DAY(Marketing!$AL$1)-1)/2)+'Cash Drivers'!AM$7,0)=EOMONTH($DL$1,0),Marketing!AM$5*Marketing!AM$6,0)+IF(EOMONTH(DATE(YEAR(Marketing!$AI$1),MONTH(Marketing!$AI$1),1)+INT((DAY(Marketing!$AI$1)-1)/2)+'Cash Drivers'!AJ$7,0)=EOMONTH($DL$1,0),Marketing!AJ$5*Marketing!AJ$6,0)+IF(EOMONTH(DATE(YEAR(Marketing!$AF$1),MONTH(Marketing!$AF$1),1)+INT((DAY(Marketing!$AF$1)-1)/2)+'Cash Drivers'!AG$7,0)=EOMONTH($DL$1,0),Marketing!AG$5*Marketing!AG$6,0)+IF(EOMONTH(DATE(YEAR(Marketing!$AC$1),MONTH(Marketing!$AC$1),1)+INT((DAY(Marketing!$AC$1)-1)/2)+'Cash Drivers'!AD$7,0)=EOMONTH($DL$1,0),Marketing!AD$5*Marketing!AD$6,0)+IF(EOMONTH(DATE(YEAR(Marketing!$Z$1),MONTH(Marketing!$Z$1),1)+INT((DAY(Marketing!$Z$1)-1)/2)+'Cash Drivers'!AA$7,0)=EOMONTH($DL$1,0),Marketing!AA$5*Marketing!AA$6,0)+IF(EOMONTH(DATE(YEAR(Marketing!$W$1),MONTH(Marketing!$W$1),1)+INT((DAY(Marketing!$W$1)-1)/2)+'Cash Drivers'!X$7,0)=EOMONTH($DL$1,0),Marketing!X$5*Marketing!X$6,0)+IF(EOMONTH(DATE(YEAR(Marketing!$T$1),MONTH(Marketing!$T$1),1)+INT((DAY(Marketing!$T$1)-1)/2)+'Cash Drivers'!U$7,0)=EOMONTH($DL$1,0),Marketing!U$5*Marketing!U$6,0)+IF(EOMONTH(DATE(YEAR(Marketing!$Q$1),MONTH(Marketing!$Q$1),1)+INT((DAY(Marketing!$Q$1)-1)/2)+'Cash Drivers'!R$7,0)=EOMONTH($DL$1,0),Marketing!R$5*Marketing!R$6,0)+IF(EOMONTH(DATE(YEAR(Marketing!$N$1),MONTH(Marketing!$N$1),1)+INT((DAY(Marketing!$N$1)-1)/2)+'Cash Drivers'!O$7,0)=EOMONTH($DL$1,0),Marketing!O$5*Marketing!O$6,0)+IF(EOMONTH(DATE(YEAR(Marketing!$K$1),MONTH(Marketing!$K$1),1)+INT((DAY(Marketing!$K$1)-1)/2)+'Cash Drivers'!L$7,0)=EOMONTH($DL$1,0),Marketing!L$5*Marketing!L$6,0)+0,0))</f>
        <v>76</v>
      </c>
      <c r="DN7" s="86" t="n">
        <f aca="false">ROUND(IF(EOMONTH(DATE(YEAR(Marketing!$DL$1),MONTH(Marketing!$DL$1),1)+INT((DAY(Marketing!$DL$1)-1)/2)+'Cash Drivers'!DN$7,0)=EOMONTH($DL$1,0),Marketing!DN$5*Marketing!DN$6,0)+IF(EOMONTH(DATE(YEAR(Marketing!$DI$1),MONTH(Marketing!$DI$1),1)+INT((DAY(Marketing!$DI$1)-1)/2)+'Cash Drivers'!DK$7,0)=EOMONTH($DL$1,0),Marketing!DK$5*Marketing!DK$6,0)+IF(EOMONTH(DATE(YEAR(Marketing!$DF$1),MONTH(Marketing!$DF$1),1)+INT((DAY(Marketing!$DF$1)-1)/2)+'Cash Drivers'!DH$7,0)=EOMONTH($DL$1,0),Marketing!DH$5*Marketing!DH$6,0)+IF(EOMONTH(DATE(YEAR(Marketing!$DC$1),MONTH(Marketing!$DC$1),1)+INT((DAY(Marketing!$DC$1)-1)/2)+'Cash Drivers'!DE$7,0)=EOMONTH($DL$1,0),Marketing!DE$5*Marketing!DE$6,0)+IF(EOMONTH(DATE(YEAR(Marketing!$CZ$1),MONTH(Marketing!$CZ$1),1)+INT((DAY(Marketing!$CZ$1)-1)/2)+'Cash Drivers'!DB$7,0)=EOMONTH($DL$1,0),Marketing!DB$5*Marketing!DB$6,0)+IF(EOMONTH(DATE(YEAR(Marketing!$CW$1),MONTH(Marketing!$CW$1),1)+INT((DAY(Marketing!$CW$1)-1)/2)+'Cash Drivers'!CY$7,0)=EOMONTH($DL$1,0),Marketing!CY$5*Marketing!CY$6,0)+IF(EOMONTH(DATE(YEAR(Marketing!$CT$1),MONTH(Marketing!$CT$1),1)+INT((DAY(Marketing!$CT$1)-1)/2)+'Cash Drivers'!CV$7,0)=EOMONTH($DL$1,0),Marketing!CV$5*Marketing!CV$6,0)+IF(EOMONTH(DATE(YEAR(Marketing!$CQ$1),MONTH(Marketing!$CQ$1),1)+INT((DAY(Marketing!$CQ$1)-1)/2)+'Cash Drivers'!CS$7,0)=EOMONTH($DL$1,0),Marketing!CS$5*Marketing!CS$6,0)+IF(EOMONTH(DATE(YEAR(Marketing!$CN$1),MONTH(Marketing!$CN$1),1)+INT((DAY(Marketing!$CN$1)-1)/2)+'Cash Drivers'!CP$7,0)=EOMONTH($DL$1,0),Marketing!CP$5*Marketing!CP$6,0)+IF(EOMONTH(DATE(YEAR(Marketing!$CK$1),MONTH(Marketing!$CK$1),1)+INT((DAY(Marketing!$CK$1)-1)/2)+'Cash Drivers'!CM$7,0)=EOMONTH($DL$1,0),Marketing!CM$5*Marketing!CM$6,0)+IF(EOMONTH(DATE(YEAR(Marketing!$CH$1),MONTH(Marketing!$CH$1),1)+INT((DAY(Marketing!$CH$1)-1)/2)+'Cash Drivers'!CJ$7,0)=EOMONTH($DL$1,0),Marketing!CJ$5*Marketing!CJ$6,0)+IF(EOMONTH(DATE(YEAR(Marketing!$CE$1),MONTH(Marketing!$CE$1),1)+INT((DAY(Marketing!$CE$1)-1)/2)+'Cash Drivers'!CG$7,0)=EOMONTH($DL$1,0),Marketing!CG$5*Marketing!CG$6,0)+IF(EOMONTH(DATE(YEAR(Marketing!$CB$1),MONTH(Marketing!$CB$1),1)+INT((DAY(Marketing!$CB$1)-1)/2)+'Cash Drivers'!CD$7,0)=EOMONTH($DL$1,0),Marketing!CD$5*Marketing!CD$6,0)+IF(EOMONTH(DATE(YEAR(Marketing!$BY$1),MONTH(Marketing!$BY$1),1)+INT((DAY(Marketing!$BY$1)-1)/2)+'Cash Drivers'!CA$7,0)=EOMONTH($DL$1,0),Marketing!CA$5*Marketing!CA$6,0)+IF(EOMONTH(DATE(YEAR(Marketing!$BV$1),MONTH(Marketing!$BV$1),1)+INT((DAY(Marketing!$BV$1)-1)/2)+'Cash Drivers'!BX$7,0)=EOMONTH($DL$1,0),Marketing!BX$5*Marketing!BX$6,0)+IF(EOMONTH(DATE(YEAR(Marketing!$BS$1),MONTH(Marketing!$BS$1),1)+INT((DAY(Marketing!$BS$1)-1)/2)+'Cash Drivers'!BU$7,0)=EOMONTH($DL$1,0),Marketing!BU$5*Marketing!BU$6,0)+IF(EOMONTH(DATE(YEAR(Marketing!$BP$1),MONTH(Marketing!$BP$1),1)+INT((DAY(Marketing!$BP$1)-1)/2)+'Cash Drivers'!BR$7,0)=EOMONTH($DL$1,0),Marketing!BR$5*Marketing!BR$6,0)+IF(EOMONTH(DATE(YEAR(Marketing!$BM$1),MONTH(Marketing!$BM$1),1)+INT((DAY(Marketing!$BM$1)-1)/2)+'Cash Drivers'!BO$7,0)=EOMONTH($DL$1,0),Marketing!BO$5*Marketing!BO$6,0)+IF(EOMONTH(DATE(YEAR(Marketing!$BJ$1),MONTH(Marketing!$BJ$1),1)+INT((DAY(Marketing!$BJ$1)-1)/2)+'Cash Drivers'!BL$7,0)=EOMONTH($DL$1,0),Marketing!BL$5*Marketing!BL$6,0)+IF(EOMONTH(DATE(YEAR(Marketing!$BG$1),MONTH(Marketing!$BG$1),1)+INT((DAY(Marketing!$BG$1)-1)/2)+'Cash Drivers'!BI$7,0)=EOMONTH($DL$1,0),Marketing!BI$5*Marketing!BI$6,0)+IF(EOMONTH(DATE(YEAR(Marketing!$BD$1),MONTH(Marketing!$BD$1),1)+INT((DAY(Marketing!$BD$1)-1)/2)+'Cash Drivers'!BF$7,0)=EOMONTH($DL$1,0),Marketing!BF$5*Marketing!BF$6,0)+IF(EOMONTH(DATE(YEAR(Marketing!$BA$1),MONTH(Marketing!$BA$1),1)+INT((DAY(Marketing!$BA$1)-1)/2)+'Cash Drivers'!BC$7,0)=EOMONTH($DL$1,0),Marketing!BC$5*Marketing!BC$6,0)+IF(EOMONTH(DATE(YEAR(Marketing!$AX$1),MONTH(Marketing!$AX$1),1)+INT((DAY(Marketing!$AX$1)-1)/2)+'Cash Drivers'!AZ$7,0)=EOMONTH($DL$1,0),Marketing!AZ$5*Marketing!AZ$6,0)+IF(EOMONTH(DATE(YEAR(Marketing!$AU$1),MONTH(Marketing!$AU$1),1)+INT((DAY(Marketing!$AU$1)-1)/2)+'Cash Drivers'!AW$7,0)=EOMONTH($DL$1,0),Marketing!AW$5*Marketing!AW$6,0)+IF(EOMONTH(DATE(YEAR(Marketing!$AR$1),MONTH(Marketing!$AR$1),1)+INT((DAY(Marketing!$AR$1)-1)/2)+'Cash Drivers'!AT$7,0)=EOMONTH($DL$1,0),Marketing!AT$5*Marketing!AT$6,0)+IF(EOMONTH(DATE(YEAR(Marketing!$AO$1),MONTH(Marketing!$AO$1),1)+INT((DAY(Marketing!$AO$1)-1)/2)+'Cash Drivers'!AQ$7,0)=EOMONTH($DL$1,0),Marketing!AQ$5*Marketing!AQ$6,0)+IF(EOMONTH(DATE(YEAR(Marketing!$AL$1),MONTH(Marketing!$AL$1),1)+INT((DAY(Marketing!$AL$1)-1)/2)+'Cash Drivers'!AN$7,0)=EOMONTH($DL$1,0),Marketing!AN$5*Marketing!AN$6,0)+IF(EOMONTH(DATE(YEAR(Marketing!$AI$1),MONTH(Marketing!$AI$1),1)+INT((DAY(Marketing!$AI$1)-1)/2)+'Cash Drivers'!AK$7,0)=EOMONTH($DL$1,0),Marketing!AK$5*Marketing!AK$6,0)+IF(EOMONTH(DATE(YEAR(Marketing!$AF$1),MONTH(Marketing!$AF$1),1)+INT((DAY(Marketing!$AF$1)-1)/2)+'Cash Drivers'!AH$7,0)=EOMONTH($DL$1,0),Marketing!AH$5*Marketing!AH$6,0)+IF(EOMONTH(DATE(YEAR(Marketing!$AC$1),MONTH(Marketing!$AC$1),1)+INT((DAY(Marketing!$AC$1)-1)/2)+'Cash Drivers'!AE$7,0)=EOMONTH($DL$1,0),Marketing!AE$5*Marketing!AE$6,0)+IF(EOMONTH(DATE(YEAR(Marketing!$Z$1),MONTH(Marketing!$Z$1),1)+INT((DAY(Marketing!$Z$1)-1)/2)+'Cash Drivers'!AB$7,0)=EOMONTH($DL$1,0),Marketing!AB$5*Marketing!AB$6,0)+IF(EOMONTH(DATE(YEAR(Marketing!$W$1),MONTH(Marketing!$W$1),1)+INT((DAY(Marketing!$W$1)-1)/2)+'Cash Drivers'!Y$7,0)=EOMONTH($DL$1,0),Marketing!Y$5*Marketing!Y$6,0)+IF(EOMONTH(DATE(YEAR(Marketing!$T$1),MONTH(Marketing!$T$1),1)+INT((DAY(Marketing!$T$1)-1)/2)+'Cash Drivers'!V$7,0)=EOMONTH($DL$1,0),Marketing!V$5*Marketing!V$6,0)+IF(EOMONTH(DATE(YEAR(Marketing!$Q$1),MONTH(Marketing!$Q$1),1)+INT((DAY(Marketing!$Q$1)-1)/2)+'Cash Drivers'!S$7,0)=EOMONTH($DL$1,0),Marketing!S$5*Marketing!S$6,0)+IF(EOMONTH(DATE(YEAR(Marketing!$N$1),MONTH(Marketing!$N$1),1)+INT((DAY(Marketing!$N$1)-1)/2)+'Cash Drivers'!P$7,0)=EOMONTH($DL$1,0),Marketing!P$5*Marketing!P$6,0)+IF(EOMONTH(DATE(YEAR(Marketing!$K$1),MONTH(Marketing!$K$1),1)+INT((DAY(Marketing!$K$1)-1)/2)+'Cash Drivers'!M$7,0)=EOMONTH($DL$1,0),Marketing!M$5*Marketing!M$6,0)+0,0)</f>
        <v>74</v>
      </c>
    </row>
    <row r="8" customFormat="false" ht="15" hidden="false" customHeight="false" outlineLevel="0" collapsed="false">
      <c r="A8" s="5" t="s">
        <v>158</v>
      </c>
      <c r="B8" s="12" t="str">
        <f aca="false">IF(COUNT(AR8,AO8,AL8,AI8,AF8,AC8,Z8,W8,T8,Q8,N8,K8)=0,"",SUM(AR8,AO8,AL8,AI8,AF8,AC8,Z8,W8,T8,Q8,N8,K8))</f>
        <v/>
      </c>
      <c r="C8" s="12" t="n">
        <f aca="false">IF(COUNT(AS8,AP8,AM8,AJ8,AG8,AD8,AA8,X8,U8,R8,O8,L8)=0,"",SUM(AS8,AP8,AM8,AJ8,AG8,AD8,AA8,X8,U8,R8,O8,L8))</f>
        <v>864000</v>
      </c>
      <c r="D8" s="12" t="n">
        <f aca="false">IF(COUNT(AT8,AQ8,AN8,AK8,AH8,AE8,AB8,Y8,V8,S8,P8,M8)=0,"",SUM(AT8,AQ8,AN8,AK8,AH8,AE8,AB8,Y8,V8,S8,P8,M8))</f>
        <v>864000</v>
      </c>
      <c r="E8" s="13" t="str">
        <f aca="false">IF(COUNT(CB8,BY8,BV8,BS8,BP8,BM8,BJ8,BG8,BD8,BA8,AX8,AU8)=0,"",SUM(CB8,BY8,BV8,BS8,BP8,BM8,BJ8,BG8,BD8,BA8,AX8,AU8))</f>
        <v/>
      </c>
      <c r="F8" s="13" t="n">
        <f aca="false">IF(COUNT(CC8,BZ8,BW8,BT8,BQ8,BN8,BK8,BH8,BE8,BB8,AY8,AV8)=0,"",SUM(CC8,BZ8,BW8,BT8,BQ8,BN8,BK8,BH8,BE8,BB8,AY8,AV8))</f>
        <v>756000</v>
      </c>
      <c r="G8" s="13" t="n">
        <f aca="false">IF(COUNT(CD8,CA8,BX8,BU8,BR8,BO8,BL8,BI8,BF8,BC8,AZ8,AW8)=0,"",SUM(CD8,CA8,BX8,BU8,BR8,BO8,BL8,BI8,BF8,BC8,AZ8,AW8))</f>
        <v>756000</v>
      </c>
      <c r="H8" s="12" t="n">
        <f aca="false">IF(COUNT(DL8,DI8,DF8,DC8,CZ8,CW8,CT8,CQ8,CN8,CK8,CH8,CE8)=0,"",SUM(DL8,DI8,DF8,DC8,CZ8,CW8,CT8,CQ8,CN8,CK8,CH8,CE8))</f>
        <v>102000</v>
      </c>
      <c r="I8" s="12" t="n">
        <f aca="false">IF(COUNT(DM8,DJ8,DG8,DD8,DA8,CX8,CU8,CR8,CO8,CL8,CI8,CF8)=0,"",SUM(DM8,DJ8,DG8,DD8,DA8,CX8,CU8,CR8,CO8,CL8,CI8,CF8))</f>
        <v>648000</v>
      </c>
      <c r="J8" s="12" t="n">
        <f aca="false">IF(COUNT(DN8,DK8,DH8,DE8,DB8,CY8,CV8,CS8,CP8,CM8,CJ8,CG8)=0,"",SUM(DN8,DK8,DH8,DE8,DB8,CY8,CV8,CS8,CP8,CM8,CJ8,CG8))</f>
        <v>648000</v>
      </c>
      <c r="K8" s="13" t="str">
        <f aca="false">IF(COUNT(K38)=1,K38,"")</f>
        <v/>
      </c>
      <c r="L8" s="13" t="n">
        <f aca="false">L38</f>
        <v>72000</v>
      </c>
      <c r="M8" s="13" t="n">
        <f aca="false">M38</f>
        <v>72000</v>
      </c>
      <c r="N8" s="12" t="str">
        <f aca="false">IF(COUNT(N38)=1,N38,"")</f>
        <v/>
      </c>
      <c r="O8" s="12" t="n">
        <f aca="false">O38</f>
        <v>72000</v>
      </c>
      <c r="P8" s="12" t="n">
        <f aca="false">P38</f>
        <v>72000</v>
      </c>
      <c r="Q8" s="13" t="str">
        <f aca="false">IF(COUNT(Q38)=1,Q38,"")</f>
        <v/>
      </c>
      <c r="R8" s="13" t="n">
        <f aca="false">R38</f>
        <v>72000</v>
      </c>
      <c r="S8" s="13" t="n">
        <f aca="false">S38</f>
        <v>72000</v>
      </c>
      <c r="T8" s="12" t="str">
        <f aca="false">IF(COUNT(T38)=1,T38,"")</f>
        <v/>
      </c>
      <c r="U8" s="12" t="n">
        <f aca="false">U38</f>
        <v>72000</v>
      </c>
      <c r="V8" s="12" t="n">
        <f aca="false">V38</f>
        <v>72000</v>
      </c>
      <c r="W8" s="13" t="str">
        <f aca="false">IF(COUNT(W38)=1,W38,"")</f>
        <v/>
      </c>
      <c r="X8" s="13" t="n">
        <f aca="false">X38</f>
        <v>72000</v>
      </c>
      <c r="Y8" s="13" t="n">
        <f aca="false">Y38</f>
        <v>72000</v>
      </c>
      <c r="Z8" s="12" t="str">
        <f aca="false">IF(COUNT(Z38)=1,Z38,"")</f>
        <v/>
      </c>
      <c r="AA8" s="12" t="n">
        <f aca="false">AA38</f>
        <v>72000</v>
      </c>
      <c r="AB8" s="12" t="n">
        <f aca="false">AB38</f>
        <v>72000</v>
      </c>
      <c r="AC8" s="13" t="str">
        <f aca="false">IF(COUNT(AC38)=1,AC38,"")</f>
        <v/>
      </c>
      <c r="AD8" s="13" t="n">
        <f aca="false">AD38</f>
        <v>72000</v>
      </c>
      <c r="AE8" s="13" t="n">
        <f aca="false">AE38</f>
        <v>72000</v>
      </c>
      <c r="AF8" s="12" t="str">
        <f aca="false">IF(COUNT(AF38)=1,AF38,"")</f>
        <v/>
      </c>
      <c r="AG8" s="12" t="n">
        <f aca="false">AG38</f>
        <v>72000</v>
      </c>
      <c r="AH8" s="12" t="n">
        <f aca="false">AH38</f>
        <v>72000</v>
      </c>
      <c r="AI8" s="13" t="str">
        <f aca="false">IF(COUNT(AI38)=1,AI38,"")</f>
        <v/>
      </c>
      <c r="AJ8" s="13" t="n">
        <f aca="false">AJ38</f>
        <v>72000</v>
      </c>
      <c r="AK8" s="13" t="n">
        <f aca="false">AK38</f>
        <v>72000</v>
      </c>
      <c r="AL8" s="12" t="str">
        <f aca="false">IF(COUNT(AL38)=1,AL38,"")</f>
        <v/>
      </c>
      <c r="AM8" s="12" t="n">
        <f aca="false">AM38</f>
        <v>72000</v>
      </c>
      <c r="AN8" s="12" t="n">
        <f aca="false">AN38</f>
        <v>72000</v>
      </c>
      <c r="AO8" s="13" t="str">
        <f aca="false">IF(COUNT(AO38)=1,AO38,"")</f>
        <v/>
      </c>
      <c r="AP8" s="13" t="n">
        <f aca="false">AP38</f>
        <v>72000</v>
      </c>
      <c r="AQ8" s="13" t="n">
        <f aca="false">AQ38</f>
        <v>72000</v>
      </c>
      <c r="AR8" s="12" t="str">
        <f aca="false">IF(COUNT(AR38)=1,AR38,"")</f>
        <v/>
      </c>
      <c r="AS8" s="12" t="n">
        <f aca="false">AS38</f>
        <v>72000</v>
      </c>
      <c r="AT8" s="12" t="n">
        <f aca="false">AT38</f>
        <v>72000</v>
      </c>
      <c r="AU8" s="13" t="str">
        <f aca="false">IF(COUNT(AU38)=1,AU38,"")</f>
        <v/>
      </c>
      <c r="AV8" s="13" t="n">
        <f aca="false">AV38</f>
        <v>72000</v>
      </c>
      <c r="AW8" s="13" t="n">
        <f aca="false">AW38</f>
        <v>72000</v>
      </c>
      <c r="AX8" s="12" t="str">
        <f aca="false">IF(COUNT(AX38)=1,AX38,"")</f>
        <v/>
      </c>
      <c r="AY8" s="12" t="n">
        <f aca="false">AY38</f>
        <v>72000</v>
      </c>
      <c r="AZ8" s="12" t="n">
        <f aca="false">AZ38</f>
        <v>72000</v>
      </c>
      <c r="BA8" s="13" t="str">
        <f aca="false">IF(COUNT(BA38)=1,BA38,"")</f>
        <v/>
      </c>
      <c r="BB8" s="13" t="n">
        <f aca="false">BB38</f>
        <v>72000</v>
      </c>
      <c r="BC8" s="13" t="n">
        <f aca="false">BC38</f>
        <v>72000</v>
      </c>
      <c r="BD8" s="12" t="str">
        <f aca="false">IF(COUNT(BD38)=1,BD38,"")</f>
        <v/>
      </c>
      <c r="BE8" s="12" t="n">
        <f aca="false">BE38</f>
        <v>60000</v>
      </c>
      <c r="BF8" s="12" t="n">
        <f aca="false">BF38</f>
        <v>60000</v>
      </c>
      <c r="BG8" s="13" t="str">
        <f aca="false">IF(COUNT(BG38)=1,BG38,"")</f>
        <v/>
      </c>
      <c r="BH8" s="13" t="n">
        <f aca="false">BH38</f>
        <v>60000</v>
      </c>
      <c r="BI8" s="13" t="n">
        <f aca="false">BI38</f>
        <v>60000</v>
      </c>
      <c r="BJ8" s="12" t="str">
        <f aca="false">IF(COUNT(BJ38)=1,BJ38,"")</f>
        <v/>
      </c>
      <c r="BK8" s="12" t="n">
        <f aca="false">BK38</f>
        <v>60000</v>
      </c>
      <c r="BL8" s="12" t="n">
        <f aca="false">BL38</f>
        <v>60000</v>
      </c>
      <c r="BM8" s="13" t="str">
        <f aca="false">IF(COUNT(BM38)=1,BM38,"")</f>
        <v/>
      </c>
      <c r="BN8" s="13" t="n">
        <f aca="false">BN38</f>
        <v>60000</v>
      </c>
      <c r="BO8" s="13" t="n">
        <f aca="false">BO38</f>
        <v>60000</v>
      </c>
      <c r="BP8" s="12" t="str">
        <f aca="false">IF(COUNT(BP38)=1,BP38,"")</f>
        <v/>
      </c>
      <c r="BQ8" s="12" t="n">
        <f aca="false">BQ38</f>
        <v>60000</v>
      </c>
      <c r="BR8" s="12" t="n">
        <f aca="false">BR38</f>
        <v>60000</v>
      </c>
      <c r="BS8" s="13" t="str">
        <f aca="false">IF(COUNT(BS38)=1,BS38,"")</f>
        <v/>
      </c>
      <c r="BT8" s="13" t="n">
        <f aca="false">BT38</f>
        <v>60000</v>
      </c>
      <c r="BU8" s="13" t="n">
        <f aca="false">BU38</f>
        <v>60000</v>
      </c>
      <c r="BV8" s="12" t="str">
        <f aca="false">IF(COUNT(BV38)=1,BV38,"")</f>
        <v/>
      </c>
      <c r="BW8" s="12" t="n">
        <f aca="false">BW38</f>
        <v>60000</v>
      </c>
      <c r="BX8" s="12" t="n">
        <f aca="false">BX38</f>
        <v>60000</v>
      </c>
      <c r="BY8" s="13" t="str">
        <f aca="false">IF(COUNT(BY38)=1,BY38,"")</f>
        <v/>
      </c>
      <c r="BZ8" s="13" t="n">
        <f aca="false">BZ38</f>
        <v>60000</v>
      </c>
      <c r="CA8" s="13" t="n">
        <f aca="false">CA38</f>
        <v>60000</v>
      </c>
      <c r="CB8" s="12" t="str">
        <f aca="false">IF(COUNT(CB38)=1,CB38,"")</f>
        <v/>
      </c>
      <c r="CC8" s="12" t="n">
        <f aca="false">CC38</f>
        <v>60000</v>
      </c>
      <c r="CD8" s="12" t="n">
        <f aca="false">CD38</f>
        <v>60000</v>
      </c>
      <c r="CE8" s="13" t="str">
        <f aca="false">IF(COUNT(CE38)=1,CE38,"")</f>
        <v/>
      </c>
      <c r="CF8" s="13" t="n">
        <f aca="false">CF38</f>
        <v>60000</v>
      </c>
      <c r="CG8" s="13" t="n">
        <f aca="false">CG38</f>
        <v>60000</v>
      </c>
      <c r="CH8" s="12" t="str">
        <f aca="false">IF(COUNT(CH38)=1,CH38,"")</f>
        <v/>
      </c>
      <c r="CI8" s="12" t="n">
        <f aca="false">CI38</f>
        <v>60000</v>
      </c>
      <c r="CJ8" s="12" t="n">
        <f aca="false">CJ38</f>
        <v>60000</v>
      </c>
      <c r="CK8" s="13" t="str">
        <f aca="false">IF(COUNT(CK38)=1,CK38,"")</f>
        <v/>
      </c>
      <c r="CL8" s="13" t="n">
        <f aca="false">CL38</f>
        <v>60000</v>
      </c>
      <c r="CM8" s="13" t="n">
        <f aca="false">CM38</f>
        <v>60000</v>
      </c>
      <c r="CN8" s="12" t="str">
        <f aca="false">IF(COUNT(CN38)=1,CN38,"")</f>
        <v/>
      </c>
      <c r="CO8" s="12" t="n">
        <f aca="false">CO38</f>
        <v>60000</v>
      </c>
      <c r="CP8" s="12" t="n">
        <f aca="false">CP38</f>
        <v>60000</v>
      </c>
      <c r="CQ8" s="13" t="str">
        <f aca="false">IF(COUNT(CQ38)=1,CQ38,"")</f>
        <v/>
      </c>
      <c r="CR8" s="13" t="n">
        <f aca="false">CR38</f>
        <v>51000</v>
      </c>
      <c r="CS8" s="13" t="n">
        <f aca="false">CS38</f>
        <v>51000</v>
      </c>
      <c r="CT8" s="12" t="str">
        <f aca="false">IF(COUNT(CT38)=1,CT38,"")</f>
        <v/>
      </c>
      <c r="CU8" s="12" t="n">
        <f aca="false">CU38</f>
        <v>51000</v>
      </c>
      <c r="CV8" s="12" t="n">
        <f aca="false">CV38</f>
        <v>51000</v>
      </c>
      <c r="CW8" s="13" t="str">
        <f aca="false">IF(COUNT(CW38)=1,CW38,"")</f>
        <v/>
      </c>
      <c r="CX8" s="13" t="n">
        <f aca="false">CX38</f>
        <v>51000</v>
      </c>
      <c r="CY8" s="13" t="n">
        <f aca="false">CY38</f>
        <v>51000</v>
      </c>
      <c r="CZ8" s="12" t="str">
        <f aca="false">IF(COUNT(CZ38)=1,CZ38,"")</f>
        <v/>
      </c>
      <c r="DA8" s="12" t="n">
        <f aca="false">DA38</f>
        <v>51000</v>
      </c>
      <c r="DB8" s="12" t="n">
        <f aca="false">DB38</f>
        <v>51000</v>
      </c>
      <c r="DC8" s="13" t="str">
        <f aca="false">IF(COUNT(DC38)=1,DC38,"")</f>
        <v/>
      </c>
      <c r="DD8" s="13" t="n">
        <f aca="false">DD38</f>
        <v>51000</v>
      </c>
      <c r="DE8" s="13" t="n">
        <f aca="false">DE38</f>
        <v>51000</v>
      </c>
      <c r="DF8" s="12" t="str">
        <f aca="false">IF(COUNT(DF38)=1,DF38,"")</f>
        <v/>
      </c>
      <c r="DG8" s="12" t="n">
        <f aca="false">DG38</f>
        <v>51000</v>
      </c>
      <c r="DH8" s="12" t="n">
        <f aca="false">DH38</f>
        <v>51000</v>
      </c>
      <c r="DI8" s="13" t="n">
        <f aca="false">IF(COUNT(DI38)=1,DI38,"")</f>
        <v>51000</v>
      </c>
      <c r="DJ8" s="13" t="n">
        <f aca="false">DJ38</f>
        <v>51000</v>
      </c>
      <c r="DK8" s="13" t="n">
        <f aca="false">DK38</f>
        <v>51000</v>
      </c>
      <c r="DL8" s="12" t="n">
        <f aca="false">IF(COUNT(DL38)=1,DL38,"")</f>
        <v>51000</v>
      </c>
      <c r="DM8" s="12" t="n">
        <f aca="false">DM38</f>
        <v>51000</v>
      </c>
      <c r="DN8" s="12" t="n">
        <f aca="false">DN38</f>
        <v>51000</v>
      </c>
    </row>
    <row r="9" customFormat="false" ht="15" hidden="false" customHeight="false" outlineLevel="0" collapsed="false">
      <c r="A9" s="5" t="s">
        <v>159</v>
      </c>
      <c r="B9" s="12" t="str">
        <f aca="false">IF(COUNT(AR9,AO9,AL9,AI9,AF9,AC9,Z9,W9,T9,Q9,N9,K9)=0,"",SUM(AR9,AO9,AL9,AI9,AF9,AC9,Z9,W9,T9,Q9,N9,K9))</f>
        <v/>
      </c>
      <c r="C9" s="12" t="n">
        <f aca="false">IF(COUNT(AS9,AP9,AM9,AJ9,AG9,AD9,AA9,X9,U9,R9,O9,L9)=0,"",SUM(AS9,AP9,AM9,AJ9,AG9,AD9,AA9,X9,U9,R9,O9,L9))</f>
        <v>24000</v>
      </c>
      <c r="D9" s="12" t="n">
        <f aca="false">IF(COUNT(AT9,AQ9,AN9,AK9,AH9,AE9,AB9,Y9,V9,S9,P9,M9)=0,"",SUM(AT9,AQ9,AN9,AK9,AH9,AE9,AB9,Y9,V9,S9,P9,M9))</f>
        <v>24000</v>
      </c>
      <c r="E9" s="13" t="str">
        <f aca="false">IF(COUNT(CB9,BY9,BV9,BS9,BP9,BM9,BJ9,BG9,BD9,BA9,AX9,AU9)=0,"",SUM(CB9,BY9,BV9,BS9,BP9,BM9,BJ9,BG9,BD9,BA9,AX9,AU9))</f>
        <v/>
      </c>
      <c r="F9" s="13" t="n">
        <f aca="false">IF(COUNT(CC9,BZ9,BW9,BT9,BQ9,BN9,BK9,BH9,BE9,BB9,AY9,AV9)=0,"",SUM(CC9,BZ9,BW9,BT9,BQ9,BN9,BK9,BH9,BE9,BB9,AY9,AV9))</f>
        <v>24000</v>
      </c>
      <c r="G9" s="13" t="n">
        <f aca="false">IF(COUNT(CD9,CA9,BX9,BU9,BR9,BO9,BL9,BI9,BF9,BC9,AZ9,AW9)=0,"",SUM(CD9,CA9,BX9,BU9,BR9,BO9,BL9,BI9,BF9,BC9,AZ9,AW9))</f>
        <v>24000</v>
      </c>
      <c r="H9" s="12" t="n">
        <f aca="false">IF(COUNT(DL9,DI9,DF9,DC9,CZ9,CW9,CT9,CQ9,CN9,CK9,CH9,CE9)=0,"",SUM(DL9,DI9,DF9,DC9,CZ9,CW9,CT9,CQ9,CN9,CK9,CH9,CE9))</f>
        <v>4000</v>
      </c>
      <c r="I9" s="12" t="n">
        <f aca="false">IF(COUNT(DM9,DJ9,DG9,DD9,DA9,CX9,CU9,CR9,CO9,CL9,CI9,CF9)=0,"",SUM(DM9,DJ9,DG9,DD9,DA9,CX9,CU9,CR9,CO9,CL9,CI9,CF9))</f>
        <v>24000</v>
      </c>
      <c r="J9" s="12" t="n">
        <f aca="false">IF(COUNT(DN9,DK9,DH9,DE9,DB9,CY9,CV9,CS9,CP9,CM9,CJ9,CG9)=0,"",SUM(DN9,DK9,DH9,DE9,DB9,CY9,CV9,CS9,CP9,CM9,CJ9,CG9))</f>
        <v>24000</v>
      </c>
      <c r="K9" s="13"/>
      <c r="L9" s="13" t="n">
        <f aca="false">IF('Cash Drivers'!L$26,Marketing!K9,Marketing!M9)</f>
        <v>2000</v>
      </c>
      <c r="M9" s="89" t="n">
        <v>2000</v>
      </c>
      <c r="N9" s="12"/>
      <c r="O9" s="12" t="n">
        <f aca="false">IF('Cash Drivers'!O$26,Marketing!N9,Marketing!P9)</f>
        <v>2000</v>
      </c>
      <c r="P9" s="90" t="n">
        <v>2000</v>
      </c>
      <c r="Q9" s="13"/>
      <c r="R9" s="13" t="n">
        <f aca="false">IF('Cash Drivers'!R$26,Marketing!Q9,Marketing!S9)</f>
        <v>2000</v>
      </c>
      <c r="S9" s="89" t="n">
        <v>2000</v>
      </c>
      <c r="T9" s="12"/>
      <c r="U9" s="12" t="n">
        <f aca="false">IF('Cash Drivers'!U$26,Marketing!T9,Marketing!V9)</f>
        <v>2000</v>
      </c>
      <c r="V9" s="90" t="n">
        <v>2000</v>
      </c>
      <c r="W9" s="13"/>
      <c r="X9" s="13" t="n">
        <f aca="false">IF('Cash Drivers'!X$26,Marketing!W9,Marketing!Y9)</f>
        <v>2000</v>
      </c>
      <c r="Y9" s="89" t="n">
        <v>2000</v>
      </c>
      <c r="Z9" s="12"/>
      <c r="AA9" s="12" t="n">
        <f aca="false">IF('Cash Drivers'!AA$26,Marketing!Z9,Marketing!AB9)</f>
        <v>2000</v>
      </c>
      <c r="AB9" s="90" t="n">
        <v>2000</v>
      </c>
      <c r="AC9" s="13"/>
      <c r="AD9" s="13" t="n">
        <f aca="false">IF('Cash Drivers'!AD$26,Marketing!AC9,Marketing!AE9)</f>
        <v>2000</v>
      </c>
      <c r="AE9" s="89" t="n">
        <v>2000</v>
      </c>
      <c r="AF9" s="12"/>
      <c r="AG9" s="12" t="n">
        <f aca="false">IF('Cash Drivers'!AG$26,Marketing!AF9,Marketing!AH9)</f>
        <v>2000</v>
      </c>
      <c r="AH9" s="90" t="n">
        <v>2000</v>
      </c>
      <c r="AI9" s="13"/>
      <c r="AJ9" s="13" t="n">
        <f aca="false">IF('Cash Drivers'!AJ$26,Marketing!AI9,Marketing!AK9)</f>
        <v>2000</v>
      </c>
      <c r="AK9" s="89" t="n">
        <v>2000</v>
      </c>
      <c r="AL9" s="12"/>
      <c r="AM9" s="12" t="n">
        <f aca="false">IF('Cash Drivers'!AM$26,Marketing!AL9,Marketing!AN9)</f>
        <v>2000</v>
      </c>
      <c r="AN9" s="90" t="n">
        <v>2000</v>
      </c>
      <c r="AO9" s="13"/>
      <c r="AP9" s="13" t="n">
        <f aca="false">IF('Cash Drivers'!AP$26,Marketing!AO9,Marketing!AQ9)</f>
        <v>2000</v>
      </c>
      <c r="AQ9" s="89" t="n">
        <v>2000</v>
      </c>
      <c r="AR9" s="12"/>
      <c r="AS9" s="12" t="n">
        <f aca="false">IF('Cash Drivers'!AS$26,Marketing!AR9,Marketing!AT9)</f>
        <v>2000</v>
      </c>
      <c r="AT9" s="90" t="n">
        <v>2000</v>
      </c>
      <c r="AU9" s="13"/>
      <c r="AV9" s="13" t="n">
        <f aca="false">IF('Cash Drivers'!AV$26,Marketing!AU9,Marketing!AW9)</f>
        <v>2000</v>
      </c>
      <c r="AW9" s="89" t="n">
        <v>2000</v>
      </c>
      <c r="AX9" s="12"/>
      <c r="AY9" s="12" t="n">
        <f aca="false">IF('Cash Drivers'!AY$26,Marketing!AX9,Marketing!AZ9)</f>
        <v>2000</v>
      </c>
      <c r="AZ9" s="90" t="n">
        <v>2000</v>
      </c>
      <c r="BA9" s="13"/>
      <c r="BB9" s="13" t="n">
        <f aca="false">IF('Cash Drivers'!BB$26,Marketing!BA9,Marketing!BC9)</f>
        <v>2000</v>
      </c>
      <c r="BC9" s="89" t="n">
        <v>2000</v>
      </c>
      <c r="BD9" s="12"/>
      <c r="BE9" s="12" t="n">
        <f aca="false">IF('Cash Drivers'!BE$26,Marketing!BD9,Marketing!BF9)</f>
        <v>2000</v>
      </c>
      <c r="BF9" s="90" t="n">
        <v>2000</v>
      </c>
      <c r="BG9" s="13"/>
      <c r="BH9" s="13" t="n">
        <f aca="false">IF('Cash Drivers'!BH$26,Marketing!BG9,Marketing!BI9)</f>
        <v>2000</v>
      </c>
      <c r="BI9" s="89" t="n">
        <v>2000</v>
      </c>
      <c r="BJ9" s="12"/>
      <c r="BK9" s="12" t="n">
        <f aca="false">IF('Cash Drivers'!BK$26,Marketing!BJ9,Marketing!BL9)</f>
        <v>2000</v>
      </c>
      <c r="BL9" s="90" t="n">
        <v>2000</v>
      </c>
      <c r="BM9" s="13"/>
      <c r="BN9" s="13" t="n">
        <f aca="false">IF('Cash Drivers'!BN$26,Marketing!BM9,Marketing!BO9)</f>
        <v>2000</v>
      </c>
      <c r="BO9" s="89" t="n">
        <v>2000</v>
      </c>
      <c r="BP9" s="12"/>
      <c r="BQ9" s="12" t="n">
        <f aca="false">IF('Cash Drivers'!BQ$26,Marketing!BP9,Marketing!BR9)</f>
        <v>2000</v>
      </c>
      <c r="BR9" s="90" t="n">
        <v>2000</v>
      </c>
      <c r="BS9" s="13"/>
      <c r="BT9" s="13" t="n">
        <f aca="false">IF('Cash Drivers'!BT$26,Marketing!BS9,Marketing!BU9)</f>
        <v>2000</v>
      </c>
      <c r="BU9" s="89" t="n">
        <v>2000</v>
      </c>
      <c r="BV9" s="12"/>
      <c r="BW9" s="12" t="n">
        <f aca="false">IF('Cash Drivers'!BW$26,Marketing!BV9,Marketing!BX9)</f>
        <v>2000</v>
      </c>
      <c r="BX9" s="90" t="n">
        <v>2000</v>
      </c>
      <c r="BY9" s="13"/>
      <c r="BZ9" s="13" t="n">
        <f aca="false">IF('Cash Drivers'!BZ$26,Marketing!BY9,Marketing!CA9)</f>
        <v>2000</v>
      </c>
      <c r="CA9" s="89" t="n">
        <v>2000</v>
      </c>
      <c r="CB9" s="12"/>
      <c r="CC9" s="12" t="n">
        <f aca="false">IF('Cash Drivers'!CC$26,Marketing!CB9,Marketing!CD9)</f>
        <v>2000</v>
      </c>
      <c r="CD9" s="90" t="n">
        <v>2000</v>
      </c>
      <c r="CE9" s="13"/>
      <c r="CF9" s="13" t="n">
        <f aca="false">IF('Cash Drivers'!CF$26,Marketing!CE9,Marketing!CG9)</f>
        <v>2000</v>
      </c>
      <c r="CG9" s="89" t="n">
        <v>2000</v>
      </c>
      <c r="CH9" s="12"/>
      <c r="CI9" s="12" t="n">
        <f aca="false">IF('Cash Drivers'!CI$26,Marketing!CH9,Marketing!CJ9)</f>
        <v>2000</v>
      </c>
      <c r="CJ9" s="90" t="n">
        <v>2000</v>
      </c>
      <c r="CK9" s="13"/>
      <c r="CL9" s="13" t="n">
        <f aca="false">IF('Cash Drivers'!CL$26,Marketing!CK9,Marketing!CM9)</f>
        <v>2000</v>
      </c>
      <c r="CM9" s="89" t="n">
        <v>2000</v>
      </c>
      <c r="CN9" s="12"/>
      <c r="CO9" s="12" t="n">
        <f aca="false">IF('Cash Drivers'!CO$26,Marketing!CN9,Marketing!CP9)</f>
        <v>2000</v>
      </c>
      <c r="CP9" s="90" t="n">
        <v>2000</v>
      </c>
      <c r="CQ9" s="13"/>
      <c r="CR9" s="13" t="n">
        <f aca="false">IF('Cash Drivers'!CR$26,Marketing!CQ9,Marketing!CS9)</f>
        <v>2000</v>
      </c>
      <c r="CS9" s="89" t="n">
        <v>2000</v>
      </c>
      <c r="CT9" s="12"/>
      <c r="CU9" s="12" t="n">
        <f aca="false">IF('Cash Drivers'!CU$26,Marketing!CT9,Marketing!CV9)</f>
        <v>2000</v>
      </c>
      <c r="CV9" s="90" t="n">
        <v>2000</v>
      </c>
      <c r="CW9" s="13"/>
      <c r="CX9" s="13" t="n">
        <f aca="false">IF('Cash Drivers'!CX$26,Marketing!CW9,Marketing!CY9)</f>
        <v>2000</v>
      </c>
      <c r="CY9" s="89" t="n">
        <v>2000</v>
      </c>
      <c r="CZ9" s="12"/>
      <c r="DA9" s="12" t="n">
        <f aca="false">IF('Cash Drivers'!DA$26,Marketing!CZ9,Marketing!DB9)</f>
        <v>2000</v>
      </c>
      <c r="DB9" s="90" t="n">
        <v>2000</v>
      </c>
      <c r="DC9" s="13"/>
      <c r="DD9" s="13" t="n">
        <f aca="false">IF('Cash Drivers'!DD$26,Marketing!DC9,Marketing!DE9)</f>
        <v>2000</v>
      </c>
      <c r="DE9" s="89" t="n">
        <v>2000</v>
      </c>
      <c r="DF9" s="12"/>
      <c r="DG9" s="12" t="n">
        <f aca="false">IF('Cash Drivers'!DG$26,Marketing!DF9,Marketing!DH9)</f>
        <v>2000</v>
      </c>
      <c r="DH9" s="90" t="n">
        <v>2000</v>
      </c>
      <c r="DI9" s="89" t="n">
        <v>2000</v>
      </c>
      <c r="DJ9" s="13" t="n">
        <f aca="false">IF('Cash Drivers'!DJ$26,Marketing!DI9,Marketing!DK9)</f>
        <v>2000</v>
      </c>
      <c r="DK9" s="89" t="n">
        <v>2000</v>
      </c>
      <c r="DL9" s="90" t="n">
        <v>2000</v>
      </c>
      <c r="DM9" s="12" t="n">
        <f aca="false">IF('Cash Drivers'!DM$26,Marketing!DL9,Marketing!DN9)</f>
        <v>2000</v>
      </c>
      <c r="DN9" s="90" t="n">
        <v>2000</v>
      </c>
    </row>
    <row r="10" customFormat="false" ht="15" hidden="false" customHeight="false" outlineLevel="0" collapsed="false">
      <c r="A10" s="5" t="s">
        <v>160</v>
      </c>
      <c r="B10" s="12" t="str">
        <f aca="false">IF(COUNT(AR10,AO10,AL10,AI10,AF10,AC10,Z10,W10,T10,Q10,N10,K10)=0,"",SUM(AR10,AO10,AL10,AI10,AF10,AC10,Z10,W10,T10,Q10,N10,K10))</f>
        <v/>
      </c>
      <c r="C10" s="12" t="n">
        <f aca="false">IF(COUNT(AS10,AP10,AM10,AJ10,AG10,AD10,AA10,X10,U10,R10,O10,L10)=0,"",SUM(AS10,AP10,AM10,AJ10,AG10,AD10,AA10,X10,U10,R10,O10,L10))</f>
        <v>190080</v>
      </c>
      <c r="D10" s="12" t="n">
        <f aca="false">IF(COUNT(AT10,AQ10,AN10,AK10,AH10,AE10,AB10,Y10,V10,S10,P10,M10)=0,"",SUM(AT10,AQ10,AN10,AK10,AH10,AE10,AB10,Y10,V10,S10,P10,M10))</f>
        <v>190080</v>
      </c>
      <c r="E10" s="13" t="str">
        <f aca="false">IF(COUNT(CB10,BY10,BV10,BS10,BP10,BM10,BJ10,BG10,BD10,BA10,AX10,AU10)=0,"",SUM(CB10,BY10,BV10,BS10,BP10,BM10,BJ10,BG10,BD10,BA10,AX10,AU10))</f>
        <v/>
      </c>
      <c r="F10" s="13" t="n">
        <f aca="false">IF(COUNT(CC10,BZ10,BW10,BT10,BQ10,BN10,BK10,BH10,BE10,BB10,AY10,AV10)=0,"",SUM(CC10,BZ10,BW10,BT10,BQ10,BN10,BK10,BH10,BE10,BB10,AY10,AV10))</f>
        <v>166320</v>
      </c>
      <c r="G10" s="13" t="n">
        <f aca="false">IF(COUNT(CD10,CA10,BX10,BU10,BR10,BO10,BL10,BI10,BF10,BC10,AZ10,AW10)=0,"",SUM(CD10,CA10,BX10,BU10,BR10,BO10,BL10,BI10,BF10,BC10,AZ10,AW10))</f>
        <v>166320</v>
      </c>
      <c r="H10" s="12" t="n">
        <f aca="false">IF(COUNT(DL10,DI10,DF10,DC10,CZ10,CW10,CT10,CQ10,CN10,CK10,CH10,CE10)=0,"",SUM(DL10,DI10,DF10,DC10,CZ10,CW10,CT10,CQ10,CN10,CK10,CH10,CE10))</f>
        <v>22440</v>
      </c>
      <c r="I10" s="12" t="n">
        <f aca="false">IF(COUNT(DM10,DJ10,DG10,DD10,DA10,CX10,CU10,CR10,CO10,CL10,CI10,CF10)=0,"",SUM(DM10,DJ10,DG10,DD10,DA10,CX10,CU10,CR10,CO10,CL10,CI10,CF10))</f>
        <v>142560</v>
      </c>
      <c r="J10" s="12" t="n">
        <f aca="false">IF(COUNT(DN10,DK10,DH10,DE10,DB10,CY10,CV10,CS10,CP10,CM10,CJ10,CG10)=0,"",SUM(DN10,DK10,DH10,DE10,DB10,CY10,CV10,CS10,CP10,CM10,CJ10,CG10))</f>
        <v>142560</v>
      </c>
      <c r="K10" s="13" t="str">
        <f aca="false">IF(COUNT(K8)=1,K8*0.22,"")</f>
        <v/>
      </c>
      <c r="L10" s="13" t="n">
        <f aca="false">L8*0.22</f>
        <v>15840</v>
      </c>
      <c r="M10" s="13" t="n">
        <f aca="false">M8*0.22</f>
        <v>15840</v>
      </c>
      <c r="N10" s="12" t="str">
        <f aca="false">IF(COUNT(N8)=1,N8*0.22,"")</f>
        <v/>
      </c>
      <c r="O10" s="12" t="n">
        <f aca="false">O8*0.22</f>
        <v>15840</v>
      </c>
      <c r="P10" s="12" t="n">
        <f aca="false">P8*0.22</f>
        <v>15840</v>
      </c>
      <c r="Q10" s="13" t="str">
        <f aca="false">IF(COUNT(Q8)=1,Q8*0.22,"")</f>
        <v/>
      </c>
      <c r="R10" s="13" t="n">
        <f aca="false">R8*0.22</f>
        <v>15840</v>
      </c>
      <c r="S10" s="13" t="n">
        <f aca="false">S8*0.22</f>
        <v>15840</v>
      </c>
      <c r="T10" s="12" t="str">
        <f aca="false">IF(COUNT(T8)=1,T8*0.22,"")</f>
        <v/>
      </c>
      <c r="U10" s="12" t="n">
        <f aca="false">U8*0.22</f>
        <v>15840</v>
      </c>
      <c r="V10" s="12" t="n">
        <f aca="false">V8*0.22</f>
        <v>15840</v>
      </c>
      <c r="W10" s="13" t="str">
        <f aca="false">IF(COUNT(W8)=1,W8*0.22,"")</f>
        <v/>
      </c>
      <c r="X10" s="13" t="n">
        <f aca="false">X8*0.22</f>
        <v>15840</v>
      </c>
      <c r="Y10" s="13" t="n">
        <f aca="false">Y8*0.22</f>
        <v>15840</v>
      </c>
      <c r="Z10" s="12" t="str">
        <f aca="false">IF(COUNT(Z8)=1,Z8*0.22,"")</f>
        <v/>
      </c>
      <c r="AA10" s="12" t="n">
        <f aca="false">AA8*0.22</f>
        <v>15840</v>
      </c>
      <c r="AB10" s="12" t="n">
        <f aca="false">AB8*0.22</f>
        <v>15840</v>
      </c>
      <c r="AC10" s="13" t="str">
        <f aca="false">IF(COUNT(AC8)=1,AC8*0.22,"")</f>
        <v/>
      </c>
      <c r="AD10" s="13" t="n">
        <f aca="false">AD8*0.22</f>
        <v>15840</v>
      </c>
      <c r="AE10" s="13" t="n">
        <f aca="false">AE8*0.22</f>
        <v>15840</v>
      </c>
      <c r="AF10" s="12" t="str">
        <f aca="false">IF(COUNT(AF8)=1,AF8*0.22,"")</f>
        <v/>
      </c>
      <c r="AG10" s="12" t="n">
        <f aca="false">AG8*0.22</f>
        <v>15840</v>
      </c>
      <c r="AH10" s="12" t="n">
        <f aca="false">AH8*0.22</f>
        <v>15840</v>
      </c>
      <c r="AI10" s="13" t="str">
        <f aca="false">IF(COUNT(AI8)=1,AI8*0.22,"")</f>
        <v/>
      </c>
      <c r="AJ10" s="13" t="n">
        <f aca="false">AJ8*0.22</f>
        <v>15840</v>
      </c>
      <c r="AK10" s="13" t="n">
        <f aca="false">AK8*0.22</f>
        <v>15840</v>
      </c>
      <c r="AL10" s="12" t="str">
        <f aca="false">IF(COUNT(AL8)=1,AL8*0.22,"")</f>
        <v/>
      </c>
      <c r="AM10" s="12" t="n">
        <f aca="false">AM8*0.22</f>
        <v>15840</v>
      </c>
      <c r="AN10" s="12" t="n">
        <f aca="false">AN8*0.22</f>
        <v>15840</v>
      </c>
      <c r="AO10" s="13" t="str">
        <f aca="false">IF(COUNT(AO8)=1,AO8*0.22,"")</f>
        <v/>
      </c>
      <c r="AP10" s="13" t="n">
        <f aca="false">AP8*0.22</f>
        <v>15840</v>
      </c>
      <c r="AQ10" s="13" t="n">
        <f aca="false">AQ8*0.22</f>
        <v>15840</v>
      </c>
      <c r="AR10" s="12" t="str">
        <f aca="false">IF(COUNT(AR8)=1,AR8*0.22,"")</f>
        <v/>
      </c>
      <c r="AS10" s="12" t="n">
        <f aca="false">AS8*0.22</f>
        <v>15840</v>
      </c>
      <c r="AT10" s="12" t="n">
        <f aca="false">AT8*0.22</f>
        <v>15840</v>
      </c>
      <c r="AU10" s="13" t="str">
        <f aca="false">IF(COUNT(AU8)=1,AU8*0.22,"")</f>
        <v/>
      </c>
      <c r="AV10" s="13" t="n">
        <f aca="false">AV8*0.22</f>
        <v>15840</v>
      </c>
      <c r="AW10" s="13" t="n">
        <f aca="false">AW8*0.22</f>
        <v>15840</v>
      </c>
      <c r="AX10" s="12" t="str">
        <f aca="false">IF(COUNT(AX8)=1,AX8*0.22,"")</f>
        <v/>
      </c>
      <c r="AY10" s="12" t="n">
        <f aca="false">AY8*0.22</f>
        <v>15840</v>
      </c>
      <c r="AZ10" s="12" t="n">
        <f aca="false">AZ8*0.22</f>
        <v>15840</v>
      </c>
      <c r="BA10" s="13" t="str">
        <f aca="false">IF(COUNT(BA8)=1,BA8*0.22,"")</f>
        <v/>
      </c>
      <c r="BB10" s="13" t="n">
        <f aca="false">BB8*0.22</f>
        <v>15840</v>
      </c>
      <c r="BC10" s="13" t="n">
        <f aca="false">BC8*0.22</f>
        <v>15840</v>
      </c>
      <c r="BD10" s="12" t="str">
        <f aca="false">IF(COUNT(BD8)=1,BD8*0.22,"")</f>
        <v/>
      </c>
      <c r="BE10" s="12" t="n">
        <f aca="false">BE8*0.22</f>
        <v>13200</v>
      </c>
      <c r="BF10" s="12" t="n">
        <f aca="false">BF8*0.22</f>
        <v>13200</v>
      </c>
      <c r="BG10" s="13" t="str">
        <f aca="false">IF(COUNT(BG8)=1,BG8*0.22,"")</f>
        <v/>
      </c>
      <c r="BH10" s="13" t="n">
        <f aca="false">BH8*0.22</f>
        <v>13200</v>
      </c>
      <c r="BI10" s="13" t="n">
        <f aca="false">BI8*0.22</f>
        <v>13200</v>
      </c>
      <c r="BJ10" s="12" t="str">
        <f aca="false">IF(COUNT(BJ8)=1,BJ8*0.22,"")</f>
        <v/>
      </c>
      <c r="BK10" s="12" t="n">
        <f aca="false">BK8*0.22</f>
        <v>13200</v>
      </c>
      <c r="BL10" s="12" t="n">
        <f aca="false">BL8*0.22</f>
        <v>13200</v>
      </c>
      <c r="BM10" s="13" t="str">
        <f aca="false">IF(COUNT(BM8)=1,BM8*0.22,"")</f>
        <v/>
      </c>
      <c r="BN10" s="13" t="n">
        <f aca="false">BN8*0.22</f>
        <v>13200</v>
      </c>
      <c r="BO10" s="13" t="n">
        <f aca="false">BO8*0.22</f>
        <v>13200</v>
      </c>
      <c r="BP10" s="12" t="str">
        <f aca="false">IF(COUNT(BP8)=1,BP8*0.22,"")</f>
        <v/>
      </c>
      <c r="BQ10" s="12" t="n">
        <f aca="false">BQ8*0.22</f>
        <v>13200</v>
      </c>
      <c r="BR10" s="12" t="n">
        <f aca="false">BR8*0.22</f>
        <v>13200</v>
      </c>
      <c r="BS10" s="13" t="str">
        <f aca="false">IF(COUNT(BS8)=1,BS8*0.22,"")</f>
        <v/>
      </c>
      <c r="BT10" s="13" t="n">
        <f aca="false">BT8*0.22</f>
        <v>13200</v>
      </c>
      <c r="BU10" s="13" t="n">
        <f aca="false">BU8*0.22</f>
        <v>13200</v>
      </c>
      <c r="BV10" s="12" t="str">
        <f aca="false">IF(COUNT(BV8)=1,BV8*0.22,"")</f>
        <v/>
      </c>
      <c r="BW10" s="12" t="n">
        <f aca="false">BW8*0.22</f>
        <v>13200</v>
      </c>
      <c r="BX10" s="12" t="n">
        <f aca="false">BX8*0.22</f>
        <v>13200</v>
      </c>
      <c r="BY10" s="13" t="str">
        <f aca="false">IF(COUNT(BY8)=1,BY8*0.22,"")</f>
        <v/>
      </c>
      <c r="BZ10" s="13" t="n">
        <f aca="false">BZ8*0.22</f>
        <v>13200</v>
      </c>
      <c r="CA10" s="13" t="n">
        <f aca="false">CA8*0.22</f>
        <v>13200</v>
      </c>
      <c r="CB10" s="12" t="str">
        <f aca="false">IF(COUNT(CB8)=1,CB8*0.22,"")</f>
        <v/>
      </c>
      <c r="CC10" s="12" t="n">
        <f aca="false">CC8*0.22</f>
        <v>13200</v>
      </c>
      <c r="CD10" s="12" t="n">
        <f aca="false">CD8*0.22</f>
        <v>13200</v>
      </c>
      <c r="CE10" s="13" t="str">
        <f aca="false">IF(COUNT(CE8)=1,CE8*0.22,"")</f>
        <v/>
      </c>
      <c r="CF10" s="13" t="n">
        <f aca="false">CF8*0.22</f>
        <v>13200</v>
      </c>
      <c r="CG10" s="13" t="n">
        <f aca="false">CG8*0.22</f>
        <v>13200</v>
      </c>
      <c r="CH10" s="12" t="str">
        <f aca="false">IF(COUNT(CH8)=1,CH8*0.22,"")</f>
        <v/>
      </c>
      <c r="CI10" s="12" t="n">
        <f aca="false">CI8*0.22</f>
        <v>13200</v>
      </c>
      <c r="CJ10" s="12" t="n">
        <f aca="false">CJ8*0.22</f>
        <v>13200</v>
      </c>
      <c r="CK10" s="13" t="str">
        <f aca="false">IF(COUNT(CK8)=1,CK8*0.22,"")</f>
        <v/>
      </c>
      <c r="CL10" s="13" t="n">
        <f aca="false">CL8*0.22</f>
        <v>13200</v>
      </c>
      <c r="CM10" s="13" t="n">
        <f aca="false">CM8*0.22</f>
        <v>13200</v>
      </c>
      <c r="CN10" s="12" t="str">
        <f aca="false">IF(COUNT(CN8)=1,CN8*0.22,"")</f>
        <v/>
      </c>
      <c r="CO10" s="12" t="n">
        <f aca="false">CO8*0.22</f>
        <v>13200</v>
      </c>
      <c r="CP10" s="12" t="n">
        <f aca="false">CP8*0.22</f>
        <v>13200</v>
      </c>
      <c r="CQ10" s="13" t="str">
        <f aca="false">IF(COUNT(CQ8)=1,CQ8*0.22,"")</f>
        <v/>
      </c>
      <c r="CR10" s="13" t="n">
        <f aca="false">CR8*0.22</f>
        <v>11220</v>
      </c>
      <c r="CS10" s="13" t="n">
        <f aca="false">CS8*0.22</f>
        <v>11220</v>
      </c>
      <c r="CT10" s="12" t="str">
        <f aca="false">IF(COUNT(CT8)=1,CT8*0.22,"")</f>
        <v/>
      </c>
      <c r="CU10" s="12" t="n">
        <f aca="false">CU8*0.22</f>
        <v>11220</v>
      </c>
      <c r="CV10" s="12" t="n">
        <f aca="false">CV8*0.22</f>
        <v>11220</v>
      </c>
      <c r="CW10" s="13" t="str">
        <f aca="false">IF(COUNT(CW8)=1,CW8*0.22,"")</f>
        <v/>
      </c>
      <c r="CX10" s="13" t="n">
        <f aca="false">CX8*0.22</f>
        <v>11220</v>
      </c>
      <c r="CY10" s="13" t="n">
        <f aca="false">CY8*0.22</f>
        <v>11220</v>
      </c>
      <c r="CZ10" s="12" t="str">
        <f aca="false">IF(COUNT(CZ8)=1,CZ8*0.22,"")</f>
        <v/>
      </c>
      <c r="DA10" s="12" t="n">
        <f aca="false">DA8*0.22</f>
        <v>11220</v>
      </c>
      <c r="DB10" s="12" t="n">
        <f aca="false">DB8*0.22</f>
        <v>11220</v>
      </c>
      <c r="DC10" s="13" t="str">
        <f aca="false">IF(COUNT(DC8)=1,DC8*0.22,"")</f>
        <v/>
      </c>
      <c r="DD10" s="13" t="n">
        <f aca="false">DD8*0.22</f>
        <v>11220</v>
      </c>
      <c r="DE10" s="13" t="n">
        <f aca="false">DE8*0.22</f>
        <v>11220</v>
      </c>
      <c r="DF10" s="12" t="str">
        <f aca="false">IF(COUNT(DF8)=1,DF8*0.22,"")</f>
        <v/>
      </c>
      <c r="DG10" s="12" t="n">
        <f aca="false">DG8*0.22</f>
        <v>11220</v>
      </c>
      <c r="DH10" s="12" t="n">
        <f aca="false">DH8*0.22</f>
        <v>11220</v>
      </c>
      <c r="DI10" s="13" t="n">
        <f aca="false">IF(COUNT(DI8)=1,DI8*0.22,"")</f>
        <v>11220</v>
      </c>
      <c r="DJ10" s="13" t="n">
        <f aca="false">DJ8*0.22</f>
        <v>11220</v>
      </c>
      <c r="DK10" s="13" t="n">
        <f aca="false">DK8*0.22</f>
        <v>11220</v>
      </c>
      <c r="DL10" s="12" t="n">
        <f aca="false">IF(COUNT(DL8)=1,DL8*0.22,"")</f>
        <v>11220</v>
      </c>
      <c r="DM10" s="12" t="n">
        <f aca="false">DM8*0.22</f>
        <v>11220</v>
      </c>
      <c r="DN10" s="12" t="n">
        <f aca="false">DN8*0.22</f>
        <v>11220</v>
      </c>
    </row>
    <row r="11" customFormat="false" ht="15" hidden="false" customHeight="false" outlineLevel="0" collapsed="false">
      <c r="A11" s="5" t="s">
        <v>161</v>
      </c>
      <c r="B11" s="12" t="str">
        <f aca="false">IF(COUNT(AR11,AO11,AL11,AI11,AF11,AC11,Z11,W11,T11,Q11,N11,K11)=0,"",SUM(AR11,AO11,AL11,AI11,AF11,AC11,Z11,W11,T11,Q11,N11,K11))</f>
        <v/>
      </c>
      <c r="C11" s="12" t="n">
        <f aca="false">IF(COUNT(AS11,AP11,AM11,AJ11,AG11,AD11,AA11,X11,U11,R11,O11,L11)=0,"",SUM(AS11,AP11,AM11,AJ11,AG11,AD11,AA11,X11,U11,R11,O11,L11))</f>
        <v>36000</v>
      </c>
      <c r="D11" s="12" t="n">
        <f aca="false">IF(COUNT(AT11,AQ11,AN11,AK11,AH11,AE11,AB11,Y11,V11,S11,P11,M11)=0,"",SUM(AT11,AQ11,AN11,AK11,AH11,AE11,AB11,Y11,V11,S11,P11,M11))</f>
        <v>36000</v>
      </c>
      <c r="E11" s="13" t="str">
        <f aca="false">IF(COUNT(CB11,BY11,BV11,BS11,BP11,BM11,BJ11,BG11,BD11,BA11,AX11,AU11)=0,"",SUM(CB11,BY11,BV11,BS11,BP11,BM11,BJ11,BG11,BD11,BA11,AX11,AU11))</f>
        <v/>
      </c>
      <c r="F11" s="13" t="n">
        <f aca="false">IF(COUNT(CC11,BZ11,BW11,BT11,BQ11,BN11,BK11,BH11,BE11,BB11,AY11,AV11)=0,"",SUM(CC11,BZ11,BW11,BT11,BQ11,BN11,BK11,BH11,BE11,BB11,AY11,AV11))</f>
        <v>36000</v>
      </c>
      <c r="G11" s="13" t="n">
        <f aca="false">IF(COUNT(CD11,CA11,BX11,BU11,BR11,BO11,BL11,BI11,BF11,BC11,AZ11,AW11)=0,"",SUM(CD11,CA11,BX11,BU11,BR11,BO11,BL11,BI11,BF11,BC11,AZ11,AW11))</f>
        <v>36000</v>
      </c>
      <c r="H11" s="12" t="n">
        <f aca="false">IF(COUNT(DL11,DI11,DF11,DC11,CZ11,CW11,CT11,CQ11,CN11,CK11,CH11,CE11)=0,"",SUM(DL11,DI11,DF11,DC11,CZ11,CW11,CT11,CQ11,CN11,CK11,CH11,CE11))</f>
        <v>6000</v>
      </c>
      <c r="I11" s="12" t="n">
        <f aca="false">IF(COUNT(DM11,DJ11,DG11,DD11,DA11,CX11,CU11,CR11,CO11,CL11,CI11,CF11)=0,"",SUM(DM11,DJ11,DG11,DD11,DA11,CX11,CU11,CR11,CO11,CL11,CI11,CF11))</f>
        <v>36000</v>
      </c>
      <c r="J11" s="12" t="n">
        <f aca="false">IF(COUNT(DN11,DK11,DH11,DE11,DB11,CY11,CV11,CS11,CP11,CM11,CJ11,CG11)=0,"",SUM(DN11,DK11,DH11,DE11,DB11,CY11,CV11,CS11,CP11,CM11,CJ11,CG11))</f>
        <v>36000</v>
      </c>
      <c r="K11" s="13"/>
      <c r="L11" s="13" t="n">
        <f aca="false">IF('Cash Drivers'!L$26,Marketing!K11,Marketing!M11)</f>
        <v>3000</v>
      </c>
      <c r="M11" s="89" t="n">
        <v>3000</v>
      </c>
      <c r="N11" s="12"/>
      <c r="O11" s="12" t="n">
        <f aca="false">IF('Cash Drivers'!O$26,Marketing!N11,Marketing!P11)</f>
        <v>3000</v>
      </c>
      <c r="P11" s="90" t="n">
        <v>3000</v>
      </c>
      <c r="Q11" s="13"/>
      <c r="R11" s="13" t="n">
        <f aca="false">IF('Cash Drivers'!R$26,Marketing!Q11,Marketing!S11)</f>
        <v>3000</v>
      </c>
      <c r="S11" s="89" t="n">
        <v>3000</v>
      </c>
      <c r="T11" s="12"/>
      <c r="U11" s="12" t="n">
        <f aca="false">IF('Cash Drivers'!U$26,Marketing!T11,Marketing!V11)</f>
        <v>3000</v>
      </c>
      <c r="V11" s="90" t="n">
        <v>3000</v>
      </c>
      <c r="W11" s="13"/>
      <c r="X11" s="13" t="n">
        <f aca="false">IF('Cash Drivers'!X$26,Marketing!W11,Marketing!Y11)</f>
        <v>3000</v>
      </c>
      <c r="Y11" s="89" t="n">
        <v>3000</v>
      </c>
      <c r="Z11" s="12"/>
      <c r="AA11" s="12" t="n">
        <f aca="false">IF('Cash Drivers'!AA$26,Marketing!Z11,Marketing!AB11)</f>
        <v>3000</v>
      </c>
      <c r="AB11" s="90" t="n">
        <v>3000</v>
      </c>
      <c r="AC11" s="13"/>
      <c r="AD11" s="13" t="n">
        <f aca="false">IF('Cash Drivers'!AD$26,Marketing!AC11,Marketing!AE11)</f>
        <v>3000</v>
      </c>
      <c r="AE11" s="89" t="n">
        <v>3000</v>
      </c>
      <c r="AF11" s="12"/>
      <c r="AG11" s="12" t="n">
        <f aca="false">IF('Cash Drivers'!AG$26,Marketing!AF11,Marketing!AH11)</f>
        <v>3000</v>
      </c>
      <c r="AH11" s="90" t="n">
        <v>3000</v>
      </c>
      <c r="AI11" s="13"/>
      <c r="AJ11" s="13" t="n">
        <f aca="false">IF('Cash Drivers'!AJ$26,Marketing!AI11,Marketing!AK11)</f>
        <v>3000</v>
      </c>
      <c r="AK11" s="89" t="n">
        <v>3000</v>
      </c>
      <c r="AL11" s="12"/>
      <c r="AM11" s="12" t="n">
        <f aca="false">IF('Cash Drivers'!AM$26,Marketing!AL11,Marketing!AN11)</f>
        <v>3000</v>
      </c>
      <c r="AN11" s="90" t="n">
        <v>3000</v>
      </c>
      <c r="AO11" s="13"/>
      <c r="AP11" s="13" t="n">
        <f aca="false">IF('Cash Drivers'!AP$26,Marketing!AO11,Marketing!AQ11)</f>
        <v>3000</v>
      </c>
      <c r="AQ11" s="89" t="n">
        <v>3000</v>
      </c>
      <c r="AR11" s="12"/>
      <c r="AS11" s="12" t="n">
        <f aca="false">IF('Cash Drivers'!AS$26,Marketing!AR11,Marketing!AT11)</f>
        <v>3000</v>
      </c>
      <c r="AT11" s="90" t="n">
        <v>3000</v>
      </c>
      <c r="AU11" s="13"/>
      <c r="AV11" s="13" t="n">
        <f aca="false">IF('Cash Drivers'!AV$26,Marketing!AU11,Marketing!AW11)</f>
        <v>3000</v>
      </c>
      <c r="AW11" s="89" t="n">
        <v>3000</v>
      </c>
      <c r="AX11" s="12"/>
      <c r="AY11" s="12" t="n">
        <f aca="false">IF('Cash Drivers'!AY$26,Marketing!AX11,Marketing!AZ11)</f>
        <v>3000</v>
      </c>
      <c r="AZ11" s="90" t="n">
        <v>3000</v>
      </c>
      <c r="BA11" s="13"/>
      <c r="BB11" s="13" t="n">
        <f aca="false">IF('Cash Drivers'!BB$26,Marketing!BA11,Marketing!BC11)</f>
        <v>3000</v>
      </c>
      <c r="BC11" s="89" t="n">
        <v>3000</v>
      </c>
      <c r="BD11" s="12"/>
      <c r="BE11" s="12" t="n">
        <f aca="false">IF('Cash Drivers'!BE$26,Marketing!BD11,Marketing!BF11)</f>
        <v>3000</v>
      </c>
      <c r="BF11" s="90" t="n">
        <v>3000</v>
      </c>
      <c r="BG11" s="13"/>
      <c r="BH11" s="13" t="n">
        <f aca="false">IF('Cash Drivers'!BH$26,Marketing!BG11,Marketing!BI11)</f>
        <v>3000</v>
      </c>
      <c r="BI11" s="89" t="n">
        <v>3000</v>
      </c>
      <c r="BJ11" s="12"/>
      <c r="BK11" s="12" t="n">
        <f aca="false">IF('Cash Drivers'!BK$26,Marketing!BJ11,Marketing!BL11)</f>
        <v>3000</v>
      </c>
      <c r="BL11" s="90" t="n">
        <v>3000</v>
      </c>
      <c r="BM11" s="13"/>
      <c r="BN11" s="13" t="n">
        <f aca="false">IF('Cash Drivers'!BN$26,Marketing!BM11,Marketing!BO11)</f>
        <v>3000</v>
      </c>
      <c r="BO11" s="89" t="n">
        <v>3000</v>
      </c>
      <c r="BP11" s="12"/>
      <c r="BQ11" s="12" t="n">
        <f aca="false">IF('Cash Drivers'!BQ$26,Marketing!BP11,Marketing!BR11)</f>
        <v>3000</v>
      </c>
      <c r="BR11" s="90" t="n">
        <v>3000</v>
      </c>
      <c r="BS11" s="13"/>
      <c r="BT11" s="13" t="n">
        <f aca="false">IF('Cash Drivers'!BT$26,Marketing!BS11,Marketing!BU11)</f>
        <v>3000</v>
      </c>
      <c r="BU11" s="89" t="n">
        <v>3000</v>
      </c>
      <c r="BV11" s="12"/>
      <c r="BW11" s="12" t="n">
        <f aca="false">IF('Cash Drivers'!BW$26,Marketing!BV11,Marketing!BX11)</f>
        <v>3000</v>
      </c>
      <c r="BX11" s="90" t="n">
        <v>3000</v>
      </c>
      <c r="BY11" s="13"/>
      <c r="BZ11" s="13" t="n">
        <f aca="false">IF('Cash Drivers'!BZ$26,Marketing!BY11,Marketing!CA11)</f>
        <v>3000</v>
      </c>
      <c r="CA11" s="89" t="n">
        <v>3000</v>
      </c>
      <c r="CB11" s="12"/>
      <c r="CC11" s="12" t="n">
        <f aca="false">IF('Cash Drivers'!CC$26,Marketing!CB11,Marketing!CD11)</f>
        <v>3000</v>
      </c>
      <c r="CD11" s="90" t="n">
        <v>3000</v>
      </c>
      <c r="CE11" s="13"/>
      <c r="CF11" s="13" t="n">
        <f aca="false">IF('Cash Drivers'!CF$26,Marketing!CE11,Marketing!CG11)</f>
        <v>3000</v>
      </c>
      <c r="CG11" s="89" t="n">
        <v>3000</v>
      </c>
      <c r="CH11" s="12"/>
      <c r="CI11" s="12" t="n">
        <f aca="false">IF('Cash Drivers'!CI$26,Marketing!CH11,Marketing!CJ11)</f>
        <v>3000</v>
      </c>
      <c r="CJ11" s="90" t="n">
        <v>3000</v>
      </c>
      <c r="CK11" s="13"/>
      <c r="CL11" s="13" t="n">
        <f aca="false">IF('Cash Drivers'!CL$26,Marketing!CK11,Marketing!CM11)</f>
        <v>3000</v>
      </c>
      <c r="CM11" s="89" t="n">
        <v>3000</v>
      </c>
      <c r="CN11" s="12"/>
      <c r="CO11" s="12" t="n">
        <f aca="false">IF('Cash Drivers'!CO$26,Marketing!CN11,Marketing!CP11)</f>
        <v>3000</v>
      </c>
      <c r="CP11" s="90" t="n">
        <v>3000</v>
      </c>
      <c r="CQ11" s="13"/>
      <c r="CR11" s="13" t="n">
        <f aca="false">IF('Cash Drivers'!CR$26,Marketing!CQ11,Marketing!CS11)</f>
        <v>3000</v>
      </c>
      <c r="CS11" s="89" t="n">
        <v>3000</v>
      </c>
      <c r="CT11" s="12"/>
      <c r="CU11" s="12" t="n">
        <f aca="false">IF('Cash Drivers'!CU$26,Marketing!CT11,Marketing!CV11)</f>
        <v>3000</v>
      </c>
      <c r="CV11" s="90" t="n">
        <v>3000</v>
      </c>
      <c r="CW11" s="13"/>
      <c r="CX11" s="13" t="n">
        <f aca="false">IF('Cash Drivers'!CX$26,Marketing!CW11,Marketing!CY11)</f>
        <v>3000</v>
      </c>
      <c r="CY11" s="89" t="n">
        <v>3000</v>
      </c>
      <c r="CZ11" s="12"/>
      <c r="DA11" s="12" t="n">
        <f aca="false">IF('Cash Drivers'!DA$26,Marketing!CZ11,Marketing!DB11)</f>
        <v>3000</v>
      </c>
      <c r="DB11" s="90" t="n">
        <v>3000</v>
      </c>
      <c r="DC11" s="13"/>
      <c r="DD11" s="13" t="n">
        <f aca="false">IF('Cash Drivers'!DD$26,Marketing!DC11,Marketing!DE11)</f>
        <v>3000</v>
      </c>
      <c r="DE11" s="89" t="n">
        <v>3000</v>
      </c>
      <c r="DF11" s="12"/>
      <c r="DG11" s="12" t="n">
        <f aca="false">IF('Cash Drivers'!DG$26,Marketing!DF11,Marketing!DH11)</f>
        <v>3000</v>
      </c>
      <c r="DH11" s="90" t="n">
        <v>3000</v>
      </c>
      <c r="DI11" s="89" t="n">
        <v>3000</v>
      </c>
      <c r="DJ11" s="13" t="n">
        <f aca="false">IF('Cash Drivers'!DJ$26,Marketing!DI11,Marketing!DK11)</f>
        <v>3000</v>
      </c>
      <c r="DK11" s="89" t="n">
        <v>3000</v>
      </c>
      <c r="DL11" s="90" t="n">
        <v>3000</v>
      </c>
      <c r="DM11" s="12" t="n">
        <f aca="false">IF('Cash Drivers'!DM$26,Marketing!DL11,Marketing!DN11)</f>
        <v>3000</v>
      </c>
      <c r="DN11" s="90" t="n">
        <v>3000</v>
      </c>
    </row>
    <row r="12" customFormat="false" ht="15" hidden="false" customHeight="false" outlineLevel="0" collapsed="false">
      <c r="A12" s="5" t="s">
        <v>162</v>
      </c>
      <c r="B12" s="12" t="str">
        <f aca="false">IF(COUNT(AR12,AO12,AL12,AI12,AF12,AC12,Z12,W12,T12,Q12,N12,K12)=0,"",SUM(AR12,AO12,AL12,AI12,AF12,AC12,Z12,W12,T12,Q12,N12,K12))</f>
        <v/>
      </c>
      <c r="C12" s="12" t="n">
        <f aca="false">IF(COUNT(AS12,AP12,AM12,AJ12,AG12,AD12,AA12,X12,U12,R12,O12,L12)=0,"",SUM(AS12,AP12,AM12,AJ12,AG12,AD12,AA12,X12,U12,R12,O12,L12))</f>
        <v>6000</v>
      </c>
      <c r="D12" s="12" t="n">
        <f aca="false">IF(COUNT(AT12,AQ12,AN12,AK12,AH12,AE12,AB12,Y12,V12,S12,P12,M12)=0,"",SUM(AT12,AQ12,AN12,AK12,AH12,AE12,AB12,Y12,V12,S12,P12,M12))</f>
        <v>6000</v>
      </c>
      <c r="E12" s="13" t="str">
        <f aca="false">IF(COUNT(CB12,BY12,BV12,BS12,BP12,BM12,BJ12,BG12,BD12,BA12,AX12,AU12)=0,"",SUM(CB12,BY12,BV12,BS12,BP12,BM12,BJ12,BG12,BD12,BA12,AX12,AU12))</f>
        <v/>
      </c>
      <c r="F12" s="13" t="n">
        <f aca="false">IF(COUNT(CC12,BZ12,BW12,BT12,BQ12,BN12,BK12,BH12,BE12,BB12,AY12,AV12)=0,"",SUM(CC12,BZ12,BW12,BT12,BQ12,BN12,BK12,BH12,BE12,BB12,AY12,AV12))</f>
        <v>6000</v>
      </c>
      <c r="G12" s="13" t="n">
        <f aca="false">IF(COUNT(CD12,CA12,BX12,BU12,BR12,BO12,BL12,BI12,BF12,BC12,AZ12,AW12)=0,"",SUM(CD12,CA12,BX12,BU12,BR12,BO12,BL12,BI12,BF12,BC12,AZ12,AW12))</f>
        <v>6000</v>
      </c>
      <c r="H12" s="12" t="n">
        <f aca="false">IF(COUNT(DL12,DI12,DF12,DC12,CZ12,CW12,CT12,CQ12,CN12,CK12,CH12,CE12)=0,"",SUM(DL12,DI12,DF12,DC12,CZ12,CW12,CT12,CQ12,CN12,CK12,CH12,CE12))</f>
        <v>1000</v>
      </c>
      <c r="I12" s="12" t="n">
        <f aca="false">IF(COUNT(DM12,DJ12,DG12,DD12,DA12,CX12,CU12,CR12,CO12,CL12,CI12,CF12)=0,"",SUM(DM12,DJ12,DG12,DD12,DA12,CX12,CU12,CR12,CO12,CL12,CI12,CF12))</f>
        <v>6000</v>
      </c>
      <c r="J12" s="12" t="n">
        <f aca="false">IF(COUNT(DN12,DK12,DH12,DE12,DB12,CY12,CV12,CS12,CP12,CM12,CJ12,CG12)=0,"",SUM(DN12,DK12,DH12,DE12,DB12,CY12,CV12,CS12,CP12,CM12,CJ12,CG12))</f>
        <v>6000</v>
      </c>
      <c r="K12" s="13"/>
      <c r="L12" s="13" t="n">
        <f aca="false">IF('Cash Drivers'!L$26,Marketing!K12,Marketing!M12)</f>
        <v>500</v>
      </c>
      <c r="M12" s="89" t="n">
        <v>500</v>
      </c>
      <c r="N12" s="12"/>
      <c r="O12" s="12" t="n">
        <f aca="false">IF('Cash Drivers'!O$26,Marketing!N12,Marketing!P12)</f>
        <v>500</v>
      </c>
      <c r="P12" s="90" t="n">
        <v>500</v>
      </c>
      <c r="Q12" s="13"/>
      <c r="R12" s="13" t="n">
        <f aca="false">IF('Cash Drivers'!R$26,Marketing!Q12,Marketing!S12)</f>
        <v>500</v>
      </c>
      <c r="S12" s="89" t="n">
        <v>500</v>
      </c>
      <c r="T12" s="12"/>
      <c r="U12" s="12" t="n">
        <f aca="false">IF('Cash Drivers'!U$26,Marketing!T12,Marketing!V12)</f>
        <v>500</v>
      </c>
      <c r="V12" s="90" t="n">
        <v>500</v>
      </c>
      <c r="W12" s="13"/>
      <c r="X12" s="13" t="n">
        <f aca="false">IF('Cash Drivers'!X$26,Marketing!W12,Marketing!Y12)</f>
        <v>500</v>
      </c>
      <c r="Y12" s="89" t="n">
        <v>500</v>
      </c>
      <c r="Z12" s="12"/>
      <c r="AA12" s="12" t="n">
        <f aca="false">IF('Cash Drivers'!AA$26,Marketing!Z12,Marketing!AB12)</f>
        <v>500</v>
      </c>
      <c r="AB12" s="90" t="n">
        <v>500</v>
      </c>
      <c r="AC12" s="13"/>
      <c r="AD12" s="13" t="n">
        <f aca="false">IF('Cash Drivers'!AD$26,Marketing!AC12,Marketing!AE12)</f>
        <v>500</v>
      </c>
      <c r="AE12" s="89" t="n">
        <v>500</v>
      </c>
      <c r="AF12" s="12"/>
      <c r="AG12" s="12" t="n">
        <f aca="false">IF('Cash Drivers'!AG$26,Marketing!AF12,Marketing!AH12)</f>
        <v>500</v>
      </c>
      <c r="AH12" s="90" t="n">
        <v>500</v>
      </c>
      <c r="AI12" s="13"/>
      <c r="AJ12" s="13" t="n">
        <f aca="false">IF('Cash Drivers'!AJ$26,Marketing!AI12,Marketing!AK12)</f>
        <v>500</v>
      </c>
      <c r="AK12" s="89" t="n">
        <v>500</v>
      </c>
      <c r="AL12" s="12"/>
      <c r="AM12" s="12" t="n">
        <f aca="false">IF('Cash Drivers'!AM$26,Marketing!AL12,Marketing!AN12)</f>
        <v>500</v>
      </c>
      <c r="AN12" s="90" t="n">
        <v>500</v>
      </c>
      <c r="AO12" s="13"/>
      <c r="AP12" s="13" t="n">
        <f aca="false">IF('Cash Drivers'!AP$26,Marketing!AO12,Marketing!AQ12)</f>
        <v>500</v>
      </c>
      <c r="AQ12" s="89" t="n">
        <v>500</v>
      </c>
      <c r="AR12" s="12"/>
      <c r="AS12" s="12" t="n">
        <f aca="false">IF('Cash Drivers'!AS$26,Marketing!AR12,Marketing!AT12)</f>
        <v>500</v>
      </c>
      <c r="AT12" s="90" t="n">
        <v>500</v>
      </c>
      <c r="AU12" s="13"/>
      <c r="AV12" s="13" t="n">
        <f aca="false">IF('Cash Drivers'!AV$26,Marketing!AU12,Marketing!AW12)</f>
        <v>500</v>
      </c>
      <c r="AW12" s="89" t="n">
        <v>500</v>
      </c>
      <c r="AX12" s="12"/>
      <c r="AY12" s="12" t="n">
        <f aca="false">IF('Cash Drivers'!AY$26,Marketing!AX12,Marketing!AZ12)</f>
        <v>500</v>
      </c>
      <c r="AZ12" s="90" t="n">
        <v>500</v>
      </c>
      <c r="BA12" s="13"/>
      <c r="BB12" s="13" t="n">
        <f aca="false">IF('Cash Drivers'!BB$26,Marketing!BA12,Marketing!BC12)</f>
        <v>500</v>
      </c>
      <c r="BC12" s="89" t="n">
        <v>500</v>
      </c>
      <c r="BD12" s="12"/>
      <c r="BE12" s="12" t="n">
        <f aca="false">IF('Cash Drivers'!BE$26,Marketing!BD12,Marketing!BF12)</f>
        <v>500</v>
      </c>
      <c r="BF12" s="90" t="n">
        <v>500</v>
      </c>
      <c r="BG12" s="13"/>
      <c r="BH12" s="13" t="n">
        <f aca="false">IF('Cash Drivers'!BH$26,Marketing!BG12,Marketing!BI12)</f>
        <v>500</v>
      </c>
      <c r="BI12" s="89" t="n">
        <v>500</v>
      </c>
      <c r="BJ12" s="12"/>
      <c r="BK12" s="12" t="n">
        <f aca="false">IF('Cash Drivers'!BK$26,Marketing!BJ12,Marketing!BL12)</f>
        <v>500</v>
      </c>
      <c r="BL12" s="90" t="n">
        <v>500</v>
      </c>
      <c r="BM12" s="13"/>
      <c r="BN12" s="13" t="n">
        <f aca="false">IF('Cash Drivers'!BN$26,Marketing!BM12,Marketing!BO12)</f>
        <v>500</v>
      </c>
      <c r="BO12" s="89" t="n">
        <v>500</v>
      </c>
      <c r="BP12" s="12"/>
      <c r="BQ12" s="12" t="n">
        <f aca="false">IF('Cash Drivers'!BQ$26,Marketing!BP12,Marketing!BR12)</f>
        <v>500</v>
      </c>
      <c r="BR12" s="90" t="n">
        <v>500</v>
      </c>
      <c r="BS12" s="13"/>
      <c r="BT12" s="13" t="n">
        <f aca="false">IF('Cash Drivers'!BT$26,Marketing!BS12,Marketing!BU12)</f>
        <v>500</v>
      </c>
      <c r="BU12" s="89" t="n">
        <v>500</v>
      </c>
      <c r="BV12" s="12"/>
      <c r="BW12" s="12" t="n">
        <f aca="false">IF('Cash Drivers'!BW$26,Marketing!BV12,Marketing!BX12)</f>
        <v>500</v>
      </c>
      <c r="BX12" s="90" t="n">
        <v>500</v>
      </c>
      <c r="BY12" s="13"/>
      <c r="BZ12" s="13" t="n">
        <f aca="false">IF('Cash Drivers'!BZ$26,Marketing!BY12,Marketing!CA12)</f>
        <v>500</v>
      </c>
      <c r="CA12" s="89" t="n">
        <v>500</v>
      </c>
      <c r="CB12" s="12"/>
      <c r="CC12" s="12" t="n">
        <f aca="false">IF('Cash Drivers'!CC$26,Marketing!CB12,Marketing!CD12)</f>
        <v>500</v>
      </c>
      <c r="CD12" s="90" t="n">
        <v>500</v>
      </c>
      <c r="CE12" s="13"/>
      <c r="CF12" s="13" t="n">
        <f aca="false">IF('Cash Drivers'!CF$26,Marketing!CE12,Marketing!CG12)</f>
        <v>500</v>
      </c>
      <c r="CG12" s="89" t="n">
        <v>500</v>
      </c>
      <c r="CH12" s="12"/>
      <c r="CI12" s="12" t="n">
        <f aca="false">IF('Cash Drivers'!CI$26,Marketing!CH12,Marketing!CJ12)</f>
        <v>500</v>
      </c>
      <c r="CJ12" s="90" t="n">
        <v>500</v>
      </c>
      <c r="CK12" s="13"/>
      <c r="CL12" s="13" t="n">
        <f aca="false">IF('Cash Drivers'!CL$26,Marketing!CK12,Marketing!CM12)</f>
        <v>500</v>
      </c>
      <c r="CM12" s="89" t="n">
        <v>500</v>
      </c>
      <c r="CN12" s="12"/>
      <c r="CO12" s="12" t="n">
        <f aca="false">IF('Cash Drivers'!CO$26,Marketing!CN12,Marketing!CP12)</f>
        <v>500</v>
      </c>
      <c r="CP12" s="90" t="n">
        <v>500</v>
      </c>
      <c r="CQ12" s="13"/>
      <c r="CR12" s="13" t="n">
        <f aca="false">IF('Cash Drivers'!CR$26,Marketing!CQ12,Marketing!CS12)</f>
        <v>500</v>
      </c>
      <c r="CS12" s="89" t="n">
        <v>500</v>
      </c>
      <c r="CT12" s="12"/>
      <c r="CU12" s="12" t="n">
        <f aca="false">IF('Cash Drivers'!CU$26,Marketing!CT12,Marketing!CV12)</f>
        <v>500</v>
      </c>
      <c r="CV12" s="90" t="n">
        <v>500</v>
      </c>
      <c r="CW12" s="13"/>
      <c r="CX12" s="13" t="n">
        <f aca="false">IF('Cash Drivers'!CX$26,Marketing!CW12,Marketing!CY12)</f>
        <v>500</v>
      </c>
      <c r="CY12" s="89" t="n">
        <v>500</v>
      </c>
      <c r="CZ12" s="12"/>
      <c r="DA12" s="12" t="n">
        <f aca="false">IF('Cash Drivers'!DA$26,Marketing!CZ12,Marketing!DB12)</f>
        <v>500</v>
      </c>
      <c r="DB12" s="90" t="n">
        <v>500</v>
      </c>
      <c r="DC12" s="13"/>
      <c r="DD12" s="13" t="n">
        <f aca="false">IF('Cash Drivers'!DD$26,Marketing!DC12,Marketing!DE12)</f>
        <v>500</v>
      </c>
      <c r="DE12" s="89" t="n">
        <v>500</v>
      </c>
      <c r="DF12" s="12"/>
      <c r="DG12" s="12" t="n">
        <f aca="false">IF('Cash Drivers'!DG$26,Marketing!DF12,Marketing!DH12)</f>
        <v>500</v>
      </c>
      <c r="DH12" s="90" t="n">
        <v>500</v>
      </c>
      <c r="DI12" s="89" t="n">
        <v>500</v>
      </c>
      <c r="DJ12" s="13" t="n">
        <f aca="false">IF('Cash Drivers'!DJ$26,Marketing!DI12,Marketing!DK12)</f>
        <v>500</v>
      </c>
      <c r="DK12" s="89" t="n">
        <v>500</v>
      </c>
      <c r="DL12" s="90" t="n">
        <v>500</v>
      </c>
      <c r="DM12" s="12" t="n">
        <f aca="false">IF('Cash Drivers'!DM$26,Marketing!DL12,Marketing!DN12)</f>
        <v>500</v>
      </c>
      <c r="DN12" s="90" t="n">
        <v>500</v>
      </c>
    </row>
    <row r="13" customFormat="false" ht="15" hidden="false" customHeight="false" outlineLevel="0" collapsed="false">
      <c r="A13" s="5" t="s">
        <v>163</v>
      </c>
      <c r="B13" s="12" t="str">
        <f aca="false">IF(COUNT(AR13,AO13,AL13,AI13,AF13,AC13,Z13,W13,T13,Q13,N13,K13)=0,"",SUM(AR13,AO13,AL13,AI13,AF13,AC13,Z13,W13,T13,Q13,N13,K13))</f>
        <v/>
      </c>
      <c r="C13" s="12" t="n">
        <f aca="false">IF(COUNT(AS13,AP13,AM13,AJ13,AG13,AD13,AA13,X13,U13,R13,O13,L13)=0,"",SUM(AS13,AP13,AM13,AJ13,AG13,AD13,AA13,X13,U13,R13,O13,L13))</f>
        <v>6000</v>
      </c>
      <c r="D13" s="12" t="n">
        <f aca="false">IF(COUNT(AT13,AQ13,AN13,AK13,AH13,AE13,AB13,Y13,V13,S13,P13,M13)=0,"",SUM(AT13,AQ13,AN13,AK13,AH13,AE13,AB13,Y13,V13,S13,P13,M13))</f>
        <v>6000</v>
      </c>
      <c r="E13" s="13" t="str">
        <f aca="false">IF(COUNT(CB13,BY13,BV13,BS13,BP13,BM13,BJ13,BG13,BD13,BA13,AX13,AU13)=0,"",SUM(CB13,BY13,BV13,BS13,BP13,BM13,BJ13,BG13,BD13,BA13,AX13,AU13))</f>
        <v/>
      </c>
      <c r="F13" s="13" t="n">
        <f aca="false">IF(COUNT(CC13,BZ13,BW13,BT13,BQ13,BN13,BK13,BH13,BE13,BB13,AY13,AV13)=0,"",SUM(CC13,BZ13,BW13,BT13,BQ13,BN13,BK13,BH13,BE13,BB13,AY13,AV13))</f>
        <v>6000</v>
      </c>
      <c r="G13" s="13" t="n">
        <f aca="false">IF(COUNT(CD13,CA13,BX13,BU13,BR13,BO13,BL13,BI13,BF13,BC13,AZ13,AW13)=0,"",SUM(CD13,CA13,BX13,BU13,BR13,BO13,BL13,BI13,BF13,BC13,AZ13,AW13))</f>
        <v>6000</v>
      </c>
      <c r="H13" s="12" t="n">
        <f aca="false">IF(COUNT(DL13,DI13,DF13,DC13,CZ13,CW13,CT13,CQ13,CN13,CK13,CH13,CE13)=0,"",SUM(DL13,DI13,DF13,DC13,CZ13,CW13,CT13,CQ13,CN13,CK13,CH13,CE13))</f>
        <v>1000</v>
      </c>
      <c r="I13" s="12" t="n">
        <f aca="false">IF(COUNT(DM13,DJ13,DG13,DD13,DA13,CX13,CU13,CR13,CO13,CL13,CI13,CF13)=0,"",SUM(DM13,DJ13,DG13,DD13,DA13,CX13,CU13,CR13,CO13,CL13,CI13,CF13))</f>
        <v>6000</v>
      </c>
      <c r="J13" s="12" t="n">
        <f aca="false">IF(COUNT(DN13,DK13,DH13,DE13,DB13,CY13,CV13,CS13,CP13,CM13,CJ13,CG13)=0,"",SUM(DN13,DK13,DH13,DE13,DB13,CY13,CV13,CS13,CP13,CM13,CJ13,CG13))</f>
        <v>6000</v>
      </c>
      <c r="K13" s="13"/>
      <c r="L13" s="13" t="n">
        <f aca="false">IF('Cash Drivers'!L$26,Marketing!K13,Marketing!M13)</f>
        <v>500</v>
      </c>
      <c r="M13" s="89" t="n">
        <v>500</v>
      </c>
      <c r="N13" s="12"/>
      <c r="O13" s="12" t="n">
        <f aca="false">IF('Cash Drivers'!O$26,Marketing!N13,Marketing!P13)</f>
        <v>500</v>
      </c>
      <c r="P13" s="90" t="n">
        <v>500</v>
      </c>
      <c r="Q13" s="13"/>
      <c r="R13" s="13" t="n">
        <f aca="false">IF('Cash Drivers'!R$26,Marketing!Q13,Marketing!S13)</f>
        <v>500</v>
      </c>
      <c r="S13" s="89" t="n">
        <v>500</v>
      </c>
      <c r="T13" s="12"/>
      <c r="U13" s="12" t="n">
        <f aca="false">IF('Cash Drivers'!U$26,Marketing!T13,Marketing!V13)</f>
        <v>500</v>
      </c>
      <c r="V13" s="90" t="n">
        <v>500</v>
      </c>
      <c r="W13" s="13"/>
      <c r="X13" s="13" t="n">
        <f aca="false">IF('Cash Drivers'!X$26,Marketing!W13,Marketing!Y13)</f>
        <v>500</v>
      </c>
      <c r="Y13" s="89" t="n">
        <v>500</v>
      </c>
      <c r="Z13" s="12"/>
      <c r="AA13" s="12" t="n">
        <f aca="false">IF('Cash Drivers'!AA$26,Marketing!Z13,Marketing!AB13)</f>
        <v>500</v>
      </c>
      <c r="AB13" s="90" t="n">
        <v>500</v>
      </c>
      <c r="AC13" s="13"/>
      <c r="AD13" s="13" t="n">
        <f aca="false">IF('Cash Drivers'!AD$26,Marketing!AC13,Marketing!AE13)</f>
        <v>500</v>
      </c>
      <c r="AE13" s="89" t="n">
        <v>500</v>
      </c>
      <c r="AF13" s="12"/>
      <c r="AG13" s="12" t="n">
        <f aca="false">IF('Cash Drivers'!AG$26,Marketing!AF13,Marketing!AH13)</f>
        <v>500</v>
      </c>
      <c r="AH13" s="90" t="n">
        <v>500</v>
      </c>
      <c r="AI13" s="13"/>
      <c r="AJ13" s="13" t="n">
        <f aca="false">IF('Cash Drivers'!AJ$26,Marketing!AI13,Marketing!AK13)</f>
        <v>500</v>
      </c>
      <c r="AK13" s="89" t="n">
        <v>500</v>
      </c>
      <c r="AL13" s="12"/>
      <c r="AM13" s="12" t="n">
        <f aca="false">IF('Cash Drivers'!AM$26,Marketing!AL13,Marketing!AN13)</f>
        <v>500</v>
      </c>
      <c r="AN13" s="90" t="n">
        <v>500</v>
      </c>
      <c r="AO13" s="13"/>
      <c r="AP13" s="13" t="n">
        <f aca="false">IF('Cash Drivers'!AP$26,Marketing!AO13,Marketing!AQ13)</f>
        <v>500</v>
      </c>
      <c r="AQ13" s="89" t="n">
        <v>500</v>
      </c>
      <c r="AR13" s="12"/>
      <c r="AS13" s="12" t="n">
        <f aca="false">IF('Cash Drivers'!AS$26,Marketing!AR13,Marketing!AT13)</f>
        <v>500</v>
      </c>
      <c r="AT13" s="90" t="n">
        <v>500</v>
      </c>
      <c r="AU13" s="13"/>
      <c r="AV13" s="13" t="n">
        <f aca="false">IF('Cash Drivers'!AV$26,Marketing!AU13,Marketing!AW13)</f>
        <v>500</v>
      </c>
      <c r="AW13" s="89" t="n">
        <v>500</v>
      </c>
      <c r="AX13" s="12"/>
      <c r="AY13" s="12" t="n">
        <f aca="false">IF('Cash Drivers'!AY$26,Marketing!AX13,Marketing!AZ13)</f>
        <v>500</v>
      </c>
      <c r="AZ13" s="90" t="n">
        <v>500</v>
      </c>
      <c r="BA13" s="13"/>
      <c r="BB13" s="13" t="n">
        <f aca="false">IF('Cash Drivers'!BB$26,Marketing!BA13,Marketing!BC13)</f>
        <v>500</v>
      </c>
      <c r="BC13" s="89" t="n">
        <v>500</v>
      </c>
      <c r="BD13" s="12"/>
      <c r="BE13" s="12" t="n">
        <f aca="false">IF('Cash Drivers'!BE$26,Marketing!BD13,Marketing!BF13)</f>
        <v>500</v>
      </c>
      <c r="BF13" s="90" t="n">
        <v>500</v>
      </c>
      <c r="BG13" s="13"/>
      <c r="BH13" s="13" t="n">
        <f aca="false">IF('Cash Drivers'!BH$26,Marketing!BG13,Marketing!BI13)</f>
        <v>500</v>
      </c>
      <c r="BI13" s="89" t="n">
        <v>500</v>
      </c>
      <c r="BJ13" s="12"/>
      <c r="BK13" s="12" t="n">
        <f aca="false">IF('Cash Drivers'!BK$26,Marketing!BJ13,Marketing!BL13)</f>
        <v>500</v>
      </c>
      <c r="BL13" s="90" t="n">
        <v>500</v>
      </c>
      <c r="BM13" s="13"/>
      <c r="BN13" s="13" t="n">
        <f aca="false">IF('Cash Drivers'!BN$26,Marketing!BM13,Marketing!BO13)</f>
        <v>500</v>
      </c>
      <c r="BO13" s="89" t="n">
        <v>500</v>
      </c>
      <c r="BP13" s="12"/>
      <c r="BQ13" s="12" t="n">
        <f aca="false">IF('Cash Drivers'!BQ$26,Marketing!BP13,Marketing!BR13)</f>
        <v>500</v>
      </c>
      <c r="BR13" s="90" t="n">
        <v>500</v>
      </c>
      <c r="BS13" s="13"/>
      <c r="BT13" s="13" t="n">
        <f aca="false">IF('Cash Drivers'!BT$26,Marketing!BS13,Marketing!BU13)</f>
        <v>500</v>
      </c>
      <c r="BU13" s="89" t="n">
        <v>500</v>
      </c>
      <c r="BV13" s="12"/>
      <c r="BW13" s="12" t="n">
        <f aca="false">IF('Cash Drivers'!BW$26,Marketing!BV13,Marketing!BX13)</f>
        <v>500</v>
      </c>
      <c r="BX13" s="90" t="n">
        <v>500</v>
      </c>
      <c r="BY13" s="13"/>
      <c r="BZ13" s="13" t="n">
        <f aca="false">IF('Cash Drivers'!BZ$26,Marketing!BY13,Marketing!CA13)</f>
        <v>500</v>
      </c>
      <c r="CA13" s="89" t="n">
        <v>500</v>
      </c>
      <c r="CB13" s="12"/>
      <c r="CC13" s="12" t="n">
        <f aca="false">IF('Cash Drivers'!CC$26,Marketing!CB13,Marketing!CD13)</f>
        <v>500</v>
      </c>
      <c r="CD13" s="90" t="n">
        <v>500</v>
      </c>
      <c r="CE13" s="13"/>
      <c r="CF13" s="13" t="n">
        <f aca="false">IF('Cash Drivers'!CF$26,Marketing!CE13,Marketing!CG13)</f>
        <v>500</v>
      </c>
      <c r="CG13" s="89" t="n">
        <v>500</v>
      </c>
      <c r="CH13" s="12"/>
      <c r="CI13" s="12" t="n">
        <f aca="false">IF('Cash Drivers'!CI$26,Marketing!CH13,Marketing!CJ13)</f>
        <v>500</v>
      </c>
      <c r="CJ13" s="90" t="n">
        <v>500</v>
      </c>
      <c r="CK13" s="13"/>
      <c r="CL13" s="13" t="n">
        <f aca="false">IF('Cash Drivers'!CL$26,Marketing!CK13,Marketing!CM13)</f>
        <v>500</v>
      </c>
      <c r="CM13" s="89" t="n">
        <v>500</v>
      </c>
      <c r="CN13" s="12"/>
      <c r="CO13" s="12" t="n">
        <f aca="false">IF('Cash Drivers'!CO$26,Marketing!CN13,Marketing!CP13)</f>
        <v>500</v>
      </c>
      <c r="CP13" s="90" t="n">
        <v>500</v>
      </c>
      <c r="CQ13" s="13"/>
      <c r="CR13" s="13" t="n">
        <f aca="false">IF('Cash Drivers'!CR$26,Marketing!CQ13,Marketing!CS13)</f>
        <v>500</v>
      </c>
      <c r="CS13" s="89" t="n">
        <v>500</v>
      </c>
      <c r="CT13" s="12"/>
      <c r="CU13" s="12" t="n">
        <f aca="false">IF('Cash Drivers'!CU$26,Marketing!CT13,Marketing!CV13)</f>
        <v>500</v>
      </c>
      <c r="CV13" s="90" t="n">
        <v>500</v>
      </c>
      <c r="CW13" s="13"/>
      <c r="CX13" s="13" t="n">
        <f aca="false">IF('Cash Drivers'!CX$26,Marketing!CW13,Marketing!CY13)</f>
        <v>500</v>
      </c>
      <c r="CY13" s="89" t="n">
        <v>500</v>
      </c>
      <c r="CZ13" s="12"/>
      <c r="DA13" s="12" t="n">
        <f aca="false">IF('Cash Drivers'!DA$26,Marketing!CZ13,Marketing!DB13)</f>
        <v>500</v>
      </c>
      <c r="DB13" s="90" t="n">
        <v>500</v>
      </c>
      <c r="DC13" s="13"/>
      <c r="DD13" s="13" t="n">
        <f aca="false">IF('Cash Drivers'!DD$26,Marketing!DC13,Marketing!DE13)</f>
        <v>500</v>
      </c>
      <c r="DE13" s="89" t="n">
        <v>500</v>
      </c>
      <c r="DF13" s="12"/>
      <c r="DG13" s="12" t="n">
        <f aca="false">IF('Cash Drivers'!DG$26,Marketing!DF13,Marketing!DH13)</f>
        <v>500</v>
      </c>
      <c r="DH13" s="90" t="n">
        <v>500</v>
      </c>
      <c r="DI13" s="89" t="n">
        <v>500</v>
      </c>
      <c r="DJ13" s="13" t="n">
        <f aca="false">IF('Cash Drivers'!DJ$26,Marketing!DI13,Marketing!DK13)</f>
        <v>500</v>
      </c>
      <c r="DK13" s="89" t="n">
        <v>500</v>
      </c>
      <c r="DL13" s="90" t="n">
        <v>500</v>
      </c>
      <c r="DM13" s="12" t="n">
        <f aca="false">IF('Cash Drivers'!DM$26,Marketing!DL13,Marketing!DN13)</f>
        <v>500</v>
      </c>
      <c r="DN13" s="90" t="n">
        <v>500</v>
      </c>
    </row>
    <row r="14" customFormat="false" ht="15" hidden="false" customHeight="false" outlineLevel="0" collapsed="false">
      <c r="A14" s="5" t="s">
        <v>164</v>
      </c>
      <c r="B14" s="12" t="str">
        <f aca="false">IF(COUNT(AR14,AO14,AL14,AI14,AF14,AC14,Z14,W14,T14,Q14,N14,K14)=0,"",SUM(AR14,AO14,AL14,AI14,AF14,AC14,Z14,W14,T14,Q14,N14,K14))</f>
        <v/>
      </c>
      <c r="C14" s="12" t="n">
        <f aca="false">IF(COUNT(AS14,AP14,AM14,AJ14,AG14,AD14,AA14,X14,U14,R14,O14,L14)=0,"",SUM(AS14,AP14,AM14,AJ14,AG14,AD14,AA14,X14,U14,R14,O14,L14))</f>
        <v>48000</v>
      </c>
      <c r="D14" s="12" t="n">
        <f aca="false">IF(COUNT(AT14,AQ14,AN14,AK14,AH14,AE14,AB14,Y14,V14,S14,P14,M14)=0,"",SUM(AT14,AQ14,AN14,AK14,AH14,AE14,AB14,Y14,V14,S14,P14,M14))</f>
        <v>48000</v>
      </c>
      <c r="E14" s="13" t="str">
        <f aca="false">IF(COUNT(CB14,BY14,BV14,BS14,BP14,BM14,BJ14,BG14,BD14,BA14,AX14,AU14)=0,"",SUM(CB14,BY14,BV14,BS14,BP14,BM14,BJ14,BG14,BD14,BA14,AX14,AU14))</f>
        <v/>
      </c>
      <c r="F14" s="13" t="n">
        <f aca="false">IF(COUNT(CC14,BZ14,BW14,BT14,BQ14,BN14,BK14,BH14,BE14,BB14,AY14,AV14)=0,"",SUM(CC14,BZ14,BW14,BT14,BQ14,BN14,BK14,BH14,BE14,BB14,AY14,AV14))</f>
        <v>48000</v>
      </c>
      <c r="G14" s="13" t="n">
        <f aca="false">IF(COUNT(CD14,CA14,BX14,BU14,BR14,BO14,BL14,BI14,BF14,BC14,AZ14,AW14)=0,"",SUM(CD14,CA14,BX14,BU14,BR14,BO14,BL14,BI14,BF14,BC14,AZ14,AW14))</f>
        <v>48000</v>
      </c>
      <c r="H14" s="12" t="n">
        <f aca="false">IF(COUNT(DL14,DI14,DF14,DC14,CZ14,CW14,CT14,CQ14,CN14,CK14,CH14,CE14)=0,"",SUM(DL14,DI14,DF14,DC14,CZ14,CW14,CT14,CQ14,CN14,CK14,CH14,CE14))</f>
        <v>8000</v>
      </c>
      <c r="I14" s="12" t="n">
        <f aca="false">IF(COUNT(DM14,DJ14,DG14,DD14,DA14,CX14,CU14,CR14,CO14,CL14,CI14,CF14)=0,"",SUM(DM14,DJ14,DG14,DD14,DA14,CX14,CU14,CR14,CO14,CL14,CI14,CF14))</f>
        <v>48000</v>
      </c>
      <c r="J14" s="12" t="n">
        <f aca="false">IF(COUNT(DN14,DK14,DH14,DE14,DB14,CY14,CV14,CS14,CP14,CM14,CJ14,CG14)=0,"",SUM(DN14,DK14,DH14,DE14,DB14,CY14,CV14,CS14,CP14,CM14,CJ14,CG14))</f>
        <v>48000</v>
      </c>
      <c r="K14" s="13"/>
      <c r="L14" s="13" t="n">
        <f aca="false">IF('Cash Drivers'!L$26,Marketing!K14,Marketing!M14)</f>
        <v>4000</v>
      </c>
      <c r="M14" s="89" t="n">
        <v>4000</v>
      </c>
      <c r="N14" s="12"/>
      <c r="O14" s="12" t="n">
        <f aca="false">IF('Cash Drivers'!O$26,Marketing!N14,Marketing!P14)</f>
        <v>4000</v>
      </c>
      <c r="P14" s="90" t="n">
        <v>4000</v>
      </c>
      <c r="Q14" s="13"/>
      <c r="R14" s="13" t="n">
        <f aca="false">IF('Cash Drivers'!R$26,Marketing!Q14,Marketing!S14)</f>
        <v>4000</v>
      </c>
      <c r="S14" s="89" t="n">
        <v>4000</v>
      </c>
      <c r="T14" s="12"/>
      <c r="U14" s="12" t="n">
        <f aca="false">IF('Cash Drivers'!U$26,Marketing!T14,Marketing!V14)</f>
        <v>4000</v>
      </c>
      <c r="V14" s="90" t="n">
        <v>4000</v>
      </c>
      <c r="W14" s="13"/>
      <c r="X14" s="13" t="n">
        <f aca="false">IF('Cash Drivers'!X$26,Marketing!W14,Marketing!Y14)</f>
        <v>4000</v>
      </c>
      <c r="Y14" s="89" t="n">
        <v>4000</v>
      </c>
      <c r="Z14" s="12"/>
      <c r="AA14" s="12" t="n">
        <f aca="false">IF('Cash Drivers'!AA$26,Marketing!Z14,Marketing!AB14)</f>
        <v>4000</v>
      </c>
      <c r="AB14" s="90" t="n">
        <v>4000</v>
      </c>
      <c r="AC14" s="13"/>
      <c r="AD14" s="13" t="n">
        <f aca="false">IF('Cash Drivers'!AD$26,Marketing!AC14,Marketing!AE14)</f>
        <v>4000</v>
      </c>
      <c r="AE14" s="89" t="n">
        <v>4000</v>
      </c>
      <c r="AF14" s="12"/>
      <c r="AG14" s="12" t="n">
        <f aca="false">IF('Cash Drivers'!AG$26,Marketing!AF14,Marketing!AH14)</f>
        <v>4000</v>
      </c>
      <c r="AH14" s="90" t="n">
        <v>4000</v>
      </c>
      <c r="AI14" s="13"/>
      <c r="AJ14" s="13" t="n">
        <f aca="false">IF('Cash Drivers'!AJ$26,Marketing!AI14,Marketing!AK14)</f>
        <v>4000</v>
      </c>
      <c r="AK14" s="89" t="n">
        <v>4000</v>
      </c>
      <c r="AL14" s="12"/>
      <c r="AM14" s="12" t="n">
        <f aca="false">IF('Cash Drivers'!AM$26,Marketing!AL14,Marketing!AN14)</f>
        <v>4000</v>
      </c>
      <c r="AN14" s="90" t="n">
        <v>4000</v>
      </c>
      <c r="AO14" s="13"/>
      <c r="AP14" s="13" t="n">
        <f aca="false">IF('Cash Drivers'!AP$26,Marketing!AO14,Marketing!AQ14)</f>
        <v>4000</v>
      </c>
      <c r="AQ14" s="89" t="n">
        <v>4000</v>
      </c>
      <c r="AR14" s="12"/>
      <c r="AS14" s="12" t="n">
        <f aca="false">IF('Cash Drivers'!AS$26,Marketing!AR14,Marketing!AT14)</f>
        <v>4000</v>
      </c>
      <c r="AT14" s="90" t="n">
        <v>4000</v>
      </c>
      <c r="AU14" s="13"/>
      <c r="AV14" s="13" t="n">
        <f aca="false">IF('Cash Drivers'!AV$26,Marketing!AU14,Marketing!AW14)</f>
        <v>4000</v>
      </c>
      <c r="AW14" s="89" t="n">
        <v>4000</v>
      </c>
      <c r="AX14" s="12"/>
      <c r="AY14" s="12" t="n">
        <f aca="false">IF('Cash Drivers'!AY$26,Marketing!AX14,Marketing!AZ14)</f>
        <v>4000</v>
      </c>
      <c r="AZ14" s="90" t="n">
        <v>4000</v>
      </c>
      <c r="BA14" s="13"/>
      <c r="BB14" s="13" t="n">
        <f aca="false">IF('Cash Drivers'!BB$26,Marketing!BA14,Marketing!BC14)</f>
        <v>4000</v>
      </c>
      <c r="BC14" s="89" t="n">
        <v>4000</v>
      </c>
      <c r="BD14" s="12"/>
      <c r="BE14" s="12" t="n">
        <f aca="false">IF('Cash Drivers'!BE$26,Marketing!BD14,Marketing!BF14)</f>
        <v>4000</v>
      </c>
      <c r="BF14" s="90" t="n">
        <v>4000</v>
      </c>
      <c r="BG14" s="13"/>
      <c r="BH14" s="13" t="n">
        <f aca="false">IF('Cash Drivers'!BH$26,Marketing!BG14,Marketing!BI14)</f>
        <v>4000</v>
      </c>
      <c r="BI14" s="89" t="n">
        <v>4000</v>
      </c>
      <c r="BJ14" s="12"/>
      <c r="BK14" s="12" t="n">
        <f aca="false">IF('Cash Drivers'!BK$26,Marketing!BJ14,Marketing!BL14)</f>
        <v>4000</v>
      </c>
      <c r="BL14" s="90" t="n">
        <v>4000</v>
      </c>
      <c r="BM14" s="13"/>
      <c r="BN14" s="13" t="n">
        <f aca="false">IF('Cash Drivers'!BN$26,Marketing!BM14,Marketing!BO14)</f>
        <v>4000</v>
      </c>
      <c r="BO14" s="89" t="n">
        <v>4000</v>
      </c>
      <c r="BP14" s="12"/>
      <c r="BQ14" s="12" t="n">
        <f aca="false">IF('Cash Drivers'!BQ$26,Marketing!BP14,Marketing!BR14)</f>
        <v>4000</v>
      </c>
      <c r="BR14" s="90" t="n">
        <v>4000</v>
      </c>
      <c r="BS14" s="13"/>
      <c r="BT14" s="13" t="n">
        <f aca="false">IF('Cash Drivers'!BT$26,Marketing!BS14,Marketing!BU14)</f>
        <v>4000</v>
      </c>
      <c r="BU14" s="89" t="n">
        <v>4000</v>
      </c>
      <c r="BV14" s="12"/>
      <c r="BW14" s="12" t="n">
        <f aca="false">IF('Cash Drivers'!BW$26,Marketing!BV14,Marketing!BX14)</f>
        <v>4000</v>
      </c>
      <c r="BX14" s="90" t="n">
        <v>4000</v>
      </c>
      <c r="BY14" s="13"/>
      <c r="BZ14" s="13" t="n">
        <f aca="false">IF('Cash Drivers'!BZ$26,Marketing!BY14,Marketing!CA14)</f>
        <v>4000</v>
      </c>
      <c r="CA14" s="89" t="n">
        <v>4000</v>
      </c>
      <c r="CB14" s="12"/>
      <c r="CC14" s="12" t="n">
        <f aca="false">IF('Cash Drivers'!CC$26,Marketing!CB14,Marketing!CD14)</f>
        <v>4000</v>
      </c>
      <c r="CD14" s="90" t="n">
        <v>4000</v>
      </c>
      <c r="CE14" s="13"/>
      <c r="CF14" s="13" t="n">
        <f aca="false">IF('Cash Drivers'!CF$26,Marketing!CE14,Marketing!CG14)</f>
        <v>4000</v>
      </c>
      <c r="CG14" s="89" t="n">
        <v>4000</v>
      </c>
      <c r="CH14" s="12"/>
      <c r="CI14" s="12" t="n">
        <f aca="false">IF('Cash Drivers'!CI$26,Marketing!CH14,Marketing!CJ14)</f>
        <v>4000</v>
      </c>
      <c r="CJ14" s="90" t="n">
        <v>4000</v>
      </c>
      <c r="CK14" s="13"/>
      <c r="CL14" s="13" t="n">
        <f aca="false">IF('Cash Drivers'!CL$26,Marketing!CK14,Marketing!CM14)</f>
        <v>4000</v>
      </c>
      <c r="CM14" s="89" t="n">
        <v>4000</v>
      </c>
      <c r="CN14" s="12"/>
      <c r="CO14" s="12" t="n">
        <f aca="false">IF('Cash Drivers'!CO$26,Marketing!CN14,Marketing!CP14)</f>
        <v>4000</v>
      </c>
      <c r="CP14" s="90" t="n">
        <v>4000</v>
      </c>
      <c r="CQ14" s="13"/>
      <c r="CR14" s="13" t="n">
        <f aca="false">IF('Cash Drivers'!CR$26,Marketing!CQ14,Marketing!CS14)</f>
        <v>4000</v>
      </c>
      <c r="CS14" s="89" t="n">
        <v>4000</v>
      </c>
      <c r="CT14" s="12"/>
      <c r="CU14" s="12" t="n">
        <f aca="false">IF('Cash Drivers'!CU$26,Marketing!CT14,Marketing!CV14)</f>
        <v>4000</v>
      </c>
      <c r="CV14" s="90" t="n">
        <v>4000</v>
      </c>
      <c r="CW14" s="13"/>
      <c r="CX14" s="13" t="n">
        <f aca="false">IF('Cash Drivers'!CX$26,Marketing!CW14,Marketing!CY14)</f>
        <v>4000</v>
      </c>
      <c r="CY14" s="89" t="n">
        <v>4000</v>
      </c>
      <c r="CZ14" s="12"/>
      <c r="DA14" s="12" t="n">
        <f aca="false">IF('Cash Drivers'!DA$26,Marketing!CZ14,Marketing!DB14)</f>
        <v>4000</v>
      </c>
      <c r="DB14" s="90" t="n">
        <v>4000</v>
      </c>
      <c r="DC14" s="13"/>
      <c r="DD14" s="13" t="n">
        <f aca="false">IF('Cash Drivers'!DD$26,Marketing!DC14,Marketing!DE14)</f>
        <v>4000</v>
      </c>
      <c r="DE14" s="89" t="n">
        <v>4000</v>
      </c>
      <c r="DF14" s="12"/>
      <c r="DG14" s="12" t="n">
        <f aca="false">IF('Cash Drivers'!DG$26,Marketing!DF14,Marketing!DH14)</f>
        <v>4000</v>
      </c>
      <c r="DH14" s="90" t="n">
        <v>4000</v>
      </c>
      <c r="DI14" s="89" t="n">
        <v>4000</v>
      </c>
      <c r="DJ14" s="13" t="n">
        <f aca="false">IF('Cash Drivers'!DJ$26,Marketing!DI14,Marketing!DK14)</f>
        <v>4000</v>
      </c>
      <c r="DK14" s="89" t="n">
        <v>4000</v>
      </c>
      <c r="DL14" s="90" t="n">
        <v>4000</v>
      </c>
      <c r="DM14" s="12" t="n">
        <f aca="false">IF('Cash Drivers'!DM$26,Marketing!DL14,Marketing!DN14)</f>
        <v>4000</v>
      </c>
      <c r="DN14" s="90" t="n">
        <v>4000</v>
      </c>
    </row>
    <row r="15" customFormat="false" ht="15" hidden="false" customHeight="false" outlineLevel="0" collapsed="false">
      <c r="A15" s="5" t="s">
        <v>165</v>
      </c>
      <c r="B15" s="12" t="str">
        <f aca="false">IF(COUNT(AR15,AO15,AL15,AI15,AF15,AC15,Z15,W15,T15,Q15,N15,K15)=0,"",SUM(AR15,AO15,AL15,AI15,AF15,AC15,Z15,W15,T15,Q15,N15,K15))</f>
        <v/>
      </c>
      <c r="C15" s="12" t="n">
        <f aca="false">IF(COUNT(AS15,AP15,AM15,AJ15,AG15,AD15,AA15,X15,U15,R15,O15,L15)=0,"",SUM(AS15,AP15,AM15,AJ15,AG15,AD15,AA15,X15,U15,R15,O15,L15))</f>
        <v>12000</v>
      </c>
      <c r="D15" s="12" t="n">
        <f aca="false">IF(COUNT(AT15,AQ15,AN15,AK15,AH15,AE15,AB15,Y15,V15,S15,P15,M15)=0,"",SUM(AT15,AQ15,AN15,AK15,AH15,AE15,AB15,Y15,V15,S15,P15,M15))</f>
        <v>12000</v>
      </c>
      <c r="E15" s="13" t="str">
        <f aca="false">IF(COUNT(CB15,BY15,BV15,BS15,BP15,BM15,BJ15,BG15,BD15,BA15,AX15,AU15)=0,"",SUM(CB15,BY15,BV15,BS15,BP15,BM15,BJ15,BG15,BD15,BA15,AX15,AU15))</f>
        <v/>
      </c>
      <c r="F15" s="13" t="n">
        <f aca="false">IF(COUNT(CC15,BZ15,BW15,BT15,BQ15,BN15,BK15,BH15,BE15,BB15,AY15,AV15)=0,"",SUM(CC15,BZ15,BW15,BT15,BQ15,BN15,BK15,BH15,BE15,BB15,AY15,AV15))</f>
        <v>12000</v>
      </c>
      <c r="G15" s="13" t="n">
        <f aca="false">IF(COUNT(CD15,CA15,BX15,BU15,BR15,BO15,BL15,BI15,BF15,BC15,AZ15,AW15)=0,"",SUM(CD15,CA15,BX15,BU15,BR15,BO15,BL15,BI15,BF15,BC15,AZ15,AW15))</f>
        <v>12000</v>
      </c>
      <c r="H15" s="12" t="n">
        <f aca="false">IF(COUNT(DL15,DI15,DF15,DC15,CZ15,CW15,CT15,CQ15,CN15,CK15,CH15,CE15)=0,"",SUM(DL15,DI15,DF15,DC15,CZ15,CW15,CT15,CQ15,CN15,CK15,CH15,CE15))</f>
        <v>2000</v>
      </c>
      <c r="I15" s="12" t="n">
        <f aca="false">IF(COUNT(DM15,DJ15,DG15,DD15,DA15,CX15,CU15,CR15,CO15,CL15,CI15,CF15)=0,"",SUM(DM15,DJ15,DG15,DD15,DA15,CX15,CU15,CR15,CO15,CL15,CI15,CF15))</f>
        <v>12000</v>
      </c>
      <c r="J15" s="12" t="n">
        <f aca="false">IF(COUNT(DN15,DK15,DH15,DE15,DB15,CY15,CV15,CS15,CP15,CM15,CJ15,CG15)=0,"",SUM(DN15,DK15,DH15,DE15,DB15,CY15,CV15,CS15,CP15,CM15,CJ15,CG15))</f>
        <v>12000</v>
      </c>
      <c r="K15" s="13"/>
      <c r="L15" s="13" t="n">
        <f aca="false">IF('Cash Drivers'!L$26,Marketing!K15,Marketing!M15)</f>
        <v>1000</v>
      </c>
      <c r="M15" s="89" t="n">
        <v>1000</v>
      </c>
      <c r="N15" s="12"/>
      <c r="O15" s="12" t="n">
        <f aca="false">IF('Cash Drivers'!O$26,Marketing!N15,Marketing!P15)</f>
        <v>1000</v>
      </c>
      <c r="P15" s="90" t="n">
        <v>1000</v>
      </c>
      <c r="Q15" s="13"/>
      <c r="R15" s="13" t="n">
        <f aca="false">IF('Cash Drivers'!R$26,Marketing!Q15,Marketing!S15)</f>
        <v>1000</v>
      </c>
      <c r="S15" s="89" t="n">
        <v>1000</v>
      </c>
      <c r="T15" s="12"/>
      <c r="U15" s="12" t="n">
        <f aca="false">IF('Cash Drivers'!U$26,Marketing!T15,Marketing!V15)</f>
        <v>1000</v>
      </c>
      <c r="V15" s="90" t="n">
        <v>1000</v>
      </c>
      <c r="W15" s="13"/>
      <c r="X15" s="13" t="n">
        <f aca="false">IF('Cash Drivers'!X$26,Marketing!W15,Marketing!Y15)</f>
        <v>1000</v>
      </c>
      <c r="Y15" s="89" t="n">
        <v>1000</v>
      </c>
      <c r="Z15" s="12"/>
      <c r="AA15" s="12" t="n">
        <f aca="false">IF('Cash Drivers'!AA$26,Marketing!Z15,Marketing!AB15)</f>
        <v>1000</v>
      </c>
      <c r="AB15" s="90" t="n">
        <v>1000</v>
      </c>
      <c r="AC15" s="13"/>
      <c r="AD15" s="13" t="n">
        <f aca="false">IF('Cash Drivers'!AD$26,Marketing!AC15,Marketing!AE15)</f>
        <v>1000</v>
      </c>
      <c r="AE15" s="89" t="n">
        <v>1000</v>
      </c>
      <c r="AF15" s="12"/>
      <c r="AG15" s="12" t="n">
        <f aca="false">IF('Cash Drivers'!AG$26,Marketing!AF15,Marketing!AH15)</f>
        <v>1000</v>
      </c>
      <c r="AH15" s="90" t="n">
        <v>1000</v>
      </c>
      <c r="AI15" s="13"/>
      <c r="AJ15" s="13" t="n">
        <f aca="false">IF('Cash Drivers'!AJ$26,Marketing!AI15,Marketing!AK15)</f>
        <v>1000</v>
      </c>
      <c r="AK15" s="89" t="n">
        <v>1000</v>
      </c>
      <c r="AL15" s="12"/>
      <c r="AM15" s="12" t="n">
        <f aca="false">IF('Cash Drivers'!AM$26,Marketing!AL15,Marketing!AN15)</f>
        <v>1000</v>
      </c>
      <c r="AN15" s="90" t="n">
        <v>1000</v>
      </c>
      <c r="AO15" s="13"/>
      <c r="AP15" s="13" t="n">
        <f aca="false">IF('Cash Drivers'!AP$26,Marketing!AO15,Marketing!AQ15)</f>
        <v>1000</v>
      </c>
      <c r="AQ15" s="89" t="n">
        <v>1000</v>
      </c>
      <c r="AR15" s="12"/>
      <c r="AS15" s="12" t="n">
        <f aca="false">IF('Cash Drivers'!AS$26,Marketing!AR15,Marketing!AT15)</f>
        <v>1000</v>
      </c>
      <c r="AT15" s="90" t="n">
        <v>1000</v>
      </c>
      <c r="AU15" s="13"/>
      <c r="AV15" s="13" t="n">
        <f aca="false">IF('Cash Drivers'!AV$26,Marketing!AU15,Marketing!AW15)</f>
        <v>1000</v>
      </c>
      <c r="AW15" s="89" t="n">
        <v>1000</v>
      </c>
      <c r="AX15" s="12"/>
      <c r="AY15" s="12" t="n">
        <f aca="false">IF('Cash Drivers'!AY$26,Marketing!AX15,Marketing!AZ15)</f>
        <v>1000</v>
      </c>
      <c r="AZ15" s="90" t="n">
        <v>1000</v>
      </c>
      <c r="BA15" s="13"/>
      <c r="BB15" s="13" t="n">
        <f aca="false">IF('Cash Drivers'!BB$26,Marketing!BA15,Marketing!BC15)</f>
        <v>1000</v>
      </c>
      <c r="BC15" s="89" t="n">
        <v>1000</v>
      </c>
      <c r="BD15" s="12"/>
      <c r="BE15" s="12" t="n">
        <f aca="false">IF('Cash Drivers'!BE$26,Marketing!BD15,Marketing!BF15)</f>
        <v>1000</v>
      </c>
      <c r="BF15" s="90" t="n">
        <v>1000</v>
      </c>
      <c r="BG15" s="13"/>
      <c r="BH15" s="13" t="n">
        <f aca="false">IF('Cash Drivers'!BH$26,Marketing!BG15,Marketing!BI15)</f>
        <v>1000</v>
      </c>
      <c r="BI15" s="89" t="n">
        <v>1000</v>
      </c>
      <c r="BJ15" s="12"/>
      <c r="BK15" s="12" t="n">
        <f aca="false">IF('Cash Drivers'!BK$26,Marketing!BJ15,Marketing!BL15)</f>
        <v>1000</v>
      </c>
      <c r="BL15" s="90" t="n">
        <v>1000</v>
      </c>
      <c r="BM15" s="13"/>
      <c r="BN15" s="13" t="n">
        <f aca="false">IF('Cash Drivers'!BN$26,Marketing!BM15,Marketing!BO15)</f>
        <v>1000</v>
      </c>
      <c r="BO15" s="89" t="n">
        <v>1000</v>
      </c>
      <c r="BP15" s="12"/>
      <c r="BQ15" s="12" t="n">
        <f aca="false">IF('Cash Drivers'!BQ$26,Marketing!BP15,Marketing!BR15)</f>
        <v>1000</v>
      </c>
      <c r="BR15" s="90" t="n">
        <v>1000</v>
      </c>
      <c r="BS15" s="13"/>
      <c r="BT15" s="13" t="n">
        <f aca="false">IF('Cash Drivers'!BT$26,Marketing!BS15,Marketing!BU15)</f>
        <v>1000</v>
      </c>
      <c r="BU15" s="89" t="n">
        <v>1000</v>
      </c>
      <c r="BV15" s="12"/>
      <c r="BW15" s="12" t="n">
        <f aca="false">IF('Cash Drivers'!BW$26,Marketing!BV15,Marketing!BX15)</f>
        <v>1000</v>
      </c>
      <c r="BX15" s="90" t="n">
        <v>1000</v>
      </c>
      <c r="BY15" s="13"/>
      <c r="BZ15" s="13" t="n">
        <f aca="false">IF('Cash Drivers'!BZ$26,Marketing!BY15,Marketing!CA15)</f>
        <v>1000</v>
      </c>
      <c r="CA15" s="89" t="n">
        <v>1000</v>
      </c>
      <c r="CB15" s="12"/>
      <c r="CC15" s="12" t="n">
        <f aca="false">IF('Cash Drivers'!CC$26,Marketing!CB15,Marketing!CD15)</f>
        <v>1000</v>
      </c>
      <c r="CD15" s="90" t="n">
        <v>1000</v>
      </c>
      <c r="CE15" s="13"/>
      <c r="CF15" s="13" t="n">
        <f aca="false">IF('Cash Drivers'!CF$26,Marketing!CE15,Marketing!CG15)</f>
        <v>1000</v>
      </c>
      <c r="CG15" s="89" t="n">
        <v>1000</v>
      </c>
      <c r="CH15" s="12"/>
      <c r="CI15" s="12" t="n">
        <f aca="false">IF('Cash Drivers'!CI$26,Marketing!CH15,Marketing!CJ15)</f>
        <v>1000</v>
      </c>
      <c r="CJ15" s="90" t="n">
        <v>1000</v>
      </c>
      <c r="CK15" s="13"/>
      <c r="CL15" s="13" t="n">
        <f aca="false">IF('Cash Drivers'!CL$26,Marketing!CK15,Marketing!CM15)</f>
        <v>1000</v>
      </c>
      <c r="CM15" s="89" t="n">
        <v>1000</v>
      </c>
      <c r="CN15" s="12"/>
      <c r="CO15" s="12" t="n">
        <f aca="false">IF('Cash Drivers'!CO$26,Marketing!CN15,Marketing!CP15)</f>
        <v>1000</v>
      </c>
      <c r="CP15" s="90" t="n">
        <v>1000</v>
      </c>
      <c r="CQ15" s="13"/>
      <c r="CR15" s="13" t="n">
        <f aca="false">IF('Cash Drivers'!CR$26,Marketing!CQ15,Marketing!CS15)</f>
        <v>1000</v>
      </c>
      <c r="CS15" s="89" t="n">
        <v>1000</v>
      </c>
      <c r="CT15" s="12"/>
      <c r="CU15" s="12" t="n">
        <f aca="false">IF('Cash Drivers'!CU$26,Marketing!CT15,Marketing!CV15)</f>
        <v>1000</v>
      </c>
      <c r="CV15" s="90" t="n">
        <v>1000</v>
      </c>
      <c r="CW15" s="13"/>
      <c r="CX15" s="13" t="n">
        <f aca="false">IF('Cash Drivers'!CX$26,Marketing!CW15,Marketing!CY15)</f>
        <v>1000</v>
      </c>
      <c r="CY15" s="89" t="n">
        <v>1000</v>
      </c>
      <c r="CZ15" s="12"/>
      <c r="DA15" s="12" t="n">
        <f aca="false">IF('Cash Drivers'!DA$26,Marketing!CZ15,Marketing!DB15)</f>
        <v>1000</v>
      </c>
      <c r="DB15" s="90" t="n">
        <v>1000</v>
      </c>
      <c r="DC15" s="13"/>
      <c r="DD15" s="13" t="n">
        <f aca="false">IF('Cash Drivers'!DD$26,Marketing!DC15,Marketing!DE15)</f>
        <v>1000</v>
      </c>
      <c r="DE15" s="89" t="n">
        <v>1000</v>
      </c>
      <c r="DF15" s="12"/>
      <c r="DG15" s="12" t="n">
        <f aca="false">IF('Cash Drivers'!DG$26,Marketing!DF15,Marketing!DH15)</f>
        <v>1000</v>
      </c>
      <c r="DH15" s="90" t="n">
        <v>1000</v>
      </c>
      <c r="DI15" s="89" t="n">
        <v>1000</v>
      </c>
      <c r="DJ15" s="13" t="n">
        <f aca="false">IF('Cash Drivers'!DJ$26,Marketing!DI15,Marketing!DK15)</f>
        <v>1000</v>
      </c>
      <c r="DK15" s="89" t="n">
        <v>1000</v>
      </c>
      <c r="DL15" s="90" t="n">
        <v>1000</v>
      </c>
      <c r="DM15" s="12" t="n">
        <f aca="false">IF('Cash Drivers'!DM$26,Marketing!DL15,Marketing!DN15)</f>
        <v>1000</v>
      </c>
      <c r="DN15" s="90" t="n">
        <v>1000</v>
      </c>
    </row>
    <row r="16" customFormat="false" ht="15" hidden="false" customHeight="false" outlineLevel="0" collapsed="false">
      <c r="A16" s="5" t="s">
        <v>166</v>
      </c>
      <c r="B16" s="12" t="str">
        <f aca="false">IF(COUNT(AR16,AO16,AL16,AI16,AF16,AC16,Z16,W16,T16,Q16,N16,K16)=0,"",SUM(AR16,AO16,AL16,AI16,AF16,AC16,Z16,W16,T16,Q16,N16,K16))</f>
        <v/>
      </c>
      <c r="C16" s="12" t="n">
        <f aca="false">IF(COUNT(AS16,AP16,AM16,AJ16,AG16,AD16,AA16,X16,U16,R16,O16,L16)=0,"",SUM(AS16,AP16,AM16,AJ16,AG16,AD16,AA16,X16,U16,R16,O16,L16))</f>
        <v>24000</v>
      </c>
      <c r="D16" s="12" t="n">
        <f aca="false">IF(COUNT(AT16,AQ16,AN16,AK16,AH16,AE16,AB16,Y16,V16,S16,P16,M16)=0,"",SUM(AT16,AQ16,AN16,AK16,AH16,AE16,AB16,Y16,V16,S16,P16,M16))</f>
        <v>24000</v>
      </c>
      <c r="E16" s="13" t="str">
        <f aca="false">IF(COUNT(CB16,BY16,BV16,BS16,BP16,BM16,BJ16,BG16,BD16,BA16,AX16,AU16)=0,"",SUM(CB16,BY16,BV16,BS16,BP16,BM16,BJ16,BG16,BD16,BA16,AX16,AU16))</f>
        <v/>
      </c>
      <c r="F16" s="13" t="n">
        <f aca="false">IF(COUNT(CC16,BZ16,BW16,BT16,BQ16,BN16,BK16,BH16,BE16,BB16,AY16,AV16)=0,"",SUM(CC16,BZ16,BW16,BT16,BQ16,BN16,BK16,BH16,BE16,BB16,AY16,AV16))</f>
        <v>24000</v>
      </c>
      <c r="G16" s="13" t="n">
        <f aca="false">IF(COUNT(CD16,CA16,BX16,BU16,BR16,BO16,BL16,BI16,BF16,BC16,AZ16,AW16)=0,"",SUM(CD16,CA16,BX16,BU16,BR16,BO16,BL16,BI16,BF16,BC16,AZ16,AW16))</f>
        <v>24000</v>
      </c>
      <c r="H16" s="12" t="n">
        <f aca="false">IF(COUNT(DL16,DI16,DF16,DC16,CZ16,CW16,CT16,CQ16,CN16,CK16,CH16,CE16)=0,"",SUM(DL16,DI16,DF16,DC16,CZ16,CW16,CT16,CQ16,CN16,CK16,CH16,CE16))</f>
        <v>4000</v>
      </c>
      <c r="I16" s="12" t="n">
        <f aca="false">IF(COUNT(DM16,DJ16,DG16,DD16,DA16,CX16,CU16,CR16,CO16,CL16,CI16,CF16)=0,"",SUM(DM16,DJ16,DG16,DD16,DA16,CX16,CU16,CR16,CO16,CL16,CI16,CF16))</f>
        <v>24000</v>
      </c>
      <c r="J16" s="12" t="n">
        <f aca="false">IF(COUNT(DN16,DK16,DH16,DE16,DB16,CY16,CV16,CS16,CP16,CM16,CJ16,CG16)=0,"",SUM(DN16,DK16,DH16,DE16,DB16,CY16,CV16,CS16,CP16,CM16,CJ16,CG16))</f>
        <v>24000</v>
      </c>
      <c r="K16" s="13"/>
      <c r="L16" s="13" t="n">
        <f aca="false">IF('Cash Drivers'!L$26,Marketing!K16,Marketing!M16)</f>
        <v>2000</v>
      </c>
      <c r="M16" s="89" t="n">
        <v>2000</v>
      </c>
      <c r="N16" s="12"/>
      <c r="O16" s="12" t="n">
        <f aca="false">IF('Cash Drivers'!O$26,Marketing!N16,Marketing!P16)</f>
        <v>2000</v>
      </c>
      <c r="P16" s="90" t="n">
        <v>2000</v>
      </c>
      <c r="Q16" s="13"/>
      <c r="R16" s="13" t="n">
        <f aca="false">IF('Cash Drivers'!R$26,Marketing!Q16,Marketing!S16)</f>
        <v>2000</v>
      </c>
      <c r="S16" s="89" t="n">
        <v>2000</v>
      </c>
      <c r="T16" s="12"/>
      <c r="U16" s="12" t="n">
        <f aca="false">IF('Cash Drivers'!U$26,Marketing!T16,Marketing!V16)</f>
        <v>2000</v>
      </c>
      <c r="V16" s="90" t="n">
        <v>2000</v>
      </c>
      <c r="W16" s="13"/>
      <c r="X16" s="13" t="n">
        <f aca="false">IF('Cash Drivers'!X$26,Marketing!W16,Marketing!Y16)</f>
        <v>2000</v>
      </c>
      <c r="Y16" s="89" t="n">
        <v>2000</v>
      </c>
      <c r="Z16" s="12"/>
      <c r="AA16" s="12" t="n">
        <f aca="false">IF('Cash Drivers'!AA$26,Marketing!Z16,Marketing!AB16)</f>
        <v>2000</v>
      </c>
      <c r="AB16" s="90" t="n">
        <v>2000</v>
      </c>
      <c r="AC16" s="13"/>
      <c r="AD16" s="13" t="n">
        <f aca="false">IF('Cash Drivers'!AD$26,Marketing!AC16,Marketing!AE16)</f>
        <v>2000</v>
      </c>
      <c r="AE16" s="89" t="n">
        <v>2000</v>
      </c>
      <c r="AF16" s="12"/>
      <c r="AG16" s="12" t="n">
        <f aca="false">IF('Cash Drivers'!AG$26,Marketing!AF16,Marketing!AH16)</f>
        <v>2000</v>
      </c>
      <c r="AH16" s="90" t="n">
        <v>2000</v>
      </c>
      <c r="AI16" s="13"/>
      <c r="AJ16" s="13" t="n">
        <f aca="false">IF('Cash Drivers'!AJ$26,Marketing!AI16,Marketing!AK16)</f>
        <v>2000</v>
      </c>
      <c r="AK16" s="89" t="n">
        <v>2000</v>
      </c>
      <c r="AL16" s="12"/>
      <c r="AM16" s="12" t="n">
        <f aca="false">IF('Cash Drivers'!AM$26,Marketing!AL16,Marketing!AN16)</f>
        <v>2000</v>
      </c>
      <c r="AN16" s="90" t="n">
        <v>2000</v>
      </c>
      <c r="AO16" s="13"/>
      <c r="AP16" s="13" t="n">
        <f aca="false">IF('Cash Drivers'!AP$26,Marketing!AO16,Marketing!AQ16)</f>
        <v>2000</v>
      </c>
      <c r="AQ16" s="89" t="n">
        <v>2000</v>
      </c>
      <c r="AR16" s="12"/>
      <c r="AS16" s="12" t="n">
        <f aca="false">IF('Cash Drivers'!AS$26,Marketing!AR16,Marketing!AT16)</f>
        <v>2000</v>
      </c>
      <c r="AT16" s="90" t="n">
        <v>2000</v>
      </c>
      <c r="AU16" s="13"/>
      <c r="AV16" s="13" t="n">
        <f aca="false">IF('Cash Drivers'!AV$26,Marketing!AU16,Marketing!AW16)</f>
        <v>2000</v>
      </c>
      <c r="AW16" s="89" t="n">
        <v>2000</v>
      </c>
      <c r="AX16" s="12"/>
      <c r="AY16" s="12" t="n">
        <f aca="false">IF('Cash Drivers'!AY$26,Marketing!AX16,Marketing!AZ16)</f>
        <v>2000</v>
      </c>
      <c r="AZ16" s="90" t="n">
        <v>2000</v>
      </c>
      <c r="BA16" s="13"/>
      <c r="BB16" s="13" t="n">
        <f aca="false">IF('Cash Drivers'!BB$26,Marketing!BA16,Marketing!BC16)</f>
        <v>2000</v>
      </c>
      <c r="BC16" s="89" t="n">
        <v>2000</v>
      </c>
      <c r="BD16" s="12"/>
      <c r="BE16" s="12" t="n">
        <f aca="false">IF('Cash Drivers'!BE$26,Marketing!BD16,Marketing!BF16)</f>
        <v>2000</v>
      </c>
      <c r="BF16" s="90" t="n">
        <v>2000</v>
      </c>
      <c r="BG16" s="13"/>
      <c r="BH16" s="13" t="n">
        <f aca="false">IF('Cash Drivers'!BH$26,Marketing!BG16,Marketing!BI16)</f>
        <v>2000</v>
      </c>
      <c r="BI16" s="89" t="n">
        <v>2000</v>
      </c>
      <c r="BJ16" s="12"/>
      <c r="BK16" s="12" t="n">
        <f aca="false">IF('Cash Drivers'!BK$26,Marketing!BJ16,Marketing!BL16)</f>
        <v>2000</v>
      </c>
      <c r="BL16" s="90" t="n">
        <v>2000</v>
      </c>
      <c r="BM16" s="13"/>
      <c r="BN16" s="13" t="n">
        <f aca="false">IF('Cash Drivers'!BN$26,Marketing!BM16,Marketing!BO16)</f>
        <v>2000</v>
      </c>
      <c r="BO16" s="89" t="n">
        <v>2000</v>
      </c>
      <c r="BP16" s="12"/>
      <c r="BQ16" s="12" t="n">
        <f aca="false">IF('Cash Drivers'!BQ$26,Marketing!BP16,Marketing!BR16)</f>
        <v>2000</v>
      </c>
      <c r="BR16" s="90" t="n">
        <v>2000</v>
      </c>
      <c r="BS16" s="13"/>
      <c r="BT16" s="13" t="n">
        <f aca="false">IF('Cash Drivers'!BT$26,Marketing!BS16,Marketing!BU16)</f>
        <v>2000</v>
      </c>
      <c r="BU16" s="89" t="n">
        <v>2000</v>
      </c>
      <c r="BV16" s="12"/>
      <c r="BW16" s="12" t="n">
        <f aca="false">IF('Cash Drivers'!BW$26,Marketing!BV16,Marketing!BX16)</f>
        <v>2000</v>
      </c>
      <c r="BX16" s="90" t="n">
        <v>2000</v>
      </c>
      <c r="BY16" s="13"/>
      <c r="BZ16" s="13" t="n">
        <f aca="false">IF('Cash Drivers'!BZ$26,Marketing!BY16,Marketing!CA16)</f>
        <v>2000</v>
      </c>
      <c r="CA16" s="89" t="n">
        <v>2000</v>
      </c>
      <c r="CB16" s="12"/>
      <c r="CC16" s="12" t="n">
        <f aca="false">IF('Cash Drivers'!CC$26,Marketing!CB16,Marketing!CD16)</f>
        <v>2000</v>
      </c>
      <c r="CD16" s="90" t="n">
        <v>2000</v>
      </c>
      <c r="CE16" s="13"/>
      <c r="CF16" s="13" t="n">
        <f aca="false">IF('Cash Drivers'!CF$26,Marketing!CE16,Marketing!CG16)</f>
        <v>2000</v>
      </c>
      <c r="CG16" s="89" t="n">
        <v>2000</v>
      </c>
      <c r="CH16" s="12"/>
      <c r="CI16" s="12" t="n">
        <f aca="false">IF('Cash Drivers'!CI$26,Marketing!CH16,Marketing!CJ16)</f>
        <v>2000</v>
      </c>
      <c r="CJ16" s="90" t="n">
        <v>2000</v>
      </c>
      <c r="CK16" s="13"/>
      <c r="CL16" s="13" t="n">
        <f aca="false">IF('Cash Drivers'!CL$26,Marketing!CK16,Marketing!CM16)</f>
        <v>2000</v>
      </c>
      <c r="CM16" s="89" t="n">
        <v>2000</v>
      </c>
      <c r="CN16" s="12"/>
      <c r="CO16" s="12" t="n">
        <f aca="false">IF('Cash Drivers'!CO$26,Marketing!CN16,Marketing!CP16)</f>
        <v>2000</v>
      </c>
      <c r="CP16" s="90" t="n">
        <v>2000</v>
      </c>
      <c r="CQ16" s="13"/>
      <c r="CR16" s="13" t="n">
        <f aca="false">IF('Cash Drivers'!CR$26,Marketing!CQ16,Marketing!CS16)</f>
        <v>2000</v>
      </c>
      <c r="CS16" s="89" t="n">
        <v>2000</v>
      </c>
      <c r="CT16" s="12"/>
      <c r="CU16" s="12" t="n">
        <f aca="false">IF('Cash Drivers'!CU$26,Marketing!CT16,Marketing!CV16)</f>
        <v>2000</v>
      </c>
      <c r="CV16" s="90" t="n">
        <v>2000</v>
      </c>
      <c r="CW16" s="13"/>
      <c r="CX16" s="13" t="n">
        <f aca="false">IF('Cash Drivers'!CX$26,Marketing!CW16,Marketing!CY16)</f>
        <v>2000</v>
      </c>
      <c r="CY16" s="89" t="n">
        <v>2000</v>
      </c>
      <c r="CZ16" s="12"/>
      <c r="DA16" s="12" t="n">
        <f aca="false">IF('Cash Drivers'!DA$26,Marketing!CZ16,Marketing!DB16)</f>
        <v>2000</v>
      </c>
      <c r="DB16" s="90" t="n">
        <v>2000</v>
      </c>
      <c r="DC16" s="13"/>
      <c r="DD16" s="13" t="n">
        <f aca="false">IF('Cash Drivers'!DD$26,Marketing!DC16,Marketing!DE16)</f>
        <v>2000</v>
      </c>
      <c r="DE16" s="89" t="n">
        <v>2000</v>
      </c>
      <c r="DF16" s="12"/>
      <c r="DG16" s="12" t="n">
        <f aca="false">IF('Cash Drivers'!DG$26,Marketing!DF16,Marketing!DH16)</f>
        <v>2000</v>
      </c>
      <c r="DH16" s="90" t="n">
        <v>2000</v>
      </c>
      <c r="DI16" s="89" t="n">
        <v>2000</v>
      </c>
      <c r="DJ16" s="13" t="n">
        <f aca="false">IF('Cash Drivers'!DJ$26,Marketing!DI16,Marketing!DK16)</f>
        <v>2000</v>
      </c>
      <c r="DK16" s="89" t="n">
        <v>2000</v>
      </c>
      <c r="DL16" s="90" t="n">
        <v>2000</v>
      </c>
      <c r="DM16" s="12" t="n">
        <f aca="false">IF('Cash Drivers'!DM$26,Marketing!DL16,Marketing!DN16)</f>
        <v>2000</v>
      </c>
      <c r="DN16" s="90" t="n">
        <v>2000</v>
      </c>
    </row>
    <row r="17" customFormat="false" ht="15" hidden="false" customHeight="false" outlineLevel="0" collapsed="false">
      <c r="A17" s="14" t="s">
        <v>167</v>
      </c>
      <c r="B17" s="15" t="str">
        <f aca="false">IF(COUNT(AR17,AO17,AL17,AI17,AF17,AC17,Z17,W17,T17,Q17,N17,K17)=0,"",SUM(AR17,AO17,AL17,AI17,AF17,AC17,Z17,W17,T17,Q17,N17,K17))</f>
        <v/>
      </c>
      <c r="C17" s="15" t="n">
        <f aca="false">IF(COUNT(AS17,AP17,AM17,AJ17,AG17,AD17,AA17,X17,U17,R17,O17,L17)=0,"",SUM(AS17,AP17,AM17,AJ17,AG17,AD17,AA17,X17,U17,R17,O17,L17))</f>
        <v>1210080</v>
      </c>
      <c r="D17" s="15" t="n">
        <f aca="false">IF(COUNT(AT17,AQ17,AN17,AK17,AH17,AE17,AB17,Y17,V17,S17,P17,M17)=0,"",SUM(AT17,AQ17,AN17,AK17,AH17,AE17,AB17,Y17,V17,S17,P17,M17))</f>
        <v>1210080</v>
      </c>
      <c r="E17" s="16" t="str">
        <f aca="false">IF(COUNT(CB17,BY17,BV17,BS17,BP17,BM17,BJ17,BG17,BD17,BA17,AX17,AU17)=0,"",SUM(CB17,BY17,BV17,BS17,BP17,BM17,BJ17,BG17,BD17,BA17,AX17,AU17))</f>
        <v/>
      </c>
      <c r="F17" s="16" t="n">
        <f aca="false">IF(COUNT(CC17,BZ17,BW17,BT17,BQ17,BN17,BK17,BH17,BE17,BB17,AY17,AV17)=0,"",SUM(CC17,BZ17,BW17,BT17,BQ17,BN17,BK17,BH17,BE17,BB17,AY17,AV17))</f>
        <v>1078320</v>
      </c>
      <c r="G17" s="16" t="n">
        <f aca="false">IF(COUNT(CD17,CA17,BX17,BU17,BR17,BO17,BL17,BI17,BF17,BC17,AZ17,AW17)=0,"",SUM(CD17,CA17,BX17,BU17,BR17,BO17,BL17,BI17,BF17,BC17,AZ17,AW17))</f>
        <v>1078320</v>
      </c>
      <c r="H17" s="15" t="n">
        <f aca="false">IF(COUNT(DL17,DI17,DF17,DC17,CZ17,CW17,CT17,CQ17,CN17,CK17,CH17,CE17)=0,"",SUM(DL17,DI17,DF17,DC17,CZ17,CW17,CT17,CQ17,CN17,CK17,CH17,CE17))</f>
        <v>150440</v>
      </c>
      <c r="I17" s="15" t="n">
        <f aca="false">IF(COUNT(DM17,DJ17,DG17,DD17,DA17,CX17,CU17,CR17,CO17,CL17,CI17,CF17)=0,"",SUM(DM17,DJ17,DG17,DD17,DA17,CX17,CU17,CR17,CO17,CL17,CI17,CF17))</f>
        <v>946560</v>
      </c>
      <c r="J17" s="15" t="n">
        <f aca="false">IF(COUNT(DN17,DK17,DH17,DE17,DB17,CY17,CV17,CS17,CP17,CM17,CJ17,CG17)=0,"",SUM(DN17,DK17,DH17,DE17,DB17,CY17,CV17,CS17,CP17,CM17,CJ17,CG17))</f>
        <v>946560</v>
      </c>
      <c r="K17" s="16" t="str">
        <f aca="false">IF(COUNT(K8,K9,K10,K11,K12,K13,K14,K15,K16)=0,"",SUM(K8:K16))</f>
        <v/>
      </c>
      <c r="L17" s="16" t="n">
        <f aca="false">SUM(L8:L16)</f>
        <v>100840</v>
      </c>
      <c r="M17" s="16" t="n">
        <f aca="false">SUM(M8:M16)</f>
        <v>100840</v>
      </c>
      <c r="N17" s="15" t="str">
        <f aca="false">IF(COUNT(N8,N9,N10,N11,N12,N13,N14,N15,N16)=0,"",SUM(N8:N16))</f>
        <v/>
      </c>
      <c r="O17" s="15" t="n">
        <f aca="false">SUM(O8:O16)</f>
        <v>100840</v>
      </c>
      <c r="P17" s="15" t="n">
        <f aca="false">SUM(P8:P16)</f>
        <v>100840</v>
      </c>
      <c r="Q17" s="16" t="str">
        <f aca="false">IF(COUNT(Q8,Q9,Q10,Q11,Q12,Q13,Q14,Q15,Q16)=0,"",SUM(Q8:Q16))</f>
        <v/>
      </c>
      <c r="R17" s="16" t="n">
        <f aca="false">SUM(R8:R16)</f>
        <v>100840</v>
      </c>
      <c r="S17" s="16" t="n">
        <f aca="false">SUM(S8:S16)</f>
        <v>100840</v>
      </c>
      <c r="T17" s="15" t="str">
        <f aca="false">IF(COUNT(T8,T9,T10,T11,T12,T13,T14,T15,T16)=0,"",SUM(T8:T16))</f>
        <v/>
      </c>
      <c r="U17" s="15" t="n">
        <f aca="false">SUM(U8:U16)</f>
        <v>100840</v>
      </c>
      <c r="V17" s="15" t="n">
        <f aca="false">SUM(V8:V16)</f>
        <v>100840</v>
      </c>
      <c r="W17" s="16" t="str">
        <f aca="false">IF(COUNT(W8,W9,W10,W11,W12,W13,W14,W15,W16)=0,"",SUM(W8:W16))</f>
        <v/>
      </c>
      <c r="X17" s="16" t="n">
        <f aca="false">SUM(X8:X16)</f>
        <v>100840</v>
      </c>
      <c r="Y17" s="16" t="n">
        <f aca="false">SUM(Y8:Y16)</f>
        <v>100840</v>
      </c>
      <c r="Z17" s="15" t="str">
        <f aca="false">IF(COUNT(Z8,Z9,Z10,Z11,Z12,Z13,Z14,Z15,Z16)=0,"",SUM(Z8:Z16))</f>
        <v/>
      </c>
      <c r="AA17" s="15" t="n">
        <f aca="false">SUM(AA8:AA16)</f>
        <v>100840</v>
      </c>
      <c r="AB17" s="15" t="n">
        <f aca="false">SUM(AB8:AB16)</f>
        <v>100840</v>
      </c>
      <c r="AC17" s="16" t="str">
        <f aca="false">IF(COUNT(AC8,AC9,AC10,AC11,AC12,AC13,AC14,AC15,AC16)=0,"",SUM(AC8:AC16))</f>
        <v/>
      </c>
      <c r="AD17" s="16" t="n">
        <f aca="false">SUM(AD8:AD16)</f>
        <v>100840</v>
      </c>
      <c r="AE17" s="16" t="n">
        <f aca="false">SUM(AE8:AE16)</f>
        <v>100840</v>
      </c>
      <c r="AF17" s="15" t="str">
        <f aca="false">IF(COUNT(AF8,AF9,AF10,AF11,AF12,AF13,AF14,AF15,AF16)=0,"",SUM(AF8:AF16))</f>
        <v/>
      </c>
      <c r="AG17" s="15" t="n">
        <f aca="false">SUM(AG8:AG16)</f>
        <v>100840</v>
      </c>
      <c r="AH17" s="15" t="n">
        <f aca="false">SUM(AH8:AH16)</f>
        <v>100840</v>
      </c>
      <c r="AI17" s="16" t="str">
        <f aca="false">IF(COUNT(AI8,AI9,AI10,AI11,AI12,AI13,AI14,AI15,AI16)=0,"",SUM(AI8:AI16))</f>
        <v/>
      </c>
      <c r="AJ17" s="16" t="n">
        <f aca="false">SUM(AJ8:AJ16)</f>
        <v>100840</v>
      </c>
      <c r="AK17" s="16" t="n">
        <f aca="false">SUM(AK8:AK16)</f>
        <v>100840</v>
      </c>
      <c r="AL17" s="15" t="str">
        <f aca="false">IF(COUNT(AL8,AL9,AL10,AL11,AL12,AL13,AL14,AL15,AL16)=0,"",SUM(AL8:AL16))</f>
        <v/>
      </c>
      <c r="AM17" s="15" t="n">
        <f aca="false">SUM(AM8:AM16)</f>
        <v>100840</v>
      </c>
      <c r="AN17" s="15" t="n">
        <f aca="false">SUM(AN8:AN16)</f>
        <v>100840</v>
      </c>
      <c r="AO17" s="16" t="str">
        <f aca="false">IF(COUNT(AO8,AO9,AO10,AO11,AO12,AO13,AO14,AO15,AO16)=0,"",SUM(AO8:AO16))</f>
        <v/>
      </c>
      <c r="AP17" s="16" t="n">
        <f aca="false">SUM(AP8:AP16)</f>
        <v>100840</v>
      </c>
      <c r="AQ17" s="16" t="n">
        <f aca="false">SUM(AQ8:AQ16)</f>
        <v>100840</v>
      </c>
      <c r="AR17" s="15" t="str">
        <f aca="false">IF(COUNT(AR8,AR9,AR10,AR11,AR12,AR13,AR14,AR15,AR16)=0,"",SUM(AR8:AR16))</f>
        <v/>
      </c>
      <c r="AS17" s="15" t="n">
        <f aca="false">SUM(AS8:AS16)</f>
        <v>100840</v>
      </c>
      <c r="AT17" s="15" t="n">
        <f aca="false">SUM(AT8:AT16)</f>
        <v>100840</v>
      </c>
      <c r="AU17" s="16" t="str">
        <f aca="false">IF(COUNT(AU8,AU9,AU10,AU11,AU12,AU13,AU14,AU15,AU16)=0,"",SUM(AU8:AU16))</f>
        <v/>
      </c>
      <c r="AV17" s="16" t="n">
        <f aca="false">SUM(AV8:AV16)</f>
        <v>100840</v>
      </c>
      <c r="AW17" s="16" t="n">
        <f aca="false">SUM(AW8:AW16)</f>
        <v>100840</v>
      </c>
      <c r="AX17" s="15" t="str">
        <f aca="false">IF(COUNT(AX8,AX9,AX10,AX11,AX12,AX13,AX14,AX15,AX16)=0,"",SUM(AX8:AX16))</f>
        <v/>
      </c>
      <c r="AY17" s="15" t="n">
        <f aca="false">SUM(AY8:AY16)</f>
        <v>100840</v>
      </c>
      <c r="AZ17" s="15" t="n">
        <f aca="false">SUM(AZ8:AZ16)</f>
        <v>100840</v>
      </c>
      <c r="BA17" s="16" t="str">
        <f aca="false">IF(COUNT(BA8,BA9,BA10,BA11,BA12,BA13,BA14,BA15,BA16)=0,"",SUM(BA8:BA16))</f>
        <v/>
      </c>
      <c r="BB17" s="16" t="n">
        <f aca="false">SUM(BB8:BB16)</f>
        <v>100840</v>
      </c>
      <c r="BC17" s="16" t="n">
        <f aca="false">SUM(BC8:BC16)</f>
        <v>100840</v>
      </c>
      <c r="BD17" s="15" t="str">
        <f aca="false">IF(COUNT(BD8,BD9,BD10,BD11,BD12,BD13,BD14,BD15,BD16)=0,"",SUM(BD8:BD16))</f>
        <v/>
      </c>
      <c r="BE17" s="15" t="n">
        <f aca="false">SUM(BE8:BE16)</f>
        <v>86200</v>
      </c>
      <c r="BF17" s="15" t="n">
        <f aca="false">SUM(BF8:BF16)</f>
        <v>86200</v>
      </c>
      <c r="BG17" s="16" t="str">
        <f aca="false">IF(COUNT(BG8,BG9,BG10,BG11,BG12,BG13,BG14,BG15,BG16)=0,"",SUM(BG8:BG16))</f>
        <v/>
      </c>
      <c r="BH17" s="16" t="n">
        <f aca="false">SUM(BH8:BH16)</f>
        <v>86200</v>
      </c>
      <c r="BI17" s="16" t="n">
        <f aca="false">SUM(BI8:BI16)</f>
        <v>86200</v>
      </c>
      <c r="BJ17" s="15" t="str">
        <f aca="false">IF(COUNT(BJ8,BJ9,BJ10,BJ11,BJ12,BJ13,BJ14,BJ15,BJ16)=0,"",SUM(BJ8:BJ16))</f>
        <v/>
      </c>
      <c r="BK17" s="15" t="n">
        <f aca="false">SUM(BK8:BK16)</f>
        <v>86200</v>
      </c>
      <c r="BL17" s="15" t="n">
        <f aca="false">SUM(BL8:BL16)</f>
        <v>86200</v>
      </c>
      <c r="BM17" s="16" t="str">
        <f aca="false">IF(COUNT(BM8,BM9,BM10,BM11,BM12,BM13,BM14,BM15,BM16)=0,"",SUM(BM8:BM16))</f>
        <v/>
      </c>
      <c r="BN17" s="16" t="n">
        <f aca="false">SUM(BN8:BN16)</f>
        <v>86200</v>
      </c>
      <c r="BO17" s="16" t="n">
        <f aca="false">SUM(BO8:BO16)</f>
        <v>86200</v>
      </c>
      <c r="BP17" s="15" t="str">
        <f aca="false">IF(COUNT(BP8,BP9,BP10,BP11,BP12,BP13,BP14,BP15,BP16)=0,"",SUM(BP8:BP16))</f>
        <v/>
      </c>
      <c r="BQ17" s="15" t="n">
        <f aca="false">SUM(BQ8:BQ16)</f>
        <v>86200</v>
      </c>
      <c r="BR17" s="15" t="n">
        <f aca="false">SUM(BR8:BR16)</f>
        <v>86200</v>
      </c>
      <c r="BS17" s="16" t="str">
        <f aca="false">IF(COUNT(BS8,BS9,BS10,BS11,BS12,BS13,BS14,BS15,BS16)=0,"",SUM(BS8:BS16))</f>
        <v/>
      </c>
      <c r="BT17" s="16" t="n">
        <f aca="false">SUM(BT8:BT16)</f>
        <v>86200</v>
      </c>
      <c r="BU17" s="16" t="n">
        <f aca="false">SUM(BU8:BU16)</f>
        <v>86200</v>
      </c>
      <c r="BV17" s="15" t="str">
        <f aca="false">IF(COUNT(BV8,BV9,BV10,BV11,BV12,BV13,BV14,BV15,BV16)=0,"",SUM(BV8:BV16))</f>
        <v/>
      </c>
      <c r="BW17" s="15" t="n">
        <f aca="false">SUM(BW8:BW16)</f>
        <v>86200</v>
      </c>
      <c r="BX17" s="15" t="n">
        <f aca="false">SUM(BX8:BX16)</f>
        <v>86200</v>
      </c>
      <c r="BY17" s="16" t="str">
        <f aca="false">IF(COUNT(BY8,BY9,BY10,BY11,BY12,BY13,BY14,BY15,BY16)=0,"",SUM(BY8:BY16))</f>
        <v/>
      </c>
      <c r="BZ17" s="16" t="n">
        <f aca="false">SUM(BZ8:BZ16)</f>
        <v>86200</v>
      </c>
      <c r="CA17" s="16" t="n">
        <f aca="false">SUM(CA8:CA16)</f>
        <v>86200</v>
      </c>
      <c r="CB17" s="15" t="str">
        <f aca="false">IF(COUNT(CB8,CB9,CB10,CB11,CB12,CB13,CB14,CB15,CB16)=0,"",SUM(CB8:CB16))</f>
        <v/>
      </c>
      <c r="CC17" s="15" t="n">
        <f aca="false">SUM(CC8:CC16)</f>
        <v>86200</v>
      </c>
      <c r="CD17" s="15" t="n">
        <f aca="false">SUM(CD8:CD16)</f>
        <v>86200</v>
      </c>
      <c r="CE17" s="16" t="str">
        <f aca="false">IF(COUNT(CE8,CE9,CE10,CE11,CE12,CE13,CE14,CE15,CE16)=0,"",SUM(CE8:CE16))</f>
        <v/>
      </c>
      <c r="CF17" s="16" t="n">
        <f aca="false">SUM(CF8:CF16)</f>
        <v>86200</v>
      </c>
      <c r="CG17" s="16" t="n">
        <f aca="false">SUM(CG8:CG16)</f>
        <v>86200</v>
      </c>
      <c r="CH17" s="15" t="str">
        <f aca="false">IF(COUNT(CH8,CH9,CH10,CH11,CH12,CH13,CH14,CH15,CH16)=0,"",SUM(CH8:CH16))</f>
        <v/>
      </c>
      <c r="CI17" s="15" t="n">
        <f aca="false">SUM(CI8:CI16)</f>
        <v>86200</v>
      </c>
      <c r="CJ17" s="15" t="n">
        <f aca="false">SUM(CJ8:CJ16)</f>
        <v>86200</v>
      </c>
      <c r="CK17" s="16" t="str">
        <f aca="false">IF(COUNT(CK8,CK9,CK10,CK11,CK12,CK13,CK14,CK15,CK16)=0,"",SUM(CK8:CK16))</f>
        <v/>
      </c>
      <c r="CL17" s="16" t="n">
        <f aca="false">SUM(CL8:CL16)</f>
        <v>86200</v>
      </c>
      <c r="CM17" s="16" t="n">
        <f aca="false">SUM(CM8:CM16)</f>
        <v>86200</v>
      </c>
      <c r="CN17" s="15" t="str">
        <f aca="false">IF(COUNT(CN8,CN9,CN10,CN11,CN12,CN13,CN14,CN15,CN16)=0,"",SUM(CN8:CN16))</f>
        <v/>
      </c>
      <c r="CO17" s="15" t="n">
        <f aca="false">SUM(CO8:CO16)</f>
        <v>86200</v>
      </c>
      <c r="CP17" s="15" t="n">
        <f aca="false">SUM(CP8:CP16)</f>
        <v>86200</v>
      </c>
      <c r="CQ17" s="16" t="str">
        <f aca="false">IF(COUNT(CQ8,CQ9,CQ10,CQ11,CQ12,CQ13,CQ14,CQ15,CQ16)=0,"",SUM(CQ8:CQ16))</f>
        <v/>
      </c>
      <c r="CR17" s="16" t="n">
        <f aca="false">SUM(CR8:CR16)</f>
        <v>75220</v>
      </c>
      <c r="CS17" s="16" t="n">
        <f aca="false">SUM(CS8:CS16)</f>
        <v>75220</v>
      </c>
      <c r="CT17" s="15" t="str">
        <f aca="false">IF(COUNT(CT8,CT9,CT10,CT11,CT12,CT13,CT14,CT15,CT16)=0,"",SUM(CT8:CT16))</f>
        <v/>
      </c>
      <c r="CU17" s="15" t="n">
        <f aca="false">SUM(CU8:CU16)</f>
        <v>75220</v>
      </c>
      <c r="CV17" s="15" t="n">
        <f aca="false">SUM(CV8:CV16)</f>
        <v>75220</v>
      </c>
      <c r="CW17" s="16" t="str">
        <f aca="false">IF(COUNT(CW8,CW9,CW10,CW11,CW12,CW13,CW14,CW15,CW16)=0,"",SUM(CW8:CW16))</f>
        <v/>
      </c>
      <c r="CX17" s="16" t="n">
        <f aca="false">SUM(CX8:CX16)</f>
        <v>75220</v>
      </c>
      <c r="CY17" s="16" t="n">
        <f aca="false">SUM(CY8:CY16)</f>
        <v>75220</v>
      </c>
      <c r="CZ17" s="15" t="str">
        <f aca="false">IF(COUNT(CZ8,CZ9,CZ10,CZ11,CZ12,CZ13,CZ14,CZ15,CZ16)=0,"",SUM(CZ8:CZ16))</f>
        <v/>
      </c>
      <c r="DA17" s="15" t="n">
        <f aca="false">SUM(DA8:DA16)</f>
        <v>75220</v>
      </c>
      <c r="DB17" s="15" t="n">
        <f aca="false">SUM(DB8:DB16)</f>
        <v>75220</v>
      </c>
      <c r="DC17" s="16" t="str">
        <f aca="false">IF(COUNT(DC8,DC9,DC10,DC11,DC12,DC13,DC14,DC15,DC16)=0,"",SUM(DC8:DC16))</f>
        <v/>
      </c>
      <c r="DD17" s="16" t="n">
        <f aca="false">SUM(DD8:DD16)</f>
        <v>75220</v>
      </c>
      <c r="DE17" s="16" t="n">
        <f aca="false">SUM(DE8:DE16)</f>
        <v>75220</v>
      </c>
      <c r="DF17" s="15" t="str">
        <f aca="false">IF(COUNT(DF8,DF9,DF10,DF11,DF12,DF13,DF14,DF15,DF16)=0,"",SUM(DF8:DF16))</f>
        <v/>
      </c>
      <c r="DG17" s="15" t="n">
        <f aca="false">SUM(DG8:DG16)</f>
        <v>75220</v>
      </c>
      <c r="DH17" s="15" t="n">
        <f aca="false">SUM(DH8:DH16)</f>
        <v>75220</v>
      </c>
      <c r="DI17" s="16" t="n">
        <f aca="false">IF(COUNT(DI8,DI9,DI10,DI11,DI12,DI13,DI14,DI15,DI16)=0,"",SUM(DI8:DI16))</f>
        <v>75220</v>
      </c>
      <c r="DJ17" s="16" t="n">
        <f aca="false">SUM(DJ8:DJ16)</f>
        <v>75220</v>
      </c>
      <c r="DK17" s="16" t="n">
        <f aca="false">SUM(DK8:DK16)</f>
        <v>75220</v>
      </c>
      <c r="DL17" s="15" t="n">
        <f aca="false">IF(COUNT(DL8,DL9,DL10,DL11,DL12,DL13,DL14,DL15,DL16)=0,"",SUM(DL8:DL16))</f>
        <v>75220</v>
      </c>
      <c r="DM17" s="15" t="n">
        <f aca="false">SUM(DM8:DM16)</f>
        <v>75220</v>
      </c>
      <c r="DN17" s="15" t="n">
        <f aca="false">SUM(DN8:DN16)</f>
        <v>75220</v>
      </c>
    </row>
    <row r="18" customFormat="false" ht="15" hidden="false" customHeight="false" outlineLevel="0" collapsed="false">
      <c r="A18" s="5" t="s">
        <v>168</v>
      </c>
      <c r="B18" s="12" t="str">
        <f aca="false">IF(COUNT(AR18,AO18,AL18,AI18,AF18,AC18,Z18,W18,T18,Q18,N18,K18)=0,"",SUM(AR18,AO18,AL18,AI18,AF18,AC18,Z18,W18,T18,Q18,N18,K18))</f>
        <v/>
      </c>
      <c r="C18" s="12" t="n">
        <f aca="false">IF(COUNT(AS18,AP18,AM18,AJ18,AG18,AD18,AA18,X18,U18,R18,O18,L18)=0,"",SUM(AS18,AP18,AM18,AJ18,AG18,AD18,AA18,X18,U18,R18,O18,L18))</f>
        <v>528000</v>
      </c>
      <c r="D18" s="12" t="n">
        <f aca="false">IF(COUNT(AT18,AQ18,AN18,AK18,AH18,AE18,AB18,Y18,V18,S18,P18,M18)=0,"",SUM(AT18,AQ18,AN18,AK18,AH18,AE18,AB18,Y18,V18,S18,P18,M18))</f>
        <v>528000</v>
      </c>
      <c r="E18" s="13" t="str">
        <f aca="false">IF(COUNT(CB18,BY18,BV18,BS18,BP18,BM18,BJ18,BG18,BD18,BA18,AX18,AU18)=0,"",SUM(CB18,BY18,BV18,BS18,BP18,BM18,BJ18,BG18,BD18,BA18,AX18,AU18))</f>
        <v/>
      </c>
      <c r="F18" s="13" t="n">
        <f aca="false">IF(COUNT(CC18,BZ18,BW18,BT18,BQ18,BN18,BK18,BH18,BE18,BB18,AY18,AV18)=0,"",SUM(CC18,BZ18,BW18,BT18,BQ18,BN18,BK18,BH18,BE18,BB18,AY18,AV18))</f>
        <v>528000</v>
      </c>
      <c r="G18" s="13" t="n">
        <f aca="false">IF(COUNT(CD18,CA18,BX18,BU18,BR18,BO18,BL18,BI18,BF18,BC18,AZ18,AW18)=0,"",SUM(CD18,CA18,BX18,BU18,BR18,BO18,BL18,BI18,BF18,BC18,AZ18,AW18))</f>
        <v>528000</v>
      </c>
      <c r="H18" s="12" t="n">
        <f aca="false">IF(COUNT(DL18,DI18,DF18,DC18,CZ18,CW18,CT18,CQ18,CN18,CK18,CH18,CE18)=0,"",SUM(DL18,DI18,DF18,DC18,CZ18,CW18,CT18,CQ18,CN18,CK18,CH18,CE18))</f>
        <v>88000</v>
      </c>
      <c r="I18" s="12" t="n">
        <f aca="false">IF(COUNT(DM18,DJ18,DG18,DD18,DA18,CX18,CU18,CR18,CO18,CL18,CI18,CF18)=0,"",SUM(DM18,DJ18,DG18,DD18,DA18,CX18,CU18,CR18,CO18,CL18,CI18,CF18))</f>
        <v>528000</v>
      </c>
      <c r="J18" s="12" t="n">
        <f aca="false">IF(COUNT(DN18,DK18,DH18,DE18,DB18,CY18,CV18,CS18,CP18,CM18,CJ18,CG18)=0,"",SUM(DN18,DK18,DH18,DE18,DB18,CY18,CV18,CS18,CP18,CM18,CJ18,CG18))</f>
        <v>528000</v>
      </c>
      <c r="K18" s="13"/>
      <c r="L18" s="13" t="n">
        <f aca="false">IF('Cash Drivers'!L$26,Marketing!K18,Marketing!M18)</f>
        <v>44000</v>
      </c>
      <c r="M18" s="89" t="n">
        <v>44000</v>
      </c>
      <c r="N18" s="12"/>
      <c r="O18" s="12" t="n">
        <f aca="false">IF('Cash Drivers'!O$26,Marketing!N18,Marketing!P18)</f>
        <v>44000</v>
      </c>
      <c r="P18" s="90" t="n">
        <v>44000</v>
      </c>
      <c r="Q18" s="13"/>
      <c r="R18" s="13" t="n">
        <f aca="false">IF('Cash Drivers'!R$26,Marketing!Q18,Marketing!S18)</f>
        <v>44000</v>
      </c>
      <c r="S18" s="89" t="n">
        <v>44000</v>
      </c>
      <c r="T18" s="12"/>
      <c r="U18" s="12" t="n">
        <f aca="false">IF('Cash Drivers'!U$26,Marketing!T18,Marketing!V18)</f>
        <v>44000</v>
      </c>
      <c r="V18" s="90" t="n">
        <v>44000</v>
      </c>
      <c r="W18" s="13"/>
      <c r="X18" s="13" t="n">
        <f aca="false">IF('Cash Drivers'!X$26,Marketing!W18,Marketing!Y18)</f>
        <v>44000</v>
      </c>
      <c r="Y18" s="89" t="n">
        <v>44000</v>
      </c>
      <c r="Z18" s="12"/>
      <c r="AA18" s="12" t="n">
        <f aca="false">IF('Cash Drivers'!AA$26,Marketing!Z18,Marketing!AB18)</f>
        <v>44000</v>
      </c>
      <c r="AB18" s="90" t="n">
        <v>44000</v>
      </c>
      <c r="AC18" s="13"/>
      <c r="AD18" s="13" t="n">
        <f aca="false">IF('Cash Drivers'!AD$26,Marketing!AC18,Marketing!AE18)</f>
        <v>44000</v>
      </c>
      <c r="AE18" s="89" t="n">
        <v>44000</v>
      </c>
      <c r="AF18" s="12"/>
      <c r="AG18" s="12" t="n">
        <f aca="false">IF('Cash Drivers'!AG$26,Marketing!AF18,Marketing!AH18)</f>
        <v>44000</v>
      </c>
      <c r="AH18" s="90" t="n">
        <v>44000</v>
      </c>
      <c r="AI18" s="13"/>
      <c r="AJ18" s="13" t="n">
        <f aca="false">IF('Cash Drivers'!AJ$26,Marketing!AI18,Marketing!AK18)</f>
        <v>44000</v>
      </c>
      <c r="AK18" s="89" t="n">
        <v>44000</v>
      </c>
      <c r="AL18" s="12"/>
      <c r="AM18" s="12" t="n">
        <f aca="false">IF('Cash Drivers'!AM$26,Marketing!AL18,Marketing!AN18)</f>
        <v>44000</v>
      </c>
      <c r="AN18" s="90" t="n">
        <v>44000</v>
      </c>
      <c r="AO18" s="13"/>
      <c r="AP18" s="13" t="n">
        <f aca="false">IF('Cash Drivers'!AP$26,Marketing!AO18,Marketing!AQ18)</f>
        <v>44000</v>
      </c>
      <c r="AQ18" s="89" t="n">
        <v>44000</v>
      </c>
      <c r="AR18" s="12"/>
      <c r="AS18" s="12" t="n">
        <f aca="false">IF('Cash Drivers'!AS$26,Marketing!AR18,Marketing!AT18)</f>
        <v>44000</v>
      </c>
      <c r="AT18" s="90" t="n">
        <v>44000</v>
      </c>
      <c r="AU18" s="13"/>
      <c r="AV18" s="13" t="n">
        <f aca="false">IF('Cash Drivers'!AV$26,Marketing!AU18,Marketing!AW18)</f>
        <v>44000</v>
      </c>
      <c r="AW18" s="89" t="n">
        <v>44000</v>
      </c>
      <c r="AX18" s="12"/>
      <c r="AY18" s="12" t="n">
        <f aca="false">IF('Cash Drivers'!AY$26,Marketing!AX18,Marketing!AZ18)</f>
        <v>44000</v>
      </c>
      <c r="AZ18" s="90" t="n">
        <v>44000</v>
      </c>
      <c r="BA18" s="13"/>
      <c r="BB18" s="13" t="n">
        <f aca="false">IF('Cash Drivers'!BB$26,Marketing!BA18,Marketing!BC18)</f>
        <v>44000</v>
      </c>
      <c r="BC18" s="89" t="n">
        <v>44000</v>
      </c>
      <c r="BD18" s="12"/>
      <c r="BE18" s="12" t="n">
        <f aca="false">IF('Cash Drivers'!BE$26,Marketing!BD18,Marketing!BF18)</f>
        <v>44000</v>
      </c>
      <c r="BF18" s="90" t="n">
        <v>44000</v>
      </c>
      <c r="BG18" s="13"/>
      <c r="BH18" s="13" t="n">
        <f aca="false">IF('Cash Drivers'!BH$26,Marketing!BG18,Marketing!BI18)</f>
        <v>44000</v>
      </c>
      <c r="BI18" s="89" t="n">
        <v>44000</v>
      </c>
      <c r="BJ18" s="12"/>
      <c r="BK18" s="12" t="n">
        <f aca="false">IF('Cash Drivers'!BK$26,Marketing!BJ18,Marketing!BL18)</f>
        <v>44000</v>
      </c>
      <c r="BL18" s="90" t="n">
        <v>44000</v>
      </c>
      <c r="BM18" s="13"/>
      <c r="BN18" s="13" t="n">
        <f aca="false">IF('Cash Drivers'!BN$26,Marketing!BM18,Marketing!BO18)</f>
        <v>44000</v>
      </c>
      <c r="BO18" s="89" t="n">
        <v>44000</v>
      </c>
      <c r="BP18" s="12"/>
      <c r="BQ18" s="12" t="n">
        <f aca="false">IF('Cash Drivers'!BQ$26,Marketing!BP18,Marketing!BR18)</f>
        <v>44000</v>
      </c>
      <c r="BR18" s="90" t="n">
        <v>44000</v>
      </c>
      <c r="BS18" s="13"/>
      <c r="BT18" s="13" t="n">
        <f aca="false">IF('Cash Drivers'!BT$26,Marketing!BS18,Marketing!BU18)</f>
        <v>44000</v>
      </c>
      <c r="BU18" s="89" t="n">
        <v>44000</v>
      </c>
      <c r="BV18" s="12"/>
      <c r="BW18" s="12" t="n">
        <f aca="false">IF('Cash Drivers'!BW$26,Marketing!BV18,Marketing!BX18)</f>
        <v>44000</v>
      </c>
      <c r="BX18" s="90" t="n">
        <v>44000</v>
      </c>
      <c r="BY18" s="13"/>
      <c r="BZ18" s="13" t="n">
        <f aca="false">IF('Cash Drivers'!BZ$26,Marketing!BY18,Marketing!CA18)</f>
        <v>44000</v>
      </c>
      <c r="CA18" s="89" t="n">
        <v>44000</v>
      </c>
      <c r="CB18" s="12"/>
      <c r="CC18" s="12" t="n">
        <f aca="false">IF('Cash Drivers'!CC$26,Marketing!CB18,Marketing!CD18)</f>
        <v>44000</v>
      </c>
      <c r="CD18" s="90" t="n">
        <v>44000</v>
      </c>
      <c r="CE18" s="13"/>
      <c r="CF18" s="13" t="n">
        <f aca="false">IF('Cash Drivers'!CF$26,Marketing!CE18,Marketing!CG18)</f>
        <v>44000</v>
      </c>
      <c r="CG18" s="89" t="n">
        <v>44000</v>
      </c>
      <c r="CH18" s="12"/>
      <c r="CI18" s="12" t="n">
        <f aca="false">IF('Cash Drivers'!CI$26,Marketing!CH18,Marketing!CJ18)</f>
        <v>44000</v>
      </c>
      <c r="CJ18" s="90" t="n">
        <v>44000</v>
      </c>
      <c r="CK18" s="13"/>
      <c r="CL18" s="13" t="n">
        <f aca="false">IF('Cash Drivers'!CL$26,Marketing!CK18,Marketing!CM18)</f>
        <v>44000</v>
      </c>
      <c r="CM18" s="89" t="n">
        <v>44000</v>
      </c>
      <c r="CN18" s="12"/>
      <c r="CO18" s="12" t="n">
        <f aca="false">IF('Cash Drivers'!CO$26,Marketing!CN18,Marketing!CP18)</f>
        <v>44000</v>
      </c>
      <c r="CP18" s="90" t="n">
        <v>44000</v>
      </c>
      <c r="CQ18" s="13"/>
      <c r="CR18" s="13" t="n">
        <f aca="false">IF('Cash Drivers'!CR$26,Marketing!CQ18,Marketing!CS18)</f>
        <v>44000</v>
      </c>
      <c r="CS18" s="89" t="n">
        <v>44000</v>
      </c>
      <c r="CT18" s="12"/>
      <c r="CU18" s="12" t="n">
        <f aca="false">IF('Cash Drivers'!CU$26,Marketing!CT18,Marketing!CV18)</f>
        <v>44000</v>
      </c>
      <c r="CV18" s="90" t="n">
        <v>44000</v>
      </c>
      <c r="CW18" s="13"/>
      <c r="CX18" s="13" t="n">
        <f aca="false">IF('Cash Drivers'!CX$26,Marketing!CW18,Marketing!CY18)</f>
        <v>44000</v>
      </c>
      <c r="CY18" s="89" t="n">
        <v>44000</v>
      </c>
      <c r="CZ18" s="12"/>
      <c r="DA18" s="12" t="n">
        <f aca="false">IF('Cash Drivers'!DA$26,Marketing!CZ18,Marketing!DB18)</f>
        <v>44000</v>
      </c>
      <c r="DB18" s="90" t="n">
        <v>44000</v>
      </c>
      <c r="DC18" s="13"/>
      <c r="DD18" s="13" t="n">
        <f aca="false">IF('Cash Drivers'!DD$26,Marketing!DC18,Marketing!DE18)</f>
        <v>44000</v>
      </c>
      <c r="DE18" s="89" t="n">
        <v>44000</v>
      </c>
      <c r="DF18" s="12"/>
      <c r="DG18" s="12" t="n">
        <f aca="false">IF('Cash Drivers'!DG$26,Marketing!DF18,Marketing!DH18)</f>
        <v>44000</v>
      </c>
      <c r="DH18" s="90" t="n">
        <v>44000</v>
      </c>
      <c r="DI18" s="89" t="n">
        <v>44000</v>
      </c>
      <c r="DJ18" s="13" t="n">
        <f aca="false">IF('Cash Drivers'!DJ$26,Marketing!DI18,Marketing!DK18)</f>
        <v>44000</v>
      </c>
      <c r="DK18" s="89" t="n">
        <v>44000</v>
      </c>
      <c r="DL18" s="90" t="n">
        <v>44000</v>
      </c>
      <c r="DM18" s="12" t="n">
        <f aca="false">IF('Cash Drivers'!DM$26,Marketing!DL18,Marketing!DN18)</f>
        <v>44000</v>
      </c>
      <c r="DN18" s="90" t="n">
        <v>44000</v>
      </c>
    </row>
    <row r="19" customFormat="false" ht="15" hidden="false" customHeight="false" outlineLevel="0" collapsed="false">
      <c r="A19" s="5" t="s">
        <v>169</v>
      </c>
      <c r="B19" s="12" t="str">
        <f aca="false">IF(COUNT(AR19,AO19,AL19,AI19,AF19,AC19,Z19,W19,T19,Q19,N19,K19)=0,"",SUM(AR19,AO19,AL19,AI19,AF19,AC19,Z19,W19,T19,Q19,N19,K19))</f>
        <v/>
      </c>
      <c r="C19" s="12" t="n">
        <f aca="false">IF(COUNT(AS19,AP19,AM19,AJ19,AG19,AD19,AA19,X19,U19,R19,O19,L19)=0,"",SUM(AS19,AP19,AM19,AJ19,AG19,AD19,AA19,X19,U19,R19,O19,L19))</f>
        <v>120000</v>
      </c>
      <c r="D19" s="12" t="n">
        <f aca="false">IF(COUNT(AT19,AQ19,AN19,AK19,AH19,AE19,AB19,Y19,V19,S19,P19,M19)=0,"",SUM(AT19,AQ19,AN19,AK19,AH19,AE19,AB19,Y19,V19,S19,P19,M19))</f>
        <v>120000</v>
      </c>
      <c r="E19" s="13" t="str">
        <f aca="false">IF(COUNT(CB19,BY19,BV19,BS19,BP19,BM19,BJ19,BG19,BD19,BA19,AX19,AU19)=0,"",SUM(CB19,BY19,BV19,BS19,BP19,BM19,BJ19,BG19,BD19,BA19,AX19,AU19))</f>
        <v/>
      </c>
      <c r="F19" s="13" t="n">
        <f aca="false">IF(COUNT(CC19,BZ19,BW19,BT19,BQ19,BN19,BK19,BH19,BE19,BB19,AY19,AV19)=0,"",SUM(CC19,BZ19,BW19,BT19,BQ19,BN19,BK19,BH19,BE19,BB19,AY19,AV19))</f>
        <v>120000</v>
      </c>
      <c r="G19" s="13" t="n">
        <f aca="false">IF(COUNT(CD19,CA19,BX19,BU19,BR19,BO19,BL19,BI19,BF19,BC19,AZ19,AW19)=0,"",SUM(CD19,CA19,BX19,BU19,BR19,BO19,BL19,BI19,BF19,BC19,AZ19,AW19))</f>
        <v>120000</v>
      </c>
      <c r="H19" s="12" t="n">
        <f aca="false">IF(COUNT(DL19,DI19,DF19,DC19,CZ19,CW19,CT19,CQ19,CN19,CK19,CH19,CE19)=0,"",SUM(DL19,DI19,DF19,DC19,CZ19,CW19,CT19,CQ19,CN19,CK19,CH19,CE19))</f>
        <v>20000</v>
      </c>
      <c r="I19" s="12" t="n">
        <f aca="false">IF(COUNT(DM19,DJ19,DG19,DD19,DA19,CX19,CU19,CR19,CO19,CL19,CI19,CF19)=0,"",SUM(DM19,DJ19,DG19,DD19,DA19,CX19,CU19,CR19,CO19,CL19,CI19,CF19))</f>
        <v>120000</v>
      </c>
      <c r="J19" s="12" t="n">
        <f aca="false">IF(COUNT(DN19,DK19,DH19,DE19,DB19,CY19,CV19,CS19,CP19,CM19,CJ19,CG19)=0,"",SUM(DN19,DK19,DH19,DE19,DB19,CY19,CV19,CS19,CP19,CM19,CJ19,CG19))</f>
        <v>120000</v>
      </c>
      <c r="K19" s="13"/>
      <c r="L19" s="13" t="n">
        <f aca="false">IF('Cash Drivers'!L$26,Marketing!K19,Marketing!M19)</f>
        <v>10000</v>
      </c>
      <c r="M19" s="89" t="n">
        <v>10000</v>
      </c>
      <c r="N19" s="12"/>
      <c r="O19" s="12" t="n">
        <f aca="false">IF('Cash Drivers'!O$26,Marketing!N19,Marketing!P19)</f>
        <v>10000</v>
      </c>
      <c r="P19" s="90" t="n">
        <v>10000</v>
      </c>
      <c r="Q19" s="13"/>
      <c r="R19" s="13" t="n">
        <f aca="false">IF('Cash Drivers'!R$26,Marketing!Q19,Marketing!S19)</f>
        <v>10000</v>
      </c>
      <c r="S19" s="89" t="n">
        <v>10000</v>
      </c>
      <c r="T19" s="12"/>
      <c r="U19" s="12" t="n">
        <f aca="false">IF('Cash Drivers'!U$26,Marketing!T19,Marketing!V19)</f>
        <v>10000</v>
      </c>
      <c r="V19" s="90" t="n">
        <v>10000</v>
      </c>
      <c r="W19" s="13"/>
      <c r="X19" s="13" t="n">
        <f aca="false">IF('Cash Drivers'!X$26,Marketing!W19,Marketing!Y19)</f>
        <v>10000</v>
      </c>
      <c r="Y19" s="89" t="n">
        <v>10000</v>
      </c>
      <c r="Z19" s="12"/>
      <c r="AA19" s="12" t="n">
        <f aca="false">IF('Cash Drivers'!AA$26,Marketing!Z19,Marketing!AB19)</f>
        <v>10000</v>
      </c>
      <c r="AB19" s="90" t="n">
        <v>10000</v>
      </c>
      <c r="AC19" s="13"/>
      <c r="AD19" s="13" t="n">
        <f aca="false">IF('Cash Drivers'!AD$26,Marketing!AC19,Marketing!AE19)</f>
        <v>10000</v>
      </c>
      <c r="AE19" s="89" t="n">
        <v>10000</v>
      </c>
      <c r="AF19" s="12"/>
      <c r="AG19" s="12" t="n">
        <f aca="false">IF('Cash Drivers'!AG$26,Marketing!AF19,Marketing!AH19)</f>
        <v>10000</v>
      </c>
      <c r="AH19" s="90" t="n">
        <v>10000</v>
      </c>
      <c r="AI19" s="13"/>
      <c r="AJ19" s="13" t="n">
        <f aca="false">IF('Cash Drivers'!AJ$26,Marketing!AI19,Marketing!AK19)</f>
        <v>10000</v>
      </c>
      <c r="AK19" s="89" t="n">
        <v>10000</v>
      </c>
      <c r="AL19" s="12"/>
      <c r="AM19" s="12" t="n">
        <f aca="false">IF('Cash Drivers'!AM$26,Marketing!AL19,Marketing!AN19)</f>
        <v>10000</v>
      </c>
      <c r="AN19" s="90" t="n">
        <v>10000</v>
      </c>
      <c r="AO19" s="13"/>
      <c r="AP19" s="13" t="n">
        <f aca="false">IF('Cash Drivers'!AP$26,Marketing!AO19,Marketing!AQ19)</f>
        <v>10000</v>
      </c>
      <c r="AQ19" s="89" t="n">
        <v>10000</v>
      </c>
      <c r="AR19" s="12"/>
      <c r="AS19" s="12" t="n">
        <f aca="false">IF('Cash Drivers'!AS$26,Marketing!AR19,Marketing!AT19)</f>
        <v>10000</v>
      </c>
      <c r="AT19" s="90" t="n">
        <v>10000</v>
      </c>
      <c r="AU19" s="13"/>
      <c r="AV19" s="13" t="n">
        <f aca="false">IF('Cash Drivers'!AV$26,Marketing!AU19,Marketing!AW19)</f>
        <v>10000</v>
      </c>
      <c r="AW19" s="89" t="n">
        <v>10000</v>
      </c>
      <c r="AX19" s="12"/>
      <c r="AY19" s="12" t="n">
        <f aca="false">IF('Cash Drivers'!AY$26,Marketing!AX19,Marketing!AZ19)</f>
        <v>10000</v>
      </c>
      <c r="AZ19" s="90" t="n">
        <v>10000</v>
      </c>
      <c r="BA19" s="13"/>
      <c r="BB19" s="13" t="n">
        <f aca="false">IF('Cash Drivers'!BB$26,Marketing!BA19,Marketing!BC19)</f>
        <v>10000</v>
      </c>
      <c r="BC19" s="89" t="n">
        <v>10000</v>
      </c>
      <c r="BD19" s="12"/>
      <c r="BE19" s="12" t="n">
        <f aca="false">IF('Cash Drivers'!BE$26,Marketing!BD19,Marketing!BF19)</f>
        <v>10000</v>
      </c>
      <c r="BF19" s="90" t="n">
        <v>10000</v>
      </c>
      <c r="BG19" s="13"/>
      <c r="BH19" s="13" t="n">
        <f aca="false">IF('Cash Drivers'!BH$26,Marketing!BG19,Marketing!BI19)</f>
        <v>10000</v>
      </c>
      <c r="BI19" s="89" t="n">
        <v>10000</v>
      </c>
      <c r="BJ19" s="12"/>
      <c r="BK19" s="12" t="n">
        <f aca="false">IF('Cash Drivers'!BK$26,Marketing!BJ19,Marketing!BL19)</f>
        <v>10000</v>
      </c>
      <c r="BL19" s="90" t="n">
        <v>10000</v>
      </c>
      <c r="BM19" s="13"/>
      <c r="BN19" s="13" t="n">
        <f aca="false">IF('Cash Drivers'!BN$26,Marketing!BM19,Marketing!BO19)</f>
        <v>10000</v>
      </c>
      <c r="BO19" s="89" t="n">
        <v>10000</v>
      </c>
      <c r="BP19" s="12"/>
      <c r="BQ19" s="12" t="n">
        <f aca="false">IF('Cash Drivers'!BQ$26,Marketing!BP19,Marketing!BR19)</f>
        <v>10000</v>
      </c>
      <c r="BR19" s="90" t="n">
        <v>10000</v>
      </c>
      <c r="BS19" s="13"/>
      <c r="BT19" s="13" t="n">
        <f aca="false">IF('Cash Drivers'!BT$26,Marketing!BS19,Marketing!BU19)</f>
        <v>10000</v>
      </c>
      <c r="BU19" s="89" t="n">
        <v>10000</v>
      </c>
      <c r="BV19" s="12"/>
      <c r="BW19" s="12" t="n">
        <f aca="false">IF('Cash Drivers'!BW$26,Marketing!BV19,Marketing!BX19)</f>
        <v>10000</v>
      </c>
      <c r="BX19" s="90" t="n">
        <v>10000</v>
      </c>
      <c r="BY19" s="13"/>
      <c r="BZ19" s="13" t="n">
        <f aca="false">IF('Cash Drivers'!BZ$26,Marketing!BY19,Marketing!CA19)</f>
        <v>10000</v>
      </c>
      <c r="CA19" s="89" t="n">
        <v>10000</v>
      </c>
      <c r="CB19" s="12"/>
      <c r="CC19" s="12" t="n">
        <f aca="false">IF('Cash Drivers'!CC$26,Marketing!CB19,Marketing!CD19)</f>
        <v>10000</v>
      </c>
      <c r="CD19" s="90" t="n">
        <v>10000</v>
      </c>
      <c r="CE19" s="13"/>
      <c r="CF19" s="13" t="n">
        <f aca="false">IF('Cash Drivers'!CF$26,Marketing!CE19,Marketing!CG19)</f>
        <v>10000</v>
      </c>
      <c r="CG19" s="89" t="n">
        <v>10000</v>
      </c>
      <c r="CH19" s="12"/>
      <c r="CI19" s="12" t="n">
        <f aca="false">IF('Cash Drivers'!CI$26,Marketing!CH19,Marketing!CJ19)</f>
        <v>10000</v>
      </c>
      <c r="CJ19" s="90" t="n">
        <v>10000</v>
      </c>
      <c r="CK19" s="13"/>
      <c r="CL19" s="13" t="n">
        <f aca="false">IF('Cash Drivers'!CL$26,Marketing!CK19,Marketing!CM19)</f>
        <v>10000</v>
      </c>
      <c r="CM19" s="89" t="n">
        <v>10000</v>
      </c>
      <c r="CN19" s="12"/>
      <c r="CO19" s="12" t="n">
        <f aca="false">IF('Cash Drivers'!CO$26,Marketing!CN19,Marketing!CP19)</f>
        <v>10000</v>
      </c>
      <c r="CP19" s="90" t="n">
        <v>10000</v>
      </c>
      <c r="CQ19" s="13"/>
      <c r="CR19" s="13" t="n">
        <f aca="false">IF('Cash Drivers'!CR$26,Marketing!CQ19,Marketing!CS19)</f>
        <v>10000</v>
      </c>
      <c r="CS19" s="89" t="n">
        <v>10000</v>
      </c>
      <c r="CT19" s="12"/>
      <c r="CU19" s="12" t="n">
        <f aca="false">IF('Cash Drivers'!CU$26,Marketing!CT19,Marketing!CV19)</f>
        <v>10000</v>
      </c>
      <c r="CV19" s="90" t="n">
        <v>10000</v>
      </c>
      <c r="CW19" s="13"/>
      <c r="CX19" s="13" t="n">
        <f aca="false">IF('Cash Drivers'!CX$26,Marketing!CW19,Marketing!CY19)</f>
        <v>10000</v>
      </c>
      <c r="CY19" s="89" t="n">
        <v>10000</v>
      </c>
      <c r="CZ19" s="12"/>
      <c r="DA19" s="12" t="n">
        <f aca="false">IF('Cash Drivers'!DA$26,Marketing!CZ19,Marketing!DB19)</f>
        <v>10000</v>
      </c>
      <c r="DB19" s="90" t="n">
        <v>10000</v>
      </c>
      <c r="DC19" s="13"/>
      <c r="DD19" s="13" t="n">
        <f aca="false">IF('Cash Drivers'!DD$26,Marketing!DC19,Marketing!DE19)</f>
        <v>10000</v>
      </c>
      <c r="DE19" s="89" t="n">
        <v>10000</v>
      </c>
      <c r="DF19" s="12"/>
      <c r="DG19" s="12" t="n">
        <f aca="false">IF('Cash Drivers'!DG$26,Marketing!DF19,Marketing!DH19)</f>
        <v>10000</v>
      </c>
      <c r="DH19" s="90" t="n">
        <v>10000</v>
      </c>
      <c r="DI19" s="89" t="n">
        <v>10000</v>
      </c>
      <c r="DJ19" s="13" t="n">
        <f aca="false">IF('Cash Drivers'!DJ$26,Marketing!DI19,Marketing!DK19)</f>
        <v>10000</v>
      </c>
      <c r="DK19" s="89" t="n">
        <v>10000</v>
      </c>
      <c r="DL19" s="90" t="n">
        <v>10000</v>
      </c>
      <c r="DM19" s="12" t="n">
        <f aca="false">IF('Cash Drivers'!DM$26,Marketing!DL19,Marketing!DN19)</f>
        <v>10000</v>
      </c>
      <c r="DN19" s="90" t="n">
        <v>10000</v>
      </c>
    </row>
    <row r="20" customFormat="false" ht="15" hidden="false" customHeight="false" outlineLevel="0" collapsed="false">
      <c r="A20" s="5" t="s">
        <v>170</v>
      </c>
      <c r="B20" s="12" t="str">
        <f aca="false">IF(COUNT(AR20,AO20,AL20,AI20,AF20,AC20,Z20,W20,T20,Q20,N20,K20)=0,"",SUM(AR20,AO20,AL20,AI20,AF20,AC20,Z20,W20,T20,Q20,N20,K20))</f>
        <v/>
      </c>
      <c r="C20" s="12" t="n">
        <f aca="false">IF(COUNT(AS20,AP20,AM20,AJ20,AG20,AD20,AA20,X20,U20,R20,O20,L20)=0,"",SUM(AS20,AP20,AM20,AJ20,AG20,AD20,AA20,X20,U20,R20,O20,L20))</f>
        <v>72000</v>
      </c>
      <c r="D20" s="12" t="n">
        <f aca="false">IF(COUNT(AT20,AQ20,AN20,AK20,AH20,AE20,AB20,Y20,V20,S20,P20,M20)=0,"",SUM(AT20,AQ20,AN20,AK20,AH20,AE20,AB20,Y20,V20,S20,P20,M20))</f>
        <v>72000</v>
      </c>
      <c r="E20" s="13" t="str">
        <f aca="false">IF(COUNT(CB20,BY20,BV20,BS20,BP20,BM20,BJ20,BG20,BD20,BA20,AX20,AU20)=0,"",SUM(CB20,BY20,BV20,BS20,BP20,BM20,BJ20,BG20,BD20,BA20,AX20,AU20))</f>
        <v/>
      </c>
      <c r="F20" s="13" t="n">
        <f aca="false">IF(COUNT(CC20,BZ20,BW20,BT20,BQ20,BN20,BK20,BH20,BE20,BB20,AY20,AV20)=0,"",SUM(CC20,BZ20,BW20,BT20,BQ20,BN20,BK20,BH20,BE20,BB20,AY20,AV20))</f>
        <v>72000</v>
      </c>
      <c r="G20" s="13" t="n">
        <f aca="false">IF(COUNT(CD20,CA20,BX20,BU20,BR20,BO20,BL20,BI20,BF20,BC20,AZ20,AW20)=0,"",SUM(CD20,CA20,BX20,BU20,BR20,BO20,BL20,BI20,BF20,BC20,AZ20,AW20))</f>
        <v>72000</v>
      </c>
      <c r="H20" s="12" t="n">
        <f aca="false">IF(COUNT(DL20,DI20,DF20,DC20,CZ20,CW20,CT20,CQ20,CN20,CK20,CH20,CE20)=0,"",SUM(DL20,DI20,DF20,DC20,CZ20,CW20,CT20,CQ20,CN20,CK20,CH20,CE20))</f>
        <v>12000</v>
      </c>
      <c r="I20" s="12" t="n">
        <f aca="false">IF(COUNT(DM20,DJ20,DG20,DD20,DA20,CX20,CU20,CR20,CO20,CL20,CI20,CF20)=0,"",SUM(DM20,DJ20,DG20,DD20,DA20,CX20,CU20,CR20,CO20,CL20,CI20,CF20))</f>
        <v>72000</v>
      </c>
      <c r="J20" s="12" t="n">
        <f aca="false">IF(COUNT(DN20,DK20,DH20,DE20,DB20,CY20,CV20,CS20,CP20,CM20,CJ20,CG20)=0,"",SUM(DN20,DK20,DH20,DE20,DB20,CY20,CV20,CS20,CP20,CM20,CJ20,CG20))</f>
        <v>72000</v>
      </c>
      <c r="K20" s="13"/>
      <c r="L20" s="13" t="n">
        <f aca="false">IF('Cash Drivers'!L$26,Marketing!K20,Marketing!M20)</f>
        <v>6000</v>
      </c>
      <c r="M20" s="89" t="n">
        <v>6000</v>
      </c>
      <c r="N20" s="12"/>
      <c r="O20" s="12" t="n">
        <f aca="false">IF('Cash Drivers'!O$26,Marketing!N20,Marketing!P20)</f>
        <v>6000</v>
      </c>
      <c r="P20" s="90" t="n">
        <v>6000</v>
      </c>
      <c r="Q20" s="13"/>
      <c r="R20" s="13" t="n">
        <f aca="false">IF('Cash Drivers'!R$26,Marketing!Q20,Marketing!S20)</f>
        <v>6000</v>
      </c>
      <c r="S20" s="89" t="n">
        <v>6000</v>
      </c>
      <c r="T20" s="12"/>
      <c r="U20" s="12" t="n">
        <f aca="false">IF('Cash Drivers'!U$26,Marketing!T20,Marketing!V20)</f>
        <v>6000</v>
      </c>
      <c r="V20" s="90" t="n">
        <v>6000</v>
      </c>
      <c r="W20" s="13"/>
      <c r="X20" s="13" t="n">
        <f aca="false">IF('Cash Drivers'!X$26,Marketing!W20,Marketing!Y20)</f>
        <v>6000</v>
      </c>
      <c r="Y20" s="89" t="n">
        <v>6000</v>
      </c>
      <c r="Z20" s="12"/>
      <c r="AA20" s="12" t="n">
        <f aca="false">IF('Cash Drivers'!AA$26,Marketing!Z20,Marketing!AB20)</f>
        <v>6000</v>
      </c>
      <c r="AB20" s="90" t="n">
        <v>6000</v>
      </c>
      <c r="AC20" s="13"/>
      <c r="AD20" s="13" t="n">
        <f aca="false">IF('Cash Drivers'!AD$26,Marketing!AC20,Marketing!AE20)</f>
        <v>6000</v>
      </c>
      <c r="AE20" s="89" t="n">
        <v>6000</v>
      </c>
      <c r="AF20" s="12"/>
      <c r="AG20" s="12" t="n">
        <f aca="false">IF('Cash Drivers'!AG$26,Marketing!AF20,Marketing!AH20)</f>
        <v>6000</v>
      </c>
      <c r="AH20" s="90" t="n">
        <v>6000</v>
      </c>
      <c r="AI20" s="13"/>
      <c r="AJ20" s="13" t="n">
        <f aca="false">IF('Cash Drivers'!AJ$26,Marketing!AI20,Marketing!AK20)</f>
        <v>6000</v>
      </c>
      <c r="AK20" s="89" t="n">
        <v>6000</v>
      </c>
      <c r="AL20" s="12"/>
      <c r="AM20" s="12" t="n">
        <f aca="false">IF('Cash Drivers'!AM$26,Marketing!AL20,Marketing!AN20)</f>
        <v>6000</v>
      </c>
      <c r="AN20" s="90" t="n">
        <v>6000</v>
      </c>
      <c r="AO20" s="13"/>
      <c r="AP20" s="13" t="n">
        <f aca="false">IF('Cash Drivers'!AP$26,Marketing!AO20,Marketing!AQ20)</f>
        <v>6000</v>
      </c>
      <c r="AQ20" s="89" t="n">
        <v>6000</v>
      </c>
      <c r="AR20" s="12"/>
      <c r="AS20" s="12" t="n">
        <f aca="false">IF('Cash Drivers'!AS$26,Marketing!AR20,Marketing!AT20)</f>
        <v>6000</v>
      </c>
      <c r="AT20" s="90" t="n">
        <v>6000</v>
      </c>
      <c r="AU20" s="13"/>
      <c r="AV20" s="13" t="n">
        <f aca="false">IF('Cash Drivers'!AV$26,Marketing!AU20,Marketing!AW20)</f>
        <v>6000</v>
      </c>
      <c r="AW20" s="89" t="n">
        <v>6000</v>
      </c>
      <c r="AX20" s="12"/>
      <c r="AY20" s="12" t="n">
        <f aca="false">IF('Cash Drivers'!AY$26,Marketing!AX20,Marketing!AZ20)</f>
        <v>6000</v>
      </c>
      <c r="AZ20" s="90" t="n">
        <v>6000</v>
      </c>
      <c r="BA20" s="13"/>
      <c r="BB20" s="13" t="n">
        <f aca="false">IF('Cash Drivers'!BB$26,Marketing!BA20,Marketing!BC20)</f>
        <v>6000</v>
      </c>
      <c r="BC20" s="89" t="n">
        <v>6000</v>
      </c>
      <c r="BD20" s="12"/>
      <c r="BE20" s="12" t="n">
        <f aca="false">IF('Cash Drivers'!BE$26,Marketing!BD20,Marketing!BF20)</f>
        <v>6000</v>
      </c>
      <c r="BF20" s="90" t="n">
        <v>6000</v>
      </c>
      <c r="BG20" s="13"/>
      <c r="BH20" s="13" t="n">
        <f aca="false">IF('Cash Drivers'!BH$26,Marketing!BG20,Marketing!BI20)</f>
        <v>6000</v>
      </c>
      <c r="BI20" s="89" t="n">
        <v>6000</v>
      </c>
      <c r="BJ20" s="12"/>
      <c r="BK20" s="12" t="n">
        <f aca="false">IF('Cash Drivers'!BK$26,Marketing!BJ20,Marketing!BL20)</f>
        <v>6000</v>
      </c>
      <c r="BL20" s="90" t="n">
        <v>6000</v>
      </c>
      <c r="BM20" s="13"/>
      <c r="BN20" s="13" t="n">
        <f aca="false">IF('Cash Drivers'!BN$26,Marketing!BM20,Marketing!BO20)</f>
        <v>6000</v>
      </c>
      <c r="BO20" s="89" t="n">
        <v>6000</v>
      </c>
      <c r="BP20" s="12"/>
      <c r="BQ20" s="12" t="n">
        <f aca="false">IF('Cash Drivers'!BQ$26,Marketing!BP20,Marketing!BR20)</f>
        <v>6000</v>
      </c>
      <c r="BR20" s="90" t="n">
        <v>6000</v>
      </c>
      <c r="BS20" s="13"/>
      <c r="BT20" s="13" t="n">
        <f aca="false">IF('Cash Drivers'!BT$26,Marketing!BS20,Marketing!BU20)</f>
        <v>6000</v>
      </c>
      <c r="BU20" s="89" t="n">
        <v>6000</v>
      </c>
      <c r="BV20" s="12"/>
      <c r="BW20" s="12" t="n">
        <f aca="false">IF('Cash Drivers'!BW$26,Marketing!BV20,Marketing!BX20)</f>
        <v>6000</v>
      </c>
      <c r="BX20" s="90" t="n">
        <v>6000</v>
      </c>
      <c r="BY20" s="13"/>
      <c r="BZ20" s="13" t="n">
        <f aca="false">IF('Cash Drivers'!BZ$26,Marketing!BY20,Marketing!CA20)</f>
        <v>6000</v>
      </c>
      <c r="CA20" s="89" t="n">
        <v>6000</v>
      </c>
      <c r="CB20" s="12"/>
      <c r="CC20" s="12" t="n">
        <f aca="false">IF('Cash Drivers'!CC$26,Marketing!CB20,Marketing!CD20)</f>
        <v>6000</v>
      </c>
      <c r="CD20" s="90" t="n">
        <v>6000</v>
      </c>
      <c r="CE20" s="13"/>
      <c r="CF20" s="13" t="n">
        <f aca="false">IF('Cash Drivers'!CF$26,Marketing!CE20,Marketing!CG20)</f>
        <v>6000</v>
      </c>
      <c r="CG20" s="89" t="n">
        <v>6000</v>
      </c>
      <c r="CH20" s="12"/>
      <c r="CI20" s="12" t="n">
        <f aca="false">IF('Cash Drivers'!CI$26,Marketing!CH20,Marketing!CJ20)</f>
        <v>6000</v>
      </c>
      <c r="CJ20" s="90" t="n">
        <v>6000</v>
      </c>
      <c r="CK20" s="13"/>
      <c r="CL20" s="13" t="n">
        <f aca="false">IF('Cash Drivers'!CL$26,Marketing!CK20,Marketing!CM20)</f>
        <v>6000</v>
      </c>
      <c r="CM20" s="89" t="n">
        <v>6000</v>
      </c>
      <c r="CN20" s="12"/>
      <c r="CO20" s="12" t="n">
        <f aca="false">IF('Cash Drivers'!CO$26,Marketing!CN20,Marketing!CP20)</f>
        <v>6000</v>
      </c>
      <c r="CP20" s="90" t="n">
        <v>6000</v>
      </c>
      <c r="CQ20" s="13"/>
      <c r="CR20" s="13" t="n">
        <f aca="false">IF('Cash Drivers'!CR$26,Marketing!CQ20,Marketing!CS20)</f>
        <v>6000</v>
      </c>
      <c r="CS20" s="89" t="n">
        <v>6000</v>
      </c>
      <c r="CT20" s="12"/>
      <c r="CU20" s="12" t="n">
        <f aca="false">IF('Cash Drivers'!CU$26,Marketing!CT20,Marketing!CV20)</f>
        <v>6000</v>
      </c>
      <c r="CV20" s="90" t="n">
        <v>6000</v>
      </c>
      <c r="CW20" s="13"/>
      <c r="CX20" s="13" t="n">
        <f aca="false">IF('Cash Drivers'!CX$26,Marketing!CW20,Marketing!CY20)</f>
        <v>6000</v>
      </c>
      <c r="CY20" s="89" t="n">
        <v>6000</v>
      </c>
      <c r="CZ20" s="12"/>
      <c r="DA20" s="12" t="n">
        <f aca="false">IF('Cash Drivers'!DA$26,Marketing!CZ20,Marketing!DB20)</f>
        <v>6000</v>
      </c>
      <c r="DB20" s="90" t="n">
        <v>6000</v>
      </c>
      <c r="DC20" s="13"/>
      <c r="DD20" s="13" t="n">
        <f aca="false">IF('Cash Drivers'!DD$26,Marketing!DC20,Marketing!DE20)</f>
        <v>6000</v>
      </c>
      <c r="DE20" s="89" t="n">
        <v>6000</v>
      </c>
      <c r="DF20" s="12"/>
      <c r="DG20" s="12" t="n">
        <f aca="false">IF('Cash Drivers'!DG$26,Marketing!DF20,Marketing!DH20)</f>
        <v>6000</v>
      </c>
      <c r="DH20" s="90" t="n">
        <v>6000</v>
      </c>
      <c r="DI20" s="89" t="n">
        <v>6000</v>
      </c>
      <c r="DJ20" s="13" t="n">
        <f aca="false">IF('Cash Drivers'!DJ$26,Marketing!DI20,Marketing!DK20)</f>
        <v>6000</v>
      </c>
      <c r="DK20" s="89" t="n">
        <v>6000</v>
      </c>
      <c r="DL20" s="90" t="n">
        <v>6000</v>
      </c>
      <c r="DM20" s="12" t="n">
        <f aca="false">IF('Cash Drivers'!DM$26,Marketing!DL20,Marketing!DN20)</f>
        <v>6000</v>
      </c>
      <c r="DN20" s="90" t="n">
        <v>6000</v>
      </c>
    </row>
    <row r="21" customFormat="false" ht="15.75" hidden="false" customHeight="true" outlineLevel="0" collapsed="false">
      <c r="A21" s="5" t="s">
        <v>171</v>
      </c>
      <c r="B21" s="12" t="str">
        <f aca="false">IF(COUNT(AR21,AO21,AL21,AI21,AF21,AC21,Z21,W21,T21,Q21,N21,K21)=0,"",SUM(AR21,AO21,AL21,AI21,AF21,AC21,Z21,W21,T21,Q21,N21,K21))</f>
        <v/>
      </c>
      <c r="C21" s="12" t="n">
        <f aca="false">IF(COUNT(AS21,AP21,AM21,AJ21,AG21,AD21,AA21,X21,U21,R21,O21,L21)=0,"",SUM(AS21,AP21,AM21,AJ21,AG21,AD21,AA21,X21,U21,R21,O21,L21))</f>
        <v>168000</v>
      </c>
      <c r="D21" s="12" t="n">
        <f aca="false">IF(COUNT(AT21,AQ21,AN21,AK21,AH21,AE21,AB21,Y21,V21,S21,P21,M21)=0,"",SUM(AT21,AQ21,AN21,AK21,AH21,AE21,AB21,Y21,V21,S21,P21,M21))</f>
        <v>168000</v>
      </c>
      <c r="E21" s="13" t="str">
        <f aca="false">IF(COUNT(CB21,BY21,BV21,BS21,BP21,BM21,BJ21,BG21,BD21,BA21,AX21,AU21)=0,"",SUM(CB21,BY21,BV21,BS21,BP21,BM21,BJ21,BG21,BD21,BA21,AX21,AU21))</f>
        <v/>
      </c>
      <c r="F21" s="13" t="n">
        <f aca="false">IF(COUNT(CC21,BZ21,BW21,BT21,BQ21,BN21,BK21,BH21,BE21,BB21,AY21,AV21)=0,"",SUM(CC21,BZ21,BW21,BT21,BQ21,BN21,BK21,BH21,BE21,BB21,AY21,AV21))</f>
        <v>168000</v>
      </c>
      <c r="G21" s="13" t="n">
        <f aca="false">IF(COUNT(CD21,CA21,BX21,BU21,BR21,BO21,BL21,BI21,BF21,BC21,AZ21,AW21)=0,"",SUM(CD21,CA21,BX21,BU21,BR21,BO21,BL21,BI21,BF21,BC21,AZ21,AW21))</f>
        <v>168000</v>
      </c>
      <c r="H21" s="12" t="n">
        <f aca="false">IF(COUNT(DL21,DI21,DF21,DC21,CZ21,CW21,CT21,CQ21,CN21,CK21,CH21,CE21)=0,"",SUM(DL21,DI21,DF21,DC21,CZ21,CW21,CT21,CQ21,CN21,CK21,CH21,CE21))</f>
        <v>28000</v>
      </c>
      <c r="I21" s="12" t="n">
        <f aca="false">IF(COUNT(DM21,DJ21,DG21,DD21,DA21,CX21,CU21,CR21,CO21,CL21,CI21,CF21)=0,"",SUM(DM21,DJ21,DG21,DD21,DA21,CX21,CU21,CR21,CO21,CL21,CI21,CF21))</f>
        <v>168000</v>
      </c>
      <c r="J21" s="12" t="n">
        <f aca="false">IF(COUNT(DN21,DK21,DH21,DE21,DB21,CY21,CV21,CS21,CP21,CM21,CJ21,CG21)=0,"",SUM(DN21,DK21,DH21,DE21,DB21,CY21,CV21,CS21,CP21,CM21,CJ21,CG21))</f>
        <v>168000</v>
      </c>
      <c r="K21" s="13"/>
      <c r="L21" s="13" t="n">
        <f aca="false">IF('Cash Drivers'!L$26,Marketing!K21,Marketing!M21)</f>
        <v>14000</v>
      </c>
      <c r="M21" s="89" t="n">
        <v>14000</v>
      </c>
      <c r="N21" s="12"/>
      <c r="O21" s="12" t="n">
        <f aca="false">IF('Cash Drivers'!O$26,Marketing!N21,Marketing!P21)</f>
        <v>14000</v>
      </c>
      <c r="P21" s="90" t="n">
        <v>14000</v>
      </c>
      <c r="Q21" s="13"/>
      <c r="R21" s="13" t="n">
        <f aca="false">IF('Cash Drivers'!R$26,Marketing!Q21,Marketing!S21)</f>
        <v>14000</v>
      </c>
      <c r="S21" s="89" t="n">
        <v>14000</v>
      </c>
      <c r="T21" s="12"/>
      <c r="U21" s="12" t="n">
        <f aca="false">IF('Cash Drivers'!U$26,Marketing!T21,Marketing!V21)</f>
        <v>14000</v>
      </c>
      <c r="V21" s="90" t="n">
        <v>14000</v>
      </c>
      <c r="W21" s="13"/>
      <c r="X21" s="13" t="n">
        <f aca="false">IF('Cash Drivers'!X$26,Marketing!W21,Marketing!Y21)</f>
        <v>14000</v>
      </c>
      <c r="Y21" s="89" t="n">
        <v>14000</v>
      </c>
      <c r="Z21" s="12"/>
      <c r="AA21" s="12" t="n">
        <f aca="false">IF('Cash Drivers'!AA$26,Marketing!Z21,Marketing!AB21)</f>
        <v>14000</v>
      </c>
      <c r="AB21" s="90" t="n">
        <v>14000</v>
      </c>
      <c r="AC21" s="13"/>
      <c r="AD21" s="13" t="n">
        <f aca="false">IF('Cash Drivers'!AD$26,Marketing!AC21,Marketing!AE21)</f>
        <v>14000</v>
      </c>
      <c r="AE21" s="89" t="n">
        <v>14000</v>
      </c>
      <c r="AF21" s="12"/>
      <c r="AG21" s="12" t="n">
        <f aca="false">IF('Cash Drivers'!AG$26,Marketing!AF21,Marketing!AH21)</f>
        <v>14000</v>
      </c>
      <c r="AH21" s="90" t="n">
        <v>14000</v>
      </c>
      <c r="AI21" s="13"/>
      <c r="AJ21" s="13" t="n">
        <f aca="false">IF('Cash Drivers'!AJ$26,Marketing!AI21,Marketing!AK21)</f>
        <v>14000</v>
      </c>
      <c r="AK21" s="89" t="n">
        <v>14000</v>
      </c>
      <c r="AL21" s="12"/>
      <c r="AM21" s="12" t="n">
        <f aca="false">IF('Cash Drivers'!AM$26,Marketing!AL21,Marketing!AN21)</f>
        <v>14000</v>
      </c>
      <c r="AN21" s="90" t="n">
        <v>14000</v>
      </c>
      <c r="AO21" s="13"/>
      <c r="AP21" s="13" t="n">
        <f aca="false">IF('Cash Drivers'!AP$26,Marketing!AO21,Marketing!AQ21)</f>
        <v>14000</v>
      </c>
      <c r="AQ21" s="89" t="n">
        <v>14000</v>
      </c>
      <c r="AR21" s="12"/>
      <c r="AS21" s="12" t="n">
        <f aca="false">IF('Cash Drivers'!AS$26,Marketing!AR21,Marketing!AT21)</f>
        <v>14000</v>
      </c>
      <c r="AT21" s="90" t="n">
        <v>14000</v>
      </c>
      <c r="AU21" s="13"/>
      <c r="AV21" s="13" t="n">
        <f aca="false">IF('Cash Drivers'!AV$26,Marketing!AU21,Marketing!AW21)</f>
        <v>14000</v>
      </c>
      <c r="AW21" s="89" t="n">
        <v>14000</v>
      </c>
      <c r="AX21" s="12"/>
      <c r="AY21" s="12" t="n">
        <f aca="false">IF('Cash Drivers'!AY$26,Marketing!AX21,Marketing!AZ21)</f>
        <v>14000</v>
      </c>
      <c r="AZ21" s="90" t="n">
        <v>14000</v>
      </c>
      <c r="BA21" s="13"/>
      <c r="BB21" s="13" t="n">
        <f aca="false">IF('Cash Drivers'!BB$26,Marketing!BA21,Marketing!BC21)</f>
        <v>14000</v>
      </c>
      <c r="BC21" s="89" t="n">
        <v>14000</v>
      </c>
      <c r="BD21" s="12"/>
      <c r="BE21" s="12" t="n">
        <f aca="false">IF('Cash Drivers'!BE$26,Marketing!BD21,Marketing!BF21)</f>
        <v>14000</v>
      </c>
      <c r="BF21" s="90" t="n">
        <v>14000</v>
      </c>
      <c r="BG21" s="13"/>
      <c r="BH21" s="13" t="n">
        <f aca="false">IF('Cash Drivers'!BH$26,Marketing!BG21,Marketing!BI21)</f>
        <v>14000</v>
      </c>
      <c r="BI21" s="89" t="n">
        <v>14000</v>
      </c>
      <c r="BJ21" s="12"/>
      <c r="BK21" s="12" t="n">
        <f aca="false">IF('Cash Drivers'!BK$26,Marketing!BJ21,Marketing!BL21)</f>
        <v>14000</v>
      </c>
      <c r="BL21" s="90" t="n">
        <v>14000</v>
      </c>
      <c r="BM21" s="13"/>
      <c r="BN21" s="13" t="n">
        <f aca="false">IF('Cash Drivers'!BN$26,Marketing!BM21,Marketing!BO21)</f>
        <v>14000</v>
      </c>
      <c r="BO21" s="89" t="n">
        <v>14000</v>
      </c>
      <c r="BP21" s="12"/>
      <c r="BQ21" s="12" t="n">
        <f aca="false">IF('Cash Drivers'!BQ$26,Marketing!BP21,Marketing!BR21)</f>
        <v>14000</v>
      </c>
      <c r="BR21" s="90" t="n">
        <v>14000</v>
      </c>
      <c r="BS21" s="13"/>
      <c r="BT21" s="13" t="n">
        <f aca="false">IF('Cash Drivers'!BT$26,Marketing!BS21,Marketing!BU21)</f>
        <v>14000</v>
      </c>
      <c r="BU21" s="89" t="n">
        <v>14000</v>
      </c>
      <c r="BV21" s="12"/>
      <c r="BW21" s="12" t="n">
        <f aca="false">IF('Cash Drivers'!BW$26,Marketing!BV21,Marketing!BX21)</f>
        <v>14000</v>
      </c>
      <c r="BX21" s="90" t="n">
        <v>14000</v>
      </c>
      <c r="BY21" s="13"/>
      <c r="BZ21" s="13" t="n">
        <f aca="false">IF('Cash Drivers'!BZ$26,Marketing!BY21,Marketing!CA21)</f>
        <v>14000</v>
      </c>
      <c r="CA21" s="89" t="n">
        <v>14000</v>
      </c>
      <c r="CB21" s="12"/>
      <c r="CC21" s="12" t="n">
        <f aca="false">IF('Cash Drivers'!CC$26,Marketing!CB21,Marketing!CD21)</f>
        <v>14000</v>
      </c>
      <c r="CD21" s="90" t="n">
        <v>14000</v>
      </c>
      <c r="CE21" s="13"/>
      <c r="CF21" s="13" t="n">
        <f aca="false">IF('Cash Drivers'!CF$26,Marketing!CE21,Marketing!CG21)</f>
        <v>14000</v>
      </c>
      <c r="CG21" s="89" t="n">
        <v>14000</v>
      </c>
      <c r="CH21" s="12"/>
      <c r="CI21" s="12" t="n">
        <f aca="false">IF('Cash Drivers'!CI$26,Marketing!CH21,Marketing!CJ21)</f>
        <v>14000</v>
      </c>
      <c r="CJ21" s="90" t="n">
        <v>14000</v>
      </c>
      <c r="CK21" s="13"/>
      <c r="CL21" s="13" t="n">
        <f aca="false">IF('Cash Drivers'!CL$26,Marketing!CK21,Marketing!CM21)</f>
        <v>14000</v>
      </c>
      <c r="CM21" s="89" t="n">
        <v>14000</v>
      </c>
      <c r="CN21" s="12"/>
      <c r="CO21" s="12" t="n">
        <f aca="false">IF('Cash Drivers'!CO$26,Marketing!CN21,Marketing!CP21)</f>
        <v>14000</v>
      </c>
      <c r="CP21" s="90" t="n">
        <v>14000</v>
      </c>
      <c r="CQ21" s="13"/>
      <c r="CR21" s="13" t="n">
        <f aca="false">IF('Cash Drivers'!CR$26,Marketing!CQ21,Marketing!CS21)</f>
        <v>14000</v>
      </c>
      <c r="CS21" s="89" t="n">
        <v>14000</v>
      </c>
      <c r="CT21" s="12"/>
      <c r="CU21" s="12" t="n">
        <f aca="false">IF('Cash Drivers'!CU$26,Marketing!CT21,Marketing!CV21)</f>
        <v>14000</v>
      </c>
      <c r="CV21" s="90" t="n">
        <v>14000</v>
      </c>
      <c r="CW21" s="13"/>
      <c r="CX21" s="13" t="n">
        <f aca="false">IF('Cash Drivers'!CX$26,Marketing!CW21,Marketing!CY21)</f>
        <v>14000</v>
      </c>
      <c r="CY21" s="89" t="n">
        <v>14000</v>
      </c>
      <c r="CZ21" s="12"/>
      <c r="DA21" s="12" t="n">
        <f aca="false">IF('Cash Drivers'!DA$26,Marketing!CZ21,Marketing!DB21)</f>
        <v>14000</v>
      </c>
      <c r="DB21" s="90" t="n">
        <v>14000</v>
      </c>
      <c r="DC21" s="13"/>
      <c r="DD21" s="13" t="n">
        <f aca="false">IF('Cash Drivers'!DD$26,Marketing!DC21,Marketing!DE21)</f>
        <v>14000</v>
      </c>
      <c r="DE21" s="89" t="n">
        <v>14000</v>
      </c>
      <c r="DF21" s="12"/>
      <c r="DG21" s="12" t="n">
        <f aca="false">IF('Cash Drivers'!DG$26,Marketing!DF21,Marketing!DH21)</f>
        <v>14000</v>
      </c>
      <c r="DH21" s="90" t="n">
        <v>14000</v>
      </c>
      <c r="DI21" s="89" t="n">
        <v>14000</v>
      </c>
      <c r="DJ21" s="13" t="n">
        <f aca="false">IF('Cash Drivers'!DJ$26,Marketing!DI21,Marketing!DK21)</f>
        <v>14000</v>
      </c>
      <c r="DK21" s="89" t="n">
        <v>14000</v>
      </c>
      <c r="DL21" s="90" t="n">
        <v>14000</v>
      </c>
      <c r="DM21" s="12" t="n">
        <f aca="false">IF('Cash Drivers'!DM$26,Marketing!DL21,Marketing!DN21)</f>
        <v>14000</v>
      </c>
      <c r="DN21" s="90" t="n">
        <v>14000</v>
      </c>
    </row>
    <row r="22" customFormat="false" ht="15.75" hidden="false" customHeight="true" outlineLevel="0" collapsed="false">
      <c r="A22" s="5" t="s">
        <v>172</v>
      </c>
      <c r="B22" s="12" t="str">
        <f aca="false">IF(COUNT(AR22,AO22,AL22,AI22,AF22,AC22,Z22,W22,T22,Q22,N22,K22)=0,"",SUM(AR22,AO22,AL22,AI22,AF22,AC22,Z22,W22,T22,Q22,N22,K22))</f>
        <v/>
      </c>
      <c r="C22" s="12" t="n">
        <f aca="false">IF(COUNT(AS22,AP22,AM22,AJ22,AG22,AD22,AA22,X22,U22,R22,O22,L22)=0,"",SUM(AS22,AP22,AM22,AJ22,AG22,AD22,AA22,X22,U22,R22,O22,L22))</f>
        <v>36000</v>
      </c>
      <c r="D22" s="12" t="n">
        <f aca="false">IF(COUNT(AT22,AQ22,AN22,AK22,AH22,AE22,AB22,Y22,V22,S22,P22,M22)=0,"",SUM(AT22,AQ22,AN22,AK22,AH22,AE22,AB22,Y22,V22,S22,P22,M22))</f>
        <v>36000</v>
      </c>
      <c r="E22" s="13" t="str">
        <f aca="false">IF(COUNT(CB22,BY22,BV22,BS22,BP22,BM22,BJ22,BG22,BD22,BA22,AX22,AU22)=0,"",SUM(CB22,BY22,BV22,BS22,BP22,BM22,BJ22,BG22,BD22,BA22,AX22,AU22))</f>
        <v/>
      </c>
      <c r="F22" s="13" t="n">
        <f aca="false">IF(COUNT(CC22,BZ22,BW22,BT22,BQ22,BN22,BK22,BH22,BE22,BB22,AY22,AV22)=0,"",SUM(CC22,BZ22,BW22,BT22,BQ22,BN22,BK22,BH22,BE22,BB22,AY22,AV22))</f>
        <v>36000</v>
      </c>
      <c r="G22" s="13" t="n">
        <f aca="false">IF(COUNT(CD22,CA22,BX22,BU22,BR22,BO22,BL22,BI22,BF22,BC22,AZ22,AW22)=0,"",SUM(CD22,CA22,BX22,BU22,BR22,BO22,BL22,BI22,BF22,BC22,AZ22,AW22))</f>
        <v>36000</v>
      </c>
      <c r="H22" s="12" t="n">
        <f aca="false">IF(COUNT(DL22,DI22,DF22,DC22,CZ22,CW22,CT22,CQ22,CN22,CK22,CH22,CE22)=0,"",SUM(DL22,DI22,DF22,DC22,CZ22,CW22,CT22,CQ22,CN22,CK22,CH22,CE22))</f>
        <v>6000</v>
      </c>
      <c r="I22" s="12" t="n">
        <f aca="false">IF(COUNT(DM22,DJ22,DG22,DD22,DA22,CX22,CU22,CR22,CO22,CL22,CI22,CF22)=0,"",SUM(DM22,DJ22,DG22,DD22,DA22,CX22,CU22,CR22,CO22,CL22,CI22,CF22))</f>
        <v>36000</v>
      </c>
      <c r="J22" s="12" t="n">
        <f aca="false">IF(COUNT(DN22,DK22,DH22,DE22,DB22,CY22,CV22,CS22,CP22,CM22,CJ22,CG22)=0,"",SUM(DN22,DK22,DH22,DE22,DB22,CY22,CV22,CS22,CP22,CM22,CJ22,CG22))</f>
        <v>36000</v>
      </c>
      <c r="K22" s="13"/>
      <c r="L22" s="13" t="n">
        <f aca="false">IF('Cash Drivers'!L$26,Marketing!K22,Marketing!M22)</f>
        <v>3000</v>
      </c>
      <c r="M22" s="89" t="n">
        <v>3000</v>
      </c>
      <c r="N22" s="12"/>
      <c r="O22" s="12" t="n">
        <f aca="false">IF('Cash Drivers'!O$26,Marketing!N22,Marketing!P22)</f>
        <v>3000</v>
      </c>
      <c r="P22" s="90" t="n">
        <v>3000</v>
      </c>
      <c r="Q22" s="13"/>
      <c r="R22" s="13" t="n">
        <f aca="false">IF('Cash Drivers'!R$26,Marketing!Q22,Marketing!S22)</f>
        <v>3000</v>
      </c>
      <c r="S22" s="89" t="n">
        <v>3000</v>
      </c>
      <c r="T22" s="12"/>
      <c r="U22" s="12" t="n">
        <f aca="false">IF('Cash Drivers'!U$26,Marketing!T22,Marketing!V22)</f>
        <v>3000</v>
      </c>
      <c r="V22" s="90" t="n">
        <v>3000</v>
      </c>
      <c r="W22" s="13"/>
      <c r="X22" s="13" t="n">
        <f aca="false">IF('Cash Drivers'!X$26,Marketing!W22,Marketing!Y22)</f>
        <v>3000</v>
      </c>
      <c r="Y22" s="89" t="n">
        <v>3000</v>
      </c>
      <c r="Z22" s="12"/>
      <c r="AA22" s="12" t="n">
        <f aca="false">IF('Cash Drivers'!AA$26,Marketing!Z22,Marketing!AB22)</f>
        <v>3000</v>
      </c>
      <c r="AB22" s="90" t="n">
        <v>3000</v>
      </c>
      <c r="AC22" s="13"/>
      <c r="AD22" s="13" t="n">
        <f aca="false">IF('Cash Drivers'!AD$26,Marketing!AC22,Marketing!AE22)</f>
        <v>3000</v>
      </c>
      <c r="AE22" s="89" t="n">
        <v>3000</v>
      </c>
      <c r="AF22" s="12"/>
      <c r="AG22" s="12" t="n">
        <f aca="false">IF('Cash Drivers'!AG$26,Marketing!AF22,Marketing!AH22)</f>
        <v>3000</v>
      </c>
      <c r="AH22" s="90" t="n">
        <v>3000</v>
      </c>
      <c r="AI22" s="13"/>
      <c r="AJ22" s="13" t="n">
        <f aca="false">IF('Cash Drivers'!AJ$26,Marketing!AI22,Marketing!AK22)</f>
        <v>3000</v>
      </c>
      <c r="AK22" s="89" t="n">
        <v>3000</v>
      </c>
      <c r="AL22" s="12"/>
      <c r="AM22" s="12" t="n">
        <f aca="false">IF('Cash Drivers'!AM$26,Marketing!AL22,Marketing!AN22)</f>
        <v>3000</v>
      </c>
      <c r="AN22" s="90" t="n">
        <v>3000</v>
      </c>
      <c r="AO22" s="13"/>
      <c r="AP22" s="13" t="n">
        <f aca="false">IF('Cash Drivers'!AP$26,Marketing!AO22,Marketing!AQ22)</f>
        <v>3000</v>
      </c>
      <c r="AQ22" s="89" t="n">
        <v>3000</v>
      </c>
      <c r="AR22" s="12"/>
      <c r="AS22" s="12" t="n">
        <f aca="false">IF('Cash Drivers'!AS$26,Marketing!AR22,Marketing!AT22)</f>
        <v>3000</v>
      </c>
      <c r="AT22" s="90" t="n">
        <v>3000</v>
      </c>
      <c r="AU22" s="13"/>
      <c r="AV22" s="13" t="n">
        <f aca="false">IF('Cash Drivers'!AV$26,Marketing!AU22,Marketing!AW22)</f>
        <v>3000</v>
      </c>
      <c r="AW22" s="89" t="n">
        <v>3000</v>
      </c>
      <c r="AX22" s="12"/>
      <c r="AY22" s="12" t="n">
        <f aca="false">IF('Cash Drivers'!AY$26,Marketing!AX22,Marketing!AZ22)</f>
        <v>3000</v>
      </c>
      <c r="AZ22" s="90" t="n">
        <v>3000</v>
      </c>
      <c r="BA22" s="13"/>
      <c r="BB22" s="13" t="n">
        <f aca="false">IF('Cash Drivers'!BB$26,Marketing!BA22,Marketing!BC22)</f>
        <v>3000</v>
      </c>
      <c r="BC22" s="89" t="n">
        <v>3000</v>
      </c>
      <c r="BD22" s="12"/>
      <c r="BE22" s="12" t="n">
        <f aca="false">IF('Cash Drivers'!BE$26,Marketing!BD22,Marketing!BF22)</f>
        <v>3000</v>
      </c>
      <c r="BF22" s="90" t="n">
        <v>3000</v>
      </c>
      <c r="BG22" s="13"/>
      <c r="BH22" s="13" t="n">
        <f aca="false">IF('Cash Drivers'!BH$26,Marketing!BG22,Marketing!BI22)</f>
        <v>3000</v>
      </c>
      <c r="BI22" s="89" t="n">
        <v>3000</v>
      </c>
      <c r="BJ22" s="12"/>
      <c r="BK22" s="12" t="n">
        <f aca="false">IF('Cash Drivers'!BK$26,Marketing!BJ22,Marketing!BL22)</f>
        <v>3000</v>
      </c>
      <c r="BL22" s="90" t="n">
        <v>3000</v>
      </c>
      <c r="BM22" s="13"/>
      <c r="BN22" s="13" t="n">
        <f aca="false">IF('Cash Drivers'!BN$26,Marketing!BM22,Marketing!BO22)</f>
        <v>3000</v>
      </c>
      <c r="BO22" s="89" t="n">
        <v>3000</v>
      </c>
      <c r="BP22" s="12"/>
      <c r="BQ22" s="12" t="n">
        <f aca="false">IF('Cash Drivers'!BQ$26,Marketing!BP22,Marketing!BR22)</f>
        <v>3000</v>
      </c>
      <c r="BR22" s="90" t="n">
        <v>3000</v>
      </c>
      <c r="BS22" s="13"/>
      <c r="BT22" s="13" t="n">
        <f aca="false">IF('Cash Drivers'!BT$26,Marketing!BS22,Marketing!BU22)</f>
        <v>3000</v>
      </c>
      <c r="BU22" s="89" t="n">
        <v>3000</v>
      </c>
      <c r="BV22" s="12"/>
      <c r="BW22" s="12" t="n">
        <f aca="false">IF('Cash Drivers'!BW$26,Marketing!BV22,Marketing!BX22)</f>
        <v>3000</v>
      </c>
      <c r="BX22" s="90" t="n">
        <v>3000</v>
      </c>
      <c r="BY22" s="13"/>
      <c r="BZ22" s="13" t="n">
        <f aca="false">IF('Cash Drivers'!BZ$26,Marketing!BY22,Marketing!CA22)</f>
        <v>3000</v>
      </c>
      <c r="CA22" s="89" t="n">
        <v>3000</v>
      </c>
      <c r="CB22" s="12"/>
      <c r="CC22" s="12" t="n">
        <f aca="false">IF('Cash Drivers'!CC$26,Marketing!CB22,Marketing!CD22)</f>
        <v>3000</v>
      </c>
      <c r="CD22" s="90" t="n">
        <v>3000</v>
      </c>
      <c r="CE22" s="13"/>
      <c r="CF22" s="13" t="n">
        <f aca="false">IF('Cash Drivers'!CF$26,Marketing!CE22,Marketing!CG22)</f>
        <v>3000</v>
      </c>
      <c r="CG22" s="89" t="n">
        <v>3000</v>
      </c>
      <c r="CH22" s="12"/>
      <c r="CI22" s="12" t="n">
        <f aca="false">IF('Cash Drivers'!CI$26,Marketing!CH22,Marketing!CJ22)</f>
        <v>3000</v>
      </c>
      <c r="CJ22" s="90" t="n">
        <v>3000</v>
      </c>
      <c r="CK22" s="13"/>
      <c r="CL22" s="13" t="n">
        <f aca="false">IF('Cash Drivers'!CL$26,Marketing!CK22,Marketing!CM22)</f>
        <v>3000</v>
      </c>
      <c r="CM22" s="89" t="n">
        <v>3000</v>
      </c>
      <c r="CN22" s="12"/>
      <c r="CO22" s="12" t="n">
        <f aca="false">IF('Cash Drivers'!CO$26,Marketing!CN22,Marketing!CP22)</f>
        <v>3000</v>
      </c>
      <c r="CP22" s="90" t="n">
        <v>3000</v>
      </c>
      <c r="CQ22" s="13"/>
      <c r="CR22" s="13" t="n">
        <f aca="false">IF('Cash Drivers'!CR$26,Marketing!CQ22,Marketing!CS22)</f>
        <v>3000</v>
      </c>
      <c r="CS22" s="89" t="n">
        <v>3000</v>
      </c>
      <c r="CT22" s="12"/>
      <c r="CU22" s="12" t="n">
        <f aca="false">IF('Cash Drivers'!CU$26,Marketing!CT22,Marketing!CV22)</f>
        <v>3000</v>
      </c>
      <c r="CV22" s="90" t="n">
        <v>3000</v>
      </c>
      <c r="CW22" s="13"/>
      <c r="CX22" s="13" t="n">
        <f aca="false">IF('Cash Drivers'!CX$26,Marketing!CW22,Marketing!CY22)</f>
        <v>3000</v>
      </c>
      <c r="CY22" s="89" t="n">
        <v>3000</v>
      </c>
      <c r="CZ22" s="12"/>
      <c r="DA22" s="12" t="n">
        <f aca="false">IF('Cash Drivers'!DA$26,Marketing!CZ22,Marketing!DB22)</f>
        <v>3000</v>
      </c>
      <c r="DB22" s="90" t="n">
        <v>3000</v>
      </c>
      <c r="DC22" s="13"/>
      <c r="DD22" s="13" t="n">
        <f aca="false">IF('Cash Drivers'!DD$26,Marketing!DC22,Marketing!DE22)</f>
        <v>3000</v>
      </c>
      <c r="DE22" s="89" t="n">
        <v>3000</v>
      </c>
      <c r="DF22" s="12"/>
      <c r="DG22" s="12" t="n">
        <f aca="false">IF('Cash Drivers'!DG$26,Marketing!DF22,Marketing!DH22)</f>
        <v>3000</v>
      </c>
      <c r="DH22" s="90" t="n">
        <v>3000</v>
      </c>
      <c r="DI22" s="89" t="n">
        <v>3000</v>
      </c>
      <c r="DJ22" s="13" t="n">
        <f aca="false">IF('Cash Drivers'!DJ$26,Marketing!DI22,Marketing!DK22)</f>
        <v>3000</v>
      </c>
      <c r="DK22" s="89" t="n">
        <v>3000</v>
      </c>
      <c r="DL22" s="90" t="n">
        <v>3000</v>
      </c>
      <c r="DM22" s="12" t="n">
        <f aca="false">IF('Cash Drivers'!DM$26,Marketing!DL22,Marketing!DN22)</f>
        <v>3000</v>
      </c>
      <c r="DN22" s="90" t="n">
        <v>3000</v>
      </c>
    </row>
    <row r="23" customFormat="false" ht="15.75" hidden="false" customHeight="true" outlineLevel="0" collapsed="false">
      <c r="A23" s="5" t="s">
        <v>173</v>
      </c>
      <c r="B23" s="12" t="str">
        <f aca="false">IF(COUNT(AR23,AO23,AL23,AI23,AF23,AC23,Z23,W23,T23,Q23,N23,K23)=0,"",SUM(AR23,AO23,AL23,AI23,AF23,AC23,Z23,W23,T23,Q23,N23,K23))</f>
        <v/>
      </c>
      <c r="C23" s="12" t="n">
        <f aca="false">IF(COUNT(AS23,AP23,AM23,AJ23,AG23,AD23,AA23,X23,U23,R23,O23,L23)=0,"",SUM(AS23,AP23,AM23,AJ23,AG23,AD23,AA23,X23,U23,R23,O23,L23))</f>
        <v>24000</v>
      </c>
      <c r="D23" s="12" t="n">
        <f aca="false">IF(COUNT(AT23,AQ23,AN23,AK23,AH23,AE23,AB23,Y23,V23,S23,P23,M23)=0,"",SUM(AT23,AQ23,AN23,AK23,AH23,AE23,AB23,Y23,V23,S23,P23,M23))</f>
        <v>24000</v>
      </c>
      <c r="E23" s="13" t="str">
        <f aca="false">IF(COUNT(CB23,BY23,BV23,BS23,BP23,BM23,BJ23,BG23,BD23,BA23,AX23,AU23)=0,"",SUM(CB23,BY23,BV23,BS23,BP23,BM23,BJ23,BG23,BD23,BA23,AX23,AU23))</f>
        <v/>
      </c>
      <c r="F23" s="13" t="n">
        <f aca="false">IF(COUNT(CC23,BZ23,BW23,BT23,BQ23,BN23,BK23,BH23,BE23,BB23,AY23,AV23)=0,"",SUM(CC23,BZ23,BW23,BT23,BQ23,BN23,BK23,BH23,BE23,BB23,AY23,AV23))</f>
        <v>24000</v>
      </c>
      <c r="G23" s="13" t="n">
        <f aca="false">IF(COUNT(CD23,CA23,BX23,BU23,BR23,BO23,BL23,BI23,BF23,BC23,AZ23,AW23)=0,"",SUM(CD23,CA23,BX23,BU23,BR23,BO23,BL23,BI23,BF23,BC23,AZ23,AW23))</f>
        <v>24000</v>
      </c>
      <c r="H23" s="12" t="n">
        <f aca="false">IF(COUNT(DL23,DI23,DF23,DC23,CZ23,CW23,CT23,CQ23,CN23,CK23,CH23,CE23)=0,"",SUM(DL23,DI23,DF23,DC23,CZ23,CW23,CT23,CQ23,CN23,CK23,CH23,CE23))</f>
        <v>4000</v>
      </c>
      <c r="I23" s="12" t="n">
        <f aca="false">IF(COUNT(DM23,DJ23,DG23,DD23,DA23,CX23,CU23,CR23,CO23,CL23,CI23,CF23)=0,"",SUM(DM23,DJ23,DG23,DD23,DA23,CX23,CU23,CR23,CO23,CL23,CI23,CF23))</f>
        <v>24000</v>
      </c>
      <c r="J23" s="12" t="n">
        <f aca="false">IF(COUNT(DN23,DK23,DH23,DE23,DB23,CY23,CV23,CS23,CP23,CM23,CJ23,CG23)=0,"",SUM(DN23,DK23,DH23,DE23,DB23,CY23,CV23,CS23,CP23,CM23,CJ23,CG23))</f>
        <v>24000</v>
      </c>
      <c r="K23" s="13"/>
      <c r="L23" s="13" t="n">
        <f aca="false">IF('Cash Drivers'!L$26,Marketing!K23,Marketing!M23)</f>
        <v>2000</v>
      </c>
      <c r="M23" s="89" t="n">
        <v>2000</v>
      </c>
      <c r="N23" s="12"/>
      <c r="O23" s="12" t="n">
        <f aca="false">IF('Cash Drivers'!O$26,Marketing!N23,Marketing!P23)</f>
        <v>2000</v>
      </c>
      <c r="P23" s="90" t="n">
        <v>2000</v>
      </c>
      <c r="Q23" s="13"/>
      <c r="R23" s="13" t="n">
        <f aca="false">IF('Cash Drivers'!R$26,Marketing!Q23,Marketing!S23)</f>
        <v>2000</v>
      </c>
      <c r="S23" s="89" t="n">
        <v>2000</v>
      </c>
      <c r="T23" s="12"/>
      <c r="U23" s="12" t="n">
        <f aca="false">IF('Cash Drivers'!U$26,Marketing!T23,Marketing!V23)</f>
        <v>2000</v>
      </c>
      <c r="V23" s="90" t="n">
        <v>2000</v>
      </c>
      <c r="W23" s="13"/>
      <c r="X23" s="13" t="n">
        <f aca="false">IF('Cash Drivers'!X$26,Marketing!W23,Marketing!Y23)</f>
        <v>2000</v>
      </c>
      <c r="Y23" s="89" t="n">
        <v>2000</v>
      </c>
      <c r="Z23" s="12"/>
      <c r="AA23" s="12" t="n">
        <f aca="false">IF('Cash Drivers'!AA$26,Marketing!Z23,Marketing!AB23)</f>
        <v>2000</v>
      </c>
      <c r="AB23" s="90" t="n">
        <v>2000</v>
      </c>
      <c r="AC23" s="13"/>
      <c r="AD23" s="13" t="n">
        <f aca="false">IF('Cash Drivers'!AD$26,Marketing!AC23,Marketing!AE23)</f>
        <v>2000</v>
      </c>
      <c r="AE23" s="89" t="n">
        <v>2000</v>
      </c>
      <c r="AF23" s="12"/>
      <c r="AG23" s="12" t="n">
        <f aca="false">IF('Cash Drivers'!AG$26,Marketing!AF23,Marketing!AH23)</f>
        <v>2000</v>
      </c>
      <c r="AH23" s="90" t="n">
        <v>2000</v>
      </c>
      <c r="AI23" s="13"/>
      <c r="AJ23" s="13" t="n">
        <f aca="false">IF('Cash Drivers'!AJ$26,Marketing!AI23,Marketing!AK23)</f>
        <v>2000</v>
      </c>
      <c r="AK23" s="89" t="n">
        <v>2000</v>
      </c>
      <c r="AL23" s="12"/>
      <c r="AM23" s="12" t="n">
        <f aca="false">IF('Cash Drivers'!AM$26,Marketing!AL23,Marketing!AN23)</f>
        <v>2000</v>
      </c>
      <c r="AN23" s="90" t="n">
        <v>2000</v>
      </c>
      <c r="AO23" s="13"/>
      <c r="AP23" s="13" t="n">
        <f aca="false">IF('Cash Drivers'!AP$26,Marketing!AO23,Marketing!AQ23)</f>
        <v>2000</v>
      </c>
      <c r="AQ23" s="89" t="n">
        <v>2000</v>
      </c>
      <c r="AR23" s="12"/>
      <c r="AS23" s="12" t="n">
        <f aca="false">IF('Cash Drivers'!AS$26,Marketing!AR23,Marketing!AT23)</f>
        <v>2000</v>
      </c>
      <c r="AT23" s="90" t="n">
        <v>2000</v>
      </c>
      <c r="AU23" s="13"/>
      <c r="AV23" s="13" t="n">
        <f aca="false">IF('Cash Drivers'!AV$26,Marketing!AU23,Marketing!AW23)</f>
        <v>2000</v>
      </c>
      <c r="AW23" s="89" t="n">
        <v>2000</v>
      </c>
      <c r="AX23" s="12"/>
      <c r="AY23" s="12" t="n">
        <f aca="false">IF('Cash Drivers'!AY$26,Marketing!AX23,Marketing!AZ23)</f>
        <v>2000</v>
      </c>
      <c r="AZ23" s="90" t="n">
        <v>2000</v>
      </c>
      <c r="BA23" s="13"/>
      <c r="BB23" s="13" t="n">
        <f aca="false">IF('Cash Drivers'!BB$26,Marketing!BA23,Marketing!BC23)</f>
        <v>2000</v>
      </c>
      <c r="BC23" s="89" t="n">
        <v>2000</v>
      </c>
      <c r="BD23" s="12"/>
      <c r="BE23" s="12" t="n">
        <f aca="false">IF('Cash Drivers'!BE$26,Marketing!BD23,Marketing!BF23)</f>
        <v>2000</v>
      </c>
      <c r="BF23" s="90" t="n">
        <v>2000</v>
      </c>
      <c r="BG23" s="13"/>
      <c r="BH23" s="13" t="n">
        <f aca="false">IF('Cash Drivers'!BH$26,Marketing!BG23,Marketing!BI23)</f>
        <v>2000</v>
      </c>
      <c r="BI23" s="89" t="n">
        <v>2000</v>
      </c>
      <c r="BJ23" s="12"/>
      <c r="BK23" s="12" t="n">
        <f aca="false">IF('Cash Drivers'!BK$26,Marketing!BJ23,Marketing!BL23)</f>
        <v>2000</v>
      </c>
      <c r="BL23" s="90" t="n">
        <v>2000</v>
      </c>
      <c r="BM23" s="13"/>
      <c r="BN23" s="13" t="n">
        <f aca="false">IF('Cash Drivers'!BN$26,Marketing!BM23,Marketing!BO23)</f>
        <v>2000</v>
      </c>
      <c r="BO23" s="89" t="n">
        <v>2000</v>
      </c>
      <c r="BP23" s="12"/>
      <c r="BQ23" s="12" t="n">
        <f aca="false">IF('Cash Drivers'!BQ$26,Marketing!BP23,Marketing!BR23)</f>
        <v>2000</v>
      </c>
      <c r="BR23" s="90" t="n">
        <v>2000</v>
      </c>
      <c r="BS23" s="13"/>
      <c r="BT23" s="13" t="n">
        <f aca="false">IF('Cash Drivers'!BT$26,Marketing!BS23,Marketing!BU23)</f>
        <v>2000</v>
      </c>
      <c r="BU23" s="89" t="n">
        <v>2000</v>
      </c>
      <c r="BV23" s="12"/>
      <c r="BW23" s="12" t="n">
        <f aca="false">IF('Cash Drivers'!BW$26,Marketing!BV23,Marketing!BX23)</f>
        <v>2000</v>
      </c>
      <c r="BX23" s="90" t="n">
        <v>2000</v>
      </c>
      <c r="BY23" s="13"/>
      <c r="BZ23" s="13" t="n">
        <f aca="false">IF('Cash Drivers'!BZ$26,Marketing!BY23,Marketing!CA23)</f>
        <v>2000</v>
      </c>
      <c r="CA23" s="89" t="n">
        <v>2000</v>
      </c>
      <c r="CB23" s="12"/>
      <c r="CC23" s="12" t="n">
        <f aca="false">IF('Cash Drivers'!CC$26,Marketing!CB23,Marketing!CD23)</f>
        <v>2000</v>
      </c>
      <c r="CD23" s="90" t="n">
        <v>2000</v>
      </c>
      <c r="CE23" s="13"/>
      <c r="CF23" s="13" t="n">
        <f aca="false">IF('Cash Drivers'!CF$26,Marketing!CE23,Marketing!CG23)</f>
        <v>2000</v>
      </c>
      <c r="CG23" s="89" t="n">
        <v>2000</v>
      </c>
      <c r="CH23" s="12"/>
      <c r="CI23" s="12" t="n">
        <f aca="false">IF('Cash Drivers'!CI$26,Marketing!CH23,Marketing!CJ23)</f>
        <v>2000</v>
      </c>
      <c r="CJ23" s="90" t="n">
        <v>2000</v>
      </c>
      <c r="CK23" s="13"/>
      <c r="CL23" s="13" t="n">
        <f aca="false">IF('Cash Drivers'!CL$26,Marketing!CK23,Marketing!CM23)</f>
        <v>2000</v>
      </c>
      <c r="CM23" s="89" t="n">
        <v>2000</v>
      </c>
      <c r="CN23" s="12"/>
      <c r="CO23" s="12" t="n">
        <f aca="false">IF('Cash Drivers'!CO$26,Marketing!CN23,Marketing!CP23)</f>
        <v>2000</v>
      </c>
      <c r="CP23" s="90" t="n">
        <v>2000</v>
      </c>
      <c r="CQ23" s="13"/>
      <c r="CR23" s="13" t="n">
        <f aca="false">IF('Cash Drivers'!CR$26,Marketing!CQ23,Marketing!CS23)</f>
        <v>2000</v>
      </c>
      <c r="CS23" s="89" t="n">
        <v>2000</v>
      </c>
      <c r="CT23" s="12"/>
      <c r="CU23" s="12" t="n">
        <f aca="false">IF('Cash Drivers'!CU$26,Marketing!CT23,Marketing!CV23)</f>
        <v>2000</v>
      </c>
      <c r="CV23" s="90" t="n">
        <v>2000</v>
      </c>
      <c r="CW23" s="13"/>
      <c r="CX23" s="13" t="n">
        <f aca="false">IF('Cash Drivers'!CX$26,Marketing!CW23,Marketing!CY23)</f>
        <v>2000</v>
      </c>
      <c r="CY23" s="89" t="n">
        <v>2000</v>
      </c>
      <c r="CZ23" s="12"/>
      <c r="DA23" s="12" t="n">
        <f aca="false">IF('Cash Drivers'!DA$26,Marketing!CZ23,Marketing!DB23)</f>
        <v>2000</v>
      </c>
      <c r="DB23" s="90" t="n">
        <v>2000</v>
      </c>
      <c r="DC23" s="13"/>
      <c r="DD23" s="13" t="n">
        <f aca="false">IF('Cash Drivers'!DD$26,Marketing!DC23,Marketing!DE23)</f>
        <v>2000</v>
      </c>
      <c r="DE23" s="89" t="n">
        <v>2000</v>
      </c>
      <c r="DF23" s="12"/>
      <c r="DG23" s="12" t="n">
        <f aca="false">IF('Cash Drivers'!DG$26,Marketing!DF23,Marketing!DH23)</f>
        <v>2000</v>
      </c>
      <c r="DH23" s="90" t="n">
        <v>2000</v>
      </c>
      <c r="DI23" s="89" t="n">
        <v>2000</v>
      </c>
      <c r="DJ23" s="13" t="n">
        <f aca="false">IF('Cash Drivers'!DJ$26,Marketing!DI23,Marketing!DK23)</f>
        <v>2000</v>
      </c>
      <c r="DK23" s="89" t="n">
        <v>2000</v>
      </c>
      <c r="DL23" s="90" t="n">
        <v>2000</v>
      </c>
      <c r="DM23" s="12" t="n">
        <f aca="false">IF('Cash Drivers'!DM$26,Marketing!DL23,Marketing!DN23)</f>
        <v>2000</v>
      </c>
      <c r="DN23" s="90" t="n">
        <v>2000</v>
      </c>
    </row>
    <row r="24" customFormat="false" ht="15.75" hidden="false" customHeight="true" outlineLevel="0" collapsed="false">
      <c r="A24" s="5" t="s">
        <v>174</v>
      </c>
      <c r="B24" s="12" t="str">
        <f aca="false">IF(COUNT(AR24,AO24,AL24,AI24,AF24,AC24,Z24,W24,T24,Q24,N24,K24)=0,"",SUM(AR24,AO24,AL24,AI24,AF24,AC24,Z24,W24,T24,Q24,N24,K24))</f>
        <v/>
      </c>
      <c r="C24" s="12" t="n">
        <f aca="false">IF(COUNT(AS24,AP24,AM24,AJ24,AG24,AD24,AA24,X24,U24,R24,O24,L24)=0,"",SUM(AS24,AP24,AM24,AJ24,AG24,AD24,AA24,X24,U24,R24,O24,L24))</f>
        <v>36000</v>
      </c>
      <c r="D24" s="12" t="n">
        <f aca="false">IF(COUNT(AT24,AQ24,AN24,AK24,AH24,AE24,AB24,Y24,V24,S24,P24,M24)=0,"",SUM(AT24,AQ24,AN24,AK24,AH24,AE24,AB24,Y24,V24,S24,P24,M24))</f>
        <v>36000</v>
      </c>
      <c r="E24" s="13" t="str">
        <f aca="false">IF(COUNT(CB24,BY24,BV24,BS24,BP24,BM24,BJ24,BG24,BD24,BA24,AX24,AU24)=0,"",SUM(CB24,BY24,BV24,BS24,BP24,BM24,BJ24,BG24,BD24,BA24,AX24,AU24))</f>
        <v/>
      </c>
      <c r="F24" s="13" t="n">
        <f aca="false">IF(COUNT(CC24,BZ24,BW24,BT24,BQ24,BN24,BK24,BH24,BE24,BB24,AY24,AV24)=0,"",SUM(CC24,BZ24,BW24,BT24,BQ24,BN24,BK24,BH24,BE24,BB24,AY24,AV24))</f>
        <v>36000</v>
      </c>
      <c r="G24" s="13" t="n">
        <f aca="false">IF(COUNT(CD24,CA24,BX24,BU24,BR24,BO24,BL24,BI24,BF24,BC24,AZ24,AW24)=0,"",SUM(CD24,CA24,BX24,BU24,BR24,BO24,BL24,BI24,BF24,BC24,AZ24,AW24))</f>
        <v>36000</v>
      </c>
      <c r="H24" s="12" t="n">
        <f aca="false">IF(COUNT(DL24,DI24,DF24,DC24,CZ24,CW24,CT24,CQ24,CN24,CK24,CH24,CE24)=0,"",SUM(DL24,DI24,DF24,DC24,CZ24,CW24,CT24,CQ24,CN24,CK24,CH24,CE24))</f>
        <v>6000</v>
      </c>
      <c r="I24" s="12" t="n">
        <f aca="false">IF(COUNT(DM24,DJ24,DG24,DD24,DA24,CX24,CU24,CR24,CO24,CL24,CI24,CF24)=0,"",SUM(DM24,DJ24,DG24,DD24,DA24,CX24,CU24,CR24,CO24,CL24,CI24,CF24))</f>
        <v>36000</v>
      </c>
      <c r="J24" s="12" t="n">
        <f aca="false">IF(COUNT(DN24,DK24,DH24,DE24,DB24,CY24,CV24,CS24,CP24,CM24,CJ24,CG24)=0,"",SUM(DN24,DK24,DH24,DE24,DB24,CY24,CV24,CS24,CP24,CM24,CJ24,CG24))</f>
        <v>36000</v>
      </c>
      <c r="K24" s="13"/>
      <c r="L24" s="13" t="n">
        <f aca="false">IF('Cash Drivers'!L$26,Marketing!K24,Marketing!M24)</f>
        <v>3000</v>
      </c>
      <c r="M24" s="89" t="n">
        <v>3000</v>
      </c>
      <c r="N24" s="12"/>
      <c r="O24" s="12" t="n">
        <f aca="false">IF('Cash Drivers'!O$26,Marketing!N24,Marketing!P24)</f>
        <v>3000</v>
      </c>
      <c r="P24" s="90" t="n">
        <v>3000</v>
      </c>
      <c r="Q24" s="13"/>
      <c r="R24" s="13" t="n">
        <f aca="false">IF('Cash Drivers'!R$26,Marketing!Q24,Marketing!S24)</f>
        <v>3000</v>
      </c>
      <c r="S24" s="89" t="n">
        <v>3000</v>
      </c>
      <c r="T24" s="12"/>
      <c r="U24" s="12" t="n">
        <f aca="false">IF('Cash Drivers'!U$26,Marketing!T24,Marketing!V24)</f>
        <v>3000</v>
      </c>
      <c r="V24" s="90" t="n">
        <v>3000</v>
      </c>
      <c r="W24" s="13"/>
      <c r="X24" s="13" t="n">
        <f aca="false">IF('Cash Drivers'!X$26,Marketing!W24,Marketing!Y24)</f>
        <v>3000</v>
      </c>
      <c r="Y24" s="89" t="n">
        <v>3000</v>
      </c>
      <c r="Z24" s="12"/>
      <c r="AA24" s="12" t="n">
        <f aca="false">IF('Cash Drivers'!AA$26,Marketing!Z24,Marketing!AB24)</f>
        <v>3000</v>
      </c>
      <c r="AB24" s="90" t="n">
        <v>3000</v>
      </c>
      <c r="AC24" s="13"/>
      <c r="AD24" s="13" t="n">
        <f aca="false">IF('Cash Drivers'!AD$26,Marketing!AC24,Marketing!AE24)</f>
        <v>3000</v>
      </c>
      <c r="AE24" s="89" t="n">
        <v>3000</v>
      </c>
      <c r="AF24" s="12"/>
      <c r="AG24" s="12" t="n">
        <f aca="false">IF('Cash Drivers'!AG$26,Marketing!AF24,Marketing!AH24)</f>
        <v>3000</v>
      </c>
      <c r="AH24" s="90" t="n">
        <v>3000</v>
      </c>
      <c r="AI24" s="13"/>
      <c r="AJ24" s="13" t="n">
        <f aca="false">IF('Cash Drivers'!AJ$26,Marketing!AI24,Marketing!AK24)</f>
        <v>3000</v>
      </c>
      <c r="AK24" s="89" t="n">
        <v>3000</v>
      </c>
      <c r="AL24" s="12"/>
      <c r="AM24" s="12" t="n">
        <f aca="false">IF('Cash Drivers'!AM$26,Marketing!AL24,Marketing!AN24)</f>
        <v>3000</v>
      </c>
      <c r="AN24" s="90" t="n">
        <v>3000</v>
      </c>
      <c r="AO24" s="13"/>
      <c r="AP24" s="13" t="n">
        <f aca="false">IF('Cash Drivers'!AP$26,Marketing!AO24,Marketing!AQ24)</f>
        <v>3000</v>
      </c>
      <c r="AQ24" s="89" t="n">
        <v>3000</v>
      </c>
      <c r="AR24" s="12"/>
      <c r="AS24" s="12" t="n">
        <f aca="false">IF('Cash Drivers'!AS$26,Marketing!AR24,Marketing!AT24)</f>
        <v>3000</v>
      </c>
      <c r="AT24" s="90" t="n">
        <v>3000</v>
      </c>
      <c r="AU24" s="13"/>
      <c r="AV24" s="13" t="n">
        <f aca="false">IF('Cash Drivers'!AV$26,Marketing!AU24,Marketing!AW24)</f>
        <v>3000</v>
      </c>
      <c r="AW24" s="89" t="n">
        <v>3000</v>
      </c>
      <c r="AX24" s="12"/>
      <c r="AY24" s="12" t="n">
        <f aca="false">IF('Cash Drivers'!AY$26,Marketing!AX24,Marketing!AZ24)</f>
        <v>3000</v>
      </c>
      <c r="AZ24" s="90" t="n">
        <v>3000</v>
      </c>
      <c r="BA24" s="13"/>
      <c r="BB24" s="13" t="n">
        <f aca="false">IF('Cash Drivers'!BB$26,Marketing!BA24,Marketing!BC24)</f>
        <v>3000</v>
      </c>
      <c r="BC24" s="89" t="n">
        <v>3000</v>
      </c>
      <c r="BD24" s="12"/>
      <c r="BE24" s="12" t="n">
        <f aca="false">IF('Cash Drivers'!BE$26,Marketing!BD24,Marketing!BF24)</f>
        <v>3000</v>
      </c>
      <c r="BF24" s="90" t="n">
        <v>3000</v>
      </c>
      <c r="BG24" s="13"/>
      <c r="BH24" s="13" t="n">
        <f aca="false">IF('Cash Drivers'!BH$26,Marketing!BG24,Marketing!BI24)</f>
        <v>3000</v>
      </c>
      <c r="BI24" s="89" t="n">
        <v>3000</v>
      </c>
      <c r="BJ24" s="12"/>
      <c r="BK24" s="12" t="n">
        <f aca="false">IF('Cash Drivers'!BK$26,Marketing!BJ24,Marketing!BL24)</f>
        <v>3000</v>
      </c>
      <c r="BL24" s="90" t="n">
        <v>3000</v>
      </c>
      <c r="BM24" s="13"/>
      <c r="BN24" s="13" t="n">
        <f aca="false">IF('Cash Drivers'!BN$26,Marketing!BM24,Marketing!BO24)</f>
        <v>3000</v>
      </c>
      <c r="BO24" s="89" t="n">
        <v>3000</v>
      </c>
      <c r="BP24" s="12"/>
      <c r="BQ24" s="12" t="n">
        <f aca="false">IF('Cash Drivers'!BQ$26,Marketing!BP24,Marketing!BR24)</f>
        <v>3000</v>
      </c>
      <c r="BR24" s="90" t="n">
        <v>3000</v>
      </c>
      <c r="BS24" s="13"/>
      <c r="BT24" s="13" t="n">
        <f aca="false">IF('Cash Drivers'!BT$26,Marketing!BS24,Marketing!BU24)</f>
        <v>3000</v>
      </c>
      <c r="BU24" s="89" t="n">
        <v>3000</v>
      </c>
      <c r="BV24" s="12"/>
      <c r="BW24" s="12" t="n">
        <f aca="false">IF('Cash Drivers'!BW$26,Marketing!BV24,Marketing!BX24)</f>
        <v>3000</v>
      </c>
      <c r="BX24" s="90" t="n">
        <v>3000</v>
      </c>
      <c r="BY24" s="13"/>
      <c r="BZ24" s="13" t="n">
        <f aca="false">IF('Cash Drivers'!BZ$26,Marketing!BY24,Marketing!CA24)</f>
        <v>3000</v>
      </c>
      <c r="CA24" s="89" t="n">
        <v>3000</v>
      </c>
      <c r="CB24" s="12"/>
      <c r="CC24" s="12" t="n">
        <f aca="false">IF('Cash Drivers'!CC$26,Marketing!CB24,Marketing!CD24)</f>
        <v>3000</v>
      </c>
      <c r="CD24" s="90" t="n">
        <v>3000</v>
      </c>
      <c r="CE24" s="13"/>
      <c r="CF24" s="13" t="n">
        <f aca="false">IF('Cash Drivers'!CF$26,Marketing!CE24,Marketing!CG24)</f>
        <v>3000</v>
      </c>
      <c r="CG24" s="89" t="n">
        <v>3000</v>
      </c>
      <c r="CH24" s="12"/>
      <c r="CI24" s="12" t="n">
        <f aca="false">IF('Cash Drivers'!CI$26,Marketing!CH24,Marketing!CJ24)</f>
        <v>3000</v>
      </c>
      <c r="CJ24" s="90" t="n">
        <v>3000</v>
      </c>
      <c r="CK24" s="13"/>
      <c r="CL24" s="13" t="n">
        <f aca="false">IF('Cash Drivers'!CL$26,Marketing!CK24,Marketing!CM24)</f>
        <v>3000</v>
      </c>
      <c r="CM24" s="89" t="n">
        <v>3000</v>
      </c>
      <c r="CN24" s="12"/>
      <c r="CO24" s="12" t="n">
        <f aca="false">IF('Cash Drivers'!CO$26,Marketing!CN24,Marketing!CP24)</f>
        <v>3000</v>
      </c>
      <c r="CP24" s="90" t="n">
        <v>3000</v>
      </c>
      <c r="CQ24" s="13"/>
      <c r="CR24" s="13" t="n">
        <f aca="false">IF('Cash Drivers'!CR$26,Marketing!CQ24,Marketing!CS24)</f>
        <v>3000</v>
      </c>
      <c r="CS24" s="89" t="n">
        <v>3000</v>
      </c>
      <c r="CT24" s="12"/>
      <c r="CU24" s="12" t="n">
        <f aca="false">IF('Cash Drivers'!CU$26,Marketing!CT24,Marketing!CV24)</f>
        <v>3000</v>
      </c>
      <c r="CV24" s="90" t="n">
        <v>3000</v>
      </c>
      <c r="CW24" s="13"/>
      <c r="CX24" s="13" t="n">
        <f aca="false">IF('Cash Drivers'!CX$26,Marketing!CW24,Marketing!CY24)</f>
        <v>3000</v>
      </c>
      <c r="CY24" s="89" t="n">
        <v>3000</v>
      </c>
      <c r="CZ24" s="12"/>
      <c r="DA24" s="12" t="n">
        <f aca="false">IF('Cash Drivers'!DA$26,Marketing!CZ24,Marketing!DB24)</f>
        <v>3000</v>
      </c>
      <c r="DB24" s="90" t="n">
        <v>3000</v>
      </c>
      <c r="DC24" s="13"/>
      <c r="DD24" s="13" t="n">
        <f aca="false">IF('Cash Drivers'!DD$26,Marketing!DC24,Marketing!DE24)</f>
        <v>3000</v>
      </c>
      <c r="DE24" s="89" t="n">
        <v>3000</v>
      </c>
      <c r="DF24" s="12"/>
      <c r="DG24" s="12" t="n">
        <f aca="false">IF('Cash Drivers'!DG$26,Marketing!DF24,Marketing!DH24)</f>
        <v>3000</v>
      </c>
      <c r="DH24" s="90" t="n">
        <v>3000</v>
      </c>
      <c r="DI24" s="89" t="n">
        <v>3000</v>
      </c>
      <c r="DJ24" s="13" t="n">
        <f aca="false">IF('Cash Drivers'!DJ$26,Marketing!DI24,Marketing!DK24)</f>
        <v>3000</v>
      </c>
      <c r="DK24" s="89" t="n">
        <v>3000</v>
      </c>
      <c r="DL24" s="90" t="n">
        <v>3000</v>
      </c>
      <c r="DM24" s="12" t="n">
        <f aca="false">IF('Cash Drivers'!DM$26,Marketing!DL24,Marketing!DN24)</f>
        <v>3000</v>
      </c>
      <c r="DN24" s="90" t="n">
        <v>3000</v>
      </c>
    </row>
    <row r="25" customFormat="false" ht="15.75" hidden="false" customHeight="true" outlineLevel="0" collapsed="false">
      <c r="A25" s="5" t="s">
        <v>175</v>
      </c>
      <c r="B25" s="12" t="str">
        <f aca="false">IF(COUNT(AR25,AO25,AL25,AI25,AF25,AC25,Z25,W25,T25,Q25,N25,K25)=0,"",SUM(AR25,AO25,AL25,AI25,AF25,AC25,Z25,W25,T25,Q25,N25,K25))</f>
        <v/>
      </c>
      <c r="C25" s="12" t="n">
        <f aca="false">IF(COUNT(AS25,AP25,AM25,AJ25,AG25,AD25,AA25,X25,U25,R25,O25,L25)=0,"",SUM(AS25,AP25,AM25,AJ25,AG25,AD25,AA25,X25,U25,R25,O25,L25))</f>
        <v>24000</v>
      </c>
      <c r="D25" s="12" t="n">
        <f aca="false">IF(COUNT(AT25,AQ25,AN25,AK25,AH25,AE25,AB25,Y25,V25,S25,P25,M25)=0,"",SUM(AT25,AQ25,AN25,AK25,AH25,AE25,AB25,Y25,V25,S25,P25,M25))</f>
        <v>24000</v>
      </c>
      <c r="E25" s="13" t="str">
        <f aca="false">IF(COUNT(CB25,BY25,BV25,BS25,BP25,BM25,BJ25,BG25,BD25,BA25,AX25,AU25)=0,"",SUM(CB25,BY25,BV25,BS25,BP25,BM25,BJ25,BG25,BD25,BA25,AX25,AU25))</f>
        <v/>
      </c>
      <c r="F25" s="13" t="n">
        <f aca="false">IF(COUNT(CC25,BZ25,BW25,BT25,BQ25,BN25,BK25,BH25,BE25,BB25,AY25,AV25)=0,"",SUM(CC25,BZ25,BW25,BT25,BQ25,BN25,BK25,BH25,BE25,BB25,AY25,AV25))</f>
        <v>24000</v>
      </c>
      <c r="G25" s="13" t="n">
        <f aca="false">IF(COUNT(CD25,CA25,BX25,BU25,BR25,BO25,BL25,BI25,BF25,BC25,AZ25,AW25)=0,"",SUM(CD25,CA25,BX25,BU25,BR25,BO25,BL25,BI25,BF25,BC25,AZ25,AW25))</f>
        <v>24000</v>
      </c>
      <c r="H25" s="12" t="n">
        <f aca="false">IF(COUNT(DL25,DI25,DF25,DC25,CZ25,CW25,CT25,CQ25,CN25,CK25,CH25,CE25)=0,"",SUM(DL25,DI25,DF25,DC25,CZ25,CW25,CT25,CQ25,CN25,CK25,CH25,CE25))</f>
        <v>4000</v>
      </c>
      <c r="I25" s="12" t="n">
        <f aca="false">IF(COUNT(DM25,DJ25,DG25,DD25,DA25,CX25,CU25,CR25,CO25,CL25,CI25,CF25)=0,"",SUM(DM25,DJ25,DG25,DD25,DA25,CX25,CU25,CR25,CO25,CL25,CI25,CF25))</f>
        <v>24000</v>
      </c>
      <c r="J25" s="12" t="n">
        <f aca="false">IF(COUNT(DN25,DK25,DH25,DE25,DB25,CY25,CV25,CS25,CP25,CM25,CJ25,CG25)=0,"",SUM(DN25,DK25,DH25,DE25,DB25,CY25,CV25,CS25,CP25,CM25,CJ25,CG25))</f>
        <v>24000</v>
      </c>
      <c r="K25" s="13"/>
      <c r="L25" s="13" t="n">
        <f aca="false">IF('Cash Drivers'!L$26,Marketing!K25,Marketing!M25)</f>
        <v>2000</v>
      </c>
      <c r="M25" s="89" t="n">
        <v>2000</v>
      </c>
      <c r="N25" s="12"/>
      <c r="O25" s="12" t="n">
        <f aca="false">IF('Cash Drivers'!O$26,Marketing!N25,Marketing!P25)</f>
        <v>2000</v>
      </c>
      <c r="P25" s="90" t="n">
        <v>2000</v>
      </c>
      <c r="Q25" s="13"/>
      <c r="R25" s="13" t="n">
        <f aca="false">IF('Cash Drivers'!R$26,Marketing!Q25,Marketing!S25)</f>
        <v>2000</v>
      </c>
      <c r="S25" s="89" t="n">
        <v>2000</v>
      </c>
      <c r="T25" s="12"/>
      <c r="U25" s="12" t="n">
        <f aca="false">IF('Cash Drivers'!U$26,Marketing!T25,Marketing!V25)</f>
        <v>2000</v>
      </c>
      <c r="V25" s="90" t="n">
        <v>2000</v>
      </c>
      <c r="W25" s="13"/>
      <c r="X25" s="13" t="n">
        <f aca="false">IF('Cash Drivers'!X$26,Marketing!W25,Marketing!Y25)</f>
        <v>2000</v>
      </c>
      <c r="Y25" s="89" t="n">
        <v>2000</v>
      </c>
      <c r="Z25" s="12"/>
      <c r="AA25" s="12" t="n">
        <f aca="false">IF('Cash Drivers'!AA$26,Marketing!Z25,Marketing!AB25)</f>
        <v>2000</v>
      </c>
      <c r="AB25" s="90" t="n">
        <v>2000</v>
      </c>
      <c r="AC25" s="13"/>
      <c r="AD25" s="13" t="n">
        <f aca="false">IF('Cash Drivers'!AD$26,Marketing!AC25,Marketing!AE25)</f>
        <v>2000</v>
      </c>
      <c r="AE25" s="89" t="n">
        <v>2000</v>
      </c>
      <c r="AF25" s="12"/>
      <c r="AG25" s="12" t="n">
        <f aca="false">IF('Cash Drivers'!AG$26,Marketing!AF25,Marketing!AH25)</f>
        <v>2000</v>
      </c>
      <c r="AH25" s="90" t="n">
        <v>2000</v>
      </c>
      <c r="AI25" s="13"/>
      <c r="AJ25" s="13" t="n">
        <f aca="false">IF('Cash Drivers'!AJ$26,Marketing!AI25,Marketing!AK25)</f>
        <v>2000</v>
      </c>
      <c r="AK25" s="89" t="n">
        <v>2000</v>
      </c>
      <c r="AL25" s="12"/>
      <c r="AM25" s="12" t="n">
        <f aca="false">IF('Cash Drivers'!AM$26,Marketing!AL25,Marketing!AN25)</f>
        <v>2000</v>
      </c>
      <c r="AN25" s="90" t="n">
        <v>2000</v>
      </c>
      <c r="AO25" s="13"/>
      <c r="AP25" s="13" t="n">
        <f aca="false">IF('Cash Drivers'!AP$26,Marketing!AO25,Marketing!AQ25)</f>
        <v>2000</v>
      </c>
      <c r="AQ25" s="89" t="n">
        <v>2000</v>
      </c>
      <c r="AR25" s="12"/>
      <c r="AS25" s="12" t="n">
        <f aca="false">IF('Cash Drivers'!AS$26,Marketing!AR25,Marketing!AT25)</f>
        <v>2000</v>
      </c>
      <c r="AT25" s="90" t="n">
        <v>2000</v>
      </c>
      <c r="AU25" s="13"/>
      <c r="AV25" s="13" t="n">
        <f aca="false">IF('Cash Drivers'!AV$26,Marketing!AU25,Marketing!AW25)</f>
        <v>2000</v>
      </c>
      <c r="AW25" s="89" t="n">
        <v>2000</v>
      </c>
      <c r="AX25" s="12"/>
      <c r="AY25" s="12" t="n">
        <f aca="false">IF('Cash Drivers'!AY$26,Marketing!AX25,Marketing!AZ25)</f>
        <v>2000</v>
      </c>
      <c r="AZ25" s="90" t="n">
        <v>2000</v>
      </c>
      <c r="BA25" s="13"/>
      <c r="BB25" s="13" t="n">
        <f aca="false">IF('Cash Drivers'!BB$26,Marketing!BA25,Marketing!BC25)</f>
        <v>2000</v>
      </c>
      <c r="BC25" s="89" t="n">
        <v>2000</v>
      </c>
      <c r="BD25" s="12"/>
      <c r="BE25" s="12" t="n">
        <f aca="false">IF('Cash Drivers'!BE$26,Marketing!BD25,Marketing!BF25)</f>
        <v>2000</v>
      </c>
      <c r="BF25" s="90" t="n">
        <v>2000</v>
      </c>
      <c r="BG25" s="13"/>
      <c r="BH25" s="13" t="n">
        <f aca="false">IF('Cash Drivers'!BH$26,Marketing!BG25,Marketing!BI25)</f>
        <v>2000</v>
      </c>
      <c r="BI25" s="89" t="n">
        <v>2000</v>
      </c>
      <c r="BJ25" s="12"/>
      <c r="BK25" s="12" t="n">
        <f aca="false">IF('Cash Drivers'!BK$26,Marketing!BJ25,Marketing!BL25)</f>
        <v>2000</v>
      </c>
      <c r="BL25" s="90" t="n">
        <v>2000</v>
      </c>
      <c r="BM25" s="13"/>
      <c r="BN25" s="13" t="n">
        <f aca="false">IF('Cash Drivers'!BN$26,Marketing!BM25,Marketing!BO25)</f>
        <v>2000</v>
      </c>
      <c r="BO25" s="89" t="n">
        <v>2000</v>
      </c>
      <c r="BP25" s="12"/>
      <c r="BQ25" s="12" t="n">
        <f aca="false">IF('Cash Drivers'!BQ$26,Marketing!BP25,Marketing!BR25)</f>
        <v>2000</v>
      </c>
      <c r="BR25" s="90" t="n">
        <v>2000</v>
      </c>
      <c r="BS25" s="13"/>
      <c r="BT25" s="13" t="n">
        <f aca="false">IF('Cash Drivers'!BT$26,Marketing!BS25,Marketing!BU25)</f>
        <v>2000</v>
      </c>
      <c r="BU25" s="89" t="n">
        <v>2000</v>
      </c>
      <c r="BV25" s="12"/>
      <c r="BW25" s="12" t="n">
        <f aca="false">IF('Cash Drivers'!BW$26,Marketing!BV25,Marketing!BX25)</f>
        <v>2000</v>
      </c>
      <c r="BX25" s="90" t="n">
        <v>2000</v>
      </c>
      <c r="BY25" s="13"/>
      <c r="BZ25" s="13" t="n">
        <f aca="false">IF('Cash Drivers'!BZ$26,Marketing!BY25,Marketing!CA25)</f>
        <v>2000</v>
      </c>
      <c r="CA25" s="89" t="n">
        <v>2000</v>
      </c>
      <c r="CB25" s="12"/>
      <c r="CC25" s="12" t="n">
        <f aca="false">IF('Cash Drivers'!CC$26,Marketing!CB25,Marketing!CD25)</f>
        <v>2000</v>
      </c>
      <c r="CD25" s="90" t="n">
        <v>2000</v>
      </c>
      <c r="CE25" s="13"/>
      <c r="CF25" s="13" t="n">
        <f aca="false">IF('Cash Drivers'!CF$26,Marketing!CE25,Marketing!CG25)</f>
        <v>2000</v>
      </c>
      <c r="CG25" s="89" t="n">
        <v>2000</v>
      </c>
      <c r="CH25" s="12"/>
      <c r="CI25" s="12" t="n">
        <f aca="false">IF('Cash Drivers'!CI$26,Marketing!CH25,Marketing!CJ25)</f>
        <v>2000</v>
      </c>
      <c r="CJ25" s="90" t="n">
        <v>2000</v>
      </c>
      <c r="CK25" s="13"/>
      <c r="CL25" s="13" t="n">
        <f aca="false">IF('Cash Drivers'!CL$26,Marketing!CK25,Marketing!CM25)</f>
        <v>2000</v>
      </c>
      <c r="CM25" s="89" t="n">
        <v>2000</v>
      </c>
      <c r="CN25" s="12"/>
      <c r="CO25" s="12" t="n">
        <f aca="false">IF('Cash Drivers'!CO$26,Marketing!CN25,Marketing!CP25)</f>
        <v>2000</v>
      </c>
      <c r="CP25" s="90" t="n">
        <v>2000</v>
      </c>
      <c r="CQ25" s="13"/>
      <c r="CR25" s="13" t="n">
        <f aca="false">IF('Cash Drivers'!CR$26,Marketing!CQ25,Marketing!CS25)</f>
        <v>2000</v>
      </c>
      <c r="CS25" s="89" t="n">
        <v>2000</v>
      </c>
      <c r="CT25" s="12"/>
      <c r="CU25" s="12" t="n">
        <f aca="false">IF('Cash Drivers'!CU$26,Marketing!CT25,Marketing!CV25)</f>
        <v>2000</v>
      </c>
      <c r="CV25" s="90" t="n">
        <v>2000</v>
      </c>
      <c r="CW25" s="13"/>
      <c r="CX25" s="13" t="n">
        <f aca="false">IF('Cash Drivers'!CX$26,Marketing!CW25,Marketing!CY25)</f>
        <v>2000</v>
      </c>
      <c r="CY25" s="89" t="n">
        <v>2000</v>
      </c>
      <c r="CZ25" s="12"/>
      <c r="DA25" s="12" t="n">
        <f aca="false">IF('Cash Drivers'!DA$26,Marketing!CZ25,Marketing!DB25)</f>
        <v>2000</v>
      </c>
      <c r="DB25" s="90" t="n">
        <v>2000</v>
      </c>
      <c r="DC25" s="13"/>
      <c r="DD25" s="13" t="n">
        <f aca="false">IF('Cash Drivers'!DD$26,Marketing!DC25,Marketing!DE25)</f>
        <v>2000</v>
      </c>
      <c r="DE25" s="89" t="n">
        <v>2000</v>
      </c>
      <c r="DF25" s="12"/>
      <c r="DG25" s="12" t="n">
        <f aca="false">IF('Cash Drivers'!DG$26,Marketing!DF25,Marketing!DH25)</f>
        <v>2000</v>
      </c>
      <c r="DH25" s="90" t="n">
        <v>2000</v>
      </c>
      <c r="DI25" s="89" t="n">
        <v>2000</v>
      </c>
      <c r="DJ25" s="13" t="n">
        <f aca="false">IF('Cash Drivers'!DJ$26,Marketing!DI25,Marketing!DK25)</f>
        <v>2000</v>
      </c>
      <c r="DK25" s="89" t="n">
        <v>2000</v>
      </c>
      <c r="DL25" s="90" t="n">
        <v>2000</v>
      </c>
      <c r="DM25" s="12" t="n">
        <f aca="false">IF('Cash Drivers'!DM$26,Marketing!DL25,Marketing!DN25)</f>
        <v>2000</v>
      </c>
      <c r="DN25" s="90" t="n">
        <v>2000</v>
      </c>
    </row>
    <row r="26" customFormat="false" ht="15.75" hidden="false" customHeight="true" outlineLevel="0" collapsed="false">
      <c r="A26" s="5" t="s">
        <v>176</v>
      </c>
      <c r="B26" s="12" t="str">
        <f aca="false">IF(COUNT(AR26,AO26,AL26,AI26,AF26,AC26,Z26,W26,T26,Q26,N26,K26)=0,"",SUM(AR26,AO26,AL26,AI26,AF26,AC26,Z26,W26,T26,Q26,N26,K26))</f>
        <v/>
      </c>
      <c r="C26" s="12" t="n">
        <f aca="false">IF(COUNT(AS26,AP26,AM26,AJ26,AG26,AD26,AA26,X26,U26,R26,O26,L26)=0,"",SUM(AS26,AP26,AM26,AJ26,AG26,AD26,AA26,X26,U26,R26,O26,L26))</f>
        <v>60000</v>
      </c>
      <c r="D26" s="12" t="n">
        <f aca="false">IF(COUNT(AT26,AQ26,AN26,AK26,AH26,AE26,AB26,Y26,V26,S26,P26,M26)=0,"",SUM(AT26,AQ26,AN26,AK26,AH26,AE26,AB26,Y26,V26,S26,P26,M26))</f>
        <v>60000</v>
      </c>
      <c r="E26" s="13" t="str">
        <f aca="false">IF(COUNT(CB26,BY26,BV26,BS26,BP26,BM26,BJ26,BG26,BD26,BA26,AX26,AU26)=0,"",SUM(CB26,BY26,BV26,BS26,BP26,BM26,BJ26,BG26,BD26,BA26,AX26,AU26))</f>
        <v/>
      </c>
      <c r="F26" s="13" t="n">
        <f aca="false">IF(COUNT(CC26,BZ26,BW26,BT26,BQ26,BN26,BK26,BH26,BE26,BB26,AY26,AV26)=0,"",SUM(CC26,BZ26,BW26,BT26,BQ26,BN26,BK26,BH26,BE26,BB26,AY26,AV26))</f>
        <v>60000</v>
      </c>
      <c r="G26" s="13" t="n">
        <f aca="false">IF(COUNT(CD26,CA26,BX26,BU26,BR26,BO26,BL26,BI26,BF26,BC26,AZ26,AW26)=0,"",SUM(CD26,CA26,BX26,BU26,BR26,BO26,BL26,BI26,BF26,BC26,AZ26,AW26))</f>
        <v>60000</v>
      </c>
      <c r="H26" s="12" t="n">
        <f aca="false">IF(COUNT(DL26,DI26,DF26,DC26,CZ26,CW26,CT26,CQ26,CN26,CK26,CH26,CE26)=0,"",SUM(DL26,DI26,DF26,DC26,CZ26,CW26,CT26,CQ26,CN26,CK26,CH26,CE26))</f>
        <v>10000</v>
      </c>
      <c r="I26" s="12" t="n">
        <f aca="false">IF(COUNT(DM26,DJ26,DG26,DD26,DA26,CX26,CU26,CR26,CO26,CL26,CI26,CF26)=0,"",SUM(DM26,DJ26,DG26,DD26,DA26,CX26,CU26,CR26,CO26,CL26,CI26,CF26))</f>
        <v>60000</v>
      </c>
      <c r="J26" s="12" t="n">
        <f aca="false">IF(COUNT(DN26,DK26,DH26,DE26,DB26,CY26,CV26,CS26,CP26,CM26,CJ26,CG26)=0,"",SUM(DN26,DK26,DH26,DE26,DB26,CY26,CV26,CS26,CP26,CM26,CJ26,CG26))</f>
        <v>60000</v>
      </c>
      <c r="K26" s="13"/>
      <c r="L26" s="13" t="n">
        <f aca="false">IF('Cash Drivers'!L$26,Marketing!K26,Marketing!M26)</f>
        <v>5000</v>
      </c>
      <c r="M26" s="89" t="n">
        <v>5000</v>
      </c>
      <c r="N26" s="12"/>
      <c r="O26" s="12" t="n">
        <f aca="false">IF('Cash Drivers'!O$26,Marketing!N26,Marketing!P26)</f>
        <v>5000</v>
      </c>
      <c r="P26" s="90" t="n">
        <v>5000</v>
      </c>
      <c r="Q26" s="13"/>
      <c r="R26" s="13" t="n">
        <f aca="false">IF('Cash Drivers'!R$26,Marketing!Q26,Marketing!S26)</f>
        <v>5000</v>
      </c>
      <c r="S26" s="89" t="n">
        <v>5000</v>
      </c>
      <c r="T26" s="12"/>
      <c r="U26" s="12" t="n">
        <f aca="false">IF('Cash Drivers'!U$26,Marketing!T26,Marketing!V26)</f>
        <v>5000</v>
      </c>
      <c r="V26" s="90" t="n">
        <v>5000</v>
      </c>
      <c r="W26" s="13"/>
      <c r="X26" s="13" t="n">
        <f aca="false">IF('Cash Drivers'!X$26,Marketing!W26,Marketing!Y26)</f>
        <v>5000</v>
      </c>
      <c r="Y26" s="89" t="n">
        <v>5000</v>
      </c>
      <c r="Z26" s="12"/>
      <c r="AA26" s="12" t="n">
        <f aca="false">IF('Cash Drivers'!AA$26,Marketing!Z26,Marketing!AB26)</f>
        <v>5000</v>
      </c>
      <c r="AB26" s="90" t="n">
        <v>5000</v>
      </c>
      <c r="AC26" s="13"/>
      <c r="AD26" s="13" t="n">
        <f aca="false">IF('Cash Drivers'!AD$26,Marketing!AC26,Marketing!AE26)</f>
        <v>5000</v>
      </c>
      <c r="AE26" s="89" t="n">
        <v>5000</v>
      </c>
      <c r="AF26" s="12"/>
      <c r="AG26" s="12" t="n">
        <f aca="false">IF('Cash Drivers'!AG$26,Marketing!AF26,Marketing!AH26)</f>
        <v>5000</v>
      </c>
      <c r="AH26" s="90" t="n">
        <v>5000</v>
      </c>
      <c r="AI26" s="13"/>
      <c r="AJ26" s="13" t="n">
        <f aca="false">IF('Cash Drivers'!AJ$26,Marketing!AI26,Marketing!AK26)</f>
        <v>5000</v>
      </c>
      <c r="AK26" s="89" t="n">
        <v>5000</v>
      </c>
      <c r="AL26" s="12"/>
      <c r="AM26" s="12" t="n">
        <f aca="false">IF('Cash Drivers'!AM$26,Marketing!AL26,Marketing!AN26)</f>
        <v>5000</v>
      </c>
      <c r="AN26" s="90" t="n">
        <v>5000</v>
      </c>
      <c r="AO26" s="13"/>
      <c r="AP26" s="13" t="n">
        <f aca="false">IF('Cash Drivers'!AP$26,Marketing!AO26,Marketing!AQ26)</f>
        <v>5000</v>
      </c>
      <c r="AQ26" s="89" t="n">
        <v>5000</v>
      </c>
      <c r="AR26" s="12"/>
      <c r="AS26" s="12" t="n">
        <f aca="false">IF('Cash Drivers'!AS$26,Marketing!AR26,Marketing!AT26)</f>
        <v>5000</v>
      </c>
      <c r="AT26" s="90" t="n">
        <v>5000</v>
      </c>
      <c r="AU26" s="13"/>
      <c r="AV26" s="13" t="n">
        <f aca="false">IF('Cash Drivers'!AV$26,Marketing!AU26,Marketing!AW26)</f>
        <v>5000</v>
      </c>
      <c r="AW26" s="89" t="n">
        <v>5000</v>
      </c>
      <c r="AX26" s="12"/>
      <c r="AY26" s="12" t="n">
        <f aca="false">IF('Cash Drivers'!AY$26,Marketing!AX26,Marketing!AZ26)</f>
        <v>5000</v>
      </c>
      <c r="AZ26" s="90" t="n">
        <v>5000</v>
      </c>
      <c r="BA26" s="13"/>
      <c r="BB26" s="13" t="n">
        <f aca="false">IF('Cash Drivers'!BB$26,Marketing!BA26,Marketing!BC26)</f>
        <v>5000</v>
      </c>
      <c r="BC26" s="89" t="n">
        <v>5000</v>
      </c>
      <c r="BD26" s="12"/>
      <c r="BE26" s="12" t="n">
        <f aca="false">IF('Cash Drivers'!BE$26,Marketing!BD26,Marketing!BF26)</f>
        <v>5000</v>
      </c>
      <c r="BF26" s="90" t="n">
        <v>5000</v>
      </c>
      <c r="BG26" s="13"/>
      <c r="BH26" s="13" t="n">
        <f aca="false">IF('Cash Drivers'!BH$26,Marketing!BG26,Marketing!BI26)</f>
        <v>5000</v>
      </c>
      <c r="BI26" s="89" t="n">
        <v>5000</v>
      </c>
      <c r="BJ26" s="12"/>
      <c r="BK26" s="12" t="n">
        <f aca="false">IF('Cash Drivers'!BK$26,Marketing!BJ26,Marketing!BL26)</f>
        <v>5000</v>
      </c>
      <c r="BL26" s="90" t="n">
        <v>5000</v>
      </c>
      <c r="BM26" s="13"/>
      <c r="BN26" s="13" t="n">
        <f aca="false">IF('Cash Drivers'!BN$26,Marketing!BM26,Marketing!BO26)</f>
        <v>5000</v>
      </c>
      <c r="BO26" s="89" t="n">
        <v>5000</v>
      </c>
      <c r="BP26" s="12"/>
      <c r="BQ26" s="12" t="n">
        <f aca="false">IF('Cash Drivers'!BQ$26,Marketing!BP26,Marketing!BR26)</f>
        <v>5000</v>
      </c>
      <c r="BR26" s="90" t="n">
        <v>5000</v>
      </c>
      <c r="BS26" s="13"/>
      <c r="BT26" s="13" t="n">
        <f aca="false">IF('Cash Drivers'!BT$26,Marketing!BS26,Marketing!BU26)</f>
        <v>5000</v>
      </c>
      <c r="BU26" s="89" t="n">
        <v>5000</v>
      </c>
      <c r="BV26" s="12"/>
      <c r="BW26" s="12" t="n">
        <f aca="false">IF('Cash Drivers'!BW$26,Marketing!BV26,Marketing!BX26)</f>
        <v>5000</v>
      </c>
      <c r="BX26" s="90" t="n">
        <v>5000</v>
      </c>
      <c r="BY26" s="13"/>
      <c r="BZ26" s="13" t="n">
        <f aca="false">IF('Cash Drivers'!BZ$26,Marketing!BY26,Marketing!CA26)</f>
        <v>5000</v>
      </c>
      <c r="CA26" s="89" t="n">
        <v>5000</v>
      </c>
      <c r="CB26" s="12"/>
      <c r="CC26" s="12" t="n">
        <f aca="false">IF('Cash Drivers'!CC$26,Marketing!CB26,Marketing!CD26)</f>
        <v>5000</v>
      </c>
      <c r="CD26" s="90" t="n">
        <v>5000</v>
      </c>
      <c r="CE26" s="13"/>
      <c r="CF26" s="13" t="n">
        <f aca="false">IF('Cash Drivers'!CF$26,Marketing!CE26,Marketing!CG26)</f>
        <v>5000</v>
      </c>
      <c r="CG26" s="89" t="n">
        <v>5000</v>
      </c>
      <c r="CH26" s="12"/>
      <c r="CI26" s="12" t="n">
        <f aca="false">IF('Cash Drivers'!CI$26,Marketing!CH26,Marketing!CJ26)</f>
        <v>5000</v>
      </c>
      <c r="CJ26" s="90" t="n">
        <v>5000</v>
      </c>
      <c r="CK26" s="13"/>
      <c r="CL26" s="13" t="n">
        <f aca="false">IF('Cash Drivers'!CL$26,Marketing!CK26,Marketing!CM26)</f>
        <v>5000</v>
      </c>
      <c r="CM26" s="89" t="n">
        <v>5000</v>
      </c>
      <c r="CN26" s="12"/>
      <c r="CO26" s="12" t="n">
        <f aca="false">IF('Cash Drivers'!CO$26,Marketing!CN26,Marketing!CP26)</f>
        <v>5000</v>
      </c>
      <c r="CP26" s="90" t="n">
        <v>5000</v>
      </c>
      <c r="CQ26" s="13"/>
      <c r="CR26" s="13" t="n">
        <f aca="false">IF('Cash Drivers'!CR$26,Marketing!CQ26,Marketing!CS26)</f>
        <v>5000</v>
      </c>
      <c r="CS26" s="89" t="n">
        <v>5000</v>
      </c>
      <c r="CT26" s="12"/>
      <c r="CU26" s="12" t="n">
        <f aca="false">IF('Cash Drivers'!CU$26,Marketing!CT26,Marketing!CV26)</f>
        <v>5000</v>
      </c>
      <c r="CV26" s="90" t="n">
        <v>5000</v>
      </c>
      <c r="CW26" s="13"/>
      <c r="CX26" s="13" t="n">
        <f aca="false">IF('Cash Drivers'!CX$26,Marketing!CW26,Marketing!CY26)</f>
        <v>5000</v>
      </c>
      <c r="CY26" s="89" t="n">
        <v>5000</v>
      </c>
      <c r="CZ26" s="12"/>
      <c r="DA26" s="12" t="n">
        <f aca="false">IF('Cash Drivers'!DA$26,Marketing!CZ26,Marketing!DB26)</f>
        <v>5000</v>
      </c>
      <c r="DB26" s="90" t="n">
        <v>5000</v>
      </c>
      <c r="DC26" s="13"/>
      <c r="DD26" s="13" t="n">
        <f aca="false">IF('Cash Drivers'!DD$26,Marketing!DC26,Marketing!DE26)</f>
        <v>5000</v>
      </c>
      <c r="DE26" s="89" t="n">
        <v>5000</v>
      </c>
      <c r="DF26" s="12"/>
      <c r="DG26" s="12" t="n">
        <f aca="false">IF('Cash Drivers'!DG$26,Marketing!DF26,Marketing!DH26)</f>
        <v>5000</v>
      </c>
      <c r="DH26" s="90" t="n">
        <v>5000</v>
      </c>
      <c r="DI26" s="89" t="n">
        <v>5000</v>
      </c>
      <c r="DJ26" s="13" t="n">
        <f aca="false">IF('Cash Drivers'!DJ$26,Marketing!DI26,Marketing!DK26)</f>
        <v>5000</v>
      </c>
      <c r="DK26" s="89" t="n">
        <v>5000</v>
      </c>
      <c r="DL26" s="90" t="n">
        <v>5000</v>
      </c>
      <c r="DM26" s="12" t="n">
        <f aca="false">IF('Cash Drivers'!DM$26,Marketing!DL26,Marketing!DN26)</f>
        <v>5000</v>
      </c>
      <c r="DN26" s="90" t="n">
        <v>5000</v>
      </c>
    </row>
    <row r="27" customFormat="false" ht="15.75" hidden="false" customHeight="true" outlineLevel="0" collapsed="false">
      <c r="A27" s="14" t="s">
        <v>177</v>
      </c>
      <c r="B27" s="15" t="str">
        <f aca="false">IF(COUNT(AR27,AO27,AL27,AI27,AF27,AC27,Z27,W27,T27,Q27,N27,K27)=0,"",SUM(AR27,AO27,AL27,AI27,AF27,AC27,Z27,W27,T27,Q27,N27,K27))</f>
        <v/>
      </c>
      <c r="C27" s="15" t="n">
        <f aca="false">IF(COUNT(AS27,AP27,AM27,AJ27,AG27,AD27,AA27,X27,U27,R27,O27,L27)=0,"",SUM(AS27,AP27,AM27,AJ27,AG27,AD27,AA27,X27,U27,R27,O27,L27))</f>
        <v>1068000</v>
      </c>
      <c r="D27" s="15" t="n">
        <f aca="false">IF(COUNT(AT27,AQ27,AN27,AK27,AH27,AE27,AB27,Y27,V27,S27,P27,M27)=0,"",SUM(AT27,AQ27,AN27,AK27,AH27,AE27,AB27,Y27,V27,S27,P27,M27))</f>
        <v>1068000</v>
      </c>
      <c r="E27" s="16" t="str">
        <f aca="false">IF(COUNT(CB27,BY27,BV27,BS27,BP27,BM27,BJ27,BG27,BD27,BA27,AX27,AU27)=0,"",SUM(CB27,BY27,BV27,BS27,BP27,BM27,BJ27,BG27,BD27,BA27,AX27,AU27))</f>
        <v/>
      </c>
      <c r="F27" s="16" t="n">
        <f aca="false">IF(COUNT(CC27,BZ27,BW27,BT27,BQ27,BN27,BK27,BH27,BE27,BB27,AY27,AV27)=0,"",SUM(CC27,BZ27,BW27,BT27,BQ27,BN27,BK27,BH27,BE27,BB27,AY27,AV27))</f>
        <v>1068000</v>
      </c>
      <c r="G27" s="16" t="n">
        <f aca="false">IF(COUNT(CD27,CA27,BX27,BU27,BR27,BO27,BL27,BI27,BF27,BC27,AZ27,AW27)=0,"",SUM(CD27,CA27,BX27,BU27,BR27,BO27,BL27,BI27,BF27,BC27,AZ27,AW27))</f>
        <v>1068000</v>
      </c>
      <c r="H27" s="15" t="n">
        <f aca="false">IF(COUNT(DL27,DI27,DF27,DC27,CZ27,CW27,CT27,CQ27,CN27,CK27,CH27,CE27)=0,"",SUM(DL27,DI27,DF27,DC27,CZ27,CW27,CT27,CQ27,CN27,CK27,CH27,CE27))</f>
        <v>178000</v>
      </c>
      <c r="I27" s="15" t="n">
        <f aca="false">IF(COUNT(DM27,DJ27,DG27,DD27,DA27,CX27,CU27,CR27,CO27,CL27,CI27,CF27)=0,"",SUM(DM27,DJ27,DG27,DD27,DA27,CX27,CU27,CR27,CO27,CL27,CI27,CF27))</f>
        <v>1068000</v>
      </c>
      <c r="J27" s="15" t="n">
        <f aca="false">IF(COUNT(DN27,DK27,DH27,DE27,DB27,CY27,CV27,CS27,CP27,CM27,CJ27,CG27)=0,"",SUM(DN27,DK27,DH27,DE27,DB27,CY27,CV27,CS27,CP27,CM27,CJ27,CG27))</f>
        <v>1068000</v>
      </c>
      <c r="K27" s="16" t="str">
        <f aca="false">IF(COUNT(K18,K19,K20,K21,K22,K23,K24,K25,K26)=0,"",SUM(K18:K26))</f>
        <v/>
      </c>
      <c r="L27" s="16" t="n">
        <f aca="false">SUM(L18:L26)</f>
        <v>89000</v>
      </c>
      <c r="M27" s="16" t="n">
        <f aca="false">SUM(M18:M26)</f>
        <v>89000</v>
      </c>
      <c r="N27" s="15" t="str">
        <f aca="false">IF(COUNT(N18,N19,N20,N21,N22,N23,N24,N25,N26)=0,"",SUM(N18:N26))</f>
        <v/>
      </c>
      <c r="O27" s="15" t="n">
        <f aca="false">SUM(O18:O26)</f>
        <v>89000</v>
      </c>
      <c r="P27" s="15" t="n">
        <f aca="false">SUM(P18:P26)</f>
        <v>89000</v>
      </c>
      <c r="Q27" s="16" t="str">
        <f aca="false">IF(COUNT(Q18,Q19,Q20,Q21,Q22,Q23,Q24,Q25,Q26)=0,"",SUM(Q18:Q26))</f>
        <v/>
      </c>
      <c r="R27" s="16" t="n">
        <f aca="false">SUM(R18:R26)</f>
        <v>89000</v>
      </c>
      <c r="S27" s="16" t="n">
        <f aca="false">SUM(S18:S26)</f>
        <v>89000</v>
      </c>
      <c r="T27" s="15" t="str">
        <f aca="false">IF(COUNT(T18,T19,T20,T21,T22,T23,T24,T25,T26)=0,"",SUM(T18:T26))</f>
        <v/>
      </c>
      <c r="U27" s="15" t="n">
        <f aca="false">SUM(U18:U26)</f>
        <v>89000</v>
      </c>
      <c r="V27" s="15" t="n">
        <f aca="false">SUM(V18:V26)</f>
        <v>89000</v>
      </c>
      <c r="W27" s="16" t="str">
        <f aca="false">IF(COUNT(W18,W19,W20,W21,W22,W23,W24,W25,W26)=0,"",SUM(W18:W26))</f>
        <v/>
      </c>
      <c r="X27" s="16" t="n">
        <f aca="false">SUM(X18:X26)</f>
        <v>89000</v>
      </c>
      <c r="Y27" s="16" t="n">
        <f aca="false">SUM(Y18:Y26)</f>
        <v>89000</v>
      </c>
      <c r="Z27" s="15" t="str">
        <f aca="false">IF(COUNT(Z18,Z19,Z20,Z21,Z22,Z23,Z24,Z25,Z26)=0,"",SUM(Z18:Z26))</f>
        <v/>
      </c>
      <c r="AA27" s="15" t="n">
        <f aca="false">SUM(AA18:AA26)</f>
        <v>89000</v>
      </c>
      <c r="AB27" s="15" t="n">
        <f aca="false">SUM(AB18:AB26)</f>
        <v>89000</v>
      </c>
      <c r="AC27" s="16" t="str">
        <f aca="false">IF(COUNT(AC18,AC19,AC20,AC21,AC22,AC23,AC24,AC25,AC26)=0,"",SUM(AC18:AC26))</f>
        <v/>
      </c>
      <c r="AD27" s="16" t="n">
        <f aca="false">SUM(AD18:AD26)</f>
        <v>89000</v>
      </c>
      <c r="AE27" s="16" t="n">
        <f aca="false">SUM(AE18:AE26)</f>
        <v>89000</v>
      </c>
      <c r="AF27" s="15" t="str">
        <f aca="false">IF(COUNT(AF18,AF19,AF20,AF21,AF22,AF23,AF24,AF25,AF26)=0,"",SUM(AF18:AF26))</f>
        <v/>
      </c>
      <c r="AG27" s="15" t="n">
        <f aca="false">SUM(AG18:AG26)</f>
        <v>89000</v>
      </c>
      <c r="AH27" s="15" t="n">
        <f aca="false">SUM(AH18:AH26)</f>
        <v>89000</v>
      </c>
      <c r="AI27" s="16" t="str">
        <f aca="false">IF(COUNT(AI18,AI19,AI20,AI21,AI22,AI23,AI24,AI25,AI26)=0,"",SUM(AI18:AI26))</f>
        <v/>
      </c>
      <c r="AJ27" s="16" t="n">
        <f aca="false">SUM(AJ18:AJ26)</f>
        <v>89000</v>
      </c>
      <c r="AK27" s="16" t="n">
        <f aca="false">SUM(AK18:AK26)</f>
        <v>89000</v>
      </c>
      <c r="AL27" s="15" t="str">
        <f aca="false">IF(COUNT(AL18,AL19,AL20,AL21,AL22,AL23,AL24,AL25,AL26)=0,"",SUM(AL18:AL26))</f>
        <v/>
      </c>
      <c r="AM27" s="15" t="n">
        <f aca="false">SUM(AM18:AM26)</f>
        <v>89000</v>
      </c>
      <c r="AN27" s="15" t="n">
        <f aca="false">SUM(AN18:AN26)</f>
        <v>89000</v>
      </c>
      <c r="AO27" s="16" t="str">
        <f aca="false">IF(COUNT(AO18,AO19,AO20,AO21,AO22,AO23,AO24,AO25,AO26)=0,"",SUM(AO18:AO26))</f>
        <v/>
      </c>
      <c r="AP27" s="16" t="n">
        <f aca="false">SUM(AP18:AP26)</f>
        <v>89000</v>
      </c>
      <c r="AQ27" s="16" t="n">
        <f aca="false">SUM(AQ18:AQ26)</f>
        <v>89000</v>
      </c>
      <c r="AR27" s="15" t="str">
        <f aca="false">IF(COUNT(AR18,AR19,AR20,AR21,AR22,AR23,AR24,AR25,AR26)=0,"",SUM(AR18:AR26))</f>
        <v/>
      </c>
      <c r="AS27" s="15" t="n">
        <f aca="false">SUM(AS18:AS26)</f>
        <v>89000</v>
      </c>
      <c r="AT27" s="15" t="n">
        <f aca="false">SUM(AT18:AT26)</f>
        <v>89000</v>
      </c>
      <c r="AU27" s="16" t="str">
        <f aca="false">IF(COUNT(AU18,AU19,AU20,AU21,AU22,AU23,AU24,AU25,AU26)=0,"",SUM(AU18:AU26))</f>
        <v/>
      </c>
      <c r="AV27" s="16" t="n">
        <f aca="false">SUM(AV18:AV26)</f>
        <v>89000</v>
      </c>
      <c r="AW27" s="16" t="n">
        <f aca="false">SUM(AW18:AW26)</f>
        <v>89000</v>
      </c>
      <c r="AX27" s="15" t="str">
        <f aca="false">IF(COUNT(AX18,AX19,AX20,AX21,AX22,AX23,AX24,AX25,AX26)=0,"",SUM(AX18:AX26))</f>
        <v/>
      </c>
      <c r="AY27" s="15" t="n">
        <f aca="false">SUM(AY18:AY26)</f>
        <v>89000</v>
      </c>
      <c r="AZ27" s="15" t="n">
        <f aca="false">SUM(AZ18:AZ26)</f>
        <v>89000</v>
      </c>
      <c r="BA27" s="16" t="str">
        <f aca="false">IF(COUNT(BA18,BA19,BA20,BA21,BA22,BA23,BA24,BA25,BA26)=0,"",SUM(BA18:BA26))</f>
        <v/>
      </c>
      <c r="BB27" s="16" t="n">
        <f aca="false">SUM(BB18:BB26)</f>
        <v>89000</v>
      </c>
      <c r="BC27" s="16" t="n">
        <f aca="false">SUM(BC18:BC26)</f>
        <v>89000</v>
      </c>
      <c r="BD27" s="15" t="str">
        <f aca="false">IF(COUNT(BD18,BD19,BD20,BD21,BD22,BD23,BD24,BD25,BD26)=0,"",SUM(BD18:BD26))</f>
        <v/>
      </c>
      <c r="BE27" s="15" t="n">
        <f aca="false">SUM(BE18:BE26)</f>
        <v>89000</v>
      </c>
      <c r="BF27" s="15" t="n">
        <f aca="false">SUM(BF18:BF26)</f>
        <v>89000</v>
      </c>
      <c r="BG27" s="16" t="str">
        <f aca="false">IF(COUNT(BG18,BG19,BG20,BG21,BG22,BG23,BG24,BG25,BG26)=0,"",SUM(BG18:BG26))</f>
        <v/>
      </c>
      <c r="BH27" s="16" t="n">
        <f aca="false">SUM(BH18:BH26)</f>
        <v>89000</v>
      </c>
      <c r="BI27" s="16" t="n">
        <f aca="false">SUM(BI18:BI26)</f>
        <v>89000</v>
      </c>
      <c r="BJ27" s="15" t="str">
        <f aca="false">IF(COUNT(BJ18,BJ19,BJ20,BJ21,BJ22,BJ23,BJ24,BJ25,BJ26)=0,"",SUM(BJ18:BJ26))</f>
        <v/>
      </c>
      <c r="BK27" s="15" t="n">
        <f aca="false">SUM(BK18:BK26)</f>
        <v>89000</v>
      </c>
      <c r="BL27" s="15" t="n">
        <f aca="false">SUM(BL18:BL26)</f>
        <v>89000</v>
      </c>
      <c r="BM27" s="16" t="str">
        <f aca="false">IF(COUNT(BM18,BM19,BM20,BM21,BM22,BM23,BM24,BM25,BM26)=0,"",SUM(BM18:BM26))</f>
        <v/>
      </c>
      <c r="BN27" s="16" t="n">
        <f aca="false">SUM(BN18:BN26)</f>
        <v>89000</v>
      </c>
      <c r="BO27" s="16" t="n">
        <f aca="false">SUM(BO18:BO26)</f>
        <v>89000</v>
      </c>
      <c r="BP27" s="15" t="str">
        <f aca="false">IF(COUNT(BP18,BP19,BP20,BP21,BP22,BP23,BP24,BP25,BP26)=0,"",SUM(BP18:BP26))</f>
        <v/>
      </c>
      <c r="BQ27" s="15" t="n">
        <f aca="false">SUM(BQ18:BQ26)</f>
        <v>89000</v>
      </c>
      <c r="BR27" s="15" t="n">
        <f aca="false">SUM(BR18:BR26)</f>
        <v>89000</v>
      </c>
      <c r="BS27" s="16" t="str">
        <f aca="false">IF(COUNT(BS18,BS19,BS20,BS21,BS22,BS23,BS24,BS25,BS26)=0,"",SUM(BS18:BS26))</f>
        <v/>
      </c>
      <c r="BT27" s="16" t="n">
        <f aca="false">SUM(BT18:BT26)</f>
        <v>89000</v>
      </c>
      <c r="BU27" s="16" t="n">
        <f aca="false">SUM(BU18:BU26)</f>
        <v>89000</v>
      </c>
      <c r="BV27" s="15" t="str">
        <f aca="false">IF(COUNT(BV18,BV19,BV20,BV21,BV22,BV23,BV24,BV25,BV26)=0,"",SUM(BV18:BV26))</f>
        <v/>
      </c>
      <c r="BW27" s="15" t="n">
        <f aca="false">SUM(BW18:BW26)</f>
        <v>89000</v>
      </c>
      <c r="BX27" s="15" t="n">
        <f aca="false">SUM(BX18:BX26)</f>
        <v>89000</v>
      </c>
      <c r="BY27" s="16" t="str">
        <f aca="false">IF(COUNT(BY18,BY19,BY20,BY21,BY22,BY23,BY24,BY25,BY26)=0,"",SUM(BY18:BY26))</f>
        <v/>
      </c>
      <c r="BZ27" s="16" t="n">
        <f aca="false">SUM(BZ18:BZ26)</f>
        <v>89000</v>
      </c>
      <c r="CA27" s="16" t="n">
        <f aca="false">SUM(CA18:CA26)</f>
        <v>89000</v>
      </c>
      <c r="CB27" s="15" t="str">
        <f aca="false">IF(COUNT(CB18,CB19,CB20,CB21,CB22,CB23,CB24,CB25,CB26)=0,"",SUM(CB18:CB26))</f>
        <v/>
      </c>
      <c r="CC27" s="15" t="n">
        <f aca="false">SUM(CC18:CC26)</f>
        <v>89000</v>
      </c>
      <c r="CD27" s="15" t="n">
        <f aca="false">SUM(CD18:CD26)</f>
        <v>89000</v>
      </c>
      <c r="CE27" s="16" t="str">
        <f aca="false">IF(COUNT(CE18,CE19,CE20,CE21,CE22,CE23,CE24,CE25,CE26)=0,"",SUM(CE18:CE26))</f>
        <v/>
      </c>
      <c r="CF27" s="16" t="n">
        <f aca="false">SUM(CF18:CF26)</f>
        <v>89000</v>
      </c>
      <c r="CG27" s="16" t="n">
        <f aca="false">SUM(CG18:CG26)</f>
        <v>89000</v>
      </c>
      <c r="CH27" s="15" t="str">
        <f aca="false">IF(COUNT(CH18,CH19,CH20,CH21,CH22,CH23,CH24,CH25,CH26)=0,"",SUM(CH18:CH26))</f>
        <v/>
      </c>
      <c r="CI27" s="15" t="n">
        <f aca="false">SUM(CI18:CI26)</f>
        <v>89000</v>
      </c>
      <c r="CJ27" s="15" t="n">
        <f aca="false">SUM(CJ18:CJ26)</f>
        <v>89000</v>
      </c>
      <c r="CK27" s="16" t="str">
        <f aca="false">IF(COUNT(CK18,CK19,CK20,CK21,CK22,CK23,CK24,CK25,CK26)=0,"",SUM(CK18:CK26))</f>
        <v/>
      </c>
      <c r="CL27" s="16" t="n">
        <f aca="false">SUM(CL18:CL26)</f>
        <v>89000</v>
      </c>
      <c r="CM27" s="16" t="n">
        <f aca="false">SUM(CM18:CM26)</f>
        <v>89000</v>
      </c>
      <c r="CN27" s="15" t="str">
        <f aca="false">IF(COUNT(CN18,CN19,CN20,CN21,CN22,CN23,CN24,CN25,CN26)=0,"",SUM(CN18:CN26))</f>
        <v/>
      </c>
      <c r="CO27" s="15" t="n">
        <f aca="false">SUM(CO18:CO26)</f>
        <v>89000</v>
      </c>
      <c r="CP27" s="15" t="n">
        <f aca="false">SUM(CP18:CP26)</f>
        <v>89000</v>
      </c>
      <c r="CQ27" s="16" t="str">
        <f aca="false">IF(COUNT(CQ18,CQ19,CQ20,CQ21,CQ22,CQ23,CQ24,CQ25,CQ26)=0,"",SUM(CQ18:CQ26))</f>
        <v/>
      </c>
      <c r="CR27" s="16" t="n">
        <f aca="false">SUM(CR18:CR26)</f>
        <v>89000</v>
      </c>
      <c r="CS27" s="16" t="n">
        <f aca="false">SUM(CS18:CS26)</f>
        <v>89000</v>
      </c>
      <c r="CT27" s="15" t="str">
        <f aca="false">IF(COUNT(CT18,CT19,CT20,CT21,CT22,CT23,CT24,CT25,CT26)=0,"",SUM(CT18:CT26))</f>
        <v/>
      </c>
      <c r="CU27" s="15" t="n">
        <f aca="false">SUM(CU18:CU26)</f>
        <v>89000</v>
      </c>
      <c r="CV27" s="15" t="n">
        <f aca="false">SUM(CV18:CV26)</f>
        <v>89000</v>
      </c>
      <c r="CW27" s="16" t="str">
        <f aca="false">IF(COUNT(CW18,CW19,CW20,CW21,CW22,CW23,CW24,CW25,CW26)=0,"",SUM(CW18:CW26))</f>
        <v/>
      </c>
      <c r="CX27" s="16" t="n">
        <f aca="false">SUM(CX18:CX26)</f>
        <v>89000</v>
      </c>
      <c r="CY27" s="16" t="n">
        <f aca="false">SUM(CY18:CY26)</f>
        <v>89000</v>
      </c>
      <c r="CZ27" s="15" t="str">
        <f aca="false">IF(COUNT(CZ18,CZ19,CZ20,CZ21,CZ22,CZ23,CZ24,CZ25,CZ26)=0,"",SUM(CZ18:CZ26))</f>
        <v/>
      </c>
      <c r="DA27" s="15" t="n">
        <f aca="false">SUM(DA18:DA26)</f>
        <v>89000</v>
      </c>
      <c r="DB27" s="15" t="n">
        <f aca="false">SUM(DB18:DB26)</f>
        <v>89000</v>
      </c>
      <c r="DC27" s="16" t="str">
        <f aca="false">IF(COUNT(DC18,DC19,DC20,DC21,DC22,DC23,DC24,DC25,DC26)=0,"",SUM(DC18:DC26))</f>
        <v/>
      </c>
      <c r="DD27" s="16" t="n">
        <f aca="false">SUM(DD18:DD26)</f>
        <v>89000</v>
      </c>
      <c r="DE27" s="16" t="n">
        <f aca="false">SUM(DE18:DE26)</f>
        <v>89000</v>
      </c>
      <c r="DF27" s="15" t="str">
        <f aca="false">IF(COUNT(DF18,DF19,DF20,DF21,DF22,DF23,DF24,DF25,DF26)=0,"",SUM(DF18:DF26))</f>
        <v/>
      </c>
      <c r="DG27" s="15" t="n">
        <f aca="false">SUM(DG18:DG26)</f>
        <v>89000</v>
      </c>
      <c r="DH27" s="15" t="n">
        <f aca="false">SUM(DH18:DH26)</f>
        <v>89000</v>
      </c>
      <c r="DI27" s="16" t="n">
        <f aca="false">IF(COUNT(DI18,DI19,DI20,DI21,DI22,DI23,DI24,DI25,DI26)=0,"",SUM(DI18:DI26))</f>
        <v>89000</v>
      </c>
      <c r="DJ27" s="16" t="n">
        <f aca="false">SUM(DJ18:DJ26)</f>
        <v>89000</v>
      </c>
      <c r="DK27" s="16" t="n">
        <f aca="false">SUM(DK18:DK26)</f>
        <v>89000</v>
      </c>
      <c r="DL27" s="15" t="n">
        <f aca="false">IF(COUNT(DL18,DL19,DL20,DL21,DL22,DL23,DL24,DL25,DL26)=0,"",SUM(DL18:DL26))</f>
        <v>89000</v>
      </c>
      <c r="DM27" s="15" t="n">
        <f aca="false">SUM(DM18:DM26)</f>
        <v>89000</v>
      </c>
      <c r="DN27" s="15" t="n">
        <f aca="false">SUM(DN18:DN26)</f>
        <v>89000</v>
      </c>
    </row>
    <row r="28" customFormat="false" ht="15.75" hidden="false" customHeight="true" outlineLevel="0" collapsed="false">
      <c r="A28" s="14" t="s">
        <v>178</v>
      </c>
      <c r="B28" s="15" t="str">
        <f aca="false">IF(COUNT(AR28,AO28,AL28,AI28,AF28,AC28,Z28,W28,T28,Q28,N28,K28)=0,"",SUM(AR28,AO28,AL28,AI28,AF28,AC28,Z28,W28,T28,Q28,N28,K28))</f>
        <v/>
      </c>
      <c r="C28" s="15" t="n">
        <f aca="false">IF(COUNT(AS28,AP28,AM28,AJ28,AG28,AD28,AA28,X28,U28,R28,O28,L28)=0,"",SUM(AS28,AP28,AM28,AJ28,AG28,AD28,AA28,X28,U28,R28,O28,L28))</f>
        <v>2278080</v>
      </c>
      <c r="D28" s="15" t="n">
        <f aca="false">IF(COUNT(AT28,AQ28,AN28,AK28,AH28,AE28,AB28,Y28,V28,S28,P28,M28)=0,"",SUM(AT28,AQ28,AN28,AK28,AH28,AE28,AB28,Y28,V28,S28,P28,M28))</f>
        <v>2278080</v>
      </c>
      <c r="E28" s="16" t="str">
        <f aca="false">IF(COUNT(CB28,BY28,BV28,BS28,BP28,BM28,BJ28,BG28,BD28,BA28,AX28,AU28)=0,"",SUM(CB28,BY28,BV28,BS28,BP28,BM28,BJ28,BG28,BD28,BA28,AX28,AU28))</f>
        <v/>
      </c>
      <c r="F28" s="16" t="n">
        <f aca="false">IF(COUNT(CC28,BZ28,BW28,BT28,BQ28,BN28,BK28,BH28,BE28,BB28,AY28,AV28)=0,"",SUM(CC28,BZ28,BW28,BT28,BQ28,BN28,BK28,BH28,BE28,BB28,AY28,AV28))</f>
        <v>2146320</v>
      </c>
      <c r="G28" s="16" t="n">
        <f aca="false">IF(COUNT(CD28,CA28,BX28,BU28,BR28,BO28,BL28,BI28,BF28,BC28,AZ28,AW28)=0,"",SUM(CD28,CA28,BX28,BU28,BR28,BO28,BL28,BI28,BF28,BC28,AZ28,AW28))</f>
        <v>2146320</v>
      </c>
      <c r="H28" s="15" t="n">
        <f aca="false">IF(COUNT(DL28,DI28,DF28,DC28,CZ28,CW28,CT28,CQ28,CN28,CK28,CH28,CE28)=0,"",SUM(DL28,DI28,DF28,DC28,CZ28,CW28,CT28,CQ28,CN28,CK28,CH28,CE28))</f>
        <v>328440</v>
      </c>
      <c r="I28" s="15" t="n">
        <f aca="false">IF(COUNT(DM28,DJ28,DG28,DD28,DA28,CX28,CU28,CR28,CO28,CL28,CI28,CF28)=0,"",SUM(DM28,DJ28,DG28,DD28,DA28,CX28,CU28,CR28,CO28,CL28,CI28,CF28))</f>
        <v>2014560</v>
      </c>
      <c r="J28" s="15" t="n">
        <f aca="false">IF(COUNT(DN28,DK28,DH28,DE28,DB28,CY28,CV28,CS28,CP28,CM28,CJ28,CG28)=0,"",SUM(DN28,DK28,DH28,DE28,DB28,CY28,CV28,CS28,CP28,CM28,CJ28,CG28))</f>
        <v>2014560</v>
      </c>
      <c r="K28" s="16" t="str">
        <f aca="false">IF(COUNT(K17,K27)=0,"",K17+K27)</f>
        <v/>
      </c>
      <c r="L28" s="16" t="n">
        <f aca="false">L17+L27</f>
        <v>189840</v>
      </c>
      <c r="M28" s="16" t="n">
        <f aca="false">M17+M27</f>
        <v>189840</v>
      </c>
      <c r="N28" s="15" t="str">
        <f aca="false">IF(COUNT(N17,N27)=0,"",N17+N27)</f>
        <v/>
      </c>
      <c r="O28" s="15" t="n">
        <f aca="false">O17+O27</f>
        <v>189840</v>
      </c>
      <c r="P28" s="15" t="n">
        <f aca="false">P17+P27</f>
        <v>189840</v>
      </c>
      <c r="Q28" s="16" t="str">
        <f aca="false">IF(COUNT(Q17,Q27)=0,"",Q17+Q27)</f>
        <v/>
      </c>
      <c r="R28" s="16" t="n">
        <f aca="false">R17+R27</f>
        <v>189840</v>
      </c>
      <c r="S28" s="16" t="n">
        <f aca="false">S17+S27</f>
        <v>189840</v>
      </c>
      <c r="T28" s="15" t="str">
        <f aca="false">IF(COUNT(T17,T27)=0,"",T17+T27)</f>
        <v/>
      </c>
      <c r="U28" s="15" t="n">
        <f aca="false">U17+U27</f>
        <v>189840</v>
      </c>
      <c r="V28" s="15" t="n">
        <f aca="false">V17+V27</f>
        <v>189840</v>
      </c>
      <c r="W28" s="16" t="str">
        <f aca="false">IF(COUNT(W17,W27)=0,"",W17+W27)</f>
        <v/>
      </c>
      <c r="X28" s="16" t="n">
        <f aca="false">X17+X27</f>
        <v>189840</v>
      </c>
      <c r="Y28" s="16" t="n">
        <f aca="false">Y17+Y27</f>
        <v>189840</v>
      </c>
      <c r="Z28" s="15" t="str">
        <f aca="false">IF(COUNT(Z17,Z27)=0,"",Z17+Z27)</f>
        <v/>
      </c>
      <c r="AA28" s="15" t="n">
        <f aca="false">AA17+AA27</f>
        <v>189840</v>
      </c>
      <c r="AB28" s="15" t="n">
        <f aca="false">AB17+AB27</f>
        <v>189840</v>
      </c>
      <c r="AC28" s="16" t="str">
        <f aca="false">IF(COUNT(AC17,AC27)=0,"",AC17+AC27)</f>
        <v/>
      </c>
      <c r="AD28" s="16" t="n">
        <f aca="false">AD17+AD27</f>
        <v>189840</v>
      </c>
      <c r="AE28" s="16" t="n">
        <f aca="false">AE17+AE27</f>
        <v>189840</v>
      </c>
      <c r="AF28" s="15" t="str">
        <f aca="false">IF(COUNT(AF17,AF27)=0,"",AF17+AF27)</f>
        <v/>
      </c>
      <c r="AG28" s="15" t="n">
        <f aca="false">AG17+AG27</f>
        <v>189840</v>
      </c>
      <c r="AH28" s="15" t="n">
        <f aca="false">AH17+AH27</f>
        <v>189840</v>
      </c>
      <c r="AI28" s="16" t="str">
        <f aca="false">IF(COUNT(AI17,AI27)=0,"",AI17+AI27)</f>
        <v/>
      </c>
      <c r="AJ28" s="16" t="n">
        <f aca="false">AJ17+AJ27</f>
        <v>189840</v>
      </c>
      <c r="AK28" s="16" t="n">
        <f aca="false">AK17+AK27</f>
        <v>189840</v>
      </c>
      <c r="AL28" s="15" t="str">
        <f aca="false">IF(COUNT(AL17,AL27)=0,"",AL17+AL27)</f>
        <v/>
      </c>
      <c r="AM28" s="15" t="n">
        <f aca="false">AM17+AM27</f>
        <v>189840</v>
      </c>
      <c r="AN28" s="15" t="n">
        <f aca="false">AN17+AN27</f>
        <v>189840</v>
      </c>
      <c r="AO28" s="16" t="str">
        <f aca="false">IF(COUNT(AO17,AO27)=0,"",AO17+AO27)</f>
        <v/>
      </c>
      <c r="AP28" s="16" t="n">
        <f aca="false">AP17+AP27</f>
        <v>189840</v>
      </c>
      <c r="AQ28" s="16" t="n">
        <f aca="false">AQ17+AQ27</f>
        <v>189840</v>
      </c>
      <c r="AR28" s="15" t="str">
        <f aca="false">IF(COUNT(AR17,AR27)=0,"",AR17+AR27)</f>
        <v/>
      </c>
      <c r="AS28" s="15" t="n">
        <f aca="false">AS17+AS27</f>
        <v>189840</v>
      </c>
      <c r="AT28" s="15" t="n">
        <f aca="false">AT17+AT27</f>
        <v>189840</v>
      </c>
      <c r="AU28" s="16" t="str">
        <f aca="false">IF(COUNT(AU17,AU27)=0,"",AU17+AU27)</f>
        <v/>
      </c>
      <c r="AV28" s="16" t="n">
        <f aca="false">AV17+AV27</f>
        <v>189840</v>
      </c>
      <c r="AW28" s="16" t="n">
        <f aca="false">AW17+AW27</f>
        <v>189840</v>
      </c>
      <c r="AX28" s="15" t="str">
        <f aca="false">IF(COUNT(AX17,AX27)=0,"",AX17+AX27)</f>
        <v/>
      </c>
      <c r="AY28" s="15" t="n">
        <f aca="false">AY17+AY27</f>
        <v>189840</v>
      </c>
      <c r="AZ28" s="15" t="n">
        <f aca="false">AZ17+AZ27</f>
        <v>189840</v>
      </c>
      <c r="BA28" s="16" t="str">
        <f aca="false">IF(COUNT(BA17,BA27)=0,"",BA17+BA27)</f>
        <v/>
      </c>
      <c r="BB28" s="16" t="n">
        <f aca="false">BB17+BB27</f>
        <v>189840</v>
      </c>
      <c r="BC28" s="16" t="n">
        <f aca="false">BC17+BC27</f>
        <v>189840</v>
      </c>
      <c r="BD28" s="15" t="str">
        <f aca="false">IF(COUNT(BD17,BD27)=0,"",BD17+BD27)</f>
        <v/>
      </c>
      <c r="BE28" s="15" t="n">
        <f aca="false">BE17+BE27</f>
        <v>175200</v>
      </c>
      <c r="BF28" s="15" t="n">
        <f aca="false">BF17+BF27</f>
        <v>175200</v>
      </c>
      <c r="BG28" s="16" t="str">
        <f aca="false">IF(COUNT(BG17,BG27)=0,"",BG17+BG27)</f>
        <v/>
      </c>
      <c r="BH28" s="16" t="n">
        <f aca="false">BH17+BH27</f>
        <v>175200</v>
      </c>
      <c r="BI28" s="16" t="n">
        <f aca="false">BI17+BI27</f>
        <v>175200</v>
      </c>
      <c r="BJ28" s="15" t="str">
        <f aca="false">IF(COUNT(BJ17,BJ27)=0,"",BJ17+BJ27)</f>
        <v/>
      </c>
      <c r="BK28" s="15" t="n">
        <f aca="false">BK17+BK27</f>
        <v>175200</v>
      </c>
      <c r="BL28" s="15" t="n">
        <f aca="false">BL17+BL27</f>
        <v>175200</v>
      </c>
      <c r="BM28" s="16" t="str">
        <f aca="false">IF(COUNT(BM17,BM27)=0,"",BM17+BM27)</f>
        <v/>
      </c>
      <c r="BN28" s="16" t="n">
        <f aca="false">BN17+BN27</f>
        <v>175200</v>
      </c>
      <c r="BO28" s="16" t="n">
        <f aca="false">BO17+BO27</f>
        <v>175200</v>
      </c>
      <c r="BP28" s="15" t="str">
        <f aca="false">IF(COUNT(BP17,BP27)=0,"",BP17+BP27)</f>
        <v/>
      </c>
      <c r="BQ28" s="15" t="n">
        <f aca="false">BQ17+BQ27</f>
        <v>175200</v>
      </c>
      <c r="BR28" s="15" t="n">
        <f aca="false">BR17+BR27</f>
        <v>175200</v>
      </c>
      <c r="BS28" s="16" t="str">
        <f aca="false">IF(COUNT(BS17,BS27)=0,"",BS17+BS27)</f>
        <v/>
      </c>
      <c r="BT28" s="16" t="n">
        <f aca="false">BT17+BT27</f>
        <v>175200</v>
      </c>
      <c r="BU28" s="16" t="n">
        <f aca="false">BU17+BU27</f>
        <v>175200</v>
      </c>
      <c r="BV28" s="15" t="str">
        <f aca="false">IF(COUNT(BV17,BV27)=0,"",BV17+BV27)</f>
        <v/>
      </c>
      <c r="BW28" s="15" t="n">
        <f aca="false">BW17+BW27</f>
        <v>175200</v>
      </c>
      <c r="BX28" s="15" t="n">
        <f aca="false">BX17+BX27</f>
        <v>175200</v>
      </c>
      <c r="BY28" s="16" t="str">
        <f aca="false">IF(COUNT(BY17,BY27)=0,"",BY17+BY27)</f>
        <v/>
      </c>
      <c r="BZ28" s="16" t="n">
        <f aca="false">BZ17+BZ27</f>
        <v>175200</v>
      </c>
      <c r="CA28" s="16" t="n">
        <f aca="false">CA17+CA27</f>
        <v>175200</v>
      </c>
      <c r="CB28" s="15" t="str">
        <f aca="false">IF(COUNT(CB17,CB27)=0,"",CB17+CB27)</f>
        <v/>
      </c>
      <c r="CC28" s="15" t="n">
        <f aca="false">CC17+CC27</f>
        <v>175200</v>
      </c>
      <c r="CD28" s="15" t="n">
        <f aca="false">CD17+CD27</f>
        <v>175200</v>
      </c>
      <c r="CE28" s="16" t="str">
        <f aca="false">IF(COUNT(CE17,CE27)=0,"",CE17+CE27)</f>
        <v/>
      </c>
      <c r="CF28" s="16" t="n">
        <f aca="false">CF17+CF27</f>
        <v>175200</v>
      </c>
      <c r="CG28" s="16" t="n">
        <f aca="false">CG17+CG27</f>
        <v>175200</v>
      </c>
      <c r="CH28" s="15" t="str">
        <f aca="false">IF(COUNT(CH17,CH27)=0,"",CH17+CH27)</f>
        <v/>
      </c>
      <c r="CI28" s="15" t="n">
        <f aca="false">CI17+CI27</f>
        <v>175200</v>
      </c>
      <c r="CJ28" s="15" t="n">
        <f aca="false">CJ17+CJ27</f>
        <v>175200</v>
      </c>
      <c r="CK28" s="16" t="str">
        <f aca="false">IF(COUNT(CK17,CK27)=0,"",CK17+CK27)</f>
        <v/>
      </c>
      <c r="CL28" s="16" t="n">
        <f aca="false">CL17+CL27</f>
        <v>175200</v>
      </c>
      <c r="CM28" s="16" t="n">
        <f aca="false">CM17+CM27</f>
        <v>175200</v>
      </c>
      <c r="CN28" s="15" t="str">
        <f aca="false">IF(COUNT(CN17,CN27)=0,"",CN17+CN27)</f>
        <v/>
      </c>
      <c r="CO28" s="15" t="n">
        <f aca="false">CO17+CO27</f>
        <v>175200</v>
      </c>
      <c r="CP28" s="15" t="n">
        <f aca="false">CP17+CP27</f>
        <v>175200</v>
      </c>
      <c r="CQ28" s="16" t="str">
        <f aca="false">IF(COUNT(CQ17,CQ27)=0,"",CQ17+CQ27)</f>
        <v/>
      </c>
      <c r="CR28" s="16" t="n">
        <f aca="false">CR17+CR27</f>
        <v>164220</v>
      </c>
      <c r="CS28" s="16" t="n">
        <f aca="false">CS17+CS27</f>
        <v>164220</v>
      </c>
      <c r="CT28" s="15" t="str">
        <f aca="false">IF(COUNT(CT17,CT27)=0,"",CT17+CT27)</f>
        <v/>
      </c>
      <c r="CU28" s="15" t="n">
        <f aca="false">CU17+CU27</f>
        <v>164220</v>
      </c>
      <c r="CV28" s="15" t="n">
        <f aca="false">CV17+CV27</f>
        <v>164220</v>
      </c>
      <c r="CW28" s="16" t="str">
        <f aca="false">IF(COUNT(CW17,CW27)=0,"",CW17+CW27)</f>
        <v/>
      </c>
      <c r="CX28" s="16" t="n">
        <f aca="false">CX17+CX27</f>
        <v>164220</v>
      </c>
      <c r="CY28" s="16" t="n">
        <f aca="false">CY17+CY27</f>
        <v>164220</v>
      </c>
      <c r="CZ28" s="15" t="str">
        <f aca="false">IF(COUNT(CZ17,CZ27)=0,"",CZ17+CZ27)</f>
        <v/>
      </c>
      <c r="DA28" s="15" t="n">
        <f aca="false">DA17+DA27</f>
        <v>164220</v>
      </c>
      <c r="DB28" s="15" t="n">
        <f aca="false">DB17+DB27</f>
        <v>164220</v>
      </c>
      <c r="DC28" s="16" t="str">
        <f aca="false">IF(COUNT(DC17,DC27)=0,"",DC17+DC27)</f>
        <v/>
      </c>
      <c r="DD28" s="16" t="n">
        <f aca="false">DD17+DD27</f>
        <v>164220</v>
      </c>
      <c r="DE28" s="16" t="n">
        <f aca="false">DE17+DE27</f>
        <v>164220</v>
      </c>
      <c r="DF28" s="15" t="str">
        <f aca="false">IF(COUNT(DF17,DF27)=0,"",DF17+DF27)</f>
        <v/>
      </c>
      <c r="DG28" s="15" t="n">
        <f aca="false">DG17+DG27</f>
        <v>164220</v>
      </c>
      <c r="DH28" s="15" t="n">
        <f aca="false">DH17+DH27</f>
        <v>164220</v>
      </c>
      <c r="DI28" s="16" t="n">
        <f aca="false">IF(COUNT(DI17,DI27)=0,"",DI17+DI27)</f>
        <v>164220</v>
      </c>
      <c r="DJ28" s="16" t="n">
        <f aca="false">DJ17+DJ27</f>
        <v>164220</v>
      </c>
      <c r="DK28" s="16" t="n">
        <f aca="false">DK17+DK27</f>
        <v>164220</v>
      </c>
      <c r="DL28" s="15" t="n">
        <f aca="false">IF(COUNT(DL17,DL27)=0,"",DL17+DL27)</f>
        <v>164220</v>
      </c>
      <c r="DM28" s="15" t="n">
        <f aca="false">DM17+DM27</f>
        <v>164220</v>
      </c>
      <c r="DN28" s="15" t="n">
        <f aca="false">DN17+DN27</f>
        <v>164220</v>
      </c>
    </row>
    <row r="29" customFormat="false" ht="15.75" hidden="false" customHeight="true" outlineLevel="0" collapsed="false">
      <c r="A29" s="5" t="s">
        <v>179</v>
      </c>
      <c r="B29" s="24" t="str">
        <f aca="false">IF(SUM(AR5,AO5,AL5,AI5,AF5,AC5,Z5,W5,T5,Q5,N5,K5)=0,"",SUM(AR28,AO28,AL28,AI28,AF28,AC28,Z28,W28,T28,Q28,N28,K28)/SUM(AR5,AO5,AL5,AI5,AF5,AC5,Z5,W5,T5,Q5,N5,K5))</f>
        <v/>
      </c>
      <c r="C29" s="24" t="n">
        <f aca="false">IF(SUM(AS5,AP5,AM5,AJ5,AG5,AD5,AA5,X5,U5,R5,O5,L5)=0,"",SUM(AS28,AP28,AM28,AJ28,AG28,AD28,AA28,X28,U28,R28,O28,L28)/SUM(AS5,AP5,AM5,AJ5,AG5,AD5,AA5,X5,U5,R5,O5,L5))</f>
        <v>797.647058823529</v>
      </c>
      <c r="D29" s="24" t="n">
        <f aca="false">IF(SUM(AT5,AQ5,AN5,AK5,AH5,AE5,AB5,Y5,V5,S5,P5,M5)=0,"",SUM(AT28,AQ28,AN28,AK28,AH28,AE28,AB28,Y28,V28,S28,P28,M28)/SUM(AT5,AQ5,AN5,AK5,AH5,AE5,AB5,Y5,V5,S5,P5,M5))</f>
        <v>797.647058823529</v>
      </c>
      <c r="E29" s="25" t="str">
        <f aca="false">IF(SUM(CB5,BY5,BV5,BS5,BP5,BM5,BJ5,BG5,BD5,BA5,AX5,AU5)=0,"",SUM(CB28,BY28,BV28,BS28,BP28,BM28,BJ28,BG28,BD28,BA28,AX28,AU28)/SUM(CB5,BY5,BV5,BS5,BP5,BM5,BJ5,BG5,BD5,BA5,AX5,AU5))</f>
        <v/>
      </c>
      <c r="F29" s="25" t="n">
        <f aca="false">IF(SUM(CC5,BZ5,BW5,BT5,BQ5,BN5,BK5,BH5,BE5,BB5,AY5,AV5)=0,"",SUM(CC28,BZ28,BW28,BT28,BQ28,BN28,BK28,BH28,BE28,BB28,AY28,AV28)/SUM(CC5,BZ5,BW5,BT5,BQ5,BN5,BK5,BH5,BE5,BB5,AY5,AV5))</f>
        <v>1033.87283236994</v>
      </c>
      <c r="G29" s="25" t="n">
        <f aca="false">IF(SUM(CD5,CA5,BX5,BU5,BR5,BO5,BL5,BI5,BF5,BC5,AZ5,AW5)=0,"",SUM(CD28,CA28,BX28,BU28,BR28,BO28,BL28,BI28,BF28,BC28,AZ28,AW28)/SUM(CD5,CA5,BX5,BU5,BR5,BO5,BL5,BI5,BF5,BC5,AZ5,AW5))</f>
        <v>1033.87283236994</v>
      </c>
      <c r="H29" s="24" t="n">
        <f aca="false">IF(SUM(DL5,DI5,DF5,DC5,CZ5,CW5,CT5,CQ5,CN5,CK5,CH5,CE5)=0,"",SUM(DL28,DI28,DF28,DC28,CZ28,CW28,CT28,CQ28,CN28,CK28,CH28,CE28)/SUM(DL5,DI5,DF5,DC5,CZ5,CW5,CT5,CQ5,CN5,CK5,CH5,CE5))</f>
        <v>1357.19008264463</v>
      </c>
      <c r="I29" s="24" t="n">
        <f aca="false">IF(SUM(DM5,DJ5,DG5,DD5,DA5,CX5,CU5,CR5,CO5,CL5,CI5,CF5)=0,"",SUM(DM28,DJ28,DG28,DD28,DA28,CX28,CU28,CR28,CO28,CL28,CI28,CF28)/SUM(DM5,DJ5,DG5,DD5,DA5,CX5,CU5,CR5,CO5,CL5,CI5,CF5))</f>
        <v>1397.05963938974</v>
      </c>
      <c r="J29" s="24" t="n">
        <f aca="false">IF(SUM(DN5,DK5,DH5,DE5,DB5,CY5,CV5,CS5,CP5,CM5,CJ5,CG5)=0,"",SUM(DN28,DK28,DH28,DE28,DB28,CY28,CV28,CS28,CP28,CM28,CJ28,CG28)/SUM(DN5,DK5,DH5,DE5,DB5,CY5,CV5,CS5,CP5,CM5,CJ5,CG5))</f>
        <v>1399</v>
      </c>
      <c r="K29" s="25" t="str">
        <f aca="false">IF(COUNT(K28,K5)=2,IF(N(K5)=0,"",K28/K5),"")</f>
        <v/>
      </c>
      <c r="L29" s="25" t="n">
        <f aca="false">IF(N(L5)=0,"",L28/L5)</f>
        <v>797.647058823529</v>
      </c>
      <c r="M29" s="25" t="n">
        <f aca="false">IF(N(M5)=0,"",M28/M5)</f>
        <v>797.647058823529</v>
      </c>
      <c r="N29" s="24" t="str">
        <f aca="false">IF(COUNT(N28,N5)=2,IF(N(N5)=0,"",N28/N5),"")</f>
        <v/>
      </c>
      <c r="O29" s="24" t="n">
        <f aca="false">IF(N(O5)=0,"",O28/O5)</f>
        <v>797.647058823529</v>
      </c>
      <c r="P29" s="24" t="n">
        <f aca="false">IF(N(P5)=0,"",P28/P5)</f>
        <v>797.647058823529</v>
      </c>
      <c r="Q29" s="25" t="str">
        <f aca="false">IF(COUNT(Q28,Q5)=2,IF(N(Q5)=0,"",Q28/Q5),"")</f>
        <v/>
      </c>
      <c r="R29" s="25" t="n">
        <f aca="false">IF(N(R5)=0,"",R28/R5)</f>
        <v>797.647058823529</v>
      </c>
      <c r="S29" s="25" t="n">
        <f aca="false">IF(N(S5)=0,"",S28/S5)</f>
        <v>797.647058823529</v>
      </c>
      <c r="T29" s="24" t="str">
        <f aca="false">IF(COUNT(T28,T5)=2,IF(N(T5)=0,"",T28/T5),"")</f>
        <v/>
      </c>
      <c r="U29" s="24" t="n">
        <f aca="false">IF(N(U5)=0,"",U28/U5)</f>
        <v>797.647058823529</v>
      </c>
      <c r="V29" s="24" t="n">
        <f aca="false">IF(N(V5)=0,"",V28/V5)</f>
        <v>797.647058823529</v>
      </c>
      <c r="W29" s="25" t="str">
        <f aca="false">IF(COUNT(W28,W5)=2,IF(N(W5)=0,"",W28/W5),"")</f>
        <v/>
      </c>
      <c r="X29" s="25" t="n">
        <f aca="false">IF(N(X5)=0,"",X28/X5)</f>
        <v>797.647058823529</v>
      </c>
      <c r="Y29" s="25" t="n">
        <f aca="false">IF(N(Y5)=0,"",Y28/Y5)</f>
        <v>797.647058823529</v>
      </c>
      <c r="Z29" s="24" t="str">
        <f aca="false">IF(COUNT(Z28,Z5)=2,IF(N(Z5)=0,"",Z28/Z5),"")</f>
        <v/>
      </c>
      <c r="AA29" s="24" t="n">
        <f aca="false">IF(N(AA5)=0,"",AA28/AA5)</f>
        <v>797.647058823529</v>
      </c>
      <c r="AB29" s="24" t="n">
        <f aca="false">IF(N(AB5)=0,"",AB28/AB5)</f>
        <v>797.647058823529</v>
      </c>
      <c r="AC29" s="25" t="str">
        <f aca="false">IF(COUNT(AC28,AC5)=2,IF(N(AC5)=0,"",AC28/AC5),"")</f>
        <v/>
      </c>
      <c r="AD29" s="25" t="n">
        <f aca="false">IF(N(AD5)=0,"",AD28/AD5)</f>
        <v>797.647058823529</v>
      </c>
      <c r="AE29" s="25" t="n">
        <f aca="false">IF(N(AE5)=0,"",AE28/AE5)</f>
        <v>797.647058823529</v>
      </c>
      <c r="AF29" s="24" t="str">
        <f aca="false">IF(COUNT(AF28,AF5)=2,IF(N(AF5)=0,"",AF28/AF5),"")</f>
        <v/>
      </c>
      <c r="AG29" s="24" t="n">
        <f aca="false">IF(N(AG5)=0,"",AG28/AG5)</f>
        <v>797.647058823529</v>
      </c>
      <c r="AH29" s="24" t="n">
        <f aca="false">IF(N(AH5)=0,"",AH28/AH5)</f>
        <v>797.647058823529</v>
      </c>
      <c r="AI29" s="25" t="str">
        <f aca="false">IF(COUNT(AI28,AI5)=2,IF(N(AI5)=0,"",AI28/AI5),"")</f>
        <v/>
      </c>
      <c r="AJ29" s="25" t="n">
        <f aca="false">IF(N(AJ5)=0,"",AJ28/AJ5)</f>
        <v>797.647058823529</v>
      </c>
      <c r="AK29" s="25" t="n">
        <f aca="false">IF(N(AK5)=0,"",AK28/AK5)</f>
        <v>797.647058823529</v>
      </c>
      <c r="AL29" s="24" t="str">
        <f aca="false">IF(COUNT(AL28,AL5)=2,IF(N(AL5)=0,"",AL28/AL5),"")</f>
        <v/>
      </c>
      <c r="AM29" s="24" t="n">
        <f aca="false">IF(N(AM5)=0,"",AM28/AM5)</f>
        <v>797.647058823529</v>
      </c>
      <c r="AN29" s="24" t="n">
        <f aca="false">IF(N(AN5)=0,"",AN28/AN5)</f>
        <v>797.647058823529</v>
      </c>
      <c r="AO29" s="25" t="str">
        <f aca="false">IF(COUNT(AO28,AO5)=2,IF(N(AO5)=0,"",AO28/AO5),"")</f>
        <v/>
      </c>
      <c r="AP29" s="25" t="n">
        <f aca="false">IF(N(AP5)=0,"",AP28/AP5)</f>
        <v>797.647058823529</v>
      </c>
      <c r="AQ29" s="25" t="n">
        <f aca="false">IF(N(AQ5)=0,"",AQ28/AQ5)</f>
        <v>797.647058823529</v>
      </c>
      <c r="AR29" s="24" t="str">
        <f aca="false">IF(COUNT(AR28,AR5)=2,IF(N(AR5)=0,"",AR28/AR5),"")</f>
        <v/>
      </c>
      <c r="AS29" s="24" t="n">
        <f aca="false">IF(N(AS5)=0,"",AS28/AS5)</f>
        <v>797.647058823529</v>
      </c>
      <c r="AT29" s="24" t="n">
        <f aca="false">IF(N(AT5)=0,"",AT28/AT5)</f>
        <v>797.647058823529</v>
      </c>
      <c r="AU29" s="25" t="str">
        <f aca="false">IF(COUNT(AU28,AU5)=2,IF(N(AU5)=0,"",AU28/AU5),"")</f>
        <v/>
      </c>
      <c r="AV29" s="25" t="n">
        <f aca="false">IF(N(AV5)=0,"",AV28/AV5)</f>
        <v>1097.34104046243</v>
      </c>
      <c r="AW29" s="25" t="n">
        <f aca="false">IF(N(AW5)=0,"",AW28/AW5)</f>
        <v>1097.34104046243</v>
      </c>
      <c r="AX29" s="24" t="str">
        <f aca="false">IF(COUNT(AX28,AX5)=2,IF(N(AX5)=0,"",AX28/AX5),"")</f>
        <v/>
      </c>
      <c r="AY29" s="24" t="n">
        <f aca="false">IF(N(AY5)=0,"",AY28/AY5)</f>
        <v>1097.34104046243</v>
      </c>
      <c r="AZ29" s="24" t="n">
        <f aca="false">IF(N(AZ5)=0,"",AZ28/AZ5)</f>
        <v>1097.34104046243</v>
      </c>
      <c r="BA29" s="25" t="str">
        <f aca="false">IF(COUNT(BA28,BA5)=2,IF(N(BA5)=0,"",BA28/BA5),"")</f>
        <v/>
      </c>
      <c r="BB29" s="25" t="n">
        <f aca="false">IF(N(BB5)=0,"",BB28/BB5)</f>
        <v>1097.34104046243</v>
      </c>
      <c r="BC29" s="25" t="n">
        <f aca="false">IF(N(BC5)=0,"",BC28/BC5)</f>
        <v>1097.34104046243</v>
      </c>
      <c r="BD29" s="24" t="str">
        <f aca="false">IF(COUNT(BD28,BD5)=2,IF(N(BD5)=0,"",BD28/BD5),"")</f>
        <v/>
      </c>
      <c r="BE29" s="24" t="n">
        <f aca="false">IF(N(BE5)=0,"",BE28/BE5)</f>
        <v>1012.71676300578</v>
      </c>
      <c r="BF29" s="24" t="n">
        <f aca="false">IF(N(BF5)=0,"",BF28/BF5)</f>
        <v>1012.71676300578</v>
      </c>
      <c r="BG29" s="25" t="str">
        <f aca="false">IF(COUNT(BG28,BG5)=2,IF(N(BG5)=0,"",BG28/BG5),"")</f>
        <v/>
      </c>
      <c r="BH29" s="25" t="n">
        <f aca="false">IF(N(BH5)=0,"",BH28/BH5)</f>
        <v>1012.71676300578</v>
      </c>
      <c r="BI29" s="25" t="n">
        <f aca="false">IF(N(BI5)=0,"",BI28/BI5)</f>
        <v>1012.71676300578</v>
      </c>
      <c r="BJ29" s="24" t="str">
        <f aca="false">IF(COUNT(BJ28,BJ5)=2,IF(N(BJ5)=0,"",BJ28/BJ5),"")</f>
        <v/>
      </c>
      <c r="BK29" s="24" t="n">
        <f aca="false">IF(N(BK5)=0,"",BK28/BK5)</f>
        <v>1012.71676300578</v>
      </c>
      <c r="BL29" s="24" t="n">
        <f aca="false">IF(N(BL5)=0,"",BL28/BL5)</f>
        <v>1012.71676300578</v>
      </c>
      <c r="BM29" s="25" t="str">
        <f aca="false">IF(COUNT(BM28,BM5)=2,IF(N(BM5)=0,"",BM28/BM5),"")</f>
        <v/>
      </c>
      <c r="BN29" s="25" t="n">
        <f aca="false">IF(N(BN5)=0,"",BN28/BN5)</f>
        <v>1012.71676300578</v>
      </c>
      <c r="BO29" s="25" t="n">
        <f aca="false">IF(N(BO5)=0,"",BO28/BO5)</f>
        <v>1012.71676300578</v>
      </c>
      <c r="BP29" s="24" t="str">
        <f aca="false">IF(COUNT(BP28,BP5)=2,IF(N(BP5)=0,"",BP28/BP5),"")</f>
        <v/>
      </c>
      <c r="BQ29" s="24" t="n">
        <f aca="false">IF(N(BQ5)=0,"",BQ28/BQ5)</f>
        <v>1012.71676300578</v>
      </c>
      <c r="BR29" s="24" t="n">
        <f aca="false">IF(N(BR5)=0,"",BR28/BR5)</f>
        <v>1012.71676300578</v>
      </c>
      <c r="BS29" s="25" t="str">
        <f aca="false">IF(COUNT(BS28,BS5)=2,IF(N(BS5)=0,"",BS28/BS5),"")</f>
        <v/>
      </c>
      <c r="BT29" s="25" t="n">
        <f aca="false">IF(N(BT5)=0,"",BT28/BT5)</f>
        <v>1012.71676300578</v>
      </c>
      <c r="BU29" s="25" t="n">
        <f aca="false">IF(N(BU5)=0,"",BU28/BU5)</f>
        <v>1012.71676300578</v>
      </c>
      <c r="BV29" s="24" t="str">
        <f aca="false">IF(COUNT(BV28,BV5)=2,IF(N(BV5)=0,"",BV28/BV5),"")</f>
        <v/>
      </c>
      <c r="BW29" s="24" t="n">
        <f aca="false">IF(N(BW5)=0,"",BW28/BW5)</f>
        <v>1012.71676300578</v>
      </c>
      <c r="BX29" s="24" t="n">
        <f aca="false">IF(N(BX5)=0,"",BX28/BX5)</f>
        <v>1012.71676300578</v>
      </c>
      <c r="BY29" s="25" t="str">
        <f aca="false">IF(COUNT(BY28,BY5)=2,IF(N(BY5)=0,"",BY28/BY5),"")</f>
        <v/>
      </c>
      <c r="BZ29" s="25" t="n">
        <f aca="false">IF(N(BZ5)=0,"",BZ28/BZ5)</f>
        <v>1012.71676300578</v>
      </c>
      <c r="CA29" s="25" t="n">
        <f aca="false">IF(N(CA5)=0,"",CA28/CA5)</f>
        <v>1012.71676300578</v>
      </c>
      <c r="CB29" s="24" t="str">
        <f aca="false">IF(COUNT(CB28,CB5)=2,IF(N(CB5)=0,"",CB28/CB5),"")</f>
        <v/>
      </c>
      <c r="CC29" s="24" t="n">
        <f aca="false">IF(N(CC5)=0,"",CC28/CC5)</f>
        <v>1012.71676300578</v>
      </c>
      <c r="CD29" s="24" t="n">
        <f aca="false">IF(N(CD5)=0,"",CD28/CD5)</f>
        <v>1012.71676300578</v>
      </c>
      <c r="CE29" s="25" t="str">
        <f aca="false">IF(COUNT(CE28,CE5)=2,IF(N(CE5)=0,"",CE28/CE5),"")</f>
        <v/>
      </c>
      <c r="CF29" s="25" t="n">
        <f aca="false">IF(N(CF5)=0,"",CF28/CF5)</f>
        <v>1460</v>
      </c>
      <c r="CG29" s="25" t="n">
        <f aca="false">IF(N(CG5)=0,"",CG28/CG5)</f>
        <v>1460</v>
      </c>
      <c r="CH29" s="24" t="str">
        <f aca="false">IF(COUNT(CH28,CH5)=2,IF(N(CH5)=0,"",CH28/CH5),"")</f>
        <v/>
      </c>
      <c r="CI29" s="24" t="n">
        <f aca="false">IF(N(CI5)=0,"",CI28/CI5)</f>
        <v>1460</v>
      </c>
      <c r="CJ29" s="24" t="n">
        <f aca="false">IF(N(CJ5)=0,"",CJ28/CJ5)</f>
        <v>1460</v>
      </c>
      <c r="CK29" s="25" t="str">
        <f aca="false">IF(COUNT(CK28,CK5)=2,IF(N(CK5)=0,"",CK28/CK5),"")</f>
        <v/>
      </c>
      <c r="CL29" s="25" t="n">
        <f aca="false">IF(N(CL5)=0,"",CL28/CL5)</f>
        <v>1460</v>
      </c>
      <c r="CM29" s="25" t="n">
        <f aca="false">IF(N(CM5)=0,"",CM28/CM5)</f>
        <v>1460</v>
      </c>
      <c r="CN29" s="24" t="str">
        <f aca="false">IF(COUNT(CN28,CN5)=2,IF(N(CN5)=0,"",CN28/CN5),"")</f>
        <v/>
      </c>
      <c r="CO29" s="24" t="n">
        <f aca="false">IF(N(CO5)=0,"",CO28/CO5)</f>
        <v>1460</v>
      </c>
      <c r="CP29" s="24" t="n">
        <f aca="false">IF(N(CP5)=0,"",CP28/CP5)</f>
        <v>1460</v>
      </c>
      <c r="CQ29" s="25" t="str">
        <f aca="false">IF(COUNT(CQ28,CQ5)=2,IF(N(CQ5)=0,"",CQ28/CQ5),"")</f>
        <v/>
      </c>
      <c r="CR29" s="25" t="n">
        <f aca="false">IF(N(CR5)=0,"",CR28/CR5)</f>
        <v>1368.5</v>
      </c>
      <c r="CS29" s="25" t="n">
        <f aca="false">IF(N(CS5)=0,"",CS28/CS5)</f>
        <v>1368.5</v>
      </c>
      <c r="CT29" s="24" t="str">
        <f aca="false">IF(COUNT(CT28,CT5)=2,IF(N(CT5)=0,"",CT28/CT5),"")</f>
        <v/>
      </c>
      <c r="CU29" s="24" t="n">
        <f aca="false">IF(N(CU5)=0,"",CU28/CU5)</f>
        <v>1368.5</v>
      </c>
      <c r="CV29" s="24" t="n">
        <f aca="false">IF(N(CV5)=0,"",CV28/CV5)</f>
        <v>1368.5</v>
      </c>
      <c r="CW29" s="25" t="str">
        <f aca="false">IF(COUNT(CW28,CW5)=2,IF(N(CW5)=0,"",CW28/CW5),"")</f>
        <v/>
      </c>
      <c r="CX29" s="25" t="n">
        <f aca="false">IF(N(CX5)=0,"",CX28/CX5)</f>
        <v>1368.5</v>
      </c>
      <c r="CY29" s="25" t="n">
        <f aca="false">IF(N(CY5)=0,"",CY28/CY5)</f>
        <v>1368.5</v>
      </c>
      <c r="CZ29" s="24" t="str">
        <f aca="false">IF(COUNT(CZ28,CZ5)=2,IF(N(CZ5)=0,"",CZ28/CZ5),"")</f>
        <v/>
      </c>
      <c r="DA29" s="24" t="n">
        <f aca="false">IF(N(DA5)=0,"",DA28/DA5)</f>
        <v>1368.5</v>
      </c>
      <c r="DB29" s="24" t="n">
        <f aca="false">IF(N(DB5)=0,"",DB28/DB5)</f>
        <v>1368.5</v>
      </c>
      <c r="DC29" s="25" t="str">
        <f aca="false">IF(COUNT(DC28,DC5)=2,IF(N(DC5)=0,"",DC28/DC5),"")</f>
        <v/>
      </c>
      <c r="DD29" s="25" t="n">
        <f aca="false">IF(N(DD5)=0,"",DD28/DD5)</f>
        <v>1368.5</v>
      </c>
      <c r="DE29" s="25" t="n">
        <f aca="false">IF(N(DE5)=0,"",DE28/DE5)</f>
        <v>1368.5</v>
      </c>
      <c r="DF29" s="24" t="str">
        <f aca="false">IF(COUNT(DF28,DF5)=2,IF(N(DF5)=0,"",DF28/DF5),"")</f>
        <v/>
      </c>
      <c r="DG29" s="24" t="n">
        <f aca="false">IF(N(DG5)=0,"",DG28/DG5)</f>
        <v>1368.5</v>
      </c>
      <c r="DH29" s="24" t="n">
        <f aca="false">IF(N(DH5)=0,"",DH28/DH5)</f>
        <v>1368.5</v>
      </c>
      <c r="DI29" s="25" t="n">
        <f aca="false">IF(COUNT(DI28,DI5)=2,IF(N(DI5)=0,"",DI28/DI5),"")</f>
        <v>1368.5</v>
      </c>
      <c r="DJ29" s="25" t="n">
        <f aca="false">IF(N(DJ5)=0,"",DJ28/DJ5)</f>
        <v>1368.5</v>
      </c>
      <c r="DK29" s="25" t="n">
        <f aca="false">IF(N(DK5)=0,"",DK28/DK5)</f>
        <v>1368.5</v>
      </c>
      <c r="DL29" s="24" t="n">
        <f aca="false">IF(COUNT(DL28,DL5)=2,IF(N(DL5)=0,"",DL28/DL5),"")</f>
        <v>1346.06557377049</v>
      </c>
      <c r="DM29" s="24" t="n">
        <f aca="false">IF(N(DM5)=0,"",DM28/DM5)</f>
        <v>1346.06557377049</v>
      </c>
      <c r="DN29" s="24" t="n">
        <f aca="false">IF(N(DN5)=0,"",DN28/DN5)</f>
        <v>1368.5</v>
      </c>
    </row>
    <row r="30" customFormat="false" ht="15.75" hidden="false" customHeight="true" outlineLevel="0" collapsed="false">
      <c r="A30" s="5" t="s">
        <v>180</v>
      </c>
      <c r="B30" s="24" t="str">
        <f aca="false">IF(SUM(AR7,AO7,AL7,AI7,AF7,AC7,Z7,W7,T7,Q7,N7,K7)=0,"",SUM(AR28,AO28,AL28,AI28,AF28,AC28,Z28,W28,T28,Q28,N28,K28)/SUM(AR7,AO7,AL7,AI7,AF7,AC7,Z7,W7,T7,Q7,N7,K7))</f>
        <v/>
      </c>
      <c r="C30" s="24" t="n">
        <f aca="false">IF(SUM(AS7,AP7,AM7,AJ7,AG7,AD7,AA7,X7,U7,R7,O7,L7)=0,"",SUM(AS28,AP28,AM28,AJ28,AG28,AD28,AA28,X28,U28,R28,O28,L28)/SUM(AS7,AP7,AM7,AJ7,AG7,AD7,AA7,X7,U7,R7,O7,L7))</f>
        <v>1282.7027027027</v>
      </c>
      <c r="D30" s="24" t="n">
        <f aca="false">IF(SUM(AT7,AQ7,AN7,AK7,AH7,AE7,AB7,Y7,V7,S7,P7,M7)=0,"",SUM(AT28,AQ28,AN28,AK28,AH28,AE28,AB28,Y28,V28,S28,P28,M28)/SUM(AT7,AQ7,AN7,AK7,AH7,AE7,AB7,Y7,V7,S7,P7,M7))</f>
        <v>1282.7027027027</v>
      </c>
      <c r="E30" s="25" t="str">
        <f aca="false">IF(SUM(CB7,BY7,BV7,BS7,BP7,BM7,BJ7,BG7,BD7,BA7,AX7,AU7)=0,"",SUM(CB28,BY28,BV28,BS28,BP28,BM28,BJ28,BG28,BD28,BA28,AX28,AU28)/SUM(CB7,BY7,BV7,BS7,BP7,BM7,BJ7,BG7,BD7,BA7,AX7,AU7))</f>
        <v/>
      </c>
      <c r="F30" s="25" t="n">
        <f aca="false">IF(SUM(CC7,BZ7,BW7,BT7,BQ7,BN7,BK7,BH7,BE7,BB7,AY7,AV7)=0,"",SUM(CC28,BZ28,BW28,BT28,BQ28,BN28,BK28,BH28,BE28,BB28,AY28,AV28)/SUM(CC7,BZ7,BW7,BT7,BQ7,BN7,BK7,BH7,BE7,BB7,AY7,AV7))</f>
        <v>1671.58878504673</v>
      </c>
      <c r="G30" s="25" t="n">
        <f aca="false">IF(SUM(CD7,CA7,BX7,BU7,BR7,BO7,BL7,BI7,BF7,BC7,AZ7,AW7)=0,"",SUM(CD28,CA28,BX28,BU28,BR28,BO28,BL28,BI28,BF28,BC28,AZ28,AW28)/SUM(CD7,CA7,BX7,BU7,BR7,BO7,BL7,BI7,BF7,BC7,AZ7,AW7))</f>
        <v>1671.58878504673</v>
      </c>
      <c r="H30" s="24" t="n">
        <f aca="false">IF(SUM(DL7,DI7,DF7,DC7,CZ7,CW7,CT7,CQ7,CN7,CK7,CH7,CE7)=0,"",SUM(DL28,DI28,DF28,DC28,CZ28,CW28,CT28,CQ28,CN28,CK28,CH28,CE28)/SUM(DL7,DI7,DF7,DC7,CZ7,CW7,CT7,CQ7,CN7,CK7,CH7,CE7))</f>
        <v>2189.6</v>
      </c>
      <c r="I30" s="24" t="n">
        <f aca="false">IF(SUM(DM7,DJ7,DG7,DD7,DA7,CX7,CU7,CR7,CO7,CL7,CI7,CF7)=0,"",SUM(DM28,DJ28,DG28,DD28,DA28,CX28,CU28,CR28,CO28,CL28,CI28,CF28)/SUM(DM7,DJ7,DG7,DD7,DA7,CX7,CU7,CR7,CO7,CL7,CI7,CF7))</f>
        <v>2263.55056179775</v>
      </c>
      <c r="J30" s="24" t="n">
        <f aca="false">IF(SUM(DN7,DK7,DH7,DE7,DB7,CY7,CV7,CS7,CP7,CM7,CJ7,CG7)=0,"",SUM(DN28,DK28,DH28,DE28,DB28,CY28,CV28,CS28,CP28,CM28,CJ28,CG28)/SUM(DN7,DK7,DH7,DE7,DB7,CY7,CV7,CS7,CP7,CM7,CJ7,CG7))</f>
        <v>2268.64864864865</v>
      </c>
      <c r="K30" s="25" t="str">
        <f aca="false">IF(COUNT(K28,K7)=2,IF(N(K7)=0,"",K28/K7),"")</f>
        <v/>
      </c>
      <c r="L30" s="25" t="n">
        <f aca="false">IF(N(L7)=0,"",L28/L7)</f>
        <v>1282.7027027027</v>
      </c>
      <c r="M30" s="25" t="n">
        <f aca="false">IF(N(M7)=0,"",M28/M7)</f>
        <v>1282.7027027027</v>
      </c>
      <c r="N30" s="24" t="str">
        <f aca="false">IF(COUNT(N28,N7)=2,IF(N(N7)=0,"",N28/N7),"")</f>
        <v/>
      </c>
      <c r="O30" s="24" t="n">
        <f aca="false">IF(N(O7)=0,"",O28/O7)</f>
        <v>1282.7027027027</v>
      </c>
      <c r="P30" s="24" t="n">
        <f aca="false">IF(N(P7)=0,"",P28/P7)</f>
        <v>1282.7027027027</v>
      </c>
      <c r="Q30" s="25" t="str">
        <f aca="false">IF(COUNT(Q28,Q7)=2,IF(N(Q7)=0,"",Q28/Q7),"")</f>
        <v/>
      </c>
      <c r="R30" s="25" t="n">
        <f aca="false">IF(N(R7)=0,"",R28/R7)</f>
        <v>1282.7027027027</v>
      </c>
      <c r="S30" s="25" t="n">
        <f aca="false">IF(N(S7)=0,"",S28/S7)</f>
        <v>1282.7027027027</v>
      </c>
      <c r="T30" s="24" t="str">
        <f aca="false">IF(COUNT(T28,T7)=2,IF(N(T7)=0,"",T28/T7),"")</f>
        <v/>
      </c>
      <c r="U30" s="24" t="n">
        <f aca="false">IF(N(U7)=0,"",U28/U7)</f>
        <v>1282.7027027027</v>
      </c>
      <c r="V30" s="24" t="n">
        <f aca="false">IF(N(V7)=0,"",V28/V7)</f>
        <v>1282.7027027027</v>
      </c>
      <c r="W30" s="25" t="str">
        <f aca="false">IF(COUNT(W28,W7)=2,IF(N(W7)=0,"",W28/W7),"")</f>
        <v/>
      </c>
      <c r="X30" s="25" t="n">
        <f aca="false">IF(N(X7)=0,"",X28/X7)</f>
        <v>1282.7027027027</v>
      </c>
      <c r="Y30" s="25" t="n">
        <f aca="false">IF(N(Y7)=0,"",Y28/Y7)</f>
        <v>1282.7027027027</v>
      </c>
      <c r="Z30" s="24" t="str">
        <f aca="false">IF(COUNT(Z28,Z7)=2,IF(N(Z7)=0,"",Z28/Z7),"")</f>
        <v/>
      </c>
      <c r="AA30" s="24" t="n">
        <f aca="false">IF(N(AA7)=0,"",AA28/AA7)</f>
        <v>1282.7027027027</v>
      </c>
      <c r="AB30" s="24" t="n">
        <f aca="false">IF(N(AB7)=0,"",AB28/AB7)</f>
        <v>1282.7027027027</v>
      </c>
      <c r="AC30" s="25" t="str">
        <f aca="false">IF(COUNT(AC28,AC7)=2,IF(N(AC7)=0,"",AC28/AC7),"")</f>
        <v/>
      </c>
      <c r="AD30" s="25" t="n">
        <f aca="false">IF(N(AD7)=0,"",AD28/AD7)</f>
        <v>1282.7027027027</v>
      </c>
      <c r="AE30" s="25" t="n">
        <f aca="false">IF(N(AE7)=0,"",AE28/AE7)</f>
        <v>1282.7027027027</v>
      </c>
      <c r="AF30" s="24" t="str">
        <f aca="false">IF(COUNT(AF28,AF7)=2,IF(N(AF7)=0,"",AF28/AF7),"")</f>
        <v/>
      </c>
      <c r="AG30" s="24" t="n">
        <f aca="false">IF(N(AG7)=0,"",AG28/AG7)</f>
        <v>1282.7027027027</v>
      </c>
      <c r="AH30" s="24" t="n">
        <f aca="false">IF(N(AH7)=0,"",AH28/AH7)</f>
        <v>1282.7027027027</v>
      </c>
      <c r="AI30" s="25" t="str">
        <f aca="false">IF(COUNT(AI28,AI7)=2,IF(N(AI7)=0,"",AI28/AI7),"")</f>
        <v/>
      </c>
      <c r="AJ30" s="25" t="n">
        <f aca="false">IF(N(AJ7)=0,"",AJ28/AJ7)</f>
        <v>1282.7027027027</v>
      </c>
      <c r="AK30" s="25" t="n">
        <f aca="false">IF(N(AK7)=0,"",AK28/AK7)</f>
        <v>1282.7027027027</v>
      </c>
      <c r="AL30" s="24" t="str">
        <f aca="false">IF(COUNT(AL28,AL7)=2,IF(N(AL7)=0,"",AL28/AL7),"")</f>
        <v/>
      </c>
      <c r="AM30" s="24" t="n">
        <f aca="false">IF(N(AM7)=0,"",AM28/AM7)</f>
        <v>1282.7027027027</v>
      </c>
      <c r="AN30" s="24" t="n">
        <f aca="false">IF(N(AN7)=0,"",AN28/AN7)</f>
        <v>1282.7027027027</v>
      </c>
      <c r="AO30" s="25" t="str">
        <f aca="false">IF(COUNT(AO28,AO7)=2,IF(N(AO7)=0,"",AO28/AO7),"")</f>
        <v/>
      </c>
      <c r="AP30" s="25" t="n">
        <f aca="false">IF(N(AP7)=0,"",AP28/AP7)</f>
        <v>1282.7027027027</v>
      </c>
      <c r="AQ30" s="25" t="n">
        <f aca="false">IF(N(AQ7)=0,"",AQ28/AQ7)</f>
        <v>1282.7027027027</v>
      </c>
      <c r="AR30" s="24" t="str">
        <f aca="false">IF(COUNT(AR28,AR7)=2,IF(N(AR7)=0,"",AR28/AR7),"")</f>
        <v/>
      </c>
      <c r="AS30" s="24" t="n">
        <f aca="false">IF(N(AS7)=0,"",AS28/AS7)</f>
        <v>1282.7027027027</v>
      </c>
      <c r="AT30" s="24" t="n">
        <f aca="false">IF(N(AT7)=0,"",AT28/AT7)</f>
        <v>1282.7027027027</v>
      </c>
      <c r="AU30" s="25" t="str">
        <f aca="false">IF(COUNT(AU28,AU7)=2,IF(N(AU7)=0,"",AU28/AU7),"")</f>
        <v/>
      </c>
      <c r="AV30" s="25" t="n">
        <f aca="false">IF(N(AV7)=0,"",AV28/AV7)</f>
        <v>1774.20560747664</v>
      </c>
      <c r="AW30" s="25" t="n">
        <f aca="false">IF(N(AW7)=0,"",AW28/AW7)</f>
        <v>1774.20560747664</v>
      </c>
      <c r="AX30" s="24" t="str">
        <f aca="false">IF(COUNT(AX28,AX7)=2,IF(N(AX7)=0,"",AX28/AX7),"")</f>
        <v/>
      </c>
      <c r="AY30" s="24" t="n">
        <f aca="false">IF(N(AY7)=0,"",AY28/AY7)</f>
        <v>1774.20560747664</v>
      </c>
      <c r="AZ30" s="24" t="n">
        <f aca="false">IF(N(AZ7)=0,"",AZ28/AZ7)</f>
        <v>1774.20560747664</v>
      </c>
      <c r="BA30" s="25" t="str">
        <f aca="false">IF(COUNT(BA28,BA7)=2,IF(N(BA7)=0,"",BA28/BA7),"")</f>
        <v/>
      </c>
      <c r="BB30" s="25" t="n">
        <f aca="false">IF(N(BB7)=0,"",BB28/BB7)</f>
        <v>1774.20560747664</v>
      </c>
      <c r="BC30" s="25" t="n">
        <f aca="false">IF(N(BC7)=0,"",BC28/BC7)</f>
        <v>1774.20560747664</v>
      </c>
      <c r="BD30" s="24" t="str">
        <f aca="false">IF(COUNT(BD28,BD7)=2,IF(N(BD7)=0,"",BD28/BD7),"")</f>
        <v/>
      </c>
      <c r="BE30" s="24" t="n">
        <f aca="false">IF(N(BE7)=0,"",BE28/BE7)</f>
        <v>1637.38317757009</v>
      </c>
      <c r="BF30" s="24" t="n">
        <f aca="false">IF(N(BF7)=0,"",BF28/BF7)</f>
        <v>1637.38317757009</v>
      </c>
      <c r="BG30" s="25" t="str">
        <f aca="false">IF(COUNT(BG28,BG7)=2,IF(N(BG7)=0,"",BG28/BG7),"")</f>
        <v/>
      </c>
      <c r="BH30" s="25" t="n">
        <f aca="false">IF(N(BH7)=0,"",BH28/BH7)</f>
        <v>1637.38317757009</v>
      </c>
      <c r="BI30" s="25" t="n">
        <f aca="false">IF(N(BI7)=0,"",BI28/BI7)</f>
        <v>1637.38317757009</v>
      </c>
      <c r="BJ30" s="24" t="str">
        <f aca="false">IF(COUNT(BJ28,BJ7)=2,IF(N(BJ7)=0,"",BJ28/BJ7),"")</f>
        <v/>
      </c>
      <c r="BK30" s="24" t="n">
        <f aca="false">IF(N(BK7)=0,"",BK28/BK7)</f>
        <v>1637.38317757009</v>
      </c>
      <c r="BL30" s="24" t="n">
        <f aca="false">IF(N(BL7)=0,"",BL28/BL7)</f>
        <v>1637.38317757009</v>
      </c>
      <c r="BM30" s="25" t="str">
        <f aca="false">IF(COUNT(BM28,BM7)=2,IF(N(BM7)=0,"",BM28/BM7),"")</f>
        <v/>
      </c>
      <c r="BN30" s="25" t="n">
        <f aca="false">IF(N(BN7)=0,"",BN28/BN7)</f>
        <v>1637.38317757009</v>
      </c>
      <c r="BO30" s="25" t="n">
        <f aca="false">IF(N(BO7)=0,"",BO28/BO7)</f>
        <v>1637.38317757009</v>
      </c>
      <c r="BP30" s="24" t="str">
        <f aca="false">IF(COUNT(BP28,BP7)=2,IF(N(BP7)=0,"",BP28/BP7),"")</f>
        <v/>
      </c>
      <c r="BQ30" s="24" t="n">
        <f aca="false">IF(N(BQ7)=0,"",BQ28/BQ7)</f>
        <v>1637.38317757009</v>
      </c>
      <c r="BR30" s="24" t="n">
        <f aca="false">IF(N(BR7)=0,"",BR28/BR7)</f>
        <v>1637.38317757009</v>
      </c>
      <c r="BS30" s="25" t="str">
        <f aca="false">IF(COUNT(BS28,BS7)=2,IF(N(BS7)=0,"",BS28/BS7),"")</f>
        <v/>
      </c>
      <c r="BT30" s="25" t="n">
        <f aca="false">IF(N(BT7)=0,"",BT28/BT7)</f>
        <v>1637.38317757009</v>
      </c>
      <c r="BU30" s="25" t="n">
        <f aca="false">IF(N(BU7)=0,"",BU28/BU7)</f>
        <v>1637.38317757009</v>
      </c>
      <c r="BV30" s="24" t="str">
        <f aca="false">IF(COUNT(BV28,BV7)=2,IF(N(BV7)=0,"",BV28/BV7),"")</f>
        <v/>
      </c>
      <c r="BW30" s="24" t="n">
        <f aca="false">IF(N(BW7)=0,"",BW28/BW7)</f>
        <v>1637.38317757009</v>
      </c>
      <c r="BX30" s="24" t="n">
        <f aca="false">IF(N(BX7)=0,"",BX28/BX7)</f>
        <v>1637.38317757009</v>
      </c>
      <c r="BY30" s="25" t="str">
        <f aca="false">IF(COUNT(BY28,BY7)=2,IF(N(BY7)=0,"",BY28/BY7),"")</f>
        <v/>
      </c>
      <c r="BZ30" s="25" t="n">
        <f aca="false">IF(N(BZ7)=0,"",BZ28/BZ7)</f>
        <v>1637.38317757009</v>
      </c>
      <c r="CA30" s="25" t="n">
        <f aca="false">IF(N(CA7)=0,"",CA28/CA7)</f>
        <v>1637.38317757009</v>
      </c>
      <c r="CB30" s="24" t="str">
        <f aca="false">IF(COUNT(CB28,CB7)=2,IF(N(CB7)=0,"",CB28/CB7),"")</f>
        <v/>
      </c>
      <c r="CC30" s="24" t="n">
        <f aca="false">IF(N(CC7)=0,"",CC28/CC7)</f>
        <v>1637.38317757009</v>
      </c>
      <c r="CD30" s="24" t="n">
        <f aca="false">IF(N(CD7)=0,"",CD28/CD7)</f>
        <v>1637.38317757009</v>
      </c>
      <c r="CE30" s="25" t="str">
        <f aca="false">IF(COUNT(CE28,CE7)=2,IF(N(CE7)=0,"",CE28/CE7),"")</f>
        <v/>
      </c>
      <c r="CF30" s="25" t="n">
        <f aca="false">IF(N(CF7)=0,"",CF28/CF7)</f>
        <v>2367.56756756757</v>
      </c>
      <c r="CG30" s="25" t="n">
        <f aca="false">IF(N(CG7)=0,"",CG28/CG7)</f>
        <v>2367.56756756757</v>
      </c>
      <c r="CH30" s="24" t="str">
        <f aca="false">IF(COUNT(CH28,CH7)=2,IF(N(CH7)=0,"",CH28/CH7),"")</f>
        <v/>
      </c>
      <c r="CI30" s="24" t="n">
        <f aca="false">IF(N(CI7)=0,"",CI28/CI7)</f>
        <v>2367.56756756757</v>
      </c>
      <c r="CJ30" s="24" t="n">
        <f aca="false">IF(N(CJ7)=0,"",CJ28/CJ7)</f>
        <v>2367.56756756757</v>
      </c>
      <c r="CK30" s="25" t="str">
        <f aca="false">IF(COUNT(CK28,CK7)=2,IF(N(CK7)=0,"",CK28/CK7),"")</f>
        <v/>
      </c>
      <c r="CL30" s="25" t="n">
        <f aca="false">IF(N(CL7)=0,"",CL28/CL7)</f>
        <v>2367.56756756757</v>
      </c>
      <c r="CM30" s="25" t="n">
        <f aca="false">IF(N(CM7)=0,"",CM28/CM7)</f>
        <v>2367.56756756757</v>
      </c>
      <c r="CN30" s="24" t="str">
        <f aca="false">IF(COUNT(CN28,CN7)=2,IF(N(CN7)=0,"",CN28/CN7),"")</f>
        <v/>
      </c>
      <c r="CO30" s="24" t="n">
        <f aca="false">IF(N(CO7)=0,"",CO28/CO7)</f>
        <v>2367.56756756757</v>
      </c>
      <c r="CP30" s="24" t="n">
        <f aca="false">IF(N(CP7)=0,"",CP28/CP7)</f>
        <v>2367.56756756757</v>
      </c>
      <c r="CQ30" s="25" t="str">
        <f aca="false">IF(COUNT(CQ28,CQ7)=2,IF(N(CQ7)=0,"",CQ28/CQ7),"")</f>
        <v/>
      </c>
      <c r="CR30" s="25" t="n">
        <f aca="false">IF(N(CR7)=0,"",CR28/CR7)</f>
        <v>2219.18918918919</v>
      </c>
      <c r="CS30" s="25" t="n">
        <f aca="false">IF(N(CS7)=0,"",CS28/CS7)</f>
        <v>2219.18918918919</v>
      </c>
      <c r="CT30" s="24" t="str">
        <f aca="false">IF(COUNT(CT28,CT7)=2,IF(N(CT7)=0,"",CT28/CT7),"")</f>
        <v/>
      </c>
      <c r="CU30" s="24" t="n">
        <f aca="false">IF(N(CU7)=0,"",CU28/CU7)</f>
        <v>2219.18918918919</v>
      </c>
      <c r="CV30" s="24" t="n">
        <f aca="false">IF(N(CV7)=0,"",CV28/CV7)</f>
        <v>2219.18918918919</v>
      </c>
      <c r="CW30" s="25" t="str">
        <f aca="false">IF(COUNT(CW28,CW7)=2,IF(N(CW7)=0,"",CW28/CW7),"")</f>
        <v/>
      </c>
      <c r="CX30" s="25" t="n">
        <f aca="false">IF(N(CX7)=0,"",CX28/CX7)</f>
        <v>2219.18918918919</v>
      </c>
      <c r="CY30" s="25" t="n">
        <f aca="false">IF(N(CY7)=0,"",CY28/CY7)</f>
        <v>2219.18918918919</v>
      </c>
      <c r="CZ30" s="24" t="str">
        <f aca="false">IF(COUNT(CZ28,CZ7)=2,IF(N(CZ7)=0,"",CZ28/CZ7),"")</f>
        <v/>
      </c>
      <c r="DA30" s="24" t="n">
        <f aca="false">IF(N(DA7)=0,"",DA28/DA7)</f>
        <v>2219.18918918919</v>
      </c>
      <c r="DB30" s="24" t="n">
        <f aca="false">IF(N(DB7)=0,"",DB28/DB7)</f>
        <v>2219.18918918919</v>
      </c>
      <c r="DC30" s="25" t="str">
        <f aca="false">IF(COUNT(DC28,DC7)=2,IF(N(DC7)=0,"",DC28/DC7),"")</f>
        <v/>
      </c>
      <c r="DD30" s="25" t="n">
        <f aca="false">IF(N(DD7)=0,"",DD28/DD7)</f>
        <v>2219.18918918919</v>
      </c>
      <c r="DE30" s="25" t="n">
        <f aca="false">IF(N(DE7)=0,"",DE28/DE7)</f>
        <v>2219.18918918919</v>
      </c>
      <c r="DF30" s="24" t="str">
        <f aca="false">IF(COUNT(DF28,DF7)=2,IF(N(DF7)=0,"",DF28/DF7),"")</f>
        <v/>
      </c>
      <c r="DG30" s="24" t="n">
        <f aca="false">IF(N(DG7)=0,"",DG28/DG7)</f>
        <v>2219.18918918919</v>
      </c>
      <c r="DH30" s="24" t="n">
        <f aca="false">IF(N(DH7)=0,"",DH28/DH7)</f>
        <v>2219.18918918919</v>
      </c>
      <c r="DI30" s="25" t="n">
        <f aca="false">IF(COUNT(DI28,DI7)=2,IF(N(DI7)=0,"",DI28/DI7),"")</f>
        <v>2219.18918918919</v>
      </c>
      <c r="DJ30" s="25" t="n">
        <f aca="false">IF(N(DJ7)=0,"",DJ28/DJ7)</f>
        <v>2219.18918918919</v>
      </c>
      <c r="DK30" s="25" t="n">
        <f aca="false">IF(N(DK7)=0,"",DK28/DK7)</f>
        <v>2219.18918918919</v>
      </c>
      <c r="DL30" s="24" t="n">
        <f aca="false">IF(COUNT(DL28,DL7)=2,IF(N(DL7)=0,"",DL28/DL7),"")</f>
        <v>2160.78947368421</v>
      </c>
      <c r="DM30" s="24" t="n">
        <f aca="false">IF(N(DM7)=0,"",DM28/DM7)</f>
        <v>2160.78947368421</v>
      </c>
      <c r="DN30" s="24" t="n">
        <f aca="false">IF(N(DN7)=0,"",DN28/DN7)</f>
        <v>2219.18918918919</v>
      </c>
    </row>
    <row r="31" customFormat="false" ht="15.75" hidden="false" customHeight="true" outlineLevel="0" collapsed="false">
      <c r="A31" s="17" t="s">
        <v>118</v>
      </c>
      <c r="B31" s="91"/>
      <c r="C31" s="91"/>
      <c r="D31" s="91"/>
      <c r="H31" s="91"/>
      <c r="I31" s="91"/>
      <c r="J31" s="91"/>
      <c r="N31" s="91"/>
      <c r="O31" s="91"/>
      <c r="P31" s="91"/>
      <c r="T31" s="91"/>
      <c r="U31" s="91"/>
      <c r="V31" s="91"/>
      <c r="Z31" s="91"/>
      <c r="AA31" s="91"/>
      <c r="AB31" s="91"/>
      <c r="AF31" s="91"/>
      <c r="AG31" s="91"/>
      <c r="AH31" s="91"/>
      <c r="AL31" s="91"/>
      <c r="AM31" s="91"/>
      <c r="AN31" s="91"/>
      <c r="AR31" s="91"/>
      <c r="AS31" s="91"/>
      <c r="AT31" s="91"/>
      <c r="AX31" s="91"/>
      <c r="AY31" s="91"/>
      <c r="AZ31" s="91"/>
      <c r="BD31" s="91"/>
      <c r="BE31" s="91"/>
      <c r="BF31" s="91"/>
      <c r="BJ31" s="91"/>
      <c r="BK31" s="91"/>
      <c r="BL31" s="91"/>
      <c r="BP31" s="91"/>
      <c r="BQ31" s="91"/>
      <c r="BR31" s="91"/>
      <c r="BV31" s="91"/>
      <c r="BW31" s="91"/>
      <c r="BX31" s="91"/>
      <c r="CB31" s="91"/>
      <c r="CC31" s="91"/>
      <c r="CD31" s="91"/>
      <c r="CH31" s="91"/>
      <c r="CI31" s="91"/>
      <c r="CJ31" s="91"/>
      <c r="CN31" s="91"/>
      <c r="CO31" s="91"/>
      <c r="CP31" s="91"/>
      <c r="CT31" s="91"/>
      <c r="CU31" s="91"/>
      <c r="CV31" s="91"/>
      <c r="CZ31" s="91"/>
      <c r="DA31" s="91"/>
      <c r="DB31" s="91"/>
      <c r="DF31" s="91"/>
      <c r="DG31" s="91"/>
      <c r="DH31" s="91"/>
      <c r="DL31" s="91"/>
      <c r="DM31" s="91"/>
      <c r="DN31" s="91"/>
    </row>
    <row r="32" customFormat="false" ht="15.75" hidden="false" customHeight="true" outlineLevel="0" collapsed="false">
      <c r="A32" s="5" t="s">
        <v>181</v>
      </c>
      <c r="B32" s="12" t="str">
        <f aca="false">IF(COUNT(AR32,AO32,AL32,AI32,AF32,AC32,Z32,W32,T32,Q32,N32,K32)=0,"",SUM(AR32,AO32,AL32,AI32,AF32,AC32,Z32,W32,T32,Q32,N32,K32))</f>
        <v/>
      </c>
      <c r="C32" s="12" t="n">
        <f aca="false">IF(COUNT(AS32,AP32,AM32,AJ32,AG32,AD32,AA32,X32,U32,R32,O32,L32)=0,"",SUM(AS32,AP32,AM32,AJ32,AG32,AD32,AA32,X32,U32,R32,O32,L32))</f>
        <v>192000</v>
      </c>
      <c r="D32" s="12" t="n">
        <f aca="false">IF(COUNT(AT32,AQ32,AN32,AK32,AH32,AE32,AB32,Y32,V32,S32,P32,M32)=0,"",SUM(AT32,AQ32,AN32,AK32,AH32,AE32,AB32,Y32,V32,S32,P32,M32))</f>
        <v>192000</v>
      </c>
      <c r="E32" s="13" t="str">
        <f aca="false">IF(COUNT(CB32,BY32,BV32,BS32,BP32,BM32,BJ32,BG32,BD32,BA32,AX32,AU32)=0,"",SUM(CB32,BY32,BV32,BS32,BP32,BM32,BJ32,BG32,BD32,BA32,AX32,AU32))</f>
        <v/>
      </c>
      <c r="F32" s="13" t="n">
        <f aca="false">IF(COUNT(CC32,BZ32,BW32,BT32,BQ32,BN32,BK32,BH32,BE32,BB32,AY32,AV32)=0,"",SUM(CC32,BZ32,BW32,BT32,BQ32,BN32,BK32,BH32,BE32,BB32,AY32,AV32))</f>
        <v>192000</v>
      </c>
      <c r="G32" s="13" t="n">
        <f aca="false">IF(COUNT(CD32,CA32,BX32,BU32,BR32,BO32,BL32,BI32,BF32,BC32,AZ32,AW32)=0,"",SUM(CD32,CA32,BX32,BU32,BR32,BO32,BL32,BI32,BF32,BC32,AZ32,AW32))</f>
        <v>192000</v>
      </c>
      <c r="H32" s="12" t="n">
        <f aca="false">IF(COUNT(DL32,DI32,DF32,DC32,CZ32,CW32,CT32,CQ32,CN32,CK32,CH32,CE32)=0,"",SUM(DL32,DI32,DF32,DC32,CZ32,CW32,CT32,CQ32,CN32,CK32,CH32,CE32))</f>
        <v>32000</v>
      </c>
      <c r="I32" s="12" t="n">
        <f aca="false">IF(COUNT(DM32,DJ32,DG32,DD32,DA32,CX32,CU32,CR32,CO32,CL32,CI32,CF32)=0,"",SUM(DM32,DJ32,DG32,DD32,DA32,CX32,CU32,CR32,CO32,CL32,CI32,CF32))</f>
        <v>192000</v>
      </c>
      <c r="J32" s="12" t="n">
        <f aca="false">IF(COUNT(DN32,DK32,DH32,DE32,DB32,CY32,CV32,CS32,CP32,CM32,CJ32,CG32)=0,"",SUM(DN32,DK32,DH32,DE32,DB32,CY32,CV32,CS32,CP32,CM32,CJ32,CG32))</f>
        <v>192000</v>
      </c>
      <c r="K32" s="13"/>
      <c r="L32" s="13" t="n">
        <f aca="false">IF('Cash Drivers'!L$26,Marketing!K32,Marketing!M32)</f>
        <v>16000</v>
      </c>
      <c r="M32" s="89" t="n">
        <v>16000</v>
      </c>
      <c r="N32" s="12"/>
      <c r="O32" s="12" t="n">
        <f aca="false">IF('Cash Drivers'!O$26,Marketing!N32,Marketing!P32)</f>
        <v>16000</v>
      </c>
      <c r="P32" s="90" t="n">
        <v>16000</v>
      </c>
      <c r="Q32" s="13"/>
      <c r="R32" s="13" t="n">
        <f aca="false">IF('Cash Drivers'!R$26,Marketing!Q32,Marketing!S32)</f>
        <v>16000</v>
      </c>
      <c r="S32" s="89" t="n">
        <v>16000</v>
      </c>
      <c r="T32" s="12"/>
      <c r="U32" s="12" t="n">
        <f aca="false">IF('Cash Drivers'!U$26,Marketing!T32,Marketing!V32)</f>
        <v>16000</v>
      </c>
      <c r="V32" s="90" t="n">
        <v>16000</v>
      </c>
      <c r="W32" s="13"/>
      <c r="X32" s="13" t="n">
        <f aca="false">IF('Cash Drivers'!X$26,Marketing!W32,Marketing!Y32)</f>
        <v>16000</v>
      </c>
      <c r="Y32" s="89" t="n">
        <v>16000</v>
      </c>
      <c r="Z32" s="12"/>
      <c r="AA32" s="12" t="n">
        <f aca="false">IF('Cash Drivers'!AA$26,Marketing!Z32,Marketing!AB32)</f>
        <v>16000</v>
      </c>
      <c r="AB32" s="90" t="n">
        <v>16000</v>
      </c>
      <c r="AC32" s="13"/>
      <c r="AD32" s="13" t="n">
        <f aca="false">IF('Cash Drivers'!AD$26,Marketing!AC32,Marketing!AE32)</f>
        <v>16000</v>
      </c>
      <c r="AE32" s="89" t="n">
        <v>16000</v>
      </c>
      <c r="AF32" s="12"/>
      <c r="AG32" s="12" t="n">
        <f aca="false">IF('Cash Drivers'!AG$26,Marketing!AF32,Marketing!AH32)</f>
        <v>16000</v>
      </c>
      <c r="AH32" s="90" t="n">
        <v>16000</v>
      </c>
      <c r="AI32" s="13"/>
      <c r="AJ32" s="13" t="n">
        <f aca="false">IF('Cash Drivers'!AJ$26,Marketing!AI32,Marketing!AK32)</f>
        <v>16000</v>
      </c>
      <c r="AK32" s="89" t="n">
        <v>16000</v>
      </c>
      <c r="AL32" s="12"/>
      <c r="AM32" s="12" t="n">
        <f aca="false">IF('Cash Drivers'!AM$26,Marketing!AL32,Marketing!AN32)</f>
        <v>16000</v>
      </c>
      <c r="AN32" s="90" t="n">
        <v>16000</v>
      </c>
      <c r="AO32" s="13"/>
      <c r="AP32" s="13" t="n">
        <f aca="false">IF('Cash Drivers'!AP$26,Marketing!AO32,Marketing!AQ32)</f>
        <v>16000</v>
      </c>
      <c r="AQ32" s="89" t="n">
        <v>16000</v>
      </c>
      <c r="AR32" s="12"/>
      <c r="AS32" s="12" t="n">
        <f aca="false">IF('Cash Drivers'!AS$26,Marketing!AR32,Marketing!AT32)</f>
        <v>16000</v>
      </c>
      <c r="AT32" s="90" t="n">
        <v>16000</v>
      </c>
      <c r="AU32" s="13"/>
      <c r="AV32" s="13" t="n">
        <f aca="false">IF('Cash Drivers'!AV$26,Marketing!AU32,Marketing!AW32)</f>
        <v>16000</v>
      </c>
      <c r="AW32" s="89" t="n">
        <v>16000</v>
      </c>
      <c r="AX32" s="12"/>
      <c r="AY32" s="12" t="n">
        <f aca="false">IF('Cash Drivers'!AY$26,Marketing!AX32,Marketing!AZ32)</f>
        <v>16000</v>
      </c>
      <c r="AZ32" s="90" t="n">
        <v>16000</v>
      </c>
      <c r="BA32" s="13"/>
      <c r="BB32" s="13" t="n">
        <f aca="false">IF('Cash Drivers'!BB$26,Marketing!BA32,Marketing!BC32)</f>
        <v>16000</v>
      </c>
      <c r="BC32" s="89" t="n">
        <v>16000</v>
      </c>
      <c r="BD32" s="12"/>
      <c r="BE32" s="12" t="n">
        <f aca="false">IF('Cash Drivers'!BE$26,Marketing!BD32,Marketing!BF32)</f>
        <v>16000</v>
      </c>
      <c r="BF32" s="90" t="n">
        <v>16000</v>
      </c>
      <c r="BG32" s="13"/>
      <c r="BH32" s="13" t="n">
        <f aca="false">IF('Cash Drivers'!BH$26,Marketing!BG32,Marketing!BI32)</f>
        <v>16000</v>
      </c>
      <c r="BI32" s="89" t="n">
        <v>16000</v>
      </c>
      <c r="BJ32" s="12"/>
      <c r="BK32" s="12" t="n">
        <f aca="false">IF('Cash Drivers'!BK$26,Marketing!BJ32,Marketing!BL32)</f>
        <v>16000</v>
      </c>
      <c r="BL32" s="90" t="n">
        <v>16000</v>
      </c>
      <c r="BM32" s="13"/>
      <c r="BN32" s="13" t="n">
        <f aca="false">IF('Cash Drivers'!BN$26,Marketing!BM32,Marketing!BO32)</f>
        <v>16000</v>
      </c>
      <c r="BO32" s="89" t="n">
        <v>16000</v>
      </c>
      <c r="BP32" s="12"/>
      <c r="BQ32" s="12" t="n">
        <f aca="false">IF('Cash Drivers'!BQ$26,Marketing!BP32,Marketing!BR32)</f>
        <v>16000</v>
      </c>
      <c r="BR32" s="90" t="n">
        <v>16000</v>
      </c>
      <c r="BS32" s="13"/>
      <c r="BT32" s="13" t="n">
        <f aca="false">IF('Cash Drivers'!BT$26,Marketing!BS32,Marketing!BU32)</f>
        <v>16000</v>
      </c>
      <c r="BU32" s="89" t="n">
        <v>16000</v>
      </c>
      <c r="BV32" s="12"/>
      <c r="BW32" s="12" t="n">
        <f aca="false">IF('Cash Drivers'!BW$26,Marketing!BV32,Marketing!BX32)</f>
        <v>16000</v>
      </c>
      <c r="BX32" s="90" t="n">
        <v>16000</v>
      </c>
      <c r="BY32" s="13"/>
      <c r="BZ32" s="13" t="n">
        <f aca="false">IF('Cash Drivers'!BZ$26,Marketing!BY32,Marketing!CA32)</f>
        <v>16000</v>
      </c>
      <c r="CA32" s="89" t="n">
        <v>16000</v>
      </c>
      <c r="CB32" s="12"/>
      <c r="CC32" s="12" t="n">
        <f aca="false">IF('Cash Drivers'!CC$26,Marketing!CB32,Marketing!CD32)</f>
        <v>16000</v>
      </c>
      <c r="CD32" s="90" t="n">
        <v>16000</v>
      </c>
      <c r="CE32" s="13"/>
      <c r="CF32" s="13" t="n">
        <f aca="false">IF('Cash Drivers'!CF$26,Marketing!CE32,Marketing!CG32)</f>
        <v>16000</v>
      </c>
      <c r="CG32" s="89" t="n">
        <v>16000</v>
      </c>
      <c r="CH32" s="12"/>
      <c r="CI32" s="12" t="n">
        <f aca="false">IF('Cash Drivers'!CI$26,Marketing!CH32,Marketing!CJ32)</f>
        <v>16000</v>
      </c>
      <c r="CJ32" s="90" t="n">
        <v>16000</v>
      </c>
      <c r="CK32" s="13"/>
      <c r="CL32" s="13" t="n">
        <f aca="false">IF('Cash Drivers'!CL$26,Marketing!CK32,Marketing!CM32)</f>
        <v>16000</v>
      </c>
      <c r="CM32" s="89" t="n">
        <v>16000</v>
      </c>
      <c r="CN32" s="12"/>
      <c r="CO32" s="12" t="n">
        <f aca="false">IF('Cash Drivers'!CO$26,Marketing!CN32,Marketing!CP32)</f>
        <v>16000</v>
      </c>
      <c r="CP32" s="90" t="n">
        <v>16000</v>
      </c>
      <c r="CQ32" s="13"/>
      <c r="CR32" s="13" t="n">
        <f aca="false">IF('Cash Drivers'!CR$26,Marketing!CQ32,Marketing!CS32)</f>
        <v>16000</v>
      </c>
      <c r="CS32" s="89" t="n">
        <v>16000</v>
      </c>
      <c r="CT32" s="12"/>
      <c r="CU32" s="12" t="n">
        <f aca="false">IF('Cash Drivers'!CU$26,Marketing!CT32,Marketing!CV32)</f>
        <v>16000</v>
      </c>
      <c r="CV32" s="90" t="n">
        <v>16000</v>
      </c>
      <c r="CW32" s="13"/>
      <c r="CX32" s="13" t="n">
        <f aca="false">IF('Cash Drivers'!CX$26,Marketing!CW32,Marketing!CY32)</f>
        <v>16000</v>
      </c>
      <c r="CY32" s="89" t="n">
        <v>16000</v>
      </c>
      <c r="CZ32" s="12"/>
      <c r="DA32" s="12" t="n">
        <f aca="false">IF('Cash Drivers'!DA$26,Marketing!CZ32,Marketing!DB32)</f>
        <v>16000</v>
      </c>
      <c r="DB32" s="90" t="n">
        <v>16000</v>
      </c>
      <c r="DC32" s="13"/>
      <c r="DD32" s="13" t="n">
        <f aca="false">IF('Cash Drivers'!DD$26,Marketing!DC32,Marketing!DE32)</f>
        <v>16000</v>
      </c>
      <c r="DE32" s="89" t="n">
        <v>16000</v>
      </c>
      <c r="DF32" s="12"/>
      <c r="DG32" s="12" t="n">
        <f aca="false">IF('Cash Drivers'!DG$26,Marketing!DF32,Marketing!DH32)</f>
        <v>16000</v>
      </c>
      <c r="DH32" s="90" t="n">
        <v>16000</v>
      </c>
      <c r="DI32" s="89" t="n">
        <v>16000</v>
      </c>
      <c r="DJ32" s="13" t="n">
        <f aca="false">IF('Cash Drivers'!DJ$26,Marketing!DI32,Marketing!DK32)</f>
        <v>16000</v>
      </c>
      <c r="DK32" s="89" t="n">
        <v>16000</v>
      </c>
      <c r="DL32" s="90" t="n">
        <v>16000</v>
      </c>
      <c r="DM32" s="12" t="n">
        <f aca="false">IF('Cash Drivers'!DM$26,Marketing!DL32,Marketing!DN32)</f>
        <v>16000</v>
      </c>
      <c r="DN32" s="90" t="n">
        <v>16000</v>
      </c>
    </row>
    <row r="33" customFormat="false" ht="15.75" hidden="false" customHeight="true" outlineLevel="0" collapsed="false">
      <c r="A33" s="5" t="s">
        <v>182</v>
      </c>
      <c r="B33" s="12" t="str">
        <f aca="false">IF(COUNT(AR33,AO33,AL33,AI33,AF33,AC33,Z33,W33,T33,Q33,N33,K33)=0,"",SUM(AR33,AO33,AL33,AI33,AF33,AC33,Z33,W33,T33,Q33,N33,K33))</f>
        <v/>
      </c>
      <c r="C33" s="12" t="n">
        <f aca="false">IF(COUNT(AS33,AP33,AM33,AJ33,AG33,AD33,AA33,X33,U33,R33,O33,L33)=0,"",SUM(AS33,AP33,AM33,AJ33,AG33,AD33,AA33,X33,U33,R33,O33,L33))</f>
        <v>144000</v>
      </c>
      <c r="D33" s="12" t="n">
        <f aca="false">IF(COUNT(AT33,AQ33,AN33,AK33,AH33,AE33,AB33,Y33,V33,S33,P33,M33)=0,"",SUM(AT33,AQ33,AN33,AK33,AH33,AE33,AB33,Y33,V33,S33,P33,M33))</f>
        <v>144000</v>
      </c>
      <c r="E33" s="13" t="str">
        <f aca="false">IF(COUNT(CB33,BY33,BV33,BS33,BP33,BM33,BJ33,BG33,BD33,BA33,AX33,AU33)=0,"",SUM(CB33,BY33,BV33,BS33,BP33,BM33,BJ33,BG33,BD33,BA33,AX33,AU33))</f>
        <v/>
      </c>
      <c r="F33" s="13" t="n">
        <f aca="false">IF(COUNT(CC33,BZ33,BW33,BT33,BQ33,BN33,BK33,BH33,BE33,BB33,AY33,AV33)=0,"",SUM(CC33,BZ33,BW33,BT33,BQ33,BN33,BK33,BH33,BE33,BB33,AY33,AV33))</f>
        <v>144000</v>
      </c>
      <c r="G33" s="13" t="n">
        <f aca="false">IF(COUNT(CD33,CA33,BX33,BU33,BR33,BO33,BL33,BI33,BF33,BC33,AZ33,AW33)=0,"",SUM(CD33,CA33,BX33,BU33,BR33,BO33,BL33,BI33,BF33,BC33,AZ33,AW33))</f>
        <v>144000</v>
      </c>
      <c r="H33" s="12" t="n">
        <f aca="false">IF(COUNT(DL33,DI33,DF33,DC33,CZ33,CW33,CT33,CQ33,CN33,CK33,CH33,CE33)=0,"",SUM(DL33,DI33,DF33,DC33,CZ33,CW33,CT33,CQ33,CN33,CK33,CH33,CE33))</f>
        <v>24000</v>
      </c>
      <c r="I33" s="12" t="n">
        <f aca="false">IF(COUNT(DM33,DJ33,DG33,DD33,DA33,CX33,CU33,CR33,CO33,CL33,CI33,CF33)=0,"",SUM(DM33,DJ33,DG33,DD33,DA33,CX33,CU33,CR33,CO33,CL33,CI33,CF33))</f>
        <v>144000</v>
      </c>
      <c r="J33" s="12" t="n">
        <f aca="false">IF(COUNT(DN33,DK33,DH33,DE33,DB33,CY33,CV33,CS33,CP33,CM33,CJ33,CG33)=0,"",SUM(DN33,DK33,DH33,DE33,DB33,CY33,CV33,CS33,CP33,CM33,CJ33,CG33))</f>
        <v>144000</v>
      </c>
      <c r="K33" s="13"/>
      <c r="L33" s="13" t="n">
        <f aca="false">IF('Cash Drivers'!L$26,Marketing!K33,Marketing!M33)</f>
        <v>12000</v>
      </c>
      <c r="M33" s="89" t="n">
        <v>12000</v>
      </c>
      <c r="N33" s="12"/>
      <c r="O33" s="12" t="n">
        <f aca="false">IF('Cash Drivers'!O$26,Marketing!N33,Marketing!P33)</f>
        <v>12000</v>
      </c>
      <c r="P33" s="90" t="n">
        <v>12000</v>
      </c>
      <c r="Q33" s="13"/>
      <c r="R33" s="13" t="n">
        <f aca="false">IF('Cash Drivers'!R$26,Marketing!Q33,Marketing!S33)</f>
        <v>12000</v>
      </c>
      <c r="S33" s="89" t="n">
        <v>12000</v>
      </c>
      <c r="T33" s="12"/>
      <c r="U33" s="12" t="n">
        <f aca="false">IF('Cash Drivers'!U$26,Marketing!T33,Marketing!V33)</f>
        <v>12000</v>
      </c>
      <c r="V33" s="90" t="n">
        <v>12000</v>
      </c>
      <c r="W33" s="13"/>
      <c r="X33" s="13" t="n">
        <f aca="false">IF('Cash Drivers'!X$26,Marketing!W33,Marketing!Y33)</f>
        <v>12000</v>
      </c>
      <c r="Y33" s="89" t="n">
        <v>12000</v>
      </c>
      <c r="Z33" s="12"/>
      <c r="AA33" s="12" t="n">
        <f aca="false">IF('Cash Drivers'!AA$26,Marketing!Z33,Marketing!AB33)</f>
        <v>12000</v>
      </c>
      <c r="AB33" s="90" t="n">
        <v>12000</v>
      </c>
      <c r="AC33" s="13"/>
      <c r="AD33" s="13" t="n">
        <f aca="false">IF('Cash Drivers'!AD$26,Marketing!AC33,Marketing!AE33)</f>
        <v>12000</v>
      </c>
      <c r="AE33" s="89" t="n">
        <v>12000</v>
      </c>
      <c r="AF33" s="12"/>
      <c r="AG33" s="12" t="n">
        <f aca="false">IF('Cash Drivers'!AG$26,Marketing!AF33,Marketing!AH33)</f>
        <v>12000</v>
      </c>
      <c r="AH33" s="90" t="n">
        <v>12000</v>
      </c>
      <c r="AI33" s="13"/>
      <c r="AJ33" s="13" t="n">
        <f aca="false">IF('Cash Drivers'!AJ$26,Marketing!AI33,Marketing!AK33)</f>
        <v>12000</v>
      </c>
      <c r="AK33" s="89" t="n">
        <v>12000</v>
      </c>
      <c r="AL33" s="12"/>
      <c r="AM33" s="12" t="n">
        <f aca="false">IF('Cash Drivers'!AM$26,Marketing!AL33,Marketing!AN33)</f>
        <v>12000</v>
      </c>
      <c r="AN33" s="90" t="n">
        <v>12000</v>
      </c>
      <c r="AO33" s="13"/>
      <c r="AP33" s="13" t="n">
        <f aca="false">IF('Cash Drivers'!AP$26,Marketing!AO33,Marketing!AQ33)</f>
        <v>12000</v>
      </c>
      <c r="AQ33" s="89" t="n">
        <v>12000</v>
      </c>
      <c r="AR33" s="12"/>
      <c r="AS33" s="12" t="n">
        <f aca="false">IF('Cash Drivers'!AS$26,Marketing!AR33,Marketing!AT33)</f>
        <v>12000</v>
      </c>
      <c r="AT33" s="90" t="n">
        <v>12000</v>
      </c>
      <c r="AU33" s="13"/>
      <c r="AV33" s="13" t="n">
        <f aca="false">IF('Cash Drivers'!AV$26,Marketing!AU33,Marketing!AW33)</f>
        <v>12000</v>
      </c>
      <c r="AW33" s="89" t="n">
        <v>12000</v>
      </c>
      <c r="AX33" s="12"/>
      <c r="AY33" s="12" t="n">
        <f aca="false">IF('Cash Drivers'!AY$26,Marketing!AX33,Marketing!AZ33)</f>
        <v>12000</v>
      </c>
      <c r="AZ33" s="90" t="n">
        <v>12000</v>
      </c>
      <c r="BA33" s="13"/>
      <c r="BB33" s="13" t="n">
        <f aca="false">IF('Cash Drivers'!BB$26,Marketing!BA33,Marketing!BC33)</f>
        <v>12000</v>
      </c>
      <c r="BC33" s="89" t="n">
        <v>12000</v>
      </c>
      <c r="BD33" s="12"/>
      <c r="BE33" s="12" t="n">
        <f aca="false">IF('Cash Drivers'!BE$26,Marketing!BD33,Marketing!BF33)</f>
        <v>12000</v>
      </c>
      <c r="BF33" s="90" t="n">
        <v>12000</v>
      </c>
      <c r="BG33" s="13"/>
      <c r="BH33" s="13" t="n">
        <f aca="false">IF('Cash Drivers'!BH$26,Marketing!BG33,Marketing!BI33)</f>
        <v>12000</v>
      </c>
      <c r="BI33" s="89" t="n">
        <v>12000</v>
      </c>
      <c r="BJ33" s="12"/>
      <c r="BK33" s="12" t="n">
        <f aca="false">IF('Cash Drivers'!BK$26,Marketing!BJ33,Marketing!BL33)</f>
        <v>12000</v>
      </c>
      <c r="BL33" s="90" t="n">
        <v>12000</v>
      </c>
      <c r="BM33" s="13"/>
      <c r="BN33" s="13" t="n">
        <f aca="false">IF('Cash Drivers'!BN$26,Marketing!BM33,Marketing!BO33)</f>
        <v>12000</v>
      </c>
      <c r="BO33" s="89" t="n">
        <v>12000</v>
      </c>
      <c r="BP33" s="12"/>
      <c r="BQ33" s="12" t="n">
        <f aca="false">IF('Cash Drivers'!BQ$26,Marketing!BP33,Marketing!BR33)</f>
        <v>12000</v>
      </c>
      <c r="BR33" s="90" t="n">
        <v>12000</v>
      </c>
      <c r="BS33" s="13"/>
      <c r="BT33" s="13" t="n">
        <f aca="false">IF('Cash Drivers'!BT$26,Marketing!BS33,Marketing!BU33)</f>
        <v>12000</v>
      </c>
      <c r="BU33" s="89" t="n">
        <v>12000</v>
      </c>
      <c r="BV33" s="12"/>
      <c r="BW33" s="12" t="n">
        <f aca="false">IF('Cash Drivers'!BW$26,Marketing!BV33,Marketing!BX33)</f>
        <v>12000</v>
      </c>
      <c r="BX33" s="90" t="n">
        <v>12000</v>
      </c>
      <c r="BY33" s="13"/>
      <c r="BZ33" s="13" t="n">
        <f aca="false">IF('Cash Drivers'!BZ$26,Marketing!BY33,Marketing!CA33)</f>
        <v>12000</v>
      </c>
      <c r="CA33" s="89" t="n">
        <v>12000</v>
      </c>
      <c r="CB33" s="12"/>
      <c r="CC33" s="12" t="n">
        <f aca="false">IF('Cash Drivers'!CC$26,Marketing!CB33,Marketing!CD33)</f>
        <v>12000</v>
      </c>
      <c r="CD33" s="90" t="n">
        <v>12000</v>
      </c>
      <c r="CE33" s="13"/>
      <c r="CF33" s="13" t="n">
        <f aca="false">IF('Cash Drivers'!CF$26,Marketing!CE33,Marketing!CG33)</f>
        <v>12000</v>
      </c>
      <c r="CG33" s="89" t="n">
        <v>12000</v>
      </c>
      <c r="CH33" s="12"/>
      <c r="CI33" s="12" t="n">
        <f aca="false">IF('Cash Drivers'!CI$26,Marketing!CH33,Marketing!CJ33)</f>
        <v>12000</v>
      </c>
      <c r="CJ33" s="90" t="n">
        <v>12000</v>
      </c>
      <c r="CK33" s="13"/>
      <c r="CL33" s="13" t="n">
        <f aca="false">IF('Cash Drivers'!CL$26,Marketing!CK33,Marketing!CM33)</f>
        <v>12000</v>
      </c>
      <c r="CM33" s="89" t="n">
        <v>12000</v>
      </c>
      <c r="CN33" s="12"/>
      <c r="CO33" s="12" t="n">
        <f aca="false">IF('Cash Drivers'!CO$26,Marketing!CN33,Marketing!CP33)</f>
        <v>12000</v>
      </c>
      <c r="CP33" s="90" t="n">
        <v>12000</v>
      </c>
      <c r="CQ33" s="13"/>
      <c r="CR33" s="13" t="n">
        <f aca="false">IF('Cash Drivers'!CR$26,Marketing!CQ33,Marketing!CS33)</f>
        <v>12000</v>
      </c>
      <c r="CS33" s="89" t="n">
        <v>12000</v>
      </c>
      <c r="CT33" s="12"/>
      <c r="CU33" s="12" t="n">
        <f aca="false">IF('Cash Drivers'!CU$26,Marketing!CT33,Marketing!CV33)</f>
        <v>12000</v>
      </c>
      <c r="CV33" s="90" t="n">
        <v>12000</v>
      </c>
      <c r="CW33" s="13"/>
      <c r="CX33" s="13" t="n">
        <f aca="false">IF('Cash Drivers'!CX$26,Marketing!CW33,Marketing!CY33)</f>
        <v>12000</v>
      </c>
      <c r="CY33" s="89" t="n">
        <v>12000</v>
      </c>
      <c r="CZ33" s="12"/>
      <c r="DA33" s="12" t="n">
        <f aca="false">IF('Cash Drivers'!DA$26,Marketing!CZ33,Marketing!DB33)</f>
        <v>12000</v>
      </c>
      <c r="DB33" s="90" t="n">
        <v>12000</v>
      </c>
      <c r="DC33" s="13"/>
      <c r="DD33" s="13" t="n">
        <f aca="false">IF('Cash Drivers'!DD$26,Marketing!DC33,Marketing!DE33)</f>
        <v>12000</v>
      </c>
      <c r="DE33" s="89" t="n">
        <v>12000</v>
      </c>
      <c r="DF33" s="12"/>
      <c r="DG33" s="12" t="n">
        <f aca="false">IF('Cash Drivers'!DG$26,Marketing!DF33,Marketing!DH33)</f>
        <v>12000</v>
      </c>
      <c r="DH33" s="90" t="n">
        <v>12000</v>
      </c>
      <c r="DI33" s="89" t="n">
        <v>12000</v>
      </c>
      <c r="DJ33" s="13" t="n">
        <f aca="false">IF('Cash Drivers'!DJ$26,Marketing!DI33,Marketing!DK33)</f>
        <v>12000</v>
      </c>
      <c r="DK33" s="89" t="n">
        <v>12000</v>
      </c>
      <c r="DL33" s="90" t="n">
        <v>12000</v>
      </c>
      <c r="DM33" s="12" t="n">
        <f aca="false">IF('Cash Drivers'!DM$26,Marketing!DL33,Marketing!DN33)</f>
        <v>12000</v>
      </c>
      <c r="DN33" s="90" t="n">
        <v>12000</v>
      </c>
    </row>
    <row r="34" customFormat="false" ht="15.75" hidden="false" customHeight="true" outlineLevel="0" collapsed="false">
      <c r="A34" s="5" t="s">
        <v>183</v>
      </c>
      <c r="B34" s="12" t="str">
        <f aca="false">IF(COUNT(AR34,AO34,AL34,AI34,AF34,AC34,Z34,W34,T34,Q34,N34,K34)=0,"",SUM(AR34,AO34,AL34,AI34,AF34,AC34,Z34,W34,T34,Q34,N34,K34))</f>
        <v/>
      </c>
      <c r="C34" s="12" t="n">
        <f aca="false">IF(COUNT(AS34,AP34,AM34,AJ34,AG34,AD34,AA34,X34,U34,R34,O34,L34)=0,"",SUM(AS34,AP34,AM34,AJ34,AG34,AD34,AA34,X34,U34,R34,O34,L34))</f>
        <v>144000</v>
      </c>
      <c r="D34" s="12" t="n">
        <f aca="false">IF(COUNT(AT34,AQ34,AN34,AK34,AH34,AE34,AB34,Y34,V34,S34,P34,M34)=0,"",SUM(AT34,AQ34,AN34,AK34,AH34,AE34,AB34,Y34,V34,S34,P34,M34))</f>
        <v>144000</v>
      </c>
      <c r="E34" s="13" t="str">
        <f aca="false">IF(COUNT(CB34,BY34,BV34,BS34,BP34,BM34,BJ34,BG34,BD34,BA34,AX34,AU34)=0,"",SUM(CB34,BY34,BV34,BS34,BP34,BM34,BJ34,BG34,BD34,BA34,AX34,AU34))</f>
        <v/>
      </c>
      <c r="F34" s="13" t="n">
        <f aca="false">IF(COUNT(CC34,BZ34,BW34,BT34,BQ34,BN34,BK34,BH34,BE34,BB34,AY34,AV34)=0,"",SUM(CC34,BZ34,BW34,BT34,BQ34,BN34,BK34,BH34,BE34,BB34,AY34,AV34))</f>
        <v>144000</v>
      </c>
      <c r="G34" s="13" t="n">
        <f aca="false">IF(COUNT(CD34,CA34,BX34,BU34,BR34,BO34,BL34,BI34,BF34,BC34,AZ34,AW34)=0,"",SUM(CD34,CA34,BX34,BU34,BR34,BO34,BL34,BI34,BF34,BC34,AZ34,AW34))</f>
        <v>144000</v>
      </c>
      <c r="H34" s="12" t="n">
        <f aca="false">IF(COUNT(DL34,DI34,DF34,DC34,CZ34,CW34,CT34,CQ34,CN34,CK34,CH34,CE34)=0,"",SUM(DL34,DI34,DF34,DC34,CZ34,CW34,CT34,CQ34,CN34,CK34,CH34,CE34))</f>
        <v>24000</v>
      </c>
      <c r="I34" s="12" t="n">
        <f aca="false">IF(COUNT(DM34,DJ34,DG34,DD34,DA34,CX34,CU34,CR34,CO34,CL34,CI34,CF34)=0,"",SUM(DM34,DJ34,DG34,DD34,DA34,CX34,CU34,CR34,CO34,CL34,CI34,CF34))</f>
        <v>144000</v>
      </c>
      <c r="J34" s="12" t="n">
        <f aca="false">IF(COUNT(DN34,DK34,DH34,DE34,DB34,CY34,CV34,CS34,CP34,CM34,CJ34,CG34)=0,"",SUM(DN34,DK34,DH34,DE34,DB34,CY34,CV34,CS34,CP34,CM34,CJ34,CG34))</f>
        <v>144000</v>
      </c>
      <c r="K34" s="13"/>
      <c r="L34" s="13" t="n">
        <f aca="false">IF('Cash Drivers'!L$26,Marketing!K34,Marketing!M34)</f>
        <v>12000</v>
      </c>
      <c r="M34" s="89" t="n">
        <v>12000</v>
      </c>
      <c r="N34" s="12"/>
      <c r="O34" s="12" t="n">
        <f aca="false">IF('Cash Drivers'!O$26,Marketing!N34,Marketing!P34)</f>
        <v>12000</v>
      </c>
      <c r="P34" s="90" t="n">
        <v>12000</v>
      </c>
      <c r="Q34" s="13"/>
      <c r="R34" s="13" t="n">
        <f aca="false">IF('Cash Drivers'!R$26,Marketing!Q34,Marketing!S34)</f>
        <v>12000</v>
      </c>
      <c r="S34" s="89" t="n">
        <v>12000</v>
      </c>
      <c r="T34" s="12"/>
      <c r="U34" s="12" t="n">
        <f aca="false">IF('Cash Drivers'!U$26,Marketing!T34,Marketing!V34)</f>
        <v>12000</v>
      </c>
      <c r="V34" s="90" t="n">
        <v>12000</v>
      </c>
      <c r="W34" s="13"/>
      <c r="X34" s="13" t="n">
        <f aca="false">IF('Cash Drivers'!X$26,Marketing!W34,Marketing!Y34)</f>
        <v>12000</v>
      </c>
      <c r="Y34" s="89" t="n">
        <v>12000</v>
      </c>
      <c r="Z34" s="12"/>
      <c r="AA34" s="12" t="n">
        <f aca="false">IF('Cash Drivers'!AA$26,Marketing!Z34,Marketing!AB34)</f>
        <v>12000</v>
      </c>
      <c r="AB34" s="90" t="n">
        <v>12000</v>
      </c>
      <c r="AC34" s="13"/>
      <c r="AD34" s="13" t="n">
        <f aca="false">IF('Cash Drivers'!AD$26,Marketing!AC34,Marketing!AE34)</f>
        <v>12000</v>
      </c>
      <c r="AE34" s="89" t="n">
        <v>12000</v>
      </c>
      <c r="AF34" s="12"/>
      <c r="AG34" s="12" t="n">
        <f aca="false">IF('Cash Drivers'!AG$26,Marketing!AF34,Marketing!AH34)</f>
        <v>12000</v>
      </c>
      <c r="AH34" s="90" t="n">
        <v>12000</v>
      </c>
      <c r="AI34" s="13"/>
      <c r="AJ34" s="13" t="n">
        <f aca="false">IF('Cash Drivers'!AJ$26,Marketing!AI34,Marketing!AK34)</f>
        <v>12000</v>
      </c>
      <c r="AK34" s="89" t="n">
        <v>12000</v>
      </c>
      <c r="AL34" s="12"/>
      <c r="AM34" s="12" t="n">
        <f aca="false">IF('Cash Drivers'!AM$26,Marketing!AL34,Marketing!AN34)</f>
        <v>12000</v>
      </c>
      <c r="AN34" s="90" t="n">
        <v>12000</v>
      </c>
      <c r="AO34" s="13"/>
      <c r="AP34" s="13" t="n">
        <f aca="false">IF('Cash Drivers'!AP$26,Marketing!AO34,Marketing!AQ34)</f>
        <v>12000</v>
      </c>
      <c r="AQ34" s="89" t="n">
        <v>12000</v>
      </c>
      <c r="AR34" s="12"/>
      <c r="AS34" s="12" t="n">
        <f aca="false">IF('Cash Drivers'!AS$26,Marketing!AR34,Marketing!AT34)</f>
        <v>12000</v>
      </c>
      <c r="AT34" s="90" t="n">
        <v>12000</v>
      </c>
      <c r="AU34" s="13"/>
      <c r="AV34" s="13" t="n">
        <f aca="false">IF('Cash Drivers'!AV$26,Marketing!AU34,Marketing!AW34)</f>
        <v>12000</v>
      </c>
      <c r="AW34" s="89" t="n">
        <v>12000</v>
      </c>
      <c r="AX34" s="12"/>
      <c r="AY34" s="12" t="n">
        <f aca="false">IF('Cash Drivers'!AY$26,Marketing!AX34,Marketing!AZ34)</f>
        <v>12000</v>
      </c>
      <c r="AZ34" s="90" t="n">
        <v>12000</v>
      </c>
      <c r="BA34" s="13"/>
      <c r="BB34" s="13" t="n">
        <f aca="false">IF('Cash Drivers'!BB$26,Marketing!BA34,Marketing!BC34)</f>
        <v>12000</v>
      </c>
      <c r="BC34" s="89" t="n">
        <v>12000</v>
      </c>
      <c r="BD34" s="12"/>
      <c r="BE34" s="12" t="n">
        <f aca="false">IF('Cash Drivers'!BE$26,Marketing!BD34,Marketing!BF34)</f>
        <v>12000</v>
      </c>
      <c r="BF34" s="90" t="n">
        <v>12000</v>
      </c>
      <c r="BG34" s="13"/>
      <c r="BH34" s="13" t="n">
        <f aca="false">IF('Cash Drivers'!BH$26,Marketing!BG34,Marketing!BI34)</f>
        <v>12000</v>
      </c>
      <c r="BI34" s="89" t="n">
        <v>12000</v>
      </c>
      <c r="BJ34" s="12"/>
      <c r="BK34" s="12" t="n">
        <f aca="false">IF('Cash Drivers'!BK$26,Marketing!BJ34,Marketing!BL34)</f>
        <v>12000</v>
      </c>
      <c r="BL34" s="90" t="n">
        <v>12000</v>
      </c>
      <c r="BM34" s="13"/>
      <c r="BN34" s="13" t="n">
        <f aca="false">IF('Cash Drivers'!BN$26,Marketing!BM34,Marketing!BO34)</f>
        <v>12000</v>
      </c>
      <c r="BO34" s="89" t="n">
        <v>12000</v>
      </c>
      <c r="BP34" s="12"/>
      <c r="BQ34" s="12" t="n">
        <f aca="false">IF('Cash Drivers'!BQ$26,Marketing!BP34,Marketing!BR34)</f>
        <v>12000</v>
      </c>
      <c r="BR34" s="90" t="n">
        <v>12000</v>
      </c>
      <c r="BS34" s="13"/>
      <c r="BT34" s="13" t="n">
        <f aca="false">IF('Cash Drivers'!BT$26,Marketing!BS34,Marketing!BU34)</f>
        <v>12000</v>
      </c>
      <c r="BU34" s="89" t="n">
        <v>12000</v>
      </c>
      <c r="BV34" s="12"/>
      <c r="BW34" s="12" t="n">
        <f aca="false">IF('Cash Drivers'!BW$26,Marketing!BV34,Marketing!BX34)</f>
        <v>12000</v>
      </c>
      <c r="BX34" s="90" t="n">
        <v>12000</v>
      </c>
      <c r="BY34" s="13"/>
      <c r="BZ34" s="13" t="n">
        <f aca="false">IF('Cash Drivers'!BZ$26,Marketing!BY34,Marketing!CA34)</f>
        <v>12000</v>
      </c>
      <c r="CA34" s="89" t="n">
        <v>12000</v>
      </c>
      <c r="CB34" s="12"/>
      <c r="CC34" s="12" t="n">
        <f aca="false">IF('Cash Drivers'!CC$26,Marketing!CB34,Marketing!CD34)</f>
        <v>12000</v>
      </c>
      <c r="CD34" s="90" t="n">
        <v>12000</v>
      </c>
      <c r="CE34" s="13"/>
      <c r="CF34" s="13" t="n">
        <f aca="false">IF('Cash Drivers'!CF$26,Marketing!CE34,Marketing!CG34)</f>
        <v>12000</v>
      </c>
      <c r="CG34" s="89" t="n">
        <v>12000</v>
      </c>
      <c r="CH34" s="12"/>
      <c r="CI34" s="12" t="n">
        <f aca="false">IF('Cash Drivers'!CI$26,Marketing!CH34,Marketing!CJ34)</f>
        <v>12000</v>
      </c>
      <c r="CJ34" s="90" t="n">
        <v>12000</v>
      </c>
      <c r="CK34" s="13"/>
      <c r="CL34" s="13" t="n">
        <f aca="false">IF('Cash Drivers'!CL$26,Marketing!CK34,Marketing!CM34)</f>
        <v>12000</v>
      </c>
      <c r="CM34" s="89" t="n">
        <v>12000</v>
      </c>
      <c r="CN34" s="12"/>
      <c r="CO34" s="12" t="n">
        <f aca="false">IF('Cash Drivers'!CO$26,Marketing!CN34,Marketing!CP34)</f>
        <v>12000</v>
      </c>
      <c r="CP34" s="90" t="n">
        <v>12000</v>
      </c>
      <c r="CQ34" s="13"/>
      <c r="CR34" s="13" t="n">
        <f aca="false">IF('Cash Drivers'!CR$26,Marketing!CQ34,Marketing!CS34)</f>
        <v>12000</v>
      </c>
      <c r="CS34" s="89" t="n">
        <v>12000</v>
      </c>
      <c r="CT34" s="12"/>
      <c r="CU34" s="12" t="n">
        <f aca="false">IF('Cash Drivers'!CU$26,Marketing!CT34,Marketing!CV34)</f>
        <v>12000</v>
      </c>
      <c r="CV34" s="90" t="n">
        <v>12000</v>
      </c>
      <c r="CW34" s="13"/>
      <c r="CX34" s="13" t="n">
        <f aca="false">IF('Cash Drivers'!CX$26,Marketing!CW34,Marketing!CY34)</f>
        <v>12000</v>
      </c>
      <c r="CY34" s="89" t="n">
        <v>12000</v>
      </c>
      <c r="CZ34" s="12"/>
      <c r="DA34" s="12" t="n">
        <f aca="false">IF('Cash Drivers'!DA$26,Marketing!CZ34,Marketing!DB34)</f>
        <v>12000</v>
      </c>
      <c r="DB34" s="90" t="n">
        <v>12000</v>
      </c>
      <c r="DC34" s="13"/>
      <c r="DD34" s="13" t="n">
        <f aca="false">IF('Cash Drivers'!DD$26,Marketing!DC34,Marketing!DE34)</f>
        <v>12000</v>
      </c>
      <c r="DE34" s="89" t="n">
        <v>12000</v>
      </c>
      <c r="DF34" s="12"/>
      <c r="DG34" s="12" t="n">
        <f aca="false">IF('Cash Drivers'!DG$26,Marketing!DF34,Marketing!DH34)</f>
        <v>12000</v>
      </c>
      <c r="DH34" s="90" t="n">
        <v>12000</v>
      </c>
      <c r="DI34" s="89" t="n">
        <v>12000</v>
      </c>
      <c r="DJ34" s="13" t="n">
        <f aca="false">IF('Cash Drivers'!DJ$26,Marketing!DI34,Marketing!DK34)</f>
        <v>12000</v>
      </c>
      <c r="DK34" s="89" t="n">
        <v>12000</v>
      </c>
      <c r="DL34" s="90" t="n">
        <v>12000</v>
      </c>
      <c r="DM34" s="12" t="n">
        <f aca="false">IF('Cash Drivers'!DM$26,Marketing!DL34,Marketing!DN34)</f>
        <v>12000</v>
      </c>
      <c r="DN34" s="90" t="n">
        <v>12000</v>
      </c>
    </row>
    <row r="35" customFormat="false" ht="15.75" hidden="false" customHeight="true" outlineLevel="0" collapsed="false">
      <c r="A35" s="5" t="s">
        <v>184</v>
      </c>
      <c r="B35" s="12" t="str">
        <f aca="false">IF(COUNT(AR35,AO35,AL35,AI35,AF35,AC35,Z35,W35,T35,Q35,N35,K35)=0,"",SUM(AR35,AO35,AL35,AI35,AF35,AC35,Z35,W35,T35,Q35,N35,K35))</f>
        <v/>
      </c>
      <c r="C35" s="12" t="n">
        <f aca="false">IF(COUNT(AS35,AP35,AM35,AJ35,AG35,AD35,AA35,X35,U35,R35,O35,L35)=0,"",SUM(AS35,AP35,AM35,AJ35,AG35,AD35,AA35,X35,U35,R35,O35,L35))</f>
        <v>132000</v>
      </c>
      <c r="D35" s="12" t="n">
        <f aca="false">IF(COUNT(AT35,AQ35,AN35,AK35,AH35,AE35,AB35,Y35,V35,S35,P35,M35)=0,"",SUM(AT35,AQ35,AN35,AK35,AH35,AE35,AB35,Y35,V35,S35,P35,M35))</f>
        <v>132000</v>
      </c>
      <c r="E35" s="13" t="str">
        <f aca="false">IF(COUNT(CB35,BY35,BV35,BS35,BP35,BM35,BJ35,BG35,BD35,BA35,AX35,AU35)=0,"",SUM(CB35,BY35,BV35,BS35,BP35,BM35,BJ35,BG35,BD35,BA35,AX35,AU35))</f>
        <v/>
      </c>
      <c r="F35" s="13" t="n">
        <f aca="false">IF(COUNT(CC35,BZ35,BW35,BT35,BQ35,BN35,BK35,BH35,BE35,BB35,AY35,AV35)=0,"",SUM(CC35,BZ35,BW35,BT35,BQ35,BN35,BK35,BH35,BE35,BB35,AY35,AV35))</f>
        <v>132000</v>
      </c>
      <c r="G35" s="13" t="n">
        <f aca="false">IF(COUNT(CD35,CA35,BX35,BU35,BR35,BO35,BL35,BI35,BF35,BC35,AZ35,AW35)=0,"",SUM(CD35,CA35,BX35,BU35,BR35,BO35,BL35,BI35,BF35,BC35,AZ35,AW35))</f>
        <v>132000</v>
      </c>
      <c r="H35" s="12" t="n">
        <f aca="false">IF(COUNT(DL35,DI35,DF35,DC35,CZ35,CW35,CT35,CQ35,CN35,CK35,CH35,CE35)=0,"",SUM(DL35,DI35,DF35,DC35,CZ35,CW35,CT35,CQ35,CN35,CK35,CH35,CE35))</f>
        <v>22000</v>
      </c>
      <c r="I35" s="12" t="n">
        <f aca="false">IF(COUNT(DM35,DJ35,DG35,DD35,DA35,CX35,CU35,CR35,CO35,CL35,CI35,CF35)=0,"",SUM(DM35,DJ35,DG35,DD35,DA35,CX35,CU35,CR35,CO35,CL35,CI35,CF35))</f>
        <v>132000</v>
      </c>
      <c r="J35" s="12" t="n">
        <f aca="false">IF(COUNT(DN35,DK35,DH35,DE35,DB35,CY35,CV35,CS35,CP35,CM35,CJ35,CG35)=0,"",SUM(DN35,DK35,DH35,DE35,DB35,CY35,CV35,CS35,CP35,CM35,CJ35,CG35))</f>
        <v>132000</v>
      </c>
      <c r="K35" s="13"/>
      <c r="L35" s="13" t="n">
        <f aca="false">IF('Cash Drivers'!L$26,Marketing!K35,Marketing!M35)</f>
        <v>11000</v>
      </c>
      <c r="M35" s="89" t="n">
        <v>11000</v>
      </c>
      <c r="N35" s="12"/>
      <c r="O35" s="12" t="n">
        <f aca="false">IF('Cash Drivers'!O$26,Marketing!N35,Marketing!P35)</f>
        <v>11000</v>
      </c>
      <c r="P35" s="90" t="n">
        <v>11000</v>
      </c>
      <c r="Q35" s="13"/>
      <c r="R35" s="13" t="n">
        <f aca="false">IF('Cash Drivers'!R$26,Marketing!Q35,Marketing!S35)</f>
        <v>11000</v>
      </c>
      <c r="S35" s="89" t="n">
        <v>11000</v>
      </c>
      <c r="T35" s="12"/>
      <c r="U35" s="12" t="n">
        <f aca="false">IF('Cash Drivers'!U$26,Marketing!T35,Marketing!V35)</f>
        <v>11000</v>
      </c>
      <c r="V35" s="90" t="n">
        <v>11000</v>
      </c>
      <c r="W35" s="13"/>
      <c r="X35" s="13" t="n">
        <f aca="false">IF('Cash Drivers'!X$26,Marketing!W35,Marketing!Y35)</f>
        <v>11000</v>
      </c>
      <c r="Y35" s="89" t="n">
        <v>11000</v>
      </c>
      <c r="Z35" s="12"/>
      <c r="AA35" s="12" t="n">
        <f aca="false">IF('Cash Drivers'!AA$26,Marketing!Z35,Marketing!AB35)</f>
        <v>11000</v>
      </c>
      <c r="AB35" s="90" t="n">
        <v>11000</v>
      </c>
      <c r="AC35" s="13"/>
      <c r="AD35" s="13" t="n">
        <f aca="false">IF('Cash Drivers'!AD$26,Marketing!AC35,Marketing!AE35)</f>
        <v>11000</v>
      </c>
      <c r="AE35" s="89" t="n">
        <v>11000</v>
      </c>
      <c r="AF35" s="12"/>
      <c r="AG35" s="12" t="n">
        <f aca="false">IF('Cash Drivers'!AG$26,Marketing!AF35,Marketing!AH35)</f>
        <v>11000</v>
      </c>
      <c r="AH35" s="90" t="n">
        <v>11000</v>
      </c>
      <c r="AI35" s="13"/>
      <c r="AJ35" s="13" t="n">
        <f aca="false">IF('Cash Drivers'!AJ$26,Marketing!AI35,Marketing!AK35)</f>
        <v>11000</v>
      </c>
      <c r="AK35" s="89" t="n">
        <v>11000</v>
      </c>
      <c r="AL35" s="12"/>
      <c r="AM35" s="12" t="n">
        <f aca="false">IF('Cash Drivers'!AM$26,Marketing!AL35,Marketing!AN35)</f>
        <v>11000</v>
      </c>
      <c r="AN35" s="90" t="n">
        <v>11000</v>
      </c>
      <c r="AO35" s="13"/>
      <c r="AP35" s="13" t="n">
        <f aca="false">IF('Cash Drivers'!AP$26,Marketing!AO35,Marketing!AQ35)</f>
        <v>11000</v>
      </c>
      <c r="AQ35" s="89" t="n">
        <v>11000</v>
      </c>
      <c r="AR35" s="12"/>
      <c r="AS35" s="12" t="n">
        <f aca="false">IF('Cash Drivers'!AS$26,Marketing!AR35,Marketing!AT35)</f>
        <v>11000</v>
      </c>
      <c r="AT35" s="90" t="n">
        <v>11000</v>
      </c>
      <c r="AU35" s="13"/>
      <c r="AV35" s="13" t="n">
        <f aca="false">IF('Cash Drivers'!AV$26,Marketing!AU35,Marketing!AW35)</f>
        <v>11000</v>
      </c>
      <c r="AW35" s="89" t="n">
        <v>11000</v>
      </c>
      <c r="AX35" s="12"/>
      <c r="AY35" s="12" t="n">
        <f aca="false">IF('Cash Drivers'!AY$26,Marketing!AX35,Marketing!AZ35)</f>
        <v>11000</v>
      </c>
      <c r="AZ35" s="90" t="n">
        <v>11000</v>
      </c>
      <c r="BA35" s="13"/>
      <c r="BB35" s="13" t="n">
        <f aca="false">IF('Cash Drivers'!BB$26,Marketing!BA35,Marketing!BC35)</f>
        <v>11000</v>
      </c>
      <c r="BC35" s="89" t="n">
        <v>11000</v>
      </c>
      <c r="BD35" s="12"/>
      <c r="BE35" s="12" t="n">
        <f aca="false">IF('Cash Drivers'!BE$26,Marketing!BD35,Marketing!BF35)</f>
        <v>11000</v>
      </c>
      <c r="BF35" s="90" t="n">
        <v>11000</v>
      </c>
      <c r="BG35" s="13"/>
      <c r="BH35" s="13" t="n">
        <f aca="false">IF('Cash Drivers'!BH$26,Marketing!BG35,Marketing!BI35)</f>
        <v>11000</v>
      </c>
      <c r="BI35" s="89" t="n">
        <v>11000</v>
      </c>
      <c r="BJ35" s="12"/>
      <c r="BK35" s="12" t="n">
        <f aca="false">IF('Cash Drivers'!BK$26,Marketing!BJ35,Marketing!BL35)</f>
        <v>11000</v>
      </c>
      <c r="BL35" s="90" t="n">
        <v>11000</v>
      </c>
      <c r="BM35" s="13"/>
      <c r="BN35" s="13" t="n">
        <f aca="false">IF('Cash Drivers'!BN$26,Marketing!BM35,Marketing!BO35)</f>
        <v>11000</v>
      </c>
      <c r="BO35" s="89" t="n">
        <v>11000</v>
      </c>
      <c r="BP35" s="12"/>
      <c r="BQ35" s="12" t="n">
        <f aca="false">IF('Cash Drivers'!BQ$26,Marketing!BP35,Marketing!BR35)</f>
        <v>11000</v>
      </c>
      <c r="BR35" s="90" t="n">
        <v>11000</v>
      </c>
      <c r="BS35" s="13"/>
      <c r="BT35" s="13" t="n">
        <f aca="false">IF('Cash Drivers'!BT$26,Marketing!BS35,Marketing!BU35)</f>
        <v>11000</v>
      </c>
      <c r="BU35" s="89" t="n">
        <v>11000</v>
      </c>
      <c r="BV35" s="12"/>
      <c r="BW35" s="12" t="n">
        <f aca="false">IF('Cash Drivers'!BW$26,Marketing!BV35,Marketing!BX35)</f>
        <v>11000</v>
      </c>
      <c r="BX35" s="90" t="n">
        <v>11000</v>
      </c>
      <c r="BY35" s="13"/>
      <c r="BZ35" s="13" t="n">
        <f aca="false">IF('Cash Drivers'!BZ$26,Marketing!BY35,Marketing!CA35)</f>
        <v>11000</v>
      </c>
      <c r="CA35" s="89" t="n">
        <v>11000</v>
      </c>
      <c r="CB35" s="12"/>
      <c r="CC35" s="12" t="n">
        <f aca="false">IF('Cash Drivers'!CC$26,Marketing!CB35,Marketing!CD35)</f>
        <v>11000</v>
      </c>
      <c r="CD35" s="90" t="n">
        <v>11000</v>
      </c>
      <c r="CE35" s="13"/>
      <c r="CF35" s="13" t="n">
        <f aca="false">IF('Cash Drivers'!CF$26,Marketing!CE35,Marketing!CG35)</f>
        <v>11000</v>
      </c>
      <c r="CG35" s="89" t="n">
        <v>11000</v>
      </c>
      <c r="CH35" s="12"/>
      <c r="CI35" s="12" t="n">
        <f aca="false">IF('Cash Drivers'!CI$26,Marketing!CH35,Marketing!CJ35)</f>
        <v>11000</v>
      </c>
      <c r="CJ35" s="90" t="n">
        <v>11000</v>
      </c>
      <c r="CK35" s="13"/>
      <c r="CL35" s="13" t="n">
        <f aca="false">IF('Cash Drivers'!CL$26,Marketing!CK35,Marketing!CM35)</f>
        <v>11000</v>
      </c>
      <c r="CM35" s="89" t="n">
        <v>11000</v>
      </c>
      <c r="CN35" s="12"/>
      <c r="CO35" s="12" t="n">
        <f aca="false">IF('Cash Drivers'!CO$26,Marketing!CN35,Marketing!CP35)</f>
        <v>11000</v>
      </c>
      <c r="CP35" s="90" t="n">
        <v>11000</v>
      </c>
      <c r="CQ35" s="13"/>
      <c r="CR35" s="13" t="n">
        <f aca="false">IF('Cash Drivers'!CR$26,Marketing!CQ35,Marketing!CS35)</f>
        <v>11000</v>
      </c>
      <c r="CS35" s="89" t="n">
        <v>11000</v>
      </c>
      <c r="CT35" s="12"/>
      <c r="CU35" s="12" t="n">
        <f aca="false">IF('Cash Drivers'!CU$26,Marketing!CT35,Marketing!CV35)</f>
        <v>11000</v>
      </c>
      <c r="CV35" s="90" t="n">
        <v>11000</v>
      </c>
      <c r="CW35" s="13"/>
      <c r="CX35" s="13" t="n">
        <f aca="false">IF('Cash Drivers'!CX$26,Marketing!CW35,Marketing!CY35)</f>
        <v>11000</v>
      </c>
      <c r="CY35" s="89" t="n">
        <v>11000</v>
      </c>
      <c r="CZ35" s="12"/>
      <c r="DA35" s="12" t="n">
        <f aca="false">IF('Cash Drivers'!DA$26,Marketing!CZ35,Marketing!DB35)</f>
        <v>11000</v>
      </c>
      <c r="DB35" s="90" t="n">
        <v>11000</v>
      </c>
      <c r="DC35" s="13"/>
      <c r="DD35" s="13" t="n">
        <f aca="false">IF('Cash Drivers'!DD$26,Marketing!DC35,Marketing!DE35)</f>
        <v>11000</v>
      </c>
      <c r="DE35" s="89" t="n">
        <v>11000</v>
      </c>
      <c r="DF35" s="12"/>
      <c r="DG35" s="12" t="n">
        <f aca="false">IF('Cash Drivers'!DG$26,Marketing!DF35,Marketing!DH35)</f>
        <v>11000</v>
      </c>
      <c r="DH35" s="90" t="n">
        <v>11000</v>
      </c>
      <c r="DI35" s="89" t="n">
        <v>11000</v>
      </c>
      <c r="DJ35" s="13" t="n">
        <f aca="false">IF('Cash Drivers'!DJ$26,Marketing!DI35,Marketing!DK35)</f>
        <v>11000</v>
      </c>
      <c r="DK35" s="89" t="n">
        <v>11000</v>
      </c>
      <c r="DL35" s="90" t="n">
        <v>11000</v>
      </c>
      <c r="DM35" s="12" t="n">
        <f aca="false">IF('Cash Drivers'!DM$26,Marketing!DL35,Marketing!DN35)</f>
        <v>11000</v>
      </c>
      <c r="DN35" s="90" t="n">
        <v>11000</v>
      </c>
    </row>
    <row r="36" customFormat="false" ht="15.75" hidden="false" customHeight="true" outlineLevel="0" collapsed="false">
      <c r="A36" s="5" t="s">
        <v>185</v>
      </c>
      <c r="B36" s="12" t="str">
        <f aca="false">IF(COUNT(AR36,AO36,AL36,AI36,AF36,AC36,Z36,W36,T36,Q36,N36,K36)=0,"",SUM(AR36,AO36,AL36,AI36,AF36,AC36,Z36,W36,T36,Q36,N36,K36))</f>
        <v/>
      </c>
      <c r="C36" s="12" t="n">
        <f aca="false">IF(COUNT(AS36,AP36,AM36,AJ36,AG36,AD36,AA36,X36,U36,R36,O36,L36)=0,"",SUM(AS36,AP36,AM36,AJ36,AG36,AD36,AA36,X36,U36,R36,O36,L36))</f>
        <v>108000</v>
      </c>
      <c r="D36" s="12" t="n">
        <f aca="false">IF(COUNT(AT36,AQ36,AN36,AK36,AH36,AE36,AB36,Y36,V36,S36,P36,M36)=0,"",SUM(AT36,AQ36,AN36,AK36,AH36,AE36,AB36,Y36,V36,S36,P36,M36))</f>
        <v>108000</v>
      </c>
      <c r="E36" s="13" t="str">
        <f aca="false">IF(COUNT(CB36,BY36,BV36,BS36,BP36,BM36,BJ36,BG36,BD36,BA36,AX36,AU36)=0,"",SUM(CB36,BY36,BV36,BS36,BP36,BM36,BJ36,BG36,BD36,BA36,AX36,AU36))</f>
        <v/>
      </c>
      <c r="F36" s="13" t="n">
        <f aca="false">IF(COUNT(CC36,BZ36,BW36,BT36,BQ36,BN36,BK36,BH36,BE36,BB36,AY36,AV36)=0,"",SUM(CC36,BZ36,BW36,BT36,BQ36,BN36,BK36,BH36,BE36,BB36,AY36,AV36))</f>
        <v>108000</v>
      </c>
      <c r="G36" s="13" t="n">
        <f aca="false">IF(COUNT(CD36,CA36,BX36,BU36,BR36,BO36,BL36,BI36,BF36,BC36,AZ36,AW36)=0,"",SUM(CD36,CA36,BX36,BU36,BR36,BO36,BL36,BI36,BF36,BC36,AZ36,AW36))</f>
        <v>108000</v>
      </c>
      <c r="H36" s="12" t="str">
        <f aca="false">IF(COUNT(DL36,DI36,DF36,DC36,CZ36,CW36,CT36,CQ36,CN36,CK36,CH36,CE36)=0,"",SUM(DL36,DI36,DF36,DC36,CZ36,CW36,CT36,CQ36,CN36,CK36,CH36,CE36))</f>
        <v/>
      </c>
      <c r="I36" s="12" t="n">
        <f aca="false">IF(COUNT(DM36,DJ36,DG36,DD36,DA36,CX36,CU36,CR36,CO36,CL36,CI36,CF36)=0,"",SUM(DM36,DJ36,DG36,DD36,DA36,CX36,CU36,CR36,CO36,CL36,CI36,CF36))</f>
        <v>36000</v>
      </c>
      <c r="J36" s="12" t="n">
        <f aca="false">IF(COUNT(DN36,DK36,DH36,DE36,DB36,CY36,CV36,CS36,CP36,CM36,CJ36,CG36)=0,"",SUM(DN36,DK36,DH36,DE36,DB36,CY36,CV36,CS36,CP36,CM36,CJ36,CG36))</f>
        <v>36000</v>
      </c>
      <c r="K36" s="13"/>
      <c r="L36" s="13" t="n">
        <f aca="false">IF('Cash Drivers'!L$26,Marketing!K36,Marketing!M36)</f>
        <v>9000</v>
      </c>
      <c r="M36" s="89" t="n">
        <v>9000</v>
      </c>
      <c r="N36" s="12"/>
      <c r="O36" s="12" t="n">
        <f aca="false">IF('Cash Drivers'!O$26,Marketing!N36,Marketing!P36)</f>
        <v>9000</v>
      </c>
      <c r="P36" s="90" t="n">
        <v>9000</v>
      </c>
      <c r="Q36" s="13"/>
      <c r="R36" s="13" t="n">
        <f aca="false">IF('Cash Drivers'!R$26,Marketing!Q36,Marketing!S36)</f>
        <v>9000</v>
      </c>
      <c r="S36" s="89" t="n">
        <v>9000</v>
      </c>
      <c r="T36" s="12"/>
      <c r="U36" s="12" t="n">
        <f aca="false">IF('Cash Drivers'!U$26,Marketing!T36,Marketing!V36)</f>
        <v>9000</v>
      </c>
      <c r="V36" s="90" t="n">
        <v>9000</v>
      </c>
      <c r="W36" s="13"/>
      <c r="X36" s="13" t="n">
        <f aca="false">IF('Cash Drivers'!X$26,Marketing!W36,Marketing!Y36)</f>
        <v>9000</v>
      </c>
      <c r="Y36" s="89" t="n">
        <v>9000</v>
      </c>
      <c r="Z36" s="12"/>
      <c r="AA36" s="12" t="n">
        <f aca="false">IF('Cash Drivers'!AA$26,Marketing!Z36,Marketing!AB36)</f>
        <v>9000</v>
      </c>
      <c r="AB36" s="90" t="n">
        <v>9000</v>
      </c>
      <c r="AC36" s="13"/>
      <c r="AD36" s="13" t="n">
        <f aca="false">IF('Cash Drivers'!AD$26,Marketing!AC36,Marketing!AE36)</f>
        <v>9000</v>
      </c>
      <c r="AE36" s="89" t="n">
        <v>9000</v>
      </c>
      <c r="AF36" s="12"/>
      <c r="AG36" s="12" t="n">
        <f aca="false">IF('Cash Drivers'!AG$26,Marketing!AF36,Marketing!AH36)</f>
        <v>9000</v>
      </c>
      <c r="AH36" s="90" t="n">
        <v>9000</v>
      </c>
      <c r="AI36" s="13"/>
      <c r="AJ36" s="13" t="n">
        <f aca="false">IF('Cash Drivers'!AJ$26,Marketing!AI36,Marketing!AK36)</f>
        <v>9000</v>
      </c>
      <c r="AK36" s="89" t="n">
        <v>9000</v>
      </c>
      <c r="AL36" s="12"/>
      <c r="AM36" s="12" t="n">
        <f aca="false">IF('Cash Drivers'!AM$26,Marketing!AL36,Marketing!AN36)</f>
        <v>9000</v>
      </c>
      <c r="AN36" s="90" t="n">
        <v>9000</v>
      </c>
      <c r="AO36" s="13"/>
      <c r="AP36" s="13" t="n">
        <f aca="false">IF('Cash Drivers'!AP$26,Marketing!AO36,Marketing!AQ36)</f>
        <v>9000</v>
      </c>
      <c r="AQ36" s="89" t="n">
        <v>9000</v>
      </c>
      <c r="AR36" s="12"/>
      <c r="AS36" s="12" t="n">
        <f aca="false">IF('Cash Drivers'!AS$26,Marketing!AR36,Marketing!AT36)</f>
        <v>9000</v>
      </c>
      <c r="AT36" s="90" t="n">
        <v>9000</v>
      </c>
      <c r="AU36" s="13"/>
      <c r="AV36" s="13" t="n">
        <f aca="false">IF('Cash Drivers'!AV$26,Marketing!AU36,Marketing!AW36)</f>
        <v>9000</v>
      </c>
      <c r="AW36" s="89" t="n">
        <v>9000</v>
      </c>
      <c r="AX36" s="12"/>
      <c r="AY36" s="12" t="n">
        <f aca="false">IF('Cash Drivers'!AY$26,Marketing!AX36,Marketing!AZ36)</f>
        <v>9000</v>
      </c>
      <c r="AZ36" s="90" t="n">
        <v>9000</v>
      </c>
      <c r="BA36" s="13"/>
      <c r="BB36" s="13" t="n">
        <f aca="false">IF('Cash Drivers'!BB$26,Marketing!BA36,Marketing!BC36)</f>
        <v>9000</v>
      </c>
      <c r="BC36" s="89" t="n">
        <v>9000</v>
      </c>
      <c r="BD36" s="12"/>
      <c r="BE36" s="12" t="n">
        <f aca="false">IF('Cash Drivers'!BE$26,Marketing!BD36,Marketing!BF36)</f>
        <v>9000</v>
      </c>
      <c r="BF36" s="90" t="n">
        <v>9000</v>
      </c>
      <c r="BG36" s="13"/>
      <c r="BH36" s="13" t="n">
        <f aca="false">IF('Cash Drivers'!BH$26,Marketing!BG36,Marketing!BI36)</f>
        <v>9000</v>
      </c>
      <c r="BI36" s="89" t="n">
        <v>9000</v>
      </c>
      <c r="BJ36" s="12"/>
      <c r="BK36" s="12" t="n">
        <f aca="false">IF('Cash Drivers'!BK$26,Marketing!BJ36,Marketing!BL36)</f>
        <v>9000</v>
      </c>
      <c r="BL36" s="90" t="n">
        <v>9000</v>
      </c>
      <c r="BM36" s="13"/>
      <c r="BN36" s="13" t="n">
        <f aca="false">IF('Cash Drivers'!BN$26,Marketing!BM36,Marketing!BO36)</f>
        <v>9000</v>
      </c>
      <c r="BO36" s="89" t="n">
        <v>9000</v>
      </c>
      <c r="BP36" s="12"/>
      <c r="BQ36" s="12" t="n">
        <f aca="false">IF('Cash Drivers'!BQ$26,Marketing!BP36,Marketing!BR36)</f>
        <v>9000</v>
      </c>
      <c r="BR36" s="90" t="n">
        <v>9000</v>
      </c>
      <c r="BS36" s="13"/>
      <c r="BT36" s="13" t="n">
        <f aca="false">IF('Cash Drivers'!BT$26,Marketing!BS36,Marketing!BU36)</f>
        <v>9000</v>
      </c>
      <c r="BU36" s="89" t="n">
        <v>9000</v>
      </c>
      <c r="BV36" s="12"/>
      <c r="BW36" s="12" t="n">
        <f aca="false">IF('Cash Drivers'!BW$26,Marketing!BV36,Marketing!BX36)</f>
        <v>9000</v>
      </c>
      <c r="BX36" s="90" t="n">
        <v>9000</v>
      </c>
      <c r="BY36" s="13"/>
      <c r="BZ36" s="13" t="n">
        <f aca="false">IF('Cash Drivers'!BZ$26,Marketing!BY36,Marketing!CA36)</f>
        <v>9000</v>
      </c>
      <c r="CA36" s="89" t="n">
        <v>9000</v>
      </c>
      <c r="CB36" s="12"/>
      <c r="CC36" s="12" t="n">
        <f aca="false">IF('Cash Drivers'!CC$26,Marketing!CB36,Marketing!CD36)</f>
        <v>9000</v>
      </c>
      <c r="CD36" s="90" t="n">
        <v>9000</v>
      </c>
      <c r="CE36" s="13"/>
      <c r="CF36" s="13" t="n">
        <f aca="false">IF('Cash Drivers'!CF$26,Marketing!CE36,Marketing!CG36)</f>
        <v>9000</v>
      </c>
      <c r="CG36" s="89" t="n">
        <v>9000</v>
      </c>
      <c r="CH36" s="12"/>
      <c r="CI36" s="12" t="n">
        <f aca="false">IF('Cash Drivers'!CI$26,Marketing!CH36,Marketing!CJ36)</f>
        <v>9000</v>
      </c>
      <c r="CJ36" s="90" t="n">
        <v>9000</v>
      </c>
      <c r="CK36" s="13"/>
      <c r="CL36" s="13" t="n">
        <f aca="false">IF('Cash Drivers'!CL$26,Marketing!CK36,Marketing!CM36)</f>
        <v>9000</v>
      </c>
      <c r="CM36" s="89" t="n">
        <v>9000</v>
      </c>
      <c r="CN36" s="12"/>
      <c r="CO36" s="12" t="n">
        <f aca="false">IF('Cash Drivers'!CO$26,Marketing!CN36,Marketing!CP36)</f>
        <v>9000</v>
      </c>
      <c r="CP36" s="90" t="n">
        <v>9000</v>
      </c>
      <c r="CT36" s="91"/>
      <c r="CU36" s="91"/>
      <c r="CV36" s="91"/>
      <c r="CZ36" s="91"/>
      <c r="DA36" s="91"/>
      <c r="DB36" s="91"/>
      <c r="DF36" s="91"/>
      <c r="DG36" s="91"/>
      <c r="DH36" s="91"/>
      <c r="DL36" s="91"/>
      <c r="DM36" s="91"/>
      <c r="DN36" s="91"/>
    </row>
    <row r="37" customFormat="false" ht="15.75" hidden="false" customHeight="true" outlineLevel="0" collapsed="false">
      <c r="A37" s="5" t="s">
        <v>182</v>
      </c>
      <c r="B37" s="12" t="str">
        <f aca="false">IF(COUNT(AR37,AO37,AL37,AI37,AF37,AC37,Z37,W37,T37,Q37,N37,K37)=0,"",SUM(AR37,AO37,AL37,AI37,AF37,AC37,Z37,W37,T37,Q37,N37,K37))</f>
        <v/>
      </c>
      <c r="C37" s="12" t="n">
        <f aca="false">IF(COUNT(AS37,AP37,AM37,AJ37,AG37,AD37,AA37,X37,U37,R37,O37,L37)=0,"",SUM(AS37,AP37,AM37,AJ37,AG37,AD37,AA37,X37,U37,R37,O37,L37))</f>
        <v>144000</v>
      </c>
      <c r="D37" s="12" t="n">
        <f aca="false">IF(COUNT(AT37,AQ37,AN37,AK37,AH37,AE37,AB37,Y37,V37,S37,P37,M37)=0,"",SUM(AT37,AQ37,AN37,AK37,AH37,AE37,AB37,Y37,V37,S37,P37,M37))</f>
        <v>144000</v>
      </c>
      <c r="E37" s="13" t="str">
        <f aca="false">IF(COUNT(CB37,BY37,BV37,BS37,BP37,BM37,BJ37,BG37,BD37,BA37,AX37,AU37)=0,"",SUM(CB37,BY37,BV37,BS37,BP37,BM37,BJ37,BG37,BD37,BA37,AX37,AU37))</f>
        <v/>
      </c>
      <c r="F37" s="13" t="n">
        <f aca="false">IF(COUNT(CC37,BZ37,BW37,BT37,BQ37,BN37,BK37,BH37,BE37,BB37,AY37,AV37)=0,"",SUM(CC37,BZ37,BW37,BT37,BQ37,BN37,BK37,BH37,BE37,BB37,AY37,AV37))</f>
        <v>36000</v>
      </c>
      <c r="G37" s="13" t="n">
        <f aca="false">IF(COUNT(CD37,CA37,BX37,BU37,BR37,BO37,BL37,BI37,BF37,BC37,AZ37,AW37)=0,"",SUM(CD37,CA37,BX37,BU37,BR37,BO37,BL37,BI37,BF37,BC37,AZ37,AW37))</f>
        <v>36000</v>
      </c>
      <c r="H37" s="12" t="str">
        <f aca="false">IF(COUNT(DL37,DI37,DF37,DC37,CZ37,CW37,CT37,CQ37,CN37,CK37,CH37,CE37)=0,"",SUM(DL37,DI37,DF37,DC37,CZ37,CW37,CT37,CQ37,CN37,CK37,CH37,CE37))</f>
        <v/>
      </c>
      <c r="I37" s="12" t="str">
        <f aca="false">IF(COUNT(DM37,DJ37,DG37,DD37,DA37,CX37,CU37,CR37,CO37,CL37,CI37,CF37)=0,"",SUM(DM37,DJ37,DG37,DD37,DA37,CX37,CU37,CR37,CO37,CL37,CI37,CF37))</f>
        <v/>
      </c>
      <c r="J37" s="12" t="str">
        <f aca="false">IF(COUNT(DN37,DK37,DH37,DE37,DB37,CY37,CV37,CS37,CP37,CM37,CJ37,CG37)=0,"",SUM(DN37,DK37,DH37,DE37,DB37,CY37,CV37,CS37,CP37,CM37,CJ37,CG37))</f>
        <v/>
      </c>
      <c r="K37" s="13"/>
      <c r="L37" s="13" t="n">
        <f aca="false">IF('Cash Drivers'!L$26,Marketing!K37,Marketing!M37)</f>
        <v>12000</v>
      </c>
      <c r="M37" s="89" t="n">
        <v>12000</v>
      </c>
      <c r="N37" s="12"/>
      <c r="O37" s="12" t="n">
        <f aca="false">IF('Cash Drivers'!O$26,Marketing!N37,Marketing!P37)</f>
        <v>12000</v>
      </c>
      <c r="P37" s="90" t="n">
        <v>12000</v>
      </c>
      <c r="Q37" s="13"/>
      <c r="R37" s="13" t="n">
        <f aca="false">IF('Cash Drivers'!R$26,Marketing!Q37,Marketing!S37)</f>
        <v>12000</v>
      </c>
      <c r="S37" s="89" t="n">
        <v>12000</v>
      </c>
      <c r="T37" s="12"/>
      <c r="U37" s="12" t="n">
        <f aca="false">IF('Cash Drivers'!U$26,Marketing!T37,Marketing!V37)</f>
        <v>12000</v>
      </c>
      <c r="V37" s="90" t="n">
        <v>12000</v>
      </c>
      <c r="W37" s="13"/>
      <c r="X37" s="13" t="n">
        <f aca="false">IF('Cash Drivers'!X$26,Marketing!W37,Marketing!Y37)</f>
        <v>12000</v>
      </c>
      <c r="Y37" s="89" t="n">
        <v>12000</v>
      </c>
      <c r="Z37" s="12"/>
      <c r="AA37" s="12" t="n">
        <f aca="false">IF('Cash Drivers'!AA$26,Marketing!Z37,Marketing!AB37)</f>
        <v>12000</v>
      </c>
      <c r="AB37" s="90" t="n">
        <v>12000</v>
      </c>
      <c r="AC37" s="13"/>
      <c r="AD37" s="13" t="n">
        <f aca="false">IF('Cash Drivers'!AD$26,Marketing!AC37,Marketing!AE37)</f>
        <v>12000</v>
      </c>
      <c r="AE37" s="89" t="n">
        <v>12000</v>
      </c>
      <c r="AF37" s="12"/>
      <c r="AG37" s="12" t="n">
        <f aca="false">IF('Cash Drivers'!AG$26,Marketing!AF37,Marketing!AH37)</f>
        <v>12000</v>
      </c>
      <c r="AH37" s="90" t="n">
        <v>12000</v>
      </c>
      <c r="AI37" s="13"/>
      <c r="AJ37" s="13" t="n">
        <f aca="false">IF('Cash Drivers'!AJ$26,Marketing!AI37,Marketing!AK37)</f>
        <v>12000</v>
      </c>
      <c r="AK37" s="89" t="n">
        <v>12000</v>
      </c>
      <c r="AL37" s="12"/>
      <c r="AM37" s="12" t="n">
        <f aca="false">IF('Cash Drivers'!AM$26,Marketing!AL37,Marketing!AN37)</f>
        <v>12000</v>
      </c>
      <c r="AN37" s="90" t="n">
        <v>12000</v>
      </c>
      <c r="AO37" s="13"/>
      <c r="AP37" s="13" t="n">
        <f aca="false">IF('Cash Drivers'!AP$26,Marketing!AO37,Marketing!AQ37)</f>
        <v>12000</v>
      </c>
      <c r="AQ37" s="89" t="n">
        <v>12000</v>
      </c>
      <c r="AR37" s="12"/>
      <c r="AS37" s="12" t="n">
        <f aca="false">IF('Cash Drivers'!AS$26,Marketing!AR37,Marketing!AT37)</f>
        <v>12000</v>
      </c>
      <c r="AT37" s="90" t="n">
        <v>12000</v>
      </c>
      <c r="AU37" s="13"/>
      <c r="AV37" s="13" t="n">
        <f aca="false">IF('Cash Drivers'!AV$26,Marketing!AU37,Marketing!AW37)</f>
        <v>12000</v>
      </c>
      <c r="AW37" s="89" t="n">
        <v>12000</v>
      </c>
      <c r="AX37" s="12"/>
      <c r="AY37" s="12" t="n">
        <f aca="false">IF('Cash Drivers'!AY$26,Marketing!AX37,Marketing!AZ37)</f>
        <v>12000</v>
      </c>
      <c r="AZ37" s="90" t="n">
        <v>12000</v>
      </c>
      <c r="BA37" s="13"/>
      <c r="BB37" s="13" t="n">
        <f aca="false">IF('Cash Drivers'!BB$26,Marketing!BA37,Marketing!BC37)</f>
        <v>12000</v>
      </c>
      <c r="BC37" s="89" t="n">
        <v>12000</v>
      </c>
      <c r="BD37" s="91"/>
      <c r="BE37" s="91"/>
      <c r="BF37" s="91"/>
      <c r="BJ37" s="91"/>
      <c r="BK37" s="91"/>
      <c r="BL37" s="91"/>
      <c r="BP37" s="91"/>
      <c r="BQ37" s="91"/>
      <c r="BR37" s="91"/>
      <c r="BV37" s="91"/>
      <c r="BW37" s="91"/>
      <c r="BX37" s="91"/>
      <c r="CB37" s="91"/>
      <c r="CC37" s="91"/>
      <c r="CD37" s="91"/>
      <c r="CH37" s="91"/>
      <c r="CI37" s="91"/>
      <c r="CJ37" s="91"/>
      <c r="CN37" s="91"/>
      <c r="CO37" s="91"/>
      <c r="CP37" s="91"/>
      <c r="CT37" s="91"/>
      <c r="CU37" s="91"/>
      <c r="CV37" s="91"/>
      <c r="CZ37" s="91"/>
      <c r="DA37" s="91"/>
      <c r="DB37" s="91"/>
      <c r="DF37" s="91"/>
      <c r="DG37" s="91"/>
      <c r="DH37" s="91"/>
      <c r="DL37" s="91"/>
      <c r="DM37" s="91"/>
      <c r="DN37" s="91"/>
    </row>
    <row r="38" customFormat="false" ht="15.75" hidden="false" customHeight="true" outlineLevel="0" collapsed="false">
      <c r="A38" s="14" t="s">
        <v>186</v>
      </c>
      <c r="B38" s="15" t="str">
        <f aca="false">IF(COUNT(AR38,AO38,AL38,AI38,AF38,AC38,Z38,W38,T38,Q38,N38,K38)=0,"",SUM(AR38,AO38,AL38,AI38,AF38,AC38,Z38,W38,T38,Q38,N38,K38))</f>
        <v/>
      </c>
      <c r="C38" s="15" t="n">
        <f aca="false">IF(COUNT(AS38,AP38,AM38,AJ38,AG38,AD38,AA38,X38,U38,R38,O38,L38)=0,"",SUM(AS38,AP38,AM38,AJ38,AG38,AD38,AA38,X38,U38,R38,O38,L38))</f>
        <v>864000</v>
      </c>
      <c r="D38" s="15" t="n">
        <f aca="false">IF(COUNT(AT38,AQ38,AN38,AK38,AH38,AE38,AB38,Y38,V38,S38,P38,M38)=0,"",SUM(AT38,AQ38,AN38,AK38,AH38,AE38,AB38,Y38,V38,S38,P38,M38))</f>
        <v>864000</v>
      </c>
      <c r="E38" s="16" t="str">
        <f aca="false">IF(COUNT(CB38,BY38,BV38,BS38,BP38,BM38,BJ38,BG38,BD38,BA38,AX38,AU38)=0,"",SUM(CB38,BY38,BV38,BS38,BP38,BM38,BJ38,BG38,BD38,BA38,AX38,AU38))</f>
        <v/>
      </c>
      <c r="F38" s="16" t="n">
        <f aca="false">IF(COUNT(CC38,BZ38,BW38,BT38,BQ38,BN38,BK38,BH38,BE38,BB38,AY38,AV38)=0,"",SUM(CC38,BZ38,BW38,BT38,BQ38,BN38,BK38,BH38,BE38,BB38,AY38,AV38))</f>
        <v>756000</v>
      </c>
      <c r="G38" s="16" t="n">
        <f aca="false">IF(COUNT(CD38,CA38,BX38,BU38,BR38,BO38,BL38,BI38,BF38,BC38,AZ38,AW38)=0,"",SUM(CD38,CA38,BX38,BU38,BR38,BO38,BL38,BI38,BF38,BC38,AZ38,AW38))</f>
        <v>756000</v>
      </c>
      <c r="H38" s="15" t="n">
        <f aca="false">IF(COUNT(DL38,DI38,DF38,DC38,CZ38,CW38,CT38,CQ38,CN38,CK38,CH38,CE38)=0,"",SUM(DL38,DI38,DF38,DC38,CZ38,CW38,CT38,CQ38,CN38,CK38,CH38,CE38))</f>
        <v>102000</v>
      </c>
      <c r="I38" s="15" t="n">
        <f aca="false">IF(COUNT(DM38,DJ38,DG38,DD38,DA38,CX38,CU38,CR38,CO38,CL38,CI38,CF38)=0,"",SUM(DM38,DJ38,DG38,DD38,DA38,CX38,CU38,CR38,CO38,CL38,CI38,CF38))</f>
        <v>648000</v>
      </c>
      <c r="J38" s="15" t="n">
        <f aca="false">IF(COUNT(DN38,DK38,DH38,DE38,DB38,CY38,CV38,CS38,CP38,CM38,CJ38,CG38)=0,"",SUM(DN38,DK38,DH38,DE38,DB38,CY38,CV38,CS38,CP38,CM38,CJ38,CG38))</f>
        <v>648000</v>
      </c>
      <c r="K38" s="16" t="str">
        <f aca="false">IF(COUNT(K32,K33,K34,K35,K36,K37)=0,"",SUM(K32:K37))</f>
        <v/>
      </c>
      <c r="L38" s="16" t="n">
        <f aca="false">SUM(L32:L37)</f>
        <v>72000</v>
      </c>
      <c r="M38" s="16" t="n">
        <f aca="false">SUM(M32:M37)</f>
        <v>72000</v>
      </c>
      <c r="N38" s="15" t="str">
        <f aca="false">IF(COUNT(N32,N33,N34,N35,N36,N37)=0,"",SUM(N32:N37))</f>
        <v/>
      </c>
      <c r="O38" s="15" t="n">
        <f aca="false">SUM(O32:O37)</f>
        <v>72000</v>
      </c>
      <c r="P38" s="15" t="n">
        <f aca="false">SUM(P32:P37)</f>
        <v>72000</v>
      </c>
      <c r="Q38" s="16" t="str">
        <f aca="false">IF(COUNT(Q32,Q33,Q34,Q35,Q36,Q37)=0,"",SUM(Q32:Q37))</f>
        <v/>
      </c>
      <c r="R38" s="16" t="n">
        <f aca="false">SUM(R32:R37)</f>
        <v>72000</v>
      </c>
      <c r="S38" s="16" t="n">
        <f aca="false">SUM(S32:S37)</f>
        <v>72000</v>
      </c>
      <c r="T38" s="15" t="str">
        <f aca="false">IF(COUNT(T32,T33,T34,T35,T36,T37)=0,"",SUM(T32:T37))</f>
        <v/>
      </c>
      <c r="U38" s="15" t="n">
        <f aca="false">SUM(U32:U37)</f>
        <v>72000</v>
      </c>
      <c r="V38" s="15" t="n">
        <f aca="false">SUM(V32:V37)</f>
        <v>72000</v>
      </c>
      <c r="W38" s="16" t="str">
        <f aca="false">IF(COUNT(W32,W33,W34,W35,W36,W37)=0,"",SUM(W32:W37))</f>
        <v/>
      </c>
      <c r="X38" s="16" t="n">
        <f aca="false">SUM(X32:X37)</f>
        <v>72000</v>
      </c>
      <c r="Y38" s="16" t="n">
        <f aca="false">SUM(Y32:Y37)</f>
        <v>72000</v>
      </c>
      <c r="Z38" s="15" t="str">
        <f aca="false">IF(COUNT(Z32,Z33,Z34,Z35,Z36,Z37)=0,"",SUM(Z32:Z37))</f>
        <v/>
      </c>
      <c r="AA38" s="15" t="n">
        <f aca="false">SUM(AA32:AA37)</f>
        <v>72000</v>
      </c>
      <c r="AB38" s="15" t="n">
        <f aca="false">SUM(AB32:AB37)</f>
        <v>72000</v>
      </c>
      <c r="AC38" s="16" t="str">
        <f aca="false">IF(COUNT(AC32,AC33,AC34,AC35,AC36,AC37)=0,"",SUM(AC32:AC37))</f>
        <v/>
      </c>
      <c r="AD38" s="16" t="n">
        <f aca="false">SUM(AD32:AD37)</f>
        <v>72000</v>
      </c>
      <c r="AE38" s="16" t="n">
        <f aca="false">SUM(AE32:AE37)</f>
        <v>72000</v>
      </c>
      <c r="AF38" s="15" t="str">
        <f aca="false">IF(COUNT(AF32,AF33,AF34,AF35,AF36,AF37)=0,"",SUM(AF32:AF37))</f>
        <v/>
      </c>
      <c r="AG38" s="15" t="n">
        <f aca="false">SUM(AG32:AG37)</f>
        <v>72000</v>
      </c>
      <c r="AH38" s="15" t="n">
        <f aca="false">SUM(AH32:AH37)</f>
        <v>72000</v>
      </c>
      <c r="AI38" s="16" t="str">
        <f aca="false">IF(COUNT(AI32,AI33,AI34,AI35,AI36,AI37)=0,"",SUM(AI32:AI37))</f>
        <v/>
      </c>
      <c r="AJ38" s="16" t="n">
        <f aca="false">SUM(AJ32:AJ37)</f>
        <v>72000</v>
      </c>
      <c r="AK38" s="16" t="n">
        <f aca="false">SUM(AK32:AK37)</f>
        <v>72000</v>
      </c>
      <c r="AL38" s="15" t="str">
        <f aca="false">IF(COUNT(AL32,AL33,AL34,AL35,AL36,AL37)=0,"",SUM(AL32:AL37))</f>
        <v/>
      </c>
      <c r="AM38" s="15" t="n">
        <f aca="false">SUM(AM32:AM37)</f>
        <v>72000</v>
      </c>
      <c r="AN38" s="15" t="n">
        <f aca="false">SUM(AN32:AN37)</f>
        <v>72000</v>
      </c>
      <c r="AO38" s="16" t="str">
        <f aca="false">IF(COUNT(AO32,AO33,AO34,AO35,AO36,AO37)=0,"",SUM(AO32:AO37))</f>
        <v/>
      </c>
      <c r="AP38" s="16" t="n">
        <f aca="false">SUM(AP32:AP37)</f>
        <v>72000</v>
      </c>
      <c r="AQ38" s="16" t="n">
        <f aca="false">SUM(AQ32:AQ37)</f>
        <v>72000</v>
      </c>
      <c r="AR38" s="15" t="str">
        <f aca="false">IF(COUNT(AR32,AR33,AR34,AR35,AR36,AR37)=0,"",SUM(AR32:AR37))</f>
        <v/>
      </c>
      <c r="AS38" s="15" t="n">
        <f aca="false">SUM(AS32:AS37)</f>
        <v>72000</v>
      </c>
      <c r="AT38" s="15" t="n">
        <f aca="false">SUM(AT32:AT37)</f>
        <v>72000</v>
      </c>
      <c r="AU38" s="16" t="str">
        <f aca="false">IF(COUNT(AU32,AU33,AU34,AU35,AU36,AU37)=0,"",SUM(AU32:AU37))</f>
        <v/>
      </c>
      <c r="AV38" s="16" t="n">
        <f aca="false">SUM(AV32:AV37)</f>
        <v>72000</v>
      </c>
      <c r="AW38" s="16" t="n">
        <f aca="false">SUM(AW32:AW37)</f>
        <v>72000</v>
      </c>
      <c r="AX38" s="15" t="str">
        <f aca="false">IF(COUNT(AX32,AX33,AX34,AX35,AX36,AX37)=0,"",SUM(AX32:AX37))</f>
        <v/>
      </c>
      <c r="AY38" s="15" t="n">
        <f aca="false">SUM(AY32:AY37)</f>
        <v>72000</v>
      </c>
      <c r="AZ38" s="15" t="n">
        <f aca="false">SUM(AZ32:AZ37)</f>
        <v>72000</v>
      </c>
      <c r="BA38" s="16" t="str">
        <f aca="false">IF(COUNT(BA32,BA33,BA34,BA35,BA36,BA37)=0,"",SUM(BA32:BA37))</f>
        <v/>
      </c>
      <c r="BB38" s="16" t="n">
        <f aca="false">SUM(BB32:BB37)</f>
        <v>72000</v>
      </c>
      <c r="BC38" s="16" t="n">
        <f aca="false">SUM(BC32:BC37)</f>
        <v>72000</v>
      </c>
      <c r="BD38" s="15" t="str">
        <f aca="false">IF(COUNT(BD32,BD33,BD34,BD35,BD36)=0,"",SUM(BD32:BD37))</f>
        <v/>
      </c>
      <c r="BE38" s="15" t="n">
        <f aca="false">SUM(BE32:BE37)</f>
        <v>60000</v>
      </c>
      <c r="BF38" s="15" t="n">
        <f aca="false">SUM(BF32:BF37)</f>
        <v>60000</v>
      </c>
      <c r="BG38" s="16" t="str">
        <f aca="false">IF(COUNT(BG32,BG33,BG34,BG35,BG36)=0,"",SUM(BG32:BG37))</f>
        <v/>
      </c>
      <c r="BH38" s="16" t="n">
        <f aca="false">SUM(BH32:BH37)</f>
        <v>60000</v>
      </c>
      <c r="BI38" s="16" t="n">
        <f aca="false">SUM(BI32:BI37)</f>
        <v>60000</v>
      </c>
      <c r="BJ38" s="15" t="str">
        <f aca="false">IF(COUNT(BJ32,BJ33,BJ34,BJ35,BJ36)=0,"",SUM(BJ32:BJ37))</f>
        <v/>
      </c>
      <c r="BK38" s="15" t="n">
        <f aca="false">SUM(BK32:BK37)</f>
        <v>60000</v>
      </c>
      <c r="BL38" s="15" t="n">
        <f aca="false">SUM(BL32:BL37)</f>
        <v>60000</v>
      </c>
      <c r="BM38" s="16" t="str">
        <f aca="false">IF(COUNT(BM32,BM33,BM34,BM35,BM36)=0,"",SUM(BM32:BM37))</f>
        <v/>
      </c>
      <c r="BN38" s="16" t="n">
        <f aca="false">SUM(BN32:BN37)</f>
        <v>60000</v>
      </c>
      <c r="BO38" s="16" t="n">
        <f aca="false">SUM(BO32:BO37)</f>
        <v>60000</v>
      </c>
      <c r="BP38" s="15" t="str">
        <f aca="false">IF(COUNT(BP32,BP33,BP34,BP35,BP36)=0,"",SUM(BP32:BP37))</f>
        <v/>
      </c>
      <c r="BQ38" s="15" t="n">
        <f aca="false">SUM(BQ32:BQ37)</f>
        <v>60000</v>
      </c>
      <c r="BR38" s="15" t="n">
        <f aca="false">SUM(BR32:BR37)</f>
        <v>60000</v>
      </c>
      <c r="BS38" s="16" t="str">
        <f aca="false">IF(COUNT(BS32,BS33,BS34,BS35,BS36)=0,"",SUM(BS32:BS37))</f>
        <v/>
      </c>
      <c r="BT38" s="16" t="n">
        <f aca="false">SUM(BT32:BT37)</f>
        <v>60000</v>
      </c>
      <c r="BU38" s="16" t="n">
        <f aca="false">SUM(BU32:BU37)</f>
        <v>60000</v>
      </c>
      <c r="BV38" s="15" t="str">
        <f aca="false">IF(COUNT(BV32,BV33,BV34,BV35,BV36)=0,"",SUM(BV32:BV37))</f>
        <v/>
      </c>
      <c r="BW38" s="15" t="n">
        <f aca="false">SUM(BW32:BW37)</f>
        <v>60000</v>
      </c>
      <c r="BX38" s="15" t="n">
        <f aca="false">SUM(BX32:BX37)</f>
        <v>60000</v>
      </c>
      <c r="BY38" s="16" t="str">
        <f aca="false">IF(COUNT(BY32,BY33,BY34,BY35,BY36)=0,"",SUM(BY32:BY37))</f>
        <v/>
      </c>
      <c r="BZ38" s="16" t="n">
        <f aca="false">SUM(BZ32:BZ37)</f>
        <v>60000</v>
      </c>
      <c r="CA38" s="16" t="n">
        <f aca="false">SUM(CA32:CA37)</f>
        <v>60000</v>
      </c>
      <c r="CB38" s="15" t="str">
        <f aca="false">IF(COUNT(CB32,CB33,CB34,CB35,CB36)=0,"",SUM(CB32:CB37))</f>
        <v/>
      </c>
      <c r="CC38" s="15" t="n">
        <f aca="false">SUM(CC32:CC37)</f>
        <v>60000</v>
      </c>
      <c r="CD38" s="15" t="n">
        <f aca="false">SUM(CD32:CD37)</f>
        <v>60000</v>
      </c>
      <c r="CE38" s="16" t="str">
        <f aca="false">IF(COUNT(CE32,CE33,CE34,CE35,CE36)=0,"",SUM(CE32:CE37))</f>
        <v/>
      </c>
      <c r="CF38" s="16" t="n">
        <f aca="false">SUM(CF32:CF37)</f>
        <v>60000</v>
      </c>
      <c r="CG38" s="16" t="n">
        <f aca="false">SUM(CG32:CG37)</f>
        <v>60000</v>
      </c>
      <c r="CH38" s="15" t="str">
        <f aca="false">IF(COUNT(CH32,CH33,CH34,CH35,CH36)=0,"",SUM(CH32:CH37))</f>
        <v/>
      </c>
      <c r="CI38" s="15" t="n">
        <f aca="false">SUM(CI32:CI37)</f>
        <v>60000</v>
      </c>
      <c r="CJ38" s="15" t="n">
        <f aca="false">SUM(CJ32:CJ37)</f>
        <v>60000</v>
      </c>
      <c r="CK38" s="16" t="str">
        <f aca="false">IF(COUNT(CK32,CK33,CK34,CK35,CK36)=0,"",SUM(CK32:CK37))</f>
        <v/>
      </c>
      <c r="CL38" s="16" t="n">
        <f aca="false">SUM(CL32:CL37)</f>
        <v>60000</v>
      </c>
      <c r="CM38" s="16" t="n">
        <f aca="false">SUM(CM32:CM37)</f>
        <v>60000</v>
      </c>
      <c r="CN38" s="15" t="str">
        <f aca="false">IF(COUNT(CN32,CN33,CN34,CN35,CN36)=0,"",SUM(CN32:CN37))</f>
        <v/>
      </c>
      <c r="CO38" s="15" t="n">
        <f aca="false">SUM(CO32:CO37)</f>
        <v>60000</v>
      </c>
      <c r="CP38" s="15" t="n">
        <f aca="false">SUM(CP32:CP37)</f>
        <v>60000</v>
      </c>
      <c r="CQ38" s="16" t="str">
        <f aca="false">IF(COUNT(CQ32,CQ33,CQ34,CQ35)=0,"",SUM(CQ32:CQ37))</f>
        <v/>
      </c>
      <c r="CR38" s="16" t="n">
        <f aca="false">SUM(CR32:CR37)</f>
        <v>51000</v>
      </c>
      <c r="CS38" s="16" t="n">
        <f aca="false">SUM(CS32:CS37)</f>
        <v>51000</v>
      </c>
      <c r="CT38" s="15" t="str">
        <f aca="false">IF(COUNT(CT32,CT33,CT34,CT35)=0,"",SUM(CT32:CT37))</f>
        <v/>
      </c>
      <c r="CU38" s="15" t="n">
        <f aca="false">SUM(CU32:CU37)</f>
        <v>51000</v>
      </c>
      <c r="CV38" s="15" t="n">
        <f aca="false">SUM(CV32:CV37)</f>
        <v>51000</v>
      </c>
      <c r="CW38" s="16" t="str">
        <f aca="false">IF(COUNT(CW32,CW33,CW34,CW35)=0,"",SUM(CW32:CW37))</f>
        <v/>
      </c>
      <c r="CX38" s="16" t="n">
        <f aca="false">SUM(CX32:CX37)</f>
        <v>51000</v>
      </c>
      <c r="CY38" s="16" t="n">
        <f aca="false">SUM(CY32:CY37)</f>
        <v>51000</v>
      </c>
      <c r="CZ38" s="15" t="str">
        <f aca="false">IF(COUNT(CZ32,CZ33,CZ34,CZ35)=0,"",SUM(CZ32:CZ37))</f>
        <v/>
      </c>
      <c r="DA38" s="15" t="n">
        <f aca="false">SUM(DA32:DA37)</f>
        <v>51000</v>
      </c>
      <c r="DB38" s="15" t="n">
        <f aca="false">SUM(DB32:DB37)</f>
        <v>51000</v>
      </c>
      <c r="DC38" s="16" t="str">
        <f aca="false">IF(COUNT(DC32,DC33,DC34,DC35)=0,"",SUM(DC32:DC37))</f>
        <v/>
      </c>
      <c r="DD38" s="16" t="n">
        <f aca="false">SUM(DD32:DD37)</f>
        <v>51000</v>
      </c>
      <c r="DE38" s="16" t="n">
        <f aca="false">SUM(DE32:DE37)</f>
        <v>51000</v>
      </c>
      <c r="DF38" s="15" t="str">
        <f aca="false">IF(COUNT(DF32,DF33,DF34,DF35)=0,"",SUM(DF32:DF37))</f>
        <v/>
      </c>
      <c r="DG38" s="15" t="n">
        <f aca="false">SUM(DG32:DG37)</f>
        <v>51000</v>
      </c>
      <c r="DH38" s="15" t="n">
        <f aca="false">SUM(DH32:DH37)</f>
        <v>51000</v>
      </c>
      <c r="DI38" s="16" t="n">
        <f aca="false">IF(COUNT(DI32,DI33,DI34,DI35)=0,"",SUM(DI32:DI37))</f>
        <v>51000</v>
      </c>
      <c r="DJ38" s="16" t="n">
        <f aca="false">SUM(DJ32:DJ37)</f>
        <v>51000</v>
      </c>
      <c r="DK38" s="16" t="n">
        <f aca="false">SUM(DK32:DK37)</f>
        <v>51000</v>
      </c>
      <c r="DL38" s="15" t="n">
        <f aca="false">IF(COUNT(DL32,DL33,DL34,DL35)=0,"",SUM(DL32:DL37))</f>
        <v>51000</v>
      </c>
      <c r="DM38" s="15" t="n">
        <f aca="false">SUM(DM32:DM37)</f>
        <v>51000</v>
      </c>
      <c r="DN38" s="15" t="n">
        <f aca="false">SUM(DN32:DN37)</f>
        <v>51000</v>
      </c>
    </row>
    <row r="39" customFormat="false" ht="15.75" hidden="false" customHeight="true" outlineLevel="0" collapsed="false">
      <c r="A39" s="5" t="s">
        <v>187</v>
      </c>
      <c r="B39" s="23" t="str">
        <f aca="false">IF(K39&lt;&gt;"",K39,IF(N39&lt;&gt;"",N39,IF(Q39&lt;&gt;"",Q39,IF(T39&lt;&gt;"",T39,IF(W39&lt;&gt;"",W39,IF(Z39&lt;&gt;"",Z39,IF(AC39&lt;&gt;"",AC39,IF(AF39&lt;&gt;"",AF39,IF(AI39&lt;&gt;"",AI39,IF(AL39&lt;&gt;"",AL39,IF(AO39&lt;&gt;"",AO39,IF(AR39&lt;&gt;"",AR39,""))))))))))))</f>
        <v/>
      </c>
      <c r="C39" s="23" t="n">
        <f aca="false">IF(L39&lt;&gt;"",L39,IF(O39&lt;&gt;"",O39,IF(R39&lt;&gt;"",R39,IF(U39&lt;&gt;"",U39,IF(X39&lt;&gt;"",X39,IF(AA39&lt;&gt;"",AA39,IF(AD39&lt;&gt;"",AD39,IF(AG39&lt;&gt;"",AG39,IF(AJ39&lt;&gt;"",AJ39,IF(AM39&lt;&gt;"",AM39,IF(AP39&lt;&gt;"",AP39,IF(AS39&lt;&gt;"",AS39,""))))))))))))</f>
        <v>6</v>
      </c>
      <c r="D39" s="23" t="n">
        <f aca="false">IF(M39&lt;&gt;"",M39,IF(P39&lt;&gt;"",P39,IF(S39&lt;&gt;"",S39,IF(V39&lt;&gt;"",V39,IF(Y39&lt;&gt;"",Y39,IF(AB39&lt;&gt;"",AB39,IF(AE39&lt;&gt;"",AE39,IF(AH39&lt;&gt;"",AH39,IF(AK39&lt;&gt;"",AK39,IF(AN39&lt;&gt;"",AN39,IF(AQ39&lt;&gt;"",AQ39,IF(AT39&lt;&gt;"",AT39,""))))))))))))</f>
        <v>6</v>
      </c>
      <c r="E39" s="2" t="str">
        <f aca="false">IF(AU39&lt;&gt;"",AU39,IF(AX39&lt;&gt;"",AX39,IF(BA39&lt;&gt;"",BA39,IF(BD39&lt;&gt;"",BD39,IF(BG39&lt;&gt;"",BG39,IF(BJ39&lt;&gt;"",BJ39,IF(BM39&lt;&gt;"",BM39,IF(BP39&lt;&gt;"",BP39,IF(BS39&lt;&gt;"",BS39,IF(BV39&lt;&gt;"",BV39,IF(BY39&lt;&gt;"",BY39,IF(CB39&lt;&gt;"",CB39,""))))))))))))</f>
        <v/>
      </c>
      <c r="F39" s="2" t="n">
        <f aca="false">IF(AV39&lt;&gt;"",AV39,IF(AY39&lt;&gt;"",AY39,IF(BB39&lt;&gt;"",BB39,IF(BE39&lt;&gt;"",BE39,IF(BH39&lt;&gt;"",BH39,IF(BK39&lt;&gt;"",BK39,IF(BN39&lt;&gt;"",BN39,IF(BQ39&lt;&gt;"",BQ39,IF(BT39&lt;&gt;"",BT39,IF(BW39&lt;&gt;"",BW39,IF(BZ39&lt;&gt;"",BZ39,IF(CC39&lt;&gt;"",CC39,""))))))))))))</f>
        <v>6</v>
      </c>
      <c r="G39" s="2" t="n">
        <f aca="false">IF(AW39&lt;&gt;"",AW39,IF(AZ39&lt;&gt;"",AZ39,IF(BC39&lt;&gt;"",BC39,IF(BF39&lt;&gt;"",BF39,IF(BI39&lt;&gt;"",BI39,IF(BL39&lt;&gt;"",BL39,IF(BO39&lt;&gt;"",BO39,IF(BR39&lt;&gt;"",BR39,IF(BU39&lt;&gt;"",BU39,IF(BX39&lt;&gt;"",BX39,IF(CA39&lt;&gt;"",CA39,IF(CD39&lt;&gt;"",CD39,""))))))))))))</f>
        <v>6</v>
      </c>
      <c r="H39" s="23" t="n">
        <f aca="false">IF(CE39&lt;&gt;"",CE39,IF(CH39&lt;&gt;"",CH39,IF(CK39&lt;&gt;"",CK39,IF(CN39&lt;&gt;"",CN39,IF(CQ39&lt;&gt;"",CQ39,IF(CT39&lt;&gt;"",CT39,IF(CW39&lt;&gt;"",CW39,IF(CZ39&lt;&gt;"",CZ39,IF(DC39&lt;&gt;"",DC39,IF(DF39&lt;&gt;"",DF39,IF(DI39&lt;&gt;"",DI39,IF(DL39&lt;&gt;"",DL39,""))))))))))))</f>
        <v>4</v>
      </c>
      <c r="I39" s="23" t="n">
        <f aca="false">IF(CF39&lt;&gt;"",CF39,IF(CI39&lt;&gt;"",CI39,IF(CL39&lt;&gt;"",CL39,IF(CO39&lt;&gt;"",CO39,IF(CR39&lt;&gt;"",CR39,IF(CU39&lt;&gt;"",CU39,IF(CX39&lt;&gt;"",CX39,IF(DA39&lt;&gt;"",DA39,IF(DD39&lt;&gt;"",DD39,IF(DG39&lt;&gt;"",DG39,IF(DJ39&lt;&gt;"",DJ39,IF(DM39&lt;&gt;"",DM39,""))))))))))))</f>
        <v>5</v>
      </c>
      <c r="J39" s="23" t="n">
        <f aca="false">IF(CG39&lt;&gt;"",CG39,IF(CJ39&lt;&gt;"",CJ39,IF(CM39&lt;&gt;"",CM39,IF(CP39&lt;&gt;"",CP39,IF(CS39&lt;&gt;"",CS39,IF(CV39&lt;&gt;"",CV39,IF(CY39&lt;&gt;"",CY39,IF(DB39&lt;&gt;"",DB39,IF(DE39&lt;&gt;"",DE39,IF(DH39&lt;&gt;"",DH39,IF(DK39&lt;&gt;"",DK39,IF(DN39&lt;&gt;"",DN39,""))))))))))))</f>
        <v>5</v>
      </c>
      <c r="K39" s="2" t="str">
        <f aca="false">IF(COUNT(K32,K33,K34,K35,K36,K37)=0,"",COUNT(K32:K37))</f>
        <v/>
      </c>
      <c r="L39" s="2" t="n">
        <f aca="false">COUNT(L32:L37)</f>
        <v>6</v>
      </c>
      <c r="M39" s="2" t="n">
        <f aca="false">COUNT(M32:M37)</f>
        <v>6</v>
      </c>
      <c r="N39" s="23" t="str">
        <f aca="false">IF(COUNT(N32,N33,N34,N35,N36,N37)=0,"",COUNT(N32:N37))</f>
        <v/>
      </c>
      <c r="O39" s="23" t="n">
        <f aca="false">COUNT(O32:O37)</f>
        <v>6</v>
      </c>
      <c r="P39" s="23" t="n">
        <f aca="false">COUNT(P32:P37)</f>
        <v>6</v>
      </c>
      <c r="Q39" s="2" t="str">
        <f aca="false">IF(COUNT(Q32,Q33,Q34,Q35,Q36,Q37)=0,"",COUNT(Q32:Q37))</f>
        <v/>
      </c>
      <c r="R39" s="2" t="n">
        <f aca="false">COUNT(R32:R37)</f>
        <v>6</v>
      </c>
      <c r="S39" s="2" t="n">
        <f aca="false">COUNT(S32:S37)</f>
        <v>6</v>
      </c>
      <c r="T39" s="23" t="str">
        <f aca="false">IF(COUNT(T32,T33,T34,T35,T36,T37)=0,"",COUNT(T32:T37))</f>
        <v/>
      </c>
      <c r="U39" s="23" t="n">
        <f aca="false">COUNT(U32:U37)</f>
        <v>6</v>
      </c>
      <c r="V39" s="23" t="n">
        <f aca="false">COUNT(V32:V37)</f>
        <v>6</v>
      </c>
      <c r="W39" s="2" t="str">
        <f aca="false">IF(COUNT(W32,W33,W34,W35,W36,W37)=0,"",COUNT(W32:W37))</f>
        <v/>
      </c>
      <c r="X39" s="2" t="n">
        <f aca="false">COUNT(X32:X37)</f>
        <v>6</v>
      </c>
      <c r="Y39" s="2" t="n">
        <f aca="false">COUNT(Y32:Y37)</f>
        <v>6</v>
      </c>
      <c r="Z39" s="23" t="str">
        <f aca="false">IF(COUNT(Z32,Z33,Z34,Z35,Z36,Z37)=0,"",COUNT(Z32:Z37))</f>
        <v/>
      </c>
      <c r="AA39" s="23" t="n">
        <f aca="false">COUNT(AA32:AA37)</f>
        <v>6</v>
      </c>
      <c r="AB39" s="23" t="n">
        <f aca="false">COUNT(AB32:AB37)</f>
        <v>6</v>
      </c>
      <c r="AC39" s="2" t="str">
        <f aca="false">IF(COUNT(AC32,AC33,AC34,AC35,AC36,AC37)=0,"",COUNT(AC32:AC37))</f>
        <v/>
      </c>
      <c r="AD39" s="2" t="n">
        <f aca="false">COUNT(AD32:AD37)</f>
        <v>6</v>
      </c>
      <c r="AE39" s="2" t="n">
        <f aca="false">COUNT(AE32:AE37)</f>
        <v>6</v>
      </c>
      <c r="AF39" s="23" t="str">
        <f aca="false">IF(COUNT(AF32,AF33,AF34,AF35,AF36,AF37)=0,"",COUNT(AF32:AF37))</f>
        <v/>
      </c>
      <c r="AG39" s="23" t="n">
        <f aca="false">COUNT(AG32:AG37)</f>
        <v>6</v>
      </c>
      <c r="AH39" s="23" t="n">
        <f aca="false">COUNT(AH32:AH37)</f>
        <v>6</v>
      </c>
      <c r="AI39" s="2" t="str">
        <f aca="false">IF(COUNT(AI32,AI33,AI34,AI35,AI36,AI37)=0,"",COUNT(AI32:AI37))</f>
        <v/>
      </c>
      <c r="AJ39" s="2" t="n">
        <f aca="false">COUNT(AJ32:AJ37)</f>
        <v>6</v>
      </c>
      <c r="AK39" s="2" t="n">
        <f aca="false">COUNT(AK32:AK37)</f>
        <v>6</v>
      </c>
      <c r="AL39" s="23" t="str">
        <f aca="false">IF(COUNT(AL32,AL33,AL34,AL35,AL36,AL37)=0,"",COUNT(AL32:AL37))</f>
        <v/>
      </c>
      <c r="AM39" s="23" t="n">
        <f aca="false">COUNT(AM32:AM37)</f>
        <v>6</v>
      </c>
      <c r="AN39" s="23" t="n">
        <f aca="false">COUNT(AN32:AN37)</f>
        <v>6</v>
      </c>
      <c r="AO39" s="2" t="str">
        <f aca="false">IF(COUNT(AO32,AO33,AO34,AO35,AO36,AO37)=0,"",COUNT(AO32:AO37))</f>
        <v/>
      </c>
      <c r="AP39" s="2" t="n">
        <f aca="false">COUNT(AP32:AP37)</f>
        <v>6</v>
      </c>
      <c r="AQ39" s="2" t="n">
        <f aca="false">COUNT(AQ32:AQ37)</f>
        <v>6</v>
      </c>
      <c r="AR39" s="23" t="str">
        <f aca="false">IF(COUNT(AR32,AR33,AR34,AR35,AR36,AR37)=0,"",COUNT(AR32:AR37))</f>
        <v/>
      </c>
      <c r="AS39" s="23" t="n">
        <f aca="false">COUNT(AS32:AS37)</f>
        <v>6</v>
      </c>
      <c r="AT39" s="23" t="n">
        <f aca="false">COUNT(AT32:AT37)</f>
        <v>6</v>
      </c>
      <c r="AU39" s="2" t="str">
        <f aca="false">IF(COUNT(AU32,AU33,AU34,AU35,AU36,AU37)=0,"",COUNT(AU32:AU37))</f>
        <v/>
      </c>
      <c r="AV39" s="2" t="n">
        <f aca="false">COUNT(AV32:AV37)</f>
        <v>6</v>
      </c>
      <c r="AW39" s="2" t="n">
        <f aca="false">COUNT(AW32:AW37)</f>
        <v>6</v>
      </c>
      <c r="AX39" s="23" t="str">
        <f aca="false">IF(COUNT(AX32,AX33,AX34,AX35,AX36,AX37)=0,"",COUNT(AX32:AX37))</f>
        <v/>
      </c>
      <c r="AY39" s="23" t="n">
        <f aca="false">COUNT(AY32:AY37)</f>
        <v>6</v>
      </c>
      <c r="AZ39" s="23" t="n">
        <f aca="false">COUNT(AZ32:AZ37)</f>
        <v>6</v>
      </c>
      <c r="BA39" s="2" t="str">
        <f aca="false">IF(COUNT(BA32,BA33,BA34,BA35,BA36,BA37)=0,"",COUNT(BA32:BA37))</f>
        <v/>
      </c>
      <c r="BB39" s="2" t="n">
        <f aca="false">COUNT(BB32:BB37)</f>
        <v>6</v>
      </c>
      <c r="BC39" s="2" t="n">
        <f aca="false">COUNT(BC32:BC37)</f>
        <v>6</v>
      </c>
      <c r="BD39" s="23" t="str">
        <f aca="false">IF(COUNT(BD32,BD33,BD34,BD35,BD36)=0,"",COUNT(BD32:BD37))</f>
        <v/>
      </c>
      <c r="BE39" s="23" t="n">
        <f aca="false">COUNT(BE32:BE37)</f>
        <v>5</v>
      </c>
      <c r="BF39" s="23" t="n">
        <f aca="false">COUNT(BF32:BF37)</f>
        <v>5</v>
      </c>
      <c r="BG39" s="2" t="str">
        <f aca="false">IF(COUNT(BG32,BG33,BG34,BG35,BG36)=0,"",COUNT(BG32:BG37))</f>
        <v/>
      </c>
      <c r="BH39" s="2" t="n">
        <f aca="false">COUNT(BH32:BH37)</f>
        <v>5</v>
      </c>
      <c r="BI39" s="2" t="n">
        <f aca="false">COUNT(BI32:BI37)</f>
        <v>5</v>
      </c>
      <c r="BJ39" s="23" t="str">
        <f aca="false">IF(COUNT(BJ32,BJ33,BJ34,BJ35,BJ36)=0,"",COUNT(BJ32:BJ37))</f>
        <v/>
      </c>
      <c r="BK39" s="23" t="n">
        <f aca="false">COUNT(BK32:BK37)</f>
        <v>5</v>
      </c>
      <c r="BL39" s="23" t="n">
        <f aca="false">COUNT(BL32:BL37)</f>
        <v>5</v>
      </c>
      <c r="BM39" s="2" t="str">
        <f aca="false">IF(COUNT(BM32,BM33,BM34,BM35,BM36)=0,"",COUNT(BM32:BM37))</f>
        <v/>
      </c>
      <c r="BN39" s="2" t="n">
        <f aca="false">COUNT(BN32:BN37)</f>
        <v>5</v>
      </c>
      <c r="BO39" s="2" t="n">
        <f aca="false">COUNT(BO32:BO37)</f>
        <v>5</v>
      </c>
      <c r="BP39" s="23" t="str">
        <f aca="false">IF(COUNT(BP32,BP33,BP34,BP35,BP36)=0,"",COUNT(BP32:BP37))</f>
        <v/>
      </c>
      <c r="BQ39" s="23" t="n">
        <f aca="false">COUNT(BQ32:BQ37)</f>
        <v>5</v>
      </c>
      <c r="BR39" s="23" t="n">
        <f aca="false">COUNT(BR32:BR37)</f>
        <v>5</v>
      </c>
      <c r="BS39" s="2" t="str">
        <f aca="false">IF(COUNT(BS32,BS33,BS34,BS35,BS36)=0,"",COUNT(BS32:BS37))</f>
        <v/>
      </c>
      <c r="BT39" s="2" t="n">
        <f aca="false">COUNT(BT32:BT37)</f>
        <v>5</v>
      </c>
      <c r="BU39" s="2" t="n">
        <f aca="false">COUNT(BU32:BU37)</f>
        <v>5</v>
      </c>
      <c r="BV39" s="23" t="str">
        <f aca="false">IF(COUNT(BV32,BV33,BV34,BV35,BV36)=0,"",COUNT(BV32:BV37))</f>
        <v/>
      </c>
      <c r="BW39" s="23" t="n">
        <f aca="false">COUNT(BW32:BW37)</f>
        <v>5</v>
      </c>
      <c r="BX39" s="23" t="n">
        <f aca="false">COUNT(BX32:BX37)</f>
        <v>5</v>
      </c>
      <c r="BY39" s="2" t="str">
        <f aca="false">IF(COUNT(BY32,BY33,BY34,BY35,BY36)=0,"",COUNT(BY32:BY37))</f>
        <v/>
      </c>
      <c r="BZ39" s="2" t="n">
        <f aca="false">COUNT(BZ32:BZ37)</f>
        <v>5</v>
      </c>
      <c r="CA39" s="2" t="n">
        <f aca="false">COUNT(CA32:CA37)</f>
        <v>5</v>
      </c>
      <c r="CB39" s="23" t="str">
        <f aca="false">IF(COUNT(CB32,CB33,CB34,CB35,CB36)=0,"",COUNT(CB32:CB37))</f>
        <v/>
      </c>
      <c r="CC39" s="23" t="n">
        <f aca="false">COUNT(CC32:CC37)</f>
        <v>5</v>
      </c>
      <c r="CD39" s="23" t="n">
        <f aca="false">COUNT(CD32:CD37)</f>
        <v>5</v>
      </c>
      <c r="CE39" s="2" t="str">
        <f aca="false">IF(COUNT(CE32,CE33,CE34,CE35,CE36)=0,"",COUNT(CE32:CE37))</f>
        <v/>
      </c>
      <c r="CF39" s="2" t="n">
        <f aca="false">COUNT(CF32:CF37)</f>
        <v>5</v>
      </c>
      <c r="CG39" s="2" t="n">
        <f aca="false">COUNT(CG32:CG37)</f>
        <v>5</v>
      </c>
      <c r="CH39" s="23" t="str">
        <f aca="false">IF(COUNT(CH32,CH33,CH34,CH35,CH36)=0,"",COUNT(CH32:CH37))</f>
        <v/>
      </c>
      <c r="CI39" s="23" t="n">
        <f aca="false">COUNT(CI32:CI37)</f>
        <v>5</v>
      </c>
      <c r="CJ39" s="23" t="n">
        <f aca="false">COUNT(CJ32:CJ37)</f>
        <v>5</v>
      </c>
      <c r="CK39" s="2" t="str">
        <f aca="false">IF(COUNT(CK32,CK33,CK34,CK35,CK36)=0,"",COUNT(CK32:CK37))</f>
        <v/>
      </c>
      <c r="CL39" s="2" t="n">
        <f aca="false">COUNT(CL32:CL37)</f>
        <v>5</v>
      </c>
      <c r="CM39" s="2" t="n">
        <f aca="false">COUNT(CM32:CM37)</f>
        <v>5</v>
      </c>
      <c r="CN39" s="23" t="str">
        <f aca="false">IF(COUNT(CN32,CN33,CN34,CN35,CN36)=0,"",COUNT(CN32:CN37))</f>
        <v/>
      </c>
      <c r="CO39" s="23" t="n">
        <f aca="false">COUNT(CO32:CO37)</f>
        <v>5</v>
      </c>
      <c r="CP39" s="23" t="n">
        <f aca="false">COUNT(CP32:CP37)</f>
        <v>5</v>
      </c>
      <c r="CQ39" s="2" t="str">
        <f aca="false">IF(COUNT(CQ32,CQ33,CQ34,CQ35)=0,"",COUNT(CQ32:CQ37))</f>
        <v/>
      </c>
      <c r="CR39" s="2" t="n">
        <f aca="false">COUNT(CR32:CR37)</f>
        <v>4</v>
      </c>
      <c r="CS39" s="2" t="n">
        <f aca="false">COUNT(CS32:CS37)</f>
        <v>4</v>
      </c>
      <c r="CT39" s="23" t="str">
        <f aca="false">IF(COUNT(CT32,CT33,CT34,CT35)=0,"",COUNT(CT32:CT37))</f>
        <v/>
      </c>
      <c r="CU39" s="23" t="n">
        <f aca="false">COUNT(CU32:CU37)</f>
        <v>4</v>
      </c>
      <c r="CV39" s="23" t="n">
        <f aca="false">COUNT(CV32:CV37)</f>
        <v>4</v>
      </c>
      <c r="CW39" s="2" t="str">
        <f aca="false">IF(COUNT(CW32,CW33,CW34,CW35)=0,"",COUNT(CW32:CW37))</f>
        <v/>
      </c>
      <c r="CX39" s="2" t="n">
        <f aca="false">COUNT(CX32:CX37)</f>
        <v>4</v>
      </c>
      <c r="CY39" s="2" t="n">
        <f aca="false">COUNT(CY32:CY37)</f>
        <v>4</v>
      </c>
      <c r="CZ39" s="23" t="str">
        <f aca="false">IF(COUNT(CZ32,CZ33,CZ34,CZ35)=0,"",COUNT(CZ32:CZ37))</f>
        <v/>
      </c>
      <c r="DA39" s="23" t="n">
        <f aca="false">COUNT(DA32:DA37)</f>
        <v>4</v>
      </c>
      <c r="DB39" s="23" t="n">
        <f aca="false">COUNT(DB32:DB37)</f>
        <v>4</v>
      </c>
      <c r="DC39" s="2" t="str">
        <f aca="false">IF(COUNT(DC32,DC33,DC34,DC35)=0,"",COUNT(DC32:DC37))</f>
        <v/>
      </c>
      <c r="DD39" s="2" t="n">
        <f aca="false">COUNT(DD32:DD37)</f>
        <v>4</v>
      </c>
      <c r="DE39" s="2" t="n">
        <f aca="false">COUNT(DE32:DE37)</f>
        <v>4</v>
      </c>
      <c r="DF39" s="23" t="str">
        <f aca="false">IF(COUNT(DF32,DF33,DF34,DF35)=0,"",COUNT(DF32:DF37))</f>
        <v/>
      </c>
      <c r="DG39" s="23" t="n">
        <f aca="false">COUNT(DG32:DG37)</f>
        <v>4</v>
      </c>
      <c r="DH39" s="23" t="n">
        <f aca="false">COUNT(DH32:DH37)</f>
        <v>4</v>
      </c>
      <c r="DI39" s="2" t="n">
        <f aca="false">IF(COUNT(DI32,DI33,DI34,DI35)=0,"",COUNT(DI32:DI37))</f>
        <v>4</v>
      </c>
      <c r="DJ39" s="2" t="n">
        <f aca="false">COUNT(DJ32:DJ37)</f>
        <v>4</v>
      </c>
      <c r="DK39" s="2" t="n">
        <f aca="false">COUNT(DK32:DK37)</f>
        <v>4</v>
      </c>
      <c r="DL39" s="23" t="n">
        <f aca="false">IF(COUNT(DL32,DL33,DL34,DL35)=0,"",COUNT(DL32:DL37))</f>
        <v>4</v>
      </c>
      <c r="DM39" s="23" t="n">
        <f aca="false">COUNT(DM32:DM37)</f>
        <v>4</v>
      </c>
      <c r="DN39" s="23" t="n">
        <f aca="false">COUNT(DN32:DN37)</f>
        <v>4</v>
      </c>
    </row>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39">
    <mergeCell ref="B1:D1"/>
    <mergeCell ref="E1:G1"/>
    <mergeCell ref="H1:J1"/>
    <mergeCell ref="K1:M1"/>
    <mergeCell ref="N1:P1"/>
    <mergeCell ref="Q1:S1"/>
    <mergeCell ref="T1:V1"/>
    <mergeCell ref="W1:Y1"/>
    <mergeCell ref="Z1:AB1"/>
    <mergeCell ref="AC1:AE1"/>
    <mergeCell ref="AF1:AH1"/>
    <mergeCell ref="AI1:AK1"/>
    <mergeCell ref="AL1:AN1"/>
    <mergeCell ref="AO1:AQ1"/>
    <mergeCell ref="AR1:AT1"/>
    <mergeCell ref="AU1:AW1"/>
    <mergeCell ref="AX1:AZ1"/>
    <mergeCell ref="BA1:BC1"/>
    <mergeCell ref="BD1:BF1"/>
    <mergeCell ref="BG1:BI1"/>
    <mergeCell ref="BJ1:BL1"/>
    <mergeCell ref="BM1:BO1"/>
    <mergeCell ref="BP1:BR1"/>
    <mergeCell ref="BS1:BU1"/>
    <mergeCell ref="BV1:BX1"/>
    <mergeCell ref="BY1:CA1"/>
    <mergeCell ref="CB1:CD1"/>
    <mergeCell ref="CE1:CG1"/>
    <mergeCell ref="CH1:CJ1"/>
    <mergeCell ref="CK1:CM1"/>
    <mergeCell ref="CN1:CP1"/>
    <mergeCell ref="CQ1:CS1"/>
    <mergeCell ref="CT1:CV1"/>
    <mergeCell ref="CW1:CY1"/>
    <mergeCell ref="CZ1:DB1"/>
    <mergeCell ref="DC1:DE1"/>
    <mergeCell ref="DF1:DH1"/>
    <mergeCell ref="DI1:DK1"/>
    <mergeCell ref="DL1:DN1"/>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N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false" zeroHeight="false" outlineLevelRow="0" outlineLevelCol="0"/>
  <cols>
    <col collapsed="false" customWidth="true" hidden="false" outlineLevel="0" max="1" min="1" style="0" width="50"/>
    <col collapsed="false" customWidth="true" hidden="false" outlineLevel="0" max="118" min="2" style="0" width="11"/>
  </cols>
  <sheetData>
    <row r="1" customFormat="false" ht="15" hidden="false" customHeight="false" outlineLevel="0" collapsed="false">
      <c r="B1" s="6" t="str">
        <f aca="false">"FY"&amp;YEAR(K$1)</f>
        <v>FY2028</v>
      </c>
      <c r="C1" s="6"/>
      <c r="D1" s="6"/>
      <c r="E1" s="7" t="str">
        <f aca="false">"FY"&amp;YEAR(AU$1)</f>
        <v>FY2027</v>
      </c>
      <c r="F1" s="7"/>
      <c r="G1" s="7"/>
      <c r="H1" s="6" t="str">
        <f aca="false">"FY"&amp;YEAR(CE$1)</f>
        <v>FY2026</v>
      </c>
      <c r="I1" s="6"/>
      <c r="J1" s="6"/>
      <c r="K1" s="8" t="n">
        <f aca="false">EOMONTH(N$1,1)</f>
        <v>47118</v>
      </c>
      <c r="L1" s="8"/>
      <c r="M1" s="8"/>
      <c r="N1" s="9" t="n">
        <f aca="false">EOMONTH(Q$1,1)</f>
        <v>47087</v>
      </c>
      <c r="O1" s="9"/>
      <c r="P1" s="9"/>
      <c r="Q1" s="8" t="n">
        <f aca="false">EOMONTH(T$1,1)</f>
        <v>47057</v>
      </c>
      <c r="R1" s="8"/>
      <c r="S1" s="8"/>
      <c r="T1" s="9" t="n">
        <f aca="false">EOMONTH(W$1,1)</f>
        <v>47026</v>
      </c>
      <c r="U1" s="9"/>
      <c r="V1" s="9"/>
      <c r="W1" s="8" t="n">
        <f aca="false">EOMONTH(Z$1,1)</f>
        <v>46996</v>
      </c>
      <c r="X1" s="8"/>
      <c r="Y1" s="8"/>
      <c r="Z1" s="9" t="n">
        <f aca="false">EOMONTH(AC$1,1)</f>
        <v>46965</v>
      </c>
      <c r="AA1" s="9"/>
      <c r="AB1" s="9"/>
      <c r="AC1" s="8" t="n">
        <f aca="false">EOMONTH(AF$1,1)</f>
        <v>46934</v>
      </c>
      <c r="AD1" s="8"/>
      <c r="AE1" s="8"/>
      <c r="AF1" s="9" t="n">
        <f aca="false">EOMONTH(AI$1,1)</f>
        <v>46904</v>
      </c>
      <c r="AG1" s="9"/>
      <c r="AH1" s="9"/>
      <c r="AI1" s="8" t="n">
        <f aca="false">EOMONTH(AL$1,1)</f>
        <v>46873</v>
      </c>
      <c r="AJ1" s="8"/>
      <c r="AK1" s="8"/>
      <c r="AL1" s="9" t="n">
        <f aca="false">EOMONTH(AO$1,1)</f>
        <v>46843</v>
      </c>
      <c r="AM1" s="9"/>
      <c r="AN1" s="9"/>
      <c r="AO1" s="8" t="n">
        <f aca="false">EOMONTH(AR$1,1)</f>
        <v>46812</v>
      </c>
      <c r="AP1" s="8"/>
      <c r="AQ1" s="8"/>
      <c r="AR1" s="9" t="n">
        <f aca="false">EOMONTH(AU$1,1)</f>
        <v>46783</v>
      </c>
      <c r="AS1" s="9"/>
      <c r="AT1" s="9"/>
      <c r="AU1" s="8" t="n">
        <f aca="false">EOMONTH(AX$1,1)</f>
        <v>46752</v>
      </c>
      <c r="AV1" s="8"/>
      <c r="AW1" s="8"/>
      <c r="AX1" s="9" t="n">
        <f aca="false">EOMONTH(BA$1,1)</f>
        <v>46721</v>
      </c>
      <c r="AY1" s="9"/>
      <c r="AZ1" s="9"/>
      <c r="BA1" s="8" t="n">
        <f aca="false">EOMONTH(BD$1,1)</f>
        <v>46691</v>
      </c>
      <c r="BB1" s="8"/>
      <c r="BC1" s="8"/>
      <c r="BD1" s="9" t="n">
        <f aca="false">EOMONTH(BG$1,1)</f>
        <v>46660</v>
      </c>
      <c r="BE1" s="9"/>
      <c r="BF1" s="9"/>
      <c r="BG1" s="8" t="n">
        <f aca="false">EOMONTH(BJ$1,1)</f>
        <v>46630</v>
      </c>
      <c r="BH1" s="8"/>
      <c r="BI1" s="8"/>
      <c r="BJ1" s="9" t="n">
        <f aca="false">EOMONTH(BM$1,1)</f>
        <v>46599</v>
      </c>
      <c r="BK1" s="9"/>
      <c r="BL1" s="9"/>
      <c r="BM1" s="8" t="n">
        <f aca="false">EOMONTH(BP$1,1)</f>
        <v>46568</v>
      </c>
      <c r="BN1" s="8"/>
      <c r="BO1" s="8"/>
      <c r="BP1" s="9" t="n">
        <f aca="false">EOMONTH(BS$1,1)</f>
        <v>46538</v>
      </c>
      <c r="BQ1" s="9"/>
      <c r="BR1" s="9"/>
      <c r="BS1" s="8" t="n">
        <f aca="false">EOMONTH(BV$1,1)</f>
        <v>46507</v>
      </c>
      <c r="BT1" s="8"/>
      <c r="BU1" s="8"/>
      <c r="BV1" s="9" t="n">
        <f aca="false">EOMONTH(BY$1,1)</f>
        <v>46477</v>
      </c>
      <c r="BW1" s="9"/>
      <c r="BX1" s="9"/>
      <c r="BY1" s="8" t="n">
        <f aca="false">EOMONTH(CB$1,1)</f>
        <v>46446</v>
      </c>
      <c r="BZ1" s="8"/>
      <c r="CA1" s="8"/>
      <c r="CB1" s="9" t="n">
        <f aca="false">EOMONTH(CE$1,1)</f>
        <v>46418</v>
      </c>
      <c r="CC1" s="9"/>
      <c r="CD1" s="9"/>
      <c r="CE1" s="8" t="n">
        <f aca="false">EOMONTH(CH$1,1)</f>
        <v>46387</v>
      </c>
      <c r="CF1" s="8"/>
      <c r="CG1" s="8"/>
      <c r="CH1" s="9" t="n">
        <f aca="false">EOMONTH(CK$1,1)</f>
        <v>46356</v>
      </c>
      <c r="CI1" s="9"/>
      <c r="CJ1" s="9"/>
      <c r="CK1" s="8" t="n">
        <f aca="false">EOMONTH(CN$1,1)</f>
        <v>46326</v>
      </c>
      <c r="CL1" s="8"/>
      <c r="CM1" s="8"/>
      <c r="CN1" s="9" t="n">
        <f aca="false">EOMONTH(CQ$1,1)</f>
        <v>46295</v>
      </c>
      <c r="CO1" s="9"/>
      <c r="CP1" s="9"/>
      <c r="CQ1" s="8" t="n">
        <f aca="false">EOMONTH(CT$1,1)</f>
        <v>46265</v>
      </c>
      <c r="CR1" s="8"/>
      <c r="CS1" s="8"/>
      <c r="CT1" s="9" t="n">
        <f aca="false">EOMONTH(CW$1,1)</f>
        <v>46234</v>
      </c>
      <c r="CU1" s="9"/>
      <c r="CV1" s="9"/>
      <c r="CW1" s="8" t="n">
        <f aca="false">EOMONTH(CZ$1,1)</f>
        <v>46203</v>
      </c>
      <c r="CX1" s="8"/>
      <c r="CY1" s="8"/>
      <c r="CZ1" s="9" t="n">
        <f aca="false">EOMONTH(DC$1,1)</f>
        <v>46173</v>
      </c>
      <c r="DA1" s="9"/>
      <c r="DB1" s="9"/>
      <c r="DC1" s="8" t="n">
        <f aca="false">EOMONTH(DF$1,1)</f>
        <v>46142</v>
      </c>
      <c r="DD1" s="8"/>
      <c r="DE1" s="8"/>
      <c r="DF1" s="9" t="n">
        <f aca="false">EOMONTH(DI$1,1)</f>
        <v>46112</v>
      </c>
      <c r="DG1" s="9"/>
      <c r="DH1" s="9"/>
      <c r="DI1" s="8" t="n">
        <f aca="false">EOMONTH(DL$1,1)</f>
        <v>46081</v>
      </c>
      <c r="DJ1" s="8"/>
      <c r="DK1" s="8"/>
      <c r="DL1" s="9" t="n">
        <f aca="false">Finance!$DL$61</f>
        <v>46053</v>
      </c>
      <c r="DM1" s="9"/>
      <c r="DN1" s="9"/>
    </row>
    <row r="2" customFormat="false" ht="15" hidden="false" customHeight="false" outlineLevel="0" collapsed="false">
      <c r="A2" s="10"/>
      <c r="B2" s="11" t="s">
        <v>99</v>
      </c>
      <c r="C2" s="11" t="s">
        <v>100</v>
      </c>
      <c r="D2" s="11" t="s">
        <v>101</v>
      </c>
      <c r="E2" s="10" t="s">
        <v>99</v>
      </c>
      <c r="F2" s="10" t="s">
        <v>100</v>
      </c>
      <c r="G2" s="10" t="s">
        <v>101</v>
      </c>
      <c r="H2" s="11" t="s">
        <v>99</v>
      </c>
      <c r="I2" s="11" t="s">
        <v>100</v>
      </c>
      <c r="J2" s="11" t="s">
        <v>101</v>
      </c>
      <c r="K2" s="10" t="s">
        <v>99</v>
      </c>
      <c r="L2" s="10" t="s">
        <v>100</v>
      </c>
      <c r="M2" s="10" t="s">
        <v>101</v>
      </c>
      <c r="N2" s="11" t="s">
        <v>99</v>
      </c>
      <c r="O2" s="11" t="s">
        <v>100</v>
      </c>
      <c r="P2" s="11" t="s">
        <v>101</v>
      </c>
      <c r="Q2" s="10" t="s">
        <v>99</v>
      </c>
      <c r="R2" s="10" t="s">
        <v>100</v>
      </c>
      <c r="S2" s="10" t="s">
        <v>101</v>
      </c>
      <c r="T2" s="11" t="s">
        <v>99</v>
      </c>
      <c r="U2" s="11" t="s">
        <v>100</v>
      </c>
      <c r="V2" s="11" t="s">
        <v>101</v>
      </c>
      <c r="W2" s="10" t="s">
        <v>99</v>
      </c>
      <c r="X2" s="10" t="s">
        <v>100</v>
      </c>
      <c r="Y2" s="10" t="s">
        <v>101</v>
      </c>
      <c r="Z2" s="11" t="s">
        <v>99</v>
      </c>
      <c r="AA2" s="11" t="s">
        <v>100</v>
      </c>
      <c r="AB2" s="11" t="s">
        <v>101</v>
      </c>
      <c r="AC2" s="10" t="s">
        <v>99</v>
      </c>
      <c r="AD2" s="10" t="s">
        <v>100</v>
      </c>
      <c r="AE2" s="10" t="s">
        <v>101</v>
      </c>
      <c r="AF2" s="11" t="s">
        <v>99</v>
      </c>
      <c r="AG2" s="11" t="s">
        <v>100</v>
      </c>
      <c r="AH2" s="11" t="s">
        <v>101</v>
      </c>
      <c r="AI2" s="10" t="s">
        <v>99</v>
      </c>
      <c r="AJ2" s="10" t="s">
        <v>100</v>
      </c>
      <c r="AK2" s="10" t="s">
        <v>101</v>
      </c>
      <c r="AL2" s="11" t="s">
        <v>99</v>
      </c>
      <c r="AM2" s="11" t="s">
        <v>100</v>
      </c>
      <c r="AN2" s="11" t="s">
        <v>101</v>
      </c>
      <c r="AO2" s="10" t="s">
        <v>99</v>
      </c>
      <c r="AP2" s="10" t="s">
        <v>100</v>
      </c>
      <c r="AQ2" s="10" t="s">
        <v>101</v>
      </c>
      <c r="AR2" s="11" t="s">
        <v>99</v>
      </c>
      <c r="AS2" s="11" t="s">
        <v>100</v>
      </c>
      <c r="AT2" s="11" t="s">
        <v>101</v>
      </c>
      <c r="AU2" s="10" t="s">
        <v>99</v>
      </c>
      <c r="AV2" s="10" t="s">
        <v>100</v>
      </c>
      <c r="AW2" s="10" t="s">
        <v>101</v>
      </c>
      <c r="AX2" s="11" t="s">
        <v>99</v>
      </c>
      <c r="AY2" s="11" t="s">
        <v>100</v>
      </c>
      <c r="AZ2" s="11" t="s">
        <v>101</v>
      </c>
      <c r="BA2" s="10" t="s">
        <v>99</v>
      </c>
      <c r="BB2" s="10" t="s">
        <v>100</v>
      </c>
      <c r="BC2" s="10" t="s">
        <v>101</v>
      </c>
      <c r="BD2" s="11" t="s">
        <v>99</v>
      </c>
      <c r="BE2" s="11" t="s">
        <v>100</v>
      </c>
      <c r="BF2" s="11" t="s">
        <v>101</v>
      </c>
      <c r="BG2" s="10" t="s">
        <v>99</v>
      </c>
      <c r="BH2" s="10" t="s">
        <v>100</v>
      </c>
      <c r="BI2" s="10" t="s">
        <v>101</v>
      </c>
      <c r="BJ2" s="11" t="s">
        <v>99</v>
      </c>
      <c r="BK2" s="11" t="s">
        <v>100</v>
      </c>
      <c r="BL2" s="11" t="s">
        <v>101</v>
      </c>
      <c r="BM2" s="10" t="s">
        <v>99</v>
      </c>
      <c r="BN2" s="10" t="s">
        <v>100</v>
      </c>
      <c r="BO2" s="10" t="s">
        <v>101</v>
      </c>
      <c r="BP2" s="11" t="s">
        <v>99</v>
      </c>
      <c r="BQ2" s="11" t="s">
        <v>100</v>
      </c>
      <c r="BR2" s="11" t="s">
        <v>101</v>
      </c>
      <c r="BS2" s="10" t="s">
        <v>99</v>
      </c>
      <c r="BT2" s="10" t="s">
        <v>100</v>
      </c>
      <c r="BU2" s="10" t="s">
        <v>101</v>
      </c>
      <c r="BV2" s="11" t="s">
        <v>99</v>
      </c>
      <c r="BW2" s="11" t="s">
        <v>100</v>
      </c>
      <c r="BX2" s="11" t="s">
        <v>101</v>
      </c>
      <c r="BY2" s="10" t="s">
        <v>99</v>
      </c>
      <c r="BZ2" s="10" t="s">
        <v>100</v>
      </c>
      <c r="CA2" s="10" t="s">
        <v>101</v>
      </c>
      <c r="CB2" s="11" t="s">
        <v>99</v>
      </c>
      <c r="CC2" s="11" t="s">
        <v>100</v>
      </c>
      <c r="CD2" s="11" t="s">
        <v>101</v>
      </c>
      <c r="CE2" s="10" t="s">
        <v>99</v>
      </c>
      <c r="CF2" s="10" t="s">
        <v>100</v>
      </c>
      <c r="CG2" s="10" t="s">
        <v>101</v>
      </c>
      <c r="CH2" s="11" t="s">
        <v>99</v>
      </c>
      <c r="CI2" s="11" t="s">
        <v>100</v>
      </c>
      <c r="CJ2" s="11" t="s">
        <v>101</v>
      </c>
      <c r="CK2" s="10" t="s">
        <v>99</v>
      </c>
      <c r="CL2" s="10" t="s">
        <v>100</v>
      </c>
      <c r="CM2" s="10" t="s">
        <v>101</v>
      </c>
      <c r="CN2" s="11" t="s">
        <v>99</v>
      </c>
      <c r="CO2" s="11" t="s">
        <v>100</v>
      </c>
      <c r="CP2" s="11" t="s">
        <v>101</v>
      </c>
      <c r="CQ2" s="10" t="s">
        <v>99</v>
      </c>
      <c r="CR2" s="10" t="s">
        <v>100</v>
      </c>
      <c r="CS2" s="10" t="s">
        <v>101</v>
      </c>
      <c r="CT2" s="11" t="s">
        <v>99</v>
      </c>
      <c r="CU2" s="11" t="s">
        <v>100</v>
      </c>
      <c r="CV2" s="11" t="s">
        <v>101</v>
      </c>
      <c r="CW2" s="10" t="s">
        <v>99</v>
      </c>
      <c r="CX2" s="10" t="s">
        <v>100</v>
      </c>
      <c r="CY2" s="10" t="s">
        <v>101</v>
      </c>
      <c r="CZ2" s="11" t="s">
        <v>99</v>
      </c>
      <c r="DA2" s="11" t="s">
        <v>100</v>
      </c>
      <c r="DB2" s="11" t="s">
        <v>101</v>
      </c>
      <c r="DC2" s="10" t="s">
        <v>99</v>
      </c>
      <c r="DD2" s="10" t="s">
        <v>100</v>
      </c>
      <c r="DE2" s="10" t="s">
        <v>101</v>
      </c>
      <c r="DF2" s="11" t="s">
        <v>99</v>
      </c>
      <c r="DG2" s="11" t="s">
        <v>100</v>
      </c>
      <c r="DH2" s="11" t="s">
        <v>101</v>
      </c>
      <c r="DI2" s="10" t="s">
        <v>99</v>
      </c>
      <c r="DJ2" s="10" t="s">
        <v>100</v>
      </c>
      <c r="DK2" s="10" t="s">
        <v>101</v>
      </c>
      <c r="DL2" s="11" t="s">
        <v>99</v>
      </c>
      <c r="DM2" s="11" t="s">
        <v>100</v>
      </c>
      <c r="DN2" s="11" t="s">
        <v>101</v>
      </c>
    </row>
    <row r="3" customFormat="false" ht="15" hidden="false" customHeight="false" outlineLevel="0" collapsed="false">
      <c r="A3" s="5" t="s">
        <v>132</v>
      </c>
      <c r="B3" s="23" t="str">
        <f aca="false">IF(COUNT(AR3,AO3,AL3,AI3,AF3,AC3,Z3,W3,T3,Q3,N3,K3)=0,"",SUM(AR3,AO3,AL3,AI3,AF3,AC3,Z3,W3,T3,Q3,N3,K3))</f>
        <v/>
      </c>
      <c r="C3" s="23" t="n">
        <f aca="false">IF(COUNT(AS3,AP3,AM3,AJ3,AG3,AD3,AA3,X3,U3,R3,O3,L3)=0,"",SUM(AS3,AP3,AM3,AJ3,AG3,AD3,AA3,X3,U3,R3,O3,L3))</f>
        <v>1776</v>
      </c>
      <c r="D3" s="23" t="n">
        <f aca="false">IF(COUNT(AT3,AQ3,AN3,AK3,AH3,AE3,AB3,Y3,V3,S3,P3,M3)=0,"",SUM(AT3,AQ3,AN3,AK3,AH3,AE3,AB3,Y3,V3,S3,P3,M3))</f>
        <v>1776</v>
      </c>
      <c r="E3" s="2" t="str">
        <f aca="false">IF(COUNT(CB3,BY3,BV3,BS3,BP3,BM3,BJ3,BG3,BD3,BA3,AX3,AU3)=0,"",SUM(CB3,BY3,BV3,BS3,BP3,BM3,BJ3,BG3,BD3,BA3,AX3,AU3))</f>
        <v/>
      </c>
      <c r="F3" s="2" t="n">
        <f aca="false">IF(COUNT(CC3,BZ3,BW3,BT3,BQ3,BN3,BK3,BH3,BE3,BB3,AY3,AV3)=0,"",SUM(CC3,BZ3,BW3,BT3,BQ3,BN3,BK3,BH3,BE3,BB3,AY3,AV3))</f>
        <v>1284</v>
      </c>
      <c r="G3" s="2" t="n">
        <f aca="false">IF(COUNT(CD3,CA3,BX3,BU3,BR3,BO3,BL3,BI3,BF3,BC3,AZ3,AW3)=0,"",SUM(CD3,CA3,BX3,BU3,BR3,BO3,BL3,BI3,BF3,BC3,AZ3,AW3))</f>
        <v>1284</v>
      </c>
      <c r="H3" s="23" t="n">
        <f aca="false">IF(COUNT(DL3,DI3,DF3,DC3,CZ3,CW3,CT3,CQ3,CN3,CK3,CH3,CE3)=0,"",SUM(DL3,DI3,DF3,DC3,CZ3,CW3,CT3,CQ3,CN3,CK3,CH3,CE3))</f>
        <v>150</v>
      </c>
      <c r="I3" s="23" t="n">
        <f aca="false">IF(COUNT(DM3,DJ3,DG3,DD3,DA3,CX3,CU3,CR3,CO3,CL3,CI3,CF3)=0,"",SUM(DM3,DJ3,DG3,DD3,DA3,CX3,CU3,CR3,CO3,CL3,CI3,CF3))</f>
        <v>890</v>
      </c>
      <c r="J3" s="23" t="n">
        <f aca="false">IF(COUNT(DN3,DK3,DH3,DE3,DB3,CY3,CV3,CS3,CP3,CM3,CJ3,CG3)=0,"",SUM(DN3,DK3,DH3,DE3,DB3,CY3,CV3,CS3,CP3,CM3,CJ3,CG3))</f>
        <v>888</v>
      </c>
      <c r="K3" s="2" t="str">
        <f aca="false">IF(COUNT(Marketing!K7)=1,Marketing!K7,"")</f>
        <v/>
      </c>
      <c r="L3" s="2" t="n">
        <f aca="false">Marketing!L7</f>
        <v>148</v>
      </c>
      <c r="M3" s="2" t="n">
        <f aca="false">Marketing!M7</f>
        <v>148</v>
      </c>
      <c r="N3" s="23" t="str">
        <f aca="false">IF(COUNT(Marketing!N7)=1,Marketing!N7,"")</f>
        <v/>
      </c>
      <c r="O3" s="23" t="n">
        <f aca="false">Marketing!O7</f>
        <v>148</v>
      </c>
      <c r="P3" s="23" t="n">
        <f aca="false">Marketing!P7</f>
        <v>148</v>
      </c>
      <c r="Q3" s="2" t="str">
        <f aca="false">IF(COUNT(Marketing!Q7)=1,Marketing!Q7,"")</f>
        <v/>
      </c>
      <c r="R3" s="2" t="n">
        <f aca="false">Marketing!R7</f>
        <v>148</v>
      </c>
      <c r="S3" s="2" t="n">
        <f aca="false">Marketing!S7</f>
        <v>148</v>
      </c>
      <c r="T3" s="23" t="str">
        <f aca="false">IF(COUNT(Marketing!T7)=1,Marketing!T7,"")</f>
        <v/>
      </c>
      <c r="U3" s="23" t="n">
        <f aca="false">Marketing!U7</f>
        <v>148</v>
      </c>
      <c r="V3" s="23" t="n">
        <f aca="false">Marketing!V7</f>
        <v>148</v>
      </c>
      <c r="W3" s="2" t="str">
        <f aca="false">IF(COUNT(Marketing!W7)=1,Marketing!W7,"")</f>
        <v/>
      </c>
      <c r="X3" s="2" t="n">
        <f aca="false">Marketing!X7</f>
        <v>148</v>
      </c>
      <c r="Y3" s="2" t="n">
        <f aca="false">Marketing!Y7</f>
        <v>148</v>
      </c>
      <c r="Z3" s="23" t="str">
        <f aca="false">IF(COUNT(Marketing!Z7)=1,Marketing!Z7,"")</f>
        <v/>
      </c>
      <c r="AA3" s="23" t="n">
        <f aca="false">Marketing!AA7</f>
        <v>148</v>
      </c>
      <c r="AB3" s="23" t="n">
        <f aca="false">Marketing!AB7</f>
        <v>148</v>
      </c>
      <c r="AC3" s="2" t="str">
        <f aca="false">IF(COUNT(Marketing!AC7)=1,Marketing!AC7,"")</f>
        <v/>
      </c>
      <c r="AD3" s="2" t="n">
        <f aca="false">Marketing!AD7</f>
        <v>148</v>
      </c>
      <c r="AE3" s="2" t="n">
        <f aca="false">Marketing!AE7</f>
        <v>148</v>
      </c>
      <c r="AF3" s="23" t="str">
        <f aca="false">IF(COUNT(Marketing!AF7)=1,Marketing!AF7,"")</f>
        <v/>
      </c>
      <c r="AG3" s="23" t="n">
        <f aca="false">Marketing!AG7</f>
        <v>148</v>
      </c>
      <c r="AH3" s="23" t="n">
        <f aca="false">Marketing!AH7</f>
        <v>148</v>
      </c>
      <c r="AI3" s="2" t="str">
        <f aca="false">IF(COUNT(Marketing!AI7)=1,Marketing!AI7,"")</f>
        <v/>
      </c>
      <c r="AJ3" s="2" t="n">
        <f aca="false">Marketing!AJ7</f>
        <v>148</v>
      </c>
      <c r="AK3" s="2" t="n">
        <f aca="false">Marketing!AK7</f>
        <v>148</v>
      </c>
      <c r="AL3" s="23" t="str">
        <f aca="false">IF(COUNT(Marketing!AL7)=1,Marketing!AL7,"")</f>
        <v/>
      </c>
      <c r="AM3" s="23" t="n">
        <f aca="false">Marketing!AM7</f>
        <v>148</v>
      </c>
      <c r="AN3" s="23" t="n">
        <f aca="false">Marketing!AN7</f>
        <v>148</v>
      </c>
      <c r="AO3" s="2" t="str">
        <f aca="false">IF(COUNT(Marketing!AO7)=1,Marketing!AO7,"")</f>
        <v/>
      </c>
      <c r="AP3" s="2" t="n">
        <f aca="false">Marketing!AP7</f>
        <v>148</v>
      </c>
      <c r="AQ3" s="2" t="n">
        <f aca="false">Marketing!AQ7</f>
        <v>148</v>
      </c>
      <c r="AR3" s="23" t="str">
        <f aca="false">IF(COUNT(Marketing!AR7)=1,Marketing!AR7,"")</f>
        <v/>
      </c>
      <c r="AS3" s="23" t="n">
        <f aca="false">Marketing!AS7</f>
        <v>148</v>
      </c>
      <c r="AT3" s="23" t="n">
        <f aca="false">Marketing!AT7</f>
        <v>148</v>
      </c>
      <c r="AU3" s="2" t="str">
        <f aca="false">IF(COUNT(Marketing!AU7)=1,Marketing!AU7,"")</f>
        <v/>
      </c>
      <c r="AV3" s="2" t="n">
        <f aca="false">Marketing!AV7</f>
        <v>107</v>
      </c>
      <c r="AW3" s="2" t="n">
        <f aca="false">Marketing!AW7</f>
        <v>107</v>
      </c>
      <c r="AX3" s="23" t="str">
        <f aca="false">IF(COUNT(Marketing!AX7)=1,Marketing!AX7,"")</f>
        <v/>
      </c>
      <c r="AY3" s="23" t="n">
        <f aca="false">Marketing!AY7</f>
        <v>107</v>
      </c>
      <c r="AZ3" s="23" t="n">
        <f aca="false">Marketing!AZ7</f>
        <v>107</v>
      </c>
      <c r="BA3" s="2" t="str">
        <f aca="false">IF(COUNT(Marketing!BA7)=1,Marketing!BA7,"")</f>
        <v/>
      </c>
      <c r="BB3" s="2" t="n">
        <f aca="false">Marketing!BB7</f>
        <v>107</v>
      </c>
      <c r="BC3" s="2" t="n">
        <f aca="false">Marketing!BC7</f>
        <v>107</v>
      </c>
      <c r="BD3" s="23" t="str">
        <f aca="false">IF(COUNT(Marketing!BD7)=1,Marketing!BD7,"")</f>
        <v/>
      </c>
      <c r="BE3" s="23" t="n">
        <f aca="false">Marketing!BE7</f>
        <v>107</v>
      </c>
      <c r="BF3" s="23" t="n">
        <f aca="false">Marketing!BF7</f>
        <v>107</v>
      </c>
      <c r="BG3" s="2" t="str">
        <f aca="false">IF(COUNT(Marketing!BG7)=1,Marketing!BG7,"")</f>
        <v/>
      </c>
      <c r="BH3" s="2" t="n">
        <f aca="false">Marketing!BH7</f>
        <v>107</v>
      </c>
      <c r="BI3" s="2" t="n">
        <f aca="false">Marketing!BI7</f>
        <v>107</v>
      </c>
      <c r="BJ3" s="23" t="str">
        <f aca="false">IF(COUNT(Marketing!BJ7)=1,Marketing!BJ7,"")</f>
        <v/>
      </c>
      <c r="BK3" s="23" t="n">
        <f aca="false">Marketing!BK7</f>
        <v>107</v>
      </c>
      <c r="BL3" s="23" t="n">
        <f aca="false">Marketing!BL7</f>
        <v>107</v>
      </c>
      <c r="BM3" s="2" t="str">
        <f aca="false">IF(COUNT(Marketing!BM7)=1,Marketing!BM7,"")</f>
        <v/>
      </c>
      <c r="BN3" s="2" t="n">
        <f aca="false">Marketing!BN7</f>
        <v>107</v>
      </c>
      <c r="BO3" s="2" t="n">
        <f aca="false">Marketing!BO7</f>
        <v>107</v>
      </c>
      <c r="BP3" s="23" t="str">
        <f aca="false">IF(COUNT(Marketing!BP7)=1,Marketing!BP7,"")</f>
        <v/>
      </c>
      <c r="BQ3" s="23" t="n">
        <f aca="false">Marketing!BQ7</f>
        <v>107</v>
      </c>
      <c r="BR3" s="23" t="n">
        <f aca="false">Marketing!BR7</f>
        <v>107</v>
      </c>
      <c r="BS3" s="2" t="str">
        <f aca="false">IF(COUNT(Marketing!BS7)=1,Marketing!BS7,"")</f>
        <v/>
      </c>
      <c r="BT3" s="2" t="n">
        <f aca="false">Marketing!BT7</f>
        <v>107</v>
      </c>
      <c r="BU3" s="2" t="n">
        <f aca="false">Marketing!BU7</f>
        <v>107</v>
      </c>
      <c r="BV3" s="23" t="str">
        <f aca="false">IF(COUNT(Marketing!BV7)=1,Marketing!BV7,"")</f>
        <v/>
      </c>
      <c r="BW3" s="23" t="n">
        <f aca="false">Marketing!BW7</f>
        <v>107</v>
      </c>
      <c r="BX3" s="23" t="n">
        <f aca="false">Marketing!BX7</f>
        <v>107</v>
      </c>
      <c r="BY3" s="2" t="str">
        <f aca="false">IF(COUNT(Marketing!BY7)=1,Marketing!BY7,"")</f>
        <v/>
      </c>
      <c r="BZ3" s="2" t="n">
        <f aca="false">Marketing!BZ7</f>
        <v>107</v>
      </c>
      <c r="CA3" s="2" t="n">
        <f aca="false">Marketing!CA7</f>
        <v>107</v>
      </c>
      <c r="CB3" s="23" t="str">
        <f aca="false">IF(COUNT(Marketing!CB7)=1,Marketing!CB7,"")</f>
        <v/>
      </c>
      <c r="CC3" s="23" t="n">
        <f aca="false">Marketing!CC7</f>
        <v>107</v>
      </c>
      <c r="CD3" s="23" t="n">
        <f aca="false">Marketing!CD7</f>
        <v>107</v>
      </c>
      <c r="CE3" s="2" t="str">
        <f aca="false">IF(COUNT(Marketing!CE7)=1,Marketing!CE7,"")</f>
        <v/>
      </c>
      <c r="CF3" s="2" t="n">
        <f aca="false">Marketing!CF7</f>
        <v>74</v>
      </c>
      <c r="CG3" s="2" t="n">
        <f aca="false">Marketing!CG7</f>
        <v>74</v>
      </c>
      <c r="CH3" s="23" t="str">
        <f aca="false">IF(COUNT(Marketing!CH7)=1,Marketing!CH7,"")</f>
        <v/>
      </c>
      <c r="CI3" s="23" t="n">
        <f aca="false">Marketing!CI7</f>
        <v>74</v>
      </c>
      <c r="CJ3" s="23" t="n">
        <f aca="false">Marketing!CJ7</f>
        <v>74</v>
      </c>
      <c r="CK3" s="2" t="str">
        <f aca="false">IF(COUNT(Marketing!CK7)=1,Marketing!CK7,"")</f>
        <v/>
      </c>
      <c r="CL3" s="2" t="n">
        <f aca="false">Marketing!CL7</f>
        <v>74</v>
      </c>
      <c r="CM3" s="2" t="n">
        <f aca="false">Marketing!CM7</f>
        <v>74</v>
      </c>
      <c r="CN3" s="23" t="str">
        <f aca="false">IF(COUNT(Marketing!CN7)=1,Marketing!CN7,"")</f>
        <v/>
      </c>
      <c r="CO3" s="23" t="n">
        <f aca="false">Marketing!CO7</f>
        <v>74</v>
      </c>
      <c r="CP3" s="23" t="n">
        <f aca="false">Marketing!CP7</f>
        <v>74</v>
      </c>
      <c r="CQ3" s="2" t="str">
        <f aca="false">IF(COUNT(Marketing!CQ7)=1,Marketing!CQ7,"")</f>
        <v/>
      </c>
      <c r="CR3" s="2" t="n">
        <f aca="false">Marketing!CR7</f>
        <v>74</v>
      </c>
      <c r="CS3" s="2" t="n">
        <f aca="false">Marketing!CS7</f>
        <v>74</v>
      </c>
      <c r="CT3" s="23" t="str">
        <f aca="false">IF(COUNT(Marketing!CT7)=1,Marketing!CT7,"")</f>
        <v/>
      </c>
      <c r="CU3" s="23" t="n">
        <f aca="false">Marketing!CU7</f>
        <v>74</v>
      </c>
      <c r="CV3" s="23" t="n">
        <f aca="false">Marketing!CV7</f>
        <v>74</v>
      </c>
      <c r="CW3" s="2" t="str">
        <f aca="false">IF(COUNT(Marketing!CW7)=1,Marketing!CW7,"")</f>
        <v/>
      </c>
      <c r="CX3" s="2" t="n">
        <f aca="false">Marketing!CX7</f>
        <v>74</v>
      </c>
      <c r="CY3" s="2" t="n">
        <f aca="false">Marketing!CY7</f>
        <v>74</v>
      </c>
      <c r="CZ3" s="23" t="str">
        <f aca="false">IF(COUNT(Marketing!CZ7)=1,Marketing!CZ7,"")</f>
        <v/>
      </c>
      <c r="DA3" s="23" t="n">
        <f aca="false">Marketing!DA7</f>
        <v>74</v>
      </c>
      <c r="DB3" s="23" t="n">
        <f aca="false">Marketing!DB7</f>
        <v>74</v>
      </c>
      <c r="DC3" s="2" t="str">
        <f aca="false">IF(COUNT(Marketing!DC7)=1,Marketing!DC7,"")</f>
        <v/>
      </c>
      <c r="DD3" s="2" t="n">
        <f aca="false">Marketing!DD7</f>
        <v>74</v>
      </c>
      <c r="DE3" s="2" t="n">
        <f aca="false">Marketing!DE7</f>
        <v>74</v>
      </c>
      <c r="DF3" s="23" t="str">
        <f aca="false">IF(COUNT(Marketing!DF7)=1,Marketing!DF7,"")</f>
        <v/>
      </c>
      <c r="DG3" s="23" t="n">
        <f aca="false">Marketing!DG7</f>
        <v>74</v>
      </c>
      <c r="DH3" s="23" t="n">
        <f aca="false">Marketing!DH7</f>
        <v>74</v>
      </c>
      <c r="DI3" s="2" t="n">
        <f aca="false">IF(COUNT(Marketing!DI7)=1,Marketing!DI7,"")</f>
        <v>74</v>
      </c>
      <c r="DJ3" s="2" t="n">
        <f aca="false">Marketing!DJ7</f>
        <v>74</v>
      </c>
      <c r="DK3" s="2" t="n">
        <f aca="false">Marketing!DK7</f>
        <v>74</v>
      </c>
      <c r="DL3" s="23" t="n">
        <f aca="false">IF(COUNT(Marketing!DL7)=1,Marketing!DL7,"")</f>
        <v>76</v>
      </c>
      <c r="DM3" s="23" t="n">
        <f aca="false">Marketing!DM7</f>
        <v>76</v>
      </c>
      <c r="DN3" s="23" t="n">
        <f aca="false">Marketing!DN7</f>
        <v>74</v>
      </c>
    </row>
    <row r="4" customFormat="false" ht="15" hidden="false" customHeight="false" outlineLevel="0" collapsed="false">
      <c r="A4" s="17" t="s">
        <v>134</v>
      </c>
      <c r="B4" s="92" t="str">
        <f aca="false">IF(K4&lt;&gt;"",K4,IF(N4&lt;&gt;"",N4,IF(Q4&lt;&gt;"",Q4,IF(T4&lt;&gt;"",T4,IF(W4&lt;&gt;"",W4,IF(Z4&lt;&gt;"",Z4,IF(AC4&lt;&gt;"",AC4,IF(AF4&lt;&gt;"",AF4,IF(AI4&lt;&gt;"",AI4,IF(AL4&lt;&gt;"",AL4,IF(AO4&lt;&gt;"",AO4,IF(AR4&lt;&gt;"",AR4,""))))))))))))</f>
        <v/>
      </c>
      <c r="C4" s="92" t="n">
        <f aca="false">IF(L4&lt;&gt;"",L4,IF(O4&lt;&gt;"",O4,IF(R4&lt;&gt;"",R4,IF(U4&lt;&gt;"",U4,IF(X4&lt;&gt;"",X4,IF(AA4&lt;&gt;"",AA4,IF(AD4&lt;&gt;"",AD4,IF(AG4&lt;&gt;"",AG4,IF(AJ4&lt;&gt;"",AJ4,IF(AM4&lt;&gt;"",AM4,IF(AP4&lt;&gt;"",AP4,IF(AS4&lt;&gt;"",AS4,""))))))))))))</f>
        <v>30</v>
      </c>
      <c r="D4" s="92" t="n">
        <f aca="false">IF(M4&lt;&gt;"",M4,IF(P4&lt;&gt;"",P4,IF(S4&lt;&gt;"",S4,IF(V4&lt;&gt;"",V4,IF(Y4&lt;&gt;"",Y4,IF(AB4&lt;&gt;"",AB4,IF(AE4&lt;&gt;"",AE4,IF(AH4&lt;&gt;"",AH4,IF(AK4&lt;&gt;"",AK4,IF(AN4&lt;&gt;"",AN4,IF(AQ4&lt;&gt;"",AQ4,IF(AT4&lt;&gt;"",AT4,""))))))))))))</f>
        <v>30</v>
      </c>
      <c r="E4" s="93" t="str">
        <f aca="false">IF(AU4&lt;&gt;"",AU4,IF(AX4&lt;&gt;"",AX4,IF(BA4&lt;&gt;"",BA4,IF(BD4&lt;&gt;"",BD4,IF(BG4&lt;&gt;"",BG4,IF(BJ4&lt;&gt;"",BJ4,IF(BM4&lt;&gt;"",BM4,IF(BP4&lt;&gt;"",BP4,IF(BS4&lt;&gt;"",BS4,IF(BV4&lt;&gt;"",BV4,IF(BY4&lt;&gt;"",BY4,IF(CB4&lt;&gt;"",CB4,""))))))))))))</f>
        <v/>
      </c>
      <c r="F4" s="93" t="n">
        <f aca="false">IF(AV4&lt;&gt;"",AV4,IF(AY4&lt;&gt;"",AY4,IF(BB4&lt;&gt;"",BB4,IF(BE4&lt;&gt;"",BE4,IF(BH4&lt;&gt;"",BH4,IF(BK4&lt;&gt;"",BK4,IF(BN4&lt;&gt;"",BN4,IF(BQ4&lt;&gt;"",BQ4,IF(BT4&lt;&gt;"",BT4,IF(BW4&lt;&gt;"",BW4,IF(BZ4&lt;&gt;"",BZ4,IF(CC4&lt;&gt;"",CC4,""))))))))))))</f>
        <v>30</v>
      </c>
      <c r="G4" s="93" t="n">
        <f aca="false">IF(AW4&lt;&gt;"",AW4,IF(AZ4&lt;&gt;"",AZ4,IF(BC4&lt;&gt;"",BC4,IF(BF4&lt;&gt;"",BF4,IF(BI4&lt;&gt;"",BI4,IF(BL4&lt;&gt;"",BL4,IF(BO4&lt;&gt;"",BO4,IF(BR4&lt;&gt;"",BR4,IF(BU4&lt;&gt;"",BU4,IF(BX4&lt;&gt;"",BX4,IF(CA4&lt;&gt;"",CA4,IF(CD4&lt;&gt;"",CD4,""))))))))))))</f>
        <v>30</v>
      </c>
      <c r="H4" s="92" t="n">
        <f aca="false">IF(CE4&lt;&gt;"",CE4,IF(CH4&lt;&gt;"",CH4,IF(CK4&lt;&gt;"",CK4,IF(CN4&lt;&gt;"",CN4,IF(CQ4&lt;&gt;"",CQ4,IF(CT4&lt;&gt;"",CT4,IF(CW4&lt;&gt;"",CW4,IF(CZ4&lt;&gt;"",CZ4,IF(DC4&lt;&gt;"",DC4,IF(DF4&lt;&gt;"",DF4,IF(DI4&lt;&gt;"",DI4,IF(DL4&lt;&gt;"",DL4,""))))))))))))</f>
        <v>30</v>
      </c>
      <c r="I4" s="92" t="n">
        <f aca="false">IF(CF4&lt;&gt;"",CF4,IF(CI4&lt;&gt;"",CI4,IF(CL4&lt;&gt;"",CL4,IF(CO4&lt;&gt;"",CO4,IF(CR4&lt;&gt;"",CR4,IF(CU4&lt;&gt;"",CU4,IF(CX4&lt;&gt;"",CX4,IF(DA4&lt;&gt;"",DA4,IF(DD4&lt;&gt;"",DD4,IF(DG4&lt;&gt;"",DG4,IF(DJ4&lt;&gt;"",DJ4,IF(DM4&lt;&gt;"",DM4,""))))))))))))</f>
        <v>30</v>
      </c>
      <c r="J4" s="92" t="n">
        <f aca="false">IF(CG4&lt;&gt;"",CG4,IF(CJ4&lt;&gt;"",CJ4,IF(CM4&lt;&gt;"",CM4,IF(CP4&lt;&gt;"",CP4,IF(CS4&lt;&gt;"",CS4,IF(CV4&lt;&gt;"",CV4,IF(CY4&lt;&gt;"",CY4,IF(DB4&lt;&gt;"",DB4,IF(DE4&lt;&gt;"",DE4,IF(DH4&lt;&gt;"",DH4,IF(DK4&lt;&gt;"",DK4,IF(DN4&lt;&gt;"",DN4,""))))))))))))</f>
        <v>30</v>
      </c>
      <c r="K4" s="93"/>
      <c r="L4" s="93" t="n">
        <f aca="false">IF('Cash Drivers'!L$26,K4,M4)</f>
        <v>30</v>
      </c>
      <c r="M4" s="94" t="n">
        <v>30</v>
      </c>
      <c r="N4" s="92"/>
      <c r="O4" s="92" t="n">
        <f aca="false">IF('Cash Drivers'!O$26,N4,P4)</f>
        <v>30</v>
      </c>
      <c r="P4" s="95" t="n">
        <v>30</v>
      </c>
      <c r="Q4" s="93"/>
      <c r="R4" s="93" t="n">
        <f aca="false">IF('Cash Drivers'!R$26,Q4,S4)</f>
        <v>30</v>
      </c>
      <c r="S4" s="94" t="n">
        <v>30</v>
      </c>
      <c r="T4" s="92"/>
      <c r="U4" s="92" t="n">
        <f aca="false">IF('Cash Drivers'!U$26,T4,V4)</f>
        <v>30</v>
      </c>
      <c r="V4" s="95" t="n">
        <v>30</v>
      </c>
      <c r="W4" s="93"/>
      <c r="X4" s="93" t="n">
        <f aca="false">IF('Cash Drivers'!X$26,W4,Y4)</f>
        <v>30</v>
      </c>
      <c r="Y4" s="94" t="n">
        <v>30</v>
      </c>
      <c r="Z4" s="92"/>
      <c r="AA4" s="92" t="n">
        <f aca="false">IF('Cash Drivers'!AA$26,Z4,AB4)</f>
        <v>30</v>
      </c>
      <c r="AB4" s="95" t="n">
        <v>30</v>
      </c>
      <c r="AC4" s="93"/>
      <c r="AD4" s="93" t="n">
        <f aca="false">IF('Cash Drivers'!AD$26,AC4,AE4)</f>
        <v>30</v>
      </c>
      <c r="AE4" s="94" t="n">
        <v>30</v>
      </c>
      <c r="AF4" s="92"/>
      <c r="AG4" s="92" t="n">
        <f aca="false">IF('Cash Drivers'!AG$26,AF4,AH4)</f>
        <v>30</v>
      </c>
      <c r="AH4" s="95" t="n">
        <v>30</v>
      </c>
      <c r="AI4" s="93"/>
      <c r="AJ4" s="93" t="n">
        <f aca="false">IF('Cash Drivers'!AJ$26,AI4,AK4)</f>
        <v>30</v>
      </c>
      <c r="AK4" s="94" t="n">
        <v>30</v>
      </c>
      <c r="AL4" s="92"/>
      <c r="AM4" s="92" t="n">
        <f aca="false">IF('Cash Drivers'!AM$26,AL4,AN4)</f>
        <v>30</v>
      </c>
      <c r="AN4" s="95" t="n">
        <v>30</v>
      </c>
      <c r="AO4" s="93"/>
      <c r="AP4" s="93" t="n">
        <f aca="false">IF('Cash Drivers'!AP$26,AO4,AQ4)</f>
        <v>30</v>
      </c>
      <c r="AQ4" s="94" t="n">
        <v>30</v>
      </c>
      <c r="AR4" s="92"/>
      <c r="AS4" s="92" t="n">
        <f aca="false">IF('Cash Drivers'!AS$26,AR4,AT4)</f>
        <v>30</v>
      </c>
      <c r="AT4" s="95" t="n">
        <v>30</v>
      </c>
      <c r="AU4" s="93"/>
      <c r="AV4" s="93" t="n">
        <f aca="false">IF('Cash Drivers'!AV$26,AU4,AW4)</f>
        <v>30</v>
      </c>
      <c r="AW4" s="94" t="n">
        <v>30</v>
      </c>
      <c r="AX4" s="92"/>
      <c r="AY4" s="92" t="n">
        <f aca="false">IF('Cash Drivers'!AY$26,AX4,AZ4)</f>
        <v>30</v>
      </c>
      <c r="AZ4" s="95" t="n">
        <v>30</v>
      </c>
      <c r="BA4" s="93"/>
      <c r="BB4" s="93" t="n">
        <f aca="false">IF('Cash Drivers'!BB$26,BA4,BC4)</f>
        <v>30</v>
      </c>
      <c r="BC4" s="94" t="n">
        <v>30</v>
      </c>
      <c r="BD4" s="92"/>
      <c r="BE4" s="92" t="n">
        <f aca="false">IF('Cash Drivers'!BE$26,BD4,BF4)</f>
        <v>30</v>
      </c>
      <c r="BF4" s="95" t="n">
        <v>30</v>
      </c>
      <c r="BG4" s="93"/>
      <c r="BH4" s="93" t="n">
        <f aca="false">IF('Cash Drivers'!BH$26,BG4,BI4)</f>
        <v>30</v>
      </c>
      <c r="BI4" s="94" t="n">
        <v>30</v>
      </c>
      <c r="BJ4" s="92"/>
      <c r="BK4" s="92" t="n">
        <f aca="false">IF('Cash Drivers'!BK$26,BJ4,BL4)</f>
        <v>30</v>
      </c>
      <c r="BL4" s="95" t="n">
        <v>30</v>
      </c>
      <c r="BM4" s="93"/>
      <c r="BN4" s="93" t="n">
        <f aca="false">IF('Cash Drivers'!BN$26,BM4,BO4)</f>
        <v>30</v>
      </c>
      <c r="BO4" s="94" t="n">
        <v>30</v>
      </c>
      <c r="BP4" s="92"/>
      <c r="BQ4" s="92" t="n">
        <f aca="false">IF('Cash Drivers'!BQ$26,BP4,BR4)</f>
        <v>30</v>
      </c>
      <c r="BR4" s="95" t="n">
        <v>30</v>
      </c>
      <c r="BS4" s="93"/>
      <c r="BT4" s="93" t="n">
        <f aca="false">IF('Cash Drivers'!BT$26,BS4,BU4)</f>
        <v>30</v>
      </c>
      <c r="BU4" s="94" t="n">
        <v>30</v>
      </c>
      <c r="BV4" s="92"/>
      <c r="BW4" s="92" t="n">
        <f aca="false">IF('Cash Drivers'!BW$26,BV4,BX4)</f>
        <v>30</v>
      </c>
      <c r="BX4" s="95" t="n">
        <v>30</v>
      </c>
      <c r="BY4" s="93"/>
      <c r="BZ4" s="93" t="n">
        <f aca="false">IF('Cash Drivers'!BZ$26,BY4,CA4)</f>
        <v>30</v>
      </c>
      <c r="CA4" s="94" t="n">
        <v>30</v>
      </c>
      <c r="CB4" s="92"/>
      <c r="CC4" s="92" t="n">
        <f aca="false">IF('Cash Drivers'!CC$26,CB4,CD4)</f>
        <v>30</v>
      </c>
      <c r="CD4" s="95" t="n">
        <v>30</v>
      </c>
      <c r="CE4" s="93"/>
      <c r="CF4" s="93" t="n">
        <f aca="false">IF('Cash Drivers'!CF$26,CE4,CG4)</f>
        <v>30</v>
      </c>
      <c r="CG4" s="94" t="n">
        <v>30</v>
      </c>
      <c r="CH4" s="92"/>
      <c r="CI4" s="92" t="n">
        <f aca="false">IF('Cash Drivers'!CI$26,CH4,CJ4)</f>
        <v>30</v>
      </c>
      <c r="CJ4" s="95" t="n">
        <v>30</v>
      </c>
      <c r="CK4" s="93"/>
      <c r="CL4" s="93" t="n">
        <f aca="false">IF('Cash Drivers'!CL$26,CK4,CM4)</f>
        <v>30</v>
      </c>
      <c r="CM4" s="94" t="n">
        <v>30</v>
      </c>
      <c r="CN4" s="92"/>
      <c r="CO4" s="92" t="n">
        <f aca="false">IF('Cash Drivers'!CO$26,CN4,CP4)</f>
        <v>30</v>
      </c>
      <c r="CP4" s="95" t="n">
        <v>30</v>
      </c>
      <c r="CQ4" s="93"/>
      <c r="CR4" s="93" t="n">
        <f aca="false">IF('Cash Drivers'!CR$26,CQ4,CS4)</f>
        <v>30</v>
      </c>
      <c r="CS4" s="94" t="n">
        <v>30</v>
      </c>
      <c r="CT4" s="92"/>
      <c r="CU4" s="92" t="n">
        <f aca="false">IF('Cash Drivers'!CU$26,CT4,CV4)</f>
        <v>30</v>
      </c>
      <c r="CV4" s="95" t="n">
        <v>30</v>
      </c>
      <c r="CW4" s="93"/>
      <c r="CX4" s="93" t="n">
        <f aca="false">IF('Cash Drivers'!CX$26,CW4,CY4)</f>
        <v>30</v>
      </c>
      <c r="CY4" s="94" t="n">
        <v>30</v>
      </c>
      <c r="CZ4" s="92"/>
      <c r="DA4" s="92" t="n">
        <f aca="false">IF('Cash Drivers'!DA$26,CZ4,DB4)</f>
        <v>30</v>
      </c>
      <c r="DB4" s="95" t="n">
        <v>30</v>
      </c>
      <c r="DC4" s="93"/>
      <c r="DD4" s="93" t="n">
        <f aca="false">IF('Cash Drivers'!DD$26,DC4,DE4)</f>
        <v>30</v>
      </c>
      <c r="DE4" s="94" t="n">
        <v>30</v>
      </c>
      <c r="DF4" s="92"/>
      <c r="DG4" s="92" t="n">
        <f aca="false">IF('Cash Drivers'!DG$26,DF4,DH4)</f>
        <v>30</v>
      </c>
      <c r="DH4" s="95" t="n">
        <v>30</v>
      </c>
      <c r="DI4" s="94" t="n">
        <v>30</v>
      </c>
      <c r="DJ4" s="93" t="n">
        <f aca="false">IF('Cash Drivers'!DJ$26,DI4,DK4)</f>
        <v>30</v>
      </c>
      <c r="DK4" s="94" t="n">
        <v>30</v>
      </c>
      <c r="DL4" s="95" t="n">
        <v>30</v>
      </c>
      <c r="DM4" s="92" t="n">
        <f aca="false">IF('Cash Drivers'!DM$26,DL4,DN4)</f>
        <v>30</v>
      </c>
      <c r="DN4" s="95" t="n">
        <v>30</v>
      </c>
    </row>
    <row r="5" customFormat="false" ht="15" hidden="false" customHeight="false" outlineLevel="0" collapsed="false">
      <c r="A5" s="17" t="s">
        <v>188</v>
      </c>
      <c r="B5" s="18" t="str">
        <f aca="false">IF(SUM(AR3,AO3,AL3,AI3,AF3,AC3,Z3,W3,T3,Q3,N3,K3)=0,"",SUM(AR6,AO6,AL6,AI6,AF6,AC6,Z6,W6,T6,Q6,N6,K6)/SUM(AR3,AO3,AL3,AI3,AF3,AC3,Z3,W3,T3,Q3,N3,K3))</f>
        <v/>
      </c>
      <c r="C5" s="18" t="n">
        <f aca="false">IF(SUM(AS3,AP3,AM3,AJ3,AG3,AD3,AA3,X3,U3,R3,O3,L3)=0,"",SUM(AS6,AP6,AM6,AJ6,AG6,AD6,AA6,X6,U6,R6,O6,L6)/SUM(AS3,AP3,AM3,AJ3,AG3,AD3,AA3,X3,U3,R3,O3,L3))</f>
        <v>0.251126126126126</v>
      </c>
      <c r="D5" s="18" t="n">
        <f aca="false">IF(SUM(AT3,AQ3,AN3,AK3,AH3,AE3,AB3,Y3,V3,S3,P3,M3)=0,"",SUM(AT6,AQ6,AN6,AK6,AH6,AE6,AB6,Y6,V6,S6,P6,M6)/SUM(AT3,AQ3,AN3,AK3,AH3,AE3,AB3,Y3,V3,S3,P3,M3))</f>
        <v>0.251126126126126</v>
      </c>
      <c r="E5" s="19" t="str">
        <f aca="false">IF(SUM(CB3,BY3,BV3,BS3,BP3,BM3,BJ3,BG3,BD3,BA3,AX3,AU3)=0,"",SUM(CB6,BY6,BV6,BS6,BP6,BM6,BJ6,BG6,BD6,BA6,AX6,AU6)/SUM(CB3,BY3,BV3,BS3,BP3,BM3,BJ3,BG3,BD3,BA3,AX3,AU3))</f>
        <v/>
      </c>
      <c r="F5" s="19" t="n">
        <f aca="false">IF(SUM(CC3,BZ3,BW3,BT3,BQ3,BN3,BK3,BH3,BE3,BB3,AY3,AV3)=0,"",SUM(CC6,BZ6,BW6,BT6,BQ6,BN6,BK6,BH6,BE6,BB6,AY6,AV6)/SUM(CC3,BZ3,BW3,BT3,BQ3,BN3,BK3,BH3,BE3,BB3,AY3,AV3))</f>
        <v>0.254672897196262</v>
      </c>
      <c r="G5" s="19" t="n">
        <f aca="false">IF(SUM(CD3,CA3,BX3,BU3,BR3,BO3,BL3,BI3,BF3,BC3,AZ3,AW3)=0,"",SUM(CD6,CA6,BX6,BU6,BR6,BO6,BL6,BI6,BF6,BC6,AZ6,AW6)/SUM(CD3,CA3,BX3,BU3,BR3,BO3,BL3,BI3,BF3,BC3,AZ3,AW3))</f>
        <v>0.254672897196262</v>
      </c>
      <c r="H5" s="18" t="n">
        <f aca="false">IF(SUM(DL3,DI3,DF3,DC3,CZ3,CW3,CT3,CQ3,CN3,CK3,CH3,CE3)=0,"",SUM(DL6,DI6,DF6,DC6,CZ6,CW6,CT6,CQ6,CN6,CK6,CH6,CE6)/SUM(DL3,DI3,DF3,DC3,CZ3,CW3,CT3,CQ3,CN3,CK3,CH3,CE3))</f>
        <v>0.2</v>
      </c>
      <c r="I5" s="18" t="n">
        <f aca="false">IF(SUM(DM3,DJ3,DG3,DD3,DA3,CX3,CU3,CR3,CO3,CL3,CI3,CF3)=0,"",SUM(DM6,DJ6,DG6,DD6,DA6,CX6,CU6,CR6,CO6,CL6,CI6,CF6)/SUM(DM3,DJ3,DG3,DD3,DA3,CX3,CU3,CR3,CO3,CL3,CI3,CF3))</f>
        <v>0.259550561797753</v>
      </c>
      <c r="J5" s="18" t="n">
        <f aca="false">IF(SUM(DN3,DK3,DH3,DE3,DB3,CY3,CV3,CS3,CP3,CM3,CJ3,CG3)=0,"",SUM(DN6,DK6,DH6,DE6,DB6,CY6,CV6,CS6,CP6,CM6,CJ6,CG6)/SUM(DN3,DK3,DH3,DE3,DB3,CY3,CV3,CS3,CP3,CM3,CJ3,CG3))</f>
        <v>0.256756756756757</v>
      </c>
      <c r="K5" s="19" t="str">
        <f aca="true">IF(COUNT(K6)=1,IF(N(IF(K4&gt;35,Sales!$DL$61,OFFSET(K3,0,3*K4)))=0,"",K6/(IF(K4&gt;35,Sales!$DL$61,OFFSET(K3,0,3*K4)))),"")</f>
        <v/>
      </c>
      <c r="L5" s="19" t="n">
        <f aca="false">IF('Cash Drivers'!L$26,Sales!K5,Sales!M5)</f>
        <v>0.26</v>
      </c>
      <c r="M5" s="79" t="n">
        <v>0.26</v>
      </c>
      <c r="N5" s="18" t="str">
        <f aca="true">IF(COUNT(N6)=1,IF(N(IF(N4&gt;34,Sales!$DL$61,OFFSET(N3,0,3*N4)))=0,"",N6/(IF(N4&gt;34,Sales!$DL$61,OFFSET(N3,0,3*N4)))),"")</f>
        <v/>
      </c>
      <c r="O5" s="18" t="n">
        <f aca="false">IF('Cash Drivers'!O$26,Sales!N5,Sales!P5)</f>
        <v>0.26</v>
      </c>
      <c r="P5" s="80" t="n">
        <v>0.26</v>
      </c>
      <c r="Q5" s="19" t="str">
        <f aca="true">IF(COUNT(Q6)=1,IF(N(IF(Q4&gt;33,Sales!$DL$61,OFFSET(Q3,0,3*Q4)))=0,"",Q6/(IF(Q4&gt;33,Sales!$DL$61,OFFSET(Q3,0,3*Q4)))),"")</f>
        <v/>
      </c>
      <c r="R5" s="19" t="n">
        <f aca="false">IF('Cash Drivers'!R$26,Sales!Q5,Sales!S5)</f>
        <v>0.26</v>
      </c>
      <c r="S5" s="79" t="n">
        <v>0.26</v>
      </c>
      <c r="T5" s="18" t="str">
        <f aca="true">IF(COUNT(T6)=1,IF(N(IF(T4&gt;32,Sales!$DL$61,OFFSET(T3,0,3*T4)))=0,"",T6/(IF(T4&gt;32,Sales!$DL$61,OFFSET(T3,0,3*T4)))),"")</f>
        <v/>
      </c>
      <c r="U5" s="18" t="n">
        <f aca="false">IF('Cash Drivers'!U$26,Sales!T5,Sales!V5)</f>
        <v>0.26</v>
      </c>
      <c r="V5" s="80" t="n">
        <v>0.26</v>
      </c>
      <c r="W5" s="19" t="str">
        <f aca="true">IF(COUNT(W6)=1,IF(N(IF(W4&gt;31,Sales!$DL$61,OFFSET(W3,0,3*W4)))=0,"",W6/(IF(W4&gt;31,Sales!$DL$61,OFFSET(W3,0,3*W4)))),"")</f>
        <v/>
      </c>
      <c r="X5" s="19" t="n">
        <f aca="false">IF('Cash Drivers'!X$26,Sales!W5,Sales!Y5)</f>
        <v>0.26</v>
      </c>
      <c r="Y5" s="79" t="n">
        <v>0.26</v>
      </c>
      <c r="Z5" s="18" t="str">
        <f aca="true">IF(COUNT(Z6)=1,IF(N(IF(Z4&gt;30,Sales!$DL$61,OFFSET(Z3,0,3*Z4)))=0,"",Z6/(IF(Z4&gt;30,Sales!$DL$61,OFFSET(Z3,0,3*Z4)))),"")</f>
        <v/>
      </c>
      <c r="AA5" s="18" t="n">
        <f aca="false">IF('Cash Drivers'!AA$26,Sales!Z5,Sales!AB5)</f>
        <v>0.26</v>
      </c>
      <c r="AB5" s="80" t="n">
        <v>0.26</v>
      </c>
      <c r="AC5" s="19" t="str">
        <f aca="true">IF(COUNT(AC6)=1,IF(N(IF(AC4&gt;29,Sales!$DL$61,OFFSET(AC3,0,3*AC4)))=0,"",AC6/(IF(AC4&gt;29,Sales!$DL$61,OFFSET(AC3,0,3*AC4)))),"")</f>
        <v/>
      </c>
      <c r="AD5" s="19" t="n">
        <f aca="false">IF('Cash Drivers'!AD$26,Sales!AC5,Sales!AE5)</f>
        <v>0.26</v>
      </c>
      <c r="AE5" s="79" t="n">
        <v>0.26</v>
      </c>
      <c r="AF5" s="18" t="str">
        <f aca="true">IF(COUNT(AF6)=1,IF(N(IF(AF4&gt;28,Sales!$DL$61,OFFSET(AF3,0,3*AF4)))=0,"",AF6/(IF(AF4&gt;28,Sales!$DL$61,OFFSET(AF3,0,3*AF4)))),"")</f>
        <v/>
      </c>
      <c r="AG5" s="18" t="n">
        <f aca="false">IF('Cash Drivers'!AG$26,Sales!AF5,Sales!AH5)</f>
        <v>0.26</v>
      </c>
      <c r="AH5" s="80" t="n">
        <v>0.26</v>
      </c>
      <c r="AI5" s="19" t="str">
        <f aca="true">IF(COUNT(AI6)=1,IF(N(IF(AI4&gt;27,Sales!$DL$61,OFFSET(AI3,0,3*AI4)))=0,"",AI6/(IF(AI4&gt;27,Sales!$DL$61,OFFSET(AI3,0,3*AI4)))),"")</f>
        <v/>
      </c>
      <c r="AJ5" s="19" t="n">
        <f aca="false">IF('Cash Drivers'!AJ$26,Sales!AI5,Sales!AK5)</f>
        <v>0.26</v>
      </c>
      <c r="AK5" s="79" t="n">
        <v>0.26</v>
      </c>
      <c r="AL5" s="18" t="str">
        <f aca="true">IF(COUNT(AL6)=1,IF(N(IF(AL4&gt;26,Sales!$DL$61,OFFSET(AL3,0,3*AL4)))=0,"",AL6/(IF(AL4&gt;26,Sales!$DL$61,OFFSET(AL3,0,3*AL4)))),"")</f>
        <v/>
      </c>
      <c r="AM5" s="18" t="n">
        <f aca="false">IF('Cash Drivers'!AM$26,Sales!AL5,Sales!AN5)</f>
        <v>0.26</v>
      </c>
      <c r="AN5" s="80" t="n">
        <v>0.26</v>
      </c>
      <c r="AO5" s="19" t="str">
        <f aca="true">IF(COUNT(AO6)=1,IF(N(IF(AO4&gt;25,Sales!$DL$61,OFFSET(AO3,0,3*AO4)))=0,"",AO6/(IF(AO4&gt;25,Sales!$DL$61,OFFSET(AO3,0,3*AO4)))),"")</f>
        <v/>
      </c>
      <c r="AP5" s="19" t="n">
        <f aca="false">IF('Cash Drivers'!AP$26,Sales!AO5,Sales!AQ5)</f>
        <v>0.26</v>
      </c>
      <c r="AQ5" s="79" t="n">
        <v>0.26</v>
      </c>
      <c r="AR5" s="18" t="str">
        <f aca="true">IF(COUNT(AR6)=1,IF(N(IF(AR4&gt;24,Sales!$DL$61,OFFSET(AR3,0,3*AR4)))=0,"",AR6/(IF(AR4&gt;24,Sales!$DL$61,OFFSET(AR3,0,3*AR4)))),"")</f>
        <v/>
      </c>
      <c r="AS5" s="18" t="n">
        <f aca="false">IF('Cash Drivers'!AS$26,Sales!AR5,Sales!AT5)</f>
        <v>0.26</v>
      </c>
      <c r="AT5" s="80" t="n">
        <v>0.26</v>
      </c>
      <c r="AU5" s="19" t="str">
        <f aca="true">IF(COUNT(AU6)=1,IF(N(IF(AU4&gt;23,Sales!$DL$61,OFFSET(AU3,0,3*AU4)))=0,"",AU6/(IF(AU4&gt;23,Sales!$DL$61,OFFSET(AU3,0,3*AU4)))),"")</f>
        <v/>
      </c>
      <c r="AV5" s="19" t="n">
        <f aca="false">IF('Cash Drivers'!AV$26,Sales!AU5,Sales!AW5)</f>
        <v>0.26</v>
      </c>
      <c r="AW5" s="79" t="n">
        <v>0.26</v>
      </c>
      <c r="AX5" s="18" t="str">
        <f aca="true">IF(COUNT(AX6)=1,IF(N(IF(AX4&gt;22,Sales!$DL$61,OFFSET(AX3,0,3*AX4)))=0,"",AX6/(IF(AX4&gt;22,Sales!$DL$61,OFFSET(AX3,0,3*AX4)))),"")</f>
        <v/>
      </c>
      <c r="AY5" s="18" t="n">
        <f aca="false">IF('Cash Drivers'!AY$26,Sales!AX5,Sales!AZ5)</f>
        <v>0.26</v>
      </c>
      <c r="AZ5" s="80" t="n">
        <v>0.26</v>
      </c>
      <c r="BA5" s="19" t="str">
        <f aca="true">IF(COUNT(BA6)=1,IF(N(IF(BA4&gt;21,Sales!$DL$61,OFFSET(BA3,0,3*BA4)))=0,"",BA6/(IF(BA4&gt;21,Sales!$DL$61,OFFSET(BA3,0,3*BA4)))),"")</f>
        <v/>
      </c>
      <c r="BB5" s="19" t="n">
        <f aca="false">IF('Cash Drivers'!BB$26,Sales!BA5,Sales!BC5)</f>
        <v>0.26</v>
      </c>
      <c r="BC5" s="79" t="n">
        <v>0.26</v>
      </c>
      <c r="BD5" s="18" t="str">
        <f aca="true">IF(COUNT(BD6)=1,IF(N(IF(BD4&gt;20,Sales!$DL$61,OFFSET(BD3,0,3*BD4)))=0,"",BD6/(IF(BD4&gt;20,Sales!$DL$61,OFFSET(BD3,0,3*BD4)))),"")</f>
        <v/>
      </c>
      <c r="BE5" s="18" t="n">
        <f aca="false">IF('Cash Drivers'!BE$26,Sales!BD5,Sales!BF5)</f>
        <v>0.26</v>
      </c>
      <c r="BF5" s="80" t="n">
        <v>0.26</v>
      </c>
      <c r="BG5" s="19" t="str">
        <f aca="true">IF(COUNT(BG6)=1,IF(N(IF(BG4&gt;19,Sales!$DL$61,OFFSET(BG3,0,3*BG4)))=0,"",BG6/(IF(BG4&gt;19,Sales!$DL$61,OFFSET(BG3,0,3*BG4)))),"")</f>
        <v/>
      </c>
      <c r="BH5" s="19" t="n">
        <f aca="false">IF('Cash Drivers'!BH$26,Sales!BG5,Sales!BI5)</f>
        <v>0.26</v>
      </c>
      <c r="BI5" s="79" t="n">
        <v>0.26</v>
      </c>
      <c r="BJ5" s="18" t="str">
        <f aca="true">IF(COUNT(BJ6)=1,IF(N(IF(BJ4&gt;18,Sales!$DL$61,OFFSET(BJ3,0,3*BJ4)))=0,"",BJ6/(IF(BJ4&gt;18,Sales!$DL$61,OFFSET(BJ3,0,3*BJ4)))),"")</f>
        <v/>
      </c>
      <c r="BK5" s="18" t="n">
        <f aca="false">IF('Cash Drivers'!BK$26,Sales!BJ5,Sales!BL5)</f>
        <v>0.26</v>
      </c>
      <c r="BL5" s="80" t="n">
        <v>0.26</v>
      </c>
      <c r="BM5" s="19" t="str">
        <f aca="true">IF(COUNT(BM6)=1,IF(N(IF(BM4&gt;17,Sales!$DL$61,OFFSET(BM3,0,3*BM4)))=0,"",BM6/(IF(BM4&gt;17,Sales!$DL$61,OFFSET(BM3,0,3*BM4)))),"")</f>
        <v/>
      </c>
      <c r="BN5" s="19" t="n">
        <f aca="false">IF('Cash Drivers'!BN$26,Sales!BM5,Sales!BO5)</f>
        <v>0.26</v>
      </c>
      <c r="BO5" s="79" t="n">
        <v>0.26</v>
      </c>
      <c r="BP5" s="18" t="str">
        <f aca="true">IF(COUNT(BP6)=1,IF(N(IF(BP4&gt;16,Sales!$DL$61,OFFSET(BP3,0,3*BP4)))=0,"",BP6/(IF(BP4&gt;16,Sales!$DL$61,OFFSET(BP3,0,3*BP4)))),"")</f>
        <v/>
      </c>
      <c r="BQ5" s="18" t="n">
        <f aca="false">IF('Cash Drivers'!BQ$26,Sales!BP5,Sales!BR5)</f>
        <v>0.26</v>
      </c>
      <c r="BR5" s="80" t="n">
        <v>0.26</v>
      </c>
      <c r="BS5" s="19" t="str">
        <f aca="true">IF(COUNT(BS6)=1,IF(N(IF(BS4&gt;15,Sales!$DL$61,OFFSET(BS3,0,3*BS4)))=0,"",BS6/(IF(BS4&gt;15,Sales!$DL$61,OFFSET(BS3,0,3*BS4)))),"")</f>
        <v/>
      </c>
      <c r="BT5" s="19" t="n">
        <f aca="false">IF('Cash Drivers'!BT$26,Sales!BS5,Sales!BU5)</f>
        <v>0.26</v>
      </c>
      <c r="BU5" s="79" t="n">
        <v>0.26</v>
      </c>
      <c r="BV5" s="18" t="str">
        <f aca="true">IF(COUNT(BV6)=1,IF(N(IF(BV4&gt;14,Sales!$DL$61,OFFSET(BV3,0,3*BV4)))=0,"",BV6/(IF(BV4&gt;14,Sales!$DL$61,OFFSET(BV3,0,3*BV4)))),"")</f>
        <v/>
      </c>
      <c r="BW5" s="18" t="n">
        <f aca="false">IF('Cash Drivers'!BW$26,Sales!BV5,Sales!BX5)</f>
        <v>0.26</v>
      </c>
      <c r="BX5" s="80" t="n">
        <v>0.26</v>
      </c>
      <c r="BY5" s="19" t="str">
        <f aca="true">IF(COUNT(BY6)=1,IF(N(IF(BY4&gt;13,Sales!$DL$61,OFFSET(BY3,0,3*BY4)))=0,"",BY6/(IF(BY4&gt;13,Sales!$DL$61,OFFSET(BY3,0,3*BY4)))),"")</f>
        <v/>
      </c>
      <c r="BZ5" s="19" t="n">
        <f aca="false">IF('Cash Drivers'!BZ$26,Sales!BY5,Sales!CA5)</f>
        <v>0.26</v>
      </c>
      <c r="CA5" s="79" t="n">
        <v>0.26</v>
      </c>
      <c r="CB5" s="18" t="str">
        <f aca="true">IF(COUNT(CB6)=1,IF(N(IF(CB4&gt;12,Sales!$DL$61,OFFSET(CB3,0,3*CB4)))=0,"",CB6/(IF(CB4&gt;12,Sales!$DL$61,OFFSET(CB3,0,3*CB4)))),"")</f>
        <v/>
      </c>
      <c r="CC5" s="18" t="n">
        <f aca="false">IF('Cash Drivers'!CC$26,Sales!CB5,Sales!CD5)</f>
        <v>0.26</v>
      </c>
      <c r="CD5" s="80" t="n">
        <v>0.26</v>
      </c>
      <c r="CE5" s="19" t="str">
        <f aca="true">IF(COUNT(CE6)=1,IF(N(IF(CE4&gt;11,Sales!$DL$61,OFFSET(CE3,0,3*CE4)))=0,"",CE6/(IF(CE4&gt;11,Sales!$DL$61,OFFSET(CE3,0,3*CE4)))),"")</f>
        <v/>
      </c>
      <c r="CF5" s="19" t="n">
        <f aca="false">IF('Cash Drivers'!CF$26,Sales!CE5,Sales!CG5)</f>
        <v>0.26</v>
      </c>
      <c r="CG5" s="79" t="n">
        <v>0.26</v>
      </c>
      <c r="CH5" s="18" t="str">
        <f aca="true">IF(COUNT(CH6)=1,IF(N(IF(CH4&gt;10,Sales!$DL$61,OFFSET(CH3,0,3*CH4)))=0,"",CH6/(IF(CH4&gt;10,Sales!$DL$61,OFFSET(CH3,0,3*CH4)))),"")</f>
        <v/>
      </c>
      <c r="CI5" s="18" t="n">
        <f aca="false">IF('Cash Drivers'!CI$26,Sales!CH5,Sales!CJ5)</f>
        <v>0.26</v>
      </c>
      <c r="CJ5" s="80" t="n">
        <v>0.26</v>
      </c>
      <c r="CK5" s="19" t="str">
        <f aca="true">IF(COUNT(CK6)=1,IF(N(IF(CK4&gt;9,Sales!$DL$61,OFFSET(CK3,0,3*CK4)))=0,"",CK6/(IF(CK4&gt;9,Sales!$DL$61,OFFSET(CK3,0,3*CK4)))),"")</f>
        <v/>
      </c>
      <c r="CL5" s="19" t="n">
        <f aca="false">IF('Cash Drivers'!CL$26,Sales!CK5,Sales!CM5)</f>
        <v>0.26</v>
      </c>
      <c r="CM5" s="79" t="n">
        <v>0.26</v>
      </c>
      <c r="CN5" s="18" t="str">
        <f aca="true">IF(COUNT(CN6)=1,IF(N(IF(CN4&gt;8,Sales!$DL$61,OFFSET(CN3,0,3*CN4)))=0,"",CN6/(IF(CN4&gt;8,Sales!$DL$61,OFFSET(CN3,0,3*CN4)))),"")</f>
        <v/>
      </c>
      <c r="CO5" s="18" t="n">
        <f aca="false">IF('Cash Drivers'!CO$26,Sales!CN5,Sales!CP5)</f>
        <v>0.26</v>
      </c>
      <c r="CP5" s="80" t="n">
        <v>0.26</v>
      </c>
      <c r="CQ5" s="19" t="str">
        <f aca="true">IF(COUNT(CQ6)=1,IF(N(IF(CQ4&gt;7,Sales!$DL$61,OFFSET(CQ3,0,3*CQ4)))=0,"",CQ6/(IF(CQ4&gt;7,Sales!$DL$61,OFFSET(CQ3,0,3*CQ4)))),"")</f>
        <v/>
      </c>
      <c r="CR5" s="19" t="n">
        <f aca="false">IF('Cash Drivers'!CR$26,Sales!CQ5,Sales!CS5)</f>
        <v>0.26</v>
      </c>
      <c r="CS5" s="79" t="n">
        <v>0.26</v>
      </c>
      <c r="CT5" s="18" t="str">
        <f aca="true">IF(COUNT(CT6)=1,IF(N(IF(CT4&gt;6,Sales!$DL$61,OFFSET(CT3,0,3*CT4)))=0,"",CT6/(IF(CT4&gt;6,Sales!$DL$61,OFFSET(CT3,0,3*CT4)))),"")</f>
        <v/>
      </c>
      <c r="CU5" s="18" t="n">
        <f aca="false">IF('Cash Drivers'!CU$26,Sales!CT5,Sales!CV5)</f>
        <v>0.26</v>
      </c>
      <c r="CV5" s="80" t="n">
        <v>0.26</v>
      </c>
      <c r="CW5" s="19" t="str">
        <f aca="true">IF(COUNT(CW6)=1,IF(N(IF(CW4&gt;5,Sales!$DL$61,OFFSET(CW3,0,3*CW4)))=0,"",CW6/(IF(CW4&gt;5,Sales!$DL$61,OFFSET(CW3,0,3*CW4)))),"")</f>
        <v/>
      </c>
      <c r="CX5" s="19" t="n">
        <f aca="false">IF('Cash Drivers'!CX$26,Sales!CW5,Sales!CY5)</f>
        <v>0.26</v>
      </c>
      <c r="CY5" s="79" t="n">
        <v>0.26</v>
      </c>
      <c r="CZ5" s="18" t="str">
        <f aca="true">IF(COUNT(CZ6)=1,IF(N(IF(CZ4&gt;4,Sales!$DL$61,OFFSET(CZ3,0,3*CZ4)))=0,"",CZ6/(IF(CZ4&gt;4,Sales!$DL$61,OFFSET(CZ3,0,3*CZ4)))),"")</f>
        <v/>
      </c>
      <c r="DA5" s="18" t="n">
        <f aca="false">IF('Cash Drivers'!DA$26,Sales!CZ5,Sales!DB5)</f>
        <v>0.26</v>
      </c>
      <c r="DB5" s="80" t="n">
        <v>0.26</v>
      </c>
      <c r="DC5" s="19" t="str">
        <f aca="true">IF(COUNT(DC6)=1,IF(N(IF(DC4&gt;3,Sales!$DL$61,OFFSET(DC3,0,3*DC4)))=0,"",DC6/(IF(DC4&gt;3,Sales!$DL$61,OFFSET(DC3,0,3*DC4)))),"")</f>
        <v/>
      </c>
      <c r="DD5" s="19" t="n">
        <f aca="false">IF('Cash Drivers'!DD$26,Sales!DC5,Sales!DE5)</f>
        <v>0.26</v>
      </c>
      <c r="DE5" s="79" t="n">
        <v>0.26</v>
      </c>
      <c r="DF5" s="18" t="str">
        <f aca="true">IF(COUNT(DF6)=1,IF(N(IF(DF4&gt;2,Sales!$DL$61,OFFSET(DF3,0,3*DF4)))=0,"",DF6/(IF(DF4&gt;2,Sales!$DL$61,OFFSET(DF3,0,3*DF4)))),"")</f>
        <v/>
      </c>
      <c r="DG5" s="18" t="n">
        <f aca="false">IF('Cash Drivers'!DG$26,Sales!DF5,Sales!DH5)</f>
        <v>0.26</v>
      </c>
      <c r="DH5" s="80" t="n">
        <v>0.26</v>
      </c>
      <c r="DI5" s="19" t="n">
        <f aca="true">IF(COUNT(DI6)=1,IF(N(IF(DI4&gt;1,Sales!$DL$61,OFFSET(DI3,0,3*DI4)))=0,"",DI6/(IF(DI4&gt;1,Sales!$DL$61,OFFSET(DI3,0,3*DI4)))),"")</f>
        <v>0.148648648648649</v>
      </c>
      <c r="DJ5" s="19" t="n">
        <f aca="false">DI5</f>
        <v>0.148648648648649</v>
      </c>
      <c r="DK5" s="79" t="n">
        <v>0.26</v>
      </c>
      <c r="DL5" s="18" t="n">
        <f aca="true">IF(COUNT(DL6)=1,IF(N(IF(DL4&gt;0,Sales!$DL$61,OFFSET(DL3,0,3*DL4)))=0,"",DL6/(IF(DL4&gt;0,Sales!$DL$61,OFFSET(DL3,0,3*DL4)))),"")</f>
        <v>0.256756756756757</v>
      </c>
      <c r="DM5" s="18" t="n">
        <f aca="false">DL5</f>
        <v>0.256756756756757</v>
      </c>
      <c r="DN5" s="80" t="n">
        <v>0.26</v>
      </c>
    </row>
    <row r="6" customFormat="false" ht="15" hidden="false" customHeight="false" outlineLevel="0" collapsed="false">
      <c r="A6" s="5" t="s">
        <v>135</v>
      </c>
      <c r="B6" s="23" t="str">
        <f aca="false">IF(COUNT(AR6,AO6,AL6,AI6,AF6,AC6,Z6,W6,T6,Q6,N6,K6)=0,"",SUM(AR6,AO6,AL6,AI6,AF6,AC6,Z6,W6,T6,Q6,N6,K6))</f>
        <v/>
      </c>
      <c r="C6" s="23" t="n">
        <f aca="false">IF(COUNT(AS6,AP6,AM6,AJ6,AG6,AD6,AA6,X6,U6,R6,O6,L6)=0,"",SUM(AS6,AP6,AM6,AJ6,AG6,AD6,AA6,X6,U6,R6,O6,L6))</f>
        <v>446</v>
      </c>
      <c r="D6" s="23" t="n">
        <f aca="false">IF(COUNT(AT6,AQ6,AN6,AK6,AH6,AE6,AB6,Y6,V6,S6,P6,M6)=0,"",SUM(AT6,AQ6,AN6,AK6,AH6,AE6,AB6,Y6,V6,S6,P6,M6))</f>
        <v>446</v>
      </c>
      <c r="E6" s="2" t="str">
        <f aca="false">IF(COUNT(CB6,BY6,BV6,BS6,BP6,BM6,BJ6,BG6,BD6,BA6,AX6,AU6)=0,"",SUM(CB6,BY6,BV6,BS6,BP6,BM6,BJ6,BG6,BD6,BA6,AX6,AU6))</f>
        <v/>
      </c>
      <c r="F6" s="2" t="n">
        <f aca="false">IF(COUNT(CC6,BZ6,BW6,BT6,BQ6,BN6,BK6,BH6,BE6,BB6,AY6,AV6)=0,"",SUM(CC6,BZ6,BW6,BT6,BQ6,BN6,BK6,BH6,BE6,BB6,AY6,AV6))</f>
        <v>327</v>
      </c>
      <c r="G6" s="2" t="n">
        <f aca="false">IF(COUNT(CD6,CA6,BX6,BU6,BR6,BO6,BL6,BI6,BF6,BC6,AZ6,AW6)=0,"",SUM(CD6,CA6,BX6,BU6,BR6,BO6,BL6,BI6,BF6,BC6,AZ6,AW6))</f>
        <v>327</v>
      </c>
      <c r="H6" s="23" t="n">
        <f aca="false">IF(COUNT(DL6,DI6,DF6,DC6,CZ6,CW6,CT6,CQ6,CN6,CK6,CH6,CE6)=0,"",SUM(DL6,DI6,DF6,DC6,CZ6,CW6,CT6,CQ6,CN6,CK6,CH6,CE6))</f>
        <v>30</v>
      </c>
      <c r="I6" s="23" t="n">
        <f aca="false">IF(COUNT(DM6,DJ6,DG6,DD6,DA6,CX6,CU6,CR6,CO6,CL6,CI6,CF6)=0,"",SUM(DM6,DJ6,DG6,DD6,DA6,CX6,CU6,CR6,CO6,CL6,CI6,CF6))</f>
        <v>231</v>
      </c>
      <c r="J6" s="23" t="n">
        <f aca="false">IF(COUNT(DN6,DK6,DH6,DE6,DB6,CY6,CV6,CS6,CP6,CM6,CJ6,CG6)=0,"",SUM(DN6,DK6,DH6,DE6,DB6,CY6,CV6,CS6,CP6,CM6,CJ6,CG6))</f>
        <v>228</v>
      </c>
      <c r="K6" s="2"/>
      <c r="L6" s="2" t="n">
        <f aca="false">IF('Cash Drivers'!L$26,K6,ROUND(IF(EOMONTH(DATE(YEAR(Sales!$DL$1),MONTH(Sales!$DL$1),1)+INT((DAY(Sales!$DL$1)-1)/2)+Sales!DM$4,0)=EOMONTH($K$1,0),Sales!DM$3*Sales!DM$5,0)+IF(EOMONTH(DATE(YEAR(Sales!$DI$1),MONTH(Sales!$DI$1),1)+INT((DAY(Sales!$DI$1)-1)/2)+Sales!DJ$4,0)=EOMONTH($K$1,0),Sales!DJ$3*Sales!DJ$5,0)+IF(EOMONTH(DATE(YEAR(Sales!$DF$1),MONTH(Sales!$DF$1),1)+INT((DAY(Sales!$DF$1)-1)/2)+Sales!DG$4,0)=EOMONTH($K$1,0),Sales!DG$3*Sales!DG$5,0)+IF(EOMONTH(DATE(YEAR(Sales!$DC$1),MONTH(Sales!$DC$1),1)+INT((DAY(Sales!$DC$1)-1)/2)+Sales!DD$4,0)=EOMONTH($K$1,0),Sales!DD$3*Sales!DD$5,0)+IF(EOMONTH(DATE(YEAR(Sales!$CZ$1),MONTH(Sales!$CZ$1),1)+INT((DAY(Sales!$CZ$1)-1)/2)+Sales!DA$4,0)=EOMONTH($K$1,0),Sales!DA$3*Sales!DA$5,0)+IF(EOMONTH(DATE(YEAR(Sales!$CW$1),MONTH(Sales!$CW$1),1)+INT((DAY(Sales!$CW$1)-1)/2)+Sales!CX$4,0)=EOMONTH($K$1,0),Sales!CX$3*Sales!CX$5,0)+IF(EOMONTH(DATE(YEAR(Sales!$CT$1),MONTH(Sales!$CT$1),1)+INT((DAY(Sales!$CT$1)-1)/2)+Sales!CU$4,0)=EOMONTH($K$1,0),Sales!CU$3*Sales!CU$5,0)+IF(EOMONTH(DATE(YEAR(Sales!$CQ$1),MONTH(Sales!$CQ$1),1)+INT((DAY(Sales!$CQ$1)-1)/2)+Sales!CR$4,0)=EOMONTH($K$1,0),Sales!CR$3*Sales!CR$5,0)+IF(EOMONTH(DATE(YEAR(Sales!$CN$1),MONTH(Sales!$CN$1),1)+INT((DAY(Sales!$CN$1)-1)/2)+Sales!CO$4,0)=EOMONTH($K$1,0),Sales!CO$3*Sales!CO$5,0)+IF(EOMONTH(DATE(YEAR(Sales!$CK$1),MONTH(Sales!$CK$1),1)+INT((DAY(Sales!$CK$1)-1)/2)+Sales!CL$4,0)=EOMONTH($K$1,0),Sales!CL$3*Sales!CL$5,0)+IF(EOMONTH(DATE(YEAR(Sales!$CH$1),MONTH(Sales!$CH$1),1)+INT((DAY(Sales!$CH$1)-1)/2)+Sales!CI$4,0)=EOMONTH($K$1,0),Sales!CI$3*Sales!CI$5,0)+IF(EOMONTH(DATE(YEAR(Sales!$CE$1),MONTH(Sales!$CE$1),1)+INT((DAY(Sales!$CE$1)-1)/2)+Sales!CF$4,0)=EOMONTH($K$1,0),Sales!CF$3*Sales!CF$5,0)+IF(EOMONTH(DATE(YEAR(Sales!$CB$1),MONTH(Sales!$CB$1),1)+INT((DAY(Sales!$CB$1)-1)/2)+Sales!CC$4,0)=EOMONTH($K$1,0),Sales!CC$3*Sales!CC$5,0)+IF(EOMONTH(DATE(YEAR(Sales!$BY$1),MONTH(Sales!$BY$1),1)+INT((DAY(Sales!$BY$1)-1)/2)+Sales!BZ$4,0)=EOMONTH($K$1,0),Sales!BZ$3*Sales!BZ$5,0)+IF(EOMONTH(DATE(YEAR(Sales!$BV$1),MONTH(Sales!$BV$1),1)+INT((DAY(Sales!$BV$1)-1)/2)+Sales!BW$4,0)=EOMONTH($K$1,0),Sales!BW$3*Sales!BW$5,0)+IF(EOMONTH(DATE(YEAR(Sales!$BS$1),MONTH(Sales!$BS$1),1)+INT((DAY(Sales!$BS$1)-1)/2)+Sales!BT$4,0)=EOMONTH($K$1,0),Sales!BT$3*Sales!BT$5,0)+IF(EOMONTH(DATE(YEAR(Sales!$BP$1),MONTH(Sales!$BP$1),1)+INT((DAY(Sales!$BP$1)-1)/2)+Sales!BQ$4,0)=EOMONTH($K$1,0),Sales!BQ$3*Sales!BQ$5,0)+IF(EOMONTH(DATE(YEAR(Sales!$BM$1),MONTH(Sales!$BM$1),1)+INT((DAY(Sales!$BM$1)-1)/2)+Sales!BN$4,0)=EOMONTH($K$1,0),Sales!BN$3*Sales!BN$5,0)+IF(EOMONTH(DATE(YEAR(Sales!$BJ$1),MONTH(Sales!$BJ$1),1)+INT((DAY(Sales!$BJ$1)-1)/2)+Sales!BK$4,0)=EOMONTH($K$1,0),Sales!BK$3*Sales!BK$5,0)+IF(EOMONTH(DATE(YEAR(Sales!$BG$1),MONTH(Sales!$BG$1),1)+INT((DAY(Sales!$BG$1)-1)/2)+Sales!BH$4,0)=EOMONTH($K$1,0),Sales!BH$3*Sales!BH$5,0)+IF(EOMONTH(DATE(YEAR(Sales!$BD$1),MONTH(Sales!$BD$1),1)+INT((DAY(Sales!$BD$1)-1)/2)+Sales!BE$4,0)=EOMONTH($K$1,0),Sales!BE$3*Sales!BE$5,0)+IF(EOMONTH(DATE(YEAR(Sales!$BA$1),MONTH(Sales!$BA$1),1)+INT((DAY(Sales!$BA$1)-1)/2)+Sales!BB$4,0)=EOMONTH($K$1,0),Sales!BB$3*Sales!BB$5,0)+IF(EOMONTH(DATE(YEAR(Sales!$AX$1),MONTH(Sales!$AX$1),1)+INT((DAY(Sales!$AX$1)-1)/2)+Sales!AY$4,0)=EOMONTH($K$1,0),Sales!AY$3*Sales!AY$5,0)+IF(EOMONTH(DATE(YEAR(Sales!$AU$1),MONTH(Sales!$AU$1),1)+INT((DAY(Sales!$AU$1)-1)/2)+Sales!AV$4,0)=EOMONTH($K$1,0),Sales!AV$3*Sales!AV$5,0)+IF(EOMONTH(DATE(YEAR(Sales!$AR$1),MONTH(Sales!$AR$1),1)+INT((DAY(Sales!$AR$1)-1)/2)+Sales!AS$4,0)=EOMONTH($K$1,0),Sales!AS$3*Sales!AS$5,0)+IF(EOMONTH(DATE(YEAR(Sales!$AO$1),MONTH(Sales!$AO$1),1)+INT((DAY(Sales!$AO$1)-1)/2)+Sales!AP$4,0)=EOMONTH($K$1,0),Sales!AP$3*Sales!AP$5,0)+IF(EOMONTH(DATE(YEAR(Sales!$AL$1),MONTH(Sales!$AL$1),1)+INT((DAY(Sales!$AL$1)-1)/2)+Sales!AM$4,0)=EOMONTH($K$1,0),Sales!AM$3*Sales!AM$5,0)+IF(EOMONTH(DATE(YEAR(Sales!$AI$1),MONTH(Sales!$AI$1),1)+INT((DAY(Sales!$AI$1)-1)/2)+Sales!AJ$4,0)=EOMONTH($K$1,0),Sales!AJ$3*Sales!AJ$5,0)+IF(EOMONTH(DATE(YEAR(Sales!$AF$1),MONTH(Sales!$AF$1),1)+INT((DAY(Sales!$AF$1)-1)/2)+Sales!AG$4,0)=EOMONTH($K$1,0),Sales!AG$3*Sales!AG$5,0)+IF(EOMONTH(DATE(YEAR(Sales!$AC$1),MONTH(Sales!$AC$1),1)+INT((DAY(Sales!$AC$1)-1)/2)+Sales!AD$4,0)=EOMONTH($K$1,0),Sales!AD$3*Sales!AD$5,0)+IF(EOMONTH(DATE(YEAR(Sales!$Z$1),MONTH(Sales!$Z$1),1)+INT((DAY(Sales!$Z$1)-1)/2)+Sales!AA$4,0)=EOMONTH($K$1,0),Sales!AA$3*Sales!AA$5,0)+IF(EOMONTH(DATE(YEAR(Sales!$W$1),MONTH(Sales!$W$1),1)+INT((DAY(Sales!$W$1)-1)/2)+Sales!X$4,0)=EOMONTH($K$1,0),Sales!X$3*Sales!X$5,0)+IF(EOMONTH(DATE(YEAR(Sales!$T$1),MONTH(Sales!$T$1),1)+INT((DAY(Sales!$T$1)-1)/2)+Sales!U$4,0)=EOMONTH($K$1,0),Sales!U$3*Sales!U$5,0)+IF(EOMONTH(DATE(YEAR(Sales!$Q$1),MONTH(Sales!$Q$1),1)+INT((DAY(Sales!$Q$1)-1)/2)+Sales!R$4,0)=EOMONTH($K$1,0),Sales!R$3*Sales!R$5,0)+IF(EOMONTH(DATE(YEAR(Sales!$N$1),MONTH(Sales!$N$1),1)+INT((DAY(Sales!$N$1)-1)/2)+Sales!O$4,0)=EOMONTH($K$1,0),Sales!O$3*Sales!O$5,0)+IF(EOMONTH(DATE(YEAR(Sales!$K$1),MONTH(Sales!$K$1),1)+INT((DAY(Sales!$K$1)-1)/2)+Sales!L$4,0)=EOMONTH($K$1,0),Sales!L$3*Sales!L$5,0)+IF(EOMONTH('Cash Drivers'!$DL$30+Sales!DM$4,0)=EOMONTH($K$1,0),'Cash Drivers'!$DL$31*Sales!DM$5,0),0))</f>
        <v>38</v>
      </c>
      <c r="M6" s="2" t="n">
        <f aca="false">ROUND(IF(EOMONTH(DATE(YEAR(Sales!$DL$1),MONTH(Sales!$DL$1),1)+INT((DAY(Sales!$DL$1)-1)/2)+Sales!DN$4,0)=EOMONTH($K$1,0),Sales!DN$3*Sales!DN$5,0)+IF(EOMONTH(DATE(YEAR(Sales!$DI$1),MONTH(Sales!$DI$1),1)+INT((DAY(Sales!$DI$1)-1)/2)+Sales!DK$4,0)=EOMONTH($K$1,0),Sales!DK$3*Sales!DK$5,0)+IF(EOMONTH(DATE(YEAR(Sales!$DF$1),MONTH(Sales!$DF$1),1)+INT((DAY(Sales!$DF$1)-1)/2)+Sales!DH$4,0)=EOMONTH($K$1,0),Sales!DH$3*Sales!DH$5,0)+IF(EOMONTH(DATE(YEAR(Sales!$DC$1),MONTH(Sales!$DC$1),1)+INT((DAY(Sales!$DC$1)-1)/2)+Sales!DE$4,0)=EOMONTH($K$1,0),Sales!DE$3*Sales!DE$5,0)+IF(EOMONTH(DATE(YEAR(Sales!$CZ$1),MONTH(Sales!$CZ$1),1)+INT((DAY(Sales!$CZ$1)-1)/2)+Sales!DB$4,0)=EOMONTH($K$1,0),Sales!DB$3*Sales!DB$5,0)+IF(EOMONTH(DATE(YEAR(Sales!$CW$1),MONTH(Sales!$CW$1),1)+INT((DAY(Sales!$CW$1)-1)/2)+Sales!CY$4,0)=EOMONTH($K$1,0),Sales!CY$3*Sales!CY$5,0)+IF(EOMONTH(DATE(YEAR(Sales!$CT$1),MONTH(Sales!$CT$1),1)+INT((DAY(Sales!$CT$1)-1)/2)+Sales!CV$4,0)=EOMONTH($K$1,0),Sales!CV$3*Sales!CV$5,0)+IF(EOMONTH(DATE(YEAR(Sales!$CQ$1),MONTH(Sales!$CQ$1),1)+INT((DAY(Sales!$CQ$1)-1)/2)+Sales!CS$4,0)=EOMONTH($K$1,0),Sales!CS$3*Sales!CS$5,0)+IF(EOMONTH(DATE(YEAR(Sales!$CN$1),MONTH(Sales!$CN$1),1)+INT((DAY(Sales!$CN$1)-1)/2)+Sales!CP$4,0)=EOMONTH($K$1,0),Sales!CP$3*Sales!CP$5,0)+IF(EOMONTH(DATE(YEAR(Sales!$CK$1),MONTH(Sales!$CK$1),1)+INT((DAY(Sales!$CK$1)-1)/2)+Sales!CM$4,0)=EOMONTH($K$1,0),Sales!CM$3*Sales!CM$5,0)+IF(EOMONTH(DATE(YEAR(Sales!$CH$1),MONTH(Sales!$CH$1),1)+INT((DAY(Sales!$CH$1)-1)/2)+Sales!CJ$4,0)=EOMONTH($K$1,0),Sales!CJ$3*Sales!CJ$5,0)+IF(EOMONTH(DATE(YEAR(Sales!$CE$1),MONTH(Sales!$CE$1),1)+INT((DAY(Sales!$CE$1)-1)/2)+Sales!CG$4,0)=EOMONTH($K$1,0),Sales!CG$3*Sales!CG$5,0)+IF(EOMONTH(DATE(YEAR(Sales!$CB$1),MONTH(Sales!$CB$1),1)+INT((DAY(Sales!$CB$1)-1)/2)+Sales!CD$4,0)=EOMONTH($K$1,0),Sales!CD$3*Sales!CD$5,0)+IF(EOMONTH(DATE(YEAR(Sales!$BY$1),MONTH(Sales!$BY$1),1)+INT((DAY(Sales!$BY$1)-1)/2)+Sales!CA$4,0)=EOMONTH($K$1,0),Sales!CA$3*Sales!CA$5,0)+IF(EOMONTH(DATE(YEAR(Sales!$BV$1),MONTH(Sales!$BV$1),1)+INT((DAY(Sales!$BV$1)-1)/2)+Sales!BX$4,0)=EOMONTH($K$1,0),Sales!BX$3*Sales!BX$5,0)+IF(EOMONTH(DATE(YEAR(Sales!$BS$1),MONTH(Sales!$BS$1),1)+INT((DAY(Sales!$BS$1)-1)/2)+Sales!BU$4,0)=EOMONTH($K$1,0),Sales!BU$3*Sales!BU$5,0)+IF(EOMONTH(DATE(YEAR(Sales!$BP$1),MONTH(Sales!$BP$1),1)+INT((DAY(Sales!$BP$1)-1)/2)+Sales!BR$4,0)=EOMONTH($K$1,0),Sales!BR$3*Sales!BR$5,0)+IF(EOMONTH(DATE(YEAR(Sales!$BM$1),MONTH(Sales!$BM$1),1)+INT((DAY(Sales!$BM$1)-1)/2)+Sales!BO$4,0)=EOMONTH($K$1,0),Sales!BO$3*Sales!BO$5,0)+IF(EOMONTH(DATE(YEAR(Sales!$BJ$1),MONTH(Sales!$BJ$1),1)+INT((DAY(Sales!$BJ$1)-1)/2)+Sales!BL$4,0)=EOMONTH($K$1,0),Sales!BL$3*Sales!BL$5,0)+IF(EOMONTH(DATE(YEAR(Sales!$BG$1),MONTH(Sales!$BG$1),1)+INT((DAY(Sales!$BG$1)-1)/2)+Sales!BI$4,0)=EOMONTH($K$1,0),Sales!BI$3*Sales!BI$5,0)+IF(EOMONTH(DATE(YEAR(Sales!$BD$1),MONTH(Sales!$BD$1),1)+INT((DAY(Sales!$BD$1)-1)/2)+Sales!BF$4,0)=EOMONTH($K$1,0),Sales!BF$3*Sales!BF$5,0)+IF(EOMONTH(DATE(YEAR(Sales!$BA$1),MONTH(Sales!$BA$1),1)+INT((DAY(Sales!$BA$1)-1)/2)+Sales!BC$4,0)=EOMONTH($K$1,0),Sales!BC$3*Sales!BC$5,0)+IF(EOMONTH(DATE(YEAR(Sales!$AX$1),MONTH(Sales!$AX$1),1)+INT((DAY(Sales!$AX$1)-1)/2)+Sales!AZ$4,0)=EOMONTH($K$1,0),Sales!AZ$3*Sales!AZ$5,0)+IF(EOMONTH(DATE(YEAR(Sales!$AU$1),MONTH(Sales!$AU$1),1)+INT((DAY(Sales!$AU$1)-1)/2)+Sales!AW$4,0)=EOMONTH($K$1,0),Sales!AW$3*Sales!AW$5,0)+IF(EOMONTH(DATE(YEAR(Sales!$AR$1),MONTH(Sales!$AR$1),1)+INT((DAY(Sales!$AR$1)-1)/2)+Sales!AT$4,0)=EOMONTH($K$1,0),Sales!AT$3*Sales!AT$5,0)+IF(EOMONTH(DATE(YEAR(Sales!$AO$1),MONTH(Sales!$AO$1),1)+INT((DAY(Sales!$AO$1)-1)/2)+Sales!AQ$4,0)=EOMONTH($K$1,0),Sales!AQ$3*Sales!AQ$5,0)+IF(EOMONTH(DATE(YEAR(Sales!$AL$1),MONTH(Sales!$AL$1),1)+INT((DAY(Sales!$AL$1)-1)/2)+Sales!AN$4,0)=EOMONTH($K$1,0),Sales!AN$3*Sales!AN$5,0)+IF(EOMONTH(DATE(YEAR(Sales!$AI$1),MONTH(Sales!$AI$1),1)+INT((DAY(Sales!$AI$1)-1)/2)+Sales!AK$4,0)=EOMONTH($K$1,0),Sales!AK$3*Sales!AK$5,0)+IF(EOMONTH(DATE(YEAR(Sales!$AF$1),MONTH(Sales!$AF$1),1)+INT((DAY(Sales!$AF$1)-1)/2)+Sales!AH$4,0)=EOMONTH($K$1,0),Sales!AH$3*Sales!AH$5,0)+IF(EOMONTH(DATE(YEAR(Sales!$AC$1),MONTH(Sales!$AC$1),1)+INT((DAY(Sales!$AC$1)-1)/2)+Sales!AE$4,0)=EOMONTH($K$1,0),Sales!AE$3*Sales!AE$5,0)+IF(EOMONTH(DATE(YEAR(Sales!$Z$1),MONTH(Sales!$Z$1),1)+INT((DAY(Sales!$Z$1)-1)/2)+Sales!AB$4,0)=EOMONTH($K$1,0),Sales!AB$3*Sales!AB$5,0)+IF(EOMONTH(DATE(YEAR(Sales!$W$1),MONTH(Sales!$W$1),1)+INT((DAY(Sales!$W$1)-1)/2)+Sales!Y$4,0)=EOMONTH($K$1,0),Sales!Y$3*Sales!Y$5,0)+IF(EOMONTH(DATE(YEAR(Sales!$T$1),MONTH(Sales!$T$1),1)+INT((DAY(Sales!$T$1)-1)/2)+Sales!V$4,0)=EOMONTH($K$1,0),Sales!V$3*Sales!V$5,0)+IF(EOMONTH(DATE(YEAR(Sales!$Q$1),MONTH(Sales!$Q$1),1)+INT((DAY(Sales!$Q$1)-1)/2)+Sales!S$4,0)=EOMONTH($K$1,0),Sales!S$3*Sales!S$5,0)+IF(EOMONTH(DATE(YEAR(Sales!$N$1),MONTH(Sales!$N$1),1)+INT((DAY(Sales!$N$1)-1)/2)+Sales!P$4,0)=EOMONTH($K$1,0),Sales!P$3*Sales!P$5,0)+IF(EOMONTH(DATE(YEAR(Sales!$K$1),MONTH(Sales!$K$1),1)+INT((DAY(Sales!$K$1)-1)/2)+Sales!M$4,0)=EOMONTH($K$1,0),Sales!M$3*Sales!M$5,0)+IF(EOMONTH('Cash Drivers'!$DL$30+Sales!DN$4,0)=EOMONTH($K$1,0),'Cash Drivers'!$DL$31*Sales!DN$5,0),0)</f>
        <v>38</v>
      </c>
      <c r="N6" s="23"/>
      <c r="O6" s="23" t="n">
        <f aca="false">IF('Cash Drivers'!O$26,N6,ROUND(IF(EOMONTH(DATE(YEAR(Sales!$DL$1),MONTH(Sales!$DL$1),1)+INT((DAY(Sales!$DL$1)-1)/2)+Sales!DM$4,0)=EOMONTH($N$1,0),Sales!DM$3*Sales!DM$5,0)+IF(EOMONTH(DATE(YEAR(Sales!$DI$1),MONTH(Sales!$DI$1),1)+INT((DAY(Sales!$DI$1)-1)/2)+Sales!DJ$4,0)=EOMONTH($N$1,0),Sales!DJ$3*Sales!DJ$5,0)+IF(EOMONTH(DATE(YEAR(Sales!$DF$1),MONTH(Sales!$DF$1),1)+INT((DAY(Sales!$DF$1)-1)/2)+Sales!DG$4,0)=EOMONTH($N$1,0),Sales!DG$3*Sales!DG$5,0)+IF(EOMONTH(DATE(YEAR(Sales!$DC$1),MONTH(Sales!$DC$1),1)+INT((DAY(Sales!$DC$1)-1)/2)+Sales!DD$4,0)=EOMONTH($N$1,0),Sales!DD$3*Sales!DD$5,0)+IF(EOMONTH(DATE(YEAR(Sales!$CZ$1),MONTH(Sales!$CZ$1),1)+INT((DAY(Sales!$CZ$1)-1)/2)+Sales!DA$4,0)=EOMONTH($N$1,0),Sales!DA$3*Sales!DA$5,0)+IF(EOMONTH(DATE(YEAR(Sales!$CW$1),MONTH(Sales!$CW$1),1)+INT((DAY(Sales!$CW$1)-1)/2)+Sales!CX$4,0)=EOMONTH($N$1,0),Sales!CX$3*Sales!CX$5,0)+IF(EOMONTH(DATE(YEAR(Sales!$CT$1),MONTH(Sales!$CT$1),1)+INT((DAY(Sales!$CT$1)-1)/2)+Sales!CU$4,0)=EOMONTH($N$1,0),Sales!CU$3*Sales!CU$5,0)+IF(EOMONTH(DATE(YEAR(Sales!$CQ$1),MONTH(Sales!$CQ$1),1)+INT((DAY(Sales!$CQ$1)-1)/2)+Sales!CR$4,0)=EOMONTH($N$1,0),Sales!CR$3*Sales!CR$5,0)+IF(EOMONTH(DATE(YEAR(Sales!$CN$1),MONTH(Sales!$CN$1),1)+INT((DAY(Sales!$CN$1)-1)/2)+Sales!CO$4,0)=EOMONTH($N$1,0),Sales!CO$3*Sales!CO$5,0)+IF(EOMONTH(DATE(YEAR(Sales!$CK$1),MONTH(Sales!$CK$1),1)+INT((DAY(Sales!$CK$1)-1)/2)+Sales!CL$4,0)=EOMONTH($N$1,0),Sales!CL$3*Sales!CL$5,0)+IF(EOMONTH(DATE(YEAR(Sales!$CH$1),MONTH(Sales!$CH$1),1)+INT((DAY(Sales!$CH$1)-1)/2)+Sales!CI$4,0)=EOMONTH($N$1,0),Sales!CI$3*Sales!CI$5,0)+IF(EOMONTH(DATE(YEAR(Sales!$CE$1),MONTH(Sales!$CE$1),1)+INT((DAY(Sales!$CE$1)-1)/2)+Sales!CF$4,0)=EOMONTH($N$1,0),Sales!CF$3*Sales!CF$5,0)+IF(EOMONTH(DATE(YEAR(Sales!$CB$1),MONTH(Sales!$CB$1),1)+INT((DAY(Sales!$CB$1)-1)/2)+Sales!CC$4,0)=EOMONTH($N$1,0),Sales!CC$3*Sales!CC$5,0)+IF(EOMONTH(DATE(YEAR(Sales!$BY$1),MONTH(Sales!$BY$1),1)+INT((DAY(Sales!$BY$1)-1)/2)+Sales!BZ$4,0)=EOMONTH($N$1,0),Sales!BZ$3*Sales!BZ$5,0)+IF(EOMONTH(DATE(YEAR(Sales!$BV$1),MONTH(Sales!$BV$1),1)+INT((DAY(Sales!$BV$1)-1)/2)+Sales!BW$4,0)=EOMONTH($N$1,0),Sales!BW$3*Sales!BW$5,0)+IF(EOMONTH(DATE(YEAR(Sales!$BS$1),MONTH(Sales!$BS$1),1)+INT((DAY(Sales!$BS$1)-1)/2)+Sales!BT$4,0)=EOMONTH($N$1,0),Sales!BT$3*Sales!BT$5,0)+IF(EOMONTH(DATE(YEAR(Sales!$BP$1),MONTH(Sales!$BP$1),1)+INT((DAY(Sales!$BP$1)-1)/2)+Sales!BQ$4,0)=EOMONTH($N$1,0),Sales!BQ$3*Sales!BQ$5,0)+IF(EOMONTH(DATE(YEAR(Sales!$BM$1),MONTH(Sales!$BM$1),1)+INT((DAY(Sales!$BM$1)-1)/2)+Sales!BN$4,0)=EOMONTH($N$1,0),Sales!BN$3*Sales!BN$5,0)+IF(EOMONTH(DATE(YEAR(Sales!$BJ$1),MONTH(Sales!$BJ$1),1)+INT((DAY(Sales!$BJ$1)-1)/2)+Sales!BK$4,0)=EOMONTH($N$1,0),Sales!BK$3*Sales!BK$5,0)+IF(EOMONTH(DATE(YEAR(Sales!$BG$1),MONTH(Sales!$BG$1),1)+INT((DAY(Sales!$BG$1)-1)/2)+Sales!BH$4,0)=EOMONTH($N$1,0),Sales!BH$3*Sales!BH$5,0)+IF(EOMONTH(DATE(YEAR(Sales!$BD$1),MONTH(Sales!$BD$1),1)+INT((DAY(Sales!$BD$1)-1)/2)+Sales!BE$4,0)=EOMONTH($N$1,0),Sales!BE$3*Sales!BE$5,0)+IF(EOMONTH(DATE(YEAR(Sales!$BA$1),MONTH(Sales!$BA$1),1)+INT((DAY(Sales!$BA$1)-1)/2)+Sales!BB$4,0)=EOMONTH($N$1,0),Sales!BB$3*Sales!BB$5,0)+IF(EOMONTH(DATE(YEAR(Sales!$AX$1),MONTH(Sales!$AX$1),1)+INT((DAY(Sales!$AX$1)-1)/2)+Sales!AY$4,0)=EOMONTH($N$1,0),Sales!AY$3*Sales!AY$5,0)+IF(EOMONTH(DATE(YEAR(Sales!$AU$1),MONTH(Sales!$AU$1),1)+INT((DAY(Sales!$AU$1)-1)/2)+Sales!AV$4,0)=EOMONTH($N$1,0),Sales!AV$3*Sales!AV$5,0)+IF(EOMONTH(DATE(YEAR(Sales!$AR$1),MONTH(Sales!$AR$1),1)+INT((DAY(Sales!$AR$1)-1)/2)+Sales!AS$4,0)=EOMONTH($N$1,0),Sales!AS$3*Sales!AS$5,0)+IF(EOMONTH(DATE(YEAR(Sales!$AO$1),MONTH(Sales!$AO$1),1)+INT((DAY(Sales!$AO$1)-1)/2)+Sales!AP$4,0)=EOMONTH($N$1,0),Sales!AP$3*Sales!AP$5,0)+IF(EOMONTH(DATE(YEAR(Sales!$AL$1),MONTH(Sales!$AL$1),1)+INT((DAY(Sales!$AL$1)-1)/2)+Sales!AM$4,0)=EOMONTH($N$1,0),Sales!AM$3*Sales!AM$5,0)+IF(EOMONTH(DATE(YEAR(Sales!$AI$1),MONTH(Sales!$AI$1),1)+INT((DAY(Sales!$AI$1)-1)/2)+Sales!AJ$4,0)=EOMONTH($N$1,0),Sales!AJ$3*Sales!AJ$5,0)+IF(EOMONTH(DATE(YEAR(Sales!$AF$1),MONTH(Sales!$AF$1),1)+INT((DAY(Sales!$AF$1)-1)/2)+Sales!AG$4,0)=EOMONTH($N$1,0),Sales!AG$3*Sales!AG$5,0)+IF(EOMONTH(DATE(YEAR(Sales!$AC$1),MONTH(Sales!$AC$1),1)+INT((DAY(Sales!$AC$1)-1)/2)+Sales!AD$4,0)=EOMONTH($N$1,0),Sales!AD$3*Sales!AD$5,0)+IF(EOMONTH(DATE(YEAR(Sales!$Z$1),MONTH(Sales!$Z$1),1)+INT((DAY(Sales!$Z$1)-1)/2)+Sales!AA$4,0)=EOMONTH($N$1,0),Sales!AA$3*Sales!AA$5,0)+IF(EOMONTH(DATE(YEAR(Sales!$W$1),MONTH(Sales!$W$1),1)+INT((DAY(Sales!$W$1)-1)/2)+Sales!X$4,0)=EOMONTH($N$1,0),Sales!X$3*Sales!X$5,0)+IF(EOMONTH(DATE(YEAR(Sales!$T$1),MONTH(Sales!$T$1),1)+INT((DAY(Sales!$T$1)-1)/2)+Sales!U$4,0)=EOMONTH($N$1,0),Sales!U$3*Sales!U$5,0)+IF(EOMONTH(DATE(YEAR(Sales!$Q$1),MONTH(Sales!$Q$1),1)+INT((DAY(Sales!$Q$1)-1)/2)+Sales!R$4,0)=EOMONTH($N$1,0),Sales!R$3*Sales!R$5,0)+IF(EOMONTH(DATE(YEAR(Sales!$N$1),MONTH(Sales!$N$1),1)+INT((DAY(Sales!$N$1)-1)/2)+Sales!O$4,0)=EOMONTH($N$1,0),Sales!O$3*Sales!O$5,0)+IF(EOMONTH(DATE(YEAR(Sales!$K$1),MONTH(Sales!$K$1),1)+INT((DAY(Sales!$K$1)-1)/2)+Sales!L$4,0)=EOMONTH($N$1,0),Sales!L$3*Sales!L$5,0)+IF(EOMONTH('Cash Drivers'!$DL$30+Sales!DM$4,0)=EOMONTH($N$1,0),'Cash Drivers'!$DL$31*Sales!DM$5,0),0))</f>
        <v>38</v>
      </c>
      <c r="P6" s="23" t="n">
        <f aca="false">ROUND(IF(EOMONTH(DATE(YEAR(Sales!$DL$1),MONTH(Sales!$DL$1),1)+INT((DAY(Sales!$DL$1)-1)/2)+Sales!DN$4,0)=EOMONTH($N$1,0),Sales!DN$3*Sales!DN$5,0)+IF(EOMONTH(DATE(YEAR(Sales!$DI$1),MONTH(Sales!$DI$1),1)+INT((DAY(Sales!$DI$1)-1)/2)+Sales!DK$4,0)=EOMONTH($N$1,0),Sales!DK$3*Sales!DK$5,0)+IF(EOMONTH(DATE(YEAR(Sales!$DF$1),MONTH(Sales!$DF$1),1)+INT((DAY(Sales!$DF$1)-1)/2)+Sales!DH$4,0)=EOMONTH($N$1,0),Sales!DH$3*Sales!DH$5,0)+IF(EOMONTH(DATE(YEAR(Sales!$DC$1),MONTH(Sales!$DC$1),1)+INT((DAY(Sales!$DC$1)-1)/2)+Sales!DE$4,0)=EOMONTH($N$1,0),Sales!DE$3*Sales!DE$5,0)+IF(EOMONTH(DATE(YEAR(Sales!$CZ$1),MONTH(Sales!$CZ$1),1)+INT((DAY(Sales!$CZ$1)-1)/2)+Sales!DB$4,0)=EOMONTH($N$1,0),Sales!DB$3*Sales!DB$5,0)+IF(EOMONTH(DATE(YEAR(Sales!$CW$1),MONTH(Sales!$CW$1),1)+INT((DAY(Sales!$CW$1)-1)/2)+Sales!CY$4,0)=EOMONTH($N$1,0),Sales!CY$3*Sales!CY$5,0)+IF(EOMONTH(DATE(YEAR(Sales!$CT$1),MONTH(Sales!$CT$1),1)+INT((DAY(Sales!$CT$1)-1)/2)+Sales!CV$4,0)=EOMONTH($N$1,0),Sales!CV$3*Sales!CV$5,0)+IF(EOMONTH(DATE(YEAR(Sales!$CQ$1),MONTH(Sales!$CQ$1),1)+INT((DAY(Sales!$CQ$1)-1)/2)+Sales!CS$4,0)=EOMONTH($N$1,0),Sales!CS$3*Sales!CS$5,0)+IF(EOMONTH(DATE(YEAR(Sales!$CN$1),MONTH(Sales!$CN$1),1)+INT((DAY(Sales!$CN$1)-1)/2)+Sales!CP$4,0)=EOMONTH($N$1,0),Sales!CP$3*Sales!CP$5,0)+IF(EOMONTH(DATE(YEAR(Sales!$CK$1),MONTH(Sales!$CK$1),1)+INT((DAY(Sales!$CK$1)-1)/2)+Sales!CM$4,0)=EOMONTH($N$1,0),Sales!CM$3*Sales!CM$5,0)+IF(EOMONTH(DATE(YEAR(Sales!$CH$1),MONTH(Sales!$CH$1),1)+INT((DAY(Sales!$CH$1)-1)/2)+Sales!CJ$4,0)=EOMONTH($N$1,0),Sales!CJ$3*Sales!CJ$5,0)+IF(EOMONTH(DATE(YEAR(Sales!$CE$1),MONTH(Sales!$CE$1),1)+INT((DAY(Sales!$CE$1)-1)/2)+Sales!CG$4,0)=EOMONTH($N$1,0),Sales!CG$3*Sales!CG$5,0)+IF(EOMONTH(DATE(YEAR(Sales!$CB$1),MONTH(Sales!$CB$1),1)+INT((DAY(Sales!$CB$1)-1)/2)+Sales!CD$4,0)=EOMONTH($N$1,0),Sales!CD$3*Sales!CD$5,0)+IF(EOMONTH(DATE(YEAR(Sales!$BY$1),MONTH(Sales!$BY$1),1)+INT((DAY(Sales!$BY$1)-1)/2)+Sales!CA$4,0)=EOMONTH($N$1,0),Sales!CA$3*Sales!CA$5,0)+IF(EOMONTH(DATE(YEAR(Sales!$BV$1),MONTH(Sales!$BV$1),1)+INT((DAY(Sales!$BV$1)-1)/2)+Sales!BX$4,0)=EOMONTH($N$1,0),Sales!BX$3*Sales!BX$5,0)+IF(EOMONTH(DATE(YEAR(Sales!$BS$1),MONTH(Sales!$BS$1),1)+INT((DAY(Sales!$BS$1)-1)/2)+Sales!BU$4,0)=EOMONTH($N$1,0),Sales!BU$3*Sales!BU$5,0)+IF(EOMONTH(DATE(YEAR(Sales!$BP$1),MONTH(Sales!$BP$1),1)+INT((DAY(Sales!$BP$1)-1)/2)+Sales!BR$4,0)=EOMONTH($N$1,0),Sales!BR$3*Sales!BR$5,0)+IF(EOMONTH(DATE(YEAR(Sales!$BM$1),MONTH(Sales!$BM$1),1)+INT((DAY(Sales!$BM$1)-1)/2)+Sales!BO$4,0)=EOMONTH($N$1,0),Sales!BO$3*Sales!BO$5,0)+IF(EOMONTH(DATE(YEAR(Sales!$BJ$1),MONTH(Sales!$BJ$1),1)+INT((DAY(Sales!$BJ$1)-1)/2)+Sales!BL$4,0)=EOMONTH($N$1,0),Sales!BL$3*Sales!BL$5,0)+IF(EOMONTH(DATE(YEAR(Sales!$BG$1),MONTH(Sales!$BG$1),1)+INT((DAY(Sales!$BG$1)-1)/2)+Sales!BI$4,0)=EOMONTH($N$1,0),Sales!BI$3*Sales!BI$5,0)+IF(EOMONTH(DATE(YEAR(Sales!$BD$1),MONTH(Sales!$BD$1),1)+INT((DAY(Sales!$BD$1)-1)/2)+Sales!BF$4,0)=EOMONTH($N$1,0),Sales!BF$3*Sales!BF$5,0)+IF(EOMONTH(DATE(YEAR(Sales!$BA$1),MONTH(Sales!$BA$1),1)+INT((DAY(Sales!$BA$1)-1)/2)+Sales!BC$4,0)=EOMONTH($N$1,0),Sales!BC$3*Sales!BC$5,0)+IF(EOMONTH(DATE(YEAR(Sales!$AX$1),MONTH(Sales!$AX$1),1)+INT((DAY(Sales!$AX$1)-1)/2)+Sales!AZ$4,0)=EOMONTH($N$1,0),Sales!AZ$3*Sales!AZ$5,0)+IF(EOMONTH(DATE(YEAR(Sales!$AU$1),MONTH(Sales!$AU$1),1)+INT((DAY(Sales!$AU$1)-1)/2)+Sales!AW$4,0)=EOMONTH($N$1,0),Sales!AW$3*Sales!AW$5,0)+IF(EOMONTH(DATE(YEAR(Sales!$AR$1),MONTH(Sales!$AR$1),1)+INT((DAY(Sales!$AR$1)-1)/2)+Sales!AT$4,0)=EOMONTH($N$1,0),Sales!AT$3*Sales!AT$5,0)+IF(EOMONTH(DATE(YEAR(Sales!$AO$1),MONTH(Sales!$AO$1),1)+INT((DAY(Sales!$AO$1)-1)/2)+Sales!AQ$4,0)=EOMONTH($N$1,0),Sales!AQ$3*Sales!AQ$5,0)+IF(EOMONTH(DATE(YEAR(Sales!$AL$1),MONTH(Sales!$AL$1),1)+INT((DAY(Sales!$AL$1)-1)/2)+Sales!AN$4,0)=EOMONTH($N$1,0),Sales!AN$3*Sales!AN$5,0)+IF(EOMONTH(DATE(YEAR(Sales!$AI$1),MONTH(Sales!$AI$1),1)+INT((DAY(Sales!$AI$1)-1)/2)+Sales!AK$4,0)=EOMONTH($N$1,0),Sales!AK$3*Sales!AK$5,0)+IF(EOMONTH(DATE(YEAR(Sales!$AF$1),MONTH(Sales!$AF$1),1)+INT((DAY(Sales!$AF$1)-1)/2)+Sales!AH$4,0)=EOMONTH($N$1,0),Sales!AH$3*Sales!AH$5,0)+IF(EOMONTH(DATE(YEAR(Sales!$AC$1),MONTH(Sales!$AC$1),1)+INT((DAY(Sales!$AC$1)-1)/2)+Sales!AE$4,0)=EOMONTH($N$1,0),Sales!AE$3*Sales!AE$5,0)+IF(EOMONTH(DATE(YEAR(Sales!$Z$1),MONTH(Sales!$Z$1),1)+INT((DAY(Sales!$Z$1)-1)/2)+Sales!AB$4,0)=EOMONTH($N$1,0),Sales!AB$3*Sales!AB$5,0)+IF(EOMONTH(DATE(YEAR(Sales!$W$1),MONTH(Sales!$W$1),1)+INT((DAY(Sales!$W$1)-1)/2)+Sales!Y$4,0)=EOMONTH($N$1,0),Sales!Y$3*Sales!Y$5,0)+IF(EOMONTH(DATE(YEAR(Sales!$T$1),MONTH(Sales!$T$1),1)+INT((DAY(Sales!$T$1)-1)/2)+Sales!V$4,0)=EOMONTH($N$1,0),Sales!V$3*Sales!V$5,0)+IF(EOMONTH(DATE(YEAR(Sales!$Q$1),MONTH(Sales!$Q$1),1)+INT((DAY(Sales!$Q$1)-1)/2)+Sales!S$4,0)=EOMONTH($N$1,0),Sales!S$3*Sales!S$5,0)+IF(EOMONTH(DATE(YEAR(Sales!$N$1),MONTH(Sales!$N$1),1)+INT((DAY(Sales!$N$1)-1)/2)+Sales!P$4,0)=EOMONTH($N$1,0),Sales!P$3*Sales!P$5,0)+IF(EOMONTH(DATE(YEAR(Sales!$K$1),MONTH(Sales!$K$1),1)+INT((DAY(Sales!$K$1)-1)/2)+Sales!M$4,0)=EOMONTH($N$1,0),Sales!M$3*Sales!M$5,0)+IF(EOMONTH('Cash Drivers'!$DL$30+Sales!DN$4,0)=EOMONTH($N$1,0),'Cash Drivers'!$DL$31*Sales!DN$5,0),0)</f>
        <v>38</v>
      </c>
      <c r="Q6" s="2"/>
      <c r="R6" s="2" t="n">
        <f aca="false">IF('Cash Drivers'!R$26,Q6,ROUND(IF(EOMONTH(DATE(YEAR(Sales!$DL$1),MONTH(Sales!$DL$1),1)+INT((DAY(Sales!$DL$1)-1)/2)+Sales!DM$4,0)=EOMONTH($Q$1,0),Sales!DM$3*Sales!DM$5,0)+IF(EOMONTH(DATE(YEAR(Sales!$DI$1),MONTH(Sales!$DI$1),1)+INT((DAY(Sales!$DI$1)-1)/2)+Sales!DJ$4,0)=EOMONTH($Q$1,0),Sales!DJ$3*Sales!DJ$5,0)+IF(EOMONTH(DATE(YEAR(Sales!$DF$1),MONTH(Sales!$DF$1),1)+INT((DAY(Sales!$DF$1)-1)/2)+Sales!DG$4,0)=EOMONTH($Q$1,0),Sales!DG$3*Sales!DG$5,0)+IF(EOMONTH(DATE(YEAR(Sales!$DC$1),MONTH(Sales!$DC$1),1)+INT((DAY(Sales!$DC$1)-1)/2)+Sales!DD$4,0)=EOMONTH($Q$1,0),Sales!DD$3*Sales!DD$5,0)+IF(EOMONTH(DATE(YEAR(Sales!$CZ$1),MONTH(Sales!$CZ$1),1)+INT((DAY(Sales!$CZ$1)-1)/2)+Sales!DA$4,0)=EOMONTH($Q$1,0),Sales!DA$3*Sales!DA$5,0)+IF(EOMONTH(DATE(YEAR(Sales!$CW$1),MONTH(Sales!$CW$1),1)+INT((DAY(Sales!$CW$1)-1)/2)+Sales!CX$4,0)=EOMONTH($Q$1,0),Sales!CX$3*Sales!CX$5,0)+IF(EOMONTH(DATE(YEAR(Sales!$CT$1),MONTH(Sales!$CT$1),1)+INT((DAY(Sales!$CT$1)-1)/2)+Sales!CU$4,0)=EOMONTH($Q$1,0),Sales!CU$3*Sales!CU$5,0)+IF(EOMONTH(DATE(YEAR(Sales!$CQ$1),MONTH(Sales!$CQ$1),1)+INT((DAY(Sales!$CQ$1)-1)/2)+Sales!CR$4,0)=EOMONTH($Q$1,0),Sales!CR$3*Sales!CR$5,0)+IF(EOMONTH(DATE(YEAR(Sales!$CN$1),MONTH(Sales!$CN$1),1)+INT((DAY(Sales!$CN$1)-1)/2)+Sales!CO$4,0)=EOMONTH($Q$1,0),Sales!CO$3*Sales!CO$5,0)+IF(EOMONTH(DATE(YEAR(Sales!$CK$1),MONTH(Sales!$CK$1),1)+INT((DAY(Sales!$CK$1)-1)/2)+Sales!CL$4,0)=EOMONTH($Q$1,0),Sales!CL$3*Sales!CL$5,0)+IF(EOMONTH(DATE(YEAR(Sales!$CH$1),MONTH(Sales!$CH$1),1)+INT((DAY(Sales!$CH$1)-1)/2)+Sales!CI$4,0)=EOMONTH($Q$1,0),Sales!CI$3*Sales!CI$5,0)+IF(EOMONTH(DATE(YEAR(Sales!$CE$1),MONTH(Sales!$CE$1),1)+INT((DAY(Sales!$CE$1)-1)/2)+Sales!CF$4,0)=EOMONTH($Q$1,0),Sales!CF$3*Sales!CF$5,0)+IF(EOMONTH(DATE(YEAR(Sales!$CB$1),MONTH(Sales!$CB$1),1)+INT((DAY(Sales!$CB$1)-1)/2)+Sales!CC$4,0)=EOMONTH($Q$1,0),Sales!CC$3*Sales!CC$5,0)+IF(EOMONTH(DATE(YEAR(Sales!$BY$1),MONTH(Sales!$BY$1),1)+INT((DAY(Sales!$BY$1)-1)/2)+Sales!BZ$4,0)=EOMONTH($Q$1,0),Sales!BZ$3*Sales!BZ$5,0)+IF(EOMONTH(DATE(YEAR(Sales!$BV$1),MONTH(Sales!$BV$1),1)+INT((DAY(Sales!$BV$1)-1)/2)+Sales!BW$4,0)=EOMONTH($Q$1,0),Sales!BW$3*Sales!BW$5,0)+IF(EOMONTH(DATE(YEAR(Sales!$BS$1),MONTH(Sales!$BS$1),1)+INT((DAY(Sales!$BS$1)-1)/2)+Sales!BT$4,0)=EOMONTH($Q$1,0),Sales!BT$3*Sales!BT$5,0)+IF(EOMONTH(DATE(YEAR(Sales!$BP$1),MONTH(Sales!$BP$1),1)+INT((DAY(Sales!$BP$1)-1)/2)+Sales!BQ$4,0)=EOMONTH($Q$1,0),Sales!BQ$3*Sales!BQ$5,0)+IF(EOMONTH(DATE(YEAR(Sales!$BM$1),MONTH(Sales!$BM$1),1)+INT((DAY(Sales!$BM$1)-1)/2)+Sales!BN$4,0)=EOMONTH($Q$1,0),Sales!BN$3*Sales!BN$5,0)+IF(EOMONTH(DATE(YEAR(Sales!$BJ$1),MONTH(Sales!$BJ$1),1)+INT((DAY(Sales!$BJ$1)-1)/2)+Sales!BK$4,0)=EOMONTH($Q$1,0),Sales!BK$3*Sales!BK$5,0)+IF(EOMONTH(DATE(YEAR(Sales!$BG$1),MONTH(Sales!$BG$1),1)+INT((DAY(Sales!$BG$1)-1)/2)+Sales!BH$4,0)=EOMONTH($Q$1,0),Sales!BH$3*Sales!BH$5,0)+IF(EOMONTH(DATE(YEAR(Sales!$BD$1),MONTH(Sales!$BD$1),1)+INT((DAY(Sales!$BD$1)-1)/2)+Sales!BE$4,0)=EOMONTH($Q$1,0),Sales!BE$3*Sales!BE$5,0)+IF(EOMONTH(DATE(YEAR(Sales!$BA$1),MONTH(Sales!$BA$1),1)+INT((DAY(Sales!$BA$1)-1)/2)+Sales!BB$4,0)=EOMONTH($Q$1,0),Sales!BB$3*Sales!BB$5,0)+IF(EOMONTH(DATE(YEAR(Sales!$AX$1),MONTH(Sales!$AX$1),1)+INT((DAY(Sales!$AX$1)-1)/2)+Sales!AY$4,0)=EOMONTH($Q$1,0),Sales!AY$3*Sales!AY$5,0)+IF(EOMONTH(DATE(YEAR(Sales!$AU$1),MONTH(Sales!$AU$1),1)+INT((DAY(Sales!$AU$1)-1)/2)+Sales!AV$4,0)=EOMONTH($Q$1,0),Sales!AV$3*Sales!AV$5,0)+IF(EOMONTH(DATE(YEAR(Sales!$AR$1),MONTH(Sales!$AR$1),1)+INT((DAY(Sales!$AR$1)-1)/2)+Sales!AS$4,0)=EOMONTH($Q$1,0),Sales!AS$3*Sales!AS$5,0)+IF(EOMONTH(DATE(YEAR(Sales!$AO$1),MONTH(Sales!$AO$1),1)+INT((DAY(Sales!$AO$1)-1)/2)+Sales!AP$4,0)=EOMONTH($Q$1,0),Sales!AP$3*Sales!AP$5,0)+IF(EOMONTH(DATE(YEAR(Sales!$AL$1),MONTH(Sales!$AL$1),1)+INT((DAY(Sales!$AL$1)-1)/2)+Sales!AM$4,0)=EOMONTH($Q$1,0),Sales!AM$3*Sales!AM$5,0)+IF(EOMONTH(DATE(YEAR(Sales!$AI$1),MONTH(Sales!$AI$1),1)+INT((DAY(Sales!$AI$1)-1)/2)+Sales!AJ$4,0)=EOMONTH($Q$1,0),Sales!AJ$3*Sales!AJ$5,0)+IF(EOMONTH(DATE(YEAR(Sales!$AF$1),MONTH(Sales!$AF$1),1)+INT((DAY(Sales!$AF$1)-1)/2)+Sales!AG$4,0)=EOMONTH($Q$1,0),Sales!AG$3*Sales!AG$5,0)+IF(EOMONTH(DATE(YEAR(Sales!$AC$1),MONTH(Sales!$AC$1),1)+INT((DAY(Sales!$AC$1)-1)/2)+Sales!AD$4,0)=EOMONTH($Q$1,0),Sales!AD$3*Sales!AD$5,0)+IF(EOMONTH(DATE(YEAR(Sales!$Z$1),MONTH(Sales!$Z$1),1)+INT((DAY(Sales!$Z$1)-1)/2)+Sales!AA$4,0)=EOMONTH($Q$1,0),Sales!AA$3*Sales!AA$5,0)+IF(EOMONTH(DATE(YEAR(Sales!$W$1),MONTH(Sales!$W$1),1)+INT((DAY(Sales!$W$1)-1)/2)+Sales!X$4,0)=EOMONTH($Q$1,0),Sales!X$3*Sales!X$5,0)+IF(EOMONTH(DATE(YEAR(Sales!$T$1),MONTH(Sales!$T$1),1)+INT((DAY(Sales!$T$1)-1)/2)+Sales!U$4,0)=EOMONTH($Q$1,0),Sales!U$3*Sales!U$5,0)+IF(EOMONTH(DATE(YEAR(Sales!$Q$1),MONTH(Sales!$Q$1),1)+INT((DAY(Sales!$Q$1)-1)/2)+Sales!R$4,0)=EOMONTH($Q$1,0),Sales!R$3*Sales!R$5,0)+IF(EOMONTH(DATE(YEAR(Sales!$N$1),MONTH(Sales!$N$1),1)+INT((DAY(Sales!$N$1)-1)/2)+Sales!O$4,0)=EOMONTH($Q$1,0),Sales!O$3*Sales!O$5,0)+IF(EOMONTH(DATE(YEAR(Sales!$K$1),MONTH(Sales!$K$1),1)+INT((DAY(Sales!$K$1)-1)/2)+Sales!L$4,0)=EOMONTH($Q$1,0),Sales!L$3*Sales!L$5,0)+IF(EOMONTH('Cash Drivers'!$DL$30+Sales!DM$4,0)=EOMONTH($Q$1,0),'Cash Drivers'!$DL$31*Sales!DM$5,0),0))</f>
        <v>38</v>
      </c>
      <c r="S6" s="2" t="n">
        <f aca="false">ROUND(IF(EOMONTH(DATE(YEAR(Sales!$DL$1),MONTH(Sales!$DL$1),1)+INT((DAY(Sales!$DL$1)-1)/2)+Sales!DN$4,0)=EOMONTH($Q$1,0),Sales!DN$3*Sales!DN$5,0)+IF(EOMONTH(DATE(YEAR(Sales!$DI$1),MONTH(Sales!$DI$1),1)+INT((DAY(Sales!$DI$1)-1)/2)+Sales!DK$4,0)=EOMONTH($Q$1,0),Sales!DK$3*Sales!DK$5,0)+IF(EOMONTH(DATE(YEAR(Sales!$DF$1),MONTH(Sales!$DF$1),1)+INT((DAY(Sales!$DF$1)-1)/2)+Sales!DH$4,0)=EOMONTH($Q$1,0),Sales!DH$3*Sales!DH$5,0)+IF(EOMONTH(DATE(YEAR(Sales!$DC$1),MONTH(Sales!$DC$1),1)+INT((DAY(Sales!$DC$1)-1)/2)+Sales!DE$4,0)=EOMONTH($Q$1,0),Sales!DE$3*Sales!DE$5,0)+IF(EOMONTH(DATE(YEAR(Sales!$CZ$1),MONTH(Sales!$CZ$1),1)+INT((DAY(Sales!$CZ$1)-1)/2)+Sales!DB$4,0)=EOMONTH($Q$1,0),Sales!DB$3*Sales!DB$5,0)+IF(EOMONTH(DATE(YEAR(Sales!$CW$1),MONTH(Sales!$CW$1),1)+INT((DAY(Sales!$CW$1)-1)/2)+Sales!CY$4,0)=EOMONTH($Q$1,0),Sales!CY$3*Sales!CY$5,0)+IF(EOMONTH(DATE(YEAR(Sales!$CT$1),MONTH(Sales!$CT$1),1)+INT((DAY(Sales!$CT$1)-1)/2)+Sales!CV$4,0)=EOMONTH($Q$1,0),Sales!CV$3*Sales!CV$5,0)+IF(EOMONTH(DATE(YEAR(Sales!$CQ$1),MONTH(Sales!$CQ$1),1)+INT((DAY(Sales!$CQ$1)-1)/2)+Sales!CS$4,0)=EOMONTH($Q$1,0),Sales!CS$3*Sales!CS$5,0)+IF(EOMONTH(DATE(YEAR(Sales!$CN$1),MONTH(Sales!$CN$1),1)+INT((DAY(Sales!$CN$1)-1)/2)+Sales!CP$4,0)=EOMONTH($Q$1,0),Sales!CP$3*Sales!CP$5,0)+IF(EOMONTH(DATE(YEAR(Sales!$CK$1),MONTH(Sales!$CK$1),1)+INT((DAY(Sales!$CK$1)-1)/2)+Sales!CM$4,0)=EOMONTH($Q$1,0),Sales!CM$3*Sales!CM$5,0)+IF(EOMONTH(DATE(YEAR(Sales!$CH$1),MONTH(Sales!$CH$1),1)+INT((DAY(Sales!$CH$1)-1)/2)+Sales!CJ$4,0)=EOMONTH($Q$1,0),Sales!CJ$3*Sales!CJ$5,0)+IF(EOMONTH(DATE(YEAR(Sales!$CE$1),MONTH(Sales!$CE$1),1)+INT((DAY(Sales!$CE$1)-1)/2)+Sales!CG$4,0)=EOMONTH($Q$1,0),Sales!CG$3*Sales!CG$5,0)+IF(EOMONTH(DATE(YEAR(Sales!$CB$1),MONTH(Sales!$CB$1),1)+INT((DAY(Sales!$CB$1)-1)/2)+Sales!CD$4,0)=EOMONTH($Q$1,0),Sales!CD$3*Sales!CD$5,0)+IF(EOMONTH(DATE(YEAR(Sales!$BY$1),MONTH(Sales!$BY$1),1)+INT((DAY(Sales!$BY$1)-1)/2)+Sales!CA$4,0)=EOMONTH($Q$1,0),Sales!CA$3*Sales!CA$5,0)+IF(EOMONTH(DATE(YEAR(Sales!$BV$1),MONTH(Sales!$BV$1),1)+INT((DAY(Sales!$BV$1)-1)/2)+Sales!BX$4,0)=EOMONTH($Q$1,0),Sales!BX$3*Sales!BX$5,0)+IF(EOMONTH(DATE(YEAR(Sales!$BS$1),MONTH(Sales!$BS$1),1)+INT((DAY(Sales!$BS$1)-1)/2)+Sales!BU$4,0)=EOMONTH($Q$1,0),Sales!BU$3*Sales!BU$5,0)+IF(EOMONTH(DATE(YEAR(Sales!$BP$1),MONTH(Sales!$BP$1),1)+INT((DAY(Sales!$BP$1)-1)/2)+Sales!BR$4,0)=EOMONTH($Q$1,0),Sales!BR$3*Sales!BR$5,0)+IF(EOMONTH(DATE(YEAR(Sales!$BM$1),MONTH(Sales!$BM$1),1)+INT((DAY(Sales!$BM$1)-1)/2)+Sales!BO$4,0)=EOMONTH($Q$1,0),Sales!BO$3*Sales!BO$5,0)+IF(EOMONTH(DATE(YEAR(Sales!$BJ$1),MONTH(Sales!$BJ$1),1)+INT((DAY(Sales!$BJ$1)-1)/2)+Sales!BL$4,0)=EOMONTH($Q$1,0),Sales!BL$3*Sales!BL$5,0)+IF(EOMONTH(DATE(YEAR(Sales!$BG$1),MONTH(Sales!$BG$1),1)+INT((DAY(Sales!$BG$1)-1)/2)+Sales!BI$4,0)=EOMONTH($Q$1,0),Sales!BI$3*Sales!BI$5,0)+IF(EOMONTH(DATE(YEAR(Sales!$BD$1),MONTH(Sales!$BD$1),1)+INT((DAY(Sales!$BD$1)-1)/2)+Sales!BF$4,0)=EOMONTH($Q$1,0),Sales!BF$3*Sales!BF$5,0)+IF(EOMONTH(DATE(YEAR(Sales!$BA$1),MONTH(Sales!$BA$1),1)+INT((DAY(Sales!$BA$1)-1)/2)+Sales!BC$4,0)=EOMONTH($Q$1,0),Sales!BC$3*Sales!BC$5,0)+IF(EOMONTH(DATE(YEAR(Sales!$AX$1),MONTH(Sales!$AX$1),1)+INT((DAY(Sales!$AX$1)-1)/2)+Sales!AZ$4,0)=EOMONTH($Q$1,0),Sales!AZ$3*Sales!AZ$5,0)+IF(EOMONTH(DATE(YEAR(Sales!$AU$1),MONTH(Sales!$AU$1),1)+INT((DAY(Sales!$AU$1)-1)/2)+Sales!AW$4,0)=EOMONTH($Q$1,0),Sales!AW$3*Sales!AW$5,0)+IF(EOMONTH(DATE(YEAR(Sales!$AR$1),MONTH(Sales!$AR$1),1)+INT((DAY(Sales!$AR$1)-1)/2)+Sales!AT$4,0)=EOMONTH($Q$1,0),Sales!AT$3*Sales!AT$5,0)+IF(EOMONTH(DATE(YEAR(Sales!$AO$1),MONTH(Sales!$AO$1),1)+INT((DAY(Sales!$AO$1)-1)/2)+Sales!AQ$4,0)=EOMONTH($Q$1,0),Sales!AQ$3*Sales!AQ$5,0)+IF(EOMONTH(DATE(YEAR(Sales!$AL$1),MONTH(Sales!$AL$1),1)+INT((DAY(Sales!$AL$1)-1)/2)+Sales!AN$4,0)=EOMONTH($Q$1,0),Sales!AN$3*Sales!AN$5,0)+IF(EOMONTH(DATE(YEAR(Sales!$AI$1),MONTH(Sales!$AI$1),1)+INT((DAY(Sales!$AI$1)-1)/2)+Sales!AK$4,0)=EOMONTH($Q$1,0),Sales!AK$3*Sales!AK$5,0)+IF(EOMONTH(DATE(YEAR(Sales!$AF$1),MONTH(Sales!$AF$1),1)+INT((DAY(Sales!$AF$1)-1)/2)+Sales!AH$4,0)=EOMONTH($Q$1,0),Sales!AH$3*Sales!AH$5,0)+IF(EOMONTH(DATE(YEAR(Sales!$AC$1),MONTH(Sales!$AC$1),1)+INT((DAY(Sales!$AC$1)-1)/2)+Sales!AE$4,0)=EOMONTH($Q$1,0),Sales!AE$3*Sales!AE$5,0)+IF(EOMONTH(DATE(YEAR(Sales!$Z$1),MONTH(Sales!$Z$1),1)+INT((DAY(Sales!$Z$1)-1)/2)+Sales!AB$4,0)=EOMONTH($Q$1,0),Sales!AB$3*Sales!AB$5,0)+IF(EOMONTH(DATE(YEAR(Sales!$W$1),MONTH(Sales!$W$1),1)+INT((DAY(Sales!$W$1)-1)/2)+Sales!Y$4,0)=EOMONTH($Q$1,0),Sales!Y$3*Sales!Y$5,0)+IF(EOMONTH(DATE(YEAR(Sales!$T$1),MONTH(Sales!$T$1),1)+INT((DAY(Sales!$T$1)-1)/2)+Sales!V$4,0)=EOMONTH($Q$1,0),Sales!V$3*Sales!V$5,0)+IF(EOMONTH(DATE(YEAR(Sales!$Q$1),MONTH(Sales!$Q$1),1)+INT((DAY(Sales!$Q$1)-1)/2)+Sales!S$4,0)=EOMONTH($Q$1,0),Sales!S$3*Sales!S$5,0)+IF(EOMONTH(DATE(YEAR(Sales!$N$1),MONTH(Sales!$N$1),1)+INT((DAY(Sales!$N$1)-1)/2)+Sales!P$4,0)=EOMONTH($Q$1,0),Sales!P$3*Sales!P$5,0)+IF(EOMONTH(DATE(YEAR(Sales!$K$1),MONTH(Sales!$K$1),1)+INT((DAY(Sales!$K$1)-1)/2)+Sales!M$4,0)=EOMONTH($Q$1,0),Sales!M$3*Sales!M$5,0)+IF(EOMONTH('Cash Drivers'!$DL$30+Sales!DN$4,0)=EOMONTH($Q$1,0),'Cash Drivers'!$DL$31*Sales!DN$5,0),0)</f>
        <v>38</v>
      </c>
      <c r="T6" s="23"/>
      <c r="U6" s="23" t="n">
        <f aca="false">IF('Cash Drivers'!U$26,T6,ROUND(IF(EOMONTH(DATE(YEAR(Sales!$DL$1),MONTH(Sales!$DL$1),1)+INT((DAY(Sales!$DL$1)-1)/2)+Sales!DM$4,0)=EOMONTH($T$1,0),Sales!DM$3*Sales!DM$5,0)+IF(EOMONTH(DATE(YEAR(Sales!$DI$1),MONTH(Sales!$DI$1),1)+INT((DAY(Sales!$DI$1)-1)/2)+Sales!DJ$4,0)=EOMONTH($T$1,0),Sales!DJ$3*Sales!DJ$5,0)+IF(EOMONTH(DATE(YEAR(Sales!$DF$1),MONTH(Sales!$DF$1),1)+INT((DAY(Sales!$DF$1)-1)/2)+Sales!DG$4,0)=EOMONTH($T$1,0),Sales!DG$3*Sales!DG$5,0)+IF(EOMONTH(DATE(YEAR(Sales!$DC$1),MONTH(Sales!$DC$1),1)+INT((DAY(Sales!$DC$1)-1)/2)+Sales!DD$4,0)=EOMONTH($T$1,0),Sales!DD$3*Sales!DD$5,0)+IF(EOMONTH(DATE(YEAR(Sales!$CZ$1),MONTH(Sales!$CZ$1),1)+INT((DAY(Sales!$CZ$1)-1)/2)+Sales!DA$4,0)=EOMONTH($T$1,0),Sales!DA$3*Sales!DA$5,0)+IF(EOMONTH(DATE(YEAR(Sales!$CW$1),MONTH(Sales!$CW$1),1)+INT((DAY(Sales!$CW$1)-1)/2)+Sales!CX$4,0)=EOMONTH($T$1,0),Sales!CX$3*Sales!CX$5,0)+IF(EOMONTH(DATE(YEAR(Sales!$CT$1),MONTH(Sales!$CT$1),1)+INT((DAY(Sales!$CT$1)-1)/2)+Sales!CU$4,0)=EOMONTH($T$1,0),Sales!CU$3*Sales!CU$5,0)+IF(EOMONTH(DATE(YEAR(Sales!$CQ$1),MONTH(Sales!$CQ$1),1)+INT((DAY(Sales!$CQ$1)-1)/2)+Sales!CR$4,0)=EOMONTH($T$1,0),Sales!CR$3*Sales!CR$5,0)+IF(EOMONTH(DATE(YEAR(Sales!$CN$1),MONTH(Sales!$CN$1),1)+INT((DAY(Sales!$CN$1)-1)/2)+Sales!CO$4,0)=EOMONTH($T$1,0),Sales!CO$3*Sales!CO$5,0)+IF(EOMONTH(DATE(YEAR(Sales!$CK$1),MONTH(Sales!$CK$1),1)+INT((DAY(Sales!$CK$1)-1)/2)+Sales!CL$4,0)=EOMONTH($T$1,0),Sales!CL$3*Sales!CL$5,0)+IF(EOMONTH(DATE(YEAR(Sales!$CH$1),MONTH(Sales!$CH$1),1)+INT((DAY(Sales!$CH$1)-1)/2)+Sales!CI$4,0)=EOMONTH($T$1,0),Sales!CI$3*Sales!CI$5,0)+IF(EOMONTH(DATE(YEAR(Sales!$CE$1),MONTH(Sales!$CE$1),1)+INT((DAY(Sales!$CE$1)-1)/2)+Sales!CF$4,0)=EOMONTH($T$1,0),Sales!CF$3*Sales!CF$5,0)+IF(EOMONTH(DATE(YEAR(Sales!$CB$1),MONTH(Sales!$CB$1),1)+INT((DAY(Sales!$CB$1)-1)/2)+Sales!CC$4,0)=EOMONTH($T$1,0),Sales!CC$3*Sales!CC$5,0)+IF(EOMONTH(DATE(YEAR(Sales!$BY$1),MONTH(Sales!$BY$1),1)+INT((DAY(Sales!$BY$1)-1)/2)+Sales!BZ$4,0)=EOMONTH($T$1,0),Sales!BZ$3*Sales!BZ$5,0)+IF(EOMONTH(DATE(YEAR(Sales!$BV$1),MONTH(Sales!$BV$1),1)+INT((DAY(Sales!$BV$1)-1)/2)+Sales!BW$4,0)=EOMONTH($T$1,0),Sales!BW$3*Sales!BW$5,0)+IF(EOMONTH(DATE(YEAR(Sales!$BS$1),MONTH(Sales!$BS$1),1)+INT((DAY(Sales!$BS$1)-1)/2)+Sales!BT$4,0)=EOMONTH($T$1,0),Sales!BT$3*Sales!BT$5,0)+IF(EOMONTH(DATE(YEAR(Sales!$BP$1),MONTH(Sales!$BP$1),1)+INT((DAY(Sales!$BP$1)-1)/2)+Sales!BQ$4,0)=EOMONTH($T$1,0),Sales!BQ$3*Sales!BQ$5,0)+IF(EOMONTH(DATE(YEAR(Sales!$BM$1),MONTH(Sales!$BM$1),1)+INT((DAY(Sales!$BM$1)-1)/2)+Sales!BN$4,0)=EOMONTH($T$1,0),Sales!BN$3*Sales!BN$5,0)+IF(EOMONTH(DATE(YEAR(Sales!$BJ$1),MONTH(Sales!$BJ$1),1)+INT((DAY(Sales!$BJ$1)-1)/2)+Sales!BK$4,0)=EOMONTH($T$1,0),Sales!BK$3*Sales!BK$5,0)+IF(EOMONTH(DATE(YEAR(Sales!$BG$1),MONTH(Sales!$BG$1),1)+INT((DAY(Sales!$BG$1)-1)/2)+Sales!BH$4,0)=EOMONTH($T$1,0),Sales!BH$3*Sales!BH$5,0)+IF(EOMONTH(DATE(YEAR(Sales!$BD$1),MONTH(Sales!$BD$1),1)+INT((DAY(Sales!$BD$1)-1)/2)+Sales!BE$4,0)=EOMONTH($T$1,0),Sales!BE$3*Sales!BE$5,0)+IF(EOMONTH(DATE(YEAR(Sales!$BA$1),MONTH(Sales!$BA$1),1)+INT((DAY(Sales!$BA$1)-1)/2)+Sales!BB$4,0)=EOMONTH($T$1,0),Sales!BB$3*Sales!BB$5,0)+IF(EOMONTH(DATE(YEAR(Sales!$AX$1),MONTH(Sales!$AX$1),1)+INT((DAY(Sales!$AX$1)-1)/2)+Sales!AY$4,0)=EOMONTH($T$1,0),Sales!AY$3*Sales!AY$5,0)+IF(EOMONTH(DATE(YEAR(Sales!$AU$1),MONTH(Sales!$AU$1),1)+INT((DAY(Sales!$AU$1)-1)/2)+Sales!AV$4,0)=EOMONTH($T$1,0),Sales!AV$3*Sales!AV$5,0)+IF(EOMONTH(DATE(YEAR(Sales!$AR$1),MONTH(Sales!$AR$1),1)+INT((DAY(Sales!$AR$1)-1)/2)+Sales!AS$4,0)=EOMONTH($T$1,0),Sales!AS$3*Sales!AS$5,0)+IF(EOMONTH(DATE(YEAR(Sales!$AO$1),MONTH(Sales!$AO$1),1)+INT((DAY(Sales!$AO$1)-1)/2)+Sales!AP$4,0)=EOMONTH($T$1,0),Sales!AP$3*Sales!AP$5,0)+IF(EOMONTH(DATE(YEAR(Sales!$AL$1),MONTH(Sales!$AL$1),1)+INT((DAY(Sales!$AL$1)-1)/2)+Sales!AM$4,0)=EOMONTH($T$1,0),Sales!AM$3*Sales!AM$5,0)+IF(EOMONTH(DATE(YEAR(Sales!$AI$1),MONTH(Sales!$AI$1),1)+INT((DAY(Sales!$AI$1)-1)/2)+Sales!AJ$4,0)=EOMONTH($T$1,0),Sales!AJ$3*Sales!AJ$5,0)+IF(EOMONTH(DATE(YEAR(Sales!$AF$1),MONTH(Sales!$AF$1),1)+INT((DAY(Sales!$AF$1)-1)/2)+Sales!AG$4,0)=EOMONTH($T$1,0),Sales!AG$3*Sales!AG$5,0)+IF(EOMONTH(DATE(YEAR(Sales!$AC$1),MONTH(Sales!$AC$1),1)+INT((DAY(Sales!$AC$1)-1)/2)+Sales!AD$4,0)=EOMONTH($T$1,0),Sales!AD$3*Sales!AD$5,0)+IF(EOMONTH(DATE(YEAR(Sales!$Z$1),MONTH(Sales!$Z$1),1)+INT((DAY(Sales!$Z$1)-1)/2)+Sales!AA$4,0)=EOMONTH($T$1,0),Sales!AA$3*Sales!AA$5,0)+IF(EOMONTH(DATE(YEAR(Sales!$W$1),MONTH(Sales!$W$1),1)+INT((DAY(Sales!$W$1)-1)/2)+Sales!X$4,0)=EOMONTH($T$1,0),Sales!X$3*Sales!X$5,0)+IF(EOMONTH(DATE(YEAR(Sales!$T$1),MONTH(Sales!$T$1),1)+INT((DAY(Sales!$T$1)-1)/2)+Sales!U$4,0)=EOMONTH($T$1,0),Sales!U$3*Sales!U$5,0)+IF(EOMONTH(DATE(YEAR(Sales!$Q$1),MONTH(Sales!$Q$1),1)+INT((DAY(Sales!$Q$1)-1)/2)+Sales!R$4,0)=EOMONTH($T$1,0),Sales!R$3*Sales!R$5,0)+IF(EOMONTH(DATE(YEAR(Sales!$N$1),MONTH(Sales!$N$1),1)+INT((DAY(Sales!$N$1)-1)/2)+Sales!O$4,0)=EOMONTH($T$1,0),Sales!O$3*Sales!O$5,0)+IF(EOMONTH(DATE(YEAR(Sales!$K$1),MONTH(Sales!$K$1),1)+INT((DAY(Sales!$K$1)-1)/2)+Sales!L$4,0)=EOMONTH($T$1,0),Sales!L$3*Sales!L$5,0)+IF(EOMONTH('Cash Drivers'!$DL$30+Sales!DM$4,0)=EOMONTH($T$1,0),'Cash Drivers'!$DL$31*Sales!DM$5,0),0))</f>
        <v>38</v>
      </c>
      <c r="V6" s="23" t="n">
        <f aca="false">ROUND(IF(EOMONTH(DATE(YEAR(Sales!$DL$1),MONTH(Sales!$DL$1),1)+INT((DAY(Sales!$DL$1)-1)/2)+Sales!DN$4,0)=EOMONTH($T$1,0),Sales!DN$3*Sales!DN$5,0)+IF(EOMONTH(DATE(YEAR(Sales!$DI$1),MONTH(Sales!$DI$1),1)+INT((DAY(Sales!$DI$1)-1)/2)+Sales!DK$4,0)=EOMONTH($T$1,0),Sales!DK$3*Sales!DK$5,0)+IF(EOMONTH(DATE(YEAR(Sales!$DF$1),MONTH(Sales!$DF$1),1)+INT((DAY(Sales!$DF$1)-1)/2)+Sales!DH$4,0)=EOMONTH($T$1,0),Sales!DH$3*Sales!DH$5,0)+IF(EOMONTH(DATE(YEAR(Sales!$DC$1),MONTH(Sales!$DC$1),1)+INT((DAY(Sales!$DC$1)-1)/2)+Sales!DE$4,0)=EOMONTH($T$1,0),Sales!DE$3*Sales!DE$5,0)+IF(EOMONTH(DATE(YEAR(Sales!$CZ$1),MONTH(Sales!$CZ$1),1)+INT((DAY(Sales!$CZ$1)-1)/2)+Sales!DB$4,0)=EOMONTH($T$1,0),Sales!DB$3*Sales!DB$5,0)+IF(EOMONTH(DATE(YEAR(Sales!$CW$1),MONTH(Sales!$CW$1),1)+INT((DAY(Sales!$CW$1)-1)/2)+Sales!CY$4,0)=EOMONTH($T$1,0),Sales!CY$3*Sales!CY$5,0)+IF(EOMONTH(DATE(YEAR(Sales!$CT$1),MONTH(Sales!$CT$1),1)+INT((DAY(Sales!$CT$1)-1)/2)+Sales!CV$4,0)=EOMONTH($T$1,0),Sales!CV$3*Sales!CV$5,0)+IF(EOMONTH(DATE(YEAR(Sales!$CQ$1),MONTH(Sales!$CQ$1),1)+INT((DAY(Sales!$CQ$1)-1)/2)+Sales!CS$4,0)=EOMONTH($T$1,0),Sales!CS$3*Sales!CS$5,0)+IF(EOMONTH(DATE(YEAR(Sales!$CN$1),MONTH(Sales!$CN$1),1)+INT((DAY(Sales!$CN$1)-1)/2)+Sales!CP$4,0)=EOMONTH($T$1,0),Sales!CP$3*Sales!CP$5,0)+IF(EOMONTH(DATE(YEAR(Sales!$CK$1),MONTH(Sales!$CK$1),1)+INT((DAY(Sales!$CK$1)-1)/2)+Sales!CM$4,0)=EOMONTH($T$1,0),Sales!CM$3*Sales!CM$5,0)+IF(EOMONTH(DATE(YEAR(Sales!$CH$1),MONTH(Sales!$CH$1),1)+INT((DAY(Sales!$CH$1)-1)/2)+Sales!CJ$4,0)=EOMONTH($T$1,0),Sales!CJ$3*Sales!CJ$5,0)+IF(EOMONTH(DATE(YEAR(Sales!$CE$1),MONTH(Sales!$CE$1),1)+INT((DAY(Sales!$CE$1)-1)/2)+Sales!CG$4,0)=EOMONTH($T$1,0),Sales!CG$3*Sales!CG$5,0)+IF(EOMONTH(DATE(YEAR(Sales!$CB$1),MONTH(Sales!$CB$1),1)+INT((DAY(Sales!$CB$1)-1)/2)+Sales!CD$4,0)=EOMONTH($T$1,0),Sales!CD$3*Sales!CD$5,0)+IF(EOMONTH(DATE(YEAR(Sales!$BY$1),MONTH(Sales!$BY$1),1)+INT((DAY(Sales!$BY$1)-1)/2)+Sales!CA$4,0)=EOMONTH($T$1,0),Sales!CA$3*Sales!CA$5,0)+IF(EOMONTH(DATE(YEAR(Sales!$BV$1),MONTH(Sales!$BV$1),1)+INT((DAY(Sales!$BV$1)-1)/2)+Sales!BX$4,0)=EOMONTH($T$1,0),Sales!BX$3*Sales!BX$5,0)+IF(EOMONTH(DATE(YEAR(Sales!$BS$1),MONTH(Sales!$BS$1),1)+INT((DAY(Sales!$BS$1)-1)/2)+Sales!BU$4,0)=EOMONTH($T$1,0),Sales!BU$3*Sales!BU$5,0)+IF(EOMONTH(DATE(YEAR(Sales!$BP$1),MONTH(Sales!$BP$1),1)+INT((DAY(Sales!$BP$1)-1)/2)+Sales!BR$4,0)=EOMONTH($T$1,0),Sales!BR$3*Sales!BR$5,0)+IF(EOMONTH(DATE(YEAR(Sales!$BM$1),MONTH(Sales!$BM$1),1)+INT((DAY(Sales!$BM$1)-1)/2)+Sales!BO$4,0)=EOMONTH($T$1,0),Sales!BO$3*Sales!BO$5,0)+IF(EOMONTH(DATE(YEAR(Sales!$BJ$1),MONTH(Sales!$BJ$1),1)+INT((DAY(Sales!$BJ$1)-1)/2)+Sales!BL$4,0)=EOMONTH($T$1,0),Sales!BL$3*Sales!BL$5,0)+IF(EOMONTH(DATE(YEAR(Sales!$BG$1),MONTH(Sales!$BG$1),1)+INT((DAY(Sales!$BG$1)-1)/2)+Sales!BI$4,0)=EOMONTH($T$1,0),Sales!BI$3*Sales!BI$5,0)+IF(EOMONTH(DATE(YEAR(Sales!$BD$1),MONTH(Sales!$BD$1),1)+INT((DAY(Sales!$BD$1)-1)/2)+Sales!BF$4,0)=EOMONTH($T$1,0),Sales!BF$3*Sales!BF$5,0)+IF(EOMONTH(DATE(YEAR(Sales!$BA$1),MONTH(Sales!$BA$1),1)+INT((DAY(Sales!$BA$1)-1)/2)+Sales!BC$4,0)=EOMONTH($T$1,0),Sales!BC$3*Sales!BC$5,0)+IF(EOMONTH(DATE(YEAR(Sales!$AX$1),MONTH(Sales!$AX$1),1)+INT((DAY(Sales!$AX$1)-1)/2)+Sales!AZ$4,0)=EOMONTH($T$1,0),Sales!AZ$3*Sales!AZ$5,0)+IF(EOMONTH(DATE(YEAR(Sales!$AU$1),MONTH(Sales!$AU$1),1)+INT((DAY(Sales!$AU$1)-1)/2)+Sales!AW$4,0)=EOMONTH($T$1,0),Sales!AW$3*Sales!AW$5,0)+IF(EOMONTH(DATE(YEAR(Sales!$AR$1),MONTH(Sales!$AR$1),1)+INT((DAY(Sales!$AR$1)-1)/2)+Sales!AT$4,0)=EOMONTH($T$1,0),Sales!AT$3*Sales!AT$5,0)+IF(EOMONTH(DATE(YEAR(Sales!$AO$1),MONTH(Sales!$AO$1),1)+INT((DAY(Sales!$AO$1)-1)/2)+Sales!AQ$4,0)=EOMONTH($T$1,0),Sales!AQ$3*Sales!AQ$5,0)+IF(EOMONTH(DATE(YEAR(Sales!$AL$1),MONTH(Sales!$AL$1),1)+INT((DAY(Sales!$AL$1)-1)/2)+Sales!AN$4,0)=EOMONTH($T$1,0),Sales!AN$3*Sales!AN$5,0)+IF(EOMONTH(DATE(YEAR(Sales!$AI$1),MONTH(Sales!$AI$1),1)+INT((DAY(Sales!$AI$1)-1)/2)+Sales!AK$4,0)=EOMONTH($T$1,0),Sales!AK$3*Sales!AK$5,0)+IF(EOMONTH(DATE(YEAR(Sales!$AF$1),MONTH(Sales!$AF$1),1)+INT((DAY(Sales!$AF$1)-1)/2)+Sales!AH$4,0)=EOMONTH($T$1,0),Sales!AH$3*Sales!AH$5,0)+IF(EOMONTH(DATE(YEAR(Sales!$AC$1),MONTH(Sales!$AC$1),1)+INT((DAY(Sales!$AC$1)-1)/2)+Sales!AE$4,0)=EOMONTH($T$1,0),Sales!AE$3*Sales!AE$5,0)+IF(EOMONTH(DATE(YEAR(Sales!$Z$1),MONTH(Sales!$Z$1),1)+INT((DAY(Sales!$Z$1)-1)/2)+Sales!AB$4,0)=EOMONTH($T$1,0),Sales!AB$3*Sales!AB$5,0)+IF(EOMONTH(DATE(YEAR(Sales!$W$1),MONTH(Sales!$W$1),1)+INT((DAY(Sales!$W$1)-1)/2)+Sales!Y$4,0)=EOMONTH($T$1,0),Sales!Y$3*Sales!Y$5,0)+IF(EOMONTH(DATE(YEAR(Sales!$T$1),MONTH(Sales!$T$1),1)+INT((DAY(Sales!$T$1)-1)/2)+Sales!V$4,0)=EOMONTH($T$1,0),Sales!V$3*Sales!V$5,0)+IF(EOMONTH(DATE(YEAR(Sales!$Q$1),MONTH(Sales!$Q$1),1)+INT((DAY(Sales!$Q$1)-1)/2)+Sales!S$4,0)=EOMONTH($T$1,0),Sales!S$3*Sales!S$5,0)+IF(EOMONTH(DATE(YEAR(Sales!$N$1),MONTH(Sales!$N$1),1)+INT((DAY(Sales!$N$1)-1)/2)+Sales!P$4,0)=EOMONTH($T$1,0),Sales!P$3*Sales!P$5,0)+IF(EOMONTH(DATE(YEAR(Sales!$K$1),MONTH(Sales!$K$1),1)+INT((DAY(Sales!$K$1)-1)/2)+Sales!M$4,0)=EOMONTH($T$1,0),Sales!M$3*Sales!M$5,0)+IF(EOMONTH('Cash Drivers'!$DL$30+Sales!DN$4,0)=EOMONTH($T$1,0),'Cash Drivers'!$DL$31*Sales!DN$5,0),0)</f>
        <v>38</v>
      </c>
      <c r="W6" s="2"/>
      <c r="X6" s="2" t="n">
        <f aca="false">IF('Cash Drivers'!X$26,W6,ROUND(IF(EOMONTH(DATE(YEAR(Sales!$DL$1),MONTH(Sales!$DL$1),1)+INT((DAY(Sales!$DL$1)-1)/2)+Sales!DM$4,0)=EOMONTH($W$1,0),Sales!DM$3*Sales!DM$5,0)+IF(EOMONTH(DATE(YEAR(Sales!$DI$1),MONTH(Sales!$DI$1),1)+INT((DAY(Sales!$DI$1)-1)/2)+Sales!DJ$4,0)=EOMONTH($W$1,0),Sales!DJ$3*Sales!DJ$5,0)+IF(EOMONTH(DATE(YEAR(Sales!$DF$1),MONTH(Sales!$DF$1),1)+INT((DAY(Sales!$DF$1)-1)/2)+Sales!DG$4,0)=EOMONTH($W$1,0),Sales!DG$3*Sales!DG$5,0)+IF(EOMONTH(DATE(YEAR(Sales!$DC$1),MONTH(Sales!$DC$1),1)+INT((DAY(Sales!$DC$1)-1)/2)+Sales!DD$4,0)=EOMONTH($W$1,0),Sales!DD$3*Sales!DD$5,0)+IF(EOMONTH(DATE(YEAR(Sales!$CZ$1),MONTH(Sales!$CZ$1),1)+INT((DAY(Sales!$CZ$1)-1)/2)+Sales!DA$4,0)=EOMONTH($W$1,0),Sales!DA$3*Sales!DA$5,0)+IF(EOMONTH(DATE(YEAR(Sales!$CW$1),MONTH(Sales!$CW$1),1)+INT((DAY(Sales!$CW$1)-1)/2)+Sales!CX$4,0)=EOMONTH($W$1,0),Sales!CX$3*Sales!CX$5,0)+IF(EOMONTH(DATE(YEAR(Sales!$CT$1),MONTH(Sales!$CT$1),1)+INT((DAY(Sales!$CT$1)-1)/2)+Sales!CU$4,0)=EOMONTH($W$1,0),Sales!CU$3*Sales!CU$5,0)+IF(EOMONTH(DATE(YEAR(Sales!$CQ$1),MONTH(Sales!$CQ$1),1)+INT((DAY(Sales!$CQ$1)-1)/2)+Sales!CR$4,0)=EOMONTH($W$1,0),Sales!CR$3*Sales!CR$5,0)+IF(EOMONTH(DATE(YEAR(Sales!$CN$1),MONTH(Sales!$CN$1),1)+INT((DAY(Sales!$CN$1)-1)/2)+Sales!CO$4,0)=EOMONTH($W$1,0),Sales!CO$3*Sales!CO$5,0)+IF(EOMONTH(DATE(YEAR(Sales!$CK$1),MONTH(Sales!$CK$1),1)+INT((DAY(Sales!$CK$1)-1)/2)+Sales!CL$4,0)=EOMONTH($W$1,0),Sales!CL$3*Sales!CL$5,0)+IF(EOMONTH(DATE(YEAR(Sales!$CH$1),MONTH(Sales!$CH$1),1)+INT((DAY(Sales!$CH$1)-1)/2)+Sales!CI$4,0)=EOMONTH($W$1,0),Sales!CI$3*Sales!CI$5,0)+IF(EOMONTH(DATE(YEAR(Sales!$CE$1),MONTH(Sales!$CE$1),1)+INT((DAY(Sales!$CE$1)-1)/2)+Sales!CF$4,0)=EOMONTH($W$1,0),Sales!CF$3*Sales!CF$5,0)+IF(EOMONTH(DATE(YEAR(Sales!$CB$1),MONTH(Sales!$CB$1),1)+INT((DAY(Sales!$CB$1)-1)/2)+Sales!CC$4,0)=EOMONTH($W$1,0),Sales!CC$3*Sales!CC$5,0)+IF(EOMONTH(DATE(YEAR(Sales!$BY$1),MONTH(Sales!$BY$1),1)+INT((DAY(Sales!$BY$1)-1)/2)+Sales!BZ$4,0)=EOMONTH($W$1,0),Sales!BZ$3*Sales!BZ$5,0)+IF(EOMONTH(DATE(YEAR(Sales!$BV$1),MONTH(Sales!$BV$1),1)+INT((DAY(Sales!$BV$1)-1)/2)+Sales!BW$4,0)=EOMONTH($W$1,0),Sales!BW$3*Sales!BW$5,0)+IF(EOMONTH(DATE(YEAR(Sales!$BS$1),MONTH(Sales!$BS$1),1)+INT((DAY(Sales!$BS$1)-1)/2)+Sales!BT$4,0)=EOMONTH($W$1,0),Sales!BT$3*Sales!BT$5,0)+IF(EOMONTH(DATE(YEAR(Sales!$BP$1),MONTH(Sales!$BP$1),1)+INT((DAY(Sales!$BP$1)-1)/2)+Sales!BQ$4,0)=EOMONTH($W$1,0),Sales!BQ$3*Sales!BQ$5,0)+IF(EOMONTH(DATE(YEAR(Sales!$BM$1),MONTH(Sales!$BM$1),1)+INT((DAY(Sales!$BM$1)-1)/2)+Sales!BN$4,0)=EOMONTH($W$1,0),Sales!BN$3*Sales!BN$5,0)+IF(EOMONTH(DATE(YEAR(Sales!$BJ$1),MONTH(Sales!$BJ$1),1)+INT((DAY(Sales!$BJ$1)-1)/2)+Sales!BK$4,0)=EOMONTH($W$1,0),Sales!BK$3*Sales!BK$5,0)+IF(EOMONTH(DATE(YEAR(Sales!$BG$1),MONTH(Sales!$BG$1),1)+INT((DAY(Sales!$BG$1)-1)/2)+Sales!BH$4,0)=EOMONTH($W$1,0),Sales!BH$3*Sales!BH$5,0)+IF(EOMONTH(DATE(YEAR(Sales!$BD$1),MONTH(Sales!$BD$1),1)+INT((DAY(Sales!$BD$1)-1)/2)+Sales!BE$4,0)=EOMONTH($W$1,0),Sales!BE$3*Sales!BE$5,0)+IF(EOMONTH(DATE(YEAR(Sales!$BA$1),MONTH(Sales!$BA$1),1)+INT((DAY(Sales!$BA$1)-1)/2)+Sales!BB$4,0)=EOMONTH($W$1,0),Sales!BB$3*Sales!BB$5,0)+IF(EOMONTH(DATE(YEAR(Sales!$AX$1),MONTH(Sales!$AX$1),1)+INT((DAY(Sales!$AX$1)-1)/2)+Sales!AY$4,0)=EOMONTH($W$1,0),Sales!AY$3*Sales!AY$5,0)+IF(EOMONTH(DATE(YEAR(Sales!$AU$1),MONTH(Sales!$AU$1),1)+INT((DAY(Sales!$AU$1)-1)/2)+Sales!AV$4,0)=EOMONTH($W$1,0),Sales!AV$3*Sales!AV$5,0)+IF(EOMONTH(DATE(YEAR(Sales!$AR$1),MONTH(Sales!$AR$1),1)+INT((DAY(Sales!$AR$1)-1)/2)+Sales!AS$4,0)=EOMONTH($W$1,0),Sales!AS$3*Sales!AS$5,0)+IF(EOMONTH(DATE(YEAR(Sales!$AO$1),MONTH(Sales!$AO$1),1)+INT((DAY(Sales!$AO$1)-1)/2)+Sales!AP$4,0)=EOMONTH($W$1,0),Sales!AP$3*Sales!AP$5,0)+IF(EOMONTH(DATE(YEAR(Sales!$AL$1),MONTH(Sales!$AL$1),1)+INT((DAY(Sales!$AL$1)-1)/2)+Sales!AM$4,0)=EOMONTH($W$1,0),Sales!AM$3*Sales!AM$5,0)+IF(EOMONTH(DATE(YEAR(Sales!$AI$1),MONTH(Sales!$AI$1),1)+INT((DAY(Sales!$AI$1)-1)/2)+Sales!AJ$4,0)=EOMONTH($W$1,0),Sales!AJ$3*Sales!AJ$5,0)+IF(EOMONTH(DATE(YEAR(Sales!$AF$1),MONTH(Sales!$AF$1),1)+INT((DAY(Sales!$AF$1)-1)/2)+Sales!AG$4,0)=EOMONTH($W$1,0),Sales!AG$3*Sales!AG$5,0)+IF(EOMONTH(DATE(YEAR(Sales!$AC$1),MONTH(Sales!$AC$1),1)+INT((DAY(Sales!$AC$1)-1)/2)+Sales!AD$4,0)=EOMONTH($W$1,0),Sales!AD$3*Sales!AD$5,0)+IF(EOMONTH(DATE(YEAR(Sales!$Z$1),MONTH(Sales!$Z$1),1)+INT((DAY(Sales!$Z$1)-1)/2)+Sales!AA$4,0)=EOMONTH($W$1,0),Sales!AA$3*Sales!AA$5,0)+IF(EOMONTH(DATE(YEAR(Sales!$W$1),MONTH(Sales!$W$1),1)+INT((DAY(Sales!$W$1)-1)/2)+Sales!X$4,0)=EOMONTH($W$1,0),Sales!X$3*Sales!X$5,0)+IF(EOMONTH(DATE(YEAR(Sales!$T$1),MONTH(Sales!$T$1),1)+INT((DAY(Sales!$T$1)-1)/2)+Sales!U$4,0)=EOMONTH($W$1,0),Sales!U$3*Sales!U$5,0)+IF(EOMONTH(DATE(YEAR(Sales!$Q$1),MONTH(Sales!$Q$1),1)+INT((DAY(Sales!$Q$1)-1)/2)+Sales!R$4,0)=EOMONTH($W$1,0),Sales!R$3*Sales!R$5,0)+IF(EOMONTH(DATE(YEAR(Sales!$N$1),MONTH(Sales!$N$1),1)+INT((DAY(Sales!$N$1)-1)/2)+Sales!O$4,0)=EOMONTH($W$1,0),Sales!O$3*Sales!O$5,0)+IF(EOMONTH(DATE(YEAR(Sales!$K$1),MONTH(Sales!$K$1),1)+INT((DAY(Sales!$K$1)-1)/2)+Sales!L$4,0)=EOMONTH($W$1,0),Sales!L$3*Sales!L$5,0)+IF(EOMONTH('Cash Drivers'!$DL$30+Sales!DM$4,0)=EOMONTH($W$1,0),'Cash Drivers'!$DL$31*Sales!DM$5,0),0))</f>
        <v>38</v>
      </c>
      <c r="Y6" s="2" t="n">
        <f aca="false">ROUND(IF(EOMONTH(DATE(YEAR(Sales!$DL$1),MONTH(Sales!$DL$1),1)+INT((DAY(Sales!$DL$1)-1)/2)+Sales!DN$4,0)=EOMONTH($W$1,0),Sales!DN$3*Sales!DN$5,0)+IF(EOMONTH(DATE(YEAR(Sales!$DI$1),MONTH(Sales!$DI$1),1)+INT((DAY(Sales!$DI$1)-1)/2)+Sales!DK$4,0)=EOMONTH($W$1,0),Sales!DK$3*Sales!DK$5,0)+IF(EOMONTH(DATE(YEAR(Sales!$DF$1),MONTH(Sales!$DF$1),1)+INT((DAY(Sales!$DF$1)-1)/2)+Sales!DH$4,0)=EOMONTH($W$1,0),Sales!DH$3*Sales!DH$5,0)+IF(EOMONTH(DATE(YEAR(Sales!$DC$1),MONTH(Sales!$DC$1),1)+INT((DAY(Sales!$DC$1)-1)/2)+Sales!DE$4,0)=EOMONTH($W$1,0),Sales!DE$3*Sales!DE$5,0)+IF(EOMONTH(DATE(YEAR(Sales!$CZ$1),MONTH(Sales!$CZ$1),1)+INT((DAY(Sales!$CZ$1)-1)/2)+Sales!DB$4,0)=EOMONTH($W$1,0),Sales!DB$3*Sales!DB$5,0)+IF(EOMONTH(DATE(YEAR(Sales!$CW$1),MONTH(Sales!$CW$1),1)+INT((DAY(Sales!$CW$1)-1)/2)+Sales!CY$4,0)=EOMONTH($W$1,0),Sales!CY$3*Sales!CY$5,0)+IF(EOMONTH(DATE(YEAR(Sales!$CT$1),MONTH(Sales!$CT$1),1)+INT((DAY(Sales!$CT$1)-1)/2)+Sales!CV$4,0)=EOMONTH($W$1,0),Sales!CV$3*Sales!CV$5,0)+IF(EOMONTH(DATE(YEAR(Sales!$CQ$1),MONTH(Sales!$CQ$1),1)+INT((DAY(Sales!$CQ$1)-1)/2)+Sales!CS$4,0)=EOMONTH($W$1,0),Sales!CS$3*Sales!CS$5,0)+IF(EOMONTH(DATE(YEAR(Sales!$CN$1),MONTH(Sales!$CN$1),1)+INT((DAY(Sales!$CN$1)-1)/2)+Sales!CP$4,0)=EOMONTH($W$1,0),Sales!CP$3*Sales!CP$5,0)+IF(EOMONTH(DATE(YEAR(Sales!$CK$1),MONTH(Sales!$CK$1),1)+INT((DAY(Sales!$CK$1)-1)/2)+Sales!CM$4,0)=EOMONTH($W$1,0),Sales!CM$3*Sales!CM$5,0)+IF(EOMONTH(DATE(YEAR(Sales!$CH$1),MONTH(Sales!$CH$1),1)+INT((DAY(Sales!$CH$1)-1)/2)+Sales!CJ$4,0)=EOMONTH($W$1,0),Sales!CJ$3*Sales!CJ$5,0)+IF(EOMONTH(DATE(YEAR(Sales!$CE$1),MONTH(Sales!$CE$1),1)+INT((DAY(Sales!$CE$1)-1)/2)+Sales!CG$4,0)=EOMONTH($W$1,0),Sales!CG$3*Sales!CG$5,0)+IF(EOMONTH(DATE(YEAR(Sales!$CB$1),MONTH(Sales!$CB$1),1)+INT((DAY(Sales!$CB$1)-1)/2)+Sales!CD$4,0)=EOMONTH($W$1,0),Sales!CD$3*Sales!CD$5,0)+IF(EOMONTH(DATE(YEAR(Sales!$BY$1),MONTH(Sales!$BY$1),1)+INT((DAY(Sales!$BY$1)-1)/2)+Sales!CA$4,0)=EOMONTH($W$1,0),Sales!CA$3*Sales!CA$5,0)+IF(EOMONTH(DATE(YEAR(Sales!$BV$1),MONTH(Sales!$BV$1),1)+INT((DAY(Sales!$BV$1)-1)/2)+Sales!BX$4,0)=EOMONTH($W$1,0),Sales!BX$3*Sales!BX$5,0)+IF(EOMONTH(DATE(YEAR(Sales!$BS$1),MONTH(Sales!$BS$1),1)+INT((DAY(Sales!$BS$1)-1)/2)+Sales!BU$4,0)=EOMONTH($W$1,0),Sales!BU$3*Sales!BU$5,0)+IF(EOMONTH(DATE(YEAR(Sales!$BP$1),MONTH(Sales!$BP$1),1)+INT((DAY(Sales!$BP$1)-1)/2)+Sales!BR$4,0)=EOMONTH($W$1,0),Sales!BR$3*Sales!BR$5,0)+IF(EOMONTH(DATE(YEAR(Sales!$BM$1),MONTH(Sales!$BM$1),1)+INT((DAY(Sales!$BM$1)-1)/2)+Sales!BO$4,0)=EOMONTH($W$1,0),Sales!BO$3*Sales!BO$5,0)+IF(EOMONTH(DATE(YEAR(Sales!$BJ$1),MONTH(Sales!$BJ$1),1)+INT((DAY(Sales!$BJ$1)-1)/2)+Sales!BL$4,0)=EOMONTH($W$1,0),Sales!BL$3*Sales!BL$5,0)+IF(EOMONTH(DATE(YEAR(Sales!$BG$1),MONTH(Sales!$BG$1),1)+INT((DAY(Sales!$BG$1)-1)/2)+Sales!BI$4,0)=EOMONTH($W$1,0),Sales!BI$3*Sales!BI$5,0)+IF(EOMONTH(DATE(YEAR(Sales!$BD$1),MONTH(Sales!$BD$1),1)+INT((DAY(Sales!$BD$1)-1)/2)+Sales!BF$4,0)=EOMONTH($W$1,0),Sales!BF$3*Sales!BF$5,0)+IF(EOMONTH(DATE(YEAR(Sales!$BA$1),MONTH(Sales!$BA$1),1)+INT((DAY(Sales!$BA$1)-1)/2)+Sales!BC$4,0)=EOMONTH($W$1,0),Sales!BC$3*Sales!BC$5,0)+IF(EOMONTH(DATE(YEAR(Sales!$AX$1),MONTH(Sales!$AX$1),1)+INT((DAY(Sales!$AX$1)-1)/2)+Sales!AZ$4,0)=EOMONTH($W$1,0),Sales!AZ$3*Sales!AZ$5,0)+IF(EOMONTH(DATE(YEAR(Sales!$AU$1),MONTH(Sales!$AU$1),1)+INT((DAY(Sales!$AU$1)-1)/2)+Sales!AW$4,0)=EOMONTH($W$1,0),Sales!AW$3*Sales!AW$5,0)+IF(EOMONTH(DATE(YEAR(Sales!$AR$1),MONTH(Sales!$AR$1),1)+INT((DAY(Sales!$AR$1)-1)/2)+Sales!AT$4,0)=EOMONTH($W$1,0),Sales!AT$3*Sales!AT$5,0)+IF(EOMONTH(DATE(YEAR(Sales!$AO$1),MONTH(Sales!$AO$1),1)+INT((DAY(Sales!$AO$1)-1)/2)+Sales!AQ$4,0)=EOMONTH($W$1,0),Sales!AQ$3*Sales!AQ$5,0)+IF(EOMONTH(DATE(YEAR(Sales!$AL$1),MONTH(Sales!$AL$1),1)+INT((DAY(Sales!$AL$1)-1)/2)+Sales!AN$4,0)=EOMONTH($W$1,0),Sales!AN$3*Sales!AN$5,0)+IF(EOMONTH(DATE(YEAR(Sales!$AI$1),MONTH(Sales!$AI$1),1)+INT((DAY(Sales!$AI$1)-1)/2)+Sales!AK$4,0)=EOMONTH($W$1,0),Sales!AK$3*Sales!AK$5,0)+IF(EOMONTH(DATE(YEAR(Sales!$AF$1),MONTH(Sales!$AF$1),1)+INT((DAY(Sales!$AF$1)-1)/2)+Sales!AH$4,0)=EOMONTH($W$1,0),Sales!AH$3*Sales!AH$5,0)+IF(EOMONTH(DATE(YEAR(Sales!$AC$1),MONTH(Sales!$AC$1),1)+INT((DAY(Sales!$AC$1)-1)/2)+Sales!AE$4,0)=EOMONTH($W$1,0),Sales!AE$3*Sales!AE$5,0)+IF(EOMONTH(DATE(YEAR(Sales!$Z$1),MONTH(Sales!$Z$1),1)+INT((DAY(Sales!$Z$1)-1)/2)+Sales!AB$4,0)=EOMONTH($W$1,0),Sales!AB$3*Sales!AB$5,0)+IF(EOMONTH(DATE(YEAR(Sales!$W$1),MONTH(Sales!$W$1),1)+INT((DAY(Sales!$W$1)-1)/2)+Sales!Y$4,0)=EOMONTH($W$1,0),Sales!Y$3*Sales!Y$5,0)+IF(EOMONTH(DATE(YEAR(Sales!$T$1),MONTH(Sales!$T$1),1)+INT((DAY(Sales!$T$1)-1)/2)+Sales!V$4,0)=EOMONTH($W$1,0),Sales!V$3*Sales!V$5,0)+IF(EOMONTH(DATE(YEAR(Sales!$Q$1),MONTH(Sales!$Q$1),1)+INT((DAY(Sales!$Q$1)-1)/2)+Sales!S$4,0)=EOMONTH($W$1,0),Sales!S$3*Sales!S$5,0)+IF(EOMONTH(DATE(YEAR(Sales!$N$1),MONTH(Sales!$N$1),1)+INT((DAY(Sales!$N$1)-1)/2)+Sales!P$4,0)=EOMONTH($W$1,0),Sales!P$3*Sales!P$5,0)+IF(EOMONTH(DATE(YEAR(Sales!$K$1),MONTH(Sales!$K$1),1)+INT((DAY(Sales!$K$1)-1)/2)+Sales!M$4,0)=EOMONTH($W$1,0),Sales!M$3*Sales!M$5,0)+IF(EOMONTH('Cash Drivers'!$DL$30+Sales!DN$4,0)=EOMONTH($W$1,0),'Cash Drivers'!$DL$31*Sales!DN$5,0),0)</f>
        <v>38</v>
      </c>
      <c r="Z6" s="23"/>
      <c r="AA6" s="23" t="n">
        <f aca="false">IF('Cash Drivers'!AA$26,Z6,ROUND(IF(EOMONTH(DATE(YEAR(Sales!$DL$1),MONTH(Sales!$DL$1),1)+INT((DAY(Sales!$DL$1)-1)/2)+Sales!DM$4,0)=EOMONTH($Z$1,0),Sales!DM$3*Sales!DM$5,0)+IF(EOMONTH(DATE(YEAR(Sales!$DI$1),MONTH(Sales!$DI$1),1)+INT((DAY(Sales!$DI$1)-1)/2)+Sales!DJ$4,0)=EOMONTH($Z$1,0),Sales!DJ$3*Sales!DJ$5,0)+IF(EOMONTH(DATE(YEAR(Sales!$DF$1),MONTH(Sales!$DF$1),1)+INT((DAY(Sales!$DF$1)-1)/2)+Sales!DG$4,0)=EOMONTH($Z$1,0),Sales!DG$3*Sales!DG$5,0)+IF(EOMONTH(DATE(YEAR(Sales!$DC$1),MONTH(Sales!$DC$1),1)+INT((DAY(Sales!$DC$1)-1)/2)+Sales!DD$4,0)=EOMONTH($Z$1,0),Sales!DD$3*Sales!DD$5,0)+IF(EOMONTH(DATE(YEAR(Sales!$CZ$1),MONTH(Sales!$CZ$1),1)+INT((DAY(Sales!$CZ$1)-1)/2)+Sales!DA$4,0)=EOMONTH($Z$1,0),Sales!DA$3*Sales!DA$5,0)+IF(EOMONTH(DATE(YEAR(Sales!$CW$1),MONTH(Sales!$CW$1),1)+INT((DAY(Sales!$CW$1)-1)/2)+Sales!CX$4,0)=EOMONTH($Z$1,0),Sales!CX$3*Sales!CX$5,0)+IF(EOMONTH(DATE(YEAR(Sales!$CT$1),MONTH(Sales!$CT$1),1)+INT((DAY(Sales!$CT$1)-1)/2)+Sales!CU$4,0)=EOMONTH($Z$1,0),Sales!CU$3*Sales!CU$5,0)+IF(EOMONTH(DATE(YEAR(Sales!$CQ$1),MONTH(Sales!$CQ$1),1)+INT((DAY(Sales!$CQ$1)-1)/2)+Sales!CR$4,0)=EOMONTH($Z$1,0),Sales!CR$3*Sales!CR$5,0)+IF(EOMONTH(DATE(YEAR(Sales!$CN$1),MONTH(Sales!$CN$1),1)+INT((DAY(Sales!$CN$1)-1)/2)+Sales!CO$4,0)=EOMONTH($Z$1,0),Sales!CO$3*Sales!CO$5,0)+IF(EOMONTH(DATE(YEAR(Sales!$CK$1),MONTH(Sales!$CK$1),1)+INT((DAY(Sales!$CK$1)-1)/2)+Sales!CL$4,0)=EOMONTH($Z$1,0),Sales!CL$3*Sales!CL$5,0)+IF(EOMONTH(DATE(YEAR(Sales!$CH$1),MONTH(Sales!$CH$1),1)+INT((DAY(Sales!$CH$1)-1)/2)+Sales!CI$4,0)=EOMONTH($Z$1,0),Sales!CI$3*Sales!CI$5,0)+IF(EOMONTH(DATE(YEAR(Sales!$CE$1),MONTH(Sales!$CE$1),1)+INT((DAY(Sales!$CE$1)-1)/2)+Sales!CF$4,0)=EOMONTH($Z$1,0),Sales!CF$3*Sales!CF$5,0)+IF(EOMONTH(DATE(YEAR(Sales!$CB$1),MONTH(Sales!$CB$1),1)+INT((DAY(Sales!$CB$1)-1)/2)+Sales!CC$4,0)=EOMONTH($Z$1,0),Sales!CC$3*Sales!CC$5,0)+IF(EOMONTH(DATE(YEAR(Sales!$BY$1),MONTH(Sales!$BY$1),1)+INT((DAY(Sales!$BY$1)-1)/2)+Sales!BZ$4,0)=EOMONTH($Z$1,0),Sales!BZ$3*Sales!BZ$5,0)+IF(EOMONTH(DATE(YEAR(Sales!$BV$1),MONTH(Sales!$BV$1),1)+INT((DAY(Sales!$BV$1)-1)/2)+Sales!BW$4,0)=EOMONTH($Z$1,0),Sales!BW$3*Sales!BW$5,0)+IF(EOMONTH(DATE(YEAR(Sales!$BS$1),MONTH(Sales!$BS$1),1)+INT((DAY(Sales!$BS$1)-1)/2)+Sales!BT$4,0)=EOMONTH($Z$1,0),Sales!BT$3*Sales!BT$5,0)+IF(EOMONTH(DATE(YEAR(Sales!$BP$1),MONTH(Sales!$BP$1),1)+INT((DAY(Sales!$BP$1)-1)/2)+Sales!BQ$4,0)=EOMONTH($Z$1,0),Sales!BQ$3*Sales!BQ$5,0)+IF(EOMONTH(DATE(YEAR(Sales!$BM$1),MONTH(Sales!$BM$1),1)+INT((DAY(Sales!$BM$1)-1)/2)+Sales!BN$4,0)=EOMONTH($Z$1,0),Sales!BN$3*Sales!BN$5,0)+IF(EOMONTH(DATE(YEAR(Sales!$BJ$1),MONTH(Sales!$BJ$1),1)+INT((DAY(Sales!$BJ$1)-1)/2)+Sales!BK$4,0)=EOMONTH($Z$1,0),Sales!BK$3*Sales!BK$5,0)+IF(EOMONTH(DATE(YEAR(Sales!$BG$1),MONTH(Sales!$BG$1),1)+INT((DAY(Sales!$BG$1)-1)/2)+Sales!BH$4,0)=EOMONTH($Z$1,0),Sales!BH$3*Sales!BH$5,0)+IF(EOMONTH(DATE(YEAR(Sales!$BD$1),MONTH(Sales!$BD$1),1)+INT((DAY(Sales!$BD$1)-1)/2)+Sales!BE$4,0)=EOMONTH($Z$1,0),Sales!BE$3*Sales!BE$5,0)+IF(EOMONTH(DATE(YEAR(Sales!$BA$1),MONTH(Sales!$BA$1),1)+INT((DAY(Sales!$BA$1)-1)/2)+Sales!BB$4,0)=EOMONTH($Z$1,0),Sales!BB$3*Sales!BB$5,0)+IF(EOMONTH(DATE(YEAR(Sales!$AX$1),MONTH(Sales!$AX$1),1)+INT((DAY(Sales!$AX$1)-1)/2)+Sales!AY$4,0)=EOMONTH($Z$1,0),Sales!AY$3*Sales!AY$5,0)+IF(EOMONTH(DATE(YEAR(Sales!$AU$1),MONTH(Sales!$AU$1),1)+INT((DAY(Sales!$AU$1)-1)/2)+Sales!AV$4,0)=EOMONTH($Z$1,0),Sales!AV$3*Sales!AV$5,0)+IF(EOMONTH(DATE(YEAR(Sales!$AR$1),MONTH(Sales!$AR$1),1)+INT((DAY(Sales!$AR$1)-1)/2)+Sales!AS$4,0)=EOMONTH($Z$1,0),Sales!AS$3*Sales!AS$5,0)+IF(EOMONTH(DATE(YEAR(Sales!$AO$1),MONTH(Sales!$AO$1),1)+INT((DAY(Sales!$AO$1)-1)/2)+Sales!AP$4,0)=EOMONTH($Z$1,0),Sales!AP$3*Sales!AP$5,0)+IF(EOMONTH(DATE(YEAR(Sales!$AL$1),MONTH(Sales!$AL$1),1)+INT((DAY(Sales!$AL$1)-1)/2)+Sales!AM$4,0)=EOMONTH($Z$1,0),Sales!AM$3*Sales!AM$5,0)+IF(EOMONTH(DATE(YEAR(Sales!$AI$1),MONTH(Sales!$AI$1),1)+INT((DAY(Sales!$AI$1)-1)/2)+Sales!AJ$4,0)=EOMONTH($Z$1,0),Sales!AJ$3*Sales!AJ$5,0)+IF(EOMONTH(DATE(YEAR(Sales!$AF$1),MONTH(Sales!$AF$1),1)+INT((DAY(Sales!$AF$1)-1)/2)+Sales!AG$4,0)=EOMONTH($Z$1,0),Sales!AG$3*Sales!AG$5,0)+IF(EOMONTH(DATE(YEAR(Sales!$AC$1),MONTH(Sales!$AC$1),1)+INT((DAY(Sales!$AC$1)-1)/2)+Sales!AD$4,0)=EOMONTH($Z$1,0),Sales!AD$3*Sales!AD$5,0)+IF(EOMONTH(DATE(YEAR(Sales!$Z$1),MONTH(Sales!$Z$1),1)+INT((DAY(Sales!$Z$1)-1)/2)+Sales!AA$4,0)=EOMONTH($Z$1,0),Sales!AA$3*Sales!AA$5,0)+IF(EOMONTH(DATE(YEAR(Sales!$W$1),MONTH(Sales!$W$1),1)+INT((DAY(Sales!$W$1)-1)/2)+Sales!X$4,0)=EOMONTH($Z$1,0),Sales!X$3*Sales!X$5,0)+IF(EOMONTH(DATE(YEAR(Sales!$T$1),MONTH(Sales!$T$1),1)+INT((DAY(Sales!$T$1)-1)/2)+Sales!U$4,0)=EOMONTH($Z$1,0),Sales!U$3*Sales!U$5,0)+IF(EOMONTH(DATE(YEAR(Sales!$Q$1),MONTH(Sales!$Q$1),1)+INT((DAY(Sales!$Q$1)-1)/2)+Sales!R$4,0)=EOMONTH($Z$1,0),Sales!R$3*Sales!R$5,0)+IF(EOMONTH(DATE(YEAR(Sales!$N$1),MONTH(Sales!$N$1),1)+INT((DAY(Sales!$N$1)-1)/2)+Sales!O$4,0)=EOMONTH($Z$1,0),Sales!O$3*Sales!O$5,0)+IF(EOMONTH(DATE(YEAR(Sales!$K$1),MONTH(Sales!$K$1),1)+INT((DAY(Sales!$K$1)-1)/2)+Sales!L$4,0)=EOMONTH($Z$1,0),Sales!L$3*Sales!L$5,0)+IF(EOMONTH('Cash Drivers'!$DL$30+Sales!DM$4,0)=EOMONTH($Z$1,0),'Cash Drivers'!$DL$31*Sales!DM$5,0),0))</f>
        <v>38</v>
      </c>
      <c r="AB6" s="23" t="n">
        <f aca="false">ROUND(IF(EOMONTH(DATE(YEAR(Sales!$DL$1),MONTH(Sales!$DL$1),1)+INT((DAY(Sales!$DL$1)-1)/2)+Sales!DN$4,0)=EOMONTH($Z$1,0),Sales!DN$3*Sales!DN$5,0)+IF(EOMONTH(DATE(YEAR(Sales!$DI$1),MONTH(Sales!$DI$1),1)+INT((DAY(Sales!$DI$1)-1)/2)+Sales!DK$4,0)=EOMONTH($Z$1,0),Sales!DK$3*Sales!DK$5,0)+IF(EOMONTH(DATE(YEAR(Sales!$DF$1),MONTH(Sales!$DF$1),1)+INT((DAY(Sales!$DF$1)-1)/2)+Sales!DH$4,0)=EOMONTH($Z$1,0),Sales!DH$3*Sales!DH$5,0)+IF(EOMONTH(DATE(YEAR(Sales!$DC$1),MONTH(Sales!$DC$1),1)+INT((DAY(Sales!$DC$1)-1)/2)+Sales!DE$4,0)=EOMONTH($Z$1,0),Sales!DE$3*Sales!DE$5,0)+IF(EOMONTH(DATE(YEAR(Sales!$CZ$1),MONTH(Sales!$CZ$1),1)+INT((DAY(Sales!$CZ$1)-1)/2)+Sales!DB$4,0)=EOMONTH($Z$1,0),Sales!DB$3*Sales!DB$5,0)+IF(EOMONTH(DATE(YEAR(Sales!$CW$1),MONTH(Sales!$CW$1),1)+INT((DAY(Sales!$CW$1)-1)/2)+Sales!CY$4,0)=EOMONTH($Z$1,0),Sales!CY$3*Sales!CY$5,0)+IF(EOMONTH(DATE(YEAR(Sales!$CT$1),MONTH(Sales!$CT$1),1)+INT((DAY(Sales!$CT$1)-1)/2)+Sales!CV$4,0)=EOMONTH($Z$1,0),Sales!CV$3*Sales!CV$5,0)+IF(EOMONTH(DATE(YEAR(Sales!$CQ$1),MONTH(Sales!$CQ$1),1)+INT((DAY(Sales!$CQ$1)-1)/2)+Sales!CS$4,0)=EOMONTH($Z$1,0),Sales!CS$3*Sales!CS$5,0)+IF(EOMONTH(DATE(YEAR(Sales!$CN$1),MONTH(Sales!$CN$1),1)+INT((DAY(Sales!$CN$1)-1)/2)+Sales!CP$4,0)=EOMONTH($Z$1,0),Sales!CP$3*Sales!CP$5,0)+IF(EOMONTH(DATE(YEAR(Sales!$CK$1),MONTH(Sales!$CK$1),1)+INT((DAY(Sales!$CK$1)-1)/2)+Sales!CM$4,0)=EOMONTH($Z$1,0),Sales!CM$3*Sales!CM$5,0)+IF(EOMONTH(DATE(YEAR(Sales!$CH$1),MONTH(Sales!$CH$1),1)+INT((DAY(Sales!$CH$1)-1)/2)+Sales!CJ$4,0)=EOMONTH($Z$1,0),Sales!CJ$3*Sales!CJ$5,0)+IF(EOMONTH(DATE(YEAR(Sales!$CE$1),MONTH(Sales!$CE$1),1)+INT((DAY(Sales!$CE$1)-1)/2)+Sales!CG$4,0)=EOMONTH($Z$1,0),Sales!CG$3*Sales!CG$5,0)+IF(EOMONTH(DATE(YEAR(Sales!$CB$1),MONTH(Sales!$CB$1),1)+INT((DAY(Sales!$CB$1)-1)/2)+Sales!CD$4,0)=EOMONTH($Z$1,0),Sales!CD$3*Sales!CD$5,0)+IF(EOMONTH(DATE(YEAR(Sales!$BY$1),MONTH(Sales!$BY$1),1)+INT((DAY(Sales!$BY$1)-1)/2)+Sales!CA$4,0)=EOMONTH($Z$1,0),Sales!CA$3*Sales!CA$5,0)+IF(EOMONTH(DATE(YEAR(Sales!$BV$1),MONTH(Sales!$BV$1),1)+INT((DAY(Sales!$BV$1)-1)/2)+Sales!BX$4,0)=EOMONTH($Z$1,0),Sales!BX$3*Sales!BX$5,0)+IF(EOMONTH(DATE(YEAR(Sales!$BS$1),MONTH(Sales!$BS$1),1)+INT((DAY(Sales!$BS$1)-1)/2)+Sales!BU$4,0)=EOMONTH($Z$1,0),Sales!BU$3*Sales!BU$5,0)+IF(EOMONTH(DATE(YEAR(Sales!$BP$1),MONTH(Sales!$BP$1),1)+INT((DAY(Sales!$BP$1)-1)/2)+Sales!BR$4,0)=EOMONTH($Z$1,0),Sales!BR$3*Sales!BR$5,0)+IF(EOMONTH(DATE(YEAR(Sales!$BM$1),MONTH(Sales!$BM$1),1)+INT((DAY(Sales!$BM$1)-1)/2)+Sales!BO$4,0)=EOMONTH($Z$1,0),Sales!BO$3*Sales!BO$5,0)+IF(EOMONTH(DATE(YEAR(Sales!$BJ$1),MONTH(Sales!$BJ$1),1)+INT((DAY(Sales!$BJ$1)-1)/2)+Sales!BL$4,0)=EOMONTH($Z$1,0),Sales!BL$3*Sales!BL$5,0)+IF(EOMONTH(DATE(YEAR(Sales!$BG$1),MONTH(Sales!$BG$1),1)+INT((DAY(Sales!$BG$1)-1)/2)+Sales!BI$4,0)=EOMONTH($Z$1,0),Sales!BI$3*Sales!BI$5,0)+IF(EOMONTH(DATE(YEAR(Sales!$BD$1),MONTH(Sales!$BD$1),1)+INT((DAY(Sales!$BD$1)-1)/2)+Sales!BF$4,0)=EOMONTH($Z$1,0),Sales!BF$3*Sales!BF$5,0)+IF(EOMONTH(DATE(YEAR(Sales!$BA$1),MONTH(Sales!$BA$1),1)+INT((DAY(Sales!$BA$1)-1)/2)+Sales!BC$4,0)=EOMONTH($Z$1,0),Sales!BC$3*Sales!BC$5,0)+IF(EOMONTH(DATE(YEAR(Sales!$AX$1),MONTH(Sales!$AX$1),1)+INT((DAY(Sales!$AX$1)-1)/2)+Sales!AZ$4,0)=EOMONTH($Z$1,0),Sales!AZ$3*Sales!AZ$5,0)+IF(EOMONTH(DATE(YEAR(Sales!$AU$1),MONTH(Sales!$AU$1),1)+INT((DAY(Sales!$AU$1)-1)/2)+Sales!AW$4,0)=EOMONTH($Z$1,0),Sales!AW$3*Sales!AW$5,0)+IF(EOMONTH(DATE(YEAR(Sales!$AR$1),MONTH(Sales!$AR$1),1)+INT((DAY(Sales!$AR$1)-1)/2)+Sales!AT$4,0)=EOMONTH($Z$1,0),Sales!AT$3*Sales!AT$5,0)+IF(EOMONTH(DATE(YEAR(Sales!$AO$1),MONTH(Sales!$AO$1),1)+INT((DAY(Sales!$AO$1)-1)/2)+Sales!AQ$4,0)=EOMONTH($Z$1,0),Sales!AQ$3*Sales!AQ$5,0)+IF(EOMONTH(DATE(YEAR(Sales!$AL$1),MONTH(Sales!$AL$1),1)+INT((DAY(Sales!$AL$1)-1)/2)+Sales!AN$4,0)=EOMONTH($Z$1,0),Sales!AN$3*Sales!AN$5,0)+IF(EOMONTH(DATE(YEAR(Sales!$AI$1),MONTH(Sales!$AI$1),1)+INT((DAY(Sales!$AI$1)-1)/2)+Sales!AK$4,0)=EOMONTH($Z$1,0),Sales!AK$3*Sales!AK$5,0)+IF(EOMONTH(DATE(YEAR(Sales!$AF$1),MONTH(Sales!$AF$1),1)+INT((DAY(Sales!$AF$1)-1)/2)+Sales!AH$4,0)=EOMONTH($Z$1,0),Sales!AH$3*Sales!AH$5,0)+IF(EOMONTH(DATE(YEAR(Sales!$AC$1),MONTH(Sales!$AC$1),1)+INT((DAY(Sales!$AC$1)-1)/2)+Sales!AE$4,0)=EOMONTH($Z$1,0),Sales!AE$3*Sales!AE$5,0)+IF(EOMONTH(DATE(YEAR(Sales!$Z$1),MONTH(Sales!$Z$1),1)+INT((DAY(Sales!$Z$1)-1)/2)+Sales!AB$4,0)=EOMONTH($Z$1,0),Sales!AB$3*Sales!AB$5,0)+IF(EOMONTH(DATE(YEAR(Sales!$W$1),MONTH(Sales!$W$1),1)+INT((DAY(Sales!$W$1)-1)/2)+Sales!Y$4,0)=EOMONTH($Z$1,0),Sales!Y$3*Sales!Y$5,0)+IF(EOMONTH(DATE(YEAR(Sales!$T$1),MONTH(Sales!$T$1),1)+INT((DAY(Sales!$T$1)-1)/2)+Sales!V$4,0)=EOMONTH($Z$1,0),Sales!V$3*Sales!V$5,0)+IF(EOMONTH(DATE(YEAR(Sales!$Q$1),MONTH(Sales!$Q$1),1)+INT((DAY(Sales!$Q$1)-1)/2)+Sales!S$4,0)=EOMONTH($Z$1,0),Sales!S$3*Sales!S$5,0)+IF(EOMONTH(DATE(YEAR(Sales!$N$1),MONTH(Sales!$N$1),1)+INT((DAY(Sales!$N$1)-1)/2)+Sales!P$4,0)=EOMONTH($Z$1,0),Sales!P$3*Sales!P$5,0)+IF(EOMONTH(DATE(YEAR(Sales!$K$1),MONTH(Sales!$K$1),1)+INT((DAY(Sales!$K$1)-1)/2)+Sales!M$4,0)=EOMONTH($Z$1,0),Sales!M$3*Sales!M$5,0)+IF(EOMONTH('Cash Drivers'!$DL$30+Sales!DN$4,0)=EOMONTH($Z$1,0),'Cash Drivers'!$DL$31*Sales!DN$5,0),0)</f>
        <v>38</v>
      </c>
      <c r="AC6" s="2"/>
      <c r="AD6" s="2" t="n">
        <f aca="false">IF('Cash Drivers'!AD$26,AC6,ROUND(IF(EOMONTH(DATE(YEAR(Sales!$DL$1),MONTH(Sales!$DL$1),1)+INT((DAY(Sales!$DL$1)-1)/2)+Sales!DM$4,0)=EOMONTH($AC$1,0),Sales!DM$3*Sales!DM$5,0)+IF(EOMONTH(DATE(YEAR(Sales!$DI$1),MONTH(Sales!$DI$1),1)+INT((DAY(Sales!$DI$1)-1)/2)+Sales!DJ$4,0)=EOMONTH($AC$1,0),Sales!DJ$3*Sales!DJ$5,0)+IF(EOMONTH(DATE(YEAR(Sales!$DF$1),MONTH(Sales!$DF$1),1)+INT((DAY(Sales!$DF$1)-1)/2)+Sales!DG$4,0)=EOMONTH($AC$1,0),Sales!DG$3*Sales!DG$5,0)+IF(EOMONTH(DATE(YEAR(Sales!$DC$1),MONTH(Sales!$DC$1),1)+INT((DAY(Sales!$DC$1)-1)/2)+Sales!DD$4,0)=EOMONTH($AC$1,0),Sales!DD$3*Sales!DD$5,0)+IF(EOMONTH(DATE(YEAR(Sales!$CZ$1),MONTH(Sales!$CZ$1),1)+INT((DAY(Sales!$CZ$1)-1)/2)+Sales!DA$4,0)=EOMONTH($AC$1,0),Sales!DA$3*Sales!DA$5,0)+IF(EOMONTH(DATE(YEAR(Sales!$CW$1),MONTH(Sales!$CW$1),1)+INT((DAY(Sales!$CW$1)-1)/2)+Sales!CX$4,0)=EOMONTH($AC$1,0),Sales!CX$3*Sales!CX$5,0)+IF(EOMONTH(DATE(YEAR(Sales!$CT$1),MONTH(Sales!$CT$1),1)+INT((DAY(Sales!$CT$1)-1)/2)+Sales!CU$4,0)=EOMONTH($AC$1,0),Sales!CU$3*Sales!CU$5,0)+IF(EOMONTH(DATE(YEAR(Sales!$CQ$1),MONTH(Sales!$CQ$1),1)+INT((DAY(Sales!$CQ$1)-1)/2)+Sales!CR$4,0)=EOMONTH($AC$1,0),Sales!CR$3*Sales!CR$5,0)+IF(EOMONTH(DATE(YEAR(Sales!$CN$1),MONTH(Sales!$CN$1),1)+INT((DAY(Sales!$CN$1)-1)/2)+Sales!CO$4,0)=EOMONTH($AC$1,0),Sales!CO$3*Sales!CO$5,0)+IF(EOMONTH(DATE(YEAR(Sales!$CK$1),MONTH(Sales!$CK$1),1)+INT((DAY(Sales!$CK$1)-1)/2)+Sales!CL$4,0)=EOMONTH($AC$1,0),Sales!CL$3*Sales!CL$5,0)+IF(EOMONTH(DATE(YEAR(Sales!$CH$1),MONTH(Sales!$CH$1),1)+INT((DAY(Sales!$CH$1)-1)/2)+Sales!CI$4,0)=EOMONTH($AC$1,0),Sales!CI$3*Sales!CI$5,0)+IF(EOMONTH(DATE(YEAR(Sales!$CE$1),MONTH(Sales!$CE$1),1)+INT((DAY(Sales!$CE$1)-1)/2)+Sales!CF$4,0)=EOMONTH($AC$1,0),Sales!CF$3*Sales!CF$5,0)+IF(EOMONTH(DATE(YEAR(Sales!$CB$1),MONTH(Sales!$CB$1),1)+INT((DAY(Sales!$CB$1)-1)/2)+Sales!CC$4,0)=EOMONTH($AC$1,0),Sales!CC$3*Sales!CC$5,0)+IF(EOMONTH(DATE(YEAR(Sales!$BY$1),MONTH(Sales!$BY$1),1)+INT((DAY(Sales!$BY$1)-1)/2)+Sales!BZ$4,0)=EOMONTH($AC$1,0),Sales!BZ$3*Sales!BZ$5,0)+IF(EOMONTH(DATE(YEAR(Sales!$BV$1),MONTH(Sales!$BV$1),1)+INT((DAY(Sales!$BV$1)-1)/2)+Sales!BW$4,0)=EOMONTH($AC$1,0),Sales!BW$3*Sales!BW$5,0)+IF(EOMONTH(DATE(YEAR(Sales!$BS$1),MONTH(Sales!$BS$1),1)+INT((DAY(Sales!$BS$1)-1)/2)+Sales!BT$4,0)=EOMONTH($AC$1,0),Sales!BT$3*Sales!BT$5,0)+IF(EOMONTH(DATE(YEAR(Sales!$BP$1),MONTH(Sales!$BP$1),1)+INT((DAY(Sales!$BP$1)-1)/2)+Sales!BQ$4,0)=EOMONTH($AC$1,0),Sales!BQ$3*Sales!BQ$5,0)+IF(EOMONTH(DATE(YEAR(Sales!$BM$1),MONTH(Sales!$BM$1),1)+INT((DAY(Sales!$BM$1)-1)/2)+Sales!BN$4,0)=EOMONTH($AC$1,0),Sales!BN$3*Sales!BN$5,0)+IF(EOMONTH(DATE(YEAR(Sales!$BJ$1),MONTH(Sales!$BJ$1),1)+INT((DAY(Sales!$BJ$1)-1)/2)+Sales!BK$4,0)=EOMONTH($AC$1,0),Sales!BK$3*Sales!BK$5,0)+IF(EOMONTH(DATE(YEAR(Sales!$BG$1),MONTH(Sales!$BG$1),1)+INT((DAY(Sales!$BG$1)-1)/2)+Sales!BH$4,0)=EOMONTH($AC$1,0),Sales!BH$3*Sales!BH$5,0)+IF(EOMONTH(DATE(YEAR(Sales!$BD$1),MONTH(Sales!$BD$1),1)+INT((DAY(Sales!$BD$1)-1)/2)+Sales!BE$4,0)=EOMONTH($AC$1,0),Sales!BE$3*Sales!BE$5,0)+IF(EOMONTH(DATE(YEAR(Sales!$BA$1),MONTH(Sales!$BA$1),1)+INT((DAY(Sales!$BA$1)-1)/2)+Sales!BB$4,0)=EOMONTH($AC$1,0),Sales!BB$3*Sales!BB$5,0)+IF(EOMONTH(DATE(YEAR(Sales!$AX$1),MONTH(Sales!$AX$1),1)+INT((DAY(Sales!$AX$1)-1)/2)+Sales!AY$4,0)=EOMONTH($AC$1,0),Sales!AY$3*Sales!AY$5,0)+IF(EOMONTH(DATE(YEAR(Sales!$AU$1),MONTH(Sales!$AU$1),1)+INT((DAY(Sales!$AU$1)-1)/2)+Sales!AV$4,0)=EOMONTH($AC$1,0),Sales!AV$3*Sales!AV$5,0)+IF(EOMONTH(DATE(YEAR(Sales!$AR$1),MONTH(Sales!$AR$1),1)+INT((DAY(Sales!$AR$1)-1)/2)+Sales!AS$4,0)=EOMONTH($AC$1,0),Sales!AS$3*Sales!AS$5,0)+IF(EOMONTH(DATE(YEAR(Sales!$AO$1),MONTH(Sales!$AO$1),1)+INT((DAY(Sales!$AO$1)-1)/2)+Sales!AP$4,0)=EOMONTH($AC$1,0),Sales!AP$3*Sales!AP$5,0)+IF(EOMONTH(DATE(YEAR(Sales!$AL$1),MONTH(Sales!$AL$1),1)+INT((DAY(Sales!$AL$1)-1)/2)+Sales!AM$4,0)=EOMONTH($AC$1,0),Sales!AM$3*Sales!AM$5,0)+IF(EOMONTH(DATE(YEAR(Sales!$AI$1),MONTH(Sales!$AI$1),1)+INT((DAY(Sales!$AI$1)-1)/2)+Sales!AJ$4,0)=EOMONTH($AC$1,0),Sales!AJ$3*Sales!AJ$5,0)+IF(EOMONTH(DATE(YEAR(Sales!$AF$1),MONTH(Sales!$AF$1),1)+INT((DAY(Sales!$AF$1)-1)/2)+Sales!AG$4,0)=EOMONTH($AC$1,0),Sales!AG$3*Sales!AG$5,0)+IF(EOMONTH(DATE(YEAR(Sales!$AC$1),MONTH(Sales!$AC$1),1)+INT((DAY(Sales!$AC$1)-1)/2)+Sales!AD$4,0)=EOMONTH($AC$1,0),Sales!AD$3*Sales!AD$5,0)+IF(EOMONTH(DATE(YEAR(Sales!$Z$1),MONTH(Sales!$Z$1),1)+INT((DAY(Sales!$Z$1)-1)/2)+Sales!AA$4,0)=EOMONTH($AC$1,0),Sales!AA$3*Sales!AA$5,0)+IF(EOMONTH(DATE(YEAR(Sales!$W$1),MONTH(Sales!$W$1),1)+INT((DAY(Sales!$W$1)-1)/2)+Sales!X$4,0)=EOMONTH($AC$1,0),Sales!X$3*Sales!X$5,0)+IF(EOMONTH(DATE(YEAR(Sales!$T$1),MONTH(Sales!$T$1),1)+INT((DAY(Sales!$T$1)-1)/2)+Sales!U$4,0)=EOMONTH($AC$1,0),Sales!U$3*Sales!U$5,0)+IF(EOMONTH(DATE(YEAR(Sales!$Q$1),MONTH(Sales!$Q$1),1)+INT((DAY(Sales!$Q$1)-1)/2)+Sales!R$4,0)=EOMONTH($AC$1,0),Sales!R$3*Sales!R$5,0)+IF(EOMONTH(DATE(YEAR(Sales!$N$1),MONTH(Sales!$N$1),1)+INT((DAY(Sales!$N$1)-1)/2)+Sales!O$4,0)=EOMONTH($AC$1,0),Sales!O$3*Sales!O$5,0)+IF(EOMONTH(DATE(YEAR(Sales!$K$1),MONTH(Sales!$K$1),1)+INT((DAY(Sales!$K$1)-1)/2)+Sales!L$4,0)=EOMONTH($AC$1,0),Sales!L$3*Sales!L$5,0)+IF(EOMONTH('Cash Drivers'!$DL$30+Sales!DM$4,0)=EOMONTH($AC$1,0),'Cash Drivers'!$DL$31*Sales!DM$5,0),0))</f>
        <v>38</v>
      </c>
      <c r="AE6" s="2" t="n">
        <f aca="false">ROUND(IF(EOMONTH(DATE(YEAR(Sales!$DL$1),MONTH(Sales!$DL$1),1)+INT((DAY(Sales!$DL$1)-1)/2)+Sales!DN$4,0)=EOMONTH($AC$1,0),Sales!DN$3*Sales!DN$5,0)+IF(EOMONTH(DATE(YEAR(Sales!$DI$1),MONTH(Sales!$DI$1),1)+INT((DAY(Sales!$DI$1)-1)/2)+Sales!DK$4,0)=EOMONTH($AC$1,0),Sales!DK$3*Sales!DK$5,0)+IF(EOMONTH(DATE(YEAR(Sales!$DF$1),MONTH(Sales!$DF$1),1)+INT((DAY(Sales!$DF$1)-1)/2)+Sales!DH$4,0)=EOMONTH($AC$1,0),Sales!DH$3*Sales!DH$5,0)+IF(EOMONTH(DATE(YEAR(Sales!$DC$1),MONTH(Sales!$DC$1),1)+INT((DAY(Sales!$DC$1)-1)/2)+Sales!DE$4,0)=EOMONTH($AC$1,0),Sales!DE$3*Sales!DE$5,0)+IF(EOMONTH(DATE(YEAR(Sales!$CZ$1),MONTH(Sales!$CZ$1),1)+INT((DAY(Sales!$CZ$1)-1)/2)+Sales!DB$4,0)=EOMONTH($AC$1,0),Sales!DB$3*Sales!DB$5,0)+IF(EOMONTH(DATE(YEAR(Sales!$CW$1),MONTH(Sales!$CW$1),1)+INT((DAY(Sales!$CW$1)-1)/2)+Sales!CY$4,0)=EOMONTH($AC$1,0),Sales!CY$3*Sales!CY$5,0)+IF(EOMONTH(DATE(YEAR(Sales!$CT$1),MONTH(Sales!$CT$1),1)+INT((DAY(Sales!$CT$1)-1)/2)+Sales!CV$4,0)=EOMONTH($AC$1,0),Sales!CV$3*Sales!CV$5,0)+IF(EOMONTH(DATE(YEAR(Sales!$CQ$1),MONTH(Sales!$CQ$1),1)+INT((DAY(Sales!$CQ$1)-1)/2)+Sales!CS$4,0)=EOMONTH($AC$1,0),Sales!CS$3*Sales!CS$5,0)+IF(EOMONTH(DATE(YEAR(Sales!$CN$1),MONTH(Sales!$CN$1),1)+INT((DAY(Sales!$CN$1)-1)/2)+Sales!CP$4,0)=EOMONTH($AC$1,0),Sales!CP$3*Sales!CP$5,0)+IF(EOMONTH(DATE(YEAR(Sales!$CK$1),MONTH(Sales!$CK$1),1)+INT((DAY(Sales!$CK$1)-1)/2)+Sales!CM$4,0)=EOMONTH($AC$1,0),Sales!CM$3*Sales!CM$5,0)+IF(EOMONTH(DATE(YEAR(Sales!$CH$1),MONTH(Sales!$CH$1),1)+INT((DAY(Sales!$CH$1)-1)/2)+Sales!CJ$4,0)=EOMONTH($AC$1,0),Sales!CJ$3*Sales!CJ$5,0)+IF(EOMONTH(DATE(YEAR(Sales!$CE$1),MONTH(Sales!$CE$1),1)+INT((DAY(Sales!$CE$1)-1)/2)+Sales!CG$4,0)=EOMONTH($AC$1,0),Sales!CG$3*Sales!CG$5,0)+IF(EOMONTH(DATE(YEAR(Sales!$CB$1),MONTH(Sales!$CB$1),1)+INT((DAY(Sales!$CB$1)-1)/2)+Sales!CD$4,0)=EOMONTH($AC$1,0),Sales!CD$3*Sales!CD$5,0)+IF(EOMONTH(DATE(YEAR(Sales!$BY$1),MONTH(Sales!$BY$1),1)+INT((DAY(Sales!$BY$1)-1)/2)+Sales!CA$4,0)=EOMONTH($AC$1,0),Sales!CA$3*Sales!CA$5,0)+IF(EOMONTH(DATE(YEAR(Sales!$BV$1),MONTH(Sales!$BV$1),1)+INT((DAY(Sales!$BV$1)-1)/2)+Sales!BX$4,0)=EOMONTH($AC$1,0),Sales!BX$3*Sales!BX$5,0)+IF(EOMONTH(DATE(YEAR(Sales!$BS$1),MONTH(Sales!$BS$1),1)+INT((DAY(Sales!$BS$1)-1)/2)+Sales!BU$4,0)=EOMONTH($AC$1,0),Sales!BU$3*Sales!BU$5,0)+IF(EOMONTH(DATE(YEAR(Sales!$BP$1),MONTH(Sales!$BP$1),1)+INT((DAY(Sales!$BP$1)-1)/2)+Sales!BR$4,0)=EOMONTH($AC$1,0),Sales!BR$3*Sales!BR$5,0)+IF(EOMONTH(DATE(YEAR(Sales!$BM$1),MONTH(Sales!$BM$1),1)+INT((DAY(Sales!$BM$1)-1)/2)+Sales!BO$4,0)=EOMONTH($AC$1,0),Sales!BO$3*Sales!BO$5,0)+IF(EOMONTH(DATE(YEAR(Sales!$BJ$1),MONTH(Sales!$BJ$1),1)+INT((DAY(Sales!$BJ$1)-1)/2)+Sales!BL$4,0)=EOMONTH($AC$1,0),Sales!BL$3*Sales!BL$5,0)+IF(EOMONTH(DATE(YEAR(Sales!$BG$1),MONTH(Sales!$BG$1),1)+INT((DAY(Sales!$BG$1)-1)/2)+Sales!BI$4,0)=EOMONTH($AC$1,0),Sales!BI$3*Sales!BI$5,0)+IF(EOMONTH(DATE(YEAR(Sales!$BD$1),MONTH(Sales!$BD$1),1)+INT((DAY(Sales!$BD$1)-1)/2)+Sales!BF$4,0)=EOMONTH($AC$1,0),Sales!BF$3*Sales!BF$5,0)+IF(EOMONTH(DATE(YEAR(Sales!$BA$1),MONTH(Sales!$BA$1),1)+INT((DAY(Sales!$BA$1)-1)/2)+Sales!BC$4,0)=EOMONTH($AC$1,0),Sales!BC$3*Sales!BC$5,0)+IF(EOMONTH(DATE(YEAR(Sales!$AX$1),MONTH(Sales!$AX$1),1)+INT((DAY(Sales!$AX$1)-1)/2)+Sales!AZ$4,0)=EOMONTH($AC$1,0),Sales!AZ$3*Sales!AZ$5,0)+IF(EOMONTH(DATE(YEAR(Sales!$AU$1),MONTH(Sales!$AU$1),1)+INT((DAY(Sales!$AU$1)-1)/2)+Sales!AW$4,0)=EOMONTH($AC$1,0),Sales!AW$3*Sales!AW$5,0)+IF(EOMONTH(DATE(YEAR(Sales!$AR$1),MONTH(Sales!$AR$1),1)+INT((DAY(Sales!$AR$1)-1)/2)+Sales!AT$4,0)=EOMONTH($AC$1,0),Sales!AT$3*Sales!AT$5,0)+IF(EOMONTH(DATE(YEAR(Sales!$AO$1),MONTH(Sales!$AO$1),1)+INT((DAY(Sales!$AO$1)-1)/2)+Sales!AQ$4,0)=EOMONTH($AC$1,0),Sales!AQ$3*Sales!AQ$5,0)+IF(EOMONTH(DATE(YEAR(Sales!$AL$1),MONTH(Sales!$AL$1),1)+INT((DAY(Sales!$AL$1)-1)/2)+Sales!AN$4,0)=EOMONTH($AC$1,0),Sales!AN$3*Sales!AN$5,0)+IF(EOMONTH(DATE(YEAR(Sales!$AI$1),MONTH(Sales!$AI$1),1)+INT((DAY(Sales!$AI$1)-1)/2)+Sales!AK$4,0)=EOMONTH($AC$1,0),Sales!AK$3*Sales!AK$5,0)+IF(EOMONTH(DATE(YEAR(Sales!$AF$1),MONTH(Sales!$AF$1),1)+INT((DAY(Sales!$AF$1)-1)/2)+Sales!AH$4,0)=EOMONTH($AC$1,0),Sales!AH$3*Sales!AH$5,0)+IF(EOMONTH(DATE(YEAR(Sales!$AC$1),MONTH(Sales!$AC$1),1)+INT((DAY(Sales!$AC$1)-1)/2)+Sales!AE$4,0)=EOMONTH($AC$1,0),Sales!AE$3*Sales!AE$5,0)+IF(EOMONTH(DATE(YEAR(Sales!$Z$1),MONTH(Sales!$Z$1),1)+INT((DAY(Sales!$Z$1)-1)/2)+Sales!AB$4,0)=EOMONTH($AC$1,0),Sales!AB$3*Sales!AB$5,0)+IF(EOMONTH(DATE(YEAR(Sales!$W$1),MONTH(Sales!$W$1),1)+INT((DAY(Sales!$W$1)-1)/2)+Sales!Y$4,0)=EOMONTH($AC$1,0),Sales!Y$3*Sales!Y$5,0)+IF(EOMONTH(DATE(YEAR(Sales!$T$1),MONTH(Sales!$T$1),1)+INT((DAY(Sales!$T$1)-1)/2)+Sales!V$4,0)=EOMONTH($AC$1,0),Sales!V$3*Sales!V$5,0)+IF(EOMONTH(DATE(YEAR(Sales!$Q$1),MONTH(Sales!$Q$1),1)+INT((DAY(Sales!$Q$1)-1)/2)+Sales!S$4,0)=EOMONTH($AC$1,0),Sales!S$3*Sales!S$5,0)+IF(EOMONTH(DATE(YEAR(Sales!$N$1),MONTH(Sales!$N$1),1)+INT((DAY(Sales!$N$1)-1)/2)+Sales!P$4,0)=EOMONTH($AC$1,0),Sales!P$3*Sales!P$5,0)+IF(EOMONTH(DATE(YEAR(Sales!$K$1),MONTH(Sales!$K$1),1)+INT((DAY(Sales!$K$1)-1)/2)+Sales!M$4,0)=EOMONTH($AC$1,0),Sales!M$3*Sales!M$5,0)+IF(EOMONTH('Cash Drivers'!$DL$30+Sales!DN$4,0)=EOMONTH($AC$1,0),'Cash Drivers'!$DL$31*Sales!DN$5,0),0)</f>
        <v>38</v>
      </c>
      <c r="AF6" s="23"/>
      <c r="AG6" s="23" t="n">
        <f aca="false">IF('Cash Drivers'!AG$26,AF6,ROUND(IF(EOMONTH(DATE(YEAR(Sales!$DL$1),MONTH(Sales!$DL$1),1)+INT((DAY(Sales!$DL$1)-1)/2)+Sales!DM$4,0)=EOMONTH($AF$1,0),Sales!DM$3*Sales!DM$5,0)+IF(EOMONTH(DATE(YEAR(Sales!$DI$1),MONTH(Sales!$DI$1),1)+INT((DAY(Sales!$DI$1)-1)/2)+Sales!DJ$4,0)=EOMONTH($AF$1,0),Sales!DJ$3*Sales!DJ$5,0)+IF(EOMONTH(DATE(YEAR(Sales!$DF$1),MONTH(Sales!$DF$1),1)+INT((DAY(Sales!$DF$1)-1)/2)+Sales!DG$4,0)=EOMONTH($AF$1,0),Sales!DG$3*Sales!DG$5,0)+IF(EOMONTH(DATE(YEAR(Sales!$DC$1),MONTH(Sales!$DC$1),1)+INT((DAY(Sales!$DC$1)-1)/2)+Sales!DD$4,0)=EOMONTH($AF$1,0),Sales!DD$3*Sales!DD$5,0)+IF(EOMONTH(DATE(YEAR(Sales!$CZ$1),MONTH(Sales!$CZ$1),1)+INT((DAY(Sales!$CZ$1)-1)/2)+Sales!DA$4,0)=EOMONTH($AF$1,0),Sales!DA$3*Sales!DA$5,0)+IF(EOMONTH(DATE(YEAR(Sales!$CW$1),MONTH(Sales!$CW$1),1)+INT((DAY(Sales!$CW$1)-1)/2)+Sales!CX$4,0)=EOMONTH($AF$1,0),Sales!CX$3*Sales!CX$5,0)+IF(EOMONTH(DATE(YEAR(Sales!$CT$1),MONTH(Sales!$CT$1),1)+INT((DAY(Sales!$CT$1)-1)/2)+Sales!CU$4,0)=EOMONTH($AF$1,0),Sales!CU$3*Sales!CU$5,0)+IF(EOMONTH(DATE(YEAR(Sales!$CQ$1),MONTH(Sales!$CQ$1),1)+INT((DAY(Sales!$CQ$1)-1)/2)+Sales!CR$4,0)=EOMONTH($AF$1,0),Sales!CR$3*Sales!CR$5,0)+IF(EOMONTH(DATE(YEAR(Sales!$CN$1),MONTH(Sales!$CN$1),1)+INT((DAY(Sales!$CN$1)-1)/2)+Sales!CO$4,0)=EOMONTH($AF$1,0),Sales!CO$3*Sales!CO$5,0)+IF(EOMONTH(DATE(YEAR(Sales!$CK$1),MONTH(Sales!$CK$1),1)+INT((DAY(Sales!$CK$1)-1)/2)+Sales!CL$4,0)=EOMONTH($AF$1,0),Sales!CL$3*Sales!CL$5,0)+IF(EOMONTH(DATE(YEAR(Sales!$CH$1),MONTH(Sales!$CH$1),1)+INT((DAY(Sales!$CH$1)-1)/2)+Sales!CI$4,0)=EOMONTH($AF$1,0),Sales!CI$3*Sales!CI$5,0)+IF(EOMONTH(DATE(YEAR(Sales!$CE$1),MONTH(Sales!$CE$1),1)+INT((DAY(Sales!$CE$1)-1)/2)+Sales!CF$4,0)=EOMONTH($AF$1,0),Sales!CF$3*Sales!CF$5,0)+IF(EOMONTH(DATE(YEAR(Sales!$CB$1),MONTH(Sales!$CB$1),1)+INT((DAY(Sales!$CB$1)-1)/2)+Sales!CC$4,0)=EOMONTH($AF$1,0),Sales!CC$3*Sales!CC$5,0)+IF(EOMONTH(DATE(YEAR(Sales!$BY$1),MONTH(Sales!$BY$1),1)+INT((DAY(Sales!$BY$1)-1)/2)+Sales!BZ$4,0)=EOMONTH($AF$1,0),Sales!BZ$3*Sales!BZ$5,0)+IF(EOMONTH(DATE(YEAR(Sales!$BV$1),MONTH(Sales!$BV$1),1)+INT((DAY(Sales!$BV$1)-1)/2)+Sales!BW$4,0)=EOMONTH($AF$1,0),Sales!BW$3*Sales!BW$5,0)+IF(EOMONTH(DATE(YEAR(Sales!$BS$1),MONTH(Sales!$BS$1),1)+INT((DAY(Sales!$BS$1)-1)/2)+Sales!BT$4,0)=EOMONTH($AF$1,0),Sales!BT$3*Sales!BT$5,0)+IF(EOMONTH(DATE(YEAR(Sales!$BP$1),MONTH(Sales!$BP$1),1)+INT((DAY(Sales!$BP$1)-1)/2)+Sales!BQ$4,0)=EOMONTH($AF$1,0),Sales!BQ$3*Sales!BQ$5,0)+IF(EOMONTH(DATE(YEAR(Sales!$BM$1),MONTH(Sales!$BM$1),1)+INT((DAY(Sales!$BM$1)-1)/2)+Sales!BN$4,0)=EOMONTH($AF$1,0),Sales!BN$3*Sales!BN$5,0)+IF(EOMONTH(DATE(YEAR(Sales!$BJ$1),MONTH(Sales!$BJ$1),1)+INT((DAY(Sales!$BJ$1)-1)/2)+Sales!BK$4,0)=EOMONTH($AF$1,0),Sales!BK$3*Sales!BK$5,0)+IF(EOMONTH(DATE(YEAR(Sales!$BG$1),MONTH(Sales!$BG$1),1)+INT((DAY(Sales!$BG$1)-1)/2)+Sales!BH$4,0)=EOMONTH($AF$1,0),Sales!BH$3*Sales!BH$5,0)+IF(EOMONTH(DATE(YEAR(Sales!$BD$1),MONTH(Sales!$BD$1),1)+INT((DAY(Sales!$BD$1)-1)/2)+Sales!BE$4,0)=EOMONTH($AF$1,0),Sales!BE$3*Sales!BE$5,0)+IF(EOMONTH(DATE(YEAR(Sales!$BA$1),MONTH(Sales!$BA$1),1)+INT((DAY(Sales!$BA$1)-1)/2)+Sales!BB$4,0)=EOMONTH($AF$1,0),Sales!BB$3*Sales!BB$5,0)+IF(EOMONTH(DATE(YEAR(Sales!$AX$1),MONTH(Sales!$AX$1),1)+INT((DAY(Sales!$AX$1)-1)/2)+Sales!AY$4,0)=EOMONTH($AF$1,0),Sales!AY$3*Sales!AY$5,0)+IF(EOMONTH(DATE(YEAR(Sales!$AU$1),MONTH(Sales!$AU$1),1)+INT((DAY(Sales!$AU$1)-1)/2)+Sales!AV$4,0)=EOMONTH($AF$1,0),Sales!AV$3*Sales!AV$5,0)+IF(EOMONTH(DATE(YEAR(Sales!$AR$1),MONTH(Sales!$AR$1),1)+INT((DAY(Sales!$AR$1)-1)/2)+Sales!AS$4,0)=EOMONTH($AF$1,0),Sales!AS$3*Sales!AS$5,0)+IF(EOMONTH(DATE(YEAR(Sales!$AO$1),MONTH(Sales!$AO$1),1)+INT((DAY(Sales!$AO$1)-1)/2)+Sales!AP$4,0)=EOMONTH($AF$1,0),Sales!AP$3*Sales!AP$5,0)+IF(EOMONTH(DATE(YEAR(Sales!$AL$1),MONTH(Sales!$AL$1),1)+INT((DAY(Sales!$AL$1)-1)/2)+Sales!AM$4,0)=EOMONTH($AF$1,0),Sales!AM$3*Sales!AM$5,0)+IF(EOMONTH(DATE(YEAR(Sales!$AI$1),MONTH(Sales!$AI$1),1)+INT((DAY(Sales!$AI$1)-1)/2)+Sales!AJ$4,0)=EOMONTH($AF$1,0),Sales!AJ$3*Sales!AJ$5,0)+IF(EOMONTH(DATE(YEAR(Sales!$AF$1),MONTH(Sales!$AF$1),1)+INT((DAY(Sales!$AF$1)-1)/2)+Sales!AG$4,0)=EOMONTH($AF$1,0),Sales!AG$3*Sales!AG$5,0)+IF(EOMONTH(DATE(YEAR(Sales!$AC$1),MONTH(Sales!$AC$1),1)+INT((DAY(Sales!$AC$1)-1)/2)+Sales!AD$4,0)=EOMONTH($AF$1,0),Sales!AD$3*Sales!AD$5,0)+IF(EOMONTH(DATE(YEAR(Sales!$Z$1),MONTH(Sales!$Z$1),1)+INT((DAY(Sales!$Z$1)-1)/2)+Sales!AA$4,0)=EOMONTH($AF$1,0),Sales!AA$3*Sales!AA$5,0)+IF(EOMONTH(DATE(YEAR(Sales!$W$1),MONTH(Sales!$W$1),1)+INT((DAY(Sales!$W$1)-1)/2)+Sales!X$4,0)=EOMONTH($AF$1,0),Sales!X$3*Sales!X$5,0)+IF(EOMONTH(DATE(YEAR(Sales!$T$1),MONTH(Sales!$T$1),1)+INT((DAY(Sales!$T$1)-1)/2)+Sales!U$4,0)=EOMONTH($AF$1,0),Sales!U$3*Sales!U$5,0)+IF(EOMONTH(DATE(YEAR(Sales!$Q$1),MONTH(Sales!$Q$1),1)+INT((DAY(Sales!$Q$1)-1)/2)+Sales!R$4,0)=EOMONTH($AF$1,0),Sales!R$3*Sales!R$5,0)+IF(EOMONTH(DATE(YEAR(Sales!$N$1),MONTH(Sales!$N$1),1)+INT((DAY(Sales!$N$1)-1)/2)+Sales!O$4,0)=EOMONTH($AF$1,0),Sales!O$3*Sales!O$5,0)+IF(EOMONTH(DATE(YEAR(Sales!$K$1),MONTH(Sales!$K$1),1)+INT((DAY(Sales!$K$1)-1)/2)+Sales!L$4,0)=EOMONTH($AF$1,0),Sales!L$3*Sales!L$5,0)+IF(EOMONTH('Cash Drivers'!$DL$30+Sales!DM$4,0)=EOMONTH($AF$1,0),'Cash Drivers'!$DL$31*Sales!DM$5,0),0))</f>
        <v>38</v>
      </c>
      <c r="AH6" s="23" t="n">
        <f aca="false">ROUND(IF(EOMONTH(DATE(YEAR(Sales!$DL$1),MONTH(Sales!$DL$1),1)+INT((DAY(Sales!$DL$1)-1)/2)+Sales!DN$4,0)=EOMONTH($AF$1,0),Sales!DN$3*Sales!DN$5,0)+IF(EOMONTH(DATE(YEAR(Sales!$DI$1),MONTH(Sales!$DI$1),1)+INT((DAY(Sales!$DI$1)-1)/2)+Sales!DK$4,0)=EOMONTH($AF$1,0),Sales!DK$3*Sales!DK$5,0)+IF(EOMONTH(DATE(YEAR(Sales!$DF$1),MONTH(Sales!$DF$1),1)+INT((DAY(Sales!$DF$1)-1)/2)+Sales!DH$4,0)=EOMONTH($AF$1,0),Sales!DH$3*Sales!DH$5,0)+IF(EOMONTH(DATE(YEAR(Sales!$DC$1),MONTH(Sales!$DC$1),1)+INT((DAY(Sales!$DC$1)-1)/2)+Sales!DE$4,0)=EOMONTH($AF$1,0),Sales!DE$3*Sales!DE$5,0)+IF(EOMONTH(DATE(YEAR(Sales!$CZ$1),MONTH(Sales!$CZ$1),1)+INT((DAY(Sales!$CZ$1)-1)/2)+Sales!DB$4,0)=EOMONTH($AF$1,0),Sales!DB$3*Sales!DB$5,0)+IF(EOMONTH(DATE(YEAR(Sales!$CW$1),MONTH(Sales!$CW$1),1)+INT((DAY(Sales!$CW$1)-1)/2)+Sales!CY$4,0)=EOMONTH($AF$1,0),Sales!CY$3*Sales!CY$5,0)+IF(EOMONTH(DATE(YEAR(Sales!$CT$1),MONTH(Sales!$CT$1),1)+INT((DAY(Sales!$CT$1)-1)/2)+Sales!CV$4,0)=EOMONTH($AF$1,0),Sales!CV$3*Sales!CV$5,0)+IF(EOMONTH(DATE(YEAR(Sales!$CQ$1),MONTH(Sales!$CQ$1),1)+INT((DAY(Sales!$CQ$1)-1)/2)+Sales!CS$4,0)=EOMONTH($AF$1,0),Sales!CS$3*Sales!CS$5,0)+IF(EOMONTH(DATE(YEAR(Sales!$CN$1),MONTH(Sales!$CN$1),1)+INT((DAY(Sales!$CN$1)-1)/2)+Sales!CP$4,0)=EOMONTH($AF$1,0),Sales!CP$3*Sales!CP$5,0)+IF(EOMONTH(DATE(YEAR(Sales!$CK$1),MONTH(Sales!$CK$1),1)+INT((DAY(Sales!$CK$1)-1)/2)+Sales!CM$4,0)=EOMONTH($AF$1,0),Sales!CM$3*Sales!CM$5,0)+IF(EOMONTH(DATE(YEAR(Sales!$CH$1),MONTH(Sales!$CH$1),1)+INT((DAY(Sales!$CH$1)-1)/2)+Sales!CJ$4,0)=EOMONTH($AF$1,0),Sales!CJ$3*Sales!CJ$5,0)+IF(EOMONTH(DATE(YEAR(Sales!$CE$1),MONTH(Sales!$CE$1),1)+INT((DAY(Sales!$CE$1)-1)/2)+Sales!CG$4,0)=EOMONTH($AF$1,0),Sales!CG$3*Sales!CG$5,0)+IF(EOMONTH(DATE(YEAR(Sales!$CB$1),MONTH(Sales!$CB$1),1)+INT((DAY(Sales!$CB$1)-1)/2)+Sales!CD$4,0)=EOMONTH($AF$1,0),Sales!CD$3*Sales!CD$5,0)+IF(EOMONTH(DATE(YEAR(Sales!$BY$1),MONTH(Sales!$BY$1),1)+INT((DAY(Sales!$BY$1)-1)/2)+Sales!CA$4,0)=EOMONTH($AF$1,0),Sales!CA$3*Sales!CA$5,0)+IF(EOMONTH(DATE(YEAR(Sales!$BV$1),MONTH(Sales!$BV$1),1)+INT((DAY(Sales!$BV$1)-1)/2)+Sales!BX$4,0)=EOMONTH($AF$1,0),Sales!BX$3*Sales!BX$5,0)+IF(EOMONTH(DATE(YEAR(Sales!$BS$1),MONTH(Sales!$BS$1),1)+INT((DAY(Sales!$BS$1)-1)/2)+Sales!BU$4,0)=EOMONTH($AF$1,0),Sales!BU$3*Sales!BU$5,0)+IF(EOMONTH(DATE(YEAR(Sales!$BP$1),MONTH(Sales!$BP$1),1)+INT((DAY(Sales!$BP$1)-1)/2)+Sales!BR$4,0)=EOMONTH($AF$1,0),Sales!BR$3*Sales!BR$5,0)+IF(EOMONTH(DATE(YEAR(Sales!$BM$1),MONTH(Sales!$BM$1),1)+INT((DAY(Sales!$BM$1)-1)/2)+Sales!BO$4,0)=EOMONTH($AF$1,0),Sales!BO$3*Sales!BO$5,0)+IF(EOMONTH(DATE(YEAR(Sales!$BJ$1),MONTH(Sales!$BJ$1),1)+INT((DAY(Sales!$BJ$1)-1)/2)+Sales!BL$4,0)=EOMONTH($AF$1,0),Sales!BL$3*Sales!BL$5,0)+IF(EOMONTH(DATE(YEAR(Sales!$BG$1),MONTH(Sales!$BG$1),1)+INT((DAY(Sales!$BG$1)-1)/2)+Sales!BI$4,0)=EOMONTH($AF$1,0),Sales!BI$3*Sales!BI$5,0)+IF(EOMONTH(DATE(YEAR(Sales!$BD$1),MONTH(Sales!$BD$1),1)+INT((DAY(Sales!$BD$1)-1)/2)+Sales!BF$4,0)=EOMONTH($AF$1,0),Sales!BF$3*Sales!BF$5,0)+IF(EOMONTH(DATE(YEAR(Sales!$BA$1),MONTH(Sales!$BA$1),1)+INT((DAY(Sales!$BA$1)-1)/2)+Sales!BC$4,0)=EOMONTH($AF$1,0),Sales!BC$3*Sales!BC$5,0)+IF(EOMONTH(DATE(YEAR(Sales!$AX$1),MONTH(Sales!$AX$1),1)+INT((DAY(Sales!$AX$1)-1)/2)+Sales!AZ$4,0)=EOMONTH($AF$1,0),Sales!AZ$3*Sales!AZ$5,0)+IF(EOMONTH(DATE(YEAR(Sales!$AU$1),MONTH(Sales!$AU$1),1)+INT((DAY(Sales!$AU$1)-1)/2)+Sales!AW$4,0)=EOMONTH($AF$1,0),Sales!AW$3*Sales!AW$5,0)+IF(EOMONTH(DATE(YEAR(Sales!$AR$1),MONTH(Sales!$AR$1),1)+INT((DAY(Sales!$AR$1)-1)/2)+Sales!AT$4,0)=EOMONTH($AF$1,0),Sales!AT$3*Sales!AT$5,0)+IF(EOMONTH(DATE(YEAR(Sales!$AO$1),MONTH(Sales!$AO$1),1)+INT((DAY(Sales!$AO$1)-1)/2)+Sales!AQ$4,0)=EOMONTH($AF$1,0),Sales!AQ$3*Sales!AQ$5,0)+IF(EOMONTH(DATE(YEAR(Sales!$AL$1),MONTH(Sales!$AL$1),1)+INT((DAY(Sales!$AL$1)-1)/2)+Sales!AN$4,0)=EOMONTH($AF$1,0),Sales!AN$3*Sales!AN$5,0)+IF(EOMONTH(DATE(YEAR(Sales!$AI$1),MONTH(Sales!$AI$1),1)+INT((DAY(Sales!$AI$1)-1)/2)+Sales!AK$4,0)=EOMONTH($AF$1,0),Sales!AK$3*Sales!AK$5,0)+IF(EOMONTH(DATE(YEAR(Sales!$AF$1),MONTH(Sales!$AF$1),1)+INT((DAY(Sales!$AF$1)-1)/2)+Sales!AH$4,0)=EOMONTH($AF$1,0),Sales!AH$3*Sales!AH$5,0)+IF(EOMONTH(DATE(YEAR(Sales!$AC$1),MONTH(Sales!$AC$1),1)+INT((DAY(Sales!$AC$1)-1)/2)+Sales!AE$4,0)=EOMONTH($AF$1,0),Sales!AE$3*Sales!AE$5,0)+IF(EOMONTH(DATE(YEAR(Sales!$Z$1),MONTH(Sales!$Z$1),1)+INT((DAY(Sales!$Z$1)-1)/2)+Sales!AB$4,0)=EOMONTH($AF$1,0),Sales!AB$3*Sales!AB$5,0)+IF(EOMONTH(DATE(YEAR(Sales!$W$1),MONTH(Sales!$W$1),1)+INT((DAY(Sales!$W$1)-1)/2)+Sales!Y$4,0)=EOMONTH($AF$1,0),Sales!Y$3*Sales!Y$5,0)+IF(EOMONTH(DATE(YEAR(Sales!$T$1),MONTH(Sales!$T$1),1)+INT((DAY(Sales!$T$1)-1)/2)+Sales!V$4,0)=EOMONTH($AF$1,0),Sales!V$3*Sales!V$5,0)+IF(EOMONTH(DATE(YEAR(Sales!$Q$1),MONTH(Sales!$Q$1),1)+INT((DAY(Sales!$Q$1)-1)/2)+Sales!S$4,0)=EOMONTH($AF$1,0),Sales!S$3*Sales!S$5,0)+IF(EOMONTH(DATE(YEAR(Sales!$N$1),MONTH(Sales!$N$1),1)+INT((DAY(Sales!$N$1)-1)/2)+Sales!P$4,0)=EOMONTH($AF$1,0),Sales!P$3*Sales!P$5,0)+IF(EOMONTH(DATE(YEAR(Sales!$K$1),MONTH(Sales!$K$1),1)+INT((DAY(Sales!$K$1)-1)/2)+Sales!M$4,0)=EOMONTH($AF$1,0),Sales!M$3*Sales!M$5,0)+IF(EOMONTH('Cash Drivers'!$DL$30+Sales!DN$4,0)=EOMONTH($AF$1,0),'Cash Drivers'!$DL$31*Sales!DN$5,0),0)</f>
        <v>38</v>
      </c>
      <c r="AI6" s="2"/>
      <c r="AJ6" s="2" t="n">
        <f aca="false">IF('Cash Drivers'!AJ$26,AI6,ROUND(IF(EOMONTH(DATE(YEAR(Sales!$DL$1),MONTH(Sales!$DL$1),1)+INT((DAY(Sales!$DL$1)-1)/2)+Sales!DM$4,0)=EOMONTH($AI$1,0),Sales!DM$3*Sales!DM$5,0)+IF(EOMONTH(DATE(YEAR(Sales!$DI$1),MONTH(Sales!$DI$1),1)+INT((DAY(Sales!$DI$1)-1)/2)+Sales!DJ$4,0)=EOMONTH($AI$1,0),Sales!DJ$3*Sales!DJ$5,0)+IF(EOMONTH(DATE(YEAR(Sales!$DF$1),MONTH(Sales!$DF$1),1)+INT((DAY(Sales!$DF$1)-1)/2)+Sales!DG$4,0)=EOMONTH($AI$1,0),Sales!DG$3*Sales!DG$5,0)+IF(EOMONTH(DATE(YEAR(Sales!$DC$1),MONTH(Sales!$DC$1),1)+INT((DAY(Sales!$DC$1)-1)/2)+Sales!DD$4,0)=EOMONTH($AI$1,0),Sales!DD$3*Sales!DD$5,0)+IF(EOMONTH(DATE(YEAR(Sales!$CZ$1),MONTH(Sales!$CZ$1),1)+INT((DAY(Sales!$CZ$1)-1)/2)+Sales!DA$4,0)=EOMONTH($AI$1,0),Sales!DA$3*Sales!DA$5,0)+IF(EOMONTH(DATE(YEAR(Sales!$CW$1),MONTH(Sales!$CW$1),1)+INT((DAY(Sales!$CW$1)-1)/2)+Sales!CX$4,0)=EOMONTH($AI$1,0),Sales!CX$3*Sales!CX$5,0)+IF(EOMONTH(DATE(YEAR(Sales!$CT$1),MONTH(Sales!$CT$1),1)+INT((DAY(Sales!$CT$1)-1)/2)+Sales!CU$4,0)=EOMONTH($AI$1,0),Sales!CU$3*Sales!CU$5,0)+IF(EOMONTH(DATE(YEAR(Sales!$CQ$1),MONTH(Sales!$CQ$1),1)+INT((DAY(Sales!$CQ$1)-1)/2)+Sales!CR$4,0)=EOMONTH($AI$1,0),Sales!CR$3*Sales!CR$5,0)+IF(EOMONTH(DATE(YEAR(Sales!$CN$1),MONTH(Sales!$CN$1),1)+INT((DAY(Sales!$CN$1)-1)/2)+Sales!CO$4,0)=EOMONTH($AI$1,0),Sales!CO$3*Sales!CO$5,0)+IF(EOMONTH(DATE(YEAR(Sales!$CK$1),MONTH(Sales!$CK$1),1)+INT((DAY(Sales!$CK$1)-1)/2)+Sales!CL$4,0)=EOMONTH($AI$1,0),Sales!CL$3*Sales!CL$5,0)+IF(EOMONTH(DATE(YEAR(Sales!$CH$1),MONTH(Sales!$CH$1),1)+INT((DAY(Sales!$CH$1)-1)/2)+Sales!CI$4,0)=EOMONTH($AI$1,0),Sales!CI$3*Sales!CI$5,0)+IF(EOMONTH(DATE(YEAR(Sales!$CE$1),MONTH(Sales!$CE$1),1)+INT((DAY(Sales!$CE$1)-1)/2)+Sales!CF$4,0)=EOMONTH($AI$1,0),Sales!CF$3*Sales!CF$5,0)+IF(EOMONTH(DATE(YEAR(Sales!$CB$1),MONTH(Sales!$CB$1),1)+INT((DAY(Sales!$CB$1)-1)/2)+Sales!CC$4,0)=EOMONTH($AI$1,0),Sales!CC$3*Sales!CC$5,0)+IF(EOMONTH(DATE(YEAR(Sales!$BY$1),MONTH(Sales!$BY$1),1)+INT((DAY(Sales!$BY$1)-1)/2)+Sales!BZ$4,0)=EOMONTH($AI$1,0),Sales!BZ$3*Sales!BZ$5,0)+IF(EOMONTH(DATE(YEAR(Sales!$BV$1),MONTH(Sales!$BV$1),1)+INT((DAY(Sales!$BV$1)-1)/2)+Sales!BW$4,0)=EOMONTH($AI$1,0),Sales!BW$3*Sales!BW$5,0)+IF(EOMONTH(DATE(YEAR(Sales!$BS$1),MONTH(Sales!$BS$1),1)+INT((DAY(Sales!$BS$1)-1)/2)+Sales!BT$4,0)=EOMONTH($AI$1,0),Sales!BT$3*Sales!BT$5,0)+IF(EOMONTH(DATE(YEAR(Sales!$BP$1),MONTH(Sales!$BP$1),1)+INT((DAY(Sales!$BP$1)-1)/2)+Sales!BQ$4,0)=EOMONTH($AI$1,0),Sales!BQ$3*Sales!BQ$5,0)+IF(EOMONTH(DATE(YEAR(Sales!$BM$1),MONTH(Sales!$BM$1),1)+INT((DAY(Sales!$BM$1)-1)/2)+Sales!BN$4,0)=EOMONTH($AI$1,0),Sales!BN$3*Sales!BN$5,0)+IF(EOMONTH(DATE(YEAR(Sales!$BJ$1),MONTH(Sales!$BJ$1),1)+INT((DAY(Sales!$BJ$1)-1)/2)+Sales!BK$4,0)=EOMONTH($AI$1,0),Sales!BK$3*Sales!BK$5,0)+IF(EOMONTH(DATE(YEAR(Sales!$BG$1),MONTH(Sales!$BG$1),1)+INT((DAY(Sales!$BG$1)-1)/2)+Sales!BH$4,0)=EOMONTH($AI$1,0),Sales!BH$3*Sales!BH$5,0)+IF(EOMONTH(DATE(YEAR(Sales!$BD$1),MONTH(Sales!$BD$1),1)+INT((DAY(Sales!$BD$1)-1)/2)+Sales!BE$4,0)=EOMONTH($AI$1,0),Sales!BE$3*Sales!BE$5,0)+IF(EOMONTH(DATE(YEAR(Sales!$BA$1),MONTH(Sales!$BA$1),1)+INT((DAY(Sales!$BA$1)-1)/2)+Sales!BB$4,0)=EOMONTH($AI$1,0),Sales!BB$3*Sales!BB$5,0)+IF(EOMONTH(DATE(YEAR(Sales!$AX$1),MONTH(Sales!$AX$1),1)+INT((DAY(Sales!$AX$1)-1)/2)+Sales!AY$4,0)=EOMONTH($AI$1,0),Sales!AY$3*Sales!AY$5,0)+IF(EOMONTH(DATE(YEAR(Sales!$AU$1),MONTH(Sales!$AU$1),1)+INT((DAY(Sales!$AU$1)-1)/2)+Sales!AV$4,0)=EOMONTH($AI$1,0),Sales!AV$3*Sales!AV$5,0)+IF(EOMONTH(DATE(YEAR(Sales!$AR$1),MONTH(Sales!$AR$1),1)+INT((DAY(Sales!$AR$1)-1)/2)+Sales!AS$4,0)=EOMONTH($AI$1,0),Sales!AS$3*Sales!AS$5,0)+IF(EOMONTH(DATE(YEAR(Sales!$AO$1),MONTH(Sales!$AO$1),1)+INT((DAY(Sales!$AO$1)-1)/2)+Sales!AP$4,0)=EOMONTH($AI$1,0),Sales!AP$3*Sales!AP$5,0)+IF(EOMONTH(DATE(YEAR(Sales!$AL$1),MONTH(Sales!$AL$1),1)+INT((DAY(Sales!$AL$1)-1)/2)+Sales!AM$4,0)=EOMONTH($AI$1,0),Sales!AM$3*Sales!AM$5,0)+IF(EOMONTH(DATE(YEAR(Sales!$AI$1),MONTH(Sales!$AI$1),1)+INT((DAY(Sales!$AI$1)-1)/2)+Sales!AJ$4,0)=EOMONTH($AI$1,0),Sales!AJ$3*Sales!AJ$5,0)+IF(EOMONTH(DATE(YEAR(Sales!$AF$1),MONTH(Sales!$AF$1),1)+INT((DAY(Sales!$AF$1)-1)/2)+Sales!AG$4,0)=EOMONTH($AI$1,0),Sales!AG$3*Sales!AG$5,0)+IF(EOMONTH(DATE(YEAR(Sales!$AC$1),MONTH(Sales!$AC$1),1)+INT((DAY(Sales!$AC$1)-1)/2)+Sales!AD$4,0)=EOMONTH($AI$1,0),Sales!AD$3*Sales!AD$5,0)+IF(EOMONTH(DATE(YEAR(Sales!$Z$1),MONTH(Sales!$Z$1),1)+INT((DAY(Sales!$Z$1)-1)/2)+Sales!AA$4,0)=EOMONTH($AI$1,0),Sales!AA$3*Sales!AA$5,0)+IF(EOMONTH(DATE(YEAR(Sales!$W$1),MONTH(Sales!$W$1),1)+INT((DAY(Sales!$W$1)-1)/2)+Sales!X$4,0)=EOMONTH($AI$1,0),Sales!X$3*Sales!X$5,0)+IF(EOMONTH(DATE(YEAR(Sales!$T$1),MONTH(Sales!$T$1),1)+INT((DAY(Sales!$T$1)-1)/2)+Sales!U$4,0)=EOMONTH($AI$1,0),Sales!U$3*Sales!U$5,0)+IF(EOMONTH(DATE(YEAR(Sales!$Q$1),MONTH(Sales!$Q$1),1)+INT((DAY(Sales!$Q$1)-1)/2)+Sales!R$4,0)=EOMONTH($AI$1,0),Sales!R$3*Sales!R$5,0)+IF(EOMONTH(DATE(YEAR(Sales!$N$1),MONTH(Sales!$N$1),1)+INT((DAY(Sales!$N$1)-1)/2)+Sales!O$4,0)=EOMONTH($AI$1,0),Sales!O$3*Sales!O$5,0)+IF(EOMONTH(DATE(YEAR(Sales!$K$1),MONTH(Sales!$K$1),1)+INT((DAY(Sales!$K$1)-1)/2)+Sales!L$4,0)=EOMONTH($AI$1,0),Sales!L$3*Sales!L$5,0)+IF(EOMONTH('Cash Drivers'!$DL$30+Sales!DM$4,0)=EOMONTH($AI$1,0),'Cash Drivers'!$DL$31*Sales!DM$5,0),0))</f>
        <v>38</v>
      </c>
      <c r="AK6" s="2" t="n">
        <f aca="false">ROUND(IF(EOMONTH(DATE(YEAR(Sales!$DL$1),MONTH(Sales!$DL$1),1)+INT((DAY(Sales!$DL$1)-1)/2)+Sales!DN$4,0)=EOMONTH($AI$1,0),Sales!DN$3*Sales!DN$5,0)+IF(EOMONTH(DATE(YEAR(Sales!$DI$1),MONTH(Sales!$DI$1),1)+INT((DAY(Sales!$DI$1)-1)/2)+Sales!DK$4,0)=EOMONTH($AI$1,0),Sales!DK$3*Sales!DK$5,0)+IF(EOMONTH(DATE(YEAR(Sales!$DF$1),MONTH(Sales!$DF$1),1)+INT((DAY(Sales!$DF$1)-1)/2)+Sales!DH$4,0)=EOMONTH($AI$1,0),Sales!DH$3*Sales!DH$5,0)+IF(EOMONTH(DATE(YEAR(Sales!$DC$1),MONTH(Sales!$DC$1),1)+INT((DAY(Sales!$DC$1)-1)/2)+Sales!DE$4,0)=EOMONTH($AI$1,0),Sales!DE$3*Sales!DE$5,0)+IF(EOMONTH(DATE(YEAR(Sales!$CZ$1),MONTH(Sales!$CZ$1),1)+INT((DAY(Sales!$CZ$1)-1)/2)+Sales!DB$4,0)=EOMONTH($AI$1,0),Sales!DB$3*Sales!DB$5,0)+IF(EOMONTH(DATE(YEAR(Sales!$CW$1),MONTH(Sales!$CW$1),1)+INT((DAY(Sales!$CW$1)-1)/2)+Sales!CY$4,0)=EOMONTH($AI$1,0),Sales!CY$3*Sales!CY$5,0)+IF(EOMONTH(DATE(YEAR(Sales!$CT$1),MONTH(Sales!$CT$1),1)+INT((DAY(Sales!$CT$1)-1)/2)+Sales!CV$4,0)=EOMONTH($AI$1,0),Sales!CV$3*Sales!CV$5,0)+IF(EOMONTH(DATE(YEAR(Sales!$CQ$1),MONTH(Sales!$CQ$1),1)+INT((DAY(Sales!$CQ$1)-1)/2)+Sales!CS$4,0)=EOMONTH($AI$1,0),Sales!CS$3*Sales!CS$5,0)+IF(EOMONTH(DATE(YEAR(Sales!$CN$1),MONTH(Sales!$CN$1),1)+INT((DAY(Sales!$CN$1)-1)/2)+Sales!CP$4,0)=EOMONTH($AI$1,0),Sales!CP$3*Sales!CP$5,0)+IF(EOMONTH(DATE(YEAR(Sales!$CK$1),MONTH(Sales!$CK$1),1)+INT((DAY(Sales!$CK$1)-1)/2)+Sales!CM$4,0)=EOMONTH($AI$1,0),Sales!CM$3*Sales!CM$5,0)+IF(EOMONTH(DATE(YEAR(Sales!$CH$1),MONTH(Sales!$CH$1),1)+INT((DAY(Sales!$CH$1)-1)/2)+Sales!CJ$4,0)=EOMONTH($AI$1,0),Sales!CJ$3*Sales!CJ$5,0)+IF(EOMONTH(DATE(YEAR(Sales!$CE$1),MONTH(Sales!$CE$1),1)+INT((DAY(Sales!$CE$1)-1)/2)+Sales!CG$4,0)=EOMONTH($AI$1,0),Sales!CG$3*Sales!CG$5,0)+IF(EOMONTH(DATE(YEAR(Sales!$CB$1),MONTH(Sales!$CB$1),1)+INT((DAY(Sales!$CB$1)-1)/2)+Sales!CD$4,0)=EOMONTH($AI$1,0),Sales!CD$3*Sales!CD$5,0)+IF(EOMONTH(DATE(YEAR(Sales!$BY$1),MONTH(Sales!$BY$1),1)+INT((DAY(Sales!$BY$1)-1)/2)+Sales!CA$4,0)=EOMONTH($AI$1,0),Sales!CA$3*Sales!CA$5,0)+IF(EOMONTH(DATE(YEAR(Sales!$BV$1),MONTH(Sales!$BV$1),1)+INT((DAY(Sales!$BV$1)-1)/2)+Sales!BX$4,0)=EOMONTH($AI$1,0),Sales!BX$3*Sales!BX$5,0)+IF(EOMONTH(DATE(YEAR(Sales!$BS$1),MONTH(Sales!$BS$1),1)+INT((DAY(Sales!$BS$1)-1)/2)+Sales!BU$4,0)=EOMONTH($AI$1,0),Sales!BU$3*Sales!BU$5,0)+IF(EOMONTH(DATE(YEAR(Sales!$BP$1),MONTH(Sales!$BP$1),1)+INT((DAY(Sales!$BP$1)-1)/2)+Sales!BR$4,0)=EOMONTH($AI$1,0),Sales!BR$3*Sales!BR$5,0)+IF(EOMONTH(DATE(YEAR(Sales!$BM$1),MONTH(Sales!$BM$1),1)+INT((DAY(Sales!$BM$1)-1)/2)+Sales!BO$4,0)=EOMONTH($AI$1,0),Sales!BO$3*Sales!BO$5,0)+IF(EOMONTH(DATE(YEAR(Sales!$BJ$1),MONTH(Sales!$BJ$1),1)+INT((DAY(Sales!$BJ$1)-1)/2)+Sales!BL$4,0)=EOMONTH($AI$1,0),Sales!BL$3*Sales!BL$5,0)+IF(EOMONTH(DATE(YEAR(Sales!$BG$1),MONTH(Sales!$BG$1),1)+INT((DAY(Sales!$BG$1)-1)/2)+Sales!BI$4,0)=EOMONTH($AI$1,0),Sales!BI$3*Sales!BI$5,0)+IF(EOMONTH(DATE(YEAR(Sales!$BD$1),MONTH(Sales!$BD$1),1)+INT((DAY(Sales!$BD$1)-1)/2)+Sales!BF$4,0)=EOMONTH($AI$1,0),Sales!BF$3*Sales!BF$5,0)+IF(EOMONTH(DATE(YEAR(Sales!$BA$1),MONTH(Sales!$BA$1),1)+INT((DAY(Sales!$BA$1)-1)/2)+Sales!BC$4,0)=EOMONTH($AI$1,0),Sales!BC$3*Sales!BC$5,0)+IF(EOMONTH(DATE(YEAR(Sales!$AX$1),MONTH(Sales!$AX$1),1)+INT((DAY(Sales!$AX$1)-1)/2)+Sales!AZ$4,0)=EOMONTH($AI$1,0),Sales!AZ$3*Sales!AZ$5,0)+IF(EOMONTH(DATE(YEAR(Sales!$AU$1),MONTH(Sales!$AU$1),1)+INT((DAY(Sales!$AU$1)-1)/2)+Sales!AW$4,0)=EOMONTH($AI$1,0),Sales!AW$3*Sales!AW$5,0)+IF(EOMONTH(DATE(YEAR(Sales!$AR$1),MONTH(Sales!$AR$1),1)+INT((DAY(Sales!$AR$1)-1)/2)+Sales!AT$4,0)=EOMONTH($AI$1,0),Sales!AT$3*Sales!AT$5,0)+IF(EOMONTH(DATE(YEAR(Sales!$AO$1),MONTH(Sales!$AO$1),1)+INT((DAY(Sales!$AO$1)-1)/2)+Sales!AQ$4,0)=EOMONTH($AI$1,0),Sales!AQ$3*Sales!AQ$5,0)+IF(EOMONTH(DATE(YEAR(Sales!$AL$1),MONTH(Sales!$AL$1),1)+INT((DAY(Sales!$AL$1)-1)/2)+Sales!AN$4,0)=EOMONTH($AI$1,0),Sales!AN$3*Sales!AN$5,0)+IF(EOMONTH(DATE(YEAR(Sales!$AI$1),MONTH(Sales!$AI$1),1)+INT((DAY(Sales!$AI$1)-1)/2)+Sales!AK$4,0)=EOMONTH($AI$1,0),Sales!AK$3*Sales!AK$5,0)+IF(EOMONTH(DATE(YEAR(Sales!$AF$1),MONTH(Sales!$AF$1),1)+INT((DAY(Sales!$AF$1)-1)/2)+Sales!AH$4,0)=EOMONTH($AI$1,0),Sales!AH$3*Sales!AH$5,0)+IF(EOMONTH(DATE(YEAR(Sales!$AC$1),MONTH(Sales!$AC$1),1)+INT((DAY(Sales!$AC$1)-1)/2)+Sales!AE$4,0)=EOMONTH($AI$1,0),Sales!AE$3*Sales!AE$5,0)+IF(EOMONTH(DATE(YEAR(Sales!$Z$1),MONTH(Sales!$Z$1),1)+INT((DAY(Sales!$Z$1)-1)/2)+Sales!AB$4,0)=EOMONTH($AI$1,0),Sales!AB$3*Sales!AB$5,0)+IF(EOMONTH(DATE(YEAR(Sales!$W$1),MONTH(Sales!$W$1),1)+INT((DAY(Sales!$W$1)-1)/2)+Sales!Y$4,0)=EOMONTH($AI$1,0),Sales!Y$3*Sales!Y$5,0)+IF(EOMONTH(DATE(YEAR(Sales!$T$1),MONTH(Sales!$T$1),1)+INT((DAY(Sales!$T$1)-1)/2)+Sales!V$4,0)=EOMONTH($AI$1,0),Sales!V$3*Sales!V$5,0)+IF(EOMONTH(DATE(YEAR(Sales!$Q$1),MONTH(Sales!$Q$1),1)+INT((DAY(Sales!$Q$1)-1)/2)+Sales!S$4,0)=EOMONTH($AI$1,0),Sales!S$3*Sales!S$5,0)+IF(EOMONTH(DATE(YEAR(Sales!$N$1),MONTH(Sales!$N$1),1)+INT((DAY(Sales!$N$1)-1)/2)+Sales!P$4,0)=EOMONTH($AI$1,0),Sales!P$3*Sales!P$5,0)+IF(EOMONTH(DATE(YEAR(Sales!$K$1),MONTH(Sales!$K$1),1)+INT((DAY(Sales!$K$1)-1)/2)+Sales!M$4,0)=EOMONTH($AI$1,0),Sales!M$3*Sales!M$5,0)+IF(EOMONTH('Cash Drivers'!$DL$30+Sales!DN$4,0)=EOMONTH($AI$1,0),'Cash Drivers'!$DL$31*Sales!DN$5,0),0)</f>
        <v>38</v>
      </c>
      <c r="AL6" s="23"/>
      <c r="AM6" s="23" t="n">
        <f aca="false">IF('Cash Drivers'!AM$26,AL6,ROUND(IF(EOMONTH(DATE(YEAR(Sales!$DL$1),MONTH(Sales!$DL$1),1)+INT((DAY(Sales!$DL$1)-1)/2)+Sales!DM$4,0)=EOMONTH($AL$1,0),Sales!DM$3*Sales!DM$5,0)+IF(EOMONTH(DATE(YEAR(Sales!$DI$1),MONTH(Sales!$DI$1),1)+INT((DAY(Sales!$DI$1)-1)/2)+Sales!DJ$4,0)=EOMONTH($AL$1,0),Sales!DJ$3*Sales!DJ$5,0)+IF(EOMONTH(DATE(YEAR(Sales!$DF$1),MONTH(Sales!$DF$1),1)+INT((DAY(Sales!$DF$1)-1)/2)+Sales!DG$4,0)=EOMONTH($AL$1,0),Sales!DG$3*Sales!DG$5,0)+IF(EOMONTH(DATE(YEAR(Sales!$DC$1),MONTH(Sales!$DC$1),1)+INT((DAY(Sales!$DC$1)-1)/2)+Sales!DD$4,0)=EOMONTH($AL$1,0),Sales!DD$3*Sales!DD$5,0)+IF(EOMONTH(DATE(YEAR(Sales!$CZ$1),MONTH(Sales!$CZ$1),1)+INT((DAY(Sales!$CZ$1)-1)/2)+Sales!DA$4,0)=EOMONTH($AL$1,0),Sales!DA$3*Sales!DA$5,0)+IF(EOMONTH(DATE(YEAR(Sales!$CW$1),MONTH(Sales!$CW$1),1)+INT((DAY(Sales!$CW$1)-1)/2)+Sales!CX$4,0)=EOMONTH($AL$1,0),Sales!CX$3*Sales!CX$5,0)+IF(EOMONTH(DATE(YEAR(Sales!$CT$1),MONTH(Sales!$CT$1),1)+INT((DAY(Sales!$CT$1)-1)/2)+Sales!CU$4,0)=EOMONTH($AL$1,0),Sales!CU$3*Sales!CU$5,0)+IF(EOMONTH(DATE(YEAR(Sales!$CQ$1),MONTH(Sales!$CQ$1),1)+INT((DAY(Sales!$CQ$1)-1)/2)+Sales!CR$4,0)=EOMONTH($AL$1,0),Sales!CR$3*Sales!CR$5,0)+IF(EOMONTH(DATE(YEAR(Sales!$CN$1),MONTH(Sales!$CN$1),1)+INT((DAY(Sales!$CN$1)-1)/2)+Sales!CO$4,0)=EOMONTH($AL$1,0),Sales!CO$3*Sales!CO$5,0)+IF(EOMONTH(DATE(YEAR(Sales!$CK$1),MONTH(Sales!$CK$1),1)+INT((DAY(Sales!$CK$1)-1)/2)+Sales!CL$4,0)=EOMONTH($AL$1,0),Sales!CL$3*Sales!CL$5,0)+IF(EOMONTH(DATE(YEAR(Sales!$CH$1),MONTH(Sales!$CH$1),1)+INT((DAY(Sales!$CH$1)-1)/2)+Sales!CI$4,0)=EOMONTH($AL$1,0),Sales!CI$3*Sales!CI$5,0)+IF(EOMONTH(DATE(YEAR(Sales!$CE$1),MONTH(Sales!$CE$1),1)+INT((DAY(Sales!$CE$1)-1)/2)+Sales!CF$4,0)=EOMONTH($AL$1,0),Sales!CF$3*Sales!CF$5,0)+IF(EOMONTH(DATE(YEAR(Sales!$CB$1),MONTH(Sales!$CB$1),1)+INT((DAY(Sales!$CB$1)-1)/2)+Sales!CC$4,0)=EOMONTH($AL$1,0),Sales!CC$3*Sales!CC$5,0)+IF(EOMONTH(DATE(YEAR(Sales!$BY$1),MONTH(Sales!$BY$1),1)+INT((DAY(Sales!$BY$1)-1)/2)+Sales!BZ$4,0)=EOMONTH($AL$1,0),Sales!BZ$3*Sales!BZ$5,0)+IF(EOMONTH(DATE(YEAR(Sales!$BV$1),MONTH(Sales!$BV$1),1)+INT((DAY(Sales!$BV$1)-1)/2)+Sales!BW$4,0)=EOMONTH($AL$1,0),Sales!BW$3*Sales!BW$5,0)+IF(EOMONTH(DATE(YEAR(Sales!$BS$1),MONTH(Sales!$BS$1),1)+INT((DAY(Sales!$BS$1)-1)/2)+Sales!BT$4,0)=EOMONTH($AL$1,0),Sales!BT$3*Sales!BT$5,0)+IF(EOMONTH(DATE(YEAR(Sales!$BP$1),MONTH(Sales!$BP$1),1)+INT((DAY(Sales!$BP$1)-1)/2)+Sales!BQ$4,0)=EOMONTH($AL$1,0),Sales!BQ$3*Sales!BQ$5,0)+IF(EOMONTH(DATE(YEAR(Sales!$BM$1),MONTH(Sales!$BM$1),1)+INT((DAY(Sales!$BM$1)-1)/2)+Sales!BN$4,0)=EOMONTH($AL$1,0),Sales!BN$3*Sales!BN$5,0)+IF(EOMONTH(DATE(YEAR(Sales!$BJ$1),MONTH(Sales!$BJ$1),1)+INT((DAY(Sales!$BJ$1)-1)/2)+Sales!BK$4,0)=EOMONTH($AL$1,0),Sales!BK$3*Sales!BK$5,0)+IF(EOMONTH(DATE(YEAR(Sales!$BG$1),MONTH(Sales!$BG$1),1)+INT((DAY(Sales!$BG$1)-1)/2)+Sales!BH$4,0)=EOMONTH($AL$1,0),Sales!BH$3*Sales!BH$5,0)+IF(EOMONTH(DATE(YEAR(Sales!$BD$1),MONTH(Sales!$BD$1),1)+INT((DAY(Sales!$BD$1)-1)/2)+Sales!BE$4,0)=EOMONTH($AL$1,0),Sales!BE$3*Sales!BE$5,0)+IF(EOMONTH(DATE(YEAR(Sales!$BA$1),MONTH(Sales!$BA$1),1)+INT((DAY(Sales!$BA$1)-1)/2)+Sales!BB$4,0)=EOMONTH($AL$1,0),Sales!BB$3*Sales!BB$5,0)+IF(EOMONTH(DATE(YEAR(Sales!$AX$1),MONTH(Sales!$AX$1),1)+INT((DAY(Sales!$AX$1)-1)/2)+Sales!AY$4,0)=EOMONTH($AL$1,0),Sales!AY$3*Sales!AY$5,0)+IF(EOMONTH(DATE(YEAR(Sales!$AU$1),MONTH(Sales!$AU$1),1)+INT((DAY(Sales!$AU$1)-1)/2)+Sales!AV$4,0)=EOMONTH($AL$1,0),Sales!AV$3*Sales!AV$5,0)+IF(EOMONTH(DATE(YEAR(Sales!$AR$1),MONTH(Sales!$AR$1),1)+INT((DAY(Sales!$AR$1)-1)/2)+Sales!AS$4,0)=EOMONTH($AL$1,0),Sales!AS$3*Sales!AS$5,0)+IF(EOMONTH(DATE(YEAR(Sales!$AO$1),MONTH(Sales!$AO$1),1)+INT((DAY(Sales!$AO$1)-1)/2)+Sales!AP$4,0)=EOMONTH($AL$1,0),Sales!AP$3*Sales!AP$5,0)+IF(EOMONTH(DATE(YEAR(Sales!$AL$1),MONTH(Sales!$AL$1),1)+INT((DAY(Sales!$AL$1)-1)/2)+Sales!AM$4,0)=EOMONTH($AL$1,0),Sales!AM$3*Sales!AM$5,0)+IF(EOMONTH(DATE(YEAR(Sales!$AI$1),MONTH(Sales!$AI$1),1)+INT((DAY(Sales!$AI$1)-1)/2)+Sales!AJ$4,0)=EOMONTH($AL$1,0),Sales!AJ$3*Sales!AJ$5,0)+IF(EOMONTH(DATE(YEAR(Sales!$AF$1),MONTH(Sales!$AF$1),1)+INT((DAY(Sales!$AF$1)-1)/2)+Sales!AG$4,0)=EOMONTH($AL$1,0),Sales!AG$3*Sales!AG$5,0)+IF(EOMONTH(DATE(YEAR(Sales!$AC$1),MONTH(Sales!$AC$1),1)+INT((DAY(Sales!$AC$1)-1)/2)+Sales!AD$4,0)=EOMONTH($AL$1,0),Sales!AD$3*Sales!AD$5,0)+IF(EOMONTH(DATE(YEAR(Sales!$Z$1),MONTH(Sales!$Z$1),1)+INT((DAY(Sales!$Z$1)-1)/2)+Sales!AA$4,0)=EOMONTH($AL$1,0),Sales!AA$3*Sales!AA$5,0)+IF(EOMONTH(DATE(YEAR(Sales!$W$1),MONTH(Sales!$W$1),1)+INT((DAY(Sales!$W$1)-1)/2)+Sales!X$4,0)=EOMONTH($AL$1,0),Sales!X$3*Sales!X$5,0)+IF(EOMONTH(DATE(YEAR(Sales!$T$1),MONTH(Sales!$T$1),1)+INT((DAY(Sales!$T$1)-1)/2)+Sales!U$4,0)=EOMONTH($AL$1,0),Sales!U$3*Sales!U$5,0)+IF(EOMONTH(DATE(YEAR(Sales!$Q$1),MONTH(Sales!$Q$1),1)+INT((DAY(Sales!$Q$1)-1)/2)+Sales!R$4,0)=EOMONTH($AL$1,0),Sales!R$3*Sales!R$5,0)+IF(EOMONTH(DATE(YEAR(Sales!$N$1),MONTH(Sales!$N$1),1)+INT((DAY(Sales!$N$1)-1)/2)+Sales!O$4,0)=EOMONTH($AL$1,0),Sales!O$3*Sales!O$5,0)+IF(EOMONTH(DATE(YEAR(Sales!$K$1),MONTH(Sales!$K$1),1)+INT((DAY(Sales!$K$1)-1)/2)+Sales!L$4,0)=EOMONTH($AL$1,0),Sales!L$3*Sales!L$5,0)+IF(EOMONTH('Cash Drivers'!$DL$30+Sales!DM$4,0)=EOMONTH($AL$1,0),'Cash Drivers'!$DL$31*Sales!DM$5,0),0))</f>
        <v>38</v>
      </c>
      <c r="AN6" s="23" t="n">
        <f aca="false">ROUND(IF(EOMONTH(DATE(YEAR(Sales!$DL$1),MONTH(Sales!$DL$1),1)+INT((DAY(Sales!$DL$1)-1)/2)+Sales!DN$4,0)=EOMONTH($AL$1,0),Sales!DN$3*Sales!DN$5,0)+IF(EOMONTH(DATE(YEAR(Sales!$DI$1),MONTH(Sales!$DI$1),1)+INT((DAY(Sales!$DI$1)-1)/2)+Sales!DK$4,0)=EOMONTH($AL$1,0),Sales!DK$3*Sales!DK$5,0)+IF(EOMONTH(DATE(YEAR(Sales!$DF$1),MONTH(Sales!$DF$1),1)+INT((DAY(Sales!$DF$1)-1)/2)+Sales!DH$4,0)=EOMONTH($AL$1,0),Sales!DH$3*Sales!DH$5,0)+IF(EOMONTH(DATE(YEAR(Sales!$DC$1),MONTH(Sales!$DC$1),1)+INT((DAY(Sales!$DC$1)-1)/2)+Sales!DE$4,0)=EOMONTH($AL$1,0),Sales!DE$3*Sales!DE$5,0)+IF(EOMONTH(DATE(YEAR(Sales!$CZ$1),MONTH(Sales!$CZ$1),1)+INT((DAY(Sales!$CZ$1)-1)/2)+Sales!DB$4,0)=EOMONTH($AL$1,0),Sales!DB$3*Sales!DB$5,0)+IF(EOMONTH(DATE(YEAR(Sales!$CW$1),MONTH(Sales!$CW$1),1)+INT((DAY(Sales!$CW$1)-1)/2)+Sales!CY$4,0)=EOMONTH($AL$1,0),Sales!CY$3*Sales!CY$5,0)+IF(EOMONTH(DATE(YEAR(Sales!$CT$1),MONTH(Sales!$CT$1),1)+INT((DAY(Sales!$CT$1)-1)/2)+Sales!CV$4,0)=EOMONTH($AL$1,0),Sales!CV$3*Sales!CV$5,0)+IF(EOMONTH(DATE(YEAR(Sales!$CQ$1),MONTH(Sales!$CQ$1),1)+INT((DAY(Sales!$CQ$1)-1)/2)+Sales!CS$4,0)=EOMONTH($AL$1,0),Sales!CS$3*Sales!CS$5,0)+IF(EOMONTH(DATE(YEAR(Sales!$CN$1),MONTH(Sales!$CN$1),1)+INT((DAY(Sales!$CN$1)-1)/2)+Sales!CP$4,0)=EOMONTH($AL$1,0),Sales!CP$3*Sales!CP$5,0)+IF(EOMONTH(DATE(YEAR(Sales!$CK$1),MONTH(Sales!$CK$1),1)+INT((DAY(Sales!$CK$1)-1)/2)+Sales!CM$4,0)=EOMONTH($AL$1,0),Sales!CM$3*Sales!CM$5,0)+IF(EOMONTH(DATE(YEAR(Sales!$CH$1),MONTH(Sales!$CH$1),1)+INT((DAY(Sales!$CH$1)-1)/2)+Sales!CJ$4,0)=EOMONTH($AL$1,0),Sales!CJ$3*Sales!CJ$5,0)+IF(EOMONTH(DATE(YEAR(Sales!$CE$1),MONTH(Sales!$CE$1),1)+INT((DAY(Sales!$CE$1)-1)/2)+Sales!CG$4,0)=EOMONTH($AL$1,0),Sales!CG$3*Sales!CG$5,0)+IF(EOMONTH(DATE(YEAR(Sales!$CB$1),MONTH(Sales!$CB$1),1)+INT((DAY(Sales!$CB$1)-1)/2)+Sales!CD$4,0)=EOMONTH($AL$1,0),Sales!CD$3*Sales!CD$5,0)+IF(EOMONTH(DATE(YEAR(Sales!$BY$1),MONTH(Sales!$BY$1),1)+INT((DAY(Sales!$BY$1)-1)/2)+Sales!CA$4,0)=EOMONTH($AL$1,0),Sales!CA$3*Sales!CA$5,0)+IF(EOMONTH(DATE(YEAR(Sales!$BV$1),MONTH(Sales!$BV$1),1)+INT((DAY(Sales!$BV$1)-1)/2)+Sales!BX$4,0)=EOMONTH($AL$1,0),Sales!BX$3*Sales!BX$5,0)+IF(EOMONTH(DATE(YEAR(Sales!$BS$1),MONTH(Sales!$BS$1),1)+INT((DAY(Sales!$BS$1)-1)/2)+Sales!BU$4,0)=EOMONTH($AL$1,0),Sales!BU$3*Sales!BU$5,0)+IF(EOMONTH(DATE(YEAR(Sales!$BP$1),MONTH(Sales!$BP$1),1)+INT((DAY(Sales!$BP$1)-1)/2)+Sales!BR$4,0)=EOMONTH($AL$1,0),Sales!BR$3*Sales!BR$5,0)+IF(EOMONTH(DATE(YEAR(Sales!$BM$1),MONTH(Sales!$BM$1),1)+INT((DAY(Sales!$BM$1)-1)/2)+Sales!BO$4,0)=EOMONTH($AL$1,0),Sales!BO$3*Sales!BO$5,0)+IF(EOMONTH(DATE(YEAR(Sales!$BJ$1),MONTH(Sales!$BJ$1),1)+INT((DAY(Sales!$BJ$1)-1)/2)+Sales!BL$4,0)=EOMONTH($AL$1,0),Sales!BL$3*Sales!BL$5,0)+IF(EOMONTH(DATE(YEAR(Sales!$BG$1),MONTH(Sales!$BG$1),1)+INT((DAY(Sales!$BG$1)-1)/2)+Sales!BI$4,0)=EOMONTH($AL$1,0),Sales!BI$3*Sales!BI$5,0)+IF(EOMONTH(DATE(YEAR(Sales!$BD$1),MONTH(Sales!$BD$1),1)+INT((DAY(Sales!$BD$1)-1)/2)+Sales!BF$4,0)=EOMONTH($AL$1,0),Sales!BF$3*Sales!BF$5,0)+IF(EOMONTH(DATE(YEAR(Sales!$BA$1),MONTH(Sales!$BA$1),1)+INT((DAY(Sales!$BA$1)-1)/2)+Sales!BC$4,0)=EOMONTH($AL$1,0),Sales!BC$3*Sales!BC$5,0)+IF(EOMONTH(DATE(YEAR(Sales!$AX$1),MONTH(Sales!$AX$1),1)+INT((DAY(Sales!$AX$1)-1)/2)+Sales!AZ$4,0)=EOMONTH($AL$1,0),Sales!AZ$3*Sales!AZ$5,0)+IF(EOMONTH(DATE(YEAR(Sales!$AU$1),MONTH(Sales!$AU$1),1)+INT((DAY(Sales!$AU$1)-1)/2)+Sales!AW$4,0)=EOMONTH($AL$1,0),Sales!AW$3*Sales!AW$5,0)+IF(EOMONTH(DATE(YEAR(Sales!$AR$1),MONTH(Sales!$AR$1),1)+INT((DAY(Sales!$AR$1)-1)/2)+Sales!AT$4,0)=EOMONTH($AL$1,0),Sales!AT$3*Sales!AT$5,0)+IF(EOMONTH(DATE(YEAR(Sales!$AO$1),MONTH(Sales!$AO$1),1)+INT((DAY(Sales!$AO$1)-1)/2)+Sales!AQ$4,0)=EOMONTH($AL$1,0),Sales!AQ$3*Sales!AQ$5,0)+IF(EOMONTH(DATE(YEAR(Sales!$AL$1),MONTH(Sales!$AL$1),1)+INT((DAY(Sales!$AL$1)-1)/2)+Sales!AN$4,0)=EOMONTH($AL$1,0),Sales!AN$3*Sales!AN$5,0)+IF(EOMONTH(DATE(YEAR(Sales!$AI$1),MONTH(Sales!$AI$1),1)+INT((DAY(Sales!$AI$1)-1)/2)+Sales!AK$4,0)=EOMONTH($AL$1,0),Sales!AK$3*Sales!AK$5,0)+IF(EOMONTH(DATE(YEAR(Sales!$AF$1),MONTH(Sales!$AF$1),1)+INT((DAY(Sales!$AF$1)-1)/2)+Sales!AH$4,0)=EOMONTH($AL$1,0),Sales!AH$3*Sales!AH$5,0)+IF(EOMONTH(DATE(YEAR(Sales!$AC$1),MONTH(Sales!$AC$1),1)+INT((DAY(Sales!$AC$1)-1)/2)+Sales!AE$4,0)=EOMONTH($AL$1,0),Sales!AE$3*Sales!AE$5,0)+IF(EOMONTH(DATE(YEAR(Sales!$Z$1),MONTH(Sales!$Z$1),1)+INT((DAY(Sales!$Z$1)-1)/2)+Sales!AB$4,0)=EOMONTH($AL$1,0),Sales!AB$3*Sales!AB$5,0)+IF(EOMONTH(DATE(YEAR(Sales!$W$1),MONTH(Sales!$W$1),1)+INT((DAY(Sales!$W$1)-1)/2)+Sales!Y$4,0)=EOMONTH($AL$1,0),Sales!Y$3*Sales!Y$5,0)+IF(EOMONTH(DATE(YEAR(Sales!$T$1),MONTH(Sales!$T$1),1)+INT((DAY(Sales!$T$1)-1)/2)+Sales!V$4,0)=EOMONTH($AL$1,0),Sales!V$3*Sales!V$5,0)+IF(EOMONTH(DATE(YEAR(Sales!$Q$1),MONTH(Sales!$Q$1),1)+INT((DAY(Sales!$Q$1)-1)/2)+Sales!S$4,0)=EOMONTH($AL$1,0),Sales!S$3*Sales!S$5,0)+IF(EOMONTH(DATE(YEAR(Sales!$N$1),MONTH(Sales!$N$1),1)+INT((DAY(Sales!$N$1)-1)/2)+Sales!P$4,0)=EOMONTH($AL$1,0),Sales!P$3*Sales!P$5,0)+IF(EOMONTH(DATE(YEAR(Sales!$K$1),MONTH(Sales!$K$1),1)+INT((DAY(Sales!$K$1)-1)/2)+Sales!M$4,0)=EOMONTH($AL$1,0),Sales!M$3*Sales!M$5,0)+IF(EOMONTH('Cash Drivers'!$DL$30+Sales!DN$4,0)=EOMONTH($AL$1,0),'Cash Drivers'!$DL$31*Sales!DN$5,0),0)</f>
        <v>38</v>
      </c>
      <c r="AO6" s="2"/>
      <c r="AP6" s="2" t="n">
        <f aca="false">IF('Cash Drivers'!AP$26,AO6,ROUND(IF(EOMONTH(DATE(YEAR(Sales!$DL$1),MONTH(Sales!$DL$1),1)+INT((DAY(Sales!$DL$1)-1)/2)+Sales!DM$4,0)=EOMONTH($AO$1,0),Sales!DM$3*Sales!DM$5,0)+IF(EOMONTH(DATE(YEAR(Sales!$DI$1),MONTH(Sales!$DI$1),1)+INT((DAY(Sales!$DI$1)-1)/2)+Sales!DJ$4,0)=EOMONTH($AO$1,0),Sales!DJ$3*Sales!DJ$5,0)+IF(EOMONTH(DATE(YEAR(Sales!$DF$1),MONTH(Sales!$DF$1),1)+INT((DAY(Sales!$DF$1)-1)/2)+Sales!DG$4,0)=EOMONTH($AO$1,0),Sales!DG$3*Sales!DG$5,0)+IF(EOMONTH(DATE(YEAR(Sales!$DC$1),MONTH(Sales!$DC$1),1)+INT((DAY(Sales!$DC$1)-1)/2)+Sales!DD$4,0)=EOMONTH($AO$1,0),Sales!DD$3*Sales!DD$5,0)+IF(EOMONTH(DATE(YEAR(Sales!$CZ$1),MONTH(Sales!$CZ$1),1)+INT((DAY(Sales!$CZ$1)-1)/2)+Sales!DA$4,0)=EOMONTH($AO$1,0),Sales!DA$3*Sales!DA$5,0)+IF(EOMONTH(DATE(YEAR(Sales!$CW$1),MONTH(Sales!$CW$1),1)+INT((DAY(Sales!$CW$1)-1)/2)+Sales!CX$4,0)=EOMONTH($AO$1,0),Sales!CX$3*Sales!CX$5,0)+IF(EOMONTH(DATE(YEAR(Sales!$CT$1),MONTH(Sales!$CT$1),1)+INT((DAY(Sales!$CT$1)-1)/2)+Sales!CU$4,0)=EOMONTH($AO$1,0),Sales!CU$3*Sales!CU$5,0)+IF(EOMONTH(DATE(YEAR(Sales!$CQ$1),MONTH(Sales!$CQ$1),1)+INT((DAY(Sales!$CQ$1)-1)/2)+Sales!CR$4,0)=EOMONTH($AO$1,0),Sales!CR$3*Sales!CR$5,0)+IF(EOMONTH(DATE(YEAR(Sales!$CN$1),MONTH(Sales!$CN$1),1)+INT((DAY(Sales!$CN$1)-1)/2)+Sales!CO$4,0)=EOMONTH($AO$1,0),Sales!CO$3*Sales!CO$5,0)+IF(EOMONTH(DATE(YEAR(Sales!$CK$1),MONTH(Sales!$CK$1),1)+INT((DAY(Sales!$CK$1)-1)/2)+Sales!CL$4,0)=EOMONTH($AO$1,0),Sales!CL$3*Sales!CL$5,0)+IF(EOMONTH(DATE(YEAR(Sales!$CH$1),MONTH(Sales!$CH$1),1)+INT((DAY(Sales!$CH$1)-1)/2)+Sales!CI$4,0)=EOMONTH($AO$1,0),Sales!CI$3*Sales!CI$5,0)+IF(EOMONTH(DATE(YEAR(Sales!$CE$1),MONTH(Sales!$CE$1),1)+INT((DAY(Sales!$CE$1)-1)/2)+Sales!CF$4,0)=EOMONTH($AO$1,0),Sales!CF$3*Sales!CF$5,0)+IF(EOMONTH(DATE(YEAR(Sales!$CB$1),MONTH(Sales!$CB$1),1)+INT((DAY(Sales!$CB$1)-1)/2)+Sales!CC$4,0)=EOMONTH($AO$1,0),Sales!CC$3*Sales!CC$5,0)+IF(EOMONTH(DATE(YEAR(Sales!$BY$1),MONTH(Sales!$BY$1),1)+INT((DAY(Sales!$BY$1)-1)/2)+Sales!BZ$4,0)=EOMONTH($AO$1,0),Sales!BZ$3*Sales!BZ$5,0)+IF(EOMONTH(DATE(YEAR(Sales!$BV$1),MONTH(Sales!$BV$1),1)+INT((DAY(Sales!$BV$1)-1)/2)+Sales!BW$4,0)=EOMONTH($AO$1,0),Sales!BW$3*Sales!BW$5,0)+IF(EOMONTH(DATE(YEAR(Sales!$BS$1),MONTH(Sales!$BS$1),1)+INT((DAY(Sales!$BS$1)-1)/2)+Sales!BT$4,0)=EOMONTH($AO$1,0),Sales!BT$3*Sales!BT$5,0)+IF(EOMONTH(DATE(YEAR(Sales!$BP$1),MONTH(Sales!$BP$1),1)+INT((DAY(Sales!$BP$1)-1)/2)+Sales!BQ$4,0)=EOMONTH($AO$1,0),Sales!BQ$3*Sales!BQ$5,0)+IF(EOMONTH(DATE(YEAR(Sales!$BM$1),MONTH(Sales!$BM$1),1)+INT((DAY(Sales!$BM$1)-1)/2)+Sales!BN$4,0)=EOMONTH($AO$1,0),Sales!BN$3*Sales!BN$5,0)+IF(EOMONTH(DATE(YEAR(Sales!$BJ$1),MONTH(Sales!$BJ$1),1)+INT((DAY(Sales!$BJ$1)-1)/2)+Sales!BK$4,0)=EOMONTH($AO$1,0),Sales!BK$3*Sales!BK$5,0)+IF(EOMONTH(DATE(YEAR(Sales!$BG$1),MONTH(Sales!$BG$1),1)+INT((DAY(Sales!$BG$1)-1)/2)+Sales!BH$4,0)=EOMONTH($AO$1,0),Sales!BH$3*Sales!BH$5,0)+IF(EOMONTH(DATE(YEAR(Sales!$BD$1),MONTH(Sales!$BD$1),1)+INT((DAY(Sales!$BD$1)-1)/2)+Sales!BE$4,0)=EOMONTH($AO$1,0),Sales!BE$3*Sales!BE$5,0)+IF(EOMONTH(DATE(YEAR(Sales!$BA$1),MONTH(Sales!$BA$1),1)+INT((DAY(Sales!$BA$1)-1)/2)+Sales!BB$4,0)=EOMONTH($AO$1,0),Sales!BB$3*Sales!BB$5,0)+IF(EOMONTH(DATE(YEAR(Sales!$AX$1),MONTH(Sales!$AX$1),1)+INT((DAY(Sales!$AX$1)-1)/2)+Sales!AY$4,0)=EOMONTH($AO$1,0),Sales!AY$3*Sales!AY$5,0)+IF(EOMONTH(DATE(YEAR(Sales!$AU$1),MONTH(Sales!$AU$1),1)+INT((DAY(Sales!$AU$1)-1)/2)+Sales!AV$4,0)=EOMONTH($AO$1,0),Sales!AV$3*Sales!AV$5,0)+IF(EOMONTH(DATE(YEAR(Sales!$AR$1),MONTH(Sales!$AR$1),1)+INT((DAY(Sales!$AR$1)-1)/2)+Sales!AS$4,0)=EOMONTH($AO$1,0),Sales!AS$3*Sales!AS$5,0)+IF(EOMONTH(DATE(YEAR(Sales!$AO$1),MONTH(Sales!$AO$1),1)+INT((DAY(Sales!$AO$1)-1)/2)+Sales!AP$4,0)=EOMONTH($AO$1,0),Sales!AP$3*Sales!AP$5,0)+IF(EOMONTH(DATE(YEAR(Sales!$AL$1),MONTH(Sales!$AL$1),1)+INT((DAY(Sales!$AL$1)-1)/2)+Sales!AM$4,0)=EOMONTH($AO$1,0),Sales!AM$3*Sales!AM$5,0)+IF(EOMONTH(DATE(YEAR(Sales!$AI$1),MONTH(Sales!$AI$1),1)+INT((DAY(Sales!$AI$1)-1)/2)+Sales!AJ$4,0)=EOMONTH($AO$1,0),Sales!AJ$3*Sales!AJ$5,0)+IF(EOMONTH(DATE(YEAR(Sales!$AF$1),MONTH(Sales!$AF$1),1)+INT((DAY(Sales!$AF$1)-1)/2)+Sales!AG$4,0)=EOMONTH($AO$1,0),Sales!AG$3*Sales!AG$5,0)+IF(EOMONTH(DATE(YEAR(Sales!$AC$1),MONTH(Sales!$AC$1),1)+INT((DAY(Sales!$AC$1)-1)/2)+Sales!AD$4,0)=EOMONTH($AO$1,0),Sales!AD$3*Sales!AD$5,0)+IF(EOMONTH(DATE(YEAR(Sales!$Z$1),MONTH(Sales!$Z$1),1)+INT((DAY(Sales!$Z$1)-1)/2)+Sales!AA$4,0)=EOMONTH($AO$1,0),Sales!AA$3*Sales!AA$5,0)+IF(EOMONTH(DATE(YEAR(Sales!$W$1),MONTH(Sales!$W$1),1)+INT((DAY(Sales!$W$1)-1)/2)+Sales!X$4,0)=EOMONTH($AO$1,0),Sales!X$3*Sales!X$5,0)+IF(EOMONTH(DATE(YEAR(Sales!$T$1),MONTH(Sales!$T$1),1)+INT((DAY(Sales!$T$1)-1)/2)+Sales!U$4,0)=EOMONTH($AO$1,0),Sales!U$3*Sales!U$5,0)+IF(EOMONTH(DATE(YEAR(Sales!$Q$1),MONTH(Sales!$Q$1),1)+INT((DAY(Sales!$Q$1)-1)/2)+Sales!R$4,0)=EOMONTH($AO$1,0),Sales!R$3*Sales!R$5,0)+IF(EOMONTH(DATE(YEAR(Sales!$N$1),MONTH(Sales!$N$1),1)+INT((DAY(Sales!$N$1)-1)/2)+Sales!O$4,0)=EOMONTH($AO$1,0),Sales!O$3*Sales!O$5,0)+IF(EOMONTH(DATE(YEAR(Sales!$K$1),MONTH(Sales!$K$1),1)+INT((DAY(Sales!$K$1)-1)/2)+Sales!L$4,0)=EOMONTH($AO$1,0),Sales!L$3*Sales!L$5,0)+IF(EOMONTH('Cash Drivers'!$DL$30+Sales!DM$4,0)=EOMONTH($AO$1,0),'Cash Drivers'!$DL$31*Sales!DM$5,0),0))</f>
        <v>38</v>
      </c>
      <c r="AQ6" s="2" t="n">
        <f aca="false">ROUND(IF(EOMONTH(DATE(YEAR(Sales!$DL$1),MONTH(Sales!$DL$1),1)+INT((DAY(Sales!$DL$1)-1)/2)+Sales!DN$4,0)=EOMONTH($AO$1,0),Sales!DN$3*Sales!DN$5,0)+IF(EOMONTH(DATE(YEAR(Sales!$DI$1),MONTH(Sales!$DI$1),1)+INT((DAY(Sales!$DI$1)-1)/2)+Sales!DK$4,0)=EOMONTH($AO$1,0),Sales!DK$3*Sales!DK$5,0)+IF(EOMONTH(DATE(YEAR(Sales!$DF$1),MONTH(Sales!$DF$1),1)+INT((DAY(Sales!$DF$1)-1)/2)+Sales!DH$4,0)=EOMONTH($AO$1,0),Sales!DH$3*Sales!DH$5,0)+IF(EOMONTH(DATE(YEAR(Sales!$DC$1),MONTH(Sales!$DC$1),1)+INT((DAY(Sales!$DC$1)-1)/2)+Sales!DE$4,0)=EOMONTH($AO$1,0),Sales!DE$3*Sales!DE$5,0)+IF(EOMONTH(DATE(YEAR(Sales!$CZ$1),MONTH(Sales!$CZ$1),1)+INT((DAY(Sales!$CZ$1)-1)/2)+Sales!DB$4,0)=EOMONTH($AO$1,0),Sales!DB$3*Sales!DB$5,0)+IF(EOMONTH(DATE(YEAR(Sales!$CW$1),MONTH(Sales!$CW$1),1)+INT((DAY(Sales!$CW$1)-1)/2)+Sales!CY$4,0)=EOMONTH($AO$1,0),Sales!CY$3*Sales!CY$5,0)+IF(EOMONTH(DATE(YEAR(Sales!$CT$1),MONTH(Sales!$CT$1),1)+INT((DAY(Sales!$CT$1)-1)/2)+Sales!CV$4,0)=EOMONTH($AO$1,0),Sales!CV$3*Sales!CV$5,0)+IF(EOMONTH(DATE(YEAR(Sales!$CQ$1),MONTH(Sales!$CQ$1),1)+INT((DAY(Sales!$CQ$1)-1)/2)+Sales!CS$4,0)=EOMONTH($AO$1,0),Sales!CS$3*Sales!CS$5,0)+IF(EOMONTH(DATE(YEAR(Sales!$CN$1),MONTH(Sales!$CN$1),1)+INT((DAY(Sales!$CN$1)-1)/2)+Sales!CP$4,0)=EOMONTH($AO$1,0),Sales!CP$3*Sales!CP$5,0)+IF(EOMONTH(DATE(YEAR(Sales!$CK$1),MONTH(Sales!$CK$1),1)+INT((DAY(Sales!$CK$1)-1)/2)+Sales!CM$4,0)=EOMONTH($AO$1,0),Sales!CM$3*Sales!CM$5,0)+IF(EOMONTH(DATE(YEAR(Sales!$CH$1),MONTH(Sales!$CH$1),1)+INT((DAY(Sales!$CH$1)-1)/2)+Sales!CJ$4,0)=EOMONTH($AO$1,0),Sales!CJ$3*Sales!CJ$5,0)+IF(EOMONTH(DATE(YEAR(Sales!$CE$1),MONTH(Sales!$CE$1),1)+INT((DAY(Sales!$CE$1)-1)/2)+Sales!CG$4,0)=EOMONTH($AO$1,0),Sales!CG$3*Sales!CG$5,0)+IF(EOMONTH(DATE(YEAR(Sales!$CB$1),MONTH(Sales!$CB$1),1)+INT((DAY(Sales!$CB$1)-1)/2)+Sales!CD$4,0)=EOMONTH($AO$1,0),Sales!CD$3*Sales!CD$5,0)+IF(EOMONTH(DATE(YEAR(Sales!$BY$1),MONTH(Sales!$BY$1),1)+INT((DAY(Sales!$BY$1)-1)/2)+Sales!CA$4,0)=EOMONTH($AO$1,0),Sales!CA$3*Sales!CA$5,0)+IF(EOMONTH(DATE(YEAR(Sales!$BV$1),MONTH(Sales!$BV$1),1)+INT((DAY(Sales!$BV$1)-1)/2)+Sales!BX$4,0)=EOMONTH($AO$1,0),Sales!BX$3*Sales!BX$5,0)+IF(EOMONTH(DATE(YEAR(Sales!$BS$1),MONTH(Sales!$BS$1),1)+INT((DAY(Sales!$BS$1)-1)/2)+Sales!BU$4,0)=EOMONTH($AO$1,0),Sales!BU$3*Sales!BU$5,0)+IF(EOMONTH(DATE(YEAR(Sales!$BP$1),MONTH(Sales!$BP$1),1)+INT((DAY(Sales!$BP$1)-1)/2)+Sales!BR$4,0)=EOMONTH($AO$1,0),Sales!BR$3*Sales!BR$5,0)+IF(EOMONTH(DATE(YEAR(Sales!$BM$1),MONTH(Sales!$BM$1),1)+INT((DAY(Sales!$BM$1)-1)/2)+Sales!BO$4,0)=EOMONTH($AO$1,0),Sales!BO$3*Sales!BO$5,0)+IF(EOMONTH(DATE(YEAR(Sales!$BJ$1),MONTH(Sales!$BJ$1),1)+INT((DAY(Sales!$BJ$1)-1)/2)+Sales!BL$4,0)=EOMONTH($AO$1,0),Sales!BL$3*Sales!BL$5,0)+IF(EOMONTH(DATE(YEAR(Sales!$BG$1),MONTH(Sales!$BG$1),1)+INT((DAY(Sales!$BG$1)-1)/2)+Sales!BI$4,0)=EOMONTH($AO$1,0),Sales!BI$3*Sales!BI$5,0)+IF(EOMONTH(DATE(YEAR(Sales!$BD$1),MONTH(Sales!$BD$1),1)+INT((DAY(Sales!$BD$1)-1)/2)+Sales!BF$4,0)=EOMONTH($AO$1,0),Sales!BF$3*Sales!BF$5,0)+IF(EOMONTH(DATE(YEAR(Sales!$BA$1),MONTH(Sales!$BA$1),1)+INT((DAY(Sales!$BA$1)-1)/2)+Sales!BC$4,0)=EOMONTH($AO$1,0),Sales!BC$3*Sales!BC$5,0)+IF(EOMONTH(DATE(YEAR(Sales!$AX$1),MONTH(Sales!$AX$1),1)+INT((DAY(Sales!$AX$1)-1)/2)+Sales!AZ$4,0)=EOMONTH($AO$1,0),Sales!AZ$3*Sales!AZ$5,0)+IF(EOMONTH(DATE(YEAR(Sales!$AU$1),MONTH(Sales!$AU$1),1)+INT((DAY(Sales!$AU$1)-1)/2)+Sales!AW$4,0)=EOMONTH($AO$1,0),Sales!AW$3*Sales!AW$5,0)+IF(EOMONTH(DATE(YEAR(Sales!$AR$1),MONTH(Sales!$AR$1),1)+INT((DAY(Sales!$AR$1)-1)/2)+Sales!AT$4,0)=EOMONTH($AO$1,0),Sales!AT$3*Sales!AT$5,0)+IF(EOMONTH(DATE(YEAR(Sales!$AO$1),MONTH(Sales!$AO$1),1)+INT((DAY(Sales!$AO$1)-1)/2)+Sales!AQ$4,0)=EOMONTH($AO$1,0),Sales!AQ$3*Sales!AQ$5,0)+IF(EOMONTH(DATE(YEAR(Sales!$AL$1),MONTH(Sales!$AL$1),1)+INT((DAY(Sales!$AL$1)-1)/2)+Sales!AN$4,0)=EOMONTH($AO$1,0),Sales!AN$3*Sales!AN$5,0)+IF(EOMONTH(DATE(YEAR(Sales!$AI$1),MONTH(Sales!$AI$1),1)+INT((DAY(Sales!$AI$1)-1)/2)+Sales!AK$4,0)=EOMONTH($AO$1,0),Sales!AK$3*Sales!AK$5,0)+IF(EOMONTH(DATE(YEAR(Sales!$AF$1),MONTH(Sales!$AF$1),1)+INT((DAY(Sales!$AF$1)-1)/2)+Sales!AH$4,0)=EOMONTH($AO$1,0),Sales!AH$3*Sales!AH$5,0)+IF(EOMONTH(DATE(YEAR(Sales!$AC$1),MONTH(Sales!$AC$1),1)+INT((DAY(Sales!$AC$1)-1)/2)+Sales!AE$4,0)=EOMONTH($AO$1,0),Sales!AE$3*Sales!AE$5,0)+IF(EOMONTH(DATE(YEAR(Sales!$Z$1),MONTH(Sales!$Z$1),1)+INT((DAY(Sales!$Z$1)-1)/2)+Sales!AB$4,0)=EOMONTH($AO$1,0),Sales!AB$3*Sales!AB$5,0)+IF(EOMONTH(DATE(YEAR(Sales!$W$1),MONTH(Sales!$W$1),1)+INT((DAY(Sales!$W$1)-1)/2)+Sales!Y$4,0)=EOMONTH($AO$1,0),Sales!Y$3*Sales!Y$5,0)+IF(EOMONTH(DATE(YEAR(Sales!$T$1),MONTH(Sales!$T$1),1)+INT((DAY(Sales!$T$1)-1)/2)+Sales!V$4,0)=EOMONTH($AO$1,0),Sales!V$3*Sales!V$5,0)+IF(EOMONTH(DATE(YEAR(Sales!$Q$1),MONTH(Sales!$Q$1),1)+INT((DAY(Sales!$Q$1)-1)/2)+Sales!S$4,0)=EOMONTH($AO$1,0),Sales!S$3*Sales!S$5,0)+IF(EOMONTH(DATE(YEAR(Sales!$N$1),MONTH(Sales!$N$1),1)+INT((DAY(Sales!$N$1)-1)/2)+Sales!P$4,0)=EOMONTH($AO$1,0),Sales!P$3*Sales!P$5,0)+IF(EOMONTH(DATE(YEAR(Sales!$K$1),MONTH(Sales!$K$1),1)+INT((DAY(Sales!$K$1)-1)/2)+Sales!M$4,0)=EOMONTH($AO$1,0),Sales!M$3*Sales!M$5,0)+IF(EOMONTH('Cash Drivers'!$DL$30+Sales!DN$4,0)=EOMONTH($AO$1,0),'Cash Drivers'!$DL$31*Sales!DN$5,0),0)</f>
        <v>38</v>
      </c>
      <c r="AR6" s="23"/>
      <c r="AS6" s="23" t="n">
        <f aca="false">IF('Cash Drivers'!AS$26,AR6,ROUND(IF(EOMONTH(DATE(YEAR(Sales!$DL$1),MONTH(Sales!$DL$1),1)+INT((DAY(Sales!$DL$1)-1)/2)+Sales!DM$4,0)=EOMONTH($AR$1,0),Sales!DM$3*Sales!DM$5,0)+IF(EOMONTH(DATE(YEAR(Sales!$DI$1),MONTH(Sales!$DI$1),1)+INT((DAY(Sales!$DI$1)-1)/2)+Sales!DJ$4,0)=EOMONTH($AR$1,0),Sales!DJ$3*Sales!DJ$5,0)+IF(EOMONTH(DATE(YEAR(Sales!$DF$1),MONTH(Sales!$DF$1),1)+INT((DAY(Sales!$DF$1)-1)/2)+Sales!DG$4,0)=EOMONTH($AR$1,0),Sales!DG$3*Sales!DG$5,0)+IF(EOMONTH(DATE(YEAR(Sales!$DC$1),MONTH(Sales!$DC$1),1)+INT((DAY(Sales!$DC$1)-1)/2)+Sales!DD$4,0)=EOMONTH($AR$1,0),Sales!DD$3*Sales!DD$5,0)+IF(EOMONTH(DATE(YEAR(Sales!$CZ$1),MONTH(Sales!$CZ$1),1)+INT((DAY(Sales!$CZ$1)-1)/2)+Sales!DA$4,0)=EOMONTH($AR$1,0),Sales!DA$3*Sales!DA$5,0)+IF(EOMONTH(DATE(YEAR(Sales!$CW$1),MONTH(Sales!$CW$1),1)+INT((DAY(Sales!$CW$1)-1)/2)+Sales!CX$4,0)=EOMONTH($AR$1,0),Sales!CX$3*Sales!CX$5,0)+IF(EOMONTH(DATE(YEAR(Sales!$CT$1),MONTH(Sales!$CT$1),1)+INT((DAY(Sales!$CT$1)-1)/2)+Sales!CU$4,0)=EOMONTH($AR$1,0),Sales!CU$3*Sales!CU$5,0)+IF(EOMONTH(DATE(YEAR(Sales!$CQ$1),MONTH(Sales!$CQ$1),1)+INT((DAY(Sales!$CQ$1)-1)/2)+Sales!CR$4,0)=EOMONTH($AR$1,0),Sales!CR$3*Sales!CR$5,0)+IF(EOMONTH(DATE(YEAR(Sales!$CN$1),MONTH(Sales!$CN$1),1)+INT((DAY(Sales!$CN$1)-1)/2)+Sales!CO$4,0)=EOMONTH($AR$1,0),Sales!CO$3*Sales!CO$5,0)+IF(EOMONTH(DATE(YEAR(Sales!$CK$1),MONTH(Sales!$CK$1),1)+INT((DAY(Sales!$CK$1)-1)/2)+Sales!CL$4,0)=EOMONTH($AR$1,0),Sales!CL$3*Sales!CL$5,0)+IF(EOMONTH(DATE(YEAR(Sales!$CH$1),MONTH(Sales!$CH$1),1)+INT((DAY(Sales!$CH$1)-1)/2)+Sales!CI$4,0)=EOMONTH($AR$1,0),Sales!CI$3*Sales!CI$5,0)+IF(EOMONTH(DATE(YEAR(Sales!$CE$1),MONTH(Sales!$CE$1),1)+INT((DAY(Sales!$CE$1)-1)/2)+Sales!CF$4,0)=EOMONTH($AR$1,0),Sales!CF$3*Sales!CF$5,0)+IF(EOMONTH(DATE(YEAR(Sales!$CB$1),MONTH(Sales!$CB$1),1)+INT((DAY(Sales!$CB$1)-1)/2)+Sales!CC$4,0)=EOMONTH($AR$1,0),Sales!CC$3*Sales!CC$5,0)+IF(EOMONTH(DATE(YEAR(Sales!$BY$1),MONTH(Sales!$BY$1),1)+INT((DAY(Sales!$BY$1)-1)/2)+Sales!BZ$4,0)=EOMONTH($AR$1,0),Sales!BZ$3*Sales!BZ$5,0)+IF(EOMONTH(DATE(YEAR(Sales!$BV$1),MONTH(Sales!$BV$1),1)+INT((DAY(Sales!$BV$1)-1)/2)+Sales!BW$4,0)=EOMONTH($AR$1,0),Sales!BW$3*Sales!BW$5,0)+IF(EOMONTH(DATE(YEAR(Sales!$BS$1),MONTH(Sales!$BS$1),1)+INT((DAY(Sales!$BS$1)-1)/2)+Sales!BT$4,0)=EOMONTH($AR$1,0),Sales!BT$3*Sales!BT$5,0)+IF(EOMONTH(DATE(YEAR(Sales!$BP$1),MONTH(Sales!$BP$1),1)+INT((DAY(Sales!$BP$1)-1)/2)+Sales!BQ$4,0)=EOMONTH($AR$1,0),Sales!BQ$3*Sales!BQ$5,0)+IF(EOMONTH(DATE(YEAR(Sales!$BM$1),MONTH(Sales!$BM$1),1)+INT((DAY(Sales!$BM$1)-1)/2)+Sales!BN$4,0)=EOMONTH($AR$1,0),Sales!BN$3*Sales!BN$5,0)+IF(EOMONTH(DATE(YEAR(Sales!$BJ$1),MONTH(Sales!$BJ$1),1)+INT((DAY(Sales!$BJ$1)-1)/2)+Sales!BK$4,0)=EOMONTH($AR$1,0),Sales!BK$3*Sales!BK$5,0)+IF(EOMONTH(DATE(YEAR(Sales!$BG$1),MONTH(Sales!$BG$1),1)+INT((DAY(Sales!$BG$1)-1)/2)+Sales!BH$4,0)=EOMONTH($AR$1,0),Sales!BH$3*Sales!BH$5,0)+IF(EOMONTH(DATE(YEAR(Sales!$BD$1),MONTH(Sales!$BD$1),1)+INT((DAY(Sales!$BD$1)-1)/2)+Sales!BE$4,0)=EOMONTH($AR$1,0),Sales!BE$3*Sales!BE$5,0)+IF(EOMONTH(DATE(YEAR(Sales!$BA$1),MONTH(Sales!$BA$1),1)+INT((DAY(Sales!$BA$1)-1)/2)+Sales!BB$4,0)=EOMONTH($AR$1,0),Sales!BB$3*Sales!BB$5,0)+IF(EOMONTH(DATE(YEAR(Sales!$AX$1),MONTH(Sales!$AX$1),1)+INT((DAY(Sales!$AX$1)-1)/2)+Sales!AY$4,0)=EOMONTH($AR$1,0),Sales!AY$3*Sales!AY$5,0)+IF(EOMONTH(DATE(YEAR(Sales!$AU$1),MONTH(Sales!$AU$1),1)+INT((DAY(Sales!$AU$1)-1)/2)+Sales!AV$4,0)=EOMONTH($AR$1,0),Sales!AV$3*Sales!AV$5,0)+IF(EOMONTH(DATE(YEAR(Sales!$AR$1),MONTH(Sales!$AR$1),1)+INT((DAY(Sales!$AR$1)-1)/2)+Sales!AS$4,0)=EOMONTH($AR$1,0),Sales!AS$3*Sales!AS$5,0)+IF(EOMONTH(DATE(YEAR(Sales!$AO$1),MONTH(Sales!$AO$1),1)+INT((DAY(Sales!$AO$1)-1)/2)+Sales!AP$4,0)=EOMONTH($AR$1,0),Sales!AP$3*Sales!AP$5,0)+IF(EOMONTH(DATE(YEAR(Sales!$AL$1),MONTH(Sales!$AL$1),1)+INT((DAY(Sales!$AL$1)-1)/2)+Sales!AM$4,0)=EOMONTH($AR$1,0),Sales!AM$3*Sales!AM$5,0)+IF(EOMONTH(DATE(YEAR(Sales!$AI$1),MONTH(Sales!$AI$1),1)+INT((DAY(Sales!$AI$1)-1)/2)+Sales!AJ$4,0)=EOMONTH($AR$1,0),Sales!AJ$3*Sales!AJ$5,0)+IF(EOMONTH(DATE(YEAR(Sales!$AF$1),MONTH(Sales!$AF$1),1)+INT((DAY(Sales!$AF$1)-1)/2)+Sales!AG$4,0)=EOMONTH($AR$1,0),Sales!AG$3*Sales!AG$5,0)+IF(EOMONTH(DATE(YEAR(Sales!$AC$1),MONTH(Sales!$AC$1),1)+INT((DAY(Sales!$AC$1)-1)/2)+Sales!AD$4,0)=EOMONTH($AR$1,0),Sales!AD$3*Sales!AD$5,0)+IF(EOMONTH(DATE(YEAR(Sales!$Z$1),MONTH(Sales!$Z$1),1)+INT((DAY(Sales!$Z$1)-1)/2)+Sales!AA$4,0)=EOMONTH($AR$1,0),Sales!AA$3*Sales!AA$5,0)+IF(EOMONTH(DATE(YEAR(Sales!$W$1),MONTH(Sales!$W$1),1)+INT((DAY(Sales!$W$1)-1)/2)+Sales!X$4,0)=EOMONTH($AR$1,0),Sales!X$3*Sales!X$5,0)+IF(EOMONTH(DATE(YEAR(Sales!$T$1),MONTH(Sales!$T$1),1)+INT((DAY(Sales!$T$1)-1)/2)+Sales!U$4,0)=EOMONTH($AR$1,0),Sales!U$3*Sales!U$5,0)+IF(EOMONTH(DATE(YEAR(Sales!$Q$1),MONTH(Sales!$Q$1),1)+INT((DAY(Sales!$Q$1)-1)/2)+Sales!R$4,0)=EOMONTH($AR$1,0),Sales!R$3*Sales!R$5,0)+IF(EOMONTH(DATE(YEAR(Sales!$N$1),MONTH(Sales!$N$1),1)+INT((DAY(Sales!$N$1)-1)/2)+Sales!O$4,0)=EOMONTH($AR$1,0),Sales!O$3*Sales!O$5,0)+IF(EOMONTH(DATE(YEAR(Sales!$K$1),MONTH(Sales!$K$1),1)+INT((DAY(Sales!$K$1)-1)/2)+Sales!L$4,0)=EOMONTH($AR$1,0),Sales!L$3*Sales!L$5,0)+IF(EOMONTH('Cash Drivers'!$DL$30+Sales!DM$4,0)=EOMONTH($AR$1,0),'Cash Drivers'!$DL$31*Sales!DM$5,0),0))</f>
        <v>28</v>
      </c>
      <c r="AT6" s="23" t="n">
        <f aca="false">ROUND(IF(EOMONTH(DATE(YEAR(Sales!$DL$1),MONTH(Sales!$DL$1),1)+INT((DAY(Sales!$DL$1)-1)/2)+Sales!DN$4,0)=EOMONTH($AR$1,0),Sales!DN$3*Sales!DN$5,0)+IF(EOMONTH(DATE(YEAR(Sales!$DI$1),MONTH(Sales!$DI$1),1)+INT((DAY(Sales!$DI$1)-1)/2)+Sales!DK$4,0)=EOMONTH($AR$1,0),Sales!DK$3*Sales!DK$5,0)+IF(EOMONTH(DATE(YEAR(Sales!$DF$1),MONTH(Sales!$DF$1),1)+INT((DAY(Sales!$DF$1)-1)/2)+Sales!DH$4,0)=EOMONTH($AR$1,0),Sales!DH$3*Sales!DH$5,0)+IF(EOMONTH(DATE(YEAR(Sales!$DC$1),MONTH(Sales!$DC$1),1)+INT((DAY(Sales!$DC$1)-1)/2)+Sales!DE$4,0)=EOMONTH($AR$1,0),Sales!DE$3*Sales!DE$5,0)+IF(EOMONTH(DATE(YEAR(Sales!$CZ$1),MONTH(Sales!$CZ$1),1)+INT((DAY(Sales!$CZ$1)-1)/2)+Sales!DB$4,0)=EOMONTH($AR$1,0),Sales!DB$3*Sales!DB$5,0)+IF(EOMONTH(DATE(YEAR(Sales!$CW$1),MONTH(Sales!$CW$1),1)+INT((DAY(Sales!$CW$1)-1)/2)+Sales!CY$4,0)=EOMONTH($AR$1,0),Sales!CY$3*Sales!CY$5,0)+IF(EOMONTH(DATE(YEAR(Sales!$CT$1),MONTH(Sales!$CT$1),1)+INT((DAY(Sales!$CT$1)-1)/2)+Sales!CV$4,0)=EOMONTH($AR$1,0),Sales!CV$3*Sales!CV$5,0)+IF(EOMONTH(DATE(YEAR(Sales!$CQ$1),MONTH(Sales!$CQ$1),1)+INT((DAY(Sales!$CQ$1)-1)/2)+Sales!CS$4,0)=EOMONTH($AR$1,0),Sales!CS$3*Sales!CS$5,0)+IF(EOMONTH(DATE(YEAR(Sales!$CN$1),MONTH(Sales!$CN$1),1)+INT((DAY(Sales!$CN$1)-1)/2)+Sales!CP$4,0)=EOMONTH($AR$1,0),Sales!CP$3*Sales!CP$5,0)+IF(EOMONTH(DATE(YEAR(Sales!$CK$1),MONTH(Sales!$CK$1),1)+INT((DAY(Sales!$CK$1)-1)/2)+Sales!CM$4,0)=EOMONTH($AR$1,0),Sales!CM$3*Sales!CM$5,0)+IF(EOMONTH(DATE(YEAR(Sales!$CH$1),MONTH(Sales!$CH$1),1)+INT((DAY(Sales!$CH$1)-1)/2)+Sales!CJ$4,0)=EOMONTH($AR$1,0),Sales!CJ$3*Sales!CJ$5,0)+IF(EOMONTH(DATE(YEAR(Sales!$CE$1),MONTH(Sales!$CE$1),1)+INT((DAY(Sales!$CE$1)-1)/2)+Sales!CG$4,0)=EOMONTH($AR$1,0),Sales!CG$3*Sales!CG$5,0)+IF(EOMONTH(DATE(YEAR(Sales!$CB$1),MONTH(Sales!$CB$1),1)+INT((DAY(Sales!$CB$1)-1)/2)+Sales!CD$4,0)=EOMONTH($AR$1,0),Sales!CD$3*Sales!CD$5,0)+IF(EOMONTH(DATE(YEAR(Sales!$BY$1),MONTH(Sales!$BY$1),1)+INT((DAY(Sales!$BY$1)-1)/2)+Sales!CA$4,0)=EOMONTH($AR$1,0),Sales!CA$3*Sales!CA$5,0)+IF(EOMONTH(DATE(YEAR(Sales!$BV$1),MONTH(Sales!$BV$1),1)+INT((DAY(Sales!$BV$1)-1)/2)+Sales!BX$4,0)=EOMONTH($AR$1,0),Sales!BX$3*Sales!BX$5,0)+IF(EOMONTH(DATE(YEAR(Sales!$BS$1),MONTH(Sales!$BS$1),1)+INT((DAY(Sales!$BS$1)-1)/2)+Sales!BU$4,0)=EOMONTH($AR$1,0),Sales!BU$3*Sales!BU$5,0)+IF(EOMONTH(DATE(YEAR(Sales!$BP$1),MONTH(Sales!$BP$1),1)+INT((DAY(Sales!$BP$1)-1)/2)+Sales!BR$4,0)=EOMONTH($AR$1,0),Sales!BR$3*Sales!BR$5,0)+IF(EOMONTH(DATE(YEAR(Sales!$BM$1),MONTH(Sales!$BM$1),1)+INT((DAY(Sales!$BM$1)-1)/2)+Sales!BO$4,0)=EOMONTH($AR$1,0),Sales!BO$3*Sales!BO$5,0)+IF(EOMONTH(DATE(YEAR(Sales!$BJ$1),MONTH(Sales!$BJ$1),1)+INT((DAY(Sales!$BJ$1)-1)/2)+Sales!BL$4,0)=EOMONTH($AR$1,0),Sales!BL$3*Sales!BL$5,0)+IF(EOMONTH(DATE(YEAR(Sales!$BG$1),MONTH(Sales!$BG$1),1)+INT((DAY(Sales!$BG$1)-1)/2)+Sales!BI$4,0)=EOMONTH($AR$1,0),Sales!BI$3*Sales!BI$5,0)+IF(EOMONTH(DATE(YEAR(Sales!$BD$1),MONTH(Sales!$BD$1),1)+INT((DAY(Sales!$BD$1)-1)/2)+Sales!BF$4,0)=EOMONTH($AR$1,0),Sales!BF$3*Sales!BF$5,0)+IF(EOMONTH(DATE(YEAR(Sales!$BA$1),MONTH(Sales!$BA$1),1)+INT((DAY(Sales!$BA$1)-1)/2)+Sales!BC$4,0)=EOMONTH($AR$1,0),Sales!BC$3*Sales!BC$5,0)+IF(EOMONTH(DATE(YEAR(Sales!$AX$1),MONTH(Sales!$AX$1),1)+INT((DAY(Sales!$AX$1)-1)/2)+Sales!AZ$4,0)=EOMONTH($AR$1,0),Sales!AZ$3*Sales!AZ$5,0)+IF(EOMONTH(DATE(YEAR(Sales!$AU$1),MONTH(Sales!$AU$1),1)+INT((DAY(Sales!$AU$1)-1)/2)+Sales!AW$4,0)=EOMONTH($AR$1,0),Sales!AW$3*Sales!AW$5,0)+IF(EOMONTH(DATE(YEAR(Sales!$AR$1),MONTH(Sales!$AR$1),1)+INT((DAY(Sales!$AR$1)-1)/2)+Sales!AT$4,0)=EOMONTH($AR$1,0),Sales!AT$3*Sales!AT$5,0)+IF(EOMONTH(DATE(YEAR(Sales!$AO$1),MONTH(Sales!$AO$1),1)+INT((DAY(Sales!$AO$1)-1)/2)+Sales!AQ$4,0)=EOMONTH($AR$1,0),Sales!AQ$3*Sales!AQ$5,0)+IF(EOMONTH(DATE(YEAR(Sales!$AL$1),MONTH(Sales!$AL$1),1)+INT((DAY(Sales!$AL$1)-1)/2)+Sales!AN$4,0)=EOMONTH($AR$1,0),Sales!AN$3*Sales!AN$5,0)+IF(EOMONTH(DATE(YEAR(Sales!$AI$1),MONTH(Sales!$AI$1),1)+INT((DAY(Sales!$AI$1)-1)/2)+Sales!AK$4,0)=EOMONTH($AR$1,0),Sales!AK$3*Sales!AK$5,0)+IF(EOMONTH(DATE(YEAR(Sales!$AF$1),MONTH(Sales!$AF$1),1)+INT((DAY(Sales!$AF$1)-1)/2)+Sales!AH$4,0)=EOMONTH($AR$1,0),Sales!AH$3*Sales!AH$5,0)+IF(EOMONTH(DATE(YEAR(Sales!$AC$1),MONTH(Sales!$AC$1),1)+INT((DAY(Sales!$AC$1)-1)/2)+Sales!AE$4,0)=EOMONTH($AR$1,0),Sales!AE$3*Sales!AE$5,0)+IF(EOMONTH(DATE(YEAR(Sales!$Z$1),MONTH(Sales!$Z$1),1)+INT((DAY(Sales!$Z$1)-1)/2)+Sales!AB$4,0)=EOMONTH($AR$1,0),Sales!AB$3*Sales!AB$5,0)+IF(EOMONTH(DATE(YEAR(Sales!$W$1),MONTH(Sales!$W$1),1)+INT((DAY(Sales!$W$1)-1)/2)+Sales!Y$4,0)=EOMONTH($AR$1,0),Sales!Y$3*Sales!Y$5,0)+IF(EOMONTH(DATE(YEAR(Sales!$T$1),MONTH(Sales!$T$1),1)+INT((DAY(Sales!$T$1)-1)/2)+Sales!V$4,0)=EOMONTH($AR$1,0),Sales!V$3*Sales!V$5,0)+IF(EOMONTH(DATE(YEAR(Sales!$Q$1),MONTH(Sales!$Q$1),1)+INT((DAY(Sales!$Q$1)-1)/2)+Sales!S$4,0)=EOMONTH($AR$1,0),Sales!S$3*Sales!S$5,0)+IF(EOMONTH(DATE(YEAR(Sales!$N$1),MONTH(Sales!$N$1),1)+INT((DAY(Sales!$N$1)-1)/2)+Sales!P$4,0)=EOMONTH($AR$1,0),Sales!P$3*Sales!P$5,0)+IF(EOMONTH(DATE(YEAR(Sales!$K$1),MONTH(Sales!$K$1),1)+INT((DAY(Sales!$K$1)-1)/2)+Sales!M$4,0)=EOMONTH($AR$1,0),Sales!M$3*Sales!M$5,0)+IF(EOMONTH('Cash Drivers'!$DL$30+Sales!DN$4,0)=EOMONTH($AR$1,0),'Cash Drivers'!$DL$31*Sales!DN$5,0),0)</f>
        <v>28</v>
      </c>
      <c r="AU6" s="2"/>
      <c r="AV6" s="2" t="n">
        <f aca="false">IF('Cash Drivers'!AV$26,AU6,ROUND(IF(EOMONTH(DATE(YEAR(Sales!$DL$1),MONTH(Sales!$DL$1),1)+INT((DAY(Sales!$DL$1)-1)/2)+Sales!DM$4,0)=EOMONTH($AU$1,0),Sales!DM$3*Sales!DM$5,0)+IF(EOMONTH(DATE(YEAR(Sales!$DI$1),MONTH(Sales!$DI$1),1)+INT((DAY(Sales!$DI$1)-1)/2)+Sales!DJ$4,0)=EOMONTH($AU$1,0),Sales!DJ$3*Sales!DJ$5,0)+IF(EOMONTH(DATE(YEAR(Sales!$DF$1),MONTH(Sales!$DF$1),1)+INT((DAY(Sales!$DF$1)-1)/2)+Sales!DG$4,0)=EOMONTH($AU$1,0),Sales!DG$3*Sales!DG$5,0)+IF(EOMONTH(DATE(YEAR(Sales!$DC$1),MONTH(Sales!$DC$1),1)+INT((DAY(Sales!$DC$1)-1)/2)+Sales!DD$4,0)=EOMONTH($AU$1,0),Sales!DD$3*Sales!DD$5,0)+IF(EOMONTH(DATE(YEAR(Sales!$CZ$1),MONTH(Sales!$CZ$1),1)+INT((DAY(Sales!$CZ$1)-1)/2)+Sales!DA$4,0)=EOMONTH($AU$1,0),Sales!DA$3*Sales!DA$5,0)+IF(EOMONTH(DATE(YEAR(Sales!$CW$1),MONTH(Sales!$CW$1),1)+INT((DAY(Sales!$CW$1)-1)/2)+Sales!CX$4,0)=EOMONTH($AU$1,0),Sales!CX$3*Sales!CX$5,0)+IF(EOMONTH(DATE(YEAR(Sales!$CT$1),MONTH(Sales!$CT$1),1)+INT((DAY(Sales!$CT$1)-1)/2)+Sales!CU$4,0)=EOMONTH($AU$1,0),Sales!CU$3*Sales!CU$5,0)+IF(EOMONTH(DATE(YEAR(Sales!$CQ$1),MONTH(Sales!$CQ$1),1)+INT((DAY(Sales!$CQ$1)-1)/2)+Sales!CR$4,0)=EOMONTH($AU$1,0),Sales!CR$3*Sales!CR$5,0)+IF(EOMONTH(DATE(YEAR(Sales!$CN$1),MONTH(Sales!$CN$1),1)+INT((DAY(Sales!$CN$1)-1)/2)+Sales!CO$4,0)=EOMONTH($AU$1,0),Sales!CO$3*Sales!CO$5,0)+IF(EOMONTH(DATE(YEAR(Sales!$CK$1),MONTH(Sales!$CK$1),1)+INT((DAY(Sales!$CK$1)-1)/2)+Sales!CL$4,0)=EOMONTH($AU$1,0),Sales!CL$3*Sales!CL$5,0)+IF(EOMONTH(DATE(YEAR(Sales!$CH$1),MONTH(Sales!$CH$1),1)+INT((DAY(Sales!$CH$1)-1)/2)+Sales!CI$4,0)=EOMONTH($AU$1,0),Sales!CI$3*Sales!CI$5,0)+IF(EOMONTH(DATE(YEAR(Sales!$CE$1),MONTH(Sales!$CE$1),1)+INT((DAY(Sales!$CE$1)-1)/2)+Sales!CF$4,0)=EOMONTH($AU$1,0),Sales!CF$3*Sales!CF$5,0)+IF(EOMONTH(DATE(YEAR(Sales!$CB$1),MONTH(Sales!$CB$1),1)+INT((DAY(Sales!$CB$1)-1)/2)+Sales!CC$4,0)=EOMONTH($AU$1,0),Sales!CC$3*Sales!CC$5,0)+IF(EOMONTH(DATE(YEAR(Sales!$BY$1),MONTH(Sales!$BY$1),1)+INT((DAY(Sales!$BY$1)-1)/2)+Sales!BZ$4,0)=EOMONTH($AU$1,0),Sales!BZ$3*Sales!BZ$5,0)+IF(EOMONTH(DATE(YEAR(Sales!$BV$1),MONTH(Sales!$BV$1),1)+INT((DAY(Sales!$BV$1)-1)/2)+Sales!BW$4,0)=EOMONTH($AU$1,0),Sales!BW$3*Sales!BW$5,0)+IF(EOMONTH(DATE(YEAR(Sales!$BS$1),MONTH(Sales!$BS$1),1)+INT((DAY(Sales!$BS$1)-1)/2)+Sales!BT$4,0)=EOMONTH($AU$1,0),Sales!BT$3*Sales!BT$5,0)+IF(EOMONTH(DATE(YEAR(Sales!$BP$1),MONTH(Sales!$BP$1),1)+INT((DAY(Sales!$BP$1)-1)/2)+Sales!BQ$4,0)=EOMONTH($AU$1,0),Sales!BQ$3*Sales!BQ$5,0)+IF(EOMONTH(DATE(YEAR(Sales!$BM$1),MONTH(Sales!$BM$1),1)+INT((DAY(Sales!$BM$1)-1)/2)+Sales!BN$4,0)=EOMONTH($AU$1,0),Sales!BN$3*Sales!BN$5,0)+IF(EOMONTH(DATE(YEAR(Sales!$BJ$1),MONTH(Sales!$BJ$1),1)+INT((DAY(Sales!$BJ$1)-1)/2)+Sales!BK$4,0)=EOMONTH($AU$1,0),Sales!BK$3*Sales!BK$5,0)+IF(EOMONTH(DATE(YEAR(Sales!$BG$1),MONTH(Sales!$BG$1),1)+INT((DAY(Sales!$BG$1)-1)/2)+Sales!BH$4,0)=EOMONTH($AU$1,0),Sales!BH$3*Sales!BH$5,0)+IF(EOMONTH(DATE(YEAR(Sales!$BD$1),MONTH(Sales!$BD$1),1)+INT((DAY(Sales!$BD$1)-1)/2)+Sales!BE$4,0)=EOMONTH($AU$1,0),Sales!BE$3*Sales!BE$5,0)+IF(EOMONTH(DATE(YEAR(Sales!$BA$1),MONTH(Sales!$BA$1),1)+INT((DAY(Sales!$BA$1)-1)/2)+Sales!BB$4,0)=EOMONTH($AU$1,0),Sales!BB$3*Sales!BB$5,0)+IF(EOMONTH(DATE(YEAR(Sales!$AX$1),MONTH(Sales!$AX$1),1)+INT((DAY(Sales!$AX$1)-1)/2)+Sales!AY$4,0)=EOMONTH($AU$1,0),Sales!AY$3*Sales!AY$5,0)+IF(EOMONTH(DATE(YEAR(Sales!$AU$1),MONTH(Sales!$AU$1),1)+INT((DAY(Sales!$AU$1)-1)/2)+Sales!AV$4,0)=EOMONTH($AU$1,0),Sales!AV$3*Sales!AV$5,0)+IF(EOMONTH(DATE(YEAR(Sales!$AR$1),MONTH(Sales!$AR$1),1)+INT((DAY(Sales!$AR$1)-1)/2)+Sales!AS$4,0)=EOMONTH($AU$1,0),Sales!AS$3*Sales!AS$5,0)+IF(EOMONTH(DATE(YEAR(Sales!$AO$1),MONTH(Sales!$AO$1),1)+INT((DAY(Sales!$AO$1)-1)/2)+Sales!AP$4,0)=EOMONTH($AU$1,0),Sales!AP$3*Sales!AP$5,0)+IF(EOMONTH(DATE(YEAR(Sales!$AL$1),MONTH(Sales!$AL$1),1)+INT((DAY(Sales!$AL$1)-1)/2)+Sales!AM$4,0)=EOMONTH($AU$1,0),Sales!AM$3*Sales!AM$5,0)+IF(EOMONTH(DATE(YEAR(Sales!$AI$1),MONTH(Sales!$AI$1),1)+INT((DAY(Sales!$AI$1)-1)/2)+Sales!AJ$4,0)=EOMONTH($AU$1,0),Sales!AJ$3*Sales!AJ$5,0)+IF(EOMONTH(DATE(YEAR(Sales!$AF$1),MONTH(Sales!$AF$1),1)+INT((DAY(Sales!$AF$1)-1)/2)+Sales!AG$4,0)=EOMONTH($AU$1,0),Sales!AG$3*Sales!AG$5,0)+IF(EOMONTH(DATE(YEAR(Sales!$AC$1),MONTH(Sales!$AC$1),1)+INT((DAY(Sales!$AC$1)-1)/2)+Sales!AD$4,0)=EOMONTH($AU$1,0),Sales!AD$3*Sales!AD$5,0)+IF(EOMONTH(DATE(YEAR(Sales!$Z$1),MONTH(Sales!$Z$1),1)+INT((DAY(Sales!$Z$1)-1)/2)+Sales!AA$4,0)=EOMONTH($AU$1,0),Sales!AA$3*Sales!AA$5,0)+IF(EOMONTH(DATE(YEAR(Sales!$W$1),MONTH(Sales!$W$1),1)+INT((DAY(Sales!$W$1)-1)/2)+Sales!X$4,0)=EOMONTH($AU$1,0),Sales!X$3*Sales!X$5,0)+IF(EOMONTH(DATE(YEAR(Sales!$T$1),MONTH(Sales!$T$1),1)+INT((DAY(Sales!$T$1)-1)/2)+Sales!U$4,0)=EOMONTH($AU$1,0),Sales!U$3*Sales!U$5,0)+IF(EOMONTH(DATE(YEAR(Sales!$Q$1),MONTH(Sales!$Q$1),1)+INT((DAY(Sales!$Q$1)-1)/2)+Sales!R$4,0)=EOMONTH($AU$1,0),Sales!R$3*Sales!R$5,0)+IF(EOMONTH(DATE(YEAR(Sales!$N$1),MONTH(Sales!$N$1),1)+INT((DAY(Sales!$N$1)-1)/2)+Sales!O$4,0)=EOMONTH($AU$1,0),Sales!O$3*Sales!O$5,0)+IF(EOMONTH(DATE(YEAR(Sales!$K$1),MONTH(Sales!$K$1),1)+INT((DAY(Sales!$K$1)-1)/2)+Sales!L$4,0)=EOMONTH($AU$1,0),Sales!L$3*Sales!L$5,0)+IF(EOMONTH('Cash Drivers'!$DL$30+Sales!DM$4,0)=EOMONTH($AU$1,0),'Cash Drivers'!$DL$31*Sales!DM$5,0),0))</f>
        <v>28</v>
      </c>
      <c r="AW6" s="2" t="n">
        <f aca="false">ROUND(IF(EOMONTH(DATE(YEAR(Sales!$DL$1),MONTH(Sales!$DL$1),1)+INT((DAY(Sales!$DL$1)-1)/2)+Sales!DN$4,0)=EOMONTH($AU$1,0),Sales!DN$3*Sales!DN$5,0)+IF(EOMONTH(DATE(YEAR(Sales!$DI$1),MONTH(Sales!$DI$1),1)+INT((DAY(Sales!$DI$1)-1)/2)+Sales!DK$4,0)=EOMONTH($AU$1,0),Sales!DK$3*Sales!DK$5,0)+IF(EOMONTH(DATE(YEAR(Sales!$DF$1),MONTH(Sales!$DF$1),1)+INT((DAY(Sales!$DF$1)-1)/2)+Sales!DH$4,0)=EOMONTH($AU$1,0),Sales!DH$3*Sales!DH$5,0)+IF(EOMONTH(DATE(YEAR(Sales!$DC$1),MONTH(Sales!$DC$1),1)+INT((DAY(Sales!$DC$1)-1)/2)+Sales!DE$4,0)=EOMONTH($AU$1,0),Sales!DE$3*Sales!DE$5,0)+IF(EOMONTH(DATE(YEAR(Sales!$CZ$1),MONTH(Sales!$CZ$1),1)+INT((DAY(Sales!$CZ$1)-1)/2)+Sales!DB$4,0)=EOMONTH($AU$1,0),Sales!DB$3*Sales!DB$5,0)+IF(EOMONTH(DATE(YEAR(Sales!$CW$1),MONTH(Sales!$CW$1),1)+INT((DAY(Sales!$CW$1)-1)/2)+Sales!CY$4,0)=EOMONTH($AU$1,0),Sales!CY$3*Sales!CY$5,0)+IF(EOMONTH(DATE(YEAR(Sales!$CT$1),MONTH(Sales!$CT$1),1)+INT((DAY(Sales!$CT$1)-1)/2)+Sales!CV$4,0)=EOMONTH($AU$1,0),Sales!CV$3*Sales!CV$5,0)+IF(EOMONTH(DATE(YEAR(Sales!$CQ$1),MONTH(Sales!$CQ$1),1)+INT((DAY(Sales!$CQ$1)-1)/2)+Sales!CS$4,0)=EOMONTH($AU$1,0),Sales!CS$3*Sales!CS$5,0)+IF(EOMONTH(DATE(YEAR(Sales!$CN$1),MONTH(Sales!$CN$1),1)+INT((DAY(Sales!$CN$1)-1)/2)+Sales!CP$4,0)=EOMONTH($AU$1,0),Sales!CP$3*Sales!CP$5,0)+IF(EOMONTH(DATE(YEAR(Sales!$CK$1),MONTH(Sales!$CK$1),1)+INT((DAY(Sales!$CK$1)-1)/2)+Sales!CM$4,0)=EOMONTH($AU$1,0),Sales!CM$3*Sales!CM$5,0)+IF(EOMONTH(DATE(YEAR(Sales!$CH$1),MONTH(Sales!$CH$1),1)+INT((DAY(Sales!$CH$1)-1)/2)+Sales!CJ$4,0)=EOMONTH($AU$1,0),Sales!CJ$3*Sales!CJ$5,0)+IF(EOMONTH(DATE(YEAR(Sales!$CE$1),MONTH(Sales!$CE$1),1)+INT((DAY(Sales!$CE$1)-1)/2)+Sales!CG$4,0)=EOMONTH($AU$1,0),Sales!CG$3*Sales!CG$5,0)+IF(EOMONTH(DATE(YEAR(Sales!$CB$1),MONTH(Sales!$CB$1),1)+INT((DAY(Sales!$CB$1)-1)/2)+Sales!CD$4,0)=EOMONTH($AU$1,0),Sales!CD$3*Sales!CD$5,0)+IF(EOMONTH(DATE(YEAR(Sales!$BY$1),MONTH(Sales!$BY$1),1)+INT((DAY(Sales!$BY$1)-1)/2)+Sales!CA$4,0)=EOMONTH($AU$1,0),Sales!CA$3*Sales!CA$5,0)+IF(EOMONTH(DATE(YEAR(Sales!$BV$1),MONTH(Sales!$BV$1),1)+INT((DAY(Sales!$BV$1)-1)/2)+Sales!BX$4,0)=EOMONTH($AU$1,0),Sales!BX$3*Sales!BX$5,0)+IF(EOMONTH(DATE(YEAR(Sales!$BS$1),MONTH(Sales!$BS$1),1)+INT((DAY(Sales!$BS$1)-1)/2)+Sales!BU$4,0)=EOMONTH($AU$1,0),Sales!BU$3*Sales!BU$5,0)+IF(EOMONTH(DATE(YEAR(Sales!$BP$1),MONTH(Sales!$BP$1),1)+INT((DAY(Sales!$BP$1)-1)/2)+Sales!BR$4,0)=EOMONTH($AU$1,0),Sales!BR$3*Sales!BR$5,0)+IF(EOMONTH(DATE(YEAR(Sales!$BM$1),MONTH(Sales!$BM$1),1)+INT((DAY(Sales!$BM$1)-1)/2)+Sales!BO$4,0)=EOMONTH($AU$1,0),Sales!BO$3*Sales!BO$5,0)+IF(EOMONTH(DATE(YEAR(Sales!$BJ$1),MONTH(Sales!$BJ$1),1)+INT((DAY(Sales!$BJ$1)-1)/2)+Sales!BL$4,0)=EOMONTH($AU$1,0),Sales!BL$3*Sales!BL$5,0)+IF(EOMONTH(DATE(YEAR(Sales!$BG$1),MONTH(Sales!$BG$1),1)+INT((DAY(Sales!$BG$1)-1)/2)+Sales!BI$4,0)=EOMONTH($AU$1,0),Sales!BI$3*Sales!BI$5,0)+IF(EOMONTH(DATE(YEAR(Sales!$BD$1),MONTH(Sales!$BD$1),1)+INT((DAY(Sales!$BD$1)-1)/2)+Sales!BF$4,0)=EOMONTH($AU$1,0),Sales!BF$3*Sales!BF$5,0)+IF(EOMONTH(DATE(YEAR(Sales!$BA$1),MONTH(Sales!$BA$1),1)+INT((DAY(Sales!$BA$1)-1)/2)+Sales!BC$4,0)=EOMONTH($AU$1,0),Sales!BC$3*Sales!BC$5,0)+IF(EOMONTH(DATE(YEAR(Sales!$AX$1),MONTH(Sales!$AX$1),1)+INT((DAY(Sales!$AX$1)-1)/2)+Sales!AZ$4,0)=EOMONTH($AU$1,0),Sales!AZ$3*Sales!AZ$5,0)+IF(EOMONTH(DATE(YEAR(Sales!$AU$1),MONTH(Sales!$AU$1),1)+INT((DAY(Sales!$AU$1)-1)/2)+Sales!AW$4,0)=EOMONTH($AU$1,0),Sales!AW$3*Sales!AW$5,0)+IF(EOMONTH(DATE(YEAR(Sales!$AR$1),MONTH(Sales!$AR$1),1)+INT((DAY(Sales!$AR$1)-1)/2)+Sales!AT$4,0)=EOMONTH($AU$1,0),Sales!AT$3*Sales!AT$5,0)+IF(EOMONTH(DATE(YEAR(Sales!$AO$1),MONTH(Sales!$AO$1),1)+INT((DAY(Sales!$AO$1)-1)/2)+Sales!AQ$4,0)=EOMONTH($AU$1,0),Sales!AQ$3*Sales!AQ$5,0)+IF(EOMONTH(DATE(YEAR(Sales!$AL$1),MONTH(Sales!$AL$1),1)+INT((DAY(Sales!$AL$1)-1)/2)+Sales!AN$4,0)=EOMONTH($AU$1,0),Sales!AN$3*Sales!AN$5,0)+IF(EOMONTH(DATE(YEAR(Sales!$AI$1),MONTH(Sales!$AI$1),1)+INT((DAY(Sales!$AI$1)-1)/2)+Sales!AK$4,0)=EOMONTH($AU$1,0),Sales!AK$3*Sales!AK$5,0)+IF(EOMONTH(DATE(YEAR(Sales!$AF$1),MONTH(Sales!$AF$1),1)+INT((DAY(Sales!$AF$1)-1)/2)+Sales!AH$4,0)=EOMONTH($AU$1,0),Sales!AH$3*Sales!AH$5,0)+IF(EOMONTH(DATE(YEAR(Sales!$AC$1),MONTH(Sales!$AC$1),1)+INT((DAY(Sales!$AC$1)-1)/2)+Sales!AE$4,0)=EOMONTH($AU$1,0),Sales!AE$3*Sales!AE$5,0)+IF(EOMONTH(DATE(YEAR(Sales!$Z$1),MONTH(Sales!$Z$1),1)+INT((DAY(Sales!$Z$1)-1)/2)+Sales!AB$4,0)=EOMONTH($AU$1,0),Sales!AB$3*Sales!AB$5,0)+IF(EOMONTH(DATE(YEAR(Sales!$W$1),MONTH(Sales!$W$1),1)+INT((DAY(Sales!$W$1)-1)/2)+Sales!Y$4,0)=EOMONTH($AU$1,0),Sales!Y$3*Sales!Y$5,0)+IF(EOMONTH(DATE(YEAR(Sales!$T$1),MONTH(Sales!$T$1),1)+INT((DAY(Sales!$T$1)-1)/2)+Sales!V$4,0)=EOMONTH($AU$1,0),Sales!V$3*Sales!V$5,0)+IF(EOMONTH(DATE(YEAR(Sales!$Q$1),MONTH(Sales!$Q$1),1)+INT((DAY(Sales!$Q$1)-1)/2)+Sales!S$4,0)=EOMONTH($AU$1,0),Sales!S$3*Sales!S$5,0)+IF(EOMONTH(DATE(YEAR(Sales!$N$1),MONTH(Sales!$N$1),1)+INT((DAY(Sales!$N$1)-1)/2)+Sales!P$4,0)=EOMONTH($AU$1,0),Sales!P$3*Sales!P$5,0)+IF(EOMONTH(DATE(YEAR(Sales!$K$1),MONTH(Sales!$K$1),1)+INT((DAY(Sales!$K$1)-1)/2)+Sales!M$4,0)=EOMONTH($AU$1,0),Sales!M$3*Sales!M$5,0)+IF(EOMONTH('Cash Drivers'!$DL$30+Sales!DN$4,0)=EOMONTH($AU$1,0),'Cash Drivers'!$DL$31*Sales!DN$5,0),0)</f>
        <v>28</v>
      </c>
      <c r="AX6" s="23"/>
      <c r="AY6" s="23" t="n">
        <f aca="false">IF('Cash Drivers'!AY$26,AX6,ROUND(IF(EOMONTH(DATE(YEAR(Sales!$DL$1),MONTH(Sales!$DL$1),1)+INT((DAY(Sales!$DL$1)-1)/2)+Sales!DM$4,0)=EOMONTH($AX$1,0),Sales!DM$3*Sales!DM$5,0)+IF(EOMONTH(DATE(YEAR(Sales!$DI$1),MONTH(Sales!$DI$1),1)+INT((DAY(Sales!$DI$1)-1)/2)+Sales!DJ$4,0)=EOMONTH($AX$1,0),Sales!DJ$3*Sales!DJ$5,0)+IF(EOMONTH(DATE(YEAR(Sales!$DF$1),MONTH(Sales!$DF$1),1)+INT((DAY(Sales!$DF$1)-1)/2)+Sales!DG$4,0)=EOMONTH($AX$1,0),Sales!DG$3*Sales!DG$5,0)+IF(EOMONTH(DATE(YEAR(Sales!$DC$1),MONTH(Sales!$DC$1),1)+INT((DAY(Sales!$DC$1)-1)/2)+Sales!DD$4,0)=EOMONTH($AX$1,0),Sales!DD$3*Sales!DD$5,0)+IF(EOMONTH(DATE(YEAR(Sales!$CZ$1),MONTH(Sales!$CZ$1),1)+INT((DAY(Sales!$CZ$1)-1)/2)+Sales!DA$4,0)=EOMONTH($AX$1,0),Sales!DA$3*Sales!DA$5,0)+IF(EOMONTH(DATE(YEAR(Sales!$CW$1),MONTH(Sales!$CW$1),1)+INT((DAY(Sales!$CW$1)-1)/2)+Sales!CX$4,0)=EOMONTH($AX$1,0),Sales!CX$3*Sales!CX$5,0)+IF(EOMONTH(DATE(YEAR(Sales!$CT$1),MONTH(Sales!$CT$1),1)+INT((DAY(Sales!$CT$1)-1)/2)+Sales!CU$4,0)=EOMONTH($AX$1,0),Sales!CU$3*Sales!CU$5,0)+IF(EOMONTH(DATE(YEAR(Sales!$CQ$1),MONTH(Sales!$CQ$1),1)+INT((DAY(Sales!$CQ$1)-1)/2)+Sales!CR$4,0)=EOMONTH($AX$1,0),Sales!CR$3*Sales!CR$5,0)+IF(EOMONTH(DATE(YEAR(Sales!$CN$1),MONTH(Sales!$CN$1),1)+INT((DAY(Sales!$CN$1)-1)/2)+Sales!CO$4,0)=EOMONTH($AX$1,0),Sales!CO$3*Sales!CO$5,0)+IF(EOMONTH(DATE(YEAR(Sales!$CK$1),MONTH(Sales!$CK$1),1)+INT((DAY(Sales!$CK$1)-1)/2)+Sales!CL$4,0)=EOMONTH($AX$1,0),Sales!CL$3*Sales!CL$5,0)+IF(EOMONTH(DATE(YEAR(Sales!$CH$1),MONTH(Sales!$CH$1),1)+INT((DAY(Sales!$CH$1)-1)/2)+Sales!CI$4,0)=EOMONTH($AX$1,0),Sales!CI$3*Sales!CI$5,0)+IF(EOMONTH(DATE(YEAR(Sales!$CE$1),MONTH(Sales!$CE$1),1)+INT((DAY(Sales!$CE$1)-1)/2)+Sales!CF$4,0)=EOMONTH($AX$1,0),Sales!CF$3*Sales!CF$5,0)+IF(EOMONTH(DATE(YEAR(Sales!$CB$1),MONTH(Sales!$CB$1),1)+INT((DAY(Sales!$CB$1)-1)/2)+Sales!CC$4,0)=EOMONTH($AX$1,0),Sales!CC$3*Sales!CC$5,0)+IF(EOMONTH(DATE(YEAR(Sales!$BY$1),MONTH(Sales!$BY$1),1)+INT((DAY(Sales!$BY$1)-1)/2)+Sales!BZ$4,0)=EOMONTH($AX$1,0),Sales!BZ$3*Sales!BZ$5,0)+IF(EOMONTH(DATE(YEAR(Sales!$BV$1),MONTH(Sales!$BV$1),1)+INT((DAY(Sales!$BV$1)-1)/2)+Sales!BW$4,0)=EOMONTH($AX$1,0),Sales!BW$3*Sales!BW$5,0)+IF(EOMONTH(DATE(YEAR(Sales!$BS$1),MONTH(Sales!$BS$1),1)+INT((DAY(Sales!$BS$1)-1)/2)+Sales!BT$4,0)=EOMONTH($AX$1,0),Sales!BT$3*Sales!BT$5,0)+IF(EOMONTH(DATE(YEAR(Sales!$BP$1),MONTH(Sales!$BP$1),1)+INT((DAY(Sales!$BP$1)-1)/2)+Sales!BQ$4,0)=EOMONTH($AX$1,0),Sales!BQ$3*Sales!BQ$5,0)+IF(EOMONTH(DATE(YEAR(Sales!$BM$1),MONTH(Sales!$BM$1),1)+INT((DAY(Sales!$BM$1)-1)/2)+Sales!BN$4,0)=EOMONTH($AX$1,0),Sales!BN$3*Sales!BN$5,0)+IF(EOMONTH(DATE(YEAR(Sales!$BJ$1),MONTH(Sales!$BJ$1),1)+INT((DAY(Sales!$BJ$1)-1)/2)+Sales!BK$4,0)=EOMONTH($AX$1,0),Sales!BK$3*Sales!BK$5,0)+IF(EOMONTH(DATE(YEAR(Sales!$BG$1),MONTH(Sales!$BG$1),1)+INT((DAY(Sales!$BG$1)-1)/2)+Sales!BH$4,0)=EOMONTH($AX$1,0),Sales!BH$3*Sales!BH$5,0)+IF(EOMONTH(DATE(YEAR(Sales!$BD$1),MONTH(Sales!$BD$1),1)+INT((DAY(Sales!$BD$1)-1)/2)+Sales!BE$4,0)=EOMONTH($AX$1,0),Sales!BE$3*Sales!BE$5,0)+IF(EOMONTH(DATE(YEAR(Sales!$BA$1),MONTH(Sales!$BA$1),1)+INT((DAY(Sales!$BA$1)-1)/2)+Sales!BB$4,0)=EOMONTH($AX$1,0),Sales!BB$3*Sales!BB$5,0)+IF(EOMONTH(DATE(YEAR(Sales!$AX$1),MONTH(Sales!$AX$1),1)+INT((DAY(Sales!$AX$1)-1)/2)+Sales!AY$4,0)=EOMONTH($AX$1,0),Sales!AY$3*Sales!AY$5,0)+IF(EOMONTH(DATE(YEAR(Sales!$AU$1),MONTH(Sales!$AU$1),1)+INT((DAY(Sales!$AU$1)-1)/2)+Sales!AV$4,0)=EOMONTH($AX$1,0),Sales!AV$3*Sales!AV$5,0)+IF(EOMONTH(DATE(YEAR(Sales!$AR$1),MONTH(Sales!$AR$1),1)+INT((DAY(Sales!$AR$1)-1)/2)+Sales!AS$4,0)=EOMONTH($AX$1,0),Sales!AS$3*Sales!AS$5,0)+IF(EOMONTH(DATE(YEAR(Sales!$AO$1),MONTH(Sales!$AO$1),1)+INT((DAY(Sales!$AO$1)-1)/2)+Sales!AP$4,0)=EOMONTH($AX$1,0),Sales!AP$3*Sales!AP$5,0)+IF(EOMONTH(DATE(YEAR(Sales!$AL$1),MONTH(Sales!$AL$1),1)+INT((DAY(Sales!$AL$1)-1)/2)+Sales!AM$4,0)=EOMONTH($AX$1,0),Sales!AM$3*Sales!AM$5,0)+IF(EOMONTH(DATE(YEAR(Sales!$AI$1),MONTH(Sales!$AI$1),1)+INT((DAY(Sales!$AI$1)-1)/2)+Sales!AJ$4,0)=EOMONTH($AX$1,0),Sales!AJ$3*Sales!AJ$5,0)+IF(EOMONTH(DATE(YEAR(Sales!$AF$1),MONTH(Sales!$AF$1),1)+INT((DAY(Sales!$AF$1)-1)/2)+Sales!AG$4,0)=EOMONTH($AX$1,0),Sales!AG$3*Sales!AG$5,0)+IF(EOMONTH(DATE(YEAR(Sales!$AC$1),MONTH(Sales!$AC$1),1)+INT((DAY(Sales!$AC$1)-1)/2)+Sales!AD$4,0)=EOMONTH($AX$1,0),Sales!AD$3*Sales!AD$5,0)+IF(EOMONTH(DATE(YEAR(Sales!$Z$1),MONTH(Sales!$Z$1),1)+INT((DAY(Sales!$Z$1)-1)/2)+Sales!AA$4,0)=EOMONTH($AX$1,0),Sales!AA$3*Sales!AA$5,0)+IF(EOMONTH(DATE(YEAR(Sales!$W$1),MONTH(Sales!$W$1),1)+INT((DAY(Sales!$W$1)-1)/2)+Sales!X$4,0)=EOMONTH($AX$1,0),Sales!X$3*Sales!X$5,0)+IF(EOMONTH(DATE(YEAR(Sales!$T$1),MONTH(Sales!$T$1),1)+INT((DAY(Sales!$T$1)-1)/2)+Sales!U$4,0)=EOMONTH($AX$1,0),Sales!U$3*Sales!U$5,0)+IF(EOMONTH(DATE(YEAR(Sales!$Q$1),MONTH(Sales!$Q$1),1)+INT((DAY(Sales!$Q$1)-1)/2)+Sales!R$4,0)=EOMONTH($AX$1,0),Sales!R$3*Sales!R$5,0)+IF(EOMONTH(DATE(YEAR(Sales!$N$1),MONTH(Sales!$N$1),1)+INT((DAY(Sales!$N$1)-1)/2)+Sales!O$4,0)=EOMONTH($AX$1,0),Sales!O$3*Sales!O$5,0)+IF(EOMONTH(DATE(YEAR(Sales!$K$1),MONTH(Sales!$K$1),1)+INT((DAY(Sales!$K$1)-1)/2)+Sales!L$4,0)=EOMONTH($AX$1,0),Sales!L$3*Sales!L$5,0)+IF(EOMONTH('Cash Drivers'!$DL$30+Sales!DM$4,0)=EOMONTH($AX$1,0),'Cash Drivers'!$DL$31*Sales!DM$5,0),0))</f>
        <v>28</v>
      </c>
      <c r="AZ6" s="23" t="n">
        <f aca="false">ROUND(IF(EOMONTH(DATE(YEAR(Sales!$DL$1),MONTH(Sales!$DL$1),1)+INT((DAY(Sales!$DL$1)-1)/2)+Sales!DN$4,0)=EOMONTH($AX$1,0),Sales!DN$3*Sales!DN$5,0)+IF(EOMONTH(DATE(YEAR(Sales!$DI$1),MONTH(Sales!$DI$1),1)+INT((DAY(Sales!$DI$1)-1)/2)+Sales!DK$4,0)=EOMONTH($AX$1,0),Sales!DK$3*Sales!DK$5,0)+IF(EOMONTH(DATE(YEAR(Sales!$DF$1),MONTH(Sales!$DF$1),1)+INT((DAY(Sales!$DF$1)-1)/2)+Sales!DH$4,0)=EOMONTH($AX$1,0),Sales!DH$3*Sales!DH$5,0)+IF(EOMONTH(DATE(YEAR(Sales!$DC$1),MONTH(Sales!$DC$1),1)+INT((DAY(Sales!$DC$1)-1)/2)+Sales!DE$4,0)=EOMONTH($AX$1,0),Sales!DE$3*Sales!DE$5,0)+IF(EOMONTH(DATE(YEAR(Sales!$CZ$1),MONTH(Sales!$CZ$1),1)+INT((DAY(Sales!$CZ$1)-1)/2)+Sales!DB$4,0)=EOMONTH($AX$1,0),Sales!DB$3*Sales!DB$5,0)+IF(EOMONTH(DATE(YEAR(Sales!$CW$1),MONTH(Sales!$CW$1),1)+INT((DAY(Sales!$CW$1)-1)/2)+Sales!CY$4,0)=EOMONTH($AX$1,0),Sales!CY$3*Sales!CY$5,0)+IF(EOMONTH(DATE(YEAR(Sales!$CT$1),MONTH(Sales!$CT$1),1)+INT((DAY(Sales!$CT$1)-1)/2)+Sales!CV$4,0)=EOMONTH($AX$1,0),Sales!CV$3*Sales!CV$5,0)+IF(EOMONTH(DATE(YEAR(Sales!$CQ$1),MONTH(Sales!$CQ$1),1)+INT((DAY(Sales!$CQ$1)-1)/2)+Sales!CS$4,0)=EOMONTH($AX$1,0),Sales!CS$3*Sales!CS$5,0)+IF(EOMONTH(DATE(YEAR(Sales!$CN$1),MONTH(Sales!$CN$1),1)+INT((DAY(Sales!$CN$1)-1)/2)+Sales!CP$4,0)=EOMONTH($AX$1,0),Sales!CP$3*Sales!CP$5,0)+IF(EOMONTH(DATE(YEAR(Sales!$CK$1),MONTH(Sales!$CK$1),1)+INT((DAY(Sales!$CK$1)-1)/2)+Sales!CM$4,0)=EOMONTH($AX$1,0),Sales!CM$3*Sales!CM$5,0)+IF(EOMONTH(DATE(YEAR(Sales!$CH$1),MONTH(Sales!$CH$1),1)+INT((DAY(Sales!$CH$1)-1)/2)+Sales!CJ$4,0)=EOMONTH($AX$1,0),Sales!CJ$3*Sales!CJ$5,0)+IF(EOMONTH(DATE(YEAR(Sales!$CE$1),MONTH(Sales!$CE$1),1)+INT((DAY(Sales!$CE$1)-1)/2)+Sales!CG$4,0)=EOMONTH($AX$1,0),Sales!CG$3*Sales!CG$5,0)+IF(EOMONTH(DATE(YEAR(Sales!$CB$1),MONTH(Sales!$CB$1),1)+INT((DAY(Sales!$CB$1)-1)/2)+Sales!CD$4,0)=EOMONTH($AX$1,0),Sales!CD$3*Sales!CD$5,0)+IF(EOMONTH(DATE(YEAR(Sales!$BY$1),MONTH(Sales!$BY$1),1)+INT((DAY(Sales!$BY$1)-1)/2)+Sales!CA$4,0)=EOMONTH($AX$1,0),Sales!CA$3*Sales!CA$5,0)+IF(EOMONTH(DATE(YEAR(Sales!$BV$1),MONTH(Sales!$BV$1),1)+INT((DAY(Sales!$BV$1)-1)/2)+Sales!BX$4,0)=EOMONTH($AX$1,0),Sales!BX$3*Sales!BX$5,0)+IF(EOMONTH(DATE(YEAR(Sales!$BS$1),MONTH(Sales!$BS$1),1)+INT((DAY(Sales!$BS$1)-1)/2)+Sales!BU$4,0)=EOMONTH($AX$1,0),Sales!BU$3*Sales!BU$5,0)+IF(EOMONTH(DATE(YEAR(Sales!$BP$1),MONTH(Sales!$BP$1),1)+INT((DAY(Sales!$BP$1)-1)/2)+Sales!BR$4,0)=EOMONTH($AX$1,0),Sales!BR$3*Sales!BR$5,0)+IF(EOMONTH(DATE(YEAR(Sales!$BM$1),MONTH(Sales!$BM$1),1)+INT((DAY(Sales!$BM$1)-1)/2)+Sales!BO$4,0)=EOMONTH($AX$1,0),Sales!BO$3*Sales!BO$5,0)+IF(EOMONTH(DATE(YEAR(Sales!$BJ$1),MONTH(Sales!$BJ$1),1)+INT((DAY(Sales!$BJ$1)-1)/2)+Sales!BL$4,0)=EOMONTH($AX$1,0),Sales!BL$3*Sales!BL$5,0)+IF(EOMONTH(DATE(YEAR(Sales!$BG$1),MONTH(Sales!$BG$1),1)+INT((DAY(Sales!$BG$1)-1)/2)+Sales!BI$4,0)=EOMONTH($AX$1,0),Sales!BI$3*Sales!BI$5,0)+IF(EOMONTH(DATE(YEAR(Sales!$BD$1),MONTH(Sales!$BD$1),1)+INT((DAY(Sales!$BD$1)-1)/2)+Sales!BF$4,0)=EOMONTH($AX$1,0),Sales!BF$3*Sales!BF$5,0)+IF(EOMONTH(DATE(YEAR(Sales!$BA$1),MONTH(Sales!$BA$1),1)+INT((DAY(Sales!$BA$1)-1)/2)+Sales!BC$4,0)=EOMONTH($AX$1,0),Sales!BC$3*Sales!BC$5,0)+IF(EOMONTH(DATE(YEAR(Sales!$AX$1),MONTH(Sales!$AX$1),1)+INT((DAY(Sales!$AX$1)-1)/2)+Sales!AZ$4,0)=EOMONTH($AX$1,0),Sales!AZ$3*Sales!AZ$5,0)+IF(EOMONTH(DATE(YEAR(Sales!$AU$1),MONTH(Sales!$AU$1),1)+INT((DAY(Sales!$AU$1)-1)/2)+Sales!AW$4,0)=EOMONTH($AX$1,0),Sales!AW$3*Sales!AW$5,0)+IF(EOMONTH(DATE(YEAR(Sales!$AR$1),MONTH(Sales!$AR$1),1)+INT((DAY(Sales!$AR$1)-1)/2)+Sales!AT$4,0)=EOMONTH($AX$1,0),Sales!AT$3*Sales!AT$5,0)+IF(EOMONTH(DATE(YEAR(Sales!$AO$1),MONTH(Sales!$AO$1),1)+INT((DAY(Sales!$AO$1)-1)/2)+Sales!AQ$4,0)=EOMONTH($AX$1,0),Sales!AQ$3*Sales!AQ$5,0)+IF(EOMONTH(DATE(YEAR(Sales!$AL$1),MONTH(Sales!$AL$1),1)+INT((DAY(Sales!$AL$1)-1)/2)+Sales!AN$4,0)=EOMONTH($AX$1,0),Sales!AN$3*Sales!AN$5,0)+IF(EOMONTH(DATE(YEAR(Sales!$AI$1),MONTH(Sales!$AI$1),1)+INT((DAY(Sales!$AI$1)-1)/2)+Sales!AK$4,0)=EOMONTH($AX$1,0),Sales!AK$3*Sales!AK$5,0)+IF(EOMONTH(DATE(YEAR(Sales!$AF$1),MONTH(Sales!$AF$1),1)+INT((DAY(Sales!$AF$1)-1)/2)+Sales!AH$4,0)=EOMONTH($AX$1,0),Sales!AH$3*Sales!AH$5,0)+IF(EOMONTH(DATE(YEAR(Sales!$AC$1),MONTH(Sales!$AC$1),1)+INT((DAY(Sales!$AC$1)-1)/2)+Sales!AE$4,0)=EOMONTH($AX$1,0),Sales!AE$3*Sales!AE$5,0)+IF(EOMONTH(DATE(YEAR(Sales!$Z$1),MONTH(Sales!$Z$1),1)+INT((DAY(Sales!$Z$1)-1)/2)+Sales!AB$4,0)=EOMONTH($AX$1,0),Sales!AB$3*Sales!AB$5,0)+IF(EOMONTH(DATE(YEAR(Sales!$W$1),MONTH(Sales!$W$1),1)+INT((DAY(Sales!$W$1)-1)/2)+Sales!Y$4,0)=EOMONTH($AX$1,0),Sales!Y$3*Sales!Y$5,0)+IF(EOMONTH(DATE(YEAR(Sales!$T$1),MONTH(Sales!$T$1),1)+INT((DAY(Sales!$T$1)-1)/2)+Sales!V$4,0)=EOMONTH($AX$1,0),Sales!V$3*Sales!V$5,0)+IF(EOMONTH(DATE(YEAR(Sales!$Q$1),MONTH(Sales!$Q$1),1)+INT((DAY(Sales!$Q$1)-1)/2)+Sales!S$4,0)=EOMONTH($AX$1,0),Sales!S$3*Sales!S$5,0)+IF(EOMONTH(DATE(YEAR(Sales!$N$1),MONTH(Sales!$N$1),1)+INT((DAY(Sales!$N$1)-1)/2)+Sales!P$4,0)=EOMONTH($AX$1,0),Sales!P$3*Sales!P$5,0)+IF(EOMONTH(DATE(YEAR(Sales!$K$1),MONTH(Sales!$K$1),1)+INT((DAY(Sales!$K$1)-1)/2)+Sales!M$4,0)=EOMONTH($AX$1,0),Sales!M$3*Sales!M$5,0)+IF(EOMONTH('Cash Drivers'!$DL$30+Sales!DN$4,0)=EOMONTH($AX$1,0),'Cash Drivers'!$DL$31*Sales!DN$5,0),0)</f>
        <v>28</v>
      </c>
      <c r="BA6" s="2"/>
      <c r="BB6" s="2" t="n">
        <f aca="false">IF('Cash Drivers'!BB$26,BA6,ROUND(IF(EOMONTH(DATE(YEAR(Sales!$DL$1),MONTH(Sales!$DL$1),1)+INT((DAY(Sales!$DL$1)-1)/2)+Sales!DM$4,0)=EOMONTH($BA$1,0),Sales!DM$3*Sales!DM$5,0)+IF(EOMONTH(DATE(YEAR(Sales!$DI$1),MONTH(Sales!$DI$1),1)+INT((DAY(Sales!$DI$1)-1)/2)+Sales!DJ$4,0)=EOMONTH($BA$1,0),Sales!DJ$3*Sales!DJ$5,0)+IF(EOMONTH(DATE(YEAR(Sales!$DF$1),MONTH(Sales!$DF$1),1)+INT((DAY(Sales!$DF$1)-1)/2)+Sales!DG$4,0)=EOMONTH($BA$1,0),Sales!DG$3*Sales!DG$5,0)+IF(EOMONTH(DATE(YEAR(Sales!$DC$1),MONTH(Sales!$DC$1),1)+INT((DAY(Sales!$DC$1)-1)/2)+Sales!DD$4,0)=EOMONTH($BA$1,0),Sales!DD$3*Sales!DD$5,0)+IF(EOMONTH(DATE(YEAR(Sales!$CZ$1),MONTH(Sales!$CZ$1),1)+INT((DAY(Sales!$CZ$1)-1)/2)+Sales!DA$4,0)=EOMONTH($BA$1,0),Sales!DA$3*Sales!DA$5,0)+IF(EOMONTH(DATE(YEAR(Sales!$CW$1),MONTH(Sales!$CW$1),1)+INT((DAY(Sales!$CW$1)-1)/2)+Sales!CX$4,0)=EOMONTH($BA$1,0),Sales!CX$3*Sales!CX$5,0)+IF(EOMONTH(DATE(YEAR(Sales!$CT$1),MONTH(Sales!$CT$1),1)+INT((DAY(Sales!$CT$1)-1)/2)+Sales!CU$4,0)=EOMONTH($BA$1,0),Sales!CU$3*Sales!CU$5,0)+IF(EOMONTH(DATE(YEAR(Sales!$CQ$1),MONTH(Sales!$CQ$1),1)+INT((DAY(Sales!$CQ$1)-1)/2)+Sales!CR$4,0)=EOMONTH($BA$1,0),Sales!CR$3*Sales!CR$5,0)+IF(EOMONTH(DATE(YEAR(Sales!$CN$1),MONTH(Sales!$CN$1),1)+INT((DAY(Sales!$CN$1)-1)/2)+Sales!CO$4,0)=EOMONTH($BA$1,0),Sales!CO$3*Sales!CO$5,0)+IF(EOMONTH(DATE(YEAR(Sales!$CK$1),MONTH(Sales!$CK$1),1)+INT((DAY(Sales!$CK$1)-1)/2)+Sales!CL$4,0)=EOMONTH($BA$1,0),Sales!CL$3*Sales!CL$5,0)+IF(EOMONTH(DATE(YEAR(Sales!$CH$1),MONTH(Sales!$CH$1),1)+INT((DAY(Sales!$CH$1)-1)/2)+Sales!CI$4,0)=EOMONTH($BA$1,0),Sales!CI$3*Sales!CI$5,0)+IF(EOMONTH(DATE(YEAR(Sales!$CE$1),MONTH(Sales!$CE$1),1)+INT((DAY(Sales!$CE$1)-1)/2)+Sales!CF$4,0)=EOMONTH($BA$1,0),Sales!CF$3*Sales!CF$5,0)+IF(EOMONTH(DATE(YEAR(Sales!$CB$1),MONTH(Sales!$CB$1),1)+INT((DAY(Sales!$CB$1)-1)/2)+Sales!CC$4,0)=EOMONTH($BA$1,0),Sales!CC$3*Sales!CC$5,0)+IF(EOMONTH(DATE(YEAR(Sales!$BY$1),MONTH(Sales!$BY$1),1)+INT((DAY(Sales!$BY$1)-1)/2)+Sales!BZ$4,0)=EOMONTH($BA$1,0),Sales!BZ$3*Sales!BZ$5,0)+IF(EOMONTH(DATE(YEAR(Sales!$BV$1),MONTH(Sales!$BV$1),1)+INT((DAY(Sales!$BV$1)-1)/2)+Sales!BW$4,0)=EOMONTH($BA$1,0),Sales!BW$3*Sales!BW$5,0)+IF(EOMONTH(DATE(YEAR(Sales!$BS$1),MONTH(Sales!$BS$1),1)+INT((DAY(Sales!$BS$1)-1)/2)+Sales!BT$4,0)=EOMONTH($BA$1,0),Sales!BT$3*Sales!BT$5,0)+IF(EOMONTH(DATE(YEAR(Sales!$BP$1),MONTH(Sales!$BP$1),1)+INT((DAY(Sales!$BP$1)-1)/2)+Sales!BQ$4,0)=EOMONTH($BA$1,0),Sales!BQ$3*Sales!BQ$5,0)+IF(EOMONTH(DATE(YEAR(Sales!$BM$1),MONTH(Sales!$BM$1),1)+INT((DAY(Sales!$BM$1)-1)/2)+Sales!BN$4,0)=EOMONTH($BA$1,0),Sales!BN$3*Sales!BN$5,0)+IF(EOMONTH(DATE(YEAR(Sales!$BJ$1),MONTH(Sales!$BJ$1),1)+INT((DAY(Sales!$BJ$1)-1)/2)+Sales!BK$4,0)=EOMONTH($BA$1,0),Sales!BK$3*Sales!BK$5,0)+IF(EOMONTH(DATE(YEAR(Sales!$BG$1),MONTH(Sales!$BG$1),1)+INT((DAY(Sales!$BG$1)-1)/2)+Sales!BH$4,0)=EOMONTH($BA$1,0),Sales!BH$3*Sales!BH$5,0)+IF(EOMONTH(DATE(YEAR(Sales!$BD$1),MONTH(Sales!$BD$1),1)+INT((DAY(Sales!$BD$1)-1)/2)+Sales!BE$4,0)=EOMONTH($BA$1,0),Sales!BE$3*Sales!BE$5,0)+IF(EOMONTH(DATE(YEAR(Sales!$BA$1),MONTH(Sales!$BA$1),1)+INT((DAY(Sales!$BA$1)-1)/2)+Sales!BB$4,0)=EOMONTH($BA$1,0),Sales!BB$3*Sales!BB$5,0)+IF(EOMONTH(DATE(YEAR(Sales!$AX$1),MONTH(Sales!$AX$1),1)+INT((DAY(Sales!$AX$1)-1)/2)+Sales!AY$4,0)=EOMONTH($BA$1,0),Sales!AY$3*Sales!AY$5,0)+IF(EOMONTH(DATE(YEAR(Sales!$AU$1),MONTH(Sales!$AU$1),1)+INT((DAY(Sales!$AU$1)-1)/2)+Sales!AV$4,0)=EOMONTH($BA$1,0),Sales!AV$3*Sales!AV$5,0)+IF(EOMONTH(DATE(YEAR(Sales!$AR$1),MONTH(Sales!$AR$1),1)+INT((DAY(Sales!$AR$1)-1)/2)+Sales!AS$4,0)=EOMONTH($BA$1,0),Sales!AS$3*Sales!AS$5,0)+IF(EOMONTH(DATE(YEAR(Sales!$AO$1),MONTH(Sales!$AO$1),1)+INT((DAY(Sales!$AO$1)-1)/2)+Sales!AP$4,0)=EOMONTH($BA$1,0),Sales!AP$3*Sales!AP$5,0)+IF(EOMONTH(DATE(YEAR(Sales!$AL$1),MONTH(Sales!$AL$1),1)+INT((DAY(Sales!$AL$1)-1)/2)+Sales!AM$4,0)=EOMONTH($BA$1,0),Sales!AM$3*Sales!AM$5,0)+IF(EOMONTH(DATE(YEAR(Sales!$AI$1),MONTH(Sales!$AI$1),1)+INT((DAY(Sales!$AI$1)-1)/2)+Sales!AJ$4,0)=EOMONTH($BA$1,0),Sales!AJ$3*Sales!AJ$5,0)+IF(EOMONTH(DATE(YEAR(Sales!$AF$1),MONTH(Sales!$AF$1),1)+INT((DAY(Sales!$AF$1)-1)/2)+Sales!AG$4,0)=EOMONTH($BA$1,0),Sales!AG$3*Sales!AG$5,0)+IF(EOMONTH(DATE(YEAR(Sales!$AC$1),MONTH(Sales!$AC$1),1)+INT((DAY(Sales!$AC$1)-1)/2)+Sales!AD$4,0)=EOMONTH($BA$1,0),Sales!AD$3*Sales!AD$5,0)+IF(EOMONTH(DATE(YEAR(Sales!$Z$1),MONTH(Sales!$Z$1),1)+INT((DAY(Sales!$Z$1)-1)/2)+Sales!AA$4,0)=EOMONTH($BA$1,0),Sales!AA$3*Sales!AA$5,0)+IF(EOMONTH(DATE(YEAR(Sales!$W$1),MONTH(Sales!$W$1),1)+INT((DAY(Sales!$W$1)-1)/2)+Sales!X$4,0)=EOMONTH($BA$1,0),Sales!X$3*Sales!X$5,0)+IF(EOMONTH(DATE(YEAR(Sales!$T$1),MONTH(Sales!$T$1),1)+INT((DAY(Sales!$T$1)-1)/2)+Sales!U$4,0)=EOMONTH($BA$1,0),Sales!U$3*Sales!U$5,0)+IF(EOMONTH(DATE(YEAR(Sales!$Q$1),MONTH(Sales!$Q$1),1)+INT((DAY(Sales!$Q$1)-1)/2)+Sales!R$4,0)=EOMONTH($BA$1,0),Sales!R$3*Sales!R$5,0)+IF(EOMONTH(DATE(YEAR(Sales!$N$1),MONTH(Sales!$N$1),1)+INT((DAY(Sales!$N$1)-1)/2)+Sales!O$4,0)=EOMONTH($BA$1,0),Sales!O$3*Sales!O$5,0)+IF(EOMONTH(DATE(YEAR(Sales!$K$1),MONTH(Sales!$K$1),1)+INT((DAY(Sales!$K$1)-1)/2)+Sales!L$4,0)=EOMONTH($BA$1,0),Sales!L$3*Sales!L$5,0)+IF(EOMONTH('Cash Drivers'!$DL$30+Sales!DM$4,0)=EOMONTH($BA$1,0),'Cash Drivers'!$DL$31*Sales!DM$5,0),0))</f>
        <v>28</v>
      </c>
      <c r="BC6" s="2" t="n">
        <f aca="false">ROUND(IF(EOMONTH(DATE(YEAR(Sales!$DL$1),MONTH(Sales!$DL$1),1)+INT((DAY(Sales!$DL$1)-1)/2)+Sales!DN$4,0)=EOMONTH($BA$1,0),Sales!DN$3*Sales!DN$5,0)+IF(EOMONTH(DATE(YEAR(Sales!$DI$1),MONTH(Sales!$DI$1),1)+INT((DAY(Sales!$DI$1)-1)/2)+Sales!DK$4,0)=EOMONTH($BA$1,0),Sales!DK$3*Sales!DK$5,0)+IF(EOMONTH(DATE(YEAR(Sales!$DF$1),MONTH(Sales!$DF$1),1)+INT((DAY(Sales!$DF$1)-1)/2)+Sales!DH$4,0)=EOMONTH($BA$1,0),Sales!DH$3*Sales!DH$5,0)+IF(EOMONTH(DATE(YEAR(Sales!$DC$1),MONTH(Sales!$DC$1),1)+INT((DAY(Sales!$DC$1)-1)/2)+Sales!DE$4,0)=EOMONTH($BA$1,0),Sales!DE$3*Sales!DE$5,0)+IF(EOMONTH(DATE(YEAR(Sales!$CZ$1),MONTH(Sales!$CZ$1),1)+INT((DAY(Sales!$CZ$1)-1)/2)+Sales!DB$4,0)=EOMONTH($BA$1,0),Sales!DB$3*Sales!DB$5,0)+IF(EOMONTH(DATE(YEAR(Sales!$CW$1),MONTH(Sales!$CW$1),1)+INT((DAY(Sales!$CW$1)-1)/2)+Sales!CY$4,0)=EOMONTH($BA$1,0),Sales!CY$3*Sales!CY$5,0)+IF(EOMONTH(DATE(YEAR(Sales!$CT$1),MONTH(Sales!$CT$1),1)+INT((DAY(Sales!$CT$1)-1)/2)+Sales!CV$4,0)=EOMONTH($BA$1,0),Sales!CV$3*Sales!CV$5,0)+IF(EOMONTH(DATE(YEAR(Sales!$CQ$1),MONTH(Sales!$CQ$1),1)+INT((DAY(Sales!$CQ$1)-1)/2)+Sales!CS$4,0)=EOMONTH($BA$1,0),Sales!CS$3*Sales!CS$5,0)+IF(EOMONTH(DATE(YEAR(Sales!$CN$1),MONTH(Sales!$CN$1),1)+INT((DAY(Sales!$CN$1)-1)/2)+Sales!CP$4,0)=EOMONTH($BA$1,0),Sales!CP$3*Sales!CP$5,0)+IF(EOMONTH(DATE(YEAR(Sales!$CK$1),MONTH(Sales!$CK$1),1)+INT((DAY(Sales!$CK$1)-1)/2)+Sales!CM$4,0)=EOMONTH($BA$1,0),Sales!CM$3*Sales!CM$5,0)+IF(EOMONTH(DATE(YEAR(Sales!$CH$1),MONTH(Sales!$CH$1),1)+INT((DAY(Sales!$CH$1)-1)/2)+Sales!CJ$4,0)=EOMONTH($BA$1,0),Sales!CJ$3*Sales!CJ$5,0)+IF(EOMONTH(DATE(YEAR(Sales!$CE$1),MONTH(Sales!$CE$1),1)+INT((DAY(Sales!$CE$1)-1)/2)+Sales!CG$4,0)=EOMONTH($BA$1,0),Sales!CG$3*Sales!CG$5,0)+IF(EOMONTH(DATE(YEAR(Sales!$CB$1),MONTH(Sales!$CB$1),1)+INT((DAY(Sales!$CB$1)-1)/2)+Sales!CD$4,0)=EOMONTH($BA$1,0),Sales!CD$3*Sales!CD$5,0)+IF(EOMONTH(DATE(YEAR(Sales!$BY$1),MONTH(Sales!$BY$1),1)+INT((DAY(Sales!$BY$1)-1)/2)+Sales!CA$4,0)=EOMONTH($BA$1,0),Sales!CA$3*Sales!CA$5,0)+IF(EOMONTH(DATE(YEAR(Sales!$BV$1),MONTH(Sales!$BV$1),1)+INT((DAY(Sales!$BV$1)-1)/2)+Sales!BX$4,0)=EOMONTH($BA$1,0),Sales!BX$3*Sales!BX$5,0)+IF(EOMONTH(DATE(YEAR(Sales!$BS$1),MONTH(Sales!$BS$1),1)+INT((DAY(Sales!$BS$1)-1)/2)+Sales!BU$4,0)=EOMONTH($BA$1,0),Sales!BU$3*Sales!BU$5,0)+IF(EOMONTH(DATE(YEAR(Sales!$BP$1),MONTH(Sales!$BP$1),1)+INT((DAY(Sales!$BP$1)-1)/2)+Sales!BR$4,0)=EOMONTH($BA$1,0),Sales!BR$3*Sales!BR$5,0)+IF(EOMONTH(DATE(YEAR(Sales!$BM$1),MONTH(Sales!$BM$1),1)+INT((DAY(Sales!$BM$1)-1)/2)+Sales!BO$4,0)=EOMONTH($BA$1,0),Sales!BO$3*Sales!BO$5,0)+IF(EOMONTH(DATE(YEAR(Sales!$BJ$1),MONTH(Sales!$BJ$1),1)+INT((DAY(Sales!$BJ$1)-1)/2)+Sales!BL$4,0)=EOMONTH($BA$1,0),Sales!BL$3*Sales!BL$5,0)+IF(EOMONTH(DATE(YEAR(Sales!$BG$1),MONTH(Sales!$BG$1),1)+INT((DAY(Sales!$BG$1)-1)/2)+Sales!BI$4,0)=EOMONTH($BA$1,0),Sales!BI$3*Sales!BI$5,0)+IF(EOMONTH(DATE(YEAR(Sales!$BD$1),MONTH(Sales!$BD$1),1)+INT((DAY(Sales!$BD$1)-1)/2)+Sales!BF$4,0)=EOMONTH($BA$1,0),Sales!BF$3*Sales!BF$5,0)+IF(EOMONTH(DATE(YEAR(Sales!$BA$1),MONTH(Sales!$BA$1),1)+INT((DAY(Sales!$BA$1)-1)/2)+Sales!BC$4,0)=EOMONTH($BA$1,0),Sales!BC$3*Sales!BC$5,0)+IF(EOMONTH(DATE(YEAR(Sales!$AX$1),MONTH(Sales!$AX$1),1)+INT((DAY(Sales!$AX$1)-1)/2)+Sales!AZ$4,0)=EOMONTH($BA$1,0),Sales!AZ$3*Sales!AZ$5,0)+IF(EOMONTH(DATE(YEAR(Sales!$AU$1),MONTH(Sales!$AU$1),1)+INT((DAY(Sales!$AU$1)-1)/2)+Sales!AW$4,0)=EOMONTH($BA$1,0),Sales!AW$3*Sales!AW$5,0)+IF(EOMONTH(DATE(YEAR(Sales!$AR$1),MONTH(Sales!$AR$1),1)+INT((DAY(Sales!$AR$1)-1)/2)+Sales!AT$4,0)=EOMONTH($BA$1,0),Sales!AT$3*Sales!AT$5,0)+IF(EOMONTH(DATE(YEAR(Sales!$AO$1),MONTH(Sales!$AO$1),1)+INT((DAY(Sales!$AO$1)-1)/2)+Sales!AQ$4,0)=EOMONTH($BA$1,0),Sales!AQ$3*Sales!AQ$5,0)+IF(EOMONTH(DATE(YEAR(Sales!$AL$1),MONTH(Sales!$AL$1),1)+INT((DAY(Sales!$AL$1)-1)/2)+Sales!AN$4,0)=EOMONTH($BA$1,0),Sales!AN$3*Sales!AN$5,0)+IF(EOMONTH(DATE(YEAR(Sales!$AI$1),MONTH(Sales!$AI$1),1)+INT((DAY(Sales!$AI$1)-1)/2)+Sales!AK$4,0)=EOMONTH($BA$1,0),Sales!AK$3*Sales!AK$5,0)+IF(EOMONTH(DATE(YEAR(Sales!$AF$1),MONTH(Sales!$AF$1),1)+INT((DAY(Sales!$AF$1)-1)/2)+Sales!AH$4,0)=EOMONTH($BA$1,0),Sales!AH$3*Sales!AH$5,0)+IF(EOMONTH(DATE(YEAR(Sales!$AC$1),MONTH(Sales!$AC$1),1)+INT((DAY(Sales!$AC$1)-1)/2)+Sales!AE$4,0)=EOMONTH($BA$1,0),Sales!AE$3*Sales!AE$5,0)+IF(EOMONTH(DATE(YEAR(Sales!$Z$1),MONTH(Sales!$Z$1),1)+INT((DAY(Sales!$Z$1)-1)/2)+Sales!AB$4,0)=EOMONTH($BA$1,0),Sales!AB$3*Sales!AB$5,0)+IF(EOMONTH(DATE(YEAR(Sales!$W$1),MONTH(Sales!$W$1),1)+INT((DAY(Sales!$W$1)-1)/2)+Sales!Y$4,0)=EOMONTH($BA$1,0),Sales!Y$3*Sales!Y$5,0)+IF(EOMONTH(DATE(YEAR(Sales!$T$1),MONTH(Sales!$T$1),1)+INT((DAY(Sales!$T$1)-1)/2)+Sales!V$4,0)=EOMONTH($BA$1,0),Sales!V$3*Sales!V$5,0)+IF(EOMONTH(DATE(YEAR(Sales!$Q$1),MONTH(Sales!$Q$1),1)+INT((DAY(Sales!$Q$1)-1)/2)+Sales!S$4,0)=EOMONTH($BA$1,0),Sales!S$3*Sales!S$5,0)+IF(EOMONTH(DATE(YEAR(Sales!$N$1),MONTH(Sales!$N$1),1)+INT((DAY(Sales!$N$1)-1)/2)+Sales!P$4,0)=EOMONTH($BA$1,0),Sales!P$3*Sales!P$5,0)+IF(EOMONTH(DATE(YEAR(Sales!$K$1),MONTH(Sales!$K$1),1)+INT((DAY(Sales!$K$1)-1)/2)+Sales!M$4,0)=EOMONTH($BA$1,0),Sales!M$3*Sales!M$5,0)+IF(EOMONTH('Cash Drivers'!$DL$30+Sales!DN$4,0)=EOMONTH($BA$1,0),'Cash Drivers'!$DL$31*Sales!DN$5,0),0)</f>
        <v>28</v>
      </c>
      <c r="BD6" s="23"/>
      <c r="BE6" s="23" t="n">
        <f aca="false">IF('Cash Drivers'!BE$26,BD6,ROUND(IF(EOMONTH(DATE(YEAR(Sales!$DL$1),MONTH(Sales!$DL$1),1)+INT((DAY(Sales!$DL$1)-1)/2)+Sales!DM$4,0)=EOMONTH($BD$1,0),Sales!DM$3*Sales!DM$5,0)+IF(EOMONTH(DATE(YEAR(Sales!$DI$1),MONTH(Sales!$DI$1),1)+INT((DAY(Sales!$DI$1)-1)/2)+Sales!DJ$4,0)=EOMONTH($BD$1,0),Sales!DJ$3*Sales!DJ$5,0)+IF(EOMONTH(DATE(YEAR(Sales!$DF$1),MONTH(Sales!$DF$1),1)+INT((DAY(Sales!$DF$1)-1)/2)+Sales!DG$4,0)=EOMONTH($BD$1,0),Sales!DG$3*Sales!DG$5,0)+IF(EOMONTH(DATE(YEAR(Sales!$DC$1),MONTH(Sales!$DC$1),1)+INT((DAY(Sales!$DC$1)-1)/2)+Sales!DD$4,0)=EOMONTH($BD$1,0),Sales!DD$3*Sales!DD$5,0)+IF(EOMONTH(DATE(YEAR(Sales!$CZ$1),MONTH(Sales!$CZ$1),1)+INT((DAY(Sales!$CZ$1)-1)/2)+Sales!DA$4,0)=EOMONTH($BD$1,0),Sales!DA$3*Sales!DA$5,0)+IF(EOMONTH(DATE(YEAR(Sales!$CW$1),MONTH(Sales!$CW$1),1)+INT((DAY(Sales!$CW$1)-1)/2)+Sales!CX$4,0)=EOMONTH($BD$1,0),Sales!CX$3*Sales!CX$5,0)+IF(EOMONTH(DATE(YEAR(Sales!$CT$1),MONTH(Sales!$CT$1),1)+INT((DAY(Sales!$CT$1)-1)/2)+Sales!CU$4,0)=EOMONTH($BD$1,0),Sales!CU$3*Sales!CU$5,0)+IF(EOMONTH(DATE(YEAR(Sales!$CQ$1),MONTH(Sales!$CQ$1),1)+INT((DAY(Sales!$CQ$1)-1)/2)+Sales!CR$4,0)=EOMONTH($BD$1,0),Sales!CR$3*Sales!CR$5,0)+IF(EOMONTH(DATE(YEAR(Sales!$CN$1),MONTH(Sales!$CN$1),1)+INT((DAY(Sales!$CN$1)-1)/2)+Sales!CO$4,0)=EOMONTH($BD$1,0),Sales!CO$3*Sales!CO$5,0)+IF(EOMONTH(DATE(YEAR(Sales!$CK$1),MONTH(Sales!$CK$1),1)+INT((DAY(Sales!$CK$1)-1)/2)+Sales!CL$4,0)=EOMONTH($BD$1,0),Sales!CL$3*Sales!CL$5,0)+IF(EOMONTH(DATE(YEAR(Sales!$CH$1),MONTH(Sales!$CH$1),1)+INT((DAY(Sales!$CH$1)-1)/2)+Sales!CI$4,0)=EOMONTH($BD$1,0),Sales!CI$3*Sales!CI$5,0)+IF(EOMONTH(DATE(YEAR(Sales!$CE$1),MONTH(Sales!$CE$1),1)+INT((DAY(Sales!$CE$1)-1)/2)+Sales!CF$4,0)=EOMONTH($BD$1,0),Sales!CF$3*Sales!CF$5,0)+IF(EOMONTH(DATE(YEAR(Sales!$CB$1),MONTH(Sales!$CB$1),1)+INT((DAY(Sales!$CB$1)-1)/2)+Sales!CC$4,0)=EOMONTH($BD$1,0),Sales!CC$3*Sales!CC$5,0)+IF(EOMONTH(DATE(YEAR(Sales!$BY$1),MONTH(Sales!$BY$1),1)+INT((DAY(Sales!$BY$1)-1)/2)+Sales!BZ$4,0)=EOMONTH($BD$1,0),Sales!BZ$3*Sales!BZ$5,0)+IF(EOMONTH(DATE(YEAR(Sales!$BV$1),MONTH(Sales!$BV$1),1)+INT((DAY(Sales!$BV$1)-1)/2)+Sales!BW$4,0)=EOMONTH($BD$1,0),Sales!BW$3*Sales!BW$5,0)+IF(EOMONTH(DATE(YEAR(Sales!$BS$1),MONTH(Sales!$BS$1),1)+INT((DAY(Sales!$BS$1)-1)/2)+Sales!BT$4,0)=EOMONTH($BD$1,0),Sales!BT$3*Sales!BT$5,0)+IF(EOMONTH(DATE(YEAR(Sales!$BP$1),MONTH(Sales!$BP$1),1)+INT((DAY(Sales!$BP$1)-1)/2)+Sales!BQ$4,0)=EOMONTH($BD$1,0),Sales!BQ$3*Sales!BQ$5,0)+IF(EOMONTH(DATE(YEAR(Sales!$BM$1),MONTH(Sales!$BM$1),1)+INT((DAY(Sales!$BM$1)-1)/2)+Sales!BN$4,0)=EOMONTH($BD$1,0),Sales!BN$3*Sales!BN$5,0)+IF(EOMONTH(DATE(YEAR(Sales!$BJ$1),MONTH(Sales!$BJ$1),1)+INT((DAY(Sales!$BJ$1)-1)/2)+Sales!BK$4,0)=EOMONTH($BD$1,0),Sales!BK$3*Sales!BK$5,0)+IF(EOMONTH(DATE(YEAR(Sales!$BG$1),MONTH(Sales!$BG$1),1)+INT((DAY(Sales!$BG$1)-1)/2)+Sales!BH$4,0)=EOMONTH($BD$1,0),Sales!BH$3*Sales!BH$5,0)+IF(EOMONTH(DATE(YEAR(Sales!$BD$1),MONTH(Sales!$BD$1),1)+INT((DAY(Sales!$BD$1)-1)/2)+Sales!BE$4,0)=EOMONTH($BD$1,0),Sales!BE$3*Sales!BE$5,0)+IF(EOMONTH(DATE(YEAR(Sales!$BA$1),MONTH(Sales!$BA$1),1)+INT((DAY(Sales!$BA$1)-1)/2)+Sales!BB$4,0)=EOMONTH($BD$1,0),Sales!BB$3*Sales!BB$5,0)+IF(EOMONTH(DATE(YEAR(Sales!$AX$1),MONTH(Sales!$AX$1),1)+INT((DAY(Sales!$AX$1)-1)/2)+Sales!AY$4,0)=EOMONTH($BD$1,0),Sales!AY$3*Sales!AY$5,0)+IF(EOMONTH(DATE(YEAR(Sales!$AU$1),MONTH(Sales!$AU$1),1)+INT((DAY(Sales!$AU$1)-1)/2)+Sales!AV$4,0)=EOMONTH($BD$1,0),Sales!AV$3*Sales!AV$5,0)+IF(EOMONTH(DATE(YEAR(Sales!$AR$1),MONTH(Sales!$AR$1),1)+INT((DAY(Sales!$AR$1)-1)/2)+Sales!AS$4,0)=EOMONTH($BD$1,0),Sales!AS$3*Sales!AS$5,0)+IF(EOMONTH(DATE(YEAR(Sales!$AO$1),MONTH(Sales!$AO$1),1)+INT((DAY(Sales!$AO$1)-1)/2)+Sales!AP$4,0)=EOMONTH($BD$1,0),Sales!AP$3*Sales!AP$5,0)+IF(EOMONTH(DATE(YEAR(Sales!$AL$1),MONTH(Sales!$AL$1),1)+INT((DAY(Sales!$AL$1)-1)/2)+Sales!AM$4,0)=EOMONTH($BD$1,0),Sales!AM$3*Sales!AM$5,0)+IF(EOMONTH(DATE(YEAR(Sales!$AI$1),MONTH(Sales!$AI$1),1)+INT((DAY(Sales!$AI$1)-1)/2)+Sales!AJ$4,0)=EOMONTH($BD$1,0),Sales!AJ$3*Sales!AJ$5,0)+IF(EOMONTH(DATE(YEAR(Sales!$AF$1),MONTH(Sales!$AF$1),1)+INT((DAY(Sales!$AF$1)-1)/2)+Sales!AG$4,0)=EOMONTH($BD$1,0),Sales!AG$3*Sales!AG$5,0)+IF(EOMONTH(DATE(YEAR(Sales!$AC$1),MONTH(Sales!$AC$1),1)+INT((DAY(Sales!$AC$1)-1)/2)+Sales!AD$4,0)=EOMONTH($BD$1,0),Sales!AD$3*Sales!AD$5,0)+IF(EOMONTH(DATE(YEAR(Sales!$Z$1),MONTH(Sales!$Z$1),1)+INT((DAY(Sales!$Z$1)-1)/2)+Sales!AA$4,0)=EOMONTH($BD$1,0),Sales!AA$3*Sales!AA$5,0)+IF(EOMONTH(DATE(YEAR(Sales!$W$1),MONTH(Sales!$W$1),1)+INT((DAY(Sales!$W$1)-1)/2)+Sales!X$4,0)=EOMONTH($BD$1,0),Sales!X$3*Sales!X$5,0)+IF(EOMONTH(DATE(YEAR(Sales!$T$1),MONTH(Sales!$T$1),1)+INT((DAY(Sales!$T$1)-1)/2)+Sales!U$4,0)=EOMONTH($BD$1,0),Sales!U$3*Sales!U$5,0)+IF(EOMONTH(DATE(YEAR(Sales!$Q$1),MONTH(Sales!$Q$1),1)+INT((DAY(Sales!$Q$1)-1)/2)+Sales!R$4,0)=EOMONTH($BD$1,0),Sales!R$3*Sales!R$5,0)+IF(EOMONTH(DATE(YEAR(Sales!$N$1),MONTH(Sales!$N$1),1)+INT((DAY(Sales!$N$1)-1)/2)+Sales!O$4,0)=EOMONTH($BD$1,0),Sales!O$3*Sales!O$5,0)+IF(EOMONTH(DATE(YEAR(Sales!$K$1),MONTH(Sales!$K$1),1)+INT((DAY(Sales!$K$1)-1)/2)+Sales!L$4,0)=EOMONTH($BD$1,0),Sales!L$3*Sales!L$5,0)+IF(EOMONTH('Cash Drivers'!$DL$30+Sales!DM$4,0)=EOMONTH($BD$1,0),'Cash Drivers'!$DL$31*Sales!DM$5,0),0))</f>
        <v>28</v>
      </c>
      <c r="BF6" s="23" t="n">
        <f aca="false">ROUND(IF(EOMONTH(DATE(YEAR(Sales!$DL$1),MONTH(Sales!$DL$1),1)+INT((DAY(Sales!$DL$1)-1)/2)+Sales!DN$4,0)=EOMONTH($BD$1,0),Sales!DN$3*Sales!DN$5,0)+IF(EOMONTH(DATE(YEAR(Sales!$DI$1),MONTH(Sales!$DI$1),1)+INT((DAY(Sales!$DI$1)-1)/2)+Sales!DK$4,0)=EOMONTH($BD$1,0),Sales!DK$3*Sales!DK$5,0)+IF(EOMONTH(DATE(YEAR(Sales!$DF$1),MONTH(Sales!$DF$1),1)+INT((DAY(Sales!$DF$1)-1)/2)+Sales!DH$4,0)=EOMONTH($BD$1,0),Sales!DH$3*Sales!DH$5,0)+IF(EOMONTH(DATE(YEAR(Sales!$DC$1),MONTH(Sales!$DC$1),1)+INT((DAY(Sales!$DC$1)-1)/2)+Sales!DE$4,0)=EOMONTH($BD$1,0),Sales!DE$3*Sales!DE$5,0)+IF(EOMONTH(DATE(YEAR(Sales!$CZ$1),MONTH(Sales!$CZ$1),1)+INT((DAY(Sales!$CZ$1)-1)/2)+Sales!DB$4,0)=EOMONTH($BD$1,0),Sales!DB$3*Sales!DB$5,0)+IF(EOMONTH(DATE(YEAR(Sales!$CW$1),MONTH(Sales!$CW$1),1)+INT((DAY(Sales!$CW$1)-1)/2)+Sales!CY$4,0)=EOMONTH($BD$1,0),Sales!CY$3*Sales!CY$5,0)+IF(EOMONTH(DATE(YEAR(Sales!$CT$1),MONTH(Sales!$CT$1),1)+INT((DAY(Sales!$CT$1)-1)/2)+Sales!CV$4,0)=EOMONTH($BD$1,0),Sales!CV$3*Sales!CV$5,0)+IF(EOMONTH(DATE(YEAR(Sales!$CQ$1),MONTH(Sales!$CQ$1),1)+INT((DAY(Sales!$CQ$1)-1)/2)+Sales!CS$4,0)=EOMONTH($BD$1,0),Sales!CS$3*Sales!CS$5,0)+IF(EOMONTH(DATE(YEAR(Sales!$CN$1),MONTH(Sales!$CN$1),1)+INT((DAY(Sales!$CN$1)-1)/2)+Sales!CP$4,0)=EOMONTH($BD$1,0),Sales!CP$3*Sales!CP$5,0)+IF(EOMONTH(DATE(YEAR(Sales!$CK$1),MONTH(Sales!$CK$1),1)+INT((DAY(Sales!$CK$1)-1)/2)+Sales!CM$4,0)=EOMONTH($BD$1,0),Sales!CM$3*Sales!CM$5,0)+IF(EOMONTH(DATE(YEAR(Sales!$CH$1),MONTH(Sales!$CH$1),1)+INT((DAY(Sales!$CH$1)-1)/2)+Sales!CJ$4,0)=EOMONTH($BD$1,0),Sales!CJ$3*Sales!CJ$5,0)+IF(EOMONTH(DATE(YEAR(Sales!$CE$1),MONTH(Sales!$CE$1),1)+INT((DAY(Sales!$CE$1)-1)/2)+Sales!CG$4,0)=EOMONTH($BD$1,0),Sales!CG$3*Sales!CG$5,0)+IF(EOMONTH(DATE(YEAR(Sales!$CB$1),MONTH(Sales!$CB$1),1)+INT((DAY(Sales!$CB$1)-1)/2)+Sales!CD$4,0)=EOMONTH($BD$1,0),Sales!CD$3*Sales!CD$5,0)+IF(EOMONTH(DATE(YEAR(Sales!$BY$1),MONTH(Sales!$BY$1),1)+INT((DAY(Sales!$BY$1)-1)/2)+Sales!CA$4,0)=EOMONTH($BD$1,0),Sales!CA$3*Sales!CA$5,0)+IF(EOMONTH(DATE(YEAR(Sales!$BV$1),MONTH(Sales!$BV$1),1)+INT((DAY(Sales!$BV$1)-1)/2)+Sales!BX$4,0)=EOMONTH($BD$1,0),Sales!BX$3*Sales!BX$5,0)+IF(EOMONTH(DATE(YEAR(Sales!$BS$1),MONTH(Sales!$BS$1),1)+INT((DAY(Sales!$BS$1)-1)/2)+Sales!BU$4,0)=EOMONTH($BD$1,0),Sales!BU$3*Sales!BU$5,0)+IF(EOMONTH(DATE(YEAR(Sales!$BP$1),MONTH(Sales!$BP$1),1)+INT((DAY(Sales!$BP$1)-1)/2)+Sales!BR$4,0)=EOMONTH($BD$1,0),Sales!BR$3*Sales!BR$5,0)+IF(EOMONTH(DATE(YEAR(Sales!$BM$1),MONTH(Sales!$BM$1),1)+INT((DAY(Sales!$BM$1)-1)/2)+Sales!BO$4,0)=EOMONTH($BD$1,0),Sales!BO$3*Sales!BO$5,0)+IF(EOMONTH(DATE(YEAR(Sales!$BJ$1),MONTH(Sales!$BJ$1),1)+INT((DAY(Sales!$BJ$1)-1)/2)+Sales!BL$4,0)=EOMONTH($BD$1,0),Sales!BL$3*Sales!BL$5,0)+IF(EOMONTH(DATE(YEAR(Sales!$BG$1),MONTH(Sales!$BG$1),1)+INT((DAY(Sales!$BG$1)-1)/2)+Sales!BI$4,0)=EOMONTH($BD$1,0),Sales!BI$3*Sales!BI$5,0)+IF(EOMONTH(DATE(YEAR(Sales!$BD$1),MONTH(Sales!$BD$1),1)+INT((DAY(Sales!$BD$1)-1)/2)+Sales!BF$4,0)=EOMONTH($BD$1,0),Sales!BF$3*Sales!BF$5,0)+IF(EOMONTH(DATE(YEAR(Sales!$BA$1),MONTH(Sales!$BA$1),1)+INT((DAY(Sales!$BA$1)-1)/2)+Sales!BC$4,0)=EOMONTH($BD$1,0),Sales!BC$3*Sales!BC$5,0)+IF(EOMONTH(DATE(YEAR(Sales!$AX$1),MONTH(Sales!$AX$1),1)+INT((DAY(Sales!$AX$1)-1)/2)+Sales!AZ$4,0)=EOMONTH($BD$1,0),Sales!AZ$3*Sales!AZ$5,0)+IF(EOMONTH(DATE(YEAR(Sales!$AU$1),MONTH(Sales!$AU$1),1)+INT((DAY(Sales!$AU$1)-1)/2)+Sales!AW$4,0)=EOMONTH($BD$1,0),Sales!AW$3*Sales!AW$5,0)+IF(EOMONTH(DATE(YEAR(Sales!$AR$1),MONTH(Sales!$AR$1),1)+INT((DAY(Sales!$AR$1)-1)/2)+Sales!AT$4,0)=EOMONTH($BD$1,0),Sales!AT$3*Sales!AT$5,0)+IF(EOMONTH(DATE(YEAR(Sales!$AO$1),MONTH(Sales!$AO$1),1)+INT((DAY(Sales!$AO$1)-1)/2)+Sales!AQ$4,0)=EOMONTH($BD$1,0),Sales!AQ$3*Sales!AQ$5,0)+IF(EOMONTH(DATE(YEAR(Sales!$AL$1),MONTH(Sales!$AL$1),1)+INT((DAY(Sales!$AL$1)-1)/2)+Sales!AN$4,0)=EOMONTH($BD$1,0),Sales!AN$3*Sales!AN$5,0)+IF(EOMONTH(DATE(YEAR(Sales!$AI$1),MONTH(Sales!$AI$1),1)+INT((DAY(Sales!$AI$1)-1)/2)+Sales!AK$4,0)=EOMONTH($BD$1,0),Sales!AK$3*Sales!AK$5,0)+IF(EOMONTH(DATE(YEAR(Sales!$AF$1),MONTH(Sales!$AF$1),1)+INT((DAY(Sales!$AF$1)-1)/2)+Sales!AH$4,0)=EOMONTH($BD$1,0),Sales!AH$3*Sales!AH$5,0)+IF(EOMONTH(DATE(YEAR(Sales!$AC$1),MONTH(Sales!$AC$1),1)+INT((DAY(Sales!$AC$1)-1)/2)+Sales!AE$4,0)=EOMONTH($BD$1,0),Sales!AE$3*Sales!AE$5,0)+IF(EOMONTH(DATE(YEAR(Sales!$Z$1),MONTH(Sales!$Z$1),1)+INT((DAY(Sales!$Z$1)-1)/2)+Sales!AB$4,0)=EOMONTH($BD$1,0),Sales!AB$3*Sales!AB$5,0)+IF(EOMONTH(DATE(YEAR(Sales!$W$1),MONTH(Sales!$W$1),1)+INT((DAY(Sales!$W$1)-1)/2)+Sales!Y$4,0)=EOMONTH($BD$1,0),Sales!Y$3*Sales!Y$5,0)+IF(EOMONTH(DATE(YEAR(Sales!$T$1),MONTH(Sales!$T$1),1)+INT((DAY(Sales!$T$1)-1)/2)+Sales!V$4,0)=EOMONTH($BD$1,0),Sales!V$3*Sales!V$5,0)+IF(EOMONTH(DATE(YEAR(Sales!$Q$1),MONTH(Sales!$Q$1),1)+INT((DAY(Sales!$Q$1)-1)/2)+Sales!S$4,0)=EOMONTH($BD$1,0),Sales!S$3*Sales!S$5,0)+IF(EOMONTH(DATE(YEAR(Sales!$N$1),MONTH(Sales!$N$1),1)+INT((DAY(Sales!$N$1)-1)/2)+Sales!P$4,0)=EOMONTH($BD$1,0),Sales!P$3*Sales!P$5,0)+IF(EOMONTH(DATE(YEAR(Sales!$K$1),MONTH(Sales!$K$1),1)+INT((DAY(Sales!$K$1)-1)/2)+Sales!M$4,0)=EOMONTH($BD$1,0),Sales!M$3*Sales!M$5,0)+IF(EOMONTH('Cash Drivers'!$DL$30+Sales!DN$4,0)=EOMONTH($BD$1,0),'Cash Drivers'!$DL$31*Sales!DN$5,0),0)</f>
        <v>28</v>
      </c>
      <c r="BG6" s="2"/>
      <c r="BH6" s="2" t="n">
        <f aca="false">IF('Cash Drivers'!BH$26,BG6,ROUND(IF(EOMONTH(DATE(YEAR(Sales!$DL$1),MONTH(Sales!$DL$1),1)+INT((DAY(Sales!$DL$1)-1)/2)+Sales!DM$4,0)=EOMONTH($BG$1,0),Sales!DM$3*Sales!DM$5,0)+IF(EOMONTH(DATE(YEAR(Sales!$DI$1),MONTH(Sales!$DI$1),1)+INT((DAY(Sales!$DI$1)-1)/2)+Sales!DJ$4,0)=EOMONTH($BG$1,0),Sales!DJ$3*Sales!DJ$5,0)+IF(EOMONTH(DATE(YEAR(Sales!$DF$1),MONTH(Sales!$DF$1),1)+INT((DAY(Sales!$DF$1)-1)/2)+Sales!DG$4,0)=EOMONTH($BG$1,0),Sales!DG$3*Sales!DG$5,0)+IF(EOMONTH(DATE(YEAR(Sales!$DC$1),MONTH(Sales!$DC$1),1)+INT((DAY(Sales!$DC$1)-1)/2)+Sales!DD$4,0)=EOMONTH($BG$1,0),Sales!DD$3*Sales!DD$5,0)+IF(EOMONTH(DATE(YEAR(Sales!$CZ$1),MONTH(Sales!$CZ$1),1)+INT((DAY(Sales!$CZ$1)-1)/2)+Sales!DA$4,0)=EOMONTH($BG$1,0),Sales!DA$3*Sales!DA$5,0)+IF(EOMONTH(DATE(YEAR(Sales!$CW$1),MONTH(Sales!$CW$1),1)+INT((DAY(Sales!$CW$1)-1)/2)+Sales!CX$4,0)=EOMONTH($BG$1,0),Sales!CX$3*Sales!CX$5,0)+IF(EOMONTH(DATE(YEAR(Sales!$CT$1),MONTH(Sales!$CT$1),1)+INT((DAY(Sales!$CT$1)-1)/2)+Sales!CU$4,0)=EOMONTH($BG$1,0),Sales!CU$3*Sales!CU$5,0)+IF(EOMONTH(DATE(YEAR(Sales!$CQ$1),MONTH(Sales!$CQ$1),1)+INT((DAY(Sales!$CQ$1)-1)/2)+Sales!CR$4,0)=EOMONTH($BG$1,0),Sales!CR$3*Sales!CR$5,0)+IF(EOMONTH(DATE(YEAR(Sales!$CN$1),MONTH(Sales!$CN$1),1)+INT((DAY(Sales!$CN$1)-1)/2)+Sales!CO$4,0)=EOMONTH($BG$1,0),Sales!CO$3*Sales!CO$5,0)+IF(EOMONTH(DATE(YEAR(Sales!$CK$1),MONTH(Sales!$CK$1),1)+INT((DAY(Sales!$CK$1)-1)/2)+Sales!CL$4,0)=EOMONTH($BG$1,0),Sales!CL$3*Sales!CL$5,0)+IF(EOMONTH(DATE(YEAR(Sales!$CH$1),MONTH(Sales!$CH$1),1)+INT((DAY(Sales!$CH$1)-1)/2)+Sales!CI$4,0)=EOMONTH($BG$1,0),Sales!CI$3*Sales!CI$5,0)+IF(EOMONTH(DATE(YEAR(Sales!$CE$1),MONTH(Sales!$CE$1),1)+INT((DAY(Sales!$CE$1)-1)/2)+Sales!CF$4,0)=EOMONTH($BG$1,0),Sales!CF$3*Sales!CF$5,0)+IF(EOMONTH(DATE(YEAR(Sales!$CB$1),MONTH(Sales!$CB$1),1)+INT((DAY(Sales!$CB$1)-1)/2)+Sales!CC$4,0)=EOMONTH($BG$1,0),Sales!CC$3*Sales!CC$5,0)+IF(EOMONTH(DATE(YEAR(Sales!$BY$1),MONTH(Sales!$BY$1),1)+INT((DAY(Sales!$BY$1)-1)/2)+Sales!BZ$4,0)=EOMONTH($BG$1,0),Sales!BZ$3*Sales!BZ$5,0)+IF(EOMONTH(DATE(YEAR(Sales!$BV$1),MONTH(Sales!$BV$1),1)+INT((DAY(Sales!$BV$1)-1)/2)+Sales!BW$4,0)=EOMONTH($BG$1,0),Sales!BW$3*Sales!BW$5,0)+IF(EOMONTH(DATE(YEAR(Sales!$BS$1),MONTH(Sales!$BS$1),1)+INT((DAY(Sales!$BS$1)-1)/2)+Sales!BT$4,0)=EOMONTH($BG$1,0),Sales!BT$3*Sales!BT$5,0)+IF(EOMONTH(DATE(YEAR(Sales!$BP$1),MONTH(Sales!$BP$1),1)+INT((DAY(Sales!$BP$1)-1)/2)+Sales!BQ$4,0)=EOMONTH($BG$1,0),Sales!BQ$3*Sales!BQ$5,0)+IF(EOMONTH(DATE(YEAR(Sales!$BM$1),MONTH(Sales!$BM$1),1)+INT((DAY(Sales!$BM$1)-1)/2)+Sales!BN$4,0)=EOMONTH($BG$1,0),Sales!BN$3*Sales!BN$5,0)+IF(EOMONTH(DATE(YEAR(Sales!$BJ$1),MONTH(Sales!$BJ$1),1)+INT((DAY(Sales!$BJ$1)-1)/2)+Sales!BK$4,0)=EOMONTH($BG$1,0),Sales!BK$3*Sales!BK$5,0)+IF(EOMONTH(DATE(YEAR(Sales!$BG$1),MONTH(Sales!$BG$1),1)+INT((DAY(Sales!$BG$1)-1)/2)+Sales!BH$4,0)=EOMONTH($BG$1,0),Sales!BH$3*Sales!BH$5,0)+IF(EOMONTH(DATE(YEAR(Sales!$BD$1),MONTH(Sales!$BD$1),1)+INT((DAY(Sales!$BD$1)-1)/2)+Sales!BE$4,0)=EOMONTH($BG$1,0),Sales!BE$3*Sales!BE$5,0)+IF(EOMONTH(DATE(YEAR(Sales!$BA$1),MONTH(Sales!$BA$1),1)+INT((DAY(Sales!$BA$1)-1)/2)+Sales!BB$4,0)=EOMONTH($BG$1,0),Sales!BB$3*Sales!BB$5,0)+IF(EOMONTH(DATE(YEAR(Sales!$AX$1),MONTH(Sales!$AX$1),1)+INT((DAY(Sales!$AX$1)-1)/2)+Sales!AY$4,0)=EOMONTH($BG$1,0),Sales!AY$3*Sales!AY$5,0)+IF(EOMONTH(DATE(YEAR(Sales!$AU$1),MONTH(Sales!$AU$1),1)+INT((DAY(Sales!$AU$1)-1)/2)+Sales!AV$4,0)=EOMONTH($BG$1,0),Sales!AV$3*Sales!AV$5,0)+IF(EOMONTH(DATE(YEAR(Sales!$AR$1),MONTH(Sales!$AR$1),1)+INT((DAY(Sales!$AR$1)-1)/2)+Sales!AS$4,0)=EOMONTH($BG$1,0),Sales!AS$3*Sales!AS$5,0)+IF(EOMONTH(DATE(YEAR(Sales!$AO$1),MONTH(Sales!$AO$1),1)+INT((DAY(Sales!$AO$1)-1)/2)+Sales!AP$4,0)=EOMONTH($BG$1,0),Sales!AP$3*Sales!AP$5,0)+IF(EOMONTH(DATE(YEAR(Sales!$AL$1),MONTH(Sales!$AL$1),1)+INT((DAY(Sales!$AL$1)-1)/2)+Sales!AM$4,0)=EOMONTH($BG$1,0),Sales!AM$3*Sales!AM$5,0)+IF(EOMONTH(DATE(YEAR(Sales!$AI$1),MONTH(Sales!$AI$1),1)+INT((DAY(Sales!$AI$1)-1)/2)+Sales!AJ$4,0)=EOMONTH($BG$1,0),Sales!AJ$3*Sales!AJ$5,0)+IF(EOMONTH(DATE(YEAR(Sales!$AF$1),MONTH(Sales!$AF$1),1)+INT((DAY(Sales!$AF$1)-1)/2)+Sales!AG$4,0)=EOMONTH($BG$1,0),Sales!AG$3*Sales!AG$5,0)+IF(EOMONTH(DATE(YEAR(Sales!$AC$1),MONTH(Sales!$AC$1),1)+INT((DAY(Sales!$AC$1)-1)/2)+Sales!AD$4,0)=EOMONTH($BG$1,0),Sales!AD$3*Sales!AD$5,0)+IF(EOMONTH(DATE(YEAR(Sales!$Z$1),MONTH(Sales!$Z$1),1)+INT((DAY(Sales!$Z$1)-1)/2)+Sales!AA$4,0)=EOMONTH($BG$1,0),Sales!AA$3*Sales!AA$5,0)+IF(EOMONTH(DATE(YEAR(Sales!$W$1),MONTH(Sales!$W$1),1)+INT((DAY(Sales!$W$1)-1)/2)+Sales!X$4,0)=EOMONTH($BG$1,0),Sales!X$3*Sales!X$5,0)+IF(EOMONTH(DATE(YEAR(Sales!$T$1),MONTH(Sales!$T$1),1)+INT((DAY(Sales!$T$1)-1)/2)+Sales!U$4,0)=EOMONTH($BG$1,0),Sales!U$3*Sales!U$5,0)+IF(EOMONTH(DATE(YEAR(Sales!$Q$1),MONTH(Sales!$Q$1),1)+INT((DAY(Sales!$Q$1)-1)/2)+Sales!R$4,0)=EOMONTH($BG$1,0),Sales!R$3*Sales!R$5,0)+IF(EOMONTH(DATE(YEAR(Sales!$N$1),MONTH(Sales!$N$1),1)+INT((DAY(Sales!$N$1)-1)/2)+Sales!O$4,0)=EOMONTH($BG$1,0),Sales!O$3*Sales!O$5,0)+IF(EOMONTH(DATE(YEAR(Sales!$K$1),MONTH(Sales!$K$1),1)+INT((DAY(Sales!$K$1)-1)/2)+Sales!L$4,0)=EOMONTH($BG$1,0),Sales!L$3*Sales!L$5,0)+IF(EOMONTH('Cash Drivers'!$DL$30+Sales!DM$4,0)=EOMONTH($BG$1,0),'Cash Drivers'!$DL$31*Sales!DM$5,0),0))</f>
        <v>28</v>
      </c>
      <c r="BI6" s="2" t="n">
        <f aca="false">ROUND(IF(EOMONTH(DATE(YEAR(Sales!$DL$1),MONTH(Sales!$DL$1),1)+INT((DAY(Sales!$DL$1)-1)/2)+Sales!DN$4,0)=EOMONTH($BG$1,0),Sales!DN$3*Sales!DN$5,0)+IF(EOMONTH(DATE(YEAR(Sales!$DI$1),MONTH(Sales!$DI$1),1)+INT((DAY(Sales!$DI$1)-1)/2)+Sales!DK$4,0)=EOMONTH($BG$1,0),Sales!DK$3*Sales!DK$5,0)+IF(EOMONTH(DATE(YEAR(Sales!$DF$1),MONTH(Sales!$DF$1),1)+INT((DAY(Sales!$DF$1)-1)/2)+Sales!DH$4,0)=EOMONTH($BG$1,0),Sales!DH$3*Sales!DH$5,0)+IF(EOMONTH(DATE(YEAR(Sales!$DC$1),MONTH(Sales!$DC$1),1)+INT((DAY(Sales!$DC$1)-1)/2)+Sales!DE$4,0)=EOMONTH($BG$1,0),Sales!DE$3*Sales!DE$5,0)+IF(EOMONTH(DATE(YEAR(Sales!$CZ$1),MONTH(Sales!$CZ$1),1)+INT((DAY(Sales!$CZ$1)-1)/2)+Sales!DB$4,0)=EOMONTH($BG$1,0),Sales!DB$3*Sales!DB$5,0)+IF(EOMONTH(DATE(YEAR(Sales!$CW$1),MONTH(Sales!$CW$1),1)+INT((DAY(Sales!$CW$1)-1)/2)+Sales!CY$4,0)=EOMONTH($BG$1,0),Sales!CY$3*Sales!CY$5,0)+IF(EOMONTH(DATE(YEAR(Sales!$CT$1),MONTH(Sales!$CT$1),1)+INT((DAY(Sales!$CT$1)-1)/2)+Sales!CV$4,0)=EOMONTH($BG$1,0),Sales!CV$3*Sales!CV$5,0)+IF(EOMONTH(DATE(YEAR(Sales!$CQ$1),MONTH(Sales!$CQ$1),1)+INT((DAY(Sales!$CQ$1)-1)/2)+Sales!CS$4,0)=EOMONTH($BG$1,0),Sales!CS$3*Sales!CS$5,0)+IF(EOMONTH(DATE(YEAR(Sales!$CN$1),MONTH(Sales!$CN$1),1)+INT((DAY(Sales!$CN$1)-1)/2)+Sales!CP$4,0)=EOMONTH($BG$1,0),Sales!CP$3*Sales!CP$5,0)+IF(EOMONTH(DATE(YEAR(Sales!$CK$1),MONTH(Sales!$CK$1),1)+INT((DAY(Sales!$CK$1)-1)/2)+Sales!CM$4,0)=EOMONTH($BG$1,0),Sales!CM$3*Sales!CM$5,0)+IF(EOMONTH(DATE(YEAR(Sales!$CH$1),MONTH(Sales!$CH$1),1)+INT((DAY(Sales!$CH$1)-1)/2)+Sales!CJ$4,0)=EOMONTH($BG$1,0),Sales!CJ$3*Sales!CJ$5,0)+IF(EOMONTH(DATE(YEAR(Sales!$CE$1),MONTH(Sales!$CE$1),1)+INT((DAY(Sales!$CE$1)-1)/2)+Sales!CG$4,0)=EOMONTH($BG$1,0),Sales!CG$3*Sales!CG$5,0)+IF(EOMONTH(DATE(YEAR(Sales!$CB$1),MONTH(Sales!$CB$1),1)+INT((DAY(Sales!$CB$1)-1)/2)+Sales!CD$4,0)=EOMONTH($BG$1,0),Sales!CD$3*Sales!CD$5,0)+IF(EOMONTH(DATE(YEAR(Sales!$BY$1),MONTH(Sales!$BY$1),1)+INT((DAY(Sales!$BY$1)-1)/2)+Sales!CA$4,0)=EOMONTH($BG$1,0),Sales!CA$3*Sales!CA$5,0)+IF(EOMONTH(DATE(YEAR(Sales!$BV$1),MONTH(Sales!$BV$1),1)+INT((DAY(Sales!$BV$1)-1)/2)+Sales!BX$4,0)=EOMONTH($BG$1,0),Sales!BX$3*Sales!BX$5,0)+IF(EOMONTH(DATE(YEAR(Sales!$BS$1),MONTH(Sales!$BS$1),1)+INT((DAY(Sales!$BS$1)-1)/2)+Sales!BU$4,0)=EOMONTH($BG$1,0),Sales!BU$3*Sales!BU$5,0)+IF(EOMONTH(DATE(YEAR(Sales!$BP$1),MONTH(Sales!$BP$1),1)+INT((DAY(Sales!$BP$1)-1)/2)+Sales!BR$4,0)=EOMONTH($BG$1,0),Sales!BR$3*Sales!BR$5,0)+IF(EOMONTH(DATE(YEAR(Sales!$BM$1),MONTH(Sales!$BM$1),1)+INT((DAY(Sales!$BM$1)-1)/2)+Sales!BO$4,0)=EOMONTH($BG$1,0),Sales!BO$3*Sales!BO$5,0)+IF(EOMONTH(DATE(YEAR(Sales!$BJ$1),MONTH(Sales!$BJ$1),1)+INT((DAY(Sales!$BJ$1)-1)/2)+Sales!BL$4,0)=EOMONTH($BG$1,0),Sales!BL$3*Sales!BL$5,0)+IF(EOMONTH(DATE(YEAR(Sales!$BG$1),MONTH(Sales!$BG$1),1)+INT((DAY(Sales!$BG$1)-1)/2)+Sales!BI$4,0)=EOMONTH($BG$1,0),Sales!BI$3*Sales!BI$5,0)+IF(EOMONTH(DATE(YEAR(Sales!$BD$1),MONTH(Sales!$BD$1),1)+INT((DAY(Sales!$BD$1)-1)/2)+Sales!BF$4,0)=EOMONTH($BG$1,0),Sales!BF$3*Sales!BF$5,0)+IF(EOMONTH(DATE(YEAR(Sales!$BA$1),MONTH(Sales!$BA$1),1)+INT((DAY(Sales!$BA$1)-1)/2)+Sales!BC$4,0)=EOMONTH($BG$1,0),Sales!BC$3*Sales!BC$5,0)+IF(EOMONTH(DATE(YEAR(Sales!$AX$1),MONTH(Sales!$AX$1),1)+INT((DAY(Sales!$AX$1)-1)/2)+Sales!AZ$4,0)=EOMONTH($BG$1,0),Sales!AZ$3*Sales!AZ$5,0)+IF(EOMONTH(DATE(YEAR(Sales!$AU$1),MONTH(Sales!$AU$1),1)+INT((DAY(Sales!$AU$1)-1)/2)+Sales!AW$4,0)=EOMONTH($BG$1,0),Sales!AW$3*Sales!AW$5,0)+IF(EOMONTH(DATE(YEAR(Sales!$AR$1),MONTH(Sales!$AR$1),1)+INT((DAY(Sales!$AR$1)-1)/2)+Sales!AT$4,0)=EOMONTH($BG$1,0),Sales!AT$3*Sales!AT$5,0)+IF(EOMONTH(DATE(YEAR(Sales!$AO$1),MONTH(Sales!$AO$1),1)+INT((DAY(Sales!$AO$1)-1)/2)+Sales!AQ$4,0)=EOMONTH($BG$1,0),Sales!AQ$3*Sales!AQ$5,0)+IF(EOMONTH(DATE(YEAR(Sales!$AL$1),MONTH(Sales!$AL$1),1)+INT((DAY(Sales!$AL$1)-1)/2)+Sales!AN$4,0)=EOMONTH($BG$1,0),Sales!AN$3*Sales!AN$5,0)+IF(EOMONTH(DATE(YEAR(Sales!$AI$1),MONTH(Sales!$AI$1),1)+INT((DAY(Sales!$AI$1)-1)/2)+Sales!AK$4,0)=EOMONTH($BG$1,0),Sales!AK$3*Sales!AK$5,0)+IF(EOMONTH(DATE(YEAR(Sales!$AF$1),MONTH(Sales!$AF$1),1)+INT((DAY(Sales!$AF$1)-1)/2)+Sales!AH$4,0)=EOMONTH($BG$1,0),Sales!AH$3*Sales!AH$5,0)+IF(EOMONTH(DATE(YEAR(Sales!$AC$1),MONTH(Sales!$AC$1),1)+INT((DAY(Sales!$AC$1)-1)/2)+Sales!AE$4,0)=EOMONTH($BG$1,0),Sales!AE$3*Sales!AE$5,0)+IF(EOMONTH(DATE(YEAR(Sales!$Z$1),MONTH(Sales!$Z$1),1)+INT((DAY(Sales!$Z$1)-1)/2)+Sales!AB$4,0)=EOMONTH($BG$1,0),Sales!AB$3*Sales!AB$5,0)+IF(EOMONTH(DATE(YEAR(Sales!$W$1),MONTH(Sales!$W$1),1)+INT((DAY(Sales!$W$1)-1)/2)+Sales!Y$4,0)=EOMONTH($BG$1,0),Sales!Y$3*Sales!Y$5,0)+IF(EOMONTH(DATE(YEAR(Sales!$T$1),MONTH(Sales!$T$1),1)+INT((DAY(Sales!$T$1)-1)/2)+Sales!V$4,0)=EOMONTH($BG$1,0),Sales!V$3*Sales!V$5,0)+IF(EOMONTH(DATE(YEAR(Sales!$Q$1),MONTH(Sales!$Q$1),1)+INT((DAY(Sales!$Q$1)-1)/2)+Sales!S$4,0)=EOMONTH($BG$1,0),Sales!S$3*Sales!S$5,0)+IF(EOMONTH(DATE(YEAR(Sales!$N$1),MONTH(Sales!$N$1),1)+INT((DAY(Sales!$N$1)-1)/2)+Sales!P$4,0)=EOMONTH($BG$1,0),Sales!P$3*Sales!P$5,0)+IF(EOMONTH(DATE(YEAR(Sales!$K$1),MONTH(Sales!$K$1),1)+INT((DAY(Sales!$K$1)-1)/2)+Sales!M$4,0)=EOMONTH($BG$1,0),Sales!M$3*Sales!M$5,0)+IF(EOMONTH('Cash Drivers'!$DL$30+Sales!DN$4,0)=EOMONTH($BG$1,0),'Cash Drivers'!$DL$31*Sales!DN$5,0),0)</f>
        <v>28</v>
      </c>
      <c r="BJ6" s="23"/>
      <c r="BK6" s="23" t="n">
        <f aca="false">IF('Cash Drivers'!BK$26,BJ6,ROUND(IF(EOMONTH(DATE(YEAR(Sales!$DL$1),MONTH(Sales!$DL$1),1)+INT((DAY(Sales!$DL$1)-1)/2)+Sales!DM$4,0)=EOMONTH($BJ$1,0),Sales!DM$3*Sales!DM$5,0)+IF(EOMONTH(DATE(YEAR(Sales!$DI$1),MONTH(Sales!$DI$1),1)+INT((DAY(Sales!$DI$1)-1)/2)+Sales!DJ$4,0)=EOMONTH($BJ$1,0),Sales!DJ$3*Sales!DJ$5,0)+IF(EOMONTH(DATE(YEAR(Sales!$DF$1),MONTH(Sales!$DF$1),1)+INT((DAY(Sales!$DF$1)-1)/2)+Sales!DG$4,0)=EOMONTH($BJ$1,0),Sales!DG$3*Sales!DG$5,0)+IF(EOMONTH(DATE(YEAR(Sales!$DC$1),MONTH(Sales!$DC$1),1)+INT((DAY(Sales!$DC$1)-1)/2)+Sales!DD$4,0)=EOMONTH($BJ$1,0),Sales!DD$3*Sales!DD$5,0)+IF(EOMONTH(DATE(YEAR(Sales!$CZ$1),MONTH(Sales!$CZ$1),1)+INT((DAY(Sales!$CZ$1)-1)/2)+Sales!DA$4,0)=EOMONTH($BJ$1,0),Sales!DA$3*Sales!DA$5,0)+IF(EOMONTH(DATE(YEAR(Sales!$CW$1),MONTH(Sales!$CW$1),1)+INT((DAY(Sales!$CW$1)-1)/2)+Sales!CX$4,0)=EOMONTH($BJ$1,0),Sales!CX$3*Sales!CX$5,0)+IF(EOMONTH(DATE(YEAR(Sales!$CT$1),MONTH(Sales!$CT$1),1)+INT((DAY(Sales!$CT$1)-1)/2)+Sales!CU$4,0)=EOMONTH($BJ$1,0),Sales!CU$3*Sales!CU$5,0)+IF(EOMONTH(DATE(YEAR(Sales!$CQ$1),MONTH(Sales!$CQ$1),1)+INT((DAY(Sales!$CQ$1)-1)/2)+Sales!CR$4,0)=EOMONTH($BJ$1,0),Sales!CR$3*Sales!CR$5,0)+IF(EOMONTH(DATE(YEAR(Sales!$CN$1),MONTH(Sales!$CN$1),1)+INT((DAY(Sales!$CN$1)-1)/2)+Sales!CO$4,0)=EOMONTH($BJ$1,0),Sales!CO$3*Sales!CO$5,0)+IF(EOMONTH(DATE(YEAR(Sales!$CK$1),MONTH(Sales!$CK$1),1)+INT((DAY(Sales!$CK$1)-1)/2)+Sales!CL$4,0)=EOMONTH($BJ$1,0),Sales!CL$3*Sales!CL$5,0)+IF(EOMONTH(DATE(YEAR(Sales!$CH$1),MONTH(Sales!$CH$1),1)+INT((DAY(Sales!$CH$1)-1)/2)+Sales!CI$4,0)=EOMONTH($BJ$1,0),Sales!CI$3*Sales!CI$5,0)+IF(EOMONTH(DATE(YEAR(Sales!$CE$1),MONTH(Sales!$CE$1),1)+INT((DAY(Sales!$CE$1)-1)/2)+Sales!CF$4,0)=EOMONTH($BJ$1,0),Sales!CF$3*Sales!CF$5,0)+IF(EOMONTH(DATE(YEAR(Sales!$CB$1),MONTH(Sales!$CB$1),1)+INT((DAY(Sales!$CB$1)-1)/2)+Sales!CC$4,0)=EOMONTH($BJ$1,0),Sales!CC$3*Sales!CC$5,0)+IF(EOMONTH(DATE(YEAR(Sales!$BY$1),MONTH(Sales!$BY$1),1)+INT((DAY(Sales!$BY$1)-1)/2)+Sales!BZ$4,0)=EOMONTH($BJ$1,0),Sales!BZ$3*Sales!BZ$5,0)+IF(EOMONTH(DATE(YEAR(Sales!$BV$1),MONTH(Sales!$BV$1),1)+INT((DAY(Sales!$BV$1)-1)/2)+Sales!BW$4,0)=EOMONTH($BJ$1,0),Sales!BW$3*Sales!BW$5,0)+IF(EOMONTH(DATE(YEAR(Sales!$BS$1),MONTH(Sales!$BS$1),1)+INT((DAY(Sales!$BS$1)-1)/2)+Sales!BT$4,0)=EOMONTH($BJ$1,0),Sales!BT$3*Sales!BT$5,0)+IF(EOMONTH(DATE(YEAR(Sales!$BP$1),MONTH(Sales!$BP$1),1)+INT((DAY(Sales!$BP$1)-1)/2)+Sales!BQ$4,0)=EOMONTH($BJ$1,0),Sales!BQ$3*Sales!BQ$5,0)+IF(EOMONTH(DATE(YEAR(Sales!$BM$1),MONTH(Sales!$BM$1),1)+INT((DAY(Sales!$BM$1)-1)/2)+Sales!BN$4,0)=EOMONTH($BJ$1,0),Sales!BN$3*Sales!BN$5,0)+IF(EOMONTH(DATE(YEAR(Sales!$BJ$1),MONTH(Sales!$BJ$1),1)+INT((DAY(Sales!$BJ$1)-1)/2)+Sales!BK$4,0)=EOMONTH($BJ$1,0),Sales!BK$3*Sales!BK$5,0)+IF(EOMONTH(DATE(YEAR(Sales!$BG$1),MONTH(Sales!$BG$1),1)+INT((DAY(Sales!$BG$1)-1)/2)+Sales!BH$4,0)=EOMONTH($BJ$1,0),Sales!BH$3*Sales!BH$5,0)+IF(EOMONTH(DATE(YEAR(Sales!$BD$1),MONTH(Sales!$BD$1),1)+INT((DAY(Sales!$BD$1)-1)/2)+Sales!BE$4,0)=EOMONTH($BJ$1,0),Sales!BE$3*Sales!BE$5,0)+IF(EOMONTH(DATE(YEAR(Sales!$BA$1),MONTH(Sales!$BA$1),1)+INT((DAY(Sales!$BA$1)-1)/2)+Sales!BB$4,0)=EOMONTH($BJ$1,0),Sales!BB$3*Sales!BB$5,0)+IF(EOMONTH(DATE(YEAR(Sales!$AX$1),MONTH(Sales!$AX$1),1)+INT((DAY(Sales!$AX$1)-1)/2)+Sales!AY$4,0)=EOMONTH($BJ$1,0),Sales!AY$3*Sales!AY$5,0)+IF(EOMONTH(DATE(YEAR(Sales!$AU$1),MONTH(Sales!$AU$1),1)+INT((DAY(Sales!$AU$1)-1)/2)+Sales!AV$4,0)=EOMONTH($BJ$1,0),Sales!AV$3*Sales!AV$5,0)+IF(EOMONTH(DATE(YEAR(Sales!$AR$1),MONTH(Sales!$AR$1),1)+INT((DAY(Sales!$AR$1)-1)/2)+Sales!AS$4,0)=EOMONTH($BJ$1,0),Sales!AS$3*Sales!AS$5,0)+IF(EOMONTH(DATE(YEAR(Sales!$AO$1),MONTH(Sales!$AO$1),1)+INT((DAY(Sales!$AO$1)-1)/2)+Sales!AP$4,0)=EOMONTH($BJ$1,0),Sales!AP$3*Sales!AP$5,0)+IF(EOMONTH(DATE(YEAR(Sales!$AL$1),MONTH(Sales!$AL$1),1)+INT((DAY(Sales!$AL$1)-1)/2)+Sales!AM$4,0)=EOMONTH($BJ$1,0),Sales!AM$3*Sales!AM$5,0)+IF(EOMONTH(DATE(YEAR(Sales!$AI$1),MONTH(Sales!$AI$1),1)+INT((DAY(Sales!$AI$1)-1)/2)+Sales!AJ$4,0)=EOMONTH($BJ$1,0),Sales!AJ$3*Sales!AJ$5,0)+IF(EOMONTH(DATE(YEAR(Sales!$AF$1),MONTH(Sales!$AF$1),1)+INT((DAY(Sales!$AF$1)-1)/2)+Sales!AG$4,0)=EOMONTH($BJ$1,0),Sales!AG$3*Sales!AG$5,0)+IF(EOMONTH(DATE(YEAR(Sales!$AC$1),MONTH(Sales!$AC$1),1)+INT((DAY(Sales!$AC$1)-1)/2)+Sales!AD$4,0)=EOMONTH($BJ$1,0),Sales!AD$3*Sales!AD$5,0)+IF(EOMONTH(DATE(YEAR(Sales!$Z$1),MONTH(Sales!$Z$1),1)+INT((DAY(Sales!$Z$1)-1)/2)+Sales!AA$4,0)=EOMONTH($BJ$1,0),Sales!AA$3*Sales!AA$5,0)+IF(EOMONTH(DATE(YEAR(Sales!$W$1),MONTH(Sales!$W$1),1)+INT((DAY(Sales!$W$1)-1)/2)+Sales!X$4,0)=EOMONTH($BJ$1,0),Sales!X$3*Sales!X$5,0)+IF(EOMONTH(DATE(YEAR(Sales!$T$1),MONTH(Sales!$T$1),1)+INT((DAY(Sales!$T$1)-1)/2)+Sales!U$4,0)=EOMONTH($BJ$1,0),Sales!U$3*Sales!U$5,0)+IF(EOMONTH(DATE(YEAR(Sales!$Q$1),MONTH(Sales!$Q$1),1)+INT((DAY(Sales!$Q$1)-1)/2)+Sales!R$4,0)=EOMONTH($BJ$1,0),Sales!R$3*Sales!R$5,0)+IF(EOMONTH(DATE(YEAR(Sales!$N$1),MONTH(Sales!$N$1),1)+INT((DAY(Sales!$N$1)-1)/2)+Sales!O$4,0)=EOMONTH($BJ$1,0),Sales!O$3*Sales!O$5,0)+IF(EOMONTH(DATE(YEAR(Sales!$K$1),MONTH(Sales!$K$1),1)+INT((DAY(Sales!$K$1)-1)/2)+Sales!L$4,0)=EOMONTH($BJ$1,0),Sales!L$3*Sales!L$5,0)+IF(EOMONTH('Cash Drivers'!$DL$30+Sales!DM$4,0)=EOMONTH($BJ$1,0),'Cash Drivers'!$DL$31*Sales!DM$5,0),0))</f>
        <v>28</v>
      </c>
      <c r="BL6" s="23" t="n">
        <f aca="false">ROUND(IF(EOMONTH(DATE(YEAR(Sales!$DL$1),MONTH(Sales!$DL$1),1)+INT((DAY(Sales!$DL$1)-1)/2)+Sales!DN$4,0)=EOMONTH($BJ$1,0),Sales!DN$3*Sales!DN$5,0)+IF(EOMONTH(DATE(YEAR(Sales!$DI$1),MONTH(Sales!$DI$1),1)+INT((DAY(Sales!$DI$1)-1)/2)+Sales!DK$4,0)=EOMONTH($BJ$1,0),Sales!DK$3*Sales!DK$5,0)+IF(EOMONTH(DATE(YEAR(Sales!$DF$1),MONTH(Sales!$DF$1),1)+INT((DAY(Sales!$DF$1)-1)/2)+Sales!DH$4,0)=EOMONTH($BJ$1,0),Sales!DH$3*Sales!DH$5,0)+IF(EOMONTH(DATE(YEAR(Sales!$DC$1),MONTH(Sales!$DC$1),1)+INT((DAY(Sales!$DC$1)-1)/2)+Sales!DE$4,0)=EOMONTH($BJ$1,0),Sales!DE$3*Sales!DE$5,0)+IF(EOMONTH(DATE(YEAR(Sales!$CZ$1),MONTH(Sales!$CZ$1),1)+INT((DAY(Sales!$CZ$1)-1)/2)+Sales!DB$4,0)=EOMONTH($BJ$1,0),Sales!DB$3*Sales!DB$5,0)+IF(EOMONTH(DATE(YEAR(Sales!$CW$1),MONTH(Sales!$CW$1),1)+INT((DAY(Sales!$CW$1)-1)/2)+Sales!CY$4,0)=EOMONTH($BJ$1,0),Sales!CY$3*Sales!CY$5,0)+IF(EOMONTH(DATE(YEAR(Sales!$CT$1),MONTH(Sales!$CT$1),1)+INT((DAY(Sales!$CT$1)-1)/2)+Sales!CV$4,0)=EOMONTH($BJ$1,0),Sales!CV$3*Sales!CV$5,0)+IF(EOMONTH(DATE(YEAR(Sales!$CQ$1),MONTH(Sales!$CQ$1),1)+INT((DAY(Sales!$CQ$1)-1)/2)+Sales!CS$4,0)=EOMONTH($BJ$1,0),Sales!CS$3*Sales!CS$5,0)+IF(EOMONTH(DATE(YEAR(Sales!$CN$1),MONTH(Sales!$CN$1),1)+INT((DAY(Sales!$CN$1)-1)/2)+Sales!CP$4,0)=EOMONTH($BJ$1,0),Sales!CP$3*Sales!CP$5,0)+IF(EOMONTH(DATE(YEAR(Sales!$CK$1),MONTH(Sales!$CK$1),1)+INT((DAY(Sales!$CK$1)-1)/2)+Sales!CM$4,0)=EOMONTH($BJ$1,0),Sales!CM$3*Sales!CM$5,0)+IF(EOMONTH(DATE(YEAR(Sales!$CH$1),MONTH(Sales!$CH$1),1)+INT((DAY(Sales!$CH$1)-1)/2)+Sales!CJ$4,0)=EOMONTH($BJ$1,0),Sales!CJ$3*Sales!CJ$5,0)+IF(EOMONTH(DATE(YEAR(Sales!$CE$1),MONTH(Sales!$CE$1),1)+INT((DAY(Sales!$CE$1)-1)/2)+Sales!CG$4,0)=EOMONTH($BJ$1,0),Sales!CG$3*Sales!CG$5,0)+IF(EOMONTH(DATE(YEAR(Sales!$CB$1),MONTH(Sales!$CB$1),1)+INT((DAY(Sales!$CB$1)-1)/2)+Sales!CD$4,0)=EOMONTH($BJ$1,0),Sales!CD$3*Sales!CD$5,0)+IF(EOMONTH(DATE(YEAR(Sales!$BY$1),MONTH(Sales!$BY$1),1)+INT((DAY(Sales!$BY$1)-1)/2)+Sales!CA$4,0)=EOMONTH($BJ$1,0),Sales!CA$3*Sales!CA$5,0)+IF(EOMONTH(DATE(YEAR(Sales!$BV$1),MONTH(Sales!$BV$1),1)+INT((DAY(Sales!$BV$1)-1)/2)+Sales!BX$4,0)=EOMONTH($BJ$1,0),Sales!BX$3*Sales!BX$5,0)+IF(EOMONTH(DATE(YEAR(Sales!$BS$1),MONTH(Sales!$BS$1),1)+INT((DAY(Sales!$BS$1)-1)/2)+Sales!BU$4,0)=EOMONTH($BJ$1,0),Sales!BU$3*Sales!BU$5,0)+IF(EOMONTH(DATE(YEAR(Sales!$BP$1),MONTH(Sales!$BP$1),1)+INT((DAY(Sales!$BP$1)-1)/2)+Sales!BR$4,0)=EOMONTH($BJ$1,0),Sales!BR$3*Sales!BR$5,0)+IF(EOMONTH(DATE(YEAR(Sales!$BM$1),MONTH(Sales!$BM$1),1)+INT((DAY(Sales!$BM$1)-1)/2)+Sales!BO$4,0)=EOMONTH($BJ$1,0),Sales!BO$3*Sales!BO$5,0)+IF(EOMONTH(DATE(YEAR(Sales!$BJ$1),MONTH(Sales!$BJ$1),1)+INT((DAY(Sales!$BJ$1)-1)/2)+Sales!BL$4,0)=EOMONTH($BJ$1,0),Sales!BL$3*Sales!BL$5,0)+IF(EOMONTH(DATE(YEAR(Sales!$BG$1),MONTH(Sales!$BG$1),1)+INT((DAY(Sales!$BG$1)-1)/2)+Sales!BI$4,0)=EOMONTH($BJ$1,0),Sales!BI$3*Sales!BI$5,0)+IF(EOMONTH(DATE(YEAR(Sales!$BD$1),MONTH(Sales!$BD$1),1)+INT((DAY(Sales!$BD$1)-1)/2)+Sales!BF$4,0)=EOMONTH($BJ$1,0),Sales!BF$3*Sales!BF$5,0)+IF(EOMONTH(DATE(YEAR(Sales!$BA$1),MONTH(Sales!$BA$1),1)+INT((DAY(Sales!$BA$1)-1)/2)+Sales!BC$4,0)=EOMONTH($BJ$1,0),Sales!BC$3*Sales!BC$5,0)+IF(EOMONTH(DATE(YEAR(Sales!$AX$1),MONTH(Sales!$AX$1),1)+INT((DAY(Sales!$AX$1)-1)/2)+Sales!AZ$4,0)=EOMONTH($BJ$1,0),Sales!AZ$3*Sales!AZ$5,0)+IF(EOMONTH(DATE(YEAR(Sales!$AU$1),MONTH(Sales!$AU$1),1)+INT((DAY(Sales!$AU$1)-1)/2)+Sales!AW$4,0)=EOMONTH($BJ$1,0),Sales!AW$3*Sales!AW$5,0)+IF(EOMONTH(DATE(YEAR(Sales!$AR$1),MONTH(Sales!$AR$1),1)+INT((DAY(Sales!$AR$1)-1)/2)+Sales!AT$4,0)=EOMONTH($BJ$1,0),Sales!AT$3*Sales!AT$5,0)+IF(EOMONTH(DATE(YEAR(Sales!$AO$1),MONTH(Sales!$AO$1),1)+INT((DAY(Sales!$AO$1)-1)/2)+Sales!AQ$4,0)=EOMONTH($BJ$1,0),Sales!AQ$3*Sales!AQ$5,0)+IF(EOMONTH(DATE(YEAR(Sales!$AL$1),MONTH(Sales!$AL$1),1)+INT((DAY(Sales!$AL$1)-1)/2)+Sales!AN$4,0)=EOMONTH($BJ$1,0),Sales!AN$3*Sales!AN$5,0)+IF(EOMONTH(DATE(YEAR(Sales!$AI$1),MONTH(Sales!$AI$1),1)+INT((DAY(Sales!$AI$1)-1)/2)+Sales!AK$4,0)=EOMONTH($BJ$1,0),Sales!AK$3*Sales!AK$5,0)+IF(EOMONTH(DATE(YEAR(Sales!$AF$1),MONTH(Sales!$AF$1),1)+INT((DAY(Sales!$AF$1)-1)/2)+Sales!AH$4,0)=EOMONTH($BJ$1,0),Sales!AH$3*Sales!AH$5,0)+IF(EOMONTH(DATE(YEAR(Sales!$AC$1),MONTH(Sales!$AC$1),1)+INT((DAY(Sales!$AC$1)-1)/2)+Sales!AE$4,0)=EOMONTH($BJ$1,0),Sales!AE$3*Sales!AE$5,0)+IF(EOMONTH(DATE(YEAR(Sales!$Z$1),MONTH(Sales!$Z$1),1)+INT((DAY(Sales!$Z$1)-1)/2)+Sales!AB$4,0)=EOMONTH($BJ$1,0),Sales!AB$3*Sales!AB$5,0)+IF(EOMONTH(DATE(YEAR(Sales!$W$1),MONTH(Sales!$W$1),1)+INT((DAY(Sales!$W$1)-1)/2)+Sales!Y$4,0)=EOMONTH($BJ$1,0),Sales!Y$3*Sales!Y$5,0)+IF(EOMONTH(DATE(YEAR(Sales!$T$1),MONTH(Sales!$T$1),1)+INT((DAY(Sales!$T$1)-1)/2)+Sales!V$4,0)=EOMONTH($BJ$1,0),Sales!V$3*Sales!V$5,0)+IF(EOMONTH(DATE(YEAR(Sales!$Q$1),MONTH(Sales!$Q$1),1)+INT((DAY(Sales!$Q$1)-1)/2)+Sales!S$4,0)=EOMONTH($BJ$1,0),Sales!S$3*Sales!S$5,0)+IF(EOMONTH(DATE(YEAR(Sales!$N$1),MONTH(Sales!$N$1),1)+INT((DAY(Sales!$N$1)-1)/2)+Sales!P$4,0)=EOMONTH($BJ$1,0),Sales!P$3*Sales!P$5,0)+IF(EOMONTH(DATE(YEAR(Sales!$K$1),MONTH(Sales!$K$1),1)+INT((DAY(Sales!$K$1)-1)/2)+Sales!M$4,0)=EOMONTH($BJ$1,0),Sales!M$3*Sales!M$5,0)+IF(EOMONTH('Cash Drivers'!$DL$30+Sales!DN$4,0)=EOMONTH($BJ$1,0),'Cash Drivers'!$DL$31*Sales!DN$5,0),0)</f>
        <v>28</v>
      </c>
      <c r="BM6" s="2"/>
      <c r="BN6" s="2" t="n">
        <f aca="false">IF('Cash Drivers'!BN$26,BM6,ROUND(IF(EOMONTH(DATE(YEAR(Sales!$DL$1),MONTH(Sales!$DL$1),1)+INT((DAY(Sales!$DL$1)-1)/2)+Sales!DM$4,0)=EOMONTH($BM$1,0),Sales!DM$3*Sales!DM$5,0)+IF(EOMONTH(DATE(YEAR(Sales!$DI$1),MONTH(Sales!$DI$1),1)+INT((DAY(Sales!$DI$1)-1)/2)+Sales!DJ$4,0)=EOMONTH($BM$1,0),Sales!DJ$3*Sales!DJ$5,0)+IF(EOMONTH(DATE(YEAR(Sales!$DF$1),MONTH(Sales!$DF$1),1)+INT((DAY(Sales!$DF$1)-1)/2)+Sales!DG$4,0)=EOMONTH($BM$1,0),Sales!DG$3*Sales!DG$5,0)+IF(EOMONTH(DATE(YEAR(Sales!$DC$1),MONTH(Sales!$DC$1),1)+INT((DAY(Sales!$DC$1)-1)/2)+Sales!DD$4,0)=EOMONTH($BM$1,0),Sales!DD$3*Sales!DD$5,0)+IF(EOMONTH(DATE(YEAR(Sales!$CZ$1),MONTH(Sales!$CZ$1),1)+INT((DAY(Sales!$CZ$1)-1)/2)+Sales!DA$4,0)=EOMONTH($BM$1,0),Sales!DA$3*Sales!DA$5,0)+IF(EOMONTH(DATE(YEAR(Sales!$CW$1),MONTH(Sales!$CW$1),1)+INT((DAY(Sales!$CW$1)-1)/2)+Sales!CX$4,0)=EOMONTH($BM$1,0),Sales!CX$3*Sales!CX$5,0)+IF(EOMONTH(DATE(YEAR(Sales!$CT$1),MONTH(Sales!$CT$1),1)+INT((DAY(Sales!$CT$1)-1)/2)+Sales!CU$4,0)=EOMONTH($BM$1,0),Sales!CU$3*Sales!CU$5,0)+IF(EOMONTH(DATE(YEAR(Sales!$CQ$1),MONTH(Sales!$CQ$1),1)+INT((DAY(Sales!$CQ$1)-1)/2)+Sales!CR$4,0)=EOMONTH($BM$1,0),Sales!CR$3*Sales!CR$5,0)+IF(EOMONTH(DATE(YEAR(Sales!$CN$1),MONTH(Sales!$CN$1),1)+INT((DAY(Sales!$CN$1)-1)/2)+Sales!CO$4,0)=EOMONTH($BM$1,0),Sales!CO$3*Sales!CO$5,0)+IF(EOMONTH(DATE(YEAR(Sales!$CK$1),MONTH(Sales!$CK$1),1)+INT((DAY(Sales!$CK$1)-1)/2)+Sales!CL$4,0)=EOMONTH($BM$1,0),Sales!CL$3*Sales!CL$5,0)+IF(EOMONTH(DATE(YEAR(Sales!$CH$1),MONTH(Sales!$CH$1),1)+INT((DAY(Sales!$CH$1)-1)/2)+Sales!CI$4,0)=EOMONTH($BM$1,0),Sales!CI$3*Sales!CI$5,0)+IF(EOMONTH(DATE(YEAR(Sales!$CE$1),MONTH(Sales!$CE$1),1)+INT((DAY(Sales!$CE$1)-1)/2)+Sales!CF$4,0)=EOMONTH($BM$1,0),Sales!CF$3*Sales!CF$5,0)+IF(EOMONTH(DATE(YEAR(Sales!$CB$1),MONTH(Sales!$CB$1),1)+INT((DAY(Sales!$CB$1)-1)/2)+Sales!CC$4,0)=EOMONTH($BM$1,0),Sales!CC$3*Sales!CC$5,0)+IF(EOMONTH(DATE(YEAR(Sales!$BY$1),MONTH(Sales!$BY$1),1)+INT((DAY(Sales!$BY$1)-1)/2)+Sales!BZ$4,0)=EOMONTH($BM$1,0),Sales!BZ$3*Sales!BZ$5,0)+IF(EOMONTH(DATE(YEAR(Sales!$BV$1),MONTH(Sales!$BV$1),1)+INT((DAY(Sales!$BV$1)-1)/2)+Sales!BW$4,0)=EOMONTH($BM$1,0),Sales!BW$3*Sales!BW$5,0)+IF(EOMONTH(DATE(YEAR(Sales!$BS$1),MONTH(Sales!$BS$1),1)+INT((DAY(Sales!$BS$1)-1)/2)+Sales!BT$4,0)=EOMONTH($BM$1,0),Sales!BT$3*Sales!BT$5,0)+IF(EOMONTH(DATE(YEAR(Sales!$BP$1),MONTH(Sales!$BP$1),1)+INT((DAY(Sales!$BP$1)-1)/2)+Sales!BQ$4,0)=EOMONTH($BM$1,0),Sales!BQ$3*Sales!BQ$5,0)+IF(EOMONTH(DATE(YEAR(Sales!$BM$1),MONTH(Sales!$BM$1),1)+INT((DAY(Sales!$BM$1)-1)/2)+Sales!BN$4,0)=EOMONTH($BM$1,0),Sales!BN$3*Sales!BN$5,0)+IF(EOMONTH(DATE(YEAR(Sales!$BJ$1),MONTH(Sales!$BJ$1),1)+INT((DAY(Sales!$BJ$1)-1)/2)+Sales!BK$4,0)=EOMONTH($BM$1,0),Sales!BK$3*Sales!BK$5,0)+IF(EOMONTH(DATE(YEAR(Sales!$BG$1),MONTH(Sales!$BG$1),1)+INT((DAY(Sales!$BG$1)-1)/2)+Sales!BH$4,0)=EOMONTH($BM$1,0),Sales!BH$3*Sales!BH$5,0)+IF(EOMONTH(DATE(YEAR(Sales!$BD$1),MONTH(Sales!$BD$1),1)+INT((DAY(Sales!$BD$1)-1)/2)+Sales!BE$4,0)=EOMONTH($BM$1,0),Sales!BE$3*Sales!BE$5,0)+IF(EOMONTH(DATE(YEAR(Sales!$BA$1),MONTH(Sales!$BA$1),1)+INT((DAY(Sales!$BA$1)-1)/2)+Sales!BB$4,0)=EOMONTH($BM$1,0),Sales!BB$3*Sales!BB$5,0)+IF(EOMONTH(DATE(YEAR(Sales!$AX$1),MONTH(Sales!$AX$1),1)+INT((DAY(Sales!$AX$1)-1)/2)+Sales!AY$4,0)=EOMONTH($BM$1,0),Sales!AY$3*Sales!AY$5,0)+IF(EOMONTH(DATE(YEAR(Sales!$AU$1),MONTH(Sales!$AU$1),1)+INT((DAY(Sales!$AU$1)-1)/2)+Sales!AV$4,0)=EOMONTH($BM$1,0),Sales!AV$3*Sales!AV$5,0)+IF(EOMONTH(DATE(YEAR(Sales!$AR$1),MONTH(Sales!$AR$1),1)+INT((DAY(Sales!$AR$1)-1)/2)+Sales!AS$4,0)=EOMONTH($BM$1,0),Sales!AS$3*Sales!AS$5,0)+IF(EOMONTH(DATE(YEAR(Sales!$AO$1),MONTH(Sales!$AO$1),1)+INT((DAY(Sales!$AO$1)-1)/2)+Sales!AP$4,0)=EOMONTH($BM$1,0),Sales!AP$3*Sales!AP$5,0)+IF(EOMONTH(DATE(YEAR(Sales!$AL$1),MONTH(Sales!$AL$1),1)+INT((DAY(Sales!$AL$1)-1)/2)+Sales!AM$4,0)=EOMONTH($BM$1,0),Sales!AM$3*Sales!AM$5,0)+IF(EOMONTH(DATE(YEAR(Sales!$AI$1),MONTH(Sales!$AI$1),1)+INT((DAY(Sales!$AI$1)-1)/2)+Sales!AJ$4,0)=EOMONTH($BM$1,0),Sales!AJ$3*Sales!AJ$5,0)+IF(EOMONTH(DATE(YEAR(Sales!$AF$1),MONTH(Sales!$AF$1),1)+INT((DAY(Sales!$AF$1)-1)/2)+Sales!AG$4,0)=EOMONTH($BM$1,0),Sales!AG$3*Sales!AG$5,0)+IF(EOMONTH(DATE(YEAR(Sales!$AC$1),MONTH(Sales!$AC$1),1)+INT((DAY(Sales!$AC$1)-1)/2)+Sales!AD$4,0)=EOMONTH($BM$1,0),Sales!AD$3*Sales!AD$5,0)+IF(EOMONTH(DATE(YEAR(Sales!$Z$1),MONTH(Sales!$Z$1),1)+INT((DAY(Sales!$Z$1)-1)/2)+Sales!AA$4,0)=EOMONTH($BM$1,0),Sales!AA$3*Sales!AA$5,0)+IF(EOMONTH(DATE(YEAR(Sales!$W$1),MONTH(Sales!$W$1),1)+INT((DAY(Sales!$W$1)-1)/2)+Sales!X$4,0)=EOMONTH($BM$1,0),Sales!X$3*Sales!X$5,0)+IF(EOMONTH(DATE(YEAR(Sales!$T$1),MONTH(Sales!$T$1),1)+INT((DAY(Sales!$T$1)-1)/2)+Sales!U$4,0)=EOMONTH($BM$1,0),Sales!U$3*Sales!U$5,0)+IF(EOMONTH(DATE(YEAR(Sales!$Q$1),MONTH(Sales!$Q$1),1)+INT((DAY(Sales!$Q$1)-1)/2)+Sales!R$4,0)=EOMONTH($BM$1,0),Sales!R$3*Sales!R$5,0)+IF(EOMONTH(DATE(YEAR(Sales!$N$1),MONTH(Sales!$N$1),1)+INT((DAY(Sales!$N$1)-1)/2)+Sales!O$4,0)=EOMONTH($BM$1,0),Sales!O$3*Sales!O$5,0)+IF(EOMONTH(DATE(YEAR(Sales!$K$1),MONTH(Sales!$K$1),1)+INT((DAY(Sales!$K$1)-1)/2)+Sales!L$4,0)=EOMONTH($BM$1,0),Sales!L$3*Sales!L$5,0)+IF(EOMONTH('Cash Drivers'!$DL$30+Sales!DM$4,0)=EOMONTH($BM$1,0),'Cash Drivers'!$DL$31*Sales!DM$5,0),0))</f>
        <v>28</v>
      </c>
      <c r="BO6" s="2" t="n">
        <f aca="false">ROUND(IF(EOMONTH(DATE(YEAR(Sales!$DL$1),MONTH(Sales!$DL$1),1)+INT((DAY(Sales!$DL$1)-1)/2)+Sales!DN$4,0)=EOMONTH($BM$1,0),Sales!DN$3*Sales!DN$5,0)+IF(EOMONTH(DATE(YEAR(Sales!$DI$1),MONTH(Sales!$DI$1),1)+INT((DAY(Sales!$DI$1)-1)/2)+Sales!DK$4,0)=EOMONTH($BM$1,0),Sales!DK$3*Sales!DK$5,0)+IF(EOMONTH(DATE(YEAR(Sales!$DF$1),MONTH(Sales!$DF$1),1)+INT((DAY(Sales!$DF$1)-1)/2)+Sales!DH$4,0)=EOMONTH($BM$1,0),Sales!DH$3*Sales!DH$5,0)+IF(EOMONTH(DATE(YEAR(Sales!$DC$1),MONTH(Sales!$DC$1),1)+INT((DAY(Sales!$DC$1)-1)/2)+Sales!DE$4,0)=EOMONTH($BM$1,0),Sales!DE$3*Sales!DE$5,0)+IF(EOMONTH(DATE(YEAR(Sales!$CZ$1),MONTH(Sales!$CZ$1),1)+INT((DAY(Sales!$CZ$1)-1)/2)+Sales!DB$4,0)=EOMONTH($BM$1,0),Sales!DB$3*Sales!DB$5,0)+IF(EOMONTH(DATE(YEAR(Sales!$CW$1),MONTH(Sales!$CW$1),1)+INT((DAY(Sales!$CW$1)-1)/2)+Sales!CY$4,0)=EOMONTH($BM$1,0),Sales!CY$3*Sales!CY$5,0)+IF(EOMONTH(DATE(YEAR(Sales!$CT$1),MONTH(Sales!$CT$1),1)+INT((DAY(Sales!$CT$1)-1)/2)+Sales!CV$4,0)=EOMONTH($BM$1,0),Sales!CV$3*Sales!CV$5,0)+IF(EOMONTH(DATE(YEAR(Sales!$CQ$1),MONTH(Sales!$CQ$1),1)+INT((DAY(Sales!$CQ$1)-1)/2)+Sales!CS$4,0)=EOMONTH($BM$1,0),Sales!CS$3*Sales!CS$5,0)+IF(EOMONTH(DATE(YEAR(Sales!$CN$1),MONTH(Sales!$CN$1),1)+INT((DAY(Sales!$CN$1)-1)/2)+Sales!CP$4,0)=EOMONTH($BM$1,0),Sales!CP$3*Sales!CP$5,0)+IF(EOMONTH(DATE(YEAR(Sales!$CK$1),MONTH(Sales!$CK$1),1)+INT((DAY(Sales!$CK$1)-1)/2)+Sales!CM$4,0)=EOMONTH($BM$1,0),Sales!CM$3*Sales!CM$5,0)+IF(EOMONTH(DATE(YEAR(Sales!$CH$1),MONTH(Sales!$CH$1),1)+INT((DAY(Sales!$CH$1)-1)/2)+Sales!CJ$4,0)=EOMONTH($BM$1,0),Sales!CJ$3*Sales!CJ$5,0)+IF(EOMONTH(DATE(YEAR(Sales!$CE$1),MONTH(Sales!$CE$1),1)+INT((DAY(Sales!$CE$1)-1)/2)+Sales!CG$4,0)=EOMONTH($BM$1,0),Sales!CG$3*Sales!CG$5,0)+IF(EOMONTH(DATE(YEAR(Sales!$CB$1),MONTH(Sales!$CB$1),1)+INT((DAY(Sales!$CB$1)-1)/2)+Sales!CD$4,0)=EOMONTH($BM$1,0),Sales!CD$3*Sales!CD$5,0)+IF(EOMONTH(DATE(YEAR(Sales!$BY$1),MONTH(Sales!$BY$1),1)+INT((DAY(Sales!$BY$1)-1)/2)+Sales!CA$4,0)=EOMONTH($BM$1,0),Sales!CA$3*Sales!CA$5,0)+IF(EOMONTH(DATE(YEAR(Sales!$BV$1),MONTH(Sales!$BV$1),1)+INT((DAY(Sales!$BV$1)-1)/2)+Sales!BX$4,0)=EOMONTH($BM$1,0),Sales!BX$3*Sales!BX$5,0)+IF(EOMONTH(DATE(YEAR(Sales!$BS$1),MONTH(Sales!$BS$1),1)+INT((DAY(Sales!$BS$1)-1)/2)+Sales!BU$4,0)=EOMONTH($BM$1,0),Sales!BU$3*Sales!BU$5,0)+IF(EOMONTH(DATE(YEAR(Sales!$BP$1),MONTH(Sales!$BP$1),1)+INT((DAY(Sales!$BP$1)-1)/2)+Sales!BR$4,0)=EOMONTH($BM$1,0),Sales!BR$3*Sales!BR$5,0)+IF(EOMONTH(DATE(YEAR(Sales!$BM$1),MONTH(Sales!$BM$1),1)+INT((DAY(Sales!$BM$1)-1)/2)+Sales!BO$4,0)=EOMONTH($BM$1,0),Sales!BO$3*Sales!BO$5,0)+IF(EOMONTH(DATE(YEAR(Sales!$BJ$1),MONTH(Sales!$BJ$1),1)+INT((DAY(Sales!$BJ$1)-1)/2)+Sales!BL$4,0)=EOMONTH($BM$1,0),Sales!BL$3*Sales!BL$5,0)+IF(EOMONTH(DATE(YEAR(Sales!$BG$1),MONTH(Sales!$BG$1),1)+INT((DAY(Sales!$BG$1)-1)/2)+Sales!BI$4,0)=EOMONTH($BM$1,0),Sales!BI$3*Sales!BI$5,0)+IF(EOMONTH(DATE(YEAR(Sales!$BD$1),MONTH(Sales!$BD$1),1)+INT((DAY(Sales!$BD$1)-1)/2)+Sales!BF$4,0)=EOMONTH($BM$1,0),Sales!BF$3*Sales!BF$5,0)+IF(EOMONTH(DATE(YEAR(Sales!$BA$1),MONTH(Sales!$BA$1),1)+INT((DAY(Sales!$BA$1)-1)/2)+Sales!BC$4,0)=EOMONTH($BM$1,0),Sales!BC$3*Sales!BC$5,0)+IF(EOMONTH(DATE(YEAR(Sales!$AX$1),MONTH(Sales!$AX$1),1)+INT((DAY(Sales!$AX$1)-1)/2)+Sales!AZ$4,0)=EOMONTH($BM$1,0),Sales!AZ$3*Sales!AZ$5,0)+IF(EOMONTH(DATE(YEAR(Sales!$AU$1),MONTH(Sales!$AU$1),1)+INT((DAY(Sales!$AU$1)-1)/2)+Sales!AW$4,0)=EOMONTH($BM$1,0),Sales!AW$3*Sales!AW$5,0)+IF(EOMONTH(DATE(YEAR(Sales!$AR$1),MONTH(Sales!$AR$1),1)+INT((DAY(Sales!$AR$1)-1)/2)+Sales!AT$4,0)=EOMONTH($BM$1,0),Sales!AT$3*Sales!AT$5,0)+IF(EOMONTH(DATE(YEAR(Sales!$AO$1),MONTH(Sales!$AO$1),1)+INT((DAY(Sales!$AO$1)-1)/2)+Sales!AQ$4,0)=EOMONTH($BM$1,0),Sales!AQ$3*Sales!AQ$5,0)+IF(EOMONTH(DATE(YEAR(Sales!$AL$1),MONTH(Sales!$AL$1),1)+INT((DAY(Sales!$AL$1)-1)/2)+Sales!AN$4,0)=EOMONTH($BM$1,0),Sales!AN$3*Sales!AN$5,0)+IF(EOMONTH(DATE(YEAR(Sales!$AI$1),MONTH(Sales!$AI$1),1)+INT((DAY(Sales!$AI$1)-1)/2)+Sales!AK$4,0)=EOMONTH($BM$1,0),Sales!AK$3*Sales!AK$5,0)+IF(EOMONTH(DATE(YEAR(Sales!$AF$1),MONTH(Sales!$AF$1),1)+INT((DAY(Sales!$AF$1)-1)/2)+Sales!AH$4,0)=EOMONTH($BM$1,0),Sales!AH$3*Sales!AH$5,0)+IF(EOMONTH(DATE(YEAR(Sales!$AC$1),MONTH(Sales!$AC$1),1)+INT((DAY(Sales!$AC$1)-1)/2)+Sales!AE$4,0)=EOMONTH($BM$1,0),Sales!AE$3*Sales!AE$5,0)+IF(EOMONTH(DATE(YEAR(Sales!$Z$1),MONTH(Sales!$Z$1),1)+INT((DAY(Sales!$Z$1)-1)/2)+Sales!AB$4,0)=EOMONTH($BM$1,0),Sales!AB$3*Sales!AB$5,0)+IF(EOMONTH(DATE(YEAR(Sales!$W$1),MONTH(Sales!$W$1),1)+INT((DAY(Sales!$W$1)-1)/2)+Sales!Y$4,0)=EOMONTH($BM$1,0),Sales!Y$3*Sales!Y$5,0)+IF(EOMONTH(DATE(YEAR(Sales!$T$1),MONTH(Sales!$T$1),1)+INT((DAY(Sales!$T$1)-1)/2)+Sales!V$4,0)=EOMONTH($BM$1,0),Sales!V$3*Sales!V$5,0)+IF(EOMONTH(DATE(YEAR(Sales!$Q$1),MONTH(Sales!$Q$1),1)+INT((DAY(Sales!$Q$1)-1)/2)+Sales!S$4,0)=EOMONTH($BM$1,0),Sales!S$3*Sales!S$5,0)+IF(EOMONTH(DATE(YEAR(Sales!$N$1),MONTH(Sales!$N$1),1)+INT((DAY(Sales!$N$1)-1)/2)+Sales!P$4,0)=EOMONTH($BM$1,0),Sales!P$3*Sales!P$5,0)+IF(EOMONTH(DATE(YEAR(Sales!$K$1),MONTH(Sales!$K$1),1)+INT((DAY(Sales!$K$1)-1)/2)+Sales!M$4,0)=EOMONTH($BM$1,0),Sales!M$3*Sales!M$5,0)+IF(EOMONTH('Cash Drivers'!$DL$30+Sales!DN$4,0)=EOMONTH($BM$1,0),'Cash Drivers'!$DL$31*Sales!DN$5,0),0)</f>
        <v>28</v>
      </c>
      <c r="BP6" s="23"/>
      <c r="BQ6" s="23" t="n">
        <f aca="false">IF('Cash Drivers'!BQ$26,BP6,ROUND(IF(EOMONTH(DATE(YEAR(Sales!$DL$1),MONTH(Sales!$DL$1),1)+INT((DAY(Sales!$DL$1)-1)/2)+Sales!DM$4,0)=EOMONTH($BP$1,0),Sales!DM$3*Sales!DM$5,0)+IF(EOMONTH(DATE(YEAR(Sales!$DI$1),MONTH(Sales!$DI$1),1)+INT((DAY(Sales!$DI$1)-1)/2)+Sales!DJ$4,0)=EOMONTH($BP$1,0),Sales!DJ$3*Sales!DJ$5,0)+IF(EOMONTH(DATE(YEAR(Sales!$DF$1),MONTH(Sales!$DF$1),1)+INT((DAY(Sales!$DF$1)-1)/2)+Sales!DG$4,0)=EOMONTH($BP$1,0),Sales!DG$3*Sales!DG$5,0)+IF(EOMONTH(DATE(YEAR(Sales!$DC$1),MONTH(Sales!$DC$1),1)+INT((DAY(Sales!$DC$1)-1)/2)+Sales!DD$4,0)=EOMONTH($BP$1,0),Sales!DD$3*Sales!DD$5,0)+IF(EOMONTH(DATE(YEAR(Sales!$CZ$1),MONTH(Sales!$CZ$1),1)+INT((DAY(Sales!$CZ$1)-1)/2)+Sales!DA$4,0)=EOMONTH($BP$1,0),Sales!DA$3*Sales!DA$5,0)+IF(EOMONTH(DATE(YEAR(Sales!$CW$1),MONTH(Sales!$CW$1),1)+INT((DAY(Sales!$CW$1)-1)/2)+Sales!CX$4,0)=EOMONTH($BP$1,0),Sales!CX$3*Sales!CX$5,0)+IF(EOMONTH(DATE(YEAR(Sales!$CT$1),MONTH(Sales!$CT$1),1)+INT((DAY(Sales!$CT$1)-1)/2)+Sales!CU$4,0)=EOMONTH($BP$1,0),Sales!CU$3*Sales!CU$5,0)+IF(EOMONTH(DATE(YEAR(Sales!$CQ$1),MONTH(Sales!$CQ$1),1)+INT((DAY(Sales!$CQ$1)-1)/2)+Sales!CR$4,0)=EOMONTH($BP$1,0),Sales!CR$3*Sales!CR$5,0)+IF(EOMONTH(DATE(YEAR(Sales!$CN$1),MONTH(Sales!$CN$1),1)+INT((DAY(Sales!$CN$1)-1)/2)+Sales!CO$4,0)=EOMONTH($BP$1,0),Sales!CO$3*Sales!CO$5,0)+IF(EOMONTH(DATE(YEAR(Sales!$CK$1),MONTH(Sales!$CK$1),1)+INT((DAY(Sales!$CK$1)-1)/2)+Sales!CL$4,0)=EOMONTH($BP$1,0),Sales!CL$3*Sales!CL$5,0)+IF(EOMONTH(DATE(YEAR(Sales!$CH$1),MONTH(Sales!$CH$1),1)+INT((DAY(Sales!$CH$1)-1)/2)+Sales!CI$4,0)=EOMONTH($BP$1,0),Sales!CI$3*Sales!CI$5,0)+IF(EOMONTH(DATE(YEAR(Sales!$CE$1),MONTH(Sales!$CE$1),1)+INT((DAY(Sales!$CE$1)-1)/2)+Sales!CF$4,0)=EOMONTH($BP$1,0),Sales!CF$3*Sales!CF$5,0)+IF(EOMONTH(DATE(YEAR(Sales!$CB$1),MONTH(Sales!$CB$1),1)+INT((DAY(Sales!$CB$1)-1)/2)+Sales!CC$4,0)=EOMONTH($BP$1,0),Sales!CC$3*Sales!CC$5,0)+IF(EOMONTH(DATE(YEAR(Sales!$BY$1),MONTH(Sales!$BY$1),1)+INT((DAY(Sales!$BY$1)-1)/2)+Sales!BZ$4,0)=EOMONTH($BP$1,0),Sales!BZ$3*Sales!BZ$5,0)+IF(EOMONTH(DATE(YEAR(Sales!$BV$1),MONTH(Sales!$BV$1),1)+INT((DAY(Sales!$BV$1)-1)/2)+Sales!BW$4,0)=EOMONTH($BP$1,0),Sales!BW$3*Sales!BW$5,0)+IF(EOMONTH(DATE(YEAR(Sales!$BS$1),MONTH(Sales!$BS$1),1)+INT((DAY(Sales!$BS$1)-1)/2)+Sales!BT$4,0)=EOMONTH($BP$1,0),Sales!BT$3*Sales!BT$5,0)+IF(EOMONTH(DATE(YEAR(Sales!$BP$1),MONTH(Sales!$BP$1),1)+INT((DAY(Sales!$BP$1)-1)/2)+Sales!BQ$4,0)=EOMONTH($BP$1,0),Sales!BQ$3*Sales!BQ$5,0)+IF(EOMONTH(DATE(YEAR(Sales!$BM$1),MONTH(Sales!$BM$1),1)+INT((DAY(Sales!$BM$1)-1)/2)+Sales!BN$4,0)=EOMONTH($BP$1,0),Sales!BN$3*Sales!BN$5,0)+IF(EOMONTH(DATE(YEAR(Sales!$BJ$1),MONTH(Sales!$BJ$1),1)+INT((DAY(Sales!$BJ$1)-1)/2)+Sales!BK$4,0)=EOMONTH($BP$1,0),Sales!BK$3*Sales!BK$5,0)+IF(EOMONTH(DATE(YEAR(Sales!$BG$1),MONTH(Sales!$BG$1),1)+INT((DAY(Sales!$BG$1)-1)/2)+Sales!BH$4,0)=EOMONTH($BP$1,0),Sales!BH$3*Sales!BH$5,0)+IF(EOMONTH(DATE(YEAR(Sales!$BD$1),MONTH(Sales!$BD$1),1)+INT((DAY(Sales!$BD$1)-1)/2)+Sales!BE$4,0)=EOMONTH($BP$1,0),Sales!BE$3*Sales!BE$5,0)+IF(EOMONTH(DATE(YEAR(Sales!$BA$1),MONTH(Sales!$BA$1),1)+INT((DAY(Sales!$BA$1)-1)/2)+Sales!BB$4,0)=EOMONTH($BP$1,0),Sales!BB$3*Sales!BB$5,0)+IF(EOMONTH(DATE(YEAR(Sales!$AX$1),MONTH(Sales!$AX$1),1)+INT((DAY(Sales!$AX$1)-1)/2)+Sales!AY$4,0)=EOMONTH($BP$1,0),Sales!AY$3*Sales!AY$5,0)+IF(EOMONTH(DATE(YEAR(Sales!$AU$1),MONTH(Sales!$AU$1),1)+INT((DAY(Sales!$AU$1)-1)/2)+Sales!AV$4,0)=EOMONTH($BP$1,0),Sales!AV$3*Sales!AV$5,0)+IF(EOMONTH(DATE(YEAR(Sales!$AR$1),MONTH(Sales!$AR$1),1)+INT((DAY(Sales!$AR$1)-1)/2)+Sales!AS$4,0)=EOMONTH($BP$1,0),Sales!AS$3*Sales!AS$5,0)+IF(EOMONTH(DATE(YEAR(Sales!$AO$1),MONTH(Sales!$AO$1),1)+INT((DAY(Sales!$AO$1)-1)/2)+Sales!AP$4,0)=EOMONTH($BP$1,0),Sales!AP$3*Sales!AP$5,0)+IF(EOMONTH(DATE(YEAR(Sales!$AL$1),MONTH(Sales!$AL$1),1)+INT((DAY(Sales!$AL$1)-1)/2)+Sales!AM$4,0)=EOMONTH($BP$1,0),Sales!AM$3*Sales!AM$5,0)+IF(EOMONTH(DATE(YEAR(Sales!$AI$1),MONTH(Sales!$AI$1),1)+INT((DAY(Sales!$AI$1)-1)/2)+Sales!AJ$4,0)=EOMONTH($BP$1,0),Sales!AJ$3*Sales!AJ$5,0)+IF(EOMONTH(DATE(YEAR(Sales!$AF$1),MONTH(Sales!$AF$1),1)+INT((DAY(Sales!$AF$1)-1)/2)+Sales!AG$4,0)=EOMONTH($BP$1,0),Sales!AG$3*Sales!AG$5,0)+IF(EOMONTH(DATE(YEAR(Sales!$AC$1),MONTH(Sales!$AC$1),1)+INT((DAY(Sales!$AC$1)-1)/2)+Sales!AD$4,0)=EOMONTH($BP$1,0),Sales!AD$3*Sales!AD$5,0)+IF(EOMONTH(DATE(YEAR(Sales!$Z$1),MONTH(Sales!$Z$1),1)+INT((DAY(Sales!$Z$1)-1)/2)+Sales!AA$4,0)=EOMONTH($BP$1,0),Sales!AA$3*Sales!AA$5,0)+IF(EOMONTH(DATE(YEAR(Sales!$W$1),MONTH(Sales!$W$1),1)+INT((DAY(Sales!$W$1)-1)/2)+Sales!X$4,0)=EOMONTH($BP$1,0),Sales!X$3*Sales!X$5,0)+IF(EOMONTH(DATE(YEAR(Sales!$T$1),MONTH(Sales!$T$1),1)+INT((DAY(Sales!$T$1)-1)/2)+Sales!U$4,0)=EOMONTH($BP$1,0),Sales!U$3*Sales!U$5,0)+IF(EOMONTH(DATE(YEAR(Sales!$Q$1),MONTH(Sales!$Q$1),1)+INT((DAY(Sales!$Q$1)-1)/2)+Sales!R$4,0)=EOMONTH($BP$1,0),Sales!R$3*Sales!R$5,0)+IF(EOMONTH(DATE(YEAR(Sales!$N$1),MONTH(Sales!$N$1),1)+INT((DAY(Sales!$N$1)-1)/2)+Sales!O$4,0)=EOMONTH($BP$1,0),Sales!O$3*Sales!O$5,0)+IF(EOMONTH(DATE(YEAR(Sales!$K$1),MONTH(Sales!$K$1),1)+INT((DAY(Sales!$K$1)-1)/2)+Sales!L$4,0)=EOMONTH($BP$1,0),Sales!L$3*Sales!L$5,0)+IF(EOMONTH('Cash Drivers'!$DL$30+Sales!DM$4,0)=EOMONTH($BP$1,0),'Cash Drivers'!$DL$31*Sales!DM$5,0),0))</f>
        <v>28</v>
      </c>
      <c r="BR6" s="23" t="n">
        <f aca="false">ROUND(IF(EOMONTH(DATE(YEAR(Sales!$DL$1),MONTH(Sales!$DL$1),1)+INT((DAY(Sales!$DL$1)-1)/2)+Sales!DN$4,0)=EOMONTH($BP$1,0),Sales!DN$3*Sales!DN$5,0)+IF(EOMONTH(DATE(YEAR(Sales!$DI$1),MONTH(Sales!$DI$1),1)+INT((DAY(Sales!$DI$1)-1)/2)+Sales!DK$4,0)=EOMONTH($BP$1,0),Sales!DK$3*Sales!DK$5,0)+IF(EOMONTH(DATE(YEAR(Sales!$DF$1),MONTH(Sales!$DF$1),1)+INT((DAY(Sales!$DF$1)-1)/2)+Sales!DH$4,0)=EOMONTH($BP$1,0),Sales!DH$3*Sales!DH$5,0)+IF(EOMONTH(DATE(YEAR(Sales!$DC$1),MONTH(Sales!$DC$1),1)+INT((DAY(Sales!$DC$1)-1)/2)+Sales!DE$4,0)=EOMONTH($BP$1,0),Sales!DE$3*Sales!DE$5,0)+IF(EOMONTH(DATE(YEAR(Sales!$CZ$1),MONTH(Sales!$CZ$1),1)+INT((DAY(Sales!$CZ$1)-1)/2)+Sales!DB$4,0)=EOMONTH($BP$1,0),Sales!DB$3*Sales!DB$5,0)+IF(EOMONTH(DATE(YEAR(Sales!$CW$1),MONTH(Sales!$CW$1),1)+INT((DAY(Sales!$CW$1)-1)/2)+Sales!CY$4,0)=EOMONTH($BP$1,0),Sales!CY$3*Sales!CY$5,0)+IF(EOMONTH(DATE(YEAR(Sales!$CT$1),MONTH(Sales!$CT$1),1)+INT((DAY(Sales!$CT$1)-1)/2)+Sales!CV$4,0)=EOMONTH($BP$1,0),Sales!CV$3*Sales!CV$5,0)+IF(EOMONTH(DATE(YEAR(Sales!$CQ$1),MONTH(Sales!$CQ$1),1)+INT((DAY(Sales!$CQ$1)-1)/2)+Sales!CS$4,0)=EOMONTH($BP$1,0),Sales!CS$3*Sales!CS$5,0)+IF(EOMONTH(DATE(YEAR(Sales!$CN$1),MONTH(Sales!$CN$1),1)+INT((DAY(Sales!$CN$1)-1)/2)+Sales!CP$4,0)=EOMONTH($BP$1,0),Sales!CP$3*Sales!CP$5,0)+IF(EOMONTH(DATE(YEAR(Sales!$CK$1),MONTH(Sales!$CK$1),1)+INT((DAY(Sales!$CK$1)-1)/2)+Sales!CM$4,0)=EOMONTH($BP$1,0),Sales!CM$3*Sales!CM$5,0)+IF(EOMONTH(DATE(YEAR(Sales!$CH$1),MONTH(Sales!$CH$1),1)+INT((DAY(Sales!$CH$1)-1)/2)+Sales!CJ$4,0)=EOMONTH($BP$1,0),Sales!CJ$3*Sales!CJ$5,0)+IF(EOMONTH(DATE(YEAR(Sales!$CE$1),MONTH(Sales!$CE$1),1)+INT((DAY(Sales!$CE$1)-1)/2)+Sales!CG$4,0)=EOMONTH($BP$1,0),Sales!CG$3*Sales!CG$5,0)+IF(EOMONTH(DATE(YEAR(Sales!$CB$1),MONTH(Sales!$CB$1),1)+INT((DAY(Sales!$CB$1)-1)/2)+Sales!CD$4,0)=EOMONTH($BP$1,0),Sales!CD$3*Sales!CD$5,0)+IF(EOMONTH(DATE(YEAR(Sales!$BY$1),MONTH(Sales!$BY$1),1)+INT((DAY(Sales!$BY$1)-1)/2)+Sales!CA$4,0)=EOMONTH($BP$1,0),Sales!CA$3*Sales!CA$5,0)+IF(EOMONTH(DATE(YEAR(Sales!$BV$1),MONTH(Sales!$BV$1),1)+INT((DAY(Sales!$BV$1)-1)/2)+Sales!BX$4,0)=EOMONTH($BP$1,0),Sales!BX$3*Sales!BX$5,0)+IF(EOMONTH(DATE(YEAR(Sales!$BS$1),MONTH(Sales!$BS$1),1)+INT((DAY(Sales!$BS$1)-1)/2)+Sales!BU$4,0)=EOMONTH($BP$1,0),Sales!BU$3*Sales!BU$5,0)+IF(EOMONTH(DATE(YEAR(Sales!$BP$1),MONTH(Sales!$BP$1),1)+INT((DAY(Sales!$BP$1)-1)/2)+Sales!BR$4,0)=EOMONTH($BP$1,0),Sales!BR$3*Sales!BR$5,0)+IF(EOMONTH(DATE(YEAR(Sales!$BM$1),MONTH(Sales!$BM$1),1)+INT((DAY(Sales!$BM$1)-1)/2)+Sales!BO$4,0)=EOMONTH($BP$1,0),Sales!BO$3*Sales!BO$5,0)+IF(EOMONTH(DATE(YEAR(Sales!$BJ$1),MONTH(Sales!$BJ$1),1)+INT((DAY(Sales!$BJ$1)-1)/2)+Sales!BL$4,0)=EOMONTH($BP$1,0),Sales!BL$3*Sales!BL$5,0)+IF(EOMONTH(DATE(YEAR(Sales!$BG$1),MONTH(Sales!$BG$1),1)+INT((DAY(Sales!$BG$1)-1)/2)+Sales!BI$4,0)=EOMONTH($BP$1,0),Sales!BI$3*Sales!BI$5,0)+IF(EOMONTH(DATE(YEAR(Sales!$BD$1),MONTH(Sales!$BD$1),1)+INT((DAY(Sales!$BD$1)-1)/2)+Sales!BF$4,0)=EOMONTH($BP$1,0),Sales!BF$3*Sales!BF$5,0)+IF(EOMONTH(DATE(YEAR(Sales!$BA$1),MONTH(Sales!$BA$1),1)+INT((DAY(Sales!$BA$1)-1)/2)+Sales!BC$4,0)=EOMONTH($BP$1,0),Sales!BC$3*Sales!BC$5,0)+IF(EOMONTH(DATE(YEAR(Sales!$AX$1),MONTH(Sales!$AX$1),1)+INT((DAY(Sales!$AX$1)-1)/2)+Sales!AZ$4,0)=EOMONTH($BP$1,0),Sales!AZ$3*Sales!AZ$5,0)+IF(EOMONTH(DATE(YEAR(Sales!$AU$1),MONTH(Sales!$AU$1),1)+INT((DAY(Sales!$AU$1)-1)/2)+Sales!AW$4,0)=EOMONTH($BP$1,0),Sales!AW$3*Sales!AW$5,0)+IF(EOMONTH(DATE(YEAR(Sales!$AR$1),MONTH(Sales!$AR$1),1)+INT((DAY(Sales!$AR$1)-1)/2)+Sales!AT$4,0)=EOMONTH($BP$1,0),Sales!AT$3*Sales!AT$5,0)+IF(EOMONTH(DATE(YEAR(Sales!$AO$1),MONTH(Sales!$AO$1),1)+INT((DAY(Sales!$AO$1)-1)/2)+Sales!AQ$4,0)=EOMONTH($BP$1,0),Sales!AQ$3*Sales!AQ$5,0)+IF(EOMONTH(DATE(YEAR(Sales!$AL$1),MONTH(Sales!$AL$1),1)+INT((DAY(Sales!$AL$1)-1)/2)+Sales!AN$4,0)=EOMONTH($BP$1,0),Sales!AN$3*Sales!AN$5,0)+IF(EOMONTH(DATE(YEAR(Sales!$AI$1),MONTH(Sales!$AI$1),1)+INT((DAY(Sales!$AI$1)-1)/2)+Sales!AK$4,0)=EOMONTH($BP$1,0),Sales!AK$3*Sales!AK$5,0)+IF(EOMONTH(DATE(YEAR(Sales!$AF$1),MONTH(Sales!$AF$1),1)+INT((DAY(Sales!$AF$1)-1)/2)+Sales!AH$4,0)=EOMONTH($BP$1,0),Sales!AH$3*Sales!AH$5,0)+IF(EOMONTH(DATE(YEAR(Sales!$AC$1),MONTH(Sales!$AC$1),1)+INT((DAY(Sales!$AC$1)-1)/2)+Sales!AE$4,0)=EOMONTH($BP$1,0),Sales!AE$3*Sales!AE$5,0)+IF(EOMONTH(DATE(YEAR(Sales!$Z$1),MONTH(Sales!$Z$1),1)+INT((DAY(Sales!$Z$1)-1)/2)+Sales!AB$4,0)=EOMONTH($BP$1,0),Sales!AB$3*Sales!AB$5,0)+IF(EOMONTH(DATE(YEAR(Sales!$W$1),MONTH(Sales!$W$1),1)+INT((DAY(Sales!$W$1)-1)/2)+Sales!Y$4,0)=EOMONTH($BP$1,0),Sales!Y$3*Sales!Y$5,0)+IF(EOMONTH(DATE(YEAR(Sales!$T$1),MONTH(Sales!$T$1),1)+INT((DAY(Sales!$T$1)-1)/2)+Sales!V$4,0)=EOMONTH($BP$1,0),Sales!V$3*Sales!V$5,0)+IF(EOMONTH(DATE(YEAR(Sales!$Q$1),MONTH(Sales!$Q$1),1)+INT((DAY(Sales!$Q$1)-1)/2)+Sales!S$4,0)=EOMONTH($BP$1,0),Sales!S$3*Sales!S$5,0)+IF(EOMONTH(DATE(YEAR(Sales!$N$1),MONTH(Sales!$N$1),1)+INT((DAY(Sales!$N$1)-1)/2)+Sales!P$4,0)=EOMONTH($BP$1,0),Sales!P$3*Sales!P$5,0)+IF(EOMONTH(DATE(YEAR(Sales!$K$1),MONTH(Sales!$K$1),1)+INT((DAY(Sales!$K$1)-1)/2)+Sales!M$4,0)=EOMONTH($BP$1,0),Sales!M$3*Sales!M$5,0)+IF(EOMONTH('Cash Drivers'!$DL$30+Sales!DN$4,0)=EOMONTH($BP$1,0),'Cash Drivers'!$DL$31*Sales!DN$5,0),0)</f>
        <v>28</v>
      </c>
      <c r="BS6" s="2"/>
      <c r="BT6" s="2" t="n">
        <f aca="false">IF('Cash Drivers'!BT$26,BS6,ROUND(IF(EOMONTH(DATE(YEAR(Sales!$DL$1),MONTH(Sales!$DL$1),1)+INT((DAY(Sales!$DL$1)-1)/2)+Sales!DM$4,0)=EOMONTH($BS$1,0),Sales!DM$3*Sales!DM$5,0)+IF(EOMONTH(DATE(YEAR(Sales!$DI$1),MONTH(Sales!$DI$1),1)+INT((DAY(Sales!$DI$1)-1)/2)+Sales!DJ$4,0)=EOMONTH($BS$1,0),Sales!DJ$3*Sales!DJ$5,0)+IF(EOMONTH(DATE(YEAR(Sales!$DF$1),MONTH(Sales!$DF$1),1)+INT((DAY(Sales!$DF$1)-1)/2)+Sales!DG$4,0)=EOMONTH($BS$1,0),Sales!DG$3*Sales!DG$5,0)+IF(EOMONTH(DATE(YEAR(Sales!$DC$1),MONTH(Sales!$DC$1),1)+INT((DAY(Sales!$DC$1)-1)/2)+Sales!DD$4,0)=EOMONTH($BS$1,0),Sales!DD$3*Sales!DD$5,0)+IF(EOMONTH(DATE(YEAR(Sales!$CZ$1),MONTH(Sales!$CZ$1),1)+INT((DAY(Sales!$CZ$1)-1)/2)+Sales!DA$4,0)=EOMONTH($BS$1,0),Sales!DA$3*Sales!DA$5,0)+IF(EOMONTH(DATE(YEAR(Sales!$CW$1),MONTH(Sales!$CW$1),1)+INT((DAY(Sales!$CW$1)-1)/2)+Sales!CX$4,0)=EOMONTH($BS$1,0),Sales!CX$3*Sales!CX$5,0)+IF(EOMONTH(DATE(YEAR(Sales!$CT$1),MONTH(Sales!$CT$1),1)+INT((DAY(Sales!$CT$1)-1)/2)+Sales!CU$4,0)=EOMONTH($BS$1,0),Sales!CU$3*Sales!CU$5,0)+IF(EOMONTH(DATE(YEAR(Sales!$CQ$1),MONTH(Sales!$CQ$1),1)+INT((DAY(Sales!$CQ$1)-1)/2)+Sales!CR$4,0)=EOMONTH($BS$1,0),Sales!CR$3*Sales!CR$5,0)+IF(EOMONTH(DATE(YEAR(Sales!$CN$1),MONTH(Sales!$CN$1),1)+INT((DAY(Sales!$CN$1)-1)/2)+Sales!CO$4,0)=EOMONTH($BS$1,0),Sales!CO$3*Sales!CO$5,0)+IF(EOMONTH(DATE(YEAR(Sales!$CK$1),MONTH(Sales!$CK$1),1)+INT((DAY(Sales!$CK$1)-1)/2)+Sales!CL$4,0)=EOMONTH($BS$1,0),Sales!CL$3*Sales!CL$5,0)+IF(EOMONTH(DATE(YEAR(Sales!$CH$1),MONTH(Sales!$CH$1),1)+INT((DAY(Sales!$CH$1)-1)/2)+Sales!CI$4,0)=EOMONTH($BS$1,0),Sales!CI$3*Sales!CI$5,0)+IF(EOMONTH(DATE(YEAR(Sales!$CE$1),MONTH(Sales!$CE$1),1)+INT((DAY(Sales!$CE$1)-1)/2)+Sales!CF$4,0)=EOMONTH($BS$1,0),Sales!CF$3*Sales!CF$5,0)+IF(EOMONTH(DATE(YEAR(Sales!$CB$1),MONTH(Sales!$CB$1),1)+INT((DAY(Sales!$CB$1)-1)/2)+Sales!CC$4,0)=EOMONTH($BS$1,0),Sales!CC$3*Sales!CC$5,0)+IF(EOMONTH(DATE(YEAR(Sales!$BY$1),MONTH(Sales!$BY$1),1)+INT((DAY(Sales!$BY$1)-1)/2)+Sales!BZ$4,0)=EOMONTH($BS$1,0),Sales!BZ$3*Sales!BZ$5,0)+IF(EOMONTH(DATE(YEAR(Sales!$BV$1),MONTH(Sales!$BV$1),1)+INT((DAY(Sales!$BV$1)-1)/2)+Sales!BW$4,0)=EOMONTH($BS$1,0),Sales!BW$3*Sales!BW$5,0)+IF(EOMONTH(DATE(YEAR(Sales!$BS$1),MONTH(Sales!$BS$1),1)+INT((DAY(Sales!$BS$1)-1)/2)+Sales!BT$4,0)=EOMONTH($BS$1,0),Sales!BT$3*Sales!BT$5,0)+IF(EOMONTH(DATE(YEAR(Sales!$BP$1),MONTH(Sales!$BP$1),1)+INT((DAY(Sales!$BP$1)-1)/2)+Sales!BQ$4,0)=EOMONTH($BS$1,0),Sales!BQ$3*Sales!BQ$5,0)+IF(EOMONTH(DATE(YEAR(Sales!$BM$1),MONTH(Sales!$BM$1),1)+INT((DAY(Sales!$BM$1)-1)/2)+Sales!BN$4,0)=EOMONTH($BS$1,0),Sales!BN$3*Sales!BN$5,0)+IF(EOMONTH(DATE(YEAR(Sales!$BJ$1),MONTH(Sales!$BJ$1),1)+INT((DAY(Sales!$BJ$1)-1)/2)+Sales!BK$4,0)=EOMONTH($BS$1,0),Sales!BK$3*Sales!BK$5,0)+IF(EOMONTH(DATE(YEAR(Sales!$BG$1),MONTH(Sales!$BG$1),1)+INT((DAY(Sales!$BG$1)-1)/2)+Sales!BH$4,0)=EOMONTH($BS$1,0),Sales!BH$3*Sales!BH$5,0)+IF(EOMONTH(DATE(YEAR(Sales!$BD$1),MONTH(Sales!$BD$1),1)+INT((DAY(Sales!$BD$1)-1)/2)+Sales!BE$4,0)=EOMONTH($BS$1,0),Sales!BE$3*Sales!BE$5,0)+IF(EOMONTH(DATE(YEAR(Sales!$BA$1),MONTH(Sales!$BA$1),1)+INT((DAY(Sales!$BA$1)-1)/2)+Sales!BB$4,0)=EOMONTH($BS$1,0),Sales!BB$3*Sales!BB$5,0)+IF(EOMONTH(DATE(YEAR(Sales!$AX$1),MONTH(Sales!$AX$1),1)+INT((DAY(Sales!$AX$1)-1)/2)+Sales!AY$4,0)=EOMONTH($BS$1,0),Sales!AY$3*Sales!AY$5,0)+IF(EOMONTH(DATE(YEAR(Sales!$AU$1),MONTH(Sales!$AU$1),1)+INT((DAY(Sales!$AU$1)-1)/2)+Sales!AV$4,0)=EOMONTH($BS$1,0),Sales!AV$3*Sales!AV$5,0)+IF(EOMONTH(DATE(YEAR(Sales!$AR$1),MONTH(Sales!$AR$1),1)+INT((DAY(Sales!$AR$1)-1)/2)+Sales!AS$4,0)=EOMONTH($BS$1,0),Sales!AS$3*Sales!AS$5,0)+IF(EOMONTH(DATE(YEAR(Sales!$AO$1),MONTH(Sales!$AO$1),1)+INT((DAY(Sales!$AO$1)-1)/2)+Sales!AP$4,0)=EOMONTH($BS$1,0),Sales!AP$3*Sales!AP$5,0)+IF(EOMONTH(DATE(YEAR(Sales!$AL$1),MONTH(Sales!$AL$1),1)+INT((DAY(Sales!$AL$1)-1)/2)+Sales!AM$4,0)=EOMONTH($BS$1,0),Sales!AM$3*Sales!AM$5,0)+IF(EOMONTH(DATE(YEAR(Sales!$AI$1),MONTH(Sales!$AI$1),1)+INT((DAY(Sales!$AI$1)-1)/2)+Sales!AJ$4,0)=EOMONTH($BS$1,0),Sales!AJ$3*Sales!AJ$5,0)+IF(EOMONTH(DATE(YEAR(Sales!$AF$1),MONTH(Sales!$AF$1),1)+INT((DAY(Sales!$AF$1)-1)/2)+Sales!AG$4,0)=EOMONTH($BS$1,0),Sales!AG$3*Sales!AG$5,0)+IF(EOMONTH(DATE(YEAR(Sales!$AC$1),MONTH(Sales!$AC$1),1)+INT((DAY(Sales!$AC$1)-1)/2)+Sales!AD$4,0)=EOMONTH($BS$1,0),Sales!AD$3*Sales!AD$5,0)+IF(EOMONTH(DATE(YEAR(Sales!$Z$1),MONTH(Sales!$Z$1),1)+INT((DAY(Sales!$Z$1)-1)/2)+Sales!AA$4,0)=EOMONTH($BS$1,0),Sales!AA$3*Sales!AA$5,0)+IF(EOMONTH(DATE(YEAR(Sales!$W$1),MONTH(Sales!$W$1),1)+INT((DAY(Sales!$W$1)-1)/2)+Sales!X$4,0)=EOMONTH($BS$1,0),Sales!X$3*Sales!X$5,0)+IF(EOMONTH(DATE(YEAR(Sales!$T$1),MONTH(Sales!$T$1),1)+INT((DAY(Sales!$T$1)-1)/2)+Sales!U$4,0)=EOMONTH($BS$1,0),Sales!U$3*Sales!U$5,0)+IF(EOMONTH(DATE(YEAR(Sales!$Q$1),MONTH(Sales!$Q$1),1)+INT((DAY(Sales!$Q$1)-1)/2)+Sales!R$4,0)=EOMONTH($BS$1,0),Sales!R$3*Sales!R$5,0)+IF(EOMONTH(DATE(YEAR(Sales!$N$1),MONTH(Sales!$N$1),1)+INT((DAY(Sales!$N$1)-1)/2)+Sales!O$4,0)=EOMONTH($BS$1,0),Sales!O$3*Sales!O$5,0)+IF(EOMONTH(DATE(YEAR(Sales!$K$1),MONTH(Sales!$K$1),1)+INT((DAY(Sales!$K$1)-1)/2)+Sales!L$4,0)=EOMONTH($BS$1,0),Sales!L$3*Sales!L$5,0)+IF(EOMONTH('Cash Drivers'!$DL$30+Sales!DM$4,0)=EOMONTH($BS$1,0),'Cash Drivers'!$DL$31*Sales!DM$5,0),0))</f>
        <v>28</v>
      </c>
      <c r="BU6" s="2" t="n">
        <f aca="false">ROUND(IF(EOMONTH(DATE(YEAR(Sales!$DL$1),MONTH(Sales!$DL$1),1)+INT((DAY(Sales!$DL$1)-1)/2)+Sales!DN$4,0)=EOMONTH($BS$1,0),Sales!DN$3*Sales!DN$5,0)+IF(EOMONTH(DATE(YEAR(Sales!$DI$1),MONTH(Sales!$DI$1),1)+INT((DAY(Sales!$DI$1)-1)/2)+Sales!DK$4,0)=EOMONTH($BS$1,0),Sales!DK$3*Sales!DK$5,0)+IF(EOMONTH(DATE(YEAR(Sales!$DF$1),MONTH(Sales!$DF$1),1)+INT((DAY(Sales!$DF$1)-1)/2)+Sales!DH$4,0)=EOMONTH($BS$1,0),Sales!DH$3*Sales!DH$5,0)+IF(EOMONTH(DATE(YEAR(Sales!$DC$1),MONTH(Sales!$DC$1),1)+INT((DAY(Sales!$DC$1)-1)/2)+Sales!DE$4,0)=EOMONTH($BS$1,0),Sales!DE$3*Sales!DE$5,0)+IF(EOMONTH(DATE(YEAR(Sales!$CZ$1),MONTH(Sales!$CZ$1),1)+INT((DAY(Sales!$CZ$1)-1)/2)+Sales!DB$4,0)=EOMONTH($BS$1,0),Sales!DB$3*Sales!DB$5,0)+IF(EOMONTH(DATE(YEAR(Sales!$CW$1),MONTH(Sales!$CW$1),1)+INT((DAY(Sales!$CW$1)-1)/2)+Sales!CY$4,0)=EOMONTH($BS$1,0),Sales!CY$3*Sales!CY$5,0)+IF(EOMONTH(DATE(YEAR(Sales!$CT$1),MONTH(Sales!$CT$1),1)+INT((DAY(Sales!$CT$1)-1)/2)+Sales!CV$4,0)=EOMONTH($BS$1,0),Sales!CV$3*Sales!CV$5,0)+IF(EOMONTH(DATE(YEAR(Sales!$CQ$1),MONTH(Sales!$CQ$1),1)+INT((DAY(Sales!$CQ$1)-1)/2)+Sales!CS$4,0)=EOMONTH($BS$1,0),Sales!CS$3*Sales!CS$5,0)+IF(EOMONTH(DATE(YEAR(Sales!$CN$1),MONTH(Sales!$CN$1),1)+INT((DAY(Sales!$CN$1)-1)/2)+Sales!CP$4,0)=EOMONTH($BS$1,0),Sales!CP$3*Sales!CP$5,0)+IF(EOMONTH(DATE(YEAR(Sales!$CK$1),MONTH(Sales!$CK$1),1)+INT((DAY(Sales!$CK$1)-1)/2)+Sales!CM$4,0)=EOMONTH($BS$1,0),Sales!CM$3*Sales!CM$5,0)+IF(EOMONTH(DATE(YEAR(Sales!$CH$1),MONTH(Sales!$CH$1),1)+INT((DAY(Sales!$CH$1)-1)/2)+Sales!CJ$4,0)=EOMONTH($BS$1,0),Sales!CJ$3*Sales!CJ$5,0)+IF(EOMONTH(DATE(YEAR(Sales!$CE$1),MONTH(Sales!$CE$1),1)+INT((DAY(Sales!$CE$1)-1)/2)+Sales!CG$4,0)=EOMONTH($BS$1,0),Sales!CG$3*Sales!CG$5,0)+IF(EOMONTH(DATE(YEAR(Sales!$CB$1),MONTH(Sales!$CB$1),1)+INT((DAY(Sales!$CB$1)-1)/2)+Sales!CD$4,0)=EOMONTH($BS$1,0),Sales!CD$3*Sales!CD$5,0)+IF(EOMONTH(DATE(YEAR(Sales!$BY$1),MONTH(Sales!$BY$1),1)+INT((DAY(Sales!$BY$1)-1)/2)+Sales!CA$4,0)=EOMONTH($BS$1,0),Sales!CA$3*Sales!CA$5,0)+IF(EOMONTH(DATE(YEAR(Sales!$BV$1),MONTH(Sales!$BV$1),1)+INT((DAY(Sales!$BV$1)-1)/2)+Sales!BX$4,0)=EOMONTH($BS$1,0),Sales!BX$3*Sales!BX$5,0)+IF(EOMONTH(DATE(YEAR(Sales!$BS$1),MONTH(Sales!$BS$1),1)+INT((DAY(Sales!$BS$1)-1)/2)+Sales!BU$4,0)=EOMONTH($BS$1,0),Sales!BU$3*Sales!BU$5,0)+IF(EOMONTH(DATE(YEAR(Sales!$BP$1),MONTH(Sales!$BP$1),1)+INT((DAY(Sales!$BP$1)-1)/2)+Sales!BR$4,0)=EOMONTH($BS$1,0),Sales!BR$3*Sales!BR$5,0)+IF(EOMONTH(DATE(YEAR(Sales!$BM$1),MONTH(Sales!$BM$1),1)+INT((DAY(Sales!$BM$1)-1)/2)+Sales!BO$4,0)=EOMONTH($BS$1,0),Sales!BO$3*Sales!BO$5,0)+IF(EOMONTH(DATE(YEAR(Sales!$BJ$1),MONTH(Sales!$BJ$1),1)+INT((DAY(Sales!$BJ$1)-1)/2)+Sales!BL$4,0)=EOMONTH($BS$1,0),Sales!BL$3*Sales!BL$5,0)+IF(EOMONTH(DATE(YEAR(Sales!$BG$1),MONTH(Sales!$BG$1),1)+INT((DAY(Sales!$BG$1)-1)/2)+Sales!BI$4,0)=EOMONTH($BS$1,0),Sales!BI$3*Sales!BI$5,0)+IF(EOMONTH(DATE(YEAR(Sales!$BD$1),MONTH(Sales!$BD$1),1)+INT((DAY(Sales!$BD$1)-1)/2)+Sales!BF$4,0)=EOMONTH($BS$1,0),Sales!BF$3*Sales!BF$5,0)+IF(EOMONTH(DATE(YEAR(Sales!$BA$1),MONTH(Sales!$BA$1),1)+INT((DAY(Sales!$BA$1)-1)/2)+Sales!BC$4,0)=EOMONTH($BS$1,0),Sales!BC$3*Sales!BC$5,0)+IF(EOMONTH(DATE(YEAR(Sales!$AX$1),MONTH(Sales!$AX$1),1)+INT((DAY(Sales!$AX$1)-1)/2)+Sales!AZ$4,0)=EOMONTH($BS$1,0),Sales!AZ$3*Sales!AZ$5,0)+IF(EOMONTH(DATE(YEAR(Sales!$AU$1),MONTH(Sales!$AU$1),1)+INT((DAY(Sales!$AU$1)-1)/2)+Sales!AW$4,0)=EOMONTH($BS$1,0),Sales!AW$3*Sales!AW$5,0)+IF(EOMONTH(DATE(YEAR(Sales!$AR$1),MONTH(Sales!$AR$1),1)+INT((DAY(Sales!$AR$1)-1)/2)+Sales!AT$4,0)=EOMONTH($BS$1,0),Sales!AT$3*Sales!AT$5,0)+IF(EOMONTH(DATE(YEAR(Sales!$AO$1),MONTH(Sales!$AO$1),1)+INT((DAY(Sales!$AO$1)-1)/2)+Sales!AQ$4,0)=EOMONTH($BS$1,0),Sales!AQ$3*Sales!AQ$5,0)+IF(EOMONTH(DATE(YEAR(Sales!$AL$1),MONTH(Sales!$AL$1),1)+INT((DAY(Sales!$AL$1)-1)/2)+Sales!AN$4,0)=EOMONTH($BS$1,0),Sales!AN$3*Sales!AN$5,0)+IF(EOMONTH(DATE(YEAR(Sales!$AI$1),MONTH(Sales!$AI$1),1)+INT((DAY(Sales!$AI$1)-1)/2)+Sales!AK$4,0)=EOMONTH($BS$1,0),Sales!AK$3*Sales!AK$5,0)+IF(EOMONTH(DATE(YEAR(Sales!$AF$1),MONTH(Sales!$AF$1),1)+INT((DAY(Sales!$AF$1)-1)/2)+Sales!AH$4,0)=EOMONTH($BS$1,0),Sales!AH$3*Sales!AH$5,0)+IF(EOMONTH(DATE(YEAR(Sales!$AC$1),MONTH(Sales!$AC$1),1)+INT((DAY(Sales!$AC$1)-1)/2)+Sales!AE$4,0)=EOMONTH($BS$1,0),Sales!AE$3*Sales!AE$5,0)+IF(EOMONTH(DATE(YEAR(Sales!$Z$1),MONTH(Sales!$Z$1),1)+INT((DAY(Sales!$Z$1)-1)/2)+Sales!AB$4,0)=EOMONTH($BS$1,0),Sales!AB$3*Sales!AB$5,0)+IF(EOMONTH(DATE(YEAR(Sales!$W$1),MONTH(Sales!$W$1),1)+INT((DAY(Sales!$W$1)-1)/2)+Sales!Y$4,0)=EOMONTH($BS$1,0),Sales!Y$3*Sales!Y$5,0)+IF(EOMONTH(DATE(YEAR(Sales!$T$1),MONTH(Sales!$T$1),1)+INT((DAY(Sales!$T$1)-1)/2)+Sales!V$4,0)=EOMONTH($BS$1,0),Sales!V$3*Sales!V$5,0)+IF(EOMONTH(DATE(YEAR(Sales!$Q$1),MONTH(Sales!$Q$1),1)+INT((DAY(Sales!$Q$1)-1)/2)+Sales!S$4,0)=EOMONTH($BS$1,0),Sales!S$3*Sales!S$5,0)+IF(EOMONTH(DATE(YEAR(Sales!$N$1),MONTH(Sales!$N$1),1)+INT((DAY(Sales!$N$1)-1)/2)+Sales!P$4,0)=EOMONTH($BS$1,0),Sales!P$3*Sales!P$5,0)+IF(EOMONTH(DATE(YEAR(Sales!$K$1),MONTH(Sales!$K$1),1)+INT((DAY(Sales!$K$1)-1)/2)+Sales!M$4,0)=EOMONTH($BS$1,0),Sales!M$3*Sales!M$5,0)+IF(EOMONTH('Cash Drivers'!$DL$30+Sales!DN$4,0)=EOMONTH($BS$1,0),'Cash Drivers'!$DL$31*Sales!DN$5,0),0)</f>
        <v>28</v>
      </c>
      <c r="BV6" s="23"/>
      <c r="BW6" s="23" t="n">
        <f aca="false">IF('Cash Drivers'!BW$26,BV6,ROUND(IF(EOMONTH(DATE(YEAR(Sales!$DL$1),MONTH(Sales!$DL$1),1)+INT((DAY(Sales!$DL$1)-1)/2)+Sales!DM$4,0)=EOMONTH($BV$1,0),Sales!DM$3*Sales!DM$5,0)+IF(EOMONTH(DATE(YEAR(Sales!$DI$1),MONTH(Sales!$DI$1),1)+INT((DAY(Sales!$DI$1)-1)/2)+Sales!DJ$4,0)=EOMONTH($BV$1,0),Sales!DJ$3*Sales!DJ$5,0)+IF(EOMONTH(DATE(YEAR(Sales!$DF$1),MONTH(Sales!$DF$1),1)+INT((DAY(Sales!$DF$1)-1)/2)+Sales!DG$4,0)=EOMONTH($BV$1,0),Sales!DG$3*Sales!DG$5,0)+IF(EOMONTH(DATE(YEAR(Sales!$DC$1),MONTH(Sales!$DC$1),1)+INT((DAY(Sales!$DC$1)-1)/2)+Sales!DD$4,0)=EOMONTH($BV$1,0),Sales!DD$3*Sales!DD$5,0)+IF(EOMONTH(DATE(YEAR(Sales!$CZ$1),MONTH(Sales!$CZ$1),1)+INT((DAY(Sales!$CZ$1)-1)/2)+Sales!DA$4,0)=EOMONTH($BV$1,0),Sales!DA$3*Sales!DA$5,0)+IF(EOMONTH(DATE(YEAR(Sales!$CW$1),MONTH(Sales!$CW$1),1)+INT((DAY(Sales!$CW$1)-1)/2)+Sales!CX$4,0)=EOMONTH($BV$1,0),Sales!CX$3*Sales!CX$5,0)+IF(EOMONTH(DATE(YEAR(Sales!$CT$1),MONTH(Sales!$CT$1),1)+INT((DAY(Sales!$CT$1)-1)/2)+Sales!CU$4,0)=EOMONTH($BV$1,0),Sales!CU$3*Sales!CU$5,0)+IF(EOMONTH(DATE(YEAR(Sales!$CQ$1),MONTH(Sales!$CQ$1),1)+INT((DAY(Sales!$CQ$1)-1)/2)+Sales!CR$4,0)=EOMONTH($BV$1,0),Sales!CR$3*Sales!CR$5,0)+IF(EOMONTH(DATE(YEAR(Sales!$CN$1),MONTH(Sales!$CN$1),1)+INT((DAY(Sales!$CN$1)-1)/2)+Sales!CO$4,0)=EOMONTH($BV$1,0),Sales!CO$3*Sales!CO$5,0)+IF(EOMONTH(DATE(YEAR(Sales!$CK$1),MONTH(Sales!$CK$1),1)+INT((DAY(Sales!$CK$1)-1)/2)+Sales!CL$4,0)=EOMONTH($BV$1,0),Sales!CL$3*Sales!CL$5,0)+IF(EOMONTH(DATE(YEAR(Sales!$CH$1),MONTH(Sales!$CH$1),1)+INT((DAY(Sales!$CH$1)-1)/2)+Sales!CI$4,0)=EOMONTH($BV$1,0),Sales!CI$3*Sales!CI$5,0)+IF(EOMONTH(DATE(YEAR(Sales!$CE$1),MONTH(Sales!$CE$1),1)+INT((DAY(Sales!$CE$1)-1)/2)+Sales!CF$4,0)=EOMONTH($BV$1,0),Sales!CF$3*Sales!CF$5,0)+IF(EOMONTH(DATE(YEAR(Sales!$CB$1),MONTH(Sales!$CB$1),1)+INT((DAY(Sales!$CB$1)-1)/2)+Sales!CC$4,0)=EOMONTH($BV$1,0),Sales!CC$3*Sales!CC$5,0)+IF(EOMONTH(DATE(YEAR(Sales!$BY$1),MONTH(Sales!$BY$1),1)+INT((DAY(Sales!$BY$1)-1)/2)+Sales!BZ$4,0)=EOMONTH($BV$1,0),Sales!BZ$3*Sales!BZ$5,0)+IF(EOMONTH(DATE(YEAR(Sales!$BV$1),MONTH(Sales!$BV$1),1)+INT((DAY(Sales!$BV$1)-1)/2)+Sales!BW$4,0)=EOMONTH($BV$1,0),Sales!BW$3*Sales!BW$5,0)+IF(EOMONTH(DATE(YEAR(Sales!$BS$1),MONTH(Sales!$BS$1),1)+INT((DAY(Sales!$BS$1)-1)/2)+Sales!BT$4,0)=EOMONTH($BV$1,0),Sales!BT$3*Sales!BT$5,0)+IF(EOMONTH(DATE(YEAR(Sales!$BP$1),MONTH(Sales!$BP$1),1)+INT((DAY(Sales!$BP$1)-1)/2)+Sales!BQ$4,0)=EOMONTH($BV$1,0),Sales!BQ$3*Sales!BQ$5,0)+IF(EOMONTH(DATE(YEAR(Sales!$BM$1),MONTH(Sales!$BM$1),1)+INT((DAY(Sales!$BM$1)-1)/2)+Sales!BN$4,0)=EOMONTH($BV$1,0),Sales!BN$3*Sales!BN$5,0)+IF(EOMONTH(DATE(YEAR(Sales!$BJ$1),MONTH(Sales!$BJ$1),1)+INT((DAY(Sales!$BJ$1)-1)/2)+Sales!BK$4,0)=EOMONTH($BV$1,0),Sales!BK$3*Sales!BK$5,0)+IF(EOMONTH(DATE(YEAR(Sales!$BG$1),MONTH(Sales!$BG$1),1)+INT((DAY(Sales!$BG$1)-1)/2)+Sales!BH$4,0)=EOMONTH($BV$1,0),Sales!BH$3*Sales!BH$5,0)+IF(EOMONTH(DATE(YEAR(Sales!$BD$1),MONTH(Sales!$BD$1),1)+INT((DAY(Sales!$BD$1)-1)/2)+Sales!BE$4,0)=EOMONTH($BV$1,0),Sales!BE$3*Sales!BE$5,0)+IF(EOMONTH(DATE(YEAR(Sales!$BA$1),MONTH(Sales!$BA$1),1)+INT((DAY(Sales!$BA$1)-1)/2)+Sales!BB$4,0)=EOMONTH($BV$1,0),Sales!BB$3*Sales!BB$5,0)+IF(EOMONTH(DATE(YEAR(Sales!$AX$1),MONTH(Sales!$AX$1),1)+INT((DAY(Sales!$AX$1)-1)/2)+Sales!AY$4,0)=EOMONTH($BV$1,0),Sales!AY$3*Sales!AY$5,0)+IF(EOMONTH(DATE(YEAR(Sales!$AU$1),MONTH(Sales!$AU$1),1)+INT((DAY(Sales!$AU$1)-1)/2)+Sales!AV$4,0)=EOMONTH($BV$1,0),Sales!AV$3*Sales!AV$5,0)+IF(EOMONTH(DATE(YEAR(Sales!$AR$1),MONTH(Sales!$AR$1),1)+INT((DAY(Sales!$AR$1)-1)/2)+Sales!AS$4,0)=EOMONTH($BV$1,0),Sales!AS$3*Sales!AS$5,0)+IF(EOMONTH(DATE(YEAR(Sales!$AO$1),MONTH(Sales!$AO$1),1)+INT((DAY(Sales!$AO$1)-1)/2)+Sales!AP$4,0)=EOMONTH($BV$1,0),Sales!AP$3*Sales!AP$5,0)+IF(EOMONTH(DATE(YEAR(Sales!$AL$1),MONTH(Sales!$AL$1),1)+INT((DAY(Sales!$AL$1)-1)/2)+Sales!AM$4,0)=EOMONTH($BV$1,0),Sales!AM$3*Sales!AM$5,0)+IF(EOMONTH(DATE(YEAR(Sales!$AI$1),MONTH(Sales!$AI$1),1)+INT((DAY(Sales!$AI$1)-1)/2)+Sales!AJ$4,0)=EOMONTH($BV$1,0),Sales!AJ$3*Sales!AJ$5,0)+IF(EOMONTH(DATE(YEAR(Sales!$AF$1),MONTH(Sales!$AF$1),1)+INT((DAY(Sales!$AF$1)-1)/2)+Sales!AG$4,0)=EOMONTH($BV$1,0),Sales!AG$3*Sales!AG$5,0)+IF(EOMONTH(DATE(YEAR(Sales!$AC$1),MONTH(Sales!$AC$1),1)+INT((DAY(Sales!$AC$1)-1)/2)+Sales!AD$4,0)=EOMONTH($BV$1,0),Sales!AD$3*Sales!AD$5,0)+IF(EOMONTH(DATE(YEAR(Sales!$Z$1),MONTH(Sales!$Z$1),1)+INT((DAY(Sales!$Z$1)-1)/2)+Sales!AA$4,0)=EOMONTH($BV$1,0),Sales!AA$3*Sales!AA$5,0)+IF(EOMONTH(DATE(YEAR(Sales!$W$1),MONTH(Sales!$W$1),1)+INT((DAY(Sales!$W$1)-1)/2)+Sales!X$4,0)=EOMONTH($BV$1,0),Sales!X$3*Sales!X$5,0)+IF(EOMONTH(DATE(YEAR(Sales!$T$1),MONTH(Sales!$T$1),1)+INT((DAY(Sales!$T$1)-1)/2)+Sales!U$4,0)=EOMONTH($BV$1,0),Sales!U$3*Sales!U$5,0)+IF(EOMONTH(DATE(YEAR(Sales!$Q$1),MONTH(Sales!$Q$1),1)+INT((DAY(Sales!$Q$1)-1)/2)+Sales!R$4,0)=EOMONTH($BV$1,0),Sales!R$3*Sales!R$5,0)+IF(EOMONTH(DATE(YEAR(Sales!$N$1),MONTH(Sales!$N$1),1)+INT((DAY(Sales!$N$1)-1)/2)+Sales!O$4,0)=EOMONTH($BV$1,0),Sales!O$3*Sales!O$5,0)+IF(EOMONTH(DATE(YEAR(Sales!$K$1),MONTH(Sales!$K$1),1)+INT((DAY(Sales!$K$1)-1)/2)+Sales!L$4,0)=EOMONTH($BV$1,0),Sales!L$3*Sales!L$5,0)+IF(EOMONTH('Cash Drivers'!$DL$30+Sales!DM$4,0)=EOMONTH($BV$1,0),'Cash Drivers'!$DL$31*Sales!DM$5,0),0))</f>
        <v>28</v>
      </c>
      <c r="BX6" s="23" t="n">
        <f aca="false">ROUND(IF(EOMONTH(DATE(YEAR(Sales!$DL$1),MONTH(Sales!$DL$1),1)+INT((DAY(Sales!$DL$1)-1)/2)+Sales!DN$4,0)=EOMONTH($BV$1,0),Sales!DN$3*Sales!DN$5,0)+IF(EOMONTH(DATE(YEAR(Sales!$DI$1),MONTH(Sales!$DI$1),1)+INT((DAY(Sales!$DI$1)-1)/2)+Sales!DK$4,0)=EOMONTH($BV$1,0),Sales!DK$3*Sales!DK$5,0)+IF(EOMONTH(DATE(YEAR(Sales!$DF$1),MONTH(Sales!$DF$1),1)+INT((DAY(Sales!$DF$1)-1)/2)+Sales!DH$4,0)=EOMONTH($BV$1,0),Sales!DH$3*Sales!DH$5,0)+IF(EOMONTH(DATE(YEAR(Sales!$DC$1),MONTH(Sales!$DC$1),1)+INT((DAY(Sales!$DC$1)-1)/2)+Sales!DE$4,0)=EOMONTH($BV$1,0),Sales!DE$3*Sales!DE$5,0)+IF(EOMONTH(DATE(YEAR(Sales!$CZ$1),MONTH(Sales!$CZ$1),1)+INT((DAY(Sales!$CZ$1)-1)/2)+Sales!DB$4,0)=EOMONTH($BV$1,0),Sales!DB$3*Sales!DB$5,0)+IF(EOMONTH(DATE(YEAR(Sales!$CW$1),MONTH(Sales!$CW$1),1)+INT((DAY(Sales!$CW$1)-1)/2)+Sales!CY$4,0)=EOMONTH($BV$1,0),Sales!CY$3*Sales!CY$5,0)+IF(EOMONTH(DATE(YEAR(Sales!$CT$1),MONTH(Sales!$CT$1),1)+INT((DAY(Sales!$CT$1)-1)/2)+Sales!CV$4,0)=EOMONTH($BV$1,0),Sales!CV$3*Sales!CV$5,0)+IF(EOMONTH(DATE(YEAR(Sales!$CQ$1),MONTH(Sales!$CQ$1),1)+INT((DAY(Sales!$CQ$1)-1)/2)+Sales!CS$4,0)=EOMONTH($BV$1,0),Sales!CS$3*Sales!CS$5,0)+IF(EOMONTH(DATE(YEAR(Sales!$CN$1),MONTH(Sales!$CN$1),1)+INT((DAY(Sales!$CN$1)-1)/2)+Sales!CP$4,0)=EOMONTH($BV$1,0),Sales!CP$3*Sales!CP$5,0)+IF(EOMONTH(DATE(YEAR(Sales!$CK$1),MONTH(Sales!$CK$1),1)+INT((DAY(Sales!$CK$1)-1)/2)+Sales!CM$4,0)=EOMONTH($BV$1,0),Sales!CM$3*Sales!CM$5,0)+IF(EOMONTH(DATE(YEAR(Sales!$CH$1),MONTH(Sales!$CH$1),1)+INT((DAY(Sales!$CH$1)-1)/2)+Sales!CJ$4,0)=EOMONTH($BV$1,0),Sales!CJ$3*Sales!CJ$5,0)+IF(EOMONTH(DATE(YEAR(Sales!$CE$1),MONTH(Sales!$CE$1),1)+INT((DAY(Sales!$CE$1)-1)/2)+Sales!CG$4,0)=EOMONTH($BV$1,0),Sales!CG$3*Sales!CG$5,0)+IF(EOMONTH(DATE(YEAR(Sales!$CB$1),MONTH(Sales!$CB$1),1)+INT((DAY(Sales!$CB$1)-1)/2)+Sales!CD$4,0)=EOMONTH($BV$1,0),Sales!CD$3*Sales!CD$5,0)+IF(EOMONTH(DATE(YEAR(Sales!$BY$1),MONTH(Sales!$BY$1),1)+INT((DAY(Sales!$BY$1)-1)/2)+Sales!CA$4,0)=EOMONTH($BV$1,0),Sales!CA$3*Sales!CA$5,0)+IF(EOMONTH(DATE(YEAR(Sales!$BV$1),MONTH(Sales!$BV$1),1)+INT((DAY(Sales!$BV$1)-1)/2)+Sales!BX$4,0)=EOMONTH($BV$1,0),Sales!BX$3*Sales!BX$5,0)+IF(EOMONTH(DATE(YEAR(Sales!$BS$1),MONTH(Sales!$BS$1),1)+INT((DAY(Sales!$BS$1)-1)/2)+Sales!BU$4,0)=EOMONTH($BV$1,0),Sales!BU$3*Sales!BU$5,0)+IF(EOMONTH(DATE(YEAR(Sales!$BP$1),MONTH(Sales!$BP$1),1)+INT((DAY(Sales!$BP$1)-1)/2)+Sales!BR$4,0)=EOMONTH($BV$1,0),Sales!BR$3*Sales!BR$5,0)+IF(EOMONTH(DATE(YEAR(Sales!$BM$1),MONTH(Sales!$BM$1),1)+INT((DAY(Sales!$BM$1)-1)/2)+Sales!BO$4,0)=EOMONTH($BV$1,0),Sales!BO$3*Sales!BO$5,0)+IF(EOMONTH(DATE(YEAR(Sales!$BJ$1),MONTH(Sales!$BJ$1),1)+INT((DAY(Sales!$BJ$1)-1)/2)+Sales!BL$4,0)=EOMONTH($BV$1,0),Sales!BL$3*Sales!BL$5,0)+IF(EOMONTH(DATE(YEAR(Sales!$BG$1),MONTH(Sales!$BG$1),1)+INT((DAY(Sales!$BG$1)-1)/2)+Sales!BI$4,0)=EOMONTH($BV$1,0),Sales!BI$3*Sales!BI$5,0)+IF(EOMONTH(DATE(YEAR(Sales!$BD$1),MONTH(Sales!$BD$1),1)+INT((DAY(Sales!$BD$1)-1)/2)+Sales!BF$4,0)=EOMONTH($BV$1,0),Sales!BF$3*Sales!BF$5,0)+IF(EOMONTH(DATE(YEAR(Sales!$BA$1),MONTH(Sales!$BA$1),1)+INT((DAY(Sales!$BA$1)-1)/2)+Sales!BC$4,0)=EOMONTH($BV$1,0),Sales!BC$3*Sales!BC$5,0)+IF(EOMONTH(DATE(YEAR(Sales!$AX$1),MONTH(Sales!$AX$1),1)+INT((DAY(Sales!$AX$1)-1)/2)+Sales!AZ$4,0)=EOMONTH($BV$1,0),Sales!AZ$3*Sales!AZ$5,0)+IF(EOMONTH(DATE(YEAR(Sales!$AU$1),MONTH(Sales!$AU$1),1)+INT((DAY(Sales!$AU$1)-1)/2)+Sales!AW$4,0)=EOMONTH($BV$1,0),Sales!AW$3*Sales!AW$5,0)+IF(EOMONTH(DATE(YEAR(Sales!$AR$1),MONTH(Sales!$AR$1),1)+INT((DAY(Sales!$AR$1)-1)/2)+Sales!AT$4,0)=EOMONTH($BV$1,0),Sales!AT$3*Sales!AT$5,0)+IF(EOMONTH(DATE(YEAR(Sales!$AO$1),MONTH(Sales!$AO$1),1)+INT((DAY(Sales!$AO$1)-1)/2)+Sales!AQ$4,0)=EOMONTH($BV$1,0),Sales!AQ$3*Sales!AQ$5,0)+IF(EOMONTH(DATE(YEAR(Sales!$AL$1),MONTH(Sales!$AL$1),1)+INT((DAY(Sales!$AL$1)-1)/2)+Sales!AN$4,0)=EOMONTH($BV$1,0),Sales!AN$3*Sales!AN$5,0)+IF(EOMONTH(DATE(YEAR(Sales!$AI$1),MONTH(Sales!$AI$1),1)+INT((DAY(Sales!$AI$1)-1)/2)+Sales!AK$4,0)=EOMONTH($BV$1,0),Sales!AK$3*Sales!AK$5,0)+IF(EOMONTH(DATE(YEAR(Sales!$AF$1),MONTH(Sales!$AF$1),1)+INT((DAY(Sales!$AF$1)-1)/2)+Sales!AH$4,0)=EOMONTH($BV$1,0),Sales!AH$3*Sales!AH$5,0)+IF(EOMONTH(DATE(YEAR(Sales!$AC$1),MONTH(Sales!$AC$1),1)+INT((DAY(Sales!$AC$1)-1)/2)+Sales!AE$4,0)=EOMONTH($BV$1,0),Sales!AE$3*Sales!AE$5,0)+IF(EOMONTH(DATE(YEAR(Sales!$Z$1),MONTH(Sales!$Z$1),1)+INT((DAY(Sales!$Z$1)-1)/2)+Sales!AB$4,0)=EOMONTH($BV$1,0),Sales!AB$3*Sales!AB$5,0)+IF(EOMONTH(DATE(YEAR(Sales!$W$1),MONTH(Sales!$W$1),1)+INT((DAY(Sales!$W$1)-1)/2)+Sales!Y$4,0)=EOMONTH($BV$1,0),Sales!Y$3*Sales!Y$5,0)+IF(EOMONTH(DATE(YEAR(Sales!$T$1),MONTH(Sales!$T$1),1)+INT((DAY(Sales!$T$1)-1)/2)+Sales!V$4,0)=EOMONTH($BV$1,0),Sales!V$3*Sales!V$5,0)+IF(EOMONTH(DATE(YEAR(Sales!$Q$1),MONTH(Sales!$Q$1),1)+INT((DAY(Sales!$Q$1)-1)/2)+Sales!S$4,0)=EOMONTH($BV$1,0),Sales!S$3*Sales!S$5,0)+IF(EOMONTH(DATE(YEAR(Sales!$N$1),MONTH(Sales!$N$1),1)+INT((DAY(Sales!$N$1)-1)/2)+Sales!P$4,0)=EOMONTH($BV$1,0),Sales!P$3*Sales!P$5,0)+IF(EOMONTH(DATE(YEAR(Sales!$K$1),MONTH(Sales!$K$1),1)+INT((DAY(Sales!$K$1)-1)/2)+Sales!M$4,0)=EOMONTH($BV$1,0),Sales!M$3*Sales!M$5,0)+IF(EOMONTH('Cash Drivers'!$DL$30+Sales!DN$4,0)=EOMONTH($BV$1,0),'Cash Drivers'!$DL$31*Sales!DN$5,0),0)</f>
        <v>28</v>
      </c>
      <c r="BY6" s="2"/>
      <c r="BZ6" s="2" t="n">
        <f aca="false">IF('Cash Drivers'!BZ$26,BY6,ROUND(IF(EOMONTH(DATE(YEAR(Sales!$DL$1),MONTH(Sales!$DL$1),1)+INT((DAY(Sales!$DL$1)-1)/2)+Sales!DM$4,0)=EOMONTH($BY$1,0),Sales!DM$3*Sales!DM$5,0)+IF(EOMONTH(DATE(YEAR(Sales!$DI$1),MONTH(Sales!$DI$1),1)+INT((DAY(Sales!$DI$1)-1)/2)+Sales!DJ$4,0)=EOMONTH($BY$1,0),Sales!DJ$3*Sales!DJ$5,0)+IF(EOMONTH(DATE(YEAR(Sales!$DF$1),MONTH(Sales!$DF$1),1)+INT((DAY(Sales!$DF$1)-1)/2)+Sales!DG$4,0)=EOMONTH($BY$1,0),Sales!DG$3*Sales!DG$5,0)+IF(EOMONTH(DATE(YEAR(Sales!$DC$1),MONTH(Sales!$DC$1),1)+INT((DAY(Sales!$DC$1)-1)/2)+Sales!DD$4,0)=EOMONTH($BY$1,0),Sales!DD$3*Sales!DD$5,0)+IF(EOMONTH(DATE(YEAR(Sales!$CZ$1),MONTH(Sales!$CZ$1),1)+INT((DAY(Sales!$CZ$1)-1)/2)+Sales!DA$4,0)=EOMONTH($BY$1,0),Sales!DA$3*Sales!DA$5,0)+IF(EOMONTH(DATE(YEAR(Sales!$CW$1),MONTH(Sales!$CW$1),1)+INT((DAY(Sales!$CW$1)-1)/2)+Sales!CX$4,0)=EOMONTH($BY$1,0),Sales!CX$3*Sales!CX$5,0)+IF(EOMONTH(DATE(YEAR(Sales!$CT$1),MONTH(Sales!$CT$1),1)+INT((DAY(Sales!$CT$1)-1)/2)+Sales!CU$4,0)=EOMONTH($BY$1,0),Sales!CU$3*Sales!CU$5,0)+IF(EOMONTH(DATE(YEAR(Sales!$CQ$1),MONTH(Sales!$CQ$1),1)+INT((DAY(Sales!$CQ$1)-1)/2)+Sales!CR$4,0)=EOMONTH($BY$1,0),Sales!CR$3*Sales!CR$5,0)+IF(EOMONTH(DATE(YEAR(Sales!$CN$1),MONTH(Sales!$CN$1),1)+INT((DAY(Sales!$CN$1)-1)/2)+Sales!CO$4,0)=EOMONTH($BY$1,0),Sales!CO$3*Sales!CO$5,0)+IF(EOMONTH(DATE(YEAR(Sales!$CK$1),MONTH(Sales!$CK$1),1)+INT((DAY(Sales!$CK$1)-1)/2)+Sales!CL$4,0)=EOMONTH($BY$1,0),Sales!CL$3*Sales!CL$5,0)+IF(EOMONTH(DATE(YEAR(Sales!$CH$1),MONTH(Sales!$CH$1),1)+INT((DAY(Sales!$CH$1)-1)/2)+Sales!CI$4,0)=EOMONTH($BY$1,0),Sales!CI$3*Sales!CI$5,0)+IF(EOMONTH(DATE(YEAR(Sales!$CE$1),MONTH(Sales!$CE$1),1)+INT((DAY(Sales!$CE$1)-1)/2)+Sales!CF$4,0)=EOMONTH($BY$1,0),Sales!CF$3*Sales!CF$5,0)+IF(EOMONTH(DATE(YEAR(Sales!$CB$1),MONTH(Sales!$CB$1),1)+INT((DAY(Sales!$CB$1)-1)/2)+Sales!CC$4,0)=EOMONTH($BY$1,0),Sales!CC$3*Sales!CC$5,0)+IF(EOMONTH(DATE(YEAR(Sales!$BY$1),MONTH(Sales!$BY$1),1)+INT((DAY(Sales!$BY$1)-1)/2)+Sales!BZ$4,0)=EOMONTH($BY$1,0),Sales!BZ$3*Sales!BZ$5,0)+IF(EOMONTH(DATE(YEAR(Sales!$BV$1),MONTH(Sales!$BV$1),1)+INT((DAY(Sales!$BV$1)-1)/2)+Sales!BW$4,0)=EOMONTH($BY$1,0),Sales!BW$3*Sales!BW$5,0)+IF(EOMONTH(DATE(YEAR(Sales!$BS$1),MONTH(Sales!$BS$1),1)+INT((DAY(Sales!$BS$1)-1)/2)+Sales!BT$4,0)=EOMONTH($BY$1,0),Sales!BT$3*Sales!BT$5,0)+IF(EOMONTH(DATE(YEAR(Sales!$BP$1),MONTH(Sales!$BP$1),1)+INT((DAY(Sales!$BP$1)-1)/2)+Sales!BQ$4,0)=EOMONTH($BY$1,0),Sales!BQ$3*Sales!BQ$5,0)+IF(EOMONTH(DATE(YEAR(Sales!$BM$1),MONTH(Sales!$BM$1),1)+INT((DAY(Sales!$BM$1)-1)/2)+Sales!BN$4,0)=EOMONTH($BY$1,0),Sales!BN$3*Sales!BN$5,0)+IF(EOMONTH(DATE(YEAR(Sales!$BJ$1),MONTH(Sales!$BJ$1),1)+INT((DAY(Sales!$BJ$1)-1)/2)+Sales!BK$4,0)=EOMONTH($BY$1,0),Sales!BK$3*Sales!BK$5,0)+IF(EOMONTH(DATE(YEAR(Sales!$BG$1),MONTH(Sales!$BG$1),1)+INT((DAY(Sales!$BG$1)-1)/2)+Sales!BH$4,0)=EOMONTH($BY$1,0),Sales!BH$3*Sales!BH$5,0)+IF(EOMONTH(DATE(YEAR(Sales!$BD$1),MONTH(Sales!$BD$1),1)+INT((DAY(Sales!$BD$1)-1)/2)+Sales!BE$4,0)=EOMONTH($BY$1,0),Sales!BE$3*Sales!BE$5,0)+IF(EOMONTH(DATE(YEAR(Sales!$BA$1),MONTH(Sales!$BA$1),1)+INT((DAY(Sales!$BA$1)-1)/2)+Sales!BB$4,0)=EOMONTH($BY$1,0),Sales!BB$3*Sales!BB$5,0)+IF(EOMONTH(DATE(YEAR(Sales!$AX$1),MONTH(Sales!$AX$1),1)+INT((DAY(Sales!$AX$1)-1)/2)+Sales!AY$4,0)=EOMONTH($BY$1,0),Sales!AY$3*Sales!AY$5,0)+IF(EOMONTH(DATE(YEAR(Sales!$AU$1),MONTH(Sales!$AU$1),1)+INT((DAY(Sales!$AU$1)-1)/2)+Sales!AV$4,0)=EOMONTH($BY$1,0),Sales!AV$3*Sales!AV$5,0)+IF(EOMONTH(DATE(YEAR(Sales!$AR$1),MONTH(Sales!$AR$1),1)+INT((DAY(Sales!$AR$1)-1)/2)+Sales!AS$4,0)=EOMONTH($BY$1,0),Sales!AS$3*Sales!AS$5,0)+IF(EOMONTH(DATE(YEAR(Sales!$AO$1),MONTH(Sales!$AO$1),1)+INT((DAY(Sales!$AO$1)-1)/2)+Sales!AP$4,0)=EOMONTH($BY$1,0),Sales!AP$3*Sales!AP$5,0)+IF(EOMONTH(DATE(YEAR(Sales!$AL$1),MONTH(Sales!$AL$1),1)+INT((DAY(Sales!$AL$1)-1)/2)+Sales!AM$4,0)=EOMONTH($BY$1,0),Sales!AM$3*Sales!AM$5,0)+IF(EOMONTH(DATE(YEAR(Sales!$AI$1),MONTH(Sales!$AI$1),1)+INT((DAY(Sales!$AI$1)-1)/2)+Sales!AJ$4,0)=EOMONTH($BY$1,0),Sales!AJ$3*Sales!AJ$5,0)+IF(EOMONTH(DATE(YEAR(Sales!$AF$1),MONTH(Sales!$AF$1),1)+INT((DAY(Sales!$AF$1)-1)/2)+Sales!AG$4,0)=EOMONTH($BY$1,0),Sales!AG$3*Sales!AG$5,0)+IF(EOMONTH(DATE(YEAR(Sales!$AC$1),MONTH(Sales!$AC$1),1)+INT((DAY(Sales!$AC$1)-1)/2)+Sales!AD$4,0)=EOMONTH($BY$1,0),Sales!AD$3*Sales!AD$5,0)+IF(EOMONTH(DATE(YEAR(Sales!$Z$1),MONTH(Sales!$Z$1),1)+INT((DAY(Sales!$Z$1)-1)/2)+Sales!AA$4,0)=EOMONTH($BY$1,0),Sales!AA$3*Sales!AA$5,0)+IF(EOMONTH(DATE(YEAR(Sales!$W$1),MONTH(Sales!$W$1),1)+INT((DAY(Sales!$W$1)-1)/2)+Sales!X$4,0)=EOMONTH($BY$1,0),Sales!X$3*Sales!X$5,0)+IF(EOMONTH(DATE(YEAR(Sales!$T$1),MONTH(Sales!$T$1),1)+INT((DAY(Sales!$T$1)-1)/2)+Sales!U$4,0)=EOMONTH($BY$1,0),Sales!U$3*Sales!U$5,0)+IF(EOMONTH(DATE(YEAR(Sales!$Q$1),MONTH(Sales!$Q$1),1)+INT((DAY(Sales!$Q$1)-1)/2)+Sales!R$4,0)=EOMONTH($BY$1,0),Sales!R$3*Sales!R$5,0)+IF(EOMONTH(DATE(YEAR(Sales!$N$1),MONTH(Sales!$N$1),1)+INT((DAY(Sales!$N$1)-1)/2)+Sales!O$4,0)=EOMONTH($BY$1,0),Sales!O$3*Sales!O$5,0)+IF(EOMONTH(DATE(YEAR(Sales!$K$1),MONTH(Sales!$K$1),1)+INT((DAY(Sales!$K$1)-1)/2)+Sales!L$4,0)=EOMONTH($BY$1,0),Sales!L$3*Sales!L$5,0)+IF(EOMONTH('Cash Drivers'!$DL$30+Sales!DM$4,0)=EOMONTH($BY$1,0),'Cash Drivers'!$DL$31*Sales!DM$5,0),0))</f>
        <v>28</v>
      </c>
      <c r="CA6" s="2" t="n">
        <f aca="false">ROUND(IF(EOMONTH(DATE(YEAR(Sales!$DL$1),MONTH(Sales!$DL$1),1)+INT((DAY(Sales!$DL$1)-1)/2)+Sales!DN$4,0)=EOMONTH($BY$1,0),Sales!DN$3*Sales!DN$5,0)+IF(EOMONTH(DATE(YEAR(Sales!$DI$1),MONTH(Sales!$DI$1),1)+INT((DAY(Sales!$DI$1)-1)/2)+Sales!DK$4,0)=EOMONTH($BY$1,0),Sales!DK$3*Sales!DK$5,0)+IF(EOMONTH(DATE(YEAR(Sales!$DF$1),MONTH(Sales!$DF$1),1)+INT((DAY(Sales!$DF$1)-1)/2)+Sales!DH$4,0)=EOMONTH($BY$1,0),Sales!DH$3*Sales!DH$5,0)+IF(EOMONTH(DATE(YEAR(Sales!$DC$1),MONTH(Sales!$DC$1),1)+INT((DAY(Sales!$DC$1)-1)/2)+Sales!DE$4,0)=EOMONTH($BY$1,0),Sales!DE$3*Sales!DE$5,0)+IF(EOMONTH(DATE(YEAR(Sales!$CZ$1),MONTH(Sales!$CZ$1),1)+INT((DAY(Sales!$CZ$1)-1)/2)+Sales!DB$4,0)=EOMONTH($BY$1,0),Sales!DB$3*Sales!DB$5,0)+IF(EOMONTH(DATE(YEAR(Sales!$CW$1),MONTH(Sales!$CW$1),1)+INT((DAY(Sales!$CW$1)-1)/2)+Sales!CY$4,0)=EOMONTH($BY$1,0),Sales!CY$3*Sales!CY$5,0)+IF(EOMONTH(DATE(YEAR(Sales!$CT$1),MONTH(Sales!$CT$1),1)+INT((DAY(Sales!$CT$1)-1)/2)+Sales!CV$4,0)=EOMONTH($BY$1,0),Sales!CV$3*Sales!CV$5,0)+IF(EOMONTH(DATE(YEAR(Sales!$CQ$1),MONTH(Sales!$CQ$1),1)+INT((DAY(Sales!$CQ$1)-1)/2)+Sales!CS$4,0)=EOMONTH($BY$1,0),Sales!CS$3*Sales!CS$5,0)+IF(EOMONTH(DATE(YEAR(Sales!$CN$1),MONTH(Sales!$CN$1),1)+INT((DAY(Sales!$CN$1)-1)/2)+Sales!CP$4,0)=EOMONTH($BY$1,0),Sales!CP$3*Sales!CP$5,0)+IF(EOMONTH(DATE(YEAR(Sales!$CK$1),MONTH(Sales!$CK$1),1)+INT((DAY(Sales!$CK$1)-1)/2)+Sales!CM$4,0)=EOMONTH($BY$1,0),Sales!CM$3*Sales!CM$5,0)+IF(EOMONTH(DATE(YEAR(Sales!$CH$1),MONTH(Sales!$CH$1),1)+INT((DAY(Sales!$CH$1)-1)/2)+Sales!CJ$4,0)=EOMONTH($BY$1,0),Sales!CJ$3*Sales!CJ$5,0)+IF(EOMONTH(DATE(YEAR(Sales!$CE$1),MONTH(Sales!$CE$1),1)+INT((DAY(Sales!$CE$1)-1)/2)+Sales!CG$4,0)=EOMONTH($BY$1,0),Sales!CG$3*Sales!CG$5,0)+IF(EOMONTH(DATE(YEAR(Sales!$CB$1),MONTH(Sales!$CB$1),1)+INT((DAY(Sales!$CB$1)-1)/2)+Sales!CD$4,0)=EOMONTH($BY$1,0),Sales!CD$3*Sales!CD$5,0)+IF(EOMONTH(DATE(YEAR(Sales!$BY$1),MONTH(Sales!$BY$1),1)+INT((DAY(Sales!$BY$1)-1)/2)+Sales!CA$4,0)=EOMONTH($BY$1,0),Sales!CA$3*Sales!CA$5,0)+IF(EOMONTH(DATE(YEAR(Sales!$BV$1),MONTH(Sales!$BV$1),1)+INT((DAY(Sales!$BV$1)-1)/2)+Sales!BX$4,0)=EOMONTH($BY$1,0),Sales!BX$3*Sales!BX$5,0)+IF(EOMONTH(DATE(YEAR(Sales!$BS$1),MONTH(Sales!$BS$1),1)+INT((DAY(Sales!$BS$1)-1)/2)+Sales!BU$4,0)=EOMONTH($BY$1,0),Sales!BU$3*Sales!BU$5,0)+IF(EOMONTH(DATE(YEAR(Sales!$BP$1),MONTH(Sales!$BP$1),1)+INT((DAY(Sales!$BP$1)-1)/2)+Sales!BR$4,0)=EOMONTH($BY$1,0),Sales!BR$3*Sales!BR$5,0)+IF(EOMONTH(DATE(YEAR(Sales!$BM$1),MONTH(Sales!$BM$1),1)+INT((DAY(Sales!$BM$1)-1)/2)+Sales!BO$4,0)=EOMONTH($BY$1,0),Sales!BO$3*Sales!BO$5,0)+IF(EOMONTH(DATE(YEAR(Sales!$BJ$1),MONTH(Sales!$BJ$1),1)+INT((DAY(Sales!$BJ$1)-1)/2)+Sales!BL$4,0)=EOMONTH($BY$1,0),Sales!BL$3*Sales!BL$5,0)+IF(EOMONTH(DATE(YEAR(Sales!$BG$1),MONTH(Sales!$BG$1),1)+INT((DAY(Sales!$BG$1)-1)/2)+Sales!BI$4,0)=EOMONTH($BY$1,0),Sales!BI$3*Sales!BI$5,0)+IF(EOMONTH(DATE(YEAR(Sales!$BD$1),MONTH(Sales!$BD$1),1)+INT((DAY(Sales!$BD$1)-1)/2)+Sales!BF$4,0)=EOMONTH($BY$1,0),Sales!BF$3*Sales!BF$5,0)+IF(EOMONTH(DATE(YEAR(Sales!$BA$1),MONTH(Sales!$BA$1),1)+INT((DAY(Sales!$BA$1)-1)/2)+Sales!BC$4,0)=EOMONTH($BY$1,0),Sales!BC$3*Sales!BC$5,0)+IF(EOMONTH(DATE(YEAR(Sales!$AX$1),MONTH(Sales!$AX$1),1)+INT((DAY(Sales!$AX$1)-1)/2)+Sales!AZ$4,0)=EOMONTH($BY$1,0),Sales!AZ$3*Sales!AZ$5,0)+IF(EOMONTH(DATE(YEAR(Sales!$AU$1),MONTH(Sales!$AU$1),1)+INT((DAY(Sales!$AU$1)-1)/2)+Sales!AW$4,0)=EOMONTH($BY$1,0),Sales!AW$3*Sales!AW$5,0)+IF(EOMONTH(DATE(YEAR(Sales!$AR$1),MONTH(Sales!$AR$1),1)+INT((DAY(Sales!$AR$1)-1)/2)+Sales!AT$4,0)=EOMONTH($BY$1,0),Sales!AT$3*Sales!AT$5,0)+IF(EOMONTH(DATE(YEAR(Sales!$AO$1),MONTH(Sales!$AO$1),1)+INT((DAY(Sales!$AO$1)-1)/2)+Sales!AQ$4,0)=EOMONTH($BY$1,0),Sales!AQ$3*Sales!AQ$5,0)+IF(EOMONTH(DATE(YEAR(Sales!$AL$1),MONTH(Sales!$AL$1),1)+INT((DAY(Sales!$AL$1)-1)/2)+Sales!AN$4,0)=EOMONTH($BY$1,0),Sales!AN$3*Sales!AN$5,0)+IF(EOMONTH(DATE(YEAR(Sales!$AI$1),MONTH(Sales!$AI$1),1)+INT((DAY(Sales!$AI$1)-1)/2)+Sales!AK$4,0)=EOMONTH($BY$1,0),Sales!AK$3*Sales!AK$5,0)+IF(EOMONTH(DATE(YEAR(Sales!$AF$1),MONTH(Sales!$AF$1),1)+INT((DAY(Sales!$AF$1)-1)/2)+Sales!AH$4,0)=EOMONTH($BY$1,0),Sales!AH$3*Sales!AH$5,0)+IF(EOMONTH(DATE(YEAR(Sales!$AC$1),MONTH(Sales!$AC$1),1)+INT((DAY(Sales!$AC$1)-1)/2)+Sales!AE$4,0)=EOMONTH($BY$1,0),Sales!AE$3*Sales!AE$5,0)+IF(EOMONTH(DATE(YEAR(Sales!$Z$1),MONTH(Sales!$Z$1),1)+INT((DAY(Sales!$Z$1)-1)/2)+Sales!AB$4,0)=EOMONTH($BY$1,0),Sales!AB$3*Sales!AB$5,0)+IF(EOMONTH(DATE(YEAR(Sales!$W$1),MONTH(Sales!$W$1),1)+INT((DAY(Sales!$W$1)-1)/2)+Sales!Y$4,0)=EOMONTH($BY$1,0),Sales!Y$3*Sales!Y$5,0)+IF(EOMONTH(DATE(YEAR(Sales!$T$1),MONTH(Sales!$T$1),1)+INT((DAY(Sales!$T$1)-1)/2)+Sales!V$4,0)=EOMONTH($BY$1,0),Sales!V$3*Sales!V$5,0)+IF(EOMONTH(DATE(YEAR(Sales!$Q$1),MONTH(Sales!$Q$1),1)+INT((DAY(Sales!$Q$1)-1)/2)+Sales!S$4,0)=EOMONTH($BY$1,0),Sales!S$3*Sales!S$5,0)+IF(EOMONTH(DATE(YEAR(Sales!$N$1),MONTH(Sales!$N$1),1)+INT((DAY(Sales!$N$1)-1)/2)+Sales!P$4,0)=EOMONTH($BY$1,0),Sales!P$3*Sales!P$5,0)+IF(EOMONTH(DATE(YEAR(Sales!$K$1),MONTH(Sales!$K$1),1)+INT((DAY(Sales!$K$1)-1)/2)+Sales!M$4,0)=EOMONTH($BY$1,0),Sales!M$3*Sales!M$5,0)+IF(EOMONTH('Cash Drivers'!$DL$30+Sales!DN$4,0)=EOMONTH($BY$1,0),'Cash Drivers'!$DL$31*Sales!DN$5,0),0)</f>
        <v>28</v>
      </c>
      <c r="CB6" s="23"/>
      <c r="CC6" s="23" t="n">
        <f aca="false">IF('Cash Drivers'!CC$26,CB6,ROUND(IF(EOMONTH(DATE(YEAR(Sales!$DL$1),MONTH(Sales!$DL$1),1)+INT((DAY(Sales!$DL$1)-1)/2)+Sales!DM$4,0)=EOMONTH($CB$1,0),Sales!DM$3*Sales!DM$5,0)+IF(EOMONTH(DATE(YEAR(Sales!$DI$1),MONTH(Sales!$DI$1),1)+INT((DAY(Sales!$DI$1)-1)/2)+Sales!DJ$4,0)=EOMONTH($CB$1,0),Sales!DJ$3*Sales!DJ$5,0)+IF(EOMONTH(DATE(YEAR(Sales!$DF$1),MONTH(Sales!$DF$1),1)+INT((DAY(Sales!$DF$1)-1)/2)+Sales!DG$4,0)=EOMONTH($CB$1,0),Sales!DG$3*Sales!DG$5,0)+IF(EOMONTH(DATE(YEAR(Sales!$DC$1),MONTH(Sales!$DC$1),1)+INT((DAY(Sales!$DC$1)-1)/2)+Sales!DD$4,0)=EOMONTH($CB$1,0),Sales!DD$3*Sales!DD$5,0)+IF(EOMONTH(DATE(YEAR(Sales!$CZ$1),MONTH(Sales!$CZ$1),1)+INT((DAY(Sales!$CZ$1)-1)/2)+Sales!DA$4,0)=EOMONTH($CB$1,0),Sales!DA$3*Sales!DA$5,0)+IF(EOMONTH(DATE(YEAR(Sales!$CW$1),MONTH(Sales!$CW$1),1)+INT((DAY(Sales!$CW$1)-1)/2)+Sales!CX$4,0)=EOMONTH($CB$1,0),Sales!CX$3*Sales!CX$5,0)+IF(EOMONTH(DATE(YEAR(Sales!$CT$1),MONTH(Sales!$CT$1),1)+INT((DAY(Sales!$CT$1)-1)/2)+Sales!CU$4,0)=EOMONTH($CB$1,0),Sales!CU$3*Sales!CU$5,0)+IF(EOMONTH(DATE(YEAR(Sales!$CQ$1),MONTH(Sales!$CQ$1),1)+INT((DAY(Sales!$CQ$1)-1)/2)+Sales!CR$4,0)=EOMONTH($CB$1,0),Sales!CR$3*Sales!CR$5,0)+IF(EOMONTH(DATE(YEAR(Sales!$CN$1),MONTH(Sales!$CN$1),1)+INT((DAY(Sales!$CN$1)-1)/2)+Sales!CO$4,0)=EOMONTH($CB$1,0),Sales!CO$3*Sales!CO$5,0)+IF(EOMONTH(DATE(YEAR(Sales!$CK$1),MONTH(Sales!$CK$1),1)+INT((DAY(Sales!$CK$1)-1)/2)+Sales!CL$4,0)=EOMONTH($CB$1,0),Sales!CL$3*Sales!CL$5,0)+IF(EOMONTH(DATE(YEAR(Sales!$CH$1),MONTH(Sales!$CH$1),1)+INT((DAY(Sales!$CH$1)-1)/2)+Sales!CI$4,0)=EOMONTH($CB$1,0),Sales!CI$3*Sales!CI$5,0)+IF(EOMONTH(DATE(YEAR(Sales!$CE$1),MONTH(Sales!$CE$1),1)+INT((DAY(Sales!$CE$1)-1)/2)+Sales!CF$4,0)=EOMONTH($CB$1,0),Sales!CF$3*Sales!CF$5,0)+IF(EOMONTH(DATE(YEAR(Sales!$CB$1),MONTH(Sales!$CB$1),1)+INT((DAY(Sales!$CB$1)-1)/2)+Sales!CC$4,0)=EOMONTH($CB$1,0),Sales!CC$3*Sales!CC$5,0)+IF(EOMONTH(DATE(YEAR(Sales!$BY$1),MONTH(Sales!$BY$1),1)+INT((DAY(Sales!$BY$1)-1)/2)+Sales!BZ$4,0)=EOMONTH($CB$1,0),Sales!BZ$3*Sales!BZ$5,0)+IF(EOMONTH(DATE(YEAR(Sales!$BV$1),MONTH(Sales!$BV$1),1)+INT((DAY(Sales!$BV$1)-1)/2)+Sales!BW$4,0)=EOMONTH($CB$1,0),Sales!BW$3*Sales!BW$5,0)+IF(EOMONTH(DATE(YEAR(Sales!$BS$1),MONTH(Sales!$BS$1),1)+INT((DAY(Sales!$BS$1)-1)/2)+Sales!BT$4,0)=EOMONTH($CB$1,0),Sales!BT$3*Sales!BT$5,0)+IF(EOMONTH(DATE(YEAR(Sales!$BP$1),MONTH(Sales!$BP$1),1)+INT((DAY(Sales!$BP$1)-1)/2)+Sales!BQ$4,0)=EOMONTH($CB$1,0),Sales!BQ$3*Sales!BQ$5,0)+IF(EOMONTH(DATE(YEAR(Sales!$BM$1),MONTH(Sales!$BM$1),1)+INT((DAY(Sales!$BM$1)-1)/2)+Sales!BN$4,0)=EOMONTH($CB$1,0),Sales!BN$3*Sales!BN$5,0)+IF(EOMONTH(DATE(YEAR(Sales!$BJ$1),MONTH(Sales!$BJ$1),1)+INT((DAY(Sales!$BJ$1)-1)/2)+Sales!BK$4,0)=EOMONTH($CB$1,0),Sales!BK$3*Sales!BK$5,0)+IF(EOMONTH(DATE(YEAR(Sales!$BG$1),MONTH(Sales!$BG$1),1)+INT((DAY(Sales!$BG$1)-1)/2)+Sales!BH$4,0)=EOMONTH($CB$1,0),Sales!BH$3*Sales!BH$5,0)+IF(EOMONTH(DATE(YEAR(Sales!$BD$1),MONTH(Sales!$BD$1),1)+INT((DAY(Sales!$BD$1)-1)/2)+Sales!BE$4,0)=EOMONTH($CB$1,0),Sales!BE$3*Sales!BE$5,0)+IF(EOMONTH(DATE(YEAR(Sales!$BA$1),MONTH(Sales!$BA$1),1)+INT((DAY(Sales!$BA$1)-1)/2)+Sales!BB$4,0)=EOMONTH($CB$1,0),Sales!BB$3*Sales!BB$5,0)+IF(EOMONTH(DATE(YEAR(Sales!$AX$1),MONTH(Sales!$AX$1),1)+INT((DAY(Sales!$AX$1)-1)/2)+Sales!AY$4,0)=EOMONTH($CB$1,0),Sales!AY$3*Sales!AY$5,0)+IF(EOMONTH(DATE(YEAR(Sales!$AU$1),MONTH(Sales!$AU$1),1)+INT((DAY(Sales!$AU$1)-1)/2)+Sales!AV$4,0)=EOMONTH($CB$1,0),Sales!AV$3*Sales!AV$5,0)+IF(EOMONTH(DATE(YEAR(Sales!$AR$1),MONTH(Sales!$AR$1),1)+INT((DAY(Sales!$AR$1)-1)/2)+Sales!AS$4,0)=EOMONTH($CB$1,0),Sales!AS$3*Sales!AS$5,0)+IF(EOMONTH(DATE(YEAR(Sales!$AO$1),MONTH(Sales!$AO$1),1)+INT((DAY(Sales!$AO$1)-1)/2)+Sales!AP$4,0)=EOMONTH($CB$1,0),Sales!AP$3*Sales!AP$5,0)+IF(EOMONTH(DATE(YEAR(Sales!$AL$1),MONTH(Sales!$AL$1),1)+INT((DAY(Sales!$AL$1)-1)/2)+Sales!AM$4,0)=EOMONTH($CB$1,0),Sales!AM$3*Sales!AM$5,0)+IF(EOMONTH(DATE(YEAR(Sales!$AI$1),MONTH(Sales!$AI$1),1)+INT((DAY(Sales!$AI$1)-1)/2)+Sales!AJ$4,0)=EOMONTH($CB$1,0),Sales!AJ$3*Sales!AJ$5,0)+IF(EOMONTH(DATE(YEAR(Sales!$AF$1),MONTH(Sales!$AF$1),1)+INT((DAY(Sales!$AF$1)-1)/2)+Sales!AG$4,0)=EOMONTH($CB$1,0),Sales!AG$3*Sales!AG$5,0)+IF(EOMONTH(DATE(YEAR(Sales!$AC$1),MONTH(Sales!$AC$1),1)+INT((DAY(Sales!$AC$1)-1)/2)+Sales!AD$4,0)=EOMONTH($CB$1,0),Sales!AD$3*Sales!AD$5,0)+IF(EOMONTH(DATE(YEAR(Sales!$Z$1),MONTH(Sales!$Z$1),1)+INT((DAY(Sales!$Z$1)-1)/2)+Sales!AA$4,0)=EOMONTH($CB$1,0),Sales!AA$3*Sales!AA$5,0)+IF(EOMONTH(DATE(YEAR(Sales!$W$1),MONTH(Sales!$W$1),1)+INT((DAY(Sales!$W$1)-1)/2)+Sales!X$4,0)=EOMONTH($CB$1,0),Sales!X$3*Sales!X$5,0)+IF(EOMONTH(DATE(YEAR(Sales!$T$1),MONTH(Sales!$T$1),1)+INT((DAY(Sales!$T$1)-1)/2)+Sales!U$4,0)=EOMONTH($CB$1,0),Sales!U$3*Sales!U$5,0)+IF(EOMONTH(DATE(YEAR(Sales!$Q$1),MONTH(Sales!$Q$1),1)+INT((DAY(Sales!$Q$1)-1)/2)+Sales!R$4,0)=EOMONTH($CB$1,0),Sales!R$3*Sales!R$5,0)+IF(EOMONTH(DATE(YEAR(Sales!$N$1),MONTH(Sales!$N$1),1)+INT((DAY(Sales!$N$1)-1)/2)+Sales!O$4,0)=EOMONTH($CB$1,0),Sales!O$3*Sales!O$5,0)+IF(EOMONTH(DATE(YEAR(Sales!$K$1),MONTH(Sales!$K$1),1)+INT((DAY(Sales!$K$1)-1)/2)+Sales!L$4,0)=EOMONTH($CB$1,0),Sales!L$3*Sales!L$5,0)+IF(EOMONTH('Cash Drivers'!$DL$30+Sales!DM$4,0)=EOMONTH($CB$1,0),'Cash Drivers'!$DL$31*Sales!DM$5,0),0))</f>
        <v>19</v>
      </c>
      <c r="CD6" s="23" t="n">
        <f aca="false">ROUND(IF(EOMONTH(DATE(YEAR(Sales!$DL$1),MONTH(Sales!$DL$1),1)+INT((DAY(Sales!$DL$1)-1)/2)+Sales!DN$4,0)=EOMONTH($CB$1,0),Sales!DN$3*Sales!DN$5,0)+IF(EOMONTH(DATE(YEAR(Sales!$DI$1),MONTH(Sales!$DI$1),1)+INT((DAY(Sales!$DI$1)-1)/2)+Sales!DK$4,0)=EOMONTH($CB$1,0),Sales!DK$3*Sales!DK$5,0)+IF(EOMONTH(DATE(YEAR(Sales!$DF$1),MONTH(Sales!$DF$1),1)+INT((DAY(Sales!$DF$1)-1)/2)+Sales!DH$4,0)=EOMONTH($CB$1,0),Sales!DH$3*Sales!DH$5,0)+IF(EOMONTH(DATE(YEAR(Sales!$DC$1),MONTH(Sales!$DC$1),1)+INT((DAY(Sales!$DC$1)-1)/2)+Sales!DE$4,0)=EOMONTH($CB$1,0),Sales!DE$3*Sales!DE$5,0)+IF(EOMONTH(DATE(YEAR(Sales!$CZ$1),MONTH(Sales!$CZ$1),1)+INT((DAY(Sales!$CZ$1)-1)/2)+Sales!DB$4,0)=EOMONTH($CB$1,0),Sales!DB$3*Sales!DB$5,0)+IF(EOMONTH(DATE(YEAR(Sales!$CW$1),MONTH(Sales!$CW$1),1)+INT((DAY(Sales!$CW$1)-1)/2)+Sales!CY$4,0)=EOMONTH($CB$1,0),Sales!CY$3*Sales!CY$5,0)+IF(EOMONTH(DATE(YEAR(Sales!$CT$1),MONTH(Sales!$CT$1),1)+INT((DAY(Sales!$CT$1)-1)/2)+Sales!CV$4,0)=EOMONTH($CB$1,0),Sales!CV$3*Sales!CV$5,0)+IF(EOMONTH(DATE(YEAR(Sales!$CQ$1),MONTH(Sales!$CQ$1),1)+INT((DAY(Sales!$CQ$1)-1)/2)+Sales!CS$4,0)=EOMONTH($CB$1,0),Sales!CS$3*Sales!CS$5,0)+IF(EOMONTH(DATE(YEAR(Sales!$CN$1),MONTH(Sales!$CN$1),1)+INT((DAY(Sales!$CN$1)-1)/2)+Sales!CP$4,0)=EOMONTH($CB$1,0),Sales!CP$3*Sales!CP$5,0)+IF(EOMONTH(DATE(YEAR(Sales!$CK$1),MONTH(Sales!$CK$1),1)+INT((DAY(Sales!$CK$1)-1)/2)+Sales!CM$4,0)=EOMONTH($CB$1,0),Sales!CM$3*Sales!CM$5,0)+IF(EOMONTH(DATE(YEAR(Sales!$CH$1),MONTH(Sales!$CH$1),1)+INT((DAY(Sales!$CH$1)-1)/2)+Sales!CJ$4,0)=EOMONTH($CB$1,0),Sales!CJ$3*Sales!CJ$5,0)+IF(EOMONTH(DATE(YEAR(Sales!$CE$1),MONTH(Sales!$CE$1),1)+INT((DAY(Sales!$CE$1)-1)/2)+Sales!CG$4,0)=EOMONTH($CB$1,0),Sales!CG$3*Sales!CG$5,0)+IF(EOMONTH(DATE(YEAR(Sales!$CB$1),MONTH(Sales!$CB$1),1)+INT((DAY(Sales!$CB$1)-1)/2)+Sales!CD$4,0)=EOMONTH($CB$1,0),Sales!CD$3*Sales!CD$5,0)+IF(EOMONTH(DATE(YEAR(Sales!$BY$1),MONTH(Sales!$BY$1),1)+INT((DAY(Sales!$BY$1)-1)/2)+Sales!CA$4,0)=EOMONTH($CB$1,0),Sales!CA$3*Sales!CA$5,0)+IF(EOMONTH(DATE(YEAR(Sales!$BV$1),MONTH(Sales!$BV$1),1)+INT((DAY(Sales!$BV$1)-1)/2)+Sales!BX$4,0)=EOMONTH($CB$1,0),Sales!BX$3*Sales!BX$5,0)+IF(EOMONTH(DATE(YEAR(Sales!$BS$1),MONTH(Sales!$BS$1),1)+INT((DAY(Sales!$BS$1)-1)/2)+Sales!BU$4,0)=EOMONTH($CB$1,0),Sales!BU$3*Sales!BU$5,0)+IF(EOMONTH(DATE(YEAR(Sales!$BP$1),MONTH(Sales!$BP$1),1)+INT((DAY(Sales!$BP$1)-1)/2)+Sales!BR$4,0)=EOMONTH($CB$1,0),Sales!BR$3*Sales!BR$5,0)+IF(EOMONTH(DATE(YEAR(Sales!$BM$1),MONTH(Sales!$BM$1),1)+INT((DAY(Sales!$BM$1)-1)/2)+Sales!BO$4,0)=EOMONTH($CB$1,0),Sales!BO$3*Sales!BO$5,0)+IF(EOMONTH(DATE(YEAR(Sales!$BJ$1),MONTH(Sales!$BJ$1),1)+INT((DAY(Sales!$BJ$1)-1)/2)+Sales!BL$4,0)=EOMONTH($CB$1,0),Sales!BL$3*Sales!BL$5,0)+IF(EOMONTH(DATE(YEAR(Sales!$BG$1),MONTH(Sales!$BG$1),1)+INT((DAY(Sales!$BG$1)-1)/2)+Sales!BI$4,0)=EOMONTH($CB$1,0),Sales!BI$3*Sales!BI$5,0)+IF(EOMONTH(DATE(YEAR(Sales!$BD$1),MONTH(Sales!$BD$1),1)+INT((DAY(Sales!$BD$1)-1)/2)+Sales!BF$4,0)=EOMONTH($CB$1,0),Sales!BF$3*Sales!BF$5,0)+IF(EOMONTH(DATE(YEAR(Sales!$BA$1),MONTH(Sales!$BA$1),1)+INT((DAY(Sales!$BA$1)-1)/2)+Sales!BC$4,0)=EOMONTH($CB$1,0),Sales!BC$3*Sales!BC$5,0)+IF(EOMONTH(DATE(YEAR(Sales!$AX$1),MONTH(Sales!$AX$1),1)+INT((DAY(Sales!$AX$1)-1)/2)+Sales!AZ$4,0)=EOMONTH($CB$1,0),Sales!AZ$3*Sales!AZ$5,0)+IF(EOMONTH(DATE(YEAR(Sales!$AU$1),MONTH(Sales!$AU$1),1)+INT((DAY(Sales!$AU$1)-1)/2)+Sales!AW$4,0)=EOMONTH($CB$1,0),Sales!AW$3*Sales!AW$5,0)+IF(EOMONTH(DATE(YEAR(Sales!$AR$1),MONTH(Sales!$AR$1),1)+INT((DAY(Sales!$AR$1)-1)/2)+Sales!AT$4,0)=EOMONTH($CB$1,0),Sales!AT$3*Sales!AT$5,0)+IF(EOMONTH(DATE(YEAR(Sales!$AO$1),MONTH(Sales!$AO$1),1)+INT((DAY(Sales!$AO$1)-1)/2)+Sales!AQ$4,0)=EOMONTH($CB$1,0),Sales!AQ$3*Sales!AQ$5,0)+IF(EOMONTH(DATE(YEAR(Sales!$AL$1),MONTH(Sales!$AL$1),1)+INT((DAY(Sales!$AL$1)-1)/2)+Sales!AN$4,0)=EOMONTH($CB$1,0),Sales!AN$3*Sales!AN$5,0)+IF(EOMONTH(DATE(YEAR(Sales!$AI$1),MONTH(Sales!$AI$1),1)+INT((DAY(Sales!$AI$1)-1)/2)+Sales!AK$4,0)=EOMONTH($CB$1,0),Sales!AK$3*Sales!AK$5,0)+IF(EOMONTH(DATE(YEAR(Sales!$AF$1),MONTH(Sales!$AF$1),1)+INT((DAY(Sales!$AF$1)-1)/2)+Sales!AH$4,0)=EOMONTH($CB$1,0),Sales!AH$3*Sales!AH$5,0)+IF(EOMONTH(DATE(YEAR(Sales!$AC$1),MONTH(Sales!$AC$1),1)+INT((DAY(Sales!$AC$1)-1)/2)+Sales!AE$4,0)=EOMONTH($CB$1,0),Sales!AE$3*Sales!AE$5,0)+IF(EOMONTH(DATE(YEAR(Sales!$Z$1),MONTH(Sales!$Z$1),1)+INT((DAY(Sales!$Z$1)-1)/2)+Sales!AB$4,0)=EOMONTH($CB$1,0),Sales!AB$3*Sales!AB$5,0)+IF(EOMONTH(DATE(YEAR(Sales!$W$1),MONTH(Sales!$W$1),1)+INT((DAY(Sales!$W$1)-1)/2)+Sales!Y$4,0)=EOMONTH($CB$1,0),Sales!Y$3*Sales!Y$5,0)+IF(EOMONTH(DATE(YEAR(Sales!$T$1),MONTH(Sales!$T$1),1)+INT((DAY(Sales!$T$1)-1)/2)+Sales!V$4,0)=EOMONTH($CB$1,0),Sales!V$3*Sales!V$5,0)+IF(EOMONTH(DATE(YEAR(Sales!$Q$1),MONTH(Sales!$Q$1),1)+INT((DAY(Sales!$Q$1)-1)/2)+Sales!S$4,0)=EOMONTH($CB$1,0),Sales!S$3*Sales!S$5,0)+IF(EOMONTH(DATE(YEAR(Sales!$N$1),MONTH(Sales!$N$1),1)+INT((DAY(Sales!$N$1)-1)/2)+Sales!P$4,0)=EOMONTH($CB$1,0),Sales!P$3*Sales!P$5,0)+IF(EOMONTH(DATE(YEAR(Sales!$K$1),MONTH(Sales!$K$1),1)+INT((DAY(Sales!$K$1)-1)/2)+Sales!M$4,0)=EOMONTH($CB$1,0),Sales!M$3*Sales!M$5,0)+IF(EOMONTH('Cash Drivers'!$DL$30+Sales!DN$4,0)=EOMONTH($CB$1,0),'Cash Drivers'!$DL$31*Sales!DN$5,0),0)</f>
        <v>19</v>
      </c>
      <c r="CE6" s="2"/>
      <c r="CF6" s="2" t="n">
        <f aca="false">IF('Cash Drivers'!CF$26,CE6,ROUND(IF(EOMONTH(DATE(YEAR(Sales!$DL$1),MONTH(Sales!$DL$1),1)+INT((DAY(Sales!$DL$1)-1)/2)+Sales!DM$4,0)=EOMONTH($CE$1,0),Sales!DM$3*Sales!DM$5,0)+IF(EOMONTH(DATE(YEAR(Sales!$DI$1),MONTH(Sales!$DI$1),1)+INT((DAY(Sales!$DI$1)-1)/2)+Sales!DJ$4,0)=EOMONTH($CE$1,0),Sales!DJ$3*Sales!DJ$5,0)+IF(EOMONTH(DATE(YEAR(Sales!$DF$1),MONTH(Sales!$DF$1),1)+INT((DAY(Sales!$DF$1)-1)/2)+Sales!DG$4,0)=EOMONTH($CE$1,0),Sales!DG$3*Sales!DG$5,0)+IF(EOMONTH(DATE(YEAR(Sales!$DC$1),MONTH(Sales!$DC$1),1)+INT((DAY(Sales!$DC$1)-1)/2)+Sales!DD$4,0)=EOMONTH($CE$1,0),Sales!DD$3*Sales!DD$5,0)+IF(EOMONTH(DATE(YEAR(Sales!$CZ$1),MONTH(Sales!$CZ$1),1)+INT((DAY(Sales!$CZ$1)-1)/2)+Sales!DA$4,0)=EOMONTH($CE$1,0),Sales!DA$3*Sales!DA$5,0)+IF(EOMONTH(DATE(YEAR(Sales!$CW$1),MONTH(Sales!$CW$1),1)+INT((DAY(Sales!$CW$1)-1)/2)+Sales!CX$4,0)=EOMONTH($CE$1,0),Sales!CX$3*Sales!CX$5,0)+IF(EOMONTH(DATE(YEAR(Sales!$CT$1),MONTH(Sales!$CT$1),1)+INT((DAY(Sales!$CT$1)-1)/2)+Sales!CU$4,0)=EOMONTH($CE$1,0),Sales!CU$3*Sales!CU$5,0)+IF(EOMONTH(DATE(YEAR(Sales!$CQ$1),MONTH(Sales!$CQ$1),1)+INT((DAY(Sales!$CQ$1)-1)/2)+Sales!CR$4,0)=EOMONTH($CE$1,0),Sales!CR$3*Sales!CR$5,0)+IF(EOMONTH(DATE(YEAR(Sales!$CN$1),MONTH(Sales!$CN$1),1)+INT((DAY(Sales!$CN$1)-1)/2)+Sales!CO$4,0)=EOMONTH($CE$1,0),Sales!CO$3*Sales!CO$5,0)+IF(EOMONTH(DATE(YEAR(Sales!$CK$1),MONTH(Sales!$CK$1),1)+INT((DAY(Sales!$CK$1)-1)/2)+Sales!CL$4,0)=EOMONTH($CE$1,0),Sales!CL$3*Sales!CL$5,0)+IF(EOMONTH(DATE(YEAR(Sales!$CH$1),MONTH(Sales!$CH$1),1)+INT((DAY(Sales!$CH$1)-1)/2)+Sales!CI$4,0)=EOMONTH($CE$1,0),Sales!CI$3*Sales!CI$5,0)+IF(EOMONTH(DATE(YEAR(Sales!$CE$1),MONTH(Sales!$CE$1),1)+INT((DAY(Sales!$CE$1)-1)/2)+Sales!CF$4,0)=EOMONTH($CE$1,0),Sales!CF$3*Sales!CF$5,0)+IF(EOMONTH(DATE(YEAR(Sales!$CB$1),MONTH(Sales!$CB$1),1)+INT((DAY(Sales!$CB$1)-1)/2)+Sales!CC$4,0)=EOMONTH($CE$1,0),Sales!CC$3*Sales!CC$5,0)+IF(EOMONTH(DATE(YEAR(Sales!$BY$1),MONTH(Sales!$BY$1),1)+INT((DAY(Sales!$BY$1)-1)/2)+Sales!BZ$4,0)=EOMONTH($CE$1,0),Sales!BZ$3*Sales!BZ$5,0)+IF(EOMONTH(DATE(YEAR(Sales!$BV$1),MONTH(Sales!$BV$1),1)+INT((DAY(Sales!$BV$1)-1)/2)+Sales!BW$4,0)=EOMONTH($CE$1,0),Sales!BW$3*Sales!BW$5,0)+IF(EOMONTH(DATE(YEAR(Sales!$BS$1),MONTH(Sales!$BS$1),1)+INT((DAY(Sales!$BS$1)-1)/2)+Sales!BT$4,0)=EOMONTH($CE$1,0),Sales!BT$3*Sales!BT$5,0)+IF(EOMONTH(DATE(YEAR(Sales!$BP$1),MONTH(Sales!$BP$1),1)+INT((DAY(Sales!$BP$1)-1)/2)+Sales!BQ$4,0)=EOMONTH($CE$1,0),Sales!BQ$3*Sales!BQ$5,0)+IF(EOMONTH(DATE(YEAR(Sales!$BM$1),MONTH(Sales!$BM$1),1)+INT((DAY(Sales!$BM$1)-1)/2)+Sales!BN$4,0)=EOMONTH($CE$1,0),Sales!BN$3*Sales!BN$5,0)+IF(EOMONTH(DATE(YEAR(Sales!$BJ$1),MONTH(Sales!$BJ$1),1)+INT((DAY(Sales!$BJ$1)-1)/2)+Sales!BK$4,0)=EOMONTH($CE$1,0),Sales!BK$3*Sales!BK$5,0)+IF(EOMONTH(DATE(YEAR(Sales!$BG$1),MONTH(Sales!$BG$1),1)+INT((DAY(Sales!$BG$1)-1)/2)+Sales!BH$4,0)=EOMONTH($CE$1,0),Sales!BH$3*Sales!BH$5,0)+IF(EOMONTH(DATE(YEAR(Sales!$BD$1),MONTH(Sales!$BD$1),1)+INT((DAY(Sales!$BD$1)-1)/2)+Sales!BE$4,0)=EOMONTH($CE$1,0),Sales!BE$3*Sales!BE$5,0)+IF(EOMONTH(DATE(YEAR(Sales!$BA$1),MONTH(Sales!$BA$1),1)+INT((DAY(Sales!$BA$1)-1)/2)+Sales!BB$4,0)=EOMONTH($CE$1,0),Sales!BB$3*Sales!BB$5,0)+IF(EOMONTH(DATE(YEAR(Sales!$AX$1),MONTH(Sales!$AX$1),1)+INT((DAY(Sales!$AX$1)-1)/2)+Sales!AY$4,0)=EOMONTH($CE$1,0),Sales!AY$3*Sales!AY$5,0)+IF(EOMONTH(DATE(YEAR(Sales!$AU$1),MONTH(Sales!$AU$1),1)+INT((DAY(Sales!$AU$1)-1)/2)+Sales!AV$4,0)=EOMONTH($CE$1,0),Sales!AV$3*Sales!AV$5,0)+IF(EOMONTH(DATE(YEAR(Sales!$AR$1),MONTH(Sales!$AR$1),1)+INT((DAY(Sales!$AR$1)-1)/2)+Sales!AS$4,0)=EOMONTH($CE$1,0),Sales!AS$3*Sales!AS$5,0)+IF(EOMONTH(DATE(YEAR(Sales!$AO$1),MONTH(Sales!$AO$1),1)+INT((DAY(Sales!$AO$1)-1)/2)+Sales!AP$4,0)=EOMONTH($CE$1,0),Sales!AP$3*Sales!AP$5,0)+IF(EOMONTH(DATE(YEAR(Sales!$AL$1),MONTH(Sales!$AL$1),1)+INT((DAY(Sales!$AL$1)-1)/2)+Sales!AM$4,0)=EOMONTH($CE$1,0),Sales!AM$3*Sales!AM$5,0)+IF(EOMONTH(DATE(YEAR(Sales!$AI$1),MONTH(Sales!$AI$1),1)+INT((DAY(Sales!$AI$1)-1)/2)+Sales!AJ$4,0)=EOMONTH($CE$1,0),Sales!AJ$3*Sales!AJ$5,0)+IF(EOMONTH(DATE(YEAR(Sales!$AF$1),MONTH(Sales!$AF$1),1)+INT((DAY(Sales!$AF$1)-1)/2)+Sales!AG$4,0)=EOMONTH($CE$1,0),Sales!AG$3*Sales!AG$5,0)+IF(EOMONTH(DATE(YEAR(Sales!$AC$1),MONTH(Sales!$AC$1),1)+INT((DAY(Sales!$AC$1)-1)/2)+Sales!AD$4,0)=EOMONTH($CE$1,0),Sales!AD$3*Sales!AD$5,0)+IF(EOMONTH(DATE(YEAR(Sales!$Z$1),MONTH(Sales!$Z$1),1)+INT((DAY(Sales!$Z$1)-1)/2)+Sales!AA$4,0)=EOMONTH($CE$1,0),Sales!AA$3*Sales!AA$5,0)+IF(EOMONTH(DATE(YEAR(Sales!$W$1),MONTH(Sales!$W$1),1)+INT((DAY(Sales!$W$1)-1)/2)+Sales!X$4,0)=EOMONTH($CE$1,0),Sales!X$3*Sales!X$5,0)+IF(EOMONTH(DATE(YEAR(Sales!$T$1),MONTH(Sales!$T$1),1)+INT((DAY(Sales!$T$1)-1)/2)+Sales!U$4,0)=EOMONTH($CE$1,0),Sales!U$3*Sales!U$5,0)+IF(EOMONTH(DATE(YEAR(Sales!$Q$1),MONTH(Sales!$Q$1),1)+INT((DAY(Sales!$Q$1)-1)/2)+Sales!R$4,0)=EOMONTH($CE$1,0),Sales!R$3*Sales!R$5,0)+IF(EOMONTH(DATE(YEAR(Sales!$N$1),MONTH(Sales!$N$1),1)+INT((DAY(Sales!$N$1)-1)/2)+Sales!O$4,0)=EOMONTH($CE$1,0),Sales!O$3*Sales!O$5,0)+IF(EOMONTH(DATE(YEAR(Sales!$K$1),MONTH(Sales!$K$1),1)+INT((DAY(Sales!$K$1)-1)/2)+Sales!L$4,0)=EOMONTH($CE$1,0),Sales!L$3*Sales!L$5,0)+IF(EOMONTH('Cash Drivers'!$DL$30+Sales!DM$4,0)=EOMONTH($CE$1,0),'Cash Drivers'!$DL$31*Sales!DM$5,0),0))</f>
        <v>19</v>
      </c>
      <c r="CG6" s="2" t="n">
        <f aca="false">ROUND(IF(EOMONTH(DATE(YEAR(Sales!$DL$1),MONTH(Sales!$DL$1),1)+INT((DAY(Sales!$DL$1)-1)/2)+Sales!DN$4,0)=EOMONTH($CE$1,0),Sales!DN$3*Sales!DN$5,0)+IF(EOMONTH(DATE(YEAR(Sales!$DI$1),MONTH(Sales!$DI$1),1)+INT((DAY(Sales!$DI$1)-1)/2)+Sales!DK$4,0)=EOMONTH($CE$1,0),Sales!DK$3*Sales!DK$5,0)+IF(EOMONTH(DATE(YEAR(Sales!$DF$1),MONTH(Sales!$DF$1),1)+INT((DAY(Sales!$DF$1)-1)/2)+Sales!DH$4,0)=EOMONTH($CE$1,0),Sales!DH$3*Sales!DH$5,0)+IF(EOMONTH(DATE(YEAR(Sales!$DC$1),MONTH(Sales!$DC$1),1)+INT((DAY(Sales!$DC$1)-1)/2)+Sales!DE$4,0)=EOMONTH($CE$1,0),Sales!DE$3*Sales!DE$5,0)+IF(EOMONTH(DATE(YEAR(Sales!$CZ$1),MONTH(Sales!$CZ$1),1)+INT((DAY(Sales!$CZ$1)-1)/2)+Sales!DB$4,0)=EOMONTH($CE$1,0),Sales!DB$3*Sales!DB$5,0)+IF(EOMONTH(DATE(YEAR(Sales!$CW$1),MONTH(Sales!$CW$1),1)+INT((DAY(Sales!$CW$1)-1)/2)+Sales!CY$4,0)=EOMONTH($CE$1,0),Sales!CY$3*Sales!CY$5,0)+IF(EOMONTH(DATE(YEAR(Sales!$CT$1),MONTH(Sales!$CT$1),1)+INT((DAY(Sales!$CT$1)-1)/2)+Sales!CV$4,0)=EOMONTH($CE$1,0),Sales!CV$3*Sales!CV$5,0)+IF(EOMONTH(DATE(YEAR(Sales!$CQ$1),MONTH(Sales!$CQ$1),1)+INT((DAY(Sales!$CQ$1)-1)/2)+Sales!CS$4,0)=EOMONTH($CE$1,0),Sales!CS$3*Sales!CS$5,0)+IF(EOMONTH(DATE(YEAR(Sales!$CN$1),MONTH(Sales!$CN$1),1)+INT((DAY(Sales!$CN$1)-1)/2)+Sales!CP$4,0)=EOMONTH($CE$1,0),Sales!CP$3*Sales!CP$5,0)+IF(EOMONTH(DATE(YEAR(Sales!$CK$1),MONTH(Sales!$CK$1),1)+INT((DAY(Sales!$CK$1)-1)/2)+Sales!CM$4,0)=EOMONTH($CE$1,0),Sales!CM$3*Sales!CM$5,0)+IF(EOMONTH(DATE(YEAR(Sales!$CH$1),MONTH(Sales!$CH$1),1)+INT((DAY(Sales!$CH$1)-1)/2)+Sales!CJ$4,0)=EOMONTH($CE$1,0),Sales!CJ$3*Sales!CJ$5,0)+IF(EOMONTH(DATE(YEAR(Sales!$CE$1),MONTH(Sales!$CE$1),1)+INT((DAY(Sales!$CE$1)-1)/2)+Sales!CG$4,0)=EOMONTH($CE$1,0),Sales!CG$3*Sales!CG$5,0)+IF(EOMONTH(DATE(YEAR(Sales!$CB$1),MONTH(Sales!$CB$1),1)+INT((DAY(Sales!$CB$1)-1)/2)+Sales!CD$4,0)=EOMONTH($CE$1,0),Sales!CD$3*Sales!CD$5,0)+IF(EOMONTH(DATE(YEAR(Sales!$BY$1),MONTH(Sales!$BY$1),1)+INT((DAY(Sales!$BY$1)-1)/2)+Sales!CA$4,0)=EOMONTH($CE$1,0),Sales!CA$3*Sales!CA$5,0)+IF(EOMONTH(DATE(YEAR(Sales!$BV$1),MONTH(Sales!$BV$1),1)+INT((DAY(Sales!$BV$1)-1)/2)+Sales!BX$4,0)=EOMONTH($CE$1,0),Sales!BX$3*Sales!BX$5,0)+IF(EOMONTH(DATE(YEAR(Sales!$BS$1),MONTH(Sales!$BS$1),1)+INT((DAY(Sales!$BS$1)-1)/2)+Sales!BU$4,0)=EOMONTH($CE$1,0),Sales!BU$3*Sales!BU$5,0)+IF(EOMONTH(DATE(YEAR(Sales!$BP$1),MONTH(Sales!$BP$1),1)+INT((DAY(Sales!$BP$1)-1)/2)+Sales!BR$4,0)=EOMONTH($CE$1,0),Sales!BR$3*Sales!BR$5,0)+IF(EOMONTH(DATE(YEAR(Sales!$BM$1),MONTH(Sales!$BM$1),1)+INT((DAY(Sales!$BM$1)-1)/2)+Sales!BO$4,0)=EOMONTH($CE$1,0),Sales!BO$3*Sales!BO$5,0)+IF(EOMONTH(DATE(YEAR(Sales!$BJ$1),MONTH(Sales!$BJ$1),1)+INT((DAY(Sales!$BJ$1)-1)/2)+Sales!BL$4,0)=EOMONTH($CE$1,0),Sales!BL$3*Sales!BL$5,0)+IF(EOMONTH(DATE(YEAR(Sales!$BG$1),MONTH(Sales!$BG$1),1)+INT((DAY(Sales!$BG$1)-1)/2)+Sales!BI$4,0)=EOMONTH($CE$1,0),Sales!BI$3*Sales!BI$5,0)+IF(EOMONTH(DATE(YEAR(Sales!$BD$1),MONTH(Sales!$BD$1),1)+INT((DAY(Sales!$BD$1)-1)/2)+Sales!BF$4,0)=EOMONTH($CE$1,0),Sales!BF$3*Sales!BF$5,0)+IF(EOMONTH(DATE(YEAR(Sales!$BA$1),MONTH(Sales!$BA$1),1)+INT((DAY(Sales!$BA$1)-1)/2)+Sales!BC$4,0)=EOMONTH($CE$1,0),Sales!BC$3*Sales!BC$5,0)+IF(EOMONTH(DATE(YEAR(Sales!$AX$1),MONTH(Sales!$AX$1),1)+INT((DAY(Sales!$AX$1)-1)/2)+Sales!AZ$4,0)=EOMONTH($CE$1,0),Sales!AZ$3*Sales!AZ$5,0)+IF(EOMONTH(DATE(YEAR(Sales!$AU$1),MONTH(Sales!$AU$1),1)+INT((DAY(Sales!$AU$1)-1)/2)+Sales!AW$4,0)=EOMONTH($CE$1,0),Sales!AW$3*Sales!AW$5,0)+IF(EOMONTH(DATE(YEAR(Sales!$AR$1),MONTH(Sales!$AR$1),1)+INT((DAY(Sales!$AR$1)-1)/2)+Sales!AT$4,0)=EOMONTH($CE$1,0),Sales!AT$3*Sales!AT$5,0)+IF(EOMONTH(DATE(YEAR(Sales!$AO$1),MONTH(Sales!$AO$1),1)+INT((DAY(Sales!$AO$1)-1)/2)+Sales!AQ$4,0)=EOMONTH($CE$1,0),Sales!AQ$3*Sales!AQ$5,0)+IF(EOMONTH(DATE(YEAR(Sales!$AL$1),MONTH(Sales!$AL$1),1)+INT((DAY(Sales!$AL$1)-1)/2)+Sales!AN$4,0)=EOMONTH($CE$1,0),Sales!AN$3*Sales!AN$5,0)+IF(EOMONTH(DATE(YEAR(Sales!$AI$1),MONTH(Sales!$AI$1),1)+INT((DAY(Sales!$AI$1)-1)/2)+Sales!AK$4,0)=EOMONTH($CE$1,0),Sales!AK$3*Sales!AK$5,0)+IF(EOMONTH(DATE(YEAR(Sales!$AF$1),MONTH(Sales!$AF$1),1)+INT((DAY(Sales!$AF$1)-1)/2)+Sales!AH$4,0)=EOMONTH($CE$1,0),Sales!AH$3*Sales!AH$5,0)+IF(EOMONTH(DATE(YEAR(Sales!$AC$1),MONTH(Sales!$AC$1),1)+INT((DAY(Sales!$AC$1)-1)/2)+Sales!AE$4,0)=EOMONTH($CE$1,0),Sales!AE$3*Sales!AE$5,0)+IF(EOMONTH(DATE(YEAR(Sales!$Z$1),MONTH(Sales!$Z$1),1)+INT((DAY(Sales!$Z$1)-1)/2)+Sales!AB$4,0)=EOMONTH($CE$1,0),Sales!AB$3*Sales!AB$5,0)+IF(EOMONTH(DATE(YEAR(Sales!$W$1),MONTH(Sales!$W$1),1)+INT((DAY(Sales!$W$1)-1)/2)+Sales!Y$4,0)=EOMONTH($CE$1,0),Sales!Y$3*Sales!Y$5,0)+IF(EOMONTH(DATE(YEAR(Sales!$T$1),MONTH(Sales!$T$1),1)+INT((DAY(Sales!$T$1)-1)/2)+Sales!V$4,0)=EOMONTH($CE$1,0),Sales!V$3*Sales!V$5,0)+IF(EOMONTH(DATE(YEAR(Sales!$Q$1),MONTH(Sales!$Q$1),1)+INT((DAY(Sales!$Q$1)-1)/2)+Sales!S$4,0)=EOMONTH($CE$1,0),Sales!S$3*Sales!S$5,0)+IF(EOMONTH(DATE(YEAR(Sales!$N$1),MONTH(Sales!$N$1),1)+INT((DAY(Sales!$N$1)-1)/2)+Sales!P$4,0)=EOMONTH($CE$1,0),Sales!P$3*Sales!P$5,0)+IF(EOMONTH(DATE(YEAR(Sales!$K$1),MONTH(Sales!$K$1),1)+INT((DAY(Sales!$K$1)-1)/2)+Sales!M$4,0)=EOMONTH($CE$1,0),Sales!M$3*Sales!M$5,0)+IF(EOMONTH('Cash Drivers'!$DL$30+Sales!DN$4,0)=EOMONTH($CE$1,0),'Cash Drivers'!$DL$31*Sales!DN$5,0),0)</f>
        <v>19</v>
      </c>
      <c r="CH6" s="23"/>
      <c r="CI6" s="23" t="n">
        <f aca="false">IF('Cash Drivers'!CI$26,CH6,ROUND(IF(EOMONTH(DATE(YEAR(Sales!$DL$1),MONTH(Sales!$DL$1),1)+INT((DAY(Sales!$DL$1)-1)/2)+Sales!DM$4,0)=EOMONTH($CH$1,0),Sales!DM$3*Sales!DM$5,0)+IF(EOMONTH(DATE(YEAR(Sales!$DI$1),MONTH(Sales!$DI$1),1)+INT((DAY(Sales!$DI$1)-1)/2)+Sales!DJ$4,0)=EOMONTH($CH$1,0),Sales!DJ$3*Sales!DJ$5,0)+IF(EOMONTH(DATE(YEAR(Sales!$DF$1),MONTH(Sales!$DF$1),1)+INT((DAY(Sales!$DF$1)-1)/2)+Sales!DG$4,0)=EOMONTH($CH$1,0),Sales!DG$3*Sales!DG$5,0)+IF(EOMONTH(DATE(YEAR(Sales!$DC$1),MONTH(Sales!$DC$1),1)+INT((DAY(Sales!$DC$1)-1)/2)+Sales!DD$4,0)=EOMONTH($CH$1,0),Sales!DD$3*Sales!DD$5,0)+IF(EOMONTH(DATE(YEAR(Sales!$CZ$1),MONTH(Sales!$CZ$1),1)+INT((DAY(Sales!$CZ$1)-1)/2)+Sales!DA$4,0)=EOMONTH($CH$1,0),Sales!DA$3*Sales!DA$5,0)+IF(EOMONTH(DATE(YEAR(Sales!$CW$1),MONTH(Sales!$CW$1),1)+INT((DAY(Sales!$CW$1)-1)/2)+Sales!CX$4,0)=EOMONTH($CH$1,0),Sales!CX$3*Sales!CX$5,0)+IF(EOMONTH(DATE(YEAR(Sales!$CT$1),MONTH(Sales!$CT$1),1)+INT((DAY(Sales!$CT$1)-1)/2)+Sales!CU$4,0)=EOMONTH($CH$1,0),Sales!CU$3*Sales!CU$5,0)+IF(EOMONTH(DATE(YEAR(Sales!$CQ$1),MONTH(Sales!$CQ$1),1)+INT((DAY(Sales!$CQ$1)-1)/2)+Sales!CR$4,0)=EOMONTH($CH$1,0),Sales!CR$3*Sales!CR$5,0)+IF(EOMONTH(DATE(YEAR(Sales!$CN$1),MONTH(Sales!$CN$1),1)+INT((DAY(Sales!$CN$1)-1)/2)+Sales!CO$4,0)=EOMONTH($CH$1,0),Sales!CO$3*Sales!CO$5,0)+IF(EOMONTH(DATE(YEAR(Sales!$CK$1),MONTH(Sales!$CK$1),1)+INT((DAY(Sales!$CK$1)-1)/2)+Sales!CL$4,0)=EOMONTH($CH$1,0),Sales!CL$3*Sales!CL$5,0)+IF(EOMONTH(DATE(YEAR(Sales!$CH$1),MONTH(Sales!$CH$1),1)+INT((DAY(Sales!$CH$1)-1)/2)+Sales!CI$4,0)=EOMONTH($CH$1,0),Sales!CI$3*Sales!CI$5,0)+IF(EOMONTH(DATE(YEAR(Sales!$CE$1),MONTH(Sales!$CE$1),1)+INT((DAY(Sales!$CE$1)-1)/2)+Sales!CF$4,0)=EOMONTH($CH$1,0),Sales!CF$3*Sales!CF$5,0)+IF(EOMONTH(DATE(YEAR(Sales!$CB$1),MONTH(Sales!$CB$1),1)+INT((DAY(Sales!$CB$1)-1)/2)+Sales!CC$4,0)=EOMONTH($CH$1,0),Sales!CC$3*Sales!CC$5,0)+IF(EOMONTH(DATE(YEAR(Sales!$BY$1),MONTH(Sales!$BY$1),1)+INT((DAY(Sales!$BY$1)-1)/2)+Sales!BZ$4,0)=EOMONTH($CH$1,0),Sales!BZ$3*Sales!BZ$5,0)+IF(EOMONTH(DATE(YEAR(Sales!$BV$1),MONTH(Sales!$BV$1),1)+INT((DAY(Sales!$BV$1)-1)/2)+Sales!BW$4,0)=EOMONTH($CH$1,0),Sales!BW$3*Sales!BW$5,0)+IF(EOMONTH(DATE(YEAR(Sales!$BS$1),MONTH(Sales!$BS$1),1)+INT((DAY(Sales!$BS$1)-1)/2)+Sales!BT$4,0)=EOMONTH($CH$1,0),Sales!BT$3*Sales!BT$5,0)+IF(EOMONTH(DATE(YEAR(Sales!$BP$1),MONTH(Sales!$BP$1),1)+INT((DAY(Sales!$BP$1)-1)/2)+Sales!BQ$4,0)=EOMONTH($CH$1,0),Sales!BQ$3*Sales!BQ$5,0)+IF(EOMONTH(DATE(YEAR(Sales!$BM$1),MONTH(Sales!$BM$1),1)+INT((DAY(Sales!$BM$1)-1)/2)+Sales!BN$4,0)=EOMONTH($CH$1,0),Sales!BN$3*Sales!BN$5,0)+IF(EOMONTH(DATE(YEAR(Sales!$BJ$1),MONTH(Sales!$BJ$1),1)+INT((DAY(Sales!$BJ$1)-1)/2)+Sales!BK$4,0)=EOMONTH($CH$1,0),Sales!BK$3*Sales!BK$5,0)+IF(EOMONTH(DATE(YEAR(Sales!$BG$1),MONTH(Sales!$BG$1),1)+INT((DAY(Sales!$BG$1)-1)/2)+Sales!BH$4,0)=EOMONTH($CH$1,0),Sales!BH$3*Sales!BH$5,0)+IF(EOMONTH(DATE(YEAR(Sales!$BD$1),MONTH(Sales!$BD$1),1)+INT((DAY(Sales!$BD$1)-1)/2)+Sales!BE$4,0)=EOMONTH($CH$1,0),Sales!BE$3*Sales!BE$5,0)+IF(EOMONTH(DATE(YEAR(Sales!$BA$1),MONTH(Sales!$BA$1),1)+INT((DAY(Sales!$BA$1)-1)/2)+Sales!BB$4,0)=EOMONTH($CH$1,0),Sales!BB$3*Sales!BB$5,0)+IF(EOMONTH(DATE(YEAR(Sales!$AX$1),MONTH(Sales!$AX$1),1)+INT((DAY(Sales!$AX$1)-1)/2)+Sales!AY$4,0)=EOMONTH($CH$1,0),Sales!AY$3*Sales!AY$5,0)+IF(EOMONTH(DATE(YEAR(Sales!$AU$1),MONTH(Sales!$AU$1),1)+INT((DAY(Sales!$AU$1)-1)/2)+Sales!AV$4,0)=EOMONTH($CH$1,0),Sales!AV$3*Sales!AV$5,0)+IF(EOMONTH(DATE(YEAR(Sales!$AR$1),MONTH(Sales!$AR$1),1)+INT((DAY(Sales!$AR$1)-1)/2)+Sales!AS$4,0)=EOMONTH($CH$1,0),Sales!AS$3*Sales!AS$5,0)+IF(EOMONTH(DATE(YEAR(Sales!$AO$1),MONTH(Sales!$AO$1),1)+INT((DAY(Sales!$AO$1)-1)/2)+Sales!AP$4,0)=EOMONTH($CH$1,0),Sales!AP$3*Sales!AP$5,0)+IF(EOMONTH(DATE(YEAR(Sales!$AL$1),MONTH(Sales!$AL$1),1)+INT((DAY(Sales!$AL$1)-1)/2)+Sales!AM$4,0)=EOMONTH($CH$1,0),Sales!AM$3*Sales!AM$5,0)+IF(EOMONTH(DATE(YEAR(Sales!$AI$1),MONTH(Sales!$AI$1),1)+INT((DAY(Sales!$AI$1)-1)/2)+Sales!AJ$4,0)=EOMONTH($CH$1,0),Sales!AJ$3*Sales!AJ$5,0)+IF(EOMONTH(DATE(YEAR(Sales!$AF$1),MONTH(Sales!$AF$1),1)+INT((DAY(Sales!$AF$1)-1)/2)+Sales!AG$4,0)=EOMONTH($CH$1,0),Sales!AG$3*Sales!AG$5,0)+IF(EOMONTH(DATE(YEAR(Sales!$AC$1),MONTH(Sales!$AC$1),1)+INT((DAY(Sales!$AC$1)-1)/2)+Sales!AD$4,0)=EOMONTH($CH$1,0),Sales!AD$3*Sales!AD$5,0)+IF(EOMONTH(DATE(YEAR(Sales!$Z$1),MONTH(Sales!$Z$1),1)+INT((DAY(Sales!$Z$1)-1)/2)+Sales!AA$4,0)=EOMONTH($CH$1,0),Sales!AA$3*Sales!AA$5,0)+IF(EOMONTH(DATE(YEAR(Sales!$W$1),MONTH(Sales!$W$1),1)+INT((DAY(Sales!$W$1)-1)/2)+Sales!X$4,0)=EOMONTH($CH$1,0),Sales!X$3*Sales!X$5,0)+IF(EOMONTH(DATE(YEAR(Sales!$T$1),MONTH(Sales!$T$1),1)+INT((DAY(Sales!$T$1)-1)/2)+Sales!U$4,0)=EOMONTH($CH$1,0),Sales!U$3*Sales!U$5,0)+IF(EOMONTH(DATE(YEAR(Sales!$Q$1),MONTH(Sales!$Q$1),1)+INT((DAY(Sales!$Q$1)-1)/2)+Sales!R$4,0)=EOMONTH($CH$1,0),Sales!R$3*Sales!R$5,0)+IF(EOMONTH(DATE(YEAR(Sales!$N$1),MONTH(Sales!$N$1),1)+INT((DAY(Sales!$N$1)-1)/2)+Sales!O$4,0)=EOMONTH($CH$1,0),Sales!O$3*Sales!O$5,0)+IF(EOMONTH(DATE(YEAR(Sales!$K$1),MONTH(Sales!$K$1),1)+INT((DAY(Sales!$K$1)-1)/2)+Sales!L$4,0)=EOMONTH($CH$1,0),Sales!L$3*Sales!L$5,0)+IF(EOMONTH('Cash Drivers'!$DL$30+Sales!DM$4,0)=EOMONTH($CH$1,0),'Cash Drivers'!$DL$31*Sales!DM$5,0),0))</f>
        <v>19</v>
      </c>
      <c r="CJ6" s="23" t="n">
        <f aca="false">ROUND(IF(EOMONTH(DATE(YEAR(Sales!$DL$1),MONTH(Sales!$DL$1),1)+INT((DAY(Sales!$DL$1)-1)/2)+Sales!DN$4,0)=EOMONTH($CH$1,0),Sales!DN$3*Sales!DN$5,0)+IF(EOMONTH(DATE(YEAR(Sales!$DI$1),MONTH(Sales!$DI$1),1)+INT((DAY(Sales!$DI$1)-1)/2)+Sales!DK$4,0)=EOMONTH($CH$1,0),Sales!DK$3*Sales!DK$5,0)+IF(EOMONTH(DATE(YEAR(Sales!$DF$1),MONTH(Sales!$DF$1),1)+INT((DAY(Sales!$DF$1)-1)/2)+Sales!DH$4,0)=EOMONTH($CH$1,0),Sales!DH$3*Sales!DH$5,0)+IF(EOMONTH(DATE(YEAR(Sales!$DC$1),MONTH(Sales!$DC$1),1)+INT((DAY(Sales!$DC$1)-1)/2)+Sales!DE$4,0)=EOMONTH($CH$1,0),Sales!DE$3*Sales!DE$5,0)+IF(EOMONTH(DATE(YEAR(Sales!$CZ$1),MONTH(Sales!$CZ$1),1)+INT((DAY(Sales!$CZ$1)-1)/2)+Sales!DB$4,0)=EOMONTH($CH$1,0),Sales!DB$3*Sales!DB$5,0)+IF(EOMONTH(DATE(YEAR(Sales!$CW$1),MONTH(Sales!$CW$1),1)+INT((DAY(Sales!$CW$1)-1)/2)+Sales!CY$4,0)=EOMONTH($CH$1,0),Sales!CY$3*Sales!CY$5,0)+IF(EOMONTH(DATE(YEAR(Sales!$CT$1),MONTH(Sales!$CT$1),1)+INT((DAY(Sales!$CT$1)-1)/2)+Sales!CV$4,0)=EOMONTH($CH$1,0),Sales!CV$3*Sales!CV$5,0)+IF(EOMONTH(DATE(YEAR(Sales!$CQ$1),MONTH(Sales!$CQ$1),1)+INT((DAY(Sales!$CQ$1)-1)/2)+Sales!CS$4,0)=EOMONTH($CH$1,0),Sales!CS$3*Sales!CS$5,0)+IF(EOMONTH(DATE(YEAR(Sales!$CN$1),MONTH(Sales!$CN$1),1)+INT((DAY(Sales!$CN$1)-1)/2)+Sales!CP$4,0)=EOMONTH($CH$1,0),Sales!CP$3*Sales!CP$5,0)+IF(EOMONTH(DATE(YEAR(Sales!$CK$1),MONTH(Sales!$CK$1),1)+INT((DAY(Sales!$CK$1)-1)/2)+Sales!CM$4,0)=EOMONTH($CH$1,0),Sales!CM$3*Sales!CM$5,0)+IF(EOMONTH(DATE(YEAR(Sales!$CH$1),MONTH(Sales!$CH$1),1)+INT((DAY(Sales!$CH$1)-1)/2)+Sales!CJ$4,0)=EOMONTH($CH$1,0),Sales!CJ$3*Sales!CJ$5,0)+IF(EOMONTH(DATE(YEAR(Sales!$CE$1),MONTH(Sales!$CE$1),1)+INT((DAY(Sales!$CE$1)-1)/2)+Sales!CG$4,0)=EOMONTH($CH$1,0),Sales!CG$3*Sales!CG$5,0)+IF(EOMONTH(DATE(YEAR(Sales!$CB$1),MONTH(Sales!$CB$1),1)+INT((DAY(Sales!$CB$1)-1)/2)+Sales!CD$4,0)=EOMONTH($CH$1,0),Sales!CD$3*Sales!CD$5,0)+IF(EOMONTH(DATE(YEAR(Sales!$BY$1),MONTH(Sales!$BY$1),1)+INT((DAY(Sales!$BY$1)-1)/2)+Sales!CA$4,0)=EOMONTH($CH$1,0),Sales!CA$3*Sales!CA$5,0)+IF(EOMONTH(DATE(YEAR(Sales!$BV$1),MONTH(Sales!$BV$1),1)+INT((DAY(Sales!$BV$1)-1)/2)+Sales!BX$4,0)=EOMONTH($CH$1,0),Sales!BX$3*Sales!BX$5,0)+IF(EOMONTH(DATE(YEAR(Sales!$BS$1),MONTH(Sales!$BS$1),1)+INT((DAY(Sales!$BS$1)-1)/2)+Sales!BU$4,0)=EOMONTH($CH$1,0),Sales!BU$3*Sales!BU$5,0)+IF(EOMONTH(DATE(YEAR(Sales!$BP$1),MONTH(Sales!$BP$1),1)+INT((DAY(Sales!$BP$1)-1)/2)+Sales!BR$4,0)=EOMONTH($CH$1,0),Sales!BR$3*Sales!BR$5,0)+IF(EOMONTH(DATE(YEAR(Sales!$BM$1),MONTH(Sales!$BM$1),1)+INT((DAY(Sales!$BM$1)-1)/2)+Sales!BO$4,0)=EOMONTH($CH$1,0),Sales!BO$3*Sales!BO$5,0)+IF(EOMONTH(DATE(YEAR(Sales!$BJ$1),MONTH(Sales!$BJ$1),1)+INT((DAY(Sales!$BJ$1)-1)/2)+Sales!BL$4,0)=EOMONTH($CH$1,0),Sales!BL$3*Sales!BL$5,0)+IF(EOMONTH(DATE(YEAR(Sales!$BG$1),MONTH(Sales!$BG$1),1)+INT((DAY(Sales!$BG$1)-1)/2)+Sales!BI$4,0)=EOMONTH($CH$1,0),Sales!BI$3*Sales!BI$5,0)+IF(EOMONTH(DATE(YEAR(Sales!$BD$1),MONTH(Sales!$BD$1),1)+INT((DAY(Sales!$BD$1)-1)/2)+Sales!BF$4,0)=EOMONTH($CH$1,0),Sales!BF$3*Sales!BF$5,0)+IF(EOMONTH(DATE(YEAR(Sales!$BA$1),MONTH(Sales!$BA$1),1)+INT((DAY(Sales!$BA$1)-1)/2)+Sales!BC$4,0)=EOMONTH($CH$1,0),Sales!BC$3*Sales!BC$5,0)+IF(EOMONTH(DATE(YEAR(Sales!$AX$1),MONTH(Sales!$AX$1),1)+INT((DAY(Sales!$AX$1)-1)/2)+Sales!AZ$4,0)=EOMONTH($CH$1,0),Sales!AZ$3*Sales!AZ$5,0)+IF(EOMONTH(DATE(YEAR(Sales!$AU$1),MONTH(Sales!$AU$1),1)+INT((DAY(Sales!$AU$1)-1)/2)+Sales!AW$4,0)=EOMONTH($CH$1,0),Sales!AW$3*Sales!AW$5,0)+IF(EOMONTH(DATE(YEAR(Sales!$AR$1),MONTH(Sales!$AR$1),1)+INT((DAY(Sales!$AR$1)-1)/2)+Sales!AT$4,0)=EOMONTH($CH$1,0),Sales!AT$3*Sales!AT$5,0)+IF(EOMONTH(DATE(YEAR(Sales!$AO$1),MONTH(Sales!$AO$1),1)+INT((DAY(Sales!$AO$1)-1)/2)+Sales!AQ$4,0)=EOMONTH($CH$1,0),Sales!AQ$3*Sales!AQ$5,0)+IF(EOMONTH(DATE(YEAR(Sales!$AL$1),MONTH(Sales!$AL$1),1)+INT((DAY(Sales!$AL$1)-1)/2)+Sales!AN$4,0)=EOMONTH($CH$1,0),Sales!AN$3*Sales!AN$5,0)+IF(EOMONTH(DATE(YEAR(Sales!$AI$1),MONTH(Sales!$AI$1),1)+INT((DAY(Sales!$AI$1)-1)/2)+Sales!AK$4,0)=EOMONTH($CH$1,0),Sales!AK$3*Sales!AK$5,0)+IF(EOMONTH(DATE(YEAR(Sales!$AF$1),MONTH(Sales!$AF$1),1)+INT((DAY(Sales!$AF$1)-1)/2)+Sales!AH$4,0)=EOMONTH($CH$1,0),Sales!AH$3*Sales!AH$5,0)+IF(EOMONTH(DATE(YEAR(Sales!$AC$1),MONTH(Sales!$AC$1),1)+INT((DAY(Sales!$AC$1)-1)/2)+Sales!AE$4,0)=EOMONTH($CH$1,0),Sales!AE$3*Sales!AE$5,0)+IF(EOMONTH(DATE(YEAR(Sales!$Z$1),MONTH(Sales!$Z$1),1)+INT((DAY(Sales!$Z$1)-1)/2)+Sales!AB$4,0)=EOMONTH($CH$1,0),Sales!AB$3*Sales!AB$5,0)+IF(EOMONTH(DATE(YEAR(Sales!$W$1),MONTH(Sales!$W$1),1)+INT((DAY(Sales!$W$1)-1)/2)+Sales!Y$4,0)=EOMONTH($CH$1,0),Sales!Y$3*Sales!Y$5,0)+IF(EOMONTH(DATE(YEAR(Sales!$T$1),MONTH(Sales!$T$1),1)+INT((DAY(Sales!$T$1)-1)/2)+Sales!V$4,0)=EOMONTH($CH$1,0),Sales!V$3*Sales!V$5,0)+IF(EOMONTH(DATE(YEAR(Sales!$Q$1),MONTH(Sales!$Q$1),1)+INT((DAY(Sales!$Q$1)-1)/2)+Sales!S$4,0)=EOMONTH($CH$1,0),Sales!S$3*Sales!S$5,0)+IF(EOMONTH(DATE(YEAR(Sales!$N$1),MONTH(Sales!$N$1),1)+INT((DAY(Sales!$N$1)-1)/2)+Sales!P$4,0)=EOMONTH($CH$1,0),Sales!P$3*Sales!P$5,0)+IF(EOMONTH(DATE(YEAR(Sales!$K$1),MONTH(Sales!$K$1),1)+INT((DAY(Sales!$K$1)-1)/2)+Sales!M$4,0)=EOMONTH($CH$1,0),Sales!M$3*Sales!M$5,0)+IF(EOMONTH('Cash Drivers'!$DL$30+Sales!DN$4,0)=EOMONTH($CH$1,0),'Cash Drivers'!$DL$31*Sales!DN$5,0),0)</f>
        <v>19</v>
      </c>
      <c r="CK6" s="2"/>
      <c r="CL6" s="2" t="n">
        <f aca="false">IF('Cash Drivers'!CL$26,CK6,ROUND(IF(EOMONTH(DATE(YEAR(Sales!$DL$1),MONTH(Sales!$DL$1),1)+INT((DAY(Sales!$DL$1)-1)/2)+Sales!DM$4,0)=EOMONTH($CK$1,0),Sales!DM$3*Sales!DM$5,0)+IF(EOMONTH(DATE(YEAR(Sales!$DI$1),MONTH(Sales!$DI$1),1)+INT((DAY(Sales!$DI$1)-1)/2)+Sales!DJ$4,0)=EOMONTH($CK$1,0),Sales!DJ$3*Sales!DJ$5,0)+IF(EOMONTH(DATE(YEAR(Sales!$DF$1),MONTH(Sales!$DF$1),1)+INT((DAY(Sales!$DF$1)-1)/2)+Sales!DG$4,0)=EOMONTH($CK$1,0),Sales!DG$3*Sales!DG$5,0)+IF(EOMONTH(DATE(YEAR(Sales!$DC$1),MONTH(Sales!$DC$1),1)+INT((DAY(Sales!$DC$1)-1)/2)+Sales!DD$4,0)=EOMONTH($CK$1,0),Sales!DD$3*Sales!DD$5,0)+IF(EOMONTH(DATE(YEAR(Sales!$CZ$1),MONTH(Sales!$CZ$1),1)+INT((DAY(Sales!$CZ$1)-1)/2)+Sales!DA$4,0)=EOMONTH($CK$1,0),Sales!DA$3*Sales!DA$5,0)+IF(EOMONTH(DATE(YEAR(Sales!$CW$1),MONTH(Sales!$CW$1),1)+INT((DAY(Sales!$CW$1)-1)/2)+Sales!CX$4,0)=EOMONTH($CK$1,0),Sales!CX$3*Sales!CX$5,0)+IF(EOMONTH(DATE(YEAR(Sales!$CT$1),MONTH(Sales!$CT$1),1)+INT((DAY(Sales!$CT$1)-1)/2)+Sales!CU$4,0)=EOMONTH($CK$1,0),Sales!CU$3*Sales!CU$5,0)+IF(EOMONTH(DATE(YEAR(Sales!$CQ$1),MONTH(Sales!$CQ$1),1)+INT((DAY(Sales!$CQ$1)-1)/2)+Sales!CR$4,0)=EOMONTH($CK$1,0),Sales!CR$3*Sales!CR$5,0)+IF(EOMONTH(DATE(YEAR(Sales!$CN$1),MONTH(Sales!$CN$1),1)+INT((DAY(Sales!$CN$1)-1)/2)+Sales!CO$4,0)=EOMONTH($CK$1,0),Sales!CO$3*Sales!CO$5,0)+IF(EOMONTH(DATE(YEAR(Sales!$CK$1),MONTH(Sales!$CK$1),1)+INT((DAY(Sales!$CK$1)-1)/2)+Sales!CL$4,0)=EOMONTH($CK$1,0),Sales!CL$3*Sales!CL$5,0)+IF(EOMONTH(DATE(YEAR(Sales!$CH$1),MONTH(Sales!$CH$1),1)+INT((DAY(Sales!$CH$1)-1)/2)+Sales!CI$4,0)=EOMONTH($CK$1,0),Sales!CI$3*Sales!CI$5,0)+IF(EOMONTH(DATE(YEAR(Sales!$CE$1),MONTH(Sales!$CE$1),1)+INT((DAY(Sales!$CE$1)-1)/2)+Sales!CF$4,0)=EOMONTH($CK$1,0),Sales!CF$3*Sales!CF$5,0)+IF(EOMONTH(DATE(YEAR(Sales!$CB$1),MONTH(Sales!$CB$1),1)+INT((DAY(Sales!$CB$1)-1)/2)+Sales!CC$4,0)=EOMONTH($CK$1,0),Sales!CC$3*Sales!CC$5,0)+IF(EOMONTH(DATE(YEAR(Sales!$BY$1),MONTH(Sales!$BY$1),1)+INT((DAY(Sales!$BY$1)-1)/2)+Sales!BZ$4,0)=EOMONTH($CK$1,0),Sales!BZ$3*Sales!BZ$5,0)+IF(EOMONTH(DATE(YEAR(Sales!$BV$1),MONTH(Sales!$BV$1),1)+INT((DAY(Sales!$BV$1)-1)/2)+Sales!BW$4,0)=EOMONTH($CK$1,0),Sales!BW$3*Sales!BW$5,0)+IF(EOMONTH(DATE(YEAR(Sales!$BS$1),MONTH(Sales!$BS$1),1)+INT((DAY(Sales!$BS$1)-1)/2)+Sales!BT$4,0)=EOMONTH($CK$1,0),Sales!BT$3*Sales!BT$5,0)+IF(EOMONTH(DATE(YEAR(Sales!$BP$1),MONTH(Sales!$BP$1),1)+INT((DAY(Sales!$BP$1)-1)/2)+Sales!BQ$4,0)=EOMONTH($CK$1,0),Sales!BQ$3*Sales!BQ$5,0)+IF(EOMONTH(DATE(YEAR(Sales!$BM$1),MONTH(Sales!$BM$1),1)+INT((DAY(Sales!$BM$1)-1)/2)+Sales!BN$4,0)=EOMONTH($CK$1,0),Sales!BN$3*Sales!BN$5,0)+IF(EOMONTH(DATE(YEAR(Sales!$BJ$1),MONTH(Sales!$BJ$1),1)+INT((DAY(Sales!$BJ$1)-1)/2)+Sales!BK$4,0)=EOMONTH($CK$1,0),Sales!BK$3*Sales!BK$5,0)+IF(EOMONTH(DATE(YEAR(Sales!$BG$1),MONTH(Sales!$BG$1),1)+INT((DAY(Sales!$BG$1)-1)/2)+Sales!BH$4,0)=EOMONTH($CK$1,0),Sales!BH$3*Sales!BH$5,0)+IF(EOMONTH(DATE(YEAR(Sales!$BD$1),MONTH(Sales!$BD$1),1)+INT((DAY(Sales!$BD$1)-1)/2)+Sales!BE$4,0)=EOMONTH($CK$1,0),Sales!BE$3*Sales!BE$5,0)+IF(EOMONTH(DATE(YEAR(Sales!$BA$1),MONTH(Sales!$BA$1),1)+INT((DAY(Sales!$BA$1)-1)/2)+Sales!BB$4,0)=EOMONTH($CK$1,0),Sales!BB$3*Sales!BB$5,0)+IF(EOMONTH(DATE(YEAR(Sales!$AX$1),MONTH(Sales!$AX$1),1)+INT((DAY(Sales!$AX$1)-1)/2)+Sales!AY$4,0)=EOMONTH($CK$1,0),Sales!AY$3*Sales!AY$5,0)+IF(EOMONTH(DATE(YEAR(Sales!$AU$1),MONTH(Sales!$AU$1),1)+INT((DAY(Sales!$AU$1)-1)/2)+Sales!AV$4,0)=EOMONTH($CK$1,0),Sales!AV$3*Sales!AV$5,0)+IF(EOMONTH(DATE(YEAR(Sales!$AR$1),MONTH(Sales!$AR$1),1)+INT((DAY(Sales!$AR$1)-1)/2)+Sales!AS$4,0)=EOMONTH($CK$1,0),Sales!AS$3*Sales!AS$5,0)+IF(EOMONTH(DATE(YEAR(Sales!$AO$1),MONTH(Sales!$AO$1),1)+INT((DAY(Sales!$AO$1)-1)/2)+Sales!AP$4,0)=EOMONTH($CK$1,0),Sales!AP$3*Sales!AP$5,0)+IF(EOMONTH(DATE(YEAR(Sales!$AL$1),MONTH(Sales!$AL$1),1)+INT((DAY(Sales!$AL$1)-1)/2)+Sales!AM$4,0)=EOMONTH($CK$1,0),Sales!AM$3*Sales!AM$5,0)+IF(EOMONTH(DATE(YEAR(Sales!$AI$1),MONTH(Sales!$AI$1),1)+INT((DAY(Sales!$AI$1)-1)/2)+Sales!AJ$4,0)=EOMONTH($CK$1,0),Sales!AJ$3*Sales!AJ$5,0)+IF(EOMONTH(DATE(YEAR(Sales!$AF$1),MONTH(Sales!$AF$1),1)+INT((DAY(Sales!$AF$1)-1)/2)+Sales!AG$4,0)=EOMONTH($CK$1,0),Sales!AG$3*Sales!AG$5,0)+IF(EOMONTH(DATE(YEAR(Sales!$AC$1),MONTH(Sales!$AC$1),1)+INT((DAY(Sales!$AC$1)-1)/2)+Sales!AD$4,0)=EOMONTH($CK$1,0),Sales!AD$3*Sales!AD$5,0)+IF(EOMONTH(DATE(YEAR(Sales!$Z$1),MONTH(Sales!$Z$1),1)+INT((DAY(Sales!$Z$1)-1)/2)+Sales!AA$4,0)=EOMONTH($CK$1,0),Sales!AA$3*Sales!AA$5,0)+IF(EOMONTH(DATE(YEAR(Sales!$W$1),MONTH(Sales!$W$1),1)+INT((DAY(Sales!$W$1)-1)/2)+Sales!X$4,0)=EOMONTH($CK$1,0),Sales!X$3*Sales!X$5,0)+IF(EOMONTH(DATE(YEAR(Sales!$T$1),MONTH(Sales!$T$1),1)+INT((DAY(Sales!$T$1)-1)/2)+Sales!U$4,0)=EOMONTH($CK$1,0),Sales!U$3*Sales!U$5,0)+IF(EOMONTH(DATE(YEAR(Sales!$Q$1),MONTH(Sales!$Q$1),1)+INT((DAY(Sales!$Q$1)-1)/2)+Sales!R$4,0)=EOMONTH($CK$1,0),Sales!R$3*Sales!R$5,0)+IF(EOMONTH(DATE(YEAR(Sales!$N$1),MONTH(Sales!$N$1),1)+INT((DAY(Sales!$N$1)-1)/2)+Sales!O$4,0)=EOMONTH($CK$1,0),Sales!O$3*Sales!O$5,0)+IF(EOMONTH(DATE(YEAR(Sales!$K$1),MONTH(Sales!$K$1),1)+INT((DAY(Sales!$K$1)-1)/2)+Sales!L$4,0)=EOMONTH($CK$1,0),Sales!L$3*Sales!L$5,0)+IF(EOMONTH('Cash Drivers'!$DL$30+Sales!DM$4,0)=EOMONTH($CK$1,0),'Cash Drivers'!$DL$31*Sales!DM$5,0),0))</f>
        <v>19</v>
      </c>
      <c r="CM6" s="2" t="n">
        <f aca="false">ROUND(IF(EOMONTH(DATE(YEAR(Sales!$DL$1),MONTH(Sales!$DL$1),1)+INT((DAY(Sales!$DL$1)-1)/2)+Sales!DN$4,0)=EOMONTH($CK$1,0),Sales!DN$3*Sales!DN$5,0)+IF(EOMONTH(DATE(YEAR(Sales!$DI$1),MONTH(Sales!$DI$1),1)+INT((DAY(Sales!$DI$1)-1)/2)+Sales!DK$4,0)=EOMONTH($CK$1,0),Sales!DK$3*Sales!DK$5,0)+IF(EOMONTH(DATE(YEAR(Sales!$DF$1),MONTH(Sales!$DF$1),1)+INT((DAY(Sales!$DF$1)-1)/2)+Sales!DH$4,0)=EOMONTH($CK$1,0),Sales!DH$3*Sales!DH$5,0)+IF(EOMONTH(DATE(YEAR(Sales!$DC$1),MONTH(Sales!$DC$1),1)+INT((DAY(Sales!$DC$1)-1)/2)+Sales!DE$4,0)=EOMONTH($CK$1,0),Sales!DE$3*Sales!DE$5,0)+IF(EOMONTH(DATE(YEAR(Sales!$CZ$1),MONTH(Sales!$CZ$1),1)+INT((DAY(Sales!$CZ$1)-1)/2)+Sales!DB$4,0)=EOMONTH($CK$1,0),Sales!DB$3*Sales!DB$5,0)+IF(EOMONTH(DATE(YEAR(Sales!$CW$1),MONTH(Sales!$CW$1),1)+INT((DAY(Sales!$CW$1)-1)/2)+Sales!CY$4,0)=EOMONTH($CK$1,0),Sales!CY$3*Sales!CY$5,0)+IF(EOMONTH(DATE(YEAR(Sales!$CT$1),MONTH(Sales!$CT$1),1)+INT((DAY(Sales!$CT$1)-1)/2)+Sales!CV$4,0)=EOMONTH($CK$1,0),Sales!CV$3*Sales!CV$5,0)+IF(EOMONTH(DATE(YEAR(Sales!$CQ$1),MONTH(Sales!$CQ$1),1)+INT((DAY(Sales!$CQ$1)-1)/2)+Sales!CS$4,0)=EOMONTH($CK$1,0),Sales!CS$3*Sales!CS$5,0)+IF(EOMONTH(DATE(YEAR(Sales!$CN$1),MONTH(Sales!$CN$1),1)+INT((DAY(Sales!$CN$1)-1)/2)+Sales!CP$4,0)=EOMONTH($CK$1,0),Sales!CP$3*Sales!CP$5,0)+IF(EOMONTH(DATE(YEAR(Sales!$CK$1),MONTH(Sales!$CK$1),1)+INT((DAY(Sales!$CK$1)-1)/2)+Sales!CM$4,0)=EOMONTH($CK$1,0),Sales!CM$3*Sales!CM$5,0)+IF(EOMONTH(DATE(YEAR(Sales!$CH$1),MONTH(Sales!$CH$1),1)+INT((DAY(Sales!$CH$1)-1)/2)+Sales!CJ$4,0)=EOMONTH($CK$1,0),Sales!CJ$3*Sales!CJ$5,0)+IF(EOMONTH(DATE(YEAR(Sales!$CE$1),MONTH(Sales!$CE$1),1)+INT((DAY(Sales!$CE$1)-1)/2)+Sales!CG$4,0)=EOMONTH($CK$1,0),Sales!CG$3*Sales!CG$5,0)+IF(EOMONTH(DATE(YEAR(Sales!$CB$1),MONTH(Sales!$CB$1),1)+INT((DAY(Sales!$CB$1)-1)/2)+Sales!CD$4,0)=EOMONTH($CK$1,0),Sales!CD$3*Sales!CD$5,0)+IF(EOMONTH(DATE(YEAR(Sales!$BY$1),MONTH(Sales!$BY$1),1)+INT((DAY(Sales!$BY$1)-1)/2)+Sales!CA$4,0)=EOMONTH($CK$1,0),Sales!CA$3*Sales!CA$5,0)+IF(EOMONTH(DATE(YEAR(Sales!$BV$1),MONTH(Sales!$BV$1),1)+INT((DAY(Sales!$BV$1)-1)/2)+Sales!BX$4,0)=EOMONTH($CK$1,0),Sales!BX$3*Sales!BX$5,0)+IF(EOMONTH(DATE(YEAR(Sales!$BS$1),MONTH(Sales!$BS$1),1)+INT((DAY(Sales!$BS$1)-1)/2)+Sales!BU$4,0)=EOMONTH($CK$1,0),Sales!BU$3*Sales!BU$5,0)+IF(EOMONTH(DATE(YEAR(Sales!$BP$1),MONTH(Sales!$BP$1),1)+INT((DAY(Sales!$BP$1)-1)/2)+Sales!BR$4,0)=EOMONTH($CK$1,0),Sales!BR$3*Sales!BR$5,0)+IF(EOMONTH(DATE(YEAR(Sales!$BM$1),MONTH(Sales!$BM$1),1)+INT((DAY(Sales!$BM$1)-1)/2)+Sales!BO$4,0)=EOMONTH($CK$1,0),Sales!BO$3*Sales!BO$5,0)+IF(EOMONTH(DATE(YEAR(Sales!$BJ$1),MONTH(Sales!$BJ$1),1)+INT((DAY(Sales!$BJ$1)-1)/2)+Sales!BL$4,0)=EOMONTH($CK$1,0),Sales!BL$3*Sales!BL$5,0)+IF(EOMONTH(DATE(YEAR(Sales!$BG$1),MONTH(Sales!$BG$1),1)+INT((DAY(Sales!$BG$1)-1)/2)+Sales!BI$4,0)=EOMONTH($CK$1,0),Sales!BI$3*Sales!BI$5,0)+IF(EOMONTH(DATE(YEAR(Sales!$BD$1),MONTH(Sales!$BD$1),1)+INT((DAY(Sales!$BD$1)-1)/2)+Sales!BF$4,0)=EOMONTH($CK$1,0),Sales!BF$3*Sales!BF$5,0)+IF(EOMONTH(DATE(YEAR(Sales!$BA$1),MONTH(Sales!$BA$1),1)+INT((DAY(Sales!$BA$1)-1)/2)+Sales!BC$4,0)=EOMONTH($CK$1,0),Sales!BC$3*Sales!BC$5,0)+IF(EOMONTH(DATE(YEAR(Sales!$AX$1),MONTH(Sales!$AX$1),1)+INT((DAY(Sales!$AX$1)-1)/2)+Sales!AZ$4,0)=EOMONTH($CK$1,0),Sales!AZ$3*Sales!AZ$5,0)+IF(EOMONTH(DATE(YEAR(Sales!$AU$1),MONTH(Sales!$AU$1),1)+INT((DAY(Sales!$AU$1)-1)/2)+Sales!AW$4,0)=EOMONTH($CK$1,0),Sales!AW$3*Sales!AW$5,0)+IF(EOMONTH(DATE(YEAR(Sales!$AR$1),MONTH(Sales!$AR$1),1)+INT((DAY(Sales!$AR$1)-1)/2)+Sales!AT$4,0)=EOMONTH($CK$1,0),Sales!AT$3*Sales!AT$5,0)+IF(EOMONTH(DATE(YEAR(Sales!$AO$1),MONTH(Sales!$AO$1),1)+INT((DAY(Sales!$AO$1)-1)/2)+Sales!AQ$4,0)=EOMONTH($CK$1,0),Sales!AQ$3*Sales!AQ$5,0)+IF(EOMONTH(DATE(YEAR(Sales!$AL$1),MONTH(Sales!$AL$1),1)+INT((DAY(Sales!$AL$1)-1)/2)+Sales!AN$4,0)=EOMONTH($CK$1,0),Sales!AN$3*Sales!AN$5,0)+IF(EOMONTH(DATE(YEAR(Sales!$AI$1),MONTH(Sales!$AI$1),1)+INT((DAY(Sales!$AI$1)-1)/2)+Sales!AK$4,0)=EOMONTH($CK$1,0),Sales!AK$3*Sales!AK$5,0)+IF(EOMONTH(DATE(YEAR(Sales!$AF$1),MONTH(Sales!$AF$1),1)+INT((DAY(Sales!$AF$1)-1)/2)+Sales!AH$4,0)=EOMONTH($CK$1,0),Sales!AH$3*Sales!AH$5,0)+IF(EOMONTH(DATE(YEAR(Sales!$AC$1),MONTH(Sales!$AC$1),1)+INT((DAY(Sales!$AC$1)-1)/2)+Sales!AE$4,0)=EOMONTH($CK$1,0),Sales!AE$3*Sales!AE$5,0)+IF(EOMONTH(DATE(YEAR(Sales!$Z$1),MONTH(Sales!$Z$1),1)+INT((DAY(Sales!$Z$1)-1)/2)+Sales!AB$4,0)=EOMONTH($CK$1,0),Sales!AB$3*Sales!AB$5,0)+IF(EOMONTH(DATE(YEAR(Sales!$W$1),MONTH(Sales!$W$1),1)+INT((DAY(Sales!$W$1)-1)/2)+Sales!Y$4,0)=EOMONTH($CK$1,0),Sales!Y$3*Sales!Y$5,0)+IF(EOMONTH(DATE(YEAR(Sales!$T$1),MONTH(Sales!$T$1),1)+INT((DAY(Sales!$T$1)-1)/2)+Sales!V$4,0)=EOMONTH($CK$1,0),Sales!V$3*Sales!V$5,0)+IF(EOMONTH(DATE(YEAR(Sales!$Q$1),MONTH(Sales!$Q$1),1)+INT((DAY(Sales!$Q$1)-1)/2)+Sales!S$4,0)=EOMONTH($CK$1,0),Sales!S$3*Sales!S$5,0)+IF(EOMONTH(DATE(YEAR(Sales!$N$1),MONTH(Sales!$N$1),1)+INT((DAY(Sales!$N$1)-1)/2)+Sales!P$4,0)=EOMONTH($CK$1,0),Sales!P$3*Sales!P$5,0)+IF(EOMONTH(DATE(YEAR(Sales!$K$1),MONTH(Sales!$K$1),1)+INT((DAY(Sales!$K$1)-1)/2)+Sales!M$4,0)=EOMONTH($CK$1,0),Sales!M$3*Sales!M$5,0)+IF(EOMONTH('Cash Drivers'!$DL$30+Sales!DN$4,0)=EOMONTH($CK$1,0),'Cash Drivers'!$DL$31*Sales!DN$5,0),0)</f>
        <v>19</v>
      </c>
      <c r="CN6" s="23"/>
      <c r="CO6" s="23" t="n">
        <f aca="false">IF('Cash Drivers'!CO$26,CN6,ROUND(IF(EOMONTH(DATE(YEAR(Sales!$DL$1),MONTH(Sales!$DL$1),1)+INT((DAY(Sales!$DL$1)-1)/2)+Sales!DM$4,0)=EOMONTH($CN$1,0),Sales!DM$3*Sales!DM$5,0)+IF(EOMONTH(DATE(YEAR(Sales!$DI$1),MONTH(Sales!$DI$1),1)+INT((DAY(Sales!$DI$1)-1)/2)+Sales!DJ$4,0)=EOMONTH($CN$1,0),Sales!DJ$3*Sales!DJ$5,0)+IF(EOMONTH(DATE(YEAR(Sales!$DF$1),MONTH(Sales!$DF$1),1)+INT((DAY(Sales!$DF$1)-1)/2)+Sales!DG$4,0)=EOMONTH($CN$1,0),Sales!DG$3*Sales!DG$5,0)+IF(EOMONTH(DATE(YEAR(Sales!$DC$1),MONTH(Sales!$DC$1),1)+INT((DAY(Sales!$DC$1)-1)/2)+Sales!DD$4,0)=EOMONTH($CN$1,0),Sales!DD$3*Sales!DD$5,0)+IF(EOMONTH(DATE(YEAR(Sales!$CZ$1),MONTH(Sales!$CZ$1),1)+INT((DAY(Sales!$CZ$1)-1)/2)+Sales!DA$4,0)=EOMONTH($CN$1,0),Sales!DA$3*Sales!DA$5,0)+IF(EOMONTH(DATE(YEAR(Sales!$CW$1),MONTH(Sales!$CW$1),1)+INT((DAY(Sales!$CW$1)-1)/2)+Sales!CX$4,0)=EOMONTH($CN$1,0),Sales!CX$3*Sales!CX$5,0)+IF(EOMONTH(DATE(YEAR(Sales!$CT$1),MONTH(Sales!$CT$1),1)+INT((DAY(Sales!$CT$1)-1)/2)+Sales!CU$4,0)=EOMONTH($CN$1,0),Sales!CU$3*Sales!CU$5,0)+IF(EOMONTH(DATE(YEAR(Sales!$CQ$1),MONTH(Sales!$CQ$1),1)+INT((DAY(Sales!$CQ$1)-1)/2)+Sales!CR$4,0)=EOMONTH($CN$1,0),Sales!CR$3*Sales!CR$5,0)+IF(EOMONTH(DATE(YEAR(Sales!$CN$1),MONTH(Sales!$CN$1),1)+INT((DAY(Sales!$CN$1)-1)/2)+Sales!CO$4,0)=EOMONTH($CN$1,0),Sales!CO$3*Sales!CO$5,0)+IF(EOMONTH(DATE(YEAR(Sales!$CK$1),MONTH(Sales!$CK$1),1)+INT((DAY(Sales!$CK$1)-1)/2)+Sales!CL$4,0)=EOMONTH($CN$1,0),Sales!CL$3*Sales!CL$5,0)+IF(EOMONTH(DATE(YEAR(Sales!$CH$1),MONTH(Sales!$CH$1),1)+INT((DAY(Sales!$CH$1)-1)/2)+Sales!CI$4,0)=EOMONTH($CN$1,0),Sales!CI$3*Sales!CI$5,0)+IF(EOMONTH(DATE(YEAR(Sales!$CE$1),MONTH(Sales!$CE$1),1)+INT((DAY(Sales!$CE$1)-1)/2)+Sales!CF$4,0)=EOMONTH($CN$1,0),Sales!CF$3*Sales!CF$5,0)+IF(EOMONTH(DATE(YEAR(Sales!$CB$1),MONTH(Sales!$CB$1),1)+INT((DAY(Sales!$CB$1)-1)/2)+Sales!CC$4,0)=EOMONTH($CN$1,0),Sales!CC$3*Sales!CC$5,0)+IF(EOMONTH(DATE(YEAR(Sales!$BY$1),MONTH(Sales!$BY$1),1)+INT((DAY(Sales!$BY$1)-1)/2)+Sales!BZ$4,0)=EOMONTH($CN$1,0),Sales!BZ$3*Sales!BZ$5,0)+IF(EOMONTH(DATE(YEAR(Sales!$BV$1),MONTH(Sales!$BV$1),1)+INT((DAY(Sales!$BV$1)-1)/2)+Sales!BW$4,0)=EOMONTH($CN$1,0),Sales!BW$3*Sales!BW$5,0)+IF(EOMONTH(DATE(YEAR(Sales!$BS$1),MONTH(Sales!$BS$1),1)+INT((DAY(Sales!$BS$1)-1)/2)+Sales!BT$4,0)=EOMONTH($CN$1,0),Sales!BT$3*Sales!BT$5,0)+IF(EOMONTH(DATE(YEAR(Sales!$BP$1),MONTH(Sales!$BP$1),1)+INT((DAY(Sales!$BP$1)-1)/2)+Sales!BQ$4,0)=EOMONTH($CN$1,0),Sales!BQ$3*Sales!BQ$5,0)+IF(EOMONTH(DATE(YEAR(Sales!$BM$1),MONTH(Sales!$BM$1),1)+INT((DAY(Sales!$BM$1)-1)/2)+Sales!BN$4,0)=EOMONTH($CN$1,0),Sales!BN$3*Sales!BN$5,0)+IF(EOMONTH(DATE(YEAR(Sales!$BJ$1),MONTH(Sales!$BJ$1),1)+INT((DAY(Sales!$BJ$1)-1)/2)+Sales!BK$4,0)=EOMONTH($CN$1,0),Sales!BK$3*Sales!BK$5,0)+IF(EOMONTH(DATE(YEAR(Sales!$BG$1),MONTH(Sales!$BG$1),1)+INT((DAY(Sales!$BG$1)-1)/2)+Sales!BH$4,0)=EOMONTH($CN$1,0),Sales!BH$3*Sales!BH$5,0)+IF(EOMONTH(DATE(YEAR(Sales!$BD$1),MONTH(Sales!$BD$1),1)+INT((DAY(Sales!$BD$1)-1)/2)+Sales!BE$4,0)=EOMONTH($CN$1,0),Sales!BE$3*Sales!BE$5,0)+IF(EOMONTH(DATE(YEAR(Sales!$BA$1),MONTH(Sales!$BA$1),1)+INT((DAY(Sales!$BA$1)-1)/2)+Sales!BB$4,0)=EOMONTH($CN$1,0),Sales!BB$3*Sales!BB$5,0)+IF(EOMONTH(DATE(YEAR(Sales!$AX$1),MONTH(Sales!$AX$1),1)+INT((DAY(Sales!$AX$1)-1)/2)+Sales!AY$4,0)=EOMONTH($CN$1,0),Sales!AY$3*Sales!AY$5,0)+IF(EOMONTH(DATE(YEAR(Sales!$AU$1),MONTH(Sales!$AU$1),1)+INT((DAY(Sales!$AU$1)-1)/2)+Sales!AV$4,0)=EOMONTH($CN$1,0),Sales!AV$3*Sales!AV$5,0)+IF(EOMONTH(DATE(YEAR(Sales!$AR$1),MONTH(Sales!$AR$1),1)+INT((DAY(Sales!$AR$1)-1)/2)+Sales!AS$4,0)=EOMONTH($CN$1,0),Sales!AS$3*Sales!AS$5,0)+IF(EOMONTH(DATE(YEAR(Sales!$AO$1),MONTH(Sales!$AO$1),1)+INT((DAY(Sales!$AO$1)-1)/2)+Sales!AP$4,0)=EOMONTH($CN$1,0),Sales!AP$3*Sales!AP$5,0)+IF(EOMONTH(DATE(YEAR(Sales!$AL$1),MONTH(Sales!$AL$1),1)+INT((DAY(Sales!$AL$1)-1)/2)+Sales!AM$4,0)=EOMONTH($CN$1,0),Sales!AM$3*Sales!AM$5,0)+IF(EOMONTH(DATE(YEAR(Sales!$AI$1),MONTH(Sales!$AI$1),1)+INT((DAY(Sales!$AI$1)-1)/2)+Sales!AJ$4,0)=EOMONTH($CN$1,0),Sales!AJ$3*Sales!AJ$5,0)+IF(EOMONTH(DATE(YEAR(Sales!$AF$1),MONTH(Sales!$AF$1),1)+INT((DAY(Sales!$AF$1)-1)/2)+Sales!AG$4,0)=EOMONTH($CN$1,0),Sales!AG$3*Sales!AG$5,0)+IF(EOMONTH(DATE(YEAR(Sales!$AC$1),MONTH(Sales!$AC$1),1)+INT((DAY(Sales!$AC$1)-1)/2)+Sales!AD$4,0)=EOMONTH($CN$1,0),Sales!AD$3*Sales!AD$5,0)+IF(EOMONTH(DATE(YEAR(Sales!$Z$1),MONTH(Sales!$Z$1),1)+INT((DAY(Sales!$Z$1)-1)/2)+Sales!AA$4,0)=EOMONTH($CN$1,0),Sales!AA$3*Sales!AA$5,0)+IF(EOMONTH(DATE(YEAR(Sales!$W$1),MONTH(Sales!$W$1),1)+INT((DAY(Sales!$W$1)-1)/2)+Sales!X$4,0)=EOMONTH($CN$1,0),Sales!X$3*Sales!X$5,0)+IF(EOMONTH(DATE(YEAR(Sales!$T$1),MONTH(Sales!$T$1),1)+INT((DAY(Sales!$T$1)-1)/2)+Sales!U$4,0)=EOMONTH($CN$1,0),Sales!U$3*Sales!U$5,0)+IF(EOMONTH(DATE(YEAR(Sales!$Q$1),MONTH(Sales!$Q$1),1)+INT((DAY(Sales!$Q$1)-1)/2)+Sales!R$4,0)=EOMONTH($CN$1,0),Sales!R$3*Sales!R$5,0)+IF(EOMONTH(DATE(YEAR(Sales!$N$1),MONTH(Sales!$N$1),1)+INT((DAY(Sales!$N$1)-1)/2)+Sales!O$4,0)=EOMONTH($CN$1,0),Sales!O$3*Sales!O$5,0)+IF(EOMONTH(DATE(YEAR(Sales!$K$1),MONTH(Sales!$K$1),1)+INT((DAY(Sales!$K$1)-1)/2)+Sales!L$4,0)=EOMONTH($CN$1,0),Sales!L$3*Sales!L$5,0)+IF(EOMONTH('Cash Drivers'!$DL$30+Sales!DM$4,0)=EOMONTH($CN$1,0),'Cash Drivers'!$DL$31*Sales!DM$5,0),0))</f>
        <v>19</v>
      </c>
      <c r="CP6" s="23" t="n">
        <f aca="false">ROUND(IF(EOMONTH(DATE(YEAR(Sales!$DL$1),MONTH(Sales!$DL$1),1)+INT((DAY(Sales!$DL$1)-1)/2)+Sales!DN$4,0)=EOMONTH($CN$1,0),Sales!DN$3*Sales!DN$5,0)+IF(EOMONTH(DATE(YEAR(Sales!$DI$1),MONTH(Sales!$DI$1),1)+INT((DAY(Sales!$DI$1)-1)/2)+Sales!DK$4,0)=EOMONTH($CN$1,0),Sales!DK$3*Sales!DK$5,0)+IF(EOMONTH(DATE(YEAR(Sales!$DF$1),MONTH(Sales!$DF$1),1)+INT((DAY(Sales!$DF$1)-1)/2)+Sales!DH$4,0)=EOMONTH($CN$1,0),Sales!DH$3*Sales!DH$5,0)+IF(EOMONTH(DATE(YEAR(Sales!$DC$1),MONTH(Sales!$DC$1),1)+INT((DAY(Sales!$DC$1)-1)/2)+Sales!DE$4,0)=EOMONTH($CN$1,0),Sales!DE$3*Sales!DE$5,0)+IF(EOMONTH(DATE(YEAR(Sales!$CZ$1),MONTH(Sales!$CZ$1),1)+INT((DAY(Sales!$CZ$1)-1)/2)+Sales!DB$4,0)=EOMONTH($CN$1,0),Sales!DB$3*Sales!DB$5,0)+IF(EOMONTH(DATE(YEAR(Sales!$CW$1),MONTH(Sales!$CW$1),1)+INT((DAY(Sales!$CW$1)-1)/2)+Sales!CY$4,0)=EOMONTH($CN$1,0),Sales!CY$3*Sales!CY$5,0)+IF(EOMONTH(DATE(YEAR(Sales!$CT$1),MONTH(Sales!$CT$1),1)+INT((DAY(Sales!$CT$1)-1)/2)+Sales!CV$4,0)=EOMONTH($CN$1,0),Sales!CV$3*Sales!CV$5,0)+IF(EOMONTH(DATE(YEAR(Sales!$CQ$1),MONTH(Sales!$CQ$1),1)+INT((DAY(Sales!$CQ$1)-1)/2)+Sales!CS$4,0)=EOMONTH($CN$1,0),Sales!CS$3*Sales!CS$5,0)+IF(EOMONTH(DATE(YEAR(Sales!$CN$1),MONTH(Sales!$CN$1),1)+INT((DAY(Sales!$CN$1)-1)/2)+Sales!CP$4,0)=EOMONTH($CN$1,0),Sales!CP$3*Sales!CP$5,0)+IF(EOMONTH(DATE(YEAR(Sales!$CK$1),MONTH(Sales!$CK$1),1)+INT((DAY(Sales!$CK$1)-1)/2)+Sales!CM$4,0)=EOMONTH($CN$1,0),Sales!CM$3*Sales!CM$5,0)+IF(EOMONTH(DATE(YEAR(Sales!$CH$1),MONTH(Sales!$CH$1),1)+INT((DAY(Sales!$CH$1)-1)/2)+Sales!CJ$4,0)=EOMONTH($CN$1,0),Sales!CJ$3*Sales!CJ$5,0)+IF(EOMONTH(DATE(YEAR(Sales!$CE$1),MONTH(Sales!$CE$1),1)+INT((DAY(Sales!$CE$1)-1)/2)+Sales!CG$4,0)=EOMONTH($CN$1,0),Sales!CG$3*Sales!CG$5,0)+IF(EOMONTH(DATE(YEAR(Sales!$CB$1),MONTH(Sales!$CB$1),1)+INT((DAY(Sales!$CB$1)-1)/2)+Sales!CD$4,0)=EOMONTH($CN$1,0),Sales!CD$3*Sales!CD$5,0)+IF(EOMONTH(DATE(YEAR(Sales!$BY$1),MONTH(Sales!$BY$1),1)+INT((DAY(Sales!$BY$1)-1)/2)+Sales!CA$4,0)=EOMONTH($CN$1,0),Sales!CA$3*Sales!CA$5,0)+IF(EOMONTH(DATE(YEAR(Sales!$BV$1),MONTH(Sales!$BV$1),1)+INT((DAY(Sales!$BV$1)-1)/2)+Sales!BX$4,0)=EOMONTH($CN$1,0),Sales!BX$3*Sales!BX$5,0)+IF(EOMONTH(DATE(YEAR(Sales!$BS$1),MONTH(Sales!$BS$1),1)+INT((DAY(Sales!$BS$1)-1)/2)+Sales!BU$4,0)=EOMONTH($CN$1,0),Sales!BU$3*Sales!BU$5,0)+IF(EOMONTH(DATE(YEAR(Sales!$BP$1),MONTH(Sales!$BP$1),1)+INT((DAY(Sales!$BP$1)-1)/2)+Sales!BR$4,0)=EOMONTH($CN$1,0),Sales!BR$3*Sales!BR$5,0)+IF(EOMONTH(DATE(YEAR(Sales!$BM$1),MONTH(Sales!$BM$1),1)+INT((DAY(Sales!$BM$1)-1)/2)+Sales!BO$4,0)=EOMONTH($CN$1,0),Sales!BO$3*Sales!BO$5,0)+IF(EOMONTH(DATE(YEAR(Sales!$BJ$1),MONTH(Sales!$BJ$1),1)+INT((DAY(Sales!$BJ$1)-1)/2)+Sales!BL$4,0)=EOMONTH($CN$1,0),Sales!BL$3*Sales!BL$5,0)+IF(EOMONTH(DATE(YEAR(Sales!$BG$1),MONTH(Sales!$BG$1),1)+INT((DAY(Sales!$BG$1)-1)/2)+Sales!BI$4,0)=EOMONTH($CN$1,0),Sales!BI$3*Sales!BI$5,0)+IF(EOMONTH(DATE(YEAR(Sales!$BD$1),MONTH(Sales!$BD$1),1)+INT((DAY(Sales!$BD$1)-1)/2)+Sales!BF$4,0)=EOMONTH($CN$1,0),Sales!BF$3*Sales!BF$5,0)+IF(EOMONTH(DATE(YEAR(Sales!$BA$1),MONTH(Sales!$BA$1),1)+INT((DAY(Sales!$BA$1)-1)/2)+Sales!BC$4,0)=EOMONTH($CN$1,0),Sales!BC$3*Sales!BC$5,0)+IF(EOMONTH(DATE(YEAR(Sales!$AX$1),MONTH(Sales!$AX$1),1)+INT((DAY(Sales!$AX$1)-1)/2)+Sales!AZ$4,0)=EOMONTH($CN$1,0),Sales!AZ$3*Sales!AZ$5,0)+IF(EOMONTH(DATE(YEAR(Sales!$AU$1),MONTH(Sales!$AU$1),1)+INT((DAY(Sales!$AU$1)-1)/2)+Sales!AW$4,0)=EOMONTH($CN$1,0),Sales!AW$3*Sales!AW$5,0)+IF(EOMONTH(DATE(YEAR(Sales!$AR$1),MONTH(Sales!$AR$1),1)+INT((DAY(Sales!$AR$1)-1)/2)+Sales!AT$4,0)=EOMONTH($CN$1,0),Sales!AT$3*Sales!AT$5,0)+IF(EOMONTH(DATE(YEAR(Sales!$AO$1),MONTH(Sales!$AO$1),1)+INT((DAY(Sales!$AO$1)-1)/2)+Sales!AQ$4,0)=EOMONTH($CN$1,0),Sales!AQ$3*Sales!AQ$5,0)+IF(EOMONTH(DATE(YEAR(Sales!$AL$1),MONTH(Sales!$AL$1),1)+INT((DAY(Sales!$AL$1)-1)/2)+Sales!AN$4,0)=EOMONTH($CN$1,0),Sales!AN$3*Sales!AN$5,0)+IF(EOMONTH(DATE(YEAR(Sales!$AI$1),MONTH(Sales!$AI$1),1)+INT((DAY(Sales!$AI$1)-1)/2)+Sales!AK$4,0)=EOMONTH($CN$1,0),Sales!AK$3*Sales!AK$5,0)+IF(EOMONTH(DATE(YEAR(Sales!$AF$1),MONTH(Sales!$AF$1),1)+INT((DAY(Sales!$AF$1)-1)/2)+Sales!AH$4,0)=EOMONTH($CN$1,0),Sales!AH$3*Sales!AH$5,0)+IF(EOMONTH(DATE(YEAR(Sales!$AC$1),MONTH(Sales!$AC$1),1)+INT((DAY(Sales!$AC$1)-1)/2)+Sales!AE$4,0)=EOMONTH($CN$1,0),Sales!AE$3*Sales!AE$5,0)+IF(EOMONTH(DATE(YEAR(Sales!$Z$1),MONTH(Sales!$Z$1),1)+INT((DAY(Sales!$Z$1)-1)/2)+Sales!AB$4,0)=EOMONTH($CN$1,0),Sales!AB$3*Sales!AB$5,0)+IF(EOMONTH(DATE(YEAR(Sales!$W$1),MONTH(Sales!$W$1),1)+INT((DAY(Sales!$W$1)-1)/2)+Sales!Y$4,0)=EOMONTH($CN$1,0),Sales!Y$3*Sales!Y$5,0)+IF(EOMONTH(DATE(YEAR(Sales!$T$1),MONTH(Sales!$T$1),1)+INT((DAY(Sales!$T$1)-1)/2)+Sales!V$4,0)=EOMONTH($CN$1,0),Sales!V$3*Sales!V$5,0)+IF(EOMONTH(DATE(YEAR(Sales!$Q$1),MONTH(Sales!$Q$1),1)+INT((DAY(Sales!$Q$1)-1)/2)+Sales!S$4,0)=EOMONTH($CN$1,0),Sales!S$3*Sales!S$5,0)+IF(EOMONTH(DATE(YEAR(Sales!$N$1),MONTH(Sales!$N$1),1)+INT((DAY(Sales!$N$1)-1)/2)+Sales!P$4,0)=EOMONTH($CN$1,0),Sales!P$3*Sales!P$5,0)+IF(EOMONTH(DATE(YEAR(Sales!$K$1),MONTH(Sales!$K$1),1)+INT((DAY(Sales!$K$1)-1)/2)+Sales!M$4,0)=EOMONTH($CN$1,0),Sales!M$3*Sales!M$5,0)+IF(EOMONTH('Cash Drivers'!$DL$30+Sales!DN$4,0)=EOMONTH($CN$1,0),'Cash Drivers'!$DL$31*Sales!DN$5,0),0)</f>
        <v>19</v>
      </c>
      <c r="CQ6" s="2"/>
      <c r="CR6" s="2" t="n">
        <f aca="false">IF('Cash Drivers'!CR$26,CQ6,ROUND(IF(EOMONTH(DATE(YEAR(Sales!$DL$1),MONTH(Sales!$DL$1),1)+INT((DAY(Sales!$DL$1)-1)/2)+Sales!DM$4,0)=EOMONTH($CQ$1,0),Sales!DM$3*Sales!DM$5,0)+IF(EOMONTH(DATE(YEAR(Sales!$DI$1),MONTH(Sales!$DI$1),1)+INT((DAY(Sales!$DI$1)-1)/2)+Sales!DJ$4,0)=EOMONTH($CQ$1,0),Sales!DJ$3*Sales!DJ$5,0)+IF(EOMONTH(DATE(YEAR(Sales!$DF$1),MONTH(Sales!$DF$1),1)+INT((DAY(Sales!$DF$1)-1)/2)+Sales!DG$4,0)=EOMONTH($CQ$1,0),Sales!DG$3*Sales!DG$5,0)+IF(EOMONTH(DATE(YEAR(Sales!$DC$1),MONTH(Sales!$DC$1),1)+INT((DAY(Sales!$DC$1)-1)/2)+Sales!DD$4,0)=EOMONTH($CQ$1,0),Sales!DD$3*Sales!DD$5,0)+IF(EOMONTH(DATE(YEAR(Sales!$CZ$1),MONTH(Sales!$CZ$1),1)+INT((DAY(Sales!$CZ$1)-1)/2)+Sales!DA$4,0)=EOMONTH($CQ$1,0),Sales!DA$3*Sales!DA$5,0)+IF(EOMONTH(DATE(YEAR(Sales!$CW$1),MONTH(Sales!$CW$1),1)+INT((DAY(Sales!$CW$1)-1)/2)+Sales!CX$4,0)=EOMONTH($CQ$1,0),Sales!CX$3*Sales!CX$5,0)+IF(EOMONTH(DATE(YEAR(Sales!$CT$1),MONTH(Sales!$CT$1),1)+INT((DAY(Sales!$CT$1)-1)/2)+Sales!CU$4,0)=EOMONTH($CQ$1,0),Sales!CU$3*Sales!CU$5,0)+IF(EOMONTH(DATE(YEAR(Sales!$CQ$1),MONTH(Sales!$CQ$1),1)+INT((DAY(Sales!$CQ$1)-1)/2)+Sales!CR$4,0)=EOMONTH($CQ$1,0),Sales!CR$3*Sales!CR$5,0)+IF(EOMONTH(DATE(YEAR(Sales!$CN$1),MONTH(Sales!$CN$1),1)+INT((DAY(Sales!$CN$1)-1)/2)+Sales!CO$4,0)=EOMONTH($CQ$1,0),Sales!CO$3*Sales!CO$5,0)+IF(EOMONTH(DATE(YEAR(Sales!$CK$1),MONTH(Sales!$CK$1),1)+INT((DAY(Sales!$CK$1)-1)/2)+Sales!CL$4,0)=EOMONTH($CQ$1,0),Sales!CL$3*Sales!CL$5,0)+IF(EOMONTH(DATE(YEAR(Sales!$CH$1),MONTH(Sales!$CH$1),1)+INT((DAY(Sales!$CH$1)-1)/2)+Sales!CI$4,0)=EOMONTH($CQ$1,0),Sales!CI$3*Sales!CI$5,0)+IF(EOMONTH(DATE(YEAR(Sales!$CE$1),MONTH(Sales!$CE$1),1)+INT((DAY(Sales!$CE$1)-1)/2)+Sales!CF$4,0)=EOMONTH($CQ$1,0),Sales!CF$3*Sales!CF$5,0)+IF(EOMONTH(DATE(YEAR(Sales!$CB$1),MONTH(Sales!$CB$1),1)+INT((DAY(Sales!$CB$1)-1)/2)+Sales!CC$4,0)=EOMONTH($CQ$1,0),Sales!CC$3*Sales!CC$5,0)+IF(EOMONTH(DATE(YEAR(Sales!$BY$1),MONTH(Sales!$BY$1),1)+INT((DAY(Sales!$BY$1)-1)/2)+Sales!BZ$4,0)=EOMONTH($CQ$1,0),Sales!BZ$3*Sales!BZ$5,0)+IF(EOMONTH(DATE(YEAR(Sales!$BV$1),MONTH(Sales!$BV$1),1)+INT((DAY(Sales!$BV$1)-1)/2)+Sales!BW$4,0)=EOMONTH($CQ$1,0),Sales!BW$3*Sales!BW$5,0)+IF(EOMONTH(DATE(YEAR(Sales!$BS$1),MONTH(Sales!$BS$1),1)+INT((DAY(Sales!$BS$1)-1)/2)+Sales!BT$4,0)=EOMONTH($CQ$1,0),Sales!BT$3*Sales!BT$5,0)+IF(EOMONTH(DATE(YEAR(Sales!$BP$1),MONTH(Sales!$BP$1),1)+INT((DAY(Sales!$BP$1)-1)/2)+Sales!BQ$4,0)=EOMONTH($CQ$1,0),Sales!BQ$3*Sales!BQ$5,0)+IF(EOMONTH(DATE(YEAR(Sales!$BM$1),MONTH(Sales!$BM$1),1)+INT((DAY(Sales!$BM$1)-1)/2)+Sales!BN$4,0)=EOMONTH($CQ$1,0),Sales!BN$3*Sales!BN$5,0)+IF(EOMONTH(DATE(YEAR(Sales!$BJ$1),MONTH(Sales!$BJ$1),1)+INT((DAY(Sales!$BJ$1)-1)/2)+Sales!BK$4,0)=EOMONTH($CQ$1,0),Sales!BK$3*Sales!BK$5,0)+IF(EOMONTH(DATE(YEAR(Sales!$BG$1),MONTH(Sales!$BG$1),1)+INT((DAY(Sales!$BG$1)-1)/2)+Sales!BH$4,0)=EOMONTH($CQ$1,0),Sales!BH$3*Sales!BH$5,0)+IF(EOMONTH(DATE(YEAR(Sales!$BD$1),MONTH(Sales!$BD$1),1)+INT((DAY(Sales!$BD$1)-1)/2)+Sales!BE$4,0)=EOMONTH($CQ$1,0),Sales!BE$3*Sales!BE$5,0)+IF(EOMONTH(DATE(YEAR(Sales!$BA$1),MONTH(Sales!$BA$1),1)+INT((DAY(Sales!$BA$1)-1)/2)+Sales!BB$4,0)=EOMONTH($CQ$1,0),Sales!BB$3*Sales!BB$5,0)+IF(EOMONTH(DATE(YEAR(Sales!$AX$1),MONTH(Sales!$AX$1),1)+INT((DAY(Sales!$AX$1)-1)/2)+Sales!AY$4,0)=EOMONTH($CQ$1,0),Sales!AY$3*Sales!AY$5,0)+IF(EOMONTH(DATE(YEAR(Sales!$AU$1),MONTH(Sales!$AU$1),1)+INT((DAY(Sales!$AU$1)-1)/2)+Sales!AV$4,0)=EOMONTH($CQ$1,0),Sales!AV$3*Sales!AV$5,0)+IF(EOMONTH(DATE(YEAR(Sales!$AR$1),MONTH(Sales!$AR$1),1)+INT((DAY(Sales!$AR$1)-1)/2)+Sales!AS$4,0)=EOMONTH($CQ$1,0),Sales!AS$3*Sales!AS$5,0)+IF(EOMONTH(DATE(YEAR(Sales!$AO$1),MONTH(Sales!$AO$1),1)+INT((DAY(Sales!$AO$1)-1)/2)+Sales!AP$4,0)=EOMONTH($CQ$1,0),Sales!AP$3*Sales!AP$5,0)+IF(EOMONTH(DATE(YEAR(Sales!$AL$1),MONTH(Sales!$AL$1),1)+INT((DAY(Sales!$AL$1)-1)/2)+Sales!AM$4,0)=EOMONTH($CQ$1,0),Sales!AM$3*Sales!AM$5,0)+IF(EOMONTH(DATE(YEAR(Sales!$AI$1),MONTH(Sales!$AI$1),1)+INT((DAY(Sales!$AI$1)-1)/2)+Sales!AJ$4,0)=EOMONTH($CQ$1,0),Sales!AJ$3*Sales!AJ$5,0)+IF(EOMONTH(DATE(YEAR(Sales!$AF$1),MONTH(Sales!$AF$1),1)+INT((DAY(Sales!$AF$1)-1)/2)+Sales!AG$4,0)=EOMONTH($CQ$1,0),Sales!AG$3*Sales!AG$5,0)+IF(EOMONTH(DATE(YEAR(Sales!$AC$1),MONTH(Sales!$AC$1),1)+INT((DAY(Sales!$AC$1)-1)/2)+Sales!AD$4,0)=EOMONTH($CQ$1,0),Sales!AD$3*Sales!AD$5,0)+IF(EOMONTH(DATE(YEAR(Sales!$Z$1),MONTH(Sales!$Z$1),1)+INT((DAY(Sales!$Z$1)-1)/2)+Sales!AA$4,0)=EOMONTH($CQ$1,0),Sales!AA$3*Sales!AA$5,0)+IF(EOMONTH(DATE(YEAR(Sales!$W$1),MONTH(Sales!$W$1),1)+INT((DAY(Sales!$W$1)-1)/2)+Sales!X$4,0)=EOMONTH($CQ$1,0),Sales!X$3*Sales!X$5,0)+IF(EOMONTH(DATE(YEAR(Sales!$T$1),MONTH(Sales!$T$1),1)+INT((DAY(Sales!$T$1)-1)/2)+Sales!U$4,0)=EOMONTH($CQ$1,0),Sales!U$3*Sales!U$5,0)+IF(EOMONTH(DATE(YEAR(Sales!$Q$1),MONTH(Sales!$Q$1),1)+INT((DAY(Sales!$Q$1)-1)/2)+Sales!R$4,0)=EOMONTH($CQ$1,0),Sales!R$3*Sales!R$5,0)+IF(EOMONTH(DATE(YEAR(Sales!$N$1),MONTH(Sales!$N$1),1)+INT((DAY(Sales!$N$1)-1)/2)+Sales!O$4,0)=EOMONTH($CQ$1,0),Sales!O$3*Sales!O$5,0)+IF(EOMONTH(DATE(YEAR(Sales!$K$1),MONTH(Sales!$K$1),1)+INT((DAY(Sales!$K$1)-1)/2)+Sales!L$4,0)=EOMONTH($CQ$1,0),Sales!L$3*Sales!L$5,0)+IF(EOMONTH('Cash Drivers'!$DL$30+Sales!DM$4,0)=EOMONTH($CQ$1,0),'Cash Drivers'!$DL$31*Sales!DM$5,0),0))</f>
        <v>19</v>
      </c>
      <c r="CS6" s="2" t="n">
        <f aca="false">ROUND(IF(EOMONTH(DATE(YEAR(Sales!$DL$1),MONTH(Sales!$DL$1),1)+INT((DAY(Sales!$DL$1)-1)/2)+Sales!DN$4,0)=EOMONTH($CQ$1,0),Sales!DN$3*Sales!DN$5,0)+IF(EOMONTH(DATE(YEAR(Sales!$DI$1),MONTH(Sales!$DI$1),1)+INT((DAY(Sales!$DI$1)-1)/2)+Sales!DK$4,0)=EOMONTH($CQ$1,0),Sales!DK$3*Sales!DK$5,0)+IF(EOMONTH(DATE(YEAR(Sales!$DF$1),MONTH(Sales!$DF$1),1)+INT((DAY(Sales!$DF$1)-1)/2)+Sales!DH$4,0)=EOMONTH($CQ$1,0),Sales!DH$3*Sales!DH$5,0)+IF(EOMONTH(DATE(YEAR(Sales!$DC$1),MONTH(Sales!$DC$1),1)+INT((DAY(Sales!$DC$1)-1)/2)+Sales!DE$4,0)=EOMONTH($CQ$1,0),Sales!DE$3*Sales!DE$5,0)+IF(EOMONTH(DATE(YEAR(Sales!$CZ$1),MONTH(Sales!$CZ$1),1)+INT((DAY(Sales!$CZ$1)-1)/2)+Sales!DB$4,0)=EOMONTH($CQ$1,0),Sales!DB$3*Sales!DB$5,0)+IF(EOMONTH(DATE(YEAR(Sales!$CW$1),MONTH(Sales!$CW$1),1)+INT((DAY(Sales!$CW$1)-1)/2)+Sales!CY$4,0)=EOMONTH($CQ$1,0),Sales!CY$3*Sales!CY$5,0)+IF(EOMONTH(DATE(YEAR(Sales!$CT$1),MONTH(Sales!$CT$1),1)+INT((DAY(Sales!$CT$1)-1)/2)+Sales!CV$4,0)=EOMONTH($CQ$1,0),Sales!CV$3*Sales!CV$5,0)+IF(EOMONTH(DATE(YEAR(Sales!$CQ$1),MONTH(Sales!$CQ$1),1)+INT((DAY(Sales!$CQ$1)-1)/2)+Sales!CS$4,0)=EOMONTH($CQ$1,0),Sales!CS$3*Sales!CS$5,0)+IF(EOMONTH(DATE(YEAR(Sales!$CN$1),MONTH(Sales!$CN$1),1)+INT((DAY(Sales!$CN$1)-1)/2)+Sales!CP$4,0)=EOMONTH($CQ$1,0),Sales!CP$3*Sales!CP$5,0)+IF(EOMONTH(DATE(YEAR(Sales!$CK$1),MONTH(Sales!$CK$1),1)+INT((DAY(Sales!$CK$1)-1)/2)+Sales!CM$4,0)=EOMONTH($CQ$1,0),Sales!CM$3*Sales!CM$5,0)+IF(EOMONTH(DATE(YEAR(Sales!$CH$1),MONTH(Sales!$CH$1),1)+INT((DAY(Sales!$CH$1)-1)/2)+Sales!CJ$4,0)=EOMONTH($CQ$1,0),Sales!CJ$3*Sales!CJ$5,0)+IF(EOMONTH(DATE(YEAR(Sales!$CE$1),MONTH(Sales!$CE$1),1)+INT((DAY(Sales!$CE$1)-1)/2)+Sales!CG$4,0)=EOMONTH($CQ$1,0),Sales!CG$3*Sales!CG$5,0)+IF(EOMONTH(DATE(YEAR(Sales!$CB$1),MONTH(Sales!$CB$1),1)+INT((DAY(Sales!$CB$1)-1)/2)+Sales!CD$4,0)=EOMONTH($CQ$1,0),Sales!CD$3*Sales!CD$5,0)+IF(EOMONTH(DATE(YEAR(Sales!$BY$1),MONTH(Sales!$BY$1),1)+INT((DAY(Sales!$BY$1)-1)/2)+Sales!CA$4,0)=EOMONTH($CQ$1,0),Sales!CA$3*Sales!CA$5,0)+IF(EOMONTH(DATE(YEAR(Sales!$BV$1),MONTH(Sales!$BV$1),1)+INT((DAY(Sales!$BV$1)-1)/2)+Sales!BX$4,0)=EOMONTH($CQ$1,0),Sales!BX$3*Sales!BX$5,0)+IF(EOMONTH(DATE(YEAR(Sales!$BS$1),MONTH(Sales!$BS$1),1)+INT((DAY(Sales!$BS$1)-1)/2)+Sales!BU$4,0)=EOMONTH($CQ$1,0),Sales!BU$3*Sales!BU$5,0)+IF(EOMONTH(DATE(YEAR(Sales!$BP$1),MONTH(Sales!$BP$1),1)+INT((DAY(Sales!$BP$1)-1)/2)+Sales!BR$4,0)=EOMONTH($CQ$1,0),Sales!BR$3*Sales!BR$5,0)+IF(EOMONTH(DATE(YEAR(Sales!$BM$1),MONTH(Sales!$BM$1),1)+INT((DAY(Sales!$BM$1)-1)/2)+Sales!BO$4,0)=EOMONTH($CQ$1,0),Sales!BO$3*Sales!BO$5,0)+IF(EOMONTH(DATE(YEAR(Sales!$BJ$1),MONTH(Sales!$BJ$1),1)+INT((DAY(Sales!$BJ$1)-1)/2)+Sales!BL$4,0)=EOMONTH($CQ$1,0),Sales!BL$3*Sales!BL$5,0)+IF(EOMONTH(DATE(YEAR(Sales!$BG$1),MONTH(Sales!$BG$1),1)+INT((DAY(Sales!$BG$1)-1)/2)+Sales!BI$4,0)=EOMONTH($CQ$1,0),Sales!BI$3*Sales!BI$5,0)+IF(EOMONTH(DATE(YEAR(Sales!$BD$1),MONTH(Sales!$BD$1),1)+INT((DAY(Sales!$BD$1)-1)/2)+Sales!BF$4,0)=EOMONTH($CQ$1,0),Sales!BF$3*Sales!BF$5,0)+IF(EOMONTH(DATE(YEAR(Sales!$BA$1),MONTH(Sales!$BA$1),1)+INT((DAY(Sales!$BA$1)-1)/2)+Sales!BC$4,0)=EOMONTH($CQ$1,0),Sales!BC$3*Sales!BC$5,0)+IF(EOMONTH(DATE(YEAR(Sales!$AX$1),MONTH(Sales!$AX$1),1)+INT((DAY(Sales!$AX$1)-1)/2)+Sales!AZ$4,0)=EOMONTH($CQ$1,0),Sales!AZ$3*Sales!AZ$5,0)+IF(EOMONTH(DATE(YEAR(Sales!$AU$1),MONTH(Sales!$AU$1),1)+INT((DAY(Sales!$AU$1)-1)/2)+Sales!AW$4,0)=EOMONTH($CQ$1,0),Sales!AW$3*Sales!AW$5,0)+IF(EOMONTH(DATE(YEAR(Sales!$AR$1),MONTH(Sales!$AR$1),1)+INT((DAY(Sales!$AR$1)-1)/2)+Sales!AT$4,0)=EOMONTH($CQ$1,0),Sales!AT$3*Sales!AT$5,0)+IF(EOMONTH(DATE(YEAR(Sales!$AO$1),MONTH(Sales!$AO$1),1)+INT((DAY(Sales!$AO$1)-1)/2)+Sales!AQ$4,0)=EOMONTH($CQ$1,0),Sales!AQ$3*Sales!AQ$5,0)+IF(EOMONTH(DATE(YEAR(Sales!$AL$1),MONTH(Sales!$AL$1),1)+INT((DAY(Sales!$AL$1)-1)/2)+Sales!AN$4,0)=EOMONTH($CQ$1,0),Sales!AN$3*Sales!AN$5,0)+IF(EOMONTH(DATE(YEAR(Sales!$AI$1),MONTH(Sales!$AI$1),1)+INT((DAY(Sales!$AI$1)-1)/2)+Sales!AK$4,0)=EOMONTH($CQ$1,0),Sales!AK$3*Sales!AK$5,0)+IF(EOMONTH(DATE(YEAR(Sales!$AF$1),MONTH(Sales!$AF$1),1)+INT((DAY(Sales!$AF$1)-1)/2)+Sales!AH$4,0)=EOMONTH($CQ$1,0),Sales!AH$3*Sales!AH$5,0)+IF(EOMONTH(DATE(YEAR(Sales!$AC$1),MONTH(Sales!$AC$1),1)+INT((DAY(Sales!$AC$1)-1)/2)+Sales!AE$4,0)=EOMONTH($CQ$1,0),Sales!AE$3*Sales!AE$5,0)+IF(EOMONTH(DATE(YEAR(Sales!$Z$1),MONTH(Sales!$Z$1),1)+INT((DAY(Sales!$Z$1)-1)/2)+Sales!AB$4,0)=EOMONTH($CQ$1,0),Sales!AB$3*Sales!AB$5,0)+IF(EOMONTH(DATE(YEAR(Sales!$W$1),MONTH(Sales!$W$1),1)+INT((DAY(Sales!$W$1)-1)/2)+Sales!Y$4,0)=EOMONTH($CQ$1,0),Sales!Y$3*Sales!Y$5,0)+IF(EOMONTH(DATE(YEAR(Sales!$T$1),MONTH(Sales!$T$1),1)+INT((DAY(Sales!$T$1)-1)/2)+Sales!V$4,0)=EOMONTH($CQ$1,0),Sales!V$3*Sales!V$5,0)+IF(EOMONTH(DATE(YEAR(Sales!$Q$1),MONTH(Sales!$Q$1),1)+INT((DAY(Sales!$Q$1)-1)/2)+Sales!S$4,0)=EOMONTH($CQ$1,0),Sales!S$3*Sales!S$5,0)+IF(EOMONTH(DATE(YEAR(Sales!$N$1),MONTH(Sales!$N$1),1)+INT((DAY(Sales!$N$1)-1)/2)+Sales!P$4,0)=EOMONTH($CQ$1,0),Sales!P$3*Sales!P$5,0)+IF(EOMONTH(DATE(YEAR(Sales!$K$1),MONTH(Sales!$K$1),1)+INT((DAY(Sales!$K$1)-1)/2)+Sales!M$4,0)=EOMONTH($CQ$1,0),Sales!M$3*Sales!M$5,0)+IF(EOMONTH('Cash Drivers'!$DL$30+Sales!DN$4,0)=EOMONTH($CQ$1,0),'Cash Drivers'!$DL$31*Sales!DN$5,0),0)</f>
        <v>19</v>
      </c>
      <c r="CT6" s="23"/>
      <c r="CU6" s="23" t="n">
        <f aca="false">IF('Cash Drivers'!CU$26,CT6,ROUND(IF(EOMONTH(DATE(YEAR(Sales!$DL$1),MONTH(Sales!$DL$1),1)+INT((DAY(Sales!$DL$1)-1)/2)+Sales!DM$4,0)=EOMONTH($CT$1,0),Sales!DM$3*Sales!DM$5,0)+IF(EOMONTH(DATE(YEAR(Sales!$DI$1),MONTH(Sales!$DI$1),1)+INT((DAY(Sales!$DI$1)-1)/2)+Sales!DJ$4,0)=EOMONTH($CT$1,0),Sales!DJ$3*Sales!DJ$5,0)+IF(EOMONTH(DATE(YEAR(Sales!$DF$1),MONTH(Sales!$DF$1),1)+INT((DAY(Sales!$DF$1)-1)/2)+Sales!DG$4,0)=EOMONTH($CT$1,0),Sales!DG$3*Sales!DG$5,0)+IF(EOMONTH(DATE(YEAR(Sales!$DC$1),MONTH(Sales!$DC$1),1)+INT((DAY(Sales!$DC$1)-1)/2)+Sales!DD$4,0)=EOMONTH($CT$1,0),Sales!DD$3*Sales!DD$5,0)+IF(EOMONTH(DATE(YEAR(Sales!$CZ$1),MONTH(Sales!$CZ$1),1)+INT((DAY(Sales!$CZ$1)-1)/2)+Sales!DA$4,0)=EOMONTH($CT$1,0),Sales!DA$3*Sales!DA$5,0)+IF(EOMONTH(DATE(YEAR(Sales!$CW$1),MONTH(Sales!$CW$1),1)+INT((DAY(Sales!$CW$1)-1)/2)+Sales!CX$4,0)=EOMONTH($CT$1,0),Sales!CX$3*Sales!CX$5,0)+IF(EOMONTH(DATE(YEAR(Sales!$CT$1),MONTH(Sales!$CT$1),1)+INT((DAY(Sales!$CT$1)-1)/2)+Sales!CU$4,0)=EOMONTH($CT$1,0),Sales!CU$3*Sales!CU$5,0)+IF(EOMONTH(DATE(YEAR(Sales!$CQ$1),MONTH(Sales!$CQ$1),1)+INT((DAY(Sales!$CQ$1)-1)/2)+Sales!CR$4,0)=EOMONTH($CT$1,0),Sales!CR$3*Sales!CR$5,0)+IF(EOMONTH(DATE(YEAR(Sales!$CN$1),MONTH(Sales!$CN$1),1)+INT((DAY(Sales!$CN$1)-1)/2)+Sales!CO$4,0)=EOMONTH($CT$1,0),Sales!CO$3*Sales!CO$5,0)+IF(EOMONTH(DATE(YEAR(Sales!$CK$1),MONTH(Sales!$CK$1),1)+INT((DAY(Sales!$CK$1)-1)/2)+Sales!CL$4,0)=EOMONTH($CT$1,0),Sales!CL$3*Sales!CL$5,0)+IF(EOMONTH(DATE(YEAR(Sales!$CH$1),MONTH(Sales!$CH$1),1)+INT((DAY(Sales!$CH$1)-1)/2)+Sales!CI$4,0)=EOMONTH($CT$1,0),Sales!CI$3*Sales!CI$5,0)+IF(EOMONTH(DATE(YEAR(Sales!$CE$1),MONTH(Sales!$CE$1),1)+INT((DAY(Sales!$CE$1)-1)/2)+Sales!CF$4,0)=EOMONTH($CT$1,0),Sales!CF$3*Sales!CF$5,0)+IF(EOMONTH(DATE(YEAR(Sales!$CB$1),MONTH(Sales!$CB$1),1)+INT((DAY(Sales!$CB$1)-1)/2)+Sales!CC$4,0)=EOMONTH($CT$1,0),Sales!CC$3*Sales!CC$5,0)+IF(EOMONTH(DATE(YEAR(Sales!$BY$1),MONTH(Sales!$BY$1),1)+INT((DAY(Sales!$BY$1)-1)/2)+Sales!BZ$4,0)=EOMONTH($CT$1,0),Sales!BZ$3*Sales!BZ$5,0)+IF(EOMONTH(DATE(YEAR(Sales!$BV$1),MONTH(Sales!$BV$1),1)+INT((DAY(Sales!$BV$1)-1)/2)+Sales!BW$4,0)=EOMONTH($CT$1,0),Sales!BW$3*Sales!BW$5,0)+IF(EOMONTH(DATE(YEAR(Sales!$BS$1),MONTH(Sales!$BS$1),1)+INT((DAY(Sales!$BS$1)-1)/2)+Sales!BT$4,0)=EOMONTH($CT$1,0),Sales!BT$3*Sales!BT$5,0)+IF(EOMONTH(DATE(YEAR(Sales!$BP$1),MONTH(Sales!$BP$1),1)+INT((DAY(Sales!$BP$1)-1)/2)+Sales!BQ$4,0)=EOMONTH($CT$1,0),Sales!BQ$3*Sales!BQ$5,0)+IF(EOMONTH(DATE(YEAR(Sales!$BM$1),MONTH(Sales!$BM$1),1)+INT((DAY(Sales!$BM$1)-1)/2)+Sales!BN$4,0)=EOMONTH($CT$1,0),Sales!BN$3*Sales!BN$5,0)+IF(EOMONTH(DATE(YEAR(Sales!$BJ$1),MONTH(Sales!$BJ$1),1)+INT((DAY(Sales!$BJ$1)-1)/2)+Sales!BK$4,0)=EOMONTH($CT$1,0),Sales!BK$3*Sales!BK$5,0)+IF(EOMONTH(DATE(YEAR(Sales!$BG$1),MONTH(Sales!$BG$1),1)+INT((DAY(Sales!$BG$1)-1)/2)+Sales!BH$4,0)=EOMONTH($CT$1,0),Sales!BH$3*Sales!BH$5,0)+IF(EOMONTH(DATE(YEAR(Sales!$BD$1),MONTH(Sales!$BD$1),1)+INT((DAY(Sales!$BD$1)-1)/2)+Sales!BE$4,0)=EOMONTH($CT$1,0),Sales!BE$3*Sales!BE$5,0)+IF(EOMONTH(DATE(YEAR(Sales!$BA$1),MONTH(Sales!$BA$1),1)+INT((DAY(Sales!$BA$1)-1)/2)+Sales!BB$4,0)=EOMONTH($CT$1,0),Sales!BB$3*Sales!BB$5,0)+IF(EOMONTH(DATE(YEAR(Sales!$AX$1),MONTH(Sales!$AX$1),1)+INT((DAY(Sales!$AX$1)-1)/2)+Sales!AY$4,0)=EOMONTH($CT$1,0),Sales!AY$3*Sales!AY$5,0)+IF(EOMONTH(DATE(YEAR(Sales!$AU$1),MONTH(Sales!$AU$1),1)+INT((DAY(Sales!$AU$1)-1)/2)+Sales!AV$4,0)=EOMONTH($CT$1,0),Sales!AV$3*Sales!AV$5,0)+IF(EOMONTH(DATE(YEAR(Sales!$AR$1),MONTH(Sales!$AR$1),1)+INT((DAY(Sales!$AR$1)-1)/2)+Sales!AS$4,0)=EOMONTH($CT$1,0),Sales!AS$3*Sales!AS$5,0)+IF(EOMONTH(DATE(YEAR(Sales!$AO$1),MONTH(Sales!$AO$1),1)+INT((DAY(Sales!$AO$1)-1)/2)+Sales!AP$4,0)=EOMONTH($CT$1,0),Sales!AP$3*Sales!AP$5,0)+IF(EOMONTH(DATE(YEAR(Sales!$AL$1),MONTH(Sales!$AL$1),1)+INT((DAY(Sales!$AL$1)-1)/2)+Sales!AM$4,0)=EOMONTH($CT$1,0),Sales!AM$3*Sales!AM$5,0)+IF(EOMONTH(DATE(YEAR(Sales!$AI$1),MONTH(Sales!$AI$1),1)+INT((DAY(Sales!$AI$1)-1)/2)+Sales!AJ$4,0)=EOMONTH($CT$1,0),Sales!AJ$3*Sales!AJ$5,0)+IF(EOMONTH(DATE(YEAR(Sales!$AF$1),MONTH(Sales!$AF$1),1)+INT((DAY(Sales!$AF$1)-1)/2)+Sales!AG$4,0)=EOMONTH($CT$1,0),Sales!AG$3*Sales!AG$5,0)+IF(EOMONTH(DATE(YEAR(Sales!$AC$1),MONTH(Sales!$AC$1),1)+INT((DAY(Sales!$AC$1)-1)/2)+Sales!AD$4,0)=EOMONTH($CT$1,0),Sales!AD$3*Sales!AD$5,0)+IF(EOMONTH(DATE(YEAR(Sales!$Z$1),MONTH(Sales!$Z$1),1)+INT((DAY(Sales!$Z$1)-1)/2)+Sales!AA$4,0)=EOMONTH($CT$1,0),Sales!AA$3*Sales!AA$5,0)+IF(EOMONTH(DATE(YEAR(Sales!$W$1),MONTH(Sales!$W$1),1)+INT((DAY(Sales!$W$1)-1)/2)+Sales!X$4,0)=EOMONTH($CT$1,0),Sales!X$3*Sales!X$5,0)+IF(EOMONTH(DATE(YEAR(Sales!$T$1),MONTH(Sales!$T$1),1)+INT((DAY(Sales!$T$1)-1)/2)+Sales!U$4,0)=EOMONTH($CT$1,0),Sales!U$3*Sales!U$5,0)+IF(EOMONTH(DATE(YEAR(Sales!$Q$1),MONTH(Sales!$Q$1),1)+INT((DAY(Sales!$Q$1)-1)/2)+Sales!R$4,0)=EOMONTH($CT$1,0),Sales!R$3*Sales!R$5,0)+IF(EOMONTH(DATE(YEAR(Sales!$N$1),MONTH(Sales!$N$1),1)+INT((DAY(Sales!$N$1)-1)/2)+Sales!O$4,0)=EOMONTH($CT$1,0),Sales!O$3*Sales!O$5,0)+IF(EOMONTH(DATE(YEAR(Sales!$K$1),MONTH(Sales!$K$1),1)+INT((DAY(Sales!$K$1)-1)/2)+Sales!L$4,0)=EOMONTH($CT$1,0),Sales!L$3*Sales!L$5,0)+IF(EOMONTH('Cash Drivers'!$DL$30+Sales!DM$4,0)=EOMONTH($CT$1,0),'Cash Drivers'!$DL$31*Sales!DM$5,0),0))</f>
        <v>19</v>
      </c>
      <c r="CV6" s="23" t="n">
        <f aca="false">ROUND(IF(EOMONTH(DATE(YEAR(Sales!$DL$1),MONTH(Sales!$DL$1),1)+INT((DAY(Sales!$DL$1)-1)/2)+Sales!DN$4,0)=EOMONTH($CT$1,0),Sales!DN$3*Sales!DN$5,0)+IF(EOMONTH(DATE(YEAR(Sales!$DI$1),MONTH(Sales!$DI$1),1)+INT((DAY(Sales!$DI$1)-1)/2)+Sales!DK$4,0)=EOMONTH($CT$1,0),Sales!DK$3*Sales!DK$5,0)+IF(EOMONTH(DATE(YEAR(Sales!$DF$1),MONTH(Sales!$DF$1),1)+INT((DAY(Sales!$DF$1)-1)/2)+Sales!DH$4,0)=EOMONTH($CT$1,0),Sales!DH$3*Sales!DH$5,0)+IF(EOMONTH(DATE(YEAR(Sales!$DC$1),MONTH(Sales!$DC$1),1)+INT((DAY(Sales!$DC$1)-1)/2)+Sales!DE$4,0)=EOMONTH($CT$1,0),Sales!DE$3*Sales!DE$5,0)+IF(EOMONTH(DATE(YEAR(Sales!$CZ$1),MONTH(Sales!$CZ$1),1)+INT((DAY(Sales!$CZ$1)-1)/2)+Sales!DB$4,0)=EOMONTH($CT$1,0),Sales!DB$3*Sales!DB$5,0)+IF(EOMONTH(DATE(YEAR(Sales!$CW$1),MONTH(Sales!$CW$1),1)+INT((DAY(Sales!$CW$1)-1)/2)+Sales!CY$4,0)=EOMONTH($CT$1,0),Sales!CY$3*Sales!CY$5,0)+IF(EOMONTH(DATE(YEAR(Sales!$CT$1),MONTH(Sales!$CT$1),1)+INT((DAY(Sales!$CT$1)-1)/2)+Sales!CV$4,0)=EOMONTH($CT$1,0),Sales!CV$3*Sales!CV$5,0)+IF(EOMONTH(DATE(YEAR(Sales!$CQ$1),MONTH(Sales!$CQ$1),1)+INT((DAY(Sales!$CQ$1)-1)/2)+Sales!CS$4,0)=EOMONTH($CT$1,0),Sales!CS$3*Sales!CS$5,0)+IF(EOMONTH(DATE(YEAR(Sales!$CN$1),MONTH(Sales!$CN$1),1)+INT((DAY(Sales!$CN$1)-1)/2)+Sales!CP$4,0)=EOMONTH($CT$1,0),Sales!CP$3*Sales!CP$5,0)+IF(EOMONTH(DATE(YEAR(Sales!$CK$1),MONTH(Sales!$CK$1),1)+INT((DAY(Sales!$CK$1)-1)/2)+Sales!CM$4,0)=EOMONTH($CT$1,0),Sales!CM$3*Sales!CM$5,0)+IF(EOMONTH(DATE(YEAR(Sales!$CH$1),MONTH(Sales!$CH$1),1)+INT((DAY(Sales!$CH$1)-1)/2)+Sales!CJ$4,0)=EOMONTH($CT$1,0),Sales!CJ$3*Sales!CJ$5,0)+IF(EOMONTH(DATE(YEAR(Sales!$CE$1),MONTH(Sales!$CE$1),1)+INT((DAY(Sales!$CE$1)-1)/2)+Sales!CG$4,0)=EOMONTH($CT$1,0),Sales!CG$3*Sales!CG$5,0)+IF(EOMONTH(DATE(YEAR(Sales!$CB$1),MONTH(Sales!$CB$1),1)+INT((DAY(Sales!$CB$1)-1)/2)+Sales!CD$4,0)=EOMONTH($CT$1,0),Sales!CD$3*Sales!CD$5,0)+IF(EOMONTH(DATE(YEAR(Sales!$BY$1),MONTH(Sales!$BY$1),1)+INT((DAY(Sales!$BY$1)-1)/2)+Sales!CA$4,0)=EOMONTH($CT$1,0),Sales!CA$3*Sales!CA$5,0)+IF(EOMONTH(DATE(YEAR(Sales!$BV$1),MONTH(Sales!$BV$1),1)+INT((DAY(Sales!$BV$1)-1)/2)+Sales!BX$4,0)=EOMONTH($CT$1,0),Sales!BX$3*Sales!BX$5,0)+IF(EOMONTH(DATE(YEAR(Sales!$BS$1),MONTH(Sales!$BS$1),1)+INT((DAY(Sales!$BS$1)-1)/2)+Sales!BU$4,0)=EOMONTH($CT$1,0),Sales!BU$3*Sales!BU$5,0)+IF(EOMONTH(DATE(YEAR(Sales!$BP$1),MONTH(Sales!$BP$1),1)+INT((DAY(Sales!$BP$1)-1)/2)+Sales!BR$4,0)=EOMONTH($CT$1,0),Sales!BR$3*Sales!BR$5,0)+IF(EOMONTH(DATE(YEAR(Sales!$BM$1),MONTH(Sales!$BM$1),1)+INT((DAY(Sales!$BM$1)-1)/2)+Sales!BO$4,0)=EOMONTH($CT$1,0),Sales!BO$3*Sales!BO$5,0)+IF(EOMONTH(DATE(YEAR(Sales!$BJ$1),MONTH(Sales!$BJ$1),1)+INT((DAY(Sales!$BJ$1)-1)/2)+Sales!BL$4,0)=EOMONTH($CT$1,0),Sales!BL$3*Sales!BL$5,0)+IF(EOMONTH(DATE(YEAR(Sales!$BG$1),MONTH(Sales!$BG$1),1)+INT((DAY(Sales!$BG$1)-1)/2)+Sales!BI$4,0)=EOMONTH($CT$1,0),Sales!BI$3*Sales!BI$5,0)+IF(EOMONTH(DATE(YEAR(Sales!$BD$1),MONTH(Sales!$BD$1),1)+INT((DAY(Sales!$BD$1)-1)/2)+Sales!BF$4,0)=EOMONTH($CT$1,0),Sales!BF$3*Sales!BF$5,0)+IF(EOMONTH(DATE(YEAR(Sales!$BA$1),MONTH(Sales!$BA$1),1)+INT((DAY(Sales!$BA$1)-1)/2)+Sales!BC$4,0)=EOMONTH($CT$1,0),Sales!BC$3*Sales!BC$5,0)+IF(EOMONTH(DATE(YEAR(Sales!$AX$1),MONTH(Sales!$AX$1),1)+INT((DAY(Sales!$AX$1)-1)/2)+Sales!AZ$4,0)=EOMONTH($CT$1,0),Sales!AZ$3*Sales!AZ$5,0)+IF(EOMONTH(DATE(YEAR(Sales!$AU$1),MONTH(Sales!$AU$1),1)+INT((DAY(Sales!$AU$1)-1)/2)+Sales!AW$4,0)=EOMONTH($CT$1,0),Sales!AW$3*Sales!AW$5,0)+IF(EOMONTH(DATE(YEAR(Sales!$AR$1),MONTH(Sales!$AR$1),1)+INT((DAY(Sales!$AR$1)-1)/2)+Sales!AT$4,0)=EOMONTH($CT$1,0),Sales!AT$3*Sales!AT$5,0)+IF(EOMONTH(DATE(YEAR(Sales!$AO$1),MONTH(Sales!$AO$1),1)+INT((DAY(Sales!$AO$1)-1)/2)+Sales!AQ$4,0)=EOMONTH($CT$1,0),Sales!AQ$3*Sales!AQ$5,0)+IF(EOMONTH(DATE(YEAR(Sales!$AL$1),MONTH(Sales!$AL$1),1)+INT((DAY(Sales!$AL$1)-1)/2)+Sales!AN$4,0)=EOMONTH($CT$1,0),Sales!AN$3*Sales!AN$5,0)+IF(EOMONTH(DATE(YEAR(Sales!$AI$1),MONTH(Sales!$AI$1),1)+INT((DAY(Sales!$AI$1)-1)/2)+Sales!AK$4,0)=EOMONTH($CT$1,0),Sales!AK$3*Sales!AK$5,0)+IF(EOMONTH(DATE(YEAR(Sales!$AF$1),MONTH(Sales!$AF$1),1)+INT((DAY(Sales!$AF$1)-1)/2)+Sales!AH$4,0)=EOMONTH($CT$1,0),Sales!AH$3*Sales!AH$5,0)+IF(EOMONTH(DATE(YEAR(Sales!$AC$1),MONTH(Sales!$AC$1),1)+INT((DAY(Sales!$AC$1)-1)/2)+Sales!AE$4,0)=EOMONTH($CT$1,0),Sales!AE$3*Sales!AE$5,0)+IF(EOMONTH(DATE(YEAR(Sales!$Z$1),MONTH(Sales!$Z$1),1)+INT((DAY(Sales!$Z$1)-1)/2)+Sales!AB$4,0)=EOMONTH($CT$1,0),Sales!AB$3*Sales!AB$5,0)+IF(EOMONTH(DATE(YEAR(Sales!$W$1),MONTH(Sales!$W$1),1)+INT((DAY(Sales!$W$1)-1)/2)+Sales!Y$4,0)=EOMONTH($CT$1,0),Sales!Y$3*Sales!Y$5,0)+IF(EOMONTH(DATE(YEAR(Sales!$T$1),MONTH(Sales!$T$1),1)+INT((DAY(Sales!$T$1)-1)/2)+Sales!V$4,0)=EOMONTH($CT$1,0),Sales!V$3*Sales!V$5,0)+IF(EOMONTH(DATE(YEAR(Sales!$Q$1),MONTH(Sales!$Q$1),1)+INT((DAY(Sales!$Q$1)-1)/2)+Sales!S$4,0)=EOMONTH($CT$1,0),Sales!S$3*Sales!S$5,0)+IF(EOMONTH(DATE(YEAR(Sales!$N$1),MONTH(Sales!$N$1),1)+INT((DAY(Sales!$N$1)-1)/2)+Sales!P$4,0)=EOMONTH($CT$1,0),Sales!P$3*Sales!P$5,0)+IF(EOMONTH(DATE(YEAR(Sales!$K$1),MONTH(Sales!$K$1),1)+INT((DAY(Sales!$K$1)-1)/2)+Sales!M$4,0)=EOMONTH($CT$1,0),Sales!M$3*Sales!M$5,0)+IF(EOMONTH('Cash Drivers'!$DL$30+Sales!DN$4,0)=EOMONTH($CT$1,0),'Cash Drivers'!$DL$31*Sales!DN$5,0),0)</f>
        <v>19</v>
      </c>
      <c r="CW6" s="2"/>
      <c r="CX6" s="2" t="n">
        <f aca="false">IF('Cash Drivers'!CX$26,CW6,ROUND(IF(EOMONTH(DATE(YEAR(Sales!$DL$1),MONTH(Sales!$DL$1),1)+INT((DAY(Sales!$DL$1)-1)/2)+Sales!DM$4,0)=EOMONTH($CW$1,0),Sales!DM$3*Sales!DM$5,0)+IF(EOMONTH(DATE(YEAR(Sales!$DI$1),MONTH(Sales!$DI$1),1)+INT((DAY(Sales!$DI$1)-1)/2)+Sales!DJ$4,0)=EOMONTH($CW$1,0),Sales!DJ$3*Sales!DJ$5,0)+IF(EOMONTH(DATE(YEAR(Sales!$DF$1),MONTH(Sales!$DF$1),1)+INT((DAY(Sales!$DF$1)-1)/2)+Sales!DG$4,0)=EOMONTH($CW$1,0),Sales!DG$3*Sales!DG$5,0)+IF(EOMONTH(DATE(YEAR(Sales!$DC$1),MONTH(Sales!$DC$1),1)+INT((DAY(Sales!$DC$1)-1)/2)+Sales!DD$4,0)=EOMONTH($CW$1,0),Sales!DD$3*Sales!DD$5,0)+IF(EOMONTH(DATE(YEAR(Sales!$CZ$1),MONTH(Sales!$CZ$1),1)+INT((DAY(Sales!$CZ$1)-1)/2)+Sales!DA$4,0)=EOMONTH($CW$1,0),Sales!DA$3*Sales!DA$5,0)+IF(EOMONTH(DATE(YEAR(Sales!$CW$1),MONTH(Sales!$CW$1),1)+INT((DAY(Sales!$CW$1)-1)/2)+Sales!CX$4,0)=EOMONTH($CW$1,0),Sales!CX$3*Sales!CX$5,0)+IF(EOMONTH(DATE(YEAR(Sales!$CT$1),MONTH(Sales!$CT$1),1)+INT((DAY(Sales!$CT$1)-1)/2)+Sales!CU$4,0)=EOMONTH($CW$1,0),Sales!CU$3*Sales!CU$5,0)+IF(EOMONTH(DATE(YEAR(Sales!$CQ$1),MONTH(Sales!$CQ$1),1)+INT((DAY(Sales!$CQ$1)-1)/2)+Sales!CR$4,0)=EOMONTH($CW$1,0),Sales!CR$3*Sales!CR$5,0)+IF(EOMONTH(DATE(YEAR(Sales!$CN$1),MONTH(Sales!$CN$1),1)+INT((DAY(Sales!$CN$1)-1)/2)+Sales!CO$4,0)=EOMONTH($CW$1,0),Sales!CO$3*Sales!CO$5,0)+IF(EOMONTH(DATE(YEAR(Sales!$CK$1),MONTH(Sales!$CK$1),1)+INT((DAY(Sales!$CK$1)-1)/2)+Sales!CL$4,0)=EOMONTH($CW$1,0),Sales!CL$3*Sales!CL$5,0)+IF(EOMONTH(DATE(YEAR(Sales!$CH$1),MONTH(Sales!$CH$1),1)+INT((DAY(Sales!$CH$1)-1)/2)+Sales!CI$4,0)=EOMONTH($CW$1,0),Sales!CI$3*Sales!CI$5,0)+IF(EOMONTH(DATE(YEAR(Sales!$CE$1),MONTH(Sales!$CE$1),1)+INT((DAY(Sales!$CE$1)-1)/2)+Sales!CF$4,0)=EOMONTH($CW$1,0),Sales!CF$3*Sales!CF$5,0)+IF(EOMONTH(DATE(YEAR(Sales!$CB$1),MONTH(Sales!$CB$1),1)+INT((DAY(Sales!$CB$1)-1)/2)+Sales!CC$4,0)=EOMONTH($CW$1,0),Sales!CC$3*Sales!CC$5,0)+IF(EOMONTH(DATE(YEAR(Sales!$BY$1),MONTH(Sales!$BY$1),1)+INT((DAY(Sales!$BY$1)-1)/2)+Sales!BZ$4,0)=EOMONTH($CW$1,0),Sales!BZ$3*Sales!BZ$5,0)+IF(EOMONTH(DATE(YEAR(Sales!$BV$1),MONTH(Sales!$BV$1),1)+INT((DAY(Sales!$BV$1)-1)/2)+Sales!BW$4,0)=EOMONTH($CW$1,0),Sales!BW$3*Sales!BW$5,0)+IF(EOMONTH(DATE(YEAR(Sales!$BS$1),MONTH(Sales!$BS$1),1)+INT((DAY(Sales!$BS$1)-1)/2)+Sales!BT$4,0)=EOMONTH($CW$1,0),Sales!BT$3*Sales!BT$5,0)+IF(EOMONTH(DATE(YEAR(Sales!$BP$1),MONTH(Sales!$BP$1),1)+INT((DAY(Sales!$BP$1)-1)/2)+Sales!BQ$4,0)=EOMONTH($CW$1,0),Sales!BQ$3*Sales!BQ$5,0)+IF(EOMONTH(DATE(YEAR(Sales!$BM$1),MONTH(Sales!$BM$1),1)+INT((DAY(Sales!$BM$1)-1)/2)+Sales!BN$4,0)=EOMONTH($CW$1,0),Sales!BN$3*Sales!BN$5,0)+IF(EOMONTH(DATE(YEAR(Sales!$BJ$1),MONTH(Sales!$BJ$1),1)+INT((DAY(Sales!$BJ$1)-1)/2)+Sales!BK$4,0)=EOMONTH($CW$1,0),Sales!BK$3*Sales!BK$5,0)+IF(EOMONTH(DATE(YEAR(Sales!$BG$1),MONTH(Sales!$BG$1),1)+INT((DAY(Sales!$BG$1)-1)/2)+Sales!BH$4,0)=EOMONTH($CW$1,0),Sales!BH$3*Sales!BH$5,0)+IF(EOMONTH(DATE(YEAR(Sales!$BD$1),MONTH(Sales!$BD$1),1)+INT((DAY(Sales!$BD$1)-1)/2)+Sales!BE$4,0)=EOMONTH($CW$1,0),Sales!BE$3*Sales!BE$5,0)+IF(EOMONTH(DATE(YEAR(Sales!$BA$1),MONTH(Sales!$BA$1),1)+INT((DAY(Sales!$BA$1)-1)/2)+Sales!BB$4,0)=EOMONTH($CW$1,0),Sales!BB$3*Sales!BB$5,0)+IF(EOMONTH(DATE(YEAR(Sales!$AX$1),MONTH(Sales!$AX$1),1)+INT((DAY(Sales!$AX$1)-1)/2)+Sales!AY$4,0)=EOMONTH($CW$1,0),Sales!AY$3*Sales!AY$5,0)+IF(EOMONTH(DATE(YEAR(Sales!$AU$1),MONTH(Sales!$AU$1),1)+INT((DAY(Sales!$AU$1)-1)/2)+Sales!AV$4,0)=EOMONTH($CW$1,0),Sales!AV$3*Sales!AV$5,0)+IF(EOMONTH(DATE(YEAR(Sales!$AR$1),MONTH(Sales!$AR$1),1)+INT((DAY(Sales!$AR$1)-1)/2)+Sales!AS$4,0)=EOMONTH($CW$1,0),Sales!AS$3*Sales!AS$5,0)+IF(EOMONTH(DATE(YEAR(Sales!$AO$1),MONTH(Sales!$AO$1),1)+INT((DAY(Sales!$AO$1)-1)/2)+Sales!AP$4,0)=EOMONTH($CW$1,0),Sales!AP$3*Sales!AP$5,0)+IF(EOMONTH(DATE(YEAR(Sales!$AL$1),MONTH(Sales!$AL$1),1)+INT((DAY(Sales!$AL$1)-1)/2)+Sales!AM$4,0)=EOMONTH($CW$1,0),Sales!AM$3*Sales!AM$5,0)+IF(EOMONTH(DATE(YEAR(Sales!$AI$1),MONTH(Sales!$AI$1),1)+INT((DAY(Sales!$AI$1)-1)/2)+Sales!AJ$4,0)=EOMONTH($CW$1,0),Sales!AJ$3*Sales!AJ$5,0)+IF(EOMONTH(DATE(YEAR(Sales!$AF$1),MONTH(Sales!$AF$1),1)+INT((DAY(Sales!$AF$1)-1)/2)+Sales!AG$4,0)=EOMONTH($CW$1,0),Sales!AG$3*Sales!AG$5,0)+IF(EOMONTH(DATE(YEAR(Sales!$AC$1),MONTH(Sales!$AC$1),1)+INT((DAY(Sales!$AC$1)-1)/2)+Sales!AD$4,0)=EOMONTH($CW$1,0),Sales!AD$3*Sales!AD$5,0)+IF(EOMONTH(DATE(YEAR(Sales!$Z$1),MONTH(Sales!$Z$1),1)+INT((DAY(Sales!$Z$1)-1)/2)+Sales!AA$4,0)=EOMONTH($CW$1,0),Sales!AA$3*Sales!AA$5,0)+IF(EOMONTH(DATE(YEAR(Sales!$W$1),MONTH(Sales!$W$1),1)+INT((DAY(Sales!$W$1)-1)/2)+Sales!X$4,0)=EOMONTH($CW$1,0),Sales!X$3*Sales!X$5,0)+IF(EOMONTH(DATE(YEAR(Sales!$T$1),MONTH(Sales!$T$1),1)+INT((DAY(Sales!$T$1)-1)/2)+Sales!U$4,0)=EOMONTH($CW$1,0),Sales!U$3*Sales!U$5,0)+IF(EOMONTH(DATE(YEAR(Sales!$Q$1),MONTH(Sales!$Q$1),1)+INT((DAY(Sales!$Q$1)-1)/2)+Sales!R$4,0)=EOMONTH($CW$1,0),Sales!R$3*Sales!R$5,0)+IF(EOMONTH(DATE(YEAR(Sales!$N$1),MONTH(Sales!$N$1),1)+INT((DAY(Sales!$N$1)-1)/2)+Sales!O$4,0)=EOMONTH($CW$1,0),Sales!O$3*Sales!O$5,0)+IF(EOMONTH(DATE(YEAR(Sales!$K$1),MONTH(Sales!$K$1),1)+INT((DAY(Sales!$K$1)-1)/2)+Sales!L$4,0)=EOMONTH($CW$1,0),Sales!L$3*Sales!L$5,0)+IF(EOMONTH('Cash Drivers'!$DL$30+Sales!DM$4,0)=EOMONTH($CW$1,0),'Cash Drivers'!$DL$31*Sales!DM$5,0),0))</f>
        <v>19</v>
      </c>
      <c r="CY6" s="2" t="n">
        <f aca="false">ROUND(IF(EOMONTH(DATE(YEAR(Sales!$DL$1),MONTH(Sales!$DL$1),1)+INT((DAY(Sales!$DL$1)-1)/2)+Sales!DN$4,0)=EOMONTH($CW$1,0),Sales!DN$3*Sales!DN$5,0)+IF(EOMONTH(DATE(YEAR(Sales!$DI$1),MONTH(Sales!$DI$1),1)+INT((DAY(Sales!$DI$1)-1)/2)+Sales!DK$4,0)=EOMONTH($CW$1,0),Sales!DK$3*Sales!DK$5,0)+IF(EOMONTH(DATE(YEAR(Sales!$DF$1),MONTH(Sales!$DF$1),1)+INT((DAY(Sales!$DF$1)-1)/2)+Sales!DH$4,0)=EOMONTH($CW$1,0),Sales!DH$3*Sales!DH$5,0)+IF(EOMONTH(DATE(YEAR(Sales!$DC$1),MONTH(Sales!$DC$1),1)+INT((DAY(Sales!$DC$1)-1)/2)+Sales!DE$4,0)=EOMONTH($CW$1,0),Sales!DE$3*Sales!DE$5,0)+IF(EOMONTH(DATE(YEAR(Sales!$CZ$1),MONTH(Sales!$CZ$1),1)+INT((DAY(Sales!$CZ$1)-1)/2)+Sales!DB$4,0)=EOMONTH($CW$1,0),Sales!DB$3*Sales!DB$5,0)+IF(EOMONTH(DATE(YEAR(Sales!$CW$1),MONTH(Sales!$CW$1),1)+INT((DAY(Sales!$CW$1)-1)/2)+Sales!CY$4,0)=EOMONTH($CW$1,0),Sales!CY$3*Sales!CY$5,0)+IF(EOMONTH(DATE(YEAR(Sales!$CT$1),MONTH(Sales!$CT$1),1)+INT((DAY(Sales!$CT$1)-1)/2)+Sales!CV$4,0)=EOMONTH($CW$1,0),Sales!CV$3*Sales!CV$5,0)+IF(EOMONTH(DATE(YEAR(Sales!$CQ$1),MONTH(Sales!$CQ$1),1)+INT((DAY(Sales!$CQ$1)-1)/2)+Sales!CS$4,0)=EOMONTH($CW$1,0),Sales!CS$3*Sales!CS$5,0)+IF(EOMONTH(DATE(YEAR(Sales!$CN$1),MONTH(Sales!$CN$1),1)+INT((DAY(Sales!$CN$1)-1)/2)+Sales!CP$4,0)=EOMONTH($CW$1,0),Sales!CP$3*Sales!CP$5,0)+IF(EOMONTH(DATE(YEAR(Sales!$CK$1),MONTH(Sales!$CK$1),1)+INT((DAY(Sales!$CK$1)-1)/2)+Sales!CM$4,0)=EOMONTH($CW$1,0),Sales!CM$3*Sales!CM$5,0)+IF(EOMONTH(DATE(YEAR(Sales!$CH$1),MONTH(Sales!$CH$1),1)+INT((DAY(Sales!$CH$1)-1)/2)+Sales!CJ$4,0)=EOMONTH($CW$1,0),Sales!CJ$3*Sales!CJ$5,0)+IF(EOMONTH(DATE(YEAR(Sales!$CE$1),MONTH(Sales!$CE$1),1)+INT((DAY(Sales!$CE$1)-1)/2)+Sales!CG$4,0)=EOMONTH($CW$1,0),Sales!CG$3*Sales!CG$5,0)+IF(EOMONTH(DATE(YEAR(Sales!$CB$1),MONTH(Sales!$CB$1),1)+INT((DAY(Sales!$CB$1)-1)/2)+Sales!CD$4,0)=EOMONTH($CW$1,0),Sales!CD$3*Sales!CD$5,0)+IF(EOMONTH(DATE(YEAR(Sales!$BY$1),MONTH(Sales!$BY$1),1)+INT((DAY(Sales!$BY$1)-1)/2)+Sales!CA$4,0)=EOMONTH($CW$1,0),Sales!CA$3*Sales!CA$5,0)+IF(EOMONTH(DATE(YEAR(Sales!$BV$1),MONTH(Sales!$BV$1),1)+INT((DAY(Sales!$BV$1)-1)/2)+Sales!BX$4,0)=EOMONTH($CW$1,0),Sales!BX$3*Sales!BX$5,0)+IF(EOMONTH(DATE(YEAR(Sales!$BS$1),MONTH(Sales!$BS$1),1)+INT((DAY(Sales!$BS$1)-1)/2)+Sales!BU$4,0)=EOMONTH($CW$1,0),Sales!BU$3*Sales!BU$5,0)+IF(EOMONTH(DATE(YEAR(Sales!$BP$1),MONTH(Sales!$BP$1),1)+INT((DAY(Sales!$BP$1)-1)/2)+Sales!BR$4,0)=EOMONTH($CW$1,0),Sales!BR$3*Sales!BR$5,0)+IF(EOMONTH(DATE(YEAR(Sales!$BM$1),MONTH(Sales!$BM$1),1)+INT((DAY(Sales!$BM$1)-1)/2)+Sales!BO$4,0)=EOMONTH($CW$1,0),Sales!BO$3*Sales!BO$5,0)+IF(EOMONTH(DATE(YEAR(Sales!$BJ$1),MONTH(Sales!$BJ$1),1)+INT((DAY(Sales!$BJ$1)-1)/2)+Sales!BL$4,0)=EOMONTH($CW$1,0),Sales!BL$3*Sales!BL$5,0)+IF(EOMONTH(DATE(YEAR(Sales!$BG$1),MONTH(Sales!$BG$1),1)+INT((DAY(Sales!$BG$1)-1)/2)+Sales!BI$4,0)=EOMONTH($CW$1,0),Sales!BI$3*Sales!BI$5,0)+IF(EOMONTH(DATE(YEAR(Sales!$BD$1),MONTH(Sales!$BD$1),1)+INT((DAY(Sales!$BD$1)-1)/2)+Sales!BF$4,0)=EOMONTH($CW$1,0),Sales!BF$3*Sales!BF$5,0)+IF(EOMONTH(DATE(YEAR(Sales!$BA$1),MONTH(Sales!$BA$1),1)+INT((DAY(Sales!$BA$1)-1)/2)+Sales!BC$4,0)=EOMONTH($CW$1,0),Sales!BC$3*Sales!BC$5,0)+IF(EOMONTH(DATE(YEAR(Sales!$AX$1),MONTH(Sales!$AX$1),1)+INT((DAY(Sales!$AX$1)-1)/2)+Sales!AZ$4,0)=EOMONTH($CW$1,0),Sales!AZ$3*Sales!AZ$5,0)+IF(EOMONTH(DATE(YEAR(Sales!$AU$1),MONTH(Sales!$AU$1),1)+INT((DAY(Sales!$AU$1)-1)/2)+Sales!AW$4,0)=EOMONTH($CW$1,0),Sales!AW$3*Sales!AW$5,0)+IF(EOMONTH(DATE(YEAR(Sales!$AR$1),MONTH(Sales!$AR$1),1)+INT((DAY(Sales!$AR$1)-1)/2)+Sales!AT$4,0)=EOMONTH($CW$1,0),Sales!AT$3*Sales!AT$5,0)+IF(EOMONTH(DATE(YEAR(Sales!$AO$1),MONTH(Sales!$AO$1),1)+INT((DAY(Sales!$AO$1)-1)/2)+Sales!AQ$4,0)=EOMONTH($CW$1,0),Sales!AQ$3*Sales!AQ$5,0)+IF(EOMONTH(DATE(YEAR(Sales!$AL$1),MONTH(Sales!$AL$1),1)+INT((DAY(Sales!$AL$1)-1)/2)+Sales!AN$4,0)=EOMONTH($CW$1,0),Sales!AN$3*Sales!AN$5,0)+IF(EOMONTH(DATE(YEAR(Sales!$AI$1),MONTH(Sales!$AI$1),1)+INT((DAY(Sales!$AI$1)-1)/2)+Sales!AK$4,0)=EOMONTH($CW$1,0),Sales!AK$3*Sales!AK$5,0)+IF(EOMONTH(DATE(YEAR(Sales!$AF$1),MONTH(Sales!$AF$1),1)+INT((DAY(Sales!$AF$1)-1)/2)+Sales!AH$4,0)=EOMONTH($CW$1,0),Sales!AH$3*Sales!AH$5,0)+IF(EOMONTH(DATE(YEAR(Sales!$AC$1),MONTH(Sales!$AC$1),1)+INT((DAY(Sales!$AC$1)-1)/2)+Sales!AE$4,0)=EOMONTH($CW$1,0),Sales!AE$3*Sales!AE$5,0)+IF(EOMONTH(DATE(YEAR(Sales!$Z$1),MONTH(Sales!$Z$1),1)+INT((DAY(Sales!$Z$1)-1)/2)+Sales!AB$4,0)=EOMONTH($CW$1,0),Sales!AB$3*Sales!AB$5,0)+IF(EOMONTH(DATE(YEAR(Sales!$W$1),MONTH(Sales!$W$1),1)+INT((DAY(Sales!$W$1)-1)/2)+Sales!Y$4,0)=EOMONTH($CW$1,0),Sales!Y$3*Sales!Y$5,0)+IF(EOMONTH(DATE(YEAR(Sales!$T$1),MONTH(Sales!$T$1),1)+INT((DAY(Sales!$T$1)-1)/2)+Sales!V$4,0)=EOMONTH($CW$1,0),Sales!V$3*Sales!V$5,0)+IF(EOMONTH(DATE(YEAR(Sales!$Q$1),MONTH(Sales!$Q$1),1)+INT((DAY(Sales!$Q$1)-1)/2)+Sales!S$4,0)=EOMONTH($CW$1,0),Sales!S$3*Sales!S$5,0)+IF(EOMONTH(DATE(YEAR(Sales!$N$1),MONTH(Sales!$N$1),1)+INT((DAY(Sales!$N$1)-1)/2)+Sales!P$4,0)=EOMONTH($CW$1,0),Sales!P$3*Sales!P$5,0)+IF(EOMONTH(DATE(YEAR(Sales!$K$1),MONTH(Sales!$K$1),1)+INT((DAY(Sales!$K$1)-1)/2)+Sales!M$4,0)=EOMONTH($CW$1,0),Sales!M$3*Sales!M$5,0)+IF(EOMONTH('Cash Drivers'!$DL$30+Sales!DN$4,0)=EOMONTH($CW$1,0),'Cash Drivers'!$DL$31*Sales!DN$5,0),0)</f>
        <v>19</v>
      </c>
      <c r="CZ6" s="23"/>
      <c r="DA6" s="23" t="n">
        <f aca="false">IF('Cash Drivers'!DA$26,CZ6,ROUND(IF(EOMONTH(DATE(YEAR(Sales!$DL$1),MONTH(Sales!$DL$1),1)+INT((DAY(Sales!$DL$1)-1)/2)+Sales!DM$4,0)=EOMONTH($CZ$1,0),Sales!DM$3*Sales!DM$5,0)+IF(EOMONTH(DATE(YEAR(Sales!$DI$1),MONTH(Sales!$DI$1),1)+INT((DAY(Sales!$DI$1)-1)/2)+Sales!DJ$4,0)=EOMONTH($CZ$1,0),Sales!DJ$3*Sales!DJ$5,0)+IF(EOMONTH(DATE(YEAR(Sales!$DF$1),MONTH(Sales!$DF$1),1)+INT((DAY(Sales!$DF$1)-1)/2)+Sales!DG$4,0)=EOMONTH($CZ$1,0),Sales!DG$3*Sales!DG$5,0)+IF(EOMONTH(DATE(YEAR(Sales!$DC$1),MONTH(Sales!$DC$1),1)+INT((DAY(Sales!$DC$1)-1)/2)+Sales!DD$4,0)=EOMONTH($CZ$1,0),Sales!DD$3*Sales!DD$5,0)+IF(EOMONTH(DATE(YEAR(Sales!$CZ$1),MONTH(Sales!$CZ$1),1)+INT((DAY(Sales!$CZ$1)-1)/2)+Sales!DA$4,0)=EOMONTH($CZ$1,0),Sales!DA$3*Sales!DA$5,0)+IF(EOMONTH(DATE(YEAR(Sales!$CW$1),MONTH(Sales!$CW$1),1)+INT((DAY(Sales!$CW$1)-1)/2)+Sales!CX$4,0)=EOMONTH($CZ$1,0),Sales!CX$3*Sales!CX$5,0)+IF(EOMONTH(DATE(YEAR(Sales!$CT$1),MONTH(Sales!$CT$1),1)+INT((DAY(Sales!$CT$1)-1)/2)+Sales!CU$4,0)=EOMONTH($CZ$1,0),Sales!CU$3*Sales!CU$5,0)+IF(EOMONTH(DATE(YEAR(Sales!$CQ$1),MONTH(Sales!$CQ$1),1)+INT((DAY(Sales!$CQ$1)-1)/2)+Sales!CR$4,0)=EOMONTH($CZ$1,0),Sales!CR$3*Sales!CR$5,0)+IF(EOMONTH(DATE(YEAR(Sales!$CN$1),MONTH(Sales!$CN$1),1)+INT((DAY(Sales!$CN$1)-1)/2)+Sales!CO$4,0)=EOMONTH($CZ$1,0),Sales!CO$3*Sales!CO$5,0)+IF(EOMONTH(DATE(YEAR(Sales!$CK$1),MONTH(Sales!$CK$1),1)+INT((DAY(Sales!$CK$1)-1)/2)+Sales!CL$4,0)=EOMONTH($CZ$1,0),Sales!CL$3*Sales!CL$5,0)+IF(EOMONTH(DATE(YEAR(Sales!$CH$1),MONTH(Sales!$CH$1),1)+INT((DAY(Sales!$CH$1)-1)/2)+Sales!CI$4,0)=EOMONTH($CZ$1,0),Sales!CI$3*Sales!CI$5,0)+IF(EOMONTH(DATE(YEAR(Sales!$CE$1),MONTH(Sales!$CE$1),1)+INT((DAY(Sales!$CE$1)-1)/2)+Sales!CF$4,0)=EOMONTH($CZ$1,0),Sales!CF$3*Sales!CF$5,0)+IF(EOMONTH(DATE(YEAR(Sales!$CB$1),MONTH(Sales!$CB$1),1)+INT((DAY(Sales!$CB$1)-1)/2)+Sales!CC$4,0)=EOMONTH($CZ$1,0),Sales!CC$3*Sales!CC$5,0)+IF(EOMONTH(DATE(YEAR(Sales!$BY$1),MONTH(Sales!$BY$1),1)+INT((DAY(Sales!$BY$1)-1)/2)+Sales!BZ$4,0)=EOMONTH($CZ$1,0),Sales!BZ$3*Sales!BZ$5,0)+IF(EOMONTH(DATE(YEAR(Sales!$BV$1),MONTH(Sales!$BV$1),1)+INT((DAY(Sales!$BV$1)-1)/2)+Sales!BW$4,0)=EOMONTH($CZ$1,0),Sales!BW$3*Sales!BW$5,0)+IF(EOMONTH(DATE(YEAR(Sales!$BS$1),MONTH(Sales!$BS$1),1)+INT((DAY(Sales!$BS$1)-1)/2)+Sales!BT$4,0)=EOMONTH($CZ$1,0),Sales!BT$3*Sales!BT$5,0)+IF(EOMONTH(DATE(YEAR(Sales!$BP$1),MONTH(Sales!$BP$1),1)+INT((DAY(Sales!$BP$1)-1)/2)+Sales!BQ$4,0)=EOMONTH($CZ$1,0),Sales!BQ$3*Sales!BQ$5,0)+IF(EOMONTH(DATE(YEAR(Sales!$BM$1),MONTH(Sales!$BM$1),1)+INT((DAY(Sales!$BM$1)-1)/2)+Sales!BN$4,0)=EOMONTH($CZ$1,0),Sales!BN$3*Sales!BN$5,0)+IF(EOMONTH(DATE(YEAR(Sales!$BJ$1),MONTH(Sales!$BJ$1),1)+INT((DAY(Sales!$BJ$1)-1)/2)+Sales!BK$4,0)=EOMONTH($CZ$1,0),Sales!BK$3*Sales!BK$5,0)+IF(EOMONTH(DATE(YEAR(Sales!$BG$1),MONTH(Sales!$BG$1),1)+INT((DAY(Sales!$BG$1)-1)/2)+Sales!BH$4,0)=EOMONTH($CZ$1,0),Sales!BH$3*Sales!BH$5,0)+IF(EOMONTH(DATE(YEAR(Sales!$BD$1),MONTH(Sales!$BD$1),1)+INT((DAY(Sales!$BD$1)-1)/2)+Sales!BE$4,0)=EOMONTH($CZ$1,0),Sales!BE$3*Sales!BE$5,0)+IF(EOMONTH(DATE(YEAR(Sales!$BA$1),MONTH(Sales!$BA$1),1)+INT((DAY(Sales!$BA$1)-1)/2)+Sales!BB$4,0)=EOMONTH($CZ$1,0),Sales!BB$3*Sales!BB$5,0)+IF(EOMONTH(DATE(YEAR(Sales!$AX$1),MONTH(Sales!$AX$1),1)+INT((DAY(Sales!$AX$1)-1)/2)+Sales!AY$4,0)=EOMONTH($CZ$1,0),Sales!AY$3*Sales!AY$5,0)+IF(EOMONTH(DATE(YEAR(Sales!$AU$1),MONTH(Sales!$AU$1),1)+INT((DAY(Sales!$AU$1)-1)/2)+Sales!AV$4,0)=EOMONTH($CZ$1,0),Sales!AV$3*Sales!AV$5,0)+IF(EOMONTH(DATE(YEAR(Sales!$AR$1),MONTH(Sales!$AR$1),1)+INT((DAY(Sales!$AR$1)-1)/2)+Sales!AS$4,0)=EOMONTH($CZ$1,0),Sales!AS$3*Sales!AS$5,0)+IF(EOMONTH(DATE(YEAR(Sales!$AO$1),MONTH(Sales!$AO$1),1)+INT((DAY(Sales!$AO$1)-1)/2)+Sales!AP$4,0)=EOMONTH($CZ$1,0),Sales!AP$3*Sales!AP$5,0)+IF(EOMONTH(DATE(YEAR(Sales!$AL$1),MONTH(Sales!$AL$1),1)+INT((DAY(Sales!$AL$1)-1)/2)+Sales!AM$4,0)=EOMONTH($CZ$1,0),Sales!AM$3*Sales!AM$5,0)+IF(EOMONTH(DATE(YEAR(Sales!$AI$1),MONTH(Sales!$AI$1),1)+INT((DAY(Sales!$AI$1)-1)/2)+Sales!AJ$4,0)=EOMONTH($CZ$1,0),Sales!AJ$3*Sales!AJ$5,0)+IF(EOMONTH(DATE(YEAR(Sales!$AF$1),MONTH(Sales!$AF$1),1)+INT((DAY(Sales!$AF$1)-1)/2)+Sales!AG$4,0)=EOMONTH($CZ$1,0),Sales!AG$3*Sales!AG$5,0)+IF(EOMONTH(DATE(YEAR(Sales!$AC$1),MONTH(Sales!$AC$1),1)+INT((DAY(Sales!$AC$1)-1)/2)+Sales!AD$4,0)=EOMONTH($CZ$1,0),Sales!AD$3*Sales!AD$5,0)+IF(EOMONTH(DATE(YEAR(Sales!$Z$1),MONTH(Sales!$Z$1),1)+INT((DAY(Sales!$Z$1)-1)/2)+Sales!AA$4,0)=EOMONTH($CZ$1,0),Sales!AA$3*Sales!AA$5,0)+IF(EOMONTH(DATE(YEAR(Sales!$W$1),MONTH(Sales!$W$1),1)+INT((DAY(Sales!$W$1)-1)/2)+Sales!X$4,0)=EOMONTH($CZ$1,0),Sales!X$3*Sales!X$5,0)+IF(EOMONTH(DATE(YEAR(Sales!$T$1),MONTH(Sales!$T$1),1)+INT((DAY(Sales!$T$1)-1)/2)+Sales!U$4,0)=EOMONTH($CZ$1,0),Sales!U$3*Sales!U$5,0)+IF(EOMONTH(DATE(YEAR(Sales!$Q$1),MONTH(Sales!$Q$1),1)+INT((DAY(Sales!$Q$1)-1)/2)+Sales!R$4,0)=EOMONTH($CZ$1,0),Sales!R$3*Sales!R$5,0)+IF(EOMONTH(DATE(YEAR(Sales!$N$1),MONTH(Sales!$N$1),1)+INT((DAY(Sales!$N$1)-1)/2)+Sales!O$4,0)=EOMONTH($CZ$1,0),Sales!O$3*Sales!O$5,0)+IF(EOMONTH(DATE(YEAR(Sales!$K$1),MONTH(Sales!$K$1),1)+INT((DAY(Sales!$K$1)-1)/2)+Sales!L$4,0)=EOMONTH($CZ$1,0),Sales!L$3*Sales!L$5,0)+IF(EOMONTH('Cash Drivers'!$DL$30+Sales!DM$4,0)=EOMONTH($CZ$1,0),'Cash Drivers'!$DL$31*Sales!DM$5,0),0))</f>
        <v>19</v>
      </c>
      <c r="DB6" s="23" t="n">
        <f aca="false">ROUND(IF(EOMONTH(DATE(YEAR(Sales!$DL$1),MONTH(Sales!$DL$1),1)+INT((DAY(Sales!$DL$1)-1)/2)+Sales!DN$4,0)=EOMONTH($CZ$1,0),Sales!DN$3*Sales!DN$5,0)+IF(EOMONTH(DATE(YEAR(Sales!$DI$1),MONTH(Sales!$DI$1),1)+INT((DAY(Sales!$DI$1)-1)/2)+Sales!DK$4,0)=EOMONTH($CZ$1,0),Sales!DK$3*Sales!DK$5,0)+IF(EOMONTH(DATE(YEAR(Sales!$DF$1),MONTH(Sales!$DF$1),1)+INT((DAY(Sales!$DF$1)-1)/2)+Sales!DH$4,0)=EOMONTH($CZ$1,0),Sales!DH$3*Sales!DH$5,0)+IF(EOMONTH(DATE(YEAR(Sales!$DC$1),MONTH(Sales!$DC$1),1)+INT((DAY(Sales!$DC$1)-1)/2)+Sales!DE$4,0)=EOMONTH($CZ$1,0),Sales!DE$3*Sales!DE$5,0)+IF(EOMONTH(DATE(YEAR(Sales!$CZ$1),MONTH(Sales!$CZ$1),1)+INT((DAY(Sales!$CZ$1)-1)/2)+Sales!DB$4,0)=EOMONTH($CZ$1,0),Sales!DB$3*Sales!DB$5,0)+IF(EOMONTH(DATE(YEAR(Sales!$CW$1),MONTH(Sales!$CW$1),1)+INT((DAY(Sales!$CW$1)-1)/2)+Sales!CY$4,0)=EOMONTH($CZ$1,0),Sales!CY$3*Sales!CY$5,0)+IF(EOMONTH(DATE(YEAR(Sales!$CT$1),MONTH(Sales!$CT$1),1)+INT((DAY(Sales!$CT$1)-1)/2)+Sales!CV$4,0)=EOMONTH($CZ$1,0),Sales!CV$3*Sales!CV$5,0)+IF(EOMONTH(DATE(YEAR(Sales!$CQ$1),MONTH(Sales!$CQ$1),1)+INT((DAY(Sales!$CQ$1)-1)/2)+Sales!CS$4,0)=EOMONTH($CZ$1,0),Sales!CS$3*Sales!CS$5,0)+IF(EOMONTH(DATE(YEAR(Sales!$CN$1),MONTH(Sales!$CN$1),1)+INT((DAY(Sales!$CN$1)-1)/2)+Sales!CP$4,0)=EOMONTH($CZ$1,0),Sales!CP$3*Sales!CP$5,0)+IF(EOMONTH(DATE(YEAR(Sales!$CK$1),MONTH(Sales!$CK$1),1)+INT((DAY(Sales!$CK$1)-1)/2)+Sales!CM$4,0)=EOMONTH($CZ$1,0),Sales!CM$3*Sales!CM$5,0)+IF(EOMONTH(DATE(YEAR(Sales!$CH$1),MONTH(Sales!$CH$1),1)+INT((DAY(Sales!$CH$1)-1)/2)+Sales!CJ$4,0)=EOMONTH($CZ$1,0),Sales!CJ$3*Sales!CJ$5,0)+IF(EOMONTH(DATE(YEAR(Sales!$CE$1),MONTH(Sales!$CE$1),1)+INT((DAY(Sales!$CE$1)-1)/2)+Sales!CG$4,0)=EOMONTH($CZ$1,0),Sales!CG$3*Sales!CG$5,0)+IF(EOMONTH(DATE(YEAR(Sales!$CB$1),MONTH(Sales!$CB$1),1)+INT((DAY(Sales!$CB$1)-1)/2)+Sales!CD$4,0)=EOMONTH($CZ$1,0),Sales!CD$3*Sales!CD$5,0)+IF(EOMONTH(DATE(YEAR(Sales!$BY$1),MONTH(Sales!$BY$1),1)+INT((DAY(Sales!$BY$1)-1)/2)+Sales!CA$4,0)=EOMONTH($CZ$1,0),Sales!CA$3*Sales!CA$5,0)+IF(EOMONTH(DATE(YEAR(Sales!$BV$1),MONTH(Sales!$BV$1),1)+INT((DAY(Sales!$BV$1)-1)/2)+Sales!BX$4,0)=EOMONTH($CZ$1,0),Sales!BX$3*Sales!BX$5,0)+IF(EOMONTH(DATE(YEAR(Sales!$BS$1),MONTH(Sales!$BS$1),1)+INT((DAY(Sales!$BS$1)-1)/2)+Sales!BU$4,0)=EOMONTH($CZ$1,0),Sales!BU$3*Sales!BU$5,0)+IF(EOMONTH(DATE(YEAR(Sales!$BP$1),MONTH(Sales!$BP$1),1)+INT((DAY(Sales!$BP$1)-1)/2)+Sales!BR$4,0)=EOMONTH($CZ$1,0),Sales!BR$3*Sales!BR$5,0)+IF(EOMONTH(DATE(YEAR(Sales!$BM$1),MONTH(Sales!$BM$1),1)+INT((DAY(Sales!$BM$1)-1)/2)+Sales!BO$4,0)=EOMONTH($CZ$1,0),Sales!BO$3*Sales!BO$5,0)+IF(EOMONTH(DATE(YEAR(Sales!$BJ$1),MONTH(Sales!$BJ$1),1)+INT((DAY(Sales!$BJ$1)-1)/2)+Sales!BL$4,0)=EOMONTH($CZ$1,0),Sales!BL$3*Sales!BL$5,0)+IF(EOMONTH(DATE(YEAR(Sales!$BG$1),MONTH(Sales!$BG$1),1)+INT((DAY(Sales!$BG$1)-1)/2)+Sales!BI$4,0)=EOMONTH($CZ$1,0),Sales!BI$3*Sales!BI$5,0)+IF(EOMONTH(DATE(YEAR(Sales!$BD$1),MONTH(Sales!$BD$1),1)+INT((DAY(Sales!$BD$1)-1)/2)+Sales!BF$4,0)=EOMONTH($CZ$1,0),Sales!BF$3*Sales!BF$5,0)+IF(EOMONTH(DATE(YEAR(Sales!$BA$1),MONTH(Sales!$BA$1),1)+INT((DAY(Sales!$BA$1)-1)/2)+Sales!BC$4,0)=EOMONTH($CZ$1,0),Sales!BC$3*Sales!BC$5,0)+IF(EOMONTH(DATE(YEAR(Sales!$AX$1),MONTH(Sales!$AX$1),1)+INT((DAY(Sales!$AX$1)-1)/2)+Sales!AZ$4,0)=EOMONTH($CZ$1,0),Sales!AZ$3*Sales!AZ$5,0)+IF(EOMONTH(DATE(YEAR(Sales!$AU$1),MONTH(Sales!$AU$1),1)+INT((DAY(Sales!$AU$1)-1)/2)+Sales!AW$4,0)=EOMONTH($CZ$1,0),Sales!AW$3*Sales!AW$5,0)+IF(EOMONTH(DATE(YEAR(Sales!$AR$1),MONTH(Sales!$AR$1),1)+INT((DAY(Sales!$AR$1)-1)/2)+Sales!AT$4,0)=EOMONTH($CZ$1,0),Sales!AT$3*Sales!AT$5,0)+IF(EOMONTH(DATE(YEAR(Sales!$AO$1),MONTH(Sales!$AO$1),1)+INT((DAY(Sales!$AO$1)-1)/2)+Sales!AQ$4,0)=EOMONTH($CZ$1,0),Sales!AQ$3*Sales!AQ$5,0)+IF(EOMONTH(DATE(YEAR(Sales!$AL$1),MONTH(Sales!$AL$1),1)+INT((DAY(Sales!$AL$1)-1)/2)+Sales!AN$4,0)=EOMONTH($CZ$1,0),Sales!AN$3*Sales!AN$5,0)+IF(EOMONTH(DATE(YEAR(Sales!$AI$1),MONTH(Sales!$AI$1),1)+INT((DAY(Sales!$AI$1)-1)/2)+Sales!AK$4,0)=EOMONTH($CZ$1,0),Sales!AK$3*Sales!AK$5,0)+IF(EOMONTH(DATE(YEAR(Sales!$AF$1),MONTH(Sales!$AF$1),1)+INT((DAY(Sales!$AF$1)-1)/2)+Sales!AH$4,0)=EOMONTH($CZ$1,0),Sales!AH$3*Sales!AH$5,0)+IF(EOMONTH(DATE(YEAR(Sales!$AC$1),MONTH(Sales!$AC$1),1)+INT((DAY(Sales!$AC$1)-1)/2)+Sales!AE$4,0)=EOMONTH($CZ$1,0),Sales!AE$3*Sales!AE$5,0)+IF(EOMONTH(DATE(YEAR(Sales!$Z$1),MONTH(Sales!$Z$1),1)+INT((DAY(Sales!$Z$1)-1)/2)+Sales!AB$4,0)=EOMONTH($CZ$1,0),Sales!AB$3*Sales!AB$5,0)+IF(EOMONTH(DATE(YEAR(Sales!$W$1),MONTH(Sales!$W$1),1)+INT((DAY(Sales!$W$1)-1)/2)+Sales!Y$4,0)=EOMONTH($CZ$1,0),Sales!Y$3*Sales!Y$5,0)+IF(EOMONTH(DATE(YEAR(Sales!$T$1),MONTH(Sales!$T$1),1)+INT((DAY(Sales!$T$1)-1)/2)+Sales!V$4,0)=EOMONTH($CZ$1,0),Sales!V$3*Sales!V$5,0)+IF(EOMONTH(DATE(YEAR(Sales!$Q$1),MONTH(Sales!$Q$1),1)+INT((DAY(Sales!$Q$1)-1)/2)+Sales!S$4,0)=EOMONTH($CZ$1,0),Sales!S$3*Sales!S$5,0)+IF(EOMONTH(DATE(YEAR(Sales!$N$1),MONTH(Sales!$N$1),1)+INT((DAY(Sales!$N$1)-1)/2)+Sales!P$4,0)=EOMONTH($CZ$1,0),Sales!P$3*Sales!P$5,0)+IF(EOMONTH(DATE(YEAR(Sales!$K$1),MONTH(Sales!$K$1),1)+INT((DAY(Sales!$K$1)-1)/2)+Sales!M$4,0)=EOMONTH($CZ$1,0),Sales!M$3*Sales!M$5,0)+IF(EOMONTH('Cash Drivers'!$DL$30+Sales!DN$4,0)=EOMONTH($CZ$1,0),'Cash Drivers'!$DL$31*Sales!DN$5,0),0)</f>
        <v>19</v>
      </c>
      <c r="DC6" s="2"/>
      <c r="DD6" s="2" t="n">
        <f aca="false">IF('Cash Drivers'!DD$26,DC6,ROUND(IF(EOMONTH(DATE(YEAR(Sales!$DL$1),MONTH(Sales!$DL$1),1)+INT((DAY(Sales!$DL$1)-1)/2)+Sales!DM$4,0)=EOMONTH($DC$1,0),Sales!DM$3*Sales!DM$5,0)+IF(EOMONTH(DATE(YEAR(Sales!$DI$1),MONTH(Sales!$DI$1),1)+INT((DAY(Sales!$DI$1)-1)/2)+Sales!DJ$4,0)=EOMONTH($DC$1,0),Sales!DJ$3*Sales!DJ$5,0)+IF(EOMONTH(DATE(YEAR(Sales!$DF$1),MONTH(Sales!$DF$1),1)+INT((DAY(Sales!$DF$1)-1)/2)+Sales!DG$4,0)=EOMONTH($DC$1,0),Sales!DG$3*Sales!DG$5,0)+IF(EOMONTH(DATE(YEAR(Sales!$DC$1),MONTH(Sales!$DC$1),1)+INT((DAY(Sales!$DC$1)-1)/2)+Sales!DD$4,0)=EOMONTH($DC$1,0),Sales!DD$3*Sales!DD$5,0)+IF(EOMONTH(DATE(YEAR(Sales!$CZ$1),MONTH(Sales!$CZ$1),1)+INT((DAY(Sales!$CZ$1)-1)/2)+Sales!DA$4,0)=EOMONTH($DC$1,0),Sales!DA$3*Sales!DA$5,0)+IF(EOMONTH(DATE(YEAR(Sales!$CW$1),MONTH(Sales!$CW$1),1)+INT((DAY(Sales!$CW$1)-1)/2)+Sales!CX$4,0)=EOMONTH($DC$1,0),Sales!CX$3*Sales!CX$5,0)+IF(EOMONTH(DATE(YEAR(Sales!$CT$1),MONTH(Sales!$CT$1),1)+INT((DAY(Sales!$CT$1)-1)/2)+Sales!CU$4,0)=EOMONTH($DC$1,0),Sales!CU$3*Sales!CU$5,0)+IF(EOMONTH(DATE(YEAR(Sales!$CQ$1),MONTH(Sales!$CQ$1),1)+INT((DAY(Sales!$CQ$1)-1)/2)+Sales!CR$4,0)=EOMONTH($DC$1,0),Sales!CR$3*Sales!CR$5,0)+IF(EOMONTH(DATE(YEAR(Sales!$CN$1),MONTH(Sales!$CN$1),1)+INT((DAY(Sales!$CN$1)-1)/2)+Sales!CO$4,0)=EOMONTH($DC$1,0),Sales!CO$3*Sales!CO$5,0)+IF(EOMONTH(DATE(YEAR(Sales!$CK$1),MONTH(Sales!$CK$1),1)+INT((DAY(Sales!$CK$1)-1)/2)+Sales!CL$4,0)=EOMONTH($DC$1,0),Sales!CL$3*Sales!CL$5,0)+IF(EOMONTH(DATE(YEAR(Sales!$CH$1),MONTH(Sales!$CH$1),1)+INT((DAY(Sales!$CH$1)-1)/2)+Sales!CI$4,0)=EOMONTH($DC$1,0),Sales!CI$3*Sales!CI$5,0)+IF(EOMONTH(DATE(YEAR(Sales!$CE$1),MONTH(Sales!$CE$1),1)+INT((DAY(Sales!$CE$1)-1)/2)+Sales!CF$4,0)=EOMONTH($DC$1,0),Sales!CF$3*Sales!CF$5,0)+IF(EOMONTH(DATE(YEAR(Sales!$CB$1),MONTH(Sales!$CB$1),1)+INT((DAY(Sales!$CB$1)-1)/2)+Sales!CC$4,0)=EOMONTH($DC$1,0),Sales!CC$3*Sales!CC$5,0)+IF(EOMONTH(DATE(YEAR(Sales!$BY$1),MONTH(Sales!$BY$1),1)+INT((DAY(Sales!$BY$1)-1)/2)+Sales!BZ$4,0)=EOMONTH($DC$1,0),Sales!BZ$3*Sales!BZ$5,0)+IF(EOMONTH(DATE(YEAR(Sales!$BV$1),MONTH(Sales!$BV$1),1)+INT((DAY(Sales!$BV$1)-1)/2)+Sales!BW$4,0)=EOMONTH($DC$1,0),Sales!BW$3*Sales!BW$5,0)+IF(EOMONTH(DATE(YEAR(Sales!$BS$1),MONTH(Sales!$BS$1),1)+INT((DAY(Sales!$BS$1)-1)/2)+Sales!BT$4,0)=EOMONTH($DC$1,0),Sales!BT$3*Sales!BT$5,0)+IF(EOMONTH(DATE(YEAR(Sales!$BP$1),MONTH(Sales!$BP$1),1)+INT((DAY(Sales!$BP$1)-1)/2)+Sales!BQ$4,0)=EOMONTH($DC$1,0),Sales!BQ$3*Sales!BQ$5,0)+IF(EOMONTH(DATE(YEAR(Sales!$BM$1),MONTH(Sales!$BM$1),1)+INT((DAY(Sales!$BM$1)-1)/2)+Sales!BN$4,0)=EOMONTH($DC$1,0),Sales!BN$3*Sales!BN$5,0)+IF(EOMONTH(DATE(YEAR(Sales!$BJ$1),MONTH(Sales!$BJ$1),1)+INT((DAY(Sales!$BJ$1)-1)/2)+Sales!BK$4,0)=EOMONTH($DC$1,0),Sales!BK$3*Sales!BK$5,0)+IF(EOMONTH(DATE(YEAR(Sales!$BG$1),MONTH(Sales!$BG$1),1)+INT((DAY(Sales!$BG$1)-1)/2)+Sales!BH$4,0)=EOMONTH($DC$1,0),Sales!BH$3*Sales!BH$5,0)+IF(EOMONTH(DATE(YEAR(Sales!$BD$1),MONTH(Sales!$BD$1),1)+INT((DAY(Sales!$BD$1)-1)/2)+Sales!BE$4,0)=EOMONTH($DC$1,0),Sales!BE$3*Sales!BE$5,0)+IF(EOMONTH(DATE(YEAR(Sales!$BA$1),MONTH(Sales!$BA$1),1)+INT((DAY(Sales!$BA$1)-1)/2)+Sales!BB$4,0)=EOMONTH($DC$1,0),Sales!BB$3*Sales!BB$5,0)+IF(EOMONTH(DATE(YEAR(Sales!$AX$1),MONTH(Sales!$AX$1),1)+INT((DAY(Sales!$AX$1)-1)/2)+Sales!AY$4,0)=EOMONTH($DC$1,0),Sales!AY$3*Sales!AY$5,0)+IF(EOMONTH(DATE(YEAR(Sales!$AU$1),MONTH(Sales!$AU$1),1)+INT((DAY(Sales!$AU$1)-1)/2)+Sales!AV$4,0)=EOMONTH($DC$1,0),Sales!AV$3*Sales!AV$5,0)+IF(EOMONTH(DATE(YEAR(Sales!$AR$1),MONTH(Sales!$AR$1),1)+INT((DAY(Sales!$AR$1)-1)/2)+Sales!AS$4,0)=EOMONTH($DC$1,0),Sales!AS$3*Sales!AS$5,0)+IF(EOMONTH(DATE(YEAR(Sales!$AO$1),MONTH(Sales!$AO$1),1)+INT((DAY(Sales!$AO$1)-1)/2)+Sales!AP$4,0)=EOMONTH($DC$1,0),Sales!AP$3*Sales!AP$5,0)+IF(EOMONTH(DATE(YEAR(Sales!$AL$1),MONTH(Sales!$AL$1),1)+INT((DAY(Sales!$AL$1)-1)/2)+Sales!AM$4,0)=EOMONTH($DC$1,0),Sales!AM$3*Sales!AM$5,0)+IF(EOMONTH(DATE(YEAR(Sales!$AI$1),MONTH(Sales!$AI$1),1)+INT((DAY(Sales!$AI$1)-1)/2)+Sales!AJ$4,0)=EOMONTH($DC$1,0),Sales!AJ$3*Sales!AJ$5,0)+IF(EOMONTH(DATE(YEAR(Sales!$AF$1),MONTH(Sales!$AF$1),1)+INT((DAY(Sales!$AF$1)-1)/2)+Sales!AG$4,0)=EOMONTH($DC$1,0),Sales!AG$3*Sales!AG$5,0)+IF(EOMONTH(DATE(YEAR(Sales!$AC$1),MONTH(Sales!$AC$1),1)+INT((DAY(Sales!$AC$1)-1)/2)+Sales!AD$4,0)=EOMONTH($DC$1,0),Sales!AD$3*Sales!AD$5,0)+IF(EOMONTH(DATE(YEAR(Sales!$Z$1),MONTH(Sales!$Z$1),1)+INT((DAY(Sales!$Z$1)-1)/2)+Sales!AA$4,0)=EOMONTH($DC$1,0),Sales!AA$3*Sales!AA$5,0)+IF(EOMONTH(DATE(YEAR(Sales!$W$1),MONTH(Sales!$W$1),1)+INT((DAY(Sales!$W$1)-1)/2)+Sales!X$4,0)=EOMONTH($DC$1,0),Sales!X$3*Sales!X$5,0)+IF(EOMONTH(DATE(YEAR(Sales!$T$1),MONTH(Sales!$T$1),1)+INT((DAY(Sales!$T$1)-1)/2)+Sales!U$4,0)=EOMONTH($DC$1,0),Sales!U$3*Sales!U$5,0)+IF(EOMONTH(DATE(YEAR(Sales!$Q$1),MONTH(Sales!$Q$1),1)+INT((DAY(Sales!$Q$1)-1)/2)+Sales!R$4,0)=EOMONTH($DC$1,0),Sales!R$3*Sales!R$5,0)+IF(EOMONTH(DATE(YEAR(Sales!$N$1),MONTH(Sales!$N$1),1)+INT((DAY(Sales!$N$1)-1)/2)+Sales!O$4,0)=EOMONTH($DC$1,0),Sales!O$3*Sales!O$5,0)+IF(EOMONTH(DATE(YEAR(Sales!$K$1),MONTH(Sales!$K$1),1)+INT((DAY(Sales!$K$1)-1)/2)+Sales!L$4,0)=EOMONTH($DC$1,0),Sales!L$3*Sales!L$5,0)+IF(EOMONTH('Cash Drivers'!$DL$30+Sales!DM$4,0)=EOMONTH($DC$1,0),'Cash Drivers'!$DL$31*Sales!DM$5,0),0))</f>
        <v>19</v>
      </c>
      <c r="DE6" s="2" t="n">
        <f aca="false">ROUND(IF(EOMONTH(DATE(YEAR(Sales!$DL$1),MONTH(Sales!$DL$1),1)+INT((DAY(Sales!$DL$1)-1)/2)+Sales!DN$4,0)=EOMONTH($DC$1,0),Sales!DN$3*Sales!DN$5,0)+IF(EOMONTH(DATE(YEAR(Sales!$DI$1),MONTH(Sales!$DI$1),1)+INT((DAY(Sales!$DI$1)-1)/2)+Sales!DK$4,0)=EOMONTH($DC$1,0),Sales!DK$3*Sales!DK$5,0)+IF(EOMONTH(DATE(YEAR(Sales!$DF$1),MONTH(Sales!$DF$1),1)+INT((DAY(Sales!$DF$1)-1)/2)+Sales!DH$4,0)=EOMONTH($DC$1,0),Sales!DH$3*Sales!DH$5,0)+IF(EOMONTH(DATE(YEAR(Sales!$DC$1),MONTH(Sales!$DC$1),1)+INT((DAY(Sales!$DC$1)-1)/2)+Sales!DE$4,0)=EOMONTH($DC$1,0),Sales!DE$3*Sales!DE$5,0)+IF(EOMONTH(DATE(YEAR(Sales!$CZ$1),MONTH(Sales!$CZ$1),1)+INT((DAY(Sales!$CZ$1)-1)/2)+Sales!DB$4,0)=EOMONTH($DC$1,0),Sales!DB$3*Sales!DB$5,0)+IF(EOMONTH(DATE(YEAR(Sales!$CW$1),MONTH(Sales!$CW$1),1)+INT((DAY(Sales!$CW$1)-1)/2)+Sales!CY$4,0)=EOMONTH($DC$1,0),Sales!CY$3*Sales!CY$5,0)+IF(EOMONTH(DATE(YEAR(Sales!$CT$1),MONTH(Sales!$CT$1),1)+INT((DAY(Sales!$CT$1)-1)/2)+Sales!CV$4,0)=EOMONTH($DC$1,0),Sales!CV$3*Sales!CV$5,0)+IF(EOMONTH(DATE(YEAR(Sales!$CQ$1),MONTH(Sales!$CQ$1),1)+INT((DAY(Sales!$CQ$1)-1)/2)+Sales!CS$4,0)=EOMONTH($DC$1,0),Sales!CS$3*Sales!CS$5,0)+IF(EOMONTH(DATE(YEAR(Sales!$CN$1),MONTH(Sales!$CN$1),1)+INT((DAY(Sales!$CN$1)-1)/2)+Sales!CP$4,0)=EOMONTH($DC$1,0),Sales!CP$3*Sales!CP$5,0)+IF(EOMONTH(DATE(YEAR(Sales!$CK$1),MONTH(Sales!$CK$1),1)+INT((DAY(Sales!$CK$1)-1)/2)+Sales!CM$4,0)=EOMONTH($DC$1,0),Sales!CM$3*Sales!CM$5,0)+IF(EOMONTH(DATE(YEAR(Sales!$CH$1),MONTH(Sales!$CH$1),1)+INT((DAY(Sales!$CH$1)-1)/2)+Sales!CJ$4,0)=EOMONTH($DC$1,0),Sales!CJ$3*Sales!CJ$5,0)+IF(EOMONTH(DATE(YEAR(Sales!$CE$1),MONTH(Sales!$CE$1),1)+INT((DAY(Sales!$CE$1)-1)/2)+Sales!CG$4,0)=EOMONTH($DC$1,0),Sales!CG$3*Sales!CG$5,0)+IF(EOMONTH(DATE(YEAR(Sales!$CB$1),MONTH(Sales!$CB$1),1)+INT((DAY(Sales!$CB$1)-1)/2)+Sales!CD$4,0)=EOMONTH($DC$1,0),Sales!CD$3*Sales!CD$5,0)+IF(EOMONTH(DATE(YEAR(Sales!$BY$1),MONTH(Sales!$BY$1),1)+INT((DAY(Sales!$BY$1)-1)/2)+Sales!CA$4,0)=EOMONTH($DC$1,0),Sales!CA$3*Sales!CA$5,0)+IF(EOMONTH(DATE(YEAR(Sales!$BV$1),MONTH(Sales!$BV$1),1)+INT((DAY(Sales!$BV$1)-1)/2)+Sales!BX$4,0)=EOMONTH($DC$1,0),Sales!BX$3*Sales!BX$5,0)+IF(EOMONTH(DATE(YEAR(Sales!$BS$1),MONTH(Sales!$BS$1),1)+INT((DAY(Sales!$BS$1)-1)/2)+Sales!BU$4,0)=EOMONTH($DC$1,0),Sales!BU$3*Sales!BU$5,0)+IF(EOMONTH(DATE(YEAR(Sales!$BP$1),MONTH(Sales!$BP$1),1)+INT((DAY(Sales!$BP$1)-1)/2)+Sales!BR$4,0)=EOMONTH($DC$1,0),Sales!BR$3*Sales!BR$5,0)+IF(EOMONTH(DATE(YEAR(Sales!$BM$1),MONTH(Sales!$BM$1),1)+INT((DAY(Sales!$BM$1)-1)/2)+Sales!BO$4,0)=EOMONTH($DC$1,0),Sales!BO$3*Sales!BO$5,0)+IF(EOMONTH(DATE(YEAR(Sales!$BJ$1),MONTH(Sales!$BJ$1),1)+INT((DAY(Sales!$BJ$1)-1)/2)+Sales!BL$4,0)=EOMONTH($DC$1,0),Sales!BL$3*Sales!BL$5,0)+IF(EOMONTH(DATE(YEAR(Sales!$BG$1),MONTH(Sales!$BG$1),1)+INT((DAY(Sales!$BG$1)-1)/2)+Sales!BI$4,0)=EOMONTH($DC$1,0),Sales!BI$3*Sales!BI$5,0)+IF(EOMONTH(DATE(YEAR(Sales!$BD$1),MONTH(Sales!$BD$1),1)+INT((DAY(Sales!$BD$1)-1)/2)+Sales!BF$4,0)=EOMONTH($DC$1,0),Sales!BF$3*Sales!BF$5,0)+IF(EOMONTH(DATE(YEAR(Sales!$BA$1),MONTH(Sales!$BA$1),1)+INT((DAY(Sales!$BA$1)-1)/2)+Sales!BC$4,0)=EOMONTH($DC$1,0),Sales!BC$3*Sales!BC$5,0)+IF(EOMONTH(DATE(YEAR(Sales!$AX$1),MONTH(Sales!$AX$1),1)+INT((DAY(Sales!$AX$1)-1)/2)+Sales!AZ$4,0)=EOMONTH($DC$1,0),Sales!AZ$3*Sales!AZ$5,0)+IF(EOMONTH(DATE(YEAR(Sales!$AU$1),MONTH(Sales!$AU$1),1)+INT((DAY(Sales!$AU$1)-1)/2)+Sales!AW$4,0)=EOMONTH($DC$1,0),Sales!AW$3*Sales!AW$5,0)+IF(EOMONTH(DATE(YEAR(Sales!$AR$1),MONTH(Sales!$AR$1),1)+INT((DAY(Sales!$AR$1)-1)/2)+Sales!AT$4,0)=EOMONTH($DC$1,0),Sales!AT$3*Sales!AT$5,0)+IF(EOMONTH(DATE(YEAR(Sales!$AO$1),MONTH(Sales!$AO$1),1)+INT((DAY(Sales!$AO$1)-1)/2)+Sales!AQ$4,0)=EOMONTH($DC$1,0),Sales!AQ$3*Sales!AQ$5,0)+IF(EOMONTH(DATE(YEAR(Sales!$AL$1),MONTH(Sales!$AL$1),1)+INT((DAY(Sales!$AL$1)-1)/2)+Sales!AN$4,0)=EOMONTH($DC$1,0),Sales!AN$3*Sales!AN$5,0)+IF(EOMONTH(DATE(YEAR(Sales!$AI$1),MONTH(Sales!$AI$1),1)+INT((DAY(Sales!$AI$1)-1)/2)+Sales!AK$4,0)=EOMONTH($DC$1,0),Sales!AK$3*Sales!AK$5,0)+IF(EOMONTH(DATE(YEAR(Sales!$AF$1),MONTH(Sales!$AF$1),1)+INT((DAY(Sales!$AF$1)-1)/2)+Sales!AH$4,0)=EOMONTH($DC$1,0),Sales!AH$3*Sales!AH$5,0)+IF(EOMONTH(DATE(YEAR(Sales!$AC$1),MONTH(Sales!$AC$1),1)+INT((DAY(Sales!$AC$1)-1)/2)+Sales!AE$4,0)=EOMONTH($DC$1,0),Sales!AE$3*Sales!AE$5,0)+IF(EOMONTH(DATE(YEAR(Sales!$Z$1),MONTH(Sales!$Z$1),1)+INT((DAY(Sales!$Z$1)-1)/2)+Sales!AB$4,0)=EOMONTH($DC$1,0),Sales!AB$3*Sales!AB$5,0)+IF(EOMONTH(DATE(YEAR(Sales!$W$1),MONTH(Sales!$W$1),1)+INT((DAY(Sales!$W$1)-1)/2)+Sales!Y$4,0)=EOMONTH($DC$1,0),Sales!Y$3*Sales!Y$5,0)+IF(EOMONTH(DATE(YEAR(Sales!$T$1),MONTH(Sales!$T$1),1)+INT((DAY(Sales!$T$1)-1)/2)+Sales!V$4,0)=EOMONTH($DC$1,0),Sales!V$3*Sales!V$5,0)+IF(EOMONTH(DATE(YEAR(Sales!$Q$1),MONTH(Sales!$Q$1),1)+INT((DAY(Sales!$Q$1)-1)/2)+Sales!S$4,0)=EOMONTH($DC$1,0),Sales!S$3*Sales!S$5,0)+IF(EOMONTH(DATE(YEAR(Sales!$N$1),MONTH(Sales!$N$1),1)+INT((DAY(Sales!$N$1)-1)/2)+Sales!P$4,0)=EOMONTH($DC$1,0),Sales!P$3*Sales!P$5,0)+IF(EOMONTH(DATE(YEAR(Sales!$K$1),MONTH(Sales!$K$1),1)+INT((DAY(Sales!$K$1)-1)/2)+Sales!M$4,0)=EOMONTH($DC$1,0),Sales!M$3*Sales!M$5,0)+IF(EOMONTH('Cash Drivers'!$DL$30+Sales!DN$4,0)=EOMONTH($DC$1,0),'Cash Drivers'!$DL$31*Sales!DN$5,0),0)</f>
        <v>19</v>
      </c>
      <c r="DF6" s="23"/>
      <c r="DG6" s="23" t="n">
        <f aca="false">IF('Cash Drivers'!DG$26,DF6,ROUND(IF(EOMONTH(DATE(YEAR(Sales!$DL$1),MONTH(Sales!$DL$1),1)+INT((DAY(Sales!$DL$1)-1)/2)+Sales!DM$4,0)=EOMONTH($DF$1,0),Sales!DM$3*Sales!DM$5,0)+IF(EOMONTH(DATE(YEAR(Sales!$DI$1),MONTH(Sales!$DI$1),1)+INT((DAY(Sales!$DI$1)-1)/2)+Sales!DJ$4,0)=EOMONTH($DF$1,0),Sales!DJ$3*Sales!DJ$5,0)+IF(EOMONTH(DATE(YEAR(Sales!$DF$1),MONTH(Sales!$DF$1),1)+INT((DAY(Sales!$DF$1)-1)/2)+Sales!DG$4,0)=EOMONTH($DF$1,0),Sales!DG$3*Sales!DG$5,0)+IF(EOMONTH(DATE(YEAR(Sales!$DC$1),MONTH(Sales!$DC$1),1)+INT((DAY(Sales!$DC$1)-1)/2)+Sales!DD$4,0)=EOMONTH($DF$1,0),Sales!DD$3*Sales!DD$5,0)+IF(EOMONTH(DATE(YEAR(Sales!$CZ$1),MONTH(Sales!$CZ$1),1)+INT((DAY(Sales!$CZ$1)-1)/2)+Sales!DA$4,0)=EOMONTH($DF$1,0),Sales!DA$3*Sales!DA$5,0)+IF(EOMONTH(DATE(YEAR(Sales!$CW$1),MONTH(Sales!$CW$1),1)+INT((DAY(Sales!$CW$1)-1)/2)+Sales!CX$4,0)=EOMONTH($DF$1,0),Sales!CX$3*Sales!CX$5,0)+IF(EOMONTH(DATE(YEAR(Sales!$CT$1),MONTH(Sales!$CT$1),1)+INT((DAY(Sales!$CT$1)-1)/2)+Sales!CU$4,0)=EOMONTH($DF$1,0),Sales!CU$3*Sales!CU$5,0)+IF(EOMONTH(DATE(YEAR(Sales!$CQ$1),MONTH(Sales!$CQ$1),1)+INT((DAY(Sales!$CQ$1)-1)/2)+Sales!CR$4,0)=EOMONTH($DF$1,0),Sales!CR$3*Sales!CR$5,0)+IF(EOMONTH(DATE(YEAR(Sales!$CN$1),MONTH(Sales!$CN$1),1)+INT((DAY(Sales!$CN$1)-1)/2)+Sales!CO$4,0)=EOMONTH($DF$1,0),Sales!CO$3*Sales!CO$5,0)+IF(EOMONTH(DATE(YEAR(Sales!$CK$1),MONTH(Sales!$CK$1),1)+INT((DAY(Sales!$CK$1)-1)/2)+Sales!CL$4,0)=EOMONTH($DF$1,0),Sales!CL$3*Sales!CL$5,0)+IF(EOMONTH(DATE(YEAR(Sales!$CH$1),MONTH(Sales!$CH$1),1)+INT((DAY(Sales!$CH$1)-1)/2)+Sales!CI$4,0)=EOMONTH($DF$1,0),Sales!CI$3*Sales!CI$5,0)+IF(EOMONTH(DATE(YEAR(Sales!$CE$1),MONTH(Sales!$CE$1),1)+INT((DAY(Sales!$CE$1)-1)/2)+Sales!CF$4,0)=EOMONTH($DF$1,0),Sales!CF$3*Sales!CF$5,0)+IF(EOMONTH(DATE(YEAR(Sales!$CB$1),MONTH(Sales!$CB$1),1)+INT((DAY(Sales!$CB$1)-1)/2)+Sales!CC$4,0)=EOMONTH($DF$1,0),Sales!CC$3*Sales!CC$5,0)+IF(EOMONTH(DATE(YEAR(Sales!$BY$1),MONTH(Sales!$BY$1),1)+INT((DAY(Sales!$BY$1)-1)/2)+Sales!BZ$4,0)=EOMONTH($DF$1,0),Sales!BZ$3*Sales!BZ$5,0)+IF(EOMONTH(DATE(YEAR(Sales!$BV$1),MONTH(Sales!$BV$1),1)+INT((DAY(Sales!$BV$1)-1)/2)+Sales!BW$4,0)=EOMONTH($DF$1,0),Sales!BW$3*Sales!BW$5,0)+IF(EOMONTH(DATE(YEAR(Sales!$BS$1),MONTH(Sales!$BS$1),1)+INT((DAY(Sales!$BS$1)-1)/2)+Sales!BT$4,0)=EOMONTH($DF$1,0),Sales!BT$3*Sales!BT$5,0)+IF(EOMONTH(DATE(YEAR(Sales!$BP$1),MONTH(Sales!$BP$1),1)+INT((DAY(Sales!$BP$1)-1)/2)+Sales!BQ$4,0)=EOMONTH($DF$1,0),Sales!BQ$3*Sales!BQ$5,0)+IF(EOMONTH(DATE(YEAR(Sales!$BM$1),MONTH(Sales!$BM$1),1)+INT((DAY(Sales!$BM$1)-1)/2)+Sales!BN$4,0)=EOMONTH($DF$1,0),Sales!BN$3*Sales!BN$5,0)+IF(EOMONTH(DATE(YEAR(Sales!$BJ$1),MONTH(Sales!$BJ$1),1)+INT((DAY(Sales!$BJ$1)-1)/2)+Sales!BK$4,0)=EOMONTH($DF$1,0),Sales!BK$3*Sales!BK$5,0)+IF(EOMONTH(DATE(YEAR(Sales!$BG$1),MONTH(Sales!$BG$1),1)+INT((DAY(Sales!$BG$1)-1)/2)+Sales!BH$4,0)=EOMONTH($DF$1,0),Sales!BH$3*Sales!BH$5,0)+IF(EOMONTH(DATE(YEAR(Sales!$BD$1),MONTH(Sales!$BD$1),1)+INT((DAY(Sales!$BD$1)-1)/2)+Sales!BE$4,0)=EOMONTH($DF$1,0),Sales!BE$3*Sales!BE$5,0)+IF(EOMONTH(DATE(YEAR(Sales!$BA$1),MONTH(Sales!$BA$1),1)+INT((DAY(Sales!$BA$1)-1)/2)+Sales!BB$4,0)=EOMONTH($DF$1,0),Sales!BB$3*Sales!BB$5,0)+IF(EOMONTH(DATE(YEAR(Sales!$AX$1),MONTH(Sales!$AX$1),1)+INT((DAY(Sales!$AX$1)-1)/2)+Sales!AY$4,0)=EOMONTH($DF$1,0),Sales!AY$3*Sales!AY$5,0)+IF(EOMONTH(DATE(YEAR(Sales!$AU$1),MONTH(Sales!$AU$1),1)+INT((DAY(Sales!$AU$1)-1)/2)+Sales!AV$4,0)=EOMONTH($DF$1,0),Sales!AV$3*Sales!AV$5,0)+IF(EOMONTH(DATE(YEAR(Sales!$AR$1),MONTH(Sales!$AR$1),1)+INT((DAY(Sales!$AR$1)-1)/2)+Sales!AS$4,0)=EOMONTH($DF$1,0),Sales!AS$3*Sales!AS$5,0)+IF(EOMONTH(DATE(YEAR(Sales!$AO$1),MONTH(Sales!$AO$1),1)+INT((DAY(Sales!$AO$1)-1)/2)+Sales!AP$4,0)=EOMONTH($DF$1,0),Sales!AP$3*Sales!AP$5,0)+IF(EOMONTH(DATE(YEAR(Sales!$AL$1),MONTH(Sales!$AL$1),1)+INT((DAY(Sales!$AL$1)-1)/2)+Sales!AM$4,0)=EOMONTH($DF$1,0),Sales!AM$3*Sales!AM$5,0)+IF(EOMONTH(DATE(YEAR(Sales!$AI$1),MONTH(Sales!$AI$1),1)+INT((DAY(Sales!$AI$1)-1)/2)+Sales!AJ$4,0)=EOMONTH($DF$1,0),Sales!AJ$3*Sales!AJ$5,0)+IF(EOMONTH(DATE(YEAR(Sales!$AF$1),MONTH(Sales!$AF$1),1)+INT((DAY(Sales!$AF$1)-1)/2)+Sales!AG$4,0)=EOMONTH($DF$1,0),Sales!AG$3*Sales!AG$5,0)+IF(EOMONTH(DATE(YEAR(Sales!$AC$1),MONTH(Sales!$AC$1),1)+INT((DAY(Sales!$AC$1)-1)/2)+Sales!AD$4,0)=EOMONTH($DF$1,0),Sales!AD$3*Sales!AD$5,0)+IF(EOMONTH(DATE(YEAR(Sales!$Z$1),MONTH(Sales!$Z$1),1)+INT((DAY(Sales!$Z$1)-1)/2)+Sales!AA$4,0)=EOMONTH($DF$1,0),Sales!AA$3*Sales!AA$5,0)+IF(EOMONTH(DATE(YEAR(Sales!$W$1),MONTH(Sales!$W$1),1)+INT((DAY(Sales!$W$1)-1)/2)+Sales!X$4,0)=EOMONTH($DF$1,0),Sales!X$3*Sales!X$5,0)+IF(EOMONTH(DATE(YEAR(Sales!$T$1),MONTH(Sales!$T$1),1)+INT((DAY(Sales!$T$1)-1)/2)+Sales!U$4,0)=EOMONTH($DF$1,0),Sales!U$3*Sales!U$5,0)+IF(EOMONTH(DATE(YEAR(Sales!$Q$1),MONTH(Sales!$Q$1),1)+INT((DAY(Sales!$Q$1)-1)/2)+Sales!R$4,0)=EOMONTH($DF$1,0),Sales!R$3*Sales!R$5,0)+IF(EOMONTH(DATE(YEAR(Sales!$N$1),MONTH(Sales!$N$1),1)+INT((DAY(Sales!$N$1)-1)/2)+Sales!O$4,0)=EOMONTH($DF$1,0),Sales!O$3*Sales!O$5,0)+IF(EOMONTH(DATE(YEAR(Sales!$K$1),MONTH(Sales!$K$1),1)+INT((DAY(Sales!$K$1)-1)/2)+Sales!L$4,0)=EOMONTH($DF$1,0),Sales!L$3*Sales!L$5,0)+IF(EOMONTH('Cash Drivers'!$DL$30+Sales!DM$4,0)=EOMONTH($DF$1,0),'Cash Drivers'!$DL$31*Sales!DM$5,0),0))</f>
        <v>30</v>
      </c>
      <c r="DH6" s="23" t="n">
        <f aca="false">ROUND(IF(EOMONTH(DATE(YEAR(Sales!$DL$1),MONTH(Sales!$DL$1),1)+INT((DAY(Sales!$DL$1)-1)/2)+Sales!DN$4,0)=EOMONTH($DF$1,0),Sales!DN$3*Sales!DN$5,0)+IF(EOMONTH(DATE(YEAR(Sales!$DI$1),MONTH(Sales!$DI$1),1)+INT((DAY(Sales!$DI$1)-1)/2)+Sales!DK$4,0)=EOMONTH($DF$1,0),Sales!DK$3*Sales!DK$5,0)+IF(EOMONTH(DATE(YEAR(Sales!$DF$1),MONTH(Sales!$DF$1),1)+INT((DAY(Sales!$DF$1)-1)/2)+Sales!DH$4,0)=EOMONTH($DF$1,0),Sales!DH$3*Sales!DH$5,0)+IF(EOMONTH(DATE(YEAR(Sales!$DC$1),MONTH(Sales!$DC$1),1)+INT((DAY(Sales!$DC$1)-1)/2)+Sales!DE$4,0)=EOMONTH($DF$1,0),Sales!DE$3*Sales!DE$5,0)+IF(EOMONTH(DATE(YEAR(Sales!$CZ$1),MONTH(Sales!$CZ$1),1)+INT((DAY(Sales!$CZ$1)-1)/2)+Sales!DB$4,0)=EOMONTH($DF$1,0),Sales!DB$3*Sales!DB$5,0)+IF(EOMONTH(DATE(YEAR(Sales!$CW$1),MONTH(Sales!$CW$1),1)+INT((DAY(Sales!$CW$1)-1)/2)+Sales!CY$4,0)=EOMONTH($DF$1,0),Sales!CY$3*Sales!CY$5,0)+IF(EOMONTH(DATE(YEAR(Sales!$CT$1),MONTH(Sales!$CT$1),1)+INT((DAY(Sales!$CT$1)-1)/2)+Sales!CV$4,0)=EOMONTH($DF$1,0),Sales!CV$3*Sales!CV$5,0)+IF(EOMONTH(DATE(YEAR(Sales!$CQ$1),MONTH(Sales!$CQ$1),1)+INT((DAY(Sales!$CQ$1)-1)/2)+Sales!CS$4,0)=EOMONTH($DF$1,0),Sales!CS$3*Sales!CS$5,0)+IF(EOMONTH(DATE(YEAR(Sales!$CN$1),MONTH(Sales!$CN$1),1)+INT((DAY(Sales!$CN$1)-1)/2)+Sales!CP$4,0)=EOMONTH($DF$1,0),Sales!CP$3*Sales!CP$5,0)+IF(EOMONTH(DATE(YEAR(Sales!$CK$1),MONTH(Sales!$CK$1),1)+INT((DAY(Sales!$CK$1)-1)/2)+Sales!CM$4,0)=EOMONTH($DF$1,0),Sales!CM$3*Sales!CM$5,0)+IF(EOMONTH(DATE(YEAR(Sales!$CH$1),MONTH(Sales!$CH$1),1)+INT((DAY(Sales!$CH$1)-1)/2)+Sales!CJ$4,0)=EOMONTH($DF$1,0),Sales!CJ$3*Sales!CJ$5,0)+IF(EOMONTH(DATE(YEAR(Sales!$CE$1),MONTH(Sales!$CE$1),1)+INT((DAY(Sales!$CE$1)-1)/2)+Sales!CG$4,0)=EOMONTH($DF$1,0),Sales!CG$3*Sales!CG$5,0)+IF(EOMONTH(DATE(YEAR(Sales!$CB$1),MONTH(Sales!$CB$1),1)+INT((DAY(Sales!$CB$1)-1)/2)+Sales!CD$4,0)=EOMONTH($DF$1,0),Sales!CD$3*Sales!CD$5,0)+IF(EOMONTH(DATE(YEAR(Sales!$BY$1),MONTH(Sales!$BY$1),1)+INT((DAY(Sales!$BY$1)-1)/2)+Sales!CA$4,0)=EOMONTH($DF$1,0),Sales!CA$3*Sales!CA$5,0)+IF(EOMONTH(DATE(YEAR(Sales!$BV$1),MONTH(Sales!$BV$1),1)+INT((DAY(Sales!$BV$1)-1)/2)+Sales!BX$4,0)=EOMONTH($DF$1,0),Sales!BX$3*Sales!BX$5,0)+IF(EOMONTH(DATE(YEAR(Sales!$BS$1),MONTH(Sales!$BS$1),1)+INT((DAY(Sales!$BS$1)-1)/2)+Sales!BU$4,0)=EOMONTH($DF$1,0),Sales!BU$3*Sales!BU$5,0)+IF(EOMONTH(DATE(YEAR(Sales!$BP$1),MONTH(Sales!$BP$1),1)+INT((DAY(Sales!$BP$1)-1)/2)+Sales!BR$4,0)=EOMONTH($DF$1,0),Sales!BR$3*Sales!BR$5,0)+IF(EOMONTH(DATE(YEAR(Sales!$BM$1),MONTH(Sales!$BM$1),1)+INT((DAY(Sales!$BM$1)-1)/2)+Sales!BO$4,0)=EOMONTH($DF$1,0),Sales!BO$3*Sales!BO$5,0)+IF(EOMONTH(DATE(YEAR(Sales!$BJ$1),MONTH(Sales!$BJ$1),1)+INT((DAY(Sales!$BJ$1)-1)/2)+Sales!BL$4,0)=EOMONTH($DF$1,0),Sales!BL$3*Sales!BL$5,0)+IF(EOMONTH(DATE(YEAR(Sales!$BG$1),MONTH(Sales!$BG$1),1)+INT((DAY(Sales!$BG$1)-1)/2)+Sales!BI$4,0)=EOMONTH($DF$1,0),Sales!BI$3*Sales!BI$5,0)+IF(EOMONTH(DATE(YEAR(Sales!$BD$1),MONTH(Sales!$BD$1),1)+INT((DAY(Sales!$BD$1)-1)/2)+Sales!BF$4,0)=EOMONTH($DF$1,0),Sales!BF$3*Sales!BF$5,0)+IF(EOMONTH(DATE(YEAR(Sales!$BA$1),MONTH(Sales!$BA$1),1)+INT((DAY(Sales!$BA$1)-1)/2)+Sales!BC$4,0)=EOMONTH($DF$1,0),Sales!BC$3*Sales!BC$5,0)+IF(EOMONTH(DATE(YEAR(Sales!$AX$1),MONTH(Sales!$AX$1),1)+INT((DAY(Sales!$AX$1)-1)/2)+Sales!AZ$4,0)=EOMONTH($DF$1,0),Sales!AZ$3*Sales!AZ$5,0)+IF(EOMONTH(DATE(YEAR(Sales!$AU$1),MONTH(Sales!$AU$1),1)+INT((DAY(Sales!$AU$1)-1)/2)+Sales!AW$4,0)=EOMONTH($DF$1,0),Sales!AW$3*Sales!AW$5,0)+IF(EOMONTH(DATE(YEAR(Sales!$AR$1),MONTH(Sales!$AR$1),1)+INT((DAY(Sales!$AR$1)-1)/2)+Sales!AT$4,0)=EOMONTH($DF$1,0),Sales!AT$3*Sales!AT$5,0)+IF(EOMONTH(DATE(YEAR(Sales!$AO$1),MONTH(Sales!$AO$1),1)+INT((DAY(Sales!$AO$1)-1)/2)+Sales!AQ$4,0)=EOMONTH($DF$1,0),Sales!AQ$3*Sales!AQ$5,0)+IF(EOMONTH(DATE(YEAR(Sales!$AL$1),MONTH(Sales!$AL$1),1)+INT((DAY(Sales!$AL$1)-1)/2)+Sales!AN$4,0)=EOMONTH($DF$1,0),Sales!AN$3*Sales!AN$5,0)+IF(EOMONTH(DATE(YEAR(Sales!$AI$1),MONTH(Sales!$AI$1),1)+INT((DAY(Sales!$AI$1)-1)/2)+Sales!AK$4,0)=EOMONTH($DF$1,0),Sales!AK$3*Sales!AK$5,0)+IF(EOMONTH(DATE(YEAR(Sales!$AF$1),MONTH(Sales!$AF$1),1)+INT((DAY(Sales!$AF$1)-1)/2)+Sales!AH$4,0)=EOMONTH($DF$1,0),Sales!AH$3*Sales!AH$5,0)+IF(EOMONTH(DATE(YEAR(Sales!$AC$1),MONTH(Sales!$AC$1),1)+INT((DAY(Sales!$AC$1)-1)/2)+Sales!AE$4,0)=EOMONTH($DF$1,0),Sales!AE$3*Sales!AE$5,0)+IF(EOMONTH(DATE(YEAR(Sales!$Z$1),MONTH(Sales!$Z$1),1)+INT((DAY(Sales!$Z$1)-1)/2)+Sales!AB$4,0)=EOMONTH($DF$1,0),Sales!AB$3*Sales!AB$5,0)+IF(EOMONTH(DATE(YEAR(Sales!$W$1),MONTH(Sales!$W$1),1)+INT((DAY(Sales!$W$1)-1)/2)+Sales!Y$4,0)=EOMONTH($DF$1,0),Sales!Y$3*Sales!Y$5,0)+IF(EOMONTH(DATE(YEAR(Sales!$T$1),MONTH(Sales!$T$1),1)+INT((DAY(Sales!$T$1)-1)/2)+Sales!V$4,0)=EOMONTH($DF$1,0),Sales!V$3*Sales!V$5,0)+IF(EOMONTH(DATE(YEAR(Sales!$Q$1),MONTH(Sales!$Q$1),1)+INT((DAY(Sales!$Q$1)-1)/2)+Sales!S$4,0)=EOMONTH($DF$1,0),Sales!S$3*Sales!S$5,0)+IF(EOMONTH(DATE(YEAR(Sales!$N$1),MONTH(Sales!$N$1),1)+INT((DAY(Sales!$N$1)-1)/2)+Sales!P$4,0)=EOMONTH($DF$1,0),Sales!P$3*Sales!P$5,0)+IF(EOMONTH(DATE(YEAR(Sales!$K$1),MONTH(Sales!$K$1),1)+INT((DAY(Sales!$K$1)-1)/2)+Sales!M$4,0)=EOMONTH($DF$1,0),Sales!M$3*Sales!M$5,0)+IF(EOMONTH('Cash Drivers'!$DL$30+Sales!DN$4,0)=EOMONTH($DF$1,0),'Cash Drivers'!$DL$31*Sales!DN$5,0),0)</f>
        <v>38</v>
      </c>
      <c r="DI6" s="5" t="n">
        <v>11</v>
      </c>
      <c r="DJ6" s="2" t="n">
        <f aca="false">IF('Cash Drivers'!DJ$26,DI6,ROUND(IF(EOMONTH(DATE(YEAR(Sales!$DL$1),MONTH(Sales!$DL$1),1)+INT((DAY(Sales!$DL$1)-1)/2)+Sales!DM$4,0)=EOMONTH($DI$1,0),Sales!DM$3*Sales!DM$5,0)+IF(EOMONTH(DATE(YEAR(Sales!$DI$1),MONTH(Sales!$DI$1),1)+INT((DAY(Sales!$DI$1)-1)/2)+Sales!DJ$4,0)=EOMONTH($DI$1,0),Sales!DJ$3*Sales!DJ$5,0)+IF(EOMONTH(DATE(YEAR(Sales!$DF$1),MONTH(Sales!$DF$1),1)+INT((DAY(Sales!$DF$1)-1)/2)+Sales!DG$4,0)=EOMONTH($DI$1,0),Sales!DG$3*Sales!DG$5,0)+IF(EOMONTH(DATE(YEAR(Sales!$DC$1),MONTH(Sales!$DC$1),1)+INT((DAY(Sales!$DC$1)-1)/2)+Sales!DD$4,0)=EOMONTH($DI$1,0),Sales!DD$3*Sales!DD$5,0)+IF(EOMONTH(DATE(YEAR(Sales!$CZ$1),MONTH(Sales!$CZ$1),1)+INT((DAY(Sales!$CZ$1)-1)/2)+Sales!DA$4,0)=EOMONTH($DI$1,0),Sales!DA$3*Sales!DA$5,0)+IF(EOMONTH(DATE(YEAR(Sales!$CW$1),MONTH(Sales!$CW$1),1)+INT((DAY(Sales!$CW$1)-1)/2)+Sales!CX$4,0)=EOMONTH($DI$1,0),Sales!CX$3*Sales!CX$5,0)+IF(EOMONTH(DATE(YEAR(Sales!$CT$1),MONTH(Sales!$CT$1),1)+INT((DAY(Sales!$CT$1)-1)/2)+Sales!CU$4,0)=EOMONTH($DI$1,0),Sales!CU$3*Sales!CU$5,0)+IF(EOMONTH(DATE(YEAR(Sales!$CQ$1),MONTH(Sales!$CQ$1),1)+INT((DAY(Sales!$CQ$1)-1)/2)+Sales!CR$4,0)=EOMONTH($DI$1,0),Sales!CR$3*Sales!CR$5,0)+IF(EOMONTH(DATE(YEAR(Sales!$CN$1),MONTH(Sales!$CN$1),1)+INT((DAY(Sales!$CN$1)-1)/2)+Sales!CO$4,0)=EOMONTH($DI$1,0),Sales!CO$3*Sales!CO$5,0)+IF(EOMONTH(DATE(YEAR(Sales!$CK$1),MONTH(Sales!$CK$1),1)+INT((DAY(Sales!$CK$1)-1)/2)+Sales!CL$4,0)=EOMONTH($DI$1,0),Sales!CL$3*Sales!CL$5,0)+IF(EOMONTH(DATE(YEAR(Sales!$CH$1),MONTH(Sales!$CH$1),1)+INT((DAY(Sales!$CH$1)-1)/2)+Sales!CI$4,0)=EOMONTH($DI$1,0),Sales!CI$3*Sales!CI$5,0)+IF(EOMONTH(DATE(YEAR(Sales!$CE$1),MONTH(Sales!$CE$1),1)+INT((DAY(Sales!$CE$1)-1)/2)+Sales!CF$4,0)=EOMONTH($DI$1,0),Sales!CF$3*Sales!CF$5,0)+IF(EOMONTH(DATE(YEAR(Sales!$CB$1),MONTH(Sales!$CB$1),1)+INT((DAY(Sales!$CB$1)-1)/2)+Sales!CC$4,0)=EOMONTH($DI$1,0),Sales!CC$3*Sales!CC$5,0)+IF(EOMONTH(DATE(YEAR(Sales!$BY$1),MONTH(Sales!$BY$1),1)+INT((DAY(Sales!$BY$1)-1)/2)+Sales!BZ$4,0)=EOMONTH($DI$1,0),Sales!BZ$3*Sales!BZ$5,0)+IF(EOMONTH(DATE(YEAR(Sales!$BV$1),MONTH(Sales!$BV$1),1)+INT((DAY(Sales!$BV$1)-1)/2)+Sales!BW$4,0)=EOMONTH($DI$1,0),Sales!BW$3*Sales!BW$5,0)+IF(EOMONTH(DATE(YEAR(Sales!$BS$1),MONTH(Sales!$BS$1),1)+INT((DAY(Sales!$BS$1)-1)/2)+Sales!BT$4,0)=EOMONTH($DI$1,0),Sales!BT$3*Sales!BT$5,0)+IF(EOMONTH(DATE(YEAR(Sales!$BP$1),MONTH(Sales!$BP$1),1)+INT((DAY(Sales!$BP$1)-1)/2)+Sales!BQ$4,0)=EOMONTH($DI$1,0),Sales!BQ$3*Sales!BQ$5,0)+IF(EOMONTH(DATE(YEAR(Sales!$BM$1),MONTH(Sales!$BM$1),1)+INT((DAY(Sales!$BM$1)-1)/2)+Sales!BN$4,0)=EOMONTH($DI$1,0),Sales!BN$3*Sales!BN$5,0)+IF(EOMONTH(DATE(YEAR(Sales!$BJ$1),MONTH(Sales!$BJ$1),1)+INT((DAY(Sales!$BJ$1)-1)/2)+Sales!BK$4,0)=EOMONTH($DI$1,0),Sales!BK$3*Sales!BK$5,0)+IF(EOMONTH(DATE(YEAR(Sales!$BG$1),MONTH(Sales!$BG$1),1)+INT((DAY(Sales!$BG$1)-1)/2)+Sales!BH$4,0)=EOMONTH($DI$1,0),Sales!BH$3*Sales!BH$5,0)+IF(EOMONTH(DATE(YEAR(Sales!$BD$1),MONTH(Sales!$BD$1),1)+INT((DAY(Sales!$BD$1)-1)/2)+Sales!BE$4,0)=EOMONTH($DI$1,0),Sales!BE$3*Sales!BE$5,0)+IF(EOMONTH(DATE(YEAR(Sales!$BA$1),MONTH(Sales!$BA$1),1)+INT((DAY(Sales!$BA$1)-1)/2)+Sales!BB$4,0)=EOMONTH($DI$1,0),Sales!BB$3*Sales!BB$5,0)+IF(EOMONTH(DATE(YEAR(Sales!$AX$1),MONTH(Sales!$AX$1),1)+INT((DAY(Sales!$AX$1)-1)/2)+Sales!AY$4,0)=EOMONTH($DI$1,0),Sales!AY$3*Sales!AY$5,0)+IF(EOMONTH(DATE(YEAR(Sales!$AU$1),MONTH(Sales!$AU$1),1)+INT((DAY(Sales!$AU$1)-1)/2)+Sales!AV$4,0)=EOMONTH($DI$1,0),Sales!AV$3*Sales!AV$5,0)+IF(EOMONTH(DATE(YEAR(Sales!$AR$1),MONTH(Sales!$AR$1),1)+INT((DAY(Sales!$AR$1)-1)/2)+Sales!AS$4,0)=EOMONTH($DI$1,0),Sales!AS$3*Sales!AS$5,0)+IF(EOMONTH(DATE(YEAR(Sales!$AO$1),MONTH(Sales!$AO$1),1)+INT((DAY(Sales!$AO$1)-1)/2)+Sales!AP$4,0)=EOMONTH($DI$1,0),Sales!AP$3*Sales!AP$5,0)+IF(EOMONTH(DATE(YEAR(Sales!$AL$1),MONTH(Sales!$AL$1),1)+INT((DAY(Sales!$AL$1)-1)/2)+Sales!AM$4,0)=EOMONTH($DI$1,0),Sales!AM$3*Sales!AM$5,0)+IF(EOMONTH(DATE(YEAR(Sales!$AI$1),MONTH(Sales!$AI$1),1)+INT((DAY(Sales!$AI$1)-1)/2)+Sales!AJ$4,0)=EOMONTH($DI$1,0),Sales!AJ$3*Sales!AJ$5,0)+IF(EOMONTH(DATE(YEAR(Sales!$AF$1),MONTH(Sales!$AF$1),1)+INT((DAY(Sales!$AF$1)-1)/2)+Sales!AG$4,0)=EOMONTH($DI$1,0),Sales!AG$3*Sales!AG$5,0)+IF(EOMONTH(DATE(YEAR(Sales!$AC$1),MONTH(Sales!$AC$1),1)+INT((DAY(Sales!$AC$1)-1)/2)+Sales!AD$4,0)=EOMONTH($DI$1,0),Sales!AD$3*Sales!AD$5,0)+IF(EOMONTH(DATE(YEAR(Sales!$Z$1),MONTH(Sales!$Z$1),1)+INT((DAY(Sales!$Z$1)-1)/2)+Sales!AA$4,0)=EOMONTH($DI$1,0),Sales!AA$3*Sales!AA$5,0)+IF(EOMONTH(DATE(YEAR(Sales!$W$1),MONTH(Sales!$W$1),1)+INT((DAY(Sales!$W$1)-1)/2)+Sales!X$4,0)=EOMONTH($DI$1,0),Sales!X$3*Sales!X$5,0)+IF(EOMONTH(DATE(YEAR(Sales!$T$1),MONTH(Sales!$T$1),1)+INT((DAY(Sales!$T$1)-1)/2)+Sales!U$4,0)=EOMONTH($DI$1,0),Sales!U$3*Sales!U$5,0)+IF(EOMONTH(DATE(YEAR(Sales!$Q$1),MONTH(Sales!$Q$1),1)+INT((DAY(Sales!$Q$1)-1)/2)+Sales!R$4,0)=EOMONTH($DI$1,0),Sales!R$3*Sales!R$5,0)+IF(EOMONTH(DATE(YEAR(Sales!$N$1),MONTH(Sales!$N$1),1)+INT((DAY(Sales!$N$1)-1)/2)+Sales!O$4,0)=EOMONTH($DI$1,0),Sales!O$3*Sales!O$5,0)+IF(EOMONTH(DATE(YEAR(Sales!$K$1),MONTH(Sales!$K$1),1)+INT((DAY(Sales!$K$1)-1)/2)+Sales!L$4,0)=EOMONTH($DI$1,0),Sales!L$3*Sales!L$5,0)+IF(EOMONTH('Cash Drivers'!$DL$30+Sales!DM$4,0)=EOMONTH($DI$1,0),'Cash Drivers'!$DL$31*Sales!DM$5,0),0))</f>
        <v>11</v>
      </c>
      <c r="DK6" s="2" t="n">
        <f aca="false">ROUND(IF(EOMONTH(DATE(YEAR(Sales!$DL$1),MONTH(Sales!$DL$1),1)+INT((DAY(Sales!$DL$1)-1)/2)+Sales!DN$4,0)=EOMONTH($DI$1,0),Sales!DN$3*Sales!DN$5,0)+IF(EOMONTH(DATE(YEAR(Sales!$DI$1),MONTH(Sales!$DI$1),1)+INT((DAY(Sales!$DI$1)-1)/2)+Sales!DK$4,0)=EOMONTH($DI$1,0),Sales!DK$3*Sales!DK$5,0)+IF(EOMONTH(DATE(YEAR(Sales!$DF$1),MONTH(Sales!$DF$1),1)+INT((DAY(Sales!$DF$1)-1)/2)+Sales!DH$4,0)=EOMONTH($DI$1,0),Sales!DH$3*Sales!DH$5,0)+IF(EOMONTH(DATE(YEAR(Sales!$DC$1),MONTH(Sales!$DC$1),1)+INT((DAY(Sales!$DC$1)-1)/2)+Sales!DE$4,0)=EOMONTH($DI$1,0),Sales!DE$3*Sales!DE$5,0)+IF(EOMONTH(DATE(YEAR(Sales!$CZ$1),MONTH(Sales!$CZ$1),1)+INT((DAY(Sales!$CZ$1)-1)/2)+Sales!DB$4,0)=EOMONTH($DI$1,0),Sales!DB$3*Sales!DB$5,0)+IF(EOMONTH(DATE(YEAR(Sales!$CW$1),MONTH(Sales!$CW$1),1)+INT((DAY(Sales!$CW$1)-1)/2)+Sales!CY$4,0)=EOMONTH($DI$1,0),Sales!CY$3*Sales!CY$5,0)+IF(EOMONTH(DATE(YEAR(Sales!$CT$1),MONTH(Sales!$CT$1),1)+INT((DAY(Sales!$CT$1)-1)/2)+Sales!CV$4,0)=EOMONTH($DI$1,0),Sales!CV$3*Sales!CV$5,0)+IF(EOMONTH(DATE(YEAR(Sales!$CQ$1),MONTH(Sales!$CQ$1),1)+INT((DAY(Sales!$CQ$1)-1)/2)+Sales!CS$4,0)=EOMONTH($DI$1,0),Sales!CS$3*Sales!CS$5,0)+IF(EOMONTH(DATE(YEAR(Sales!$CN$1),MONTH(Sales!$CN$1),1)+INT((DAY(Sales!$CN$1)-1)/2)+Sales!CP$4,0)=EOMONTH($DI$1,0),Sales!CP$3*Sales!CP$5,0)+IF(EOMONTH(DATE(YEAR(Sales!$CK$1),MONTH(Sales!$CK$1),1)+INT((DAY(Sales!$CK$1)-1)/2)+Sales!CM$4,0)=EOMONTH($DI$1,0),Sales!CM$3*Sales!CM$5,0)+IF(EOMONTH(DATE(YEAR(Sales!$CH$1),MONTH(Sales!$CH$1),1)+INT((DAY(Sales!$CH$1)-1)/2)+Sales!CJ$4,0)=EOMONTH($DI$1,0),Sales!CJ$3*Sales!CJ$5,0)+IF(EOMONTH(DATE(YEAR(Sales!$CE$1),MONTH(Sales!$CE$1),1)+INT((DAY(Sales!$CE$1)-1)/2)+Sales!CG$4,0)=EOMONTH($DI$1,0),Sales!CG$3*Sales!CG$5,0)+IF(EOMONTH(DATE(YEAR(Sales!$CB$1),MONTH(Sales!$CB$1),1)+INT((DAY(Sales!$CB$1)-1)/2)+Sales!CD$4,0)=EOMONTH($DI$1,0),Sales!CD$3*Sales!CD$5,0)+IF(EOMONTH(DATE(YEAR(Sales!$BY$1),MONTH(Sales!$BY$1),1)+INT((DAY(Sales!$BY$1)-1)/2)+Sales!CA$4,0)=EOMONTH($DI$1,0),Sales!CA$3*Sales!CA$5,0)+IF(EOMONTH(DATE(YEAR(Sales!$BV$1),MONTH(Sales!$BV$1),1)+INT((DAY(Sales!$BV$1)-1)/2)+Sales!BX$4,0)=EOMONTH($DI$1,0),Sales!BX$3*Sales!BX$5,0)+IF(EOMONTH(DATE(YEAR(Sales!$BS$1),MONTH(Sales!$BS$1),1)+INT((DAY(Sales!$BS$1)-1)/2)+Sales!BU$4,0)=EOMONTH($DI$1,0),Sales!BU$3*Sales!BU$5,0)+IF(EOMONTH(DATE(YEAR(Sales!$BP$1),MONTH(Sales!$BP$1),1)+INT((DAY(Sales!$BP$1)-1)/2)+Sales!BR$4,0)=EOMONTH($DI$1,0),Sales!BR$3*Sales!BR$5,0)+IF(EOMONTH(DATE(YEAR(Sales!$BM$1),MONTH(Sales!$BM$1),1)+INT((DAY(Sales!$BM$1)-1)/2)+Sales!BO$4,0)=EOMONTH($DI$1,0),Sales!BO$3*Sales!BO$5,0)+IF(EOMONTH(DATE(YEAR(Sales!$BJ$1),MONTH(Sales!$BJ$1),1)+INT((DAY(Sales!$BJ$1)-1)/2)+Sales!BL$4,0)=EOMONTH($DI$1,0),Sales!BL$3*Sales!BL$5,0)+IF(EOMONTH(DATE(YEAR(Sales!$BG$1),MONTH(Sales!$BG$1),1)+INT((DAY(Sales!$BG$1)-1)/2)+Sales!BI$4,0)=EOMONTH($DI$1,0),Sales!BI$3*Sales!BI$5,0)+IF(EOMONTH(DATE(YEAR(Sales!$BD$1),MONTH(Sales!$BD$1),1)+INT((DAY(Sales!$BD$1)-1)/2)+Sales!BF$4,0)=EOMONTH($DI$1,0),Sales!BF$3*Sales!BF$5,0)+IF(EOMONTH(DATE(YEAR(Sales!$BA$1),MONTH(Sales!$BA$1),1)+INT((DAY(Sales!$BA$1)-1)/2)+Sales!BC$4,0)=EOMONTH($DI$1,0),Sales!BC$3*Sales!BC$5,0)+IF(EOMONTH(DATE(YEAR(Sales!$AX$1),MONTH(Sales!$AX$1),1)+INT((DAY(Sales!$AX$1)-1)/2)+Sales!AZ$4,0)=EOMONTH($DI$1,0),Sales!AZ$3*Sales!AZ$5,0)+IF(EOMONTH(DATE(YEAR(Sales!$AU$1),MONTH(Sales!$AU$1),1)+INT((DAY(Sales!$AU$1)-1)/2)+Sales!AW$4,0)=EOMONTH($DI$1,0),Sales!AW$3*Sales!AW$5,0)+IF(EOMONTH(DATE(YEAR(Sales!$AR$1),MONTH(Sales!$AR$1),1)+INT((DAY(Sales!$AR$1)-1)/2)+Sales!AT$4,0)=EOMONTH($DI$1,0),Sales!AT$3*Sales!AT$5,0)+IF(EOMONTH(DATE(YEAR(Sales!$AO$1),MONTH(Sales!$AO$1),1)+INT((DAY(Sales!$AO$1)-1)/2)+Sales!AQ$4,0)=EOMONTH($DI$1,0),Sales!AQ$3*Sales!AQ$5,0)+IF(EOMONTH(DATE(YEAR(Sales!$AL$1),MONTH(Sales!$AL$1),1)+INT((DAY(Sales!$AL$1)-1)/2)+Sales!AN$4,0)=EOMONTH($DI$1,0),Sales!AN$3*Sales!AN$5,0)+IF(EOMONTH(DATE(YEAR(Sales!$AI$1),MONTH(Sales!$AI$1),1)+INT((DAY(Sales!$AI$1)-1)/2)+Sales!AK$4,0)=EOMONTH($DI$1,0),Sales!AK$3*Sales!AK$5,0)+IF(EOMONTH(DATE(YEAR(Sales!$AF$1),MONTH(Sales!$AF$1),1)+INT((DAY(Sales!$AF$1)-1)/2)+Sales!AH$4,0)=EOMONTH($DI$1,0),Sales!AH$3*Sales!AH$5,0)+IF(EOMONTH(DATE(YEAR(Sales!$AC$1),MONTH(Sales!$AC$1),1)+INT((DAY(Sales!$AC$1)-1)/2)+Sales!AE$4,0)=EOMONTH($DI$1,0),Sales!AE$3*Sales!AE$5,0)+IF(EOMONTH(DATE(YEAR(Sales!$Z$1),MONTH(Sales!$Z$1),1)+INT((DAY(Sales!$Z$1)-1)/2)+Sales!AB$4,0)=EOMONTH($DI$1,0),Sales!AB$3*Sales!AB$5,0)+IF(EOMONTH(DATE(YEAR(Sales!$W$1),MONTH(Sales!$W$1),1)+INT((DAY(Sales!$W$1)-1)/2)+Sales!Y$4,0)=EOMONTH($DI$1,0),Sales!Y$3*Sales!Y$5,0)+IF(EOMONTH(DATE(YEAR(Sales!$T$1),MONTH(Sales!$T$1),1)+INT((DAY(Sales!$T$1)-1)/2)+Sales!V$4,0)=EOMONTH($DI$1,0),Sales!V$3*Sales!V$5,0)+IF(EOMONTH(DATE(YEAR(Sales!$Q$1),MONTH(Sales!$Q$1),1)+INT((DAY(Sales!$Q$1)-1)/2)+Sales!S$4,0)=EOMONTH($DI$1,0),Sales!S$3*Sales!S$5,0)+IF(EOMONTH(DATE(YEAR(Sales!$N$1),MONTH(Sales!$N$1),1)+INT((DAY(Sales!$N$1)-1)/2)+Sales!P$4,0)=EOMONTH($DI$1,0),Sales!P$3*Sales!P$5,0)+IF(EOMONTH(DATE(YEAR(Sales!$K$1),MONTH(Sales!$K$1),1)+INT((DAY(Sales!$K$1)-1)/2)+Sales!M$4,0)=EOMONTH($DI$1,0),Sales!M$3*Sales!M$5,0)+IF(EOMONTH('Cash Drivers'!$DL$30+Sales!DN$4,0)=EOMONTH($DI$1,0),'Cash Drivers'!$DL$31*Sales!DN$5,0),0)</f>
        <v>19</v>
      </c>
      <c r="DL6" s="81" t="n">
        <v>19</v>
      </c>
      <c r="DM6" s="23" t="n">
        <f aca="false">IF('Cash Drivers'!DM$26,DL6,ROUND(IF(EOMONTH(DATE(YEAR(Sales!$DL$1),MONTH(Sales!$DL$1),1)+INT((DAY(Sales!$DL$1)-1)/2)+Sales!DM$4,0)=EOMONTH($DL$1,0),Sales!DM$3*Sales!DM$5,0)+IF(EOMONTH(DATE(YEAR(Sales!$DI$1),MONTH(Sales!$DI$1),1)+INT((DAY(Sales!$DI$1)-1)/2)+Sales!DJ$4,0)=EOMONTH($DL$1,0),Sales!DJ$3*Sales!DJ$5,0)+IF(EOMONTH(DATE(YEAR(Sales!$DF$1),MONTH(Sales!$DF$1),1)+INT((DAY(Sales!$DF$1)-1)/2)+Sales!DG$4,0)=EOMONTH($DL$1,0),Sales!DG$3*Sales!DG$5,0)+IF(EOMONTH(DATE(YEAR(Sales!$DC$1),MONTH(Sales!$DC$1),1)+INT((DAY(Sales!$DC$1)-1)/2)+Sales!DD$4,0)=EOMONTH($DL$1,0),Sales!DD$3*Sales!DD$5,0)+IF(EOMONTH(DATE(YEAR(Sales!$CZ$1),MONTH(Sales!$CZ$1),1)+INT((DAY(Sales!$CZ$1)-1)/2)+Sales!DA$4,0)=EOMONTH($DL$1,0),Sales!DA$3*Sales!DA$5,0)+IF(EOMONTH(DATE(YEAR(Sales!$CW$1),MONTH(Sales!$CW$1),1)+INT((DAY(Sales!$CW$1)-1)/2)+Sales!CX$4,0)=EOMONTH($DL$1,0),Sales!CX$3*Sales!CX$5,0)+IF(EOMONTH(DATE(YEAR(Sales!$CT$1),MONTH(Sales!$CT$1),1)+INT((DAY(Sales!$CT$1)-1)/2)+Sales!CU$4,0)=EOMONTH($DL$1,0),Sales!CU$3*Sales!CU$5,0)+IF(EOMONTH(DATE(YEAR(Sales!$CQ$1),MONTH(Sales!$CQ$1),1)+INT((DAY(Sales!$CQ$1)-1)/2)+Sales!CR$4,0)=EOMONTH($DL$1,0),Sales!CR$3*Sales!CR$5,0)+IF(EOMONTH(DATE(YEAR(Sales!$CN$1),MONTH(Sales!$CN$1),1)+INT((DAY(Sales!$CN$1)-1)/2)+Sales!CO$4,0)=EOMONTH($DL$1,0),Sales!CO$3*Sales!CO$5,0)+IF(EOMONTH(DATE(YEAR(Sales!$CK$1),MONTH(Sales!$CK$1),1)+INT((DAY(Sales!$CK$1)-1)/2)+Sales!CL$4,0)=EOMONTH($DL$1,0),Sales!CL$3*Sales!CL$5,0)+IF(EOMONTH(DATE(YEAR(Sales!$CH$1),MONTH(Sales!$CH$1),1)+INT((DAY(Sales!$CH$1)-1)/2)+Sales!CI$4,0)=EOMONTH($DL$1,0),Sales!CI$3*Sales!CI$5,0)+IF(EOMONTH(DATE(YEAR(Sales!$CE$1),MONTH(Sales!$CE$1),1)+INT((DAY(Sales!$CE$1)-1)/2)+Sales!CF$4,0)=EOMONTH($DL$1,0),Sales!CF$3*Sales!CF$5,0)+IF(EOMONTH(DATE(YEAR(Sales!$CB$1),MONTH(Sales!$CB$1),1)+INT((DAY(Sales!$CB$1)-1)/2)+Sales!CC$4,0)=EOMONTH($DL$1,0),Sales!CC$3*Sales!CC$5,0)+IF(EOMONTH(DATE(YEAR(Sales!$BY$1),MONTH(Sales!$BY$1),1)+INT((DAY(Sales!$BY$1)-1)/2)+Sales!BZ$4,0)=EOMONTH($DL$1,0),Sales!BZ$3*Sales!BZ$5,0)+IF(EOMONTH(DATE(YEAR(Sales!$BV$1),MONTH(Sales!$BV$1),1)+INT((DAY(Sales!$BV$1)-1)/2)+Sales!BW$4,0)=EOMONTH($DL$1,0),Sales!BW$3*Sales!BW$5,0)+IF(EOMONTH(DATE(YEAR(Sales!$BS$1),MONTH(Sales!$BS$1),1)+INT((DAY(Sales!$BS$1)-1)/2)+Sales!BT$4,0)=EOMONTH($DL$1,0),Sales!BT$3*Sales!BT$5,0)+IF(EOMONTH(DATE(YEAR(Sales!$BP$1),MONTH(Sales!$BP$1),1)+INT((DAY(Sales!$BP$1)-1)/2)+Sales!BQ$4,0)=EOMONTH($DL$1,0),Sales!BQ$3*Sales!BQ$5,0)+IF(EOMONTH(DATE(YEAR(Sales!$BM$1),MONTH(Sales!$BM$1),1)+INT((DAY(Sales!$BM$1)-1)/2)+Sales!BN$4,0)=EOMONTH($DL$1,0),Sales!BN$3*Sales!BN$5,0)+IF(EOMONTH(DATE(YEAR(Sales!$BJ$1),MONTH(Sales!$BJ$1),1)+INT((DAY(Sales!$BJ$1)-1)/2)+Sales!BK$4,0)=EOMONTH($DL$1,0),Sales!BK$3*Sales!BK$5,0)+IF(EOMONTH(DATE(YEAR(Sales!$BG$1),MONTH(Sales!$BG$1),1)+INT((DAY(Sales!$BG$1)-1)/2)+Sales!BH$4,0)=EOMONTH($DL$1,0),Sales!BH$3*Sales!BH$5,0)+IF(EOMONTH(DATE(YEAR(Sales!$BD$1),MONTH(Sales!$BD$1),1)+INT((DAY(Sales!$BD$1)-1)/2)+Sales!BE$4,0)=EOMONTH($DL$1,0),Sales!BE$3*Sales!BE$5,0)+IF(EOMONTH(DATE(YEAR(Sales!$BA$1),MONTH(Sales!$BA$1),1)+INT((DAY(Sales!$BA$1)-1)/2)+Sales!BB$4,0)=EOMONTH($DL$1,0),Sales!BB$3*Sales!BB$5,0)+IF(EOMONTH(DATE(YEAR(Sales!$AX$1),MONTH(Sales!$AX$1),1)+INT((DAY(Sales!$AX$1)-1)/2)+Sales!AY$4,0)=EOMONTH($DL$1,0),Sales!AY$3*Sales!AY$5,0)+IF(EOMONTH(DATE(YEAR(Sales!$AU$1),MONTH(Sales!$AU$1),1)+INT((DAY(Sales!$AU$1)-1)/2)+Sales!AV$4,0)=EOMONTH($DL$1,0),Sales!AV$3*Sales!AV$5,0)+IF(EOMONTH(DATE(YEAR(Sales!$AR$1),MONTH(Sales!$AR$1),1)+INT((DAY(Sales!$AR$1)-1)/2)+Sales!AS$4,0)=EOMONTH($DL$1,0),Sales!AS$3*Sales!AS$5,0)+IF(EOMONTH(DATE(YEAR(Sales!$AO$1),MONTH(Sales!$AO$1),1)+INT((DAY(Sales!$AO$1)-1)/2)+Sales!AP$4,0)=EOMONTH($DL$1,0),Sales!AP$3*Sales!AP$5,0)+IF(EOMONTH(DATE(YEAR(Sales!$AL$1),MONTH(Sales!$AL$1),1)+INT((DAY(Sales!$AL$1)-1)/2)+Sales!AM$4,0)=EOMONTH($DL$1,0),Sales!AM$3*Sales!AM$5,0)+IF(EOMONTH(DATE(YEAR(Sales!$AI$1),MONTH(Sales!$AI$1),1)+INT((DAY(Sales!$AI$1)-1)/2)+Sales!AJ$4,0)=EOMONTH($DL$1,0),Sales!AJ$3*Sales!AJ$5,0)+IF(EOMONTH(DATE(YEAR(Sales!$AF$1),MONTH(Sales!$AF$1),1)+INT((DAY(Sales!$AF$1)-1)/2)+Sales!AG$4,0)=EOMONTH($DL$1,0),Sales!AG$3*Sales!AG$5,0)+IF(EOMONTH(DATE(YEAR(Sales!$AC$1),MONTH(Sales!$AC$1),1)+INT((DAY(Sales!$AC$1)-1)/2)+Sales!AD$4,0)=EOMONTH($DL$1,0),Sales!AD$3*Sales!AD$5,0)+IF(EOMONTH(DATE(YEAR(Sales!$Z$1),MONTH(Sales!$Z$1),1)+INT((DAY(Sales!$Z$1)-1)/2)+Sales!AA$4,0)=EOMONTH($DL$1,0),Sales!AA$3*Sales!AA$5,0)+IF(EOMONTH(DATE(YEAR(Sales!$W$1),MONTH(Sales!$W$1),1)+INT((DAY(Sales!$W$1)-1)/2)+Sales!X$4,0)=EOMONTH($DL$1,0),Sales!X$3*Sales!X$5,0)+IF(EOMONTH(DATE(YEAR(Sales!$T$1),MONTH(Sales!$T$1),1)+INT((DAY(Sales!$T$1)-1)/2)+Sales!U$4,0)=EOMONTH($DL$1,0),Sales!U$3*Sales!U$5,0)+IF(EOMONTH(DATE(YEAR(Sales!$Q$1),MONTH(Sales!$Q$1),1)+INT((DAY(Sales!$Q$1)-1)/2)+Sales!R$4,0)=EOMONTH($DL$1,0),Sales!R$3*Sales!R$5,0)+IF(EOMONTH(DATE(YEAR(Sales!$N$1),MONTH(Sales!$N$1),1)+INT((DAY(Sales!$N$1)-1)/2)+Sales!O$4,0)=EOMONTH($DL$1,0),Sales!O$3*Sales!O$5,0)+IF(EOMONTH(DATE(YEAR(Sales!$K$1),MONTH(Sales!$K$1),1)+INT((DAY(Sales!$K$1)-1)/2)+Sales!L$4,0)=EOMONTH($DL$1,0),Sales!L$3*Sales!L$5,0)+IF(EOMONTH('Cash Drivers'!$DL$30+Sales!DM$4,0)=EOMONTH($DL$1,0),'Cash Drivers'!$DL$31*Sales!DM$5,0),0))</f>
        <v>19</v>
      </c>
      <c r="DN6" s="23" t="n">
        <f aca="false">ROUND(IF(EOMONTH(DATE(YEAR(Sales!$DL$1),MONTH(Sales!$DL$1),1)+INT((DAY(Sales!$DL$1)-1)/2)+Sales!DN$4,0)=EOMONTH($DL$1,0),Sales!DN$3*Sales!DN$5,0)+IF(EOMONTH(DATE(YEAR(Sales!$DI$1),MONTH(Sales!$DI$1),1)+INT((DAY(Sales!$DI$1)-1)/2)+Sales!DK$4,0)=EOMONTH($DL$1,0),Sales!DK$3*Sales!DK$5,0)+IF(EOMONTH(DATE(YEAR(Sales!$DF$1),MONTH(Sales!$DF$1),1)+INT((DAY(Sales!$DF$1)-1)/2)+Sales!DH$4,0)=EOMONTH($DL$1,0),Sales!DH$3*Sales!DH$5,0)+IF(EOMONTH(DATE(YEAR(Sales!$DC$1),MONTH(Sales!$DC$1),1)+INT((DAY(Sales!$DC$1)-1)/2)+Sales!DE$4,0)=EOMONTH($DL$1,0),Sales!DE$3*Sales!DE$5,0)+IF(EOMONTH(DATE(YEAR(Sales!$CZ$1),MONTH(Sales!$CZ$1),1)+INT((DAY(Sales!$CZ$1)-1)/2)+Sales!DB$4,0)=EOMONTH($DL$1,0),Sales!DB$3*Sales!DB$5,0)+IF(EOMONTH(DATE(YEAR(Sales!$CW$1),MONTH(Sales!$CW$1),1)+INT((DAY(Sales!$CW$1)-1)/2)+Sales!CY$4,0)=EOMONTH($DL$1,0),Sales!CY$3*Sales!CY$5,0)+IF(EOMONTH(DATE(YEAR(Sales!$CT$1),MONTH(Sales!$CT$1),1)+INT((DAY(Sales!$CT$1)-1)/2)+Sales!CV$4,0)=EOMONTH($DL$1,0),Sales!CV$3*Sales!CV$5,0)+IF(EOMONTH(DATE(YEAR(Sales!$CQ$1),MONTH(Sales!$CQ$1),1)+INT((DAY(Sales!$CQ$1)-1)/2)+Sales!CS$4,0)=EOMONTH($DL$1,0),Sales!CS$3*Sales!CS$5,0)+IF(EOMONTH(DATE(YEAR(Sales!$CN$1),MONTH(Sales!$CN$1),1)+INT((DAY(Sales!$CN$1)-1)/2)+Sales!CP$4,0)=EOMONTH($DL$1,0),Sales!CP$3*Sales!CP$5,0)+IF(EOMONTH(DATE(YEAR(Sales!$CK$1),MONTH(Sales!$CK$1),1)+INT((DAY(Sales!$CK$1)-1)/2)+Sales!CM$4,0)=EOMONTH($DL$1,0),Sales!CM$3*Sales!CM$5,0)+IF(EOMONTH(DATE(YEAR(Sales!$CH$1),MONTH(Sales!$CH$1),1)+INT((DAY(Sales!$CH$1)-1)/2)+Sales!CJ$4,0)=EOMONTH($DL$1,0),Sales!CJ$3*Sales!CJ$5,0)+IF(EOMONTH(DATE(YEAR(Sales!$CE$1),MONTH(Sales!$CE$1),1)+INT((DAY(Sales!$CE$1)-1)/2)+Sales!CG$4,0)=EOMONTH($DL$1,0),Sales!CG$3*Sales!CG$5,0)+IF(EOMONTH(DATE(YEAR(Sales!$CB$1),MONTH(Sales!$CB$1),1)+INT((DAY(Sales!$CB$1)-1)/2)+Sales!CD$4,0)=EOMONTH($DL$1,0),Sales!CD$3*Sales!CD$5,0)+IF(EOMONTH(DATE(YEAR(Sales!$BY$1),MONTH(Sales!$BY$1),1)+INT((DAY(Sales!$BY$1)-1)/2)+Sales!CA$4,0)=EOMONTH($DL$1,0),Sales!CA$3*Sales!CA$5,0)+IF(EOMONTH(DATE(YEAR(Sales!$BV$1),MONTH(Sales!$BV$1),1)+INT((DAY(Sales!$BV$1)-1)/2)+Sales!BX$4,0)=EOMONTH($DL$1,0),Sales!BX$3*Sales!BX$5,0)+IF(EOMONTH(DATE(YEAR(Sales!$BS$1),MONTH(Sales!$BS$1),1)+INT((DAY(Sales!$BS$1)-1)/2)+Sales!BU$4,0)=EOMONTH($DL$1,0),Sales!BU$3*Sales!BU$5,0)+IF(EOMONTH(DATE(YEAR(Sales!$BP$1),MONTH(Sales!$BP$1),1)+INT((DAY(Sales!$BP$1)-1)/2)+Sales!BR$4,0)=EOMONTH($DL$1,0),Sales!BR$3*Sales!BR$5,0)+IF(EOMONTH(DATE(YEAR(Sales!$BM$1),MONTH(Sales!$BM$1),1)+INT((DAY(Sales!$BM$1)-1)/2)+Sales!BO$4,0)=EOMONTH($DL$1,0),Sales!BO$3*Sales!BO$5,0)+IF(EOMONTH(DATE(YEAR(Sales!$BJ$1),MONTH(Sales!$BJ$1),1)+INT((DAY(Sales!$BJ$1)-1)/2)+Sales!BL$4,0)=EOMONTH($DL$1,0),Sales!BL$3*Sales!BL$5,0)+IF(EOMONTH(DATE(YEAR(Sales!$BG$1),MONTH(Sales!$BG$1),1)+INT((DAY(Sales!$BG$1)-1)/2)+Sales!BI$4,0)=EOMONTH($DL$1,0),Sales!BI$3*Sales!BI$5,0)+IF(EOMONTH(DATE(YEAR(Sales!$BD$1),MONTH(Sales!$BD$1),1)+INT((DAY(Sales!$BD$1)-1)/2)+Sales!BF$4,0)=EOMONTH($DL$1,0),Sales!BF$3*Sales!BF$5,0)+IF(EOMONTH(DATE(YEAR(Sales!$BA$1),MONTH(Sales!$BA$1),1)+INT((DAY(Sales!$BA$1)-1)/2)+Sales!BC$4,0)=EOMONTH($DL$1,0),Sales!BC$3*Sales!BC$5,0)+IF(EOMONTH(DATE(YEAR(Sales!$AX$1),MONTH(Sales!$AX$1),1)+INT((DAY(Sales!$AX$1)-1)/2)+Sales!AZ$4,0)=EOMONTH($DL$1,0),Sales!AZ$3*Sales!AZ$5,0)+IF(EOMONTH(DATE(YEAR(Sales!$AU$1),MONTH(Sales!$AU$1),1)+INT((DAY(Sales!$AU$1)-1)/2)+Sales!AW$4,0)=EOMONTH($DL$1,0),Sales!AW$3*Sales!AW$5,0)+IF(EOMONTH(DATE(YEAR(Sales!$AR$1),MONTH(Sales!$AR$1),1)+INT((DAY(Sales!$AR$1)-1)/2)+Sales!AT$4,0)=EOMONTH($DL$1,0),Sales!AT$3*Sales!AT$5,0)+IF(EOMONTH(DATE(YEAR(Sales!$AO$1),MONTH(Sales!$AO$1),1)+INT((DAY(Sales!$AO$1)-1)/2)+Sales!AQ$4,0)=EOMONTH($DL$1,0),Sales!AQ$3*Sales!AQ$5,0)+IF(EOMONTH(DATE(YEAR(Sales!$AL$1),MONTH(Sales!$AL$1),1)+INT((DAY(Sales!$AL$1)-1)/2)+Sales!AN$4,0)=EOMONTH($DL$1,0),Sales!AN$3*Sales!AN$5,0)+IF(EOMONTH(DATE(YEAR(Sales!$AI$1),MONTH(Sales!$AI$1),1)+INT((DAY(Sales!$AI$1)-1)/2)+Sales!AK$4,0)=EOMONTH($DL$1,0),Sales!AK$3*Sales!AK$5,0)+IF(EOMONTH(DATE(YEAR(Sales!$AF$1),MONTH(Sales!$AF$1),1)+INT((DAY(Sales!$AF$1)-1)/2)+Sales!AH$4,0)=EOMONTH($DL$1,0),Sales!AH$3*Sales!AH$5,0)+IF(EOMONTH(DATE(YEAR(Sales!$AC$1),MONTH(Sales!$AC$1),1)+INT((DAY(Sales!$AC$1)-1)/2)+Sales!AE$4,0)=EOMONTH($DL$1,0),Sales!AE$3*Sales!AE$5,0)+IF(EOMONTH(DATE(YEAR(Sales!$Z$1),MONTH(Sales!$Z$1),1)+INT((DAY(Sales!$Z$1)-1)/2)+Sales!AB$4,0)=EOMONTH($DL$1,0),Sales!AB$3*Sales!AB$5,0)+IF(EOMONTH(DATE(YEAR(Sales!$W$1),MONTH(Sales!$W$1),1)+INT((DAY(Sales!$W$1)-1)/2)+Sales!Y$4,0)=EOMONTH($DL$1,0),Sales!Y$3*Sales!Y$5,0)+IF(EOMONTH(DATE(YEAR(Sales!$T$1),MONTH(Sales!$T$1),1)+INT((DAY(Sales!$T$1)-1)/2)+Sales!V$4,0)=EOMONTH($DL$1,0),Sales!V$3*Sales!V$5,0)+IF(EOMONTH(DATE(YEAR(Sales!$Q$1),MONTH(Sales!$Q$1),1)+INT((DAY(Sales!$Q$1)-1)/2)+Sales!S$4,0)=EOMONTH($DL$1,0),Sales!S$3*Sales!S$5,0)+IF(EOMONTH(DATE(YEAR(Sales!$N$1),MONTH(Sales!$N$1),1)+INT((DAY(Sales!$N$1)-1)/2)+Sales!P$4,0)=EOMONTH($DL$1,0),Sales!P$3*Sales!P$5,0)+IF(EOMONTH(DATE(YEAR(Sales!$K$1),MONTH(Sales!$K$1),1)+INT((DAY(Sales!$K$1)-1)/2)+Sales!M$4,0)=EOMONTH($DL$1,0),Sales!M$3*Sales!M$5,0)+IF(EOMONTH('Cash Drivers'!$DL$30+Sales!DN$4,0)=EOMONTH($DL$1,0),'Cash Drivers'!$DL$31*Sales!DN$5,0),0)</f>
        <v>0</v>
      </c>
    </row>
    <row r="7" customFormat="false" ht="15" hidden="false" customHeight="false" outlineLevel="0" collapsed="false">
      <c r="A7" s="20" t="s">
        <v>136</v>
      </c>
      <c r="B7" s="96" t="str">
        <f aca="false">IF(SUM(AR6,AO6,AL6,AI6,AF6,AC6,Z6,W6,T6,Q6,N6,K6)=0,"",SUM(AR8,AO8,AL8,AI8,AF8,AC8,Z8,W8,T8,Q8,N8,K8)/SUM(AR6,AO6,AL6,AI6,AF6,AC6,Z6,W6,T6,Q6,N6,K6))</f>
        <v/>
      </c>
      <c r="C7" s="96" t="n">
        <f aca="false">IF(SUM(AS6,AP6,AM6,AJ6,AG6,AD6,AA6,X6,U6,R6,O6,L6)=0,"",SUM(AS8,AP8,AM8,AJ8,AG8,AD8,AA8,X8,U8,R8,O8,L8)/SUM(AS6,AP6,AM6,AJ6,AG6,AD6,AA6,X6,U6,R6,O6,L6))</f>
        <v>1301.71076233184</v>
      </c>
      <c r="D7" s="96" t="n">
        <f aca="false">IF(SUM(AT6,AQ6,AN6,AK6,AH6,AE6,AB6,Y6,V6,S6,P6,M6)=0,"",SUM(AT8,AQ8,AN8,AK8,AH8,AE8,AB8,Y8,V8,S8,P8,M8)/SUM(AT6,AQ6,AN6,AK6,AH6,AE6,AB6,Y6,V6,S6,P6,M6))</f>
        <v>1304.64349775785</v>
      </c>
      <c r="E7" s="97" t="str">
        <f aca="false">IF(SUM(CB6,BY6,BV6,BS6,BP6,BM6,BJ6,BG6,BD6,BA6,AX6,AU6)=0,"",SUM(CB8,BY8,BV8,BS8,BP8,BM8,BJ8,BG8,BD8,BA8,AX8,AU8)/SUM(CB6,BY6,BV6,BS6,BP6,BM6,BJ6,BG6,BD6,BA6,AX6,AU6))</f>
        <v/>
      </c>
      <c r="F7" s="97" t="n">
        <f aca="false">IF(SUM(CC6,BZ6,BW6,BT6,BQ6,BN6,BK6,BH6,BE6,BB6,AY6,AV6)=0,"",SUM(CC8,BZ8,BW8,BT8,BQ8,BN8,BK8,BH8,BE8,BB8,AY8,AV8)/SUM(CC6,BZ6,BW6,BT6,BQ6,BN6,BK6,BH6,BE6,BB6,AY6,AV6))</f>
        <v>1220.7247706422</v>
      </c>
      <c r="G7" s="97" t="n">
        <f aca="false">IF(SUM(CD6,CA6,BX6,BU6,BR6,BO6,BL6,BI6,BF6,BC6,AZ6,AW6)=0,"",SUM(CD8,CA8,BX8,BU8,BR8,BO8,BL8,BI8,BF8,BC8,AZ8,AW8)/SUM(CD6,CA6,BX6,BU6,BR6,BO6,BL6,BI6,BF6,BC6,AZ6,AW6))</f>
        <v>1223.64220183486</v>
      </c>
      <c r="H7" s="96" t="n">
        <f aca="false">IF(SUM(DL6,DI6,DF6,DC6,CZ6,CW6,CT6,CQ6,CN6,CK6,CH6,CE6)=0,"",SUM(DL8,DI8,DF8,DC8,CZ8,CW8,CT8,CQ8,CN8,CK8,CH8,CE8)/SUM(DL6,DI6,DF6,DC6,CZ6,CW6,CT6,CQ6,CN6,CK6,CH6,CE6))</f>
        <v>1200</v>
      </c>
      <c r="I7" s="96" t="n">
        <f aca="false">IF(SUM(DM6,DJ6,DG6,DD6,DA6,CX6,CU6,CR6,CO6,CL6,CI6,CF6)=0,"",SUM(DM8,DJ8,DG8,DD8,DA8,CX8,CU8,CR8,CO8,CL8,CI8,CF8)/SUM(DM6,DJ6,DG6,DD6,DA6,CX6,CU6,CR6,CO6,CL6,CI6,CF6))</f>
        <v>1309.94805194805</v>
      </c>
      <c r="J7" s="96" t="n">
        <f aca="false">IF(SUM(DN6,DK6,DH6,DE6,DB6,CY6,CV6,CS6,CP6,CM6,CJ6,CG6)=0,"",SUM(DN8,DK8,DH8,DE8,DB8,CY8,CV8,CS8,CP8,CM8,CJ8,CG8)/SUM(DN6,DK6,DH6,DE6,DB6,CY6,CV6,CS6,CP6,CM6,CJ6,CG6))</f>
        <v>1214.25</v>
      </c>
      <c r="K7" s="98"/>
      <c r="L7" s="97" t="n">
        <f aca="false">O7+Engineering!O7*Engineering!O9</f>
        <v>1378.5</v>
      </c>
      <c r="M7" s="97" t="n">
        <f aca="false">P7+Engineering!P7*Engineering!P9</f>
        <v>1381.5</v>
      </c>
      <c r="N7" s="99"/>
      <c r="O7" s="96" t="n">
        <f aca="false">R7+Engineering!R7*Engineering!R9</f>
        <v>1371</v>
      </c>
      <c r="P7" s="96" t="n">
        <f aca="false">S7+Engineering!S7*Engineering!S9</f>
        <v>1374</v>
      </c>
      <c r="Q7" s="98"/>
      <c r="R7" s="97" t="n">
        <f aca="false">U7+Engineering!U7*Engineering!U9</f>
        <v>1363.5</v>
      </c>
      <c r="S7" s="97" t="n">
        <f aca="false">V7+Engineering!V7*Engineering!V9</f>
        <v>1366.5</v>
      </c>
      <c r="T7" s="99"/>
      <c r="U7" s="96" t="n">
        <f aca="false">X7+Engineering!X7*Engineering!X9</f>
        <v>1356</v>
      </c>
      <c r="V7" s="96" t="n">
        <f aca="false">Y7+Engineering!Y7*Engineering!Y9</f>
        <v>1359</v>
      </c>
      <c r="W7" s="98"/>
      <c r="X7" s="97" t="n">
        <f aca="false">AA7+Engineering!AA7*Engineering!AA9</f>
        <v>1348.5</v>
      </c>
      <c r="Y7" s="97" t="n">
        <f aca="false">AB7+Engineering!AB7*Engineering!AB9</f>
        <v>1351.5</v>
      </c>
      <c r="Z7" s="99"/>
      <c r="AA7" s="96" t="n">
        <f aca="false">AD7+Engineering!AD7*Engineering!AD9</f>
        <v>1341</v>
      </c>
      <c r="AB7" s="96" t="n">
        <f aca="false">AE7+Engineering!AE7*Engineering!AE9</f>
        <v>1344</v>
      </c>
      <c r="AC7" s="98"/>
      <c r="AD7" s="97" t="n">
        <f aca="false">AG7+Engineering!AG7*Engineering!AG9</f>
        <v>1333.5</v>
      </c>
      <c r="AE7" s="97" t="n">
        <f aca="false">AH7+Engineering!AH7*Engineering!AH9</f>
        <v>1336.5</v>
      </c>
      <c r="AF7" s="99"/>
      <c r="AG7" s="96" t="n">
        <f aca="false">AJ7+Engineering!AJ7*Engineering!AJ9</f>
        <v>1326</v>
      </c>
      <c r="AH7" s="96" t="n">
        <f aca="false">AK7+Engineering!AK7*Engineering!AK9</f>
        <v>1329</v>
      </c>
      <c r="AI7" s="98"/>
      <c r="AJ7" s="97" t="n">
        <f aca="false">AM7+Engineering!AM7*Engineering!AM9</f>
        <v>1318.5</v>
      </c>
      <c r="AK7" s="97" t="n">
        <f aca="false">AN7+Engineering!AN7*Engineering!AN9</f>
        <v>1321.5</v>
      </c>
      <c r="AL7" s="99"/>
      <c r="AM7" s="96" t="n">
        <f aca="false">AP7+Engineering!AP7*Engineering!AP9</f>
        <v>1311</v>
      </c>
      <c r="AN7" s="96" t="n">
        <f aca="false">AQ7+Engineering!AQ7*Engineering!AQ9</f>
        <v>1314</v>
      </c>
      <c r="AO7" s="98"/>
      <c r="AP7" s="97" t="n">
        <f aca="false">AS7+Engineering!AS7*Engineering!AS9</f>
        <v>1303.5</v>
      </c>
      <c r="AQ7" s="97" t="n">
        <f aca="false">AT7+Engineering!AT7*Engineering!AT9</f>
        <v>1306.5</v>
      </c>
      <c r="AR7" s="99"/>
      <c r="AS7" s="96" t="n">
        <f aca="false">AV7+Engineering!AV7*Engineering!AV9</f>
        <v>1296</v>
      </c>
      <c r="AT7" s="96" t="n">
        <f aca="false">AW7+Engineering!AW7*Engineering!AW9</f>
        <v>1299</v>
      </c>
      <c r="AU7" s="98"/>
      <c r="AV7" s="97" t="n">
        <f aca="false">AY7+Engineering!AY7*Engineering!AY9</f>
        <v>1290</v>
      </c>
      <c r="AW7" s="97" t="n">
        <f aca="false">AZ7+Engineering!AZ7*Engineering!AZ9</f>
        <v>1293</v>
      </c>
      <c r="AX7" s="99"/>
      <c r="AY7" s="96" t="n">
        <f aca="false">BB7+Engineering!BB7*Engineering!BB9</f>
        <v>1284</v>
      </c>
      <c r="AZ7" s="96" t="n">
        <f aca="false">BC7+Engineering!BC7*Engineering!BC9</f>
        <v>1287</v>
      </c>
      <c r="BA7" s="98"/>
      <c r="BB7" s="97" t="n">
        <f aca="false">BE7+Engineering!BE7*Engineering!BE9</f>
        <v>1278</v>
      </c>
      <c r="BC7" s="97" t="n">
        <f aca="false">BF7+Engineering!BF7*Engineering!BF9</f>
        <v>1281</v>
      </c>
      <c r="BD7" s="99"/>
      <c r="BE7" s="96" t="n">
        <f aca="false">BH7+Engineering!BH7*Engineering!BH9</f>
        <v>1272</v>
      </c>
      <c r="BF7" s="96" t="n">
        <f aca="false">BI7+Engineering!BI7*Engineering!BI9</f>
        <v>1275</v>
      </c>
      <c r="BG7" s="98"/>
      <c r="BH7" s="97" t="n">
        <f aca="false">BK7+Engineering!BK7*Engineering!BK9</f>
        <v>1266</v>
      </c>
      <c r="BI7" s="97" t="n">
        <f aca="false">BL7+Engineering!BL7*Engineering!BL9</f>
        <v>1269</v>
      </c>
      <c r="BJ7" s="99"/>
      <c r="BK7" s="96" t="n">
        <f aca="false">BN7+Engineering!BN7*Engineering!BN9</f>
        <v>1260</v>
      </c>
      <c r="BL7" s="96" t="n">
        <f aca="false">BO7+Engineering!BO7*Engineering!BO9</f>
        <v>1263</v>
      </c>
      <c r="BM7" s="98"/>
      <c r="BN7" s="97" t="n">
        <f aca="false">BQ7+Engineering!BQ7*Engineering!BQ9</f>
        <v>1254</v>
      </c>
      <c r="BO7" s="97" t="n">
        <f aca="false">BR7+Engineering!BR7*Engineering!BR9</f>
        <v>1257</v>
      </c>
      <c r="BP7" s="99"/>
      <c r="BQ7" s="96" t="n">
        <f aca="false">BT7+Engineering!BT7*Engineering!BT9</f>
        <v>1249.5</v>
      </c>
      <c r="BR7" s="96" t="n">
        <f aca="false">BU7+Engineering!BU7*Engineering!BU9</f>
        <v>1252.5</v>
      </c>
      <c r="BS7" s="98"/>
      <c r="BT7" s="97" t="n">
        <f aca="false">BW7+Engineering!BW7*Engineering!BW9</f>
        <v>1245</v>
      </c>
      <c r="BU7" s="97" t="n">
        <f aca="false">BX7+Engineering!BX7*Engineering!BX9</f>
        <v>1248</v>
      </c>
      <c r="BV7" s="99"/>
      <c r="BW7" s="96" t="n">
        <f aca="false">BZ7+Engineering!BZ7*Engineering!BZ9</f>
        <v>1240.5</v>
      </c>
      <c r="BX7" s="96" t="n">
        <f aca="false">CA7+Engineering!CA7*Engineering!CA9</f>
        <v>1243.5</v>
      </c>
      <c r="BY7" s="98"/>
      <c r="BZ7" s="97" t="n">
        <f aca="false">CC7+Engineering!CC7*Engineering!CC9</f>
        <v>1236</v>
      </c>
      <c r="CA7" s="97" t="n">
        <f aca="false">CD7+Engineering!CD7*Engineering!CD9</f>
        <v>1239</v>
      </c>
      <c r="CB7" s="99"/>
      <c r="CC7" s="96" t="n">
        <f aca="false">CF7+Engineering!CF7*Engineering!CF9</f>
        <v>1233</v>
      </c>
      <c r="CD7" s="96" t="n">
        <f aca="false">CG7+Engineering!CG7*Engineering!CG9</f>
        <v>1236</v>
      </c>
      <c r="CE7" s="98"/>
      <c r="CF7" s="97" t="n">
        <f aca="false">CI7+Engineering!CI7*Engineering!CI9</f>
        <v>1230</v>
      </c>
      <c r="CG7" s="97" t="n">
        <f aca="false">CJ7+Engineering!CJ7*Engineering!CJ9</f>
        <v>1233</v>
      </c>
      <c r="CH7" s="99"/>
      <c r="CI7" s="96" t="n">
        <f aca="false">CL7+Engineering!CL7*Engineering!CL9</f>
        <v>1227</v>
      </c>
      <c r="CJ7" s="96" t="n">
        <f aca="false">CM7+Engineering!CM7*Engineering!CM9</f>
        <v>1230</v>
      </c>
      <c r="CK7" s="98"/>
      <c r="CL7" s="97" t="n">
        <f aca="false">CO7+Engineering!CO7*Engineering!CO9</f>
        <v>1224</v>
      </c>
      <c r="CM7" s="97" t="n">
        <f aca="false">CP7+Engineering!CP7*Engineering!CP9</f>
        <v>1227</v>
      </c>
      <c r="CN7" s="99"/>
      <c r="CO7" s="96" t="n">
        <f aca="false">CR7+Engineering!CR7*Engineering!CR9</f>
        <v>1221</v>
      </c>
      <c r="CP7" s="96" t="n">
        <f aca="false">CS7+Engineering!CS7*Engineering!CS9</f>
        <v>1224</v>
      </c>
      <c r="CQ7" s="98"/>
      <c r="CR7" s="97" t="n">
        <f aca="false">CU7+Engineering!CU7*Engineering!CU9</f>
        <v>1218</v>
      </c>
      <c r="CS7" s="97" t="n">
        <f aca="false">CV7+Engineering!CV7*Engineering!CV9</f>
        <v>1221</v>
      </c>
      <c r="CT7" s="99"/>
      <c r="CU7" s="96" t="n">
        <f aca="false">CX7+Engineering!CX7*Engineering!CX9</f>
        <v>1215</v>
      </c>
      <c r="CV7" s="96" t="n">
        <f aca="false">CY7+Engineering!CY7*Engineering!CY9</f>
        <v>1218</v>
      </c>
      <c r="CW7" s="98"/>
      <c r="CX7" s="97" t="n">
        <f aca="false">DA7+Engineering!DA7*Engineering!DA9</f>
        <v>1212</v>
      </c>
      <c r="CY7" s="97" t="n">
        <f aca="false">DB7+Engineering!DB7*Engineering!DB9</f>
        <v>1215</v>
      </c>
      <c r="CZ7" s="99"/>
      <c r="DA7" s="96" t="n">
        <f aca="false">DD7+Engineering!DD7*Engineering!DD9</f>
        <v>1209</v>
      </c>
      <c r="DB7" s="96" t="n">
        <f aca="false">DE7+Engineering!DE7*Engineering!DE9</f>
        <v>1212</v>
      </c>
      <c r="DC7" s="98"/>
      <c r="DD7" s="97" t="n">
        <f aca="false">DG7+Engineering!DG7*Engineering!DG9</f>
        <v>1206</v>
      </c>
      <c r="DE7" s="97" t="n">
        <f aca="false">DH7+Engineering!DH7*Engineering!DH9</f>
        <v>1209</v>
      </c>
      <c r="DF7" s="99"/>
      <c r="DG7" s="96" t="n">
        <f aca="false">DJ7+Engineering!DJ7*Engineering!DJ9</f>
        <v>1203</v>
      </c>
      <c r="DH7" s="96" t="n">
        <f aca="false">DK7+Engineering!DK7*Engineering!DK9</f>
        <v>1206</v>
      </c>
      <c r="DI7" s="100" t="n">
        <v>1200</v>
      </c>
      <c r="DJ7" s="97" t="n">
        <f aca="false">DI7</f>
        <v>1200</v>
      </c>
      <c r="DK7" s="97" t="n">
        <f aca="false">DN7+Engineering!DN7*Engineering!DN9</f>
        <v>1203</v>
      </c>
      <c r="DL7" s="101" t="n">
        <v>1200</v>
      </c>
      <c r="DM7" s="96" t="n">
        <f aca="false">DL7</f>
        <v>1200</v>
      </c>
      <c r="DN7" s="96" t="n">
        <f aca="false">Sales!$DL$60</f>
        <v>1200</v>
      </c>
    </row>
    <row r="8" customFormat="false" ht="15" hidden="false" customHeight="false" outlineLevel="0" collapsed="false">
      <c r="A8" s="5" t="s">
        <v>189</v>
      </c>
      <c r="B8" s="12" t="str">
        <f aca="false">IF(COUNT(AR8,AO8,AL8,AI8,AF8,AC8,Z8,W8,T8,Q8,N8,K8)=0,"",SUM(AR8,AO8,AL8,AI8,AF8,AC8,Z8,W8,T8,Q8,N8,K8))</f>
        <v/>
      </c>
      <c r="C8" s="12" t="n">
        <f aca="false">IF(COUNT(AS8,AP8,AM8,AJ8,AG8,AD8,AA8,X8,U8,R8,O8,L8)=0,"",SUM(AS8,AP8,AM8,AJ8,AG8,AD8,AA8,X8,U8,R8,O8,L8))</f>
        <v>580563</v>
      </c>
      <c r="D8" s="12" t="n">
        <f aca="false">IF(COUNT(AT8,AQ8,AN8,AK8,AH8,AE8,AB8,Y8,V8,S8,P8,M8)=0,"",SUM(AT8,AQ8,AN8,AK8,AH8,AE8,AB8,Y8,V8,S8,P8,M8))</f>
        <v>581871</v>
      </c>
      <c r="E8" s="13" t="str">
        <f aca="false">IF(COUNT(CB8,BY8,BV8,BS8,BP8,BM8,BJ8,BG8,BD8,BA8,AX8,AU8)=0,"",SUM(CB8,BY8,BV8,BS8,BP8,BM8,BJ8,BG8,BD8,BA8,AX8,AU8))</f>
        <v/>
      </c>
      <c r="F8" s="13" t="n">
        <f aca="false">IF(COUNT(CC8,BZ8,BW8,BT8,BQ8,BN8,BK8,BH8,BE8,BB8,AY8,AV8)=0,"",SUM(CC8,BZ8,BW8,BT8,BQ8,BN8,BK8,BH8,BE8,BB8,AY8,AV8))</f>
        <v>399177</v>
      </c>
      <c r="G8" s="13" t="n">
        <f aca="false">IF(COUNT(CD8,CA8,BX8,BU8,BR8,BO8,BL8,BI8,BF8,BC8,AZ8,AW8)=0,"",SUM(CD8,CA8,BX8,BU8,BR8,BO8,BL8,BI8,BF8,BC8,AZ8,AW8))</f>
        <v>400131</v>
      </c>
      <c r="H8" s="12" t="n">
        <f aca="false">IF(COUNT(DL8,DI8,DF8,DC8,CZ8,CW8,CT8,CQ8,CN8,CK8,CH8,CE8)=0,"",SUM(DL8,DI8,DF8,DC8,CZ8,CW8,CT8,CQ8,CN8,CK8,CH8,CE8))</f>
        <v>36000</v>
      </c>
      <c r="I8" s="12" t="n">
        <f aca="false">IF(COUNT(DM8,DJ8,DG8,DD8,DA8,CX8,CU8,CR8,CO8,CL8,CI8,CF8)=0,"",SUM(DM8,DJ8,DG8,DD8,DA8,CX8,CU8,CR8,CO8,CL8,CI8,CF8))</f>
        <v>302598</v>
      </c>
      <c r="J8" s="12" t="n">
        <f aca="false">IF(COUNT(DN8,DK8,DH8,DE8,DB8,CY8,CV8,CS8,CP8,CM8,CJ8,CG8)=0,"",SUM(DN8,DK8,DH8,DE8,DB8,CY8,CV8,CS8,CP8,CM8,CJ8,CG8))</f>
        <v>276849</v>
      </c>
      <c r="K8" s="13" t="str">
        <f aca="false">IF(COUNT(K6,K7)=2,K6*K7,"")</f>
        <v/>
      </c>
      <c r="L8" s="13" t="n">
        <f aca="false">'Cash Drivers'!L25</f>
        <v>52098</v>
      </c>
      <c r="M8" s="13" t="n">
        <f aca="false">'Cash Drivers'!M25</f>
        <v>52212</v>
      </c>
      <c r="N8" s="12" t="str">
        <f aca="false">IF(COUNT(N6,N7)=2,N6*N7,"")</f>
        <v/>
      </c>
      <c r="O8" s="12" t="n">
        <f aca="false">'Cash Drivers'!O25</f>
        <v>51813</v>
      </c>
      <c r="P8" s="12" t="n">
        <f aca="false">'Cash Drivers'!P25</f>
        <v>51927</v>
      </c>
      <c r="Q8" s="13" t="str">
        <f aca="false">IF(COUNT(Q6,Q7)=2,Q6*Q7,"")</f>
        <v/>
      </c>
      <c r="R8" s="13" t="n">
        <f aca="false">'Cash Drivers'!R25</f>
        <v>51528</v>
      </c>
      <c r="S8" s="13" t="n">
        <f aca="false">'Cash Drivers'!S25</f>
        <v>51642</v>
      </c>
      <c r="T8" s="12" t="str">
        <f aca="false">IF(COUNT(T6,T7)=2,T6*T7,"")</f>
        <v/>
      </c>
      <c r="U8" s="12" t="n">
        <f aca="false">'Cash Drivers'!U25</f>
        <v>51243</v>
      </c>
      <c r="V8" s="12" t="n">
        <f aca="false">'Cash Drivers'!V25</f>
        <v>51357</v>
      </c>
      <c r="W8" s="13" t="str">
        <f aca="false">IF(COUNT(W6,W7)=2,W6*W7,"")</f>
        <v/>
      </c>
      <c r="X8" s="13" t="n">
        <f aca="false">'Cash Drivers'!X25</f>
        <v>50958</v>
      </c>
      <c r="Y8" s="13" t="n">
        <f aca="false">'Cash Drivers'!Y25</f>
        <v>51072</v>
      </c>
      <c r="Z8" s="12" t="str">
        <f aca="false">IF(COUNT(Z6,Z7)=2,Z6*Z7,"")</f>
        <v/>
      </c>
      <c r="AA8" s="12" t="n">
        <f aca="false">'Cash Drivers'!AA25</f>
        <v>50673</v>
      </c>
      <c r="AB8" s="12" t="n">
        <f aca="false">'Cash Drivers'!AB25</f>
        <v>50787</v>
      </c>
      <c r="AC8" s="13" t="str">
        <f aca="false">IF(COUNT(AC6,AC7)=2,AC6*AC7,"")</f>
        <v/>
      </c>
      <c r="AD8" s="13" t="n">
        <f aca="false">'Cash Drivers'!AD25</f>
        <v>50388</v>
      </c>
      <c r="AE8" s="13" t="n">
        <f aca="false">'Cash Drivers'!AE25</f>
        <v>50502</v>
      </c>
      <c r="AF8" s="12" t="str">
        <f aca="false">IF(COUNT(AF6,AF7)=2,AF6*AF7,"")</f>
        <v/>
      </c>
      <c r="AG8" s="12" t="n">
        <f aca="false">'Cash Drivers'!AG25</f>
        <v>50103</v>
      </c>
      <c r="AH8" s="12" t="n">
        <f aca="false">'Cash Drivers'!AH25</f>
        <v>50217</v>
      </c>
      <c r="AI8" s="13" t="str">
        <f aca="false">IF(COUNT(AI6,AI7)=2,AI6*AI7,"")</f>
        <v/>
      </c>
      <c r="AJ8" s="13" t="n">
        <f aca="false">'Cash Drivers'!AJ25</f>
        <v>49818</v>
      </c>
      <c r="AK8" s="13" t="n">
        <f aca="false">'Cash Drivers'!AK25</f>
        <v>49932</v>
      </c>
      <c r="AL8" s="12" t="str">
        <f aca="false">IF(COUNT(AL6,AL7)=2,AL6*AL7,"")</f>
        <v/>
      </c>
      <c r="AM8" s="12" t="n">
        <f aca="false">'Cash Drivers'!AM25</f>
        <v>49533</v>
      </c>
      <c r="AN8" s="12" t="n">
        <f aca="false">'Cash Drivers'!AN25</f>
        <v>49647</v>
      </c>
      <c r="AO8" s="13" t="str">
        <f aca="false">IF(COUNT(AO6,AO7)=2,AO6*AO7,"")</f>
        <v/>
      </c>
      <c r="AP8" s="13" t="n">
        <f aca="false">'Cash Drivers'!AP25</f>
        <v>36288</v>
      </c>
      <c r="AQ8" s="13" t="n">
        <f aca="false">'Cash Drivers'!AQ25</f>
        <v>36372</v>
      </c>
      <c r="AR8" s="12" t="str">
        <f aca="false">IF(COUNT(AR6,AR7)=2,AR6*AR7,"")</f>
        <v/>
      </c>
      <c r="AS8" s="12" t="n">
        <f aca="false">'Cash Drivers'!AS25</f>
        <v>36120</v>
      </c>
      <c r="AT8" s="12" t="n">
        <f aca="false">'Cash Drivers'!AT25</f>
        <v>36204</v>
      </c>
      <c r="AU8" s="13" t="str">
        <f aca="false">IF(COUNT(AU6,AU7)=2,AU6*AU7,"")</f>
        <v/>
      </c>
      <c r="AV8" s="13" t="n">
        <f aca="false">'Cash Drivers'!AV25</f>
        <v>35952</v>
      </c>
      <c r="AW8" s="13" t="n">
        <f aca="false">'Cash Drivers'!AW25</f>
        <v>36036</v>
      </c>
      <c r="AX8" s="12" t="str">
        <f aca="false">IF(COUNT(AX6,AX7)=2,AX6*AX7,"")</f>
        <v/>
      </c>
      <c r="AY8" s="12" t="n">
        <f aca="false">'Cash Drivers'!AY25</f>
        <v>35784</v>
      </c>
      <c r="AZ8" s="12" t="n">
        <f aca="false">'Cash Drivers'!AZ25</f>
        <v>35868</v>
      </c>
      <c r="BA8" s="13" t="str">
        <f aca="false">IF(COUNT(BA6,BA7)=2,BA6*BA7,"")</f>
        <v/>
      </c>
      <c r="BB8" s="13" t="n">
        <f aca="false">'Cash Drivers'!BB25</f>
        <v>35616</v>
      </c>
      <c r="BC8" s="13" t="n">
        <f aca="false">'Cash Drivers'!BC25</f>
        <v>35700</v>
      </c>
      <c r="BD8" s="12" t="str">
        <f aca="false">IF(COUNT(BD6,BD7)=2,BD6*BD7,"")</f>
        <v/>
      </c>
      <c r="BE8" s="12" t="n">
        <f aca="false">'Cash Drivers'!BE25</f>
        <v>35448</v>
      </c>
      <c r="BF8" s="12" t="n">
        <f aca="false">'Cash Drivers'!BF25</f>
        <v>35532</v>
      </c>
      <c r="BG8" s="13" t="str">
        <f aca="false">IF(COUNT(BG6,BG7)=2,BG6*BG7,"")</f>
        <v/>
      </c>
      <c r="BH8" s="13" t="n">
        <f aca="false">'Cash Drivers'!BH25</f>
        <v>35280</v>
      </c>
      <c r="BI8" s="13" t="n">
        <f aca="false">'Cash Drivers'!BI25</f>
        <v>35364</v>
      </c>
      <c r="BJ8" s="12" t="str">
        <f aca="false">IF(COUNT(BJ6,BJ7)=2,BJ6*BJ7,"")</f>
        <v/>
      </c>
      <c r="BK8" s="12" t="n">
        <f aca="false">'Cash Drivers'!BK25</f>
        <v>35112</v>
      </c>
      <c r="BL8" s="12" t="n">
        <f aca="false">'Cash Drivers'!BL25</f>
        <v>35196</v>
      </c>
      <c r="BM8" s="13" t="str">
        <f aca="false">IF(COUNT(BM6,BM7)=2,BM6*BM7,"")</f>
        <v/>
      </c>
      <c r="BN8" s="13" t="n">
        <f aca="false">'Cash Drivers'!BN25</f>
        <v>34986</v>
      </c>
      <c r="BO8" s="13" t="n">
        <f aca="false">'Cash Drivers'!BO25</f>
        <v>35070</v>
      </c>
      <c r="BP8" s="12" t="str">
        <f aca="false">IF(COUNT(BP6,BP7)=2,BP6*BP7,"")</f>
        <v/>
      </c>
      <c r="BQ8" s="12" t="n">
        <f aca="false">'Cash Drivers'!BQ25</f>
        <v>34860</v>
      </c>
      <c r="BR8" s="12" t="n">
        <f aca="false">'Cash Drivers'!BR25</f>
        <v>34944</v>
      </c>
      <c r="BS8" s="13" t="str">
        <f aca="false">IF(COUNT(BS6,BS7)=2,BS6*BS7,"")</f>
        <v/>
      </c>
      <c r="BT8" s="13" t="n">
        <f aca="false">'Cash Drivers'!BT25</f>
        <v>34734</v>
      </c>
      <c r="BU8" s="13" t="n">
        <f aca="false">'Cash Drivers'!BU25</f>
        <v>34818</v>
      </c>
      <c r="BV8" s="12" t="str">
        <f aca="false">IF(COUNT(BV6,BV7)=2,BV6*BV7,"")</f>
        <v/>
      </c>
      <c r="BW8" s="12" t="n">
        <f aca="false">'Cash Drivers'!BW25</f>
        <v>34608</v>
      </c>
      <c r="BX8" s="12" t="n">
        <f aca="false">'Cash Drivers'!BX25</f>
        <v>34692</v>
      </c>
      <c r="BY8" s="13" t="str">
        <f aca="false">IF(COUNT(BY6,BY7)=2,BY6*BY7,"")</f>
        <v/>
      </c>
      <c r="BZ8" s="13" t="n">
        <f aca="false">'Cash Drivers'!BZ25</f>
        <v>23427</v>
      </c>
      <c r="CA8" s="13" t="n">
        <f aca="false">'Cash Drivers'!CA25</f>
        <v>23484</v>
      </c>
      <c r="CB8" s="12" t="str">
        <f aca="false">IF(COUNT(CB6,CB7)=2,CB6*CB7,"")</f>
        <v/>
      </c>
      <c r="CC8" s="12" t="n">
        <f aca="false">'Cash Drivers'!CC25</f>
        <v>23370</v>
      </c>
      <c r="CD8" s="12" t="n">
        <f aca="false">'Cash Drivers'!CD25</f>
        <v>23427</v>
      </c>
      <c r="CE8" s="13" t="str">
        <f aca="false">IF(COUNT(CE6,CE7)=2,CE6*CE7,"")</f>
        <v/>
      </c>
      <c r="CF8" s="13" t="n">
        <f aca="false">'Cash Drivers'!CF25</f>
        <v>23313</v>
      </c>
      <c r="CG8" s="13" t="n">
        <f aca="false">'Cash Drivers'!CG25</f>
        <v>23370</v>
      </c>
      <c r="CH8" s="12" t="str">
        <f aca="false">IF(COUNT(CH6,CH7)=2,CH6*CH7,"")</f>
        <v/>
      </c>
      <c r="CI8" s="12" t="n">
        <f aca="false">'Cash Drivers'!CI25</f>
        <v>23256</v>
      </c>
      <c r="CJ8" s="12" t="n">
        <f aca="false">'Cash Drivers'!CJ25</f>
        <v>23313</v>
      </c>
      <c r="CK8" s="13" t="str">
        <f aca="false">IF(COUNT(CK6,CK7)=2,CK6*CK7,"")</f>
        <v/>
      </c>
      <c r="CL8" s="13" t="n">
        <f aca="false">'Cash Drivers'!CL25</f>
        <v>23199</v>
      </c>
      <c r="CM8" s="13" t="n">
        <f aca="false">'Cash Drivers'!CM25</f>
        <v>23256</v>
      </c>
      <c r="CN8" s="12" t="str">
        <f aca="false">IF(COUNT(CN6,CN7)=2,CN6*CN7,"")</f>
        <v/>
      </c>
      <c r="CO8" s="12" t="n">
        <f aca="false">'Cash Drivers'!CO25</f>
        <v>23142</v>
      </c>
      <c r="CP8" s="12" t="n">
        <f aca="false">'Cash Drivers'!CP25</f>
        <v>23199</v>
      </c>
      <c r="CQ8" s="13" t="str">
        <f aca="false">IF(COUNT(CQ6,CQ7)=2,CQ6*CQ7,"")</f>
        <v/>
      </c>
      <c r="CR8" s="13" t="n">
        <f aca="false">'Cash Drivers'!CR25</f>
        <v>23085</v>
      </c>
      <c r="CS8" s="13" t="n">
        <f aca="false">'Cash Drivers'!CS25</f>
        <v>23142</v>
      </c>
      <c r="CT8" s="12" t="str">
        <f aca="false">IF(COUNT(CT6,CT7)=2,CT6*CT7,"")</f>
        <v/>
      </c>
      <c r="CU8" s="12" t="n">
        <f aca="false">'Cash Drivers'!CU25</f>
        <v>23028</v>
      </c>
      <c r="CV8" s="12" t="n">
        <f aca="false">'Cash Drivers'!CV25</f>
        <v>23085</v>
      </c>
      <c r="CW8" s="13" t="str">
        <f aca="false">IF(COUNT(CW6,CW7)=2,CW6*CW7,"")</f>
        <v/>
      </c>
      <c r="CX8" s="13" t="n">
        <f aca="false">'Cash Drivers'!CX25</f>
        <v>22971</v>
      </c>
      <c r="CY8" s="13" t="n">
        <f aca="false">'Cash Drivers'!CY25</f>
        <v>23028</v>
      </c>
      <c r="CZ8" s="12" t="str">
        <f aca="false">IF(COUNT(CZ6,CZ7)=2,CZ6*CZ7,"")</f>
        <v/>
      </c>
      <c r="DA8" s="12" t="n">
        <f aca="false">'Cash Drivers'!DA25</f>
        <v>22914</v>
      </c>
      <c r="DB8" s="12" t="n">
        <f aca="false">'Cash Drivers'!DB25</f>
        <v>22971</v>
      </c>
      <c r="DC8" s="13" t="str">
        <f aca="false">IF(COUNT(DC6,DC7)=2,DC6*DC7,"")</f>
        <v/>
      </c>
      <c r="DD8" s="13" t="n">
        <f aca="false">'Cash Drivers'!DD25</f>
        <v>36090</v>
      </c>
      <c r="DE8" s="13" t="n">
        <f aca="false">'Cash Drivers'!DE25</f>
        <v>45828</v>
      </c>
      <c r="DF8" s="12" t="str">
        <f aca="false">IF(COUNT(DF6,DF7)=2,DF6*DF7,"")</f>
        <v/>
      </c>
      <c r="DG8" s="12" t="n">
        <f aca="false">'Cash Drivers'!DG25</f>
        <v>45600</v>
      </c>
      <c r="DH8" s="12" t="n">
        <f aca="false">'Cash Drivers'!DH25</f>
        <v>45657</v>
      </c>
      <c r="DI8" s="13" t="n">
        <f aca="false">IF(COUNT(DI6,DI7)=2,DI6*DI7,"")</f>
        <v>13200</v>
      </c>
      <c r="DJ8" s="13" t="n">
        <f aca="false">'Cash Drivers'!DJ25</f>
        <v>13200</v>
      </c>
      <c r="DK8" s="13" t="n">
        <f aca="false">'Cash Drivers'!DK25</f>
        <v>0</v>
      </c>
      <c r="DL8" s="12" t="n">
        <f aca="false">IF(COUNT(DL6,DL7)=2,DL6*DL7,"")</f>
        <v>22800</v>
      </c>
      <c r="DM8" s="12" t="n">
        <f aca="false">'Cash Drivers'!DM25</f>
        <v>22800</v>
      </c>
      <c r="DN8" s="12" t="n">
        <f aca="false">'Cash Drivers'!DN25</f>
        <v>0</v>
      </c>
    </row>
    <row r="9" customFormat="false" ht="15" hidden="false" customHeight="false" outlineLevel="0" collapsed="false">
      <c r="A9" s="5" t="s">
        <v>158</v>
      </c>
      <c r="B9" s="12" t="str">
        <f aca="false">IF(COUNT(AR9,AO9,AL9,AI9,AF9,AC9,Z9,W9,T9,Q9,N9,K9)=0,"",SUM(AR9,AO9,AL9,AI9,AF9,AC9,Z9,W9,T9,Q9,N9,K9))</f>
        <v/>
      </c>
      <c r="C9" s="12" t="n">
        <f aca="false">IF(COUNT(AS9,AP9,AM9,AJ9,AG9,AD9,AA9,X9,U9,R9,O9,L9)=0,"",SUM(AS9,AP9,AM9,AJ9,AG9,AD9,AA9,X9,U9,R9,O9,L9))</f>
        <v>2972000</v>
      </c>
      <c r="D9" s="12" t="n">
        <f aca="false">IF(COUNT(AT9,AQ9,AN9,AK9,AH9,AE9,AB9,Y9,V9,S9,P9,M9)=0,"",SUM(AT9,AQ9,AN9,AK9,AH9,AE9,AB9,Y9,V9,S9,P9,M9))</f>
        <v>2972000</v>
      </c>
      <c r="E9" s="13" t="str">
        <f aca="false">IF(COUNT(CB9,BY9,BV9,BS9,BP9,BM9,BJ9,BG9,BD9,BA9,AX9,AU9)=0,"",SUM(CB9,BY9,BV9,BS9,BP9,BM9,BJ9,BG9,BD9,BA9,AX9,AU9))</f>
        <v/>
      </c>
      <c r="F9" s="13" t="n">
        <f aca="false">IF(COUNT(CC9,BZ9,BW9,BT9,BQ9,BN9,BK9,BH9,BE9,BB9,AY9,AV9)=0,"",SUM(CC9,BZ9,BW9,BT9,BQ9,BN9,BK9,BH9,BE9,BB9,AY9,AV9))</f>
        <v>2177000</v>
      </c>
      <c r="G9" s="13" t="n">
        <f aca="false">IF(COUNT(CD9,CA9,BX9,BU9,BR9,BO9,BL9,BI9,BF9,BC9,AZ9,AW9)=0,"",SUM(CD9,CA9,BX9,BU9,BR9,BO9,BL9,BI9,BF9,BC9,AZ9,AW9))</f>
        <v>2177000</v>
      </c>
      <c r="H9" s="12" t="n">
        <f aca="false">IF(COUNT(DL9,DI9,DF9,DC9,CZ9,CW9,CT9,CQ9,CN9,CK9,CH9,CE9)=0,"",SUM(DL9,DI9,DF9,DC9,CZ9,CW9,CT9,CQ9,CN9,CK9,CH9,CE9))</f>
        <v>234000</v>
      </c>
      <c r="I9" s="12" t="n">
        <f aca="false">IF(COUNT(DM9,DJ9,DG9,DD9,DA9,CX9,CU9,CR9,CO9,CL9,CI9,CF9)=0,"",SUM(DM9,DJ9,DG9,DD9,DA9,CX9,CU9,CR9,CO9,CL9,CI9,CF9))</f>
        <v>1476000</v>
      </c>
      <c r="J9" s="12" t="n">
        <f aca="false">IF(COUNT(DN9,DK9,DH9,DE9,DB9,CY9,CV9,CS9,CP9,CM9,CJ9,CG9)=0,"",SUM(DN9,DK9,DH9,DE9,DB9,CY9,CV9,CS9,CP9,CM9,CJ9,CG9))</f>
        <v>1476000</v>
      </c>
      <c r="K9" s="13" t="str">
        <f aca="false">IF(COUNT(K51)=1,K51,"")</f>
        <v/>
      </c>
      <c r="L9" s="13" t="n">
        <f aca="false">L51</f>
        <v>258000</v>
      </c>
      <c r="M9" s="13" t="n">
        <f aca="false">M51</f>
        <v>258000</v>
      </c>
      <c r="N9" s="12" t="str">
        <f aca="false">IF(COUNT(N51)=1,N51,"")</f>
        <v/>
      </c>
      <c r="O9" s="12" t="n">
        <f aca="false">O51</f>
        <v>258000</v>
      </c>
      <c r="P9" s="12" t="n">
        <f aca="false">P51</f>
        <v>258000</v>
      </c>
      <c r="Q9" s="13" t="str">
        <f aca="false">IF(COUNT(Q51)=1,Q51,"")</f>
        <v/>
      </c>
      <c r="R9" s="13" t="n">
        <f aca="false">R51</f>
        <v>258000</v>
      </c>
      <c r="S9" s="13" t="n">
        <f aca="false">S51</f>
        <v>258000</v>
      </c>
      <c r="T9" s="12" t="str">
        <f aca="false">IF(COUNT(T51)=1,T51,"")</f>
        <v/>
      </c>
      <c r="U9" s="12" t="n">
        <f aca="false">U51</f>
        <v>258000</v>
      </c>
      <c r="V9" s="12" t="n">
        <f aca="false">V51</f>
        <v>258000</v>
      </c>
      <c r="W9" s="13" t="str">
        <f aca="false">IF(COUNT(W51)=1,W51,"")</f>
        <v/>
      </c>
      <c r="X9" s="13" t="n">
        <f aca="false">X51</f>
        <v>258000</v>
      </c>
      <c r="Y9" s="13" t="n">
        <f aca="false">Y51</f>
        <v>258000</v>
      </c>
      <c r="Z9" s="12" t="str">
        <f aca="false">IF(COUNT(Z51)=1,Z51,"")</f>
        <v/>
      </c>
      <c r="AA9" s="12" t="n">
        <f aca="false">AA51</f>
        <v>258000</v>
      </c>
      <c r="AB9" s="12" t="n">
        <f aca="false">AB51</f>
        <v>258000</v>
      </c>
      <c r="AC9" s="13" t="str">
        <f aca="false">IF(COUNT(AC51)=1,AC51,"")</f>
        <v/>
      </c>
      <c r="AD9" s="13" t="n">
        <f aca="false">AD51</f>
        <v>246000</v>
      </c>
      <c r="AE9" s="13" t="n">
        <f aca="false">AE51</f>
        <v>246000</v>
      </c>
      <c r="AF9" s="12" t="str">
        <f aca="false">IF(COUNT(AF51)=1,AF51,"")</f>
        <v/>
      </c>
      <c r="AG9" s="12" t="n">
        <f aca="false">AG51</f>
        <v>246000</v>
      </c>
      <c r="AH9" s="12" t="n">
        <f aca="false">AH51</f>
        <v>246000</v>
      </c>
      <c r="AI9" s="13" t="str">
        <f aca="false">IF(COUNT(AI51)=1,AI51,"")</f>
        <v/>
      </c>
      <c r="AJ9" s="13" t="n">
        <f aca="false">AJ51</f>
        <v>246000</v>
      </c>
      <c r="AK9" s="13" t="n">
        <f aca="false">AK51</f>
        <v>246000</v>
      </c>
      <c r="AL9" s="12" t="str">
        <f aca="false">IF(COUNT(AL51)=1,AL51,"")</f>
        <v/>
      </c>
      <c r="AM9" s="12" t="n">
        <f aca="false">AM51</f>
        <v>234000</v>
      </c>
      <c r="AN9" s="12" t="n">
        <f aca="false">AN51</f>
        <v>234000</v>
      </c>
      <c r="AO9" s="13" t="str">
        <f aca="false">IF(COUNT(AO51)=1,AO51,"")</f>
        <v/>
      </c>
      <c r="AP9" s="13" t="n">
        <f aca="false">AP51</f>
        <v>226000</v>
      </c>
      <c r="AQ9" s="13" t="n">
        <f aca="false">AQ51</f>
        <v>226000</v>
      </c>
      <c r="AR9" s="12" t="str">
        <f aca="false">IF(COUNT(AR51)=1,AR51,"")</f>
        <v/>
      </c>
      <c r="AS9" s="12" t="n">
        <f aca="false">AS51</f>
        <v>226000</v>
      </c>
      <c r="AT9" s="12" t="n">
        <f aca="false">AT51</f>
        <v>226000</v>
      </c>
      <c r="AU9" s="13" t="str">
        <f aca="false">IF(COUNT(AU51)=1,AU51,"")</f>
        <v/>
      </c>
      <c r="AV9" s="13" t="n">
        <f aca="false">AV51</f>
        <v>214000</v>
      </c>
      <c r="AW9" s="13" t="n">
        <f aca="false">AW51</f>
        <v>214000</v>
      </c>
      <c r="AX9" s="12" t="str">
        <f aca="false">IF(COUNT(AX51)=1,AX51,"")</f>
        <v/>
      </c>
      <c r="AY9" s="12" t="n">
        <f aca="false">AY51</f>
        <v>214000</v>
      </c>
      <c r="AZ9" s="12" t="n">
        <f aca="false">AZ51</f>
        <v>214000</v>
      </c>
      <c r="BA9" s="13" t="str">
        <f aca="false">IF(COUNT(BA51)=1,BA51,"")</f>
        <v/>
      </c>
      <c r="BB9" s="13" t="n">
        <f aca="false">BB51</f>
        <v>206000</v>
      </c>
      <c r="BC9" s="13" t="n">
        <f aca="false">BC51</f>
        <v>206000</v>
      </c>
      <c r="BD9" s="12" t="str">
        <f aca="false">IF(COUNT(BD51)=1,BD51,"")</f>
        <v/>
      </c>
      <c r="BE9" s="12" t="n">
        <f aca="false">BE51</f>
        <v>194000</v>
      </c>
      <c r="BF9" s="12" t="n">
        <f aca="false">BF51</f>
        <v>194000</v>
      </c>
      <c r="BG9" s="13" t="str">
        <f aca="false">IF(COUNT(BG51)=1,BG51,"")</f>
        <v/>
      </c>
      <c r="BH9" s="13" t="n">
        <f aca="false">BH51</f>
        <v>194000</v>
      </c>
      <c r="BI9" s="13" t="n">
        <f aca="false">BI51</f>
        <v>194000</v>
      </c>
      <c r="BJ9" s="12" t="str">
        <f aca="false">IF(COUNT(BJ51)=1,BJ51,"")</f>
        <v/>
      </c>
      <c r="BK9" s="12" t="n">
        <f aca="false">BK51</f>
        <v>181000</v>
      </c>
      <c r="BL9" s="12" t="n">
        <f aca="false">BL51</f>
        <v>181000</v>
      </c>
      <c r="BM9" s="13" t="str">
        <f aca="false">IF(COUNT(BM51)=1,BM51,"")</f>
        <v/>
      </c>
      <c r="BN9" s="13" t="n">
        <f aca="false">BN51</f>
        <v>173000</v>
      </c>
      <c r="BO9" s="13" t="n">
        <f aca="false">BO51</f>
        <v>173000</v>
      </c>
      <c r="BP9" s="12" t="str">
        <f aca="false">IF(COUNT(BP51)=1,BP51,"")</f>
        <v/>
      </c>
      <c r="BQ9" s="12" t="n">
        <f aca="false">BQ51</f>
        <v>173000</v>
      </c>
      <c r="BR9" s="12" t="n">
        <f aca="false">BR51</f>
        <v>173000</v>
      </c>
      <c r="BS9" s="13" t="str">
        <f aca="false">IF(COUNT(BS51)=1,BS51,"")</f>
        <v/>
      </c>
      <c r="BT9" s="13" t="n">
        <f aca="false">BT51</f>
        <v>173000</v>
      </c>
      <c r="BU9" s="13" t="n">
        <f aca="false">BU51</f>
        <v>173000</v>
      </c>
      <c r="BV9" s="12" t="str">
        <f aca="false">IF(COUNT(BV51)=1,BV51,"")</f>
        <v/>
      </c>
      <c r="BW9" s="12" t="n">
        <f aca="false">BW51</f>
        <v>161000</v>
      </c>
      <c r="BX9" s="12" t="n">
        <f aca="false">BX51</f>
        <v>161000</v>
      </c>
      <c r="BY9" s="13" t="str">
        <f aca="false">IF(COUNT(BY51)=1,BY51,"")</f>
        <v/>
      </c>
      <c r="BZ9" s="13" t="n">
        <f aca="false">BZ51</f>
        <v>153000</v>
      </c>
      <c r="CA9" s="13" t="n">
        <f aca="false">CA51</f>
        <v>153000</v>
      </c>
      <c r="CB9" s="12" t="str">
        <f aca="false">IF(COUNT(CB51)=1,CB51,"")</f>
        <v/>
      </c>
      <c r="CC9" s="12" t="n">
        <f aca="false">CC51</f>
        <v>141000</v>
      </c>
      <c r="CD9" s="12" t="n">
        <f aca="false">CD51</f>
        <v>141000</v>
      </c>
      <c r="CE9" s="13" t="str">
        <f aca="false">IF(COUNT(CE51)=1,CE51,"")</f>
        <v/>
      </c>
      <c r="CF9" s="13" t="n">
        <f aca="false">CF51</f>
        <v>129000</v>
      </c>
      <c r="CG9" s="13" t="n">
        <f aca="false">CG51</f>
        <v>129000</v>
      </c>
      <c r="CH9" s="12" t="str">
        <f aca="false">IF(COUNT(CH51)=1,CH51,"")</f>
        <v/>
      </c>
      <c r="CI9" s="12" t="n">
        <f aca="false">CI51</f>
        <v>129000</v>
      </c>
      <c r="CJ9" s="12" t="n">
        <f aca="false">CJ51</f>
        <v>129000</v>
      </c>
      <c r="CK9" s="13" t="str">
        <f aca="false">IF(COUNT(CK51)=1,CK51,"")</f>
        <v/>
      </c>
      <c r="CL9" s="13" t="n">
        <f aca="false">CL51</f>
        <v>129000</v>
      </c>
      <c r="CM9" s="13" t="n">
        <f aca="false">CM51</f>
        <v>129000</v>
      </c>
      <c r="CN9" s="12" t="str">
        <f aca="false">IF(COUNT(CN51)=1,CN51,"")</f>
        <v/>
      </c>
      <c r="CO9" s="12" t="n">
        <f aca="false">CO51</f>
        <v>129000</v>
      </c>
      <c r="CP9" s="12" t="n">
        <f aca="false">CP51</f>
        <v>129000</v>
      </c>
      <c r="CQ9" s="13" t="str">
        <f aca="false">IF(COUNT(CQ51)=1,CQ51,"")</f>
        <v/>
      </c>
      <c r="CR9" s="13" t="n">
        <f aca="false">CR51</f>
        <v>129000</v>
      </c>
      <c r="CS9" s="13" t="n">
        <f aca="false">CS51</f>
        <v>129000</v>
      </c>
      <c r="CT9" s="12" t="str">
        <f aca="false">IF(COUNT(CT51)=1,CT51,"")</f>
        <v/>
      </c>
      <c r="CU9" s="12" t="n">
        <f aca="false">CU51</f>
        <v>129000</v>
      </c>
      <c r="CV9" s="12" t="n">
        <f aca="false">CV51</f>
        <v>129000</v>
      </c>
      <c r="CW9" s="13" t="str">
        <f aca="false">IF(COUNT(CW51)=1,CW51,"")</f>
        <v/>
      </c>
      <c r="CX9" s="13" t="n">
        <f aca="false">CX51</f>
        <v>117000</v>
      </c>
      <c r="CY9" s="13" t="n">
        <f aca="false">CY51</f>
        <v>117000</v>
      </c>
      <c r="CZ9" s="12" t="str">
        <f aca="false">IF(COUNT(CZ51)=1,CZ51,"")</f>
        <v/>
      </c>
      <c r="DA9" s="12" t="n">
        <f aca="false">DA51</f>
        <v>117000</v>
      </c>
      <c r="DB9" s="12" t="n">
        <f aca="false">DB51</f>
        <v>117000</v>
      </c>
      <c r="DC9" s="13" t="str">
        <f aca="false">IF(COUNT(DC51)=1,DC51,"")</f>
        <v/>
      </c>
      <c r="DD9" s="13" t="n">
        <f aca="false">DD51</f>
        <v>117000</v>
      </c>
      <c r="DE9" s="13" t="n">
        <f aca="false">DE51</f>
        <v>117000</v>
      </c>
      <c r="DF9" s="12" t="str">
        <f aca="false">IF(COUNT(DF51)=1,DF51,"")</f>
        <v/>
      </c>
      <c r="DG9" s="12" t="n">
        <f aca="false">DG51</f>
        <v>117000</v>
      </c>
      <c r="DH9" s="12" t="n">
        <f aca="false">DH51</f>
        <v>117000</v>
      </c>
      <c r="DI9" s="13" t="n">
        <f aca="false">IF(COUNT(DI51)=1,DI51,"")</f>
        <v>117000</v>
      </c>
      <c r="DJ9" s="13" t="n">
        <f aca="false">DJ51</f>
        <v>117000</v>
      </c>
      <c r="DK9" s="13" t="n">
        <f aca="false">DK51</f>
        <v>117000</v>
      </c>
      <c r="DL9" s="12" t="n">
        <f aca="false">IF(COUNT(DL51)=1,DL51,"")</f>
        <v>117000</v>
      </c>
      <c r="DM9" s="12" t="n">
        <f aca="false">DM51</f>
        <v>117000</v>
      </c>
      <c r="DN9" s="12" t="n">
        <f aca="false">DN51</f>
        <v>117000</v>
      </c>
    </row>
    <row r="10" customFormat="false" ht="15" hidden="false" customHeight="false" outlineLevel="0" collapsed="false">
      <c r="A10" s="5" t="s">
        <v>159</v>
      </c>
      <c r="B10" s="12" t="str">
        <f aca="false">IF(COUNT(AR10,AO10,AL10,AI10,AF10,AC10,Z10,W10,T10,Q10,N10,K10)=0,"",SUM(AR10,AO10,AL10,AI10,AF10,AC10,Z10,W10,T10,Q10,N10,K10))</f>
        <v/>
      </c>
      <c r="C10" s="12" t="n">
        <f aca="false">IF(COUNT(AS10,AP10,AM10,AJ10,AG10,AD10,AA10,X10,U10,R10,O10,L10)=0,"",SUM(AS10,AP10,AM10,AJ10,AG10,AD10,AA10,X10,U10,R10,O10,L10))</f>
        <v>24000</v>
      </c>
      <c r="D10" s="12" t="n">
        <f aca="false">IF(COUNT(AT10,AQ10,AN10,AK10,AH10,AE10,AB10,Y10,V10,S10,P10,M10)=0,"",SUM(AT10,AQ10,AN10,AK10,AH10,AE10,AB10,Y10,V10,S10,P10,M10))</f>
        <v>24000</v>
      </c>
      <c r="E10" s="13" t="str">
        <f aca="false">IF(COUNT(CB10,BY10,BV10,BS10,BP10,BM10,BJ10,BG10,BD10,BA10,AX10,AU10)=0,"",SUM(CB10,BY10,BV10,BS10,BP10,BM10,BJ10,BG10,BD10,BA10,AX10,AU10))</f>
        <v/>
      </c>
      <c r="F10" s="13" t="n">
        <f aca="false">IF(COUNT(CC10,BZ10,BW10,BT10,BQ10,BN10,BK10,BH10,BE10,BB10,AY10,AV10)=0,"",SUM(CC10,BZ10,BW10,BT10,BQ10,BN10,BK10,BH10,BE10,BB10,AY10,AV10))</f>
        <v>24000</v>
      </c>
      <c r="G10" s="13" t="n">
        <f aca="false">IF(COUNT(CD10,CA10,BX10,BU10,BR10,BO10,BL10,BI10,BF10,BC10,AZ10,AW10)=0,"",SUM(CD10,CA10,BX10,BU10,BR10,BO10,BL10,BI10,BF10,BC10,AZ10,AW10))</f>
        <v>24000</v>
      </c>
      <c r="H10" s="12" t="n">
        <f aca="false">IF(COUNT(DL10,DI10,DF10,DC10,CZ10,CW10,CT10,CQ10,CN10,CK10,CH10,CE10)=0,"",SUM(DL10,DI10,DF10,DC10,CZ10,CW10,CT10,CQ10,CN10,CK10,CH10,CE10))</f>
        <v>4000</v>
      </c>
      <c r="I10" s="12" t="n">
        <f aca="false">IF(COUNT(DM10,DJ10,DG10,DD10,DA10,CX10,CU10,CR10,CO10,CL10,CI10,CF10)=0,"",SUM(DM10,DJ10,DG10,DD10,DA10,CX10,CU10,CR10,CO10,CL10,CI10,CF10))</f>
        <v>24000</v>
      </c>
      <c r="J10" s="12" t="n">
        <f aca="false">IF(COUNT(DN10,DK10,DH10,DE10,DB10,CY10,CV10,CS10,CP10,CM10,CJ10,CG10)=0,"",SUM(DN10,DK10,DH10,DE10,DB10,CY10,CV10,CS10,CP10,CM10,CJ10,CG10))</f>
        <v>24000</v>
      </c>
      <c r="K10" s="13"/>
      <c r="L10" s="13" t="n">
        <f aca="false">IF('Cash Drivers'!L$26,Sales!K10,Sales!M10)</f>
        <v>2000</v>
      </c>
      <c r="M10" s="89" t="n">
        <v>2000</v>
      </c>
      <c r="N10" s="12"/>
      <c r="O10" s="12" t="n">
        <f aca="false">IF('Cash Drivers'!O$26,Sales!N10,Sales!P10)</f>
        <v>2000</v>
      </c>
      <c r="P10" s="90" t="n">
        <v>2000</v>
      </c>
      <c r="Q10" s="13"/>
      <c r="R10" s="13" t="n">
        <f aca="false">IF('Cash Drivers'!R$26,Sales!Q10,Sales!S10)</f>
        <v>2000</v>
      </c>
      <c r="S10" s="89" t="n">
        <v>2000</v>
      </c>
      <c r="T10" s="12"/>
      <c r="U10" s="12" t="n">
        <f aca="false">IF('Cash Drivers'!U$26,Sales!T10,Sales!V10)</f>
        <v>2000</v>
      </c>
      <c r="V10" s="90" t="n">
        <v>2000</v>
      </c>
      <c r="W10" s="13"/>
      <c r="X10" s="13" t="n">
        <f aca="false">IF('Cash Drivers'!X$26,Sales!W10,Sales!Y10)</f>
        <v>2000</v>
      </c>
      <c r="Y10" s="89" t="n">
        <v>2000</v>
      </c>
      <c r="Z10" s="12"/>
      <c r="AA10" s="12" t="n">
        <f aca="false">IF('Cash Drivers'!AA$26,Sales!Z10,Sales!AB10)</f>
        <v>2000</v>
      </c>
      <c r="AB10" s="90" t="n">
        <v>2000</v>
      </c>
      <c r="AC10" s="13"/>
      <c r="AD10" s="13" t="n">
        <f aca="false">IF('Cash Drivers'!AD$26,Sales!AC10,Sales!AE10)</f>
        <v>2000</v>
      </c>
      <c r="AE10" s="89" t="n">
        <v>2000</v>
      </c>
      <c r="AF10" s="12"/>
      <c r="AG10" s="12" t="n">
        <f aca="false">IF('Cash Drivers'!AG$26,Sales!AF10,Sales!AH10)</f>
        <v>2000</v>
      </c>
      <c r="AH10" s="90" t="n">
        <v>2000</v>
      </c>
      <c r="AI10" s="13"/>
      <c r="AJ10" s="13" t="n">
        <f aca="false">IF('Cash Drivers'!AJ$26,Sales!AI10,Sales!AK10)</f>
        <v>2000</v>
      </c>
      <c r="AK10" s="89" t="n">
        <v>2000</v>
      </c>
      <c r="AL10" s="12"/>
      <c r="AM10" s="12" t="n">
        <f aca="false">IF('Cash Drivers'!AM$26,Sales!AL10,Sales!AN10)</f>
        <v>2000</v>
      </c>
      <c r="AN10" s="90" t="n">
        <v>2000</v>
      </c>
      <c r="AO10" s="13"/>
      <c r="AP10" s="13" t="n">
        <f aca="false">IF('Cash Drivers'!AP$26,Sales!AO10,Sales!AQ10)</f>
        <v>2000</v>
      </c>
      <c r="AQ10" s="89" t="n">
        <v>2000</v>
      </c>
      <c r="AR10" s="12"/>
      <c r="AS10" s="12" t="n">
        <f aca="false">IF('Cash Drivers'!AS$26,Sales!AR10,Sales!AT10)</f>
        <v>2000</v>
      </c>
      <c r="AT10" s="90" t="n">
        <v>2000</v>
      </c>
      <c r="AU10" s="13"/>
      <c r="AV10" s="13" t="n">
        <f aca="false">IF('Cash Drivers'!AV$26,Sales!AU10,Sales!AW10)</f>
        <v>2000</v>
      </c>
      <c r="AW10" s="89" t="n">
        <v>2000</v>
      </c>
      <c r="AX10" s="12"/>
      <c r="AY10" s="12" t="n">
        <f aca="false">IF('Cash Drivers'!AY$26,Sales!AX10,Sales!AZ10)</f>
        <v>2000</v>
      </c>
      <c r="AZ10" s="90" t="n">
        <v>2000</v>
      </c>
      <c r="BA10" s="13"/>
      <c r="BB10" s="13" t="n">
        <f aca="false">IF('Cash Drivers'!BB$26,Sales!BA10,Sales!BC10)</f>
        <v>2000</v>
      </c>
      <c r="BC10" s="89" t="n">
        <v>2000</v>
      </c>
      <c r="BD10" s="12"/>
      <c r="BE10" s="12" t="n">
        <f aca="false">IF('Cash Drivers'!BE$26,Sales!BD10,Sales!BF10)</f>
        <v>2000</v>
      </c>
      <c r="BF10" s="90" t="n">
        <v>2000</v>
      </c>
      <c r="BG10" s="13"/>
      <c r="BH10" s="13" t="n">
        <f aca="false">IF('Cash Drivers'!BH$26,Sales!BG10,Sales!BI10)</f>
        <v>2000</v>
      </c>
      <c r="BI10" s="89" t="n">
        <v>2000</v>
      </c>
      <c r="BJ10" s="12"/>
      <c r="BK10" s="12" t="n">
        <f aca="false">IF('Cash Drivers'!BK$26,Sales!BJ10,Sales!BL10)</f>
        <v>2000</v>
      </c>
      <c r="BL10" s="90" t="n">
        <v>2000</v>
      </c>
      <c r="BM10" s="13"/>
      <c r="BN10" s="13" t="n">
        <f aca="false">IF('Cash Drivers'!BN$26,Sales!BM10,Sales!BO10)</f>
        <v>2000</v>
      </c>
      <c r="BO10" s="89" t="n">
        <v>2000</v>
      </c>
      <c r="BP10" s="12"/>
      <c r="BQ10" s="12" t="n">
        <f aca="false">IF('Cash Drivers'!BQ$26,Sales!BP10,Sales!BR10)</f>
        <v>2000</v>
      </c>
      <c r="BR10" s="90" t="n">
        <v>2000</v>
      </c>
      <c r="BS10" s="13"/>
      <c r="BT10" s="13" t="n">
        <f aca="false">IF('Cash Drivers'!BT$26,Sales!BS10,Sales!BU10)</f>
        <v>2000</v>
      </c>
      <c r="BU10" s="89" t="n">
        <v>2000</v>
      </c>
      <c r="BV10" s="12"/>
      <c r="BW10" s="12" t="n">
        <f aca="false">IF('Cash Drivers'!BW$26,Sales!BV10,Sales!BX10)</f>
        <v>2000</v>
      </c>
      <c r="BX10" s="90" t="n">
        <v>2000</v>
      </c>
      <c r="BY10" s="13"/>
      <c r="BZ10" s="13" t="n">
        <f aca="false">IF('Cash Drivers'!BZ$26,Sales!BY10,Sales!CA10)</f>
        <v>2000</v>
      </c>
      <c r="CA10" s="89" t="n">
        <v>2000</v>
      </c>
      <c r="CB10" s="12"/>
      <c r="CC10" s="12" t="n">
        <f aca="false">IF('Cash Drivers'!CC$26,Sales!CB10,Sales!CD10)</f>
        <v>2000</v>
      </c>
      <c r="CD10" s="90" t="n">
        <v>2000</v>
      </c>
      <c r="CE10" s="13"/>
      <c r="CF10" s="13" t="n">
        <f aca="false">IF('Cash Drivers'!CF$26,Sales!CE10,Sales!CG10)</f>
        <v>2000</v>
      </c>
      <c r="CG10" s="89" t="n">
        <v>2000</v>
      </c>
      <c r="CH10" s="12"/>
      <c r="CI10" s="12" t="n">
        <f aca="false">IF('Cash Drivers'!CI$26,Sales!CH10,Sales!CJ10)</f>
        <v>2000</v>
      </c>
      <c r="CJ10" s="90" t="n">
        <v>2000</v>
      </c>
      <c r="CK10" s="13"/>
      <c r="CL10" s="13" t="n">
        <f aca="false">IF('Cash Drivers'!CL$26,Sales!CK10,Sales!CM10)</f>
        <v>2000</v>
      </c>
      <c r="CM10" s="89" t="n">
        <v>2000</v>
      </c>
      <c r="CN10" s="12"/>
      <c r="CO10" s="12" t="n">
        <f aca="false">IF('Cash Drivers'!CO$26,Sales!CN10,Sales!CP10)</f>
        <v>2000</v>
      </c>
      <c r="CP10" s="90" t="n">
        <v>2000</v>
      </c>
      <c r="CQ10" s="13"/>
      <c r="CR10" s="13" t="n">
        <f aca="false">IF('Cash Drivers'!CR$26,Sales!CQ10,Sales!CS10)</f>
        <v>2000</v>
      </c>
      <c r="CS10" s="89" t="n">
        <v>2000</v>
      </c>
      <c r="CT10" s="12"/>
      <c r="CU10" s="12" t="n">
        <f aca="false">IF('Cash Drivers'!CU$26,Sales!CT10,Sales!CV10)</f>
        <v>2000</v>
      </c>
      <c r="CV10" s="90" t="n">
        <v>2000</v>
      </c>
      <c r="CW10" s="13"/>
      <c r="CX10" s="13" t="n">
        <f aca="false">IF('Cash Drivers'!CX$26,Sales!CW10,Sales!CY10)</f>
        <v>2000</v>
      </c>
      <c r="CY10" s="89" t="n">
        <v>2000</v>
      </c>
      <c r="CZ10" s="12"/>
      <c r="DA10" s="12" t="n">
        <f aca="false">IF('Cash Drivers'!DA$26,Sales!CZ10,Sales!DB10)</f>
        <v>2000</v>
      </c>
      <c r="DB10" s="90" t="n">
        <v>2000</v>
      </c>
      <c r="DC10" s="13"/>
      <c r="DD10" s="13" t="n">
        <f aca="false">IF('Cash Drivers'!DD$26,Sales!DC10,Sales!DE10)</f>
        <v>2000</v>
      </c>
      <c r="DE10" s="89" t="n">
        <v>2000</v>
      </c>
      <c r="DF10" s="12"/>
      <c r="DG10" s="12" t="n">
        <f aca="false">IF('Cash Drivers'!DG$26,Sales!DF10,Sales!DH10)</f>
        <v>2000</v>
      </c>
      <c r="DH10" s="90" t="n">
        <v>2000</v>
      </c>
      <c r="DI10" s="89" t="n">
        <v>2000</v>
      </c>
      <c r="DJ10" s="13" t="n">
        <f aca="false">IF('Cash Drivers'!DJ$26,Sales!DI10,Sales!DK10)</f>
        <v>2000</v>
      </c>
      <c r="DK10" s="89" t="n">
        <v>2000</v>
      </c>
      <c r="DL10" s="90" t="n">
        <v>2000</v>
      </c>
      <c r="DM10" s="12" t="n">
        <f aca="false">IF('Cash Drivers'!DM$26,Sales!DL10,Sales!DN10)</f>
        <v>2000</v>
      </c>
      <c r="DN10" s="90" t="n">
        <v>2000</v>
      </c>
    </row>
    <row r="11" customFormat="false" ht="15" hidden="false" customHeight="false" outlineLevel="0" collapsed="false">
      <c r="A11" s="5" t="s">
        <v>160</v>
      </c>
      <c r="B11" s="12" t="str">
        <f aca="false">IF(COUNT(AR11,AO11,AL11,AI11,AF11,AC11,Z11,W11,T11,Q11,N11,K11)=0,"",SUM(AR11,AO11,AL11,AI11,AF11,AC11,Z11,W11,T11,Q11,N11,K11))</f>
        <v/>
      </c>
      <c r="C11" s="12" t="n">
        <f aca="false">IF(COUNT(AS11,AP11,AM11,AJ11,AG11,AD11,AA11,X11,U11,R11,O11,L11)=0,"",SUM(AS11,AP11,AM11,AJ11,AG11,AD11,AA11,X11,U11,R11,O11,L11))</f>
        <v>653840</v>
      </c>
      <c r="D11" s="12" t="n">
        <f aca="false">IF(COUNT(AT11,AQ11,AN11,AK11,AH11,AE11,AB11,Y11,V11,S11,P11,M11)=0,"",SUM(AT11,AQ11,AN11,AK11,AH11,AE11,AB11,Y11,V11,S11,P11,M11))</f>
        <v>653840</v>
      </c>
      <c r="E11" s="13" t="str">
        <f aca="false">IF(COUNT(CB11,BY11,BV11,BS11,BP11,BM11,BJ11,BG11,BD11,BA11,AX11,AU11)=0,"",SUM(CB11,BY11,BV11,BS11,BP11,BM11,BJ11,BG11,BD11,BA11,AX11,AU11))</f>
        <v/>
      </c>
      <c r="F11" s="13" t="n">
        <f aca="false">IF(COUNT(CC11,BZ11,BW11,BT11,BQ11,BN11,BK11,BH11,BE11,BB11,AY11,AV11)=0,"",SUM(CC11,BZ11,BW11,BT11,BQ11,BN11,BK11,BH11,BE11,BB11,AY11,AV11))</f>
        <v>478940</v>
      </c>
      <c r="G11" s="13" t="n">
        <f aca="false">IF(COUNT(CD11,CA11,BX11,BU11,BR11,BO11,BL11,BI11,BF11,BC11,AZ11,AW11)=0,"",SUM(CD11,CA11,BX11,BU11,BR11,BO11,BL11,BI11,BF11,BC11,AZ11,AW11))</f>
        <v>478940</v>
      </c>
      <c r="H11" s="12" t="n">
        <f aca="false">IF(COUNT(DL11,DI11,DF11,DC11,CZ11,CW11,CT11,CQ11,CN11,CK11,CH11,CE11)=0,"",SUM(DL11,DI11,DF11,DC11,CZ11,CW11,CT11,CQ11,CN11,CK11,CH11,CE11))</f>
        <v>51480</v>
      </c>
      <c r="I11" s="12" t="n">
        <f aca="false">IF(COUNT(DM11,DJ11,DG11,DD11,DA11,CX11,CU11,CR11,CO11,CL11,CI11,CF11)=0,"",SUM(DM11,DJ11,DG11,DD11,DA11,CX11,CU11,CR11,CO11,CL11,CI11,CF11))</f>
        <v>324720</v>
      </c>
      <c r="J11" s="12" t="n">
        <f aca="false">IF(COUNT(DN11,DK11,DH11,DE11,DB11,CY11,CV11,CS11,CP11,CM11,CJ11,CG11)=0,"",SUM(DN11,DK11,DH11,DE11,DB11,CY11,CV11,CS11,CP11,CM11,CJ11,CG11))</f>
        <v>324720</v>
      </c>
      <c r="K11" s="13" t="str">
        <f aca="false">IF(COUNT(K9)=1,K9*0.22,"")</f>
        <v/>
      </c>
      <c r="L11" s="13" t="n">
        <f aca="false">L9*0.22</f>
        <v>56760</v>
      </c>
      <c r="M11" s="13" t="n">
        <f aca="false">M9*0.22</f>
        <v>56760</v>
      </c>
      <c r="N11" s="12" t="str">
        <f aca="false">IF(COUNT(N9)=1,N9*0.22,"")</f>
        <v/>
      </c>
      <c r="O11" s="12" t="n">
        <f aca="false">O9*0.22</f>
        <v>56760</v>
      </c>
      <c r="P11" s="12" t="n">
        <f aca="false">P9*0.22</f>
        <v>56760</v>
      </c>
      <c r="Q11" s="13" t="str">
        <f aca="false">IF(COUNT(Q9)=1,Q9*0.22,"")</f>
        <v/>
      </c>
      <c r="R11" s="13" t="n">
        <f aca="false">R9*0.22</f>
        <v>56760</v>
      </c>
      <c r="S11" s="13" t="n">
        <f aca="false">S9*0.22</f>
        <v>56760</v>
      </c>
      <c r="T11" s="12" t="str">
        <f aca="false">IF(COUNT(T9)=1,T9*0.22,"")</f>
        <v/>
      </c>
      <c r="U11" s="12" t="n">
        <f aca="false">U9*0.22</f>
        <v>56760</v>
      </c>
      <c r="V11" s="12" t="n">
        <f aca="false">V9*0.22</f>
        <v>56760</v>
      </c>
      <c r="W11" s="13" t="str">
        <f aca="false">IF(COUNT(W9)=1,W9*0.22,"")</f>
        <v/>
      </c>
      <c r="X11" s="13" t="n">
        <f aca="false">X9*0.22</f>
        <v>56760</v>
      </c>
      <c r="Y11" s="13" t="n">
        <f aca="false">Y9*0.22</f>
        <v>56760</v>
      </c>
      <c r="Z11" s="12" t="str">
        <f aca="false">IF(COUNT(Z9)=1,Z9*0.22,"")</f>
        <v/>
      </c>
      <c r="AA11" s="12" t="n">
        <f aca="false">AA9*0.22</f>
        <v>56760</v>
      </c>
      <c r="AB11" s="12" t="n">
        <f aca="false">AB9*0.22</f>
        <v>56760</v>
      </c>
      <c r="AC11" s="13" t="str">
        <f aca="false">IF(COUNT(AC9)=1,AC9*0.22,"")</f>
        <v/>
      </c>
      <c r="AD11" s="13" t="n">
        <f aca="false">AD9*0.22</f>
        <v>54120</v>
      </c>
      <c r="AE11" s="13" t="n">
        <f aca="false">AE9*0.22</f>
        <v>54120</v>
      </c>
      <c r="AF11" s="12" t="str">
        <f aca="false">IF(COUNT(AF9)=1,AF9*0.22,"")</f>
        <v/>
      </c>
      <c r="AG11" s="12" t="n">
        <f aca="false">AG9*0.22</f>
        <v>54120</v>
      </c>
      <c r="AH11" s="12" t="n">
        <f aca="false">AH9*0.22</f>
        <v>54120</v>
      </c>
      <c r="AI11" s="13" t="str">
        <f aca="false">IF(COUNT(AI9)=1,AI9*0.22,"")</f>
        <v/>
      </c>
      <c r="AJ11" s="13" t="n">
        <f aca="false">AJ9*0.22</f>
        <v>54120</v>
      </c>
      <c r="AK11" s="13" t="n">
        <f aca="false">AK9*0.22</f>
        <v>54120</v>
      </c>
      <c r="AL11" s="12" t="str">
        <f aca="false">IF(COUNT(AL9)=1,AL9*0.22,"")</f>
        <v/>
      </c>
      <c r="AM11" s="12" t="n">
        <f aca="false">AM9*0.22</f>
        <v>51480</v>
      </c>
      <c r="AN11" s="12" t="n">
        <f aca="false">AN9*0.22</f>
        <v>51480</v>
      </c>
      <c r="AO11" s="13" t="str">
        <f aca="false">IF(COUNT(AO9)=1,AO9*0.22,"")</f>
        <v/>
      </c>
      <c r="AP11" s="13" t="n">
        <f aca="false">AP9*0.22</f>
        <v>49720</v>
      </c>
      <c r="AQ11" s="13" t="n">
        <f aca="false">AQ9*0.22</f>
        <v>49720</v>
      </c>
      <c r="AR11" s="12" t="str">
        <f aca="false">IF(COUNT(AR9)=1,AR9*0.22,"")</f>
        <v/>
      </c>
      <c r="AS11" s="12" t="n">
        <f aca="false">AS9*0.22</f>
        <v>49720</v>
      </c>
      <c r="AT11" s="12" t="n">
        <f aca="false">AT9*0.22</f>
        <v>49720</v>
      </c>
      <c r="AU11" s="13" t="str">
        <f aca="false">IF(COUNT(AU9)=1,AU9*0.22,"")</f>
        <v/>
      </c>
      <c r="AV11" s="13" t="n">
        <f aca="false">AV9*0.22</f>
        <v>47080</v>
      </c>
      <c r="AW11" s="13" t="n">
        <f aca="false">AW9*0.22</f>
        <v>47080</v>
      </c>
      <c r="AX11" s="12" t="str">
        <f aca="false">IF(COUNT(AX9)=1,AX9*0.22,"")</f>
        <v/>
      </c>
      <c r="AY11" s="12" t="n">
        <f aca="false">AY9*0.22</f>
        <v>47080</v>
      </c>
      <c r="AZ11" s="12" t="n">
        <f aca="false">AZ9*0.22</f>
        <v>47080</v>
      </c>
      <c r="BA11" s="13" t="str">
        <f aca="false">IF(COUNT(BA9)=1,BA9*0.22,"")</f>
        <v/>
      </c>
      <c r="BB11" s="13" t="n">
        <f aca="false">BB9*0.22</f>
        <v>45320</v>
      </c>
      <c r="BC11" s="13" t="n">
        <f aca="false">BC9*0.22</f>
        <v>45320</v>
      </c>
      <c r="BD11" s="12" t="str">
        <f aca="false">IF(COUNT(BD9)=1,BD9*0.22,"")</f>
        <v/>
      </c>
      <c r="BE11" s="12" t="n">
        <f aca="false">BE9*0.22</f>
        <v>42680</v>
      </c>
      <c r="BF11" s="12" t="n">
        <f aca="false">BF9*0.22</f>
        <v>42680</v>
      </c>
      <c r="BG11" s="13" t="str">
        <f aca="false">IF(COUNT(BG9)=1,BG9*0.22,"")</f>
        <v/>
      </c>
      <c r="BH11" s="13" t="n">
        <f aca="false">BH9*0.22</f>
        <v>42680</v>
      </c>
      <c r="BI11" s="13" t="n">
        <f aca="false">BI9*0.22</f>
        <v>42680</v>
      </c>
      <c r="BJ11" s="12" t="str">
        <f aca="false">IF(COUNT(BJ9)=1,BJ9*0.22,"")</f>
        <v/>
      </c>
      <c r="BK11" s="12" t="n">
        <f aca="false">BK9*0.22</f>
        <v>39820</v>
      </c>
      <c r="BL11" s="12" t="n">
        <f aca="false">BL9*0.22</f>
        <v>39820</v>
      </c>
      <c r="BM11" s="13" t="str">
        <f aca="false">IF(COUNT(BM9)=1,BM9*0.22,"")</f>
        <v/>
      </c>
      <c r="BN11" s="13" t="n">
        <f aca="false">BN9*0.22</f>
        <v>38060</v>
      </c>
      <c r="BO11" s="13" t="n">
        <f aca="false">BO9*0.22</f>
        <v>38060</v>
      </c>
      <c r="BP11" s="12" t="str">
        <f aca="false">IF(COUNT(BP9)=1,BP9*0.22,"")</f>
        <v/>
      </c>
      <c r="BQ11" s="12" t="n">
        <f aca="false">BQ9*0.22</f>
        <v>38060</v>
      </c>
      <c r="BR11" s="12" t="n">
        <f aca="false">BR9*0.22</f>
        <v>38060</v>
      </c>
      <c r="BS11" s="13" t="str">
        <f aca="false">IF(COUNT(BS9)=1,BS9*0.22,"")</f>
        <v/>
      </c>
      <c r="BT11" s="13" t="n">
        <f aca="false">BT9*0.22</f>
        <v>38060</v>
      </c>
      <c r="BU11" s="13" t="n">
        <f aca="false">BU9*0.22</f>
        <v>38060</v>
      </c>
      <c r="BV11" s="12" t="str">
        <f aca="false">IF(COUNT(BV9)=1,BV9*0.22,"")</f>
        <v/>
      </c>
      <c r="BW11" s="12" t="n">
        <f aca="false">BW9*0.22</f>
        <v>35420</v>
      </c>
      <c r="BX11" s="12" t="n">
        <f aca="false">BX9*0.22</f>
        <v>35420</v>
      </c>
      <c r="BY11" s="13" t="str">
        <f aca="false">IF(COUNT(BY9)=1,BY9*0.22,"")</f>
        <v/>
      </c>
      <c r="BZ11" s="13" t="n">
        <f aca="false">BZ9*0.22</f>
        <v>33660</v>
      </c>
      <c r="CA11" s="13" t="n">
        <f aca="false">CA9*0.22</f>
        <v>33660</v>
      </c>
      <c r="CB11" s="12" t="str">
        <f aca="false">IF(COUNT(CB9)=1,CB9*0.22,"")</f>
        <v/>
      </c>
      <c r="CC11" s="12" t="n">
        <f aca="false">CC9*0.22</f>
        <v>31020</v>
      </c>
      <c r="CD11" s="12" t="n">
        <f aca="false">CD9*0.22</f>
        <v>31020</v>
      </c>
      <c r="CE11" s="13" t="str">
        <f aca="false">IF(COUNT(CE9)=1,CE9*0.22,"")</f>
        <v/>
      </c>
      <c r="CF11" s="13" t="n">
        <f aca="false">CF9*0.22</f>
        <v>28380</v>
      </c>
      <c r="CG11" s="13" t="n">
        <f aca="false">CG9*0.22</f>
        <v>28380</v>
      </c>
      <c r="CH11" s="12" t="str">
        <f aca="false">IF(COUNT(CH9)=1,CH9*0.22,"")</f>
        <v/>
      </c>
      <c r="CI11" s="12" t="n">
        <f aca="false">CI9*0.22</f>
        <v>28380</v>
      </c>
      <c r="CJ11" s="12" t="n">
        <f aca="false">CJ9*0.22</f>
        <v>28380</v>
      </c>
      <c r="CK11" s="13" t="str">
        <f aca="false">IF(COUNT(CK9)=1,CK9*0.22,"")</f>
        <v/>
      </c>
      <c r="CL11" s="13" t="n">
        <f aca="false">CL9*0.22</f>
        <v>28380</v>
      </c>
      <c r="CM11" s="13" t="n">
        <f aca="false">CM9*0.22</f>
        <v>28380</v>
      </c>
      <c r="CN11" s="12" t="str">
        <f aca="false">IF(COUNT(CN9)=1,CN9*0.22,"")</f>
        <v/>
      </c>
      <c r="CO11" s="12" t="n">
        <f aca="false">CO9*0.22</f>
        <v>28380</v>
      </c>
      <c r="CP11" s="12" t="n">
        <f aca="false">CP9*0.22</f>
        <v>28380</v>
      </c>
      <c r="CQ11" s="13" t="str">
        <f aca="false">IF(COUNT(CQ9)=1,CQ9*0.22,"")</f>
        <v/>
      </c>
      <c r="CR11" s="13" t="n">
        <f aca="false">CR9*0.22</f>
        <v>28380</v>
      </c>
      <c r="CS11" s="13" t="n">
        <f aca="false">CS9*0.22</f>
        <v>28380</v>
      </c>
      <c r="CT11" s="12" t="str">
        <f aca="false">IF(COUNT(CT9)=1,CT9*0.22,"")</f>
        <v/>
      </c>
      <c r="CU11" s="12" t="n">
        <f aca="false">CU9*0.22</f>
        <v>28380</v>
      </c>
      <c r="CV11" s="12" t="n">
        <f aca="false">CV9*0.22</f>
        <v>28380</v>
      </c>
      <c r="CW11" s="13" t="str">
        <f aca="false">IF(COUNT(CW9)=1,CW9*0.22,"")</f>
        <v/>
      </c>
      <c r="CX11" s="13" t="n">
        <f aca="false">CX9*0.22</f>
        <v>25740</v>
      </c>
      <c r="CY11" s="13" t="n">
        <f aca="false">CY9*0.22</f>
        <v>25740</v>
      </c>
      <c r="CZ11" s="12" t="str">
        <f aca="false">IF(COUNT(CZ9)=1,CZ9*0.22,"")</f>
        <v/>
      </c>
      <c r="DA11" s="12" t="n">
        <f aca="false">DA9*0.22</f>
        <v>25740</v>
      </c>
      <c r="DB11" s="12" t="n">
        <f aca="false">DB9*0.22</f>
        <v>25740</v>
      </c>
      <c r="DC11" s="13" t="str">
        <f aca="false">IF(COUNT(DC9)=1,DC9*0.22,"")</f>
        <v/>
      </c>
      <c r="DD11" s="13" t="n">
        <f aca="false">DD9*0.22</f>
        <v>25740</v>
      </c>
      <c r="DE11" s="13" t="n">
        <f aca="false">DE9*0.22</f>
        <v>25740</v>
      </c>
      <c r="DF11" s="12" t="str">
        <f aca="false">IF(COUNT(DF9)=1,DF9*0.22,"")</f>
        <v/>
      </c>
      <c r="DG11" s="12" t="n">
        <f aca="false">DG9*0.22</f>
        <v>25740</v>
      </c>
      <c r="DH11" s="12" t="n">
        <f aca="false">DH9*0.22</f>
        <v>25740</v>
      </c>
      <c r="DI11" s="13" t="n">
        <f aca="false">IF(COUNT(DI9)=1,DI9*0.22,"")</f>
        <v>25740</v>
      </c>
      <c r="DJ11" s="13" t="n">
        <f aca="false">DJ9*0.22</f>
        <v>25740</v>
      </c>
      <c r="DK11" s="13" t="n">
        <f aca="false">DK9*0.22</f>
        <v>25740</v>
      </c>
      <c r="DL11" s="12" t="n">
        <f aca="false">IF(COUNT(DL9)=1,DL9*0.22,"")</f>
        <v>25740</v>
      </c>
      <c r="DM11" s="12" t="n">
        <f aca="false">DM9*0.22</f>
        <v>25740</v>
      </c>
      <c r="DN11" s="12" t="n">
        <f aca="false">DN9*0.22</f>
        <v>25740</v>
      </c>
    </row>
    <row r="12" customFormat="false" ht="15" hidden="false" customHeight="false" outlineLevel="0" collapsed="false">
      <c r="A12" s="5" t="s">
        <v>161</v>
      </c>
      <c r="B12" s="12" t="str">
        <f aca="false">IF(COUNT(AR12,AO12,AL12,AI12,AF12,AC12,Z12,W12,T12,Q12,N12,K12)=0,"",SUM(AR12,AO12,AL12,AI12,AF12,AC12,Z12,W12,T12,Q12,N12,K12))</f>
        <v/>
      </c>
      <c r="C12" s="12" t="n">
        <f aca="false">IF(COUNT(AS12,AP12,AM12,AJ12,AG12,AD12,AA12,X12,U12,R12,O12,L12)=0,"",SUM(AS12,AP12,AM12,AJ12,AG12,AD12,AA12,X12,U12,R12,O12,L12))</f>
        <v>36000</v>
      </c>
      <c r="D12" s="12" t="n">
        <f aca="false">IF(COUNT(AT12,AQ12,AN12,AK12,AH12,AE12,AB12,Y12,V12,S12,P12,M12)=0,"",SUM(AT12,AQ12,AN12,AK12,AH12,AE12,AB12,Y12,V12,S12,P12,M12))</f>
        <v>36000</v>
      </c>
      <c r="E12" s="13" t="str">
        <f aca="false">IF(COUNT(CB12,BY12,BV12,BS12,BP12,BM12,BJ12,BG12,BD12,BA12,AX12,AU12)=0,"",SUM(CB12,BY12,BV12,BS12,BP12,BM12,BJ12,BG12,BD12,BA12,AX12,AU12))</f>
        <v/>
      </c>
      <c r="F12" s="13" t="n">
        <f aca="false">IF(COUNT(CC12,BZ12,BW12,BT12,BQ12,BN12,BK12,BH12,BE12,BB12,AY12,AV12)=0,"",SUM(CC12,BZ12,BW12,BT12,BQ12,BN12,BK12,BH12,BE12,BB12,AY12,AV12))</f>
        <v>36000</v>
      </c>
      <c r="G12" s="13" t="n">
        <f aca="false">IF(COUNT(CD12,CA12,BX12,BU12,BR12,BO12,BL12,BI12,BF12,BC12,AZ12,AW12)=0,"",SUM(CD12,CA12,BX12,BU12,BR12,BO12,BL12,BI12,BF12,BC12,AZ12,AW12))</f>
        <v>36000</v>
      </c>
      <c r="H12" s="12" t="n">
        <f aca="false">IF(COUNT(DL12,DI12,DF12,DC12,CZ12,CW12,CT12,CQ12,CN12,CK12,CH12,CE12)=0,"",SUM(DL12,DI12,DF12,DC12,CZ12,CW12,CT12,CQ12,CN12,CK12,CH12,CE12))</f>
        <v>6000</v>
      </c>
      <c r="I12" s="12" t="n">
        <f aca="false">IF(COUNT(DM12,DJ12,DG12,DD12,DA12,CX12,CU12,CR12,CO12,CL12,CI12,CF12)=0,"",SUM(DM12,DJ12,DG12,DD12,DA12,CX12,CU12,CR12,CO12,CL12,CI12,CF12))</f>
        <v>36000</v>
      </c>
      <c r="J12" s="12" t="n">
        <f aca="false">IF(COUNT(DN12,DK12,DH12,DE12,DB12,CY12,CV12,CS12,CP12,CM12,CJ12,CG12)=0,"",SUM(DN12,DK12,DH12,DE12,DB12,CY12,CV12,CS12,CP12,CM12,CJ12,CG12))</f>
        <v>36000</v>
      </c>
      <c r="K12" s="13"/>
      <c r="L12" s="13" t="n">
        <f aca="false">IF('Cash Drivers'!L$26,Sales!K12,Sales!M12)</f>
        <v>3000</v>
      </c>
      <c r="M12" s="89" t="n">
        <v>3000</v>
      </c>
      <c r="N12" s="12"/>
      <c r="O12" s="12" t="n">
        <f aca="false">IF('Cash Drivers'!O$26,Sales!N12,Sales!P12)</f>
        <v>3000</v>
      </c>
      <c r="P12" s="90" t="n">
        <v>3000</v>
      </c>
      <c r="Q12" s="13"/>
      <c r="R12" s="13" t="n">
        <f aca="false">IF('Cash Drivers'!R$26,Sales!Q12,Sales!S12)</f>
        <v>3000</v>
      </c>
      <c r="S12" s="89" t="n">
        <v>3000</v>
      </c>
      <c r="T12" s="12"/>
      <c r="U12" s="12" t="n">
        <f aca="false">IF('Cash Drivers'!U$26,Sales!T12,Sales!V12)</f>
        <v>3000</v>
      </c>
      <c r="V12" s="90" t="n">
        <v>3000</v>
      </c>
      <c r="W12" s="13"/>
      <c r="X12" s="13" t="n">
        <f aca="false">IF('Cash Drivers'!X$26,Sales!W12,Sales!Y12)</f>
        <v>3000</v>
      </c>
      <c r="Y12" s="89" t="n">
        <v>3000</v>
      </c>
      <c r="Z12" s="12"/>
      <c r="AA12" s="12" t="n">
        <f aca="false">IF('Cash Drivers'!AA$26,Sales!Z12,Sales!AB12)</f>
        <v>3000</v>
      </c>
      <c r="AB12" s="90" t="n">
        <v>3000</v>
      </c>
      <c r="AC12" s="13"/>
      <c r="AD12" s="13" t="n">
        <f aca="false">IF('Cash Drivers'!AD$26,Sales!AC12,Sales!AE12)</f>
        <v>3000</v>
      </c>
      <c r="AE12" s="89" t="n">
        <v>3000</v>
      </c>
      <c r="AF12" s="12"/>
      <c r="AG12" s="12" t="n">
        <f aca="false">IF('Cash Drivers'!AG$26,Sales!AF12,Sales!AH12)</f>
        <v>3000</v>
      </c>
      <c r="AH12" s="90" t="n">
        <v>3000</v>
      </c>
      <c r="AI12" s="13"/>
      <c r="AJ12" s="13" t="n">
        <f aca="false">IF('Cash Drivers'!AJ$26,Sales!AI12,Sales!AK12)</f>
        <v>3000</v>
      </c>
      <c r="AK12" s="89" t="n">
        <v>3000</v>
      </c>
      <c r="AL12" s="12"/>
      <c r="AM12" s="12" t="n">
        <f aca="false">IF('Cash Drivers'!AM$26,Sales!AL12,Sales!AN12)</f>
        <v>3000</v>
      </c>
      <c r="AN12" s="90" t="n">
        <v>3000</v>
      </c>
      <c r="AO12" s="13"/>
      <c r="AP12" s="13" t="n">
        <f aca="false">IF('Cash Drivers'!AP$26,Sales!AO12,Sales!AQ12)</f>
        <v>3000</v>
      </c>
      <c r="AQ12" s="89" t="n">
        <v>3000</v>
      </c>
      <c r="AR12" s="12"/>
      <c r="AS12" s="12" t="n">
        <f aca="false">IF('Cash Drivers'!AS$26,Sales!AR12,Sales!AT12)</f>
        <v>3000</v>
      </c>
      <c r="AT12" s="90" t="n">
        <v>3000</v>
      </c>
      <c r="AU12" s="13"/>
      <c r="AV12" s="13" t="n">
        <f aca="false">IF('Cash Drivers'!AV$26,Sales!AU12,Sales!AW12)</f>
        <v>3000</v>
      </c>
      <c r="AW12" s="89" t="n">
        <v>3000</v>
      </c>
      <c r="AX12" s="12"/>
      <c r="AY12" s="12" t="n">
        <f aca="false">IF('Cash Drivers'!AY$26,Sales!AX12,Sales!AZ12)</f>
        <v>3000</v>
      </c>
      <c r="AZ12" s="90" t="n">
        <v>3000</v>
      </c>
      <c r="BA12" s="13"/>
      <c r="BB12" s="13" t="n">
        <f aca="false">IF('Cash Drivers'!BB$26,Sales!BA12,Sales!BC12)</f>
        <v>3000</v>
      </c>
      <c r="BC12" s="89" t="n">
        <v>3000</v>
      </c>
      <c r="BD12" s="12"/>
      <c r="BE12" s="12" t="n">
        <f aca="false">IF('Cash Drivers'!BE$26,Sales!BD12,Sales!BF12)</f>
        <v>3000</v>
      </c>
      <c r="BF12" s="90" t="n">
        <v>3000</v>
      </c>
      <c r="BG12" s="13"/>
      <c r="BH12" s="13" t="n">
        <f aca="false">IF('Cash Drivers'!BH$26,Sales!BG12,Sales!BI12)</f>
        <v>3000</v>
      </c>
      <c r="BI12" s="89" t="n">
        <v>3000</v>
      </c>
      <c r="BJ12" s="12"/>
      <c r="BK12" s="12" t="n">
        <f aca="false">IF('Cash Drivers'!BK$26,Sales!BJ12,Sales!BL12)</f>
        <v>3000</v>
      </c>
      <c r="BL12" s="90" t="n">
        <v>3000</v>
      </c>
      <c r="BM12" s="13"/>
      <c r="BN12" s="13" t="n">
        <f aca="false">IF('Cash Drivers'!BN$26,Sales!BM12,Sales!BO12)</f>
        <v>3000</v>
      </c>
      <c r="BO12" s="89" t="n">
        <v>3000</v>
      </c>
      <c r="BP12" s="12"/>
      <c r="BQ12" s="12" t="n">
        <f aca="false">IF('Cash Drivers'!BQ$26,Sales!BP12,Sales!BR12)</f>
        <v>3000</v>
      </c>
      <c r="BR12" s="90" t="n">
        <v>3000</v>
      </c>
      <c r="BS12" s="13"/>
      <c r="BT12" s="13" t="n">
        <f aca="false">IF('Cash Drivers'!BT$26,Sales!BS12,Sales!BU12)</f>
        <v>3000</v>
      </c>
      <c r="BU12" s="89" t="n">
        <v>3000</v>
      </c>
      <c r="BV12" s="12"/>
      <c r="BW12" s="12" t="n">
        <f aca="false">IF('Cash Drivers'!BW$26,Sales!BV12,Sales!BX12)</f>
        <v>3000</v>
      </c>
      <c r="BX12" s="90" t="n">
        <v>3000</v>
      </c>
      <c r="BY12" s="13"/>
      <c r="BZ12" s="13" t="n">
        <f aca="false">IF('Cash Drivers'!BZ$26,Sales!BY12,Sales!CA12)</f>
        <v>3000</v>
      </c>
      <c r="CA12" s="89" t="n">
        <v>3000</v>
      </c>
      <c r="CB12" s="12"/>
      <c r="CC12" s="12" t="n">
        <f aca="false">IF('Cash Drivers'!CC$26,Sales!CB12,Sales!CD12)</f>
        <v>3000</v>
      </c>
      <c r="CD12" s="90" t="n">
        <v>3000</v>
      </c>
      <c r="CE12" s="13"/>
      <c r="CF12" s="13" t="n">
        <f aca="false">IF('Cash Drivers'!CF$26,Sales!CE12,Sales!CG12)</f>
        <v>3000</v>
      </c>
      <c r="CG12" s="89" t="n">
        <v>3000</v>
      </c>
      <c r="CH12" s="12"/>
      <c r="CI12" s="12" t="n">
        <f aca="false">IF('Cash Drivers'!CI$26,Sales!CH12,Sales!CJ12)</f>
        <v>3000</v>
      </c>
      <c r="CJ12" s="90" t="n">
        <v>3000</v>
      </c>
      <c r="CK12" s="13"/>
      <c r="CL12" s="13" t="n">
        <f aca="false">IF('Cash Drivers'!CL$26,Sales!CK12,Sales!CM12)</f>
        <v>3000</v>
      </c>
      <c r="CM12" s="89" t="n">
        <v>3000</v>
      </c>
      <c r="CN12" s="12"/>
      <c r="CO12" s="12" t="n">
        <f aca="false">IF('Cash Drivers'!CO$26,Sales!CN12,Sales!CP12)</f>
        <v>3000</v>
      </c>
      <c r="CP12" s="90" t="n">
        <v>3000</v>
      </c>
      <c r="CQ12" s="13"/>
      <c r="CR12" s="13" t="n">
        <f aca="false">IF('Cash Drivers'!CR$26,Sales!CQ12,Sales!CS12)</f>
        <v>3000</v>
      </c>
      <c r="CS12" s="89" t="n">
        <v>3000</v>
      </c>
      <c r="CT12" s="12"/>
      <c r="CU12" s="12" t="n">
        <f aca="false">IF('Cash Drivers'!CU$26,Sales!CT12,Sales!CV12)</f>
        <v>3000</v>
      </c>
      <c r="CV12" s="90" t="n">
        <v>3000</v>
      </c>
      <c r="CW12" s="13"/>
      <c r="CX12" s="13" t="n">
        <f aca="false">IF('Cash Drivers'!CX$26,Sales!CW12,Sales!CY12)</f>
        <v>3000</v>
      </c>
      <c r="CY12" s="89" t="n">
        <v>3000</v>
      </c>
      <c r="CZ12" s="12"/>
      <c r="DA12" s="12" t="n">
        <f aca="false">IF('Cash Drivers'!DA$26,Sales!CZ12,Sales!DB12)</f>
        <v>3000</v>
      </c>
      <c r="DB12" s="90" t="n">
        <v>3000</v>
      </c>
      <c r="DC12" s="13"/>
      <c r="DD12" s="13" t="n">
        <f aca="false">IF('Cash Drivers'!DD$26,Sales!DC12,Sales!DE12)</f>
        <v>3000</v>
      </c>
      <c r="DE12" s="89" t="n">
        <v>3000</v>
      </c>
      <c r="DF12" s="12"/>
      <c r="DG12" s="12" t="n">
        <f aca="false">IF('Cash Drivers'!DG$26,Sales!DF12,Sales!DH12)</f>
        <v>3000</v>
      </c>
      <c r="DH12" s="90" t="n">
        <v>3000</v>
      </c>
      <c r="DI12" s="89" t="n">
        <v>3000</v>
      </c>
      <c r="DJ12" s="13" t="n">
        <f aca="false">IF('Cash Drivers'!DJ$26,Sales!DI12,Sales!DK12)</f>
        <v>3000</v>
      </c>
      <c r="DK12" s="89" t="n">
        <v>3000</v>
      </c>
      <c r="DL12" s="90" t="n">
        <v>3000</v>
      </c>
      <c r="DM12" s="12" t="n">
        <f aca="false">IF('Cash Drivers'!DM$26,Sales!DL12,Sales!DN12)</f>
        <v>3000</v>
      </c>
      <c r="DN12" s="90" t="n">
        <v>3000</v>
      </c>
    </row>
    <row r="13" customFormat="false" ht="15" hidden="false" customHeight="false" outlineLevel="0" collapsed="false">
      <c r="A13" s="5" t="s">
        <v>162</v>
      </c>
      <c r="B13" s="12" t="str">
        <f aca="false">IF(COUNT(AR13,AO13,AL13,AI13,AF13,AC13,Z13,W13,T13,Q13,N13,K13)=0,"",SUM(AR13,AO13,AL13,AI13,AF13,AC13,Z13,W13,T13,Q13,N13,K13))</f>
        <v/>
      </c>
      <c r="C13" s="12" t="n">
        <f aca="false">IF(COUNT(AS13,AP13,AM13,AJ13,AG13,AD13,AA13,X13,U13,R13,O13,L13)=0,"",SUM(AS13,AP13,AM13,AJ13,AG13,AD13,AA13,X13,U13,R13,O13,L13))</f>
        <v>6000</v>
      </c>
      <c r="D13" s="12" t="n">
        <f aca="false">IF(COUNT(AT13,AQ13,AN13,AK13,AH13,AE13,AB13,Y13,V13,S13,P13,M13)=0,"",SUM(AT13,AQ13,AN13,AK13,AH13,AE13,AB13,Y13,V13,S13,P13,M13))</f>
        <v>6000</v>
      </c>
      <c r="E13" s="13" t="str">
        <f aca="false">IF(COUNT(CB13,BY13,BV13,BS13,BP13,BM13,BJ13,BG13,BD13,BA13,AX13,AU13)=0,"",SUM(CB13,BY13,BV13,BS13,BP13,BM13,BJ13,BG13,BD13,BA13,AX13,AU13))</f>
        <v/>
      </c>
      <c r="F13" s="13" t="n">
        <f aca="false">IF(COUNT(CC13,BZ13,BW13,BT13,BQ13,BN13,BK13,BH13,BE13,BB13,AY13,AV13)=0,"",SUM(CC13,BZ13,BW13,BT13,BQ13,BN13,BK13,BH13,BE13,BB13,AY13,AV13))</f>
        <v>6000</v>
      </c>
      <c r="G13" s="13" t="n">
        <f aca="false">IF(COUNT(CD13,CA13,BX13,BU13,BR13,BO13,BL13,BI13,BF13,BC13,AZ13,AW13)=0,"",SUM(CD13,CA13,BX13,BU13,BR13,BO13,BL13,BI13,BF13,BC13,AZ13,AW13))</f>
        <v>6000</v>
      </c>
      <c r="H13" s="12" t="n">
        <f aca="false">IF(COUNT(DL13,DI13,DF13,DC13,CZ13,CW13,CT13,CQ13,CN13,CK13,CH13,CE13)=0,"",SUM(DL13,DI13,DF13,DC13,CZ13,CW13,CT13,CQ13,CN13,CK13,CH13,CE13))</f>
        <v>1000</v>
      </c>
      <c r="I13" s="12" t="n">
        <f aca="false">IF(COUNT(DM13,DJ13,DG13,DD13,DA13,CX13,CU13,CR13,CO13,CL13,CI13,CF13)=0,"",SUM(DM13,DJ13,DG13,DD13,DA13,CX13,CU13,CR13,CO13,CL13,CI13,CF13))</f>
        <v>6000</v>
      </c>
      <c r="J13" s="12" t="n">
        <f aca="false">IF(COUNT(DN13,DK13,DH13,DE13,DB13,CY13,CV13,CS13,CP13,CM13,CJ13,CG13)=0,"",SUM(DN13,DK13,DH13,DE13,DB13,CY13,CV13,CS13,CP13,CM13,CJ13,CG13))</f>
        <v>6000</v>
      </c>
      <c r="K13" s="13"/>
      <c r="L13" s="13" t="n">
        <f aca="false">IF('Cash Drivers'!L$26,Sales!K13,Sales!M13)</f>
        <v>500</v>
      </c>
      <c r="M13" s="89" t="n">
        <v>500</v>
      </c>
      <c r="N13" s="12"/>
      <c r="O13" s="12" t="n">
        <f aca="false">IF('Cash Drivers'!O$26,Sales!N13,Sales!P13)</f>
        <v>500</v>
      </c>
      <c r="P13" s="90" t="n">
        <v>500</v>
      </c>
      <c r="Q13" s="13"/>
      <c r="R13" s="13" t="n">
        <f aca="false">IF('Cash Drivers'!R$26,Sales!Q13,Sales!S13)</f>
        <v>500</v>
      </c>
      <c r="S13" s="89" t="n">
        <v>500</v>
      </c>
      <c r="T13" s="12"/>
      <c r="U13" s="12" t="n">
        <f aca="false">IF('Cash Drivers'!U$26,Sales!T13,Sales!V13)</f>
        <v>500</v>
      </c>
      <c r="V13" s="90" t="n">
        <v>500</v>
      </c>
      <c r="W13" s="13"/>
      <c r="X13" s="13" t="n">
        <f aca="false">IF('Cash Drivers'!X$26,Sales!W13,Sales!Y13)</f>
        <v>500</v>
      </c>
      <c r="Y13" s="89" t="n">
        <v>500</v>
      </c>
      <c r="Z13" s="12"/>
      <c r="AA13" s="12" t="n">
        <f aca="false">IF('Cash Drivers'!AA$26,Sales!Z13,Sales!AB13)</f>
        <v>500</v>
      </c>
      <c r="AB13" s="90" t="n">
        <v>500</v>
      </c>
      <c r="AC13" s="13"/>
      <c r="AD13" s="13" t="n">
        <f aca="false">IF('Cash Drivers'!AD$26,Sales!AC13,Sales!AE13)</f>
        <v>500</v>
      </c>
      <c r="AE13" s="89" t="n">
        <v>500</v>
      </c>
      <c r="AF13" s="12"/>
      <c r="AG13" s="12" t="n">
        <f aca="false">IF('Cash Drivers'!AG$26,Sales!AF13,Sales!AH13)</f>
        <v>500</v>
      </c>
      <c r="AH13" s="90" t="n">
        <v>500</v>
      </c>
      <c r="AI13" s="13"/>
      <c r="AJ13" s="13" t="n">
        <f aca="false">IF('Cash Drivers'!AJ$26,Sales!AI13,Sales!AK13)</f>
        <v>500</v>
      </c>
      <c r="AK13" s="89" t="n">
        <v>500</v>
      </c>
      <c r="AL13" s="12"/>
      <c r="AM13" s="12" t="n">
        <f aca="false">IF('Cash Drivers'!AM$26,Sales!AL13,Sales!AN13)</f>
        <v>500</v>
      </c>
      <c r="AN13" s="90" t="n">
        <v>500</v>
      </c>
      <c r="AO13" s="13"/>
      <c r="AP13" s="13" t="n">
        <f aca="false">IF('Cash Drivers'!AP$26,Sales!AO13,Sales!AQ13)</f>
        <v>500</v>
      </c>
      <c r="AQ13" s="89" t="n">
        <v>500</v>
      </c>
      <c r="AR13" s="12"/>
      <c r="AS13" s="12" t="n">
        <f aca="false">IF('Cash Drivers'!AS$26,Sales!AR13,Sales!AT13)</f>
        <v>500</v>
      </c>
      <c r="AT13" s="90" t="n">
        <v>500</v>
      </c>
      <c r="AU13" s="13"/>
      <c r="AV13" s="13" t="n">
        <f aca="false">IF('Cash Drivers'!AV$26,Sales!AU13,Sales!AW13)</f>
        <v>500</v>
      </c>
      <c r="AW13" s="89" t="n">
        <v>500</v>
      </c>
      <c r="AX13" s="12"/>
      <c r="AY13" s="12" t="n">
        <f aca="false">IF('Cash Drivers'!AY$26,Sales!AX13,Sales!AZ13)</f>
        <v>500</v>
      </c>
      <c r="AZ13" s="90" t="n">
        <v>500</v>
      </c>
      <c r="BA13" s="13"/>
      <c r="BB13" s="13" t="n">
        <f aca="false">IF('Cash Drivers'!BB$26,Sales!BA13,Sales!BC13)</f>
        <v>500</v>
      </c>
      <c r="BC13" s="89" t="n">
        <v>500</v>
      </c>
      <c r="BD13" s="12"/>
      <c r="BE13" s="12" t="n">
        <f aca="false">IF('Cash Drivers'!BE$26,Sales!BD13,Sales!BF13)</f>
        <v>500</v>
      </c>
      <c r="BF13" s="90" t="n">
        <v>500</v>
      </c>
      <c r="BG13" s="13"/>
      <c r="BH13" s="13" t="n">
        <f aca="false">IF('Cash Drivers'!BH$26,Sales!BG13,Sales!BI13)</f>
        <v>500</v>
      </c>
      <c r="BI13" s="89" t="n">
        <v>500</v>
      </c>
      <c r="BJ13" s="12"/>
      <c r="BK13" s="12" t="n">
        <f aca="false">IF('Cash Drivers'!BK$26,Sales!BJ13,Sales!BL13)</f>
        <v>500</v>
      </c>
      <c r="BL13" s="90" t="n">
        <v>500</v>
      </c>
      <c r="BM13" s="13"/>
      <c r="BN13" s="13" t="n">
        <f aca="false">IF('Cash Drivers'!BN$26,Sales!BM13,Sales!BO13)</f>
        <v>500</v>
      </c>
      <c r="BO13" s="89" t="n">
        <v>500</v>
      </c>
      <c r="BP13" s="12"/>
      <c r="BQ13" s="12" t="n">
        <f aca="false">IF('Cash Drivers'!BQ$26,Sales!BP13,Sales!BR13)</f>
        <v>500</v>
      </c>
      <c r="BR13" s="90" t="n">
        <v>500</v>
      </c>
      <c r="BS13" s="13"/>
      <c r="BT13" s="13" t="n">
        <f aca="false">IF('Cash Drivers'!BT$26,Sales!BS13,Sales!BU13)</f>
        <v>500</v>
      </c>
      <c r="BU13" s="89" t="n">
        <v>500</v>
      </c>
      <c r="BV13" s="12"/>
      <c r="BW13" s="12" t="n">
        <f aca="false">IF('Cash Drivers'!BW$26,Sales!BV13,Sales!BX13)</f>
        <v>500</v>
      </c>
      <c r="BX13" s="90" t="n">
        <v>500</v>
      </c>
      <c r="BY13" s="13"/>
      <c r="BZ13" s="13" t="n">
        <f aca="false">IF('Cash Drivers'!BZ$26,Sales!BY13,Sales!CA13)</f>
        <v>500</v>
      </c>
      <c r="CA13" s="89" t="n">
        <v>500</v>
      </c>
      <c r="CB13" s="12"/>
      <c r="CC13" s="12" t="n">
        <f aca="false">IF('Cash Drivers'!CC$26,Sales!CB13,Sales!CD13)</f>
        <v>500</v>
      </c>
      <c r="CD13" s="90" t="n">
        <v>500</v>
      </c>
      <c r="CE13" s="13"/>
      <c r="CF13" s="13" t="n">
        <f aca="false">IF('Cash Drivers'!CF$26,Sales!CE13,Sales!CG13)</f>
        <v>500</v>
      </c>
      <c r="CG13" s="89" t="n">
        <v>500</v>
      </c>
      <c r="CH13" s="12"/>
      <c r="CI13" s="12" t="n">
        <f aca="false">IF('Cash Drivers'!CI$26,Sales!CH13,Sales!CJ13)</f>
        <v>500</v>
      </c>
      <c r="CJ13" s="90" t="n">
        <v>500</v>
      </c>
      <c r="CK13" s="13"/>
      <c r="CL13" s="13" t="n">
        <f aca="false">IF('Cash Drivers'!CL$26,Sales!CK13,Sales!CM13)</f>
        <v>500</v>
      </c>
      <c r="CM13" s="89" t="n">
        <v>500</v>
      </c>
      <c r="CN13" s="12"/>
      <c r="CO13" s="12" t="n">
        <f aca="false">IF('Cash Drivers'!CO$26,Sales!CN13,Sales!CP13)</f>
        <v>500</v>
      </c>
      <c r="CP13" s="90" t="n">
        <v>500</v>
      </c>
      <c r="CQ13" s="13"/>
      <c r="CR13" s="13" t="n">
        <f aca="false">IF('Cash Drivers'!CR$26,Sales!CQ13,Sales!CS13)</f>
        <v>500</v>
      </c>
      <c r="CS13" s="89" t="n">
        <v>500</v>
      </c>
      <c r="CT13" s="12"/>
      <c r="CU13" s="12" t="n">
        <f aca="false">IF('Cash Drivers'!CU$26,Sales!CT13,Sales!CV13)</f>
        <v>500</v>
      </c>
      <c r="CV13" s="90" t="n">
        <v>500</v>
      </c>
      <c r="CW13" s="13"/>
      <c r="CX13" s="13" t="n">
        <f aca="false">IF('Cash Drivers'!CX$26,Sales!CW13,Sales!CY13)</f>
        <v>500</v>
      </c>
      <c r="CY13" s="89" t="n">
        <v>500</v>
      </c>
      <c r="CZ13" s="12"/>
      <c r="DA13" s="12" t="n">
        <f aca="false">IF('Cash Drivers'!DA$26,Sales!CZ13,Sales!DB13)</f>
        <v>500</v>
      </c>
      <c r="DB13" s="90" t="n">
        <v>500</v>
      </c>
      <c r="DC13" s="13"/>
      <c r="DD13" s="13" t="n">
        <f aca="false">IF('Cash Drivers'!DD$26,Sales!DC13,Sales!DE13)</f>
        <v>500</v>
      </c>
      <c r="DE13" s="89" t="n">
        <v>500</v>
      </c>
      <c r="DF13" s="12"/>
      <c r="DG13" s="12" t="n">
        <f aca="false">IF('Cash Drivers'!DG$26,Sales!DF13,Sales!DH13)</f>
        <v>500</v>
      </c>
      <c r="DH13" s="90" t="n">
        <v>500</v>
      </c>
      <c r="DI13" s="89" t="n">
        <v>500</v>
      </c>
      <c r="DJ13" s="13" t="n">
        <f aca="false">IF('Cash Drivers'!DJ$26,Sales!DI13,Sales!DK13)</f>
        <v>500</v>
      </c>
      <c r="DK13" s="89" t="n">
        <v>500</v>
      </c>
      <c r="DL13" s="90" t="n">
        <v>500</v>
      </c>
      <c r="DM13" s="12" t="n">
        <f aca="false">IF('Cash Drivers'!DM$26,Sales!DL13,Sales!DN13)</f>
        <v>500</v>
      </c>
      <c r="DN13" s="90" t="n">
        <v>500</v>
      </c>
    </row>
    <row r="14" customFormat="false" ht="15" hidden="false" customHeight="false" outlineLevel="0" collapsed="false">
      <c r="A14" s="5" t="s">
        <v>163</v>
      </c>
      <c r="B14" s="12" t="str">
        <f aca="false">IF(COUNT(AR14,AO14,AL14,AI14,AF14,AC14,Z14,W14,T14,Q14,N14,K14)=0,"",SUM(AR14,AO14,AL14,AI14,AF14,AC14,Z14,W14,T14,Q14,N14,K14))</f>
        <v/>
      </c>
      <c r="C14" s="12" t="n">
        <f aca="false">IF(COUNT(AS14,AP14,AM14,AJ14,AG14,AD14,AA14,X14,U14,R14,O14,L14)=0,"",SUM(AS14,AP14,AM14,AJ14,AG14,AD14,AA14,X14,U14,R14,O14,L14))</f>
        <v>6000</v>
      </c>
      <c r="D14" s="12" t="n">
        <f aca="false">IF(COUNT(AT14,AQ14,AN14,AK14,AH14,AE14,AB14,Y14,V14,S14,P14,M14)=0,"",SUM(AT14,AQ14,AN14,AK14,AH14,AE14,AB14,Y14,V14,S14,P14,M14))</f>
        <v>6000</v>
      </c>
      <c r="E14" s="13" t="str">
        <f aca="false">IF(COUNT(CB14,BY14,BV14,BS14,BP14,BM14,BJ14,BG14,BD14,BA14,AX14,AU14)=0,"",SUM(CB14,BY14,BV14,BS14,BP14,BM14,BJ14,BG14,BD14,BA14,AX14,AU14))</f>
        <v/>
      </c>
      <c r="F14" s="13" t="n">
        <f aca="false">IF(COUNT(CC14,BZ14,BW14,BT14,BQ14,BN14,BK14,BH14,BE14,BB14,AY14,AV14)=0,"",SUM(CC14,BZ14,BW14,BT14,BQ14,BN14,BK14,BH14,BE14,BB14,AY14,AV14))</f>
        <v>6000</v>
      </c>
      <c r="G14" s="13" t="n">
        <f aca="false">IF(COUNT(CD14,CA14,BX14,BU14,BR14,BO14,BL14,BI14,BF14,BC14,AZ14,AW14)=0,"",SUM(CD14,CA14,BX14,BU14,BR14,BO14,BL14,BI14,BF14,BC14,AZ14,AW14))</f>
        <v>6000</v>
      </c>
      <c r="H14" s="12" t="n">
        <f aca="false">IF(COUNT(DL14,DI14,DF14,DC14,CZ14,CW14,CT14,CQ14,CN14,CK14,CH14,CE14)=0,"",SUM(DL14,DI14,DF14,DC14,CZ14,CW14,CT14,CQ14,CN14,CK14,CH14,CE14))</f>
        <v>1000</v>
      </c>
      <c r="I14" s="12" t="n">
        <f aca="false">IF(COUNT(DM14,DJ14,DG14,DD14,DA14,CX14,CU14,CR14,CO14,CL14,CI14,CF14)=0,"",SUM(DM14,DJ14,DG14,DD14,DA14,CX14,CU14,CR14,CO14,CL14,CI14,CF14))</f>
        <v>6000</v>
      </c>
      <c r="J14" s="12" t="n">
        <f aca="false">IF(COUNT(DN14,DK14,DH14,DE14,DB14,CY14,CV14,CS14,CP14,CM14,CJ14,CG14)=0,"",SUM(DN14,DK14,DH14,DE14,DB14,CY14,CV14,CS14,CP14,CM14,CJ14,CG14))</f>
        <v>6000</v>
      </c>
      <c r="K14" s="13"/>
      <c r="L14" s="13" t="n">
        <f aca="false">IF('Cash Drivers'!L$26,Sales!K14,Sales!M14)</f>
        <v>500</v>
      </c>
      <c r="M14" s="89" t="n">
        <v>500</v>
      </c>
      <c r="N14" s="12"/>
      <c r="O14" s="12" t="n">
        <f aca="false">IF('Cash Drivers'!O$26,Sales!N14,Sales!P14)</f>
        <v>500</v>
      </c>
      <c r="P14" s="90" t="n">
        <v>500</v>
      </c>
      <c r="Q14" s="13"/>
      <c r="R14" s="13" t="n">
        <f aca="false">IF('Cash Drivers'!R$26,Sales!Q14,Sales!S14)</f>
        <v>500</v>
      </c>
      <c r="S14" s="89" t="n">
        <v>500</v>
      </c>
      <c r="T14" s="12"/>
      <c r="U14" s="12" t="n">
        <f aca="false">IF('Cash Drivers'!U$26,Sales!T14,Sales!V14)</f>
        <v>500</v>
      </c>
      <c r="V14" s="90" t="n">
        <v>500</v>
      </c>
      <c r="W14" s="13"/>
      <c r="X14" s="13" t="n">
        <f aca="false">IF('Cash Drivers'!X$26,Sales!W14,Sales!Y14)</f>
        <v>500</v>
      </c>
      <c r="Y14" s="89" t="n">
        <v>500</v>
      </c>
      <c r="Z14" s="12"/>
      <c r="AA14" s="12" t="n">
        <f aca="false">IF('Cash Drivers'!AA$26,Sales!Z14,Sales!AB14)</f>
        <v>500</v>
      </c>
      <c r="AB14" s="90" t="n">
        <v>500</v>
      </c>
      <c r="AC14" s="13"/>
      <c r="AD14" s="13" t="n">
        <f aca="false">IF('Cash Drivers'!AD$26,Sales!AC14,Sales!AE14)</f>
        <v>500</v>
      </c>
      <c r="AE14" s="89" t="n">
        <v>500</v>
      </c>
      <c r="AF14" s="12"/>
      <c r="AG14" s="12" t="n">
        <f aca="false">IF('Cash Drivers'!AG$26,Sales!AF14,Sales!AH14)</f>
        <v>500</v>
      </c>
      <c r="AH14" s="90" t="n">
        <v>500</v>
      </c>
      <c r="AI14" s="13"/>
      <c r="AJ14" s="13" t="n">
        <f aca="false">IF('Cash Drivers'!AJ$26,Sales!AI14,Sales!AK14)</f>
        <v>500</v>
      </c>
      <c r="AK14" s="89" t="n">
        <v>500</v>
      </c>
      <c r="AL14" s="12"/>
      <c r="AM14" s="12" t="n">
        <f aca="false">IF('Cash Drivers'!AM$26,Sales!AL14,Sales!AN14)</f>
        <v>500</v>
      </c>
      <c r="AN14" s="90" t="n">
        <v>500</v>
      </c>
      <c r="AO14" s="13"/>
      <c r="AP14" s="13" t="n">
        <f aca="false">IF('Cash Drivers'!AP$26,Sales!AO14,Sales!AQ14)</f>
        <v>500</v>
      </c>
      <c r="AQ14" s="89" t="n">
        <v>500</v>
      </c>
      <c r="AR14" s="12"/>
      <c r="AS14" s="12" t="n">
        <f aca="false">IF('Cash Drivers'!AS$26,Sales!AR14,Sales!AT14)</f>
        <v>500</v>
      </c>
      <c r="AT14" s="90" t="n">
        <v>500</v>
      </c>
      <c r="AU14" s="13"/>
      <c r="AV14" s="13" t="n">
        <f aca="false">IF('Cash Drivers'!AV$26,Sales!AU14,Sales!AW14)</f>
        <v>500</v>
      </c>
      <c r="AW14" s="89" t="n">
        <v>500</v>
      </c>
      <c r="AX14" s="12"/>
      <c r="AY14" s="12" t="n">
        <f aca="false">IF('Cash Drivers'!AY$26,Sales!AX14,Sales!AZ14)</f>
        <v>500</v>
      </c>
      <c r="AZ14" s="90" t="n">
        <v>500</v>
      </c>
      <c r="BA14" s="13"/>
      <c r="BB14" s="13" t="n">
        <f aca="false">IF('Cash Drivers'!BB$26,Sales!BA14,Sales!BC14)</f>
        <v>500</v>
      </c>
      <c r="BC14" s="89" t="n">
        <v>500</v>
      </c>
      <c r="BD14" s="12"/>
      <c r="BE14" s="12" t="n">
        <f aca="false">IF('Cash Drivers'!BE$26,Sales!BD14,Sales!BF14)</f>
        <v>500</v>
      </c>
      <c r="BF14" s="90" t="n">
        <v>500</v>
      </c>
      <c r="BG14" s="13"/>
      <c r="BH14" s="13" t="n">
        <f aca="false">IF('Cash Drivers'!BH$26,Sales!BG14,Sales!BI14)</f>
        <v>500</v>
      </c>
      <c r="BI14" s="89" t="n">
        <v>500</v>
      </c>
      <c r="BJ14" s="12"/>
      <c r="BK14" s="12" t="n">
        <f aca="false">IF('Cash Drivers'!BK$26,Sales!BJ14,Sales!BL14)</f>
        <v>500</v>
      </c>
      <c r="BL14" s="90" t="n">
        <v>500</v>
      </c>
      <c r="BM14" s="13"/>
      <c r="BN14" s="13" t="n">
        <f aca="false">IF('Cash Drivers'!BN$26,Sales!BM14,Sales!BO14)</f>
        <v>500</v>
      </c>
      <c r="BO14" s="89" t="n">
        <v>500</v>
      </c>
      <c r="BP14" s="12"/>
      <c r="BQ14" s="12" t="n">
        <f aca="false">IF('Cash Drivers'!BQ$26,Sales!BP14,Sales!BR14)</f>
        <v>500</v>
      </c>
      <c r="BR14" s="90" t="n">
        <v>500</v>
      </c>
      <c r="BS14" s="13"/>
      <c r="BT14" s="13" t="n">
        <f aca="false">IF('Cash Drivers'!BT$26,Sales!BS14,Sales!BU14)</f>
        <v>500</v>
      </c>
      <c r="BU14" s="89" t="n">
        <v>500</v>
      </c>
      <c r="BV14" s="12"/>
      <c r="BW14" s="12" t="n">
        <f aca="false">IF('Cash Drivers'!BW$26,Sales!BV14,Sales!BX14)</f>
        <v>500</v>
      </c>
      <c r="BX14" s="90" t="n">
        <v>500</v>
      </c>
      <c r="BY14" s="13"/>
      <c r="BZ14" s="13" t="n">
        <f aca="false">IF('Cash Drivers'!BZ$26,Sales!BY14,Sales!CA14)</f>
        <v>500</v>
      </c>
      <c r="CA14" s="89" t="n">
        <v>500</v>
      </c>
      <c r="CB14" s="12"/>
      <c r="CC14" s="12" t="n">
        <f aca="false">IF('Cash Drivers'!CC$26,Sales!CB14,Sales!CD14)</f>
        <v>500</v>
      </c>
      <c r="CD14" s="90" t="n">
        <v>500</v>
      </c>
      <c r="CE14" s="13"/>
      <c r="CF14" s="13" t="n">
        <f aca="false">IF('Cash Drivers'!CF$26,Sales!CE14,Sales!CG14)</f>
        <v>500</v>
      </c>
      <c r="CG14" s="89" t="n">
        <v>500</v>
      </c>
      <c r="CH14" s="12"/>
      <c r="CI14" s="12" t="n">
        <f aca="false">IF('Cash Drivers'!CI$26,Sales!CH14,Sales!CJ14)</f>
        <v>500</v>
      </c>
      <c r="CJ14" s="90" t="n">
        <v>500</v>
      </c>
      <c r="CK14" s="13"/>
      <c r="CL14" s="13" t="n">
        <f aca="false">IF('Cash Drivers'!CL$26,Sales!CK14,Sales!CM14)</f>
        <v>500</v>
      </c>
      <c r="CM14" s="89" t="n">
        <v>500</v>
      </c>
      <c r="CN14" s="12"/>
      <c r="CO14" s="12" t="n">
        <f aca="false">IF('Cash Drivers'!CO$26,Sales!CN14,Sales!CP14)</f>
        <v>500</v>
      </c>
      <c r="CP14" s="90" t="n">
        <v>500</v>
      </c>
      <c r="CQ14" s="13"/>
      <c r="CR14" s="13" t="n">
        <f aca="false">IF('Cash Drivers'!CR$26,Sales!CQ14,Sales!CS14)</f>
        <v>500</v>
      </c>
      <c r="CS14" s="89" t="n">
        <v>500</v>
      </c>
      <c r="CT14" s="12"/>
      <c r="CU14" s="12" t="n">
        <f aca="false">IF('Cash Drivers'!CU$26,Sales!CT14,Sales!CV14)</f>
        <v>500</v>
      </c>
      <c r="CV14" s="90" t="n">
        <v>500</v>
      </c>
      <c r="CW14" s="13"/>
      <c r="CX14" s="13" t="n">
        <f aca="false">IF('Cash Drivers'!CX$26,Sales!CW14,Sales!CY14)</f>
        <v>500</v>
      </c>
      <c r="CY14" s="89" t="n">
        <v>500</v>
      </c>
      <c r="CZ14" s="12"/>
      <c r="DA14" s="12" t="n">
        <f aca="false">IF('Cash Drivers'!DA$26,Sales!CZ14,Sales!DB14)</f>
        <v>500</v>
      </c>
      <c r="DB14" s="90" t="n">
        <v>500</v>
      </c>
      <c r="DC14" s="13"/>
      <c r="DD14" s="13" t="n">
        <f aca="false">IF('Cash Drivers'!DD$26,Sales!DC14,Sales!DE14)</f>
        <v>500</v>
      </c>
      <c r="DE14" s="89" t="n">
        <v>500</v>
      </c>
      <c r="DF14" s="12"/>
      <c r="DG14" s="12" t="n">
        <f aca="false">IF('Cash Drivers'!DG$26,Sales!DF14,Sales!DH14)</f>
        <v>500</v>
      </c>
      <c r="DH14" s="90" t="n">
        <v>500</v>
      </c>
      <c r="DI14" s="89" t="n">
        <v>500</v>
      </c>
      <c r="DJ14" s="13" t="n">
        <f aca="false">IF('Cash Drivers'!DJ$26,Sales!DI14,Sales!DK14)</f>
        <v>500</v>
      </c>
      <c r="DK14" s="89" t="n">
        <v>500</v>
      </c>
      <c r="DL14" s="90" t="n">
        <v>500</v>
      </c>
      <c r="DM14" s="12" t="n">
        <f aca="false">IF('Cash Drivers'!DM$26,Sales!DL14,Sales!DN14)</f>
        <v>500</v>
      </c>
      <c r="DN14" s="90" t="n">
        <v>500</v>
      </c>
    </row>
    <row r="15" customFormat="false" ht="15" hidden="false" customHeight="false" outlineLevel="0" collapsed="false">
      <c r="A15" s="5" t="s">
        <v>164</v>
      </c>
      <c r="B15" s="12" t="str">
        <f aca="false">IF(COUNT(AR15,AO15,AL15,AI15,AF15,AC15,Z15,W15,T15,Q15,N15,K15)=0,"",SUM(AR15,AO15,AL15,AI15,AF15,AC15,Z15,W15,T15,Q15,N15,K15))</f>
        <v/>
      </c>
      <c r="C15" s="12" t="n">
        <f aca="false">IF(COUNT(AS15,AP15,AM15,AJ15,AG15,AD15,AA15,X15,U15,R15,O15,L15)=0,"",SUM(AS15,AP15,AM15,AJ15,AG15,AD15,AA15,X15,U15,R15,O15,L15))</f>
        <v>48000</v>
      </c>
      <c r="D15" s="12" t="n">
        <f aca="false">IF(COUNT(AT15,AQ15,AN15,AK15,AH15,AE15,AB15,Y15,V15,S15,P15,M15)=0,"",SUM(AT15,AQ15,AN15,AK15,AH15,AE15,AB15,Y15,V15,S15,P15,M15))</f>
        <v>48000</v>
      </c>
      <c r="E15" s="13" t="str">
        <f aca="false">IF(COUNT(CB15,BY15,BV15,BS15,BP15,BM15,BJ15,BG15,BD15,BA15,AX15,AU15)=0,"",SUM(CB15,BY15,BV15,BS15,BP15,BM15,BJ15,BG15,BD15,BA15,AX15,AU15))</f>
        <v/>
      </c>
      <c r="F15" s="13" t="n">
        <f aca="false">IF(COUNT(CC15,BZ15,BW15,BT15,BQ15,BN15,BK15,BH15,BE15,BB15,AY15,AV15)=0,"",SUM(CC15,BZ15,BW15,BT15,BQ15,BN15,BK15,BH15,BE15,BB15,AY15,AV15))</f>
        <v>48000</v>
      </c>
      <c r="G15" s="13" t="n">
        <f aca="false">IF(COUNT(CD15,CA15,BX15,BU15,BR15,BO15,BL15,BI15,BF15,BC15,AZ15,AW15)=0,"",SUM(CD15,CA15,BX15,BU15,BR15,BO15,BL15,BI15,BF15,BC15,AZ15,AW15))</f>
        <v>48000</v>
      </c>
      <c r="H15" s="12" t="n">
        <f aca="false">IF(COUNT(DL15,DI15,DF15,DC15,CZ15,CW15,CT15,CQ15,CN15,CK15,CH15,CE15)=0,"",SUM(DL15,DI15,DF15,DC15,CZ15,CW15,CT15,CQ15,CN15,CK15,CH15,CE15))</f>
        <v>8000</v>
      </c>
      <c r="I15" s="12" t="n">
        <f aca="false">IF(COUNT(DM15,DJ15,DG15,DD15,DA15,CX15,CU15,CR15,CO15,CL15,CI15,CF15)=0,"",SUM(DM15,DJ15,DG15,DD15,DA15,CX15,CU15,CR15,CO15,CL15,CI15,CF15))</f>
        <v>48000</v>
      </c>
      <c r="J15" s="12" t="n">
        <f aca="false">IF(COUNT(DN15,DK15,DH15,DE15,DB15,CY15,CV15,CS15,CP15,CM15,CJ15,CG15)=0,"",SUM(DN15,DK15,DH15,DE15,DB15,CY15,CV15,CS15,CP15,CM15,CJ15,CG15))</f>
        <v>48000</v>
      </c>
      <c r="K15" s="13"/>
      <c r="L15" s="13" t="n">
        <f aca="false">IF('Cash Drivers'!L$26,Sales!K15,Sales!M15)</f>
        <v>4000</v>
      </c>
      <c r="M15" s="89" t="n">
        <v>4000</v>
      </c>
      <c r="N15" s="12"/>
      <c r="O15" s="12" t="n">
        <f aca="false">IF('Cash Drivers'!O$26,Sales!N15,Sales!P15)</f>
        <v>4000</v>
      </c>
      <c r="P15" s="90" t="n">
        <v>4000</v>
      </c>
      <c r="Q15" s="13"/>
      <c r="R15" s="13" t="n">
        <f aca="false">IF('Cash Drivers'!R$26,Sales!Q15,Sales!S15)</f>
        <v>4000</v>
      </c>
      <c r="S15" s="89" t="n">
        <v>4000</v>
      </c>
      <c r="T15" s="12"/>
      <c r="U15" s="12" t="n">
        <f aca="false">IF('Cash Drivers'!U$26,Sales!T15,Sales!V15)</f>
        <v>4000</v>
      </c>
      <c r="V15" s="90" t="n">
        <v>4000</v>
      </c>
      <c r="W15" s="13"/>
      <c r="X15" s="13" t="n">
        <f aca="false">IF('Cash Drivers'!X$26,Sales!W15,Sales!Y15)</f>
        <v>4000</v>
      </c>
      <c r="Y15" s="89" t="n">
        <v>4000</v>
      </c>
      <c r="Z15" s="12"/>
      <c r="AA15" s="12" t="n">
        <f aca="false">IF('Cash Drivers'!AA$26,Sales!Z15,Sales!AB15)</f>
        <v>4000</v>
      </c>
      <c r="AB15" s="90" t="n">
        <v>4000</v>
      </c>
      <c r="AC15" s="13"/>
      <c r="AD15" s="13" t="n">
        <f aca="false">IF('Cash Drivers'!AD$26,Sales!AC15,Sales!AE15)</f>
        <v>4000</v>
      </c>
      <c r="AE15" s="89" t="n">
        <v>4000</v>
      </c>
      <c r="AF15" s="12"/>
      <c r="AG15" s="12" t="n">
        <f aca="false">IF('Cash Drivers'!AG$26,Sales!AF15,Sales!AH15)</f>
        <v>4000</v>
      </c>
      <c r="AH15" s="90" t="n">
        <v>4000</v>
      </c>
      <c r="AI15" s="13"/>
      <c r="AJ15" s="13" t="n">
        <f aca="false">IF('Cash Drivers'!AJ$26,Sales!AI15,Sales!AK15)</f>
        <v>4000</v>
      </c>
      <c r="AK15" s="89" t="n">
        <v>4000</v>
      </c>
      <c r="AL15" s="12"/>
      <c r="AM15" s="12" t="n">
        <f aca="false">IF('Cash Drivers'!AM$26,Sales!AL15,Sales!AN15)</f>
        <v>4000</v>
      </c>
      <c r="AN15" s="90" t="n">
        <v>4000</v>
      </c>
      <c r="AO15" s="13"/>
      <c r="AP15" s="13" t="n">
        <f aca="false">IF('Cash Drivers'!AP$26,Sales!AO15,Sales!AQ15)</f>
        <v>4000</v>
      </c>
      <c r="AQ15" s="89" t="n">
        <v>4000</v>
      </c>
      <c r="AR15" s="12"/>
      <c r="AS15" s="12" t="n">
        <f aca="false">IF('Cash Drivers'!AS$26,Sales!AR15,Sales!AT15)</f>
        <v>4000</v>
      </c>
      <c r="AT15" s="90" t="n">
        <v>4000</v>
      </c>
      <c r="AU15" s="13"/>
      <c r="AV15" s="13" t="n">
        <f aca="false">IF('Cash Drivers'!AV$26,Sales!AU15,Sales!AW15)</f>
        <v>4000</v>
      </c>
      <c r="AW15" s="89" t="n">
        <v>4000</v>
      </c>
      <c r="AX15" s="12"/>
      <c r="AY15" s="12" t="n">
        <f aca="false">IF('Cash Drivers'!AY$26,Sales!AX15,Sales!AZ15)</f>
        <v>4000</v>
      </c>
      <c r="AZ15" s="90" t="n">
        <v>4000</v>
      </c>
      <c r="BA15" s="13"/>
      <c r="BB15" s="13" t="n">
        <f aca="false">IF('Cash Drivers'!BB$26,Sales!BA15,Sales!BC15)</f>
        <v>4000</v>
      </c>
      <c r="BC15" s="89" t="n">
        <v>4000</v>
      </c>
      <c r="BD15" s="12"/>
      <c r="BE15" s="12" t="n">
        <f aca="false">IF('Cash Drivers'!BE$26,Sales!BD15,Sales!BF15)</f>
        <v>4000</v>
      </c>
      <c r="BF15" s="90" t="n">
        <v>4000</v>
      </c>
      <c r="BG15" s="13"/>
      <c r="BH15" s="13" t="n">
        <f aca="false">IF('Cash Drivers'!BH$26,Sales!BG15,Sales!BI15)</f>
        <v>4000</v>
      </c>
      <c r="BI15" s="89" t="n">
        <v>4000</v>
      </c>
      <c r="BJ15" s="12"/>
      <c r="BK15" s="12" t="n">
        <f aca="false">IF('Cash Drivers'!BK$26,Sales!BJ15,Sales!BL15)</f>
        <v>4000</v>
      </c>
      <c r="BL15" s="90" t="n">
        <v>4000</v>
      </c>
      <c r="BM15" s="13"/>
      <c r="BN15" s="13" t="n">
        <f aca="false">IF('Cash Drivers'!BN$26,Sales!BM15,Sales!BO15)</f>
        <v>4000</v>
      </c>
      <c r="BO15" s="89" t="n">
        <v>4000</v>
      </c>
      <c r="BP15" s="12"/>
      <c r="BQ15" s="12" t="n">
        <f aca="false">IF('Cash Drivers'!BQ$26,Sales!BP15,Sales!BR15)</f>
        <v>4000</v>
      </c>
      <c r="BR15" s="90" t="n">
        <v>4000</v>
      </c>
      <c r="BS15" s="13"/>
      <c r="BT15" s="13" t="n">
        <f aca="false">IF('Cash Drivers'!BT$26,Sales!BS15,Sales!BU15)</f>
        <v>4000</v>
      </c>
      <c r="BU15" s="89" t="n">
        <v>4000</v>
      </c>
      <c r="BV15" s="12"/>
      <c r="BW15" s="12" t="n">
        <f aca="false">IF('Cash Drivers'!BW$26,Sales!BV15,Sales!BX15)</f>
        <v>4000</v>
      </c>
      <c r="BX15" s="90" t="n">
        <v>4000</v>
      </c>
      <c r="BY15" s="13"/>
      <c r="BZ15" s="13" t="n">
        <f aca="false">IF('Cash Drivers'!BZ$26,Sales!BY15,Sales!CA15)</f>
        <v>4000</v>
      </c>
      <c r="CA15" s="89" t="n">
        <v>4000</v>
      </c>
      <c r="CB15" s="12"/>
      <c r="CC15" s="12" t="n">
        <f aca="false">IF('Cash Drivers'!CC$26,Sales!CB15,Sales!CD15)</f>
        <v>4000</v>
      </c>
      <c r="CD15" s="90" t="n">
        <v>4000</v>
      </c>
      <c r="CE15" s="13"/>
      <c r="CF15" s="13" t="n">
        <f aca="false">IF('Cash Drivers'!CF$26,Sales!CE15,Sales!CG15)</f>
        <v>4000</v>
      </c>
      <c r="CG15" s="89" t="n">
        <v>4000</v>
      </c>
      <c r="CH15" s="12"/>
      <c r="CI15" s="12" t="n">
        <f aca="false">IF('Cash Drivers'!CI$26,Sales!CH15,Sales!CJ15)</f>
        <v>4000</v>
      </c>
      <c r="CJ15" s="90" t="n">
        <v>4000</v>
      </c>
      <c r="CK15" s="13"/>
      <c r="CL15" s="13" t="n">
        <f aca="false">IF('Cash Drivers'!CL$26,Sales!CK15,Sales!CM15)</f>
        <v>4000</v>
      </c>
      <c r="CM15" s="89" t="n">
        <v>4000</v>
      </c>
      <c r="CN15" s="12"/>
      <c r="CO15" s="12" t="n">
        <f aca="false">IF('Cash Drivers'!CO$26,Sales!CN15,Sales!CP15)</f>
        <v>4000</v>
      </c>
      <c r="CP15" s="90" t="n">
        <v>4000</v>
      </c>
      <c r="CQ15" s="13"/>
      <c r="CR15" s="13" t="n">
        <f aca="false">IF('Cash Drivers'!CR$26,Sales!CQ15,Sales!CS15)</f>
        <v>4000</v>
      </c>
      <c r="CS15" s="89" t="n">
        <v>4000</v>
      </c>
      <c r="CT15" s="12"/>
      <c r="CU15" s="12" t="n">
        <f aca="false">IF('Cash Drivers'!CU$26,Sales!CT15,Sales!CV15)</f>
        <v>4000</v>
      </c>
      <c r="CV15" s="90" t="n">
        <v>4000</v>
      </c>
      <c r="CW15" s="13"/>
      <c r="CX15" s="13" t="n">
        <f aca="false">IF('Cash Drivers'!CX$26,Sales!CW15,Sales!CY15)</f>
        <v>4000</v>
      </c>
      <c r="CY15" s="89" t="n">
        <v>4000</v>
      </c>
      <c r="CZ15" s="12"/>
      <c r="DA15" s="12" t="n">
        <f aca="false">IF('Cash Drivers'!DA$26,Sales!CZ15,Sales!DB15)</f>
        <v>4000</v>
      </c>
      <c r="DB15" s="90" t="n">
        <v>4000</v>
      </c>
      <c r="DC15" s="13"/>
      <c r="DD15" s="13" t="n">
        <f aca="false">IF('Cash Drivers'!DD$26,Sales!DC15,Sales!DE15)</f>
        <v>4000</v>
      </c>
      <c r="DE15" s="89" t="n">
        <v>4000</v>
      </c>
      <c r="DF15" s="12"/>
      <c r="DG15" s="12" t="n">
        <f aca="false">IF('Cash Drivers'!DG$26,Sales!DF15,Sales!DH15)</f>
        <v>4000</v>
      </c>
      <c r="DH15" s="90" t="n">
        <v>4000</v>
      </c>
      <c r="DI15" s="89" t="n">
        <v>4000</v>
      </c>
      <c r="DJ15" s="13" t="n">
        <f aca="false">IF('Cash Drivers'!DJ$26,Sales!DI15,Sales!DK15)</f>
        <v>4000</v>
      </c>
      <c r="DK15" s="89" t="n">
        <v>4000</v>
      </c>
      <c r="DL15" s="90" t="n">
        <v>4000</v>
      </c>
      <c r="DM15" s="12" t="n">
        <f aca="false">IF('Cash Drivers'!DM$26,Sales!DL15,Sales!DN15)</f>
        <v>4000</v>
      </c>
      <c r="DN15" s="90" t="n">
        <v>4000</v>
      </c>
    </row>
    <row r="16" customFormat="false" ht="15" hidden="false" customHeight="false" outlineLevel="0" collapsed="false">
      <c r="A16" s="5" t="s">
        <v>165</v>
      </c>
      <c r="B16" s="12" t="str">
        <f aca="false">IF(COUNT(AR16,AO16,AL16,AI16,AF16,AC16,Z16,W16,T16,Q16,N16,K16)=0,"",SUM(AR16,AO16,AL16,AI16,AF16,AC16,Z16,W16,T16,Q16,N16,K16))</f>
        <v/>
      </c>
      <c r="C16" s="12" t="n">
        <f aca="false">IF(COUNT(AS16,AP16,AM16,AJ16,AG16,AD16,AA16,X16,U16,R16,O16,L16)=0,"",SUM(AS16,AP16,AM16,AJ16,AG16,AD16,AA16,X16,U16,R16,O16,L16))</f>
        <v>12000</v>
      </c>
      <c r="D16" s="12" t="n">
        <f aca="false">IF(COUNT(AT16,AQ16,AN16,AK16,AH16,AE16,AB16,Y16,V16,S16,P16,M16)=0,"",SUM(AT16,AQ16,AN16,AK16,AH16,AE16,AB16,Y16,V16,S16,P16,M16))</f>
        <v>12000</v>
      </c>
      <c r="E16" s="13" t="str">
        <f aca="false">IF(COUNT(CB16,BY16,BV16,BS16,BP16,BM16,BJ16,BG16,BD16,BA16,AX16,AU16)=0,"",SUM(CB16,BY16,BV16,BS16,BP16,BM16,BJ16,BG16,BD16,BA16,AX16,AU16))</f>
        <v/>
      </c>
      <c r="F16" s="13" t="n">
        <f aca="false">IF(COUNT(CC16,BZ16,BW16,BT16,BQ16,BN16,BK16,BH16,BE16,BB16,AY16,AV16)=0,"",SUM(CC16,BZ16,BW16,BT16,BQ16,BN16,BK16,BH16,BE16,BB16,AY16,AV16))</f>
        <v>12000</v>
      </c>
      <c r="G16" s="13" t="n">
        <f aca="false">IF(COUNT(CD16,CA16,BX16,BU16,BR16,BO16,BL16,BI16,BF16,BC16,AZ16,AW16)=0,"",SUM(CD16,CA16,BX16,BU16,BR16,BO16,BL16,BI16,BF16,BC16,AZ16,AW16))</f>
        <v>12000</v>
      </c>
      <c r="H16" s="12" t="n">
        <f aca="false">IF(COUNT(DL16,DI16,DF16,DC16,CZ16,CW16,CT16,CQ16,CN16,CK16,CH16,CE16)=0,"",SUM(DL16,DI16,DF16,DC16,CZ16,CW16,CT16,CQ16,CN16,CK16,CH16,CE16))</f>
        <v>2000</v>
      </c>
      <c r="I16" s="12" t="n">
        <f aca="false">IF(COUNT(DM16,DJ16,DG16,DD16,DA16,CX16,CU16,CR16,CO16,CL16,CI16,CF16)=0,"",SUM(DM16,DJ16,DG16,DD16,DA16,CX16,CU16,CR16,CO16,CL16,CI16,CF16))</f>
        <v>12000</v>
      </c>
      <c r="J16" s="12" t="n">
        <f aca="false">IF(COUNT(DN16,DK16,DH16,DE16,DB16,CY16,CV16,CS16,CP16,CM16,CJ16,CG16)=0,"",SUM(DN16,DK16,DH16,DE16,DB16,CY16,CV16,CS16,CP16,CM16,CJ16,CG16))</f>
        <v>12000</v>
      </c>
      <c r="K16" s="13"/>
      <c r="L16" s="13" t="n">
        <f aca="false">IF('Cash Drivers'!L$26,Sales!K16,Sales!M16)</f>
        <v>1000</v>
      </c>
      <c r="M16" s="89" t="n">
        <v>1000</v>
      </c>
      <c r="N16" s="12"/>
      <c r="O16" s="12" t="n">
        <f aca="false">IF('Cash Drivers'!O$26,Sales!N16,Sales!P16)</f>
        <v>1000</v>
      </c>
      <c r="P16" s="90" t="n">
        <v>1000</v>
      </c>
      <c r="Q16" s="13"/>
      <c r="R16" s="13" t="n">
        <f aca="false">IF('Cash Drivers'!R$26,Sales!Q16,Sales!S16)</f>
        <v>1000</v>
      </c>
      <c r="S16" s="89" t="n">
        <v>1000</v>
      </c>
      <c r="T16" s="12"/>
      <c r="U16" s="12" t="n">
        <f aca="false">IF('Cash Drivers'!U$26,Sales!T16,Sales!V16)</f>
        <v>1000</v>
      </c>
      <c r="V16" s="90" t="n">
        <v>1000</v>
      </c>
      <c r="W16" s="13"/>
      <c r="X16" s="13" t="n">
        <f aca="false">IF('Cash Drivers'!X$26,Sales!W16,Sales!Y16)</f>
        <v>1000</v>
      </c>
      <c r="Y16" s="89" t="n">
        <v>1000</v>
      </c>
      <c r="Z16" s="12"/>
      <c r="AA16" s="12" t="n">
        <f aca="false">IF('Cash Drivers'!AA$26,Sales!Z16,Sales!AB16)</f>
        <v>1000</v>
      </c>
      <c r="AB16" s="90" t="n">
        <v>1000</v>
      </c>
      <c r="AC16" s="13"/>
      <c r="AD16" s="13" t="n">
        <f aca="false">IF('Cash Drivers'!AD$26,Sales!AC16,Sales!AE16)</f>
        <v>1000</v>
      </c>
      <c r="AE16" s="89" t="n">
        <v>1000</v>
      </c>
      <c r="AF16" s="12"/>
      <c r="AG16" s="12" t="n">
        <f aca="false">IF('Cash Drivers'!AG$26,Sales!AF16,Sales!AH16)</f>
        <v>1000</v>
      </c>
      <c r="AH16" s="90" t="n">
        <v>1000</v>
      </c>
      <c r="AI16" s="13"/>
      <c r="AJ16" s="13" t="n">
        <f aca="false">IF('Cash Drivers'!AJ$26,Sales!AI16,Sales!AK16)</f>
        <v>1000</v>
      </c>
      <c r="AK16" s="89" t="n">
        <v>1000</v>
      </c>
      <c r="AL16" s="12"/>
      <c r="AM16" s="12" t="n">
        <f aca="false">IF('Cash Drivers'!AM$26,Sales!AL16,Sales!AN16)</f>
        <v>1000</v>
      </c>
      <c r="AN16" s="90" t="n">
        <v>1000</v>
      </c>
      <c r="AO16" s="13"/>
      <c r="AP16" s="13" t="n">
        <f aca="false">IF('Cash Drivers'!AP$26,Sales!AO16,Sales!AQ16)</f>
        <v>1000</v>
      </c>
      <c r="AQ16" s="89" t="n">
        <v>1000</v>
      </c>
      <c r="AR16" s="12"/>
      <c r="AS16" s="12" t="n">
        <f aca="false">IF('Cash Drivers'!AS$26,Sales!AR16,Sales!AT16)</f>
        <v>1000</v>
      </c>
      <c r="AT16" s="90" t="n">
        <v>1000</v>
      </c>
      <c r="AU16" s="13"/>
      <c r="AV16" s="13" t="n">
        <f aca="false">IF('Cash Drivers'!AV$26,Sales!AU16,Sales!AW16)</f>
        <v>1000</v>
      </c>
      <c r="AW16" s="89" t="n">
        <v>1000</v>
      </c>
      <c r="AX16" s="12"/>
      <c r="AY16" s="12" t="n">
        <f aca="false">IF('Cash Drivers'!AY$26,Sales!AX16,Sales!AZ16)</f>
        <v>1000</v>
      </c>
      <c r="AZ16" s="90" t="n">
        <v>1000</v>
      </c>
      <c r="BA16" s="13"/>
      <c r="BB16" s="13" t="n">
        <f aca="false">IF('Cash Drivers'!BB$26,Sales!BA16,Sales!BC16)</f>
        <v>1000</v>
      </c>
      <c r="BC16" s="89" t="n">
        <v>1000</v>
      </c>
      <c r="BD16" s="12"/>
      <c r="BE16" s="12" t="n">
        <f aca="false">IF('Cash Drivers'!BE$26,Sales!BD16,Sales!BF16)</f>
        <v>1000</v>
      </c>
      <c r="BF16" s="90" t="n">
        <v>1000</v>
      </c>
      <c r="BG16" s="13"/>
      <c r="BH16" s="13" t="n">
        <f aca="false">IF('Cash Drivers'!BH$26,Sales!BG16,Sales!BI16)</f>
        <v>1000</v>
      </c>
      <c r="BI16" s="89" t="n">
        <v>1000</v>
      </c>
      <c r="BJ16" s="12"/>
      <c r="BK16" s="12" t="n">
        <f aca="false">IF('Cash Drivers'!BK$26,Sales!BJ16,Sales!BL16)</f>
        <v>1000</v>
      </c>
      <c r="BL16" s="90" t="n">
        <v>1000</v>
      </c>
      <c r="BM16" s="13"/>
      <c r="BN16" s="13" t="n">
        <f aca="false">IF('Cash Drivers'!BN$26,Sales!BM16,Sales!BO16)</f>
        <v>1000</v>
      </c>
      <c r="BO16" s="89" t="n">
        <v>1000</v>
      </c>
      <c r="BP16" s="12"/>
      <c r="BQ16" s="12" t="n">
        <f aca="false">IF('Cash Drivers'!BQ$26,Sales!BP16,Sales!BR16)</f>
        <v>1000</v>
      </c>
      <c r="BR16" s="90" t="n">
        <v>1000</v>
      </c>
      <c r="BS16" s="13"/>
      <c r="BT16" s="13" t="n">
        <f aca="false">IF('Cash Drivers'!BT$26,Sales!BS16,Sales!BU16)</f>
        <v>1000</v>
      </c>
      <c r="BU16" s="89" t="n">
        <v>1000</v>
      </c>
      <c r="BV16" s="12"/>
      <c r="BW16" s="12" t="n">
        <f aca="false">IF('Cash Drivers'!BW$26,Sales!BV16,Sales!BX16)</f>
        <v>1000</v>
      </c>
      <c r="BX16" s="90" t="n">
        <v>1000</v>
      </c>
      <c r="BY16" s="13"/>
      <c r="BZ16" s="13" t="n">
        <f aca="false">IF('Cash Drivers'!BZ$26,Sales!BY16,Sales!CA16)</f>
        <v>1000</v>
      </c>
      <c r="CA16" s="89" t="n">
        <v>1000</v>
      </c>
      <c r="CB16" s="12"/>
      <c r="CC16" s="12" t="n">
        <f aca="false">IF('Cash Drivers'!CC$26,Sales!CB16,Sales!CD16)</f>
        <v>1000</v>
      </c>
      <c r="CD16" s="90" t="n">
        <v>1000</v>
      </c>
      <c r="CE16" s="13"/>
      <c r="CF16" s="13" t="n">
        <f aca="false">IF('Cash Drivers'!CF$26,Sales!CE16,Sales!CG16)</f>
        <v>1000</v>
      </c>
      <c r="CG16" s="89" t="n">
        <v>1000</v>
      </c>
      <c r="CH16" s="12"/>
      <c r="CI16" s="12" t="n">
        <f aca="false">IF('Cash Drivers'!CI$26,Sales!CH16,Sales!CJ16)</f>
        <v>1000</v>
      </c>
      <c r="CJ16" s="90" t="n">
        <v>1000</v>
      </c>
      <c r="CK16" s="13"/>
      <c r="CL16" s="13" t="n">
        <f aca="false">IF('Cash Drivers'!CL$26,Sales!CK16,Sales!CM16)</f>
        <v>1000</v>
      </c>
      <c r="CM16" s="89" t="n">
        <v>1000</v>
      </c>
      <c r="CN16" s="12"/>
      <c r="CO16" s="12" t="n">
        <f aca="false">IF('Cash Drivers'!CO$26,Sales!CN16,Sales!CP16)</f>
        <v>1000</v>
      </c>
      <c r="CP16" s="90" t="n">
        <v>1000</v>
      </c>
      <c r="CQ16" s="13"/>
      <c r="CR16" s="13" t="n">
        <f aca="false">IF('Cash Drivers'!CR$26,Sales!CQ16,Sales!CS16)</f>
        <v>1000</v>
      </c>
      <c r="CS16" s="89" t="n">
        <v>1000</v>
      </c>
      <c r="CT16" s="12"/>
      <c r="CU16" s="12" t="n">
        <f aca="false">IF('Cash Drivers'!CU$26,Sales!CT16,Sales!CV16)</f>
        <v>1000</v>
      </c>
      <c r="CV16" s="90" t="n">
        <v>1000</v>
      </c>
      <c r="CW16" s="13"/>
      <c r="CX16" s="13" t="n">
        <f aca="false">IF('Cash Drivers'!CX$26,Sales!CW16,Sales!CY16)</f>
        <v>1000</v>
      </c>
      <c r="CY16" s="89" t="n">
        <v>1000</v>
      </c>
      <c r="CZ16" s="12"/>
      <c r="DA16" s="12" t="n">
        <f aca="false">IF('Cash Drivers'!DA$26,Sales!CZ16,Sales!DB16)</f>
        <v>1000</v>
      </c>
      <c r="DB16" s="90" t="n">
        <v>1000</v>
      </c>
      <c r="DC16" s="13"/>
      <c r="DD16" s="13" t="n">
        <f aca="false">IF('Cash Drivers'!DD$26,Sales!DC16,Sales!DE16)</f>
        <v>1000</v>
      </c>
      <c r="DE16" s="89" t="n">
        <v>1000</v>
      </c>
      <c r="DF16" s="12"/>
      <c r="DG16" s="12" t="n">
        <f aca="false">IF('Cash Drivers'!DG$26,Sales!DF16,Sales!DH16)</f>
        <v>1000</v>
      </c>
      <c r="DH16" s="90" t="n">
        <v>1000</v>
      </c>
      <c r="DI16" s="89" t="n">
        <v>1000</v>
      </c>
      <c r="DJ16" s="13" t="n">
        <f aca="false">IF('Cash Drivers'!DJ$26,Sales!DI16,Sales!DK16)</f>
        <v>1000</v>
      </c>
      <c r="DK16" s="89" t="n">
        <v>1000</v>
      </c>
      <c r="DL16" s="90" t="n">
        <v>1000</v>
      </c>
      <c r="DM16" s="12" t="n">
        <f aca="false">IF('Cash Drivers'!DM$26,Sales!DL16,Sales!DN16)</f>
        <v>1000</v>
      </c>
      <c r="DN16" s="90" t="n">
        <v>1000</v>
      </c>
    </row>
    <row r="17" customFormat="false" ht="15" hidden="false" customHeight="false" outlineLevel="0" collapsed="false">
      <c r="A17" s="5" t="s">
        <v>166</v>
      </c>
      <c r="B17" s="12" t="str">
        <f aca="false">IF(COUNT(AR17,AO17,AL17,AI17,AF17,AC17,Z17,W17,T17,Q17,N17,K17)=0,"",SUM(AR17,AO17,AL17,AI17,AF17,AC17,Z17,W17,T17,Q17,N17,K17))</f>
        <v/>
      </c>
      <c r="C17" s="12" t="n">
        <f aca="false">IF(COUNT(AS17,AP17,AM17,AJ17,AG17,AD17,AA17,X17,U17,R17,O17,L17)=0,"",SUM(AS17,AP17,AM17,AJ17,AG17,AD17,AA17,X17,U17,R17,O17,L17))</f>
        <v>24000</v>
      </c>
      <c r="D17" s="12" t="n">
        <f aca="false">IF(COUNT(AT17,AQ17,AN17,AK17,AH17,AE17,AB17,Y17,V17,S17,P17,M17)=0,"",SUM(AT17,AQ17,AN17,AK17,AH17,AE17,AB17,Y17,V17,S17,P17,M17))</f>
        <v>24000</v>
      </c>
      <c r="E17" s="13" t="str">
        <f aca="false">IF(COUNT(CB17,BY17,BV17,BS17,BP17,BM17,BJ17,BG17,BD17,BA17,AX17,AU17)=0,"",SUM(CB17,BY17,BV17,BS17,BP17,BM17,BJ17,BG17,BD17,BA17,AX17,AU17))</f>
        <v/>
      </c>
      <c r="F17" s="13" t="n">
        <f aca="false">IF(COUNT(CC17,BZ17,BW17,BT17,BQ17,BN17,BK17,BH17,BE17,BB17,AY17,AV17)=0,"",SUM(CC17,BZ17,BW17,BT17,BQ17,BN17,BK17,BH17,BE17,BB17,AY17,AV17))</f>
        <v>24000</v>
      </c>
      <c r="G17" s="13" t="n">
        <f aca="false">IF(COUNT(CD17,CA17,BX17,BU17,BR17,BO17,BL17,BI17,BF17,BC17,AZ17,AW17)=0,"",SUM(CD17,CA17,BX17,BU17,BR17,BO17,BL17,BI17,BF17,BC17,AZ17,AW17))</f>
        <v>24000</v>
      </c>
      <c r="H17" s="12" t="n">
        <f aca="false">IF(COUNT(DL17,DI17,DF17,DC17,CZ17,CW17,CT17,CQ17,CN17,CK17,CH17,CE17)=0,"",SUM(DL17,DI17,DF17,DC17,CZ17,CW17,CT17,CQ17,CN17,CK17,CH17,CE17))</f>
        <v>4000</v>
      </c>
      <c r="I17" s="12" t="n">
        <f aca="false">IF(COUNT(DM17,DJ17,DG17,DD17,DA17,CX17,CU17,CR17,CO17,CL17,CI17,CF17)=0,"",SUM(DM17,DJ17,DG17,DD17,DA17,CX17,CU17,CR17,CO17,CL17,CI17,CF17))</f>
        <v>24000</v>
      </c>
      <c r="J17" s="12" t="n">
        <f aca="false">IF(COUNT(DN17,DK17,DH17,DE17,DB17,CY17,CV17,CS17,CP17,CM17,CJ17,CG17)=0,"",SUM(DN17,DK17,DH17,DE17,DB17,CY17,CV17,CS17,CP17,CM17,CJ17,CG17))</f>
        <v>24000</v>
      </c>
      <c r="K17" s="13"/>
      <c r="L17" s="13" t="n">
        <f aca="false">IF('Cash Drivers'!L$26,Sales!K17,Sales!M17)</f>
        <v>2000</v>
      </c>
      <c r="M17" s="89" t="n">
        <v>2000</v>
      </c>
      <c r="N17" s="12"/>
      <c r="O17" s="12" t="n">
        <f aca="false">IF('Cash Drivers'!O$26,Sales!N17,Sales!P17)</f>
        <v>2000</v>
      </c>
      <c r="P17" s="90" t="n">
        <v>2000</v>
      </c>
      <c r="Q17" s="13"/>
      <c r="R17" s="13" t="n">
        <f aca="false">IF('Cash Drivers'!R$26,Sales!Q17,Sales!S17)</f>
        <v>2000</v>
      </c>
      <c r="S17" s="89" t="n">
        <v>2000</v>
      </c>
      <c r="T17" s="12"/>
      <c r="U17" s="12" t="n">
        <f aca="false">IF('Cash Drivers'!U$26,Sales!T17,Sales!V17)</f>
        <v>2000</v>
      </c>
      <c r="V17" s="90" t="n">
        <v>2000</v>
      </c>
      <c r="W17" s="13"/>
      <c r="X17" s="13" t="n">
        <f aca="false">IF('Cash Drivers'!X$26,Sales!W17,Sales!Y17)</f>
        <v>2000</v>
      </c>
      <c r="Y17" s="89" t="n">
        <v>2000</v>
      </c>
      <c r="Z17" s="12"/>
      <c r="AA17" s="12" t="n">
        <f aca="false">IF('Cash Drivers'!AA$26,Sales!Z17,Sales!AB17)</f>
        <v>2000</v>
      </c>
      <c r="AB17" s="90" t="n">
        <v>2000</v>
      </c>
      <c r="AC17" s="13"/>
      <c r="AD17" s="13" t="n">
        <f aca="false">IF('Cash Drivers'!AD$26,Sales!AC17,Sales!AE17)</f>
        <v>2000</v>
      </c>
      <c r="AE17" s="89" t="n">
        <v>2000</v>
      </c>
      <c r="AF17" s="12"/>
      <c r="AG17" s="12" t="n">
        <f aca="false">IF('Cash Drivers'!AG$26,Sales!AF17,Sales!AH17)</f>
        <v>2000</v>
      </c>
      <c r="AH17" s="90" t="n">
        <v>2000</v>
      </c>
      <c r="AI17" s="13"/>
      <c r="AJ17" s="13" t="n">
        <f aca="false">IF('Cash Drivers'!AJ$26,Sales!AI17,Sales!AK17)</f>
        <v>2000</v>
      </c>
      <c r="AK17" s="89" t="n">
        <v>2000</v>
      </c>
      <c r="AL17" s="12"/>
      <c r="AM17" s="12" t="n">
        <f aca="false">IF('Cash Drivers'!AM$26,Sales!AL17,Sales!AN17)</f>
        <v>2000</v>
      </c>
      <c r="AN17" s="90" t="n">
        <v>2000</v>
      </c>
      <c r="AO17" s="13"/>
      <c r="AP17" s="13" t="n">
        <f aca="false">IF('Cash Drivers'!AP$26,Sales!AO17,Sales!AQ17)</f>
        <v>2000</v>
      </c>
      <c r="AQ17" s="89" t="n">
        <v>2000</v>
      </c>
      <c r="AR17" s="12"/>
      <c r="AS17" s="12" t="n">
        <f aca="false">IF('Cash Drivers'!AS$26,Sales!AR17,Sales!AT17)</f>
        <v>2000</v>
      </c>
      <c r="AT17" s="90" t="n">
        <v>2000</v>
      </c>
      <c r="AU17" s="13"/>
      <c r="AV17" s="13" t="n">
        <f aca="false">IF('Cash Drivers'!AV$26,Sales!AU17,Sales!AW17)</f>
        <v>2000</v>
      </c>
      <c r="AW17" s="89" t="n">
        <v>2000</v>
      </c>
      <c r="AX17" s="12"/>
      <c r="AY17" s="12" t="n">
        <f aca="false">IF('Cash Drivers'!AY$26,Sales!AX17,Sales!AZ17)</f>
        <v>2000</v>
      </c>
      <c r="AZ17" s="90" t="n">
        <v>2000</v>
      </c>
      <c r="BA17" s="13"/>
      <c r="BB17" s="13" t="n">
        <f aca="false">IF('Cash Drivers'!BB$26,Sales!BA17,Sales!BC17)</f>
        <v>2000</v>
      </c>
      <c r="BC17" s="89" t="n">
        <v>2000</v>
      </c>
      <c r="BD17" s="12"/>
      <c r="BE17" s="12" t="n">
        <f aca="false">IF('Cash Drivers'!BE$26,Sales!BD17,Sales!BF17)</f>
        <v>2000</v>
      </c>
      <c r="BF17" s="90" t="n">
        <v>2000</v>
      </c>
      <c r="BG17" s="13"/>
      <c r="BH17" s="13" t="n">
        <f aca="false">IF('Cash Drivers'!BH$26,Sales!BG17,Sales!BI17)</f>
        <v>2000</v>
      </c>
      <c r="BI17" s="89" t="n">
        <v>2000</v>
      </c>
      <c r="BJ17" s="12"/>
      <c r="BK17" s="12" t="n">
        <f aca="false">IF('Cash Drivers'!BK$26,Sales!BJ17,Sales!BL17)</f>
        <v>2000</v>
      </c>
      <c r="BL17" s="90" t="n">
        <v>2000</v>
      </c>
      <c r="BM17" s="13"/>
      <c r="BN17" s="13" t="n">
        <f aca="false">IF('Cash Drivers'!BN$26,Sales!BM17,Sales!BO17)</f>
        <v>2000</v>
      </c>
      <c r="BO17" s="89" t="n">
        <v>2000</v>
      </c>
      <c r="BP17" s="12"/>
      <c r="BQ17" s="12" t="n">
        <f aca="false">IF('Cash Drivers'!BQ$26,Sales!BP17,Sales!BR17)</f>
        <v>2000</v>
      </c>
      <c r="BR17" s="90" t="n">
        <v>2000</v>
      </c>
      <c r="BS17" s="13"/>
      <c r="BT17" s="13" t="n">
        <f aca="false">IF('Cash Drivers'!BT$26,Sales!BS17,Sales!BU17)</f>
        <v>2000</v>
      </c>
      <c r="BU17" s="89" t="n">
        <v>2000</v>
      </c>
      <c r="BV17" s="12"/>
      <c r="BW17" s="12" t="n">
        <f aca="false">IF('Cash Drivers'!BW$26,Sales!BV17,Sales!BX17)</f>
        <v>2000</v>
      </c>
      <c r="BX17" s="90" t="n">
        <v>2000</v>
      </c>
      <c r="BY17" s="13"/>
      <c r="BZ17" s="13" t="n">
        <f aca="false">IF('Cash Drivers'!BZ$26,Sales!BY17,Sales!CA17)</f>
        <v>2000</v>
      </c>
      <c r="CA17" s="89" t="n">
        <v>2000</v>
      </c>
      <c r="CB17" s="12"/>
      <c r="CC17" s="12" t="n">
        <f aca="false">IF('Cash Drivers'!CC$26,Sales!CB17,Sales!CD17)</f>
        <v>2000</v>
      </c>
      <c r="CD17" s="90" t="n">
        <v>2000</v>
      </c>
      <c r="CE17" s="13"/>
      <c r="CF17" s="13" t="n">
        <f aca="false">IF('Cash Drivers'!CF$26,Sales!CE17,Sales!CG17)</f>
        <v>2000</v>
      </c>
      <c r="CG17" s="89" t="n">
        <v>2000</v>
      </c>
      <c r="CH17" s="12"/>
      <c r="CI17" s="12" t="n">
        <f aca="false">IF('Cash Drivers'!CI$26,Sales!CH17,Sales!CJ17)</f>
        <v>2000</v>
      </c>
      <c r="CJ17" s="90" t="n">
        <v>2000</v>
      </c>
      <c r="CK17" s="13"/>
      <c r="CL17" s="13" t="n">
        <f aca="false">IF('Cash Drivers'!CL$26,Sales!CK17,Sales!CM17)</f>
        <v>2000</v>
      </c>
      <c r="CM17" s="89" t="n">
        <v>2000</v>
      </c>
      <c r="CN17" s="12"/>
      <c r="CO17" s="12" t="n">
        <f aca="false">IF('Cash Drivers'!CO$26,Sales!CN17,Sales!CP17)</f>
        <v>2000</v>
      </c>
      <c r="CP17" s="90" t="n">
        <v>2000</v>
      </c>
      <c r="CQ17" s="13"/>
      <c r="CR17" s="13" t="n">
        <f aca="false">IF('Cash Drivers'!CR$26,Sales!CQ17,Sales!CS17)</f>
        <v>2000</v>
      </c>
      <c r="CS17" s="89" t="n">
        <v>2000</v>
      </c>
      <c r="CT17" s="12"/>
      <c r="CU17" s="12" t="n">
        <f aca="false">IF('Cash Drivers'!CU$26,Sales!CT17,Sales!CV17)</f>
        <v>2000</v>
      </c>
      <c r="CV17" s="90" t="n">
        <v>2000</v>
      </c>
      <c r="CW17" s="13"/>
      <c r="CX17" s="13" t="n">
        <f aca="false">IF('Cash Drivers'!CX$26,Sales!CW17,Sales!CY17)</f>
        <v>2000</v>
      </c>
      <c r="CY17" s="89" t="n">
        <v>2000</v>
      </c>
      <c r="CZ17" s="12"/>
      <c r="DA17" s="12" t="n">
        <f aca="false">IF('Cash Drivers'!DA$26,Sales!CZ17,Sales!DB17)</f>
        <v>2000</v>
      </c>
      <c r="DB17" s="90" t="n">
        <v>2000</v>
      </c>
      <c r="DC17" s="13"/>
      <c r="DD17" s="13" t="n">
        <f aca="false">IF('Cash Drivers'!DD$26,Sales!DC17,Sales!DE17)</f>
        <v>2000</v>
      </c>
      <c r="DE17" s="89" t="n">
        <v>2000</v>
      </c>
      <c r="DF17" s="12"/>
      <c r="DG17" s="12" t="n">
        <f aca="false">IF('Cash Drivers'!DG$26,Sales!DF17,Sales!DH17)</f>
        <v>2000</v>
      </c>
      <c r="DH17" s="90" t="n">
        <v>2000</v>
      </c>
      <c r="DI17" s="89" t="n">
        <v>2000</v>
      </c>
      <c r="DJ17" s="13" t="n">
        <f aca="false">IF('Cash Drivers'!DJ$26,Sales!DI17,Sales!DK17)</f>
        <v>2000</v>
      </c>
      <c r="DK17" s="89" t="n">
        <v>2000</v>
      </c>
      <c r="DL17" s="90" t="n">
        <v>2000</v>
      </c>
      <c r="DM17" s="12" t="n">
        <f aca="false">IF('Cash Drivers'!DM$26,Sales!DL17,Sales!DN17)</f>
        <v>2000</v>
      </c>
      <c r="DN17" s="90" t="n">
        <v>2000</v>
      </c>
    </row>
    <row r="18" customFormat="false" ht="15" hidden="false" customHeight="false" outlineLevel="0" collapsed="false">
      <c r="A18" s="14" t="s">
        <v>167</v>
      </c>
      <c r="B18" s="15" t="str">
        <f aca="false">IF(COUNT(AR18,AO18,AL18,AI18,AF18,AC18,Z18,W18,T18,Q18,N18,K18)=0,"",SUM(AR18,AO18,AL18,AI18,AF18,AC18,Z18,W18,T18,Q18,N18,K18))</f>
        <v/>
      </c>
      <c r="C18" s="15" t="n">
        <f aca="false">IF(COUNT(AS18,AP18,AM18,AJ18,AG18,AD18,AA18,X18,U18,R18,O18,L18)=0,"",SUM(AS18,AP18,AM18,AJ18,AG18,AD18,AA18,X18,U18,R18,O18,L18))</f>
        <v>3781840</v>
      </c>
      <c r="D18" s="15" t="n">
        <f aca="false">IF(COUNT(AT18,AQ18,AN18,AK18,AH18,AE18,AB18,Y18,V18,S18,P18,M18)=0,"",SUM(AT18,AQ18,AN18,AK18,AH18,AE18,AB18,Y18,V18,S18,P18,M18))</f>
        <v>3781840</v>
      </c>
      <c r="E18" s="16" t="str">
        <f aca="false">IF(COUNT(CB18,BY18,BV18,BS18,BP18,BM18,BJ18,BG18,BD18,BA18,AX18,AU18)=0,"",SUM(CB18,BY18,BV18,BS18,BP18,BM18,BJ18,BG18,BD18,BA18,AX18,AU18))</f>
        <v/>
      </c>
      <c r="F18" s="16" t="n">
        <f aca="false">IF(COUNT(CC18,BZ18,BW18,BT18,BQ18,BN18,BK18,BH18,BE18,BB18,AY18,AV18)=0,"",SUM(CC18,BZ18,BW18,BT18,BQ18,BN18,BK18,BH18,BE18,BB18,AY18,AV18))</f>
        <v>2811940</v>
      </c>
      <c r="G18" s="16" t="n">
        <f aca="false">IF(COUNT(CD18,CA18,BX18,BU18,BR18,BO18,BL18,BI18,BF18,BC18,AZ18,AW18)=0,"",SUM(CD18,CA18,BX18,BU18,BR18,BO18,BL18,BI18,BF18,BC18,AZ18,AW18))</f>
        <v>2811940</v>
      </c>
      <c r="H18" s="15" t="n">
        <f aca="false">IF(COUNT(DL18,DI18,DF18,DC18,CZ18,CW18,CT18,CQ18,CN18,CK18,CH18,CE18)=0,"",SUM(DL18,DI18,DF18,DC18,CZ18,CW18,CT18,CQ18,CN18,CK18,CH18,CE18))</f>
        <v>311480</v>
      </c>
      <c r="I18" s="15" t="n">
        <f aca="false">IF(COUNT(DM18,DJ18,DG18,DD18,DA18,CX18,CU18,CR18,CO18,CL18,CI18,CF18)=0,"",SUM(DM18,DJ18,DG18,DD18,DA18,CX18,CU18,CR18,CO18,CL18,CI18,CF18))</f>
        <v>1956720</v>
      </c>
      <c r="J18" s="15" t="n">
        <f aca="false">IF(COUNT(DN18,DK18,DH18,DE18,DB18,CY18,CV18,CS18,CP18,CM18,CJ18,CG18)=0,"",SUM(DN18,DK18,DH18,DE18,DB18,CY18,CV18,CS18,CP18,CM18,CJ18,CG18))</f>
        <v>1956720</v>
      </c>
      <c r="K18" s="16" t="str">
        <f aca="false">IF(COUNT(K9,K10,K11,K12,K13,K14,K15,K16,K17)=0,"",SUM(K9:K17))</f>
        <v/>
      </c>
      <c r="L18" s="16" t="n">
        <f aca="false">SUM(L9:L17)</f>
        <v>327760</v>
      </c>
      <c r="M18" s="16" t="n">
        <f aca="false">SUM(M9:M17)</f>
        <v>327760</v>
      </c>
      <c r="N18" s="15" t="str">
        <f aca="false">IF(COUNT(N9,N10,N11,N12,N13,N14,N15,N16,N17)=0,"",SUM(N9:N17))</f>
        <v/>
      </c>
      <c r="O18" s="15" t="n">
        <f aca="false">SUM(O9:O17)</f>
        <v>327760</v>
      </c>
      <c r="P18" s="15" t="n">
        <f aca="false">SUM(P9:P17)</f>
        <v>327760</v>
      </c>
      <c r="Q18" s="16" t="str">
        <f aca="false">IF(COUNT(Q9,Q10,Q11,Q12,Q13,Q14,Q15,Q16,Q17)=0,"",SUM(Q9:Q17))</f>
        <v/>
      </c>
      <c r="R18" s="16" t="n">
        <f aca="false">SUM(R9:R17)</f>
        <v>327760</v>
      </c>
      <c r="S18" s="16" t="n">
        <f aca="false">SUM(S9:S17)</f>
        <v>327760</v>
      </c>
      <c r="T18" s="15" t="str">
        <f aca="false">IF(COUNT(T9,T10,T11,T12,T13,T14,T15,T16,T17)=0,"",SUM(T9:T17))</f>
        <v/>
      </c>
      <c r="U18" s="15" t="n">
        <f aca="false">SUM(U9:U17)</f>
        <v>327760</v>
      </c>
      <c r="V18" s="15" t="n">
        <f aca="false">SUM(V9:V17)</f>
        <v>327760</v>
      </c>
      <c r="W18" s="16" t="str">
        <f aca="false">IF(COUNT(W9,W10,W11,W12,W13,W14,W15,W16,W17)=0,"",SUM(W9:W17))</f>
        <v/>
      </c>
      <c r="X18" s="16" t="n">
        <f aca="false">SUM(X9:X17)</f>
        <v>327760</v>
      </c>
      <c r="Y18" s="16" t="n">
        <f aca="false">SUM(Y9:Y17)</f>
        <v>327760</v>
      </c>
      <c r="Z18" s="15" t="str">
        <f aca="false">IF(COUNT(Z9,Z10,Z11,Z12,Z13,Z14,Z15,Z16,Z17)=0,"",SUM(Z9:Z17))</f>
        <v/>
      </c>
      <c r="AA18" s="15" t="n">
        <f aca="false">SUM(AA9:AA17)</f>
        <v>327760</v>
      </c>
      <c r="AB18" s="15" t="n">
        <f aca="false">SUM(AB9:AB17)</f>
        <v>327760</v>
      </c>
      <c r="AC18" s="16" t="str">
        <f aca="false">IF(COUNT(AC9,AC10,AC11,AC12,AC13,AC14,AC15,AC16,AC17)=0,"",SUM(AC9:AC17))</f>
        <v/>
      </c>
      <c r="AD18" s="16" t="n">
        <f aca="false">SUM(AD9:AD17)</f>
        <v>313120</v>
      </c>
      <c r="AE18" s="16" t="n">
        <f aca="false">SUM(AE9:AE17)</f>
        <v>313120</v>
      </c>
      <c r="AF18" s="15" t="str">
        <f aca="false">IF(COUNT(AF9,AF10,AF11,AF12,AF13,AF14,AF15,AF16,AF17)=0,"",SUM(AF9:AF17))</f>
        <v/>
      </c>
      <c r="AG18" s="15" t="n">
        <f aca="false">SUM(AG9:AG17)</f>
        <v>313120</v>
      </c>
      <c r="AH18" s="15" t="n">
        <f aca="false">SUM(AH9:AH17)</f>
        <v>313120</v>
      </c>
      <c r="AI18" s="16" t="str">
        <f aca="false">IF(COUNT(AI9,AI10,AI11,AI12,AI13,AI14,AI15,AI16,AI17)=0,"",SUM(AI9:AI17))</f>
        <v/>
      </c>
      <c r="AJ18" s="16" t="n">
        <f aca="false">SUM(AJ9:AJ17)</f>
        <v>313120</v>
      </c>
      <c r="AK18" s="16" t="n">
        <f aca="false">SUM(AK9:AK17)</f>
        <v>313120</v>
      </c>
      <c r="AL18" s="15" t="str">
        <f aca="false">IF(COUNT(AL9,AL10,AL11,AL12,AL13,AL14,AL15,AL16,AL17)=0,"",SUM(AL9:AL17))</f>
        <v/>
      </c>
      <c r="AM18" s="15" t="n">
        <f aca="false">SUM(AM9:AM17)</f>
        <v>298480</v>
      </c>
      <c r="AN18" s="15" t="n">
        <f aca="false">SUM(AN9:AN17)</f>
        <v>298480</v>
      </c>
      <c r="AO18" s="16" t="str">
        <f aca="false">IF(COUNT(AO9,AO10,AO11,AO12,AO13,AO14,AO15,AO16,AO17)=0,"",SUM(AO9:AO17))</f>
        <v/>
      </c>
      <c r="AP18" s="16" t="n">
        <f aca="false">SUM(AP9:AP17)</f>
        <v>288720</v>
      </c>
      <c r="AQ18" s="16" t="n">
        <f aca="false">SUM(AQ9:AQ17)</f>
        <v>288720</v>
      </c>
      <c r="AR18" s="15" t="str">
        <f aca="false">IF(COUNT(AR9,AR10,AR11,AR12,AR13,AR14,AR15,AR16,AR17)=0,"",SUM(AR9:AR17))</f>
        <v/>
      </c>
      <c r="AS18" s="15" t="n">
        <f aca="false">SUM(AS9:AS17)</f>
        <v>288720</v>
      </c>
      <c r="AT18" s="15" t="n">
        <f aca="false">SUM(AT9:AT17)</f>
        <v>288720</v>
      </c>
      <c r="AU18" s="16" t="str">
        <f aca="false">IF(COUNT(AU9,AU10,AU11,AU12,AU13,AU14,AU15,AU16,AU17)=0,"",SUM(AU9:AU17))</f>
        <v/>
      </c>
      <c r="AV18" s="16" t="n">
        <f aca="false">SUM(AV9:AV17)</f>
        <v>274080</v>
      </c>
      <c r="AW18" s="16" t="n">
        <f aca="false">SUM(AW9:AW17)</f>
        <v>274080</v>
      </c>
      <c r="AX18" s="15" t="str">
        <f aca="false">IF(COUNT(AX9,AX10,AX11,AX12,AX13,AX14,AX15,AX16,AX17)=0,"",SUM(AX9:AX17))</f>
        <v/>
      </c>
      <c r="AY18" s="15" t="n">
        <f aca="false">SUM(AY9:AY17)</f>
        <v>274080</v>
      </c>
      <c r="AZ18" s="15" t="n">
        <f aca="false">SUM(AZ9:AZ17)</f>
        <v>274080</v>
      </c>
      <c r="BA18" s="16" t="str">
        <f aca="false">IF(COUNT(BA9,BA10,BA11,BA12,BA13,BA14,BA15,BA16,BA17)=0,"",SUM(BA9:BA17))</f>
        <v/>
      </c>
      <c r="BB18" s="16" t="n">
        <f aca="false">SUM(BB9:BB17)</f>
        <v>264320</v>
      </c>
      <c r="BC18" s="16" t="n">
        <f aca="false">SUM(BC9:BC17)</f>
        <v>264320</v>
      </c>
      <c r="BD18" s="15" t="str">
        <f aca="false">IF(COUNT(BD9,BD10,BD11,BD12,BD13,BD14,BD15,BD16,BD17)=0,"",SUM(BD9:BD17))</f>
        <v/>
      </c>
      <c r="BE18" s="15" t="n">
        <f aca="false">SUM(BE9:BE17)</f>
        <v>249680</v>
      </c>
      <c r="BF18" s="15" t="n">
        <f aca="false">SUM(BF9:BF17)</f>
        <v>249680</v>
      </c>
      <c r="BG18" s="16" t="str">
        <f aca="false">IF(COUNT(BG9,BG10,BG11,BG12,BG13,BG14,BG15,BG16,BG17)=0,"",SUM(BG9:BG17))</f>
        <v/>
      </c>
      <c r="BH18" s="16" t="n">
        <f aca="false">SUM(BH9:BH17)</f>
        <v>249680</v>
      </c>
      <c r="BI18" s="16" t="n">
        <f aca="false">SUM(BI9:BI17)</f>
        <v>249680</v>
      </c>
      <c r="BJ18" s="15" t="str">
        <f aca="false">IF(COUNT(BJ9,BJ10,BJ11,BJ12,BJ13,BJ14,BJ15,BJ16,BJ17)=0,"",SUM(BJ9:BJ17))</f>
        <v/>
      </c>
      <c r="BK18" s="15" t="n">
        <f aca="false">SUM(BK9:BK17)</f>
        <v>233820</v>
      </c>
      <c r="BL18" s="15" t="n">
        <f aca="false">SUM(BL9:BL17)</f>
        <v>233820</v>
      </c>
      <c r="BM18" s="16" t="str">
        <f aca="false">IF(COUNT(BM9,BM10,BM11,BM12,BM13,BM14,BM15,BM16,BM17)=0,"",SUM(BM9:BM17))</f>
        <v/>
      </c>
      <c r="BN18" s="16" t="n">
        <f aca="false">SUM(BN9:BN17)</f>
        <v>224060</v>
      </c>
      <c r="BO18" s="16" t="n">
        <f aca="false">SUM(BO9:BO17)</f>
        <v>224060</v>
      </c>
      <c r="BP18" s="15" t="str">
        <f aca="false">IF(COUNT(BP9,BP10,BP11,BP12,BP13,BP14,BP15,BP16,BP17)=0,"",SUM(BP9:BP17))</f>
        <v/>
      </c>
      <c r="BQ18" s="15" t="n">
        <f aca="false">SUM(BQ9:BQ17)</f>
        <v>224060</v>
      </c>
      <c r="BR18" s="15" t="n">
        <f aca="false">SUM(BR9:BR17)</f>
        <v>224060</v>
      </c>
      <c r="BS18" s="16" t="str">
        <f aca="false">IF(COUNT(BS9,BS10,BS11,BS12,BS13,BS14,BS15,BS16,BS17)=0,"",SUM(BS9:BS17))</f>
        <v/>
      </c>
      <c r="BT18" s="16" t="n">
        <f aca="false">SUM(BT9:BT17)</f>
        <v>224060</v>
      </c>
      <c r="BU18" s="16" t="n">
        <f aca="false">SUM(BU9:BU17)</f>
        <v>224060</v>
      </c>
      <c r="BV18" s="15" t="str">
        <f aca="false">IF(COUNT(BV9,BV10,BV11,BV12,BV13,BV14,BV15,BV16,BV17)=0,"",SUM(BV9:BV17))</f>
        <v/>
      </c>
      <c r="BW18" s="15" t="n">
        <f aca="false">SUM(BW9:BW17)</f>
        <v>209420</v>
      </c>
      <c r="BX18" s="15" t="n">
        <f aca="false">SUM(BX9:BX17)</f>
        <v>209420</v>
      </c>
      <c r="BY18" s="16" t="str">
        <f aca="false">IF(COUNT(BY9,BY10,BY11,BY12,BY13,BY14,BY15,BY16,BY17)=0,"",SUM(BY9:BY17))</f>
        <v/>
      </c>
      <c r="BZ18" s="16" t="n">
        <f aca="false">SUM(BZ9:BZ17)</f>
        <v>199660</v>
      </c>
      <c r="CA18" s="16" t="n">
        <f aca="false">SUM(CA9:CA17)</f>
        <v>199660</v>
      </c>
      <c r="CB18" s="15" t="str">
        <f aca="false">IF(COUNT(CB9,CB10,CB11,CB12,CB13,CB14,CB15,CB16,CB17)=0,"",SUM(CB9:CB17))</f>
        <v/>
      </c>
      <c r="CC18" s="15" t="n">
        <f aca="false">SUM(CC9:CC17)</f>
        <v>185020</v>
      </c>
      <c r="CD18" s="15" t="n">
        <f aca="false">SUM(CD9:CD17)</f>
        <v>185020</v>
      </c>
      <c r="CE18" s="16" t="str">
        <f aca="false">IF(COUNT(CE9,CE10,CE11,CE12,CE13,CE14,CE15,CE16,CE17)=0,"",SUM(CE9:CE17))</f>
        <v/>
      </c>
      <c r="CF18" s="16" t="n">
        <f aca="false">SUM(CF9:CF17)</f>
        <v>170380</v>
      </c>
      <c r="CG18" s="16" t="n">
        <f aca="false">SUM(CG9:CG17)</f>
        <v>170380</v>
      </c>
      <c r="CH18" s="15" t="str">
        <f aca="false">IF(COUNT(CH9,CH10,CH11,CH12,CH13,CH14,CH15,CH16,CH17)=0,"",SUM(CH9:CH17))</f>
        <v/>
      </c>
      <c r="CI18" s="15" t="n">
        <f aca="false">SUM(CI9:CI17)</f>
        <v>170380</v>
      </c>
      <c r="CJ18" s="15" t="n">
        <f aca="false">SUM(CJ9:CJ17)</f>
        <v>170380</v>
      </c>
      <c r="CK18" s="16" t="str">
        <f aca="false">IF(COUNT(CK9,CK10,CK11,CK12,CK13,CK14,CK15,CK16,CK17)=0,"",SUM(CK9:CK17))</f>
        <v/>
      </c>
      <c r="CL18" s="16" t="n">
        <f aca="false">SUM(CL9:CL17)</f>
        <v>170380</v>
      </c>
      <c r="CM18" s="16" t="n">
        <f aca="false">SUM(CM9:CM17)</f>
        <v>170380</v>
      </c>
      <c r="CN18" s="15" t="str">
        <f aca="false">IF(COUNT(CN9,CN10,CN11,CN12,CN13,CN14,CN15,CN16,CN17)=0,"",SUM(CN9:CN17))</f>
        <v/>
      </c>
      <c r="CO18" s="15" t="n">
        <f aca="false">SUM(CO9:CO17)</f>
        <v>170380</v>
      </c>
      <c r="CP18" s="15" t="n">
        <f aca="false">SUM(CP9:CP17)</f>
        <v>170380</v>
      </c>
      <c r="CQ18" s="16" t="str">
        <f aca="false">IF(COUNT(CQ9,CQ10,CQ11,CQ12,CQ13,CQ14,CQ15,CQ16,CQ17)=0,"",SUM(CQ9:CQ17))</f>
        <v/>
      </c>
      <c r="CR18" s="16" t="n">
        <f aca="false">SUM(CR9:CR17)</f>
        <v>170380</v>
      </c>
      <c r="CS18" s="16" t="n">
        <f aca="false">SUM(CS9:CS17)</f>
        <v>170380</v>
      </c>
      <c r="CT18" s="15" t="str">
        <f aca="false">IF(COUNT(CT9,CT10,CT11,CT12,CT13,CT14,CT15,CT16,CT17)=0,"",SUM(CT9:CT17))</f>
        <v/>
      </c>
      <c r="CU18" s="15" t="n">
        <f aca="false">SUM(CU9:CU17)</f>
        <v>170380</v>
      </c>
      <c r="CV18" s="15" t="n">
        <f aca="false">SUM(CV9:CV17)</f>
        <v>170380</v>
      </c>
      <c r="CW18" s="16" t="str">
        <f aca="false">IF(COUNT(CW9,CW10,CW11,CW12,CW13,CW14,CW15,CW16,CW17)=0,"",SUM(CW9:CW17))</f>
        <v/>
      </c>
      <c r="CX18" s="16" t="n">
        <f aca="false">SUM(CX9:CX17)</f>
        <v>155740</v>
      </c>
      <c r="CY18" s="16" t="n">
        <f aca="false">SUM(CY9:CY17)</f>
        <v>155740</v>
      </c>
      <c r="CZ18" s="15" t="str">
        <f aca="false">IF(COUNT(CZ9,CZ10,CZ11,CZ12,CZ13,CZ14,CZ15,CZ16,CZ17)=0,"",SUM(CZ9:CZ17))</f>
        <v/>
      </c>
      <c r="DA18" s="15" t="n">
        <f aca="false">SUM(DA9:DA17)</f>
        <v>155740</v>
      </c>
      <c r="DB18" s="15" t="n">
        <f aca="false">SUM(DB9:DB17)</f>
        <v>155740</v>
      </c>
      <c r="DC18" s="16" t="str">
        <f aca="false">IF(COUNT(DC9,DC10,DC11,DC12,DC13,DC14,DC15,DC16,DC17)=0,"",SUM(DC9:DC17))</f>
        <v/>
      </c>
      <c r="DD18" s="16" t="n">
        <f aca="false">SUM(DD9:DD17)</f>
        <v>155740</v>
      </c>
      <c r="DE18" s="16" t="n">
        <f aca="false">SUM(DE9:DE17)</f>
        <v>155740</v>
      </c>
      <c r="DF18" s="15" t="str">
        <f aca="false">IF(COUNT(DF9,DF10,DF11,DF12,DF13,DF14,DF15,DF16,DF17)=0,"",SUM(DF9:DF17))</f>
        <v/>
      </c>
      <c r="DG18" s="15" t="n">
        <f aca="false">SUM(DG9:DG17)</f>
        <v>155740</v>
      </c>
      <c r="DH18" s="15" t="n">
        <f aca="false">SUM(DH9:DH17)</f>
        <v>155740</v>
      </c>
      <c r="DI18" s="16" t="n">
        <f aca="false">IF(COUNT(DI9,DI10,DI11,DI12,DI13,DI14,DI15,DI16,DI17)=0,"",SUM(DI9:DI17))</f>
        <v>155740</v>
      </c>
      <c r="DJ18" s="16" t="n">
        <f aca="false">SUM(DJ9:DJ17)</f>
        <v>155740</v>
      </c>
      <c r="DK18" s="16" t="n">
        <f aca="false">SUM(DK9:DK17)</f>
        <v>155740</v>
      </c>
      <c r="DL18" s="15" t="n">
        <f aca="false">IF(COUNT(DL9,DL10,DL11,DL12,DL13,DL14,DL15,DL16,DL17)=0,"",SUM(DL9:DL17))</f>
        <v>155740</v>
      </c>
      <c r="DM18" s="15" t="n">
        <f aca="false">SUM(DM9:DM17)</f>
        <v>155740</v>
      </c>
      <c r="DN18" s="15" t="n">
        <f aca="false">SUM(DN9:DN17)</f>
        <v>155740</v>
      </c>
    </row>
    <row r="19" customFormat="false" ht="15" hidden="false" customHeight="false" outlineLevel="0" collapsed="false">
      <c r="A19" s="5" t="s">
        <v>190</v>
      </c>
      <c r="B19" s="12" t="str">
        <f aca="false">IF(COUNT(AR19,AO19,AL19,AI19,AF19,AC19,Z19,W19,T19,Q19,N19,K19)=0,"",SUM(AR19,AO19,AL19,AI19,AF19,AC19,Z19,W19,T19,Q19,N19,K19))</f>
        <v/>
      </c>
      <c r="C19" s="12" t="n">
        <f aca="false">IF(COUNT(AS19,AP19,AM19,AJ19,AG19,AD19,AA19,X19,U19,R19,O19,L19)=0,"",SUM(AS19,AP19,AM19,AJ19,AG19,AD19,AA19,X19,U19,R19,O19,L19))</f>
        <v>892000</v>
      </c>
      <c r="D19" s="12" t="n">
        <f aca="false">IF(COUNT(AT19,AQ19,AN19,AK19,AH19,AE19,AB19,Y19,V19,S19,P19,M19)=0,"",SUM(AT19,AQ19,AN19,AK19,AH19,AE19,AB19,Y19,V19,S19,P19,M19))</f>
        <v>892000</v>
      </c>
      <c r="E19" s="13" t="str">
        <f aca="false">IF(COUNT(CB19,BY19,BV19,BS19,BP19,BM19,BJ19,BG19,BD19,BA19,AX19,AU19)=0,"",SUM(CB19,BY19,BV19,BS19,BP19,BM19,BJ19,BG19,BD19,BA19,AX19,AU19))</f>
        <v/>
      </c>
      <c r="F19" s="13" t="n">
        <f aca="false">IF(COUNT(CC19,BZ19,BW19,BT19,BQ19,BN19,BK19,BH19,BE19,BB19,AY19,AV19)=0,"",SUM(CC19,BZ19,BW19,BT19,BQ19,BN19,BK19,BH19,BE19,BB19,AY19,AV19))</f>
        <v>654000</v>
      </c>
      <c r="G19" s="13" t="n">
        <f aca="false">IF(COUNT(CD19,CA19,BX19,BU19,BR19,BO19,BL19,BI19,BF19,BC19,AZ19,AW19)=0,"",SUM(CD19,CA19,BX19,BU19,BR19,BO19,BL19,BI19,BF19,BC19,AZ19,AW19))</f>
        <v>654000</v>
      </c>
      <c r="H19" s="12" t="n">
        <f aca="false">IF(COUNT(DL19,DI19,DF19,DC19,CZ19,CW19,CT19,CQ19,CN19,CK19,CH19,CE19)=0,"",SUM(DL19,DI19,DF19,DC19,CZ19,CW19,CT19,CQ19,CN19,CK19,CH19,CE19))</f>
        <v>60000</v>
      </c>
      <c r="I19" s="12" t="n">
        <f aca="false">IF(COUNT(DM19,DJ19,DG19,DD19,DA19,CX19,CU19,CR19,CO19,CL19,CI19,CF19)=0,"",SUM(DM19,DJ19,DG19,DD19,DA19,CX19,CU19,CR19,CO19,CL19,CI19,CF19))</f>
        <v>462000</v>
      </c>
      <c r="J19" s="12" t="n">
        <f aca="false">IF(COUNT(DN19,DK19,DH19,DE19,DB19,CY19,CV19,CS19,CP19,CM19,CJ19,CG19)=0,"",SUM(DN19,DK19,DH19,DE19,DB19,CY19,CV19,CS19,CP19,CM19,CJ19,CG19))</f>
        <v>456000</v>
      </c>
      <c r="K19" s="13" t="str">
        <f aca="false">IF(COUNT(K6)=1,K6*2000,"")</f>
        <v/>
      </c>
      <c r="L19" s="13" t="n">
        <f aca="false">L6*2000</f>
        <v>76000</v>
      </c>
      <c r="M19" s="13" t="n">
        <f aca="false">M6*2000</f>
        <v>76000</v>
      </c>
      <c r="N19" s="12" t="str">
        <f aca="false">IF(COUNT(N6)=1,N6*2000,"")</f>
        <v/>
      </c>
      <c r="O19" s="12" t="n">
        <f aca="false">O6*2000</f>
        <v>76000</v>
      </c>
      <c r="P19" s="12" t="n">
        <f aca="false">P6*2000</f>
        <v>76000</v>
      </c>
      <c r="Q19" s="13" t="str">
        <f aca="false">IF(COUNT(Q6)=1,Q6*2000,"")</f>
        <v/>
      </c>
      <c r="R19" s="13" t="n">
        <f aca="false">R6*2000</f>
        <v>76000</v>
      </c>
      <c r="S19" s="13" t="n">
        <f aca="false">S6*2000</f>
        <v>76000</v>
      </c>
      <c r="T19" s="12" t="str">
        <f aca="false">IF(COUNT(T6)=1,T6*2000,"")</f>
        <v/>
      </c>
      <c r="U19" s="12" t="n">
        <f aca="false">U6*2000</f>
        <v>76000</v>
      </c>
      <c r="V19" s="12" t="n">
        <f aca="false">V6*2000</f>
        <v>76000</v>
      </c>
      <c r="W19" s="13" t="str">
        <f aca="false">IF(COUNT(W6)=1,W6*2000,"")</f>
        <v/>
      </c>
      <c r="X19" s="13" t="n">
        <f aca="false">X6*2000</f>
        <v>76000</v>
      </c>
      <c r="Y19" s="13" t="n">
        <f aca="false">Y6*2000</f>
        <v>76000</v>
      </c>
      <c r="Z19" s="12" t="str">
        <f aca="false">IF(COUNT(Z6)=1,Z6*2000,"")</f>
        <v/>
      </c>
      <c r="AA19" s="12" t="n">
        <f aca="false">AA6*2000</f>
        <v>76000</v>
      </c>
      <c r="AB19" s="12" t="n">
        <f aca="false">AB6*2000</f>
        <v>76000</v>
      </c>
      <c r="AC19" s="13" t="str">
        <f aca="false">IF(COUNT(AC6)=1,AC6*2000,"")</f>
        <v/>
      </c>
      <c r="AD19" s="13" t="n">
        <f aca="false">AD6*2000</f>
        <v>76000</v>
      </c>
      <c r="AE19" s="13" t="n">
        <f aca="false">AE6*2000</f>
        <v>76000</v>
      </c>
      <c r="AF19" s="12" t="str">
        <f aca="false">IF(COUNT(AF6)=1,AF6*2000,"")</f>
        <v/>
      </c>
      <c r="AG19" s="12" t="n">
        <f aca="false">AG6*2000</f>
        <v>76000</v>
      </c>
      <c r="AH19" s="12" t="n">
        <f aca="false">AH6*2000</f>
        <v>76000</v>
      </c>
      <c r="AI19" s="13" t="str">
        <f aca="false">IF(COUNT(AI6)=1,AI6*2000,"")</f>
        <v/>
      </c>
      <c r="AJ19" s="13" t="n">
        <f aca="false">AJ6*2000</f>
        <v>76000</v>
      </c>
      <c r="AK19" s="13" t="n">
        <f aca="false">AK6*2000</f>
        <v>76000</v>
      </c>
      <c r="AL19" s="12" t="str">
        <f aca="false">IF(COUNT(AL6)=1,AL6*2000,"")</f>
        <v/>
      </c>
      <c r="AM19" s="12" t="n">
        <f aca="false">AM6*2000</f>
        <v>76000</v>
      </c>
      <c r="AN19" s="12" t="n">
        <f aca="false">AN6*2000</f>
        <v>76000</v>
      </c>
      <c r="AO19" s="13" t="str">
        <f aca="false">IF(COUNT(AO6)=1,AO6*2000,"")</f>
        <v/>
      </c>
      <c r="AP19" s="13" t="n">
        <f aca="false">AP6*2000</f>
        <v>76000</v>
      </c>
      <c r="AQ19" s="13" t="n">
        <f aca="false">AQ6*2000</f>
        <v>76000</v>
      </c>
      <c r="AR19" s="12" t="str">
        <f aca="false">IF(COUNT(AR6)=1,AR6*2000,"")</f>
        <v/>
      </c>
      <c r="AS19" s="12" t="n">
        <f aca="false">AS6*2000</f>
        <v>56000</v>
      </c>
      <c r="AT19" s="12" t="n">
        <f aca="false">AT6*2000</f>
        <v>56000</v>
      </c>
      <c r="AU19" s="13" t="str">
        <f aca="false">IF(COUNT(AU6)=1,AU6*2000,"")</f>
        <v/>
      </c>
      <c r="AV19" s="13" t="n">
        <f aca="false">AV6*2000</f>
        <v>56000</v>
      </c>
      <c r="AW19" s="13" t="n">
        <f aca="false">AW6*2000</f>
        <v>56000</v>
      </c>
      <c r="AX19" s="12" t="str">
        <f aca="false">IF(COUNT(AX6)=1,AX6*2000,"")</f>
        <v/>
      </c>
      <c r="AY19" s="12" t="n">
        <f aca="false">AY6*2000</f>
        <v>56000</v>
      </c>
      <c r="AZ19" s="12" t="n">
        <f aca="false">AZ6*2000</f>
        <v>56000</v>
      </c>
      <c r="BA19" s="13" t="str">
        <f aca="false">IF(COUNT(BA6)=1,BA6*2000,"")</f>
        <v/>
      </c>
      <c r="BB19" s="13" t="n">
        <f aca="false">BB6*2000</f>
        <v>56000</v>
      </c>
      <c r="BC19" s="13" t="n">
        <f aca="false">BC6*2000</f>
        <v>56000</v>
      </c>
      <c r="BD19" s="12" t="str">
        <f aca="false">IF(COUNT(BD6)=1,BD6*2000,"")</f>
        <v/>
      </c>
      <c r="BE19" s="12" t="n">
        <f aca="false">BE6*2000</f>
        <v>56000</v>
      </c>
      <c r="BF19" s="12" t="n">
        <f aca="false">BF6*2000</f>
        <v>56000</v>
      </c>
      <c r="BG19" s="13" t="str">
        <f aca="false">IF(COUNT(BG6)=1,BG6*2000,"")</f>
        <v/>
      </c>
      <c r="BH19" s="13" t="n">
        <f aca="false">BH6*2000</f>
        <v>56000</v>
      </c>
      <c r="BI19" s="13" t="n">
        <f aca="false">BI6*2000</f>
        <v>56000</v>
      </c>
      <c r="BJ19" s="12" t="str">
        <f aca="false">IF(COUNT(BJ6)=1,BJ6*2000,"")</f>
        <v/>
      </c>
      <c r="BK19" s="12" t="n">
        <f aca="false">BK6*2000</f>
        <v>56000</v>
      </c>
      <c r="BL19" s="12" t="n">
        <f aca="false">BL6*2000</f>
        <v>56000</v>
      </c>
      <c r="BM19" s="13" t="str">
        <f aca="false">IF(COUNT(BM6)=1,BM6*2000,"")</f>
        <v/>
      </c>
      <c r="BN19" s="13" t="n">
        <f aca="false">BN6*2000</f>
        <v>56000</v>
      </c>
      <c r="BO19" s="13" t="n">
        <f aca="false">BO6*2000</f>
        <v>56000</v>
      </c>
      <c r="BP19" s="12" t="str">
        <f aca="false">IF(COUNT(BP6)=1,BP6*2000,"")</f>
        <v/>
      </c>
      <c r="BQ19" s="12" t="n">
        <f aca="false">BQ6*2000</f>
        <v>56000</v>
      </c>
      <c r="BR19" s="12" t="n">
        <f aca="false">BR6*2000</f>
        <v>56000</v>
      </c>
      <c r="BS19" s="13" t="str">
        <f aca="false">IF(COUNT(BS6)=1,BS6*2000,"")</f>
        <v/>
      </c>
      <c r="BT19" s="13" t="n">
        <f aca="false">BT6*2000</f>
        <v>56000</v>
      </c>
      <c r="BU19" s="13" t="n">
        <f aca="false">BU6*2000</f>
        <v>56000</v>
      </c>
      <c r="BV19" s="12" t="str">
        <f aca="false">IF(COUNT(BV6)=1,BV6*2000,"")</f>
        <v/>
      </c>
      <c r="BW19" s="12" t="n">
        <f aca="false">BW6*2000</f>
        <v>56000</v>
      </c>
      <c r="BX19" s="12" t="n">
        <f aca="false">BX6*2000</f>
        <v>56000</v>
      </c>
      <c r="BY19" s="13" t="str">
        <f aca="false">IF(COUNT(BY6)=1,BY6*2000,"")</f>
        <v/>
      </c>
      <c r="BZ19" s="13" t="n">
        <f aca="false">BZ6*2000</f>
        <v>56000</v>
      </c>
      <c r="CA19" s="13" t="n">
        <f aca="false">CA6*2000</f>
        <v>56000</v>
      </c>
      <c r="CB19" s="12" t="str">
        <f aca="false">IF(COUNT(CB6)=1,CB6*2000,"")</f>
        <v/>
      </c>
      <c r="CC19" s="12" t="n">
        <f aca="false">CC6*2000</f>
        <v>38000</v>
      </c>
      <c r="CD19" s="12" t="n">
        <f aca="false">CD6*2000</f>
        <v>38000</v>
      </c>
      <c r="CE19" s="13" t="str">
        <f aca="false">IF(COUNT(CE6)=1,CE6*2000,"")</f>
        <v/>
      </c>
      <c r="CF19" s="13" t="n">
        <f aca="false">CF6*2000</f>
        <v>38000</v>
      </c>
      <c r="CG19" s="13" t="n">
        <f aca="false">CG6*2000</f>
        <v>38000</v>
      </c>
      <c r="CH19" s="12" t="str">
        <f aca="false">IF(COUNT(CH6)=1,CH6*2000,"")</f>
        <v/>
      </c>
      <c r="CI19" s="12" t="n">
        <f aca="false">CI6*2000</f>
        <v>38000</v>
      </c>
      <c r="CJ19" s="12" t="n">
        <f aca="false">CJ6*2000</f>
        <v>38000</v>
      </c>
      <c r="CK19" s="13" t="str">
        <f aca="false">IF(COUNT(CK6)=1,CK6*2000,"")</f>
        <v/>
      </c>
      <c r="CL19" s="13" t="n">
        <f aca="false">CL6*2000</f>
        <v>38000</v>
      </c>
      <c r="CM19" s="13" t="n">
        <f aca="false">CM6*2000</f>
        <v>38000</v>
      </c>
      <c r="CN19" s="12" t="str">
        <f aca="false">IF(COUNT(CN6)=1,CN6*2000,"")</f>
        <v/>
      </c>
      <c r="CO19" s="12" t="n">
        <f aca="false">CO6*2000</f>
        <v>38000</v>
      </c>
      <c r="CP19" s="12" t="n">
        <f aca="false">CP6*2000</f>
        <v>38000</v>
      </c>
      <c r="CQ19" s="13" t="str">
        <f aca="false">IF(COUNT(CQ6)=1,CQ6*2000,"")</f>
        <v/>
      </c>
      <c r="CR19" s="13" t="n">
        <f aca="false">CR6*2000</f>
        <v>38000</v>
      </c>
      <c r="CS19" s="13" t="n">
        <f aca="false">CS6*2000</f>
        <v>38000</v>
      </c>
      <c r="CT19" s="12" t="str">
        <f aca="false">IF(COUNT(CT6)=1,CT6*2000,"")</f>
        <v/>
      </c>
      <c r="CU19" s="12" t="n">
        <f aca="false">CU6*2000</f>
        <v>38000</v>
      </c>
      <c r="CV19" s="12" t="n">
        <f aca="false">CV6*2000</f>
        <v>38000</v>
      </c>
      <c r="CW19" s="13" t="str">
        <f aca="false">IF(COUNT(CW6)=1,CW6*2000,"")</f>
        <v/>
      </c>
      <c r="CX19" s="13" t="n">
        <f aca="false">CX6*2000</f>
        <v>38000</v>
      </c>
      <c r="CY19" s="13" t="n">
        <f aca="false">CY6*2000</f>
        <v>38000</v>
      </c>
      <c r="CZ19" s="12" t="str">
        <f aca="false">IF(COUNT(CZ6)=1,CZ6*2000,"")</f>
        <v/>
      </c>
      <c r="DA19" s="12" t="n">
        <f aca="false">DA6*2000</f>
        <v>38000</v>
      </c>
      <c r="DB19" s="12" t="n">
        <f aca="false">DB6*2000</f>
        <v>38000</v>
      </c>
      <c r="DC19" s="13" t="str">
        <f aca="false">IF(COUNT(DC6)=1,DC6*2000,"")</f>
        <v/>
      </c>
      <c r="DD19" s="13" t="n">
        <f aca="false">DD6*2000</f>
        <v>38000</v>
      </c>
      <c r="DE19" s="13" t="n">
        <f aca="false">DE6*2000</f>
        <v>38000</v>
      </c>
      <c r="DF19" s="12" t="str">
        <f aca="false">IF(COUNT(DF6)=1,DF6*2000,"")</f>
        <v/>
      </c>
      <c r="DG19" s="12" t="n">
        <f aca="false">DG6*2000</f>
        <v>60000</v>
      </c>
      <c r="DH19" s="12" t="n">
        <f aca="false">DH6*2000</f>
        <v>76000</v>
      </c>
      <c r="DI19" s="13" t="n">
        <f aca="false">IF(COUNT(DI6)=1,DI6*2000,"")</f>
        <v>22000</v>
      </c>
      <c r="DJ19" s="13" t="n">
        <f aca="false">DJ6*2000</f>
        <v>22000</v>
      </c>
      <c r="DK19" s="13" t="n">
        <f aca="false">DK6*2000</f>
        <v>38000</v>
      </c>
      <c r="DL19" s="12" t="n">
        <f aca="false">IF(COUNT(DL6)=1,DL6*2000,"")</f>
        <v>38000</v>
      </c>
      <c r="DM19" s="12" t="n">
        <f aca="false">DM6*2000</f>
        <v>38000</v>
      </c>
      <c r="DN19" s="12" t="n">
        <f aca="false">DN6*2000</f>
        <v>0</v>
      </c>
    </row>
    <row r="20" customFormat="false" ht="15" hidden="false" customHeight="false" outlineLevel="0" collapsed="false">
      <c r="A20" s="5" t="s">
        <v>191</v>
      </c>
      <c r="B20" s="12" t="str">
        <f aca="false">IF(COUNT(AR20,AO20,AL20,AI20,AF20,AC20,Z20,W20,T20,Q20,N20,K20)=0,"",SUM(AR20,AO20,AL20,AI20,AF20,AC20,Z20,W20,T20,Q20,N20,K20))</f>
        <v/>
      </c>
      <c r="C20" s="12" t="n">
        <f aca="false">IF(COUNT(AS20,AP20,AM20,AJ20,AG20,AD20,AA20,X20,U20,R20,O20,L20)=0,"",SUM(AS20,AP20,AM20,AJ20,AG20,AD20,AA20,X20,U20,R20,O20,L20))</f>
        <v>60000</v>
      </c>
      <c r="D20" s="12" t="n">
        <f aca="false">IF(COUNT(AT20,AQ20,AN20,AK20,AH20,AE20,AB20,Y20,V20,S20,P20,M20)=0,"",SUM(AT20,AQ20,AN20,AK20,AH20,AE20,AB20,Y20,V20,S20,P20,M20))</f>
        <v>60000</v>
      </c>
      <c r="E20" s="13" t="str">
        <f aca="false">IF(COUNT(CB20,BY20,BV20,BS20,BP20,BM20,BJ20,BG20,BD20,BA20,AX20,AU20)=0,"",SUM(CB20,BY20,BV20,BS20,BP20,BM20,BJ20,BG20,BD20,BA20,AX20,AU20))</f>
        <v/>
      </c>
      <c r="F20" s="13" t="n">
        <f aca="false">IF(COUNT(CC20,BZ20,BW20,BT20,BQ20,BN20,BK20,BH20,BE20,BB20,AY20,AV20)=0,"",SUM(CC20,BZ20,BW20,BT20,BQ20,BN20,BK20,BH20,BE20,BB20,AY20,AV20))</f>
        <v>60000</v>
      </c>
      <c r="G20" s="13" t="n">
        <f aca="false">IF(COUNT(CD20,CA20,BX20,BU20,BR20,BO20,BL20,BI20,BF20,BC20,AZ20,AW20)=0,"",SUM(CD20,CA20,BX20,BU20,BR20,BO20,BL20,BI20,BF20,BC20,AZ20,AW20))</f>
        <v>60000</v>
      </c>
      <c r="H20" s="12" t="n">
        <f aca="false">IF(COUNT(DL20,DI20,DF20,DC20,CZ20,CW20,CT20,CQ20,CN20,CK20,CH20,CE20)=0,"",SUM(DL20,DI20,DF20,DC20,CZ20,CW20,CT20,CQ20,CN20,CK20,CH20,CE20))</f>
        <v>10000</v>
      </c>
      <c r="I20" s="12" t="n">
        <f aca="false">IF(COUNT(DM20,DJ20,DG20,DD20,DA20,CX20,CU20,CR20,CO20,CL20,CI20,CF20)=0,"",SUM(DM20,DJ20,DG20,DD20,DA20,CX20,CU20,CR20,CO20,CL20,CI20,CF20))</f>
        <v>60000</v>
      </c>
      <c r="J20" s="12" t="n">
        <f aca="false">IF(COUNT(DN20,DK20,DH20,DE20,DB20,CY20,CV20,CS20,CP20,CM20,CJ20,CG20)=0,"",SUM(DN20,DK20,DH20,DE20,DB20,CY20,CV20,CS20,CP20,CM20,CJ20,CG20))</f>
        <v>60000</v>
      </c>
      <c r="K20" s="13"/>
      <c r="L20" s="13" t="n">
        <f aca="false">IF('Cash Drivers'!L$26,Sales!K20,Sales!M20)</f>
        <v>5000</v>
      </c>
      <c r="M20" s="89" t="n">
        <v>5000</v>
      </c>
      <c r="N20" s="12"/>
      <c r="O20" s="12" t="n">
        <f aca="false">IF('Cash Drivers'!O$26,Sales!N20,Sales!P20)</f>
        <v>5000</v>
      </c>
      <c r="P20" s="90" t="n">
        <v>5000</v>
      </c>
      <c r="Q20" s="13"/>
      <c r="R20" s="13" t="n">
        <f aca="false">IF('Cash Drivers'!R$26,Sales!Q20,Sales!S20)</f>
        <v>5000</v>
      </c>
      <c r="S20" s="89" t="n">
        <v>5000</v>
      </c>
      <c r="T20" s="12"/>
      <c r="U20" s="12" t="n">
        <f aca="false">IF('Cash Drivers'!U$26,Sales!T20,Sales!V20)</f>
        <v>5000</v>
      </c>
      <c r="V20" s="90" t="n">
        <v>5000</v>
      </c>
      <c r="W20" s="13"/>
      <c r="X20" s="13" t="n">
        <f aca="false">IF('Cash Drivers'!X$26,Sales!W20,Sales!Y20)</f>
        <v>5000</v>
      </c>
      <c r="Y20" s="89" t="n">
        <v>5000</v>
      </c>
      <c r="Z20" s="12"/>
      <c r="AA20" s="12" t="n">
        <f aca="false">IF('Cash Drivers'!AA$26,Sales!Z20,Sales!AB20)</f>
        <v>5000</v>
      </c>
      <c r="AB20" s="90" t="n">
        <v>5000</v>
      </c>
      <c r="AC20" s="13"/>
      <c r="AD20" s="13" t="n">
        <f aca="false">IF('Cash Drivers'!AD$26,Sales!AC20,Sales!AE20)</f>
        <v>5000</v>
      </c>
      <c r="AE20" s="89" t="n">
        <v>5000</v>
      </c>
      <c r="AF20" s="12"/>
      <c r="AG20" s="12" t="n">
        <f aca="false">IF('Cash Drivers'!AG$26,Sales!AF20,Sales!AH20)</f>
        <v>5000</v>
      </c>
      <c r="AH20" s="90" t="n">
        <v>5000</v>
      </c>
      <c r="AI20" s="13"/>
      <c r="AJ20" s="13" t="n">
        <f aca="false">IF('Cash Drivers'!AJ$26,Sales!AI20,Sales!AK20)</f>
        <v>5000</v>
      </c>
      <c r="AK20" s="89" t="n">
        <v>5000</v>
      </c>
      <c r="AL20" s="12"/>
      <c r="AM20" s="12" t="n">
        <f aca="false">IF('Cash Drivers'!AM$26,Sales!AL20,Sales!AN20)</f>
        <v>5000</v>
      </c>
      <c r="AN20" s="90" t="n">
        <v>5000</v>
      </c>
      <c r="AO20" s="13"/>
      <c r="AP20" s="13" t="n">
        <f aca="false">IF('Cash Drivers'!AP$26,Sales!AO20,Sales!AQ20)</f>
        <v>5000</v>
      </c>
      <c r="AQ20" s="89" t="n">
        <v>5000</v>
      </c>
      <c r="AR20" s="12"/>
      <c r="AS20" s="12" t="n">
        <f aca="false">IF('Cash Drivers'!AS$26,Sales!AR20,Sales!AT20)</f>
        <v>5000</v>
      </c>
      <c r="AT20" s="90" t="n">
        <v>5000</v>
      </c>
      <c r="AU20" s="13"/>
      <c r="AV20" s="13" t="n">
        <f aca="false">IF('Cash Drivers'!AV$26,Sales!AU20,Sales!AW20)</f>
        <v>5000</v>
      </c>
      <c r="AW20" s="89" t="n">
        <v>5000</v>
      </c>
      <c r="AX20" s="12"/>
      <c r="AY20" s="12" t="n">
        <f aca="false">IF('Cash Drivers'!AY$26,Sales!AX20,Sales!AZ20)</f>
        <v>5000</v>
      </c>
      <c r="AZ20" s="90" t="n">
        <v>5000</v>
      </c>
      <c r="BA20" s="13"/>
      <c r="BB20" s="13" t="n">
        <f aca="false">IF('Cash Drivers'!BB$26,Sales!BA20,Sales!BC20)</f>
        <v>5000</v>
      </c>
      <c r="BC20" s="89" t="n">
        <v>5000</v>
      </c>
      <c r="BD20" s="12"/>
      <c r="BE20" s="12" t="n">
        <f aca="false">IF('Cash Drivers'!BE$26,Sales!BD20,Sales!BF20)</f>
        <v>5000</v>
      </c>
      <c r="BF20" s="90" t="n">
        <v>5000</v>
      </c>
      <c r="BG20" s="13"/>
      <c r="BH20" s="13" t="n">
        <f aca="false">IF('Cash Drivers'!BH$26,Sales!BG20,Sales!BI20)</f>
        <v>5000</v>
      </c>
      <c r="BI20" s="89" t="n">
        <v>5000</v>
      </c>
      <c r="BJ20" s="12"/>
      <c r="BK20" s="12" t="n">
        <f aca="false">IF('Cash Drivers'!BK$26,Sales!BJ20,Sales!BL20)</f>
        <v>5000</v>
      </c>
      <c r="BL20" s="90" t="n">
        <v>5000</v>
      </c>
      <c r="BM20" s="13"/>
      <c r="BN20" s="13" t="n">
        <f aca="false">IF('Cash Drivers'!BN$26,Sales!BM20,Sales!BO20)</f>
        <v>5000</v>
      </c>
      <c r="BO20" s="89" t="n">
        <v>5000</v>
      </c>
      <c r="BP20" s="12"/>
      <c r="BQ20" s="12" t="n">
        <f aca="false">IF('Cash Drivers'!BQ$26,Sales!BP20,Sales!BR20)</f>
        <v>5000</v>
      </c>
      <c r="BR20" s="90" t="n">
        <v>5000</v>
      </c>
      <c r="BS20" s="13"/>
      <c r="BT20" s="13" t="n">
        <f aca="false">IF('Cash Drivers'!BT$26,Sales!BS20,Sales!BU20)</f>
        <v>5000</v>
      </c>
      <c r="BU20" s="89" t="n">
        <v>5000</v>
      </c>
      <c r="BV20" s="12"/>
      <c r="BW20" s="12" t="n">
        <f aca="false">IF('Cash Drivers'!BW$26,Sales!BV20,Sales!BX20)</f>
        <v>5000</v>
      </c>
      <c r="BX20" s="90" t="n">
        <v>5000</v>
      </c>
      <c r="BY20" s="13"/>
      <c r="BZ20" s="13" t="n">
        <f aca="false">IF('Cash Drivers'!BZ$26,Sales!BY20,Sales!CA20)</f>
        <v>5000</v>
      </c>
      <c r="CA20" s="89" t="n">
        <v>5000</v>
      </c>
      <c r="CB20" s="12"/>
      <c r="CC20" s="12" t="n">
        <f aca="false">IF('Cash Drivers'!CC$26,Sales!CB20,Sales!CD20)</f>
        <v>5000</v>
      </c>
      <c r="CD20" s="90" t="n">
        <v>5000</v>
      </c>
      <c r="CE20" s="13"/>
      <c r="CF20" s="13" t="n">
        <f aca="false">IF('Cash Drivers'!CF$26,Sales!CE20,Sales!CG20)</f>
        <v>5000</v>
      </c>
      <c r="CG20" s="89" t="n">
        <v>5000</v>
      </c>
      <c r="CH20" s="12"/>
      <c r="CI20" s="12" t="n">
        <f aca="false">IF('Cash Drivers'!CI$26,Sales!CH20,Sales!CJ20)</f>
        <v>5000</v>
      </c>
      <c r="CJ20" s="90" t="n">
        <v>5000</v>
      </c>
      <c r="CK20" s="13"/>
      <c r="CL20" s="13" t="n">
        <f aca="false">IF('Cash Drivers'!CL$26,Sales!CK20,Sales!CM20)</f>
        <v>5000</v>
      </c>
      <c r="CM20" s="89" t="n">
        <v>5000</v>
      </c>
      <c r="CN20" s="12"/>
      <c r="CO20" s="12" t="n">
        <f aca="false">IF('Cash Drivers'!CO$26,Sales!CN20,Sales!CP20)</f>
        <v>5000</v>
      </c>
      <c r="CP20" s="90" t="n">
        <v>5000</v>
      </c>
      <c r="CQ20" s="13"/>
      <c r="CR20" s="13" t="n">
        <f aca="false">IF('Cash Drivers'!CR$26,Sales!CQ20,Sales!CS20)</f>
        <v>5000</v>
      </c>
      <c r="CS20" s="89" t="n">
        <v>5000</v>
      </c>
      <c r="CT20" s="12"/>
      <c r="CU20" s="12" t="n">
        <f aca="false">IF('Cash Drivers'!CU$26,Sales!CT20,Sales!CV20)</f>
        <v>5000</v>
      </c>
      <c r="CV20" s="90" t="n">
        <v>5000</v>
      </c>
      <c r="CW20" s="13"/>
      <c r="CX20" s="13" t="n">
        <f aca="false">IF('Cash Drivers'!CX$26,Sales!CW20,Sales!CY20)</f>
        <v>5000</v>
      </c>
      <c r="CY20" s="89" t="n">
        <v>5000</v>
      </c>
      <c r="CZ20" s="12"/>
      <c r="DA20" s="12" t="n">
        <f aca="false">IF('Cash Drivers'!DA$26,Sales!CZ20,Sales!DB20)</f>
        <v>5000</v>
      </c>
      <c r="DB20" s="90" t="n">
        <v>5000</v>
      </c>
      <c r="DC20" s="13"/>
      <c r="DD20" s="13" t="n">
        <f aca="false">IF('Cash Drivers'!DD$26,Sales!DC20,Sales!DE20)</f>
        <v>5000</v>
      </c>
      <c r="DE20" s="89" t="n">
        <v>5000</v>
      </c>
      <c r="DF20" s="12"/>
      <c r="DG20" s="12" t="n">
        <f aca="false">IF('Cash Drivers'!DG$26,Sales!DF20,Sales!DH20)</f>
        <v>5000</v>
      </c>
      <c r="DH20" s="90" t="n">
        <v>5000</v>
      </c>
      <c r="DI20" s="89" t="n">
        <v>5000</v>
      </c>
      <c r="DJ20" s="13" t="n">
        <f aca="false">IF('Cash Drivers'!DJ$26,Sales!DI20,Sales!DK20)</f>
        <v>5000</v>
      </c>
      <c r="DK20" s="89" t="n">
        <v>5000</v>
      </c>
      <c r="DL20" s="90" t="n">
        <v>5000</v>
      </c>
      <c r="DM20" s="12" t="n">
        <f aca="false">IF('Cash Drivers'!DM$26,Sales!DL20,Sales!DN20)</f>
        <v>5000</v>
      </c>
      <c r="DN20" s="90" t="n">
        <v>5000</v>
      </c>
    </row>
    <row r="21" customFormat="false" ht="15.75" hidden="false" customHeight="true" outlineLevel="0" collapsed="false">
      <c r="A21" s="5" t="s">
        <v>192</v>
      </c>
      <c r="B21" s="12" t="str">
        <f aca="false">IF(COUNT(AR21,AO21,AL21,AI21,AF21,AC21,Z21,W21,T21,Q21,N21,K21)=0,"",SUM(AR21,AO21,AL21,AI21,AF21,AC21,Z21,W21,T21,Q21,N21,K21))</f>
        <v/>
      </c>
      <c r="C21" s="12" t="n">
        <f aca="false">IF(COUNT(AS21,AP21,AM21,AJ21,AG21,AD21,AA21,X21,U21,R21,O21,L21)=0,"",SUM(AS21,AP21,AM21,AJ21,AG21,AD21,AA21,X21,U21,R21,O21,L21))</f>
        <v>36000</v>
      </c>
      <c r="D21" s="12" t="n">
        <f aca="false">IF(COUNT(AT21,AQ21,AN21,AK21,AH21,AE21,AB21,Y21,V21,S21,P21,M21)=0,"",SUM(AT21,AQ21,AN21,AK21,AH21,AE21,AB21,Y21,V21,S21,P21,M21))</f>
        <v>36000</v>
      </c>
      <c r="E21" s="13" t="str">
        <f aca="false">IF(COUNT(CB21,BY21,BV21,BS21,BP21,BM21,BJ21,BG21,BD21,BA21,AX21,AU21)=0,"",SUM(CB21,BY21,BV21,BS21,BP21,BM21,BJ21,BG21,BD21,BA21,AX21,AU21))</f>
        <v/>
      </c>
      <c r="F21" s="13" t="n">
        <f aca="false">IF(COUNT(CC21,BZ21,BW21,BT21,BQ21,BN21,BK21,BH21,BE21,BB21,AY21,AV21)=0,"",SUM(CC21,BZ21,BW21,BT21,BQ21,BN21,BK21,BH21,BE21,BB21,AY21,AV21))</f>
        <v>36000</v>
      </c>
      <c r="G21" s="13" t="n">
        <f aca="false">IF(COUNT(CD21,CA21,BX21,BU21,BR21,BO21,BL21,BI21,BF21,BC21,AZ21,AW21)=0,"",SUM(CD21,CA21,BX21,BU21,BR21,BO21,BL21,BI21,BF21,BC21,AZ21,AW21))</f>
        <v>36000</v>
      </c>
      <c r="H21" s="12" t="n">
        <f aca="false">IF(COUNT(DL21,DI21,DF21,DC21,CZ21,CW21,CT21,CQ21,CN21,CK21,CH21,CE21)=0,"",SUM(DL21,DI21,DF21,DC21,CZ21,CW21,CT21,CQ21,CN21,CK21,CH21,CE21))</f>
        <v>6000</v>
      </c>
      <c r="I21" s="12" t="n">
        <f aca="false">IF(COUNT(DM21,DJ21,DG21,DD21,DA21,CX21,CU21,CR21,CO21,CL21,CI21,CF21)=0,"",SUM(DM21,DJ21,DG21,DD21,DA21,CX21,CU21,CR21,CO21,CL21,CI21,CF21))</f>
        <v>36000</v>
      </c>
      <c r="J21" s="12" t="n">
        <f aca="false">IF(COUNT(DN21,DK21,DH21,DE21,DB21,CY21,CV21,CS21,CP21,CM21,CJ21,CG21)=0,"",SUM(DN21,DK21,DH21,DE21,DB21,CY21,CV21,CS21,CP21,CM21,CJ21,CG21))</f>
        <v>36000</v>
      </c>
      <c r="K21" s="13"/>
      <c r="L21" s="13" t="n">
        <f aca="false">IF('Cash Drivers'!L$26,Sales!K21,Sales!M21)</f>
        <v>3000</v>
      </c>
      <c r="M21" s="89" t="n">
        <v>3000</v>
      </c>
      <c r="N21" s="12"/>
      <c r="O21" s="12" t="n">
        <f aca="false">IF('Cash Drivers'!O$26,Sales!N21,Sales!P21)</f>
        <v>3000</v>
      </c>
      <c r="P21" s="90" t="n">
        <v>3000</v>
      </c>
      <c r="Q21" s="13"/>
      <c r="R21" s="13" t="n">
        <f aca="false">IF('Cash Drivers'!R$26,Sales!Q21,Sales!S21)</f>
        <v>3000</v>
      </c>
      <c r="S21" s="89" t="n">
        <v>3000</v>
      </c>
      <c r="T21" s="12"/>
      <c r="U21" s="12" t="n">
        <f aca="false">IF('Cash Drivers'!U$26,Sales!T21,Sales!V21)</f>
        <v>3000</v>
      </c>
      <c r="V21" s="90" t="n">
        <v>3000</v>
      </c>
      <c r="W21" s="13"/>
      <c r="X21" s="13" t="n">
        <f aca="false">IF('Cash Drivers'!X$26,Sales!W21,Sales!Y21)</f>
        <v>3000</v>
      </c>
      <c r="Y21" s="89" t="n">
        <v>3000</v>
      </c>
      <c r="Z21" s="12"/>
      <c r="AA21" s="12" t="n">
        <f aca="false">IF('Cash Drivers'!AA$26,Sales!Z21,Sales!AB21)</f>
        <v>3000</v>
      </c>
      <c r="AB21" s="90" t="n">
        <v>3000</v>
      </c>
      <c r="AC21" s="13"/>
      <c r="AD21" s="13" t="n">
        <f aca="false">IF('Cash Drivers'!AD$26,Sales!AC21,Sales!AE21)</f>
        <v>3000</v>
      </c>
      <c r="AE21" s="89" t="n">
        <v>3000</v>
      </c>
      <c r="AF21" s="12"/>
      <c r="AG21" s="12" t="n">
        <f aca="false">IF('Cash Drivers'!AG$26,Sales!AF21,Sales!AH21)</f>
        <v>3000</v>
      </c>
      <c r="AH21" s="90" t="n">
        <v>3000</v>
      </c>
      <c r="AI21" s="13"/>
      <c r="AJ21" s="13" t="n">
        <f aca="false">IF('Cash Drivers'!AJ$26,Sales!AI21,Sales!AK21)</f>
        <v>3000</v>
      </c>
      <c r="AK21" s="89" t="n">
        <v>3000</v>
      </c>
      <c r="AL21" s="12"/>
      <c r="AM21" s="12" t="n">
        <f aca="false">IF('Cash Drivers'!AM$26,Sales!AL21,Sales!AN21)</f>
        <v>3000</v>
      </c>
      <c r="AN21" s="90" t="n">
        <v>3000</v>
      </c>
      <c r="AO21" s="13"/>
      <c r="AP21" s="13" t="n">
        <f aca="false">IF('Cash Drivers'!AP$26,Sales!AO21,Sales!AQ21)</f>
        <v>3000</v>
      </c>
      <c r="AQ21" s="89" t="n">
        <v>3000</v>
      </c>
      <c r="AR21" s="12"/>
      <c r="AS21" s="12" t="n">
        <f aca="false">IF('Cash Drivers'!AS$26,Sales!AR21,Sales!AT21)</f>
        <v>3000</v>
      </c>
      <c r="AT21" s="90" t="n">
        <v>3000</v>
      </c>
      <c r="AU21" s="13"/>
      <c r="AV21" s="13" t="n">
        <f aca="false">IF('Cash Drivers'!AV$26,Sales!AU21,Sales!AW21)</f>
        <v>3000</v>
      </c>
      <c r="AW21" s="89" t="n">
        <v>3000</v>
      </c>
      <c r="AX21" s="12"/>
      <c r="AY21" s="12" t="n">
        <f aca="false">IF('Cash Drivers'!AY$26,Sales!AX21,Sales!AZ21)</f>
        <v>3000</v>
      </c>
      <c r="AZ21" s="90" t="n">
        <v>3000</v>
      </c>
      <c r="BA21" s="13"/>
      <c r="BB21" s="13" t="n">
        <f aca="false">IF('Cash Drivers'!BB$26,Sales!BA21,Sales!BC21)</f>
        <v>3000</v>
      </c>
      <c r="BC21" s="89" t="n">
        <v>3000</v>
      </c>
      <c r="BD21" s="12"/>
      <c r="BE21" s="12" t="n">
        <f aca="false">IF('Cash Drivers'!BE$26,Sales!BD21,Sales!BF21)</f>
        <v>3000</v>
      </c>
      <c r="BF21" s="90" t="n">
        <v>3000</v>
      </c>
      <c r="BG21" s="13"/>
      <c r="BH21" s="13" t="n">
        <f aca="false">IF('Cash Drivers'!BH$26,Sales!BG21,Sales!BI21)</f>
        <v>3000</v>
      </c>
      <c r="BI21" s="89" t="n">
        <v>3000</v>
      </c>
      <c r="BJ21" s="12"/>
      <c r="BK21" s="12" t="n">
        <f aca="false">IF('Cash Drivers'!BK$26,Sales!BJ21,Sales!BL21)</f>
        <v>3000</v>
      </c>
      <c r="BL21" s="90" t="n">
        <v>3000</v>
      </c>
      <c r="BM21" s="13"/>
      <c r="BN21" s="13" t="n">
        <f aca="false">IF('Cash Drivers'!BN$26,Sales!BM21,Sales!BO21)</f>
        <v>3000</v>
      </c>
      <c r="BO21" s="89" t="n">
        <v>3000</v>
      </c>
      <c r="BP21" s="12"/>
      <c r="BQ21" s="12" t="n">
        <f aca="false">IF('Cash Drivers'!BQ$26,Sales!BP21,Sales!BR21)</f>
        <v>3000</v>
      </c>
      <c r="BR21" s="90" t="n">
        <v>3000</v>
      </c>
      <c r="BS21" s="13"/>
      <c r="BT21" s="13" t="n">
        <f aca="false">IF('Cash Drivers'!BT$26,Sales!BS21,Sales!BU21)</f>
        <v>3000</v>
      </c>
      <c r="BU21" s="89" t="n">
        <v>3000</v>
      </c>
      <c r="BV21" s="12"/>
      <c r="BW21" s="12" t="n">
        <f aca="false">IF('Cash Drivers'!BW$26,Sales!BV21,Sales!BX21)</f>
        <v>3000</v>
      </c>
      <c r="BX21" s="90" t="n">
        <v>3000</v>
      </c>
      <c r="BY21" s="13"/>
      <c r="BZ21" s="13" t="n">
        <f aca="false">IF('Cash Drivers'!BZ$26,Sales!BY21,Sales!CA21)</f>
        <v>3000</v>
      </c>
      <c r="CA21" s="89" t="n">
        <v>3000</v>
      </c>
      <c r="CB21" s="12"/>
      <c r="CC21" s="12" t="n">
        <f aca="false">IF('Cash Drivers'!CC$26,Sales!CB21,Sales!CD21)</f>
        <v>3000</v>
      </c>
      <c r="CD21" s="90" t="n">
        <v>3000</v>
      </c>
      <c r="CE21" s="13"/>
      <c r="CF21" s="13" t="n">
        <f aca="false">IF('Cash Drivers'!CF$26,Sales!CE21,Sales!CG21)</f>
        <v>3000</v>
      </c>
      <c r="CG21" s="89" t="n">
        <v>3000</v>
      </c>
      <c r="CH21" s="12"/>
      <c r="CI21" s="12" t="n">
        <f aca="false">IF('Cash Drivers'!CI$26,Sales!CH21,Sales!CJ21)</f>
        <v>3000</v>
      </c>
      <c r="CJ21" s="90" t="n">
        <v>3000</v>
      </c>
      <c r="CK21" s="13"/>
      <c r="CL21" s="13" t="n">
        <f aca="false">IF('Cash Drivers'!CL$26,Sales!CK21,Sales!CM21)</f>
        <v>3000</v>
      </c>
      <c r="CM21" s="89" t="n">
        <v>3000</v>
      </c>
      <c r="CN21" s="12"/>
      <c r="CO21" s="12" t="n">
        <f aca="false">IF('Cash Drivers'!CO$26,Sales!CN21,Sales!CP21)</f>
        <v>3000</v>
      </c>
      <c r="CP21" s="90" t="n">
        <v>3000</v>
      </c>
      <c r="CQ21" s="13"/>
      <c r="CR21" s="13" t="n">
        <f aca="false">IF('Cash Drivers'!CR$26,Sales!CQ21,Sales!CS21)</f>
        <v>3000</v>
      </c>
      <c r="CS21" s="89" t="n">
        <v>3000</v>
      </c>
      <c r="CT21" s="12"/>
      <c r="CU21" s="12" t="n">
        <f aca="false">IF('Cash Drivers'!CU$26,Sales!CT21,Sales!CV21)</f>
        <v>3000</v>
      </c>
      <c r="CV21" s="90" t="n">
        <v>3000</v>
      </c>
      <c r="CW21" s="13"/>
      <c r="CX21" s="13" t="n">
        <f aca="false">IF('Cash Drivers'!CX$26,Sales!CW21,Sales!CY21)</f>
        <v>3000</v>
      </c>
      <c r="CY21" s="89" t="n">
        <v>3000</v>
      </c>
      <c r="CZ21" s="12"/>
      <c r="DA21" s="12" t="n">
        <f aca="false">IF('Cash Drivers'!DA$26,Sales!CZ21,Sales!DB21)</f>
        <v>3000</v>
      </c>
      <c r="DB21" s="90" t="n">
        <v>3000</v>
      </c>
      <c r="DC21" s="13"/>
      <c r="DD21" s="13" t="n">
        <f aca="false">IF('Cash Drivers'!DD$26,Sales!DC21,Sales!DE21)</f>
        <v>3000</v>
      </c>
      <c r="DE21" s="89" t="n">
        <v>3000</v>
      </c>
      <c r="DF21" s="12"/>
      <c r="DG21" s="12" t="n">
        <f aca="false">IF('Cash Drivers'!DG$26,Sales!DF21,Sales!DH21)</f>
        <v>3000</v>
      </c>
      <c r="DH21" s="90" t="n">
        <v>3000</v>
      </c>
      <c r="DI21" s="89" t="n">
        <v>3000</v>
      </c>
      <c r="DJ21" s="13" t="n">
        <f aca="false">IF('Cash Drivers'!DJ$26,Sales!DI21,Sales!DK21)</f>
        <v>3000</v>
      </c>
      <c r="DK21" s="89" t="n">
        <v>3000</v>
      </c>
      <c r="DL21" s="90" t="n">
        <v>3000</v>
      </c>
      <c r="DM21" s="12" t="n">
        <f aca="false">IF('Cash Drivers'!DM$26,Sales!DL21,Sales!DN21)</f>
        <v>3000</v>
      </c>
      <c r="DN21" s="90" t="n">
        <v>3000</v>
      </c>
    </row>
    <row r="22" customFormat="false" ht="15.75" hidden="false" customHeight="true" outlineLevel="0" collapsed="false">
      <c r="A22" s="5" t="s">
        <v>193</v>
      </c>
      <c r="B22" s="12" t="str">
        <f aca="false">IF(COUNT(AR22,AO22,AL22,AI22,AF22,AC22,Z22,W22,T22,Q22,N22,K22)=0,"",SUM(AR22,AO22,AL22,AI22,AF22,AC22,Z22,W22,T22,Q22,N22,K22))</f>
        <v/>
      </c>
      <c r="C22" s="12" t="n">
        <f aca="false">IF(COUNT(AS22,AP22,AM22,AJ22,AG22,AD22,AA22,X22,U22,R22,O22,L22)=0,"",SUM(AS22,AP22,AM22,AJ22,AG22,AD22,AA22,X22,U22,R22,O22,L22))</f>
        <v>36000</v>
      </c>
      <c r="D22" s="12" t="n">
        <f aca="false">IF(COUNT(AT22,AQ22,AN22,AK22,AH22,AE22,AB22,Y22,V22,S22,P22,M22)=0,"",SUM(AT22,AQ22,AN22,AK22,AH22,AE22,AB22,Y22,V22,S22,P22,M22))</f>
        <v>36000</v>
      </c>
      <c r="E22" s="13" t="str">
        <f aca="false">IF(COUNT(CB22,BY22,BV22,BS22,BP22,BM22,BJ22,BG22,BD22,BA22,AX22,AU22)=0,"",SUM(CB22,BY22,BV22,BS22,BP22,BM22,BJ22,BG22,BD22,BA22,AX22,AU22))</f>
        <v/>
      </c>
      <c r="F22" s="13" t="n">
        <f aca="false">IF(COUNT(CC22,BZ22,BW22,BT22,BQ22,BN22,BK22,BH22,BE22,BB22,AY22,AV22)=0,"",SUM(CC22,BZ22,BW22,BT22,BQ22,BN22,BK22,BH22,BE22,BB22,AY22,AV22))</f>
        <v>36000</v>
      </c>
      <c r="G22" s="13" t="n">
        <f aca="false">IF(COUNT(CD22,CA22,BX22,BU22,BR22,BO22,BL22,BI22,BF22,BC22,AZ22,AW22)=0,"",SUM(CD22,CA22,BX22,BU22,BR22,BO22,BL22,BI22,BF22,BC22,AZ22,AW22))</f>
        <v>36000</v>
      </c>
      <c r="H22" s="12" t="n">
        <f aca="false">IF(COUNT(DL22,DI22,DF22,DC22,CZ22,CW22,CT22,CQ22,CN22,CK22,CH22,CE22)=0,"",SUM(DL22,DI22,DF22,DC22,CZ22,CW22,CT22,CQ22,CN22,CK22,CH22,CE22))</f>
        <v>6000</v>
      </c>
      <c r="I22" s="12" t="n">
        <f aca="false">IF(COUNT(DM22,DJ22,DG22,DD22,DA22,CX22,CU22,CR22,CO22,CL22,CI22,CF22)=0,"",SUM(DM22,DJ22,DG22,DD22,DA22,CX22,CU22,CR22,CO22,CL22,CI22,CF22))</f>
        <v>36000</v>
      </c>
      <c r="J22" s="12" t="n">
        <f aca="false">IF(COUNT(DN22,DK22,DH22,DE22,DB22,CY22,CV22,CS22,CP22,CM22,CJ22,CG22)=0,"",SUM(DN22,DK22,DH22,DE22,DB22,CY22,CV22,CS22,CP22,CM22,CJ22,CG22))</f>
        <v>36000</v>
      </c>
      <c r="K22" s="13"/>
      <c r="L22" s="13" t="n">
        <f aca="false">IF('Cash Drivers'!L$26,Sales!K22,Sales!M22)</f>
        <v>3000</v>
      </c>
      <c r="M22" s="89" t="n">
        <v>3000</v>
      </c>
      <c r="N22" s="12"/>
      <c r="O22" s="12" t="n">
        <f aca="false">IF('Cash Drivers'!O$26,Sales!N22,Sales!P22)</f>
        <v>3000</v>
      </c>
      <c r="P22" s="90" t="n">
        <v>3000</v>
      </c>
      <c r="Q22" s="13"/>
      <c r="R22" s="13" t="n">
        <f aca="false">IF('Cash Drivers'!R$26,Sales!Q22,Sales!S22)</f>
        <v>3000</v>
      </c>
      <c r="S22" s="89" t="n">
        <v>3000</v>
      </c>
      <c r="T22" s="12"/>
      <c r="U22" s="12" t="n">
        <f aca="false">IF('Cash Drivers'!U$26,Sales!T22,Sales!V22)</f>
        <v>3000</v>
      </c>
      <c r="V22" s="90" t="n">
        <v>3000</v>
      </c>
      <c r="W22" s="13"/>
      <c r="X22" s="13" t="n">
        <f aca="false">IF('Cash Drivers'!X$26,Sales!W22,Sales!Y22)</f>
        <v>3000</v>
      </c>
      <c r="Y22" s="89" t="n">
        <v>3000</v>
      </c>
      <c r="Z22" s="12"/>
      <c r="AA22" s="12" t="n">
        <f aca="false">IF('Cash Drivers'!AA$26,Sales!Z22,Sales!AB22)</f>
        <v>3000</v>
      </c>
      <c r="AB22" s="90" t="n">
        <v>3000</v>
      </c>
      <c r="AC22" s="13"/>
      <c r="AD22" s="13" t="n">
        <f aca="false">IF('Cash Drivers'!AD$26,Sales!AC22,Sales!AE22)</f>
        <v>3000</v>
      </c>
      <c r="AE22" s="89" t="n">
        <v>3000</v>
      </c>
      <c r="AF22" s="12"/>
      <c r="AG22" s="12" t="n">
        <f aca="false">IF('Cash Drivers'!AG$26,Sales!AF22,Sales!AH22)</f>
        <v>3000</v>
      </c>
      <c r="AH22" s="90" t="n">
        <v>3000</v>
      </c>
      <c r="AI22" s="13"/>
      <c r="AJ22" s="13" t="n">
        <f aca="false">IF('Cash Drivers'!AJ$26,Sales!AI22,Sales!AK22)</f>
        <v>3000</v>
      </c>
      <c r="AK22" s="89" t="n">
        <v>3000</v>
      </c>
      <c r="AL22" s="12"/>
      <c r="AM22" s="12" t="n">
        <f aca="false">IF('Cash Drivers'!AM$26,Sales!AL22,Sales!AN22)</f>
        <v>3000</v>
      </c>
      <c r="AN22" s="90" t="n">
        <v>3000</v>
      </c>
      <c r="AO22" s="13"/>
      <c r="AP22" s="13" t="n">
        <f aca="false">IF('Cash Drivers'!AP$26,Sales!AO22,Sales!AQ22)</f>
        <v>3000</v>
      </c>
      <c r="AQ22" s="89" t="n">
        <v>3000</v>
      </c>
      <c r="AR22" s="12"/>
      <c r="AS22" s="12" t="n">
        <f aca="false">IF('Cash Drivers'!AS$26,Sales!AR22,Sales!AT22)</f>
        <v>3000</v>
      </c>
      <c r="AT22" s="90" t="n">
        <v>3000</v>
      </c>
      <c r="AU22" s="13"/>
      <c r="AV22" s="13" t="n">
        <f aca="false">IF('Cash Drivers'!AV$26,Sales!AU22,Sales!AW22)</f>
        <v>3000</v>
      </c>
      <c r="AW22" s="89" t="n">
        <v>3000</v>
      </c>
      <c r="AX22" s="12"/>
      <c r="AY22" s="12" t="n">
        <f aca="false">IF('Cash Drivers'!AY$26,Sales!AX22,Sales!AZ22)</f>
        <v>3000</v>
      </c>
      <c r="AZ22" s="90" t="n">
        <v>3000</v>
      </c>
      <c r="BA22" s="13"/>
      <c r="BB22" s="13" t="n">
        <f aca="false">IF('Cash Drivers'!BB$26,Sales!BA22,Sales!BC22)</f>
        <v>3000</v>
      </c>
      <c r="BC22" s="89" t="n">
        <v>3000</v>
      </c>
      <c r="BD22" s="12"/>
      <c r="BE22" s="12" t="n">
        <f aca="false">IF('Cash Drivers'!BE$26,Sales!BD22,Sales!BF22)</f>
        <v>3000</v>
      </c>
      <c r="BF22" s="90" t="n">
        <v>3000</v>
      </c>
      <c r="BG22" s="13"/>
      <c r="BH22" s="13" t="n">
        <f aca="false">IF('Cash Drivers'!BH$26,Sales!BG22,Sales!BI22)</f>
        <v>3000</v>
      </c>
      <c r="BI22" s="89" t="n">
        <v>3000</v>
      </c>
      <c r="BJ22" s="12"/>
      <c r="BK22" s="12" t="n">
        <f aca="false">IF('Cash Drivers'!BK$26,Sales!BJ22,Sales!BL22)</f>
        <v>3000</v>
      </c>
      <c r="BL22" s="90" t="n">
        <v>3000</v>
      </c>
      <c r="BM22" s="13"/>
      <c r="BN22" s="13" t="n">
        <f aca="false">IF('Cash Drivers'!BN$26,Sales!BM22,Sales!BO22)</f>
        <v>3000</v>
      </c>
      <c r="BO22" s="89" t="n">
        <v>3000</v>
      </c>
      <c r="BP22" s="12"/>
      <c r="BQ22" s="12" t="n">
        <f aca="false">IF('Cash Drivers'!BQ$26,Sales!BP22,Sales!BR22)</f>
        <v>3000</v>
      </c>
      <c r="BR22" s="90" t="n">
        <v>3000</v>
      </c>
      <c r="BS22" s="13"/>
      <c r="BT22" s="13" t="n">
        <f aca="false">IF('Cash Drivers'!BT$26,Sales!BS22,Sales!BU22)</f>
        <v>3000</v>
      </c>
      <c r="BU22" s="89" t="n">
        <v>3000</v>
      </c>
      <c r="BV22" s="12"/>
      <c r="BW22" s="12" t="n">
        <f aca="false">IF('Cash Drivers'!BW$26,Sales!BV22,Sales!BX22)</f>
        <v>3000</v>
      </c>
      <c r="BX22" s="90" t="n">
        <v>3000</v>
      </c>
      <c r="BY22" s="13"/>
      <c r="BZ22" s="13" t="n">
        <f aca="false">IF('Cash Drivers'!BZ$26,Sales!BY22,Sales!CA22)</f>
        <v>3000</v>
      </c>
      <c r="CA22" s="89" t="n">
        <v>3000</v>
      </c>
      <c r="CB22" s="12"/>
      <c r="CC22" s="12" t="n">
        <f aca="false">IF('Cash Drivers'!CC$26,Sales!CB22,Sales!CD22)</f>
        <v>3000</v>
      </c>
      <c r="CD22" s="90" t="n">
        <v>3000</v>
      </c>
      <c r="CE22" s="13"/>
      <c r="CF22" s="13" t="n">
        <f aca="false">IF('Cash Drivers'!CF$26,Sales!CE22,Sales!CG22)</f>
        <v>3000</v>
      </c>
      <c r="CG22" s="89" t="n">
        <v>3000</v>
      </c>
      <c r="CH22" s="12"/>
      <c r="CI22" s="12" t="n">
        <f aca="false">IF('Cash Drivers'!CI$26,Sales!CH22,Sales!CJ22)</f>
        <v>3000</v>
      </c>
      <c r="CJ22" s="90" t="n">
        <v>3000</v>
      </c>
      <c r="CK22" s="13"/>
      <c r="CL22" s="13" t="n">
        <f aca="false">IF('Cash Drivers'!CL$26,Sales!CK22,Sales!CM22)</f>
        <v>3000</v>
      </c>
      <c r="CM22" s="89" t="n">
        <v>3000</v>
      </c>
      <c r="CN22" s="12"/>
      <c r="CO22" s="12" t="n">
        <f aca="false">IF('Cash Drivers'!CO$26,Sales!CN22,Sales!CP22)</f>
        <v>3000</v>
      </c>
      <c r="CP22" s="90" t="n">
        <v>3000</v>
      </c>
      <c r="CQ22" s="13"/>
      <c r="CR22" s="13" t="n">
        <f aca="false">IF('Cash Drivers'!CR$26,Sales!CQ22,Sales!CS22)</f>
        <v>3000</v>
      </c>
      <c r="CS22" s="89" t="n">
        <v>3000</v>
      </c>
      <c r="CT22" s="12"/>
      <c r="CU22" s="12" t="n">
        <f aca="false">IF('Cash Drivers'!CU$26,Sales!CT22,Sales!CV22)</f>
        <v>3000</v>
      </c>
      <c r="CV22" s="90" t="n">
        <v>3000</v>
      </c>
      <c r="CW22" s="13"/>
      <c r="CX22" s="13" t="n">
        <f aca="false">IF('Cash Drivers'!CX$26,Sales!CW22,Sales!CY22)</f>
        <v>3000</v>
      </c>
      <c r="CY22" s="89" t="n">
        <v>3000</v>
      </c>
      <c r="CZ22" s="12"/>
      <c r="DA22" s="12" t="n">
        <f aca="false">IF('Cash Drivers'!DA$26,Sales!CZ22,Sales!DB22)</f>
        <v>3000</v>
      </c>
      <c r="DB22" s="90" t="n">
        <v>3000</v>
      </c>
      <c r="DC22" s="13"/>
      <c r="DD22" s="13" t="n">
        <f aca="false">IF('Cash Drivers'!DD$26,Sales!DC22,Sales!DE22)</f>
        <v>3000</v>
      </c>
      <c r="DE22" s="89" t="n">
        <v>3000</v>
      </c>
      <c r="DF22" s="12"/>
      <c r="DG22" s="12" t="n">
        <f aca="false">IF('Cash Drivers'!DG$26,Sales!DF22,Sales!DH22)</f>
        <v>3000</v>
      </c>
      <c r="DH22" s="90" t="n">
        <v>3000</v>
      </c>
      <c r="DI22" s="89" t="n">
        <v>3000</v>
      </c>
      <c r="DJ22" s="13" t="n">
        <f aca="false">IF('Cash Drivers'!DJ$26,Sales!DI22,Sales!DK22)</f>
        <v>3000</v>
      </c>
      <c r="DK22" s="89" t="n">
        <v>3000</v>
      </c>
      <c r="DL22" s="90" t="n">
        <v>3000</v>
      </c>
      <c r="DM22" s="12" t="n">
        <f aca="false">IF('Cash Drivers'!DM$26,Sales!DL22,Sales!DN22)</f>
        <v>3000</v>
      </c>
      <c r="DN22" s="90" t="n">
        <v>3000</v>
      </c>
    </row>
    <row r="23" customFormat="false" ht="15.75" hidden="false" customHeight="true" outlineLevel="0" collapsed="false">
      <c r="A23" s="14" t="s">
        <v>194</v>
      </c>
      <c r="B23" s="15" t="str">
        <f aca="false">IF(COUNT(AR23,AO23,AL23,AI23,AF23,AC23,Z23,W23,T23,Q23,N23,K23)=0,"",SUM(AR23,AO23,AL23,AI23,AF23,AC23,Z23,W23,T23,Q23,N23,K23))</f>
        <v/>
      </c>
      <c r="C23" s="15" t="n">
        <f aca="false">IF(COUNT(AS23,AP23,AM23,AJ23,AG23,AD23,AA23,X23,U23,R23,O23,L23)=0,"",SUM(AS23,AP23,AM23,AJ23,AG23,AD23,AA23,X23,U23,R23,O23,L23))</f>
        <v>1024000</v>
      </c>
      <c r="D23" s="15" t="n">
        <f aca="false">IF(COUNT(AT23,AQ23,AN23,AK23,AH23,AE23,AB23,Y23,V23,S23,P23,M23)=0,"",SUM(AT23,AQ23,AN23,AK23,AH23,AE23,AB23,Y23,V23,S23,P23,M23))</f>
        <v>1024000</v>
      </c>
      <c r="E23" s="16" t="str">
        <f aca="false">IF(COUNT(CB23,BY23,BV23,BS23,BP23,BM23,BJ23,BG23,BD23,BA23,AX23,AU23)=0,"",SUM(CB23,BY23,BV23,BS23,BP23,BM23,BJ23,BG23,BD23,BA23,AX23,AU23))</f>
        <v/>
      </c>
      <c r="F23" s="16" t="n">
        <f aca="false">IF(COUNT(CC23,BZ23,BW23,BT23,BQ23,BN23,BK23,BH23,BE23,BB23,AY23,AV23)=0,"",SUM(CC23,BZ23,BW23,BT23,BQ23,BN23,BK23,BH23,BE23,BB23,AY23,AV23))</f>
        <v>786000</v>
      </c>
      <c r="G23" s="16" t="n">
        <f aca="false">IF(COUNT(CD23,CA23,BX23,BU23,BR23,BO23,BL23,BI23,BF23,BC23,AZ23,AW23)=0,"",SUM(CD23,CA23,BX23,BU23,BR23,BO23,BL23,BI23,BF23,BC23,AZ23,AW23))</f>
        <v>786000</v>
      </c>
      <c r="H23" s="15" t="n">
        <f aca="false">IF(COUNT(DL23,DI23,DF23,DC23,CZ23,CW23,CT23,CQ23,CN23,CK23,CH23,CE23)=0,"",SUM(DL23,DI23,DF23,DC23,CZ23,CW23,CT23,CQ23,CN23,CK23,CH23,CE23))</f>
        <v>82000</v>
      </c>
      <c r="I23" s="15" t="n">
        <f aca="false">IF(COUNT(DM23,DJ23,DG23,DD23,DA23,CX23,CU23,CR23,CO23,CL23,CI23,CF23)=0,"",SUM(DM23,DJ23,DG23,DD23,DA23,CX23,CU23,CR23,CO23,CL23,CI23,CF23))</f>
        <v>594000</v>
      </c>
      <c r="J23" s="15" t="n">
        <f aca="false">IF(COUNT(DN23,DK23,DH23,DE23,DB23,CY23,CV23,CS23,CP23,CM23,CJ23,CG23)=0,"",SUM(DN23,DK23,DH23,DE23,DB23,CY23,CV23,CS23,CP23,CM23,CJ23,CG23))</f>
        <v>588000</v>
      </c>
      <c r="K23" s="16" t="str">
        <f aca="false">IF(COUNT(K19,K20,K21,K22)=0,"",SUM(K19:K22))</f>
        <v/>
      </c>
      <c r="L23" s="16" t="n">
        <f aca="false">SUM(L19:L22)</f>
        <v>87000</v>
      </c>
      <c r="M23" s="16" t="n">
        <f aca="false">SUM(M19:M22)</f>
        <v>87000</v>
      </c>
      <c r="N23" s="15" t="str">
        <f aca="false">IF(COUNT(N19,N20,N21,N22)=0,"",SUM(N19:N22))</f>
        <v/>
      </c>
      <c r="O23" s="15" t="n">
        <f aca="false">SUM(O19:O22)</f>
        <v>87000</v>
      </c>
      <c r="P23" s="15" t="n">
        <f aca="false">SUM(P19:P22)</f>
        <v>87000</v>
      </c>
      <c r="Q23" s="16" t="str">
        <f aca="false">IF(COUNT(Q19,Q20,Q21,Q22)=0,"",SUM(Q19:Q22))</f>
        <v/>
      </c>
      <c r="R23" s="16" t="n">
        <f aca="false">SUM(R19:R22)</f>
        <v>87000</v>
      </c>
      <c r="S23" s="16" t="n">
        <f aca="false">SUM(S19:S22)</f>
        <v>87000</v>
      </c>
      <c r="T23" s="15" t="str">
        <f aca="false">IF(COUNT(T19,T20,T21,T22)=0,"",SUM(T19:T22))</f>
        <v/>
      </c>
      <c r="U23" s="15" t="n">
        <f aca="false">SUM(U19:U22)</f>
        <v>87000</v>
      </c>
      <c r="V23" s="15" t="n">
        <f aca="false">SUM(V19:V22)</f>
        <v>87000</v>
      </c>
      <c r="W23" s="16" t="str">
        <f aca="false">IF(COUNT(W19,W20,W21,W22)=0,"",SUM(W19:W22))</f>
        <v/>
      </c>
      <c r="X23" s="16" t="n">
        <f aca="false">SUM(X19:X22)</f>
        <v>87000</v>
      </c>
      <c r="Y23" s="16" t="n">
        <f aca="false">SUM(Y19:Y22)</f>
        <v>87000</v>
      </c>
      <c r="Z23" s="15" t="str">
        <f aca="false">IF(COUNT(Z19,Z20,Z21,Z22)=0,"",SUM(Z19:Z22))</f>
        <v/>
      </c>
      <c r="AA23" s="15" t="n">
        <f aca="false">SUM(AA19:AA22)</f>
        <v>87000</v>
      </c>
      <c r="AB23" s="15" t="n">
        <f aca="false">SUM(AB19:AB22)</f>
        <v>87000</v>
      </c>
      <c r="AC23" s="16" t="str">
        <f aca="false">IF(COUNT(AC19,AC20,AC21,AC22)=0,"",SUM(AC19:AC22))</f>
        <v/>
      </c>
      <c r="AD23" s="16" t="n">
        <f aca="false">SUM(AD19:AD22)</f>
        <v>87000</v>
      </c>
      <c r="AE23" s="16" t="n">
        <f aca="false">SUM(AE19:AE22)</f>
        <v>87000</v>
      </c>
      <c r="AF23" s="15" t="str">
        <f aca="false">IF(COUNT(AF19,AF20,AF21,AF22)=0,"",SUM(AF19:AF22))</f>
        <v/>
      </c>
      <c r="AG23" s="15" t="n">
        <f aca="false">SUM(AG19:AG22)</f>
        <v>87000</v>
      </c>
      <c r="AH23" s="15" t="n">
        <f aca="false">SUM(AH19:AH22)</f>
        <v>87000</v>
      </c>
      <c r="AI23" s="16" t="str">
        <f aca="false">IF(COUNT(AI19,AI20,AI21,AI22)=0,"",SUM(AI19:AI22))</f>
        <v/>
      </c>
      <c r="AJ23" s="16" t="n">
        <f aca="false">SUM(AJ19:AJ22)</f>
        <v>87000</v>
      </c>
      <c r="AK23" s="16" t="n">
        <f aca="false">SUM(AK19:AK22)</f>
        <v>87000</v>
      </c>
      <c r="AL23" s="15" t="str">
        <f aca="false">IF(COUNT(AL19,AL20,AL21,AL22)=0,"",SUM(AL19:AL22))</f>
        <v/>
      </c>
      <c r="AM23" s="15" t="n">
        <f aca="false">SUM(AM19:AM22)</f>
        <v>87000</v>
      </c>
      <c r="AN23" s="15" t="n">
        <f aca="false">SUM(AN19:AN22)</f>
        <v>87000</v>
      </c>
      <c r="AO23" s="16" t="str">
        <f aca="false">IF(COUNT(AO19,AO20,AO21,AO22)=0,"",SUM(AO19:AO22))</f>
        <v/>
      </c>
      <c r="AP23" s="16" t="n">
        <f aca="false">SUM(AP19:AP22)</f>
        <v>87000</v>
      </c>
      <c r="AQ23" s="16" t="n">
        <f aca="false">SUM(AQ19:AQ22)</f>
        <v>87000</v>
      </c>
      <c r="AR23" s="15" t="str">
        <f aca="false">IF(COUNT(AR19,AR20,AR21,AR22)=0,"",SUM(AR19:AR22))</f>
        <v/>
      </c>
      <c r="AS23" s="15" t="n">
        <f aca="false">SUM(AS19:AS22)</f>
        <v>67000</v>
      </c>
      <c r="AT23" s="15" t="n">
        <f aca="false">SUM(AT19:AT22)</f>
        <v>67000</v>
      </c>
      <c r="AU23" s="16" t="str">
        <f aca="false">IF(COUNT(AU19,AU20,AU21,AU22)=0,"",SUM(AU19:AU22))</f>
        <v/>
      </c>
      <c r="AV23" s="16" t="n">
        <f aca="false">SUM(AV19:AV22)</f>
        <v>67000</v>
      </c>
      <c r="AW23" s="16" t="n">
        <f aca="false">SUM(AW19:AW22)</f>
        <v>67000</v>
      </c>
      <c r="AX23" s="15" t="str">
        <f aca="false">IF(COUNT(AX19,AX20,AX21,AX22)=0,"",SUM(AX19:AX22))</f>
        <v/>
      </c>
      <c r="AY23" s="15" t="n">
        <f aca="false">SUM(AY19:AY22)</f>
        <v>67000</v>
      </c>
      <c r="AZ23" s="15" t="n">
        <f aca="false">SUM(AZ19:AZ22)</f>
        <v>67000</v>
      </c>
      <c r="BA23" s="16" t="str">
        <f aca="false">IF(COUNT(BA19,BA20,BA21,BA22)=0,"",SUM(BA19:BA22))</f>
        <v/>
      </c>
      <c r="BB23" s="16" t="n">
        <f aca="false">SUM(BB19:BB22)</f>
        <v>67000</v>
      </c>
      <c r="BC23" s="16" t="n">
        <f aca="false">SUM(BC19:BC22)</f>
        <v>67000</v>
      </c>
      <c r="BD23" s="15" t="str">
        <f aca="false">IF(COUNT(BD19,BD20,BD21,BD22)=0,"",SUM(BD19:BD22))</f>
        <v/>
      </c>
      <c r="BE23" s="15" t="n">
        <f aca="false">SUM(BE19:BE22)</f>
        <v>67000</v>
      </c>
      <c r="BF23" s="15" t="n">
        <f aca="false">SUM(BF19:BF22)</f>
        <v>67000</v>
      </c>
      <c r="BG23" s="16" t="str">
        <f aca="false">IF(COUNT(BG19,BG20,BG21,BG22)=0,"",SUM(BG19:BG22))</f>
        <v/>
      </c>
      <c r="BH23" s="16" t="n">
        <f aca="false">SUM(BH19:BH22)</f>
        <v>67000</v>
      </c>
      <c r="BI23" s="16" t="n">
        <f aca="false">SUM(BI19:BI22)</f>
        <v>67000</v>
      </c>
      <c r="BJ23" s="15" t="str">
        <f aca="false">IF(COUNT(BJ19,BJ20,BJ21,BJ22)=0,"",SUM(BJ19:BJ22))</f>
        <v/>
      </c>
      <c r="BK23" s="15" t="n">
        <f aca="false">SUM(BK19:BK22)</f>
        <v>67000</v>
      </c>
      <c r="BL23" s="15" t="n">
        <f aca="false">SUM(BL19:BL22)</f>
        <v>67000</v>
      </c>
      <c r="BM23" s="16" t="str">
        <f aca="false">IF(COUNT(BM19,BM20,BM21,BM22)=0,"",SUM(BM19:BM22))</f>
        <v/>
      </c>
      <c r="BN23" s="16" t="n">
        <f aca="false">SUM(BN19:BN22)</f>
        <v>67000</v>
      </c>
      <c r="BO23" s="16" t="n">
        <f aca="false">SUM(BO19:BO22)</f>
        <v>67000</v>
      </c>
      <c r="BP23" s="15" t="str">
        <f aca="false">IF(COUNT(BP19,BP20,BP21,BP22)=0,"",SUM(BP19:BP22))</f>
        <v/>
      </c>
      <c r="BQ23" s="15" t="n">
        <f aca="false">SUM(BQ19:BQ22)</f>
        <v>67000</v>
      </c>
      <c r="BR23" s="15" t="n">
        <f aca="false">SUM(BR19:BR22)</f>
        <v>67000</v>
      </c>
      <c r="BS23" s="16" t="str">
        <f aca="false">IF(COUNT(BS19,BS20,BS21,BS22)=0,"",SUM(BS19:BS22))</f>
        <v/>
      </c>
      <c r="BT23" s="16" t="n">
        <f aca="false">SUM(BT19:BT22)</f>
        <v>67000</v>
      </c>
      <c r="BU23" s="16" t="n">
        <f aca="false">SUM(BU19:BU22)</f>
        <v>67000</v>
      </c>
      <c r="BV23" s="15" t="str">
        <f aca="false">IF(COUNT(BV19,BV20,BV21,BV22)=0,"",SUM(BV19:BV22))</f>
        <v/>
      </c>
      <c r="BW23" s="15" t="n">
        <f aca="false">SUM(BW19:BW22)</f>
        <v>67000</v>
      </c>
      <c r="BX23" s="15" t="n">
        <f aca="false">SUM(BX19:BX22)</f>
        <v>67000</v>
      </c>
      <c r="BY23" s="16" t="str">
        <f aca="false">IF(COUNT(BY19,BY20,BY21,BY22)=0,"",SUM(BY19:BY22))</f>
        <v/>
      </c>
      <c r="BZ23" s="16" t="n">
        <f aca="false">SUM(BZ19:BZ22)</f>
        <v>67000</v>
      </c>
      <c r="CA23" s="16" t="n">
        <f aca="false">SUM(CA19:CA22)</f>
        <v>67000</v>
      </c>
      <c r="CB23" s="15" t="str">
        <f aca="false">IF(COUNT(CB19,CB20,CB21,CB22)=0,"",SUM(CB19:CB22))</f>
        <v/>
      </c>
      <c r="CC23" s="15" t="n">
        <f aca="false">SUM(CC19:CC22)</f>
        <v>49000</v>
      </c>
      <c r="CD23" s="15" t="n">
        <f aca="false">SUM(CD19:CD22)</f>
        <v>49000</v>
      </c>
      <c r="CE23" s="16" t="str">
        <f aca="false">IF(COUNT(CE19,CE20,CE21,CE22)=0,"",SUM(CE19:CE22))</f>
        <v/>
      </c>
      <c r="CF23" s="16" t="n">
        <f aca="false">SUM(CF19:CF22)</f>
        <v>49000</v>
      </c>
      <c r="CG23" s="16" t="n">
        <f aca="false">SUM(CG19:CG22)</f>
        <v>49000</v>
      </c>
      <c r="CH23" s="15" t="str">
        <f aca="false">IF(COUNT(CH19,CH20,CH21,CH22)=0,"",SUM(CH19:CH22))</f>
        <v/>
      </c>
      <c r="CI23" s="15" t="n">
        <f aca="false">SUM(CI19:CI22)</f>
        <v>49000</v>
      </c>
      <c r="CJ23" s="15" t="n">
        <f aca="false">SUM(CJ19:CJ22)</f>
        <v>49000</v>
      </c>
      <c r="CK23" s="16" t="str">
        <f aca="false">IF(COUNT(CK19,CK20,CK21,CK22)=0,"",SUM(CK19:CK22))</f>
        <v/>
      </c>
      <c r="CL23" s="16" t="n">
        <f aca="false">SUM(CL19:CL22)</f>
        <v>49000</v>
      </c>
      <c r="CM23" s="16" t="n">
        <f aca="false">SUM(CM19:CM22)</f>
        <v>49000</v>
      </c>
      <c r="CN23" s="15" t="str">
        <f aca="false">IF(COUNT(CN19,CN20,CN21,CN22)=0,"",SUM(CN19:CN22))</f>
        <v/>
      </c>
      <c r="CO23" s="15" t="n">
        <f aca="false">SUM(CO19:CO22)</f>
        <v>49000</v>
      </c>
      <c r="CP23" s="15" t="n">
        <f aca="false">SUM(CP19:CP22)</f>
        <v>49000</v>
      </c>
      <c r="CQ23" s="16" t="str">
        <f aca="false">IF(COUNT(CQ19,CQ20,CQ21,CQ22)=0,"",SUM(CQ19:CQ22))</f>
        <v/>
      </c>
      <c r="CR23" s="16" t="n">
        <f aca="false">SUM(CR19:CR22)</f>
        <v>49000</v>
      </c>
      <c r="CS23" s="16" t="n">
        <f aca="false">SUM(CS19:CS22)</f>
        <v>49000</v>
      </c>
      <c r="CT23" s="15" t="str">
        <f aca="false">IF(COUNT(CT19,CT20,CT21,CT22)=0,"",SUM(CT19:CT22))</f>
        <v/>
      </c>
      <c r="CU23" s="15" t="n">
        <f aca="false">SUM(CU19:CU22)</f>
        <v>49000</v>
      </c>
      <c r="CV23" s="15" t="n">
        <f aca="false">SUM(CV19:CV22)</f>
        <v>49000</v>
      </c>
      <c r="CW23" s="16" t="str">
        <f aca="false">IF(COUNT(CW19,CW20,CW21,CW22)=0,"",SUM(CW19:CW22))</f>
        <v/>
      </c>
      <c r="CX23" s="16" t="n">
        <f aca="false">SUM(CX19:CX22)</f>
        <v>49000</v>
      </c>
      <c r="CY23" s="16" t="n">
        <f aca="false">SUM(CY19:CY22)</f>
        <v>49000</v>
      </c>
      <c r="CZ23" s="15" t="str">
        <f aca="false">IF(COUNT(CZ19,CZ20,CZ21,CZ22)=0,"",SUM(CZ19:CZ22))</f>
        <v/>
      </c>
      <c r="DA23" s="15" t="n">
        <f aca="false">SUM(DA19:DA22)</f>
        <v>49000</v>
      </c>
      <c r="DB23" s="15" t="n">
        <f aca="false">SUM(DB19:DB22)</f>
        <v>49000</v>
      </c>
      <c r="DC23" s="16" t="str">
        <f aca="false">IF(COUNT(DC19,DC20,DC21,DC22)=0,"",SUM(DC19:DC22))</f>
        <v/>
      </c>
      <c r="DD23" s="16" t="n">
        <f aca="false">SUM(DD19:DD22)</f>
        <v>49000</v>
      </c>
      <c r="DE23" s="16" t="n">
        <f aca="false">SUM(DE19:DE22)</f>
        <v>49000</v>
      </c>
      <c r="DF23" s="15" t="str">
        <f aca="false">IF(COUNT(DF19,DF20,DF21,DF22)=0,"",SUM(DF19:DF22))</f>
        <v/>
      </c>
      <c r="DG23" s="15" t="n">
        <f aca="false">SUM(DG19:DG22)</f>
        <v>71000</v>
      </c>
      <c r="DH23" s="15" t="n">
        <f aca="false">SUM(DH19:DH22)</f>
        <v>87000</v>
      </c>
      <c r="DI23" s="16" t="n">
        <f aca="false">IF(COUNT(DI19,DI20,DI21,DI22)=0,"",SUM(DI19:DI22))</f>
        <v>33000</v>
      </c>
      <c r="DJ23" s="16" t="n">
        <f aca="false">SUM(DJ19:DJ22)</f>
        <v>33000</v>
      </c>
      <c r="DK23" s="16" t="n">
        <f aca="false">SUM(DK19:DK22)</f>
        <v>49000</v>
      </c>
      <c r="DL23" s="15" t="n">
        <f aca="false">IF(COUNT(DL19,DL20,DL21,DL22)=0,"",SUM(DL19:DL22))</f>
        <v>49000</v>
      </c>
      <c r="DM23" s="15" t="n">
        <f aca="false">SUM(DM19:DM22)</f>
        <v>49000</v>
      </c>
      <c r="DN23" s="15" t="n">
        <f aca="false">SUM(DN19:DN22)</f>
        <v>11000</v>
      </c>
    </row>
    <row r="24" customFormat="false" ht="15.75" hidden="false" customHeight="true" outlineLevel="0" collapsed="false">
      <c r="A24" s="14" t="s">
        <v>195</v>
      </c>
      <c r="B24" s="15" t="str">
        <f aca="false">IF(COUNT(AR24,AO24,AL24,AI24,AF24,AC24,Z24,W24,T24,Q24,N24,K24)=0,"",SUM(AR24,AO24,AL24,AI24,AF24,AC24,Z24,W24,T24,Q24,N24,K24))</f>
        <v/>
      </c>
      <c r="C24" s="15" t="n">
        <f aca="false">IF(COUNT(AS24,AP24,AM24,AJ24,AG24,AD24,AA24,X24,U24,R24,O24,L24)=0,"",SUM(AS24,AP24,AM24,AJ24,AG24,AD24,AA24,X24,U24,R24,O24,L24))</f>
        <v>4805840</v>
      </c>
      <c r="D24" s="15" t="n">
        <f aca="false">IF(COUNT(AT24,AQ24,AN24,AK24,AH24,AE24,AB24,Y24,V24,S24,P24,M24)=0,"",SUM(AT24,AQ24,AN24,AK24,AH24,AE24,AB24,Y24,V24,S24,P24,M24))</f>
        <v>4805840</v>
      </c>
      <c r="E24" s="16" t="str">
        <f aca="false">IF(COUNT(CB24,BY24,BV24,BS24,BP24,BM24,BJ24,BG24,BD24,BA24,AX24,AU24)=0,"",SUM(CB24,BY24,BV24,BS24,BP24,BM24,BJ24,BG24,BD24,BA24,AX24,AU24))</f>
        <v/>
      </c>
      <c r="F24" s="16" t="n">
        <f aca="false">IF(COUNT(CC24,BZ24,BW24,BT24,BQ24,BN24,BK24,BH24,BE24,BB24,AY24,AV24)=0,"",SUM(CC24,BZ24,BW24,BT24,BQ24,BN24,BK24,BH24,BE24,BB24,AY24,AV24))</f>
        <v>3597940</v>
      </c>
      <c r="G24" s="16" t="n">
        <f aca="false">IF(COUNT(CD24,CA24,BX24,BU24,BR24,BO24,BL24,BI24,BF24,BC24,AZ24,AW24)=0,"",SUM(CD24,CA24,BX24,BU24,BR24,BO24,BL24,BI24,BF24,BC24,AZ24,AW24))</f>
        <v>3597940</v>
      </c>
      <c r="H24" s="15" t="n">
        <f aca="false">IF(COUNT(DL24,DI24,DF24,DC24,CZ24,CW24,CT24,CQ24,CN24,CK24,CH24,CE24)=0,"",SUM(DL24,DI24,DF24,DC24,CZ24,CW24,CT24,CQ24,CN24,CK24,CH24,CE24))</f>
        <v>393480</v>
      </c>
      <c r="I24" s="15" t="n">
        <f aca="false">IF(COUNT(DM24,DJ24,DG24,DD24,DA24,CX24,CU24,CR24,CO24,CL24,CI24,CF24)=0,"",SUM(DM24,DJ24,DG24,DD24,DA24,CX24,CU24,CR24,CO24,CL24,CI24,CF24))</f>
        <v>2550720</v>
      </c>
      <c r="J24" s="15" t="n">
        <f aca="false">IF(COUNT(DN24,DK24,DH24,DE24,DB24,CY24,CV24,CS24,CP24,CM24,CJ24,CG24)=0,"",SUM(DN24,DK24,DH24,DE24,DB24,CY24,CV24,CS24,CP24,CM24,CJ24,CG24))</f>
        <v>2544720</v>
      </c>
      <c r="K24" s="16" t="str">
        <f aca="false">IF(COUNT(K18,K23)=0,"",K18+K23)</f>
        <v/>
      </c>
      <c r="L24" s="16" t="n">
        <f aca="false">L18+L23</f>
        <v>414760</v>
      </c>
      <c r="M24" s="16" t="n">
        <f aca="false">M18+M23</f>
        <v>414760</v>
      </c>
      <c r="N24" s="15" t="str">
        <f aca="false">IF(COUNT(N18,N23)=0,"",N18+N23)</f>
        <v/>
      </c>
      <c r="O24" s="15" t="n">
        <f aca="false">O18+O23</f>
        <v>414760</v>
      </c>
      <c r="P24" s="15" t="n">
        <f aca="false">P18+P23</f>
        <v>414760</v>
      </c>
      <c r="Q24" s="16" t="str">
        <f aca="false">IF(COUNT(Q18,Q23)=0,"",Q18+Q23)</f>
        <v/>
      </c>
      <c r="R24" s="16" t="n">
        <f aca="false">R18+R23</f>
        <v>414760</v>
      </c>
      <c r="S24" s="16" t="n">
        <f aca="false">S18+S23</f>
        <v>414760</v>
      </c>
      <c r="T24" s="15" t="str">
        <f aca="false">IF(COUNT(T18,T23)=0,"",T18+T23)</f>
        <v/>
      </c>
      <c r="U24" s="15" t="n">
        <f aca="false">U18+U23</f>
        <v>414760</v>
      </c>
      <c r="V24" s="15" t="n">
        <f aca="false">V18+V23</f>
        <v>414760</v>
      </c>
      <c r="W24" s="16" t="str">
        <f aca="false">IF(COUNT(W18,W23)=0,"",W18+W23)</f>
        <v/>
      </c>
      <c r="X24" s="16" t="n">
        <f aca="false">X18+X23</f>
        <v>414760</v>
      </c>
      <c r="Y24" s="16" t="n">
        <f aca="false">Y18+Y23</f>
        <v>414760</v>
      </c>
      <c r="Z24" s="15" t="str">
        <f aca="false">IF(COUNT(Z18,Z23)=0,"",Z18+Z23)</f>
        <v/>
      </c>
      <c r="AA24" s="15" t="n">
        <f aca="false">AA18+AA23</f>
        <v>414760</v>
      </c>
      <c r="AB24" s="15" t="n">
        <f aca="false">AB18+AB23</f>
        <v>414760</v>
      </c>
      <c r="AC24" s="16" t="str">
        <f aca="false">IF(COUNT(AC18,AC23)=0,"",AC18+AC23)</f>
        <v/>
      </c>
      <c r="AD24" s="16" t="n">
        <f aca="false">AD18+AD23</f>
        <v>400120</v>
      </c>
      <c r="AE24" s="16" t="n">
        <f aca="false">AE18+AE23</f>
        <v>400120</v>
      </c>
      <c r="AF24" s="15" t="str">
        <f aca="false">IF(COUNT(AF18,AF23)=0,"",AF18+AF23)</f>
        <v/>
      </c>
      <c r="AG24" s="15" t="n">
        <f aca="false">AG18+AG23</f>
        <v>400120</v>
      </c>
      <c r="AH24" s="15" t="n">
        <f aca="false">AH18+AH23</f>
        <v>400120</v>
      </c>
      <c r="AI24" s="16" t="str">
        <f aca="false">IF(COUNT(AI18,AI23)=0,"",AI18+AI23)</f>
        <v/>
      </c>
      <c r="AJ24" s="16" t="n">
        <f aca="false">AJ18+AJ23</f>
        <v>400120</v>
      </c>
      <c r="AK24" s="16" t="n">
        <f aca="false">AK18+AK23</f>
        <v>400120</v>
      </c>
      <c r="AL24" s="15" t="str">
        <f aca="false">IF(COUNT(AL18,AL23)=0,"",AL18+AL23)</f>
        <v/>
      </c>
      <c r="AM24" s="15" t="n">
        <f aca="false">AM18+AM23</f>
        <v>385480</v>
      </c>
      <c r="AN24" s="15" t="n">
        <f aca="false">AN18+AN23</f>
        <v>385480</v>
      </c>
      <c r="AO24" s="16" t="str">
        <f aca="false">IF(COUNT(AO18,AO23)=0,"",AO18+AO23)</f>
        <v/>
      </c>
      <c r="AP24" s="16" t="n">
        <f aca="false">AP18+AP23</f>
        <v>375720</v>
      </c>
      <c r="AQ24" s="16" t="n">
        <f aca="false">AQ18+AQ23</f>
        <v>375720</v>
      </c>
      <c r="AR24" s="15" t="str">
        <f aca="false">IF(COUNT(AR18,AR23)=0,"",AR18+AR23)</f>
        <v/>
      </c>
      <c r="AS24" s="15" t="n">
        <f aca="false">AS18+AS23</f>
        <v>355720</v>
      </c>
      <c r="AT24" s="15" t="n">
        <f aca="false">AT18+AT23</f>
        <v>355720</v>
      </c>
      <c r="AU24" s="16" t="str">
        <f aca="false">IF(COUNT(AU18,AU23)=0,"",AU18+AU23)</f>
        <v/>
      </c>
      <c r="AV24" s="16" t="n">
        <f aca="false">AV18+AV23</f>
        <v>341080</v>
      </c>
      <c r="AW24" s="16" t="n">
        <f aca="false">AW18+AW23</f>
        <v>341080</v>
      </c>
      <c r="AX24" s="15" t="str">
        <f aca="false">IF(COUNT(AX18,AX23)=0,"",AX18+AX23)</f>
        <v/>
      </c>
      <c r="AY24" s="15" t="n">
        <f aca="false">AY18+AY23</f>
        <v>341080</v>
      </c>
      <c r="AZ24" s="15" t="n">
        <f aca="false">AZ18+AZ23</f>
        <v>341080</v>
      </c>
      <c r="BA24" s="16" t="str">
        <f aca="false">IF(COUNT(BA18,BA23)=0,"",BA18+BA23)</f>
        <v/>
      </c>
      <c r="BB24" s="16" t="n">
        <f aca="false">BB18+BB23</f>
        <v>331320</v>
      </c>
      <c r="BC24" s="16" t="n">
        <f aca="false">BC18+BC23</f>
        <v>331320</v>
      </c>
      <c r="BD24" s="15" t="str">
        <f aca="false">IF(COUNT(BD18,BD23)=0,"",BD18+BD23)</f>
        <v/>
      </c>
      <c r="BE24" s="15" t="n">
        <f aca="false">BE18+BE23</f>
        <v>316680</v>
      </c>
      <c r="BF24" s="15" t="n">
        <f aca="false">BF18+BF23</f>
        <v>316680</v>
      </c>
      <c r="BG24" s="16" t="str">
        <f aca="false">IF(COUNT(BG18,BG23)=0,"",BG18+BG23)</f>
        <v/>
      </c>
      <c r="BH24" s="16" t="n">
        <f aca="false">BH18+BH23</f>
        <v>316680</v>
      </c>
      <c r="BI24" s="16" t="n">
        <f aca="false">BI18+BI23</f>
        <v>316680</v>
      </c>
      <c r="BJ24" s="15" t="str">
        <f aca="false">IF(COUNT(BJ18,BJ23)=0,"",BJ18+BJ23)</f>
        <v/>
      </c>
      <c r="BK24" s="15" t="n">
        <f aca="false">BK18+BK23</f>
        <v>300820</v>
      </c>
      <c r="BL24" s="15" t="n">
        <f aca="false">BL18+BL23</f>
        <v>300820</v>
      </c>
      <c r="BM24" s="16" t="str">
        <f aca="false">IF(COUNT(BM18,BM23)=0,"",BM18+BM23)</f>
        <v/>
      </c>
      <c r="BN24" s="16" t="n">
        <f aca="false">BN18+BN23</f>
        <v>291060</v>
      </c>
      <c r="BO24" s="16" t="n">
        <f aca="false">BO18+BO23</f>
        <v>291060</v>
      </c>
      <c r="BP24" s="15" t="str">
        <f aca="false">IF(COUNT(BP18,BP23)=0,"",BP18+BP23)</f>
        <v/>
      </c>
      <c r="BQ24" s="15" t="n">
        <f aca="false">BQ18+BQ23</f>
        <v>291060</v>
      </c>
      <c r="BR24" s="15" t="n">
        <f aca="false">BR18+BR23</f>
        <v>291060</v>
      </c>
      <c r="BS24" s="16" t="str">
        <f aca="false">IF(COUNT(BS18,BS23)=0,"",BS18+BS23)</f>
        <v/>
      </c>
      <c r="BT24" s="16" t="n">
        <f aca="false">BT18+BT23</f>
        <v>291060</v>
      </c>
      <c r="BU24" s="16" t="n">
        <f aca="false">BU18+BU23</f>
        <v>291060</v>
      </c>
      <c r="BV24" s="15" t="str">
        <f aca="false">IF(COUNT(BV18,BV23)=0,"",BV18+BV23)</f>
        <v/>
      </c>
      <c r="BW24" s="15" t="n">
        <f aca="false">BW18+BW23</f>
        <v>276420</v>
      </c>
      <c r="BX24" s="15" t="n">
        <f aca="false">BX18+BX23</f>
        <v>276420</v>
      </c>
      <c r="BY24" s="16" t="str">
        <f aca="false">IF(COUNT(BY18,BY23)=0,"",BY18+BY23)</f>
        <v/>
      </c>
      <c r="BZ24" s="16" t="n">
        <f aca="false">BZ18+BZ23</f>
        <v>266660</v>
      </c>
      <c r="CA24" s="16" t="n">
        <f aca="false">CA18+CA23</f>
        <v>266660</v>
      </c>
      <c r="CB24" s="15" t="str">
        <f aca="false">IF(COUNT(CB18,CB23)=0,"",CB18+CB23)</f>
        <v/>
      </c>
      <c r="CC24" s="15" t="n">
        <f aca="false">CC18+CC23</f>
        <v>234020</v>
      </c>
      <c r="CD24" s="15" t="n">
        <f aca="false">CD18+CD23</f>
        <v>234020</v>
      </c>
      <c r="CE24" s="16" t="str">
        <f aca="false">IF(COUNT(CE18,CE23)=0,"",CE18+CE23)</f>
        <v/>
      </c>
      <c r="CF24" s="16" t="n">
        <f aca="false">CF18+CF23</f>
        <v>219380</v>
      </c>
      <c r="CG24" s="16" t="n">
        <f aca="false">CG18+CG23</f>
        <v>219380</v>
      </c>
      <c r="CH24" s="15" t="str">
        <f aca="false">IF(COUNT(CH18,CH23)=0,"",CH18+CH23)</f>
        <v/>
      </c>
      <c r="CI24" s="15" t="n">
        <f aca="false">CI18+CI23</f>
        <v>219380</v>
      </c>
      <c r="CJ24" s="15" t="n">
        <f aca="false">CJ18+CJ23</f>
        <v>219380</v>
      </c>
      <c r="CK24" s="16" t="str">
        <f aca="false">IF(COUNT(CK18,CK23)=0,"",CK18+CK23)</f>
        <v/>
      </c>
      <c r="CL24" s="16" t="n">
        <f aca="false">CL18+CL23</f>
        <v>219380</v>
      </c>
      <c r="CM24" s="16" t="n">
        <f aca="false">CM18+CM23</f>
        <v>219380</v>
      </c>
      <c r="CN24" s="15" t="str">
        <f aca="false">IF(COUNT(CN18,CN23)=0,"",CN18+CN23)</f>
        <v/>
      </c>
      <c r="CO24" s="15" t="n">
        <f aca="false">CO18+CO23</f>
        <v>219380</v>
      </c>
      <c r="CP24" s="15" t="n">
        <f aca="false">CP18+CP23</f>
        <v>219380</v>
      </c>
      <c r="CQ24" s="16" t="str">
        <f aca="false">IF(COUNT(CQ18,CQ23)=0,"",CQ18+CQ23)</f>
        <v/>
      </c>
      <c r="CR24" s="16" t="n">
        <f aca="false">CR18+CR23</f>
        <v>219380</v>
      </c>
      <c r="CS24" s="16" t="n">
        <f aca="false">CS18+CS23</f>
        <v>219380</v>
      </c>
      <c r="CT24" s="15" t="str">
        <f aca="false">IF(COUNT(CT18,CT23)=0,"",CT18+CT23)</f>
        <v/>
      </c>
      <c r="CU24" s="15" t="n">
        <f aca="false">CU18+CU23</f>
        <v>219380</v>
      </c>
      <c r="CV24" s="15" t="n">
        <f aca="false">CV18+CV23</f>
        <v>219380</v>
      </c>
      <c r="CW24" s="16" t="str">
        <f aca="false">IF(COUNT(CW18,CW23)=0,"",CW18+CW23)</f>
        <v/>
      </c>
      <c r="CX24" s="16" t="n">
        <f aca="false">CX18+CX23</f>
        <v>204740</v>
      </c>
      <c r="CY24" s="16" t="n">
        <f aca="false">CY18+CY23</f>
        <v>204740</v>
      </c>
      <c r="CZ24" s="15" t="str">
        <f aca="false">IF(COUNT(CZ18,CZ23)=0,"",CZ18+CZ23)</f>
        <v/>
      </c>
      <c r="DA24" s="15" t="n">
        <f aca="false">DA18+DA23</f>
        <v>204740</v>
      </c>
      <c r="DB24" s="15" t="n">
        <f aca="false">DB18+DB23</f>
        <v>204740</v>
      </c>
      <c r="DC24" s="16" t="str">
        <f aca="false">IF(COUNT(DC18,DC23)=0,"",DC18+DC23)</f>
        <v/>
      </c>
      <c r="DD24" s="16" t="n">
        <f aca="false">DD18+DD23</f>
        <v>204740</v>
      </c>
      <c r="DE24" s="16" t="n">
        <f aca="false">DE18+DE23</f>
        <v>204740</v>
      </c>
      <c r="DF24" s="15" t="str">
        <f aca="false">IF(COUNT(DF18,DF23)=0,"",DF18+DF23)</f>
        <v/>
      </c>
      <c r="DG24" s="15" t="n">
        <f aca="false">DG18+DG23</f>
        <v>226740</v>
      </c>
      <c r="DH24" s="15" t="n">
        <f aca="false">DH18+DH23</f>
        <v>242740</v>
      </c>
      <c r="DI24" s="16" t="n">
        <f aca="false">IF(COUNT(DI18,DI23)=0,"",DI18+DI23)</f>
        <v>188740</v>
      </c>
      <c r="DJ24" s="16" t="n">
        <f aca="false">DJ18+DJ23</f>
        <v>188740</v>
      </c>
      <c r="DK24" s="16" t="n">
        <f aca="false">DK18+DK23</f>
        <v>204740</v>
      </c>
      <c r="DL24" s="15" t="n">
        <f aca="false">IF(COUNT(DL18,DL23)=0,"",DL18+DL23)</f>
        <v>204740</v>
      </c>
      <c r="DM24" s="15" t="n">
        <f aca="false">DM18+DM23</f>
        <v>204740</v>
      </c>
      <c r="DN24" s="15" t="n">
        <f aca="false">DN18+DN23</f>
        <v>166740</v>
      </c>
    </row>
    <row r="25" customFormat="false" ht="15.75" hidden="false" customHeight="true" outlineLevel="0" collapsed="false">
      <c r="A25" s="5" t="s">
        <v>196</v>
      </c>
      <c r="B25" s="24" t="str">
        <f aca="false">IF(SUM(AR6,AO6,AL6,AI6,AF6,AC6,Z6,W6,T6,Q6,N6,K6)=0,"",SUM(AR24,AO24,AL24,AI24,AF24,AC24,Z24,W24,T24,Q24,N24,K24)/SUM(AR6,AO6,AL6,AI6,AF6,AC6,Z6,W6,T6,Q6,N6,K6))</f>
        <v/>
      </c>
      <c r="C25" s="24" t="n">
        <f aca="false">IF(SUM(AS6,AP6,AM6,AJ6,AG6,AD6,AA6,X6,U6,R6,O6,L6)=0,"",SUM(AS24,AP24,AM24,AJ24,AG24,AD24,AA24,X24,U24,R24,O24,L24)/SUM(AS6,AP6,AM6,AJ6,AG6,AD6,AA6,X6,U6,R6,O6,L6))</f>
        <v>10775.4260089686</v>
      </c>
      <c r="D25" s="24" t="n">
        <f aca="false">IF(SUM(AT6,AQ6,AN6,AK6,AH6,AE6,AB6,Y6,V6,S6,P6,M6)=0,"",SUM(AT24,AQ24,AN24,AK24,AH24,AE24,AB24,Y24,V24,S24,P24,M24)/SUM(AT6,AQ6,AN6,AK6,AH6,AE6,AB6,Y6,V6,S6,P6,M6))</f>
        <v>10775.4260089686</v>
      </c>
      <c r="E25" s="25" t="str">
        <f aca="false">IF(SUM(CB6,BY6,BV6,BS6,BP6,BM6,BJ6,BG6,BD6,BA6,AX6,AU6)=0,"",SUM(CB24,BY24,BV24,BS24,BP24,BM24,BJ24,BG24,BD24,BA24,AX24,AU24)/SUM(CB6,BY6,BV6,BS6,BP6,BM6,BJ6,BG6,BD6,BA6,AX6,AU6))</f>
        <v/>
      </c>
      <c r="F25" s="25" t="n">
        <f aca="false">IF(SUM(CC6,BZ6,BW6,BT6,BQ6,BN6,BK6,BH6,BE6,BB6,AY6,AV6)=0,"",SUM(CC24,BZ24,BW24,BT24,BQ24,BN24,BK24,BH24,BE24,BB24,AY24,AV24)/SUM(CC6,BZ6,BW6,BT6,BQ6,BN6,BK6,BH6,BE6,BB6,AY6,AV6))</f>
        <v>11002.874617737</v>
      </c>
      <c r="G25" s="25" t="n">
        <f aca="false">IF(SUM(CD6,CA6,BX6,BU6,BR6,BO6,BL6,BI6,BF6,BC6,AZ6,AW6)=0,"",SUM(CD24,CA24,BX24,BU24,BR24,BO24,BL24,BI24,BF24,BC24,AZ24,AW24)/SUM(CD6,CA6,BX6,BU6,BR6,BO6,BL6,BI6,BF6,BC6,AZ6,AW6))</f>
        <v>11002.874617737</v>
      </c>
      <c r="H25" s="24" t="n">
        <f aca="false">IF(SUM(DL6,DI6,DF6,DC6,CZ6,CW6,CT6,CQ6,CN6,CK6,CH6,CE6)=0,"",SUM(DL24,DI24,DF24,DC24,CZ24,CW24,CT24,CQ24,CN24,CK24,CH24,CE24)/SUM(DL6,DI6,DF6,DC6,CZ6,CW6,CT6,CQ6,CN6,CK6,CH6,CE6))</f>
        <v>13116</v>
      </c>
      <c r="I25" s="24" t="n">
        <f aca="false">IF(SUM(DM6,DJ6,DG6,DD6,DA6,CX6,CU6,CR6,CO6,CL6,CI6,CF6)=0,"",SUM(DM24,DJ24,DG24,DD24,DA24,CX24,CU24,CR24,CO24,CL24,CI24,CF24)/SUM(DM6,DJ6,DG6,DD6,DA6,CX6,CU6,CR6,CO6,CL6,CI6,CF6))</f>
        <v>11042.0779220779</v>
      </c>
      <c r="J25" s="24" t="n">
        <f aca="false">IF(SUM(DN6,DK6,DH6,DE6,DB6,CY6,CV6,CS6,CP6,CM6,CJ6,CG6)=0,"",SUM(DN24,DK24,DH24,DE24,DB24,CY24,CV24,CS24,CP24,CM24,CJ24,CG24)/SUM(DN6,DK6,DH6,DE6,DB6,CY6,CV6,CS6,CP6,CM6,CJ6,CG6))</f>
        <v>11161.0526315789</v>
      </c>
      <c r="K25" s="25" t="str">
        <f aca="false">IF(COUNT(K24,K6)=2,IF(N(K6)=0,"",K24/K6),"")</f>
        <v/>
      </c>
      <c r="L25" s="25" t="n">
        <f aca="false">IF(N(L6)=0,"",L24/L6)</f>
        <v>10914.7368421053</v>
      </c>
      <c r="M25" s="25" t="n">
        <f aca="false">IF(N(M6)=0,"",M24/M6)</f>
        <v>10914.7368421053</v>
      </c>
      <c r="N25" s="24" t="str">
        <f aca="false">IF(COUNT(N24,N6)=2,IF(N(N6)=0,"",N24/N6),"")</f>
        <v/>
      </c>
      <c r="O25" s="24" t="n">
        <f aca="false">IF(N(O6)=0,"",O24/O6)</f>
        <v>10914.7368421053</v>
      </c>
      <c r="P25" s="24" t="n">
        <f aca="false">IF(N(P6)=0,"",P24/P6)</f>
        <v>10914.7368421053</v>
      </c>
      <c r="Q25" s="25" t="str">
        <f aca="false">IF(COUNT(Q24,Q6)=2,IF(N(Q6)=0,"",Q24/Q6),"")</f>
        <v/>
      </c>
      <c r="R25" s="25" t="n">
        <f aca="false">IF(N(R6)=0,"",R24/R6)</f>
        <v>10914.7368421053</v>
      </c>
      <c r="S25" s="25" t="n">
        <f aca="false">IF(N(S6)=0,"",S24/S6)</f>
        <v>10914.7368421053</v>
      </c>
      <c r="T25" s="24" t="str">
        <f aca="false">IF(COUNT(T24,T6)=2,IF(N(T6)=0,"",T24/T6),"")</f>
        <v/>
      </c>
      <c r="U25" s="24" t="n">
        <f aca="false">IF(N(U6)=0,"",U24/U6)</f>
        <v>10914.7368421053</v>
      </c>
      <c r="V25" s="24" t="n">
        <f aca="false">IF(N(V6)=0,"",V24/V6)</f>
        <v>10914.7368421053</v>
      </c>
      <c r="W25" s="25" t="str">
        <f aca="false">IF(COUNT(W24,W6)=2,IF(N(W6)=0,"",W24/W6),"")</f>
        <v/>
      </c>
      <c r="X25" s="25" t="n">
        <f aca="false">IF(N(X6)=0,"",X24/X6)</f>
        <v>10914.7368421053</v>
      </c>
      <c r="Y25" s="25" t="n">
        <f aca="false">IF(N(Y6)=0,"",Y24/Y6)</f>
        <v>10914.7368421053</v>
      </c>
      <c r="Z25" s="24" t="str">
        <f aca="false">IF(COUNT(Z24,Z6)=2,IF(N(Z6)=0,"",Z24/Z6),"")</f>
        <v/>
      </c>
      <c r="AA25" s="24" t="n">
        <f aca="false">IF(N(AA6)=0,"",AA24/AA6)</f>
        <v>10914.7368421053</v>
      </c>
      <c r="AB25" s="24" t="n">
        <f aca="false">IF(N(AB6)=0,"",AB24/AB6)</f>
        <v>10914.7368421053</v>
      </c>
      <c r="AC25" s="25" t="str">
        <f aca="false">IF(COUNT(AC24,AC6)=2,IF(N(AC6)=0,"",AC24/AC6),"")</f>
        <v/>
      </c>
      <c r="AD25" s="25" t="n">
        <f aca="false">IF(N(AD6)=0,"",AD24/AD6)</f>
        <v>10529.4736842105</v>
      </c>
      <c r="AE25" s="25" t="n">
        <f aca="false">IF(N(AE6)=0,"",AE24/AE6)</f>
        <v>10529.4736842105</v>
      </c>
      <c r="AF25" s="24" t="str">
        <f aca="false">IF(COUNT(AF24,AF6)=2,IF(N(AF6)=0,"",AF24/AF6),"")</f>
        <v/>
      </c>
      <c r="AG25" s="24" t="n">
        <f aca="false">IF(N(AG6)=0,"",AG24/AG6)</f>
        <v>10529.4736842105</v>
      </c>
      <c r="AH25" s="24" t="n">
        <f aca="false">IF(N(AH6)=0,"",AH24/AH6)</f>
        <v>10529.4736842105</v>
      </c>
      <c r="AI25" s="25" t="str">
        <f aca="false">IF(COUNT(AI24,AI6)=2,IF(N(AI6)=0,"",AI24/AI6),"")</f>
        <v/>
      </c>
      <c r="AJ25" s="25" t="n">
        <f aca="false">IF(N(AJ6)=0,"",AJ24/AJ6)</f>
        <v>10529.4736842105</v>
      </c>
      <c r="AK25" s="25" t="n">
        <f aca="false">IF(N(AK6)=0,"",AK24/AK6)</f>
        <v>10529.4736842105</v>
      </c>
      <c r="AL25" s="24" t="str">
        <f aca="false">IF(COUNT(AL24,AL6)=2,IF(N(AL6)=0,"",AL24/AL6),"")</f>
        <v/>
      </c>
      <c r="AM25" s="24" t="n">
        <f aca="false">IF(N(AM6)=0,"",AM24/AM6)</f>
        <v>10144.2105263158</v>
      </c>
      <c r="AN25" s="24" t="n">
        <f aca="false">IF(N(AN6)=0,"",AN24/AN6)</f>
        <v>10144.2105263158</v>
      </c>
      <c r="AO25" s="25" t="str">
        <f aca="false">IF(COUNT(AO24,AO6)=2,IF(N(AO6)=0,"",AO24/AO6),"")</f>
        <v/>
      </c>
      <c r="AP25" s="25" t="n">
        <f aca="false">IF(N(AP6)=0,"",AP24/AP6)</f>
        <v>9887.36842105263</v>
      </c>
      <c r="AQ25" s="25" t="n">
        <f aca="false">IF(N(AQ6)=0,"",AQ24/AQ6)</f>
        <v>9887.36842105263</v>
      </c>
      <c r="AR25" s="24" t="str">
        <f aca="false">IF(COUNT(AR24,AR6)=2,IF(N(AR6)=0,"",AR24/AR6),"")</f>
        <v/>
      </c>
      <c r="AS25" s="24" t="n">
        <f aca="false">IF(N(AS6)=0,"",AS24/AS6)</f>
        <v>12704.2857142857</v>
      </c>
      <c r="AT25" s="24" t="n">
        <f aca="false">IF(N(AT6)=0,"",AT24/AT6)</f>
        <v>12704.2857142857</v>
      </c>
      <c r="AU25" s="25" t="str">
        <f aca="false">IF(COUNT(AU24,AU6)=2,IF(N(AU6)=0,"",AU24/AU6),"")</f>
        <v/>
      </c>
      <c r="AV25" s="25" t="n">
        <f aca="false">IF(N(AV6)=0,"",AV24/AV6)</f>
        <v>12181.4285714286</v>
      </c>
      <c r="AW25" s="25" t="n">
        <f aca="false">IF(N(AW6)=0,"",AW24/AW6)</f>
        <v>12181.4285714286</v>
      </c>
      <c r="AX25" s="24" t="str">
        <f aca="false">IF(COUNT(AX24,AX6)=2,IF(N(AX6)=0,"",AX24/AX6),"")</f>
        <v/>
      </c>
      <c r="AY25" s="24" t="n">
        <f aca="false">IF(N(AY6)=0,"",AY24/AY6)</f>
        <v>12181.4285714286</v>
      </c>
      <c r="AZ25" s="24" t="n">
        <f aca="false">IF(N(AZ6)=0,"",AZ24/AZ6)</f>
        <v>12181.4285714286</v>
      </c>
      <c r="BA25" s="25" t="str">
        <f aca="false">IF(COUNT(BA24,BA6)=2,IF(N(BA6)=0,"",BA24/BA6),"")</f>
        <v/>
      </c>
      <c r="BB25" s="25" t="n">
        <f aca="false">IF(N(BB6)=0,"",BB24/BB6)</f>
        <v>11832.8571428571</v>
      </c>
      <c r="BC25" s="25" t="n">
        <f aca="false">IF(N(BC6)=0,"",BC24/BC6)</f>
        <v>11832.8571428571</v>
      </c>
      <c r="BD25" s="24" t="str">
        <f aca="false">IF(COUNT(BD24,BD6)=2,IF(N(BD6)=0,"",BD24/BD6),"")</f>
        <v/>
      </c>
      <c r="BE25" s="24" t="n">
        <f aca="false">IF(N(BE6)=0,"",BE24/BE6)</f>
        <v>11310</v>
      </c>
      <c r="BF25" s="24" t="n">
        <f aca="false">IF(N(BF6)=0,"",BF24/BF6)</f>
        <v>11310</v>
      </c>
      <c r="BG25" s="25" t="str">
        <f aca="false">IF(COUNT(BG24,BG6)=2,IF(N(BG6)=0,"",BG24/BG6),"")</f>
        <v/>
      </c>
      <c r="BH25" s="25" t="n">
        <f aca="false">IF(N(BH6)=0,"",BH24/BH6)</f>
        <v>11310</v>
      </c>
      <c r="BI25" s="25" t="n">
        <f aca="false">IF(N(BI6)=0,"",BI24/BI6)</f>
        <v>11310</v>
      </c>
      <c r="BJ25" s="24" t="str">
        <f aca="false">IF(COUNT(BJ24,BJ6)=2,IF(N(BJ6)=0,"",BJ24/BJ6),"")</f>
        <v/>
      </c>
      <c r="BK25" s="24" t="n">
        <f aca="false">IF(N(BK6)=0,"",BK24/BK6)</f>
        <v>10743.5714285714</v>
      </c>
      <c r="BL25" s="24" t="n">
        <f aca="false">IF(N(BL6)=0,"",BL24/BL6)</f>
        <v>10743.5714285714</v>
      </c>
      <c r="BM25" s="25" t="str">
        <f aca="false">IF(COUNT(BM24,BM6)=2,IF(N(BM6)=0,"",BM24/BM6),"")</f>
        <v/>
      </c>
      <c r="BN25" s="25" t="n">
        <f aca="false">IF(N(BN6)=0,"",BN24/BN6)</f>
        <v>10395</v>
      </c>
      <c r="BO25" s="25" t="n">
        <f aca="false">IF(N(BO6)=0,"",BO24/BO6)</f>
        <v>10395</v>
      </c>
      <c r="BP25" s="24" t="str">
        <f aca="false">IF(COUNT(BP24,BP6)=2,IF(N(BP6)=0,"",BP24/BP6),"")</f>
        <v/>
      </c>
      <c r="BQ25" s="24" t="n">
        <f aca="false">IF(N(BQ6)=0,"",BQ24/BQ6)</f>
        <v>10395</v>
      </c>
      <c r="BR25" s="24" t="n">
        <f aca="false">IF(N(BR6)=0,"",BR24/BR6)</f>
        <v>10395</v>
      </c>
      <c r="BS25" s="25" t="str">
        <f aca="false">IF(COUNT(BS24,BS6)=2,IF(N(BS6)=0,"",BS24/BS6),"")</f>
        <v/>
      </c>
      <c r="BT25" s="25" t="n">
        <f aca="false">IF(N(BT6)=0,"",BT24/BT6)</f>
        <v>10395</v>
      </c>
      <c r="BU25" s="25" t="n">
        <f aca="false">IF(N(BU6)=0,"",BU24/BU6)</f>
        <v>10395</v>
      </c>
      <c r="BV25" s="24" t="str">
        <f aca="false">IF(COUNT(BV24,BV6)=2,IF(N(BV6)=0,"",BV24/BV6),"")</f>
        <v/>
      </c>
      <c r="BW25" s="24" t="n">
        <f aca="false">IF(N(BW6)=0,"",BW24/BW6)</f>
        <v>9872.14285714286</v>
      </c>
      <c r="BX25" s="24" t="n">
        <f aca="false">IF(N(BX6)=0,"",BX24/BX6)</f>
        <v>9872.14285714286</v>
      </c>
      <c r="BY25" s="25" t="str">
        <f aca="false">IF(COUNT(BY24,BY6)=2,IF(N(BY6)=0,"",BY24/BY6),"")</f>
        <v/>
      </c>
      <c r="BZ25" s="25" t="n">
        <f aca="false">IF(N(BZ6)=0,"",BZ24/BZ6)</f>
        <v>9523.57142857143</v>
      </c>
      <c r="CA25" s="25" t="n">
        <f aca="false">IF(N(CA6)=0,"",CA24/CA6)</f>
        <v>9523.57142857143</v>
      </c>
      <c r="CB25" s="24" t="str">
        <f aca="false">IF(COUNT(CB24,CB6)=2,IF(N(CB6)=0,"",CB24/CB6),"")</f>
        <v/>
      </c>
      <c r="CC25" s="24" t="n">
        <f aca="false">IF(N(CC6)=0,"",CC24/CC6)</f>
        <v>12316.8421052632</v>
      </c>
      <c r="CD25" s="24" t="n">
        <f aca="false">IF(N(CD6)=0,"",CD24/CD6)</f>
        <v>12316.8421052632</v>
      </c>
      <c r="CE25" s="25" t="str">
        <f aca="false">IF(COUNT(CE24,CE6)=2,IF(N(CE6)=0,"",CE24/CE6),"")</f>
        <v/>
      </c>
      <c r="CF25" s="25" t="n">
        <f aca="false">IF(N(CF6)=0,"",CF24/CF6)</f>
        <v>11546.3157894737</v>
      </c>
      <c r="CG25" s="25" t="n">
        <f aca="false">IF(N(CG6)=0,"",CG24/CG6)</f>
        <v>11546.3157894737</v>
      </c>
      <c r="CH25" s="24" t="str">
        <f aca="false">IF(COUNT(CH24,CH6)=2,IF(N(CH6)=0,"",CH24/CH6),"")</f>
        <v/>
      </c>
      <c r="CI25" s="24" t="n">
        <f aca="false">IF(N(CI6)=0,"",CI24/CI6)</f>
        <v>11546.3157894737</v>
      </c>
      <c r="CJ25" s="24" t="n">
        <f aca="false">IF(N(CJ6)=0,"",CJ24/CJ6)</f>
        <v>11546.3157894737</v>
      </c>
      <c r="CK25" s="25" t="str">
        <f aca="false">IF(COUNT(CK24,CK6)=2,IF(N(CK6)=0,"",CK24/CK6),"")</f>
        <v/>
      </c>
      <c r="CL25" s="25" t="n">
        <f aca="false">IF(N(CL6)=0,"",CL24/CL6)</f>
        <v>11546.3157894737</v>
      </c>
      <c r="CM25" s="25" t="n">
        <f aca="false">IF(N(CM6)=0,"",CM24/CM6)</f>
        <v>11546.3157894737</v>
      </c>
      <c r="CN25" s="24" t="str">
        <f aca="false">IF(COUNT(CN24,CN6)=2,IF(N(CN6)=0,"",CN24/CN6),"")</f>
        <v/>
      </c>
      <c r="CO25" s="24" t="n">
        <f aca="false">IF(N(CO6)=0,"",CO24/CO6)</f>
        <v>11546.3157894737</v>
      </c>
      <c r="CP25" s="24" t="n">
        <f aca="false">IF(N(CP6)=0,"",CP24/CP6)</f>
        <v>11546.3157894737</v>
      </c>
      <c r="CQ25" s="25" t="str">
        <f aca="false">IF(COUNT(CQ24,CQ6)=2,IF(N(CQ6)=0,"",CQ24/CQ6),"")</f>
        <v/>
      </c>
      <c r="CR25" s="25" t="n">
        <f aca="false">IF(N(CR6)=0,"",CR24/CR6)</f>
        <v>11546.3157894737</v>
      </c>
      <c r="CS25" s="25" t="n">
        <f aca="false">IF(N(CS6)=0,"",CS24/CS6)</f>
        <v>11546.3157894737</v>
      </c>
      <c r="CT25" s="24" t="str">
        <f aca="false">IF(COUNT(CT24,CT6)=2,IF(N(CT6)=0,"",CT24/CT6),"")</f>
        <v/>
      </c>
      <c r="CU25" s="24" t="n">
        <f aca="false">IF(N(CU6)=0,"",CU24/CU6)</f>
        <v>11546.3157894737</v>
      </c>
      <c r="CV25" s="24" t="n">
        <f aca="false">IF(N(CV6)=0,"",CV24/CV6)</f>
        <v>11546.3157894737</v>
      </c>
      <c r="CW25" s="25" t="str">
        <f aca="false">IF(COUNT(CW24,CW6)=2,IF(N(CW6)=0,"",CW24/CW6),"")</f>
        <v/>
      </c>
      <c r="CX25" s="25" t="n">
        <f aca="false">IF(N(CX6)=0,"",CX24/CX6)</f>
        <v>10775.7894736842</v>
      </c>
      <c r="CY25" s="25" t="n">
        <f aca="false">IF(N(CY6)=0,"",CY24/CY6)</f>
        <v>10775.7894736842</v>
      </c>
      <c r="CZ25" s="24" t="str">
        <f aca="false">IF(COUNT(CZ24,CZ6)=2,IF(N(CZ6)=0,"",CZ24/CZ6),"")</f>
        <v/>
      </c>
      <c r="DA25" s="24" t="n">
        <f aca="false">IF(N(DA6)=0,"",DA24/DA6)</f>
        <v>10775.7894736842</v>
      </c>
      <c r="DB25" s="24" t="n">
        <f aca="false">IF(N(DB6)=0,"",DB24/DB6)</f>
        <v>10775.7894736842</v>
      </c>
      <c r="DC25" s="25" t="str">
        <f aca="false">IF(COUNT(DC24,DC6)=2,IF(N(DC6)=0,"",DC24/DC6),"")</f>
        <v/>
      </c>
      <c r="DD25" s="25" t="n">
        <f aca="false">IF(N(DD6)=0,"",DD24/DD6)</f>
        <v>10775.7894736842</v>
      </c>
      <c r="DE25" s="25" t="n">
        <f aca="false">IF(N(DE6)=0,"",DE24/DE6)</f>
        <v>10775.7894736842</v>
      </c>
      <c r="DF25" s="24" t="str">
        <f aca="false">IF(COUNT(DF24,DF6)=2,IF(N(DF6)=0,"",DF24/DF6),"")</f>
        <v/>
      </c>
      <c r="DG25" s="24" t="n">
        <f aca="false">IF(N(DG6)=0,"",DG24/DG6)</f>
        <v>7558</v>
      </c>
      <c r="DH25" s="24" t="n">
        <f aca="false">IF(N(DH6)=0,"",DH24/DH6)</f>
        <v>6387.89473684211</v>
      </c>
      <c r="DI25" s="25" t="n">
        <f aca="false">IF(COUNT(DI24,DI6)=2,IF(N(DI6)=0,"",DI24/DI6),"")</f>
        <v>17158.1818181818</v>
      </c>
      <c r="DJ25" s="25" t="n">
        <f aca="false">IF(N(DJ6)=0,"",DJ24/DJ6)</f>
        <v>17158.1818181818</v>
      </c>
      <c r="DK25" s="25" t="n">
        <f aca="false">IF(N(DK6)=0,"",DK24/DK6)</f>
        <v>10775.7894736842</v>
      </c>
      <c r="DL25" s="24" t="n">
        <f aca="false">IF(COUNT(DL24,DL6)=2,IF(N(DL6)=0,"",DL24/DL6),"")</f>
        <v>10775.7894736842</v>
      </c>
      <c r="DM25" s="24" t="n">
        <f aca="false">IF(N(DM6)=0,"",DM24/DM6)</f>
        <v>10775.7894736842</v>
      </c>
      <c r="DN25" s="24" t="str">
        <f aca="false">IF(N(DN6)=0,"",DN24/DN6)</f>
        <v/>
      </c>
    </row>
    <row r="26" customFormat="false" ht="15.75" hidden="false" customHeight="true" outlineLevel="0" collapsed="false">
      <c r="A26" s="17" t="s">
        <v>118</v>
      </c>
      <c r="B26" s="91"/>
      <c r="C26" s="91"/>
      <c r="D26" s="91"/>
      <c r="H26" s="91"/>
      <c r="I26" s="91"/>
      <c r="J26" s="91"/>
      <c r="N26" s="91"/>
      <c r="O26" s="91"/>
      <c r="P26" s="91"/>
      <c r="T26" s="91"/>
      <c r="U26" s="91"/>
      <c r="V26" s="91"/>
      <c r="Z26" s="91"/>
      <c r="AA26" s="91"/>
      <c r="AB26" s="91"/>
      <c r="AF26" s="91"/>
      <c r="AG26" s="91"/>
      <c r="AH26" s="91"/>
      <c r="AL26" s="91"/>
      <c r="AM26" s="91"/>
      <c r="AN26" s="91"/>
      <c r="AR26" s="91"/>
      <c r="AS26" s="91"/>
      <c r="AT26" s="91"/>
      <c r="AX26" s="91"/>
      <c r="AY26" s="91"/>
      <c r="AZ26" s="91"/>
      <c r="BD26" s="91"/>
      <c r="BE26" s="91"/>
      <c r="BF26" s="91"/>
      <c r="BJ26" s="91"/>
      <c r="BK26" s="91"/>
      <c r="BL26" s="91"/>
      <c r="BP26" s="91"/>
      <c r="BQ26" s="91"/>
      <c r="BR26" s="91"/>
      <c r="BV26" s="91"/>
      <c r="BW26" s="91"/>
      <c r="BX26" s="91"/>
      <c r="CB26" s="91"/>
      <c r="CC26" s="91"/>
      <c r="CD26" s="91"/>
      <c r="CH26" s="91"/>
      <c r="CI26" s="91"/>
      <c r="CJ26" s="91"/>
      <c r="CN26" s="91"/>
      <c r="CO26" s="91"/>
      <c r="CP26" s="91"/>
      <c r="CT26" s="91"/>
      <c r="CU26" s="91"/>
      <c r="CV26" s="91"/>
      <c r="CZ26" s="91"/>
      <c r="DA26" s="91"/>
      <c r="DB26" s="91"/>
      <c r="DF26" s="91"/>
      <c r="DG26" s="91"/>
      <c r="DH26" s="91"/>
      <c r="DL26" s="91"/>
      <c r="DM26" s="91"/>
      <c r="DN26" s="91"/>
    </row>
    <row r="27" customFormat="false" ht="15.75" hidden="false" customHeight="true" outlineLevel="0" collapsed="false">
      <c r="A27" s="5" t="s">
        <v>197</v>
      </c>
      <c r="B27" s="12" t="str">
        <f aca="false">IF(COUNT(AR27,AO27,AL27,AI27,AF27,AC27,Z27,W27,T27,Q27,N27,K27)=0,"",SUM(AR27,AO27,AL27,AI27,AF27,AC27,Z27,W27,T27,Q27,N27,K27))</f>
        <v/>
      </c>
      <c r="C27" s="12" t="n">
        <f aca="false">IF(COUNT(AS27,AP27,AM27,AJ27,AG27,AD27,AA27,X27,U27,R27,O27,L27)=0,"",SUM(AS27,AP27,AM27,AJ27,AG27,AD27,AA27,X27,U27,R27,O27,L27))</f>
        <v>192000</v>
      </c>
      <c r="D27" s="12" t="n">
        <f aca="false">IF(COUNT(AT27,AQ27,AN27,AK27,AH27,AE27,AB27,Y27,V27,S27,P27,M27)=0,"",SUM(AT27,AQ27,AN27,AK27,AH27,AE27,AB27,Y27,V27,S27,P27,M27))</f>
        <v>192000</v>
      </c>
      <c r="E27" s="13" t="str">
        <f aca="false">IF(COUNT(CB27,BY27,BV27,BS27,BP27,BM27,BJ27,BG27,BD27,BA27,AX27,AU27)=0,"",SUM(CB27,BY27,BV27,BS27,BP27,BM27,BJ27,BG27,BD27,BA27,AX27,AU27))</f>
        <v/>
      </c>
      <c r="F27" s="13" t="n">
        <f aca="false">IF(COUNT(CC27,BZ27,BW27,BT27,BQ27,BN27,BK27,BH27,BE27,BB27,AY27,AV27)=0,"",SUM(CC27,BZ27,BW27,BT27,BQ27,BN27,BK27,BH27,BE27,BB27,AY27,AV27))</f>
        <v>192000</v>
      </c>
      <c r="G27" s="13" t="n">
        <f aca="false">IF(COUNT(CD27,CA27,BX27,BU27,BR27,BO27,BL27,BI27,BF27,BC27,AZ27,AW27)=0,"",SUM(CD27,CA27,BX27,BU27,BR27,BO27,BL27,BI27,BF27,BC27,AZ27,AW27))</f>
        <v>192000</v>
      </c>
      <c r="H27" s="12" t="n">
        <f aca="false">IF(COUNT(DL27,DI27,DF27,DC27,CZ27,CW27,CT27,CQ27,CN27,CK27,CH27,CE27)=0,"",SUM(DL27,DI27,DF27,DC27,CZ27,CW27,CT27,CQ27,CN27,CK27,CH27,CE27))</f>
        <v>32000</v>
      </c>
      <c r="I27" s="12" t="n">
        <f aca="false">IF(COUNT(DM27,DJ27,DG27,DD27,DA27,CX27,CU27,CR27,CO27,CL27,CI27,CF27)=0,"",SUM(DM27,DJ27,DG27,DD27,DA27,CX27,CU27,CR27,CO27,CL27,CI27,CF27))</f>
        <v>192000</v>
      </c>
      <c r="J27" s="12" t="n">
        <f aca="false">IF(COUNT(DN27,DK27,DH27,DE27,DB27,CY27,CV27,CS27,CP27,CM27,CJ27,CG27)=0,"",SUM(DN27,DK27,DH27,DE27,DB27,CY27,CV27,CS27,CP27,CM27,CJ27,CG27))</f>
        <v>192000</v>
      </c>
      <c r="K27" s="13"/>
      <c r="L27" s="13" t="n">
        <f aca="false">IF('Cash Drivers'!L$26,Sales!K27,Sales!M27)</f>
        <v>16000</v>
      </c>
      <c r="M27" s="89" t="n">
        <v>16000</v>
      </c>
      <c r="N27" s="12"/>
      <c r="O27" s="12" t="n">
        <f aca="false">IF('Cash Drivers'!O$26,Sales!N27,Sales!P27)</f>
        <v>16000</v>
      </c>
      <c r="P27" s="90" t="n">
        <v>16000</v>
      </c>
      <c r="Q27" s="13"/>
      <c r="R27" s="13" t="n">
        <f aca="false">IF('Cash Drivers'!R$26,Sales!Q27,Sales!S27)</f>
        <v>16000</v>
      </c>
      <c r="S27" s="89" t="n">
        <v>16000</v>
      </c>
      <c r="T27" s="12"/>
      <c r="U27" s="12" t="n">
        <f aca="false">IF('Cash Drivers'!U$26,Sales!T27,Sales!V27)</f>
        <v>16000</v>
      </c>
      <c r="V27" s="90" t="n">
        <v>16000</v>
      </c>
      <c r="W27" s="13"/>
      <c r="X27" s="13" t="n">
        <f aca="false">IF('Cash Drivers'!X$26,Sales!W27,Sales!Y27)</f>
        <v>16000</v>
      </c>
      <c r="Y27" s="89" t="n">
        <v>16000</v>
      </c>
      <c r="Z27" s="12"/>
      <c r="AA27" s="12" t="n">
        <f aca="false">IF('Cash Drivers'!AA$26,Sales!Z27,Sales!AB27)</f>
        <v>16000</v>
      </c>
      <c r="AB27" s="90" t="n">
        <v>16000</v>
      </c>
      <c r="AC27" s="13"/>
      <c r="AD27" s="13" t="n">
        <f aca="false">IF('Cash Drivers'!AD$26,Sales!AC27,Sales!AE27)</f>
        <v>16000</v>
      </c>
      <c r="AE27" s="89" t="n">
        <v>16000</v>
      </c>
      <c r="AF27" s="12"/>
      <c r="AG27" s="12" t="n">
        <f aca="false">IF('Cash Drivers'!AG$26,Sales!AF27,Sales!AH27)</f>
        <v>16000</v>
      </c>
      <c r="AH27" s="90" t="n">
        <v>16000</v>
      </c>
      <c r="AI27" s="13"/>
      <c r="AJ27" s="13" t="n">
        <f aca="false">IF('Cash Drivers'!AJ$26,Sales!AI27,Sales!AK27)</f>
        <v>16000</v>
      </c>
      <c r="AK27" s="89" t="n">
        <v>16000</v>
      </c>
      <c r="AL27" s="12"/>
      <c r="AM27" s="12" t="n">
        <f aca="false">IF('Cash Drivers'!AM$26,Sales!AL27,Sales!AN27)</f>
        <v>16000</v>
      </c>
      <c r="AN27" s="90" t="n">
        <v>16000</v>
      </c>
      <c r="AO27" s="13"/>
      <c r="AP27" s="13" t="n">
        <f aca="false">IF('Cash Drivers'!AP$26,Sales!AO27,Sales!AQ27)</f>
        <v>16000</v>
      </c>
      <c r="AQ27" s="89" t="n">
        <v>16000</v>
      </c>
      <c r="AR27" s="12"/>
      <c r="AS27" s="12" t="n">
        <f aca="false">IF('Cash Drivers'!AS$26,Sales!AR27,Sales!AT27)</f>
        <v>16000</v>
      </c>
      <c r="AT27" s="90" t="n">
        <v>16000</v>
      </c>
      <c r="AU27" s="13"/>
      <c r="AV27" s="13" t="n">
        <f aca="false">IF('Cash Drivers'!AV$26,Sales!AU27,Sales!AW27)</f>
        <v>16000</v>
      </c>
      <c r="AW27" s="89" t="n">
        <v>16000</v>
      </c>
      <c r="AX27" s="12"/>
      <c r="AY27" s="12" t="n">
        <f aca="false">IF('Cash Drivers'!AY$26,Sales!AX27,Sales!AZ27)</f>
        <v>16000</v>
      </c>
      <c r="AZ27" s="90" t="n">
        <v>16000</v>
      </c>
      <c r="BA27" s="13"/>
      <c r="BB27" s="13" t="n">
        <f aca="false">IF('Cash Drivers'!BB$26,Sales!BA27,Sales!BC27)</f>
        <v>16000</v>
      </c>
      <c r="BC27" s="89" t="n">
        <v>16000</v>
      </c>
      <c r="BD27" s="12"/>
      <c r="BE27" s="12" t="n">
        <f aca="false">IF('Cash Drivers'!BE$26,Sales!BD27,Sales!BF27)</f>
        <v>16000</v>
      </c>
      <c r="BF27" s="90" t="n">
        <v>16000</v>
      </c>
      <c r="BG27" s="13"/>
      <c r="BH27" s="13" t="n">
        <f aca="false">IF('Cash Drivers'!BH$26,Sales!BG27,Sales!BI27)</f>
        <v>16000</v>
      </c>
      <c r="BI27" s="89" t="n">
        <v>16000</v>
      </c>
      <c r="BJ27" s="12"/>
      <c r="BK27" s="12" t="n">
        <f aca="false">IF('Cash Drivers'!BK$26,Sales!BJ27,Sales!BL27)</f>
        <v>16000</v>
      </c>
      <c r="BL27" s="90" t="n">
        <v>16000</v>
      </c>
      <c r="BM27" s="13"/>
      <c r="BN27" s="13" t="n">
        <f aca="false">IF('Cash Drivers'!BN$26,Sales!BM27,Sales!BO27)</f>
        <v>16000</v>
      </c>
      <c r="BO27" s="89" t="n">
        <v>16000</v>
      </c>
      <c r="BP27" s="12"/>
      <c r="BQ27" s="12" t="n">
        <f aca="false">IF('Cash Drivers'!BQ$26,Sales!BP27,Sales!BR27)</f>
        <v>16000</v>
      </c>
      <c r="BR27" s="90" t="n">
        <v>16000</v>
      </c>
      <c r="BS27" s="13"/>
      <c r="BT27" s="13" t="n">
        <f aca="false">IF('Cash Drivers'!BT$26,Sales!BS27,Sales!BU27)</f>
        <v>16000</v>
      </c>
      <c r="BU27" s="89" t="n">
        <v>16000</v>
      </c>
      <c r="BV27" s="12"/>
      <c r="BW27" s="12" t="n">
        <f aca="false">IF('Cash Drivers'!BW$26,Sales!BV27,Sales!BX27)</f>
        <v>16000</v>
      </c>
      <c r="BX27" s="90" t="n">
        <v>16000</v>
      </c>
      <c r="BY27" s="13"/>
      <c r="BZ27" s="13" t="n">
        <f aca="false">IF('Cash Drivers'!BZ$26,Sales!BY27,Sales!CA27)</f>
        <v>16000</v>
      </c>
      <c r="CA27" s="89" t="n">
        <v>16000</v>
      </c>
      <c r="CB27" s="12"/>
      <c r="CC27" s="12" t="n">
        <f aca="false">IF('Cash Drivers'!CC$26,Sales!CB27,Sales!CD27)</f>
        <v>16000</v>
      </c>
      <c r="CD27" s="90" t="n">
        <v>16000</v>
      </c>
      <c r="CE27" s="13"/>
      <c r="CF27" s="13" t="n">
        <f aca="false">IF('Cash Drivers'!CF$26,Sales!CE27,Sales!CG27)</f>
        <v>16000</v>
      </c>
      <c r="CG27" s="89" t="n">
        <v>16000</v>
      </c>
      <c r="CH27" s="12"/>
      <c r="CI27" s="12" t="n">
        <f aca="false">IF('Cash Drivers'!CI$26,Sales!CH27,Sales!CJ27)</f>
        <v>16000</v>
      </c>
      <c r="CJ27" s="90" t="n">
        <v>16000</v>
      </c>
      <c r="CK27" s="13"/>
      <c r="CL27" s="13" t="n">
        <f aca="false">IF('Cash Drivers'!CL$26,Sales!CK27,Sales!CM27)</f>
        <v>16000</v>
      </c>
      <c r="CM27" s="89" t="n">
        <v>16000</v>
      </c>
      <c r="CN27" s="12"/>
      <c r="CO27" s="12" t="n">
        <f aca="false">IF('Cash Drivers'!CO$26,Sales!CN27,Sales!CP27)</f>
        <v>16000</v>
      </c>
      <c r="CP27" s="90" t="n">
        <v>16000</v>
      </c>
      <c r="CQ27" s="13"/>
      <c r="CR27" s="13" t="n">
        <f aca="false">IF('Cash Drivers'!CR$26,Sales!CQ27,Sales!CS27)</f>
        <v>16000</v>
      </c>
      <c r="CS27" s="89" t="n">
        <v>16000</v>
      </c>
      <c r="CT27" s="12"/>
      <c r="CU27" s="12" t="n">
        <f aca="false">IF('Cash Drivers'!CU$26,Sales!CT27,Sales!CV27)</f>
        <v>16000</v>
      </c>
      <c r="CV27" s="90" t="n">
        <v>16000</v>
      </c>
      <c r="CW27" s="13"/>
      <c r="CX27" s="13" t="n">
        <f aca="false">IF('Cash Drivers'!CX$26,Sales!CW27,Sales!CY27)</f>
        <v>16000</v>
      </c>
      <c r="CY27" s="89" t="n">
        <v>16000</v>
      </c>
      <c r="CZ27" s="12"/>
      <c r="DA27" s="12" t="n">
        <f aca="false">IF('Cash Drivers'!DA$26,Sales!CZ27,Sales!DB27)</f>
        <v>16000</v>
      </c>
      <c r="DB27" s="90" t="n">
        <v>16000</v>
      </c>
      <c r="DC27" s="13"/>
      <c r="DD27" s="13" t="n">
        <f aca="false">IF('Cash Drivers'!DD$26,Sales!DC27,Sales!DE27)</f>
        <v>16000</v>
      </c>
      <c r="DE27" s="89" t="n">
        <v>16000</v>
      </c>
      <c r="DF27" s="12"/>
      <c r="DG27" s="12" t="n">
        <f aca="false">IF('Cash Drivers'!DG$26,Sales!DF27,Sales!DH27)</f>
        <v>16000</v>
      </c>
      <c r="DH27" s="90" t="n">
        <v>16000</v>
      </c>
      <c r="DI27" s="89" t="n">
        <v>16000</v>
      </c>
      <c r="DJ27" s="13" t="n">
        <f aca="false">IF('Cash Drivers'!DJ$26,Sales!DI27,Sales!DK27)</f>
        <v>16000</v>
      </c>
      <c r="DK27" s="89" t="n">
        <v>16000</v>
      </c>
      <c r="DL27" s="90" t="n">
        <v>16000</v>
      </c>
      <c r="DM27" s="12" t="n">
        <f aca="false">IF('Cash Drivers'!DM$26,Sales!DL27,Sales!DN27)</f>
        <v>16000</v>
      </c>
      <c r="DN27" s="90" t="n">
        <v>16000</v>
      </c>
    </row>
    <row r="28" customFormat="false" ht="15.75" hidden="false" customHeight="true" outlineLevel="0" collapsed="false">
      <c r="A28" s="5" t="s">
        <v>198</v>
      </c>
      <c r="B28" s="12" t="str">
        <f aca="false">IF(COUNT(AR28,AO28,AL28,AI28,AF28,AC28,Z28,W28,T28,Q28,N28,K28)=0,"",SUM(AR28,AO28,AL28,AI28,AF28,AC28,Z28,W28,T28,Q28,N28,K28))</f>
        <v/>
      </c>
      <c r="C28" s="12" t="n">
        <f aca="false">IF(COUNT(AS28,AP28,AM28,AJ28,AG28,AD28,AA28,X28,U28,R28,O28,L28)=0,"",SUM(AS28,AP28,AM28,AJ28,AG28,AD28,AA28,X28,U28,R28,O28,L28))</f>
        <v>144000</v>
      </c>
      <c r="D28" s="12" t="n">
        <f aca="false">IF(COUNT(AT28,AQ28,AN28,AK28,AH28,AE28,AB28,Y28,V28,S28,P28,M28)=0,"",SUM(AT28,AQ28,AN28,AK28,AH28,AE28,AB28,Y28,V28,S28,P28,M28))</f>
        <v>144000</v>
      </c>
      <c r="E28" s="13" t="str">
        <f aca="false">IF(COUNT(CB28,BY28,BV28,BS28,BP28,BM28,BJ28,BG28,BD28,BA28,AX28,AU28)=0,"",SUM(CB28,BY28,BV28,BS28,BP28,BM28,BJ28,BG28,BD28,BA28,AX28,AU28))</f>
        <v/>
      </c>
      <c r="F28" s="13" t="n">
        <f aca="false">IF(COUNT(CC28,BZ28,BW28,BT28,BQ28,BN28,BK28,BH28,BE28,BB28,AY28,AV28)=0,"",SUM(CC28,BZ28,BW28,BT28,BQ28,BN28,BK28,BH28,BE28,BB28,AY28,AV28))</f>
        <v>144000</v>
      </c>
      <c r="G28" s="13" t="n">
        <f aca="false">IF(COUNT(CD28,CA28,BX28,BU28,BR28,BO28,BL28,BI28,BF28,BC28,AZ28,AW28)=0,"",SUM(CD28,CA28,BX28,BU28,BR28,BO28,BL28,BI28,BF28,BC28,AZ28,AW28))</f>
        <v>144000</v>
      </c>
      <c r="H28" s="12" t="n">
        <f aca="false">IF(COUNT(DL28,DI28,DF28,DC28,CZ28,CW28,CT28,CQ28,CN28,CK28,CH28,CE28)=0,"",SUM(DL28,DI28,DF28,DC28,CZ28,CW28,CT28,CQ28,CN28,CK28,CH28,CE28))</f>
        <v>24000</v>
      </c>
      <c r="I28" s="12" t="n">
        <f aca="false">IF(COUNT(DM28,DJ28,DG28,DD28,DA28,CX28,CU28,CR28,CO28,CL28,CI28,CF28)=0,"",SUM(DM28,DJ28,DG28,DD28,DA28,CX28,CU28,CR28,CO28,CL28,CI28,CF28))</f>
        <v>144000</v>
      </c>
      <c r="J28" s="12" t="n">
        <f aca="false">IF(COUNT(DN28,DK28,DH28,DE28,DB28,CY28,CV28,CS28,CP28,CM28,CJ28,CG28)=0,"",SUM(DN28,DK28,DH28,DE28,DB28,CY28,CV28,CS28,CP28,CM28,CJ28,CG28))</f>
        <v>144000</v>
      </c>
      <c r="K28" s="13"/>
      <c r="L28" s="13" t="n">
        <f aca="false">IF('Cash Drivers'!L$26,Sales!K28,Sales!M28)</f>
        <v>12000</v>
      </c>
      <c r="M28" s="89" t="n">
        <v>12000</v>
      </c>
      <c r="N28" s="12"/>
      <c r="O28" s="12" t="n">
        <f aca="false">IF('Cash Drivers'!O$26,Sales!N28,Sales!P28)</f>
        <v>12000</v>
      </c>
      <c r="P28" s="90" t="n">
        <v>12000</v>
      </c>
      <c r="Q28" s="13"/>
      <c r="R28" s="13" t="n">
        <f aca="false">IF('Cash Drivers'!R$26,Sales!Q28,Sales!S28)</f>
        <v>12000</v>
      </c>
      <c r="S28" s="89" t="n">
        <v>12000</v>
      </c>
      <c r="T28" s="12"/>
      <c r="U28" s="12" t="n">
        <f aca="false">IF('Cash Drivers'!U$26,Sales!T28,Sales!V28)</f>
        <v>12000</v>
      </c>
      <c r="V28" s="90" t="n">
        <v>12000</v>
      </c>
      <c r="W28" s="13"/>
      <c r="X28" s="13" t="n">
        <f aca="false">IF('Cash Drivers'!X$26,Sales!W28,Sales!Y28)</f>
        <v>12000</v>
      </c>
      <c r="Y28" s="89" t="n">
        <v>12000</v>
      </c>
      <c r="Z28" s="12"/>
      <c r="AA28" s="12" t="n">
        <f aca="false">IF('Cash Drivers'!AA$26,Sales!Z28,Sales!AB28)</f>
        <v>12000</v>
      </c>
      <c r="AB28" s="90" t="n">
        <v>12000</v>
      </c>
      <c r="AC28" s="13"/>
      <c r="AD28" s="13" t="n">
        <f aca="false">IF('Cash Drivers'!AD$26,Sales!AC28,Sales!AE28)</f>
        <v>12000</v>
      </c>
      <c r="AE28" s="89" t="n">
        <v>12000</v>
      </c>
      <c r="AF28" s="12"/>
      <c r="AG28" s="12" t="n">
        <f aca="false">IF('Cash Drivers'!AG$26,Sales!AF28,Sales!AH28)</f>
        <v>12000</v>
      </c>
      <c r="AH28" s="90" t="n">
        <v>12000</v>
      </c>
      <c r="AI28" s="13"/>
      <c r="AJ28" s="13" t="n">
        <f aca="false">IF('Cash Drivers'!AJ$26,Sales!AI28,Sales!AK28)</f>
        <v>12000</v>
      </c>
      <c r="AK28" s="89" t="n">
        <v>12000</v>
      </c>
      <c r="AL28" s="12"/>
      <c r="AM28" s="12" t="n">
        <f aca="false">IF('Cash Drivers'!AM$26,Sales!AL28,Sales!AN28)</f>
        <v>12000</v>
      </c>
      <c r="AN28" s="90" t="n">
        <v>12000</v>
      </c>
      <c r="AO28" s="13"/>
      <c r="AP28" s="13" t="n">
        <f aca="false">IF('Cash Drivers'!AP$26,Sales!AO28,Sales!AQ28)</f>
        <v>12000</v>
      </c>
      <c r="AQ28" s="89" t="n">
        <v>12000</v>
      </c>
      <c r="AR28" s="12"/>
      <c r="AS28" s="12" t="n">
        <f aca="false">IF('Cash Drivers'!AS$26,Sales!AR28,Sales!AT28)</f>
        <v>12000</v>
      </c>
      <c r="AT28" s="90" t="n">
        <v>12000</v>
      </c>
      <c r="AU28" s="13"/>
      <c r="AV28" s="13" t="n">
        <f aca="false">IF('Cash Drivers'!AV$26,Sales!AU28,Sales!AW28)</f>
        <v>12000</v>
      </c>
      <c r="AW28" s="89" t="n">
        <v>12000</v>
      </c>
      <c r="AX28" s="12"/>
      <c r="AY28" s="12" t="n">
        <f aca="false">IF('Cash Drivers'!AY$26,Sales!AX28,Sales!AZ28)</f>
        <v>12000</v>
      </c>
      <c r="AZ28" s="90" t="n">
        <v>12000</v>
      </c>
      <c r="BA28" s="13"/>
      <c r="BB28" s="13" t="n">
        <f aca="false">IF('Cash Drivers'!BB$26,Sales!BA28,Sales!BC28)</f>
        <v>12000</v>
      </c>
      <c r="BC28" s="89" t="n">
        <v>12000</v>
      </c>
      <c r="BD28" s="12"/>
      <c r="BE28" s="12" t="n">
        <f aca="false">IF('Cash Drivers'!BE$26,Sales!BD28,Sales!BF28)</f>
        <v>12000</v>
      </c>
      <c r="BF28" s="90" t="n">
        <v>12000</v>
      </c>
      <c r="BG28" s="13"/>
      <c r="BH28" s="13" t="n">
        <f aca="false">IF('Cash Drivers'!BH$26,Sales!BG28,Sales!BI28)</f>
        <v>12000</v>
      </c>
      <c r="BI28" s="89" t="n">
        <v>12000</v>
      </c>
      <c r="BJ28" s="12"/>
      <c r="BK28" s="12" t="n">
        <f aca="false">IF('Cash Drivers'!BK$26,Sales!BJ28,Sales!BL28)</f>
        <v>12000</v>
      </c>
      <c r="BL28" s="90" t="n">
        <v>12000</v>
      </c>
      <c r="BM28" s="13"/>
      <c r="BN28" s="13" t="n">
        <f aca="false">IF('Cash Drivers'!BN$26,Sales!BM28,Sales!BO28)</f>
        <v>12000</v>
      </c>
      <c r="BO28" s="89" t="n">
        <v>12000</v>
      </c>
      <c r="BP28" s="12"/>
      <c r="BQ28" s="12" t="n">
        <f aca="false">IF('Cash Drivers'!BQ$26,Sales!BP28,Sales!BR28)</f>
        <v>12000</v>
      </c>
      <c r="BR28" s="90" t="n">
        <v>12000</v>
      </c>
      <c r="BS28" s="13"/>
      <c r="BT28" s="13" t="n">
        <f aca="false">IF('Cash Drivers'!BT$26,Sales!BS28,Sales!BU28)</f>
        <v>12000</v>
      </c>
      <c r="BU28" s="89" t="n">
        <v>12000</v>
      </c>
      <c r="BV28" s="12"/>
      <c r="BW28" s="12" t="n">
        <f aca="false">IF('Cash Drivers'!BW$26,Sales!BV28,Sales!BX28)</f>
        <v>12000</v>
      </c>
      <c r="BX28" s="90" t="n">
        <v>12000</v>
      </c>
      <c r="BY28" s="13"/>
      <c r="BZ28" s="13" t="n">
        <f aca="false">IF('Cash Drivers'!BZ$26,Sales!BY28,Sales!CA28)</f>
        <v>12000</v>
      </c>
      <c r="CA28" s="89" t="n">
        <v>12000</v>
      </c>
      <c r="CB28" s="12"/>
      <c r="CC28" s="12" t="n">
        <f aca="false">IF('Cash Drivers'!CC$26,Sales!CB28,Sales!CD28)</f>
        <v>12000</v>
      </c>
      <c r="CD28" s="90" t="n">
        <v>12000</v>
      </c>
      <c r="CE28" s="13"/>
      <c r="CF28" s="13" t="n">
        <f aca="false">IF('Cash Drivers'!CF$26,Sales!CE28,Sales!CG28)</f>
        <v>12000</v>
      </c>
      <c r="CG28" s="89" t="n">
        <v>12000</v>
      </c>
      <c r="CH28" s="12"/>
      <c r="CI28" s="12" t="n">
        <f aca="false">IF('Cash Drivers'!CI$26,Sales!CH28,Sales!CJ28)</f>
        <v>12000</v>
      </c>
      <c r="CJ28" s="90" t="n">
        <v>12000</v>
      </c>
      <c r="CK28" s="13"/>
      <c r="CL28" s="13" t="n">
        <f aca="false">IF('Cash Drivers'!CL$26,Sales!CK28,Sales!CM28)</f>
        <v>12000</v>
      </c>
      <c r="CM28" s="89" t="n">
        <v>12000</v>
      </c>
      <c r="CN28" s="12"/>
      <c r="CO28" s="12" t="n">
        <f aca="false">IF('Cash Drivers'!CO$26,Sales!CN28,Sales!CP28)</f>
        <v>12000</v>
      </c>
      <c r="CP28" s="90" t="n">
        <v>12000</v>
      </c>
      <c r="CQ28" s="13"/>
      <c r="CR28" s="13" t="n">
        <f aca="false">IF('Cash Drivers'!CR$26,Sales!CQ28,Sales!CS28)</f>
        <v>12000</v>
      </c>
      <c r="CS28" s="89" t="n">
        <v>12000</v>
      </c>
      <c r="CT28" s="12"/>
      <c r="CU28" s="12" t="n">
        <f aca="false">IF('Cash Drivers'!CU$26,Sales!CT28,Sales!CV28)</f>
        <v>12000</v>
      </c>
      <c r="CV28" s="90" t="n">
        <v>12000</v>
      </c>
      <c r="CW28" s="13"/>
      <c r="CX28" s="13" t="n">
        <f aca="false">IF('Cash Drivers'!CX$26,Sales!CW28,Sales!CY28)</f>
        <v>12000</v>
      </c>
      <c r="CY28" s="89" t="n">
        <v>12000</v>
      </c>
      <c r="CZ28" s="12"/>
      <c r="DA28" s="12" t="n">
        <f aca="false">IF('Cash Drivers'!DA$26,Sales!CZ28,Sales!DB28)</f>
        <v>12000</v>
      </c>
      <c r="DB28" s="90" t="n">
        <v>12000</v>
      </c>
      <c r="DC28" s="13"/>
      <c r="DD28" s="13" t="n">
        <f aca="false">IF('Cash Drivers'!DD$26,Sales!DC28,Sales!DE28)</f>
        <v>12000</v>
      </c>
      <c r="DE28" s="89" t="n">
        <v>12000</v>
      </c>
      <c r="DF28" s="12"/>
      <c r="DG28" s="12" t="n">
        <f aca="false">IF('Cash Drivers'!DG$26,Sales!DF28,Sales!DH28)</f>
        <v>12000</v>
      </c>
      <c r="DH28" s="90" t="n">
        <v>12000</v>
      </c>
      <c r="DI28" s="89" t="n">
        <v>12000</v>
      </c>
      <c r="DJ28" s="13" t="n">
        <f aca="false">IF('Cash Drivers'!DJ$26,Sales!DI28,Sales!DK28)</f>
        <v>12000</v>
      </c>
      <c r="DK28" s="89" t="n">
        <v>12000</v>
      </c>
      <c r="DL28" s="90" t="n">
        <v>12000</v>
      </c>
      <c r="DM28" s="12" t="n">
        <f aca="false">IF('Cash Drivers'!DM$26,Sales!DL28,Sales!DN28)</f>
        <v>12000</v>
      </c>
      <c r="DN28" s="90" t="n">
        <v>12000</v>
      </c>
    </row>
    <row r="29" customFormat="false" ht="15.75" hidden="false" customHeight="true" outlineLevel="0" collapsed="false">
      <c r="A29" s="5" t="s">
        <v>199</v>
      </c>
      <c r="B29" s="12" t="str">
        <f aca="false">IF(COUNT(AR29,AO29,AL29,AI29,AF29,AC29,Z29,W29,T29,Q29,N29,K29)=0,"",SUM(AR29,AO29,AL29,AI29,AF29,AC29,Z29,W29,T29,Q29,N29,K29))</f>
        <v/>
      </c>
      <c r="C29" s="12" t="n">
        <f aca="false">IF(COUNT(AS29,AP29,AM29,AJ29,AG29,AD29,AA29,X29,U29,R29,O29,L29)=0,"",SUM(AS29,AP29,AM29,AJ29,AG29,AD29,AA29,X29,U29,R29,O29,L29))</f>
        <v>144000</v>
      </c>
      <c r="D29" s="12" t="n">
        <f aca="false">IF(COUNT(AT29,AQ29,AN29,AK29,AH29,AE29,AB29,Y29,V29,S29,P29,M29)=0,"",SUM(AT29,AQ29,AN29,AK29,AH29,AE29,AB29,Y29,V29,S29,P29,M29))</f>
        <v>144000</v>
      </c>
      <c r="E29" s="13" t="str">
        <f aca="false">IF(COUNT(CB29,BY29,BV29,BS29,BP29,BM29,BJ29,BG29,BD29,BA29,AX29,AU29)=0,"",SUM(CB29,BY29,BV29,BS29,BP29,BM29,BJ29,BG29,BD29,BA29,AX29,AU29))</f>
        <v/>
      </c>
      <c r="F29" s="13" t="n">
        <f aca="false">IF(COUNT(CC29,BZ29,BW29,BT29,BQ29,BN29,BK29,BH29,BE29,BB29,AY29,AV29)=0,"",SUM(CC29,BZ29,BW29,BT29,BQ29,BN29,BK29,BH29,BE29,BB29,AY29,AV29))</f>
        <v>144000</v>
      </c>
      <c r="G29" s="13" t="n">
        <f aca="false">IF(COUNT(CD29,CA29,BX29,BU29,BR29,BO29,BL29,BI29,BF29,BC29,AZ29,AW29)=0,"",SUM(CD29,CA29,BX29,BU29,BR29,BO29,BL29,BI29,BF29,BC29,AZ29,AW29))</f>
        <v>144000</v>
      </c>
      <c r="H29" s="12" t="n">
        <f aca="false">IF(COUNT(DL29,DI29,DF29,DC29,CZ29,CW29,CT29,CQ29,CN29,CK29,CH29,CE29)=0,"",SUM(DL29,DI29,DF29,DC29,CZ29,CW29,CT29,CQ29,CN29,CK29,CH29,CE29))</f>
        <v>24000</v>
      </c>
      <c r="I29" s="12" t="n">
        <f aca="false">IF(COUNT(DM29,DJ29,DG29,DD29,DA29,CX29,CU29,CR29,CO29,CL29,CI29,CF29)=0,"",SUM(DM29,DJ29,DG29,DD29,DA29,CX29,CU29,CR29,CO29,CL29,CI29,CF29))</f>
        <v>144000</v>
      </c>
      <c r="J29" s="12" t="n">
        <f aca="false">IF(COUNT(DN29,DK29,DH29,DE29,DB29,CY29,CV29,CS29,CP29,CM29,CJ29,CG29)=0,"",SUM(DN29,DK29,DH29,DE29,DB29,CY29,CV29,CS29,CP29,CM29,CJ29,CG29))</f>
        <v>144000</v>
      </c>
      <c r="K29" s="13"/>
      <c r="L29" s="13" t="n">
        <f aca="false">IF('Cash Drivers'!L$26,Sales!K29,Sales!M29)</f>
        <v>12000</v>
      </c>
      <c r="M29" s="89" t="n">
        <v>12000</v>
      </c>
      <c r="N29" s="12"/>
      <c r="O29" s="12" t="n">
        <f aca="false">IF('Cash Drivers'!O$26,Sales!N29,Sales!P29)</f>
        <v>12000</v>
      </c>
      <c r="P29" s="90" t="n">
        <v>12000</v>
      </c>
      <c r="Q29" s="13"/>
      <c r="R29" s="13" t="n">
        <f aca="false">IF('Cash Drivers'!R$26,Sales!Q29,Sales!S29)</f>
        <v>12000</v>
      </c>
      <c r="S29" s="89" t="n">
        <v>12000</v>
      </c>
      <c r="T29" s="12"/>
      <c r="U29" s="12" t="n">
        <f aca="false">IF('Cash Drivers'!U$26,Sales!T29,Sales!V29)</f>
        <v>12000</v>
      </c>
      <c r="V29" s="90" t="n">
        <v>12000</v>
      </c>
      <c r="W29" s="13"/>
      <c r="X29" s="13" t="n">
        <f aca="false">IF('Cash Drivers'!X$26,Sales!W29,Sales!Y29)</f>
        <v>12000</v>
      </c>
      <c r="Y29" s="89" t="n">
        <v>12000</v>
      </c>
      <c r="Z29" s="12"/>
      <c r="AA29" s="12" t="n">
        <f aca="false">IF('Cash Drivers'!AA$26,Sales!Z29,Sales!AB29)</f>
        <v>12000</v>
      </c>
      <c r="AB29" s="90" t="n">
        <v>12000</v>
      </c>
      <c r="AC29" s="13"/>
      <c r="AD29" s="13" t="n">
        <f aca="false">IF('Cash Drivers'!AD$26,Sales!AC29,Sales!AE29)</f>
        <v>12000</v>
      </c>
      <c r="AE29" s="89" t="n">
        <v>12000</v>
      </c>
      <c r="AF29" s="12"/>
      <c r="AG29" s="12" t="n">
        <f aca="false">IF('Cash Drivers'!AG$26,Sales!AF29,Sales!AH29)</f>
        <v>12000</v>
      </c>
      <c r="AH29" s="90" t="n">
        <v>12000</v>
      </c>
      <c r="AI29" s="13"/>
      <c r="AJ29" s="13" t="n">
        <f aca="false">IF('Cash Drivers'!AJ$26,Sales!AI29,Sales!AK29)</f>
        <v>12000</v>
      </c>
      <c r="AK29" s="89" t="n">
        <v>12000</v>
      </c>
      <c r="AL29" s="12"/>
      <c r="AM29" s="12" t="n">
        <f aca="false">IF('Cash Drivers'!AM$26,Sales!AL29,Sales!AN29)</f>
        <v>12000</v>
      </c>
      <c r="AN29" s="90" t="n">
        <v>12000</v>
      </c>
      <c r="AO29" s="13"/>
      <c r="AP29" s="13" t="n">
        <f aca="false">IF('Cash Drivers'!AP$26,Sales!AO29,Sales!AQ29)</f>
        <v>12000</v>
      </c>
      <c r="AQ29" s="89" t="n">
        <v>12000</v>
      </c>
      <c r="AR29" s="12"/>
      <c r="AS29" s="12" t="n">
        <f aca="false">IF('Cash Drivers'!AS$26,Sales!AR29,Sales!AT29)</f>
        <v>12000</v>
      </c>
      <c r="AT29" s="90" t="n">
        <v>12000</v>
      </c>
      <c r="AU29" s="13"/>
      <c r="AV29" s="13" t="n">
        <f aca="false">IF('Cash Drivers'!AV$26,Sales!AU29,Sales!AW29)</f>
        <v>12000</v>
      </c>
      <c r="AW29" s="89" t="n">
        <v>12000</v>
      </c>
      <c r="AX29" s="12"/>
      <c r="AY29" s="12" t="n">
        <f aca="false">IF('Cash Drivers'!AY$26,Sales!AX29,Sales!AZ29)</f>
        <v>12000</v>
      </c>
      <c r="AZ29" s="90" t="n">
        <v>12000</v>
      </c>
      <c r="BA29" s="13"/>
      <c r="BB29" s="13" t="n">
        <f aca="false">IF('Cash Drivers'!BB$26,Sales!BA29,Sales!BC29)</f>
        <v>12000</v>
      </c>
      <c r="BC29" s="89" t="n">
        <v>12000</v>
      </c>
      <c r="BD29" s="12"/>
      <c r="BE29" s="12" t="n">
        <f aca="false">IF('Cash Drivers'!BE$26,Sales!BD29,Sales!BF29)</f>
        <v>12000</v>
      </c>
      <c r="BF29" s="90" t="n">
        <v>12000</v>
      </c>
      <c r="BG29" s="13"/>
      <c r="BH29" s="13" t="n">
        <f aca="false">IF('Cash Drivers'!BH$26,Sales!BG29,Sales!BI29)</f>
        <v>12000</v>
      </c>
      <c r="BI29" s="89" t="n">
        <v>12000</v>
      </c>
      <c r="BJ29" s="12"/>
      <c r="BK29" s="12" t="n">
        <f aca="false">IF('Cash Drivers'!BK$26,Sales!BJ29,Sales!BL29)</f>
        <v>12000</v>
      </c>
      <c r="BL29" s="90" t="n">
        <v>12000</v>
      </c>
      <c r="BM29" s="13"/>
      <c r="BN29" s="13" t="n">
        <f aca="false">IF('Cash Drivers'!BN$26,Sales!BM29,Sales!BO29)</f>
        <v>12000</v>
      </c>
      <c r="BO29" s="89" t="n">
        <v>12000</v>
      </c>
      <c r="BP29" s="12"/>
      <c r="BQ29" s="12" t="n">
        <f aca="false">IF('Cash Drivers'!BQ$26,Sales!BP29,Sales!BR29)</f>
        <v>12000</v>
      </c>
      <c r="BR29" s="90" t="n">
        <v>12000</v>
      </c>
      <c r="BS29" s="13"/>
      <c r="BT29" s="13" t="n">
        <f aca="false">IF('Cash Drivers'!BT$26,Sales!BS29,Sales!BU29)</f>
        <v>12000</v>
      </c>
      <c r="BU29" s="89" t="n">
        <v>12000</v>
      </c>
      <c r="BV29" s="12"/>
      <c r="BW29" s="12" t="n">
        <f aca="false">IF('Cash Drivers'!BW$26,Sales!BV29,Sales!BX29)</f>
        <v>12000</v>
      </c>
      <c r="BX29" s="90" t="n">
        <v>12000</v>
      </c>
      <c r="BY29" s="13"/>
      <c r="BZ29" s="13" t="n">
        <f aca="false">IF('Cash Drivers'!BZ$26,Sales!BY29,Sales!CA29)</f>
        <v>12000</v>
      </c>
      <c r="CA29" s="89" t="n">
        <v>12000</v>
      </c>
      <c r="CB29" s="12"/>
      <c r="CC29" s="12" t="n">
        <f aca="false">IF('Cash Drivers'!CC$26,Sales!CB29,Sales!CD29)</f>
        <v>12000</v>
      </c>
      <c r="CD29" s="90" t="n">
        <v>12000</v>
      </c>
      <c r="CE29" s="13"/>
      <c r="CF29" s="13" t="n">
        <f aca="false">IF('Cash Drivers'!CF$26,Sales!CE29,Sales!CG29)</f>
        <v>12000</v>
      </c>
      <c r="CG29" s="89" t="n">
        <v>12000</v>
      </c>
      <c r="CH29" s="12"/>
      <c r="CI29" s="12" t="n">
        <f aca="false">IF('Cash Drivers'!CI$26,Sales!CH29,Sales!CJ29)</f>
        <v>12000</v>
      </c>
      <c r="CJ29" s="90" t="n">
        <v>12000</v>
      </c>
      <c r="CK29" s="13"/>
      <c r="CL29" s="13" t="n">
        <f aca="false">IF('Cash Drivers'!CL$26,Sales!CK29,Sales!CM29)</f>
        <v>12000</v>
      </c>
      <c r="CM29" s="89" t="n">
        <v>12000</v>
      </c>
      <c r="CN29" s="12"/>
      <c r="CO29" s="12" t="n">
        <f aca="false">IF('Cash Drivers'!CO$26,Sales!CN29,Sales!CP29)</f>
        <v>12000</v>
      </c>
      <c r="CP29" s="90" t="n">
        <v>12000</v>
      </c>
      <c r="CQ29" s="13"/>
      <c r="CR29" s="13" t="n">
        <f aca="false">IF('Cash Drivers'!CR$26,Sales!CQ29,Sales!CS29)</f>
        <v>12000</v>
      </c>
      <c r="CS29" s="89" t="n">
        <v>12000</v>
      </c>
      <c r="CT29" s="12"/>
      <c r="CU29" s="12" t="n">
        <f aca="false">IF('Cash Drivers'!CU$26,Sales!CT29,Sales!CV29)</f>
        <v>12000</v>
      </c>
      <c r="CV29" s="90" t="n">
        <v>12000</v>
      </c>
      <c r="CW29" s="13"/>
      <c r="CX29" s="13" t="n">
        <f aca="false">IF('Cash Drivers'!CX$26,Sales!CW29,Sales!CY29)</f>
        <v>12000</v>
      </c>
      <c r="CY29" s="89" t="n">
        <v>12000</v>
      </c>
      <c r="CZ29" s="12"/>
      <c r="DA29" s="12" t="n">
        <f aca="false">IF('Cash Drivers'!DA$26,Sales!CZ29,Sales!DB29)</f>
        <v>12000</v>
      </c>
      <c r="DB29" s="90" t="n">
        <v>12000</v>
      </c>
      <c r="DC29" s="13"/>
      <c r="DD29" s="13" t="n">
        <f aca="false">IF('Cash Drivers'!DD$26,Sales!DC29,Sales!DE29)</f>
        <v>12000</v>
      </c>
      <c r="DE29" s="89" t="n">
        <v>12000</v>
      </c>
      <c r="DF29" s="12"/>
      <c r="DG29" s="12" t="n">
        <f aca="false">IF('Cash Drivers'!DG$26,Sales!DF29,Sales!DH29)</f>
        <v>12000</v>
      </c>
      <c r="DH29" s="90" t="n">
        <v>12000</v>
      </c>
      <c r="DI29" s="89" t="n">
        <v>12000</v>
      </c>
      <c r="DJ29" s="13" t="n">
        <f aca="false">IF('Cash Drivers'!DJ$26,Sales!DI29,Sales!DK29)</f>
        <v>12000</v>
      </c>
      <c r="DK29" s="89" t="n">
        <v>12000</v>
      </c>
      <c r="DL29" s="90" t="n">
        <v>12000</v>
      </c>
      <c r="DM29" s="12" t="n">
        <f aca="false">IF('Cash Drivers'!DM$26,Sales!DL29,Sales!DN29)</f>
        <v>12000</v>
      </c>
      <c r="DN29" s="90" t="n">
        <v>12000</v>
      </c>
    </row>
    <row r="30" customFormat="false" ht="15.75" hidden="false" customHeight="true" outlineLevel="0" collapsed="false">
      <c r="A30" s="5" t="s">
        <v>200</v>
      </c>
      <c r="B30" s="12" t="str">
        <f aca="false">IF(COUNT(AR30,AO30,AL30,AI30,AF30,AC30,Z30,W30,T30,Q30,N30,K30)=0,"",SUM(AR30,AO30,AL30,AI30,AF30,AC30,Z30,W30,T30,Q30,N30,K30))</f>
        <v/>
      </c>
      <c r="C30" s="12" t="n">
        <f aca="false">IF(COUNT(AS30,AP30,AM30,AJ30,AG30,AD30,AA30,X30,U30,R30,O30,L30)=0,"",SUM(AS30,AP30,AM30,AJ30,AG30,AD30,AA30,X30,U30,R30,O30,L30))</f>
        <v>120000</v>
      </c>
      <c r="D30" s="12" t="n">
        <f aca="false">IF(COUNT(AT30,AQ30,AN30,AK30,AH30,AE30,AB30,Y30,V30,S30,P30,M30)=0,"",SUM(AT30,AQ30,AN30,AK30,AH30,AE30,AB30,Y30,V30,S30,P30,M30))</f>
        <v>120000</v>
      </c>
      <c r="E30" s="13" t="str">
        <f aca="false">IF(COUNT(CB30,BY30,BV30,BS30,BP30,BM30,BJ30,BG30,BD30,BA30,AX30,AU30)=0,"",SUM(CB30,BY30,BV30,BS30,BP30,BM30,BJ30,BG30,BD30,BA30,AX30,AU30))</f>
        <v/>
      </c>
      <c r="F30" s="13" t="n">
        <f aca="false">IF(COUNT(CC30,BZ30,BW30,BT30,BQ30,BN30,BK30,BH30,BE30,BB30,AY30,AV30)=0,"",SUM(CC30,BZ30,BW30,BT30,BQ30,BN30,BK30,BH30,BE30,BB30,AY30,AV30))</f>
        <v>120000</v>
      </c>
      <c r="G30" s="13" t="n">
        <f aca="false">IF(COUNT(CD30,CA30,BX30,BU30,BR30,BO30,BL30,BI30,BF30,BC30,AZ30,AW30)=0,"",SUM(CD30,CA30,BX30,BU30,BR30,BO30,BL30,BI30,BF30,BC30,AZ30,AW30))</f>
        <v>120000</v>
      </c>
      <c r="H30" s="12" t="n">
        <f aca="false">IF(COUNT(DL30,DI30,DF30,DC30,CZ30,CW30,CT30,CQ30,CN30,CK30,CH30,CE30)=0,"",SUM(DL30,DI30,DF30,DC30,CZ30,CW30,CT30,CQ30,CN30,CK30,CH30,CE30))</f>
        <v>20000</v>
      </c>
      <c r="I30" s="12" t="n">
        <f aca="false">IF(COUNT(DM30,DJ30,DG30,DD30,DA30,CX30,CU30,CR30,CO30,CL30,CI30,CF30)=0,"",SUM(DM30,DJ30,DG30,DD30,DA30,CX30,CU30,CR30,CO30,CL30,CI30,CF30))</f>
        <v>120000</v>
      </c>
      <c r="J30" s="12" t="n">
        <f aca="false">IF(COUNT(DN30,DK30,DH30,DE30,DB30,CY30,CV30,CS30,CP30,CM30,CJ30,CG30)=0,"",SUM(DN30,DK30,DH30,DE30,DB30,CY30,CV30,CS30,CP30,CM30,CJ30,CG30))</f>
        <v>120000</v>
      </c>
      <c r="K30" s="13"/>
      <c r="L30" s="13" t="n">
        <f aca="false">IF('Cash Drivers'!L$26,Sales!K30,Sales!M30)</f>
        <v>10000</v>
      </c>
      <c r="M30" s="89" t="n">
        <v>10000</v>
      </c>
      <c r="N30" s="12"/>
      <c r="O30" s="12" t="n">
        <f aca="false">IF('Cash Drivers'!O$26,Sales!N30,Sales!P30)</f>
        <v>10000</v>
      </c>
      <c r="P30" s="90" t="n">
        <v>10000</v>
      </c>
      <c r="Q30" s="13"/>
      <c r="R30" s="13" t="n">
        <f aca="false">IF('Cash Drivers'!R$26,Sales!Q30,Sales!S30)</f>
        <v>10000</v>
      </c>
      <c r="S30" s="89" t="n">
        <v>10000</v>
      </c>
      <c r="T30" s="12"/>
      <c r="U30" s="12" t="n">
        <f aca="false">IF('Cash Drivers'!U$26,Sales!T30,Sales!V30)</f>
        <v>10000</v>
      </c>
      <c r="V30" s="90" t="n">
        <v>10000</v>
      </c>
      <c r="W30" s="13"/>
      <c r="X30" s="13" t="n">
        <f aca="false">IF('Cash Drivers'!X$26,Sales!W30,Sales!Y30)</f>
        <v>10000</v>
      </c>
      <c r="Y30" s="89" t="n">
        <v>10000</v>
      </c>
      <c r="Z30" s="12"/>
      <c r="AA30" s="12" t="n">
        <f aca="false">IF('Cash Drivers'!AA$26,Sales!Z30,Sales!AB30)</f>
        <v>10000</v>
      </c>
      <c r="AB30" s="90" t="n">
        <v>10000</v>
      </c>
      <c r="AC30" s="13"/>
      <c r="AD30" s="13" t="n">
        <f aca="false">IF('Cash Drivers'!AD$26,Sales!AC30,Sales!AE30)</f>
        <v>10000</v>
      </c>
      <c r="AE30" s="89" t="n">
        <v>10000</v>
      </c>
      <c r="AF30" s="12"/>
      <c r="AG30" s="12" t="n">
        <f aca="false">IF('Cash Drivers'!AG$26,Sales!AF30,Sales!AH30)</f>
        <v>10000</v>
      </c>
      <c r="AH30" s="90" t="n">
        <v>10000</v>
      </c>
      <c r="AI30" s="13"/>
      <c r="AJ30" s="13" t="n">
        <f aca="false">IF('Cash Drivers'!AJ$26,Sales!AI30,Sales!AK30)</f>
        <v>10000</v>
      </c>
      <c r="AK30" s="89" t="n">
        <v>10000</v>
      </c>
      <c r="AL30" s="12"/>
      <c r="AM30" s="12" t="n">
        <f aca="false">IF('Cash Drivers'!AM$26,Sales!AL30,Sales!AN30)</f>
        <v>10000</v>
      </c>
      <c r="AN30" s="90" t="n">
        <v>10000</v>
      </c>
      <c r="AO30" s="13"/>
      <c r="AP30" s="13" t="n">
        <f aca="false">IF('Cash Drivers'!AP$26,Sales!AO30,Sales!AQ30)</f>
        <v>10000</v>
      </c>
      <c r="AQ30" s="89" t="n">
        <v>10000</v>
      </c>
      <c r="AR30" s="12"/>
      <c r="AS30" s="12" t="n">
        <f aca="false">IF('Cash Drivers'!AS$26,Sales!AR30,Sales!AT30)</f>
        <v>10000</v>
      </c>
      <c r="AT30" s="90" t="n">
        <v>10000</v>
      </c>
      <c r="AU30" s="13"/>
      <c r="AV30" s="13" t="n">
        <f aca="false">IF('Cash Drivers'!AV$26,Sales!AU30,Sales!AW30)</f>
        <v>10000</v>
      </c>
      <c r="AW30" s="89" t="n">
        <v>10000</v>
      </c>
      <c r="AX30" s="12"/>
      <c r="AY30" s="12" t="n">
        <f aca="false">IF('Cash Drivers'!AY$26,Sales!AX30,Sales!AZ30)</f>
        <v>10000</v>
      </c>
      <c r="AZ30" s="90" t="n">
        <v>10000</v>
      </c>
      <c r="BA30" s="13"/>
      <c r="BB30" s="13" t="n">
        <f aca="false">IF('Cash Drivers'!BB$26,Sales!BA30,Sales!BC30)</f>
        <v>10000</v>
      </c>
      <c r="BC30" s="89" t="n">
        <v>10000</v>
      </c>
      <c r="BD30" s="12"/>
      <c r="BE30" s="12" t="n">
        <f aca="false">IF('Cash Drivers'!BE$26,Sales!BD30,Sales!BF30)</f>
        <v>10000</v>
      </c>
      <c r="BF30" s="90" t="n">
        <v>10000</v>
      </c>
      <c r="BG30" s="13"/>
      <c r="BH30" s="13" t="n">
        <f aca="false">IF('Cash Drivers'!BH$26,Sales!BG30,Sales!BI30)</f>
        <v>10000</v>
      </c>
      <c r="BI30" s="89" t="n">
        <v>10000</v>
      </c>
      <c r="BJ30" s="12"/>
      <c r="BK30" s="12" t="n">
        <f aca="false">IF('Cash Drivers'!BK$26,Sales!BJ30,Sales!BL30)</f>
        <v>10000</v>
      </c>
      <c r="BL30" s="90" t="n">
        <v>10000</v>
      </c>
      <c r="BM30" s="13"/>
      <c r="BN30" s="13" t="n">
        <f aca="false">IF('Cash Drivers'!BN$26,Sales!BM30,Sales!BO30)</f>
        <v>10000</v>
      </c>
      <c r="BO30" s="89" t="n">
        <v>10000</v>
      </c>
      <c r="BP30" s="12"/>
      <c r="BQ30" s="12" t="n">
        <f aca="false">IF('Cash Drivers'!BQ$26,Sales!BP30,Sales!BR30)</f>
        <v>10000</v>
      </c>
      <c r="BR30" s="90" t="n">
        <v>10000</v>
      </c>
      <c r="BS30" s="13"/>
      <c r="BT30" s="13" t="n">
        <f aca="false">IF('Cash Drivers'!BT$26,Sales!BS30,Sales!BU30)</f>
        <v>10000</v>
      </c>
      <c r="BU30" s="89" t="n">
        <v>10000</v>
      </c>
      <c r="BV30" s="12"/>
      <c r="BW30" s="12" t="n">
        <f aca="false">IF('Cash Drivers'!BW$26,Sales!BV30,Sales!BX30)</f>
        <v>10000</v>
      </c>
      <c r="BX30" s="90" t="n">
        <v>10000</v>
      </c>
      <c r="BY30" s="13"/>
      <c r="BZ30" s="13" t="n">
        <f aca="false">IF('Cash Drivers'!BZ$26,Sales!BY30,Sales!CA30)</f>
        <v>10000</v>
      </c>
      <c r="CA30" s="89" t="n">
        <v>10000</v>
      </c>
      <c r="CB30" s="12"/>
      <c r="CC30" s="12" t="n">
        <f aca="false">IF('Cash Drivers'!CC$26,Sales!CB30,Sales!CD30)</f>
        <v>10000</v>
      </c>
      <c r="CD30" s="90" t="n">
        <v>10000</v>
      </c>
      <c r="CE30" s="13"/>
      <c r="CF30" s="13" t="n">
        <f aca="false">IF('Cash Drivers'!CF$26,Sales!CE30,Sales!CG30)</f>
        <v>10000</v>
      </c>
      <c r="CG30" s="89" t="n">
        <v>10000</v>
      </c>
      <c r="CH30" s="12"/>
      <c r="CI30" s="12" t="n">
        <f aca="false">IF('Cash Drivers'!CI$26,Sales!CH30,Sales!CJ30)</f>
        <v>10000</v>
      </c>
      <c r="CJ30" s="90" t="n">
        <v>10000</v>
      </c>
      <c r="CK30" s="13"/>
      <c r="CL30" s="13" t="n">
        <f aca="false">IF('Cash Drivers'!CL$26,Sales!CK30,Sales!CM30)</f>
        <v>10000</v>
      </c>
      <c r="CM30" s="89" t="n">
        <v>10000</v>
      </c>
      <c r="CN30" s="12"/>
      <c r="CO30" s="12" t="n">
        <f aca="false">IF('Cash Drivers'!CO$26,Sales!CN30,Sales!CP30)</f>
        <v>10000</v>
      </c>
      <c r="CP30" s="90" t="n">
        <v>10000</v>
      </c>
      <c r="CQ30" s="13"/>
      <c r="CR30" s="13" t="n">
        <f aca="false">IF('Cash Drivers'!CR$26,Sales!CQ30,Sales!CS30)</f>
        <v>10000</v>
      </c>
      <c r="CS30" s="89" t="n">
        <v>10000</v>
      </c>
      <c r="CT30" s="12"/>
      <c r="CU30" s="12" t="n">
        <f aca="false">IF('Cash Drivers'!CU$26,Sales!CT30,Sales!CV30)</f>
        <v>10000</v>
      </c>
      <c r="CV30" s="90" t="n">
        <v>10000</v>
      </c>
      <c r="CW30" s="13"/>
      <c r="CX30" s="13" t="n">
        <f aca="false">IF('Cash Drivers'!CX$26,Sales!CW30,Sales!CY30)</f>
        <v>10000</v>
      </c>
      <c r="CY30" s="89" t="n">
        <v>10000</v>
      </c>
      <c r="CZ30" s="12"/>
      <c r="DA30" s="12" t="n">
        <f aca="false">IF('Cash Drivers'!DA$26,Sales!CZ30,Sales!DB30)</f>
        <v>10000</v>
      </c>
      <c r="DB30" s="90" t="n">
        <v>10000</v>
      </c>
      <c r="DC30" s="13"/>
      <c r="DD30" s="13" t="n">
        <f aca="false">IF('Cash Drivers'!DD$26,Sales!DC30,Sales!DE30)</f>
        <v>10000</v>
      </c>
      <c r="DE30" s="89" t="n">
        <v>10000</v>
      </c>
      <c r="DF30" s="12"/>
      <c r="DG30" s="12" t="n">
        <f aca="false">IF('Cash Drivers'!DG$26,Sales!DF30,Sales!DH30)</f>
        <v>10000</v>
      </c>
      <c r="DH30" s="90" t="n">
        <v>10000</v>
      </c>
      <c r="DI30" s="89" t="n">
        <v>10000</v>
      </c>
      <c r="DJ30" s="13" t="n">
        <f aca="false">IF('Cash Drivers'!DJ$26,Sales!DI30,Sales!DK30)</f>
        <v>10000</v>
      </c>
      <c r="DK30" s="89" t="n">
        <v>10000</v>
      </c>
      <c r="DL30" s="90" t="n">
        <v>10000</v>
      </c>
      <c r="DM30" s="12" t="n">
        <f aca="false">IF('Cash Drivers'!DM$26,Sales!DL30,Sales!DN30)</f>
        <v>10000</v>
      </c>
      <c r="DN30" s="90" t="n">
        <v>10000</v>
      </c>
    </row>
    <row r="31" customFormat="false" ht="15.75" hidden="false" customHeight="true" outlineLevel="0" collapsed="false">
      <c r="A31" s="5" t="s">
        <v>200</v>
      </c>
      <c r="B31" s="12" t="str">
        <f aca="false">IF(COUNT(AR31,AO31,AL31,AI31,AF31,AC31,Z31,W31,T31,Q31,N31,K31)=0,"",SUM(AR31,AO31,AL31,AI31,AF31,AC31,Z31,W31,T31,Q31,N31,K31))</f>
        <v/>
      </c>
      <c r="C31" s="12" t="n">
        <f aca="false">IF(COUNT(AS31,AP31,AM31,AJ31,AG31,AD31,AA31,X31,U31,R31,O31,L31)=0,"",SUM(AS31,AP31,AM31,AJ31,AG31,AD31,AA31,X31,U31,R31,O31,L31))</f>
        <v>120000</v>
      </c>
      <c r="D31" s="12" t="n">
        <f aca="false">IF(COUNT(AT31,AQ31,AN31,AK31,AH31,AE31,AB31,Y31,V31,S31,P31,M31)=0,"",SUM(AT31,AQ31,AN31,AK31,AH31,AE31,AB31,Y31,V31,S31,P31,M31))</f>
        <v>120000</v>
      </c>
      <c r="E31" s="13" t="str">
        <f aca="false">IF(COUNT(CB31,BY31,BV31,BS31,BP31,BM31,BJ31,BG31,BD31,BA31,AX31,AU31)=0,"",SUM(CB31,BY31,BV31,BS31,BP31,BM31,BJ31,BG31,BD31,BA31,AX31,AU31))</f>
        <v/>
      </c>
      <c r="F31" s="13" t="n">
        <f aca="false">IF(COUNT(CC31,BZ31,BW31,BT31,BQ31,BN31,BK31,BH31,BE31,BB31,AY31,AV31)=0,"",SUM(CC31,BZ31,BW31,BT31,BQ31,BN31,BK31,BH31,BE31,BB31,AY31,AV31))</f>
        <v>120000</v>
      </c>
      <c r="G31" s="13" t="n">
        <f aca="false">IF(COUNT(CD31,CA31,BX31,BU31,BR31,BO31,BL31,BI31,BF31,BC31,AZ31,AW31)=0,"",SUM(CD31,CA31,BX31,BU31,BR31,BO31,BL31,BI31,BF31,BC31,AZ31,AW31))</f>
        <v>120000</v>
      </c>
      <c r="H31" s="12" t="n">
        <f aca="false">IF(COUNT(DL31,DI31,DF31,DC31,CZ31,CW31,CT31,CQ31,CN31,CK31,CH31,CE31)=0,"",SUM(DL31,DI31,DF31,DC31,CZ31,CW31,CT31,CQ31,CN31,CK31,CH31,CE31))</f>
        <v>20000</v>
      </c>
      <c r="I31" s="12" t="n">
        <f aca="false">IF(COUNT(DM31,DJ31,DG31,DD31,DA31,CX31,CU31,CR31,CO31,CL31,CI31,CF31)=0,"",SUM(DM31,DJ31,DG31,DD31,DA31,CX31,CU31,CR31,CO31,CL31,CI31,CF31))</f>
        <v>120000</v>
      </c>
      <c r="J31" s="12" t="n">
        <f aca="false">IF(COUNT(DN31,DK31,DH31,DE31,DB31,CY31,CV31,CS31,CP31,CM31,CJ31,CG31)=0,"",SUM(DN31,DK31,DH31,DE31,DB31,CY31,CV31,CS31,CP31,CM31,CJ31,CG31))</f>
        <v>120000</v>
      </c>
      <c r="K31" s="13"/>
      <c r="L31" s="13" t="n">
        <f aca="false">IF('Cash Drivers'!L$26,Sales!K31,Sales!M31)</f>
        <v>10000</v>
      </c>
      <c r="M31" s="89" t="n">
        <v>10000</v>
      </c>
      <c r="N31" s="12"/>
      <c r="O31" s="12" t="n">
        <f aca="false">IF('Cash Drivers'!O$26,Sales!N31,Sales!P31)</f>
        <v>10000</v>
      </c>
      <c r="P31" s="90" t="n">
        <v>10000</v>
      </c>
      <c r="Q31" s="13"/>
      <c r="R31" s="13" t="n">
        <f aca="false">IF('Cash Drivers'!R$26,Sales!Q31,Sales!S31)</f>
        <v>10000</v>
      </c>
      <c r="S31" s="89" t="n">
        <v>10000</v>
      </c>
      <c r="T31" s="12"/>
      <c r="U31" s="12" t="n">
        <f aca="false">IF('Cash Drivers'!U$26,Sales!T31,Sales!V31)</f>
        <v>10000</v>
      </c>
      <c r="V31" s="90" t="n">
        <v>10000</v>
      </c>
      <c r="W31" s="13"/>
      <c r="X31" s="13" t="n">
        <f aca="false">IF('Cash Drivers'!X$26,Sales!W31,Sales!Y31)</f>
        <v>10000</v>
      </c>
      <c r="Y31" s="89" t="n">
        <v>10000</v>
      </c>
      <c r="Z31" s="12"/>
      <c r="AA31" s="12" t="n">
        <f aca="false">IF('Cash Drivers'!AA$26,Sales!Z31,Sales!AB31)</f>
        <v>10000</v>
      </c>
      <c r="AB31" s="90" t="n">
        <v>10000</v>
      </c>
      <c r="AC31" s="13"/>
      <c r="AD31" s="13" t="n">
        <f aca="false">IF('Cash Drivers'!AD$26,Sales!AC31,Sales!AE31)</f>
        <v>10000</v>
      </c>
      <c r="AE31" s="89" t="n">
        <v>10000</v>
      </c>
      <c r="AF31" s="12"/>
      <c r="AG31" s="12" t="n">
        <f aca="false">IF('Cash Drivers'!AG$26,Sales!AF31,Sales!AH31)</f>
        <v>10000</v>
      </c>
      <c r="AH31" s="90" t="n">
        <v>10000</v>
      </c>
      <c r="AI31" s="13"/>
      <c r="AJ31" s="13" t="n">
        <f aca="false">IF('Cash Drivers'!AJ$26,Sales!AI31,Sales!AK31)</f>
        <v>10000</v>
      </c>
      <c r="AK31" s="89" t="n">
        <v>10000</v>
      </c>
      <c r="AL31" s="12"/>
      <c r="AM31" s="12" t="n">
        <f aca="false">IF('Cash Drivers'!AM$26,Sales!AL31,Sales!AN31)</f>
        <v>10000</v>
      </c>
      <c r="AN31" s="90" t="n">
        <v>10000</v>
      </c>
      <c r="AO31" s="13"/>
      <c r="AP31" s="13" t="n">
        <f aca="false">IF('Cash Drivers'!AP$26,Sales!AO31,Sales!AQ31)</f>
        <v>10000</v>
      </c>
      <c r="AQ31" s="89" t="n">
        <v>10000</v>
      </c>
      <c r="AR31" s="12"/>
      <c r="AS31" s="12" t="n">
        <f aca="false">IF('Cash Drivers'!AS$26,Sales!AR31,Sales!AT31)</f>
        <v>10000</v>
      </c>
      <c r="AT31" s="90" t="n">
        <v>10000</v>
      </c>
      <c r="AU31" s="13"/>
      <c r="AV31" s="13" t="n">
        <f aca="false">IF('Cash Drivers'!AV$26,Sales!AU31,Sales!AW31)</f>
        <v>10000</v>
      </c>
      <c r="AW31" s="89" t="n">
        <v>10000</v>
      </c>
      <c r="AX31" s="12"/>
      <c r="AY31" s="12" t="n">
        <f aca="false">IF('Cash Drivers'!AY$26,Sales!AX31,Sales!AZ31)</f>
        <v>10000</v>
      </c>
      <c r="AZ31" s="90" t="n">
        <v>10000</v>
      </c>
      <c r="BA31" s="13"/>
      <c r="BB31" s="13" t="n">
        <f aca="false">IF('Cash Drivers'!BB$26,Sales!BA31,Sales!BC31)</f>
        <v>10000</v>
      </c>
      <c r="BC31" s="89" t="n">
        <v>10000</v>
      </c>
      <c r="BD31" s="12"/>
      <c r="BE31" s="12" t="n">
        <f aca="false">IF('Cash Drivers'!BE$26,Sales!BD31,Sales!BF31)</f>
        <v>10000</v>
      </c>
      <c r="BF31" s="90" t="n">
        <v>10000</v>
      </c>
      <c r="BG31" s="13"/>
      <c r="BH31" s="13" t="n">
        <f aca="false">IF('Cash Drivers'!BH$26,Sales!BG31,Sales!BI31)</f>
        <v>10000</v>
      </c>
      <c r="BI31" s="89" t="n">
        <v>10000</v>
      </c>
      <c r="BJ31" s="12"/>
      <c r="BK31" s="12" t="n">
        <f aca="false">IF('Cash Drivers'!BK$26,Sales!BJ31,Sales!BL31)</f>
        <v>10000</v>
      </c>
      <c r="BL31" s="90" t="n">
        <v>10000</v>
      </c>
      <c r="BM31" s="13"/>
      <c r="BN31" s="13" t="n">
        <f aca="false">IF('Cash Drivers'!BN$26,Sales!BM31,Sales!BO31)</f>
        <v>10000</v>
      </c>
      <c r="BO31" s="89" t="n">
        <v>10000</v>
      </c>
      <c r="BP31" s="12"/>
      <c r="BQ31" s="12" t="n">
        <f aca="false">IF('Cash Drivers'!BQ$26,Sales!BP31,Sales!BR31)</f>
        <v>10000</v>
      </c>
      <c r="BR31" s="90" t="n">
        <v>10000</v>
      </c>
      <c r="BS31" s="13"/>
      <c r="BT31" s="13" t="n">
        <f aca="false">IF('Cash Drivers'!BT$26,Sales!BS31,Sales!BU31)</f>
        <v>10000</v>
      </c>
      <c r="BU31" s="89" t="n">
        <v>10000</v>
      </c>
      <c r="BV31" s="12"/>
      <c r="BW31" s="12" t="n">
        <f aca="false">IF('Cash Drivers'!BW$26,Sales!BV31,Sales!BX31)</f>
        <v>10000</v>
      </c>
      <c r="BX31" s="90" t="n">
        <v>10000</v>
      </c>
      <c r="BY31" s="13"/>
      <c r="BZ31" s="13" t="n">
        <f aca="false">IF('Cash Drivers'!BZ$26,Sales!BY31,Sales!CA31)</f>
        <v>10000</v>
      </c>
      <c r="CA31" s="89" t="n">
        <v>10000</v>
      </c>
      <c r="CB31" s="12"/>
      <c r="CC31" s="12" t="n">
        <f aca="false">IF('Cash Drivers'!CC$26,Sales!CB31,Sales!CD31)</f>
        <v>10000</v>
      </c>
      <c r="CD31" s="90" t="n">
        <v>10000</v>
      </c>
      <c r="CE31" s="13"/>
      <c r="CF31" s="13" t="n">
        <f aca="false">IF('Cash Drivers'!CF$26,Sales!CE31,Sales!CG31)</f>
        <v>10000</v>
      </c>
      <c r="CG31" s="89" t="n">
        <v>10000</v>
      </c>
      <c r="CH31" s="12"/>
      <c r="CI31" s="12" t="n">
        <f aca="false">IF('Cash Drivers'!CI$26,Sales!CH31,Sales!CJ31)</f>
        <v>10000</v>
      </c>
      <c r="CJ31" s="90" t="n">
        <v>10000</v>
      </c>
      <c r="CK31" s="13"/>
      <c r="CL31" s="13" t="n">
        <f aca="false">IF('Cash Drivers'!CL$26,Sales!CK31,Sales!CM31)</f>
        <v>10000</v>
      </c>
      <c r="CM31" s="89" t="n">
        <v>10000</v>
      </c>
      <c r="CN31" s="12"/>
      <c r="CO31" s="12" t="n">
        <f aca="false">IF('Cash Drivers'!CO$26,Sales!CN31,Sales!CP31)</f>
        <v>10000</v>
      </c>
      <c r="CP31" s="90" t="n">
        <v>10000</v>
      </c>
      <c r="CQ31" s="13"/>
      <c r="CR31" s="13" t="n">
        <f aca="false">IF('Cash Drivers'!CR$26,Sales!CQ31,Sales!CS31)</f>
        <v>10000</v>
      </c>
      <c r="CS31" s="89" t="n">
        <v>10000</v>
      </c>
      <c r="CT31" s="12"/>
      <c r="CU31" s="12" t="n">
        <f aca="false">IF('Cash Drivers'!CU$26,Sales!CT31,Sales!CV31)</f>
        <v>10000</v>
      </c>
      <c r="CV31" s="90" t="n">
        <v>10000</v>
      </c>
      <c r="CW31" s="13"/>
      <c r="CX31" s="13" t="n">
        <f aca="false">IF('Cash Drivers'!CX$26,Sales!CW31,Sales!CY31)</f>
        <v>10000</v>
      </c>
      <c r="CY31" s="89" t="n">
        <v>10000</v>
      </c>
      <c r="CZ31" s="12"/>
      <c r="DA31" s="12" t="n">
        <f aca="false">IF('Cash Drivers'!DA$26,Sales!CZ31,Sales!DB31)</f>
        <v>10000</v>
      </c>
      <c r="DB31" s="90" t="n">
        <v>10000</v>
      </c>
      <c r="DC31" s="13"/>
      <c r="DD31" s="13" t="n">
        <f aca="false">IF('Cash Drivers'!DD$26,Sales!DC31,Sales!DE31)</f>
        <v>10000</v>
      </c>
      <c r="DE31" s="89" t="n">
        <v>10000</v>
      </c>
      <c r="DF31" s="12"/>
      <c r="DG31" s="12" t="n">
        <f aca="false">IF('Cash Drivers'!DG$26,Sales!DF31,Sales!DH31)</f>
        <v>10000</v>
      </c>
      <c r="DH31" s="90" t="n">
        <v>10000</v>
      </c>
      <c r="DI31" s="89" t="n">
        <v>10000</v>
      </c>
      <c r="DJ31" s="13" t="n">
        <f aca="false">IF('Cash Drivers'!DJ$26,Sales!DI31,Sales!DK31)</f>
        <v>10000</v>
      </c>
      <c r="DK31" s="89" t="n">
        <v>10000</v>
      </c>
      <c r="DL31" s="90" t="n">
        <v>10000</v>
      </c>
      <c r="DM31" s="12" t="n">
        <f aca="false">IF('Cash Drivers'!DM$26,Sales!DL31,Sales!DN31)</f>
        <v>10000</v>
      </c>
      <c r="DN31" s="90" t="n">
        <v>10000</v>
      </c>
    </row>
    <row r="32" customFormat="false" ht="15.75" hidden="false" customHeight="true" outlineLevel="0" collapsed="false">
      <c r="A32" s="5" t="s">
        <v>200</v>
      </c>
      <c r="B32" s="12" t="str">
        <f aca="false">IF(COUNT(AR32,AO32,AL32,AI32,AF32,AC32,Z32,W32,T32,Q32,N32,K32)=0,"",SUM(AR32,AO32,AL32,AI32,AF32,AC32,Z32,W32,T32,Q32,N32,K32))</f>
        <v/>
      </c>
      <c r="C32" s="12" t="n">
        <f aca="false">IF(COUNT(AS32,AP32,AM32,AJ32,AG32,AD32,AA32,X32,U32,R32,O32,L32)=0,"",SUM(AS32,AP32,AM32,AJ32,AG32,AD32,AA32,X32,U32,R32,O32,L32))</f>
        <v>120000</v>
      </c>
      <c r="D32" s="12" t="n">
        <f aca="false">IF(COUNT(AT32,AQ32,AN32,AK32,AH32,AE32,AB32,Y32,V32,S32,P32,M32)=0,"",SUM(AT32,AQ32,AN32,AK32,AH32,AE32,AB32,Y32,V32,S32,P32,M32))</f>
        <v>120000</v>
      </c>
      <c r="E32" s="13" t="str">
        <f aca="false">IF(COUNT(CB32,BY32,BV32,BS32,BP32,BM32,BJ32,BG32,BD32,BA32,AX32,AU32)=0,"",SUM(CB32,BY32,BV32,BS32,BP32,BM32,BJ32,BG32,BD32,BA32,AX32,AU32))</f>
        <v/>
      </c>
      <c r="F32" s="13" t="n">
        <f aca="false">IF(COUNT(CC32,BZ32,BW32,BT32,BQ32,BN32,BK32,BH32,BE32,BB32,AY32,AV32)=0,"",SUM(CC32,BZ32,BW32,BT32,BQ32,BN32,BK32,BH32,BE32,BB32,AY32,AV32))</f>
        <v>120000</v>
      </c>
      <c r="G32" s="13" t="n">
        <f aca="false">IF(COUNT(CD32,CA32,BX32,BU32,BR32,BO32,BL32,BI32,BF32,BC32,AZ32,AW32)=0,"",SUM(CD32,CA32,BX32,BU32,BR32,BO32,BL32,BI32,BF32,BC32,AZ32,AW32))</f>
        <v>120000</v>
      </c>
      <c r="H32" s="12" t="n">
        <f aca="false">IF(COUNT(DL32,DI32,DF32,DC32,CZ32,CW32,CT32,CQ32,CN32,CK32,CH32,CE32)=0,"",SUM(DL32,DI32,DF32,DC32,CZ32,CW32,CT32,CQ32,CN32,CK32,CH32,CE32))</f>
        <v>20000</v>
      </c>
      <c r="I32" s="12" t="n">
        <f aca="false">IF(COUNT(DM32,DJ32,DG32,DD32,DA32,CX32,CU32,CR32,CO32,CL32,CI32,CF32)=0,"",SUM(DM32,DJ32,DG32,DD32,DA32,CX32,CU32,CR32,CO32,CL32,CI32,CF32))</f>
        <v>120000</v>
      </c>
      <c r="J32" s="12" t="n">
        <f aca="false">IF(COUNT(DN32,DK32,DH32,DE32,DB32,CY32,CV32,CS32,CP32,CM32,CJ32,CG32)=0,"",SUM(DN32,DK32,DH32,DE32,DB32,CY32,CV32,CS32,CP32,CM32,CJ32,CG32))</f>
        <v>120000</v>
      </c>
      <c r="K32" s="13"/>
      <c r="L32" s="13" t="n">
        <f aca="false">IF('Cash Drivers'!L$26,Sales!K32,Sales!M32)</f>
        <v>10000</v>
      </c>
      <c r="M32" s="89" t="n">
        <v>10000</v>
      </c>
      <c r="N32" s="12"/>
      <c r="O32" s="12" t="n">
        <f aca="false">IF('Cash Drivers'!O$26,Sales!N32,Sales!P32)</f>
        <v>10000</v>
      </c>
      <c r="P32" s="90" t="n">
        <v>10000</v>
      </c>
      <c r="Q32" s="13"/>
      <c r="R32" s="13" t="n">
        <f aca="false">IF('Cash Drivers'!R$26,Sales!Q32,Sales!S32)</f>
        <v>10000</v>
      </c>
      <c r="S32" s="89" t="n">
        <v>10000</v>
      </c>
      <c r="T32" s="12"/>
      <c r="U32" s="12" t="n">
        <f aca="false">IF('Cash Drivers'!U$26,Sales!T32,Sales!V32)</f>
        <v>10000</v>
      </c>
      <c r="V32" s="90" t="n">
        <v>10000</v>
      </c>
      <c r="W32" s="13"/>
      <c r="X32" s="13" t="n">
        <f aca="false">IF('Cash Drivers'!X$26,Sales!W32,Sales!Y32)</f>
        <v>10000</v>
      </c>
      <c r="Y32" s="89" t="n">
        <v>10000</v>
      </c>
      <c r="Z32" s="12"/>
      <c r="AA32" s="12" t="n">
        <f aca="false">IF('Cash Drivers'!AA$26,Sales!Z32,Sales!AB32)</f>
        <v>10000</v>
      </c>
      <c r="AB32" s="90" t="n">
        <v>10000</v>
      </c>
      <c r="AC32" s="13"/>
      <c r="AD32" s="13" t="n">
        <f aca="false">IF('Cash Drivers'!AD$26,Sales!AC32,Sales!AE32)</f>
        <v>10000</v>
      </c>
      <c r="AE32" s="89" t="n">
        <v>10000</v>
      </c>
      <c r="AF32" s="12"/>
      <c r="AG32" s="12" t="n">
        <f aca="false">IF('Cash Drivers'!AG$26,Sales!AF32,Sales!AH32)</f>
        <v>10000</v>
      </c>
      <c r="AH32" s="90" t="n">
        <v>10000</v>
      </c>
      <c r="AI32" s="13"/>
      <c r="AJ32" s="13" t="n">
        <f aca="false">IF('Cash Drivers'!AJ$26,Sales!AI32,Sales!AK32)</f>
        <v>10000</v>
      </c>
      <c r="AK32" s="89" t="n">
        <v>10000</v>
      </c>
      <c r="AL32" s="12"/>
      <c r="AM32" s="12" t="n">
        <f aca="false">IF('Cash Drivers'!AM$26,Sales!AL32,Sales!AN32)</f>
        <v>10000</v>
      </c>
      <c r="AN32" s="90" t="n">
        <v>10000</v>
      </c>
      <c r="AO32" s="13"/>
      <c r="AP32" s="13" t="n">
        <f aca="false">IF('Cash Drivers'!AP$26,Sales!AO32,Sales!AQ32)</f>
        <v>10000</v>
      </c>
      <c r="AQ32" s="89" t="n">
        <v>10000</v>
      </c>
      <c r="AR32" s="12"/>
      <c r="AS32" s="12" t="n">
        <f aca="false">IF('Cash Drivers'!AS$26,Sales!AR32,Sales!AT32)</f>
        <v>10000</v>
      </c>
      <c r="AT32" s="90" t="n">
        <v>10000</v>
      </c>
      <c r="AU32" s="13"/>
      <c r="AV32" s="13" t="n">
        <f aca="false">IF('Cash Drivers'!AV$26,Sales!AU32,Sales!AW32)</f>
        <v>10000</v>
      </c>
      <c r="AW32" s="89" t="n">
        <v>10000</v>
      </c>
      <c r="AX32" s="12"/>
      <c r="AY32" s="12" t="n">
        <f aca="false">IF('Cash Drivers'!AY$26,Sales!AX32,Sales!AZ32)</f>
        <v>10000</v>
      </c>
      <c r="AZ32" s="90" t="n">
        <v>10000</v>
      </c>
      <c r="BA32" s="13"/>
      <c r="BB32" s="13" t="n">
        <f aca="false">IF('Cash Drivers'!BB$26,Sales!BA32,Sales!BC32)</f>
        <v>10000</v>
      </c>
      <c r="BC32" s="89" t="n">
        <v>10000</v>
      </c>
      <c r="BD32" s="12"/>
      <c r="BE32" s="12" t="n">
        <f aca="false">IF('Cash Drivers'!BE$26,Sales!BD32,Sales!BF32)</f>
        <v>10000</v>
      </c>
      <c r="BF32" s="90" t="n">
        <v>10000</v>
      </c>
      <c r="BG32" s="13"/>
      <c r="BH32" s="13" t="n">
        <f aca="false">IF('Cash Drivers'!BH$26,Sales!BG32,Sales!BI32)</f>
        <v>10000</v>
      </c>
      <c r="BI32" s="89" t="n">
        <v>10000</v>
      </c>
      <c r="BJ32" s="12"/>
      <c r="BK32" s="12" t="n">
        <f aca="false">IF('Cash Drivers'!BK$26,Sales!BJ32,Sales!BL32)</f>
        <v>10000</v>
      </c>
      <c r="BL32" s="90" t="n">
        <v>10000</v>
      </c>
      <c r="BM32" s="13"/>
      <c r="BN32" s="13" t="n">
        <f aca="false">IF('Cash Drivers'!BN$26,Sales!BM32,Sales!BO32)</f>
        <v>10000</v>
      </c>
      <c r="BO32" s="89" t="n">
        <v>10000</v>
      </c>
      <c r="BP32" s="12"/>
      <c r="BQ32" s="12" t="n">
        <f aca="false">IF('Cash Drivers'!BQ$26,Sales!BP32,Sales!BR32)</f>
        <v>10000</v>
      </c>
      <c r="BR32" s="90" t="n">
        <v>10000</v>
      </c>
      <c r="BS32" s="13"/>
      <c r="BT32" s="13" t="n">
        <f aca="false">IF('Cash Drivers'!BT$26,Sales!BS32,Sales!BU32)</f>
        <v>10000</v>
      </c>
      <c r="BU32" s="89" t="n">
        <v>10000</v>
      </c>
      <c r="BV32" s="12"/>
      <c r="BW32" s="12" t="n">
        <f aca="false">IF('Cash Drivers'!BW$26,Sales!BV32,Sales!BX32)</f>
        <v>10000</v>
      </c>
      <c r="BX32" s="90" t="n">
        <v>10000</v>
      </c>
      <c r="BY32" s="13"/>
      <c r="BZ32" s="13" t="n">
        <f aca="false">IF('Cash Drivers'!BZ$26,Sales!BY32,Sales!CA32)</f>
        <v>10000</v>
      </c>
      <c r="CA32" s="89" t="n">
        <v>10000</v>
      </c>
      <c r="CB32" s="12"/>
      <c r="CC32" s="12" t="n">
        <f aca="false">IF('Cash Drivers'!CC$26,Sales!CB32,Sales!CD32)</f>
        <v>10000</v>
      </c>
      <c r="CD32" s="90" t="n">
        <v>10000</v>
      </c>
      <c r="CE32" s="13"/>
      <c r="CF32" s="13" t="n">
        <f aca="false">IF('Cash Drivers'!CF$26,Sales!CE32,Sales!CG32)</f>
        <v>10000</v>
      </c>
      <c r="CG32" s="89" t="n">
        <v>10000</v>
      </c>
      <c r="CH32" s="12"/>
      <c r="CI32" s="12" t="n">
        <f aca="false">IF('Cash Drivers'!CI$26,Sales!CH32,Sales!CJ32)</f>
        <v>10000</v>
      </c>
      <c r="CJ32" s="90" t="n">
        <v>10000</v>
      </c>
      <c r="CK32" s="13"/>
      <c r="CL32" s="13" t="n">
        <f aca="false">IF('Cash Drivers'!CL$26,Sales!CK32,Sales!CM32)</f>
        <v>10000</v>
      </c>
      <c r="CM32" s="89" t="n">
        <v>10000</v>
      </c>
      <c r="CN32" s="12"/>
      <c r="CO32" s="12" t="n">
        <f aca="false">IF('Cash Drivers'!CO$26,Sales!CN32,Sales!CP32)</f>
        <v>10000</v>
      </c>
      <c r="CP32" s="90" t="n">
        <v>10000</v>
      </c>
      <c r="CQ32" s="13"/>
      <c r="CR32" s="13" t="n">
        <f aca="false">IF('Cash Drivers'!CR$26,Sales!CQ32,Sales!CS32)</f>
        <v>10000</v>
      </c>
      <c r="CS32" s="89" t="n">
        <v>10000</v>
      </c>
      <c r="CT32" s="12"/>
      <c r="CU32" s="12" t="n">
        <f aca="false">IF('Cash Drivers'!CU$26,Sales!CT32,Sales!CV32)</f>
        <v>10000</v>
      </c>
      <c r="CV32" s="90" t="n">
        <v>10000</v>
      </c>
      <c r="CW32" s="13"/>
      <c r="CX32" s="13" t="n">
        <f aca="false">IF('Cash Drivers'!CX$26,Sales!CW32,Sales!CY32)</f>
        <v>10000</v>
      </c>
      <c r="CY32" s="89" t="n">
        <v>10000</v>
      </c>
      <c r="CZ32" s="12"/>
      <c r="DA32" s="12" t="n">
        <f aca="false">IF('Cash Drivers'!DA$26,Sales!CZ32,Sales!DB32)</f>
        <v>10000</v>
      </c>
      <c r="DB32" s="90" t="n">
        <v>10000</v>
      </c>
      <c r="DC32" s="13"/>
      <c r="DD32" s="13" t="n">
        <f aca="false">IF('Cash Drivers'!DD$26,Sales!DC32,Sales!DE32)</f>
        <v>10000</v>
      </c>
      <c r="DE32" s="89" t="n">
        <v>10000</v>
      </c>
      <c r="DF32" s="12"/>
      <c r="DG32" s="12" t="n">
        <f aca="false">IF('Cash Drivers'!DG$26,Sales!DF32,Sales!DH32)</f>
        <v>10000</v>
      </c>
      <c r="DH32" s="90" t="n">
        <v>10000</v>
      </c>
      <c r="DI32" s="89" t="n">
        <v>10000</v>
      </c>
      <c r="DJ32" s="13" t="n">
        <f aca="false">IF('Cash Drivers'!DJ$26,Sales!DI32,Sales!DK32)</f>
        <v>10000</v>
      </c>
      <c r="DK32" s="89" t="n">
        <v>10000</v>
      </c>
      <c r="DL32" s="90" t="n">
        <v>10000</v>
      </c>
      <c r="DM32" s="12" t="n">
        <f aca="false">IF('Cash Drivers'!DM$26,Sales!DL32,Sales!DN32)</f>
        <v>10000</v>
      </c>
      <c r="DN32" s="90" t="n">
        <v>10000</v>
      </c>
    </row>
    <row r="33" customFormat="false" ht="15.75" hidden="false" customHeight="true" outlineLevel="0" collapsed="false">
      <c r="A33" s="5" t="s">
        <v>200</v>
      </c>
      <c r="B33" s="12" t="str">
        <f aca="false">IF(COUNT(AR33,AO33,AL33,AI33,AF33,AC33,Z33,W33,T33,Q33,N33,K33)=0,"",SUM(AR33,AO33,AL33,AI33,AF33,AC33,Z33,W33,T33,Q33,N33,K33))</f>
        <v/>
      </c>
      <c r="C33" s="12" t="n">
        <f aca="false">IF(COUNT(AS33,AP33,AM33,AJ33,AG33,AD33,AA33,X33,U33,R33,O33,L33)=0,"",SUM(AS33,AP33,AM33,AJ33,AG33,AD33,AA33,X33,U33,R33,O33,L33))</f>
        <v>144000</v>
      </c>
      <c r="D33" s="12" t="n">
        <f aca="false">IF(COUNT(AT33,AQ33,AN33,AK33,AH33,AE33,AB33,Y33,V33,S33,P33,M33)=0,"",SUM(AT33,AQ33,AN33,AK33,AH33,AE33,AB33,Y33,V33,S33,P33,M33))</f>
        <v>144000</v>
      </c>
      <c r="E33" s="13" t="str">
        <f aca="false">IF(COUNT(CB33,BY33,BV33,BS33,BP33,BM33,BJ33,BG33,BD33,BA33,AX33,AU33)=0,"",SUM(CB33,BY33,BV33,BS33,BP33,BM33,BJ33,BG33,BD33,BA33,AX33,AU33))</f>
        <v/>
      </c>
      <c r="F33" s="13" t="n">
        <f aca="false">IF(COUNT(CC33,BZ33,BW33,BT33,BQ33,BN33,BK33,BH33,BE33,BB33,AY33,AV33)=0,"",SUM(CC33,BZ33,BW33,BT33,BQ33,BN33,BK33,BH33,BE33,BB33,AY33,AV33))</f>
        <v>144000</v>
      </c>
      <c r="G33" s="13" t="n">
        <f aca="false">IF(COUNT(CD33,CA33,BX33,BU33,BR33,BO33,BL33,BI33,BF33,BC33,AZ33,AW33)=0,"",SUM(CD33,CA33,BX33,BU33,BR33,BO33,BL33,BI33,BF33,BC33,AZ33,AW33))</f>
        <v>144000</v>
      </c>
      <c r="H33" s="12" t="str">
        <f aca="false">IF(COUNT(DL33,DI33,DF33,DC33,CZ33,CW33,CT33,CQ33,CN33,CK33,CH33,CE33)=0,"",SUM(DL33,DI33,DF33,DC33,CZ33,CW33,CT33,CQ33,CN33,CK33,CH33,CE33))</f>
        <v/>
      </c>
      <c r="I33" s="12" t="n">
        <f aca="false">IF(COUNT(DM33,DJ33,DG33,DD33,DA33,CX33,CU33,CR33,CO33,CL33,CI33,CF33)=0,"",SUM(DM33,DJ33,DG33,DD33,DA33,CX33,CU33,CR33,CO33,CL33,CI33,CF33))</f>
        <v>72000</v>
      </c>
      <c r="J33" s="12" t="n">
        <f aca="false">IF(COUNT(DN33,DK33,DH33,DE33,DB33,CY33,CV33,CS33,CP33,CM33,CJ33,CG33)=0,"",SUM(DN33,DK33,DH33,DE33,DB33,CY33,CV33,CS33,CP33,CM33,CJ33,CG33))</f>
        <v>72000</v>
      </c>
      <c r="K33" s="13"/>
      <c r="L33" s="13" t="n">
        <f aca="false">IF('Cash Drivers'!L$26,Sales!K33,Sales!M33)</f>
        <v>12000</v>
      </c>
      <c r="M33" s="89" t="n">
        <v>12000</v>
      </c>
      <c r="N33" s="12"/>
      <c r="O33" s="12" t="n">
        <f aca="false">IF('Cash Drivers'!O$26,Sales!N33,Sales!P33)</f>
        <v>12000</v>
      </c>
      <c r="P33" s="90" t="n">
        <v>12000</v>
      </c>
      <c r="Q33" s="13"/>
      <c r="R33" s="13" t="n">
        <f aca="false">IF('Cash Drivers'!R$26,Sales!Q33,Sales!S33)</f>
        <v>12000</v>
      </c>
      <c r="S33" s="89" t="n">
        <v>12000</v>
      </c>
      <c r="T33" s="12"/>
      <c r="U33" s="12" t="n">
        <f aca="false">IF('Cash Drivers'!U$26,Sales!T33,Sales!V33)</f>
        <v>12000</v>
      </c>
      <c r="V33" s="90" t="n">
        <v>12000</v>
      </c>
      <c r="W33" s="13"/>
      <c r="X33" s="13" t="n">
        <f aca="false">IF('Cash Drivers'!X$26,Sales!W33,Sales!Y33)</f>
        <v>12000</v>
      </c>
      <c r="Y33" s="89" t="n">
        <v>12000</v>
      </c>
      <c r="Z33" s="12"/>
      <c r="AA33" s="12" t="n">
        <f aca="false">IF('Cash Drivers'!AA$26,Sales!Z33,Sales!AB33)</f>
        <v>12000</v>
      </c>
      <c r="AB33" s="90" t="n">
        <v>12000</v>
      </c>
      <c r="AC33" s="13"/>
      <c r="AD33" s="13" t="n">
        <f aca="false">IF('Cash Drivers'!AD$26,Sales!AC33,Sales!AE33)</f>
        <v>12000</v>
      </c>
      <c r="AE33" s="89" t="n">
        <v>12000</v>
      </c>
      <c r="AF33" s="12"/>
      <c r="AG33" s="12" t="n">
        <f aca="false">IF('Cash Drivers'!AG$26,Sales!AF33,Sales!AH33)</f>
        <v>12000</v>
      </c>
      <c r="AH33" s="90" t="n">
        <v>12000</v>
      </c>
      <c r="AI33" s="13"/>
      <c r="AJ33" s="13" t="n">
        <f aca="false">IF('Cash Drivers'!AJ$26,Sales!AI33,Sales!AK33)</f>
        <v>12000</v>
      </c>
      <c r="AK33" s="89" t="n">
        <v>12000</v>
      </c>
      <c r="AL33" s="12"/>
      <c r="AM33" s="12" t="n">
        <f aca="false">IF('Cash Drivers'!AM$26,Sales!AL33,Sales!AN33)</f>
        <v>12000</v>
      </c>
      <c r="AN33" s="90" t="n">
        <v>12000</v>
      </c>
      <c r="AO33" s="13"/>
      <c r="AP33" s="13" t="n">
        <f aca="false">IF('Cash Drivers'!AP$26,Sales!AO33,Sales!AQ33)</f>
        <v>12000</v>
      </c>
      <c r="AQ33" s="89" t="n">
        <v>12000</v>
      </c>
      <c r="AR33" s="12"/>
      <c r="AS33" s="12" t="n">
        <f aca="false">IF('Cash Drivers'!AS$26,Sales!AR33,Sales!AT33)</f>
        <v>12000</v>
      </c>
      <c r="AT33" s="90" t="n">
        <v>12000</v>
      </c>
      <c r="AU33" s="13"/>
      <c r="AV33" s="13" t="n">
        <f aca="false">IF('Cash Drivers'!AV$26,Sales!AU33,Sales!AW33)</f>
        <v>12000</v>
      </c>
      <c r="AW33" s="89" t="n">
        <v>12000</v>
      </c>
      <c r="AX33" s="12"/>
      <c r="AY33" s="12" t="n">
        <f aca="false">IF('Cash Drivers'!AY$26,Sales!AX33,Sales!AZ33)</f>
        <v>12000</v>
      </c>
      <c r="AZ33" s="90" t="n">
        <v>12000</v>
      </c>
      <c r="BA33" s="13"/>
      <c r="BB33" s="13" t="n">
        <f aca="false">IF('Cash Drivers'!BB$26,Sales!BA33,Sales!BC33)</f>
        <v>12000</v>
      </c>
      <c r="BC33" s="89" t="n">
        <v>12000</v>
      </c>
      <c r="BD33" s="12"/>
      <c r="BE33" s="12" t="n">
        <f aca="false">IF('Cash Drivers'!BE$26,Sales!BD33,Sales!BF33)</f>
        <v>12000</v>
      </c>
      <c r="BF33" s="90" t="n">
        <v>12000</v>
      </c>
      <c r="BG33" s="13"/>
      <c r="BH33" s="13" t="n">
        <f aca="false">IF('Cash Drivers'!BH$26,Sales!BG33,Sales!BI33)</f>
        <v>12000</v>
      </c>
      <c r="BI33" s="89" t="n">
        <v>12000</v>
      </c>
      <c r="BJ33" s="12"/>
      <c r="BK33" s="12" t="n">
        <f aca="false">IF('Cash Drivers'!BK$26,Sales!BJ33,Sales!BL33)</f>
        <v>12000</v>
      </c>
      <c r="BL33" s="90" t="n">
        <v>12000</v>
      </c>
      <c r="BM33" s="13"/>
      <c r="BN33" s="13" t="n">
        <f aca="false">IF('Cash Drivers'!BN$26,Sales!BM33,Sales!BO33)</f>
        <v>12000</v>
      </c>
      <c r="BO33" s="89" t="n">
        <v>12000</v>
      </c>
      <c r="BP33" s="12"/>
      <c r="BQ33" s="12" t="n">
        <f aca="false">IF('Cash Drivers'!BQ$26,Sales!BP33,Sales!BR33)</f>
        <v>12000</v>
      </c>
      <c r="BR33" s="90" t="n">
        <v>12000</v>
      </c>
      <c r="BS33" s="13"/>
      <c r="BT33" s="13" t="n">
        <f aca="false">IF('Cash Drivers'!BT$26,Sales!BS33,Sales!BU33)</f>
        <v>12000</v>
      </c>
      <c r="BU33" s="89" t="n">
        <v>12000</v>
      </c>
      <c r="BV33" s="12"/>
      <c r="BW33" s="12" t="n">
        <f aca="false">IF('Cash Drivers'!BW$26,Sales!BV33,Sales!BX33)</f>
        <v>12000</v>
      </c>
      <c r="BX33" s="90" t="n">
        <v>12000</v>
      </c>
      <c r="BY33" s="13"/>
      <c r="BZ33" s="13" t="n">
        <f aca="false">IF('Cash Drivers'!BZ$26,Sales!BY33,Sales!CA33)</f>
        <v>12000</v>
      </c>
      <c r="CA33" s="89" t="n">
        <v>12000</v>
      </c>
      <c r="CB33" s="12"/>
      <c r="CC33" s="12" t="n">
        <f aca="false">IF('Cash Drivers'!CC$26,Sales!CB33,Sales!CD33)</f>
        <v>12000</v>
      </c>
      <c r="CD33" s="90" t="n">
        <v>12000</v>
      </c>
      <c r="CE33" s="13"/>
      <c r="CF33" s="13" t="n">
        <f aca="false">IF('Cash Drivers'!CF$26,Sales!CE33,Sales!CG33)</f>
        <v>12000</v>
      </c>
      <c r="CG33" s="89" t="n">
        <v>12000</v>
      </c>
      <c r="CH33" s="12"/>
      <c r="CI33" s="12" t="n">
        <f aca="false">IF('Cash Drivers'!CI$26,Sales!CH33,Sales!CJ33)</f>
        <v>12000</v>
      </c>
      <c r="CJ33" s="90" t="n">
        <v>12000</v>
      </c>
      <c r="CK33" s="13"/>
      <c r="CL33" s="13" t="n">
        <f aca="false">IF('Cash Drivers'!CL$26,Sales!CK33,Sales!CM33)</f>
        <v>12000</v>
      </c>
      <c r="CM33" s="89" t="n">
        <v>12000</v>
      </c>
      <c r="CN33" s="12"/>
      <c r="CO33" s="12" t="n">
        <f aca="false">IF('Cash Drivers'!CO$26,Sales!CN33,Sales!CP33)</f>
        <v>12000</v>
      </c>
      <c r="CP33" s="90" t="n">
        <v>12000</v>
      </c>
      <c r="CQ33" s="13"/>
      <c r="CR33" s="13" t="n">
        <f aca="false">IF('Cash Drivers'!CR$26,Sales!CQ33,Sales!CS33)</f>
        <v>12000</v>
      </c>
      <c r="CS33" s="89" t="n">
        <v>12000</v>
      </c>
      <c r="CT33" s="12"/>
      <c r="CU33" s="12" t="n">
        <f aca="false">IF('Cash Drivers'!CU$26,Sales!CT33,Sales!CV33)</f>
        <v>12000</v>
      </c>
      <c r="CV33" s="90" t="n">
        <v>12000</v>
      </c>
      <c r="CZ33" s="91"/>
      <c r="DA33" s="91"/>
      <c r="DB33" s="91"/>
      <c r="DF33" s="91"/>
      <c r="DG33" s="91"/>
      <c r="DH33" s="91"/>
      <c r="DL33" s="91"/>
      <c r="DM33" s="91"/>
      <c r="DN33" s="91"/>
    </row>
    <row r="34" customFormat="false" ht="15.75" hidden="false" customHeight="true" outlineLevel="0" collapsed="false">
      <c r="A34" s="5" t="s">
        <v>200</v>
      </c>
      <c r="B34" s="12" t="str">
        <f aca="false">IF(COUNT(AR34,AO34,AL34,AI34,AF34,AC34,Z34,W34,T34,Q34,N34,K34)=0,"",SUM(AR34,AO34,AL34,AI34,AF34,AC34,Z34,W34,T34,Q34,N34,K34))</f>
        <v/>
      </c>
      <c r="C34" s="12" t="n">
        <f aca="false">IF(COUNT(AS34,AP34,AM34,AJ34,AG34,AD34,AA34,X34,U34,R34,O34,L34)=0,"",SUM(AS34,AP34,AM34,AJ34,AG34,AD34,AA34,X34,U34,R34,O34,L34))</f>
        <v>144000</v>
      </c>
      <c r="D34" s="12" t="n">
        <f aca="false">IF(COUNT(AT34,AQ34,AN34,AK34,AH34,AE34,AB34,Y34,V34,S34,P34,M34)=0,"",SUM(AT34,AQ34,AN34,AK34,AH34,AE34,AB34,Y34,V34,S34,P34,M34))</f>
        <v>144000</v>
      </c>
      <c r="E34" s="13" t="str">
        <f aca="false">IF(COUNT(CB34,BY34,BV34,BS34,BP34,BM34,BJ34,BG34,BD34,BA34,AX34,AU34)=0,"",SUM(CB34,BY34,BV34,BS34,BP34,BM34,BJ34,BG34,BD34,BA34,AX34,AU34))</f>
        <v/>
      </c>
      <c r="F34" s="13" t="n">
        <f aca="false">IF(COUNT(CC34,BZ34,BW34,BT34,BQ34,BN34,BK34,BH34,BE34,BB34,AY34,AV34)=0,"",SUM(CC34,BZ34,BW34,BT34,BQ34,BN34,BK34,BH34,BE34,BB34,AY34,AV34))</f>
        <v>144000</v>
      </c>
      <c r="G34" s="13" t="n">
        <f aca="false">IF(COUNT(CD34,CA34,BX34,BU34,BR34,BO34,BL34,BI34,BF34,BC34,AZ34,AW34)=0,"",SUM(CD34,CA34,BX34,BU34,BR34,BO34,BL34,BI34,BF34,BC34,AZ34,AW34))</f>
        <v>144000</v>
      </c>
      <c r="H34" s="12" t="str">
        <f aca="false">IF(COUNT(DL34,DI34,DF34,DC34,CZ34,CW34,CT34,CQ34,CN34,CK34,CH34,CE34)=0,"",SUM(DL34,DI34,DF34,DC34,CZ34,CW34,CT34,CQ34,CN34,CK34,CH34,CE34))</f>
        <v/>
      </c>
      <c r="I34" s="12" t="str">
        <f aca="false">IF(COUNT(DM34,DJ34,DG34,DD34,DA34,CX34,CU34,CR34,CO34,CL34,CI34,CF34)=0,"",SUM(DM34,DJ34,DG34,DD34,DA34,CX34,CU34,CR34,CO34,CL34,CI34,CF34))</f>
        <v/>
      </c>
      <c r="J34" s="12" t="str">
        <f aca="false">IF(COUNT(DN34,DK34,DH34,DE34,DB34,CY34,CV34,CS34,CP34,CM34,CJ34,CG34)=0,"",SUM(DN34,DK34,DH34,DE34,DB34,CY34,CV34,CS34,CP34,CM34,CJ34,CG34))</f>
        <v/>
      </c>
      <c r="K34" s="13"/>
      <c r="L34" s="13" t="n">
        <f aca="false">IF('Cash Drivers'!L$26,Sales!K34,Sales!M34)</f>
        <v>12000</v>
      </c>
      <c r="M34" s="89" t="n">
        <v>12000</v>
      </c>
      <c r="N34" s="12"/>
      <c r="O34" s="12" t="n">
        <f aca="false">IF('Cash Drivers'!O$26,Sales!N34,Sales!P34)</f>
        <v>12000</v>
      </c>
      <c r="P34" s="90" t="n">
        <v>12000</v>
      </c>
      <c r="Q34" s="13"/>
      <c r="R34" s="13" t="n">
        <f aca="false">IF('Cash Drivers'!R$26,Sales!Q34,Sales!S34)</f>
        <v>12000</v>
      </c>
      <c r="S34" s="89" t="n">
        <v>12000</v>
      </c>
      <c r="T34" s="12"/>
      <c r="U34" s="12" t="n">
        <f aca="false">IF('Cash Drivers'!U$26,Sales!T34,Sales!V34)</f>
        <v>12000</v>
      </c>
      <c r="V34" s="90" t="n">
        <v>12000</v>
      </c>
      <c r="W34" s="13"/>
      <c r="X34" s="13" t="n">
        <f aca="false">IF('Cash Drivers'!X$26,Sales!W34,Sales!Y34)</f>
        <v>12000</v>
      </c>
      <c r="Y34" s="89" t="n">
        <v>12000</v>
      </c>
      <c r="Z34" s="12"/>
      <c r="AA34" s="12" t="n">
        <f aca="false">IF('Cash Drivers'!AA$26,Sales!Z34,Sales!AB34)</f>
        <v>12000</v>
      </c>
      <c r="AB34" s="90" t="n">
        <v>12000</v>
      </c>
      <c r="AC34" s="13"/>
      <c r="AD34" s="13" t="n">
        <f aca="false">IF('Cash Drivers'!AD$26,Sales!AC34,Sales!AE34)</f>
        <v>12000</v>
      </c>
      <c r="AE34" s="89" t="n">
        <v>12000</v>
      </c>
      <c r="AF34" s="12"/>
      <c r="AG34" s="12" t="n">
        <f aca="false">IF('Cash Drivers'!AG$26,Sales!AF34,Sales!AH34)</f>
        <v>12000</v>
      </c>
      <c r="AH34" s="90" t="n">
        <v>12000</v>
      </c>
      <c r="AI34" s="13"/>
      <c r="AJ34" s="13" t="n">
        <f aca="false">IF('Cash Drivers'!AJ$26,Sales!AI34,Sales!AK34)</f>
        <v>12000</v>
      </c>
      <c r="AK34" s="89" t="n">
        <v>12000</v>
      </c>
      <c r="AL34" s="12"/>
      <c r="AM34" s="12" t="n">
        <f aca="false">IF('Cash Drivers'!AM$26,Sales!AL34,Sales!AN34)</f>
        <v>12000</v>
      </c>
      <c r="AN34" s="90" t="n">
        <v>12000</v>
      </c>
      <c r="AO34" s="13"/>
      <c r="AP34" s="13" t="n">
        <f aca="false">IF('Cash Drivers'!AP$26,Sales!AO34,Sales!AQ34)</f>
        <v>12000</v>
      </c>
      <c r="AQ34" s="89" t="n">
        <v>12000</v>
      </c>
      <c r="AR34" s="12"/>
      <c r="AS34" s="12" t="n">
        <f aca="false">IF('Cash Drivers'!AS$26,Sales!AR34,Sales!AT34)</f>
        <v>12000</v>
      </c>
      <c r="AT34" s="90" t="n">
        <v>12000</v>
      </c>
      <c r="AU34" s="13"/>
      <c r="AV34" s="13" t="n">
        <f aca="false">IF('Cash Drivers'!AV$26,Sales!AU34,Sales!AW34)</f>
        <v>12000</v>
      </c>
      <c r="AW34" s="89" t="n">
        <v>12000</v>
      </c>
      <c r="AX34" s="12"/>
      <c r="AY34" s="12" t="n">
        <f aca="false">IF('Cash Drivers'!AY$26,Sales!AX34,Sales!AZ34)</f>
        <v>12000</v>
      </c>
      <c r="AZ34" s="90" t="n">
        <v>12000</v>
      </c>
      <c r="BA34" s="13"/>
      <c r="BB34" s="13" t="n">
        <f aca="false">IF('Cash Drivers'!BB$26,Sales!BA34,Sales!BC34)</f>
        <v>12000</v>
      </c>
      <c r="BC34" s="89" t="n">
        <v>12000</v>
      </c>
      <c r="BD34" s="12"/>
      <c r="BE34" s="12" t="n">
        <f aca="false">IF('Cash Drivers'!BE$26,Sales!BD34,Sales!BF34)</f>
        <v>12000</v>
      </c>
      <c r="BF34" s="90" t="n">
        <v>12000</v>
      </c>
      <c r="BG34" s="13"/>
      <c r="BH34" s="13" t="n">
        <f aca="false">IF('Cash Drivers'!BH$26,Sales!BG34,Sales!BI34)</f>
        <v>12000</v>
      </c>
      <c r="BI34" s="89" t="n">
        <v>12000</v>
      </c>
      <c r="BJ34" s="12"/>
      <c r="BK34" s="12" t="n">
        <f aca="false">IF('Cash Drivers'!BK$26,Sales!BJ34,Sales!BL34)</f>
        <v>12000</v>
      </c>
      <c r="BL34" s="90" t="n">
        <v>12000</v>
      </c>
      <c r="BM34" s="13"/>
      <c r="BN34" s="13" t="n">
        <f aca="false">IF('Cash Drivers'!BN$26,Sales!BM34,Sales!BO34)</f>
        <v>12000</v>
      </c>
      <c r="BO34" s="89" t="n">
        <v>12000</v>
      </c>
      <c r="BP34" s="12"/>
      <c r="BQ34" s="12" t="n">
        <f aca="false">IF('Cash Drivers'!BQ$26,Sales!BP34,Sales!BR34)</f>
        <v>12000</v>
      </c>
      <c r="BR34" s="90" t="n">
        <v>12000</v>
      </c>
      <c r="BS34" s="13"/>
      <c r="BT34" s="13" t="n">
        <f aca="false">IF('Cash Drivers'!BT$26,Sales!BS34,Sales!BU34)</f>
        <v>12000</v>
      </c>
      <c r="BU34" s="89" t="n">
        <v>12000</v>
      </c>
      <c r="BV34" s="12"/>
      <c r="BW34" s="12" t="n">
        <f aca="false">IF('Cash Drivers'!BW$26,Sales!BV34,Sales!BX34)</f>
        <v>12000</v>
      </c>
      <c r="BX34" s="90" t="n">
        <v>12000</v>
      </c>
      <c r="BY34" s="13"/>
      <c r="BZ34" s="13" t="n">
        <f aca="false">IF('Cash Drivers'!BZ$26,Sales!BY34,Sales!CA34)</f>
        <v>12000</v>
      </c>
      <c r="CA34" s="89" t="n">
        <v>12000</v>
      </c>
      <c r="CB34" s="12"/>
      <c r="CC34" s="12" t="n">
        <f aca="false">IF('Cash Drivers'!CC$26,Sales!CB34,Sales!CD34)</f>
        <v>12000</v>
      </c>
      <c r="CD34" s="90" t="n">
        <v>12000</v>
      </c>
      <c r="CH34" s="91"/>
      <c r="CI34" s="91"/>
      <c r="CJ34" s="91"/>
      <c r="CN34" s="91"/>
      <c r="CO34" s="91"/>
      <c r="CP34" s="91"/>
      <c r="CT34" s="91"/>
      <c r="CU34" s="91"/>
      <c r="CV34" s="91"/>
      <c r="CZ34" s="91"/>
      <c r="DA34" s="91"/>
      <c r="DB34" s="91"/>
      <c r="DF34" s="91"/>
      <c r="DG34" s="91"/>
      <c r="DH34" s="91"/>
      <c r="DL34" s="91"/>
      <c r="DM34" s="91"/>
      <c r="DN34" s="91"/>
    </row>
    <row r="35" customFormat="false" ht="15.75" hidden="false" customHeight="true" outlineLevel="0" collapsed="false">
      <c r="A35" s="5" t="s">
        <v>200</v>
      </c>
      <c r="B35" s="12" t="str">
        <f aca="false">IF(COUNT(AR35,AO35,AL35,AI35,AF35,AC35,Z35,W35,T35,Q35,N35,K35)=0,"",SUM(AR35,AO35,AL35,AI35,AF35,AC35,Z35,W35,T35,Q35,N35,K35))</f>
        <v/>
      </c>
      <c r="C35" s="12" t="n">
        <f aca="false">IF(COUNT(AS35,AP35,AM35,AJ35,AG35,AD35,AA35,X35,U35,R35,O35,L35)=0,"",SUM(AS35,AP35,AM35,AJ35,AG35,AD35,AA35,X35,U35,R35,O35,L35))</f>
        <v>72000</v>
      </c>
      <c r="D35" s="12" t="n">
        <f aca="false">IF(COUNT(AT35,AQ35,AN35,AK35,AH35,AE35,AB35,Y35,V35,S35,P35,M35)=0,"",SUM(AT35,AQ35,AN35,AK35,AH35,AE35,AB35,Y35,V35,S35,P35,M35))</f>
        <v>72000</v>
      </c>
      <c r="E35" s="13" t="str">
        <f aca="false">IF(COUNT(CB35,BY35,BV35,BS35,BP35,BM35,BJ35,BG35,BD35,BA35,AX35,AU35)=0,"",SUM(CB35,BY35,BV35,BS35,BP35,BM35,BJ35,BG35,BD35,BA35,AX35,AU35))</f>
        <v/>
      </c>
      <c r="F35" s="13" t="str">
        <f aca="false">IF(COUNT(CC35,BZ35,BW35,BT35,BQ35,BN35,BK35,BH35,BE35,BB35,AY35,AV35)=0,"",SUM(CC35,BZ35,BW35,BT35,BQ35,BN35,BK35,BH35,BE35,BB35,AY35,AV35))</f>
        <v/>
      </c>
      <c r="G35" s="13" t="str">
        <f aca="false">IF(COUNT(CD35,CA35,BX35,BU35,BR35,BO35,BL35,BI35,BF35,BC35,AZ35,AW35)=0,"",SUM(CD35,CA35,BX35,BU35,BR35,BO35,BL35,BI35,BF35,BC35,AZ35,AW35))</f>
        <v/>
      </c>
      <c r="H35" s="12" t="str">
        <f aca="false">IF(COUNT(DL35,DI35,DF35,DC35,CZ35,CW35,CT35,CQ35,CN35,CK35,CH35,CE35)=0,"",SUM(DL35,DI35,DF35,DC35,CZ35,CW35,CT35,CQ35,CN35,CK35,CH35,CE35))</f>
        <v/>
      </c>
      <c r="I35" s="12" t="str">
        <f aca="false">IF(COUNT(DM35,DJ35,DG35,DD35,DA35,CX35,CU35,CR35,CO35,CL35,CI35,CF35)=0,"",SUM(DM35,DJ35,DG35,DD35,DA35,CX35,CU35,CR35,CO35,CL35,CI35,CF35))</f>
        <v/>
      </c>
      <c r="J35" s="12" t="str">
        <f aca="false">IF(COUNT(DN35,DK35,DH35,DE35,DB35,CY35,CV35,CS35,CP35,CM35,CJ35,CG35)=0,"",SUM(DN35,DK35,DH35,DE35,DB35,CY35,CV35,CS35,CP35,CM35,CJ35,CG35))</f>
        <v/>
      </c>
      <c r="K35" s="13"/>
      <c r="L35" s="13" t="n">
        <f aca="false">IF('Cash Drivers'!L$26,Sales!K35,Sales!M35)</f>
        <v>12000</v>
      </c>
      <c r="M35" s="89" t="n">
        <v>12000</v>
      </c>
      <c r="N35" s="12"/>
      <c r="O35" s="12" t="n">
        <f aca="false">IF('Cash Drivers'!O$26,Sales!N35,Sales!P35)</f>
        <v>12000</v>
      </c>
      <c r="P35" s="90" t="n">
        <v>12000</v>
      </c>
      <c r="Q35" s="13"/>
      <c r="R35" s="13" t="n">
        <f aca="false">IF('Cash Drivers'!R$26,Sales!Q35,Sales!S35)</f>
        <v>12000</v>
      </c>
      <c r="S35" s="89" t="n">
        <v>12000</v>
      </c>
      <c r="T35" s="12"/>
      <c r="U35" s="12" t="n">
        <f aca="false">IF('Cash Drivers'!U$26,Sales!T35,Sales!V35)</f>
        <v>12000</v>
      </c>
      <c r="V35" s="90" t="n">
        <v>12000</v>
      </c>
      <c r="W35" s="13"/>
      <c r="X35" s="13" t="n">
        <f aca="false">IF('Cash Drivers'!X$26,Sales!W35,Sales!Y35)</f>
        <v>12000</v>
      </c>
      <c r="Y35" s="89" t="n">
        <v>12000</v>
      </c>
      <c r="Z35" s="12"/>
      <c r="AA35" s="12" t="n">
        <f aca="false">IF('Cash Drivers'!AA$26,Sales!Z35,Sales!AB35)</f>
        <v>12000</v>
      </c>
      <c r="AB35" s="90" t="n">
        <v>12000</v>
      </c>
      <c r="AF35" s="91"/>
      <c r="AG35" s="91"/>
      <c r="AH35" s="91"/>
      <c r="AL35" s="91"/>
      <c r="AM35" s="91"/>
      <c r="AN35" s="91"/>
      <c r="AR35" s="91"/>
      <c r="AS35" s="91"/>
      <c r="AT35" s="91"/>
      <c r="AX35" s="91"/>
      <c r="AY35" s="91"/>
      <c r="AZ35" s="91"/>
      <c r="BD35" s="91"/>
      <c r="BE35" s="91"/>
      <c r="BF35" s="91"/>
      <c r="BJ35" s="91"/>
      <c r="BK35" s="91"/>
      <c r="BL35" s="91"/>
      <c r="BP35" s="91"/>
      <c r="BQ35" s="91"/>
      <c r="BR35" s="91"/>
      <c r="BV35" s="91"/>
      <c r="BW35" s="91"/>
      <c r="BX35" s="91"/>
      <c r="CB35" s="91"/>
      <c r="CC35" s="91"/>
      <c r="CD35" s="91"/>
      <c r="CH35" s="91"/>
      <c r="CI35" s="91"/>
      <c r="CJ35" s="91"/>
      <c r="CN35" s="91"/>
      <c r="CO35" s="91"/>
      <c r="CP35" s="91"/>
      <c r="CT35" s="91"/>
      <c r="CU35" s="91"/>
      <c r="CV35" s="91"/>
      <c r="CZ35" s="91"/>
      <c r="DA35" s="91"/>
      <c r="DB35" s="91"/>
      <c r="DF35" s="91"/>
      <c r="DG35" s="91"/>
      <c r="DH35" s="91"/>
      <c r="DL35" s="91"/>
      <c r="DM35" s="91"/>
      <c r="DN35" s="91"/>
    </row>
    <row r="36" customFormat="false" ht="15.75" hidden="false" customHeight="true" outlineLevel="0" collapsed="false">
      <c r="A36" s="5" t="s">
        <v>200</v>
      </c>
      <c r="B36" s="12" t="str">
        <f aca="false">IF(COUNT(AR36,AO36,AL36,AI36,AF36,AC36,Z36,W36,T36,Q36,N36,K36)=0,"",SUM(AR36,AO36,AL36,AI36,AF36,AC36,Z36,W36,T36,Q36,N36,K36))</f>
        <v/>
      </c>
      <c r="C36" s="12" t="n">
        <f aca="false">IF(COUNT(AS36,AP36,AM36,AJ36,AG36,AD36,AA36,X36,U36,R36,O36,L36)=0,"",SUM(AS36,AP36,AM36,AJ36,AG36,AD36,AA36,X36,U36,R36,O36,L36))</f>
        <v>144000</v>
      </c>
      <c r="D36" s="12" t="n">
        <f aca="false">IF(COUNT(AT36,AQ36,AN36,AK36,AH36,AE36,AB36,Y36,V36,S36,P36,M36)=0,"",SUM(AT36,AQ36,AN36,AK36,AH36,AE36,AB36,Y36,V36,S36,P36,M36))</f>
        <v>144000</v>
      </c>
      <c r="E36" s="13" t="str">
        <f aca="false">IF(COUNT(CB36,BY36,BV36,BS36,BP36,BM36,BJ36,BG36,BD36,BA36,AX36,AU36)=0,"",SUM(CB36,BY36,BV36,BS36,BP36,BM36,BJ36,BG36,BD36,BA36,AX36,AU36))</f>
        <v/>
      </c>
      <c r="F36" s="13" t="n">
        <f aca="false">IF(COUNT(CC36,BZ36,BW36,BT36,BQ36,BN36,BK36,BH36,BE36,BB36,AY36,AV36)=0,"",SUM(CC36,BZ36,BW36,BT36,BQ36,BN36,BK36,BH36,BE36,BB36,AY36,AV36))</f>
        <v>132000</v>
      </c>
      <c r="G36" s="13" t="n">
        <f aca="false">IF(COUNT(CD36,CA36,BX36,BU36,BR36,BO36,BL36,BI36,BF36,BC36,AZ36,AW36)=0,"",SUM(CD36,CA36,BX36,BU36,BR36,BO36,BL36,BI36,BF36,BC36,AZ36,AW36))</f>
        <v>132000</v>
      </c>
      <c r="H36" s="12" t="str">
        <f aca="false">IF(COUNT(DL36,DI36,DF36,DC36,CZ36,CW36,CT36,CQ36,CN36,CK36,CH36,CE36)=0,"",SUM(DL36,DI36,DF36,DC36,CZ36,CW36,CT36,CQ36,CN36,CK36,CH36,CE36))</f>
        <v/>
      </c>
      <c r="I36" s="12" t="str">
        <f aca="false">IF(COUNT(DM36,DJ36,DG36,DD36,DA36,CX36,CU36,CR36,CO36,CL36,CI36,CF36)=0,"",SUM(DM36,DJ36,DG36,DD36,DA36,CX36,CU36,CR36,CO36,CL36,CI36,CF36))</f>
        <v/>
      </c>
      <c r="J36" s="12" t="str">
        <f aca="false">IF(COUNT(DN36,DK36,DH36,DE36,DB36,CY36,CV36,CS36,CP36,CM36,CJ36,CG36)=0,"",SUM(DN36,DK36,DH36,DE36,DB36,CY36,CV36,CS36,CP36,CM36,CJ36,CG36))</f>
        <v/>
      </c>
      <c r="K36" s="13"/>
      <c r="L36" s="13" t="n">
        <f aca="false">IF('Cash Drivers'!L$26,Sales!K36,Sales!M36)</f>
        <v>12000</v>
      </c>
      <c r="M36" s="89" t="n">
        <v>12000</v>
      </c>
      <c r="N36" s="12"/>
      <c r="O36" s="12" t="n">
        <f aca="false">IF('Cash Drivers'!O$26,Sales!N36,Sales!P36)</f>
        <v>12000</v>
      </c>
      <c r="P36" s="90" t="n">
        <v>12000</v>
      </c>
      <c r="Q36" s="13"/>
      <c r="R36" s="13" t="n">
        <f aca="false">IF('Cash Drivers'!R$26,Sales!Q36,Sales!S36)</f>
        <v>12000</v>
      </c>
      <c r="S36" s="89" t="n">
        <v>12000</v>
      </c>
      <c r="T36" s="12"/>
      <c r="U36" s="12" t="n">
        <f aca="false">IF('Cash Drivers'!U$26,Sales!T36,Sales!V36)</f>
        <v>12000</v>
      </c>
      <c r="V36" s="90" t="n">
        <v>12000</v>
      </c>
      <c r="W36" s="13"/>
      <c r="X36" s="13" t="n">
        <f aca="false">IF('Cash Drivers'!X$26,Sales!W36,Sales!Y36)</f>
        <v>12000</v>
      </c>
      <c r="Y36" s="89" t="n">
        <v>12000</v>
      </c>
      <c r="Z36" s="12"/>
      <c r="AA36" s="12" t="n">
        <f aca="false">IF('Cash Drivers'!AA$26,Sales!Z36,Sales!AB36)</f>
        <v>12000</v>
      </c>
      <c r="AB36" s="90" t="n">
        <v>12000</v>
      </c>
      <c r="AC36" s="13"/>
      <c r="AD36" s="13" t="n">
        <f aca="false">IF('Cash Drivers'!AD$26,Sales!AC36,Sales!AE36)</f>
        <v>12000</v>
      </c>
      <c r="AE36" s="89" t="n">
        <v>12000</v>
      </c>
      <c r="AF36" s="12"/>
      <c r="AG36" s="12" t="n">
        <f aca="false">IF('Cash Drivers'!AG$26,Sales!AF36,Sales!AH36)</f>
        <v>12000</v>
      </c>
      <c r="AH36" s="90" t="n">
        <v>12000</v>
      </c>
      <c r="AI36" s="13"/>
      <c r="AJ36" s="13" t="n">
        <f aca="false">IF('Cash Drivers'!AJ$26,Sales!AI36,Sales!AK36)</f>
        <v>12000</v>
      </c>
      <c r="AK36" s="89" t="n">
        <v>12000</v>
      </c>
      <c r="AL36" s="12"/>
      <c r="AM36" s="12" t="n">
        <f aca="false">IF('Cash Drivers'!AM$26,Sales!AL36,Sales!AN36)</f>
        <v>12000</v>
      </c>
      <c r="AN36" s="90" t="n">
        <v>12000</v>
      </c>
      <c r="AO36" s="13"/>
      <c r="AP36" s="13" t="n">
        <f aca="false">IF('Cash Drivers'!AP$26,Sales!AO36,Sales!AQ36)</f>
        <v>12000</v>
      </c>
      <c r="AQ36" s="89" t="n">
        <v>12000</v>
      </c>
      <c r="AR36" s="12"/>
      <c r="AS36" s="12" t="n">
        <f aca="false">IF('Cash Drivers'!AS$26,Sales!AR36,Sales!AT36)</f>
        <v>12000</v>
      </c>
      <c r="AT36" s="90" t="n">
        <v>12000</v>
      </c>
      <c r="AU36" s="13"/>
      <c r="AV36" s="13" t="n">
        <f aca="false">IF('Cash Drivers'!AV$26,Sales!AU36,Sales!AW36)</f>
        <v>12000</v>
      </c>
      <c r="AW36" s="89" t="n">
        <v>12000</v>
      </c>
      <c r="AX36" s="12"/>
      <c r="AY36" s="12" t="n">
        <f aca="false">IF('Cash Drivers'!AY$26,Sales!AX36,Sales!AZ36)</f>
        <v>12000</v>
      </c>
      <c r="AZ36" s="90" t="n">
        <v>12000</v>
      </c>
      <c r="BA36" s="13"/>
      <c r="BB36" s="13" t="n">
        <f aca="false">IF('Cash Drivers'!BB$26,Sales!BA36,Sales!BC36)</f>
        <v>12000</v>
      </c>
      <c r="BC36" s="89" t="n">
        <v>12000</v>
      </c>
      <c r="BD36" s="12"/>
      <c r="BE36" s="12" t="n">
        <f aca="false">IF('Cash Drivers'!BE$26,Sales!BD36,Sales!BF36)</f>
        <v>12000</v>
      </c>
      <c r="BF36" s="90" t="n">
        <v>12000</v>
      </c>
      <c r="BG36" s="13"/>
      <c r="BH36" s="13" t="n">
        <f aca="false">IF('Cash Drivers'!BH$26,Sales!BG36,Sales!BI36)</f>
        <v>12000</v>
      </c>
      <c r="BI36" s="89" t="n">
        <v>12000</v>
      </c>
      <c r="BJ36" s="12"/>
      <c r="BK36" s="12" t="n">
        <f aca="false">IF('Cash Drivers'!BK$26,Sales!BJ36,Sales!BL36)</f>
        <v>12000</v>
      </c>
      <c r="BL36" s="90" t="n">
        <v>12000</v>
      </c>
      <c r="BM36" s="13"/>
      <c r="BN36" s="13" t="n">
        <f aca="false">IF('Cash Drivers'!BN$26,Sales!BM36,Sales!BO36)</f>
        <v>12000</v>
      </c>
      <c r="BO36" s="89" t="n">
        <v>12000</v>
      </c>
      <c r="BP36" s="12"/>
      <c r="BQ36" s="12" t="n">
        <f aca="false">IF('Cash Drivers'!BQ$26,Sales!BP36,Sales!BR36)</f>
        <v>12000</v>
      </c>
      <c r="BR36" s="90" t="n">
        <v>12000</v>
      </c>
      <c r="BS36" s="13"/>
      <c r="BT36" s="13" t="n">
        <f aca="false">IF('Cash Drivers'!BT$26,Sales!BS36,Sales!BU36)</f>
        <v>12000</v>
      </c>
      <c r="BU36" s="89" t="n">
        <v>12000</v>
      </c>
      <c r="BV36" s="12"/>
      <c r="BW36" s="12" t="n">
        <f aca="false">IF('Cash Drivers'!BW$26,Sales!BV36,Sales!BX36)</f>
        <v>12000</v>
      </c>
      <c r="BX36" s="90" t="n">
        <v>12000</v>
      </c>
      <c r="BY36" s="13"/>
      <c r="BZ36" s="13" t="n">
        <f aca="false">IF('Cash Drivers'!BZ$26,Sales!BY36,Sales!CA36)</f>
        <v>12000</v>
      </c>
      <c r="CA36" s="89" t="n">
        <v>12000</v>
      </c>
      <c r="CB36" s="91"/>
      <c r="CC36" s="91"/>
      <c r="CD36" s="91"/>
      <c r="CH36" s="91"/>
      <c r="CI36" s="91"/>
      <c r="CJ36" s="91"/>
      <c r="CN36" s="91"/>
      <c r="CO36" s="91"/>
      <c r="CP36" s="91"/>
      <c r="CT36" s="91"/>
      <c r="CU36" s="91"/>
      <c r="CV36" s="91"/>
      <c r="CZ36" s="91"/>
      <c r="DA36" s="91"/>
      <c r="DB36" s="91"/>
      <c r="DF36" s="91"/>
      <c r="DG36" s="91"/>
      <c r="DH36" s="91"/>
      <c r="DL36" s="91"/>
      <c r="DM36" s="91"/>
      <c r="DN36" s="91"/>
    </row>
    <row r="37" customFormat="false" ht="15.75" hidden="false" customHeight="true" outlineLevel="0" collapsed="false">
      <c r="A37" s="5" t="s">
        <v>200</v>
      </c>
      <c r="B37" s="12" t="str">
        <f aca="false">IF(COUNT(AR37,AO37,AL37,AI37,AF37,AC37,Z37,W37,T37,Q37,N37,K37)=0,"",SUM(AR37,AO37,AL37,AI37,AF37,AC37,Z37,W37,T37,Q37,N37,K37))</f>
        <v/>
      </c>
      <c r="C37" s="12" t="n">
        <f aca="false">IF(COUNT(AS37,AP37,AM37,AJ37,AG37,AD37,AA37,X37,U37,R37,O37,L37)=0,"",SUM(AS37,AP37,AM37,AJ37,AG37,AD37,AA37,X37,U37,R37,O37,L37))</f>
        <v>144000</v>
      </c>
      <c r="D37" s="12" t="n">
        <f aca="false">IF(COUNT(AT37,AQ37,AN37,AK37,AH37,AE37,AB37,Y37,V37,S37,P37,M37)=0,"",SUM(AT37,AQ37,AN37,AK37,AH37,AE37,AB37,Y37,V37,S37,P37,M37))</f>
        <v>144000</v>
      </c>
      <c r="E37" s="13" t="str">
        <f aca="false">IF(COUNT(CB37,BY37,BV37,BS37,BP37,BM37,BJ37,BG37,BD37,BA37,AX37,AU37)=0,"",SUM(CB37,BY37,BV37,BS37,BP37,BM37,BJ37,BG37,BD37,BA37,AX37,AU37))</f>
        <v/>
      </c>
      <c r="F37" s="13" t="n">
        <f aca="false">IF(COUNT(CC37,BZ37,BW37,BT37,BQ37,BN37,BK37,BH37,BE37,BB37,AY37,AV37)=0,"",SUM(CC37,BZ37,BW37,BT37,BQ37,BN37,BK37,BH37,BE37,BB37,AY37,AV37))</f>
        <v>108000</v>
      </c>
      <c r="G37" s="13" t="n">
        <f aca="false">IF(COUNT(CD37,CA37,BX37,BU37,BR37,BO37,BL37,BI37,BF37,BC37,AZ37,AW37)=0,"",SUM(CD37,CA37,BX37,BU37,BR37,BO37,BL37,BI37,BF37,BC37,AZ37,AW37))</f>
        <v>108000</v>
      </c>
      <c r="H37" s="12" t="str">
        <f aca="false">IF(COUNT(DL37,DI37,DF37,DC37,CZ37,CW37,CT37,CQ37,CN37,CK37,CH37,CE37)=0,"",SUM(DL37,DI37,DF37,DC37,CZ37,CW37,CT37,CQ37,CN37,CK37,CH37,CE37))</f>
        <v/>
      </c>
      <c r="I37" s="12" t="str">
        <f aca="false">IF(COUNT(DM37,DJ37,DG37,DD37,DA37,CX37,CU37,CR37,CO37,CL37,CI37,CF37)=0,"",SUM(DM37,DJ37,DG37,DD37,DA37,CX37,CU37,CR37,CO37,CL37,CI37,CF37))</f>
        <v/>
      </c>
      <c r="J37" s="12" t="str">
        <f aca="false">IF(COUNT(DN37,DK37,DH37,DE37,DB37,CY37,CV37,CS37,CP37,CM37,CJ37,CG37)=0,"",SUM(DN37,DK37,DH37,DE37,DB37,CY37,CV37,CS37,CP37,CM37,CJ37,CG37))</f>
        <v/>
      </c>
      <c r="K37" s="13"/>
      <c r="L37" s="13" t="n">
        <f aca="false">IF('Cash Drivers'!L$26,Sales!K37,Sales!M37)</f>
        <v>12000</v>
      </c>
      <c r="M37" s="89" t="n">
        <v>12000</v>
      </c>
      <c r="N37" s="12"/>
      <c r="O37" s="12" t="n">
        <f aca="false">IF('Cash Drivers'!O$26,Sales!N37,Sales!P37)</f>
        <v>12000</v>
      </c>
      <c r="P37" s="90" t="n">
        <v>12000</v>
      </c>
      <c r="Q37" s="13"/>
      <c r="R37" s="13" t="n">
        <f aca="false">IF('Cash Drivers'!R$26,Sales!Q37,Sales!S37)</f>
        <v>12000</v>
      </c>
      <c r="S37" s="89" t="n">
        <v>12000</v>
      </c>
      <c r="T37" s="12"/>
      <c r="U37" s="12" t="n">
        <f aca="false">IF('Cash Drivers'!U$26,Sales!T37,Sales!V37)</f>
        <v>12000</v>
      </c>
      <c r="V37" s="90" t="n">
        <v>12000</v>
      </c>
      <c r="W37" s="13"/>
      <c r="X37" s="13" t="n">
        <f aca="false">IF('Cash Drivers'!X$26,Sales!W37,Sales!Y37)</f>
        <v>12000</v>
      </c>
      <c r="Y37" s="89" t="n">
        <v>12000</v>
      </c>
      <c r="Z37" s="12"/>
      <c r="AA37" s="12" t="n">
        <f aca="false">IF('Cash Drivers'!AA$26,Sales!Z37,Sales!AB37)</f>
        <v>12000</v>
      </c>
      <c r="AB37" s="90" t="n">
        <v>12000</v>
      </c>
      <c r="AC37" s="13"/>
      <c r="AD37" s="13" t="n">
        <f aca="false">IF('Cash Drivers'!AD$26,Sales!AC37,Sales!AE37)</f>
        <v>12000</v>
      </c>
      <c r="AE37" s="89" t="n">
        <v>12000</v>
      </c>
      <c r="AF37" s="12"/>
      <c r="AG37" s="12" t="n">
        <f aca="false">IF('Cash Drivers'!AG$26,Sales!AF37,Sales!AH37)</f>
        <v>12000</v>
      </c>
      <c r="AH37" s="90" t="n">
        <v>12000</v>
      </c>
      <c r="AI37" s="13"/>
      <c r="AJ37" s="13" t="n">
        <f aca="false">IF('Cash Drivers'!AJ$26,Sales!AI37,Sales!AK37)</f>
        <v>12000</v>
      </c>
      <c r="AK37" s="89" t="n">
        <v>12000</v>
      </c>
      <c r="AL37" s="12"/>
      <c r="AM37" s="12" t="n">
        <f aca="false">IF('Cash Drivers'!AM$26,Sales!AL37,Sales!AN37)</f>
        <v>12000</v>
      </c>
      <c r="AN37" s="90" t="n">
        <v>12000</v>
      </c>
      <c r="AO37" s="13"/>
      <c r="AP37" s="13" t="n">
        <f aca="false">IF('Cash Drivers'!AP$26,Sales!AO37,Sales!AQ37)</f>
        <v>12000</v>
      </c>
      <c r="AQ37" s="89" t="n">
        <v>12000</v>
      </c>
      <c r="AR37" s="12"/>
      <c r="AS37" s="12" t="n">
        <f aca="false">IF('Cash Drivers'!AS$26,Sales!AR37,Sales!AT37)</f>
        <v>12000</v>
      </c>
      <c r="AT37" s="90" t="n">
        <v>12000</v>
      </c>
      <c r="AU37" s="13"/>
      <c r="AV37" s="13" t="n">
        <f aca="false">IF('Cash Drivers'!AV$26,Sales!AU37,Sales!AW37)</f>
        <v>12000</v>
      </c>
      <c r="AW37" s="89" t="n">
        <v>12000</v>
      </c>
      <c r="AX37" s="12"/>
      <c r="AY37" s="12" t="n">
        <f aca="false">IF('Cash Drivers'!AY$26,Sales!AX37,Sales!AZ37)</f>
        <v>12000</v>
      </c>
      <c r="AZ37" s="90" t="n">
        <v>12000</v>
      </c>
      <c r="BA37" s="13"/>
      <c r="BB37" s="13" t="n">
        <f aca="false">IF('Cash Drivers'!BB$26,Sales!BA37,Sales!BC37)</f>
        <v>12000</v>
      </c>
      <c r="BC37" s="89" t="n">
        <v>12000</v>
      </c>
      <c r="BD37" s="12"/>
      <c r="BE37" s="12" t="n">
        <f aca="false">IF('Cash Drivers'!BE$26,Sales!BD37,Sales!BF37)</f>
        <v>12000</v>
      </c>
      <c r="BF37" s="90" t="n">
        <v>12000</v>
      </c>
      <c r="BG37" s="13"/>
      <c r="BH37" s="13" t="n">
        <f aca="false">IF('Cash Drivers'!BH$26,Sales!BG37,Sales!BI37)</f>
        <v>12000</v>
      </c>
      <c r="BI37" s="89" t="n">
        <v>12000</v>
      </c>
      <c r="BJ37" s="12"/>
      <c r="BK37" s="12" t="n">
        <f aca="false">IF('Cash Drivers'!BK$26,Sales!BJ37,Sales!BL37)</f>
        <v>12000</v>
      </c>
      <c r="BL37" s="90" t="n">
        <v>12000</v>
      </c>
      <c r="BM37" s="13"/>
      <c r="BN37" s="13" t="n">
        <f aca="false">IF('Cash Drivers'!BN$26,Sales!BM37,Sales!BO37)</f>
        <v>12000</v>
      </c>
      <c r="BO37" s="89" t="n">
        <v>12000</v>
      </c>
      <c r="BP37" s="12"/>
      <c r="BQ37" s="12" t="n">
        <f aca="false">IF('Cash Drivers'!BQ$26,Sales!BP37,Sales!BR37)</f>
        <v>12000</v>
      </c>
      <c r="BR37" s="90" t="n">
        <v>12000</v>
      </c>
      <c r="BS37" s="13"/>
      <c r="BT37" s="13" t="n">
        <f aca="false">IF('Cash Drivers'!BT$26,Sales!BS37,Sales!BU37)</f>
        <v>12000</v>
      </c>
      <c r="BU37" s="89" t="n">
        <v>12000</v>
      </c>
      <c r="BV37" s="91"/>
      <c r="BW37" s="91"/>
      <c r="BX37" s="91"/>
      <c r="CB37" s="91"/>
      <c r="CC37" s="91"/>
      <c r="CD37" s="91"/>
      <c r="CH37" s="91"/>
      <c r="CI37" s="91"/>
      <c r="CJ37" s="91"/>
      <c r="CN37" s="91"/>
      <c r="CO37" s="91"/>
      <c r="CP37" s="91"/>
      <c r="CT37" s="91"/>
      <c r="CU37" s="91"/>
      <c r="CV37" s="91"/>
      <c r="CZ37" s="91"/>
      <c r="DA37" s="91"/>
      <c r="DB37" s="91"/>
      <c r="DF37" s="91"/>
      <c r="DG37" s="91"/>
      <c r="DH37" s="91"/>
      <c r="DL37" s="91"/>
      <c r="DM37" s="91"/>
      <c r="DN37" s="91"/>
    </row>
    <row r="38" customFormat="false" ht="15.75" hidden="false" customHeight="true" outlineLevel="0" collapsed="false">
      <c r="A38" s="5" t="s">
        <v>200</v>
      </c>
      <c r="B38" s="12" t="str">
        <f aca="false">IF(COUNT(AR38,AO38,AL38,AI38,AF38,AC38,Z38,W38,T38,Q38,N38,K38)=0,"",SUM(AR38,AO38,AL38,AI38,AF38,AC38,Z38,W38,T38,Q38,N38,K38))</f>
        <v/>
      </c>
      <c r="C38" s="12" t="n">
        <f aca="false">IF(COUNT(AS38,AP38,AM38,AJ38,AG38,AD38,AA38,X38,U38,R38,O38,L38)=0,"",SUM(AS38,AP38,AM38,AJ38,AG38,AD38,AA38,X38,U38,R38,O38,L38))</f>
        <v>144000</v>
      </c>
      <c r="D38" s="12" t="n">
        <f aca="false">IF(COUNT(AT38,AQ38,AN38,AK38,AH38,AE38,AB38,Y38,V38,S38,P38,M38)=0,"",SUM(AT38,AQ38,AN38,AK38,AH38,AE38,AB38,Y38,V38,S38,P38,M38))</f>
        <v>144000</v>
      </c>
      <c r="E38" s="13" t="str">
        <f aca="false">IF(COUNT(CB38,BY38,BV38,BS38,BP38,BM38,BJ38,BG38,BD38,BA38,AX38,AU38)=0,"",SUM(CB38,BY38,BV38,BS38,BP38,BM38,BJ38,BG38,BD38,BA38,AX38,AU38))</f>
        <v/>
      </c>
      <c r="F38" s="13" t="n">
        <f aca="false">IF(COUNT(CC38,BZ38,BW38,BT38,BQ38,BN38,BK38,BH38,BE38,BB38,AY38,AV38)=0,"",SUM(CC38,BZ38,BW38,BT38,BQ38,BN38,BK38,BH38,BE38,BB38,AY38,AV38))</f>
        <v>36000</v>
      </c>
      <c r="G38" s="13" t="n">
        <f aca="false">IF(COUNT(CD38,CA38,BX38,BU38,BR38,BO38,BL38,BI38,BF38,BC38,AZ38,AW38)=0,"",SUM(CD38,CA38,BX38,BU38,BR38,BO38,BL38,BI38,BF38,BC38,AZ38,AW38))</f>
        <v>36000</v>
      </c>
      <c r="H38" s="12" t="str">
        <f aca="false">IF(COUNT(DL38,DI38,DF38,DC38,CZ38,CW38,CT38,CQ38,CN38,CK38,CH38,CE38)=0,"",SUM(DL38,DI38,DF38,DC38,CZ38,CW38,CT38,CQ38,CN38,CK38,CH38,CE38))</f>
        <v/>
      </c>
      <c r="I38" s="12" t="str">
        <f aca="false">IF(COUNT(DM38,DJ38,DG38,DD38,DA38,CX38,CU38,CR38,CO38,CL38,CI38,CF38)=0,"",SUM(DM38,DJ38,DG38,DD38,DA38,CX38,CU38,CR38,CO38,CL38,CI38,CF38))</f>
        <v/>
      </c>
      <c r="J38" s="12" t="str">
        <f aca="false">IF(COUNT(DN38,DK38,DH38,DE38,DB38,CY38,CV38,CS38,CP38,CM38,CJ38,CG38)=0,"",SUM(DN38,DK38,DH38,DE38,DB38,CY38,CV38,CS38,CP38,CM38,CJ38,CG38))</f>
        <v/>
      </c>
      <c r="K38" s="13"/>
      <c r="L38" s="13" t="n">
        <f aca="false">IF('Cash Drivers'!L$26,Sales!K38,Sales!M38)</f>
        <v>12000</v>
      </c>
      <c r="M38" s="89" t="n">
        <v>12000</v>
      </c>
      <c r="N38" s="12"/>
      <c r="O38" s="12" t="n">
        <f aca="false">IF('Cash Drivers'!O$26,Sales!N38,Sales!P38)</f>
        <v>12000</v>
      </c>
      <c r="P38" s="90" t="n">
        <v>12000</v>
      </c>
      <c r="Q38" s="13"/>
      <c r="R38" s="13" t="n">
        <f aca="false">IF('Cash Drivers'!R$26,Sales!Q38,Sales!S38)</f>
        <v>12000</v>
      </c>
      <c r="S38" s="89" t="n">
        <v>12000</v>
      </c>
      <c r="T38" s="12"/>
      <c r="U38" s="12" t="n">
        <f aca="false">IF('Cash Drivers'!U$26,Sales!T38,Sales!V38)</f>
        <v>12000</v>
      </c>
      <c r="V38" s="90" t="n">
        <v>12000</v>
      </c>
      <c r="W38" s="13"/>
      <c r="X38" s="13" t="n">
        <f aca="false">IF('Cash Drivers'!X$26,Sales!W38,Sales!Y38)</f>
        <v>12000</v>
      </c>
      <c r="Y38" s="89" t="n">
        <v>12000</v>
      </c>
      <c r="Z38" s="12"/>
      <c r="AA38" s="12" t="n">
        <f aca="false">IF('Cash Drivers'!AA$26,Sales!Z38,Sales!AB38)</f>
        <v>12000</v>
      </c>
      <c r="AB38" s="90" t="n">
        <v>12000</v>
      </c>
      <c r="AC38" s="13"/>
      <c r="AD38" s="13" t="n">
        <f aca="false">IF('Cash Drivers'!AD$26,Sales!AC38,Sales!AE38)</f>
        <v>12000</v>
      </c>
      <c r="AE38" s="89" t="n">
        <v>12000</v>
      </c>
      <c r="AF38" s="12"/>
      <c r="AG38" s="12" t="n">
        <f aca="false">IF('Cash Drivers'!AG$26,Sales!AF38,Sales!AH38)</f>
        <v>12000</v>
      </c>
      <c r="AH38" s="90" t="n">
        <v>12000</v>
      </c>
      <c r="AI38" s="13"/>
      <c r="AJ38" s="13" t="n">
        <f aca="false">IF('Cash Drivers'!AJ$26,Sales!AI38,Sales!AK38)</f>
        <v>12000</v>
      </c>
      <c r="AK38" s="89" t="n">
        <v>12000</v>
      </c>
      <c r="AL38" s="12"/>
      <c r="AM38" s="12" t="n">
        <f aca="false">IF('Cash Drivers'!AM$26,Sales!AL38,Sales!AN38)</f>
        <v>12000</v>
      </c>
      <c r="AN38" s="90" t="n">
        <v>12000</v>
      </c>
      <c r="AO38" s="13"/>
      <c r="AP38" s="13" t="n">
        <f aca="false">IF('Cash Drivers'!AP$26,Sales!AO38,Sales!AQ38)</f>
        <v>12000</v>
      </c>
      <c r="AQ38" s="89" t="n">
        <v>12000</v>
      </c>
      <c r="AR38" s="12"/>
      <c r="AS38" s="12" t="n">
        <f aca="false">IF('Cash Drivers'!AS$26,Sales!AR38,Sales!AT38)</f>
        <v>12000</v>
      </c>
      <c r="AT38" s="90" t="n">
        <v>12000</v>
      </c>
      <c r="AU38" s="13"/>
      <c r="AV38" s="13" t="n">
        <f aca="false">IF('Cash Drivers'!AV$26,Sales!AU38,Sales!AW38)</f>
        <v>12000</v>
      </c>
      <c r="AW38" s="89" t="n">
        <v>12000</v>
      </c>
      <c r="AX38" s="12"/>
      <c r="AY38" s="12" t="n">
        <f aca="false">IF('Cash Drivers'!AY$26,Sales!AX38,Sales!AZ38)</f>
        <v>12000</v>
      </c>
      <c r="AZ38" s="90" t="n">
        <v>12000</v>
      </c>
      <c r="BA38" s="13"/>
      <c r="BB38" s="13" t="n">
        <f aca="false">IF('Cash Drivers'!BB$26,Sales!BA38,Sales!BC38)</f>
        <v>12000</v>
      </c>
      <c r="BC38" s="89" t="n">
        <v>12000</v>
      </c>
      <c r="BD38" s="91"/>
      <c r="BE38" s="91"/>
      <c r="BF38" s="91"/>
      <c r="BJ38" s="91"/>
      <c r="BK38" s="91"/>
      <c r="BL38" s="91"/>
      <c r="BP38" s="91"/>
      <c r="BQ38" s="91"/>
      <c r="BR38" s="91"/>
      <c r="BV38" s="91"/>
      <c r="BW38" s="91"/>
      <c r="BX38" s="91"/>
      <c r="CB38" s="91"/>
      <c r="CC38" s="91"/>
      <c r="CD38" s="91"/>
      <c r="CH38" s="91"/>
      <c r="CI38" s="91"/>
      <c r="CJ38" s="91"/>
      <c r="CN38" s="91"/>
      <c r="CO38" s="91"/>
      <c r="CP38" s="91"/>
      <c r="CT38" s="91"/>
      <c r="CU38" s="91"/>
      <c r="CV38" s="91"/>
      <c r="CZ38" s="91"/>
      <c r="DA38" s="91"/>
      <c r="DB38" s="91"/>
      <c r="DF38" s="91"/>
      <c r="DG38" s="91"/>
      <c r="DH38" s="91"/>
      <c r="DL38" s="91"/>
      <c r="DM38" s="91"/>
      <c r="DN38" s="91"/>
    </row>
    <row r="39" customFormat="false" ht="15.75" hidden="false" customHeight="true" outlineLevel="0" collapsed="false">
      <c r="A39" s="5" t="s">
        <v>200</v>
      </c>
      <c r="B39" s="12" t="str">
        <f aca="false">IF(COUNT(AR39,AO39,AL39,AI39,AF39,AC39,Z39,W39,T39,Q39,N39,K39)=0,"",SUM(AR39,AO39,AL39,AI39,AF39,AC39,Z39,W39,T39,Q39,N39,K39))</f>
        <v/>
      </c>
      <c r="C39" s="12" t="n">
        <f aca="false">IF(COUNT(AS39,AP39,AM39,AJ39,AG39,AD39,AA39,X39,U39,R39,O39,L39)=0,"",SUM(AS39,AP39,AM39,AJ39,AG39,AD39,AA39,X39,U39,R39,O39,L39))</f>
        <v>144000</v>
      </c>
      <c r="D39" s="12" t="n">
        <f aca="false">IF(COUNT(AT39,AQ39,AN39,AK39,AH39,AE39,AB39,Y39,V39,S39,P39,M39)=0,"",SUM(AT39,AQ39,AN39,AK39,AH39,AE39,AB39,Y39,V39,S39,P39,M39))</f>
        <v>144000</v>
      </c>
      <c r="E39" s="13" t="str">
        <f aca="false">IF(COUNT(CB39,BY39,BV39,BS39,BP39,BM39,BJ39,BG39,BD39,BA39,AX39,AU39)=0,"",SUM(CB39,BY39,BV39,BS39,BP39,BM39,BJ39,BG39,BD39,BA39,AX39,AU39))</f>
        <v/>
      </c>
      <c r="F39" s="13" t="str">
        <f aca="false">IF(COUNT(CC39,BZ39,BW39,BT39,BQ39,BN39,BK39,BH39,BE39,BB39,AY39,AV39)=0,"",SUM(CC39,BZ39,BW39,BT39,BQ39,BN39,BK39,BH39,BE39,BB39,AY39,AV39))</f>
        <v/>
      </c>
      <c r="G39" s="13" t="str">
        <f aca="false">IF(COUNT(CD39,CA39,BX39,BU39,BR39,BO39,BL39,BI39,BF39,BC39,AZ39,AW39)=0,"",SUM(CD39,CA39,BX39,BU39,BR39,BO39,BL39,BI39,BF39,BC39,AZ39,AW39))</f>
        <v/>
      </c>
      <c r="H39" s="12" t="str">
        <f aca="false">IF(COUNT(DL39,DI39,DF39,DC39,CZ39,CW39,CT39,CQ39,CN39,CK39,CH39,CE39)=0,"",SUM(DL39,DI39,DF39,DC39,CZ39,CW39,CT39,CQ39,CN39,CK39,CH39,CE39))</f>
        <v/>
      </c>
      <c r="I39" s="12" t="str">
        <f aca="false">IF(COUNT(DM39,DJ39,DG39,DD39,DA39,CX39,CU39,CR39,CO39,CL39,CI39,CF39)=0,"",SUM(DM39,DJ39,DG39,DD39,DA39,CX39,CU39,CR39,CO39,CL39,CI39,CF39))</f>
        <v/>
      </c>
      <c r="J39" s="12" t="str">
        <f aca="false">IF(COUNT(DN39,DK39,DH39,DE39,DB39,CY39,CV39,CS39,CP39,CM39,CJ39,CG39)=0,"",SUM(DN39,DK39,DH39,DE39,DB39,CY39,CV39,CS39,CP39,CM39,CJ39,CG39))</f>
        <v/>
      </c>
      <c r="K39" s="13"/>
      <c r="L39" s="13" t="n">
        <f aca="false">IF('Cash Drivers'!L$26,Sales!K39,Sales!M39)</f>
        <v>12000</v>
      </c>
      <c r="M39" s="89" t="n">
        <v>12000</v>
      </c>
      <c r="N39" s="12"/>
      <c r="O39" s="12" t="n">
        <f aca="false">IF('Cash Drivers'!O$26,Sales!N39,Sales!P39)</f>
        <v>12000</v>
      </c>
      <c r="P39" s="90" t="n">
        <v>12000</v>
      </c>
      <c r="Q39" s="13"/>
      <c r="R39" s="13" t="n">
        <f aca="false">IF('Cash Drivers'!R$26,Sales!Q39,Sales!S39)</f>
        <v>12000</v>
      </c>
      <c r="S39" s="89" t="n">
        <v>12000</v>
      </c>
      <c r="T39" s="12"/>
      <c r="U39" s="12" t="n">
        <f aca="false">IF('Cash Drivers'!U$26,Sales!T39,Sales!V39)</f>
        <v>12000</v>
      </c>
      <c r="V39" s="90" t="n">
        <v>12000</v>
      </c>
      <c r="W39" s="13"/>
      <c r="X39" s="13" t="n">
        <f aca="false">IF('Cash Drivers'!X$26,Sales!W39,Sales!Y39)</f>
        <v>12000</v>
      </c>
      <c r="Y39" s="89" t="n">
        <v>12000</v>
      </c>
      <c r="Z39" s="12"/>
      <c r="AA39" s="12" t="n">
        <f aca="false">IF('Cash Drivers'!AA$26,Sales!Z39,Sales!AB39)</f>
        <v>12000</v>
      </c>
      <c r="AB39" s="90" t="n">
        <v>12000</v>
      </c>
      <c r="AC39" s="13"/>
      <c r="AD39" s="13" t="n">
        <f aca="false">IF('Cash Drivers'!AD$26,Sales!AC39,Sales!AE39)</f>
        <v>12000</v>
      </c>
      <c r="AE39" s="89" t="n">
        <v>12000</v>
      </c>
      <c r="AF39" s="12"/>
      <c r="AG39" s="12" t="n">
        <f aca="false">IF('Cash Drivers'!AG$26,Sales!AF39,Sales!AH39)</f>
        <v>12000</v>
      </c>
      <c r="AH39" s="90" t="n">
        <v>12000</v>
      </c>
      <c r="AI39" s="13"/>
      <c r="AJ39" s="13" t="n">
        <f aca="false">IF('Cash Drivers'!AJ$26,Sales!AI39,Sales!AK39)</f>
        <v>12000</v>
      </c>
      <c r="AK39" s="89" t="n">
        <v>12000</v>
      </c>
      <c r="AL39" s="12"/>
      <c r="AM39" s="12" t="n">
        <f aca="false">IF('Cash Drivers'!AM$26,Sales!AL39,Sales!AN39)</f>
        <v>12000</v>
      </c>
      <c r="AN39" s="90" t="n">
        <v>12000</v>
      </c>
      <c r="AO39" s="13"/>
      <c r="AP39" s="13" t="n">
        <f aca="false">IF('Cash Drivers'!AP$26,Sales!AO39,Sales!AQ39)</f>
        <v>12000</v>
      </c>
      <c r="AQ39" s="89" t="n">
        <v>12000</v>
      </c>
      <c r="AR39" s="12"/>
      <c r="AS39" s="12" t="n">
        <f aca="false">IF('Cash Drivers'!AS$26,Sales!AR39,Sales!AT39)</f>
        <v>12000</v>
      </c>
      <c r="AT39" s="90" t="n">
        <v>12000</v>
      </c>
      <c r="AX39" s="91"/>
      <c r="AY39" s="91"/>
      <c r="AZ39" s="91"/>
      <c r="BD39" s="91"/>
      <c r="BE39" s="91"/>
      <c r="BF39" s="91"/>
      <c r="BJ39" s="91"/>
      <c r="BK39" s="91"/>
      <c r="BL39" s="91"/>
      <c r="BP39" s="91"/>
      <c r="BQ39" s="91"/>
      <c r="BR39" s="91"/>
      <c r="BV39" s="91"/>
      <c r="BW39" s="91"/>
      <c r="BX39" s="91"/>
      <c r="CB39" s="91"/>
      <c r="CC39" s="91"/>
      <c r="CD39" s="91"/>
      <c r="CH39" s="91"/>
      <c r="CI39" s="91"/>
      <c r="CJ39" s="91"/>
      <c r="CN39" s="91"/>
      <c r="CO39" s="91"/>
      <c r="CP39" s="91"/>
      <c r="CT39" s="91"/>
      <c r="CU39" s="91"/>
      <c r="CV39" s="91"/>
      <c r="CZ39" s="91"/>
      <c r="DA39" s="91"/>
      <c r="DB39" s="91"/>
      <c r="DF39" s="91"/>
      <c r="DG39" s="91"/>
      <c r="DH39" s="91"/>
      <c r="DL39" s="91"/>
      <c r="DM39" s="91"/>
      <c r="DN39" s="91"/>
    </row>
    <row r="40" customFormat="false" ht="15.75" hidden="false" customHeight="true" outlineLevel="0" collapsed="false">
      <c r="A40" s="5" t="s">
        <v>200</v>
      </c>
      <c r="B40" s="12" t="str">
        <f aca="false">IF(COUNT(AR40,AO40,AL40,AI40,AF40,AC40,Z40,W40,T40,Q40,N40,K40)=0,"",SUM(AR40,AO40,AL40,AI40,AF40,AC40,Z40,W40,T40,Q40,N40,K40))</f>
        <v/>
      </c>
      <c r="C40" s="12" t="n">
        <f aca="false">IF(COUNT(AS40,AP40,AM40,AJ40,AG40,AD40,AA40,X40,U40,R40,O40,L40)=0,"",SUM(AS40,AP40,AM40,AJ40,AG40,AD40,AA40,X40,U40,R40,O40,L40))</f>
        <v>108000</v>
      </c>
      <c r="D40" s="12" t="n">
        <f aca="false">IF(COUNT(AT40,AQ40,AN40,AK40,AH40,AE40,AB40,Y40,V40,S40,P40,M40)=0,"",SUM(AT40,AQ40,AN40,AK40,AH40,AE40,AB40,Y40,V40,S40,P40,M40))</f>
        <v>108000</v>
      </c>
      <c r="E40" s="13" t="str">
        <f aca="false">IF(COUNT(CB40,BY40,BV40,BS40,BP40,BM40,BJ40,BG40,BD40,BA40,AX40,AU40)=0,"",SUM(CB40,BY40,BV40,BS40,BP40,BM40,BJ40,BG40,BD40,BA40,AX40,AU40))</f>
        <v/>
      </c>
      <c r="F40" s="13" t="str">
        <f aca="false">IF(COUNT(CC40,BZ40,BW40,BT40,BQ40,BN40,BK40,BH40,BE40,BB40,AY40,AV40)=0,"",SUM(CC40,BZ40,BW40,BT40,BQ40,BN40,BK40,BH40,BE40,BB40,AY40,AV40))</f>
        <v/>
      </c>
      <c r="G40" s="13" t="str">
        <f aca="false">IF(COUNT(CD40,CA40,BX40,BU40,BR40,BO40,BL40,BI40,BF40,BC40,AZ40,AW40)=0,"",SUM(CD40,CA40,BX40,BU40,BR40,BO40,BL40,BI40,BF40,BC40,AZ40,AW40))</f>
        <v/>
      </c>
      <c r="H40" s="12" t="str">
        <f aca="false">IF(COUNT(DL40,DI40,DF40,DC40,CZ40,CW40,CT40,CQ40,CN40,CK40,CH40,CE40)=0,"",SUM(DL40,DI40,DF40,DC40,CZ40,CW40,CT40,CQ40,CN40,CK40,CH40,CE40))</f>
        <v/>
      </c>
      <c r="I40" s="12" t="str">
        <f aca="false">IF(COUNT(DM40,DJ40,DG40,DD40,DA40,CX40,CU40,CR40,CO40,CL40,CI40,CF40)=0,"",SUM(DM40,DJ40,DG40,DD40,DA40,CX40,CU40,CR40,CO40,CL40,CI40,CF40))</f>
        <v/>
      </c>
      <c r="J40" s="12" t="str">
        <f aca="false">IF(COUNT(DN40,DK40,DH40,DE40,DB40,CY40,CV40,CS40,CP40,CM40,CJ40,CG40)=0,"",SUM(DN40,DK40,DH40,DE40,DB40,CY40,CV40,CS40,CP40,CM40,CJ40,CG40))</f>
        <v/>
      </c>
      <c r="K40" s="13"/>
      <c r="L40" s="13" t="n">
        <f aca="false">IF('Cash Drivers'!L$26,Sales!K40,Sales!M40)</f>
        <v>12000</v>
      </c>
      <c r="M40" s="89" t="n">
        <v>12000</v>
      </c>
      <c r="N40" s="12"/>
      <c r="O40" s="12" t="n">
        <f aca="false">IF('Cash Drivers'!O$26,Sales!N40,Sales!P40)</f>
        <v>12000</v>
      </c>
      <c r="P40" s="90" t="n">
        <v>12000</v>
      </c>
      <c r="Q40" s="13"/>
      <c r="R40" s="13" t="n">
        <f aca="false">IF('Cash Drivers'!R$26,Sales!Q40,Sales!S40)</f>
        <v>12000</v>
      </c>
      <c r="S40" s="89" t="n">
        <v>12000</v>
      </c>
      <c r="T40" s="12"/>
      <c r="U40" s="12" t="n">
        <f aca="false">IF('Cash Drivers'!U$26,Sales!T40,Sales!V40)</f>
        <v>12000</v>
      </c>
      <c r="V40" s="90" t="n">
        <v>12000</v>
      </c>
      <c r="W40" s="13"/>
      <c r="X40" s="13" t="n">
        <f aca="false">IF('Cash Drivers'!X$26,Sales!W40,Sales!Y40)</f>
        <v>12000</v>
      </c>
      <c r="Y40" s="89" t="n">
        <v>12000</v>
      </c>
      <c r="Z40" s="12"/>
      <c r="AA40" s="12" t="n">
        <f aca="false">IF('Cash Drivers'!AA$26,Sales!Z40,Sales!AB40)</f>
        <v>12000</v>
      </c>
      <c r="AB40" s="90" t="n">
        <v>12000</v>
      </c>
      <c r="AC40" s="13"/>
      <c r="AD40" s="13" t="n">
        <f aca="false">IF('Cash Drivers'!AD$26,Sales!AC40,Sales!AE40)</f>
        <v>12000</v>
      </c>
      <c r="AE40" s="89" t="n">
        <v>12000</v>
      </c>
      <c r="AF40" s="12"/>
      <c r="AG40" s="12" t="n">
        <f aca="false">IF('Cash Drivers'!AG$26,Sales!AF40,Sales!AH40)</f>
        <v>12000</v>
      </c>
      <c r="AH40" s="90" t="n">
        <v>12000</v>
      </c>
      <c r="AI40" s="13"/>
      <c r="AJ40" s="13" t="n">
        <f aca="false">IF('Cash Drivers'!AJ$26,Sales!AI40,Sales!AK40)</f>
        <v>12000</v>
      </c>
      <c r="AK40" s="89" t="n">
        <v>12000</v>
      </c>
      <c r="AL40" s="91"/>
      <c r="AM40" s="91"/>
      <c r="AN40" s="91"/>
      <c r="AR40" s="91"/>
      <c r="AS40" s="91"/>
      <c r="AT40" s="91"/>
      <c r="AX40" s="91"/>
      <c r="AY40" s="91"/>
      <c r="AZ40" s="91"/>
      <c r="BD40" s="91"/>
      <c r="BE40" s="91"/>
      <c r="BF40" s="91"/>
      <c r="BJ40" s="91"/>
      <c r="BK40" s="91"/>
      <c r="BL40" s="91"/>
      <c r="BP40" s="91"/>
      <c r="BQ40" s="91"/>
      <c r="BR40" s="91"/>
      <c r="BV40" s="91"/>
      <c r="BW40" s="91"/>
      <c r="BX40" s="91"/>
      <c r="CB40" s="91"/>
      <c r="CC40" s="91"/>
      <c r="CD40" s="91"/>
      <c r="CH40" s="91"/>
      <c r="CI40" s="91"/>
      <c r="CJ40" s="91"/>
      <c r="CN40" s="91"/>
      <c r="CO40" s="91"/>
      <c r="CP40" s="91"/>
      <c r="CT40" s="91"/>
      <c r="CU40" s="91"/>
      <c r="CV40" s="91"/>
      <c r="CZ40" s="91"/>
      <c r="DA40" s="91"/>
      <c r="DB40" s="91"/>
      <c r="DF40" s="91"/>
      <c r="DG40" s="91"/>
      <c r="DH40" s="91"/>
      <c r="DL40" s="91"/>
      <c r="DM40" s="91"/>
      <c r="DN40" s="91"/>
    </row>
    <row r="41" customFormat="false" ht="15.75" hidden="false" customHeight="true" outlineLevel="0" collapsed="false">
      <c r="A41" s="5" t="s">
        <v>199</v>
      </c>
      <c r="B41" s="12" t="str">
        <f aca="false">IF(COUNT(AR41,AO41,AL41,AI41,AF41,AC41,Z41,W41,T41,Q41,N41,K41)=0,"",SUM(AR41,AO41,AL41,AI41,AF41,AC41,Z41,W41,T41,Q41,N41,K41))</f>
        <v/>
      </c>
      <c r="C41" s="12" t="n">
        <f aca="false">IF(COUNT(AS41,AP41,AM41,AJ41,AG41,AD41,AA41,X41,U41,R41,O41,L41)=0,"",SUM(AS41,AP41,AM41,AJ41,AG41,AD41,AA41,X41,U41,R41,O41,L41))</f>
        <v>156000</v>
      </c>
      <c r="D41" s="12" t="n">
        <f aca="false">IF(COUNT(AT41,AQ41,AN41,AK41,AH41,AE41,AB41,Y41,V41,S41,P41,M41)=0,"",SUM(AT41,AQ41,AN41,AK41,AH41,AE41,AB41,Y41,V41,S41,P41,M41))</f>
        <v>156000</v>
      </c>
      <c r="E41" s="13" t="str">
        <f aca="false">IF(COUNT(CB41,BY41,BV41,BS41,BP41,BM41,BJ41,BG41,BD41,BA41,AX41,AU41)=0,"",SUM(CB41,BY41,BV41,BS41,BP41,BM41,BJ41,BG41,BD41,BA41,AX41,AU41))</f>
        <v/>
      </c>
      <c r="F41" s="13" t="n">
        <f aca="false">IF(COUNT(CC41,BZ41,BW41,BT41,BQ41,BN41,BK41,BH41,BE41,BB41,AY41,AV41)=0,"",SUM(CC41,BZ41,BW41,BT41,BQ41,BN41,BK41,BH41,BE41,BB41,AY41,AV41))</f>
        <v>65000</v>
      </c>
      <c r="G41" s="13" t="n">
        <f aca="false">IF(COUNT(CD41,CA41,BX41,BU41,BR41,BO41,BL41,BI41,BF41,BC41,AZ41,AW41)=0,"",SUM(CD41,CA41,BX41,BU41,BR41,BO41,BL41,BI41,BF41,BC41,AZ41,AW41))</f>
        <v>65000</v>
      </c>
      <c r="H41" s="12" t="str">
        <f aca="false">IF(COUNT(DL41,DI41,DF41,DC41,CZ41,CW41,CT41,CQ41,CN41,CK41,CH41,CE41)=0,"",SUM(DL41,DI41,DF41,DC41,CZ41,CW41,CT41,CQ41,CN41,CK41,CH41,CE41))</f>
        <v/>
      </c>
      <c r="I41" s="12" t="str">
        <f aca="false">IF(COUNT(DM41,DJ41,DG41,DD41,DA41,CX41,CU41,CR41,CO41,CL41,CI41,CF41)=0,"",SUM(DM41,DJ41,DG41,DD41,DA41,CX41,CU41,CR41,CO41,CL41,CI41,CF41))</f>
        <v/>
      </c>
      <c r="J41" s="12" t="str">
        <f aca="false">IF(COUNT(DN41,DK41,DH41,DE41,DB41,CY41,CV41,CS41,CP41,CM41,CJ41,CG41)=0,"",SUM(DN41,DK41,DH41,DE41,DB41,CY41,CV41,CS41,CP41,CM41,CJ41,CG41))</f>
        <v/>
      </c>
      <c r="K41" s="13"/>
      <c r="L41" s="13" t="n">
        <f aca="false">IF('Cash Drivers'!L$26,Sales!K41,Sales!M41)</f>
        <v>13000</v>
      </c>
      <c r="M41" s="89" t="n">
        <v>13000</v>
      </c>
      <c r="N41" s="12"/>
      <c r="O41" s="12" t="n">
        <f aca="false">IF('Cash Drivers'!O$26,Sales!N41,Sales!P41)</f>
        <v>13000</v>
      </c>
      <c r="P41" s="90" t="n">
        <v>13000</v>
      </c>
      <c r="Q41" s="13"/>
      <c r="R41" s="13" t="n">
        <f aca="false">IF('Cash Drivers'!R$26,Sales!Q41,Sales!S41)</f>
        <v>13000</v>
      </c>
      <c r="S41" s="89" t="n">
        <v>13000</v>
      </c>
      <c r="T41" s="12"/>
      <c r="U41" s="12" t="n">
        <f aca="false">IF('Cash Drivers'!U$26,Sales!T41,Sales!V41)</f>
        <v>13000</v>
      </c>
      <c r="V41" s="90" t="n">
        <v>13000</v>
      </c>
      <c r="W41" s="13"/>
      <c r="X41" s="13" t="n">
        <f aca="false">IF('Cash Drivers'!X$26,Sales!W41,Sales!Y41)</f>
        <v>13000</v>
      </c>
      <c r="Y41" s="89" t="n">
        <v>13000</v>
      </c>
      <c r="Z41" s="12"/>
      <c r="AA41" s="12" t="n">
        <f aca="false">IF('Cash Drivers'!AA$26,Sales!Z41,Sales!AB41)</f>
        <v>13000</v>
      </c>
      <c r="AB41" s="90" t="n">
        <v>13000</v>
      </c>
      <c r="AC41" s="13"/>
      <c r="AD41" s="13" t="n">
        <f aca="false">IF('Cash Drivers'!AD$26,Sales!AC41,Sales!AE41)</f>
        <v>13000</v>
      </c>
      <c r="AE41" s="89" t="n">
        <v>13000</v>
      </c>
      <c r="AF41" s="12"/>
      <c r="AG41" s="12" t="n">
        <f aca="false">IF('Cash Drivers'!AG$26,Sales!AF41,Sales!AH41)</f>
        <v>13000</v>
      </c>
      <c r="AH41" s="90" t="n">
        <v>13000</v>
      </c>
      <c r="AI41" s="13"/>
      <c r="AJ41" s="13" t="n">
        <f aca="false">IF('Cash Drivers'!AJ$26,Sales!AI41,Sales!AK41)</f>
        <v>13000</v>
      </c>
      <c r="AK41" s="89" t="n">
        <v>13000</v>
      </c>
      <c r="AL41" s="12"/>
      <c r="AM41" s="12" t="n">
        <f aca="false">IF('Cash Drivers'!AM$26,Sales!AL41,Sales!AN41)</f>
        <v>13000</v>
      </c>
      <c r="AN41" s="90" t="n">
        <v>13000</v>
      </c>
      <c r="AO41" s="13"/>
      <c r="AP41" s="13" t="n">
        <f aca="false">IF('Cash Drivers'!AP$26,Sales!AO41,Sales!AQ41)</f>
        <v>13000</v>
      </c>
      <c r="AQ41" s="89" t="n">
        <v>13000</v>
      </c>
      <c r="AR41" s="12"/>
      <c r="AS41" s="12" t="n">
        <f aca="false">IF('Cash Drivers'!AS$26,Sales!AR41,Sales!AT41)</f>
        <v>13000</v>
      </c>
      <c r="AT41" s="90" t="n">
        <v>13000</v>
      </c>
      <c r="AU41" s="13"/>
      <c r="AV41" s="13" t="n">
        <f aca="false">IF('Cash Drivers'!AV$26,Sales!AU41,Sales!AW41)</f>
        <v>13000</v>
      </c>
      <c r="AW41" s="89" t="n">
        <v>13000</v>
      </c>
      <c r="AX41" s="12"/>
      <c r="AY41" s="12" t="n">
        <f aca="false">IF('Cash Drivers'!AY$26,Sales!AX41,Sales!AZ41)</f>
        <v>13000</v>
      </c>
      <c r="AZ41" s="90" t="n">
        <v>13000</v>
      </c>
      <c r="BA41" s="13"/>
      <c r="BB41" s="13" t="n">
        <f aca="false">IF('Cash Drivers'!BB$26,Sales!BA41,Sales!BC41)</f>
        <v>13000</v>
      </c>
      <c r="BC41" s="89" t="n">
        <v>13000</v>
      </c>
      <c r="BD41" s="12"/>
      <c r="BE41" s="12" t="n">
        <f aca="false">IF('Cash Drivers'!BE$26,Sales!BD41,Sales!BF41)</f>
        <v>13000</v>
      </c>
      <c r="BF41" s="90" t="n">
        <v>13000</v>
      </c>
      <c r="BG41" s="13"/>
      <c r="BH41" s="13" t="n">
        <f aca="false">IF('Cash Drivers'!BH$26,Sales!BG41,Sales!BI41)</f>
        <v>13000</v>
      </c>
      <c r="BI41" s="89" t="n">
        <v>13000</v>
      </c>
      <c r="BJ41" s="91"/>
      <c r="BK41" s="91"/>
      <c r="BL41" s="91"/>
      <c r="BP41" s="91"/>
      <c r="BQ41" s="91"/>
      <c r="BR41" s="91"/>
      <c r="BV41" s="91"/>
      <c r="BW41" s="91"/>
      <c r="BX41" s="91"/>
      <c r="CB41" s="91"/>
      <c r="CC41" s="91"/>
      <c r="CD41" s="91"/>
      <c r="CH41" s="91"/>
      <c r="CI41" s="91"/>
      <c r="CJ41" s="91"/>
      <c r="CN41" s="91"/>
      <c r="CO41" s="91"/>
      <c r="CP41" s="91"/>
      <c r="CT41" s="91"/>
      <c r="CU41" s="91"/>
      <c r="CV41" s="91"/>
      <c r="CZ41" s="91"/>
      <c r="DA41" s="91"/>
      <c r="DB41" s="91"/>
      <c r="DF41" s="91"/>
      <c r="DG41" s="91"/>
      <c r="DH41" s="91"/>
      <c r="DL41" s="91"/>
      <c r="DM41" s="91"/>
      <c r="DN41" s="91"/>
    </row>
    <row r="42" customFormat="false" ht="15.75" hidden="false" customHeight="true" outlineLevel="0" collapsed="false">
      <c r="A42" s="5" t="s">
        <v>200</v>
      </c>
      <c r="B42" s="12" t="str">
        <f aca="false">IF(COUNT(AR42,AO42,AL42,AI42,AF42,AC42,Z42,W42,T42,Q42,N42,K42)=0,"",SUM(AR42,AO42,AL42,AI42,AF42,AC42,Z42,W42,T42,Q42,N42,K42))</f>
        <v/>
      </c>
      <c r="C42" s="12" t="n">
        <f aca="false">IF(COUNT(AS42,AP42,AM42,AJ42,AG42,AD42,AA42,X42,U42,R42,O42,L42)=0,"",SUM(AS42,AP42,AM42,AJ42,AG42,AD42,AA42,X42,U42,R42,O42,L42))</f>
        <v>120000</v>
      </c>
      <c r="D42" s="12" t="n">
        <f aca="false">IF(COUNT(AT42,AQ42,AN42,AK42,AH42,AE42,AB42,Y42,V42,S42,P42,M42)=0,"",SUM(AT42,AQ42,AN42,AK42,AH42,AE42,AB42,Y42,V42,S42,P42,M42))</f>
        <v>120000</v>
      </c>
      <c r="E42" s="13" t="str">
        <f aca="false">IF(COUNT(CB42,BY42,BV42,BS42,BP42,BM42,BJ42,BG42,BD42,BA42,AX42,AU42)=0,"",SUM(CB42,BY42,BV42,BS42,BP42,BM42,BJ42,BG42,BD42,BA42,AX42,AU42))</f>
        <v/>
      </c>
      <c r="F42" s="13" t="n">
        <f aca="false">IF(COUNT(CC42,BZ42,BW42,BT42,BQ42,BN42,BK42,BH42,BE42,BB42,AY42,AV42)=0,"",SUM(CC42,BZ42,BW42,BT42,BQ42,BN42,BK42,BH42,BE42,BB42,AY42,AV42))</f>
        <v>120000</v>
      </c>
      <c r="G42" s="13" t="n">
        <f aca="false">IF(COUNT(CD42,CA42,BX42,BU42,BR42,BO42,BL42,BI42,BF42,BC42,AZ42,AW42)=0,"",SUM(CD42,CA42,BX42,BU42,BR42,BO42,BL42,BI42,BF42,BC42,AZ42,AW42))</f>
        <v>120000</v>
      </c>
      <c r="H42" s="12" t="n">
        <f aca="false">IF(COUNT(DL42,DI42,DF42,DC42,CZ42,CW42,CT42,CQ42,CN42,CK42,CH42,CE42)=0,"",SUM(DL42,DI42,DF42,DC42,CZ42,CW42,CT42,CQ42,CN42,CK42,CH42,CE42))</f>
        <v>20000</v>
      </c>
      <c r="I42" s="12" t="n">
        <f aca="false">IF(COUNT(DM42,DJ42,DG42,DD42,DA42,CX42,CU42,CR42,CO42,CL42,CI42,CF42)=0,"",SUM(DM42,DJ42,DG42,DD42,DA42,CX42,CU42,CR42,CO42,CL42,CI42,CF42))</f>
        <v>120000</v>
      </c>
      <c r="J42" s="12" t="n">
        <f aca="false">IF(COUNT(DN42,DK42,DH42,DE42,DB42,CY42,CV42,CS42,CP42,CM42,CJ42,CG42)=0,"",SUM(DN42,DK42,DH42,DE42,DB42,CY42,CV42,CS42,CP42,CM42,CJ42,CG42))</f>
        <v>120000</v>
      </c>
      <c r="K42" s="13"/>
      <c r="L42" s="13" t="n">
        <f aca="false">IF('Cash Drivers'!L$26,Sales!K42,Sales!M42)</f>
        <v>10000</v>
      </c>
      <c r="M42" s="89" t="n">
        <v>10000</v>
      </c>
      <c r="N42" s="12"/>
      <c r="O42" s="12" t="n">
        <f aca="false">IF('Cash Drivers'!O$26,Sales!N42,Sales!P42)</f>
        <v>10000</v>
      </c>
      <c r="P42" s="90" t="n">
        <v>10000</v>
      </c>
      <c r="Q42" s="13"/>
      <c r="R42" s="13" t="n">
        <f aca="false">IF('Cash Drivers'!R$26,Sales!Q42,Sales!S42)</f>
        <v>10000</v>
      </c>
      <c r="S42" s="89" t="n">
        <v>10000</v>
      </c>
      <c r="T42" s="12"/>
      <c r="U42" s="12" t="n">
        <f aca="false">IF('Cash Drivers'!U$26,Sales!T42,Sales!V42)</f>
        <v>10000</v>
      </c>
      <c r="V42" s="90" t="n">
        <v>10000</v>
      </c>
      <c r="W42" s="13"/>
      <c r="X42" s="13" t="n">
        <f aca="false">IF('Cash Drivers'!X$26,Sales!W42,Sales!Y42)</f>
        <v>10000</v>
      </c>
      <c r="Y42" s="89" t="n">
        <v>10000</v>
      </c>
      <c r="Z42" s="12"/>
      <c r="AA42" s="12" t="n">
        <f aca="false">IF('Cash Drivers'!AA$26,Sales!Z42,Sales!AB42)</f>
        <v>10000</v>
      </c>
      <c r="AB42" s="90" t="n">
        <v>10000</v>
      </c>
      <c r="AC42" s="13"/>
      <c r="AD42" s="13" t="n">
        <f aca="false">IF('Cash Drivers'!AD$26,Sales!AC42,Sales!AE42)</f>
        <v>10000</v>
      </c>
      <c r="AE42" s="89" t="n">
        <v>10000</v>
      </c>
      <c r="AF42" s="12"/>
      <c r="AG42" s="12" t="n">
        <f aca="false">IF('Cash Drivers'!AG$26,Sales!AF42,Sales!AH42)</f>
        <v>10000</v>
      </c>
      <c r="AH42" s="90" t="n">
        <v>10000</v>
      </c>
      <c r="AI42" s="13"/>
      <c r="AJ42" s="13" t="n">
        <f aca="false">IF('Cash Drivers'!AJ$26,Sales!AI42,Sales!AK42)</f>
        <v>10000</v>
      </c>
      <c r="AK42" s="89" t="n">
        <v>10000</v>
      </c>
      <c r="AL42" s="12"/>
      <c r="AM42" s="12" t="n">
        <f aca="false">IF('Cash Drivers'!AM$26,Sales!AL42,Sales!AN42)</f>
        <v>10000</v>
      </c>
      <c r="AN42" s="90" t="n">
        <v>10000</v>
      </c>
      <c r="AO42" s="13"/>
      <c r="AP42" s="13" t="n">
        <f aca="false">IF('Cash Drivers'!AP$26,Sales!AO42,Sales!AQ42)</f>
        <v>10000</v>
      </c>
      <c r="AQ42" s="89" t="n">
        <v>10000</v>
      </c>
      <c r="AR42" s="12"/>
      <c r="AS42" s="12" t="n">
        <f aca="false">IF('Cash Drivers'!AS$26,Sales!AR42,Sales!AT42)</f>
        <v>10000</v>
      </c>
      <c r="AT42" s="90" t="n">
        <v>10000</v>
      </c>
      <c r="AU42" s="13"/>
      <c r="AV42" s="13" t="n">
        <f aca="false">IF('Cash Drivers'!AV$26,Sales!AU42,Sales!AW42)</f>
        <v>10000</v>
      </c>
      <c r="AW42" s="89" t="n">
        <v>10000</v>
      </c>
      <c r="AX42" s="12"/>
      <c r="AY42" s="12" t="n">
        <f aca="false">IF('Cash Drivers'!AY$26,Sales!AX42,Sales!AZ42)</f>
        <v>10000</v>
      </c>
      <c r="AZ42" s="90" t="n">
        <v>10000</v>
      </c>
      <c r="BA42" s="13"/>
      <c r="BB42" s="13" t="n">
        <f aca="false">IF('Cash Drivers'!BB$26,Sales!BA42,Sales!BC42)</f>
        <v>10000</v>
      </c>
      <c r="BC42" s="89" t="n">
        <v>10000</v>
      </c>
      <c r="BD42" s="12"/>
      <c r="BE42" s="12" t="n">
        <f aca="false">IF('Cash Drivers'!BE$26,Sales!BD42,Sales!BF42)</f>
        <v>10000</v>
      </c>
      <c r="BF42" s="90" t="n">
        <v>10000</v>
      </c>
      <c r="BG42" s="13"/>
      <c r="BH42" s="13" t="n">
        <f aca="false">IF('Cash Drivers'!BH$26,Sales!BG42,Sales!BI42)</f>
        <v>10000</v>
      </c>
      <c r="BI42" s="89" t="n">
        <v>10000</v>
      </c>
      <c r="BJ42" s="12"/>
      <c r="BK42" s="12" t="n">
        <f aca="false">IF('Cash Drivers'!BK$26,Sales!BJ42,Sales!BL42)</f>
        <v>10000</v>
      </c>
      <c r="BL42" s="90" t="n">
        <v>10000</v>
      </c>
      <c r="BM42" s="13"/>
      <c r="BN42" s="13" t="n">
        <f aca="false">IF('Cash Drivers'!BN$26,Sales!BM42,Sales!BO42)</f>
        <v>10000</v>
      </c>
      <c r="BO42" s="89" t="n">
        <v>10000</v>
      </c>
      <c r="BP42" s="12"/>
      <c r="BQ42" s="12" t="n">
        <f aca="false">IF('Cash Drivers'!BQ$26,Sales!BP42,Sales!BR42)</f>
        <v>10000</v>
      </c>
      <c r="BR42" s="90" t="n">
        <v>10000</v>
      </c>
      <c r="BS42" s="13"/>
      <c r="BT42" s="13" t="n">
        <f aca="false">IF('Cash Drivers'!BT$26,Sales!BS42,Sales!BU42)</f>
        <v>10000</v>
      </c>
      <c r="BU42" s="89" t="n">
        <v>10000</v>
      </c>
      <c r="BV42" s="12"/>
      <c r="BW42" s="12" t="n">
        <f aca="false">IF('Cash Drivers'!BW$26,Sales!BV42,Sales!BX42)</f>
        <v>10000</v>
      </c>
      <c r="BX42" s="90" t="n">
        <v>10000</v>
      </c>
      <c r="BY42" s="13"/>
      <c r="BZ42" s="13" t="n">
        <f aca="false">IF('Cash Drivers'!BZ$26,Sales!BY42,Sales!CA42)</f>
        <v>10000</v>
      </c>
      <c r="CA42" s="89" t="n">
        <v>10000</v>
      </c>
      <c r="CB42" s="12"/>
      <c r="CC42" s="12" t="n">
        <f aca="false">IF('Cash Drivers'!CC$26,Sales!CB42,Sales!CD42)</f>
        <v>10000</v>
      </c>
      <c r="CD42" s="90" t="n">
        <v>10000</v>
      </c>
      <c r="CE42" s="13"/>
      <c r="CF42" s="13" t="n">
        <f aca="false">IF('Cash Drivers'!CF$26,Sales!CE42,Sales!CG42)</f>
        <v>10000</v>
      </c>
      <c r="CG42" s="89" t="n">
        <v>10000</v>
      </c>
      <c r="CH42" s="12"/>
      <c r="CI42" s="12" t="n">
        <f aca="false">IF('Cash Drivers'!CI$26,Sales!CH42,Sales!CJ42)</f>
        <v>10000</v>
      </c>
      <c r="CJ42" s="90" t="n">
        <v>10000</v>
      </c>
      <c r="CK42" s="13"/>
      <c r="CL42" s="13" t="n">
        <f aca="false">IF('Cash Drivers'!CL$26,Sales!CK42,Sales!CM42)</f>
        <v>10000</v>
      </c>
      <c r="CM42" s="89" t="n">
        <v>10000</v>
      </c>
      <c r="CN42" s="12"/>
      <c r="CO42" s="12" t="n">
        <f aca="false">IF('Cash Drivers'!CO$26,Sales!CN42,Sales!CP42)</f>
        <v>10000</v>
      </c>
      <c r="CP42" s="90" t="n">
        <v>10000</v>
      </c>
      <c r="CQ42" s="13"/>
      <c r="CR42" s="13" t="n">
        <f aca="false">IF('Cash Drivers'!CR$26,Sales!CQ42,Sales!CS42)</f>
        <v>10000</v>
      </c>
      <c r="CS42" s="89" t="n">
        <v>10000</v>
      </c>
      <c r="CT42" s="12"/>
      <c r="CU42" s="12" t="n">
        <f aca="false">IF('Cash Drivers'!CU$26,Sales!CT42,Sales!CV42)</f>
        <v>10000</v>
      </c>
      <c r="CV42" s="90" t="n">
        <v>10000</v>
      </c>
      <c r="CW42" s="13"/>
      <c r="CX42" s="13" t="n">
        <f aca="false">IF('Cash Drivers'!CX$26,Sales!CW42,Sales!CY42)</f>
        <v>10000</v>
      </c>
      <c r="CY42" s="89" t="n">
        <v>10000</v>
      </c>
      <c r="CZ42" s="12"/>
      <c r="DA42" s="12" t="n">
        <f aca="false">IF('Cash Drivers'!DA$26,Sales!CZ42,Sales!DB42)</f>
        <v>10000</v>
      </c>
      <c r="DB42" s="90" t="n">
        <v>10000</v>
      </c>
      <c r="DC42" s="13"/>
      <c r="DD42" s="13" t="n">
        <f aca="false">IF('Cash Drivers'!DD$26,Sales!DC42,Sales!DE42)</f>
        <v>10000</v>
      </c>
      <c r="DE42" s="89" t="n">
        <v>10000</v>
      </c>
      <c r="DF42" s="12"/>
      <c r="DG42" s="12" t="n">
        <f aca="false">IF('Cash Drivers'!DG$26,Sales!DF42,Sales!DH42)</f>
        <v>10000</v>
      </c>
      <c r="DH42" s="90" t="n">
        <v>10000</v>
      </c>
      <c r="DI42" s="89" t="n">
        <v>10000</v>
      </c>
      <c r="DJ42" s="13" t="n">
        <f aca="false">IF('Cash Drivers'!DJ$26,Sales!DI42,Sales!DK42)</f>
        <v>10000</v>
      </c>
      <c r="DK42" s="89" t="n">
        <v>10000</v>
      </c>
      <c r="DL42" s="90" t="n">
        <v>10000</v>
      </c>
      <c r="DM42" s="12" t="n">
        <f aca="false">IF('Cash Drivers'!DM$26,Sales!DL42,Sales!DN42)</f>
        <v>10000</v>
      </c>
      <c r="DN42" s="90" t="n">
        <v>10000</v>
      </c>
    </row>
    <row r="43" customFormat="false" ht="15.75" hidden="false" customHeight="true" outlineLevel="0" collapsed="false">
      <c r="A43" s="5" t="s">
        <v>201</v>
      </c>
      <c r="B43" s="12" t="str">
        <f aca="false">IF(COUNT(AR43,AO43,AL43,AI43,AF43,AC43,Z43,W43,T43,Q43,N43,K43)=0,"",SUM(AR43,AO43,AL43,AI43,AF43,AC43,Z43,W43,T43,Q43,N43,K43))</f>
        <v/>
      </c>
      <c r="C43" s="12" t="n">
        <f aca="false">IF(COUNT(AS43,AP43,AM43,AJ43,AG43,AD43,AA43,X43,U43,R43,O43,L43)=0,"",SUM(AS43,AP43,AM43,AJ43,AG43,AD43,AA43,X43,U43,R43,O43,L43))</f>
        <v>96000</v>
      </c>
      <c r="D43" s="12" t="n">
        <f aca="false">IF(COUNT(AT43,AQ43,AN43,AK43,AH43,AE43,AB43,Y43,V43,S43,P43,M43)=0,"",SUM(AT43,AQ43,AN43,AK43,AH43,AE43,AB43,Y43,V43,S43,P43,M43))</f>
        <v>96000</v>
      </c>
      <c r="E43" s="13" t="str">
        <f aca="false">IF(COUNT(CB43,BY43,BV43,BS43,BP43,BM43,BJ43,BG43,BD43,BA43,AX43,AU43)=0,"",SUM(CB43,BY43,BV43,BS43,BP43,BM43,BJ43,BG43,BD43,BA43,AX43,AU43))</f>
        <v/>
      </c>
      <c r="F43" s="13" t="n">
        <f aca="false">IF(COUNT(CC43,BZ43,BW43,BT43,BQ43,BN43,BK43,BH43,BE43,BB43,AY43,AV43)=0,"",SUM(CC43,BZ43,BW43,BT43,BQ43,BN43,BK43,BH43,BE43,BB43,AY43,AV43))</f>
        <v>96000</v>
      </c>
      <c r="G43" s="13" t="n">
        <f aca="false">IF(COUNT(CD43,CA43,BX43,BU43,BR43,BO43,BL43,BI43,BF43,BC43,AZ43,AW43)=0,"",SUM(CD43,CA43,BX43,BU43,BR43,BO43,BL43,BI43,BF43,BC43,AZ43,AW43))</f>
        <v>96000</v>
      </c>
      <c r="H43" s="12" t="n">
        <f aca="false">IF(COUNT(DL43,DI43,DF43,DC43,CZ43,CW43,CT43,CQ43,CN43,CK43,CH43,CE43)=0,"",SUM(DL43,DI43,DF43,DC43,CZ43,CW43,CT43,CQ43,CN43,CK43,CH43,CE43))</f>
        <v>16000</v>
      </c>
      <c r="I43" s="12" t="n">
        <f aca="false">IF(COUNT(DM43,DJ43,DG43,DD43,DA43,CX43,CU43,CR43,CO43,CL43,CI43,CF43)=0,"",SUM(DM43,DJ43,DG43,DD43,DA43,CX43,CU43,CR43,CO43,CL43,CI43,CF43))</f>
        <v>96000</v>
      </c>
      <c r="J43" s="12" t="n">
        <f aca="false">IF(COUNT(DN43,DK43,DH43,DE43,DB43,CY43,CV43,CS43,CP43,CM43,CJ43,CG43)=0,"",SUM(DN43,DK43,DH43,DE43,DB43,CY43,CV43,CS43,CP43,CM43,CJ43,CG43))</f>
        <v>96000</v>
      </c>
      <c r="K43" s="13"/>
      <c r="L43" s="13" t="n">
        <f aca="false">IF('Cash Drivers'!L$26,Sales!K43,Sales!M43)</f>
        <v>8000</v>
      </c>
      <c r="M43" s="89" t="n">
        <v>8000</v>
      </c>
      <c r="N43" s="12"/>
      <c r="O43" s="12" t="n">
        <f aca="false">IF('Cash Drivers'!O$26,Sales!N43,Sales!P43)</f>
        <v>8000</v>
      </c>
      <c r="P43" s="90" t="n">
        <v>8000</v>
      </c>
      <c r="Q43" s="13"/>
      <c r="R43" s="13" t="n">
        <f aca="false">IF('Cash Drivers'!R$26,Sales!Q43,Sales!S43)</f>
        <v>8000</v>
      </c>
      <c r="S43" s="89" t="n">
        <v>8000</v>
      </c>
      <c r="T43" s="12"/>
      <c r="U43" s="12" t="n">
        <f aca="false">IF('Cash Drivers'!U$26,Sales!T43,Sales!V43)</f>
        <v>8000</v>
      </c>
      <c r="V43" s="90" t="n">
        <v>8000</v>
      </c>
      <c r="W43" s="13"/>
      <c r="X43" s="13" t="n">
        <f aca="false">IF('Cash Drivers'!X$26,Sales!W43,Sales!Y43)</f>
        <v>8000</v>
      </c>
      <c r="Y43" s="89" t="n">
        <v>8000</v>
      </c>
      <c r="Z43" s="12"/>
      <c r="AA43" s="12" t="n">
        <f aca="false">IF('Cash Drivers'!AA$26,Sales!Z43,Sales!AB43)</f>
        <v>8000</v>
      </c>
      <c r="AB43" s="90" t="n">
        <v>8000</v>
      </c>
      <c r="AC43" s="13"/>
      <c r="AD43" s="13" t="n">
        <f aca="false">IF('Cash Drivers'!AD$26,Sales!AC43,Sales!AE43)</f>
        <v>8000</v>
      </c>
      <c r="AE43" s="89" t="n">
        <v>8000</v>
      </c>
      <c r="AF43" s="12"/>
      <c r="AG43" s="12" t="n">
        <f aca="false">IF('Cash Drivers'!AG$26,Sales!AF43,Sales!AH43)</f>
        <v>8000</v>
      </c>
      <c r="AH43" s="90" t="n">
        <v>8000</v>
      </c>
      <c r="AI43" s="13"/>
      <c r="AJ43" s="13" t="n">
        <f aca="false">IF('Cash Drivers'!AJ$26,Sales!AI43,Sales!AK43)</f>
        <v>8000</v>
      </c>
      <c r="AK43" s="89" t="n">
        <v>8000</v>
      </c>
      <c r="AL43" s="12"/>
      <c r="AM43" s="12" t="n">
        <f aca="false">IF('Cash Drivers'!AM$26,Sales!AL43,Sales!AN43)</f>
        <v>8000</v>
      </c>
      <c r="AN43" s="90" t="n">
        <v>8000</v>
      </c>
      <c r="AO43" s="13"/>
      <c r="AP43" s="13" t="n">
        <f aca="false">IF('Cash Drivers'!AP$26,Sales!AO43,Sales!AQ43)</f>
        <v>8000</v>
      </c>
      <c r="AQ43" s="89" t="n">
        <v>8000</v>
      </c>
      <c r="AR43" s="12"/>
      <c r="AS43" s="12" t="n">
        <f aca="false">IF('Cash Drivers'!AS$26,Sales!AR43,Sales!AT43)</f>
        <v>8000</v>
      </c>
      <c r="AT43" s="90" t="n">
        <v>8000</v>
      </c>
      <c r="AU43" s="13"/>
      <c r="AV43" s="13" t="n">
        <f aca="false">IF('Cash Drivers'!AV$26,Sales!AU43,Sales!AW43)</f>
        <v>8000</v>
      </c>
      <c r="AW43" s="89" t="n">
        <v>8000</v>
      </c>
      <c r="AX43" s="12"/>
      <c r="AY43" s="12" t="n">
        <f aca="false">IF('Cash Drivers'!AY$26,Sales!AX43,Sales!AZ43)</f>
        <v>8000</v>
      </c>
      <c r="AZ43" s="90" t="n">
        <v>8000</v>
      </c>
      <c r="BA43" s="13"/>
      <c r="BB43" s="13" t="n">
        <f aca="false">IF('Cash Drivers'!BB$26,Sales!BA43,Sales!BC43)</f>
        <v>8000</v>
      </c>
      <c r="BC43" s="89" t="n">
        <v>8000</v>
      </c>
      <c r="BD43" s="12"/>
      <c r="BE43" s="12" t="n">
        <f aca="false">IF('Cash Drivers'!BE$26,Sales!BD43,Sales!BF43)</f>
        <v>8000</v>
      </c>
      <c r="BF43" s="90" t="n">
        <v>8000</v>
      </c>
      <c r="BG43" s="13"/>
      <c r="BH43" s="13" t="n">
        <f aca="false">IF('Cash Drivers'!BH$26,Sales!BG43,Sales!BI43)</f>
        <v>8000</v>
      </c>
      <c r="BI43" s="89" t="n">
        <v>8000</v>
      </c>
      <c r="BJ43" s="12"/>
      <c r="BK43" s="12" t="n">
        <f aca="false">IF('Cash Drivers'!BK$26,Sales!BJ43,Sales!BL43)</f>
        <v>8000</v>
      </c>
      <c r="BL43" s="90" t="n">
        <v>8000</v>
      </c>
      <c r="BM43" s="13"/>
      <c r="BN43" s="13" t="n">
        <f aca="false">IF('Cash Drivers'!BN$26,Sales!BM43,Sales!BO43)</f>
        <v>8000</v>
      </c>
      <c r="BO43" s="89" t="n">
        <v>8000</v>
      </c>
      <c r="BP43" s="12"/>
      <c r="BQ43" s="12" t="n">
        <f aca="false">IF('Cash Drivers'!BQ$26,Sales!BP43,Sales!BR43)</f>
        <v>8000</v>
      </c>
      <c r="BR43" s="90" t="n">
        <v>8000</v>
      </c>
      <c r="BS43" s="13"/>
      <c r="BT43" s="13" t="n">
        <f aca="false">IF('Cash Drivers'!BT$26,Sales!BS43,Sales!BU43)</f>
        <v>8000</v>
      </c>
      <c r="BU43" s="89" t="n">
        <v>8000</v>
      </c>
      <c r="BV43" s="12"/>
      <c r="BW43" s="12" t="n">
        <f aca="false">IF('Cash Drivers'!BW$26,Sales!BV43,Sales!BX43)</f>
        <v>8000</v>
      </c>
      <c r="BX43" s="90" t="n">
        <v>8000</v>
      </c>
      <c r="BY43" s="13"/>
      <c r="BZ43" s="13" t="n">
        <f aca="false">IF('Cash Drivers'!BZ$26,Sales!BY43,Sales!CA43)</f>
        <v>8000</v>
      </c>
      <c r="CA43" s="89" t="n">
        <v>8000</v>
      </c>
      <c r="CB43" s="12"/>
      <c r="CC43" s="12" t="n">
        <f aca="false">IF('Cash Drivers'!CC$26,Sales!CB43,Sales!CD43)</f>
        <v>8000</v>
      </c>
      <c r="CD43" s="90" t="n">
        <v>8000</v>
      </c>
      <c r="CE43" s="13"/>
      <c r="CF43" s="13" t="n">
        <f aca="false">IF('Cash Drivers'!CF$26,Sales!CE43,Sales!CG43)</f>
        <v>8000</v>
      </c>
      <c r="CG43" s="89" t="n">
        <v>8000</v>
      </c>
      <c r="CH43" s="12"/>
      <c r="CI43" s="12" t="n">
        <f aca="false">IF('Cash Drivers'!CI$26,Sales!CH43,Sales!CJ43)</f>
        <v>8000</v>
      </c>
      <c r="CJ43" s="90" t="n">
        <v>8000</v>
      </c>
      <c r="CK43" s="13"/>
      <c r="CL43" s="13" t="n">
        <f aca="false">IF('Cash Drivers'!CL$26,Sales!CK43,Sales!CM43)</f>
        <v>8000</v>
      </c>
      <c r="CM43" s="89" t="n">
        <v>8000</v>
      </c>
      <c r="CN43" s="12"/>
      <c r="CO43" s="12" t="n">
        <f aca="false">IF('Cash Drivers'!CO$26,Sales!CN43,Sales!CP43)</f>
        <v>8000</v>
      </c>
      <c r="CP43" s="90" t="n">
        <v>8000</v>
      </c>
      <c r="CQ43" s="13"/>
      <c r="CR43" s="13" t="n">
        <f aca="false">IF('Cash Drivers'!CR$26,Sales!CQ43,Sales!CS43)</f>
        <v>8000</v>
      </c>
      <c r="CS43" s="89" t="n">
        <v>8000</v>
      </c>
      <c r="CT43" s="12"/>
      <c r="CU43" s="12" t="n">
        <f aca="false">IF('Cash Drivers'!CU$26,Sales!CT43,Sales!CV43)</f>
        <v>8000</v>
      </c>
      <c r="CV43" s="90" t="n">
        <v>8000</v>
      </c>
      <c r="CW43" s="13"/>
      <c r="CX43" s="13" t="n">
        <f aca="false">IF('Cash Drivers'!CX$26,Sales!CW43,Sales!CY43)</f>
        <v>8000</v>
      </c>
      <c r="CY43" s="89" t="n">
        <v>8000</v>
      </c>
      <c r="CZ43" s="12"/>
      <c r="DA43" s="12" t="n">
        <f aca="false">IF('Cash Drivers'!DA$26,Sales!CZ43,Sales!DB43)</f>
        <v>8000</v>
      </c>
      <c r="DB43" s="90" t="n">
        <v>8000</v>
      </c>
      <c r="DC43" s="13"/>
      <c r="DD43" s="13" t="n">
        <f aca="false">IF('Cash Drivers'!DD$26,Sales!DC43,Sales!DE43)</f>
        <v>8000</v>
      </c>
      <c r="DE43" s="89" t="n">
        <v>8000</v>
      </c>
      <c r="DF43" s="12"/>
      <c r="DG43" s="12" t="n">
        <f aca="false">IF('Cash Drivers'!DG$26,Sales!DF43,Sales!DH43)</f>
        <v>8000</v>
      </c>
      <c r="DH43" s="90" t="n">
        <v>8000</v>
      </c>
      <c r="DI43" s="89" t="n">
        <v>8000</v>
      </c>
      <c r="DJ43" s="13" t="n">
        <f aca="false">IF('Cash Drivers'!DJ$26,Sales!DI43,Sales!DK43)</f>
        <v>8000</v>
      </c>
      <c r="DK43" s="89" t="n">
        <v>8000</v>
      </c>
      <c r="DL43" s="90" t="n">
        <v>8000</v>
      </c>
      <c r="DM43" s="12" t="n">
        <f aca="false">IF('Cash Drivers'!DM$26,Sales!DL43,Sales!DN43)</f>
        <v>8000</v>
      </c>
      <c r="DN43" s="90" t="n">
        <v>8000</v>
      </c>
    </row>
    <row r="44" customFormat="false" ht="15.75" hidden="false" customHeight="true" outlineLevel="0" collapsed="false">
      <c r="A44" s="5" t="s">
        <v>201</v>
      </c>
      <c r="B44" s="12" t="str">
        <f aca="false">IF(COUNT(AR44,AO44,AL44,AI44,AF44,AC44,Z44,W44,T44,Q44,N44,K44)=0,"",SUM(AR44,AO44,AL44,AI44,AF44,AC44,Z44,W44,T44,Q44,N44,K44))</f>
        <v/>
      </c>
      <c r="C44" s="12" t="n">
        <f aca="false">IF(COUNT(AS44,AP44,AM44,AJ44,AG44,AD44,AA44,X44,U44,R44,O44,L44)=0,"",SUM(AS44,AP44,AM44,AJ44,AG44,AD44,AA44,X44,U44,R44,O44,L44))</f>
        <v>96000</v>
      </c>
      <c r="D44" s="12" t="n">
        <f aca="false">IF(COUNT(AT44,AQ44,AN44,AK44,AH44,AE44,AB44,Y44,V44,S44,P44,M44)=0,"",SUM(AT44,AQ44,AN44,AK44,AH44,AE44,AB44,Y44,V44,S44,P44,M44))</f>
        <v>96000</v>
      </c>
      <c r="E44" s="13" t="str">
        <f aca="false">IF(COUNT(CB44,BY44,BV44,BS44,BP44,BM44,BJ44,BG44,BD44,BA44,AX44,AU44)=0,"",SUM(CB44,BY44,BV44,BS44,BP44,BM44,BJ44,BG44,BD44,BA44,AX44,AU44))</f>
        <v/>
      </c>
      <c r="F44" s="13" t="n">
        <f aca="false">IF(COUNT(CC44,BZ44,BW44,BT44,BQ44,BN44,BK44,BH44,BE44,BB44,AY44,AV44)=0,"",SUM(CC44,BZ44,BW44,BT44,BQ44,BN44,BK44,BH44,BE44,BB44,AY44,AV44))</f>
        <v>96000</v>
      </c>
      <c r="G44" s="13" t="n">
        <f aca="false">IF(COUNT(CD44,CA44,BX44,BU44,BR44,BO44,BL44,BI44,BF44,BC44,AZ44,AW44)=0,"",SUM(CD44,CA44,BX44,BU44,BR44,BO44,BL44,BI44,BF44,BC44,AZ44,AW44))</f>
        <v>96000</v>
      </c>
      <c r="H44" s="12" t="n">
        <f aca="false">IF(COUNT(DL44,DI44,DF44,DC44,CZ44,CW44,CT44,CQ44,CN44,CK44,CH44,CE44)=0,"",SUM(DL44,DI44,DF44,DC44,CZ44,CW44,CT44,CQ44,CN44,CK44,CH44,CE44))</f>
        <v>16000</v>
      </c>
      <c r="I44" s="12" t="n">
        <f aca="false">IF(COUNT(DM44,DJ44,DG44,DD44,DA44,CX44,CU44,CR44,CO44,CL44,CI44,CF44)=0,"",SUM(DM44,DJ44,DG44,DD44,DA44,CX44,CU44,CR44,CO44,CL44,CI44,CF44))</f>
        <v>96000</v>
      </c>
      <c r="J44" s="12" t="n">
        <f aca="false">IF(COUNT(DN44,DK44,DH44,DE44,DB44,CY44,CV44,CS44,CP44,CM44,CJ44,CG44)=0,"",SUM(DN44,DK44,DH44,DE44,DB44,CY44,CV44,CS44,CP44,CM44,CJ44,CG44))</f>
        <v>96000</v>
      </c>
      <c r="K44" s="13"/>
      <c r="L44" s="13" t="n">
        <f aca="false">IF('Cash Drivers'!L$26,Sales!K44,Sales!M44)</f>
        <v>8000</v>
      </c>
      <c r="M44" s="89" t="n">
        <v>8000</v>
      </c>
      <c r="N44" s="12"/>
      <c r="O44" s="12" t="n">
        <f aca="false">IF('Cash Drivers'!O$26,Sales!N44,Sales!P44)</f>
        <v>8000</v>
      </c>
      <c r="P44" s="90" t="n">
        <v>8000</v>
      </c>
      <c r="Q44" s="13"/>
      <c r="R44" s="13" t="n">
        <f aca="false">IF('Cash Drivers'!R$26,Sales!Q44,Sales!S44)</f>
        <v>8000</v>
      </c>
      <c r="S44" s="89" t="n">
        <v>8000</v>
      </c>
      <c r="T44" s="12"/>
      <c r="U44" s="12" t="n">
        <f aca="false">IF('Cash Drivers'!U$26,Sales!T44,Sales!V44)</f>
        <v>8000</v>
      </c>
      <c r="V44" s="90" t="n">
        <v>8000</v>
      </c>
      <c r="W44" s="13"/>
      <c r="X44" s="13" t="n">
        <f aca="false">IF('Cash Drivers'!X$26,Sales!W44,Sales!Y44)</f>
        <v>8000</v>
      </c>
      <c r="Y44" s="89" t="n">
        <v>8000</v>
      </c>
      <c r="Z44" s="12"/>
      <c r="AA44" s="12" t="n">
        <f aca="false">IF('Cash Drivers'!AA$26,Sales!Z44,Sales!AB44)</f>
        <v>8000</v>
      </c>
      <c r="AB44" s="90" t="n">
        <v>8000</v>
      </c>
      <c r="AC44" s="13"/>
      <c r="AD44" s="13" t="n">
        <f aca="false">IF('Cash Drivers'!AD$26,Sales!AC44,Sales!AE44)</f>
        <v>8000</v>
      </c>
      <c r="AE44" s="89" t="n">
        <v>8000</v>
      </c>
      <c r="AF44" s="12"/>
      <c r="AG44" s="12" t="n">
        <f aca="false">IF('Cash Drivers'!AG$26,Sales!AF44,Sales!AH44)</f>
        <v>8000</v>
      </c>
      <c r="AH44" s="90" t="n">
        <v>8000</v>
      </c>
      <c r="AI44" s="13"/>
      <c r="AJ44" s="13" t="n">
        <f aca="false">IF('Cash Drivers'!AJ$26,Sales!AI44,Sales!AK44)</f>
        <v>8000</v>
      </c>
      <c r="AK44" s="89" t="n">
        <v>8000</v>
      </c>
      <c r="AL44" s="12"/>
      <c r="AM44" s="12" t="n">
        <f aca="false">IF('Cash Drivers'!AM$26,Sales!AL44,Sales!AN44)</f>
        <v>8000</v>
      </c>
      <c r="AN44" s="90" t="n">
        <v>8000</v>
      </c>
      <c r="AO44" s="13"/>
      <c r="AP44" s="13" t="n">
        <f aca="false">IF('Cash Drivers'!AP$26,Sales!AO44,Sales!AQ44)</f>
        <v>8000</v>
      </c>
      <c r="AQ44" s="89" t="n">
        <v>8000</v>
      </c>
      <c r="AR44" s="12"/>
      <c r="AS44" s="12" t="n">
        <f aca="false">IF('Cash Drivers'!AS$26,Sales!AR44,Sales!AT44)</f>
        <v>8000</v>
      </c>
      <c r="AT44" s="90" t="n">
        <v>8000</v>
      </c>
      <c r="AU44" s="13"/>
      <c r="AV44" s="13" t="n">
        <f aca="false">IF('Cash Drivers'!AV$26,Sales!AU44,Sales!AW44)</f>
        <v>8000</v>
      </c>
      <c r="AW44" s="89" t="n">
        <v>8000</v>
      </c>
      <c r="AX44" s="12"/>
      <c r="AY44" s="12" t="n">
        <f aca="false">IF('Cash Drivers'!AY$26,Sales!AX44,Sales!AZ44)</f>
        <v>8000</v>
      </c>
      <c r="AZ44" s="90" t="n">
        <v>8000</v>
      </c>
      <c r="BA44" s="13"/>
      <c r="BB44" s="13" t="n">
        <f aca="false">IF('Cash Drivers'!BB$26,Sales!BA44,Sales!BC44)</f>
        <v>8000</v>
      </c>
      <c r="BC44" s="89" t="n">
        <v>8000</v>
      </c>
      <c r="BD44" s="12"/>
      <c r="BE44" s="12" t="n">
        <f aca="false">IF('Cash Drivers'!BE$26,Sales!BD44,Sales!BF44)</f>
        <v>8000</v>
      </c>
      <c r="BF44" s="90" t="n">
        <v>8000</v>
      </c>
      <c r="BG44" s="13"/>
      <c r="BH44" s="13" t="n">
        <f aca="false">IF('Cash Drivers'!BH$26,Sales!BG44,Sales!BI44)</f>
        <v>8000</v>
      </c>
      <c r="BI44" s="89" t="n">
        <v>8000</v>
      </c>
      <c r="BJ44" s="12"/>
      <c r="BK44" s="12" t="n">
        <f aca="false">IF('Cash Drivers'!BK$26,Sales!BJ44,Sales!BL44)</f>
        <v>8000</v>
      </c>
      <c r="BL44" s="90" t="n">
        <v>8000</v>
      </c>
      <c r="BM44" s="13"/>
      <c r="BN44" s="13" t="n">
        <f aca="false">IF('Cash Drivers'!BN$26,Sales!BM44,Sales!BO44)</f>
        <v>8000</v>
      </c>
      <c r="BO44" s="89" t="n">
        <v>8000</v>
      </c>
      <c r="BP44" s="12"/>
      <c r="BQ44" s="12" t="n">
        <f aca="false">IF('Cash Drivers'!BQ$26,Sales!BP44,Sales!BR44)</f>
        <v>8000</v>
      </c>
      <c r="BR44" s="90" t="n">
        <v>8000</v>
      </c>
      <c r="BS44" s="13"/>
      <c r="BT44" s="13" t="n">
        <f aca="false">IF('Cash Drivers'!BT$26,Sales!BS44,Sales!BU44)</f>
        <v>8000</v>
      </c>
      <c r="BU44" s="89" t="n">
        <v>8000</v>
      </c>
      <c r="BV44" s="12"/>
      <c r="BW44" s="12" t="n">
        <f aca="false">IF('Cash Drivers'!BW$26,Sales!BV44,Sales!BX44)</f>
        <v>8000</v>
      </c>
      <c r="BX44" s="90" t="n">
        <v>8000</v>
      </c>
      <c r="BY44" s="13"/>
      <c r="BZ44" s="13" t="n">
        <f aca="false">IF('Cash Drivers'!BZ$26,Sales!BY44,Sales!CA44)</f>
        <v>8000</v>
      </c>
      <c r="CA44" s="89" t="n">
        <v>8000</v>
      </c>
      <c r="CB44" s="12"/>
      <c r="CC44" s="12" t="n">
        <f aca="false">IF('Cash Drivers'!CC$26,Sales!CB44,Sales!CD44)</f>
        <v>8000</v>
      </c>
      <c r="CD44" s="90" t="n">
        <v>8000</v>
      </c>
      <c r="CE44" s="13"/>
      <c r="CF44" s="13" t="n">
        <f aca="false">IF('Cash Drivers'!CF$26,Sales!CE44,Sales!CG44)</f>
        <v>8000</v>
      </c>
      <c r="CG44" s="89" t="n">
        <v>8000</v>
      </c>
      <c r="CH44" s="12"/>
      <c r="CI44" s="12" t="n">
        <f aca="false">IF('Cash Drivers'!CI$26,Sales!CH44,Sales!CJ44)</f>
        <v>8000</v>
      </c>
      <c r="CJ44" s="90" t="n">
        <v>8000</v>
      </c>
      <c r="CK44" s="13"/>
      <c r="CL44" s="13" t="n">
        <f aca="false">IF('Cash Drivers'!CL$26,Sales!CK44,Sales!CM44)</f>
        <v>8000</v>
      </c>
      <c r="CM44" s="89" t="n">
        <v>8000</v>
      </c>
      <c r="CN44" s="12"/>
      <c r="CO44" s="12" t="n">
        <f aca="false">IF('Cash Drivers'!CO$26,Sales!CN44,Sales!CP44)</f>
        <v>8000</v>
      </c>
      <c r="CP44" s="90" t="n">
        <v>8000</v>
      </c>
      <c r="CQ44" s="13"/>
      <c r="CR44" s="13" t="n">
        <f aca="false">IF('Cash Drivers'!CR$26,Sales!CQ44,Sales!CS44)</f>
        <v>8000</v>
      </c>
      <c r="CS44" s="89" t="n">
        <v>8000</v>
      </c>
      <c r="CT44" s="12"/>
      <c r="CU44" s="12" t="n">
        <f aca="false">IF('Cash Drivers'!CU$26,Sales!CT44,Sales!CV44)</f>
        <v>8000</v>
      </c>
      <c r="CV44" s="90" t="n">
        <v>8000</v>
      </c>
      <c r="CW44" s="13"/>
      <c r="CX44" s="13" t="n">
        <f aca="false">IF('Cash Drivers'!CX$26,Sales!CW44,Sales!CY44)</f>
        <v>8000</v>
      </c>
      <c r="CY44" s="89" t="n">
        <v>8000</v>
      </c>
      <c r="CZ44" s="12"/>
      <c r="DA44" s="12" t="n">
        <f aca="false">IF('Cash Drivers'!DA$26,Sales!CZ44,Sales!DB44)</f>
        <v>8000</v>
      </c>
      <c r="DB44" s="90" t="n">
        <v>8000</v>
      </c>
      <c r="DC44" s="13"/>
      <c r="DD44" s="13" t="n">
        <f aca="false">IF('Cash Drivers'!DD$26,Sales!DC44,Sales!DE44)</f>
        <v>8000</v>
      </c>
      <c r="DE44" s="89" t="n">
        <v>8000</v>
      </c>
      <c r="DF44" s="12"/>
      <c r="DG44" s="12" t="n">
        <f aca="false">IF('Cash Drivers'!DG$26,Sales!DF44,Sales!DH44)</f>
        <v>8000</v>
      </c>
      <c r="DH44" s="90" t="n">
        <v>8000</v>
      </c>
      <c r="DI44" s="89" t="n">
        <v>8000</v>
      </c>
      <c r="DJ44" s="13" t="n">
        <f aca="false">IF('Cash Drivers'!DJ$26,Sales!DI44,Sales!DK44)</f>
        <v>8000</v>
      </c>
      <c r="DK44" s="89" t="n">
        <v>8000</v>
      </c>
      <c r="DL44" s="90" t="n">
        <v>8000</v>
      </c>
      <c r="DM44" s="12" t="n">
        <f aca="false">IF('Cash Drivers'!DM$26,Sales!DL44,Sales!DN44)</f>
        <v>8000</v>
      </c>
      <c r="DN44" s="90" t="n">
        <v>8000</v>
      </c>
    </row>
    <row r="45" customFormat="false" ht="15.75" hidden="false" customHeight="true" outlineLevel="0" collapsed="false">
      <c r="A45" s="5" t="s">
        <v>201</v>
      </c>
      <c r="B45" s="12" t="str">
        <f aca="false">IF(COUNT(AR45,AO45,AL45,AI45,AF45,AC45,Z45,W45,T45,Q45,N45,K45)=0,"",SUM(AR45,AO45,AL45,AI45,AF45,AC45,Z45,W45,T45,Q45,N45,K45))</f>
        <v/>
      </c>
      <c r="C45" s="12" t="n">
        <f aca="false">IF(COUNT(AS45,AP45,AM45,AJ45,AG45,AD45,AA45,X45,U45,R45,O45,L45)=0,"",SUM(AS45,AP45,AM45,AJ45,AG45,AD45,AA45,X45,U45,R45,O45,L45))</f>
        <v>96000</v>
      </c>
      <c r="D45" s="12" t="n">
        <f aca="false">IF(COUNT(AT45,AQ45,AN45,AK45,AH45,AE45,AB45,Y45,V45,S45,P45,M45)=0,"",SUM(AT45,AQ45,AN45,AK45,AH45,AE45,AB45,Y45,V45,S45,P45,M45))</f>
        <v>96000</v>
      </c>
      <c r="E45" s="13" t="str">
        <f aca="false">IF(COUNT(CB45,BY45,BV45,BS45,BP45,BM45,BJ45,BG45,BD45,BA45,AX45,AU45)=0,"",SUM(CB45,BY45,BV45,BS45,BP45,BM45,BJ45,BG45,BD45,BA45,AX45,AU45))</f>
        <v/>
      </c>
      <c r="F45" s="13" t="n">
        <f aca="false">IF(COUNT(CC45,BZ45,BW45,BT45,BQ45,BN45,BK45,BH45,BE45,BB45,AY45,AV45)=0,"",SUM(CC45,BZ45,BW45,BT45,BQ45,BN45,BK45,BH45,BE45,BB45,AY45,AV45))</f>
        <v>48000</v>
      </c>
      <c r="G45" s="13" t="n">
        <f aca="false">IF(COUNT(CD45,CA45,BX45,BU45,BR45,BO45,BL45,BI45,BF45,BC45,AZ45,AW45)=0,"",SUM(CD45,CA45,BX45,BU45,BR45,BO45,BL45,BI45,BF45,BC45,AZ45,AW45))</f>
        <v>48000</v>
      </c>
      <c r="H45" s="12" t="str">
        <f aca="false">IF(COUNT(DL45,DI45,DF45,DC45,CZ45,CW45,CT45,CQ45,CN45,CK45,CH45,CE45)=0,"",SUM(DL45,DI45,DF45,DC45,CZ45,CW45,CT45,CQ45,CN45,CK45,CH45,CE45))</f>
        <v/>
      </c>
      <c r="I45" s="12" t="str">
        <f aca="false">IF(COUNT(DM45,DJ45,DG45,DD45,DA45,CX45,CU45,CR45,CO45,CL45,CI45,CF45)=0,"",SUM(DM45,DJ45,DG45,DD45,DA45,CX45,CU45,CR45,CO45,CL45,CI45,CF45))</f>
        <v/>
      </c>
      <c r="J45" s="12" t="str">
        <f aca="false">IF(COUNT(DN45,DK45,DH45,DE45,DB45,CY45,CV45,CS45,CP45,CM45,CJ45,CG45)=0,"",SUM(DN45,DK45,DH45,DE45,DB45,CY45,CV45,CS45,CP45,CM45,CJ45,CG45))</f>
        <v/>
      </c>
      <c r="K45" s="13"/>
      <c r="L45" s="13" t="n">
        <f aca="false">IF('Cash Drivers'!L$26,Sales!K45,Sales!M45)</f>
        <v>8000</v>
      </c>
      <c r="M45" s="89" t="n">
        <v>8000</v>
      </c>
      <c r="N45" s="12"/>
      <c r="O45" s="12" t="n">
        <f aca="false">IF('Cash Drivers'!O$26,Sales!N45,Sales!P45)</f>
        <v>8000</v>
      </c>
      <c r="P45" s="90" t="n">
        <v>8000</v>
      </c>
      <c r="Q45" s="13"/>
      <c r="R45" s="13" t="n">
        <f aca="false">IF('Cash Drivers'!R$26,Sales!Q45,Sales!S45)</f>
        <v>8000</v>
      </c>
      <c r="S45" s="89" t="n">
        <v>8000</v>
      </c>
      <c r="T45" s="12"/>
      <c r="U45" s="12" t="n">
        <f aca="false">IF('Cash Drivers'!U$26,Sales!T45,Sales!V45)</f>
        <v>8000</v>
      </c>
      <c r="V45" s="90" t="n">
        <v>8000</v>
      </c>
      <c r="W45" s="13"/>
      <c r="X45" s="13" t="n">
        <f aca="false">IF('Cash Drivers'!X$26,Sales!W45,Sales!Y45)</f>
        <v>8000</v>
      </c>
      <c r="Y45" s="89" t="n">
        <v>8000</v>
      </c>
      <c r="Z45" s="12"/>
      <c r="AA45" s="12" t="n">
        <f aca="false">IF('Cash Drivers'!AA$26,Sales!Z45,Sales!AB45)</f>
        <v>8000</v>
      </c>
      <c r="AB45" s="90" t="n">
        <v>8000</v>
      </c>
      <c r="AC45" s="13"/>
      <c r="AD45" s="13" t="n">
        <f aca="false">IF('Cash Drivers'!AD$26,Sales!AC45,Sales!AE45)</f>
        <v>8000</v>
      </c>
      <c r="AE45" s="89" t="n">
        <v>8000</v>
      </c>
      <c r="AF45" s="12"/>
      <c r="AG45" s="12" t="n">
        <f aca="false">IF('Cash Drivers'!AG$26,Sales!AF45,Sales!AH45)</f>
        <v>8000</v>
      </c>
      <c r="AH45" s="90" t="n">
        <v>8000</v>
      </c>
      <c r="AI45" s="13"/>
      <c r="AJ45" s="13" t="n">
        <f aca="false">IF('Cash Drivers'!AJ$26,Sales!AI45,Sales!AK45)</f>
        <v>8000</v>
      </c>
      <c r="AK45" s="89" t="n">
        <v>8000</v>
      </c>
      <c r="AL45" s="12"/>
      <c r="AM45" s="12" t="n">
        <f aca="false">IF('Cash Drivers'!AM$26,Sales!AL45,Sales!AN45)</f>
        <v>8000</v>
      </c>
      <c r="AN45" s="90" t="n">
        <v>8000</v>
      </c>
      <c r="AO45" s="13"/>
      <c r="AP45" s="13" t="n">
        <f aca="false">IF('Cash Drivers'!AP$26,Sales!AO45,Sales!AQ45)</f>
        <v>8000</v>
      </c>
      <c r="AQ45" s="89" t="n">
        <v>8000</v>
      </c>
      <c r="AR45" s="12"/>
      <c r="AS45" s="12" t="n">
        <f aca="false">IF('Cash Drivers'!AS$26,Sales!AR45,Sales!AT45)</f>
        <v>8000</v>
      </c>
      <c r="AT45" s="90" t="n">
        <v>8000</v>
      </c>
      <c r="AU45" s="13"/>
      <c r="AV45" s="13" t="n">
        <f aca="false">IF('Cash Drivers'!AV$26,Sales!AU45,Sales!AW45)</f>
        <v>8000</v>
      </c>
      <c r="AW45" s="89" t="n">
        <v>8000</v>
      </c>
      <c r="AX45" s="12"/>
      <c r="AY45" s="12" t="n">
        <f aca="false">IF('Cash Drivers'!AY$26,Sales!AX45,Sales!AZ45)</f>
        <v>8000</v>
      </c>
      <c r="AZ45" s="90" t="n">
        <v>8000</v>
      </c>
      <c r="BA45" s="13"/>
      <c r="BB45" s="13" t="n">
        <f aca="false">IF('Cash Drivers'!BB$26,Sales!BA45,Sales!BC45)</f>
        <v>8000</v>
      </c>
      <c r="BC45" s="89" t="n">
        <v>8000</v>
      </c>
      <c r="BD45" s="12"/>
      <c r="BE45" s="12" t="n">
        <f aca="false">IF('Cash Drivers'!BE$26,Sales!BD45,Sales!BF45)</f>
        <v>8000</v>
      </c>
      <c r="BF45" s="90" t="n">
        <v>8000</v>
      </c>
      <c r="BG45" s="13"/>
      <c r="BH45" s="13" t="n">
        <f aca="false">IF('Cash Drivers'!BH$26,Sales!BG45,Sales!BI45)</f>
        <v>8000</v>
      </c>
      <c r="BI45" s="89" t="n">
        <v>8000</v>
      </c>
      <c r="BJ45" s="12"/>
      <c r="BK45" s="12" t="n">
        <f aca="false">IF('Cash Drivers'!BK$26,Sales!BJ45,Sales!BL45)</f>
        <v>8000</v>
      </c>
      <c r="BL45" s="90" t="n">
        <v>8000</v>
      </c>
      <c r="BP45" s="91"/>
      <c r="BQ45" s="91"/>
      <c r="BR45" s="91"/>
      <c r="BV45" s="91"/>
      <c r="BW45" s="91"/>
      <c r="BX45" s="91"/>
      <c r="CB45" s="91"/>
      <c r="CC45" s="91"/>
      <c r="CD45" s="91"/>
      <c r="CH45" s="91"/>
      <c r="CI45" s="91"/>
      <c r="CJ45" s="91"/>
      <c r="CN45" s="91"/>
      <c r="CO45" s="91"/>
      <c r="CP45" s="91"/>
      <c r="CT45" s="91"/>
      <c r="CU45" s="91"/>
      <c r="CV45" s="91"/>
      <c r="CZ45" s="91"/>
      <c r="DA45" s="91"/>
      <c r="DB45" s="91"/>
      <c r="DF45" s="91"/>
      <c r="DG45" s="91"/>
      <c r="DH45" s="91"/>
      <c r="DL45" s="91"/>
      <c r="DM45" s="91"/>
      <c r="DN45" s="91"/>
    </row>
    <row r="46" customFormat="false" ht="15.75" hidden="false" customHeight="true" outlineLevel="0" collapsed="false">
      <c r="A46" s="5" t="s">
        <v>201</v>
      </c>
      <c r="B46" s="12" t="str">
        <f aca="false">IF(COUNT(AR46,AO46,AL46,AI46,AF46,AC46,Z46,W46,T46,Q46,N46,K46)=0,"",SUM(AR46,AO46,AL46,AI46,AF46,AC46,Z46,W46,T46,Q46,N46,K46))</f>
        <v/>
      </c>
      <c r="C46" s="12" t="n">
        <f aca="false">IF(COUNT(AS46,AP46,AM46,AJ46,AG46,AD46,AA46,X46,U46,R46,O46,L46)=0,"",SUM(AS46,AP46,AM46,AJ46,AG46,AD46,AA46,X46,U46,R46,O46,L46))</f>
        <v>96000</v>
      </c>
      <c r="D46" s="12" t="n">
        <f aca="false">IF(COUNT(AT46,AQ46,AN46,AK46,AH46,AE46,AB46,Y46,V46,S46,P46,M46)=0,"",SUM(AT46,AQ46,AN46,AK46,AH46,AE46,AB46,Y46,V46,S46,P46,M46))</f>
        <v>96000</v>
      </c>
      <c r="E46" s="13" t="str">
        <f aca="false">IF(COUNT(CB46,BY46,BV46,BS46,BP46,BM46,BJ46,BG46,BD46,BA46,AX46,AU46)=0,"",SUM(CB46,BY46,BV46,BS46,BP46,BM46,BJ46,BG46,BD46,BA46,AX46,AU46))</f>
        <v/>
      </c>
      <c r="F46" s="13" t="n">
        <f aca="false">IF(COUNT(CC46,BZ46,BW46,BT46,BQ46,BN46,BK46,BH46,BE46,BB46,AY46,AV46)=0,"",SUM(CC46,BZ46,BW46,BT46,BQ46,BN46,BK46,BH46,BE46,BB46,AY46,AV46))</f>
        <v>80000</v>
      </c>
      <c r="G46" s="13" t="n">
        <f aca="false">IF(COUNT(CD46,CA46,BX46,BU46,BR46,BO46,BL46,BI46,BF46,BC46,AZ46,AW46)=0,"",SUM(CD46,CA46,BX46,BU46,BR46,BO46,BL46,BI46,BF46,BC46,AZ46,AW46))</f>
        <v>80000</v>
      </c>
      <c r="H46" s="12" t="str">
        <f aca="false">IF(COUNT(DL46,DI46,DF46,DC46,CZ46,CW46,CT46,CQ46,CN46,CK46,CH46,CE46)=0,"",SUM(DL46,DI46,DF46,DC46,CZ46,CW46,CT46,CQ46,CN46,CK46,CH46,CE46))</f>
        <v/>
      </c>
      <c r="I46" s="12" t="str">
        <f aca="false">IF(COUNT(DM46,DJ46,DG46,DD46,DA46,CX46,CU46,CR46,CO46,CL46,CI46,CF46)=0,"",SUM(DM46,DJ46,DG46,DD46,DA46,CX46,CU46,CR46,CO46,CL46,CI46,CF46))</f>
        <v/>
      </c>
      <c r="J46" s="12" t="str">
        <f aca="false">IF(COUNT(DN46,DK46,DH46,DE46,DB46,CY46,CV46,CS46,CP46,CM46,CJ46,CG46)=0,"",SUM(DN46,DK46,DH46,DE46,DB46,CY46,CV46,CS46,CP46,CM46,CJ46,CG46))</f>
        <v/>
      </c>
      <c r="K46" s="13"/>
      <c r="L46" s="13" t="n">
        <f aca="false">IF('Cash Drivers'!L$26,Sales!K46,Sales!M46)</f>
        <v>8000</v>
      </c>
      <c r="M46" s="89" t="n">
        <v>8000</v>
      </c>
      <c r="N46" s="12"/>
      <c r="O46" s="12" t="n">
        <f aca="false">IF('Cash Drivers'!O$26,Sales!N46,Sales!P46)</f>
        <v>8000</v>
      </c>
      <c r="P46" s="90" t="n">
        <v>8000</v>
      </c>
      <c r="Q46" s="13"/>
      <c r="R46" s="13" t="n">
        <f aca="false">IF('Cash Drivers'!R$26,Sales!Q46,Sales!S46)</f>
        <v>8000</v>
      </c>
      <c r="S46" s="89" t="n">
        <v>8000</v>
      </c>
      <c r="T46" s="12"/>
      <c r="U46" s="12" t="n">
        <f aca="false">IF('Cash Drivers'!U$26,Sales!T46,Sales!V46)</f>
        <v>8000</v>
      </c>
      <c r="V46" s="90" t="n">
        <v>8000</v>
      </c>
      <c r="W46" s="13"/>
      <c r="X46" s="13" t="n">
        <f aca="false">IF('Cash Drivers'!X$26,Sales!W46,Sales!Y46)</f>
        <v>8000</v>
      </c>
      <c r="Y46" s="89" t="n">
        <v>8000</v>
      </c>
      <c r="Z46" s="12"/>
      <c r="AA46" s="12" t="n">
        <f aca="false">IF('Cash Drivers'!AA$26,Sales!Z46,Sales!AB46)</f>
        <v>8000</v>
      </c>
      <c r="AB46" s="90" t="n">
        <v>8000</v>
      </c>
      <c r="AC46" s="13"/>
      <c r="AD46" s="13" t="n">
        <f aca="false">IF('Cash Drivers'!AD$26,Sales!AC46,Sales!AE46)</f>
        <v>8000</v>
      </c>
      <c r="AE46" s="89" t="n">
        <v>8000</v>
      </c>
      <c r="AF46" s="12"/>
      <c r="AG46" s="12" t="n">
        <f aca="false">IF('Cash Drivers'!AG$26,Sales!AF46,Sales!AH46)</f>
        <v>8000</v>
      </c>
      <c r="AH46" s="90" t="n">
        <v>8000</v>
      </c>
      <c r="AI46" s="13"/>
      <c r="AJ46" s="13" t="n">
        <f aca="false">IF('Cash Drivers'!AJ$26,Sales!AI46,Sales!AK46)</f>
        <v>8000</v>
      </c>
      <c r="AK46" s="89" t="n">
        <v>8000</v>
      </c>
      <c r="AL46" s="12"/>
      <c r="AM46" s="12" t="n">
        <f aca="false">IF('Cash Drivers'!AM$26,Sales!AL46,Sales!AN46)</f>
        <v>8000</v>
      </c>
      <c r="AN46" s="90" t="n">
        <v>8000</v>
      </c>
      <c r="AO46" s="13"/>
      <c r="AP46" s="13" t="n">
        <f aca="false">IF('Cash Drivers'!AP$26,Sales!AO46,Sales!AQ46)</f>
        <v>8000</v>
      </c>
      <c r="AQ46" s="89" t="n">
        <v>8000</v>
      </c>
      <c r="AR46" s="12"/>
      <c r="AS46" s="12" t="n">
        <f aca="false">IF('Cash Drivers'!AS$26,Sales!AR46,Sales!AT46)</f>
        <v>8000</v>
      </c>
      <c r="AT46" s="90" t="n">
        <v>8000</v>
      </c>
      <c r="AU46" s="13"/>
      <c r="AV46" s="13" t="n">
        <f aca="false">IF('Cash Drivers'!AV$26,Sales!AU46,Sales!AW46)</f>
        <v>8000</v>
      </c>
      <c r="AW46" s="89" t="n">
        <v>8000</v>
      </c>
      <c r="AX46" s="12"/>
      <c r="AY46" s="12" t="n">
        <f aca="false">IF('Cash Drivers'!AY$26,Sales!AX46,Sales!AZ46)</f>
        <v>8000</v>
      </c>
      <c r="AZ46" s="90" t="n">
        <v>8000</v>
      </c>
      <c r="BA46" s="13"/>
      <c r="BB46" s="13" t="n">
        <f aca="false">IF('Cash Drivers'!BB$26,Sales!BA46,Sales!BC46)</f>
        <v>8000</v>
      </c>
      <c r="BC46" s="89" t="n">
        <v>8000</v>
      </c>
      <c r="BD46" s="12"/>
      <c r="BE46" s="12" t="n">
        <f aca="false">IF('Cash Drivers'!BE$26,Sales!BD46,Sales!BF46)</f>
        <v>8000</v>
      </c>
      <c r="BF46" s="90" t="n">
        <v>8000</v>
      </c>
      <c r="BG46" s="13"/>
      <c r="BH46" s="13" t="n">
        <f aca="false">IF('Cash Drivers'!BH$26,Sales!BG46,Sales!BI46)</f>
        <v>8000</v>
      </c>
      <c r="BI46" s="89" t="n">
        <v>8000</v>
      </c>
      <c r="BJ46" s="12"/>
      <c r="BK46" s="12" t="n">
        <f aca="false">IF('Cash Drivers'!BK$26,Sales!BJ46,Sales!BL46)</f>
        <v>8000</v>
      </c>
      <c r="BL46" s="90" t="n">
        <v>8000</v>
      </c>
      <c r="BM46" s="13"/>
      <c r="BN46" s="13" t="n">
        <f aca="false">IF('Cash Drivers'!BN$26,Sales!BM46,Sales!BO46)</f>
        <v>8000</v>
      </c>
      <c r="BO46" s="89" t="n">
        <v>8000</v>
      </c>
      <c r="BP46" s="12"/>
      <c r="BQ46" s="12" t="n">
        <f aca="false">IF('Cash Drivers'!BQ$26,Sales!BP46,Sales!BR46)</f>
        <v>8000</v>
      </c>
      <c r="BR46" s="90" t="n">
        <v>8000</v>
      </c>
      <c r="BS46" s="13"/>
      <c r="BT46" s="13" t="n">
        <f aca="false">IF('Cash Drivers'!BT$26,Sales!BS46,Sales!BU46)</f>
        <v>8000</v>
      </c>
      <c r="BU46" s="89" t="n">
        <v>8000</v>
      </c>
      <c r="BV46" s="12"/>
      <c r="BW46" s="12" t="n">
        <f aca="false">IF('Cash Drivers'!BW$26,Sales!BV46,Sales!BX46)</f>
        <v>8000</v>
      </c>
      <c r="BX46" s="90" t="n">
        <v>8000</v>
      </c>
      <c r="CB46" s="91"/>
      <c r="CC46" s="91"/>
      <c r="CD46" s="91"/>
      <c r="CH46" s="91"/>
      <c r="CI46" s="91"/>
      <c r="CJ46" s="91"/>
      <c r="CN46" s="91"/>
      <c r="CO46" s="91"/>
      <c r="CP46" s="91"/>
      <c r="CT46" s="91"/>
      <c r="CU46" s="91"/>
      <c r="CV46" s="91"/>
      <c r="CZ46" s="91"/>
      <c r="DA46" s="91"/>
      <c r="DB46" s="91"/>
      <c r="DF46" s="91"/>
      <c r="DG46" s="91"/>
      <c r="DH46" s="91"/>
      <c r="DL46" s="91"/>
      <c r="DM46" s="91"/>
      <c r="DN46" s="91"/>
    </row>
    <row r="47" customFormat="false" ht="15.75" hidden="false" customHeight="true" outlineLevel="0" collapsed="false">
      <c r="A47" s="5" t="s">
        <v>201</v>
      </c>
      <c r="B47" s="12" t="str">
        <f aca="false">IF(COUNT(AR47,AO47,AL47,AI47,AF47,AC47,Z47,W47,T47,Q47,N47,K47)=0,"",SUM(AR47,AO47,AL47,AI47,AF47,AC47,Z47,W47,T47,Q47,N47,K47))</f>
        <v/>
      </c>
      <c r="C47" s="12" t="n">
        <f aca="false">IF(COUNT(AS47,AP47,AM47,AJ47,AG47,AD47,AA47,X47,U47,R47,O47,L47)=0,"",SUM(AS47,AP47,AM47,AJ47,AG47,AD47,AA47,X47,U47,R47,O47,L47))</f>
        <v>96000</v>
      </c>
      <c r="D47" s="12" t="n">
        <f aca="false">IF(COUNT(AT47,AQ47,AN47,AK47,AH47,AE47,AB47,Y47,V47,S47,P47,M47)=0,"",SUM(AT47,AQ47,AN47,AK47,AH47,AE47,AB47,Y47,V47,S47,P47,M47))</f>
        <v>96000</v>
      </c>
      <c r="E47" s="13" t="str">
        <f aca="false">IF(COUNT(CB47,BY47,BV47,BS47,BP47,BM47,BJ47,BG47,BD47,BA47,AX47,AU47)=0,"",SUM(CB47,BY47,BV47,BS47,BP47,BM47,BJ47,BG47,BD47,BA47,AX47,AU47))</f>
        <v/>
      </c>
      <c r="F47" s="13" t="n">
        <f aca="false">IF(COUNT(CC47,BZ47,BW47,BT47,BQ47,BN47,BK47,BH47,BE47,BB47,AY47,AV47)=0,"",SUM(CC47,BZ47,BW47,BT47,BQ47,BN47,BK47,BH47,BE47,BB47,AY47,AV47))</f>
        <v>16000</v>
      </c>
      <c r="G47" s="13" t="n">
        <f aca="false">IF(COUNT(CD47,CA47,BX47,BU47,BR47,BO47,BL47,BI47,BF47,BC47,AZ47,AW47)=0,"",SUM(CD47,CA47,BX47,BU47,BR47,BO47,BL47,BI47,BF47,BC47,AZ47,AW47))</f>
        <v>16000</v>
      </c>
      <c r="H47" s="12" t="str">
        <f aca="false">IF(COUNT(DL47,DI47,DF47,DC47,CZ47,CW47,CT47,CQ47,CN47,CK47,CH47,CE47)=0,"",SUM(DL47,DI47,DF47,DC47,CZ47,CW47,CT47,CQ47,CN47,CK47,CH47,CE47))</f>
        <v/>
      </c>
      <c r="I47" s="12" t="str">
        <f aca="false">IF(COUNT(DM47,DJ47,DG47,DD47,DA47,CX47,CU47,CR47,CO47,CL47,CI47,CF47)=0,"",SUM(DM47,DJ47,DG47,DD47,DA47,CX47,CU47,CR47,CO47,CL47,CI47,CF47))</f>
        <v/>
      </c>
      <c r="J47" s="12" t="str">
        <f aca="false">IF(COUNT(DN47,DK47,DH47,DE47,DB47,CY47,CV47,CS47,CP47,CM47,CJ47,CG47)=0,"",SUM(DN47,DK47,DH47,DE47,DB47,CY47,CV47,CS47,CP47,CM47,CJ47,CG47))</f>
        <v/>
      </c>
      <c r="K47" s="13"/>
      <c r="L47" s="13" t="n">
        <f aca="false">IF('Cash Drivers'!L$26,Sales!K47,Sales!M47)</f>
        <v>8000</v>
      </c>
      <c r="M47" s="89" t="n">
        <v>8000</v>
      </c>
      <c r="N47" s="12"/>
      <c r="O47" s="12" t="n">
        <f aca="false">IF('Cash Drivers'!O$26,Sales!N47,Sales!P47)</f>
        <v>8000</v>
      </c>
      <c r="P47" s="90" t="n">
        <v>8000</v>
      </c>
      <c r="Q47" s="13"/>
      <c r="R47" s="13" t="n">
        <f aca="false">IF('Cash Drivers'!R$26,Sales!Q47,Sales!S47)</f>
        <v>8000</v>
      </c>
      <c r="S47" s="89" t="n">
        <v>8000</v>
      </c>
      <c r="T47" s="12"/>
      <c r="U47" s="12" t="n">
        <f aca="false">IF('Cash Drivers'!U$26,Sales!T47,Sales!V47)</f>
        <v>8000</v>
      </c>
      <c r="V47" s="90" t="n">
        <v>8000</v>
      </c>
      <c r="W47" s="13"/>
      <c r="X47" s="13" t="n">
        <f aca="false">IF('Cash Drivers'!X$26,Sales!W47,Sales!Y47)</f>
        <v>8000</v>
      </c>
      <c r="Y47" s="89" t="n">
        <v>8000</v>
      </c>
      <c r="Z47" s="12"/>
      <c r="AA47" s="12" t="n">
        <f aca="false">IF('Cash Drivers'!AA$26,Sales!Z47,Sales!AB47)</f>
        <v>8000</v>
      </c>
      <c r="AB47" s="90" t="n">
        <v>8000</v>
      </c>
      <c r="AC47" s="13"/>
      <c r="AD47" s="13" t="n">
        <f aca="false">IF('Cash Drivers'!AD$26,Sales!AC47,Sales!AE47)</f>
        <v>8000</v>
      </c>
      <c r="AE47" s="89" t="n">
        <v>8000</v>
      </c>
      <c r="AF47" s="12"/>
      <c r="AG47" s="12" t="n">
        <f aca="false">IF('Cash Drivers'!AG$26,Sales!AF47,Sales!AH47)</f>
        <v>8000</v>
      </c>
      <c r="AH47" s="90" t="n">
        <v>8000</v>
      </c>
      <c r="AI47" s="13"/>
      <c r="AJ47" s="13" t="n">
        <f aca="false">IF('Cash Drivers'!AJ$26,Sales!AI47,Sales!AK47)</f>
        <v>8000</v>
      </c>
      <c r="AK47" s="89" t="n">
        <v>8000</v>
      </c>
      <c r="AL47" s="12"/>
      <c r="AM47" s="12" t="n">
        <f aca="false">IF('Cash Drivers'!AM$26,Sales!AL47,Sales!AN47)</f>
        <v>8000</v>
      </c>
      <c r="AN47" s="90" t="n">
        <v>8000</v>
      </c>
      <c r="AO47" s="13"/>
      <c r="AP47" s="13" t="n">
        <f aca="false">IF('Cash Drivers'!AP$26,Sales!AO47,Sales!AQ47)</f>
        <v>8000</v>
      </c>
      <c r="AQ47" s="89" t="n">
        <v>8000</v>
      </c>
      <c r="AR47" s="12"/>
      <c r="AS47" s="12" t="n">
        <f aca="false">IF('Cash Drivers'!AS$26,Sales!AR47,Sales!AT47)</f>
        <v>8000</v>
      </c>
      <c r="AT47" s="90" t="n">
        <v>8000</v>
      </c>
      <c r="AU47" s="13"/>
      <c r="AV47" s="13" t="n">
        <f aca="false">IF('Cash Drivers'!AV$26,Sales!AU47,Sales!AW47)</f>
        <v>8000</v>
      </c>
      <c r="AW47" s="89" t="n">
        <v>8000</v>
      </c>
      <c r="AX47" s="12"/>
      <c r="AY47" s="12" t="n">
        <f aca="false">IF('Cash Drivers'!AY$26,Sales!AX47,Sales!AZ47)</f>
        <v>8000</v>
      </c>
      <c r="AZ47" s="90" t="n">
        <v>8000</v>
      </c>
      <c r="BD47" s="91"/>
      <c r="BE47" s="91"/>
      <c r="BF47" s="91"/>
      <c r="BJ47" s="91"/>
      <c r="BK47" s="91"/>
      <c r="BL47" s="91"/>
      <c r="BP47" s="91"/>
      <c r="BQ47" s="91"/>
      <c r="BR47" s="91"/>
      <c r="BV47" s="91"/>
      <c r="BW47" s="91"/>
      <c r="BX47" s="91"/>
      <c r="CB47" s="91"/>
      <c r="CC47" s="91"/>
      <c r="CD47" s="91"/>
      <c r="CH47" s="91"/>
      <c r="CI47" s="91"/>
      <c r="CJ47" s="91"/>
      <c r="CN47" s="91"/>
      <c r="CO47" s="91"/>
      <c r="CP47" s="91"/>
      <c r="CT47" s="91"/>
      <c r="CU47" s="91"/>
      <c r="CV47" s="91"/>
      <c r="CZ47" s="91"/>
      <c r="DA47" s="91"/>
      <c r="DB47" s="91"/>
      <c r="DF47" s="91"/>
      <c r="DG47" s="91"/>
      <c r="DH47" s="91"/>
      <c r="DL47" s="91"/>
      <c r="DM47" s="91"/>
      <c r="DN47" s="91"/>
    </row>
    <row r="48" customFormat="false" ht="15.75" hidden="false" customHeight="true" outlineLevel="0" collapsed="false">
      <c r="A48" s="5" t="s">
        <v>201</v>
      </c>
      <c r="B48" s="12" t="str">
        <f aca="false">IF(COUNT(AR48,AO48,AL48,AI48,AF48,AC48,Z48,W48,T48,Q48,N48,K48)=0,"",SUM(AR48,AO48,AL48,AI48,AF48,AC48,Z48,W48,T48,Q48,N48,K48))</f>
        <v/>
      </c>
      <c r="C48" s="12" t="n">
        <f aca="false">IF(COUNT(AS48,AP48,AM48,AJ48,AG48,AD48,AA48,X48,U48,R48,O48,L48)=0,"",SUM(AS48,AP48,AM48,AJ48,AG48,AD48,AA48,X48,U48,R48,O48,L48))</f>
        <v>80000</v>
      </c>
      <c r="D48" s="12" t="n">
        <f aca="false">IF(COUNT(AT48,AQ48,AN48,AK48,AH48,AE48,AB48,Y48,V48,S48,P48,M48)=0,"",SUM(AT48,AQ48,AN48,AK48,AH48,AE48,AB48,Y48,V48,S48,P48,M48))</f>
        <v>80000</v>
      </c>
      <c r="E48" s="13" t="str">
        <f aca="false">IF(COUNT(CB48,BY48,BV48,BS48,BP48,BM48,BJ48,BG48,BD48,BA48,AX48,AU48)=0,"",SUM(CB48,BY48,BV48,BS48,BP48,BM48,BJ48,BG48,BD48,BA48,AX48,AU48))</f>
        <v/>
      </c>
      <c r="F48" s="13" t="str">
        <f aca="false">IF(COUNT(CC48,BZ48,BW48,BT48,BQ48,BN48,BK48,BH48,BE48,BB48,AY48,AV48)=0,"",SUM(CC48,BZ48,BW48,BT48,BQ48,BN48,BK48,BH48,BE48,BB48,AY48,AV48))</f>
        <v/>
      </c>
      <c r="G48" s="13" t="str">
        <f aca="false">IF(COUNT(CD48,CA48,BX48,BU48,BR48,BO48,BL48,BI48,BF48,BC48,AZ48,AW48)=0,"",SUM(CD48,CA48,BX48,BU48,BR48,BO48,BL48,BI48,BF48,BC48,AZ48,AW48))</f>
        <v/>
      </c>
      <c r="H48" s="12" t="str">
        <f aca="false">IF(COUNT(DL48,DI48,DF48,DC48,CZ48,CW48,CT48,CQ48,CN48,CK48,CH48,CE48)=0,"",SUM(DL48,DI48,DF48,DC48,CZ48,CW48,CT48,CQ48,CN48,CK48,CH48,CE48))</f>
        <v/>
      </c>
      <c r="I48" s="12" t="str">
        <f aca="false">IF(COUNT(DM48,DJ48,DG48,DD48,DA48,CX48,CU48,CR48,CO48,CL48,CI48,CF48)=0,"",SUM(DM48,DJ48,DG48,DD48,DA48,CX48,CU48,CR48,CO48,CL48,CI48,CF48))</f>
        <v/>
      </c>
      <c r="J48" s="12" t="str">
        <f aca="false">IF(COUNT(DN48,DK48,DH48,DE48,DB48,CY48,CV48,CS48,CP48,CM48,CJ48,CG48)=0,"",SUM(DN48,DK48,DH48,DE48,DB48,CY48,CV48,CS48,CP48,CM48,CJ48,CG48))</f>
        <v/>
      </c>
      <c r="K48" s="13"/>
      <c r="L48" s="13" t="n">
        <f aca="false">IF('Cash Drivers'!L$26,Sales!K48,Sales!M48)</f>
        <v>8000</v>
      </c>
      <c r="M48" s="89" t="n">
        <v>8000</v>
      </c>
      <c r="N48" s="12"/>
      <c r="O48" s="12" t="n">
        <f aca="false">IF('Cash Drivers'!O$26,Sales!N48,Sales!P48)</f>
        <v>8000</v>
      </c>
      <c r="P48" s="90" t="n">
        <v>8000</v>
      </c>
      <c r="Q48" s="13"/>
      <c r="R48" s="13" t="n">
        <f aca="false">IF('Cash Drivers'!R$26,Sales!Q48,Sales!S48)</f>
        <v>8000</v>
      </c>
      <c r="S48" s="89" t="n">
        <v>8000</v>
      </c>
      <c r="T48" s="12"/>
      <c r="U48" s="12" t="n">
        <f aca="false">IF('Cash Drivers'!U$26,Sales!T48,Sales!V48)</f>
        <v>8000</v>
      </c>
      <c r="V48" s="90" t="n">
        <v>8000</v>
      </c>
      <c r="W48" s="13"/>
      <c r="X48" s="13" t="n">
        <f aca="false">IF('Cash Drivers'!X$26,Sales!W48,Sales!Y48)</f>
        <v>8000</v>
      </c>
      <c r="Y48" s="89" t="n">
        <v>8000</v>
      </c>
      <c r="Z48" s="12"/>
      <c r="AA48" s="12" t="n">
        <f aca="false">IF('Cash Drivers'!AA$26,Sales!Z48,Sales!AB48)</f>
        <v>8000</v>
      </c>
      <c r="AB48" s="90" t="n">
        <v>8000</v>
      </c>
      <c r="AC48" s="13"/>
      <c r="AD48" s="13" t="n">
        <f aca="false">IF('Cash Drivers'!AD$26,Sales!AC48,Sales!AE48)</f>
        <v>8000</v>
      </c>
      <c r="AE48" s="89" t="n">
        <v>8000</v>
      </c>
      <c r="AF48" s="12"/>
      <c r="AG48" s="12" t="n">
        <f aca="false">IF('Cash Drivers'!AG$26,Sales!AF48,Sales!AH48)</f>
        <v>8000</v>
      </c>
      <c r="AH48" s="90" t="n">
        <v>8000</v>
      </c>
      <c r="AI48" s="13"/>
      <c r="AJ48" s="13" t="n">
        <f aca="false">IF('Cash Drivers'!AJ$26,Sales!AI48,Sales!AK48)</f>
        <v>8000</v>
      </c>
      <c r="AK48" s="89" t="n">
        <v>8000</v>
      </c>
      <c r="AL48" s="12"/>
      <c r="AM48" s="12" t="n">
        <f aca="false">IF('Cash Drivers'!AM$26,Sales!AL48,Sales!AN48)</f>
        <v>8000</v>
      </c>
      <c r="AN48" s="90" t="n">
        <v>8000</v>
      </c>
      <c r="AR48" s="91"/>
      <c r="AS48" s="91"/>
      <c r="AT48" s="91"/>
      <c r="AX48" s="91"/>
      <c r="AY48" s="91"/>
      <c r="AZ48" s="91"/>
      <c r="BD48" s="91"/>
      <c r="BE48" s="91"/>
      <c r="BF48" s="91"/>
      <c r="BJ48" s="91"/>
      <c r="BK48" s="91"/>
      <c r="BL48" s="91"/>
      <c r="BP48" s="91"/>
      <c r="BQ48" s="91"/>
      <c r="BR48" s="91"/>
      <c r="BV48" s="91"/>
      <c r="BW48" s="91"/>
      <c r="BX48" s="91"/>
      <c r="CB48" s="91"/>
      <c r="CC48" s="91"/>
      <c r="CD48" s="91"/>
      <c r="CH48" s="91"/>
      <c r="CI48" s="91"/>
      <c r="CJ48" s="91"/>
      <c r="CN48" s="91"/>
      <c r="CO48" s="91"/>
      <c r="CP48" s="91"/>
      <c r="CT48" s="91"/>
      <c r="CU48" s="91"/>
      <c r="CV48" s="91"/>
      <c r="CZ48" s="91"/>
      <c r="DA48" s="91"/>
      <c r="DB48" s="91"/>
      <c r="DF48" s="91"/>
      <c r="DG48" s="91"/>
      <c r="DH48" s="91"/>
      <c r="DL48" s="91"/>
      <c r="DM48" s="91"/>
      <c r="DN48" s="91"/>
    </row>
    <row r="49" customFormat="false" ht="15.75" hidden="false" customHeight="true" outlineLevel="0" collapsed="false">
      <c r="A49" s="5" t="s">
        <v>202</v>
      </c>
      <c r="B49" s="12" t="str">
        <f aca="false">IF(COUNT(AR49,AO49,AL49,AI49,AF49,AC49,Z49,W49,T49,Q49,N49,K49)=0,"",SUM(AR49,AO49,AL49,AI49,AF49,AC49,Z49,W49,T49,Q49,N49,K49))</f>
        <v/>
      </c>
      <c r="C49" s="12" t="n">
        <f aca="false">IF(COUNT(AS49,AP49,AM49,AJ49,AG49,AD49,AA49,X49,U49,R49,O49,L49)=0,"",SUM(AS49,AP49,AM49,AJ49,AG49,AD49,AA49,X49,U49,R49,O49,L49))</f>
        <v>144000</v>
      </c>
      <c r="D49" s="12" t="n">
        <f aca="false">IF(COUNT(AT49,AQ49,AN49,AK49,AH49,AE49,AB49,Y49,V49,S49,P49,M49)=0,"",SUM(AT49,AQ49,AN49,AK49,AH49,AE49,AB49,Y49,V49,S49,P49,M49))</f>
        <v>144000</v>
      </c>
      <c r="E49" s="13" t="str">
        <f aca="false">IF(COUNT(CB49,BY49,BV49,BS49,BP49,BM49,BJ49,BG49,BD49,BA49,AX49,AU49)=0,"",SUM(CB49,BY49,BV49,BS49,BP49,BM49,BJ49,BG49,BD49,BA49,AX49,AU49))</f>
        <v/>
      </c>
      <c r="F49" s="13" t="n">
        <f aca="false">IF(COUNT(CC49,BZ49,BW49,BT49,BQ49,BN49,BK49,BH49,BE49,BB49,AY49,AV49)=0,"",SUM(CC49,BZ49,BW49,BT49,BQ49,BN49,BK49,BH49,BE49,BB49,AY49,AV49))</f>
        <v>144000</v>
      </c>
      <c r="G49" s="13" t="n">
        <f aca="false">IF(COUNT(CD49,CA49,BX49,BU49,BR49,BO49,BL49,BI49,BF49,BC49,AZ49,AW49)=0,"",SUM(CD49,CA49,BX49,BU49,BR49,BO49,BL49,BI49,BF49,BC49,AZ49,AW49))</f>
        <v>144000</v>
      </c>
      <c r="H49" s="12" t="n">
        <f aca="false">IF(COUNT(DL49,DI49,DF49,DC49,CZ49,CW49,CT49,CQ49,CN49,CK49,CH49,CE49)=0,"",SUM(DL49,DI49,DF49,DC49,CZ49,CW49,CT49,CQ49,CN49,CK49,CH49,CE49))</f>
        <v>24000</v>
      </c>
      <c r="I49" s="12" t="n">
        <f aca="false">IF(COUNT(DM49,DJ49,DG49,DD49,DA49,CX49,CU49,CR49,CO49,CL49,CI49,CF49)=0,"",SUM(DM49,DJ49,DG49,DD49,DA49,CX49,CU49,CR49,CO49,CL49,CI49,CF49))</f>
        <v>144000</v>
      </c>
      <c r="J49" s="12" t="n">
        <f aca="false">IF(COUNT(DN49,DK49,DH49,DE49,DB49,CY49,CV49,CS49,CP49,CM49,CJ49,CG49)=0,"",SUM(DN49,DK49,DH49,DE49,DB49,CY49,CV49,CS49,CP49,CM49,CJ49,CG49))</f>
        <v>144000</v>
      </c>
      <c r="K49" s="13"/>
      <c r="L49" s="13" t="n">
        <f aca="false">IF('Cash Drivers'!L$26,Sales!K49,Sales!M49)</f>
        <v>12000</v>
      </c>
      <c r="M49" s="89" t="n">
        <v>12000</v>
      </c>
      <c r="N49" s="12"/>
      <c r="O49" s="12" t="n">
        <f aca="false">IF('Cash Drivers'!O$26,Sales!N49,Sales!P49)</f>
        <v>12000</v>
      </c>
      <c r="P49" s="90" t="n">
        <v>12000</v>
      </c>
      <c r="Q49" s="13"/>
      <c r="R49" s="13" t="n">
        <f aca="false">IF('Cash Drivers'!R$26,Sales!Q49,Sales!S49)</f>
        <v>12000</v>
      </c>
      <c r="S49" s="89" t="n">
        <v>12000</v>
      </c>
      <c r="T49" s="12"/>
      <c r="U49" s="12" t="n">
        <f aca="false">IF('Cash Drivers'!U$26,Sales!T49,Sales!V49)</f>
        <v>12000</v>
      </c>
      <c r="V49" s="90" t="n">
        <v>12000</v>
      </c>
      <c r="W49" s="13"/>
      <c r="X49" s="13" t="n">
        <f aca="false">IF('Cash Drivers'!X$26,Sales!W49,Sales!Y49)</f>
        <v>12000</v>
      </c>
      <c r="Y49" s="89" t="n">
        <v>12000</v>
      </c>
      <c r="Z49" s="12"/>
      <c r="AA49" s="12" t="n">
        <f aca="false">IF('Cash Drivers'!AA$26,Sales!Z49,Sales!AB49)</f>
        <v>12000</v>
      </c>
      <c r="AB49" s="90" t="n">
        <v>12000</v>
      </c>
      <c r="AC49" s="13"/>
      <c r="AD49" s="13" t="n">
        <f aca="false">IF('Cash Drivers'!AD$26,Sales!AC49,Sales!AE49)</f>
        <v>12000</v>
      </c>
      <c r="AE49" s="89" t="n">
        <v>12000</v>
      </c>
      <c r="AF49" s="12"/>
      <c r="AG49" s="12" t="n">
        <f aca="false">IF('Cash Drivers'!AG$26,Sales!AF49,Sales!AH49)</f>
        <v>12000</v>
      </c>
      <c r="AH49" s="90" t="n">
        <v>12000</v>
      </c>
      <c r="AI49" s="13"/>
      <c r="AJ49" s="13" t="n">
        <f aca="false">IF('Cash Drivers'!AJ$26,Sales!AI49,Sales!AK49)</f>
        <v>12000</v>
      </c>
      <c r="AK49" s="89" t="n">
        <v>12000</v>
      </c>
      <c r="AL49" s="12"/>
      <c r="AM49" s="12" t="n">
        <f aca="false">IF('Cash Drivers'!AM$26,Sales!AL49,Sales!AN49)</f>
        <v>12000</v>
      </c>
      <c r="AN49" s="90" t="n">
        <v>12000</v>
      </c>
      <c r="AO49" s="13"/>
      <c r="AP49" s="13" t="n">
        <f aca="false">IF('Cash Drivers'!AP$26,Sales!AO49,Sales!AQ49)</f>
        <v>12000</v>
      </c>
      <c r="AQ49" s="89" t="n">
        <v>12000</v>
      </c>
      <c r="AR49" s="12"/>
      <c r="AS49" s="12" t="n">
        <f aca="false">IF('Cash Drivers'!AS$26,Sales!AR49,Sales!AT49)</f>
        <v>12000</v>
      </c>
      <c r="AT49" s="90" t="n">
        <v>12000</v>
      </c>
      <c r="AU49" s="13"/>
      <c r="AV49" s="13" t="n">
        <f aca="false">IF('Cash Drivers'!AV$26,Sales!AU49,Sales!AW49)</f>
        <v>12000</v>
      </c>
      <c r="AW49" s="89" t="n">
        <v>12000</v>
      </c>
      <c r="AX49" s="12"/>
      <c r="AY49" s="12" t="n">
        <f aca="false">IF('Cash Drivers'!AY$26,Sales!AX49,Sales!AZ49)</f>
        <v>12000</v>
      </c>
      <c r="AZ49" s="90" t="n">
        <v>12000</v>
      </c>
      <c r="BA49" s="13"/>
      <c r="BB49" s="13" t="n">
        <f aca="false">IF('Cash Drivers'!BB$26,Sales!BA49,Sales!BC49)</f>
        <v>12000</v>
      </c>
      <c r="BC49" s="89" t="n">
        <v>12000</v>
      </c>
      <c r="BD49" s="12"/>
      <c r="BE49" s="12" t="n">
        <f aca="false">IF('Cash Drivers'!BE$26,Sales!BD49,Sales!BF49)</f>
        <v>12000</v>
      </c>
      <c r="BF49" s="90" t="n">
        <v>12000</v>
      </c>
      <c r="BG49" s="13"/>
      <c r="BH49" s="13" t="n">
        <f aca="false">IF('Cash Drivers'!BH$26,Sales!BG49,Sales!BI49)</f>
        <v>12000</v>
      </c>
      <c r="BI49" s="89" t="n">
        <v>12000</v>
      </c>
      <c r="BJ49" s="12"/>
      <c r="BK49" s="12" t="n">
        <f aca="false">IF('Cash Drivers'!BK$26,Sales!BJ49,Sales!BL49)</f>
        <v>12000</v>
      </c>
      <c r="BL49" s="90" t="n">
        <v>12000</v>
      </c>
      <c r="BM49" s="13"/>
      <c r="BN49" s="13" t="n">
        <f aca="false">IF('Cash Drivers'!BN$26,Sales!BM49,Sales!BO49)</f>
        <v>12000</v>
      </c>
      <c r="BO49" s="89" t="n">
        <v>12000</v>
      </c>
      <c r="BP49" s="12"/>
      <c r="BQ49" s="12" t="n">
        <f aca="false">IF('Cash Drivers'!BQ$26,Sales!BP49,Sales!BR49)</f>
        <v>12000</v>
      </c>
      <c r="BR49" s="90" t="n">
        <v>12000</v>
      </c>
      <c r="BS49" s="13"/>
      <c r="BT49" s="13" t="n">
        <f aca="false">IF('Cash Drivers'!BT$26,Sales!BS49,Sales!BU49)</f>
        <v>12000</v>
      </c>
      <c r="BU49" s="89" t="n">
        <v>12000</v>
      </c>
      <c r="BV49" s="12"/>
      <c r="BW49" s="12" t="n">
        <f aca="false">IF('Cash Drivers'!BW$26,Sales!BV49,Sales!BX49)</f>
        <v>12000</v>
      </c>
      <c r="BX49" s="90" t="n">
        <v>12000</v>
      </c>
      <c r="BY49" s="13"/>
      <c r="BZ49" s="13" t="n">
        <f aca="false">IF('Cash Drivers'!BZ$26,Sales!BY49,Sales!CA49)</f>
        <v>12000</v>
      </c>
      <c r="CA49" s="89" t="n">
        <v>12000</v>
      </c>
      <c r="CB49" s="12"/>
      <c r="CC49" s="12" t="n">
        <f aca="false">IF('Cash Drivers'!CC$26,Sales!CB49,Sales!CD49)</f>
        <v>12000</v>
      </c>
      <c r="CD49" s="90" t="n">
        <v>12000</v>
      </c>
      <c r="CE49" s="13"/>
      <c r="CF49" s="13" t="n">
        <f aca="false">IF('Cash Drivers'!CF$26,Sales!CE49,Sales!CG49)</f>
        <v>12000</v>
      </c>
      <c r="CG49" s="89" t="n">
        <v>12000</v>
      </c>
      <c r="CH49" s="12"/>
      <c r="CI49" s="12" t="n">
        <f aca="false">IF('Cash Drivers'!CI$26,Sales!CH49,Sales!CJ49)</f>
        <v>12000</v>
      </c>
      <c r="CJ49" s="90" t="n">
        <v>12000</v>
      </c>
      <c r="CK49" s="13"/>
      <c r="CL49" s="13" t="n">
        <f aca="false">IF('Cash Drivers'!CL$26,Sales!CK49,Sales!CM49)</f>
        <v>12000</v>
      </c>
      <c r="CM49" s="89" t="n">
        <v>12000</v>
      </c>
      <c r="CN49" s="12"/>
      <c r="CO49" s="12" t="n">
        <f aca="false">IF('Cash Drivers'!CO$26,Sales!CN49,Sales!CP49)</f>
        <v>12000</v>
      </c>
      <c r="CP49" s="90" t="n">
        <v>12000</v>
      </c>
      <c r="CQ49" s="13"/>
      <c r="CR49" s="13" t="n">
        <f aca="false">IF('Cash Drivers'!CR$26,Sales!CQ49,Sales!CS49)</f>
        <v>12000</v>
      </c>
      <c r="CS49" s="89" t="n">
        <v>12000</v>
      </c>
      <c r="CT49" s="12"/>
      <c r="CU49" s="12" t="n">
        <f aca="false">IF('Cash Drivers'!CU$26,Sales!CT49,Sales!CV49)</f>
        <v>12000</v>
      </c>
      <c r="CV49" s="90" t="n">
        <v>12000</v>
      </c>
      <c r="CW49" s="13"/>
      <c r="CX49" s="13" t="n">
        <f aca="false">IF('Cash Drivers'!CX$26,Sales!CW49,Sales!CY49)</f>
        <v>12000</v>
      </c>
      <c r="CY49" s="89" t="n">
        <v>12000</v>
      </c>
      <c r="CZ49" s="12"/>
      <c r="DA49" s="12" t="n">
        <f aca="false">IF('Cash Drivers'!DA$26,Sales!CZ49,Sales!DB49)</f>
        <v>12000</v>
      </c>
      <c r="DB49" s="90" t="n">
        <v>12000</v>
      </c>
      <c r="DC49" s="13"/>
      <c r="DD49" s="13" t="n">
        <f aca="false">IF('Cash Drivers'!DD$26,Sales!DC49,Sales!DE49)</f>
        <v>12000</v>
      </c>
      <c r="DE49" s="89" t="n">
        <v>12000</v>
      </c>
      <c r="DF49" s="12"/>
      <c r="DG49" s="12" t="n">
        <f aca="false">IF('Cash Drivers'!DG$26,Sales!DF49,Sales!DH49)</f>
        <v>12000</v>
      </c>
      <c r="DH49" s="90" t="n">
        <v>12000</v>
      </c>
      <c r="DI49" s="89" t="n">
        <v>12000</v>
      </c>
      <c r="DJ49" s="13" t="n">
        <f aca="false">IF('Cash Drivers'!DJ$26,Sales!DI49,Sales!DK49)</f>
        <v>12000</v>
      </c>
      <c r="DK49" s="89" t="n">
        <v>12000</v>
      </c>
      <c r="DL49" s="90" t="n">
        <v>12000</v>
      </c>
      <c r="DM49" s="12" t="n">
        <f aca="false">IF('Cash Drivers'!DM$26,Sales!DL49,Sales!DN49)</f>
        <v>12000</v>
      </c>
      <c r="DN49" s="90" t="n">
        <v>12000</v>
      </c>
    </row>
    <row r="50" customFormat="false" ht="15.75" hidden="false" customHeight="true" outlineLevel="0" collapsed="false">
      <c r="A50" s="5" t="s">
        <v>203</v>
      </c>
      <c r="B50" s="12" t="str">
        <f aca="false">IF(COUNT(AR50,AO50,AL50,AI50,AF50,AC50,Z50,W50,T50,Q50,N50,K50)=0,"",SUM(AR50,AO50,AL50,AI50,AF50,AC50,Z50,W50,T50,Q50,N50,K50))</f>
        <v/>
      </c>
      <c r="C50" s="12" t="n">
        <f aca="false">IF(COUNT(AS50,AP50,AM50,AJ50,AG50,AD50,AA50,X50,U50,R50,O50,L50)=0,"",SUM(AS50,AP50,AM50,AJ50,AG50,AD50,AA50,X50,U50,R50,O50,L50))</f>
        <v>108000</v>
      </c>
      <c r="D50" s="12" t="n">
        <f aca="false">IF(COUNT(AT50,AQ50,AN50,AK50,AH50,AE50,AB50,Y50,V50,S50,P50,M50)=0,"",SUM(AT50,AQ50,AN50,AK50,AH50,AE50,AB50,Y50,V50,S50,P50,M50))</f>
        <v>108000</v>
      </c>
      <c r="E50" s="13" t="str">
        <f aca="false">IF(COUNT(CB50,BY50,BV50,BS50,BP50,BM50,BJ50,BG50,BD50,BA50,AX50,AU50)=0,"",SUM(CB50,BY50,BV50,BS50,BP50,BM50,BJ50,BG50,BD50,BA50,AX50,AU50))</f>
        <v/>
      </c>
      <c r="F50" s="13" t="n">
        <f aca="false">IF(COUNT(CC50,BZ50,BW50,BT50,BQ50,BN50,BK50,BH50,BE50,BB50,AY50,AV50)=0,"",SUM(CC50,BZ50,BW50,BT50,BQ50,BN50,BK50,BH50,BE50,BB50,AY50,AV50))</f>
        <v>108000</v>
      </c>
      <c r="G50" s="13" t="n">
        <f aca="false">IF(COUNT(CD50,CA50,BX50,BU50,BR50,BO50,BL50,BI50,BF50,BC50,AZ50,AW50)=0,"",SUM(CD50,CA50,BX50,BU50,BR50,BO50,BL50,BI50,BF50,BC50,AZ50,AW50))</f>
        <v>108000</v>
      </c>
      <c r="H50" s="12" t="n">
        <f aca="false">IF(COUNT(DL50,DI50,DF50,DC50,CZ50,CW50,CT50,CQ50,CN50,CK50,CH50,CE50)=0,"",SUM(DL50,DI50,DF50,DC50,CZ50,CW50,CT50,CQ50,CN50,CK50,CH50,CE50))</f>
        <v>18000</v>
      </c>
      <c r="I50" s="12" t="n">
        <f aca="false">IF(COUNT(DM50,DJ50,DG50,DD50,DA50,CX50,CU50,CR50,CO50,CL50,CI50,CF50)=0,"",SUM(DM50,DJ50,DG50,DD50,DA50,CX50,CU50,CR50,CO50,CL50,CI50,CF50))</f>
        <v>108000</v>
      </c>
      <c r="J50" s="12" t="n">
        <f aca="false">IF(COUNT(DN50,DK50,DH50,DE50,DB50,CY50,CV50,CS50,CP50,CM50,CJ50,CG50)=0,"",SUM(DN50,DK50,DH50,DE50,DB50,CY50,CV50,CS50,CP50,CM50,CJ50,CG50))</f>
        <v>108000</v>
      </c>
      <c r="K50" s="13"/>
      <c r="L50" s="13" t="n">
        <f aca="false">IF('Cash Drivers'!L$26,Sales!K50,Sales!M50)</f>
        <v>9000</v>
      </c>
      <c r="M50" s="89" t="n">
        <v>9000</v>
      </c>
      <c r="N50" s="12"/>
      <c r="O50" s="12" t="n">
        <f aca="false">IF('Cash Drivers'!O$26,Sales!N50,Sales!P50)</f>
        <v>9000</v>
      </c>
      <c r="P50" s="90" t="n">
        <v>9000</v>
      </c>
      <c r="Q50" s="13"/>
      <c r="R50" s="13" t="n">
        <f aca="false">IF('Cash Drivers'!R$26,Sales!Q50,Sales!S50)</f>
        <v>9000</v>
      </c>
      <c r="S50" s="89" t="n">
        <v>9000</v>
      </c>
      <c r="T50" s="12"/>
      <c r="U50" s="12" t="n">
        <f aca="false">IF('Cash Drivers'!U$26,Sales!T50,Sales!V50)</f>
        <v>9000</v>
      </c>
      <c r="V50" s="90" t="n">
        <v>9000</v>
      </c>
      <c r="W50" s="13"/>
      <c r="X50" s="13" t="n">
        <f aca="false">IF('Cash Drivers'!X$26,Sales!W50,Sales!Y50)</f>
        <v>9000</v>
      </c>
      <c r="Y50" s="89" t="n">
        <v>9000</v>
      </c>
      <c r="Z50" s="12"/>
      <c r="AA50" s="12" t="n">
        <f aca="false">IF('Cash Drivers'!AA$26,Sales!Z50,Sales!AB50)</f>
        <v>9000</v>
      </c>
      <c r="AB50" s="90" t="n">
        <v>9000</v>
      </c>
      <c r="AC50" s="13"/>
      <c r="AD50" s="13" t="n">
        <f aca="false">IF('Cash Drivers'!AD$26,Sales!AC50,Sales!AE50)</f>
        <v>9000</v>
      </c>
      <c r="AE50" s="89" t="n">
        <v>9000</v>
      </c>
      <c r="AF50" s="12"/>
      <c r="AG50" s="12" t="n">
        <f aca="false">IF('Cash Drivers'!AG$26,Sales!AF50,Sales!AH50)</f>
        <v>9000</v>
      </c>
      <c r="AH50" s="90" t="n">
        <v>9000</v>
      </c>
      <c r="AI50" s="13"/>
      <c r="AJ50" s="13" t="n">
        <f aca="false">IF('Cash Drivers'!AJ$26,Sales!AI50,Sales!AK50)</f>
        <v>9000</v>
      </c>
      <c r="AK50" s="89" t="n">
        <v>9000</v>
      </c>
      <c r="AL50" s="12"/>
      <c r="AM50" s="12" t="n">
        <f aca="false">IF('Cash Drivers'!AM$26,Sales!AL50,Sales!AN50)</f>
        <v>9000</v>
      </c>
      <c r="AN50" s="90" t="n">
        <v>9000</v>
      </c>
      <c r="AO50" s="13"/>
      <c r="AP50" s="13" t="n">
        <f aca="false">IF('Cash Drivers'!AP$26,Sales!AO50,Sales!AQ50)</f>
        <v>9000</v>
      </c>
      <c r="AQ50" s="89" t="n">
        <v>9000</v>
      </c>
      <c r="AR50" s="12"/>
      <c r="AS50" s="12" t="n">
        <f aca="false">IF('Cash Drivers'!AS$26,Sales!AR50,Sales!AT50)</f>
        <v>9000</v>
      </c>
      <c r="AT50" s="90" t="n">
        <v>9000</v>
      </c>
      <c r="AU50" s="13"/>
      <c r="AV50" s="13" t="n">
        <f aca="false">IF('Cash Drivers'!AV$26,Sales!AU50,Sales!AW50)</f>
        <v>9000</v>
      </c>
      <c r="AW50" s="89" t="n">
        <v>9000</v>
      </c>
      <c r="AX50" s="12"/>
      <c r="AY50" s="12" t="n">
        <f aca="false">IF('Cash Drivers'!AY$26,Sales!AX50,Sales!AZ50)</f>
        <v>9000</v>
      </c>
      <c r="AZ50" s="90" t="n">
        <v>9000</v>
      </c>
      <c r="BA50" s="13"/>
      <c r="BB50" s="13" t="n">
        <f aca="false">IF('Cash Drivers'!BB$26,Sales!BA50,Sales!BC50)</f>
        <v>9000</v>
      </c>
      <c r="BC50" s="89" t="n">
        <v>9000</v>
      </c>
      <c r="BD50" s="12"/>
      <c r="BE50" s="12" t="n">
        <f aca="false">IF('Cash Drivers'!BE$26,Sales!BD50,Sales!BF50)</f>
        <v>9000</v>
      </c>
      <c r="BF50" s="90" t="n">
        <v>9000</v>
      </c>
      <c r="BG50" s="13"/>
      <c r="BH50" s="13" t="n">
        <f aca="false">IF('Cash Drivers'!BH$26,Sales!BG50,Sales!BI50)</f>
        <v>9000</v>
      </c>
      <c r="BI50" s="89" t="n">
        <v>9000</v>
      </c>
      <c r="BJ50" s="12"/>
      <c r="BK50" s="12" t="n">
        <f aca="false">IF('Cash Drivers'!BK$26,Sales!BJ50,Sales!BL50)</f>
        <v>9000</v>
      </c>
      <c r="BL50" s="90" t="n">
        <v>9000</v>
      </c>
      <c r="BM50" s="13"/>
      <c r="BN50" s="13" t="n">
        <f aca="false">IF('Cash Drivers'!BN$26,Sales!BM50,Sales!BO50)</f>
        <v>9000</v>
      </c>
      <c r="BO50" s="89" t="n">
        <v>9000</v>
      </c>
      <c r="BP50" s="12"/>
      <c r="BQ50" s="12" t="n">
        <f aca="false">IF('Cash Drivers'!BQ$26,Sales!BP50,Sales!BR50)</f>
        <v>9000</v>
      </c>
      <c r="BR50" s="90" t="n">
        <v>9000</v>
      </c>
      <c r="BS50" s="13"/>
      <c r="BT50" s="13" t="n">
        <f aca="false">IF('Cash Drivers'!BT$26,Sales!BS50,Sales!BU50)</f>
        <v>9000</v>
      </c>
      <c r="BU50" s="89" t="n">
        <v>9000</v>
      </c>
      <c r="BV50" s="12"/>
      <c r="BW50" s="12" t="n">
        <f aca="false">IF('Cash Drivers'!BW$26,Sales!BV50,Sales!BX50)</f>
        <v>9000</v>
      </c>
      <c r="BX50" s="90" t="n">
        <v>9000</v>
      </c>
      <c r="BY50" s="13"/>
      <c r="BZ50" s="13" t="n">
        <f aca="false">IF('Cash Drivers'!BZ$26,Sales!BY50,Sales!CA50)</f>
        <v>9000</v>
      </c>
      <c r="CA50" s="89" t="n">
        <v>9000</v>
      </c>
      <c r="CB50" s="12"/>
      <c r="CC50" s="12" t="n">
        <f aca="false">IF('Cash Drivers'!CC$26,Sales!CB50,Sales!CD50)</f>
        <v>9000</v>
      </c>
      <c r="CD50" s="90" t="n">
        <v>9000</v>
      </c>
      <c r="CE50" s="13"/>
      <c r="CF50" s="13" t="n">
        <f aca="false">IF('Cash Drivers'!CF$26,Sales!CE50,Sales!CG50)</f>
        <v>9000</v>
      </c>
      <c r="CG50" s="89" t="n">
        <v>9000</v>
      </c>
      <c r="CH50" s="12"/>
      <c r="CI50" s="12" t="n">
        <f aca="false">IF('Cash Drivers'!CI$26,Sales!CH50,Sales!CJ50)</f>
        <v>9000</v>
      </c>
      <c r="CJ50" s="90" t="n">
        <v>9000</v>
      </c>
      <c r="CK50" s="13"/>
      <c r="CL50" s="13" t="n">
        <f aca="false">IF('Cash Drivers'!CL$26,Sales!CK50,Sales!CM50)</f>
        <v>9000</v>
      </c>
      <c r="CM50" s="89" t="n">
        <v>9000</v>
      </c>
      <c r="CN50" s="12"/>
      <c r="CO50" s="12" t="n">
        <f aca="false">IF('Cash Drivers'!CO$26,Sales!CN50,Sales!CP50)</f>
        <v>9000</v>
      </c>
      <c r="CP50" s="90" t="n">
        <v>9000</v>
      </c>
      <c r="CQ50" s="13"/>
      <c r="CR50" s="13" t="n">
        <f aca="false">IF('Cash Drivers'!CR$26,Sales!CQ50,Sales!CS50)</f>
        <v>9000</v>
      </c>
      <c r="CS50" s="89" t="n">
        <v>9000</v>
      </c>
      <c r="CT50" s="12"/>
      <c r="CU50" s="12" t="n">
        <f aca="false">IF('Cash Drivers'!CU$26,Sales!CT50,Sales!CV50)</f>
        <v>9000</v>
      </c>
      <c r="CV50" s="90" t="n">
        <v>9000</v>
      </c>
      <c r="CW50" s="13"/>
      <c r="CX50" s="13" t="n">
        <f aca="false">IF('Cash Drivers'!CX$26,Sales!CW50,Sales!CY50)</f>
        <v>9000</v>
      </c>
      <c r="CY50" s="89" t="n">
        <v>9000</v>
      </c>
      <c r="CZ50" s="12"/>
      <c r="DA50" s="12" t="n">
        <f aca="false">IF('Cash Drivers'!DA$26,Sales!CZ50,Sales!DB50)</f>
        <v>9000</v>
      </c>
      <c r="DB50" s="90" t="n">
        <v>9000</v>
      </c>
      <c r="DC50" s="13"/>
      <c r="DD50" s="13" t="n">
        <f aca="false">IF('Cash Drivers'!DD$26,Sales!DC50,Sales!DE50)</f>
        <v>9000</v>
      </c>
      <c r="DE50" s="89" t="n">
        <v>9000</v>
      </c>
      <c r="DF50" s="12"/>
      <c r="DG50" s="12" t="n">
        <f aca="false">IF('Cash Drivers'!DG$26,Sales!DF50,Sales!DH50)</f>
        <v>9000</v>
      </c>
      <c r="DH50" s="90" t="n">
        <v>9000</v>
      </c>
      <c r="DI50" s="89" t="n">
        <v>9000</v>
      </c>
      <c r="DJ50" s="13" t="n">
        <f aca="false">IF('Cash Drivers'!DJ$26,Sales!DI50,Sales!DK50)</f>
        <v>9000</v>
      </c>
      <c r="DK50" s="89" t="n">
        <v>9000</v>
      </c>
      <c r="DL50" s="90" t="n">
        <v>9000</v>
      </c>
      <c r="DM50" s="12" t="n">
        <f aca="false">IF('Cash Drivers'!DM$26,Sales!DL50,Sales!DN50)</f>
        <v>9000</v>
      </c>
      <c r="DN50" s="90" t="n">
        <v>9000</v>
      </c>
    </row>
    <row r="51" customFormat="false" ht="15.75" hidden="false" customHeight="true" outlineLevel="0" collapsed="false">
      <c r="A51" s="14" t="s">
        <v>186</v>
      </c>
      <c r="B51" s="15" t="str">
        <f aca="false">IF(COUNT(AR51,AO51,AL51,AI51,AF51,AC51,Z51,W51,T51,Q51,N51,K51)=0,"",SUM(AR51,AO51,AL51,AI51,AF51,AC51,Z51,W51,T51,Q51,N51,K51))</f>
        <v/>
      </c>
      <c r="C51" s="15" t="n">
        <f aca="false">IF(COUNT(AS51,AP51,AM51,AJ51,AG51,AD51,AA51,X51,U51,R51,O51,L51)=0,"",SUM(AS51,AP51,AM51,AJ51,AG51,AD51,AA51,X51,U51,R51,O51,L51))</f>
        <v>2972000</v>
      </c>
      <c r="D51" s="15" t="n">
        <f aca="false">IF(COUNT(AT51,AQ51,AN51,AK51,AH51,AE51,AB51,Y51,V51,S51,P51,M51)=0,"",SUM(AT51,AQ51,AN51,AK51,AH51,AE51,AB51,Y51,V51,S51,P51,M51))</f>
        <v>2972000</v>
      </c>
      <c r="E51" s="16" t="str">
        <f aca="false">IF(COUNT(CB51,BY51,BV51,BS51,BP51,BM51,BJ51,BG51,BD51,BA51,AX51,AU51)=0,"",SUM(CB51,BY51,BV51,BS51,BP51,BM51,BJ51,BG51,BD51,BA51,AX51,AU51))</f>
        <v/>
      </c>
      <c r="F51" s="16" t="n">
        <f aca="false">IF(COUNT(CC51,BZ51,BW51,BT51,BQ51,BN51,BK51,BH51,BE51,BB51,AY51,AV51)=0,"",SUM(CC51,BZ51,BW51,BT51,BQ51,BN51,BK51,BH51,BE51,BB51,AY51,AV51))</f>
        <v>2177000</v>
      </c>
      <c r="G51" s="16" t="n">
        <f aca="false">IF(COUNT(CD51,CA51,BX51,BU51,BR51,BO51,BL51,BI51,BF51,BC51,AZ51,AW51)=0,"",SUM(CD51,CA51,BX51,BU51,BR51,BO51,BL51,BI51,BF51,BC51,AZ51,AW51))</f>
        <v>2177000</v>
      </c>
      <c r="H51" s="15" t="n">
        <f aca="false">IF(COUNT(DL51,DI51,DF51,DC51,CZ51,CW51,CT51,CQ51,CN51,CK51,CH51,CE51)=0,"",SUM(DL51,DI51,DF51,DC51,CZ51,CW51,CT51,CQ51,CN51,CK51,CH51,CE51))</f>
        <v>234000</v>
      </c>
      <c r="I51" s="15" t="n">
        <f aca="false">IF(COUNT(DM51,DJ51,DG51,DD51,DA51,CX51,CU51,CR51,CO51,CL51,CI51,CF51)=0,"",SUM(DM51,DJ51,DG51,DD51,DA51,CX51,CU51,CR51,CO51,CL51,CI51,CF51))</f>
        <v>1476000</v>
      </c>
      <c r="J51" s="15" t="n">
        <f aca="false">IF(COUNT(DN51,DK51,DH51,DE51,DB51,CY51,CV51,CS51,CP51,CM51,CJ51,CG51)=0,"",SUM(DN51,DK51,DH51,DE51,DB51,CY51,CV51,CS51,CP51,CM51,CJ51,CG51))</f>
        <v>1476000</v>
      </c>
      <c r="K51" s="16" t="str">
        <f aca="false">IF(COUNT(K27,K28,K29,K30,K31,K32,K33,K34,K35,K36,K37,K38,K39,K40,K41,K42,K43,K44,K45,K46,K47,K48,K49,K50)=0,"",SUM(K27:K50))</f>
        <v/>
      </c>
      <c r="L51" s="16" t="n">
        <f aca="false">SUM(L27:L50)</f>
        <v>258000</v>
      </c>
      <c r="M51" s="16" t="n">
        <f aca="false">SUM(M27:M50)</f>
        <v>258000</v>
      </c>
      <c r="N51" s="15" t="str">
        <f aca="false">IF(COUNT(N27,N28,N29,N30,N31,N32,N33,N34,N35,N36,N37,N38,N39,N40,N41,N42,N43,N44,N45,N46,N47,N48,N49,N50)=0,"",SUM(N27:N50))</f>
        <v/>
      </c>
      <c r="O51" s="15" t="n">
        <f aca="false">SUM(O27:O50)</f>
        <v>258000</v>
      </c>
      <c r="P51" s="15" t="n">
        <f aca="false">SUM(P27:P50)</f>
        <v>258000</v>
      </c>
      <c r="Q51" s="16" t="str">
        <f aca="false">IF(COUNT(Q27,Q28,Q29,Q30,Q31,Q32,Q33,Q34,Q35,Q36,Q37,Q38,Q39,Q40,Q41,Q42,Q43,Q44,Q45,Q46,Q47,Q48,Q49,Q50)=0,"",SUM(Q27:Q50))</f>
        <v/>
      </c>
      <c r="R51" s="16" t="n">
        <f aca="false">SUM(R27:R50)</f>
        <v>258000</v>
      </c>
      <c r="S51" s="16" t="n">
        <f aca="false">SUM(S27:S50)</f>
        <v>258000</v>
      </c>
      <c r="T51" s="15" t="str">
        <f aca="false">IF(COUNT(T27,T28,T29,T30,T31,T32,T33,T34,T35,T36,T37,T38,T39,T40,T41,T42,T43,T44,T45,T46,T47,T48,T49,T50)=0,"",SUM(T27:T50))</f>
        <v/>
      </c>
      <c r="U51" s="15" t="n">
        <f aca="false">SUM(U27:U50)</f>
        <v>258000</v>
      </c>
      <c r="V51" s="15" t="n">
        <f aca="false">SUM(V27:V50)</f>
        <v>258000</v>
      </c>
      <c r="W51" s="16" t="str">
        <f aca="false">IF(COUNT(W27,W28,W29,W30,W31,W32,W33,W34,W35,W36,W37,W38,W39,W40,W41,W42,W43,W44,W45,W46,W47,W48,W49,W50)=0,"",SUM(W27:W50))</f>
        <v/>
      </c>
      <c r="X51" s="16" t="n">
        <f aca="false">SUM(X27:X50)</f>
        <v>258000</v>
      </c>
      <c r="Y51" s="16" t="n">
        <f aca="false">SUM(Y27:Y50)</f>
        <v>258000</v>
      </c>
      <c r="Z51" s="15" t="str">
        <f aca="false">IF(COUNT(Z27,Z28,Z29,Z30,Z31,Z32,Z33,Z34,Z35,Z36,Z37,Z38,Z39,Z40,Z41,Z42,Z43,Z44,Z45,Z46,Z47,Z48,Z49,Z50)=0,"",SUM(Z27:Z50))</f>
        <v/>
      </c>
      <c r="AA51" s="15" t="n">
        <f aca="false">SUM(AA27:AA50)</f>
        <v>258000</v>
      </c>
      <c r="AB51" s="15" t="n">
        <f aca="false">SUM(AB27:AB50)</f>
        <v>258000</v>
      </c>
      <c r="AC51" s="16" t="str">
        <f aca="false">IF(COUNT(AC27,AC28,AC29,AC30,AC31,AC32,AC33,AC34,AC36,AC37,AC38,AC39,AC40,AC41,AC42,AC43,AC44,AC45,AC46,AC47,AC48,AC49,AC50)=0,"",SUM(AC27:AC50))</f>
        <v/>
      </c>
      <c r="AD51" s="16" t="n">
        <f aca="false">SUM(AD27:AD50)</f>
        <v>246000</v>
      </c>
      <c r="AE51" s="16" t="n">
        <f aca="false">SUM(AE27:AE50)</f>
        <v>246000</v>
      </c>
      <c r="AF51" s="15" t="str">
        <f aca="false">IF(COUNT(AF27,AF28,AF29,AF30,AF31,AF32,AF33,AF34,AF36,AF37,AF38,AF39,AF40,AF41,AF42,AF43,AF44,AF45,AF46,AF47,AF48,AF49,AF50)=0,"",SUM(AF27:AF50))</f>
        <v/>
      </c>
      <c r="AG51" s="15" t="n">
        <f aca="false">SUM(AG27:AG50)</f>
        <v>246000</v>
      </c>
      <c r="AH51" s="15" t="n">
        <f aca="false">SUM(AH27:AH50)</f>
        <v>246000</v>
      </c>
      <c r="AI51" s="16" t="str">
        <f aca="false">IF(COUNT(AI27,AI28,AI29,AI30,AI31,AI32,AI33,AI34,AI36,AI37,AI38,AI39,AI40,AI41,AI42,AI43,AI44,AI45,AI46,AI47,AI48,AI49,AI50)=0,"",SUM(AI27:AI50))</f>
        <v/>
      </c>
      <c r="AJ51" s="16" t="n">
        <f aca="false">SUM(AJ27:AJ50)</f>
        <v>246000</v>
      </c>
      <c r="AK51" s="16" t="n">
        <f aca="false">SUM(AK27:AK50)</f>
        <v>246000</v>
      </c>
      <c r="AL51" s="15" t="str">
        <f aca="false">IF(COUNT(AL27,AL28,AL29,AL30,AL31,AL32,AL33,AL34,AL36,AL37,AL38,AL39,AL41,AL42,AL43,AL44,AL45,AL46,AL47,AL48,AL49,AL50)=0,"",SUM(AL27:AL50))</f>
        <v/>
      </c>
      <c r="AM51" s="15" t="n">
        <f aca="false">SUM(AM27:AM50)</f>
        <v>234000</v>
      </c>
      <c r="AN51" s="15" t="n">
        <f aca="false">SUM(AN27:AN50)</f>
        <v>234000</v>
      </c>
      <c r="AO51" s="16" t="str">
        <f aca="false">IF(COUNT(AO27,AO28,AO29,AO30,AO31,AO32,AO33,AO34,AO36,AO37,AO38,AO39,AO41,AO42,AO43,AO44,AO45,AO46,AO47,AO49,AO50)=0,"",SUM(AO27:AO50))</f>
        <v/>
      </c>
      <c r="AP51" s="16" t="n">
        <f aca="false">SUM(AP27:AP50)</f>
        <v>226000</v>
      </c>
      <c r="AQ51" s="16" t="n">
        <f aca="false">SUM(AQ27:AQ50)</f>
        <v>226000</v>
      </c>
      <c r="AR51" s="15" t="str">
        <f aca="false">IF(COUNT(AR27,AR28,AR29,AR30,AR31,AR32,AR33,AR34,AR36,AR37,AR38,AR39,AR41,AR42,AR43,AR44,AR45,AR46,AR47,AR49,AR50)=0,"",SUM(AR27:AR50))</f>
        <v/>
      </c>
      <c r="AS51" s="15" t="n">
        <f aca="false">SUM(AS27:AS50)</f>
        <v>226000</v>
      </c>
      <c r="AT51" s="15" t="n">
        <f aca="false">SUM(AT27:AT50)</f>
        <v>226000</v>
      </c>
      <c r="AU51" s="16" t="str">
        <f aca="false">IF(COUNT(AU27,AU28,AU29,AU30,AU31,AU32,AU33,AU34,AU36,AU37,AU38,AU41,AU42,AU43,AU44,AU45,AU46,AU47,AU49,AU50)=0,"",SUM(AU27:AU50))</f>
        <v/>
      </c>
      <c r="AV51" s="16" t="n">
        <f aca="false">SUM(AV27:AV50)</f>
        <v>214000</v>
      </c>
      <c r="AW51" s="16" t="n">
        <f aca="false">SUM(AW27:AW50)</f>
        <v>214000</v>
      </c>
      <c r="AX51" s="15" t="str">
        <f aca="false">IF(COUNT(AX27,AX28,AX29,AX30,AX31,AX32,AX33,AX34,AX36,AX37,AX38,AX41,AX42,AX43,AX44,AX45,AX46,AX47,AX49,AX50)=0,"",SUM(AX27:AX50))</f>
        <v/>
      </c>
      <c r="AY51" s="15" t="n">
        <f aca="false">SUM(AY27:AY50)</f>
        <v>214000</v>
      </c>
      <c r="AZ51" s="15" t="n">
        <f aca="false">SUM(AZ27:AZ50)</f>
        <v>214000</v>
      </c>
      <c r="BA51" s="16" t="str">
        <f aca="false">IF(COUNT(BA27,BA28,BA29,BA30,BA31,BA32,BA33,BA34,BA36,BA37,BA38,BA41,BA42,BA43,BA44,BA45,BA46,BA49,BA50)=0,"",SUM(BA27:BA50))</f>
        <v/>
      </c>
      <c r="BB51" s="16" t="n">
        <f aca="false">SUM(BB27:BB50)</f>
        <v>206000</v>
      </c>
      <c r="BC51" s="16" t="n">
        <f aca="false">SUM(BC27:BC50)</f>
        <v>206000</v>
      </c>
      <c r="BD51" s="15" t="str">
        <f aca="false">IF(COUNT(BD27,BD28,BD29,BD30,BD31,BD32,BD33,BD34,BD36,BD37,BD41,BD42,BD43,BD44,BD45,BD46,BD49,BD50)=0,"",SUM(BD27:BD50))</f>
        <v/>
      </c>
      <c r="BE51" s="15" t="n">
        <f aca="false">SUM(BE27:BE50)</f>
        <v>194000</v>
      </c>
      <c r="BF51" s="15" t="n">
        <f aca="false">SUM(BF27:BF50)</f>
        <v>194000</v>
      </c>
      <c r="BG51" s="16" t="str">
        <f aca="false">IF(COUNT(BG27,BG28,BG29,BG30,BG31,BG32,BG33,BG34,BG36,BG37,BG41,BG42,BG43,BG44,BG45,BG46,BG49,BG50)=0,"",SUM(BG27:BG50))</f>
        <v/>
      </c>
      <c r="BH51" s="16" t="n">
        <f aca="false">SUM(BH27:BH50)</f>
        <v>194000</v>
      </c>
      <c r="BI51" s="16" t="n">
        <f aca="false">SUM(BI27:BI50)</f>
        <v>194000</v>
      </c>
      <c r="BJ51" s="15" t="str">
        <f aca="false">IF(COUNT(BJ27,BJ28,BJ29,BJ30,BJ31,BJ32,BJ33,BJ34,BJ36,BJ37,BJ42,BJ43,BJ44,BJ45,BJ46,BJ49,BJ50)=0,"",SUM(BJ27:BJ50))</f>
        <v/>
      </c>
      <c r="BK51" s="15" t="n">
        <f aca="false">SUM(BK27:BK50)</f>
        <v>181000</v>
      </c>
      <c r="BL51" s="15" t="n">
        <f aca="false">SUM(BL27:BL50)</f>
        <v>181000</v>
      </c>
      <c r="BM51" s="16" t="str">
        <f aca="false">IF(COUNT(BM27,BM28,BM29,BM30,BM31,BM32,BM33,BM34,BM36,BM37,BM42,BM43,BM44,BM46,BM49,BM50)=0,"",SUM(BM27:BM50))</f>
        <v/>
      </c>
      <c r="BN51" s="16" t="n">
        <f aca="false">SUM(BN27:BN50)</f>
        <v>173000</v>
      </c>
      <c r="BO51" s="16" t="n">
        <f aca="false">SUM(BO27:BO50)</f>
        <v>173000</v>
      </c>
      <c r="BP51" s="15" t="str">
        <f aca="false">IF(COUNT(BP27,BP28,BP29,BP30,BP31,BP32,BP33,BP34,BP36,BP37,BP42,BP43,BP44,BP46,BP49,BP50)=0,"",SUM(BP27:BP50))</f>
        <v/>
      </c>
      <c r="BQ51" s="15" t="n">
        <f aca="false">SUM(BQ27:BQ50)</f>
        <v>173000</v>
      </c>
      <c r="BR51" s="15" t="n">
        <f aca="false">SUM(BR27:BR50)</f>
        <v>173000</v>
      </c>
      <c r="BS51" s="16" t="str">
        <f aca="false">IF(COUNT(BS27,BS28,BS29,BS30,BS31,BS32,BS33,BS34,BS36,BS37,BS42,BS43,BS44,BS46,BS49,BS50)=0,"",SUM(BS27:BS50))</f>
        <v/>
      </c>
      <c r="BT51" s="16" t="n">
        <f aca="false">SUM(BT27:BT50)</f>
        <v>173000</v>
      </c>
      <c r="BU51" s="16" t="n">
        <f aca="false">SUM(BU27:BU50)</f>
        <v>173000</v>
      </c>
      <c r="BV51" s="15" t="str">
        <f aca="false">IF(COUNT(BV27,BV28,BV29,BV30,BV31,BV32,BV33,BV34,BV36,BV42,BV43,BV44,BV46,BV49,BV50)=0,"",SUM(BV27:BV50))</f>
        <v/>
      </c>
      <c r="BW51" s="15" t="n">
        <f aca="false">SUM(BW27:BW50)</f>
        <v>161000</v>
      </c>
      <c r="BX51" s="15" t="n">
        <f aca="false">SUM(BX27:BX50)</f>
        <v>161000</v>
      </c>
      <c r="BY51" s="16" t="str">
        <f aca="false">IF(COUNT(BY27,BY28,BY29,BY30,BY31,BY32,BY33,BY34,BY36,BY42,BY43,BY44,BY49,BY50)=0,"",SUM(BY27:BY50))</f>
        <v/>
      </c>
      <c r="BZ51" s="16" t="n">
        <f aca="false">SUM(BZ27:BZ50)</f>
        <v>153000</v>
      </c>
      <c r="CA51" s="16" t="n">
        <f aca="false">SUM(CA27:CA50)</f>
        <v>153000</v>
      </c>
      <c r="CB51" s="15" t="str">
        <f aca="false">IF(COUNT(CB27,CB28,CB29,CB30,CB31,CB32,CB33,CB34,CB42,CB43,CB44,CB49,CB50)=0,"",SUM(CB27:CB50))</f>
        <v/>
      </c>
      <c r="CC51" s="15" t="n">
        <f aca="false">SUM(CC27:CC50)</f>
        <v>141000</v>
      </c>
      <c r="CD51" s="15" t="n">
        <f aca="false">SUM(CD27:CD50)</f>
        <v>141000</v>
      </c>
      <c r="CE51" s="16" t="str">
        <f aca="false">IF(COUNT(CE27,CE28,CE29,CE30,CE31,CE32,CE33,CE42,CE43,CE44,CE49,CE50)=0,"",SUM(CE27:CE50))</f>
        <v/>
      </c>
      <c r="CF51" s="16" t="n">
        <f aca="false">SUM(CF27:CF50)</f>
        <v>129000</v>
      </c>
      <c r="CG51" s="16" t="n">
        <f aca="false">SUM(CG27:CG50)</f>
        <v>129000</v>
      </c>
      <c r="CH51" s="15" t="str">
        <f aca="false">IF(COUNT(CH27,CH28,CH29,CH30,CH31,CH32,CH33,CH42,CH43,CH44,CH49,CH50)=0,"",SUM(CH27:CH50))</f>
        <v/>
      </c>
      <c r="CI51" s="15" t="n">
        <f aca="false">SUM(CI27:CI50)</f>
        <v>129000</v>
      </c>
      <c r="CJ51" s="15" t="n">
        <f aca="false">SUM(CJ27:CJ50)</f>
        <v>129000</v>
      </c>
      <c r="CK51" s="16" t="str">
        <f aca="false">IF(COUNT(CK27,CK28,CK29,CK30,CK31,CK32,CK33,CK42,CK43,CK44,CK49,CK50)=0,"",SUM(CK27:CK50))</f>
        <v/>
      </c>
      <c r="CL51" s="16" t="n">
        <f aca="false">SUM(CL27:CL50)</f>
        <v>129000</v>
      </c>
      <c r="CM51" s="16" t="n">
        <f aca="false">SUM(CM27:CM50)</f>
        <v>129000</v>
      </c>
      <c r="CN51" s="15" t="str">
        <f aca="false">IF(COUNT(CN27,CN28,CN29,CN30,CN31,CN32,CN33,CN42,CN43,CN44,CN49,CN50)=0,"",SUM(CN27:CN50))</f>
        <v/>
      </c>
      <c r="CO51" s="15" t="n">
        <f aca="false">SUM(CO27:CO50)</f>
        <v>129000</v>
      </c>
      <c r="CP51" s="15" t="n">
        <f aca="false">SUM(CP27:CP50)</f>
        <v>129000</v>
      </c>
      <c r="CQ51" s="16" t="str">
        <f aca="false">IF(COUNT(CQ27,CQ28,CQ29,CQ30,CQ31,CQ32,CQ33,CQ42,CQ43,CQ44,CQ49,CQ50)=0,"",SUM(CQ27:CQ50))</f>
        <v/>
      </c>
      <c r="CR51" s="16" t="n">
        <f aca="false">SUM(CR27:CR50)</f>
        <v>129000</v>
      </c>
      <c r="CS51" s="16" t="n">
        <f aca="false">SUM(CS27:CS50)</f>
        <v>129000</v>
      </c>
      <c r="CT51" s="15" t="str">
        <f aca="false">IF(COUNT(CT27,CT28,CT29,CT30,CT31,CT32,CT33,CT42,CT43,CT44,CT49,CT50)=0,"",SUM(CT27:CT50))</f>
        <v/>
      </c>
      <c r="CU51" s="15" t="n">
        <f aca="false">SUM(CU27:CU50)</f>
        <v>129000</v>
      </c>
      <c r="CV51" s="15" t="n">
        <f aca="false">SUM(CV27:CV50)</f>
        <v>129000</v>
      </c>
      <c r="CW51" s="16" t="str">
        <f aca="false">IF(COUNT(CW27,CW28,CW29,CW30,CW31,CW32,CW42,CW43,CW44,CW49,CW50)=0,"",SUM(CW27:CW50))</f>
        <v/>
      </c>
      <c r="CX51" s="16" t="n">
        <f aca="false">SUM(CX27:CX50)</f>
        <v>117000</v>
      </c>
      <c r="CY51" s="16" t="n">
        <f aca="false">SUM(CY27:CY50)</f>
        <v>117000</v>
      </c>
      <c r="CZ51" s="15" t="str">
        <f aca="false">IF(COUNT(CZ27,CZ28,CZ29,CZ30,CZ31,CZ32,CZ42,CZ43,CZ44,CZ49,CZ50)=0,"",SUM(CZ27:CZ50))</f>
        <v/>
      </c>
      <c r="DA51" s="15" t="n">
        <f aca="false">SUM(DA27:DA50)</f>
        <v>117000</v>
      </c>
      <c r="DB51" s="15" t="n">
        <f aca="false">SUM(DB27:DB50)</f>
        <v>117000</v>
      </c>
      <c r="DC51" s="16" t="str">
        <f aca="false">IF(COUNT(DC27,DC28,DC29,DC30,DC31,DC32,DC42,DC43,DC44,DC49,DC50)=0,"",SUM(DC27:DC50))</f>
        <v/>
      </c>
      <c r="DD51" s="16" t="n">
        <f aca="false">SUM(DD27:DD50)</f>
        <v>117000</v>
      </c>
      <c r="DE51" s="16" t="n">
        <f aca="false">SUM(DE27:DE50)</f>
        <v>117000</v>
      </c>
      <c r="DF51" s="15" t="str">
        <f aca="false">IF(COUNT(DF27,DF28,DF29,DF30,DF31,DF32,DF42,DF43,DF44,DF49,DF50)=0,"",SUM(DF27:DF50))</f>
        <v/>
      </c>
      <c r="DG51" s="15" t="n">
        <f aca="false">SUM(DG27:DG50)</f>
        <v>117000</v>
      </c>
      <c r="DH51" s="15" t="n">
        <f aca="false">SUM(DH27:DH50)</f>
        <v>117000</v>
      </c>
      <c r="DI51" s="16" t="n">
        <f aca="false">IF(COUNT(DI27,DI28,DI29,DI30,DI31,DI32,DI42,DI43,DI44,DI49,DI50)=0,"",SUM(DI27:DI50))</f>
        <v>117000</v>
      </c>
      <c r="DJ51" s="16" t="n">
        <f aca="false">SUM(DJ27:DJ50)</f>
        <v>117000</v>
      </c>
      <c r="DK51" s="16" t="n">
        <f aca="false">SUM(DK27:DK50)</f>
        <v>117000</v>
      </c>
      <c r="DL51" s="15" t="n">
        <f aca="false">IF(COUNT(DL27,DL28,DL29,DL30,DL31,DL32,DL42,DL43,DL44,DL49,DL50)=0,"",SUM(DL27:DL50))</f>
        <v>117000</v>
      </c>
      <c r="DM51" s="15" t="n">
        <f aca="false">SUM(DM27:DM50)</f>
        <v>117000</v>
      </c>
      <c r="DN51" s="15" t="n">
        <f aca="false">SUM(DN27:DN50)</f>
        <v>117000</v>
      </c>
    </row>
    <row r="52" customFormat="false" ht="15.75" hidden="false" customHeight="true" outlineLevel="0" collapsed="false">
      <c r="A52" s="5" t="s">
        <v>187</v>
      </c>
      <c r="B52" s="23" t="str">
        <f aca="false">IF(K52&lt;&gt;"",K52,IF(N52&lt;&gt;"",N52,IF(Q52&lt;&gt;"",Q52,IF(T52&lt;&gt;"",T52,IF(W52&lt;&gt;"",W52,IF(Z52&lt;&gt;"",Z52,IF(AC52&lt;&gt;"",AC52,IF(AF52&lt;&gt;"",AF52,IF(AI52&lt;&gt;"",AI52,IF(AL52&lt;&gt;"",AL52,IF(AO52&lt;&gt;"",AO52,IF(AR52&lt;&gt;"",AR52,""))))))))))))</f>
        <v/>
      </c>
      <c r="C52" s="23" t="n">
        <f aca="false">IF(L52&lt;&gt;"",L52,IF(O52&lt;&gt;"",O52,IF(R52&lt;&gt;"",R52,IF(U52&lt;&gt;"",U52,IF(X52&lt;&gt;"",X52,IF(AA52&lt;&gt;"",AA52,IF(AD52&lt;&gt;"",AD52,IF(AG52&lt;&gt;"",AG52,IF(AJ52&lt;&gt;"",AJ52,IF(AM52&lt;&gt;"",AM52,IF(AP52&lt;&gt;"",AP52,IF(AS52&lt;&gt;"",AS52,""))))))))))))</f>
        <v>24</v>
      </c>
      <c r="D52" s="23" t="n">
        <f aca="false">IF(M52&lt;&gt;"",M52,IF(P52&lt;&gt;"",P52,IF(S52&lt;&gt;"",S52,IF(V52&lt;&gt;"",V52,IF(Y52&lt;&gt;"",Y52,IF(AB52&lt;&gt;"",AB52,IF(AE52&lt;&gt;"",AE52,IF(AH52&lt;&gt;"",AH52,IF(AK52&lt;&gt;"",AK52,IF(AN52&lt;&gt;"",AN52,IF(AQ52&lt;&gt;"",AQ52,IF(AT52&lt;&gt;"",AT52,""))))))))))))</f>
        <v>24</v>
      </c>
      <c r="E52" s="2" t="str">
        <f aca="false">IF(AU52&lt;&gt;"",AU52,IF(AX52&lt;&gt;"",AX52,IF(BA52&lt;&gt;"",BA52,IF(BD52&lt;&gt;"",BD52,IF(BG52&lt;&gt;"",BG52,IF(BJ52&lt;&gt;"",BJ52,IF(BM52&lt;&gt;"",BM52,IF(BP52&lt;&gt;"",BP52,IF(BS52&lt;&gt;"",BS52,IF(BV52&lt;&gt;"",BV52,IF(BY52&lt;&gt;"",BY52,IF(CB52&lt;&gt;"",CB52,""))))))))))))</f>
        <v/>
      </c>
      <c r="F52" s="2" t="n">
        <f aca="false">IF(AV52&lt;&gt;"",AV52,IF(AY52&lt;&gt;"",AY52,IF(BB52&lt;&gt;"",BB52,IF(BE52&lt;&gt;"",BE52,IF(BH52&lt;&gt;"",BH52,IF(BK52&lt;&gt;"",BK52,IF(BN52&lt;&gt;"",BN52,IF(BQ52&lt;&gt;"",BQ52,IF(BT52&lt;&gt;"",BT52,IF(BW52&lt;&gt;"",BW52,IF(BZ52&lt;&gt;"",BZ52,IF(CC52&lt;&gt;"",CC52,""))))))))))))</f>
        <v>20</v>
      </c>
      <c r="G52" s="2" t="n">
        <f aca="false">IF(AW52&lt;&gt;"",AW52,IF(AZ52&lt;&gt;"",AZ52,IF(BC52&lt;&gt;"",BC52,IF(BF52&lt;&gt;"",BF52,IF(BI52&lt;&gt;"",BI52,IF(BL52&lt;&gt;"",BL52,IF(BO52&lt;&gt;"",BO52,IF(BR52&lt;&gt;"",BR52,IF(BU52&lt;&gt;"",BU52,IF(BX52&lt;&gt;"",BX52,IF(CA52&lt;&gt;"",CA52,IF(CD52&lt;&gt;"",CD52,""))))))))))))</f>
        <v>20</v>
      </c>
      <c r="H52" s="23" t="n">
        <f aca="false">IF(CE52&lt;&gt;"",CE52,IF(CH52&lt;&gt;"",CH52,IF(CK52&lt;&gt;"",CK52,IF(CN52&lt;&gt;"",CN52,IF(CQ52&lt;&gt;"",CQ52,IF(CT52&lt;&gt;"",CT52,IF(CW52&lt;&gt;"",CW52,IF(CZ52&lt;&gt;"",CZ52,IF(DC52&lt;&gt;"",DC52,IF(DF52&lt;&gt;"",DF52,IF(DI52&lt;&gt;"",DI52,IF(DL52&lt;&gt;"",DL52,""))))))))))))</f>
        <v>11</v>
      </c>
      <c r="I52" s="23" t="n">
        <f aca="false">IF(CF52&lt;&gt;"",CF52,IF(CI52&lt;&gt;"",CI52,IF(CL52&lt;&gt;"",CL52,IF(CO52&lt;&gt;"",CO52,IF(CR52&lt;&gt;"",CR52,IF(CU52&lt;&gt;"",CU52,IF(CX52&lt;&gt;"",CX52,IF(DA52&lt;&gt;"",DA52,IF(DD52&lt;&gt;"",DD52,IF(DG52&lt;&gt;"",DG52,IF(DJ52&lt;&gt;"",DJ52,IF(DM52&lt;&gt;"",DM52,""))))))))))))</f>
        <v>12</v>
      </c>
      <c r="J52" s="23" t="n">
        <f aca="false">IF(CG52&lt;&gt;"",CG52,IF(CJ52&lt;&gt;"",CJ52,IF(CM52&lt;&gt;"",CM52,IF(CP52&lt;&gt;"",CP52,IF(CS52&lt;&gt;"",CS52,IF(CV52&lt;&gt;"",CV52,IF(CY52&lt;&gt;"",CY52,IF(DB52&lt;&gt;"",DB52,IF(DE52&lt;&gt;"",DE52,IF(DH52&lt;&gt;"",DH52,IF(DK52&lt;&gt;"",DK52,IF(DN52&lt;&gt;"",DN52,""))))))))))))</f>
        <v>12</v>
      </c>
      <c r="K52" s="2" t="str">
        <f aca="false">IF(COUNT(K27,K28,K29,K30,K31,K32,K33,K34,K35,K36,K37,K38,K39,K40,K41,K42,K43,K44,K45,K46,K47,K48,K49,K50)=0,"",COUNT(K27:K50))</f>
        <v/>
      </c>
      <c r="L52" s="2" t="n">
        <f aca="false">COUNT(L27:L50)</f>
        <v>24</v>
      </c>
      <c r="M52" s="2" t="n">
        <f aca="false">COUNT(M27:M50)</f>
        <v>24</v>
      </c>
      <c r="N52" s="23" t="str">
        <f aca="false">IF(COUNT(N27,N28,N29,N30,N31,N32,N33,N34,N35,N36,N37,N38,N39,N40,N41,N42,N43,N44,N45,N46,N47,N48,N49,N50)=0,"",COUNT(N27:N50))</f>
        <v/>
      </c>
      <c r="O52" s="23" t="n">
        <f aca="false">COUNT(O27:O50)</f>
        <v>24</v>
      </c>
      <c r="P52" s="23" t="n">
        <f aca="false">COUNT(P27:P50)</f>
        <v>24</v>
      </c>
      <c r="Q52" s="2" t="str">
        <f aca="false">IF(COUNT(Q27,Q28,Q29,Q30,Q31,Q32,Q33,Q34,Q35,Q36,Q37,Q38,Q39,Q40,Q41,Q42,Q43,Q44,Q45,Q46,Q47,Q48,Q49,Q50)=0,"",COUNT(Q27:Q50))</f>
        <v/>
      </c>
      <c r="R52" s="2" t="n">
        <f aca="false">COUNT(R27:R50)</f>
        <v>24</v>
      </c>
      <c r="S52" s="2" t="n">
        <f aca="false">COUNT(S27:S50)</f>
        <v>24</v>
      </c>
      <c r="T52" s="23" t="str">
        <f aca="false">IF(COUNT(T27,T28,T29,T30,T31,T32,T33,T34,T35,T36,T37,T38,T39,T40,T41,T42,T43,T44,T45,T46,T47,T48,T49,T50)=0,"",COUNT(T27:T50))</f>
        <v/>
      </c>
      <c r="U52" s="23" t="n">
        <f aca="false">COUNT(U27:U50)</f>
        <v>24</v>
      </c>
      <c r="V52" s="23" t="n">
        <f aca="false">COUNT(V27:V50)</f>
        <v>24</v>
      </c>
      <c r="W52" s="2" t="str">
        <f aca="false">IF(COUNT(W27,W28,W29,W30,W31,W32,W33,W34,W35,W36,W37,W38,W39,W40,W41,W42,W43,W44,W45,W46,W47,W48,W49,W50)=0,"",COUNT(W27:W50))</f>
        <v/>
      </c>
      <c r="X52" s="2" t="n">
        <f aca="false">COUNT(X27:X50)</f>
        <v>24</v>
      </c>
      <c r="Y52" s="2" t="n">
        <f aca="false">COUNT(Y27:Y50)</f>
        <v>24</v>
      </c>
      <c r="Z52" s="23" t="str">
        <f aca="false">IF(COUNT(Z27,Z28,Z29,Z30,Z31,Z32,Z33,Z34,Z35,Z36,Z37,Z38,Z39,Z40,Z41,Z42,Z43,Z44,Z45,Z46,Z47,Z48,Z49,Z50)=0,"",COUNT(Z27:Z50))</f>
        <v/>
      </c>
      <c r="AA52" s="23" t="n">
        <f aca="false">COUNT(AA27:AA50)</f>
        <v>24</v>
      </c>
      <c r="AB52" s="23" t="n">
        <f aca="false">COUNT(AB27:AB50)</f>
        <v>24</v>
      </c>
      <c r="AC52" s="2" t="str">
        <f aca="false">IF(COUNT(AC27,AC28,AC29,AC30,AC31,AC32,AC33,AC34,AC36,AC37,AC38,AC39,AC40,AC41,AC42,AC43,AC44,AC45,AC46,AC47,AC48,AC49,AC50)=0,"",COUNT(AC27:AC50))</f>
        <v/>
      </c>
      <c r="AD52" s="2" t="n">
        <f aca="false">COUNT(AD27:AD50)</f>
        <v>23</v>
      </c>
      <c r="AE52" s="2" t="n">
        <f aca="false">COUNT(AE27:AE50)</f>
        <v>23</v>
      </c>
      <c r="AF52" s="23" t="str">
        <f aca="false">IF(COUNT(AF27,AF28,AF29,AF30,AF31,AF32,AF33,AF34,AF36,AF37,AF38,AF39,AF40,AF41,AF42,AF43,AF44,AF45,AF46,AF47,AF48,AF49,AF50)=0,"",COUNT(AF27:AF50))</f>
        <v/>
      </c>
      <c r="AG52" s="23" t="n">
        <f aca="false">COUNT(AG27:AG50)</f>
        <v>23</v>
      </c>
      <c r="AH52" s="23" t="n">
        <f aca="false">COUNT(AH27:AH50)</f>
        <v>23</v>
      </c>
      <c r="AI52" s="2" t="str">
        <f aca="false">IF(COUNT(AI27,AI28,AI29,AI30,AI31,AI32,AI33,AI34,AI36,AI37,AI38,AI39,AI40,AI41,AI42,AI43,AI44,AI45,AI46,AI47,AI48,AI49,AI50)=0,"",COUNT(AI27:AI50))</f>
        <v/>
      </c>
      <c r="AJ52" s="2" t="n">
        <f aca="false">COUNT(AJ27:AJ50)</f>
        <v>23</v>
      </c>
      <c r="AK52" s="2" t="n">
        <f aca="false">COUNT(AK27:AK50)</f>
        <v>23</v>
      </c>
      <c r="AL52" s="23" t="str">
        <f aca="false">IF(COUNT(AL27,AL28,AL29,AL30,AL31,AL32,AL33,AL34,AL36,AL37,AL38,AL39,AL41,AL42,AL43,AL44,AL45,AL46,AL47,AL48,AL49,AL50)=0,"",COUNT(AL27:AL50))</f>
        <v/>
      </c>
      <c r="AM52" s="23" t="n">
        <f aca="false">COUNT(AM27:AM50)</f>
        <v>22</v>
      </c>
      <c r="AN52" s="23" t="n">
        <f aca="false">COUNT(AN27:AN50)</f>
        <v>22</v>
      </c>
      <c r="AO52" s="2" t="str">
        <f aca="false">IF(COUNT(AO27,AO28,AO29,AO30,AO31,AO32,AO33,AO34,AO36,AO37,AO38,AO39,AO41,AO42,AO43,AO44,AO45,AO46,AO47,AO49,AO50)=0,"",COUNT(AO27:AO50))</f>
        <v/>
      </c>
      <c r="AP52" s="2" t="n">
        <f aca="false">COUNT(AP27:AP50)</f>
        <v>21</v>
      </c>
      <c r="AQ52" s="2" t="n">
        <f aca="false">COUNT(AQ27:AQ50)</f>
        <v>21</v>
      </c>
      <c r="AR52" s="23" t="str">
        <f aca="false">IF(COUNT(AR27,AR28,AR29,AR30,AR31,AR32,AR33,AR34,AR36,AR37,AR38,AR39,AR41,AR42,AR43,AR44,AR45,AR46,AR47,AR49,AR50)=0,"",COUNT(AR27:AR50))</f>
        <v/>
      </c>
      <c r="AS52" s="23" t="n">
        <f aca="false">COUNT(AS27:AS50)</f>
        <v>21</v>
      </c>
      <c r="AT52" s="23" t="n">
        <f aca="false">COUNT(AT27:AT50)</f>
        <v>21</v>
      </c>
      <c r="AU52" s="2" t="str">
        <f aca="false">IF(COUNT(AU27,AU28,AU29,AU30,AU31,AU32,AU33,AU34,AU36,AU37,AU38,AU41,AU42,AU43,AU44,AU45,AU46,AU47,AU49,AU50)=0,"",COUNT(AU27:AU50))</f>
        <v/>
      </c>
      <c r="AV52" s="2" t="n">
        <f aca="false">COUNT(AV27:AV50)</f>
        <v>20</v>
      </c>
      <c r="AW52" s="2" t="n">
        <f aca="false">COUNT(AW27:AW50)</f>
        <v>20</v>
      </c>
      <c r="AX52" s="23" t="str">
        <f aca="false">IF(COUNT(AX27,AX28,AX29,AX30,AX31,AX32,AX33,AX34,AX36,AX37,AX38,AX41,AX42,AX43,AX44,AX45,AX46,AX47,AX49,AX50)=0,"",COUNT(AX27:AX50))</f>
        <v/>
      </c>
      <c r="AY52" s="23" t="n">
        <f aca="false">COUNT(AY27:AY50)</f>
        <v>20</v>
      </c>
      <c r="AZ52" s="23" t="n">
        <f aca="false">COUNT(AZ27:AZ50)</f>
        <v>20</v>
      </c>
      <c r="BA52" s="2" t="str">
        <f aca="false">IF(COUNT(BA27,BA28,BA29,BA30,BA31,BA32,BA33,BA34,BA36,BA37,BA38,BA41,BA42,BA43,BA44,BA45,BA46,BA49,BA50)=0,"",COUNT(BA27:BA50))</f>
        <v/>
      </c>
      <c r="BB52" s="2" t="n">
        <f aca="false">COUNT(BB27:BB50)</f>
        <v>19</v>
      </c>
      <c r="BC52" s="2" t="n">
        <f aca="false">COUNT(BC27:BC50)</f>
        <v>19</v>
      </c>
      <c r="BD52" s="23" t="str">
        <f aca="false">IF(COUNT(BD27,BD28,BD29,BD30,BD31,BD32,BD33,BD34,BD36,BD37,BD41,BD42,BD43,BD44,BD45,BD46,BD49,BD50)=0,"",COUNT(BD27:BD50))</f>
        <v/>
      </c>
      <c r="BE52" s="23" t="n">
        <f aca="false">COUNT(BE27:BE50)</f>
        <v>18</v>
      </c>
      <c r="BF52" s="23" t="n">
        <f aca="false">COUNT(BF27:BF50)</f>
        <v>18</v>
      </c>
      <c r="BG52" s="2" t="str">
        <f aca="false">IF(COUNT(BG27,BG28,BG29,BG30,BG31,BG32,BG33,BG34,BG36,BG37,BG41,BG42,BG43,BG44,BG45,BG46,BG49,BG50)=0,"",COUNT(BG27:BG50))</f>
        <v/>
      </c>
      <c r="BH52" s="2" t="n">
        <f aca="false">COUNT(BH27:BH50)</f>
        <v>18</v>
      </c>
      <c r="BI52" s="2" t="n">
        <f aca="false">COUNT(BI27:BI50)</f>
        <v>18</v>
      </c>
      <c r="BJ52" s="23" t="str">
        <f aca="false">IF(COUNT(BJ27,BJ28,BJ29,BJ30,BJ31,BJ32,BJ33,BJ34,BJ36,BJ37,BJ42,BJ43,BJ44,BJ45,BJ46,BJ49,BJ50)=0,"",COUNT(BJ27:BJ50))</f>
        <v/>
      </c>
      <c r="BK52" s="23" t="n">
        <f aca="false">COUNT(BK27:BK50)</f>
        <v>17</v>
      </c>
      <c r="BL52" s="23" t="n">
        <f aca="false">COUNT(BL27:BL50)</f>
        <v>17</v>
      </c>
      <c r="BM52" s="2" t="str">
        <f aca="false">IF(COUNT(BM27,BM28,BM29,BM30,BM31,BM32,BM33,BM34,BM36,BM37,BM42,BM43,BM44,BM46,BM49,BM50)=0,"",COUNT(BM27:BM50))</f>
        <v/>
      </c>
      <c r="BN52" s="2" t="n">
        <f aca="false">COUNT(BN27:BN50)</f>
        <v>16</v>
      </c>
      <c r="BO52" s="2" t="n">
        <f aca="false">COUNT(BO27:BO50)</f>
        <v>16</v>
      </c>
      <c r="BP52" s="23" t="str">
        <f aca="false">IF(COUNT(BP27,BP28,BP29,BP30,BP31,BP32,BP33,BP34,BP36,BP37,BP42,BP43,BP44,BP46,BP49,BP50)=0,"",COUNT(BP27:BP50))</f>
        <v/>
      </c>
      <c r="BQ52" s="23" t="n">
        <f aca="false">COUNT(BQ27:BQ50)</f>
        <v>16</v>
      </c>
      <c r="BR52" s="23" t="n">
        <f aca="false">COUNT(BR27:BR50)</f>
        <v>16</v>
      </c>
      <c r="BS52" s="2" t="str">
        <f aca="false">IF(COUNT(BS27,BS28,BS29,BS30,BS31,BS32,BS33,BS34,BS36,BS37,BS42,BS43,BS44,BS46,BS49,BS50)=0,"",COUNT(BS27:BS50))</f>
        <v/>
      </c>
      <c r="BT52" s="2" t="n">
        <f aca="false">COUNT(BT27:BT50)</f>
        <v>16</v>
      </c>
      <c r="BU52" s="2" t="n">
        <f aca="false">COUNT(BU27:BU50)</f>
        <v>16</v>
      </c>
      <c r="BV52" s="23" t="str">
        <f aca="false">IF(COUNT(BV27,BV28,BV29,BV30,BV31,BV32,BV33,BV34,BV36,BV42,BV43,BV44,BV46,BV49,BV50)=0,"",COUNT(BV27:BV50))</f>
        <v/>
      </c>
      <c r="BW52" s="23" t="n">
        <f aca="false">COUNT(BW27:BW50)</f>
        <v>15</v>
      </c>
      <c r="BX52" s="23" t="n">
        <f aca="false">COUNT(BX27:BX50)</f>
        <v>15</v>
      </c>
      <c r="BY52" s="2" t="str">
        <f aca="false">IF(COUNT(BY27,BY28,BY29,BY30,BY31,BY32,BY33,BY34,BY36,BY42,BY43,BY44,BY49,BY50)=0,"",COUNT(BY27:BY50))</f>
        <v/>
      </c>
      <c r="BZ52" s="2" t="n">
        <f aca="false">COUNT(BZ27:BZ50)</f>
        <v>14</v>
      </c>
      <c r="CA52" s="2" t="n">
        <f aca="false">COUNT(CA27:CA50)</f>
        <v>14</v>
      </c>
      <c r="CB52" s="23" t="str">
        <f aca="false">IF(COUNT(CB27,CB28,CB29,CB30,CB31,CB32,CB33,CB34,CB42,CB43,CB44,CB49,CB50)=0,"",COUNT(CB27:CB50))</f>
        <v/>
      </c>
      <c r="CC52" s="23" t="n">
        <f aca="false">COUNT(CC27:CC50)</f>
        <v>13</v>
      </c>
      <c r="CD52" s="23" t="n">
        <f aca="false">COUNT(CD27:CD50)</f>
        <v>13</v>
      </c>
      <c r="CE52" s="2" t="str">
        <f aca="false">IF(COUNT(CE27,CE28,CE29,CE30,CE31,CE32,CE33,CE42,CE43,CE44,CE49,CE50)=0,"",COUNT(CE27:CE50))</f>
        <v/>
      </c>
      <c r="CF52" s="2" t="n">
        <f aca="false">COUNT(CF27:CF50)</f>
        <v>12</v>
      </c>
      <c r="CG52" s="2" t="n">
        <f aca="false">COUNT(CG27:CG50)</f>
        <v>12</v>
      </c>
      <c r="CH52" s="23" t="str">
        <f aca="false">IF(COUNT(CH27,CH28,CH29,CH30,CH31,CH32,CH33,CH42,CH43,CH44,CH49,CH50)=0,"",COUNT(CH27:CH50))</f>
        <v/>
      </c>
      <c r="CI52" s="23" t="n">
        <f aca="false">COUNT(CI27:CI50)</f>
        <v>12</v>
      </c>
      <c r="CJ52" s="23" t="n">
        <f aca="false">COUNT(CJ27:CJ50)</f>
        <v>12</v>
      </c>
      <c r="CK52" s="2" t="str">
        <f aca="false">IF(COUNT(CK27,CK28,CK29,CK30,CK31,CK32,CK33,CK42,CK43,CK44,CK49,CK50)=0,"",COUNT(CK27:CK50))</f>
        <v/>
      </c>
      <c r="CL52" s="2" t="n">
        <f aca="false">COUNT(CL27:CL50)</f>
        <v>12</v>
      </c>
      <c r="CM52" s="2" t="n">
        <f aca="false">COUNT(CM27:CM50)</f>
        <v>12</v>
      </c>
      <c r="CN52" s="23" t="str">
        <f aca="false">IF(COUNT(CN27,CN28,CN29,CN30,CN31,CN32,CN33,CN42,CN43,CN44,CN49,CN50)=0,"",COUNT(CN27:CN50))</f>
        <v/>
      </c>
      <c r="CO52" s="23" t="n">
        <f aca="false">COUNT(CO27:CO50)</f>
        <v>12</v>
      </c>
      <c r="CP52" s="23" t="n">
        <f aca="false">COUNT(CP27:CP50)</f>
        <v>12</v>
      </c>
      <c r="CQ52" s="2" t="str">
        <f aca="false">IF(COUNT(CQ27,CQ28,CQ29,CQ30,CQ31,CQ32,CQ33,CQ42,CQ43,CQ44,CQ49,CQ50)=0,"",COUNT(CQ27:CQ50))</f>
        <v/>
      </c>
      <c r="CR52" s="2" t="n">
        <f aca="false">COUNT(CR27:CR50)</f>
        <v>12</v>
      </c>
      <c r="CS52" s="2" t="n">
        <f aca="false">COUNT(CS27:CS50)</f>
        <v>12</v>
      </c>
      <c r="CT52" s="23" t="str">
        <f aca="false">IF(COUNT(CT27,CT28,CT29,CT30,CT31,CT32,CT33,CT42,CT43,CT44,CT49,CT50)=0,"",COUNT(CT27:CT50))</f>
        <v/>
      </c>
      <c r="CU52" s="23" t="n">
        <f aca="false">COUNT(CU27:CU50)</f>
        <v>12</v>
      </c>
      <c r="CV52" s="23" t="n">
        <f aca="false">COUNT(CV27:CV50)</f>
        <v>12</v>
      </c>
      <c r="CW52" s="2" t="str">
        <f aca="false">IF(COUNT(CW27,CW28,CW29,CW30,CW31,CW32,CW42,CW43,CW44,CW49,CW50)=0,"",COUNT(CW27:CW50))</f>
        <v/>
      </c>
      <c r="CX52" s="2" t="n">
        <f aca="false">COUNT(CX27:CX50)</f>
        <v>11</v>
      </c>
      <c r="CY52" s="2" t="n">
        <f aca="false">COUNT(CY27:CY50)</f>
        <v>11</v>
      </c>
      <c r="CZ52" s="23" t="str">
        <f aca="false">IF(COUNT(CZ27,CZ28,CZ29,CZ30,CZ31,CZ32,CZ42,CZ43,CZ44,CZ49,CZ50)=0,"",COUNT(CZ27:CZ50))</f>
        <v/>
      </c>
      <c r="DA52" s="23" t="n">
        <f aca="false">COUNT(DA27:DA50)</f>
        <v>11</v>
      </c>
      <c r="DB52" s="23" t="n">
        <f aca="false">COUNT(DB27:DB50)</f>
        <v>11</v>
      </c>
      <c r="DC52" s="2" t="str">
        <f aca="false">IF(COUNT(DC27,DC28,DC29,DC30,DC31,DC32,DC42,DC43,DC44,DC49,DC50)=0,"",COUNT(DC27:DC50))</f>
        <v/>
      </c>
      <c r="DD52" s="2" t="n">
        <f aca="false">COUNT(DD27:DD50)</f>
        <v>11</v>
      </c>
      <c r="DE52" s="2" t="n">
        <f aca="false">COUNT(DE27:DE50)</f>
        <v>11</v>
      </c>
      <c r="DF52" s="23" t="str">
        <f aca="false">IF(COUNT(DF27,DF28,DF29,DF30,DF31,DF32,DF42,DF43,DF44,DF49,DF50)=0,"",COUNT(DF27:DF50))</f>
        <v/>
      </c>
      <c r="DG52" s="23" t="n">
        <f aca="false">COUNT(DG27:DG50)</f>
        <v>11</v>
      </c>
      <c r="DH52" s="23" t="n">
        <f aca="false">COUNT(DH27:DH50)</f>
        <v>11</v>
      </c>
      <c r="DI52" s="2" t="n">
        <f aca="false">IF(COUNT(DI27,DI28,DI29,DI30,DI31,DI32,DI42,DI43,DI44,DI49,DI50)=0,"",COUNT(DI27:DI50))</f>
        <v>11</v>
      </c>
      <c r="DJ52" s="2" t="n">
        <f aca="false">COUNT(DJ27:DJ50)</f>
        <v>11</v>
      </c>
      <c r="DK52" s="2" t="n">
        <f aca="false">COUNT(DK27:DK50)</f>
        <v>11</v>
      </c>
      <c r="DL52" s="23" t="n">
        <f aca="false">IF(COUNT(DL27,DL28,DL29,DL30,DL31,DL32,DL42,DL43,DL44,DL49,DL50)=0,"",COUNT(DL27:DL50))</f>
        <v>11</v>
      </c>
      <c r="DM52" s="23" t="n">
        <f aca="false">COUNT(DM27:DM50)</f>
        <v>11</v>
      </c>
      <c r="DN52" s="23" t="n">
        <f aca="false">COUNT(DN27:DN50)</f>
        <v>11</v>
      </c>
    </row>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c r="A60" s="5" t="s">
        <v>204</v>
      </c>
      <c r="B60" s="102"/>
      <c r="DL60" s="103" t="n">
        <v>1200</v>
      </c>
      <c r="DM60" s="103"/>
      <c r="DN60" s="103"/>
    </row>
    <row r="61" customFormat="false" ht="15.75" hidden="false" customHeight="true" outlineLevel="0" collapsed="false">
      <c r="A61" s="5" t="s">
        <v>205</v>
      </c>
      <c r="B61" s="104"/>
      <c r="DL61" s="105" t="n">
        <v>74</v>
      </c>
      <c r="DM61" s="105"/>
      <c r="DN61" s="105"/>
    </row>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41">
    <mergeCell ref="B1:D1"/>
    <mergeCell ref="E1:G1"/>
    <mergeCell ref="H1:J1"/>
    <mergeCell ref="K1:M1"/>
    <mergeCell ref="N1:P1"/>
    <mergeCell ref="Q1:S1"/>
    <mergeCell ref="T1:V1"/>
    <mergeCell ref="W1:Y1"/>
    <mergeCell ref="Z1:AB1"/>
    <mergeCell ref="AC1:AE1"/>
    <mergeCell ref="AF1:AH1"/>
    <mergeCell ref="AI1:AK1"/>
    <mergeCell ref="AL1:AN1"/>
    <mergeCell ref="AO1:AQ1"/>
    <mergeCell ref="AR1:AT1"/>
    <mergeCell ref="AU1:AW1"/>
    <mergeCell ref="AX1:AZ1"/>
    <mergeCell ref="BA1:BC1"/>
    <mergeCell ref="BD1:BF1"/>
    <mergeCell ref="BG1:BI1"/>
    <mergeCell ref="BJ1:BL1"/>
    <mergeCell ref="BM1:BO1"/>
    <mergeCell ref="BP1:BR1"/>
    <mergeCell ref="BS1:BU1"/>
    <mergeCell ref="BV1:BX1"/>
    <mergeCell ref="BY1:CA1"/>
    <mergeCell ref="CB1:CD1"/>
    <mergeCell ref="CE1:CG1"/>
    <mergeCell ref="CH1:CJ1"/>
    <mergeCell ref="CK1:CM1"/>
    <mergeCell ref="CN1:CP1"/>
    <mergeCell ref="CQ1:CS1"/>
    <mergeCell ref="CT1:CV1"/>
    <mergeCell ref="CW1:CY1"/>
    <mergeCell ref="CZ1:DB1"/>
    <mergeCell ref="DC1:DE1"/>
    <mergeCell ref="DF1:DH1"/>
    <mergeCell ref="DI1:DK1"/>
    <mergeCell ref="DL1:DN1"/>
    <mergeCell ref="DL60:DN60"/>
    <mergeCell ref="DL61:DN61"/>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N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false" zeroHeight="false" outlineLevelRow="0" outlineLevelCol="0"/>
  <cols>
    <col collapsed="false" customWidth="true" hidden="false" outlineLevel="0" max="1" min="1" style="0" width="44"/>
    <col collapsed="false" customWidth="true" hidden="false" outlineLevel="0" max="118" min="2" style="0" width="11"/>
  </cols>
  <sheetData>
    <row r="1" customFormat="false" ht="15" hidden="false" customHeight="false" outlineLevel="0" collapsed="false">
      <c r="B1" s="6" t="str">
        <f aca="false">"FY"&amp;YEAR(K$1)</f>
        <v>FY2028</v>
      </c>
      <c r="C1" s="6"/>
      <c r="D1" s="6"/>
      <c r="E1" s="7" t="str">
        <f aca="false">"FY"&amp;YEAR(AU$1)</f>
        <v>FY2027</v>
      </c>
      <c r="F1" s="7"/>
      <c r="G1" s="7"/>
      <c r="H1" s="6" t="str">
        <f aca="false">"FY"&amp;YEAR(CE$1)</f>
        <v>FY2026</v>
      </c>
      <c r="I1" s="6"/>
      <c r="J1" s="6"/>
      <c r="K1" s="8" t="n">
        <f aca="false">EOMONTH(N$1,1)</f>
        <v>47118</v>
      </c>
      <c r="L1" s="8"/>
      <c r="M1" s="8"/>
      <c r="N1" s="9" t="n">
        <f aca="false">EOMONTH(Q$1,1)</f>
        <v>47087</v>
      </c>
      <c r="O1" s="9"/>
      <c r="P1" s="9"/>
      <c r="Q1" s="8" t="n">
        <f aca="false">EOMONTH(T$1,1)</f>
        <v>47057</v>
      </c>
      <c r="R1" s="8"/>
      <c r="S1" s="8"/>
      <c r="T1" s="9" t="n">
        <f aca="false">EOMONTH(W$1,1)</f>
        <v>47026</v>
      </c>
      <c r="U1" s="9"/>
      <c r="V1" s="9"/>
      <c r="W1" s="8" t="n">
        <f aca="false">EOMONTH(Z$1,1)</f>
        <v>46996</v>
      </c>
      <c r="X1" s="8"/>
      <c r="Y1" s="8"/>
      <c r="Z1" s="9" t="n">
        <f aca="false">EOMONTH(AC$1,1)</f>
        <v>46965</v>
      </c>
      <c r="AA1" s="9"/>
      <c r="AB1" s="9"/>
      <c r="AC1" s="8" t="n">
        <f aca="false">EOMONTH(AF$1,1)</f>
        <v>46934</v>
      </c>
      <c r="AD1" s="8"/>
      <c r="AE1" s="8"/>
      <c r="AF1" s="9" t="n">
        <f aca="false">EOMONTH(AI$1,1)</f>
        <v>46904</v>
      </c>
      <c r="AG1" s="9"/>
      <c r="AH1" s="9"/>
      <c r="AI1" s="8" t="n">
        <f aca="false">EOMONTH(AL$1,1)</f>
        <v>46873</v>
      </c>
      <c r="AJ1" s="8"/>
      <c r="AK1" s="8"/>
      <c r="AL1" s="9" t="n">
        <f aca="false">EOMONTH(AO$1,1)</f>
        <v>46843</v>
      </c>
      <c r="AM1" s="9"/>
      <c r="AN1" s="9"/>
      <c r="AO1" s="8" t="n">
        <f aca="false">EOMONTH(AR$1,1)</f>
        <v>46812</v>
      </c>
      <c r="AP1" s="8"/>
      <c r="AQ1" s="8"/>
      <c r="AR1" s="9" t="n">
        <f aca="false">EOMONTH(AU$1,1)</f>
        <v>46783</v>
      </c>
      <c r="AS1" s="9"/>
      <c r="AT1" s="9"/>
      <c r="AU1" s="8" t="n">
        <f aca="false">EOMONTH(AX$1,1)</f>
        <v>46752</v>
      </c>
      <c r="AV1" s="8"/>
      <c r="AW1" s="8"/>
      <c r="AX1" s="9" t="n">
        <f aca="false">EOMONTH(BA$1,1)</f>
        <v>46721</v>
      </c>
      <c r="AY1" s="9"/>
      <c r="AZ1" s="9"/>
      <c r="BA1" s="8" t="n">
        <f aca="false">EOMONTH(BD$1,1)</f>
        <v>46691</v>
      </c>
      <c r="BB1" s="8"/>
      <c r="BC1" s="8"/>
      <c r="BD1" s="9" t="n">
        <f aca="false">EOMONTH(BG$1,1)</f>
        <v>46660</v>
      </c>
      <c r="BE1" s="9"/>
      <c r="BF1" s="9"/>
      <c r="BG1" s="8" t="n">
        <f aca="false">EOMONTH(BJ$1,1)</f>
        <v>46630</v>
      </c>
      <c r="BH1" s="8"/>
      <c r="BI1" s="8"/>
      <c r="BJ1" s="9" t="n">
        <f aca="false">EOMONTH(BM$1,1)</f>
        <v>46599</v>
      </c>
      <c r="BK1" s="9"/>
      <c r="BL1" s="9"/>
      <c r="BM1" s="8" t="n">
        <f aca="false">EOMONTH(BP$1,1)</f>
        <v>46568</v>
      </c>
      <c r="BN1" s="8"/>
      <c r="BO1" s="8"/>
      <c r="BP1" s="9" t="n">
        <f aca="false">EOMONTH(BS$1,1)</f>
        <v>46538</v>
      </c>
      <c r="BQ1" s="9"/>
      <c r="BR1" s="9"/>
      <c r="BS1" s="8" t="n">
        <f aca="false">EOMONTH(BV$1,1)</f>
        <v>46507</v>
      </c>
      <c r="BT1" s="8"/>
      <c r="BU1" s="8"/>
      <c r="BV1" s="9" t="n">
        <f aca="false">EOMONTH(BY$1,1)</f>
        <v>46477</v>
      </c>
      <c r="BW1" s="9"/>
      <c r="BX1" s="9"/>
      <c r="BY1" s="8" t="n">
        <f aca="false">EOMONTH(CB$1,1)</f>
        <v>46446</v>
      </c>
      <c r="BZ1" s="8"/>
      <c r="CA1" s="8"/>
      <c r="CB1" s="9" t="n">
        <f aca="false">EOMONTH(CE$1,1)</f>
        <v>46418</v>
      </c>
      <c r="CC1" s="9"/>
      <c r="CD1" s="9"/>
      <c r="CE1" s="8" t="n">
        <f aca="false">EOMONTH(CH$1,1)</f>
        <v>46387</v>
      </c>
      <c r="CF1" s="8"/>
      <c r="CG1" s="8"/>
      <c r="CH1" s="9" t="n">
        <f aca="false">EOMONTH(CK$1,1)</f>
        <v>46356</v>
      </c>
      <c r="CI1" s="9"/>
      <c r="CJ1" s="9"/>
      <c r="CK1" s="8" t="n">
        <f aca="false">EOMONTH(CN$1,1)</f>
        <v>46326</v>
      </c>
      <c r="CL1" s="8"/>
      <c r="CM1" s="8"/>
      <c r="CN1" s="9" t="n">
        <f aca="false">EOMONTH(CQ$1,1)</f>
        <v>46295</v>
      </c>
      <c r="CO1" s="9"/>
      <c r="CP1" s="9"/>
      <c r="CQ1" s="8" t="n">
        <f aca="false">EOMONTH(CT$1,1)</f>
        <v>46265</v>
      </c>
      <c r="CR1" s="8"/>
      <c r="CS1" s="8"/>
      <c r="CT1" s="9" t="n">
        <f aca="false">EOMONTH(CW$1,1)</f>
        <v>46234</v>
      </c>
      <c r="CU1" s="9"/>
      <c r="CV1" s="9"/>
      <c r="CW1" s="8" t="n">
        <f aca="false">EOMONTH(CZ$1,1)</f>
        <v>46203</v>
      </c>
      <c r="CX1" s="8"/>
      <c r="CY1" s="8"/>
      <c r="CZ1" s="9" t="n">
        <f aca="false">EOMONTH(DC$1,1)</f>
        <v>46173</v>
      </c>
      <c r="DA1" s="9"/>
      <c r="DB1" s="9"/>
      <c r="DC1" s="8" t="n">
        <f aca="false">EOMONTH(DF$1,1)</f>
        <v>46142</v>
      </c>
      <c r="DD1" s="8"/>
      <c r="DE1" s="8"/>
      <c r="DF1" s="9" t="n">
        <f aca="false">EOMONTH(DI$1,1)</f>
        <v>46112</v>
      </c>
      <c r="DG1" s="9"/>
      <c r="DH1" s="9"/>
      <c r="DI1" s="8" t="n">
        <f aca="false">EOMONTH(DL$1,1)</f>
        <v>46081</v>
      </c>
      <c r="DJ1" s="8"/>
      <c r="DK1" s="8"/>
      <c r="DL1" s="9" t="n">
        <f aca="false">Finance!$DL$61</f>
        <v>46053</v>
      </c>
      <c r="DM1" s="9"/>
      <c r="DN1" s="9"/>
    </row>
    <row r="2" customFormat="false" ht="15" hidden="false" customHeight="false" outlineLevel="0" collapsed="false">
      <c r="A2" s="10"/>
      <c r="B2" s="11" t="s">
        <v>99</v>
      </c>
      <c r="C2" s="11" t="s">
        <v>100</v>
      </c>
      <c r="D2" s="11" t="s">
        <v>101</v>
      </c>
      <c r="E2" s="10" t="s">
        <v>99</v>
      </c>
      <c r="F2" s="10" t="s">
        <v>100</v>
      </c>
      <c r="G2" s="10" t="s">
        <v>101</v>
      </c>
      <c r="H2" s="11" t="s">
        <v>99</v>
      </c>
      <c r="I2" s="11" t="s">
        <v>100</v>
      </c>
      <c r="J2" s="11" t="s">
        <v>101</v>
      </c>
      <c r="K2" s="10" t="s">
        <v>99</v>
      </c>
      <c r="L2" s="10" t="s">
        <v>100</v>
      </c>
      <c r="M2" s="10" t="s">
        <v>101</v>
      </c>
      <c r="N2" s="11" t="s">
        <v>99</v>
      </c>
      <c r="O2" s="11" t="s">
        <v>100</v>
      </c>
      <c r="P2" s="11" t="s">
        <v>101</v>
      </c>
      <c r="Q2" s="10" t="s">
        <v>99</v>
      </c>
      <c r="R2" s="10" t="s">
        <v>100</v>
      </c>
      <c r="S2" s="10" t="s">
        <v>101</v>
      </c>
      <c r="T2" s="11" t="s">
        <v>99</v>
      </c>
      <c r="U2" s="11" t="s">
        <v>100</v>
      </c>
      <c r="V2" s="11" t="s">
        <v>101</v>
      </c>
      <c r="W2" s="10" t="s">
        <v>99</v>
      </c>
      <c r="X2" s="10" t="s">
        <v>100</v>
      </c>
      <c r="Y2" s="10" t="s">
        <v>101</v>
      </c>
      <c r="Z2" s="11" t="s">
        <v>99</v>
      </c>
      <c r="AA2" s="11" t="s">
        <v>100</v>
      </c>
      <c r="AB2" s="11" t="s">
        <v>101</v>
      </c>
      <c r="AC2" s="10" t="s">
        <v>99</v>
      </c>
      <c r="AD2" s="10" t="s">
        <v>100</v>
      </c>
      <c r="AE2" s="10" t="s">
        <v>101</v>
      </c>
      <c r="AF2" s="11" t="s">
        <v>99</v>
      </c>
      <c r="AG2" s="11" t="s">
        <v>100</v>
      </c>
      <c r="AH2" s="11" t="s">
        <v>101</v>
      </c>
      <c r="AI2" s="10" t="s">
        <v>99</v>
      </c>
      <c r="AJ2" s="10" t="s">
        <v>100</v>
      </c>
      <c r="AK2" s="10" t="s">
        <v>101</v>
      </c>
      <c r="AL2" s="11" t="s">
        <v>99</v>
      </c>
      <c r="AM2" s="11" t="s">
        <v>100</v>
      </c>
      <c r="AN2" s="11" t="s">
        <v>101</v>
      </c>
      <c r="AO2" s="10" t="s">
        <v>99</v>
      </c>
      <c r="AP2" s="10" t="s">
        <v>100</v>
      </c>
      <c r="AQ2" s="10" t="s">
        <v>101</v>
      </c>
      <c r="AR2" s="11" t="s">
        <v>99</v>
      </c>
      <c r="AS2" s="11" t="s">
        <v>100</v>
      </c>
      <c r="AT2" s="11" t="s">
        <v>101</v>
      </c>
      <c r="AU2" s="10" t="s">
        <v>99</v>
      </c>
      <c r="AV2" s="10" t="s">
        <v>100</v>
      </c>
      <c r="AW2" s="10" t="s">
        <v>101</v>
      </c>
      <c r="AX2" s="11" t="s">
        <v>99</v>
      </c>
      <c r="AY2" s="11" t="s">
        <v>100</v>
      </c>
      <c r="AZ2" s="11" t="s">
        <v>101</v>
      </c>
      <c r="BA2" s="10" t="s">
        <v>99</v>
      </c>
      <c r="BB2" s="10" t="s">
        <v>100</v>
      </c>
      <c r="BC2" s="10" t="s">
        <v>101</v>
      </c>
      <c r="BD2" s="11" t="s">
        <v>99</v>
      </c>
      <c r="BE2" s="11" t="s">
        <v>100</v>
      </c>
      <c r="BF2" s="11" t="s">
        <v>101</v>
      </c>
      <c r="BG2" s="10" t="s">
        <v>99</v>
      </c>
      <c r="BH2" s="10" t="s">
        <v>100</v>
      </c>
      <c r="BI2" s="10" t="s">
        <v>101</v>
      </c>
      <c r="BJ2" s="11" t="s">
        <v>99</v>
      </c>
      <c r="BK2" s="11" t="s">
        <v>100</v>
      </c>
      <c r="BL2" s="11" t="s">
        <v>101</v>
      </c>
      <c r="BM2" s="10" t="s">
        <v>99</v>
      </c>
      <c r="BN2" s="10" t="s">
        <v>100</v>
      </c>
      <c r="BO2" s="10" t="s">
        <v>101</v>
      </c>
      <c r="BP2" s="11" t="s">
        <v>99</v>
      </c>
      <c r="BQ2" s="11" t="s">
        <v>100</v>
      </c>
      <c r="BR2" s="11" t="s">
        <v>101</v>
      </c>
      <c r="BS2" s="10" t="s">
        <v>99</v>
      </c>
      <c r="BT2" s="10" t="s">
        <v>100</v>
      </c>
      <c r="BU2" s="10" t="s">
        <v>101</v>
      </c>
      <c r="BV2" s="11" t="s">
        <v>99</v>
      </c>
      <c r="BW2" s="11" t="s">
        <v>100</v>
      </c>
      <c r="BX2" s="11" t="s">
        <v>101</v>
      </c>
      <c r="BY2" s="10" t="s">
        <v>99</v>
      </c>
      <c r="BZ2" s="10" t="s">
        <v>100</v>
      </c>
      <c r="CA2" s="10" t="s">
        <v>101</v>
      </c>
      <c r="CB2" s="11" t="s">
        <v>99</v>
      </c>
      <c r="CC2" s="11" t="s">
        <v>100</v>
      </c>
      <c r="CD2" s="11" t="s">
        <v>101</v>
      </c>
      <c r="CE2" s="10" t="s">
        <v>99</v>
      </c>
      <c r="CF2" s="10" t="s">
        <v>100</v>
      </c>
      <c r="CG2" s="10" t="s">
        <v>101</v>
      </c>
      <c r="CH2" s="11" t="s">
        <v>99</v>
      </c>
      <c r="CI2" s="11" t="s">
        <v>100</v>
      </c>
      <c r="CJ2" s="11" t="s">
        <v>101</v>
      </c>
      <c r="CK2" s="10" t="s">
        <v>99</v>
      </c>
      <c r="CL2" s="10" t="s">
        <v>100</v>
      </c>
      <c r="CM2" s="10" t="s">
        <v>101</v>
      </c>
      <c r="CN2" s="11" t="s">
        <v>99</v>
      </c>
      <c r="CO2" s="11" t="s">
        <v>100</v>
      </c>
      <c r="CP2" s="11" t="s">
        <v>101</v>
      </c>
      <c r="CQ2" s="10" t="s">
        <v>99</v>
      </c>
      <c r="CR2" s="10" t="s">
        <v>100</v>
      </c>
      <c r="CS2" s="10" t="s">
        <v>101</v>
      </c>
      <c r="CT2" s="11" t="s">
        <v>99</v>
      </c>
      <c r="CU2" s="11" t="s">
        <v>100</v>
      </c>
      <c r="CV2" s="11" t="s">
        <v>101</v>
      </c>
      <c r="CW2" s="10" t="s">
        <v>99</v>
      </c>
      <c r="CX2" s="10" t="s">
        <v>100</v>
      </c>
      <c r="CY2" s="10" t="s">
        <v>101</v>
      </c>
      <c r="CZ2" s="11" t="s">
        <v>99</v>
      </c>
      <c r="DA2" s="11" t="s">
        <v>100</v>
      </c>
      <c r="DB2" s="11" t="s">
        <v>101</v>
      </c>
      <c r="DC2" s="10" t="s">
        <v>99</v>
      </c>
      <c r="DD2" s="10" t="s">
        <v>100</v>
      </c>
      <c r="DE2" s="10" t="s">
        <v>101</v>
      </c>
      <c r="DF2" s="11" t="s">
        <v>99</v>
      </c>
      <c r="DG2" s="11" t="s">
        <v>100</v>
      </c>
      <c r="DH2" s="11" t="s">
        <v>101</v>
      </c>
      <c r="DI2" s="10" t="s">
        <v>99</v>
      </c>
      <c r="DJ2" s="10" t="s">
        <v>100</v>
      </c>
      <c r="DK2" s="10" t="s">
        <v>101</v>
      </c>
      <c r="DL2" s="11" t="s">
        <v>99</v>
      </c>
      <c r="DM2" s="11" t="s">
        <v>100</v>
      </c>
      <c r="DN2" s="11" t="s">
        <v>101</v>
      </c>
    </row>
    <row r="3" customFormat="false" ht="15" hidden="false" customHeight="false" outlineLevel="0" collapsed="false">
      <c r="A3" s="5" t="s">
        <v>102</v>
      </c>
      <c r="B3" s="12" t="str">
        <f aca="false">IF(K3&lt;&gt;"",K3,IF(N3&lt;&gt;"",N3,IF(Q3&lt;&gt;"",Q3,IF(T3&lt;&gt;"",T3,IF(W3&lt;&gt;"",W3,IF(Z3&lt;&gt;"",Z3,IF(AC3&lt;&gt;"",AC3,IF(AF3&lt;&gt;"",AF3,IF(AI3&lt;&gt;"",AI3,IF(AL3&lt;&gt;"",AL3,IF(AO3&lt;&gt;"",AO3,IF(AR3&lt;&gt;"",AR3,""))))))))))))</f>
        <v/>
      </c>
      <c r="C3" s="12" t="n">
        <f aca="false">IF(L3&lt;&gt;"",L3,IF(O3&lt;&gt;"",O3,IF(R3&lt;&gt;"",R3,IF(U3&lt;&gt;"",U3,IF(X3&lt;&gt;"",X3,IF(AA3&lt;&gt;"",AA3,IF(AD3&lt;&gt;"",AD3,IF(AG3&lt;&gt;"",AG3,IF(AJ3&lt;&gt;"",AJ3,IF(AM3&lt;&gt;"",AM3,IF(AP3&lt;&gt;"",AP3,IF(AS3&lt;&gt;"",AS3,""))))))))))))</f>
        <v>2382997.26275961</v>
      </c>
      <c r="D3" s="12" t="n">
        <f aca="false">IF(M3&lt;&gt;"",M3,IF(P3&lt;&gt;"",P3,IF(S3&lt;&gt;"",S3,IF(V3&lt;&gt;"",V3,IF(Y3&lt;&gt;"",Y3,IF(AB3&lt;&gt;"",AB3,IF(AE3&lt;&gt;"",AE3,IF(AH3&lt;&gt;"",AH3,IF(AK3&lt;&gt;"",AK3,IF(AN3&lt;&gt;"",AN3,IF(AQ3&lt;&gt;"",AQ3,IF(AT3&lt;&gt;"",AT3,""))))))))))))</f>
        <v>2356950.906</v>
      </c>
      <c r="E3" s="13" t="str">
        <f aca="false">IF(AU3&lt;&gt;"",AU3,IF(AX3&lt;&gt;"",AX3,IF(BA3&lt;&gt;"",BA3,IF(BD3&lt;&gt;"",BD3,IF(BG3&lt;&gt;"",BG3,IF(BJ3&lt;&gt;"",BJ3,IF(BM3&lt;&gt;"",BM3,IF(BP3&lt;&gt;"",BP3,IF(BS3&lt;&gt;"",BS3,IF(BV3&lt;&gt;"",BV3,IF(BY3&lt;&gt;"",BY3,IF(CB3&lt;&gt;"",CB3,""))))))))))))</f>
        <v/>
      </c>
      <c r="F3" s="13" t="n">
        <f aca="false">IF(AV3&lt;&gt;"",AV3,IF(AY3&lt;&gt;"",AY3,IF(BB3&lt;&gt;"",BB3,IF(BE3&lt;&gt;"",BE3,IF(BH3&lt;&gt;"",BH3,IF(BK3&lt;&gt;"",BK3,IF(BN3&lt;&gt;"",BN3,IF(BQ3&lt;&gt;"",BQ3,IF(BT3&lt;&gt;"",BT3,IF(BW3&lt;&gt;"",BW3,IF(BZ3&lt;&gt;"",BZ3,IF(CC3&lt;&gt;"",CC3,""))))))))))))</f>
        <v>1748219.66210855</v>
      </c>
      <c r="G3" s="13" t="n">
        <f aca="false">IF(AW3&lt;&gt;"",AW3,IF(AZ3&lt;&gt;"",AZ3,IF(BC3&lt;&gt;"",BC3,IF(BF3&lt;&gt;"",BF3,IF(BI3&lt;&gt;"",BI3,IF(BL3&lt;&gt;"",BL3,IF(BO3&lt;&gt;"",BO3,IF(BR3&lt;&gt;"",BR3,IF(BU3&lt;&gt;"",BU3,IF(BX3&lt;&gt;"",BX3,IF(CA3&lt;&gt;"",CA3,IF(CD3&lt;&gt;"",CD3,""))))))))))))</f>
        <v>1721739.191</v>
      </c>
      <c r="H3" s="12" t="n">
        <f aca="false">IF(CE3&lt;&gt;"",CE3,IF(CH3&lt;&gt;"",CH3,IF(CK3&lt;&gt;"",CK3,IF(CN3&lt;&gt;"",CN3,IF(CQ3&lt;&gt;"",CQ3,IF(CT3&lt;&gt;"",CT3,IF(CW3&lt;&gt;"",CW3,IF(CZ3&lt;&gt;"",CZ3,IF(DC3&lt;&gt;"",DC3,IF(DF3&lt;&gt;"",DF3,IF(DI3&lt;&gt;"",DI3,IF(DL3&lt;&gt;"",DL3,""))))))))))))</f>
        <v>1037575.4476564</v>
      </c>
      <c r="I3" s="12" t="n">
        <f aca="false">IF(CF3&lt;&gt;"",CF3,IF(CI3&lt;&gt;"",CI3,IF(CL3&lt;&gt;"",CL3,IF(CO3&lt;&gt;"",CO3,IF(CR3&lt;&gt;"",CR3,IF(CU3&lt;&gt;"",CU3,IF(CX3&lt;&gt;"",CX3,IF(DA3&lt;&gt;"",DA3,IF(DD3&lt;&gt;"",DD3,IF(DG3&lt;&gt;"",DG3,IF(DJ3&lt;&gt;"",DJ3,IF(DM3&lt;&gt;"",DM3,""))))))))))))</f>
        <v>1310605.83472651</v>
      </c>
      <c r="J3" s="12" t="n">
        <f aca="false">IF(CG3&lt;&gt;"",CG3,IF(CJ3&lt;&gt;"",CJ3,IF(CM3&lt;&gt;"",CM3,IF(CP3&lt;&gt;"",CP3,IF(CS3&lt;&gt;"",CS3,IF(CV3&lt;&gt;"",CV3,IF(CY3&lt;&gt;"",CY3,IF(DB3&lt;&gt;"",DB3,IF(DE3&lt;&gt;"",DE3,IF(DH3&lt;&gt;"",DH3,IF(DK3&lt;&gt;"",DK3,IF(DN3&lt;&gt;"",DN3,""))))))))))))</f>
        <v>1284099.945</v>
      </c>
      <c r="K3" s="13" t="str">
        <f aca="false">IF(COUNT(Summary!N6)=1,Summary!N6,"")</f>
        <v/>
      </c>
      <c r="L3" s="13" t="n">
        <f aca="false">Summary!O6</f>
        <v>2382997.26275961</v>
      </c>
      <c r="M3" s="13" t="n">
        <f aca="false">Summary!P6</f>
        <v>2356950.906</v>
      </c>
      <c r="N3" s="12" t="str">
        <f aca="false">IF(COUNT(Summary!Q6)=1,Summary!Q6,"")</f>
        <v/>
      </c>
      <c r="O3" s="12" t="n">
        <f aca="false">Summary!R6</f>
        <v>2324352.76622078</v>
      </c>
      <c r="P3" s="12" t="n">
        <f aca="false">Summary!S6</f>
        <v>2298273.858</v>
      </c>
      <c r="Q3" s="13" t="str">
        <f aca="false">IF(COUNT(Summary!T6)=1,Summary!T6,"")</f>
        <v/>
      </c>
      <c r="R3" s="13" t="n">
        <f aca="false">Summary!U6</f>
        <v>2266210.69868097</v>
      </c>
      <c r="S3" s="13" t="n">
        <f aca="false">Summary!V6</f>
        <v>2240098.86</v>
      </c>
      <c r="T3" s="12" t="str">
        <f aca="false">IF(COUNT(Summary!W6)=1,Summary!W6,"")</f>
        <v/>
      </c>
      <c r="U3" s="12" t="n">
        <f aca="false">Summary!X6</f>
        <v>2208501.55491807</v>
      </c>
      <c r="V3" s="12" t="n">
        <f aca="false">Summary!Y6</f>
        <v>2182357.052</v>
      </c>
      <c r="W3" s="13" t="str">
        <f aca="false">IF(COUNT(Summary!Z6)=1,Summary!Z6,"")</f>
        <v/>
      </c>
      <c r="X3" s="13" t="n">
        <f aca="false">Summary!AA6</f>
        <v>2151224.33343859</v>
      </c>
      <c r="Y3" s="13" t="n">
        <f aca="false">Summary!AB6</f>
        <v>2125047.439</v>
      </c>
      <c r="Z3" s="12" t="str">
        <f aca="false">IF(COUNT(Summary!AC6)=1,Summary!AC6,"")</f>
        <v/>
      </c>
      <c r="AA3" s="12" t="n">
        <f aca="false">Summary!AD6</f>
        <v>2094444.63942965</v>
      </c>
      <c r="AB3" s="12" t="n">
        <f aca="false">Summary!AE6</f>
        <v>2068234.942</v>
      </c>
      <c r="AC3" s="13" t="str">
        <f aca="false">IF(COUNT(Summary!AF6)=1,Summary!AF6,"")</f>
        <v/>
      </c>
      <c r="AD3" s="13" t="n">
        <f aca="false">Summary!AG6</f>
        <v>2038095.83632833</v>
      </c>
      <c r="AE3" s="13" t="n">
        <f aca="false">Summary!AH6</f>
        <v>2011853.599</v>
      </c>
      <c r="AF3" s="12" t="str">
        <f aca="false">IF(COUNT(Summary!AI6)=1,Summary!AI6,"")</f>
        <v/>
      </c>
      <c r="AG3" s="12" t="n">
        <f aca="false">Summary!AJ6</f>
        <v>1982242.71847953</v>
      </c>
      <c r="AH3" s="12" t="n">
        <f aca="false">Summary!AK6</f>
        <v>1955967.485</v>
      </c>
      <c r="AI3" s="13" t="str">
        <f aca="false">IF(COUNT(Summary!AL6)=1,Summary!AL6,"")</f>
        <v/>
      </c>
      <c r="AJ3" s="13" t="n">
        <f aca="false">Summary!AM6</f>
        <v>1926883.28803952</v>
      </c>
      <c r="AK3" s="13" t="n">
        <f aca="false">Summary!AN6</f>
        <v>1900574.578</v>
      </c>
      <c r="AL3" s="12" t="str">
        <f aca="false">IF(COUNT(Summary!AO6)=1,Summary!AO6,"")</f>
        <v/>
      </c>
      <c r="AM3" s="12" t="n">
        <f aca="false">Summary!AP6</f>
        <v>1871950.48663577</v>
      </c>
      <c r="AN3" s="12" t="n">
        <f aca="false">Summary!AQ6</f>
        <v>1845608.557</v>
      </c>
      <c r="AO3" s="13" t="str">
        <f aca="false">IF(COUNT(Summary!AR6)=1,Summary!AR6,"")</f>
        <v/>
      </c>
      <c r="AP3" s="13" t="n">
        <f aca="false">Summary!AS6</f>
        <v>1830431.02476958</v>
      </c>
      <c r="AQ3" s="13" t="n">
        <f aca="false">Summary!AT6</f>
        <v>1804020.957</v>
      </c>
      <c r="AR3" s="12" t="str">
        <f aca="false">IF(COUNT(Summary!AU6)=1,Summary!AU6,"")</f>
        <v/>
      </c>
      <c r="AS3" s="12" t="n">
        <f aca="false">Summary!AV6</f>
        <v>1789165.55188105</v>
      </c>
      <c r="AT3" s="12" t="n">
        <f aca="false">Summary!AW6</f>
        <v>1762752.248</v>
      </c>
      <c r="AU3" s="13" t="str">
        <f aca="false">IF(COUNT(Summary!AX6)=1,Summary!AX6,"")</f>
        <v/>
      </c>
      <c r="AV3" s="13" t="n">
        <f aca="false">Summary!AY6</f>
        <v>1748219.66210855</v>
      </c>
      <c r="AW3" s="13" t="n">
        <f aca="false">Summary!AZ6</f>
        <v>1721739.191</v>
      </c>
      <c r="AX3" s="12" t="str">
        <f aca="false">IF(COUNT(Summary!BA6)=1,Summary!BA6,"")</f>
        <v/>
      </c>
      <c r="AY3" s="12" t="n">
        <f aca="false">Summary!BB6</f>
        <v>1707528.12090369</v>
      </c>
      <c r="AZ3" s="12" t="n">
        <f aca="false">Summary!BC6</f>
        <v>1681044.513</v>
      </c>
      <c r="BA3" s="13" t="str">
        <f aca="false">IF(COUNT(Summary!BD6)=1,Summary!BD6,"")</f>
        <v/>
      </c>
      <c r="BB3" s="13" t="n">
        <f aca="false">Summary!BE6</f>
        <v>1667154.08014186</v>
      </c>
      <c r="BC3" s="13" t="n">
        <f aca="false">Summary!BF6</f>
        <v>1640666.867</v>
      </c>
      <c r="BD3" s="12" t="str">
        <f aca="false">IF(COUNT(Summary!BG6)=1,Summary!BG6,"")</f>
        <v/>
      </c>
      <c r="BE3" s="12" t="n">
        <f aca="false">Summary!BH6</f>
        <v>1627033.10606109</v>
      </c>
      <c r="BF3" s="12" t="n">
        <f aca="false">Summary!BI6</f>
        <v>1600542.669</v>
      </c>
      <c r="BG3" s="13" t="str">
        <f aca="false">IF(COUNT(Summary!BJ6)=1,Summary!BJ6,"")</f>
        <v/>
      </c>
      <c r="BH3" s="13" t="n">
        <f aca="false">Summary!BK6</f>
        <v>1587227.55144917</v>
      </c>
      <c r="BI3" s="13" t="n">
        <f aca="false">Summary!BL6</f>
        <v>1560733.403</v>
      </c>
      <c r="BJ3" s="12" t="str">
        <f aca="false">IF(COUNT(Summary!BM6)=1,Summary!BM6,"")</f>
        <v/>
      </c>
      <c r="BK3" s="12" t="n">
        <f aca="false">Summary!BN6</f>
        <v>1547673.79705404</v>
      </c>
      <c r="BL3" s="12" t="n">
        <f aca="false">Summary!BO6</f>
        <v>1521176.333</v>
      </c>
      <c r="BM3" s="13" t="str">
        <f aca="false">IF(COUNT(Summary!BP6)=1,Summary!BP6,"")</f>
        <v/>
      </c>
      <c r="BN3" s="13" t="n">
        <f aca="false">Summary!BQ6</f>
        <v>1508391.50096901</v>
      </c>
      <c r="BO3" s="13" t="n">
        <f aca="false">Summary!BR6</f>
        <v>1481890.212</v>
      </c>
      <c r="BP3" s="12" t="str">
        <f aca="false">IF(COUNT(Summary!BS6)=1,Summary!BS6,"")</f>
        <v/>
      </c>
      <c r="BQ3" s="12" t="n">
        <f aca="false">Summary!BT6</f>
        <v>1469379.44274868</v>
      </c>
      <c r="BR3" s="12" t="n">
        <f aca="false">Summary!BU6</f>
        <v>1442873.802</v>
      </c>
      <c r="BS3" s="13" t="str">
        <f aca="false">IF(COUNT(Summary!BV6)=1,Summary!BV6,"")</f>
        <v/>
      </c>
      <c r="BT3" s="13" t="n">
        <f aca="false">Summary!BW6</f>
        <v>1430576.9418171</v>
      </c>
      <c r="BU3" s="13" t="n">
        <f aca="false">Summary!BX6</f>
        <v>1404067.34</v>
      </c>
      <c r="BV3" s="12" t="str">
        <f aca="false">IF(COUNT(Summary!BY6)=1,Summary!BY6,"")</f>
        <v/>
      </c>
      <c r="BW3" s="12" t="n">
        <f aca="false">Summary!BZ6</f>
        <v>1392044.4317137</v>
      </c>
      <c r="BX3" s="12" t="n">
        <f aca="false">Summary!CA6</f>
        <v>1365530.294</v>
      </c>
      <c r="BY3" s="13" t="str">
        <f aca="false">IF(COUNT(Summary!CB6)=1,Summary!CB6,"")</f>
        <v/>
      </c>
      <c r="BZ3" s="13" t="n">
        <f aca="false">Summary!CC6</f>
        <v>1364744.10633544</v>
      </c>
      <c r="CA3" s="13" t="n">
        <f aca="false">Summary!CD6</f>
        <v>1338252.8</v>
      </c>
      <c r="CB3" s="12" t="str">
        <f aca="false">IF(COUNT(Summary!CE6)=1,Summary!CE6,"")</f>
        <v/>
      </c>
      <c r="CC3" s="12" t="n">
        <f aca="false">Summary!CF6</f>
        <v>1337598.15018913</v>
      </c>
      <c r="CD3" s="12" t="n">
        <f aca="false">Summary!CG6</f>
        <v>1311129.236</v>
      </c>
      <c r="CE3" s="13" t="str">
        <f aca="false">IF(COUNT(Summary!CH6)=1,Summary!CH6,"")</f>
        <v/>
      </c>
      <c r="CF3" s="13" t="n">
        <f aca="false">Summary!CI6</f>
        <v>1310605.83472651</v>
      </c>
      <c r="CG3" s="13" t="n">
        <f aca="false">Summary!CJ6</f>
        <v>1284099.945</v>
      </c>
      <c r="CH3" s="12" t="str">
        <f aca="false">IF(COUNT(Summary!CK6)=1,Summary!CK6,"")</f>
        <v/>
      </c>
      <c r="CI3" s="12" t="n">
        <f aca="false">Summary!CL6</f>
        <v>1283706.9185022</v>
      </c>
      <c r="CJ3" s="12" t="n">
        <f aca="false">Summary!CM6</f>
        <v>1257223.726</v>
      </c>
      <c r="CK3" s="13" t="str">
        <f aca="false">IF(COUNT(Summary!CN6)=1,Summary!CN6,"")</f>
        <v/>
      </c>
      <c r="CL3" s="13" t="n">
        <f aca="false">Summary!CO6</f>
        <v>1256960.78831946</v>
      </c>
      <c r="CM3" s="13" t="n">
        <f aca="false">Summary!CP6</f>
        <v>1230499.836</v>
      </c>
      <c r="CN3" s="12" t="str">
        <f aca="false">IF(COUNT(Summary!CQ6)=1,Summary!CQ6,"")</f>
        <v/>
      </c>
      <c r="CO3" s="12" t="n">
        <f aca="false">Summary!CR6</f>
        <v>1230366.70847815</v>
      </c>
      <c r="CP3" s="12" t="n">
        <f aca="false">Summary!CS6</f>
        <v>1203869.999</v>
      </c>
      <c r="CQ3" s="13" t="str">
        <f aca="false">IF(COUNT(Summary!CT6)=1,Summary!CT6,"")</f>
        <v/>
      </c>
      <c r="CR3" s="13" t="n">
        <f aca="false">Summary!CU6</f>
        <v>1203865.78790022</v>
      </c>
      <c r="CS3" s="13" t="n">
        <f aca="false">Summary!CV6</f>
        <v>1177391.632</v>
      </c>
      <c r="CT3" s="12" t="str">
        <f aca="false">IF(COUNT(Summary!CW6)=1,Summary!CW6,"")</f>
        <v/>
      </c>
      <c r="CU3" s="12" t="n">
        <f aca="false">Summary!CX6</f>
        <v>1177516.06136902</v>
      </c>
      <c r="CV3" s="12" t="n">
        <f aca="false">Summary!CY6</f>
        <v>1151063.985</v>
      </c>
      <c r="CW3" s="13" t="str">
        <f aca="false">IF(COUNT(Summary!CZ6)=1,Summary!CZ6,"")</f>
        <v/>
      </c>
      <c r="CX3" s="13" t="n">
        <f aca="false">Summary!DA6</f>
        <v>1151316.78440544</v>
      </c>
      <c r="CY3" s="13" t="n">
        <f aca="false">Summary!DB6</f>
        <v>1124830.219</v>
      </c>
      <c r="CZ3" s="12" t="str">
        <f aca="false">IF(COUNT(Summary!DC6)=1,Summary!DC6,"")</f>
        <v/>
      </c>
      <c r="DA3" s="12" t="n">
        <f aca="false">Summary!DD6</f>
        <v>1125211.94154308</v>
      </c>
      <c r="DB3" s="12" t="n">
        <f aca="false">Summary!DE6</f>
        <v>1098747.754</v>
      </c>
      <c r="DC3" s="13" t="str">
        <f aca="false">IF(COUNT(Summary!DF6)=1,Summary!DF6,"")</f>
        <v/>
      </c>
      <c r="DD3" s="13" t="n">
        <f aca="false">Summary!DG6</f>
        <v>1086062.34875488</v>
      </c>
      <c r="DE3" s="13" t="n">
        <f aca="false">Summary!DH6</f>
        <v>1049966.122</v>
      </c>
      <c r="DF3" s="12" t="n">
        <f aca="false">IF(COUNT(Summary!DI6)=1,Summary!DI6,"")</f>
        <v>1037575.4476564</v>
      </c>
      <c r="DG3" s="12" t="n">
        <f aca="false">Summary!DJ6</f>
        <v>1037575.4476564</v>
      </c>
      <c r="DH3" s="12" t="n">
        <f aca="false">Summary!DK6</f>
        <v>1001538.478</v>
      </c>
      <c r="DI3" s="13" t="n">
        <f aca="false">IF(COUNT(Summary!DL6)=1,Summary!DL6,"")</f>
        <v>1021542</v>
      </c>
      <c r="DJ3" s="13" t="n">
        <f aca="false">Summary!DM6</f>
        <v>1021542</v>
      </c>
      <c r="DK3" s="13" t="n">
        <f aca="false">Summary!DN6</f>
        <v>998742</v>
      </c>
      <c r="DL3" s="12" t="n">
        <f aca="false">IF(COUNT(Finance!$DL$63)=1,Finance!$DL$63,"")</f>
        <v>996000</v>
      </c>
      <c r="DM3" s="12" t="n">
        <f aca="false">Finance!$DL$63</f>
        <v>996000</v>
      </c>
      <c r="DN3" s="12" t="n">
        <f aca="false">Finance!$DL$63</f>
        <v>996000</v>
      </c>
    </row>
    <row r="4" customFormat="false" ht="15" hidden="false" customHeight="false" outlineLevel="0" collapsed="false">
      <c r="A4" s="17" t="s">
        <v>206</v>
      </c>
      <c r="B4" s="106" t="str">
        <f aca="false">IF(SUM(AR3,AO3,AL3,AI3,AF3,AC3,Z3,W3,T3,Q3,N3,K3)=0,"",SUM(AR5,AO5,AL5,AI5,AF5,AC5,Z5,W5,T5,Q5,N5,K5)/SUM(AR3,AO3,AL3,AI3,AF3,AC3,Z3,W3,T3,Q3,N3,K3))</f>
        <v/>
      </c>
      <c r="C4" s="106" t="n">
        <f aca="false">IF(SUM(AS3,AP3,AM3,AJ3,AG3,AD3,AA3,X3,U3,R3,O3,L3)=0,"",SUM(AS5,AP5,AM5,AJ5,AG5,AD5,AA5,X5,U5,R5,O5,L5)/SUM(AS3,AP3,AM3,AJ3,AG3,AD3,AA3,X3,U3,R3,O3,L3))</f>
        <v>0.012</v>
      </c>
      <c r="D4" s="106" t="n">
        <f aca="false">IF(SUM(AT3,AQ3,AN3,AK3,AH3,AE3,AB3,Y3,V3,S3,P3,M3)=0,"",SUM(AT5,AQ5,AN5,AK5,AH5,AE5,AB5,Y5,V5,S5,P5,M5)/SUM(AT3,AQ3,AN3,AK3,AH3,AE3,AB3,Y3,V3,S3,P3,M3))</f>
        <v>0.012</v>
      </c>
      <c r="E4" s="107" t="str">
        <f aca="false">IF(SUM(CB3,BY3,BV3,BS3,BP3,BM3,BJ3,BG3,BD3,BA3,AX3,AU3)=0,"",SUM(CB5,BY5,BV5,BS5,BP5,BM5,BJ5,BG5,BD5,BA5,AX5,AU5)/SUM(CB3,BY3,BV3,BS3,BP3,BM3,BJ3,BG3,BD3,BA3,AX3,AU3))</f>
        <v/>
      </c>
      <c r="F4" s="107" t="n">
        <f aca="false">IF(SUM(CC3,BZ3,BW3,BT3,BQ3,BN3,BK3,BH3,BE3,BB3,AY3,AV3)=0,"",SUM(CC5,BZ5,BW5,BT5,BQ5,BN5,BK5,BH5,BE5,BB5,AY5,AV5)/SUM(CC3,BZ3,BW3,BT3,BQ3,BN3,BK3,BH3,BE3,BB3,AY3,AV3))</f>
        <v>0.012</v>
      </c>
      <c r="G4" s="107" t="n">
        <f aca="false">IF(SUM(CD3,CA3,BX3,BU3,BR3,BO3,BL3,BI3,BF3,BC3,AZ3,AW3)=0,"",SUM(CD5,CA5,BX5,BU5,BR5,BO5,BL5,BI5,BF5,BC5,AZ5,AW5)/SUM(CD3,CA3,BX3,BU3,BR3,BO3,BL3,BI3,BF3,BC3,AZ3,AW3))</f>
        <v>0.012</v>
      </c>
      <c r="H4" s="106" t="n">
        <f aca="false">IF(SUM(DL3,DI3,DF3,DC3,CZ3,CW3,CT3,CQ3,CN3,CK3,CH3,CE3)=0,"",SUM(DL5,DI5,DF5,DC5,CZ5,CW5,CT5,CQ5,CN5,CK5,CH5,CE5)/SUM(DL3,DI3,DF3,DC3,CZ3,CW3,CT3,CQ3,CN3,CK3,CH3,CE3))</f>
        <v>0.00792457390421178</v>
      </c>
      <c r="I4" s="106" t="n">
        <f aca="false">IF(SUM(DM3,DJ3,DG3,DD3,DA3,CX3,CU3,CR3,CO3,CL3,CI3,CF3)=0,"",SUM(DM5,DJ5,DG5,DD5,DA5,CX5,CU5,CR5,CO5,CL5,CI5,CF5)/SUM(DM3,DJ3,DG3,DD3,DA3,CX3,CU3,CR3,CO3,CL3,CI3,CF3))</f>
        <v>0.012</v>
      </c>
      <c r="J4" s="106" t="n">
        <f aca="false">IF(SUM(DN3,DK3,DH3,DE3,DB3,CY3,CV3,CS3,CP3,CM3,CJ3,CG3)=0,"",SUM(DN5,DK5,DH5,DE5,DB5,CY5,CV5,CS5,CP5,CM5,CJ5,CG5)/SUM(DN3,DK3,DH3,DE3,DB3,CY3,CV3,CS3,CP3,CM3,CJ3,CG3))</f>
        <v>0.012</v>
      </c>
      <c r="K4" s="108"/>
      <c r="L4" s="107" t="n">
        <f aca="false">IF('Cash Drivers'!L$26,'Customer Success'!K4,'Customer Success'!M4)</f>
        <v>0.012</v>
      </c>
      <c r="M4" s="109" t="n">
        <v>0.012</v>
      </c>
      <c r="N4" s="110"/>
      <c r="O4" s="106" t="n">
        <f aca="false">IF('Cash Drivers'!O$26,'Customer Success'!N4,'Customer Success'!P4)</f>
        <v>0.012</v>
      </c>
      <c r="P4" s="111" t="n">
        <v>0.012</v>
      </c>
      <c r="Q4" s="108"/>
      <c r="R4" s="107" t="n">
        <f aca="false">IF('Cash Drivers'!R$26,'Customer Success'!Q4,'Customer Success'!S4)</f>
        <v>0.012</v>
      </c>
      <c r="S4" s="109" t="n">
        <v>0.012</v>
      </c>
      <c r="T4" s="110"/>
      <c r="U4" s="106" t="n">
        <f aca="false">IF('Cash Drivers'!U$26,'Customer Success'!T4,'Customer Success'!V4)</f>
        <v>0.012</v>
      </c>
      <c r="V4" s="111" t="n">
        <v>0.012</v>
      </c>
      <c r="W4" s="108"/>
      <c r="X4" s="107" t="n">
        <f aca="false">IF('Cash Drivers'!X$26,'Customer Success'!W4,'Customer Success'!Y4)</f>
        <v>0.012</v>
      </c>
      <c r="Y4" s="109" t="n">
        <v>0.012</v>
      </c>
      <c r="Z4" s="110"/>
      <c r="AA4" s="106" t="n">
        <f aca="false">IF('Cash Drivers'!AA$26,'Customer Success'!Z4,'Customer Success'!AB4)</f>
        <v>0.012</v>
      </c>
      <c r="AB4" s="111" t="n">
        <v>0.012</v>
      </c>
      <c r="AC4" s="108"/>
      <c r="AD4" s="107" t="n">
        <f aca="false">IF('Cash Drivers'!AD$26,'Customer Success'!AC4,'Customer Success'!AE4)</f>
        <v>0.012</v>
      </c>
      <c r="AE4" s="109" t="n">
        <v>0.012</v>
      </c>
      <c r="AF4" s="110"/>
      <c r="AG4" s="106" t="n">
        <f aca="false">IF('Cash Drivers'!AG$26,'Customer Success'!AF4,'Customer Success'!AH4)</f>
        <v>0.012</v>
      </c>
      <c r="AH4" s="111" t="n">
        <v>0.012</v>
      </c>
      <c r="AI4" s="108"/>
      <c r="AJ4" s="107" t="n">
        <f aca="false">IF('Cash Drivers'!AJ$26,'Customer Success'!AI4,'Customer Success'!AK4)</f>
        <v>0.012</v>
      </c>
      <c r="AK4" s="109" t="n">
        <v>0.012</v>
      </c>
      <c r="AL4" s="110"/>
      <c r="AM4" s="106" t="n">
        <f aca="false">IF('Cash Drivers'!AM$26,'Customer Success'!AL4,'Customer Success'!AN4)</f>
        <v>0.012</v>
      </c>
      <c r="AN4" s="111" t="n">
        <v>0.012</v>
      </c>
      <c r="AO4" s="108"/>
      <c r="AP4" s="107" t="n">
        <f aca="false">IF('Cash Drivers'!AP$26,'Customer Success'!AO4,'Customer Success'!AQ4)</f>
        <v>0.012</v>
      </c>
      <c r="AQ4" s="109" t="n">
        <v>0.012</v>
      </c>
      <c r="AR4" s="110"/>
      <c r="AS4" s="106" t="n">
        <f aca="false">IF('Cash Drivers'!AS$26,'Customer Success'!AR4,'Customer Success'!AT4)</f>
        <v>0.012</v>
      </c>
      <c r="AT4" s="111" t="n">
        <v>0.012</v>
      </c>
      <c r="AU4" s="108"/>
      <c r="AV4" s="107" t="n">
        <f aca="false">IF('Cash Drivers'!AV$26,'Customer Success'!AU4,'Customer Success'!AW4)</f>
        <v>0.012</v>
      </c>
      <c r="AW4" s="109" t="n">
        <v>0.012</v>
      </c>
      <c r="AX4" s="110"/>
      <c r="AY4" s="106" t="n">
        <f aca="false">IF('Cash Drivers'!AY$26,'Customer Success'!AX4,'Customer Success'!AZ4)</f>
        <v>0.012</v>
      </c>
      <c r="AZ4" s="111" t="n">
        <v>0.012</v>
      </c>
      <c r="BA4" s="108"/>
      <c r="BB4" s="107" t="n">
        <f aca="false">IF('Cash Drivers'!BB$26,'Customer Success'!BA4,'Customer Success'!BC4)</f>
        <v>0.012</v>
      </c>
      <c r="BC4" s="109" t="n">
        <v>0.012</v>
      </c>
      <c r="BD4" s="110"/>
      <c r="BE4" s="106" t="n">
        <f aca="false">IF('Cash Drivers'!BE$26,'Customer Success'!BD4,'Customer Success'!BF4)</f>
        <v>0.012</v>
      </c>
      <c r="BF4" s="111" t="n">
        <v>0.012</v>
      </c>
      <c r="BG4" s="108"/>
      <c r="BH4" s="107" t="n">
        <f aca="false">IF('Cash Drivers'!BH$26,'Customer Success'!BG4,'Customer Success'!BI4)</f>
        <v>0.012</v>
      </c>
      <c r="BI4" s="109" t="n">
        <v>0.012</v>
      </c>
      <c r="BJ4" s="110"/>
      <c r="BK4" s="106" t="n">
        <f aca="false">IF('Cash Drivers'!BK$26,'Customer Success'!BJ4,'Customer Success'!BL4)</f>
        <v>0.012</v>
      </c>
      <c r="BL4" s="111" t="n">
        <v>0.012</v>
      </c>
      <c r="BM4" s="108"/>
      <c r="BN4" s="107" t="n">
        <f aca="false">IF('Cash Drivers'!BN$26,'Customer Success'!BM4,'Customer Success'!BO4)</f>
        <v>0.012</v>
      </c>
      <c r="BO4" s="109" t="n">
        <v>0.012</v>
      </c>
      <c r="BP4" s="110"/>
      <c r="BQ4" s="106" t="n">
        <f aca="false">IF('Cash Drivers'!BQ$26,'Customer Success'!BP4,'Customer Success'!BR4)</f>
        <v>0.012</v>
      </c>
      <c r="BR4" s="111" t="n">
        <v>0.012</v>
      </c>
      <c r="BS4" s="108"/>
      <c r="BT4" s="107" t="n">
        <f aca="false">IF('Cash Drivers'!BT$26,'Customer Success'!BS4,'Customer Success'!BU4)</f>
        <v>0.012</v>
      </c>
      <c r="BU4" s="109" t="n">
        <v>0.012</v>
      </c>
      <c r="BV4" s="110"/>
      <c r="BW4" s="106" t="n">
        <f aca="false">IF('Cash Drivers'!BW$26,'Customer Success'!BV4,'Customer Success'!BX4)</f>
        <v>0.012</v>
      </c>
      <c r="BX4" s="111" t="n">
        <v>0.012</v>
      </c>
      <c r="BY4" s="108"/>
      <c r="BZ4" s="107" t="n">
        <f aca="false">IF('Cash Drivers'!BZ$26,'Customer Success'!BY4,'Customer Success'!CA4)</f>
        <v>0.012</v>
      </c>
      <c r="CA4" s="109" t="n">
        <v>0.012</v>
      </c>
      <c r="CB4" s="110"/>
      <c r="CC4" s="106" t="n">
        <f aca="false">IF('Cash Drivers'!CC$26,'Customer Success'!CB4,'Customer Success'!CD4)</f>
        <v>0.012</v>
      </c>
      <c r="CD4" s="111" t="n">
        <v>0.012</v>
      </c>
      <c r="CE4" s="108"/>
      <c r="CF4" s="107" t="n">
        <f aca="false">IF('Cash Drivers'!CF$26,'Customer Success'!CE4,'Customer Success'!CG4)</f>
        <v>0.012</v>
      </c>
      <c r="CG4" s="109" t="n">
        <v>0.012</v>
      </c>
      <c r="CH4" s="110"/>
      <c r="CI4" s="106" t="n">
        <f aca="false">IF('Cash Drivers'!CI$26,'Customer Success'!CH4,'Customer Success'!CJ4)</f>
        <v>0.012</v>
      </c>
      <c r="CJ4" s="111" t="n">
        <v>0.012</v>
      </c>
      <c r="CK4" s="108"/>
      <c r="CL4" s="107" t="n">
        <f aca="false">IF('Cash Drivers'!CL$26,'Customer Success'!CK4,'Customer Success'!CM4)</f>
        <v>0.012</v>
      </c>
      <c r="CM4" s="109" t="n">
        <v>0.012</v>
      </c>
      <c r="CN4" s="110"/>
      <c r="CO4" s="106" t="n">
        <f aca="false">IF('Cash Drivers'!CO$26,'Customer Success'!CN4,'Customer Success'!CP4)</f>
        <v>0.012</v>
      </c>
      <c r="CP4" s="111" t="n">
        <v>0.012</v>
      </c>
      <c r="CQ4" s="108"/>
      <c r="CR4" s="107" t="n">
        <f aca="false">IF('Cash Drivers'!CR$26,'Customer Success'!CQ4,'Customer Success'!CS4)</f>
        <v>0.012</v>
      </c>
      <c r="CS4" s="109" t="n">
        <v>0.012</v>
      </c>
      <c r="CT4" s="110"/>
      <c r="CU4" s="106" t="n">
        <f aca="false">IF('Cash Drivers'!CU$26,'Customer Success'!CT4,'Customer Success'!CV4)</f>
        <v>0.012</v>
      </c>
      <c r="CV4" s="111" t="n">
        <v>0.012</v>
      </c>
      <c r="CW4" s="108"/>
      <c r="CX4" s="107" t="n">
        <f aca="false">IF('Cash Drivers'!CX$26,'Customer Success'!CW4,'Customer Success'!CY4)</f>
        <v>0.012</v>
      </c>
      <c r="CY4" s="109" t="n">
        <v>0.012</v>
      </c>
      <c r="CZ4" s="110"/>
      <c r="DA4" s="106" t="n">
        <f aca="false">IF('Cash Drivers'!DA$26,'Customer Success'!CZ4,'Customer Success'!DB4)</f>
        <v>0.012</v>
      </c>
      <c r="DB4" s="111" t="n">
        <v>0.012</v>
      </c>
      <c r="DC4" s="108"/>
      <c r="DD4" s="107" t="n">
        <f aca="false">IF('Cash Drivers'!DD$26,'Customer Success'!DC4,'Customer Success'!DE4)</f>
        <v>0.012</v>
      </c>
      <c r="DE4" s="109" t="n">
        <v>0.012</v>
      </c>
      <c r="DF4" s="110"/>
      <c r="DG4" s="106" t="n">
        <f aca="false">IF('Cash Drivers'!DG$26,'Customer Success'!DF4,'Customer Success'!DH4)</f>
        <v>0.012</v>
      </c>
      <c r="DH4" s="111" t="n">
        <v>0.012</v>
      </c>
      <c r="DI4" s="109" t="n">
        <v>0.012</v>
      </c>
      <c r="DJ4" s="107" t="n">
        <f aca="false">IF('Cash Drivers'!DJ$26,'Customer Success'!DI4,'Customer Success'!DK4)</f>
        <v>0.012</v>
      </c>
      <c r="DK4" s="109" t="n">
        <v>0.012</v>
      </c>
      <c r="DL4" s="111" t="n">
        <v>0.012</v>
      </c>
      <c r="DM4" s="106" t="n">
        <f aca="false">IF('Cash Drivers'!DM$26,'Customer Success'!DL4,'Customer Success'!DN4)</f>
        <v>0.012</v>
      </c>
      <c r="DN4" s="111" t="n">
        <v>0.012</v>
      </c>
    </row>
    <row r="5" customFormat="false" ht="15" hidden="false" customHeight="false" outlineLevel="0" collapsed="false">
      <c r="A5" s="5" t="s">
        <v>207</v>
      </c>
      <c r="B5" s="12" t="str">
        <f aca="false">IF(COUNT(AR5,AO5,AL5,AI5,AF5,AC5,Z5,W5,T5,Q5,N5,K5)=0,"",SUM(AR5,AO5,AL5,AI5,AF5,AC5,Z5,W5,T5,Q5,N5,K5))</f>
        <v/>
      </c>
      <c r="C5" s="12" t="n">
        <f aca="false">IF(COUNT(AS5,AP5,AM5,AJ5,AG5,AD5,AA5,X5,U5,R5,O5,L5)=0,"",SUM(AS5,AP5,AM5,AJ5,AG5,AD5,AA5,X5,U5,R5,O5,L5))</f>
        <v>298398.001938977</v>
      </c>
      <c r="D5" s="12" t="n">
        <f aca="false">IF(COUNT(AT5,AQ5,AN5,AK5,AH5,AE5,AB5,Y5,V5,S5,P5,M5)=0,"",SUM(AT5,AQ5,AN5,AK5,AH5,AE5,AB5,Y5,V5,S5,P5,M5))</f>
        <v>294620.885772</v>
      </c>
      <c r="E5" s="13" t="str">
        <f aca="false">IF(COUNT(CB5,BY5,BV5,BS5,BP5,BM5,BJ5,BG5,BD5,BA5,AX5,AU5)=0,"",SUM(CB5,BY5,BV5,BS5,BP5,BM5,BJ5,BG5,BD5,BA5,AX5,AU5))</f>
        <v/>
      </c>
      <c r="F5" s="13" t="n">
        <f aca="false">IF(COUNT(CC5,BZ5,BW5,BT5,BQ5,BN5,BK5,BH5,BE5,BB5,AY5,AV5)=0,"",SUM(CC5,BZ5,BW5,BT5,BQ5,BN5,BK5,BH5,BE5,BB5,AY5,AV5))</f>
        <v>220650.850697898</v>
      </c>
      <c r="G5" s="13" t="n">
        <f aca="false">IF(COUNT(CD5,CA5,BX5,BU5,BR5,BO5,BL5,BI5,BF5,BC5,AZ5,AW5)=0,"",SUM(CD5,CA5,BX5,BU5,BR5,BO5,BL5,BI5,BF5,BC5,AZ5,AW5))</f>
        <v>216835.75992</v>
      </c>
      <c r="H5" s="12" t="n">
        <f aca="false">IF(COUNT(DL5,DI5,DF5,DC5,CZ5,CW5,CT5,CQ5,CN5,CK5,CH5,CE5)=0,"",SUM(DL5,DI5,DF5,DC5,CZ5,CW5,CT5,CQ5,CN5,CK5,CH5,CE5))</f>
        <v>24210.504</v>
      </c>
      <c r="I5" s="12" t="n">
        <f aca="false">IF(COUNT(DM5,DJ5,DG5,DD5,DA5,CX5,CU5,CR5,CO5,CL5,CI5,CF5)=0,"",SUM(DM5,DJ5,DG5,DD5,DA5,CX5,CU5,CR5,CO5,CL5,CI5,CF5))</f>
        <v>166568.767459864</v>
      </c>
      <c r="J5" s="12" t="n">
        <f aca="false">IF(COUNT(DN5,DK5,DH5,DE5,DB5,CY5,CV5,CS5,CP5,CM5,CJ5,CG5)=0,"",SUM(DN5,DK5,DH5,DE5,DB5,CY5,CV5,CS5,CP5,CM5,CJ5,CG5))</f>
        <v>162887.684352</v>
      </c>
      <c r="K5" s="13" t="str">
        <f aca="false">IF(COUNT(K3,K4)=2,K3*K4,"")</f>
        <v/>
      </c>
      <c r="L5" s="13" t="n">
        <f aca="false">L3*L4</f>
        <v>28595.9671531153</v>
      </c>
      <c r="M5" s="13" t="n">
        <f aca="false">M3*M4</f>
        <v>28283.410872</v>
      </c>
      <c r="N5" s="12" t="str">
        <f aca="false">IF(COUNT(N3,N4)=2,N3*N4,"")</f>
        <v/>
      </c>
      <c r="O5" s="12" t="n">
        <f aca="false">O3*O4</f>
        <v>27892.2331946493</v>
      </c>
      <c r="P5" s="12" t="n">
        <f aca="false">P3*P4</f>
        <v>27579.286296</v>
      </c>
      <c r="Q5" s="13" t="str">
        <f aca="false">IF(COUNT(Q3,Q4)=2,Q3*Q4,"")</f>
        <v/>
      </c>
      <c r="R5" s="13" t="n">
        <f aca="false">R3*R4</f>
        <v>27194.5283841716</v>
      </c>
      <c r="S5" s="13" t="n">
        <f aca="false">S3*S4</f>
        <v>26881.18632</v>
      </c>
      <c r="T5" s="12" t="str">
        <f aca="false">IF(COUNT(T3,T4)=2,T3*T4,"")</f>
        <v/>
      </c>
      <c r="U5" s="12" t="n">
        <f aca="false">U3*U4</f>
        <v>26502.0186590168</v>
      </c>
      <c r="V5" s="12" t="n">
        <f aca="false">V3*V4</f>
        <v>26188.284624</v>
      </c>
      <c r="W5" s="13" t="str">
        <f aca="false">IF(COUNT(W3,W4)=2,W3*W4,"")</f>
        <v/>
      </c>
      <c r="X5" s="13" t="n">
        <f aca="false">X3*X4</f>
        <v>25814.6920012631</v>
      </c>
      <c r="Y5" s="13" t="n">
        <f aca="false">Y3*Y4</f>
        <v>25500.569268</v>
      </c>
      <c r="Z5" s="12" t="str">
        <f aca="false">IF(COUNT(Z3,Z4)=2,Z3*Z4,"")</f>
        <v/>
      </c>
      <c r="AA5" s="12" t="n">
        <f aca="false">AA3*AA4</f>
        <v>25133.3356731558</v>
      </c>
      <c r="AB5" s="12" t="n">
        <f aca="false">AB3*AB4</f>
        <v>24818.819304</v>
      </c>
      <c r="AC5" s="13" t="str">
        <f aca="false">IF(COUNT(AC3,AC4)=2,AC3*AC4,"")</f>
        <v/>
      </c>
      <c r="AD5" s="13" t="n">
        <f aca="false">AD3*AD4</f>
        <v>24457.1500359399</v>
      </c>
      <c r="AE5" s="13" t="n">
        <f aca="false">AE3*AE4</f>
        <v>24142.243188</v>
      </c>
      <c r="AF5" s="12" t="str">
        <f aca="false">IF(COUNT(AF3,AF4)=2,AF3*AF4,"")</f>
        <v/>
      </c>
      <c r="AG5" s="12" t="n">
        <f aca="false">AG3*AG4</f>
        <v>23786.9126217544</v>
      </c>
      <c r="AH5" s="12" t="n">
        <f aca="false">AH3*AH4</f>
        <v>23471.60982</v>
      </c>
      <c r="AI5" s="13" t="str">
        <f aca="false">IF(COUNT(AI3,AI4)=2,AI3*AI4,"")</f>
        <v/>
      </c>
      <c r="AJ5" s="13" t="n">
        <f aca="false">AJ3*AJ4</f>
        <v>23122.5994564742</v>
      </c>
      <c r="AK5" s="13" t="n">
        <f aca="false">AK3*AK4</f>
        <v>22806.894936</v>
      </c>
      <c r="AL5" s="12" t="str">
        <f aca="false">IF(COUNT(AL3,AL4)=2,AL3*AL4,"")</f>
        <v/>
      </c>
      <c r="AM5" s="12" t="n">
        <f aca="false">AM3*AM4</f>
        <v>22463.4058396293</v>
      </c>
      <c r="AN5" s="12" t="n">
        <f aca="false">AN3*AN4</f>
        <v>22147.302684</v>
      </c>
      <c r="AO5" s="13" t="str">
        <f aca="false">IF(COUNT(AO3,AO4)=2,AO3*AO4,"")</f>
        <v/>
      </c>
      <c r="AP5" s="13" t="n">
        <f aca="false">AP3*AP4</f>
        <v>21965.172297235</v>
      </c>
      <c r="AQ5" s="13" t="n">
        <f aca="false">AQ3*AQ4</f>
        <v>21648.251484</v>
      </c>
      <c r="AR5" s="12" t="str">
        <f aca="false">IF(COUNT(AR3,AR4)=2,AR3*AR4,"")</f>
        <v/>
      </c>
      <c r="AS5" s="12" t="n">
        <f aca="false">AS3*AS4</f>
        <v>21469.9866225726</v>
      </c>
      <c r="AT5" s="12" t="n">
        <f aca="false">AT3*AT4</f>
        <v>21153.026976</v>
      </c>
      <c r="AU5" s="13" t="str">
        <f aca="false">IF(COUNT(AU3,AU4)=2,AU3*AU4,"")</f>
        <v/>
      </c>
      <c r="AV5" s="13" t="n">
        <f aca="false">AV3*AV4</f>
        <v>20978.6359453026</v>
      </c>
      <c r="AW5" s="13" t="n">
        <f aca="false">AW3*AW4</f>
        <v>20660.870292</v>
      </c>
      <c r="AX5" s="12" t="str">
        <f aca="false">IF(COUNT(AX3,AX4)=2,AX3*AX4,"")</f>
        <v/>
      </c>
      <c r="AY5" s="12" t="n">
        <f aca="false">AY3*AY4</f>
        <v>20490.3374508442</v>
      </c>
      <c r="AZ5" s="12" t="n">
        <f aca="false">AZ3*AZ4</f>
        <v>20172.534156</v>
      </c>
      <c r="BA5" s="13" t="str">
        <f aca="false">IF(COUNT(BA3,BA4)=2,BA3*BA4,"")</f>
        <v/>
      </c>
      <c r="BB5" s="13" t="n">
        <f aca="false">BB3*BB4</f>
        <v>20005.8489617023</v>
      </c>
      <c r="BC5" s="13" t="n">
        <f aca="false">BC3*BC4</f>
        <v>19688.002404</v>
      </c>
      <c r="BD5" s="12" t="str">
        <f aca="false">IF(COUNT(BD3,BD4)=2,BD3*BD4,"")</f>
        <v/>
      </c>
      <c r="BE5" s="12" t="n">
        <f aca="false">BE3*BE4</f>
        <v>19524.3972727331</v>
      </c>
      <c r="BF5" s="12" t="n">
        <f aca="false">BF3*BF4</f>
        <v>19206.512028</v>
      </c>
      <c r="BG5" s="13" t="str">
        <f aca="false">IF(COUNT(BG3,BG4)=2,BG3*BG4,"")</f>
        <v/>
      </c>
      <c r="BH5" s="13" t="n">
        <f aca="false">BH3*BH4</f>
        <v>19046.7306173901</v>
      </c>
      <c r="BI5" s="13" t="n">
        <f aca="false">BI3*BI4</f>
        <v>18728.800836</v>
      </c>
      <c r="BJ5" s="12" t="str">
        <f aca="false">IF(COUNT(BJ3,BJ4)=2,BJ3*BJ4,"")</f>
        <v/>
      </c>
      <c r="BK5" s="12" t="n">
        <f aca="false">BK3*BK4</f>
        <v>18572.0855646485</v>
      </c>
      <c r="BL5" s="12" t="n">
        <f aca="false">BL3*BL4</f>
        <v>18254.115996</v>
      </c>
      <c r="BM5" s="13" t="str">
        <f aca="false">IF(COUNT(BM3,BM4)=2,BM3*BM4,"")</f>
        <v/>
      </c>
      <c r="BN5" s="13" t="n">
        <f aca="false">BN3*BN4</f>
        <v>18100.6980116282</v>
      </c>
      <c r="BO5" s="13" t="n">
        <f aca="false">BO3*BO4</f>
        <v>17782.682544</v>
      </c>
      <c r="BP5" s="12" t="str">
        <f aca="false">IF(COUNT(BP3,BP4)=2,BP3*BP4,"")</f>
        <v/>
      </c>
      <c r="BQ5" s="12" t="n">
        <f aca="false">BQ3*BQ4</f>
        <v>17632.5533129842</v>
      </c>
      <c r="BR5" s="12" t="n">
        <f aca="false">BR3*BR4</f>
        <v>17314.485624</v>
      </c>
      <c r="BS5" s="13" t="str">
        <f aca="false">IF(COUNT(BS3,BS4)=2,BS3*BS4,"")</f>
        <v/>
      </c>
      <c r="BT5" s="13" t="n">
        <f aca="false">BT3*BT4</f>
        <v>17166.9233018052</v>
      </c>
      <c r="BU5" s="13" t="n">
        <f aca="false">BU3*BU4</f>
        <v>16848.80808</v>
      </c>
      <c r="BV5" s="12" t="str">
        <f aca="false">IF(COUNT(BV3,BV4)=2,BV3*BV4,"")</f>
        <v/>
      </c>
      <c r="BW5" s="12" t="n">
        <f aca="false">BW3*BW4</f>
        <v>16704.5331805644</v>
      </c>
      <c r="BX5" s="12" t="n">
        <f aca="false">BX3*BX4</f>
        <v>16386.363528</v>
      </c>
      <c r="BY5" s="13" t="str">
        <f aca="false">IF(COUNT(BY3,BY4)=2,BY3*BY4,"")</f>
        <v/>
      </c>
      <c r="BZ5" s="13" t="n">
        <f aca="false">BZ3*BZ4</f>
        <v>16376.9292760253</v>
      </c>
      <c r="CA5" s="13" t="n">
        <f aca="false">CA3*CA4</f>
        <v>16059.0336</v>
      </c>
      <c r="CB5" s="12" t="str">
        <f aca="false">IF(COUNT(CB3,CB4)=2,CB3*CB4,"")</f>
        <v/>
      </c>
      <c r="CC5" s="12" t="n">
        <f aca="false">CC3*CC4</f>
        <v>16051.1778022696</v>
      </c>
      <c r="CD5" s="12" t="n">
        <f aca="false">CD3*CD4</f>
        <v>15733.550832</v>
      </c>
      <c r="CE5" s="13" t="str">
        <f aca="false">IF(COUNT(CE3,CE4)=2,CE3*CE4,"")</f>
        <v/>
      </c>
      <c r="CF5" s="13" t="n">
        <f aca="false">CF3*CF4</f>
        <v>15727.2700167181</v>
      </c>
      <c r="CG5" s="13" t="n">
        <f aca="false">CG3*CG4</f>
        <v>15409.19934</v>
      </c>
      <c r="CH5" s="12" t="str">
        <f aca="false">IF(COUNT(CH3,CH4)=2,CH3*CH4,"")</f>
        <v/>
      </c>
      <c r="CI5" s="12" t="n">
        <f aca="false">CI3*CI4</f>
        <v>15404.4830220264</v>
      </c>
      <c r="CJ5" s="12" t="n">
        <f aca="false">CJ3*CJ4</f>
        <v>15086.684712</v>
      </c>
      <c r="CK5" s="13" t="str">
        <f aca="false">IF(COUNT(CK3,CK4)=2,CK3*CK4,"")</f>
        <v/>
      </c>
      <c r="CL5" s="13" t="n">
        <f aca="false">CL3*CL4</f>
        <v>15083.5294598335</v>
      </c>
      <c r="CM5" s="13" t="n">
        <f aca="false">CM3*CM4</f>
        <v>14765.998032</v>
      </c>
      <c r="CN5" s="12" t="str">
        <f aca="false">IF(COUNT(CN3,CN4)=2,CN3*CN4,"")</f>
        <v/>
      </c>
      <c r="CO5" s="12" t="n">
        <f aca="false">CO3*CO4</f>
        <v>14764.4005017379</v>
      </c>
      <c r="CP5" s="12" t="n">
        <f aca="false">CP3*CP4</f>
        <v>14446.439988</v>
      </c>
      <c r="CQ5" s="13" t="str">
        <f aca="false">IF(COUNT(CQ3,CQ4)=2,CQ3*CQ4,"")</f>
        <v/>
      </c>
      <c r="CR5" s="13" t="n">
        <f aca="false">CR3*CR4</f>
        <v>14446.3894548026</v>
      </c>
      <c r="CS5" s="13" t="n">
        <f aca="false">CS3*CS4</f>
        <v>14128.699584</v>
      </c>
      <c r="CT5" s="12" t="str">
        <f aca="false">IF(COUNT(CT3,CT4)=2,CT3*CT4,"")</f>
        <v/>
      </c>
      <c r="CU5" s="12" t="n">
        <f aca="false">CU3*CU4</f>
        <v>14130.1927364282</v>
      </c>
      <c r="CV5" s="12" t="n">
        <f aca="false">CV3*CV4</f>
        <v>13812.76782</v>
      </c>
      <c r="CW5" s="13" t="str">
        <f aca="false">IF(COUNT(CW3,CW4)=2,CW3*CW4,"")</f>
        <v/>
      </c>
      <c r="CX5" s="13" t="n">
        <f aca="false">CX3*CX4</f>
        <v>13815.8014128652</v>
      </c>
      <c r="CY5" s="13" t="n">
        <f aca="false">CY3*CY4</f>
        <v>13497.962628</v>
      </c>
      <c r="CZ5" s="12" t="str">
        <f aca="false">IF(COUNT(CZ3,CZ4)=2,CZ3*CZ4,"")</f>
        <v/>
      </c>
      <c r="DA5" s="12" t="n">
        <f aca="false">DA3*DA4</f>
        <v>13502.543298517</v>
      </c>
      <c r="DB5" s="12" t="n">
        <f aca="false">DB3*DB4</f>
        <v>13184.973048</v>
      </c>
      <c r="DC5" s="13" t="str">
        <f aca="false">IF(COUNT(DC3,DC4)=2,DC3*DC4,"")</f>
        <v/>
      </c>
      <c r="DD5" s="13" t="n">
        <f aca="false">DD3*DD4</f>
        <v>13032.7481850585</v>
      </c>
      <c r="DE5" s="13" t="n">
        <f aca="false">DE3*DE4</f>
        <v>12599.593464</v>
      </c>
      <c r="DF5" s="12" t="str">
        <f aca="false">IF(COUNT(DF3,DF4)=2,DF3*DF4,"")</f>
        <v/>
      </c>
      <c r="DG5" s="12" t="n">
        <f aca="false">DG3*DG4</f>
        <v>12450.9053718768</v>
      </c>
      <c r="DH5" s="12" t="n">
        <f aca="false">DH3*DH4</f>
        <v>12018.461736</v>
      </c>
      <c r="DI5" s="13" t="n">
        <f aca="false">IF(COUNT(DI3,DI4)=2,DI3*DI4,"")</f>
        <v>12258.504</v>
      </c>
      <c r="DJ5" s="13" t="n">
        <f aca="false">DJ3*DJ4</f>
        <v>12258.504</v>
      </c>
      <c r="DK5" s="13" t="n">
        <f aca="false">DK3*DK4</f>
        <v>11984.904</v>
      </c>
      <c r="DL5" s="12" t="n">
        <f aca="false">IF(COUNT(DL3,DL4)=2,DL3*DL4,"")</f>
        <v>11952</v>
      </c>
      <c r="DM5" s="12" t="n">
        <f aca="false">DM3*DM4</f>
        <v>11952</v>
      </c>
      <c r="DN5" s="12" t="n">
        <f aca="false">DN3*DN4</f>
        <v>11952</v>
      </c>
    </row>
    <row r="6" customFormat="false" ht="15" hidden="false" customHeight="false" outlineLevel="0" collapsed="false">
      <c r="A6" s="17" t="s">
        <v>208</v>
      </c>
      <c r="B6" s="106" t="str">
        <f aca="false">IF(SUM(AR3,AO3,AL3,AI3,AF3,AC3,Z3,W3,T3,Q3,N3,K3)=0,"",SUM(AR7,AO7,AL7,AI7,AF7,AC7,Z7,W7,T7,Q7,N7,K7)/SUM(AR3,AO3,AL3,AI3,AF3,AC3,Z3,W3,T3,Q3,N3,K3))</f>
        <v/>
      </c>
      <c r="C6" s="106" t="n">
        <f aca="false">IF(SUM(AS3,AP3,AM3,AJ3,AG3,AD3,AA3,X3,U3,R3,O3,L3)=0,"",SUM(AS7,AP7,AM7,AJ7,AG7,AD7,AA7,X7,U7,R7,O7,L7)/SUM(AS3,AP3,AM3,AJ3,AG3,AD3,AA3,X3,U3,R3,O3,L3))</f>
        <v>0.003</v>
      </c>
      <c r="D6" s="106" t="n">
        <f aca="false">IF(SUM(AT3,AQ3,AN3,AK3,AH3,AE3,AB3,Y3,V3,S3,P3,M3)=0,"",SUM(AT7,AQ7,AN7,AK7,AH7,AE7,AB7,Y7,V7,S7,P7,M7)/SUM(AT3,AQ3,AN3,AK3,AH3,AE3,AB3,Y3,V3,S3,P3,M3))</f>
        <v>0.003</v>
      </c>
      <c r="E6" s="107" t="str">
        <f aca="false">IF(SUM(CB3,BY3,BV3,BS3,BP3,BM3,BJ3,BG3,BD3,BA3,AX3,AU3)=0,"",SUM(CB7,BY7,BV7,BS7,BP7,BM7,BJ7,BG7,BD7,BA7,AX7,AU7)/SUM(CB3,BY3,BV3,BS3,BP3,BM3,BJ3,BG3,BD3,BA3,AX3,AU3))</f>
        <v/>
      </c>
      <c r="F6" s="107" t="n">
        <f aca="false">IF(SUM(CC3,BZ3,BW3,BT3,BQ3,BN3,BK3,BH3,BE3,BB3,AY3,AV3)=0,"",SUM(CC7,BZ7,BW7,BT7,BQ7,BN7,BK7,BH7,BE7,BB7,AY7,AV7)/SUM(CC3,BZ3,BW3,BT3,BQ3,BN3,BK3,BH3,BE3,BB3,AY3,AV3))</f>
        <v>0.003</v>
      </c>
      <c r="G6" s="107" t="n">
        <f aca="false">IF(SUM(CD3,CA3,BX3,BU3,BR3,BO3,BL3,BI3,BF3,BC3,AZ3,AW3)=0,"",SUM(CD7,CA7,BX7,BU7,BR7,BO7,BL7,BI7,BF7,BC7,AZ7,AW7)/SUM(CD3,CA3,BX3,BU3,BR3,BO3,BL3,BI3,BF3,BC3,AZ3,AW3))</f>
        <v>0.003</v>
      </c>
      <c r="H6" s="106" t="n">
        <f aca="false">IF(SUM(DL3,DI3,DF3,DC3,CZ3,CW3,CT3,CQ3,CN3,CK3,CH3,CE3)=0,"",SUM(DL7,DI7,DF7,DC7,CZ7,CW7,CT7,CQ7,CN7,CK7,CH7,CE7)/SUM(DL3,DI3,DF3,DC3,CZ3,CW3,CT3,CQ3,CN3,CK3,CH3,CE3))</f>
        <v>0.00198114347605295</v>
      </c>
      <c r="I6" s="106" t="n">
        <f aca="false">IF(SUM(DM3,DJ3,DG3,DD3,DA3,CX3,CU3,CR3,CO3,CL3,CI3,CF3)=0,"",SUM(DM7,DJ7,DG7,DD7,DA7,CX7,CU7,CR7,CO7,CL7,CI7,CF7)/SUM(DM3,DJ3,DG3,DD3,DA3,CX3,CU3,CR3,CO3,CL3,CI3,CF3))</f>
        <v>0.003</v>
      </c>
      <c r="J6" s="106" t="n">
        <f aca="false">IF(SUM(DN3,DK3,DH3,DE3,DB3,CY3,CV3,CS3,CP3,CM3,CJ3,CG3)=0,"",SUM(DN7,DK7,DH7,DE7,DB7,CY7,CV7,CS7,CP7,CM7,CJ7,CG7)/SUM(DN3,DK3,DH3,DE3,DB3,CY3,CV3,CS3,CP3,CM3,CJ3,CG3))</f>
        <v>0.003</v>
      </c>
      <c r="K6" s="108"/>
      <c r="L6" s="107" t="n">
        <f aca="false">IF('Cash Drivers'!L$26,'Customer Success'!K6,'Customer Success'!M6)</f>
        <v>0.003</v>
      </c>
      <c r="M6" s="109" t="n">
        <v>0.003</v>
      </c>
      <c r="N6" s="110"/>
      <c r="O6" s="106" t="n">
        <f aca="false">IF('Cash Drivers'!O$26,'Customer Success'!N6,'Customer Success'!P6)</f>
        <v>0.003</v>
      </c>
      <c r="P6" s="111" t="n">
        <v>0.003</v>
      </c>
      <c r="Q6" s="108"/>
      <c r="R6" s="107" t="n">
        <f aca="false">IF('Cash Drivers'!R$26,'Customer Success'!Q6,'Customer Success'!S6)</f>
        <v>0.003</v>
      </c>
      <c r="S6" s="109" t="n">
        <v>0.003</v>
      </c>
      <c r="T6" s="110"/>
      <c r="U6" s="106" t="n">
        <f aca="false">IF('Cash Drivers'!U$26,'Customer Success'!T6,'Customer Success'!V6)</f>
        <v>0.003</v>
      </c>
      <c r="V6" s="111" t="n">
        <v>0.003</v>
      </c>
      <c r="W6" s="108"/>
      <c r="X6" s="107" t="n">
        <f aca="false">IF('Cash Drivers'!X$26,'Customer Success'!W6,'Customer Success'!Y6)</f>
        <v>0.003</v>
      </c>
      <c r="Y6" s="109" t="n">
        <v>0.003</v>
      </c>
      <c r="Z6" s="110"/>
      <c r="AA6" s="106" t="n">
        <f aca="false">IF('Cash Drivers'!AA$26,'Customer Success'!Z6,'Customer Success'!AB6)</f>
        <v>0.003</v>
      </c>
      <c r="AB6" s="111" t="n">
        <v>0.003</v>
      </c>
      <c r="AC6" s="108"/>
      <c r="AD6" s="107" t="n">
        <f aca="false">IF('Cash Drivers'!AD$26,'Customer Success'!AC6,'Customer Success'!AE6)</f>
        <v>0.003</v>
      </c>
      <c r="AE6" s="109" t="n">
        <v>0.003</v>
      </c>
      <c r="AF6" s="110"/>
      <c r="AG6" s="106" t="n">
        <f aca="false">IF('Cash Drivers'!AG$26,'Customer Success'!AF6,'Customer Success'!AH6)</f>
        <v>0.003</v>
      </c>
      <c r="AH6" s="111" t="n">
        <v>0.003</v>
      </c>
      <c r="AI6" s="108"/>
      <c r="AJ6" s="107" t="n">
        <f aca="false">IF('Cash Drivers'!AJ$26,'Customer Success'!AI6,'Customer Success'!AK6)</f>
        <v>0.003</v>
      </c>
      <c r="AK6" s="109" t="n">
        <v>0.003</v>
      </c>
      <c r="AL6" s="110"/>
      <c r="AM6" s="106" t="n">
        <f aca="false">IF('Cash Drivers'!AM$26,'Customer Success'!AL6,'Customer Success'!AN6)</f>
        <v>0.003</v>
      </c>
      <c r="AN6" s="111" t="n">
        <v>0.003</v>
      </c>
      <c r="AO6" s="108"/>
      <c r="AP6" s="107" t="n">
        <f aca="false">IF('Cash Drivers'!AP$26,'Customer Success'!AO6,'Customer Success'!AQ6)</f>
        <v>0.003</v>
      </c>
      <c r="AQ6" s="109" t="n">
        <v>0.003</v>
      </c>
      <c r="AR6" s="110"/>
      <c r="AS6" s="106" t="n">
        <f aca="false">IF('Cash Drivers'!AS$26,'Customer Success'!AR6,'Customer Success'!AT6)</f>
        <v>0.003</v>
      </c>
      <c r="AT6" s="111" t="n">
        <v>0.003</v>
      </c>
      <c r="AU6" s="108"/>
      <c r="AV6" s="107" t="n">
        <f aca="false">IF('Cash Drivers'!AV$26,'Customer Success'!AU6,'Customer Success'!AW6)</f>
        <v>0.003</v>
      </c>
      <c r="AW6" s="109" t="n">
        <v>0.003</v>
      </c>
      <c r="AX6" s="110"/>
      <c r="AY6" s="106" t="n">
        <f aca="false">IF('Cash Drivers'!AY$26,'Customer Success'!AX6,'Customer Success'!AZ6)</f>
        <v>0.003</v>
      </c>
      <c r="AZ6" s="111" t="n">
        <v>0.003</v>
      </c>
      <c r="BA6" s="108"/>
      <c r="BB6" s="107" t="n">
        <f aca="false">IF('Cash Drivers'!BB$26,'Customer Success'!BA6,'Customer Success'!BC6)</f>
        <v>0.003</v>
      </c>
      <c r="BC6" s="109" t="n">
        <v>0.003</v>
      </c>
      <c r="BD6" s="110"/>
      <c r="BE6" s="106" t="n">
        <f aca="false">IF('Cash Drivers'!BE$26,'Customer Success'!BD6,'Customer Success'!BF6)</f>
        <v>0.003</v>
      </c>
      <c r="BF6" s="111" t="n">
        <v>0.003</v>
      </c>
      <c r="BG6" s="108"/>
      <c r="BH6" s="107" t="n">
        <f aca="false">IF('Cash Drivers'!BH$26,'Customer Success'!BG6,'Customer Success'!BI6)</f>
        <v>0.003</v>
      </c>
      <c r="BI6" s="109" t="n">
        <v>0.003</v>
      </c>
      <c r="BJ6" s="110"/>
      <c r="BK6" s="106" t="n">
        <f aca="false">IF('Cash Drivers'!BK$26,'Customer Success'!BJ6,'Customer Success'!BL6)</f>
        <v>0.003</v>
      </c>
      <c r="BL6" s="111" t="n">
        <v>0.003</v>
      </c>
      <c r="BM6" s="108"/>
      <c r="BN6" s="107" t="n">
        <f aca="false">IF('Cash Drivers'!BN$26,'Customer Success'!BM6,'Customer Success'!BO6)</f>
        <v>0.003</v>
      </c>
      <c r="BO6" s="109" t="n">
        <v>0.003</v>
      </c>
      <c r="BP6" s="110"/>
      <c r="BQ6" s="106" t="n">
        <f aca="false">IF('Cash Drivers'!BQ$26,'Customer Success'!BP6,'Customer Success'!BR6)</f>
        <v>0.003</v>
      </c>
      <c r="BR6" s="111" t="n">
        <v>0.003</v>
      </c>
      <c r="BS6" s="108"/>
      <c r="BT6" s="107" t="n">
        <f aca="false">IF('Cash Drivers'!BT$26,'Customer Success'!BS6,'Customer Success'!BU6)</f>
        <v>0.003</v>
      </c>
      <c r="BU6" s="109" t="n">
        <v>0.003</v>
      </c>
      <c r="BV6" s="110"/>
      <c r="BW6" s="106" t="n">
        <f aca="false">IF('Cash Drivers'!BW$26,'Customer Success'!BV6,'Customer Success'!BX6)</f>
        <v>0.003</v>
      </c>
      <c r="BX6" s="111" t="n">
        <v>0.003</v>
      </c>
      <c r="BY6" s="108"/>
      <c r="BZ6" s="107" t="n">
        <f aca="false">IF('Cash Drivers'!BZ$26,'Customer Success'!BY6,'Customer Success'!CA6)</f>
        <v>0.003</v>
      </c>
      <c r="CA6" s="109" t="n">
        <v>0.003</v>
      </c>
      <c r="CB6" s="110"/>
      <c r="CC6" s="106" t="n">
        <f aca="false">IF('Cash Drivers'!CC$26,'Customer Success'!CB6,'Customer Success'!CD6)</f>
        <v>0.003</v>
      </c>
      <c r="CD6" s="111" t="n">
        <v>0.003</v>
      </c>
      <c r="CE6" s="108"/>
      <c r="CF6" s="107" t="n">
        <f aca="false">IF('Cash Drivers'!CF$26,'Customer Success'!CE6,'Customer Success'!CG6)</f>
        <v>0.003</v>
      </c>
      <c r="CG6" s="109" t="n">
        <v>0.003</v>
      </c>
      <c r="CH6" s="110"/>
      <c r="CI6" s="106" t="n">
        <f aca="false">IF('Cash Drivers'!CI$26,'Customer Success'!CH6,'Customer Success'!CJ6)</f>
        <v>0.003</v>
      </c>
      <c r="CJ6" s="111" t="n">
        <v>0.003</v>
      </c>
      <c r="CK6" s="108"/>
      <c r="CL6" s="107" t="n">
        <f aca="false">IF('Cash Drivers'!CL$26,'Customer Success'!CK6,'Customer Success'!CM6)</f>
        <v>0.003</v>
      </c>
      <c r="CM6" s="109" t="n">
        <v>0.003</v>
      </c>
      <c r="CN6" s="110"/>
      <c r="CO6" s="106" t="n">
        <f aca="false">IF('Cash Drivers'!CO$26,'Customer Success'!CN6,'Customer Success'!CP6)</f>
        <v>0.003</v>
      </c>
      <c r="CP6" s="111" t="n">
        <v>0.003</v>
      </c>
      <c r="CQ6" s="108"/>
      <c r="CR6" s="107" t="n">
        <f aca="false">IF('Cash Drivers'!CR$26,'Customer Success'!CQ6,'Customer Success'!CS6)</f>
        <v>0.003</v>
      </c>
      <c r="CS6" s="109" t="n">
        <v>0.003</v>
      </c>
      <c r="CT6" s="110"/>
      <c r="CU6" s="106" t="n">
        <f aca="false">IF('Cash Drivers'!CU$26,'Customer Success'!CT6,'Customer Success'!CV6)</f>
        <v>0.003</v>
      </c>
      <c r="CV6" s="111" t="n">
        <v>0.003</v>
      </c>
      <c r="CW6" s="108"/>
      <c r="CX6" s="107" t="n">
        <f aca="false">IF('Cash Drivers'!CX$26,'Customer Success'!CW6,'Customer Success'!CY6)</f>
        <v>0.003</v>
      </c>
      <c r="CY6" s="109" t="n">
        <v>0.003</v>
      </c>
      <c r="CZ6" s="110"/>
      <c r="DA6" s="106" t="n">
        <f aca="false">IF('Cash Drivers'!DA$26,'Customer Success'!CZ6,'Customer Success'!DB6)</f>
        <v>0.003</v>
      </c>
      <c r="DB6" s="111" t="n">
        <v>0.003</v>
      </c>
      <c r="DC6" s="108"/>
      <c r="DD6" s="107" t="n">
        <f aca="false">IF('Cash Drivers'!DD$26,'Customer Success'!DC6,'Customer Success'!DE6)</f>
        <v>0.003</v>
      </c>
      <c r="DE6" s="109" t="n">
        <v>0.003</v>
      </c>
      <c r="DF6" s="110"/>
      <c r="DG6" s="106" t="n">
        <f aca="false">IF('Cash Drivers'!DG$26,'Customer Success'!DF6,'Customer Success'!DH6)</f>
        <v>0.003</v>
      </c>
      <c r="DH6" s="111" t="n">
        <v>0.003</v>
      </c>
      <c r="DI6" s="109" t="n">
        <v>0.003</v>
      </c>
      <c r="DJ6" s="107" t="n">
        <f aca="false">IF('Cash Drivers'!DJ$26,'Customer Success'!DI6,'Customer Success'!DK6)</f>
        <v>0.003</v>
      </c>
      <c r="DK6" s="109" t="n">
        <v>0.003</v>
      </c>
      <c r="DL6" s="111" t="n">
        <v>0.003</v>
      </c>
      <c r="DM6" s="106" t="n">
        <f aca="false">IF('Cash Drivers'!DM$26,'Customer Success'!DL6,'Customer Success'!DN6)</f>
        <v>0.003</v>
      </c>
      <c r="DN6" s="111" t="n">
        <v>0.003</v>
      </c>
    </row>
    <row r="7" customFormat="false" ht="15" hidden="false" customHeight="false" outlineLevel="0" collapsed="false">
      <c r="A7" s="5" t="s">
        <v>209</v>
      </c>
      <c r="B7" s="12" t="str">
        <f aca="false">IF(COUNT(AR7,AO7,AL7,AI7,AF7,AC7,Z7,W7,T7,Q7,N7,K7)=0,"",SUM(AR7,AO7,AL7,AI7,AF7,AC7,Z7,W7,T7,Q7,N7,K7))</f>
        <v/>
      </c>
      <c r="C7" s="12" t="n">
        <f aca="false">IF(COUNT(AS7,AP7,AM7,AJ7,AG7,AD7,AA7,X7,U7,R7,O7,L7)=0,"",SUM(AS7,AP7,AM7,AJ7,AG7,AD7,AA7,X7,U7,R7,O7,L7))</f>
        <v>74599.5004847443</v>
      </c>
      <c r="D7" s="12" t="n">
        <f aca="false">IF(COUNT(AT7,AQ7,AN7,AK7,AH7,AE7,AB7,Y7,V7,S7,P7,M7)=0,"",SUM(AT7,AQ7,AN7,AK7,AH7,AE7,AB7,Y7,V7,S7,P7,M7))</f>
        <v>73655.221443</v>
      </c>
      <c r="E7" s="13" t="str">
        <f aca="false">IF(COUNT(CB7,BY7,BV7,BS7,BP7,BM7,BJ7,BG7,BD7,BA7,AX7,AU7)=0,"",SUM(CB7,BY7,BV7,BS7,BP7,BM7,BJ7,BG7,BD7,BA7,AX7,AU7))</f>
        <v/>
      </c>
      <c r="F7" s="13" t="n">
        <f aca="false">IF(COUNT(CC7,BZ7,BW7,BT7,BQ7,BN7,BK7,BH7,BE7,BB7,AY7,AV7)=0,"",SUM(CC7,BZ7,BW7,BT7,BQ7,BN7,BK7,BH7,BE7,BB7,AY7,AV7))</f>
        <v>55162.7126744744</v>
      </c>
      <c r="G7" s="13" t="n">
        <f aca="false">IF(COUNT(CD7,CA7,BX7,BU7,BR7,BO7,BL7,BI7,BF7,BC7,AZ7,AW7)=0,"",SUM(CD7,CA7,BX7,BU7,BR7,BO7,BL7,BI7,BF7,BC7,AZ7,AW7))</f>
        <v>54208.93998</v>
      </c>
      <c r="H7" s="12" t="n">
        <f aca="false">IF(COUNT(DL7,DI7,DF7,DC7,CZ7,CW7,CT7,CQ7,CN7,CK7,CH7,CE7)=0,"",SUM(DL7,DI7,DF7,DC7,CZ7,CW7,CT7,CQ7,CN7,CK7,CH7,CE7))</f>
        <v>6052.626</v>
      </c>
      <c r="I7" s="12" t="n">
        <f aca="false">IF(COUNT(DM7,DJ7,DG7,DD7,DA7,CX7,CU7,CR7,CO7,CL7,CI7,CF7)=0,"",SUM(DM7,DJ7,DG7,DD7,DA7,CX7,CU7,CR7,CO7,CL7,CI7,CF7))</f>
        <v>41642.191864966</v>
      </c>
      <c r="J7" s="12" t="n">
        <f aca="false">IF(COUNT(DN7,DK7,DH7,DE7,DB7,CY7,CV7,CS7,CP7,CM7,CJ7,CG7)=0,"",SUM(DN7,DK7,DH7,DE7,DB7,CY7,CV7,CS7,CP7,CM7,CJ7,CG7))</f>
        <v>40721.921088</v>
      </c>
      <c r="K7" s="13" t="str">
        <f aca="false">IF(COUNT(K3,K6)=2,K3*K6,"")</f>
        <v/>
      </c>
      <c r="L7" s="13" t="n">
        <f aca="false">L3*L6</f>
        <v>7148.99178827883</v>
      </c>
      <c r="M7" s="13" t="n">
        <f aca="false">M3*M6</f>
        <v>7070.852718</v>
      </c>
      <c r="N7" s="12" t="str">
        <f aca="false">IF(COUNT(N3,N6)=2,N3*N6,"")</f>
        <v/>
      </c>
      <c r="O7" s="12" t="n">
        <f aca="false">O3*O6</f>
        <v>6973.05829866233</v>
      </c>
      <c r="P7" s="12" t="n">
        <f aca="false">P3*P6</f>
        <v>6894.821574</v>
      </c>
      <c r="Q7" s="13" t="str">
        <f aca="false">IF(COUNT(Q3,Q6)=2,Q3*Q6,"")</f>
        <v/>
      </c>
      <c r="R7" s="13" t="n">
        <f aca="false">R3*R6</f>
        <v>6798.63209604291</v>
      </c>
      <c r="S7" s="13" t="n">
        <f aca="false">S3*S6</f>
        <v>6720.29658</v>
      </c>
      <c r="T7" s="12" t="str">
        <f aca="false">IF(COUNT(T3,T6)=2,T3*T6,"")</f>
        <v/>
      </c>
      <c r="U7" s="12" t="n">
        <f aca="false">U3*U6</f>
        <v>6625.5046647542</v>
      </c>
      <c r="V7" s="12" t="n">
        <f aca="false">V3*V6</f>
        <v>6547.071156</v>
      </c>
      <c r="W7" s="13" t="str">
        <f aca="false">IF(COUNT(W3,W6)=2,W3*W6,"")</f>
        <v/>
      </c>
      <c r="X7" s="13" t="n">
        <f aca="false">X3*X6</f>
        <v>6453.67300031577</v>
      </c>
      <c r="Y7" s="13" t="n">
        <f aca="false">Y3*Y6</f>
        <v>6375.142317</v>
      </c>
      <c r="Z7" s="12" t="str">
        <f aca="false">IF(COUNT(Z3,Z6)=2,Z3*Z6,"")</f>
        <v/>
      </c>
      <c r="AA7" s="12" t="n">
        <f aca="false">AA3*AA6</f>
        <v>6283.33391828896</v>
      </c>
      <c r="AB7" s="12" t="n">
        <f aca="false">AB3*AB6</f>
        <v>6204.704826</v>
      </c>
      <c r="AC7" s="13" t="str">
        <f aca="false">IF(COUNT(AC3,AC6)=2,AC3*AC6,"")</f>
        <v/>
      </c>
      <c r="AD7" s="13" t="n">
        <f aca="false">AD3*AD6</f>
        <v>6114.28750898498</v>
      </c>
      <c r="AE7" s="13" t="n">
        <f aca="false">AE3*AE6</f>
        <v>6035.560797</v>
      </c>
      <c r="AF7" s="12" t="str">
        <f aca="false">IF(COUNT(AF3,AF6)=2,AF3*AF6,"")</f>
        <v/>
      </c>
      <c r="AG7" s="12" t="n">
        <f aca="false">AG3*AG6</f>
        <v>5946.7281554386</v>
      </c>
      <c r="AH7" s="12" t="n">
        <f aca="false">AH3*AH6</f>
        <v>5867.902455</v>
      </c>
      <c r="AI7" s="13" t="str">
        <f aca="false">IF(COUNT(AI3,AI6)=2,AI3*AI6,"")</f>
        <v/>
      </c>
      <c r="AJ7" s="13" t="n">
        <f aca="false">AJ3*AJ6</f>
        <v>5780.64986411855</v>
      </c>
      <c r="AK7" s="13" t="n">
        <f aca="false">AK3*AK6</f>
        <v>5701.723734</v>
      </c>
      <c r="AL7" s="12" t="str">
        <f aca="false">IF(COUNT(AL3,AL6)=2,AL3*AL6,"")</f>
        <v/>
      </c>
      <c r="AM7" s="12" t="n">
        <f aca="false">AM3*AM6</f>
        <v>5615.85145990732</v>
      </c>
      <c r="AN7" s="12" t="n">
        <f aca="false">AN3*AN6</f>
        <v>5536.825671</v>
      </c>
      <c r="AO7" s="13" t="str">
        <f aca="false">IF(COUNT(AO3,AO6)=2,AO3*AO6,"")</f>
        <v/>
      </c>
      <c r="AP7" s="13" t="n">
        <f aca="false">AP3*AP6</f>
        <v>5491.29307430874</v>
      </c>
      <c r="AQ7" s="13" t="n">
        <f aca="false">AQ3*AQ6</f>
        <v>5412.062871</v>
      </c>
      <c r="AR7" s="12" t="str">
        <f aca="false">IF(COUNT(AR3,AR6)=2,AR3*AR6,"")</f>
        <v/>
      </c>
      <c r="AS7" s="12" t="n">
        <f aca="false">AS3*AS6</f>
        <v>5367.49665564316</v>
      </c>
      <c r="AT7" s="12" t="n">
        <f aca="false">AT3*AT6</f>
        <v>5288.256744</v>
      </c>
      <c r="AU7" s="13" t="str">
        <f aca="false">IF(COUNT(AU3,AU6)=2,AU3*AU6,"")</f>
        <v/>
      </c>
      <c r="AV7" s="13" t="n">
        <f aca="false">AV3*AV6</f>
        <v>5244.65898632566</v>
      </c>
      <c r="AW7" s="13" t="n">
        <f aca="false">AW3*AW6</f>
        <v>5165.217573</v>
      </c>
      <c r="AX7" s="12" t="str">
        <f aca="false">IF(COUNT(AX3,AX6)=2,AX3*AX6,"")</f>
        <v/>
      </c>
      <c r="AY7" s="12" t="n">
        <f aca="false">AY3*AY6</f>
        <v>5122.58436271106</v>
      </c>
      <c r="AZ7" s="12" t="n">
        <f aca="false">AZ3*AZ6</f>
        <v>5043.133539</v>
      </c>
      <c r="BA7" s="13" t="str">
        <f aca="false">IF(COUNT(BA3,BA6)=2,BA3*BA6,"")</f>
        <v/>
      </c>
      <c r="BB7" s="13" t="n">
        <f aca="false">BB3*BB6</f>
        <v>5001.46224042557</v>
      </c>
      <c r="BC7" s="13" t="n">
        <f aca="false">BC3*BC6</f>
        <v>4922.000601</v>
      </c>
      <c r="BD7" s="12" t="str">
        <f aca="false">IF(COUNT(BD3,BD6)=2,BD3*BD6,"")</f>
        <v/>
      </c>
      <c r="BE7" s="12" t="n">
        <f aca="false">BE3*BE6</f>
        <v>4881.09931818328</v>
      </c>
      <c r="BF7" s="12" t="n">
        <f aca="false">BF3*BF6</f>
        <v>4801.628007</v>
      </c>
      <c r="BG7" s="13" t="str">
        <f aca="false">IF(COUNT(BG3,BG6)=2,BG3*BG6,"")</f>
        <v/>
      </c>
      <c r="BH7" s="13" t="n">
        <f aca="false">BH3*BH6</f>
        <v>4761.68265434752</v>
      </c>
      <c r="BI7" s="13" t="n">
        <f aca="false">BI3*BI6</f>
        <v>4682.200209</v>
      </c>
      <c r="BJ7" s="12" t="str">
        <f aca="false">IF(COUNT(BJ3,BJ6)=2,BJ3*BJ6,"")</f>
        <v/>
      </c>
      <c r="BK7" s="12" t="n">
        <f aca="false">BK3*BK6</f>
        <v>4643.02139116212</v>
      </c>
      <c r="BL7" s="12" t="n">
        <f aca="false">BL3*BL6</f>
        <v>4563.528999</v>
      </c>
      <c r="BM7" s="13" t="str">
        <f aca="false">IF(COUNT(BM3,BM6)=2,BM3*BM6,"")</f>
        <v/>
      </c>
      <c r="BN7" s="13" t="n">
        <f aca="false">BN3*BN6</f>
        <v>4525.17450290704</v>
      </c>
      <c r="BO7" s="13" t="n">
        <f aca="false">BO3*BO6</f>
        <v>4445.670636</v>
      </c>
      <c r="BP7" s="12" t="str">
        <f aca="false">IF(COUNT(BP3,BP6)=2,BP3*BP6,"")</f>
        <v/>
      </c>
      <c r="BQ7" s="12" t="n">
        <f aca="false">BQ3*BQ6</f>
        <v>4408.13832824605</v>
      </c>
      <c r="BR7" s="12" t="n">
        <f aca="false">BR3*BR6</f>
        <v>4328.621406</v>
      </c>
      <c r="BS7" s="13" t="str">
        <f aca="false">IF(COUNT(BS3,BS6)=2,BS3*BS6,"")</f>
        <v/>
      </c>
      <c r="BT7" s="13" t="n">
        <f aca="false">BT3*BT6</f>
        <v>4291.73082545131</v>
      </c>
      <c r="BU7" s="13" t="n">
        <f aca="false">BU3*BU6</f>
        <v>4212.20202</v>
      </c>
      <c r="BV7" s="12" t="str">
        <f aca="false">IF(COUNT(BV3,BV6)=2,BV3*BV6,"")</f>
        <v/>
      </c>
      <c r="BW7" s="12" t="n">
        <f aca="false">BW3*BW6</f>
        <v>4176.1332951411</v>
      </c>
      <c r="BX7" s="12" t="n">
        <f aca="false">BX3*BX6</f>
        <v>4096.590882</v>
      </c>
      <c r="BY7" s="13" t="str">
        <f aca="false">IF(COUNT(BY3,BY6)=2,BY3*BY6,"")</f>
        <v/>
      </c>
      <c r="BZ7" s="13" t="n">
        <f aca="false">BZ3*BZ6</f>
        <v>4094.23231900632</v>
      </c>
      <c r="CA7" s="13" t="n">
        <f aca="false">CA3*CA6</f>
        <v>4014.7584</v>
      </c>
      <c r="CB7" s="12" t="str">
        <f aca="false">IF(COUNT(CB3,CB6)=2,CB3*CB6,"")</f>
        <v/>
      </c>
      <c r="CC7" s="12" t="n">
        <f aca="false">CC3*CC6</f>
        <v>4012.7944505674</v>
      </c>
      <c r="CD7" s="12" t="n">
        <f aca="false">CD3*CD6</f>
        <v>3933.387708</v>
      </c>
      <c r="CE7" s="13" t="str">
        <f aca="false">IF(COUNT(CE3,CE6)=2,CE3*CE6,"")</f>
        <v/>
      </c>
      <c r="CF7" s="13" t="n">
        <f aca="false">CF3*CF6</f>
        <v>3931.81750417952</v>
      </c>
      <c r="CG7" s="13" t="n">
        <f aca="false">CG3*CG6</f>
        <v>3852.299835</v>
      </c>
      <c r="CH7" s="12" t="str">
        <f aca="false">IF(COUNT(CH3,CH6)=2,CH3*CH6,"")</f>
        <v/>
      </c>
      <c r="CI7" s="12" t="n">
        <f aca="false">CI3*CI6</f>
        <v>3851.12075550661</v>
      </c>
      <c r="CJ7" s="12" t="n">
        <f aca="false">CJ3*CJ6</f>
        <v>3771.671178</v>
      </c>
      <c r="CK7" s="13" t="str">
        <f aca="false">IF(COUNT(CK3,CK6)=2,CK3*CK6,"")</f>
        <v/>
      </c>
      <c r="CL7" s="13" t="n">
        <f aca="false">CL3*CL6</f>
        <v>3770.88236495837</v>
      </c>
      <c r="CM7" s="13" t="n">
        <f aca="false">CM3*CM6</f>
        <v>3691.499508</v>
      </c>
      <c r="CN7" s="12" t="str">
        <f aca="false">IF(COUNT(CN3,CN6)=2,CN3*CN6,"")</f>
        <v/>
      </c>
      <c r="CO7" s="12" t="n">
        <f aca="false">CO3*CO6</f>
        <v>3691.10012543446</v>
      </c>
      <c r="CP7" s="12" t="n">
        <f aca="false">CP3*CP6</f>
        <v>3611.609997</v>
      </c>
      <c r="CQ7" s="13" t="str">
        <f aca="false">IF(COUNT(CQ3,CQ6)=2,CQ3*CQ6,"")</f>
        <v/>
      </c>
      <c r="CR7" s="13" t="n">
        <f aca="false">CR3*CR6</f>
        <v>3611.59736370065</v>
      </c>
      <c r="CS7" s="13" t="n">
        <f aca="false">CS3*CS6</f>
        <v>3532.174896</v>
      </c>
      <c r="CT7" s="12" t="str">
        <f aca="false">IF(COUNT(CT3,CT6)=2,CT3*CT6,"")</f>
        <v/>
      </c>
      <c r="CU7" s="12" t="n">
        <f aca="false">CU3*CU6</f>
        <v>3532.54818410705</v>
      </c>
      <c r="CV7" s="12" t="n">
        <f aca="false">CV3*CV6</f>
        <v>3453.191955</v>
      </c>
      <c r="CW7" s="13" t="str">
        <f aca="false">IF(COUNT(CW3,CW6)=2,CW3*CW6,"")</f>
        <v/>
      </c>
      <c r="CX7" s="13" t="n">
        <f aca="false">CX3*CX6</f>
        <v>3453.95035321631</v>
      </c>
      <c r="CY7" s="13" t="n">
        <f aca="false">CY3*CY6</f>
        <v>3374.490657</v>
      </c>
      <c r="CZ7" s="12" t="str">
        <f aca="false">IF(COUNT(CZ3,CZ6)=2,CZ3*CZ6,"")</f>
        <v/>
      </c>
      <c r="DA7" s="12" t="n">
        <f aca="false">DA3*DA6</f>
        <v>3375.63582462925</v>
      </c>
      <c r="DB7" s="12" t="n">
        <f aca="false">DB3*DB6</f>
        <v>3296.243262</v>
      </c>
      <c r="DC7" s="13" t="str">
        <f aca="false">IF(COUNT(DC3,DC6)=2,DC3*DC6,"")</f>
        <v/>
      </c>
      <c r="DD7" s="13" t="n">
        <f aca="false">DD3*DD6</f>
        <v>3258.18704626463</v>
      </c>
      <c r="DE7" s="13" t="n">
        <f aca="false">DE3*DE6</f>
        <v>3149.898366</v>
      </c>
      <c r="DF7" s="12" t="str">
        <f aca="false">IF(COUNT(DF3,DF6)=2,DF3*DF6,"")</f>
        <v/>
      </c>
      <c r="DG7" s="12" t="n">
        <f aca="false">DG3*DG6</f>
        <v>3112.72634296919</v>
      </c>
      <c r="DH7" s="12" t="n">
        <f aca="false">DH3*DH6</f>
        <v>3004.615434</v>
      </c>
      <c r="DI7" s="13" t="n">
        <f aca="false">IF(COUNT(DI3,DI6)=2,DI3*DI6,"")</f>
        <v>3064.626</v>
      </c>
      <c r="DJ7" s="13" t="n">
        <f aca="false">DJ3*DJ6</f>
        <v>3064.626</v>
      </c>
      <c r="DK7" s="13" t="n">
        <f aca="false">DK3*DK6</f>
        <v>2996.226</v>
      </c>
      <c r="DL7" s="12" t="n">
        <f aca="false">IF(COUNT(DL3,DL6)=2,DL3*DL6,"")</f>
        <v>2988</v>
      </c>
      <c r="DM7" s="12" t="n">
        <f aca="false">DM3*DM6</f>
        <v>2988</v>
      </c>
      <c r="DN7" s="12" t="n">
        <f aca="false">DN3*DN6</f>
        <v>2988</v>
      </c>
    </row>
    <row r="8" customFormat="false" ht="15" hidden="false" customHeight="false" outlineLevel="0" collapsed="false">
      <c r="A8" s="17" t="s">
        <v>210</v>
      </c>
      <c r="B8" s="106" t="str">
        <f aca="false">IF(SUM(AR3,AO3,AL3,AI3,AF3,AC3,Z3,W3,T3,Q3,N3,K3)=0,"",SUM(AR9,AO9,AL9,AI9,AF9,AC9,Z9,W9,T9,Q9,N9,K9)/SUM(AR3,AO3,AL3,AI3,AF3,AC3,Z3,W3,T3,Q3,N3,K3))</f>
        <v/>
      </c>
      <c r="C8" s="106" t="n">
        <f aca="false">IF(SUM(AS3,AP3,AM3,AJ3,AG3,AD3,AA3,X3,U3,R3,O3,L3)=0,"",SUM(AS9,AP9,AM9,AJ9,AG9,AD9,AA9,X9,U9,R9,O9,L9)/SUM(AS3,AP3,AM3,AJ3,AG3,AD3,AA3,X3,U3,R3,O3,L3))</f>
        <v>0.00609051254220793</v>
      </c>
      <c r="D8" s="106" t="n">
        <f aca="false">IF(SUM(AT3,AQ3,AN3,AK3,AH3,AE3,AB3,Y3,V3,S3,P3,M3)=0,"",SUM(AT9,AQ9,AN9,AK9,AH9,AE9,AB9,Y9,V9,S9,P9,M9)/SUM(AT3,AQ3,AN3,AK3,AH3,AE3,AB3,Y3,V3,S3,P3,M3))</f>
        <v>0.00609020504236113</v>
      </c>
      <c r="E8" s="107" t="str">
        <f aca="false">IF(SUM(CB3,BY3,BV3,BS3,BP3,BM3,BJ3,BG3,BD3,BA3,AX3,AU3)=0,"",SUM(CB9,BY9,BV9,BS9,BP9,BM9,BJ9,BG9,BD9,BA9,AX9,AU9)/SUM(CB3,BY3,BV3,BS3,BP3,BM3,BJ3,BG3,BD3,BA3,AX3,AU3))</f>
        <v/>
      </c>
      <c r="F8" s="107" t="n">
        <f aca="false">IF(SUM(CC3,BZ3,BW3,BT3,BQ3,BN3,BK3,BH3,BE3,BB3,AY3,AV3)=0,"",SUM(CC9,BZ9,BW9,BT9,BQ9,BN9,BK9,BH9,BE9,BB9,AY9,AV9)/SUM(CC3,BZ3,BW3,BT3,BQ3,BN3,BK3,BH3,BE3,BB3,AY3,AV3))</f>
        <v>0.00615077092014571</v>
      </c>
      <c r="G8" s="107" t="n">
        <f aca="false">IF(SUM(CD3,CA3,BX3,BU3,BR3,BO3,BL3,BI3,BF3,BC3,AZ3,AW3)=0,"",SUM(CD9,CA9,BX9,BU9,BR9,BO9,BL9,BI9,BF9,BC9,AZ9,AW9)/SUM(CD3,CA3,BX3,BU3,BR3,BO3,BL3,BI3,BF3,BC3,AZ3,AW3))</f>
        <v>0.00615035866480575</v>
      </c>
      <c r="H8" s="106" t="n">
        <f aca="false">IF(SUM(DL3,DI3,DF3,DC3,CZ3,CW3,CT3,CQ3,CN3,CK3,CH3,CE3)=0,"",SUM(DL9,DI9,DF9,DC9,CZ9,CW9,CT9,CQ9,CN9,CK9,CH9,CE9)/SUM(DL3,DI3,DF3,DC3,CZ3,CW3,CT3,CQ3,CN3,CK3,CH3,CE3))</f>
        <v>0.00411847680463282</v>
      </c>
      <c r="I8" s="106" t="n">
        <f aca="false">IF(SUM(DM3,DJ3,DG3,DD3,DA3,CX3,CU3,CR3,CO3,CL3,CI3,CF3)=0,"",SUM(DM9,DJ9,DG9,DD9,DA9,CX9,CU9,CR9,CO9,CL9,CI9,CF9)/SUM(DM3,DJ3,DG3,DD3,DA3,CX3,CU3,CR3,CO3,CL3,CI3,CF3))</f>
        <v>0.00619033880476814</v>
      </c>
      <c r="J8" s="106" t="n">
        <f aca="false">IF(SUM(DN3,DK3,DH3,DE3,DB3,CY3,CV3,CS3,CP3,CM3,CJ3,CG3)=0,"",SUM(DN9,DK9,DH9,DE9,DB9,CY9,CV9,CS9,CP9,CM9,CJ9,CG9)/SUM(DN3,DK3,DH3,DE3,DB3,CY3,CV3,CS3,CP3,CM3,CJ3,CG3))</f>
        <v>0.00617987988055813</v>
      </c>
      <c r="K8" s="107" t="str">
        <f aca="false">IF(COUNT(K16)=1,K16,"")</f>
        <v/>
      </c>
      <c r="L8" s="107" t="n">
        <f aca="false">L16</f>
        <v>0.00607005141388175</v>
      </c>
      <c r="M8" s="107" t="n">
        <f aca="false">M16</f>
        <v>0.00607211848036059</v>
      </c>
      <c r="N8" s="106" t="str">
        <f aca="false">IF(COUNT(N16)=1,N16,"")</f>
        <v/>
      </c>
      <c r="O8" s="106" t="n">
        <f aca="false">O16</f>
        <v>0.00606090373280943</v>
      </c>
      <c r="P8" s="106" t="n">
        <f aca="false">P16</f>
        <v>0.00606299212598425</v>
      </c>
      <c r="Q8" s="107" t="str">
        <f aca="false">IF(COUNT(Q16)=1,Q16,"")</f>
        <v/>
      </c>
      <c r="R8" s="107" t="n">
        <f aca="false">R16</f>
        <v>0.00608144192256342</v>
      </c>
      <c r="S8" s="107" t="n">
        <f aca="false">S16</f>
        <v>0.00608361204013378</v>
      </c>
      <c r="T8" s="106" t="str">
        <f aca="false">IF(COUNT(T16)=1,T16,"")</f>
        <v/>
      </c>
      <c r="U8" s="106" t="n">
        <f aca="false">U16</f>
        <v>0.00607215793056501</v>
      </c>
      <c r="V8" s="106" t="n">
        <f aca="false">V16</f>
        <v>0.0060743519781719</v>
      </c>
      <c r="W8" s="107" t="str">
        <f aca="false">IF(COUNT(W16)=1,W16,"")</f>
        <v/>
      </c>
      <c r="X8" s="107" t="n">
        <f aca="false">X16</f>
        <v>0.0060625</v>
      </c>
      <c r="Y8" s="107" t="n">
        <f aca="false">Y16</f>
        <v>0.00606471816283925</v>
      </c>
      <c r="Z8" s="106" t="str">
        <f aca="false">IF(COUNT(Z16)=1,Z16,"")</f>
        <v/>
      </c>
      <c r="AA8" s="106" t="n">
        <f aca="false">AA16</f>
        <v>0.00608433734939759</v>
      </c>
      <c r="AB8" s="106" t="n">
        <f aca="false">AB16</f>
        <v>0.00608664772727273</v>
      </c>
      <c r="AC8" s="107" t="str">
        <f aca="false">IF(COUNT(AC16)=1,AC16,"")</f>
        <v/>
      </c>
      <c r="AD8" s="107" t="n">
        <f aca="false">AD16</f>
        <v>0.00607530774800869</v>
      </c>
      <c r="AE8" s="107" t="n">
        <f aca="false">AE16</f>
        <v>0.00607764876632801</v>
      </c>
      <c r="AF8" s="106" t="str">
        <f aca="false">IF(COUNT(AF16)=1,AF16,"")</f>
        <v/>
      </c>
      <c r="AG8" s="106" t="n">
        <f aca="false">AG16</f>
        <v>0.00609918578830496</v>
      </c>
      <c r="AH8" s="106" t="n">
        <f aca="false">AH16</f>
        <v>0.00610163204747775</v>
      </c>
      <c r="AI8" s="107" t="str">
        <f aca="false">IF(COUNT(AI16)=1,AI16,"")</f>
        <v/>
      </c>
      <c r="AJ8" s="107" t="n">
        <f aca="false">AJ16</f>
        <v>0.00612414837244512</v>
      </c>
      <c r="AK8" s="107" t="n">
        <f aca="false">AK16</f>
        <v>0.00612670713201821</v>
      </c>
      <c r="AL8" s="106" t="str">
        <f aca="false">IF(COUNT(AL16)=1,AL16,"")</f>
        <v/>
      </c>
      <c r="AM8" s="106" t="n">
        <f aca="false">AM16</f>
        <v>0.0061154144074361</v>
      </c>
      <c r="AN8" s="106" t="n">
        <f aca="false">AN16</f>
        <v>0.00611801242236025</v>
      </c>
      <c r="AO8" s="107" t="str">
        <f aca="false">IF(COUNT(AO16)=1,AO16,"")</f>
        <v/>
      </c>
      <c r="AP8" s="107" t="n">
        <f aca="false">AP16</f>
        <v>0.00614195083267248</v>
      </c>
      <c r="AQ8" s="107" t="n">
        <f aca="false">AQ16</f>
        <v>0.00610890302066773</v>
      </c>
      <c r="AR8" s="106" t="str">
        <f aca="false">IF(COUNT(AR16)=1,AR16,"")</f>
        <v/>
      </c>
      <c r="AS8" s="106" t="n">
        <f aca="false">AS16</f>
        <v>0.00612409347300564</v>
      </c>
      <c r="AT8" s="106" t="n">
        <f aca="false">AT16</f>
        <v>0.00612681744749596</v>
      </c>
      <c r="AU8" s="107" t="str">
        <f aca="false">IF(COUNT(AU16)=1,AU16,"")</f>
        <v/>
      </c>
      <c r="AV8" s="107" t="n">
        <f aca="false">AV16</f>
        <v>0.00614344262295082</v>
      </c>
      <c r="AW8" s="107" t="n">
        <f aca="false">AW16</f>
        <v>0.00610928512736237</v>
      </c>
      <c r="AX8" s="106" t="str">
        <f aca="false">IF(COUNT(AX16)=1,AX16,"")</f>
        <v/>
      </c>
      <c r="AY8" s="106" t="n">
        <f aca="false">AY16</f>
        <v>0.00612593828190159</v>
      </c>
      <c r="AZ8" s="106" t="n">
        <f aca="false">AZ16</f>
        <v>0.00612876254180602</v>
      </c>
      <c r="BA8" s="107" t="str">
        <f aca="false">IF(COUNT(BA16)=1,BA16,"")</f>
        <v/>
      </c>
      <c r="BB8" s="107" t="n">
        <f aca="false">BB16</f>
        <v>0.00614601018675722</v>
      </c>
      <c r="BC8" s="107" t="n">
        <f aca="false">BC16</f>
        <v>0.00614893617021277</v>
      </c>
      <c r="BD8" s="106" t="str">
        <f aca="false">IF(COUNT(BD16)=1,BD16,"")</f>
        <v/>
      </c>
      <c r="BE8" s="106" t="n">
        <f aca="false">BE16</f>
        <v>0.00612791702679343</v>
      </c>
      <c r="BF8" s="106" t="n">
        <f aca="false">BF16</f>
        <v>0.00613084922010399</v>
      </c>
      <c r="BG8" s="107" t="str">
        <f aca="false">IF(COUNT(BG16)=1,BG16,"")</f>
        <v/>
      </c>
      <c r="BH8" s="107" t="n">
        <f aca="false">BH16</f>
        <v>0.0061487676056338</v>
      </c>
      <c r="BI8" s="107" t="n">
        <f aca="false">BI16</f>
        <v>0.00615180935569285</v>
      </c>
      <c r="BJ8" s="106" t="str">
        <f aca="false">IF(COUNT(BJ16)=1,BJ16,"")</f>
        <v/>
      </c>
      <c r="BK8" s="106" t="n">
        <f aca="false">BK16</f>
        <v>0.00613004484304933</v>
      </c>
      <c r="BL8" s="106" t="n">
        <f aca="false">BL16</f>
        <v>0.00613309352517986</v>
      </c>
      <c r="BM8" s="107" t="str">
        <f aca="false">IF(COUNT(BM16)=1,BM16,"")</f>
        <v/>
      </c>
      <c r="BN8" s="107" t="n">
        <f aca="false">BN16</f>
        <v>0.00615173674588666</v>
      </c>
      <c r="BO8" s="107" t="n">
        <f aca="false">BO16</f>
        <v>0.00615490375802017</v>
      </c>
      <c r="BP8" s="106" t="str">
        <f aca="false">IF(COUNT(BP16)=1,BP16,"")</f>
        <v/>
      </c>
      <c r="BQ8" s="106" t="n">
        <f aca="false">BQ16</f>
        <v>0.00617427772600187</v>
      </c>
      <c r="BR8" s="106" t="n">
        <f aca="false">BR16</f>
        <v>0.00617757009345794</v>
      </c>
      <c r="BS8" s="107" t="str">
        <f aca="false">IF(COUNT(BS16)=1,BS16,"")</f>
        <v/>
      </c>
      <c r="BT8" s="107" t="n">
        <f aca="false">BT16</f>
        <v>0.00615604186489058</v>
      </c>
      <c r="BU8" s="107" t="n">
        <f aca="false">BU16</f>
        <v>0.00615935114503817</v>
      </c>
      <c r="BV8" s="106" t="str">
        <f aca="false">IF(COUNT(BV16)=1,BV16,"")</f>
        <v/>
      </c>
      <c r="BW8" s="106" t="n">
        <f aca="false">BW16</f>
        <v>0.00618075801749271</v>
      </c>
      <c r="BX8" s="106" t="n">
        <f aca="false">BX16</f>
        <v>0.00618421052631579</v>
      </c>
      <c r="BY8" s="107" t="str">
        <f aca="false">IF(COUNT(BY16)=1,BY16,"")</f>
        <v/>
      </c>
      <c r="BZ8" s="107" t="n">
        <f aca="false">BZ16</f>
        <v>0.00616186693147964</v>
      </c>
      <c r="CA8" s="107" t="n">
        <f aca="false">CA16</f>
        <v>0.00616533864541833</v>
      </c>
      <c r="CB8" s="106" t="str">
        <f aca="false">IF(COUNT(CB16)=1,CB16,"")</f>
        <v/>
      </c>
      <c r="CC8" s="106" t="n">
        <f aca="false">CC16</f>
        <v>0.00617706237424547</v>
      </c>
      <c r="CD8" s="106" t="n">
        <f aca="false">CD16</f>
        <v>0.00618062563067609</v>
      </c>
      <c r="CE8" s="107" t="str">
        <f aca="false">IF(COUNT(CE16)=1,CE16,"")</f>
        <v/>
      </c>
      <c r="CF8" s="107" t="n">
        <f aca="false">CF16</f>
        <v>0.00619266055045872</v>
      </c>
      <c r="CG8" s="107" t="n">
        <f aca="false">CG16</f>
        <v>0.00615030674846626</v>
      </c>
      <c r="CH8" s="106" t="str">
        <f aca="false">IF(COUNT(CH16)=1,CH16,"")</f>
        <v/>
      </c>
      <c r="CI8" s="106" t="n">
        <f aca="false">CI16</f>
        <v>0.00616219008264463</v>
      </c>
      <c r="CJ8" s="106" t="n">
        <f aca="false">CJ16</f>
        <v>0.00616580310880829</v>
      </c>
      <c r="CK8" s="107" t="str">
        <f aca="false">IF(COUNT(CK16)=1,CK16,"")</f>
        <v/>
      </c>
      <c r="CL8" s="107" t="n">
        <f aca="false">CL16</f>
        <v>0.00617801047120419</v>
      </c>
      <c r="CM8" s="107" t="n">
        <f aca="false">CM16</f>
        <v>0.00618172268907563</v>
      </c>
      <c r="CN8" s="106" t="str">
        <f aca="false">IF(COUNT(CN16)=1,CN16,"")</f>
        <v/>
      </c>
      <c r="CO8" s="106" t="n">
        <f aca="false">CO16</f>
        <v>0.00619426751592357</v>
      </c>
      <c r="CP8" s="106" t="n">
        <f aca="false">CP16</f>
        <v>0.00615015974440895</v>
      </c>
      <c r="CQ8" s="107" t="str">
        <f aca="false">IF(COUNT(CQ16)=1,CQ16,"")</f>
        <v/>
      </c>
      <c r="CR8" s="107" t="n">
        <f aca="false">CR16</f>
        <v>0.00616254036598493</v>
      </c>
      <c r="CS8" s="107" t="n">
        <f aca="false">CS16</f>
        <v>0.00616630669546436</v>
      </c>
      <c r="CT8" s="106" t="str">
        <f aca="false">IF(COUNT(CT16)=1,CT16,"")</f>
        <v/>
      </c>
      <c r="CU8" s="106" t="n">
        <f aca="false">CU16</f>
        <v>0.00617903930131004</v>
      </c>
      <c r="CV8" s="106" t="n">
        <f aca="false">CV16</f>
        <v>0.0061829134720701</v>
      </c>
      <c r="CW8" s="107" t="str">
        <f aca="false">IF(COUNT(CW16)=1,CW16,"")</f>
        <v/>
      </c>
      <c r="CX8" s="107" t="n">
        <f aca="false">CX16</f>
        <v>0.00619601328903655</v>
      </c>
      <c r="CY8" s="107" t="n">
        <f aca="false">CY16</f>
        <v>0.00615</v>
      </c>
      <c r="CZ8" s="106" t="str">
        <f aca="false">IF(COUNT(CZ16)=1,CZ16,"")</f>
        <v/>
      </c>
      <c r="DA8" s="106" t="n">
        <f aca="false">DA16</f>
        <v>0.00616422947131609</v>
      </c>
      <c r="DB8" s="106" t="n">
        <f aca="false">DB16</f>
        <v>0.00616817155756208</v>
      </c>
      <c r="DC8" s="107" t="str">
        <f aca="false">IF(COUNT(DC16)=1,DC16,"")</f>
        <v/>
      </c>
      <c r="DD8" s="107" t="n">
        <f aca="false">DD16</f>
        <v>0.00618285714285714</v>
      </c>
      <c r="DE8" s="107" t="n">
        <f aca="false">DE16</f>
        <v>0.00618692660550459</v>
      </c>
      <c r="DF8" s="106" t="str">
        <f aca="false">IF(COUNT(DF16)=1,DF16,"")</f>
        <v/>
      </c>
      <c r="DG8" s="106" t="n">
        <f aca="false">DG16</f>
        <v>0.00621764705882353</v>
      </c>
      <c r="DH8" s="106" t="n">
        <f aca="false">DH16</f>
        <v>0.00623361144219309</v>
      </c>
      <c r="DI8" s="107" t="n">
        <f aca="false">IF(COUNT(DI16)=1,DI16,"")</f>
        <v>0.00622630331753555</v>
      </c>
      <c r="DJ8" s="107" t="n">
        <f aca="false">DJ16</f>
        <v>0.00622630331753555</v>
      </c>
      <c r="DK8" s="107" t="n">
        <f aca="false">DK16</f>
        <v>0.0062</v>
      </c>
      <c r="DL8" s="106" t="n">
        <f aca="false">IF(COUNT(DL16)=1,DL16,"")</f>
        <v>0.00624698795180723</v>
      </c>
      <c r="DM8" s="106" t="n">
        <f aca="false">DM16</f>
        <v>0.00624698795180723</v>
      </c>
      <c r="DN8" s="106" t="n">
        <f aca="false">DN16</f>
        <v>0.00624698795180723</v>
      </c>
    </row>
    <row r="9" customFormat="false" ht="15" hidden="false" customHeight="false" outlineLevel="0" collapsed="false">
      <c r="A9" s="5" t="s">
        <v>211</v>
      </c>
      <c r="B9" s="12" t="str">
        <f aca="false">IF(COUNT(AR9,AO9,AL9,AI9,AF9,AC9,Z9,W9,T9,Q9,N9,K9)=0,"",SUM(AR9,AO9,AL9,AI9,AF9,AC9,Z9,W9,T9,Q9,N9,K9))</f>
        <v/>
      </c>
      <c r="C9" s="12" t="n">
        <f aca="false">IF(COUNT(AS9,AP9,AM9,AJ9,AG9,AD9,AA9,X9,U9,R9,O9,L9)=0,"",SUM(AS9,AP9,AM9,AJ9,AG9,AD9,AA9,X9,U9,R9,O9,L9))</f>
        <v>151449.731114927</v>
      </c>
      <c r="D9" s="12" t="n">
        <f aca="false">IF(COUNT(AT9,AQ9,AN9,AK9,AH9,AE9,AB9,Y9,V9,S9,P9,M9)=0,"",SUM(AT9,AQ9,AN9,AK9,AH9,AE9,AB9,Y9,V9,S9,P9,M9))</f>
        <v>149525.133676128</v>
      </c>
      <c r="E9" s="13" t="str">
        <f aca="false">IF(COUNT(CB9,BY9,BV9,BS9,BP9,BM9,BJ9,BG9,BD9,BA9,AX9,AU9)=0,"",SUM(CB9,BY9,BV9,BS9,BP9,BM9,BJ9,BG9,BD9,BA9,AX9,AU9))</f>
        <v/>
      </c>
      <c r="F9" s="13" t="n">
        <f aca="false">IF(COUNT(CC9,BZ9,BW9,BT9,BQ9,BN9,BK9,BH9,BE9,BB9,AY9,AV9)=0,"",SUM(CC9,BZ9,BW9,BT9,BQ9,BN9,BK9,BH9,BE9,BB9,AY9,AV9))</f>
        <v>113097.736331504</v>
      </c>
      <c r="G9" s="13" t="n">
        <f aca="false">IF(COUNT(CD9,CA9,BX9,BU9,BR9,BO9,BL9,BI9,BF9,BC9,AZ9,AW9)=0,"",SUM(CD9,CA9,BX9,BU9,BR9,BO9,BL9,BI9,BF9,BC9,AZ9,AW9))</f>
        <v>111134.807905309</v>
      </c>
      <c r="H9" s="12" t="n">
        <f aca="false">IF(COUNT(DL9,DI9,DF9,DC9,CZ9,CW9,CT9,CQ9,CN9,CK9,CH9,CE9)=0,"",SUM(DL9,DI9,DF9,DC9,CZ9,CW9,CT9,CQ9,CN9,CK9,CH9,CE9))</f>
        <v>12582.4303436019</v>
      </c>
      <c r="I9" s="12" t="n">
        <f aca="false">IF(COUNT(DM9,DJ9,DG9,DD9,DA9,CX9,CU9,CR9,CO9,CL9,CI9,CF9)=0,"",SUM(DM9,DJ9,DG9,DD9,DA9,CX9,CU9,CR9,CO9,CL9,CI9,CF9))</f>
        <v>85926.4254057665</v>
      </c>
      <c r="J9" s="12" t="n">
        <f aca="false">IF(COUNT(DN9,DK9,DH9,DE9,DB9,CY9,CV9,CS9,CP9,CM9,CJ9,CG9)=0,"",SUM(DN9,DK9,DH9,DE9,DB9,CY9,CV9,CS9,CP9,CM9,CJ9,CG9))</f>
        <v>83885.5269431357</v>
      </c>
      <c r="K9" s="13" t="str">
        <f aca="false">IF(COUNT(K3,K8)=2,K3*K8,"")</f>
        <v/>
      </c>
      <c r="L9" s="13" t="n">
        <f aca="false">L3*L8</f>
        <v>14464.9159040903</v>
      </c>
      <c r="M9" s="13" t="n">
        <f aca="false">M3*M8</f>
        <v>14311.6851536252</v>
      </c>
      <c r="N9" s="12" t="str">
        <f aca="false">IF(COUNT(N3,N8)=2,N3*N8,"")</f>
        <v/>
      </c>
      <c r="O9" s="12" t="n">
        <f aca="false">O3*O8</f>
        <v>14087.6783571534</v>
      </c>
      <c r="P9" s="12" t="n">
        <f aca="false">P3*P8</f>
        <v>13934.4163044095</v>
      </c>
      <c r="Q9" s="13" t="str">
        <f aca="false">IF(COUNT(Q3,Q8)=2,Q3*Q8,"")</f>
        <v/>
      </c>
      <c r="R9" s="13" t="n">
        <f aca="false">R3*R8</f>
        <v>13781.8287483202</v>
      </c>
      <c r="S9" s="13" t="n">
        <f aca="false">S3*S8</f>
        <v>13627.892395786</v>
      </c>
      <c r="T9" s="12" t="str">
        <f aca="false">IF(COUNT(T3,T8)=2,T3*T8,"")</f>
        <v/>
      </c>
      <c r="U9" s="12" t="n">
        <f aca="false">U3*U8</f>
        <v>13410.3702313609</v>
      </c>
      <c r="V9" s="12" t="n">
        <f aca="false">V3*V8</f>
        <v>13256.4048758936</v>
      </c>
      <c r="W9" s="13" t="str">
        <f aca="false">IF(COUNT(W3,W8)=2,W3*W8,"")</f>
        <v/>
      </c>
      <c r="X9" s="13" t="n">
        <f aca="false">X3*X8</f>
        <v>13041.7975214715</v>
      </c>
      <c r="Y9" s="13" t="n">
        <f aca="false">Y3*Y8</f>
        <v>12887.8138001983</v>
      </c>
      <c r="Z9" s="12" t="str">
        <f aca="false">IF(COUNT(Z3,Z8)=2,Z3*Z8,"")</f>
        <v/>
      </c>
      <c r="AA9" s="12" t="n">
        <f aca="false">AA3*AA8</f>
        <v>12743.3077459274</v>
      </c>
      <c r="AB9" s="12" t="n">
        <f aca="false">AB3*AB8</f>
        <v>12588.6175091903</v>
      </c>
      <c r="AC9" s="13" t="str">
        <f aca="false">IF(COUNT(AC3,AC8)=2,AC3*AC8,"")</f>
        <v/>
      </c>
      <c r="AD9" s="13" t="n">
        <f aca="false">AD3*AD8</f>
        <v>12382.0594256297</v>
      </c>
      <c r="AE9" s="13" t="n">
        <f aca="false">AE3*AE8</f>
        <v>12227.3395439949</v>
      </c>
      <c r="AF9" s="12" t="str">
        <f aca="false">IF(COUNT(AF3,AF8)=2,AF3*AF8,"")</f>
        <v/>
      </c>
      <c r="AG9" s="12" t="n">
        <f aca="false">AG3*AG8</f>
        <v>12090.0666175214</v>
      </c>
      <c r="AH9" s="12" t="n">
        <f aca="false">AH3*AH8</f>
        <v>11934.5938903004</v>
      </c>
      <c r="AI9" s="13" t="str">
        <f aca="false">IF(COUNT(AI3,AI8)=2,AI3*AI8,"")</f>
        <v/>
      </c>
      <c r="AJ9" s="13" t="n">
        <f aca="false">AJ3*AJ8</f>
        <v>11800.5191523389</v>
      </c>
      <c r="AK9" s="13" t="n">
        <f aca="false">AK3*AK8</f>
        <v>11644.2638219651</v>
      </c>
      <c r="AL9" s="12" t="str">
        <f aca="false">IF(COUNT(AL3,AL8)=2,AL3*AL8,"")</f>
        <v/>
      </c>
      <c r="AM9" s="12" t="n">
        <f aca="false">AM3*AM8</f>
        <v>11447.7529759794</v>
      </c>
      <c r="AN9" s="12" t="n">
        <f aca="false">AN3*AN8</f>
        <v>11291.4560785404</v>
      </c>
      <c r="AO9" s="13" t="str">
        <f aca="false">IF(COUNT(AO3,AO8)=2,AO3*AO8,"")</f>
        <v/>
      </c>
      <c r="AP9" s="13" t="n">
        <f aca="false">AP3*AP8</f>
        <v>11242.4173567331</v>
      </c>
      <c r="AQ9" s="13" t="n">
        <f aca="false">AQ3*AQ8</f>
        <v>11020.5890735652</v>
      </c>
      <c r="AR9" s="12" t="str">
        <f aca="false">IF(COUNT(AR3,AR8)=2,AR3*AR8,"")</f>
        <v/>
      </c>
      <c r="AS9" s="12" t="n">
        <f aca="false">AS3*AS8</f>
        <v>10957.0170784013</v>
      </c>
      <c r="AT9" s="12" t="n">
        <f aca="false">AT3*AT8</f>
        <v>10800.0612286591</v>
      </c>
      <c r="AU9" s="13" t="str">
        <f aca="false">IF(COUNT(AU3,AU8)=2,AU3*AU8,"")</f>
        <v/>
      </c>
      <c r="AV9" s="13" t="n">
        <f aca="false">AV3*AV8</f>
        <v>10740.0871864784</v>
      </c>
      <c r="AW9" s="13" t="n">
        <f aca="false">AW3*AW8</f>
        <v>10518.5956327732</v>
      </c>
      <c r="AX9" s="12" t="str">
        <f aca="false">IF(COUNT(AX3,AX8)=2,AX3*AX8,"")</f>
        <v/>
      </c>
      <c r="AY9" s="12" t="n">
        <f aca="false">AY3*AY8</f>
        <v>10460.2118832674</v>
      </c>
      <c r="AZ9" s="12" t="n">
        <f aca="false">AZ3*AZ8</f>
        <v>10302.7226423829</v>
      </c>
      <c r="BA9" s="13" t="str">
        <f aca="false">IF(COUNT(BA3,BA8)=2,BA3*BA8,"")</f>
        <v/>
      </c>
      <c r="BB9" s="13" t="n">
        <f aca="false">BB3*BB8</f>
        <v>10246.3459594457</v>
      </c>
      <c r="BC9" s="13" t="n">
        <f aca="false">BC3*BC8</f>
        <v>10088.355841766</v>
      </c>
      <c r="BD9" s="12" t="str">
        <f aca="false">IF(COUNT(BD3,BD8)=2,BD3*BD8,"")</f>
        <v/>
      </c>
      <c r="BE9" s="12" t="n">
        <f aca="false">BE3*BE8</f>
        <v>9970.32387378838</v>
      </c>
      <c r="BF9" s="12" t="n">
        <f aca="false">BF3*BF8</f>
        <v>9812.6857739818</v>
      </c>
      <c r="BG9" s="13" t="str">
        <f aca="false">IF(COUNT(BG3,BG8)=2,BG3*BG8,"")</f>
        <v/>
      </c>
      <c r="BH9" s="13" t="n">
        <f aca="false">BH3*BH8</f>
        <v>9759.49335112013</v>
      </c>
      <c r="BI9" s="13" t="n">
        <f aca="false">BI3*BI8</f>
        <v>9601.33435031774</v>
      </c>
      <c r="BJ9" s="12" t="str">
        <f aca="false">IF(COUNT(BJ3,BJ8)=2,BJ3*BJ8,"")</f>
        <v/>
      </c>
      <c r="BK9" s="12" t="n">
        <f aca="false">BK3*BK8</f>
        <v>9487.30977835369</v>
      </c>
      <c r="BL9" s="12" t="n">
        <f aca="false">BL3*BL8</f>
        <v>9329.51671857914</v>
      </c>
      <c r="BM9" s="13" t="str">
        <f aca="false">IF(COUNT(BM3,BM8)=2,BM3*BM8,"")</f>
        <v/>
      </c>
      <c r="BN9" s="13" t="n">
        <f aca="false">BN3*BN8</f>
        <v>9279.2274236942</v>
      </c>
      <c r="BO9" s="13" t="n">
        <f aca="false">BO3*BO8</f>
        <v>9120.8916348121</v>
      </c>
      <c r="BP9" s="12" t="str">
        <f aca="false">IF(COUNT(BP3,BP8)=2,BP3*BP8,"")</f>
        <v/>
      </c>
      <c r="BQ9" s="12" t="n">
        <f aca="false">BQ3*BQ8</f>
        <v>9072.35676440823</v>
      </c>
      <c r="BR9" s="12" t="n">
        <f aca="false">BR3*BR8</f>
        <v>8913.45404786916</v>
      </c>
      <c r="BS9" s="13" t="str">
        <f aca="false">IF(COUNT(BS3,BS8)=2,BS3*BS8,"")</f>
        <v/>
      </c>
      <c r="BT9" s="13" t="n">
        <f aca="false">BT3*BT8</f>
        <v>8806.69154477322</v>
      </c>
      <c r="BU9" s="13" t="n">
        <f aca="false">BU3*BU8</f>
        <v>8648.14377833969</v>
      </c>
      <c r="BV9" s="12" t="str">
        <f aca="false">IF(COUNT(BV3,BV8)=2,BV3*BV8,"")</f>
        <v/>
      </c>
      <c r="BW9" s="12" t="n">
        <f aca="false">BW3*BW8</f>
        <v>8603.88978202053</v>
      </c>
      <c r="BX9" s="12" t="n">
        <f aca="false">BX3*BX8</f>
        <v>8444.7268181579</v>
      </c>
      <c r="BY9" s="13" t="str">
        <f aca="false">IF(COUNT(BY3,BY8)=2,BY3*BY8,"")</f>
        <v/>
      </c>
      <c r="BZ9" s="13" t="n">
        <f aca="false">BZ3*BZ8</f>
        <v>8409.37157876009</v>
      </c>
      <c r="CA9" s="13" t="n">
        <f aca="false">CA3*CA8</f>
        <v>8250.78170517928</v>
      </c>
      <c r="CB9" s="12" t="str">
        <f aca="false">IF(COUNT(CB3,CB8)=2,CB3*CB8,"")</f>
        <v/>
      </c>
      <c r="CC9" s="12" t="n">
        <f aca="false">CC3*CC8</f>
        <v>8262.42720539363</v>
      </c>
      <c r="CD9" s="12" t="n">
        <f aca="false">CD3*CD8</f>
        <v>8103.59896115035</v>
      </c>
      <c r="CE9" s="13" t="str">
        <f aca="false">IF(COUNT(CE3,CE8)=2,CE3*CE8,"")</f>
        <v/>
      </c>
      <c r="CF9" s="13" t="n">
        <f aca="false">CF3*CF8</f>
        <v>8116.13704991185</v>
      </c>
      <c r="CG9" s="13" t="n">
        <f aca="false">CG3*CG8</f>
        <v>7897.60855743865</v>
      </c>
      <c r="CH9" s="12" t="str">
        <f aca="false">IF(COUNT(CH3,CH8)=2,CH3*CH8,"")</f>
        <v/>
      </c>
      <c r="CI9" s="12" t="n">
        <f aca="false">CI3*CI8</f>
        <v>7910.44604221657</v>
      </c>
      <c r="CJ9" s="12" t="n">
        <f aca="false">CJ3*CJ8</f>
        <v>7751.79395823834</v>
      </c>
      <c r="CK9" s="13" t="str">
        <f aca="false">IF(COUNT(CK3,CK8)=2,CK3*CK8,"")</f>
        <v/>
      </c>
      <c r="CL9" s="13" t="n">
        <f aca="false">CL3*CL8</f>
        <v>7765.51691213068</v>
      </c>
      <c r="CM9" s="13" t="n">
        <f aca="false">CM3*CM8</f>
        <v>7606.60875510504</v>
      </c>
      <c r="CN9" s="12" t="str">
        <f aca="false">IF(COUNT(CN3,CN8)=2,CN3*CN8,"")</f>
        <v/>
      </c>
      <c r="CO9" s="12" t="n">
        <f aca="false">CO3*CO8</f>
        <v>7621.22053500003</v>
      </c>
      <c r="CP9" s="12" t="n">
        <f aca="false">CP3*CP8</f>
        <v>7403.99280535144</v>
      </c>
      <c r="CQ9" s="13" t="str">
        <f aca="false">IF(COUNT(CQ3,CQ8)=2,CQ3*CQ8,"")</f>
        <v/>
      </c>
      <c r="CR9" s="13" t="n">
        <f aca="false">CR3*CR8</f>
        <v>7418.87151316333</v>
      </c>
      <c r="CS9" s="13" t="n">
        <f aca="false">CS3*CS8</f>
        <v>7260.15790358531</v>
      </c>
      <c r="CT9" s="12" t="str">
        <f aca="false">IF(COUNT(CT3,CT8)=2,CT3*CT8,"")</f>
        <v/>
      </c>
      <c r="CU9" s="12" t="n">
        <f aca="false">CU3*CU8</f>
        <v>7275.91802112297</v>
      </c>
      <c r="CV9" s="12" t="n">
        <f aca="false">CV3*CV8</f>
        <v>7116.9290200712</v>
      </c>
      <c r="CW9" s="13" t="str">
        <f aca="false">IF(COUNT(CW3,CW8)=2,CW3*CW8,"")</f>
        <v/>
      </c>
      <c r="CX9" s="13" t="n">
        <f aca="false">CX3*CX8</f>
        <v>7133.5740960669</v>
      </c>
      <c r="CY9" s="13" t="n">
        <f aca="false">CY3*CY8</f>
        <v>6917.70584685</v>
      </c>
      <c r="CZ9" s="12" t="str">
        <f aca="false">IF(COUNT(CZ3,CZ8)=2,CZ3*CZ8,"")</f>
        <v/>
      </c>
      <c r="DA9" s="12" t="n">
        <f aca="false">DA3*DA8</f>
        <v>6936.06461153667</v>
      </c>
      <c r="DB9" s="12" t="n">
        <f aca="false">DB3*DB8</f>
        <v>6777.26464515801</v>
      </c>
      <c r="DC9" s="13" t="str">
        <f aca="false">IF(COUNT(DC3,DC8)=2,DC3*DC8,"")</f>
        <v/>
      </c>
      <c r="DD9" s="13" t="n">
        <f aca="false">DD3*DD8</f>
        <v>6714.9683505873</v>
      </c>
      <c r="DE9" s="13" t="n">
        <f aca="false">DE3*DE8</f>
        <v>6496.06333508028</v>
      </c>
      <c r="DF9" s="12" t="str">
        <f aca="false">IF(COUNT(DF3,DF8)=2,DF3*DF8,"")</f>
        <v/>
      </c>
      <c r="DG9" s="12" t="n">
        <f aca="false">DG3*DG8</f>
        <v>6451.27793042831</v>
      </c>
      <c r="DH9" s="12" t="n">
        <f aca="false">DH3*DH8</f>
        <v>6243.20171625745</v>
      </c>
      <c r="DI9" s="13" t="n">
        <f aca="false">IF(COUNT(DI3,DI8)=2,DI3*DI8,"")</f>
        <v>6360.4303436019</v>
      </c>
      <c r="DJ9" s="13" t="n">
        <f aca="false">DJ3*DJ8</f>
        <v>6360.4303436019</v>
      </c>
      <c r="DK9" s="13" t="n">
        <f aca="false">DK3*DK8</f>
        <v>6192.2004</v>
      </c>
      <c r="DL9" s="12" t="n">
        <f aca="false">IF(COUNT(DL3,DL8)=2,DL3*DL8,"")</f>
        <v>6222</v>
      </c>
      <c r="DM9" s="12" t="n">
        <f aca="false">DM3*DM8</f>
        <v>6222</v>
      </c>
      <c r="DN9" s="12" t="n">
        <f aca="false">DN3*DN8</f>
        <v>6222</v>
      </c>
    </row>
    <row r="10" customFormat="false" ht="15" hidden="false" customHeight="false" outlineLevel="0" collapsed="false">
      <c r="A10" s="5" t="s">
        <v>212</v>
      </c>
      <c r="B10" s="112" t="str">
        <f aca="false">IF(SUM(AR3,AO3,AL3,AI3,AF3,AC3,Z3,W3,T3,Q3,N3,K3)=0,"",(SUM(AR3,AO3,AL3,AI3,AF3,AC3,Z3,W3,T3,Q3,N3,K3)+SUM(AR11,AO11,AL11,AI11,AF11,AC11,Z11,W11,T11,Q11,N11,K11))/SUM(AR3,AO3,AL3,AI3,AF3,AC3,Z3,W3,T3,Q3,N3,K3))</f>
        <v/>
      </c>
      <c r="C10" s="112" t="n">
        <f aca="false">IF(SUM(AS3,AP3,AM3,AJ3,AG3,AD3,AA3,X3,U3,R3,O3,L3)=0,"",(SUM(AS3,AP3,AM3,AJ3,AG3,AD3,AA3,X3,U3,R3,O3,L3)+SUM(AS11,AP11,AM11,AJ11,AG11,AD11,AA11,X11,U11,R11,O11,L11))/SUM(AS3,AP3,AM3,AJ3,AG3,AD3,AA3,X3,U3,R3,O3,L3))</f>
        <v>1.00290948745779</v>
      </c>
      <c r="D10" s="112" t="n">
        <f aca="false">IF(SUM(AT3,AQ3,AN3,AK3,AH3,AE3,AB3,Y3,V3,S3,P3,M3)=0,"",(SUM(AT3,AQ3,AN3,AK3,AH3,AE3,AB3,Y3,V3,S3,P3,M3)+SUM(AT11,AQ11,AN11,AK11,AH11,AE11,AB11,Y11,V11,S11,P11,M11))/SUM(AT3,AQ3,AN3,AK3,AH3,AE3,AB3,Y3,V3,S3,P3,M3))</f>
        <v>1.00290979495764</v>
      </c>
      <c r="E10" s="31" t="str">
        <f aca="false">IF(SUM(CB3,BY3,BV3,BS3,BP3,BM3,BJ3,BG3,BD3,BA3,AX3,AU3)=0,"",(SUM(CB3,BY3,BV3,BS3,BP3,BM3,BJ3,BG3,BD3,BA3,AX3,AU3)+SUM(CB11,BY11,BV11,BS11,BP11,BM11,BJ11,BG11,BD11,BA11,AX11,AU11))/SUM(CB3,BY3,BV3,BS3,BP3,BM3,BJ3,BG3,BD3,BA3,AX3,AU3))</f>
        <v/>
      </c>
      <c r="F10" s="31" t="n">
        <f aca="false">IF(SUM(CC3,BZ3,BW3,BT3,BQ3,BN3,BK3,BH3,BE3,BB3,AY3,AV3)=0,"",(SUM(CC3,BZ3,BW3,BT3,BQ3,BN3,BK3,BH3,BE3,BB3,AY3,AV3)+SUM(CC11,BZ11,BW11,BT11,BQ11,BN11,BK11,BH11,BE11,BB11,AY11,AV11))/SUM(CC3,BZ3,BW3,BT3,BQ3,BN3,BK3,BH3,BE3,BB3,AY3,AV3))</f>
        <v>1.00284922907985</v>
      </c>
      <c r="G10" s="31" t="n">
        <f aca="false">IF(SUM(CD3,CA3,BX3,BU3,BR3,BO3,BL3,BI3,BF3,BC3,AZ3,AW3)=0,"",(SUM(CD3,CA3,BX3,BU3,BR3,BO3,BL3,BI3,BF3,BC3,AZ3,AW3)+SUM(CD11,CA11,BX11,BU11,BR11,BO11,BL11,BI11,BF11,BC11,AZ11,AW11))/SUM(CD3,CA3,BX3,BU3,BR3,BO3,BL3,BI3,BF3,BC3,AZ3,AW3))</f>
        <v>1.00284964133519</v>
      </c>
      <c r="H10" s="112" t="n">
        <f aca="false">IF(SUM(DL3,DI3,DF3,DC3,CZ3,CW3,CT3,CQ3,CN3,CK3,CH3,CE3)=0,"",(SUM(DL3,DI3,DF3,DC3,CZ3,CW3,CT3,CQ3,CN3,CK3,CH3,CE3)+SUM(DL11,DI11,DF11,DC11,CZ11,CW11,CT11,CQ11,CN11,CK11,CH11,CE11))/SUM(DL3,DI3,DF3,DC3,CZ3,CW3,CT3,CQ3,CN3,CK3,CH3,CE3))</f>
        <v>1.00182495362353</v>
      </c>
      <c r="I10" s="112" t="n">
        <f aca="false">IF(SUM(DM3,DJ3,DG3,DD3,DA3,CX3,CU3,CR3,CO3,CL3,CI3,CF3)=0,"",(SUM(DM3,DJ3,DG3,DD3,DA3,CX3,CU3,CR3,CO3,CL3,CI3,CF3)+SUM(DM11,DJ11,DG11,DD11,DA11,CX11,CU11,CR11,CO11,CL11,CI11,CF11))/SUM(DM3,DJ3,DG3,DD3,DA3,CX3,CU3,CR3,CO3,CL3,CI3,CF3))</f>
        <v>1.00280966119523</v>
      </c>
      <c r="J10" s="112" t="n">
        <f aca="false">IF(SUM(DN3,DK3,DH3,DE3,DB3,CY3,CV3,CS3,CP3,CM3,CJ3,CG3)=0,"",(SUM(DN3,DK3,DH3,DE3,DB3,CY3,CV3,CS3,CP3,CM3,CJ3,CG3)+SUM(DN11,DK11,DH11,DE11,DB11,CY11,CV11,CS11,CP11,CM11,CJ11,CG11))/SUM(DN3,DK3,DH3,DE3,DB3,CY3,CV3,CS3,CP3,CM3,CJ3,CG3))</f>
        <v>1.00282012011944</v>
      </c>
      <c r="K10" s="31" t="str">
        <f aca="false">IF(COUNT(K3,K11)=2,IF(N(K3)=0,"",(K3+K11)/K3),"")</f>
        <v/>
      </c>
      <c r="L10" s="31" t="n">
        <f aca="false">IF(N(L3)=0,"",(L3+L11)/L3)</f>
        <v>1.00292994858612</v>
      </c>
      <c r="M10" s="31" t="n">
        <f aca="false">IF(N(M3)=0,"",(M3+M11)/M3)</f>
        <v>1.00292788151964</v>
      </c>
      <c r="N10" s="112" t="str">
        <f aca="false">IF(COUNT(N3,N11)=2,IF(N(N3)=0,"",(N3+N11)/N3),"")</f>
        <v/>
      </c>
      <c r="O10" s="112" t="n">
        <f aca="false">IF(N(O3)=0,"",(O3+O11)/O3)</f>
        <v>1.00293909626719</v>
      </c>
      <c r="P10" s="112" t="n">
        <f aca="false">IF(N(P3)=0,"",(P3+P11)/P3)</f>
        <v>1.00293700787402</v>
      </c>
      <c r="Q10" s="31" t="str">
        <f aca="false">IF(COUNT(Q3,Q11)=2,IF(N(Q3)=0,"",(Q3+Q11)/Q3),"")</f>
        <v/>
      </c>
      <c r="R10" s="31" t="n">
        <f aca="false">IF(N(R3)=0,"",(R3+R11)/R3)</f>
        <v>1.00291855807744</v>
      </c>
      <c r="S10" s="31" t="n">
        <f aca="false">IF(N(S3)=0,"",(S3+S11)/S3)</f>
        <v>1.00291638795987</v>
      </c>
      <c r="T10" s="112" t="str">
        <f aca="false">IF(COUNT(T3,T11)=2,IF(N(T3)=0,"",(T3+T11)/T3),"")</f>
        <v/>
      </c>
      <c r="U10" s="112" t="n">
        <f aca="false">IF(N(U3)=0,"",(U3+U11)/U3)</f>
        <v>1.00292784206944</v>
      </c>
      <c r="V10" s="112" t="n">
        <f aca="false">IF(N(V3)=0,"",(V3+V11)/V3)</f>
        <v>1.00292564802183</v>
      </c>
      <c r="W10" s="31" t="str">
        <f aca="false">IF(COUNT(W3,W11)=2,IF(N(W3)=0,"",(W3+W11)/W3),"")</f>
        <v/>
      </c>
      <c r="X10" s="31" t="n">
        <f aca="false">IF(N(X3)=0,"",(X3+X11)/X3)</f>
        <v>1.0029375</v>
      </c>
      <c r="Y10" s="31" t="n">
        <f aca="false">IF(N(Y3)=0,"",(Y3+Y11)/Y3)</f>
        <v>1.00293528183716</v>
      </c>
      <c r="Z10" s="112" t="str">
        <f aca="false">IF(COUNT(Z3,Z11)=2,IF(N(Z3)=0,"",(Z3+Z11)/Z3),"")</f>
        <v/>
      </c>
      <c r="AA10" s="112" t="n">
        <f aca="false">IF(N(AA3)=0,"",(AA3+AA11)/AA3)</f>
        <v>1.0029156626506</v>
      </c>
      <c r="AB10" s="112" t="n">
        <f aca="false">IF(N(AB3)=0,"",(AB3+AB11)/AB3)</f>
        <v>1.00291335227273</v>
      </c>
      <c r="AC10" s="31" t="str">
        <f aca="false">IF(COUNT(AC3,AC11)=2,IF(N(AC3)=0,"",(AC3+AC11)/AC3),"")</f>
        <v/>
      </c>
      <c r="AD10" s="31" t="n">
        <f aca="false">IF(N(AD3)=0,"",(AD3+AD11)/AD3)</f>
        <v>1.00292469225199</v>
      </c>
      <c r="AE10" s="31" t="n">
        <f aca="false">IF(N(AE3)=0,"",(AE3+AE11)/AE3)</f>
        <v>1.00292235123367</v>
      </c>
      <c r="AF10" s="112" t="str">
        <f aca="false">IF(COUNT(AF3,AF11)=2,IF(N(AF3)=0,"",(AF3+AF11)/AF3),"")</f>
        <v/>
      </c>
      <c r="AG10" s="112" t="n">
        <f aca="false">IF(N(AG3)=0,"",(AG3+AG11)/AG3)</f>
        <v>1.0029008142117</v>
      </c>
      <c r="AH10" s="112" t="n">
        <f aca="false">IF(N(AH3)=0,"",(AH3+AH11)/AH3)</f>
        <v>1.00289836795252</v>
      </c>
      <c r="AI10" s="31" t="str">
        <f aca="false">IF(COUNT(AI3,AI11)=2,IF(N(AI3)=0,"",(AI3+AI11)/AI3),"")</f>
        <v/>
      </c>
      <c r="AJ10" s="31" t="n">
        <f aca="false">IF(N(AJ3)=0,"",(AJ3+AJ11)/AJ3)</f>
        <v>1.00287585162755</v>
      </c>
      <c r="AK10" s="31" t="n">
        <f aca="false">IF(N(AK3)=0,"",(AK3+AK11)/AK3)</f>
        <v>1.00287329286798</v>
      </c>
      <c r="AL10" s="112" t="str">
        <f aca="false">IF(COUNT(AL3,AL11)=2,IF(N(AL3)=0,"",(AL3+AL11)/AL3),"")</f>
        <v/>
      </c>
      <c r="AM10" s="112" t="n">
        <f aca="false">IF(N(AM3)=0,"",(AM3+AM11)/AM3)</f>
        <v>1.00288458559256</v>
      </c>
      <c r="AN10" s="112" t="n">
        <f aca="false">IF(N(AN3)=0,"",(AN3+AN11)/AN3)</f>
        <v>1.00288198757764</v>
      </c>
      <c r="AO10" s="31" t="str">
        <f aca="false">IF(COUNT(AO3,AO11)=2,IF(N(AO3)=0,"",(AO3+AO11)/AO3),"")</f>
        <v/>
      </c>
      <c r="AP10" s="31" t="n">
        <f aca="false">IF(N(AP3)=0,"",(AP3+AP11)/AP3)</f>
        <v>1.00285804916733</v>
      </c>
      <c r="AQ10" s="31" t="n">
        <f aca="false">IF(N(AQ3)=0,"",(AQ3+AQ11)/AQ3)</f>
        <v>1.00289109697933</v>
      </c>
      <c r="AR10" s="112" t="str">
        <f aca="false">IF(COUNT(AR3,AR11)=2,IF(N(AR3)=0,"",(AR3+AR11)/AR3),"")</f>
        <v/>
      </c>
      <c r="AS10" s="112" t="n">
        <f aca="false">IF(N(AS3)=0,"",(AS3+AS11)/AS3)</f>
        <v>1.00287590652699</v>
      </c>
      <c r="AT10" s="112" t="n">
        <f aca="false">IF(N(AT3)=0,"",(AT3+AT11)/AT3)</f>
        <v>1.0028731825525</v>
      </c>
      <c r="AU10" s="31" t="str">
        <f aca="false">IF(COUNT(AU3,AU11)=2,IF(N(AU3)=0,"",(AU3+AU11)/AU3),"")</f>
        <v/>
      </c>
      <c r="AV10" s="31" t="n">
        <f aca="false">IF(N(AV3)=0,"",(AV3+AV11)/AV3)</f>
        <v>1.00285655737705</v>
      </c>
      <c r="AW10" s="31" t="n">
        <f aca="false">IF(N(AW3)=0,"",(AW3+AW11)/AW3)</f>
        <v>1.00289071487264</v>
      </c>
      <c r="AX10" s="112" t="str">
        <f aca="false">IF(COUNT(AX3,AX11)=2,IF(N(AX3)=0,"",(AX3+AX11)/AX3),"")</f>
        <v/>
      </c>
      <c r="AY10" s="112" t="n">
        <f aca="false">IF(N(AY3)=0,"",(AY3+AY11)/AY3)</f>
        <v>1.0028740617181</v>
      </c>
      <c r="AZ10" s="112" t="n">
        <f aca="false">IF(N(AZ3)=0,"",(AZ3+AZ11)/AZ3)</f>
        <v>1.00287123745819</v>
      </c>
      <c r="BA10" s="31" t="str">
        <f aca="false">IF(COUNT(BA3,BA11)=2,IF(N(BA3)=0,"",(BA3+BA11)/BA3),"")</f>
        <v/>
      </c>
      <c r="BB10" s="31" t="n">
        <f aca="false">IF(N(BB3)=0,"",(BB3+BB11)/BB3)</f>
        <v>1.00285398981324</v>
      </c>
      <c r="BC10" s="31" t="n">
        <f aca="false">IF(N(BC3)=0,"",(BC3+BC11)/BC3)</f>
        <v>1.00285106382979</v>
      </c>
      <c r="BD10" s="112" t="str">
        <f aca="false">IF(COUNT(BD3,BD11)=2,IF(N(BD3)=0,"",(BD3+BD11)/BD3),"")</f>
        <v/>
      </c>
      <c r="BE10" s="112" t="n">
        <f aca="false">IF(N(BE3)=0,"",(BE3+BE11)/BE3)</f>
        <v>1.00287208297321</v>
      </c>
      <c r="BF10" s="112" t="n">
        <f aca="false">IF(N(BF3)=0,"",(BF3+BF11)/BF3)</f>
        <v>1.0028691507799</v>
      </c>
      <c r="BG10" s="31" t="str">
        <f aca="false">IF(COUNT(BG3,BG11)=2,IF(N(BG3)=0,"",(BG3+BG11)/BG3),"")</f>
        <v/>
      </c>
      <c r="BH10" s="31" t="n">
        <f aca="false">IF(N(BH3)=0,"",(BH3+BH11)/BH3)</f>
        <v>1.00285123239437</v>
      </c>
      <c r="BI10" s="31" t="n">
        <f aca="false">IF(N(BI3)=0,"",(BI3+BI11)/BI3)</f>
        <v>1.00284819064431</v>
      </c>
      <c r="BJ10" s="112" t="str">
        <f aca="false">IF(COUNT(BJ3,BJ11)=2,IF(N(BJ3)=0,"",(BJ3+BJ11)/BJ3),"")</f>
        <v/>
      </c>
      <c r="BK10" s="112" t="n">
        <f aca="false">IF(N(BK3)=0,"",(BK3+BK11)/BK3)</f>
        <v>1.00286995515695</v>
      </c>
      <c r="BL10" s="112" t="n">
        <f aca="false">IF(N(BL3)=0,"",(BL3+BL11)/BL3)</f>
        <v>1.00286690647482</v>
      </c>
      <c r="BM10" s="31" t="str">
        <f aca="false">IF(COUNT(BM3,BM11)=2,IF(N(BM3)=0,"",(BM3+BM11)/BM3),"")</f>
        <v/>
      </c>
      <c r="BN10" s="31" t="n">
        <f aca="false">IF(N(BN3)=0,"",(BN3+BN11)/BN3)</f>
        <v>1.00284826325411</v>
      </c>
      <c r="BO10" s="31" t="n">
        <f aca="false">IF(N(BO3)=0,"",(BO3+BO11)/BO3)</f>
        <v>1.00284509624198</v>
      </c>
      <c r="BP10" s="112" t="str">
        <f aca="false">IF(COUNT(BP3,BP11)=2,IF(N(BP3)=0,"",(BP3+BP11)/BP3),"")</f>
        <v/>
      </c>
      <c r="BQ10" s="112" t="n">
        <f aca="false">IF(N(BQ3)=0,"",(BQ3+BQ11)/BQ3)</f>
        <v>1.002825722274</v>
      </c>
      <c r="BR10" s="112" t="n">
        <f aca="false">IF(N(BR3)=0,"",(BR3+BR11)/BR3)</f>
        <v>1.00282242990654</v>
      </c>
      <c r="BS10" s="31" t="str">
        <f aca="false">IF(COUNT(BS3,BS11)=2,IF(N(BS3)=0,"",(BS3+BS11)/BS3),"")</f>
        <v/>
      </c>
      <c r="BT10" s="31" t="n">
        <f aca="false">IF(N(BT3)=0,"",(BT3+BT11)/BT3)</f>
        <v>1.00284395813511</v>
      </c>
      <c r="BU10" s="31" t="n">
        <f aca="false">IF(N(BU3)=0,"",(BU3+BU11)/BU3)</f>
        <v>1.00284064885496</v>
      </c>
      <c r="BV10" s="112" t="str">
        <f aca="false">IF(COUNT(BV3,BV11)=2,IF(N(BV3)=0,"",(BV3+BV11)/BV3),"")</f>
        <v/>
      </c>
      <c r="BW10" s="112" t="n">
        <f aca="false">IF(N(BW3)=0,"",(BW3+BW11)/BW3)</f>
        <v>1.00281924198251</v>
      </c>
      <c r="BX10" s="112" t="n">
        <f aca="false">IF(N(BX3)=0,"",(BX3+BX11)/BX3)</f>
        <v>1.00281578947368</v>
      </c>
      <c r="BY10" s="31" t="str">
        <f aca="false">IF(COUNT(BY3,BY11)=2,IF(N(BY3)=0,"",(BY3+BY11)/BY3),"")</f>
        <v/>
      </c>
      <c r="BZ10" s="31" t="n">
        <f aca="false">IF(N(BZ3)=0,"",(BZ3+BZ11)/BZ3)</f>
        <v>1.00283813306852</v>
      </c>
      <c r="CA10" s="31" t="n">
        <f aca="false">IF(N(CA3)=0,"",(CA3+CA11)/CA3)</f>
        <v>1.00283466135458</v>
      </c>
      <c r="CB10" s="112" t="str">
        <f aca="false">IF(COUNT(CB3,CB11)=2,IF(N(CB3)=0,"",(CB3+CB11)/CB3),"")</f>
        <v/>
      </c>
      <c r="CC10" s="112" t="n">
        <f aca="false">IF(N(CC3)=0,"",(CC3+CC11)/CC3)</f>
        <v>1.00282293762575</v>
      </c>
      <c r="CD10" s="112" t="n">
        <f aca="false">IF(N(CD3)=0,"",(CD3+CD11)/CD3)</f>
        <v>1.00281937436932</v>
      </c>
      <c r="CE10" s="31" t="str">
        <f aca="false">IF(COUNT(CE3,CE11)=2,IF(N(CE3)=0,"",(CE3+CE11)/CE3),"")</f>
        <v/>
      </c>
      <c r="CF10" s="31" t="n">
        <f aca="false">IF(N(CF3)=0,"",(CF3+CF11)/CF3)</f>
        <v>1.00280733944954</v>
      </c>
      <c r="CG10" s="31" t="n">
        <f aca="false">IF(N(CG3)=0,"",(CG3+CG11)/CG3)</f>
        <v>1.00284969325153</v>
      </c>
      <c r="CH10" s="112" t="str">
        <f aca="false">IF(COUNT(CH3,CH11)=2,IF(N(CH3)=0,"",(CH3+CH11)/CH3),"")</f>
        <v/>
      </c>
      <c r="CI10" s="112" t="n">
        <f aca="false">IF(N(CI3)=0,"",(CI3+CI11)/CI3)</f>
        <v>1.00283780991736</v>
      </c>
      <c r="CJ10" s="112" t="n">
        <f aca="false">IF(N(CJ3)=0,"",(CJ3+CJ11)/CJ3)</f>
        <v>1.00283419689119</v>
      </c>
      <c r="CK10" s="31" t="str">
        <f aca="false">IF(COUNT(CK3,CK11)=2,IF(N(CK3)=0,"",(CK3+CK11)/CK3),"")</f>
        <v/>
      </c>
      <c r="CL10" s="31" t="n">
        <f aca="false">IF(N(CL3)=0,"",(CL3+CL11)/CL3)</f>
        <v>1.0028219895288</v>
      </c>
      <c r="CM10" s="31" t="n">
        <f aca="false">IF(N(CM3)=0,"",(CM3+CM11)/CM3)</f>
        <v>1.00281827731092</v>
      </c>
      <c r="CN10" s="112" t="str">
        <f aca="false">IF(COUNT(CN3,CN11)=2,IF(N(CN3)=0,"",(CN3+CN11)/CN3),"")</f>
        <v/>
      </c>
      <c r="CO10" s="112" t="n">
        <f aca="false">IF(N(CO3)=0,"",(CO3+CO11)/CO3)</f>
        <v>1.00280573248408</v>
      </c>
      <c r="CP10" s="112" t="n">
        <f aca="false">IF(N(CP3)=0,"",(CP3+CP11)/CP3)</f>
        <v>1.00284984025559</v>
      </c>
      <c r="CQ10" s="31" t="str">
        <f aca="false">IF(COUNT(CQ3,CQ11)=2,IF(N(CQ3)=0,"",(CQ3+CQ11)/CQ3),"")</f>
        <v/>
      </c>
      <c r="CR10" s="31" t="n">
        <f aca="false">IF(N(CR3)=0,"",(CR3+CR11)/CR3)</f>
        <v>1.00283745963402</v>
      </c>
      <c r="CS10" s="31" t="n">
        <f aca="false">IF(N(CS3)=0,"",(CS3+CS11)/CS3)</f>
        <v>1.00283369330454</v>
      </c>
      <c r="CT10" s="112" t="str">
        <f aca="false">IF(COUNT(CT3,CT11)=2,IF(N(CT3)=0,"",(CT3+CT11)/CT3),"")</f>
        <v/>
      </c>
      <c r="CU10" s="112" t="n">
        <f aca="false">IF(N(CU3)=0,"",(CU3+CU11)/CU3)</f>
        <v>1.00282096069869</v>
      </c>
      <c r="CV10" s="112" t="n">
        <f aca="false">IF(N(CV3)=0,"",(CV3+CV11)/CV3)</f>
        <v>1.00281708652793</v>
      </c>
      <c r="CW10" s="31" t="str">
        <f aca="false">IF(COUNT(CW3,CW11)=2,IF(N(CW3)=0,"",(CW3+CW11)/CW3),"")</f>
        <v/>
      </c>
      <c r="CX10" s="31" t="n">
        <f aca="false">IF(N(CX3)=0,"",(CX3+CX11)/CX3)</f>
        <v>1.00280398671096</v>
      </c>
      <c r="CY10" s="31" t="n">
        <f aca="false">IF(N(CY3)=0,"",(CY3+CY11)/CY3)</f>
        <v>1.00285</v>
      </c>
      <c r="CZ10" s="112" t="str">
        <f aca="false">IF(COUNT(CZ3,CZ11)=2,IF(N(CZ3)=0,"",(CZ3+CZ11)/CZ3),"")</f>
        <v/>
      </c>
      <c r="DA10" s="112" t="n">
        <f aca="false">IF(N(DA3)=0,"",(DA3+DA11)/DA3)</f>
        <v>1.00283577052868</v>
      </c>
      <c r="DB10" s="112" t="n">
        <f aca="false">IF(N(DB3)=0,"",(DB3+DB11)/DB3)</f>
        <v>1.00283182844244</v>
      </c>
      <c r="DC10" s="31" t="str">
        <f aca="false">IF(COUNT(DC3,DC11)=2,IF(N(DC3)=0,"",(DC3+DC11)/DC3),"")</f>
        <v/>
      </c>
      <c r="DD10" s="31" t="n">
        <f aca="false">IF(N(DD3)=0,"",(DD3+DD11)/DD3)</f>
        <v>1.00281714285714</v>
      </c>
      <c r="DE10" s="31" t="n">
        <f aca="false">IF(N(DE3)=0,"",(DE3+DE11)/DE3)</f>
        <v>1.0028130733945</v>
      </c>
      <c r="DF10" s="112" t="str">
        <f aca="false">IF(COUNT(DF3,DF11)=2,IF(N(DF3)=0,"",(DF3+DF11)/DF3),"")</f>
        <v/>
      </c>
      <c r="DG10" s="112" t="n">
        <f aca="false">IF(N(DG3)=0,"",(DG3+DG11)/DG3)</f>
        <v>1.00278235294118</v>
      </c>
      <c r="DH10" s="112" t="n">
        <f aca="false">IF(N(DH3)=0,"",(DH3+DH11)/DH3)</f>
        <v>1.00276638855781</v>
      </c>
      <c r="DI10" s="31" t="n">
        <f aca="false">IF(COUNT(DI3,DI11)=2,IF(N(DI3)=0,"",(DI3+DI11)/DI3),"")</f>
        <v>1.00277369668246</v>
      </c>
      <c r="DJ10" s="31" t="n">
        <f aca="false">IF(N(DJ3)=0,"",(DJ3+DJ11)/DJ3)</f>
        <v>1.00277369668246</v>
      </c>
      <c r="DK10" s="31" t="n">
        <f aca="false">IF(N(DK3)=0,"",(DK3+DK11)/DK3)</f>
        <v>1.0028</v>
      </c>
      <c r="DL10" s="112" t="n">
        <f aca="false">IF(COUNT(DL3,DL11)=2,IF(N(DL3)=0,"",(DL3+DL11)/DL3),"")</f>
        <v>1.00275301204819</v>
      </c>
      <c r="DM10" s="112" t="n">
        <f aca="false">IF(N(DM3)=0,"",(DM3+DM11)/DM3)</f>
        <v>1.00275301204819</v>
      </c>
      <c r="DN10" s="112" t="n">
        <f aca="false">IF(N(DN3)=0,"",(DN3+DN11)/DN3)</f>
        <v>1.00275301204819</v>
      </c>
    </row>
    <row r="11" customFormat="false" ht="15" hidden="false" customHeight="false" outlineLevel="0" collapsed="false">
      <c r="A11" s="14" t="s">
        <v>213</v>
      </c>
      <c r="B11" s="15" t="str">
        <f aca="false">IF(COUNT(AR11,AO11,AL11,AI11,AF11,AC11,Z11,W11,T11,Q11,N11,K11)=0,"",SUM(AR11,AO11,AL11,AI11,AF11,AC11,Z11,W11,T11,Q11,N11,K11))</f>
        <v/>
      </c>
      <c r="C11" s="15" t="n">
        <f aca="false">IF(COUNT(AS11,AP11,AM11,AJ11,AG11,AD11,AA11,X11,U11,R11,O11,L11)=0,"",SUM(AS11,AP11,AM11,AJ11,AG11,AD11,AA11,X11,U11,R11,O11,L11))</f>
        <v>72348.7703393056</v>
      </c>
      <c r="D11" s="15" t="n">
        <f aca="false">IF(COUNT(AT11,AQ11,AN11,AK11,AH11,AE11,AB11,Y11,V11,S11,P11,M11)=0,"",SUM(AT11,AQ11,AN11,AK11,AH11,AE11,AB11,Y11,V11,S11,P11,M11))</f>
        <v>71440.530652872</v>
      </c>
      <c r="E11" s="16" t="str">
        <f aca="false">IF(COUNT(CB11,BY11,BV11,BS11,BP11,BM11,BJ11,BG11,BD11,BA11,AX11,AU11)=0,"",SUM(CB11,BY11,BV11,BS11,BP11,BM11,BJ11,BG11,BD11,BA11,AX11,AU11))</f>
        <v/>
      </c>
      <c r="F11" s="16" t="n">
        <f aca="false">IF(COUNT(CC11,BZ11,BW11,BT11,BQ11,BN11,BK11,BH11,BE11,BB11,AY11,AV11)=0,"",SUM(CC11,BZ11,BW11,BT11,BQ11,BN11,BK11,BH11,BE11,BB11,AY11,AV11))</f>
        <v>52390.4016919197</v>
      </c>
      <c r="G11" s="16" t="n">
        <f aca="false">IF(COUNT(CD11,CA11,BX11,BU11,BR11,BO11,BL11,BI11,BF11,BC11,AZ11,AW11)=0,"",SUM(CD11,CA11,BX11,BU11,BR11,BO11,BL11,BI11,BF11,BC11,AZ11,AW11))</f>
        <v>51492.0120346907</v>
      </c>
      <c r="H11" s="15" t="n">
        <f aca="false">IF(COUNT(DL11,DI11,DF11,DC11,CZ11,CW11,CT11,CQ11,CN11,CK11,CH11,CE11)=0,"",SUM(DL11,DI11,DF11,DC11,CZ11,CW11,CT11,CQ11,CN11,CK11,CH11,CE11))</f>
        <v>5575.4476563981</v>
      </c>
      <c r="I11" s="15" t="n">
        <f aca="false">IF(COUNT(DM11,DJ11,DG11,DD11,DA11,CX11,CU11,CR11,CO11,CL11,CI11,CF11)=0,"",SUM(DM11,DJ11,DG11,DD11,DA11,CX11,CU11,CR11,CO11,CL11,CI11,CF11))</f>
        <v>39000.1501891316</v>
      </c>
      <c r="J11" s="15" t="n">
        <f aca="false">IF(COUNT(DN11,DK11,DH11,DE11,DB11,CY11,CV11,CS11,CP11,CM11,CJ11,CG11)=0,"",SUM(DN11,DK11,DH11,DE11,DB11,CY11,CV11,CS11,CP11,CM11,CJ11,CG11))</f>
        <v>38280.2363208643</v>
      </c>
      <c r="K11" s="16" t="str">
        <f aca="false">IF(COUNT(K5,K7,K9)=3,K5-K7-K9,"")</f>
        <v/>
      </c>
      <c r="L11" s="16" t="n">
        <f aca="false">L5-L7-L9</f>
        <v>6982.05946074619</v>
      </c>
      <c r="M11" s="16" t="n">
        <f aca="false">M5-M7-M9</f>
        <v>6900.87300037476</v>
      </c>
      <c r="N11" s="15" t="str">
        <f aca="false">IF(COUNT(N5,N7,N9)=3,N5-N7-N9,"")</f>
        <v/>
      </c>
      <c r="O11" s="15" t="n">
        <f aca="false">O5-O7-O9</f>
        <v>6831.49653883356</v>
      </c>
      <c r="P11" s="15" t="n">
        <f aca="false">P5-P7-P9</f>
        <v>6750.04841759055</v>
      </c>
      <c r="Q11" s="16" t="str">
        <f aca="false">IF(COUNT(Q5,Q7,Q9)=3,Q5-Q7-Q9,"")</f>
        <v/>
      </c>
      <c r="R11" s="16" t="n">
        <f aca="false">R5-R7-R9</f>
        <v>6614.06753980854</v>
      </c>
      <c r="S11" s="16" t="n">
        <f aca="false">S5-S7-S9</f>
        <v>6532.99734421405</v>
      </c>
      <c r="T11" s="15" t="str">
        <f aca="false">IF(COUNT(T5,T7,T9)=3,T5-T7-T9,"")</f>
        <v/>
      </c>
      <c r="U11" s="15" t="n">
        <f aca="false">U5-U7-U9</f>
        <v>6466.14376290171</v>
      </c>
      <c r="V11" s="15" t="n">
        <f aca="false">V5-V7-V9</f>
        <v>6384.80859210641</v>
      </c>
      <c r="W11" s="16" t="str">
        <f aca="false">IF(COUNT(W5,W7,W9)=3,W5-W7-W9,"")</f>
        <v/>
      </c>
      <c r="X11" s="16" t="n">
        <f aca="false">X5-X7-X9</f>
        <v>6319.22147947586</v>
      </c>
      <c r="Y11" s="16" t="n">
        <f aca="false">Y5-Y7-Y9</f>
        <v>6237.61315080167</v>
      </c>
      <c r="Z11" s="15" t="str">
        <f aca="false">IF(COUNT(Z5,Z7,Z9)=3,Z5-Z7-Z9,"")</f>
        <v/>
      </c>
      <c r="AA11" s="15" t="n">
        <f aca="false">AA5-AA7-AA9</f>
        <v>6106.69400893947</v>
      </c>
      <c r="AB11" s="15" t="n">
        <f aca="false">AB5-AB7-AB9</f>
        <v>6025.49696880966</v>
      </c>
      <c r="AC11" s="16" t="str">
        <f aca="false">IF(COUNT(AC5,AC7,AC9)=3,AC5-AC7-AC9,"")</f>
        <v/>
      </c>
      <c r="AD11" s="16" t="n">
        <f aca="false">AD5-AD7-AD9</f>
        <v>5960.8031013252</v>
      </c>
      <c r="AE11" s="16" t="n">
        <f aca="false">AE5-AE7-AE9</f>
        <v>5879.34284700508</v>
      </c>
      <c r="AF11" s="15" t="str">
        <f aca="false">IF(COUNT(AF5,AF7,AF9)=3,AF5-AF7-AF9,"")</f>
        <v/>
      </c>
      <c r="AG11" s="15" t="n">
        <f aca="false">AG5-AG7-AG9</f>
        <v>5750.11784879444</v>
      </c>
      <c r="AH11" s="15" t="n">
        <f aca="false">AH5-AH7-AH9</f>
        <v>5669.11347469956</v>
      </c>
      <c r="AI11" s="16" t="str">
        <f aca="false">IF(COUNT(AI5,AI7,AI9)=3,AI5-AI7-AI9,"")</f>
        <v/>
      </c>
      <c r="AJ11" s="16" t="n">
        <f aca="false">AJ5-AJ7-AJ9</f>
        <v>5541.43044001674</v>
      </c>
      <c r="AK11" s="16" t="n">
        <f aca="false">AK5-AK7-AK9</f>
        <v>5460.9073800349</v>
      </c>
      <c r="AL11" s="15" t="str">
        <f aca="false">IF(COUNT(AL5,AL7,AL9)=3,AL5-AL7-AL9,"")</f>
        <v/>
      </c>
      <c r="AM11" s="15" t="n">
        <f aca="false">AM5-AM7-AM9</f>
        <v>5399.80140374254</v>
      </c>
      <c r="AN11" s="15" t="n">
        <f aca="false">AN5-AN7-AN9</f>
        <v>5319.02093445963</v>
      </c>
      <c r="AO11" s="16" t="str">
        <f aca="false">IF(COUNT(AO5,AO7,AO9)=3,AO5-AO7-AO9,"")</f>
        <v/>
      </c>
      <c r="AP11" s="16" t="n">
        <f aca="false">AP5-AP7-AP9</f>
        <v>5231.46186619315</v>
      </c>
      <c r="AQ11" s="16" t="n">
        <f aca="false">AQ5-AQ7-AQ9</f>
        <v>5215.59953943482</v>
      </c>
      <c r="AR11" s="15" t="str">
        <f aca="false">IF(COUNT(AR5,AR7,AR9)=3,AR5-AR7-AR9,"")</f>
        <v/>
      </c>
      <c r="AS11" s="15" t="n">
        <f aca="false">AS5-AS7-AS9</f>
        <v>5145.47288852818</v>
      </c>
      <c r="AT11" s="15" t="n">
        <f aca="false">AT5-AT7-AT9</f>
        <v>5064.70900334088</v>
      </c>
      <c r="AU11" s="16" t="str">
        <f aca="false">IF(COUNT(AU5,AU7,AU9)=3,AU5-AU7-AU9,"")</f>
        <v/>
      </c>
      <c r="AV11" s="16" t="n">
        <f aca="false">AV5-AV7-AV9</f>
        <v>4993.88977249861</v>
      </c>
      <c r="AW11" s="16" t="n">
        <f aca="false">AW5-AW7-AW9</f>
        <v>4977.05708622679</v>
      </c>
      <c r="AX11" s="15" t="str">
        <f aca="false">IF(COUNT(AX5,AX7,AX9)=3,AX5-AX7-AX9,"")</f>
        <v/>
      </c>
      <c r="AY11" s="15" t="n">
        <f aca="false">AY5-AY7-AY9</f>
        <v>4907.54120486581</v>
      </c>
      <c r="AZ11" s="15" t="n">
        <f aca="false">AZ5-AZ7-AZ9</f>
        <v>4826.67797461706</v>
      </c>
      <c r="BA11" s="16" t="str">
        <f aca="false">IF(COUNT(BA5,BA7,BA9)=3,BA5-BA7-BA9,"")</f>
        <v/>
      </c>
      <c r="BB11" s="16" t="n">
        <f aca="false">BB5-BB7-BB9</f>
        <v>4758.040761831</v>
      </c>
      <c r="BC11" s="16" t="n">
        <f aca="false">BC5-BC7-BC9</f>
        <v>4677.64596123404</v>
      </c>
      <c r="BD11" s="15" t="str">
        <f aca="false">IF(COUNT(BD5,BD7,BD9)=3,BD5-BD7-BD9,"")</f>
        <v/>
      </c>
      <c r="BE11" s="15" t="n">
        <f aca="false">BE5-BE7-BE9</f>
        <v>4672.97408076147</v>
      </c>
      <c r="BF11" s="15" t="n">
        <f aca="false">BF5-BF7-BF9</f>
        <v>4592.1982470182</v>
      </c>
      <c r="BG11" s="16" t="str">
        <f aca="false">IF(COUNT(BG5,BG7,BG9)=3,BG5-BG7-BG9,"")</f>
        <v/>
      </c>
      <c r="BH11" s="16" t="n">
        <f aca="false">BH5-BH7-BH9</f>
        <v>4525.55461192242</v>
      </c>
      <c r="BI11" s="16" t="n">
        <f aca="false">BI5-BI7-BI9</f>
        <v>4445.26627668226</v>
      </c>
      <c r="BJ11" s="15" t="str">
        <f aca="false">IF(COUNT(BJ5,BJ7,BJ9)=3,BJ5-BJ7-BJ9,"")</f>
        <v/>
      </c>
      <c r="BK11" s="15" t="n">
        <f aca="false">BK5-BK7-BK9</f>
        <v>4441.75439513267</v>
      </c>
      <c r="BL11" s="15" t="n">
        <f aca="false">BL5-BL7-BL9</f>
        <v>4361.07027842086</v>
      </c>
      <c r="BM11" s="16" t="str">
        <f aca="false">IF(COUNT(BM5,BM7,BM9)=3,BM5-BM7-BM9,"")</f>
        <v/>
      </c>
      <c r="BN11" s="16" t="n">
        <f aca="false">BN5-BN7-BN9</f>
        <v>4296.29608502691</v>
      </c>
      <c r="BO11" s="16" t="n">
        <f aca="false">BO5-BO7-BO9</f>
        <v>4216.1202731879</v>
      </c>
      <c r="BP11" s="15" t="str">
        <f aca="false">IF(COUNT(BP5,BP7,BP9)=3,BP5-BP7-BP9,"")</f>
        <v/>
      </c>
      <c r="BQ11" s="15" t="n">
        <f aca="false">BQ5-BQ7-BQ9</f>
        <v>4152.05822032992</v>
      </c>
      <c r="BR11" s="15" t="n">
        <f aca="false">BR5-BR7-BR9</f>
        <v>4072.41017013084</v>
      </c>
      <c r="BS11" s="16" t="str">
        <f aca="false">IF(COUNT(BS5,BS7,BS9)=3,BS5-BS7-BS9,"")</f>
        <v/>
      </c>
      <c r="BT11" s="16" t="n">
        <f aca="false">BT5-BT7-BT9</f>
        <v>4068.5009315807</v>
      </c>
      <c r="BU11" s="16" t="n">
        <f aca="false">BU5-BU7-BU9</f>
        <v>3988.46228166031</v>
      </c>
      <c r="BV11" s="15" t="str">
        <f aca="false">IF(COUNT(BV5,BV7,BV9)=3,BV5-BV7-BV9,"")</f>
        <v/>
      </c>
      <c r="BW11" s="15" t="n">
        <f aca="false">BW5-BW7-BW9</f>
        <v>3924.51010340276</v>
      </c>
      <c r="BX11" s="15" t="n">
        <f aca="false">BX5-BX7-BX9</f>
        <v>3845.0458278421</v>
      </c>
      <c r="BY11" s="16" t="str">
        <f aca="false">IF(COUNT(BY5,BY7,BY9)=3,BY5-BY7-BY9,"")</f>
        <v/>
      </c>
      <c r="BZ11" s="16" t="n">
        <f aca="false">BZ5-BZ7-BZ9</f>
        <v>3873.32537825888</v>
      </c>
      <c r="CA11" s="16" t="n">
        <f aca="false">CA5-CA7-CA9</f>
        <v>3793.49349482072</v>
      </c>
      <c r="CB11" s="15" t="str">
        <f aca="false">IF(COUNT(CB5,CB7,CB9)=3,CB5-CB7-CB9,"")</f>
        <v/>
      </c>
      <c r="CC11" s="15" t="n">
        <f aca="false">CC5-CC7-CC9</f>
        <v>3775.95614630856</v>
      </c>
      <c r="CD11" s="15" t="n">
        <f aca="false">CD5-CD7-CD9</f>
        <v>3696.56416284965</v>
      </c>
      <c r="CE11" s="16" t="str">
        <f aca="false">IF(COUNT(CE5,CE7,CE9)=3,CE5-CE7-CE9,"")</f>
        <v/>
      </c>
      <c r="CF11" s="16" t="n">
        <f aca="false">CF5-CF7-CF9</f>
        <v>3679.3154626267</v>
      </c>
      <c r="CG11" s="16" t="n">
        <f aca="false">CG5-CG7-CG9</f>
        <v>3659.29094756135</v>
      </c>
      <c r="CH11" s="15" t="str">
        <f aca="false">IF(COUNT(CH5,CH7,CH9)=3,CH5-CH7-CH9,"")</f>
        <v/>
      </c>
      <c r="CI11" s="15" t="n">
        <f aca="false">CI5-CI7-CI9</f>
        <v>3642.91622430325</v>
      </c>
      <c r="CJ11" s="15" t="n">
        <f aca="false">CJ5-CJ7-CJ9</f>
        <v>3563.21957576166</v>
      </c>
      <c r="CK11" s="16" t="str">
        <f aca="false">IF(COUNT(CK5,CK7,CK9)=3,CK5-CK7-CK9,"")</f>
        <v/>
      </c>
      <c r="CL11" s="16" t="n">
        <f aca="false">CL5-CL7-CL9</f>
        <v>3547.13018274444</v>
      </c>
      <c r="CM11" s="16" t="n">
        <f aca="false">CM5-CM7-CM9</f>
        <v>3467.88976889496</v>
      </c>
      <c r="CN11" s="15" t="str">
        <f aca="false">IF(COUNT(CN5,CN7,CN9)=3,CN5-CN7-CN9,"")</f>
        <v/>
      </c>
      <c r="CO11" s="15" t="n">
        <f aca="false">CO5-CO7-CO9</f>
        <v>3452.07984130336</v>
      </c>
      <c r="CP11" s="15" t="n">
        <f aca="false">CP5-CP7-CP9</f>
        <v>3430.83718564856</v>
      </c>
      <c r="CQ11" s="16" t="str">
        <f aca="false">IF(COUNT(CQ5,CQ7,CQ9)=3,CQ5-CQ7-CQ9,"")</f>
        <v/>
      </c>
      <c r="CR11" s="16" t="n">
        <f aca="false">CR5-CR7-CR9</f>
        <v>3415.92057793861</v>
      </c>
      <c r="CS11" s="16" t="n">
        <f aca="false">CS5-CS7-CS9</f>
        <v>3336.36678441469</v>
      </c>
      <c r="CT11" s="15" t="str">
        <f aca="false">IF(COUNT(CT5,CT7,CT9)=3,CT5-CT7-CT9,"")</f>
        <v/>
      </c>
      <c r="CU11" s="15" t="n">
        <f aca="false">CU5-CU7-CU9</f>
        <v>3321.72653119819</v>
      </c>
      <c r="CV11" s="15" t="n">
        <f aca="false">CV5-CV7-CV9</f>
        <v>3242.64684492881</v>
      </c>
      <c r="CW11" s="16" t="str">
        <f aca="false">IF(COUNT(CW5,CW7,CW9)=3,CW5-CW7-CW9,"")</f>
        <v/>
      </c>
      <c r="CX11" s="16" t="n">
        <f aca="false">CX5-CX7-CX9</f>
        <v>3228.27696358202</v>
      </c>
      <c r="CY11" s="16" t="n">
        <f aca="false">CY5-CY7-CY9</f>
        <v>3205.76612415</v>
      </c>
      <c r="CZ11" s="15" t="str">
        <f aca="false">IF(COUNT(CZ5,CZ7,CZ9)=3,CZ5-CZ7-CZ9,"")</f>
        <v/>
      </c>
      <c r="DA11" s="15" t="n">
        <f aca="false">DA5-DA7-DA9</f>
        <v>3190.84286235108</v>
      </c>
      <c r="DB11" s="15" t="n">
        <f aca="false">DB5-DB7-DB9</f>
        <v>3111.46514084199</v>
      </c>
      <c r="DC11" s="16" t="str">
        <f aca="false">IF(COUNT(DC5,DC7,DC9)=3,DC5-DC7-DC9,"")</f>
        <v/>
      </c>
      <c r="DD11" s="16" t="n">
        <f aca="false">DD5-DD7-DD9</f>
        <v>3059.5927882066</v>
      </c>
      <c r="DE11" s="16" t="n">
        <f aca="false">DE5-DE7-DE9</f>
        <v>2953.63176291972</v>
      </c>
      <c r="DF11" s="15" t="str">
        <f aca="false">IF(COUNT(DF5,DF7,DF9)=3,DF5-DF7-DF9,"")</f>
        <v/>
      </c>
      <c r="DG11" s="15" t="n">
        <f aca="false">DG5-DG7-DG9</f>
        <v>2886.90109847927</v>
      </c>
      <c r="DH11" s="15" t="n">
        <f aca="false">DH5-DH7-DH9</f>
        <v>2770.64458574255</v>
      </c>
      <c r="DI11" s="16" t="n">
        <f aca="false">IF(COUNT(DI5,DI7,DI9)=3,DI5-DI7-DI9,"")</f>
        <v>2833.4476563981</v>
      </c>
      <c r="DJ11" s="16" t="n">
        <f aca="false">DJ5-DJ7-DJ9</f>
        <v>2833.4476563981</v>
      </c>
      <c r="DK11" s="16" t="n">
        <f aca="false">DK5-DK7-DK9</f>
        <v>2796.4776</v>
      </c>
      <c r="DL11" s="15" t="n">
        <f aca="false">IF(COUNT(DL5,DL7,DL9)=3,DL5-DL7-DL9,"")</f>
        <v>2742</v>
      </c>
      <c r="DM11" s="15" t="n">
        <f aca="false">DM5-DM7-DM9</f>
        <v>2742</v>
      </c>
      <c r="DN11" s="15" t="n">
        <f aca="false">DN5-DN7-DN9</f>
        <v>2742</v>
      </c>
    </row>
    <row r="12" customFormat="false" ht="15" hidden="false" customHeight="false" outlineLevel="0" collapsed="false">
      <c r="A12" s="5" t="s">
        <v>214</v>
      </c>
      <c r="B12" s="23" t="str">
        <f aca="false">IF(K12&lt;&gt;"",K12,IF(N12&lt;&gt;"",N12,IF(Q12&lt;&gt;"",Q12,IF(T12&lt;&gt;"",T12,IF(W12&lt;&gt;"",W12,IF(Z12&lt;&gt;"",Z12,IF(AC12&lt;&gt;"",AC12,IF(AF12&lt;&gt;"",AF12,IF(AI12&lt;&gt;"",AI12,IF(AL12&lt;&gt;"",AL12,IF(AO12&lt;&gt;"",AO12,IF(AR12&lt;&gt;"",AR12,""))))))))))))</f>
        <v/>
      </c>
      <c r="C12" s="23" t="n">
        <f aca="false">IF(L12&lt;&gt;"",L12,IF(O12&lt;&gt;"",O12,IF(R12&lt;&gt;"",R12,IF(U12&lt;&gt;"",U12,IF(X12&lt;&gt;"",X12,IF(AA12&lt;&gt;"",AA12,IF(AD12&lt;&gt;"",AD12,IF(AG12&lt;&gt;"",AG12,IF(AJ12&lt;&gt;"",AJ12,IF(AM12&lt;&gt;"",AM12,IF(AP12&lt;&gt;"",AP12,IF(AS12&lt;&gt;"",AS12,""))))))))))))</f>
        <v>1556</v>
      </c>
      <c r="D12" s="23" t="n">
        <f aca="false">IF(M12&lt;&gt;"",M12,IF(P12&lt;&gt;"",P12,IF(S12&lt;&gt;"",S12,IF(V12&lt;&gt;"",V12,IF(Y12&lt;&gt;"",Y12,IF(AB12&lt;&gt;"",AB12,IF(AE12&lt;&gt;"",AE12,IF(AH12&lt;&gt;"",AH12,IF(AK12&lt;&gt;"",AK12,IF(AN12&lt;&gt;"",AN12,IF(AQ12&lt;&gt;"",AQ12,IF(AT12&lt;&gt;"",AT12,""))))))))))))</f>
        <v>1553</v>
      </c>
      <c r="E12" s="2" t="str">
        <f aca="false">IF(AU12&lt;&gt;"",AU12,IF(AX12&lt;&gt;"",AX12,IF(BA12&lt;&gt;"",BA12,IF(BD12&lt;&gt;"",BD12,IF(BG12&lt;&gt;"",BG12,IF(BJ12&lt;&gt;"",BJ12,IF(BM12&lt;&gt;"",BM12,IF(BP12&lt;&gt;"",BP12,IF(BS12&lt;&gt;"",BS12,IF(BV12&lt;&gt;"",BV12,IF(BY12&lt;&gt;"",BY12,IF(CB12&lt;&gt;"",CB12,""))))))))))))</f>
        <v/>
      </c>
      <c r="F12" s="2" t="n">
        <f aca="false">IF(AV12&lt;&gt;"",AV12,IF(AY12&lt;&gt;"",AY12,IF(BB12&lt;&gt;"",BB12,IF(BE12&lt;&gt;"",BE12,IF(BH12&lt;&gt;"",BH12,IF(BK12&lt;&gt;"",BK12,IF(BN12&lt;&gt;"",BN12,IF(BQ12&lt;&gt;"",BQ12,IF(BT12&lt;&gt;"",BT12,IF(BW12&lt;&gt;"",BW12,IF(BZ12&lt;&gt;"",BZ12,IF(CC12&lt;&gt;"",CC12,""))))))))))))</f>
        <v>1220</v>
      </c>
      <c r="G12" s="2" t="n">
        <f aca="false">IF(AW12&lt;&gt;"",AW12,IF(AZ12&lt;&gt;"",AZ12,IF(BC12&lt;&gt;"",BC12,IF(BF12&lt;&gt;"",BF12,IF(BI12&lt;&gt;"",BI12,IF(BL12&lt;&gt;"",BL12,IF(BO12&lt;&gt;"",BO12,IF(BR12&lt;&gt;"",BR12,IF(BU12&lt;&gt;"",BU12,IF(BX12&lt;&gt;"",BX12,IF(CA12&lt;&gt;"",CA12,IF(CD12&lt;&gt;"",CD12,""))))))))))))</f>
        <v>1217</v>
      </c>
      <c r="H12" s="23" t="n">
        <f aca="false">IF(CE12&lt;&gt;"",CE12,IF(CH12&lt;&gt;"",CH12,IF(CK12&lt;&gt;"",CK12,IF(CN12&lt;&gt;"",CN12,IF(CQ12&lt;&gt;"",CQ12,IF(CT12&lt;&gt;"",CT12,IF(CW12&lt;&gt;"",CW12,IF(CZ12&lt;&gt;"",CZ12,IF(DC12&lt;&gt;"",DC12,IF(DF12&lt;&gt;"",DF12,IF(DI12&lt;&gt;"",DI12,IF(DL12&lt;&gt;"",DL12,""))))))))))))</f>
        <v>850</v>
      </c>
      <c r="I12" s="23" t="n">
        <f aca="false">IF(CF12&lt;&gt;"",CF12,IF(CI12&lt;&gt;"",CI12,IF(CL12&lt;&gt;"",CL12,IF(CO12&lt;&gt;"",CO12,IF(CR12&lt;&gt;"",CR12,IF(CU12&lt;&gt;"",CU12,IF(CX12&lt;&gt;"",CX12,IF(DA12&lt;&gt;"",DA12,IF(DD12&lt;&gt;"",DD12,IF(DG12&lt;&gt;"",DG12,IF(DJ12&lt;&gt;"",DJ12,IF(DM12&lt;&gt;"",DM12,""))))))))))))</f>
        <v>981</v>
      </c>
      <c r="J12" s="23" t="n">
        <f aca="false">IF(CG12&lt;&gt;"",CG12,IF(CJ12&lt;&gt;"",CJ12,IF(CM12&lt;&gt;"",CM12,IF(CP12&lt;&gt;"",CP12,IF(CS12&lt;&gt;"",CS12,IF(CV12&lt;&gt;"",CV12,IF(CY12&lt;&gt;"",CY12,IF(DB12&lt;&gt;"",DB12,IF(DE12&lt;&gt;"",DE12,IF(DH12&lt;&gt;"",DH12,IF(DK12&lt;&gt;"",DK12,IF(DN12&lt;&gt;"",DN12,""))))))))))))</f>
        <v>978</v>
      </c>
      <c r="K12" s="2" t="str">
        <f aca="false">IF(COUNT(Summary!N16)=1,Summary!N16,"")</f>
        <v/>
      </c>
      <c r="L12" s="2" t="n">
        <f aca="false">Summary!O16</f>
        <v>1556</v>
      </c>
      <c r="M12" s="2" t="n">
        <f aca="false">Summary!P16</f>
        <v>1553</v>
      </c>
      <c r="N12" s="23" t="str">
        <f aca="false">IF(COUNT(Summary!Q16)=1,Summary!Q16,"")</f>
        <v/>
      </c>
      <c r="O12" s="23" t="n">
        <f aca="false">Summary!R16</f>
        <v>1527</v>
      </c>
      <c r="P12" s="23" t="n">
        <f aca="false">Summary!S16</f>
        <v>1524</v>
      </c>
      <c r="Q12" s="2" t="str">
        <f aca="false">IF(COUNT(Summary!T16)=1,Summary!T16,"")</f>
        <v/>
      </c>
      <c r="R12" s="2" t="n">
        <f aca="false">Summary!U16</f>
        <v>1498</v>
      </c>
      <c r="S12" s="2" t="n">
        <f aca="false">Summary!V16</f>
        <v>1495</v>
      </c>
      <c r="T12" s="23" t="str">
        <f aca="false">IF(COUNT(Summary!W16)=1,Summary!W16,"")</f>
        <v/>
      </c>
      <c r="U12" s="23" t="n">
        <f aca="false">Summary!X16</f>
        <v>1469</v>
      </c>
      <c r="V12" s="23" t="n">
        <f aca="false">Summary!Y16</f>
        <v>1466</v>
      </c>
      <c r="W12" s="2" t="str">
        <f aca="false">IF(COUNT(Summary!Z16)=1,Summary!Z16,"")</f>
        <v/>
      </c>
      <c r="X12" s="2" t="n">
        <f aca="false">Summary!AA16</f>
        <v>1440</v>
      </c>
      <c r="Y12" s="2" t="n">
        <f aca="false">Summary!AB16</f>
        <v>1437</v>
      </c>
      <c r="Z12" s="23" t="str">
        <f aca="false">IF(COUNT(Summary!AC16)=1,Summary!AC16,"")</f>
        <v/>
      </c>
      <c r="AA12" s="23" t="n">
        <f aca="false">Summary!AD16</f>
        <v>1411</v>
      </c>
      <c r="AB12" s="23" t="n">
        <f aca="false">Summary!AE16</f>
        <v>1408</v>
      </c>
      <c r="AC12" s="2" t="str">
        <f aca="false">IF(COUNT(Summary!AF16)=1,Summary!AF16,"")</f>
        <v/>
      </c>
      <c r="AD12" s="2" t="n">
        <f aca="false">Summary!AG16</f>
        <v>1381</v>
      </c>
      <c r="AE12" s="2" t="n">
        <f aca="false">Summary!AH16</f>
        <v>1378</v>
      </c>
      <c r="AF12" s="23" t="str">
        <f aca="false">IF(COUNT(Summary!AI16)=1,Summary!AI16,"")</f>
        <v/>
      </c>
      <c r="AG12" s="23" t="n">
        <f aca="false">Summary!AJ16</f>
        <v>1351</v>
      </c>
      <c r="AH12" s="23" t="n">
        <f aca="false">Summary!AK16</f>
        <v>1348</v>
      </c>
      <c r="AI12" s="2" t="str">
        <f aca="false">IF(COUNT(Summary!AL16)=1,Summary!AL16,"")</f>
        <v/>
      </c>
      <c r="AJ12" s="2" t="n">
        <f aca="false">Summary!AM16</f>
        <v>1321</v>
      </c>
      <c r="AK12" s="2" t="n">
        <f aca="false">Summary!AN16</f>
        <v>1318</v>
      </c>
      <c r="AL12" s="23" t="str">
        <f aca="false">IF(COUNT(Summary!AO16)=1,Summary!AO16,"")</f>
        <v/>
      </c>
      <c r="AM12" s="23" t="n">
        <f aca="false">Summary!AP16</f>
        <v>1291</v>
      </c>
      <c r="AN12" s="23" t="n">
        <f aca="false">Summary!AQ16</f>
        <v>1288</v>
      </c>
      <c r="AO12" s="2" t="str">
        <f aca="false">IF(COUNT(Summary!AR16)=1,Summary!AR16,"")</f>
        <v/>
      </c>
      <c r="AP12" s="2" t="n">
        <f aca="false">Summary!AS16</f>
        <v>1261</v>
      </c>
      <c r="AQ12" s="2" t="n">
        <f aca="false">Summary!AT16</f>
        <v>1258</v>
      </c>
      <c r="AR12" s="23" t="str">
        <f aca="false">IF(COUNT(Summary!AU16)=1,Summary!AU16,"")</f>
        <v/>
      </c>
      <c r="AS12" s="23" t="n">
        <f aca="false">Summary!AV16</f>
        <v>1241</v>
      </c>
      <c r="AT12" s="23" t="n">
        <f aca="false">Summary!AW16</f>
        <v>1238</v>
      </c>
      <c r="AU12" s="2" t="str">
        <f aca="false">IF(COUNT(Summary!AX16)=1,Summary!AX16,"")</f>
        <v/>
      </c>
      <c r="AV12" s="2" t="n">
        <f aca="false">Summary!AY16</f>
        <v>1220</v>
      </c>
      <c r="AW12" s="2" t="n">
        <f aca="false">Summary!AZ16</f>
        <v>1217</v>
      </c>
      <c r="AX12" s="23" t="str">
        <f aca="false">IF(COUNT(Summary!BA16)=1,Summary!BA16,"")</f>
        <v/>
      </c>
      <c r="AY12" s="23" t="n">
        <f aca="false">Summary!BB16</f>
        <v>1199</v>
      </c>
      <c r="AZ12" s="23" t="n">
        <f aca="false">Summary!BC16</f>
        <v>1196</v>
      </c>
      <c r="BA12" s="2" t="str">
        <f aca="false">IF(COUNT(Summary!BD16)=1,Summary!BD16,"")</f>
        <v/>
      </c>
      <c r="BB12" s="2" t="n">
        <f aca="false">Summary!BE16</f>
        <v>1178</v>
      </c>
      <c r="BC12" s="2" t="n">
        <f aca="false">Summary!BF16</f>
        <v>1175</v>
      </c>
      <c r="BD12" s="23" t="str">
        <f aca="false">IF(COUNT(Summary!BG16)=1,Summary!BG16,"")</f>
        <v/>
      </c>
      <c r="BE12" s="23" t="n">
        <f aca="false">Summary!BH16</f>
        <v>1157</v>
      </c>
      <c r="BF12" s="23" t="n">
        <f aca="false">Summary!BI16</f>
        <v>1154</v>
      </c>
      <c r="BG12" s="2" t="str">
        <f aca="false">IF(COUNT(Summary!BJ16)=1,Summary!BJ16,"")</f>
        <v/>
      </c>
      <c r="BH12" s="2" t="n">
        <f aca="false">Summary!BK16</f>
        <v>1136</v>
      </c>
      <c r="BI12" s="2" t="n">
        <f aca="false">Summary!BL16</f>
        <v>1133</v>
      </c>
      <c r="BJ12" s="23" t="str">
        <f aca="false">IF(COUNT(Summary!BM16)=1,Summary!BM16,"")</f>
        <v/>
      </c>
      <c r="BK12" s="23" t="n">
        <f aca="false">Summary!BN16</f>
        <v>1115</v>
      </c>
      <c r="BL12" s="23" t="n">
        <f aca="false">Summary!BO16</f>
        <v>1112</v>
      </c>
      <c r="BM12" s="2" t="str">
        <f aca="false">IF(COUNT(Summary!BP16)=1,Summary!BP16,"")</f>
        <v/>
      </c>
      <c r="BN12" s="2" t="n">
        <f aca="false">Summary!BQ16</f>
        <v>1094</v>
      </c>
      <c r="BO12" s="2" t="n">
        <f aca="false">Summary!BR16</f>
        <v>1091</v>
      </c>
      <c r="BP12" s="23" t="str">
        <f aca="false">IF(COUNT(Summary!BS16)=1,Summary!BS16,"")</f>
        <v/>
      </c>
      <c r="BQ12" s="23" t="n">
        <f aca="false">Summary!BT16</f>
        <v>1073</v>
      </c>
      <c r="BR12" s="23" t="n">
        <f aca="false">Summary!BU16</f>
        <v>1070</v>
      </c>
      <c r="BS12" s="2" t="str">
        <f aca="false">IF(COUNT(Summary!BV16)=1,Summary!BV16,"")</f>
        <v/>
      </c>
      <c r="BT12" s="2" t="n">
        <f aca="false">Summary!BW16</f>
        <v>1051</v>
      </c>
      <c r="BU12" s="2" t="n">
        <f aca="false">Summary!BX16</f>
        <v>1048</v>
      </c>
      <c r="BV12" s="23" t="str">
        <f aca="false">IF(COUNT(Summary!BY16)=1,Summary!BY16,"")</f>
        <v/>
      </c>
      <c r="BW12" s="23" t="n">
        <f aca="false">Summary!BZ16</f>
        <v>1029</v>
      </c>
      <c r="BX12" s="23" t="n">
        <f aca="false">Summary!CA16</f>
        <v>1026</v>
      </c>
      <c r="BY12" s="2" t="str">
        <f aca="false">IF(COUNT(Summary!CB16)=1,Summary!CB16,"")</f>
        <v/>
      </c>
      <c r="BZ12" s="2" t="n">
        <f aca="false">Summary!CC16</f>
        <v>1007</v>
      </c>
      <c r="CA12" s="2" t="n">
        <f aca="false">Summary!CD16</f>
        <v>1004</v>
      </c>
      <c r="CB12" s="23" t="str">
        <f aca="false">IF(COUNT(Summary!CE16)=1,Summary!CE16,"")</f>
        <v/>
      </c>
      <c r="CC12" s="23" t="n">
        <f aca="false">Summary!CF16</f>
        <v>994</v>
      </c>
      <c r="CD12" s="23" t="n">
        <f aca="false">Summary!CG16</f>
        <v>991</v>
      </c>
      <c r="CE12" s="2" t="str">
        <f aca="false">IF(COUNT(Summary!CH16)=1,Summary!CH16,"")</f>
        <v/>
      </c>
      <c r="CF12" s="2" t="n">
        <f aca="false">Summary!CI16</f>
        <v>981</v>
      </c>
      <c r="CG12" s="2" t="n">
        <f aca="false">Summary!CJ16</f>
        <v>978</v>
      </c>
      <c r="CH12" s="23" t="str">
        <f aca="false">IF(COUNT(Summary!CK16)=1,Summary!CK16,"")</f>
        <v/>
      </c>
      <c r="CI12" s="23" t="n">
        <f aca="false">Summary!CL16</f>
        <v>968</v>
      </c>
      <c r="CJ12" s="23" t="n">
        <f aca="false">Summary!CM16</f>
        <v>965</v>
      </c>
      <c r="CK12" s="2" t="str">
        <f aca="false">IF(COUNT(Summary!CN16)=1,Summary!CN16,"")</f>
        <v/>
      </c>
      <c r="CL12" s="2" t="n">
        <f aca="false">Summary!CO16</f>
        <v>955</v>
      </c>
      <c r="CM12" s="2" t="n">
        <f aca="false">Summary!CP16</f>
        <v>952</v>
      </c>
      <c r="CN12" s="23" t="str">
        <f aca="false">IF(COUNT(Summary!CQ16)=1,Summary!CQ16,"")</f>
        <v/>
      </c>
      <c r="CO12" s="23" t="n">
        <f aca="false">Summary!CR16</f>
        <v>942</v>
      </c>
      <c r="CP12" s="23" t="n">
        <f aca="false">Summary!CS16</f>
        <v>939</v>
      </c>
      <c r="CQ12" s="2" t="str">
        <f aca="false">IF(COUNT(Summary!CT16)=1,Summary!CT16,"")</f>
        <v/>
      </c>
      <c r="CR12" s="2" t="n">
        <f aca="false">Summary!CU16</f>
        <v>929</v>
      </c>
      <c r="CS12" s="2" t="n">
        <f aca="false">Summary!CV16</f>
        <v>926</v>
      </c>
      <c r="CT12" s="23" t="str">
        <f aca="false">IF(COUNT(Summary!CW16)=1,Summary!CW16,"")</f>
        <v/>
      </c>
      <c r="CU12" s="23" t="n">
        <f aca="false">Summary!CX16</f>
        <v>916</v>
      </c>
      <c r="CV12" s="23" t="n">
        <f aca="false">Summary!CY16</f>
        <v>913</v>
      </c>
      <c r="CW12" s="2" t="str">
        <f aca="false">IF(COUNT(Summary!CZ16)=1,Summary!CZ16,"")</f>
        <v/>
      </c>
      <c r="CX12" s="2" t="n">
        <f aca="false">Summary!DA16</f>
        <v>903</v>
      </c>
      <c r="CY12" s="2" t="n">
        <f aca="false">Summary!DB16</f>
        <v>900</v>
      </c>
      <c r="CZ12" s="23" t="str">
        <f aca="false">IF(COUNT(Summary!DC16)=1,Summary!DC16,"")</f>
        <v/>
      </c>
      <c r="DA12" s="23" t="n">
        <f aca="false">Summary!DD16</f>
        <v>889</v>
      </c>
      <c r="DB12" s="23" t="n">
        <f aca="false">Summary!DE16</f>
        <v>886</v>
      </c>
      <c r="DC12" s="2" t="str">
        <f aca="false">IF(COUNT(Summary!DF16)=1,Summary!DF16,"")</f>
        <v/>
      </c>
      <c r="DD12" s="2" t="n">
        <f aca="false">Summary!DG16</f>
        <v>875</v>
      </c>
      <c r="DE12" s="2" t="n">
        <f aca="false">Summary!DH16</f>
        <v>872</v>
      </c>
      <c r="DF12" s="23" t="n">
        <f aca="false">IF(COUNT(Summary!DI16)=1,Summary!DI16,"")</f>
        <v>850</v>
      </c>
      <c r="DG12" s="23" t="n">
        <f aca="false">Summary!DJ16</f>
        <v>850</v>
      </c>
      <c r="DH12" s="23" t="n">
        <f aca="false">Summary!DK16</f>
        <v>839</v>
      </c>
      <c r="DI12" s="2" t="n">
        <f aca="false">IF(COUNT(Summary!DL16)=1,Summary!DL16,"")</f>
        <v>844</v>
      </c>
      <c r="DJ12" s="2" t="n">
        <f aca="false">Summary!DM16</f>
        <v>844</v>
      </c>
      <c r="DK12" s="2" t="n">
        <f aca="false">Summary!DN16</f>
        <v>825</v>
      </c>
      <c r="DL12" s="23" t="n">
        <f aca="false">IF(COUNT(Finance!$DL$62)=1,Finance!$DL$62,"")</f>
        <v>830</v>
      </c>
      <c r="DM12" s="23" t="n">
        <f aca="false">Finance!$DL$62</f>
        <v>830</v>
      </c>
      <c r="DN12" s="23" t="n">
        <f aca="false">Finance!$DL$62</f>
        <v>830</v>
      </c>
    </row>
    <row r="13" customFormat="false" ht="15" hidden="false" customHeight="false" outlineLevel="0" collapsed="false">
      <c r="A13" s="5" t="s">
        <v>215</v>
      </c>
      <c r="B13" s="23" t="str">
        <f aca="false">IF(K13&lt;&gt;"",K13,IF(N13&lt;&gt;"",N13,IF(Q13&lt;&gt;"",Q13,IF(T13&lt;&gt;"",T13,IF(W13&lt;&gt;"",W13,IF(Z13&lt;&gt;"",Z13,IF(AC13&lt;&gt;"",AC13,IF(AF13&lt;&gt;"",AF13,IF(AI13&lt;&gt;"",AI13,IF(AL13&lt;&gt;"",AL13,IF(AO13&lt;&gt;"",AO13,IF(AR13&lt;&gt;"",AR13,""))))))))))))</f>
        <v/>
      </c>
      <c r="C13" s="23" t="n">
        <f aca="false">IF(L13&lt;&gt;"",L13,IF(O13&lt;&gt;"",O13,IF(R13&lt;&gt;"",R13,IF(U13&lt;&gt;"",U13,IF(X13&lt;&gt;"",X13,IF(AA13&lt;&gt;"",AA13,IF(AD13&lt;&gt;"",AD13,IF(AG13&lt;&gt;"",AG13,IF(AJ13&lt;&gt;"",AJ13,IF(AM13&lt;&gt;"",AM13,IF(AP13&lt;&gt;"",AP13,IF(AS13&lt;&gt;"",AS13,""))))))))))))</f>
        <v>37</v>
      </c>
      <c r="D13" s="23" t="n">
        <f aca="false">IF(M13&lt;&gt;"",M13,IF(P13&lt;&gt;"",P13,IF(S13&lt;&gt;"",S13,IF(V13&lt;&gt;"",V13,IF(Y13&lt;&gt;"",Y13,IF(AB13&lt;&gt;"",AB13,IF(AE13&lt;&gt;"",AE13,IF(AH13&lt;&gt;"",AH13,IF(AK13&lt;&gt;"",AK13,IF(AN13&lt;&gt;"",AN13,IF(AQ13&lt;&gt;"",AQ13,IF(AT13&lt;&gt;"",AT13,""))))))))))))</f>
        <v>37</v>
      </c>
      <c r="E13" s="2" t="str">
        <f aca="false">IF(AU13&lt;&gt;"",AU13,IF(AX13&lt;&gt;"",AX13,IF(BA13&lt;&gt;"",BA13,IF(BD13&lt;&gt;"",BD13,IF(BG13&lt;&gt;"",BG13,IF(BJ13&lt;&gt;"",BJ13,IF(BM13&lt;&gt;"",BM13,IF(BP13&lt;&gt;"",BP13,IF(BS13&lt;&gt;"",BS13,IF(BV13&lt;&gt;"",BV13,IF(BY13&lt;&gt;"",BY13,IF(CB13&lt;&gt;"",CB13,""))))))))))))</f>
        <v/>
      </c>
      <c r="F13" s="2" t="n">
        <f aca="false">IF(AV13&lt;&gt;"",AV13,IF(AY13&lt;&gt;"",AY13,IF(BB13&lt;&gt;"",BB13,IF(BE13&lt;&gt;"",BE13,IF(BH13&lt;&gt;"",BH13,IF(BK13&lt;&gt;"",BK13,IF(BN13&lt;&gt;"",BN13,IF(BQ13&lt;&gt;"",BQ13,IF(BT13&lt;&gt;"",BT13,IF(BW13&lt;&gt;"",BW13,IF(BZ13&lt;&gt;"",BZ13,IF(CC13&lt;&gt;"",CC13,""))))))))))))</f>
        <v>31</v>
      </c>
      <c r="G13" s="2" t="n">
        <f aca="false">IF(AW13&lt;&gt;"",AW13,IF(AZ13&lt;&gt;"",AZ13,IF(BC13&lt;&gt;"",BC13,IF(BF13&lt;&gt;"",BF13,IF(BI13&lt;&gt;"",BI13,IF(BL13&lt;&gt;"",BL13,IF(BO13&lt;&gt;"",BO13,IF(BR13&lt;&gt;"",BR13,IF(BU13&lt;&gt;"",BU13,IF(BX13&lt;&gt;"",BX13,IF(CA13&lt;&gt;"",CA13,IF(CD13&lt;&gt;"",CD13,""))))))))))))</f>
        <v>30</v>
      </c>
      <c r="H13" s="23" t="n">
        <f aca="false">IF(CE13&lt;&gt;"",CE13,IF(CH13&lt;&gt;"",CH13,IF(CK13&lt;&gt;"",CK13,IF(CN13&lt;&gt;"",CN13,IF(CQ13&lt;&gt;"",CQ13,IF(CT13&lt;&gt;"",CT13,IF(CW13&lt;&gt;"",CW13,IF(CZ13&lt;&gt;"",CZ13,IF(DC13&lt;&gt;"",DC13,IF(DF13&lt;&gt;"",DF13,IF(DI13&lt;&gt;"",DI13,IF(DL13&lt;&gt;"",DL13,""))))))))))))</f>
        <v>23</v>
      </c>
      <c r="I13" s="23" t="n">
        <f aca="false">IF(CF13&lt;&gt;"",CF13,IF(CI13&lt;&gt;"",CI13,IF(CL13&lt;&gt;"",CL13,IF(CO13&lt;&gt;"",CO13,IF(CR13&lt;&gt;"",CR13,IF(CU13&lt;&gt;"",CU13,IF(CX13&lt;&gt;"",CX13,IF(DA13&lt;&gt;"",DA13,IF(DD13&lt;&gt;"",DD13,IF(DG13&lt;&gt;"",DG13,IF(DJ13&lt;&gt;"",DJ13,IF(DM13&lt;&gt;"",DM13,""))))))))))))</f>
        <v>26</v>
      </c>
      <c r="J13" s="23" t="n">
        <f aca="false">IF(CG13&lt;&gt;"",CG13,IF(CJ13&lt;&gt;"",CJ13,IF(CM13&lt;&gt;"",CM13,IF(CP13&lt;&gt;"",CP13,IF(CS13&lt;&gt;"",CS13,IF(CV13&lt;&gt;"",CV13,IF(CY13&lt;&gt;"",CY13,IF(DB13&lt;&gt;"",DB13,IF(DE13&lt;&gt;"",DE13,IF(DH13&lt;&gt;"",DH13,IF(DK13&lt;&gt;"",DK13,IF(DN13&lt;&gt;"",DN13,""))))))))))))</f>
        <v>25</v>
      </c>
      <c r="K13" s="2" t="str">
        <f aca="false">IF(COUNT(Support!K10)=1,Support!K10,"")</f>
        <v/>
      </c>
      <c r="L13" s="2" t="n">
        <f aca="false">Support!L10</f>
        <v>37</v>
      </c>
      <c r="M13" s="2" t="n">
        <f aca="false">Support!M10</f>
        <v>37</v>
      </c>
      <c r="N13" s="23" t="str">
        <f aca="false">IF(COUNT(Support!N10)=1,Support!N10,"")</f>
        <v/>
      </c>
      <c r="O13" s="23" t="n">
        <f aca="false">Support!O10</f>
        <v>36</v>
      </c>
      <c r="P13" s="23" t="n">
        <f aca="false">Support!P10</f>
        <v>36</v>
      </c>
      <c r="Q13" s="2" t="str">
        <f aca="false">IF(COUNT(Support!Q10)=1,Support!Q10,"")</f>
        <v/>
      </c>
      <c r="R13" s="2" t="n">
        <f aca="false">Support!R10</f>
        <v>36</v>
      </c>
      <c r="S13" s="2" t="n">
        <f aca="false">Support!S10</f>
        <v>36</v>
      </c>
      <c r="T13" s="23" t="str">
        <f aca="false">IF(COUNT(Support!T10)=1,Support!T10,"")</f>
        <v/>
      </c>
      <c r="U13" s="23" t="n">
        <f aca="false">Support!U10</f>
        <v>35</v>
      </c>
      <c r="V13" s="23" t="n">
        <f aca="false">Support!V10</f>
        <v>35</v>
      </c>
      <c r="W13" s="2" t="str">
        <f aca="false">IF(COUNT(Support!W10)=1,Support!W10,"")</f>
        <v/>
      </c>
      <c r="X13" s="2" t="n">
        <f aca="false">Support!X10</f>
        <v>34</v>
      </c>
      <c r="Y13" s="2" t="n">
        <f aca="false">Support!Y10</f>
        <v>34</v>
      </c>
      <c r="Z13" s="23" t="str">
        <f aca="false">IF(COUNT(Support!Z10)=1,Support!Z10,"")</f>
        <v/>
      </c>
      <c r="AA13" s="23" t="n">
        <f aca="false">Support!AA10</f>
        <v>34</v>
      </c>
      <c r="AB13" s="23" t="n">
        <f aca="false">Support!AB10</f>
        <v>34</v>
      </c>
      <c r="AC13" s="2" t="str">
        <f aca="false">IF(COUNT(Support!AC10)=1,Support!AC10,"")</f>
        <v/>
      </c>
      <c r="AD13" s="2" t="n">
        <f aca="false">Support!AD10</f>
        <v>33</v>
      </c>
      <c r="AE13" s="2" t="n">
        <f aca="false">Support!AE10</f>
        <v>33</v>
      </c>
      <c r="AF13" s="23" t="str">
        <f aca="false">IF(COUNT(Support!AF10)=1,Support!AF10,"")</f>
        <v/>
      </c>
      <c r="AG13" s="23" t="n">
        <f aca="false">Support!AG10</f>
        <v>33</v>
      </c>
      <c r="AH13" s="23" t="n">
        <f aca="false">Support!AH10</f>
        <v>33</v>
      </c>
      <c r="AI13" s="2" t="str">
        <f aca="false">IF(COUNT(Support!AI10)=1,Support!AI10,"")</f>
        <v/>
      </c>
      <c r="AJ13" s="2" t="n">
        <f aca="false">Support!AJ10</f>
        <v>33</v>
      </c>
      <c r="AK13" s="2" t="n">
        <f aca="false">Support!AK10</f>
        <v>33</v>
      </c>
      <c r="AL13" s="23" t="str">
        <f aca="false">IF(COUNT(Support!AL10)=1,Support!AL10,"")</f>
        <v/>
      </c>
      <c r="AM13" s="23" t="n">
        <f aca="false">Support!AM10</f>
        <v>32</v>
      </c>
      <c r="AN13" s="23" t="n">
        <f aca="false">Support!AN10</f>
        <v>32</v>
      </c>
      <c r="AO13" s="2" t="str">
        <f aca="false">IF(COUNT(Support!AO10)=1,Support!AO10,"")</f>
        <v/>
      </c>
      <c r="AP13" s="2" t="n">
        <f aca="false">Support!AP10</f>
        <v>32</v>
      </c>
      <c r="AQ13" s="2" t="n">
        <f aca="false">Support!AQ10</f>
        <v>31</v>
      </c>
      <c r="AR13" s="23" t="str">
        <f aca="false">IF(COUNT(Support!AR10)=1,Support!AR10,"")</f>
        <v/>
      </c>
      <c r="AS13" s="23" t="n">
        <f aca="false">Support!AS10</f>
        <v>31</v>
      </c>
      <c r="AT13" s="23" t="n">
        <f aca="false">Support!AT10</f>
        <v>31</v>
      </c>
      <c r="AU13" s="2" t="str">
        <f aca="false">IF(COUNT(Support!AU10)=1,Support!AU10,"")</f>
        <v/>
      </c>
      <c r="AV13" s="2" t="n">
        <f aca="false">Support!AV10</f>
        <v>31</v>
      </c>
      <c r="AW13" s="2" t="n">
        <f aca="false">Support!AW10</f>
        <v>30</v>
      </c>
      <c r="AX13" s="23" t="str">
        <f aca="false">IF(COUNT(Support!AX10)=1,Support!AX10,"")</f>
        <v/>
      </c>
      <c r="AY13" s="23" t="n">
        <f aca="false">Support!AY10</f>
        <v>30</v>
      </c>
      <c r="AZ13" s="23" t="n">
        <f aca="false">Support!AZ10</f>
        <v>30</v>
      </c>
      <c r="BA13" s="2" t="str">
        <f aca="false">IF(COUNT(Support!BA10)=1,Support!BA10,"")</f>
        <v/>
      </c>
      <c r="BB13" s="2" t="n">
        <f aca="false">Support!BB10</f>
        <v>30</v>
      </c>
      <c r="BC13" s="2" t="n">
        <f aca="false">Support!BC10</f>
        <v>30</v>
      </c>
      <c r="BD13" s="23" t="str">
        <f aca="false">IF(COUNT(Support!BD10)=1,Support!BD10,"")</f>
        <v/>
      </c>
      <c r="BE13" s="23" t="n">
        <f aca="false">Support!BE10</f>
        <v>29</v>
      </c>
      <c r="BF13" s="23" t="n">
        <f aca="false">Support!BF10</f>
        <v>29</v>
      </c>
      <c r="BG13" s="2" t="str">
        <f aca="false">IF(COUNT(Support!BG10)=1,Support!BG10,"")</f>
        <v/>
      </c>
      <c r="BH13" s="2" t="n">
        <f aca="false">Support!BH10</f>
        <v>29</v>
      </c>
      <c r="BI13" s="2" t="n">
        <f aca="false">Support!BI10</f>
        <v>29</v>
      </c>
      <c r="BJ13" s="23" t="str">
        <f aca="false">IF(COUNT(Support!BJ10)=1,Support!BJ10,"")</f>
        <v/>
      </c>
      <c r="BK13" s="23" t="n">
        <f aca="false">Support!BK10</f>
        <v>28</v>
      </c>
      <c r="BL13" s="23" t="n">
        <f aca="false">Support!BL10</f>
        <v>28</v>
      </c>
      <c r="BM13" s="2" t="str">
        <f aca="false">IF(COUNT(Support!BM10)=1,Support!BM10,"")</f>
        <v/>
      </c>
      <c r="BN13" s="2" t="n">
        <f aca="false">Support!BN10</f>
        <v>28</v>
      </c>
      <c r="BO13" s="2" t="n">
        <f aca="false">Support!BO10</f>
        <v>28</v>
      </c>
      <c r="BP13" s="23" t="str">
        <f aca="false">IF(COUNT(Support!BP10)=1,Support!BP10,"")</f>
        <v/>
      </c>
      <c r="BQ13" s="23" t="n">
        <f aca="false">Support!BQ10</f>
        <v>28</v>
      </c>
      <c r="BR13" s="23" t="n">
        <f aca="false">Support!BR10</f>
        <v>28</v>
      </c>
      <c r="BS13" s="2" t="str">
        <f aca="false">IF(COUNT(Support!BS10)=1,Support!BS10,"")</f>
        <v/>
      </c>
      <c r="BT13" s="2" t="n">
        <f aca="false">Support!BT10</f>
        <v>27</v>
      </c>
      <c r="BU13" s="2" t="n">
        <f aca="false">Support!BU10</f>
        <v>27</v>
      </c>
      <c r="BV13" s="23" t="str">
        <f aca="false">IF(COUNT(Support!BV10)=1,Support!BV10,"")</f>
        <v/>
      </c>
      <c r="BW13" s="23" t="n">
        <f aca="false">Support!BW10</f>
        <v>27</v>
      </c>
      <c r="BX13" s="23" t="n">
        <f aca="false">Support!BX10</f>
        <v>27</v>
      </c>
      <c r="BY13" s="2" t="str">
        <f aca="false">IF(COUNT(Support!BY10)=1,Support!BY10,"")</f>
        <v/>
      </c>
      <c r="BZ13" s="2" t="n">
        <f aca="false">Support!BZ10</f>
        <v>26</v>
      </c>
      <c r="CA13" s="2" t="n">
        <f aca="false">Support!CA10</f>
        <v>26</v>
      </c>
      <c r="CB13" s="23" t="str">
        <f aca="false">IF(COUNT(Support!CB10)=1,Support!CB10,"")</f>
        <v/>
      </c>
      <c r="CC13" s="23" t="n">
        <f aca="false">Support!CC10</f>
        <v>26</v>
      </c>
      <c r="CD13" s="23" t="n">
        <f aca="false">Support!CD10</f>
        <v>26</v>
      </c>
      <c r="CE13" s="2" t="str">
        <f aca="false">IF(COUNT(Support!CE10)=1,Support!CE10,"")</f>
        <v/>
      </c>
      <c r="CF13" s="2" t="n">
        <f aca="false">Support!CF10</f>
        <v>26</v>
      </c>
      <c r="CG13" s="2" t="n">
        <f aca="false">Support!CG10</f>
        <v>25</v>
      </c>
      <c r="CH13" s="23" t="str">
        <f aca="false">IF(COUNT(Support!CH10)=1,Support!CH10,"")</f>
        <v/>
      </c>
      <c r="CI13" s="23" t="n">
        <f aca="false">Support!CI10</f>
        <v>25</v>
      </c>
      <c r="CJ13" s="23" t="n">
        <f aca="false">Support!CJ10</f>
        <v>25</v>
      </c>
      <c r="CK13" s="2" t="str">
        <f aca="false">IF(COUNT(Support!CK10)=1,Support!CK10,"")</f>
        <v/>
      </c>
      <c r="CL13" s="2" t="n">
        <f aca="false">Support!CL10</f>
        <v>25</v>
      </c>
      <c r="CM13" s="2" t="n">
        <f aca="false">Support!CM10</f>
        <v>25</v>
      </c>
      <c r="CN13" s="23" t="str">
        <f aca="false">IF(COUNT(Support!CN10)=1,Support!CN10,"")</f>
        <v/>
      </c>
      <c r="CO13" s="23" t="n">
        <f aca="false">Support!CO10</f>
        <v>25</v>
      </c>
      <c r="CP13" s="23" t="n">
        <f aca="false">Support!CP10</f>
        <v>24</v>
      </c>
      <c r="CQ13" s="2" t="str">
        <f aca="false">IF(COUNT(Support!CQ10)=1,Support!CQ10,"")</f>
        <v/>
      </c>
      <c r="CR13" s="2" t="n">
        <f aca="false">Support!CR10</f>
        <v>24</v>
      </c>
      <c r="CS13" s="2" t="n">
        <f aca="false">Support!CS10</f>
        <v>24</v>
      </c>
      <c r="CT13" s="23" t="str">
        <f aca="false">IF(COUNT(Support!CT10)=1,Support!CT10,"")</f>
        <v/>
      </c>
      <c r="CU13" s="23" t="n">
        <f aca="false">Support!CU10</f>
        <v>24</v>
      </c>
      <c r="CV13" s="23" t="n">
        <f aca="false">Support!CV10</f>
        <v>24</v>
      </c>
      <c r="CW13" s="2" t="str">
        <f aca="false">IF(COUNT(Support!CW10)=1,Support!CW10,"")</f>
        <v/>
      </c>
      <c r="CX13" s="2" t="n">
        <f aca="false">Support!CX10</f>
        <v>24</v>
      </c>
      <c r="CY13" s="2" t="n">
        <f aca="false">Support!CY10</f>
        <v>23</v>
      </c>
      <c r="CZ13" s="23" t="str">
        <f aca="false">IF(COUNT(Support!CZ10)=1,Support!CZ10,"")</f>
        <v/>
      </c>
      <c r="DA13" s="23" t="n">
        <f aca="false">Support!DA10</f>
        <v>23</v>
      </c>
      <c r="DB13" s="23" t="n">
        <f aca="false">Support!DB10</f>
        <v>23</v>
      </c>
      <c r="DC13" s="2" t="str">
        <f aca="false">IF(COUNT(Support!DC10)=1,Support!DC10,"")</f>
        <v/>
      </c>
      <c r="DD13" s="2" t="n">
        <f aca="false">Support!DD10</f>
        <v>23</v>
      </c>
      <c r="DE13" s="2" t="n">
        <f aca="false">Support!DE10</f>
        <v>23</v>
      </c>
      <c r="DF13" s="23" t="str">
        <f aca="false">IF(COUNT(Support!DF10)=1,Support!DF10,"")</f>
        <v/>
      </c>
      <c r="DG13" s="23" t="n">
        <f aca="false">Support!DG10</f>
        <v>23</v>
      </c>
      <c r="DH13" s="23" t="n">
        <f aca="false">Support!DH10</f>
        <v>23</v>
      </c>
      <c r="DI13" s="2" t="n">
        <f aca="false">IF(COUNT(Support!DI10)=1,Support!DI10,"")</f>
        <v>23</v>
      </c>
      <c r="DJ13" s="2" t="n">
        <f aca="false">Support!DJ10</f>
        <v>23</v>
      </c>
      <c r="DK13" s="2" t="n">
        <f aca="false">Support!DK10</f>
        <v>22</v>
      </c>
      <c r="DL13" s="23" t="n">
        <f aca="false">IF(COUNT(Support!DL10)=1,Support!DL10,"")</f>
        <v>23</v>
      </c>
      <c r="DM13" s="23" t="n">
        <f aca="false">Support!DM10</f>
        <v>23</v>
      </c>
      <c r="DN13" s="23" t="n">
        <f aca="false">Support!DN10</f>
        <v>23</v>
      </c>
    </row>
    <row r="14" customFormat="false" ht="15" hidden="false" customHeight="false" outlineLevel="0" collapsed="false">
      <c r="A14" s="17" t="s">
        <v>216</v>
      </c>
      <c r="B14" s="106" t="str">
        <f aca="false">IF(K14&lt;&gt;"",K14,IF(N14&lt;&gt;"",N14,IF(Q14&lt;&gt;"",Q14,IF(T14&lt;&gt;"",T14,IF(W14&lt;&gt;"",W14,IF(Z14&lt;&gt;"",Z14,IF(AC14&lt;&gt;"",AC14,IF(AF14&lt;&gt;"",AF14,IF(AI14&lt;&gt;"",AI14,IF(AL14&lt;&gt;"",AL14,IF(AO14&lt;&gt;"",AO14,IF(AR14&lt;&gt;"",AR14,""))))))))))))</f>
        <v/>
      </c>
      <c r="C14" s="106" t="n">
        <f aca="false">IF(L14&lt;&gt;"",L14,IF(O14&lt;&gt;"",O14,IF(R14&lt;&gt;"",R14,IF(U14&lt;&gt;"",U14,IF(X14&lt;&gt;"",X14,IF(AA14&lt;&gt;"",AA14,IF(AD14&lt;&gt;"",AD14,IF(AG14&lt;&gt;"",AG14,IF(AJ14&lt;&gt;"",AJ14,IF(AM14&lt;&gt;"",AM14,IF(AP14&lt;&gt;"",AP14,IF(AS14&lt;&gt;"",AS14,""))))))))))))</f>
        <v>0.005</v>
      </c>
      <c r="D14" s="106" t="n">
        <f aca="false">IF(M14&lt;&gt;"",M14,IF(P14&lt;&gt;"",P14,IF(S14&lt;&gt;"",S14,IF(V14&lt;&gt;"",V14,IF(Y14&lt;&gt;"",Y14,IF(AB14&lt;&gt;"",AB14,IF(AE14&lt;&gt;"",AE14,IF(AH14&lt;&gt;"",AH14,IF(AK14&lt;&gt;"",AK14,IF(AN14&lt;&gt;"",AN14,IF(AQ14&lt;&gt;"",AQ14,IF(AT14&lt;&gt;"",AT14,""))))))))))))</f>
        <v>0.005</v>
      </c>
      <c r="E14" s="107" t="str">
        <f aca="false">IF(AU14&lt;&gt;"",AU14,IF(AX14&lt;&gt;"",AX14,IF(BA14&lt;&gt;"",BA14,IF(BD14&lt;&gt;"",BD14,IF(BG14&lt;&gt;"",BG14,IF(BJ14&lt;&gt;"",BJ14,IF(BM14&lt;&gt;"",BM14,IF(BP14&lt;&gt;"",BP14,IF(BS14&lt;&gt;"",BS14,IF(BV14&lt;&gt;"",BV14,IF(BY14&lt;&gt;"",BY14,IF(CB14&lt;&gt;"",CB14,""))))))))))))</f>
        <v/>
      </c>
      <c r="F14" s="107" t="n">
        <f aca="false">IF(AV14&lt;&gt;"",AV14,IF(AY14&lt;&gt;"",AY14,IF(BB14&lt;&gt;"",BB14,IF(BE14&lt;&gt;"",BE14,IF(BH14&lt;&gt;"",BH14,IF(BK14&lt;&gt;"",BK14,IF(BN14&lt;&gt;"",BN14,IF(BQ14&lt;&gt;"",BQ14,IF(BT14&lt;&gt;"",BT14,IF(BW14&lt;&gt;"",BW14,IF(BZ14&lt;&gt;"",BZ14,IF(CC14&lt;&gt;"",CC14,""))))))))))))</f>
        <v>0.005</v>
      </c>
      <c r="G14" s="107" t="n">
        <f aca="false">IF(AW14&lt;&gt;"",AW14,IF(AZ14&lt;&gt;"",AZ14,IF(BC14&lt;&gt;"",BC14,IF(BF14&lt;&gt;"",BF14,IF(BI14&lt;&gt;"",BI14,IF(BL14&lt;&gt;"",BL14,IF(BO14&lt;&gt;"",BO14,IF(BR14&lt;&gt;"",BR14,IF(BU14&lt;&gt;"",BU14,IF(BX14&lt;&gt;"",BX14,IF(CA14&lt;&gt;"",CA14,IF(CD14&lt;&gt;"",CD14,""))))))))))))</f>
        <v>0.005</v>
      </c>
      <c r="H14" s="106" t="n">
        <f aca="false">IF(CE14&lt;&gt;"",CE14,IF(CH14&lt;&gt;"",CH14,IF(CK14&lt;&gt;"",CK14,IF(CN14&lt;&gt;"",CN14,IF(CQ14&lt;&gt;"",CQ14,IF(CT14&lt;&gt;"",CT14,IF(CW14&lt;&gt;"",CW14,IF(CZ14&lt;&gt;"",CZ14,IF(DC14&lt;&gt;"",DC14,IF(DF14&lt;&gt;"",DF14,IF(DI14&lt;&gt;"",DI14,IF(DL14&lt;&gt;"",DL14,""))))))))))))</f>
        <v>0.005</v>
      </c>
      <c r="I14" s="106" t="n">
        <f aca="false">IF(CF14&lt;&gt;"",CF14,IF(CI14&lt;&gt;"",CI14,IF(CL14&lt;&gt;"",CL14,IF(CO14&lt;&gt;"",CO14,IF(CR14&lt;&gt;"",CR14,IF(CU14&lt;&gt;"",CU14,IF(CX14&lt;&gt;"",CX14,IF(DA14&lt;&gt;"",DA14,IF(DD14&lt;&gt;"",DD14,IF(DG14&lt;&gt;"",DG14,IF(DJ14&lt;&gt;"",DJ14,IF(DM14&lt;&gt;"",DM14,""))))))))))))</f>
        <v>0.005</v>
      </c>
      <c r="J14" s="106" t="n">
        <f aca="false">IF(CG14&lt;&gt;"",CG14,IF(CJ14&lt;&gt;"",CJ14,IF(CM14&lt;&gt;"",CM14,IF(CP14&lt;&gt;"",CP14,IF(CS14&lt;&gt;"",CS14,IF(CV14&lt;&gt;"",CV14,IF(CY14&lt;&gt;"",CY14,IF(DB14&lt;&gt;"",DB14,IF(DE14&lt;&gt;"",DE14,IF(DH14&lt;&gt;"",DH14,IF(DK14&lt;&gt;"",DK14,IF(DN14&lt;&gt;"",DN14,""))))))))))))</f>
        <v>0.005</v>
      </c>
      <c r="K14" s="108"/>
      <c r="L14" s="107" t="n">
        <f aca="false">IF('Cash Drivers'!L$26,'Customer Success'!K14,'Customer Success'!M14)</f>
        <v>0.005</v>
      </c>
      <c r="M14" s="109" t="n">
        <v>0.005</v>
      </c>
      <c r="N14" s="110"/>
      <c r="O14" s="106" t="n">
        <f aca="false">IF('Cash Drivers'!O$26,'Customer Success'!N14,'Customer Success'!P14)</f>
        <v>0.005</v>
      </c>
      <c r="P14" s="111" t="n">
        <v>0.005</v>
      </c>
      <c r="Q14" s="108"/>
      <c r="R14" s="107" t="n">
        <f aca="false">IF('Cash Drivers'!R$26,'Customer Success'!Q14,'Customer Success'!S14)</f>
        <v>0.005</v>
      </c>
      <c r="S14" s="109" t="n">
        <v>0.005</v>
      </c>
      <c r="T14" s="110"/>
      <c r="U14" s="106" t="n">
        <f aca="false">IF('Cash Drivers'!U$26,'Customer Success'!T14,'Customer Success'!V14)</f>
        <v>0.005</v>
      </c>
      <c r="V14" s="111" t="n">
        <v>0.005</v>
      </c>
      <c r="W14" s="108"/>
      <c r="X14" s="107" t="n">
        <f aca="false">IF('Cash Drivers'!X$26,'Customer Success'!W14,'Customer Success'!Y14)</f>
        <v>0.005</v>
      </c>
      <c r="Y14" s="109" t="n">
        <v>0.005</v>
      </c>
      <c r="Z14" s="110"/>
      <c r="AA14" s="106" t="n">
        <f aca="false">IF('Cash Drivers'!AA$26,'Customer Success'!Z14,'Customer Success'!AB14)</f>
        <v>0.005</v>
      </c>
      <c r="AB14" s="111" t="n">
        <v>0.005</v>
      </c>
      <c r="AC14" s="108"/>
      <c r="AD14" s="107" t="n">
        <f aca="false">IF('Cash Drivers'!AD$26,'Customer Success'!AC14,'Customer Success'!AE14)</f>
        <v>0.005</v>
      </c>
      <c r="AE14" s="109" t="n">
        <v>0.005</v>
      </c>
      <c r="AF14" s="110"/>
      <c r="AG14" s="106" t="n">
        <f aca="false">IF('Cash Drivers'!AG$26,'Customer Success'!AF14,'Customer Success'!AH14)</f>
        <v>0.005</v>
      </c>
      <c r="AH14" s="111" t="n">
        <v>0.005</v>
      </c>
      <c r="AI14" s="108"/>
      <c r="AJ14" s="107" t="n">
        <f aca="false">IF('Cash Drivers'!AJ$26,'Customer Success'!AI14,'Customer Success'!AK14)</f>
        <v>0.005</v>
      </c>
      <c r="AK14" s="109" t="n">
        <v>0.005</v>
      </c>
      <c r="AL14" s="110"/>
      <c r="AM14" s="106" t="n">
        <f aca="false">IF('Cash Drivers'!AM$26,'Customer Success'!AL14,'Customer Success'!AN14)</f>
        <v>0.005</v>
      </c>
      <c r="AN14" s="111" t="n">
        <v>0.005</v>
      </c>
      <c r="AO14" s="108"/>
      <c r="AP14" s="107" t="n">
        <f aca="false">IF('Cash Drivers'!AP$26,'Customer Success'!AO14,'Customer Success'!AQ14)</f>
        <v>0.005</v>
      </c>
      <c r="AQ14" s="109" t="n">
        <v>0.005</v>
      </c>
      <c r="AR14" s="110"/>
      <c r="AS14" s="106" t="n">
        <f aca="false">IF('Cash Drivers'!AS$26,'Customer Success'!AR14,'Customer Success'!AT14)</f>
        <v>0.005</v>
      </c>
      <c r="AT14" s="111" t="n">
        <v>0.005</v>
      </c>
      <c r="AU14" s="108"/>
      <c r="AV14" s="107" t="n">
        <f aca="false">IF('Cash Drivers'!AV$26,'Customer Success'!AU14,'Customer Success'!AW14)</f>
        <v>0.005</v>
      </c>
      <c r="AW14" s="109" t="n">
        <v>0.005</v>
      </c>
      <c r="AX14" s="110"/>
      <c r="AY14" s="106" t="n">
        <f aca="false">IF('Cash Drivers'!AY$26,'Customer Success'!AX14,'Customer Success'!AZ14)</f>
        <v>0.005</v>
      </c>
      <c r="AZ14" s="111" t="n">
        <v>0.005</v>
      </c>
      <c r="BA14" s="108"/>
      <c r="BB14" s="107" t="n">
        <f aca="false">IF('Cash Drivers'!BB$26,'Customer Success'!BA14,'Customer Success'!BC14)</f>
        <v>0.005</v>
      </c>
      <c r="BC14" s="109" t="n">
        <v>0.005</v>
      </c>
      <c r="BD14" s="110"/>
      <c r="BE14" s="106" t="n">
        <f aca="false">IF('Cash Drivers'!BE$26,'Customer Success'!BD14,'Customer Success'!BF14)</f>
        <v>0.005</v>
      </c>
      <c r="BF14" s="111" t="n">
        <v>0.005</v>
      </c>
      <c r="BG14" s="108"/>
      <c r="BH14" s="107" t="n">
        <f aca="false">IF('Cash Drivers'!BH$26,'Customer Success'!BG14,'Customer Success'!BI14)</f>
        <v>0.005</v>
      </c>
      <c r="BI14" s="109" t="n">
        <v>0.005</v>
      </c>
      <c r="BJ14" s="110"/>
      <c r="BK14" s="106" t="n">
        <f aca="false">IF('Cash Drivers'!BK$26,'Customer Success'!BJ14,'Customer Success'!BL14)</f>
        <v>0.005</v>
      </c>
      <c r="BL14" s="111" t="n">
        <v>0.005</v>
      </c>
      <c r="BM14" s="108"/>
      <c r="BN14" s="107" t="n">
        <f aca="false">IF('Cash Drivers'!BN$26,'Customer Success'!BM14,'Customer Success'!BO14)</f>
        <v>0.005</v>
      </c>
      <c r="BO14" s="109" t="n">
        <v>0.005</v>
      </c>
      <c r="BP14" s="110"/>
      <c r="BQ14" s="106" t="n">
        <f aca="false">IF('Cash Drivers'!BQ$26,'Customer Success'!BP14,'Customer Success'!BR14)</f>
        <v>0.005</v>
      </c>
      <c r="BR14" s="111" t="n">
        <v>0.005</v>
      </c>
      <c r="BS14" s="108"/>
      <c r="BT14" s="107" t="n">
        <f aca="false">IF('Cash Drivers'!BT$26,'Customer Success'!BS14,'Customer Success'!BU14)</f>
        <v>0.005</v>
      </c>
      <c r="BU14" s="109" t="n">
        <v>0.005</v>
      </c>
      <c r="BV14" s="110"/>
      <c r="BW14" s="106" t="n">
        <f aca="false">IF('Cash Drivers'!BW$26,'Customer Success'!BV14,'Customer Success'!BX14)</f>
        <v>0.005</v>
      </c>
      <c r="BX14" s="111" t="n">
        <v>0.005</v>
      </c>
      <c r="BY14" s="108"/>
      <c r="BZ14" s="107" t="n">
        <f aca="false">IF('Cash Drivers'!BZ$26,'Customer Success'!BY14,'Customer Success'!CA14)</f>
        <v>0.005</v>
      </c>
      <c r="CA14" s="109" t="n">
        <v>0.005</v>
      </c>
      <c r="CB14" s="110"/>
      <c r="CC14" s="106" t="n">
        <f aca="false">IF('Cash Drivers'!CC$26,'Customer Success'!CB14,'Customer Success'!CD14)</f>
        <v>0.005</v>
      </c>
      <c r="CD14" s="111" t="n">
        <v>0.005</v>
      </c>
      <c r="CE14" s="108"/>
      <c r="CF14" s="107" t="n">
        <f aca="false">IF('Cash Drivers'!CF$26,'Customer Success'!CE14,'Customer Success'!CG14)</f>
        <v>0.005</v>
      </c>
      <c r="CG14" s="109" t="n">
        <v>0.005</v>
      </c>
      <c r="CH14" s="110"/>
      <c r="CI14" s="106" t="n">
        <f aca="false">IF('Cash Drivers'!CI$26,'Customer Success'!CH14,'Customer Success'!CJ14)</f>
        <v>0.005</v>
      </c>
      <c r="CJ14" s="111" t="n">
        <v>0.005</v>
      </c>
      <c r="CK14" s="108"/>
      <c r="CL14" s="107" t="n">
        <f aca="false">IF('Cash Drivers'!CL$26,'Customer Success'!CK14,'Customer Success'!CM14)</f>
        <v>0.005</v>
      </c>
      <c r="CM14" s="109" t="n">
        <v>0.005</v>
      </c>
      <c r="CN14" s="110"/>
      <c r="CO14" s="106" t="n">
        <f aca="false">IF('Cash Drivers'!CO$26,'Customer Success'!CN14,'Customer Success'!CP14)</f>
        <v>0.005</v>
      </c>
      <c r="CP14" s="111" t="n">
        <v>0.005</v>
      </c>
      <c r="CQ14" s="108"/>
      <c r="CR14" s="107" t="n">
        <f aca="false">IF('Cash Drivers'!CR$26,'Customer Success'!CQ14,'Customer Success'!CS14)</f>
        <v>0.005</v>
      </c>
      <c r="CS14" s="109" t="n">
        <v>0.005</v>
      </c>
      <c r="CT14" s="110"/>
      <c r="CU14" s="106" t="n">
        <f aca="false">IF('Cash Drivers'!CU$26,'Customer Success'!CT14,'Customer Success'!CV14)</f>
        <v>0.005</v>
      </c>
      <c r="CV14" s="111" t="n">
        <v>0.005</v>
      </c>
      <c r="CW14" s="108"/>
      <c r="CX14" s="107" t="n">
        <f aca="false">IF('Cash Drivers'!CX$26,'Customer Success'!CW14,'Customer Success'!CY14)</f>
        <v>0.005</v>
      </c>
      <c r="CY14" s="109" t="n">
        <v>0.005</v>
      </c>
      <c r="CZ14" s="110"/>
      <c r="DA14" s="106" t="n">
        <f aca="false">IF('Cash Drivers'!DA$26,'Customer Success'!CZ14,'Customer Success'!DB14)</f>
        <v>0.005</v>
      </c>
      <c r="DB14" s="111" t="n">
        <v>0.005</v>
      </c>
      <c r="DC14" s="108"/>
      <c r="DD14" s="107" t="n">
        <f aca="false">IF('Cash Drivers'!DD$26,'Customer Success'!DC14,'Customer Success'!DE14)</f>
        <v>0.005</v>
      </c>
      <c r="DE14" s="109" t="n">
        <v>0.005</v>
      </c>
      <c r="DF14" s="110"/>
      <c r="DG14" s="106" t="n">
        <f aca="false">IF('Cash Drivers'!DG$26,'Customer Success'!DF14,'Customer Success'!DH14)</f>
        <v>0.005</v>
      </c>
      <c r="DH14" s="111" t="n">
        <v>0.005</v>
      </c>
      <c r="DI14" s="109" t="n">
        <v>0.005</v>
      </c>
      <c r="DJ14" s="107" t="n">
        <f aca="false">IF('Cash Drivers'!DJ$26,'Customer Success'!DI14,'Customer Success'!DK14)</f>
        <v>0.005</v>
      </c>
      <c r="DK14" s="109" t="n">
        <v>0.005</v>
      </c>
      <c r="DL14" s="111" t="n">
        <v>0.005</v>
      </c>
      <c r="DM14" s="106" t="n">
        <f aca="false">IF('Cash Drivers'!DM$26,'Customer Success'!DL14,'Customer Success'!DN14)</f>
        <v>0.005</v>
      </c>
      <c r="DN14" s="111" t="n">
        <v>0.005</v>
      </c>
    </row>
    <row r="15" customFormat="false" ht="15" hidden="false" customHeight="false" outlineLevel="0" collapsed="false">
      <c r="A15" s="17" t="s">
        <v>217</v>
      </c>
      <c r="B15" s="106" t="str">
        <f aca="false">IF(K15&lt;&gt;"",K15,IF(N15&lt;&gt;"",N15,IF(Q15&lt;&gt;"",Q15,IF(T15&lt;&gt;"",T15,IF(W15&lt;&gt;"",W15,IF(Z15&lt;&gt;"",Z15,IF(AC15&lt;&gt;"",AC15,IF(AF15&lt;&gt;"",AF15,IF(AI15&lt;&gt;"",AI15,IF(AL15&lt;&gt;"",AL15,IF(AO15&lt;&gt;"",AO15,IF(AR15&lt;&gt;"",AR15,""))))))))))))</f>
        <v/>
      </c>
      <c r="C15" s="106" t="n">
        <f aca="false">IF(L15&lt;&gt;"",L15,IF(O15&lt;&gt;"",O15,IF(R15&lt;&gt;"",R15,IF(U15&lt;&gt;"",U15,IF(X15&lt;&gt;"",X15,IF(AA15&lt;&gt;"",AA15,IF(AD15&lt;&gt;"",AD15,IF(AG15&lt;&gt;"",AG15,IF(AJ15&lt;&gt;"",AJ15,IF(AM15&lt;&gt;"",AM15,IF(AP15&lt;&gt;"",AP15,IF(AS15&lt;&gt;"",AS15,""))))))))))))</f>
        <v>0.05</v>
      </c>
      <c r="D15" s="106" t="n">
        <f aca="false">IF(M15&lt;&gt;"",M15,IF(P15&lt;&gt;"",P15,IF(S15&lt;&gt;"",S15,IF(V15&lt;&gt;"",V15,IF(Y15&lt;&gt;"",Y15,IF(AB15&lt;&gt;"",AB15,IF(AE15&lt;&gt;"",AE15,IF(AH15&lt;&gt;"",AH15,IF(AK15&lt;&gt;"",AK15,IF(AN15&lt;&gt;"",AN15,IF(AQ15&lt;&gt;"",AQ15,IF(AT15&lt;&gt;"",AT15,""))))))))))))</f>
        <v>0.05</v>
      </c>
      <c r="E15" s="107" t="str">
        <f aca="false">IF(AU15&lt;&gt;"",AU15,IF(AX15&lt;&gt;"",AX15,IF(BA15&lt;&gt;"",BA15,IF(BD15&lt;&gt;"",BD15,IF(BG15&lt;&gt;"",BG15,IF(BJ15&lt;&gt;"",BJ15,IF(BM15&lt;&gt;"",BM15,IF(BP15&lt;&gt;"",BP15,IF(BS15&lt;&gt;"",BS15,IF(BV15&lt;&gt;"",BV15,IF(BY15&lt;&gt;"",BY15,IF(CB15&lt;&gt;"",CB15,""))))))))))))</f>
        <v/>
      </c>
      <c r="F15" s="107" t="n">
        <f aca="false">IF(AV15&lt;&gt;"",AV15,IF(AY15&lt;&gt;"",AY15,IF(BB15&lt;&gt;"",BB15,IF(BE15&lt;&gt;"",BE15,IF(BH15&lt;&gt;"",BH15,IF(BK15&lt;&gt;"",BK15,IF(BN15&lt;&gt;"",BN15,IF(BQ15&lt;&gt;"",BQ15,IF(BT15&lt;&gt;"",BT15,IF(BW15&lt;&gt;"",BW15,IF(BZ15&lt;&gt;"",BZ15,IF(CC15&lt;&gt;"",CC15,""))))))))))))</f>
        <v>0.05</v>
      </c>
      <c r="G15" s="107" t="n">
        <f aca="false">IF(AW15&lt;&gt;"",AW15,IF(AZ15&lt;&gt;"",AZ15,IF(BC15&lt;&gt;"",BC15,IF(BF15&lt;&gt;"",BF15,IF(BI15&lt;&gt;"",BI15,IF(BL15&lt;&gt;"",BL15,IF(BO15&lt;&gt;"",BO15,IF(BR15&lt;&gt;"",BR15,IF(BU15&lt;&gt;"",BU15,IF(BX15&lt;&gt;"",BX15,IF(CA15&lt;&gt;"",CA15,IF(CD15&lt;&gt;"",CD15,""))))))))))))</f>
        <v>0.05</v>
      </c>
      <c r="H15" s="106" t="n">
        <f aca="false">IF(CE15&lt;&gt;"",CE15,IF(CH15&lt;&gt;"",CH15,IF(CK15&lt;&gt;"",CK15,IF(CN15&lt;&gt;"",CN15,IF(CQ15&lt;&gt;"",CQ15,IF(CT15&lt;&gt;"",CT15,IF(CW15&lt;&gt;"",CW15,IF(CZ15&lt;&gt;"",CZ15,IF(DC15&lt;&gt;"",DC15,IF(DF15&lt;&gt;"",DF15,IF(DI15&lt;&gt;"",DI15,IF(DL15&lt;&gt;"",DL15,""))))))))))))</f>
        <v>0.05</v>
      </c>
      <c r="I15" s="106" t="n">
        <f aca="false">IF(CF15&lt;&gt;"",CF15,IF(CI15&lt;&gt;"",CI15,IF(CL15&lt;&gt;"",CL15,IF(CO15&lt;&gt;"",CO15,IF(CR15&lt;&gt;"",CR15,IF(CU15&lt;&gt;"",CU15,IF(CX15&lt;&gt;"",CX15,IF(DA15&lt;&gt;"",DA15,IF(DD15&lt;&gt;"",DD15,IF(DG15&lt;&gt;"",DG15,IF(DJ15&lt;&gt;"",DJ15,IF(DM15&lt;&gt;"",DM15,""))))))))))))</f>
        <v>0.05</v>
      </c>
      <c r="J15" s="106" t="n">
        <f aca="false">IF(CG15&lt;&gt;"",CG15,IF(CJ15&lt;&gt;"",CJ15,IF(CM15&lt;&gt;"",CM15,IF(CP15&lt;&gt;"",CP15,IF(CS15&lt;&gt;"",CS15,IF(CV15&lt;&gt;"",CV15,IF(CY15&lt;&gt;"",CY15,IF(DB15&lt;&gt;"",DB15,IF(DE15&lt;&gt;"",DE15,IF(DH15&lt;&gt;"",DH15,IF(DK15&lt;&gt;"",DK15,IF(DN15&lt;&gt;"",DN15,""))))))))))))</f>
        <v>0.05</v>
      </c>
      <c r="K15" s="108"/>
      <c r="L15" s="107" t="n">
        <f aca="false">IF('Cash Drivers'!L$26,'Customer Success'!K15,'Customer Success'!M15)</f>
        <v>0.05</v>
      </c>
      <c r="M15" s="109" t="n">
        <v>0.05</v>
      </c>
      <c r="N15" s="110"/>
      <c r="O15" s="106" t="n">
        <f aca="false">IF('Cash Drivers'!O$26,'Customer Success'!N15,'Customer Success'!P15)</f>
        <v>0.05</v>
      </c>
      <c r="P15" s="111" t="n">
        <v>0.05</v>
      </c>
      <c r="Q15" s="108"/>
      <c r="R15" s="107" t="n">
        <f aca="false">IF('Cash Drivers'!R$26,'Customer Success'!Q15,'Customer Success'!S15)</f>
        <v>0.05</v>
      </c>
      <c r="S15" s="109" t="n">
        <v>0.05</v>
      </c>
      <c r="T15" s="110"/>
      <c r="U15" s="106" t="n">
        <f aca="false">IF('Cash Drivers'!U$26,'Customer Success'!T15,'Customer Success'!V15)</f>
        <v>0.05</v>
      </c>
      <c r="V15" s="111" t="n">
        <v>0.05</v>
      </c>
      <c r="W15" s="108"/>
      <c r="X15" s="107" t="n">
        <f aca="false">IF('Cash Drivers'!X$26,'Customer Success'!W15,'Customer Success'!Y15)</f>
        <v>0.05</v>
      </c>
      <c r="Y15" s="109" t="n">
        <v>0.05</v>
      </c>
      <c r="Z15" s="110"/>
      <c r="AA15" s="106" t="n">
        <f aca="false">IF('Cash Drivers'!AA$26,'Customer Success'!Z15,'Customer Success'!AB15)</f>
        <v>0.05</v>
      </c>
      <c r="AB15" s="111" t="n">
        <v>0.05</v>
      </c>
      <c r="AC15" s="108"/>
      <c r="AD15" s="107" t="n">
        <f aca="false">IF('Cash Drivers'!AD$26,'Customer Success'!AC15,'Customer Success'!AE15)</f>
        <v>0.05</v>
      </c>
      <c r="AE15" s="109" t="n">
        <v>0.05</v>
      </c>
      <c r="AF15" s="110"/>
      <c r="AG15" s="106" t="n">
        <f aca="false">IF('Cash Drivers'!AG$26,'Customer Success'!AF15,'Customer Success'!AH15)</f>
        <v>0.05</v>
      </c>
      <c r="AH15" s="111" t="n">
        <v>0.05</v>
      </c>
      <c r="AI15" s="108"/>
      <c r="AJ15" s="107" t="n">
        <f aca="false">IF('Cash Drivers'!AJ$26,'Customer Success'!AI15,'Customer Success'!AK15)</f>
        <v>0.05</v>
      </c>
      <c r="AK15" s="109" t="n">
        <v>0.05</v>
      </c>
      <c r="AL15" s="110"/>
      <c r="AM15" s="106" t="n">
        <f aca="false">IF('Cash Drivers'!AM$26,'Customer Success'!AL15,'Customer Success'!AN15)</f>
        <v>0.05</v>
      </c>
      <c r="AN15" s="111" t="n">
        <v>0.05</v>
      </c>
      <c r="AO15" s="108"/>
      <c r="AP15" s="107" t="n">
        <f aca="false">IF('Cash Drivers'!AP$26,'Customer Success'!AO15,'Customer Success'!AQ15)</f>
        <v>0.05</v>
      </c>
      <c r="AQ15" s="109" t="n">
        <v>0.05</v>
      </c>
      <c r="AR15" s="110"/>
      <c r="AS15" s="106" t="n">
        <f aca="false">IF('Cash Drivers'!AS$26,'Customer Success'!AR15,'Customer Success'!AT15)</f>
        <v>0.05</v>
      </c>
      <c r="AT15" s="111" t="n">
        <v>0.05</v>
      </c>
      <c r="AU15" s="108"/>
      <c r="AV15" s="107" t="n">
        <f aca="false">IF('Cash Drivers'!AV$26,'Customer Success'!AU15,'Customer Success'!AW15)</f>
        <v>0.05</v>
      </c>
      <c r="AW15" s="109" t="n">
        <v>0.05</v>
      </c>
      <c r="AX15" s="110"/>
      <c r="AY15" s="106" t="n">
        <f aca="false">IF('Cash Drivers'!AY$26,'Customer Success'!AX15,'Customer Success'!AZ15)</f>
        <v>0.05</v>
      </c>
      <c r="AZ15" s="111" t="n">
        <v>0.05</v>
      </c>
      <c r="BA15" s="108"/>
      <c r="BB15" s="107" t="n">
        <f aca="false">IF('Cash Drivers'!BB$26,'Customer Success'!BA15,'Customer Success'!BC15)</f>
        <v>0.05</v>
      </c>
      <c r="BC15" s="109" t="n">
        <v>0.05</v>
      </c>
      <c r="BD15" s="110"/>
      <c r="BE15" s="106" t="n">
        <f aca="false">IF('Cash Drivers'!BE$26,'Customer Success'!BD15,'Customer Success'!BF15)</f>
        <v>0.05</v>
      </c>
      <c r="BF15" s="111" t="n">
        <v>0.05</v>
      </c>
      <c r="BG15" s="108"/>
      <c r="BH15" s="107" t="n">
        <f aca="false">IF('Cash Drivers'!BH$26,'Customer Success'!BG15,'Customer Success'!BI15)</f>
        <v>0.05</v>
      </c>
      <c r="BI15" s="109" t="n">
        <v>0.05</v>
      </c>
      <c r="BJ15" s="110"/>
      <c r="BK15" s="106" t="n">
        <f aca="false">IF('Cash Drivers'!BK$26,'Customer Success'!BJ15,'Customer Success'!BL15)</f>
        <v>0.05</v>
      </c>
      <c r="BL15" s="111" t="n">
        <v>0.05</v>
      </c>
      <c r="BM15" s="108"/>
      <c r="BN15" s="107" t="n">
        <f aca="false">IF('Cash Drivers'!BN$26,'Customer Success'!BM15,'Customer Success'!BO15)</f>
        <v>0.05</v>
      </c>
      <c r="BO15" s="109" t="n">
        <v>0.05</v>
      </c>
      <c r="BP15" s="110"/>
      <c r="BQ15" s="106" t="n">
        <f aca="false">IF('Cash Drivers'!BQ$26,'Customer Success'!BP15,'Customer Success'!BR15)</f>
        <v>0.05</v>
      </c>
      <c r="BR15" s="111" t="n">
        <v>0.05</v>
      </c>
      <c r="BS15" s="108"/>
      <c r="BT15" s="107" t="n">
        <f aca="false">IF('Cash Drivers'!BT$26,'Customer Success'!BS15,'Customer Success'!BU15)</f>
        <v>0.05</v>
      </c>
      <c r="BU15" s="109" t="n">
        <v>0.05</v>
      </c>
      <c r="BV15" s="110"/>
      <c r="BW15" s="106" t="n">
        <f aca="false">IF('Cash Drivers'!BW$26,'Customer Success'!BV15,'Customer Success'!BX15)</f>
        <v>0.05</v>
      </c>
      <c r="BX15" s="111" t="n">
        <v>0.05</v>
      </c>
      <c r="BY15" s="108"/>
      <c r="BZ15" s="107" t="n">
        <f aca="false">IF('Cash Drivers'!BZ$26,'Customer Success'!BY15,'Customer Success'!CA15)</f>
        <v>0.05</v>
      </c>
      <c r="CA15" s="109" t="n">
        <v>0.05</v>
      </c>
      <c r="CB15" s="110"/>
      <c r="CC15" s="106" t="n">
        <f aca="false">IF('Cash Drivers'!CC$26,'Customer Success'!CB15,'Customer Success'!CD15)</f>
        <v>0.05</v>
      </c>
      <c r="CD15" s="111" t="n">
        <v>0.05</v>
      </c>
      <c r="CE15" s="108"/>
      <c r="CF15" s="107" t="n">
        <f aca="false">IF('Cash Drivers'!CF$26,'Customer Success'!CE15,'Customer Success'!CG15)</f>
        <v>0.05</v>
      </c>
      <c r="CG15" s="109" t="n">
        <v>0.05</v>
      </c>
      <c r="CH15" s="110"/>
      <c r="CI15" s="106" t="n">
        <f aca="false">IF('Cash Drivers'!CI$26,'Customer Success'!CH15,'Customer Success'!CJ15)</f>
        <v>0.05</v>
      </c>
      <c r="CJ15" s="111" t="n">
        <v>0.05</v>
      </c>
      <c r="CK15" s="108"/>
      <c r="CL15" s="107" t="n">
        <f aca="false">IF('Cash Drivers'!CL$26,'Customer Success'!CK15,'Customer Success'!CM15)</f>
        <v>0.05</v>
      </c>
      <c r="CM15" s="109" t="n">
        <v>0.05</v>
      </c>
      <c r="CN15" s="110"/>
      <c r="CO15" s="106" t="n">
        <f aca="false">IF('Cash Drivers'!CO$26,'Customer Success'!CN15,'Customer Success'!CP15)</f>
        <v>0.05</v>
      </c>
      <c r="CP15" s="111" t="n">
        <v>0.05</v>
      </c>
      <c r="CQ15" s="108"/>
      <c r="CR15" s="107" t="n">
        <f aca="false">IF('Cash Drivers'!CR$26,'Customer Success'!CQ15,'Customer Success'!CS15)</f>
        <v>0.05</v>
      </c>
      <c r="CS15" s="109" t="n">
        <v>0.05</v>
      </c>
      <c r="CT15" s="110"/>
      <c r="CU15" s="106" t="n">
        <f aca="false">IF('Cash Drivers'!CU$26,'Customer Success'!CT15,'Customer Success'!CV15)</f>
        <v>0.05</v>
      </c>
      <c r="CV15" s="111" t="n">
        <v>0.05</v>
      </c>
      <c r="CW15" s="108"/>
      <c r="CX15" s="107" t="n">
        <f aca="false">IF('Cash Drivers'!CX$26,'Customer Success'!CW15,'Customer Success'!CY15)</f>
        <v>0.05</v>
      </c>
      <c r="CY15" s="109" t="n">
        <v>0.05</v>
      </c>
      <c r="CZ15" s="110"/>
      <c r="DA15" s="106" t="n">
        <f aca="false">IF('Cash Drivers'!DA$26,'Customer Success'!CZ15,'Customer Success'!DB15)</f>
        <v>0.05</v>
      </c>
      <c r="DB15" s="111" t="n">
        <v>0.05</v>
      </c>
      <c r="DC15" s="108"/>
      <c r="DD15" s="107" t="n">
        <f aca="false">IF('Cash Drivers'!DD$26,'Customer Success'!DC15,'Customer Success'!DE15)</f>
        <v>0.05</v>
      </c>
      <c r="DE15" s="109" t="n">
        <v>0.05</v>
      </c>
      <c r="DF15" s="110"/>
      <c r="DG15" s="106" t="n">
        <f aca="false">IF('Cash Drivers'!DG$26,'Customer Success'!DF15,'Customer Success'!DH15)</f>
        <v>0.05</v>
      </c>
      <c r="DH15" s="111" t="n">
        <v>0.05</v>
      </c>
      <c r="DI15" s="109" t="n">
        <v>0.05</v>
      </c>
      <c r="DJ15" s="107" t="n">
        <f aca="false">IF('Cash Drivers'!DJ$26,'Customer Success'!DI15,'Customer Success'!DK15)</f>
        <v>0.05</v>
      </c>
      <c r="DK15" s="109" t="n">
        <v>0.05</v>
      </c>
      <c r="DL15" s="111" t="n">
        <v>0.05</v>
      </c>
      <c r="DM15" s="106" t="n">
        <f aca="false">IF('Cash Drivers'!DM$26,'Customer Success'!DL15,'Customer Success'!DN15)</f>
        <v>0.05</v>
      </c>
      <c r="DN15" s="111" t="n">
        <v>0.05</v>
      </c>
    </row>
    <row r="16" customFormat="false" ht="15" hidden="false" customHeight="false" outlineLevel="0" collapsed="false">
      <c r="A16" s="17" t="s">
        <v>218</v>
      </c>
      <c r="B16" s="106" t="str">
        <f aca="false">IF(SUM(AR12,AO12,AL12,AI12,AF12,AC12,Z12,W12,T12,Q12,N12,K12)=0,"",SUM(AR17,AO17,AL17,AI17,AF17,AC17,Z17,W17,T17,Q17,N17,K17)/SUM(AR12,AO12,AL12,AI12,AF12,AC12,Z12,W12,T12,Q12,N12,K12))</f>
        <v/>
      </c>
      <c r="C16" s="106" t="n">
        <f aca="false">IF(SUM(AS12,AP12,AM12,AJ12,AG12,AD12,AA12,X12,U12,R12,O12,L12)=0,"",SUM(AS17,AP17,AM17,AJ17,AG17,AD17,AA17,X17,U17,R17,O17,L17)/SUM(AS12,AP12,AM12,AJ12,AG12,AD12,AA12,X12,U12,R12,O12,L12))</f>
        <v>0.00609064310025676</v>
      </c>
      <c r="D16" s="106" t="n">
        <f aca="false">IF(SUM(AT12,AQ12,AN12,AK12,AH12,AE12,AB12,Y12,V12,S12,P12,M12)=0,"",SUM(AT17,AQ17,AN17,AK17,AH17,AE17,AB17,Y17,V17,S17,P17,M17)/SUM(AT12,AQ12,AN12,AK12,AH12,AE12,AB12,Y12,V12,S12,P12,M12))</f>
        <v>0.00610376398779247</v>
      </c>
      <c r="E16" s="107" t="str">
        <f aca="false">IF(SUM(CB12,BY12,BV12,BS12,BP12,BM12,BJ12,BG12,BD12,BA12,AX12,AU12)=0,"",SUM(CB17,BY17,BV17,BS17,BP17,BM17,BJ17,BG17,BD17,BA17,AX17,AU17)/SUM(CB12,BY12,BV12,BS12,BP12,BM12,BJ12,BG12,BD12,BA12,AX12,AU12))</f>
        <v/>
      </c>
      <c r="F16" s="107" t="n">
        <f aca="false">IF(SUM(CC12,BZ12,BW12,BT12,BQ12,BN12,BK12,BH12,BE12,BB12,AY12,AV12)=0,"",SUM(CC17,BZ17,BW17,BT17,BQ17,BN17,BK17,BH17,BE17,BB17,AY17,AV17)/SUM(CC12,BZ12,BW12,BT12,BQ12,BN12,BK12,BH12,BE12,BB12,AY12,AV12))</f>
        <v>0.00603636912397193</v>
      </c>
      <c r="G16" s="107" t="n">
        <f aca="false">IF(SUM(CD12,CA12,BX12,BU12,BR12,BO12,BL12,BI12,BF12,BC12,AZ12,AW12)=0,"",SUM(CD17,CA17,BX17,BU17,BR17,BO17,BL17,BI17,BF17,BC17,AZ17,AW17)/SUM(CD12,CA12,BX12,BU12,BR12,BO12,BL12,BI12,BF12,BC12,AZ12,AW12))</f>
        <v>0.00605281077400318</v>
      </c>
      <c r="H16" s="106" t="n">
        <f aca="false">IF(SUM(DL12,DI12,DF12,DC12,CZ12,CW12,CT12,CQ12,CN12,CK12,CH12,CE12)=0,"",SUM(DL17,DI17,DF17,DC17,CZ17,CW17,CT17,CQ17,CN17,CK17,CH17,CE17)/SUM(DL12,DI12,DF12,DC12,CZ12,CW12,CT12,CQ12,CN12,CK12,CH12,CE12))</f>
        <v>0.00396196513470682</v>
      </c>
      <c r="I16" s="106" t="n">
        <f aca="false">IF(SUM(DM12,DJ12,DG12,DD12,DA12,CX12,CU12,CR12,CO12,CL12,CI12,CF12)=0,"",SUM(DM17,DJ17,DG17,DD17,DA17,CX17,CU17,CR17,CO17,CL17,CI17,CF17)/SUM(DM12,DJ12,DG12,DD12,DA12,CX12,CU12,CR12,CO12,CL12,CI12,CF12))</f>
        <v>0.00615695644183055</v>
      </c>
      <c r="J16" s="106" t="n">
        <f aca="false">IF(SUM(DN12,DK12,DH12,DE12,DB12,CY12,CV12,CS12,CP12,CM12,CJ12,CG12)=0,"",SUM(DN17,DK17,DH17,DE17,DB17,CY17,CV17,CS17,CP17,CM17,CJ17,CG17)/SUM(DN12,DK12,DH12,DE12,DB12,CY12,CV12,CS12,CP12,CM12,CJ12,CG12))</f>
        <v>0.00618937644341801</v>
      </c>
      <c r="K16" s="107" t="str">
        <f aca="false">IF(COUNT(K12,K13,K14,K15)=4,IF(N(K12)=0,"",((K12-K13)*K14+K13*K15)/K12),"")</f>
        <v/>
      </c>
      <c r="L16" s="107" t="n">
        <f aca="false">IF(N(L12)=0,"",((L12-L13)*L14+L13*L15)/L12)</f>
        <v>0.00607005141388175</v>
      </c>
      <c r="M16" s="107" t="n">
        <f aca="false">IF(N(M12)=0,"",((M12-M13)*M14+M13*M15)/M12)</f>
        <v>0.00607211848036059</v>
      </c>
      <c r="N16" s="106" t="str">
        <f aca="false">IF(COUNT(N12,N13,N14,N15)=4,IF(N(N12)=0,"",((N12-N13)*N14+N13*N15)/N12),"")</f>
        <v/>
      </c>
      <c r="O16" s="106" t="n">
        <f aca="false">IF(N(O12)=0,"",((O12-O13)*O14+O13*O15)/O12)</f>
        <v>0.00606090373280943</v>
      </c>
      <c r="P16" s="106" t="n">
        <f aca="false">IF(N(P12)=0,"",((P12-P13)*P14+P13*P15)/P12)</f>
        <v>0.00606299212598425</v>
      </c>
      <c r="Q16" s="107" t="str">
        <f aca="false">IF(COUNT(Q12,Q13,Q14,Q15)=4,IF(N(Q12)=0,"",((Q12-Q13)*Q14+Q13*Q15)/Q12),"")</f>
        <v/>
      </c>
      <c r="R16" s="107" t="n">
        <f aca="false">IF(N(R12)=0,"",((R12-R13)*R14+R13*R15)/R12)</f>
        <v>0.00608144192256342</v>
      </c>
      <c r="S16" s="107" t="n">
        <f aca="false">IF(N(S12)=0,"",((S12-S13)*S14+S13*S15)/S12)</f>
        <v>0.00608361204013378</v>
      </c>
      <c r="T16" s="106" t="str">
        <f aca="false">IF(COUNT(T12,T13,T14,T15)=4,IF(N(T12)=0,"",((T12-T13)*T14+T13*T15)/T12),"")</f>
        <v/>
      </c>
      <c r="U16" s="106" t="n">
        <f aca="false">IF(N(U12)=0,"",((U12-U13)*U14+U13*U15)/U12)</f>
        <v>0.00607215793056501</v>
      </c>
      <c r="V16" s="106" t="n">
        <f aca="false">IF(N(V12)=0,"",((V12-V13)*V14+V13*V15)/V12)</f>
        <v>0.0060743519781719</v>
      </c>
      <c r="W16" s="107" t="str">
        <f aca="false">IF(COUNT(W12,W13,W14,W15)=4,IF(N(W12)=0,"",((W12-W13)*W14+W13*W15)/W12),"")</f>
        <v/>
      </c>
      <c r="X16" s="107" t="n">
        <f aca="false">IF(N(X12)=0,"",((X12-X13)*X14+X13*X15)/X12)</f>
        <v>0.0060625</v>
      </c>
      <c r="Y16" s="107" t="n">
        <f aca="false">IF(N(Y12)=0,"",((Y12-Y13)*Y14+Y13*Y15)/Y12)</f>
        <v>0.00606471816283925</v>
      </c>
      <c r="Z16" s="106" t="str">
        <f aca="false">IF(COUNT(Z12,Z13,Z14,Z15)=4,IF(N(Z12)=0,"",((Z12-Z13)*Z14+Z13*Z15)/Z12),"")</f>
        <v/>
      </c>
      <c r="AA16" s="106" t="n">
        <f aca="false">IF(N(AA12)=0,"",((AA12-AA13)*AA14+AA13*AA15)/AA12)</f>
        <v>0.00608433734939759</v>
      </c>
      <c r="AB16" s="106" t="n">
        <f aca="false">IF(N(AB12)=0,"",((AB12-AB13)*AB14+AB13*AB15)/AB12)</f>
        <v>0.00608664772727273</v>
      </c>
      <c r="AC16" s="107" t="str">
        <f aca="false">IF(COUNT(AC12,AC13,AC14,AC15)=4,IF(N(AC12)=0,"",((AC12-AC13)*AC14+AC13*AC15)/AC12),"")</f>
        <v/>
      </c>
      <c r="AD16" s="107" t="n">
        <f aca="false">IF(N(AD12)=0,"",((AD12-AD13)*AD14+AD13*AD15)/AD12)</f>
        <v>0.00607530774800869</v>
      </c>
      <c r="AE16" s="107" t="n">
        <f aca="false">IF(N(AE12)=0,"",((AE12-AE13)*AE14+AE13*AE15)/AE12)</f>
        <v>0.00607764876632801</v>
      </c>
      <c r="AF16" s="106" t="str">
        <f aca="false">IF(COUNT(AF12,AF13,AF14,AF15)=4,IF(N(AF12)=0,"",((AF12-AF13)*AF14+AF13*AF15)/AF12),"")</f>
        <v/>
      </c>
      <c r="AG16" s="106" t="n">
        <f aca="false">IF(N(AG12)=0,"",((AG12-AG13)*AG14+AG13*AG15)/AG12)</f>
        <v>0.00609918578830496</v>
      </c>
      <c r="AH16" s="106" t="n">
        <f aca="false">IF(N(AH12)=0,"",((AH12-AH13)*AH14+AH13*AH15)/AH12)</f>
        <v>0.00610163204747775</v>
      </c>
      <c r="AI16" s="107" t="str">
        <f aca="false">IF(COUNT(AI12,AI13,AI14,AI15)=4,IF(N(AI12)=0,"",((AI12-AI13)*AI14+AI13*AI15)/AI12),"")</f>
        <v/>
      </c>
      <c r="AJ16" s="107" t="n">
        <f aca="false">IF(N(AJ12)=0,"",((AJ12-AJ13)*AJ14+AJ13*AJ15)/AJ12)</f>
        <v>0.00612414837244512</v>
      </c>
      <c r="AK16" s="107" t="n">
        <f aca="false">IF(N(AK12)=0,"",((AK12-AK13)*AK14+AK13*AK15)/AK12)</f>
        <v>0.00612670713201821</v>
      </c>
      <c r="AL16" s="106" t="str">
        <f aca="false">IF(COUNT(AL12,AL13,AL14,AL15)=4,IF(N(AL12)=0,"",((AL12-AL13)*AL14+AL13*AL15)/AL12),"")</f>
        <v/>
      </c>
      <c r="AM16" s="106" t="n">
        <f aca="false">IF(N(AM12)=0,"",((AM12-AM13)*AM14+AM13*AM15)/AM12)</f>
        <v>0.0061154144074361</v>
      </c>
      <c r="AN16" s="106" t="n">
        <f aca="false">IF(N(AN12)=0,"",((AN12-AN13)*AN14+AN13*AN15)/AN12)</f>
        <v>0.00611801242236025</v>
      </c>
      <c r="AO16" s="107" t="str">
        <f aca="false">IF(COUNT(AO12,AO13,AO14,AO15)=4,IF(N(AO12)=0,"",((AO12-AO13)*AO14+AO13*AO15)/AO12),"")</f>
        <v/>
      </c>
      <c r="AP16" s="107" t="n">
        <f aca="false">IF(N(AP12)=0,"",((AP12-AP13)*AP14+AP13*AP15)/AP12)</f>
        <v>0.00614195083267248</v>
      </c>
      <c r="AQ16" s="107" t="n">
        <f aca="false">IF(N(AQ12)=0,"",((AQ12-AQ13)*AQ14+AQ13*AQ15)/AQ12)</f>
        <v>0.00610890302066773</v>
      </c>
      <c r="AR16" s="106" t="str">
        <f aca="false">IF(COUNT(AR12,AR13,AR14,AR15)=4,IF(N(AR12)=0,"",((AR12-AR13)*AR14+AR13*AR15)/AR12),"")</f>
        <v/>
      </c>
      <c r="AS16" s="106" t="n">
        <f aca="false">IF(N(AS12)=0,"",((AS12-AS13)*AS14+AS13*AS15)/AS12)</f>
        <v>0.00612409347300564</v>
      </c>
      <c r="AT16" s="106" t="n">
        <f aca="false">IF(N(AT12)=0,"",((AT12-AT13)*AT14+AT13*AT15)/AT12)</f>
        <v>0.00612681744749596</v>
      </c>
      <c r="AU16" s="107" t="str">
        <f aca="false">IF(COUNT(AU12,AU13,AU14,AU15)=4,IF(N(AU12)=0,"",((AU12-AU13)*AU14+AU13*AU15)/AU12),"")</f>
        <v/>
      </c>
      <c r="AV16" s="107" t="n">
        <f aca="false">IF(N(AV12)=0,"",((AV12-AV13)*AV14+AV13*AV15)/AV12)</f>
        <v>0.00614344262295082</v>
      </c>
      <c r="AW16" s="107" t="n">
        <f aca="false">IF(N(AW12)=0,"",((AW12-AW13)*AW14+AW13*AW15)/AW12)</f>
        <v>0.00610928512736237</v>
      </c>
      <c r="AX16" s="106" t="str">
        <f aca="false">IF(COUNT(AX12,AX13,AX14,AX15)=4,IF(N(AX12)=0,"",((AX12-AX13)*AX14+AX13*AX15)/AX12),"")</f>
        <v/>
      </c>
      <c r="AY16" s="106" t="n">
        <f aca="false">IF(N(AY12)=0,"",((AY12-AY13)*AY14+AY13*AY15)/AY12)</f>
        <v>0.00612593828190159</v>
      </c>
      <c r="AZ16" s="106" t="n">
        <f aca="false">IF(N(AZ12)=0,"",((AZ12-AZ13)*AZ14+AZ13*AZ15)/AZ12)</f>
        <v>0.00612876254180602</v>
      </c>
      <c r="BA16" s="107" t="str">
        <f aca="false">IF(COUNT(BA12,BA13,BA14,BA15)=4,IF(N(BA12)=0,"",((BA12-BA13)*BA14+BA13*BA15)/BA12),"")</f>
        <v/>
      </c>
      <c r="BB16" s="107" t="n">
        <f aca="false">IF(N(BB12)=0,"",((BB12-BB13)*BB14+BB13*BB15)/BB12)</f>
        <v>0.00614601018675722</v>
      </c>
      <c r="BC16" s="107" t="n">
        <f aca="false">IF(N(BC12)=0,"",((BC12-BC13)*BC14+BC13*BC15)/BC12)</f>
        <v>0.00614893617021277</v>
      </c>
      <c r="BD16" s="106" t="str">
        <f aca="false">IF(COUNT(BD12,BD13,BD14,BD15)=4,IF(N(BD12)=0,"",((BD12-BD13)*BD14+BD13*BD15)/BD12),"")</f>
        <v/>
      </c>
      <c r="BE16" s="106" t="n">
        <f aca="false">IF(N(BE12)=0,"",((BE12-BE13)*BE14+BE13*BE15)/BE12)</f>
        <v>0.00612791702679343</v>
      </c>
      <c r="BF16" s="106" t="n">
        <f aca="false">IF(N(BF12)=0,"",((BF12-BF13)*BF14+BF13*BF15)/BF12)</f>
        <v>0.00613084922010399</v>
      </c>
      <c r="BG16" s="107" t="str">
        <f aca="false">IF(COUNT(BG12,BG13,BG14,BG15)=4,IF(N(BG12)=0,"",((BG12-BG13)*BG14+BG13*BG15)/BG12),"")</f>
        <v/>
      </c>
      <c r="BH16" s="107" t="n">
        <f aca="false">IF(N(BH12)=0,"",((BH12-BH13)*BH14+BH13*BH15)/BH12)</f>
        <v>0.0061487676056338</v>
      </c>
      <c r="BI16" s="107" t="n">
        <f aca="false">IF(N(BI12)=0,"",((BI12-BI13)*BI14+BI13*BI15)/BI12)</f>
        <v>0.00615180935569285</v>
      </c>
      <c r="BJ16" s="106" t="str">
        <f aca="false">IF(COUNT(BJ12,BJ13,BJ14,BJ15)=4,IF(N(BJ12)=0,"",((BJ12-BJ13)*BJ14+BJ13*BJ15)/BJ12),"")</f>
        <v/>
      </c>
      <c r="BK16" s="106" t="n">
        <f aca="false">IF(N(BK12)=0,"",((BK12-BK13)*BK14+BK13*BK15)/BK12)</f>
        <v>0.00613004484304933</v>
      </c>
      <c r="BL16" s="106" t="n">
        <f aca="false">IF(N(BL12)=0,"",((BL12-BL13)*BL14+BL13*BL15)/BL12)</f>
        <v>0.00613309352517986</v>
      </c>
      <c r="BM16" s="107" t="str">
        <f aca="false">IF(COUNT(BM12,BM13,BM14,BM15)=4,IF(N(BM12)=0,"",((BM12-BM13)*BM14+BM13*BM15)/BM12),"")</f>
        <v/>
      </c>
      <c r="BN16" s="107" t="n">
        <f aca="false">IF(N(BN12)=0,"",((BN12-BN13)*BN14+BN13*BN15)/BN12)</f>
        <v>0.00615173674588666</v>
      </c>
      <c r="BO16" s="107" t="n">
        <f aca="false">IF(N(BO12)=0,"",((BO12-BO13)*BO14+BO13*BO15)/BO12)</f>
        <v>0.00615490375802017</v>
      </c>
      <c r="BP16" s="106" t="str">
        <f aca="false">IF(COUNT(BP12,BP13,BP14,BP15)=4,IF(N(BP12)=0,"",((BP12-BP13)*BP14+BP13*BP15)/BP12),"")</f>
        <v/>
      </c>
      <c r="BQ16" s="106" t="n">
        <f aca="false">IF(N(BQ12)=0,"",((BQ12-BQ13)*BQ14+BQ13*BQ15)/BQ12)</f>
        <v>0.00617427772600187</v>
      </c>
      <c r="BR16" s="106" t="n">
        <f aca="false">IF(N(BR12)=0,"",((BR12-BR13)*BR14+BR13*BR15)/BR12)</f>
        <v>0.00617757009345794</v>
      </c>
      <c r="BS16" s="107" t="str">
        <f aca="false">IF(COUNT(BS12,BS13,BS14,BS15)=4,IF(N(BS12)=0,"",((BS12-BS13)*BS14+BS13*BS15)/BS12),"")</f>
        <v/>
      </c>
      <c r="BT16" s="107" t="n">
        <f aca="false">IF(N(BT12)=0,"",((BT12-BT13)*BT14+BT13*BT15)/BT12)</f>
        <v>0.00615604186489058</v>
      </c>
      <c r="BU16" s="107" t="n">
        <f aca="false">IF(N(BU12)=0,"",((BU12-BU13)*BU14+BU13*BU15)/BU12)</f>
        <v>0.00615935114503817</v>
      </c>
      <c r="BV16" s="106" t="str">
        <f aca="false">IF(COUNT(BV12,BV13,BV14,BV15)=4,IF(N(BV12)=0,"",((BV12-BV13)*BV14+BV13*BV15)/BV12),"")</f>
        <v/>
      </c>
      <c r="BW16" s="106" t="n">
        <f aca="false">IF(N(BW12)=0,"",((BW12-BW13)*BW14+BW13*BW15)/BW12)</f>
        <v>0.00618075801749271</v>
      </c>
      <c r="BX16" s="106" t="n">
        <f aca="false">IF(N(BX12)=0,"",((BX12-BX13)*BX14+BX13*BX15)/BX12)</f>
        <v>0.00618421052631579</v>
      </c>
      <c r="BY16" s="107" t="str">
        <f aca="false">IF(COUNT(BY12,BY13,BY14,BY15)=4,IF(N(BY12)=0,"",((BY12-BY13)*BY14+BY13*BY15)/BY12),"")</f>
        <v/>
      </c>
      <c r="BZ16" s="107" t="n">
        <f aca="false">IF(N(BZ12)=0,"",((BZ12-BZ13)*BZ14+BZ13*BZ15)/BZ12)</f>
        <v>0.00616186693147964</v>
      </c>
      <c r="CA16" s="107" t="n">
        <f aca="false">IF(N(CA12)=0,"",((CA12-CA13)*CA14+CA13*CA15)/CA12)</f>
        <v>0.00616533864541833</v>
      </c>
      <c r="CB16" s="106" t="str">
        <f aca="false">IF(COUNT(CB12,CB13,CB14,CB15)=4,IF(N(CB12)=0,"",((CB12-CB13)*CB14+CB13*CB15)/CB12),"")</f>
        <v/>
      </c>
      <c r="CC16" s="106" t="n">
        <f aca="false">IF(N(CC12)=0,"",((CC12-CC13)*CC14+CC13*CC15)/CC12)</f>
        <v>0.00617706237424547</v>
      </c>
      <c r="CD16" s="106" t="n">
        <f aca="false">IF(N(CD12)=0,"",((CD12-CD13)*CD14+CD13*CD15)/CD12)</f>
        <v>0.00618062563067609</v>
      </c>
      <c r="CE16" s="107" t="str">
        <f aca="false">IF(COUNT(CE12,CE13,CE14,CE15)=4,IF(N(CE12)=0,"",((CE12-CE13)*CE14+CE13*CE15)/CE12),"")</f>
        <v/>
      </c>
      <c r="CF16" s="107" t="n">
        <f aca="false">IF(N(CF12)=0,"",((CF12-CF13)*CF14+CF13*CF15)/CF12)</f>
        <v>0.00619266055045872</v>
      </c>
      <c r="CG16" s="107" t="n">
        <f aca="false">IF(N(CG12)=0,"",((CG12-CG13)*CG14+CG13*CG15)/CG12)</f>
        <v>0.00615030674846626</v>
      </c>
      <c r="CH16" s="106" t="str">
        <f aca="false">IF(COUNT(CH12,CH13,CH14,CH15)=4,IF(N(CH12)=0,"",((CH12-CH13)*CH14+CH13*CH15)/CH12),"")</f>
        <v/>
      </c>
      <c r="CI16" s="106" t="n">
        <f aca="false">IF(N(CI12)=0,"",((CI12-CI13)*CI14+CI13*CI15)/CI12)</f>
        <v>0.00616219008264463</v>
      </c>
      <c r="CJ16" s="106" t="n">
        <f aca="false">IF(N(CJ12)=0,"",((CJ12-CJ13)*CJ14+CJ13*CJ15)/CJ12)</f>
        <v>0.00616580310880829</v>
      </c>
      <c r="CK16" s="107" t="str">
        <f aca="false">IF(COUNT(CK12,CK13,CK14,CK15)=4,IF(N(CK12)=0,"",((CK12-CK13)*CK14+CK13*CK15)/CK12),"")</f>
        <v/>
      </c>
      <c r="CL16" s="107" t="n">
        <f aca="false">IF(N(CL12)=0,"",((CL12-CL13)*CL14+CL13*CL15)/CL12)</f>
        <v>0.00617801047120419</v>
      </c>
      <c r="CM16" s="107" t="n">
        <f aca="false">IF(N(CM12)=0,"",((CM12-CM13)*CM14+CM13*CM15)/CM12)</f>
        <v>0.00618172268907563</v>
      </c>
      <c r="CN16" s="106" t="str">
        <f aca="false">IF(COUNT(CN12,CN13,CN14,CN15)=4,IF(N(CN12)=0,"",((CN12-CN13)*CN14+CN13*CN15)/CN12),"")</f>
        <v/>
      </c>
      <c r="CO16" s="106" t="n">
        <f aca="false">IF(N(CO12)=0,"",((CO12-CO13)*CO14+CO13*CO15)/CO12)</f>
        <v>0.00619426751592357</v>
      </c>
      <c r="CP16" s="106" t="n">
        <f aca="false">IF(N(CP12)=0,"",((CP12-CP13)*CP14+CP13*CP15)/CP12)</f>
        <v>0.00615015974440895</v>
      </c>
      <c r="CQ16" s="107" t="str">
        <f aca="false">IF(COUNT(CQ12,CQ13,CQ14,CQ15)=4,IF(N(CQ12)=0,"",((CQ12-CQ13)*CQ14+CQ13*CQ15)/CQ12),"")</f>
        <v/>
      </c>
      <c r="CR16" s="107" t="n">
        <f aca="false">IF(N(CR12)=0,"",((CR12-CR13)*CR14+CR13*CR15)/CR12)</f>
        <v>0.00616254036598493</v>
      </c>
      <c r="CS16" s="107" t="n">
        <f aca="false">IF(N(CS12)=0,"",((CS12-CS13)*CS14+CS13*CS15)/CS12)</f>
        <v>0.00616630669546436</v>
      </c>
      <c r="CT16" s="106" t="str">
        <f aca="false">IF(COUNT(CT12,CT13,CT14,CT15)=4,IF(N(CT12)=0,"",((CT12-CT13)*CT14+CT13*CT15)/CT12),"")</f>
        <v/>
      </c>
      <c r="CU16" s="106" t="n">
        <f aca="false">IF(N(CU12)=0,"",((CU12-CU13)*CU14+CU13*CU15)/CU12)</f>
        <v>0.00617903930131004</v>
      </c>
      <c r="CV16" s="106" t="n">
        <f aca="false">IF(N(CV12)=0,"",((CV12-CV13)*CV14+CV13*CV15)/CV12)</f>
        <v>0.0061829134720701</v>
      </c>
      <c r="CW16" s="107" t="str">
        <f aca="false">IF(COUNT(CW12,CW13,CW14,CW15)=4,IF(N(CW12)=0,"",((CW12-CW13)*CW14+CW13*CW15)/CW12),"")</f>
        <v/>
      </c>
      <c r="CX16" s="107" t="n">
        <f aca="false">IF(N(CX12)=0,"",((CX12-CX13)*CX14+CX13*CX15)/CX12)</f>
        <v>0.00619601328903655</v>
      </c>
      <c r="CY16" s="107" t="n">
        <f aca="false">IF(N(CY12)=0,"",((CY12-CY13)*CY14+CY13*CY15)/CY12)</f>
        <v>0.00615</v>
      </c>
      <c r="CZ16" s="106" t="str">
        <f aca="false">IF(COUNT(CZ12,CZ13,CZ14,CZ15)=4,IF(N(CZ12)=0,"",((CZ12-CZ13)*CZ14+CZ13*CZ15)/CZ12),"")</f>
        <v/>
      </c>
      <c r="DA16" s="106" t="n">
        <f aca="false">IF(N(DA12)=0,"",((DA12-DA13)*DA14+DA13*DA15)/DA12)</f>
        <v>0.00616422947131609</v>
      </c>
      <c r="DB16" s="106" t="n">
        <f aca="false">IF(N(DB12)=0,"",((DB12-DB13)*DB14+DB13*DB15)/DB12)</f>
        <v>0.00616817155756208</v>
      </c>
      <c r="DC16" s="107" t="str">
        <f aca="false">IF(COUNT(DC12,DC13,DC14,DC15)=4,IF(N(DC12)=0,"",((DC12-DC13)*DC14+DC13*DC15)/DC12),"")</f>
        <v/>
      </c>
      <c r="DD16" s="107" t="n">
        <f aca="false">IF(N(DD12)=0,"",((DD12-DD13)*DD14+DD13*DD15)/DD12)</f>
        <v>0.00618285714285714</v>
      </c>
      <c r="DE16" s="107" t="n">
        <f aca="false">IF(N(DE12)=0,"",((DE12-DE13)*DE14+DE13*DE15)/DE12)</f>
        <v>0.00618692660550459</v>
      </c>
      <c r="DF16" s="106" t="str">
        <f aca="false">IF(COUNT(DF12,DF13,DF14,DF15)=4,IF(N(DF12)=0,"",((DF12-DF13)*DF14+DF13*DF15)/DF12),"")</f>
        <v/>
      </c>
      <c r="DG16" s="106" t="n">
        <f aca="false">IF(N(DG12)=0,"",((DG12-DG13)*DG14+DG13*DG15)/DG12)</f>
        <v>0.00621764705882353</v>
      </c>
      <c r="DH16" s="106" t="n">
        <f aca="false">IF(N(DH12)=0,"",((DH12-DH13)*DH14+DH13*DH15)/DH12)</f>
        <v>0.00623361144219309</v>
      </c>
      <c r="DI16" s="107" t="n">
        <f aca="false">IF(COUNT(DI12,DI13,DI14,DI15)=4,IF(N(DI12)=0,"",((DI12-DI13)*DI14+DI13*DI15)/DI12),"")</f>
        <v>0.00622630331753555</v>
      </c>
      <c r="DJ16" s="107" t="n">
        <f aca="false">IF(N(DJ12)=0,"",((DJ12-DJ13)*DJ14+DJ13*DJ15)/DJ12)</f>
        <v>0.00622630331753555</v>
      </c>
      <c r="DK16" s="107" t="n">
        <f aca="false">IF(N(DK12)=0,"",((DK12-DK13)*DK14+DK13*DK15)/DK12)</f>
        <v>0.0062</v>
      </c>
      <c r="DL16" s="106" t="n">
        <f aca="false">IF(COUNT(DL12,DL13,DL14,DL15)=4,IF(N(DL12)=0,"",((DL12-DL13)*DL14+DL13*DL15)/DL12),"")</f>
        <v>0.00624698795180723</v>
      </c>
      <c r="DM16" s="106" t="n">
        <f aca="false">IF(N(DM12)=0,"",((DM12-DM13)*DM14+DM13*DM15)/DM12)</f>
        <v>0.00624698795180723</v>
      </c>
      <c r="DN16" s="106" t="n">
        <f aca="false">IF(N(DN12)=0,"",((DN12-DN13)*DN14+DN13*DN15)/DN12)</f>
        <v>0.00624698795180723</v>
      </c>
    </row>
    <row r="17" customFormat="false" ht="15" hidden="false" customHeight="false" outlineLevel="0" collapsed="false">
      <c r="A17" s="26" t="s">
        <v>219</v>
      </c>
      <c r="B17" s="86" t="str">
        <f aca="false">IF(COUNT(AR17,AO17,AL17,AI17,AF17,AC17,Z17,W17,T17,Q17,N17,K17)=0,"",SUM(AR17,AO17,AL17,AI17,AF17,AC17,Z17,W17,T17,Q17,N17,K17))</f>
        <v/>
      </c>
      <c r="C17" s="86" t="n">
        <f aca="false">IF(COUNT(AS17,AP17,AM17,AJ17,AG17,AD17,AA17,X17,U17,R17,O17,L17)=0,"",SUM(AS17,AP17,AM17,AJ17,AG17,AD17,AA17,X17,U17,R17,O17,L17))</f>
        <v>102</v>
      </c>
      <c r="D17" s="86" t="n">
        <f aca="false">IF(COUNT(AT17,AQ17,AN17,AK17,AH17,AE17,AB17,Y17,V17,S17,P17,M17)=0,"",SUM(AT17,AQ17,AN17,AK17,AH17,AE17,AB17,Y17,V17,S17,P17,M17))</f>
        <v>102</v>
      </c>
      <c r="E17" s="87" t="str">
        <f aca="false">IF(COUNT(CB17,BY17,BV17,BS17,BP17,BM17,BJ17,BG17,BD17,BA17,AX17,AU17)=0,"",SUM(CB17,BY17,BV17,BS17,BP17,BM17,BJ17,BG17,BD17,BA17,AX17,AU17))</f>
        <v/>
      </c>
      <c r="F17" s="87" t="n">
        <f aca="false">IF(COUNT(CC17,BZ17,BW17,BT17,BQ17,BN17,BK17,BH17,BE17,BB17,AY17,AV17)=0,"",SUM(CC17,BZ17,BW17,BT17,BQ17,BN17,BK17,BH17,BE17,BB17,AY17,AV17))</f>
        <v>80</v>
      </c>
      <c r="G17" s="87" t="n">
        <f aca="false">IF(COUNT(CD17,CA17,BX17,BU17,BR17,BO17,BL17,BI17,BF17,BC17,AZ17,AW17)=0,"",SUM(CD17,CA17,BX17,BU17,BR17,BO17,BL17,BI17,BF17,BC17,AZ17,AW17))</f>
        <v>80</v>
      </c>
      <c r="H17" s="86" t="n">
        <f aca="false">IF(COUNT(DL17,DI17,DF17,DC17,CZ17,CW17,CT17,CQ17,CN17,CK17,CH17,CE17)=0,"",SUM(DL17,DI17,DF17,DC17,CZ17,CW17,CT17,CQ17,CN17,CK17,CH17,CE17))</f>
        <v>10</v>
      </c>
      <c r="I17" s="86" t="n">
        <f aca="false">IF(COUNT(DM17,DJ17,DG17,DD17,DA17,CX17,CU17,CR17,CO17,CL17,CI17,CF17)=0,"",SUM(DM17,DJ17,DG17,DD17,DA17,CX17,CU17,CR17,CO17,CL17,CI17,CF17))</f>
        <v>67</v>
      </c>
      <c r="J17" s="86" t="n">
        <f aca="false">IF(COUNT(DN17,DK17,DH17,DE17,DB17,CY17,CV17,CS17,CP17,CM17,CJ17,CG17)=0,"",SUM(DN17,DK17,DH17,DE17,DB17,CY17,CV17,CS17,CP17,CM17,CJ17,CG17))</f>
        <v>67</v>
      </c>
      <c r="K17" s="87"/>
      <c r="L17" s="87" t="n">
        <f aca="false">ROUND(L12*L16,0)</f>
        <v>9</v>
      </c>
      <c r="M17" s="87" t="n">
        <f aca="false">ROUND(M12*M16,0)</f>
        <v>9</v>
      </c>
      <c r="N17" s="86"/>
      <c r="O17" s="86" t="n">
        <f aca="false">ROUND(O12*O16,0)</f>
        <v>9</v>
      </c>
      <c r="P17" s="86" t="n">
        <f aca="false">ROUND(P12*P16,0)</f>
        <v>9</v>
      </c>
      <c r="Q17" s="87"/>
      <c r="R17" s="87" t="n">
        <f aca="false">ROUND(R12*R16,0)</f>
        <v>9</v>
      </c>
      <c r="S17" s="87" t="n">
        <f aca="false">ROUND(S12*S16,0)</f>
        <v>9</v>
      </c>
      <c r="T17" s="86"/>
      <c r="U17" s="86" t="n">
        <f aca="false">ROUND(U12*U16,0)</f>
        <v>9</v>
      </c>
      <c r="V17" s="86" t="n">
        <f aca="false">ROUND(V12*V16,0)</f>
        <v>9</v>
      </c>
      <c r="W17" s="87"/>
      <c r="X17" s="87" t="n">
        <f aca="false">ROUND(X12*X16,0)</f>
        <v>9</v>
      </c>
      <c r="Y17" s="87" t="n">
        <f aca="false">ROUND(Y12*Y16,0)</f>
        <v>9</v>
      </c>
      <c r="Z17" s="86"/>
      <c r="AA17" s="86" t="n">
        <f aca="false">ROUND(AA12*AA16,0)</f>
        <v>9</v>
      </c>
      <c r="AB17" s="86" t="n">
        <f aca="false">ROUND(AB12*AB16,0)</f>
        <v>9</v>
      </c>
      <c r="AC17" s="87"/>
      <c r="AD17" s="87" t="n">
        <f aca="false">ROUND(AD12*AD16,0)</f>
        <v>8</v>
      </c>
      <c r="AE17" s="87" t="n">
        <f aca="false">ROUND(AE12*AE16,0)</f>
        <v>8</v>
      </c>
      <c r="AF17" s="86"/>
      <c r="AG17" s="86" t="n">
        <f aca="false">ROUND(AG12*AG16,0)</f>
        <v>8</v>
      </c>
      <c r="AH17" s="86" t="n">
        <f aca="false">ROUND(AH12*AH16,0)</f>
        <v>8</v>
      </c>
      <c r="AI17" s="87"/>
      <c r="AJ17" s="87" t="n">
        <f aca="false">ROUND(AJ12*AJ16,0)</f>
        <v>8</v>
      </c>
      <c r="AK17" s="87" t="n">
        <f aca="false">ROUND(AK12*AK16,0)</f>
        <v>8</v>
      </c>
      <c r="AL17" s="86"/>
      <c r="AM17" s="86" t="n">
        <f aca="false">ROUND(AM12*AM16,0)</f>
        <v>8</v>
      </c>
      <c r="AN17" s="86" t="n">
        <f aca="false">ROUND(AN12*AN16,0)</f>
        <v>8</v>
      </c>
      <c r="AO17" s="87"/>
      <c r="AP17" s="87" t="n">
        <f aca="false">ROUND(AP12*AP16,0)</f>
        <v>8</v>
      </c>
      <c r="AQ17" s="87" t="n">
        <f aca="false">ROUND(AQ12*AQ16,0)</f>
        <v>8</v>
      </c>
      <c r="AR17" s="86"/>
      <c r="AS17" s="86" t="n">
        <f aca="false">ROUND(AS12*AS16,0)</f>
        <v>8</v>
      </c>
      <c r="AT17" s="86" t="n">
        <f aca="false">ROUND(AT12*AT16,0)</f>
        <v>8</v>
      </c>
      <c r="AU17" s="87"/>
      <c r="AV17" s="87" t="n">
        <f aca="false">ROUND(AV12*AV16,0)</f>
        <v>7</v>
      </c>
      <c r="AW17" s="87" t="n">
        <f aca="false">ROUND(AW12*AW16,0)</f>
        <v>7</v>
      </c>
      <c r="AX17" s="86"/>
      <c r="AY17" s="86" t="n">
        <f aca="false">ROUND(AY12*AY16,0)</f>
        <v>7</v>
      </c>
      <c r="AZ17" s="86" t="n">
        <f aca="false">ROUND(AZ12*AZ16,0)</f>
        <v>7</v>
      </c>
      <c r="BA17" s="87"/>
      <c r="BB17" s="87" t="n">
        <f aca="false">ROUND(BB12*BB16,0)</f>
        <v>7</v>
      </c>
      <c r="BC17" s="87" t="n">
        <f aca="false">ROUND(BC12*BC16,0)</f>
        <v>7</v>
      </c>
      <c r="BD17" s="86"/>
      <c r="BE17" s="86" t="n">
        <f aca="false">ROUND(BE12*BE16,0)</f>
        <v>7</v>
      </c>
      <c r="BF17" s="86" t="n">
        <f aca="false">ROUND(BF12*BF16,0)</f>
        <v>7</v>
      </c>
      <c r="BG17" s="87"/>
      <c r="BH17" s="87" t="n">
        <f aca="false">ROUND(BH12*BH16,0)</f>
        <v>7</v>
      </c>
      <c r="BI17" s="87" t="n">
        <f aca="false">ROUND(BI12*BI16,0)</f>
        <v>7</v>
      </c>
      <c r="BJ17" s="86"/>
      <c r="BK17" s="86" t="n">
        <f aca="false">ROUND(BK12*BK16,0)</f>
        <v>7</v>
      </c>
      <c r="BL17" s="86" t="n">
        <f aca="false">ROUND(BL12*BL16,0)</f>
        <v>7</v>
      </c>
      <c r="BM17" s="87"/>
      <c r="BN17" s="87" t="n">
        <f aca="false">ROUND(BN12*BN16,0)</f>
        <v>7</v>
      </c>
      <c r="BO17" s="87" t="n">
        <f aca="false">ROUND(BO12*BO16,0)</f>
        <v>7</v>
      </c>
      <c r="BP17" s="86"/>
      <c r="BQ17" s="86" t="n">
        <f aca="false">ROUND(BQ12*BQ16,0)</f>
        <v>7</v>
      </c>
      <c r="BR17" s="86" t="n">
        <f aca="false">ROUND(BR12*BR16,0)</f>
        <v>7</v>
      </c>
      <c r="BS17" s="87"/>
      <c r="BT17" s="87" t="n">
        <f aca="false">ROUND(BT12*BT16,0)</f>
        <v>6</v>
      </c>
      <c r="BU17" s="87" t="n">
        <f aca="false">ROUND(BU12*BU16,0)</f>
        <v>6</v>
      </c>
      <c r="BV17" s="86"/>
      <c r="BW17" s="86" t="n">
        <f aca="false">ROUND(BW12*BW16,0)</f>
        <v>6</v>
      </c>
      <c r="BX17" s="86" t="n">
        <f aca="false">ROUND(BX12*BX16,0)</f>
        <v>6</v>
      </c>
      <c r="BY17" s="87"/>
      <c r="BZ17" s="87" t="n">
        <f aca="false">ROUND(BZ12*BZ16,0)</f>
        <v>6</v>
      </c>
      <c r="CA17" s="87" t="n">
        <f aca="false">ROUND(CA12*CA16,0)</f>
        <v>6</v>
      </c>
      <c r="CB17" s="86"/>
      <c r="CC17" s="86" t="n">
        <f aca="false">ROUND(CC12*CC16,0)</f>
        <v>6</v>
      </c>
      <c r="CD17" s="86" t="n">
        <f aca="false">ROUND(CD12*CD16,0)</f>
        <v>6</v>
      </c>
      <c r="CE17" s="87"/>
      <c r="CF17" s="87" t="n">
        <f aca="false">ROUND(CF12*CF16,0)</f>
        <v>6</v>
      </c>
      <c r="CG17" s="87" t="n">
        <f aca="false">ROUND(CG12*CG16,0)</f>
        <v>6</v>
      </c>
      <c r="CH17" s="86"/>
      <c r="CI17" s="86" t="n">
        <f aca="false">ROUND(CI12*CI16,0)</f>
        <v>6</v>
      </c>
      <c r="CJ17" s="86" t="n">
        <f aca="false">ROUND(CJ12*CJ16,0)</f>
        <v>6</v>
      </c>
      <c r="CK17" s="87"/>
      <c r="CL17" s="87" t="n">
        <f aca="false">ROUND(CL12*CL16,0)</f>
        <v>6</v>
      </c>
      <c r="CM17" s="87" t="n">
        <f aca="false">ROUND(CM12*CM16,0)</f>
        <v>6</v>
      </c>
      <c r="CN17" s="86"/>
      <c r="CO17" s="86" t="n">
        <f aca="false">ROUND(CO12*CO16,0)</f>
        <v>6</v>
      </c>
      <c r="CP17" s="86" t="n">
        <f aca="false">ROUND(CP12*CP16,0)</f>
        <v>6</v>
      </c>
      <c r="CQ17" s="87"/>
      <c r="CR17" s="87" t="n">
        <f aca="false">ROUND(CR12*CR16,0)</f>
        <v>6</v>
      </c>
      <c r="CS17" s="87" t="n">
        <f aca="false">ROUND(CS12*CS16,0)</f>
        <v>6</v>
      </c>
      <c r="CT17" s="86"/>
      <c r="CU17" s="86" t="n">
        <f aca="false">ROUND(CU12*CU16,0)</f>
        <v>6</v>
      </c>
      <c r="CV17" s="86" t="n">
        <f aca="false">ROUND(CV12*CV16,0)</f>
        <v>6</v>
      </c>
      <c r="CW17" s="87"/>
      <c r="CX17" s="87" t="n">
        <f aca="false">ROUND(CX12*CX16,0)</f>
        <v>6</v>
      </c>
      <c r="CY17" s="87" t="n">
        <f aca="false">ROUND(CY12*CY16,0)</f>
        <v>6</v>
      </c>
      <c r="CZ17" s="86"/>
      <c r="DA17" s="86" t="n">
        <f aca="false">ROUND(DA12*DA16,0)</f>
        <v>5</v>
      </c>
      <c r="DB17" s="86" t="n">
        <f aca="false">ROUND(DB12*DB16,0)</f>
        <v>5</v>
      </c>
      <c r="DC17" s="87"/>
      <c r="DD17" s="87" t="n">
        <f aca="false">ROUND(DD12*DD16,0)</f>
        <v>5</v>
      </c>
      <c r="DE17" s="87" t="n">
        <f aca="false">ROUND(DE12*DE16,0)</f>
        <v>5</v>
      </c>
      <c r="DF17" s="86"/>
      <c r="DG17" s="86" t="n">
        <f aca="false">ROUND(DG12*DG16,0)</f>
        <v>5</v>
      </c>
      <c r="DH17" s="86" t="n">
        <f aca="false">ROUND(DH12*DH16,0)</f>
        <v>5</v>
      </c>
      <c r="DI17" s="26" t="n">
        <v>5</v>
      </c>
      <c r="DJ17" s="87" t="n">
        <f aca="false">ROUND(DJ12*DJ16,0)</f>
        <v>5</v>
      </c>
      <c r="DK17" s="87" t="n">
        <f aca="false">ROUND(DK12*DK16,0)</f>
        <v>5</v>
      </c>
      <c r="DL17" s="88" t="n">
        <v>5</v>
      </c>
      <c r="DM17" s="86" t="n">
        <f aca="false">ROUND(DM12*DM16,0)</f>
        <v>5</v>
      </c>
      <c r="DN17" s="86" t="n">
        <f aca="false">ROUND(DN12*DN16,0)</f>
        <v>5</v>
      </c>
    </row>
    <row r="18" customFormat="false" ht="15" hidden="false" customHeight="false" outlineLevel="0" collapsed="false">
      <c r="A18" s="5" t="s">
        <v>158</v>
      </c>
      <c r="B18" s="12" t="str">
        <f aca="false">IF(COUNT(AR18,AO18,AL18,AI18,AF18,AC18,Z18,W18,T18,Q18,N18,K18)=0,"",SUM(AR18,AO18,AL18,AI18,AF18,AC18,Z18,W18,T18,Q18,N18,K18))</f>
        <v/>
      </c>
      <c r="C18" s="12" t="n">
        <f aca="false">IF(COUNT(AS18,AP18,AM18,AJ18,AG18,AD18,AA18,X18,U18,R18,O18,L18)=0,"",SUM(AS18,AP18,AM18,AJ18,AG18,AD18,AA18,X18,U18,R18,O18,L18))</f>
        <v>1072000</v>
      </c>
      <c r="D18" s="12" t="n">
        <f aca="false">IF(COUNT(AT18,AQ18,AN18,AK18,AH18,AE18,AB18,Y18,V18,S18,P18,M18)=0,"",SUM(AT18,AQ18,AN18,AK18,AH18,AE18,AB18,Y18,V18,S18,P18,M18))</f>
        <v>1072000</v>
      </c>
      <c r="E18" s="13" t="str">
        <f aca="false">IF(COUNT(CB18,BY18,BV18,BS18,BP18,BM18,BJ18,BG18,BD18,BA18,AX18,AU18)=0,"",SUM(CB18,BY18,BV18,BS18,BP18,BM18,BJ18,BG18,BD18,BA18,AX18,AU18))</f>
        <v/>
      </c>
      <c r="F18" s="13" t="n">
        <f aca="false">IF(COUNT(CC18,BZ18,BW18,BT18,BQ18,BN18,BK18,BH18,BE18,BB18,AY18,AV18)=0,"",SUM(CC18,BZ18,BW18,BT18,BQ18,BN18,BK18,BH18,BE18,BB18,AY18,AV18))</f>
        <v>852000</v>
      </c>
      <c r="G18" s="13" t="n">
        <f aca="false">IF(COUNT(CD18,CA18,BX18,BU18,BR18,BO18,BL18,BI18,BF18,BC18,AZ18,AW18)=0,"",SUM(CD18,CA18,BX18,BU18,BR18,BO18,BL18,BI18,BF18,BC18,AZ18,AW18))</f>
        <v>852000</v>
      </c>
      <c r="H18" s="12" t="n">
        <f aca="false">IF(COUNT(DL18,DI18,DF18,DC18,CZ18,CW18,CT18,CQ18,CN18,CK18,CH18,CE18)=0,"",SUM(DL18,DI18,DF18,DC18,CZ18,CW18,CT18,CQ18,CN18,CK18,CH18,CE18))</f>
        <v>102000</v>
      </c>
      <c r="I18" s="12" t="n">
        <f aca="false">IF(COUNT(DM18,DJ18,DG18,DD18,DA18,CX18,CU18,CR18,CO18,CL18,CI18,CF18)=0,"",SUM(DM18,DJ18,DG18,DD18,DA18,CX18,CU18,CR18,CO18,CL18,CI18,CF18))</f>
        <v>684000</v>
      </c>
      <c r="J18" s="12" t="n">
        <f aca="false">IF(COUNT(DN18,DK18,DH18,DE18,DB18,CY18,CV18,CS18,CP18,CM18,CJ18,CG18)=0,"",SUM(DN18,DK18,DH18,DE18,DB18,CY18,CV18,CS18,CP18,CM18,CJ18,CG18))</f>
        <v>684000</v>
      </c>
      <c r="K18" s="13" t="str">
        <f aca="false">IF(COUNT(K47)=1,K47,"")</f>
        <v/>
      </c>
      <c r="L18" s="13" t="n">
        <f aca="false">L47</f>
        <v>90000</v>
      </c>
      <c r="M18" s="13" t="n">
        <f aca="false">M47</f>
        <v>90000</v>
      </c>
      <c r="N18" s="12" t="str">
        <f aca="false">IF(COUNT(N47)=1,N47,"")</f>
        <v/>
      </c>
      <c r="O18" s="12" t="n">
        <f aca="false">O47</f>
        <v>90000</v>
      </c>
      <c r="P18" s="12" t="n">
        <f aca="false">P47</f>
        <v>90000</v>
      </c>
      <c r="Q18" s="13" t="str">
        <f aca="false">IF(COUNT(Q47)=1,Q47,"")</f>
        <v/>
      </c>
      <c r="R18" s="13" t="n">
        <f aca="false">R47</f>
        <v>90000</v>
      </c>
      <c r="S18" s="13" t="n">
        <f aca="false">S47</f>
        <v>90000</v>
      </c>
      <c r="T18" s="12" t="str">
        <f aca="false">IF(COUNT(T47)=1,T47,"")</f>
        <v/>
      </c>
      <c r="U18" s="12" t="n">
        <f aca="false">U47</f>
        <v>90000</v>
      </c>
      <c r="V18" s="12" t="n">
        <f aca="false">V47</f>
        <v>90000</v>
      </c>
      <c r="W18" s="13" t="str">
        <f aca="false">IF(COUNT(W47)=1,W47,"")</f>
        <v/>
      </c>
      <c r="X18" s="13" t="n">
        <f aca="false">X47</f>
        <v>90000</v>
      </c>
      <c r="Y18" s="13" t="n">
        <f aca="false">Y47</f>
        <v>90000</v>
      </c>
      <c r="Z18" s="12" t="str">
        <f aca="false">IF(COUNT(Z47)=1,Z47,"")</f>
        <v/>
      </c>
      <c r="AA18" s="12" t="n">
        <f aca="false">AA47</f>
        <v>90000</v>
      </c>
      <c r="AB18" s="12" t="n">
        <f aca="false">AB47</f>
        <v>90000</v>
      </c>
      <c r="AC18" s="13" t="str">
        <f aca="false">IF(COUNT(AC47)=1,AC47,"")</f>
        <v/>
      </c>
      <c r="AD18" s="13" t="n">
        <f aca="false">AD47</f>
        <v>90000</v>
      </c>
      <c r="AE18" s="13" t="n">
        <f aca="false">AE47</f>
        <v>90000</v>
      </c>
      <c r="AF18" s="12" t="str">
        <f aca="false">IF(COUNT(AF47)=1,AF47,"")</f>
        <v/>
      </c>
      <c r="AG18" s="12" t="n">
        <f aca="false">AG47</f>
        <v>90000</v>
      </c>
      <c r="AH18" s="12" t="n">
        <f aca="false">AH47</f>
        <v>90000</v>
      </c>
      <c r="AI18" s="13" t="str">
        <f aca="false">IF(COUNT(AI47)=1,AI47,"")</f>
        <v/>
      </c>
      <c r="AJ18" s="13" t="n">
        <f aca="false">AJ47</f>
        <v>90000</v>
      </c>
      <c r="AK18" s="13" t="n">
        <f aca="false">AK47</f>
        <v>90000</v>
      </c>
      <c r="AL18" s="12" t="str">
        <f aca="false">IF(COUNT(AL47)=1,AL47,"")</f>
        <v/>
      </c>
      <c r="AM18" s="12" t="n">
        <f aca="false">AM47</f>
        <v>90000</v>
      </c>
      <c r="AN18" s="12" t="n">
        <f aca="false">AN47</f>
        <v>90000</v>
      </c>
      <c r="AO18" s="13" t="str">
        <f aca="false">IF(COUNT(AO47)=1,AO47,"")</f>
        <v/>
      </c>
      <c r="AP18" s="13" t="n">
        <f aca="false">AP47</f>
        <v>90000</v>
      </c>
      <c r="AQ18" s="13" t="n">
        <f aca="false">AQ47</f>
        <v>90000</v>
      </c>
      <c r="AR18" s="12" t="str">
        <f aca="false">IF(COUNT(AR47)=1,AR47,"")</f>
        <v/>
      </c>
      <c r="AS18" s="12" t="n">
        <f aca="false">AS47</f>
        <v>82000</v>
      </c>
      <c r="AT18" s="12" t="n">
        <f aca="false">AT47</f>
        <v>82000</v>
      </c>
      <c r="AU18" s="13" t="str">
        <f aca="false">IF(COUNT(AU47)=1,AU47,"")</f>
        <v/>
      </c>
      <c r="AV18" s="13" t="n">
        <f aca="false">AV47</f>
        <v>82000</v>
      </c>
      <c r="AW18" s="13" t="n">
        <f aca="false">AW47</f>
        <v>82000</v>
      </c>
      <c r="AX18" s="12" t="str">
        <f aca="false">IF(COUNT(AX47)=1,AX47,"")</f>
        <v/>
      </c>
      <c r="AY18" s="12" t="n">
        <f aca="false">AY47</f>
        <v>82000</v>
      </c>
      <c r="AZ18" s="12" t="n">
        <f aca="false">AZ47</f>
        <v>82000</v>
      </c>
      <c r="BA18" s="13" t="str">
        <f aca="false">IF(COUNT(BA47)=1,BA47,"")</f>
        <v/>
      </c>
      <c r="BB18" s="13" t="n">
        <f aca="false">BB47</f>
        <v>82000</v>
      </c>
      <c r="BC18" s="13" t="n">
        <f aca="false">BC47</f>
        <v>82000</v>
      </c>
      <c r="BD18" s="12" t="str">
        <f aca="false">IF(COUNT(BD47)=1,BD47,"")</f>
        <v/>
      </c>
      <c r="BE18" s="12" t="n">
        <f aca="false">BE47</f>
        <v>82000</v>
      </c>
      <c r="BF18" s="12" t="n">
        <f aca="false">BF47</f>
        <v>82000</v>
      </c>
      <c r="BG18" s="13" t="str">
        <f aca="false">IF(COUNT(BG47)=1,BG47,"")</f>
        <v/>
      </c>
      <c r="BH18" s="13" t="n">
        <f aca="false">BH47</f>
        <v>74000</v>
      </c>
      <c r="BI18" s="13" t="n">
        <f aca="false">BI47</f>
        <v>74000</v>
      </c>
      <c r="BJ18" s="12" t="str">
        <f aca="false">IF(COUNT(BJ47)=1,BJ47,"")</f>
        <v/>
      </c>
      <c r="BK18" s="12" t="n">
        <f aca="false">BK47</f>
        <v>74000</v>
      </c>
      <c r="BL18" s="12" t="n">
        <f aca="false">BL47</f>
        <v>74000</v>
      </c>
      <c r="BM18" s="13" t="str">
        <f aca="false">IF(COUNT(BM47)=1,BM47,"")</f>
        <v/>
      </c>
      <c r="BN18" s="13" t="n">
        <f aca="false">BN47</f>
        <v>74000</v>
      </c>
      <c r="BO18" s="13" t="n">
        <f aca="false">BO47</f>
        <v>74000</v>
      </c>
      <c r="BP18" s="12" t="str">
        <f aca="false">IF(COUNT(BP47)=1,BP47,"")</f>
        <v/>
      </c>
      <c r="BQ18" s="12" t="n">
        <f aca="false">BQ47</f>
        <v>66000</v>
      </c>
      <c r="BR18" s="12" t="n">
        <f aca="false">BR47</f>
        <v>66000</v>
      </c>
      <c r="BS18" s="13" t="str">
        <f aca="false">IF(COUNT(BS47)=1,BS47,"")</f>
        <v/>
      </c>
      <c r="BT18" s="13" t="n">
        <f aca="false">BT47</f>
        <v>59000</v>
      </c>
      <c r="BU18" s="13" t="n">
        <f aca="false">BU47</f>
        <v>59000</v>
      </c>
      <c r="BV18" s="12" t="str">
        <f aca="false">IF(COUNT(BV47)=1,BV47,"")</f>
        <v/>
      </c>
      <c r="BW18" s="12" t="n">
        <f aca="false">BW47</f>
        <v>59000</v>
      </c>
      <c r="BX18" s="12" t="n">
        <f aca="false">BX47</f>
        <v>59000</v>
      </c>
      <c r="BY18" s="13" t="str">
        <f aca="false">IF(COUNT(BY47)=1,BY47,"")</f>
        <v/>
      </c>
      <c r="BZ18" s="13" t="n">
        <f aca="false">BZ47</f>
        <v>59000</v>
      </c>
      <c r="CA18" s="13" t="n">
        <f aca="false">CA47</f>
        <v>59000</v>
      </c>
      <c r="CB18" s="12" t="str">
        <f aca="false">IF(COUNT(CB47)=1,CB47,"")</f>
        <v/>
      </c>
      <c r="CC18" s="12" t="n">
        <f aca="false">CC47</f>
        <v>59000</v>
      </c>
      <c r="CD18" s="12" t="n">
        <f aca="false">CD47</f>
        <v>59000</v>
      </c>
      <c r="CE18" s="13" t="str">
        <f aca="false">IF(COUNT(CE47)=1,CE47,"")</f>
        <v/>
      </c>
      <c r="CF18" s="13" t="n">
        <f aca="false">CF47</f>
        <v>59000</v>
      </c>
      <c r="CG18" s="13" t="n">
        <f aca="false">CG47</f>
        <v>59000</v>
      </c>
      <c r="CH18" s="12" t="str">
        <f aca="false">IF(COUNT(CH47)=1,CH47,"")</f>
        <v/>
      </c>
      <c r="CI18" s="12" t="n">
        <f aca="false">CI47</f>
        <v>59000</v>
      </c>
      <c r="CJ18" s="12" t="n">
        <f aca="false">CJ47</f>
        <v>59000</v>
      </c>
      <c r="CK18" s="13" t="str">
        <f aca="false">IF(COUNT(CK47)=1,CK47,"")</f>
        <v/>
      </c>
      <c r="CL18" s="13" t="n">
        <f aca="false">CL47</f>
        <v>59000</v>
      </c>
      <c r="CM18" s="13" t="n">
        <f aca="false">CM47</f>
        <v>59000</v>
      </c>
      <c r="CN18" s="12" t="str">
        <f aca="false">IF(COUNT(CN47)=1,CN47,"")</f>
        <v/>
      </c>
      <c r="CO18" s="12" t="n">
        <f aca="false">CO47</f>
        <v>59000</v>
      </c>
      <c r="CP18" s="12" t="n">
        <f aca="false">CP47</f>
        <v>59000</v>
      </c>
      <c r="CQ18" s="13" t="str">
        <f aca="false">IF(COUNT(CQ47)=1,CQ47,"")</f>
        <v/>
      </c>
      <c r="CR18" s="13" t="n">
        <f aca="false">CR47</f>
        <v>59000</v>
      </c>
      <c r="CS18" s="13" t="n">
        <f aca="false">CS47</f>
        <v>59000</v>
      </c>
      <c r="CT18" s="12" t="str">
        <f aca="false">IF(COUNT(CT47)=1,CT47,"")</f>
        <v/>
      </c>
      <c r="CU18" s="12" t="n">
        <f aca="false">CU47</f>
        <v>59000</v>
      </c>
      <c r="CV18" s="12" t="n">
        <f aca="false">CV47</f>
        <v>59000</v>
      </c>
      <c r="CW18" s="13" t="str">
        <f aca="false">IF(COUNT(CW47)=1,CW47,"")</f>
        <v/>
      </c>
      <c r="CX18" s="13" t="n">
        <f aca="false">CX47</f>
        <v>59000</v>
      </c>
      <c r="CY18" s="13" t="n">
        <f aca="false">CY47</f>
        <v>59000</v>
      </c>
      <c r="CZ18" s="12" t="str">
        <f aca="false">IF(COUNT(CZ47)=1,CZ47,"")</f>
        <v/>
      </c>
      <c r="DA18" s="12" t="n">
        <f aca="false">DA47</f>
        <v>59000</v>
      </c>
      <c r="DB18" s="12" t="n">
        <f aca="false">DB47</f>
        <v>59000</v>
      </c>
      <c r="DC18" s="13" t="str">
        <f aca="false">IF(COUNT(DC47)=1,DC47,"")</f>
        <v/>
      </c>
      <c r="DD18" s="13" t="n">
        <f aca="false">DD47</f>
        <v>59000</v>
      </c>
      <c r="DE18" s="13" t="n">
        <f aca="false">DE47</f>
        <v>59000</v>
      </c>
      <c r="DF18" s="12" t="str">
        <f aca="false">IF(COUNT(DF47)=1,DF47,"")</f>
        <v/>
      </c>
      <c r="DG18" s="12" t="n">
        <f aca="false">DG47</f>
        <v>51000</v>
      </c>
      <c r="DH18" s="12" t="n">
        <f aca="false">DH47</f>
        <v>51000</v>
      </c>
      <c r="DI18" s="13" t="n">
        <f aca="false">IF(COUNT(DI47)=1,DI47,"")</f>
        <v>51000</v>
      </c>
      <c r="DJ18" s="13" t="n">
        <f aca="false">DJ47</f>
        <v>51000</v>
      </c>
      <c r="DK18" s="13" t="n">
        <f aca="false">DK47</f>
        <v>51000</v>
      </c>
      <c r="DL18" s="12" t="n">
        <f aca="false">IF(COUNT(DL47)=1,DL47,"")</f>
        <v>51000</v>
      </c>
      <c r="DM18" s="12" t="n">
        <f aca="false">DM47</f>
        <v>51000</v>
      </c>
      <c r="DN18" s="12" t="n">
        <f aca="false">DN47</f>
        <v>51000</v>
      </c>
    </row>
    <row r="19" customFormat="false" ht="15" hidden="false" customHeight="false" outlineLevel="0" collapsed="false">
      <c r="A19" s="5" t="s">
        <v>159</v>
      </c>
      <c r="B19" s="12" t="str">
        <f aca="false">IF(COUNT(AR19,AO19,AL19,AI19,AF19,AC19,Z19,W19,T19,Q19,N19,K19)=0,"",SUM(AR19,AO19,AL19,AI19,AF19,AC19,Z19,W19,T19,Q19,N19,K19))</f>
        <v/>
      </c>
      <c r="C19" s="12" t="n">
        <f aca="false">IF(COUNT(AS19,AP19,AM19,AJ19,AG19,AD19,AA19,X19,U19,R19,O19,L19)=0,"",SUM(AS19,AP19,AM19,AJ19,AG19,AD19,AA19,X19,U19,R19,O19,L19))</f>
        <v>24000</v>
      </c>
      <c r="D19" s="12" t="n">
        <f aca="false">IF(COUNT(AT19,AQ19,AN19,AK19,AH19,AE19,AB19,Y19,V19,S19,P19,M19)=0,"",SUM(AT19,AQ19,AN19,AK19,AH19,AE19,AB19,Y19,V19,S19,P19,M19))</f>
        <v>24000</v>
      </c>
      <c r="E19" s="13" t="str">
        <f aca="false">IF(COUNT(CB19,BY19,BV19,BS19,BP19,BM19,BJ19,BG19,BD19,BA19,AX19,AU19)=0,"",SUM(CB19,BY19,BV19,BS19,BP19,BM19,BJ19,BG19,BD19,BA19,AX19,AU19))</f>
        <v/>
      </c>
      <c r="F19" s="13" t="n">
        <f aca="false">IF(COUNT(CC19,BZ19,BW19,BT19,BQ19,BN19,BK19,BH19,BE19,BB19,AY19,AV19)=0,"",SUM(CC19,BZ19,BW19,BT19,BQ19,BN19,BK19,BH19,BE19,BB19,AY19,AV19))</f>
        <v>24000</v>
      </c>
      <c r="G19" s="13" t="n">
        <f aca="false">IF(COUNT(CD19,CA19,BX19,BU19,BR19,BO19,BL19,BI19,BF19,BC19,AZ19,AW19)=0,"",SUM(CD19,CA19,BX19,BU19,BR19,BO19,BL19,BI19,BF19,BC19,AZ19,AW19))</f>
        <v>24000</v>
      </c>
      <c r="H19" s="12" t="n">
        <f aca="false">IF(COUNT(DL19,DI19,DF19,DC19,CZ19,CW19,CT19,CQ19,CN19,CK19,CH19,CE19)=0,"",SUM(DL19,DI19,DF19,DC19,CZ19,CW19,CT19,CQ19,CN19,CK19,CH19,CE19))</f>
        <v>4000</v>
      </c>
      <c r="I19" s="12" t="n">
        <f aca="false">IF(COUNT(DM19,DJ19,DG19,DD19,DA19,CX19,CU19,CR19,CO19,CL19,CI19,CF19)=0,"",SUM(DM19,DJ19,DG19,DD19,DA19,CX19,CU19,CR19,CO19,CL19,CI19,CF19))</f>
        <v>24000</v>
      </c>
      <c r="J19" s="12" t="n">
        <f aca="false">IF(COUNT(DN19,DK19,DH19,DE19,DB19,CY19,CV19,CS19,CP19,CM19,CJ19,CG19)=0,"",SUM(DN19,DK19,DH19,DE19,DB19,CY19,CV19,CS19,CP19,CM19,CJ19,CG19))</f>
        <v>24000</v>
      </c>
      <c r="K19" s="13"/>
      <c r="L19" s="13" t="n">
        <f aca="false">IF('Cash Drivers'!L$26,'Customer Success'!K19,'Customer Success'!M19)</f>
        <v>2000</v>
      </c>
      <c r="M19" s="89" t="n">
        <v>2000</v>
      </c>
      <c r="N19" s="12"/>
      <c r="O19" s="12" t="n">
        <f aca="false">IF('Cash Drivers'!O$26,'Customer Success'!N19,'Customer Success'!P19)</f>
        <v>2000</v>
      </c>
      <c r="P19" s="90" t="n">
        <v>2000</v>
      </c>
      <c r="Q19" s="13"/>
      <c r="R19" s="13" t="n">
        <f aca="false">IF('Cash Drivers'!R$26,'Customer Success'!Q19,'Customer Success'!S19)</f>
        <v>2000</v>
      </c>
      <c r="S19" s="89" t="n">
        <v>2000</v>
      </c>
      <c r="T19" s="12"/>
      <c r="U19" s="12" t="n">
        <f aca="false">IF('Cash Drivers'!U$26,'Customer Success'!T19,'Customer Success'!V19)</f>
        <v>2000</v>
      </c>
      <c r="V19" s="90" t="n">
        <v>2000</v>
      </c>
      <c r="W19" s="13"/>
      <c r="X19" s="13" t="n">
        <f aca="false">IF('Cash Drivers'!X$26,'Customer Success'!W19,'Customer Success'!Y19)</f>
        <v>2000</v>
      </c>
      <c r="Y19" s="89" t="n">
        <v>2000</v>
      </c>
      <c r="Z19" s="12"/>
      <c r="AA19" s="12" t="n">
        <f aca="false">IF('Cash Drivers'!AA$26,'Customer Success'!Z19,'Customer Success'!AB19)</f>
        <v>2000</v>
      </c>
      <c r="AB19" s="90" t="n">
        <v>2000</v>
      </c>
      <c r="AC19" s="13"/>
      <c r="AD19" s="13" t="n">
        <f aca="false">IF('Cash Drivers'!AD$26,'Customer Success'!AC19,'Customer Success'!AE19)</f>
        <v>2000</v>
      </c>
      <c r="AE19" s="89" t="n">
        <v>2000</v>
      </c>
      <c r="AF19" s="12"/>
      <c r="AG19" s="12" t="n">
        <f aca="false">IF('Cash Drivers'!AG$26,'Customer Success'!AF19,'Customer Success'!AH19)</f>
        <v>2000</v>
      </c>
      <c r="AH19" s="90" t="n">
        <v>2000</v>
      </c>
      <c r="AI19" s="13"/>
      <c r="AJ19" s="13" t="n">
        <f aca="false">IF('Cash Drivers'!AJ$26,'Customer Success'!AI19,'Customer Success'!AK19)</f>
        <v>2000</v>
      </c>
      <c r="AK19" s="89" t="n">
        <v>2000</v>
      </c>
      <c r="AL19" s="12"/>
      <c r="AM19" s="12" t="n">
        <f aca="false">IF('Cash Drivers'!AM$26,'Customer Success'!AL19,'Customer Success'!AN19)</f>
        <v>2000</v>
      </c>
      <c r="AN19" s="90" t="n">
        <v>2000</v>
      </c>
      <c r="AO19" s="13"/>
      <c r="AP19" s="13" t="n">
        <f aca="false">IF('Cash Drivers'!AP$26,'Customer Success'!AO19,'Customer Success'!AQ19)</f>
        <v>2000</v>
      </c>
      <c r="AQ19" s="89" t="n">
        <v>2000</v>
      </c>
      <c r="AR19" s="12"/>
      <c r="AS19" s="12" t="n">
        <f aca="false">IF('Cash Drivers'!AS$26,'Customer Success'!AR19,'Customer Success'!AT19)</f>
        <v>2000</v>
      </c>
      <c r="AT19" s="90" t="n">
        <v>2000</v>
      </c>
      <c r="AU19" s="13"/>
      <c r="AV19" s="13" t="n">
        <f aca="false">IF('Cash Drivers'!AV$26,'Customer Success'!AU19,'Customer Success'!AW19)</f>
        <v>2000</v>
      </c>
      <c r="AW19" s="89" t="n">
        <v>2000</v>
      </c>
      <c r="AX19" s="12"/>
      <c r="AY19" s="12" t="n">
        <f aca="false">IF('Cash Drivers'!AY$26,'Customer Success'!AX19,'Customer Success'!AZ19)</f>
        <v>2000</v>
      </c>
      <c r="AZ19" s="90" t="n">
        <v>2000</v>
      </c>
      <c r="BA19" s="13"/>
      <c r="BB19" s="13" t="n">
        <f aca="false">IF('Cash Drivers'!BB$26,'Customer Success'!BA19,'Customer Success'!BC19)</f>
        <v>2000</v>
      </c>
      <c r="BC19" s="89" t="n">
        <v>2000</v>
      </c>
      <c r="BD19" s="12"/>
      <c r="BE19" s="12" t="n">
        <f aca="false">IF('Cash Drivers'!BE$26,'Customer Success'!BD19,'Customer Success'!BF19)</f>
        <v>2000</v>
      </c>
      <c r="BF19" s="90" t="n">
        <v>2000</v>
      </c>
      <c r="BG19" s="13"/>
      <c r="BH19" s="13" t="n">
        <f aca="false">IF('Cash Drivers'!BH$26,'Customer Success'!BG19,'Customer Success'!BI19)</f>
        <v>2000</v>
      </c>
      <c r="BI19" s="89" t="n">
        <v>2000</v>
      </c>
      <c r="BJ19" s="12"/>
      <c r="BK19" s="12" t="n">
        <f aca="false">IF('Cash Drivers'!BK$26,'Customer Success'!BJ19,'Customer Success'!BL19)</f>
        <v>2000</v>
      </c>
      <c r="BL19" s="90" t="n">
        <v>2000</v>
      </c>
      <c r="BM19" s="13"/>
      <c r="BN19" s="13" t="n">
        <f aca="false">IF('Cash Drivers'!BN$26,'Customer Success'!BM19,'Customer Success'!BO19)</f>
        <v>2000</v>
      </c>
      <c r="BO19" s="89" t="n">
        <v>2000</v>
      </c>
      <c r="BP19" s="12"/>
      <c r="BQ19" s="12" t="n">
        <f aca="false">IF('Cash Drivers'!BQ$26,'Customer Success'!BP19,'Customer Success'!BR19)</f>
        <v>2000</v>
      </c>
      <c r="BR19" s="90" t="n">
        <v>2000</v>
      </c>
      <c r="BS19" s="13"/>
      <c r="BT19" s="13" t="n">
        <f aca="false">IF('Cash Drivers'!BT$26,'Customer Success'!BS19,'Customer Success'!BU19)</f>
        <v>2000</v>
      </c>
      <c r="BU19" s="89" t="n">
        <v>2000</v>
      </c>
      <c r="BV19" s="12"/>
      <c r="BW19" s="12" t="n">
        <f aca="false">IF('Cash Drivers'!BW$26,'Customer Success'!BV19,'Customer Success'!BX19)</f>
        <v>2000</v>
      </c>
      <c r="BX19" s="90" t="n">
        <v>2000</v>
      </c>
      <c r="BY19" s="13"/>
      <c r="BZ19" s="13" t="n">
        <f aca="false">IF('Cash Drivers'!BZ$26,'Customer Success'!BY19,'Customer Success'!CA19)</f>
        <v>2000</v>
      </c>
      <c r="CA19" s="89" t="n">
        <v>2000</v>
      </c>
      <c r="CB19" s="12"/>
      <c r="CC19" s="12" t="n">
        <f aca="false">IF('Cash Drivers'!CC$26,'Customer Success'!CB19,'Customer Success'!CD19)</f>
        <v>2000</v>
      </c>
      <c r="CD19" s="90" t="n">
        <v>2000</v>
      </c>
      <c r="CE19" s="13"/>
      <c r="CF19" s="13" t="n">
        <f aca="false">IF('Cash Drivers'!CF$26,'Customer Success'!CE19,'Customer Success'!CG19)</f>
        <v>2000</v>
      </c>
      <c r="CG19" s="89" t="n">
        <v>2000</v>
      </c>
      <c r="CH19" s="12"/>
      <c r="CI19" s="12" t="n">
        <f aca="false">IF('Cash Drivers'!CI$26,'Customer Success'!CH19,'Customer Success'!CJ19)</f>
        <v>2000</v>
      </c>
      <c r="CJ19" s="90" t="n">
        <v>2000</v>
      </c>
      <c r="CK19" s="13"/>
      <c r="CL19" s="13" t="n">
        <f aca="false">IF('Cash Drivers'!CL$26,'Customer Success'!CK19,'Customer Success'!CM19)</f>
        <v>2000</v>
      </c>
      <c r="CM19" s="89" t="n">
        <v>2000</v>
      </c>
      <c r="CN19" s="12"/>
      <c r="CO19" s="12" t="n">
        <f aca="false">IF('Cash Drivers'!CO$26,'Customer Success'!CN19,'Customer Success'!CP19)</f>
        <v>2000</v>
      </c>
      <c r="CP19" s="90" t="n">
        <v>2000</v>
      </c>
      <c r="CQ19" s="13"/>
      <c r="CR19" s="13" t="n">
        <f aca="false">IF('Cash Drivers'!CR$26,'Customer Success'!CQ19,'Customer Success'!CS19)</f>
        <v>2000</v>
      </c>
      <c r="CS19" s="89" t="n">
        <v>2000</v>
      </c>
      <c r="CT19" s="12"/>
      <c r="CU19" s="12" t="n">
        <f aca="false">IF('Cash Drivers'!CU$26,'Customer Success'!CT19,'Customer Success'!CV19)</f>
        <v>2000</v>
      </c>
      <c r="CV19" s="90" t="n">
        <v>2000</v>
      </c>
      <c r="CW19" s="13"/>
      <c r="CX19" s="13" t="n">
        <f aca="false">IF('Cash Drivers'!CX$26,'Customer Success'!CW19,'Customer Success'!CY19)</f>
        <v>2000</v>
      </c>
      <c r="CY19" s="89" t="n">
        <v>2000</v>
      </c>
      <c r="CZ19" s="12"/>
      <c r="DA19" s="12" t="n">
        <f aca="false">IF('Cash Drivers'!DA$26,'Customer Success'!CZ19,'Customer Success'!DB19)</f>
        <v>2000</v>
      </c>
      <c r="DB19" s="90" t="n">
        <v>2000</v>
      </c>
      <c r="DC19" s="13"/>
      <c r="DD19" s="13" t="n">
        <f aca="false">IF('Cash Drivers'!DD$26,'Customer Success'!DC19,'Customer Success'!DE19)</f>
        <v>2000</v>
      </c>
      <c r="DE19" s="89" t="n">
        <v>2000</v>
      </c>
      <c r="DF19" s="12"/>
      <c r="DG19" s="12" t="n">
        <f aca="false">IF('Cash Drivers'!DG$26,'Customer Success'!DF19,'Customer Success'!DH19)</f>
        <v>2000</v>
      </c>
      <c r="DH19" s="90" t="n">
        <v>2000</v>
      </c>
      <c r="DI19" s="89" t="n">
        <v>2000</v>
      </c>
      <c r="DJ19" s="13" t="n">
        <f aca="false">IF('Cash Drivers'!DJ$26,'Customer Success'!DI19,'Customer Success'!DK19)</f>
        <v>2000</v>
      </c>
      <c r="DK19" s="89" t="n">
        <v>2000</v>
      </c>
      <c r="DL19" s="90" t="n">
        <v>2000</v>
      </c>
      <c r="DM19" s="12" t="n">
        <f aca="false">IF('Cash Drivers'!DM$26,'Customer Success'!DL19,'Customer Success'!DN19)</f>
        <v>2000</v>
      </c>
      <c r="DN19" s="90" t="n">
        <v>2000</v>
      </c>
    </row>
    <row r="20" customFormat="false" ht="15" hidden="false" customHeight="false" outlineLevel="0" collapsed="false">
      <c r="A20" s="5" t="s">
        <v>160</v>
      </c>
      <c r="B20" s="12" t="str">
        <f aca="false">IF(COUNT(AR20,AO20,AL20,AI20,AF20,AC20,Z20,W20,T20,Q20,N20,K20)=0,"",SUM(AR20,AO20,AL20,AI20,AF20,AC20,Z20,W20,T20,Q20,N20,K20))</f>
        <v/>
      </c>
      <c r="C20" s="12" t="n">
        <f aca="false">IF(COUNT(AS20,AP20,AM20,AJ20,AG20,AD20,AA20,X20,U20,R20,O20,L20)=0,"",SUM(AS20,AP20,AM20,AJ20,AG20,AD20,AA20,X20,U20,R20,O20,L20))</f>
        <v>235840</v>
      </c>
      <c r="D20" s="12" t="n">
        <f aca="false">IF(COUNT(AT20,AQ20,AN20,AK20,AH20,AE20,AB20,Y20,V20,S20,P20,M20)=0,"",SUM(AT20,AQ20,AN20,AK20,AH20,AE20,AB20,Y20,V20,S20,P20,M20))</f>
        <v>235840</v>
      </c>
      <c r="E20" s="13" t="str">
        <f aca="false">IF(COUNT(CB20,BY20,BV20,BS20,BP20,BM20,BJ20,BG20,BD20,BA20,AX20,AU20)=0,"",SUM(CB20,BY20,BV20,BS20,BP20,BM20,BJ20,BG20,BD20,BA20,AX20,AU20))</f>
        <v/>
      </c>
      <c r="F20" s="13" t="n">
        <f aca="false">IF(COUNT(CC20,BZ20,BW20,BT20,BQ20,BN20,BK20,BH20,BE20,BB20,AY20,AV20)=0,"",SUM(CC20,BZ20,BW20,BT20,BQ20,BN20,BK20,BH20,BE20,BB20,AY20,AV20))</f>
        <v>187440</v>
      </c>
      <c r="G20" s="13" t="n">
        <f aca="false">IF(COUNT(CD20,CA20,BX20,BU20,BR20,BO20,BL20,BI20,BF20,BC20,AZ20,AW20)=0,"",SUM(CD20,CA20,BX20,BU20,BR20,BO20,BL20,BI20,BF20,BC20,AZ20,AW20))</f>
        <v>187440</v>
      </c>
      <c r="H20" s="12" t="n">
        <f aca="false">IF(COUNT(DL20,DI20,DF20,DC20,CZ20,CW20,CT20,CQ20,CN20,CK20,CH20,CE20)=0,"",SUM(DL20,DI20,DF20,DC20,CZ20,CW20,CT20,CQ20,CN20,CK20,CH20,CE20))</f>
        <v>22440</v>
      </c>
      <c r="I20" s="12" t="n">
        <f aca="false">IF(COUNT(DM20,DJ20,DG20,DD20,DA20,CX20,CU20,CR20,CO20,CL20,CI20,CF20)=0,"",SUM(DM20,DJ20,DG20,DD20,DA20,CX20,CU20,CR20,CO20,CL20,CI20,CF20))</f>
        <v>150480</v>
      </c>
      <c r="J20" s="12" t="n">
        <f aca="false">IF(COUNT(DN20,DK20,DH20,DE20,DB20,CY20,CV20,CS20,CP20,CM20,CJ20,CG20)=0,"",SUM(DN20,DK20,DH20,DE20,DB20,CY20,CV20,CS20,CP20,CM20,CJ20,CG20))</f>
        <v>150480</v>
      </c>
      <c r="K20" s="13" t="str">
        <f aca="false">IF(COUNT(K18)=1,K18*0.22,"")</f>
        <v/>
      </c>
      <c r="L20" s="13" t="n">
        <f aca="false">L18*0.22</f>
        <v>19800</v>
      </c>
      <c r="M20" s="13" t="n">
        <f aca="false">M18*0.22</f>
        <v>19800</v>
      </c>
      <c r="N20" s="12" t="str">
        <f aca="false">IF(COUNT(N18)=1,N18*0.22,"")</f>
        <v/>
      </c>
      <c r="O20" s="12" t="n">
        <f aca="false">O18*0.22</f>
        <v>19800</v>
      </c>
      <c r="P20" s="12" t="n">
        <f aca="false">P18*0.22</f>
        <v>19800</v>
      </c>
      <c r="Q20" s="13" t="str">
        <f aca="false">IF(COUNT(Q18)=1,Q18*0.22,"")</f>
        <v/>
      </c>
      <c r="R20" s="13" t="n">
        <f aca="false">R18*0.22</f>
        <v>19800</v>
      </c>
      <c r="S20" s="13" t="n">
        <f aca="false">S18*0.22</f>
        <v>19800</v>
      </c>
      <c r="T20" s="12" t="str">
        <f aca="false">IF(COUNT(T18)=1,T18*0.22,"")</f>
        <v/>
      </c>
      <c r="U20" s="12" t="n">
        <f aca="false">U18*0.22</f>
        <v>19800</v>
      </c>
      <c r="V20" s="12" t="n">
        <f aca="false">V18*0.22</f>
        <v>19800</v>
      </c>
      <c r="W20" s="13" t="str">
        <f aca="false">IF(COUNT(W18)=1,W18*0.22,"")</f>
        <v/>
      </c>
      <c r="X20" s="13" t="n">
        <f aca="false">X18*0.22</f>
        <v>19800</v>
      </c>
      <c r="Y20" s="13" t="n">
        <f aca="false">Y18*0.22</f>
        <v>19800</v>
      </c>
      <c r="Z20" s="12" t="str">
        <f aca="false">IF(COUNT(Z18)=1,Z18*0.22,"")</f>
        <v/>
      </c>
      <c r="AA20" s="12" t="n">
        <f aca="false">AA18*0.22</f>
        <v>19800</v>
      </c>
      <c r="AB20" s="12" t="n">
        <f aca="false">AB18*0.22</f>
        <v>19800</v>
      </c>
      <c r="AC20" s="13" t="str">
        <f aca="false">IF(COUNT(AC18)=1,AC18*0.22,"")</f>
        <v/>
      </c>
      <c r="AD20" s="13" t="n">
        <f aca="false">AD18*0.22</f>
        <v>19800</v>
      </c>
      <c r="AE20" s="13" t="n">
        <f aca="false">AE18*0.22</f>
        <v>19800</v>
      </c>
      <c r="AF20" s="12" t="str">
        <f aca="false">IF(COUNT(AF18)=1,AF18*0.22,"")</f>
        <v/>
      </c>
      <c r="AG20" s="12" t="n">
        <f aca="false">AG18*0.22</f>
        <v>19800</v>
      </c>
      <c r="AH20" s="12" t="n">
        <f aca="false">AH18*0.22</f>
        <v>19800</v>
      </c>
      <c r="AI20" s="13" t="str">
        <f aca="false">IF(COUNT(AI18)=1,AI18*0.22,"")</f>
        <v/>
      </c>
      <c r="AJ20" s="13" t="n">
        <f aca="false">AJ18*0.22</f>
        <v>19800</v>
      </c>
      <c r="AK20" s="13" t="n">
        <f aca="false">AK18*0.22</f>
        <v>19800</v>
      </c>
      <c r="AL20" s="12" t="str">
        <f aca="false">IF(COUNT(AL18)=1,AL18*0.22,"")</f>
        <v/>
      </c>
      <c r="AM20" s="12" t="n">
        <f aca="false">AM18*0.22</f>
        <v>19800</v>
      </c>
      <c r="AN20" s="12" t="n">
        <f aca="false">AN18*0.22</f>
        <v>19800</v>
      </c>
      <c r="AO20" s="13" t="str">
        <f aca="false">IF(COUNT(AO18)=1,AO18*0.22,"")</f>
        <v/>
      </c>
      <c r="AP20" s="13" t="n">
        <f aca="false">AP18*0.22</f>
        <v>19800</v>
      </c>
      <c r="AQ20" s="13" t="n">
        <f aca="false">AQ18*0.22</f>
        <v>19800</v>
      </c>
      <c r="AR20" s="12" t="str">
        <f aca="false">IF(COUNT(AR18)=1,AR18*0.22,"")</f>
        <v/>
      </c>
      <c r="AS20" s="12" t="n">
        <f aca="false">AS18*0.22</f>
        <v>18040</v>
      </c>
      <c r="AT20" s="12" t="n">
        <f aca="false">AT18*0.22</f>
        <v>18040</v>
      </c>
      <c r="AU20" s="13" t="str">
        <f aca="false">IF(COUNT(AU18)=1,AU18*0.22,"")</f>
        <v/>
      </c>
      <c r="AV20" s="13" t="n">
        <f aca="false">AV18*0.22</f>
        <v>18040</v>
      </c>
      <c r="AW20" s="13" t="n">
        <f aca="false">AW18*0.22</f>
        <v>18040</v>
      </c>
      <c r="AX20" s="12" t="str">
        <f aca="false">IF(COUNT(AX18)=1,AX18*0.22,"")</f>
        <v/>
      </c>
      <c r="AY20" s="12" t="n">
        <f aca="false">AY18*0.22</f>
        <v>18040</v>
      </c>
      <c r="AZ20" s="12" t="n">
        <f aca="false">AZ18*0.22</f>
        <v>18040</v>
      </c>
      <c r="BA20" s="13" t="str">
        <f aca="false">IF(COUNT(BA18)=1,BA18*0.22,"")</f>
        <v/>
      </c>
      <c r="BB20" s="13" t="n">
        <f aca="false">BB18*0.22</f>
        <v>18040</v>
      </c>
      <c r="BC20" s="13" t="n">
        <f aca="false">BC18*0.22</f>
        <v>18040</v>
      </c>
      <c r="BD20" s="12" t="str">
        <f aca="false">IF(COUNT(BD18)=1,BD18*0.22,"")</f>
        <v/>
      </c>
      <c r="BE20" s="12" t="n">
        <f aca="false">BE18*0.22</f>
        <v>18040</v>
      </c>
      <c r="BF20" s="12" t="n">
        <f aca="false">BF18*0.22</f>
        <v>18040</v>
      </c>
      <c r="BG20" s="13" t="str">
        <f aca="false">IF(COUNT(BG18)=1,BG18*0.22,"")</f>
        <v/>
      </c>
      <c r="BH20" s="13" t="n">
        <f aca="false">BH18*0.22</f>
        <v>16280</v>
      </c>
      <c r="BI20" s="13" t="n">
        <f aca="false">BI18*0.22</f>
        <v>16280</v>
      </c>
      <c r="BJ20" s="12" t="str">
        <f aca="false">IF(COUNT(BJ18)=1,BJ18*0.22,"")</f>
        <v/>
      </c>
      <c r="BK20" s="12" t="n">
        <f aca="false">BK18*0.22</f>
        <v>16280</v>
      </c>
      <c r="BL20" s="12" t="n">
        <f aca="false">BL18*0.22</f>
        <v>16280</v>
      </c>
      <c r="BM20" s="13" t="str">
        <f aca="false">IF(COUNT(BM18)=1,BM18*0.22,"")</f>
        <v/>
      </c>
      <c r="BN20" s="13" t="n">
        <f aca="false">BN18*0.22</f>
        <v>16280</v>
      </c>
      <c r="BO20" s="13" t="n">
        <f aca="false">BO18*0.22</f>
        <v>16280</v>
      </c>
      <c r="BP20" s="12" t="str">
        <f aca="false">IF(COUNT(BP18)=1,BP18*0.22,"")</f>
        <v/>
      </c>
      <c r="BQ20" s="12" t="n">
        <f aca="false">BQ18*0.22</f>
        <v>14520</v>
      </c>
      <c r="BR20" s="12" t="n">
        <f aca="false">BR18*0.22</f>
        <v>14520</v>
      </c>
      <c r="BS20" s="13" t="str">
        <f aca="false">IF(COUNT(BS18)=1,BS18*0.22,"")</f>
        <v/>
      </c>
      <c r="BT20" s="13" t="n">
        <f aca="false">BT18*0.22</f>
        <v>12980</v>
      </c>
      <c r="BU20" s="13" t="n">
        <f aca="false">BU18*0.22</f>
        <v>12980</v>
      </c>
      <c r="BV20" s="12" t="str">
        <f aca="false">IF(COUNT(BV18)=1,BV18*0.22,"")</f>
        <v/>
      </c>
      <c r="BW20" s="12" t="n">
        <f aca="false">BW18*0.22</f>
        <v>12980</v>
      </c>
      <c r="BX20" s="12" t="n">
        <f aca="false">BX18*0.22</f>
        <v>12980</v>
      </c>
      <c r="BY20" s="13" t="str">
        <f aca="false">IF(COUNT(BY18)=1,BY18*0.22,"")</f>
        <v/>
      </c>
      <c r="BZ20" s="13" t="n">
        <f aca="false">BZ18*0.22</f>
        <v>12980</v>
      </c>
      <c r="CA20" s="13" t="n">
        <f aca="false">CA18*0.22</f>
        <v>12980</v>
      </c>
      <c r="CB20" s="12" t="str">
        <f aca="false">IF(COUNT(CB18)=1,CB18*0.22,"")</f>
        <v/>
      </c>
      <c r="CC20" s="12" t="n">
        <f aca="false">CC18*0.22</f>
        <v>12980</v>
      </c>
      <c r="CD20" s="12" t="n">
        <f aca="false">CD18*0.22</f>
        <v>12980</v>
      </c>
      <c r="CE20" s="13" t="str">
        <f aca="false">IF(COUNT(CE18)=1,CE18*0.22,"")</f>
        <v/>
      </c>
      <c r="CF20" s="13" t="n">
        <f aca="false">CF18*0.22</f>
        <v>12980</v>
      </c>
      <c r="CG20" s="13" t="n">
        <f aca="false">CG18*0.22</f>
        <v>12980</v>
      </c>
      <c r="CH20" s="12" t="str">
        <f aca="false">IF(COUNT(CH18)=1,CH18*0.22,"")</f>
        <v/>
      </c>
      <c r="CI20" s="12" t="n">
        <f aca="false">CI18*0.22</f>
        <v>12980</v>
      </c>
      <c r="CJ20" s="12" t="n">
        <f aca="false">CJ18*0.22</f>
        <v>12980</v>
      </c>
      <c r="CK20" s="13" t="str">
        <f aca="false">IF(COUNT(CK18)=1,CK18*0.22,"")</f>
        <v/>
      </c>
      <c r="CL20" s="13" t="n">
        <f aca="false">CL18*0.22</f>
        <v>12980</v>
      </c>
      <c r="CM20" s="13" t="n">
        <f aca="false">CM18*0.22</f>
        <v>12980</v>
      </c>
      <c r="CN20" s="12" t="str">
        <f aca="false">IF(COUNT(CN18)=1,CN18*0.22,"")</f>
        <v/>
      </c>
      <c r="CO20" s="12" t="n">
        <f aca="false">CO18*0.22</f>
        <v>12980</v>
      </c>
      <c r="CP20" s="12" t="n">
        <f aca="false">CP18*0.22</f>
        <v>12980</v>
      </c>
      <c r="CQ20" s="13" t="str">
        <f aca="false">IF(COUNT(CQ18)=1,CQ18*0.22,"")</f>
        <v/>
      </c>
      <c r="CR20" s="13" t="n">
        <f aca="false">CR18*0.22</f>
        <v>12980</v>
      </c>
      <c r="CS20" s="13" t="n">
        <f aca="false">CS18*0.22</f>
        <v>12980</v>
      </c>
      <c r="CT20" s="12" t="str">
        <f aca="false">IF(COUNT(CT18)=1,CT18*0.22,"")</f>
        <v/>
      </c>
      <c r="CU20" s="12" t="n">
        <f aca="false">CU18*0.22</f>
        <v>12980</v>
      </c>
      <c r="CV20" s="12" t="n">
        <f aca="false">CV18*0.22</f>
        <v>12980</v>
      </c>
      <c r="CW20" s="13" t="str">
        <f aca="false">IF(COUNT(CW18)=1,CW18*0.22,"")</f>
        <v/>
      </c>
      <c r="CX20" s="13" t="n">
        <f aca="false">CX18*0.22</f>
        <v>12980</v>
      </c>
      <c r="CY20" s="13" t="n">
        <f aca="false">CY18*0.22</f>
        <v>12980</v>
      </c>
      <c r="CZ20" s="12" t="str">
        <f aca="false">IF(COUNT(CZ18)=1,CZ18*0.22,"")</f>
        <v/>
      </c>
      <c r="DA20" s="12" t="n">
        <f aca="false">DA18*0.22</f>
        <v>12980</v>
      </c>
      <c r="DB20" s="12" t="n">
        <f aca="false">DB18*0.22</f>
        <v>12980</v>
      </c>
      <c r="DC20" s="13" t="str">
        <f aca="false">IF(COUNT(DC18)=1,DC18*0.22,"")</f>
        <v/>
      </c>
      <c r="DD20" s="13" t="n">
        <f aca="false">DD18*0.22</f>
        <v>12980</v>
      </c>
      <c r="DE20" s="13" t="n">
        <f aca="false">DE18*0.22</f>
        <v>12980</v>
      </c>
      <c r="DF20" s="12" t="str">
        <f aca="false">IF(COUNT(DF18)=1,DF18*0.22,"")</f>
        <v/>
      </c>
      <c r="DG20" s="12" t="n">
        <f aca="false">DG18*0.22</f>
        <v>11220</v>
      </c>
      <c r="DH20" s="12" t="n">
        <f aca="false">DH18*0.22</f>
        <v>11220</v>
      </c>
      <c r="DI20" s="13" t="n">
        <f aca="false">IF(COUNT(DI18)=1,DI18*0.22,"")</f>
        <v>11220</v>
      </c>
      <c r="DJ20" s="13" t="n">
        <f aca="false">DJ18*0.22</f>
        <v>11220</v>
      </c>
      <c r="DK20" s="13" t="n">
        <f aca="false">DK18*0.22</f>
        <v>11220</v>
      </c>
      <c r="DL20" s="12" t="n">
        <f aca="false">IF(COUNT(DL18)=1,DL18*0.22,"")</f>
        <v>11220</v>
      </c>
      <c r="DM20" s="12" t="n">
        <f aca="false">DM18*0.22</f>
        <v>11220</v>
      </c>
      <c r="DN20" s="12" t="n">
        <f aca="false">DN18*0.22</f>
        <v>11220</v>
      </c>
    </row>
    <row r="21" customFormat="false" ht="15.75" hidden="false" customHeight="true" outlineLevel="0" collapsed="false">
      <c r="A21" s="5" t="s">
        <v>161</v>
      </c>
      <c r="B21" s="12" t="str">
        <f aca="false">IF(COUNT(AR21,AO21,AL21,AI21,AF21,AC21,Z21,W21,T21,Q21,N21,K21)=0,"",SUM(AR21,AO21,AL21,AI21,AF21,AC21,Z21,W21,T21,Q21,N21,K21))</f>
        <v/>
      </c>
      <c r="C21" s="12" t="n">
        <f aca="false">IF(COUNT(AS21,AP21,AM21,AJ21,AG21,AD21,AA21,X21,U21,R21,O21,L21)=0,"",SUM(AS21,AP21,AM21,AJ21,AG21,AD21,AA21,X21,U21,R21,O21,L21))</f>
        <v>36000</v>
      </c>
      <c r="D21" s="12" t="n">
        <f aca="false">IF(COUNT(AT21,AQ21,AN21,AK21,AH21,AE21,AB21,Y21,V21,S21,P21,M21)=0,"",SUM(AT21,AQ21,AN21,AK21,AH21,AE21,AB21,Y21,V21,S21,P21,M21))</f>
        <v>36000</v>
      </c>
      <c r="E21" s="13" t="str">
        <f aca="false">IF(COUNT(CB21,BY21,BV21,BS21,BP21,BM21,BJ21,BG21,BD21,BA21,AX21,AU21)=0,"",SUM(CB21,BY21,BV21,BS21,BP21,BM21,BJ21,BG21,BD21,BA21,AX21,AU21))</f>
        <v/>
      </c>
      <c r="F21" s="13" t="n">
        <f aca="false">IF(COUNT(CC21,BZ21,BW21,BT21,BQ21,BN21,BK21,BH21,BE21,BB21,AY21,AV21)=0,"",SUM(CC21,BZ21,BW21,BT21,BQ21,BN21,BK21,BH21,BE21,BB21,AY21,AV21))</f>
        <v>36000</v>
      </c>
      <c r="G21" s="13" t="n">
        <f aca="false">IF(COUNT(CD21,CA21,BX21,BU21,BR21,BO21,BL21,BI21,BF21,BC21,AZ21,AW21)=0,"",SUM(CD21,CA21,BX21,BU21,BR21,BO21,BL21,BI21,BF21,BC21,AZ21,AW21))</f>
        <v>36000</v>
      </c>
      <c r="H21" s="12" t="n">
        <f aca="false">IF(COUNT(DL21,DI21,DF21,DC21,CZ21,CW21,CT21,CQ21,CN21,CK21,CH21,CE21)=0,"",SUM(DL21,DI21,DF21,DC21,CZ21,CW21,CT21,CQ21,CN21,CK21,CH21,CE21))</f>
        <v>6000</v>
      </c>
      <c r="I21" s="12" t="n">
        <f aca="false">IF(COUNT(DM21,DJ21,DG21,DD21,DA21,CX21,CU21,CR21,CO21,CL21,CI21,CF21)=0,"",SUM(DM21,DJ21,DG21,DD21,DA21,CX21,CU21,CR21,CO21,CL21,CI21,CF21))</f>
        <v>36000</v>
      </c>
      <c r="J21" s="12" t="n">
        <f aca="false">IF(COUNT(DN21,DK21,DH21,DE21,DB21,CY21,CV21,CS21,CP21,CM21,CJ21,CG21)=0,"",SUM(DN21,DK21,DH21,DE21,DB21,CY21,CV21,CS21,CP21,CM21,CJ21,CG21))</f>
        <v>36000</v>
      </c>
      <c r="K21" s="13"/>
      <c r="L21" s="13" t="n">
        <f aca="false">IF('Cash Drivers'!L$26,'Customer Success'!K21,'Customer Success'!M21)</f>
        <v>3000</v>
      </c>
      <c r="M21" s="89" t="n">
        <v>3000</v>
      </c>
      <c r="N21" s="12"/>
      <c r="O21" s="12" t="n">
        <f aca="false">IF('Cash Drivers'!O$26,'Customer Success'!N21,'Customer Success'!P21)</f>
        <v>3000</v>
      </c>
      <c r="P21" s="90" t="n">
        <v>3000</v>
      </c>
      <c r="Q21" s="13"/>
      <c r="R21" s="13" t="n">
        <f aca="false">IF('Cash Drivers'!R$26,'Customer Success'!Q21,'Customer Success'!S21)</f>
        <v>3000</v>
      </c>
      <c r="S21" s="89" t="n">
        <v>3000</v>
      </c>
      <c r="T21" s="12"/>
      <c r="U21" s="12" t="n">
        <f aca="false">IF('Cash Drivers'!U$26,'Customer Success'!T21,'Customer Success'!V21)</f>
        <v>3000</v>
      </c>
      <c r="V21" s="90" t="n">
        <v>3000</v>
      </c>
      <c r="W21" s="13"/>
      <c r="X21" s="13" t="n">
        <f aca="false">IF('Cash Drivers'!X$26,'Customer Success'!W21,'Customer Success'!Y21)</f>
        <v>3000</v>
      </c>
      <c r="Y21" s="89" t="n">
        <v>3000</v>
      </c>
      <c r="Z21" s="12"/>
      <c r="AA21" s="12" t="n">
        <f aca="false">IF('Cash Drivers'!AA$26,'Customer Success'!Z21,'Customer Success'!AB21)</f>
        <v>3000</v>
      </c>
      <c r="AB21" s="90" t="n">
        <v>3000</v>
      </c>
      <c r="AC21" s="13"/>
      <c r="AD21" s="13" t="n">
        <f aca="false">IF('Cash Drivers'!AD$26,'Customer Success'!AC21,'Customer Success'!AE21)</f>
        <v>3000</v>
      </c>
      <c r="AE21" s="89" t="n">
        <v>3000</v>
      </c>
      <c r="AF21" s="12"/>
      <c r="AG21" s="12" t="n">
        <f aca="false">IF('Cash Drivers'!AG$26,'Customer Success'!AF21,'Customer Success'!AH21)</f>
        <v>3000</v>
      </c>
      <c r="AH21" s="90" t="n">
        <v>3000</v>
      </c>
      <c r="AI21" s="13"/>
      <c r="AJ21" s="13" t="n">
        <f aca="false">IF('Cash Drivers'!AJ$26,'Customer Success'!AI21,'Customer Success'!AK21)</f>
        <v>3000</v>
      </c>
      <c r="AK21" s="89" t="n">
        <v>3000</v>
      </c>
      <c r="AL21" s="12"/>
      <c r="AM21" s="12" t="n">
        <f aca="false">IF('Cash Drivers'!AM$26,'Customer Success'!AL21,'Customer Success'!AN21)</f>
        <v>3000</v>
      </c>
      <c r="AN21" s="90" t="n">
        <v>3000</v>
      </c>
      <c r="AO21" s="13"/>
      <c r="AP21" s="13" t="n">
        <f aca="false">IF('Cash Drivers'!AP$26,'Customer Success'!AO21,'Customer Success'!AQ21)</f>
        <v>3000</v>
      </c>
      <c r="AQ21" s="89" t="n">
        <v>3000</v>
      </c>
      <c r="AR21" s="12"/>
      <c r="AS21" s="12" t="n">
        <f aca="false">IF('Cash Drivers'!AS$26,'Customer Success'!AR21,'Customer Success'!AT21)</f>
        <v>3000</v>
      </c>
      <c r="AT21" s="90" t="n">
        <v>3000</v>
      </c>
      <c r="AU21" s="13"/>
      <c r="AV21" s="13" t="n">
        <f aca="false">IF('Cash Drivers'!AV$26,'Customer Success'!AU21,'Customer Success'!AW21)</f>
        <v>3000</v>
      </c>
      <c r="AW21" s="89" t="n">
        <v>3000</v>
      </c>
      <c r="AX21" s="12"/>
      <c r="AY21" s="12" t="n">
        <f aca="false">IF('Cash Drivers'!AY$26,'Customer Success'!AX21,'Customer Success'!AZ21)</f>
        <v>3000</v>
      </c>
      <c r="AZ21" s="90" t="n">
        <v>3000</v>
      </c>
      <c r="BA21" s="13"/>
      <c r="BB21" s="13" t="n">
        <f aca="false">IF('Cash Drivers'!BB$26,'Customer Success'!BA21,'Customer Success'!BC21)</f>
        <v>3000</v>
      </c>
      <c r="BC21" s="89" t="n">
        <v>3000</v>
      </c>
      <c r="BD21" s="12"/>
      <c r="BE21" s="12" t="n">
        <f aca="false">IF('Cash Drivers'!BE$26,'Customer Success'!BD21,'Customer Success'!BF21)</f>
        <v>3000</v>
      </c>
      <c r="BF21" s="90" t="n">
        <v>3000</v>
      </c>
      <c r="BG21" s="13"/>
      <c r="BH21" s="13" t="n">
        <f aca="false">IF('Cash Drivers'!BH$26,'Customer Success'!BG21,'Customer Success'!BI21)</f>
        <v>3000</v>
      </c>
      <c r="BI21" s="89" t="n">
        <v>3000</v>
      </c>
      <c r="BJ21" s="12"/>
      <c r="BK21" s="12" t="n">
        <f aca="false">IF('Cash Drivers'!BK$26,'Customer Success'!BJ21,'Customer Success'!BL21)</f>
        <v>3000</v>
      </c>
      <c r="BL21" s="90" t="n">
        <v>3000</v>
      </c>
      <c r="BM21" s="13"/>
      <c r="BN21" s="13" t="n">
        <f aca="false">IF('Cash Drivers'!BN$26,'Customer Success'!BM21,'Customer Success'!BO21)</f>
        <v>3000</v>
      </c>
      <c r="BO21" s="89" t="n">
        <v>3000</v>
      </c>
      <c r="BP21" s="12"/>
      <c r="BQ21" s="12" t="n">
        <f aca="false">IF('Cash Drivers'!BQ$26,'Customer Success'!BP21,'Customer Success'!BR21)</f>
        <v>3000</v>
      </c>
      <c r="BR21" s="90" t="n">
        <v>3000</v>
      </c>
      <c r="BS21" s="13"/>
      <c r="BT21" s="13" t="n">
        <f aca="false">IF('Cash Drivers'!BT$26,'Customer Success'!BS21,'Customer Success'!BU21)</f>
        <v>3000</v>
      </c>
      <c r="BU21" s="89" t="n">
        <v>3000</v>
      </c>
      <c r="BV21" s="12"/>
      <c r="BW21" s="12" t="n">
        <f aca="false">IF('Cash Drivers'!BW$26,'Customer Success'!BV21,'Customer Success'!BX21)</f>
        <v>3000</v>
      </c>
      <c r="BX21" s="90" t="n">
        <v>3000</v>
      </c>
      <c r="BY21" s="13"/>
      <c r="BZ21" s="13" t="n">
        <f aca="false">IF('Cash Drivers'!BZ$26,'Customer Success'!BY21,'Customer Success'!CA21)</f>
        <v>3000</v>
      </c>
      <c r="CA21" s="89" t="n">
        <v>3000</v>
      </c>
      <c r="CB21" s="12"/>
      <c r="CC21" s="12" t="n">
        <f aca="false">IF('Cash Drivers'!CC$26,'Customer Success'!CB21,'Customer Success'!CD21)</f>
        <v>3000</v>
      </c>
      <c r="CD21" s="90" t="n">
        <v>3000</v>
      </c>
      <c r="CE21" s="13"/>
      <c r="CF21" s="13" t="n">
        <f aca="false">IF('Cash Drivers'!CF$26,'Customer Success'!CE21,'Customer Success'!CG21)</f>
        <v>3000</v>
      </c>
      <c r="CG21" s="89" t="n">
        <v>3000</v>
      </c>
      <c r="CH21" s="12"/>
      <c r="CI21" s="12" t="n">
        <f aca="false">IF('Cash Drivers'!CI$26,'Customer Success'!CH21,'Customer Success'!CJ21)</f>
        <v>3000</v>
      </c>
      <c r="CJ21" s="90" t="n">
        <v>3000</v>
      </c>
      <c r="CK21" s="13"/>
      <c r="CL21" s="13" t="n">
        <f aca="false">IF('Cash Drivers'!CL$26,'Customer Success'!CK21,'Customer Success'!CM21)</f>
        <v>3000</v>
      </c>
      <c r="CM21" s="89" t="n">
        <v>3000</v>
      </c>
      <c r="CN21" s="12"/>
      <c r="CO21" s="12" t="n">
        <f aca="false">IF('Cash Drivers'!CO$26,'Customer Success'!CN21,'Customer Success'!CP21)</f>
        <v>3000</v>
      </c>
      <c r="CP21" s="90" t="n">
        <v>3000</v>
      </c>
      <c r="CQ21" s="13"/>
      <c r="CR21" s="13" t="n">
        <f aca="false">IF('Cash Drivers'!CR$26,'Customer Success'!CQ21,'Customer Success'!CS21)</f>
        <v>3000</v>
      </c>
      <c r="CS21" s="89" t="n">
        <v>3000</v>
      </c>
      <c r="CT21" s="12"/>
      <c r="CU21" s="12" t="n">
        <f aca="false">IF('Cash Drivers'!CU$26,'Customer Success'!CT21,'Customer Success'!CV21)</f>
        <v>3000</v>
      </c>
      <c r="CV21" s="90" t="n">
        <v>3000</v>
      </c>
      <c r="CW21" s="13"/>
      <c r="CX21" s="13" t="n">
        <f aca="false">IF('Cash Drivers'!CX$26,'Customer Success'!CW21,'Customer Success'!CY21)</f>
        <v>3000</v>
      </c>
      <c r="CY21" s="89" t="n">
        <v>3000</v>
      </c>
      <c r="CZ21" s="12"/>
      <c r="DA21" s="12" t="n">
        <f aca="false">IF('Cash Drivers'!DA$26,'Customer Success'!CZ21,'Customer Success'!DB21)</f>
        <v>3000</v>
      </c>
      <c r="DB21" s="90" t="n">
        <v>3000</v>
      </c>
      <c r="DC21" s="13"/>
      <c r="DD21" s="13" t="n">
        <f aca="false">IF('Cash Drivers'!DD$26,'Customer Success'!DC21,'Customer Success'!DE21)</f>
        <v>3000</v>
      </c>
      <c r="DE21" s="89" t="n">
        <v>3000</v>
      </c>
      <c r="DF21" s="12"/>
      <c r="DG21" s="12" t="n">
        <f aca="false">IF('Cash Drivers'!DG$26,'Customer Success'!DF21,'Customer Success'!DH21)</f>
        <v>3000</v>
      </c>
      <c r="DH21" s="90" t="n">
        <v>3000</v>
      </c>
      <c r="DI21" s="89" t="n">
        <v>3000</v>
      </c>
      <c r="DJ21" s="13" t="n">
        <f aca="false">IF('Cash Drivers'!DJ$26,'Customer Success'!DI21,'Customer Success'!DK21)</f>
        <v>3000</v>
      </c>
      <c r="DK21" s="89" t="n">
        <v>3000</v>
      </c>
      <c r="DL21" s="90" t="n">
        <v>3000</v>
      </c>
      <c r="DM21" s="12" t="n">
        <f aca="false">IF('Cash Drivers'!DM$26,'Customer Success'!DL21,'Customer Success'!DN21)</f>
        <v>3000</v>
      </c>
      <c r="DN21" s="90" t="n">
        <v>3000</v>
      </c>
    </row>
    <row r="22" customFormat="false" ht="15.75" hidden="false" customHeight="true" outlineLevel="0" collapsed="false">
      <c r="A22" s="5" t="s">
        <v>162</v>
      </c>
      <c r="B22" s="12" t="str">
        <f aca="false">IF(COUNT(AR22,AO22,AL22,AI22,AF22,AC22,Z22,W22,T22,Q22,N22,K22)=0,"",SUM(AR22,AO22,AL22,AI22,AF22,AC22,Z22,W22,T22,Q22,N22,K22))</f>
        <v/>
      </c>
      <c r="C22" s="12" t="n">
        <f aca="false">IF(COUNT(AS22,AP22,AM22,AJ22,AG22,AD22,AA22,X22,U22,R22,O22,L22)=0,"",SUM(AS22,AP22,AM22,AJ22,AG22,AD22,AA22,X22,U22,R22,O22,L22))</f>
        <v>6000</v>
      </c>
      <c r="D22" s="12" t="n">
        <f aca="false">IF(COUNT(AT22,AQ22,AN22,AK22,AH22,AE22,AB22,Y22,V22,S22,P22,M22)=0,"",SUM(AT22,AQ22,AN22,AK22,AH22,AE22,AB22,Y22,V22,S22,P22,M22))</f>
        <v>6000</v>
      </c>
      <c r="E22" s="13" t="str">
        <f aca="false">IF(COUNT(CB22,BY22,BV22,BS22,BP22,BM22,BJ22,BG22,BD22,BA22,AX22,AU22)=0,"",SUM(CB22,BY22,BV22,BS22,BP22,BM22,BJ22,BG22,BD22,BA22,AX22,AU22))</f>
        <v/>
      </c>
      <c r="F22" s="13" t="n">
        <f aca="false">IF(COUNT(CC22,BZ22,BW22,BT22,BQ22,BN22,BK22,BH22,BE22,BB22,AY22,AV22)=0,"",SUM(CC22,BZ22,BW22,BT22,BQ22,BN22,BK22,BH22,BE22,BB22,AY22,AV22))</f>
        <v>6000</v>
      </c>
      <c r="G22" s="13" t="n">
        <f aca="false">IF(COUNT(CD22,CA22,BX22,BU22,BR22,BO22,BL22,BI22,BF22,BC22,AZ22,AW22)=0,"",SUM(CD22,CA22,BX22,BU22,BR22,BO22,BL22,BI22,BF22,BC22,AZ22,AW22))</f>
        <v>6000</v>
      </c>
      <c r="H22" s="12" t="n">
        <f aca="false">IF(COUNT(DL22,DI22,DF22,DC22,CZ22,CW22,CT22,CQ22,CN22,CK22,CH22,CE22)=0,"",SUM(DL22,DI22,DF22,DC22,CZ22,CW22,CT22,CQ22,CN22,CK22,CH22,CE22))</f>
        <v>1000</v>
      </c>
      <c r="I22" s="12" t="n">
        <f aca="false">IF(COUNT(DM22,DJ22,DG22,DD22,DA22,CX22,CU22,CR22,CO22,CL22,CI22,CF22)=0,"",SUM(DM22,DJ22,DG22,DD22,DA22,CX22,CU22,CR22,CO22,CL22,CI22,CF22))</f>
        <v>6000</v>
      </c>
      <c r="J22" s="12" t="n">
        <f aca="false">IF(COUNT(DN22,DK22,DH22,DE22,DB22,CY22,CV22,CS22,CP22,CM22,CJ22,CG22)=0,"",SUM(DN22,DK22,DH22,DE22,DB22,CY22,CV22,CS22,CP22,CM22,CJ22,CG22))</f>
        <v>6000</v>
      </c>
      <c r="K22" s="13"/>
      <c r="L22" s="13" t="n">
        <f aca="false">IF('Cash Drivers'!L$26,'Customer Success'!K22,'Customer Success'!M22)</f>
        <v>500</v>
      </c>
      <c r="M22" s="89" t="n">
        <v>500</v>
      </c>
      <c r="N22" s="12"/>
      <c r="O22" s="12" t="n">
        <f aca="false">IF('Cash Drivers'!O$26,'Customer Success'!N22,'Customer Success'!P22)</f>
        <v>500</v>
      </c>
      <c r="P22" s="90" t="n">
        <v>500</v>
      </c>
      <c r="Q22" s="13"/>
      <c r="R22" s="13" t="n">
        <f aca="false">IF('Cash Drivers'!R$26,'Customer Success'!Q22,'Customer Success'!S22)</f>
        <v>500</v>
      </c>
      <c r="S22" s="89" t="n">
        <v>500</v>
      </c>
      <c r="T22" s="12"/>
      <c r="U22" s="12" t="n">
        <f aca="false">IF('Cash Drivers'!U$26,'Customer Success'!T22,'Customer Success'!V22)</f>
        <v>500</v>
      </c>
      <c r="V22" s="90" t="n">
        <v>500</v>
      </c>
      <c r="W22" s="13"/>
      <c r="X22" s="13" t="n">
        <f aca="false">IF('Cash Drivers'!X$26,'Customer Success'!W22,'Customer Success'!Y22)</f>
        <v>500</v>
      </c>
      <c r="Y22" s="89" t="n">
        <v>500</v>
      </c>
      <c r="Z22" s="12"/>
      <c r="AA22" s="12" t="n">
        <f aca="false">IF('Cash Drivers'!AA$26,'Customer Success'!Z22,'Customer Success'!AB22)</f>
        <v>500</v>
      </c>
      <c r="AB22" s="90" t="n">
        <v>500</v>
      </c>
      <c r="AC22" s="13"/>
      <c r="AD22" s="13" t="n">
        <f aca="false">IF('Cash Drivers'!AD$26,'Customer Success'!AC22,'Customer Success'!AE22)</f>
        <v>500</v>
      </c>
      <c r="AE22" s="89" t="n">
        <v>500</v>
      </c>
      <c r="AF22" s="12"/>
      <c r="AG22" s="12" t="n">
        <f aca="false">IF('Cash Drivers'!AG$26,'Customer Success'!AF22,'Customer Success'!AH22)</f>
        <v>500</v>
      </c>
      <c r="AH22" s="90" t="n">
        <v>500</v>
      </c>
      <c r="AI22" s="13"/>
      <c r="AJ22" s="13" t="n">
        <f aca="false">IF('Cash Drivers'!AJ$26,'Customer Success'!AI22,'Customer Success'!AK22)</f>
        <v>500</v>
      </c>
      <c r="AK22" s="89" t="n">
        <v>500</v>
      </c>
      <c r="AL22" s="12"/>
      <c r="AM22" s="12" t="n">
        <f aca="false">IF('Cash Drivers'!AM$26,'Customer Success'!AL22,'Customer Success'!AN22)</f>
        <v>500</v>
      </c>
      <c r="AN22" s="90" t="n">
        <v>500</v>
      </c>
      <c r="AO22" s="13"/>
      <c r="AP22" s="13" t="n">
        <f aca="false">IF('Cash Drivers'!AP$26,'Customer Success'!AO22,'Customer Success'!AQ22)</f>
        <v>500</v>
      </c>
      <c r="AQ22" s="89" t="n">
        <v>500</v>
      </c>
      <c r="AR22" s="12"/>
      <c r="AS22" s="12" t="n">
        <f aca="false">IF('Cash Drivers'!AS$26,'Customer Success'!AR22,'Customer Success'!AT22)</f>
        <v>500</v>
      </c>
      <c r="AT22" s="90" t="n">
        <v>500</v>
      </c>
      <c r="AU22" s="13"/>
      <c r="AV22" s="13" t="n">
        <f aca="false">IF('Cash Drivers'!AV$26,'Customer Success'!AU22,'Customer Success'!AW22)</f>
        <v>500</v>
      </c>
      <c r="AW22" s="89" t="n">
        <v>500</v>
      </c>
      <c r="AX22" s="12"/>
      <c r="AY22" s="12" t="n">
        <f aca="false">IF('Cash Drivers'!AY$26,'Customer Success'!AX22,'Customer Success'!AZ22)</f>
        <v>500</v>
      </c>
      <c r="AZ22" s="90" t="n">
        <v>500</v>
      </c>
      <c r="BA22" s="13"/>
      <c r="BB22" s="13" t="n">
        <f aca="false">IF('Cash Drivers'!BB$26,'Customer Success'!BA22,'Customer Success'!BC22)</f>
        <v>500</v>
      </c>
      <c r="BC22" s="89" t="n">
        <v>500</v>
      </c>
      <c r="BD22" s="12"/>
      <c r="BE22" s="12" t="n">
        <f aca="false">IF('Cash Drivers'!BE$26,'Customer Success'!BD22,'Customer Success'!BF22)</f>
        <v>500</v>
      </c>
      <c r="BF22" s="90" t="n">
        <v>500</v>
      </c>
      <c r="BG22" s="13"/>
      <c r="BH22" s="13" t="n">
        <f aca="false">IF('Cash Drivers'!BH$26,'Customer Success'!BG22,'Customer Success'!BI22)</f>
        <v>500</v>
      </c>
      <c r="BI22" s="89" t="n">
        <v>500</v>
      </c>
      <c r="BJ22" s="12"/>
      <c r="BK22" s="12" t="n">
        <f aca="false">IF('Cash Drivers'!BK$26,'Customer Success'!BJ22,'Customer Success'!BL22)</f>
        <v>500</v>
      </c>
      <c r="BL22" s="90" t="n">
        <v>500</v>
      </c>
      <c r="BM22" s="13"/>
      <c r="BN22" s="13" t="n">
        <f aca="false">IF('Cash Drivers'!BN$26,'Customer Success'!BM22,'Customer Success'!BO22)</f>
        <v>500</v>
      </c>
      <c r="BO22" s="89" t="n">
        <v>500</v>
      </c>
      <c r="BP22" s="12"/>
      <c r="BQ22" s="12" t="n">
        <f aca="false">IF('Cash Drivers'!BQ$26,'Customer Success'!BP22,'Customer Success'!BR22)</f>
        <v>500</v>
      </c>
      <c r="BR22" s="90" t="n">
        <v>500</v>
      </c>
      <c r="BS22" s="13"/>
      <c r="BT22" s="13" t="n">
        <f aca="false">IF('Cash Drivers'!BT$26,'Customer Success'!BS22,'Customer Success'!BU22)</f>
        <v>500</v>
      </c>
      <c r="BU22" s="89" t="n">
        <v>500</v>
      </c>
      <c r="BV22" s="12"/>
      <c r="BW22" s="12" t="n">
        <f aca="false">IF('Cash Drivers'!BW$26,'Customer Success'!BV22,'Customer Success'!BX22)</f>
        <v>500</v>
      </c>
      <c r="BX22" s="90" t="n">
        <v>500</v>
      </c>
      <c r="BY22" s="13"/>
      <c r="BZ22" s="13" t="n">
        <f aca="false">IF('Cash Drivers'!BZ$26,'Customer Success'!BY22,'Customer Success'!CA22)</f>
        <v>500</v>
      </c>
      <c r="CA22" s="89" t="n">
        <v>500</v>
      </c>
      <c r="CB22" s="12"/>
      <c r="CC22" s="12" t="n">
        <f aca="false">IF('Cash Drivers'!CC$26,'Customer Success'!CB22,'Customer Success'!CD22)</f>
        <v>500</v>
      </c>
      <c r="CD22" s="90" t="n">
        <v>500</v>
      </c>
      <c r="CE22" s="13"/>
      <c r="CF22" s="13" t="n">
        <f aca="false">IF('Cash Drivers'!CF$26,'Customer Success'!CE22,'Customer Success'!CG22)</f>
        <v>500</v>
      </c>
      <c r="CG22" s="89" t="n">
        <v>500</v>
      </c>
      <c r="CH22" s="12"/>
      <c r="CI22" s="12" t="n">
        <f aca="false">IF('Cash Drivers'!CI$26,'Customer Success'!CH22,'Customer Success'!CJ22)</f>
        <v>500</v>
      </c>
      <c r="CJ22" s="90" t="n">
        <v>500</v>
      </c>
      <c r="CK22" s="13"/>
      <c r="CL22" s="13" t="n">
        <f aca="false">IF('Cash Drivers'!CL$26,'Customer Success'!CK22,'Customer Success'!CM22)</f>
        <v>500</v>
      </c>
      <c r="CM22" s="89" t="n">
        <v>500</v>
      </c>
      <c r="CN22" s="12"/>
      <c r="CO22" s="12" t="n">
        <f aca="false">IF('Cash Drivers'!CO$26,'Customer Success'!CN22,'Customer Success'!CP22)</f>
        <v>500</v>
      </c>
      <c r="CP22" s="90" t="n">
        <v>500</v>
      </c>
      <c r="CQ22" s="13"/>
      <c r="CR22" s="13" t="n">
        <f aca="false">IF('Cash Drivers'!CR$26,'Customer Success'!CQ22,'Customer Success'!CS22)</f>
        <v>500</v>
      </c>
      <c r="CS22" s="89" t="n">
        <v>500</v>
      </c>
      <c r="CT22" s="12"/>
      <c r="CU22" s="12" t="n">
        <f aca="false">IF('Cash Drivers'!CU$26,'Customer Success'!CT22,'Customer Success'!CV22)</f>
        <v>500</v>
      </c>
      <c r="CV22" s="90" t="n">
        <v>500</v>
      </c>
      <c r="CW22" s="13"/>
      <c r="CX22" s="13" t="n">
        <f aca="false">IF('Cash Drivers'!CX$26,'Customer Success'!CW22,'Customer Success'!CY22)</f>
        <v>500</v>
      </c>
      <c r="CY22" s="89" t="n">
        <v>500</v>
      </c>
      <c r="CZ22" s="12"/>
      <c r="DA22" s="12" t="n">
        <f aca="false">IF('Cash Drivers'!DA$26,'Customer Success'!CZ22,'Customer Success'!DB22)</f>
        <v>500</v>
      </c>
      <c r="DB22" s="90" t="n">
        <v>500</v>
      </c>
      <c r="DC22" s="13"/>
      <c r="DD22" s="13" t="n">
        <f aca="false">IF('Cash Drivers'!DD$26,'Customer Success'!DC22,'Customer Success'!DE22)</f>
        <v>500</v>
      </c>
      <c r="DE22" s="89" t="n">
        <v>500</v>
      </c>
      <c r="DF22" s="12"/>
      <c r="DG22" s="12" t="n">
        <f aca="false">IF('Cash Drivers'!DG$26,'Customer Success'!DF22,'Customer Success'!DH22)</f>
        <v>500</v>
      </c>
      <c r="DH22" s="90" t="n">
        <v>500</v>
      </c>
      <c r="DI22" s="89" t="n">
        <v>500</v>
      </c>
      <c r="DJ22" s="13" t="n">
        <f aca="false">IF('Cash Drivers'!DJ$26,'Customer Success'!DI22,'Customer Success'!DK22)</f>
        <v>500</v>
      </c>
      <c r="DK22" s="89" t="n">
        <v>500</v>
      </c>
      <c r="DL22" s="90" t="n">
        <v>500</v>
      </c>
      <c r="DM22" s="12" t="n">
        <f aca="false">IF('Cash Drivers'!DM$26,'Customer Success'!DL22,'Customer Success'!DN22)</f>
        <v>500</v>
      </c>
      <c r="DN22" s="90" t="n">
        <v>500</v>
      </c>
    </row>
    <row r="23" customFormat="false" ht="15.75" hidden="false" customHeight="true" outlineLevel="0" collapsed="false">
      <c r="A23" s="5" t="s">
        <v>163</v>
      </c>
      <c r="B23" s="12" t="str">
        <f aca="false">IF(COUNT(AR23,AO23,AL23,AI23,AF23,AC23,Z23,W23,T23,Q23,N23,K23)=0,"",SUM(AR23,AO23,AL23,AI23,AF23,AC23,Z23,W23,T23,Q23,N23,K23))</f>
        <v/>
      </c>
      <c r="C23" s="12" t="n">
        <f aca="false">IF(COUNT(AS23,AP23,AM23,AJ23,AG23,AD23,AA23,X23,U23,R23,O23,L23)=0,"",SUM(AS23,AP23,AM23,AJ23,AG23,AD23,AA23,X23,U23,R23,O23,L23))</f>
        <v>6000</v>
      </c>
      <c r="D23" s="12" t="n">
        <f aca="false">IF(COUNT(AT23,AQ23,AN23,AK23,AH23,AE23,AB23,Y23,V23,S23,P23,M23)=0,"",SUM(AT23,AQ23,AN23,AK23,AH23,AE23,AB23,Y23,V23,S23,P23,M23))</f>
        <v>6000</v>
      </c>
      <c r="E23" s="13" t="str">
        <f aca="false">IF(COUNT(CB23,BY23,BV23,BS23,BP23,BM23,BJ23,BG23,BD23,BA23,AX23,AU23)=0,"",SUM(CB23,BY23,BV23,BS23,BP23,BM23,BJ23,BG23,BD23,BA23,AX23,AU23))</f>
        <v/>
      </c>
      <c r="F23" s="13" t="n">
        <f aca="false">IF(COUNT(CC23,BZ23,BW23,BT23,BQ23,BN23,BK23,BH23,BE23,BB23,AY23,AV23)=0,"",SUM(CC23,BZ23,BW23,BT23,BQ23,BN23,BK23,BH23,BE23,BB23,AY23,AV23))</f>
        <v>6000</v>
      </c>
      <c r="G23" s="13" t="n">
        <f aca="false">IF(COUNT(CD23,CA23,BX23,BU23,BR23,BO23,BL23,BI23,BF23,BC23,AZ23,AW23)=0,"",SUM(CD23,CA23,BX23,BU23,BR23,BO23,BL23,BI23,BF23,BC23,AZ23,AW23))</f>
        <v>6000</v>
      </c>
      <c r="H23" s="12" t="n">
        <f aca="false">IF(COUNT(DL23,DI23,DF23,DC23,CZ23,CW23,CT23,CQ23,CN23,CK23,CH23,CE23)=0,"",SUM(DL23,DI23,DF23,DC23,CZ23,CW23,CT23,CQ23,CN23,CK23,CH23,CE23))</f>
        <v>1000</v>
      </c>
      <c r="I23" s="12" t="n">
        <f aca="false">IF(COUNT(DM23,DJ23,DG23,DD23,DA23,CX23,CU23,CR23,CO23,CL23,CI23,CF23)=0,"",SUM(DM23,DJ23,DG23,DD23,DA23,CX23,CU23,CR23,CO23,CL23,CI23,CF23))</f>
        <v>6000</v>
      </c>
      <c r="J23" s="12" t="n">
        <f aca="false">IF(COUNT(DN23,DK23,DH23,DE23,DB23,CY23,CV23,CS23,CP23,CM23,CJ23,CG23)=0,"",SUM(DN23,DK23,DH23,DE23,DB23,CY23,CV23,CS23,CP23,CM23,CJ23,CG23))</f>
        <v>6000</v>
      </c>
      <c r="K23" s="13"/>
      <c r="L23" s="13" t="n">
        <f aca="false">IF('Cash Drivers'!L$26,'Customer Success'!K23,'Customer Success'!M23)</f>
        <v>500</v>
      </c>
      <c r="M23" s="89" t="n">
        <v>500</v>
      </c>
      <c r="N23" s="12"/>
      <c r="O23" s="12" t="n">
        <f aca="false">IF('Cash Drivers'!O$26,'Customer Success'!N23,'Customer Success'!P23)</f>
        <v>500</v>
      </c>
      <c r="P23" s="90" t="n">
        <v>500</v>
      </c>
      <c r="Q23" s="13"/>
      <c r="R23" s="13" t="n">
        <f aca="false">IF('Cash Drivers'!R$26,'Customer Success'!Q23,'Customer Success'!S23)</f>
        <v>500</v>
      </c>
      <c r="S23" s="89" t="n">
        <v>500</v>
      </c>
      <c r="T23" s="12"/>
      <c r="U23" s="12" t="n">
        <f aca="false">IF('Cash Drivers'!U$26,'Customer Success'!T23,'Customer Success'!V23)</f>
        <v>500</v>
      </c>
      <c r="V23" s="90" t="n">
        <v>500</v>
      </c>
      <c r="W23" s="13"/>
      <c r="X23" s="13" t="n">
        <f aca="false">IF('Cash Drivers'!X$26,'Customer Success'!W23,'Customer Success'!Y23)</f>
        <v>500</v>
      </c>
      <c r="Y23" s="89" t="n">
        <v>500</v>
      </c>
      <c r="Z23" s="12"/>
      <c r="AA23" s="12" t="n">
        <f aca="false">IF('Cash Drivers'!AA$26,'Customer Success'!Z23,'Customer Success'!AB23)</f>
        <v>500</v>
      </c>
      <c r="AB23" s="90" t="n">
        <v>500</v>
      </c>
      <c r="AC23" s="13"/>
      <c r="AD23" s="13" t="n">
        <f aca="false">IF('Cash Drivers'!AD$26,'Customer Success'!AC23,'Customer Success'!AE23)</f>
        <v>500</v>
      </c>
      <c r="AE23" s="89" t="n">
        <v>500</v>
      </c>
      <c r="AF23" s="12"/>
      <c r="AG23" s="12" t="n">
        <f aca="false">IF('Cash Drivers'!AG$26,'Customer Success'!AF23,'Customer Success'!AH23)</f>
        <v>500</v>
      </c>
      <c r="AH23" s="90" t="n">
        <v>500</v>
      </c>
      <c r="AI23" s="13"/>
      <c r="AJ23" s="13" t="n">
        <f aca="false">IF('Cash Drivers'!AJ$26,'Customer Success'!AI23,'Customer Success'!AK23)</f>
        <v>500</v>
      </c>
      <c r="AK23" s="89" t="n">
        <v>500</v>
      </c>
      <c r="AL23" s="12"/>
      <c r="AM23" s="12" t="n">
        <f aca="false">IF('Cash Drivers'!AM$26,'Customer Success'!AL23,'Customer Success'!AN23)</f>
        <v>500</v>
      </c>
      <c r="AN23" s="90" t="n">
        <v>500</v>
      </c>
      <c r="AO23" s="13"/>
      <c r="AP23" s="13" t="n">
        <f aca="false">IF('Cash Drivers'!AP$26,'Customer Success'!AO23,'Customer Success'!AQ23)</f>
        <v>500</v>
      </c>
      <c r="AQ23" s="89" t="n">
        <v>500</v>
      </c>
      <c r="AR23" s="12"/>
      <c r="AS23" s="12" t="n">
        <f aca="false">IF('Cash Drivers'!AS$26,'Customer Success'!AR23,'Customer Success'!AT23)</f>
        <v>500</v>
      </c>
      <c r="AT23" s="90" t="n">
        <v>500</v>
      </c>
      <c r="AU23" s="13"/>
      <c r="AV23" s="13" t="n">
        <f aca="false">IF('Cash Drivers'!AV$26,'Customer Success'!AU23,'Customer Success'!AW23)</f>
        <v>500</v>
      </c>
      <c r="AW23" s="89" t="n">
        <v>500</v>
      </c>
      <c r="AX23" s="12"/>
      <c r="AY23" s="12" t="n">
        <f aca="false">IF('Cash Drivers'!AY$26,'Customer Success'!AX23,'Customer Success'!AZ23)</f>
        <v>500</v>
      </c>
      <c r="AZ23" s="90" t="n">
        <v>500</v>
      </c>
      <c r="BA23" s="13"/>
      <c r="BB23" s="13" t="n">
        <f aca="false">IF('Cash Drivers'!BB$26,'Customer Success'!BA23,'Customer Success'!BC23)</f>
        <v>500</v>
      </c>
      <c r="BC23" s="89" t="n">
        <v>500</v>
      </c>
      <c r="BD23" s="12"/>
      <c r="BE23" s="12" t="n">
        <f aca="false">IF('Cash Drivers'!BE$26,'Customer Success'!BD23,'Customer Success'!BF23)</f>
        <v>500</v>
      </c>
      <c r="BF23" s="90" t="n">
        <v>500</v>
      </c>
      <c r="BG23" s="13"/>
      <c r="BH23" s="13" t="n">
        <f aca="false">IF('Cash Drivers'!BH$26,'Customer Success'!BG23,'Customer Success'!BI23)</f>
        <v>500</v>
      </c>
      <c r="BI23" s="89" t="n">
        <v>500</v>
      </c>
      <c r="BJ23" s="12"/>
      <c r="BK23" s="12" t="n">
        <f aca="false">IF('Cash Drivers'!BK$26,'Customer Success'!BJ23,'Customer Success'!BL23)</f>
        <v>500</v>
      </c>
      <c r="BL23" s="90" t="n">
        <v>500</v>
      </c>
      <c r="BM23" s="13"/>
      <c r="BN23" s="13" t="n">
        <f aca="false">IF('Cash Drivers'!BN$26,'Customer Success'!BM23,'Customer Success'!BO23)</f>
        <v>500</v>
      </c>
      <c r="BO23" s="89" t="n">
        <v>500</v>
      </c>
      <c r="BP23" s="12"/>
      <c r="BQ23" s="12" t="n">
        <f aca="false">IF('Cash Drivers'!BQ$26,'Customer Success'!BP23,'Customer Success'!BR23)</f>
        <v>500</v>
      </c>
      <c r="BR23" s="90" t="n">
        <v>500</v>
      </c>
      <c r="BS23" s="13"/>
      <c r="BT23" s="13" t="n">
        <f aca="false">IF('Cash Drivers'!BT$26,'Customer Success'!BS23,'Customer Success'!BU23)</f>
        <v>500</v>
      </c>
      <c r="BU23" s="89" t="n">
        <v>500</v>
      </c>
      <c r="BV23" s="12"/>
      <c r="BW23" s="12" t="n">
        <f aca="false">IF('Cash Drivers'!BW$26,'Customer Success'!BV23,'Customer Success'!BX23)</f>
        <v>500</v>
      </c>
      <c r="BX23" s="90" t="n">
        <v>500</v>
      </c>
      <c r="BY23" s="13"/>
      <c r="BZ23" s="13" t="n">
        <f aca="false">IF('Cash Drivers'!BZ$26,'Customer Success'!BY23,'Customer Success'!CA23)</f>
        <v>500</v>
      </c>
      <c r="CA23" s="89" t="n">
        <v>500</v>
      </c>
      <c r="CB23" s="12"/>
      <c r="CC23" s="12" t="n">
        <f aca="false">IF('Cash Drivers'!CC$26,'Customer Success'!CB23,'Customer Success'!CD23)</f>
        <v>500</v>
      </c>
      <c r="CD23" s="90" t="n">
        <v>500</v>
      </c>
      <c r="CE23" s="13"/>
      <c r="CF23" s="13" t="n">
        <f aca="false">IF('Cash Drivers'!CF$26,'Customer Success'!CE23,'Customer Success'!CG23)</f>
        <v>500</v>
      </c>
      <c r="CG23" s="89" t="n">
        <v>500</v>
      </c>
      <c r="CH23" s="12"/>
      <c r="CI23" s="12" t="n">
        <f aca="false">IF('Cash Drivers'!CI$26,'Customer Success'!CH23,'Customer Success'!CJ23)</f>
        <v>500</v>
      </c>
      <c r="CJ23" s="90" t="n">
        <v>500</v>
      </c>
      <c r="CK23" s="13"/>
      <c r="CL23" s="13" t="n">
        <f aca="false">IF('Cash Drivers'!CL$26,'Customer Success'!CK23,'Customer Success'!CM23)</f>
        <v>500</v>
      </c>
      <c r="CM23" s="89" t="n">
        <v>500</v>
      </c>
      <c r="CN23" s="12"/>
      <c r="CO23" s="12" t="n">
        <f aca="false">IF('Cash Drivers'!CO$26,'Customer Success'!CN23,'Customer Success'!CP23)</f>
        <v>500</v>
      </c>
      <c r="CP23" s="90" t="n">
        <v>500</v>
      </c>
      <c r="CQ23" s="13"/>
      <c r="CR23" s="13" t="n">
        <f aca="false">IF('Cash Drivers'!CR$26,'Customer Success'!CQ23,'Customer Success'!CS23)</f>
        <v>500</v>
      </c>
      <c r="CS23" s="89" t="n">
        <v>500</v>
      </c>
      <c r="CT23" s="12"/>
      <c r="CU23" s="12" t="n">
        <f aca="false">IF('Cash Drivers'!CU$26,'Customer Success'!CT23,'Customer Success'!CV23)</f>
        <v>500</v>
      </c>
      <c r="CV23" s="90" t="n">
        <v>500</v>
      </c>
      <c r="CW23" s="13"/>
      <c r="CX23" s="13" t="n">
        <f aca="false">IF('Cash Drivers'!CX$26,'Customer Success'!CW23,'Customer Success'!CY23)</f>
        <v>500</v>
      </c>
      <c r="CY23" s="89" t="n">
        <v>500</v>
      </c>
      <c r="CZ23" s="12"/>
      <c r="DA23" s="12" t="n">
        <f aca="false">IF('Cash Drivers'!DA$26,'Customer Success'!CZ23,'Customer Success'!DB23)</f>
        <v>500</v>
      </c>
      <c r="DB23" s="90" t="n">
        <v>500</v>
      </c>
      <c r="DC23" s="13"/>
      <c r="DD23" s="13" t="n">
        <f aca="false">IF('Cash Drivers'!DD$26,'Customer Success'!DC23,'Customer Success'!DE23)</f>
        <v>500</v>
      </c>
      <c r="DE23" s="89" t="n">
        <v>500</v>
      </c>
      <c r="DF23" s="12"/>
      <c r="DG23" s="12" t="n">
        <f aca="false">IF('Cash Drivers'!DG$26,'Customer Success'!DF23,'Customer Success'!DH23)</f>
        <v>500</v>
      </c>
      <c r="DH23" s="90" t="n">
        <v>500</v>
      </c>
      <c r="DI23" s="89" t="n">
        <v>500</v>
      </c>
      <c r="DJ23" s="13" t="n">
        <f aca="false">IF('Cash Drivers'!DJ$26,'Customer Success'!DI23,'Customer Success'!DK23)</f>
        <v>500</v>
      </c>
      <c r="DK23" s="89" t="n">
        <v>500</v>
      </c>
      <c r="DL23" s="90" t="n">
        <v>500</v>
      </c>
      <c r="DM23" s="12" t="n">
        <f aca="false">IF('Cash Drivers'!DM$26,'Customer Success'!DL23,'Customer Success'!DN23)</f>
        <v>500</v>
      </c>
      <c r="DN23" s="90" t="n">
        <v>500</v>
      </c>
    </row>
    <row r="24" customFormat="false" ht="15.75" hidden="false" customHeight="true" outlineLevel="0" collapsed="false">
      <c r="A24" s="5" t="s">
        <v>164</v>
      </c>
      <c r="B24" s="12" t="str">
        <f aca="false">IF(COUNT(AR24,AO24,AL24,AI24,AF24,AC24,Z24,W24,T24,Q24,N24,K24)=0,"",SUM(AR24,AO24,AL24,AI24,AF24,AC24,Z24,W24,T24,Q24,N24,K24))</f>
        <v/>
      </c>
      <c r="C24" s="12" t="n">
        <f aca="false">IF(COUNT(AS24,AP24,AM24,AJ24,AG24,AD24,AA24,X24,U24,R24,O24,L24)=0,"",SUM(AS24,AP24,AM24,AJ24,AG24,AD24,AA24,X24,U24,R24,O24,L24))</f>
        <v>48000</v>
      </c>
      <c r="D24" s="12" t="n">
        <f aca="false">IF(COUNT(AT24,AQ24,AN24,AK24,AH24,AE24,AB24,Y24,V24,S24,P24,M24)=0,"",SUM(AT24,AQ24,AN24,AK24,AH24,AE24,AB24,Y24,V24,S24,P24,M24))</f>
        <v>48000</v>
      </c>
      <c r="E24" s="13" t="str">
        <f aca="false">IF(COUNT(CB24,BY24,BV24,BS24,BP24,BM24,BJ24,BG24,BD24,BA24,AX24,AU24)=0,"",SUM(CB24,BY24,BV24,BS24,BP24,BM24,BJ24,BG24,BD24,BA24,AX24,AU24))</f>
        <v/>
      </c>
      <c r="F24" s="13" t="n">
        <f aca="false">IF(COUNT(CC24,BZ24,BW24,BT24,BQ24,BN24,BK24,BH24,BE24,BB24,AY24,AV24)=0,"",SUM(CC24,BZ24,BW24,BT24,BQ24,BN24,BK24,BH24,BE24,BB24,AY24,AV24))</f>
        <v>48000</v>
      </c>
      <c r="G24" s="13" t="n">
        <f aca="false">IF(COUNT(CD24,CA24,BX24,BU24,BR24,BO24,BL24,BI24,BF24,BC24,AZ24,AW24)=0,"",SUM(CD24,CA24,BX24,BU24,BR24,BO24,BL24,BI24,BF24,BC24,AZ24,AW24))</f>
        <v>48000</v>
      </c>
      <c r="H24" s="12" t="n">
        <f aca="false">IF(COUNT(DL24,DI24,DF24,DC24,CZ24,CW24,CT24,CQ24,CN24,CK24,CH24,CE24)=0,"",SUM(DL24,DI24,DF24,DC24,CZ24,CW24,CT24,CQ24,CN24,CK24,CH24,CE24))</f>
        <v>8000</v>
      </c>
      <c r="I24" s="12" t="n">
        <f aca="false">IF(COUNT(DM24,DJ24,DG24,DD24,DA24,CX24,CU24,CR24,CO24,CL24,CI24,CF24)=0,"",SUM(DM24,DJ24,DG24,DD24,DA24,CX24,CU24,CR24,CO24,CL24,CI24,CF24))</f>
        <v>48000</v>
      </c>
      <c r="J24" s="12" t="n">
        <f aca="false">IF(COUNT(DN24,DK24,DH24,DE24,DB24,CY24,CV24,CS24,CP24,CM24,CJ24,CG24)=0,"",SUM(DN24,DK24,DH24,DE24,DB24,CY24,CV24,CS24,CP24,CM24,CJ24,CG24))</f>
        <v>48000</v>
      </c>
      <c r="K24" s="13"/>
      <c r="L24" s="13" t="n">
        <f aca="false">IF('Cash Drivers'!L$26,'Customer Success'!K24,'Customer Success'!M24)</f>
        <v>4000</v>
      </c>
      <c r="M24" s="89" t="n">
        <v>4000</v>
      </c>
      <c r="N24" s="12"/>
      <c r="O24" s="12" t="n">
        <f aca="false">IF('Cash Drivers'!O$26,'Customer Success'!N24,'Customer Success'!P24)</f>
        <v>4000</v>
      </c>
      <c r="P24" s="90" t="n">
        <v>4000</v>
      </c>
      <c r="Q24" s="13"/>
      <c r="R24" s="13" t="n">
        <f aca="false">IF('Cash Drivers'!R$26,'Customer Success'!Q24,'Customer Success'!S24)</f>
        <v>4000</v>
      </c>
      <c r="S24" s="89" t="n">
        <v>4000</v>
      </c>
      <c r="T24" s="12"/>
      <c r="U24" s="12" t="n">
        <f aca="false">IF('Cash Drivers'!U$26,'Customer Success'!T24,'Customer Success'!V24)</f>
        <v>4000</v>
      </c>
      <c r="V24" s="90" t="n">
        <v>4000</v>
      </c>
      <c r="W24" s="13"/>
      <c r="X24" s="13" t="n">
        <f aca="false">IF('Cash Drivers'!X$26,'Customer Success'!W24,'Customer Success'!Y24)</f>
        <v>4000</v>
      </c>
      <c r="Y24" s="89" t="n">
        <v>4000</v>
      </c>
      <c r="Z24" s="12"/>
      <c r="AA24" s="12" t="n">
        <f aca="false">IF('Cash Drivers'!AA$26,'Customer Success'!Z24,'Customer Success'!AB24)</f>
        <v>4000</v>
      </c>
      <c r="AB24" s="90" t="n">
        <v>4000</v>
      </c>
      <c r="AC24" s="13"/>
      <c r="AD24" s="13" t="n">
        <f aca="false">IF('Cash Drivers'!AD$26,'Customer Success'!AC24,'Customer Success'!AE24)</f>
        <v>4000</v>
      </c>
      <c r="AE24" s="89" t="n">
        <v>4000</v>
      </c>
      <c r="AF24" s="12"/>
      <c r="AG24" s="12" t="n">
        <f aca="false">IF('Cash Drivers'!AG$26,'Customer Success'!AF24,'Customer Success'!AH24)</f>
        <v>4000</v>
      </c>
      <c r="AH24" s="90" t="n">
        <v>4000</v>
      </c>
      <c r="AI24" s="13"/>
      <c r="AJ24" s="13" t="n">
        <f aca="false">IF('Cash Drivers'!AJ$26,'Customer Success'!AI24,'Customer Success'!AK24)</f>
        <v>4000</v>
      </c>
      <c r="AK24" s="89" t="n">
        <v>4000</v>
      </c>
      <c r="AL24" s="12"/>
      <c r="AM24" s="12" t="n">
        <f aca="false">IF('Cash Drivers'!AM$26,'Customer Success'!AL24,'Customer Success'!AN24)</f>
        <v>4000</v>
      </c>
      <c r="AN24" s="90" t="n">
        <v>4000</v>
      </c>
      <c r="AO24" s="13"/>
      <c r="AP24" s="13" t="n">
        <f aca="false">IF('Cash Drivers'!AP$26,'Customer Success'!AO24,'Customer Success'!AQ24)</f>
        <v>4000</v>
      </c>
      <c r="AQ24" s="89" t="n">
        <v>4000</v>
      </c>
      <c r="AR24" s="12"/>
      <c r="AS24" s="12" t="n">
        <f aca="false">IF('Cash Drivers'!AS$26,'Customer Success'!AR24,'Customer Success'!AT24)</f>
        <v>4000</v>
      </c>
      <c r="AT24" s="90" t="n">
        <v>4000</v>
      </c>
      <c r="AU24" s="13"/>
      <c r="AV24" s="13" t="n">
        <f aca="false">IF('Cash Drivers'!AV$26,'Customer Success'!AU24,'Customer Success'!AW24)</f>
        <v>4000</v>
      </c>
      <c r="AW24" s="89" t="n">
        <v>4000</v>
      </c>
      <c r="AX24" s="12"/>
      <c r="AY24" s="12" t="n">
        <f aca="false">IF('Cash Drivers'!AY$26,'Customer Success'!AX24,'Customer Success'!AZ24)</f>
        <v>4000</v>
      </c>
      <c r="AZ24" s="90" t="n">
        <v>4000</v>
      </c>
      <c r="BA24" s="13"/>
      <c r="BB24" s="13" t="n">
        <f aca="false">IF('Cash Drivers'!BB$26,'Customer Success'!BA24,'Customer Success'!BC24)</f>
        <v>4000</v>
      </c>
      <c r="BC24" s="89" t="n">
        <v>4000</v>
      </c>
      <c r="BD24" s="12"/>
      <c r="BE24" s="12" t="n">
        <f aca="false">IF('Cash Drivers'!BE$26,'Customer Success'!BD24,'Customer Success'!BF24)</f>
        <v>4000</v>
      </c>
      <c r="BF24" s="90" t="n">
        <v>4000</v>
      </c>
      <c r="BG24" s="13"/>
      <c r="BH24" s="13" t="n">
        <f aca="false">IF('Cash Drivers'!BH$26,'Customer Success'!BG24,'Customer Success'!BI24)</f>
        <v>4000</v>
      </c>
      <c r="BI24" s="89" t="n">
        <v>4000</v>
      </c>
      <c r="BJ24" s="12"/>
      <c r="BK24" s="12" t="n">
        <f aca="false">IF('Cash Drivers'!BK$26,'Customer Success'!BJ24,'Customer Success'!BL24)</f>
        <v>4000</v>
      </c>
      <c r="BL24" s="90" t="n">
        <v>4000</v>
      </c>
      <c r="BM24" s="13"/>
      <c r="BN24" s="13" t="n">
        <f aca="false">IF('Cash Drivers'!BN$26,'Customer Success'!BM24,'Customer Success'!BO24)</f>
        <v>4000</v>
      </c>
      <c r="BO24" s="89" t="n">
        <v>4000</v>
      </c>
      <c r="BP24" s="12"/>
      <c r="BQ24" s="12" t="n">
        <f aca="false">IF('Cash Drivers'!BQ$26,'Customer Success'!BP24,'Customer Success'!BR24)</f>
        <v>4000</v>
      </c>
      <c r="BR24" s="90" t="n">
        <v>4000</v>
      </c>
      <c r="BS24" s="13"/>
      <c r="BT24" s="13" t="n">
        <f aca="false">IF('Cash Drivers'!BT$26,'Customer Success'!BS24,'Customer Success'!BU24)</f>
        <v>4000</v>
      </c>
      <c r="BU24" s="89" t="n">
        <v>4000</v>
      </c>
      <c r="BV24" s="12"/>
      <c r="BW24" s="12" t="n">
        <f aca="false">IF('Cash Drivers'!BW$26,'Customer Success'!BV24,'Customer Success'!BX24)</f>
        <v>4000</v>
      </c>
      <c r="BX24" s="90" t="n">
        <v>4000</v>
      </c>
      <c r="BY24" s="13"/>
      <c r="BZ24" s="13" t="n">
        <f aca="false">IF('Cash Drivers'!BZ$26,'Customer Success'!BY24,'Customer Success'!CA24)</f>
        <v>4000</v>
      </c>
      <c r="CA24" s="89" t="n">
        <v>4000</v>
      </c>
      <c r="CB24" s="12"/>
      <c r="CC24" s="12" t="n">
        <f aca="false">IF('Cash Drivers'!CC$26,'Customer Success'!CB24,'Customer Success'!CD24)</f>
        <v>4000</v>
      </c>
      <c r="CD24" s="90" t="n">
        <v>4000</v>
      </c>
      <c r="CE24" s="13"/>
      <c r="CF24" s="13" t="n">
        <f aca="false">IF('Cash Drivers'!CF$26,'Customer Success'!CE24,'Customer Success'!CG24)</f>
        <v>4000</v>
      </c>
      <c r="CG24" s="89" t="n">
        <v>4000</v>
      </c>
      <c r="CH24" s="12"/>
      <c r="CI24" s="12" t="n">
        <f aca="false">IF('Cash Drivers'!CI$26,'Customer Success'!CH24,'Customer Success'!CJ24)</f>
        <v>4000</v>
      </c>
      <c r="CJ24" s="90" t="n">
        <v>4000</v>
      </c>
      <c r="CK24" s="13"/>
      <c r="CL24" s="13" t="n">
        <f aca="false">IF('Cash Drivers'!CL$26,'Customer Success'!CK24,'Customer Success'!CM24)</f>
        <v>4000</v>
      </c>
      <c r="CM24" s="89" t="n">
        <v>4000</v>
      </c>
      <c r="CN24" s="12"/>
      <c r="CO24" s="12" t="n">
        <f aca="false">IF('Cash Drivers'!CO$26,'Customer Success'!CN24,'Customer Success'!CP24)</f>
        <v>4000</v>
      </c>
      <c r="CP24" s="90" t="n">
        <v>4000</v>
      </c>
      <c r="CQ24" s="13"/>
      <c r="CR24" s="13" t="n">
        <f aca="false">IF('Cash Drivers'!CR$26,'Customer Success'!CQ24,'Customer Success'!CS24)</f>
        <v>4000</v>
      </c>
      <c r="CS24" s="89" t="n">
        <v>4000</v>
      </c>
      <c r="CT24" s="12"/>
      <c r="CU24" s="12" t="n">
        <f aca="false">IF('Cash Drivers'!CU$26,'Customer Success'!CT24,'Customer Success'!CV24)</f>
        <v>4000</v>
      </c>
      <c r="CV24" s="90" t="n">
        <v>4000</v>
      </c>
      <c r="CW24" s="13"/>
      <c r="CX24" s="13" t="n">
        <f aca="false">IF('Cash Drivers'!CX$26,'Customer Success'!CW24,'Customer Success'!CY24)</f>
        <v>4000</v>
      </c>
      <c r="CY24" s="89" t="n">
        <v>4000</v>
      </c>
      <c r="CZ24" s="12"/>
      <c r="DA24" s="12" t="n">
        <f aca="false">IF('Cash Drivers'!DA$26,'Customer Success'!CZ24,'Customer Success'!DB24)</f>
        <v>4000</v>
      </c>
      <c r="DB24" s="90" t="n">
        <v>4000</v>
      </c>
      <c r="DC24" s="13"/>
      <c r="DD24" s="13" t="n">
        <f aca="false">IF('Cash Drivers'!DD$26,'Customer Success'!DC24,'Customer Success'!DE24)</f>
        <v>4000</v>
      </c>
      <c r="DE24" s="89" t="n">
        <v>4000</v>
      </c>
      <c r="DF24" s="12"/>
      <c r="DG24" s="12" t="n">
        <f aca="false">IF('Cash Drivers'!DG$26,'Customer Success'!DF24,'Customer Success'!DH24)</f>
        <v>4000</v>
      </c>
      <c r="DH24" s="90" t="n">
        <v>4000</v>
      </c>
      <c r="DI24" s="89" t="n">
        <v>4000</v>
      </c>
      <c r="DJ24" s="13" t="n">
        <f aca="false">IF('Cash Drivers'!DJ$26,'Customer Success'!DI24,'Customer Success'!DK24)</f>
        <v>4000</v>
      </c>
      <c r="DK24" s="89" t="n">
        <v>4000</v>
      </c>
      <c r="DL24" s="90" t="n">
        <v>4000</v>
      </c>
      <c r="DM24" s="12" t="n">
        <f aca="false">IF('Cash Drivers'!DM$26,'Customer Success'!DL24,'Customer Success'!DN24)</f>
        <v>4000</v>
      </c>
      <c r="DN24" s="90" t="n">
        <v>4000</v>
      </c>
    </row>
    <row r="25" customFormat="false" ht="15.75" hidden="false" customHeight="true" outlineLevel="0" collapsed="false">
      <c r="A25" s="5" t="s">
        <v>165</v>
      </c>
      <c r="B25" s="12" t="str">
        <f aca="false">IF(COUNT(AR25,AO25,AL25,AI25,AF25,AC25,Z25,W25,T25,Q25,N25,K25)=0,"",SUM(AR25,AO25,AL25,AI25,AF25,AC25,Z25,W25,T25,Q25,N25,K25))</f>
        <v/>
      </c>
      <c r="C25" s="12" t="n">
        <f aca="false">IF(COUNT(AS25,AP25,AM25,AJ25,AG25,AD25,AA25,X25,U25,R25,O25,L25)=0,"",SUM(AS25,AP25,AM25,AJ25,AG25,AD25,AA25,X25,U25,R25,O25,L25))</f>
        <v>12000</v>
      </c>
      <c r="D25" s="12" t="n">
        <f aca="false">IF(COUNT(AT25,AQ25,AN25,AK25,AH25,AE25,AB25,Y25,V25,S25,P25,M25)=0,"",SUM(AT25,AQ25,AN25,AK25,AH25,AE25,AB25,Y25,V25,S25,P25,M25))</f>
        <v>12000</v>
      </c>
      <c r="E25" s="13" t="str">
        <f aca="false">IF(COUNT(CB25,BY25,BV25,BS25,BP25,BM25,BJ25,BG25,BD25,BA25,AX25,AU25)=0,"",SUM(CB25,BY25,BV25,BS25,BP25,BM25,BJ25,BG25,BD25,BA25,AX25,AU25))</f>
        <v/>
      </c>
      <c r="F25" s="13" t="n">
        <f aca="false">IF(COUNT(CC25,BZ25,BW25,BT25,BQ25,BN25,BK25,BH25,BE25,BB25,AY25,AV25)=0,"",SUM(CC25,BZ25,BW25,BT25,BQ25,BN25,BK25,BH25,BE25,BB25,AY25,AV25))</f>
        <v>12000</v>
      </c>
      <c r="G25" s="13" t="n">
        <f aca="false">IF(COUNT(CD25,CA25,BX25,BU25,BR25,BO25,BL25,BI25,BF25,BC25,AZ25,AW25)=0,"",SUM(CD25,CA25,BX25,BU25,BR25,BO25,BL25,BI25,BF25,BC25,AZ25,AW25))</f>
        <v>12000</v>
      </c>
      <c r="H25" s="12" t="n">
        <f aca="false">IF(COUNT(DL25,DI25,DF25,DC25,CZ25,CW25,CT25,CQ25,CN25,CK25,CH25,CE25)=0,"",SUM(DL25,DI25,DF25,DC25,CZ25,CW25,CT25,CQ25,CN25,CK25,CH25,CE25))</f>
        <v>2000</v>
      </c>
      <c r="I25" s="12" t="n">
        <f aca="false">IF(COUNT(DM25,DJ25,DG25,DD25,DA25,CX25,CU25,CR25,CO25,CL25,CI25,CF25)=0,"",SUM(DM25,DJ25,DG25,DD25,DA25,CX25,CU25,CR25,CO25,CL25,CI25,CF25))</f>
        <v>12000</v>
      </c>
      <c r="J25" s="12" t="n">
        <f aca="false">IF(COUNT(DN25,DK25,DH25,DE25,DB25,CY25,CV25,CS25,CP25,CM25,CJ25,CG25)=0,"",SUM(DN25,DK25,DH25,DE25,DB25,CY25,CV25,CS25,CP25,CM25,CJ25,CG25))</f>
        <v>12000</v>
      </c>
      <c r="K25" s="13"/>
      <c r="L25" s="13" t="n">
        <f aca="false">IF('Cash Drivers'!L$26,'Customer Success'!K25,'Customer Success'!M25)</f>
        <v>1000</v>
      </c>
      <c r="M25" s="89" t="n">
        <v>1000</v>
      </c>
      <c r="N25" s="12"/>
      <c r="O25" s="12" t="n">
        <f aca="false">IF('Cash Drivers'!O$26,'Customer Success'!N25,'Customer Success'!P25)</f>
        <v>1000</v>
      </c>
      <c r="P25" s="90" t="n">
        <v>1000</v>
      </c>
      <c r="Q25" s="13"/>
      <c r="R25" s="13" t="n">
        <f aca="false">IF('Cash Drivers'!R$26,'Customer Success'!Q25,'Customer Success'!S25)</f>
        <v>1000</v>
      </c>
      <c r="S25" s="89" t="n">
        <v>1000</v>
      </c>
      <c r="T25" s="12"/>
      <c r="U25" s="12" t="n">
        <f aca="false">IF('Cash Drivers'!U$26,'Customer Success'!T25,'Customer Success'!V25)</f>
        <v>1000</v>
      </c>
      <c r="V25" s="90" t="n">
        <v>1000</v>
      </c>
      <c r="W25" s="13"/>
      <c r="X25" s="13" t="n">
        <f aca="false">IF('Cash Drivers'!X$26,'Customer Success'!W25,'Customer Success'!Y25)</f>
        <v>1000</v>
      </c>
      <c r="Y25" s="89" t="n">
        <v>1000</v>
      </c>
      <c r="Z25" s="12"/>
      <c r="AA25" s="12" t="n">
        <f aca="false">IF('Cash Drivers'!AA$26,'Customer Success'!Z25,'Customer Success'!AB25)</f>
        <v>1000</v>
      </c>
      <c r="AB25" s="90" t="n">
        <v>1000</v>
      </c>
      <c r="AC25" s="13"/>
      <c r="AD25" s="13" t="n">
        <f aca="false">IF('Cash Drivers'!AD$26,'Customer Success'!AC25,'Customer Success'!AE25)</f>
        <v>1000</v>
      </c>
      <c r="AE25" s="89" t="n">
        <v>1000</v>
      </c>
      <c r="AF25" s="12"/>
      <c r="AG25" s="12" t="n">
        <f aca="false">IF('Cash Drivers'!AG$26,'Customer Success'!AF25,'Customer Success'!AH25)</f>
        <v>1000</v>
      </c>
      <c r="AH25" s="90" t="n">
        <v>1000</v>
      </c>
      <c r="AI25" s="13"/>
      <c r="AJ25" s="13" t="n">
        <f aca="false">IF('Cash Drivers'!AJ$26,'Customer Success'!AI25,'Customer Success'!AK25)</f>
        <v>1000</v>
      </c>
      <c r="AK25" s="89" t="n">
        <v>1000</v>
      </c>
      <c r="AL25" s="12"/>
      <c r="AM25" s="12" t="n">
        <f aca="false">IF('Cash Drivers'!AM$26,'Customer Success'!AL25,'Customer Success'!AN25)</f>
        <v>1000</v>
      </c>
      <c r="AN25" s="90" t="n">
        <v>1000</v>
      </c>
      <c r="AO25" s="13"/>
      <c r="AP25" s="13" t="n">
        <f aca="false">IF('Cash Drivers'!AP$26,'Customer Success'!AO25,'Customer Success'!AQ25)</f>
        <v>1000</v>
      </c>
      <c r="AQ25" s="89" t="n">
        <v>1000</v>
      </c>
      <c r="AR25" s="12"/>
      <c r="AS25" s="12" t="n">
        <f aca="false">IF('Cash Drivers'!AS$26,'Customer Success'!AR25,'Customer Success'!AT25)</f>
        <v>1000</v>
      </c>
      <c r="AT25" s="90" t="n">
        <v>1000</v>
      </c>
      <c r="AU25" s="13"/>
      <c r="AV25" s="13" t="n">
        <f aca="false">IF('Cash Drivers'!AV$26,'Customer Success'!AU25,'Customer Success'!AW25)</f>
        <v>1000</v>
      </c>
      <c r="AW25" s="89" t="n">
        <v>1000</v>
      </c>
      <c r="AX25" s="12"/>
      <c r="AY25" s="12" t="n">
        <f aca="false">IF('Cash Drivers'!AY$26,'Customer Success'!AX25,'Customer Success'!AZ25)</f>
        <v>1000</v>
      </c>
      <c r="AZ25" s="90" t="n">
        <v>1000</v>
      </c>
      <c r="BA25" s="13"/>
      <c r="BB25" s="13" t="n">
        <f aca="false">IF('Cash Drivers'!BB$26,'Customer Success'!BA25,'Customer Success'!BC25)</f>
        <v>1000</v>
      </c>
      <c r="BC25" s="89" t="n">
        <v>1000</v>
      </c>
      <c r="BD25" s="12"/>
      <c r="BE25" s="12" t="n">
        <f aca="false">IF('Cash Drivers'!BE$26,'Customer Success'!BD25,'Customer Success'!BF25)</f>
        <v>1000</v>
      </c>
      <c r="BF25" s="90" t="n">
        <v>1000</v>
      </c>
      <c r="BG25" s="13"/>
      <c r="BH25" s="13" t="n">
        <f aca="false">IF('Cash Drivers'!BH$26,'Customer Success'!BG25,'Customer Success'!BI25)</f>
        <v>1000</v>
      </c>
      <c r="BI25" s="89" t="n">
        <v>1000</v>
      </c>
      <c r="BJ25" s="12"/>
      <c r="BK25" s="12" t="n">
        <f aca="false">IF('Cash Drivers'!BK$26,'Customer Success'!BJ25,'Customer Success'!BL25)</f>
        <v>1000</v>
      </c>
      <c r="BL25" s="90" t="n">
        <v>1000</v>
      </c>
      <c r="BM25" s="13"/>
      <c r="BN25" s="13" t="n">
        <f aca="false">IF('Cash Drivers'!BN$26,'Customer Success'!BM25,'Customer Success'!BO25)</f>
        <v>1000</v>
      </c>
      <c r="BO25" s="89" t="n">
        <v>1000</v>
      </c>
      <c r="BP25" s="12"/>
      <c r="BQ25" s="12" t="n">
        <f aca="false">IF('Cash Drivers'!BQ$26,'Customer Success'!BP25,'Customer Success'!BR25)</f>
        <v>1000</v>
      </c>
      <c r="BR25" s="90" t="n">
        <v>1000</v>
      </c>
      <c r="BS25" s="13"/>
      <c r="BT25" s="13" t="n">
        <f aca="false">IF('Cash Drivers'!BT$26,'Customer Success'!BS25,'Customer Success'!BU25)</f>
        <v>1000</v>
      </c>
      <c r="BU25" s="89" t="n">
        <v>1000</v>
      </c>
      <c r="BV25" s="12"/>
      <c r="BW25" s="12" t="n">
        <f aca="false">IF('Cash Drivers'!BW$26,'Customer Success'!BV25,'Customer Success'!BX25)</f>
        <v>1000</v>
      </c>
      <c r="BX25" s="90" t="n">
        <v>1000</v>
      </c>
      <c r="BY25" s="13"/>
      <c r="BZ25" s="13" t="n">
        <f aca="false">IF('Cash Drivers'!BZ$26,'Customer Success'!BY25,'Customer Success'!CA25)</f>
        <v>1000</v>
      </c>
      <c r="CA25" s="89" t="n">
        <v>1000</v>
      </c>
      <c r="CB25" s="12"/>
      <c r="CC25" s="12" t="n">
        <f aca="false">IF('Cash Drivers'!CC$26,'Customer Success'!CB25,'Customer Success'!CD25)</f>
        <v>1000</v>
      </c>
      <c r="CD25" s="90" t="n">
        <v>1000</v>
      </c>
      <c r="CE25" s="13"/>
      <c r="CF25" s="13" t="n">
        <f aca="false">IF('Cash Drivers'!CF$26,'Customer Success'!CE25,'Customer Success'!CG25)</f>
        <v>1000</v>
      </c>
      <c r="CG25" s="89" t="n">
        <v>1000</v>
      </c>
      <c r="CH25" s="12"/>
      <c r="CI25" s="12" t="n">
        <f aca="false">IF('Cash Drivers'!CI$26,'Customer Success'!CH25,'Customer Success'!CJ25)</f>
        <v>1000</v>
      </c>
      <c r="CJ25" s="90" t="n">
        <v>1000</v>
      </c>
      <c r="CK25" s="13"/>
      <c r="CL25" s="13" t="n">
        <f aca="false">IF('Cash Drivers'!CL$26,'Customer Success'!CK25,'Customer Success'!CM25)</f>
        <v>1000</v>
      </c>
      <c r="CM25" s="89" t="n">
        <v>1000</v>
      </c>
      <c r="CN25" s="12"/>
      <c r="CO25" s="12" t="n">
        <f aca="false">IF('Cash Drivers'!CO$26,'Customer Success'!CN25,'Customer Success'!CP25)</f>
        <v>1000</v>
      </c>
      <c r="CP25" s="90" t="n">
        <v>1000</v>
      </c>
      <c r="CQ25" s="13"/>
      <c r="CR25" s="13" t="n">
        <f aca="false">IF('Cash Drivers'!CR$26,'Customer Success'!CQ25,'Customer Success'!CS25)</f>
        <v>1000</v>
      </c>
      <c r="CS25" s="89" t="n">
        <v>1000</v>
      </c>
      <c r="CT25" s="12"/>
      <c r="CU25" s="12" t="n">
        <f aca="false">IF('Cash Drivers'!CU$26,'Customer Success'!CT25,'Customer Success'!CV25)</f>
        <v>1000</v>
      </c>
      <c r="CV25" s="90" t="n">
        <v>1000</v>
      </c>
      <c r="CW25" s="13"/>
      <c r="CX25" s="13" t="n">
        <f aca="false">IF('Cash Drivers'!CX$26,'Customer Success'!CW25,'Customer Success'!CY25)</f>
        <v>1000</v>
      </c>
      <c r="CY25" s="89" t="n">
        <v>1000</v>
      </c>
      <c r="CZ25" s="12"/>
      <c r="DA25" s="12" t="n">
        <f aca="false">IF('Cash Drivers'!DA$26,'Customer Success'!CZ25,'Customer Success'!DB25)</f>
        <v>1000</v>
      </c>
      <c r="DB25" s="90" t="n">
        <v>1000</v>
      </c>
      <c r="DC25" s="13"/>
      <c r="DD25" s="13" t="n">
        <f aca="false">IF('Cash Drivers'!DD$26,'Customer Success'!DC25,'Customer Success'!DE25)</f>
        <v>1000</v>
      </c>
      <c r="DE25" s="89" t="n">
        <v>1000</v>
      </c>
      <c r="DF25" s="12"/>
      <c r="DG25" s="12" t="n">
        <f aca="false">IF('Cash Drivers'!DG$26,'Customer Success'!DF25,'Customer Success'!DH25)</f>
        <v>1000</v>
      </c>
      <c r="DH25" s="90" t="n">
        <v>1000</v>
      </c>
      <c r="DI25" s="89" t="n">
        <v>1000</v>
      </c>
      <c r="DJ25" s="13" t="n">
        <f aca="false">IF('Cash Drivers'!DJ$26,'Customer Success'!DI25,'Customer Success'!DK25)</f>
        <v>1000</v>
      </c>
      <c r="DK25" s="89" t="n">
        <v>1000</v>
      </c>
      <c r="DL25" s="90" t="n">
        <v>1000</v>
      </c>
      <c r="DM25" s="12" t="n">
        <f aca="false">IF('Cash Drivers'!DM$26,'Customer Success'!DL25,'Customer Success'!DN25)</f>
        <v>1000</v>
      </c>
      <c r="DN25" s="90" t="n">
        <v>1000</v>
      </c>
    </row>
    <row r="26" customFormat="false" ht="15.75" hidden="false" customHeight="true" outlineLevel="0" collapsed="false">
      <c r="A26" s="5" t="s">
        <v>166</v>
      </c>
      <c r="B26" s="12" t="str">
        <f aca="false">IF(COUNT(AR26,AO26,AL26,AI26,AF26,AC26,Z26,W26,T26,Q26,N26,K26)=0,"",SUM(AR26,AO26,AL26,AI26,AF26,AC26,Z26,W26,T26,Q26,N26,K26))</f>
        <v/>
      </c>
      <c r="C26" s="12" t="n">
        <f aca="false">IF(COUNT(AS26,AP26,AM26,AJ26,AG26,AD26,AA26,X26,U26,R26,O26,L26)=0,"",SUM(AS26,AP26,AM26,AJ26,AG26,AD26,AA26,X26,U26,R26,O26,L26))</f>
        <v>24000</v>
      </c>
      <c r="D26" s="12" t="n">
        <f aca="false">IF(COUNT(AT26,AQ26,AN26,AK26,AH26,AE26,AB26,Y26,V26,S26,P26,M26)=0,"",SUM(AT26,AQ26,AN26,AK26,AH26,AE26,AB26,Y26,V26,S26,P26,M26))</f>
        <v>24000</v>
      </c>
      <c r="E26" s="13" t="str">
        <f aca="false">IF(COUNT(CB26,BY26,BV26,BS26,BP26,BM26,BJ26,BG26,BD26,BA26,AX26,AU26)=0,"",SUM(CB26,BY26,BV26,BS26,BP26,BM26,BJ26,BG26,BD26,BA26,AX26,AU26))</f>
        <v/>
      </c>
      <c r="F26" s="13" t="n">
        <f aca="false">IF(COUNT(CC26,BZ26,BW26,BT26,BQ26,BN26,BK26,BH26,BE26,BB26,AY26,AV26)=0,"",SUM(CC26,BZ26,BW26,BT26,BQ26,BN26,BK26,BH26,BE26,BB26,AY26,AV26))</f>
        <v>24000</v>
      </c>
      <c r="G26" s="13" t="n">
        <f aca="false">IF(COUNT(CD26,CA26,BX26,BU26,BR26,BO26,BL26,BI26,BF26,BC26,AZ26,AW26)=0,"",SUM(CD26,CA26,BX26,BU26,BR26,BO26,BL26,BI26,BF26,BC26,AZ26,AW26))</f>
        <v>24000</v>
      </c>
      <c r="H26" s="12" t="n">
        <f aca="false">IF(COUNT(DL26,DI26,DF26,DC26,CZ26,CW26,CT26,CQ26,CN26,CK26,CH26,CE26)=0,"",SUM(DL26,DI26,DF26,DC26,CZ26,CW26,CT26,CQ26,CN26,CK26,CH26,CE26))</f>
        <v>4000</v>
      </c>
      <c r="I26" s="12" t="n">
        <f aca="false">IF(COUNT(DM26,DJ26,DG26,DD26,DA26,CX26,CU26,CR26,CO26,CL26,CI26,CF26)=0,"",SUM(DM26,DJ26,DG26,DD26,DA26,CX26,CU26,CR26,CO26,CL26,CI26,CF26))</f>
        <v>24000</v>
      </c>
      <c r="J26" s="12" t="n">
        <f aca="false">IF(COUNT(DN26,DK26,DH26,DE26,DB26,CY26,CV26,CS26,CP26,CM26,CJ26,CG26)=0,"",SUM(DN26,DK26,DH26,DE26,DB26,CY26,CV26,CS26,CP26,CM26,CJ26,CG26))</f>
        <v>24000</v>
      </c>
      <c r="K26" s="13"/>
      <c r="L26" s="13" t="n">
        <f aca="false">IF('Cash Drivers'!L$26,'Customer Success'!K26,'Customer Success'!M26)</f>
        <v>2000</v>
      </c>
      <c r="M26" s="89" t="n">
        <v>2000</v>
      </c>
      <c r="N26" s="12"/>
      <c r="O26" s="12" t="n">
        <f aca="false">IF('Cash Drivers'!O$26,'Customer Success'!N26,'Customer Success'!P26)</f>
        <v>2000</v>
      </c>
      <c r="P26" s="90" t="n">
        <v>2000</v>
      </c>
      <c r="Q26" s="13"/>
      <c r="R26" s="13" t="n">
        <f aca="false">IF('Cash Drivers'!R$26,'Customer Success'!Q26,'Customer Success'!S26)</f>
        <v>2000</v>
      </c>
      <c r="S26" s="89" t="n">
        <v>2000</v>
      </c>
      <c r="T26" s="12"/>
      <c r="U26" s="12" t="n">
        <f aca="false">IF('Cash Drivers'!U$26,'Customer Success'!T26,'Customer Success'!V26)</f>
        <v>2000</v>
      </c>
      <c r="V26" s="90" t="n">
        <v>2000</v>
      </c>
      <c r="W26" s="13"/>
      <c r="X26" s="13" t="n">
        <f aca="false">IF('Cash Drivers'!X$26,'Customer Success'!W26,'Customer Success'!Y26)</f>
        <v>2000</v>
      </c>
      <c r="Y26" s="89" t="n">
        <v>2000</v>
      </c>
      <c r="Z26" s="12"/>
      <c r="AA26" s="12" t="n">
        <f aca="false">IF('Cash Drivers'!AA$26,'Customer Success'!Z26,'Customer Success'!AB26)</f>
        <v>2000</v>
      </c>
      <c r="AB26" s="90" t="n">
        <v>2000</v>
      </c>
      <c r="AC26" s="13"/>
      <c r="AD26" s="13" t="n">
        <f aca="false">IF('Cash Drivers'!AD$26,'Customer Success'!AC26,'Customer Success'!AE26)</f>
        <v>2000</v>
      </c>
      <c r="AE26" s="89" t="n">
        <v>2000</v>
      </c>
      <c r="AF26" s="12"/>
      <c r="AG26" s="12" t="n">
        <f aca="false">IF('Cash Drivers'!AG$26,'Customer Success'!AF26,'Customer Success'!AH26)</f>
        <v>2000</v>
      </c>
      <c r="AH26" s="90" t="n">
        <v>2000</v>
      </c>
      <c r="AI26" s="13"/>
      <c r="AJ26" s="13" t="n">
        <f aca="false">IF('Cash Drivers'!AJ$26,'Customer Success'!AI26,'Customer Success'!AK26)</f>
        <v>2000</v>
      </c>
      <c r="AK26" s="89" t="n">
        <v>2000</v>
      </c>
      <c r="AL26" s="12"/>
      <c r="AM26" s="12" t="n">
        <f aca="false">IF('Cash Drivers'!AM$26,'Customer Success'!AL26,'Customer Success'!AN26)</f>
        <v>2000</v>
      </c>
      <c r="AN26" s="90" t="n">
        <v>2000</v>
      </c>
      <c r="AO26" s="13"/>
      <c r="AP26" s="13" t="n">
        <f aca="false">IF('Cash Drivers'!AP$26,'Customer Success'!AO26,'Customer Success'!AQ26)</f>
        <v>2000</v>
      </c>
      <c r="AQ26" s="89" t="n">
        <v>2000</v>
      </c>
      <c r="AR26" s="12"/>
      <c r="AS26" s="12" t="n">
        <f aca="false">IF('Cash Drivers'!AS$26,'Customer Success'!AR26,'Customer Success'!AT26)</f>
        <v>2000</v>
      </c>
      <c r="AT26" s="90" t="n">
        <v>2000</v>
      </c>
      <c r="AU26" s="13"/>
      <c r="AV26" s="13" t="n">
        <f aca="false">IF('Cash Drivers'!AV$26,'Customer Success'!AU26,'Customer Success'!AW26)</f>
        <v>2000</v>
      </c>
      <c r="AW26" s="89" t="n">
        <v>2000</v>
      </c>
      <c r="AX26" s="12"/>
      <c r="AY26" s="12" t="n">
        <f aca="false">IF('Cash Drivers'!AY$26,'Customer Success'!AX26,'Customer Success'!AZ26)</f>
        <v>2000</v>
      </c>
      <c r="AZ26" s="90" t="n">
        <v>2000</v>
      </c>
      <c r="BA26" s="13"/>
      <c r="BB26" s="13" t="n">
        <f aca="false">IF('Cash Drivers'!BB$26,'Customer Success'!BA26,'Customer Success'!BC26)</f>
        <v>2000</v>
      </c>
      <c r="BC26" s="89" t="n">
        <v>2000</v>
      </c>
      <c r="BD26" s="12"/>
      <c r="BE26" s="12" t="n">
        <f aca="false">IF('Cash Drivers'!BE$26,'Customer Success'!BD26,'Customer Success'!BF26)</f>
        <v>2000</v>
      </c>
      <c r="BF26" s="90" t="n">
        <v>2000</v>
      </c>
      <c r="BG26" s="13"/>
      <c r="BH26" s="13" t="n">
        <f aca="false">IF('Cash Drivers'!BH$26,'Customer Success'!BG26,'Customer Success'!BI26)</f>
        <v>2000</v>
      </c>
      <c r="BI26" s="89" t="n">
        <v>2000</v>
      </c>
      <c r="BJ26" s="12"/>
      <c r="BK26" s="12" t="n">
        <f aca="false">IF('Cash Drivers'!BK$26,'Customer Success'!BJ26,'Customer Success'!BL26)</f>
        <v>2000</v>
      </c>
      <c r="BL26" s="90" t="n">
        <v>2000</v>
      </c>
      <c r="BM26" s="13"/>
      <c r="BN26" s="13" t="n">
        <f aca="false">IF('Cash Drivers'!BN$26,'Customer Success'!BM26,'Customer Success'!BO26)</f>
        <v>2000</v>
      </c>
      <c r="BO26" s="89" t="n">
        <v>2000</v>
      </c>
      <c r="BP26" s="12"/>
      <c r="BQ26" s="12" t="n">
        <f aca="false">IF('Cash Drivers'!BQ$26,'Customer Success'!BP26,'Customer Success'!BR26)</f>
        <v>2000</v>
      </c>
      <c r="BR26" s="90" t="n">
        <v>2000</v>
      </c>
      <c r="BS26" s="13"/>
      <c r="BT26" s="13" t="n">
        <f aca="false">IF('Cash Drivers'!BT$26,'Customer Success'!BS26,'Customer Success'!BU26)</f>
        <v>2000</v>
      </c>
      <c r="BU26" s="89" t="n">
        <v>2000</v>
      </c>
      <c r="BV26" s="12"/>
      <c r="BW26" s="12" t="n">
        <f aca="false">IF('Cash Drivers'!BW$26,'Customer Success'!BV26,'Customer Success'!BX26)</f>
        <v>2000</v>
      </c>
      <c r="BX26" s="90" t="n">
        <v>2000</v>
      </c>
      <c r="BY26" s="13"/>
      <c r="BZ26" s="13" t="n">
        <f aca="false">IF('Cash Drivers'!BZ$26,'Customer Success'!BY26,'Customer Success'!CA26)</f>
        <v>2000</v>
      </c>
      <c r="CA26" s="89" t="n">
        <v>2000</v>
      </c>
      <c r="CB26" s="12"/>
      <c r="CC26" s="12" t="n">
        <f aca="false">IF('Cash Drivers'!CC$26,'Customer Success'!CB26,'Customer Success'!CD26)</f>
        <v>2000</v>
      </c>
      <c r="CD26" s="90" t="n">
        <v>2000</v>
      </c>
      <c r="CE26" s="13"/>
      <c r="CF26" s="13" t="n">
        <f aca="false">IF('Cash Drivers'!CF$26,'Customer Success'!CE26,'Customer Success'!CG26)</f>
        <v>2000</v>
      </c>
      <c r="CG26" s="89" t="n">
        <v>2000</v>
      </c>
      <c r="CH26" s="12"/>
      <c r="CI26" s="12" t="n">
        <f aca="false">IF('Cash Drivers'!CI$26,'Customer Success'!CH26,'Customer Success'!CJ26)</f>
        <v>2000</v>
      </c>
      <c r="CJ26" s="90" t="n">
        <v>2000</v>
      </c>
      <c r="CK26" s="13"/>
      <c r="CL26" s="13" t="n">
        <f aca="false">IF('Cash Drivers'!CL$26,'Customer Success'!CK26,'Customer Success'!CM26)</f>
        <v>2000</v>
      </c>
      <c r="CM26" s="89" t="n">
        <v>2000</v>
      </c>
      <c r="CN26" s="12"/>
      <c r="CO26" s="12" t="n">
        <f aca="false">IF('Cash Drivers'!CO$26,'Customer Success'!CN26,'Customer Success'!CP26)</f>
        <v>2000</v>
      </c>
      <c r="CP26" s="90" t="n">
        <v>2000</v>
      </c>
      <c r="CQ26" s="13"/>
      <c r="CR26" s="13" t="n">
        <f aca="false">IF('Cash Drivers'!CR$26,'Customer Success'!CQ26,'Customer Success'!CS26)</f>
        <v>2000</v>
      </c>
      <c r="CS26" s="89" t="n">
        <v>2000</v>
      </c>
      <c r="CT26" s="12"/>
      <c r="CU26" s="12" t="n">
        <f aca="false">IF('Cash Drivers'!CU$26,'Customer Success'!CT26,'Customer Success'!CV26)</f>
        <v>2000</v>
      </c>
      <c r="CV26" s="90" t="n">
        <v>2000</v>
      </c>
      <c r="CW26" s="13"/>
      <c r="CX26" s="13" t="n">
        <f aca="false">IF('Cash Drivers'!CX$26,'Customer Success'!CW26,'Customer Success'!CY26)</f>
        <v>2000</v>
      </c>
      <c r="CY26" s="89" t="n">
        <v>2000</v>
      </c>
      <c r="CZ26" s="12"/>
      <c r="DA26" s="12" t="n">
        <f aca="false">IF('Cash Drivers'!DA$26,'Customer Success'!CZ26,'Customer Success'!DB26)</f>
        <v>2000</v>
      </c>
      <c r="DB26" s="90" t="n">
        <v>2000</v>
      </c>
      <c r="DC26" s="13"/>
      <c r="DD26" s="13" t="n">
        <f aca="false">IF('Cash Drivers'!DD$26,'Customer Success'!DC26,'Customer Success'!DE26)</f>
        <v>2000</v>
      </c>
      <c r="DE26" s="89" t="n">
        <v>2000</v>
      </c>
      <c r="DF26" s="12"/>
      <c r="DG26" s="12" t="n">
        <f aca="false">IF('Cash Drivers'!DG$26,'Customer Success'!DF26,'Customer Success'!DH26)</f>
        <v>2000</v>
      </c>
      <c r="DH26" s="90" t="n">
        <v>2000</v>
      </c>
      <c r="DI26" s="89" t="n">
        <v>2000</v>
      </c>
      <c r="DJ26" s="13" t="n">
        <f aca="false">IF('Cash Drivers'!DJ$26,'Customer Success'!DI26,'Customer Success'!DK26)</f>
        <v>2000</v>
      </c>
      <c r="DK26" s="89" t="n">
        <v>2000</v>
      </c>
      <c r="DL26" s="90" t="n">
        <v>2000</v>
      </c>
      <c r="DM26" s="12" t="n">
        <f aca="false">IF('Cash Drivers'!DM$26,'Customer Success'!DL26,'Customer Success'!DN26)</f>
        <v>2000</v>
      </c>
      <c r="DN26" s="90" t="n">
        <v>2000</v>
      </c>
    </row>
    <row r="27" customFormat="false" ht="15.75" hidden="false" customHeight="true" outlineLevel="0" collapsed="false">
      <c r="A27" s="14" t="s">
        <v>167</v>
      </c>
      <c r="B27" s="15" t="str">
        <f aca="false">IF(COUNT(AR27,AO27,AL27,AI27,AF27,AC27,Z27,W27,T27,Q27,N27,K27)=0,"",SUM(AR27,AO27,AL27,AI27,AF27,AC27,Z27,W27,T27,Q27,N27,K27))</f>
        <v/>
      </c>
      <c r="C27" s="15" t="n">
        <f aca="false">IF(COUNT(AS27,AP27,AM27,AJ27,AG27,AD27,AA27,X27,U27,R27,O27,L27)=0,"",SUM(AS27,AP27,AM27,AJ27,AG27,AD27,AA27,X27,U27,R27,O27,L27))</f>
        <v>1463840</v>
      </c>
      <c r="D27" s="15" t="n">
        <f aca="false">IF(COUNT(AT27,AQ27,AN27,AK27,AH27,AE27,AB27,Y27,V27,S27,P27,M27)=0,"",SUM(AT27,AQ27,AN27,AK27,AH27,AE27,AB27,Y27,V27,S27,P27,M27))</f>
        <v>1463840</v>
      </c>
      <c r="E27" s="16" t="str">
        <f aca="false">IF(COUNT(CB27,BY27,BV27,BS27,BP27,BM27,BJ27,BG27,BD27,BA27,AX27,AU27)=0,"",SUM(CB27,BY27,BV27,BS27,BP27,BM27,BJ27,BG27,BD27,BA27,AX27,AU27))</f>
        <v/>
      </c>
      <c r="F27" s="16" t="n">
        <f aca="false">IF(COUNT(CC27,BZ27,BW27,BT27,BQ27,BN27,BK27,BH27,BE27,BB27,AY27,AV27)=0,"",SUM(CC27,BZ27,BW27,BT27,BQ27,BN27,BK27,BH27,BE27,BB27,AY27,AV27))</f>
        <v>1195440</v>
      </c>
      <c r="G27" s="16" t="n">
        <f aca="false">IF(COUNT(CD27,CA27,BX27,BU27,BR27,BO27,BL27,BI27,BF27,BC27,AZ27,AW27)=0,"",SUM(CD27,CA27,BX27,BU27,BR27,BO27,BL27,BI27,BF27,BC27,AZ27,AW27))</f>
        <v>1195440</v>
      </c>
      <c r="H27" s="15" t="n">
        <f aca="false">IF(COUNT(DL27,DI27,DF27,DC27,CZ27,CW27,CT27,CQ27,CN27,CK27,CH27,CE27)=0,"",SUM(DL27,DI27,DF27,DC27,CZ27,CW27,CT27,CQ27,CN27,CK27,CH27,CE27))</f>
        <v>150440</v>
      </c>
      <c r="I27" s="15" t="n">
        <f aca="false">IF(COUNT(DM27,DJ27,DG27,DD27,DA27,CX27,CU27,CR27,CO27,CL27,CI27,CF27)=0,"",SUM(DM27,DJ27,DG27,DD27,DA27,CX27,CU27,CR27,CO27,CL27,CI27,CF27))</f>
        <v>990480</v>
      </c>
      <c r="J27" s="15" t="n">
        <f aca="false">IF(COUNT(DN27,DK27,DH27,DE27,DB27,CY27,CV27,CS27,CP27,CM27,CJ27,CG27)=0,"",SUM(DN27,DK27,DH27,DE27,DB27,CY27,CV27,CS27,CP27,CM27,CJ27,CG27))</f>
        <v>990480</v>
      </c>
      <c r="K27" s="16" t="str">
        <f aca="false">IF(COUNT(K18,K19,K20,K21,K22,K23,K24,K25,K26)=0,"",SUM(K18:K26))</f>
        <v/>
      </c>
      <c r="L27" s="16" t="n">
        <f aca="false">SUM(L18:L26)</f>
        <v>122800</v>
      </c>
      <c r="M27" s="16" t="n">
        <f aca="false">SUM(M18:M26)</f>
        <v>122800</v>
      </c>
      <c r="N27" s="15" t="str">
        <f aca="false">IF(COUNT(N18,N19,N20,N21,N22,N23,N24,N25,N26)=0,"",SUM(N18:N26))</f>
        <v/>
      </c>
      <c r="O27" s="15" t="n">
        <f aca="false">SUM(O18:O26)</f>
        <v>122800</v>
      </c>
      <c r="P27" s="15" t="n">
        <f aca="false">SUM(P18:P26)</f>
        <v>122800</v>
      </c>
      <c r="Q27" s="16" t="str">
        <f aca="false">IF(COUNT(Q18,Q19,Q20,Q21,Q22,Q23,Q24,Q25,Q26)=0,"",SUM(Q18:Q26))</f>
        <v/>
      </c>
      <c r="R27" s="16" t="n">
        <f aca="false">SUM(R18:R26)</f>
        <v>122800</v>
      </c>
      <c r="S27" s="16" t="n">
        <f aca="false">SUM(S18:S26)</f>
        <v>122800</v>
      </c>
      <c r="T27" s="15" t="str">
        <f aca="false">IF(COUNT(T18,T19,T20,T21,T22,T23,T24,T25,T26)=0,"",SUM(T18:T26))</f>
        <v/>
      </c>
      <c r="U27" s="15" t="n">
        <f aca="false">SUM(U18:U26)</f>
        <v>122800</v>
      </c>
      <c r="V27" s="15" t="n">
        <f aca="false">SUM(V18:V26)</f>
        <v>122800</v>
      </c>
      <c r="W27" s="16" t="str">
        <f aca="false">IF(COUNT(W18,W19,W20,W21,W22,W23,W24,W25,W26)=0,"",SUM(W18:W26))</f>
        <v/>
      </c>
      <c r="X27" s="16" t="n">
        <f aca="false">SUM(X18:X26)</f>
        <v>122800</v>
      </c>
      <c r="Y27" s="16" t="n">
        <f aca="false">SUM(Y18:Y26)</f>
        <v>122800</v>
      </c>
      <c r="Z27" s="15" t="str">
        <f aca="false">IF(COUNT(Z18,Z19,Z20,Z21,Z22,Z23,Z24,Z25,Z26)=0,"",SUM(Z18:Z26))</f>
        <v/>
      </c>
      <c r="AA27" s="15" t="n">
        <f aca="false">SUM(AA18:AA26)</f>
        <v>122800</v>
      </c>
      <c r="AB27" s="15" t="n">
        <f aca="false">SUM(AB18:AB26)</f>
        <v>122800</v>
      </c>
      <c r="AC27" s="16" t="str">
        <f aca="false">IF(COUNT(AC18,AC19,AC20,AC21,AC22,AC23,AC24,AC25,AC26)=0,"",SUM(AC18:AC26))</f>
        <v/>
      </c>
      <c r="AD27" s="16" t="n">
        <f aca="false">SUM(AD18:AD26)</f>
        <v>122800</v>
      </c>
      <c r="AE27" s="16" t="n">
        <f aca="false">SUM(AE18:AE26)</f>
        <v>122800</v>
      </c>
      <c r="AF27" s="15" t="str">
        <f aca="false">IF(COUNT(AF18,AF19,AF20,AF21,AF22,AF23,AF24,AF25,AF26)=0,"",SUM(AF18:AF26))</f>
        <v/>
      </c>
      <c r="AG27" s="15" t="n">
        <f aca="false">SUM(AG18:AG26)</f>
        <v>122800</v>
      </c>
      <c r="AH27" s="15" t="n">
        <f aca="false">SUM(AH18:AH26)</f>
        <v>122800</v>
      </c>
      <c r="AI27" s="16" t="str">
        <f aca="false">IF(COUNT(AI18,AI19,AI20,AI21,AI22,AI23,AI24,AI25,AI26)=0,"",SUM(AI18:AI26))</f>
        <v/>
      </c>
      <c r="AJ27" s="16" t="n">
        <f aca="false">SUM(AJ18:AJ26)</f>
        <v>122800</v>
      </c>
      <c r="AK27" s="16" t="n">
        <f aca="false">SUM(AK18:AK26)</f>
        <v>122800</v>
      </c>
      <c r="AL27" s="15" t="str">
        <f aca="false">IF(COUNT(AL18,AL19,AL20,AL21,AL22,AL23,AL24,AL25,AL26)=0,"",SUM(AL18:AL26))</f>
        <v/>
      </c>
      <c r="AM27" s="15" t="n">
        <f aca="false">SUM(AM18:AM26)</f>
        <v>122800</v>
      </c>
      <c r="AN27" s="15" t="n">
        <f aca="false">SUM(AN18:AN26)</f>
        <v>122800</v>
      </c>
      <c r="AO27" s="16" t="str">
        <f aca="false">IF(COUNT(AO18,AO19,AO20,AO21,AO22,AO23,AO24,AO25,AO26)=0,"",SUM(AO18:AO26))</f>
        <v/>
      </c>
      <c r="AP27" s="16" t="n">
        <f aca="false">SUM(AP18:AP26)</f>
        <v>122800</v>
      </c>
      <c r="AQ27" s="16" t="n">
        <f aca="false">SUM(AQ18:AQ26)</f>
        <v>122800</v>
      </c>
      <c r="AR27" s="15" t="str">
        <f aca="false">IF(COUNT(AR18,AR19,AR20,AR21,AR22,AR23,AR24,AR25,AR26)=0,"",SUM(AR18:AR26))</f>
        <v/>
      </c>
      <c r="AS27" s="15" t="n">
        <f aca="false">SUM(AS18:AS26)</f>
        <v>113040</v>
      </c>
      <c r="AT27" s="15" t="n">
        <f aca="false">SUM(AT18:AT26)</f>
        <v>113040</v>
      </c>
      <c r="AU27" s="16" t="str">
        <f aca="false">IF(COUNT(AU18,AU19,AU20,AU21,AU22,AU23,AU24,AU25,AU26)=0,"",SUM(AU18:AU26))</f>
        <v/>
      </c>
      <c r="AV27" s="16" t="n">
        <f aca="false">SUM(AV18:AV26)</f>
        <v>113040</v>
      </c>
      <c r="AW27" s="16" t="n">
        <f aca="false">SUM(AW18:AW26)</f>
        <v>113040</v>
      </c>
      <c r="AX27" s="15" t="str">
        <f aca="false">IF(COUNT(AX18,AX19,AX20,AX21,AX22,AX23,AX24,AX25,AX26)=0,"",SUM(AX18:AX26))</f>
        <v/>
      </c>
      <c r="AY27" s="15" t="n">
        <f aca="false">SUM(AY18:AY26)</f>
        <v>113040</v>
      </c>
      <c r="AZ27" s="15" t="n">
        <f aca="false">SUM(AZ18:AZ26)</f>
        <v>113040</v>
      </c>
      <c r="BA27" s="16" t="str">
        <f aca="false">IF(COUNT(BA18,BA19,BA20,BA21,BA22,BA23,BA24,BA25,BA26)=0,"",SUM(BA18:BA26))</f>
        <v/>
      </c>
      <c r="BB27" s="16" t="n">
        <f aca="false">SUM(BB18:BB26)</f>
        <v>113040</v>
      </c>
      <c r="BC27" s="16" t="n">
        <f aca="false">SUM(BC18:BC26)</f>
        <v>113040</v>
      </c>
      <c r="BD27" s="15" t="str">
        <f aca="false">IF(COUNT(BD18,BD19,BD20,BD21,BD22,BD23,BD24,BD25,BD26)=0,"",SUM(BD18:BD26))</f>
        <v/>
      </c>
      <c r="BE27" s="15" t="n">
        <f aca="false">SUM(BE18:BE26)</f>
        <v>113040</v>
      </c>
      <c r="BF27" s="15" t="n">
        <f aca="false">SUM(BF18:BF26)</f>
        <v>113040</v>
      </c>
      <c r="BG27" s="16" t="str">
        <f aca="false">IF(COUNT(BG18,BG19,BG20,BG21,BG22,BG23,BG24,BG25,BG26)=0,"",SUM(BG18:BG26))</f>
        <v/>
      </c>
      <c r="BH27" s="16" t="n">
        <f aca="false">SUM(BH18:BH26)</f>
        <v>103280</v>
      </c>
      <c r="BI27" s="16" t="n">
        <f aca="false">SUM(BI18:BI26)</f>
        <v>103280</v>
      </c>
      <c r="BJ27" s="15" t="str">
        <f aca="false">IF(COUNT(BJ18,BJ19,BJ20,BJ21,BJ22,BJ23,BJ24,BJ25,BJ26)=0,"",SUM(BJ18:BJ26))</f>
        <v/>
      </c>
      <c r="BK27" s="15" t="n">
        <f aca="false">SUM(BK18:BK26)</f>
        <v>103280</v>
      </c>
      <c r="BL27" s="15" t="n">
        <f aca="false">SUM(BL18:BL26)</f>
        <v>103280</v>
      </c>
      <c r="BM27" s="16" t="str">
        <f aca="false">IF(COUNT(BM18,BM19,BM20,BM21,BM22,BM23,BM24,BM25,BM26)=0,"",SUM(BM18:BM26))</f>
        <v/>
      </c>
      <c r="BN27" s="16" t="n">
        <f aca="false">SUM(BN18:BN26)</f>
        <v>103280</v>
      </c>
      <c r="BO27" s="16" t="n">
        <f aca="false">SUM(BO18:BO26)</f>
        <v>103280</v>
      </c>
      <c r="BP27" s="15" t="str">
        <f aca="false">IF(COUNT(BP18,BP19,BP20,BP21,BP22,BP23,BP24,BP25,BP26)=0,"",SUM(BP18:BP26))</f>
        <v/>
      </c>
      <c r="BQ27" s="15" t="n">
        <f aca="false">SUM(BQ18:BQ26)</f>
        <v>93520</v>
      </c>
      <c r="BR27" s="15" t="n">
        <f aca="false">SUM(BR18:BR26)</f>
        <v>93520</v>
      </c>
      <c r="BS27" s="16" t="str">
        <f aca="false">IF(COUNT(BS18,BS19,BS20,BS21,BS22,BS23,BS24,BS25,BS26)=0,"",SUM(BS18:BS26))</f>
        <v/>
      </c>
      <c r="BT27" s="16" t="n">
        <f aca="false">SUM(BT18:BT26)</f>
        <v>84980</v>
      </c>
      <c r="BU27" s="16" t="n">
        <f aca="false">SUM(BU18:BU26)</f>
        <v>84980</v>
      </c>
      <c r="BV27" s="15" t="str">
        <f aca="false">IF(COUNT(BV18,BV19,BV20,BV21,BV22,BV23,BV24,BV25,BV26)=0,"",SUM(BV18:BV26))</f>
        <v/>
      </c>
      <c r="BW27" s="15" t="n">
        <f aca="false">SUM(BW18:BW26)</f>
        <v>84980</v>
      </c>
      <c r="BX27" s="15" t="n">
        <f aca="false">SUM(BX18:BX26)</f>
        <v>84980</v>
      </c>
      <c r="BY27" s="16" t="str">
        <f aca="false">IF(COUNT(BY18,BY19,BY20,BY21,BY22,BY23,BY24,BY25,BY26)=0,"",SUM(BY18:BY26))</f>
        <v/>
      </c>
      <c r="BZ27" s="16" t="n">
        <f aca="false">SUM(BZ18:BZ26)</f>
        <v>84980</v>
      </c>
      <c r="CA27" s="16" t="n">
        <f aca="false">SUM(CA18:CA26)</f>
        <v>84980</v>
      </c>
      <c r="CB27" s="15" t="str">
        <f aca="false">IF(COUNT(CB18,CB19,CB20,CB21,CB22,CB23,CB24,CB25,CB26)=0,"",SUM(CB18:CB26))</f>
        <v/>
      </c>
      <c r="CC27" s="15" t="n">
        <f aca="false">SUM(CC18:CC26)</f>
        <v>84980</v>
      </c>
      <c r="CD27" s="15" t="n">
        <f aca="false">SUM(CD18:CD26)</f>
        <v>84980</v>
      </c>
      <c r="CE27" s="16" t="str">
        <f aca="false">IF(COUNT(CE18,CE19,CE20,CE21,CE22,CE23,CE24,CE25,CE26)=0,"",SUM(CE18:CE26))</f>
        <v/>
      </c>
      <c r="CF27" s="16" t="n">
        <f aca="false">SUM(CF18:CF26)</f>
        <v>84980</v>
      </c>
      <c r="CG27" s="16" t="n">
        <f aca="false">SUM(CG18:CG26)</f>
        <v>84980</v>
      </c>
      <c r="CH27" s="15" t="str">
        <f aca="false">IF(COUNT(CH18,CH19,CH20,CH21,CH22,CH23,CH24,CH25,CH26)=0,"",SUM(CH18:CH26))</f>
        <v/>
      </c>
      <c r="CI27" s="15" t="n">
        <f aca="false">SUM(CI18:CI26)</f>
        <v>84980</v>
      </c>
      <c r="CJ27" s="15" t="n">
        <f aca="false">SUM(CJ18:CJ26)</f>
        <v>84980</v>
      </c>
      <c r="CK27" s="16" t="str">
        <f aca="false">IF(COUNT(CK18,CK19,CK20,CK21,CK22,CK23,CK24,CK25,CK26)=0,"",SUM(CK18:CK26))</f>
        <v/>
      </c>
      <c r="CL27" s="16" t="n">
        <f aca="false">SUM(CL18:CL26)</f>
        <v>84980</v>
      </c>
      <c r="CM27" s="16" t="n">
        <f aca="false">SUM(CM18:CM26)</f>
        <v>84980</v>
      </c>
      <c r="CN27" s="15" t="str">
        <f aca="false">IF(COUNT(CN18,CN19,CN20,CN21,CN22,CN23,CN24,CN25,CN26)=0,"",SUM(CN18:CN26))</f>
        <v/>
      </c>
      <c r="CO27" s="15" t="n">
        <f aca="false">SUM(CO18:CO26)</f>
        <v>84980</v>
      </c>
      <c r="CP27" s="15" t="n">
        <f aca="false">SUM(CP18:CP26)</f>
        <v>84980</v>
      </c>
      <c r="CQ27" s="16" t="str">
        <f aca="false">IF(COUNT(CQ18,CQ19,CQ20,CQ21,CQ22,CQ23,CQ24,CQ25,CQ26)=0,"",SUM(CQ18:CQ26))</f>
        <v/>
      </c>
      <c r="CR27" s="16" t="n">
        <f aca="false">SUM(CR18:CR26)</f>
        <v>84980</v>
      </c>
      <c r="CS27" s="16" t="n">
        <f aca="false">SUM(CS18:CS26)</f>
        <v>84980</v>
      </c>
      <c r="CT27" s="15" t="str">
        <f aca="false">IF(COUNT(CT18,CT19,CT20,CT21,CT22,CT23,CT24,CT25,CT26)=0,"",SUM(CT18:CT26))</f>
        <v/>
      </c>
      <c r="CU27" s="15" t="n">
        <f aca="false">SUM(CU18:CU26)</f>
        <v>84980</v>
      </c>
      <c r="CV27" s="15" t="n">
        <f aca="false">SUM(CV18:CV26)</f>
        <v>84980</v>
      </c>
      <c r="CW27" s="16" t="str">
        <f aca="false">IF(COUNT(CW18,CW19,CW20,CW21,CW22,CW23,CW24,CW25,CW26)=0,"",SUM(CW18:CW26))</f>
        <v/>
      </c>
      <c r="CX27" s="16" t="n">
        <f aca="false">SUM(CX18:CX26)</f>
        <v>84980</v>
      </c>
      <c r="CY27" s="16" t="n">
        <f aca="false">SUM(CY18:CY26)</f>
        <v>84980</v>
      </c>
      <c r="CZ27" s="15" t="str">
        <f aca="false">IF(COUNT(CZ18,CZ19,CZ20,CZ21,CZ22,CZ23,CZ24,CZ25,CZ26)=0,"",SUM(CZ18:CZ26))</f>
        <v/>
      </c>
      <c r="DA27" s="15" t="n">
        <f aca="false">SUM(DA18:DA26)</f>
        <v>84980</v>
      </c>
      <c r="DB27" s="15" t="n">
        <f aca="false">SUM(DB18:DB26)</f>
        <v>84980</v>
      </c>
      <c r="DC27" s="16" t="str">
        <f aca="false">IF(COUNT(DC18,DC19,DC20,DC21,DC22,DC23,DC24,DC25,DC26)=0,"",SUM(DC18:DC26))</f>
        <v/>
      </c>
      <c r="DD27" s="16" t="n">
        <f aca="false">SUM(DD18:DD26)</f>
        <v>84980</v>
      </c>
      <c r="DE27" s="16" t="n">
        <f aca="false">SUM(DE18:DE26)</f>
        <v>84980</v>
      </c>
      <c r="DF27" s="15" t="str">
        <f aca="false">IF(COUNT(DF18,DF19,DF20,DF21,DF22,DF23,DF24,DF25,DF26)=0,"",SUM(DF18:DF26))</f>
        <v/>
      </c>
      <c r="DG27" s="15" t="n">
        <f aca="false">SUM(DG18:DG26)</f>
        <v>75220</v>
      </c>
      <c r="DH27" s="15" t="n">
        <f aca="false">SUM(DH18:DH26)</f>
        <v>75220</v>
      </c>
      <c r="DI27" s="16" t="n">
        <f aca="false">IF(COUNT(DI18,DI19,DI20,DI21,DI22,DI23,DI24,DI25,DI26)=0,"",SUM(DI18:DI26))</f>
        <v>75220</v>
      </c>
      <c r="DJ27" s="16" t="n">
        <f aca="false">SUM(DJ18:DJ26)</f>
        <v>75220</v>
      </c>
      <c r="DK27" s="16" t="n">
        <f aca="false">SUM(DK18:DK26)</f>
        <v>75220</v>
      </c>
      <c r="DL27" s="15" t="n">
        <f aca="false">IF(COUNT(DL18,DL19,DL20,DL21,DL22,DL23,DL24,DL25,DL26)=0,"",SUM(DL18:DL26))</f>
        <v>75220</v>
      </c>
      <c r="DM27" s="15" t="n">
        <f aca="false">SUM(DM18:DM26)</f>
        <v>75220</v>
      </c>
      <c r="DN27" s="15" t="n">
        <f aca="false">SUM(DN18:DN26)</f>
        <v>75220</v>
      </c>
    </row>
    <row r="28" customFormat="false" ht="15.75" hidden="false" customHeight="true" outlineLevel="0" collapsed="false">
      <c r="A28" s="5" t="s">
        <v>220</v>
      </c>
      <c r="B28" s="12" t="str">
        <f aca="false">IF(COUNT(AR28,AO28,AL28,AI28,AF28,AC28,Z28,W28,T28,Q28,N28,K28)=0,"",SUM(AR28,AO28,AL28,AI28,AF28,AC28,Z28,W28,T28,Q28,N28,K28))</f>
        <v/>
      </c>
      <c r="C28" s="12" t="n">
        <f aca="false">IF(COUNT(AS28,AP28,AM28,AJ28,AG28,AD28,AA28,X28,U28,R28,O28,L28)=0,"",SUM(AS28,AP28,AM28,AJ28,AG28,AD28,AA28,X28,U28,R28,O28,L28))</f>
        <v>30000</v>
      </c>
      <c r="D28" s="12" t="n">
        <f aca="false">IF(COUNT(AT28,AQ28,AN28,AK28,AH28,AE28,AB28,Y28,V28,S28,P28,M28)=0,"",SUM(AT28,AQ28,AN28,AK28,AH28,AE28,AB28,Y28,V28,S28,P28,M28))</f>
        <v>30000</v>
      </c>
      <c r="E28" s="13" t="str">
        <f aca="false">IF(COUNT(CB28,BY28,BV28,BS28,BP28,BM28,BJ28,BG28,BD28,BA28,AX28,AU28)=0,"",SUM(CB28,BY28,BV28,BS28,BP28,BM28,BJ28,BG28,BD28,BA28,AX28,AU28))</f>
        <v/>
      </c>
      <c r="F28" s="13" t="n">
        <f aca="false">IF(COUNT(CC28,BZ28,BW28,BT28,BQ28,BN28,BK28,BH28,BE28,BB28,AY28,AV28)=0,"",SUM(CC28,BZ28,BW28,BT28,BQ28,BN28,BK28,BH28,BE28,BB28,AY28,AV28))</f>
        <v>30000</v>
      </c>
      <c r="G28" s="13" t="n">
        <f aca="false">IF(COUNT(CD28,CA28,BX28,BU28,BR28,BO28,BL28,BI28,BF28,BC28,AZ28,AW28)=0,"",SUM(CD28,CA28,BX28,BU28,BR28,BO28,BL28,BI28,BF28,BC28,AZ28,AW28))</f>
        <v>30000</v>
      </c>
      <c r="H28" s="12" t="n">
        <f aca="false">IF(COUNT(DL28,DI28,DF28,DC28,CZ28,CW28,CT28,CQ28,CN28,CK28,CH28,CE28)=0,"",SUM(DL28,DI28,DF28,DC28,CZ28,CW28,CT28,CQ28,CN28,CK28,CH28,CE28))</f>
        <v>5000</v>
      </c>
      <c r="I28" s="12" t="n">
        <f aca="false">IF(COUNT(DM28,DJ28,DG28,DD28,DA28,CX28,CU28,CR28,CO28,CL28,CI28,CF28)=0,"",SUM(DM28,DJ28,DG28,DD28,DA28,CX28,CU28,CR28,CO28,CL28,CI28,CF28))</f>
        <v>30000</v>
      </c>
      <c r="J28" s="12" t="n">
        <f aca="false">IF(COUNT(DN28,DK28,DH28,DE28,DB28,CY28,CV28,CS28,CP28,CM28,CJ28,CG28)=0,"",SUM(DN28,DK28,DH28,DE28,DB28,CY28,CV28,CS28,CP28,CM28,CJ28,CG28))</f>
        <v>30000</v>
      </c>
      <c r="K28" s="13"/>
      <c r="L28" s="13" t="n">
        <f aca="false">IF('Cash Drivers'!L$26,'Customer Success'!K28,'Customer Success'!M28)</f>
        <v>2500</v>
      </c>
      <c r="M28" s="89" t="n">
        <v>2500</v>
      </c>
      <c r="N28" s="12"/>
      <c r="O28" s="12" t="n">
        <f aca="false">IF('Cash Drivers'!O$26,'Customer Success'!N28,'Customer Success'!P28)</f>
        <v>2500</v>
      </c>
      <c r="P28" s="90" t="n">
        <v>2500</v>
      </c>
      <c r="Q28" s="13"/>
      <c r="R28" s="13" t="n">
        <f aca="false">IF('Cash Drivers'!R$26,'Customer Success'!Q28,'Customer Success'!S28)</f>
        <v>2500</v>
      </c>
      <c r="S28" s="89" t="n">
        <v>2500</v>
      </c>
      <c r="T28" s="12"/>
      <c r="U28" s="12" t="n">
        <f aca="false">IF('Cash Drivers'!U$26,'Customer Success'!T28,'Customer Success'!V28)</f>
        <v>2500</v>
      </c>
      <c r="V28" s="90" t="n">
        <v>2500</v>
      </c>
      <c r="W28" s="13"/>
      <c r="X28" s="13" t="n">
        <f aca="false">IF('Cash Drivers'!X$26,'Customer Success'!W28,'Customer Success'!Y28)</f>
        <v>2500</v>
      </c>
      <c r="Y28" s="89" t="n">
        <v>2500</v>
      </c>
      <c r="Z28" s="12"/>
      <c r="AA28" s="12" t="n">
        <f aca="false">IF('Cash Drivers'!AA$26,'Customer Success'!Z28,'Customer Success'!AB28)</f>
        <v>2500</v>
      </c>
      <c r="AB28" s="90" t="n">
        <v>2500</v>
      </c>
      <c r="AC28" s="13"/>
      <c r="AD28" s="13" t="n">
        <f aca="false">IF('Cash Drivers'!AD$26,'Customer Success'!AC28,'Customer Success'!AE28)</f>
        <v>2500</v>
      </c>
      <c r="AE28" s="89" t="n">
        <v>2500</v>
      </c>
      <c r="AF28" s="12"/>
      <c r="AG28" s="12" t="n">
        <f aca="false">IF('Cash Drivers'!AG$26,'Customer Success'!AF28,'Customer Success'!AH28)</f>
        <v>2500</v>
      </c>
      <c r="AH28" s="90" t="n">
        <v>2500</v>
      </c>
      <c r="AI28" s="13"/>
      <c r="AJ28" s="13" t="n">
        <f aca="false">IF('Cash Drivers'!AJ$26,'Customer Success'!AI28,'Customer Success'!AK28)</f>
        <v>2500</v>
      </c>
      <c r="AK28" s="89" t="n">
        <v>2500</v>
      </c>
      <c r="AL28" s="12"/>
      <c r="AM28" s="12" t="n">
        <f aca="false">IF('Cash Drivers'!AM$26,'Customer Success'!AL28,'Customer Success'!AN28)</f>
        <v>2500</v>
      </c>
      <c r="AN28" s="90" t="n">
        <v>2500</v>
      </c>
      <c r="AO28" s="13"/>
      <c r="AP28" s="13" t="n">
        <f aca="false">IF('Cash Drivers'!AP$26,'Customer Success'!AO28,'Customer Success'!AQ28)</f>
        <v>2500</v>
      </c>
      <c r="AQ28" s="89" t="n">
        <v>2500</v>
      </c>
      <c r="AR28" s="12"/>
      <c r="AS28" s="12" t="n">
        <f aca="false">IF('Cash Drivers'!AS$26,'Customer Success'!AR28,'Customer Success'!AT28)</f>
        <v>2500</v>
      </c>
      <c r="AT28" s="90" t="n">
        <v>2500</v>
      </c>
      <c r="AU28" s="13"/>
      <c r="AV28" s="13" t="n">
        <f aca="false">IF('Cash Drivers'!AV$26,'Customer Success'!AU28,'Customer Success'!AW28)</f>
        <v>2500</v>
      </c>
      <c r="AW28" s="89" t="n">
        <v>2500</v>
      </c>
      <c r="AX28" s="12"/>
      <c r="AY28" s="12" t="n">
        <f aca="false">IF('Cash Drivers'!AY$26,'Customer Success'!AX28,'Customer Success'!AZ28)</f>
        <v>2500</v>
      </c>
      <c r="AZ28" s="90" t="n">
        <v>2500</v>
      </c>
      <c r="BA28" s="13"/>
      <c r="BB28" s="13" t="n">
        <f aca="false">IF('Cash Drivers'!BB$26,'Customer Success'!BA28,'Customer Success'!BC28)</f>
        <v>2500</v>
      </c>
      <c r="BC28" s="89" t="n">
        <v>2500</v>
      </c>
      <c r="BD28" s="12"/>
      <c r="BE28" s="12" t="n">
        <f aca="false">IF('Cash Drivers'!BE$26,'Customer Success'!BD28,'Customer Success'!BF28)</f>
        <v>2500</v>
      </c>
      <c r="BF28" s="90" t="n">
        <v>2500</v>
      </c>
      <c r="BG28" s="13"/>
      <c r="BH28" s="13" t="n">
        <f aca="false">IF('Cash Drivers'!BH$26,'Customer Success'!BG28,'Customer Success'!BI28)</f>
        <v>2500</v>
      </c>
      <c r="BI28" s="89" t="n">
        <v>2500</v>
      </c>
      <c r="BJ28" s="12"/>
      <c r="BK28" s="12" t="n">
        <f aca="false">IF('Cash Drivers'!BK$26,'Customer Success'!BJ28,'Customer Success'!BL28)</f>
        <v>2500</v>
      </c>
      <c r="BL28" s="90" t="n">
        <v>2500</v>
      </c>
      <c r="BM28" s="13"/>
      <c r="BN28" s="13" t="n">
        <f aca="false">IF('Cash Drivers'!BN$26,'Customer Success'!BM28,'Customer Success'!BO28)</f>
        <v>2500</v>
      </c>
      <c r="BO28" s="89" t="n">
        <v>2500</v>
      </c>
      <c r="BP28" s="12"/>
      <c r="BQ28" s="12" t="n">
        <f aca="false">IF('Cash Drivers'!BQ$26,'Customer Success'!BP28,'Customer Success'!BR28)</f>
        <v>2500</v>
      </c>
      <c r="BR28" s="90" t="n">
        <v>2500</v>
      </c>
      <c r="BS28" s="13"/>
      <c r="BT28" s="13" t="n">
        <f aca="false">IF('Cash Drivers'!BT$26,'Customer Success'!BS28,'Customer Success'!BU28)</f>
        <v>2500</v>
      </c>
      <c r="BU28" s="89" t="n">
        <v>2500</v>
      </c>
      <c r="BV28" s="12"/>
      <c r="BW28" s="12" t="n">
        <f aca="false">IF('Cash Drivers'!BW$26,'Customer Success'!BV28,'Customer Success'!BX28)</f>
        <v>2500</v>
      </c>
      <c r="BX28" s="90" t="n">
        <v>2500</v>
      </c>
      <c r="BY28" s="13"/>
      <c r="BZ28" s="13" t="n">
        <f aca="false">IF('Cash Drivers'!BZ$26,'Customer Success'!BY28,'Customer Success'!CA28)</f>
        <v>2500</v>
      </c>
      <c r="CA28" s="89" t="n">
        <v>2500</v>
      </c>
      <c r="CB28" s="12"/>
      <c r="CC28" s="12" t="n">
        <f aca="false">IF('Cash Drivers'!CC$26,'Customer Success'!CB28,'Customer Success'!CD28)</f>
        <v>2500</v>
      </c>
      <c r="CD28" s="90" t="n">
        <v>2500</v>
      </c>
      <c r="CE28" s="13"/>
      <c r="CF28" s="13" t="n">
        <f aca="false">IF('Cash Drivers'!CF$26,'Customer Success'!CE28,'Customer Success'!CG28)</f>
        <v>2500</v>
      </c>
      <c r="CG28" s="89" t="n">
        <v>2500</v>
      </c>
      <c r="CH28" s="12"/>
      <c r="CI28" s="12" t="n">
        <f aca="false">IF('Cash Drivers'!CI$26,'Customer Success'!CH28,'Customer Success'!CJ28)</f>
        <v>2500</v>
      </c>
      <c r="CJ28" s="90" t="n">
        <v>2500</v>
      </c>
      <c r="CK28" s="13"/>
      <c r="CL28" s="13" t="n">
        <f aca="false">IF('Cash Drivers'!CL$26,'Customer Success'!CK28,'Customer Success'!CM28)</f>
        <v>2500</v>
      </c>
      <c r="CM28" s="89" t="n">
        <v>2500</v>
      </c>
      <c r="CN28" s="12"/>
      <c r="CO28" s="12" t="n">
        <f aca="false">IF('Cash Drivers'!CO$26,'Customer Success'!CN28,'Customer Success'!CP28)</f>
        <v>2500</v>
      </c>
      <c r="CP28" s="90" t="n">
        <v>2500</v>
      </c>
      <c r="CQ28" s="13"/>
      <c r="CR28" s="13" t="n">
        <f aca="false">IF('Cash Drivers'!CR$26,'Customer Success'!CQ28,'Customer Success'!CS28)</f>
        <v>2500</v>
      </c>
      <c r="CS28" s="89" t="n">
        <v>2500</v>
      </c>
      <c r="CT28" s="12"/>
      <c r="CU28" s="12" t="n">
        <f aca="false">IF('Cash Drivers'!CU$26,'Customer Success'!CT28,'Customer Success'!CV28)</f>
        <v>2500</v>
      </c>
      <c r="CV28" s="90" t="n">
        <v>2500</v>
      </c>
      <c r="CW28" s="13"/>
      <c r="CX28" s="13" t="n">
        <f aca="false">IF('Cash Drivers'!CX$26,'Customer Success'!CW28,'Customer Success'!CY28)</f>
        <v>2500</v>
      </c>
      <c r="CY28" s="89" t="n">
        <v>2500</v>
      </c>
      <c r="CZ28" s="12"/>
      <c r="DA28" s="12" t="n">
        <f aca="false">IF('Cash Drivers'!DA$26,'Customer Success'!CZ28,'Customer Success'!DB28)</f>
        <v>2500</v>
      </c>
      <c r="DB28" s="90" t="n">
        <v>2500</v>
      </c>
      <c r="DC28" s="13"/>
      <c r="DD28" s="13" t="n">
        <f aca="false">IF('Cash Drivers'!DD$26,'Customer Success'!DC28,'Customer Success'!DE28)</f>
        <v>2500</v>
      </c>
      <c r="DE28" s="89" t="n">
        <v>2500</v>
      </c>
      <c r="DF28" s="12"/>
      <c r="DG28" s="12" t="n">
        <f aca="false">IF('Cash Drivers'!DG$26,'Customer Success'!DF28,'Customer Success'!DH28)</f>
        <v>2500</v>
      </c>
      <c r="DH28" s="90" t="n">
        <v>2500</v>
      </c>
      <c r="DI28" s="89" t="n">
        <v>2500</v>
      </c>
      <c r="DJ28" s="13" t="n">
        <f aca="false">IF('Cash Drivers'!DJ$26,'Customer Success'!DI28,'Customer Success'!DK28)</f>
        <v>2500</v>
      </c>
      <c r="DK28" s="89" t="n">
        <v>2500</v>
      </c>
      <c r="DL28" s="90" t="n">
        <v>2500</v>
      </c>
      <c r="DM28" s="12" t="n">
        <f aca="false">IF('Cash Drivers'!DM$26,'Customer Success'!DL28,'Customer Success'!DN28)</f>
        <v>2500</v>
      </c>
      <c r="DN28" s="90" t="n">
        <v>2500</v>
      </c>
    </row>
    <row r="29" customFormat="false" ht="15.75" hidden="false" customHeight="true" outlineLevel="0" collapsed="false">
      <c r="A29" s="5" t="s">
        <v>221</v>
      </c>
      <c r="B29" s="12" t="str">
        <f aca="false">IF(COUNT(AR29,AO29,AL29,AI29,AF29,AC29,Z29,W29,T29,Q29,N29,K29)=0,"",SUM(AR29,AO29,AL29,AI29,AF29,AC29,Z29,W29,T29,Q29,N29,K29))</f>
        <v/>
      </c>
      <c r="C29" s="12" t="n">
        <f aca="false">IF(COUNT(AS29,AP29,AM29,AJ29,AG29,AD29,AA29,X29,U29,R29,O29,L29)=0,"",SUM(AS29,AP29,AM29,AJ29,AG29,AD29,AA29,X29,U29,R29,O29,L29))</f>
        <v>18000</v>
      </c>
      <c r="D29" s="12" t="n">
        <f aca="false">IF(COUNT(AT29,AQ29,AN29,AK29,AH29,AE29,AB29,Y29,V29,S29,P29,M29)=0,"",SUM(AT29,AQ29,AN29,AK29,AH29,AE29,AB29,Y29,V29,S29,P29,M29))</f>
        <v>18000</v>
      </c>
      <c r="E29" s="13" t="str">
        <f aca="false">IF(COUNT(CB29,BY29,BV29,BS29,BP29,BM29,BJ29,BG29,BD29,BA29,AX29,AU29)=0,"",SUM(CB29,BY29,BV29,BS29,BP29,BM29,BJ29,BG29,BD29,BA29,AX29,AU29))</f>
        <v/>
      </c>
      <c r="F29" s="13" t="n">
        <f aca="false">IF(COUNT(CC29,BZ29,BW29,BT29,BQ29,BN29,BK29,BH29,BE29,BB29,AY29,AV29)=0,"",SUM(CC29,BZ29,BW29,BT29,BQ29,BN29,BK29,BH29,BE29,BB29,AY29,AV29))</f>
        <v>18000</v>
      </c>
      <c r="G29" s="13" t="n">
        <f aca="false">IF(COUNT(CD29,CA29,BX29,BU29,BR29,BO29,BL29,BI29,BF29,BC29,AZ29,AW29)=0,"",SUM(CD29,CA29,BX29,BU29,BR29,BO29,BL29,BI29,BF29,BC29,AZ29,AW29))</f>
        <v>18000</v>
      </c>
      <c r="H29" s="12" t="n">
        <f aca="false">IF(COUNT(DL29,DI29,DF29,DC29,CZ29,CW29,CT29,CQ29,CN29,CK29,CH29,CE29)=0,"",SUM(DL29,DI29,DF29,DC29,CZ29,CW29,CT29,CQ29,CN29,CK29,CH29,CE29))</f>
        <v>3000</v>
      </c>
      <c r="I29" s="12" t="n">
        <f aca="false">IF(COUNT(DM29,DJ29,DG29,DD29,DA29,CX29,CU29,CR29,CO29,CL29,CI29,CF29)=0,"",SUM(DM29,DJ29,DG29,DD29,DA29,CX29,CU29,CR29,CO29,CL29,CI29,CF29))</f>
        <v>18000</v>
      </c>
      <c r="J29" s="12" t="n">
        <f aca="false">IF(COUNT(DN29,DK29,DH29,DE29,DB29,CY29,CV29,CS29,CP29,CM29,CJ29,CG29)=0,"",SUM(DN29,DK29,DH29,DE29,DB29,CY29,CV29,CS29,CP29,CM29,CJ29,CG29))</f>
        <v>18000</v>
      </c>
      <c r="K29" s="13"/>
      <c r="L29" s="13" t="n">
        <f aca="false">IF('Cash Drivers'!L$26,'Customer Success'!K29,'Customer Success'!M29)</f>
        <v>1500</v>
      </c>
      <c r="M29" s="89" t="n">
        <v>1500</v>
      </c>
      <c r="N29" s="12"/>
      <c r="O29" s="12" t="n">
        <f aca="false">IF('Cash Drivers'!O$26,'Customer Success'!N29,'Customer Success'!P29)</f>
        <v>1500</v>
      </c>
      <c r="P29" s="90" t="n">
        <v>1500</v>
      </c>
      <c r="Q29" s="13"/>
      <c r="R29" s="13" t="n">
        <f aca="false">IF('Cash Drivers'!R$26,'Customer Success'!Q29,'Customer Success'!S29)</f>
        <v>1500</v>
      </c>
      <c r="S29" s="89" t="n">
        <v>1500</v>
      </c>
      <c r="T29" s="12"/>
      <c r="U29" s="12" t="n">
        <f aca="false">IF('Cash Drivers'!U$26,'Customer Success'!T29,'Customer Success'!V29)</f>
        <v>1500</v>
      </c>
      <c r="V29" s="90" t="n">
        <v>1500</v>
      </c>
      <c r="W29" s="13"/>
      <c r="X29" s="13" t="n">
        <f aca="false">IF('Cash Drivers'!X$26,'Customer Success'!W29,'Customer Success'!Y29)</f>
        <v>1500</v>
      </c>
      <c r="Y29" s="89" t="n">
        <v>1500</v>
      </c>
      <c r="Z29" s="12"/>
      <c r="AA29" s="12" t="n">
        <f aca="false">IF('Cash Drivers'!AA$26,'Customer Success'!Z29,'Customer Success'!AB29)</f>
        <v>1500</v>
      </c>
      <c r="AB29" s="90" t="n">
        <v>1500</v>
      </c>
      <c r="AC29" s="13"/>
      <c r="AD29" s="13" t="n">
        <f aca="false">IF('Cash Drivers'!AD$26,'Customer Success'!AC29,'Customer Success'!AE29)</f>
        <v>1500</v>
      </c>
      <c r="AE29" s="89" t="n">
        <v>1500</v>
      </c>
      <c r="AF29" s="12"/>
      <c r="AG29" s="12" t="n">
        <f aca="false">IF('Cash Drivers'!AG$26,'Customer Success'!AF29,'Customer Success'!AH29)</f>
        <v>1500</v>
      </c>
      <c r="AH29" s="90" t="n">
        <v>1500</v>
      </c>
      <c r="AI29" s="13"/>
      <c r="AJ29" s="13" t="n">
        <f aca="false">IF('Cash Drivers'!AJ$26,'Customer Success'!AI29,'Customer Success'!AK29)</f>
        <v>1500</v>
      </c>
      <c r="AK29" s="89" t="n">
        <v>1500</v>
      </c>
      <c r="AL29" s="12"/>
      <c r="AM29" s="12" t="n">
        <f aca="false">IF('Cash Drivers'!AM$26,'Customer Success'!AL29,'Customer Success'!AN29)</f>
        <v>1500</v>
      </c>
      <c r="AN29" s="90" t="n">
        <v>1500</v>
      </c>
      <c r="AO29" s="13"/>
      <c r="AP29" s="13" t="n">
        <f aca="false">IF('Cash Drivers'!AP$26,'Customer Success'!AO29,'Customer Success'!AQ29)</f>
        <v>1500</v>
      </c>
      <c r="AQ29" s="89" t="n">
        <v>1500</v>
      </c>
      <c r="AR29" s="12"/>
      <c r="AS29" s="12" t="n">
        <f aca="false">IF('Cash Drivers'!AS$26,'Customer Success'!AR29,'Customer Success'!AT29)</f>
        <v>1500</v>
      </c>
      <c r="AT29" s="90" t="n">
        <v>1500</v>
      </c>
      <c r="AU29" s="13"/>
      <c r="AV29" s="13" t="n">
        <f aca="false">IF('Cash Drivers'!AV$26,'Customer Success'!AU29,'Customer Success'!AW29)</f>
        <v>1500</v>
      </c>
      <c r="AW29" s="89" t="n">
        <v>1500</v>
      </c>
      <c r="AX29" s="12"/>
      <c r="AY29" s="12" t="n">
        <f aca="false">IF('Cash Drivers'!AY$26,'Customer Success'!AX29,'Customer Success'!AZ29)</f>
        <v>1500</v>
      </c>
      <c r="AZ29" s="90" t="n">
        <v>1500</v>
      </c>
      <c r="BA29" s="13"/>
      <c r="BB29" s="13" t="n">
        <f aca="false">IF('Cash Drivers'!BB$26,'Customer Success'!BA29,'Customer Success'!BC29)</f>
        <v>1500</v>
      </c>
      <c r="BC29" s="89" t="n">
        <v>1500</v>
      </c>
      <c r="BD29" s="12"/>
      <c r="BE29" s="12" t="n">
        <f aca="false">IF('Cash Drivers'!BE$26,'Customer Success'!BD29,'Customer Success'!BF29)</f>
        <v>1500</v>
      </c>
      <c r="BF29" s="90" t="n">
        <v>1500</v>
      </c>
      <c r="BG29" s="13"/>
      <c r="BH29" s="13" t="n">
        <f aca="false">IF('Cash Drivers'!BH$26,'Customer Success'!BG29,'Customer Success'!BI29)</f>
        <v>1500</v>
      </c>
      <c r="BI29" s="89" t="n">
        <v>1500</v>
      </c>
      <c r="BJ29" s="12"/>
      <c r="BK29" s="12" t="n">
        <f aca="false">IF('Cash Drivers'!BK$26,'Customer Success'!BJ29,'Customer Success'!BL29)</f>
        <v>1500</v>
      </c>
      <c r="BL29" s="90" t="n">
        <v>1500</v>
      </c>
      <c r="BM29" s="13"/>
      <c r="BN29" s="13" t="n">
        <f aca="false">IF('Cash Drivers'!BN$26,'Customer Success'!BM29,'Customer Success'!BO29)</f>
        <v>1500</v>
      </c>
      <c r="BO29" s="89" t="n">
        <v>1500</v>
      </c>
      <c r="BP29" s="12"/>
      <c r="BQ29" s="12" t="n">
        <f aca="false">IF('Cash Drivers'!BQ$26,'Customer Success'!BP29,'Customer Success'!BR29)</f>
        <v>1500</v>
      </c>
      <c r="BR29" s="90" t="n">
        <v>1500</v>
      </c>
      <c r="BS29" s="13"/>
      <c r="BT29" s="13" t="n">
        <f aca="false">IF('Cash Drivers'!BT$26,'Customer Success'!BS29,'Customer Success'!BU29)</f>
        <v>1500</v>
      </c>
      <c r="BU29" s="89" t="n">
        <v>1500</v>
      </c>
      <c r="BV29" s="12"/>
      <c r="BW29" s="12" t="n">
        <f aca="false">IF('Cash Drivers'!BW$26,'Customer Success'!BV29,'Customer Success'!BX29)</f>
        <v>1500</v>
      </c>
      <c r="BX29" s="90" t="n">
        <v>1500</v>
      </c>
      <c r="BY29" s="13"/>
      <c r="BZ29" s="13" t="n">
        <f aca="false">IF('Cash Drivers'!BZ$26,'Customer Success'!BY29,'Customer Success'!CA29)</f>
        <v>1500</v>
      </c>
      <c r="CA29" s="89" t="n">
        <v>1500</v>
      </c>
      <c r="CB29" s="12"/>
      <c r="CC29" s="12" t="n">
        <f aca="false">IF('Cash Drivers'!CC$26,'Customer Success'!CB29,'Customer Success'!CD29)</f>
        <v>1500</v>
      </c>
      <c r="CD29" s="90" t="n">
        <v>1500</v>
      </c>
      <c r="CE29" s="13"/>
      <c r="CF29" s="13" t="n">
        <f aca="false">IF('Cash Drivers'!CF$26,'Customer Success'!CE29,'Customer Success'!CG29)</f>
        <v>1500</v>
      </c>
      <c r="CG29" s="89" t="n">
        <v>1500</v>
      </c>
      <c r="CH29" s="12"/>
      <c r="CI29" s="12" t="n">
        <f aca="false">IF('Cash Drivers'!CI$26,'Customer Success'!CH29,'Customer Success'!CJ29)</f>
        <v>1500</v>
      </c>
      <c r="CJ29" s="90" t="n">
        <v>1500</v>
      </c>
      <c r="CK29" s="13"/>
      <c r="CL29" s="13" t="n">
        <f aca="false">IF('Cash Drivers'!CL$26,'Customer Success'!CK29,'Customer Success'!CM29)</f>
        <v>1500</v>
      </c>
      <c r="CM29" s="89" t="n">
        <v>1500</v>
      </c>
      <c r="CN29" s="12"/>
      <c r="CO29" s="12" t="n">
        <f aca="false">IF('Cash Drivers'!CO$26,'Customer Success'!CN29,'Customer Success'!CP29)</f>
        <v>1500</v>
      </c>
      <c r="CP29" s="90" t="n">
        <v>1500</v>
      </c>
      <c r="CQ29" s="13"/>
      <c r="CR29" s="13" t="n">
        <f aca="false">IF('Cash Drivers'!CR$26,'Customer Success'!CQ29,'Customer Success'!CS29)</f>
        <v>1500</v>
      </c>
      <c r="CS29" s="89" t="n">
        <v>1500</v>
      </c>
      <c r="CT29" s="12"/>
      <c r="CU29" s="12" t="n">
        <f aca="false">IF('Cash Drivers'!CU$26,'Customer Success'!CT29,'Customer Success'!CV29)</f>
        <v>1500</v>
      </c>
      <c r="CV29" s="90" t="n">
        <v>1500</v>
      </c>
      <c r="CW29" s="13"/>
      <c r="CX29" s="13" t="n">
        <f aca="false">IF('Cash Drivers'!CX$26,'Customer Success'!CW29,'Customer Success'!CY29)</f>
        <v>1500</v>
      </c>
      <c r="CY29" s="89" t="n">
        <v>1500</v>
      </c>
      <c r="CZ29" s="12"/>
      <c r="DA29" s="12" t="n">
        <f aca="false">IF('Cash Drivers'!DA$26,'Customer Success'!CZ29,'Customer Success'!DB29)</f>
        <v>1500</v>
      </c>
      <c r="DB29" s="90" t="n">
        <v>1500</v>
      </c>
      <c r="DC29" s="13"/>
      <c r="DD29" s="13" t="n">
        <f aca="false">IF('Cash Drivers'!DD$26,'Customer Success'!DC29,'Customer Success'!DE29)</f>
        <v>1500</v>
      </c>
      <c r="DE29" s="89" t="n">
        <v>1500</v>
      </c>
      <c r="DF29" s="12"/>
      <c r="DG29" s="12" t="n">
        <f aca="false">IF('Cash Drivers'!DG$26,'Customer Success'!DF29,'Customer Success'!DH29)</f>
        <v>1500</v>
      </c>
      <c r="DH29" s="90" t="n">
        <v>1500</v>
      </c>
      <c r="DI29" s="89" t="n">
        <v>1500</v>
      </c>
      <c r="DJ29" s="13" t="n">
        <f aca="false">IF('Cash Drivers'!DJ$26,'Customer Success'!DI29,'Customer Success'!DK29)</f>
        <v>1500</v>
      </c>
      <c r="DK29" s="89" t="n">
        <v>1500</v>
      </c>
      <c r="DL29" s="90" t="n">
        <v>1500</v>
      </c>
      <c r="DM29" s="12" t="n">
        <f aca="false">IF('Cash Drivers'!DM$26,'Customer Success'!DL29,'Customer Success'!DN29)</f>
        <v>1500</v>
      </c>
      <c r="DN29" s="90" t="n">
        <v>1500</v>
      </c>
    </row>
    <row r="30" customFormat="false" ht="15.75" hidden="false" customHeight="true" outlineLevel="0" collapsed="false">
      <c r="A30" s="5" t="s">
        <v>222</v>
      </c>
      <c r="B30" s="12" t="str">
        <f aca="false">IF(COUNT(AR30,AO30,AL30,AI30,AF30,AC30,Z30,W30,T30,Q30,N30,K30)=0,"",SUM(AR30,AO30,AL30,AI30,AF30,AC30,Z30,W30,T30,Q30,N30,K30))</f>
        <v/>
      </c>
      <c r="C30" s="12" t="n">
        <f aca="false">IF(COUNT(AS30,AP30,AM30,AJ30,AG30,AD30,AA30,X30,U30,R30,O30,L30)=0,"",SUM(AS30,AP30,AM30,AJ30,AG30,AD30,AA30,X30,U30,R30,O30,L30))</f>
        <v>12000</v>
      </c>
      <c r="D30" s="12" t="n">
        <f aca="false">IF(COUNT(AT30,AQ30,AN30,AK30,AH30,AE30,AB30,Y30,V30,S30,P30,M30)=0,"",SUM(AT30,AQ30,AN30,AK30,AH30,AE30,AB30,Y30,V30,S30,P30,M30))</f>
        <v>12000</v>
      </c>
      <c r="E30" s="13" t="str">
        <f aca="false">IF(COUNT(CB30,BY30,BV30,BS30,BP30,BM30,BJ30,BG30,BD30,BA30,AX30,AU30)=0,"",SUM(CB30,BY30,BV30,BS30,BP30,BM30,BJ30,BG30,BD30,BA30,AX30,AU30))</f>
        <v/>
      </c>
      <c r="F30" s="13" t="n">
        <f aca="false">IF(COUNT(CC30,BZ30,BW30,BT30,BQ30,BN30,BK30,BH30,BE30,BB30,AY30,AV30)=0,"",SUM(CC30,BZ30,BW30,BT30,BQ30,BN30,BK30,BH30,BE30,BB30,AY30,AV30))</f>
        <v>12000</v>
      </c>
      <c r="G30" s="13" t="n">
        <f aca="false">IF(COUNT(CD30,CA30,BX30,BU30,BR30,BO30,BL30,BI30,BF30,BC30,AZ30,AW30)=0,"",SUM(CD30,CA30,BX30,BU30,BR30,BO30,BL30,BI30,BF30,BC30,AZ30,AW30))</f>
        <v>12000</v>
      </c>
      <c r="H30" s="12" t="n">
        <f aca="false">IF(COUNT(DL30,DI30,DF30,DC30,CZ30,CW30,CT30,CQ30,CN30,CK30,CH30,CE30)=0,"",SUM(DL30,DI30,DF30,DC30,CZ30,CW30,CT30,CQ30,CN30,CK30,CH30,CE30))</f>
        <v>2000</v>
      </c>
      <c r="I30" s="12" t="n">
        <f aca="false">IF(COUNT(DM30,DJ30,DG30,DD30,DA30,CX30,CU30,CR30,CO30,CL30,CI30,CF30)=0,"",SUM(DM30,DJ30,DG30,DD30,DA30,CX30,CU30,CR30,CO30,CL30,CI30,CF30))</f>
        <v>12000</v>
      </c>
      <c r="J30" s="12" t="n">
        <f aca="false">IF(COUNT(DN30,DK30,DH30,DE30,DB30,CY30,CV30,CS30,CP30,CM30,CJ30,CG30)=0,"",SUM(DN30,DK30,DH30,DE30,DB30,CY30,CV30,CS30,CP30,CM30,CJ30,CG30))</f>
        <v>12000</v>
      </c>
      <c r="K30" s="13"/>
      <c r="L30" s="13" t="n">
        <f aca="false">IF('Cash Drivers'!L$26,'Customer Success'!K30,'Customer Success'!M30)</f>
        <v>1000</v>
      </c>
      <c r="M30" s="89" t="n">
        <v>1000</v>
      </c>
      <c r="N30" s="12"/>
      <c r="O30" s="12" t="n">
        <f aca="false">IF('Cash Drivers'!O$26,'Customer Success'!N30,'Customer Success'!P30)</f>
        <v>1000</v>
      </c>
      <c r="P30" s="90" t="n">
        <v>1000</v>
      </c>
      <c r="Q30" s="13"/>
      <c r="R30" s="13" t="n">
        <f aca="false">IF('Cash Drivers'!R$26,'Customer Success'!Q30,'Customer Success'!S30)</f>
        <v>1000</v>
      </c>
      <c r="S30" s="89" t="n">
        <v>1000</v>
      </c>
      <c r="T30" s="12"/>
      <c r="U30" s="12" t="n">
        <f aca="false">IF('Cash Drivers'!U$26,'Customer Success'!T30,'Customer Success'!V30)</f>
        <v>1000</v>
      </c>
      <c r="V30" s="90" t="n">
        <v>1000</v>
      </c>
      <c r="W30" s="13"/>
      <c r="X30" s="13" t="n">
        <f aca="false">IF('Cash Drivers'!X$26,'Customer Success'!W30,'Customer Success'!Y30)</f>
        <v>1000</v>
      </c>
      <c r="Y30" s="89" t="n">
        <v>1000</v>
      </c>
      <c r="Z30" s="12"/>
      <c r="AA30" s="12" t="n">
        <f aca="false">IF('Cash Drivers'!AA$26,'Customer Success'!Z30,'Customer Success'!AB30)</f>
        <v>1000</v>
      </c>
      <c r="AB30" s="90" t="n">
        <v>1000</v>
      </c>
      <c r="AC30" s="13"/>
      <c r="AD30" s="13" t="n">
        <f aca="false">IF('Cash Drivers'!AD$26,'Customer Success'!AC30,'Customer Success'!AE30)</f>
        <v>1000</v>
      </c>
      <c r="AE30" s="89" t="n">
        <v>1000</v>
      </c>
      <c r="AF30" s="12"/>
      <c r="AG30" s="12" t="n">
        <f aca="false">IF('Cash Drivers'!AG$26,'Customer Success'!AF30,'Customer Success'!AH30)</f>
        <v>1000</v>
      </c>
      <c r="AH30" s="90" t="n">
        <v>1000</v>
      </c>
      <c r="AI30" s="13"/>
      <c r="AJ30" s="13" t="n">
        <f aca="false">IF('Cash Drivers'!AJ$26,'Customer Success'!AI30,'Customer Success'!AK30)</f>
        <v>1000</v>
      </c>
      <c r="AK30" s="89" t="n">
        <v>1000</v>
      </c>
      <c r="AL30" s="12"/>
      <c r="AM30" s="12" t="n">
        <f aca="false">IF('Cash Drivers'!AM$26,'Customer Success'!AL30,'Customer Success'!AN30)</f>
        <v>1000</v>
      </c>
      <c r="AN30" s="90" t="n">
        <v>1000</v>
      </c>
      <c r="AO30" s="13"/>
      <c r="AP30" s="13" t="n">
        <f aca="false">IF('Cash Drivers'!AP$26,'Customer Success'!AO30,'Customer Success'!AQ30)</f>
        <v>1000</v>
      </c>
      <c r="AQ30" s="89" t="n">
        <v>1000</v>
      </c>
      <c r="AR30" s="12"/>
      <c r="AS30" s="12" t="n">
        <f aca="false">IF('Cash Drivers'!AS$26,'Customer Success'!AR30,'Customer Success'!AT30)</f>
        <v>1000</v>
      </c>
      <c r="AT30" s="90" t="n">
        <v>1000</v>
      </c>
      <c r="AU30" s="13"/>
      <c r="AV30" s="13" t="n">
        <f aca="false">IF('Cash Drivers'!AV$26,'Customer Success'!AU30,'Customer Success'!AW30)</f>
        <v>1000</v>
      </c>
      <c r="AW30" s="89" t="n">
        <v>1000</v>
      </c>
      <c r="AX30" s="12"/>
      <c r="AY30" s="12" t="n">
        <f aca="false">IF('Cash Drivers'!AY$26,'Customer Success'!AX30,'Customer Success'!AZ30)</f>
        <v>1000</v>
      </c>
      <c r="AZ30" s="90" t="n">
        <v>1000</v>
      </c>
      <c r="BA30" s="13"/>
      <c r="BB30" s="13" t="n">
        <f aca="false">IF('Cash Drivers'!BB$26,'Customer Success'!BA30,'Customer Success'!BC30)</f>
        <v>1000</v>
      </c>
      <c r="BC30" s="89" t="n">
        <v>1000</v>
      </c>
      <c r="BD30" s="12"/>
      <c r="BE30" s="12" t="n">
        <f aca="false">IF('Cash Drivers'!BE$26,'Customer Success'!BD30,'Customer Success'!BF30)</f>
        <v>1000</v>
      </c>
      <c r="BF30" s="90" t="n">
        <v>1000</v>
      </c>
      <c r="BG30" s="13"/>
      <c r="BH30" s="13" t="n">
        <f aca="false">IF('Cash Drivers'!BH$26,'Customer Success'!BG30,'Customer Success'!BI30)</f>
        <v>1000</v>
      </c>
      <c r="BI30" s="89" t="n">
        <v>1000</v>
      </c>
      <c r="BJ30" s="12"/>
      <c r="BK30" s="12" t="n">
        <f aca="false">IF('Cash Drivers'!BK$26,'Customer Success'!BJ30,'Customer Success'!BL30)</f>
        <v>1000</v>
      </c>
      <c r="BL30" s="90" t="n">
        <v>1000</v>
      </c>
      <c r="BM30" s="13"/>
      <c r="BN30" s="13" t="n">
        <f aca="false">IF('Cash Drivers'!BN$26,'Customer Success'!BM30,'Customer Success'!BO30)</f>
        <v>1000</v>
      </c>
      <c r="BO30" s="89" t="n">
        <v>1000</v>
      </c>
      <c r="BP30" s="12"/>
      <c r="BQ30" s="12" t="n">
        <f aca="false">IF('Cash Drivers'!BQ$26,'Customer Success'!BP30,'Customer Success'!BR30)</f>
        <v>1000</v>
      </c>
      <c r="BR30" s="90" t="n">
        <v>1000</v>
      </c>
      <c r="BS30" s="13"/>
      <c r="BT30" s="13" t="n">
        <f aca="false">IF('Cash Drivers'!BT$26,'Customer Success'!BS30,'Customer Success'!BU30)</f>
        <v>1000</v>
      </c>
      <c r="BU30" s="89" t="n">
        <v>1000</v>
      </c>
      <c r="BV30" s="12"/>
      <c r="BW30" s="12" t="n">
        <f aca="false">IF('Cash Drivers'!BW$26,'Customer Success'!BV30,'Customer Success'!BX30)</f>
        <v>1000</v>
      </c>
      <c r="BX30" s="90" t="n">
        <v>1000</v>
      </c>
      <c r="BY30" s="13"/>
      <c r="BZ30" s="13" t="n">
        <f aca="false">IF('Cash Drivers'!BZ$26,'Customer Success'!BY30,'Customer Success'!CA30)</f>
        <v>1000</v>
      </c>
      <c r="CA30" s="89" t="n">
        <v>1000</v>
      </c>
      <c r="CB30" s="12"/>
      <c r="CC30" s="12" t="n">
        <f aca="false">IF('Cash Drivers'!CC$26,'Customer Success'!CB30,'Customer Success'!CD30)</f>
        <v>1000</v>
      </c>
      <c r="CD30" s="90" t="n">
        <v>1000</v>
      </c>
      <c r="CE30" s="13"/>
      <c r="CF30" s="13" t="n">
        <f aca="false">IF('Cash Drivers'!CF$26,'Customer Success'!CE30,'Customer Success'!CG30)</f>
        <v>1000</v>
      </c>
      <c r="CG30" s="89" t="n">
        <v>1000</v>
      </c>
      <c r="CH30" s="12"/>
      <c r="CI30" s="12" t="n">
        <f aca="false">IF('Cash Drivers'!CI$26,'Customer Success'!CH30,'Customer Success'!CJ30)</f>
        <v>1000</v>
      </c>
      <c r="CJ30" s="90" t="n">
        <v>1000</v>
      </c>
      <c r="CK30" s="13"/>
      <c r="CL30" s="13" t="n">
        <f aca="false">IF('Cash Drivers'!CL$26,'Customer Success'!CK30,'Customer Success'!CM30)</f>
        <v>1000</v>
      </c>
      <c r="CM30" s="89" t="n">
        <v>1000</v>
      </c>
      <c r="CN30" s="12"/>
      <c r="CO30" s="12" t="n">
        <f aca="false">IF('Cash Drivers'!CO$26,'Customer Success'!CN30,'Customer Success'!CP30)</f>
        <v>1000</v>
      </c>
      <c r="CP30" s="90" t="n">
        <v>1000</v>
      </c>
      <c r="CQ30" s="13"/>
      <c r="CR30" s="13" t="n">
        <f aca="false">IF('Cash Drivers'!CR$26,'Customer Success'!CQ30,'Customer Success'!CS30)</f>
        <v>1000</v>
      </c>
      <c r="CS30" s="89" t="n">
        <v>1000</v>
      </c>
      <c r="CT30" s="12"/>
      <c r="CU30" s="12" t="n">
        <f aca="false">IF('Cash Drivers'!CU$26,'Customer Success'!CT30,'Customer Success'!CV30)</f>
        <v>1000</v>
      </c>
      <c r="CV30" s="90" t="n">
        <v>1000</v>
      </c>
      <c r="CW30" s="13"/>
      <c r="CX30" s="13" t="n">
        <f aca="false">IF('Cash Drivers'!CX$26,'Customer Success'!CW30,'Customer Success'!CY30)</f>
        <v>1000</v>
      </c>
      <c r="CY30" s="89" t="n">
        <v>1000</v>
      </c>
      <c r="CZ30" s="12"/>
      <c r="DA30" s="12" t="n">
        <f aca="false">IF('Cash Drivers'!DA$26,'Customer Success'!CZ30,'Customer Success'!DB30)</f>
        <v>1000</v>
      </c>
      <c r="DB30" s="90" t="n">
        <v>1000</v>
      </c>
      <c r="DC30" s="13"/>
      <c r="DD30" s="13" t="n">
        <f aca="false">IF('Cash Drivers'!DD$26,'Customer Success'!DC30,'Customer Success'!DE30)</f>
        <v>1000</v>
      </c>
      <c r="DE30" s="89" t="n">
        <v>1000</v>
      </c>
      <c r="DF30" s="12"/>
      <c r="DG30" s="12" t="n">
        <f aca="false">IF('Cash Drivers'!DG$26,'Customer Success'!DF30,'Customer Success'!DH30)</f>
        <v>1000</v>
      </c>
      <c r="DH30" s="90" t="n">
        <v>1000</v>
      </c>
      <c r="DI30" s="89" t="n">
        <v>1000</v>
      </c>
      <c r="DJ30" s="13" t="n">
        <f aca="false">IF('Cash Drivers'!DJ$26,'Customer Success'!DI30,'Customer Success'!DK30)</f>
        <v>1000</v>
      </c>
      <c r="DK30" s="89" t="n">
        <v>1000</v>
      </c>
      <c r="DL30" s="90" t="n">
        <v>1000</v>
      </c>
      <c r="DM30" s="12" t="n">
        <f aca="false">IF('Cash Drivers'!DM$26,'Customer Success'!DL30,'Customer Success'!DN30)</f>
        <v>1000</v>
      </c>
      <c r="DN30" s="90" t="n">
        <v>1000</v>
      </c>
    </row>
    <row r="31" customFormat="false" ht="15.75" hidden="false" customHeight="true" outlineLevel="0" collapsed="false">
      <c r="A31" s="5" t="s">
        <v>223</v>
      </c>
      <c r="B31" s="12" t="str">
        <f aca="false">IF(COUNT(AR31,AO31,AL31,AI31,AF31,AC31,Z31,W31,T31,Q31,N31,K31)=0,"",SUM(AR31,AO31,AL31,AI31,AF31,AC31,Z31,W31,T31,Q31,N31,K31))</f>
        <v/>
      </c>
      <c r="C31" s="12" t="n">
        <f aca="false">IF(COUNT(AS31,AP31,AM31,AJ31,AG31,AD31,AA31,X31,U31,R31,O31,L31)=0,"",SUM(AS31,AP31,AM31,AJ31,AG31,AD31,AA31,X31,U31,R31,O31,L31))</f>
        <v>12000</v>
      </c>
      <c r="D31" s="12" t="n">
        <f aca="false">IF(COUNT(AT31,AQ31,AN31,AK31,AH31,AE31,AB31,Y31,V31,S31,P31,M31)=0,"",SUM(AT31,AQ31,AN31,AK31,AH31,AE31,AB31,Y31,V31,S31,P31,M31))</f>
        <v>12000</v>
      </c>
      <c r="E31" s="13" t="str">
        <f aca="false">IF(COUNT(CB31,BY31,BV31,BS31,BP31,BM31,BJ31,BG31,BD31,BA31,AX31,AU31)=0,"",SUM(CB31,BY31,BV31,BS31,BP31,BM31,BJ31,BG31,BD31,BA31,AX31,AU31))</f>
        <v/>
      </c>
      <c r="F31" s="13" t="n">
        <f aca="false">IF(COUNT(CC31,BZ31,BW31,BT31,BQ31,BN31,BK31,BH31,BE31,BB31,AY31,AV31)=0,"",SUM(CC31,BZ31,BW31,BT31,BQ31,BN31,BK31,BH31,BE31,BB31,AY31,AV31))</f>
        <v>12000</v>
      </c>
      <c r="G31" s="13" t="n">
        <f aca="false">IF(COUNT(CD31,CA31,BX31,BU31,BR31,BO31,BL31,BI31,BF31,BC31,AZ31,AW31)=0,"",SUM(CD31,CA31,BX31,BU31,BR31,BO31,BL31,BI31,BF31,BC31,AZ31,AW31))</f>
        <v>12000</v>
      </c>
      <c r="H31" s="12" t="n">
        <f aca="false">IF(COUNT(DL31,DI31,DF31,DC31,CZ31,CW31,CT31,CQ31,CN31,CK31,CH31,CE31)=0,"",SUM(DL31,DI31,DF31,DC31,CZ31,CW31,CT31,CQ31,CN31,CK31,CH31,CE31))</f>
        <v>2000</v>
      </c>
      <c r="I31" s="12" t="n">
        <f aca="false">IF(COUNT(DM31,DJ31,DG31,DD31,DA31,CX31,CU31,CR31,CO31,CL31,CI31,CF31)=0,"",SUM(DM31,DJ31,DG31,DD31,DA31,CX31,CU31,CR31,CO31,CL31,CI31,CF31))</f>
        <v>12000</v>
      </c>
      <c r="J31" s="12" t="n">
        <f aca="false">IF(COUNT(DN31,DK31,DH31,DE31,DB31,CY31,CV31,CS31,CP31,CM31,CJ31,CG31)=0,"",SUM(DN31,DK31,DH31,DE31,DB31,CY31,CV31,CS31,CP31,CM31,CJ31,CG31))</f>
        <v>12000</v>
      </c>
      <c r="K31" s="13"/>
      <c r="L31" s="13" t="n">
        <f aca="false">IF('Cash Drivers'!L$26,'Customer Success'!K31,'Customer Success'!M31)</f>
        <v>1000</v>
      </c>
      <c r="M31" s="89" t="n">
        <v>1000</v>
      </c>
      <c r="N31" s="12"/>
      <c r="O31" s="12" t="n">
        <f aca="false">IF('Cash Drivers'!O$26,'Customer Success'!N31,'Customer Success'!P31)</f>
        <v>1000</v>
      </c>
      <c r="P31" s="90" t="n">
        <v>1000</v>
      </c>
      <c r="Q31" s="13"/>
      <c r="R31" s="13" t="n">
        <f aca="false">IF('Cash Drivers'!R$26,'Customer Success'!Q31,'Customer Success'!S31)</f>
        <v>1000</v>
      </c>
      <c r="S31" s="89" t="n">
        <v>1000</v>
      </c>
      <c r="T31" s="12"/>
      <c r="U31" s="12" t="n">
        <f aca="false">IF('Cash Drivers'!U$26,'Customer Success'!T31,'Customer Success'!V31)</f>
        <v>1000</v>
      </c>
      <c r="V31" s="90" t="n">
        <v>1000</v>
      </c>
      <c r="W31" s="13"/>
      <c r="X31" s="13" t="n">
        <f aca="false">IF('Cash Drivers'!X$26,'Customer Success'!W31,'Customer Success'!Y31)</f>
        <v>1000</v>
      </c>
      <c r="Y31" s="89" t="n">
        <v>1000</v>
      </c>
      <c r="Z31" s="12"/>
      <c r="AA31" s="12" t="n">
        <f aca="false">IF('Cash Drivers'!AA$26,'Customer Success'!Z31,'Customer Success'!AB31)</f>
        <v>1000</v>
      </c>
      <c r="AB31" s="90" t="n">
        <v>1000</v>
      </c>
      <c r="AC31" s="13"/>
      <c r="AD31" s="13" t="n">
        <f aca="false">IF('Cash Drivers'!AD$26,'Customer Success'!AC31,'Customer Success'!AE31)</f>
        <v>1000</v>
      </c>
      <c r="AE31" s="89" t="n">
        <v>1000</v>
      </c>
      <c r="AF31" s="12"/>
      <c r="AG31" s="12" t="n">
        <f aca="false">IF('Cash Drivers'!AG$26,'Customer Success'!AF31,'Customer Success'!AH31)</f>
        <v>1000</v>
      </c>
      <c r="AH31" s="90" t="n">
        <v>1000</v>
      </c>
      <c r="AI31" s="13"/>
      <c r="AJ31" s="13" t="n">
        <f aca="false">IF('Cash Drivers'!AJ$26,'Customer Success'!AI31,'Customer Success'!AK31)</f>
        <v>1000</v>
      </c>
      <c r="AK31" s="89" t="n">
        <v>1000</v>
      </c>
      <c r="AL31" s="12"/>
      <c r="AM31" s="12" t="n">
        <f aca="false">IF('Cash Drivers'!AM$26,'Customer Success'!AL31,'Customer Success'!AN31)</f>
        <v>1000</v>
      </c>
      <c r="AN31" s="90" t="n">
        <v>1000</v>
      </c>
      <c r="AO31" s="13"/>
      <c r="AP31" s="13" t="n">
        <f aca="false">IF('Cash Drivers'!AP$26,'Customer Success'!AO31,'Customer Success'!AQ31)</f>
        <v>1000</v>
      </c>
      <c r="AQ31" s="89" t="n">
        <v>1000</v>
      </c>
      <c r="AR31" s="12"/>
      <c r="AS31" s="12" t="n">
        <f aca="false">IF('Cash Drivers'!AS$26,'Customer Success'!AR31,'Customer Success'!AT31)</f>
        <v>1000</v>
      </c>
      <c r="AT31" s="90" t="n">
        <v>1000</v>
      </c>
      <c r="AU31" s="13"/>
      <c r="AV31" s="13" t="n">
        <f aca="false">IF('Cash Drivers'!AV$26,'Customer Success'!AU31,'Customer Success'!AW31)</f>
        <v>1000</v>
      </c>
      <c r="AW31" s="89" t="n">
        <v>1000</v>
      </c>
      <c r="AX31" s="12"/>
      <c r="AY31" s="12" t="n">
        <f aca="false">IF('Cash Drivers'!AY$26,'Customer Success'!AX31,'Customer Success'!AZ31)</f>
        <v>1000</v>
      </c>
      <c r="AZ31" s="90" t="n">
        <v>1000</v>
      </c>
      <c r="BA31" s="13"/>
      <c r="BB31" s="13" t="n">
        <f aca="false">IF('Cash Drivers'!BB$26,'Customer Success'!BA31,'Customer Success'!BC31)</f>
        <v>1000</v>
      </c>
      <c r="BC31" s="89" t="n">
        <v>1000</v>
      </c>
      <c r="BD31" s="12"/>
      <c r="BE31" s="12" t="n">
        <f aca="false">IF('Cash Drivers'!BE$26,'Customer Success'!BD31,'Customer Success'!BF31)</f>
        <v>1000</v>
      </c>
      <c r="BF31" s="90" t="n">
        <v>1000</v>
      </c>
      <c r="BG31" s="13"/>
      <c r="BH31" s="13" t="n">
        <f aca="false">IF('Cash Drivers'!BH$26,'Customer Success'!BG31,'Customer Success'!BI31)</f>
        <v>1000</v>
      </c>
      <c r="BI31" s="89" t="n">
        <v>1000</v>
      </c>
      <c r="BJ31" s="12"/>
      <c r="BK31" s="12" t="n">
        <f aca="false">IF('Cash Drivers'!BK$26,'Customer Success'!BJ31,'Customer Success'!BL31)</f>
        <v>1000</v>
      </c>
      <c r="BL31" s="90" t="n">
        <v>1000</v>
      </c>
      <c r="BM31" s="13"/>
      <c r="BN31" s="13" t="n">
        <f aca="false">IF('Cash Drivers'!BN$26,'Customer Success'!BM31,'Customer Success'!BO31)</f>
        <v>1000</v>
      </c>
      <c r="BO31" s="89" t="n">
        <v>1000</v>
      </c>
      <c r="BP31" s="12"/>
      <c r="BQ31" s="12" t="n">
        <f aca="false">IF('Cash Drivers'!BQ$26,'Customer Success'!BP31,'Customer Success'!BR31)</f>
        <v>1000</v>
      </c>
      <c r="BR31" s="90" t="n">
        <v>1000</v>
      </c>
      <c r="BS31" s="13"/>
      <c r="BT31" s="13" t="n">
        <f aca="false">IF('Cash Drivers'!BT$26,'Customer Success'!BS31,'Customer Success'!BU31)</f>
        <v>1000</v>
      </c>
      <c r="BU31" s="89" t="n">
        <v>1000</v>
      </c>
      <c r="BV31" s="12"/>
      <c r="BW31" s="12" t="n">
        <f aca="false">IF('Cash Drivers'!BW$26,'Customer Success'!BV31,'Customer Success'!BX31)</f>
        <v>1000</v>
      </c>
      <c r="BX31" s="90" t="n">
        <v>1000</v>
      </c>
      <c r="BY31" s="13"/>
      <c r="BZ31" s="13" t="n">
        <f aca="false">IF('Cash Drivers'!BZ$26,'Customer Success'!BY31,'Customer Success'!CA31)</f>
        <v>1000</v>
      </c>
      <c r="CA31" s="89" t="n">
        <v>1000</v>
      </c>
      <c r="CB31" s="12"/>
      <c r="CC31" s="12" t="n">
        <f aca="false">IF('Cash Drivers'!CC$26,'Customer Success'!CB31,'Customer Success'!CD31)</f>
        <v>1000</v>
      </c>
      <c r="CD31" s="90" t="n">
        <v>1000</v>
      </c>
      <c r="CE31" s="13"/>
      <c r="CF31" s="13" t="n">
        <f aca="false">IF('Cash Drivers'!CF$26,'Customer Success'!CE31,'Customer Success'!CG31)</f>
        <v>1000</v>
      </c>
      <c r="CG31" s="89" t="n">
        <v>1000</v>
      </c>
      <c r="CH31" s="12"/>
      <c r="CI31" s="12" t="n">
        <f aca="false">IF('Cash Drivers'!CI$26,'Customer Success'!CH31,'Customer Success'!CJ31)</f>
        <v>1000</v>
      </c>
      <c r="CJ31" s="90" t="n">
        <v>1000</v>
      </c>
      <c r="CK31" s="13"/>
      <c r="CL31" s="13" t="n">
        <f aca="false">IF('Cash Drivers'!CL$26,'Customer Success'!CK31,'Customer Success'!CM31)</f>
        <v>1000</v>
      </c>
      <c r="CM31" s="89" t="n">
        <v>1000</v>
      </c>
      <c r="CN31" s="12"/>
      <c r="CO31" s="12" t="n">
        <f aca="false">IF('Cash Drivers'!CO$26,'Customer Success'!CN31,'Customer Success'!CP31)</f>
        <v>1000</v>
      </c>
      <c r="CP31" s="90" t="n">
        <v>1000</v>
      </c>
      <c r="CQ31" s="13"/>
      <c r="CR31" s="13" t="n">
        <f aca="false">IF('Cash Drivers'!CR$26,'Customer Success'!CQ31,'Customer Success'!CS31)</f>
        <v>1000</v>
      </c>
      <c r="CS31" s="89" t="n">
        <v>1000</v>
      </c>
      <c r="CT31" s="12"/>
      <c r="CU31" s="12" t="n">
        <f aca="false">IF('Cash Drivers'!CU$26,'Customer Success'!CT31,'Customer Success'!CV31)</f>
        <v>1000</v>
      </c>
      <c r="CV31" s="90" t="n">
        <v>1000</v>
      </c>
      <c r="CW31" s="13"/>
      <c r="CX31" s="13" t="n">
        <f aca="false">IF('Cash Drivers'!CX$26,'Customer Success'!CW31,'Customer Success'!CY31)</f>
        <v>1000</v>
      </c>
      <c r="CY31" s="89" t="n">
        <v>1000</v>
      </c>
      <c r="CZ31" s="12"/>
      <c r="DA31" s="12" t="n">
        <f aca="false">IF('Cash Drivers'!DA$26,'Customer Success'!CZ31,'Customer Success'!DB31)</f>
        <v>1000</v>
      </c>
      <c r="DB31" s="90" t="n">
        <v>1000</v>
      </c>
      <c r="DC31" s="13"/>
      <c r="DD31" s="13" t="n">
        <f aca="false">IF('Cash Drivers'!DD$26,'Customer Success'!DC31,'Customer Success'!DE31)</f>
        <v>1000</v>
      </c>
      <c r="DE31" s="89" t="n">
        <v>1000</v>
      </c>
      <c r="DF31" s="12"/>
      <c r="DG31" s="12" t="n">
        <f aca="false">IF('Cash Drivers'!DG$26,'Customer Success'!DF31,'Customer Success'!DH31)</f>
        <v>1000</v>
      </c>
      <c r="DH31" s="90" t="n">
        <v>1000</v>
      </c>
      <c r="DI31" s="89" t="n">
        <v>1000</v>
      </c>
      <c r="DJ31" s="13" t="n">
        <f aca="false">IF('Cash Drivers'!DJ$26,'Customer Success'!DI31,'Customer Success'!DK31)</f>
        <v>1000</v>
      </c>
      <c r="DK31" s="89" t="n">
        <v>1000</v>
      </c>
      <c r="DL31" s="90" t="n">
        <v>1000</v>
      </c>
      <c r="DM31" s="12" t="n">
        <f aca="false">IF('Cash Drivers'!DM$26,'Customer Success'!DL31,'Customer Success'!DN31)</f>
        <v>1000</v>
      </c>
      <c r="DN31" s="90" t="n">
        <v>1000</v>
      </c>
    </row>
    <row r="32" customFormat="false" ht="15.75" hidden="false" customHeight="true" outlineLevel="0" collapsed="false">
      <c r="A32" s="14" t="s">
        <v>224</v>
      </c>
      <c r="B32" s="15" t="str">
        <f aca="false">IF(COUNT(AR32,AO32,AL32,AI32,AF32,AC32,Z32,W32,T32,Q32,N32,K32)=0,"",SUM(AR32,AO32,AL32,AI32,AF32,AC32,Z32,W32,T32,Q32,N32,K32))</f>
        <v/>
      </c>
      <c r="C32" s="15" t="n">
        <f aca="false">IF(COUNT(AS32,AP32,AM32,AJ32,AG32,AD32,AA32,X32,U32,R32,O32,L32)=0,"",SUM(AS32,AP32,AM32,AJ32,AG32,AD32,AA32,X32,U32,R32,O32,L32))</f>
        <v>72000</v>
      </c>
      <c r="D32" s="15" t="n">
        <f aca="false">IF(COUNT(AT32,AQ32,AN32,AK32,AH32,AE32,AB32,Y32,V32,S32,P32,M32)=0,"",SUM(AT32,AQ32,AN32,AK32,AH32,AE32,AB32,Y32,V32,S32,P32,M32))</f>
        <v>72000</v>
      </c>
      <c r="E32" s="16" t="str">
        <f aca="false">IF(COUNT(CB32,BY32,BV32,BS32,BP32,BM32,BJ32,BG32,BD32,BA32,AX32,AU32)=0,"",SUM(CB32,BY32,BV32,BS32,BP32,BM32,BJ32,BG32,BD32,BA32,AX32,AU32))</f>
        <v/>
      </c>
      <c r="F32" s="16" t="n">
        <f aca="false">IF(COUNT(CC32,BZ32,BW32,BT32,BQ32,BN32,BK32,BH32,BE32,BB32,AY32,AV32)=0,"",SUM(CC32,BZ32,BW32,BT32,BQ32,BN32,BK32,BH32,BE32,BB32,AY32,AV32))</f>
        <v>72000</v>
      </c>
      <c r="G32" s="16" t="n">
        <f aca="false">IF(COUNT(CD32,CA32,BX32,BU32,BR32,BO32,BL32,BI32,BF32,BC32,AZ32,AW32)=0,"",SUM(CD32,CA32,BX32,BU32,BR32,BO32,BL32,BI32,BF32,BC32,AZ32,AW32))</f>
        <v>72000</v>
      </c>
      <c r="H32" s="15" t="n">
        <f aca="false">IF(COUNT(DL32,DI32,DF32,DC32,CZ32,CW32,CT32,CQ32,CN32,CK32,CH32,CE32)=0,"",SUM(DL32,DI32,DF32,DC32,CZ32,CW32,CT32,CQ32,CN32,CK32,CH32,CE32))</f>
        <v>12000</v>
      </c>
      <c r="I32" s="15" t="n">
        <f aca="false">IF(COUNT(DM32,DJ32,DG32,DD32,DA32,CX32,CU32,CR32,CO32,CL32,CI32,CF32)=0,"",SUM(DM32,DJ32,DG32,DD32,DA32,CX32,CU32,CR32,CO32,CL32,CI32,CF32))</f>
        <v>72000</v>
      </c>
      <c r="J32" s="15" t="n">
        <f aca="false">IF(COUNT(DN32,DK32,DH32,DE32,DB32,CY32,CV32,CS32,CP32,CM32,CJ32,CG32)=0,"",SUM(DN32,DK32,DH32,DE32,DB32,CY32,CV32,CS32,CP32,CM32,CJ32,CG32))</f>
        <v>72000</v>
      </c>
      <c r="K32" s="16" t="str">
        <f aca="false">IF(COUNT(K28,K29,K30,K31)=0,"",SUM(K28:K31))</f>
        <v/>
      </c>
      <c r="L32" s="16" t="n">
        <f aca="false">SUM(L28:L31)</f>
        <v>6000</v>
      </c>
      <c r="M32" s="16" t="n">
        <f aca="false">SUM(M28:M31)</f>
        <v>6000</v>
      </c>
      <c r="N32" s="15" t="str">
        <f aca="false">IF(COUNT(N28,N29,N30,N31)=0,"",SUM(N28:N31))</f>
        <v/>
      </c>
      <c r="O32" s="15" t="n">
        <f aca="false">SUM(O28:O31)</f>
        <v>6000</v>
      </c>
      <c r="P32" s="15" t="n">
        <f aca="false">SUM(P28:P31)</f>
        <v>6000</v>
      </c>
      <c r="Q32" s="16" t="str">
        <f aca="false">IF(COUNT(Q28,Q29,Q30,Q31)=0,"",SUM(Q28:Q31))</f>
        <v/>
      </c>
      <c r="R32" s="16" t="n">
        <f aca="false">SUM(R28:R31)</f>
        <v>6000</v>
      </c>
      <c r="S32" s="16" t="n">
        <f aca="false">SUM(S28:S31)</f>
        <v>6000</v>
      </c>
      <c r="T32" s="15" t="str">
        <f aca="false">IF(COUNT(T28,T29,T30,T31)=0,"",SUM(T28:T31))</f>
        <v/>
      </c>
      <c r="U32" s="15" t="n">
        <f aca="false">SUM(U28:U31)</f>
        <v>6000</v>
      </c>
      <c r="V32" s="15" t="n">
        <f aca="false">SUM(V28:V31)</f>
        <v>6000</v>
      </c>
      <c r="W32" s="16" t="str">
        <f aca="false">IF(COUNT(W28,W29,W30,W31)=0,"",SUM(W28:W31))</f>
        <v/>
      </c>
      <c r="X32" s="16" t="n">
        <f aca="false">SUM(X28:X31)</f>
        <v>6000</v>
      </c>
      <c r="Y32" s="16" t="n">
        <f aca="false">SUM(Y28:Y31)</f>
        <v>6000</v>
      </c>
      <c r="Z32" s="15" t="str">
        <f aca="false">IF(COUNT(Z28,Z29,Z30,Z31)=0,"",SUM(Z28:Z31))</f>
        <v/>
      </c>
      <c r="AA32" s="15" t="n">
        <f aca="false">SUM(AA28:AA31)</f>
        <v>6000</v>
      </c>
      <c r="AB32" s="15" t="n">
        <f aca="false">SUM(AB28:AB31)</f>
        <v>6000</v>
      </c>
      <c r="AC32" s="16" t="str">
        <f aca="false">IF(COUNT(AC28,AC29,AC30,AC31)=0,"",SUM(AC28:AC31))</f>
        <v/>
      </c>
      <c r="AD32" s="16" t="n">
        <f aca="false">SUM(AD28:AD31)</f>
        <v>6000</v>
      </c>
      <c r="AE32" s="16" t="n">
        <f aca="false">SUM(AE28:AE31)</f>
        <v>6000</v>
      </c>
      <c r="AF32" s="15" t="str">
        <f aca="false">IF(COUNT(AF28,AF29,AF30,AF31)=0,"",SUM(AF28:AF31))</f>
        <v/>
      </c>
      <c r="AG32" s="15" t="n">
        <f aca="false">SUM(AG28:AG31)</f>
        <v>6000</v>
      </c>
      <c r="AH32" s="15" t="n">
        <f aca="false">SUM(AH28:AH31)</f>
        <v>6000</v>
      </c>
      <c r="AI32" s="16" t="str">
        <f aca="false">IF(COUNT(AI28,AI29,AI30,AI31)=0,"",SUM(AI28:AI31))</f>
        <v/>
      </c>
      <c r="AJ32" s="16" t="n">
        <f aca="false">SUM(AJ28:AJ31)</f>
        <v>6000</v>
      </c>
      <c r="AK32" s="16" t="n">
        <f aca="false">SUM(AK28:AK31)</f>
        <v>6000</v>
      </c>
      <c r="AL32" s="15" t="str">
        <f aca="false">IF(COUNT(AL28,AL29,AL30,AL31)=0,"",SUM(AL28:AL31))</f>
        <v/>
      </c>
      <c r="AM32" s="15" t="n">
        <f aca="false">SUM(AM28:AM31)</f>
        <v>6000</v>
      </c>
      <c r="AN32" s="15" t="n">
        <f aca="false">SUM(AN28:AN31)</f>
        <v>6000</v>
      </c>
      <c r="AO32" s="16" t="str">
        <f aca="false">IF(COUNT(AO28,AO29,AO30,AO31)=0,"",SUM(AO28:AO31))</f>
        <v/>
      </c>
      <c r="AP32" s="16" t="n">
        <f aca="false">SUM(AP28:AP31)</f>
        <v>6000</v>
      </c>
      <c r="AQ32" s="16" t="n">
        <f aca="false">SUM(AQ28:AQ31)</f>
        <v>6000</v>
      </c>
      <c r="AR32" s="15" t="str">
        <f aca="false">IF(COUNT(AR28,AR29,AR30,AR31)=0,"",SUM(AR28:AR31))</f>
        <v/>
      </c>
      <c r="AS32" s="15" t="n">
        <f aca="false">SUM(AS28:AS31)</f>
        <v>6000</v>
      </c>
      <c r="AT32" s="15" t="n">
        <f aca="false">SUM(AT28:AT31)</f>
        <v>6000</v>
      </c>
      <c r="AU32" s="16" t="str">
        <f aca="false">IF(COUNT(AU28,AU29,AU30,AU31)=0,"",SUM(AU28:AU31))</f>
        <v/>
      </c>
      <c r="AV32" s="16" t="n">
        <f aca="false">SUM(AV28:AV31)</f>
        <v>6000</v>
      </c>
      <c r="AW32" s="16" t="n">
        <f aca="false">SUM(AW28:AW31)</f>
        <v>6000</v>
      </c>
      <c r="AX32" s="15" t="str">
        <f aca="false">IF(COUNT(AX28,AX29,AX30,AX31)=0,"",SUM(AX28:AX31))</f>
        <v/>
      </c>
      <c r="AY32" s="15" t="n">
        <f aca="false">SUM(AY28:AY31)</f>
        <v>6000</v>
      </c>
      <c r="AZ32" s="15" t="n">
        <f aca="false">SUM(AZ28:AZ31)</f>
        <v>6000</v>
      </c>
      <c r="BA32" s="16" t="str">
        <f aca="false">IF(COUNT(BA28,BA29,BA30,BA31)=0,"",SUM(BA28:BA31))</f>
        <v/>
      </c>
      <c r="BB32" s="16" t="n">
        <f aca="false">SUM(BB28:BB31)</f>
        <v>6000</v>
      </c>
      <c r="BC32" s="16" t="n">
        <f aca="false">SUM(BC28:BC31)</f>
        <v>6000</v>
      </c>
      <c r="BD32" s="15" t="str">
        <f aca="false">IF(COUNT(BD28,BD29,BD30,BD31)=0,"",SUM(BD28:BD31))</f>
        <v/>
      </c>
      <c r="BE32" s="15" t="n">
        <f aca="false">SUM(BE28:BE31)</f>
        <v>6000</v>
      </c>
      <c r="BF32" s="15" t="n">
        <f aca="false">SUM(BF28:BF31)</f>
        <v>6000</v>
      </c>
      <c r="BG32" s="16" t="str">
        <f aca="false">IF(COUNT(BG28,BG29,BG30,BG31)=0,"",SUM(BG28:BG31))</f>
        <v/>
      </c>
      <c r="BH32" s="16" t="n">
        <f aca="false">SUM(BH28:BH31)</f>
        <v>6000</v>
      </c>
      <c r="BI32" s="16" t="n">
        <f aca="false">SUM(BI28:BI31)</f>
        <v>6000</v>
      </c>
      <c r="BJ32" s="15" t="str">
        <f aca="false">IF(COUNT(BJ28,BJ29,BJ30,BJ31)=0,"",SUM(BJ28:BJ31))</f>
        <v/>
      </c>
      <c r="BK32" s="15" t="n">
        <f aca="false">SUM(BK28:BK31)</f>
        <v>6000</v>
      </c>
      <c r="BL32" s="15" t="n">
        <f aca="false">SUM(BL28:BL31)</f>
        <v>6000</v>
      </c>
      <c r="BM32" s="16" t="str">
        <f aca="false">IF(COUNT(BM28,BM29,BM30,BM31)=0,"",SUM(BM28:BM31))</f>
        <v/>
      </c>
      <c r="BN32" s="16" t="n">
        <f aca="false">SUM(BN28:BN31)</f>
        <v>6000</v>
      </c>
      <c r="BO32" s="16" t="n">
        <f aca="false">SUM(BO28:BO31)</f>
        <v>6000</v>
      </c>
      <c r="BP32" s="15" t="str">
        <f aca="false">IF(COUNT(BP28,BP29,BP30,BP31)=0,"",SUM(BP28:BP31))</f>
        <v/>
      </c>
      <c r="BQ32" s="15" t="n">
        <f aca="false">SUM(BQ28:BQ31)</f>
        <v>6000</v>
      </c>
      <c r="BR32" s="15" t="n">
        <f aca="false">SUM(BR28:BR31)</f>
        <v>6000</v>
      </c>
      <c r="BS32" s="16" t="str">
        <f aca="false">IF(COUNT(BS28,BS29,BS30,BS31)=0,"",SUM(BS28:BS31))</f>
        <v/>
      </c>
      <c r="BT32" s="16" t="n">
        <f aca="false">SUM(BT28:BT31)</f>
        <v>6000</v>
      </c>
      <c r="BU32" s="16" t="n">
        <f aca="false">SUM(BU28:BU31)</f>
        <v>6000</v>
      </c>
      <c r="BV32" s="15" t="str">
        <f aca="false">IF(COUNT(BV28,BV29,BV30,BV31)=0,"",SUM(BV28:BV31))</f>
        <v/>
      </c>
      <c r="BW32" s="15" t="n">
        <f aca="false">SUM(BW28:BW31)</f>
        <v>6000</v>
      </c>
      <c r="BX32" s="15" t="n">
        <f aca="false">SUM(BX28:BX31)</f>
        <v>6000</v>
      </c>
      <c r="BY32" s="16" t="str">
        <f aca="false">IF(COUNT(BY28,BY29,BY30,BY31)=0,"",SUM(BY28:BY31))</f>
        <v/>
      </c>
      <c r="BZ32" s="16" t="n">
        <f aca="false">SUM(BZ28:BZ31)</f>
        <v>6000</v>
      </c>
      <c r="CA32" s="16" t="n">
        <f aca="false">SUM(CA28:CA31)</f>
        <v>6000</v>
      </c>
      <c r="CB32" s="15" t="str">
        <f aca="false">IF(COUNT(CB28,CB29,CB30,CB31)=0,"",SUM(CB28:CB31))</f>
        <v/>
      </c>
      <c r="CC32" s="15" t="n">
        <f aca="false">SUM(CC28:CC31)</f>
        <v>6000</v>
      </c>
      <c r="CD32" s="15" t="n">
        <f aca="false">SUM(CD28:CD31)</f>
        <v>6000</v>
      </c>
      <c r="CE32" s="16" t="str">
        <f aca="false">IF(COUNT(CE28,CE29,CE30,CE31)=0,"",SUM(CE28:CE31))</f>
        <v/>
      </c>
      <c r="CF32" s="16" t="n">
        <f aca="false">SUM(CF28:CF31)</f>
        <v>6000</v>
      </c>
      <c r="CG32" s="16" t="n">
        <f aca="false">SUM(CG28:CG31)</f>
        <v>6000</v>
      </c>
      <c r="CH32" s="15" t="str">
        <f aca="false">IF(COUNT(CH28,CH29,CH30,CH31)=0,"",SUM(CH28:CH31))</f>
        <v/>
      </c>
      <c r="CI32" s="15" t="n">
        <f aca="false">SUM(CI28:CI31)</f>
        <v>6000</v>
      </c>
      <c r="CJ32" s="15" t="n">
        <f aca="false">SUM(CJ28:CJ31)</f>
        <v>6000</v>
      </c>
      <c r="CK32" s="16" t="str">
        <f aca="false">IF(COUNT(CK28,CK29,CK30,CK31)=0,"",SUM(CK28:CK31))</f>
        <v/>
      </c>
      <c r="CL32" s="16" t="n">
        <f aca="false">SUM(CL28:CL31)</f>
        <v>6000</v>
      </c>
      <c r="CM32" s="16" t="n">
        <f aca="false">SUM(CM28:CM31)</f>
        <v>6000</v>
      </c>
      <c r="CN32" s="15" t="str">
        <f aca="false">IF(COUNT(CN28,CN29,CN30,CN31)=0,"",SUM(CN28:CN31))</f>
        <v/>
      </c>
      <c r="CO32" s="15" t="n">
        <f aca="false">SUM(CO28:CO31)</f>
        <v>6000</v>
      </c>
      <c r="CP32" s="15" t="n">
        <f aca="false">SUM(CP28:CP31)</f>
        <v>6000</v>
      </c>
      <c r="CQ32" s="16" t="str">
        <f aca="false">IF(COUNT(CQ28,CQ29,CQ30,CQ31)=0,"",SUM(CQ28:CQ31))</f>
        <v/>
      </c>
      <c r="CR32" s="16" t="n">
        <f aca="false">SUM(CR28:CR31)</f>
        <v>6000</v>
      </c>
      <c r="CS32" s="16" t="n">
        <f aca="false">SUM(CS28:CS31)</f>
        <v>6000</v>
      </c>
      <c r="CT32" s="15" t="str">
        <f aca="false">IF(COUNT(CT28,CT29,CT30,CT31)=0,"",SUM(CT28:CT31))</f>
        <v/>
      </c>
      <c r="CU32" s="15" t="n">
        <f aca="false">SUM(CU28:CU31)</f>
        <v>6000</v>
      </c>
      <c r="CV32" s="15" t="n">
        <f aca="false">SUM(CV28:CV31)</f>
        <v>6000</v>
      </c>
      <c r="CW32" s="16" t="str">
        <f aca="false">IF(COUNT(CW28,CW29,CW30,CW31)=0,"",SUM(CW28:CW31))</f>
        <v/>
      </c>
      <c r="CX32" s="16" t="n">
        <f aca="false">SUM(CX28:CX31)</f>
        <v>6000</v>
      </c>
      <c r="CY32" s="16" t="n">
        <f aca="false">SUM(CY28:CY31)</f>
        <v>6000</v>
      </c>
      <c r="CZ32" s="15" t="str">
        <f aca="false">IF(COUNT(CZ28,CZ29,CZ30,CZ31)=0,"",SUM(CZ28:CZ31))</f>
        <v/>
      </c>
      <c r="DA32" s="15" t="n">
        <f aca="false">SUM(DA28:DA31)</f>
        <v>6000</v>
      </c>
      <c r="DB32" s="15" t="n">
        <f aca="false">SUM(DB28:DB31)</f>
        <v>6000</v>
      </c>
      <c r="DC32" s="16" t="str">
        <f aca="false">IF(COUNT(DC28,DC29,DC30,DC31)=0,"",SUM(DC28:DC31))</f>
        <v/>
      </c>
      <c r="DD32" s="16" t="n">
        <f aca="false">SUM(DD28:DD31)</f>
        <v>6000</v>
      </c>
      <c r="DE32" s="16" t="n">
        <f aca="false">SUM(DE28:DE31)</f>
        <v>6000</v>
      </c>
      <c r="DF32" s="15" t="str">
        <f aca="false">IF(COUNT(DF28,DF29,DF30,DF31)=0,"",SUM(DF28:DF31))</f>
        <v/>
      </c>
      <c r="DG32" s="15" t="n">
        <f aca="false">SUM(DG28:DG31)</f>
        <v>6000</v>
      </c>
      <c r="DH32" s="15" t="n">
        <f aca="false">SUM(DH28:DH31)</f>
        <v>6000</v>
      </c>
      <c r="DI32" s="16" t="n">
        <f aca="false">IF(COUNT(DI28,DI29,DI30,DI31)=0,"",SUM(DI28:DI31))</f>
        <v>6000</v>
      </c>
      <c r="DJ32" s="16" t="n">
        <f aca="false">SUM(DJ28:DJ31)</f>
        <v>6000</v>
      </c>
      <c r="DK32" s="16" t="n">
        <f aca="false">SUM(DK28:DK31)</f>
        <v>6000</v>
      </c>
      <c r="DL32" s="15" t="n">
        <f aca="false">IF(COUNT(DL28,DL29,DL30,DL31)=0,"",SUM(DL28:DL31))</f>
        <v>6000</v>
      </c>
      <c r="DM32" s="15" t="n">
        <f aca="false">SUM(DM28:DM31)</f>
        <v>6000</v>
      </c>
      <c r="DN32" s="15" t="n">
        <f aca="false">SUM(DN28:DN31)</f>
        <v>6000</v>
      </c>
    </row>
    <row r="33" customFormat="false" ht="15.75" hidden="false" customHeight="true" outlineLevel="0" collapsed="false">
      <c r="A33" s="14" t="s">
        <v>225</v>
      </c>
      <c r="B33" s="15" t="str">
        <f aca="false">IF(COUNT(AR33,AO33,AL33,AI33,AF33,AC33,Z33,W33,T33,Q33,N33,K33)=0,"",SUM(AR33,AO33,AL33,AI33,AF33,AC33,Z33,W33,T33,Q33,N33,K33))</f>
        <v/>
      </c>
      <c r="C33" s="15" t="n">
        <f aca="false">IF(COUNT(AS33,AP33,AM33,AJ33,AG33,AD33,AA33,X33,U33,R33,O33,L33)=0,"",SUM(AS33,AP33,AM33,AJ33,AG33,AD33,AA33,X33,U33,R33,O33,L33))</f>
        <v>1535840</v>
      </c>
      <c r="D33" s="15" t="n">
        <f aca="false">IF(COUNT(AT33,AQ33,AN33,AK33,AH33,AE33,AB33,Y33,V33,S33,P33,M33)=0,"",SUM(AT33,AQ33,AN33,AK33,AH33,AE33,AB33,Y33,V33,S33,P33,M33))</f>
        <v>1535840</v>
      </c>
      <c r="E33" s="16" t="str">
        <f aca="false">IF(COUNT(CB33,BY33,BV33,BS33,BP33,BM33,BJ33,BG33,BD33,BA33,AX33,AU33)=0,"",SUM(CB33,BY33,BV33,BS33,BP33,BM33,BJ33,BG33,BD33,BA33,AX33,AU33))</f>
        <v/>
      </c>
      <c r="F33" s="16" t="n">
        <f aca="false">IF(COUNT(CC33,BZ33,BW33,BT33,BQ33,BN33,BK33,BH33,BE33,BB33,AY33,AV33)=0,"",SUM(CC33,BZ33,BW33,BT33,BQ33,BN33,BK33,BH33,BE33,BB33,AY33,AV33))</f>
        <v>1267440</v>
      </c>
      <c r="G33" s="16" t="n">
        <f aca="false">IF(COUNT(CD33,CA33,BX33,BU33,BR33,BO33,BL33,BI33,BF33,BC33,AZ33,AW33)=0,"",SUM(CD33,CA33,BX33,BU33,BR33,BO33,BL33,BI33,BF33,BC33,AZ33,AW33))</f>
        <v>1267440</v>
      </c>
      <c r="H33" s="15" t="n">
        <f aca="false">IF(COUNT(DL33,DI33,DF33,DC33,CZ33,CW33,CT33,CQ33,CN33,CK33,CH33,CE33)=0,"",SUM(DL33,DI33,DF33,DC33,CZ33,CW33,CT33,CQ33,CN33,CK33,CH33,CE33))</f>
        <v>162440</v>
      </c>
      <c r="I33" s="15" t="n">
        <f aca="false">IF(COUNT(DM33,DJ33,DG33,DD33,DA33,CX33,CU33,CR33,CO33,CL33,CI33,CF33)=0,"",SUM(DM33,DJ33,DG33,DD33,DA33,CX33,CU33,CR33,CO33,CL33,CI33,CF33))</f>
        <v>1062480</v>
      </c>
      <c r="J33" s="15" t="n">
        <f aca="false">IF(COUNT(DN33,DK33,DH33,DE33,DB33,CY33,CV33,CS33,CP33,CM33,CJ33,CG33)=0,"",SUM(DN33,DK33,DH33,DE33,DB33,CY33,CV33,CS33,CP33,CM33,CJ33,CG33))</f>
        <v>1062480</v>
      </c>
      <c r="K33" s="16" t="str">
        <f aca="false">IF(COUNT(K27,K32)=0,"",K27+K32)</f>
        <v/>
      </c>
      <c r="L33" s="16" t="n">
        <f aca="false">L27+L32</f>
        <v>128800</v>
      </c>
      <c r="M33" s="16" t="n">
        <f aca="false">M27+M32</f>
        <v>128800</v>
      </c>
      <c r="N33" s="15" t="str">
        <f aca="false">IF(COUNT(N27,N32)=0,"",N27+N32)</f>
        <v/>
      </c>
      <c r="O33" s="15" t="n">
        <f aca="false">O27+O32</f>
        <v>128800</v>
      </c>
      <c r="P33" s="15" t="n">
        <f aca="false">P27+P32</f>
        <v>128800</v>
      </c>
      <c r="Q33" s="16" t="str">
        <f aca="false">IF(COUNT(Q27,Q32)=0,"",Q27+Q32)</f>
        <v/>
      </c>
      <c r="R33" s="16" t="n">
        <f aca="false">R27+R32</f>
        <v>128800</v>
      </c>
      <c r="S33" s="16" t="n">
        <f aca="false">S27+S32</f>
        <v>128800</v>
      </c>
      <c r="T33" s="15" t="str">
        <f aca="false">IF(COUNT(T27,T32)=0,"",T27+T32)</f>
        <v/>
      </c>
      <c r="U33" s="15" t="n">
        <f aca="false">U27+U32</f>
        <v>128800</v>
      </c>
      <c r="V33" s="15" t="n">
        <f aca="false">V27+V32</f>
        <v>128800</v>
      </c>
      <c r="W33" s="16" t="str">
        <f aca="false">IF(COUNT(W27,W32)=0,"",W27+W32)</f>
        <v/>
      </c>
      <c r="X33" s="16" t="n">
        <f aca="false">X27+X32</f>
        <v>128800</v>
      </c>
      <c r="Y33" s="16" t="n">
        <f aca="false">Y27+Y32</f>
        <v>128800</v>
      </c>
      <c r="Z33" s="15" t="str">
        <f aca="false">IF(COUNT(Z27,Z32)=0,"",Z27+Z32)</f>
        <v/>
      </c>
      <c r="AA33" s="15" t="n">
        <f aca="false">AA27+AA32</f>
        <v>128800</v>
      </c>
      <c r="AB33" s="15" t="n">
        <f aca="false">AB27+AB32</f>
        <v>128800</v>
      </c>
      <c r="AC33" s="16" t="str">
        <f aca="false">IF(COUNT(AC27,AC32)=0,"",AC27+AC32)</f>
        <v/>
      </c>
      <c r="AD33" s="16" t="n">
        <f aca="false">AD27+AD32</f>
        <v>128800</v>
      </c>
      <c r="AE33" s="16" t="n">
        <f aca="false">AE27+AE32</f>
        <v>128800</v>
      </c>
      <c r="AF33" s="15" t="str">
        <f aca="false">IF(COUNT(AF27,AF32)=0,"",AF27+AF32)</f>
        <v/>
      </c>
      <c r="AG33" s="15" t="n">
        <f aca="false">AG27+AG32</f>
        <v>128800</v>
      </c>
      <c r="AH33" s="15" t="n">
        <f aca="false">AH27+AH32</f>
        <v>128800</v>
      </c>
      <c r="AI33" s="16" t="str">
        <f aca="false">IF(COUNT(AI27,AI32)=0,"",AI27+AI32)</f>
        <v/>
      </c>
      <c r="AJ33" s="16" t="n">
        <f aca="false">AJ27+AJ32</f>
        <v>128800</v>
      </c>
      <c r="AK33" s="16" t="n">
        <f aca="false">AK27+AK32</f>
        <v>128800</v>
      </c>
      <c r="AL33" s="15" t="str">
        <f aca="false">IF(COUNT(AL27,AL32)=0,"",AL27+AL32)</f>
        <v/>
      </c>
      <c r="AM33" s="15" t="n">
        <f aca="false">AM27+AM32</f>
        <v>128800</v>
      </c>
      <c r="AN33" s="15" t="n">
        <f aca="false">AN27+AN32</f>
        <v>128800</v>
      </c>
      <c r="AO33" s="16" t="str">
        <f aca="false">IF(COUNT(AO27,AO32)=0,"",AO27+AO32)</f>
        <v/>
      </c>
      <c r="AP33" s="16" t="n">
        <f aca="false">AP27+AP32</f>
        <v>128800</v>
      </c>
      <c r="AQ33" s="16" t="n">
        <f aca="false">AQ27+AQ32</f>
        <v>128800</v>
      </c>
      <c r="AR33" s="15" t="str">
        <f aca="false">IF(COUNT(AR27,AR32)=0,"",AR27+AR32)</f>
        <v/>
      </c>
      <c r="AS33" s="15" t="n">
        <f aca="false">AS27+AS32</f>
        <v>119040</v>
      </c>
      <c r="AT33" s="15" t="n">
        <f aca="false">AT27+AT32</f>
        <v>119040</v>
      </c>
      <c r="AU33" s="16" t="str">
        <f aca="false">IF(COUNT(AU27,AU32)=0,"",AU27+AU32)</f>
        <v/>
      </c>
      <c r="AV33" s="16" t="n">
        <f aca="false">AV27+AV32</f>
        <v>119040</v>
      </c>
      <c r="AW33" s="16" t="n">
        <f aca="false">AW27+AW32</f>
        <v>119040</v>
      </c>
      <c r="AX33" s="15" t="str">
        <f aca="false">IF(COUNT(AX27,AX32)=0,"",AX27+AX32)</f>
        <v/>
      </c>
      <c r="AY33" s="15" t="n">
        <f aca="false">AY27+AY32</f>
        <v>119040</v>
      </c>
      <c r="AZ33" s="15" t="n">
        <f aca="false">AZ27+AZ32</f>
        <v>119040</v>
      </c>
      <c r="BA33" s="16" t="str">
        <f aca="false">IF(COUNT(BA27,BA32)=0,"",BA27+BA32)</f>
        <v/>
      </c>
      <c r="BB33" s="16" t="n">
        <f aca="false">BB27+BB32</f>
        <v>119040</v>
      </c>
      <c r="BC33" s="16" t="n">
        <f aca="false">BC27+BC32</f>
        <v>119040</v>
      </c>
      <c r="BD33" s="15" t="str">
        <f aca="false">IF(COUNT(BD27,BD32)=0,"",BD27+BD32)</f>
        <v/>
      </c>
      <c r="BE33" s="15" t="n">
        <f aca="false">BE27+BE32</f>
        <v>119040</v>
      </c>
      <c r="BF33" s="15" t="n">
        <f aca="false">BF27+BF32</f>
        <v>119040</v>
      </c>
      <c r="BG33" s="16" t="str">
        <f aca="false">IF(COUNT(BG27,BG32)=0,"",BG27+BG32)</f>
        <v/>
      </c>
      <c r="BH33" s="16" t="n">
        <f aca="false">BH27+BH32</f>
        <v>109280</v>
      </c>
      <c r="BI33" s="16" t="n">
        <f aca="false">BI27+BI32</f>
        <v>109280</v>
      </c>
      <c r="BJ33" s="15" t="str">
        <f aca="false">IF(COUNT(BJ27,BJ32)=0,"",BJ27+BJ32)</f>
        <v/>
      </c>
      <c r="BK33" s="15" t="n">
        <f aca="false">BK27+BK32</f>
        <v>109280</v>
      </c>
      <c r="BL33" s="15" t="n">
        <f aca="false">BL27+BL32</f>
        <v>109280</v>
      </c>
      <c r="BM33" s="16" t="str">
        <f aca="false">IF(COUNT(BM27,BM32)=0,"",BM27+BM32)</f>
        <v/>
      </c>
      <c r="BN33" s="16" t="n">
        <f aca="false">BN27+BN32</f>
        <v>109280</v>
      </c>
      <c r="BO33" s="16" t="n">
        <f aca="false">BO27+BO32</f>
        <v>109280</v>
      </c>
      <c r="BP33" s="15" t="str">
        <f aca="false">IF(COUNT(BP27,BP32)=0,"",BP27+BP32)</f>
        <v/>
      </c>
      <c r="BQ33" s="15" t="n">
        <f aca="false">BQ27+BQ32</f>
        <v>99520</v>
      </c>
      <c r="BR33" s="15" t="n">
        <f aca="false">BR27+BR32</f>
        <v>99520</v>
      </c>
      <c r="BS33" s="16" t="str">
        <f aca="false">IF(COUNT(BS27,BS32)=0,"",BS27+BS32)</f>
        <v/>
      </c>
      <c r="BT33" s="16" t="n">
        <f aca="false">BT27+BT32</f>
        <v>90980</v>
      </c>
      <c r="BU33" s="16" t="n">
        <f aca="false">BU27+BU32</f>
        <v>90980</v>
      </c>
      <c r="BV33" s="15" t="str">
        <f aca="false">IF(COUNT(BV27,BV32)=0,"",BV27+BV32)</f>
        <v/>
      </c>
      <c r="BW33" s="15" t="n">
        <f aca="false">BW27+BW32</f>
        <v>90980</v>
      </c>
      <c r="BX33" s="15" t="n">
        <f aca="false">BX27+BX32</f>
        <v>90980</v>
      </c>
      <c r="BY33" s="16" t="str">
        <f aca="false">IF(COUNT(BY27,BY32)=0,"",BY27+BY32)</f>
        <v/>
      </c>
      <c r="BZ33" s="16" t="n">
        <f aca="false">BZ27+BZ32</f>
        <v>90980</v>
      </c>
      <c r="CA33" s="16" t="n">
        <f aca="false">CA27+CA32</f>
        <v>90980</v>
      </c>
      <c r="CB33" s="15" t="str">
        <f aca="false">IF(COUNT(CB27,CB32)=0,"",CB27+CB32)</f>
        <v/>
      </c>
      <c r="CC33" s="15" t="n">
        <f aca="false">CC27+CC32</f>
        <v>90980</v>
      </c>
      <c r="CD33" s="15" t="n">
        <f aca="false">CD27+CD32</f>
        <v>90980</v>
      </c>
      <c r="CE33" s="16" t="str">
        <f aca="false">IF(COUNT(CE27,CE32)=0,"",CE27+CE32)</f>
        <v/>
      </c>
      <c r="CF33" s="16" t="n">
        <f aca="false">CF27+CF32</f>
        <v>90980</v>
      </c>
      <c r="CG33" s="16" t="n">
        <f aca="false">CG27+CG32</f>
        <v>90980</v>
      </c>
      <c r="CH33" s="15" t="str">
        <f aca="false">IF(COUNT(CH27,CH32)=0,"",CH27+CH32)</f>
        <v/>
      </c>
      <c r="CI33" s="15" t="n">
        <f aca="false">CI27+CI32</f>
        <v>90980</v>
      </c>
      <c r="CJ33" s="15" t="n">
        <f aca="false">CJ27+CJ32</f>
        <v>90980</v>
      </c>
      <c r="CK33" s="16" t="str">
        <f aca="false">IF(COUNT(CK27,CK32)=0,"",CK27+CK32)</f>
        <v/>
      </c>
      <c r="CL33" s="16" t="n">
        <f aca="false">CL27+CL32</f>
        <v>90980</v>
      </c>
      <c r="CM33" s="16" t="n">
        <f aca="false">CM27+CM32</f>
        <v>90980</v>
      </c>
      <c r="CN33" s="15" t="str">
        <f aca="false">IF(COUNT(CN27,CN32)=0,"",CN27+CN32)</f>
        <v/>
      </c>
      <c r="CO33" s="15" t="n">
        <f aca="false">CO27+CO32</f>
        <v>90980</v>
      </c>
      <c r="CP33" s="15" t="n">
        <f aca="false">CP27+CP32</f>
        <v>90980</v>
      </c>
      <c r="CQ33" s="16" t="str">
        <f aca="false">IF(COUNT(CQ27,CQ32)=0,"",CQ27+CQ32)</f>
        <v/>
      </c>
      <c r="CR33" s="16" t="n">
        <f aca="false">CR27+CR32</f>
        <v>90980</v>
      </c>
      <c r="CS33" s="16" t="n">
        <f aca="false">CS27+CS32</f>
        <v>90980</v>
      </c>
      <c r="CT33" s="15" t="str">
        <f aca="false">IF(COUNT(CT27,CT32)=0,"",CT27+CT32)</f>
        <v/>
      </c>
      <c r="CU33" s="15" t="n">
        <f aca="false">CU27+CU32</f>
        <v>90980</v>
      </c>
      <c r="CV33" s="15" t="n">
        <f aca="false">CV27+CV32</f>
        <v>90980</v>
      </c>
      <c r="CW33" s="16" t="str">
        <f aca="false">IF(COUNT(CW27,CW32)=0,"",CW27+CW32)</f>
        <v/>
      </c>
      <c r="CX33" s="16" t="n">
        <f aca="false">CX27+CX32</f>
        <v>90980</v>
      </c>
      <c r="CY33" s="16" t="n">
        <f aca="false">CY27+CY32</f>
        <v>90980</v>
      </c>
      <c r="CZ33" s="15" t="str">
        <f aca="false">IF(COUNT(CZ27,CZ32)=0,"",CZ27+CZ32)</f>
        <v/>
      </c>
      <c r="DA33" s="15" t="n">
        <f aca="false">DA27+DA32</f>
        <v>90980</v>
      </c>
      <c r="DB33" s="15" t="n">
        <f aca="false">DB27+DB32</f>
        <v>90980</v>
      </c>
      <c r="DC33" s="16" t="str">
        <f aca="false">IF(COUNT(DC27,DC32)=0,"",DC27+DC32)</f>
        <v/>
      </c>
      <c r="DD33" s="16" t="n">
        <f aca="false">DD27+DD32</f>
        <v>90980</v>
      </c>
      <c r="DE33" s="16" t="n">
        <f aca="false">DE27+DE32</f>
        <v>90980</v>
      </c>
      <c r="DF33" s="15" t="str">
        <f aca="false">IF(COUNT(DF27,DF32)=0,"",DF27+DF32)</f>
        <v/>
      </c>
      <c r="DG33" s="15" t="n">
        <f aca="false">DG27+DG32</f>
        <v>81220</v>
      </c>
      <c r="DH33" s="15" t="n">
        <f aca="false">DH27+DH32</f>
        <v>81220</v>
      </c>
      <c r="DI33" s="16" t="n">
        <f aca="false">IF(COUNT(DI27,DI32)=0,"",DI27+DI32)</f>
        <v>81220</v>
      </c>
      <c r="DJ33" s="16" t="n">
        <f aca="false">DJ27+DJ32</f>
        <v>81220</v>
      </c>
      <c r="DK33" s="16" t="n">
        <f aca="false">DK27+DK32</f>
        <v>81220</v>
      </c>
      <c r="DL33" s="15" t="n">
        <f aca="false">IF(COUNT(DL27,DL32)=0,"",DL27+DL32)</f>
        <v>81220</v>
      </c>
      <c r="DM33" s="15" t="n">
        <f aca="false">DM27+DM32</f>
        <v>81220</v>
      </c>
      <c r="DN33" s="15" t="n">
        <f aca="false">DN27+DN32</f>
        <v>81220</v>
      </c>
    </row>
    <row r="34" customFormat="false" ht="15.75" hidden="false" customHeight="true" outlineLevel="0" collapsed="false">
      <c r="A34" s="5" t="s">
        <v>226</v>
      </c>
      <c r="B34" s="24" t="str">
        <f aca="false">IF(SUM(AR12,AO12,AL12,AI12,AF12,AC12,Z12,W12,T12,Q12,N12,K12)=0,"",SUM(AR33,AO33,AL33,AI33,AF33,AC33,Z33,W33,T33,Q33,N33,K33)/SUM(AR12,AO12,AL12,AI12,AF12,AC12,Z12,W12,T12,Q12,N12,K12))</f>
        <v/>
      </c>
      <c r="C34" s="24" t="n">
        <f aca="false">IF(SUM(AS12,AP12,AM12,AJ12,AG12,AD12,AA12,X12,U12,R12,O12,L12)=0,"",SUM(AS33,AP33,AM33,AJ33,AG33,AD33,AA33,X33,U33,R33,O33,L33)/SUM(AS12,AP12,AM12,AJ12,AG12,AD12,AA12,X12,U12,R12,O12,L12))</f>
        <v>91.7083656774348</v>
      </c>
      <c r="D34" s="24" t="n">
        <f aca="false">IF(SUM(AT12,AQ12,AN12,AK12,AH12,AE12,AB12,Y12,V12,S12,P12,M12)=0,"",SUM(AT33,AQ33,AN33,AK33,AH33,AE33,AB33,Y33,V33,S33,P33,M33)/SUM(AT12,AQ12,AN12,AK12,AH12,AE12,AB12,Y12,V12,S12,P12,M12))</f>
        <v>91.9059302255999</v>
      </c>
      <c r="E34" s="25" t="str">
        <f aca="false">IF(SUM(CB12,BY12,BV12,BS12,BP12,BM12,BJ12,BG12,BD12,BA12,AX12,AU12)=0,"",SUM(CB33,BY33,BV33,BS33,BP33,BM33,BJ33,BG33,BD33,BA33,AX33,AU33)/SUM(CB12,BY12,BV12,BS12,BP12,BM12,BJ12,BG12,BD12,BA12,AX12,AU12))</f>
        <v/>
      </c>
      <c r="F34" s="25" t="n">
        <f aca="false">IF(SUM(CC12,BZ12,BW12,BT12,BQ12,BN12,BK12,BH12,BE12,BB12,AY12,AV12)=0,"",SUM(CC33,BZ33,BW33,BT33,BQ33,BN33,BK33,BH33,BE33,BB33,AY33,AV33)/SUM(CC12,BZ12,BW12,BT12,BQ12,BN12,BK12,BH12,BE12,BB12,AY12,AV12))</f>
        <v>95.6341960310873</v>
      </c>
      <c r="G34" s="25" t="n">
        <f aca="false">IF(SUM(CD12,CA12,BX12,BU12,BR12,BO12,BL12,BI12,BF12,BC12,AZ12,AW12)=0,"",SUM(CD33,CA33,BX33,BU33,BR33,BO33,BL33,BI33,BF33,BC33,AZ33,AW33)/SUM(CD12,CA12,BX12,BU12,BR12,BO12,BL12,BI12,BF12,BC12,AZ12,AW12))</f>
        <v>95.8946810925323</v>
      </c>
      <c r="H34" s="24" t="n">
        <f aca="false">IF(SUM(DL12,DI12,DF12,DC12,CZ12,CW12,CT12,CQ12,CN12,CK12,CH12,CE12)=0,"",SUM(DL33,DI33,DF33,DC33,CZ33,CW33,CT33,CQ33,CN33,CK33,CH33,CE33)/SUM(DL12,DI12,DF12,DC12,CZ12,CW12,CT12,CQ12,CN12,CK12,CH12,CE12))</f>
        <v>64.3581616481775</v>
      </c>
      <c r="I34" s="24" t="n">
        <f aca="false">IF(SUM(DM12,DJ12,DG12,DD12,DA12,CX12,CU12,CR12,CO12,CL12,CI12,CF12)=0,"",SUM(DM33,DJ33,DG33,DD33,DA33,CX33,CU33,CR33,CO33,CL33,CI33,CF33)/SUM(DM12,DJ12,DG12,DD12,DA12,CX12,CU12,CR12,CO12,CL12,CI12,CF12))</f>
        <v>97.6364638853152</v>
      </c>
      <c r="J34" s="24" t="n">
        <f aca="false">IF(SUM(DN12,DK12,DH12,DE12,DB12,CY12,CV12,CS12,CP12,CM12,CJ12,CG12)=0,"",SUM(DN33,DK33,DH33,DE33,DB33,CY33,CV33,CS33,CP33,CM33,CJ33,CG33)/SUM(DN12,DK12,DH12,DE12,DB12,CY12,CV12,CS12,CP12,CM12,CJ12,CG12))</f>
        <v>98.1505773672055</v>
      </c>
      <c r="K34" s="25" t="str">
        <f aca="false">IF(COUNT(K33,K12)=2,IF(N(K12)=0,"",K33/K12),"")</f>
        <v/>
      </c>
      <c r="L34" s="25" t="n">
        <f aca="false">IF(N(L12)=0,"",L33/L12)</f>
        <v>82.7763496143959</v>
      </c>
      <c r="M34" s="25" t="n">
        <f aca="false">IF(N(M12)=0,"",M33/M12)</f>
        <v>82.9362524146813</v>
      </c>
      <c r="N34" s="24" t="str">
        <f aca="false">IF(COUNT(N33,N12)=2,IF(N(N12)=0,"",N33/N12),"")</f>
        <v/>
      </c>
      <c r="O34" s="24" t="n">
        <f aca="false">IF(N(O12)=0,"",O33/O12)</f>
        <v>84.3483955468238</v>
      </c>
      <c r="P34" s="24" t="n">
        <f aca="false">IF(N(P12)=0,"",P33/P12)</f>
        <v>84.5144356955381</v>
      </c>
      <c r="Q34" s="25" t="str">
        <f aca="false">IF(COUNT(Q33,Q12)=2,IF(N(Q12)=0,"",Q33/Q12),"")</f>
        <v/>
      </c>
      <c r="R34" s="25" t="n">
        <f aca="false">IF(N(R12)=0,"",R33/R12)</f>
        <v>85.981308411215</v>
      </c>
      <c r="S34" s="25" t="n">
        <f aca="false">IF(N(S12)=0,"",S33/S12)</f>
        <v>86.1538461538462</v>
      </c>
      <c r="T34" s="24" t="str">
        <f aca="false">IF(COUNT(T33,T12)=2,IF(N(T12)=0,"",T33/T12),"")</f>
        <v/>
      </c>
      <c r="U34" s="24" t="n">
        <f aca="false">IF(N(U12)=0,"",U33/U12)</f>
        <v>87.6786929884275</v>
      </c>
      <c r="V34" s="24" t="n">
        <f aca="false">IF(N(V12)=0,"",V33/V12)</f>
        <v>87.8581173260573</v>
      </c>
      <c r="W34" s="25" t="str">
        <f aca="false">IF(COUNT(W33,W12)=2,IF(N(W12)=0,"",W33/W12),"")</f>
        <v/>
      </c>
      <c r="X34" s="25" t="n">
        <f aca="false">IF(N(X12)=0,"",X33/X12)</f>
        <v>89.4444444444444</v>
      </c>
      <c r="Y34" s="25" t="n">
        <f aca="false">IF(N(Y12)=0,"",Y33/Y12)</f>
        <v>89.6311760612387</v>
      </c>
      <c r="Z34" s="24" t="str">
        <f aca="false">IF(COUNT(Z33,Z12)=2,IF(N(Z12)=0,"",Z33/Z12),"")</f>
        <v/>
      </c>
      <c r="AA34" s="24" t="n">
        <f aca="false">IF(N(AA12)=0,"",AA33/AA12)</f>
        <v>91.2827781715096</v>
      </c>
      <c r="AB34" s="24" t="n">
        <f aca="false">IF(N(AB12)=0,"",AB33/AB12)</f>
        <v>91.4772727272727</v>
      </c>
      <c r="AC34" s="25" t="str">
        <f aca="false">IF(COUNT(AC33,AC12)=2,IF(N(AC12)=0,"",AC33/AC12),"")</f>
        <v/>
      </c>
      <c r="AD34" s="25" t="n">
        <f aca="false">IF(N(AD12)=0,"",AD33/AD12)</f>
        <v>93.2657494569153</v>
      </c>
      <c r="AE34" s="25" t="n">
        <f aca="false">IF(N(AE12)=0,"",AE33/AE12)</f>
        <v>93.4687953555878</v>
      </c>
      <c r="AF34" s="24" t="str">
        <f aca="false">IF(COUNT(AF33,AF12)=2,IF(N(AF12)=0,"",AF33/AF12),"")</f>
        <v/>
      </c>
      <c r="AG34" s="24" t="n">
        <f aca="false">IF(N(AG12)=0,"",AG33/AG12)</f>
        <v>95.3367875647668</v>
      </c>
      <c r="AH34" s="24" t="n">
        <f aca="false">IF(N(AH12)=0,"",AH33/AH12)</f>
        <v>95.5489614243324</v>
      </c>
      <c r="AI34" s="25" t="str">
        <f aca="false">IF(COUNT(AI33,AI12)=2,IF(N(AI12)=0,"",AI33/AI12),"")</f>
        <v/>
      </c>
      <c r="AJ34" s="25" t="n">
        <f aca="false">IF(N(AJ12)=0,"",AJ33/AJ12)</f>
        <v>97.5018925056775</v>
      </c>
      <c r="AK34" s="25" t="n">
        <f aca="false">IF(N(AK12)=0,"",AK33/AK12)</f>
        <v>97.7238239757208</v>
      </c>
      <c r="AL34" s="24" t="str">
        <f aca="false">IF(COUNT(AL33,AL12)=2,IF(N(AL12)=0,"",AL33/AL12),"")</f>
        <v/>
      </c>
      <c r="AM34" s="24" t="n">
        <f aca="false">IF(N(AM12)=0,"",AM33/AM12)</f>
        <v>99.7676219984508</v>
      </c>
      <c r="AN34" s="24" t="n">
        <f aca="false">IF(N(AN12)=0,"",AN33/AN12)</f>
        <v>100</v>
      </c>
      <c r="AO34" s="25" t="str">
        <f aca="false">IF(COUNT(AO33,AO12)=2,IF(N(AO12)=0,"",AO33/AO12),"")</f>
        <v/>
      </c>
      <c r="AP34" s="25" t="n">
        <f aca="false">IF(N(AP12)=0,"",AP33/AP12)</f>
        <v>102.141157811261</v>
      </c>
      <c r="AQ34" s="25" t="n">
        <f aca="false">IF(N(AQ12)=0,"",AQ33/AQ12)</f>
        <v>102.384737678855</v>
      </c>
      <c r="AR34" s="24" t="str">
        <f aca="false">IF(COUNT(AR33,AR12)=2,IF(N(AR12)=0,"",AR33/AR12),"")</f>
        <v/>
      </c>
      <c r="AS34" s="24" t="n">
        <f aca="false">IF(N(AS12)=0,"",AS33/AS12)</f>
        <v>95.9226430298147</v>
      </c>
      <c r="AT34" s="24" t="n">
        <f aca="false">IF(N(AT12)=0,"",AT33/AT12)</f>
        <v>96.1550888529887</v>
      </c>
      <c r="AU34" s="25" t="str">
        <f aca="false">IF(COUNT(AU33,AU12)=2,IF(N(AU12)=0,"",AU33/AU12),"")</f>
        <v/>
      </c>
      <c r="AV34" s="25" t="n">
        <f aca="false">IF(N(AV12)=0,"",AV33/AV12)</f>
        <v>97.5737704918033</v>
      </c>
      <c r="AW34" s="25" t="n">
        <f aca="false">IF(N(AW12)=0,"",AW33/AW12)</f>
        <v>97.8142974527527</v>
      </c>
      <c r="AX34" s="24" t="str">
        <f aca="false">IF(COUNT(AX33,AX12)=2,IF(N(AX12)=0,"",AX33/AX12),"")</f>
        <v/>
      </c>
      <c r="AY34" s="24" t="n">
        <f aca="false">IF(N(AY12)=0,"",AY33/AY12)</f>
        <v>99.2827356130108</v>
      </c>
      <c r="AZ34" s="24" t="n">
        <f aca="false">IF(N(AZ12)=0,"",AZ33/AZ12)</f>
        <v>99.5317725752508</v>
      </c>
      <c r="BA34" s="25" t="str">
        <f aca="false">IF(COUNT(BA33,BA12)=2,IF(N(BA12)=0,"",BA33/BA12),"")</f>
        <v/>
      </c>
      <c r="BB34" s="25" t="n">
        <f aca="false">IF(N(BB12)=0,"",BB33/BB12)</f>
        <v>101.052631578947</v>
      </c>
      <c r="BC34" s="25" t="n">
        <f aca="false">IF(N(BC12)=0,"",BC33/BC12)</f>
        <v>101.310638297872</v>
      </c>
      <c r="BD34" s="24" t="str">
        <f aca="false">IF(COUNT(BD33,BD12)=2,IF(N(BD12)=0,"",BD33/BD12),"")</f>
        <v/>
      </c>
      <c r="BE34" s="24" t="n">
        <f aca="false">IF(N(BE12)=0,"",BE33/BE12)</f>
        <v>102.886776145203</v>
      </c>
      <c r="BF34" s="24" t="n">
        <f aca="false">IF(N(BF12)=0,"",BF33/BF12)</f>
        <v>103.15424610052</v>
      </c>
      <c r="BG34" s="25" t="str">
        <f aca="false">IF(COUNT(BG33,BG12)=2,IF(N(BG12)=0,"",BG33/BG12),"")</f>
        <v/>
      </c>
      <c r="BH34" s="25" t="n">
        <f aca="false">IF(N(BH12)=0,"",BH33/BH12)</f>
        <v>96.1971830985916</v>
      </c>
      <c r="BI34" s="25" t="n">
        <f aca="false">IF(N(BI12)=0,"",BI33/BI12)</f>
        <v>96.4518976169462</v>
      </c>
      <c r="BJ34" s="24" t="str">
        <f aca="false">IF(COUNT(BJ33,BJ12)=2,IF(N(BJ12)=0,"",BJ33/BJ12),"")</f>
        <v/>
      </c>
      <c r="BK34" s="24" t="n">
        <f aca="false">IF(N(BK12)=0,"",BK33/BK12)</f>
        <v>98.0089686098655</v>
      </c>
      <c r="BL34" s="24" t="n">
        <f aca="false">IF(N(BL12)=0,"",BL33/BL12)</f>
        <v>98.273381294964</v>
      </c>
      <c r="BM34" s="25" t="str">
        <f aca="false">IF(COUNT(BM33,BM12)=2,IF(N(BM12)=0,"",BM33/BM12),"")</f>
        <v/>
      </c>
      <c r="BN34" s="25" t="n">
        <f aca="false">IF(N(BN12)=0,"",BN33/BN12)</f>
        <v>99.890310786106</v>
      </c>
      <c r="BO34" s="25" t="n">
        <f aca="false">IF(N(BO12)=0,"",BO33/BO12)</f>
        <v>100.164986251146</v>
      </c>
      <c r="BP34" s="24" t="str">
        <f aca="false">IF(COUNT(BP33,BP12)=2,IF(N(BP12)=0,"",BP33/BP12),"")</f>
        <v/>
      </c>
      <c r="BQ34" s="24" t="n">
        <f aca="false">IF(N(BQ12)=0,"",BQ33/BQ12)</f>
        <v>92.7493010251631</v>
      </c>
      <c r="BR34" s="24" t="n">
        <f aca="false">IF(N(BR12)=0,"",BR33/BR12)</f>
        <v>93.0093457943925</v>
      </c>
      <c r="BS34" s="25" t="str">
        <f aca="false">IF(COUNT(BS33,BS12)=2,IF(N(BS12)=0,"",BS33/BS12),"")</f>
        <v/>
      </c>
      <c r="BT34" s="25" t="n">
        <f aca="false">IF(N(BT12)=0,"",BT33/BT12)</f>
        <v>86.5651760228354</v>
      </c>
      <c r="BU34" s="25" t="n">
        <f aca="false">IF(N(BU12)=0,"",BU33/BU12)</f>
        <v>86.8129770992367</v>
      </c>
      <c r="BV34" s="24" t="str">
        <f aca="false">IF(COUNT(BV33,BV12)=2,IF(N(BV12)=0,"",BV33/BV12),"")</f>
        <v/>
      </c>
      <c r="BW34" s="24" t="n">
        <f aca="false">IF(N(BW12)=0,"",BW33/BW12)</f>
        <v>88.4159378036929</v>
      </c>
      <c r="BX34" s="24" t="n">
        <f aca="false">IF(N(BX12)=0,"",BX33/BX12)</f>
        <v>88.6744639376218</v>
      </c>
      <c r="BY34" s="25" t="str">
        <f aca="false">IF(COUNT(BY33,BY12)=2,IF(N(BY12)=0,"",BY33/BY12),"")</f>
        <v/>
      </c>
      <c r="BZ34" s="25" t="n">
        <f aca="false">IF(N(BZ12)=0,"",BZ33/BZ12)</f>
        <v>90.3475670307845</v>
      </c>
      <c r="CA34" s="25" t="n">
        <f aca="false">IF(N(CA12)=0,"",CA33/CA12)</f>
        <v>90.6175298804781</v>
      </c>
      <c r="CB34" s="24" t="str">
        <f aca="false">IF(COUNT(CB33,CB12)=2,IF(N(CB12)=0,"",CB33/CB12),"")</f>
        <v/>
      </c>
      <c r="CC34" s="24" t="n">
        <f aca="false">IF(N(CC12)=0,"",CC33/CC12)</f>
        <v>91.5291750503018</v>
      </c>
      <c r="CD34" s="24" t="n">
        <f aca="false">IF(N(CD12)=0,"",CD33/CD12)</f>
        <v>91.8062563067608</v>
      </c>
      <c r="CE34" s="25" t="str">
        <f aca="false">IF(COUNT(CE33,CE12)=2,IF(N(CE12)=0,"",CE33/CE12),"")</f>
        <v/>
      </c>
      <c r="CF34" s="25" t="n">
        <f aca="false">IF(N(CF12)=0,"",CF33/CF12)</f>
        <v>92.7420998980632</v>
      </c>
      <c r="CG34" s="25" t="n">
        <f aca="false">IF(N(CG12)=0,"",CG33/CG12)</f>
        <v>93.0265848670757</v>
      </c>
      <c r="CH34" s="24" t="str">
        <f aca="false">IF(COUNT(CH33,CH12)=2,IF(N(CH12)=0,"",CH33/CH12),"")</f>
        <v/>
      </c>
      <c r="CI34" s="24" t="n">
        <f aca="false">IF(N(CI12)=0,"",CI33/CI12)</f>
        <v>93.9876033057851</v>
      </c>
      <c r="CJ34" s="24" t="n">
        <f aca="false">IF(N(CJ12)=0,"",CJ33/CJ12)</f>
        <v>94.279792746114</v>
      </c>
      <c r="CK34" s="25" t="str">
        <f aca="false">IF(COUNT(CK33,CK12)=2,IF(N(CK12)=0,"",CK33/CK12),"")</f>
        <v/>
      </c>
      <c r="CL34" s="25" t="n">
        <f aca="false">IF(N(CL12)=0,"",CL33/CL12)</f>
        <v>95.2670157068063</v>
      </c>
      <c r="CM34" s="25" t="n">
        <f aca="false">IF(N(CM12)=0,"",CM33/CM12)</f>
        <v>95.5672268907563</v>
      </c>
      <c r="CN34" s="24" t="str">
        <f aca="false">IF(COUNT(CN33,CN12)=2,IF(N(CN12)=0,"",CN33/CN12),"")</f>
        <v/>
      </c>
      <c r="CO34" s="24" t="n">
        <f aca="false">IF(N(CO12)=0,"",CO33/CO12)</f>
        <v>96.5817409766454</v>
      </c>
      <c r="CP34" s="24" t="n">
        <f aca="false">IF(N(CP12)=0,"",CP33/CP12)</f>
        <v>96.8903088391906</v>
      </c>
      <c r="CQ34" s="25" t="str">
        <f aca="false">IF(COUNT(CQ33,CQ12)=2,IF(N(CQ12)=0,"",CQ33/CQ12),"")</f>
        <v/>
      </c>
      <c r="CR34" s="25" t="n">
        <f aca="false">IF(N(CR12)=0,"",CR33/CR12)</f>
        <v>97.9332615715824</v>
      </c>
      <c r="CS34" s="25" t="n">
        <f aca="false">IF(N(CS12)=0,"",CS33/CS12)</f>
        <v>98.2505399568035</v>
      </c>
      <c r="CT34" s="24" t="str">
        <f aca="false">IF(COUNT(CT33,CT12)=2,IF(N(CT12)=0,"",CT33/CT12),"")</f>
        <v/>
      </c>
      <c r="CU34" s="24" t="n">
        <f aca="false">IF(N(CU12)=0,"",CU33/CU12)</f>
        <v>99.3231441048035</v>
      </c>
      <c r="CV34" s="24" t="n">
        <f aca="false">IF(N(CV12)=0,"",CV33/CV12)</f>
        <v>99.6495071193866</v>
      </c>
      <c r="CW34" s="25" t="str">
        <f aca="false">IF(COUNT(CW33,CW12)=2,IF(N(CW12)=0,"",CW33/CW12),"")</f>
        <v/>
      </c>
      <c r="CX34" s="25" t="n">
        <f aca="false">IF(N(CX12)=0,"",CX33/CX12)</f>
        <v>100.753045404208</v>
      </c>
      <c r="CY34" s="25" t="n">
        <f aca="false">IF(N(CY12)=0,"",CY33/CY12)</f>
        <v>101.088888888889</v>
      </c>
      <c r="CZ34" s="24" t="str">
        <f aca="false">IF(COUNT(CZ33,CZ12)=2,IF(N(CZ12)=0,"",CZ33/CZ12),"")</f>
        <v/>
      </c>
      <c r="DA34" s="24" t="n">
        <f aca="false">IF(N(DA12)=0,"",DA33/DA12)</f>
        <v>102.339707536558</v>
      </c>
      <c r="DB34" s="24" t="n">
        <f aca="false">IF(N(DB12)=0,"",DB33/DB12)</f>
        <v>102.686230248307</v>
      </c>
      <c r="DC34" s="25" t="str">
        <f aca="false">IF(COUNT(DC33,DC12)=2,IF(N(DC12)=0,"",DC33/DC12),"")</f>
        <v/>
      </c>
      <c r="DD34" s="25" t="n">
        <f aca="false">IF(N(DD12)=0,"",DD33/DD12)</f>
        <v>103.977142857143</v>
      </c>
      <c r="DE34" s="25" t="n">
        <f aca="false">IF(N(DE12)=0,"",DE33/DE12)</f>
        <v>104.334862385321</v>
      </c>
      <c r="DF34" s="24" t="str">
        <f aca="false">IF(COUNT(DF33,DF12)=2,IF(N(DF12)=0,"",DF33/DF12),"")</f>
        <v/>
      </c>
      <c r="DG34" s="24" t="n">
        <f aca="false">IF(N(DG12)=0,"",DG33/DG12)</f>
        <v>95.5529411764706</v>
      </c>
      <c r="DH34" s="24" t="n">
        <f aca="false">IF(N(DH12)=0,"",DH33/DH12)</f>
        <v>96.8057210965435</v>
      </c>
      <c r="DI34" s="25" t="n">
        <f aca="false">IF(COUNT(DI33,DI12)=2,IF(N(DI12)=0,"",DI33/DI12),"")</f>
        <v>96.2322274881517</v>
      </c>
      <c r="DJ34" s="25" t="n">
        <f aca="false">IF(N(DJ12)=0,"",DJ33/DJ12)</f>
        <v>96.2322274881517</v>
      </c>
      <c r="DK34" s="25" t="n">
        <f aca="false">IF(N(DK12)=0,"",DK33/DK12)</f>
        <v>98.4484848484849</v>
      </c>
      <c r="DL34" s="24" t="n">
        <f aca="false">IF(COUNT(DL33,DL12)=2,IF(N(DL12)=0,"",DL33/DL12),"")</f>
        <v>97.855421686747</v>
      </c>
      <c r="DM34" s="24" t="n">
        <f aca="false">IF(N(DM12)=0,"",DM33/DM12)</f>
        <v>97.855421686747</v>
      </c>
      <c r="DN34" s="24" t="n">
        <f aca="false">IF(N(DN12)=0,"",DN33/DN12)</f>
        <v>97.855421686747</v>
      </c>
    </row>
    <row r="35" customFormat="false" ht="15.75" hidden="false" customHeight="true" outlineLevel="0" collapsed="false">
      <c r="A35" s="17" t="s">
        <v>118</v>
      </c>
      <c r="B35" s="91"/>
      <c r="C35" s="91"/>
      <c r="D35" s="91"/>
      <c r="H35" s="91"/>
      <c r="I35" s="91"/>
      <c r="J35" s="91"/>
      <c r="N35" s="91"/>
      <c r="O35" s="91"/>
      <c r="P35" s="91"/>
      <c r="T35" s="91"/>
      <c r="U35" s="91"/>
      <c r="V35" s="91"/>
      <c r="Z35" s="91"/>
      <c r="AA35" s="91"/>
      <c r="AB35" s="91"/>
      <c r="AF35" s="91"/>
      <c r="AG35" s="91"/>
      <c r="AH35" s="91"/>
      <c r="AL35" s="91"/>
      <c r="AM35" s="91"/>
      <c r="AN35" s="91"/>
      <c r="AR35" s="91"/>
      <c r="AS35" s="91"/>
      <c r="AT35" s="91"/>
      <c r="AX35" s="91"/>
      <c r="AY35" s="91"/>
      <c r="AZ35" s="91"/>
      <c r="BD35" s="91"/>
      <c r="BE35" s="91"/>
      <c r="BF35" s="91"/>
      <c r="BJ35" s="91"/>
      <c r="BK35" s="91"/>
      <c r="BL35" s="91"/>
      <c r="BP35" s="91"/>
      <c r="BQ35" s="91"/>
      <c r="BR35" s="91"/>
      <c r="BV35" s="91"/>
      <c r="BW35" s="91"/>
      <c r="BX35" s="91"/>
      <c r="CB35" s="91"/>
      <c r="CC35" s="91"/>
      <c r="CD35" s="91"/>
      <c r="CH35" s="91"/>
      <c r="CI35" s="91"/>
      <c r="CJ35" s="91"/>
      <c r="CN35" s="91"/>
      <c r="CO35" s="91"/>
      <c r="CP35" s="91"/>
      <c r="CT35" s="91"/>
      <c r="CU35" s="91"/>
      <c r="CV35" s="91"/>
      <c r="CZ35" s="91"/>
      <c r="DA35" s="91"/>
      <c r="DB35" s="91"/>
      <c r="DF35" s="91"/>
      <c r="DG35" s="91"/>
      <c r="DH35" s="91"/>
      <c r="DL35" s="91"/>
      <c r="DM35" s="91"/>
      <c r="DN35" s="91"/>
    </row>
    <row r="36" customFormat="false" ht="15.75" hidden="false" customHeight="true" outlineLevel="0" collapsed="false">
      <c r="A36" s="5" t="s">
        <v>227</v>
      </c>
      <c r="B36" s="12" t="str">
        <f aca="false">IF(COUNT(AR36,AO36,AL36,AI36,AF36,AC36,Z36,W36,T36,Q36,N36,K36)=0,"",SUM(AR36,AO36,AL36,AI36,AF36,AC36,Z36,W36,T36,Q36,N36,K36))</f>
        <v/>
      </c>
      <c r="C36" s="12" t="n">
        <f aca="false">IF(COUNT(AS36,AP36,AM36,AJ36,AG36,AD36,AA36,X36,U36,R36,O36,L36)=0,"",SUM(AS36,AP36,AM36,AJ36,AG36,AD36,AA36,X36,U36,R36,O36,L36))</f>
        <v>144000</v>
      </c>
      <c r="D36" s="12" t="n">
        <f aca="false">IF(COUNT(AT36,AQ36,AN36,AK36,AH36,AE36,AB36,Y36,V36,S36,P36,M36)=0,"",SUM(AT36,AQ36,AN36,AK36,AH36,AE36,AB36,Y36,V36,S36,P36,M36))</f>
        <v>144000</v>
      </c>
      <c r="E36" s="13" t="str">
        <f aca="false">IF(COUNT(CB36,BY36,BV36,BS36,BP36,BM36,BJ36,BG36,BD36,BA36,AX36,AU36)=0,"",SUM(CB36,BY36,BV36,BS36,BP36,BM36,BJ36,BG36,BD36,BA36,AX36,AU36))</f>
        <v/>
      </c>
      <c r="F36" s="13" t="n">
        <f aca="false">IF(COUNT(CC36,BZ36,BW36,BT36,BQ36,BN36,BK36,BH36,BE36,BB36,AY36,AV36)=0,"",SUM(CC36,BZ36,BW36,BT36,BQ36,BN36,BK36,BH36,BE36,BB36,AY36,AV36))</f>
        <v>144000</v>
      </c>
      <c r="G36" s="13" t="n">
        <f aca="false">IF(COUNT(CD36,CA36,BX36,BU36,BR36,BO36,BL36,BI36,BF36,BC36,AZ36,AW36)=0,"",SUM(CD36,CA36,BX36,BU36,BR36,BO36,BL36,BI36,BF36,BC36,AZ36,AW36))</f>
        <v>144000</v>
      </c>
      <c r="H36" s="12" t="n">
        <f aca="false">IF(COUNT(DL36,DI36,DF36,DC36,CZ36,CW36,CT36,CQ36,CN36,CK36,CH36,CE36)=0,"",SUM(DL36,DI36,DF36,DC36,CZ36,CW36,CT36,CQ36,CN36,CK36,CH36,CE36))</f>
        <v>24000</v>
      </c>
      <c r="I36" s="12" t="n">
        <f aca="false">IF(COUNT(DM36,DJ36,DG36,DD36,DA36,CX36,CU36,CR36,CO36,CL36,CI36,CF36)=0,"",SUM(DM36,DJ36,DG36,DD36,DA36,CX36,CU36,CR36,CO36,CL36,CI36,CF36))</f>
        <v>144000</v>
      </c>
      <c r="J36" s="12" t="n">
        <f aca="false">IF(COUNT(DN36,DK36,DH36,DE36,DB36,CY36,CV36,CS36,CP36,CM36,CJ36,CG36)=0,"",SUM(DN36,DK36,DH36,DE36,DB36,CY36,CV36,CS36,CP36,CM36,CJ36,CG36))</f>
        <v>144000</v>
      </c>
      <c r="K36" s="13"/>
      <c r="L36" s="13" t="n">
        <f aca="false">IF('Cash Drivers'!L$26,'Customer Success'!K36,'Customer Success'!M36)</f>
        <v>12000</v>
      </c>
      <c r="M36" s="89" t="n">
        <v>12000</v>
      </c>
      <c r="N36" s="12"/>
      <c r="O36" s="12" t="n">
        <f aca="false">IF('Cash Drivers'!O$26,'Customer Success'!N36,'Customer Success'!P36)</f>
        <v>12000</v>
      </c>
      <c r="P36" s="90" t="n">
        <v>12000</v>
      </c>
      <c r="Q36" s="13"/>
      <c r="R36" s="13" t="n">
        <f aca="false">IF('Cash Drivers'!R$26,'Customer Success'!Q36,'Customer Success'!S36)</f>
        <v>12000</v>
      </c>
      <c r="S36" s="89" t="n">
        <v>12000</v>
      </c>
      <c r="T36" s="12"/>
      <c r="U36" s="12" t="n">
        <f aca="false">IF('Cash Drivers'!U$26,'Customer Success'!T36,'Customer Success'!V36)</f>
        <v>12000</v>
      </c>
      <c r="V36" s="90" t="n">
        <v>12000</v>
      </c>
      <c r="W36" s="13"/>
      <c r="X36" s="13" t="n">
        <f aca="false">IF('Cash Drivers'!X$26,'Customer Success'!W36,'Customer Success'!Y36)</f>
        <v>12000</v>
      </c>
      <c r="Y36" s="89" t="n">
        <v>12000</v>
      </c>
      <c r="Z36" s="12"/>
      <c r="AA36" s="12" t="n">
        <f aca="false">IF('Cash Drivers'!AA$26,'Customer Success'!Z36,'Customer Success'!AB36)</f>
        <v>12000</v>
      </c>
      <c r="AB36" s="90" t="n">
        <v>12000</v>
      </c>
      <c r="AC36" s="13"/>
      <c r="AD36" s="13" t="n">
        <f aca="false">IF('Cash Drivers'!AD$26,'Customer Success'!AC36,'Customer Success'!AE36)</f>
        <v>12000</v>
      </c>
      <c r="AE36" s="89" t="n">
        <v>12000</v>
      </c>
      <c r="AF36" s="12"/>
      <c r="AG36" s="12" t="n">
        <f aca="false">IF('Cash Drivers'!AG$26,'Customer Success'!AF36,'Customer Success'!AH36)</f>
        <v>12000</v>
      </c>
      <c r="AH36" s="90" t="n">
        <v>12000</v>
      </c>
      <c r="AI36" s="13"/>
      <c r="AJ36" s="13" t="n">
        <f aca="false">IF('Cash Drivers'!AJ$26,'Customer Success'!AI36,'Customer Success'!AK36)</f>
        <v>12000</v>
      </c>
      <c r="AK36" s="89" t="n">
        <v>12000</v>
      </c>
      <c r="AL36" s="12"/>
      <c r="AM36" s="12" t="n">
        <f aca="false">IF('Cash Drivers'!AM$26,'Customer Success'!AL36,'Customer Success'!AN36)</f>
        <v>12000</v>
      </c>
      <c r="AN36" s="90" t="n">
        <v>12000</v>
      </c>
      <c r="AO36" s="13"/>
      <c r="AP36" s="13" t="n">
        <f aca="false">IF('Cash Drivers'!AP$26,'Customer Success'!AO36,'Customer Success'!AQ36)</f>
        <v>12000</v>
      </c>
      <c r="AQ36" s="89" t="n">
        <v>12000</v>
      </c>
      <c r="AR36" s="12"/>
      <c r="AS36" s="12" t="n">
        <f aca="false">IF('Cash Drivers'!AS$26,'Customer Success'!AR36,'Customer Success'!AT36)</f>
        <v>12000</v>
      </c>
      <c r="AT36" s="90" t="n">
        <v>12000</v>
      </c>
      <c r="AU36" s="13"/>
      <c r="AV36" s="13" t="n">
        <f aca="false">IF('Cash Drivers'!AV$26,'Customer Success'!AU36,'Customer Success'!AW36)</f>
        <v>12000</v>
      </c>
      <c r="AW36" s="89" t="n">
        <v>12000</v>
      </c>
      <c r="AX36" s="12"/>
      <c r="AY36" s="12" t="n">
        <f aca="false">IF('Cash Drivers'!AY$26,'Customer Success'!AX36,'Customer Success'!AZ36)</f>
        <v>12000</v>
      </c>
      <c r="AZ36" s="90" t="n">
        <v>12000</v>
      </c>
      <c r="BA36" s="13"/>
      <c r="BB36" s="13" t="n">
        <f aca="false">IF('Cash Drivers'!BB$26,'Customer Success'!BA36,'Customer Success'!BC36)</f>
        <v>12000</v>
      </c>
      <c r="BC36" s="89" t="n">
        <v>12000</v>
      </c>
      <c r="BD36" s="12"/>
      <c r="BE36" s="12" t="n">
        <f aca="false">IF('Cash Drivers'!BE$26,'Customer Success'!BD36,'Customer Success'!BF36)</f>
        <v>12000</v>
      </c>
      <c r="BF36" s="90" t="n">
        <v>12000</v>
      </c>
      <c r="BG36" s="13"/>
      <c r="BH36" s="13" t="n">
        <f aca="false">IF('Cash Drivers'!BH$26,'Customer Success'!BG36,'Customer Success'!BI36)</f>
        <v>12000</v>
      </c>
      <c r="BI36" s="89" t="n">
        <v>12000</v>
      </c>
      <c r="BJ36" s="12"/>
      <c r="BK36" s="12" t="n">
        <f aca="false">IF('Cash Drivers'!BK$26,'Customer Success'!BJ36,'Customer Success'!BL36)</f>
        <v>12000</v>
      </c>
      <c r="BL36" s="90" t="n">
        <v>12000</v>
      </c>
      <c r="BM36" s="13"/>
      <c r="BN36" s="13" t="n">
        <f aca="false">IF('Cash Drivers'!BN$26,'Customer Success'!BM36,'Customer Success'!BO36)</f>
        <v>12000</v>
      </c>
      <c r="BO36" s="89" t="n">
        <v>12000</v>
      </c>
      <c r="BP36" s="12"/>
      <c r="BQ36" s="12" t="n">
        <f aca="false">IF('Cash Drivers'!BQ$26,'Customer Success'!BP36,'Customer Success'!BR36)</f>
        <v>12000</v>
      </c>
      <c r="BR36" s="90" t="n">
        <v>12000</v>
      </c>
      <c r="BS36" s="13"/>
      <c r="BT36" s="13" t="n">
        <f aca="false">IF('Cash Drivers'!BT$26,'Customer Success'!BS36,'Customer Success'!BU36)</f>
        <v>12000</v>
      </c>
      <c r="BU36" s="89" t="n">
        <v>12000</v>
      </c>
      <c r="BV36" s="12"/>
      <c r="BW36" s="12" t="n">
        <f aca="false">IF('Cash Drivers'!BW$26,'Customer Success'!BV36,'Customer Success'!BX36)</f>
        <v>12000</v>
      </c>
      <c r="BX36" s="90" t="n">
        <v>12000</v>
      </c>
      <c r="BY36" s="13"/>
      <c r="BZ36" s="13" t="n">
        <f aca="false">IF('Cash Drivers'!BZ$26,'Customer Success'!BY36,'Customer Success'!CA36)</f>
        <v>12000</v>
      </c>
      <c r="CA36" s="89" t="n">
        <v>12000</v>
      </c>
      <c r="CB36" s="12"/>
      <c r="CC36" s="12" t="n">
        <f aca="false">IF('Cash Drivers'!CC$26,'Customer Success'!CB36,'Customer Success'!CD36)</f>
        <v>12000</v>
      </c>
      <c r="CD36" s="90" t="n">
        <v>12000</v>
      </c>
      <c r="CE36" s="13"/>
      <c r="CF36" s="13" t="n">
        <f aca="false">IF('Cash Drivers'!CF$26,'Customer Success'!CE36,'Customer Success'!CG36)</f>
        <v>12000</v>
      </c>
      <c r="CG36" s="89" t="n">
        <v>12000</v>
      </c>
      <c r="CH36" s="12"/>
      <c r="CI36" s="12" t="n">
        <f aca="false">IF('Cash Drivers'!CI$26,'Customer Success'!CH36,'Customer Success'!CJ36)</f>
        <v>12000</v>
      </c>
      <c r="CJ36" s="90" t="n">
        <v>12000</v>
      </c>
      <c r="CK36" s="13"/>
      <c r="CL36" s="13" t="n">
        <f aca="false">IF('Cash Drivers'!CL$26,'Customer Success'!CK36,'Customer Success'!CM36)</f>
        <v>12000</v>
      </c>
      <c r="CM36" s="89" t="n">
        <v>12000</v>
      </c>
      <c r="CN36" s="12"/>
      <c r="CO36" s="12" t="n">
        <f aca="false">IF('Cash Drivers'!CO$26,'Customer Success'!CN36,'Customer Success'!CP36)</f>
        <v>12000</v>
      </c>
      <c r="CP36" s="90" t="n">
        <v>12000</v>
      </c>
      <c r="CQ36" s="13"/>
      <c r="CR36" s="13" t="n">
        <f aca="false">IF('Cash Drivers'!CR$26,'Customer Success'!CQ36,'Customer Success'!CS36)</f>
        <v>12000</v>
      </c>
      <c r="CS36" s="89" t="n">
        <v>12000</v>
      </c>
      <c r="CT36" s="12"/>
      <c r="CU36" s="12" t="n">
        <f aca="false">IF('Cash Drivers'!CU$26,'Customer Success'!CT36,'Customer Success'!CV36)</f>
        <v>12000</v>
      </c>
      <c r="CV36" s="90" t="n">
        <v>12000</v>
      </c>
      <c r="CW36" s="13"/>
      <c r="CX36" s="13" t="n">
        <f aca="false">IF('Cash Drivers'!CX$26,'Customer Success'!CW36,'Customer Success'!CY36)</f>
        <v>12000</v>
      </c>
      <c r="CY36" s="89" t="n">
        <v>12000</v>
      </c>
      <c r="CZ36" s="12"/>
      <c r="DA36" s="12" t="n">
        <f aca="false">IF('Cash Drivers'!DA$26,'Customer Success'!CZ36,'Customer Success'!DB36)</f>
        <v>12000</v>
      </c>
      <c r="DB36" s="90" t="n">
        <v>12000</v>
      </c>
      <c r="DC36" s="13"/>
      <c r="DD36" s="13" t="n">
        <f aca="false">IF('Cash Drivers'!DD$26,'Customer Success'!DC36,'Customer Success'!DE36)</f>
        <v>12000</v>
      </c>
      <c r="DE36" s="89" t="n">
        <v>12000</v>
      </c>
      <c r="DF36" s="12"/>
      <c r="DG36" s="12" t="n">
        <f aca="false">IF('Cash Drivers'!DG$26,'Customer Success'!DF36,'Customer Success'!DH36)</f>
        <v>12000</v>
      </c>
      <c r="DH36" s="90" t="n">
        <v>12000</v>
      </c>
      <c r="DI36" s="89" t="n">
        <v>12000</v>
      </c>
      <c r="DJ36" s="13" t="n">
        <f aca="false">IF('Cash Drivers'!DJ$26,'Customer Success'!DI36,'Customer Success'!DK36)</f>
        <v>12000</v>
      </c>
      <c r="DK36" s="89" t="n">
        <v>12000</v>
      </c>
      <c r="DL36" s="90" t="n">
        <v>12000</v>
      </c>
      <c r="DM36" s="12" t="n">
        <f aca="false">IF('Cash Drivers'!DM$26,'Customer Success'!DL36,'Customer Success'!DN36)</f>
        <v>12000</v>
      </c>
      <c r="DN36" s="90" t="n">
        <v>12000</v>
      </c>
    </row>
    <row r="37" customFormat="false" ht="15.75" hidden="false" customHeight="true" outlineLevel="0" collapsed="false">
      <c r="A37" s="5" t="s">
        <v>228</v>
      </c>
      <c r="B37" s="12" t="str">
        <f aca="false">IF(COUNT(AR37,AO37,AL37,AI37,AF37,AC37,Z37,W37,T37,Q37,N37,K37)=0,"",SUM(AR37,AO37,AL37,AI37,AF37,AC37,Z37,W37,T37,Q37,N37,K37))</f>
        <v/>
      </c>
      <c r="C37" s="12" t="n">
        <f aca="false">IF(COUNT(AS37,AP37,AM37,AJ37,AG37,AD37,AA37,X37,U37,R37,O37,L37)=0,"",SUM(AS37,AP37,AM37,AJ37,AG37,AD37,AA37,X37,U37,R37,O37,L37))</f>
        <v>108000</v>
      </c>
      <c r="D37" s="12" t="n">
        <f aca="false">IF(COUNT(AT37,AQ37,AN37,AK37,AH37,AE37,AB37,Y37,V37,S37,P37,M37)=0,"",SUM(AT37,AQ37,AN37,AK37,AH37,AE37,AB37,Y37,V37,S37,P37,M37))</f>
        <v>108000</v>
      </c>
      <c r="E37" s="13" t="str">
        <f aca="false">IF(COUNT(CB37,BY37,BV37,BS37,BP37,BM37,BJ37,BG37,BD37,BA37,AX37,AU37)=0,"",SUM(CB37,BY37,BV37,BS37,BP37,BM37,BJ37,BG37,BD37,BA37,AX37,AU37))</f>
        <v/>
      </c>
      <c r="F37" s="13" t="n">
        <f aca="false">IF(COUNT(CC37,BZ37,BW37,BT37,BQ37,BN37,BK37,BH37,BE37,BB37,AY37,AV37)=0,"",SUM(CC37,BZ37,BW37,BT37,BQ37,BN37,BK37,BH37,BE37,BB37,AY37,AV37))</f>
        <v>108000</v>
      </c>
      <c r="G37" s="13" t="n">
        <f aca="false">IF(COUNT(CD37,CA37,BX37,BU37,BR37,BO37,BL37,BI37,BF37,BC37,AZ37,AW37)=0,"",SUM(CD37,CA37,BX37,BU37,BR37,BO37,BL37,BI37,BF37,BC37,AZ37,AW37))</f>
        <v>108000</v>
      </c>
      <c r="H37" s="12" t="n">
        <f aca="false">IF(COUNT(DL37,DI37,DF37,DC37,CZ37,CW37,CT37,CQ37,CN37,CK37,CH37,CE37)=0,"",SUM(DL37,DI37,DF37,DC37,CZ37,CW37,CT37,CQ37,CN37,CK37,CH37,CE37))</f>
        <v>18000</v>
      </c>
      <c r="I37" s="12" t="n">
        <f aca="false">IF(COUNT(DM37,DJ37,DG37,DD37,DA37,CX37,CU37,CR37,CO37,CL37,CI37,CF37)=0,"",SUM(DM37,DJ37,DG37,DD37,DA37,CX37,CU37,CR37,CO37,CL37,CI37,CF37))</f>
        <v>108000</v>
      </c>
      <c r="J37" s="12" t="n">
        <f aca="false">IF(COUNT(DN37,DK37,DH37,DE37,DB37,CY37,CV37,CS37,CP37,CM37,CJ37,CG37)=0,"",SUM(DN37,DK37,DH37,DE37,DB37,CY37,CV37,CS37,CP37,CM37,CJ37,CG37))</f>
        <v>108000</v>
      </c>
      <c r="K37" s="13"/>
      <c r="L37" s="13" t="n">
        <f aca="false">IF('Cash Drivers'!L$26,'Customer Success'!K37,'Customer Success'!M37)</f>
        <v>9000</v>
      </c>
      <c r="M37" s="89" t="n">
        <v>9000</v>
      </c>
      <c r="N37" s="12"/>
      <c r="O37" s="12" t="n">
        <f aca="false">IF('Cash Drivers'!O$26,'Customer Success'!N37,'Customer Success'!P37)</f>
        <v>9000</v>
      </c>
      <c r="P37" s="90" t="n">
        <v>9000</v>
      </c>
      <c r="Q37" s="13"/>
      <c r="R37" s="13" t="n">
        <f aca="false">IF('Cash Drivers'!R$26,'Customer Success'!Q37,'Customer Success'!S37)</f>
        <v>9000</v>
      </c>
      <c r="S37" s="89" t="n">
        <v>9000</v>
      </c>
      <c r="T37" s="12"/>
      <c r="U37" s="12" t="n">
        <f aca="false">IF('Cash Drivers'!U$26,'Customer Success'!T37,'Customer Success'!V37)</f>
        <v>9000</v>
      </c>
      <c r="V37" s="90" t="n">
        <v>9000</v>
      </c>
      <c r="W37" s="13"/>
      <c r="X37" s="13" t="n">
        <f aca="false">IF('Cash Drivers'!X$26,'Customer Success'!W37,'Customer Success'!Y37)</f>
        <v>9000</v>
      </c>
      <c r="Y37" s="89" t="n">
        <v>9000</v>
      </c>
      <c r="Z37" s="12"/>
      <c r="AA37" s="12" t="n">
        <f aca="false">IF('Cash Drivers'!AA$26,'Customer Success'!Z37,'Customer Success'!AB37)</f>
        <v>9000</v>
      </c>
      <c r="AB37" s="90" t="n">
        <v>9000</v>
      </c>
      <c r="AC37" s="13"/>
      <c r="AD37" s="13" t="n">
        <f aca="false">IF('Cash Drivers'!AD$26,'Customer Success'!AC37,'Customer Success'!AE37)</f>
        <v>9000</v>
      </c>
      <c r="AE37" s="89" t="n">
        <v>9000</v>
      </c>
      <c r="AF37" s="12"/>
      <c r="AG37" s="12" t="n">
        <f aca="false">IF('Cash Drivers'!AG$26,'Customer Success'!AF37,'Customer Success'!AH37)</f>
        <v>9000</v>
      </c>
      <c r="AH37" s="90" t="n">
        <v>9000</v>
      </c>
      <c r="AI37" s="13"/>
      <c r="AJ37" s="13" t="n">
        <f aca="false">IF('Cash Drivers'!AJ$26,'Customer Success'!AI37,'Customer Success'!AK37)</f>
        <v>9000</v>
      </c>
      <c r="AK37" s="89" t="n">
        <v>9000</v>
      </c>
      <c r="AL37" s="12"/>
      <c r="AM37" s="12" t="n">
        <f aca="false">IF('Cash Drivers'!AM$26,'Customer Success'!AL37,'Customer Success'!AN37)</f>
        <v>9000</v>
      </c>
      <c r="AN37" s="90" t="n">
        <v>9000</v>
      </c>
      <c r="AO37" s="13"/>
      <c r="AP37" s="13" t="n">
        <f aca="false">IF('Cash Drivers'!AP$26,'Customer Success'!AO37,'Customer Success'!AQ37)</f>
        <v>9000</v>
      </c>
      <c r="AQ37" s="89" t="n">
        <v>9000</v>
      </c>
      <c r="AR37" s="12"/>
      <c r="AS37" s="12" t="n">
        <f aca="false">IF('Cash Drivers'!AS$26,'Customer Success'!AR37,'Customer Success'!AT37)</f>
        <v>9000</v>
      </c>
      <c r="AT37" s="90" t="n">
        <v>9000</v>
      </c>
      <c r="AU37" s="13"/>
      <c r="AV37" s="13" t="n">
        <f aca="false">IF('Cash Drivers'!AV$26,'Customer Success'!AU37,'Customer Success'!AW37)</f>
        <v>9000</v>
      </c>
      <c r="AW37" s="89" t="n">
        <v>9000</v>
      </c>
      <c r="AX37" s="12"/>
      <c r="AY37" s="12" t="n">
        <f aca="false">IF('Cash Drivers'!AY$26,'Customer Success'!AX37,'Customer Success'!AZ37)</f>
        <v>9000</v>
      </c>
      <c r="AZ37" s="90" t="n">
        <v>9000</v>
      </c>
      <c r="BA37" s="13"/>
      <c r="BB37" s="13" t="n">
        <f aca="false">IF('Cash Drivers'!BB$26,'Customer Success'!BA37,'Customer Success'!BC37)</f>
        <v>9000</v>
      </c>
      <c r="BC37" s="89" t="n">
        <v>9000</v>
      </c>
      <c r="BD37" s="12"/>
      <c r="BE37" s="12" t="n">
        <f aca="false">IF('Cash Drivers'!BE$26,'Customer Success'!BD37,'Customer Success'!BF37)</f>
        <v>9000</v>
      </c>
      <c r="BF37" s="90" t="n">
        <v>9000</v>
      </c>
      <c r="BG37" s="13"/>
      <c r="BH37" s="13" t="n">
        <f aca="false">IF('Cash Drivers'!BH$26,'Customer Success'!BG37,'Customer Success'!BI37)</f>
        <v>9000</v>
      </c>
      <c r="BI37" s="89" t="n">
        <v>9000</v>
      </c>
      <c r="BJ37" s="12"/>
      <c r="BK37" s="12" t="n">
        <f aca="false">IF('Cash Drivers'!BK$26,'Customer Success'!BJ37,'Customer Success'!BL37)</f>
        <v>9000</v>
      </c>
      <c r="BL37" s="90" t="n">
        <v>9000</v>
      </c>
      <c r="BM37" s="13"/>
      <c r="BN37" s="13" t="n">
        <f aca="false">IF('Cash Drivers'!BN$26,'Customer Success'!BM37,'Customer Success'!BO37)</f>
        <v>9000</v>
      </c>
      <c r="BO37" s="89" t="n">
        <v>9000</v>
      </c>
      <c r="BP37" s="12"/>
      <c r="BQ37" s="12" t="n">
        <f aca="false">IF('Cash Drivers'!BQ$26,'Customer Success'!BP37,'Customer Success'!BR37)</f>
        <v>9000</v>
      </c>
      <c r="BR37" s="90" t="n">
        <v>9000</v>
      </c>
      <c r="BS37" s="13"/>
      <c r="BT37" s="13" t="n">
        <f aca="false">IF('Cash Drivers'!BT$26,'Customer Success'!BS37,'Customer Success'!BU37)</f>
        <v>9000</v>
      </c>
      <c r="BU37" s="89" t="n">
        <v>9000</v>
      </c>
      <c r="BV37" s="12"/>
      <c r="BW37" s="12" t="n">
        <f aca="false">IF('Cash Drivers'!BW$26,'Customer Success'!BV37,'Customer Success'!BX37)</f>
        <v>9000</v>
      </c>
      <c r="BX37" s="90" t="n">
        <v>9000</v>
      </c>
      <c r="BY37" s="13"/>
      <c r="BZ37" s="13" t="n">
        <f aca="false">IF('Cash Drivers'!BZ$26,'Customer Success'!BY37,'Customer Success'!CA37)</f>
        <v>9000</v>
      </c>
      <c r="CA37" s="89" t="n">
        <v>9000</v>
      </c>
      <c r="CB37" s="12"/>
      <c r="CC37" s="12" t="n">
        <f aca="false">IF('Cash Drivers'!CC$26,'Customer Success'!CB37,'Customer Success'!CD37)</f>
        <v>9000</v>
      </c>
      <c r="CD37" s="90" t="n">
        <v>9000</v>
      </c>
      <c r="CE37" s="13"/>
      <c r="CF37" s="13" t="n">
        <f aca="false">IF('Cash Drivers'!CF$26,'Customer Success'!CE37,'Customer Success'!CG37)</f>
        <v>9000</v>
      </c>
      <c r="CG37" s="89" t="n">
        <v>9000</v>
      </c>
      <c r="CH37" s="12"/>
      <c r="CI37" s="12" t="n">
        <f aca="false">IF('Cash Drivers'!CI$26,'Customer Success'!CH37,'Customer Success'!CJ37)</f>
        <v>9000</v>
      </c>
      <c r="CJ37" s="90" t="n">
        <v>9000</v>
      </c>
      <c r="CK37" s="13"/>
      <c r="CL37" s="13" t="n">
        <f aca="false">IF('Cash Drivers'!CL$26,'Customer Success'!CK37,'Customer Success'!CM37)</f>
        <v>9000</v>
      </c>
      <c r="CM37" s="89" t="n">
        <v>9000</v>
      </c>
      <c r="CN37" s="12"/>
      <c r="CO37" s="12" t="n">
        <f aca="false">IF('Cash Drivers'!CO$26,'Customer Success'!CN37,'Customer Success'!CP37)</f>
        <v>9000</v>
      </c>
      <c r="CP37" s="90" t="n">
        <v>9000</v>
      </c>
      <c r="CQ37" s="13"/>
      <c r="CR37" s="13" t="n">
        <f aca="false">IF('Cash Drivers'!CR$26,'Customer Success'!CQ37,'Customer Success'!CS37)</f>
        <v>9000</v>
      </c>
      <c r="CS37" s="89" t="n">
        <v>9000</v>
      </c>
      <c r="CT37" s="12"/>
      <c r="CU37" s="12" t="n">
        <f aca="false">IF('Cash Drivers'!CU$26,'Customer Success'!CT37,'Customer Success'!CV37)</f>
        <v>9000</v>
      </c>
      <c r="CV37" s="90" t="n">
        <v>9000</v>
      </c>
      <c r="CW37" s="13"/>
      <c r="CX37" s="13" t="n">
        <f aca="false">IF('Cash Drivers'!CX$26,'Customer Success'!CW37,'Customer Success'!CY37)</f>
        <v>9000</v>
      </c>
      <c r="CY37" s="89" t="n">
        <v>9000</v>
      </c>
      <c r="CZ37" s="12"/>
      <c r="DA37" s="12" t="n">
        <f aca="false">IF('Cash Drivers'!DA$26,'Customer Success'!CZ37,'Customer Success'!DB37)</f>
        <v>9000</v>
      </c>
      <c r="DB37" s="90" t="n">
        <v>9000</v>
      </c>
      <c r="DC37" s="13"/>
      <c r="DD37" s="13" t="n">
        <f aca="false">IF('Cash Drivers'!DD$26,'Customer Success'!DC37,'Customer Success'!DE37)</f>
        <v>9000</v>
      </c>
      <c r="DE37" s="89" t="n">
        <v>9000</v>
      </c>
      <c r="DF37" s="12"/>
      <c r="DG37" s="12" t="n">
        <f aca="false">IF('Cash Drivers'!DG$26,'Customer Success'!DF37,'Customer Success'!DH37)</f>
        <v>9000</v>
      </c>
      <c r="DH37" s="90" t="n">
        <v>9000</v>
      </c>
      <c r="DI37" s="89" t="n">
        <v>9000</v>
      </c>
      <c r="DJ37" s="13" t="n">
        <f aca="false">IF('Cash Drivers'!DJ$26,'Customer Success'!DI37,'Customer Success'!DK37)</f>
        <v>9000</v>
      </c>
      <c r="DK37" s="89" t="n">
        <v>9000</v>
      </c>
      <c r="DL37" s="90" t="n">
        <v>9000</v>
      </c>
      <c r="DM37" s="12" t="n">
        <f aca="false">IF('Cash Drivers'!DM$26,'Customer Success'!DL37,'Customer Success'!DN37)</f>
        <v>9000</v>
      </c>
      <c r="DN37" s="90" t="n">
        <v>9000</v>
      </c>
    </row>
    <row r="38" customFormat="false" ht="15.75" hidden="false" customHeight="true" outlineLevel="0" collapsed="false">
      <c r="A38" s="5" t="s">
        <v>228</v>
      </c>
      <c r="B38" s="12" t="str">
        <f aca="false">IF(COUNT(AR38,AO38,AL38,AI38,AF38,AC38,Z38,W38,T38,Q38,N38,K38)=0,"",SUM(AR38,AO38,AL38,AI38,AF38,AC38,Z38,W38,T38,Q38,N38,K38))</f>
        <v/>
      </c>
      <c r="C38" s="12" t="n">
        <f aca="false">IF(COUNT(AS38,AP38,AM38,AJ38,AG38,AD38,AA38,X38,U38,R38,O38,L38)=0,"",SUM(AS38,AP38,AM38,AJ38,AG38,AD38,AA38,X38,U38,R38,O38,L38))</f>
        <v>108000</v>
      </c>
      <c r="D38" s="12" t="n">
        <f aca="false">IF(COUNT(AT38,AQ38,AN38,AK38,AH38,AE38,AB38,Y38,V38,S38,P38,M38)=0,"",SUM(AT38,AQ38,AN38,AK38,AH38,AE38,AB38,Y38,V38,S38,P38,M38))</f>
        <v>108000</v>
      </c>
      <c r="E38" s="13" t="str">
        <f aca="false">IF(COUNT(CB38,BY38,BV38,BS38,BP38,BM38,BJ38,BG38,BD38,BA38,AX38,AU38)=0,"",SUM(CB38,BY38,BV38,BS38,BP38,BM38,BJ38,BG38,BD38,BA38,AX38,AU38))</f>
        <v/>
      </c>
      <c r="F38" s="13" t="n">
        <f aca="false">IF(COUNT(CC38,BZ38,BW38,BT38,BQ38,BN38,BK38,BH38,BE38,BB38,AY38,AV38)=0,"",SUM(CC38,BZ38,BW38,BT38,BQ38,BN38,BK38,BH38,BE38,BB38,AY38,AV38))</f>
        <v>108000</v>
      </c>
      <c r="G38" s="13" t="n">
        <f aca="false">IF(COUNT(CD38,CA38,BX38,BU38,BR38,BO38,BL38,BI38,BF38,BC38,AZ38,AW38)=0,"",SUM(CD38,CA38,BX38,BU38,BR38,BO38,BL38,BI38,BF38,BC38,AZ38,AW38))</f>
        <v>108000</v>
      </c>
      <c r="H38" s="12" t="n">
        <f aca="false">IF(COUNT(DL38,DI38,DF38,DC38,CZ38,CW38,CT38,CQ38,CN38,CK38,CH38,CE38)=0,"",SUM(DL38,DI38,DF38,DC38,CZ38,CW38,CT38,CQ38,CN38,CK38,CH38,CE38))</f>
        <v>18000</v>
      </c>
      <c r="I38" s="12" t="n">
        <f aca="false">IF(COUNT(DM38,DJ38,DG38,DD38,DA38,CX38,CU38,CR38,CO38,CL38,CI38,CF38)=0,"",SUM(DM38,DJ38,DG38,DD38,DA38,CX38,CU38,CR38,CO38,CL38,CI38,CF38))</f>
        <v>108000</v>
      </c>
      <c r="J38" s="12" t="n">
        <f aca="false">IF(COUNT(DN38,DK38,DH38,DE38,DB38,CY38,CV38,CS38,CP38,CM38,CJ38,CG38)=0,"",SUM(DN38,DK38,DH38,DE38,DB38,CY38,CV38,CS38,CP38,CM38,CJ38,CG38))</f>
        <v>108000</v>
      </c>
      <c r="K38" s="13"/>
      <c r="L38" s="13" t="n">
        <f aca="false">IF('Cash Drivers'!L$26,'Customer Success'!K38,'Customer Success'!M38)</f>
        <v>9000</v>
      </c>
      <c r="M38" s="89" t="n">
        <v>9000</v>
      </c>
      <c r="N38" s="12"/>
      <c r="O38" s="12" t="n">
        <f aca="false">IF('Cash Drivers'!O$26,'Customer Success'!N38,'Customer Success'!P38)</f>
        <v>9000</v>
      </c>
      <c r="P38" s="90" t="n">
        <v>9000</v>
      </c>
      <c r="Q38" s="13"/>
      <c r="R38" s="13" t="n">
        <f aca="false">IF('Cash Drivers'!R$26,'Customer Success'!Q38,'Customer Success'!S38)</f>
        <v>9000</v>
      </c>
      <c r="S38" s="89" t="n">
        <v>9000</v>
      </c>
      <c r="T38" s="12"/>
      <c r="U38" s="12" t="n">
        <f aca="false">IF('Cash Drivers'!U$26,'Customer Success'!T38,'Customer Success'!V38)</f>
        <v>9000</v>
      </c>
      <c r="V38" s="90" t="n">
        <v>9000</v>
      </c>
      <c r="W38" s="13"/>
      <c r="X38" s="13" t="n">
        <f aca="false">IF('Cash Drivers'!X$26,'Customer Success'!W38,'Customer Success'!Y38)</f>
        <v>9000</v>
      </c>
      <c r="Y38" s="89" t="n">
        <v>9000</v>
      </c>
      <c r="Z38" s="12"/>
      <c r="AA38" s="12" t="n">
        <f aca="false">IF('Cash Drivers'!AA$26,'Customer Success'!Z38,'Customer Success'!AB38)</f>
        <v>9000</v>
      </c>
      <c r="AB38" s="90" t="n">
        <v>9000</v>
      </c>
      <c r="AC38" s="13"/>
      <c r="AD38" s="13" t="n">
        <f aca="false">IF('Cash Drivers'!AD$26,'Customer Success'!AC38,'Customer Success'!AE38)</f>
        <v>9000</v>
      </c>
      <c r="AE38" s="89" t="n">
        <v>9000</v>
      </c>
      <c r="AF38" s="12"/>
      <c r="AG38" s="12" t="n">
        <f aca="false">IF('Cash Drivers'!AG$26,'Customer Success'!AF38,'Customer Success'!AH38)</f>
        <v>9000</v>
      </c>
      <c r="AH38" s="90" t="n">
        <v>9000</v>
      </c>
      <c r="AI38" s="13"/>
      <c r="AJ38" s="13" t="n">
        <f aca="false">IF('Cash Drivers'!AJ$26,'Customer Success'!AI38,'Customer Success'!AK38)</f>
        <v>9000</v>
      </c>
      <c r="AK38" s="89" t="n">
        <v>9000</v>
      </c>
      <c r="AL38" s="12"/>
      <c r="AM38" s="12" t="n">
        <f aca="false">IF('Cash Drivers'!AM$26,'Customer Success'!AL38,'Customer Success'!AN38)</f>
        <v>9000</v>
      </c>
      <c r="AN38" s="90" t="n">
        <v>9000</v>
      </c>
      <c r="AO38" s="13"/>
      <c r="AP38" s="13" t="n">
        <f aca="false">IF('Cash Drivers'!AP$26,'Customer Success'!AO38,'Customer Success'!AQ38)</f>
        <v>9000</v>
      </c>
      <c r="AQ38" s="89" t="n">
        <v>9000</v>
      </c>
      <c r="AR38" s="12"/>
      <c r="AS38" s="12" t="n">
        <f aca="false">IF('Cash Drivers'!AS$26,'Customer Success'!AR38,'Customer Success'!AT38)</f>
        <v>9000</v>
      </c>
      <c r="AT38" s="90" t="n">
        <v>9000</v>
      </c>
      <c r="AU38" s="13"/>
      <c r="AV38" s="13" t="n">
        <f aca="false">IF('Cash Drivers'!AV$26,'Customer Success'!AU38,'Customer Success'!AW38)</f>
        <v>9000</v>
      </c>
      <c r="AW38" s="89" t="n">
        <v>9000</v>
      </c>
      <c r="AX38" s="12"/>
      <c r="AY38" s="12" t="n">
        <f aca="false">IF('Cash Drivers'!AY$26,'Customer Success'!AX38,'Customer Success'!AZ38)</f>
        <v>9000</v>
      </c>
      <c r="AZ38" s="90" t="n">
        <v>9000</v>
      </c>
      <c r="BA38" s="13"/>
      <c r="BB38" s="13" t="n">
        <f aca="false">IF('Cash Drivers'!BB$26,'Customer Success'!BA38,'Customer Success'!BC38)</f>
        <v>9000</v>
      </c>
      <c r="BC38" s="89" t="n">
        <v>9000</v>
      </c>
      <c r="BD38" s="12"/>
      <c r="BE38" s="12" t="n">
        <f aca="false">IF('Cash Drivers'!BE$26,'Customer Success'!BD38,'Customer Success'!BF38)</f>
        <v>9000</v>
      </c>
      <c r="BF38" s="90" t="n">
        <v>9000</v>
      </c>
      <c r="BG38" s="13"/>
      <c r="BH38" s="13" t="n">
        <f aca="false">IF('Cash Drivers'!BH$26,'Customer Success'!BG38,'Customer Success'!BI38)</f>
        <v>9000</v>
      </c>
      <c r="BI38" s="89" t="n">
        <v>9000</v>
      </c>
      <c r="BJ38" s="12"/>
      <c r="BK38" s="12" t="n">
        <f aca="false">IF('Cash Drivers'!BK$26,'Customer Success'!BJ38,'Customer Success'!BL38)</f>
        <v>9000</v>
      </c>
      <c r="BL38" s="90" t="n">
        <v>9000</v>
      </c>
      <c r="BM38" s="13"/>
      <c r="BN38" s="13" t="n">
        <f aca="false">IF('Cash Drivers'!BN$26,'Customer Success'!BM38,'Customer Success'!BO38)</f>
        <v>9000</v>
      </c>
      <c r="BO38" s="89" t="n">
        <v>9000</v>
      </c>
      <c r="BP38" s="12"/>
      <c r="BQ38" s="12" t="n">
        <f aca="false">IF('Cash Drivers'!BQ$26,'Customer Success'!BP38,'Customer Success'!BR38)</f>
        <v>9000</v>
      </c>
      <c r="BR38" s="90" t="n">
        <v>9000</v>
      </c>
      <c r="BS38" s="13"/>
      <c r="BT38" s="13" t="n">
        <f aca="false">IF('Cash Drivers'!BT$26,'Customer Success'!BS38,'Customer Success'!BU38)</f>
        <v>9000</v>
      </c>
      <c r="BU38" s="89" t="n">
        <v>9000</v>
      </c>
      <c r="BV38" s="12"/>
      <c r="BW38" s="12" t="n">
        <f aca="false">IF('Cash Drivers'!BW$26,'Customer Success'!BV38,'Customer Success'!BX38)</f>
        <v>9000</v>
      </c>
      <c r="BX38" s="90" t="n">
        <v>9000</v>
      </c>
      <c r="BY38" s="13"/>
      <c r="BZ38" s="13" t="n">
        <f aca="false">IF('Cash Drivers'!BZ$26,'Customer Success'!BY38,'Customer Success'!CA38)</f>
        <v>9000</v>
      </c>
      <c r="CA38" s="89" t="n">
        <v>9000</v>
      </c>
      <c r="CB38" s="12"/>
      <c r="CC38" s="12" t="n">
        <f aca="false">IF('Cash Drivers'!CC$26,'Customer Success'!CB38,'Customer Success'!CD38)</f>
        <v>9000</v>
      </c>
      <c r="CD38" s="90" t="n">
        <v>9000</v>
      </c>
      <c r="CE38" s="13"/>
      <c r="CF38" s="13" t="n">
        <f aca="false">IF('Cash Drivers'!CF$26,'Customer Success'!CE38,'Customer Success'!CG38)</f>
        <v>9000</v>
      </c>
      <c r="CG38" s="89" t="n">
        <v>9000</v>
      </c>
      <c r="CH38" s="12"/>
      <c r="CI38" s="12" t="n">
        <f aca="false">IF('Cash Drivers'!CI$26,'Customer Success'!CH38,'Customer Success'!CJ38)</f>
        <v>9000</v>
      </c>
      <c r="CJ38" s="90" t="n">
        <v>9000</v>
      </c>
      <c r="CK38" s="13"/>
      <c r="CL38" s="13" t="n">
        <f aca="false">IF('Cash Drivers'!CL$26,'Customer Success'!CK38,'Customer Success'!CM38)</f>
        <v>9000</v>
      </c>
      <c r="CM38" s="89" t="n">
        <v>9000</v>
      </c>
      <c r="CN38" s="12"/>
      <c r="CO38" s="12" t="n">
        <f aca="false">IF('Cash Drivers'!CO$26,'Customer Success'!CN38,'Customer Success'!CP38)</f>
        <v>9000</v>
      </c>
      <c r="CP38" s="90" t="n">
        <v>9000</v>
      </c>
      <c r="CQ38" s="13"/>
      <c r="CR38" s="13" t="n">
        <f aca="false">IF('Cash Drivers'!CR$26,'Customer Success'!CQ38,'Customer Success'!CS38)</f>
        <v>9000</v>
      </c>
      <c r="CS38" s="89" t="n">
        <v>9000</v>
      </c>
      <c r="CT38" s="12"/>
      <c r="CU38" s="12" t="n">
        <f aca="false">IF('Cash Drivers'!CU$26,'Customer Success'!CT38,'Customer Success'!CV38)</f>
        <v>9000</v>
      </c>
      <c r="CV38" s="90" t="n">
        <v>9000</v>
      </c>
      <c r="CW38" s="13"/>
      <c r="CX38" s="13" t="n">
        <f aca="false">IF('Cash Drivers'!CX$26,'Customer Success'!CW38,'Customer Success'!CY38)</f>
        <v>9000</v>
      </c>
      <c r="CY38" s="89" t="n">
        <v>9000</v>
      </c>
      <c r="CZ38" s="12"/>
      <c r="DA38" s="12" t="n">
        <f aca="false">IF('Cash Drivers'!DA$26,'Customer Success'!CZ38,'Customer Success'!DB38)</f>
        <v>9000</v>
      </c>
      <c r="DB38" s="90" t="n">
        <v>9000</v>
      </c>
      <c r="DC38" s="13"/>
      <c r="DD38" s="13" t="n">
        <f aca="false">IF('Cash Drivers'!DD$26,'Customer Success'!DC38,'Customer Success'!DE38)</f>
        <v>9000</v>
      </c>
      <c r="DE38" s="89" t="n">
        <v>9000</v>
      </c>
      <c r="DF38" s="12"/>
      <c r="DG38" s="12" t="n">
        <f aca="false">IF('Cash Drivers'!DG$26,'Customer Success'!DF38,'Customer Success'!DH38)</f>
        <v>9000</v>
      </c>
      <c r="DH38" s="90" t="n">
        <v>9000</v>
      </c>
      <c r="DI38" s="89" t="n">
        <v>9000</v>
      </c>
      <c r="DJ38" s="13" t="n">
        <f aca="false">IF('Cash Drivers'!DJ$26,'Customer Success'!DI38,'Customer Success'!DK38)</f>
        <v>9000</v>
      </c>
      <c r="DK38" s="89" t="n">
        <v>9000</v>
      </c>
      <c r="DL38" s="90" t="n">
        <v>9000</v>
      </c>
      <c r="DM38" s="12" t="n">
        <f aca="false">IF('Cash Drivers'!DM$26,'Customer Success'!DL38,'Customer Success'!DN38)</f>
        <v>9000</v>
      </c>
      <c r="DN38" s="90" t="n">
        <v>9000</v>
      </c>
    </row>
    <row r="39" customFormat="false" ht="15.75" hidden="false" customHeight="true" outlineLevel="0" collapsed="false">
      <c r="A39" s="5" t="s">
        <v>229</v>
      </c>
      <c r="B39" s="12" t="str">
        <f aca="false">IF(COUNT(AR39,AO39,AL39,AI39,AF39,AC39,Z39,W39,T39,Q39,N39,K39)=0,"",SUM(AR39,AO39,AL39,AI39,AF39,AC39,Z39,W39,T39,Q39,N39,K39))</f>
        <v/>
      </c>
      <c r="C39" s="12" t="n">
        <f aca="false">IF(COUNT(AS39,AP39,AM39,AJ39,AG39,AD39,AA39,X39,U39,R39,O39,L39)=0,"",SUM(AS39,AP39,AM39,AJ39,AG39,AD39,AA39,X39,U39,R39,O39,L39))</f>
        <v>84000</v>
      </c>
      <c r="D39" s="12" t="n">
        <f aca="false">IF(COUNT(AT39,AQ39,AN39,AK39,AH39,AE39,AB39,Y39,V39,S39,P39,M39)=0,"",SUM(AT39,AQ39,AN39,AK39,AH39,AE39,AB39,Y39,V39,S39,P39,M39))</f>
        <v>84000</v>
      </c>
      <c r="E39" s="13" t="str">
        <f aca="false">IF(COUNT(CB39,BY39,BV39,BS39,BP39,BM39,BJ39,BG39,BD39,BA39,AX39,AU39)=0,"",SUM(CB39,BY39,BV39,BS39,BP39,BM39,BJ39,BG39,BD39,BA39,AX39,AU39))</f>
        <v/>
      </c>
      <c r="F39" s="13" t="n">
        <f aca="false">IF(COUNT(CC39,BZ39,BW39,BT39,BQ39,BN39,BK39,BH39,BE39,BB39,AY39,AV39)=0,"",SUM(CC39,BZ39,BW39,BT39,BQ39,BN39,BK39,BH39,BE39,BB39,AY39,AV39))</f>
        <v>84000</v>
      </c>
      <c r="G39" s="13" t="n">
        <f aca="false">IF(COUNT(CD39,CA39,BX39,BU39,BR39,BO39,BL39,BI39,BF39,BC39,AZ39,AW39)=0,"",SUM(CD39,CA39,BX39,BU39,BR39,BO39,BL39,BI39,BF39,BC39,AZ39,AW39))</f>
        <v>84000</v>
      </c>
      <c r="H39" s="12" t="n">
        <f aca="false">IF(COUNT(DL39,DI39,DF39,DC39,CZ39,CW39,CT39,CQ39,CN39,CK39,CH39,CE39)=0,"",SUM(DL39,DI39,DF39,DC39,CZ39,CW39,CT39,CQ39,CN39,CK39,CH39,CE39))</f>
        <v>14000</v>
      </c>
      <c r="I39" s="12" t="n">
        <f aca="false">IF(COUNT(DM39,DJ39,DG39,DD39,DA39,CX39,CU39,CR39,CO39,CL39,CI39,CF39)=0,"",SUM(DM39,DJ39,DG39,DD39,DA39,CX39,CU39,CR39,CO39,CL39,CI39,CF39))</f>
        <v>84000</v>
      </c>
      <c r="J39" s="12" t="n">
        <f aca="false">IF(COUNT(DN39,DK39,DH39,DE39,DB39,CY39,CV39,CS39,CP39,CM39,CJ39,CG39)=0,"",SUM(DN39,DK39,DH39,DE39,DB39,CY39,CV39,CS39,CP39,CM39,CJ39,CG39))</f>
        <v>84000</v>
      </c>
      <c r="K39" s="13"/>
      <c r="L39" s="13" t="n">
        <f aca="false">IF('Cash Drivers'!L$26,'Customer Success'!K39,'Customer Success'!M39)</f>
        <v>7000</v>
      </c>
      <c r="M39" s="89" t="n">
        <v>7000</v>
      </c>
      <c r="N39" s="12"/>
      <c r="O39" s="12" t="n">
        <f aca="false">IF('Cash Drivers'!O$26,'Customer Success'!N39,'Customer Success'!P39)</f>
        <v>7000</v>
      </c>
      <c r="P39" s="90" t="n">
        <v>7000</v>
      </c>
      <c r="Q39" s="13"/>
      <c r="R39" s="13" t="n">
        <f aca="false">IF('Cash Drivers'!R$26,'Customer Success'!Q39,'Customer Success'!S39)</f>
        <v>7000</v>
      </c>
      <c r="S39" s="89" t="n">
        <v>7000</v>
      </c>
      <c r="T39" s="12"/>
      <c r="U39" s="12" t="n">
        <f aca="false">IF('Cash Drivers'!U$26,'Customer Success'!T39,'Customer Success'!V39)</f>
        <v>7000</v>
      </c>
      <c r="V39" s="90" t="n">
        <v>7000</v>
      </c>
      <c r="W39" s="13"/>
      <c r="X39" s="13" t="n">
        <f aca="false">IF('Cash Drivers'!X$26,'Customer Success'!W39,'Customer Success'!Y39)</f>
        <v>7000</v>
      </c>
      <c r="Y39" s="89" t="n">
        <v>7000</v>
      </c>
      <c r="Z39" s="12"/>
      <c r="AA39" s="12" t="n">
        <f aca="false">IF('Cash Drivers'!AA$26,'Customer Success'!Z39,'Customer Success'!AB39)</f>
        <v>7000</v>
      </c>
      <c r="AB39" s="90" t="n">
        <v>7000</v>
      </c>
      <c r="AC39" s="13"/>
      <c r="AD39" s="13" t="n">
        <f aca="false">IF('Cash Drivers'!AD$26,'Customer Success'!AC39,'Customer Success'!AE39)</f>
        <v>7000</v>
      </c>
      <c r="AE39" s="89" t="n">
        <v>7000</v>
      </c>
      <c r="AF39" s="12"/>
      <c r="AG39" s="12" t="n">
        <f aca="false">IF('Cash Drivers'!AG$26,'Customer Success'!AF39,'Customer Success'!AH39)</f>
        <v>7000</v>
      </c>
      <c r="AH39" s="90" t="n">
        <v>7000</v>
      </c>
      <c r="AI39" s="13"/>
      <c r="AJ39" s="13" t="n">
        <f aca="false">IF('Cash Drivers'!AJ$26,'Customer Success'!AI39,'Customer Success'!AK39)</f>
        <v>7000</v>
      </c>
      <c r="AK39" s="89" t="n">
        <v>7000</v>
      </c>
      <c r="AL39" s="12"/>
      <c r="AM39" s="12" t="n">
        <f aca="false">IF('Cash Drivers'!AM$26,'Customer Success'!AL39,'Customer Success'!AN39)</f>
        <v>7000</v>
      </c>
      <c r="AN39" s="90" t="n">
        <v>7000</v>
      </c>
      <c r="AO39" s="13"/>
      <c r="AP39" s="13" t="n">
        <f aca="false">IF('Cash Drivers'!AP$26,'Customer Success'!AO39,'Customer Success'!AQ39)</f>
        <v>7000</v>
      </c>
      <c r="AQ39" s="89" t="n">
        <v>7000</v>
      </c>
      <c r="AR39" s="12"/>
      <c r="AS39" s="12" t="n">
        <f aca="false">IF('Cash Drivers'!AS$26,'Customer Success'!AR39,'Customer Success'!AT39)</f>
        <v>7000</v>
      </c>
      <c r="AT39" s="90" t="n">
        <v>7000</v>
      </c>
      <c r="AU39" s="13"/>
      <c r="AV39" s="13" t="n">
        <f aca="false">IF('Cash Drivers'!AV$26,'Customer Success'!AU39,'Customer Success'!AW39)</f>
        <v>7000</v>
      </c>
      <c r="AW39" s="89" t="n">
        <v>7000</v>
      </c>
      <c r="AX39" s="12"/>
      <c r="AY39" s="12" t="n">
        <f aca="false">IF('Cash Drivers'!AY$26,'Customer Success'!AX39,'Customer Success'!AZ39)</f>
        <v>7000</v>
      </c>
      <c r="AZ39" s="90" t="n">
        <v>7000</v>
      </c>
      <c r="BA39" s="13"/>
      <c r="BB39" s="13" t="n">
        <f aca="false">IF('Cash Drivers'!BB$26,'Customer Success'!BA39,'Customer Success'!BC39)</f>
        <v>7000</v>
      </c>
      <c r="BC39" s="89" t="n">
        <v>7000</v>
      </c>
      <c r="BD39" s="12"/>
      <c r="BE39" s="12" t="n">
        <f aca="false">IF('Cash Drivers'!BE$26,'Customer Success'!BD39,'Customer Success'!BF39)</f>
        <v>7000</v>
      </c>
      <c r="BF39" s="90" t="n">
        <v>7000</v>
      </c>
      <c r="BG39" s="13"/>
      <c r="BH39" s="13" t="n">
        <f aca="false">IF('Cash Drivers'!BH$26,'Customer Success'!BG39,'Customer Success'!BI39)</f>
        <v>7000</v>
      </c>
      <c r="BI39" s="89" t="n">
        <v>7000</v>
      </c>
      <c r="BJ39" s="12"/>
      <c r="BK39" s="12" t="n">
        <f aca="false">IF('Cash Drivers'!BK$26,'Customer Success'!BJ39,'Customer Success'!BL39)</f>
        <v>7000</v>
      </c>
      <c r="BL39" s="90" t="n">
        <v>7000</v>
      </c>
      <c r="BM39" s="13"/>
      <c r="BN39" s="13" t="n">
        <f aca="false">IF('Cash Drivers'!BN$26,'Customer Success'!BM39,'Customer Success'!BO39)</f>
        <v>7000</v>
      </c>
      <c r="BO39" s="89" t="n">
        <v>7000</v>
      </c>
      <c r="BP39" s="12"/>
      <c r="BQ39" s="12" t="n">
        <f aca="false">IF('Cash Drivers'!BQ$26,'Customer Success'!BP39,'Customer Success'!BR39)</f>
        <v>7000</v>
      </c>
      <c r="BR39" s="90" t="n">
        <v>7000</v>
      </c>
      <c r="BS39" s="13"/>
      <c r="BT39" s="13" t="n">
        <f aca="false">IF('Cash Drivers'!BT$26,'Customer Success'!BS39,'Customer Success'!BU39)</f>
        <v>7000</v>
      </c>
      <c r="BU39" s="89" t="n">
        <v>7000</v>
      </c>
      <c r="BV39" s="12"/>
      <c r="BW39" s="12" t="n">
        <f aca="false">IF('Cash Drivers'!BW$26,'Customer Success'!BV39,'Customer Success'!BX39)</f>
        <v>7000</v>
      </c>
      <c r="BX39" s="90" t="n">
        <v>7000</v>
      </c>
      <c r="BY39" s="13"/>
      <c r="BZ39" s="13" t="n">
        <f aca="false">IF('Cash Drivers'!BZ$26,'Customer Success'!BY39,'Customer Success'!CA39)</f>
        <v>7000</v>
      </c>
      <c r="CA39" s="89" t="n">
        <v>7000</v>
      </c>
      <c r="CB39" s="12"/>
      <c r="CC39" s="12" t="n">
        <f aca="false">IF('Cash Drivers'!CC$26,'Customer Success'!CB39,'Customer Success'!CD39)</f>
        <v>7000</v>
      </c>
      <c r="CD39" s="90" t="n">
        <v>7000</v>
      </c>
      <c r="CE39" s="13"/>
      <c r="CF39" s="13" t="n">
        <f aca="false">IF('Cash Drivers'!CF$26,'Customer Success'!CE39,'Customer Success'!CG39)</f>
        <v>7000</v>
      </c>
      <c r="CG39" s="89" t="n">
        <v>7000</v>
      </c>
      <c r="CH39" s="12"/>
      <c r="CI39" s="12" t="n">
        <f aca="false">IF('Cash Drivers'!CI$26,'Customer Success'!CH39,'Customer Success'!CJ39)</f>
        <v>7000</v>
      </c>
      <c r="CJ39" s="90" t="n">
        <v>7000</v>
      </c>
      <c r="CK39" s="13"/>
      <c r="CL39" s="13" t="n">
        <f aca="false">IF('Cash Drivers'!CL$26,'Customer Success'!CK39,'Customer Success'!CM39)</f>
        <v>7000</v>
      </c>
      <c r="CM39" s="89" t="n">
        <v>7000</v>
      </c>
      <c r="CN39" s="12"/>
      <c r="CO39" s="12" t="n">
        <f aca="false">IF('Cash Drivers'!CO$26,'Customer Success'!CN39,'Customer Success'!CP39)</f>
        <v>7000</v>
      </c>
      <c r="CP39" s="90" t="n">
        <v>7000</v>
      </c>
      <c r="CQ39" s="13"/>
      <c r="CR39" s="13" t="n">
        <f aca="false">IF('Cash Drivers'!CR$26,'Customer Success'!CQ39,'Customer Success'!CS39)</f>
        <v>7000</v>
      </c>
      <c r="CS39" s="89" t="n">
        <v>7000</v>
      </c>
      <c r="CT39" s="12"/>
      <c r="CU39" s="12" t="n">
        <f aca="false">IF('Cash Drivers'!CU$26,'Customer Success'!CT39,'Customer Success'!CV39)</f>
        <v>7000</v>
      </c>
      <c r="CV39" s="90" t="n">
        <v>7000</v>
      </c>
      <c r="CW39" s="13"/>
      <c r="CX39" s="13" t="n">
        <f aca="false">IF('Cash Drivers'!CX$26,'Customer Success'!CW39,'Customer Success'!CY39)</f>
        <v>7000</v>
      </c>
      <c r="CY39" s="89" t="n">
        <v>7000</v>
      </c>
      <c r="CZ39" s="12"/>
      <c r="DA39" s="12" t="n">
        <f aca="false">IF('Cash Drivers'!DA$26,'Customer Success'!CZ39,'Customer Success'!DB39)</f>
        <v>7000</v>
      </c>
      <c r="DB39" s="90" t="n">
        <v>7000</v>
      </c>
      <c r="DC39" s="13"/>
      <c r="DD39" s="13" t="n">
        <f aca="false">IF('Cash Drivers'!DD$26,'Customer Success'!DC39,'Customer Success'!DE39)</f>
        <v>7000</v>
      </c>
      <c r="DE39" s="89" t="n">
        <v>7000</v>
      </c>
      <c r="DF39" s="12"/>
      <c r="DG39" s="12" t="n">
        <f aca="false">IF('Cash Drivers'!DG$26,'Customer Success'!DF39,'Customer Success'!DH39)</f>
        <v>7000</v>
      </c>
      <c r="DH39" s="90" t="n">
        <v>7000</v>
      </c>
      <c r="DI39" s="89" t="n">
        <v>7000</v>
      </c>
      <c r="DJ39" s="13" t="n">
        <f aca="false">IF('Cash Drivers'!DJ$26,'Customer Success'!DI39,'Customer Success'!DK39)</f>
        <v>7000</v>
      </c>
      <c r="DK39" s="89" t="n">
        <v>7000</v>
      </c>
      <c r="DL39" s="90" t="n">
        <v>7000</v>
      </c>
      <c r="DM39" s="12" t="n">
        <f aca="false">IF('Cash Drivers'!DM$26,'Customer Success'!DL39,'Customer Success'!DN39)</f>
        <v>7000</v>
      </c>
      <c r="DN39" s="90" t="n">
        <v>7000</v>
      </c>
    </row>
    <row r="40" customFormat="false" ht="15.75" hidden="false" customHeight="true" outlineLevel="0" collapsed="false">
      <c r="A40" s="5" t="s">
        <v>230</v>
      </c>
      <c r="B40" s="12" t="str">
        <f aca="false">IF(COUNT(AR40,AO40,AL40,AI40,AF40,AC40,Z40,W40,T40,Q40,N40,K40)=0,"",SUM(AR40,AO40,AL40,AI40,AF40,AC40,Z40,W40,T40,Q40,N40,K40))</f>
        <v/>
      </c>
      <c r="C40" s="12" t="n">
        <f aca="false">IF(COUNT(AS40,AP40,AM40,AJ40,AG40,AD40,AA40,X40,U40,R40,O40,L40)=0,"",SUM(AS40,AP40,AM40,AJ40,AG40,AD40,AA40,X40,U40,R40,O40,L40))</f>
        <v>60000</v>
      </c>
      <c r="D40" s="12" t="n">
        <f aca="false">IF(COUNT(AT40,AQ40,AN40,AK40,AH40,AE40,AB40,Y40,V40,S40,P40,M40)=0,"",SUM(AT40,AQ40,AN40,AK40,AH40,AE40,AB40,Y40,V40,S40,P40,M40))</f>
        <v>60000</v>
      </c>
      <c r="E40" s="13" t="str">
        <f aca="false">IF(COUNT(CB40,BY40,BV40,BS40,BP40,BM40,BJ40,BG40,BD40,BA40,AX40,AU40)=0,"",SUM(CB40,BY40,BV40,BS40,BP40,BM40,BJ40,BG40,BD40,BA40,AX40,AU40))</f>
        <v/>
      </c>
      <c r="F40" s="13" t="n">
        <f aca="false">IF(COUNT(CC40,BZ40,BW40,BT40,BQ40,BN40,BK40,BH40,BE40,BB40,AY40,AV40)=0,"",SUM(CC40,BZ40,BW40,BT40,BQ40,BN40,BK40,BH40,BE40,BB40,AY40,AV40))</f>
        <v>60000</v>
      </c>
      <c r="G40" s="13" t="n">
        <f aca="false">IF(COUNT(CD40,CA40,BX40,BU40,BR40,BO40,BL40,BI40,BF40,BC40,AZ40,AW40)=0,"",SUM(CD40,CA40,BX40,BU40,BR40,BO40,BL40,BI40,BF40,BC40,AZ40,AW40))</f>
        <v>60000</v>
      </c>
      <c r="H40" s="12" t="n">
        <f aca="false">IF(COUNT(DL40,DI40,DF40,DC40,CZ40,CW40,CT40,CQ40,CN40,CK40,CH40,CE40)=0,"",SUM(DL40,DI40,DF40,DC40,CZ40,CW40,CT40,CQ40,CN40,CK40,CH40,CE40))</f>
        <v>10000</v>
      </c>
      <c r="I40" s="12" t="n">
        <f aca="false">IF(COUNT(DM40,DJ40,DG40,DD40,DA40,CX40,CU40,CR40,CO40,CL40,CI40,CF40)=0,"",SUM(DM40,DJ40,DG40,DD40,DA40,CX40,CU40,CR40,CO40,CL40,CI40,CF40))</f>
        <v>60000</v>
      </c>
      <c r="J40" s="12" t="n">
        <f aca="false">IF(COUNT(DN40,DK40,DH40,DE40,DB40,CY40,CV40,CS40,CP40,CM40,CJ40,CG40)=0,"",SUM(DN40,DK40,DH40,DE40,DB40,CY40,CV40,CS40,CP40,CM40,CJ40,CG40))</f>
        <v>60000</v>
      </c>
      <c r="K40" s="13"/>
      <c r="L40" s="13" t="n">
        <f aca="false">IF('Cash Drivers'!L$26,'Customer Success'!K40,'Customer Success'!M40)</f>
        <v>5000</v>
      </c>
      <c r="M40" s="89" t="n">
        <v>5000</v>
      </c>
      <c r="N40" s="12"/>
      <c r="O40" s="12" t="n">
        <f aca="false">IF('Cash Drivers'!O$26,'Customer Success'!N40,'Customer Success'!P40)</f>
        <v>5000</v>
      </c>
      <c r="P40" s="90" t="n">
        <v>5000</v>
      </c>
      <c r="Q40" s="13"/>
      <c r="R40" s="13" t="n">
        <f aca="false">IF('Cash Drivers'!R$26,'Customer Success'!Q40,'Customer Success'!S40)</f>
        <v>5000</v>
      </c>
      <c r="S40" s="89" t="n">
        <v>5000</v>
      </c>
      <c r="T40" s="12"/>
      <c r="U40" s="12" t="n">
        <f aca="false">IF('Cash Drivers'!U$26,'Customer Success'!T40,'Customer Success'!V40)</f>
        <v>5000</v>
      </c>
      <c r="V40" s="90" t="n">
        <v>5000</v>
      </c>
      <c r="W40" s="13"/>
      <c r="X40" s="13" t="n">
        <f aca="false">IF('Cash Drivers'!X$26,'Customer Success'!W40,'Customer Success'!Y40)</f>
        <v>5000</v>
      </c>
      <c r="Y40" s="89" t="n">
        <v>5000</v>
      </c>
      <c r="Z40" s="12"/>
      <c r="AA40" s="12" t="n">
        <f aca="false">IF('Cash Drivers'!AA$26,'Customer Success'!Z40,'Customer Success'!AB40)</f>
        <v>5000</v>
      </c>
      <c r="AB40" s="90" t="n">
        <v>5000</v>
      </c>
      <c r="AC40" s="13"/>
      <c r="AD40" s="13" t="n">
        <f aca="false">IF('Cash Drivers'!AD$26,'Customer Success'!AC40,'Customer Success'!AE40)</f>
        <v>5000</v>
      </c>
      <c r="AE40" s="89" t="n">
        <v>5000</v>
      </c>
      <c r="AF40" s="12"/>
      <c r="AG40" s="12" t="n">
        <f aca="false">IF('Cash Drivers'!AG$26,'Customer Success'!AF40,'Customer Success'!AH40)</f>
        <v>5000</v>
      </c>
      <c r="AH40" s="90" t="n">
        <v>5000</v>
      </c>
      <c r="AI40" s="13"/>
      <c r="AJ40" s="13" t="n">
        <f aca="false">IF('Cash Drivers'!AJ$26,'Customer Success'!AI40,'Customer Success'!AK40)</f>
        <v>5000</v>
      </c>
      <c r="AK40" s="89" t="n">
        <v>5000</v>
      </c>
      <c r="AL40" s="12"/>
      <c r="AM40" s="12" t="n">
        <f aca="false">IF('Cash Drivers'!AM$26,'Customer Success'!AL40,'Customer Success'!AN40)</f>
        <v>5000</v>
      </c>
      <c r="AN40" s="90" t="n">
        <v>5000</v>
      </c>
      <c r="AO40" s="13"/>
      <c r="AP40" s="13" t="n">
        <f aca="false">IF('Cash Drivers'!AP$26,'Customer Success'!AO40,'Customer Success'!AQ40)</f>
        <v>5000</v>
      </c>
      <c r="AQ40" s="89" t="n">
        <v>5000</v>
      </c>
      <c r="AR40" s="12"/>
      <c r="AS40" s="12" t="n">
        <f aca="false">IF('Cash Drivers'!AS$26,'Customer Success'!AR40,'Customer Success'!AT40)</f>
        <v>5000</v>
      </c>
      <c r="AT40" s="90" t="n">
        <v>5000</v>
      </c>
      <c r="AU40" s="13"/>
      <c r="AV40" s="13" t="n">
        <f aca="false">IF('Cash Drivers'!AV$26,'Customer Success'!AU40,'Customer Success'!AW40)</f>
        <v>5000</v>
      </c>
      <c r="AW40" s="89" t="n">
        <v>5000</v>
      </c>
      <c r="AX40" s="12"/>
      <c r="AY40" s="12" t="n">
        <f aca="false">IF('Cash Drivers'!AY$26,'Customer Success'!AX40,'Customer Success'!AZ40)</f>
        <v>5000</v>
      </c>
      <c r="AZ40" s="90" t="n">
        <v>5000</v>
      </c>
      <c r="BA40" s="13"/>
      <c r="BB40" s="13" t="n">
        <f aca="false">IF('Cash Drivers'!BB$26,'Customer Success'!BA40,'Customer Success'!BC40)</f>
        <v>5000</v>
      </c>
      <c r="BC40" s="89" t="n">
        <v>5000</v>
      </c>
      <c r="BD40" s="12"/>
      <c r="BE40" s="12" t="n">
        <f aca="false">IF('Cash Drivers'!BE$26,'Customer Success'!BD40,'Customer Success'!BF40)</f>
        <v>5000</v>
      </c>
      <c r="BF40" s="90" t="n">
        <v>5000</v>
      </c>
      <c r="BG40" s="13"/>
      <c r="BH40" s="13" t="n">
        <f aca="false">IF('Cash Drivers'!BH$26,'Customer Success'!BG40,'Customer Success'!BI40)</f>
        <v>5000</v>
      </c>
      <c r="BI40" s="89" t="n">
        <v>5000</v>
      </c>
      <c r="BJ40" s="12"/>
      <c r="BK40" s="12" t="n">
        <f aca="false">IF('Cash Drivers'!BK$26,'Customer Success'!BJ40,'Customer Success'!BL40)</f>
        <v>5000</v>
      </c>
      <c r="BL40" s="90" t="n">
        <v>5000</v>
      </c>
      <c r="BM40" s="13"/>
      <c r="BN40" s="13" t="n">
        <f aca="false">IF('Cash Drivers'!BN$26,'Customer Success'!BM40,'Customer Success'!BO40)</f>
        <v>5000</v>
      </c>
      <c r="BO40" s="89" t="n">
        <v>5000</v>
      </c>
      <c r="BP40" s="12"/>
      <c r="BQ40" s="12" t="n">
        <f aca="false">IF('Cash Drivers'!BQ$26,'Customer Success'!BP40,'Customer Success'!BR40)</f>
        <v>5000</v>
      </c>
      <c r="BR40" s="90" t="n">
        <v>5000</v>
      </c>
      <c r="BS40" s="13"/>
      <c r="BT40" s="13" t="n">
        <f aca="false">IF('Cash Drivers'!BT$26,'Customer Success'!BS40,'Customer Success'!BU40)</f>
        <v>5000</v>
      </c>
      <c r="BU40" s="89" t="n">
        <v>5000</v>
      </c>
      <c r="BV40" s="12"/>
      <c r="BW40" s="12" t="n">
        <f aca="false">IF('Cash Drivers'!BW$26,'Customer Success'!BV40,'Customer Success'!BX40)</f>
        <v>5000</v>
      </c>
      <c r="BX40" s="90" t="n">
        <v>5000</v>
      </c>
      <c r="BY40" s="13"/>
      <c r="BZ40" s="13" t="n">
        <f aca="false">IF('Cash Drivers'!BZ$26,'Customer Success'!BY40,'Customer Success'!CA40)</f>
        <v>5000</v>
      </c>
      <c r="CA40" s="89" t="n">
        <v>5000</v>
      </c>
      <c r="CB40" s="12"/>
      <c r="CC40" s="12" t="n">
        <f aca="false">IF('Cash Drivers'!CC$26,'Customer Success'!CB40,'Customer Success'!CD40)</f>
        <v>5000</v>
      </c>
      <c r="CD40" s="90" t="n">
        <v>5000</v>
      </c>
      <c r="CE40" s="13"/>
      <c r="CF40" s="13" t="n">
        <f aca="false">IF('Cash Drivers'!CF$26,'Customer Success'!CE40,'Customer Success'!CG40)</f>
        <v>5000</v>
      </c>
      <c r="CG40" s="89" t="n">
        <v>5000</v>
      </c>
      <c r="CH40" s="12"/>
      <c r="CI40" s="12" t="n">
        <f aca="false">IF('Cash Drivers'!CI$26,'Customer Success'!CH40,'Customer Success'!CJ40)</f>
        <v>5000</v>
      </c>
      <c r="CJ40" s="90" t="n">
        <v>5000</v>
      </c>
      <c r="CK40" s="13"/>
      <c r="CL40" s="13" t="n">
        <f aca="false">IF('Cash Drivers'!CL$26,'Customer Success'!CK40,'Customer Success'!CM40)</f>
        <v>5000</v>
      </c>
      <c r="CM40" s="89" t="n">
        <v>5000</v>
      </c>
      <c r="CN40" s="12"/>
      <c r="CO40" s="12" t="n">
        <f aca="false">IF('Cash Drivers'!CO$26,'Customer Success'!CN40,'Customer Success'!CP40)</f>
        <v>5000</v>
      </c>
      <c r="CP40" s="90" t="n">
        <v>5000</v>
      </c>
      <c r="CQ40" s="13"/>
      <c r="CR40" s="13" t="n">
        <f aca="false">IF('Cash Drivers'!CR$26,'Customer Success'!CQ40,'Customer Success'!CS40)</f>
        <v>5000</v>
      </c>
      <c r="CS40" s="89" t="n">
        <v>5000</v>
      </c>
      <c r="CT40" s="12"/>
      <c r="CU40" s="12" t="n">
        <f aca="false">IF('Cash Drivers'!CU$26,'Customer Success'!CT40,'Customer Success'!CV40)</f>
        <v>5000</v>
      </c>
      <c r="CV40" s="90" t="n">
        <v>5000</v>
      </c>
      <c r="CW40" s="13"/>
      <c r="CX40" s="13" t="n">
        <f aca="false">IF('Cash Drivers'!CX$26,'Customer Success'!CW40,'Customer Success'!CY40)</f>
        <v>5000</v>
      </c>
      <c r="CY40" s="89" t="n">
        <v>5000</v>
      </c>
      <c r="CZ40" s="12"/>
      <c r="DA40" s="12" t="n">
        <f aca="false">IF('Cash Drivers'!DA$26,'Customer Success'!CZ40,'Customer Success'!DB40)</f>
        <v>5000</v>
      </c>
      <c r="DB40" s="90" t="n">
        <v>5000</v>
      </c>
      <c r="DC40" s="13"/>
      <c r="DD40" s="13" t="n">
        <f aca="false">IF('Cash Drivers'!DD$26,'Customer Success'!DC40,'Customer Success'!DE40)</f>
        <v>5000</v>
      </c>
      <c r="DE40" s="89" t="n">
        <v>5000</v>
      </c>
      <c r="DF40" s="12"/>
      <c r="DG40" s="12" t="n">
        <f aca="false">IF('Cash Drivers'!DG$26,'Customer Success'!DF40,'Customer Success'!DH40)</f>
        <v>5000</v>
      </c>
      <c r="DH40" s="90" t="n">
        <v>5000</v>
      </c>
      <c r="DI40" s="89" t="n">
        <v>5000</v>
      </c>
      <c r="DJ40" s="13" t="n">
        <f aca="false">IF('Cash Drivers'!DJ$26,'Customer Success'!DI40,'Customer Success'!DK40)</f>
        <v>5000</v>
      </c>
      <c r="DK40" s="89" t="n">
        <v>5000</v>
      </c>
      <c r="DL40" s="90" t="n">
        <v>5000</v>
      </c>
      <c r="DM40" s="12" t="n">
        <f aca="false">IF('Cash Drivers'!DM$26,'Customer Success'!DL40,'Customer Success'!DN40)</f>
        <v>5000</v>
      </c>
      <c r="DN40" s="90" t="n">
        <v>5000</v>
      </c>
    </row>
    <row r="41" customFormat="false" ht="15.75" hidden="false" customHeight="true" outlineLevel="0" collapsed="false">
      <c r="A41" s="5" t="s">
        <v>228</v>
      </c>
      <c r="B41" s="12" t="str">
        <f aca="false">IF(COUNT(AR41,AO41,AL41,AI41,AF41,AC41,Z41,W41,T41,Q41,N41,K41)=0,"",SUM(AR41,AO41,AL41,AI41,AF41,AC41,Z41,W41,T41,Q41,N41,K41))</f>
        <v/>
      </c>
      <c r="C41" s="12" t="n">
        <f aca="false">IF(COUNT(AS41,AP41,AM41,AJ41,AG41,AD41,AA41,X41,U41,R41,O41,L41)=0,"",SUM(AS41,AP41,AM41,AJ41,AG41,AD41,AA41,X41,U41,R41,O41,L41))</f>
        <v>108000</v>
      </c>
      <c r="D41" s="12" t="n">
        <f aca="false">IF(COUNT(AT41,AQ41,AN41,AK41,AH41,AE41,AB41,Y41,V41,S41,P41,M41)=0,"",SUM(AT41,AQ41,AN41,AK41,AH41,AE41,AB41,Y41,V41,S41,P41,M41))</f>
        <v>108000</v>
      </c>
      <c r="E41" s="13" t="str">
        <f aca="false">IF(COUNT(CB41,BY41,BV41,BS41,BP41,BM41,BJ41,BG41,BD41,BA41,AX41,AU41)=0,"",SUM(CB41,BY41,BV41,BS41,BP41,BM41,BJ41,BG41,BD41,BA41,AX41,AU41))</f>
        <v/>
      </c>
      <c r="F41" s="13" t="n">
        <f aca="false">IF(COUNT(CC41,BZ41,BW41,BT41,BQ41,BN41,BK41,BH41,BE41,BB41,AY41,AV41)=0,"",SUM(CC41,BZ41,BW41,BT41,BQ41,BN41,BK41,BH41,BE41,BB41,AY41,AV41))</f>
        <v>108000</v>
      </c>
      <c r="G41" s="13" t="n">
        <f aca="false">IF(COUNT(CD41,CA41,BX41,BU41,BR41,BO41,BL41,BI41,BF41,BC41,AZ41,AW41)=0,"",SUM(CD41,CA41,BX41,BU41,BR41,BO41,BL41,BI41,BF41,BC41,AZ41,AW41))</f>
        <v>108000</v>
      </c>
      <c r="H41" s="12" t="n">
        <f aca="false">IF(COUNT(DL41,DI41,DF41,DC41,CZ41,CW41,CT41,CQ41,CN41,CK41,CH41,CE41)=0,"",SUM(DL41,DI41,DF41,DC41,CZ41,CW41,CT41,CQ41,CN41,CK41,CH41,CE41))</f>
        <v>18000</v>
      </c>
      <c r="I41" s="12" t="n">
        <f aca="false">IF(COUNT(DM41,DJ41,DG41,DD41,DA41,CX41,CU41,CR41,CO41,CL41,CI41,CF41)=0,"",SUM(DM41,DJ41,DG41,DD41,DA41,CX41,CU41,CR41,CO41,CL41,CI41,CF41))</f>
        <v>108000</v>
      </c>
      <c r="J41" s="12" t="n">
        <f aca="false">IF(COUNT(DN41,DK41,DH41,DE41,DB41,CY41,CV41,CS41,CP41,CM41,CJ41,CG41)=0,"",SUM(DN41,DK41,DH41,DE41,DB41,CY41,CV41,CS41,CP41,CM41,CJ41,CG41))</f>
        <v>108000</v>
      </c>
      <c r="K41" s="13"/>
      <c r="L41" s="13" t="n">
        <f aca="false">IF('Cash Drivers'!L$26,'Customer Success'!K41,'Customer Success'!M41)</f>
        <v>9000</v>
      </c>
      <c r="M41" s="89" t="n">
        <v>9000</v>
      </c>
      <c r="N41" s="12"/>
      <c r="O41" s="12" t="n">
        <f aca="false">IF('Cash Drivers'!O$26,'Customer Success'!N41,'Customer Success'!P41)</f>
        <v>9000</v>
      </c>
      <c r="P41" s="90" t="n">
        <v>9000</v>
      </c>
      <c r="Q41" s="13"/>
      <c r="R41" s="13" t="n">
        <f aca="false">IF('Cash Drivers'!R$26,'Customer Success'!Q41,'Customer Success'!S41)</f>
        <v>9000</v>
      </c>
      <c r="S41" s="89" t="n">
        <v>9000</v>
      </c>
      <c r="T41" s="12"/>
      <c r="U41" s="12" t="n">
        <f aca="false">IF('Cash Drivers'!U$26,'Customer Success'!T41,'Customer Success'!V41)</f>
        <v>9000</v>
      </c>
      <c r="V41" s="90" t="n">
        <v>9000</v>
      </c>
      <c r="W41" s="13"/>
      <c r="X41" s="13" t="n">
        <f aca="false">IF('Cash Drivers'!X$26,'Customer Success'!W41,'Customer Success'!Y41)</f>
        <v>9000</v>
      </c>
      <c r="Y41" s="89" t="n">
        <v>9000</v>
      </c>
      <c r="Z41" s="12"/>
      <c r="AA41" s="12" t="n">
        <f aca="false">IF('Cash Drivers'!AA$26,'Customer Success'!Z41,'Customer Success'!AB41)</f>
        <v>9000</v>
      </c>
      <c r="AB41" s="90" t="n">
        <v>9000</v>
      </c>
      <c r="AC41" s="13"/>
      <c r="AD41" s="13" t="n">
        <f aca="false">IF('Cash Drivers'!AD$26,'Customer Success'!AC41,'Customer Success'!AE41)</f>
        <v>9000</v>
      </c>
      <c r="AE41" s="89" t="n">
        <v>9000</v>
      </c>
      <c r="AF41" s="12"/>
      <c r="AG41" s="12" t="n">
        <f aca="false">IF('Cash Drivers'!AG$26,'Customer Success'!AF41,'Customer Success'!AH41)</f>
        <v>9000</v>
      </c>
      <c r="AH41" s="90" t="n">
        <v>9000</v>
      </c>
      <c r="AI41" s="13"/>
      <c r="AJ41" s="13" t="n">
        <f aca="false">IF('Cash Drivers'!AJ$26,'Customer Success'!AI41,'Customer Success'!AK41)</f>
        <v>9000</v>
      </c>
      <c r="AK41" s="89" t="n">
        <v>9000</v>
      </c>
      <c r="AL41" s="12"/>
      <c r="AM41" s="12" t="n">
        <f aca="false">IF('Cash Drivers'!AM$26,'Customer Success'!AL41,'Customer Success'!AN41)</f>
        <v>9000</v>
      </c>
      <c r="AN41" s="90" t="n">
        <v>9000</v>
      </c>
      <c r="AO41" s="13"/>
      <c r="AP41" s="13" t="n">
        <f aca="false">IF('Cash Drivers'!AP$26,'Customer Success'!AO41,'Customer Success'!AQ41)</f>
        <v>9000</v>
      </c>
      <c r="AQ41" s="89" t="n">
        <v>9000</v>
      </c>
      <c r="AR41" s="12"/>
      <c r="AS41" s="12" t="n">
        <f aca="false">IF('Cash Drivers'!AS$26,'Customer Success'!AR41,'Customer Success'!AT41)</f>
        <v>9000</v>
      </c>
      <c r="AT41" s="90" t="n">
        <v>9000</v>
      </c>
      <c r="AU41" s="13"/>
      <c r="AV41" s="13" t="n">
        <f aca="false">IF('Cash Drivers'!AV$26,'Customer Success'!AU41,'Customer Success'!AW41)</f>
        <v>9000</v>
      </c>
      <c r="AW41" s="89" t="n">
        <v>9000</v>
      </c>
      <c r="AX41" s="12"/>
      <c r="AY41" s="12" t="n">
        <f aca="false">IF('Cash Drivers'!AY$26,'Customer Success'!AX41,'Customer Success'!AZ41)</f>
        <v>9000</v>
      </c>
      <c r="AZ41" s="90" t="n">
        <v>9000</v>
      </c>
      <c r="BA41" s="13"/>
      <c r="BB41" s="13" t="n">
        <f aca="false">IF('Cash Drivers'!BB$26,'Customer Success'!BA41,'Customer Success'!BC41)</f>
        <v>9000</v>
      </c>
      <c r="BC41" s="89" t="n">
        <v>9000</v>
      </c>
      <c r="BD41" s="12"/>
      <c r="BE41" s="12" t="n">
        <f aca="false">IF('Cash Drivers'!BE$26,'Customer Success'!BD41,'Customer Success'!BF41)</f>
        <v>9000</v>
      </c>
      <c r="BF41" s="90" t="n">
        <v>9000</v>
      </c>
      <c r="BG41" s="13"/>
      <c r="BH41" s="13" t="n">
        <f aca="false">IF('Cash Drivers'!BH$26,'Customer Success'!BG41,'Customer Success'!BI41)</f>
        <v>9000</v>
      </c>
      <c r="BI41" s="89" t="n">
        <v>9000</v>
      </c>
      <c r="BJ41" s="12"/>
      <c r="BK41" s="12" t="n">
        <f aca="false">IF('Cash Drivers'!BK$26,'Customer Success'!BJ41,'Customer Success'!BL41)</f>
        <v>9000</v>
      </c>
      <c r="BL41" s="90" t="n">
        <v>9000</v>
      </c>
      <c r="BM41" s="13"/>
      <c r="BN41" s="13" t="n">
        <f aca="false">IF('Cash Drivers'!BN$26,'Customer Success'!BM41,'Customer Success'!BO41)</f>
        <v>9000</v>
      </c>
      <c r="BO41" s="89" t="n">
        <v>9000</v>
      </c>
      <c r="BP41" s="12"/>
      <c r="BQ41" s="12" t="n">
        <f aca="false">IF('Cash Drivers'!BQ$26,'Customer Success'!BP41,'Customer Success'!BR41)</f>
        <v>9000</v>
      </c>
      <c r="BR41" s="90" t="n">
        <v>9000</v>
      </c>
      <c r="BS41" s="13"/>
      <c r="BT41" s="13" t="n">
        <f aca="false">IF('Cash Drivers'!BT$26,'Customer Success'!BS41,'Customer Success'!BU41)</f>
        <v>9000</v>
      </c>
      <c r="BU41" s="89" t="n">
        <v>9000</v>
      </c>
      <c r="BV41" s="12"/>
      <c r="BW41" s="12" t="n">
        <f aca="false">IF('Cash Drivers'!BW$26,'Customer Success'!BV41,'Customer Success'!BX41)</f>
        <v>9000</v>
      </c>
      <c r="BX41" s="90" t="n">
        <v>9000</v>
      </c>
      <c r="BY41" s="13"/>
      <c r="BZ41" s="13" t="n">
        <f aca="false">IF('Cash Drivers'!BZ$26,'Customer Success'!BY41,'Customer Success'!CA41)</f>
        <v>9000</v>
      </c>
      <c r="CA41" s="89" t="n">
        <v>9000</v>
      </c>
      <c r="CB41" s="12"/>
      <c r="CC41" s="12" t="n">
        <f aca="false">IF('Cash Drivers'!CC$26,'Customer Success'!CB41,'Customer Success'!CD41)</f>
        <v>9000</v>
      </c>
      <c r="CD41" s="90" t="n">
        <v>9000</v>
      </c>
      <c r="CE41" s="13"/>
      <c r="CF41" s="13" t="n">
        <f aca="false">IF('Cash Drivers'!CF$26,'Customer Success'!CE41,'Customer Success'!CG41)</f>
        <v>9000</v>
      </c>
      <c r="CG41" s="89" t="n">
        <v>9000</v>
      </c>
      <c r="CH41" s="12"/>
      <c r="CI41" s="12" t="n">
        <f aca="false">IF('Cash Drivers'!CI$26,'Customer Success'!CH41,'Customer Success'!CJ41)</f>
        <v>9000</v>
      </c>
      <c r="CJ41" s="90" t="n">
        <v>9000</v>
      </c>
      <c r="CK41" s="13"/>
      <c r="CL41" s="13" t="n">
        <f aca="false">IF('Cash Drivers'!CL$26,'Customer Success'!CK41,'Customer Success'!CM41)</f>
        <v>9000</v>
      </c>
      <c r="CM41" s="89" t="n">
        <v>9000</v>
      </c>
      <c r="CN41" s="12"/>
      <c r="CO41" s="12" t="n">
        <f aca="false">IF('Cash Drivers'!CO$26,'Customer Success'!CN41,'Customer Success'!CP41)</f>
        <v>9000</v>
      </c>
      <c r="CP41" s="90" t="n">
        <v>9000</v>
      </c>
      <c r="CQ41" s="13"/>
      <c r="CR41" s="13" t="n">
        <f aca="false">IF('Cash Drivers'!CR$26,'Customer Success'!CQ41,'Customer Success'!CS41)</f>
        <v>9000</v>
      </c>
      <c r="CS41" s="89" t="n">
        <v>9000</v>
      </c>
      <c r="CT41" s="12"/>
      <c r="CU41" s="12" t="n">
        <f aca="false">IF('Cash Drivers'!CU$26,'Customer Success'!CT41,'Customer Success'!CV41)</f>
        <v>9000</v>
      </c>
      <c r="CV41" s="90" t="n">
        <v>9000</v>
      </c>
      <c r="CW41" s="13"/>
      <c r="CX41" s="13" t="n">
        <f aca="false">IF('Cash Drivers'!CX$26,'Customer Success'!CW41,'Customer Success'!CY41)</f>
        <v>9000</v>
      </c>
      <c r="CY41" s="89" t="n">
        <v>9000</v>
      </c>
      <c r="CZ41" s="12"/>
      <c r="DA41" s="12" t="n">
        <f aca="false">IF('Cash Drivers'!DA$26,'Customer Success'!CZ41,'Customer Success'!DB41)</f>
        <v>9000</v>
      </c>
      <c r="DB41" s="90" t="n">
        <v>9000</v>
      </c>
      <c r="DC41" s="13"/>
      <c r="DD41" s="13" t="n">
        <f aca="false">IF('Cash Drivers'!DD$26,'Customer Success'!DC41,'Customer Success'!DE41)</f>
        <v>9000</v>
      </c>
      <c r="DE41" s="89" t="n">
        <v>9000</v>
      </c>
      <c r="DF41" s="12"/>
      <c r="DG41" s="12" t="n">
        <f aca="false">IF('Cash Drivers'!DG$26,'Customer Success'!DF41,'Customer Success'!DH41)</f>
        <v>9000</v>
      </c>
      <c r="DH41" s="90" t="n">
        <v>9000</v>
      </c>
      <c r="DI41" s="89" t="n">
        <v>9000</v>
      </c>
      <c r="DJ41" s="13" t="n">
        <f aca="false">IF('Cash Drivers'!DJ$26,'Customer Success'!DI41,'Customer Success'!DK41)</f>
        <v>9000</v>
      </c>
      <c r="DK41" s="89" t="n">
        <v>9000</v>
      </c>
      <c r="DL41" s="90" t="n">
        <v>9000</v>
      </c>
      <c r="DM41" s="12" t="n">
        <f aca="false">IF('Cash Drivers'!DM$26,'Customer Success'!DL41,'Customer Success'!DN41)</f>
        <v>9000</v>
      </c>
      <c r="DN41" s="90" t="n">
        <v>9000</v>
      </c>
    </row>
    <row r="42" customFormat="false" ht="15.75" hidden="false" customHeight="true" outlineLevel="0" collapsed="false">
      <c r="A42" s="5" t="s">
        <v>228</v>
      </c>
      <c r="B42" s="12" t="str">
        <f aca="false">IF(COUNT(AR42,AO42,AL42,AI42,AF42,AC42,Z42,W42,T42,Q42,N42,K42)=0,"",SUM(AR42,AO42,AL42,AI42,AF42,AC42,Z42,W42,T42,Q42,N42,K42))</f>
        <v/>
      </c>
      <c r="C42" s="12" t="n">
        <f aca="false">IF(COUNT(AS42,AP42,AM42,AJ42,AG42,AD42,AA42,X42,U42,R42,O42,L42)=0,"",SUM(AS42,AP42,AM42,AJ42,AG42,AD42,AA42,X42,U42,R42,O42,L42))</f>
        <v>96000</v>
      </c>
      <c r="D42" s="12" t="n">
        <f aca="false">IF(COUNT(AT42,AQ42,AN42,AK42,AH42,AE42,AB42,Y42,V42,S42,P42,M42)=0,"",SUM(AT42,AQ42,AN42,AK42,AH42,AE42,AB42,Y42,V42,S42,P42,M42))</f>
        <v>96000</v>
      </c>
      <c r="E42" s="13" t="str">
        <f aca="false">IF(COUNT(CB42,BY42,BV42,BS42,BP42,BM42,BJ42,BG42,BD42,BA42,AX42,AU42)=0,"",SUM(CB42,BY42,BV42,BS42,BP42,BM42,BJ42,BG42,BD42,BA42,AX42,AU42))</f>
        <v/>
      </c>
      <c r="F42" s="13" t="n">
        <f aca="false">IF(COUNT(CC42,BZ42,BW42,BT42,BQ42,BN42,BK42,BH42,BE42,BB42,AY42,AV42)=0,"",SUM(CC42,BZ42,BW42,BT42,BQ42,BN42,BK42,BH42,BE42,BB42,AY42,AV42))</f>
        <v>96000</v>
      </c>
      <c r="G42" s="13" t="n">
        <f aca="false">IF(COUNT(CD42,CA42,BX42,BU42,BR42,BO42,BL42,BI42,BF42,BC42,AZ42,AW42)=0,"",SUM(CD42,CA42,BX42,BU42,BR42,BO42,BL42,BI42,BF42,BC42,AZ42,AW42))</f>
        <v>96000</v>
      </c>
      <c r="H42" s="12" t="str">
        <f aca="false">IF(COUNT(DL42,DI42,DF42,DC42,CZ42,CW42,CT42,CQ42,CN42,CK42,CH42,CE42)=0,"",SUM(DL42,DI42,DF42,DC42,CZ42,CW42,CT42,CQ42,CN42,CK42,CH42,CE42))</f>
        <v/>
      </c>
      <c r="I42" s="12" t="n">
        <f aca="false">IF(COUNT(DM42,DJ42,DG42,DD42,DA42,CX42,CU42,CR42,CO42,CL42,CI42,CF42)=0,"",SUM(DM42,DJ42,DG42,DD42,DA42,CX42,CU42,CR42,CO42,CL42,CI42,CF42))</f>
        <v>72000</v>
      </c>
      <c r="J42" s="12" t="n">
        <f aca="false">IF(COUNT(DN42,DK42,DH42,DE42,DB42,CY42,CV42,CS42,CP42,CM42,CJ42,CG42)=0,"",SUM(DN42,DK42,DH42,DE42,DB42,CY42,CV42,CS42,CP42,CM42,CJ42,CG42))</f>
        <v>72000</v>
      </c>
      <c r="K42" s="13"/>
      <c r="L42" s="13" t="n">
        <f aca="false">IF('Cash Drivers'!L$26,'Customer Success'!K42,'Customer Success'!M42)</f>
        <v>8000</v>
      </c>
      <c r="M42" s="89" t="n">
        <v>8000</v>
      </c>
      <c r="N42" s="12"/>
      <c r="O42" s="12" t="n">
        <f aca="false">IF('Cash Drivers'!O$26,'Customer Success'!N42,'Customer Success'!P42)</f>
        <v>8000</v>
      </c>
      <c r="P42" s="90" t="n">
        <v>8000</v>
      </c>
      <c r="Q42" s="13"/>
      <c r="R42" s="13" t="n">
        <f aca="false">IF('Cash Drivers'!R$26,'Customer Success'!Q42,'Customer Success'!S42)</f>
        <v>8000</v>
      </c>
      <c r="S42" s="89" t="n">
        <v>8000</v>
      </c>
      <c r="T42" s="12"/>
      <c r="U42" s="12" t="n">
        <f aca="false">IF('Cash Drivers'!U$26,'Customer Success'!T42,'Customer Success'!V42)</f>
        <v>8000</v>
      </c>
      <c r="V42" s="90" t="n">
        <v>8000</v>
      </c>
      <c r="W42" s="13"/>
      <c r="X42" s="13" t="n">
        <f aca="false">IF('Cash Drivers'!X$26,'Customer Success'!W42,'Customer Success'!Y42)</f>
        <v>8000</v>
      </c>
      <c r="Y42" s="89" t="n">
        <v>8000</v>
      </c>
      <c r="Z42" s="12"/>
      <c r="AA42" s="12" t="n">
        <f aca="false">IF('Cash Drivers'!AA$26,'Customer Success'!Z42,'Customer Success'!AB42)</f>
        <v>8000</v>
      </c>
      <c r="AB42" s="90" t="n">
        <v>8000</v>
      </c>
      <c r="AC42" s="13"/>
      <c r="AD42" s="13" t="n">
        <f aca="false">IF('Cash Drivers'!AD$26,'Customer Success'!AC42,'Customer Success'!AE42)</f>
        <v>8000</v>
      </c>
      <c r="AE42" s="89" t="n">
        <v>8000</v>
      </c>
      <c r="AF42" s="12"/>
      <c r="AG42" s="12" t="n">
        <f aca="false">IF('Cash Drivers'!AG$26,'Customer Success'!AF42,'Customer Success'!AH42)</f>
        <v>8000</v>
      </c>
      <c r="AH42" s="90" t="n">
        <v>8000</v>
      </c>
      <c r="AI42" s="13"/>
      <c r="AJ42" s="13" t="n">
        <f aca="false">IF('Cash Drivers'!AJ$26,'Customer Success'!AI42,'Customer Success'!AK42)</f>
        <v>8000</v>
      </c>
      <c r="AK42" s="89" t="n">
        <v>8000</v>
      </c>
      <c r="AL42" s="12"/>
      <c r="AM42" s="12" t="n">
        <f aca="false">IF('Cash Drivers'!AM$26,'Customer Success'!AL42,'Customer Success'!AN42)</f>
        <v>8000</v>
      </c>
      <c r="AN42" s="90" t="n">
        <v>8000</v>
      </c>
      <c r="AO42" s="13"/>
      <c r="AP42" s="13" t="n">
        <f aca="false">IF('Cash Drivers'!AP$26,'Customer Success'!AO42,'Customer Success'!AQ42)</f>
        <v>8000</v>
      </c>
      <c r="AQ42" s="89" t="n">
        <v>8000</v>
      </c>
      <c r="AR42" s="12"/>
      <c r="AS42" s="12" t="n">
        <f aca="false">IF('Cash Drivers'!AS$26,'Customer Success'!AR42,'Customer Success'!AT42)</f>
        <v>8000</v>
      </c>
      <c r="AT42" s="90" t="n">
        <v>8000</v>
      </c>
      <c r="AU42" s="13"/>
      <c r="AV42" s="13" t="n">
        <f aca="false">IF('Cash Drivers'!AV$26,'Customer Success'!AU42,'Customer Success'!AW42)</f>
        <v>8000</v>
      </c>
      <c r="AW42" s="89" t="n">
        <v>8000</v>
      </c>
      <c r="AX42" s="12"/>
      <c r="AY42" s="12" t="n">
        <f aca="false">IF('Cash Drivers'!AY$26,'Customer Success'!AX42,'Customer Success'!AZ42)</f>
        <v>8000</v>
      </c>
      <c r="AZ42" s="90" t="n">
        <v>8000</v>
      </c>
      <c r="BA42" s="13"/>
      <c r="BB42" s="13" t="n">
        <f aca="false">IF('Cash Drivers'!BB$26,'Customer Success'!BA42,'Customer Success'!BC42)</f>
        <v>8000</v>
      </c>
      <c r="BC42" s="89" t="n">
        <v>8000</v>
      </c>
      <c r="BD42" s="12"/>
      <c r="BE42" s="12" t="n">
        <f aca="false">IF('Cash Drivers'!BE$26,'Customer Success'!BD42,'Customer Success'!BF42)</f>
        <v>8000</v>
      </c>
      <c r="BF42" s="90" t="n">
        <v>8000</v>
      </c>
      <c r="BG42" s="13"/>
      <c r="BH42" s="13" t="n">
        <f aca="false">IF('Cash Drivers'!BH$26,'Customer Success'!BG42,'Customer Success'!BI42)</f>
        <v>8000</v>
      </c>
      <c r="BI42" s="89" t="n">
        <v>8000</v>
      </c>
      <c r="BJ42" s="12"/>
      <c r="BK42" s="12" t="n">
        <f aca="false">IF('Cash Drivers'!BK$26,'Customer Success'!BJ42,'Customer Success'!BL42)</f>
        <v>8000</v>
      </c>
      <c r="BL42" s="90" t="n">
        <v>8000</v>
      </c>
      <c r="BM42" s="13"/>
      <c r="BN42" s="13" t="n">
        <f aca="false">IF('Cash Drivers'!BN$26,'Customer Success'!BM42,'Customer Success'!BO42)</f>
        <v>8000</v>
      </c>
      <c r="BO42" s="89" t="n">
        <v>8000</v>
      </c>
      <c r="BP42" s="12"/>
      <c r="BQ42" s="12" t="n">
        <f aca="false">IF('Cash Drivers'!BQ$26,'Customer Success'!BP42,'Customer Success'!BR42)</f>
        <v>8000</v>
      </c>
      <c r="BR42" s="90" t="n">
        <v>8000</v>
      </c>
      <c r="BS42" s="13"/>
      <c r="BT42" s="13" t="n">
        <f aca="false">IF('Cash Drivers'!BT$26,'Customer Success'!BS42,'Customer Success'!BU42)</f>
        <v>8000</v>
      </c>
      <c r="BU42" s="89" t="n">
        <v>8000</v>
      </c>
      <c r="BV42" s="12"/>
      <c r="BW42" s="12" t="n">
        <f aca="false">IF('Cash Drivers'!BW$26,'Customer Success'!BV42,'Customer Success'!BX42)</f>
        <v>8000</v>
      </c>
      <c r="BX42" s="90" t="n">
        <v>8000</v>
      </c>
      <c r="BY42" s="13"/>
      <c r="BZ42" s="13" t="n">
        <f aca="false">IF('Cash Drivers'!BZ$26,'Customer Success'!BY42,'Customer Success'!CA42)</f>
        <v>8000</v>
      </c>
      <c r="CA42" s="89" t="n">
        <v>8000</v>
      </c>
      <c r="CB42" s="12"/>
      <c r="CC42" s="12" t="n">
        <f aca="false">IF('Cash Drivers'!CC$26,'Customer Success'!CB42,'Customer Success'!CD42)</f>
        <v>8000</v>
      </c>
      <c r="CD42" s="90" t="n">
        <v>8000</v>
      </c>
      <c r="CE42" s="13"/>
      <c r="CF42" s="13" t="n">
        <f aca="false">IF('Cash Drivers'!CF$26,'Customer Success'!CE42,'Customer Success'!CG42)</f>
        <v>8000</v>
      </c>
      <c r="CG42" s="89" t="n">
        <v>8000</v>
      </c>
      <c r="CH42" s="12"/>
      <c r="CI42" s="12" t="n">
        <f aca="false">IF('Cash Drivers'!CI$26,'Customer Success'!CH42,'Customer Success'!CJ42)</f>
        <v>8000</v>
      </c>
      <c r="CJ42" s="90" t="n">
        <v>8000</v>
      </c>
      <c r="CK42" s="13"/>
      <c r="CL42" s="13" t="n">
        <f aca="false">IF('Cash Drivers'!CL$26,'Customer Success'!CK42,'Customer Success'!CM42)</f>
        <v>8000</v>
      </c>
      <c r="CM42" s="89" t="n">
        <v>8000</v>
      </c>
      <c r="CN42" s="12"/>
      <c r="CO42" s="12" t="n">
        <f aca="false">IF('Cash Drivers'!CO$26,'Customer Success'!CN42,'Customer Success'!CP42)</f>
        <v>8000</v>
      </c>
      <c r="CP42" s="90" t="n">
        <v>8000</v>
      </c>
      <c r="CQ42" s="13"/>
      <c r="CR42" s="13" t="n">
        <f aca="false">IF('Cash Drivers'!CR$26,'Customer Success'!CQ42,'Customer Success'!CS42)</f>
        <v>8000</v>
      </c>
      <c r="CS42" s="89" t="n">
        <v>8000</v>
      </c>
      <c r="CT42" s="12"/>
      <c r="CU42" s="12" t="n">
        <f aca="false">IF('Cash Drivers'!CU$26,'Customer Success'!CT42,'Customer Success'!CV42)</f>
        <v>8000</v>
      </c>
      <c r="CV42" s="90" t="n">
        <v>8000</v>
      </c>
      <c r="CW42" s="13"/>
      <c r="CX42" s="13" t="n">
        <f aca="false">IF('Cash Drivers'!CX$26,'Customer Success'!CW42,'Customer Success'!CY42)</f>
        <v>8000</v>
      </c>
      <c r="CY42" s="89" t="n">
        <v>8000</v>
      </c>
      <c r="CZ42" s="12"/>
      <c r="DA42" s="12" t="n">
        <f aca="false">IF('Cash Drivers'!DA$26,'Customer Success'!CZ42,'Customer Success'!DB42)</f>
        <v>8000</v>
      </c>
      <c r="DB42" s="90" t="n">
        <v>8000</v>
      </c>
      <c r="DC42" s="13"/>
      <c r="DD42" s="13" t="n">
        <f aca="false">IF('Cash Drivers'!DD$26,'Customer Success'!DC42,'Customer Success'!DE42)</f>
        <v>8000</v>
      </c>
      <c r="DE42" s="89" t="n">
        <v>8000</v>
      </c>
      <c r="DF42" s="91"/>
      <c r="DG42" s="91"/>
      <c r="DH42" s="91"/>
      <c r="DL42" s="91"/>
      <c r="DM42" s="91"/>
      <c r="DN42" s="91"/>
    </row>
    <row r="43" customFormat="false" ht="15.75" hidden="false" customHeight="true" outlineLevel="0" collapsed="false">
      <c r="A43" s="5" t="s">
        <v>228</v>
      </c>
      <c r="B43" s="12" t="str">
        <f aca="false">IF(COUNT(AR43,AO43,AL43,AI43,AF43,AC43,Z43,W43,T43,Q43,N43,K43)=0,"",SUM(AR43,AO43,AL43,AI43,AF43,AC43,Z43,W43,T43,Q43,N43,K43))</f>
        <v/>
      </c>
      <c r="C43" s="12" t="n">
        <f aca="false">IF(COUNT(AS43,AP43,AM43,AJ43,AG43,AD43,AA43,X43,U43,R43,O43,L43)=0,"",SUM(AS43,AP43,AM43,AJ43,AG43,AD43,AA43,X43,U43,R43,O43,L43))</f>
        <v>96000</v>
      </c>
      <c r="D43" s="12" t="n">
        <f aca="false">IF(COUNT(AT43,AQ43,AN43,AK43,AH43,AE43,AB43,Y43,V43,S43,P43,M43)=0,"",SUM(AT43,AQ43,AN43,AK43,AH43,AE43,AB43,Y43,V43,S43,P43,M43))</f>
        <v>96000</v>
      </c>
      <c r="E43" s="13" t="str">
        <f aca="false">IF(COUNT(CB43,BY43,BV43,BS43,BP43,BM43,BJ43,BG43,BD43,BA43,AX43,AU43)=0,"",SUM(CB43,BY43,BV43,BS43,BP43,BM43,BJ43,BG43,BD43,BA43,AX43,AU43))</f>
        <v/>
      </c>
      <c r="F43" s="13" t="n">
        <f aca="false">IF(COUNT(CC43,BZ43,BW43,BT43,BQ43,BN43,BK43,BH43,BE43,BB43,AY43,AV43)=0,"",SUM(CC43,BZ43,BW43,BT43,BQ43,BN43,BK43,BH43,BE43,BB43,AY43,AV43))</f>
        <v>56000</v>
      </c>
      <c r="G43" s="13" t="n">
        <f aca="false">IF(COUNT(CD43,CA43,BX43,BU43,BR43,BO43,BL43,BI43,BF43,BC43,AZ43,AW43)=0,"",SUM(CD43,CA43,BX43,BU43,BR43,BO43,BL43,BI43,BF43,BC43,AZ43,AW43))</f>
        <v>56000</v>
      </c>
      <c r="H43" s="12" t="str">
        <f aca="false">IF(COUNT(DL43,DI43,DF43,DC43,CZ43,CW43,CT43,CQ43,CN43,CK43,CH43,CE43)=0,"",SUM(DL43,DI43,DF43,DC43,CZ43,CW43,CT43,CQ43,CN43,CK43,CH43,CE43))</f>
        <v/>
      </c>
      <c r="I43" s="12" t="str">
        <f aca="false">IF(COUNT(DM43,DJ43,DG43,DD43,DA43,CX43,CU43,CR43,CO43,CL43,CI43,CF43)=0,"",SUM(DM43,DJ43,DG43,DD43,DA43,CX43,CU43,CR43,CO43,CL43,CI43,CF43))</f>
        <v/>
      </c>
      <c r="J43" s="12" t="str">
        <f aca="false">IF(COUNT(DN43,DK43,DH43,DE43,DB43,CY43,CV43,CS43,CP43,CM43,CJ43,CG43)=0,"",SUM(DN43,DK43,DH43,DE43,DB43,CY43,CV43,CS43,CP43,CM43,CJ43,CG43))</f>
        <v/>
      </c>
      <c r="K43" s="13"/>
      <c r="L43" s="13" t="n">
        <f aca="false">IF('Cash Drivers'!L$26,'Customer Success'!K43,'Customer Success'!M43)</f>
        <v>8000</v>
      </c>
      <c r="M43" s="89" t="n">
        <v>8000</v>
      </c>
      <c r="N43" s="12"/>
      <c r="O43" s="12" t="n">
        <f aca="false">IF('Cash Drivers'!O$26,'Customer Success'!N43,'Customer Success'!P43)</f>
        <v>8000</v>
      </c>
      <c r="P43" s="90" t="n">
        <v>8000</v>
      </c>
      <c r="Q43" s="13"/>
      <c r="R43" s="13" t="n">
        <f aca="false">IF('Cash Drivers'!R$26,'Customer Success'!Q43,'Customer Success'!S43)</f>
        <v>8000</v>
      </c>
      <c r="S43" s="89" t="n">
        <v>8000</v>
      </c>
      <c r="T43" s="12"/>
      <c r="U43" s="12" t="n">
        <f aca="false">IF('Cash Drivers'!U$26,'Customer Success'!T43,'Customer Success'!V43)</f>
        <v>8000</v>
      </c>
      <c r="V43" s="90" t="n">
        <v>8000</v>
      </c>
      <c r="W43" s="13"/>
      <c r="X43" s="13" t="n">
        <f aca="false">IF('Cash Drivers'!X$26,'Customer Success'!W43,'Customer Success'!Y43)</f>
        <v>8000</v>
      </c>
      <c r="Y43" s="89" t="n">
        <v>8000</v>
      </c>
      <c r="Z43" s="12"/>
      <c r="AA43" s="12" t="n">
        <f aca="false">IF('Cash Drivers'!AA$26,'Customer Success'!Z43,'Customer Success'!AB43)</f>
        <v>8000</v>
      </c>
      <c r="AB43" s="90" t="n">
        <v>8000</v>
      </c>
      <c r="AC43" s="13"/>
      <c r="AD43" s="13" t="n">
        <f aca="false">IF('Cash Drivers'!AD$26,'Customer Success'!AC43,'Customer Success'!AE43)</f>
        <v>8000</v>
      </c>
      <c r="AE43" s="89" t="n">
        <v>8000</v>
      </c>
      <c r="AF43" s="12"/>
      <c r="AG43" s="12" t="n">
        <f aca="false">IF('Cash Drivers'!AG$26,'Customer Success'!AF43,'Customer Success'!AH43)</f>
        <v>8000</v>
      </c>
      <c r="AH43" s="90" t="n">
        <v>8000</v>
      </c>
      <c r="AI43" s="13"/>
      <c r="AJ43" s="13" t="n">
        <f aca="false">IF('Cash Drivers'!AJ$26,'Customer Success'!AI43,'Customer Success'!AK43)</f>
        <v>8000</v>
      </c>
      <c r="AK43" s="89" t="n">
        <v>8000</v>
      </c>
      <c r="AL43" s="12"/>
      <c r="AM43" s="12" t="n">
        <f aca="false">IF('Cash Drivers'!AM$26,'Customer Success'!AL43,'Customer Success'!AN43)</f>
        <v>8000</v>
      </c>
      <c r="AN43" s="90" t="n">
        <v>8000</v>
      </c>
      <c r="AO43" s="13"/>
      <c r="AP43" s="13" t="n">
        <f aca="false">IF('Cash Drivers'!AP$26,'Customer Success'!AO43,'Customer Success'!AQ43)</f>
        <v>8000</v>
      </c>
      <c r="AQ43" s="89" t="n">
        <v>8000</v>
      </c>
      <c r="AR43" s="12"/>
      <c r="AS43" s="12" t="n">
        <f aca="false">IF('Cash Drivers'!AS$26,'Customer Success'!AR43,'Customer Success'!AT43)</f>
        <v>8000</v>
      </c>
      <c r="AT43" s="90" t="n">
        <v>8000</v>
      </c>
      <c r="AU43" s="13"/>
      <c r="AV43" s="13" t="n">
        <f aca="false">IF('Cash Drivers'!AV$26,'Customer Success'!AU43,'Customer Success'!AW43)</f>
        <v>8000</v>
      </c>
      <c r="AW43" s="89" t="n">
        <v>8000</v>
      </c>
      <c r="AX43" s="12"/>
      <c r="AY43" s="12" t="n">
        <f aca="false">IF('Cash Drivers'!AY$26,'Customer Success'!AX43,'Customer Success'!AZ43)</f>
        <v>8000</v>
      </c>
      <c r="AZ43" s="90" t="n">
        <v>8000</v>
      </c>
      <c r="BA43" s="13"/>
      <c r="BB43" s="13" t="n">
        <f aca="false">IF('Cash Drivers'!BB$26,'Customer Success'!BA43,'Customer Success'!BC43)</f>
        <v>8000</v>
      </c>
      <c r="BC43" s="89" t="n">
        <v>8000</v>
      </c>
      <c r="BD43" s="12"/>
      <c r="BE43" s="12" t="n">
        <f aca="false">IF('Cash Drivers'!BE$26,'Customer Success'!BD43,'Customer Success'!BF43)</f>
        <v>8000</v>
      </c>
      <c r="BF43" s="90" t="n">
        <v>8000</v>
      </c>
      <c r="BG43" s="13"/>
      <c r="BH43" s="13" t="n">
        <f aca="false">IF('Cash Drivers'!BH$26,'Customer Success'!BG43,'Customer Success'!BI43)</f>
        <v>8000</v>
      </c>
      <c r="BI43" s="89" t="n">
        <v>8000</v>
      </c>
      <c r="BJ43" s="12"/>
      <c r="BK43" s="12" t="n">
        <f aca="false">IF('Cash Drivers'!BK$26,'Customer Success'!BJ43,'Customer Success'!BL43)</f>
        <v>8000</v>
      </c>
      <c r="BL43" s="90" t="n">
        <v>8000</v>
      </c>
      <c r="BM43" s="13"/>
      <c r="BN43" s="13" t="n">
        <f aca="false">IF('Cash Drivers'!BN$26,'Customer Success'!BM43,'Customer Success'!BO43)</f>
        <v>8000</v>
      </c>
      <c r="BO43" s="89" t="n">
        <v>8000</v>
      </c>
      <c r="BP43" s="91"/>
      <c r="BQ43" s="91"/>
      <c r="BR43" s="91"/>
      <c r="BV43" s="91"/>
      <c r="BW43" s="91"/>
      <c r="BX43" s="91"/>
      <c r="CB43" s="91"/>
      <c r="CC43" s="91"/>
      <c r="CD43" s="91"/>
      <c r="CH43" s="91"/>
      <c r="CI43" s="91"/>
      <c r="CJ43" s="91"/>
      <c r="CN43" s="91"/>
      <c r="CO43" s="91"/>
      <c r="CP43" s="91"/>
      <c r="CT43" s="91"/>
      <c r="CU43" s="91"/>
      <c r="CV43" s="91"/>
      <c r="CZ43" s="91"/>
      <c r="DA43" s="91"/>
      <c r="DB43" s="91"/>
      <c r="DF43" s="91"/>
      <c r="DG43" s="91"/>
      <c r="DH43" s="91"/>
      <c r="DL43" s="91"/>
      <c r="DM43" s="91"/>
      <c r="DN43" s="91"/>
    </row>
    <row r="44" customFormat="false" ht="15.75" hidden="false" customHeight="true" outlineLevel="0" collapsed="false">
      <c r="A44" s="5" t="s">
        <v>228</v>
      </c>
      <c r="B44" s="12" t="str">
        <f aca="false">IF(COUNT(AR44,AO44,AL44,AI44,AF44,AC44,Z44,W44,T44,Q44,N44,K44)=0,"",SUM(AR44,AO44,AL44,AI44,AF44,AC44,Z44,W44,T44,Q44,N44,K44))</f>
        <v/>
      </c>
      <c r="C44" s="12" t="n">
        <f aca="false">IF(COUNT(AS44,AP44,AM44,AJ44,AG44,AD44,AA44,X44,U44,R44,O44,L44)=0,"",SUM(AS44,AP44,AM44,AJ44,AG44,AD44,AA44,X44,U44,R44,O44,L44))</f>
        <v>96000</v>
      </c>
      <c r="D44" s="12" t="n">
        <f aca="false">IF(COUNT(AT44,AQ44,AN44,AK44,AH44,AE44,AB44,Y44,V44,S44,P44,M44)=0,"",SUM(AT44,AQ44,AN44,AK44,AH44,AE44,AB44,Y44,V44,S44,P44,M44))</f>
        <v>96000</v>
      </c>
      <c r="E44" s="13" t="str">
        <f aca="false">IF(COUNT(CB44,BY44,BV44,BS44,BP44,BM44,BJ44,BG44,BD44,BA44,AX44,AU44)=0,"",SUM(CB44,BY44,BV44,BS44,BP44,BM44,BJ44,BG44,BD44,BA44,AX44,AU44))</f>
        <v/>
      </c>
      <c r="F44" s="13" t="n">
        <f aca="false">IF(COUNT(CC44,BZ44,BW44,BT44,BQ44,BN44,BK44,BH44,BE44,BB44,AY44,AV44)=0,"",SUM(CC44,BZ44,BW44,BT44,BQ44,BN44,BK44,BH44,BE44,BB44,AY44,AV44))</f>
        <v>32000</v>
      </c>
      <c r="G44" s="13" t="n">
        <f aca="false">IF(COUNT(CD44,CA44,BX44,BU44,BR44,BO44,BL44,BI44,BF44,BC44,AZ44,AW44)=0,"",SUM(CD44,CA44,BX44,BU44,BR44,BO44,BL44,BI44,BF44,BC44,AZ44,AW44))</f>
        <v>32000</v>
      </c>
      <c r="H44" s="12" t="str">
        <f aca="false">IF(COUNT(DL44,DI44,DF44,DC44,CZ44,CW44,CT44,CQ44,CN44,CK44,CH44,CE44)=0,"",SUM(DL44,DI44,DF44,DC44,CZ44,CW44,CT44,CQ44,CN44,CK44,CH44,CE44))</f>
        <v/>
      </c>
      <c r="I44" s="12" t="str">
        <f aca="false">IF(COUNT(DM44,DJ44,DG44,DD44,DA44,CX44,CU44,CR44,CO44,CL44,CI44,CF44)=0,"",SUM(DM44,DJ44,DG44,DD44,DA44,CX44,CU44,CR44,CO44,CL44,CI44,CF44))</f>
        <v/>
      </c>
      <c r="J44" s="12" t="str">
        <f aca="false">IF(COUNT(DN44,DK44,DH44,DE44,DB44,CY44,CV44,CS44,CP44,CM44,CJ44,CG44)=0,"",SUM(DN44,DK44,DH44,DE44,DB44,CY44,CV44,CS44,CP44,CM44,CJ44,CG44))</f>
        <v/>
      </c>
      <c r="K44" s="13"/>
      <c r="L44" s="13" t="n">
        <f aca="false">IF('Cash Drivers'!L$26,'Customer Success'!K44,'Customer Success'!M44)</f>
        <v>8000</v>
      </c>
      <c r="M44" s="89" t="n">
        <v>8000</v>
      </c>
      <c r="N44" s="12"/>
      <c r="O44" s="12" t="n">
        <f aca="false">IF('Cash Drivers'!O$26,'Customer Success'!N44,'Customer Success'!P44)</f>
        <v>8000</v>
      </c>
      <c r="P44" s="90" t="n">
        <v>8000</v>
      </c>
      <c r="Q44" s="13"/>
      <c r="R44" s="13" t="n">
        <f aca="false">IF('Cash Drivers'!R$26,'Customer Success'!Q44,'Customer Success'!S44)</f>
        <v>8000</v>
      </c>
      <c r="S44" s="89" t="n">
        <v>8000</v>
      </c>
      <c r="T44" s="12"/>
      <c r="U44" s="12" t="n">
        <f aca="false">IF('Cash Drivers'!U$26,'Customer Success'!T44,'Customer Success'!V44)</f>
        <v>8000</v>
      </c>
      <c r="V44" s="90" t="n">
        <v>8000</v>
      </c>
      <c r="W44" s="13"/>
      <c r="X44" s="13" t="n">
        <f aca="false">IF('Cash Drivers'!X$26,'Customer Success'!W44,'Customer Success'!Y44)</f>
        <v>8000</v>
      </c>
      <c r="Y44" s="89" t="n">
        <v>8000</v>
      </c>
      <c r="Z44" s="12"/>
      <c r="AA44" s="12" t="n">
        <f aca="false">IF('Cash Drivers'!AA$26,'Customer Success'!Z44,'Customer Success'!AB44)</f>
        <v>8000</v>
      </c>
      <c r="AB44" s="90" t="n">
        <v>8000</v>
      </c>
      <c r="AC44" s="13"/>
      <c r="AD44" s="13" t="n">
        <f aca="false">IF('Cash Drivers'!AD$26,'Customer Success'!AC44,'Customer Success'!AE44)</f>
        <v>8000</v>
      </c>
      <c r="AE44" s="89" t="n">
        <v>8000</v>
      </c>
      <c r="AF44" s="12"/>
      <c r="AG44" s="12" t="n">
        <f aca="false">IF('Cash Drivers'!AG$26,'Customer Success'!AF44,'Customer Success'!AH44)</f>
        <v>8000</v>
      </c>
      <c r="AH44" s="90" t="n">
        <v>8000</v>
      </c>
      <c r="AI44" s="13"/>
      <c r="AJ44" s="13" t="n">
        <f aca="false">IF('Cash Drivers'!AJ$26,'Customer Success'!AI44,'Customer Success'!AK44)</f>
        <v>8000</v>
      </c>
      <c r="AK44" s="89" t="n">
        <v>8000</v>
      </c>
      <c r="AL44" s="12"/>
      <c r="AM44" s="12" t="n">
        <f aca="false">IF('Cash Drivers'!AM$26,'Customer Success'!AL44,'Customer Success'!AN44)</f>
        <v>8000</v>
      </c>
      <c r="AN44" s="90" t="n">
        <v>8000</v>
      </c>
      <c r="AO44" s="13"/>
      <c r="AP44" s="13" t="n">
        <f aca="false">IF('Cash Drivers'!AP$26,'Customer Success'!AO44,'Customer Success'!AQ44)</f>
        <v>8000</v>
      </c>
      <c r="AQ44" s="89" t="n">
        <v>8000</v>
      </c>
      <c r="AR44" s="12"/>
      <c r="AS44" s="12" t="n">
        <f aca="false">IF('Cash Drivers'!AS$26,'Customer Success'!AR44,'Customer Success'!AT44)</f>
        <v>8000</v>
      </c>
      <c r="AT44" s="90" t="n">
        <v>8000</v>
      </c>
      <c r="AU44" s="13"/>
      <c r="AV44" s="13" t="n">
        <f aca="false">IF('Cash Drivers'!AV$26,'Customer Success'!AU44,'Customer Success'!AW44)</f>
        <v>8000</v>
      </c>
      <c r="AW44" s="89" t="n">
        <v>8000</v>
      </c>
      <c r="AX44" s="12"/>
      <c r="AY44" s="12" t="n">
        <f aca="false">IF('Cash Drivers'!AY$26,'Customer Success'!AX44,'Customer Success'!AZ44)</f>
        <v>8000</v>
      </c>
      <c r="AZ44" s="90" t="n">
        <v>8000</v>
      </c>
      <c r="BA44" s="13"/>
      <c r="BB44" s="13" t="n">
        <f aca="false">IF('Cash Drivers'!BB$26,'Customer Success'!BA44,'Customer Success'!BC44)</f>
        <v>8000</v>
      </c>
      <c r="BC44" s="89" t="n">
        <v>8000</v>
      </c>
      <c r="BD44" s="12"/>
      <c r="BE44" s="12" t="n">
        <f aca="false">IF('Cash Drivers'!BE$26,'Customer Success'!BD44,'Customer Success'!BF44)</f>
        <v>8000</v>
      </c>
      <c r="BF44" s="90" t="n">
        <v>8000</v>
      </c>
      <c r="BJ44" s="91"/>
      <c r="BK44" s="91"/>
      <c r="BL44" s="91"/>
      <c r="BP44" s="91"/>
      <c r="BQ44" s="91"/>
      <c r="BR44" s="91"/>
      <c r="BV44" s="91"/>
      <c r="BW44" s="91"/>
      <c r="BX44" s="91"/>
      <c r="CB44" s="91"/>
      <c r="CC44" s="91"/>
      <c r="CD44" s="91"/>
      <c r="CH44" s="91"/>
      <c r="CI44" s="91"/>
      <c r="CJ44" s="91"/>
      <c r="CN44" s="91"/>
      <c r="CO44" s="91"/>
      <c r="CP44" s="91"/>
      <c r="CT44" s="91"/>
      <c r="CU44" s="91"/>
      <c r="CV44" s="91"/>
      <c r="CZ44" s="91"/>
      <c r="DA44" s="91"/>
      <c r="DB44" s="91"/>
      <c r="DF44" s="91"/>
      <c r="DG44" s="91"/>
      <c r="DH44" s="91"/>
      <c r="DL44" s="91"/>
      <c r="DM44" s="91"/>
      <c r="DN44" s="91"/>
    </row>
    <row r="45" customFormat="false" ht="15.75" hidden="false" customHeight="true" outlineLevel="0" collapsed="false">
      <c r="A45" s="5" t="s">
        <v>228</v>
      </c>
      <c r="B45" s="12" t="str">
        <f aca="false">IF(COUNT(AR45,AO45,AL45,AI45,AF45,AC45,Z45,W45,T45,Q45,N45,K45)=0,"",SUM(AR45,AO45,AL45,AI45,AF45,AC45,Z45,W45,T45,Q45,N45,K45))</f>
        <v/>
      </c>
      <c r="C45" s="12" t="n">
        <f aca="false">IF(COUNT(AS45,AP45,AM45,AJ45,AG45,AD45,AA45,X45,U45,R45,O45,L45)=0,"",SUM(AS45,AP45,AM45,AJ45,AG45,AD45,AA45,X45,U45,R45,O45,L45))</f>
        <v>88000</v>
      </c>
      <c r="D45" s="12" t="n">
        <f aca="false">IF(COUNT(AT45,AQ45,AN45,AK45,AH45,AE45,AB45,Y45,V45,S45,P45,M45)=0,"",SUM(AT45,AQ45,AN45,AK45,AH45,AE45,AB45,Y45,V45,S45,P45,M45))</f>
        <v>88000</v>
      </c>
      <c r="E45" s="13" t="str">
        <f aca="false">IF(COUNT(CB45,BY45,BV45,BS45,BP45,BM45,BJ45,BG45,BD45,BA45,AX45,AU45)=0,"",SUM(CB45,BY45,BV45,BS45,BP45,BM45,BJ45,BG45,BD45,BA45,AX45,AU45))</f>
        <v/>
      </c>
      <c r="F45" s="13" t="str">
        <f aca="false">IF(COUNT(CC45,BZ45,BW45,BT45,BQ45,BN45,BK45,BH45,BE45,BB45,AY45,AV45)=0,"",SUM(CC45,BZ45,BW45,BT45,BQ45,BN45,BK45,BH45,BE45,BB45,AY45,AV45))</f>
        <v/>
      </c>
      <c r="G45" s="13" t="str">
        <f aca="false">IF(COUNT(CD45,CA45,BX45,BU45,BR45,BO45,BL45,BI45,BF45,BC45,AZ45,AW45)=0,"",SUM(CD45,CA45,BX45,BU45,BR45,BO45,BL45,BI45,BF45,BC45,AZ45,AW45))</f>
        <v/>
      </c>
      <c r="H45" s="12" t="str">
        <f aca="false">IF(COUNT(DL45,DI45,DF45,DC45,CZ45,CW45,CT45,CQ45,CN45,CK45,CH45,CE45)=0,"",SUM(DL45,DI45,DF45,DC45,CZ45,CW45,CT45,CQ45,CN45,CK45,CH45,CE45))</f>
        <v/>
      </c>
      <c r="I45" s="12" t="str">
        <f aca="false">IF(COUNT(DM45,DJ45,DG45,DD45,DA45,CX45,CU45,CR45,CO45,CL45,CI45,CF45)=0,"",SUM(DM45,DJ45,DG45,DD45,DA45,CX45,CU45,CR45,CO45,CL45,CI45,CF45))</f>
        <v/>
      </c>
      <c r="J45" s="12" t="str">
        <f aca="false">IF(COUNT(DN45,DK45,DH45,DE45,DB45,CY45,CV45,CS45,CP45,CM45,CJ45,CG45)=0,"",SUM(DN45,DK45,DH45,DE45,DB45,CY45,CV45,CS45,CP45,CM45,CJ45,CG45))</f>
        <v/>
      </c>
      <c r="K45" s="13"/>
      <c r="L45" s="13" t="n">
        <f aca="false">IF('Cash Drivers'!L$26,'Customer Success'!K45,'Customer Success'!M45)</f>
        <v>8000</v>
      </c>
      <c r="M45" s="89" t="n">
        <v>8000</v>
      </c>
      <c r="N45" s="12"/>
      <c r="O45" s="12" t="n">
        <f aca="false">IF('Cash Drivers'!O$26,'Customer Success'!N45,'Customer Success'!P45)</f>
        <v>8000</v>
      </c>
      <c r="P45" s="90" t="n">
        <v>8000</v>
      </c>
      <c r="Q45" s="13"/>
      <c r="R45" s="13" t="n">
        <f aca="false">IF('Cash Drivers'!R$26,'Customer Success'!Q45,'Customer Success'!S45)</f>
        <v>8000</v>
      </c>
      <c r="S45" s="89" t="n">
        <v>8000</v>
      </c>
      <c r="T45" s="12"/>
      <c r="U45" s="12" t="n">
        <f aca="false">IF('Cash Drivers'!U$26,'Customer Success'!T45,'Customer Success'!V45)</f>
        <v>8000</v>
      </c>
      <c r="V45" s="90" t="n">
        <v>8000</v>
      </c>
      <c r="W45" s="13"/>
      <c r="X45" s="13" t="n">
        <f aca="false">IF('Cash Drivers'!X$26,'Customer Success'!W45,'Customer Success'!Y45)</f>
        <v>8000</v>
      </c>
      <c r="Y45" s="89" t="n">
        <v>8000</v>
      </c>
      <c r="Z45" s="12"/>
      <c r="AA45" s="12" t="n">
        <f aca="false">IF('Cash Drivers'!AA$26,'Customer Success'!Z45,'Customer Success'!AB45)</f>
        <v>8000</v>
      </c>
      <c r="AB45" s="90" t="n">
        <v>8000</v>
      </c>
      <c r="AC45" s="13"/>
      <c r="AD45" s="13" t="n">
        <f aca="false">IF('Cash Drivers'!AD$26,'Customer Success'!AC45,'Customer Success'!AE45)</f>
        <v>8000</v>
      </c>
      <c r="AE45" s="89" t="n">
        <v>8000</v>
      </c>
      <c r="AF45" s="12"/>
      <c r="AG45" s="12" t="n">
        <f aca="false">IF('Cash Drivers'!AG$26,'Customer Success'!AF45,'Customer Success'!AH45)</f>
        <v>8000</v>
      </c>
      <c r="AH45" s="90" t="n">
        <v>8000</v>
      </c>
      <c r="AI45" s="13"/>
      <c r="AJ45" s="13" t="n">
        <f aca="false">IF('Cash Drivers'!AJ$26,'Customer Success'!AI45,'Customer Success'!AK45)</f>
        <v>8000</v>
      </c>
      <c r="AK45" s="89" t="n">
        <v>8000</v>
      </c>
      <c r="AL45" s="12"/>
      <c r="AM45" s="12" t="n">
        <f aca="false">IF('Cash Drivers'!AM$26,'Customer Success'!AL45,'Customer Success'!AN45)</f>
        <v>8000</v>
      </c>
      <c r="AN45" s="90" t="n">
        <v>8000</v>
      </c>
      <c r="AO45" s="13"/>
      <c r="AP45" s="13" t="n">
        <f aca="false">IF('Cash Drivers'!AP$26,'Customer Success'!AO45,'Customer Success'!AQ45)</f>
        <v>8000</v>
      </c>
      <c r="AQ45" s="89" t="n">
        <v>8000</v>
      </c>
      <c r="AR45" s="91"/>
      <c r="AS45" s="91"/>
      <c r="AT45" s="91"/>
      <c r="AX45" s="91"/>
      <c r="AY45" s="91"/>
      <c r="AZ45" s="91"/>
      <c r="BD45" s="91"/>
      <c r="BE45" s="91"/>
      <c r="BF45" s="91"/>
      <c r="BJ45" s="91"/>
      <c r="BK45" s="91"/>
      <c r="BL45" s="91"/>
      <c r="BP45" s="91"/>
      <c r="BQ45" s="91"/>
      <c r="BR45" s="91"/>
      <c r="BV45" s="91"/>
      <c r="BW45" s="91"/>
      <c r="BX45" s="91"/>
      <c r="CB45" s="91"/>
      <c r="CC45" s="91"/>
      <c r="CD45" s="91"/>
      <c r="CH45" s="91"/>
      <c r="CI45" s="91"/>
      <c r="CJ45" s="91"/>
      <c r="CN45" s="91"/>
      <c r="CO45" s="91"/>
      <c r="CP45" s="91"/>
      <c r="CT45" s="91"/>
      <c r="CU45" s="91"/>
      <c r="CV45" s="91"/>
      <c r="CZ45" s="91"/>
      <c r="DA45" s="91"/>
      <c r="DB45" s="91"/>
      <c r="DF45" s="91"/>
      <c r="DG45" s="91"/>
      <c r="DH45" s="91"/>
      <c r="DL45" s="91"/>
      <c r="DM45" s="91"/>
      <c r="DN45" s="91"/>
    </row>
    <row r="46" customFormat="false" ht="15.75" hidden="false" customHeight="true" outlineLevel="0" collapsed="false">
      <c r="A46" s="5" t="s">
        <v>229</v>
      </c>
      <c r="B46" s="12" t="str">
        <f aca="false">IF(COUNT(AR46,AO46,AL46,AI46,AF46,AC46,Z46,W46,T46,Q46,N46,K46)=0,"",SUM(AR46,AO46,AL46,AI46,AF46,AC46,Z46,W46,T46,Q46,N46,K46))</f>
        <v/>
      </c>
      <c r="C46" s="12" t="n">
        <f aca="false">IF(COUNT(AS46,AP46,AM46,AJ46,AG46,AD46,AA46,X46,U46,R46,O46,L46)=0,"",SUM(AS46,AP46,AM46,AJ46,AG46,AD46,AA46,X46,U46,R46,O46,L46))</f>
        <v>84000</v>
      </c>
      <c r="D46" s="12" t="n">
        <f aca="false">IF(COUNT(AT46,AQ46,AN46,AK46,AH46,AE46,AB46,Y46,V46,S46,P46,M46)=0,"",SUM(AT46,AQ46,AN46,AK46,AH46,AE46,AB46,Y46,V46,S46,P46,M46))</f>
        <v>84000</v>
      </c>
      <c r="E46" s="13" t="str">
        <f aca="false">IF(COUNT(CB46,BY46,BV46,BS46,BP46,BM46,BJ46,BG46,BD46,BA46,AX46,AU46)=0,"",SUM(CB46,BY46,BV46,BS46,BP46,BM46,BJ46,BG46,BD46,BA46,AX46,AU46))</f>
        <v/>
      </c>
      <c r="F46" s="13" t="n">
        <f aca="false">IF(COUNT(CC46,BZ46,BW46,BT46,BQ46,BN46,BK46,BH46,BE46,BB46,AY46,AV46)=0,"",SUM(CC46,BZ46,BW46,BT46,BQ46,BN46,BK46,BH46,BE46,BB46,AY46,AV46))</f>
        <v>56000</v>
      </c>
      <c r="G46" s="13" t="n">
        <f aca="false">IF(COUNT(CD46,CA46,BX46,BU46,BR46,BO46,BL46,BI46,BF46,BC46,AZ46,AW46)=0,"",SUM(CD46,CA46,BX46,BU46,BR46,BO46,BL46,BI46,BF46,BC46,AZ46,AW46))</f>
        <v>56000</v>
      </c>
      <c r="H46" s="12" t="str">
        <f aca="false">IF(COUNT(DL46,DI46,DF46,DC46,CZ46,CW46,CT46,CQ46,CN46,CK46,CH46,CE46)=0,"",SUM(DL46,DI46,DF46,DC46,CZ46,CW46,CT46,CQ46,CN46,CK46,CH46,CE46))</f>
        <v/>
      </c>
      <c r="I46" s="12" t="str">
        <f aca="false">IF(COUNT(DM46,DJ46,DG46,DD46,DA46,CX46,CU46,CR46,CO46,CL46,CI46,CF46)=0,"",SUM(DM46,DJ46,DG46,DD46,DA46,CX46,CU46,CR46,CO46,CL46,CI46,CF46))</f>
        <v/>
      </c>
      <c r="J46" s="12" t="str">
        <f aca="false">IF(COUNT(DN46,DK46,DH46,DE46,DB46,CY46,CV46,CS46,CP46,CM46,CJ46,CG46)=0,"",SUM(DN46,DK46,DH46,DE46,DB46,CY46,CV46,CS46,CP46,CM46,CJ46,CG46))</f>
        <v/>
      </c>
      <c r="K46" s="13"/>
      <c r="L46" s="13" t="n">
        <f aca="false">IF('Cash Drivers'!L$26,'Customer Success'!K46,'Customer Success'!M46)</f>
        <v>7000</v>
      </c>
      <c r="M46" s="89" t="n">
        <v>7000</v>
      </c>
      <c r="N46" s="12"/>
      <c r="O46" s="12" t="n">
        <f aca="false">IF('Cash Drivers'!O$26,'Customer Success'!N46,'Customer Success'!P46)</f>
        <v>7000</v>
      </c>
      <c r="P46" s="90" t="n">
        <v>7000</v>
      </c>
      <c r="Q46" s="13"/>
      <c r="R46" s="13" t="n">
        <f aca="false">IF('Cash Drivers'!R$26,'Customer Success'!Q46,'Customer Success'!S46)</f>
        <v>7000</v>
      </c>
      <c r="S46" s="89" t="n">
        <v>7000</v>
      </c>
      <c r="T46" s="12"/>
      <c r="U46" s="12" t="n">
        <f aca="false">IF('Cash Drivers'!U$26,'Customer Success'!T46,'Customer Success'!V46)</f>
        <v>7000</v>
      </c>
      <c r="V46" s="90" t="n">
        <v>7000</v>
      </c>
      <c r="W46" s="13"/>
      <c r="X46" s="13" t="n">
        <f aca="false">IF('Cash Drivers'!X$26,'Customer Success'!W46,'Customer Success'!Y46)</f>
        <v>7000</v>
      </c>
      <c r="Y46" s="89" t="n">
        <v>7000</v>
      </c>
      <c r="Z46" s="12"/>
      <c r="AA46" s="12" t="n">
        <f aca="false">IF('Cash Drivers'!AA$26,'Customer Success'!Z46,'Customer Success'!AB46)</f>
        <v>7000</v>
      </c>
      <c r="AB46" s="90" t="n">
        <v>7000</v>
      </c>
      <c r="AC46" s="13"/>
      <c r="AD46" s="13" t="n">
        <f aca="false">IF('Cash Drivers'!AD$26,'Customer Success'!AC46,'Customer Success'!AE46)</f>
        <v>7000</v>
      </c>
      <c r="AE46" s="89" t="n">
        <v>7000</v>
      </c>
      <c r="AF46" s="12"/>
      <c r="AG46" s="12" t="n">
        <f aca="false">IF('Cash Drivers'!AG$26,'Customer Success'!AF46,'Customer Success'!AH46)</f>
        <v>7000</v>
      </c>
      <c r="AH46" s="90" t="n">
        <v>7000</v>
      </c>
      <c r="AI46" s="13"/>
      <c r="AJ46" s="13" t="n">
        <f aca="false">IF('Cash Drivers'!AJ$26,'Customer Success'!AI46,'Customer Success'!AK46)</f>
        <v>7000</v>
      </c>
      <c r="AK46" s="89" t="n">
        <v>7000</v>
      </c>
      <c r="AL46" s="12"/>
      <c r="AM46" s="12" t="n">
        <f aca="false">IF('Cash Drivers'!AM$26,'Customer Success'!AL46,'Customer Success'!AN46)</f>
        <v>7000</v>
      </c>
      <c r="AN46" s="90" t="n">
        <v>7000</v>
      </c>
      <c r="AO46" s="13"/>
      <c r="AP46" s="13" t="n">
        <f aca="false">IF('Cash Drivers'!AP$26,'Customer Success'!AO46,'Customer Success'!AQ46)</f>
        <v>7000</v>
      </c>
      <c r="AQ46" s="89" t="n">
        <v>7000</v>
      </c>
      <c r="AR46" s="12"/>
      <c r="AS46" s="12" t="n">
        <f aca="false">IF('Cash Drivers'!AS$26,'Customer Success'!AR46,'Customer Success'!AT46)</f>
        <v>7000</v>
      </c>
      <c r="AT46" s="90" t="n">
        <v>7000</v>
      </c>
      <c r="AU46" s="13"/>
      <c r="AV46" s="13" t="n">
        <f aca="false">IF('Cash Drivers'!AV$26,'Customer Success'!AU46,'Customer Success'!AW46)</f>
        <v>7000</v>
      </c>
      <c r="AW46" s="89" t="n">
        <v>7000</v>
      </c>
      <c r="AX46" s="12"/>
      <c r="AY46" s="12" t="n">
        <f aca="false">IF('Cash Drivers'!AY$26,'Customer Success'!AX46,'Customer Success'!AZ46)</f>
        <v>7000</v>
      </c>
      <c r="AZ46" s="90" t="n">
        <v>7000</v>
      </c>
      <c r="BA46" s="13"/>
      <c r="BB46" s="13" t="n">
        <f aca="false">IF('Cash Drivers'!BB$26,'Customer Success'!BA46,'Customer Success'!BC46)</f>
        <v>7000</v>
      </c>
      <c r="BC46" s="89" t="n">
        <v>7000</v>
      </c>
      <c r="BD46" s="12"/>
      <c r="BE46" s="12" t="n">
        <f aca="false">IF('Cash Drivers'!BE$26,'Customer Success'!BD46,'Customer Success'!BF46)</f>
        <v>7000</v>
      </c>
      <c r="BF46" s="90" t="n">
        <v>7000</v>
      </c>
      <c r="BG46" s="13"/>
      <c r="BH46" s="13" t="n">
        <f aca="false">IF('Cash Drivers'!BH$26,'Customer Success'!BG46,'Customer Success'!BI46)</f>
        <v>7000</v>
      </c>
      <c r="BI46" s="89" t="n">
        <v>7000</v>
      </c>
      <c r="BJ46" s="12"/>
      <c r="BK46" s="12" t="n">
        <f aca="false">IF('Cash Drivers'!BK$26,'Customer Success'!BJ46,'Customer Success'!BL46)</f>
        <v>7000</v>
      </c>
      <c r="BL46" s="90" t="n">
        <v>7000</v>
      </c>
      <c r="BM46" s="13"/>
      <c r="BN46" s="13" t="n">
        <f aca="false">IF('Cash Drivers'!BN$26,'Customer Success'!BM46,'Customer Success'!BO46)</f>
        <v>7000</v>
      </c>
      <c r="BO46" s="89" t="n">
        <v>7000</v>
      </c>
      <c r="BP46" s="12"/>
      <c r="BQ46" s="12" t="n">
        <f aca="false">IF('Cash Drivers'!BQ$26,'Customer Success'!BP46,'Customer Success'!BR46)</f>
        <v>7000</v>
      </c>
      <c r="BR46" s="90" t="n">
        <v>7000</v>
      </c>
      <c r="BV46" s="91"/>
      <c r="BW46" s="91"/>
      <c r="BX46" s="91"/>
      <c r="CB46" s="91"/>
      <c r="CC46" s="91"/>
      <c r="CD46" s="91"/>
      <c r="CH46" s="91"/>
      <c r="CI46" s="91"/>
      <c r="CJ46" s="91"/>
      <c r="CN46" s="91"/>
      <c r="CO46" s="91"/>
      <c r="CP46" s="91"/>
      <c r="CT46" s="91"/>
      <c r="CU46" s="91"/>
      <c r="CV46" s="91"/>
      <c r="CZ46" s="91"/>
      <c r="DA46" s="91"/>
      <c r="DB46" s="91"/>
      <c r="DF46" s="91"/>
      <c r="DG46" s="91"/>
      <c r="DH46" s="91"/>
      <c r="DL46" s="91"/>
      <c r="DM46" s="91"/>
      <c r="DN46" s="91"/>
    </row>
    <row r="47" customFormat="false" ht="15.75" hidden="false" customHeight="true" outlineLevel="0" collapsed="false">
      <c r="A47" s="14" t="s">
        <v>186</v>
      </c>
      <c r="B47" s="15" t="str">
        <f aca="false">IF(COUNT(AR47,AO47,AL47,AI47,AF47,AC47,Z47,W47,T47,Q47,N47,K47)=0,"",SUM(AR47,AO47,AL47,AI47,AF47,AC47,Z47,W47,T47,Q47,N47,K47))</f>
        <v/>
      </c>
      <c r="C47" s="15" t="n">
        <f aca="false">IF(COUNT(AS47,AP47,AM47,AJ47,AG47,AD47,AA47,X47,U47,R47,O47,L47)=0,"",SUM(AS47,AP47,AM47,AJ47,AG47,AD47,AA47,X47,U47,R47,O47,L47))</f>
        <v>1072000</v>
      </c>
      <c r="D47" s="15" t="n">
        <f aca="false">IF(COUNT(AT47,AQ47,AN47,AK47,AH47,AE47,AB47,Y47,V47,S47,P47,M47)=0,"",SUM(AT47,AQ47,AN47,AK47,AH47,AE47,AB47,Y47,V47,S47,P47,M47))</f>
        <v>1072000</v>
      </c>
      <c r="E47" s="16" t="str">
        <f aca="false">IF(COUNT(CB47,BY47,BV47,BS47,BP47,BM47,BJ47,BG47,BD47,BA47,AX47,AU47)=0,"",SUM(CB47,BY47,BV47,BS47,BP47,BM47,BJ47,BG47,BD47,BA47,AX47,AU47))</f>
        <v/>
      </c>
      <c r="F47" s="16" t="n">
        <f aca="false">IF(COUNT(CC47,BZ47,BW47,BT47,BQ47,BN47,BK47,BH47,BE47,BB47,AY47,AV47)=0,"",SUM(CC47,BZ47,BW47,BT47,BQ47,BN47,BK47,BH47,BE47,BB47,AY47,AV47))</f>
        <v>852000</v>
      </c>
      <c r="G47" s="16" t="n">
        <f aca="false">IF(COUNT(CD47,CA47,BX47,BU47,BR47,BO47,BL47,BI47,BF47,BC47,AZ47,AW47)=0,"",SUM(CD47,CA47,BX47,BU47,BR47,BO47,BL47,BI47,BF47,BC47,AZ47,AW47))</f>
        <v>852000</v>
      </c>
      <c r="H47" s="15" t="n">
        <f aca="false">IF(COUNT(DL47,DI47,DF47,DC47,CZ47,CW47,CT47,CQ47,CN47,CK47,CH47,CE47)=0,"",SUM(DL47,DI47,DF47,DC47,CZ47,CW47,CT47,CQ47,CN47,CK47,CH47,CE47))</f>
        <v>102000</v>
      </c>
      <c r="I47" s="15" t="n">
        <f aca="false">IF(COUNT(DM47,DJ47,DG47,DD47,DA47,CX47,CU47,CR47,CO47,CL47,CI47,CF47)=0,"",SUM(DM47,DJ47,DG47,DD47,DA47,CX47,CU47,CR47,CO47,CL47,CI47,CF47))</f>
        <v>684000</v>
      </c>
      <c r="J47" s="15" t="n">
        <f aca="false">IF(COUNT(DN47,DK47,DH47,DE47,DB47,CY47,CV47,CS47,CP47,CM47,CJ47,CG47)=0,"",SUM(DN47,DK47,DH47,DE47,DB47,CY47,CV47,CS47,CP47,CM47,CJ47,CG47))</f>
        <v>684000</v>
      </c>
      <c r="K47" s="16" t="str">
        <f aca="false">IF(COUNT(K36,K37,K38,K39,K40,K41,K42,K43,K44,K45,K46)=0,"",SUM(K36:K46))</f>
        <v/>
      </c>
      <c r="L47" s="16" t="n">
        <f aca="false">SUM(L36:L46)</f>
        <v>90000</v>
      </c>
      <c r="M47" s="16" t="n">
        <f aca="false">SUM(M36:M46)</f>
        <v>90000</v>
      </c>
      <c r="N47" s="15" t="str">
        <f aca="false">IF(COUNT(N36,N37,N38,N39,N40,N41,N42,N43,N44,N45,N46)=0,"",SUM(N36:N46))</f>
        <v/>
      </c>
      <c r="O47" s="15" t="n">
        <f aca="false">SUM(O36:O46)</f>
        <v>90000</v>
      </c>
      <c r="P47" s="15" t="n">
        <f aca="false">SUM(P36:P46)</f>
        <v>90000</v>
      </c>
      <c r="Q47" s="16" t="str">
        <f aca="false">IF(COUNT(Q36,Q37,Q38,Q39,Q40,Q41,Q42,Q43,Q44,Q45,Q46)=0,"",SUM(Q36:Q46))</f>
        <v/>
      </c>
      <c r="R47" s="16" t="n">
        <f aca="false">SUM(R36:R46)</f>
        <v>90000</v>
      </c>
      <c r="S47" s="16" t="n">
        <f aca="false">SUM(S36:S46)</f>
        <v>90000</v>
      </c>
      <c r="T47" s="15" t="str">
        <f aca="false">IF(COUNT(T36,T37,T38,T39,T40,T41,T42,T43,T44,T45,T46)=0,"",SUM(T36:T46))</f>
        <v/>
      </c>
      <c r="U47" s="15" t="n">
        <f aca="false">SUM(U36:U46)</f>
        <v>90000</v>
      </c>
      <c r="V47" s="15" t="n">
        <f aca="false">SUM(V36:V46)</f>
        <v>90000</v>
      </c>
      <c r="W47" s="16" t="str">
        <f aca="false">IF(COUNT(W36,W37,W38,W39,W40,W41,W42,W43,W44,W45,W46)=0,"",SUM(W36:W46))</f>
        <v/>
      </c>
      <c r="X47" s="16" t="n">
        <f aca="false">SUM(X36:X46)</f>
        <v>90000</v>
      </c>
      <c r="Y47" s="16" t="n">
        <f aca="false">SUM(Y36:Y46)</f>
        <v>90000</v>
      </c>
      <c r="Z47" s="15" t="str">
        <f aca="false">IF(COUNT(Z36,Z37,Z38,Z39,Z40,Z41,Z42,Z43,Z44,Z45,Z46)=0,"",SUM(Z36:Z46))</f>
        <v/>
      </c>
      <c r="AA47" s="15" t="n">
        <f aca="false">SUM(AA36:AA46)</f>
        <v>90000</v>
      </c>
      <c r="AB47" s="15" t="n">
        <f aca="false">SUM(AB36:AB46)</f>
        <v>90000</v>
      </c>
      <c r="AC47" s="16" t="str">
        <f aca="false">IF(COUNT(AC36,AC37,AC38,AC39,AC40,AC41,AC42,AC43,AC44,AC45,AC46)=0,"",SUM(AC36:AC46))</f>
        <v/>
      </c>
      <c r="AD47" s="16" t="n">
        <f aca="false">SUM(AD36:AD46)</f>
        <v>90000</v>
      </c>
      <c r="AE47" s="16" t="n">
        <f aca="false">SUM(AE36:AE46)</f>
        <v>90000</v>
      </c>
      <c r="AF47" s="15" t="str">
        <f aca="false">IF(COUNT(AF36,AF37,AF38,AF39,AF40,AF41,AF42,AF43,AF44,AF45,AF46)=0,"",SUM(AF36:AF46))</f>
        <v/>
      </c>
      <c r="AG47" s="15" t="n">
        <f aca="false">SUM(AG36:AG46)</f>
        <v>90000</v>
      </c>
      <c r="AH47" s="15" t="n">
        <f aca="false">SUM(AH36:AH46)</f>
        <v>90000</v>
      </c>
      <c r="AI47" s="16" t="str">
        <f aca="false">IF(COUNT(AI36,AI37,AI38,AI39,AI40,AI41,AI42,AI43,AI44,AI45,AI46)=0,"",SUM(AI36:AI46))</f>
        <v/>
      </c>
      <c r="AJ47" s="16" t="n">
        <f aca="false">SUM(AJ36:AJ46)</f>
        <v>90000</v>
      </c>
      <c r="AK47" s="16" t="n">
        <f aca="false">SUM(AK36:AK46)</f>
        <v>90000</v>
      </c>
      <c r="AL47" s="15" t="str">
        <f aca="false">IF(COUNT(AL36,AL37,AL38,AL39,AL40,AL41,AL42,AL43,AL44,AL45,AL46)=0,"",SUM(AL36:AL46))</f>
        <v/>
      </c>
      <c r="AM47" s="15" t="n">
        <f aca="false">SUM(AM36:AM46)</f>
        <v>90000</v>
      </c>
      <c r="AN47" s="15" t="n">
        <f aca="false">SUM(AN36:AN46)</f>
        <v>90000</v>
      </c>
      <c r="AO47" s="16" t="str">
        <f aca="false">IF(COUNT(AO36,AO37,AO38,AO39,AO40,AO41,AO42,AO43,AO44,AO45,AO46)=0,"",SUM(AO36:AO46))</f>
        <v/>
      </c>
      <c r="AP47" s="16" t="n">
        <f aca="false">SUM(AP36:AP46)</f>
        <v>90000</v>
      </c>
      <c r="AQ47" s="16" t="n">
        <f aca="false">SUM(AQ36:AQ46)</f>
        <v>90000</v>
      </c>
      <c r="AR47" s="15" t="str">
        <f aca="false">IF(COUNT(AR36,AR37,AR38,AR39,AR40,AR41,AR42,AR43,AR44,AR46)=0,"",SUM(AR36:AR46))</f>
        <v/>
      </c>
      <c r="AS47" s="15" t="n">
        <f aca="false">SUM(AS36:AS46)</f>
        <v>82000</v>
      </c>
      <c r="AT47" s="15" t="n">
        <f aca="false">SUM(AT36:AT46)</f>
        <v>82000</v>
      </c>
      <c r="AU47" s="16" t="str">
        <f aca="false">IF(COUNT(AU36,AU37,AU38,AU39,AU40,AU41,AU42,AU43,AU44,AU46)=0,"",SUM(AU36:AU46))</f>
        <v/>
      </c>
      <c r="AV47" s="16" t="n">
        <f aca="false">SUM(AV36:AV46)</f>
        <v>82000</v>
      </c>
      <c r="AW47" s="16" t="n">
        <f aca="false">SUM(AW36:AW46)</f>
        <v>82000</v>
      </c>
      <c r="AX47" s="15" t="str">
        <f aca="false">IF(COUNT(AX36,AX37,AX38,AX39,AX40,AX41,AX42,AX43,AX44,AX46)=0,"",SUM(AX36:AX46))</f>
        <v/>
      </c>
      <c r="AY47" s="15" t="n">
        <f aca="false">SUM(AY36:AY46)</f>
        <v>82000</v>
      </c>
      <c r="AZ47" s="15" t="n">
        <f aca="false">SUM(AZ36:AZ46)</f>
        <v>82000</v>
      </c>
      <c r="BA47" s="16" t="str">
        <f aca="false">IF(COUNT(BA36,BA37,BA38,BA39,BA40,BA41,BA42,BA43,BA44,BA46)=0,"",SUM(BA36:BA46))</f>
        <v/>
      </c>
      <c r="BB47" s="16" t="n">
        <f aca="false">SUM(BB36:BB46)</f>
        <v>82000</v>
      </c>
      <c r="BC47" s="16" t="n">
        <f aca="false">SUM(BC36:BC46)</f>
        <v>82000</v>
      </c>
      <c r="BD47" s="15" t="str">
        <f aca="false">IF(COUNT(BD36,BD37,BD38,BD39,BD40,BD41,BD42,BD43,BD44,BD46)=0,"",SUM(BD36:BD46))</f>
        <v/>
      </c>
      <c r="BE47" s="15" t="n">
        <f aca="false">SUM(BE36:BE46)</f>
        <v>82000</v>
      </c>
      <c r="BF47" s="15" t="n">
        <f aca="false">SUM(BF36:BF46)</f>
        <v>82000</v>
      </c>
      <c r="BG47" s="16" t="str">
        <f aca="false">IF(COUNT(BG36,BG37,BG38,BG39,BG40,BG41,BG42,BG43,BG46)=0,"",SUM(BG36:BG46))</f>
        <v/>
      </c>
      <c r="BH47" s="16" t="n">
        <f aca="false">SUM(BH36:BH46)</f>
        <v>74000</v>
      </c>
      <c r="BI47" s="16" t="n">
        <f aca="false">SUM(BI36:BI46)</f>
        <v>74000</v>
      </c>
      <c r="BJ47" s="15" t="str">
        <f aca="false">IF(COUNT(BJ36,BJ37,BJ38,BJ39,BJ40,BJ41,BJ42,BJ43,BJ46)=0,"",SUM(BJ36:BJ46))</f>
        <v/>
      </c>
      <c r="BK47" s="15" t="n">
        <f aca="false">SUM(BK36:BK46)</f>
        <v>74000</v>
      </c>
      <c r="BL47" s="15" t="n">
        <f aca="false">SUM(BL36:BL46)</f>
        <v>74000</v>
      </c>
      <c r="BM47" s="16" t="str">
        <f aca="false">IF(COUNT(BM36,BM37,BM38,BM39,BM40,BM41,BM42,BM43,BM46)=0,"",SUM(BM36:BM46))</f>
        <v/>
      </c>
      <c r="BN47" s="16" t="n">
        <f aca="false">SUM(BN36:BN46)</f>
        <v>74000</v>
      </c>
      <c r="BO47" s="16" t="n">
        <f aca="false">SUM(BO36:BO46)</f>
        <v>74000</v>
      </c>
      <c r="BP47" s="15" t="str">
        <f aca="false">IF(COUNT(BP36,BP37,BP38,BP39,BP40,BP41,BP42,BP46)=0,"",SUM(BP36:BP46))</f>
        <v/>
      </c>
      <c r="BQ47" s="15" t="n">
        <f aca="false">SUM(BQ36:BQ46)</f>
        <v>66000</v>
      </c>
      <c r="BR47" s="15" t="n">
        <f aca="false">SUM(BR36:BR46)</f>
        <v>66000</v>
      </c>
      <c r="BS47" s="16" t="str">
        <f aca="false">IF(COUNT(BS36,BS37,BS38,BS39,BS40,BS41,BS42)=0,"",SUM(BS36:BS46))</f>
        <v/>
      </c>
      <c r="BT47" s="16" t="n">
        <f aca="false">SUM(BT36:BT46)</f>
        <v>59000</v>
      </c>
      <c r="BU47" s="16" t="n">
        <f aca="false">SUM(BU36:BU46)</f>
        <v>59000</v>
      </c>
      <c r="BV47" s="15" t="str">
        <f aca="false">IF(COUNT(BV36,BV37,BV38,BV39,BV40,BV41,BV42)=0,"",SUM(BV36:BV46))</f>
        <v/>
      </c>
      <c r="BW47" s="15" t="n">
        <f aca="false">SUM(BW36:BW46)</f>
        <v>59000</v>
      </c>
      <c r="BX47" s="15" t="n">
        <f aca="false">SUM(BX36:BX46)</f>
        <v>59000</v>
      </c>
      <c r="BY47" s="16" t="str">
        <f aca="false">IF(COUNT(BY36,BY37,BY38,BY39,BY40,BY41,BY42)=0,"",SUM(BY36:BY46))</f>
        <v/>
      </c>
      <c r="BZ47" s="16" t="n">
        <f aca="false">SUM(BZ36:BZ46)</f>
        <v>59000</v>
      </c>
      <c r="CA47" s="16" t="n">
        <f aca="false">SUM(CA36:CA46)</f>
        <v>59000</v>
      </c>
      <c r="CB47" s="15" t="str">
        <f aca="false">IF(COUNT(CB36,CB37,CB38,CB39,CB40,CB41,CB42)=0,"",SUM(CB36:CB46))</f>
        <v/>
      </c>
      <c r="CC47" s="15" t="n">
        <f aca="false">SUM(CC36:CC46)</f>
        <v>59000</v>
      </c>
      <c r="CD47" s="15" t="n">
        <f aca="false">SUM(CD36:CD46)</f>
        <v>59000</v>
      </c>
      <c r="CE47" s="16" t="str">
        <f aca="false">IF(COUNT(CE36,CE37,CE38,CE39,CE40,CE41,CE42)=0,"",SUM(CE36:CE46))</f>
        <v/>
      </c>
      <c r="CF47" s="16" t="n">
        <f aca="false">SUM(CF36:CF46)</f>
        <v>59000</v>
      </c>
      <c r="CG47" s="16" t="n">
        <f aca="false">SUM(CG36:CG46)</f>
        <v>59000</v>
      </c>
      <c r="CH47" s="15" t="str">
        <f aca="false">IF(COUNT(CH36,CH37,CH38,CH39,CH40,CH41,CH42)=0,"",SUM(CH36:CH46))</f>
        <v/>
      </c>
      <c r="CI47" s="15" t="n">
        <f aca="false">SUM(CI36:CI46)</f>
        <v>59000</v>
      </c>
      <c r="CJ47" s="15" t="n">
        <f aca="false">SUM(CJ36:CJ46)</f>
        <v>59000</v>
      </c>
      <c r="CK47" s="16" t="str">
        <f aca="false">IF(COUNT(CK36,CK37,CK38,CK39,CK40,CK41,CK42)=0,"",SUM(CK36:CK46))</f>
        <v/>
      </c>
      <c r="CL47" s="16" t="n">
        <f aca="false">SUM(CL36:CL46)</f>
        <v>59000</v>
      </c>
      <c r="CM47" s="16" t="n">
        <f aca="false">SUM(CM36:CM46)</f>
        <v>59000</v>
      </c>
      <c r="CN47" s="15" t="str">
        <f aca="false">IF(COUNT(CN36,CN37,CN38,CN39,CN40,CN41,CN42)=0,"",SUM(CN36:CN46))</f>
        <v/>
      </c>
      <c r="CO47" s="15" t="n">
        <f aca="false">SUM(CO36:CO46)</f>
        <v>59000</v>
      </c>
      <c r="CP47" s="15" t="n">
        <f aca="false">SUM(CP36:CP46)</f>
        <v>59000</v>
      </c>
      <c r="CQ47" s="16" t="str">
        <f aca="false">IF(COUNT(CQ36,CQ37,CQ38,CQ39,CQ40,CQ41,CQ42)=0,"",SUM(CQ36:CQ46))</f>
        <v/>
      </c>
      <c r="CR47" s="16" t="n">
        <f aca="false">SUM(CR36:CR46)</f>
        <v>59000</v>
      </c>
      <c r="CS47" s="16" t="n">
        <f aca="false">SUM(CS36:CS46)</f>
        <v>59000</v>
      </c>
      <c r="CT47" s="15" t="str">
        <f aca="false">IF(COUNT(CT36,CT37,CT38,CT39,CT40,CT41,CT42)=0,"",SUM(CT36:CT46))</f>
        <v/>
      </c>
      <c r="CU47" s="15" t="n">
        <f aca="false">SUM(CU36:CU46)</f>
        <v>59000</v>
      </c>
      <c r="CV47" s="15" t="n">
        <f aca="false">SUM(CV36:CV46)</f>
        <v>59000</v>
      </c>
      <c r="CW47" s="16" t="str">
        <f aca="false">IF(COUNT(CW36,CW37,CW38,CW39,CW40,CW41,CW42)=0,"",SUM(CW36:CW46))</f>
        <v/>
      </c>
      <c r="CX47" s="16" t="n">
        <f aca="false">SUM(CX36:CX46)</f>
        <v>59000</v>
      </c>
      <c r="CY47" s="16" t="n">
        <f aca="false">SUM(CY36:CY46)</f>
        <v>59000</v>
      </c>
      <c r="CZ47" s="15" t="str">
        <f aca="false">IF(COUNT(CZ36,CZ37,CZ38,CZ39,CZ40,CZ41,CZ42)=0,"",SUM(CZ36:CZ46))</f>
        <v/>
      </c>
      <c r="DA47" s="15" t="n">
        <f aca="false">SUM(DA36:DA46)</f>
        <v>59000</v>
      </c>
      <c r="DB47" s="15" t="n">
        <f aca="false">SUM(DB36:DB46)</f>
        <v>59000</v>
      </c>
      <c r="DC47" s="16" t="str">
        <f aca="false">IF(COUNT(DC36,DC37,DC38,DC39,DC40,DC41,DC42)=0,"",SUM(DC36:DC46))</f>
        <v/>
      </c>
      <c r="DD47" s="16" t="n">
        <f aca="false">SUM(DD36:DD46)</f>
        <v>59000</v>
      </c>
      <c r="DE47" s="16" t="n">
        <f aca="false">SUM(DE36:DE46)</f>
        <v>59000</v>
      </c>
      <c r="DF47" s="15" t="str">
        <f aca="false">IF(COUNT(DF36,DF37,DF38,DF39,DF40,DF41)=0,"",SUM(DF36:DF46))</f>
        <v/>
      </c>
      <c r="DG47" s="15" t="n">
        <f aca="false">SUM(DG36:DG46)</f>
        <v>51000</v>
      </c>
      <c r="DH47" s="15" t="n">
        <f aca="false">SUM(DH36:DH46)</f>
        <v>51000</v>
      </c>
      <c r="DI47" s="16" t="n">
        <f aca="false">IF(COUNT(DI36,DI37,DI38,DI39,DI40,DI41)=0,"",SUM(DI36:DI46))</f>
        <v>51000</v>
      </c>
      <c r="DJ47" s="16" t="n">
        <f aca="false">SUM(DJ36:DJ46)</f>
        <v>51000</v>
      </c>
      <c r="DK47" s="16" t="n">
        <f aca="false">SUM(DK36:DK46)</f>
        <v>51000</v>
      </c>
      <c r="DL47" s="15" t="n">
        <f aca="false">IF(COUNT(DL36,DL37,DL38,DL39,DL40,DL41)=0,"",SUM(DL36:DL46))</f>
        <v>51000</v>
      </c>
      <c r="DM47" s="15" t="n">
        <f aca="false">SUM(DM36:DM46)</f>
        <v>51000</v>
      </c>
      <c r="DN47" s="15" t="n">
        <f aca="false">SUM(DN36:DN46)</f>
        <v>51000</v>
      </c>
    </row>
    <row r="48" customFormat="false" ht="15.75" hidden="false" customHeight="true" outlineLevel="0" collapsed="false">
      <c r="A48" s="5" t="s">
        <v>187</v>
      </c>
      <c r="B48" s="23" t="str">
        <f aca="false">IF(K48&lt;&gt;"",K48,IF(N48&lt;&gt;"",N48,IF(Q48&lt;&gt;"",Q48,IF(T48&lt;&gt;"",T48,IF(W48&lt;&gt;"",W48,IF(Z48&lt;&gt;"",Z48,IF(AC48&lt;&gt;"",AC48,IF(AF48&lt;&gt;"",AF48,IF(AI48&lt;&gt;"",AI48,IF(AL48&lt;&gt;"",AL48,IF(AO48&lt;&gt;"",AO48,IF(AR48&lt;&gt;"",AR48,""))))))))))))</f>
        <v/>
      </c>
      <c r="C48" s="23" t="n">
        <f aca="false">IF(L48&lt;&gt;"",L48,IF(O48&lt;&gt;"",O48,IF(R48&lt;&gt;"",R48,IF(U48&lt;&gt;"",U48,IF(X48&lt;&gt;"",X48,IF(AA48&lt;&gt;"",AA48,IF(AD48&lt;&gt;"",AD48,IF(AG48&lt;&gt;"",AG48,IF(AJ48&lt;&gt;"",AJ48,IF(AM48&lt;&gt;"",AM48,IF(AP48&lt;&gt;"",AP48,IF(AS48&lt;&gt;"",AS48,""))))))))))))</f>
        <v>11</v>
      </c>
      <c r="D48" s="23" t="n">
        <f aca="false">IF(M48&lt;&gt;"",M48,IF(P48&lt;&gt;"",P48,IF(S48&lt;&gt;"",S48,IF(V48&lt;&gt;"",V48,IF(Y48&lt;&gt;"",Y48,IF(AB48&lt;&gt;"",AB48,IF(AE48&lt;&gt;"",AE48,IF(AH48&lt;&gt;"",AH48,IF(AK48&lt;&gt;"",AK48,IF(AN48&lt;&gt;"",AN48,IF(AQ48&lt;&gt;"",AQ48,IF(AT48&lt;&gt;"",AT48,""))))))))))))</f>
        <v>11</v>
      </c>
      <c r="E48" s="2" t="str">
        <f aca="false">IF(AU48&lt;&gt;"",AU48,IF(AX48&lt;&gt;"",AX48,IF(BA48&lt;&gt;"",BA48,IF(BD48&lt;&gt;"",BD48,IF(BG48&lt;&gt;"",BG48,IF(BJ48&lt;&gt;"",BJ48,IF(BM48&lt;&gt;"",BM48,IF(BP48&lt;&gt;"",BP48,IF(BS48&lt;&gt;"",BS48,IF(BV48&lt;&gt;"",BV48,IF(BY48&lt;&gt;"",BY48,IF(CB48&lt;&gt;"",CB48,""))))))))))))</f>
        <v/>
      </c>
      <c r="F48" s="2" t="n">
        <f aca="false">IF(AV48&lt;&gt;"",AV48,IF(AY48&lt;&gt;"",AY48,IF(BB48&lt;&gt;"",BB48,IF(BE48&lt;&gt;"",BE48,IF(BH48&lt;&gt;"",BH48,IF(BK48&lt;&gt;"",BK48,IF(BN48&lt;&gt;"",BN48,IF(BQ48&lt;&gt;"",BQ48,IF(BT48&lt;&gt;"",BT48,IF(BW48&lt;&gt;"",BW48,IF(BZ48&lt;&gt;"",BZ48,IF(CC48&lt;&gt;"",CC48,""))))))))))))</f>
        <v>10</v>
      </c>
      <c r="G48" s="2" t="n">
        <f aca="false">IF(AW48&lt;&gt;"",AW48,IF(AZ48&lt;&gt;"",AZ48,IF(BC48&lt;&gt;"",BC48,IF(BF48&lt;&gt;"",BF48,IF(BI48&lt;&gt;"",BI48,IF(BL48&lt;&gt;"",BL48,IF(BO48&lt;&gt;"",BO48,IF(BR48&lt;&gt;"",BR48,IF(BU48&lt;&gt;"",BU48,IF(BX48&lt;&gt;"",BX48,IF(CA48&lt;&gt;"",CA48,IF(CD48&lt;&gt;"",CD48,""))))))))))))</f>
        <v>10</v>
      </c>
      <c r="H48" s="23" t="n">
        <f aca="false">IF(CE48&lt;&gt;"",CE48,IF(CH48&lt;&gt;"",CH48,IF(CK48&lt;&gt;"",CK48,IF(CN48&lt;&gt;"",CN48,IF(CQ48&lt;&gt;"",CQ48,IF(CT48&lt;&gt;"",CT48,IF(CW48&lt;&gt;"",CW48,IF(CZ48&lt;&gt;"",CZ48,IF(DC48&lt;&gt;"",DC48,IF(DF48&lt;&gt;"",DF48,IF(DI48&lt;&gt;"",DI48,IF(DL48&lt;&gt;"",DL48,""))))))))))))</f>
        <v>6</v>
      </c>
      <c r="I48" s="23" t="n">
        <f aca="false">IF(CF48&lt;&gt;"",CF48,IF(CI48&lt;&gt;"",CI48,IF(CL48&lt;&gt;"",CL48,IF(CO48&lt;&gt;"",CO48,IF(CR48&lt;&gt;"",CR48,IF(CU48&lt;&gt;"",CU48,IF(CX48&lt;&gt;"",CX48,IF(DA48&lt;&gt;"",DA48,IF(DD48&lt;&gt;"",DD48,IF(DG48&lt;&gt;"",DG48,IF(DJ48&lt;&gt;"",DJ48,IF(DM48&lt;&gt;"",DM48,""))))))))))))</f>
        <v>7</v>
      </c>
      <c r="J48" s="23" t="n">
        <f aca="false">IF(CG48&lt;&gt;"",CG48,IF(CJ48&lt;&gt;"",CJ48,IF(CM48&lt;&gt;"",CM48,IF(CP48&lt;&gt;"",CP48,IF(CS48&lt;&gt;"",CS48,IF(CV48&lt;&gt;"",CV48,IF(CY48&lt;&gt;"",CY48,IF(DB48&lt;&gt;"",DB48,IF(DE48&lt;&gt;"",DE48,IF(DH48&lt;&gt;"",DH48,IF(DK48&lt;&gt;"",DK48,IF(DN48&lt;&gt;"",DN48,""))))))))))))</f>
        <v>7</v>
      </c>
      <c r="K48" s="2" t="str">
        <f aca="false">IF(COUNT(K36,K37,K38,K39,K40,K41,K42,K43,K44,K45,K46)=0,"",COUNT(K36:K46))</f>
        <v/>
      </c>
      <c r="L48" s="2" t="n">
        <f aca="false">COUNT(L36:L46)</f>
        <v>11</v>
      </c>
      <c r="M48" s="2" t="n">
        <f aca="false">COUNT(M36:M46)</f>
        <v>11</v>
      </c>
      <c r="N48" s="23" t="str">
        <f aca="false">IF(COUNT(N36,N37,N38,N39,N40,N41,N42,N43,N44,N45,N46)=0,"",COUNT(N36:N46))</f>
        <v/>
      </c>
      <c r="O48" s="23" t="n">
        <f aca="false">COUNT(O36:O46)</f>
        <v>11</v>
      </c>
      <c r="P48" s="23" t="n">
        <f aca="false">COUNT(P36:P46)</f>
        <v>11</v>
      </c>
      <c r="Q48" s="2" t="str">
        <f aca="false">IF(COUNT(Q36,Q37,Q38,Q39,Q40,Q41,Q42,Q43,Q44,Q45,Q46)=0,"",COUNT(Q36:Q46))</f>
        <v/>
      </c>
      <c r="R48" s="2" t="n">
        <f aca="false">COUNT(R36:R46)</f>
        <v>11</v>
      </c>
      <c r="S48" s="2" t="n">
        <f aca="false">COUNT(S36:S46)</f>
        <v>11</v>
      </c>
      <c r="T48" s="23" t="str">
        <f aca="false">IF(COUNT(T36,T37,T38,T39,T40,T41,T42,T43,T44,T45,T46)=0,"",COUNT(T36:T46))</f>
        <v/>
      </c>
      <c r="U48" s="23" t="n">
        <f aca="false">COUNT(U36:U46)</f>
        <v>11</v>
      </c>
      <c r="V48" s="23" t="n">
        <f aca="false">COUNT(V36:V46)</f>
        <v>11</v>
      </c>
      <c r="W48" s="2" t="str">
        <f aca="false">IF(COUNT(W36,W37,W38,W39,W40,W41,W42,W43,W44,W45,W46)=0,"",COUNT(W36:W46))</f>
        <v/>
      </c>
      <c r="X48" s="2" t="n">
        <f aca="false">COUNT(X36:X46)</f>
        <v>11</v>
      </c>
      <c r="Y48" s="2" t="n">
        <f aca="false">COUNT(Y36:Y46)</f>
        <v>11</v>
      </c>
      <c r="Z48" s="23" t="str">
        <f aca="false">IF(COUNT(Z36,Z37,Z38,Z39,Z40,Z41,Z42,Z43,Z44,Z45,Z46)=0,"",COUNT(Z36:Z46))</f>
        <v/>
      </c>
      <c r="AA48" s="23" t="n">
        <f aca="false">COUNT(AA36:AA46)</f>
        <v>11</v>
      </c>
      <c r="AB48" s="23" t="n">
        <f aca="false">COUNT(AB36:AB46)</f>
        <v>11</v>
      </c>
      <c r="AC48" s="2" t="str">
        <f aca="false">IF(COUNT(AC36,AC37,AC38,AC39,AC40,AC41,AC42,AC43,AC44,AC45,AC46)=0,"",COUNT(AC36:AC46))</f>
        <v/>
      </c>
      <c r="AD48" s="2" t="n">
        <f aca="false">COUNT(AD36:AD46)</f>
        <v>11</v>
      </c>
      <c r="AE48" s="2" t="n">
        <f aca="false">COUNT(AE36:AE46)</f>
        <v>11</v>
      </c>
      <c r="AF48" s="23" t="str">
        <f aca="false">IF(COUNT(AF36,AF37,AF38,AF39,AF40,AF41,AF42,AF43,AF44,AF45,AF46)=0,"",COUNT(AF36:AF46))</f>
        <v/>
      </c>
      <c r="AG48" s="23" t="n">
        <f aca="false">COUNT(AG36:AG46)</f>
        <v>11</v>
      </c>
      <c r="AH48" s="23" t="n">
        <f aca="false">COUNT(AH36:AH46)</f>
        <v>11</v>
      </c>
      <c r="AI48" s="2" t="str">
        <f aca="false">IF(COUNT(AI36,AI37,AI38,AI39,AI40,AI41,AI42,AI43,AI44,AI45,AI46)=0,"",COUNT(AI36:AI46))</f>
        <v/>
      </c>
      <c r="AJ48" s="2" t="n">
        <f aca="false">COUNT(AJ36:AJ46)</f>
        <v>11</v>
      </c>
      <c r="AK48" s="2" t="n">
        <f aca="false">COUNT(AK36:AK46)</f>
        <v>11</v>
      </c>
      <c r="AL48" s="23" t="str">
        <f aca="false">IF(COUNT(AL36,AL37,AL38,AL39,AL40,AL41,AL42,AL43,AL44,AL45,AL46)=0,"",COUNT(AL36:AL46))</f>
        <v/>
      </c>
      <c r="AM48" s="23" t="n">
        <f aca="false">COUNT(AM36:AM46)</f>
        <v>11</v>
      </c>
      <c r="AN48" s="23" t="n">
        <f aca="false">COUNT(AN36:AN46)</f>
        <v>11</v>
      </c>
      <c r="AO48" s="2" t="str">
        <f aca="false">IF(COUNT(AO36,AO37,AO38,AO39,AO40,AO41,AO42,AO43,AO44,AO45,AO46)=0,"",COUNT(AO36:AO46))</f>
        <v/>
      </c>
      <c r="AP48" s="2" t="n">
        <f aca="false">COUNT(AP36:AP46)</f>
        <v>11</v>
      </c>
      <c r="AQ48" s="2" t="n">
        <f aca="false">COUNT(AQ36:AQ46)</f>
        <v>11</v>
      </c>
      <c r="AR48" s="23" t="str">
        <f aca="false">IF(COUNT(AR36,AR37,AR38,AR39,AR40,AR41,AR42,AR43,AR44,AR46)=0,"",COUNT(AR36:AR46))</f>
        <v/>
      </c>
      <c r="AS48" s="23" t="n">
        <f aca="false">COUNT(AS36:AS46)</f>
        <v>10</v>
      </c>
      <c r="AT48" s="23" t="n">
        <f aca="false">COUNT(AT36:AT46)</f>
        <v>10</v>
      </c>
      <c r="AU48" s="2" t="str">
        <f aca="false">IF(COUNT(AU36,AU37,AU38,AU39,AU40,AU41,AU42,AU43,AU44,AU46)=0,"",COUNT(AU36:AU46))</f>
        <v/>
      </c>
      <c r="AV48" s="2" t="n">
        <f aca="false">COUNT(AV36:AV46)</f>
        <v>10</v>
      </c>
      <c r="AW48" s="2" t="n">
        <f aca="false">COUNT(AW36:AW46)</f>
        <v>10</v>
      </c>
      <c r="AX48" s="23" t="str">
        <f aca="false">IF(COUNT(AX36,AX37,AX38,AX39,AX40,AX41,AX42,AX43,AX44,AX46)=0,"",COUNT(AX36:AX46))</f>
        <v/>
      </c>
      <c r="AY48" s="23" t="n">
        <f aca="false">COUNT(AY36:AY46)</f>
        <v>10</v>
      </c>
      <c r="AZ48" s="23" t="n">
        <f aca="false">COUNT(AZ36:AZ46)</f>
        <v>10</v>
      </c>
      <c r="BA48" s="2" t="str">
        <f aca="false">IF(COUNT(BA36,BA37,BA38,BA39,BA40,BA41,BA42,BA43,BA44,BA46)=0,"",COUNT(BA36:BA46))</f>
        <v/>
      </c>
      <c r="BB48" s="2" t="n">
        <f aca="false">COUNT(BB36:BB46)</f>
        <v>10</v>
      </c>
      <c r="BC48" s="2" t="n">
        <f aca="false">COUNT(BC36:BC46)</f>
        <v>10</v>
      </c>
      <c r="BD48" s="23" t="str">
        <f aca="false">IF(COUNT(BD36,BD37,BD38,BD39,BD40,BD41,BD42,BD43,BD44,BD46)=0,"",COUNT(BD36:BD46))</f>
        <v/>
      </c>
      <c r="BE48" s="23" t="n">
        <f aca="false">COUNT(BE36:BE46)</f>
        <v>10</v>
      </c>
      <c r="BF48" s="23" t="n">
        <f aca="false">COUNT(BF36:BF46)</f>
        <v>10</v>
      </c>
      <c r="BG48" s="2" t="str">
        <f aca="false">IF(COUNT(BG36,BG37,BG38,BG39,BG40,BG41,BG42,BG43,BG46)=0,"",COUNT(BG36:BG46))</f>
        <v/>
      </c>
      <c r="BH48" s="2" t="n">
        <f aca="false">COUNT(BH36:BH46)</f>
        <v>9</v>
      </c>
      <c r="BI48" s="2" t="n">
        <f aca="false">COUNT(BI36:BI46)</f>
        <v>9</v>
      </c>
      <c r="BJ48" s="23" t="str">
        <f aca="false">IF(COUNT(BJ36,BJ37,BJ38,BJ39,BJ40,BJ41,BJ42,BJ43,BJ46)=0,"",COUNT(BJ36:BJ46))</f>
        <v/>
      </c>
      <c r="BK48" s="23" t="n">
        <f aca="false">COUNT(BK36:BK46)</f>
        <v>9</v>
      </c>
      <c r="BL48" s="23" t="n">
        <f aca="false">COUNT(BL36:BL46)</f>
        <v>9</v>
      </c>
      <c r="BM48" s="2" t="str">
        <f aca="false">IF(COUNT(BM36,BM37,BM38,BM39,BM40,BM41,BM42,BM43,BM46)=0,"",COUNT(BM36:BM46))</f>
        <v/>
      </c>
      <c r="BN48" s="2" t="n">
        <f aca="false">COUNT(BN36:BN46)</f>
        <v>9</v>
      </c>
      <c r="BO48" s="2" t="n">
        <f aca="false">COUNT(BO36:BO46)</f>
        <v>9</v>
      </c>
      <c r="BP48" s="23" t="str">
        <f aca="false">IF(COUNT(BP36,BP37,BP38,BP39,BP40,BP41,BP42,BP46)=0,"",COUNT(BP36:BP46))</f>
        <v/>
      </c>
      <c r="BQ48" s="23" t="n">
        <f aca="false">COUNT(BQ36:BQ46)</f>
        <v>8</v>
      </c>
      <c r="BR48" s="23" t="n">
        <f aca="false">COUNT(BR36:BR46)</f>
        <v>8</v>
      </c>
      <c r="BS48" s="2" t="str">
        <f aca="false">IF(COUNT(BS36,BS37,BS38,BS39,BS40,BS41,BS42)=0,"",COUNT(BS36:BS46))</f>
        <v/>
      </c>
      <c r="BT48" s="2" t="n">
        <f aca="false">COUNT(BT36:BT46)</f>
        <v>7</v>
      </c>
      <c r="BU48" s="2" t="n">
        <f aca="false">COUNT(BU36:BU46)</f>
        <v>7</v>
      </c>
      <c r="BV48" s="23" t="str">
        <f aca="false">IF(COUNT(BV36,BV37,BV38,BV39,BV40,BV41,BV42)=0,"",COUNT(BV36:BV46))</f>
        <v/>
      </c>
      <c r="BW48" s="23" t="n">
        <f aca="false">COUNT(BW36:BW46)</f>
        <v>7</v>
      </c>
      <c r="BX48" s="23" t="n">
        <f aca="false">COUNT(BX36:BX46)</f>
        <v>7</v>
      </c>
      <c r="BY48" s="2" t="str">
        <f aca="false">IF(COUNT(BY36,BY37,BY38,BY39,BY40,BY41,BY42)=0,"",COUNT(BY36:BY46))</f>
        <v/>
      </c>
      <c r="BZ48" s="2" t="n">
        <f aca="false">COUNT(BZ36:BZ46)</f>
        <v>7</v>
      </c>
      <c r="CA48" s="2" t="n">
        <f aca="false">COUNT(CA36:CA46)</f>
        <v>7</v>
      </c>
      <c r="CB48" s="23" t="str">
        <f aca="false">IF(COUNT(CB36,CB37,CB38,CB39,CB40,CB41,CB42)=0,"",COUNT(CB36:CB46))</f>
        <v/>
      </c>
      <c r="CC48" s="23" t="n">
        <f aca="false">COUNT(CC36:CC46)</f>
        <v>7</v>
      </c>
      <c r="CD48" s="23" t="n">
        <f aca="false">COUNT(CD36:CD46)</f>
        <v>7</v>
      </c>
      <c r="CE48" s="2" t="str">
        <f aca="false">IF(COUNT(CE36,CE37,CE38,CE39,CE40,CE41,CE42)=0,"",COUNT(CE36:CE46))</f>
        <v/>
      </c>
      <c r="CF48" s="2" t="n">
        <f aca="false">COUNT(CF36:CF46)</f>
        <v>7</v>
      </c>
      <c r="CG48" s="2" t="n">
        <f aca="false">COUNT(CG36:CG46)</f>
        <v>7</v>
      </c>
      <c r="CH48" s="23" t="str">
        <f aca="false">IF(COUNT(CH36,CH37,CH38,CH39,CH40,CH41,CH42)=0,"",COUNT(CH36:CH46))</f>
        <v/>
      </c>
      <c r="CI48" s="23" t="n">
        <f aca="false">COUNT(CI36:CI46)</f>
        <v>7</v>
      </c>
      <c r="CJ48" s="23" t="n">
        <f aca="false">COUNT(CJ36:CJ46)</f>
        <v>7</v>
      </c>
      <c r="CK48" s="2" t="str">
        <f aca="false">IF(COUNT(CK36,CK37,CK38,CK39,CK40,CK41,CK42)=0,"",COUNT(CK36:CK46))</f>
        <v/>
      </c>
      <c r="CL48" s="2" t="n">
        <f aca="false">COUNT(CL36:CL46)</f>
        <v>7</v>
      </c>
      <c r="CM48" s="2" t="n">
        <f aca="false">COUNT(CM36:CM46)</f>
        <v>7</v>
      </c>
      <c r="CN48" s="23" t="str">
        <f aca="false">IF(COUNT(CN36,CN37,CN38,CN39,CN40,CN41,CN42)=0,"",COUNT(CN36:CN46))</f>
        <v/>
      </c>
      <c r="CO48" s="23" t="n">
        <f aca="false">COUNT(CO36:CO46)</f>
        <v>7</v>
      </c>
      <c r="CP48" s="23" t="n">
        <f aca="false">COUNT(CP36:CP46)</f>
        <v>7</v>
      </c>
      <c r="CQ48" s="2" t="str">
        <f aca="false">IF(COUNT(CQ36,CQ37,CQ38,CQ39,CQ40,CQ41,CQ42)=0,"",COUNT(CQ36:CQ46))</f>
        <v/>
      </c>
      <c r="CR48" s="2" t="n">
        <f aca="false">COUNT(CR36:CR46)</f>
        <v>7</v>
      </c>
      <c r="CS48" s="2" t="n">
        <f aca="false">COUNT(CS36:CS46)</f>
        <v>7</v>
      </c>
      <c r="CT48" s="23" t="str">
        <f aca="false">IF(COUNT(CT36,CT37,CT38,CT39,CT40,CT41,CT42)=0,"",COUNT(CT36:CT46))</f>
        <v/>
      </c>
      <c r="CU48" s="23" t="n">
        <f aca="false">COUNT(CU36:CU46)</f>
        <v>7</v>
      </c>
      <c r="CV48" s="23" t="n">
        <f aca="false">COUNT(CV36:CV46)</f>
        <v>7</v>
      </c>
      <c r="CW48" s="2" t="str">
        <f aca="false">IF(COUNT(CW36,CW37,CW38,CW39,CW40,CW41,CW42)=0,"",COUNT(CW36:CW46))</f>
        <v/>
      </c>
      <c r="CX48" s="2" t="n">
        <f aca="false">COUNT(CX36:CX46)</f>
        <v>7</v>
      </c>
      <c r="CY48" s="2" t="n">
        <f aca="false">COUNT(CY36:CY46)</f>
        <v>7</v>
      </c>
      <c r="CZ48" s="23" t="str">
        <f aca="false">IF(COUNT(CZ36,CZ37,CZ38,CZ39,CZ40,CZ41,CZ42)=0,"",COUNT(CZ36:CZ46))</f>
        <v/>
      </c>
      <c r="DA48" s="23" t="n">
        <f aca="false">COUNT(DA36:DA46)</f>
        <v>7</v>
      </c>
      <c r="DB48" s="23" t="n">
        <f aca="false">COUNT(DB36:DB46)</f>
        <v>7</v>
      </c>
      <c r="DC48" s="2" t="str">
        <f aca="false">IF(COUNT(DC36,DC37,DC38,DC39,DC40,DC41,DC42)=0,"",COUNT(DC36:DC46))</f>
        <v/>
      </c>
      <c r="DD48" s="2" t="n">
        <f aca="false">COUNT(DD36:DD46)</f>
        <v>7</v>
      </c>
      <c r="DE48" s="2" t="n">
        <f aca="false">COUNT(DE36:DE46)</f>
        <v>7</v>
      </c>
      <c r="DF48" s="23" t="str">
        <f aca="false">IF(COUNT(DF36,DF37,DF38,DF39,DF40,DF41)=0,"",COUNT(DF36:DF46))</f>
        <v/>
      </c>
      <c r="DG48" s="23" t="n">
        <f aca="false">COUNT(DG36:DG46)</f>
        <v>6</v>
      </c>
      <c r="DH48" s="23" t="n">
        <f aca="false">COUNT(DH36:DH46)</f>
        <v>6</v>
      </c>
      <c r="DI48" s="2" t="n">
        <f aca="false">IF(COUNT(DI36,DI37,DI38,DI39,DI40,DI41)=0,"",COUNT(DI36:DI46))</f>
        <v>6</v>
      </c>
      <c r="DJ48" s="2" t="n">
        <f aca="false">COUNT(DJ36:DJ46)</f>
        <v>6</v>
      </c>
      <c r="DK48" s="2" t="n">
        <f aca="false">COUNT(DK36:DK46)</f>
        <v>6</v>
      </c>
      <c r="DL48" s="23" t="n">
        <f aca="false">IF(COUNT(DL36,DL37,DL38,DL39,DL40,DL41)=0,"",COUNT(DL36:DL46))</f>
        <v>6</v>
      </c>
      <c r="DM48" s="23" t="n">
        <f aca="false">COUNT(DM36:DM46)</f>
        <v>6</v>
      </c>
      <c r="DN48" s="23" t="n">
        <f aca="false">COUNT(DN36:DN46)</f>
        <v>6</v>
      </c>
    </row>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39">
    <mergeCell ref="B1:D1"/>
    <mergeCell ref="E1:G1"/>
    <mergeCell ref="H1:J1"/>
    <mergeCell ref="K1:M1"/>
    <mergeCell ref="N1:P1"/>
    <mergeCell ref="Q1:S1"/>
    <mergeCell ref="T1:V1"/>
    <mergeCell ref="W1:Y1"/>
    <mergeCell ref="Z1:AB1"/>
    <mergeCell ref="AC1:AE1"/>
    <mergeCell ref="AF1:AH1"/>
    <mergeCell ref="AI1:AK1"/>
    <mergeCell ref="AL1:AN1"/>
    <mergeCell ref="AO1:AQ1"/>
    <mergeCell ref="AR1:AT1"/>
    <mergeCell ref="AU1:AW1"/>
    <mergeCell ref="AX1:AZ1"/>
    <mergeCell ref="BA1:BC1"/>
    <mergeCell ref="BD1:BF1"/>
    <mergeCell ref="BG1:BI1"/>
    <mergeCell ref="BJ1:BL1"/>
    <mergeCell ref="BM1:BO1"/>
    <mergeCell ref="BP1:BR1"/>
    <mergeCell ref="BS1:BU1"/>
    <mergeCell ref="BV1:BX1"/>
    <mergeCell ref="BY1:CA1"/>
    <mergeCell ref="CB1:CD1"/>
    <mergeCell ref="CE1:CG1"/>
    <mergeCell ref="CH1:CJ1"/>
    <mergeCell ref="CK1:CM1"/>
    <mergeCell ref="CN1:CP1"/>
    <mergeCell ref="CQ1:CS1"/>
    <mergeCell ref="CT1:CV1"/>
    <mergeCell ref="CW1:CY1"/>
    <mergeCell ref="CZ1:DB1"/>
    <mergeCell ref="DC1:DE1"/>
    <mergeCell ref="DF1:DH1"/>
    <mergeCell ref="DI1:DK1"/>
    <mergeCell ref="DL1:DN1"/>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N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false" zeroHeight="false" outlineLevelRow="0" outlineLevelCol="0"/>
  <cols>
    <col collapsed="false" customWidth="true" hidden="false" outlineLevel="0" max="1" min="1" style="0" width="44"/>
    <col collapsed="false" customWidth="true" hidden="false" outlineLevel="0" max="118" min="2" style="0" width="11"/>
  </cols>
  <sheetData>
    <row r="1" customFormat="false" ht="15" hidden="false" customHeight="false" outlineLevel="0" collapsed="false">
      <c r="B1" s="6" t="str">
        <f aca="false">"FY"&amp;YEAR(K$1)</f>
        <v>FY2028</v>
      </c>
      <c r="C1" s="6"/>
      <c r="D1" s="6"/>
      <c r="E1" s="7" t="str">
        <f aca="false">"FY"&amp;YEAR(AU$1)</f>
        <v>FY2027</v>
      </c>
      <c r="F1" s="7"/>
      <c r="G1" s="7"/>
      <c r="H1" s="6" t="str">
        <f aca="false">"FY"&amp;YEAR(CE$1)</f>
        <v>FY2026</v>
      </c>
      <c r="I1" s="6"/>
      <c r="J1" s="6"/>
      <c r="K1" s="8" t="n">
        <f aca="false">EOMONTH(N$1,1)</f>
        <v>47118</v>
      </c>
      <c r="L1" s="8"/>
      <c r="M1" s="8"/>
      <c r="N1" s="9" t="n">
        <f aca="false">EOMONTH(Q$1,1)</f>
        <v>47087</v>
      </c>
      <c r="O1" s="9"/>
      <c r="P1" s="9"/>
      <c r="Q1" s="8" t="n">
        <f aca="false">EOMONTH(T$1,1)</f>
        <v>47057</v>
      </c>
      <c r="R1" s="8"/>
      <c r="S1" s="8"/>
      <c r="T1" s="9" t="n">
        <f aca="false">EOMONTH(W$1,1)</f>
        <v>47026</v>
      </c>
      <c r="U1" s="9"/>
      <c r="V1" s="9"/>
      <c r="W1" s="8" t="n">
        <f aca="false">EOMONTH(Z$1,1)</f>
        <v>46996</v>
      </c>
      <c r="X1" s="8"/>
      <c r="Y1" s="8"/>
      <c r="Z1" s="9" t="n">
        <f aca="false">EOMONTH(AC$1,1)</f>
        <v>46965</v>
      </c>
      <c r="AA1" s="9"/>
      <c r="AB1" s="9"/>
      <c r="AC1" s="8" t="n">
        <f aca="false">EOMONTH(AF$1,1)</f>
        <v>46934</v>
      </c>
      <c r="AD1" s="8"/>
      <c r="AE1" s="8"/>
      <c r="AF1" s="9" t="n">
        <f aca="false">EOMONTH(AI$1,1)</f>
        <v>46904</v>
      </c>
      <c r="AG1" s="9"/>
      <c r="AH1" s="9"/>
      <c r="AI1" s="8" t="n">
        <f aca="false">EOMONTH(AL$1,1)</f>
        <v>46873</v>
      </c>
      <c r="AJ1" s="8"/>
      <c r="AK1" s="8"/>
      <c r="AL1" s="9" t="n">
        <f aca="false">EOMONTH(AO$1,1)</f>
        <v>46843</v>
      </c>
      <c r="AM1" s="9"/>
      <c r="AN1" s="9"/>
      <c r="AO1" s="8" t="n">
        <f aca="false">EOMONTH(AR$1,1)</f>
        <v>46812</v>
      </c>
      <c r="AP1" s="8"/>
      <c r="AQ1" s="8"/>
      <c r="AR1" s="9" t="n">
        <f aca="false">EOMONTH(AU$1,1)</f>
        <v>46783</v>
      </c>
      <c r="AS1" s="9"/>
      <c r="AT1" s="9"/>
      <c r="AU1" s="8" t="n">
        <f aca="false">EOMONTH(AX$1,1)</f>
        <v>46752</v>
      </c>
      <c r="AV1" s="8"/>
      <c r="AW1" s="8"/>
      <c r="AX1" s="9" t="n">
        <f aca="false">EOMONTH(BA$1,1)</f>
        <v>46721</v>
      </c>
      <c r="AY1" s="9"/>
      <c r="AZ1" s="9"/>
      <c r="BA1" s="8" t="n">
        <f aca="false">EOMONTH(BD$1,1)</f>
        <v>46691</v>
      </c>
      <c r="BB1" s="8"/>
      <c r="BC1" s="8"/>
      <c r="BD1" s="9" t="n">
        <f aca="false">EOMONTH(BG$1,1)</f>
        <v>46660</v>
      </c>
      <c r="BE1" s="9"/>
      <c r="BF1" s="9"/>
      <c r="BG1" s="8" t="n">
        <f aca="false">EOMONTH(BJ$1,1)</f>
        <v>46630</v>
      </c>
      <c r="BH1" s="8"/>
      <c r="BI1" s="8"/>
      <c r="BJ1" s="9" t="n">
        <f aca="false">EOMONTH(BM$1,1)</f>
        <v>46599</v>
      </c>
      <c r="BK1" s="9"/>
      <c r="BL1" s="9"/>
      <c r="BM1" s="8" t="n">
        <f aca="false">EOMONTH(BP$1,1)</f>
        <v>46568</v>
      </c>
      <c r="BN1" s="8"/>
      <c r="BO1" s="8"/>
      <c r="BP1" s="9" t="n">
        <f aca="false">EOMONTH(BS$1,1)</f>
        <v>46538</v>
      </c>
      <c r="BQ1" s="9"/>
      <c r="BR1" s="9"/>
      <c r="BS1" s="8" t="n">
        <f aca="false">EOMONTH(BV$1,1)</f>
        <v>46507</v>
      </c>
      <c r="BT1" s="8"/>
      <c r="BU1" s="8"/>
      <c r="BV1" s="9" t="n">
        <f aca="false">EOMONTH(BY$1,1)</f>
        <v>46477</v>
      </c>
      <c r="BW1" s="9"/>
      <c r="BX1" s="9"/>
      <c r="BY1" s="8" t="n">
        <f aca="false">EOMONTH(CB$1,1)</f>
        <v>46446</v>
      </c>
      <c r="BZ1" s="8"/>
      <c r="CA1" s="8"/>
      <c r="CB1" s="9" t="n">
        <f aca="false">EOMONTH(CE$1,1)</f>
        <v>46418</v>
      </c>
      <c r="CC1" s="9"/>
      <c r="CD1" s="9"/>
      <c r="CE1" s="8" t="n">
        <f aca="false">EOMONTH(CH$1,1)</f>
        <v>46387</v>
      </c>
      <c r="CF1" s="8"/>
      <c r="CG1" s="8"/>
      <c r="CH1" s="9" t="n">
        <f aca="false">EOMONTH(CK$1,1)</f>
        <v>46356</v>
      </c>
      <c r="CI1" s="9"/>
      <c r="CJ1" s="9"/>
      <c r="CK1" s="8" t="n">
        <f aca="false">EOMONTH(CN$1,1)</f>
        <v>46326</v>
      </c>
      <c r="CL1" s="8"/>
      <c r="CM1" s="8"/>
      <c r="CN1" s="9" t="n">
        <f aca="false">EOMONTH(CQ$1,1)</f>
        <v>46295</v>
      </c>
      <c r="CO1" s="9"/>
      <c r="CP1" s="9"/>
      <c r="CQ1" s="8" t="n">
        <f aca="false">EOMONTH(CT$1,1)</f>
        <v>46265</v>
      </c>
      <c r="CR1" s="8"/>
      <c r="CS1" s="8"/>
      <c r="CT1" s="9" t="n">
        <f aca="false">EOMONTH(CW$1,1)</f>
        <v>46234</v>
      </c>
      <c r="CU1" s="9"/>
      <c r="CV1" s="9"/>
      <c r="CW1" s="8" t="n">
        <f aca="false">EOMONTH(CZ$1,1)</f>
        <v>46203</v>
      </c>
      <c r="CX1" s="8"/>
      <c r="CY1" s="8"/>
      <c r="CZ1" s="9" t="n">
        <f aca="false">EOMONTH(DC$1,1)</f>
        <v>46173</v>
      </c>
      <c r="DA1" s="9"/>
      <c r="DB1" s="9"/>
      <c r="DC1" s="8" t="n">
        <f aca="false">EOMONTH(DF$1,1)</f>
        <v>46142</v>
      </c>
      <c r="DD1" s="8"/>
      <c r="DE1" s="8"/>
      <c r="DF1" s="9" t="n">
        <f aca="false">EOMONTH(DI$1,1)</f>
        <v>46112</v>
      </c>
      <c r="DG1" s="9"/>
      <c r="DH1" s="9"/>
      <c r="DI1" s="8" t="n">
        <f aca="false">EOMONTH(DL$1,1)</f>
        <v>46081</v>
      </c>
      <c r="DJ1" s="8"/>
      <c r="DK1" s="8"/>
      <c r="DL1" s="9" t="n">
        <f aca="false">Finance!$DL$61</f>
        <v>46053</v>
      </c>
      <c r="DM1" s="9"/>
      <c r="DN1" s="9"/>
    </row>
    <row r="2" customFormat="false" ht="15" hidden="false" customHeight="false" outlineLevel="0" collapsed="false">
      <c r="A2" s="10"/>
      <c r="B2" s="11" t="s">
        <v>99</v>
      </c>
      <c r="C2" s="11" t="s">
        <v>100</v>
      </c>
      <c r="D2" s="11" t="s">
        <v>101</v>
      </c>
      <c r="E2" s="10" t="s">
        <v>99</v>
      </c>
      <c r="F2" s="10" t="s">
        <v>100</v>
      </c>
      <c r="G2" s="10" t="s">
        <v>101</v>
      </c>
      <c r="H2" s="11" t="s">
        <v>99</v>
      </c>
      <c r="I2" s="11" t="s">
        <v>100</v>
      </c>
      <c r="J2" s="11" t="s">
        <v>101</v>
      </c>
      <c r="K2" s="10" t="s">
        <v>99</v>
      </c>
      <c r="L2" s="10" t="s">
        <v>100</v>
      </c>
      <c r="M2" s="10" t="s">
        <v>101</v>
      </c>
      <c r="N2" s="11" t="s">
        <v>99</v>
      </c>
      <c r="O2" s="11" t="s">
        <v>100</v>
      </c>
      <c r="P2" s="11" t="s">
        <v>101</v>
      </c>
      <c r="Q2" s="10" t="s">
        <v>99</v>
      </c>
      <c r="R2" s="10" t="s">
        <v>100</v>
      </c>
      <c r="S2" s="10" t="s">
        <v>101</v>
      </c>
      <c r="T2" s="11" t="s">
        <v>99</v>
      </c>
      <c r="U2" s="11" t="s">
        <v>100</v>
      </c>
      <c r="V2" s="11" t="s">
        <v>101</v>
      </c>
      <c r="W2" s="10" t="s">
        <v>99</v>
      </c>
      <c r="X2" s="10" t="s">
        <v>100</v>
      </c>
      <c r="Y2" s="10" t="s">
        <v>101</v>
      </c>
      <c r="Z2" s="11" t="s">
        <v>99</v>
      </c>
      <c r="AA2" s="11" t="s">
        <v>100</v>
      </c>
      <c r="AB2" s="11" t="s">
        <v>101</v>
      </c>
      <c r="AC2" s="10" t="s">
        <v>99</v>
      </c>
      <c r="AD2" s="10" t="s">
        <v>100</v>
      </c>
      <c r="AE2" s="10" t="s">
        <v>101</v>
      </c>
      <c r="AF2" s="11" t="s">
        <v>99</v>
      </c>
      <c r="AG2" s="11" t="s">
        <v>100</v>
      </c>
      <c r="AH2" s="11" t="s">
        <v>101</v>
      </c>
      <c r="AI2" s="10" t="s">
        <v>99</v>
      </c>
      <c r="AJ2" s="10" t="s">
        <v>100</v>
      </c>
      <c r="AK2" s="10" t="s">
        <v>101</v>
      </c>
      <c r="AL2" s="11" t="s">
        <v>99</v>
      </c>
      <c r="AM2" s="11" t="s">
        <v>100</v>
      </c>
      <c r="AN2" s="11" t="s">
        <v>101</v>
      </c>
      <c r="AO2" s="10" t="s">
        <v>99</v>
      </c>
      <c r="AP2" s="10" t="s">
        <v>100</v>
      </c>
      <c r="AQ2" s="10" t="s">
        <v>101</v>
      </c>
      <c r="AR2" s="11" t="s">
        <v>99</v>
      </c>
      <c r="AS2" s="11" t="s">
        <v>100</v>
      </c>
      <c r="AT2" s="11" t="s">
        <v>101</v>
      </c>
      <c r="AU2" s="10" t="s">
        <v>99</v>
      </c>
      <c r="AV2" s="10" t="s">
        <v>100</v>
      </c>
      <c r="AW2" s="10" t="s">
        <v>101</v>
      </c>
      <c r="AX2" s="11" t="s">
        <v>99</v>
      </c>
      <c r="AY2" s="11" t="s">
        <v>100</v>
      </c>
      <c r="AZ2" s="11" t="s">
        <v>101</v>
      </c>
      <c r="BA2" s="10" t="s">
        <v>99</v>
      </c>
      <c r="BB2" s="10" t="s">
        <v>100</v>
      </c>
      <c r="BC2" s="10" t="s">
        <v>101</v>
      </c>
      <c r="BD2" s="11" t="s">
        <v>99</v>
      </c>
      <c r="BE2" s="11" t="s">
        <v>100</v>
      </c>
      <c r="BF2" s="11" t="s">
        <v>101</v>
      </c>
      <c r="BG2" s="10" t="s">
        <v>99</v>
      </c>
      <c r="BH2" s="10" t="s">
        <v>100</v>
      </c>
      <c r="BI2" s="10" t="s">
        <v>101</v>
      </c>
      <c r="BJ2" s="11" t="s">
        <v>99</v>
      </c>
      <c r="BK2" s="11" t="s">
        <v>100</v>
      </c>
      <c r="BL2" s="11" t="s">
        <v>101</v>
      </c>
      <c r="BM2" s="10" t="s">
        <v>99</v>
      </c>
      <c r="BN2" s="10" t="s">
        <v>100</v>
      </c>
      <c r="BO2" s="10" t="s">
        <v>101</v>
      </c>
      <c r="BP2" s="11" t="s">
        <v>99</v>
      </c>
      <c r="BQ2" s="11" t="s">
        <v>100</v>
      </c>
      <c r="BR2" s="11" t="s">
        <v>101</v>
      </c>
      <c r="BS2" s="10" t="s">
        <v>99</v>
      </c>
      <c r="BT2" s="10" t="s">
        <v>100</v>
      </c>
      <c r="BU2" s="10" t="s">
        <v>101</v>
      </c>
      <c r="BV2" s="11" t="s">
        <v>99</v>
      </c>
      <c r="BW2" s="11" t="s">
        <v>100</v>
      </c>
      <c r="BX2" s="11" t="s">
        <v>101</v>
      </c>
      <c r="BY2" s="10" t="s">
        <v>99</v>
      </c>
      <c r="BZ2" s="10" t="s">
        <v>100</v>
      </c>
      <c r="CA2" s="10" t="s">
        <v>101</v>
      </c>
      <c r="CB2" s="11" t="s">
        <v>99</v>
      </c>
      <c r="CC2" s="11" t="s">
        <v>100</v>
      </c>
      <c r="CD2" s="11" t="s">
        <v>101</v>
      </c>
      <c r="CE2" s="10" t="s">
        <v>99</v>
      </c>
      <c r="CF2" s="10" t="s">
        <v>100</v>
      </c>
      <c r="CG2" s="10" t="s">
        <v>101</v>
      </c>
      <c r="CH2" s="11" t="s">
        <v>99</v>
      </c>
      <c r="CI2" s="11" t="s">
        <v>100</v>
      </c>
      <c r="CJ2" s="11" t="s">
        <v>101</v>
      </c>
      <c r="CK2" s="10" t="s">
        <v>99</v>
      </c>
      <c r="CL2" s="10" t="s">
        <v>100</v>
      </c>
      <c r="CM2" s="10" t="s">
        <v>101</v>
      </c>
      <c r="CN2" s="11" t="s">
        <v>99</v>
      </c>
      <c r="CO2" s="11" t="s">
        <v>100</v>
      </c>
      <c r="CP2" s="11" t="s">
        <v>101</v>
      </c>
      <c r="CQ2" s="10" t="s">
        <v>99</v>
      </c>
      <c r="CR2" s="10" t="s">
        <v>100</v>
      </c>
      <c r="CS2" s="10" t="s">
        <v>101</v>
      </c>
      <c r="CT2" s="11" t="s">
        <v>99</v>
      </c>
      <c r="CU2" s="11" t="s">
        <v>100</v>
      </c>
      <c r="CV2" s="11" t="s">
        <v>101</v>
      </c>
      <c r="CW2" s="10" t="s">
        <v>99</v>
      </c>
      <c r="CX2" s="10" t="s">
        <v>100</v>
      </c>
      <c r="CY2" s="10" t="s">
        <v>101</v>
      </c>
      <c r="CZ2" s="11" t="s">
        <v>99</v>
      </c>
      <c r="DA2" s="11" t="s">
        <v>100</v>
      </c>
      <c r="DB2" s="11" t="s">
        <v>101</v>
      </c>
      <c r="DC2" s="10" t="s">
        <v>99</v>
      </c>
      <c r="DD2" s="10" t="s">
        <v>100</v>
      </c>
      <c r="DE2" s="10" t="s">
        <v>101</v>
      </c>
      <c r="DF2" s="11" t="s">
        <v>99</v>
      </c>
      <c r="DG2" s="11" t="s">
        <v>100</v>
      </c>
      <c r="DH2" s="11" t="s">
        <v>101</v>
      </c>
      <c r="DI2" s="10" t="s">
        <v>99</v>
      </c>
      <c r="DJ2" s="10" t="s">
        <v>100</v>
      </c>
      <c r="DK2" s="10" t="s">
        <v>101</v>
      </c>
      <c r="DL2" s="11" t="s">
        <v>99</v>
      </c>
      <c r="DM2" s="11" t="s">
        <v>100</v>
      </c>
      <c r="DN2" s="11" t="s">
        <v>101</v>
      </c>
    </row>
    <row r="3" customFormat="false" ht="15" hidden="false" customHeight="false" outlineLevel="0" collapsed="false">
      <c r="A3" s="5" t="s">
        <v>231</v>
      </c>
      <c r="B3" s="23" t="str">
        <f aca="false">IF(K3&lt;&gt;"",K3,IF(N3&lt;&gt;"",N3,IF(Q3&lt;&gt;"",Q3,IF(T3&lt;&gt;"",T3,IF(W3&lt;&gt;"",W3,IF(Z3&lt;&gt;"",Z3,IF(AC3&lt;&gt;"",AC3,IF(AF3&lt;&gt;"",AF3,IF(AI3&lt;&gt;"",AI3,IF(AL3&lt;&gt;"",AL3,IF(AO3&lt;&gt;"",AO3,IF(AR3&lt;&gt;"",AR3,""))))))))))))</f>
        <v/>
      </c>
      <c r="C3" s="23" t="n">
        <f aca="false">IF(L3&lt;&gt;"",L3,IF(O3&lt;&gt;"",O3,IF(R3&lt;&gt;"",R3,IF(U3&lt;&gt;"",U3,IF(X3&lt;&gt;"",X3,IF(AA3&lt;&gt;"",AA3,IF(AD3&lt;&gt;"",AD3,IF(AG3&lt;&gt;"",AG3,IF(AJ3&lt;&gt;"",AJ3,IF(AM3&lt;&gt;"",AM3,IF(AP3&lt;&gt;"",AP3,IF(AS3&lt;&gt;"",AS3,""))))))))))))</f>
        <v>1556</v>
      </c>
      <c r="D3" s="23" t="n">
        <f aca="false">IF(M3&lt;&gt;"",M3,IF(P3&lt;&gt;"",P3,IF(S3&lt;&gt;"",S3,IF(V3&lt;&gt;"",V3,IF(Y3&lt;&gt;"",Y3,IF(AB3&lt;&gt;"",AB3,IF(AE3&lt;&gt;"",AE3,IF(AH3&lt;&gt;"",AH3,IF(AK3&lt;&gt;"",AK3,IF(AN3&lt;&gt;"",AN3,IF(AQ3&lt;&gt;"",AQ3,IF(AT3&lt;&gt;"",AT3,""))))))))))))</f>
        <v>1553</v>
      </c>
      <c r="E3" s="2" t="str">
        <f aca="false">IF(AU3&lt;&gt;"",AU3,IF(AX3&lt;&gt;"",AX3,IF(BA3&lt;&gt;"",BA3,IF(BD3&lt;&gt;"",BD3,IF(BG3&lt;&gt;"",BG3,IF(BJ3&lt;&gt;"",BJ3,IF(BM3&lt;&gt;"",BM3,IF(BP3&lt;&gt;"",BP3,IF(BS3&lt;&gt;"",BS3,IF(BV3&lt;&gt;"",BV3,IF(BY3&lt;&gt;"",BY3,IF(CB3&lt;&gt;"",CB3,""))))))))))))</f>
        <v/>
      </c>
      <c r="F3" s="2" t="n">
        <f aca="false">IF(AV3&lt;&gt;"",AV3,IF(AY3&lt;&gt;"",AY3,IF(BB3&lt;&gt;"",BB3,IF(BE3&lt;&gt;"",BE3,IF(BH3&lt;&gt;"",BH3,IF(BK3&lt;&gt;"",BK3,IF(BN3&lt;&gt;"",BN3,IF(BQ3&lt;&gt;"",BQ3,IF(BT3&lt;&gt;"",BT3,IF(BW3&lt;&gt;"",BW3,IF(BZ3&lt;&gt;"",BZ3,IF(CC3&lt;&gt;"",CC3,""))))))))))))</f>
        <v>1220</v>
      </c>
      <c r="G3" s="2" t="n">
        <f aca="false">IF(AW3&lt;&gt;"",AW3,IF(AZ3&lt;&gt;"",AZ3,IF(BC3&lt;&gt;"",BC3,IF(BF3&lt;&gt;"",BF3,IF(BI3&lt;&gt;"",BI3,IF(BL3&lt;&gt;"",BL3,IF(BO3&lt;&gt;"",BO3,IF(BR3&lt;&gt;"",BR3,IF(BU3&lt;&gt;"",BU3,IF(BX3&lt;&gt;"",BX3,IF(CA3&lt;&gt;"",CA3,IF(CD3&lt;&gt;"",CD3,""))))))))))))</f>
        <v>1217</v>
      </c>
      <c r="H3" s="23" t="n">
        <f aca="false">IF(CE3&lt;&gt;"",CE3,IF(CH3&lt;&gt;"",CH3,IF(CK3&lt;&gt;"",CK3,IF(CN3&lt;&gt;"",CN3,IF(CQ3&lt;&gt;"",CQ3,IF(CT3&lt;&gt;"",CT3,IF(CW3&lt;&gt;"",CW3,IF(CZ3&lt;&gt;"",CZ3,IF(DC3&lt;&gt;"",DC3,IF(DF3&lt;&gt;"",DF3,IF(DI3&lt;&gt;"",DI3,IF(DL3&lt;&gt;"",DL3,""))))))))))))</f>
        <v>850</v>
      </c>
      <c r="I3" s="23" t="n">
        <f aca="false">IF(CF3&lt;&gt;"",CF3,IF(CI3&lt;&gt;"",CI3,IF(CL3&lt;&gt;"",CL3,IF(CO3&lt;&gt;"",CO3,IF(CR3&lt;&gt;"",CR3,IF(CU3&lt;&gt;"",CU3,IF(CX3&lt;&gt;"",CX3,IF(DA3&lt;&gt;"",DA3,IF(DD3&lt;&gt;"",DD3,IF(DG3&lt;&gt;"",DG3,IF(DJ3&lt;&gt;"",DJ3,IF(DM3&lt;&gt;"",DM3,""))))))))))))</f>
        <v>981</v>
      </c>
      <c r="J3" s="23" t="n">
        <f aca="false">IF(CG3&lt;&gt;"",CG3,IF(CJ3&lt;&gt;"",CJ3,IF(CM3&lt;&gt;"",CM3,IF(CP3&lt;&gt;"",CP3,IF(CS3&lt;&gt;"",CS3,IF(CV3&lt;&gt;"",CV3,IF(CY3&lt;&gt;"",CY3,IF(DB3&lt;&gt;"",DB3,IF(DE3&lt;&gt;"",DE3,IF(DH3&lt;&gt;"",DH3,IF(DK3&lt;&gt;"",DK3,IF(DN3&lt;&gt;"",DN3,""))))))))))))</f>
        <v>978</v>
      </c>
      <c r="K3" s="2" t="str">
        <f aca="false">IF(COUNT(Summary!N16)=1,Summary!N16,"")</f>
        <v/>
      </c>
      <c r="L3" s="2" t="n">
        <f aca="false">Summary!O16</f>
        <v>1556</v>
      </c>
      <c r="M3" s="2" t="n">
        <f aca="false">Summary!P16</f>
        <v>1553</v>
      </c>
      <c r="N3" s="23" t="str">
        <f aca="false">IF(COUNT(Summary!Q16)=1,Summary!Q16,"")</f>
        <v/>
      </c>
      <c r="O3" s="23" t="n">
        <f aca="false">Summary!R16</f>
        <v>1527</v>
      </c>
      <c r="P3" s="23" t="n">
        <f aca="false">Summary!S16</f>
        <v>1524</v>
      </c>
      <c r="Q3" s="2" t="str">
        <f aca="false">IF(COUNT(Summary!T16)=1,Summary!T16,"")</f>
        <v/>
      </c>
      <c r="R3" s="2" t="n">
        <f aca="false">Summary!U16</f>
        <v>1498</v>
      </c>
      <c r="S3" s="2" t="n">
        <f aca="false">Summary!V16</f>
        <v>1495</v>
      </c>
      <c r="T3" s="23" t="str">
        <f aca="false">IF(COUNT(Summary!W16)=1,Summary!W16,"")</f>
        <v/>
      </c>
      <c r="U3" s="23" t="n">
        <f aca="false">Summary!X16</f>
        <v>1469</v>
      </c>
      <c r="V3" s="23" t="n">
        <f aca="false">Summary!Y16</f>
        <v>1466</v>
      </c>
      <c r="W3" s="2" t="str">
        <f aca="false">IF(COUNT(Summary!Z16)=1,Summary!Z16,"")</f>
        <v/>
      </c>
      <c r="X3" s="2" t="n">
        <f aca="false">Summary!AA16</f>
        <v>1440</v>
      </c>
      <c r="Y3" s="2" t="n">
        <f aca="false">Summary!AB16</f>
        <v>1437</v>
      </c>
      <c r="Z3" s="23" t="str">
        <f aca="false">IF(COUNT(Summary!AC16)=1,Summary!AC16,"")</f>
        <v/>
      </c>
      <c r="AA3" s="23" t="n">
        <f aca="false">Summary!AD16</f>
        <v>1411</v>
      </c>
      <c r="AB3" s="23" t="n">
        <f aca="false">Summary!AE16</f>
        <v>1408</v>
      </c>
      <c r="AC3" s="2" t="str">
        <f aca="false">IF(COUNT(Summary!AF16)=1,Summary!AF16,"")</f>
        <v/>
      </c>
      <c r="AD3" s="2" t="n">
        <f aca="false">Summary!AG16</f>
        <v>1381</v>
      </c>
      <c r="AE3" s="2" t="n">
        <f aca="false">Summary!AH16</f>
        <v>1378</v>
      </c>
      <c r="AF3" s="23" t="str">
        <f aca="false">IF(COUNT(Summary!AI16)=1,Summary!AI16,"")</f>
        <v/>
      </c>
      <c r="AG3" s="23" t="n">
        <f aca="false">Summary!AJ16</f>
        <v>1351</v>
      </c>
      <c r="AH3" s="23" t="n">
        <f aca="false">Summary!AK16</f>
        <v>1348</v>
      </c>
      <c r="AI3" s="2" t="str">
        <f aca="false">IF(COUNT(Summary!AL16)=1,Summary!AL16,"")</f>
        <v/>
      </c>
      <c r="AJ3" s="2" t="n">
        <f aca="false">Summary!AM16</f>
        <v>1321</v>
      </c>
      <c r="AK3" s="2" t="n">
        <f aca="false">Summary!AN16</f>
        <v>1318</v>
      </c>
      <c r="AL3" s="23" t="str">
        <f aca="false">IF(COUNT(Summary!AO16)=1,Summary!AO16,"")</f>
        <v/>
      </c>
      <c r="AM3" s="23" t="n">
        <f aca="false">Summary!AP16</f>
        <v>1291</v>
      </c>
      <c r="AN3" s="23" t="n">
        <f aca="false">Summary!AQ16</f>
        <v>1288</v>
      </c>
      <c r="AO3" s="2" t="str">
        <f aca="false">IF(COUNT(Summary!AR16)=1,Summary!AR16,"")</f>
        <v/>
      </c>
      <c r="AP3" s="2" t="n">
        <f aca="false">Summary!AS16</f>
        <v>1261</v>
      </c>
      <c r="AQ3" s="2" t="n">
        <f aca="false">Summary!AT16</f>
        <v>1258</v>
      </c>
      <c r="AR3" s="23" t="str">
        <f aca="false">IF(COUNT(Summary!AU16)=1,Summary!AU16,"")</f>
        <v/>
      </c>
      <c r="AS3" s="23" t="n">
        <f aca="false">Summary!AV16</f>
        <v>1241</v>
      </c>
      <c r="AT3" s="23" t="n">
        <f aca="false">Summary!AW16</f>
        <v>1238</v>
      </c>
      <c r="AU3" s="2" t="str">
        <f aca="false">IF(COUNT(Summary!AX16)=1,Summary!AX16,"")</f>
        <v/>
      </c>
      <c r="AV3" s="2" t="n">
        <f aca="false">Summary!AY16</f>
        <v>1220</v>
      </c>
      <c r="AW3" s="2" t="n">
        <f aca="false">Summary!AZ16</f>
        <v>1217</v>
      </c>
      <c r="AX3" s="23" t="str">
        <f aca="false">IF(COUNT(Summary!BA16)=1,Summary!BA16,"")</f>
        <v/>
      </c>
      <c r="AY3" s="23" t="n">
        <f aca="false">Summary!BB16</f>
        <v>1199</v>
      </c>
      <c r="AZ3" s="23" t="n">
        <f aca="false">Summary!BC16</f>
        <v>1196</v>
      </c>
      <c r="BA3" s="2" t="str">
        <f aca="false">IF(COUNT(Summary!BD16)=1,Summary!BD16,"")</f>
        <v/>
      </c>
      <c r="BB3" s="2" t="n">
        <f aca="false">Summary!BE16</f>
        <v>1178</v>
      </c>
      <c r="BC3" s="2" t="n">
        <f aca="false">Summary!BF16</f>
        <v>1175</v>
      </c>
      <c r="BD3" s="23" t="str">
        <f aca="false">IF(COUNT(Summary!BG16)=1,Summary!BG16,"")</f>
        <v/>
      </c>
      <c r="BE3" s="23" t="n">
        <f aca="false">Summary!BH16</f>
        <v>1157</v>
      </c>
      <c r="BF3" s="23" t="n">
        <f aca="false">Summary!BI16</f>
        <v>1154</v>
      </c>
      <c r="BG3" s="2" t="str">
        <f aca="false">IF(COUNT(Summary!BJ16)=1,Summary!BJ16,"")</f>
        <v/>
      </c>
      <c r="BH3" s="2" t="n">
        <f aca="false">Summary!BK16</f>
        <v>1136</v>
      </c>
      <c r="BI3" s="2" t="n">
        <f aca="false">Summary!BL16</f>
        <v>1133</v>
      </c>
      <c r="BJ3" s="23" t="str">
        <f aca="false">IF(COUNT(Summary!BM16)=1,Summary!BM16,"")</f>
        <v/>
      </c>
      <c r="BK3" s="23" t="n">
        <f aca="false">Summary!BN16</f>
        <v>1115</v>
      </c>
      <c r="BL3" s="23" t="n">
        <f aca="false">Summary!BO16</f>
        <v>1112</v>
      </c>
      <c r="BM3" s="2" t="str">
        <f aca="false">IF(COUNT(Summary!BP16)=1,Summary!BP16,"")</f>
        <v/>
      </c>
      <c r="BN3" s="2" t="n">
        <f aca="false">Summary!BQ16</f>
        <v>1094</v>
      </c>
      <c r="BO3" s="2" t="n">
        <f aca="false">Summary!BR16</f>
        <v>1091</v>
      </c>
      <c r="BP3" s="23" t="str">
        <f aca="false">IF(COUNT(Summary!BS16)=1,Summary!BS16,"")</f>
        <v/>
      </c>
      <c r="BQ3" s="23" t="n">
        <f aca="false">Summary!BT16</f>
        <v>1073</v>
      </c>
      <c r="BR3" s="23" t="n">
        <f aca="false">Summary!BU16</f>
        <v>1070</v>
      </c>
      <c r="BS3" s="2" t="str">
        <f aca="false">IF(COUNT(Summary!BV16)=1,Summary!BV16,"")</f>
        <v/>
      </c>
      <c r="BT3" s="2" t="n">
        <f aca="false">Summary!BW16</f>
        <v>1051</v>
      </c>
      <c r="BU3" s="2" t="n">
        <f aca="false">Summary!BX16</f>
        <v>1048</v>
      </c>
      <c r="BV3" s="23" t="str">
        <f aca="false">IF(COUNT(Summary!BY16)=1,Summary!BY16,"")</f>
        <v/>
      </c>
      <c r="BW3" s="23" t="n">
        <f aca="false">Summary!BZ16</f>
        <v>1029</v>
      </c>
      <c r="BX3" s="23" t="n">
        <f aca="false">Summary!CA16</f>
        <v>1026</v>
      </c>
      <c r="BY3" s="2" t="str">
        <f aca="false">IF(COUNT(Summary!CB16)=1,Summary!CB16,"")</f>
        <v/>
      </c>
      <c r="BZ3" s="2" t="n">
        <f aca="false">Summary!CC16</f>
        <v>1007</v>
      </c>
      <c r="CA3" s="2" t="n">
        <f aca="false">Summary!CD16</f>
        <v>1004</v>
      </c>
      <c r="CB3" s="23" t="str">
        <f aca="false">IF(COUNT(Summary!CE16)=1,Summary!CE16,"")</f>
        <v/>
      </c>
      <c r="CC3" s="23" t="n">
        <f aca="false">Summary!CF16</f>
        <v>994</v>
      </c>
      <c r="CD3" s="23" t="n">
        <f aca="false">Summary!CG16</f>
        <v>991</v>
      </c>
      <c r="CE3" s="2" t="str">
        <f aca="false">IF(COUNT(Summary!CH16)=1,Summary!CH16,"")</f>
        <v/>
      </c>
      <c r="CF3" s="2" t="n">
        <f aca="false">Summary!CI16</f>
        <v>981</v>
      </c>
      <c r="CG3" s="2" t="n">
        <f aca="false">Summary!CJ16</f>
        <v>978</v>
      </c>
      <c r="CH3" s="23" t="str">
        <f aca="false">IF(COUNT(Summary!CK16)=1,Summary!CK16,"")</f>
        <v/>
      </c>
      <c r="CI3" s="23" t="n">
        <f aca="false">Summary!CL16</f>
        <v>968</v>
      </c>
      <c r="CJ3" s="23" t="n">
        <f aca="false">Summary!CM16</f>
        <v>965</v>
      </c>
      <c r="CK3" s="2" t="str">
        <f aca="false">IF(COUNT(Summary!CN16)=1,Summary!CN16,"")</f>
        <v/>
      </c>
      <c r="CL3" s="2" t="n">
        <f aca="false">Summary!CO16</f>
        <v>955</v>
      </c>
      <c r="CM3" s="2" t="n">
        <f aca="false">Summary!CP16</f>
        <v>952</v>
      </c>
      <c r="CN3" s="23" t="str">
        <f aca="false">IF(COUNT(Summary!CQ16)=1,Summary!CQ16,"")</f>
        <v/>
      </c>
      <c r="CO3" s="23" t="n">
        <f aca="false">Summary!CR16</f>
        <v>942</v>
      </c>
      <c r="CP3" s="23" t="n">
        <f aca="false">Summary!CS16</f>
        <v>939</v>
      </c>
      <c r="CQ3" s="2" t="str">
        <f aca="false">IF(COUNT(Summary!CT16)=1,Summary!CT16,"")</f>
        <v/>
      </c>
      <c r="CR3" s="2" t="n">
        <f aca="false">Summary!CU16</f>
        <v>929</v>
      </c>
      <c r="CS3" s="2" t="n">
        <f aca="false">Summary!CV16</f>
        <v>926</v>
      </c>
      <c r="CT3" s="23" t="str">
        <f aca="false">IF(COUNT(Summary!CW16)=1,Summary!CW16,"")</f>
        <v/>
      </c>
      <c r="CU3" s="23" t="n">
        <f aca="false">Summary!CX16</f>
        <v>916</v>
      </c>
      <c r="CV3" s="23" t="n">
        <f aca="false">Summary!CY16</f>
        <v>913</v>
      </c>
      <c r="CW3" s="2" t="str">
        <f aca="false">IF(COUNT(Summary!CZ16)=1,Summary!CZ16,"")</f>
        <v/>
      </c>
      <c r="CX3" s="2" t="n">
        <f aca="false">Summary!DA16</f>
        <v>903</v>
      </c>
      <c r="CY3" s="2" t="n">
        <f aca="false">Summary!DB16</f>
        <v>900</v>
      </c>
      <c r="CZ3" s="23" t="str">
        <f aca="false">IF(COUNT(Summary!DC16)=1,Summary!DC16,"")</f>
        <v/>
      </c>
      <c r="DA3" s="23" t="n">
        <f aca="false">Summary!DD16</f>
        <v>889</v>
      </c>
      <c r="DB3" s="23" t="n">
        <f aca="false">Summary!DE16</f>
        <v>886</v>
      </c>
      <c r="DC3" s="2" t="str">
        <f aca="false">IF(COUNT(Summary!DF16)=1,Summary!DF16,"")</f>
        <v/>
      </c>
      <c r="DD3" s="2" t="n">
        <f aca="false">Summary!DG16</f>
        <v>875</v>
      </c>
      <c r="DE3" s="2" t="n">
        <f aca="false">Summary!DH16</f>
        <v>872</v>
      </c>
      <c r="DF3" s="23" t="n">
        <f aca="false">IF(COUNT(Summary!DI16)=1,Summary!DI16,"")</f>
        <v>850</v>
      </c>
      <c r="DG3" s="23" t="n">
        <f aca="false">Summary!DJ16</f>
        <v>850</v>
      </c>
      <c r="DH3" s="23" t="n">
        <f aca="false">Summary!DK16</f>
        <v>839</v>
      </c>
      <c r="DI3" s="2" t="n">
        <f aca="false">IF(COUNT(Summary!DL16)=1,Summary!DL16,"")</f>
        <v>844</v>
      </c>
      <c r="DJ3" s="2" t="n">
        <f aca="false">Summary!DM16</f>
        <v>844</v>
      </c>
      <c r="DK3" s="2" t="n">
        <f aca="false">Summary!DN16</f>
        <v>825</v>
      </c>
      <c r="DL3" s="23" t="n">
        <f aca="false">IF(COUNT(Finance!$DL$62)=1,Finance!$DL$62,"")</f>
        <v>830</v>
      </c>
      <c r="DM3" s="23" t="n">
        <f aca="false">Finance!$DL$62</f>
        <v>830</v>
      </c>
      <c r="DN3" s="23" t="n">
        <f aca="false">Finance!$DL$62</f>
        <v>830</v>
      </c>
    </row>
    <row r="4" customFormat="false" ht="15" hidden="false" customHeight="false" outlineLevel="0" collapsed="false">
      <c r="A4" s="17" t="s">
        <v>232</v>
      </c>
      <c r="B4" s="113" t="str">
        <f aca="false">IF(SUM(AR3,AO3,AL3,AI3,AF3,AC3,Z3,W3,T3,Q3,N3,K3)=0,"",SUM(AR5,AO5,AL5,AI5,AF5,AC5,Z5,W5,T5,Q5,N5,K5)/SUM(AR3,AO3,AL3,AI3,AF3,AC3,Z3,W3,T3,Q3,N3,K3))</f>
        <v/>
      </c>
      <c r="C4" s="113" t="n">
        <f aca="false">IF(SUM(AS3,AP3,AM3,AJ3,AG3,AD3,AA3,X3,U3,R3,O3,L3)=0,"",SUM(AS5,AP5,AM5,AJ5,AG5,AD5,AA5,X5,U5,R5,O5,L5)/SUM(AS3,AP3,AM3,AJ3,AG3,AD3,AA3,X3,U3,R3,O3,L3))</f>
        <v>0.362512688839792</v>
      </c>
      <c r="D4" s="113" t="n">
        <f aca="false">IF(SUM(AT3,AQ3,AN3,AK3,AH3,AE3,AB3,Y3,V3,S3,P3,M3)=0,"",SUM(AT5,AQ5,AN5,AK5,AH5,AE5,AB5,Y5,V5,S5,P5,M5)/SUM(AT3,AQ3,AN3,AK3,AH3,AE3,AB3,Y3,V3,S3,P3,M3))</f>
        <v>0.362455867392735</v>
      </c>
      <c r="E4" s="114" t="str">
        <f aca="false">IF(SUM(CB3,BY3,BV3,BS3,BP3,BM3,BJ3,BG3,BD3,BA3,AX3,AU3)=0,"",SUM(CB5,BY5,BV5,BS5,BP5,BM5,BJ5,BG5,BD5,BA5,AX5,AU5)/SUM(CB3,BY3,BV3,BS3,BP3,BM3,BJ3,BG3,BD3,BA3,AX3,AU3))</f>
        <v/>
      </c>
      <c r="F4" s="114" t="n">
        <f aca="false">IF(SUM(CC3,BZ3,BW3,BT3,BQ3,BN3,BK3,BH3,BE3,BB3,AY3,AV3)=0,"",SUM(CC5,BZ5,BW5,BT5,BQ5,BN5,BK5,BH5,BE5,BB5,AY5,AV5)/SUM(CC3,BZ3,BW3,BT3,BQ3,BN3,BK3,BH3,BE3,BB3,AY3,AV3))</f>
        <v>0.381875801705274</v>
      </c>
      <c r="G4" s="114" t="n">
        <f aca="false">IF(SUM(CD3,CA3,BX3,BU3,BR3,BO3,BL3,BI3,BF3,BC3,AZ3,AW3)=0,"",SUM(CD5,CA5,BX5,BU5,BR5,BO5,BL5,BI5,BF5,BC5,AZ5,AW5)/SUM(CD3,CA3,BX3,BU3,BR3,BO3,BL3,BI3,BF3,BC3,AZ3,AW3))</f>
        <v>0.381856699704926</v>
      </c>
      <c r="H4" s="113" t="n">
        <f aca="false">IF(SUM(DL3,DI3,DF3,DC3,CZ3,CW3,CT3,CQ3,CN3,CK3,CH3,CE3)=0,"",SUM(DL5,DI5,DF5,DC5,CZ5,CW5,CT5,CQ5,CN5,CK5,CH5,CE5)/SUM(DL3,DI3,DF3,DC3,CZ3,CW3,CT3,CQ3,CN3,CK3,CH3,CE3))</f>
        <v>0.265055467511886</v>
      </c>
      <c r="I4" s="113" t="n">
        <f aca="false">IF(SUM(DM3,DJ3,DG3,DD3,DA3,CX3,CU3,CR3,CO3,CL3,CI3,CF3)=0,"",SUM(DM5,DJ5,DG5,DD5,DA5,CX5,CU5,CR5,CO5,CL5,CI5,CF5)/SUM(DM3,DJ3,DG3,DD3,DA3,CX3,CU3,CR3,CO3,CL3,CI3,CF3))</f>
        <v>0.394320896893953</v>
      </c>
      <c r="J4" s="113" t="n">
        <f aca="false">IF(SUM(DN3,DK3,DH3,DE3,DB3,CY3,CV3,CS3,CP3,CM3,CJ3,CG3)=0,"",SUM(DN5,DK5,DH5,DE5,DB5,CY5,CV5,CS5,CP5,CM5,CJ5,CG5)/SUM(DN3,DK3,DH3,DE3,DB3,CY3,CV3,CS3,CP3,CM3,CJ3,CG3))</f>
        <v>0.394272517321016</v>
      </c>
      <c r="K4" s="115"/>
      <c r="L4" s="114" t="n">
        <f aca="false">MAX(0.25,O4-Engineering!O8*Engineering!O10)</f>
        <v>0.352</v>
      </c>
      <c r="M4" s="114" t="n">
        <f aca="false">MAX(0.25,P4-Engineering!P8*Engineering!P10)</f>
        <v>0.352</v>
      </c>
      <c r="N4" s="116"/>
      <c r="O4" s="113" t="n">
        <f aca="false">MAX(0.25,R4-Engineering!R8*Engineering!R10)</f>
        <v>0.354</v>
      </c>
      <c r="P4" s="113" t="n">
        <f aca="false">MAX(0.25,S4-Engineering!S8*Engineering!S10)</f>
        <v>0.354</v>
      </c>
      <c r="Q4" s="115"/>
      <c r="R4" s="114" t="n">
        <f aca="false">MAX(0.25,U4-Engineering!U8*Engineering!U10)</f>
        <v>0.356</v>
      </c>
      <c r="S4" s="114" t="n">
        <f aca="false">MAX(0.25,V4-Engineering!V8*Engineering!V10)</f>
        <v>0.356</v>
      </c>
      <c r="T4" s="116"/>
      <c r="U4" s="113" t="n">
        <f aca="false">MAX(0.25,X4-Engineering!X8*Engineering!X10)</f>
        <v>0.358</v>
      </c>
      <c r="V4" s="113" t="n">
        <f aca="false">MAX(0.25,Y4-Engineering!Y8*Engineering!Y10)</f>
        <v>0.358</v>
      </c>
      <c r="W4" s="115"/>
      <c r="X4" s="114" t="n">
        <f aca="false">MAX(0.25,AA4-Engineering!AA8*Engineering!AA10)</f>
        <v>0.36</v>
      </c>
      <c r="Y4" s="114" t="n">
        <f aca="false">MAX(0.25,AB4-Engineering!AB8*Engineering!AB10)</f>
        <v>0.36</v>
      </c>
      <c r="Z4" s="116"/>
      <c r="AA4" s="113" t="n">
        <f aca="false">MAX(0.25,AD4-Engineering!AD8*Engineering!AD10)</f>
        <v>0.362</v>
      </c>
      <c r="AB4" s="113" t="n">
        <f aca="false">MAX(0.25,AE4-Engineering!AE8*Engineering!AE10)</f>
        <v>0.362</v>
      </c>
      <c r="AC4" s="115"/>
      <c r="AD4" s="114" t="n">
        <f aca="false">MAX(0.25,AG4-Engineering!AG8*Engineering!AG10)</f>
        <v>0.364</v>
      </c>
      <c r="AE4" s="114" t="n">
        <f aca="false">MAX(0.25,AH4-Engineering!AH8*Engineering!AH10)</f>
        <v>0.364</v>
      </c>
      <c r="AF4" s="116"/>
      <c r="AG4" s="113" t="n">
        <f aca="false">MAX(0.25,AJ4-Engineering!AJ8*Engineering!AJ10)</f>
        <v>0.366</v>
      </c>
      <c r="AH4" s="113" t="n">
        <f aca="false">MAX(0.25,AK4-Engineering!AK8*Engineering!AK10)</f>
        <v>0.366</v>
      </c>
      <c r="AI4" s="115"/>
      <c r="AJ4" s="114" t="n">
        <f aca="false">MAX(0.25,AM4-Engineering!AM8*Engineering!AM10)</f>
        <v>0.368</v>
      </c>
      <c r="AK4" s="114" t="n">
        <f aca="false">MAX(0.25,AN4-Engineering!AN8*Engineering!AN10)</f>
        <v>0.368</v>
      </c>
      <c r="AL4" s="116"/>
      <c r="AM4" s="113" t="n">
        <f aca="false">MAX(0.25,AP4-Engineering!AP8*Engineering!AP10)</f>
        <v>0.37</v>
      </c>
      <c r="AN4" s="113" t="n">
        <f aca="false">MAX(0.25,AQ4-Engineering!AQ8*Engineering!AQ10)</f>
        <v>0.37</v>
      </c>
      <c r="AO4" s="115"/>
      <c r="AP4" s="114" t="n">
        <f aca="false">MAX(0.25,AS4-Engineering!AS8*Engineering!AS10)</f>
        <v>0.372</v>
      </c>
      <c r="AQ4" s="114" t="n">
        <f aca="false">MAX(0.25,AT4-Engineering!AT8*Engineering!AT10)</f>
        <v>0.372</v>
      </c>
      <c r="AR4" s="116"/>
      <c r="AS4" s="113" t="n">
        <f aca="false">MAX(0.25,AV4-Engineering!AV8*Engineering!AV10)</f>
        <v>0.3735</v>
      </c>
      <c r="AT4" s="113" t="n">
        <f aca="false">MAX(0.25,AW4-Engineering!AW8*Engineering!AW10)</f>
        <v>0.3735</v>
      </c>
      <c r="AU4" s="115"/>
      <c r="AV4" s="114" t="n">
        <f aca="false">MAX(0.25,AY4-Engineering!AY8*Engineering!AY10)</f>
        <v>0.375</v>
      </c>
      <c r="AW4" s="114" t="n">
        <f aca="false">MAX(0.25,AZ4-Engineering!AZ8*Engineering!AZ10)</f>
        <v>0.375</v>
      </c>
      <c r="AX4" s="116"/>
      <c r="AY4" s="113" t="n">
        <f aca="false">MAX(0.25,BB4-Engineering!BB8*Engineering!BB10)</f>
        <v>0.3765</v>
      </c>
      <c r="AZ4" s="113" t="n">
        <f aca="false">MAX(0.25,BC4-Engineering!BC8*Engineering!BC10)</f>
        <v>0.3765</v>
      </c>
      <c r="BA4" s="115"/>
      <c r="BB4" s="114" t="n">
        <f aca="false">MAX(0.25,BE4-Engineering!BE8*Engineering!BE10)</f>
        <v>0.378</v>
      </c>
      <c r="BC4" s="114" t="n">
        <f aca="false">MAX(0.25,BF4-Engineering!BF8*Engineering!BF10)</f>
        <v>0.378</v>
      </c>
      <c r="BD4" s="116"/>
      <c r="BE4" s="113" t="n">
        <f aca="false">MAX(0.25,BH4-Engineering!BH8*Engineering!BH10)</f>
        <v>0.3795</v>
      </c>
      <c r="BF4" s="113" t="n">
        <f aca="false">MAX(0.25,BI4-Engineering!BI8*Engineering!BI10)</f>
        <v>0.3795</v>
      </c>
      <c r="BG4" s="115"/>
      <c r="BH4" s="114" t="n">
        <f aca="false">MAX(0.25,BK4-Engineering!BK8*Engineering!BK10)</f>
        <v>0.381</v>
      </c>
      <c r="BI4" s="114" t="n">
        <f aca="false">MAX(0.25,BL4-Engineering!BL8*Engineering!BL10)</f>
        <v>0.381</v>
      </c>
      <c r="BJ4" s="116"/>
      <c r="BK4" s="113" t="n">
        <f aca="false">MAX(0.25,BN4-Engineering!BN8*Engineering!BN10)</f>
        <v>0.382</v>
      </c>
      <c r="BL4" s="113" t="n">
        <f aca="false">MAX(0.25,BO4-Engineering!BO8*Engineering!BO10)</f>
        <v>0.382</v>
      </c>
      <c r="BM4" s="115"/>
      <c r="BN4" s="114" t="n">
        <f aca="false">MAX(0.25,BQ4-Engineering!BQ8*Engineering!BQ10)</f>
        <v>0.383</v>
      </c>
      <c r="BO4" s="114" t="n">
        <f aca="false">MAX(0.25,BR4-Engineering!BR8*Engineering!BR10)</f>
        <v>0.383</v>
      </c>
      <c r="BP4" s="116"/>
      <c r="BQ4" s="113" t="n">
        <f aca="false">MAX(0.25,BT4-Engineering!BT8*Engineering!BT10)</f>
        <v>0.384</v>
      </c>
      <c r="BR4" s="113" t="n">
        <f aca="false">MAX(0.25,BU4-Engineering!BU8*Engineering!BU10)</f>
        <v>0.384</v>
      </c>
      <c r="BS4" s="115"/>
      <c r="BT4" s="114" t="n">
        <f aca="false">MAX(0.25,BW4-Engineering!BW8*Engineering!BW10)</f>
        <v>0.385</v>
      </c>
      <c r="BU4" s="114" t="n">
        <f aca="false">MAX(0.25,BX4-Engineering!BX8*Engineering!BX10)</f>
        <v>0.385</v>
      </c>
      <c r="BV4" s="116"/>
      <c r="BW4" s="113" t="n">
        <f aca="false">MAX(0.25,BZ4-Engineering!BZ8*Engineering!BZ10)</f>
        <v>0.386</v>
      </c>
      <c r="BX4" s="113" t="n">
        <f aca="false">MAX(0.25,CA4-Engineering!CA8*Engineering!CA10)</f>
        <v>0.386</v>
      </c>
      <c r="BY4" s="115"/>
      <c r="BZ4" s="114" t="n">
        <f aca="false">MAX(0.25,CC4-Engineering!CC8*Engineering!CC10)</f>
        <v>0.387</v>
      </c>
      <c r="CA4" s="114" t="n">
        <f aca="false">MAX(0.25,CD4-Engineering!CD8*Engineering!CD10)</f>
        <v>0.387</v>
      </c>
      <c r="CB4" s="116"/>
      <c r="CC4" s="113" t="n">
        <f aca="false">MAX(0.25,CF4-Engineering!CF8*Engineering!CF10)</f>
        <v>0.388</v>
      </c>
      <c r="CD4" s="113" t="n">
        <f aca="false">MAX(0.25,CG4-Engineering!CG8*Engineering!CG10)</f>
        <v>0.388</v>
      </c>
      <c r="CE4" s="115"/>
      <c r="CF4" s="114" t="n">
        <f aca="false">MAX(0.25,CI4-Engineering!CI8*Engineering!CI10)</f>
        <v>0.389</v>
      </c>
      <c r="CG4" s="114" t="n">
        <f aca="false">MAX(0.25,CJ4-Engineering!CJ8*Engineering!CJ10)</f>
        <v>0.389</v>
      </c>
      <c r="CH4" s="116"/>
      <c r="CI4" s="113" t="n">
        <f aca="false">MAX(0.25,CL4-Engineering!CL8*Engineering!CL10)</f>
        <v>0.39</v>
      </c>
      <c r="CJ4" s="113" t="n">
        <f aca="false">MAX(0.25,CM4-Engineering!CM8*Engineering!CM10)</f>
        <v>0.39</v>
      </c>
      <c r="CK4" s="115"/>
      <c r="CL4" s="114" t="n">
        <f aca="false">MAX(0.25,CO4-Engineering!CO8*Engineering!CO10)</f>
        <v>0.391</v>
      </c>
      <c r="CM4" s="114" t="n">
        <f aca="false">MAX(0.25,CP4-Engineering!CP8*Engineering!CP10)</f>
        <v>0.391</v>
      </c>
      <c r="CN4" s="116"/>
      <c r="CO4" s="113" t="n">
        <f aca="false">MAX(0.25,CR4-Engineering!CR8*Engineering!CR10)</f>
        <v>0.392</v>
      </c>
      <c r="CP4" s="113" t="n">
        <f aca="false">MAX(0.25,CS4-Engineering!CS8*Engineering!CS10)</f>
        <v>0.392</v>
      </c>
      <c r="CQ4" s="115"/>
      <c r="CR4" s="114" t="n">
        <f aca="false">MAX(0.25,CU4-Engineering!CU8*Engineering!CU10)</f>
        <v>0.393</v>
      </c>
      <c r="CS4" s="114" t="n">
        <f aca="false">MAX(0.25,CV4-Engineering!CV8*Engineering!CV10)</f>
        <v>0.393</v>
      </c>
      <c r="CT4" s="116"/>
      <c r="CU4" s="113" t="n">
        <f aca="false">MAX(0.25,CX4-Engineering!CX8*Engineering!CX10)</f>
        <v>0.394</v>
      </c>
      <c r="CV4" s="113" t="n">
        <f aca="false">MAX(0.25,CY4-Engineering!CY8*Engineering!CY10)</f>
        <v>0.394</v>
      </c>
      <c r="CW4" s="115"/>
      <c r="CX4" s="114" t="n">
        <f aca="false">MAX(0.25,DA4-Engineering!DA8*Engineering!DA10)</f>
        <v>0.395</v>
      </c>
      <c r="CY4" s="114" t="n">
        <f aca="false">MAX(0.25,DB4-Engineering!DB8*Engineering!DB10)</f>
        <v>0.395</v>
      </c>
      <c r="CZ4" s="116"/>
      <c r="DA4" s="113" t="n">
        <f aca="false">MAX(0.25,DD4-Engineering!DD8*Engineering!DD10)</f>
        <v>0.396</v>
      </c>
      <c r="DB4" s="113" t="n">
        <f aca="false">MAX(0.25,DE4-Engineering!DE8*Engineering!DE10)</f>
        <v>0.396</v>
      </c>
      <c r="DC4" s="115"/>
      <c r="DD4" s="114" t="n">
        <f aca="false">MAX(0.25,DG4-Engineering!DG8*Engineering!DG10)</f>
        <v>0.397</v>
      </c>
      <c r="DE4" s="114" t="n">
        <f aca="false">MAX(0.25,DH4-Engineering!DH8*Engineering!DH10)</f>
        <v>0.397</v>
      </c>
      <c r="DF4" s="116"/>
      <c r="DG4" s="113" t="n">
        <f aca="false">MAX(0.25,DJ4-Engineering!DJ8*Engineering!DJ10)</f>
        <v>0.398</v>
      </c>
      <c r="DH4" s="113" t="n">
        <f aca="false">MAX(0.25,DK4-Engineering!DK8*Engineering!DK10)</f>
        <v>0.398</v>
      </c>
      <c r="DI4" s="114" t="n">
        <f aca="false">MAX(0.25,DL4-Engineering!DL8*Engineering!DL10)</f>
        <v>0.399</v>
      </c>
      <c r="DJ4" s="114" t="n">
        <f aca="false">MAX(0.25,DM4-Engineering!DM8*Engineering!DM10)</f>
        <v>0.399</v>
      </c>
      <c r="DK4" s="114" t="n">
        <f aca="false">MAX(0.25,DN4-Engineering!DN8*Engineering!DN10)</f>
        <v>0.399</v>
      </c>
      <c r="DL4" s="117" t="n">
        <v>0.4</v>
      </c>
      <c r="DM4" s="113" t="n">
        <f aca="false">IF('Cash Drivers'!DM$26,Support!DL4,Support!DN4)</f>
        <v>0.4</v>
      </c>
      <c r="DN4" s="117" t="n">
        <v>0.4</v>
      </c>
    </row>
    <row r="5" customFormat="false" ht="15" hidden="false" customHeight="false" outlineLevel="0" collapsed="false">
      <c r="A5" s="5" t="s">
        <v>233</v>
      </c>
      <c r="B5" s="23" t="str">
        <f aca="false">IF(COUNT(AR5,AO5,AL5,AI5,AF5,AC5,Z5,W5,T5,Q5,N5,K5)=0,"",SUM(AR5,AO5,AL5,AI5,AF5,AC5,Z5,W5,T5,Q5,N5,K5))</f>
        <v/>
      </c>
      <c r="C5" s="23" t="n">
        <f aca="false">IF(COUNT(AS5,AP5,AM5,AJ5,AG5,AD5,AA5,X5,U5,R5,O5,L5)=0,"",SUM(AS5,AP5,AM5,AJ5,AG5,AD5,AA5,X5,U5,R5,O5,L5))</f>
        <v>6071</v>
      </c>
      <c r="D5" s="23" t="n">
        <f aca="false">IF(COUNT(AT5,AQ5,AN5,AK5,AH5,AE5,AB5,Y5,V5,S5,P5,M5)=0,"",SUM(AT5,AQ5,AN5,AK5,AH5,AE5,AB5,Y5,V5,S5,P5,M5))</f>
        <v>6057</v>
      </c>
      <c r="E5" s="2" t="str">
        <f aca="false">IF(COUNT(CB5,BY5,BV5,BS5,BP5,BM5,BJ5,BG5,BD5,BA5,AX5,AU5)=0,"",SUM(CB5,BY5,BV5,BS5,BP5,BM5,BJ5,BG5,BD5,BA5,AX5,AU5))</f>
        <v/>
      </c>
      <c r="F5" s="2" t="n">
        <f aca="false">IF(COUNT(CC5,BZ5,BW5,BT5,BQ5,BN5,BK5,BH5,BE5,BB5,AY5,AV5)=0,"",SUM(CC5,BZ5,BW5,BT5,BQ5,BN5,BK5,BH5,BE5,BB5,AY5,AV5))</f>
        <v>5061</v>
      </c>
      <c r="G5" s="2" t="n">
        <f aca="false">IF(COUNT(CD5,CA5,BX5,BU5,BR5,BO5,BL5,BI5,BF5,BC5,AZ5,AW5)=0,"",SUM(CD5,CA5,BX5,BU5,BR5,BO5,BL5,BI5,BF5,BC5,AZ5,AW5))</f>
        <v>5047</v>
      </c>
      <c r="H5" s="23" t="n">
        <f aca="false">IF(COUNT(DL5,DI5,DF5,DC5,CZ5,CW5,CT5,CQ5,CN5,CK5,CH5,CE5)=0,"",SUM(DL5,DI5,DF5,DC5,CZ5,CW5,CT5,CQ5,CN5,CK5,CH5,CE5))</f>
        <v>669</v>
      </c>
      <c r="I5" s="23" t="n">
        <f aca="false">IF(COUNT(DM5,DJ5,DG5,DD5,DA5,CX5,CU5,CR5,CO5,CL5,CI5,CF5)=0,"",SUM(DM5,DJ5,DG5,DD5,DA5,CX5,CU5,CR5,CO5,CL5,CI5,CF5))</f>
        <v>4291</v>
      </c>
      <c r="J5" s="23" t="n">
        <f aca="false">IF(COUNT(DN5,DK5,DH5,DE5,DB5,CY5,CV5,CS5,CP5,CM5,CJ5,CG5)=0,"",SUM(DN5,DK5,DH5,DE5,DB5,CY5,CV5,CS5,CP5,CM5,CJ5,CG5))</f>
        <v>4268</v>
      </c>
      <c r="K5" s="2" t="str">
        <f aca="false">IF(COUNT(K3,K4)=2,ROUND(K3*K4,0),"")</f>
        <v/>
      </c>
      <c r="L5" s="2" t="n">
        <f aca="false">ROUND(L3*L4,0)</f>
        <v>548</v>
      </c>
      <c r="M5" s="2" t="n">
        <f aca="false">ROUND(M3*M4,0)</f>
        <v>547</v>
      </c>
      <c r="N5" s="23" t="str">
        <f aca="false">IF(COUNT(N3,N4)=2,ROUND(N3*N4,0),"")</f>
        <v/>
      </c>
      <c r="O5" s="23" t="n">
        <f aca="false">ROUND(O3*O4,0)</f>
        <v>541</v>
      </c>
      <c r="P5" s="23" t="n">
        <f aca="false">ROUND(P3*P4,0)</f>
        <v>539</v>
      </c>
      <c r="Q5" s="2" t="str">
        <f aca="false">IF(COUNT(Q3,Q4)=2,ROUND(Q3*Q4,0),"")</f>
        <v/>
      </c>
      <c r="R5" s="2" t="n">
        <f aca="false">ROUND(R3*R4,0)</f>
        <v>533</v>
      </c>
      <c r="S5" s="2" t="n">
        <f aca="false">ROUND(S3*S4,0)</f>
        <v>532</v>
      </c>
      <c r="T5" s="23" t="str">
        <f aca="false">IF(COUNT(T3,T4)=2,ROUND(T3*T4,0),"")</f>
        <v/>
      </c>
      <c r="U5" s="23" t="n">
        <f aca="false">ROUND(U3*U4,0)</f>
        <v>526</v>
      </c>
      <c r="V5" s="23" t="n">
        <f aca="false">ROUND(V3*V4,0)</f>
        <v>525</v>
      </c>
      <c r="W5" s="2" t="str">
        <f aca="false">IF(COUNT(W3,W4)=2,ROUND(W3*W4,0),"")</f>
        <v/>
      </c>
      <c r="X5" s="2" t="n">
        <f aca="false">ROUND(X3*X4,0)</f>
        <v>518</v>
      </c>
      <c r="Y5" s="2" t="n">
        <f aca="false">ROUND(Y3*Y4,0)</f>
        <v>517</v>
      </c>
      <c r="Z5" s="23" t="str">
        <f aca="false">IF(COUNT(Z3,Z4)=2,ROUND(Z3*Z4,0),"")</f>
        <v/>
      </c>
      <c r="AA5" s="23" t="n">
        <f aca="false">ROUND(AA3*AA4,0)</f>
        <v>511</v>
      </c>
      <c r="AB5" s="23" t="n">
        <f aca="false">ROUND(AB3*AB4,0)</f>
        <v>510</v>
      </c>
      <c r="AC5" s="2" t="str">
        <f aca="false">IF(COUNT(AC3,AC4)=2,ROUND(AC3*AC4,0),"")</f>
        <v/>
      </c>
      <c r="AD5" s="2" t="n">
        <f aca="false">ROUND(AD3*AD4,0)</f>
        <v>503</v>
      </c>
      <c r="AE5" s="2" t="n">
        <f aca="false">ROUND(AE3*AE4,0)</f>
        <v>502</v>
      </c>
      <c r="AF5" s="23" t="str">
        <f aca="false">IF(COUNT(AF3,AF4)=2,ROUND(AF3*AF4,0),"")</f>
        <v/>
      </c>
      <c r="AG5" s="23" t="n">
        <f aca="false">ROUND(AG3*AG4,0)</f>
        <v>494</v>
      </c>
      <c r="AH5" s="23" t="n">
        <f aca="false">ROUND(AH3*AH4,0)</f>
        <v>493</v>
      </c>
      <c r="AI5" s="2" t="str">
        <f aca="false">IF(COUNT(AI3,AI4)=2,ROUND(AI3*AI4,0),"")</f>
        <v/>
      </c>
      <c r="AJ5" s="2" t="n">
        <f aca="false">ROUND(AJ3*AJ4,0)</f>
        <v>486</v>
      </c>
      <c r="AK5" s="2" t="n">
        <f aca="false">ROUND(AK3*AK4,0)</f>
        <v>485</v>
      </c>
      <c r="AL5" s="23" t="str">
        <f aca="false">IF(COUNT(AL3,AL4)=2,ROUND(AL3*AL4,0),"")</f>
        <v/>
      </c>
      <c r="AM5" s="23" t="n">
        <f aca="false">ROUND(AM3*AM4,0)</f>
        <v>478</v>
      </c>
      <c r="AN5" s="23" t="n">
        <f aca="false">ROUND(AN3*AN4,0)</f>
        <v>477</v>
      </c>
      <c r="AO5" s="2" t="str">
        <f aca="false">IF(COUNT(AO3,AO4)=2,ROUND(AO3*AO4,0),"")</f>
        <v/>
      </c>
      <c r="AP5" s="2" t="n">
        <f aca="false">ROUND(AP3*AP4,0)</f>
        <v>469</v>
      </c>
      <c r="AQ5" s="2" t="n">
        <f aca="false">ROUND(AQ3*AQ4,0)</f>
        <v>468</v>
      </c>
      <c r="AR5" s="23" t="str">
        <f aca="false">IF(COUNT(AR3,AR4)=2,ROUND(AR3*AR4,0),"")</f>
        <v/>
      </c>
      <c r="AS5" s="23" t="n">
        <f aca="false">ROUND(AS3*AS4,0)</f>
        <v>464</v>
      </c>
      <c r="AT5" s="23" t="n">
        <f aca="false">ROUND(AT3*AT4,0)</f>
        <v>462</v>
      </c>
      <c r="AU5" s="2" t="str">
        <f aca="false">IF(COUNT(AU3,AU4)=2,ROUND(AU3*AU4,0),"")</f>
        <v/>
      </c>
      <c r="AV5" s="2" t="n">
        <f aca="false">ROUND(AV3*AV4,0)</f>
        <v>458</v>
      </c>
      <c r="AW5" s="2" t="n">
        <f aca="false">ROUND(AW3*AW4,0)</f>
        <v>456</v>
      </c>
      <c r="AX5" s="23" t="str">
        <f aca="false">IF(COUNT(AX3,AX4)=2,ROUND(AX3*AX4,0),"")</f>
        <v/>
      </c>
      <c r="AY5" s="23" t="n">
        <f aca="false">ROUND(AY3*AY4,0)</f>
        <v>451</v>
      </c>
      <c r="AZ5" s="23" t="n">
        <f aca="false">ROUND(AZ3*AZ4,0)</f>
        <v>450</v>
      </c>
      <c r="BA5" s="2" t="str">
        <f aca="false">IF(COUNT(BA3,BA4)=2,ROUND(BA3*BA4,0),"")</f>
        <v/>
      </c>
      <c r="BB5" s="2" t="n">
        <f aca="false">ROUND(BB3*BB4,0)</f>
        <v>445</v>
      </c>
      <c r="BC5" s="2" t="n">
        <f aca="false">ROUND(BC3*BC4,0)</f>
        <v>444</v>
      </c>
      <c r="BD5" s="23" t="str">
        <f aca="false">IF(COUNT(BD3,BD4)=2,ROUND(BD3*BD4,0),"")</f>
        <v/>
      </c>
      <c r="BE5" s="23" t="n">
        <f aca="false">ROUND(BE3*BE4,0)</f>
        <v>439</v>
      </c>
      <c r="BF5" s="23" t="n">
        <f aca="false">ROUND(BF3*BF4,0)</f>
        <v>438</v>
      </c>
      <c r="BG5" s="2" t="str">
        <f aca="false">IF(COUNT(BG3,BG4)=2,ROUND(BG3*BG4,0),"")</f>
        <v/>
      </c>
      <c r="BH5" s="2" t="n">
        <f aca="false">ROUND(BH3*BH4,0)</f>
        <v>433</v>
      </c>
      <c r="BI5" s="2" t="n">
        <f aca="false">ROUND(BI3*BI4,0)</f>
        <v>432</v>
      </c>
      <c r="BJ5" s="23" t="str">
        <f aca="false">IF(COUNT(BJ3,BJ4)=2,ROUND(BJ3*BJ4,0),"")</f>
        <v/>
      </c>
      <c r="BK5" s="23" t="n">
        <f aca="false">ROUND(BK3*BK4,0)</f>
        <v>426</v>
      </c>
      <c r="BL5" s="23" t="n">
        <f aca="false">ROUND(BL3*BL4,0)</f>
        <v>425</v>
      </c>
      <c r="BM5" s="2" t="str">
        <f aca="false">IF(COUNT(BM3,BM4)=2,ROUND(BM3*BM4,0),"")</f>
        <v/>
      </c>
      <c r="BN5" s="2" t="n">
        <f aca="false">ROUND(BN3*BN4,0)</f>
        <v>419</v>
      </c>
      <c r="BO5" s="2" t="n">
        <f aca="false">ROUND(BO3*BO4,0)</f>
        <v>418</v>
      </c>
      <c r="BP5" s="23" t="str">
        <f aca="false">IF(COUNT(BP3,BP4)=2,ROUND(BP3*BP4,0),"")</f>
        <v/>
      </c>
      <c r="BQ5" s="23" t="n">
        <f aca="false">ROUND(BQ3*BQ4,0)</f>
        <v>412</v>
      </c>
      <c r="BR5" s="23" t="n">
        <f aca="false">ROUND(BR3*BR4,0)</f>
        <v>411</v>
      </c>
      <c r="BS5" s="2" t="str">
        <f aca="false">IF(COUNT(BS3,BS4)=2,ROUND(BS3*BS4,0),"")</f>
        <v/>
      </c>
      <c r="BT5" s="2" t="n">
        <f aca="false">ROUND(BT3*BT4,0)</f>
        <v>405</v>
      </c>
      <c r="BU5" s="2" t="n">
        <f aca="false">ROUND(BU3*BU4,0)</f>
        <v>403</v>
      </c>
      <c r="BV5" s="23" t="str">
        <f aca="false">IF(COUNT(BV3,BV4)=2,ROUND(BV3*BV4,0),"")</f>
        <v/>
      </c>
      <c r="BW5" s="23" t="n">
        <f aca="false">ROUND(BW3*BW4,0)</f>
        <v>397</v>
      </c>
      <c r="BX5" s="23" t="n">
        <f aca="false">ROUND(BX3*BX4,0)</f>
        <v>396</v>
      </c>
      <c r="BY5" s="2" t="str">
        <f aca="false">IF(COUNT(BY3,BY4)=2,ROUND(BY3*BY4,0),"")</f>
        <v/>
      </c>
      <c r="BZ5" s="2" t="n">
        <f aca="false">ROUND(BZ3*BZ4,0)</f>
        <v>390</v>
      </c>
      <c r="CA5" s="2" t="n">
        <f aca="false">ROUND(CA3*CA4,0)</f>
        <v>389</v>
      </c>
      <c r="CB5" s="23" t="str">
        <f aca="false">IF(COUNT(CB3,CB4)=2,ROUND(CB3*CB4,0),"")</f>
        <v/>
      </c>
      <c r="CC5" s="23" t="n">
        <f aca="false">ROUND(CC3*CC4,0)</f>
        <v>386</v>
      </c>
      <c r="CD5" s="23" t="n">
        <f aca="false">ROUND(CD3*CD4,0)</f>
        <v>385</v>
      </c>
      <c r="CE5" s="2" t="str">
        <f aca="false">IF(COUNT(CE3,CE4)=2,ROUND(CE3*CE4,0),"")</f>
        <v/>
      </c>
      <c r="CF5" s="2" t="n">
        <f aca="false">ROUND(CF3*CF4,0)</f>
        <v>382</v>
      </c>
      <c r="CG5" s="2" t="n">
        <f aca="false">ROUND(CG3*CG4,0)</f>
        <v>380</v>
      </c>
      <c r="CH5" s="23" t="str">
        <f aca="false">IF(COUNT(CH3,CH4)=2,ROUND(CH3*CH4,0),"")</f>
        <v/>
      </c>
      <c r="CI5" s="23" t="n">
        <f aca="false">ROUND(CI3*CI4,0)</f>
        <v>378</v>
      </c>
      <c r="CJ5" s="23" t="n">
        <f aca="false">ROUND(CJ3*CJ4,0)</f>
        <v>376</v>
      </c>
      <c r="CK5" s="2" t="str">
        <f aca="false">IF(COUNT(CK3,CK4)=2,ROUND(CK3*CK4,0),"")</f>
        <v/>
      </c>
      <c r="CL5" s="2" t="n">
        <f aca="false">ROUND(CL3*CL4,0)</f>
        <v>373</v>
      </c>
      <c r="CM5" s="2" t="n">
        <f aca="false">ROUND(CM3*CM4,0)</f>
        <v>372</v>
      </c>
      <c r="CN5" s="23" t="str">
        <f aca="false">IF(COUNT(CN3,CN4)=2,ROUND(CN3*CN4,0),"")</f>
        <v/>
      </c>
      <c r="CO5" s="23" t="n">
        <f aca="false">ROUND(CO3*CO4,0)</f>
        <v>369</v>
      </c>
      <c r="CP5" s="23" t="n">
        <f aca="false">ROUND(CP3*CP4,0)</f>
        <v>368</v>
      </c>
      <c r="CQ5" s="2" t="str">
        <f aca="false">IF(COUNT(CQ3,CQ4)=2,ROUND(CQ3*CQ4,0),"")</f>
        <v/>
      </c>
      <c r="CR5" s="2" t="n">
        <f aca="false">ROUND(CR3*CR4,0)</f>
        <v>365</v>
      </c>
      <c r="CS5" s="2" t="n">
        <f aca="false">ROUND(CS3*CS4,0)</f>
        <v>364</v>
      </c>
      <c r="CT5" s="23" t="str">
        <f aca="false">IF(COUNT(CT3,CT4)=2,ROUND(CT3*CT4,0),"")</f>
        <v/>
      </c>
      <c r="CU5" s="23" t="n">
        <f aca="false">ROUND(CU3*CU4,0)</f>
        <v>361</v>
      </c>
      <c r="CV5" s="23" t="n">
        <f aca="false">ROUND(CV3*CV4,0)</f>
        <v>360</v>
      </c>
      <c r="CW5" s="2" t="str">
        <f aca="false">IF(COUNT(CW3,CW4)=2,ROUND(CW3*CW4,0),"")</f>
        <v/>
      </c>
      <c r="CX5" s="2" t="n">
        <f aca="false">ROUND(CX3*CX4,0)</f>
        <v>357</v>
      </c>
      <c r="CY5" s="2" t="n">
        <f aca="false">ROUND(CY3*CY4,0)</f>
        <v>356</v>
      </c>
      <c r="CZ5" s="23" t="str">
        <f aca="false">IF(COUNT(CZ3,CZ4)=2,ROUND(CZ3*CZ4,0),"")</f>
        <v/>
      </c>
      <c r="DA5" s="23" t="n">
        <f aca="false">ROUND(DA3*DA4,0)</f>
        <v>352</v>
      </c>
      <c r="DB5" s="23" t="n">
        <f aca="false">ROUND(DB3*DB4,0)</f>
        <v>351</v>
      </c>
      <c r="DC5" s="2" t="str">
        <f aca="false">IF(COUNT(DC3,DC4)=2,ROUND(DC3*DC4,0),"")</f>
        <v/>
      </c>
      <c r="DD5" s="2" t="n">
        <f aca="false">ROUND(DD3*DD4,0)</f>
        <v>347</v>
      </c>
      <c r="DE5" s="2" t="n">
        <f aca="false">ROUND(DE3*DE4,0)</f>
        <v>346</v>
      </c>
      <c r="DF5" s="23" t="str">
        <f aca="false">IF(COUNT(DF3,DF4)=2,ROUND(DF3*DF4,0),"")</f>
        <v/>
      </c>
      <c r="DG5" s="23" t="n">
        <f aca="false">ROUND(DG3*DG4,0)</f>
        <v>338</v>
      </c>
      <c r="DH5" s="23" t="n">
        <f aca="false">ROUND(DH3*DH4,0)</f>
        <v>334</v>
      </c>
      <c r="DI5" s="2" t="n">
        <f aca="false">IF(COUNT(DI3,DI4)=2,ROUND(DI3*DI4,0),"")</f>
        <v>337</v>
      </c>
      <c r="DJ5" s="2" t="n">
        <f aca="false">ROUND(DJ3*DJ4,0)</f>
        <v>337</v>
      </c>
      <c r="DK5" s="2" t="n">
        <f aca="false">ROUND(DK3*DK4,0)</f>
        <v>329</v>
      </c>
      <c r="DL5" s="23" t="n">
        <f aca="false">IF(COUNT(DL3,DL4)=2,ROUND(DL3*DL4,0),"")</f>
        <v>332</v>
      </c>
      <c r="DM5" s="23" t="n">
        <f aca="false">ROUND(DM3*DM4,0)</f>
        <v>332</v>
      </c>
      <c r="DN5" s="23" t="n">
        <f aca="false">ROUND(DN3*DN4,0)</f>
        <v>332</v>
      </c>
    </row>
    <row r="6" customFormat="false" ht="15" hidden="false" customHeight="false" outlineLevel="0" collapsed="false">
      <c r="A6" s="17" t="s">
        <v>234</v>
      </c>
      <c r="B6" s="82" t="str">
        <f aca="false">IF(SUM(AR5,AO5,AL5,AI5,AF5,AC5,Z5,W5,T5,Q5,N5,K5)=0,"",SUM(AR7,AO7,AL7,AI7,AF7,AC7,Z7,W7,T7,Q7,N7,K7)/SUM(AR5,AO5,AL5,AI5,AF5,AC5,Z5,W5,T5,Q5,N5,K5))</f>
        <v/>
      </c>
      <c r="C6" s="82" t="n">
        <f aca="false">IF(SUM(AS5,AP5,AM5,AJ5,AG5,AD5,AA5,X5,U5,R5,O5,L5)=0,"",SUM(AS7,AP7,AM7,AJ7,AG7,AD7,AA7,X7,U7,R7,O7,L7)/SUM(AS5,AP5,AM5,AJ5,AG5,AD5,AA5,X5,U5,R5,O5,L5))</f>
        <v>0.919947290396969</v>
      </c>
      <c r="D6" s="82" t="n">
        <f aca="false">IF(SUM(AT5,AQ5,AN5,AK5,AH5,AE5,AB5,Y5,V5,S5,P5,M5)=0,"",SUM(AT7,AQ7,AN7,AK7,AH7,AE7,AB7,Y7,V7,S7,P7,M7)/SUM(AT5,AQ5,AN5,AK5,AH5,AE5,AB5,Y5,V5,S5,P5,M5))</f>
        <v>0.920092455010731</v>
      </c>
      <c r="E6" s="83" t="str">
        <f aca="false">IF(SUM(CB5,BY5,BV5,BS5,BP5,BM5,BJ5,BG5,BD5,BA5,AX5,AU5)=0,"",SUM(CB7,BY7,BV7,BS7,BP7,BM7,BJ7,BG7,BD7,BA7,AX7,AU7)/SUM(CB5,BY5,BV5,BS5,BP5,BM5,BJ5,BG5,BD5,BA5,AX5,AU5))</f>
        <v/>
      </c>
      <c r="F6" s="83" t="n">
        <f aca="false">IF(SUM(CC5,BZ5,BW5,BT5,BQ5,BN5,BK5,BH5,BE5,BB5,AY5,AV5)=0,"",SUM(CC7,BZ7,BW7,BT7,BQ7,BN7,BK7,BH7,BE7,BB7,AY7,AV7)/SUM(CC5,BZ5,BW5,BT5,BQ5,BN5,BK5,BH5,BE5,BB5,AY5,AV5))</f>
        <v>0.919778699861687</v>
      </c>
      <c r="G6" s="83" t="n">
        <f aca="false">IF(SUM(CD5,CA5,BX5,BU5,BR5,BO5,BL5,BI5,BF5,BC5,AZ5,AW5)=0,"",SUM(CD7,CA7,BX7,BU7,BR7,BO7,BL7,BI7,BF7,BC7,AZ7,AW7)/SUM(CD5,CA5,BX5,BU5,BR5,BO5,BL5,BI5,BF5,BC5,AZ5,AW5))</f>
        <v>0.919952446998217</v>
      </c>
      <c r="H6" s="82" t="n">
        <f aca="false">IF(SUM(DL5,DI5,DF5,DC5,CZ5,CW5,CT5,CQ5,CN5,CK5,CH5,CE5)=0,"",SUM(DL7,DI7,DF7,DC7,CZ7,CW7,CT7,CQ7,CN7,CK7,CH7,CE7)/SUM(DL5,DI5,DF5,DC5,CZ5,CW5,CT5,CQ5,CN5,CK5,CH5,CE5))</f>
        <v>0.919282511210762</v>
      </c>
      <c r="I6" s="82" t="n">
        <f aca="false">IF(SUM(DM5,DJ5,DG5,DD5,DA5,CX5,CU5,CR5,CO5,CL5,CI5,CF5)=0,"",SUM(DM7,DJ7,DG7,DD7,DA7,CX7,CU7,CR7,CO7,CL7,CI7,CF7)/SUM(DM5,DJ5,DG5,DD5,DA5,CX5,CU5,CR5,CO5,CL5,CI5,CF5))</f>
        <v>0.919599161034724</v>
      </c>
      <c r="J6" s="82" t="n">
        <f aca="false">IF(SUM(DN5,DK5,DH5,DE5,DB5,CY5,CV5,CS5,CP5,CM5,CJ5,CG5)=0,"",SUM(DN7,DK7,DH7,DE7,DB7,CY7,CV7,CS7,CP7,CM7,CJ7,CG7)/SUM(DN5,DK5,DH5,DE5,DB5,CY5,CV5,CS5,CP5,CM5,CJ5,CG5))</f>
        <v>0.920103092783505</v>
      </c>
      <c r="K6" s="118"/>
      <c r="L6" s="83" t="n">
        <f aca="false">IF('Cash Drivers'!L$26,Support!K6,Support!M6)</f>
        <v>0.92</v>
      </c>
      <c r="M6" s="84" t="n">
        <v>0.92</v>
      </c>
      <c r="N6" s="119"/>
      <c r="O6" s="82" t="n">
        <f aca="false">IF('Cash Drivers'!O$26,Support!N6,Support!P6)</f>
        <v>0.92</v>
      </c>
      <c r="P6" s="85" t="n">
        <v>0.92</v>
      </c>
      <c r="Q6" s="118"/>
      <c r="R6" s="83" t="n">
        <f aca="false">IF('Cash Drivers'!R$26,Support!Q6,Support!S6)</f>
        <v>0.92</v>
      </c>
      <c r="S6" s="84" t="n">
        <v>0.92</v>
      </c>
      <c r="T6" s="119"/>
      <c r="U6" s="82" t="n">
        <f aca="false">IF('Cash Drivers'!U$26,Support!T6,Support!V6)</f>
        <v>0.92</v>
      </c>
      <c r="V6" s="85" t="n">
        <v>0.92</v>
      </c>
      <c r="W6" s="118"/>
      <c r="X6" s="83" t="n">
        <f aca="false">IF('Cash Drivers'!X$26,Support!W6,Support!Y6)</f>
        <v>0.92</v>
      </c>
      <c r="Y6" s="84" t="n">
        <v>0.92</v>
      </c>
      <c r="Z6" s="119"/>
      <c r="AA6" s="82" t="n">
        <f aca="false">IF('Cash Drivers'!AA$26,Support!Z6,Support!AB6)</f>
        <v>0.92</v>
      </c>
      <c r="AB6" s="85" t="n">
        <v>0.92</v>
      </c>
      <c r="AC6" s="118"/>
      <c r="AD6" s="83" t="n">
        <f aca="false">IF('Cash Drivers'!AD$26,Support!AC6,Support!AE6)</f>
        <v>0.92</v>
      </c>
      <c r="AE6" s="84" t="n">
        <v>0.92</v>
      </c>
      <c r="AF6" s="119"/>
      <c r="AG6" s="82" t="n">
        <f aca="false">IF('Cash Drivers'!AG$26,Support!AF6,Support!AH6)</f>
        <v>0.92</v>
      </c>
      <c r="AH6" s="85" t="n">
        <v>0.92</v>
      </c>
      <c r="AI6" s="118"/>
      <c r="AJ6" s="83" t="n">
        <f aca="false">IF('Cash Drivers'!AJ$26,Support!AI6,Support!AK6)</f>
        <v>0.92</v>
      </c>
      <c r="AK6" s="84" t="n">
        <v>0.92</v>
      </c>
      <c r="AL6" s="119"/>
      <c r="AM6" s="82" t="n">
        <f aca="false">IF('Cash Drivers'!AM$26,Support!AL6,Support!AN6)</f>
        <v>0.92</v>
      </c>
      <c r="AN6" s="85" t="n">
        <v>0.92</v>
      </c>
      <c r="AO6" s="118"/>
      <c r="AP6" s="83" t="n">
        <f aca="false">IF('Cash Drivers'!AP$26,Support!AO6,Support!AQ6)</f>
        <v>0.92</v>
      </c>
      <c r="AQ6" s="84" t="n">
        <v>0.92</v>
      </c>
      <c r="AR6" s="119"/>
      <c r="AS6" s="82" t="n">
        <f aca="false">IF('Cash Drivers'!AS$26,Support!AR6,Support!AT6)</f>
        <v>0.92</v>
      </c>
      <c r="AT6" s="85" t="n">
        <v>0.92</v>
      </c>
      <c r="AU6" s="118"/>
      <c r="AV6" s="83" t="n">
        <f aca="false">IF('Cash Drivers'!AV$26,Support!AU6,Support!AW6)</f>
        <v>0.92</v>
      </c>
      <c r="AW6" s="84" t="n">
        <v>0.92</v>
      </c>
      <c r="AX6" s="119"/>
      <c r="AY6" s="82" t="n">
        <f aca="false">IF('Cash Drivers'!AY$26,Support!AX6,Support!AZ6)</f>
        <v>0.92</v>
      </c>
      <c r="AZ6" s="85" t="n">
        <v>0.92</v>
      </c>
      <c r="BA6" s="118"/>
      <c r="BB6" s="83" t="n">
        <f aca="false">IF('Cash Drivers'!BB$26,Support!BA6,Support!BC6)</f>
        <v>0.92</v>
      </c>
      <c r="BC6" s="84" t="n">
        <v>0.92</v>
      </c>
      <c r="BD6" s="119"/>
      <c r="BE6" s="82" t="n">
        <f aca="false">IF('Cash Drivers'!BE$26,Support!BD6,Support!BF6)</f>
        <v>0.92</v>
      </c>
      <c r="BF6" s="85" t="n">
        <v>0.92</v>
      </c>
      <c r="BG6" s="118"/>
      <c r="BH6" s="83" t="n">
        <f aca="false">IF('Cash Drivers'!BH$26,Support!BG6,Support!BI6)</f>
        <v>0.92</v>
      </c>
      <c r="BI6" s="84" t="n">
        <v>0.92</v>
      </c>
      <c r="BJ6" s="119"/>
      <c r="BK6" s="82" t="n">
        <f aca="false">IF('Cash Drivers'!BK$26,Support!BJ6,Support!BL6)</f>
        <v>0.92</v>
      </c>
      <c r="BL6" s="85" t="n">
        <v>0.92</v>
      </c>
      <c r="BM6" s="118"/>
      <c r="BN6" s="83" t="n">
        <f aca="false">IF('Cash Drivers'!BN$26,Support!BM6,Support!BO6)</f>
        <v>0.92</v>
      </c>
      <c r="BO6" s="84" t="n">
        <v>0.92</v>
      </c>
      <c r="BP6" s="119"/>
      <c r="BQ6" s="82" t="n">
        <f aca="false">IF('Cash Drivers'!BQ$26,Support!BP6,Support!BR6)</f>
        <v>0.92</v>
      </c>
      <c r="BR6" s="85" t="n">
        <v>0.92</v>
      </c>
      <c r="BS6" s="118"/>
      <c r="BT6" s="83" t="n">
        <f aca="false">IF('Cash Drivers'!BT$26,Support!BS6,Support!BU6)</f>
        <v>0.92</v>
      </c>
      <c r="BU6" s="84" t="n">
        <v>0.92</v>
      </c>
      <c r="BV6" s="119"/>
      <c r="BW6" s="82" t="n">
        <f aca="false">IF('Cash Drivers'!BW$26,Support!BV6,Support!BX6)</f>
        <v>0.92</v>
      </c>
      <c r="BX6" s="85" t="n">
        <v>0.92</v>
      </c>
      <c r="BY6" s="118"/>
      <c r="BZ6" s="83" t="n">
        <f aca="false">IF('Cash Drivers'!BZ$26,Support!BY6,Support!CA6)</f>
        <v>0.92</v>
      </c>
      <c r="CA6" s="84" t="n">
        <v>0.92</v>
      </c>
      <c r="CB6" s="119"/>
      <c r="CC6" s="82" t="n">
        <f aca="false">IF('Cash Drivers'!CC$26,Support!CB6,Support!CD6)</f>
        <v>0.92</v>
      </c>
      <c r="CD6" s="85" t="n">
        <v>0.92</v>
      </c>
      <c r="CE6" s="118"/>
      <c r="CF6" s="83" t="n">
        <f aca="false">IF('Cash Drivers'!CF$26,Support!CE6,Support!CG6)</f>
        <v>0.92</v>
      </c>
      <c r="CG6" s="84" t="n">
        <v>0.92</v>
      </c>
      <c r="CH6" s="119"/>
      <c r="CI6" s="82" t="n">
        <f aca="false">IF('Cash Drivers'!CI$26,Support!CH6,Support!CJ6)</f>
        <v>0.92</v>
      </c>
      <c r="CJ6" s="85" t="n">
        <v>0.92</v>
      </c>
      <c r="CK6" s="118"/>
      <c r="CL6" s="83" t="n">
        <f aca="false">IF('Cash Drivers'!CL$26,Support!CK6,Support!CM6)</f>
        <v>0.92</v>
      </c>
      <c r="CM6" s="84" t="n">
        <v>0.92</v>
      </c>
      <c r="CN6" s="119"/>
      <c r="CO6" s="82" t="n">
        <f aca="false">IF('Cash Drivers'!CO$26,Support!CN6,Support!CP6)</f>
        <v>0.92</v>
      </c>
      <c r="CP6" s="85" t="n">
        <v>0.92</v>
      </c>
      <c r="CQ6" s="118"/>
      <c r="CR6" s="83" t="n">
        <f aca="false">IF('Cash Drivers'!CR$26,Support!CQ6,Support!CS6)</f>
        <v>0.92</v>
      </c>
      <c r="CS6" s="84" t="n">
        <v>0.92</v>
      </c>
      <c r="CT6" s="119"/>
      <c r="CU6" s="82" t="n">
        <f aca="false">IF('Cash Drivers'!CU$26,Support!CT6,Support!CV6)</f>
        <v>0.92</v>
      </c>
      <c r="CV6" s="85" t="n">
        <v>0.92</v>
      </c>
      <c r="CW6" s="118"/>
      <c r="CX6" s="83" t="n">
        <f aca="false">IF('Cash Drivers'!CX$26,Support!CW6,Support!CY6)</f>
        <v>0.92</v>
      </c>
      <c r="CY6" s="84" t="n">
        <v>0.92</v>
      </c>
      <c r="CZ6" s="119"/>
      <c r="DA6" s="82" t="n">
        <f aca="false">IF('Cash Drivers'!DA$26,Support!CZ6,Support!DB6)</f>
        <v>0.92</v>
      </c>
      <c r="DB6" s="85" t="n">
        <v>0.92</v>
      </c>
      <c r="DC6" s="118"/>
      <c r="DD6" s="83" t="n">
        <f aca="false">IF('Cash Drivers'!DD$26,Support!DC6,Support!DE6)</f>
        <v>0.92</v>
      </c>
      <c r="DE6" s="84" t="n">
        <v>0.92</v>
      </c>
      <c r="DF6" s="119"/>
      <c r="DG6" s="82" t="n">
        <f aca="false">IF('Cash Drivers'!DG$26,Support!DF6,Support!DH6)</f>
        <v>0.92</v>
      </c>
      <c r="DH6" s="85" t="n">
        <v>0.92</v>
      </c>
      <c r="DI6" s="84" t="n">
        <v>0.92</v>
      </c>
      <c r="DJ6" s="83" t="n">
        <f aca="false">IF('Cash Drivers'!DJ$26,Support!DI6,Support!DK6)</f>
        <v>0.92</v>
      </c>
      <c r="DK6" s="84" t="n">
        <v>0.92</v>
      </c>
      <c r="DL6" s="85" t="n">
        <v>0.92</v>
      </c>
      <c r="DM6" s="82" t="n">
        <f aca="false">IF('Cash Drivers'!DM$26,Support!DL6,Support!DN6)</f>
        <v>0.92</v>
      </c>
      <c r="DN6" s="85" t="n">
        <v>0.92</v>
      </c>
    </row>
    <row r="7" customFormat="false" ht="15" hidden="false" customHeight="false" outlineLevel="0" collapsed="false">
      <c r="A7" s="5" t="s">
        <v>235</v>
      </c>
      <c r="B7" s="23" t="str">
        <f aca="false">IF(COUNT(AR7,AO7,AL7,AI7,AF7,AC7,Z7,W7,T7,Q7,N7,K7)=0,"",SUM(AR7,AO7,AL7,AI7,AF7,AC7,Z7,W7,T7,Q7,N7,K7))</f>
        <v/>
      </c>
      <c r="C7" s="23" t="n">
        <f aca="false">IF(COUNT(AS7,AP7,AM7,AJ7,AG7,AD7,AA7,X7,U7,R7,O7,L7)=0,"",SUM(AS7,AP7,AM7,AJ7,AG7,AD7,AA7,X7,U7,R7,O7,L7))</f>
        <v>5585</v>
      </c>
      <c r="D7" s="23" t="n">
        <f aca="false">IF(COUNT(AT7,AQ7,AN7,AK7,AH7,AE7,AB7,Y7,V7,S7,P7,M7)=0,"",SUM(AT7,AQ7,AN7,AK7,AH7,AE7,AB7,Y7,V7,S7,P7,M7))</f>
        <v>5573</v>
      </c>
      <c r="E7" s="2" t="str">
        <f aca="false">IF(COUNT(CB7,BY7,BV7,BS7,BP7,BM7,BJ7,BG7,BD7,BA7,AX7,AU7)=0,"",SUM(CB7,BY7,BV7,BS7,BP7,BM7,BJ7,BG7,BD7,BA7,AX7,AU7))</f>
        <v/>
      </c>
      <c r="F7" s="2" t="n">
        <f aca="false">IF(COUNT(CC7,BZ7,BW7,BT7,BQ7,BN7,BK7,BH7,BE7,BB7,AY7,AV7)=0,"",SUM(CC7,BZ7,BW7,BT7,BQ7,BN7,BK7,BH7,BE7,BB7,AY7,AV7))</f>
        <v>4655</v>
      </c>
      <c r="G7" s="2" t="n">
        <f aca="false">IF(COUNT(CD7,CA7,BX7,BU7,BR7,BO7,BL7,BI7,BF7,BC7,AZ7,AW7)=0,"",SUM(CD7,CA7,BX7,BU7,BR7,BO7,BL7,BI7,BF7,BC7,AZ7,AW7))</f>
        <v>4643</v>
      </c>
      <c r="H7" s="23" t="n">
        <f aca="false">IF(COUNT(DL7,DI7,DF7,DC7,CZ7,CW7,CT7,CQ7,CN7,CK7,CH7,CE7)=0,"",SUM(DL7,DI7,DF7,DC7,CZ7,CW7,CT7,CQ7,CN7,CK7,CH7,CE7))</f>
        <v>615</v>
      </c>
      <c r="I7" s="23" t="n">
        <f aca="false">IF(COUNT(DM7,DJ7,DG7,DD7,DA7,CX7,CU7,CR7,CO7,CL7,CI7,CF7)=0,"",SUM(DM7,DJ7,DG7,DD7,DA7,CX7,CU7,CR7,CO7,CL7,CI7,CF7))</f>
        <v>3946</v>
      </c>
      <c r="J7" s="23" t="n">
        <f aca="false">IF(COUNT(DN7,DK7,DH7,DE7,DB7,CY7,CV7,CS7,CP7,CM7,CJ7,CG7)=0,"",SUM(DN7,DK7,DH7,DE7,DB7,CY7,CV7,CS7,CP7,CM7,CJ7,CG7))</f>
        <v>3927</v>
      </c>
      <c r="K7" s="2" t="str">
        <f aca="false">IF(COUNT(K5,K6)=2,ROUND(K5*K6,0),"")</f>
        <v/>
      </c>
      <c r="L7" s="2" t="n">
        <f aca="false">ROUND(L5*L6,0)</f>
        <v>504</v>
      </c>
      <c r="M7" s="2" t="n">
        <f aca="false">ROUND(M5*M6,0)</f>
        <v>503</v>
      </c>
      <c r="N7" s="23" t="str">
        <f aca="false">IF(COUNT(N5,N6)=2,ROUND(N5*N6,0),"")</f>
        <v/>
      </c>
      <c r="O7" s="23" t="n">
        <f aca="false">ROUND(O5*O6,0)</f>
        <v>498</v>
      </c>
      <c r="P7" s="23" t="n">
        <f aca="false">ROUND(P5*P6,0)</f>
        <v>496</v>
      </c>
      <c r="Q7" s="2" t="str">
        <f aca="false">IF(COUNT(Q5,Q6)=2,ROUND(Q5*Q6,0),"")</f>
        <v/>
      </c>
      <c r="R7" s="2" t="n">
        <f aca="false">ROUND(R5*R6,0)</f>
        <v>490</v>
      </c>
      <c r="S7" s="2" t="n">
        <f aca="false">ROUND(S5*S6,0)</f>
        <v>489</v>
      </c>
      <c r="T7" s="23" t="str">
        <f aca="false">IF(COUNT(T5,T6)=2,ROUND(T5*T6,0),"")</f>
        <v/>
      </c>
      <c r="U7" s="23" t="n">
        <f aca="false">ROUND(U5*U6,0)</f>
        <v>484</v>
      </c>
      <c r="V7" s="23" t="n">
        <f aca="false">ROUND(V5*V6,0)</f>
        <v>483</v>
      </c>
      <c r="W7" s="2" t="str">
        <f aca="false">IF(COUNT(W5,W6)=2,ROUND(W5*W6,0),"")</f>
        <v/>
      </c>
      <c r="X7" s="2" t="n">
        <f aca="false">ROUND(X5*X6,0)</f>
        <v>477</v>
      </c>
      <c r="Y7" s="2" t="n">
        <f aca="false">ROUND(Y5*Y6,0)</f>
        <v>476</v>
      </c>
      <c r="Z7" s="23" t="str">
        <f aca="false">IF(COUNT(Z5,Z6)=2,ROUND(Z5*Z6,0),"")</f>
        <v/>
      </c>
      <c r="AA7" s="23" t="n">
        <f aca="false">ROUND(AA5*AA6,0)</f>
        <v>470</v>
      </c>
      <c r="AB7" s="23" t="n">
        <f aca="false">ROUND(AB5*AB6,0)</f>
        <v>469</v>
      </c>
      <c r="AC7" s="2" t="str">
        <f aca="false">IF(COUNT(AC5,AC6)=2,ROUND(AC5*AC6,0),"")</f>
        <v/>
      </c>
      <c r="AD7" s="2" t="n">
        <f aca="false">ROUND(AD5*AD6,0)</f>
        <v>463</v>
      </c>
      <c r="AE7" s="2" t="n">
        <f aca="false">ROUND(AE5*AE6,0)</f>
        <v>462</v>
      </c>
      <c r="AF7" s="23" t="str">
        <f aca="false">IF(COUNT(AF5,AF6)=2,ROUND(AF5*AF6,0),"")</f>
        <v/>
      </c>
      <c r="AG7" s="23" t="n">
        <f aca="false">ROUND(AG5*AG6,0)</f>
        <v>454</v>
      </c>
      <c r="AH7" s="23" t="n">
        <f aca="false">ROUND(AH5*AH6,0)</f>
        <v>454</v>
      </c>
      <c r="AI7" s="2" t="str">
        <f aca="false">IF(COUNT(AI5,AI6)=2,ROUND(AI5*AI6,0),"")</f>
        <v/>
      </c>
      <c r="AJ7" s="2" t="n">
        <f aca="false">ROUND(AJ5*AJ6,0)</f>
        <v>447</v>
      </c>
      <c r="AK7" s="2" t="n">
        <f aca="false">ROUND(AK5*AK6,0)</f>
        <v>446</v>
      </c>
      <c r="AL7" s="23" t="str">
        <f aca="false">IF(COUNT(AL5,AL6)=2,ROUND(AL5*AL6,0),"")</f>
        <v/>
      </c>
      <c r="AM7" s="23" t="n">
        <f aca="false">ROUND(AM5*AM6,0)</f>
        <v>440</v>
      </c>
      <c r="AN7" s="23" t="n">
        <f aca="false">ROUND(AN5*AN6,0)</f>
        <v>439</v>
      </c>
      <c r="AO7" s="2" t="str">
        <f aca="false">IF(COUNT(AO5,AO6)=2,ROUND(AO5*AO6,0),"")</f>
        <v/>
      </c>
      <c r="AP7" s="2" t="n">
        <f aca="false">ROUND(AP5*AP6,0)</f>
        <v>431</v>
      </c>
      <c r="AQ7" s="2" t="n">
        <f aca="false">ROUND(AQ5*AQ6,0)</f>
        <v>431</v>
      </c>
      <c r="AR7" s="23" t="str">
        <f aca="false">IF(COUNT(AR5,AR6)=2,ROUND(AR5*AR6,0),"")</f>
        <v/>
      </c>
      <c r="AS7" s="23" t="n">
        <f aca="false">ROUND(AS5*AS6,0)</f>
        <v>427</v>
      </c>
      <c r="AT7" s="23" t="n">
        <f aca="false">ROUND(AT5*AT6,0)</f>
        <v>425</v>
      </c>
      <c r="AU7" s="2" t="str">
        <f aca="false">IF(COUNT(AU5,AU6)=2,ROUND(AU5*AU6,0),"")</f>
        <v/>
      </c>
      <c r="AV7" s="2" t="n">
        <f aca="false">ROUND(AV5*AV6,0)</f>
        <v>421</v>
      </c>
      <c r="AW7" s="2" t="n">
        <f aca="false">ROUND(AW5*AW6,0)</f>
        <v>420</v>
      </c>
      <c r="AX7" s="23" t="str">
        <f aca="false">IF(COUNT(AX5,AX6)=2,ROUND(AX5*AX6,0),"")</f>
        <v/>
      </c>
      <c r="AY7" s="23" t="n">
        <f aca="false">ROUND(AY5*AY6,0)</f>
        <v>415</v>
      </c>
      <c r="AZ7" s="23" t="n">
        <f aca="false">ROUND(AZ5*AZ6,0)</f>
        <v>414</v>
      </c>
      <c r="BA7" s="2" t="str">
        <f aca="false">IF(COUNT(BA5,BA6)=2,ROUND(BA5*BA6,0),"")</f>
        <v/>
      </c>
      <c r="BB7" s="2" t="n">
        <f aca="false">ROUND(BB5*BB6,0)</f>
        <v>409</v>
      </c>
      <c r="BC7" s="2" t="n">
        <f aca="false">ROUND(BC5*BC6,0)</f>
        <v>408</v>
      </c>
      <c r="BD7" s="23" t="str">
        <f aca="false">IF(COUNT(BD5,BD6)=2,ROUND(BD5*BD6,0),"")</f>
        <v/>
      </c>
      <c r="BE7" s="23" t="n">
        <f aca="false">ROUND(BE5*BE6,0)</f>
        <v>404</v>
      </c>
      <c r="BF7" s="23" t="n">
        <f aca="false">ROUND(BF5*BF6,0)</f>
        <v>403</v>
      </c>
      <c r="BG7" s="2" t="str">
        <f aca="false">IF(COUNT(BG5,BG6)=2,ROUND(BG5*BG6,0),"")</f>
        <v/>
      </c>
      <c r="BH7" s="2" t="n">
        <f aca="false">ROUND(BH5*BH6,0)</f>
        <v>398</v>
      </c>
      <c r="BI7" s="2" t="n">
        <f aca="false">ROUND(BI5*BI6,0)</f>
        <v>397</v>
      </c>
      <c r="BJ7" s="23" t="str">
        <f aca="false">IF(COUNT(BJ5,BJ6)=2,ROUND(BJ5*BJ6,0),"")</f>
        <v/>
      </c>
      <c r="BK7" s="23" t="n">
        <f aca="false">ROUND(BK5*BK6,0)</f>
        <v>392</v>
      </c>
      <c r="BL7" s="23" t="n">
        <f aca="false">ROUND(BL5*BL6,0)</f>
        <v>391</v>
      </c>
      <c r="BM7" s="2" t="str">
        <f aca="false">IF(COUNT(BM5,BM6)=2,ROUND(BM5*BM6,0),"")</f>
        <v/>
      </c>
      <c r="BN7" s="2" t="n">
        <f aca="false">ROUND(BN5*BN6,0)</f>
        <v>385</v>
      </c>
      <c r="BO7" s="2" t="n">
        <f aca="false">ROUND(BO5*BO6,0)</f>
        <v>385</v>
      </c>
      <c r="BP7" s="23" t="str">
        <f aca="false">IF(COUNT(BP5,BP6)=2,ROUND(BP5*BP6,0),"")</f>
        <v/>
      </c>
      <c r="BQ7" s="23" t="n">
        <f aca="false">ROUND(BQ5*BQ6,0)</f>
        <v>379</v>
      </c>
      <c r="BR7" s="23" t="n">
        <f aca="false">ROUND(BR5*BR6,0)</f>
        <v>378</v>
      </c>
      <c r="BS7" s="2" t="str">
        <f aca="false">IF(COUNT(BS5,BS6)=2,ROUND(BS5*BS6,0),"")</f>
        <v/>
      </c>
      <c r="BT7" s="2" t="n">
        <f aca="false">ROUND(BT5*BT6,0)</f>
        <v>373</v>
      </c>
      <c r="BU7" s="2" t="n">
        <f aca="false">ROUND(BU5*BU6,0)</f>
        <v>371</v>
      </c>
      <c r="BV7" s="23" t="str">
        <f aca="false">IF(COUNT(BV5,BV6)=2,ROUND(BV5*BV6,0),"")</f>
        <v/>
      </c>
      <c r="BW7" s="23" t="n">
        <f aca="false">ROUND(BW5*BW6,0)</f>
        <v>365</v>
      </c>
      <c r="BX7" s="23" t="n">
        <f aca="false">ROUND(BX5*BX6,0)</f>
        <v>364</v>
      </c>
      <c r="BY7" s="2" t="str">
        <f aca="false">IF(COUNT(BY5,BY6)=2,ROUND(BY5*BY6,0),"")</f>
        <v/>
      </c>
      <c r="BZ7" s="2" t="n">
        <f aca="false">ROUND(BZ5*BZ6,0)</f>
        <v>359</v>
      </c>
      <c r="CA7" s="2" t="n">
        <f aca="false">ROUND(CA5*CA6,0)</f>
        <v>358</v>
      </c>
      <c r="CB7" s="23" t="str">
        <f aca="false">IF(COUNT(CB5,CB6)=2,ROUND(CB5*CB6,0),"")</f>
        <v/>
      </c>
      <c r="CC7" s="23" t="n">
        <f aca="false">ROUND(CC5*CC6,0)</f>
        <v>355</v>
      </c>
      <c r="CD7" s="23" t="n">
        <f aca="false">ROUND(CD5*CD6,0)</f>
        <v>354</v>
      </c>
      <c r="CE7" s="2" t="str">
        <f aca="false">IF(COUNT(CE5,CE6)=2,ROUND(CE5*CE6,0),"")</f>
        <v/>
      </c>
      <c r="CF7" s="2" t="n">
        <f aca="false">ROUND(CF5*CF6,0)</f>
        <v>351</v>
      </c>
      <c r="CG7" s="2" t="n">
        <f aca="false">ROUND(CG5*CG6,0)</f>
        <v>350</v>
      </c>
      <c r="CH7" s="23" t="str">
        <f aca="false">IF(COUNT(CH5,CH6)=2,ROUND(CH5*CH6,0),"")</f>
        <v/>
      </c>
      <c r="CI7" s="23" t="n">
        <f aca="false">ROUND(CI5*CI6,0)</f>
        <v>348</v>
      </c>
      <c r="CJ7" s="23" t="n">
        <f aca="false">ROUND(CJ5*CJ6,0)</f>
        <v>346</v>
      </c>
      <c r="CK7" s="2" t="str">
        <f aca="false">IF(COUNT(CK5,CK6)=2,ROUND(CK5*CK6,0),"")</f>
        <v/>
      </c>
      <c r="CL7" s="2" t="n">
        <f aca="false">ROUND(CL5*CL6,0)</f>
        <v>343</v>
      </c>
      <c r="CM7" s="2" t="n">
        <f aca="false">ROUND(CM5*CM6,0)</f>
        <v>342</v>
      </c>
      <c r="CN7" s="23" t="str">
        <f aca="false">IF(COUNT(CN5,CN6)=2,ROUND(CN5*CN6,0),"")</f>
        <v/>
      </c>
      <c r="CO7" s="23" t="n">
        <f aca="false">ROUND(CO5*CO6,0)</f>
        <v>339</v>
      </c>
      <c r="CP7" s="23" t="n">
        <f aca="false">ROUND(CP5*CP6,0)</f>
        <v>339</v>
      </c>
      <c r="CQ7" s="2" t="str">
        <f aca="false">IF(COUNT(CQ5,CQ6)=2,ROUND(CQ5*CQ6,0),"")</f>
        <v/>
      </c>
      <c r="CR7" s="2" t="n">
        <f aca="false">ROUND(CR5*CR6,0)</f>
        <v>336</v>
      </c>
      <c r="CS7" s="2" t="n">
        <f aca="false">ROUND(CS5*CS6,0)</f>
        <v>335</v>
      </c>
      <c r="CT7" s="23" t="str">
        <f aca="false">IF(COUNT(CT5,CT6)=2,ROUND(CT5*CT6,0),"")</f>
        <v/>
      </c>
      <c r="CU7" s="23" t="n">
        <f aca="false">ROUND(CU5*CU6,0)</f>
        <v>332</v>
      </c>
      <c r="CV7" s="23" t="n">
        <f aca="false">ROUND(CV5*CV6,0)</f>
        <v>331</v>
      </c>
      <c r="CW7" s="2" t="str">
        <f aca="false">IF(COUNT(CW5,CW6)=2,ROUND(CW5*CW6,0),"")</f>
        <v/>
      </c>
      <c r="CX7" s="2" t="n">
        <f aca="false">ROUND(CX5*CX6,0)</f>
        <v>328</v>
      </c>
      <c r="CY7" s="2" t="n">
        <f aca="false">ROUND(CY5*CY6,0)</f>
        <v>328</v>
      </c>
      <c r="CZ7" s="23" t="str">
        <f aca="false">IF(COUNT(CZ5,CZ6)=2,ROUND(CZ5*CZ6,0),"")</f>
        <v/>
      </c>
      <c r="DA7" s="23" t="n">
        <f aca="false">ROUND(DA5*DA6,0)</f>
        <v>324</v>
      </c>
      <c r="DB7" s="23" t="n">
        <f aca="false">ROUND(DB5*DB6,0)</f>
        <v>323</v>
      </c>
      <c r="DC7" s="2" t="str">
        <f aca="false">IF(COUNT(DC5,DC6)=2,ROUND(DC5*DC6,0),"")</f>
        <v/>
      </c>
      <c r="DD7" s="2" t="n">
        <f aca="false">ROUND(DD5*DD6,0)</f>
        <v>319</v>
      </c>
      <c r="DE7" s="2" t="n">
        <f aca="false">ROUND(DE5*DE6,0)</f>
        <v>318</v>
      </c>
      <c r="DF7" s="23" t="str">
        <f aca="false">IF(COUNT(DF5,DF6)=2,ROUND(DF5*DF6,0),"")</f>
        <v/>
      </c>
      <c r="DG7" s="23" t="n">
        <f aca="false">ROUND(DG5*DG6,0)</f>
        <v>311</v>
      </c>
      <c r="DH7" s="23" t="n">
        <f aca="false">ROUND(DH5*DH6,0)</f>
        <v>307</v>
      </c>
      <c r="DI7" s="2" t="n">
        <f aca="false">IF(COUNT(DI5,DI6)=2,ROUND(DI5*DI6,0),"")</f>
        <v>310</v>
      </c>
      <c r="DJ7" s="2" t="n">
        <f aca="false">ROUND(DJ5*DJ6,0)</f>
        <v>310</v>
      </c>
      <c r="DK7" s="2" t="n">
        <f aca="false">ROUND(DK5*DK6,0)</f>
        <v>303</v>
      </c>
      <c r="DL7" s="23" t="n">
        <f aca="false">IF(COUNT(DL5,DL6)=2,ROUND(DL5*DL6,0),"")</f>
        <v>305</v>
      </c>
      <c r="DM7" s="23" t="n">
        <f aca="false">ROUND(DM5*DM6,0)</f>
        <v>305</v>
      </c>
      <c r="DN7" s="23" t="n">
        <f aca="false">ROUND(DN5*DN6,0)</f>
        <v>305</v>
      </c>
    </row>
    <row r="8" customFormat="false" ht="15" hidden="false" customHeight="false" outlineLevel="0" collapsed="false">
      <c r="A8" s="5" t="s">
        <v>236</v>
      </c>
      <c r="B8" s="23" t="str">
        <f aca="false">IF(COUNT(AR8,AO8,AL8,AI8,AF8,AC8,Z8,W8,T8,Q8,N8,K8)=0,"",SUM(AR8,AO8,AL8,AI8,AF8,AC8,Z8,W8,T8,Q8,N8,K8))</f>
        <v/>
      </c>
      <c r="C8" s="23" t="n">
        <f aca="false">IF(COUNT(AS8,AP8,AM8,AJ8,AG8,AD8,AA8,X8,U8,R8,O8,L8)=0,"",SUM(AS8,AP8,AM8,AJ8,AG8,AD8,AA8,X8,U8,R8,O8,L8))</f>
        <v>486</v>
      </c>
      <c r="D8" s="23" t="n">
        <f aca="false">IF(COUNT(AT8,AQ8,AN8,AK8,AH8,AE8,AB8,Y8,V8,S8,P8,M8)=0,"",SUM(AT8,AQ8,AN8,AK8,AH8,AE8,AB8,Y8,V8,S8,P8,M8))</f>
        <v>484</v>
      </c>
      <c r="E8" s="2" t="str">
        <f aca="false">IF(COUNT(CB8,BY8,BV8,BS8,BP8,BM8,BJ8,BG8,BD8,BA8,AX8,AU8)=0,"",SUM(CB8,BY8,BV8,BS8,BP8,BM8,BJ8,BG8,BD8,BA8,AX8,AU8))</f>
        <v/>
      </c>
      <c r="F8" s="2" t="n">
        <f aca="false">IF(COUNT(CC8,BZ8,BW8,BT8,BQ8,BN8,BK8,BH8,BE8,BB8,AY8,AV8)=0,"",SUM(CC8,BZ8,BW8,BT8,BQ8,BN8,BK8,BH8,BE8,BB8,AY8,AV8))</f>
        <v>406</v>
      </c>
      <c r="G8" s="2" t="n">
        <f aca="false">IF(COUNT(CD8,CA8,BX8,BU8,BR8,BO8,BL8,BI8,BF8,BC8,AZ8,AW8)=0,"",SUM(CD8,CA8,BX8,BU8,BR8,BO8,BL8,BI8,BF8,BC8,AZ8,AW8))</f>
        <v>404</v>
      </c>
      <c r="H8" s="23" t="n">
        <f aca="false">IF(COUNT(DL8,DI8,DF8,DC8,CZ8,CW8,CT8,CQ8,CN8,CK8,CH8,CE8)=0,"",SUM(DL8,DI8,DF8,DC8,CZ8,CW8,CT8,CQ8,CN8,CK8,CH8,CE8))</f>
        <v>54</v>
      </c>
      <c r="I8" s="23" t="n">
        <f aca="false">IF(COUNT(DM8,DJ8,DG8,DD8,DA8,CX8,CU8,CR8,CO8,CL8,CI8,CF8)=0,"",SUM(DM8,DJ8,DG8,DD8,DA8,CX8,CU8,CR8,CO8,CL8,CI8,CF8))</f>
        <v>345</v>
      </c>
      <c r="J8" s="23" t="n">
        <f aca="false">IF(COUNT(DN8,DK8,DH8,DE8,DB8,CY8,CV8,CS8,CP8,CM8,CJ8,CG8)=0,"",SUM(DN8,DK8,DH8,DE8,DB8,CY8,CV8,CS8,CP8,CM8,CJ8,CG8))</f>
        <v>341</v>
      </c>
      <c r="K8" s="2" t="str">
        <f aca="false">IF(COUNT(K5,K7)=2,K5-K7,"")</f>
        <v/>
      </c>
      <c r="L8" s="2" t="n">
        <f aca="false">L5-L7</f>
        <v>44</v>
      </c>
      <c r="M8" s="2" t="n">
        <f aca="false">M5-M7</f>
        <v>44</v>
      </c>
      <c r="N8" s="23" t="str">
        <f aca="false">IF(COUNT(N5,N7)=2,N5-N7,"")</f>
        <v/>
      </c>
      <c r="O8" s="23" t="n">
        <f aca="false">O5-O7</f>
        <v>43</v>
      </c>
      <c r="P8" s="23" t="n">
        <f aca="false">P5-P7</f>
        <v>43</v>
      </c>
      <c r="Q8" s="2" t="str">
        <f aca="false">IF(COUNT(Q5,Q7)=2,Q5-Q7,"")</f>
        <v/>
      </c>
      <c r="R8" s="2" t="n">
        <f aca="false">R5-R7</f>
        <v>43</v>
      </c>
      <c r="S8" s="2" t="n">
        <f aca="false">S5-S7</f>
        <v>43</v>
      </c>
      <c r="T8" s="23" t="str">
        <f aca="false">IF(COUNT(T5,T7)=2,T5-T7,"")</f>
        <v/>
      </c>
      <c r="U8" s="23" t="n">
        <f aca="false">U5-U7</f>
        <v>42</v>
      </c>
      <c r="V8" s="23" t="n">
        <f aca="false">V5-V7</f>
        <v>42</v>
      </c>
      <c r="W8" s="2" t="str">
        <f aca="false">IF(COUNT(W5,W7)=2,W5-W7,"")</f>
        <v/>
      </c>
      <c r="X8" s="2" t="n">
        <f aca="false">X5-X7</f>
        <v>41</v>
      </c>
      <c r="Y8" s="2" t="n">
        <f aca="false">Y5-Y7</f>
        <v>41</v>
      </c>
      <c r="Z8" s="23" t="str">
        <f aca="false">IF(COUNT(Z5,Z7)=2,Z5-Z7,"")</f>
        <v/>
      </c>
      <c r="AA8" s="23" t="n">
        <f aca="false">AA5-AA7</f>
        <v>41</v>
      </c>
      <c r="AB8" s="23" t="n">
        <f aca="false">AB5-AB7</f>
        <v>41</v>
      </c>
      <c r="AC8" s="2" t="str">
        <f aca="false">IF(COUNT(AC5,AC7)=2,AC5-AC7,"")</f>
        <v/>
      </c>
      <c r="AD8" s="2" t="n">
        <f aca="false">AD5-AD7</f>
        <v>40</v>
      </c>
      <c r="AE8" s="2" t="n">
        <f aca="false">AE5-AE7</f>
        <v>40</v>
      </c>
      <c r="AF8" s="23" t="str">
        <f aca="false">IF(COUNT(AF5,AF7)=2,AF5-AF7,"")</f>
        <v/>
      </c>
      <c r="AG8" s="23" t="n">
        <f aca="false">AG5-AG7</f>
        <v>40</v>
      </c>
      <c r="AH8" s="23" t="n">
        <f aca="false">AH5-AH7</f>
        <v>39</v>
      </c>
      <c r="AI8" s="2" t="str">
        <f aca="false">IF(COUNT(AI5,AI7)=2,AI5-AI7,"")</f>
        <v/>
      </c>
      <c r="AJ8" s="2" t="n">
        <f aca="false">AJ5-AJ7</f>
        <v>39</v>
      </c>
      <c r="AK8" s="2" t="n">
        <f aca="false">AK5-AK7</f>
        <v>39</v>
      </c>
      <c r="AL8" s="23" t="str">
        <f aca="false">IF(COUNT(AL5,AL7)=2,AL5-AL7,"")</f>
        <v/>
      </c>
      <c r="AM8" s="23" t="n">
        <f aca="false">AM5-AM7</f>
        <v>38</v>
      </c>
      <c r="AN8" s="23" t="n">
        <f aca="false">AN5-AN7</f>
        <v>38</v>
      </c>
      <c r="AO8" s="2" t="str">
        <f aca="false">IF(COUNT(AO5,AO7)=2,AO5-AO7,"")</f>
        <v/>
      </c>
      <c r="AP8" s="2" t="n">
        <f aca="false">AP5-AP7</f>
        <v>38</v>
      </c>
      <c r="AQ8" s="2" t="n">
        <f aca="false">AQ5-AQ7</f>
        <v>37</v>
      </c>
      <c r="AR8" s="23" t="str">
        <f aca="false">IF(COUNT(AR5,AR7)=2,AR5-AR7,"")</f>
        <v/>
      </c>
      <c r="AS8" s="23" t="n">
        <f aca="false">AS5-AS7</f>
        <v>37</v>
      </c>
      <c r="AT8" s="23" t="n">
        <f aca="false">AT5-AT7</f>
        <v>37</v>
      </c>
      <c r="AU8" s="2" t="str">
        <f aca="false">IF(COUNT(AU5,AU7)=2,AU5-AU7,"")</f>
        <v/>
      </c>
      <c r="AV8" s="2" t="n">
        <f aca="false">AV5-AV7</f>
        <v>37</v>
      </c>
      <c r="AW8" s="2" t="n">
        <f aca="false">AW5-AW7</f>
        <v>36</v>
      </c>
      <c r="AX8" s="23" t="str">
        <f aca="false">IF(COUNT(AX5,AX7)=2,AX5-AX7,"")</f>
        <v/>
      </c>
      <c r="AY8" s="23" t="n">
        <f aca="false">AY5-AY7</f>
        <v>36</v>
      </c>
      <c r="AZ8" s="23" t="n">
        <f aca="false">AZ5-AZ7</f>
        <v>36</v>
      </c>
      <c r="BA8" s="2" t="str">
        <f aca="false">IF(COUNT(BA5,BA7)=2,BA5-BA7,"")</f>
        <v/>
      </c>
      <c r="BB8" s="2" t="n">
        <f aca="false">BB5-BB7</f>
        <v>36</v>
      </c>
      <c r="BC8" s="2" t="n">
        <f aca="false">BC5-BC7</f>
        <v>36</v>
      </c>
      <c r="BD8" s="23" t="str">
        <f aca="false">IF(COUNT(BD5,BD7)=2,BD5-BD7,"")</f>
        <v/>
      </c>
      <c r="BE8" s="23" t="n">
        <f aca="false">BE5-BE7</f>
        <v>35</v>
      </c>
      <c r="BF8" s="23" t="n">
        <f aca="false">BF5-BF7</f>
        <v>35</v>
      </c>
      <c r="BG8" s="2" t="str">
        <f aca="false">IF(COUNT(BG5,BG7)=2,BG5-BG7,"")</f>
        <v/>
      </c>
      <c r="BH8" s="2" t="n">
        <f aca="false">BH5-BH7</f>
        <v>35</v>
      </c>
      <c r="BI8" s="2" t="n">
        <f aca="false">BI5-BI7</f>
        <v>35</v>
      </c>
      <c r="BJ8" s="23" t="str">
        <f aca="false">IF(COUNT(BJ5,BJ7)=2,BJ5-BJ7,"")</f>
        <v/>
      </c>
      <c r="BK8" s="23" t="n">
        <f aca="false">BK5-BK7</f>
        <v>34</v>
      </c>
      <c r="BL8" s="23" t="n">
        <f aca="false">BL5-BL7</f>
        <v>34</v>
      </c>
      <c r="BM8" s="2" t="str">
        <f aca="false">IF(COUNT(BM5,BM7)=2,BM5-BM7,"")</f>
        <v/>
      </c>
      <c r="BN8" s="2" t="n">
        <f aca="false">BN5-BN7</f>
        <v>34</v>
      </c>
      <c r="BO8" s="2" t="n">
        <f aca="false">BO5-BO7</f>
        <v>33</v>
      </c>
      <c r="BP8" s="23" t="str">
        <f aca="false">IF(COUNT(BP5,BP7)=2,BP5-BP7,"")</f>
        <v/>
      </c>
      <c r="BQ8" s="23" t="n">
        <f aca="false">BQ5-BQ7</f>
        <v>33</v>
      </c>
      <c r="BR8" s="23" t="n">
        <f aca="false">BR5-BR7</f>
        <v>33</v>
      </c>
      <c r="BS8" s="2" t="str">
        <f aca="false">IF(COUNT(BS5,BS7)=2,BS5-BS7,"")</f>
        <v/>
      </c>
      <c r="BT8" s="2" t="n">
        <f aca="false">BT5-BT7</f>
        <v>32</v>
      </c>
      <c r="BU8" s="2" t="n">
        <f aca="false">BU5-BU7</f>
        <v>32</v>
      </c>
      <c r="BV8" s="23" t="str">
        <f aca="false">IF(COUNT(BV5,BV7)=2,BV5-BV7,"")</f>
        <v/>
      </c>
      <c r="BW8" s="23" t="n">
        <f aca="false">BW5-BW7</f>
        <v>32</v>
      </c>
      <c r="BX8" s="23" t="n">
        <f aca="false">BX5-BX7</f>
        <v>32</v>
      </c>
      <c r="BY8" s="2" t="str">
        <f aca="false">IF(COUNT(BY5,BY7)=2,BY5-BY7,"")</f>
        <v/>
      </c>
      <c r="BZ8" s="2" t="n">
        <f aca="false">BZ5-BZ7</f>
        <v>31</v>
      </c>
      <c r="CA8" s="2" t="n">
        <f aca="false">CA5-CA7</f>
        <v>31</v>
      </c>
      <c r="CB8" s="23" t="str">
        <f aca="false">IF(COUNT(CB5,CB7)=2,CB5-CB7,"")</f>
        <v/>
      </c>
      <c r="CC8" s="23" t="n">
        <f aca="false">CC5-CC7</f>
        <v>31</v>
      </c>
      <c r="CD8" s="23" t="n">
        <f aca="false">CD5-CD7</f>
        <v>31</v>
      </c>
      <c r="CE8" s="2" t="str">
        <f aca="false">IF(COUNT(CE5,CE7)=2,CE5-CE7,"")</f>
        <v/>
      </c>
      <c r="CF8" s="2" t="n">
        <f aca="false">CF5-CF7</f>
        <v>31</v>
      </c>
      <c r="CG8" s="2" t="n">
        <f aca="false">CG5-CG7</f>
        <v>30</v>
      </c>
      <c r="CH8" s="23" t="str">
        <f aca="false">IF(COUNT(CH5,CH7)=2,CH5-CH7,"")</f>
        <v/>
      </c>
      <c r="CI8" s="23" t="n">
        <f aca="false">CI5-CI7</f>
        <v>30</v>
      </c>
      <c r="CJ8" s="23" t="n">
        <f aca="false">CJ5-CJ7</f>
        <v>30</v>
      </c>
      <c r="CK8" s="2" t="str">
        <f aca="false">IF(COUNT(CK5,CK7)=2,CK5-CK7,"")</f>
        <v/>
      </c>
      <c r="CL8" s="2" t="n">
        <f aca="false">CL5-CL7</f>
        <v>30</v>
      </c>
      <c r="CM8" s="2" t="n">
        <f aca="false">CM5-CM7</f>
        <v>30</v>
      </c>
      <c r="CN8" s="23" t="str">
        <f aca="false">IF(COUNT(CN5,CN7)=2,CN5-CN7,"")</f>
        <v/>
      </c>
      <c r="CO8" s="23" t="n">
        <f aca="false">CO5-CO7</f>
        <v>30</v>
      </c>
      <c r="CP8" s="23" t="n">
        <f aca="false">CP5-CP7</f>
        <v>29</v>
      </c>
      <c r="CQ8" s="2" t="str">
        <f aca="false">IF(COUNT(CQ5,CQ7)=2,CQ5-CQ7,"")</f>
        <v/>
      </c>
      <c r="CR8" s="2" t="n">
        <f aca="false">CR5-CR7</f>
        <v>29</v>
      </c>
      <c r="CS8" s="2" t="n">
        <f aca="false">CS5-CS7</f>
        <v>29</v>
      </c>
      <c r="CT8" s="23" t="str">
        <f aca="false">IF(COUNT(CT5,CT7)=2,CT5-CT7,"")</f>
        <v/>
      </c>
      <c r="CU8" s="23" t="n">
        <f aca="false">CU5-CU7</f>
        <v>29</v>
      </c>
      <c r="CV8" s="23" t="n">
        <f aca="false">CV5-CV7</f>
        <v>29</v>
      </c>
      <c r="CW8" s="2" t="str">
        <f aca="false">IF(COUNT(CW5,CW7)=2,CW5-CW7,"")</f>
        <v/>
      </c>
      <c r="CX8" s="2" t="n">
        <f aca="false">CX5-CX7</f>
        <v>29</v>
      </c>
      <c r="CY8" s="2" t="n">
        <f aca="false">CY5-CY7</f>
        <v>28</v>
      </c>
      <c r="CZ8" s="23" t="str">
        <f aca="false">IF(COUNT(CZ5,CZ7)=2,CZ5-CZ7,"")</f>
        <v/>
      </c>
      <c r="DA8" s="23" t="n">
        <f aca="false">DA5-DA7</f>
        <v>28</v>
      </c>
      <c r="DB8" s="23" t="n">
        <f aca="false">DB5-DB7</f>
        <v>28</v>
      </c>
      <c r="DC8" s="2" t="str">
        <f aca="false">IF(COUNT(DC5,DC7)=2,DC5-DC7,"")</f>
        <v/>
      </c>
      <c r="DD8" s="2" t="n">
        <f aca="false">DD5-DD7</f>
        <v>28</v>
      </c>
      <c r="DE8" s="2" t="n">
        <f aca="false">DE5-DE7</f>
        <v>28</v>
      </c>
      <c r="DF8" s="23" t="str">
        <f aca="false">IF(COUNT(DF5,DF7)=2,DF5-DF7,"")</f>
        <v/>
      </c>
      <c r="DG8" s="23" t="n">
        <f aca="false">DG5-DG7</f>
        <v>27</v>
      </c>
      <c r="DH8" s="23" t="n">
        <f aca="false">DH5-DH7</f>
        <v>27</v>
      </c>
      <c r="DI8" s="2" t="n">
        <f aca="false">IF(COUNT(DI5,DI7)=2,DI5-DI7,"")</f>
        <v>27</v>
      </c>
      <c r="DJ8" s="2" t="n">
        <f aca="false">DJ5-DJ7</f>
        <v>27</v>
      </c>
      <c r="DK8" s="2" t="n">
        <f aca="false">DK5-DK7</f>
        <v>26</v>
      </c>
      <c r="DL8" s="23" t="n">
        <f aca="false">IF(COUNT(DL5,DL7)=2,DL5-DL7,"")</f>
        <v>27</v>
      </c>
      <c r="DM8" s="23" t="n">
        <f aca="false">DM5-DM7</f>
        <v>27</v>
      </c>
      <c r="DN8" s="23" t="n">
        <f aca="false">DN5-DN7</f>
        <v>27</v>
      </c>
    </row>
    <row r="9" customFormat="false" ht="15" hidden="false" customHeight="false" outlineLevel="0" collapsed="false">
      <c r="A9" s="17" t="s">
        <v>237</v>
      </c>
      <c r="B9" s="120" t="str">
        <f aca="false">IF(SUM(AR10,AO10,AL10,AI10,AF10,AC10,Z10,W10,T10,Q10,N10,K10)=0,"",SUM(AR8,AO8,AL8,AI8,AF8,AC8,Z8,W8,T8,Q8,N8,K8)/SUM(AR10,AO10,AL10,AI10,AF10,AC10,Z10,W10,T10,Q10,N10,K10))</f>
        <v/>
      </c>
      <c r="C9" s="120" t="n">
        <f aca="false">IF(SUM(AS10,AP10,AM10,AJ10,AG10,AD10,AA10,X10,U10,R10,O10,L10)=0,"",SUM(AS8,AP8,AM8,AJ8,AG8,AD8,AA8,X8,U8,R8,O8,L8)/SUM(AS10,AP10,AM10,AJ10,AG10,AD10,AA10,X10,U10,R10,O10,L10))</f>
        <v>1.19704433497537</v>
      </c>
      <c r="D9" s="120" t="n">
        <f aca="false">IF(SUM(AT10,AQ10,AN10,AK10,AH10,AE10,AB10,Y10,V10,S10,P10,M10)=0,"",SUM(AT8,AQ8,AN8,AK8,AH8,AE8,AB8,Y8,V8,S8,P8,M8)/SUM(AT10,AQ10,AN10,AK10,AH10,AE10,AB10,Y10,V10,S10,P10,M10))</f>
        <v>1.19506172839506</v>
      </c>
      <c r="E9" s="121" t="str">
        <f aca="false">IF(SUM(CB10,BY10,BV10,BS10,BP10,BM10,BJ10,BG10,BD10,BA10,AX10,AU10)=0,"",SUM(CB8,BY8,BV8,BS8,BP8,BM8,BJ8,BG8,BD8,BA8,AX8,AU8)/SUM(CB10,BY10,BV10,BS10,BP10,BM10,BJ10,BG10,BD10,BA10,AX10,AU10))</f>
        <v/>
      </c>
      <c r="F9" s="121" t="n">
        <f aca="false">IF(SUM(CC10,BZ10,BW10,BT10,BQ10,BN10,BK10,BH10,BE10,BB10,AY10,AV10)=0,"",SUM(CC8,BZ8,BW8,BT8,BQ8,BN8,BK8,BH8,BE8,BB8,AY8,AV8)/SUM(CC10,BZ10,BW10,BT10,BQ10,BN10,BK10,BH10,BE10,BB10,AY10,AV10))</f>
        <v>1.1976401179941</v>
      </c>
      <c r="G9" s="121" t="n">
        <f aca="false">IF(SUM(CD10,CA10,BX10,BU10,BR10,BO10,BL10,BI10,BF10,BC10,AZ10,AW10)=0,"",SUM(CD8,CA8,BX8,BU8,BR8,BO8,BL8,BI8,BF8,BC8,AZ8,AW8)/SUM(CD10,CA10,BX10,BU10,BR10,BO10,BL10,BI10,BF10,BC10,AZ10,AW10))</f>
        <v>1.19526627218935</v>
      </c>
      <c r="H9" s="120" t="n">
        <f aca="false">IF(SUM(DL10,DI10,DF10,DC10,CZ10,CW10,CT10,CQ10,CN10,CK10,CH10,CE10)=0,"",SUM(DL8,DI8,DF8,DC8,CZ8,CW8,CT8,CQ8,CN8,CK8,CH8,CE8)/SUM(DL10,DI10,DF10,DC10,CZ10,CW10,CT10,CQ10,CN10,CK10,CH10,CE10))</f>
        <v>1.17391304347826</v>
      </c>
      <c r="I9" s="120" t="n">
        <f aca="false">IF(SUM(DM10,DJ10,DG10,DD10,DA10,CX10,CU10,CR10,CO10,CL10,CI10,CF10)=0,"",SUM(DM8,DJ8,DG8,DD8,DA8,CX8,CU8,CR8,CO8,CL8,CI8,CF8)/SUM(DM10,DJ10,DG10,DD10,DA10,CX10,CU10,CR10,CO10,CL10,CI10,CF10))</f>
        <v>1.19791666666667</v>
      </c>
      <c r="J9" s="120" t="n">
        <f aca="false">IF(SUM(DN10,DK10,DH10,DE10,DB10,CY10,CV10,CS10,CP10,CM10,CJ10,CG10)=0,"",SUM(DN8,DK8,DH8,DE8,DB8,CY8,CV8,CS8,CP8,CM8,CJ8,CG8)/SUM(DN10,DK10,DH10,DE10,DB10,CY10,CV10,CS10,CP10,CM10,CJ10,CG10))</f>
        <v>1.20070422535211</v>
      </c>
      <c r="K9" s="29"/>
      <c r="L9" s="121" t="n">
        <f aca="false">IF('Cash Drivers'!L$26,Support!K9,Support!M9)</f>
        <v>1.2</v>
      </c>
      <c r="M9" s="122" t="n">
        <v>1.2</v>
      </c>
      <c r="N9" s="123"/>
      <c r="O9" s="120" t="n">
        <f aca="false">IF('Cash Drivers'!O$26,Support!N9,Support!P9)</f>
        <v>1.2</v>
      </c>
      <c r="P9" s="124" t="n">
        <v>1.2</v>
      </c>
      <c r="Q9" s="29"/>
      <c r="R9" s="121" t="n">
        <f aca="false">IF('Cash Drivers'!R$26,Support!Q9,Support!S9)</f>
        <v>1.2</v>
      </c>
      <c r="S9" s="122" t="n">
        <v>1.2</v>
      </c>
      <c r="T9" s="123"/>
      <c r="U9" s="120" t="n">
        <f aca="false">IF('Cash Drivers'!U$26,Support!T9,Support!V9)</f>
        <v>1.2</v>
      </c>
      <c r="V9" s="124" t="n">
        <v>1.2</v>
      </c>
      <c r="W9" s="29"/>
      <c r="X9" s="121" t="n">
        <f aca="false">IF('Cash Drivers'!X$26,Support!W9,Support!Y9)</f>
        <v>1.2</v>
      </c>
      <c r="Y9" s="122" t="n">
        <v>1.2</v>
      </c>
      <c r="Z9" s="123"/>
      <c r="AA9" s="120" t="n">
        <f aca="false">IF('Cash Drivers'!AA$26,Support!Z9,Support!AB9)</f>
        <v>1.2</v>
      </c>
      <c r="AB9" s="124" t="n">
        <v>1.2</v>
      </c>
      <c r="AC9" s="29"/>
      <c r="AD9" s="121" t="n">
        <f aca="false">IF('Cash Drivers'!AD$26,Support!AC9,Support!AE9)</f>
        <v>1.2</v>
      </c>
      <c r="AE9" s="122" t="n">
        <v>1.2</v>
      </c>
      <c r="AF9" s="123"/>
      <c r="AG9" s="120" t="n">
        <f aca="false">IF('Cash Drivers'!AG$26,Support!AF9,Support!AH9)</f>
        <v>1.2</v>
      </c>
      <c r="AH9" s="124" t="n">
        <v>1.2</v>
      </c>
      <c r="AI9" s="29"/>
      <c r="AJ9" s="121" t="n">
        <f aca="false">IF('Cash Drivers'!AJ$26,Support!AI9,Support!AK9)</f>
        <v>1.2</v>
      </c>
      <c r="AK9" s="122" t="n">
        <v>1.2</v>
      </c>
      <c r="AL9" s="123"/>
      <c r="AM9" s="120" t="n">
        <f aca="false">IF('Cash Drivers'!AM$26,Support!AL9,Support!AN9)</f>
        <v>1.2</v>
      </c>
      <c r="AN9" s="124" t="n">
        <v>1.2</v>
      </c>
      <c r="AO9" s="29"/>
      <c r="AP9" s="121" t="n">
        <f aca="false">IF('Cash Drivers'!AP$26,Support!AO9,Support!AQ9)</f>
        <v>1.2</v>
      </c>
      <c r="AQ9" s="122" t="n">
        <v>1.2</v>
      </c>
      <c r="AR9" s="123"/>
      <c r="AS9" s="120" t="n">
        <f aca="false">IF('Cash Drivers'!AS$26,Support!AR9,Support!AT9)</f>
        <v>1.2</v>
      </c>
      <c r="AT9" s="124" t="n">
        <v>1.2</v>
      </c>
      <c r="AU9" s="29"/>
      <c r="AV9" s="121" t="n">
        <f aca="false">IF('Cash Drivers'!AV$26,Support!AU9,Support!AW9)</f>
        <v>1.2</v>
      </c>
      <c r="AW9" s="122" t="n">
        <v>1.2</v>
      </c>
      <c r="AX9" s="123"/>
      <c r="AY9" s="120" t="n">
        <f aca="false">IF('Cash Drivers'!AY$26,Support!AX9,Support!AZ9)</f>
        <v>1.2</v>
      </c>
      <c r="AZ9" s="124" t="n">
        <v>1.2</v>
      </c>
      <c r="BA9" s="29"/>
      <c r="BB9" s="121" t="n">
        <f aca="false">IF('Cash Drivers'!BB$26,Support!BA9,Support!BC9)</f>
        <v>1.2</v>
      </c>
      <c r="BC9" s="122" t="n">
        <v>1.2</v>
      </c>
      <c r="BD9" s="123"/>
      <c r="BE9" s="120" t="n">
        <f aca="false">IF('Cash Drivers'!BE$26,Support!BD9,Support!BF9)</f>
        <v>1.2</v>
      </c>
      <c r="BF9" s="124" t="n">
        <v>1.2</v>
      </c>
      <c r="BG9" s="29"/>
      <c r="BH9" s="121" t="n">
        <f aca="false">IF('Cash Drivers'!BH$26,Support!BG9,Support!BI9)</f>
        <v>1.2</v>
      </c>
      <c r="BI9" s="122" t="n">
        <v>1.2</v>
      </c>
      <c r="BJ9" s="123"/>
      <c r="BK9" s="120" t="n">
        <f aca="false">IF('Cash Drivers'!BK$26,Support!BJ9,Support!BL9)</f>
        <v>1.2</v>
      </c>
      <c r="BL9" s="124" t="n">
        <v>1.2</v>
      </c>
      <c r="BM9" s="29"/>
      <c r="BN9" s="121" t="n">
        <f aca="false">IF('Cash Drivers'!BN$26,Support!BM9,Support!BO9)</f>
        <v>1.2</v>
      </c>
      <c r="BO9" s="122" t="n">
        <v>1.2</v>
      </c>
      <c r="BP9" s="123"/>
      <c r="BQ9" s="120" t="n">
        <f aca="false">IF('Cash Drivers'!BQ$26,Support!BP9,Support!BR9)</f>
        <v>1.2</v>
      </c>
      <c r="BR9" s="124" t="n">
        <v>1.2</v>
      </c>
      <c r="BS9" s="29"/>
      <c r="BT9" s="121" t="n">
        <f aca="false">IF('Cash Drivers'!BT$26,Support!BS9,Support!BU9)</f>
        <v>1.2</v>
      </c>
      <c r="BU9" s="122" t="n">
        <v>1.2</v>
      </c>
      <c r="BV9" s="123"/>
      <c r="BW9" s="120" t="n">
        <f aca="false">IF('Cash Drivers'!BW$26,Support!BV9,Support!BX9)</f>
        <v>1.2</v>
      </c>
      <c r="BX9" s="124" t="n">
        <v>1.2</v>
      </c>
      <c r="BY9" s="29"/>
      <c r="BZ9" s="121" t="n">
        <f aca="false">IF('Cash Drivers'!BZ$26,Support!BY9,Support!CA9)</f>
        <v>1.2</v>
      </c>
      <c r="CA9" s="122" t="n">
        <v>1.2</v>
      </c>
      <c r="CB9" s="123"/>
      <c r="CC9" s="120" t="n">
        <f aca="false">IF('Cash Drivers'!CC$26,Support!CB9,Support!CD9)</f>
        <v>1.2</v>
      </c>
      <c r="CD9" s="124" t="n">
        <v>1.2</v>
      </c>
      <c r="CE9" s="29"/>
      <c r="CF9" s="121" t="n">
        <f aca="false">IF('Cash Drivers'!CF$26,Support!CE9,Support!CG9)</f>
        <v>1.2</v>
      </c>
      <c r="CG9" s="122" t="n">
        <v>1.2</v>
      </c>
      <c r="CH9" s="123"/>
      <c r="CI9" s="120" t="n">
        <f aca="false">IF('Cash Drivers'!CI$26,Support!CH9,Support!CJ9)</f>
        <v>1.2</v>
      </c>
      <c r="CJ9" s="124" t="n">
        <v>1.2</v>
      </c>
      <c r="CK9" s="29"/>
      <c r="CL9" s="121" t="n">
        <f aca="false">IF('Cash Drivers'!CL$26,Support!CK9,Support!CM9)</f>
        <v>1.2</v>
      </c>
      <c r="CM9" s="122" t="n">
        <v>1.2</v>
      </c>
      <c r="CN9" s="123"/>
      <c r="CO9" s="120" t="n">
        <f aca="false">IF('Cash Drivers'!CO$26,Support!CN9,Support!CP9)</f>
        <v>1.2</v>
      </c>
      <c r="CP9" s="124" t="n">
        <v>1.2</v>
      </c>
      <c r="CQ9" s="29"/>
      <c r="CR9" s="121" t="n">
        <f aca="false">IF('Cash Drivers'!CR$26,Support!CQ9,Support!CS9)</f>
        <v>1.2</v>
      </c>
      <c r="CS9" s="122" t="n">
        <v>1.2</v>
      </c>
      <c r="CT9" s="123"/>
      <c r="CU9" s="120" t="n">
        <f aca="false">IF('Cash Drivers'!CU$26,Support!CT9,Support!CV9)</f>
        <v>1.2</v>
      </c>
      <c r="CV9" s="124" t="n">
        <v>1.2</v>
      </c>
      <c r="CW9" s="29"/>
      <c r="CX9" s="121" t="n">
        <f aca="false">IF('Cash Drivers'!CX$26,Support!CW9,Support!CY9)</f>
        <v>1.2</v>
      </c>
      <c r="CY9" s="122" t="n">
        <v>1.2</v>
      </c>
      <c r="CZ9" s="123"/>
      <c r="DA9" s="120" t="n">
        <f aca="false">IF('Cash Drivers'!DA$26,Support!CZ9,Support!DB9)</f>
        <v>1.2</v>
      </c>
      <c r="DB9" s="124" t="n">
        <v>1.2</v>
      </c>
      <c r="DC9" s="29"/>
      <c r="DD9" s="121" t="n">
        <f aca="false">IF('Cash Drivers'!DD$26,Support!DC9,Support!DE9)</f>
        <v>1.2</v>
      </c>
      <c r="DE9" s="122" t="n">
        <v>1.2</v>
      </c>
      <c r="DF9" s="123"/>
      <c r="DG9" s="120" t="n">
        <f aca="false">IF('Cash Drivers'!DG$26,Support!DF9,Support!DH9)</f>
        <v>1.2</v>
      </c>
      <c r="DH9" s="124" t="n">
        <v>1.2</v>
      </c>
      <c r="DI9" s="122" t="n">
        <v>1.2</v>
      </c>
      <c r="DJ9" s="121" t="n">
        <f aca="false">IF('Cash Drivers'!DJ$26,Support!DI9,Support!DK9)</f>
        <v>1.2</v>
      </c>
      <c r="DK9" s="122" t="n">
        <v>1.2</v>
      </c>
      <c r="DL9" s="124" t="n">
        <v>1.2</v>
      </c>
      <c r="DM9" s="120" t="n">
        <f aca="false">IF('Cash Drivers'!DM$26,Support!DL9,Support!DN9)</f>
        <v>1.2</v>
      </c>
      <c r="DN9" s="124" t="n">
        <v>1.2</v>
      </c>
    </row>
    <row r="10" customFormat="false" ht="15" hidden="false" customHeight="false" outlineLevel="0" collapsed="false">
      <c r="A10" s="26" t="s">
        <v>238</v>
      </c>
      <c r="B10" s="86" t="str">
        <f aca="false">IF(COUNT(AR10,AO10,AL10,AI10,AF10,AC10,Z10,W10,T10,Q10,N10,K10)=0,"",SUM(AR10,AO10,AL10,AI10,AF10,AC10,Z10,W10,T10,Q10,N10,K10))</f>
        <v/>
      </c>
      <c r="C10" s="86" t="n">
        <f aca="false">IF(COUNT(AS10,AP10,AM10,AJ10,AG10,AD10,AA10,X10,U10,R10,O10,L10)=0,"",SUM(AS10,AP10,AM10,AJ10,AG10,AD10,AA10,X10,U10,R10,O10,L10))</f>
        <v>406</v>
      </c>
      <c r="D10" s="86" t="n">
        <f aca="false">IF(COUNT(AT10,AQ10,AN10,AK10,AH10,AE10,AB10,Y10,V10,S10,P10,M10)=0,"",SUM(AT10,AQ10,AN10,AK10,AH10,AE10,AB10,Y10,V10,S10,P10,M10))</f>
        <v>405</v>
      </c>
      <c r="E10" s="87" t="str">
        <f aca="false">IF(COUNT(CB10,BY10,BV10,BS10,BP10,BM10,BJ10,BG10,BD10,BA10,AX10,AU10)=0,"",SUM(CB10,BY10,BV10,BS10,BP10,BM10,BJ10,BG10,BD10,BA10,AX10,AU10))</f>
        <v/>
      </c>
      <c r="F10" s="87" t="n">
        <f aca="false">IF(COUNT(CC10,BZ10,BW10,BT10,BQ10,BN10,BK10,BH10,BE10,BB10,AY10,AV10)=0,"",SUM(CC10,BZ10,BW10,BT10,BQ10,BN10,BK10,BH10,BE10,BB10,AY10,AV10))</f>
        <v>339</v>
      </c>
      <c r="G10" s="87" t="n">
        <f aca="false">IF(COUNT(CD10,CA10,BX10,BU10,BR10,BO10,BL10,BI10,BF10,BC10,AZ10,AW10)=0,"",SUM(CD10,CA10,BX10,BU10,BR10,BO10,BL10,BI10,BF10,BC10,AZ10,AW10))</f>
        <v>338</v>
      </c>
      <c r="H10" s="86" t="n">
        <f aca="false">IF(COUNT(DL10,DI10,DF10,DC10,CZ10,CW10,CT10,CQ10,CN10,CK10,CH10,CE10)=0,"",SUM(DL10,DI10,DF10,DC10,CZ10,CW10,CT10,CQ10,CN10,CK10,CH10,CE10))</f>
        <v>46</v>
      </c>
      <c r="I10" s="86" t="n">
        <f aca="false">IF(COUNT(DM10,DJ10,DG10,DD10,DA10,CX10,CU10,CR10,CO10,CL10,CI10,CF10)=0,"",SUM(DM10,DJ10,DG10,DD10,DA10,CX10,CU10,CR10,CO10,CL10,CI10,CF10))</f>
        <v>288</v>
      </c>
      <c r="J10" s="86" t="n">
        <f aca="false">IF(COUNT(DN10,DK10,DH10,DE10,DB10,CY10,CV10,CS10,CP10,CM10,CJ10,CG10)=0,"",SUM(DN10,DK10,DH10,DE10,DB10,CY10,CV10,CS10,CP10,CM10,CJ10,CG10))</f>
        <v>284</v>
      </c>
      <c r="K10" s="87" t="str">
        <f aca="false">IF(COUNT(K8,K9)=2,IF(N(K9)=0,"",ROUND(K8/K9,0)),"")</f>
        <v/>
      </c>
      <c r="L10" s="87" t="n">
        <f aca="false">IF(N(L9)=0,"",ROUND(L8/L9,0))</f>
        <v>37</v>
      </c>
      <c r="M10" s="87" t="n">
        <f aca="false">IF(N(M9)=0,"",ROUND(M8/M9,0))</f>
        <v>37</v>
      </c>
      <c r="N10" s="86" t="str">
        <f aca="false">IF(COUNT(N8,N9)=2,IF(N(N9)=0,"",ROUND(N8/N9,0)),"")</f>
        <v/>
      </c>
      <c r="O10" s="86" t="n">
        <f aca="false">IF(N(O9)=0,"",ROUND(O8/O9,0))</f>
        <v>36</v>
      </c>
      <c r="P10" s="86" t="n">
        <f aca="false">IF(N(P9)=0,"",ROUND(P8/P9,0))</f>
        <v>36</v>
      </c>
      <c r="Q10" s="87" t="str">
        <f aca="false">IF(COUNT(Q8,Q9)=2,IF(N(Q9)=0,"",ROUND(Q8/Q9,0)),"")</f>
        <v/>
      </c>
      <c r="R10" s="87" t="n">
        <f aca="false">IF(N(R9)=0,"",ROUND(R8/R9,0))</f>
        <v>36</v>
      </c>
      <c r="S10" s="87" t="n">
        <f aca="false">IF(N(S9)=0,"",ROUND(S8/S9,0))</f>
        <v>36</v>
      </c>
      <c r="T10" s="86" t="str">
        <f aca="false">IF(COUNT(T8,T9)=2,IF(N(T9)=0,"",ROUND(T8/T9,0)),"")</f>
        <v/>
      </c>
      <c r="U10" s="86" t="n">
        <f aca="false">IF(N(U9)=0,"",ROUND(U8/U9,0))</f>
        <v>35</v>
      </c>
      <c r="V10" s="86" t="n">
        <f aca="false">IF(N(V9)=0,"",ROUND(V8/V9,0))</f>
        <v>35</v>
      </c>
      <c r="W10" s="87" t="str">
        <f aca="false">IF(COUNT(W8,W9)=2,IF(N(W9)=0,"",ROUND(W8/W9,0)),"")</f>
        <v/>
      </c>
      <c r="X10" s="87" t="n">
        <f aca="false">IF(N(X9)=0,"",ROUND(X8/X9,0))</f>
        <v>34</v>
      </c>
      <c r="Y10" s="87" t="n">
        <f aca="false">IF(N(Y9)=0,"",ROUND(Y8/Y9,0))</f>
        <v>34</v>
      </c>
      <c r="Z10" s="86" t="str">
        <f aca="false">IF(COUNT(Z8,Z9)=2,IF(N(Z9)=0,"",ROUND(Z8/Z9,0)),"")</f>
        <v/>
      </c>
      <c r="AA10" s="86" t="n">
        <f aca="false">IF(N(AA9)=0,"",ROUND(AA8/AA9,0))</f>
        <v>34</v>
      </c>
      <c r="AB10" s="86" t="n">
        <f aca="false">IF(N(AB9)=0,"",ROUND(AB8/AB9,0))</f>
        <v>34</v>
      </c>
      <c r="AC10" s="87" t="str">
        <f aca="false">IF(COUNT(AC8,AC9)=2,IF(N(AC9)=0,"",ROUND(AC8/AC9,0)),"")</f>
        <v/>
      </c>
      <c r="AD10" s="87" t="n">
        <f aca="false">IF(N(AD9)=0,"",ROUND(AD8/AD9,0))</f>
        <v>33</v>
      </c>
      <c r="AE10" s="87" t="n">
        <f aca="false">IF(N(AE9)=0,"",ROUND(AE8/AE9,0))</f>
        <v>33</v>
      </c>
      <c r="AF10" s="86" t="str">
        <f aca="false">IF(COUNT(AF8,AF9)=2,IF(N(AF9)=0,"",ROUND(AF8/AF9,0)),"")</f>
        <v/>
      </c>
      <c r="AG10" s="86" t="n">
        <f aca="false">IF(N(AG9)=0,"",ROUND(AG8/AG9,0))</f>
        <v>33</v>
      </c>
      <c r="AH10" s="86" t="n">
        <f aca="false">IF(N(AH9)=0,"",ROUND(AH8/AH9,0))</f>
        <v>33</v>
      </c>
      <c r="AI10" s="87" t="str">
        <f aca="false">IF(COUNT(AI8,AI9)=2,IF(N(AI9)=0,"",ROUND(AI8/AI9,0)),"")</f>
        <v/>
      </c>
      <c r="AJ10" s="87" t="n">
        <f aca="false">IF(N(AJ9)=0,"",ROUND(AJ8/AJ9,0))</f>
        <v>33</v>
      </c>
      <c r="AK10" s="87" t="n">
        <f aca="false">IF(N(AK9)=0,"",ROUND(AK8/AK9,0))</f>
        <v>33</v>
      </c>
      <c r="AL10" s="86" t="str">
        <f aca="false">IF(COUNT(AL8,AL9)=2,IF(N(AL9)=0,"",ROUND(AL8/AL9,0)),"")</f>
        <v/>
      </c>
      <c r="AM10" s="86" t="n">
        <f aca="false">IF(N(AM9)=0,"",ROUND(AM8/AM9,0))</f>
        <v>32</v>
      </c>
      <c r="AN10" s="86" t="n">
        <f aca="false">IF(N(AN9)=0,"",ROUND(AN8/AN9,0))</f>
        <v>32</v>
      </c>
      <c r="AO10" s="87" t="str">
        <f aca="false">IF(COUNT(AO8,AO9)=2,IF(N(AO9)=0,"",ROUND(AO8/AO9,0)),"")</f>
        <v/>
      </c>
      <c r="AP10" s="87" t="n">
        <f aca="false">IF(N(AP9)=0,"",ROUND(AP8/AP9,0))</f>
        <v>32</v>
      </c>
      <c r="AQ10" s="87" t="n">
        <f aca="false">IF(N(AQ9)=0,"",ROUND(AQ8/AQ9,0))</f>
        <v>31</v>
      </c>
      <c r="AR10" s="86" t="str">
        <f aca="false">IF(COUNT(AR8,AR9)=2,IF(N(AR9)=0,"",ROUND(AR8/AR9,0)),"")</f>
        <v/>
      </c>
      <c r="AS10" s="86" t="n">
        <f aca="false">IF(N(AS9)=0,"",ROUND(AS8/AS9,0))</f>
        <v>31</v>
      </c>
      <c r="AT10" s="86" t="n">
        <f aca="false">IF(N(AT9)=0,"",ROUND(AT8/AT9,0))</f>
        <v>31</v>
      </c>
      <c r="AU10" s="87" t="str">
        <f aca="false">IF(COUNT(AU8,AU9)=2,IF(N(AU9)=0,"",ROUND(AU8/AU9,0)),"")</f>
        <v/>
      </c>
      <c r="AV10" s="87" t="n">
        <f aca="false">IF(N(AV9)=0,"",ROUND(AV8/AV9,0))</f>
        <v>31</v>
      </c>
      <c r="AW10" s="87" t="n">
        <f aca="false">IF(N(AW9)=0,"",ROUND(AW8/AW9,0))</f>
        <v>30</v>
      </c>
      <c r="AX10" s="86" t="str">
        <f aca="false">IF(COUNT(AX8,AX9)=2,IF(N(AX9)=0,"",ROUND(AX8/AX9,0)),"")</f>
        <v/>
      </c>
      <c r="AY10" s="86" t="n">
        <f aca="false">IF(N(AY9)=0,"",ROUND(AY8/AY9,0))</f>
        <v>30</v>
      </c>
      <c r="AZ10" s="86" t="n">
        <f aca="false">IF(N(AZ9)=0,"",ROUND(AZ8/AZ9,0))</f>
        <v>30</v>
      </c>
      <c r="BA10" s="87" t="str">
        <f aca="false">IF(COUNT(BA8,BA9)=2,IF(N(BA9)=0,"",ROUND(BA8/BA9,0)),"")</f>
        <v/>
      </c>
      <c r="BB10" s="87" t="n">
        <f aca="false">IF(N(BB9)=0,"",ROUND(BB8/BB9,0))</f>
        <v>30</v>
      </c>
      <c r="BC10" s="87" t="n">
        <f aca="false">IF(N(BC9)=0,"",ROUND(BC8/BC9,0))</f>
        <v>30</v>
      </c>
      <c r="BD10" s="86" t="str">
        <f aca="false">IF(COUNT(BD8,BD9)=2,IF(N(BD9)=0,"",ROUND(BD8/BD9,0)),"")</f>
        <v/>
      </c>
      <c r="BE10" s="86" t="n">
        <f aca="false">IF(N(BE9)=0,"",ROUND(BE8/BE9,0))</f>
        <v>29</v>
      </c>
      <c r="BF10" s="86" t="n">
        <f aca="false">IF(N(BF9)=0,"",ROUND(BF8/BF9,0))</f>
        <v>29</v>
      </c>
      <c r="BG10" s="87" t="str">
        <f aca="false">IF(COUNT(BG8,BG9)=2,IF(N(BG9)=0,"",ROUND(BG8/BG9,0)),"")</f>
        <v/>
      </c>
      <c r="BH10" s="87" t="n">
        <f aca="false">IF(N(BH9)=0,"",ROUND(BH8/BH9,0))</f>
        <v>29</v>
      </c>
      <c r="BI10" s="87" t="n">
        <f aca="false">IF(N(BI9)=0,"",ROUND(BI8/BI9,0))</f>
        <v>29</v>
      </c>
      <c r="BJ10" s="86" t="str">
        <f aca="false">IF(COUNT(BJ8,BJ9)=2,IF(N(BJ9)=0,"",ROUND(BJ8/BJ9,0)),"")</f>
        <v/>
      </c>
      <c r="BK10" s="86" t="n">
        <f aca="false">IF(N(BK9)=0,"",ROUND(BK8/BK9,0))</f>
        <v>28</v>
      </c>
      <c r="BL10" s="86" t="n">
        <f aca="false">IF(N(BL9)=0,"",ROUND(BL8/BL9,0))</f>
        <v>28</v>
      </c>
      <c r="BM10" s="87" t="str">
        <f aca="false">IF(COUNT(BM8,BM9)=2,IF(N(BM9)=0,"",ROUND(BM8/BM9,0)),"")</f>
        <v/>
      </c>
      <c r="BN10" s="87" t="n">
        <f aca="false">IF(N(BN9)=0,"",ROUND(BN8/BN9,0))</f>
        <v>28</v>
      </c>
      <c r="BO10" s="87" t="n">
        <f aca="false">IF(N(BO9)=0,"",ROUND(BO8/BO9,0))</f>
        <v>28</v>
      </c>
      <c r="BP10" s="86" t="str">
        <f aca="false">IF(COUNT(BP8,BP9)=2,IF(N(BP9)=0,"",ROUND(BP8/BP9,0)),"")</f>
        <v/>
      </c>
      <c r="BQ10" s="86" t="n">
        <f aca="false">IF(N(BQ9)=0,"",ROUND(BQ8/BQ9,0))</f>
        <v>28</v>
      </c>
      <c r="BR10" s="86" t="n">
        <f aca="false">IF(N(BR9)=0,"",ROUND(BR8/BR9,0))</f>
        <v>28</v>
      </c>
      <c r="BS10" s="87" t="str">
        <f aca="false">IF(COUNT(BS8,BS9)=2,IF(N(BS9)=0,"",ROUND(BS8/BS9,0)),"")</f>
        <v/>
      </c>
      <c r="BT10" s="87" t="n">
        <f aca="false">IF(N(BT9)=0,"",ROUND(BT8/BT9,0))</f>
        <v>27</v>
      </c>
      <c r="BU10" s="87" t="n">
        <f aca="false">IF(N(BU9)=0,"",ROUND(BU8/BU9,0))</f>
        <v>27</v>
      </c>
      <c r="BV10" s="86" t="str">
        <f aca="false">IF(COUNT(BV8,BV9)=2,IF(N(BV9)=0,"",ROUND(BV8/BV9,0)),"")</f>
        <v/>
      </c>
      <c r="BW10" s="86" t="n">
        <f aca="false">IF(N(BW9)=0,"",ROUND(BW8/BW9,0))</f>
        <v>27</v>
      </c>
      <c r="BX10" s="86" t="n">
        <f aca="false">IF(N(BX9)=0,"",ROUND(BX8/BX9,0))</f>
        <v>27</v>
      </c>
      <c r="BY10" s="87" t="str">
        <f aca="false">IF(COUNT(BY8,BY9)=2,IF(N(BY9)=0,"",ROUND(BY8/BY9,0)),"")</f>
        <v/>
      </c>
      <c r="BZ10" s="87" t="n">
        <f aca="false">IF(N(BZ9)=0,"",ROUND(BZ8/BZ9,0))</f>
        <v>26</v>
      </c>
      <c r="CA10" s="87" t="n">
        <f aca="false">IF(N(CA9)=0,"",ROUND(CA8/CA9,0))</f>
        <v>26</v>
      </c>
      <c r="CB10" s="86" t="str">
        <f aca="false">IF(COUNT(CB8,CB9)=2,IF(N(CB9)=0,"",ROUND(CB8/CB9,0)),"")</f>
        <v/>
      </c>
      <c r="CC10" s="86" t="n">
        <f aca="false">IF(N(CC9)=0,"",ROUND(CC8/CC9,0))</f>
        <v>26</v>
      </c>
      <c r="CD10" s="86" t="n">
        <f aca="false">IF(N(CD9)=0,"",ROUND(CD8/CD9,0))</f>
        <v>26</v>
      </c>
      <c r="CE10" s="87" t="str">
        <f aca="false">IF(COUNT(CE8,CE9)=2,IF(N(CE9)=0,"",ROUND(CE8/CE9,0)),"")</f>
        <v/>
      </c>
      <c r="CF10" s="87" t="n">
        <f aca="false">IF(N(CF9)=0,"",ROUND(CF8/CF9,0))</f>
        <v>26</v>
      </c>
      <c r="CG10" s="87" t="n">
        <f aca="false">IF(N(CG9)=0,"",ROUND(CG8/CG9,0))</f>
        <v>25</v>
      </c>
      <c r="CH10" s="86" t="str">
        <f aca="false">IF(COUNT(CH8,CH9)=2,IF(N(CH9)=0,"",ROUND(CH8/CH9,0)),"")</f>
        <v/>
      </c>
      <c r="CI10" s="86" t="n">
        <f aca="false">IF(N(CI9)=0,"",ROUND(CI8/CI9,0))</f>
        <v>25</v>
      </c>
      <c r="CJ10" s="86" t="n">
        <f aca="false">IF(N(CJ9)=0,"",ROUND(CJ8/CJ9,0))</f>
        <v>25</v>
      </c>
      <c r="CK10" s="87" t="str">
        <f aca="false">IF(COUNT(CK8,CK9)=2,IF(N(CK9)=0,"",ROUND(CK8/CK9,0)),"")</f>
        <v/>
      </c>
      <c r="CL10" s="87" t="n">
        <f aca="false">IF(N(CL9)=0,"",ROUND(CL8/CL9,0))</f>
        <v>25</v>
      </c>
      <c r="CM10" s="87" t="n">
        <f aca="false">IF(N(CM9)=0,"",ROUND(CM8/CM9,0))</f>
        <v>25</v>
      </c>
      <c r="CN10" s="86" t="str">
        <f aca="false">IF(COUNT(CN8,CN9)=2,IF(N(CN9)=0,"",ROUND(CN8/CN9,0)),"")</f>
        <v/>
      </c>
      <c r="CO10" s="86" t="n">
        <f aca="false">IF(N(CO9)=0,"",ROUND(CO8/CO9,0))</f>
        <v>25</v>
      </c>
      <c r="CP10" s="86" t="n">
        <f aca="false">IF(N(CP9)=0,"",ROUND(CP8/CP9,0))</f>
        <v>24</v>
      </c>
      <c r="CQ10" s="87" t="str">
        <f aca="false">IF(COUNT(CQ8,CQ9)=2,IF(N(CQ9)=0,"",ROUND(CQ8/CQ9,0)),"")</f>
        <v/>
      </c>
      <c r="CR10" s="87" t="n">
        <f aca="false">IF(N(CR9)=0,"",ROUND(CR8/CR9,0))</f>
        <v>24</v>
      </c>
      <c r="CS10" s="87" t="n">
        <f aca="false">IF(N(CS9)=0,"",ROUND(CS8/CS9,0))</f>
        <v>24</v>
      </c>
      <c r="CT10" s="86" t="str">
        <f aca="false">IF(COUNT(CT8,CT9)=2,IF(N(CT9)=0,"",ROUND(CT8/CT9,0)),"")</f>
        <v/>
      </c>
      <c r="CU10" s="86" t="n">
        <f aca="false">IF(N(CU9)=0,"",ROUND(CU8/CU9,0))</f>
        <v>24</v>
      </c>
      <c r="CV10" s="86" t="n">
        <f aca="false">IF(N(CV9)=0,"",ROUND(CV8/CV9,0))</f>
        <v>24</v>
      </c>
      <c r="CW10" s="87" t="str">
        <f aca="false">IF(COUNT(CW8,CW9)=2,IF(N(CW9)=0,"",ROUND(CW8/CW9,0)),"")</f>
        <v/>
      </c>
      <c r="CX10" s="87" t="n">
        <f aca="false">IF(N(CX9)=0,"",ROUND(CX8/CX9,0))</f>
        <v>24</v>
      </c>
      <c r="CY10" s="87" t="n">
        <f aca="false">IF(N(CY9)=0,"",ROUND(CY8/CY9,0))</f>
        <v>23</v>
      </c>
      <c r="CZ10" s="86" t="str">
        <f aca="false">IF(COUNT(CZ8,CZ9)=2,IF(N(CZ9)=0,"",ROUND(CZ8/CZ9,0)),"")</f>
        <v/>
      </c>
      <c r="DA10" s="86" t="n">
        <f aca="false">IF(N(DA9)=0,"",ROUND(DA8/DA9,0))</f>
        <v>23</v>
      </c>
      <c r="DB10" s="86" t="n">
        <f aca="false">IF(N(DB9)=0,"",ROUND(DB8/DB9,0))</f>
        <v>23</v>
      </c>
      <c r="DC10" s="87" t="str">
        <f aca="false">IF(COUNT(DC8,DC9)=2,IF(N(DC9)=0,"",ROUND(DC8/DC9,0)),"")</f>
        <v/>
      </c>
      <c r="DD10" s="87" t="n">
        <f aca="false">IF(N(DD9)=0,"",ROUND(DD8/DD9,0))</f>
        <v>23</v>
      </c>
      <c r="DE10" s="87" t="n">
        <f aca="false">IF(N(DE9)=0,"",ROUND(DE8/DE9,0))</f>
        <v>23</v>
      </c>
      <c r="DF10" s="86" t="str">
        <f aca="false">IF(COUNT(DF8,DF9)=2,IF(N(DF9)=0,"",ROUND(DF8/DF9,0)),"")</f>
        <v/>
      </c>
      <c r="DG10" s="86" t="n">
        <f aca="false">IF(N(DG9)=0,"",ROUND(DG8/DG9,0))</f>
        <v>23</v>
      </c>
      <c r="DH10" s="86" t="n">
        <f aca="false">IF(N(DH9)=0,"",ROUND(DH8/DH9,0))</f>
        <v>23</v>
      </c>
      <c r="DI10" s="87" t="n">
        <f aca="false">IF(COUNT(DI8,DI9)=2,IF(N(DI9)=0,"",ROUND(DI8/DI9,0)),"")</f>
        <v>23</v>
      </c>
      <c r="DJ10" s="87" t="n">
        <f aca="false">IF(N(DJ9)=0,"",ROUND(DJ8/DJ9,0))</f>
        <v>23</v>
      </c>
      <c r="DK10" s="87" t="n">
        <f aca="false">IF(N(DK9)=0,"",ROUND(DK8/DK9,0))</f>
        <v>22</v>
      </c>
      <c r="DL10" s="86" t="n">
        <f aca="false">IF(COUNT(DL8,DL9)=2,IF(N(DL9)=0,"",ROUND(DL8/DL9,0)),"")</f>
        <v>23</v>
      </c>
      <c r="DM10" s="86" t="n">
        <f aca="false">IF(N(DM9)=0,"",ROUND(DM8/DM9,0))</f>
        <v>23</v>
      </c>
      <c r="DN10" s="86" t="n">
        <f aca="false">IF(N(DN9)=0,"",ROUND(DN8/DN9,0))</f>
        <v>23</v>
      </c>
    </row>
    <row r="11" customFormat="false" ht="15" hidden="false" customHeight="false" outlineLevel="0" collapsed="false">
      <c r="A11" s="5" t="s">
        <v>158</v>
      </c>
      <c r="B11" s="12" t="str">
        <f aca="false">IF(COUNT(AR11,AO11,AL11,AI11,AF11,AC11,Z11,W11,T11,Q11,N11,K11)=0,"",SUM(AR11,AO11,AL11,AI11,AF11,AC11,Z11,W11,T11,Q11,N11,K11))</f>
        <v/>
      </c>
      <c r="C11" s="12" t="n">
        <f aca="false">IF(COUNT(AS11,AP11,AM11,AJ11,AG11,AD11,AA11,X11,U11,R11,O11,L11)=0,"",SUM(AS11,AP11,AM11,AJ11,AG11,AD11,AA11,X11,U11,R11,O11,L11))</f>
        <v>1138000</v>
      </c>
      <c r="D11" s="12" t="n">
        <f aca="false">IF(COUNT(AT11,AQ11,AN11,AK11,AH11,AE11,AB11,Y11,V11,S11,P11,M11)=0,"",SUM(AT11,AQ11,AN11,AK11,AH11,AE11,AB11,Y11,V11,S11,P11,M11))</f>
        <v>1138000</v>
      </c>
      <c r="E11" s="13" t="str">
        <f aca="false">IF(COUNT(CB11,BY11,BV11,BS11,BP11,BM11,BJ11,BG11,BD11,BA11,AX11,AU11)=0,"",SUM(CB11,BY11,BV11,BS11,BP11,BM11,BJ11,BG11,BD11,BA11,AX11,AU11))</f>
        <v/>
      </c>
      <c r="F11" s="13" t="n">
        <f aca="false">IF(COUNT(CC11,BZ11,BW11,BT11,BQ11,BN11,BK11,BH11,BE11,BB11,AY11,AV11)=0,"",SUM(CC11,BZ11,BW11,BT11,BQ11,BN11,BK11,BH11,BE11,BB11,AY11,AV11))</f>
        <v>928000</v>
      </c>
      <c r="G11" s="13" t="n">
        <f aca="false">IF(COUNT(CD11,CA11,BX11,BU11,BR11,BO11,BL11,BI11,BF11,BC11,AZ11,AW11)=0,"",SUM(CD11,CA11,BX11,BU11,BR11,BO11,BL11,BI11,BF11,BC11,AZ11,AW11))</f>
        <v>928000</v>
      </c>
      <c r="H11" s="12" t="n">
        <f aca="false">IF(COUNT(DL11,DI11,DF11,DC11,CZ11,CW11,CT11,CQ11,CN11,CK11,CH11,CE11)=0,"",SUM(DL11,DI11,DF11,DC11,CZ11,CW11,CT11,CQ11,CN11,CK11,CH11,CE11))</f>
        <v>118000</v>
      </c>
      <c r="I11" s="12" t="n">
        <f aca="false">IF(COUNT(DM11,DJ11,DG11,DD11,DA11,CX11,CU11,CR11,CO11,CL11,CI11,CF11)=0,"",SUM(DM11,DJ11,DG11,DD11,DA11,CX11,CU11,CR11,CO11,CL11,CI11,CF11))</f>
        <v>729000</v>
      </c>
      <c r="J11" s="12" t="n">
        <f aca="false">IF(COUNT(DN11,DK11,DH11,DE11,DB11,CY11,CV11,CS11,CP11,CM11,CJ11,CG11)=0,"",SUM(DN11,DK11,DH11,DE11,DB11,CY11,CV11,CS11,CP11,CM11,CJ11,CG11))</f>
        <v>729000</v>
      </c>
      <c r="K11" s="13" t="str">
        <f aca="false">IF(COUNT(K41)=1,K41,"")</f>
        <v/>
      </c>
      <c r="L11" s="13" t="n">
        <f aca="false">L41</f>
        <v>96000</v>
      </c>
      <c r="M11" s="13" t="n">
        <f aca="false">M41</f>
        <v>96000</v>
      </c>
      <c r="N11" s="12" t="str">
        <f aca="false">IF(COUNT(N41)=1,N41,"")</f>
        <v/>
      </c>
      <c r="O11" s="12" t="n">
        <f aca="false">O41</f>
        <v>96000</v>
      </c>
      <c r="P11" s="12" t="n">
        <f aca="false">P41</f>
        <v>96000</v>
      </c>
      <c r="Q11" s="13" t="str">
        <f aca="false">IF(COUNT(Q41)=1,Q41,"")</f>
        <v/>
      </c>
      <c r="R11" s="13" t="n">
        <f aca="false">R41</f>
        <v>96000</v>
      </c>
      <c r="S11" s="13" t="n">
        <f aca="false">S41</f>
        <v>96000</v>
      </c>
      <c r="T11" s="12" t="str">
        <f aca="false">IF(COUNT(T41)=1,T41,"")</f>
        <v/>
      </c>
      <c r="U11" s="12" t="n">
        <f aca="false">U41</f>
        <v>96000</v>
      </c>
      <c r="V11" s="12" t="n">
        <f aca="false">V41</f>
        <v>96000</v>
      </c>
      <c r="W11" s="13" t="str">
        <f aca="false">IF(COUNT(W41)=1,W41,"")</f>
        <v/>
      </c>
      <c r="X11" s="13" t="n">
        <f aca="false">X41</f>
        <v>96000</v>
      </c>
      <c r="Y11" s="13" t="n">
        <f aca="false">Y41</f>
        <v>96000</v>
      </c>
      <c r="Z11" s="12" t="str">
        <f aca="false">IF(COUNT(Z41)=1,Z41,"")</f>
        <v/>
      </c>
      <c r="AA11" s="12" t="n">
        <f aca="false">AA41</f>
        <v>96000</v>
      </c>
      <c r="AB11" s="12" t="n">
        <f aca="false">AB41</f>
        <v>96000</v>
      </c>
      <c r="AC11" s="13" t="str">
        <f aca="false">IF(COUNT(AC41)=1,AC41,"")</f>
        <v/>
      </c>
      <c r="AD11" s="13" t="n">
        <f aca="false">AD41</f>
        <v>96000</v>
      </c>
      <c r="AE11" s="13" t="n">
        <f aca="false">AE41</f>
        <v>96000</v>
      </c>
      <c r="AF11" s="12" t="str">
        <f aca="false">IF(COUNT(AF41)=1,AF41,"")</f>
        <v/>
      </c>
      <c r="AG11" s="12" t="n">
        <f aca="false">AG41</f>
        <v>96000</v>
      </c>
      <c r="AH11" s="12" t="n">
        <f aca="false">AH41</f>
        <v>96000</v>
      </c>
      <c r="AI11" s="13" t="str">
        <f aca="false">IF(COUNT(AI41)=1,AI41,"")</f>
        <v/>
      </c>
      <c r="AJ11" s="13" t="n">
        <f aca="false">AJ41</f>
        <v>96000</v>
      </c>
      <c r="AK11" s="13" t="n">
        <f aca="false">AK41</f>
        <v>96000</v>
      </c>
      <c r="AL11" s="12" t="str">
        <f aca="false">IF(COUNT(AL41)=1,AL41,"")</f>
        <v/>
      </c>
      <c r="AM11" s="12" t="n">
        <f aca="false">AM41</f>
        <v>96000</v>
      </c>
      <c r="AN11" s="12" t="n">
        <f aca="false">AN41</f>
        <v>96000</v>
      </c>
      <c r="AO11" s="13" t="str">
        <f aca="false">IF(COUNT(AO41)=1,AO41,"")</f>
        <v/>
      </c>
      <c r="AP11" s="13" t="n">
        <f aca="false">AP41</f>
        <v>89000</v>
      </c>
      <c r="AQ11" s="13" t="n">
        <f aca="false">AQ41</f>
        <v>89000</v>
      </c>
      <c r="AR11" s="12" t="str">
        <f aca="false">IF(COUNT(AR41)=1,AR41,"")</f>
        <v/>
      </c>
      <c r="AS11" s="12" t="n">
        <f aca="false">AS41</f>
        <v>89000</v>
      </c>
      <c r="AT11" s="12" t="n">
        <f aca="false">AT41</f>
        <v>89000</v>
      </c>
      <c r="AU11" s="13" t="str">
        <f aca="false">IF(COUNT(AU41)=1,AU41,"")</f>
        <v/>
      </c>
      <c r="AV11" s="13" t="n">
        <f aca="false">AV41</f>
        <v>89000</v>
      </c>
      <c r="AW11" s="13" t="n">
        <f aca="false">AW41</f>
        <v>89000</v>
      </c>
      <c r="AX11" s="12" t="str">
        <f aca="false">IF(COUNT(AX41)=1,AX41,"")</f>
        <v/>
      </c>
      <c r="AY11" s="12" t="n">
        <f aca="false">AY41</f>
        <v>89000</v>
      </c>
      <c r="AZ11" s="12" t="n">
        <f aca="false">AZ41</f>
        <v>89000</v>
      </c>
      <c r="BA11" s="13" t="str">
        <f aca="false">IF(COUNT(BA41)=1,BA41,"")</f>
        <v/>
      </c>
      <c r="BB11" s="13" t="n">
        <f aca="false">BB41</f>
        <v>89000</v>
      </c>
      <c r="BC11" s="13" t="n">
        <f aca="false">BC41</f>
        <v>89000</v>
      </c>
      <c r="BD11" s="12" t="str">
        <f aca="false">IF(COUNT(BD41)=1,BD41,"")</f>
        <v/>
      </c>
      <c r="BE11" s="12" t="n">
        <f aca="false">BE41</f>
        <v>89000</v>
      </c>
      <c r="BF11" s="12" t="n">
        <f aca="false">BF41</f>
        <v>89000</v>
      </c>
      <c r="BG11" s="13" t="str">
        <f aca="false">IF(COUNT(BG41)=1,BG41,"")</f>
        <v/>
      </c>
      <c r="BH11" s="13" t="n">
        <f aca="false">BH41</f>
        <v>82000</v>
      </c>
      <c r="BI11" s="13" t="n">
        <f aca="false">BI41</f>
        <v>82000</v>
      </c>
      <c r="BJ11" s="12" t="str">
        <f aca="false">IF(COUNT(BJ41)=1,BJ41,"")</f>
        <v/>
      </c>
      <c r="BK11" s="12" t="n">
        <f aca="false">BK41</f>
        <v>73000</v>
      </c>
      <c r="BL11" s="12" t="n">
        <f aca="false">BL41</f>
        <v>73000</v>
      </c>
      <c r="BM11" s="13" t="str">
        <f aca="false">IF(COUNT(BM41)=1,BM41,"")</f>
        <v/>
      </c>
      <c r="BN11" s="13" t="n">
        <f aca="false">BN41</f>
        <v>73000</v>
      </c>
      <c r="BO11" s="13" t="n">
        <f aca="false">BO41</f>
        <v>73000</v>
      </c>
      <c r="BP11" s="12" t="str">
        <f aca="false">IF(COUNT(BP41)=1,BP41,"")</f>
        <v/>
      </c>
      <c r="BQ11" s="12" t="n">
        <f aca="false">BQ41</f>
        <v>73000</v>
      </c>
      <c r="BR11" s="12" t="n">
        <f aca="false">BR41</f>
        <v>73000</v>
      </c>
      <c r="BS11" s="13" t="str">
        <f aca="false">IF(COUNT(BS41)=1,BS41,"")</f>
        <v/>
      </c>
      <c r="BT11" s="13" t="n">
        <f aca="false">BT41</f>
        <v>73000</v>
      </c>
      <c r="BU11" s="13" t="n">
        <f aca="false">BU41</f>
        <v>73000</v>
      </c>
      <c r="BV11" s="12" t="str">
        <f aca="false">IF(COUNT(BV41)=1,BV41,"")</f>
        <v/>
      </c>
      <c r="BW11" s="12" t="n">
        <f aca="false">BW41</f>
        <v>66000</v>
      </c>
      <c r="BX11" s="12" t="n">
        <f aca="false">BX41</f>
        <v>66000</v>
      </c>
      <c r="BY11" s="13" t="str">
        <f aca="false">IF(COUNT(BY41)=1,BY41,"")</f>
        <v/>
      </c>
      <c r="BZ11" s="13" t="n">
        <f aca="false">BZ41</f>
        <v>66000</v>
      </c>
      <c r="CA11" s="13" t="n">
        <f aca="false">CA41</f>
        <v>66000</v>
      </c>
      <c r="CB11" s="12" t="str">
        <f aca="false">IF(COUNT(CB41)=1,CB41,"")</f>
        <v/>
      </c>
      <c r="CC11" s="12" t="n">
        <f aca="false">CC41</f>
        <v>66000</v>
      </c>
      <c r="CD11" s="12" t="n">
        <f aca="false">CD41</f>
        <v>66000</v>
      </c>
      <c r="CE11" s="13" t="str">
        <f aca="false">IF(COUNT(CE41)=1,CE41,"")</f>
        <v/>
      </c>
      <c r="CF11" s="13" t="n">
        <f aca="false">CF41</f>
        <v>66000</v>
      </c>
      <c r="CG11" s="13" t="n">
        <f aca="false">CG41</f>
        <v>66000</v>
      </c>
      <c r="CH11" s="12" t="str">
        <f aca="false">IF(COUNT(CH41)=1,CH41,"")</f>
        <v/>
      </c>
      <c r="CI11" s="12" t="n">
        <f aca="false">CI41</f>
        <v>66000</v>
      </c>
      <c r="CJ11" s="12" t="n">
        <f aca="false">CJ41</f>
        <v>66000</v>
      </c>
      <c r="CK11" s="13" t="str">
        <f aca="false">IF(COUNT(CK41)=1,CK41,"")</f>
        <v/>
      </c>
      <c r="CL11" s="13" t="n">
        <f aca="false">CL41</f>
        <v>66000</v>
      </c>
      <c r="CM11" s="13" t="n">
        <f aca="false">CM41</f>
        <v>66000</v>
      </c>
      <c r="CN11" s="12" t="str">
        <f aca="false">IF(COUNT(CN41)=1,CN41,"")</f>
        <v/>
      </c>
      <c r="CO11" s="12" t="n">
        <f aca="false">CO41</f>
        <v>59000</v>
      </c>
      <c r="CP11" s="12" t="n">
        <f aca="false">CP41</f>
        <v>59000</v>
      </c>
      <c r="CQ11" s="13" t="str">
        <f aca="false">IF(COUNT(CQ41)=1,CQ41,"")</f>
        <v/>
      </c>
      <c r="CR11" s="13" t="n">
        <f aca="false">CR41</f>
        <v>59000</v>
      </c>
      <c r="CS11" s="13" t="n">
        <f aca="false">CS41</f>
        <v>59000</v>
      </c>
      <c r="CT11" s="12" t="str">
        <f aca="false">IF(COUNT(CT41)=1,CT41,"")</f>
        <v/>
      </c>
      <c r="CU11" s="12" t="n">
        <f aca="false">CU41</f>
        <v>59000</v>
      </c>
      <c r="CV11" s="12" t="n">
        <f aca="false">CV41</f>
        <v>59000</v>
      </c>
      <c r="CW11" s="13" t="str">
        <f aca="false">IF(COUNT(CW41)=1,CW41,"")</f>
        <v/>
      </c>
      <c r="CX11" s="13" t="n">
        <f aca="false">CX41</f>
        <v>59000</v>
      </c>
      <c r="CY11" s="13" t="n">
        <f aca="false">CY41</f>
        <v>59000</v>
      </c>
      <c r="CZ11" s="12" t="str">
        <f aca="false">IF(COUNT(CZ41)=1,CZ41,"")</f>
        <v/>
      </c>
      <c r="DA11" s="12" t="n">
        <f aca="false">DA41</f>
        <v>59000</v>
      </c>
      <c r="DB11" s="12" t="n">
        <f aca="false">DB41</f>
        <v>59000</v>
      </c>
      <c r="DC11" s="13" t="str">
        <f aca="false">IF(COUNT(DC41)=1,DC41,"")</f>
        <v/>
      </c>
      <c r="DD11" s="13" t="n">
        <f aca="false">DD41</f>
        <v>59000</v>
      </c>
      <c r="DE11" s="13" t="n">
        <f aca="false">DE41</f>
        <v>59000</v>
      </c>
      <c r="DF11" s="12" t="str">
        <f aca="false">IF(COUNT(DF41)=1,DF41,"")</f>
        <v/>
      </c>
      <c r="DG11" s="12" t="n">
        <f aca="false">DG41</f>
        <v>59000</v>
      </c>
      <c r="DH11" s="12" t="n">
        <f aca="false">DH41</f>
        <v>59000</v>
      </c>
      <c r="DI11" s="13" t="n">
        <f aca="false">IF(COUNT(DI41)=1,DI41,"")</f>
        <v>59000</v>
      </c>
      <c r="DJ11" s="13" t="n">
        <f aca="false">DJ41</f>
        <v>59000</v>
      </c>
      <c r="DK11" s="13" t="n">
        <f aca="false">DK41</f>
        <v>59000</v>
      </c>
      <c r="DL11" s="12" t="n">
        <f aca="false">IF(COUNT(DL41)=1,DL41,"")</f>
        <v>59000</v>
      </c>
      <c r="DM11" s="12" t="n">
        <f aca="false">DM41</f>
        <v>59000</v>
      </c>
      <c r="DN11" s="12" t="n">
        <f aca="false">DN41</f>
        <v>59000</v>
      </c>
    </row>
    <row r="12" customFormat="false" ht="15" hidden="false" customHeight="false" outlineLevel="0" collapsed="false">
      <c r="A12" s="5" t="s">
        <v>159</v>
      </c>
      <c r="B12" s="12" t="str">
        <f aca="false">IF(COUNT(AR12,AO12,AL12,AI12,AF12,AC12,Z12,W12,T12,Q12,N12,K12)=0,"",SUM(AR12,AO12,AL12,AI12,AF12,AC12,Z12,W12,T12,Q12,N12,K12))</f>
        <v/>
      </c>
      <c r="C12" s="12" t="n">
        <f aca="false">IF(COUNT(AS12,AP12,AM12,AJ12,AG12,AD12,AA12,X12,U12,R12,O12,L12)=0,"",SUM(AS12,AP12,AM12,AJ12,AG12,AD12,AA12,X12,U12,R12,O12,L12))</f>
        <v>24000</v>
      </c>
      <c r="D12" s="12" t="n">
        <f aca="false">IF(COUNT(AT12,AQ12,AN12,AK12,AH12,AE12,AB12,Y12,V12,S12,P12,M12)=0,"",SUM(AT12,AQ12,AN12,AK12,AH12,AE12,AB12,Y12,V12,S12,P12,M12))</f>
        <v>24000</v>
      </c>
      <c r="E12" s="13" t="str">
        <f aca="false">IF(COUNT(CB12,BY12,BV12,BS12,BP12,BM12,BJ12,BG12,BD12,BA12,AX12,AU12)=0,"",SUM(CB12,BY12,BV12,BS12,BP12,BM12,BJ12,BG12,BD12,BA12,AX12,AU12))</f>
        <v/>
      </c>
      <c r="F12" s="13" t="n">
        <f aca="false">IF(COUNT(CC12,BZ12,BW12,BT12,BQ12,BN12,BK12,BH12,BE12,BB12,AY12,AV12)=0,"",SUM(CC12,BZ12,BW12,BT12,BQ12,BN12,BK12,BH12,BE12,BB12,AY12,AV12))</f>
        <v>24000</v>
      </c>
      <c r="G12" s="13" t="n">
        <f aca="false">IF(COUNT(CD12,CA12,BX12,BU12,BR12,BO12,BL12,BI12,BF12,BC12,AZ12,AW12)=0,"",SUM(CD12,CA12,BX12,BU12,BR12,BO12,BL12,BI12,BF12,BC12,AZ12,AW12))</f>
        <v>24000</v>
      </c>
      <c r="H12" s="12" t="n">
        <f aca="false">IF(COUNT(DL12,DI12,DF12,DC12,CZ12,CW12,CT12,CQ12,CN12,CK12,CH12,CE12)=0,"",SUM(DL12,DI12,DF12,DC12,CZ12,CW12,CT12,CQ12,CN12,CK12,CH12,CE12))</f>
        <v>4000</v>
      </c>
      <c r="I12" s="12" t="n">
        <f aca="false">IF(COUNT(DM12,DJ12,DG12,DD12,DA12,CX12,CU12,CR12,CO12,CL12,CI12,CF12)=0,"",SUM(DM12,DJ12,DG12,DD12,DA12,CX12,CU12,CR12,CO12,CL12,CI12,CF12))</f>
        <v>24000</v>
      </c>
      <c r="J12" s="12" t="n">
        <f aca="false">IF(COUNT(DN12,DK12,DH12,DE12,DB12,CY12,CV12,CS12,CP12,CM12,CJ12,CG12)=0,"",SUM(DN12,DK12,DH12,DE12,DB12,CY12,CV12,CS12,CP12,CM12,CJ12,CG12))</f>
        <v>24000</v>
      </c>
      <c r="K12" s="13"/>
      <c r="L12" s="13" t="n">
        <f aca="false">IF('Cash Drivers'!L$26,Support!K12,Support!M12)</f>
        <v>2000</v>
      </c>
      <c r="M12" s="89" t="n">
        <v>2000</v>
      </c>
      <c r="N12" s="12"/>
      <c r="O12" s="12" t="n">
        <f aca="false">IF('Cash Drivers'!O$26,Support!N12,Support!P12)</f>
        <v>2000</v>
      </c>
      <c r="P12" s="90" t="n">
        <v>2000</v>
      </c>
      <c r="Q12" s="13"/>
      <c r="R12" s="13" t="n">
        <f aca="false">IF('Cash Drivers'!R$26,Support!Q12,Support!S12)</f>
        <v>2000</v>
      </c>
      <c r="S12" s="89" t="n">
        <v>2000</v>
      </c>
      <c r="T12" s="12"/>
      <c r="U12" s="12" t="n">
        <f aca="false">IF('Cash Drivers'!U$26,Support!T12,Support!V12)</f>
        <v>2000</v>
      </c>
      <c r="V12" s="90" t="n">
        <v>2000</v>
      </c>
      <c r="W12" s="13"/>
      <c r="X12" s="13" t="n">
        <f aca="false">IF('Cash Drivers'!X$26,Support!W12,Support!Y12)</f>
        <v>2000</v>
      </c>
      <c r="Y12" s="89" t="n">
        <v>2000</v>
      </c>
      <c r="Z12" s="12"/>
      <c r="AA12" s="12" t="n">
        <f aca="false">IF('Cash Drivers'!AA$26,Support!Z12,Support!AB12)</f>
        <v>2000</v>
      </c>
      <c r="AB12" s="90" t="n">
        <v>2000</v>
      </c>
      <c r="AC12" s="13"/>
      <c r="AD12" s="13" t="n">
        <f aca="false">IF('Cash Drivers'!AD$26,Support!AC12,Support!AE12)</f>
        <v>2000</v>
      </c>
      <c r="AE12" s="89" t="n">
        <v>2000</v>
      </c>
      <c r="AF12" s="12"/>
      <c r="AG12" s="12" t="n">
        <f aca="false">IF('Cash Drivers'!AG$26,Support!AF12,Support!AH12)</f>
        <v>2000</v>
      </c>
      <c r="AH12" s="90" t="n">
        <v>2000</v>
      </c>
      <c r="AI12" s="13"/>
      <c r="AJ12" s="13" t="n">
        <f aca="false">IF('Cash Drivers'!AJ$26,Support!AI12,Support!AK12)</f>
        <v>2000</v>
      </c>
      <c r="AK12" s="89" t="n">
        <v>2000</v>
      </c>
      <c r="AL12" s="12"/>
      <c r="AM12" s="12" t="n">
        <f aca="false">IF('Cash Drivers'!AM$26,Support!AL12,Support!AN12)</f>
        <v>2000</v>
      </c>
      <c r="AN12" s="90" t="n">
        <v>2000</v>
      </c>
      <c r="AO12" s="13"/>
      <c r="AP12" s="13" t="n">
        <f aca="false">IF('Cash Drivers'!AP$26,Support!AO12,Support!AQ12)</f>
        <v>2000</v>
      </c>
      <c r="AQ12" s="89" t="n">
        <v>2000</v>
      </c>
      <c r="AR12" s="12"/>
      <c r="AS12" s="12" t="n">
        <f aca="false">IF('Cash Drivers'!AS$26,Support!AR12,Support!AT12)</f>
        <v>2000</v>
      </c>
      <c r="AT12" s="90" t="n">
        <v>2000</v>
      </c>
      <c r="AU12" s="13"/>
      <c r="AV12" s="13" t="n">
        <f aca="false">IF('Cash Drivers'!AV$26,Support!AU12,Support!AW12)</f>
        <v>2000</v>
      </c>
      <c r="AW12" s="89" t="n">
        <v>2000</v>
      </c>
      <c r="AX12" s="12"/>
      <c r="AY12" s="12" t="n">
        <f aca="false">IF('Cash Drivers'!AY$26,Support!AX12,Support!AZ12)</f>
        <v>2000</v>
      </c>
      <c r="AZ12" s="90" t="n">
        <v>2000</v>
      </c>
      <c r="BA12" s="13"/>
      <c r="BB12" s="13" t="n">
        <f aca="false">IF('Cash Drivers'!BB$26,Support!BA12,Support!BC12)</f>
        <v>2000</v>
      </c>
      <c r="BC12" s="89" t="n">
        <v>2000</v>
      </c>
      <c r="BD12" s="12"/>
      <c r="BE12" s="12" t="n">
        <f aca="false">IF('Cash Drivers'!BE$26,Support!BD12,Support!BF12)</f>
        <v>2000</v>
      </c>
      <c r="BF12" s="90" t="n">
        <v>2000</v>
      </c>
      <c r="BG12" s="13"/>
      <c r="BH12" s="13" t="n">
        <f aca="false">IF('Cash Drivers'!BH$26,Support!BG12,Support!BI12)</f>
        <v>2000</v>
      </c>
      <c r="BI12" s="89" t="n">
        <v>2000</v>
      </c>
      <c r="BJ12" s="12"/>
      <c r="BK12" s="12" t="n">
        <f aca="false">IF('Cash Drivers'!BK$26,Support!BJ12,Support!BL12)</f>
        <v>2000</v>
      </c>
      <c r="BL12" s="90" t="n">
        <v>2000</v>
      </c>
      <c r="BM12" s="13"/>
      <c r="BN12" s="13" t="n">
        <f aca="false">IF('Cash Drivers'!BN$26,Support!BM12,Support!BO12)</f>
        <v>2000</v>
      </c>
      <c r="BO12" s="89" t="n">
        <v>2000</v>
      </c>
      <c r="BP12" s="12"/>
      <c r="BQ12" s="12" t="n">
        <f aca="false">IF('Cash Drivers'!BQ$26,Support!BP12,Support!BR12)</f>
        <v>2000</v>
      </c>
      <c r="BR12" s="90" t="n">
        <v>2000</v>
      </c>
      <c r="BS12" s="13"/>
      <c r="BT12" s="13" t="n">
        <f aca="false">IF('Cash Drivers'!BT$26,Support!BS12,Support!BU12)</f>
        <v>2000</v>
      </c>
      <c r="BU12" s="89" t="n">
        <v>2000</v>
      </c>
      <c r="BV12" s="12"/>
      <c r="BW12" s="12" t="n">
        <f aca="false">IF('Cash Drivers'!BW$26,Support!BV12,Support!BX12)</f>
        <v>2000</v>
      </c>
      <c r="BX12" s="90" t="n">
        <v>2000</v>
      </c>
      <c r="BY12" s="13"/>
      <c r="BZ12" s="13" t="n">
        <f aca="false">IF('Cash Drivers'!BZ$26,Support!BY12,Support!CA12)</f>
        <v>2000</v>
      </c>
      <c r="CA12" s="89" t="n">
        <v>2000</v>
      </c>
      <c r="CB12" s="12"/>
      <c r="CC12" s="12" t="n">
        <f aca="false">IF('Cash Drivers'!CC$26,Support!CB12,Support!CD12)</f>
        <v>2000</v>
      </c>
      <c r="CD12" s="90" t="n">
        <v>2000</v>
      </c>
      <c r="CE12" s="13"/>
      <c r="CF12" s="13" t="n">
        <f aca="false">IF('Cash Drivers'!CF$26,Support!CE12,Support!CG12)</f>
        <v>2000</v>
      </c>
      <c r="CG12" s="89" t="n">
        <v>2000</v>
      </c>
      <c r="CH12" s="12"/>
      <c r="CI12" s="12" t="n">
        <f aca="false">IF('Cash Drivers'!CI$26,Support!CH12,Support!CJ12)</f>
        <v>2000</v>
      </c>
      <c r="CJ12" s="90" t="n">
        <v>2000</v>
      </c>
      <c r="CK12" s="13"/>
      <c r="CL12" s="13" t="n">
        <f aca="false">IF('Cash Drivers'!CL$26,Support!CK12,Support!CM12)</f>
        <v>2000</v>
      </c>
      <c r="CM12" s="89" t="n">
        <v>2000</v>
      </c>
      <c r="CN12" s="12"/>
      <c r="CO12" s="12" t="n">
        <f aca="false">IF('Cash Drivers'!CO$26,Support!CN12,Support!CP12)</f>
        <v>2000</v>
      </c>
      <c r="CP12" s="90" t="n">
        <v>2000</v>
      </c>
      <c r="CQ12" s="13"/>
      <c r="CR12" s="13" t="n">
        <f aca="false">IF('Cash Drivers'!CR$26,Support!CQ12,Support!CS12)</f>
        <v>2000</v>
      </c>
      <c r="CS12" s="89" t="n">
        <v>2000</v>
      </c>
      <c r="CT12" s="12"/>
      <c r="CU12" s="12" t="n">
        <f aca="false">IF('Cash Drivers'!CU$26,Support!CT12,Support!CV12)</f>
        <v>2000</v>
      </c>
      <c r="CV12" s="90" t="n">
        <v>2000</v>
      </c>
      <c r="CW12" s="13"/>
      <c r="CX12" s="13" t="n">
        <f aca="false">IF('Cash Drivers'!CX$26,Support!CW12,Support!CY12)</f>
        <v>2000</v>
      </c>
      <c r="CY12" s="89" t="n">
        <v>2000</v>
      </c>
      <c r="CZ12" s="12"/>
      <c r="DA12" s="12" t="n">
        <f aca="false">IF('Cash Drivers'!DA$26,Support!CZ12,Support!DB12)</f>
        <v>2000</v>
      </c>
      <c r="DB12" s="90" t="n">
        <v>2000</v>
      </c>
      <c r="DC12" s="13"/>
      <c r="DD12" s="13" t="n">
        <f aca="false">IF('Cash Drivers'!DD$26,Support!DC12,Support!DE12)</f>
        <v>2000</v>
      </c>
      <c r="DE12" s="89" t="n">
        <v>2000</v>
      </c>
      <c r="DF12" s="12"/>
      <c r="DG12" s="12" t="n">
        <f aca="false">IF('Cash Drivers'!DG$26,Support!DF12,Support!DH12)</f>
        <v>2000</v>
      </c>
      <c r="DH12" s="90" t="n">
        <v>2000</v>
      </c>
      <c r="DI12" s="89" t="n">
        <v>2000</v>
      </c>
      <c r="DJ12" s="13" t="n">
        <f aca="false">IF('Cash Drivers'!DJ$26,Support!DI12,Support!DK12)</f>
        <v>2000</v>
      </c>
      <c r="DK12" s="89" t="n">
        <v>2000</v>
      </c>
      <c r="DL12" s="90" t="n">
        <v>2000</v>
      </c>
      <c r="DM12" s="12" t="n">
        <f aca="false">IF('Cash Drivers'!DM$26,Support!DL12,Support!DN12)</f>
        <v>2000</v>
      </c>
      <c r="DN12" s="90" t="n">
        <v>2000</v>
      </c>
    </row>
    <row r="13" customFormat="false" ht="15" hidden="false" customHeight="false" outlineLevel="0" collapsed="false">
      <c r="A13" s="5" t="s">
        <v>160</v>
      </c>
      <c r="B13" s="12" t="str">
        <f aca="false">IF(COUNT(AR13,AO13,AL13,AI13,AF13,AC13,Z13,W13,T13,Q13,N13,K13)=0,"",SUM(AR13,AO13,AL13,AI13,AF13,AC13,Z13,W13,T13,Q13,N13,K13))</f>
        <v/>
      </c>
      <c r="C13" s="12" t="n">
        <f aca="false">IF(COUNT(AS13,AP13,AM13,AJ13,AG13,AD13,AA13,X13,U13,R13,O13,L13)=0,"",SUM(AS13,AP13,AM13,AJ13,AG13,AD13,AA13,X13,U13,R13,O13,L13))</f>
        <v>250360</v>
      </c>
      <c r="D13" s="12" t="n">
        <f aca="false">IF(COUNT(AT13,AQ13,AN13,AK13,AH13,AE13,AB13,Y13,V13,S13,P13,M13)=0,"",SUM(AT13,AQ13,AN13,AK13,AH13,AE13,AB13,Y13,V13,S13,P13,M13))</f>
        <v>250360</v>
      </c>
      <c r="E13" s="13" t="str">
        <f aca="false">IF(COUNT(CB13,BY13,BV13,BS13,BP13,BM13,BJ13,BG13,BD13,BA13,AX13,AU13)=0,"",SUM(CB13,BY13,BV13,BS13,BP13,BM13,BJ13,BG13,BD13,BA13,AX13,AU13))</f>
        <v/>
      </c>
      <c r="F13" s="13" t="n">
        <f aca="false">IF(COUNT(CC13,BZ13,BW13,BT13,BQ13,BN13,BK13,BH13,BE13,BB13,AY13,AV13)=0,"",SUM(CC13,BZ13,BW13,BT13,BQ13,BN13,BK13,BH13,BE13,BB13,AY13,AV13))</f>
        <v>204160</v>
      </c>
      <c r="G13" s="13" t="n">
        <f aca="false">IF(COUNT(CD13,CA13,BX13,BU13,BR13,BO13,BL13,BI13,BF13,BC13,AZ13,AW13)=0,"",SUM(CD13,CA13,BX13,BU13,BR13,BO13,BL13,BI13,BF13,BC13,AZ13,AW13))</f>
        <v>204160</v>
      </c>
      <c r="H13" s="12" t="n">
        <f aca="false">IF(COUNT(DL13,DI13,DF13,DC13,CZ13,CW13,CT13,CQ13,CN13,CK13,CH13,CE13)=0,"",SUM(DL13,DI13,DF13,DC13,CZ13,CW13,CT13,CQ13,CN13,CK13,CH13,CE13))</f>
        <v>25960</v>
      </c>
      <c r="I13" s="12" t="n">
        <f aca="false">IF(COUNT(DM13,DJ13,DG13,DD13,DA13,CX13,CU13,CR13,CO13,CL13,CI13,CF13)=0,"",SUM(DM13,DJ13,DG13,DD13,DA13,CX13,CU13,CR13,CO13,CL13,CI13,CF13))</f>
        <v>160380</v>
      </c>
      <c r="J13" s="12" t="n">
        <f aca="false">IF(COUNT(DN13,DK13,DH13,DE13,DB13,CY13,CV13,CS13,CP13,CM13,CJ13,CG13)=0,"",SUM(DN13,DK13,DH13,DE13,DB13,CY13,CV13,CS13,CP13,CM13,CJ13,CG13))</f>
        <v>160380</v>
      </c>
      <c r="K13" s="13" t="str">
        <f aca="false">IF(COUNT(K11)=1,K11*0.22,"")</f>
        <v/>
      </c>
      <c r="L13" s="13" t="n">
        <f aca="false">L11*0.22</f>
        <v>21120</v>
      </c>
      <c r="M13" s="13" t="n">
        <f aca="false">M11*0.22</f>
        <v>21120</v>
      </c>
      <c r="N13" s="12" t="str">
        <f aca="false">IF(COUNT(N11)=1,N11*0.22,"")</f>
        <v/>
      </c>
      <c r="O13" s="12" t="n">
        <f aca="false">O11*0.22</f>
        <v>21120</v>
      </c>
      <c r="P13" s="12" t="n">
        <f aca="false">P11*0.22</f>
        <v>21120</v>
      </c>
      <c r="Q13" s="13" t="str">
        <f aca="false">IF(COUNT(Q11)=1,Q11*0.22,"")</f>
        <v/>
      </c>
      <c r="R13" s="13" t="n">
        <f aca="false">R11*0.22</f>
        <v>21120</v>
      </c>
      <c r="S13" s="13" t="n">
        <f aca="false">S11*0.22</f>
        <v>21120</v>
      </c>
      <c r="T13" s="12" t="str">
        <f aca="false">IF(COUNT(T11)=1,T11*0.22,"")</f>
        <v/>
      </c>
      <c r="U13" s="12" t="n">
        <f aca="false">U11*0.22</f>
        <v>21120</v>
      </c>
      <c r="V13" s="12" t="n">
        <f aca="false">V11*0.22</f>
        <v>21120</v>
      </c>
      <c r="W13" s="13" t="str">
        <f aca="false">IF(COUNT(W11)=1,W11*0.22,"")</f>
        <v/>
      </c>
      <c r="X13" s="13" t="n">
        <f aca="false">X11*0.22</f>
        <v>21120</v>
      </c>
      <c r="Y13" s="13" t="n">
        <f aca="false">Y11*0.22</f>
        <v>21120</v>
      </c>
      <c r="Z13" s="12" t="str">
        <f aca="false">IF(COUNT(Z11)=1,Z11*0.22,"")</f>
        <v/>
      </c>
      <c r="AA13" s="12" t="n">
        <f aca="false">AA11*0.22</f>
        <v>21120</v>
      </c>
      <c r="AB13" s="12" t="n">
        <f aca="false">AB11*0.22</f>
        <v>21120</v>
      </c>
      <c r="AC13" s="13" t="str">
        <f aca="false">IF(COUNT(AC11)=1,AC11*0.22,"")</f>
        <v/>
      </c>
      <c r="AD13" s="13" t="n">
        <f aca="false">AD11*0.22</f>
        <v>21120</v>
      </c>
      <c r="AE13" s="13" t="n">
        <f aca="false">AE11*0.22</f>
        <v>21120</v>
      </c>
      <c r="AF13" s="12" t="str">
        <f aca="false">IF(COUNT(AF11)=1,AF11*0.22,"")</f>
        <v/>
      </c>
      <c r="AG13" s="12" t="n">
        <f aca="false">AG11*0.22</f>
        <v>21120</v>
      </c>
      <c r="AH13" s="12" t="n">
        <f aca="false">AH11*0.22</f>
        <v>21120</v>
      </c>
      <c r="AI13" s="13" t="str">
        <f aca="false">IF(COUNT(AI11)=1,AI11*0.22,"")</f>
        <v/>
      </c>
      <c r="AJ13" s="13" t="n">
        <f aca="false">AJ11*0.22</f>
        <v>21120</v>
      </c>
      <c r="AK13" s="13" t="n">
        <f aca="false">AK11*0.22</f>
        <v>21120</v>
      </c>
      <c r="AL13" s="12" t="str">
        <f aca="false">IF(COUNT(AL11)=1,AL11*0.22,"")</f>
        <v/>
      </c>
      <c r="AM13" s="12" t="n">
        <f aca="false">AM11*0.22</f>
        <v>21120</v>
      </c>
      <c r="AN13" s="12" t="n">
        <f aca="false">AN11*0.22</f>
        <v>21120</v>
      </c>
      <c r="AO13" s="13" t="str">
        <f aca="false">IF(COUNT(AO11)=1,AO11*0.22,"")</f>
        <v/>
      </c>
      <c r="AP13" s="13" t="n">
        <f aca="false">AP11*0.22</f>
        <v>19580</v>
      </c>
      <c r="AQ13" s="13" t="n">
        <f aca="false">AQ11*0.22</f>
        <v>19580</v>
      </c>
      <c r="AR13" s="12" t="str">
        <f aca="false">IF(COUNT(AR11)=1,AR11*0.22,"")</f>
        <v/>
      </c>
      <c r="AS13" s="12" t="n">
        <f aca="false">AS11*0.22</f>
        <v>19580</v>
      </c>
      <c r="AT13" s="12" t="n">
        <f aca="false">AT11*0.22</f>
        <v>19580</v>
      </c>
      <c r="AU13" s="13" t="str">
        <f aca="false">IF(COUNT(AU11)=1,AU11*0.22,"")</f>
        <v/>
      </c>
      <c r="AV13" s="13" t="n">
        <f aca="false">AV11*0.22</f>
        <v>19580</v>
      </c>
      <c r="AW13" s="13" t="n">
        <f aca="false">AW11*0.22</f>
        <v>19580</v>
      </c>
      <c r="AX13" s="12" t="str">
        <f aca="false">IF(COUNT(AX11)=1,AX11*0.22,"")</f>
        <v/>
      </c>
      <c r="AY13" s="12" t="n">
        <f aca="false">AY11*0.22</f>
        <v>19580</v>
      </c>
      <c r="AZ13" s="12" t="n">
        <f aca="false">AZ11*0.22</f>
        <v>19580</v>
      </c>
      <c r="BA13" s="13" t="str">
        <f aca="false">IF(COUNT(BA11)=1,BA11*0.22,"")</f>
        <v/>
      </c>
      <c r="BB13" s="13" t="n">
        <f aca="false">BB11*0.22</f>
        <v>19580</v>
      </c>
      <c r="BC13" s="13" t="n">
        <f aca="false">BC11*0.22</f>
        <v>19580</v>
      </c>
      <c r="BD13" s="12" t="str">
        <f aca="false">IF(COUNT(BD11)=1,BD11*0.22,"")</f>
        <v/>
      </c>
      <c r="BE13" s="12" t="n">
        <f aca="false">BE11*0.22</f>
        <v>19580</v>
      </c>
      <c r="BF13" s="12" t="n">
        <f aca="false">BF11*0.22</f>
        <v>19580</v>
      </c>
      <c r="BG13" s="13" t="str">
        <f aca="false">IF(COUNT(BG11)=1,BG11*0.22,"")</f>
        <v/>
      </c>
      <c r="BH13" s="13" t="n">
        <f aca="false">BH11*0.22</f>
        <v>18040</v>
      </c>
      <c r="BI13" s="13" t="n">
        <f aca="false">BI11*0.22</f>
        <v>18040</v>
      </c>
      <c r="BJ13" s="12" t="str">
        <f aca="false">IF(COUNT(BJ11)=1,BJ11*0.22,"")</f>
        <v/>
      </c>
      <c r="BK13" s="12" t="n">
        <f aca="false">BK11*0.22</f>
        <v>16060</v>
      </c>
      <c r="BL13" s="12" t="n">
        <f aca="false">BL11*0.22</f>
        <v>16060</v>
      </c>
      <c r="BM13" s="13" t="str">
        <f aca="false">IF(COUNT(BM11)=1,BM11*0.22,"")</f>
        <v/>
      </c>
      <c r="BN13" s="13" t="n">
        <f aca="false">BN11*0.22</f>
        <v>16060</v>
      </c>
      <c r="BO13" s="13" t="n">
        <f aca="false">BO11*0.22</f>
        <v>16060</v>
      </c>
      <c r="BP13" s="12" t="str">
        <f aca="false">IF(COUNT(BP11)=1,BP11*0.22,"")</f>
        <v/>
      </c>
      <c r="BQ13" s="12" t="n">
        <f aca="false">BQ11*0.22</f>
        <v>16060</v>
      </c>
      <c r="BR13" s="12" t="n">
        <f aca="false">BR11*0.22</f>
        <v>16060</v>
      </c>
      <c r="BS13" s="13" t="str">
        <f aca="false">IF(COUNT(BS11)=1,BS11*0.22,"")</f>
        <v/>
      </c>
      <c r="BT13" s="13" t="n">
        <f aca="false">BT11*0.22</f>
        <v>16060</v>
      </c>
      <c r="BU13" s="13" t="n">
        <f aca="false">BU11*0.22</f>
        <v>16060</v>
      </c>
      <c r="BV13" s="12" t="str">
        <f aca="false">IF(COUNT(BV11)=1,BV11*0.22,"")</f>
        <v/>
      </c>
      <c r="BW13" s="12" t="n">
        <f aca="false">BW11*0.22</f>
        <v>14520</v>
      </c>
      <c r="BX13" s="12" t="n">
        <f aca="false">BX11*0.22</f>
        <v>14520</v>
      </c>
      <c r="BY13" s="13" t="str">
        <f aca="false">IF(COUNT(BY11)=1,BY11*0.22,"")</f>
        <v/>
      </c>
      <c r="BZ13" s="13" t="n">
        <f aca="false">BZ11*0.22</f>
        <v>14520</v>
      </c>
      <c r="CA13" s="13" t="n">
        <f aca="false">CA11*0.22</f>
        <v>14520</v>
      </c>
      <c r="CB13" s="12" t="str">
        <f aca="false">IF(COUNT(CB11)=1,CB11*0.22,"")</f>
        <v/>
      </c>
      <c r="CC13" s="12" t="n">
        <f aca="false">CC11*0.22</f>
        <v>14520</v>
      </c>
      <c r="CD13" s="12" t="n">
        <f aca="false">CD11*0.22</f>
        <v>14520</v>
      </c>
      <c r="CE13" s="13" t="str">
        <f aca="false">IF(COUNT(CE11)=1,CE11*0.22,"")</f>
        <v/>
      </c>
      <c r="CF13" s="13" t="n">
        <f aca="false">CF11*0.22</f>
        <v>14520</v>
      </c>
      <c r="CG13" s="13" t="n">
        <f aca="false">CG11*0.22</f>
        <v>14520</v>
      </c>
      <c r="CH13" s="12" t="str">
        <f aca="false">IF(COUNT(CH11)=1,CH11*0.22,"")</f>
        <v/>
      </c>
      <c r="CI13" s="12" t="n">
        <f aca="false">CI11*0.22</f>
        <v>14520</v>
      </c>
      <c r="CJ13" s="12" t="n">
        <f aca="false">CJ11*0.22</f>
        <v>14520</v>
      </c>
      <c r="CK13" s="13" t="str">
        <f aca="false">IF(COUNT(CK11)=1,CK11*0.22,"")</f>
        <v/>
      </c>
      <c r="CL13" s="13" t="n">
        <f aca="false">CL11*0.22</f>
        <v>14520</v>
      </c>
      <c r="CM13" s="13" t="n">
        <f aca="false">CM11*0.22</f>
        <v>14520</v>
      </c>
      <c r="CN13" s="12" t="str">
        <f aca="false">IF(COUNT(CN11)=1,CN11*0.22,"")</f>
        <v/>
      </c>
      <c r="CO13" s="12" t="n">
        <f aca="false">CO11*0.22</f>
        <v>12980</v>
      </c>
      <c r="CP13" s="12" t="n">
        <f aca="false">CP11*0.22</f>
        <v>12980</v>
      </c>
      <c r="CQ13" s="13" t="str">
        <f aca="false">IF(COUNT(CQ11)=1,CQ11*0.22,"")</f>
        <v/>
      </c>
      <c r="CR13" s="13" t="n">
        <f aca="false">CR11*0.22</f>
        <v>12980</v>
      </c>
      <c r="CS13" s="13" t="n">
        <f aca="false">CS11*0.22</f>
        <v>12980</v>
      </c>
      <c r="CT13" s="12" t="str">
        <f aca="false">IF(COUNT(CT11)=1,CT11*0.22,"")</f>
        <v/>
      </c>
      <c r="CU13" s="12" t="n">
        <f aca="false">CU11*0.22</f>
        <v>12980</v>
      </c>
      <c r="CV13" s="12" t="n">
        <f aca="false">CV11*0.22</f>
        <v>12980</v>
      </c>
      <c r="CW13" s="13" t="str">
        <f aca="false">IF(COUNT(CW11)=1,CW11*0.22,"")</f>
        <v/>
      </c>
      <c r="CX13" s="13" t="n">
        <f aca="false">CX11*0.22</f>
        <v>12980</v>
      </c>
      <c r="CY13" s="13" t="n">
        <f aca="false">CY11*0.22</f>
        <v>12980</v>
      </c>
      <c r="CZ13" s="12" t="str">
        <f aca="false">IF(COUNT(CZ11)=1,CZ11*0.22,"")</f>
        <v/>
      </c>
      <c r="DA13" s="12" t="n">
        <f aca="false">DA11*0.22</f>
        <v>12980</v>
      </c>
      <c r="DB13" s="12" t="n">
        <f aca="false">DB11*0.22</f>
        <v>12980</v>
      </c>
      <c r="DC13" s="13" t="str">
        <f aca="false">IF(COUNT(DC11)=1,DC11*0.22,"")</f>
        <v/>
      </c>
      <c r="DD13" s="13" t="n">
        <f aca="false">DD11*0.22</f>
        <v>12980</v>
      </c>
      <c r="DE13" s="13" t="n">
        <f aca="false">DE11*0.22</f>
        <v>12980</v>
      </c>
      <c r="DF13" s="12" t="str">
        <f aca="false">IF(COUNT(DF11)=1,DF11*0.22,"")</f>
        <v/>
      </c>
      <c r="DG13" s="12" t="n">
        <f aca="false">DG11*0.22</f>
        <v>12980</v>
      </c>
      <c r="DH13" s="12" t="n">
        <f aca="false">DH11*0.22</f>
        <v>12980</v>
      </c>
      <c r="DI13" s="13" t="n">
        <f aca="false">IF(COUNT(DI11)=1,DI11*0.22,"")</f>
        <v>12980</v>
      </c>
      <c r="DJ13" s="13" t="n">
        <f aca="false">DJ11*0.22</f>
        <v>12980</v>
      </c>
      <c r="DK13" s="13" t="n">
        <f aca="false">DK11*0.22</f>
        <v>12980</v>
      </c>
      <c r="DL13" s="12" t="n">
        <f aca="false">IF(COUNT(DL11)=1,DL11*0.22,"")</f>
        <v>12980</v>
      </c>
      <c r="DM13" s="12" t="n">
        <f aca="false">DM11*0.22</f>
        <v>12980</v>
      </c>
      <c r="DN13" s="12" t="n">
        <f aca="false">DN11*0.22</f>
        <v>12980</v>
      </c>
    </row>
    <row r="14" customFormat="false" ht="15" hidden="false" customHeight="false" outlineLevel="0" collapsed="false">
      <c r="A14" s="5" t="s">
        <v>161</v>
      </c>
      <c r="B14" s="12" t="str">
        <f aca="false">IF(COUNT(AR14,AO14,AL14,AI14,AF14,AC14,Z14,W14,T14,Q14,N14,K14)=0,"",SUM(AR14,AO14,AL14,AI14,AF14,AC14,Z14,W14,T14,Q14,N14,K14))</f>
        <v/>
      </c>
      <c r="C14" s="12" t="n">
        <f aca="false">IF(COUNT(AS14,AP14,AM14,AJ14,AG14,AD14,AA14,X14,U14,R14,O14,L14)=0,"",SUM(AS14,AP14,AM14,AJ14,AG14,AD14,AA14,X14,U14,R14,O14,L14))</f>
        <v>36000</v>
      </c>
      <c r="D14" s="12" t="n">
        <f aca="false">IF(COUNT(AT14,AQ14,AN14,AK14,AH14,AE14,AB14,Y14,V14,S14,P14,M14)=0,"",SUM(AT14,AQ14,AN14,AK14,AH14,AE14,AB14,Y14,V14,S14,P14,M14))</f>
        <v>36000</v>
      </c>
      <c r="E14" s="13" t="str">
        <f aca="false">IF(COUNT(CB14,BY14,BV14,BS14,BP14,BM14,BJ14,BG14,BD14,BA14,AX14,AU14)=0,"",SUM(CB14,BY14,BV14,BS14,BP14,BM14,BJ14,BG14,BD14,BA14,AX14,AU14))</f>
        <v/>
      </c>
      <c r="F14" s="13" t="n">
        <f aca="false">IF(COUNT(CC14,BZ14,BW14,BT14,BQ14,BN14,BK14,BH14,BE14,BB14,AY14,AV14)=0,"",SUM(CC14,BZ14,BW14,BT14,BQ14,BN14,BK14,BH14,BE14,BB14,AY14,AV14))</f>
        <v>36000</v>
      </c>
      <c r="G14" s="13" t="n">
        <f aca="false">IF(COUNT(CD14,CA14,BX14,BU14,BR14,BO14,BL14,BI14,BF14,BC14,AZ14,AW14)=0,"",SUM(CD14,CA14,BX14,BU14,BR14,BO14,BL14,BI14,BF14,BC14,AZ14,AW14))</f>
        <v>36000</v>
      </c>
      <c r="H14" s="12" t="n">
        <f aca="false">IF(COUNT(DL14,DI14,DF14,DC14,CZ14,CW14,CT14,CQ14,CN14,CK14,CH14,CE14)=0,"",SUM(DL14,DI14,DF14,DC14,CZ14,CW14,CT14,CQ14,CN14,CK14,CH14,CE14))</f>
        <v>6000</v>
      </c>
      <c r="I14" s="12" t="n">
        <f aca="false">IF(COUNT(DM14,DJ14,DG14,DD14,DA14,CX14,CU14,CR14,CO14,CL14,CI14,CF14)=0,"",SUM(DM14,DJ14,DG14,DD14,DA14,CX14,CU14,CR14,CO14,CL14,CI14,CF14))</f>
        <v>36000</v>
      </c>
      <c r="J14" s="12" t="n">
        <f aca="false">IF(COUNT(DN14,DK14,DH14,DE14,DB14,CY14,CV14,CS14,CP14,CM14,CJ14,CG14)=0,"",SUM(DN14,DK14,DH14,DE14,DB14,CY14,CV14,CS14,CP14,CM14,CJ14,CG14))</f>
        <v>36000</v>
      </c>
      <c r="K14" s="13"/>
      <c r="L14" s="13" t="n">
        <f aca="false">IF('Cash Drivers'!L$26,Support!K14,Support!M14)</f>
        <v>3000</v>
      </c>
      <c r="M14" s="89" t="n">
        <v>3000</v>
      </c>
      <c r="N14" s="12"/>
      <c r="O14" s="12" t="n">
        <f aca="false">IF('Cash Drivers'!O$26,Support!N14,Support!P14)</f>
        <v>3000</v>
      </c>
      <c r="P14" s="90" t="n">
        <v>3000</v>
      </c>
      <c r="Q14" s="13"/>
      <c r="R14" s="13" t="n">
        <f aca="false">IF('Cash Drivers'!R$26,Support!Q14,Support!S14)</f>
        <v>3000</v>
      </c>
      <c r="S14" s="89" t="n">
        <v>3000</v>
      </c>
      <c r="T14" s="12"/>
      <c r="U14" s="12" t="n">
        <f aca="false">IF('Cash Drivers'!U$26,Support!T14,Support!V14)</f>
        <v>3000</v>
      </c>
      <c r="V14" s="90" t="n">
        <v>3000</v>
      </c>
      <c r="W14" s="13"/>
      <c r="X14" s="13" t="n">
        <f aca="false">IF('Cash Drivers'!X$26,Support!W14,Support!Y14)</f>
        <v>3000</v>
      </c>
      <c r="Y14" s="89" t="n">
        <v>3000</v>
      </c>
      <c r="Z14" s="12"/>
      <c r="AA14" s="12" t="n">
        <f aca="false">IF('Cash Drivers'!AA$26,Support!Z14,Support!AB14)</f>
        <v>3000</v>
      </c>
      <c r="AB14" s="90" t="n">
        <v>3000</v>
      </c>
      <c r="AC14" s="13"/>
      <c r="AD14" s="13" t="n">
        <f aca="false">IF('Cash Drivers'!AD$26,Support!AC14,Support!AE14)</f>
        <v>3000</v>
      </c>
      <c r="AE14" s="89" t="n">
        <v>3000</v>
      </c>
      <c r="AF14" s="12"/>
      <c r="AG14" s="12" t="n">
        <f aca="false">IF('Cash Drivers'!AG$26,Support!AF14,Support!AH14)</f>
        <v>3000</v>
      </c>
      <c r="AH14" s="90" t="n">
        <v>3000</v>
      </c>
      <c r="AI14" s="13"/>
      <c r="AJ14" s="13" t="n">
        <f aca="false">IF('Cash Drivers'!AJ$26,Support!AI14,Support!AK14)</f>
        <v>3000</v>
      </c>
      <c r="AK14" s="89" t="n">
        <v>3000</v>
      </c>
      <c r="AL14" s="12"/>
      <c r="AM14" s="12" t="n">
        <f aca="false">IF('Cash Drivers'!AM$26,Support!AL14,Support!AN14)</f>
        <v>3000</v>
      </c>
      <c r="AN14" s="90" t="n">
        <v>3000</v>
      </c>
      <c r="AO14" s="13"/>
      <c r="AP14" s="13" t="n">
        <f aca="false">IF('Cash Drivers'!AP$26,Support!AO14,Support!AQ14)</f>
        <v>3000</v>
      </c>
      <c r="AQ14" s="89" t="n">
        <v>3000</v>
      </c>
      <c r="AR14" s="12"/>
      <c r="AS14" s="12" t="n">
        <f aca="false">IF('Cash Drivers'!AS$26,Support!AR14,Support!AT14)</f>
        <v>3000</v>
      </c>
      <c r="AT14" s="90" t="n">
        <v>3000</v>
      </c>
      <c r="AU14" s="13"/>
      <c r="AV14" s="13" t="n">
        <f aca="false">IF('Cash Drivers'!AV$26,Support!AU14,Support!AW14)</f>
        <v>3000</v>
      </c>
      <c r="AW14" s="89" t="n">
        <v>3000</v>
      </c>
      <c r="AX14" s="12"/>
      <c r="AY14" s="12" t="n">
        <f aca="false">IF('Cash Drivers'!AY$26,Support!AX14,Support!AZ14)</f>
        <v>3000</v>
      </c>
      <c r="AZ14" s="90" t="n">
        <v>3000</v>
      </c>
      <c r="BA14" s="13"/>
      <c r="BB14" s="13" t="n">
        <f aca="false">IF('Cash Drivers'!BB$26,Support!BA14,Support!BC14)</f>
        <v>3000</v>
      </c>
      <c r="BC14" s="89" t="n">
        <v>3000</v>
      </c>
      <c r="BD14" s="12"/>
      <c r="BE14" s="12" t="n">
        <f aca="false">IF('Cash Drivers'!BE$26,Support!BD14,Support!BF14)</f>
        <v>3000</v>
      </c>
      <c r="BF14" s="90" t="n">
        <v>3000</v>
      </c>
      <c r="BG14" s="13"/>
      <c r="BH14" s="13" t="n">
        <f aca="false">IF('Cash Drivers'!BH$26,Support!BG14,Support!BI14)</f>
        <v>3000</v>
      </c>
      <c r="BI14" s="89" t="n">
        <v>3000</v>
      </c>
      <c r="BJ14" s="12"/>
      <c r="BK14" s="12" t="n">
        <f aca="false">IF('Cash Drivers'!BK$26,Support!BJ14,Support!BL14)</f>
        <v>3000</v>
      </c>
      <c r="BL14" s="90" t="n">
        <v>3000</v>
      </c>
      <c r="BM14" s="13"/>
      <c r="BN14" s="13" t="n">
        <f aca="false">IF('Cash Drivers'!BN$26,Support!BM14,Support!BO14)</f>
        <v>3000</v>
      </c>
      <c r="BO14" s="89" t="n">
        <v>3000</v>
      </c>
      <c r="BP14" s="12"/>
      <c r="BQ14" s="12" t="n">
        <f aca="false">IF('Cash Drivers'!BQ$26,Support!BP14,Support!BR14)</f>
        <v>3000</v>
      </c>
      <c r="BR14" s="90" t="n">
        <v>3000</v>
      </c>
      <c r="BS14" s="13"/>
      <c r="BT14" s="13" t="n">
        <f aca="false">IF('Cash Drivers'!BT$26,Support!BS14,Support!BU14)</f>
        <v>3000</v>
      </c>
      <c r="BU14" s="89" t="n">
        <v>3000</v>
      </c>
      <c r="BV14" s="12"/>
      <c r="BW14" s="12" t="n">
        <f aca="false">IF('Cash Drivers'!BW$26,Support!BV14,Support!BX14)</f>
        <v>3000</v>
      </c>
      <c r="BX14" s="90" t="n">
        <v>3000</v>
      </c>
      <c r="BY14" s="13"/>
      <c r="BZ14" s="13" t="n">
        <f aca="false">IF('Cash Drivers'!BZ$26,Support!BY14,Support!CA14)</f>
        <v>3000</v>
      </c>
      <c r="CA14" s="89" t="n">
        <v>3000</v>
      </c>
      <c r="CB14" s="12"/>
      <c r="CC14" s="12" t="n">
        <f aca="false">IF('Cash Drivers'!CC$26,Support!CB14,Support!CD14)</f>
        <v>3000</v>
      </c>
      <c r="CD14" s="90" t="n">
        <v>3000</v>
      </c>
      <c r="CE14" s="13"/>
      <c r="CF14" s="13" t="n">
        <f aca="false">IF('Cash Drivers'!CF$26,Support!CE14,Support!CG14)</f>
        <v>3000</v>
      </c>
      <c r="CG14" s="89" t="n">
        <v>3000</v>
      </c>
      <c r="CH14" s="12"/>
      <c r="CI14" s="12" t="n">
        <f aca="false">IF('Cash Drivers'!CI$26,Support!CH14,Support!CJ14)</f>
        <v>3000</v>
      </c>
      <c r="CJ14" s="90" t="n">
        <v>3000</v>
      </c>
      <c r="CK14" s="13"/>
      <c r="CL14" s="13" t="n">
        <f aca="false">IF('Cash Drivers'!CL$26,Support!CK14,Support!CM14)</f>
        <v>3000</v>
      </c>
      <c r="CM14" s="89" t="n">
        <v>3000</v>
      </c>
      <c r="CN14" s="12"/>
      <c r="CO14" s="12" t="n">
        <f aca="false">IF('Cash Drivers'!CO$26,Support!CN14,Support!CP14)</f>
        <v>3000</v>
      </c>
      <c r="CP14" s="90" t="n">
        <v>3000</v>
      </c>
      <c r="CQ14" s="13"/>
      <c r="CR14" s="13" t="n">
        <f aca="false">IF('Cash Drivers'!CR$26,Support!CQ14,Support!CS14)</f>
        <v>3000</v>
      </c>
      <c r="CS14" s="89" t="n">
        <v>3000</v>
      </c>
      <c r="CT14" s="12"/>
      <c r="CU14" s="12" t="n">
        <f aca="false">IF('Cash Drivers'!CU$26,Support!CT14,Support!CV14)</f>
        <v>3000</v>
      </c>
      <c r="CV14" s="90" t="n">
        <v>3000</v>
      </c>
      <c r="CW14" s="13"/>
      <c r="CX14" s="13" t="n">
        <f aca="false">IF('Cash Drivers'!CX$26,Support!CW14,Support!CY14)</f>
        <v>3000</v>
      </c>
      <c r="CY14" s="89" t="n">
        <v>3000</v>
      </c>
      <c r="CZ14" s="12"/>
      <c r="DA14" s="12" t="n">
        <f aca="false">IF('Cash Drivers'!DA$26,Support!CZ14,Support!DB14)</f>
        <v>3000</v>
      </c>
      <c r="DB14" s="90" t="n">
        <v>3000</v>
      </c>
      <c r="DC14" s="13"/>
      <c r="DD14" s="13" t="n">
        <f aca="false">IF('Cash Drivers'!DD$26,Support!DC14,Support!DE14)</f>
        <v>3000</v>
      </c>
      <c r="DE14" s="89" t="n">
        <v>3000</v>
      </c>
      <c r="DF14" s="12"/>
      <c r="DG14" s="12" t="n">
        <f aca="false">IF('Cash Drivers'!DG$26,Support!DF14,Support!DH14)</f>
        <v>3000</v>
      </c>
      <c r="DH14" s="90" t="n">
        <v>3000</v>
      </c>
      <c r="DI14" s="89" t="n">
        <v>3000</v>
      </c>
      <c r="DJ14" s="13" t="n">
        <f aca="false">IF('Cash Drivers'!DJ$26,Support!DI14,Support!DK14)</f>
        <v>3000</v>
      </c>
      <c r="DK14" s="89" t="n">
        <v>3000</v>
      </c>
      <c r="DL14" s="90" t="n">
        <v>3000</v>
      </c>
      <c r="DM14" s="12" t="n">
        <f aca="false">IF('Cash Drivers'!DM$26,Support!DL14,Support!DN14)</f>
        <v>3000</v>
      </c>
      <c r="DN14" s="90" t="n">
        <v>3000</v>
      </c>
    </row>
    <row r="15" customFormat="false" ht="15" hidden="false" customHeight="false" outlineLevel="0" collapsed="false">
      <c r="A15" s="5" t="s">
        <v>162</v>
      </c>
      <c r="B15" s="12" t="str">
        <f aca="false">IF(COUNT(AR15,AO15,AL15,AI15,AF15,AC15,Z15,W15,T15,Q15,N15,K15)=0,"",SUM(AR15,AO15,AL15,AI15,AF15,AC15,Z15,W15,T15,Q15,N15,K15))</f>
        <v/>
      </c>
      <c r="C15" s="12" t="n">
        <f aca="false">IF(COUNT(AS15,AP15,AM15,AJ15,AG15,AD15,AA15,X15,U15,R15,O15,L15)=0,"",SUM(AS15,AP15,AM15,AJ15,AG15,AD15,AA15,X15,U15,R15,O15,L15))</f>
        <v>6000</v>
      </c>
      <c r="D15" s="12" t="n">
        <f aca="false">IF(COUNT(AT15,AQ15,AN15,AK15,AH15,AE15,AB15,Y15,V15,S15,P15,M15)=0,"",SUM(AT15,AQ15,AN15,AK15,AH15,AE15,AB15,Y15,V15,S15,P15,M15))</f>
        <v>6000</v>
      </c>
      <c r="E15" s="13" t="str">
        <f aca="false">IF(COUNT(CB15,BY15,BV15,BS15,BP15,BM15,BJ15,BG15,BD15,BA15,AX15,AU15)=0,"",SUM(CB15,BY15,BV15,BS15,BP15,BM15,BJ15,BG15,BD15,BA15,AX15,AU15))</f>
        <v/>
      </c>
      <c r="F15" s="13" t="n">
        <f aca="false">IF(COUNT(CC15,BZ15,BW15,BT15,BQ15,BN15,BK15,BH15,BE15,BB15,AY15,AV15)=0,"",SUM(CC15,BZ15,BW15,BT15,BQ15,BN15,BK15,BH15,BE15,BB15,AY15,AV15))</f>
        <v>6000</v>
      </c>
      <c r="G15" s="13" t="n">
        <f aca="false">IF(COUNT(CD15,CA15,BX15,BU15,BR15,BO15,BL15,BI15,BF15,BC15,AZ15,AW15)=0,"",SUM(CD15,CA15,BX15,BU15,BR15,BO15,BL15,BI15,BF15,BC15,AZ15,AW15))</f>
        <v>6000</v>
      </c>
      <c r="H15" s="12" t="n">
        <f aca="false">IF(COUNT(DL15,DI15,DF15,DC15,CZ15,CW15,CT15,CQ15,CN15,CK15,CH15,CE15)=0,"",SUM(DL15,DI15,DF15,DC15,CZ15,CW15,CT15,CQ15,CN15,CK15,CH15,CE15))</f>
        <v>1000</v>
      </c>
      <c r="I15" s="12" t="n">
        <f aca="false">IF(COUNT(DM15,DJ15,DG15,DD15,DA15,CX15,CU15,CR15,CO15,CL15,CI15,CF15)=0,"",SUM(DM15,DJ15,DG15,DD15,DA15,CX15,CU15,CR15,CO15,CL15,CI15,CF15))</f>
        <v>6000</v>
      </c>
      <c r="J15" s="12" t="n">
        <f aca="false">IF(COUNT(DN15,DK15,DH15,DE15,DB15,CY15,CV15,CS15,CP15,CM15,CJ15,CG15)=0,"",SUM(DN15,DK15,DH15,DE15,DB15,CY15,CV15,CS15,CP15,CM15,CJ15,CG15))</f>
        <v>6000</v>
      </c>
      <c r="K15" s="13"/>
      <c r="L15" s="13" t="n">
        <f aca="false">IF('Cash Drivers'!L$26,Support!K15,Support!M15)</f>
        <v>500</v>
      </c>
      <c r="M15" s="89" t="n">
        <v>500</v>
      </c>
      <c r="N15" s="12"/>
      <c r="O15" s="12" t="n">
        <f aca="false">IF('Cash Drivers'!O$26,Support!N15,Support!P15)</f>
        <v>500</v>
      </c>
      <c r="P15" s="90" t="n">
        <v>500</v>
      </c>
      <c r="Q15" s="13"/>
      <c r="R15" s="13" t="n">
        <f aca="false">IF('Cash Drivers'!R$26,Support!Q15,Support!S15)</f>
        <v>500</v>
      </c>
      <c r="S15" s="89" t="n">
        <v>500</v>
      </c>
      <c r="T15" s="12"/>
      <c r="U15" s="12" t="n">
        <f aca="false">IF('Cash Drivers'!U$26,Support!T15,Support!V15)</f>
        <v>500</v>
      </c>
      <c r="V15" s="90" t="n">
        <v>500</v>
      </c>
      <c r="W15" s="13"/>
      <c r="X15" s="13" t="n">
        <f aca="false">IF('Cash Drivers'!X$26,Support!W15,Support!Y15)</f>
        <v>500</v>
      </c>
      <c r="Y15" s="89" t="n">
        <v>500</v>
      </c>
      <c r="Z15" s="12"/>
      <c r="AA15" s="12" t="n">
        <f aca="false">IF('Cash Drivers'!AA$26,Support!Z15,Support!AB15)</f>
        <v>500</v>
      </c>
      <c r="AB15" s="90" t="n">
        <v>500</v>
      </c>
      <c r="AC15" s="13"/>
      <c r="AD15" s="13" t="n">
        <f aca="false">IF('Cash Drivers'!AD$26,Support!AC15,Support!AE15)</f>
        <v>500</v>
      </c>
      <c r="AE15" s="89" t="n">
        <v>500</v>
      </c>
      <c r="AF15" s="12"/>
      <c r="AG15" s="12" t="n">
        <f aca="false">IF('Cash Drivers'!AG$26,Support!AF15,Support!AH15)</f>
        <v>500</v>
      </c>
      <c r="AH15" s="90" t="n">
        <v>500</v>
      </c>
      <c r="AI15" s="13"/>
      <c r="AJ15" s="13" t="n">
        <f aca="false">IF('Cash Drivers'!AJ$26,Support!AI15,Support!AK15)</f>
        <v>500</v>
      </c>
      <c r="AK15" s="89" t="n">
        <v>500</v>
      </c>
      <c r="AL15" s="12"/>
      <c r="AM15" s="12" t="n">
        <f aca="false">IF('Cash Drivers'!AM$26,Support!AL15,Support!AN15)</f>
        <v>500</v>
      </c>
      <c r="AN15" s="90" t="n">
        <v>500</v>
      </c>
      <c r="AO15" s="13"/>
      <c r="AP15" s="13" t="n">
        <f aca="false">IF('Cash Drivers'!AP$26,Support!AO15,Support!AQ15)</f>
        <v>500</v>
      </c>
      <c r="AQ15" s="89" t="n">
        <v>500</v>
      </c>
      <c r="AR15" s="12"/>
      <c r="AS15" s="12" t="n">
        <f aca="false">IF('Cash Drivers'!AS$26,Support!AR15,Support!AT15)</f>
        <v>500</v>
      </c>
      <c r="AT15" s="90" t="n">
        <v>500</v>
      </c>
      <c r="AU15" s="13"/>
      <c r="AV15" s="13" t="n">
        <f aca="false">IF('Cash Drivers'!AV$26,Support!AU15,Support!AW15)</f>
        <v>500</v>
      </c>
      <c r="AW15" s="89" t="n">
        <v>500</v>
      </c>
      <c r="AX15" s="12"/>
      <c r="AY15" s="12" t="n">
        <f aca="false">IF('Cash Drivers'!AY$26,Support!AX15,Support!AZ15)</f>
        <v>500</v>
      </c>
      <c r="AZ15" s="90" t="n">
        <v>500</v>
      </c>
      <c r="BA15" s="13"/>
      <c r="BB15" s="13" t="n">
        <f aca="false">IF('Cash Drivers'!BB$26,Support!BA15,Support!BC15)</f>
        <v>500</v>
      </c>
      <c r="BC15" s="89" t="n">
        <v>500</v>
      </c>
      <c r="BD15" s="12"/>
      <c r="BE15" s="12" t="n">
        <f aca="false">IF('Cash Drivers'!BE$26,Support!BD15,Support!BF15)</f>
        <v>500</v>
      </c>
      <c r="BF15" s="90" t="n">
        <v>500</v>
      </c>
      <c r="BG15" s="13"/>
      <c r="BH15" s="13" t="n">
        <f aca="false">IF('Cash Drivers'!BH$26,Support!BG15,Support!BI15)</f>
        <v>500</v>
      </c>
      <c r="BI15" s="89" t="n">
        <v>500</v>
      </c>
      <c r="BJ15" s="12"/>
      <c r="BK15" s="12" t="n">
        <f aca="false">IF('Cash Drivers'!BK$26,Support!BJ15,Support!BL15)</f>
        <v>500</v>
      </c>
      <c r="BL15" s="90" t="n">
        <v>500</v>
      </c>
      <c r="BM15" s="13"/>
      <c r="BN15" s="13" t="n">
        <f aca="false">IF('Cash Drivers'!BN$26,Support!BM15,Support!BO15)</f>
        <v>500</v>
      </c>
      <c r="BO15" s="89" t="n">
        <v>500</v>
      </c>
      <c r="BP15" s="12"/>
      <c r="BQ15" s="12" t="n">
        <f aca="false">IF('Cash Drivers'!BQ$26,Support!BP15,Support!BR15)</f>
        <v>500</v>
      </c>
      <c r="BR15" s="90" t="n">
        <v>500</v>
      </c>
      <c r="BS15" s="13"/>
      <c r="BT15" s="13" t="n">
        <f aca="false">IF('Cash Drivers'!BT$26,Support!BS15,Support!BU15)</f>
        <v>500</v>
      </c>
      <c r="BU15" s="89" t="n">
        <v>500</v>
      </c>
      <c r="BV15" s="12"/>
      <c r="BW15" s="12" t="n">
        <f aca="false">IF('Cash Drivers'!BW$26,Support!BV15,Support!BX15)</f>
        <v>500</v>
      </c>
      <c r="BX15" s="90" t="n">
        <v>500</v>
      </c>
      <c r="BY15" s="13"/>
      <c r="BZ15" s="13" t="n">
        <f aca="false">IF('Cash Drivers'!BZ$26,Support!BY15,Support!CA15)</f>
        <v>500</v>
      </c>
      <c r="CA15" s="89" t="n">
        <v>500</v>
      </c>
      <c r="CB15" s="12"/>
      <c r="CC15" s="12" t="n">
        <f aca="false">IF('Cash Drivers'!CC$26,Support!CB15,Support!CD15)</f>
        <v>500</v>
      </c>
      <c r="CD15" s="90" t="n">
        <v>500</v>
      </c>
      <c r="CE15" s="13"/>
      <c r="CF15" s="13" t="n">
        <f aca="false">IF('Cash Drivers'!CF$26,Support!CE15,Support!CG15)</f>
        <v>500</v>
      </c>
      <c r="CG15" s="89" t="n">
        <v>500</v>
      </c>
      <c r="CH15" s="12"/>
      <c r="CI15" s="12" t="n">
        <f aca="false">IF('Cash Drivers'!CI$26,Support!CH15,Support!CJ15)</f>
        <v>500</v>
      </c>
      <c r="CJ15" s="90" t="n">
        <v>500</v>
      </c>
      <c r="CK15" s="13"/>
      <c r="CL15" s="13" t="n">
        <f aca="false">IF('Cash Drivers'!CL$26,Support!CK15,Support!CM15)</f>
        <v>500</v>
      </c>
      <c r="CM15" s="89" t="n">
        <v>500</v>
      </c>
      <c r="CN15" s="12"/>
      <c r="CO15" s="12" t="n">
        <f aca="false">IF('Cash Drivers'!CO$26,Support!CN15,Support!CP15)</f>
        <v>500</v>
      </c>
      <c r="CP15" s="90" t="n">
        <v>500</v>
      </c>
      <c r="CQ15" s="13"/>
      <c r="CR15" s="13" t="n">
        <f aca="false">IF('Cash Drivers'!CR$26,Support!CQ15,Support!CS15)</f>
        <v>500</v>
      </c>
      <c r="CS15" s="89" t="n">
        <v>500</v>
      </c>
      <c r="CT15" s="12"/>
      <c r="CU15" s="12" t="n">
        <f aca="false">IF('Cash Drivers'!CU$26,Support!CT15,Support!CV15)</f>
        <v>500</v>
      </c>
      <c r="CV15" s="90" t="n">
        <v>500</v>
      </c>
      <c r="CW15" s="13"/>
      <c r="CX15" s="13" t="n">
        <f aca="false">IF('Cash Drivers'!CX$26,Support!CW15,Support!CY15)</f>
        <v>500</v>
      </c>
      <c r="CY15" s="89" t="n">
        <v>500</v>
      </c>
      <c r="CZ15" s="12"/>
      <c r="DA15" s="12" t="n">
        <f aca="false">IF('Cash Drivers'!DA$26,Support!CZ15,Support!DB15)</f>
        <v>500</v>
      </c>
      <c r="DB15" s="90" t="n">
        <v>500</v>
      </c>
      <c r="DC15" s="13"/>
      <c r="DD15" s="13" t="n">
        <f aca="false">IF('Cash Drivers'!DD$26,Support!DC15,Support!DE15)</f>
        <v>500</v>
      </c>
      <c r="DE15" s="89" t="n">
        <v>500</v>
      </c>
      <c r="DF15" s="12"/>
      <c r="DG15" s="12" t="n">
        <f aca="false">IF('Cash Drivers'!DG$26,Support!DF15,Support!DH15)</f>
        <v>500</v>
      </c>
      <c r="DH15" s="90" t="n">
        <v>500</v>
      </c>
      <c r="DI15" s="89" t="n">
        <v>500</v>
      </c>
      <c r="DJ15" s="13" t="n">
        <f aca="false">IF('Cash Drivers'!DJ$26,Support!DI15,Support!DK15)</f>
        <v>500</v>
      </c>
      <c r="DK15" s="89" t="n">
        <v>500</v>
      </c>
      <c r="DL15" s="90" t="n">
        <v>500</v>
      </c>
      <c r="DM15" s="12" t="n">
        <f aca="false">IF('Cash Drivers'!DM$26,Support!DL15,Support!DN15)</f>
        <v>500</v>
      </c>
      <c r="DN15" s="90" t="n">
        <v>500</v>
      </c>
    </row>
    <row r="16" customFormat="false" ht="15" hidden="false" customHeight="false" outlineLevel="0" collapsed="false">
      <c r="A16" s="5" t="s">
        <v>163</v>
      </c>
      <c r="B16" s="12" t="str">
        <f aca="false">IF(COUNT(AR16,AO16,AL16,AI16,AF16,AC16,Z16,W16,T16,Q16,N16,K16)=0,"",SUM(AR16,AO16,AL16,AI16,AF16,AC16,Z16,W16,T16,Q16,N16,K16))</f>
        <v/>
      </c>
      <c r="C16" s="12" t="n">
        <f aca="false">IF(COUNT(AS16,AP16,AM16,AJ16,AG16,AD16,AA16,X16,U16,R16,O16,L16)=0,"",SUM(AS16,AP16,AM16,AJ16,AG16,AD16,AA16,X16,U16,R16,O16,L16))</f>
        <v>6000</v>
      </c>
      <c r="D16" s="12" t="n">
        <f aca="false">IF(COUNT(AT16,AQ16,AN16,AK16,AH16,AE16,AB16,Y16,V16,S16,P16,M16)=0,"",SUM(AT16,AQ16,AN16,AK16,AH16,AE16,AB16,Y16,V16,S16,P16,M16))</f>
        <v>6000</v>
      </c>
      <c r="E16" s="13" t="str">
        <f aca="false">IF(COUNT(CB16,BY16,BV16,BS16,BP16,BM16,BJ16,BG16,BD16,BA16,AX16,AU16)=0,"",SUM(CB16,BY16,BV16,BS16,BP16,BM16,BJ16,BG16,BD16,BA16,AX16,AU16))</f>
        <v/>
      </c>
      <c r="F16" s="13" t="n">
        <f aca="false">IF(COUNT(CC16,BZ16,BW16,BT16,BQ16,BN16,BK16,BH16,BE16,BB16,AY16,AV16)=0,"",SUM(CC16,BZ16,BW16,BT16,BQ16,BN16,BK16,BH16,BE16,BB16,AY16,AV16))</f>
        <v>6000</v>
      </c>
      <c r="G16" s="13" t="n">
        <f aca="false">IF(COUNT(CD16,CA16,BX16,BU16,BR16,BO16,BL16,BI16,BF16,BC16,AZ16,AW16)=0,"",SUM(CD16,CA16,BX16,BU16,BR16,BO16,BL16,BI16,BF16,BC16,AZ16,AW16))</f>
        <v>6000</v>
      </c>
      <c r="H16" s="12" t="n">
        <f aca="false">IF(COUNT(DL16,DI16,DF16,DC16,CZ16,CW16,CT16,CQ16,CN16,CK16,CH16,CE16)=0,"",SUM(DL16,DI16,DF16,DC16,CZ16,CW16,CT16,CQ16,CN16,CK16,CH16,CE16))</f>
        <v>1000</v>
      </c>
      <c r="I16" s="12" t="n">
        <f aca="false">IF(COUNT(DM16,DJ16,DG16,DD16,DA16,CX16,CU16,CR16,CO16,CL16,CI16,CF16)=0,"",SUM(DM16,DJ16,DG16,DD16,DA16,CX16,CU16,CR16,CO16,CL16,CI16,CF16))</f>
        <v>6000</v>
      </c>
      <c r="J16" s="12" t="n">
        <f aca="false">IF(COUNT(DN16,DK16,DH16,DE16,DB16,CY16,CV16,CS16,CP16,CM16,CJ16,CG16)=0,"",SUM(DN16,DK16,DH16,DE16,DB16,CY16,CV16,CS16,CP16,CM16,CJ16,CG16))</f>
        <v>6000</v>
      </c>
      <c r="K16" s="13"/>
      <c r="L16" s="13" t="n">
        <f aca="false">IF('Cash Drivers'!L$26,Support!K16,Support!M16)</f>
        <v>500</v>
      </c>
      <c r="M16" s="89" t="n">
        <v>500</v>
      </c>
      <c r="N16" s="12"/>
      <c r="O16" s="12" t="n">
        <f aca="false">IF('Cash Drivers'!O$26,Support!N16,Support!P16)</f>
        <v>500</v>
      </c>
      <c r="P16" s="90" t="n">
        <v>500</v>
      </c>
      <c r="Q16" s="13"/>
      <c r="R16" s="13" t="n">
        <f aca="false">IF('Cash Drivers'!R$26,Support!Q16,Support!S16)</f>
        <v>500</v>
      </c>
      <c r="S16" s="89" t="n">
        <v>500</v>
      </c>
      <c r="T16" s="12"/>
      <c r="U16" s="12" t="n">
        <f aca="false">IF('Cash Drivers'!U$26,Support!T16,Support!V16)</f>
        <v>500</v>
      </c>
      <c r="V16" s="90" t="n">
        <v>500</v>
      </c>
      <c r="W16" s="13"/>
      <c r="X16" s="13" t="n">
        <f aca="false">IF('Cash Drivers'!X$26,Support!W16,Support!Y16)</f>
        <v>500</v>
      </c>
      <c r="Y16" s="89" t="n">
        <v>500</v>
      </c>
      <c r="Z16" s="12"/>
      <c r="AA16" s="12" t="n">
        <f aca="false">IF('Cash Drivers'!AA$26,Support!Z16,Support!AB16)</f>
        <v>500</v>
      </c>
      <c r="AB16" s="90" t="n">
        <v>500</v>
      </c>
      <c r="AC16" s="13"/>
      <c r="AD16" s="13" t="n">
        <f aca="false">IF('Cash Drivers'!AD$26,Support!AC16,Support!AE16)</f>
        <v>500</v>
      </c>
      <c r="AE16" s="89" t="n">
        <v>500</v>
      </c>
      <c r="AF16" s="12"/>
      <c r="AG16" s="12" t="n">
        <f aca="false">IF('Cash Drivers'!AG$26,Support!AF16,Support!AH16)</f>
        <v>500</v>
      </c>
      <c r="AH16" s="90" t="n">
        <v>500</v>
      </c>
      <c r="AI16" s="13"/>
      <c r="AJ16" s="13" t="n">
        <f aca="false">IF('Cash Drivers'!AJ$26,Support!AI16,Support!AK16)</f>
        <v>500</v>
      </c>
      <c r="AK16" s="89" t="n">
        <v>500</v>
      </c>
      <c r="AL16" s="12"/>
      <c r="AM16" s="12" t="n">
        <f aca="false">IF('Cash Drivers'!AM$26,Support!AL16,Support!AN16)</f>
        <v>500</v>
      </c>
      <c r="AN16" s="90" t="n">
        <v>500</v>
      </c>
      <c r="AO16" s="13"/>
      <c r="AP16" s="13" t="n">
        <f aca="false">IF('Cash Drivers'!AP$26,Support!AO16,Support!AQ16)</f>
        <v>500</v>
      </c>
      <c r="AQ16" s="89" t="n">
        <v>500</v>
      </c>
      <c r="AR16" s="12"/>
      <c r="AS16" s="12" t="n">
        <f aca="false">IF('Cash Drivers'!AS$26,Support!AR16,Support!AT16)</f>
        <v>500</v>
      </c>
      <c r="AT16" s="90" t="n">
        <v>500</v>
      </c>
      <c r="AU16" s="13"/>
      <c r="AV16" s="13" t="n">
        <f aca="false">IF('Cash Drivers'!AV$26,Support!AU16,Support!AW16)</f>
        <v>500</v>
      </c>
      <c r="AW16" s="89" t="n">
        <v>500</v>
      </c>
      <c r="AX16" s="12"/>
      <c r="AY16" s="12" t="n">
        <f aca="false">IF('Cash Drivers'!AY$26,Support!AX16,Support!AZ16)</f>
        <v>500</v>
      </c>
      <c r="AZ16" s="90" t="n">
        <v>500</v>
      </c>
      <c r="BA16" s="13"/>
      <c r="BB16" s="13" t="n">
        <f aca="false">IF('Cash Drivers'!BB$26,Support!BA16,Support!BC16)</f>
        <v>500</v>
      </c>
      <c r="BC16" s="89" t="n">
        <v>500</v>
      </c>
      <c r="BD16" s="12"/>
      <c r="BE16" s="12" t="n">
        <f aca="false">IF('Cash Drivers'!BE$26,Support!BD16,Support!BF16)</f>
        <v>500</v>
      </c>
      <c r="BF16" s="90" t="n">
        <v>500</v>
      </c>
      <c r="BG16" s="13"/>
      <c r="BH16" s="13" t="n">
        <f aca="false">IF('Cash Drivers'!BH$26,Support!BG16,Support!BI16)</f>
        <v>500</v>
      </c>
      <c r="BI16" s="89" t="n">
        <v>500</v>
      </c>
      <c r="BJ16" s="12"/>
      <c r="BK16" s="12" t="n">
        <f aca="false">IF('Cash Drivers'!BK$26,Support!BJ16,Support!BL16)</f>
        <v>500</v>
      </c>
      <c r="BL16" s="90" t="n">
        <v>500</v>
      </c>
      <c r="BM16" s="13"/>
      <c r="BN16" s="13" t="n">
        <f aca="false">IF('Cash Drivers'!BN$26,Support!BM16,Support!BO16)</f>
        <v>500</v>
      </c>
      <c r="BO16" s="89" t="n">
        <v>500</v>
      </c>
      <c r="BP16" s="12"/>
      <c r="BQ16" s="12" t="n">
        <f aca="false">IF('Cash Drivers'!BQ$26,Support!BP16,Support!BR16)</f>
        <v>500</v>
      </c>
      <c r="BR16" s="90" t="n">
        <v>500</v>
      </c>
      <c r="BS16" s="13"/>
      <c r="BT16" s="13" t="n">
        <f aca="false">IF('Cash Drivers'!BT$26,Support!BS16,Support!BU16)</f>
        <v>500</v>
      </c>
      <c r="BU16" s="89" t="n">
        <v>500</v>
      </c>
      <c r="BV16" s="12"/>
      <c r="BW16" s="12" t="n">
        <f aca="false">IF('Cash Drivers'!BW$26,Support!BV16,Support!BX16)</f>
        <v>500</v>
      </c>
      <c r="BX16" s="90" t="n">
        <v>500</v>
      </c>
      <c r="BY16" s="13"/>
      <c r="BZ16" s="13" t="n">
        <f aca="false">IF('Cash Drivers'!BZ$26,Support!BY16,Support!CA16)</f>
        <v>500</v>
      </c>
      <c r="CA16" s="89" t="n">
        <v>500</v>
      </c>
      <c r="CB16" s="12"/>
      <c r="CC16" s="12" t="n">
        <f aca="false">IF('Cash Drivers'!CC$26,Support!CB16,Support!CD16)</f>
        <v>500</v>
      </c>
      <c r="CD16" s="90" t="n">
        <v>500</v>
      </c>
      <c r="CE16" s="13"/>
      <c r="CF16" s="13" t="n">
        <f aca="false">IF('Cash Drivers'!CF$26,Support!CE16,Support!CG16)</f>
        <v>500</v>
      </c>
      <c r="CG16" s="89" t="n">
        <v>500</v>
      </c>
      <c r="CH16" s="12"/>
      <c r="CI16" s="12" t="n">
        <f aca="false">IF('Cash Drivers'!CI$26,Support!CH16,Support!CJ16)</f>
        <v>500</v>
      </c>
      <c r="CJ16" s="90" t="n">
        <v>500</v>
      </c>
      <c r="CK16" s="13"/>
      <c r="CL16" s="13" t="n">
        <f aca="false">IF('Cash Drivers'!CL$26,Support!CK16,Support!CM16)</f>
        <v>500</v>
      </c>
      <c r="CM16" s="89" t="n">
        <v>500</v>
      </c>
      <c r="CN16" s="12"/>
      <c r="CO16" s="12" t="n">
        <f aca="false">IF('Cash Drivers'!CO$26,Support!CN16,Support!CP16)</f>
        <v>500</v>
      </c>
      <c r="CP16" s="90" t="n">
        <v>500</v>
      </c>
      <c r="CQ16" s="13"/>
      <c r="CR16" s="13" t="n">
        <f aca="false">IF('Cash Drivers'!CR$26,Support!CQ16,Support!CS16)</f>
        <v>500</v>
      </c>
      <c r="CS16" s="89" t="n">
        <v>500</v>
      </c>
      <c r="CT16" s="12"/>
      <c r="CU16" s="12" t="n">
        <f aca="false">IF('Cash Drivers'!CU$26,Support!CT16,Support!CV16)</f>
        <v>500</v>
      </c>
      <c r="CV16" s="90" t="n">
        <v>500</v>
      </c>
      <c r="CW16" s="13"/>
      <c r="CX16" s="13" t="n">
        <f aca="false">IF('Cash Drivers'!CX$26,Support!CW16,Support!CY16)</f>
        <v>500</v>
      </c>
      <c r="CY16" s="89" t="n">
        <v>500</v>
      </c>
      <c r="CZ16" s="12"/>
      <c r="DA16" s="12" t="n">
        <f aca="false">IF('Cash Drivers'!DA$26,Support!CZ16,Support!DB16)</f>
        <v>500</v>
      </c>
      <c r="DB16" s="90" t="n">
        <v>500</v>
      </c>
      <c r="DC16" s="13"/>
      <c r="DD16" s="13" t="n">
        <f aca="false">IF('Cash Drivers'!DD$26,Support!DC16,Support!DE16)</f>
        <v>500</v>
      </c>
      <c r="DE16" s="89" t="n">
        <v>500</v>
      </c>
      <c r="DF16" s="12"/>
      <c r="DG16" s="12" t="n">
        <f aca="false">IF('Cash Drivers'!DG$26,Support!DF16,Support!DH16)</f>
        <v>500</v>
      </c>
      <c r="DH16" s="90" t="n">
        <v>500</v>
      </c>
      <c r="DI16" s="89" t="n">
        <v>500</v>
      </c>
      <c r="DJ16" s="13" t="n">
        <f aca="false">IF('Cash Drivers'!DJ$26,Support!DI16,Support!DK16)</f>
        <v>500</v>
      </c>
      <c r="DK16" s="89" t="n">
        <v>500</v>
      </c>
      <c r="DL16" s="90" t="n">
        <v>500</v>
      </c>
      <c r="DM16" s="12" t="n">
        <f aca="false">IF('Cash Drivers'!DM$26,Support!DL16,Support!DN16)</f>
        <v>500</v>
      </c>
      <c r="DN16" s="90" t="n">
        <v>500</v>
      </c>
    </row>
    <row r="17" customFormat="false" ht="15" hidden="false" customHeight="false" outlineLevel="0" collapsed="false">
      <c r="A17" s="5" t="s">
        <v>164</v>
      </c>
      <c r="B17" s="12" t="str">
        <f aca="false">IF(COUNT(AR17,AO17,AL17,AI17,AF17,AC17,Z17,W17,T17,Q17,N17,K17)=0,"",SUM(AR17,AO17,AL17,AI17,AF17,AC17,Z17,W17,T17,Q17,N17,K17))</f>
        <v/>
      </c>
      <c r="C17" s="12" t="n">
        <f aca="false">IF(COUNT(AS17,AP17,AM17,AJ17,AG17,AD17,AA17,X17,U17,R17,O17,L17)=0,"",SUM(AS17,AP17,AM17,AJ17,AG17,AD17,AA17,X17,U17,R17,O17,L17))</f>
        <v>48000</v>
      </c>
      <c r="D17" s="12" t="n">
        <f aca="false">IF(COUNT(AT17,AQ17,AN17,AK17,AH17,AE17,AB17,Y17,V17,S17,P17,M17)=0,"",SUM(AT17,AQ17,AN17,AK17,AH17,AE17,AB17,Y17,V17,S17,P17,M17))</f>
        <v>48000</v>
      </c>
      <c r="E17" s="13" t="str">
        <f aca="false">IF(COUNT(CB17,BY17,BV17,BS17,BP17,BM17,BJ17,BG17,BD17,BA17,AX17,AU17)=0,"",SUM(CB17,BY17,BV17,BS17,BP17,BM17,BJ17,BG17,BD17,BA17,AX17,AU17))</f>
        <v/>
      </c>
      <c r="F17" s="13" t="n">
        <f aca="false">IF(COUNT(CC17,BZ17,BW17,BT17,BQ17,BN17,BK17,BH17,BE17,BB17,AY17,AV17)=0,"",SUM(CC17,BZ17,BW17,BT17,BQ17,BN17,BK17,BH17,BE17,BB17,AY17,AV17))</f>
        <v>48000</v>
      </c>
      <c r="G17" s="13" t="n">
        <f aca="false">IF(COUNT(CD17,CA17,BX17,BU17,BR17,BO17,BL17,BI17,BF17,BC17,AZ17,AW17)=0,"",SUM(CD17,CA17,BX17,BU17,BR17,BO17,BL17,BI17,BF17,BC17,AZ17,AW17))</f>
        <v>48000</v>
      </c>
      <c r="H17" s="12" t="n">
        <f aca="false">IF(COUNT(DL17,DI17,DF17,DC17,CZ17,CW17,CT17,CQ17,CN17,CK17,CH17,CE17)=0,"",SUM(DL17,DI17,DF17,DC17,CZ17,CW17,CT17,CQ17,CN17,CK17,CH17,CE17))</f>
        <v>8000</v>
      </c>
      <c r="I17" s="12" t="n">
        <f aca="false">IF(COUNT(DM17,DJ17,DG17,DD17,DA17,CX17,CU17,CR17,CO17,CL17,CI17,CF17)=0,"",SUM(DM17,DJ17,DG17,DD17,DA17,CX17,CU17,CR17,CO17,CL17,CI17,CF17))</f>
        <v>48000</v>
      </c>
      <c r="J17" s="12" t="n">
        <f aca="false">IF(COUNT(DN17,DK17,DH17,DE17,DB17,CY17,CV17,CS17,CP17,CM17,CJ17,CG17)=0,"",SUM(DN17,DK17,DH17,DE17,DB17,CY17,CV17,CS17,CP17,CM17,CJ17,CG17))</f>
        <v>48000</v>
      </c>
      <c r="K17" s="13"/>
      <c r="L17" s="13" t="n">
        <f aca="false">IF('Cash Drivers'!L$26,Support!K17,Support!M17)</f>
        <v>4000</v>
      </c>
      <c r="M17" s="89" t="n">
        <v>4000</v>
      </c>
      <c r="N17" s="12"/>
      <c r="O17" s="12" t="n">
        <f aca="false">IF('Cash Drivers'!O$26,Support!N17,Support!P17)</f>
        <v>4000</v>
      </c>
      <c r="P17" s="90" t="n">
        <v>4000</v>
      </c>
      <c r="Q17" s="13"/>
      <c r="R17" s="13" t="n">
        <f aca="false">IF('Cash Drivers'!R$26,Support!Q17,Support!S17)</f>
        <v>4000</v>
      </c>
      <c r="S17" s="89" t="n">
        <v>4000</v>
      </c>
      <c r="T17" s="12"/>
      <c r="U17" s="12" t="n">
        <f aca="false">IF('Cash Drivers'!U$26,Support!T17,Support!V17)</f>
        <v>4000</v>
      </c>
      <c r="V17" s="90" t="n">
        <v>4000</v>
      </c>
      <c r="W17" s="13"/>
      <c r="X17" s="13" t="n">
        <f aca="false">IF('Cash Drivers'!X$26,Support!W17,Support!Y17)</f>
        <v>4000</v>
      </c>
      <c r="Y17" s="89" t="n">
        <v>4000</v>
      </c>
      <c r="Z17" s="12"/>
      <c r="AA17" s="12" t="n">
        <f aca="false">IF('Cash Drivers'!AA$26,Support!Z17,Support!AB17)</f>
        <v>4000</v>
      </c>
      <c r="AB17" s="90" t="n">
        <v>4000</v>
      </c>
      <c r="AC17" s="13"/>
      <c r="AD17" s="13" t="n">
        <f aca="false">IF('Cash Drivers'!AD$26,Support!AC17,Support!AE17)</f>
        <v>4000</v>
      </c>
      <c r="AE17" s="89" t="n">
        <v>4000</v>
      </c>
      <c r="AF17" s="12"/>
      <c r="AG17" s="12" t="n">
        <f aca="false">IF('Cash Drivers'!AG$26,Support!AF17,Support!AH17)</f>
        <v>4000</v>
      </c>
      <c r="AH17" s="90" t="n">
        <v>4000</v>
      </c>
      <c r="AI17" s="13"/>
      <c r="AJ17" s="13" t="n">
        <f aca="false">IF('Cash Drivers'!AJ$26,Support!AI17,Support!AK17)</f>
        <v>4000</v>
      </c>
      <c r="AK17" s="89" t="n">
        <v>4000</v>
      </c>
      <c r="AL17" s="12"/>
      <c r="AM17" s="12" t="n">
        <f aca="false">IF('Cash Drivers'!AM$26,Support!AL17,Support!AN17)</f>
        <v>4000</v>
      </c>
      <c r="AN17" s="90" t="n">
        <v>4000</v>
      </c>
      <c r="AO17" s="13"/>
      <c r="AP17" s="13" t="n">
        <f aca="false">IF('Cash Drivers'!AP$26,Support!AO17,Support!AQ17)</f>
        <v>4000</v>
      </c>
      <c r="AQ17" s="89" t="n">
        <v>4000</v>
      </c>
      <c r="AR17" s="12"/>
      <c r="AS17" s="12" t="n">
        <f aca="false">IF('Cash Drivers'!AS$26,Support!AR17,Support!AT17)</f>
        <v>4000</v>
      </c>
      <c r="AT17" s="90" t="n">
        <v>4000</v>
      </c>
      <c r="AU17" s="13"/>
      <c r="AV17" s="13" t="n">
        <f aca="false">IF('Cash Drivers'!AV$26,Support!AU17,Support!AW17)</f>
        <v>4000</v>
      </c>
      <c r="AW17" s="89" t="n">
        <v>4000</v>
      </c>
      <c r="AX17" s="12"/>
      <c r="AY17" s="12" t="n">
        <f aca="false">IF('Cash Drivers'!AY$26,Support!AX17,Support!AZ17)</f>
        <v>4000</v>
      </c>
      <c r="AZ17" s="90" t="n">
        <v>4000</v>
      </c>
      <c r="BA17" s="13"/>
      <c r="BB17" s="13" t="n">
        <f aca="false">IF('Cash Drivers'!BB$26,Support!BA17,Support!BC17)</f>
        <v>4000</v>
      </c>
      <c r="BC17" s="89" t="n">
        <v>4000</v>
      </c>
      <c r="BD17" s="12"/>
      <c r="BE17" s="12" t="n">
        <f aca="false">IF('Cash Drivers'!BE$26,Support!BD17,Support!BF17)</f>
        <v>4000</v>
      </c>
      <c r="BF17" s="90" t="n">
        <v>4000</v>
      </c>
      <c r="BG17" s="13"/>
      <c r="BH17" s="13" t="n">
        <f aca="false">IF('Cash Drivers'!BH$26,Support!BG17,Support!BI17)</f>
        <v>4000</v>
      </c>
      <c r="BI17" s="89" t="n">
        <v>4000</v>
      </c>
      <c r="BJ17" s="12"/>
      <c r="BK17" s="12" t="n">
        <f aca="false">IF('Cash Drivers'!BK$26,Support!BJ17,Support!BL17)</f>
        <v>4000</v>
      </c>
      <c r="BL17" s="90" t="n">
        <v>4000</v>
      </c>
      <c r="BM17" s="13"/>
      <c r="BN17" s="13" t="n">
        <f aca="false">IF('Cash Drivers'!BN$26,Support!BM17,Support!BO17)</f>
        <v>4000</v>
      </c>
      <c r="BO17" s="89" t="n">
        <v>4000</v>
      </c>
      <c r="BP17" s="12"/>
      <c r="BQ17" s="12" t="n">
        <f aca="false">IF('Cash Drivers'!BQ$26,Support!BP17,Support!BR17)</f>
        <v>4000</v>
      </c>
      <c r="BR17" s="90" t="n">
        <v>4000</v>
      </c>
      <c r="BS17" s="13"/>
      <c r="BT17" s="13" t="n">
        <f aca="false">IF('Cash Drivers'!BT$26,Support!BS17,Support!BU17)</f>
        <v>4000</v>
      </c>
      <c r="BU17" s="89" t="n">
        <v>4000</v>
      </c>
      <c r="BV17" s="12"/>
      <c r="BW17" s="12" t="n">
        <f aca="false">IF('Cash Drivers'!BW$26,Support!BV17,Support!BX17)</f>
        <v>4000</v>
      </c>
      <c r="BX17" s="90" t="n">
        <v>4000</v>
      </c>
      <c r="BY17" s="13"/>
      <c r="BZ17" s="13" t="n">
        <f aca="false">IF('Cash Drivers'!BZ$26,Support!BY17,Support!CA17)</f>
        <v>4000</v>
      </c>
      <c r="CA17" s="89" t="n">
        <v>4000</v>
      </c>
      <c r="CB17" s="12"/>
      <c r="CC17" s="12" t="n">
        <f aca="false">IF('Cash Drivers'!CC$26,Support!CB17,Support!CD17)</f>
        <v>4000</v>
      </c>
      <c r="CD17" s="90" t="n">
        <v>4000</v>
      </c>
      <c r="CE17" s="13"/>
      <c r="CF17" s="13" t="n">
        <f aca="false">IF('Cash Drivers'!CF$26,Support!CE17,Support!CG17)</f>
        <v>4000</v>
      </c>
      <c r="CG17" s="89" t="n">
        <v>4000</v>
      </c>
      <c r="CH17" s="12"/>
      <c r="CI17" s="12" t="n">
        <f aca="false">IF('Cash Drivers'!CI$26,Support!CH17,Support!CJ17)</f>
        <v>4000</v>
      </c>
      <c r="CJ17" s="90" t="n">
        <v>4000</v>
      </c>
      <c r="CK17" s="13"/>
      <c r="CL17" s="13" t="n">
        <f aca="false">IF('Cash Drivers'!CL$26,Support!CK17,Support!CM17)</f>
        <v>4000</v>
      </c>
      <c r="CM17" s="89" t="n">
        <v>4000</v>
      </c>
      <c r="CN17" s="12"/>
      <c r="CO17" s="12" t="n">
        <f aca="false">IF('Cash Drivers'!CO$26,Support!CN17,Support!CP17)</f>
        <v>4000</v>
      </c>
      <c r="CP17" s="90" t="n">
        <v>4000</v>
      </c>
      <c r="CQ17" s="13"/>
      <c r="CR17" s="13" t="n">
        <f aca="false">IF('Cash Drivers'!CR$26,Support!CQ17,Support!CS17)</f>
        <v>4000</v>
      </c>
      <c r="CS17" s="89" t="n">
        <v>4000</v>
      </c>
      <c r="CT17" s="12"/>
      <c r="CU17" s="12" t="n">
        <f aca="false">IF('Cash Drivers'!CU$26,Support!CT17,Support!CV17)</f>
        <v>4000</v>
      </c>
      <c r="CV17" s="90" t="n">
        <v>4000</v>
      </c>
      <c r="CW17" s="13"/>
      <c r="CX17" s="13" t="n">
        <f aca="false">IF('Cash Drivers'!CX$26,Support!CW17,Support!CY17)</f>
        <v>4000</v>
      </c>
      <c r="CY17" s="89" t="n">
        <v>4000</v>
      </c>
      <c r="CZ17" s="12"/>
      <c r="DA17" s="12" t="n">
        <f aca="false">IF('Cash Drivers'!DA$26,Support!CZ17,Support!DB17)</f>
        <v>4000</v>
      </c>
      <c r="DB17" s="90" t="n">
        <v>4000</v>
      </c>
      <c r="DC17" s="13"/>
      <c r="DD17" s="13" t="n">
        <f aca="false">IF('Cash Drivers'!DD$26,Support!DC17,Support!DE17)</f>
        <v>4000</v>
      </c>
      <c r="DE17" s="89" t="n">
        <v>4000</v>
      </c>
      <c r="DF17" s="12"/>
      <c r="DG17" s="12" t="n">
        <f aca="false">IF('Cash Drivers'!DG$26,Support!DF17,Support!DH17)</f>
        <v>4000</v>
      </c>
      <c r="DH17" s="90" t="n">
        <v>4000</v>
      </c>
      <c r="DI17" s="89" t="n">
        <v>4000</v>
      </c>
      <c r="DJ17" s="13" t="n">
        <f aca="false">IF('Cash Drivers'!DJ$26,Support!DI17,Support!DK17)</f>
        <v>4000</v>
      </c>
      <c r="DK17" s="89" t="n">
        <v>4000</v>
      </c>
      <c r="DL17" s="90" t="n">
        <v>4000</v>
      </c>
      <c r="DM17" s="12" t="n">
        <f aca="false">IF('Cash Drivers'!DM$26,Support!DL17,Support!DN17)</f>
        <v>4000</v>
      </c>
      <c r="DN17" s="90" t="n">
        <v>4000</v>
      </c>
    </row>
    <row r="18" customFormat="false" ht="15" hidden="false" customHeight="false" outlineLevel="0" collapsed="false">
      <c r="A18" s="5" t="s">
        <v>165</v>
      </c>
      <c r="B18" s="12" t="str">
        <f aca="false">IF(COUNT(AR18,AO18,AL18,AI18,AF18,AC18,Z18,W18,T18,Q18,N18,K18)=0,"",SUM(AR18,AO18,AL18,AI18,AF18,AC18,Z18,W18,T18,Q18,N18,K18))</f>
        <v/>
      </c>
      <c r="C18" s="12" t="n">
        <f aca="false">IF(COUNT(AS18,AP18,AM18,AJ18,AG18,AD18,AA18,X18,U18,R18,O18,L18)=0,"",SUM(AS18,AP18,AM18,AJ18,AG18,AD18,AA18,X18,U18,R18,O18,L18))</f>
        <v>12000</v>
      </c>
      <c r="D18" s="12" t="n">
        <f aca="false">IF(COUNT(AT18,AQ18,AN18,AK18,AH18,AE18,AB18,Y18,V18,S18,P18,M18)=0,"",SUM(AT18,AQ18,AN18,AK18,AH18,AE18,AB18,Y18,V18,S18,P18,M18))</f>
        <v>12000</v>
      </c>
      <c r="E18" s="13" t="str">
        <f aca="false">IF(COUNT(CB18,BY18,BV18,BS18,BP18,BM18,BJ18,BG18,BD18,BA18,AX18,AU18)=0,"",SUM(CB18,BY18,BV18,BS18,BP18,BM18,BJ18,BG18,BD18,BA18,AX18,AU18))</f>
        <v/>
      </c>
      <c r="F18" s="13" t="n">
        <f aca="false">IF(COUNT(CC18,BZ18,BW18,BT18,BQ18,BN18,BK18,BH18,BE18,BB18,AY18,AV18)=0,"",SUM(CC18,BZ18,BW18,BT18,BQ18,BN18,BK18,BH18,BE18,BB18,AY18,AV18))</f>
        <v>12000</v>
      </c>
      <c r="G18" s="13" t="n">
        <f aca="false">IF(COUNT(CD18,CA18,BX18,BU18,BR18,BO18,BL18,BI18,BF18,BC18,AZ18,AW18)=0,"",SUM(CD18,CA18,BX18,BU18,BR18,BO18,BL18,BI18,BF18,BC18,AZ18,AW18))</f>
        <v>12000</v>
      </c>
      <c r="H18" s="12" t="n">
        <f aca="false">IF(COUNT(DL18,DI18,DF18,DC18,CZ18,CW18,CT18,CQ18,CN18,CK18,CH18,CE18)=0,"",SUM(DL18,DI18,DF18,DC18,CZ18,CW18,CT18,CQ18,CN18,CK18,CH18,CE18))</f>
        <v>2000</v>
      </c>
      <c r="I18" s="12" t="n">
        <f aca="false">IF(COUNT(DM18,DJ18,DG18,DD18,DA18,CX18,CU18,CR18,CO18,CL18,CI18,CF18)=0,"",SUM(DM18,DJ18,DG18,DD18,DA18,CX18,CU18,CR18,CO18,CL18,CI18,CF18))</f>
        <v>12000</v>
      </c>
      <c r="J18" s="12" t="n">
        <f aca="false">IF(COUNT(DN18,DK18,DH18,DE18,DB18,CY18,CV18,CS18,CP18,CM18,CJ18,CG18)=0,"",SUM(DN18,DK18,DH18,DE18,DB18,CY18,CV18,CS18,CP18,CM18,CJ18,CG18))</f>
        <v>12000</v>
      </c>
      <c r="K18" s="13"/>
      <c r="L18" s="13" t="n">
        <f aca="false">IF('Cash Drivers'!L$26,Support!K18,Support!M18)</f>
        <v>1000</v>
      </c>
      <c r="M18" s="89" t="n">
        <v>1000</v>
      </c>
      <c r="N18" s="12"/>
      <c r="O18" s="12" t="n">
        <f aca="false">IF('Cash Drivers'!O$26,Support!N18,Support!P18)</f>
        <v>1000</v>
      </c>
      <c r="P18" s="90" t="n">
        <v>1000</v>
      </c>
      <c r="Q18" s="13"/>
      <c r="R18" s="13" t="n">
        <f aca="false">IF('Cash Drivers'!R$26,Support!Q18,Support!S18)</f>
        <v>1000</v>
      </c>
      <c r="S18" s="89" t="n">
        <v>1000</v>
      </c>
      <c r="T18" s="12"/>
      <c r="U18" s="12" t="n">
        <f aca="false">IF('Cash Drivers'!U$26,Support!T18,Support!V18)</f>
        <v>1000</v>
      </c>
      <c r="V18" s="90" t="n">
        <v>1000</v>
      </c>
      <c r="W18" s="13"/>
      <c r="X18" s="13" t="n">
        <f aca="false">IF('Cash Drivers'!X$26,Support!W18,Support!Y18)</f>
        <v>1000</v>
      </c>
      <c r="Y18" s="89" t="n">
        <v>1000</v>
      </c>
      <c r="Z18" s="12"/>
      <c r="AA18" s="12" t="n">
        <f aca="false">IF('Cash Drivers'!AA$26,Support!Z18,Support!AB18)</f>
        <v>1000</v>
      </c>
      <c r="AB18" s="90" t="n">
        <v>1000</v>
      </c>
      <c r="AC18" s="13"/>
      <c r="AD18" s="13" t="n">
        <f aca="false">IF('Cash Drivers'!AD$26,Support!AC18,Support!AE18)</f>
        <v>1000</v>
      </c>
      <c r="AE18" s="89" t="n">
        <v>1000</v>
      </c>
      <c r="AF18" s="12"/>
      <c r="AG18" s="12" t="n">
        <f aca="false">IF('Cash Drivers'!AG$26,Support!AF18,Support!AH18)</f>
        <v>1000</v>
      </c>
      <c r="AH18" s="90" t="n">
        <v>1000</v>
      </c>
      <c r="AI18" s="13"/>
      <c r="AJ18" s="13" t="n">
        <f aca="false">IF('Cash Drivers'!AJ$26,Support!AI18,Support!AK18)</f>
        <v>1000</v>
      </c>
      <c r="AK18" s="89" t="n">
        <v>1000</v>
      </c>
      <c r="AL18" s="12"/>
      <c r="AM18" s="12" t="n">
        <f aca="false">IF('Cash Drivers'!AM$26,Support!AL18,Support!AN18)</f>
        <v>1000</v>
      </c>
      <c r="AN18" s="90" t="n">
        <v>1000</v>
      </c>
      <c r="AO18" s="13"/>
      <c r="AP18" s="13" t="n">
        <f aca="false">IF('Cash Drivers'!AP$26,Support!AO18,Support!AQ18)</f>
        <v>1000</v>
      </c>
      <c r="AQ18" s="89" t="n">
        <v>1000</v>
      </c>
      <c r="AR18" s="12"/>
      <c r="AS18" s="12" t="n">
        <f aca="false">IF('Cash Drivers'!AS$26,Support!AR18,Support!AT18)</f>
        <v>1000</v>
      </c>
      <c r="AT18" s="90" t="n">
        <v>1000</v>
      </c>
      <c r="AU18" s="13"/>
      <c r="AV18" s="13" t="n">
        <f aca="false">IF('Cash Drivers'!AV$26,Support!AU18,Support!AW18)</f>
        <v>1000</v>
      </c>
      <c r="AW18" s="89" t="n">
        <v>1000</v>
      </c>
      <c r="AX18" s="12"/>
      <c r="AY18" s="12" t="n">
        <f aca="false">IF('Cash Drivers'!AY$26,Support!AX18,Support!AZ18)</f>
        <v>1000</v>
      </c>
      <c r="AZ18" s="90" t="n">
        <v>1000</v>
      </c>
      <c r="BA18" s="13"/>
      <c r="BB18" s="13" t="n">
        <f aca="false">IF('Cash Drivers'!BB$26,Support!BA18,Support!BC18)</f>
        <v>1000</v>
      </c>
      <c r="BC18" s="89" t="n">
        <v>1000</v>
      </c>
      <c r="BD18" s="12"/>
      <c r="BE18" s="12" t="n">
        <f aca="false">IF('Cash Drivers'!BE$26,Support!BD18,Support!BF18)</f>
        <v>1000</v>
      </c>
      <c r="BF18" s="90" t="n">
        <v>1000</v>
      </c>
      <c r="BG18" s="13"/>
      <c r="BH18" s="13" t="n">
        <f aca="false">IF('Cash Drivers'!BH$26,Support!BG18,Support!BI18)</f>
        <v>1000</v>
      </c>
      <c r="BI18" s="89" t="n">
        <v>1000</v>
      </c>
      <c r="BJ18" s="12"/>
      <c r="BK18" s="12" t="n">
        <f aca="false">IF('Cash Drivers'!BK$26,Support!BJ18,Support!BL18)</f>
        <v>1000</v>
      </c>
      <c r="BL18" s="90" t="n">
        <v>1000</v>
      </c>
      <c r="BM18" s="13"/>
      <c r="BN18" s="13" t="n">
        <f aca="false">IF('Cash Drivers'!BN$26,Support!BM18,Support!BO18)</f>
        <v>1000</v>
      </c>
      <c r="BO18" s="89" t="n">
        <v>1000</v>
      </c>
      <c r="BP18" s="12"/>
      <c r="BQ18" s="12" t="n">
        <f aca="false">IF('Cash Drivers'!BQ$26,Support!BP18,Support!BR18)</f>
        <v>1000</v>
      </c>
      <c r="BR18" s="90" t="n">
        <v>1000</v>
      </c>
      <c r="BS18" s="13"/>
      <c r="BT18" s="13" t="n">
        <f aca="false">IF('Cash Drivers'!BT$26,Support!BS18,Support!BU18)</f>
        <v>1000</v>
      </c>
      <c r="BU18" s="89" t="n">
        <v>1000</v>
      </c>
      <c r="BV18" s="12"/>
      <c r="BW18" s="12" t="n">
        <f aca="false">IF('Cash Drivers'!BW$26,Support!BV18,Support!BX18)</f>
        <v>1000</v>
      </c>
      <c r="BX18" s="90" t="n">
        <v>1000</v>
      </c>
      <c r="BY18" s="13"/>
      <c r="BZ18" s="13" t="n">
        <f aca="false">IF('Cash Drivers'!BZ$26,Support!BY18,Support!CA18)</f>
        <v>1000</v>
      </c>
      <c r="CA18" s="89" t="n">
        <v>1000</v>
      </c>
      <c r="CB18" s="12"/>
      <c r="CC18" s="12" t="n">
        <f aca="false">IF('Cash Drivers'!CC$26,Support!CB18,Support!CD18)</f>
        <v>1000</v>
      </c>
      <c r="CD18" s="90" t="n">
        <v>1000</v>
      </c>
      <c r="CE18" s="13"/>
      <c r="CF18" s="13" t="n">
        <f aca="false">IF('Cash Drivers'!CF$26,Support!CE18,Support!CG18)</f>
        <v>1000</v>
      </c>
      <c r="CG18" s="89" t="n">
        <v>1000</v>
      </c>
      <c r="CH18" s="12"/>
      <c r="CI18" s="12" t="n">
        <f aca="false">IF('Cash Drivers'!CI$26,Support!CH18,Support!CJ18)</f>
        <v>1000</v>
      </c>
      <c r="CJ18" s="90" t="n">
        <v>1000</v>
      </c>
      <c r="CK18" s="13"/>
      <c r="CL18" s="13" t="n">
        <f aca="false">IF('Cash Drivers'!CL$26,Support!CK18,Support!CM18)</f>
        <v>1000</v>
      </c>
      <c r="CM18" s="89" t="n">
        <v>1000</v>
      </c>
      <c r="CN18" s="12"/>
      <c r="CO18" s="12" t="n">
        <f aca="false">IF('Cash Drivers'!CO$26,Support!CN18,Support!CP18)</f>
        <v>1000</v>
      </c>
      <c r="CP18" s="90" t="n">
        <v>1000</v>
      </c>
      <c r="CQ18" s="13"/>
      <c r="CR18" s="13" t="n">
        <f aca="false">IF('Cash Drivers'!CR$26,Support!CQ18,Support!CS18)</f>
        <v>1000</v>
      </c>
      <c r="CS18" s="89" t="n">
        <v>1000</v>
      </c>
      <c r="CT18" s="12"/>
      <c r="CU18" s="12" t="n">
        <f aca="false">IF('Cash Drivers'!CU$26,Support!CT18,Support!CV18)</f>
        <v>1000</v>
      </c>
      <c r="CV18" s="90" t="n">
        <v>1000</v>
      </c>
      <c r="CW18" s="13"/>
      <c r="CX18" s="13" t="n">
        <f aca="false">IF('Cash Drivers'!CX$26,Support!CW18,Support!CY18)</f>
        <v>1000</v>
      </c>
      <c r="CY18" s="89" t="n">
        <v>1000</v>
      </c>
      <c r="CZ18" s="12"/>
      <c r="DA18" s="12" t="n">
        <f aca="false">IF('Cash Drivers'!DA$26,Support!CZ18,Support!DB18)</f>
        <v>1000</v>
      </c>
      <c r="DB18" s="90" t="n">
        <v>1000</v>
      </c>
      <c r="DC18" s="13"/>
      <c r="DD18" s="13" t="n">
        <f aca="false">IF('Cash Drivers'!DD$26,Support!DC18,Support!DE18)</f>
        <v>1000</v>
      </c>
      <c r="DE18" s="89" t="n">
        <v>1000</v>
      </c>
      <c r="DF18" s="12"/>
      <c r="DG18" s="12" t="n">
        <f aca="false">IF('Cash Drivers'!DG$26,Support!DF18,Support!DH18)</f>
        <v>1000</v>
      </c>
      <c r="DH18" s="90" t="n">
        <v>1000</v>
      </c>
      <c r="DI18" s="89" t="n">
        <v>1000</v>
      </c>
      <c r="DJ18" s="13" t="n">
        <f aca="false">IF('Cash Drivers'!DJ$26,Support!DI18,Support!DK18)</f>
        <v>1000</v>
      </c>
      <c r="DK18" s="89" t="n">
        <v>1000</v>
      </c>
      <c r="DL18" s="90" t="n">
        <v>1000</v>
      </c>
      <c r="DM18" s="12" t="n">
        <f aca="false">IF('Cash Drivers'!DM$26,Support!DL18,Support!DN18)</f>
        <v>1000</v>
      </c>
      <c r="DN18" s="90" t="n">
        <v>1000</v>
      </c>
    </row>
    <row r="19" customFormat="false" ht="15" hidden="false" customHeight="false" outlineLevel="0" collapsed="false">
      <c r="A19" s="5" t="s">
        <v>166</v>
      </c>
      <c r="B19" s="12" t="str">
        <f aca="false">IF(COUNT(AR19,AO19,AL19,AI19,AF19,AC19,Z19,W19,T19,Q19,N19,K19)=0,"",SUM(AR19,AO19,AL19,AI19,AF19,AC19,Z19,W19,T19,Q19,N19,K19))</f>
        <v/>
      </c>
      <c r="C19" s="12" t="n">
        <f aca="false">IF(COUNT(AS19,AP19,AM19,AJ19,AG19,AD19,AA19,X19,U19,R19,O19,L19)=0,"",SUM(AS19,AP19,AM19,AJ19,AG19,AD19,AA19,X19,U19,R19,O19,L19))</f>
        <v>24000</v>
      </c>
      <c r="D19" s="12" t="n">
        <f aca="false">IF(COUNT(AT19,AQ19,AN19,AK19,AH19,AE19,AB19,Y19,V19,S19,P19,M19)=0,"",SUM(AT19,AQ19,AN19,AK19,AH19,AE19,AB19,Y19,V19,S19,P19,M19))</f>
        <v>24000</v>
      </c>
      <c r="E19" s="13" t="str">
        <f aca="false">IF(COUNT(CB19,BY19,BV19,BS19,BP19,BM19,BJ19,BG19,BD19,BA19,AX19,AU19)=0,"",SUM(CB19,BY19,BV19,BS19,BP19,BM19,BJ19,BG19,BD19,BA19,AX19,AU19))</f>
        <v/>
      </c>
      <c r="F19" s="13" t="n">
        <f aca="false">IF(COUNT(CC19,BZ19,BW19,BT19,BQ19,BN19,BK19,BH19,BE19,BB19,AY19,AV19)=0,"",SUM(CC19,BZ19,BW19,BT19,BQ19,BN19,BK19,BH19,BE19,BB19,AY19,AV19))</f>
        <v>24000</v>
      </c>
      <c r="G19" s="13" t="n">
        <f aca="false">IF(COUNT(CD19,CA19,BX19,BU19,BR19,BO19,BL19,BI19,BF19,BC19,AZ19,AW19)=0,"",SUM(CD19,CA19,BX19,BU19,BR19,BO19,BL19,BI19,BF19,BC19,AZ19,AW19))</f>
        <v>24000</v>
      </c>
      <c r="H19" s="12" t="n">
        <f aca="false">IF(COUNT(DL19,DI19,DF19,DC19,CZ19,CW19,CT19,CQ19,CN19,CK19,CH19,CE19)=0,"",SUM(DL19,DI19,DF19,DC19,CZ19,CW19,CT19,CQ19,CN19,CK19,CH19,CE19))</f>
        <v>4000</v>
      </c>
      <c r="I19" s="12" t="n">
        <f aca="false">IF(COUNT(DM19,DJ19,DG19,DD19,DA19,CX19,CU19,CR19,CO19,CL19,CI19,CF19)=0,"",SUM(DM19,DJ19,DG19,DD19,DA19,CX19,CU19,CR19,CO19,CL19,CI19,CF19))</f>
        <v>24000</v>
      </c>
      <c r="J19" s="12" t="n">
        <f aca="false">IF(COUNT(DN19,DK19,DH19,DE19,DB19,CY19,CV19,CS19,CP19,CM19,CJ19,CG19)=0,"",SUM(DN19,DK19,DH19,DE19,DB19,CY19,CV19,CS19,CP19,CM19,CJ19,CG19))</f>
        <v>24000</v>
      </c>
      <c r="K19" s="13"/>
      <c r="L19" s="13" t="n">
        <f aca="false">IF('Cash Drivers'!L$26,Support!K19,Support!M19)</f>
        <v>2000</v>
      </c>
      <c r="M19" s="89" t="n">
        <v>2000</v>
      </c>
      <c r="N19" s="12"/>
      <c r="O19" s="12" t="n">
        <f aca="false">IF('Cash Drivers'!O$26,Support!N19,Support!P19)</f>
        <v>2000</v>
      </c>
      <c r="P19" s="90" t="n">
        <v>2000</v>
      </c>
      <c r="Q19" s="13"/>
      <c r="R19" s="13" t="n">
        <f aca="false">IF('Cash Drivers'!R$26,Support!Q19,Support!S19)</f>
        <v>2000</v>
      </c>
      <c r="S19" s="89" t="n">
        <v>2000</v>
      </c>
      <c r="T19" s="12"/>
      <c r="U19" s="12" t="n">
        <f aca="false">IF('Cash Drivers'!U$26,Support!T19,Support!V19)</f>
        <v>2000</v>
      </c>
      <c r="V19" s="90" t="n">
        <v>2000</v>
      </c>
      <c r="W19" s="13"/>
      <c r="X19" s="13" t="n">
        <f aca="false">IF('Cash Drivers'!X$26,Support!W19,Support!Y19)</f>
        <v>2000</v>
      </c>
      <c r="Y19" s="89" t="n">
        <v>2000</v>
      </c>
      <c r="Z19" s="12"/>
      <c r="AA19" s="12" t="n">
        <f aca="false">IF('Cash Drivers'!AA$26,Support!Z19,Support!AB19)</f>
        <v>2000</v>
      </c>
      <c r="AB19" s="90" t="n">
        <v>2000</v>
      </c>
      <c r="AC19" s="13"/>
      <c r="AD19" s="13" t="n">
        <f aca="false">IF('Cash Drivers'!AD$26,Support!AC19,Support!AE19)</f>
        <v>2000</v>
      </c>
      <c r="AE19" s="89" t="n">
        <v>2000</v>
      </c>
      <c r="AF19" s="12"/>
      <c r="AG19" s="12" t="n">
        <f aca="false">IF('Cash Drivers'!AG$26,Support!AF19,Support!AH19)</f>
        <v>2000</v>
      </c>
      <c r="AH19" s="90" t="n">
        <v>2000</v>
      </c>
      <c r="AI19" s="13"/>
      <c r="AJ19" s="13" t="n">
        <f aca="false">IF('Cash Drivers'!AJ$26,Support!AI19,Support!AK19)</f>
        <v>2000</v>
      </c>
      <c r="AK19" s="89" t="n">
        <v>2000</v>
      </c>
      <c r="AL19" s="12"/>
      <c r="AM19" s="12" t="n">
        <f aca="false">IF('Cash Drivers'!AM$26,Support!AL19,Support!AN19)</f>
        <v>2000</v>
      </c>
      <c r="AN19" s="90" t="n">
        <v>2000</v>
      </c>
      <c r="AO19" s="13"/>
      <c r="AP19" s="13" t="n">
        <f aca="false">IF('Cash Drivers'!AP$26,Support!AO19,Support!AQ19)</f>
        <v>2000</v>
      </c>
      <c r="AQ19" s="89" t="n">
        <v>2000</v>
      </c>
      <c r="AR19" s="12"/>
      <c r="AS19" s="12" t="n">
        <f aca="false">IF('Cash Drivers'!AS$26,Support!AR19,Support!AT19)</f>
        <v>2000</v>
      </c>
      <c r="AT19" s="90" t="n">
        <v>2000</v>
      </c>
      <c r="AU19" s="13"/>
      <c r="AV19" s="13" t="n">
        <f aca="false">IF('Cash Drivers'!AV$26,Support!AU19,Support!AW19)</f>
        <v>2000</v>
      </c>
      <c r="AW19" s="89" t="n">
        <v>2000</v>
      </c>
      <c r="AX19" s="12"/>
      <c r="AY19" s="12" t="n">
        <f aca="false">IF('Cash Drivers'!AY$26,Support!AX19,Support!AZ19)</f>
        <v>2000</v>
      </c>
      <c r="AZ19" s="90" t="n">
        <v>2000</v>
      </c>
      <c r="BA19" s="13"/>
      <c r="BB19" s="13" t="n">
        <f aca="false">IF('Cash Drivers'!BB$26,Support!BA19,Support!BC19)</f>
        <v>2000</v>
      </c>
      <c r="BC19" s="89" t="n">
        <v>2000</v>
      </c>
      <c r="BD19" s="12"/>
      <c r="BE19" s="12" t="n">
        <f aca="false">IF('Cash Drivers'!BE$26,Support!BD19,Support!BF19)</f>
        <v>2000</v>
      </c>
      <c r="BF19" s="90" t="n">
        <v>2000</v>
      </c>
      <c r="BG19" s="13"/>
      <c r="BH19" s="13" t="n">
        <f aca="false">IF('Cash Drivers'!BH$26,Support!BG19,Support!BI19)</f>
        <v>2000</v>
      </c>
      <c r="BI19" s="89" t="n">
        <v>2000</v>
      </c>
      <c r="BJ19" s="12"/>
      <c r="BK19" s="12" t="n">
        <f aca="false">IF('Cash Drivers'!BK$26,Support!BJ19,Support!BL19)</f>
        <v>2000</v>
      </c>
      <c r="BL19" s="90" t="n">
        <v>2000</v>
      </c>
      <c r="BM19" s="13"/>
      <c r="BN19" s="13" t="n">
        <f aca="false">IF('Cash Drivers'!BN$26,Support!BM19,Support!BO19)</f>
        <v>2000</v>
      </c>
      <c r="BO19" s="89" t="n">
        <v>2000</v>
      </c>
      <c r="BP19" s="12"/>
      <c r="BQ19" s="12" t="n">
        <f aca="false">IF('Cash Drivers'!BQ$26,Support!BP19,Support!BR19)</f>
        <v>2000</v>
      </c>
      <c r="BR19" s="90" t="n">
        <v>2000</v>
      </c>
      <c r="BS19" s="13"/>
      <c r="BT19" s="13" t="n">
        <f aca="false">IF('Cash Drivers'!BT$26,Support!BS19,Support!BU19)</f>
        <v>2000</v>
      </c>
      <c r="BU19" s="89" t="n">
        <v>2000</v>
      </c>
      <c r="BV19" s="12"/>
      <c r="BW19" s="12" t="n">
        <f aca="false">IF('Cash Drivers'!BW$26,Support!BV19,Support!BX19)</f>
        <v>2000</v>
      </c>
      <c r="BX19" s="90" t="n">
        <v>2000</v>
      </c>
      <c r="BY19" s="13"/>
      <c r="BZ19" s="13" t="n">
        <f aca="false">IF('Cash Drivers'!BZ$26,Support!BY19,Support!CA19)</f>
        <v>2000</v>
      </c>
      <c r="CA19" s="89" t="n">
        <v>2000</v>
      </c>
      <c r="CB19" s="12"/>
      <c r="CC19" s="12" t="n">
        <f aca="false">IF('Cash Drivers'!CC$26,Support!CB19,Support!CD19)</f>
        <v>2000</v>
      </c>
      <c r="CD19" s="90" t="n">
        <v>2000</v>
      </c>
      <c r="CE19" s="13"/>
      <c r="CF19" s="13" t="n">
        <f aca="false">IF('Cash Drivers'!CF$26,Support!CE19,Support!CG19)</f>
        <v>2000</v>
      </c>
      <c r="CG19" s="89" t="n">
        <v>2000</v>
      </c>
      <c r="CH19" s="12"/>
      <c r="CI19" s="12" t="n">
        <f aca="false">IF('Cash Drivers'!CI$26,Support!CH19,Support!CJ19)</f>
        <v>2000</v>
      </c>
      <c r="CJ19" s="90" t="n">
        <v>2000</v>
      </c>
      <c r="CK19" s="13"/>
      <c r="CL19" s="13" t="n">
        <f aca="false">IF('Cash Drivers'!CL$26,Support!CK19,Support!CM19)</f>
        <v>2000</v>
      </c>
      <c r="CM19" s="89" t="n">
        <v>2000</v>
      </c>
      <c r="CN19" s="12"/>
      <c r="CO19" s="12" t="n">
        <f aca="false">IF('Cash Drivers'!CO$26,Support!CN19,Support!CP19)</f>
        <v>2000</v>
      </c>
      <c r="CP19" s="90" t="n">
        <v>2000</v>
      </c>
      <c r="CQ19" s="13"/>
      <c r="CR19" s="13" t="n">
        <f aca="false">IF('Cash Drivers'!CR$26,Support!CQ19,Support!CS19)</f>
        <v>2000</v>
      </c>
      <c r="CS19" s="89" t="n">
        <v>2000</v>
      </c>
      <c r="CT19" s="12"/>
      <c r="CU19" s="12" t="n">
        <f aca="false">IF('Cash Drivers'!CU$26,Support!CT19,Support!CV19)</f>
        <v>2000</v>
      </c>
      <c r="CV19" s="90" t="n">
        <v>2000</v>
      </c>
      <c r="CW19" s="13"/>
      <c r="CX19" s="13" t="n">
        <f aca="false">IF('Cash Drivers'!CX$26,Support!CW19,Support!CY19)</f>
        <v>2000</v>
      </c>
      <c r="CY19" s="89" t="n">
        <v>2000</v>
      </c>
      <c r="CZ19" s="12"/>
      <c r="DA19" s="12" t="n">
        <f aca="false">IF('Cash Drivers'!DA$26,Support!CZ19,Support!DB19)</f>
        <v>2000</v>
      </c>
      <c r="DB19" s="90" t="n">
        <v>2000</v>
      </c>
      <c r="DC19" s="13"/>
      <c r="DD19" s="13" t="n">
        <f aca="false">IF('Cash Drivers'!DD$26,Support!DC19,Support!DE19)</f>
        <v>2000</v>
      </c>
      <c r="DE19" s="89" t="n">
        <v>2000</v>
      </c>
      <c r="DF19" s="12"/>
      <c r="DG19" s="12" t="n">
        <f aca="false">IF('Cash Drivers'!DG$26,Support!DF19,Support!DH19)</f>
        <v>2000</v>
      </c>
      <c r="DH19" s="90" t="n">
        <v>2000</v>
      </c>
      <c r="DI19" s="89" t="n">
        <v>2000</v>
      </c>
      <c r="DJ19" s="13" t="n">
        <f aca="false">IF('Cash Drivers'!DJ$26,Support!DI19,Support!DK19)</f>
        <v>2000</v>
      </c>
      <c r="DK19" s="89" t="n">
        <v>2000</v>
      </c>
      <c r="DL19" s="90" t="n">
        <v>2000</v>
      </c>
      <c r="DM19" s="12" t="n">
        <f aca="false">IF('Cash Drivers'!DM$26,Support!DL19,Support!DN19)</f>
        <v>2000</v>
      </c>
      <c r="DN19" s="90" t="n">
        <v>2000</v>
      </c>
    </row>
    <row r="20" customFormat="false" ht="15" hidden="false" customHeight="false" outlineLevel="0" collapsed="false">
      <c r="A20" s="14" t="s">
        <v>167</v>
      </c>
      <c r="B20" s="15" t="str">
        <f aca="false">IF(COUNT(AR20,AO20,AL20,AI20,AF20,AC20,Z20,W20,T20,Q20,N20,K20)=0,"",SUM(AR20,AO20,AL20,AI20,AF20,AC20,Z20,W20,T20,Q20,N20,K20))</f>
        <v/>
      </c>
      <c r="C20" s="15" t="n">
        <f aca="false">IF(COUNT(AS20,AP20,AM20,AJ20,AG20,AD20,AA20,X20,U20,R20,O20,L20)=0,"",SUM(AS20,AP20,AM20,AJ20,AG20,AD20,AA20,X20,U20,R20,O20,L20))</f>
        <v>1544360</v>
      </c>
      <c r="D20" s="15" t="n">
        <f aca="false">IF(COUNT(AT20,AQ20,AN20,AK20,AH20,AE20,AB20,Y20,V20,S20,P20,M20)=0,"",SUM(AT20,AQ20,AN20,AK20,AH20,AE20,AB20,Y20,V20,S20,P20,M20))</f>
        <v>1544360</v>
      </c>
      <c r="E20" s="16" t="str">
        <f aca="false">IF(COUNT(CB20,BY20,BV20,BS20,BP20,BM20,BJ20,BG20,BD20,BA20,AX20,AU20)=0,"",SUM(CB20,BY20,BV20,BS20,BP20,BM20,BJ20,BG20,BD20,BA20,AX20,AU20))</f>
        <v/>
      </c>
      <c r="F20" s="16" t="n">
        <f aca="false">IF(COUNT(CC20,BZ20,BW20,BT20,BQ20,BN20,BK20,BH20,BE20,BB20,AY20,AV20)=0,"",SUM(CC20,BZ20,BW20,BT20,BQ20,BN20,BK20,BH20,BE20,BB20,AY20,AV20))</f>
        <v>1288160</v>
      </c>
      <c r="G20" s="16" t="n">
        <f aca="false">IF(COUNT(CD20,CA20,BX20,BU20,BR20,BO20,BL20,BI20,BF20,BC20,AZ20,AW20)=0,"",SUM(CD20,CA20,BX20,BU20,BR20,BO20,BL20,BI20,BF20,BC20,AZ20,AW20))</f>
        <v>1288160</v>
      </c>
      <c r="H20" s="15" t="n">
        <f aca="false">IF(COUNT(DL20,DI20,DF20,DC20,CZ20,CW20,CT20,CQ20,CN20,CK20,CH20,CE20)=0,"",SUM(DL20,DI20,DF20,DC20,CZ20,CW20,CT20,CQ20,CN20,CK20,CH20,CE20))</f>
        <v>169960</v>
      </c>
      <c r="I20" s="15" t="n">
        <f aca="false">IF(COUNT(DM20,DJ20,DG20,DD20,DA20,CX20,CU20,CR20,CO20,CL20,CI20,CF20)=0,"",SUM(DM20,DJ20,DG20,DD20,DA20,CX20,CU20,CR20,CO20,CL20,CI20,CF20))</f>
        <v>1045380</v>
      </c>
      <c r="J20" s="15" t="n">
        <f aca="false">IF(COUNT(DN20,DK20,DH20,DE20,DB20,CY20,CV20,CS20,CP20,CM20,CJ20,CG20)=0,"",SUM(DN20,DK20,DH20,DE20,DB20,CY20,CV20,CS20,CP20,CM20,CJ20,CG20))</f>
        <v>1045380</v>
      </c>
      <c r="K20" s="16" t="str">
        <f aca="false">IF(COUNT(K11,K12,K13,K14,K15,K16,K17,K18,K19)=0,"",SUM(K11:K19))</f>
        <v/>
      </c>
      <c r="L20" s="16" t="n">
        <f aca="false">SUM(L11:L19)</f>
        <v>130120</v>
      </c>
      <c r="M20" s="16" t="n">
        <f aca="false">SUM(M11:M19)</f>
        <v>130120</v>
      </c>
      <c r="N20" s="15" t="str">
        <f aca="false">IF(COUNT(N11,N12,N13,N14,N15,N16,N17,N18,N19)=0,"",SUM(N11:N19))</f>
        <v/>
      </c>
      <c r="O20" s="15" t="n">
        <f aca="false">SUM(O11:O19)</f>
        <v>130120</v>
      </c>
      <c r="P20" s="15" t="n">
        <f aca="false">SUM(P11:P19)</f>
        <v>130120</v>
      </c>
      <c r="Q20" s="16" t="str">
        <f aca="false">IF(COUNT(Q11,Q12,Q13,Q14,Q15,Q16,Q17,Q18,Q19)=0,"",SUM(Q11:Q19))</f>
        <v/>
      </c>
      <c r="R20" s="16" t="n">
        <f aca="false">SUM(R11:R19)</f>
        <v>130120</v>
      </c>
      <c r="S20" s="16" t="n">
        <f aca="false">SUM(S11:S19)</f>
        <v>130120</v>
      </c>
      <c r="T20" s="15" t="str">
        <f aca="false">IF(COUNT(T11,T12,T13,T14,T15,T16,T17,T18,T19)=0,"",SUM(T11:T19))</f>
        <v/>
      </c>
      <c r="U20" s="15" t="n">
        <f aca="false">SUM(U11:U19)</f>
        <v>130120</v>
      </c>
      <c r="V20" s="15" t="n">
        <f aca="false">SUM(V11:V19)</f>
        <v>130120</v>
      </c>
      <c r="W20" s="16" t="str">
        <f aca="false">IF(COUNT(W11,W12,W13,W14,W15,W16,W17,W18,W19)=0,"",SUM(W11:W19))</f>
        <v/>
      </c>
      <c r="X20" s="16" t="n">
        <f aca="false">SUM(X11:X19)</f>
        <v>130120</v>
      </c>
      <c r="Y20" s="16" t="n">
        <f aca="false">SUM(Y11:Y19)</f>
        <v>130120</v>
      </c>
      <c r="Z20" s="15" t="str">
        <f aca="false">IF(COUNT(Z11,Z12,Z13,Z14,Z15,Z16,Z17,Z18,Z19)=0,"",SUM(Z11:Z19))</f>
        <v/>
      </c>
      <c r="AA20" s="15" t="n">
        <f aca="false">SUM(AA11:AA19)</f>
        <v>130120</v>
      </c>
      <c r="AB20" s="15" t="n">
        <f aca="false">SUM(AB11:AB19)</f>
        <v>130120</v>
      </c>
      <c r="AC20" s="16" t="str">
        <f aca="false">IF(COUNT(AC11,AC12,AC13,AC14,AC15,AC16,AC17,AC18,AC19)=0,"",SUM(AC11:AC19))</f>
        <v/>
      </c>
      <c r="AD20" s="16" t="n">
        <f aca="false">SUM(AD11:AD19)</f>
        <v>130120</v>
      </c>
      <c r="AE20" s="16" t="n">
        <f aca="false">SUM(AE11:AE19)</f>
        <v>130120</v>
      </c>
      <c r="AF20" s="15" t="str">
        <f aca="false">IF(COUNT(AF11,AF12,AF13,AF14,AF15,AF16,AF17,AF18,AF19)=0,"",SUM(AF11:AF19))</f>
        <v/>
      </c>
      <c r="AG20" s="15" t="n">
        <f aca="false">SUM(AG11:AG19)</f>
        <v>130120</v>
      </c>
      <c r="AH20" s="15" t="n">
        <f aca="false">SUM(AH11:AH19)</f>
        <v>130120</v>
      </c>
      <c r="AI20" s="16" t="str">
        <f aca="false">IF(COUNT(AI11,AI12,AI13,AI14,AI15,AI16,AI17,AI18,AI19)=0,"",SUM(AI11:AI19))</f>
        <v/>
      </c>
      <c r="AJ20" s="16" t="n">
        <f aca="false">SUM(AJ11:AJ19)</f>
        <v>130120</v>
      </c>
      <c r="AK20" s="16" t="n">
        <f aca="false">SUM(AK11:AK19)</f>
        <v>130120</v>
      </c>
      <c r="AL20" s="15" t="str">
        <f aca="false">IF(COUNT(AL11,AL12,AL13,AL14,AL15,AL16,AL17,AL18,AL19)=0,"",SUM(AL11:AL19))</f>
        <v/>
      </c>
      <c r="AM20" s="15" t="n">
        <f aca="false">SUM(AM11:AM19)</f>
        <v>130120</v>
      </c>
      <c r="AN20" s="15" t="n">
        <f aca="false">SUM(AN11:AN19)</f>
        <v>130120</v>
      </c>
      <c r="AO20" s="16" t="str">
        <f aca="false">IF(COUNT(AO11,AO12,AO13,AO14,AO15,AO16,AO17,AO18,AO19)=0,"",SUM(AO11:AO19))</f>
        <v/>
      </c>
      <c r="AP20" s="16" t="n">
        <f aca="false">SUM(AP11:AP19)</f>
        <v>121580</v>
      </c>
      <c r="AQ20" s="16" t="n">
        <f aca="false">SUM(AQ11:AQ19)</f>
        <v>121580</v>
      </c>
      <c r="AR20" s="15" t="str">
        <f aca="false">IF(COUNT(AR11,AR12,AR13,AR14,AR15,AR16,AR17,AR18,AR19)=0,"",SUM(AR11:AR19))</f>
        <v/>
      </c>
      <c r="AS20" s="15" t="n">
        <f aca="false">SUM(AS11:AS19)</f>
        <v>121580</v>
      </c>
      <c r="AT20" s="15" t="n">
        <f aca="false">SUM(AT11:AT19)</f>
        <v>121580</v>
      </c>
      <c r="AU20" s="16" t="str">
        <f aca="false">IF(COUNT(AU11,AU12,AU13,AU14,AU15,AU16,AU17,AU18,AU19)=0,"",SUM(AU11:AU19))</f>
        <v/>
      </c>
      <c r="AV20" s="16" t="n">
        <f aca="false">SUM(AV11:AV19)</f>
        <v>121580</v>
      </c>
      <c r="AW20" s="16" t="n">
        <f aca="false">SUM(AW11:AW19)</f>
        <v>121580</v>
      </c>
      <c r="AX20" s="15" t="str">
        <f aca="false">IF(COUNT(AX11,AX12,AX13,AX14,AX15,AX16,AX17,AX18,AX19)=0,"",SUM(AX11:AX19))</f>
        <v/>
      </c>
      <c r="AY20" s="15" t="n">
        <f aca="false">SUM(AY11:AY19)</f>
        <v>121580</v>
      </c>
      <c r="AZ20" s="15" t="n">
        <f aca="false">SUM(AZ11:AZ19)</f>
        <v>121580</v>
      </c>
      <c r="BA20" s="16" t="str">
        <f aca="false">IF(COUNT(BA11,BA12,BA13,BA14,BA15,BA16,BA17,BA18,BA19)=0,"",SUM(BA11:BA19))</f>
        <v/>
      </c>
      <c r="BB20" s="16" t="n">
        <f aca="false">SUM(BB11:BB19)</f>
        <v>121580</v>
      </c>
      <c r="BC20" s="16" t="n">
        <f aca="false">SUM(BC11:BC19)</f>
        <v>121580</v>
      </c>
      <c r="BD20" s="15" t="str">
        <f aca="false">IF(COUNT(BD11,BD12,BD13,BD14,BD15,BD16,BD17,BD18,BD19)=0,"",SUM(BD11:BD19))</f>
        <v/>
      </c>
      <c r="BE20" s="15" t="n">
        <f aca="false">SUM(BE11:BE19)</f>
        <v>121580</v>
      </c>
      <c r="BF20" s="15" t="n">
        <f aca="false">SUM(BF11:BF19)</f>
        <v>121580</v>
      </c>
      <c r="BG20" s="16" t="str">
        <f aca="false">IF(COUNT(BG11,BG12,BG13,BG14,BG15,BG16,BG17,BG18,BG19)=0,"",SUM(BG11:BG19))</f>
        <v/>
      </c>
      <c r="BH20" s="16" t="n">
        <f aca="false">SUM(BH11:BH19)</f>
        <v>113040</v>
      </c>
      <c r="BI20" s="16" t="n">
        <f aca="false">SUM(BI11:BI19)</f>
        <v>113040</v>
      </c>
      <c r="BJ20" s="15" t="str">
        <f aca="false">IF(COUNT(BJ11,BJ12,BJ13,BJ14,BJ15,BJ16,BJ17,BJ18,BJ19)=0,"",SUM(BJ11:BJ19))</f>
        <v/>
      </c>
      <c r="BK20" s="15" t="n">
        <f aca="false">SUM(BK11:BK19)</f>
        <v>102060</v>
      </c>
      <c r="BL20" s="15" t="n">
        <f aca="false">SUM(BL11:BL19)</f>
        <v>102060</v>
      </c>
      <c r="BM20" s="16" t="str">
        <f aca="false">IF(COUNT(BM11,BM12,BM13,BM14,BM15,BM16,BM17,BM18,BM19)=0,"",SUM(BM11:BM19))</f>
        <v/>
      </c>
      <c r="BN20" s="16" t="n">
        <f aca="false">SUM(BN11:BN19)</f>
        <v>102060</v>
      </c>
      <c r="BO20" s="16" t="n">
        <f aca="false">SUM(BO11:BO19)</f>
        <v>102060</v>
      </c>
      <c r="BP20" s="15" t="str">
        <f aca="false">IF(COUNT(BP11,BP12,BP13,BP14,BP15,BP16,BP17,BP18,BP19)=0,"",SUM(BP11:BP19))</f>
        <v/>
      </c>
      <c r="BQ20" s="15" t="n">
        <f aca="false">SUM(BQ11:BQ19)</f>
        <v>102060</v>
      </c>
      <c r="BR20" s="15" t="n">
        <f aca="false">SUM(BR11:BR19)</f>
        <v>102060</v>
      </c>
      <c r="BS20" s="16" t="str">
        <f aca="false">IF(COUNT(BS11,BS12,BS13,BS14,BS15,BS16,BS17,BS18,BS19)=0,"",SUM(BS11:BS19))</f>
        <v/>
      </c>
      <c r="BT20" s="16" t="n">
        <f aca="false">SUM(BT11:BT19)</f>
        <v>102060</v>
      </c>
      <c r="BU20" s="16" t="n">
        <f aca="false">SUM(BU11:BU19)</f>
        <v>102060</v>
      </c>
      <c r="BV20" s="15" t="str">
        <f aca="false">IF(COUNT(BV11,BV12,BV13,BV14,BV15,BV16,BV17,BV18,BV19)=0,"",SUM(BV11:BV19))</f>
        <v/>
      </c>
      <c r="BW20" s="15" t="n">
        <f aca="false">SUM(BW11:BW19)</f>
        <v>93520</v>
      </c>
      <c r="BX20" s="15" t="n">
        <f aca="false">SUM(BX11:BX19)</f>
        <v>93520</v>
      </c>
      <c r="BY20" s="16" t="str">
        <f aca="false">IF(COUNT(BY11,BY12,BY13,BY14,BY15,BY16,BY17,BY18,BY19)=0,"",SUM(BY11:BY19))</f>
        <v/>
      </c>
      <c r="BZ20" s="16" t="n">
        <f aca="false">SUM(BZ11:BZ19)</f>
        <v>93520</v>
      </c>
      <c r="CA20" s="16" t="n">
        <f aca="false">SUM(CA11:CA19)</f>
        <v>93520</v>
      </c>
      <c r="CB20" s="15" t="str">
        <f aca="false">IF(COUNT(CB11,CB12,CB13,CB14,CB15,CB16,CB17,CB18,CB19)=0,"",SUM(CB11:CB19))</f>
        <v/>
      </c>
      <c r="CC20" s="15" t="n">
        <f aca="false">SUM(CC11:CC19)</f>
        <v>93520</v>
      </c>
      <c r="CD20" s="15" t="n">
        <f aca="false">SUM(CD11:CD19)</f>
        <v>93520</v>
      </c>
      <c r="CE20" s="16" t="str">
        <f aca="false">IF(COUNT(CE11,CE12,CE13,CE14,CE15,CE16,CE17,CE18,CE19)=0,"",SUM(CE11:CE19))</f>
        <v/>
      </c>
      <c r="CF20" s="16" t="n">
        <f aca="false">SUM(CF11:CF19)</f>
        <v>93520</v>
      </c>
      <c r="CG20" s="16" t="n">
        <f aca="false">SUM(CG11:CG19)</f>
        <v>93520</v>
      </c>
      <c r="CH20" s="15" t="str">
        <f aca="false">IF(COUNT(CH11,CH12,CH13,CH14,CH15,CH16,CH17,CH18,CH19)=0,"",SUM(CH11:CH19))</f>
        <v/>
      </c>
      <c r="CI20" s="15" t="n">
        <f aca="false">SUM(CI11:CI19)</f>
        <v>93520</v>
      </c>
      <c r="CJ20" s="15" t="n">
        <f aca="false">SUM(CJ11:CJ19)</f>
        <v>93520</v>
      </c>
      <c r="CK20" s="16" t="str">
        <f aca="false">IF(COUNT(CK11,CK12,CK13,CK14,CK15,CK16,CK17,CK18,CK19)=0,"",SUM(CK11:CK19))</f>
        <v/>
      </c>
      <c r="CL20" s="16" t="n">
        <f aca="false">SUM(CL11:CL19)</f>
        <v>93520</v>
      </c>
      <c r="CM20" s="16" t="n">
        <f aca="false">SUM(CM11:CM19)</f>
        <v>93520</v>
      </c>
      <c r="CN20" s="15" t="str">
        <f aca="false">IF(COUNT(CN11,CN12,CN13,CN14,CN15,CN16,CN17,CN18,CN19)=0,"",SUM(CN11:CN19))</f>
        <v/>
      </c>
      <c r="CO20" s="15" t="n">
        <f aca="false">SUM(CO11:CO19)</f>
        <v>84980</v>
      </c>
      <c r="CP20" s="15" t="n">
        <f aca="false">SUM(CP11:CP19)</f>
        <v>84980</v>
      </c>
      <c r="CQ20" s="16" t="str">
        <f aca="false">IF(COUNT(CQ11,CQ12,CQ13,CQ14,CQ15,CQ16,CQ17,CQ18,CQ19)=0,"",SUM(CQ11:CQ19))</f>
        <v/>
      </c>
      <c r="CR20" s="16" t="n">
        <f aca="false">SUM(CR11:CR19)</f>
        <v>84980</v>
      </c>
      <c r="CS20" s="16" t="n">
        <f aca="false">SUM(CS11:CS19)</f>
        <v>84980</v>
      </c>
      <c r="CT20" s="15" t="str">
        <f aca="false">IF(COUNT(CT11,CT12,CT13,CT14,CT15,CT16,CT17,CT18,CT19)=0,"",SUM(CT11:CT19))</f>
        <v/>
      </c>
      <c r="CU20" s="15" t="n">
        <f aca="false">SUM(CU11:CU19)</f>
        <v>84980</v>
      </c>
      <c r="CV20" s="15" t="n">
        <f aca="false">SUM(CV11:CV19)</f>
        <v>84980</v>
      </c>
      <c r="CW20" s="16" t="str">
        <f aca="false">IF(COUNT(CW11,CW12,CW13,CW14,CW15,CW16,CW17,CW18,CW19)=0,"",SUM(CW11:CW19))</f>
        <v/>
      </c>
      <c r="CX20" s="16" t="n">
        <f aca="false">SUM(CX11:CX19)</f>
        <v>84980</v>
      </c>
      <c r="CY20" s="16" t="n">
        <f aca="false">SUM(CY11:CY19)</f>
        <v>84980</v>
      </c>
      <c r="CZ20" s="15" t="str">
        <f aca="false">IF(COUNT(CZ11,CZ12,CZ13,CZ14,CZ15,CZ16,CZ17,CZ18,CZ19)=0,"",SUM(CZ11:CZ19))</f>
        <v/>
      </c>
      <c r="DA20" s="15" t="n">
        <f aca="false">SUM(DA11:DA19)</f>
        <v>84980</v>
      </c>
      <c r="DB20" s="15" t="n">
        <f aca="false">SUM(DB11:DB19)</f>
        <v>84980</v>
      </c>
      <c r="DC20" s="16" t="str">
        <f aca="false">IF(COUNT(DC11,DC12,DC13,DC14,DC15,DC16,DC17,DC18,DC19)=0,"",SUM(DC11:DC19))</f>
        <v/>
      </c>
      <c r="DD20" s="16" t="n">
        <f aca="false">SUM(DD11:DD19)</f>
        <v>84980</v>
      </c>
      <c r="DE20" s="16" t="n">
        <f aca="false">SUM(DE11:DE19)</f>
        <v>84980</v>
      </c>
      <c r="DF20" s="15" t="str">
        <f aca="false">IF(COUNT(DF11,DF12,DF13,DF14,DF15,DF16,DF17,DF18,DF19)=0,"",SUM(DF11:DF19))</f>
        <v/>
      </c>
      <c r="DG20" s="15" t="n">
        <f aca="false">SUM(DG11:DG19)</f>
        <v>84980</v>
      </c>
      <c r="DH20" s="15" t="n">
        <f aca="false">SUM(DH11:DH19)</f>
        <v>84980</v>
      </c>
      <c r="DI20" s="16" t="n">
        <f aca="false">IF(COUNT(DI11,DI12,DI13,DI14,DI15,DI16,DI17,DI18,DI19)=0,"",SUM(DI11:DI19))</f>
        <v>84980</v>
      </c>
      <c r="DJ20" s="16" t="n">
        <f aca="false">SUM(DJ11:DJ19)</f>
        <v>84980</v>
      </c>
      <c r="DK20" s="16" t="n">
        <f aca="false">SUM(DK11:DK19)</f>
        <v>84980</v>
      </c>
      <c r="DL20" s="15" t="n">
        <f aca="false">IF(COUNT(DL11,DL12,DL13,DL14,DL15,DL16,DL17,DL18,DL19)=0,"",SUM(DL11:DL19))</f>
        <v>84980</v>
      </c>
      <c r="DM20" s="15" t="n">
        <f aca="false">SUM(DM11:DM19)</f>
        <v>84980</v>
      </c>
      <c r="DN20" s="15" t="n">
        <f aca="false">SUM(DN11:DN19)</f>
        <v>84980</v>
      </c>
    </row>
    <row r="21" customFormat="false" ht="15.75" hidden="false" customHeight="true" outlineLevel="0" collapsed="false">
      <c r="A21" s="5" t="s">
        <v>239</v>
      </c>
      <c r="B21" s="12" t="str">
        <f aca="false">IF(COUNT(AR21,AO21,AL21,AI21,AF21,AC21,Z21,W21,T21,Q21,N21,K21)=0,"",SUM(AR21,AO21,AL21,AI21,AF21,AC21,Z21,W21,T21,Q21,N21,K21))</f>
        <v/>
      </c>
      <c r="C21" s="12" t="n">
        <f aca="false">IF(COUNT(AS21,AP21,AM21,AJ21,AG21,AD21,AA21,X21,U21,R21,O21,L21)=0,"",SUM(AS21,AP21,AM21,AJ21,AG21,AD21,AA21,X21,U21,R21,O21,L21))</f>
        <v>30000</v>
      </c>
      <c r="D21" s="12" t="n">
        <f aca="false">IF(COUNT(AT21,AQ21,AN21,AK21,AH21,AE21,AB21,Y21,V21,S21,P21,M21)=0,"",SUM(AT21,AQ21,AN21,AK21,AH21,AE21,AB21,Y21,V21,S21,P21,M21))</f>
        <v>30000</v>
      </c>
      <c r="E21" s="13" t="str">
        <f aca="false">IF(COUNT(CB21,BY21,BV21,BS21,BP21,BM21,BJ21,BG21,BD21,BA21,AX21,AU21)=0,"",SUM(CB21,BY21,BV21,BS21,BP21,BM21,BJ21,BG21,BD21,BA21,AX21,AU21))</f>
        <v/>
      </c>
      <c r="F21" s="13" t="n">
        <f aca="false">IF(COUNT(CC21,BZ21,BW21,BT21,BQ21,BN21,BK21,BH21,BE21,BB21,AY21,AV21)=0,"",SUM(CC21,BZ21,BW21,BT21,BQ21,BN21,BK21,BH21,BE21,BB21,AY21,AV21))</f>
        <v>30000</v>
      </c>
      <c r="G21" s="13" t="n">
        <f aca="false">IF(COUNT(CD21,CA21,BX21,BU21,BR21,BO21,BL21,BI21,BF21,BC21,AZ21,AW21)=0,"",SUM(CD21,CA21,BX21,BU21,BR21,BO21,BL21,BI21,BF21,BC21,AZ21,AW21))</f>
        <v>30000</v>
      </c>
      <c r="H21" s="12" t="n">
        <f aca="false">IF(COUNT(DL21,DI21,DF21,DC21,CZ21,CW21,CT21,CQ21,CN21,CK21,CH21,CE21)=0,"",SUM(DL21,DI21,DF21,DC21,CZ21,CW21,CT21,CQ21,CN21,CK21,CH21,CE21))</f>
        <v>5000</v>
      </c>
      <c r="I21" s="12" t="n">
        <f aca="false">IF(COUNT(DM21,DJ21,DG21,DD21,DA21,CX21,CU21,CR21,CO21,CL21,CI21,CF21)=0,"",SUM(DM21,DJ21,DG21,DD21,DA21,CX21,CU21,CR21,CO21,CL21,CI21,CF21))</f>
        <v>30000</v>
      </c>
      <c r="J21" s="12" t="n">
        <f aca="false">IF(COUNT(DN21,DK21,DH21,DE21,DB21,CY21,CV21,CS21,CP21,CM21,CJ21,CG21)=0,"",SUM(DN21,DK21,DH21,DE21,DB21,CY21,CV21,CS21,CP21,CM21,CJ21,CG21))</f>
        <v>30000</v>
      </c>
      <c r="K21" s="13"/>
      <c r="L21" s="13" t="n">
        <f aca="false">IF('Cash Drivers'!L$26,Support!K21,Support!M21)</f>
        <v>2500</v>
      </c>
      <c r="M21" s="89" t="n">
        <v>2500</v>
      </c>
      <c r="N21" s="12"/>
      <c r="O21" s="12" t="n">
        <f aca="false">IF('Cash Drivers'!O$26,Support!N21,Support!P21)</f>
        <v>2500</v>
      </c>
      <c r="P21" s="90" t="n">
        <v>2500</v>
      </c>
      <c r="Q21" s="13"/>
      <c r="R21" s="13" t="n">
        <f aca="false">IF('Cash Drivers'!R$26,Support!Q21,Support!S21)</f>
        <v>2500</v>
      </c>
      <c r="S21" s="89" t="n">
        <v>2500</v>
      </c>
      <c r="T21" s="12"/>
      <c r="U21" s="12" t="n">
        <f aca="false">IF('Cash Drivers'!U$26,Support!T21,Support!V21)</f>
        <v>2500</v>
      </c>
      <c r="V21" s="90" t="n">
        <v>2500</v>
      </c>
      <c r="W21" s="13"/>
      <c r="X21" s="13" t="n">
        <f aca="false">IF('Cash Drivers'!X$26,Support!W21,Support!Y21)</f>
        <v>2500</v>
      </c>
      <c r="Y21" s="89" t="n">
        <v>2500</v>
      </c>
      <c r="Z21" s="12"/>
      <c r="AA21" s="12" t="n">
        <f aca="false">IF('Cash Drivers'!AA$26,Support!Z21,Support!AB21)</f>
        <v>2500</v>
      </c>
      <c r="AB21" s="90" t="n">
        <v>2500</v>
      </c>
      <c r="AC21" s="13"/>
      <c r="AD21" s="13" t="n">
        <f aca="false">IF('Cash Drivers'!AD$26,Support!AC21,Support!AE21)</f>
        <v>2500</v>
      </c>
      <c r="AE21" s="89" t="n">
        <v>2500</v>
      </c>
      <c r="AF21" s="12"/>
      <c r="AG21" s="12" t="n">
        <f aca="false">IF('Cash Drivers'!AG$26,Support!AF21,Support!AH21)</f>
        <v>2500</v>
      </c>
      <c r="AH21" s="90" t="n">
        <v>2500</v>
      </c>
      <c r="AI21" s="13"/>
      <c r="AJ21" s="13" t="n">
        <f aca="false">IF('Cash Drivers'!AJ$26,Support!AI21,Support!AK21)</f>
        <v>2500</v>
      </c>
      <c r="AK21" s="89" t="n">
        <v>2500</v>
      </c>
      <c r="AL21" s="12"/>
      <c r="AM21" s="12" t="n">
        <f aca="false">IF('Cash Drivers'!AM$26,Support!AL21,Support!AN21)</f>
        <v>2500</v>
      </c>
      <c r="AN21" s="90" t="n">
        <v>2500</v>
      </c>
      <c r="AO21" s="13"/>
      <c r="AP21" s="13" t="n">
        <f aca="false">IF('Cash Drivers'!AP$26,Support!AO21,Support!AQ21)</f>
        <v>2500</v>
      </c>
      <c r="AQ21" s="89" t="n">
        <v>2500</v>
      </c>
      <c r="AR21" s="12"/>
      <c r="AS21" s="12" t="n">
        <f aca="false">IF('Cash Drivers'!AS$26,Support!AR21,Support!AT21)</f>
        <v>2500</v>
      </c>
      <c r="AT21" s="90" t="n">
        <v>2500</v>
      </c>
      <c r="AU21" s="13"/>
      <c r="AV21" s="13" t="n">
        <f aca="false">IF('Cash Drivers'!AV$26,Support!AU21,Support!AW21)</f>
        <v>2500</v>
      </c>
      <c r="AW21" s="89" t="n">
        <v>2500</v>
      </c>
      <c r="AX21" s="12"/>
      <c r="AY21" s="12" t="n">
        <f aca="false">IF('Cash Drivers'!AY$26,Support!AX21,Support!AZ21)</f>
        <v>2500</v>
      </c>
      <c r="AZ21" s="90" t="n">
        <v>2500</v>
      </c>
      <c r="BA21" s="13"/>
      <c r="BB21" s="13" t="n">
        <f aca="false">IF('Cash Drivers'!BB$26,Support!BA21,Support!BC21)</f>
        <v>2500</v>
      </c>
      <c r="BC21" s="89" t="n">
        <v>2500</v>
      </c>
      <c r="BD21" s="12"/>
      <c r="BE21" s="12" t="n">
        <f aca="false">IF('Cash Drivers'!BE$26,Support!BD21,Support!BF21)</f>
        <v>2500</v>
      </c>
      <c r="BF21" s="90" t="n">
        <v>2500</v>
      </c>
      <c r="BG21" s="13"/>
      <c r="BH21" s="13" t="n">
        <f aca="false">IF('Cash Drivers'!BH$26,Support!BG21,Support!BI21)</f>
        <v>2500</v>
      </c>
      <c r="BI21" s="89" t="n">
        <v>2500</v>
      </c>
      <c r="BJ21" s="12"/>
      <c r="BK21" s="12" t="n">
        <f aca="false">IF('Cash Drivers'!BK$26,Support!BJ21,Support!BL21)</f>
        <v>2500</v>
      </c>
      <c r="BL21" s="90" t="n">
        <v>2500</v>
      </c>
      <c r="BM21" s="13"/>
      <c r="BN21" s="13" t="n">
        <f aca="false">IF('Cash Drivers'!BN$26,Support!BM21,Support!BO21)</f>
        <v>2500</v>
      </c>
      <c r="BO21" s="89" t="n">
        <v>2500</v>
      </c>
      <c r="BP21" s="12"/>
      <c r="BQ21" s="12" t="n">
        <f aca="false">IF('Cash Drivers'!BQ$26,Support!BP21,Support!BR21)</f>
        <v>2500</v>
      </c>
      <c r="BR21" s="90" t="n">
        <v>2500</v>
      </c>
      <c r="BS21" s="13"/>
      <c r="BT21" s="13" t="n">
        <f aca="false">IF('Cash Drivers'!BT$26,Support!BS21,Support!BU21)</f>
        <v>2500</v>
      </c>
      <c r="BU21" s="89" t="n">
        <v>2500</v>
      </c>
      <c r="BV21" s="12"/>
      <c r="BW21" s="12" t="n">
        <f aca="false">IF('Cash Drivers'!BW$26,Support!BV21,Support!BX21)</f>
        <v>2500</v>
      </c>
      <c r="BX21" s="90" t="n">
        <v>2500</v>
      </c>
      <c r="BY21" s="13"/>
      <c r="BZ21" s="13" t="n">
        <f aca="false">IF('Cash Drivers'!BZ$26,Support!BY21,Support!CA21)</f>
        <v>2500</v>
      </c>
      <c r="CA21" s="89" t="n">
        <v>2500</v>
      </c>
      <c r="CB21" s="12"/>
      <c r="CC21" s="12" t="n">
        <f aca="false">IF('Cash Drivers'!CC$26,Support!CB21,Support!CD21)</f>
        <v>2500</v>
      </c>
      <c r="CD21" s="90" t="n">
        <v>2500</v>
      </c>
      <c r="CE21" s="13"/>
      <c r="CF21" s="13" t="n">
        <f aca="false">IF('Cash Drivers'!CF$26,Support!CE21,Support!CG21)</f>
        <v>2500</v>
      </c>
      <c r="CG21" s="89" t="n">
        <v>2500</v>
      </c>
      <c r="CH21" s="12"/>
      <c r="CI21" s="12" t="n">
        <f aca="false">IF('Cash Drivers'!CI$26,Support!CH21,Support!CJ21)</f>
        <v>2500</v>
      </c>
      <c r="CJ21" s="90" t="n">
        <v>2500</v>
      </c>
      <c r="CK21" s="13"/>
      <c r="CL21" s="13" t="n">
        <f aca="false">IF('Cash Drivers'!CL$26,Support!CK21,Support!CM21)</f>
        <v>2500</v>
      </c>
      <c r="CM21" s="89" t="n">
        <v>2500</v>
      </c>
      <c r="CN21" s="12"/>
      <c r="CO21" s="12" t="n">
        <f aca="false">IF('Cash Drivers'!CO$26,Support!CN21,Support!CP21)</f>
        <v>2500</v>
      </c>
      <c r="CP21" s="90" t="n">
        <v>2500</v>
      </c>
      <c r="CQ21" s="13"/>
      <c r="CR21" s="13" t="n">
        <f aca="false">IF('Cash Drivers'!CR$26,Support!CQ21,Support!CS21)</f>
        <v>2500</v>
      </c>
      <c r="CS21" s="89" t="n">
        <v>2500</v>
      </c>
      <c r="CT21" s="12"/>
      <c r="CU21" s="12" t="n">
        <f aca="false">IF('Cash Drivers'!CU$26,Support!CT21,Support!CV21)</f>
        <v>2500</v>
      </c>
      <c r="CV21" s="90" t="n">
        <v>2500</v>
      </c>
      <c r="CW21" s="13"/>
      <c r="CX21" s="13" t="n">
        <f aca="false">IF('Cash Drivers'!CX$26,Support!CW21,Support!CY21)</f>
        <v>2500</v>
      </c>
      <c r="CY21" s="89" t="n">
        <v>2500</v>
      </c>
      <c r="CZ21" s="12"/>
      <c r="DA21" s="12" t="n">
        <f aca="false">IF('Cash Drivers'!DA$26,Support!CZ21,Support!DB21)</f>
        <v>2500</v>
      </c>
      <c r="DB21" s="90" t="n">
        <v>2500</v>
      </c>
      <c r="DC21" s="13"/>
      <c r="DD21" s="13" t="n">
        <f aca="false">IF('Cash Drivers'!DD$26,Support!DC21,Support!DE21)</f>
        <v>2500</v>
      </c>
      <c r="DE21" s="89" t="n">
        <v>2500</v>
      </c>
      <c r="DF21" s="12"/>
      <c r="DG21" s="12" t="n">
        <f aca="false">IF('Cash Drivers'!DG$26,Support!DF21,Support!DH21)</f>
        <v>2500</v>
      </c>
      <c r="DH21" s="90" t="n">
        <v>2500</v>
      </c>
      <c r="DI21" s="89" t="n">
        <v>2500</v>
      </c>
      <c r="DJ21" s="13" t="n">
        <f aca="false">IF('Cash Drivers'!DJ$26,Support!DI21,Support!DK21)</f>
        <v>2500</v>
      </c>
      <c r="DK21" s="89" t="n">
        <v>2500</v>
      </c>
      <c r="DL21" s="90" t="n">
        <v>2500</v>
      </c>
      <c r="DM21" s="12" t="n">
        <f aca="false">IF('Cash Drivers'!DM$26,Support!DL21,Support!DN21)</f>
        <v>2500</v>
      </c>
      <c r="DN21" s="90" t="n">
        <v>2500</v>
      </c>
    </row>
    <row r="22" customFormat="false" ht="15.75" hidden="false" customHeight="true" outlineLevel="0" collapsed="false">
      <c r="A22" s="5" t="s">
        <v>240</v>
      </c>
      <c r="B22" s="12" t="str">
        <f aca="false">IF(COUNT(AR22,AO22,AL22,AI22,AF22,AC22,Z22,W22,T22,Q22,N22,K22)=0,"",SUM(AR22,AO22,AL22,AI22,AF22,AC22,Z22,W22,T22,Q22,N22,K22))</f>
        <v/>
      </c>
      <c r="C22" s="12" t="n">
        <f aca="false">IF(COUNT(AS22,AP22,AM22,AJ22,AG22,AD22,AA22,X22,U22,R22,O22,L22)=0,"",SUM(AS22,AP22,AM22,AJ22,AG22,AD22,AA22,X22,U22,R22,O22,L22))</f>
        <v>18000</v>
      </c>
      <c r="D22" s="12" t="n">
        <f aca="false">IF(COUNT(AT22,AQ22,AN22,AK22,AH22,AE22,AB22,Y22,V22,S22,P22,M22)=0,"",SUM(AT22,AQ22,AN22,AK22,AH22,AE22,AB22,Y22,V22,S22,P22,M22))</f>
        <v>18000</v>
      </c>
      <c r="E22" s="13" t="str">
        <f aca="false">IF(COUNT(CB22,BY22,BV22,BS22,BP22,BM22,BJ22,BG22,BD22,BA22,AX22,AU22)=0,"",SUM(CB22,BY22,BV22,BS22,BP22,BM22,BJ22,BG22,BD22,BA22,AX22,AU22))</f>
        <v/>
      </c>
      <c r="F22" s="13" t="n">
        <f aca="false">IF(COUNT(CC22,BZ22,BW22,BT22,BQ22,BN22,BK22,BH22,BE22,BB22,AY22,AV22)=0,"",SUM(CC22,BZ22,BW22,BT22,BQ22,BN22,BK22,BH22,BE22,BB22,AY22,AV22))</f>
        <v>18000</v>
      </c>
      <c r="G22" s="13" t="n">
        <f aca="false">IF(COUNT(CD22,CA22,BX22,BU22,BR22,BO22,BL22,BI22,BF22,BC22,AZ22,AW22)=0,"",SUM(CD22,CA22,BX22,BU22,BR22,BO22,BL22,BI22,BF22,BC22,AZ22,AW22))</f>
        <v>18000</v>
      </c>
      <c r="H22" s="12" t="n">
        <f aca="false">IF(COUNT(DL22,DI22,DF22,DC22,CZ22,CW22,CT22,CQ22,CN22,CK22,CH22,CE22)=0,"",SUM(DL22,DI22,DF22,DC22,CZ22,CW22,CT22,CQ22,CN22,CK22,CH22,CE22))</f>
        <v>3000</v>
      </c>
      <c r="I22" s="12" t="n">
        <f aca="false">IF(COUNT(DM22,DJ22,DG22,DD22,DA22,CX22,CU22,CR22,CO22,CL22,CI22,CF22)=0,"",SUM(DM22,DJ22,DG22,DD22,DA22,CX22,CU22,CR22,CO22,CL22,CI22,CF22))</f>
        <v>18000</v>
      </c>
      <c r="J22" s="12" t="n">
        <f aca="false">IF(COUNT(DN22,DK22,DH22,DE22,DB22,CY22,CV22,CS22,CP22,CM22,CJ22,CG22)=0,"",SUM(DN22,DK22,DH22,DE22,DB22,CY22,CV22,CS22,CP22,CM22,CJ22,CG22))</f>
        <v>18000</v>
      </c>
      <c r="K22" s="13"/>
      <c r="L22" s="13" t="n">
        <f aca="false">IF('Cash Drivers'!L$26,Support!K22,Support!M22)</f>
        <v>1500</v>
      </c>
      <c r="M22" s="89" t="n">
        <v>1500</v>
      </c>
      <c r="N22" s="12"/>
      <c r="O22" s="12" t="n">
        <f aca="false">IF('Cash Drivers'!O$26,Support!N22,Support!P22)</f>
        <v>1500</v>
      </c>
      <c r="P22" s="90" t="n">
        <v>1500</v>
      </c>
      <c r="Q22" s="13"/>
      <c r="R22" s="13" t="n">
        <f aca="false">IF('Cash Drivers'!R$26,Support!Q22,Support!S22)</f>
        <v>1500</v>
      </c>
      <c r="S22" s="89" t="n">
        <v>1500</v>
      </c>
      <c r="T22" s="12"/>
      <c r="U22" s="12" t="n">
        <f aca="false">IF('Cash Drivers'!U$26,Support!T22,Support!V22)</f>
        <v>1500</v>
      </c>
      <c r="V22" s="90" t="n">
        <v>1500</v>
      </c>
      <c r="W22" s="13"/>
      <c r="X22" s="13" t="n">
        <f aca="false">IF('Cash Drivers'!X$26,Support!W22,Support!Y22)</f>
        <v>1500</v>
      </c>
      <c r="Y22" s="89" t="n">
        <v>1500</v>
      </c>
      <c r="Z22" s="12"/>
      <c r="AA22" s="12" t="n">
        <f aca="false">IF('Cash Drivers'!AA$26,Support!Z22,Support!AB22)</f>
        <v>1500</v>
      </c>
      <c r="AB22" s="90" t="n">
        <v>1500</v>
      </c>
      <c r="AC22" s="13"/>
      <c r="AD22" s="13" t="n">
        <f aca="false">IF('Cash Drivers'!AD$26,Support!AC22,Support!AE22)</f>
        <v>1500</v>
      </c>
      <c r="AE22" s="89" t="n">
        <v>1500</v>
      </c>
      <c r="AF22" s="12"/>
      <c r="AG22" s="12" t="n">
        <f aca="false">IF('Cash Drivers'!AG$26,Support!AF22,Support!AH22)</f>
        <v>1500</v>
      </c>
      <c r="AH22" s="90" t="n">
        <v>1500</v>
      </c>
      <c r="AI22" s="13"/>
      <c r="AJ22" s="13" t="n">
        <f aca="false">IF('Cash Drivers'!AJ$26,Support!AI22,Support!AK22)</f>
        <v>1500</v>
      </c>
      <c r="AK22" s="89" t="n">
        <v>1500</v>
      </c>
      <c r="AL22" s="12"/>
      <c r="AM22" s="12" t="n">
        <f aca="false">IF('Cash Drivers'!AM$26,Support!AL22,Support!AN22)</f>
        <v>1500</v>
      </c>
      <c r="AN22" s="90" t="n">
        <v>1500</v>
      </c>
      <c r="AO22" s="13"/>
      <c r="AP22" s="13" t="n">
        <f aca="false">IF('Cash Drivers'!AP$26,Support!AO22,Support!AQ22)</f>
        <v>1500</v>
      </c>
      <c r="AQ22" s="89" t="n">
        <v>1500</v>
      </c>
      <c r="AR22" s="12"/>
      <c r="AS22" s="12" t="n">
        <f aca="false">IF('Cash Drivers'!AS$26,Support!AR22,Support!AT22)</f>
        <v>1500</v>
      </c>
      <c r="AT22" s="90" t="n">
        <v>1500</v>
      </c>
      <c r="AU22" s="13"/>
      <c r="AV22" s="13" t="n">
        <f aca="false">IF('Cash Drivers'!AV$26,Support!AU22,Support!AW22)</f>
        <v>1500</v>
      </c>
      <c r="AW22" s="89" t="n">
        <v>1500</v>
      </c>
      <c r="AX22" s="12"/>
      <c r="AY22" s="12" t="n">
        <f aca="false">IF('Cash Drivers'!AY$26,Support!AX22,Support!AZ22)</f>
        <v>1500</v>
      </c>
      <c r="AZ22" s="90" t="n">
        <v>1500</v>
      </c>
      <c r="BA22" s="13"/>
      <c r="BB22" s="13" t="n">
        <f aca="false">IF('Cash Drivers'!BB$26,Support!BA22,Support!BC22)</f>
        <v>1500</v>
      </c>
      <c r="BC22" s="89" t="n">
        <v>1500</v>
      </c>
      <c r="BD22" s="12"/>
      <c r="BE22" s="12" t="n">
        <f aca="false">IF('Cash Drivers'!BE$26,Support!BD22,Support!BF22)</f>
        <v>1500</v>
      </c>
      <c r="BF22" s="90" t="n">
        <v>1500</v>
      </c>
      <c r="BG22" s="13"/>
      <c r="BH22" s="13" t="n">
        <f aca="false">IF('Cash Drivers'!BH$26,Support!BG22,Support!BI22)</f>
        <v>1500</v>
      </c>
      <c r="BI22" s="89" t="n">
        <v>1500</v>
      </c>
      <c r="BJ22" s="12"/>
      <c r="BK22" s="12" t="n">
        <f aca="false">IF('Cash Drivers'!BK$26,Support!BJ22,Support!BL22)</f>
        <v>1500</v>
      </c>
      <c r="BL22" s="90" t="n">
        <v>1500</v>
      </c>
      <c r="BM22" s="13"/>
      <c r="BN22" s="13" t="n">
        <f aca="false">IF('Cash Drivers'!BN$26,Support!BM22,Support!BO22)</f>
        <v>1500</v>
      </c>
      <c r="BO22" s="89" t="n">
        <v>1500</v>
      </c>
      <c r="BP22" s="12"/>
      <c r="BQ22" s="12" t="n">
        <f aca="false">IF('Cash Drivers'!BQ$26,Support!BP22,Support!BR22)</f>
        <v>1500</v>
      </c>
      <c r="BR22" s="90" t="n">
        <v>1500</v>
      </c>
      <c r="BS22" s="13"/>
      <c r="BT22" s="13" t="n">
        <f aca="false">IF('Cash Drivers'!BT$26,Support!BS22,Support!BU22)</f>
        <v>1500</v>
      </c>
      <c r="BU22" s="89" t="n">
        <v>1500</v>
      </c>
      <c r="BV22" s="12"/>
      <c r="BW22" s="12" t="n">
        <f aca="false">IF('Cash Drivers'!BW$26,Support!BV22,Support!BX22)</f>
        <v>1500</v>
      </c>
      <c r="BX22" s="90" t="n">
        <v>1500</v>
      </c>
      <c r="BY22" s="13"/>
      <c r="BZ22" s="13" t="n">
        <f aca="false">IF('Cash Drivers'!BZ$26,Support!BY22,Support!CA22)</f>
        <v>1500</v>
      </c>
      <c r="CA22" s="89" t="n">
        <v>1500</v>
      </c>
      <c r="CB22" s="12"/>
      <c r="CC22" s="12" t="n">
        <f aca="false">IF('Cash Drivers'!CC$26,Support!CB22,Support!CD22)</f>
        <v>1500</v>
      </c>
      <c r="CD22" s="90" t="n">
        <v>1500</v>
      </c>
      <c r="CE22" s="13"/>
      <c r="CF22" s="13" t="n">
        <f aca="false">IF('Cash Drivers'!CF$26,Support!CE22,Support!CG22)</f>
        <v>1500</v>
      </c>
      <c r="CG22" s="89" t="n">
        <v>1500</v>
      </c>
      <c r="CH22" s="12"/>
      <c r="CI22" s="12" t="n">
        <f aca="false">IF('Cash Drivers'!CI$26,Support!CH22,Support!CJ22)</f>
        <v>1500</v>
      </c>
      <c r="CJ22" s="90" t="n">
        <v>1500</v>
      </c>
      <c r="CK22" s="13"/>
      <c r="CL22" s="13" t="n">
        <f aca="false">IF('Cash Drivers'!CL$26,Support!CK22,Support!CM22)</f>
        <v>1500</v>
      </c>
      <c r="CM22" s="89" t="n">
        <v>1500</v>
      </c>
      <c r="CN22" s="12"/>
      <c r="CO22" s="12" t="n">
        <f aca="false">IF('Cash Drivers'!CO$26,Support!CN22,Support!CP22)</f>
        <v>1500</v>
      </c>
      <c r="CP22" s="90" t="n">
        <v>1500</v>
      </c>
      <c r="CQ22" s="13"/>
      <c r="CR22" s="13" t="n">
        <f aca="false">IF('Cash Drivers'!CR$26,Support!CQ22,Support!CS22)</f>
        <v>1500</v>
      </c>
      <c r="CS22" s="89" t="n">
        <v>1500</v>
      </c>
      <c r="CT22" s="12"/>
      <c r="CU22" s="12" t="n">
        <f aca="false">IF('Cash Drivers'!CU$26,Support!CT22,Support!CV22)</f>
        <v>1500</v>
      </c>
      <c r="CV22" s="90" t="n">
        <v>1500</v>
      </c>
      <c r="CW22" s="13"/>
      <c r="CX22" s="13" t="n">
        <f aca="false">IF('Cash Drivers'!CX$26,Support!CW22,Support!CY22)</f>
        <v>1500</v>
      </c>
      <c r="CY22" s="89" t="n">
        <v>1500</v>
      </c>
      <c r="CZ22" s="12"/>
      <c r="DA22" s="12" t="n">
        <f aca="false">IF('Cash Drivers'!DA$26,Support!CZ22,Support!DB22)</f>
        <v>1500</v>
      </c>
      <c r="DB22" s="90" t="n">
        <v>1500</v>
      </c>
      <c r="DC22" s="13"/>
      <c r="DD22" s="13" t="n">
        <f aca="false">IF('Cash Drivers'!DD$26,Support!DC22,Support!DE22)</f>
        <v>1500</v>
      </c>
      <c r="DE22" s="89" t="n">
        <v>1500</v>
      </c>
      <c r="DF22" s="12"/>
      <c r="DG22" s="12" t="n">
        <f aca="false">IF('Cash Drivers'!DG$26,Support!DF22,Support!DH22)</f>
        <v>1500</v>
      </c>
      <c r="DH22" s="90" t="n">
        <v>1500</v>
      </c>
      <c r="DI22" s="89" t="n">
        <v>1500</v>
      </c>
      <c r="DJ22" s="13" t="n">
        <f aca="false">IF('Cash Drivers'!DJ$26,Support!DI22,Support!DK22)</f>
        <v>1500</v>
      </c>
      <c r="DK22" s="89" t="n">
        <v>1500</v>
      </c>
      <c r="DL22" s="90" t="n">
        <v>1500</v>
      </c>
      <c r="DM22" s="12" t="n">
        <f aca="false">IF('Cash Drivers'!DM$26,Support!DL22,Support!DN22)</f>
        <v>1500</v>
      </c>
      <c r="DN22" s="90" t="n">
        <v>1500</v>
      </c>
    </row>
    <row r="23" customFormat="false" ht="15.75" hidden="false" customHeight="true" outlineLevel="0" collapsed="false">
      <c r="A23" s="5" t="s">
        <v>241</v>
      </c>
      <c r="B23" s="12" t="str">
        <f aca="false">IF(COUNT(AR23,AO23,AL23,AI23,AF23,AC23,Z23,W23,T23,Q23,N23,K23)=0,"",SUM(AR23,AO23,AL23,AI23,AF23,AC23,Z23,W23,T23,Q23,N23,K23))</f>
        <v/>
      </c>
      <c r="C23" s="12" t="n">
        <f aca="false">IF(COUNT(AS23,AP23,AM23,AJ23,AG23,AD23,AA23,X23,U23,R23,O23,L23)=0,"",SUM(AS23,AP23,AM23,AJ23,AG23,AD23,AA23,X23,U23,R23,O23,L23))</f>
        <v>12000</v>
      </c>
      <c r="D23" s="12" t="n">
        <f aca="false">IF(COUNT(AT23,AQ23,AN23,AK23,AH23,AE23,AB23,Y23,V23,S23,P23,M23)=0,"",SUM(AT23,AQ23,AN23,AK23,AH23,AE23,AB23,Y23,V23,S23,P23,M23))</f>
        <v>12000</v>
      </c>
      <c r="E23" s="13" t="str">
        <f aca="false">IF(COUNT(CB23,BY23,BV23,BS23,BP23,BM23,BJ23,BG23,BD23,BA23,AX23,AU23)=0,"",SUM(CB23,BY23,BV23,BS23,BP23,BM23,BJ23,BG23,BD23,BA23,AX23,AU23))</f>
        <v/>
      </c>
      <c r="F23" s="13" t="n">
        <f aca="false">IF(COUNT(CC23,BZ23,BW23,BT23,BQ23,BN23,BK23,BH23,BE23,BB23,AY23,AV23)=0,"",SUM(CC23,BZ23,BW23,BT23,BQ23,BN23,BK23,BH23,BE23,BB23,AY23,AV23))</f>
        <v>12000</v>
      </c>
      <c r="G23" s="13" t="n">
        <f aca="false">IF(COUNT(CD23,CA23,BX23,BU23,BR23,BO23,BL23,BI23,BF23,BC23,AZ23,AW23)=0,"",SUM(CD23,CA23,BX23,BU23,BR23,BO23,BL23,BI23,BF23,BC23,AZ23,AW23))</f>
        <v>12000</v>
      </c>
      <c r="H23" s="12" t="n">
        <f aca="false">IF(COUNT(DL23,DI23,DF23,DC23,CZ23,CW23,CT23,CQ23,CN23,CK23,CH23,CE23)=0,"",SUM(DL23,DI23,DF23,DC23,CZ23,CW23,CT23,CQ23,CN23,CK23,CH23,CE23))</f>
        <v>2000</v>
      </c>
      <c r="I23" s="12" t="n">
        <f aca="false">IF(COUNT(DM23,DJ23,DG23,DD23,DA23,CX23,CU23,CR23,CO23,CL23,CI23,CF23)=0,"",SUM(DM23,DJ23,DG23,DD23,DA23,CX23,CU23,CR23,CO23,CL23,CI23,CF23))</f>
        <v>12000</v>
      </c>
      <c r="J23" s="12" t="n">
        <f aca="false">IF(COUNT(DN23,DK23,DH23,DE23,DB23,CY23,CV23,CS23,CP23,CM23,CJ23,CG23)=0,"",SUM(DN23,DK23,DH23,DE23,DB23,CY23,CV23,CS23,CP23,CM23,CJ23,CG23))</f>
        <v>12000</v>
      </c>
      <c r="K23" s="13"/>
      <c r="L23" s="13" t="n">
        <f aca="false">IF('Cash Drivers'!L$26,Support!K23,Support!M23)</f>
        <v>1000</v>
      </c>
      <c r="M23" s="89" t="n">
        <v>1000</v>
      </c>
      <c r="N23" s="12"/>
      <c r="O23" s="12" t="n">
        <f aca="false">IF('Cash Drivers'!O$26,Support!N23,Support!P23)</f>
        <v>1000</v>
      </c>
      <c r="P23" s="90" t="n">
        <v>1000</v>
      </c>
      <c r="Q23" s="13"/>
      <c r="R23" s="13" t="n">
        <f aca="false">IF('Cash Drivers'!R$26,Support!Q23,Support!S23)</f>
        <v>1000</v>
      </c>
      <c r="S23" s="89" t="n">
        <v>1000</v>
      </c>
      <c r="T23" s="12"/>
      <c r="U23" s="12" t="n">
        <f aca="false">IF('Cash Drivers'!U$26,Support!T23,Support!V23)</f>
        <v>1000</v>
      </c>
      <c r="V23" s="90" t="n">
        <v>1000</v>
      </c>
      <c r="W23" s="13"/>
      <c r="X23" s="13" t="n">
        <f aca="false">IF('Cash Drivers'!X$26,Support!W23,Support!Y23)</f>
        <v>1000</v>
      </c>
      <c r="Y23" s="89" t="n">
        <v>1000</v>
      </c>
      <c r="Z23" s="12"/>
      <c r="AA23" s="12" t="n">
        <f aca="false">IF('Cash Drivers'!AA$26,Support!Z23,Support!AB23)</f>
        <v>1000</v>
      </c>
      <c r="AB23" s="90" t="n">
        <v>1000</v>
      </c>
      <c r="AC23" s="13"/>
      <c r="AD23" s="13" t="n">
        <f aca="false">IF('Cash Drivers'!AD$26,Support!AC23,Support!AE23)</f>
        <v>1000</v>
      </c>
      <c r="AE23" s="89" t="n">
        <v>1000</v>
      </c>
      <c r="AF23" s="12"/>
      <c r="AG23" s="12" t="n">
        <f aca="false">IF('Cash Drivers'!AG$26,Support!AF23,Support!AH23)</f>
        <v>1000</v>
      </c>
      <c r="AH23" s="90" t="n">
        <v>1000</v>
      </c>
      <c r="AI23" s="13"/>
      <c r="AJ23" s="13" t="n">
        <f aca="false">IF('Cash Drivers'!AJ$26,Support!AI23,Support!AK23)</f>
        <v>1000</v>
      </c>
      <c r="AK23" s="89" t="n">
        <v>1000</v>
      </c>
      <c r="AL23" s="12"/>
      <c r="AM23" s="12" t="n">
        <f aca="false">IF('Cash Drivers'!AM$26,Support!AL23,Support!AN23)</f>
        <v>1000</v>
      </c>
      <c r="AN23" s="90" t="n">
        <v>1000</v>
      </c>
      <c r="AO23" s="13"/>
      <c r="AP23" s="13" t="n">
        <f aca="false">IF('Cash Drivers'!AP$26,Support!AO23,Support!AQ23)</f>
        <v>1000</v>
      </c>
      <c r="AQ23" s="89" t="n">
        <v>1000</v>
      </c>
      <c r="AR23" s="12"/>
      <c r="AS23" s="12" t="n">
        <f aca="false">IF('Cash Drivers'!AS$26,Support!AR23,Support!AT23)</f>
        <v>1000</v>
      </c>
      <c r="AT23" s="90" t="n">
        <v>1000</v>
      </c>
      <c r="AU23" s="13"/>
      <c r="AV23" s="13" t="n">
        <f aca="false">IF('Cash Drivers'!AV$26,Support!AU23,Support!AW23)</f>
        <v>1000</v>
      </c>
      <c r="AW23" s="89" t="n">
        <v>1000</v>
      </c>
      <c r="AX23" s="12"/>
      <c r="AY23" s="12" t="n">
        <f aca="false">IF('Cash Drivers'!AY$26,Support!AX23,Support!AZ23)</f>
        <v>1000</v>
      </c>
      <c r="AZ23" s="90" t="n">
        <v>1000</v>
      </c>
      <c r="BA23" s="13"/>
      <c r="BB23" s="13" t="n">
        <f aca="false">IF('Cash Drivers'!BB$26,Support!BA23,Support!BC23)</f>
        <v>1000</v>
      </c>
      <c r="BC23" s="89" t="n">
        <v>1000</v>
      </c>
      <c r="BD23" s="12"/>
      <c r="BE23" s="12" t="n">
        <f aca="false">IF('Cash Drivers'!BE$26,Support!BD23,Support!BF23)</f>
        <v>1000</v>
      </c>
      <c r="BF23" s="90" t="n">
        <v>1000</v>
      </c>
      <c r="BG23" s="13"/>
      <c r="BH23" s="13" t="n">
        <f aca="false">IF('Cash Drivers'!BH$26,Support!BG23,Support!BI23)</f>
        <v>1000</v>
      </c>
      <c r="BI23" s="89" t="n">
        <v>1000</v>
      </c>
      <c r="BJ23" s="12"/>
      <c r="BK23" s="12" t="n">
        <f aca="false">IF('Cash Drivers'!BK$26,Support!BJ23,Support!BL23)</f>
        <v>1000</v>
      </c>
      <c r="BL23" s="90" t="n">
        <v>1000</v>
      </c>
      <c r="BM23" s="13"/>
      <c r="BN23" s="13" t="n">
        <f aca="false">IF('Cash Drivers'!BN$26,Support!BM23,Support!BO23)</f>
        <v>1000</v>
      </c>
      <c r="BO23" s="89" t="n">
        <v>1000</v>
      </c>
      <c r="BP23" s="12"/>
      <c r="BQ23" s="12" t="n">
        <f aca="false">IF('Cash Drivers'!BQ$26,Support!BP23,Support!BR23)</f>
        <v>1000</v>
      </c>
      <c r="BR23" s="90" t="n">
        <v>1000</v>
      </c>
      <c r="BS23" s="13"/>
      <c r="BT23" s="13" t="n">
        <f aca="false">IF('Cash Drivers'!BT$26,Support!BS23,Support!BU23)</f>
        <v>1000</v>
      </c>
      <c r="BU23" s="89" t="n">
        <v>1000</v>
      </c>
      <c r="BV23" s="12"/>
      <c r="BW23" s="12" t="n">
        <f aca="false">IF('Cash Drivers'!BW$26,Support!BV23,Support!BX23)</f>
        <v>1000</v>
      </c>
      <c r="BX23" s="90" t="n">
        <v>1000</v>
      </c>
      <c r="BY23" s="13"/>
      <c r="BZ23" s="13" t="n">
        <f aca="false">IF('Cash Drivers'!BZ$26,Support!BY23,Support!CA23)</f>
        <v>1000</v>
      </c>
      <c r="CA23" s="89" t="n">
        <v>1000</v>
      </c>
      <c r="CB23" s="12"/>
      <c r="CC23" s="12" t="n">
        <f aca="false">IF('Cash Drivers'!CC$26,Support!CB23,Support!CD23)</f>
        <v>1000</v>
      </c>
      <c r="CD23" s="90" t="n">
        <v>1000</v>
      </c>
      <c r="CE23" s="13"/>
      <c r="CF23" s="13" t="n">
        <f aca="false">IF('Cash Drivers'!CF$26,Support!CE23,Support!CG23)</f>
        <v>1000</v>
      </c>
      <c r="CG23" s="89" t="n">
        <v>1000</v>
      </c>
      <c r="CH23" s="12"/>
      <c r="CI23" s="12" t="n">
        <f aca="false">IF('Cash Drivers'!CI$26,Support!CH23,Support!CJ23)</f>
        <v>1000</v>
      </c>
      <c r="CJ23" s="90" t="n">
        <v>1000</v>
      </c>
      <c r="CK23" s="13"/>
      <c r="CL23" s="13" t="n">
        <f aca="false">IF('Cash Drivers'!CL$26,Support!CK23,Support!CM23)</f>
        <v>1000</v>
      </c>
      <c r="CM23" s="89" t="n">
        <v>1000</v>
      </c>
      <c r="CN23" s="12"/>
      <c r="CO23" s="12" t="n">
        <f aca="false">IF('Cash Drivers'!CO$26,Support!CN23,Support!CP23)</f>
        <v>1000</v>
      </c>
      <c r="CP23" s="90" t="n">
        <v>1000</v>
      </c>
      <c r="CQ23" s="13"/>
      <c r="CR23" s="13" t="n">
        <f aca="false">IF('Cash Drivers'!CR$26,Support!CQ23,Support!CS23)</f>
        <v>1000</v>
      </c>
      <c r="CS23" s="89" t="n">
        <v>1000</v>
      </c>
      <c r="CT23" s="12"/>
      <c r="CU23" s="12" t="n">
        <f aca="false">IF('Cash Drivers'!CU$26,Support!CT23,Support!CV23)</f>
        <v>1000</v>
      </c>
      <c r="CV23" s="90" t="n">
        <v>1000</v>
      </c>
      <c r="CW23" s="13"/>
      <c r="CX23" s="13" t="n">
        <f aca="false">IF('Cash Drivers'!CX$26,Support!CW23,Support!CY23)</f>
        <v>1000</v>
      </c>
      <c r="CY23" s="89" t="n">
        <v>1000</v>
      </c>
      <c r="CZ23" s="12"/>
      <c r="DA23" s="12" t="n">
        <f aca="false">IF('Cash Drivers'!DA$26,Support!CZ23,Support!DB23)</f>
        <v>1000</v>
      </c>
      <c r="DB23" s="90" t="n">
        <v>1000</v>
      </c>
      <c r="DC23" s="13"/>
      <c r="DD23" s="13" t="n">
        <f aca="false">IF('Cash Drivers'!DD$26,Support!DC23,Support!DE23)</f>
        <v>1000</v>
      </c>
      <c r="DE23" s="89" t="n">
        <v>1000</v>
      </c>
      <c r="DF23" s="12"/>
      <c r="DG23" s="12" t="n">
        <f aca="false">IF('Cash Drivers'!DG$26,Support!DF23,Support!DH23)</f>
        <v>1000</v>
      </c>
      <c r="DH23" s="90" t="n">
        <v>1000</v>
      </c>
      <c r="DI23" s="89" t="n">
        <v>1000</v>
      </c>
      <c r="DJ23" s="13" t="n">
        <f aca="false">IF('Cash Drivers'!DJ$26,Support!DI23,Support!DK23)</f>
        <v>1000</v>
      </c>
      <c r="DK23" s="89" t="n">
        <v>1000</v>
      </c>
      <c r="DL23" s="90" t="n">
        <v>1000</v>
      </c>
      <c r="DM23" s="12" t="n">
        <f aca="false">IF('Cash Drivers'!DM$26,Support!DL23,Support!DN23)</f>
        <v>1000</v>
      </c>
      <c r="DN23" s="90" t="n">
        <v>1000</v>
      </c>
    </row>
    <row r="24" customFormat="false" ht="15.75" hidden="false" customHeight="true" outlineLevel="0" collapsed="false">
      <c r="A24" s="14" t="s">
        <v>242</v>
      </c>
      <c r="B24" s="15" t="str">
        <f aca="false">IF(COUNT(AR24,AO24,AL24,AI24,AF24,AC24,Z24,W24,T24,Q24,N24,K24)=0,"",SUM(AR24,AO24,AL24,AI24,AF24,AC24,Z24,W24,T24,Q24,N24,K24))</f>
        <v/>
      </c>
      <c r="C24" s="15" t="n">
        <f aca="false">IF(COUNT(AS24,AP24,AM24,AJ24,AG24,AD24,AA24,X24,U24,R24,O24,L24)=0,"",SUM(AS24,AP24,AM24,AJ24,AG24,AD24,AA24,X24,U24,R24,O24,L24))</f>
        <v>60000</v>
      </c>
      <c r="D24" s="15" t="n">
        <f aca="false">IF(COUNT(AT24,AQ24,AN24,AK24,AH24,AE24,AB24,Y24,V24,S24,P24,M24)=0,"",SUM(AT24,AQ24,AN24,AK24,AH24,AE24,AB24,Y24,V24,S24,P24,M24))</f>
        <v>60000</v>
      </c>
      <c r="E24" s="16" t="str">
        <f aca="false">IF(COUNT(CB24,BY24,BV24,BS24,BP24,BM24,BJ24,BG24,BD24,BA24,AX24,AU24)=0,"",SUM(CB24,BY24,BV24,BS24,BP24,BM24,BJ24,BG24,BD24,BA24,AX24,AU24))</f>
        <v/>
      </c>
      <c r="F24" s="16" t="n">
        <f aca="false">IF(COUNT(CC24,BZ24,BW24,BT24,BQ24,BN24,BK24,BH24,BE24,BB24,AY24,AV24)=0,"",SUM(CC24,BZ24,BW24,BT24,BQ24,BN24,BK24,BH24,BE24,BB24,AY24,AV24))</f>
        <v>60000</v>
      </c>
      <c r="G24" s="16" t="n">
        <f aca="false">IF(COUNT(CD24,CA24,BX24,BU24,BR24,BO24,BL24,BI24,BF24,BC24,AZ24,AW24)=0,"",SUM(CD24,CA24,BX24,BU24,BR24,BO24,BL24,BI24,BF24,BC24,AZ24,AW24))</f>
        <v>60000</v>
      </c>
      <c r="H24" s="15" t="n">
        <f aca="false">IF(COUNT(DL24,DI24,DF24,DC24,CZ24,CW24,CT24,CQ24,CN24,CK24,CH24,CE24)=0,"",SUM(DL24,DI24,DF24,DC24,CZ24,CW24,CT24,CQ24,CN24,CK24,CH24,CE24))</f>
        <v>10000</v>
      </c>
      <c r="I24" s="15" t="n">
        <f aca="false">IF(COUNT(DM24,DJ24,DG24,DD24,DA24,CX24,CU24,CR24,CO24,CL24,CI24,CF24)=0,"",SUM(DM24,DJ24,DG24,DD24,DA24,CX24,CU24,CR24,CO24,CL24,CI24,CF24))</f>
        <v>60000</v>
      </c>
      <c r="J24" s="15" t="n">
        <f aca="false">IF(COUNT(DN24,DK24,DH24,DE24,DB24,CY24,CV24,CS24,CP24,CM24,CJ24,CG24)=0,"",SUM(DN24,DK24,DH24,DE24,DB24,CY24,CV24,CS24,CP24,CM24,CJ24,CG24))</f>
        <v>60000</v>
      </c>
      <c r="K24" s="16" t="str">
        <f aca="false">IF(COUNT(K21,K22,K23)=0,"",SUM(K21:K23))</f>
        <v/>
      </c>
      <c r="L24" s="16" t="n">
        <f aca="false">SUM(L21:L23)</f>
        <v>5000</v>
      </c>
      <c r="M24" s="16" t="n">
        <f aca="false">SUM(M21:M23)</f>
        <v>5000</v>
      </c>
      <c r="N24" s="15" t="str">
        <f aca="false">IF(COUNT(N21,N22,N23)=0,"",SUM(N21:N23))</f>
        <v/>
      </c>
      <c r="O24" s="15" t="n">
        <f aca="false">SUM(O21:O23)</f>
        <v>5000</v>
      </c>
      <c r="P24" s="15" t="n">
        <f aca="false">SUM(P21:P23)</f>
        <v>5000</v>
      </c>
      <c r="Q24" s="16" t="str">
        <f aca="false">IF(COUNT(Q21,Q22,Q23)=0,"",SUM(Q21:Q23))</f>
        <v/>
      </c>
      <c r="R24" s="16" t="n">
        <f aca="false">SUM(R21:R23)</f>
        <v>5000</v>
      </c>
      <c r="S24" s="16" t="n">
        <f aca="false">SUM(S21:S23)</f>
        <v>5000</v>
      </c>
      <c r="T24" s="15" t="str">
        <f aca="false">IF(COUNT(T21,T22,T23)=0,"",SUM(T21:T23))</f>
        <v/>
      </c>
      <c r="U24" s="15" t="n">
        <f aca="false">SUM(U21:U23)</f>
        <v>5000</v>
      </c>
      <c r="V24" s="15" t="n">
        <f aca="false">SUM(V21:V23)</f>
        <v>5000</v>
      </c>
      <c r="W24" s="16" t="str">
        <f aca="false">IF(COUNT(W21,W22,W23)=0,"",SUM(W21:W23))</f>
        <v/>
      </c>
      <c r="X24" s="16" t="n">
        <f aca="false">SUM(X21:X23)</f>
        <v>5000</v>
      </c>
      <c r="Y24" s="16" t="n">
        <f aca="false">SUM(Y21:Y23)</f>
        <v>5000</v>
      </c>
      <c r="Z24" s="15" t="str">
        <f aca="false">IF(COUNT(Z21,Z22,Z23)=0,"",SUM(Z21:Z23))</f>
        <v/>
      </c>
      <c r="AA24" s="15" t="n">
        <f aca="false">SUM(AA21:AA23)</f>
        <v>5000</v>
      </c>
      <c r="AB24" s="15" t="n">
        <f aca="false">SUM(AB21:AB23)</f>
        <v>5000</v>
      </c>
      <c r="AC24" s="16" t="str">
        <f aca="false">IF(COUNT(AC21,AC22,AC23)=0,"",SUM(AC21:AC23))</f>
        <v/>
      </c>
      <c r="AD24" s="16" t="n">
        <f aca="false">SUM(AD21:AD23)</f>
        <v>5000</v>
      </c>
      <c r="AE24" s="16" t="n">
        <f aca="false">SUM(AE21:AE23)</f>
        <v>5000</v>
      </c>
      <c r="AF24" s="15" t="str">
        <f aca="false">IF(COUNT(AF21,AF22,AF23)=0,"",SUM(AF21:AF23))</f>
        <v/>
      </c>
      <c r="AG24" s="15" t="n">
        <f aca="false">SUM(AG21:AG23)</f>
        <v>5000</v>
      </c>
      <c r="AH24" s="15" t="n">
        <f aca="false">SUM(AH21:AH23)</f>
        <v>5000</v>
      </c>
      <c r="AI24" s="16" t="str">
        <f aca="false">IF(COUNT(AI21,AI22,AI23)=0,"",SUM(AI21:AI23))</f>
        <v/>
      </c>
      <c r="AJ24" s="16" t="n">
        <f aca="false">SUM(AJ21:AJ23)</f>
        <v>5000</v>
      </c>
      <c r="AK24" s="16" t="n">
        <f aca="false">SUM(AK21:AK23)</f>
        <v>5000</v>
      </c>
      <c r="AL24" s="15" t="str">
        <f aca="false">IF(COUNT(AL21,AL22,AL23)=0,"",SUM(AL21:AL23))</f>
        <v/>
      </c>
      <c r="AM24" s="15" t="n">
        <f aca="false">SUM(AM21:AM23)</f>
        <v>5000</v>
      </c>
      <c r="AN24" s="15" t="n">
        <f aca="false">SUM(AN21:AN23)</f>
        <v>5000</v>
      </c>
      <c r="AO24" s="16" t="str">
        <f aca="false">IF(COUNT(AO21,AO22,AO23)=0,"",SUM(AO21:AO23))</f>
        <v/>
      </c>
      <c r="AP24" s="16" t="n">
        <f aca="false">SUM(AP21:AP23)</f>
        <v>5000</v>
      </c>
      <c r="AQ24" s="16" t="n">
        <f aca="false">SUM(AQ21:AQ23)</f>
        <v>5000</v>
      </c>
      <c r="AR24" s="15" t="str">
        <f aca="false">IF(COUNT(AR21,AR22,AR23)=0,"",SUM(AR21:AR23))</f>
        <v/>
      </c>
      <c r="AS24" s="15" t="n">
        <f aca="false">SUM(AS21:AS23)</f>
        <v>5000</v>
      </c>
      <c r="AT24" s="15" t="n">
        <f aca="false">SUM(AT21:AT23)</f>
        <v>5000</v>
      </c>
      <c r="AU24" s="16" t="str">
        <f aca="false">IF(COUNT(AU21,AU22,AU23)=0,"",SUM(AU21:AU23))</f>
        <v/>
      </c>
      <c r="AV24" s="16" t="n">
        <f aca="false">SUM(AV21:AV23)</f>
        <v>5000</v>
      </c>
      <c r="AW24" s="16" t="n">
        <f aca="false">SUM(AW21:AW23)</f>
        <v>5000</v>
      </c>
      <c r="AX24" s="15" t="str">
        <f aca="false">IF(COUNT(AX21,AX22,AX23)=0,"",SUM(AX21:AX23))</f>
        <v/>
      </c>
      <c r="AY24" s="15" t="n">
        <f aca="false">SUM(AY21:AY23)</f>
        <v>5000</v>
      </c>
      <c r="AZ24" s="15" t="n">
        <f aca="false">SUM(AZ21:AZ23)</f>
        <v>5000</v>
      </c>
      <c r="BA24" s="16" t="str">
        <f aca="false">IF(COUNT(BA21,BA22,BA23)=0,"",SUM(BA21:BA23))</f>
        <v/>
      </c>
      <c r="BB24" s="16" t="n">
        <f aca="false">SUM(BB21:BB23)</f>
        <v>5000</v>
      </c>
      <c r="BC24" s="16" t="n">
        <f aca="false">SUM(BC21:BC23)</f>
        <v>5000</v>
      </c>
      <c r="BD24" s="15" t="str">
        <f aca="false">IF(COUNT(BD21,BD22,BD23)=0,"",SUM(BD21:BD23))</f>
        <v/>
      </c>
      <c r="BE24" s="15" t="n">
        <f aca="false">SUM(BE21:BE23)</f>
        <v>5000</v>
      </c>
      <c r="BF24" s="15" t="n">
        <f aca="false">SUM(BF21:BF23)</f>
        <v>5000</v>
      </c>
      <c r="BG24" s="16" t="str">
        <f aca="false">IF(COUNT(BG21,BG22,BG23)=0,"",SUM(BG21:BG23))</f>
        <v/>
      </c>
      <c r="BH24" s="16" t="n">
        <f aca="false">SUM(BH21:BH23)</f>
        <v>5000</v>
      </c>
      <c r="BI24" s="16" t="n">
        <f aca="false">SUM(BI21:BI23)</f>
        <v>5000</v>
      </c>
      <c r="BJ24" s="15" t="str">
        <f aca="false">IF(COUNT(BJ21,BJ22,BJ23)=0,"",SUM(BJ21:BJ23))</f>
        <v/>
      </c>
      <c r="BK24" s="15" t="n">
        <f aca="false">SUM(BK21:BK23)</f>
        <v>5000</v>
      </c>
      <c r="BL24" s="15" t="n">
        <f aca="false">SUM(BL21:BL23)</f>
        <v>5000</v>
      </c>
      <c r="BM24" s="16" t="str">
        <f aca="false">IF(COUNT(BM21,BM22,BM23)=0,"",SUM(BM21:BM23))</f>
        <v/>
      </c>
      <c r="BN24" s="16" t="n">
        <f aca="false">SUM(BN21:BN23)</f>
        <v>5000</v>
      </c>
      <c r="BO24" s="16" t="n">
        <f aca="false">SUM(BO21:BO23)</f>
        <v>5000</v>
      </c>
      <c r="BP24" s="15" t="str">
        <f aca="false">IF(COUNT(BP21,BP22,BP23)=0,"",SUM(BP21:BP23))</f>
        <v/>
      </c>
      <c r="BQ24" s="15" t="n">
        <f aca="false">SUM(BQ21:BQ23)</f>
        <v>5000</v>
      </c>
      <c r="BR24" s="15" t="n">
        <f aca="false">SUM(BR21:BR23)</f>
        <v>5000</v>
      </c>
      <c r="BS24" s="16" t="str">
        <f aca="false">IF(COUNT(BS21,BS22,BS23)=0,"",SUM(BS21:BS23))</f>
        <v/>
      </c>
      <c r="BT24" s="16" t="n">
        <f aca="false">SUM(BT21:BT23)</f>
        <v>5000</v>
      </c>
      <c r="BU24" s="16" t="n">
        <f aca="false">SUM(BU21:BU23)</f>
        <v>5000</v>
      </c>
      <c r="BV24" s="15" t="str">
        <f aca="false">IF(COUNT(BV21,BV22,BV23)=0,"",SUM(BV21:BV23))</f>
        <v/>
      </c>
      <c r="BW24" s="15" t="n">
        <f aca="false">SUM(BW21:BW23)</f>
        <v>5000</v>
      </c>
      <c r="BX24" s="15" t="n">
        <f aca="false">SUM(BX21:BX23)</f>
        <v>5000</v>
      </c>
      <c r="BY24" s="16" t="str">
        <f aca="false">IF(COUNT(BY21,BY22,BY23)=0,"",SUM(BY21:BY23))</f>
        <v/>
      </c>
      <c r="BZ24" s="16" t="n">
        <f aca="false">SUM(BZ21:BZ23)</f>
        <v>5000</v>
      </c>
      <c r="CA24" s="16" t="n">
        <f aca="false">SUM(CA21:CA23)</f>
        <v>5000</v>
      </c>
      <c r="CB24" s="15" t="str">
        <f aca="false">IF(COUNT(CB21,CB22,CB23)=0,"",SUM(CB21:CB23))</f>
        <v/>
      </c>
      <c r="CC24" s="15" t="n">
        <f aca="false">SUM(CC21:CC23)</f>
        <v>5000</v>
      </c>
      <c r="CD24" s="15" t="n">
        <f aca="false">SUM(CD21:CD23)</f>
        <v>5000</v>
      </c>
      <c r="CE24" s="16" t="str">
        <f aca="false">IF(COUNT(CE21,CE22,CE23)=0,"",SUM(CE21:CE23))</f>
        <v/>
      </c>
      <c r="CF24" s="16" t="n">
        <f aca="false">SUM(CF21:CF23)</f>
        <v>5000</v>
      </c>
      <c r="CG24" s="16" t="n">
        <f aca="false">SUM(CG21:CG23)</f>
        <v>5000</v>
      </c>
      <c r="CH24" s="15" t="str">
        <f aca="false">IF(COUNT(CH21,CH22,CH23)=0,"",SUM(CH21:CH23))</f>
        <v/>
      </c>
      <c r="CI24" s="15" t="n">
        <f aca="false">SUM(CI21:CI23)</f>
        <v>5000</v>
      </c>
      <c r="CJ24" s="15" t="n">
        <f aca="false">SUM(CJ21:CJ23)</f>
        <v>5000</v>
      </c>
      <c r="CK24" s="16" t="str">
        <f aca="false">IF(COUNT(CK21,CK22,CK23)=0,"",SUM(CK21:CK23))</f>
        <v/>
      </c>
      <c r="CL24" s="16" t="n">
        <f aca="false">SUM(CL21:CL23)</f>
        <v>5000</v>
      </c>
      <c r="CM24" s="16" t="n">
        <f aca="false">SUM(CM21:CM23)</f>
        <v>5000</v>
      </c>
      <c r="CN24" s="15" t="str">
        <f aca="false">IF(COUNT(CN21,CN22,CN23)=0,"",SUM(CN21:CN23))</f>
        <v/>
      </c>
      <c r="CO24" s="15" t="n">
        <f aca="false">SUM(CO21:CO23)</f>
        <v>5000</v>
      </c>
      <c r="CP24" s="15" t="n">
        <f aca="false">SUM(CP21:CP23)</f>
        <v>5000</v>
      </c>
      <c r="CQ24" s="16" t="str">
        <f aca="false">IF(COUNT(CQ21,CQ22,CQ23)=0,"",SUM(CQ21:CQ23))</f>
        <v/>
      </c>
      <c r="CR24" s="16" t="n">
        <f aca="false">SUM(CR21:CR23)</f>
        <v>5000</v>
      </c>
      <c r="CS24" s="16" t="n">
        <f aca="false">SUM(CS21:CS23)</f>
        <v>5000</v>
      </c>
      <c r="CT24" s="15" t="str">
        <f aca="false">IF(COUNT(CT21,CT22,CT23)=0,"",SUM(CT21:CT23))</f>
        <v/>
      </c>
      <c r="CU24" s="15" t="n">
        <f aca="false">SUM(CU21:CU23)</f>
        <v>5000</v>
      </c>
      <c r="CV24" s="15" t="n">
        <f aca="false">SUM(CV21:CV23)</f>
        <v>5000</v>
      </c>
      <c r="CW24" s="16" t="str">
        <f aca="false">IF(COUNT(CW21,CW22,CW23)=0,"",SUM(CW21:CW23))</f>
        <v/>
      </c>
      <c r="CX24" s="16" t="n">
        <f aca="false">SUM(CX21:CX23)</f>
        <v>5000</v>
      </c>
      <c r="CY24" s="16" t="n">
        <f aca="false">SUM(CY21:CY23)</f>
        <v>5000</v>
      </c>
      <c r="CZ24" s="15" t="str">
        <f aca="false">IF(COUNT(CZ21,CZ22,CZ23)=0,"",SUM(CZ21:CZ23))</f>
        <v/>
      </c>
      <c r="DA24" s="15" t="n">
        <f aca="false">SUM(DA21:DA23)</f>
        <v>5000</v>
      </c>
      <c r="DB24" s="15" t="n">
        <f aca="false">SUM(DB21:DB23)</f>
        <v>5000</v>
      </c>
      <c r="DC24" s="16" t="str">
        <f aca="false">IF(COUNT(DC21,DC22,DC23)=0,"",SUM(DC21:DC23))</f>
        <v/>
      </c>
      <c r="DD24" s="16" t="n">
        <f aca="false">SUM(DD21:DD23)</f>
        <v>5000</v>
      </c>
      <c r="DE24" s="16" t="n">
        <f aca="false">SUM(DE21:DE23)</f>
        <v>5000</v>
      </c>
      <c r="DF24" s="15" t="str">
        <f aca="false">IF(COUNT(DF21,DF22,DF23)=0,"",SUM(DF21:DF23))</f>
        <v/>
      </c>
      <c r="DG24" s="15" t="n">
        <f aca="false">SUM(DG21:DG23)</f>
        <v>5000</v>
      </c>
      <c r="DH24" s="15" t="n">
        <f aca="false">SUM(DH21:DH23)</f>
        <v>5000</v>
      </c>
      <c r="DI24" s="16" t="n">
        <f aca="false">IF(COUNT(DI21,DI22,DI23)=0,"",SUM(DI21:DI23))</f>
        <v>5000</v>
      </c>
      <c r="DJ24" s="16" t="n">
        <f aca="false">SUM(DJ21:DJ23)</f>
        <v>5000</v>
      </c>
      <c r="DK24" s="16" t="n">
        <f aca="false">SUM(DK21:DK23)</f>
        <v>5000</v>
      </c>
      <c r="DL24" s="15" t="n">
        <f aca="false">IF(COUNT(DL21,DL22,DL23)=0,"",SUM(DL21:DL23))</f>
        <v>5000</v>
      </c>
      <c r="DM24" s="15" t="n">
        <f aca="false">SUM(DM21:DM23)</f>
        <v>5000</v>
      </c>
      <c r="DN24" s="15" t="n">
        <f aca="false">SUM(DN21:DN23)</f>
        <v>5000</v>
      </c>
    </row>
    <row r="25" customFormat="false" ht="15.75" hidden="false" customHeight="true" outlineLevel="0" collapsed="false">
      <c r="A25" s="14" t="s">
        <v>243</v>
      </c>
      <c r="B25" s="15" t="str">
        <f aca="false">IF(COUNT(AR25,AO25,AL25,AI25,AF25,AC25,Z25,W25,T25,Q25,N25,K25)=0,"",SUM(AR25,AO25,AL25,AI25,AF25,AC25,Z25,W25,T25,Q25,N25,K25))</f>
        <v/>
      </c>
      <c r="C25" s="15" t="n">
        <f aca="false">IF(COUNT(AS25,AP25,AM25,AJ25,AG25,AD25,AA25,X25,U25,R25,O25,L25)=0,"",SUM(AS25,AP25,AM25,AJ25,AG25,AD25,AA25,X25,U25,R25,O25,L25))</f>
        <v>1604360</v>
      </c>
      <c r="D25" s="15" t="n">
        <f aca="false">IF(COUNT(AT25,AQ25,AN25,AK25,AH25,AE25,AB25,Y25,V25,S25,P25,M25)=0,"",SUM(AT25,AQ25,AN25,AK25,AH25,AE25,AB25,Y25,V25,S25,P25,M25))</f>
        <v>1604360</v>
      </c>
      <c r="E25" s="16" t="str">
        <f aca="false">IF(COUNT(CB25,BY25,BV25,BS25,BP25,BM25,BJ25,BG25,BD25,BA25,AX25,AU25)=0,"",SUM(CB25,BY25,BV25,BS25,BP25,BM25,BJ25,BG25,BD25,BA25,AX25,AU25))</f>
        <v/>
      </c>
      <c r="F25" s="16" t="n">
        <f aca="false">IF(COUNT(CC25,BZ25,BW25,BT25,BQ25,BN25,BK25,BH25,BE25,BB25,AY25,AV25)=0,"",SUM(CC25,BZ25,BW25,BT25,BQ25,BN25,BK25,BH25,BE25,BB25,AY25,AV25))</f>
        <v>1348160</v>
      </c>
      <c r="G25" s="16" t="n">
        <f aca="false">IF(COUNT(CD25,CA25,BX25,BU25,BR25,BO25,BL25,BI25,BF25,BC25,AZ25,AW25)=0,"",SUM(CD25,CA25,BX25,BU25,BR25,BO25,BL25,BI25,BF25,BC25,AZ25,AW25))</f>
        <v>1348160</v>
      </c>
      <c r="H25" s="15" t="n">
        <f aca="false">IF(COUNT(DL25,DI25,DF25,DC25,CZ25,CW25,CT25,CQ25,CN25,CK25,CH25,CE25)=0,"",SUM(DL25,DI25,DF25,DC25,CZ25,CW25,CT25,CQ25,CN25,CK25,CH25,CE25))</f>
        <v>179960</v>
      </c>
      <c r="I25" s="15" t="n">
        <f aca="false">IF(COUNT(DM25,DJ25,DG25,DD25,DA25,CX25,CU25,CR25,CO25,CL25,CI25,CF25)=0,"",SUM(DM25,DJ25,DG25,DD25,DA25,CX25,CU25,CR25,CO25,CL25,CI25,CF25))</f>
        <v>1105380</v>
      </c>
      <c r="J25" s="15" t="n">
        <f aca="false">IF(COUNT(DN25,DK25,DH25,DE25,DB25,CY25,CV25,CS25,CP25,CM25,CJ25,CG25)=0,"",SUM(DN25,DK25,DH25,DE25,DB25,CY25,CV25,CS25,CP25,CM25,CJ25,CG25))</f>
        <v>1105380</v>
      </c>
      <c r="K25" s="16" t="str">
        <f aca="false">IF(COUNT(K20,K24)=0,"",K20+K24)</f>
        <v/>
      </c>
      <c r="L25" s="16" t="n">
        <f aca="false">L20+L24</f>
        <v>135120</v>
      </c>
      <c r="M25" s="16" t="n">
        <f aca="false">M20+M24</f>
        <v>135120</v>
      </c>
      <c r="N25" s="15" t="str">
        <f aca="false">IF(COUNT(N20,N24)=0,"",N20+N24)</f>
        <v/>
      </c>
      <c r="O25" s="15" t="n">
        <f aca="false">O20+O24</f>
        <v>135120</v>
      </c>
      <c r="P25" s="15" t="n">
        <f aca="false">P20+P24</f>
        <v>135120</v>
      </c>
      <c r="Q25" s="16" t="str">
        <f aca="false">IF(COUNT(Q20,Q24)=0,"",Q20+Q24)</f>
        <v/>
      </c>
      <c r="R25" s="16" t="n">
        <f aca="false">R20+R24</f>
        <v>135120</v>
      </c>
      <c r="S25" s="16" t="n">
        <f aca="false">S20+S24</f>
        <v>135120</v>
      </c>
      <c r="T25" s="15" t="str">
        <f aca="false">IF(COUNT(T20,T24)=0,"",T20+T24)</f>
        <v/>
      </c>
      <c r="U25" s="15" t="n">
        <f aca="false">U20+U24</f>
        <v>135120</v>
      </c>
      <c r="V25" s="15" t="n">
        <f aca="false">V20+V24</f>
        <v>135120</v>
      </c>
      <c r="W25" s="16" t="str">
        <f aca="false">IF(COUNT(W20,W24)=0,"",W20+W24)</f>
        <v/>
      </c>
      <c r="X25" s="16" t="n">
        <f aca="false">X20+X24</f>
        <v>135120</v>
      </c>
      <c r="Y25" s="16" t="n">
        <f aca="false">Y20+Y24</f>
        <v>135120</v>
      </c>
      <c r="Z25" s="15" t="str">
        <f aca="false">IF(COUNT(Z20,Z24)=0,"",Z20+Z24)</f>
        <v/>
      </c>
      <c r="AA25" s="15" t="n">
        <f aca="false">AA20+AA24</f>
        <v>135120</v>
      </c>
      <c r="AB25" s="15" t="n">
        <f aca="false">AB20+AB24</f>
        <v>135120</v>
      </c>
      <c r="AC25" s="16" t="str">
        <f aca="false">IF(COUNT(AC20,AC24)=0,"",AC20+AC24)</f>
        <v/>
      </c>
      <c r="AD25" s="16" t="n">
        <f aca="false">AD20+AD24</f>
        <v>135120</v>
      </c>
      <c r="AE25" s="16" t="n">
        <f aca="false">AE20+AE24</f>
        <v>135120</v>
      </c>
      <c r="AF25" s="15" t="str">
        <f aca="false">IF(COUNT(AF20,AF24)=0,"",AF20+AF24)</f>
        <v/>
      </c>
      <c r="AG25" s="15" t="n">
        <f aca="false">AG20+AG24</f>
        <v>135120</v>
      </c>
      <c r="AH25" s="15" t="n">
        <f aca="false">AH20+AH24</f>
        <v>135120</v>
      </c>
      <c r="AI25" s="16" t="str">
        <f aca="false">IF(COUNT(AI20,AI24)=0,"",AI20+AI24)</f>
        <v/>
      </c>
      <c r="AJ25" s="16" t="n">
        <f aca="false">AJ20+AJ24</f>
        <v>135120</v>
      </c>
      <c r="AK25" s="16" t="n">
        <f aca="false">AK20+AK24</f>
        <v>135120</v>
      </c>
      <c r="AL25" s="15" t="str">
        <f aca="false">IF(COUNT(AL20,AL24)=0,"",AL20+AL24)</f>
        <v/>
      </c>
      <c r="AM25" s="15" t="n">
        <f aca="false">AM20+AM24</f>
        <v>135120</v>
      </c>
      <c r="AN25" s="15" t="n">
        <f aca="false">AN20+AN24</f>
        <v>135120</v>
      </c>
      <c r="AO25" s="16" t="str">
        <f aca="false">IF(COUNT(AO20,AO24)=0,"",AO20+AO24)</f>
        <v/>
      </c>
      <c r="AP25" s="16" t="n">
        <f aca="false">AP20+AP24</f>
        <v>126580</v>
      </c>
      <c r="AQ25" s="16" t="n">
        <f aca="false">AQ20+AQ24</f>
        <v>126580</v>
      </c>
      <c r="AR25" s="15" t="str">
        <f aca="false">IF(COUNT(AR20,AR24)=0,"",AR20+AR24)</f>
        <v/>
      </c>
      <c r="AS25" s="15" t="n">
        <f aca="false">AS20+AS24</f>
        <v>126580</v>
      </c>
      <c r="AT25" s="15" t="n">
        <f aca="false">AT20+AT24</f>
        <v>126580</v>
      </c>
      <c r="AU25" s="16" t="str">
        <f aca="false">IF(COUNT(AU20,AU24)=0,"",AU20+AU24)</f>
        <v/>
      </c>
      <c r="AV25" s="16" t="n">
        <f aca="false">AV20+AV24</f>
        <v>126580</v>
      </c>
      <c r="AW25" s="16" t="n">
        <f aca="false">AW20+AW24</f>
        <v>126580</v>
      </c>
      <c r="AX25" s="15" t="str">
        <f aca="false">IF(COUNT(AX20,AX24)=0,"",AX20+AX24)</f>
        <v/>
      </c>
      <c r="AY25" s="15" t="n">
        <f aca="false">AY20+AY24</f>
        <v>126580</v>
      </c>
      <c r="AZ25" s="15" t="n">
        <f aca="false">AZ20+AZ24</f>
        <v>126580</v>
      </c>
      <c r="BA25" s="16" t="str">
        <f aca="false">IF(COUNT(BA20,BA24)=0,"",BA20+BA24)</f>
        <v/>
      </c>
      <c r="BB25" s="16" t="n">
        <f aca="false">BB20+BB24</f>
        <v>126580</v>
      </c>
      <c r="BC25" s="16" t="n">
        <f aca="false">BC20+BC24</f>
        <v>126580</v>
      </c>
      <c r="BD25" s="15" t="str">
        <f aca="false">IF(COUNT(BD20,BD24)=0,"",BD20+BD24)</f>
        <v/>
      </c>
      <c r="BE25" s="15" t="n">
        <f aca="false">BE20+BE24</f>
        <v>126580</v>
      </c>
      <c r="BF25" s="15" t="n">
        <f aca="false">BF20+BF24</f>
        <v>126580</v>
      </c>
      <c r="BG25" s="16" t="str">
        <f aca="false">IF(COUNT(BG20,BG24)=0,"",BG20+BG24)</f>
        <v/>
      </c>
      <c r="BH25" s="16" t="n">
        <f aca="false">BH20+BH24</f>
        <v>118040</v>
      </c>
      <c r="BI25" s="16" t="n">
        <f aca="false">BI20+BI24</f>
        <v>118040</v>
      </c>
      <c r="BJ25" s="15" t="str">
        <f aca="false">IF(COUNT(BJ20,BJ24)=0,"",BJ20+BJ24)</f>
        <v/>
      </c>
      <c r="BK25" s="15" t="n">
        <f aca="false">BK20+BK24</f>
        <v>107060</v>
      </c>
      <c r="BL25" s="15" t="n">
        <f aca="false">BL20+BL24</f>
        <v>107060</v>
      </c>
      <c r="BM25" s="16" t="str">
        <f aca="false">IF(COUNT(BM20,BM24)=0,"",BM20+BM24)</f>
        <v/>
      </c>
      <c r="BN25" s="16" t="n">
        <f aca="false">BN20+BN24</f>
        <v>107060</v>
      </c>
      <c r="BO25" s="16" t="n">
        <f aca="false">BO20+BO24</f>
        <v>107060</v>
      </c>
      <c r="BP25" s="15" t="str">
        <f aca="false">IF(COUNT(BP20,BP24)=0,"",BP20+BP24)</f>
        <v/>
      </c>
      <c r="BQ25" s="15" t="n">
        <f aca="false">BQ20+BQ24</f>
        <v>107060</v>
      </c>
      <c r="BR25" s="15" t="n">
        <f aca="false">BR20+BR24</f>
        <v>107060</v>
      </c>
      <c r="BS25" s="16" t="str">
        <f aca="false">IF(COUNT(BS20,BS24)=0,"",BS20+BS24)</f>
        <v/>
      </c>
      <c r="BT25" s="16" t="n">
        <f aca="false">BT20+BT24</f>
        <v>107060</v>
      </c>
      <c r="BU25" s="16" t="n">
        <f aca="false">BU20+BU24</f>
        <v>107060</v>
      </c>
      <c r="BV25" s="15" t="str">
        <f aca="false">IF(COUNT(BV20,BV24)=0,"",BV20+BV24)</f>
        <v/>
      </c>
      <c r="BW25" s="15" t="n">
        <f aca="false">BW20+BW24</f>
        <v>98520</v>
      </c>
      <c r="BX25" s="15" t="n">
        <f aca="false">BX20+BX24</f>
        <v>98520</v>
      </c>
      <c r="BY25" s="16" t="str">
        <f aca="false">IF(COUNT(BY20,BY24)=0,"",BY20+BY24)</f>
        <v/>
      </c>
      <c r="BZ25" s="16" t="n">
        <f aca="false">BZ20+BZ24</f>
        <v>98520</v>
      </c>
      <c r="CA25" s="16" t="n">
        <f aca="false">CA20+CA24</f>
        <v>98520</v>
      </c>
      <c r="CB25" s="15" t="str">
        <f aca="false">IF(COUNT(CB20,CB24)=0,"",CB20+CB24)</f>
        <v/>
      </c>
      <c r="CC25" s="15" t="n">
        <f aca="false">CC20+CC24</f>
        <v>98520</v>
      </c>
      <c r="CD25" s="15" t="n">
        <f aca="false">CD20+CD24</f>
        <v>98520</v>
      </c>
      <c r="CE25" s="16" t="str">
        <f aca="false">IF(COUNT(CE20,CE24)=0,"",CE20+CE24)</f>
        <v/>
      </c>
      <c r="CF25" s="16" t="n">
        <f aca="false">CF20+CF24</f>
        <v>98520</v>
      </c>
      <c r="CG25" s="16" t="n">
        <f aca="false">CG20+CG24</f>
        <v>98520</v>
      </c>
      <c r="CH25" s="15" t="str">
        <f aca="false">IF(COUNT(CH20,CH24)=0,"",CH20+CH24)</f>
        <v/>
      </c>
      <c r="CI25" s="15" t="n">
        <f aca="false">CI20+CI24</f>
        <v>98520</v>
      </c>
      <c r="CJ25" s="15" t="n">
        <f aca="false">CJ20+CJ24</f>
        <v>98520</v>
      </c>
      <c r="CK25" s="16" t="str">
        <f aca="false">IF(COUNT(CK20,CK24)=0,"",CK20+CK24)</f>
        <v/>
      </c>
      <c r="CL25" s="16" t="n">
        <f aca="false">CL20+CL24</f>
        <v>98520</v>
      </c>
      <c r="CM25" s="16" t="n">
        <f aca="false">CM20+CM24</f>
        <v>98520</v>
      </c>
      <c r="CN25" s="15" t="str">
        <f aca="false">IF(COUNT(CN20,CN24)=0,"",CN20+CN24)</f>
        <v/>
      </c>
      <c r="CO25" s="15" t="n">
        <f aca="false">CO20+CO24</f>
        <v>89980</v>
      </c>
      <c r="CP25" s="15" t="n">
        <f aca="false">CP20+CP24</f>
        <v>89980</v>
      </c>
      <c r="CQ25" s="16" t="str">
        <f aca="false">IF(COUNT(CQ20,CQ24)=0,"",CQ20+CQ24)</f>
        <v/>
      </c>
      <c r="CR25" s="16" t="n">
        <f aca="false">CR20+CR24</f>
        <v>89980</v>
      </c>
      <c r="CS25" s="16" t="n">
        <f aca="false">CS20+CS24</f>
        <v>89980</v>
      </c>
      <c r="CT25" s="15" t="str">
        <f aca="false">IF(COUNT(CT20,CT24)=0,"",CT20+CT24)</f>
        <v/>
      </c>
      <c r="CU25" s="15" t="n">
        <f aca="false">CU20+CU24</f>
        <v>89980</v>
      </c>
      <c r="CV25" s="15" t="n">
        <f aca="false">CV20+CV24</f>
        <v>89980</v>
      </c>
      <c r="CW25" s="16" t="str">
        <f aca="false">IF(COUNT(CW20,CW24)=0,"",CW20+CW24)</f>
        <v/>
      </c>
      <c r="CX25" s="16" t="n">
        <f aca="false">CX20+CX24</f>
        <v>89980</v>
      </c>
      <c r="CY25" s="16" t="n">
        <f aca="false">CY20+CY24</f>
        <v>89980</v>
      </c>
      <c r="CZ25" s="15" t="str">
        <f aca="false">IF(COUNT(CZ20,CZ24)=0,"",CZ20+CZ24)</f>
        <v/>
      </c>
      <c r="DA25" s="15" t="n">
        <f aca="false">DA20+DA24</f>
        <v>89980</v>
      </c>
      <c r="DB25" s="15" t="n">
        <f aca="false">DB20+DB24</f>
        <v>89980</v>
      </c>
      <c r="DC25" s="16" t="str">
        <f aca="false">IF(COUNT(DC20,DC24)=0,"",DC20+DC24)</f>
        <v/>
      </c>
      <c r="DD25" s="16" t="n">
        <f aca="false">DD20+DD24</f>
        <v>89980</v>
      </c>
      <c r="DE25" s="16" t="n">
        <f aca="false">DE20+DE24</f>
        <v>89980</v>
      </c>
      <c r="DF25" s="15" t="str">
        <f aca="false">IF(COUNT(DF20,DF24)=0,"",DF20+DF24)</f>
        <v/>
      </c>
      <c r="DG25" s="15" t="n">
        <f aca="false">DG20+DG24</f>
        <v>89980</v>
      </c>
      <c r="DH25" s="15" t="n">
        <f aca="false">DH20+DH24</f>
        <v>89980</v>
      </c>
      <c r="DI25" s="16" t="n">
        <f aca="false">IF(COUNT(DI20,DI24)=0,"",DI20+DI24)</f>
        <v>89980</v>
      </c>
      <c r="DJ25" s="16" t="n">
        <f aca="false">DJ20+DJ24</f>
        <v>89980</v>
      </c>
      <c r="DK25" s="16" t="n">
        <f aca="false">DK20+DK24</f>
        <v>89980</v>
      </c>
      <c r="DL25" s="15" t="n">
        <f aca="false">IF(COUNT(DL20,DL24)=0,"",DL20+DL24)</f>
        <v>89980</v>
      </c>
      <c r="DM25" s="15" t="n">
        <f aca="false">DM20+DM24</f>
        <v>89980</v>
      </c>
      <c r="DN25" s="15" t="n">
        <f aca="false">DN20+DN24</f>
        <v>89980</v>
      </c>
    </row>
    <row r="26" customFormat="false" ht="15.75" hidden="false" customHeight="true" outlineLevel="0" collapsed="false">
      <c r="A26" s="5" t="s">
        <v>244</v>
      </c>
      <c r="B26" s="24" t="str">
        <f aca="false">IF(SUM(AR5,AO5,AL5,AI5,AF5,AC5,Z5,W5,T5,Q5,N5,K5)=0,"",SUM(AR25,AO25,AL25,AI25,AF25,AC25,Z25,W25,T25,Q25,N25,K25)/SUM(AR5,AO5,AL5,AI5,AF5,AC5,Z5,W5,T5,Q5,N5,K5))</f>
        <v/>
      </c>
      <c r="C26" s="24" t="n">
        <f aca="false">IF(SUM(AS5,AP5,AM5,AJ5,AG5,AD5,AA5,X5,U5,R5,O5,L5)=0,"",SUM(AS25,AP25,AM25,AJ25,AG25,AD25,AA25,X25,U25,R25,O25,L25)/SUM(AS5,AP5,AM5,AJ5,AG5,AD5,AA5,X5,U5,R5,O5,L5))</f>
        <v>264.266183495306</v>
      </c>
      <c r="D26" s="24" t="n">
        <f aca="false">IF(SUM(AT5,AQ5,AN5,AK5,AH5,AE5,AB5,Y5,V5,S5,P5,M5)=0,"",SUM(AT25,AQ25,AN25,AK25,AH25,AE25,AB25,Y25,V25,S25,P25,M25)/SUM(AT5,AQ5,AN5,AK5,AH5,AE5,AB5,Y5,V5,S5,P5,M5))</f>
        <v>264.877001816081</v>
      </c>
      <c r="E26" s="25" t="str">
        <f aca="false">IF(SUM(CB5,BY5,BV5,BS5,BP5,BM5,BJ5,BG5,BD5,BA5,AX5,AU5)=0,"",SUM(CB25,BY25,BV25,BS25,BP25,BM25,BJ25,BG25,BD25,BA25,AX25,AU25)/SUM(CB5,BY5,BV5,BS5,BP5,BM5,BJ5,BG5,BD5,BA5,AX5,AU5))</f>
        <v/>
      </c>
      <c r="F26" s="25" t="n">
        <f aca="false">IF(SUM(CC5,BZ5,BW5,BT5,BQ5,BN5,BK5,BH5,BE5,BB5,AY5,AV5)=0,"",SUM(CC25,BZ25,BW25,BT25,BQ25,BN25,BK25,BH25,BE25,BB25,AY25,AV25)/SUM(CC5,BZ5,BW5,BT5,BQ5,BN5,BK5,BH5,BE5,BB5,AY5,AV5))</f>
        <v>266.382137917408</v>
      </c>
      <c r="G26" s="25" t="n">
        <f aca="false">IF(SUM(CD5,CA5,BX5,BU5,BR5,BO5,BL5,BI5,BF5,BC5,AZ5,AW5)=0,"",SUM(CD25,CA25,BX25,BU25,BR25,BO25,BL25,BI25,BF25,BC25,AZ25,AW25)/SUM(CD5,CA5,BX5,BU5,BR5,BO5,BL5,BI5,BF5,BC5,AZ5,AW5))</f>
        <v>267.12106201704</v>
      </c>
      <c r="H26" s="24" t="n">
        <f aca="false">IF(SUM(DL5,DI5,DF5,DC5,CZ5,CW5,CT5,CQ5,CN5,CK5,CH5,CE5)=0,"",SUM(DL25,DI25,DF25,DC25,CZ25,CW25,CT25,CQ25,CN25,CK25,CH25,CE25)/SUM(DL5,DI5,DF5,DC5,CZ5,CW5,CT5,CQ5,CN5,CK5,CH5,CE5))</f>
        <v>268.998505231689</v>
      </c>
      <c r="I26" s="24" t="n">
        <f aca="false">IF(SUM(DM5,DJ5,DG5,DD5,DA5,CX5,CU5,CR5,CO5,CL5,CI5,CF5)=0,"",SUM(DM25,DJ25,DG25,DD25,DA25,CX25,CU25,CR25,CO25,CL25,CI25,CF25)/SUM(DM5,DJ5,DG5,DD5,DA5,CX5,CU5,CR5,CO5,CL5,CI5,CF5))</f>
        <v>257.604288044745</v>
      </c>
      <c r="J26" s="24" t="n">
        <f aca="false">IF(SUM(DN5,DK5,DH5,DE5,DB5,CY5,CV5,CS5,CP5,CM5,CJ5,CG5)=0,"",SUM(DN25,DK25,DH25,DE25,DB25,CY25,CV25,CS25,CP25,CM25,CJ25,CG25)/SUM(DN5,DK5,DH5,DE5,DB5,CY5,CV5,CS5,CP5,CM5,CJ5,CG5))</f>
        <v>258.992502343018</v>
      </c>
      <c r="K26" s="25" t="str">
        <f aca="false">IF(COUNT(K25,K5)=2,IF(N(K5)=0,"",K25/K5),"")</f>
        <v/>
      </c>
      <c r="L26" s="25" t="n">
        <f aca="false">IF(N(L5)=0,"",L25/L5)</f>
        <v>246.569343065693</v>
      </c>
      <c r="M26" s="25" t="n">
        <f aca="false">IF(N(M5)=0,"",M25/M5)</f>
        <v>247.020109689214</v>
      </c>
      <c r="N26" s="24" t="str">
        <f aca="false">IF(COUNT(N25,N5)=2,IF(N(N5)=0,"",N25/N5),"")</f>
        <v/>
      </c>
      <c r="O26" s="24" t="n">
        <f aca="false">IF(N(O5)=0,"",O25/O5)</f>
        <v>249.759704251386</v>
      </c>
      <c r="P26" s="24" t="n">
        <f aca="false">IF(N(P5)=0,"",P25/P5)</f>
        <v>250.686456400742</v>
      </c>
      <c r="Q26" s="25" t="str">
        <f aca="false">IF(COUNT(Q25,Q5)=2,IF(N(Q5)=0,"",Q25/Q5),"")</f>
        <v/>
      </c>
      <c r="R26" s="25" t="n">
        <f aca="false">IF(N(R5)=0,"",R25/R5)</f>
        <v>253.508442776735</v>
      </c>
      <c r="S26" s="25" t="n">
        <f aca="false">IF(N(S5)=0,"",S25/S5)</f>
        <v>253.984962406015</v>
      </c>
      <c r="T26" s="24" t="str">
        <f aca="false">IF(COUNT(T25,T5)=2,IF(N(T5)=0,"",T25/T5),"")</f>
        <v/>
      </c>
      <c r="U26" s="24" t="n">
        <f aca="false">IF(N(U5)=0,"",U25/U5)</f>
        <v>256.882129277567</v>
      </c>
      <c r="V26" s="24" t="n">
        <f aca="false">IF(N(V5)=0,"",V25/V5)</f>
        <v>257.371428571429</v>
      </c>
      <c r="W26" s="25" t="str">
        <f aca="false">IF(COUNT(W25,W5)=2,IF(N(W5)=0,"",W25/W5),"")</f>
        <v/>
      </c>
      <c r="X26" s="25" t="n">
        <f aca="false">IF(N(X5)=0,"",X25/X5)</f>
        <v>260.849420849421</v>
      </c>
      <c r="Y26" s="25" t="n">
        <f aca="false">IF(N(Y5)=0,"",Y25/Y5)</f>
        <v>261.353965183752</v>
      </c>
      <c r="Z26" s="24" t="str">
        <f aca="false">IF(COUNT(Z25,Z5)=2,IF(N(Z5)=0,"",Z25/Z5),"")</f>
        <v/>
      </c>
      <c r="AA26" s="24" t="n">
        <f aca="false">IF(N(AA5)=0,"",AA25/AA5)</f>
        <v>264.422700587084</v>
      </c>
      <c r="AB26" s="24" t="n">
        <f aca="false">IF(N(AB5)=0,"",AB25/AB5)</f>
        <v>264.941176470588</v>
      </c>
      <c r="AC26" s="25" t="str">
        <f aca="false">IF(COUNT(AC25,AC5)=2,IF(N(AC5)=0,"",AC25/AC5),"")</f>
        <v/>
      </c>
      <c r="AD26" s="25" t="n">
        <f aca="false">IF(N(AD5)=0,"",AD25/AD5)</f>
        <v>268.628230616302</v>
      </c>
      <c r="AE26" s="25" t="n">
        <f aca="false">IF(N(AE5)=0,"",AE25/AE5)</f>
        <v>269.163346613546</v>
      </c>
      <c r="AF26" s="24" t="str">
        <f aca="false">IF(COUNT(AF25,AF5)=2,IF(N(AF5)=0,"",AF25/AF5),"")</f>
        <v/>
      </c>
      <c r="AG26" s="24" t="n">
        <f aca="false">IF(N(AG5)=0,"",AG25/AG5)</f>
        <v>273.522267206478</v>
      </c>
      <c r="AH26" s="24" t="n">
        <f aca="false">IF(N(AH5)=0,"",AH25/AH5)</f>
        <v>274.077079107505</v>
      </c>
      <c r="AI26" s="25" t="str">
        <f aca="false">IF(COUNT(AI25,AI5)=2,IF(N(AI5)=0,"",AI25/AI5),"")</f>
        <v/>
      </c>
      <c r="AJ26" s="25" t="n">
        <f aca="false">IF(N(AJ5)=0,"",AJ25/AJ5)</f>
        <v>278.024691358025</v>
      </c>
      <c r="AK26" s="25" t="n">
        <f aca="false">IF(N(AK5)=0,"",AK25/AK5)</f>
        <v>278.59793814433</v>
      </c>
      <c r="AL26" s="24" t="str">
        <f aca="false">IF(COUNT(AL25,AL5)=2,IF(N(AL5)=0,"",AL25/AL5),"")</f>
        <v/>
      </c>
      <c r="AM26" s="24" t="n">
        <f aca="false">IF(N(AM5)=0,"",AM25/AM5)</f>
        <v>282.677824267782</v>
      </c>
      <c r="AN26" s="24" t="n">
        <f aca="false">IF(N(AN5)=0,"",AN25/AN5)</f>
        <v>283.270440251572</v>
      </c>
      <c r="AO26" s="25" t="str">
        <f aca="false">IF(COUNT(AO25,AO5)=2,IF(N(AO5)=0,"",AO25/AO5),"")</f>
        <v/>
      </c>
      <c r="AP26" s="25" t="n">
        <f aca="false">IF(N(AP5)=0,"",AP25/AP5)</f>
        <v>269.893390191898</v>
      </c>
      <c r="AQ26" s="25" t="n">
        <f aca="false">IF(N(AQ5)=0,"",AQ25/AQ5)</f>
        <v>270.470085470085</v>
      </c>
      <c r="AR26" s="24" t="str">
        <f aca="false">IF(COUNT(AR25,AR5)=2,IF(N(AR5)=0,"",AR25/AR5),"")</f>
        <v/>
      </c>
      <c r="AS26" s="24" t="n">
        <f aca="false">IF(N(AS5)=0,"",AS25/AS5)</f>
        <v>272.801724137931</v>
      </c>
      <c r="AT26" s="24" t="n">
        <f aca="false">IF(N(AT5)=0,"",AT25/AT5)</f>
        <v>273.982683982684</v>
      </c>
      <c r="AU26" s="25" t="str">
        <f aca="false">IF(COUNT(AU25,AU5)=2,IF(N(AU5)=0,"",AU25/AU5),"")</f>
        <v/>
      </c>
      <c r="AV26" s="25" t="n">
        <f aca="false">IF(N(AV5)=0,"",AV25/AV5)</f>
        <v>276.375545851528</v>
      </c>
      <c r="AW26" s="25" t="n">
        <f aca="false">IF(N(AW5)=0,"",AW25/AW5)</f>
        <v>277.587719298246</v>
      </c>
      <c r="AX26" s="24" t="str">
        <f aca="false">IF(COUNT(AX25,AX5)=2,IF(N(AX5)=0,"",AX25/AX5),"")</f>
        <v/>
      </c>
      <c r="AY26" s="24" t="n">
        <f aca="false">IF(N(AY5)=0,"",AY25/AY5)</f>
        <v>280.665188470067</v>
      </c>
      <c r="AZ26" s="24" t="n">
        <f aca="false">IF(N(AZ5)=0,"",AZ25/AZ5)</f>
        <v>281.288888888889</v>
      </c>
      <c r="BA26" s="25" t="str">
        <f aca="false">IF(COUNT(BA25,BA5)=2,IF(N(BA5)=0,"",BA25/BA5),"")</f>
        <v/>
      </c>
      <c r="BB26" s="25" t="n">
        <f aca="false">IF(N(BB5)=0,"",BB25/BB5)</f>
        <v>284.449438202247</v>
      </c>
      <c r="BC26" s="25" t="n">
        <f aca="false">IF(N(BC5)=0,"",BC25/BC5)</f>
        <v>285.09009009009</v>
      </c>
      <c r="BD26" s="24" t="str">
        <f aca="false">IF(COUNT(BD25,BD5)=2,IF(N(BD5)=0,"",BD25/BD5),"")</f>
        <v/>
      </c>
      <c r="BE26" s="24" t="n">
        <f aca="false">IF(N(BE5)=0,"",BE25/BE5)</f>
        <v>288.337129840547</v>
      </c>
      <c r="BF26" s="24" t="n">
        <f aca="false">IF(N(BF5)=0,"",BF25/BF5)</f>
        <v>288.995433789954</v>
      </c>
      <c r="BG26" s="25" t="str">
        <f aca="false">IF(COUNT(BG25,BG5)=2,IF(N(BG5)=0,"",BG25/BG5),"")</f>
        <v/>
      </c>
      <c r="BH26" s="25" t="n">
        <f aca="false">IF(N(BH5)=0,"",BH25/BH5)</f>
        <v>272.609699769053</v>
      </c>
      <c r="BI26" s="25" t="n">
        <f aca="false">IF(N(BI5)=0,"",BI25/BI5)</f>
        <v>273.240740740741</v>
      </c>
      <c r="BJ26" s="24" t="str">
        <f aca="false">IF(COUNT(BJ25,BJ5)=2,IF(N(BJ5)=0,"",BJ25/BJ5),"")</f>
        <v/>
      </c>
      <c r="BK26" s="24" t="n">
        <f aca="false">IF(N(BK5)=0,"",BK25/BK5)</f>
        <v>251.31455399061</v>
      </c>
      <c r="BL26" s="24" t="n">
        <f aca="false">IF(N(BL5)=0,"",BL25/BL5)</f>
        <v>251.905882352941</v>
      </c>
      <c r="BM26" s="25" t="str">
        <f aca="false">IF(COUNT(BM25,BM5)=2,IF(N(BM5)=0,"",BM25/BM5),"")</f>
        <v/>
      </c>
      <c r="BN26" s="25" t="n">
        <f aca="false">IF(N(BN5)=0,"",BN25/BN5)</f>
        <v>255.513126491647</v>
      </c>
      <c r="BO26" s="25" t="n">
        <f aca="false">IF(N(BO5)=0,"",BO25/BO5)</f>
        <v>256.124401913876</v>
      </c>
      <c r="BP26" s="24" t="str">
        <f aca="false">IF(COUNT(BP25,BP5)=2,IF(N(BP5)=0,"",BP25/BP5),"")</f>
        <v/>
      </c>
      <c r="BQ26" s="24" t="n">
        <f aca="false">IF(N(BQ5)=0,"",BQ25/BQ5)</f>
        <v>259.854368932039</v>
      </c>
      <c r="BR26" s="24" t="n">
        <f aca="false">IF(N(BR5)=0,"",BR25/BR5)</f>
        <v>260.486618004866</v>
      </c>
      <c r="BS26" s="25" t="str">
        <f aca="false">IF(COUNT(BS25,BS5)=2,IF(N(BS5)=0,"",BS25/BS5),"")</f>
        <v/>
      </c>
      <c r="BT26" s="25" t="n">
        <f aca="false">IF(N(BT5)=0,"",BT25/BT5)</f>
        <v>264.345679012346</v>
      </c>
      <c r="BU26" s="25" t="n">
        <f aca="false">IF(N(BU5)=0,"",BU25/BU5)</f>
        <v>265.657568238213</v>
      </c>
      <c r="BV26" s="24" t="str">
        <f aca="false">IF(COUNT(BV25,BV5)=2,IF(N(BV5)=0,"",BV25/BV5),"")</f>
        <v/>
      </c>
      <c r="BW26" s="24" t="n">
        <f aca="false">IF(N(BW5)=0,"",BW25/BW5)</f>
        <v>248.16120906801</v>
      </c>
      <c r="BX26" s="24" t="n">
        <f aca="false">IF(N(BX5)=0,"",BX25/BX5)</f>
        <v>248.787878787879</v>
      </c>
      <c r="BY26" s="25" t="str">
        <f aca="false">IF(COUNT(BY25,BY5)=2,IF(N(BY5)=0,"",BY25/BY5),"")</f>
        <v/>
      </c>
      <c r="BZ26" s="25" t="n">
        <f aca="false">IF(N(BZ5)=0,"",BZ25/BZ5)</f>
        <v>252.615384615385</v>
      </c>
      <c r="CA26" s="25" t="n">
        <f aca="false">IF(N(CA5)=0,"",CA25/CA5)</f>
        <v>253.264781491003</v>
      </c>
      <c r="CB26" s="24" t="str">
        <f aca="false">IF(COUNT(CB25,CB5)=2,IF(N(CB5)=0,"",CB25/CB5),"")</f>
        <v/>
      </c>
      <c r="CC26" s="24" t="n">
        <f aca="false">IF(N(CC5)=0,"",CC25/CC5)</f>
        <v>255.233160621762</v>
      </c>
      <c r="CD26" s="24" t="n">
        <f aca="false">IF(N(CD5)=0,"",CD25/CD5)</f>
        <v>255.896103896104</v>
      </c>
      <c r="CE26" s="25" t="str">
        <f aca="false">IF(COUNT(CE25,CE5)=2,IF(N(CE5)=0,"",CE25/CE5),"")</f>
        <v/>
      </c>
      <c r="CF26" s="25" t="n">
        <f aca="false">IF(N(CF5)=0,"",CF25/CF5)</f>
        <v>257.905759162304</v>
      </c>
      <c r="CG26" s="25" t="n">
        <f aca="false">IF(N(CG5)=0,"",CG25/CG5)</f>
        <v>259.263157894737</v>
      </c>
      <c r="CH26" s="24" t="str">
        <f aca="false">IF(COUNT(CH25,CH5)=2,IF(N(CH5)=0,"",CH25/CH5),"")</f>
        <v/>
      </c>
      <c r="CI26" s="24" t="n">
        <f aca="false">IF(N(CI5)=0,"",CI25/CI5)</f>
        <v>260.634920634921</v>
      </c>
      <c r="CJ26" s="24" t="n">
        <f aca="false">IF(N(CJ5)=0,"",CJ25/CJ5)</f>
        <v>262.021276595745</v>
      </c>
      <c r="CK26" s="25" t="str">
        <f aca="false">IF(COUNT(CK25,CK5)=2,IF(N(CK5)=0,"",CK25/CK5),"")</f>
        <v/>
      </c>
      <c r="CL26" s="25" t="n">
        <f aca="false">IF(N(CL5)=0,"",CL25/CL5)</f>
        <v>264.128686327078</v>
      </c>
      <c r="CM26" s="25" t="n">
        <f aca="false">IF(N(CM5)=0,"",CM25/CM5)</f>
        <v>264.838709677419</v>
      </c>
      <c r="CN26" s="24" t="str">
        <f aca="false">IF(COUNT(CN25,CN5)=2,IF(N(CN5)=0,"",CN25/CN5),"")</f>
        <v/>
      </c>
      <c r="CO26" s="24" t="n">
        <f aca="false">IF(N(CO5)=0,"",CO25/CO5)</f>
        <v>243.848238482385</v>
      </c>
      <c r="CP26" s="24" t="n">
        <f aca="false">IF(N(CP5)=0,"",CP25/CP5)</f>
        <v>244.510869565217</v>
      </c>
      <c r="CQ26" s="25" t="str">
        <f aca="false">IF(COUNT(CQ25,CQ5)=2,IF(N(CQ5)=0,"",CQ25/CQ5),"")</f>
        <v/>
      </c>
      <c r="CR26" s="25" t="n">
        <f aca="false">IF(N(CR5)=0,"",CR25/CR5)</f>
        <v>246.520547945206</v>
      </c>
      <c r="CS26" s="25" t="n">
        <f aca="false">IF(N(CS5)=0,"",CS25/CS5)</f>
        <v>247.197802197802</v>
      </c>
      <c r="CT26" s="24" t="str">
        <f aca="false">IF(COUNT(CT25,CT5)=2,IF(N(CT5)=0,"",CT25/CT5),"")</f>
        <v/>
      </c>
      <c r="CU26" s="24" t="n">
        <f aca="false">IF(N(CU5)=0,"",CU25/CU5)</f>
        <v>249.252077562327</v>
      </c>
      <c r="CV26" s="24" t="n">
        <f aca="false">IF(N(CV5)=0,"",CV25/CV5)</f>
        <v>249.944444444444</v>
      </c>
      <c r="CW26" s="25" t="str">
        <f aca="false">IF(COUNT(CW25,CW5)=2,IF(N(CW5)=0,"",CW25/CW5),"")</f>
        <v/>
      </c>
      <c r="CX26" s="25" t="n">
        <f aca="false">IF(N(CX5)=0,"",CX25/CX5)</f>
        <v>252.044817927171</v>
      </c>
      <c r="CY26" s="25" t="n">
        <f aca="false">IF(N(CY5)=0,"",CY25/CY5)</f>
        <v>252.752808988764</v>
      </c>
      <c r="CZ26" s="24" t="str">
        <f aca="false">IF(COUNT(CZ25,CZ5)=2,IF(N(CZ5)=0,"",CZ25/CZ5),"")</f>
        <v/>
      </c>
      <c r="DA26" s="24" t="n">
        <f aca="false">IF(N(DA5)=0,"",DA25/DA5)</f>
        <v>255.625</v>
      </c>
      <c r="DB26" s="24" t="n">
        <f aca="false">IF(N(DB5)=0,"",DB25/DB5)</f>
        <v>256.353276353276</v>
      </c>
      <c r="DC26" s="25" t="str">
        <f aca="false">IF(COUNT(DC25,DC5)=2,IF(N(DC5)=0,"",DC25/DC5),"")</f>
        <v/>
      </c>
      <c r="DD26" s="25" t="n">
        <f aca="false">IF(N(DD5)=0,"",DD25/DD5)</f>
        <v>259.308357348703</v>
      </c>
      <c r="DE26" s="25" t="n">
        <f aca="false">IF(N(DE5)=0,"",DE25/DE5)</f>
        <v>260.057803468208</v>
      </c>
      <c r="DF26" s="24" t="str">
        <f aca="false">IF(COUNT(DF25,DF5)=2,IF(N(DF5)=0,"",DF25/DF5),"")</f>
        <v/>
      </c>
      <c r="DG26" s="24" t="n">
        <f aca="false">IF(N(DG5)=0,"",DG25/DG5)</f>
        <v>266.213017751479</v>
      </c>
      <c r="DH26" s="24" t="n">
        <f aca="false">IF(N(DH5)=0,"",DH25/DH5)</f>
        <v>269.40119760479</v>
      </c>
      <c r="DI26" s="25" t="n">
        <f aca="false">IF(COUNT(DI25,DI5)=2,IF(N(DI5)=0,"",DI25/DI5),"")</f>
        <v>267.00296735905</v>
      </c>
      <c r="DJ26" s="25" t="n">
        <f aca="false">IF(N(DJ5)=0,"",DJ25/DJ5)</f>
        <v>267.00296735905</v>
      </c>
      <c r="DK26" s="25" t="n">
        <f aca="false">IF(N(DK5)=0,"",DK25/DK5)</f>
        <v>273.495440729483</v>
      </c>
      <c r="DL26" s="24" t="n">
        <f aca="false">IF(COUNT(DL25,DL5)=2,IF(N(DL5)=0,"",DL25/DL5),"")</f>
        <v>271.024096385542</v>
      </c>
      <c r="DM26" s="24" t="n">
        <f aca="false">IF(N(DM5)=0,"",DM25/DM5)</f>
        <v>271.024096385542</v>
      </c>
      <c r="DN26" s="24" t="n">
        <f aca="false">IF(N(DN5)=0,"",DN25/DN5)</f>
        <v>271.024096385542</v>
      </c>
    </row>
    <row r="27" customFormat="false" ht="15.75" hidden="false" customHeight="true" outlineLevel="0" collapsed="false">
      <c r="A27" s="17" t="s">
        <v>118</v>
      </c>
      <c r="B27" s="91"/>
      <c r="C27" s="91"/>
      <c r="D27" s="91"/>
      <c r="H27" s="91"/>
      <c r="I27" s="91"/>
      <c r="J27" s="91"/>
      <c r="N27" s="91"/>
      <c r="O27" s="91"/>
      <c r="P27" s="91"/>
      <c r="T27" s="91"/>
      <c r="U27" s="91"/>
      <c r="V27" s="91"/>
      <c r="Z27" s="91"/>
      <c r="AA27" s="91"/>
      <c r="AB27" s="91"/>
      <c r="AF27" s="91"/>
      <c r="AG27" s="91"/>
      <c r="AH27" s="91"/>
      <c r="AL27" s="91"/>
      <c r="AM27" s="91"/>
      <c r="AN27" s="91"/>
      <c r="AR27" s="91"/>
      <c r="AS27" s="91"/>
      <c r="AT27" s="91"/>
      <c r="AX27" s="91"/>
      <c r="AY27" s="91"/>
      <c r="AZ27" s="91"/>
      <c r="BD27" s="91"/>
      <c r="BE27" s="91"/>
      <c r="BF27" s="91"/>
      <c r="BJ27" s="91"/>
      <c r="BK27" s="91"/>
      <c r="BL27" s="91"/>
      <c r="BP27" s="91"/>
      <c r="BQ27" s="91"/>
      <c r="BR27" s="91"/>
      <c r="BV27" s="91"/>
      <c r="BW27" s="91"/>
      <c r="BX27" s="91"/>
      <c r="CB27" s="91"/>
      <c r="CC27" s="91"/>
      <c r="CD27" s="91"/>
      <c r="CH27" s="91"/>
      <c r="CI27" s="91"/>
      <c r="CJ27" s="91"/>
      <c r="CN27" s="91"/>
      <c r="CO27" s="91"/>
      <c r="CP27" s="91"/>
      <c r="CT27" s="91"/>
      <c r="CU27" s="91"/>
      <c r="CV27" s="91"/>
      <c r="CZ27" s="91"/>
      <c r="DA27" s="91"/>
      <c r="DB27" s="91"/>
      <c r="DF27" s="91"/>
      <c r="DG27" s="91"/>
      <c r="DH27" s="91"/>
      <c r="DL27" s="91"/>
      <c r="DM27" s="91"/>
      <c r="DN27" s="91"/>
    </row>
    <row r="28" customFormat="false" ht="15.75" hidden="false" customHeight="true" outlineLevel="0" collapsed="false">
      <c r="A28" s="5" t="s">
        <v>245</v>
      </c>
      <c r="B28" s="12" t="str">
        <f aca="false">IF(COUNT(AR28,AO28,AL28,AI28,AF28,AC28,Z28,W28,T28,Q28,N28,K28)=0,"",SUM(AR28,AO28,AL28,AI28,AF28,AC28,Z28,W28,T28,Q28,N28,K28))</f>
        <v/>
      </c>
      <c r="C28" s="12" t="n">
        <f aca="false">IF(COUNT(AS28,AP28,AM28,AJ28,AG28,AD28,AA28,X28,U28,R28,O28,L28)=0,"",SUM(AS28,AP28,AM28,AJ28,AG28,AD28,AA28,X28,U28,R28,O28,L28))</f>
        <v>120000</v>
      </c>
      <c r="D28" s="12" t="n">
        <f aca="false">IF(COUNT(AT28,AQ28,AN28,AK28,AH28,AE28,AB28,Y28,V28,S28,P28,M28)=0,"",SUM(AT28,AQ28,AN28,AK28,AH28,AE28,AB28,Y28,V28,S28,P28,M28))</f>
        <v>120000</v>
      </c>
      <c r="E28" s="13" t="str">
        <f aca="false">IF(COUNT(CB28,BY28,BV28,BS28,BP28,BM28,BJ28,BG28,BD28,BA28,AX28,AU28)=0,"",SUM(CB28,BY28,BV28,BS28,BP28,BM28,BJ28,BG28,BD28,BA28,AX28,AU28))</f>
        <v/>
      </c>
      <c r="F28" s="13" t="n">
        <f aca="false">IF(COUNT(CC28,BZ28,BW28,BT28,BQ28,BN28,BK28,BH28,BE28,BB28,AY28,AV28)=0,"",SUM(CC28,BZ28,BW28,BT28,BQ28,BN28,BK28,BH28,BE28,BB28,AY28,AV28))</f>
        <v>120000</v>
      </c>
      <c r="G28" s="13" t="n">
        <f aca="false">IF(COUNT(CD28,CA28,BX28,BU28,BR28,BO28,BL28,BI28,BF28,BC28,AZ28,AW28)=0,"",SUM(CD28,CA28,BX28,BU28,BR28,BO28,BL28,BI28,BF28,BC28,AZ28,AW28))</f>
        <v>120000</v>
      </c>
      <c r="H28" s="12" t="n">
        <f aca="false">IF(COUNT(DL28,DI28,DF28,DC28,CZ28,CW28,CT28,CQ28,CN28,CK28,CH28,CE28)=0,"",SUM(DL28,DI28,DF28,DC28,CZ28,CW28,CT28,CQ28,CN28,CK28,CH28,CE28))</f>
        <v>20000</v>
      </c>
      <c r="I28" s="12" t="n">
        <f aca="false">IF(COUNT(DM28,DJ28,DG28,DD28,DA28,CX28,CU28,CR28,CO28,CL28,CI28,CF28)=0,"",SUM(DM28,DJ28,DG28,DD28,DA28,CX28,CU28,CR28,CO28,CL28,CI28,CF28))</f>
        <v>120000</v>
      </c>
      <c r="J28" s="12" t="n">
        <f aca="false">IF(COUNT(DN28,DK28,DH28,DE28,DB28,CY28,CV28,CS28,CP28,CM28,CJ28,CG28)=0,"",SUM(DN28,DK28,DH28,DE28,DB28,CY28,CV28,CS28,CP28,CM28,CJ28,CG28))</f>
        <v>120000</v>
      </c>
      <c r="K28" s="13"/>
      <c r="L28" s="13" t="n">
        <f aca="false">IF('Cash Drivers'!L$26,Support!K28,Support!M28)</f>
        <v>10000</v>
      </c>
      <c r="M28" s="89" t="n">
        <v>10000</v>
      </c>
      <c r="N28" s="12"/>
      <c r="O28" s="12" t="n">
        <f aca="false">IF('Cash Drivers'!O$26,Support!N28,Support!P28)</f>
        <v>10000</v>
      </c>
      <c r="P28" s="90" t="n">
        <v>10000</v>
      </c>
      <c r="Q28" s="13"/>
      <c r="R28" s="13" t="n">
        <f aca="false">IF('Cash Drivers'!R$26,Support!Q28,Support!S28)</f>
        <v>10000</v>
      </c>
      <c r="S28" s="89" t="n">
        <v>10000</v>
      </c>
      <c r="T28" s="12"/>
      <c r="U28" s="12" t="n">
        <f aca="false">IF('Cash Drivers'!U$26,Support!T28,Support!V28)</f>
        <v>10000</v>
      </c>
      <c r="V28" s="90" t="n">
        <v>10000</v>
      </c>
      <c r="W28" s="13"/>
      <c r="X28" s="13" t="n">
        <f aca="false">IF('Cash Drivers'!X$26,Support!W28,Support!Y28)</f>
        <v>10000</v>
      </c>
      <c r="Y28" s="89" t="n">
        <v>10000</v>
      </c>
      <c r="Z28" s="12"/>
      <c r="AA28" s="12" t="n">
        <f aca="false">IF('Cash Drivers'!AA$26,Support!Z28,Support!AB28)</f>
        <v>10000</v>
      </c>
      <c r="AB28" s="90" t="n">
        <v>10000</v>
      </c>
      <c r="AC28" s="13"/>
      <c r="AD28" s="13" t="n">
        <f aca="false">IF('Cash Drivers'!AD$26,Support!AC28,Support!AE28)</f>
        <v>10000</v>
      </c>
      <c r="AE28" s="89" t="n">
        <v>10000</v>
      </c>
      <c r="AF28" s="12"/>
      <c r="AG28" s="12" t="n">
        <f aca="false">IF('Cash Drivers'!AG$26,Support!AF28,Support!AH28)</f>
        <v>10000</v>
      </c>
      <c r="AH28" s="90" t="n">
        <v>10000</v>
      </c>
      <c r="AI28" s="13"/>
      <c r="AJ28" s="13" t="n">
        <f aca="false">IF('Cash Drivers'!AJ$26,Support!AI28,Support!AK28)</f>
        <v>10000</v>
      </c>
      <c r="AK28" s="89" t="n">
        <v>10000</v>
      </c>
      <c r="AL28" s="12"/>
      <c r="AM28" s="12" t="n">
        <f aca="false">IF('Cash Drivers'!AM$26,Support!AL28,Support!AN28)</f>
        <v>10000</v>
      </c>
      <c r="AN28" s="90" t="n">
        <v>10000</v>
      </c>
      <c r="AO28" s="13"/>
      <c r="AP28" s="13" t="n">
        <f aca="false">IF('Cash Drivers'!AP$26,Support!AO28,Support!AQ28)</f>
        <v>10000</v>
      </c>
      <c r="AQ28" s="89" t="n">
        <v>10000</v>
      </c>
      <c r="AR28" s="12"/>
      <c r="AS28" s="12" t="n">
        <f aca="false">IF('Cash Drivers'!AS$26,Support!AR28,Support!AT28)</f>
        <v>10000</v>
      </c>
      <c r="AT28" s="90" t="n">
        <v>10000</v>
      </c>
      <c r="AU28" s="13"/>
      <c r="AV28" s="13" t="n">
        <f aca="false">IF('Cash Drivers'!AV$26,Support!AU28,Support!AW28)</f>
        <v>10000</v>
      </c>
      <c r="AW28" s="89" t="n">
        <v>10000</v>
      </c>
      <c r="AX28" s="12"/>
      <c r="AY28" s="12" t="n">
        <f aca="false">IF('Cash Drivers'!AY$26,Support!AX28,Support!AZ28)</f>
        <v>10000</v>
      </c>
      <c r="AZ28" s="90" t="n">
        <v>10000</v>
      </c>
      <c r="BA28" s="13"/>
      <c r="BB28" s="13" t="n">
        <f aca="false">IF('Cash Drivers'!BB$26,Support!BA28,Support!BC28)</f>
        <v>10000</v>
      </c>
      <c r="BC28" s="89" t="n">
        <v>10000</v>
      </c>
      <c r="BD28" s="12"/>
      <c r="BE28" s="12" t="n">
        <f aca="false">IF('Cash Drivers'!BE$26,Support!BD28,Support!BF28)</f>
        <v>10000</v>
      </c>
      <c r="BF28" s="90" t="n">
        <v>10000</v>
      </c>
      <c r="BG28" s="13"/>
      <c r="BH28" s="13" t="n">
        <f aca="false">IF('Cash Drivers'!BH$26,Support!BG28,Support!BI28)</f>
        <v>10000</v>
      </c>
      <c r="BI28" s="89" t="n">
        <v>10000</v>
      </c>
      <c r="BJ28" s="12"/>
      <c r="BK28" s="12" t="n">
        <f aca="false">IF('Cash Drivers'!BK$26,Support!BJ28,Support!BL28)</f>
        <v>10000</v>
      </c>
      <c r="BL28" s="90" t="n">
        <v>10000</v>
      </c>
      <c r="BM28" s="13"/>
      <c r="BN28" s="13" t="n">
        <f aca="false">IF('Cash Drivers'!BN$26,Support!BM28,Support!BO28)</f>
        <v>10000</v>
      </c>
      <c r="BO28" s="89" t="n">
        <v>10000</v>
      </c>
      <c r="BP28" s="12"/>
      <c r="BQ28" s="12" t="n">
        <f aca="false">IF('Cash Drivers'!BQ$26,Support!BP28,Support!BR28)</f>
        <v>10000</v>
      </c>
      <c r="BR28" s="90" t="n">
        <v>10000</v>
      </c>
      <c r="BS28" s="13"/>
      <c r="BT28" s="13" t="n">
        <f aca="false">IF('Cash Drivers'!BT$26,Support!BS28,Support!BU28)</f>
        <v>10000</v>
      </c>
      <c r="BU28" s="89" t="n">
        <v>10000</v>
      </c>
      <c r="BV28" s="12"/>
      <c r="BW28" s="12" t="n">
        <f aca="false">IF('Cash Drivers'!BW$26,Support!BV28,Support!BX28)</f>
        <v>10000</v>
      </c>
      <c r="BX28" s="90" t="n">
        <v>10000</v>
      </c>
      <c r="BY28" s="13"/>
      <c r="BZ28" s="13" t="n">
        <f aca="false">IF('Cash Drivers'!BZ$26,Support!BY28,Support!CA28)</f>
        <v>10000</v>
      </c>
      <c r="CA28" s="89" t="n">
        <v>10000</v>
      </c>
      <c r="CB28" s="12"/>
      <c r="CC28" s="12" t="n">
        <f aca="false">IF('Cash Drivers'!CC$26,Support!CB28,Support!CD28)</f>
        <v>10000</v>
      </c>
      <c r="CD28" s="90" t="n">
        <v>10000</v>
      </c>
      <c r="CE28" s="13"/>
      <c r="CF28" s="13" t="n">
        <f aca="false">IF('Cash Drivers'!CF$26,Support!CE28,Support!CG28)</f>
        <v>10000</v>
      </c>
      <c r="CG28" s="89" t="n">
        <v>10000</v>
      </c>
      <c r="CH28" s="12"/>
      <c r="CI28" s="12" t="n">
        <f aca="false">IF('Cash Drivers'!CI$26,Support!CH28,Support!CJ28)</f>
        <v>10000</v>
      </c>
      <c r="CJ28" s="90" t="n">
        <v>10000</v>
      </c>
      <c r="CK28" s="13"/>
      <c r="CL28" s="13" t="n">
        <f aca="false">IF('Cash Drivers'!CL$26,Support!CK28,Support!CM28)</f>
        <v>10000</v>
      </c>
      <c r="CM28" s="89" t="n">
        <v>10000</v>
      </c>
      <c r="CN28" s="12"/>
      <c r="CO28" s="12" t="n">
        <f aca="false">IF('Cash Drivers'!CO$26,Support!CN28,Support!CP28)</f>
        <v>10000</v>
      </c>
      <c r="CP28" s="90" t="n">
        <v>10000</v>
      </c>
      <c r="CQ28" s="13"/>
      <c r="CR28" s="13" t="n">
        <f aca="false">IF('Cash Drivers'!CR$26,Support!CQ28,Support!CS28)</f>
        <v>10000</v>
      </c>
      <c r="CS28" s="89" t="n">
        <v>10000</v>
      </c>
      <c r="CT28" s="12"/>
      <c r="CU28" s="12" t="n">
        <f aca="false">IF('Cash Drivers'!CU$26,Support!CT28,Support!CV28)</f>
        <v>10000</v>
      </c>
      <c r="CV28" s="90" t="n">
        <v>10000</v>
      </c>
      <c r="CW28" s="13"/>
      <c r="CX28" s="13" t="n">
        <f aca="false">IF('Cash Drivers'!CX$26,Support!CW28,Support!CY28)</f>
        <v>10000</v>
      </c>
      <c r="CY28" s="89" t="n">
        <v>10000</v>
      </c>
      <c r="CZ28" s="12"/>
      <c r="DA28" s="12" t="n">
        <f aca="false">IF('Cash Drivers'!DA$26,Support!CZ28,Support!DB28)</f>
        <v>10000</v>
      </c>
      <c r="DB28" s="90" t="n">
        <v>10000</v>
      </c>
      <c r="DC28" s="13"/>
      <c r="DD28" s="13" t="n">
        <f aca="false">IF('Cash Drivers'!DD$26,Support!DC28,Support!DE28)</f>
        <v>10000</v>
      </c>
      <c r="DE28" s="89" t="n">
        <v>10000</v>
      </c>
      <c r="DF28" s="12"/>
      <c r="DG28" s="12" t="n">
        <f aca="false">IF('Cash Drivers'!DG$26,Support!DF28,Support!DH28)</f>
        <v>10000</v>
      </c>
      <c r="DH28" s="90" t="n">
        <v>10000</v>
      </c>
      <c r="DI28" s="89" t="n">
        <v>10000</v>
      </c>
      <c r="DJ28" s="13" t="n">
        <f aca="false">IF('Cash Drivers'!DJ$26,Support!DI28,Support!DK28)</f>
        <v>10000</v>
      </c>
      <c r="DK28" s="89" t="n">
        <v>10000</v>
      </c>
      <c r="DL28" s="90" t="n">
        <v>10000</v>
      </c>
      <c r="DM28" s="12" t="n">
        <f aca="false">IF('Cash Drivers'!DM$26,Support!DL28,Support!DN28)</f>
        <v>10000</v>
      </c>
      <c r="DN28" s="90" t="n">
        <v>10000</v>
      </c>
    </row>
    <row r="29" customFormat="false" ht="15.75" hidden="false" customHeight="true" outlineLevel="0" collapsed="false">
      <c r="A29" s="5" t="s">
        <v>246</v>
      </c>
      <c r="B29" s="12" t="str">
        <f aca="false">IF(COUNT(AR29,AO29,AL29,AI29,AF29,AC29,Z29,W29,T29,Q29,N29,K29)=0,"",SUM(AR29,AO29,AL29,AI29,AF29,AC29,Z29,W29,T29,Q29,N29,K29))</f>
        <v/>
      </c>
      <c r="C29" s="12" t="n">
        <f aca="false">IF(COUNT(AS29,AP29,AM29,AJ29,AG29,AD29,AA29,X29,U29,R29,O29,L29)=0,"",SUM(AS29,AP29,AM29,AJ29,AG29,AD29,AA29,X29,U29,R29,O29,L29))</f>
        <v>84000</v>
      </c>
      <c r="D29" s="12" t="n">
        <f aca="false">IF(COUNT(AT29,AQ29,AN29,AK29,AH29,AE29,AB29,Y29,V29,S29,P29,M29)=0,"",SUM(AT29,AQ29,AN29,AK29,AH29,AE29,AB29,Y29,V29,S29,P29,M29))</f>
        <v>84000</v>
      </c>
      <c r="E29" s="13" t="str">
        <f aca="false">IF(COUNT(CB29,BY29,BV29,BS29,BP29,BM29,BJ29,BG29,BD29,BA29,AX29,AU29)=0,"",SUM(CB29,BY29,BV29,BS29,BP29,BM29,BJ29,BG29,BD29,BA29,AX29,AU29))</f>
        <v/>
      </c>
      <c r="F29" s="13" t="n">
        <f aca="false">IF(COUNT(CC29,BZ29,BW29,BT29,BQ29,BN29,BK29,BH29,BE29,BB29,AY29,AV29)=0,"",SUM(CC29,BZ29,BW29,BT29,BQ29,BN29,BK29,BH29,BE29,BB29,AY29,AV29))</f>
        <v>84000</v>
      </c>
      <c r="G29" s="13" t="n">
        <f aca="false">IF(COUNT(CD29,CA29,BX29,BU29,BR29,BO29,BL29,BI29,BF29,BC29,AZ29,AW29)=0,"",SUM(CD29,CA29,BX29,BU29,BR29,BO29,BL29,BI29,BF29,BC29,AZ29,AW29))</f>
        <v>84000</v>
      </c>
      <c r="H29" s="12" t="n">
        <f aca="false">IF(COUNT(DL29,DI29,DF29,DC29,CZ29,CW29,CT29,CQ29,CN29,CK29,CH29,CE29)=0,"",SUM(DL29,DI29,DF29,DC29,CZ29,CW29,CT29,CQ29,CN29,CK29,CH29,CE29))</f>
        <v>14000</v>
      </c>
      <c r="I29" s="12" t="n">
        <f aca="false">IF(COUNT(DM29,DJ29,DG29,DD29,DA29,CX29,CU29,CR29,CO29,CL29,CI29,CF29)=0,"",SUM(DM29,DJ29,DG29,DD29,DA29,CX29,CU29,CR29,CO29,CL29,CI29,CF29))</f>
        <v>84000</v>
      </c>
      <c r="J29" s="12" t="n">
        <f aca="false">IF(COUNT(DN29,DK29,DH29,DE29,DB29,CY29,CV29,CS29,CP29,CM29,CJ29,CG29)=0,"",SUM(DN29,DK29,DH29,DE29,DB29,CY29,CV29,CS29,CP29,CM29,CJ29,CG29))</f>
        <v>84000</v>
      </c>
      <c r="K29" s="13"/>
      <c r="L29" s="13" t="n">
        <f aca="false">IF('Cash Drivers'!L$26,Support!K29,Support!M29)</f>
        <v>7000</v>
      </c>
      <c r="M29" s="89" t="n">
        <v>7000</v>
      </c>
      <c r="N29" s="12"/>
      <c r="O29" s="12" t="n">
        <f aca="false">IF('Cash Drivers'!O$26,Support!N29,Support!P29)</f>
        <v>7000</v>
      </c>
      <c r="P29" s="90" t="n">
        <v>7000</v>
      </c>
      <c r="Q29" s="13"/>
      <c r="R29" s="13" t="n">
        <f aca="false">IF('Cash Drivers'!R$26,Support!Q29,Support!S29)</f>
        <v>7000</v>
      </c>
      <c r="S29" s="89" t="n">
        <v>7000</v>
      </c>
      <c r="T29" s="12"/>
      <c r="U29" s="12" t="n">
        <f aca="false">IF('Cash Drivers'!U$26,Support!T29,Support!V29)</f>
        <v>7000</v>
      </c>
      <c r="V29" s="90" t="n">
        <v>7000</v>
      </c>
      <c r="W29" s="13"/>
      <c r="X29" s="13" t="n">
        <f aca="false">IF('Cash Drivers'!X$26,Support!W29,Support!Y29)</f>
        <v>7000</v>
      </c>
      <c r="Y29" s="89" t="n">
        <v>7000</v>
      </c>
      <c r="Z29" s="12"/>
      <c r="AA29" s="12" t="n">
        <f aca="false">IF('Cash Drivers'!AA$26,Support!Z29,Support!AB29)</f>
        <v>7000</v>
      </c>
      <c r="AB29" s="90" t="n">
        <v>7000</v>
      </c>
      <c r="AC29" s="13"/>
      <c r="AD29" s="13" t="n">
        <f aca="false">IF('Cash Drivers'!AD$26,Support!AC29,Support!AE29)</f>
        <v>7000</v>
      </c>
      <c r="AE29" s="89" t="n">
        <v>7000</v>
      </c>
      <c r="AF29" s="12"/>
      <c r="AG29" s="12" t="n">
        <f aca="false">IF('Cash Drivers'!AG$26,Support!AF29,Support!AH29)</f>
        <v>7000</v>
      </c>
      <c r="AH29" s="90" t="n">
        <v>7000</v>
      </c>
      <c r="AI29" s="13"/>
      <c r="AJ29" s="13" t="n">
        <f aca="false">IF('Cash Drivers'!AJ$26,Support!AI29,Support!AK29)</f>
        <v>7000</v>
      </c>
      <c r="AK29" s="89" t="n">
        <v>7000</v>
      </c>
      <c r="AL29" s="12"/>
      <c r="AM29" s="12" t="n">
        <f aca="false">IF('Cash Drivers'!AM$26,Support!AL29,Support!AN29)</f>
        <v>7000</v>
      </c>
      <c r="AN29" s="90" t="n">
        <v>7000</v>
      </c>
      <c r="AO29" s="13"/>
      <c r="AP29" s="13" t="n">
        <f aca="false">IF('Cash Drivers'!AP$26,Support!AO29,Support!AQ29)</f>
        <v>7000</v>
      </c>
      <c r="AQ29" s="89" t="n">
        <v>7000</v>
      </c>
      <c r="AR29" s="12"/>
      <c r="AS29" s="12" t="n">
        <f aca="false">IF('Cash Drivers'!AS$26,Support!AR29,Support!AT29)</f>
        <v>7000</v>
      </c>
      <c r="AT29" s="90" t="n">
        <v>7000</v>
      </c>
      <c r="AU29" s="13"/>
      <c r="AV29" s="13" t="n">
        <f aca="false">IF('Cash Drivers'!AV$26,Support!AU29,Support!AW29)</f>
        <v>7000</v>
      </c>
      <c r="AW29" s="89" t="n">
        <v>7000</v>
      </c>
      <c r="AX29" s="12"/>
      <c r="AY29" s="12" t="n">
        <f aca="false">IF('Cash Drivers'!AY$26,Support!AX29,Support!AZ29)</f>
        <v>7000</v>
      </c>
      <c r="AZ29" s="90" t="n">
        <v>7000</v>
      </c>
      <c r="BA29" s="13"/>
      <c r="BB29" s="13" t="n">
        <f aca="false">IF('Cash Drivers'!BB$26,Support!BA29,Support!BC29)</f>
        <v>7000</v>
      </c>
      <c r="BC29" s="89" t="n">
        <v>7000</v>
      </c>
      <c r="BD29" s="12"/>
      <c r="BE29" s="12" t="n">
        <f aca="false">IF('Cash Drivers'!BE$26,Support!BD29,Support!BF29)</f>
        <v>7000</v>
      </c>
      <c r="BF29" s="90" t="n">
        <v>7000</v>
      </c>
      <c r="BG29" s="13"/>
      <c r="BH29" s="13" t="n">
        <f aca="false">IF('Cash Drivers'!BH$26,Support!BG29,Support!BI29)</f>
        <v>7000</v>
      </c>
      <c r="BI29" s="89" t="n">
        <v>7000</v>
      </c>
      <c r="BJ29" s="12"/>
      <c r="BK29" s="12" t="n">
        <f aca="false">IF('Cash Drivers'!BK$26,Support!BJ29,Support!BL29)</f>
        <v>7000</v>
      </c>
      <c r="BL29" s="90" t="n">
        <v>7000</v>
      </c>
      <c r="BM29" s="13"/>
      <c r="BN29" s="13" t="n">
        <f aca="false">IF('Cash Drivers'!BN$26,Support!BM29,Support!BO29)</f>
        <v>7000</v>
      </c>
      <c r="BO29" s="89" t="n">
        <v>7000</v>
      </c>
      <c r="BP29" s="12"/>
      <c r="BQ29" s="12" t="n">
        <f aca="false">IF('Cash Drivers'!BQ$26,Support!BP29,Support!BR29)</f>
        <v>7000</v>
      </c>
      <c r="BR29" s="90" t="n">
        <v>7000</v>
      </c>
      <c r="BS29" s="13"/>
      <c r="BT29" s="13" t="n">
        <f aca="false">IF('Cash Drivers'!BT$26,Support!BS29,Support!BU29)</f>
        <v>7000</v>
      </c>
      <c r="BU29" s="89" t="n">
        <v>7000</v>
      </c>
      <c r="BV29" s="12"/>
      <c r="BW29" s="12" t="n">
        <f aca="false">IF('Cash Drivers'!BW$26,Support!BV29,Support!BX29)</f>
        <v>7000</v>
      </c>
      <c r="BX29" s="90" t="n">
        <v>7000</v>
      </c>
      <c r="BY29" s="13"/>
      <c r="BZ29" s="13" t="n">
        <f aca="false">IF('Cash Drivers'!BZ$26,Support!BY29,Support!CA29)</f>
        <v>7000</v>
      </c>
      <c r="CA29" s="89" t="n">
        <v>7000</v>
      </c>
      <c r="CB29" s="12"/>
      <c r="CC29" s="12" t="n">
        <f aca="false">IF('Cash Drivers'!CC$26,Support!CB29,Support!CD29)</f>
        <v>7000</v>
      </c>
      <c r="CD29" s="90" t="n">
        <v>7000</v>
      </c>
      <c r="CE29" s="13"/>
      <c r="CF29" s="13" t="n">
        <f aca="false">IF('Cash Drivers'!CF$26,Support!CE29,Support!CG29)</f>
        <v>7000</v>
      </c>
      <c r="CG29" s="89" t="n">
        <v>7000</v>
      </c>
      <c r="CH29" s="12"/>
      <c r="CI29" s="12" t="n">
        <f aca="false">IF('Cash Drivers'!CI$26,Support!CH29,Support!CJ29)</f>
        <v>7000</v>
      </c>
      <c r="CJ29" s="90" t="n">
        <v>7000</v>
      </c>
      <c r="CK29" s="13"/>
      <c r="CL29" s="13" t="n">
        <f aca="false">IF('Cash Drivers'!CL$26,Support!CK29,Support!CM29)</f>
        <v>7000</v>
      </c>
      <c r="CM29" s="89" t="n">
        <v>7000</v>
      </c>
      <c r="CN29" s="12"/>
      <c r="CO29" s="12" t="n">
        <f aca="false">IF('Cash Drivers'!CO$26,Support!CN29,Support!CP29)</f>
        <v>7000</v>
      </c>
      <c r="CP29" s="90" t="n">
        <v>7000</v>
      </c>
      <c r="CQ29" s="13"/>
      <c r="CR29" s="13" t="n">
        <f aca="false">IF('Cash Drivers'!CR$26,Support!CQ29,Support!CS29)</f>
        <v>7000</v>
      </c>
      <c r="CS29" s="89" t="n">
        <v>7000</v>
      </c>
      <c r="CT29" s="12"/>
      <c r="CU29" s="12" t="n">
        <f aca="false">IF('Cash Drivers'!CU$26,Support!CT29,Support!CV29)</f>
        <v>7000</v>
      </c>
      <c r="CV29" s="90" t="n">
        <v>7000</v>
      </c>
      <c r="CW29" s="13"/>
      <c r="CX29" s="13" t="n">
        <f aca="false">IF('Cash Drivers'!CX$26,Support!CW29,Support!CY29)</f>
        <v>7000</v>
      </c>
      <c r="CY29" s="89" t="n">
        <v>7000</v>
      </c>
      <c r="CZ29" s="12"/>
      <c r="DA29" s="12" t="n">
        <f aca="false">IF('Cash Drivers'!DA$26,Support!CZ29,Support!DB29)</f>
        <v>7000</v>
      </c>
      <c r="DB29" s="90" t="n">
        <v>7000</v>
      </c>
      <c r="DC29" s="13"/>
      <c r="DD29" s="13" t="n">
        <f aca="false">IF('Cash Drivers'!DD$26,Support!DC29,Support!DE29)</f>
        <v>7000</v>
      </c>
      <c r="DE29" s="89" t="n">
        <v>7000</v>
      </c>
      <c r="DF29" s="12"/>
      <c r="DG29" s="12" t="n">
        <f aca="false">IF('Cash Drivers'!DG$26,Support!DF29,Support!DH29)</f>
        <v>7000</v>
      </c>
      <c r="DH29" s="90" t="n">
        <v>7000</v>
      </c>
      <c r="DI29" s="89" t="n">
        <v>7000</v>
      </c>
      <c r="DJ29" s="13" t="n">
        <f aca="false">IF('Cash Drivers'!DJ$26,Support!DI29,Support!DK29)</f>
        <v>7000</v>
      </c>
      <c r="DK29" s="89" t="n">
        <v>7000</v>
      </c>
      <c r="DL29" s="90" t="n">
        <v>7000</v>
      </c>
      <c r="DM29" s="12" t="n">
        <f aca="false">IF('Cash Drivers'!DM$26,Support!DL29,Support!DN29)</f>
        <v>7000</v>
      </c>
      <c r="DN29" s="90" t="n">
        <v>7000</v>
      </c>
    </row>
    <row r="30" customFormat="false" ht="15.75" hidden="false" customHeight="true" outlineLevel="0" collapsed="false">
      <c r="A30" s="5" t="s">
        <v>246</v>
      </c>
      <c r="B30" s="12" t="str">
        <f aca="false">IF(COUNT(AR30,AO30,AL30,AI30,AF30,AC30,Z30,W30,T30,Q30,N30,K30)=0,"",SUM(AR30,AO30,AL30,AI30,AF30,AC30,Z30,W30,T30,Q30,N30,K30))</f>
        <v/>
      </c>
      <c r="C30" s="12" t="n">
        <f aca="false">IF(COUNT(AS30,AP30,AM30,AJ30,AG30,AD30,AA30,X30,U30,R30,O30,L30)=0,"",SUM(AS30,AP30,AM30,AJ30,AG30,AD30,AA30,X30,U30,R30,O30,L30))</f>
        <v>84000</v>
      </c>
      <c r="D30" s="12" t="n">
        <f aca="false">IF(COUNT(AT30,AQ30,AN30,AK30,AH30,AE30,AB30,Y30,V30,S30,P30,M30)=0,"",SUM(AT30,AQ30,AN30,AK30,AH30,AE30,AB30,Y30,V30,S30,P30,M30))</f>
        <v>84000</v>
      </c>
      <c r="E30" s="13" t="str">
        <f aca="false">IF(COUNT(CB30,BY30,BV30,BS30,BP30,BM30,BJ30,BG30,BD30,BA30,AX30,AU30)=0,"",SUM(CB30,BY30,BV30,BS30,BP30,BM30,BJ30,BG30,BD30,BA30,AX30,AU30))</f>
        <v/>
      </c>
      <c r="F30" s="13" t="n">
        <f aca="false">IF(COUNT(CC30,BZ30,BW30,BT30,BQ30,BN30,BK30,BH30,BE30,BB30,AY30,AV30)=0,"",SUM(CC30,BZ30,BW30,BT30,BQ30,BN30,BK30,BH30,BE30,BB30,AY30,AV30))</f>
        <v>84000</v>
      </c>
      <c r="G30" s="13" t="n">
        <f aca="false">IF(COUNT(CD30,CA30,BX30,BU30,BR30,BO30,BL30,BI30,BF30,BC30,AZ30,AW30)=0,"",SUM(CD30,CA30,BX30,BU30,BR30,BO30,BL30,BI30,BF30,BC30,AZ30,AW30))</f>
        <v>84000</v>
      </c>
      <c r="H30" s="12" t="n">
        <f aca="false">IF(COUNT(DL30,DI30,DF30,DC30,CZ30,CW30,CT30,CQ30,CN30,CK30,CH30,CE30)=0,"",SUM(DL30,DI30,DF30,DC30,CZ30,CW30,CT30,CQ30,CN30,CK30,CH30,CE30))</f>
        <v>14000</v>
      </c>
      <c r="I30" s="12" t="n">
        <f aca="false">IF(COUNT(DM30,DJ30,DG30,DD30,DA30,CX30,CU30,CR30,CO30,CL30,CI30,CF30)=0,"",SUM(DM30,DJ30,DG30,DD30,DA30,CX30,CU30,CR30,CO30,CL30,CI30,CF30))</f>
        <v>84000</v>
      </c>
      <c r="J30" s="12" t="n">
        <f aca="false">IF(COUNT(DN30,DK30,DH30,DE30,DB30,CY30,CV30,CS30,CP30,CM30,CJ30,CG30)=0,"",SUM(DN30,DK30,DH30,DE30,DB30,CY30,CV30,CS30,CP30,CM30,CJ30,CG30))</f>
        <v>84000</v>
      </c>
      <c r="K30" s="13"/>
      <c r="L30" s="13" t="n">
        <f aca="false">IF('Cash Drivers'!L$26,Support!K30,Support!M30)</f>
        <v>7000</v>
      </c>
      <c r="M30" s="89" t="n">
        <v>7000</v>
      </c>
      <c r="N30" s="12"/>
      <c r="O30" s="12" t="n">
        <f aca="false">IF('Cash Drivers'!O$26,Support!N30,Support!P30)</f>
        <v>7000</v>
      </c>
      <c r="P30" s="90" t="n">
        <v>7000</v>
      </c>
      <c r="Q30" s="13"/>
      <c r="R30" s="13" t="n">
        <f aca="false">IF('Cash Drivers'!R$26,Support!Q30,Support!S30)</f>
        <v>7000</v>
      </c>
      <c r="S30" s="89" t="n">
        <v>7000</v>
      </c>
      <c r="T30" s="12"/>
      <c r="U30" s="12" t="n">
        <f aca="false">IF('Cash Drivers'!U$26,Support!T30,Support!V30)</f>
        <v>7000</v>
      </c>
      <c r="V30" s="90" t="n">
        <v>7000</v>
      </c>
      <c r="W30" s="13"/>
      <c r="X30" s="13" t="n">
        <f aca="false">IF('Cash Drivers'!X$26,Support!W30,Support!Y30)</f>
        <v>7000</v>
      </c>
      <c r="Y30" s="89" t="n">
        <v>7000</v>
      </c>
      <c r="Z30" s="12"/>
      <c r="AA30" s="12" t="n">
        <f aca="false">IF('Cash Drivers'!AA$26,Support!Z30,Support!AB30)</f>
        <v>7000</v>
      </c>
      <c r="AB30" s="90" t="n">
        <v>7000</v>
      </c>
      <c r="AC30" s="13"/>
      <c r="AD30" s="13" t="n">
        <f aca="false">IF('Cash Drivers'!AD$26,Support!AC30,Support!AE30)</f>
        <v>7000</v>
      </c>
      <c r="AE30" s="89" t="n">
        <v>7000</v>
      </c>
      <c r="AF30" s="12"/>
      <c r="AG30" s="12" t="n">
        <f aca="false">IF('Cash Drivers'!AG$26,Support!AF30,Support!AH30)</f>
        <v>7000</v>
      </c>
      <c r="AH30" s="90" t="n">
        <v>7000</v>
      </c>
      <c r="AI30" s="13"/>
      <c r="AJ30" s="13" t="n">
        <f aca="false">IF('Cash Drivers'!AJ$26,Support!AI30,Support!AK30)</f>
        <v>7000</v>
      </c>
      <c r="AK30" s="89" t="n">
        <v>7000</v>
      </c>
      <c r="AL30" s="12"/>
      <c r="AM30" s="12" t="n">
        <f aca="false">IF('Cash Drivers'!AM$26,Support!AL30,Support!AN30)</f>
        <v>7000</v>
      </c>
      <c r="AN30" s="90" t="n">
        <v>7000</v>
      </c>
      <c r="AO30" s="13"/>
      <c r="AP30" s="13" t="n">
        <f aca="false">IF('Cash Drivers'!AP$26,Support!AO30,Support!AQ30)</f>
        <v>7000</v>
      </c>
      <c r="AQ30" s="89" t="n">
        <v>7000</v>
      </c>
      <c r="AR30" s="12"/>
      <c r="AS30" s="12" t="n">
        <f aca="false">IF('Cash Drivers'!AS$26,Support!AR30,Support!AT30)</f>
        <v>7000</v>
      </c>
      <c r="AT30" s="90" t="n">
        <v>7000</v>
      </c>
      <c r="AU30" s="13"/>
      <c r="AV30" s="13" t="n">
        <f aca="false">IF('Cash Drivers'!AV$26,Support!AU30,Support!AW30)</f>
        <v>7000</v>
      </c>
      <c r="AW30" s="89" t="n">
        <v>7000</v>
      </c>
      <c r="AX30" s="12"/>
      <c r="AY30" s="12" t="n">
        <f aca="false">IF('Cash Drivers'!AY$26,Support!AX30,Support!AZ30)</f>
        <v>7000</v>
      </c>
      <c r="AZ30" s="90" t="n">
        <v>7000</v>
      </c>
      <c r="BA30" s="13"/>
      <c r="BB30" s="13" t="n">
        <f aca="false">IF('Cash Drivers'!BB$26,Support!BA30,Support!BC30)</f>
        <v>7000</v>
      </c>
      <c r="BC30" s="89" t="n">
        <v>7000</v>
      </c>
      <c r="BD30" s="12"/>
      <c r="BE30" s="12" t="n">
        <f aca="false">IF('Cash Drivers'!BE$26,Support!BD30,Support!BF30)</f>
        <v>7000</v>
      </c>
      <c r="BF30" s="90" t="n">
        <v>7000</v>
      </c>
      <c r="BG30" s="13"/>
      <c r="BH30" s="13" t="n">
        <f aca="false">IF('Cash Drivers'!BH$26,Support!BG30,Support!BI30)</f>
        <v>7000</v>
      </c>
      <c r="BI30" s="89" t="n">
        <v>7000</v>
      </c>
      <c r="BJ30" s="12"/>
      <c r="BK30" s="12" t="n">
        <f aca="false">IF('Cash Drivers'!BK$26,Support!BJ30,Support!BL30)</f>
        <v>7000</v>
      </c>
      <c r="BL30" s="90" t="n">
        <v>7000</v>
      </c>
      <c r="BM30" s="13"/>
      <c r="BN30" s="13" t="n">
        <f aca="false">IF('Cash Drivers'!BN$26,Support!BM30,Support!BO30)</f>
        <v>7000</v>
      </c>
      <c r="BO30" s="89" t="n">
        <v>7000</v>
      </c>
      <c r="BP30" s="12"/>
      <c r="BQ30" s="12" t="n">
        <f aca="false">IF('Cash Drivers'!BQ$26,Support!BP30,Support!BR30)</f>
        <v>7000</v>
      </c>
      <c r="BR30" s="90" t="n">
        <v>7000</v>
      </c>
      <c r="BS30" s="13"/>
      <c r="BT30" s="13" t="n">
        <f aca="false">IF('Cash Drivers'!BT$26,Support!BS30,Support!BU30)</f>
        <v>7000</v>
      </c>
      <c r="BU30" s="89" t="n">
        <v>7000</v>
      </c>
      <c r="BV30" s="12"/>
      <c r="BW30" s="12" t="n">
        <f aca="false">IF('Cash Drivers'!BW$26,Support!BV30,Support!BX30)</f>
        <v>7000</v>
      </c>
      <c r="BX30" s="90" t="n">
        <v>7000</v>
      </c>
      <c r="BY30" s="13"/>
      <c r="BZ30" s="13" t="n">
        <f aca="false">IF('Cash Drivers'!BZ$26,Support!BY30,Support!CA30)</f>
        <v>7000</v>
      </c>
      <c r="CA30" s="89" t="n">
        <v>7000</v>
      </c>
      <c r="CB30" s="12"/>
      <c r="CC30" s="12" t="n">
        <f aca="false">IF('Cash Drivers'!CC$26,Support!CB30,Support!CD30)</f>
        <v>7000</v>
      </c>
      <c r="CD30" s="90" t="n">
        <v>7000</v>
      </c>
      <c r="CE30" s="13"/>
      <c r="CF30" s="13" t="n">
        <f aca="false">IF('Cash Drivers'!CF$26,Support!CE30,Support!CG30)</f>
        <v>7000</v>
      </c>
      <c r="CG30" s="89" t="n">
        <v>7000</v>
      </c>
      <c r="CH30" s="12"/>
      <c r="CI30" s="12" t="n">
        <f aca="false">IF('Cash Drivers'!CI$26,Support!CH30,Support!CJ30)</f>
        <v>7000</v>
      </c>
      <c r="CJ30" s="90" t="n">
        <v>7000</v>
      </c>
      <c r="CK30" s="13"/>
      <c r="CL30" s="13" t="n">
        <f aca="false">IF('Cash Drivers'!CL$26,Support!CK30,Support!CM30)</f>
        <v>7000</v>
      </c>
      <c r="CM30" s="89" t="n">
        <v>7000</v>
      </c>
      <c r="CN30" s="12"/>
      <c r="CO30" s="12" t="n">
        <f aca="false">IF('Cash Drivers'!CO$26,Support!CN30,Support!CP30)</f>
        <v>7000</v>
      </c>
      <c r="CP30" s="90" t="n">
        <v>7000</v>
      </c>
      <c r="CQ30" s="13"/>
      <c r="CR30" s="13" t="n">
        <f aca="false">IF('Cash Drivers'!CR$26,Support!CQ30,Support!CS30)</f>
        <v>7000</v>
      </c>
      <c r="CS30" s="89" t="n">
        <v>7000</v>
      </c>
      <c r="CT30" s="12"/>
      <c r="CU30" s="12" t="n">
        <f aca="false">IF('Cash Drivers'!CU$26,Support!CT30,Support!CV30)</f>
        <v>7000</v>
      </c>
      <c r="CV30" s="90" t="n">
        <v>7000</v>
      </c>
      <c r="CW30" s="13"/>
      <c r="CX30" s="13" t="n">
        <f aca="false">IF('Cash Drivers'!CX$26,Support!CW30,Support!CY30)</f>
        <v>7000</v>
      </c>
      <c r="CY30" s="89" t="n">
        <v>7000</v>
      </c>
      <c r="CZ30" s="12"/>
      <c r="DA30" s="12" t="n">
        <f aca="false">IF('Cash Drivers'!DA$26,Support!CZ30,Support!DB30)</f>
        <v>7000</v>
      </c>
      <c r="DB30" s="90" t="n">
        <v>7000</v>
      </c>
      <c r="DC30" s="13"/>
      <c r="DD30" s="13" t="n">
        <f aca="false">IF('Cash Drivers'!DD$26,Support!DC30,Support!DE30)</f>
        <v>7000</v>
      </c>
      <c r="DE30" s="89" t="n">
        <v>7000</v>
      </c>
      <c r="DF30" s="12"/>
      <c r="DG30" s="12" t="n">
        <f aca="false">IF('Cash Drivers'!DG$26,Support!DF30,Support!DH30)</f>
        <v>7000</v>
      </c>
      <c r="DH30" s="90" t="n">
        <v>7000</v>
      </c>
      <c r="DI30" s="89" t="n">
        <v>7000</v>
      </c>
      <c r="DJ30" s="13" t="n">
        <f aca="false">IF('Cash Drivers'!DJ$26,Support!DI30,Support!DK30)</f>
        <v>7000</v>
      </c>
      <c r="DK30" s="89" t="n">
        <v>7000</v>
      </c>
      <c r="DL30" s="90" t="n">
        <v>7000</v>
      </c>
      <c r="DM30" s="12" t="n">
        <f aca="false">IF('Cash Drivers'!DM$26,Support!DL30,Support!DN30)</f>
        <v>7000</v>
      </c>
      <c r="DN30" s="90" t="n">
        <v>7000</v>
      </c>
    </row>
    <row r="31" customFormat="false" ht="15.75" hidden="false" customHeight="true" outlineLevel="0" collapsed="false">
      <c r="A31" s="5" t="s">
        <v>246</v>
      </c>
      <c r="B31" s="12" t="str">
        <f aca="false">IF(COUNT(AR31,AO31,AL31,AI31,AF31,AC31,Z31,W31,T31,Q31,N31,K31)=0,"",SUM(AR31,AO31,AL31,AI31,AF31,AC31,Z31,W31,T31,Q31,N31,K31))</f>
        <v/>
      </c>
      <c r="C31" s="12" t="n">
        <f aca="false">IF(COUNT(AS31,AP31,AM31,AJ31,AG31,AD31,AA31,X31,U31,R31,O31,L31)=0,"",SUM(AS31,AP31,AM31,AJ31,AG31,AD31,AA31,X31,U31,R31,O31,L31))</f>
        <v>84000</v>
      </c>
      <c r="D31" s="12" t="n">
        <f aca="false">IF(COUNT(AT31,AQ31,AN31,AK31,AH31,AE31,AB31,Y31,V31,S31,P31,M31)=0,"",SUM(AT31,AQ31,AN31,AK31,AH31,AE31,AB31,Y31,V31,S31,P31,M31))</f>
        <v>84000</v>
      </c>
      <c r="E31" s="13" t="str">
        <f aca="false">IF(COUNT(CB31,BY31,BV31,BS31,BP31,BM31,BJ31,BG31,BD31,BA31,AX31,AU31)=0,"",SUM(CB31,BY31,BV31,BS31,BP31,BM31,BJ31,BG31,BD31,BA31,AX31,AU31))</f>
        <v/>
      </c>
      <c r="F31" s="13" t="n">
        <f aca="false">IF(COUNT(CC31,BZ31,BW31,BT31,BQ31,BN31,BK31,BH31,BE31,BB31,AY31,AV31)=0,"",SUM(CC31,BZ31,BW31,BT31,BQ31,BN31,BK31,BH31,BE31,BB31,AY31,AV31))</f>
        <v>84000</v>
      </c>
      <c r="G31" s="13" t="n">
        <f aca="false">IF(COUNT(CD31,CA31,BX31,BU31,BR31,BO31,BL31,BI31,BF31,BC31,AZ31,AW31)=0,"",SUM(CD31,CA31,BX31,BU31,BR31,BO31,BL31,BI31,BF31,BC31,AZ31,AW31))</f>
        <v>84000</v>
      </c>
      <c r="H31" s="12" t="n">
        <f aca="false">IF(COUNT(DL31,DI31,DF31,DC31,CZ31,CW31,CT31,CQ31,CN31,CK31,CH31,CE31)=0,"",SUM(DL31,DI31,DF31,DC31,CZ31,CW31,CT31,CQ31,CN31,CK31,CH31,CE31))</f>
        <v>14000</v>
      </c>
      <c r="I31" s="12" t="n">
        <f aca="false">IF(COUNT(DM31,DJ31,DG31,DD31,DA31,CX31,CU31,CR31,CO31,CL31,CI31,CF31)=0,"",SUM(DM31,DJ31,DG31,DD31,DA31,CX31,CU31,CR31,CO31,CL31,CI31,CF31))</f>
        <v>84000</v>
      </c>
      <c r="J31" s="12" t="n">
        <f aca="false">IF(COUNT(DN31,DK31,DH31,DE31,DB31,CY31,CV31,CS31,CP31,CM31,CJ31,CG31)=0,"",SUM(DN31,DK31,DH31,DE31,DB31,CY31,CV31,CS31,CP31,CM31,CJ31,CG31))</f>
        <v>84000</v>
      </c>
      <c r="K31" s="13"/>
      <c r="L31" s="13" t="n">
        <f aca="false">IF('Cash Drivers'!L$26,Support!K31,Support!M31)</f>
        <v>7000</v>
      </c>
      <c r="M31" s="89" t="n">
        <v>7000</v>
      </c>
      <c r="N31" s="12"/>
      <c r="O31" s="12" t="n">
        <f aca="false">IF('Cash Drivers'!O$26,Support!N31,Support!P31)</f>
        <v>7000</v>
      </c>
      <c r="P31" s="90" t="n">
        <v>7000</v>
      </c>
      <c r="Q31" s="13"/>
      <c r="R31" s="13" t="n">
        <f aca="false">IF('Cash Drivers'!R$26,Support!Q31,Support!S31)</f>
        <v>7000</v>
      </c>
      <c r="S31" s="89" t="n">
        <v>7000</v>
      </c>
      <c r="T31" s="12"/>
      <c r="U31" s="12" t="n">
        <f aca="false">IF('Cash Drivers'!U$26,Support!T31,Support!V31)</f>
        <v>7000</v>
      </c>
      <c r="V31" s="90" t="n">
        <v>7000</v>
      </c>
      <c r="W31" s="13"/>
      <c r="X31" s="13" t="n">
        <f aca="false">IF('Cash Drivers'!X$26,Support!W31,Support!Y31)</f>
        <v>7000</v>
      </c>
      <c r="Y31" s="89" t="n">
        <v>7000</v>
      </c>
      <c r="Z31" s="12"/>
      <c r="AA31" s="12" t="n">
        <f aca="false">IF('Cash Drivers'!AA$26,Support!Z31,Support!AB31)</f>
        <v>7000</v>
      </c>
      <c r="AB31" s="90" t="n">
        <v>7000</v>
      </c>
      <c r="AC31" s="13"/>
      <c r="AD31" s="13" t="n">
        <f aca="false">IF('Cash Drivers'!AD$26,Support!AC31,Support!AE31)</f>
        <v>7000</v>
      </c>
      <c r="AE31" s="89" t="n">
        <v>7000</v>
      </c>
      <c r="AF31" s="12"/>
      <c r="AG31" s="12" t="n">
        <f aca="false">IF('Cash Drivers'!AG$26,Support!AF31,Support!AH31)</f>
        <v>7000</v>
      </c>
      <c r="AH31" s="90" t="n">
        <v>7000</v>
      </c>
      <c r="AI31" s="13"/>
      <c r="AJ31" s="13" t="n">
        <f aca="false">IF('Cash Drivers'!AJ$26,Support!AI31,Support!AK31)</f>
        <v>7000</v>
      </c>
      <c r="AK31" s="89" t="n">
        <v>7000</v>
      </c>
      <c r="AL31" s="12"/>
      <c r="AM31" s="12" t="n">
        <f aca="false">IF('Cash Drivers'!AM$26,Support!AL31,Support!AN31)</f>
        <v>7000</v>
      </c>
      <c r="AN31" s="90" t="n">
        <v>7000</v>
      </c>
      <c r="AO31" s="13"/>
      <c r="AP31" s="13" t="n">
        <f aca="false">IF('Cash Drivers'!AP$26,Support!AO31,Support!AQ31)</f>
        <v>7000</v>
      </c>
      <c r="AQ31" s="89" t="n">
        <v>7000</v>
      </c>
      <c r="AR31" s="12"/>
      <c r="AS31" s="12" t="n">
        <f aca="false">IF('Cash Drivers'!AS$26,Support!AR31,Support!AT31)</f>
        <v>7000</v>
      </c>
      <c r="AT31" s="90" t="n">
        <v>7000</v>
      </c>
      <c r="AU31" s="13"/>
      <c r="AV31" s="13" t="n">
        <f aca="false">IF('Cash Drivers'!AV$26,Support!AU31,Support!AW31)</f>
        <v>7000</v>
      </c>
      <c r="AW31" s="89" t="n">
        <v>7000</v>
      </c>
      <c r="AX31" s="12"/>
      <c r="AY31" s="12" t="n">
        <f aca="false">IF('Cash Drivers'!AY$26,Support!AX31,Support!AZ31)</f>
        <v>7000</v>
      </c>
      <c r="AZ31" s="90" t="n">
        <v>7000</v>
      </c>
      <c r="BA31" s="13"/>
      <c r="BB31" s="13" t="n">
        <f aca="false">IF('Cash Drivers'!BB$26,Support!BA31,Support!BC31)</f>
        <v>7000</v>
      </c>
      <c r="BC31" s="89" t="n">
        <v>7000</v>
      </c>
      <c r="BD31" s="12"/>
      <c r="BE31" s="12" t="n">
        <f aca="false">IF('Cash Drivers'!BE$26,Support!BD31,Support!BF31)</f>
        <v>7000</v>
      </c>
      <c r="BF31" s="90" t="n">
        <v>7000</v>
      </c>
      <c r="BG31" s="13"/>
      <c r="BH31" s="13" t="n">
        <f aca="false">IF('Cash Drivers'!BH$26,Support!BG31,Support!BI31)</f>
        <v>7000</v>
      </c>
      <c r="BI31" s="89" t="n">
        <v>7000</v>
      </c>
      <c r="BJ31" s="12"/>
      <c r="BK31" s="12" t="n">
        <f aca="false">IF('Cash Drivers'!BK$26,Support!BJ31,Support!BL31)</f>
        <v>7000</v>
      </c>
      <c r="BL31" s="90" t="n">
        <v>7000</v>
      </c>
      <c r="BM31" s="13"/>
      <c r="BN31" s="13" t="n">
        <f aca="false">IF('Cash Drivers'!BN$26,Support!BM31,Support!BO31)</f>
        <v>7000</v>
      </c>
      <c r="BO31" s="89" t="n">
        <v>7000</v>
      </c>
      <c r="BP31" s="12"/>
      <c r="BQ31" s="12" t="n">
        <f aca="false">IF('Cash Drivers'!BQ$26,Support!BP31,Support!BR31)</f>
        <v>7000</v>
      </c>
      <c r="BR31" s="90" t="n">
        <v>7000</v>
      </c>
      <c r="BS31" s="13"/>
      <c r="BT31" s="13" t="n">
        <f aca="false">IF('Cash Drivers'!BT$26,Support!BS31,Support!BU31)</f>
        <v>7000</v>
      </c>
      <c r="BU31" s="89" t="n">
        <v>7000</v>
      </c>
      <c r="BV31" s="12"/>
      <c r="BW31" s="12" t="n">
        <f aca="false">IF('Cash Drivers'!BW$26,Support!BV31,Support!BX31)</f>
        <v>7000</v>
      </c>
      <c r="BX31" s="90" t="n">
        <v>7000</v>
      </c>
      <c r="BY31" s="13"/>
      <c r="BZ31" s="13" t="n">
        <f aca="false">IF('Cash Drivers'!BZ$26,Support!BY31,Support!CA31)</f>
        <v>7000</v>
      </c>
      <c r="CA31" s="89" t="n">
        <v>7000</v>
      </c>
      <c r="CB31" s="12"/>
      <c r="CC31" s="12" t="n">
        <f aca="false">IF('Cash Drivers'!CC$26,Support!CB31,Support!CD31)</f>
        <v>7000</v>
      </c>
      <c r="CD31" s="90" t="n">
        <v>7000</v>
      </c>
      <c r="CE31" s="13"/>
      <c r="CF31" s="13" t="n">
        <f aca="false">IF('Cash Drivers'!CF$26,Support!CE31,Support!CG31)</f>
        <v>7000</v>
      </c>
      <c r="CG31" s="89" t="n">
        <v>7000</v>
      </c>
      <c r="CH31" s="12"/>
      <c r="CI31" s="12" t="n">
        <f aca="false">IF('Cash Drivers'!CI$26,Support!CH31,Support!CJ31)</f>
        <v>7000</v>
      </c>
      <c r="CJ31" s="90" t="n">
        <v>7000</v>
      </c>
      <c r="CK31" s="13"/>
      <c r="CL31" s="13" t="n">
        <f aca="false">IF('Cash Drivers'!CL$26,Support!CK31,Support!CM31)</f>
        <v>7000</v>
      </c>
      <c r="CM31" s="89" t="n">
        <v>7000</v>
      </c>
      <c r="CN31" s="12"/>
      <c r="CO31" s="12" t="n">
        <f aca="false">IF('Cash Drivers'!CO$26,Support!CN31,Support!CP31)</f>
        <v>7000</v>
      </c>
      <c r="CP31" s="90" t="n">
        <v>7000</v>
      </c>
      <c r="CQ31" s="13"/>
      <c r="CR31" s="13" t="n">
        <f aca="false">IF('Cash Drivers'!CR$26,Support!CQ31,Support!CS31)</f>
        <v>7000</v>
      </c>
      <c r="CS31" s="89" t="n">
        <v>7000</v>
      </c>
      <c r="CT31" s="12"/>
      <c r="CU31" s="12" t="n">
        <f aca="false">IF('Cash Drivers'!CU$26,Support!CT31,Support!CV31)</f>
        <v>7000</v>
      </c>
      <c r="CV31" s="90" t="n">
        <v>7000</v>
      </c>
      <c r="CW31" s="13"/>
      <c r="CX31" s="13" t="n">
        <f aca="false">IF('Cash Drivers'!CX$26,Support!CW31,Support!CY31)</f>
        <v>7000</v>
      </c>
      <c r="CY31" s="89" t="n">
        <v>7000</v>
      </c>
      <c r="CZ31" s="12"/>
      <c r="DA31" s="12" t="n">
        <f aca="false">IF('Cash Drivers'!DA$26,Support!CZ31,Support!DB31)</f>
        <v>7000</v>
      </c>
      <c r="DB31" s="90" t="n">
        <v>7000</v>
      </c>
      <c r="DC31" s="13"/>
      <c r="DD31" s="13" t="n">
        <f aca="false">IF('Cash Drivers'!DD$26,Support!DC31,Support!DE31)</f>
        <v>7000</v>
      </c>
      <c r="DE31" s="89" t="n">
        <v>7000</v>
      </c>
      <c r="DF31" s="12"/>
      <c r="DG31" s="12" t="n">
        <f aca="false">IF('Cash Drivers'!DG$26,Support!DF31,Support!DH31)</f>
        <v>7000</v>
      </c>
      <c r="DH31" s="90" t="n">
        <v>7000</v>
      </c>
      <c r="DI31" s="89" t="n">
        <v>7000</v>
      </c>
      <c r="DJ31" s="13" t="n">
        <f aca="false">IF('Cash Drivers'!DJ$26,Support!DI31,Support!DK31)</f>
        <v>7000</v>
      </c>
      <c r="DK31" s="89" t="n">
        <v>7000</v>
      </c>
      <c r="DL31" s="90" t="n">
        <v>7000</v>
      </c>
      <c r="DM31" s="12" t="n">
        <f aca="false">IF('Cash Drivers'!DM$26,Support!DL31,Support!DN31)</f>
        <v>7000</v>
      </c>
      <c r="DN31" s="90" t="n">
        <v>7000</v>
      </c>
    </row>
    <row r="32" customFormat="false" ht="15.75" hidden="false" customHeight="true" outlineLevel="0" collapsed="false">
      <c r="A32" s="5" t="s">
        <v>246</v>
      </c>
      <c r="B32" s="12" t="str">
        <f aca="false">IF(COUNT(AR32,AO32,AL32,AI32,AF32,AC32,Z32,W32,T32,Q32,N32,K32)=0,"",SUM(AR32,AO32,AL32,AI32,AF32,AC32,Z32,W32,T32,Q32,N32,K32))</f>
        <v/>
      </c>
      <c r="C32" s="12" t="n">
        <f aca="false">IF(COUNT(AS32,AP32,AM32,AJ32,AG32,AD32,AA32,X32,U32,R32,O32,L32)=0,"",SUM(AS32,AP32,AM32,AJ32,AG32,AD32,AA32,X32,U32,R32,O32,L32))</f>
        <v>84000</v>
      </c>
      <c r="D32" s="12" t="n">
        <f aca="false">IF(COUNT(AT32,AQ32,AN32,AK32,AH32,AE32,AB32,Y32,V32,S32,P32,M32)=0,"",SUM(AT32,AQ32,AN32,AK32,AH32,AE32,AB32,Y32,V32,S32,P32,M32))</f>
        <v>84000</v>
      </c>
      <c r="E32" s="13" t="str">
        <f aca="false">IF(COUNT(CB32,BY32,BV32,BS32,BP32,BM32,BJ32,BG32,BD32,BA32,AX32,AU32)=0,"",SUM(CB32,BY32,BV32,BS32,BP32,BM32,BJ32,BG32,BD32,BA32,AX32,AU32))</f>
        <v/>
      </c>
      <c r="F32" s="13" t="n">
        <f aca="false">IF(COUNT(CC32,BZ32,BW32,BT32,BQ32,BN32,BK32,BH32,BE32,BB32,AY32,AV32)=0,"",SUM(CC32,BZ32,BW32,BT32,BQ32,BN32,BK32,BH32,BE32,BB32,AY32,AV32))</f>
        <v>84000</v>
      </c>
      <c r="G32" s="13" t="n">
        <f aca="false">IF(COUNT(CD32,CA32,BX32,BU32,BR32,BO32,BL32,BI32,BF32,BC32,AZ32,AW32)=0,"",SUM(CD32,CA32,BX32,BU32,BR32,BO32,BL32,BI32,BF32,BC32,AZ32,AW32))</f>
        <v>84000</v>
      </c>
      <c r="H32" s="12" t="n">
        <f aca="false">IF(COUNT(DL32,DI32,DF32,DC32,CZ32,CW32,CT32,CQ32,CN32,CK32,CH32,CE32)=0,"",SUM(DL32,DI32,DF32,DC32,CZ32,CW32,CT32,CQ32,CN32,CK32,CH32,CE32))</f>
        <v>14000</v>
      </c>
      <c r="I32" s="12" t="n">
        <f aca="false">IF(COUNT(DM32,DJ32,DG32,DD32,DA32,CX32,CU32,CR32,CO32,CL32,CI32,CF32)=0,"",SUM(DM32,DJ32,DG32,DD32,DA32,CX32,CU32,CR32,CO32,CL32,CI32,CF32))</f>
        <v>84000</v>
      </c>
      <c r="J32" s="12" t="n">
        <f aca="false">IF(COUNT(DN32,DK32,DH32,DE32,DB32,CY32,CV32,CS32,CP32,CM32,CJ32,CG32)=0,"",SUM(DN32,DK32,DH32,DE32,DB32,CY32,CV32,CS32,CP32,CM32,CJ32,CG32))</f>
        <v>84000</v>
      </c>
      <c r="K32" s="13"/>
      <c r="L32" s="13" t="n">
        <f aca="false">IF('Cash Drivers'!L$26,Support!K32,Support!M32)</f>
        <v>7000</v>
      </c>
      <c r="M32" s="89" t="n">
        <v>7000</v>
      </c>
      <c r="N32" s="12"/>
      <c r="O32" s="12" t="n">
        <f aca="false">IF('Cash Drivers'!O$26,Support!N32,Support!P32)</f>
        <v>7000</v>
      </c>
      <c r="P32" s="90" t="n">
        <v>7000</v>
      </c>
      <c r="Q32" s="13"/>
      <c r="R32" s="13" t="n">
        <f aca="false">IF('Cash Drivers'!R$26,Support!Q32,Support!S32)</f>
        <v>7000</v>
      </c>
      <c r="S32" s="89" t="n">
        <v>7000</v>
      </c>
      <c r="T32" s="12"/>
      <c r="U32" s="12" t="n">
        <f aca="false">IF('Cash Drivers'!U$26,Support!T32,Support!V32)</f>
        <v>7000</v>
      </c>
      <c r="V32" s="90" t="n">
        <v>7000</v>
      </c>
      <c r="W32" s="13"/>
      <c r="X32" s="13" t="n">
        <f aca="false">IF('Cash Drivers'!X$26,Support!W32,Support!Y32)</f>
        <v>7000</v>
      </c>
      <c r="Y32" s="89" t="n">
        <v>7000</v>
      </c>
      <c r="Z32" s="12"/>
      <c r="AA32" s="12" t="n">
        <f aca="false">IF('Cash Drivers'!AA$26,Support!Z32,Support!AB32)</f>
        <v>7000</v>
      </c>
      <c r="AB32" s="90" t="n">
        <v>7000</v>
      </c>
      <c r="AC32" s="13"/>
      <c r="AD32" s="13" t="n">
        <f aca="false">IF('Cash Drivers'!AD$26,Support!AC32,Support!AE32)</f>
        <v>7000</v>
      </c>
      <c r="AE32" s="89" t="n">
        <v>7000</v>
      </c>
      <c r="AF32" s="12"/>
      <c r="AG32" s="12" t="n">
        <f aca="false">IF('Cash Drivers'!AG$26,Support!AF32,Support!AH32)</f>
        <v>7000</v>
      </c>
      <c r="AH32" s="90" t="n">
        <v>7000</v>
      </c>
      <c r="AI32" s="13"/>
      <c r="AJ32" s="13" t="n">
        <f aca="false">IF('Cash Drivers'!AJ$26,Support!AI32,Support!AK32)</f>
        <v>7000</v>
      </c>
      <c r="AK32" s="89" t="n">
        <v>7000</v>
      </c>
      <c r="AL32" s="12"/>
      <c r="AM32" s="12" t="n">
        <f aca="false">IF('Cash Drivers'!AM$26,Support!AL32,Support!AN32)</f>
        <v>7000</v>
      </c>
      <c r="AN32" s="90" t="n">
        <v>7000</v>
      </c>
      <c r="AO32" s="13"/>
      <c r="AP32" s="13" t="n">
        <f aca="false">IF('Cash Drivers'!AP$26,Support!AO32,Support!AQ32)</f>
        <v>7000</v>
      </c>
      <c r="AQ32" s="89" t="n">
        <v>7000</v>
      </c>
      <c r="AR32" s="12"/>
      <c r="AS32" s="12" t="n">
        <f aca="false">IF('Cash Drivers'!AS$26,Support!AR32,Support!AT32)</f>
        <v>7000</v>
      </c>
      <c r="AT32" s="90" t="n">
        <v>7000</v>
      </c>
      <c r="AU32" s="13"/>
      <c r="AV32" s="13" t="n">
        <f aca="false">IF('Cash Drivers'!AV$26,Support!AU32,Support!AW32)</f>
        <v>7000</v>
      </c>
      <c r="AW32" s="89" t="n">
        <v>7000</v>
      </c>
      <c r="AX32" s="12"/>
      <c r="AY32" s="12" t="n">
        <f aca="false">IF('Cash Drivers'!AY$26,Support!AX32,Support!AZ32)</f>
        <v>7000</v>
      </c>
      <c r="AZ32" s="90" t="n">
        <v>7000</v>
      </c>
      <c r="BA32" s="13"/>
      <c r="BB32" s="13" t="n">
        <f aca="false">IF('Cash Drivers'!BB$26,Support!BA32,Support!BC32)</f>
        <v>7000</v>
      </c>
      <c r="BC32" s="89" t="n">
        <v>7000</v>
      </c>
      <c r="BD32" s="12"/>
      <c r="BE32" s="12" t="n">
        <f aca="false">IF('Cash Drivers'!BE$26,Support!BD32,Support!BF32)</f>
        <v>7000</v>
      </c>
      <c r="BF32" s="90" t="n">
        <v>7000</v>
      </c>
      <c r="BG32" s="13"/>
      <c r="BH32" s="13" t="n">
        <f aca="false">IF('Cash Drivers'!BH$26,Support!BG32,Support!BI32)</f>
        <v>7000</v>
      </c>
      <c r="BI32" s="89" t="n">
        <v>7000</v>
      </c>
      <c r="BJ32" s="12"/>
      <c r="BK32" s="12" t="n">
        <f aca="false">IF('Cash Drivers'!BK$26,Support!BJ32,Support!BL32)</f>
        <v>7000</v>
      </c>
      <c r="BL32" s="90" t="n">
        <v>7000</v>
      </c>
      <c r="BM32" s="13"/>
      <c r="BN32" s="13" t="n">
        <f aca="false">IF('Cash Drivers'!BN$26,Support!BM32,Support!BO32)</f>
        <v>7000</v>
      </c>
      <c r="BO32" s="89" t="n">
        <v>7000</v>
      </c>
      <c r="BP32" s="12"/>
      <c r="BQ32" s="12" t="n">
        <f aca="false">IF('Cash Drivers'!BQ$26,Support!BP32,Support!BR32)</f>
        <v>7000</v>
      </c>
      <c r="BR32" s="90" t="n">
        <v>7000</v>
      </c>
      <c r="BS32" s="13"/>
      <c r="BT32" s="13" t="n">
        <f aca="false">IF('Cash Drivers'!BT$26,Support!BS32,Support!BU32)</f>
        <v>7000</v>
      </c>
      <c r="BU32" s="89" t="n">
        <v>7000</v>
      </c>
      <c r="BV32" s="12"/>
      <c r="BW32" s="12" t="n">
        <f aca="false">IF('Cash Drivers'!BW$26,Support!BV32,Support!BX32)</f>
        <v>7000</v>
      </c>
      <c r="BX32" s="90" t="n">
        <v>7000</v>
      </c>
      <c r="BY32" s="13"/>
      <c r="BZ32" s="13" t="n">
        <f aca="false">IF('Cash Drivers'!BZ$26,Support!BY32,Support!CA32)</f>
        <v>7000</v>
      </c>
      <c r="CA32" s="89" t="n">
        <v>7000</v>
      </c>
      <c r="CB32" s="12"/>
      <c r="CC32" s="12" t="n">
        <f aca="false">IF('Cash Drivers'!CC$26,Support!CB32,Support!CD32)</f>
        <v>7000</v>
      </c>
      <c r="CD32" s="90" t="n">
        <v>7000</v>
      </c>
      <c r="CE32" s="13"/>
      <c r="CF32" s="13" t="n">
        <f aca="false">IF('Cash Drivers'!CF$26,Support!CE32,Support!CG32)</f>
        <v>7000</v>
      </c>
      <c r="CG32" s="89" t="n">
        <v>7000</v>
      </c>
      <c r="CH32" s="12"/>
      <c r="CI32" s="12" t="n">
        <f aca="false">IF('Cash Drivers'!CI$26,Support!CH32,Support!CJ32)</f>
        <v>7000</v>
      </c>
      <c r="CJ32" s="90" t="n">
        <v>7000</v>
      </c>
      <c r="CK32" s="13"/>
      <c r="CL32" s="13" t="n">
        <f aca="false">IF('Cash Drivers'!CL$26,Support!CK32,Support!CM32)</f>
        <v>7000</v>
      </c>
      <c r="CM32" s="89" t="n">
        <v>7000</v>
      </c>
      <c r="CN32" s="12"/>
      <c r="CO32" s="12" t="n">
        <f aca="false">IF('Cash Drivers'!CO$26,Support!CN32,Support!CP32)</f>
        <v>7000</v>
      </c>
      <c r="CP32" s="90" t="n">
        <v>7000</v>
      </c>
      <c r="CQ32" s="13"/>
      <c r="CR32" s="13" t="n">
        <f aca="false">IF('Cash Drivers'!CR$26,Support!CQ32,Support!CS32)</f>
        <v>7000</v>
      </c>
      <c r="CS32" s="89" t="n">
        <v>7000</v>
      </c>
      <c r="CT32" s="12"/>
      <c r="CU32" s="12" t="n">
        <f aca="false">IF('Cash Drivers'!CU$26,Support!CT32,Support!CV32)</f>
        <v>7000</v>
      </c>
      <c r="CV32" s="90" t="n">
        <v>7000</v>
      </c>
      <c r="CW32" s="13"/>
      <c r="CX32" s="13" t="n">
        <f aca="false">IF('Cash Drivers'!CX$26,Support!CW32,Support!CY32)</f>
        <v>7000</v>
      </c>
      <c r="CY32" s="89" t="n">
        <v>7000</v>
      </c>
      <c r="CZ32" s="12"/>
      <c r="DA32" s="12" t="n">
        <f aca="false">IF('Cash Drivers'!DA$26,Support!CZ32,Support!DB32)</f>
        <v>7000</v>
      </c>
      <c r="DB32" s="90" t="n">
        <v>7000</v>
      </c>
      <c r="DC32" s="13"/>
      <c r="DD32" s="13" t="n">
        <f aca="false">IF('Cash Drivers'!DD$26,Support!DC32,Support!DE32)</f>
        <v>7000</v>
      </c>
      <c r="DE32" s="89" t="n">
        <v>7000</v>
      </c>
      <c r="DF32" s="12"/>
      <c r="DG32" s="12" t="n">
        <f aca="false">IF('Cash Drivers'!DG$26,Support!DF32,Support!DH32)</f>
        <v>7000</v>
      </c>
      <c r="DH32" s="90" t="n">
        <v>7000</v>
      </c>
      <c r="DI32" s="89" t="n">
        <v>7000</v>
      </c>
      <c r="DJ32" s="13" t="n">
        <f aca="false">IF('Cash Drivers'!DJ$26,Support!DI32,Support!DK32)</f>
        <v>7000</v>
      </c>
      <c r="DK32" s="89" t="n">
        <v>7000</v>
      </c>
      <c r="DL32" s="90" t="n">
        <v>7000</v>
      </c>
      <c r="DM32" s="12" t="n">
        <f aca="false">IF('Cash Drivers'!DM$26,Support!DL32,Support!DN32)</f>
        <v>7000</v>
      </c>
      <c r="DN32" s="90" t="n">
        <v>7000</v>
      </c>
    </row>
    <row r="33" customFormat="false" ht="15.75" hidden="false" customHeight="true" outlineLevel="0" collapsed="false">
      <c r="A33" s="5" t="s">
        <v>246</v>
      </c>
      <c r="B33" s="12" t="str">
        <f aca="false">IF(COUNT(AR33,AO33,AL33,AI33,AF33,AC33,Z33,W33,T33,Q33,N33,K33)=0,"",SUM(AR33,AO33,AL33,AI33,AF33,AC33,Z33,W33,T33,Q33,N33,K33))</f>
        <v/>
      </c>
      <c r="C33" s="12" t="n">
        <f aca="false">IF(COUNT(AS33,AP33,AM33,AJ33,AG33,AD33,AA33,X33,U33,R33,O33,L33)=0,"",SUM(AS33,AP33,AM33,AJ33,AG33,AD33,AA33,X33,U33,R33,O33,L33))</f>
        <v>84000</v>
      </c>
      <c r="D33" s="12" t="n">
        <f aca="false">IF(COUNT(AT33,AQ33,AN33,AK33,AH33,AE33,AB33,Y33,V33,S33,P33,M33)=0,"",SUM(AT33,AQ33,AN33,AK33,AH33,AE33,AB33,Y33,V33,S33,P33,M33))</f>
        <v>84000</v>
      </c>
      <c r="E33" s="13" t="str">
        <f aca="false">IF(COUNT(CB33,BY33,BV33,BS33,BP33,BM33,BJ33,BG33,BD33,BA33,AX33,AU33)=0,"",SUM(CB33,BY33,BV33,BS33,BP33,BM33,BJ33,BG33,BD33,BA33,AX33,AU33))</f>
        <v/>
      </c>
      <c r="F33" s="13" t="n">
        <f aca="false">IF(COUNT(CC33,BZ33,BW33,BT33,BQ33,BN33,BK33,BH33,BE33,BB33,AY33,AV33)=0,"",SUM(CC33,BZ33,BW33,BT33,BQ33,BN33,BK33,BH33,BE33,BB33,AY33,AV33))</f>
        <v>84000</v>
      </c>
      <c r="G33" s="13" t="n">
        <f aca="false">IF(COUNT(CD33,CA33,BX33,BU33,BR33,BO33,BL33,BI33,BF33,BC33,AZ33,AW33)=0,"",SUM(CD33,CA33,BX33,BU33,BR33,BO33,BL33,BI33,BF33,BC33,AZ33,AW33))</f>
        <v>84000</v>
      </c>
      <c r="H33" s="12" t="n">
        <f aca="false">IF(COUNT(DL33,DI33,DF33,DC33,CZ33,CW33,CT33,CQ33,CN33,CK33,CH33,CE33)=0,"",SUM(DL33,DI33,DF33,DC33,CZ33,CW33,CT33,CQ33,CN33,CK33,CH33,CE33))</f>
        <v>14000</v>
      </c>
      <c r="I33" s="12" t="n">
        <f aca="false">IF(COUNT(DM33,DJ33,DG33,DD33,DA33,CX33,CU33,CR33,CO33,CL33,CI33,CF33)=0,"",SUM(DM33,DJ33,DG33,DD33,DA33,CX33,CU33,CR33,CO33,CL33,CI33,CF33))</f>
        <v>84000</v>
      </c>
      <c r="J33" s="12" t="n">
        <f aca="false">IF(COUNT(DN33,DK33,DH33,DE33,DB33,CY33,CV33,CS33,CP33,CM33,CJ33,CG33)=0,"",SUM(DN33,DK33,DH33,DE33,DB33,CY33,CV33,CS33,CP33,CM33,CJ33,CG33))</f>
        <v>84000</v>
      </c>
      <c r="K33" s="13"/>
      <c r="L33" s="13" t="n">
        <f aca="false">IF('Cash Drivers'!L$26,Support!K33,Support!M33)</f>
        <v>7000</v>
      </c>
      <c r="M33" s="89" t="n">
        <v>7000</v>
      </c>
      <c r="N33" s="12"/>
      <c r="O33" s="12" t="n">
        <f aca="false">IF('Cash Drivers'!O$26,Support!N33,Support!P33)</f>
        <v>7000</v>
      </c>
      <c r="P33" s="90" t="n">
        <v>7000</v>
      </c>
      <c r="Q33" s="13"/>
      <c r="R33" s="13" t="n">
        <f aca="false">IF('Cash Drivers'!R$26,Support!Q33,Support!S33)</f>
        <v>7000</v>
      </c>
      <c r="S33" s="89" t="n">
        <v>7000</v>
      </c>
      <c r="T33" s="12"/>
      <c r="U33" s="12" t="n">
        <f aca="false">IF('Cash Drivers'!U$26,Support!T33,Support!V33)</f>
        <v>7000</v>
      </c>
      <c r="V33" s="90" t="n">
        <v>7000</v>
      </c>
      <c r="W33" s="13"/>
      <c r="X33" s="13" t="n">
        <f aca="false">IF('Cash Drivers'!X$26,Support!W33,Support!Y33)</f>
        <v>7000</v>
      </c>
      <c r="Y33" s="89" t="n">
        <v>7000</v>
      </c>
      <c r="Z33" s="12"/>
      <c r="AA33" s="12" t="n">
        <f aca="false">IF('Cash Drivers'!AA$26,Support!Z33,Support!AB33)</f>
        <v>7000</v>
      </c>
      <c r="AB33" s="90" t="n">
        <v>7000</v>
      </c>
      <c r="AC33" s="13"/>
      <c r="AD33" s="13" t="n">
        <f aca="false">IF('Cash Drivers'!AD$26,Support!AC33,Support!AE33)</f>
        <v>7000</v>
      </c>
      <c r="AE33" s="89" t="n">
        <v>7000</v>
      </c>
      <c r="AF33" s="12"/>
      <c r="AG33" s="12" t="n">
        <f aca="false">IF('Cash Drivers'!AG$26,Support!AF33,Support!AH33)</f>
        <v>7000</v>
      </c>
      <c r="AH33" s="90" t="n">
        <v>7000</v>
      </c>
      <c r="AI33" s="13"/>
      <c r="AJ33" s="13" t="n">
        <f aca="false">IF('Cash Drivers'!AJ$26,Support!AI33,Support!AK33)</f>
        <v>7000</v>
      </c>
      <c r="AK33" s="89" t="n">
        <v>7000</v>
      </c>
      <c r="AL33" s="12"/>
      <c r="AM33" s="12" t="n">
        <f aca="false">IF('Cash Drivers'!AM$26,Support!AL33,Support!AN33)</f>
        <v>7000</v>
      </c>
      <c r="AN33" s="90" t="n">
        <v>7000</v>
      </c>
      <c r="AO33" s="13"/>
      <c r="AP33" s="13" t="n">
        <f aca="false">IF('Cash Drivers'!AP$26,Support!AO33,Support!AQ33)</f>
        <v>7000</v>
      </c>
      <c r="AQ33" s="89" t="n">
        <v>7000</v>
      </c>
      <c r="AR33" s="12"/>
      <c r="AS33" s="12" t="n">
        <f aca="false">IF('Cash Drivers'!AS$26,Support!AR33,Support!AT33)</f>
        <v>7000</v>
      </c>
      <c r="AT33" s="90" t="n">
        <v>7000</v>
      </c>
      <c r="AU33" s="13"/>
      <c r="AV33" s="13" t="n">
        <f aca="false">IF('Cash Drivers'!AV$26,Support!AU33,Support!AW33)</f>
        <v>7000</v>
      </c>
      <c r="AW33" s="89" t="n">
        <v>7000</v>
      </c>
      <c r="AX33" s="12"/>
      <c r="AY33" s="12" t="n">
        <f aca="false">IF('Cash Drivers'!AY$26,Support!AX33,Support!AZ33)</f>
        <v>7000</v>
      </c>
      <c r="AZ33" s="90" t="n">
        <v>7000</v>
      </c>
      <c r="BA33" s="13"/>
      <c r="BB33" s="13" t="n">
        <f aca="false">IF('Cash Drivers'!BB$26,Support!BA33,Support!BC33)</f>
        <v>7000</v>
      </c>
      <c r="BC33" s="89" t="n">
        <v>7000</v>
      </c>
      <c r="BD33" s="12"/>
      <c r="BE33" s="12" t="n">
        <f aca="false">IF('Cash Drivers'!BE$26,Support!BD33,Support!BF33)</f>
        <v>7000</v>
      </c>
      <c r="BF33" s="90" t="n">
        <v>7000</v>
      </c>
      <c r="BG33" s="13"/>
      <c r="BH33" s="13" t="n">
        <f aca="false">IF('Cash Drivers'!BH$26,Support!BG33,Support!BI33)</f>
        <v>7000</v>
      </c>
      <c r="BI33" s="89" t="n">
        <v>7000</v>
      </c>
      <c r="BJ33" s="12"/>
      <c r="BK33" s="12" t="n">
        <f aca="false">IF('Cash Drivers'!BK$26,Support!BJ33,Support!BL33)</f>
        <v>7000</v>
      </c>
      <c r="BL33" s="90" t="n">
        <v>7000</v>
      </c>
      <c r="BM33" s="13"/>
      <c r="BN33" s="13" t="n">
        <f aca="false">IF('Cash Drivers'!BN$26,Support!BM33,Support!BO33)</f>
        <v>7000</v>
      </c>
      <c r="BO33" s="89" t="n">
        <v>7000</v>
      </c>
      <c r="BP33" s="12"/>
      <c r="BQ33" s="12" t="n">
        <f aca="false">IF('Cash Drivers'!BQ$26,Support!BP33,Support!BR33)</f>
        <v>7000</v>
      </c>
      <c r="BR33" s="90" t="n">
        <v>7000</v>
      </c>
      <c r="BS33" s="13"/>
      <c r="BT33" s="13" t="n">
        <f aca="false">IF('Cash Drivers'!BT$26,Support!BS33,Support!BU33)</f>
        <v>7000</v>
      </c>
      <c r="BU33" s="89" t="n">
        <v>7000</v>
      </c>
      <c r="BV33" s="12"/>
      <c r="BW33" s="12" t="n">
        <f aca="false">IF('Cash Drivers'!BW$26,Support!BV33,Support!BX33)</f>
        <v>7000</v>
      </c>
      <c r="BX33" s="90" t="n">
        <v>7000</v>
      </c>
      <c r="BY33" s="13"/>
      <c r="BZ33" s="13" t="n">
        <f aca="false">IF('Cash Drivers'!BZ$26,Support!BY33,Support!CA33)</f>
        <v>7000</v>
      </c>
      <c r="CA33" s="89" t="n">
        <v>7000</v>
      </c>
      <c r="CB33" s="12"/>
      <c r="CC33" s="12" t="n">
        <f aca="false">IF('Cash Drivers'!CC$26,Support!CB33,Support!CD33)</f>
        <v>7000</v>
      </c>
      <c r="CD33" s="90" t="n">
        <v>7000</v>
      </c>
      <c r="CE33" s="13"/>
      <c r="CF33" s="13" t="n">
        <f aca="false">IF('Cash Drivers'!CF$26,Support!CE33,Support!CG33)</f>
        <v>7000</v>
      </c>
      <c r="CG33" s="89" t="n">
        <v>7000</v>
      </c>
      <c r="CH33" s="12"/>
      <c r="CI33" s="12" t="n">
        <f aca="false">IF('Cash Drivers'!CI$26,Support!CH33,Support!CJ33)</f>
        <v>7000</v>
      </c>
      <c r="CJ33" s="90" t="n">
        <v>7000</v>
      </c>
      <c r="CK33" s="13"/>
      <c r="CL33" s="13" t="n">
        <f aca="false">IF('Cash Drivers'!CL$26,Support!CK33,Support!CM33)</f>
        <v>7000</v>
      </c>
      <c r="CM33" s="89" t="n">
        <v>7000</v>
      </c>
      <c r="CN33" s="12"/>
      <c r="CO33" s="12" t="n">
        <f aca="false">IF('Cash Drivers'!CO$26,Support!CN33,Support!CP33)</f>
        <v>7000</v>
      </c>
      <c r="CP33" s="90" t="n">
        <v>7000</v>
      </c>
      <c r="CQ33" s="13"/>
      <c r="CR33" s="13" t="n">
        <f aca="false">IF('Cash Drivers'!CR$26,Support!CQ33,Support!CS33)</f>
        <v>7000</v>
      </c>
      <c r="CS33" s="89" t="n">
        <v>7000</v>
      </c>
      <c r="CT33" s="12"/>
      <c r="CU33" s="12" t="n">
        <f aca="false">IF('Cash Drivers'!CU$26,Support!CT33,Support!CV33)</f>
        <v>7000</v>
      </c>
      <c r="CV33" s="90" t="n">
        <v>7000</v>
      </c>
      <c r="CW33" s="13"/>
      <c r="CX33" s="13" t="n">
        <f aca="false">IF('Cash Drivers'!CX$26,Support!CW33,Support!CY33)</f>
        <v>7000</v>
      </c>
      <c r="CY33" s="89" t="n">
        <v>7000</v>
      </c>
      <c r="CZ33" s="12"/>
      <c r="DA33" s="12" t="n">
        <f aca="false">IF('Cash Drivers'!DA$26,Support!CZ33,Support!DB33)</f>
        <v>7000</v>
      </c>
      <c r="DB33" s="90" t="n">
        <v>7000</v>
      </c>
      <c r="DC33" s="13"/>
      <c r="DD33" s="13" t="n">
        <f aca="false">IF('Cash Drivers'!DD$26,Support!DC33,Support!DE33)</f>
        <v>7000</v>
      </c>
      <c r="DE33" s="89" t="n">
        <v>7000</v>
      </c>
      <c r="DF33" s="12"/>
      <c r="DG33" s="12" t="n">
        <f aca="false">IF('Cash Drivers'!DG$26,Support!DF33,Support!DH33)</f>
        <v>7000</v>
      </c>
      <c r="DH33" s="90" t="n">
        <v>7000</v>
      </c>
      <c r="DI33" s="89" t="n">
        <v>7000</v>
      </c>
      <c r="DJ33" s="13" t="n">
        <f aca="false">IF('Cash Drivers'!DJ$26,Support!DI33,Support!DK33)</f>
        <v>7000</v>
      </c>
      <c r="DK33" s="89" t="n">
        <v>7000</v>
      </c>
      <c r="DL33" s="90" t="n">
        <v>7000</v>
      </c>
      <c r="DM33" s="12" t="n">
        <f aca="false">IF('Cash Drivers'!DM$26,Support!DL33,Support!DN33)</f>
        <v>7000</v>
      </c>
      <c r="DN33" s="90" t="n">
        <v>7000</v>
      </c>
    </row>
    <row r="34" customFormat="false" ht="15.75" hidden="false" customHeight="true" outlineLevel="0" collapsed="false">
      <c r="A34" s="5" t="s">
        <v>246</v>
      </c>
      <c r="B34" s="12" t="str">
        <f aca="false">IF(COUNT(AR34,AO34,AL34,AI34,AF34,AC34,Z34,W34,T34,Q34,N34,K34)=0,"",SUM(AR34,AO34,AL34,AI34,AF34,AC34,Z34,W34,T34,Q34,N34,K34))</f>
        <v/>
      </c>
      <c r="C34" s="12" t="n">
        <f aca="false">IF(COUNT(AS34,AP34,AM34,AJ34,AG34,AD34,AA34,X34,U34,R34,O34,L34)=0,"",SUM(AS34,AP34,AM34,AJ34,AG34,AD34,AA34,X34,U34,R34,O34,L34))</f>
        <v>84000</v>
      </c>
      <c r="D34" s="12" t="n">
        <f aca="false">IF(COUNT(AT34,AQ34,AN34,AK34,AH34,AE34,AB34,Y34,V34,S34,P34,M34)=0,"",SUM(AT34,AQ34,AN34,AK34,AH34,AE34,AB34,Y34,V34,S34,P34,M34))</f>
        <v>84000</v>
      </c>
      <c r="E34" s="13" t="str">
        <f aca="false">IF(COUNT(CB34,BY34,BV34,BS34,BP34,BM34,BJ34,BG34,BD34,BA34,AX34,AU34)=0,"",SUM(CB34,BY34,BV34,BS34,BP34,BM34,BJ34,BG34,BD34,BA34,AX34,AU34))</f>
        <v/>
      </c>
      <c r="F34" s="13" t="n">
        <f aca="false">IF(COUNT(CC34,BZ34,BW34,BT34,BQ34,BN34,BK34,BH34,BE34,BB34,AY34,AV34)=0,"",SUM(CC34,BZ34,BW34,BT34,BQ34,BN34,BK34,BH34,BE34,BB34,AY34,AV34))</f>
        <v>84000</v>
      </c>
      <c r="G34" s="13" t="n">
        <f aca="false">IF(COUNT(CD34,CA34,BX34,BU34,BR34,BO34,BL34,BI34,BF34,BC34,AZ34,AW34)=0,"",SUM(CD34,CA34,BX34,BU34,BR34,BO34,BL34,BI34,BF34,BC34,AZ34,AW34))</f>
        <v>84000</v>
      </c>
      <c r="H34" s="12" t="n">
        <f aca="false">IF(COUNT(DL34,DI34,DF34,DC34,CZ34,CW34,CT34,CQ34,CN34,CK34,CH34,CE34)=0,"",SUM(DL34,DI34,DF34,DC34,CZ34,CW34,CT34,CQ34,CN34,CK34,CH34,CE34))</f>
        <v>14000</v>
      </c>
      <c r="I34" s="12" t="n">
        <f aca="false">IF(COUNT(DM34,DJ34,DG34,DD34,DA34,CX34,CU34,CR34,CO34,CL34,CI34,CF34)=0,"",SUM(DM34,DJ34,DG34,DD34,DA34,CX34,CU34,CR34,CO34,CL34,CI34,CF34))</f>
        <v>84000</v>
      </c>
      <c r="J34" s="12" t="n">
        <f aca="false">IF(COUNT(DN34,DK34,DH34,DE34,DB34,CY34,CV34,CS34,CP34,CM34,CJ34,CG34)=0,"",SUM(DN34,DK34,DH34,DE34,DB34,CY34,CV34,CS34,CP34,CM34,CJ34,CG34))</f>
        <v>84000</v>
      </c>
      <c r="K34" s="13"/>
      <c r="L34" s="13" t="n">
        <f aca="false">IF('Cash Drivers'!L$26,Support!K34,Support!M34)</f>
        <v>7000</v>
      </c>
      <c r="M34" s="89" t="n">
        <v>7000</v>
      </c>
      <c r="N34" s="12"/>
      <c r="O34" s="12" t="n">
        <f aca="false">IF('Cash Drivers'!O$26,Support!N34,Support!P34)</f>
        <v>7000</v>
      </c>
      <c r="P34" s="90" t="n">
        <v>7000</v>
      </c>
      <c r="Q34" s="13"/>
      <c r="R34" s="13" t="n">
        <f aca="false">IF('Cash Drivers'!R$26,Support!Q34,Support!S34)</f>
        <v>7000</v>
      </c>
      <c r="S34" s="89" t="n">
        <v>7000</v>
      </c>
      <c r="T34" s="12"/>
      <c r="U34" s="12" t="n">
        <f aca="false">IF('Cash Drivers'!U$26,Support!T34,Support!V34)</f>
        <v>7000</v>
      </c>
      <c r="V34" s="90" t="n">
        <v>7000</v>
      </c>
      <c r="W34" s="13"/>
      <c r="X34" s="13" t="n">
        <f aca="false">IF('Cash Drivers'!X$26,Support!W34,Support!Y34)</f>
        <v>7000</v>
      </c>
      <c r="Y34" s="89" t="n">
        <v>7000</v>
      </c>
      <c r="Z34" s="12"/>
      <c r="AA34" s="12" t="n">
        <f aca="false">IF('Cash Drivers'!AA$26,Support!Z34,Support!AB34)</f>
        <v>7000</v>
      </c>
      <c r="AB34" s="90" t="n">
        <v>7000</v>
      </c>
      <c r="AC34" s="13"/>
      <c r="AD34" s="13" t="n">
        <f aca="false">IF('Cash Drivers'!AD$26,Support!AC34,Support!AE34)</f>
        <v>7000</v>
      </c>
      <c r="AE34" s="89" t="n">
        <v>7000</v>
      </c>
      <c r="AF34" s="12"/>
      <c r="AG34" s="12" t="n">
        <f aca="false">IF('Cash Drivers'!AG$26,Support!AF34,Support!AH34)</f>
        <v>7000</v>
      </c>
      <c r="AH34" s="90" t="n">
        <v>7000</v>
      </c>
      <c r="AI34" s="13"/>
      <c r="AJ34" s="13" t="n">
        <f aca="false">IF('Cash Drivers'!AJ$26,Support!AI34,Support!AK34)</f>
        <v>7000</v>
      </c>
      <c r="AK34" s="89" t="n">
        <v>7000</v>
      </c>
      <c r="AL34" s="12"/>
      <c r="AM34" s="12" t="n">
        <f aca="false">IF('Cash Drivers'!AM$26,Support!AL34,Support!AN34)</f>
        <v>7000</v>
      </c>
      <c r="AN34" s="90" t="n">
        <v>7000</v>
      </c>
      <c r="AO34" s="13"/>
      <c r="AP34" s="13" t="n">
        <f aca="false">IF('Cash Drivers'!AP$26,Support!AO34,Support!AQ34)</f>
        <v>7000</v>
      </c>
      <c r="AQ34" s="89" t="n">
        <v>7000</v>
      </c>
      <c r="AR34" s="12"/>
      <c r="AS34" s="12" t="n">
        <f aca="false">IF('Cash Drivers'!AS$26,Support!AR34,Support!AT34)</f>
        <v>7000</v>
      </c>
      <c r="AT34" s="90" t="n">
        <v>7000</v>
      </c>
      <c r="AU34" s="13"/>
      <c r="AV34" s="13" t="n">
        <f aca="false">IF('Cash Drivers'!AV$26,Support!AU34,Support!AW34)</f>
        <v>7000</v>
      </c>
      <c r="AW34" s="89" t="n">
        <v>7000</v>
      </c>
      <c r="AX34" s="12"/>
      <c r="AY34" s="12" t="n">
        <f aca="false">IF('Cash Drivers'!AY$26,Support!AX34,Support!AZ34)</f>
        <v>7000</v>
      </c>
      <c r="AZ34" s="90" t="n">
        <v>7000</v>
      </c>
      <c r="BA34" s="13"/>
      <c r="BB34" s="13" t="n">
        <f aca="false">IF('Cash Drivers'!BB$26,Support!BA34,Support!BC34)</f>
        <v>7000</v>
      </c>
      <c r="BC34" s="89" t="n">
        <v>7000</v>
      </c>
      <c r="BD34" s="12"/>
      <c r="BE34" s="12" t="n">
        <f aca="false">IF('Cash Drivers'!BE$26,Support!BD34,Support!BF34)</f>
        <v>7000</v>
      </c>
      <c r="BF34" s="90" t="n">
        <v>7000</v>
      </c>
      <c r="BG34" s="13"/>
      <c r="BH34" s="13" t="n">
        <f aca="false">IF('Cash Drivers'!BH$26,Support!BG34,Support!BI34)</f>
        <v>7000</v>
      </c>
      <c r="BI34" s="89" t="n">
        <v>7000</v>
      </c>
      <c r="BJ34" s="12"/>
      <c r="BK34" s="12" t="n">
        <f aca="false">IF('Cash Drivers'!BK$26,Support!BJ34,Support!BL34)</f>
        <v>7000</v>
      </c>
      <c r="BL34" s="90" t="n">
        <v>7000</v>
      </c>
      <c r="BM34" s="13"/>
      <c r="BN34" s="13" t="n">
        <f aca="false">IF('Cash Drivers'!BN$26,Support!BM34,Support!BO34)</f>
        <v>7000</v>
      </c>
      <c r="BO34" s="89" t="n">
        <v>7000</v>
      </c>
      <c r="BP34" s="12"/>
      <c r="BQ34" s="12" t="n">
        <f aca="false">IF('Cash Drivers'!BQ$26,Support!BP34,Support!BR34)</f>
        <v>7000</v>
      </c>
      <c r="BR34" s="90" t="n">
        <v>7000</v>
      </c>
      <c r="BS34" s="13"/>
      <c r="BT34" s="13" t="n">
        <f aca="false">IF('Cash Drivers'!BT$26,Support!BS34,Support!BU34)</f>
        <v>7000</v>
      </c>
      <c r="BU34" s="89" t="n">
        <v>7000</v>
      </c>
      <c r="BV34" s="12"/>
      <c r="BW34" s="12" t="n">
        <f aca="false">IF('Cash Drivers'!BW$26,Support!BV34,Support!BX34)</f>
        <v>7000</v>
      </c>
      <c r="BX34" s="90" t="n">
        <v>7000</v>
      </c>
      <c r="BY34" s="13"/>
      <c r="BZ34" s="13" t="n">
        <f aca="false">IF('Cash Drivers'!BZ$26,Support!BY34,Support!CA34)</f>
        <v>7000</v>
      </c>
      <c r="CA34" s="89" t="n">
        <v>7000</v>
      </c>
      <c r="CB34" s="12"/>
      <c r="CC34" s="12" t="n">
        <f aca="false">IF('Cash Drivers'!CC$26,Support!CB34,Support!CD34)</f>
        <v>7000</v>
      </c>
      <c r="CD34" s="90" t="n">
        <v>7000</v>
      </c>
      <c r="CE34" s="13"/>
      <c r="CF34" s="13" t="n">
        <f aca="false">IF('Cash Drivers'!CF$26,Support!CE34,Support!CG34)</f>
        <v>7000</v>
      </c>
      <c r="CG34" s="89" t="n">
        <v>7000</v>
      </c>
      <c r="CH34" s="12"/>
      <c r="CI34" s="12" t="n">
        <f aca="false">IF('Cash Drivers'!CI$26,Support!CH34,Support!CJ34)</f>
        <v>7000</v>
      </c>
      <c r="CJ34" s="90" t="n">
        <v>7000</v>
      </c>
      <c r="CK34" s="13"/>
      <c r="CL34" s="13" t="n">
        <f aca="false">IF('Cash Drivers'!CL$26,Support!CK34,Support!CM34)</f>
        <v>7000</v>
      </c>
      <c r="CM34" s="89" t="n">
        <v>7000</v>
      </c>
      <c r="CN34" s="12"/>
      <c r="CO34" s="12" t="n">
        <f aca="false">IF('Cash Drivers'!CO$26,Support!CN34,Support!CP34)</f>
        <v>7000</v>
      </c>
      <c r="CP34" s="90" t="n">
        <v>7000</v>
      </c>
      <c r="CQ34" s="13"/>
      <c r="CR34" s="13" t="n">
        <f aca="false">IF('Cash Drivers'!CR$26,Support!CQ34,Support!CS34)</f>
        <v>7000</v>
      </c>
      <c r="CS34" s="89" t="n">
        <v>7000</v>
      </c>
      <c r="CT34" s="12"/>
      <c r="CU34" s="12" t="n">
        <f aca="false">IF('Cash Drivers'!CU$26,Support!CT34,Support!CV34)</f>
        <v>7000</v>
      </c>
      <c r="CV34" s="90" t="n">
        <v>7000</v>
      </c>
      <c r="CW34" s="13"/>
      <c r="CX34" s="13" t="n">
        <f aca="false">IF('Cash Drivers'!CX$26,Support!CW34,Support!CY34)</f>
        <v>7000</v>
      </c>
      <c r="CY34" s="89" t="n">
        <v>7000</v>
      </c>
      <c r="CZ34" s="12"/>
      <c r="DA34" s="12" t="n">
        <f aca="false">IF('Cash Drivers'!DA$26,Support!CZ34,Support!DB34)</f>
        <v>7000</v>
      </c>
      <c r="DB34" s="90" t="n">
        <v>7000</v>
      </c>
      <c r="DC34" s="13"/>
      <c r="DD34" s="13" t="n">
        <f aca="false">IF('Cash Drivers'!DD$26,Support!DC34,Support!DE34)</f>
        <v>7000</v>
      </c>
      <c r="DE34" s="89" t="n">
        <v>7000</v>
      </c>
      <c r="DF34" s="12"/>
      <c r="DG34" s="12" t="n">
        <f aca="false">IF('Cash Drivers'!DG$26,Support!DF34,Support!DH34)</f>
        <v>7000</v>
      </c>
      <c r="DH34" s="90" t="n">
        <v>7000</v>
      </c>
      <c r="DI34" s="89" t="n">
        <v>7000</v>
      </c>
      <c r="DJ34" s="13" t="n">
        <f aca="false">IF('Cash Drivers'!DJ$26,Support!DI34,Support!DK34)</f>
        <v>7000</v>
      </c>
      <c r="DK34" s="89" t="n">
        <v>7000</v>
      </c>
      <c r="DL34" s="90" t="n">
        <v>7000</v>
      </c>
      <c r="DM34" s="12" t="n">
        <f aca="false">IF('Cash Drivers'!DM$26,Support!DL34,Support!DN34)</f>
        <v>7000</v>
      </c>
      <c r="DN34" s="90" t="n">
        <v>7000</v>
      </c>
    </row>
    <row r="35" customFormat="false" ht="15.75" hidden="false" customHeight="true" outlineLevel="0" collapsed="false">
      <c r="A35" s="5" t="s">
        <v>247</v>
      </c>
      <c r="B35" s="12" t="str">
        <f aca="false">IF(COUNT(AR35,AO35,AL35,AI35,AF35,AC35,Z35,W35,T35,Q35,N35,K35)=0,"",SUM(AR35,AO35,AL35,AI35,AF35,AC35,Z35,W35,T35,Q35,N35,K35))</f>
        <v/>
      </c>
      <c r="C35" s="12" t="n">
        <f aca="false">IF(COUNT(AS35,AP35,AM35,AJ35,AG35,AD35,AA35,X35,U35,R35,O35,L35)=0,"",SUM(AS35,AP35,AM35,AJ35,AG35,AD35,AA35,X35,U35,R35,O35,L35))</f>
        <v>84000</v>
      </c>
      <c r="D35" s="12" t="n">
        <f aca="false">IF(COUNT(AT35,AQ35,AN35,AK35,AH35,AE35,AB35,Y35,V35,S35,P35,M35)=0,"",SUM(AT35,AQ35,AN35,AK35,AH35,AE35,AB35,Y35,V35,S35,P35,M35))</f>
        <v>84000</v>
      </c>
      <c r="E35" s="13" t="str">
        <f aca="false">IF(COUNT(CB35,BY35,BV35,BS35,BP35,BM35,BJ35,BG35,BD35,BA35,AX35,AU35)=0,"",SUM(CB35,BY35,BV35,BS35,BP35,BM35,BJ35,BG35,BD35,BA35,AX35,AU35))</f>
        <v/>
      </c>
      <c r="F35" s="13" t="n">
        <f aca="false">IF(COUNT(CC35,BZ35,BW35,BT35,BQ35,BN35,BK35,BH35,BE35,BB35,AY35,AV35)=0,"",SUM(CC35,BZ35,BW35,BT35,BQ35,BN35,BK35,BH35,BE35,BB35,AY35,AV35))</f>
        <v>84000</v>
      </c>
      <c r="G35" s="13" t="n">
        <f aca="false">IF(COUNT(CD35,CA35,BX35,BU35,BR35,BO35,BL35,BI35,BF35,BC35,AZ35,AW35)=0,"",SUM(CD35,CA35,BX35,BU35,BR35,BO35,BL35,BI35,BF35,BC35,AZ35,AW35))</f>
        <v>84000</v>
      </c>
      <c r="H35" s="12" t="n">
        <f aca="false">IF(COUNT(DL35,DI35,DF35,DC35,CZ35,CW35,CT35,CQ35,CN35,CK35,CH35,CE35)=0,"",SUM(DL35,DI35,DF35,DC35,CZ35,CW35,CT35,CQ35,CN35,CK35,CH35,CE35))</f>
        <v>14000</v>
      </c>
      <c r="I35" s="12" t="n">
        <f aca="false">IF(COUNT(DM35,DJ35,DG35,DD35,DA35,CX35,CU35,CR35,CO35,CL35,CI35,CF35)=0,"",SUM(DM35,DJ35,DG35,DD35,DA35,CX35,CU35,CR35,CO35,CL35,CI35,CF35))</f>
        <v>84000</v>
      </c>
      <c r="J35" s="12" t="n">
        <f aca="false">IF(COUNT(DN35,DK35,DH35,DE35,DB35,CY35,CV35,CS35,CP35,CM35,CJ35,CG35)=0,"",SUM(DN35,DK35,DH35,DE35,DB35,CY35,CV35,CS35,CP35,CM35,CJ35,CG35))</f>
        <v>84000</v>
      </c>
      <c r="K35" s="13"/>
      <c r="L35" s="13" t="n">
        <f aca="false">IF('Cash Drivers'!L$26,Support!K35,Support!M35)</f>
        <v>7000</v>
      </c>
      <c r="M35" s="89" t="n">
        <v>7000</v>
      </c>
      <c r="N35" s="12"/>
      <c r="O35" s="12" t="n">
        <f aca="false">IF('Cash Drivers'!O$26,Support!N35,Support!P35)</f>
        <v>7000</v>
      </c>
      <c r="P35" s="90" t="n">
        <v>7000</v>
      </c>
      <c r="Q35" s="13"/>
      <c r="R35" s="13" t="n">
        <f aca="false">IF('Cash Drivers'!R$26,Support!Q35,Support!S35)</f>
        <v>7000</v>
      </c>
      <c r="S35" s="89" t="n">
        <v>7000</v>
      </c>
      <c r="T35" s="12"/>
      <c r="U35" s="12" t="n">
        <f aca="false">IF('Cash Drivers'!U$26,Support!T35,Support!V35)</f>
        <v>7000</v>
      </c>
      <c r="V35" s="90" t="n">
        <v>7000</v>
      </c>
      <c r="W35" s="13"/>
      <c r="X35" s="13" t="n">
        <f aca="false">IF('Cash Drivers'!X$26,Support!W35,Support!Y35)</f>
        <v>7000</v>
      </c>
      <c r="Y35" s="89" t="n">
        <v>7000</v>
      </c>
      <c r="Z35" s="12"/>
      <c r="AA35" s="12" t="n">
        <f aca="false">IF('Cash Drivers'!AA$26,Support!Z35,Support!AB35)</f>
        <v>7000</v>
      </c>
      <c r="AB35" s="90" t="n">
        <v>7000</v>
      </c>
      <c r="AC35" s="13"/>
      <c r="AD35" s="13" t="n">
        <f aca="false">IF('Cash Drivers'!AD$26,Support!AC35,Support!AE35)</f>
        <v>7000</v>
      </c>
      <c r="AE35" s="89" t="n">
        <v>7000</v>
      </c>
      <c r="AF35" s="12"/>
      <c r="AG35" s="12" t="n">
        <f aca="false">IF('Cash Drivers'!AG$26,Support!AF35,Support!AH35)</f>
        <v>7000</v>
      </c>
      <c r="AH35" s="90" t="n">
        <v>7000</v>
      </c>
      <c r="AI35" s="13"/>
      <c r="AJ35" s="13" t="n">
        <f aca="false">IF('Cash Drivers'!AJ$26,Support!AI35,Support!AK35)</f>
        <v>7000</v>
      </c>
      <c r="AK35" s="89" t="n">
        <v>7000</v>
      </c>
      <c r="AL35" s="12"/>
      <c r="AM35" s="12" t="n">
        <f aca="false">IF('Cash Drivers'!AM$26,Support!AL35,Support!AN35)</f>
        <v>7000</v>
      </c>
      <c r="AN35" s="90" t="n">
        <v>7000</v>
      </c>
      <c r="AO35" s="13"/>
      <c r="AP35" s="13" t="n">
        <f aca="false">IF('Cash Drivers'!AP$26,Support!AO35,Support!AQ35)</f>
        <v>7000</v>
      </c>
      <c r="AQ35" s="89" t="n">
        <v>7000</v>
      </c>
      <c r="AR35" s="12"/>
      <c r="AS35" s="12" t="n">
        <f aca="false">IF('Cash Drivers'!AS$26,Support!AR35,Support!AT35)</f>
        <v>7000</v>
      </c>
      <c r="AT35" s="90" t="n">
        <v>7000</v>
      </c>
      <c r="AU35" s="13"/>
      <c r="AV35" s="13" t="n">
        <f aca="false">IF('Cash Drivers'!AV$26,Support!AU35,Support!AW35)</f>
        <v>7000</v>
      </c>
      <c r="AW35" s="89" t="n">
        <v>7000</v>
      </c>
      <c r="AX35" s="12"/>
      <c r="AY35" s="12" t="n">
        <f aca="false">IF('Cash Drivers'!AY$26,Support!AX35,Support!AZ35)</f>
        <v>7000</v>
      </c>
      <c r="AZ35" s="90" t="n">
        <v>7000</v>
      </c>
      <c r="BA35" s="13"/>
      <c r="BB35" s="13" t="n">
        <f aca="false">IF('Cash Drivers'!BB$26,Support!BA35,Support!BC35)</f>
        <v>7000</v>
      </c>
      <c r="BC35" s="89" t="n">
        <v>7000</v>
      </c>
      <c r="BD35" s="12"/>
      <c r="BE35" s="12" t="n">
        <f aca="false">IF('Cash Drivers'!BE$26,Support!BD35,Support!BF35)</f>
        <v>7000</v>
      </c>
      <c r="BF35" s="90" t="n">
        <v>7000</v>
      </c>
      <c r="BG35" s="13"/>
      <c r="BH35" s="13" t="n">
        <f aca="false">IF('Cash Drivers'!BH$26,Support!BG35,Support!BI35)</f>
        <v>7000</v>
      </c>
      <c r="BI35" s="89" t="n">
        <v>7000</v>
      </c>
      <c r="BJ35" s="12"/>
      <c r="BK35" s="12" t="n">
        <f aca="false">IF('Cash Drivers'!BK$26,Support!BJ35,Support!BL35)</f>
        <v>7000</v>
      </c>
      <c r="BL35" s="90" t="n">
        <v>7000</v>
      </c>
      <c r="BM35" s="13"/>
      <c r="BN35" s="13" t="n">
        <f aca="false">IF('Cash Drivers'!BN$26,Support!BM35,Support!BO35)</f>
        <v>7000</v>
      </c>
      <c r="BO35" s="89" t="n">
        <v>7000</v>
      </c>
      <c r="BP35" s="12"/>
      <c r="BQ35" s="12" t="n">
        <f aca="false">IF('Cash Drivers'!BQ$26,Support!BP35,Support!BR35)</f>
        <v>7000</v>
      </c>
      <c r="BR35" s="90" t="n">
        <v>7000</v>
      </c>
      <c r="BS35" s="13"/>
      <c r="BT35" s="13" t="n">
        <f aca="false">IF('Cash Drivers'!BT$26,Support!BS35,Support!BU35)</f>
        <v>7000</v>
      </c>
      <c r="BU35" s="89" t="n">
        <v>7000</v>
      </c>
      <c r="BV35" s="12"/>
      <c r="BW35" s="12" t="n">
        <f aca="false">IF('Cash Drivers'!BW$26,Support!BV35,Support!BX35)</f>
        <v>7000</v>
      </c>
      <c r="BX35" s="90" t="n">
        <v>7000</v>
      </c>
      <c r="BY35" s="13"/>
      <c r="BZ35" s="13" t="n">
        <f aca="false">IF('Cash Drivers'!BZ$26,Support!BY35,Support!CA35)</f>
        <v>7000</v>
      </c>
      <c r="CA35" s="89" t="n">
        <v>7000</v>
      </c>
      <c r="CB35" s="12"/>
      <c r="CC35" s="12" t="n">
        <f aca="false">IF('Cash Drivers'!CC$26,Support!CB35,Support!CD35)</f>
        <v>7000</v>
      </c>
      <c r="CD35" s="90" t="n">
        <v>7000</v>
      </c>
      <c r="CE35" s="13"/>
      <c r="CF35" s="13" t="n">
        <f aca="false">IF('Cash Drivers'!CF$26,Support!CE35,Support!CG35)</f>
        <v>7000</v>
      </c>
      <c r="CG35" s="89" t="n">
        <v>7000</v>
      </c>
      <c r="CH35" s="12"/>
      <c r="CI35" s="12" t="n">
        <f aca="false">IF('Cash Drivers'!CI$26,Support!CH35,Support!CJ35)</f>
        <v>7000</v>
      </c>
      <c r="CJ35" s="90" t="n">
        <v>7000</v>
      </c>
      <c r="CK35" s="13"/>
      <c r="CL35" s="13" t="n">
        <f aca="false">IF('Cash Drivers'!CL$26,Support!CK35,Support!CM35)</f>
        <v>7000</v>
      </c>
      <c r="CM35" s="89" t="n">
        <v>7000</v>
      </c>
      <c r="CN35" s="12"/>
      <c r="CO35" s="12" t="n">
        <f aca="false">IF('Cash Drivers'!CO$26,Support!CN35,Support!CP35)</f>
        <v>7000</v>
      </c>
      <c r="CP35" s="90" t="n">
        <v>7000</v>
      </c>
      <c r="CQ35" s="13"/>
      <c r="CR35" s="13" t="n">
        <f aca="false">IF('Cash Drivers'!CR$26,Support!CQ35,Support!CS35)</f>
        <v>7000</v>
      </c>
      <c r="CS35" s="89" t="n">
        <v>7000</v>
      </c>
      <c r="CT35" s="12"/>
      <c r="CU35" s="12" t="n">
        <f aca="false">IF('Cash Drivers'!CU$26,Support!CT35,Support!CV35)</f>
        <v>7000</v>
      </c>
      <c r="CV35" s="90" t="n">
        <v>7000</v>
      </c>
      <c r="CW35" s="13"/>
      <c r="CX35" s="13" t="n">
        <f aca="false">IF('Cash Drivers'!CX$26,Support!CW35,Support!CY35)</f>
        <v>7000</v>
      </c>
      <c r="CY35" s="89" t="n">
        <v>7000</v>
      </c>
      <c r="CZ35" s="12"/>
      <c r="DA35" s="12" t="n">
        <f aca="false">IF('Cash Drivers'!DA$26,Support!CZ35,Support!DB35)</f>
        <v>7000</v>
      </c>
      <c r="DB35" s="90" t="n">
        <v>7000</v>
      </c>
      <c r="DC35" s="13"/>
      <c r="DD35" s="13" t="n">
        <f aca="false">IF('Cash Drivers'!DD$26,Support!DC35,Support!DE35)</f>
        <v>7000</v>
      </c>
      <c r="DE35" s="89" t="n">
        <v>7000</v>
      </c>
      <c r="DF35" s="12"/>
      <c r="DG35" s="12" t="n">
        <f aca="false">IF('Cash Drivers'!DG$26,Support!DF35,Support!DH35)</f>
        <v>7000</v>
      </c>
      <c r="DH35" s="90" t="n">
        <v>7000</v>
      </c>
      <c r="DI35" s="89" t="n">
        <v>7000</v>
      </c>
      <c r="DJ35" s="13" t="n">
        <f aca="false">IF('Cash Drivers'!DJ$26,Support!DI35,Support!DK35)</f>
        <v>7000</v>
      </c>
      <c r="DK35" s="89" t="n">
        <v>7000</v>
      </c>
      <c r="DL35" s="90" t="n">
        <v>7000</v>
      </c>
      <c r="DM35" s="12" t="n">
        <f aca="false">IF('Cash Drivers'!DM$26,Support!DL35,Support!DN35)</f>
        <v>7000</v>
      </c>
      <c r="DN35" s="90" t="n">
        <v>7000</v>
      </c>
    </row>
    <row r="36" customFormat="false" ht="15.75" hidden="false" customHeight="true" outlineLevel="0" collapsed="false">
      <c r="A36" s="5" t="s">
        <v>246</v>
      </c>
      <c r="B36" s="12" t="str">
        <f aca="false">IF(COUNT(AR36,AO36,AL36,AI36,AF36,AC36,Z36,W36,T36,Q36,N36,K36)=0,"",SUM(AR36,AO36,AL36,AI36,AF36,AC36,Z36,W36,T36,Q36,N36,K36))</f>
        <v/>
      </c>
      <c r="C36" s="12" t="n">
        <f aca="false">IF(COUNT(AS36,AP36,AM36,AJ36,AG36,AD36,AA36,X36,U36,R36,O36,L36)=0,"",SUM(AS36,AP36,AM36,AJ36,AG36,AD36,AA36,X36,U36,R36,O36,L36))</f>
        <v>84000</v>
      </c>
      <c r="D36" s="12" t="n">
        <f aca="false">IF(COUNT(AT36,AQ36,AN36,AK36,AH36,AE36,AB36,Y36,V36,S36,P36,M36)=0,"",SUM(AT36,AQ36,AN36,AK36,AH36,AE36,AB36,Y36,V36,S36,P36,M36))</f>
        <v>84000</v>
      </c>
      <c r="E36" s="13" t="str">
        <f aca="false">IF(COUNT(CB36,BY36,BV36,BS36,BP36,BM36,BJ36,BG36,BD36,BA36,AX36,AU36)=0,"",SUM(CB36,BY36,BV36,BS36,BP36,BM36,BJ36,BG36,BD36,BA36,AX36,AU36))</f>
        <v/>
      </c>
      <c r="F36" s="13" t="n">
        <f aca="false">IF(COUNT(CC36,BZ36,BW36,BT36,BQ36,BN36,BK36,BH36,BE36,BB36,AY36,AV36)=0,"",SUM(CC36,BZ36,BW36,BT36,BQ36,BN36,BK36,BH36,BE36,BB36,AY36,AV36))</f>
        <v>84000</v>
      </c>
      <c r="G36" s="13" t="n">
        <f aca="false">IF(COUNT(CD36,CA36,BX36,BU36,BR36,BO36,BL36,BI36,BF36,BC36,AZ36,AW36)=0,"",SUM(CD36,CA36,BX36,BU36,BR36,BO36,BL36,BI36,BF36,BC36,AZ36,AW36))</f>
        <v>84000</v>
      </c>
      <c r="H36" s="12" t="str">
        <f aca="false">IF(COUNT(DL36,DI36,DF36,DC36,CZ36,CW36,CT36,CQ36,CN36,CK36,CH36,CE36)=0,"",SUM(DL36,DI36,DF36,DC36,CZ36,CW36,CT36,CQ36,CN36,CK36,CH36,CE36))</f>
        <v/>
      </c>
      <c r="I36" s="12" t="n">
        <f aca="false">IF(COUNT(DM36,DJ36,DG36,DD36,DA36,CX36,CU36,CR36,CO36,CL36,CI36,CF36)=0,"",SUM(DM36,DJ36,DG36,DD36,DA36,CX36,CU36,CR36,CO36,CL36,CI36,CF36))</f>
        <v>21000</v>
      </c>
      <c r="J36" s="12" t="n">
        <f aca="false">IF(COUNT(DN36,DK36,DH36,DE36,DB36,CY36,CV36,CS36,CP36,CM36,CJ36,CG36)=0,"",SUM(DN36,DK36,DH36,DE36,DB36,CY36,CV36,CS36,CP36,CM36,CJ36,CG36))</f>
        <v>21000</v>
      </c>
      <c r="K36" s="13"/>
      <c r="L36" s="13" t="n">
        <f aca="false">IF('Cash Drivers'!L$26,Support!K36,Support!M36)</f>
        <v>7000</v>
      </c>
      <c r="M36" s="89" t="n">
        <v>7000</v>
      </c>
      <c r="N36" s="12"/>
      <c r="O36" s="12" t="n">
        <f aca="false">IF('Cash Drivers'!O$26,Support!N36,Support!P36)</f>
        <v>7000</v>
      </c>
      <c r="P36" s="90" t="n">
        <v>7000</v>
      </c>
      <c r="Q36" s="13"/>
      <c r="R36" s="13" t="n">
        <f aca="false">IF('Cash Drivers'!R$26,Support!Q36,Support!S36)</f>
        <v>7000</v>
      </c>
      <c r="S36" s="89" t="n">
        <v>7000</v>
      </c>
      <c r="T36" s="12"/>
      <c r="U36" s="12" t="n">
        <f aca="false">IF('Cash Drivers'!U$26,Support!T36,Support!V36)</f>
        <v>7000</v>
      </c>
      <c r="V36" s="90" t="n">
        <v>7000</v>
      </c>
      <c r="W36" s="13"/>
      <c r="X36" s="13" t="n">
        <f aca="false">IF('Cash Drivers'!X$26,Support!W36,Support!Y36)</f>
        <v>7000</v>
      </c>
      <c r="Y36" s="89" t="n">
        <v>7000</v>
      </c>
      <c r="Z36" s="12"/>
      <c r="AA36" s="12" t="n">
        <f aca="false">IF('Cash Drivers'!AA$26,Support!Z36,Support!AB36)</f>
        <v>7000</v>
      </c>
      <c r="AB36" s="90" t="n">
        <v>7000</v>
      </c>
      <c r="AC36" s="13"/>
      <c r="AD36" s="13" t="n">
        <f aca="false">IF('Cash Drivers'!AD$26,Support!AC36,Support!AE36)</f>
        <v>7000</v>
      </c>
      <c r="AE36" s="89" t="n">
        <v>7000</v>
      </c>
      <c r="AF36" s="12"/>
      <c r="AG36" s="12" t="n">
        <f aca="false">IF('Cash Drivers'!AG$26,Support!AF36,Support!AH36)</f>
        <v>7000</v>
      </c>
      <c r="AH36" s="90" t="n">
        <v>7000</v>
      </c>
      <c r="AI36" s="13"/>
      <c r="AJ36" s="13" t="n">
        <f aca="false">IF('Cash Drivers'!AJ$26,Support!AI36,Support!AK36)</f>
        <v>7000</v>
      </c>
      <c r="AK36" s="89" t="n">
        <v>7000</v>
      </c>
      <c r="AL36" s="12"/>
      <c r="AM36" s="12" t="n">
        <f aca="false">IF('Cash Drivers'!AM$26,Support!AL36,Support!AN36)</f>
        <v>7000</v>
      </c>
      <c r="AN36" s="90" t="n">
        <v>7000</v>
      </c>
      <c r="AO36" s="13"/>
      <c r="AP36" s="13" t="n">
        <f aca="false">IF('Cash Drivers'!AP$26,Support!AO36,Support!AQ36)</f>
        <v>7000</v>
      </c>
      <c r="AQ36" s="89" t="n">
        <v>7000</v>
      </c>
      <c r="AR36" s="12"/>
      <c r="AS36" s="12" t="n">
        <f aca="false">IF('Cash Drivers'!AS$26,Support!AR36,Support!AT36)</f>
        <v>7000</v>
      </c>
      <c r="AT36" s="90" t="n">
        <v>7000</v>
      </c>
      <c r="AU36" s="13"/>
      <c r="AV36" s="13" t="n">
        <f aca="false">IF('Cash Drivers'!AV$26,Support!AU36,Support!AW36)</f>
        <v>7000</v>
      </c>
      <c r="AW36" s="89" t="n">
        <v>7000</v>
      </c>
      <c r="AX36" s="12"/>
      <c r="AY36" s="12" t="n">
        <f aca="false">IF('Cash Drivers'!AY$26,Support!AX36,Support!AZ36)</f>
        <v>7000</v>
      </c>
      <c r="AZ36" s="90" t="n">
        <v>7000</v>
      </c>
      <c r="BA36" s="13"/>
      <c r="BB36" s="13" t="n">
        <f aca="false">IF('Cash Drivers'!BB$26,Support!BA36,Support!BC36)</f>
        <v>7000</v>
      </c>
      <c r="BC36" s="89" t="n">
        <v>7000</v>
      </c>
      <c r="BD36" s="12"/>
      <c r="BE36" s="12" t="n">
        <f aca="false">IF('Cash Drivers'!BE$26,Support!BD36,Support!BF36)</f>
        <v>7000</v>
      </c>
      <c r="BF36" s="90" t="n">
        <v>7000</v>
      </c>
      <c r="BG36" s="13"/>
      <c r="BH36" s="13" t="n">
        <f aca="false">IF('Cash Drivers'!BH$26,Support!BG36,Support!BI36)</f>
        <v>7000</v>
      </c>
      <c r="BI36" s="89" t="n">
        <v>7000</v>
      </c>
      <c r="BJ36" s="12"/>
      <c r="BK36" s="12" t="n">
        <f aca="false">IF('Cash Drivers'!BK$26,Support!BJ36,Support!BL36)</f>
        <v>7000</v>
      </c>
      <c r="BL36" s="90" t="n">
        <v>7000</v>
      </c>
      <c r="BM36" s="13"/>
      <c r="BN36" s="13" t="n">
        <f aca="false">IF('Cash Drivers'!BN$26,Support!BM36,Support!BO36)</f>
        <v>7000</v>
      </c>
      <c r="BO36" s="89" t="n">
        <v>7000</v>
      </c>
      <c r="BP36" s="12"/>
      <c r="BQ36" s="12" t="n">
        <f aca="false">IF('Cash Drivers'!BQ$26,Support!BP36,Support!BR36)</f>
        <v>7000</v>
      </c>
      <c r="BR36" s="90" t="n">
        <v>7000</v>
      </c>
      <c r="BS36" s="13"/>
      <c r="BT36" s="13" t="n">
        <f aca="false">IF('Cash Drivers'!BT$26,Support!BS36,Support!BU36)</f>
        <v>7000</v>
      </c>
      <c r="BU36" s="89" t="n">
        <v>7000</v>
      </c>
      <c r="BV36" s="12"/>
      <c r="BW36" s="12" t="n">
        <f aca="false">IF('Cash Drivers'!BW$26,Support!BV36,Support!BX36)</f>
        <v>7000</v>
      </c>
      <c r="BX36" s="90" t="n">
        <v>7000</v>
      </c>
      <c r="BY36" s="13"/>
      <c r="BZ36" s="13" t="n">
        <f aca="false">IF('Cash Drivers'!BZ$26,Support!BY36,Support!CA36)</f>
        <v>7000</v>
      </c>
      <c r="CA36" s="89" t="n">
        <v>7000</v>
      </c>
      <c r="CB36" s="12"/>
      <c r="CC36" s="12" t="n">
        <f aca="false">IF('Cash Drivers'!CC$26,Support!CB36,Support!CD36)</f>
        <v>7000</v>
      </c>
      <c r="CD36" s="90" t="n">
        <v>7000</v>
      </c>
      <c r="CE36" s="13"/>
      <c r="CF36" s="13" t="n">
        <f aca="false">IF('Cash Drivers'!CF$26,Support!CE36,Support!CG36)</f>
        <v>7000</v>
      </c>
      <c r="CG36" s="89" t="n">
        <v>7000</v>
      </c>
      <c r="CH36" s="12"/>
      <c r="CI36" s="12" t="n">
        <f aca="false">IF('Cash Drivers'!CI$26,Support!CH36,Support!CJ36)</f>
        <v>7000</v>
      </c>
      <c r="CJ36" s="90" t="n">
        <v>7000</v>
      </c>
      <c r="CK36" s="13"/>
      <c r="CL36" s="13" t="n">
        <f aca="false">IF('Cash Drivers'!CL$26,Support!CK36,Support!CM36)</f>
        <v>7000</v>
      </c>
      <c r="CM36" s="89" t="n">
        <v>7000</v>
      </c>
      <c r="CN36" s="91"/>
      <c r="CO36" s="91"/>
      <c r="CP36" s="91"/>
      <c r="CT36" s="91"/>
      <c r="CU36" s="91"/>
      <c r="CV36" s="91"/>
      <c r="CZ36" s="91"/>
      <c r="DA36" s="91"/>
      <c r="DB36" s="91"/>
      <c r="DF36" s="91"/>
      <c r="DG36" s="91"/>
      <c r="DH36" s="91"/>
      <c r="DL36" s="91"/>
      <c r="DM36" s="91"/>
      <c r="DN36" s="91"/>
    </row>
    <row r="37" customFormat="false" ht="15.75" hidden="false" customHeight="true" outlineLevel="0" collapsed="false">
      <c r="A37" s="5" t="s">
        <v>246</v>
      </c>
      <c r="B37" s="12" t="str">
        <f aca="false">IF(COUNT(AR37,AO37,AL37,AI37,AF37,AC37,Z37,W37,T37,Q37,N37,K37)=0,"",SUM(AR37,AO37,AL37,AI37,AF37,AC37,Z37,W37,T37,Q37,N37,K37))</f>
        <v/>
      </c>
      <c r="C37" s="12" t="n">
        <f aca="false">IF(COUNT(AS37,AP37,AM37,AJ37,AG37,AD37,AA37,X37,U37,R37,O37,L37)=0,"",SUM(AS37,AP37,AM37,AJ37,AG37,AD37,AA37,X37,U37,R37,O37,L37))</f>
        <v>84000</v>
      </c>
      <c r="D37" s="12" t="n">
        <f aca="false">IF(COUNT(AT37,AQ37,AN37,AK37,AH37,AE37,AB37,Y37,V37,S37,P37,M37)=0,"",SUM(AT37,AQ37,AN37,AK37,AH37,AE37,AB37,Y37,V37,S37,P37,M37))</f>
        <v>84000</v>
      </c>
      <c r="E37" s="13" t="str">
        <f aca="false">IF(COUNT(CB37,BY37,BV37,BS37,BP37,BM37,BJ37,BG37,BD37,BA37,AX37,AU37)=0,"",SUM(CB37,BY37,BV37,BS37,BP37,BM37,BJ37,BG37,BD37,BA37,AX37,AU37))</f>
        <v/>
      </c>
      <c r="F37" s="13" t="n">
        <f aca="false">IF(COUNT(CC37,BZ37,BW37,BT37,BQ37,BN37,BK37,BH37,BE37,BB37,AY37,AV37)=0,"",SUM(CC37,BZ37,BW37,BT37,BQ37,BN37,BK37,BH37,BE37,BB37,AY37,AV37))</f>
        <v>63000</v>
      </c>
      <c r="G37" s="13" t="n">
        <f aca="false">IF(COUNT(CD37,CA37,BX37,BU37,BR37,BO37,BL37,BI37,BF37,BC37,AZ37,AW37)=0,"",SUM(CD37,CA37,BX37,BU37,BR37,BO37,BL37,BI37,BF37,BC37,AZ37,AW37))</f>
        <v>63000</v>
      </c>
      <c r="H37" s="12" t="str">
        <f aca="false">IF(COUNT(DL37,DI37,DF37,DC37,CZ37,CW37,CT37,CQ37,CN37,CK37,CH37,CE37)=0,"",SUM(DL37,DI37,DF37,DC37,CZ37,CW37,CT37,CQ37,CN37,CK37,CH37,CE37))</f>
        <v/>
      </c>
      <c r="I37" s="12" t="str">
        <f aca="false">IF(COUNT(DM37,DJ37,DG37,DD37,DA37,CX37,CU37,CR37,CO37,CL37,CI37,CF37)=0,"",SUM(DM37,DJ37,DG37,DD37,DA37,CX37,CU37,CR37,CO37,CL37,CI37,CF37))</f>
        <v/>
      </c>
      <c r="J37" s="12" t="str">
        <f aca="false">IF(COUNT(DN37,DK37,DH37,DE37,DB37,CY37,CV37,CS37,CP37,CM37,CJ37,CG37)=0,"",SUM(DN37,DK37,DH37,DE37,DB37,CY37,CV37,CS37,CP37,CM37,CJ37,CG37))</f>
        <v/>
      </c>
      <c r="K37" s="13"/>
      <c r="L37" s="13" t="n">
        <f aca="false">IF('Cash Drivers'!L$26,Support!K37,Support!M37)</f>
        <v>7000</v>
      </c>
      <c r="M37" s="89" t="n">
        <v>7000</v>
      </c>
      <c r="N37" s="12"/>
      <c r="O37" s="12" t="n">
        <f aca="false">IF('Cash Drivers'!O$26,Support!N37,Support!P37)</f>
        <v>7000</v>
      </c>
      <c r="P37" s="90" t="n">
        <v>7000</v>
      </c>
      <c r="Q37" s="13"/>
      <c r="R37" s="13" t="n">
        <f aca="false">IF('Cash Drivers'!R$26,Support!Q37,Support!S37)</f>
        <v>7000</v>
      </c>
      <c r="S37" s="89" t="n">
        <v>7000</v>
      </c>
      <c r="T37" s="12"/>
      <c r="U37" s="12" t="n">
        <f aca="false">IF('Cash Drivers'!U$26,Support!T37,Support!V37)</f>
        <v>7000</v>
      </c>
      <c r="V37" s="90" t="n">
        <v>7000</v>
      </c>
      <c r="W37" s="13"/>
      <c r="X37" s="13" t="n">
        <f aca="false">IF('Cash Drivers'!X$26,Support!W37,Support!Y37)</f>
        <v>7000</v>
      </c>
      <c r="Y37" s="89" t="n">
        <v>7000</v>
      </c>
      <c r="Z37" s="12"/>
      <c r="AA37" s="12" t="n">
        <f aca="false">IF('Cash Drivers'!AA$26,Support!Z37,Support!AB37)</f>
        <v>7000</v>
      </c>
      <c r="AB37" s="90" t="n">
        <v>7000</v>
      </c>
      <c r="AC37" s="13"/>
      <c r="AD37" s="13" t="n">
        <f aca="false">IF('Cash Drivers'!AD$26,Support!AC37,Support!AE37)</f>
        <v>7000</v>
      </c>
      <c r="AE37" s="89" t="n">
        <v>7000</v>
      </c>
      <c r="AF37" s="12"/>
      <c r="AG37" s="12" t="n">
        <f aca="false">IF('Cash Drivers'!AG$26,Support!AF37,Support!AH37)</f>
        <v>7000</v>
      </c>
      <c r="AH37" s="90" t="n">
        <v>7000</v>
      </c>
      <c r="AI37" s="13"/>
      <c r="AJ37" s="13" t="n">
        <f aca="false">IF('Cash Drivers'!AJ$26,Support!AI37,Support!AK37)</f>
        <v>7000</v>
      </c>
      <c r="AK37" s="89" t="n">
        <v>7000</v>
      </c>
      <c r="AL37" s="12"/>
      <c r="AM37" s="12" t="n">
        <f aca="false">IF('Cash Drivers'!AM$26,Support!AL37,Support!AN37)</f>
        <v>7000</v>
      </c>
      <c r="AN37" s="90" t="n">
        <v>7000</v>
      </c>
      <c r="AO37" s="13"/>
      <c r="AP37" s="13" t="n">
        <f aca="false">IF('Cash Drivers'!AP$26,Support!AO37,Support!AQ37)</f>
        <v>7000</v>
      </c>
      <c r="AQ37" s="89" t="n">
        <v>7000</v>
      </c>
      <c r="AR37" s="12"/>
      <c r="AS37" s="12" t="n">
        <f aca="false">IF('Cash Drivers'!AS$26,Support!AR37,Support!AT37)</f>
        <v>7000</v>
      </c>
      <c r="AT37" s="90" t="n">
        <v>7000</v>
      </c>
      <c r="AU37" s="13"/>
      <c r="AV37" s="13" t="n">
        <f aca="false">IF('Cash Drivers'!AV$26,Support!AU37,Support!AW37)</f>
        <v>7000</v>
      </c>
      <c r="AW37" s="89" t="n">
        <v>7000</v>
      </c>
      <c r="AX37" s="12"/>
      <c r="AY37" s="12" t="n">
        <f aca="false">IF('Cash Drivers'!AY$26,Support!AX37,Support!AZ37)</f>
        <v>7000</v>
      </c>
      <c r="AZ37" s="90" t="n">
        <v>7000</v>
      </c>
      <c r="BA37" s="13"/>
      <c r="BB37" s="13" t="n">
        <f aca="false">IF('Cash Drivers'!BB$26,Support!BA37,Support!BC37)</f>
        <v>7000</v>
      </c>
      <c r="BC37" s="89" t="n">
        <v>7000</v>
      </c>
      <c r="BD37" s="12"/>
      <c r="BE37" s="12" t="n">
        <f aca="false">IF('Cash Drivers'!BE$26,Support!BD37,Support!BF37)</f>
        <v>7000</v>
      </c>
      <c r="BF37" s="90" t="n">
        <v>7000</v>
      </c>
      <c r="BG37" s="13"/>
      <c r="BH37" s="13" t="n">
        <f aca="false">IF('Cash Drivers'!BH$26,Support!BG37,Support!BI37)</f>
        <v>7000</v>
      </c>
      <c r="BI37" s="89" t="n">
        <v>7000</v>
      </c>
      <c r="BJ37" s="12"/>
      <c r="BK37" s="12" t="n">
        <f aca="false">IF('Cash Drivers'!BK$26,Support!BJ37,Support!BL37)</f>
        <v>7000</v>
      </c>
      <c r="BL37" s="90" t="n">
        <v>7000</v>
      </c>
      <c r="BM37" s="13"/>
      <c r="BN37" s="13" t="n">
        <f aca="false">IF('Cash Drivers'!BN$26,Support!BM37,Support!BO37)</f>
        <v>7000</v>
      </c>
      <c r="BO37" s="89" t="n">
        <v>7000</v>
      </c>
      <c r="BP37" s="12"/>
      <c r="BQ37" s="12" t="n">
        <f aca="false">IF('Cash Drivers'!BQ$26,Support!BP37,Support!BR37)</f>
        <v>7000</v>
      </c>
      <c r="BR37" s="90" t="n">
        <v>7000</v>
      </c>
      <c r="BS37" s="13"/>
      <c r="BT37" s="13" t="n">
        <f aca="false">IF('Cash Drivers'!BT$26,Support!BS37,Support!BU37)</f>
        <v>7000</v>
      </c>
      <c r="BU37" s="89" t="n">
        <v>7000</v>
      </c>
      <c r="BV37" s="91"/>
      <c r="BW37" s="91"/>
      <c r="BX37" s="91"/>
      <c r="CB37" s="91"/>
      <c r="CC37" s="91"/>
      <c r="CD37" s="91"/>
      <c r="CH37" s="91"/>
      <c r="CI37" s="91"/>
      <c r="CJ37" s="91"/>
      <c r="CN37" s="91"/>
      <c r="CO37" s="91"/>
      <c r="CP37" s="91"/>
      <c r="CT37" s="91"/>
      <c r="CU37" s="91"/>
      <c r="CV37" s="91"/>
      <c r="CZ37" s="91"/>
      <c r="DA37" s="91"/>
      <c r="DB37" s="91"/>
      <c r="DF37" s="91"/>
      <c r="DG37" s="91"/>
      <c r="DH37" s="91"/>
      <c r="DL37" s="91"/>
      <c r="DM37" s="91"/>
      <c r="DN37" s="91"/>
    </row>
    <row r="38" customFormat="false" ht="15.75" hidden="false" customHeight="true" outlineLevel="0" collapsed="false">
      <c r="A38" s="5" t="s">
        <v>246</v>
      </c>
      <c r="B38" s="12" t="str">
        <f aca="false">IF(COUNT(AR38,AO38,AL38,AI38,AF38,AC38,Z38,W38,T38,Q38,N38,K38)=0,"",SUM(AR38,AO38,AL38,AI38,AF38,AC38,Z38,W38,T38,Q38,N38,K38))</f>
        <v/>
      </c>
      <c r="C38" s="12" t="n">
        <f aca="false">IF(COUNT(AS38,AP38,AM38,AJ38,AG38,AD38,AA38,X38,U38,R38,O38,L38)=0,"",SUM(AS38,AP38,AM38,AJ38,AG38,AD38,AA38,X38,U38,R38,O38,L38))</f>
        <v>84000</v>
      </c>
      <c r="D38" s="12" t="n">
        <f aca="false">IF(COUNT(AT38,AQ38,AN38,AK38,AH38,AE38,AB38,Y38,V38,S38,P38,M38)=0,"",SUM(AT38,AQ38,AN38,AK38,AH38,AE38,AB38,Y38,V38,S38,P38,M38))</f>
        <v>84000</v>
      </c>
      <c r="E38" s="13" t="str">
        <f aca="false">IF(COUNT(CB38,BY38,BV38,BS38,BP38,BM38,BJ38,BG38,BD38,BA38,AX38,AU38)=0,"",SUM(CB38,BY38,BV38,BS38,BP38,BM38,BJ38,BG38,BD38,BA38,AX38,AU38))</f>
        <v/>
      </c>
      <c r="F38" s="13" t="n">
        <f aca="false">IF(COUNT(CC38,BZ38,BW38,BT38,BQ38,BN38,BK38,BH38,BE38,BB38,AY38,AV38)=0,"",SUM(CC38,BZ38,BW38,BT38,BQ38,BN38,BK38,BH38,BE38,BB38,AY38,AV38))</f>
        <v>28000</v>
      </c>
      <c r="G38" s="13" t="n">
        <f aca="false">IF(COUNT(CD38,CA38,BX38,BU38,BR38,BO38,BL38,BI38,BF38,BC38,AZ38,AW38)=0,"",SUM(CD38,CA38,BX38,BU38,BR38,BO38,BL38,BI38,BF38,BC38,AZ38,AW38))</f>
        <v>28000</v>
      </c>
      <c r="H38" s="12" t="str">
        <f aca="false">IF(COUNT(DL38,DI38,DF38,DC38,CZ38,CW38,CT38,CQ38,CN38,CK38,CH38,CE38)=0,"",SUM(DL38,DI38,DF38,DC38,CZ38,CW38,CT38,CQ38,CN38,CK38,CH38,CE38))</f>
        <v/>
      </c>
      <c r="I38" s="12" t="str">
        <f aca="false">IF(COUNT(DM38,DJ38,DG38,DD38,DA38,CX38,CU38,CR38,CO38,CL38,CI38,CF38)=0,"",SUM(DM38,DJ38,DG38,DD38,DA38,CX38,CU38,CR38,CO38,CL38,CI38,CF38))</f>
        <v/>
      </c>
      <c r="J38" s="12" t="str">
        <f aca="false">IF(COUNT(DN38,DK38,DH38,DE38,DB38,CY38,CV38,CS38,CP38,CM38,CJ38,CG38)=0,"",SUM(DN38,DK38,DH38,DE38,DB38,CY38,CV38,CS38,CP38,CM38,CJ38,CG38))</f>
        <v/>
      </c>
      <c r="K38" s="13"/>
      <c r="L38" s="13" t="n">
        <f aca="false">IF('Cash Drivers'!L$26,Support!K38,Support!M38)</f>
        <v>7000</v>
      </c>
      <c r="M38" s="89" t="n">
        <v>7000</v>
      </c>
      <c r="N38" s="12"/>
      <c r="O38" s="12" t="n">
        <f aca="false">IF('Cash Drivers'!O$26,Support!N38,Support!P38)</f>
        <v>7000</v>
      </c>
      <c r="P38" s="90" t="n">
        <v>7000</v>
      </c>
      <c r="Q38" s="13"/>
      <c r="R38" s="13" t="n">
        <f aca="false">IF('Cash Drivers'!R$26,Support!Q38,Support!S38)</f>
        <v>7000</v>
      </c>
      <c r="S38" s="89" t="n">
        <v>7000</v>
      </c>
      <c r="T38" s="12"/>
      <c r="U38" s="12" t="n">
        <f aca="false">IF('Cash Drivers'!U$26,Support!T38,Support!V38)</f>
        <v>7000</v>
      </c>
      <c r="V38" s="90" t="n">
        <v>7000</v>
      </c>
      <c r="W38" s="13"/>
      <c r="X38" s="13" t="n">
        <f aca="false">IF('Cash Drivers'!X$26,Support!W38,Support!Y38)</f>
        <v>7000</v>
      </c>
      <c r="Y38" s="89" t="n">
        <v>7000</v>
      </c>
      <c r="Z38" s="12"/>
      <c r="AA38" s="12" t="n">
        <f aca="false">IF('Cash Drivers'!AA$26,Support!Z38,Support!AB38)</f>
        <v>7000</v>
      </c>
      <c r="AB38" s="90" t="n">
        <v>7000</v>
      </c>
      <c r="AC38" s="13"/>
      <c r="AD38" s="13" t="n">
        <f aca="false">IF('Cash Drivers'!AD$26,Support!AC38,Support!AE38)</f>
        <v>7000</v>
      </c>
      <c r="AE38" s="89" t="n">
        <v>7000</v>
      </c>
      <c r="AF38" s="12"/>
      <c r="AG38" s="12" t="n">
        <f aca="false">IF('Cash Drivers'!AG$26,Support!AF38,Support!AH38)</f>
        <v>7000</v>
      </c>
      <c r="AH38" s="90" t="n">
        <v>7000</v>
      </c>
      <c r="AI38" s="13"/>
      <c r="AJ38" s="13" t="n">
        <f aca="false">IF('Cash Drivers'!AJ$26,Support!AI38,Support!AK38)</f>
        <v>7000</v>
      </c>
      <c r="AK38" s="89" t="n">
        <v>7000</v>
      </c>
      <c r="AL38" s="12"/>
      <c r="AM38" s="12" t="n">
        <f aca="false">IF('Cash Drivers'!AM$26,Support!AL38,Support!AN38)</f>
        <v>7000</v>
      </c>
      <c r="AN38" s="90" t="n">
        <v>7000</v>
      </c>
      <c r="AO38" s="13"/>
      <c r="AP38" s="13" t="n">
        <f aca="false">IF('Cash Drivers'!AP$26,Support!AO38,Support!AQ38)</f>
        <v>7000</v>
      </c>
      <c r="AQ38" s="89" t="n">
        <v>7000</v>
      </c>
      <c r="AR38" s="12"/>
      <c r="AS38" s="12" t="n">
        <f aca="false">IF('Cash Drivers'!AS$26,Support!AR38,Support!AT38)</f>
        <v>7000</v>
      </c>
      <c r="AT38" s="90" t="n">
        <v>7000</v>
      </c>
      <c r="AU38" s="13"/>
      <c r="AV38" s="13" t="n">
        <f aca="false">IF('Cash Drivers'!AV$26,Support!AU38,Support!AW38)</f>
        <v>7000</v>
      </c>
      <c r="AW38" s="89" t="n">
        <v>7000</v>
      </c>
      <c r="AX38" s="12"/>
      <c r="AY38" s="12" t="n">
        <f aca="false">IF('Cash Drivers'!AY$26,Support!AX38,Support!AZ38)</f>
        <v>7000</v>
      </c>
      <c r="AZ38" s="90" t="n">
        <v>7000</v>
      </c>
      <c r="BA38" s="13"/>
      <c r="BB38" s="13" t="n">
        <f aca="false">IF('Cash Drivers'!BB$26,Support!BA38,Support!BC38)</f>
        <v>7000</v>
      </c>
      <c r="BC38" s="89" t="n">
        <v>7000</v>
      </c>
      <c r="BD38" s="12"/>
      <c r="BE38" s="12" t="n">
        <f aca="false">IF('Cash Drivers'!BE$26,Support!BD38,Support!BF38)</f>
        <v>7000</v>
      </c>
      <c r="BF38" s="90" t="n">
        <v>7000</v>
      </c>
      <c r="BJ38" s="91"/>
      <c r="BK38" s="91"/>
      <c r="BL38" s="91"/>
      <c r="BP38" s="91"/>
      <c r="BQ38" s="91"/>
      <c r="BR38" s="91"/>
      <c r="BV38" s="91"/>
      <c r="BW38" s="91"/>
      <c r="BX38" s="91"/>
      <c r="CB38" s="91"/>
      <c r="CC38" s="91"/>
      <c r="CD38" s="91"/>
      <c r="CH38" s="91"/>
      <c r="CI38" s="91"/>
      <c r="CJ38" s="91"/>
      <c r="CN38" s="91"/>
      <c r="CO38" s="91"/>
      <c r="CP38" s="91"/>
      <c r="CT38" s="91"/>
      <c r="CU38" s="91"/>
      <c r="CV38" s="91"/>
      <c r="CZ38" s="91"/>
      <c r="DA38" s="91"/>
      <c r="DB38" s="91"/>
      <c r="DF38" s="91"/>
      <c r="DG38" s="91"/>
      <c r="DH38" s="91"/>
      <c r="DL38" s="91"/>
      <c r="DM38" s="91"/>
      <c r="DN38" s="91"/>
    </row>
    <row r="39" customFormat="false" ht="15.75" hidden="false" customHeight="true" outlineLevel="0" collapsed="false">
      <c r="A39" s="5" t="s">
        <v>246</v>
      </c>
      <c r="B39" s="12" t="str">
        <f aca="false">IF(COUNT(AR39,AO39,AL39,AI39,AF39,AC39,Z39,W39,T39,Q39,N39,K39)=0,"",SUM(AR39,AO39,AL39,AI39,AF39,AC39,Z39,W39,T39,Q39,N39,K39))</f>
        <v/>
      </c>
      <c r="C39" s="12" t="n">
        <f aca="false">IF(COUNT(AS39,AP39,AM39,AJ39,AG39,AD39,AA39,X39,U39,R39,O39,L39)=0,"",SUM(AS39,AP39,AM39,AJ39,AG39,AD39,AA39,X39,U39,R39,O39,L39))</f>
        <v>70000</v>
      </c>
      <c r="D39" s="12" t="n">
        <f aca="false">IF(COUNT(AT39,AQ39,AN39,AK39,AH39,AE39,AB39,Y39,V39,S39,P39,M39)=0,"",SUM(AT39,AQ39,AN39,AK39,AH39,AE39,AB39,Y39,V39,S39,P39,M39))</f>
        <v>70000</v>
      </c>
      <c r="E39" s="13" t="str">
        <f aca="false">IF(COUNT(CB39,BY39,BV39,BS39,BP39,BM39,BJ39,BG39,BD39,BA39,AX39,AU39)=0,"",SUM(CB39,BY39,BV39,BS39,BP39,BM39,BJ39,BG39,BD39,BA39,AX39,AU39))</f>
        <v/>
      </c>
      <c r="F39" s="13" t="str">
        <f aca="false">IF(COUNT(CC39,BZ39,BW39,BT39,BQ39,BN39,BK39,BH39,BE39,BB39,AY39,AV39)=0,"",SUM(CC39,BZ39,BW39,BT39,BQ39,BN39,BK39,BH39,BE39,BB39,AY39,AV39))</f>
        <v/>
      </c>
      <c r="G39" s="13" t="str">
        <f aca="false">IF(COUNT(CD39,CA39,BX39,BU39,BR39,BO39,BL39,BI39,BF39,BC39,AZ39,AW39)=0,"",SUM(CD39,CA39,BX39,BU39,BR39,BO39,BL39,BI39,BF39,BC39,AZ39,AW39))</f>
        <v/>
      </c>
      <c r="H39" s="12" t="str">
        <f aca="false">IF(COUNT(DL39,DI39,DF39,DC39,CZ39,CW39,CT39,CQ39,CN39,CK39,CH39,CE39)=0,"",SUM(DL39,DI39,DF39,DC39,CZ39,CW39,CT39,CQ39,CN39,CK39,CH39,CE39))</f>
        <v/>
      </c>
      <c r="I39" s="12" t="str">
        <f aca="false">IF(COUNT(DM39,DJ39,DG39,DD39,DA39,CX39,CU39,CR39,CO39,CL39,CI39,CF39)=0,"",SUM(DM39,DJ39,DG39,DD39,DA39,CX39,CU39,CR39,CO39,CL39,CI39,CF39))</f>
        <v/>
      </c>
      <c r="J39" s="12" t="str">
        <f aca="false">IF(COUNT(DN39,DK39,DH39,DE39,DB39,CY39,CV39,CS39,CP39,CM39,CJ39,CG39)=0,"",SUM(DN39,DK39,DH39,DE39,DB39,CY39,CV39,CS39,CP39,CM39,CJ39,CG39))</f>
        <v/>
      </c>
      <c r="K39" s="13"/>
      <c r="L39" s="13" t="n">
        <f aca="false">IF('Cash Drivers'!L$26,Support!K39,Support!M39)</f>
        <v>7000</v>
      </c>
      <c r="M39" s="89" t="n">
        <v>7000</v>
      </c>
      <c r="N39" s="12"/>
      <c r="O39" s="12" t="n">
        <f aca="false">IF('Cash Drivers'!O$26,Support!N39,Support!P39)</f>
        <v>7000</v>
      </c>
      <c r="P39" s="90" t="n">
        <v>7000</v>
      </c>
      <c r="Q39" s="13"/>
      <c r="R39" s="13" t="n">
        <f aca="false">IF('Cash Drivers'!R$26,Support!Q39,Support!S39)</f>
        <v>7000</v>
      </c>
      <c r="S39" s="89" t="n">
        <v>7000</v>
      </c>
      <c r="T39" s="12"/>
      <c r="U39" s="12" t="n">
        <f aca="false">IF('Cash Drivers'!U$26,Support!T39,Support!V39)</f>
        <v>7000</v>
      </c>
      <c r="V39" s="90" t="n">
        <v>7000</v>
      </c>
      <c r="W39" s="13"/>
      <c r="X39" s="13" t="n">
        <f aca="false">IF('Cash Drivers'!X$26,Support!W39,Support!Y39)</f>
        <v>7000</v>
      </c>
      <c r="Y39" s="89" t="n">
        <v>7000</v>
      </c>
      <c r="Z39" s="12"/>
      <c r="AA39" s="12" t="n">
        <f aca="false">IF('Cash Drivers'!AA$26,Support!Z39,Support!AB39)</f>
        <v>7000</v>
      </c>
      <c r="AB39" s="90" t="n">
        <v>7000</v>
      </c>
      <c r="AC39" s="13"/>
      <c r="AD39" s="13" t="n">
        <f aca="false">IF('Cash Drivers'!AD$26,Support!AC39,Support!AE39)</f>
        <v>7000</v>
      </c>
      <c r="AE39" s="89" t="n">
        <v>7000</v>
      </c>
      <c r="AF39" s="12"/>
      <c r="AG39" s="12" t="n">
        <f aca="false">IF('Cash Drivers'!AG$26,Support!AF39,Support!AH39)</f>
        <v>7000</v>
      </c>
      <c r="AH39" s="90" t="n">
        <v>7000</v>
      </c>
      <c r="AI39" s="13"/>
      <c r="AJ39" s="13" t="n">
        <f aca="false">IF('Cash Drivers'!AJ$26,Support!AI39,Support!AK39)</f>
        <v>7000</v>
      </c>
      <c r="AK39" s="89" t="n">
        <v>7000</v>
      </c>
      <c r="AL39" s="12"/>
      <c r="AM39" s="12" t="n">
        <f aca="false">IF('Cash Drivers'!AM$26,Support!AL39,Support!AN39)</f>
        <v>7000</v>
      </c>
      <c r="AN39" s="90" t="n">
        <v>7000</v>
      </c>
      <c r="AR39" s="91"/>
      <c r="AS39" s="91"/>
      <c r="AT39" s="91"/>
      <c r="AX39" s="91"/>
      <c r="AY39" s="91"/>
      <c r="AZ39" s="91"/>
      <c r="BD39" s="91"/>
      <c r="BE39" s="91"/>
      <c r="BF39" s="91"/>
      <c r="BJ39" s="91"/>
      <c r="BK39" s="91"/>
      <c r="BL39" s="91"/>
      <c r="BP39" s="91"/>
      <c r="BQ39" s="91"/>
      <c r="BR39" s="91"/>
      <c r="BV39" s="91"/>
      <c r="BW39" s="91"/>
      <c r="BX39" s="91"/>
      <c r="CB39" s="91"/>
      <c r="CC39" s="91"/>
      <c r="CD39" s="91"/>
      <c r="CH39" s="91"/>
      <c r="CI39" s="91"/>
      <c r="CJ39" s="91"/>
      <c r="CN39" s="91"/>
      <c r="CO39" s="91"/>
      <c r="CP39" s="91"/>
      <c r="CT39" s="91"/>
      <c r="CU39" s="91"/>
      <c r="CV39" s="91"/>
      <c r="CZ39" s="91"/>
      <c r="DA39" s="91"/>
      <c r="DB39" s="91"/>
      <c r="DF39" s="91"/>
      <c r="DG39" s="91"/>
      <c r="DH39" s="91"/>
      <c r="DL39" s="91"/>
      <c r="DM39" s="91"/>
      <c r="DN39" s="91"/>
    </row>
    <row r="40" customFormat="false" ht="15.75" hidden="false" customHeight="true" outlineLevel="0" collapsed="false">
      <c r="A40" s="5" t="s">
        <v>248</v>
      </c>
      <c r="B40" s="12" t="str">
        <f aca="false">IF(COUNT(AR40,AO40,AL40,AI40,AF40,AC40,Z40,W40,T40,Q40,N40,K40)=0,"",SUM(AR40,AO40,AL40,AI40,AF40,AC40,Z40,W40,T40,Q40,N40,K40))</f>
        <v/>
      </c>
      <c r="C40" s="12" t="n">
        <f aca="false">IF(COUNT(AS40,AP40,AM40,AJ40,AG40,AD40,AA40,X40,U40,R40,O40,L40)=0,"",SUM(AS40,AP40,AM40,AJ40,AG40,AD40,AA40,X40,U40,R40,O40,L40))</f>
        <v>108000</v>
      </c>
      <c r="D40" s="12" t="n">
        <f aca="false">IF(COUNT(AT40,AQ40,AN40,AK40,AH40,AE40,AB40,Y40,V40,S40,P40,M40)=0,"",SUM(AT40,AQ40,AN40,AK40,AH40,AE40,AB40,Y40,V40,S40,P40,M40))</f>
        <v>108000</v>
      </c>
      <c r="E40" s="13" t="str">
        <f aca="false">IF(COUNT(CB40,BY40,BV40,BS40,BP40,BM40,BJ40,BG40,BD40,BA40,AX40,AU40)=0,"",SUM(CB40,BY40,BV40,BS40,BP40,BM40,BJ40,BG40,BD40,BA40,AX40,AU40))</f>
        <v/>
      </c>
      <c r="F40" s="13" t="n">
        <f aca="false">IF(COUNT(CC40,BZ40,BW40,BT40,BQ40,BN40,BK40,BH40,BE40,BB40,AY40,AV40)=0,"",SUM(CC40,BZ40,BW40,BT40,BQ40,BN40,BK40,BH40,BE40,BB40,AY40,AV40))</f>
        <v>45000</v>
      </c>
      <c r="G40" s="13" t="n">
        <f aca="false">IF(COUNT(CD40,CA40,BX40,BU40,BR40,BO40,BL40,BI40,BF40,BC40,AZ40,AW40)=0,"",SUM(CD40,CA40,BX40,BU40,BR40,BO40,BL40,BI40,BF40,BC40,AZ40,AW40))</f>
        <v>45000</v>
      </c>
      <c r="H40" s="12" t="str">
        <f aca="false">IF(COUNT(DL40,DI40,DF40,DC40,CZ40,CW40,CT40,CQ40,CN40,CK40,CH40,CE40)=0,"",SUM(DL40,DI40,DF40,DC40,CZ40,CW40,CT40,CQ40,CN40,CK40,CH40,CE40))</f>
        <v/>
      </c>
      <c r="I40" s="12" t="str">
        <f aca="false">IF(COUNT(DM40,DJ40,DG40,DD40,DA40,CX40,CU40,CR40,CO40,CL40,CI40,CF40)=0,"",SUM(DM40,DJ40,DG40,DD40,DA40,CX40,CU40,CR40,CO40,CL40,CI40,CF40))</f>
        <v/>
      </c>
      <c r="J40" s="12" t="str">
        <f aca="false">IF(COUNT(DN40,DK40,DH40,DE40,DB40,CY40,CV40,CS40,CP40,CM40,CJ40,CG40)=0,"",SUM(DN40,DK40,DH40,DE40,DB40,CY40,CV40,CS40,CP40,CM40,CJ40,CG40))</f>
        <v/>
      </c>
      <c r="K40" s="13"/>
      <c r="L40" s="13" t="n">
        <f aca="false">IF('Cash Drivers'!L$26,Support!K40,Support!M40)</f>
        <v>9000</v>
      </c>
      <c r="M40" s="89" t="n">
        <v>9000</v>
      </c>
      <c r="N40" s="12"/>
      <c r="O40" s="12" t="n">
        <f aca="false">IF('Cash Drivers'!O$26,Support!N40,Support!P40)</f>
        <v>9000</v>
      </c>
      <c r="P40" s="90" t="n">
        <v>9000</v>
      </c>
      <c r="Q40" s="13"/>
      <c r="R40" s="13" t="n">
        <f aca="false">IF('Cash Drivers'!R$26,Support!Q40,Support!S40)</f>
        <v>9000</v>
      </c>
      <c r="S40" s="89" t="n">
        <v>9000</v>
      </c>
      <c r="T40" s="12"/>
      <c r="U40" s="12" t="n">
        <f aca="false">IF('Cash Drivers'!U$26,Support!T40,Support!V40)</f>
        <v>9000</v>
      </c>
      <c r="V40" s="90" t="n">
        <v>9000</v>
      </c>
      <c r="W40" s="13"/>
      <c r="X40" s="13" t="n">
        <f aca="false">IF('Cash Drivers'!X$26,Support!W40,Support!Y40)</f>
        <v>9000</v>
      </c>
      <c r="Y40" s="89" t="n">
        <v>9000</v>
      </c>
      <c r="Z40" s="12"/>
      <c r="AA40" s="12" t="n">
        <f aca="false">IF('Cash Drivers'!AA$26,Support!Z40,Support!AB40)</f>
        <v>9000</v>
      </c>
      <c r="AB40" s="90" t="n">
        <v>9000</v>
      </c>
      <c r="AC40" s="13"/>
      <c r="AD40" s="13" t="n">
        <f aca="false">IF('Cash Drivers'!AD$26,Support!AC40,Support!AE40)</f>
        <v>9000</v>
      </c>
      <c r="AE40" s="89" t="n">
        <v>9000</v>
      </c>
      <c r="AF40" s="12"/>
      <c r="AG40" s="12" t="n">
        <f aca="false">IF('Cash Drivers'!AG$26,Support!AF40,Support!AH40)</f>
        <v>9000</v>
      </c>
      <c r="AH40" s="90" t="n">
        <v>9000</v>
      </c>
      <c r="AI40" s="13"/>
      <c r="AJ40" s="13" t="n">
        <f aca="false">IF('Cash Drivers'!AJ$26,Support!AI40,Support!AK40)</f>
        <v>9000</v>
      </c>
      <c r="AK40" s="89" t="n">
        <v>9000</v>
      </c>
      <c r="AL40" s="12"/>
      <c r="AM40" s="12" t="n">
        <f aca="false">IF('Cash Drivers'!AM$26,Support!AL40,Support!AN40)</f>
        <v>9000</v>
      </c>
      <c r="AN40" s="90" t="n">
        <v>9000</v>
      </c>
      <c r="AO40" s="13"/>
      <c r="AP40" s="13" t="n">
        <f aca="false">IF('Cash Drivers'!AP$26,Support!AO40,Support!AQ40)</f>
        <v>9000</v>
      </c>
      <c r="AQ40" s="89" t="n">
        <v>9000</v>
      </c>
      <c r="AR40" s="12"/>
      <c r="AS40" s="12" t="n">
        <f aca="false">IF('Cash Drivers'!AS$26,Support!AR40,Support!AT40)</f>
        <v>9000</v>
      </c>
      <c r="AT40" s="90" t="n">
        <v>9000</v>
      </c>
      <c r="AU40" s="13"/>
      <c r="AV40" s="13" t="n">
        <f aca="false">IF('Cash Drivers'!AV$26,Support!AU40,Support!AW40)</f>
        <v>9000</v>
      </c>
      <c r="AW40" s="89" t="n">
        <v>9000</v>
      </c>
      <c r="AX40" s="12"/>
      <c r="AY40" s="12" t="n">
        <f aca="false">IF('Cash Drivers'!AY$26,Support!AX40,Support!AZ40)</f>
        <v>9000</v>
      </c>
      <c r="AZ40" s="90" t="n">
        <v>9000</v>
      </c>
      <c r="BA40" s="13"/>
      <c r="BB40" s="13" t="n">
        <f aca="false">IF('Cash Drivers'!BB$26,Support!BA40,Support!BC40)</f>
        <v>9000</v>
      </c>
      <c r="BC40" s="89" t="n">
        <v>9000</v>
      </c>
      <c r="BD40" s="12"/>
      <c r="BE40" s="12" t="n">
        <f aca="false">IF('Cash Drivers'!BE$26,Support!BD40,Support!BF40)</f>
        <v>9000</v>
      </c>
      <c r="BF40" s="90" t="n">
        <v>9000</v>
      </c>
      <c r="BG40" s="13"/>
      <c r="BH40" s="13" t="n">
        <f aca="false">IF('Cash Drivers'!BH$26,Support!BG40,Support!BI40)</f>
        <v>9000</v>
      </c>
      <c r="BI40" s="89" t="n">
        <v>9000</v>
      </c>
      <c r="BJ40" s="91"/>
      <c r="BK40" s="91"/>
      <c r="BL40" s="91"/>
      <c r="BP40" s="91"/>
      <c r="BQ40" s="91"/>
      <c r="BR40" s="91"/>
      <c r="BV40" s="91"/>
      <c r="BW40" s="91"/>
      <c r="BX40" s="91"/>
      <c r="CB40" s="91"/>
      <c r="CC40" s="91"/>
      <c r="CD40" s="91"/>
      <c r="CH40" s="91"/>
      <c r="CI40" s="91"/>
      <c r="CJ40" s="91"/>
      <c r="CN40" s="91"/>
      <c r="CO40" s="91"/>
      <c r="CP40" s="91"/>
      <c r="CT40" s="91"/>
      <c r="CU40" s="91"/>
      <c r="CV40" s="91"/>
      <c r="CZ40" s="91"/>
      <c r="DA40" s="91"/>
      <c r="DB40" s="91"/>
      <c r="DF40" s="91"/>
      <c r="DG40" s="91"/>
      <c r="DH40" s="91"/>
      <c r="DL40" s="91"/>
      <c r="DM40" s="91"/>
      <c r="DN40" s="91"/>
    </row>
    <row r="41" customFormat="false" ht="15.75" hidden="false" customHeight="true" outlineLevel="0" collapsed="false">
      <c r="A41" s="14" t="s">
        <v>186</v>
      </c>
      <c r="B41" s="15" t="str">
        <f aca="false">IF(COUNT(AR41,AO41,AL41,AI41,AF41,AC41,Z41,W41,T41,Q41,N41,K41)=0,"",SUM(AR41,AO41,AL41,AI41,AF41,AC41,Z41,W41,T41,Q41,N41,K41))</f>
        <v/>
      </c>
      <c r="C41" s="15" t="n">
        <f aca="false">IF(COUNT(AS41,AP41,AM41,AJ41,AG41,AD41,AA41,X41,U41,R41,O41,L41)=0,"",SUM(AS41,AP41,AM41,AJ41,AG41,AD41,AA41,X41,U41,R41,O41,L41))</f>
        <v>1138000</v>
      </c>
      <c r="D41" s="15" t="n">
        <f aca="false">IF(COUNT(AT41,AQ41,AN41,AK41,AH41,AE41,AB41,Y41,V41,S41,P41,M41)=0,"",SUM(AT41,AQ41,AN41,AK41,AH41,AE41,AB41,Y41,V41,S41,P41,M41))</f>
        <v>1138000</v>
      </c>
      <c r="E41" s="16" t="str">
        <f aca="false">IF(COUNT(CB41,BY41,BV41,BS41,BP41,BM41,BJ41,BG41,BD41,BA41,AX41,AU41)=0,"",SUM(CB41,BY41,BV41,BS41,BP41,BM41,BJ41,BG41,BD41,BA41,AX41,AU41))</f>
        <v/>
      </c>
      <c r="F41" s="16" t="n">
        <f aca="false">IF(COUNT(CC41,BZ41,BW41,BT41,BQ41,BN41,BK41,BH41,BE41,BB41,AY41,AV41)=0,"",SUM(CC41,BZ41,BW41,BT41,BQ41,BN41,BK41,BH41,BE41,BB41,AY41,AV41))</f>
        <v>928000</v>
      </c>
      <c r="G41" s="16" t="n">
        <f aca="false">IF(COUNT(CD41,CA41,BX41,BU41,BR41,BO41,BL41,BI41,BF41,BC41,AZ41,AW41)=0,"",SUM(CD41,CA41,BX41,BU41,BR41,BO41,BL41,BI41,BF41,BC41,AZ41,AW41))</f>
        <v>928000</v>
      </c>
      <c r="H41" s="15" t="n">
        <f aca="false">IF(COUNT(DL41,DI41,DF41,DC41,CZ41,CW41,CT41,CQ41,CN41,CK41,CH41,CE41)=0,"",SUM(DL41,DI41,DF41,DC41,CZ41,CW41,CT41,CQ41,CN41,CK41,CH41,CE41))</f>
        <v>118000</v>
      </c>
      <c r="I41" s="15" t="n">
        <f aca="false">IF(COUNT(DM41,DJ41,DG41,DD41,DA41,CX41,CU41,CR41,CO41,CL41,CI41,CF41)=0,"",SUM(DM41,DJ41,DG41,DD41,DA41,CX41,CU41,CR41,CO41,CL41,CI41,CF41))</f>
        <v>729000</v>
      </c>
      <c r="J41" s="15" t="n">
        <f aca="false">IF(COUNT(DN41,DK41,DH41,DE41,DB41,CY41,CV41,CS41,CP41,CM41,CJ41,CG41)=0,"",SUM(DN41,DK41,DH41,DE41,DB41,CY41,CV41,CS41,CP41,CM41,CJ41,CG41))</f>
        <v>729000</v>
      </c>
      <c r="K41" s="16" t="str">
        <f aca="false">IF(COUNT(K28,K29,K30,K31,K32,K33,K34,K35,K36,K37,K38,K39,K40)=0,"",SUM(K28:K40))</f>
        <v/>
      </c>
      <c r="L41" s="16" t="n">
        <f aca="false">SUM(L28:L40)</f>
        <v>96000</v>
      </c>
      <c r="M41" s="16" t="n">
        <f aca="false">SUM(M28:M40)</f>
        <v>96000</v>
      </c>
      <c r="N41" s="15" t="str">
        <f aca="false">IF(COUNT(N28,N29,N30,N31,N32,N33,N34,N35,N36,N37,N38,N39,N40)=0,"",SUM(N28:N40))</f>
        <v/>
      </c>
      <c r="O41" s="15" t="n">
        <f aca="false">SUM(O28:O40)</f>
        <v>96000</v>
      </c>
      <c r="P41" s="15" t="n">
        <f aca="false">SUM(P28:P40)</f>
        <v>96000</v>
      </c>
      <c r="Q41" s="16" t="str">
        <f aca="false">IF(COUNT(Q28,Q29,Q30,Q31,Q32,Q33,Q34,Q35,Q36,Q37,Q38,Q39,Q40)=0,"",SUM(Q28:Q40))</f>
        <v/>
      </c>
      <c r="R41" s="16" t="n">
        <f aca="false">SUM(R28:R40)</f>
        <v>96000</v>
      </c>
      <c r="S41" s="16" t="n">
        <f aca="false">SUM(S28:S40)</f>
        <v>96000</v>
      </c>
      <c r="T41" s="15" t="str">
        <f aca="false">IF(COUNT(T28,T29,T30,T31,T32,T33,T34,T35,T36,T37,T38,T39,T40)=0,"",SUM(T28:T40))</f>
        <v/>
      </c>
      <c r="U41" s="15" t="n">
        <f aca="false">SUM(U28:U40)</f>
        <v>96000</v>
      </c>
      <c r="V41" s="15" t="n">
        <f aca="false">SUM(V28:V40)</f>
        <v>96000</v>
      </c>
      <c r="W41" s="16" t="str">
        <f aca="false">IF(COUNT(W28,W29,W30,W31,W32,W33,W34,W35,W36,W37,W38,W39,W40)=0,"",SUM(W28:W40))</f>
        <v/>
      </c>
      <c r="X41" s="16" t="n">
        <f aca="false">SUM(X28:X40)</f>
        <v>96000</v>
      </c>
      <c r="Y41" s="16" t="n">
        <f aca="false">SUM(Y28:Y40)</f>
        <v>96000</v>
      </c>
      <c r="Z41" s="15" t="str">
        <f aca="false">IF(COUNT(Z28,Z29,Z30,Z31,Z32,Z33,Z34,Z35,Z36,Z37,Z38,Z39,Z40)=0,"",SUM(Z28:Z40))</f>
        <v/>
      </c>
      <c r="AA41" s="15" t="n">
        <f aca="false">SUM(AA28:AA40)</f>
        <v>96000</v>
      </c>
      <c r="AB41" s="15" t="n">
        <f aca="false">SUM(AB28:AB40)</f>
        <v>96000</v>
      </c>
      <c r="AC41" s="16" t="str">
        <f aca="false">IF(COUNT(AC28,AC29,AC30,AC31,AC32,AC33,AC34,AC35,AC36,AC37,AC38,AC39,AC40)=0,"",SUM(AC28:AC40))</f>
        <v/>
      </c>
      <c r="AD41" s="16" t="n">
        <f aca="false">SUM(AD28:AD40)</f>
        <v>96000</v>
      </c>
      <c r="AE41" s="16" t="n">
        <f aca="false">SUM(AE28:AE40)</f>
        <v>96000</v>
      </c>
      <c r="AF41" s="15" t="str">
        <f aca="false">IF(COUNT(AF28,AF29,AF30,AF31,AF32,AF33,AF34,AF35,AF36,AF37,AF38,AF39,AF40)=0,"",SUM(AF28:AF40))</f>
        <v/>
      </c>
      <c r="AG41" s="15" t="n">
        <f aca="false">SUM(AG28:AG40)</f>
        <v>96000</v>
      </c>
      <c r="AH41" s="15" t="n">
        <f aca="false">SUM(AH28:AH40)</f>
        <v>96000</v>
      </c>
      <c r="AI41" s="16" t="str">
        <f aca="false">IF(COUNT(AI28,AI29,AI30,AI31,AI32,AI33,AI34,AI35,AI36,AI37,AI38,AI39,AI40)=0,"",SUM(AI28:AI40))</f>
        <v/>
      </c>
      <c r="AJ41" s="16" t="n">
        <f aca="false">SUM(AJ28:AJ40)</f>
        <v>96000</v>
      </c>
      <c r="AK41" s="16" t="n">
        <f aca="false">SUM(AK28:AK40)</f>
        <v>96000</v>
      </c>
      <c r="AL41" s="15" t="str">
        <f aca="false">IF(COUNT(AL28,AL29,AL30,AL31,AL32,AL33,AL34,AL35,AL36,AL37,AL38,AL39,AL40)=0,"",SUM(AL28:AL40))</f>
        <v/>
      </c>
      <c r="AM41" s="15" t="n">
        <f aca="false">SUM(AM28:AM40)</f>
        <v>96000</v>
      </c>
      <c r="AN41" s="15" t="n">
        <f aca="false">SUM(AN28:AN40)</f>
        <v>96000</v>
      </c>
      <c r="AO41" s="16" t="str">
        <f aca="false">IF(COUNT(AO28,AO29,AO30,AO31,AO32,AO33,AO34,AO35,AO36,AO37,AO38,AO40)=0,"",SUM(AO28:AO40))</f>
        <v/>
      </c>
      <c r="AP41" s="16" t="n">
        <f aca="false">SUM(AP28:AP40)</f>
        <v>89000</v>
      </c>
      <c r="AQ41" s="16" t="n">
        <f aca="false">SUM(AQ28:AQ40)</f>
        <v>89000</v>
      </c>
      <c r="AR41" s="15" t="str">
        <f aca="false">IF(COUNT(AR28,AR29,AR30,AR31,AR32,AR33,AR34,AR35,AR36,AR37,AR38,AR40)=0,"",SUM(AR28:AR40))</f>
        <v/>
      </c>
      <c r="AS41" s="15" t="n">
        <f aca="false">SUM(AS28:AS40)</f>
        <v>89000</v>
      </c>
      <c r="AT41" s="15" t="n">
        <f aca="false">SUM(AT28:AT40)</f>
        <v>89000</v>
      </c>
      <c r="AU41" s="16" t="str">
        <f aca="false">IF(COUNT(AU28,AU29,AU30,AU31,AU32,AU33,AU34,AU35,AU36,AU37,AU38,AU40)=0,"",SUM(AU28:AU40))</f>
        <v/>
      </c>
      <c r="AV41" s="16" t="n">
        <f aca="false">SUM(AV28:AV40)</f>
        <v>89000</v>
      </c>
      <c r="AW41" s="16" t="n">
        <f aca="false">SUM(AW28:AW40)</f>
        <v>89000</v>
      </c>
      <c r="AX41" s="15" t="str">
        <f aca="false">IF(COUNT(AX28,AX29,AX30,AX31,AX32,AX33,AX34,AX35,AX36,AX37,AX38,AX40)=0,"",SUM(AX28:AX40))</f>
        <v/>
      </c>
      <c r="AY41" s="15" t="n">
        <f aca="false">SUM(AY28:AY40)</f>
        <v>89000</v>
      </c>
      <c r="AZ41" s="15" t="n">
        <f aca="false">SUM(AZ28:AZ40)</f>
        <v>89000</v>
      </c>
      <c r="BA41" s="16" t="str">
        <f aca="false">IF(COUNT(BA28,BA29,BA30,BA31,BA32,BA33,BA34,BA35,BA36,BA37,BA38,BA40)=0,"",SUM(BA28:BA40))</f>
        <v/>
      </c>
      <c r="BB41" s="16" t="n">
        <f aca="false">SUM(BB28:BB40)</f>
        <v>89000</v>
      </c>
      <c r="BC41" s="16" t="n">
        <f aca="false">SUM(BC28:BC40)</f>
        <v>89000</v>
      </c>
      <c r="BD41" s="15" t="str">
        <f aca="false">IF(COUNT(BD28,BD29,BD30,BD31,BD32,BD33,BD34,BD35,BD36,BD37,BD38,BD40)=0,"",SUM(BD28:BD40))</f>
        <v/>
      </c>
      <c r="BE41" s="15" t="n">
        <f aca="false">SUM(BE28:BE40)</f>
        <v>89000</v>
      </c>
      <c r="BF41" s="15" t="n">
        <f aca="false">SUM(BF28:BF40)</f>
        <v>89000</v>
      </c>
      <c r="BG41" s="16" t="str">
        <f aca="false">IF(COUNT(BG28,BG29,BG30,BG31,BG32,BG33,BG34,BG35,BG36,BG37,BG40)=0,"",SUM(BG28:BG40))</f>
        <v/>
      </c>
      <c r="BH41" s="16" t="n">
        <f aca="false">SUM(BH28:BH40)</f>
        <v>82000</v>
      </c>
      <c r="BI41" s="16" t="n">
        <f aca="false">SUM(BI28:BI40)</f>
        <v>82000</v>
      </c>
      <c r="BJ41" s="15" t="str">
        <f aca="false">IF(COUNT(BJ28,BJ29,BJ30,BJ31,BJ32,BJ33,BJ34,BJ35,BJ36,BJ37)=0,"",SUM(BJ28:BJ40))</f>
        <v/>
      </c>
      <c r="BK41" s="15" t="n">
        <f aca="false">SUM(BK28:BK40)</f>
        <v>73000</v>
      </c>
      <c r="BL41" s="15" t="n">
        <f aca="false">SUM(BL28:BL40)</f>
        <v>73000</v>
      </c>
      <c r="BM41" s="16" t="str">
        <f aca="false">IF(COUNT(BM28,BM29,BM30,BM31,BM32,BM33,BM34,BM35,BM36,BM37)=0,"",SUM(BM28:BM40))</f>
        <v/>
      </c>
      <c r="BN41" s="16" t="n">
        <f aca="false">SUM(BN28:BN40)</f>
        <v>73000</v>
      </c>
      <c r="BO41" s="16" t="n">
        <f aca="false">SUM(BO28:BO40)</f>
        <v>73000</v>
      </c>
      <c r="BP41" s="15" t="str">
        <f aca="false">IF(COUNT(BP28,BP29,BP30,BP31,BP32,BP33,BP34,BP35,BP36,BP37)=0,"",SUM(BP28:BP40))</f>
        <v/>
      </c>
      <c r="BQ41" s="15" t="n">
        <f aca="false">SUM(BQ28:BQ40)</f>
        <v>73000</v>
      </c>
      <c r="BR41" s="15" t="n">
        <f aca="false">SUM(BR28:BR40)</f>
        <v>73000</v>
      </c>
      <c r="BS41" s="16" t="str">
        <f aca="false">IF(COUNT(BS28,BS29,BS30,BS31,BS32,BS33,BS34,BS35,BS36,BS37)=0,"",SUM(BS28:BS40))</f>
        <v/>
      </c>
      <c r="BT41" s="16" t="n">
        <f aca="false">SUM(BT28:BT40)</f>
        <v>73000</v>
      </c>
      <c r="BU41" s="16" t="n">
        <f aca="false">SUM(BU28:BU40)</f>
        <v>73000</v>
      </c>
      <c r="BV41" s="15" t="str">
        <f aca="false">IF(COUNT(BV28,BV29,BV30,BV31,BV32,BV33,BV34,BV35,BV36)=0,"",SUM(BV28:BV40))</f>
        <v/>
      </c>
      <c r="BW41" s="15" t="n">
        <f aca="false">SUM(BW28:BW40)</f>
        <v>66000</v>
      </c>
      <c r="BX41" s="15" t="n">
        <f aca="false">SUM(BX28:BX40)</f>
        <v>66000</v>
      </c>
      <c r="BY41" s="16" t="str">
        <f aca="false">IF(COUNT(BY28,BY29,BY30,BY31,BY32,BY33,BY34,BY35,BY36)=0,"",SUM(BY28:BY40))</f>
        <v/>
      </c>
      <c r="BZ41" s="16" t="n">
        <f aca="false">SUM(BZ28:BZ40)</f>
        <v>66000</v>
      </c>
      <c r="CA41" s="16" t="n">
        <f aca="false">SUM(CA28:CA40)</f>
        <v>66000</v>
      </c>
      <c r="CB41" s="15" t="str">
        <f aca="false">IF(COUNT(CB28,CB29,CB30,CB31,CB32,CB33,CB34,CB35,CB36)=0,"",SUM(CB28:CB40))</f>
        <v/>
      </c>
      <c r="CC41" s="15" t="n">
        <f aca="false">SUM(CC28:CC40)</f>
        <v>66000</v>
      </c>
      <c r="CD41" s="15" t="n">
        <f aca="false">SUM(CD28:CD40)</f>
        <v>66000</v>
      </c>
      <c r="CE41" s="16" t="str">
        <f aca="false">IF(COUNT(CE28,CE29,CE30,CE31,CE32,CE33,CE34,CE35,CE36)=0,"",SUM(CE28:CE40))</f>
        <v/>
      </c>
      <c r="CF41" s="16" t="n">
        <f aca="false">SUM(CF28:CF40)</f>
        <v>66000</v>
      </c>
      <c r="CG41" s="16" t="n">
        <f aca="false">SUM(CG28:CG40)</f>
        <v>66000</v>
      </c>
      <c r="CH41" s="15" t="str">
        <f aca="false">IF(COUNT(CH28,CH29,CH30,CH31,CH32,CH33,CH34,CH35,CH36)=0,"",SUM(CH28:CH40))</f>
        <v/>
      </c>
      <c r="CI41" s="15" t="n">
        <f aca="false">SUM(CI28:CI40)</f>
        <v>66000</v>
      </c>
      <c r="CJ41" s="15" t="n">
        <f aca="false">SUM(CJ28:CJ40)</f>
        <v>66000</v>
      </c>
      <c r="CK41" s="16" t="str">
        <f aca="false">IF(COUNT(CK28,CK29,CK30,CK31,CK32,CK33,CK34,CK35,CK36)=0,"",SUM(CK28:CK40))</f>
        <v/>
      </c>
      <c r="CL41" s="16" t="n">
        <f aca="false">SUM(CL28:CL40)</f>
        <v>66000</v>
      </c>
      <c r="CM41" s="16" t="n">
        <f aca="false">SUM(CM28:CM40)</f>
        <v>66000</v>
      </c>
      <c r="CN41" s="15" t="str">
        <f aca="false">IF(COUNT(CN28,CN29,CN30,CN31,CN32,CN33,CN34,CN35)=0,"",SUM(CN28:CN40))</f>
        <v/>
      </c>
      <c r="CO41" s="15" t="n">
        <f aca="false">SUM(CO28:CO40)</f>
        <v>59000</v>
      </c>
      <c r="CP41" s="15" t="n">
        <f aca="false">SUM(CP28:CP40)</f>
        <v>59000</v>
      </c>
      <c r="CQ41" s="16" t="str">
        <f aca="false">IF(COUNT(CQ28,CQ29,CQ30,CQ31,CQ32,CQ33,CQ34,CQ35)=0,"",SUM(CQ28:CQ40))</f>
        <v/>
      </c>
      <c r="CR41" s="16" t="n">
        <f aca="false">SUM(CR28:CR40)</f>
        <v>59000</v>
      </c>
      <c r="CS41" s="16" t="n">
        <f aca="false">SUM(CS28:CS40)</f>
        <v>59000</v>
      </c>
      <c r="CT41" s="15" t="str">
        <f aca="false">IF(COUNT(CT28,CT29,CT30,CT31,CT32,CT33,CT34,CT35)=0,"",SUM(CT28:CT40))</f>
        <v/>
      </c>
      <c r="CU41" s="15" t="n">
        <f aca="false">SUM(CU28:CU40)</f>
        <v>59000</v>
      </c>
      <c r="CV41" s="15" t="n">
        <f aca="false">SUM(CV28:CV40)</f>
        <v>59000</v>
      </c>
      <c r="CW41" s="16" t="str">
        <f aca="false">IF(COUNT(CW28,CW29,CW30,CW31,CW32,CW33,CW34,CW35)=0,"",SUM(CW28:CW40))</f>
        <v/>
      </c>
      <c r="CX41" s="16" t="n">
        <f aca="false">SUM(CX28:CX40)</f>
        <v>59000</v>
      </c>
      <c r="CY41" s="16" t="n">
        <f aca="false">SUM(CY28:CY40)</f>
        <v>59000</v>
      </c>
      <c r="CZ41" s="15" t="str">
        <f aca="false">IF(COUNT(CZ28,CZ29,CZ30,CZ31,CZ32,CZ33,CZ34,CZ35)=0,"",SUM(CZ28:CZ40))</f>
        <v/>
      </c>
      <c r="DA41" s="15" t="n">
        <f aca="false">SUM(DA28:DA40)</f>
        <v>59000</v>
      </c>
      <c r="DB41" s="15" t="n">
        <f aca="false">SUM(DB28:DB40)</f>
        <v>59000</v>
      </c>
      <c r="DC41" s="16" t="str">
        <f aca="false">IF(COUNT(DC28,DC29,DC30,DC31,DC32,DC33,DC34,DC35)=0,"",SUM(DC28:DC40))</f>
        <v/>
      </c>
      <c r="DD41" s="16" t="n">
        <f aca="false">SUM(DD28:DD40)</f>
        <v>59000</v>
      </c>
      <c r="DE41" s="16" t="n">
        <f aca="false">SUM(DE28:DE40)</f>
        <v>59000</v>
      </c>
      <c r="DF41" s="15" t="str">
        <f aca="false">IF(COUNT(DF28,DF29,DF30,DF31,DF32,DF33,DF34,DF35)=0,"",SUM(DF28:DF40))</f>
        <v/>
      </c>
      <c r="DG41" s="15" t="n">
        <f aca="false">SUM(DG28:DG40)</f>
        <v>59000</v>
      </c>
      <c r="DH41" s="15" t="n">
        <f aca="false">SUM(DH28:DH40)</f>
        <v>59000</v>
      </c>
      <c r="DI41" s="16" t="n">
        <f aca="false">IF(COUNT(DI28,DI29,DI30,DI31,DI32,DI33,DI34,DI35)=0,"",SUM(DI28:DI40))</f>
        <v>59000</v>
      </c>
      <c r="DJ41" s="16" t="n">
        <f aca="false">SUM(DJ28:DJ40)</f>
        <v>59000</v>
      </c>
      <c r="DK41" s="16" t="n">
        <f aca="false">SUM(DK28:DK40)</f>
        <v>59000</v>
      </c>
      <c r="DL41" s="15" t="n">
        <f aca="false">IF(COUNT(DL28,DL29,DL30,DL31,DL32,DL33,DL34,DL35)=0,"",SUM(DL28:DL40))</f>
        <v>59000</v>
      </c>
      <c r="DM41" s="15" t="n">
        <f aca="false">SUM(DM28:DM40)</f>
        <v>59000</v>
      </c>
      <c r="DN41" s="15" t="n">
        <f aca="false">SUM(DN28:DN40)</f>
        <v>59000</v>
      </c>
    </row>
    <row r="42" customFormat="false" ht="15.75" hidden="false" customHeight="true" outlineLevel="0" collapsed="false">
      <c r="A42" s="5" t="s">
        <v>187</v>
      </c>
      <c r="B42" s="23" t="str">
        <f aca="false">IF(K42&lt;&gt;"",K42,IF(N42&lt;&gt;"",N42,IF(Q42&lt;&gt;"",Q42,IF(T42&lt;&gt;"",T42,IF(W42&lt;&gt;"",W42,IF(Z42&lt;&gt;"",Z42,IF(AC42&lt;&gt;"",AC42,IF(AF42&lt;&gt;"",AF42,IF(AI42&lt;&gt;"",AI42,IF(AL42&lt;&gt;"",AL42,IF(AO42&lt;&gt;"",AO42,IF(AR42&lt;&gt;"",AR42,""))))))))))))</f>
        <v/>
      </c>
      <c r="C42" s="23" t="n">
        <f aca="false">IF(L42&lt;&gt;"",L42,IF(O42&lt;&gt;"",O42,IF(R42&lt;&gt;"",R42,IF(U42&lt;&gt;"",U42,IF(X42&lt;&gt;"",X42,IF(AA42&lt;&gt;"",AA42,IF(AD42&lt;&gt;"",AD42,IF(AG42&lt;&gt;"",AG42,IF(AJ42&lt;&gt;"",AJ42,IF(AM42&lt;&gt;"",AM42,IF(AP42&lt;&gt;"",AP42,IF(AS42&lt;&gt;"",AS42,""))))))))))))</f>
        <v>13</v>
      </c>
      <c r="D42" s="23" t="n">
        <f aca="false">IF(M42&lt;&gt;"",M42,IF(P42&lt;&gt;"",P42,IF(S42&lt;&gt;"",S42,IF(V42&lt;&gt;"",V42,IF(Y42&lt;&gt;"",Y42,IF(AB42&lt;&gt;"",AB42,IF(AE42&lt;&gt;"",AE42,IF(AH42&lt;&gt;"",AH42,IF(AK42&lt;&gt;"",AK42,IF(AN42&lt;&gt;"",AN42,IF(AQ42&lt;&gt;"",AQ42,IF(AT42&lt;&gt;"",AT42,""))))))))))))</f>
        <v>13</v>
      </c>
      <c r="E42" s="2" t="str">
        <f aca="false">IF(AU42&lt;&gt;"",AU42,IF(AX42&lt;&gt;"",AX42,IF(BA42&lt;&gt;"",BA42,IF(BD42&lt;&gt;"",BD42,IF(BG42&lt;&gt;"",BG42,IF(BJ42&lt;&gt;"",BJ42,IF(BM42&lt;&gt;"",BM42,IF(BP42&lt;&gt;"",BP42,IF(BS42&lt;&gt;"",BS42,IF(BV42&lt;&gt;"",BV42,IF(BY42&lt;&gt;"",BY42,IF(CB42&lt;&gt;"",CB42,""))))))))))))</f>
        <v/>
      </c>
      <c r="F42" s="2" t="n">
        <f aca="false">IF(AV42&lt;&gt;"",AV42,IF(AY42&lt;&gt;"",AY42,IF(BB42&lt;&gt;"",BB42,IF(BE42&lt;&gt;"",BE42,IF(BH42&lt;&gt;"",BH42,IF(BK42&lt;&gt;"",BK42,IF(BN42&lt;&gt;"",BN42,IF(BQ42&lt;&gt;"",BQ42,IF(BT42&lt;&gt;"",BT42,IF(BW42&lt;&gt;"",BW42,IF(BZ42&lt;&gt;"",BZ42,IF(CC42&lt;&gt;"",CC42,""))))))))))))</f>
        <v>12</v>
      </c>
      <c r="G42" s="2" t="n">
        <f aca="false">IF(AW42&lt;&gt;"",AW42,IF(AZ42&lt;&gt;"",AZ42,IF(BC42&lt;&gt;"",BC42,IF(BF42&lt;&gt;"",BF42,IF(BI42&lt;&gt;"",BI42,IF(BL42&lt;&gt;"",BL42,IF(BO42&lt;&gt;"",BO42,IF(BR42&lt;&gt;"",BR42,IF(BU42&lt;&gt;"",BU42,IF(BX42&lt;&gt;"",BX42,IF(CA42&lt;&gt;"",CA42,IF(CD42&lt;&gt;"",CD42,""))))))))))))</f>
        <v>12</v>
      </c>
      <c r="H42" s="23" t="n">
        <f aca="false">IF(CE42&lt;&gt;"",CE42,IF(CH42&lt;&gt;"",CH42,IF(CK42&lt;&gt;"",CK42,IF(CN42&lt;&gt;"",CN42,IF(CQ42&lt;&gt;"",CQ42,IF(CT42&lt;&gt;"",CT42,IF(CW42&lt;&gt;"",CW42,IF(CZ42&lt;&gt;"",CZ42,IF(DC42&lt;&gt;"",DC42,IF(DF42&lt;&gt;"",DF42,IF(DI42&lt;&gt;"",DI42,IF(DL42&lt;&gt;"",DL42,""))))))))))))</f>
        <v>8</v>
      </c>
      <c r="I42" s="23" t="n">
        <f aca="false">IF(CF42&lt;&gt;"",CF42,IF(CI42&lt;&gt;"",CI42,IF(CL42&lt;&gt;"",CL42,IF(CO42&lt;&gt;"",CO42,IF(CR42&lt;&gt;"",CR42,IF(CU42&lt;&gt;"",CU42,IF(CX42&lt;&gt;"",CX42,IF(DA42&lt;&gt;"",DA42,IF(DD42&lt;&gt;"",DD42,IF(DG42&lt;&gt;"",DG42,IF(DJ42&lt;&gt;"",DJ42,IF(DM42&lt;&gt;"",DM42,""))))))))))))</f>
        <v>9</v>
      </c>
      <c r="J42" s="23" t="n">
        <f aca="false">IF(CG42&lt;&gt;"",CG42,IF(CJ42&lt;&gt;"",CJ42,IF(CM42&lt;&gt;"",CM42,IF(CP42&lt;&gt;"",CP42,IF(CS42&lt;&gt;"",CS42,IF(CV42&lt;&gt;"",CV42,IF(CY42&lt;&gt;"",CY42,IF(DB42&lt;&gt;"",DB42,IF(DE42&lt;&gt;"",DE42,IF(DH42&lt;&gt;"",DH42,IF(DK42&lt;&gt;"",DK42,IF(DN42&lt;&gt;"",DN42,""))))))))))))</f>
        <v>9</v>
      </c>
      <c r="K42" s="2" t="str">
        <f aca="false">IF(COUNT(K28,K29,K30,K31,K32,K33,K34,K35,K36,K37,K38,K39,K40)=0,"",COUNT(K28:K40))</f>
        <v/>
      </c>
      <c r="L42" s="2" t="n">
        <f aca="false">COUNT(L28:L40)</f>
        <v>13</v>
      </c>
      <c r="M42" s="2" t="n">
        <f aca="false">COUNT(M28:M40)</f>
        <v>13</v>
      </c>
      <c r="N42" s="23" t="str">
        <f aca="false">IF(COUNT(N28,N29,N30,N31,N32,N33,N34,N35,N36,N37,N38,N39,N40)=0,"",COUNT(N28:N40))</f>
        <v/>
      </c>
      <c r="O42" s="23" t="n">
        <f aca="false">COUNT(O28:O40)</f>
        <v>13</v>
      </c>
      <c r="P42" s="23" t="n">
        <f aca="false">COUNT(P28:P40)</f>
        <v>13</v>
      </c>
      <c r="Q42" s="2" t="str">
        <f aca="false">IF(COUNT(Q28,Q29,Q30,Q31,Q32,Q33,Q34,Q35,Q36,Q37,Q38,Q39,Q40)=0,"",COUNT(Q28:Q40))</f>
        <v/>
      </c>
      <c r="R42" s="2" t="n">
        <f aca="false">COUNT(R28:R40)</f>
        <v>13</v>
      </c>
      <c r="S42" s="2" t="n">
        <f aca="false">COUNT(S28:S40)</f>
        <v>13</v>
      </c>
      <c r="T42" s="23" t="str">
        <f aca="false">IF(COUNT(T28,T29,T30,T31,T32,T33,T34,T35,T36,T37,T38,T39,T40)=0,"",COUNT(T28:T40))</f>
        <v/>
      </c>
      <c r="U42" s="23" t="n">
        <f aca="false">COUNT(U28:U40)</f>
        <v>13</v>
      </c>
      <c r="V42" s="23" t="n">
        <f aca="false">COUNT(V28:V40)</f>
        <v>13</v>
      </c>
      <c r="W42" s="2" t="str">
        <f aca="false">IF(COUNT(W28,W29,W30,W31,W32,W33,W34,W35,W36,W37,W38,W39,W40)=0,"",COUNT(W28:W40))</f>
        <v/>
      </c>
      <c r="X42" s="2" t="n">
        <f aca="false">COUNT(X28:X40)</f>
        <v>13</v>
      </c>
      <c r="Y42" s="2" t="n">
        <f aca="false">COUNT(Y28:Y40)</f>
        <v>13</v>
      </c>
      <c r="Z42" s="23" t="str">
        <f aca="false">IF(COUNT(Z28,Z29,Z30,Z31,Z32,Z33,Z34,Z35,Z36,Z37,Z38,Z39,Z40)=0,"",COUNT(Z28:Z40))</f>
        <v/>
      </c>
      <c r="AA42" s="23" t="n">
        <f aca="false">COUNT(AA28:AA40)</f>
        <v>13</v>
      </c>
      <c r="AB42" s="23" t="n">
        <f aca="false">COUNT(AB28:AB40)</f>
        <v>13</v>
      </c>
      <c r="AC42" s="2" t="str">
        <f aca="false">IF(COUNT(AC28,AC29,AC30,AC31,AC32,AC33,AC34,AC35,AC36,AC37,AC38,AC39,AC40)=0,"",COUNT(AC28:AC40))</f>
        <v/>
      </c>
      <c r="AD42" s="2" t="n">
        <f aca="false">COUNT(AD28:AD40)</f>
        <v>13</v>
      </c>
      <c r="AE42" s="2" t="n">
        <f aca="false">COUNT(AE28:AE40)</f>
        <v>13</v>
      </c>
      <c r="AF42" s="23" t="str">
        <f aca="false">IF(COUNT(AF28,AF29,AF30,AF31,AF32,AF33,AF34,AF35,AF36,AF37,AF38,AF39,AF40)=0,"",COUNT(AF28:AF40))</f>
        <v/>
      </c>
      <c r="AG42" s="23" t="n">
        <f aca="false">COUNT(AG28:AG40)</f>
        <v>13</v>
      </c>
      <c r="AH42" s="23" t="n">
        <f aca="false">COUNT(AH28:AH40)</f>
        <v>13</v>
      </c>
      <c r="AI42" s="2" t="str">
        <f aca="false">IF(COUNT(AI28,AI29,AI30,AI31,AI32,AI33,AI34,AI35,AI36,AI37,AI38,AI39,AI40)=0,"",COUNT(AI28:AI40))</f>
        <v/>
      </c>
      <c r="AJ42" s="2" t="n">
        <f aca="false">COUNT(AJ28:AJ40)</f>
        <v>13</v>
      </c>
      <c r="AK42" s="2" t="n">
        <f aca="false">COUNT(AK28:AK40)</f>
        <v>13</v>
      </c>
      <c r="AL42" s="23" t="str">
        <f aca="false">IF(COUNT(AL28,AL29,AL30,AL31,AL32,AL33,AL34,AL35,AL36,AL37,AL38,AL39,AL40)=0,"",COUNT(AL28:AL40))</f>
        <v/>
      </c>
      <c r="AM42" s="23" t="n">
        <f aca="false">COUNT(AM28:AM40)</f>
        <v>13</v>
      </c>
      <c r="AN42" s="23" t="n">
        <f aca="false">COUNT(AN28:AN40)</f>
        <v>13</v>
      </c>
      <c r="AO42" s="2" t="str">
        <f aca="false">IF(COUNT(AO28,AO29,AO30,AO31,AO32,AO33,AO34,AO35,AO36,AO37,AO38,AO40)=0,"",COUNT(AO28:AO40))</f>
        <v/>
      </c>
      <c r="AP42" s="2" t="n">
        <f aca="false">COUNT(AP28:AP40)</f>
        <v>12</v>
      </c>
      <c r="AQ42" s="2" t="n">
        <f aca="false">COUNT(AQ28:AQ40)</f>
        <v>12</v>
      </c>
      <c r="AR42" s="23" t="str">
        <f aca="false">IF(COUNT(AR28,AR29,AR30,AR31,AR32,AR33,AR34,AR35,AR36,AR37,AR38,AR40)=0,"",COUNT(AR28:AR40))</f>
        <v/>
      </c>
      <c r="AS42" s="23" t="n">
        <f aca="false">COUNT(AS28:AS40)</f>
        <v>12</v>
      </c>
      <c r="AT42" s="23" t="n">
        <f aca="false">COUNT(AT28:AT40)</f>
        <v>12</v>
      </c>
      <c r="AU42" s="2" t="str">
        <f aca="false">IF(COUNT(AU28,AU29,AU30,AU31,AU32,AU33,AU34,AU35,AU36,AU37,AU38,AU40)=0,"",COUNT(AU28:AU40))</f>
        <v/>
      </c>
      <c r="AV42" s="2" t="n">
        <f aca="false">COUNT(AV28:AV40)</f>
        <v>12</v>
      </c>
      <c r="AW42" s="2" t="n">
        <f aca="false">COUNT(AW28:AW40)</f>
        <v>12</v>
      </c>
      <c r="AX42" s="23" t="str">
        <f aca="false">IF(COUNT(AX28,AX29,AX30,AX31,AX32,AX33,AX34,AX35,AX36,AX37,AX38,AX40)=0,"",COUNT(AX28:AX40))</f>
        <v/>
      </c>
      <c r="AY42" s="23" t="n">
        <f aca="false">COUNT(AY28:AY40)</f>
        <v>12</v>
      </c>
      <c r="AZ42" s="23" t="n">
        <f aca="false">COUNT(AZ28:AZ40)</f>
        <v>12</v>
      </c>
      <c r="BA42" s="2" t="str">
        <f aca="false">IF(COUNT(BA28,BA29,BA30,BA31,BA32,BA33,BA34,BA35,BA36,BA37,BA38,BA40)=0,"",COUNT(BA28:BA40))</f>
        <v/>
      </c>
      <c r="BB42" s="2" t="n">
        <f aca="false">COUNT(BB28:BB40)</f>
        <v>12</v>
      </c>
      <c r="BC42" s="2" t="n">
        <f aca="false">COUNT(BC28:BC40)</f>
        <v>12</v>
      </c>
      <c r="BD42" s="23" t="str">
        <f aca="false">IF(COUNT(BD28,BD29,BD30,BD31,BD32,BD33,BD34,BD35,BD36,BD37,BD38,BD40)=0,"",COUNT(BD28:BD40))</f>
        <v/>
      </c>
      <c r="BE42" s="23" t="n">
        <f aca="false">COUNT(BE28:BE40)</f>
        <v>12</v>
      </c>
      <c r="BF42" s="23" t="n">
        <f aca="false">COUNT(BF28:BF40)</f>
        <v>12</v>
      </c>
      <c r="BG42" s="2" t="str">
        <f aca="false">IF(COUNT(BG28,BG29,BG30,BG31,BG32,BG33,BG34,BG35,BG36,BG37,BG40)=0,"",COUNT(BG28:BG40))</f>
        <v/>
      </c>
      <c r="BH42" s="2" t="n">
        <f aca="false">COUNT(BH28:BH40)</f>
        <v>11</v>
      </c>
      <c r="BI42" s="2" t="n">
        <f aca="false">COUNT(BI28:BI40)</f>
        <v>11</v>
      </c>
      <c r="BJ42" s="23" t="str">
        <f aca="false">IF(COUNT(BJ28,BJ29,BJ30,BJ31,BJ32,BJ33,BJ34,BJ35,BJ36,BJ37)=0,"",COUNT(BJ28:BJ40))</f>
        <v/>
      </c>
      <c r="BK42" s="23" t="n">
        <f aca="false">COUNT(BK28:BK40)</f>
        <v>10</v>
      </c>
      <c r="BL42" s="23" t="n">
        <f aca="false">COUNT(BL28:BL40)</f>
        <v>10</v>
      </c>
      <c r="BM42" s="2" t="str">
        <f aca="false">IF(COUNT(BM28,BM29,BM30,BM31,BM32,BM33,BM34,BM35,BM36,BM37)=0,"",COUNT(BM28:BM40))</f>
        <v/>
      </c>
      <c r="BN42" s="2" t="n">
        <f aca="false">COUNT(BN28:BN40)</f>
        <v>10</v>
      </c>
      <c r="BO42" s="2" t="n">
        <f aca="false">COUNT(BO28:BO40)</f>
        <v>10</v>
      </c>
      <c r="BP42" s="23" t="str">
        <f aca="false">IF(COUNT(BP28,BP29,BP30,BP31,BP32,BP33,BP34,BP35,BP36,BP37)=0,"",COUNT(BP28:BP40))</f>
        <v/>
      </c>
      <c r="BQ42" s="23" t="n">
        <f aca="false">COUNT(BQ28:BQ40)</f>
        <v>10</v>
      </c>
      <c r="BR42" s="23" t="n">
        <f aca="false">COUNT(BR28:BR40)</f>
        <v>10</v>
      </c>
      <c r="BS42" s="2" t="str">
        <f aca="false">IF(COUNT(BS28,BS29,BS30,BS31,BS32,BS33,BS34,BS35,BS36,BS37)=0,"",COUNT(BS28:BS40))</f>
        <v/>
      </c>
      <c r="BT42" s="2" t="n">
        <f aca="false">COUNT(BT28:BT40)</f>
        <v>10</v>
      </c>
      <c r="BU42" s="2" t="n">
        <f aca="false">COUNT(BU28:BU40)</f>
        <v>10</v>
      </c>
      <c r="BV42" s="23" t="str">
        <f aca="false">IF(COUNT(BV28,BV29,BV30,BV31,BV32,BV33,BV34,BV35,BV36)=0,"",COUNT(BV28:BV40))</f>
        <v/>
      </c>
      <c r="BW42" s="23" t="n">
        <f aca="false">COUNT(BW28:BW40)</f>
        <v>9</v>
      </c>
      <c r="BX42" s="23" t="n">
        <f aca="false">COUNT(BX28:BX40)</f>
        <v>9</v>
      </c>
      <c r="BY42" s="2" t="str">
        <f aca="false">IF(COUNT(BY28,BY29,BY30,BY31,BY32,BY33,BY34,BY35,BY36)=0,"",COUNT(BY28:BY40))</f>
        <v/>
      </c>
      <c r="BZ42" s="2" t="n">
        <f aca="false">COUNT(BZ28:BZ40)</f>
        <v>9</v>
      </c>
      <c r="CA42" s="2" t="n">
        <f aca="false">COUNT(CA28:CA40)</f>
        <v>9</v>
      </c>
      <c r="CB42" s="23" t="str">
        <f aca="false">IF(COUNT(CB28,CB29,CB30,CB31,CB32,CB33,CB34,CB35,CB36)=0,"",COUNT(CB28:CB40))</f>
        <v/>
      </c>
      <c r="CC42" s="23" t="n">
        <f aca="false">COUNT(CC28:CC40)</f>
        <v>9</v>
      </c>
      <c r="CD42" s="23" t="n">
        <f aca="false">COUNT(CD28:CD40)</f>
        <v>9</v>
      </c>
      <c r="CE42" s="2" t="str">
        <f aca="false">IF(COUNT(CE28,CE29,CE30,CE31,CE32,CE33,CE34,CE35,CE36)=0,"",COUNT(CE28:CE40))</f>
        <v/>
      </c>
      <c r="CF42" s="2" t="n">
        <f aca="false">COUNT(CF28:CF40)</f>
        <v>9</v>
      </c>
      <c r="CG42" s="2" t="n">
        <f aca="false">COUNT(CG28:CG40)</f>
        <v>9</v>
      </c>
      <c r="CH42" s="23" t="str">
        <f aca="false">IF(COUNT(CH28,CH29,CH30,CH31,CH32,CH33,CH34,CH35,CH36)=0,"",COUNT(CH28:CH40))</f>
        <v/>
      </c>
      <c r="CI42" s="23" t="n">
        <f aca="false">COUNT(CI28:CI40)</f>
        <v>9</v>
      </c>
      <c r="CJ42" s="23" t="n">
        <f aca="false">COUNT(CJ28:CJ40)</f>
        <v>9</v>
      </c>
      <c r="CK42" s="2" t="str">
        <f aca="false">IF(COUNT(CK28,CK29,CK30,CK31,CK32,CK33,CK34,CK35,CK36)=0,"",COUNT(CK28:CK40))</f>
        <v/>
      </c>
      <c r="CL42" s="2" t="n">
        <f aca="false">COUNT(CL28:CL40)</f>
        <v>9</v>
      </c>
      <c r="CM42" s="2" t="n">
        <f aca="false">COUNT(CM28:CM40)</f>
        <v>9</v>
      </c>
      <c r="CN42" s="23" t="str">
        <f aca="false">IF(COUNT(CN28,CN29,CN30,CN31,CN32,CN33,CN34,CN35)=0,"",COUNT(CN28:CN40))</f>
        <v/>
      </c>
      <c r="CO42" s="23" t="n">
        <f aca="false">COUNT(CO28:CO40)</f>
        <v>8</v>
      </c>
      <c r="CP42" s="23" t="n">
        <f aca="false">COUNT(CP28:CP40)</f>
        <v>8</v>
      </c>
      <c r="CQ42" s="2" t="str">
        <f aca="false">IF(COUNT(CQ28,CQ29,CQ30,CQ31,CQ32,CQ33,CQ34,CQ35)=0,"",COUNT(CQ28:CQ40))</f>
        <v/>
      </c>
      <c r="CR42" s="2" t="n">
        <f aca="false">COUNT(CR28:CR40)</f>
        <v>8</v>
      </c>
      <c r="CS42" s="2" t="n">
        <f aca="false">COUNT(CS28:CS40)</f>
        <v>8</v>
      </c>
      <c r="CT42" s="23" t="str">
        <f aca="false">IF(COUNT(CT28,CT29,CT30,CT31,CT32,CT33,CT34,CT35)=0,"",COUNT(CT28:CT40))</f>
        <v/>
      </c>
      <c r="CU42" s="23" t="n">
        <f aca="false">COUNT(CU28:CU40)</f>
        <v>8</v>
      </c>
      <c r="CV42" s="23" t="n">
        <f aca="false">COUNT(CV28:CV40)</f>
        <v>8</v>
      </c>
      <c r="CW42" s="2" t="str">
        <f aca="false">IF(COUNT(CW28,CW29,CW30,CW31,CW32,CW33,CW34,CW35)=0,"",COUNT(CW28:CW40))</f>
        <v/>
      </c>
      <c r="CX42" s="2" t="n">
        <f aca="false">COUNT(CX28:CX40)</f>
        <v>8</v>
      </c>
      <c r="CY42" s="2" t="n">
        <f aca="false">COUNT(CY28:CY40)</f>
        <v>8</v>
      </c>
      <c r="CZ42" s="23" t="str">
        <f aca="false">IF(COUNT(CZ28,CZ29,CZ30,CZ31,CZ32,CZ33,CZ34,CZ35)=0,"",COUNT(CZ28:CZ40))</f>
        <v/>
      </c>
      <c r="DA42" s="23" t="n">
        <f aca="false">COUNT(DA28:DA40)</f>
        <v>8</v>
      </c>
      <c r="DB42" s="23" t="n">
        <f aca="false">COUNT(DB28:DB40)</f>
        <v>8</v>
      </c>
      <c r="DC42" s="2" t="str">
        <f aca="false">IF(COUNT(DC28,DC29,DC30,DC31,DC32,DC33,DC34,DC35)=0,"",COUNT(DC28:DC40))</f>
        <v/>
      </c>
      <c r="DD42" s="2" t="n">
        <f aca="false">COUNT(DD28:DD40)</f>
        <v>8</v>
      </c>
      <c r="DE42" s="2" t="n">
        <f aca="false">COUNT(DE28:DE40)</f>
        <v>8</v>
      </c>
      <c r="DF42" s="23" t="str">
        <f aca="false">IF(COUNT(DF28,DF29,DF30,DF31,DF32,DF33,DF34,DF35)=0,"",COUNT(DF28:DF40))</f>
        <v/>
      </c>
      <c r="DG42" s="23" t="n">
        <f aca="false">COUNT(DG28:DG40)</f>
        <v>8</v>
      </c>
      <c r="DH42" s="23" t="n">
        <f aca="false">COUNT(DH28:DH40)</f>
        <v>8</v>
      </c>
      <c r="DI42" s="2" t="n">
        <f aca="false">IF(COUNT(DI28,DI29,DI30,DI31,DI32,DI33,DI34,DI35)=0,"",COUNT(DI28:DI40))</f>
        <v>8</v>
      </c>
      <c r="DJ42" s="2" t="n">
        <f aca="false">COUNT(DJ28:DJ40)</f>
        <v>8</v>
      </c>
      <c r="DK42" s="2" t="n">
        <f aca="false">COUNT(DK28:DK40)</f>
        <v>8</v>
      </c>
      <c r="DL42" s="23" t="n">
        <f aca="false">IF(COUNT(DL28,DL29,DL30,DL31,DL32,DL33,DL34,DL35)=0,"",COUNT(DL28:DL40))</f>
        <v>8</v>
      </c>
      <c r="DM42" s="23" t="n">
        <f aca="false">COUNT(DM28:DM40)</f>
        <v>8</v>
      </c>
      <c r="DN42" s="23" t="n">
        <f aca="false">COUNT(DN28:DN40)</f>
        <v>8</v>
      </c>
    </row>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39">
    <mergeCell ref="B1:D1"/>
    <mergeCell ref="E1:G1"/>
    <mergeCell ref="H1:J1"/>
    <mergeCell ref="K1:M1"/>
    <mergeCell ref="N1:P1"/>
    <mergeCell ref="Q1:S1"/>
    <mergeCell ref="T1:V1"/>
    <mergeCell ref="W1:Y1"/>
    <mergeCell ref="Z1:AB1"/>
    <mergeCell ref="AC1:AE1"/>
    <mergeCell ref="AF1:AH1"/>
    <mergeCell ref="AI1:AK1"/>
    <mergeCell ref="AL1:AN1"/>
    <mergeCell ref="AO1:AQ1"/>
    <mergeCell ref="AR1:AT1"/>
    <mergeCell ref="AU1:AW1"/>
    <mergeCell ref="AX1:AZ1"/>
    <mergeCell ref="BA1:BC1"/>
    <mergeCell ref="BD1:BF1"/>
    <mergeCell ref="BG1:BI1"/>
    <mergeCell ref="BJ1:BL1"/>
    <mergeCell ref="BM1:BO1"/>
    <mergeCell ref="BP1:BR1"/>
    <mergeCell ref="BS1:BU1"/>
    <mergeCell ref="BV1:BX1"/>
    <mergeCell ref="BY1:CA1"/>
    <mergeCell ref="CB1:CD1"/>
    <mergeCell ref="CE1:CG1"/>
    <mergeCell ref="CH1:CJ1"/>
    <mergeCell ref="CK1:CM1"/>
    <mergeCell ref="CN1:CP1"/>
    <mergeCell ref="CQ1:CS1"/>
    <mergeCell ref="CT1:CV1"/>
    <mergeCell ref="CW1:CY1"/>
    <mergeCell ref="CZ1:DB1"/>
    <mergeCell ref="DC1:DE1"/>
    <mergeCell ref="DF1:DH1"/>
    <mergeCell ref="DI1:DK1"/>
    <mergeCell ref="DL1:DN1"/>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N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false" zeroHeight="false" outlineLevelRow="0" outlineLevelCol="0"/>
  <cols>
    <col collapsed="false" customWidth="true" hidden="false" outlineLevel="0" max="1" min="1" style="0" width="48"/>
    <col collapsed="false" customWidth="true" hidden="false" outlineLevel="0" max="118" min="2" style="0" width="11"/>
  </cols>
  <sheetData>
    <row r="1" customFormat="false" ht="15" hidden="false" customHeight="false" outlineLevel="0" collapsed="false">
      <c r="B1" s="6" t="str">
        <f aca="false">"FY"&amp;YEAR(K$1)</f>
        <v>FY2028</v>
      </c>
      <c r="C1" s="6"/>
      <c r="D1" s="6"/>
      <c r="E1" s="7" t="str">
        <f aca="false">"FY"&amp;YEAR(AU$1)</f>
        <v>FY2027</v>
      </c>
      <c r="F1" s="7"/>
      <c r="G1" s="7"/>
      <c r="H1" s="6" t="str">
        <f aca="false">"FY"&amp;YEAR(CE$1)</f>
        <v>FY2026</v>
      </c>
      <c r="I1" s="6"/>
      <c r="J1" s="6"/>
      <c r="K1" s="8" t="n">
        <f aca="false">EOMONTH(N$1,1)</f>
        <v>47118</v>
      </c>
      <c r="L1" s="8"/>
      <c r="M1" s="8"/>
      <c r="N1" s="9" t="n">
        <f aca="false">EOMONTH(Q$1,1)</f>
        <v>47087</v>
      </c>
      <c r="O1" s="9"/>
      <c r="P1" s="9"/>
      <c r="Q1" s="8" t="n">
        <f aca="false">EOMONTH(T$1,1)</f>
        <v>47057</v>
      </c>
      <c r="R1" s="8"/>
      <c r="S1" s="8"/>
      <c r="T1" s="9" t="n">
        <f aca="false">EOMONTH(W$1,1)</f>
        <v>47026</v>
      </c>
      <c r="U1" s="9"/>
      <c r="V1" s="9"/>
      <c r="W1" s="8" t="n">
        <f aca="false">EOMONTH(Z$1,1)</f>
        <v>46996</v>
      </c>
      <c r="X1" s="8"/>
      <c r="Y1" s="8"/>
      <c r="Z1" s="9" t="n">
        <f aca="false">EOMONTH(AC$1,1)</f>
        <v>46965</v>
      </c>
      <c r="AA1" s="9"/>
      <c r="AB1" s="9"/>
      <c r="AC1" s="8" t="n">
        <f aca="false">EOMONTH(AF$1,1)</f>
        <v>46934</v>
      </c>
      <c r="AD1" s="8"/>
      <c r="AE1" s="8"/>
      <c r="AF1" s="9" t="n">
        <f aca="false">EOMONTH(AI$1,1)</f>
        <v>46904</v>
      </c>
      <c r="AG1" s="9"/>
      <c r="AH1" s="9"/>
      <c r="AI1" s="8" t="n">
        <f aca="false">EOMONTH(AL$1,1)</f>
        <v>46873</v>
      </c>
      <c r="AJ1" s="8"/>
      <c r="AK1" s="8"/>
      <c r="AL1" s="9" t="n">
        <f aca="false">EOMONTH(AO$1,1)</f>
        <v>46843</v>
      </c>
      <c r="AM1" s="9"/>
      <c r="AN1" s="9"/>
      <c r="AO1" s="8" t="n">
        <f aca="false">EOMONTH(AR$1,1)</f>
        <v>46812</v>
      </c>
      <c r="AP1" s="8"/>
      <c r="AQ1" s="8"/>
      <c r="AR1" s="9" t="n">
        <f aca="false">EOMONTH(AU$1,1)</f>
        <v>46783</v>
      </c>
      <c r="AS1" s="9"/>
      <c r="AT1" s="9"/>
      <c r="AU1" s="8" t="n">
        <f aca="false">EOMONTH(AX$1,1)</f>
        <v>46752</v>
      </c>
      <c r="AV1" s="8"/>
      <c r="AW1" s="8"/>
      <c r="AX1" s="9" t="n">
        <f aca="false">EOMONTH(BA$1,1)</f>
        <v>46721</v>
      </c>
      <c r="AY1" s="9"/>
      <c r="AZ1" s="9"/>
      <c r="BA1" s="8" t="n">
        <f aca="false">EOMONTH(BD$1,1)</f>
        <v>46691</v>
      </c>
      <c r="BB1" s="8"/>
      <c r="BC1" s="8"/>
      <c r="BD1" s="9" t="n">
        <f aca="false">EOMONTH(BG$1,1)</f>
        <v>46660</v>
      </c>
      <c r="BE1" s="9"/>
      <c r="BF1" s="9"/>
      <c r="BG1" s="8" t="n">
        <f aca="false">EOMONTH(BJ$1,1)</f>
        <v>46630</v>
      </c>
      <c r="BH1" s="8"/>
      <c r="BI1" s="8"/>
      <c r="BJ1" s="9" t="n">
        <f aca="false">EOMONTH(BM$1,1)</f>
        <v>46599</v>
      </c>
      <c r="BK1" s="9"/>
      <c r="BL1" s="9"/>
      <c r="BM1" s="8" t="n">
        <f aca="false">EOMONTH(BP$1,1)</f>
        <v>46568</v>
      </c>
      <c r="BN1" s="8"/>
      <c r="BO1" s="8"/>
      <c r="BP1" s="9" t="n">
        <f aca="false">EOMONTH(BS$1,1)</f>
        <v>46538</v>
      </c>
      <c r="BQ1" s="9"/>
      <c r="BR1" s="9"/>
      <c r="BS1" s="8" t="n">
        <f aca="false">EOMONTH(BV$1,1)</f>
        <v>46507</v>
      </c>
      <c r="BT1" s="8"/>
      <c r="BU1" s="8"/>
      <c r="BV1" s="9" t="n">
        <f aca="false">EOMONTH(BY$1,1)</f>
        <v>46477</v>
      </c>
      <c r="BW1" s="9"/>
      <c r="BX1" s="9"/>
      <c r="BY1" s="8" t="n">
        <f aca="false">EOMONTH(CB$1,1)</f>
        <v>46446</v>
      </c>
      <c r="BZ1" s="8"/>
      <c r="CA1" s="8"/>
      <c r="CB1" s="9" t="n">
        <f aca="false">EOMONTH(CE$1,1)</f>
        <v>46418</v>
      </c>
      <c r="CC1" s="9"/>
      <c r="CD1" s="9"/>
      <c r="CE1" s="8" t="n">
        <f aca="false">EOMONTH(CH$1,1)</f>
        <v>46387</v>
      </c>
      <c r="CF1" s="8"/>
      <c r="CG1" s="8"/>
      <c r="CH1" s="9" t="n">
        <f aca="false">EOMONTH(CK$1,1)</f>
        <v>46356</v>
      </c>
      <c r="CI1" s="9"/>
      <c r="CJ1" s="9"/>
      <c r="CK1" s="8" t="n">
        <f aca="false">EOMONTH(CN$1,1)</f>
        <v>46326</v>
      </c>
      <c r="CL1" s="8"/>
      <c r="CM1" s="8"/>
      <c r="CN1" s="9" t="n">
        <f aca="false">EOMONTH(CQ$1,1)</f>
        <v>46295</v>
      </c>
      <c r="CO1" s="9"/>
      <c r="CP1" s="9"/>
      <c r="CQ1" s="8" t="n">
        <f aca="false">EOMONTH(CT$1,1)</f>
        <v>46265</v>
      </c>
      <c r="CR1" s="8"/>
      <c r="CS1" s="8"/>
      <c r="CT1" s="9" t="n">
        <f aca="false">EOMONTH(CW$1,1)</f>
        <v>46234</v>
      </c>
      <c r="CU1" s="9"/>
      <c r="CV1" s="9"/>
      <c r="CW1" s="8" t="n">
        <f aca="false">EOMONTH(CZ$1,1)</f>
        <v>46203</v>
      </c>
      <c r="CX1" s="8"/>
      <c r="CY1" s="8"/>
      <c r="CZ1" s="9" t="n">
        <f aca="false">EOMONTH(DC$1,1)</f>
        <v>46173</v>
      </c>
      <c r="DA1" s="9"/>
      <c r="DB1" s="9"/>
      <c r="DC1" s="8" t="n">
        <f aca="false">EOMONTH(DF$1,1)</f>
        <v>46142</v>
      </c>
      <c r="DD1" s="8"/>
      <c r="DE1" s="8"/>
      <c r="DF1" s="9" t="n">
        <f aca="false">EOMONTH(DI$1,1)</f>
        <v>46112</v>
      </c>
      <c r="DG1" s="9"/>
      <c r="DH1" s="9"/>
      <c r="DI1" s="8" t="n">
        <f aca="false">EOMONTH(DL$1,1)</f>
        <v>46081</v>
      </c>
      <c r="DJ1" s="8"/>
      <c r="DK1" s="8"/>
      <c r="DL1" s="9" t="n">
        <f aca="false">Finance!$DL$61</f>
        <v>46053</v>
      </c>
      <c r="DM1" s="9"/>
      <c r="DN1" s="9"/>
    </row>
    <row r="2" customFormat="false" ht="15" hidden="false" customHeight="false" outlineLevel="0" collapsed="false">
      <c r="A2" s="10"/>
      <c r="B2" s="11" t="s">
        <v>99</v>
      </c>
      <c r="C2" s="11" t="s">
        <v>100</v>
      </c>
      <c r="D2" s="11" t="s">
        <v>101</v>
      </c>
      <c r="E2" s="10" t="s">
        <v>99</v>
      </c>
      <c r="F2" s="10" t="s">
        <v>100</v>
      </c>
      <c r="G2" s="10" t="s">
        <v>101</v>
      </c>
      <c r="H2" s="11" t="s">
        <v>99</v>
      </c>
      <c r="I2" s="11" t="s">
        <v>100</v>
      </c>
      <c r="J2" s="11" t="s">
        <v>101</v>
      </c>
      <c r="K2" s="10" t="s">
        <v>99</v>
      </c>
      <c r="L2" s="10" t="s">
        <v>100</v>
      </c>
      <c r="M2" s="10" t="s">
        <v>101</v>
      </c>
      <c r="N2" s="11" t="s">
        <v>99</v>
      </c>
      <c r="O2" s="11" t="s">
        <v>100</v>
      </c>
      <c r="P2" s="11" t="s">
        <v>101</v>
      </c>
      <c r="Q2" s="10" t="s">
        <v>99</v>
      </c>
      <c r="R2" s="10" t="s">
        <v>100</v>
      </c>
      <c r="S2" s="10" t="s">
        <v>101</v>
      </c>
      <c r="T2" s="11" t="s">
        <v>99</v>
      </c>
      <c r="U2" s="11" t="s">
        <v>100</v>
      </c>
      <c r="V2" s="11" t="s">
        <v>101</v>
      </c>
      <c r="W2" s="10" t="s">
        <v>99</v>
      </c>
      <c r="X2" s="10" t="s">
        <v>100</v>
      </c>
      <c r="Y2" s="10" t="s">
        <v>101</v>
      </c>
      <c r="Z2" s="11" t="s">
        <v>99</v>
      </c>
      <c r="AA2" s="11" t="s">
        <v>100</v>
      </c>
      <c r="AB2" s="11" t="s">
        <v>101</v>
      </c>
      <c r="AC2" s="10" t="s">
        <v>99</v>
      </c>
      <c r="AD2" s="10" t="s">
        <v>100</v>
      </c>
      <c r="AE2" s="10" t="s">
        <v>101</v>
      </c>
      <c r="AF2" s="11" t="s">
        <v>99</v>
      </c>
      <c r="AG2" s="11" t="s">
        <v>100</v>
      </c>
      <c r="AH2" s="11" t="s">
        <v>101</v>
      </c>
      <c r="AI2" s="10" t="s">
        <v>99</v>
      </c>
      <c r="AJ2" s="10" t="s">
        <v>100</v>
      </c>
      <c r="AK2" s="10" t="s">
        <v>101</v>
      </c>
      <c r="AL2" s="11" t="s">
        <v>99</v>
      </c>
      <c r="AM2" s="11" t="s">
        <v>100</v>
      </c>
      <c r="AN2" s="11" t="s">
        <v>101</v>
      </c>
      <c r="AO2" s="10" t="s">
        <v>99</v>
      </c>
      <c r="AP2" s="10" t="s">
        <v>100</v>
      </c>
      <c r="AQ2" s="10" t="s">
        <v>101</v>
      </c>
      <c r="AR2" s="11" t="s">
        <v>99</v>
      </c>
      <c r="AS2" s="11" t="s">
        <v>100</v>
      </c>
      <c r="AT2" s="11" t="s">
        <v>101</v>
      </c>
      <c r="AU2" s="10" t="s">
        <v>99</v>
      </c>
      <c r="AV2" s="10" t="s">
        <v>100</v>
      </c>
      <c r="AW2" s="10" t="s">
        <v>101</v>
      </c>
      <c r="AX2" s="11" t="s">
        <v>99</v>
      </c>
      <c r="AY2" s="11" t="s">
        <v>100</v>
      </c>
      <c r="AZ2" s="11" t="s">
        <v>101</v>
      </c>
      <c r="BA2" s="10" t="s">
        <v>99</v>
      </c>
      <c r="BB2" s="10" t="s">
        <v>100</v>
      </c>
      <c r="BC2" s="10" t="s">
        <v>101</v>
      </c>
      <c r="BD2" s="11" t="s">
        <v>99</v>
      </c>
      <c r="BE2" s="11" t="s">
        <v>100</v>
      </c>
      <c r="BF2" s="11" t="s">
        <v>101</v>
      </c>
      <c r="BG2" s="10" t="s">
        <v>99</v>
      </c>
      <c r="BH2" s="10" t="s">
        <v>100</v>
      </c>
      <c r="BI2" s="10" t="s">
        <v>101</v>
      </c>
      <c r="BJ2" s="11" t="s">
        <v>99</v>
      </c>
      <c r="BK2" s="11" t="s">
        <v>100</v>
      </c>
      <c r="BL2" s="11" t="s">
        <v>101</v>
      </c>
      <c r="BM2" s="10" t="s">
        <v>99</v>
      </c>
      <c r="BN2" s="10" t="s">
        <v>100</v>
      </c>
      <c r="BO2" s="10" t="s">
        <v>101</v>
      </c>
      <c r="BP2" s="11" t="s">
        <v>99</v>
      </c>
      <c r="BQ2" s="11" t="s">
        <v>100</v>
      </c>
      <c r="BR2" s="11" t="s">
        <v>101</v>
      </c>
      <c r="BS2" s="10" t="s">
        <v>99</v>
      </c>
      <c r="BT2" s="10" t="s">
        <v>100</v>
      </c>
      <c r="BU2" s="10" t="s">
        <v>101</v>
      </c>
      <c r="BV2" s="11" t="s">
        <v>99</v>
      </c>
      <c r="BW2" s="11" t="s">
        <v>100</v>
      </c>
      <c r="BX2" s="11" t="s">
        <v>101</v>
      </c>
      <c r="BY2" s="10" t="s">
        <v>99</v>
      </c>
      <c r="BZ2" s="10" t="s">
        <v>100</v>
      </c>
      <c r="CA2" s="10" t="s">
        <v>101</v>
      </c>
      <c r="CB2" s="11" t="s">
        <v>99</v>
      </c>
      <c r="CC2" s="11" t="s">
        <v>100</v>
      </c>
      <c r="CD2" s="11" t="s">
        <v>101</v>
      </c>
      <c r="CE2" s="10" t="s">
        <v>99</v>
      </c>
      <c r="CF2" s="10" t="s">
        <v>100</v>
      </c>
      <c r="CG2" s="10" t="s">
        <v>101</v>
      </c>
      <c r="CH2" s="11" t="s">
        <v>99</v>
      </c>
      <c r="CI2" s="11" t="s">
        <v>100</v>
      </c>
      <c r="CJ2" s="11" t="s">
        <v>101</v>
      </c>
      <c r="CK2" s="10" t="s">
        <v>99</v>
      </c>
      <c r="CL2" s="10" t="s">
        <v>100</v>
      </c>
      <c r="CM2" s="10" t="s">
        <v>101</v>
      </c>
      <c r="CN2" s="11" t="s">
        <v>99</v>
      </c>
      <c r="CO2" s="11" t="s">
        <v>100</v>
      </c>
      <c r="CP2" s="11" t="s">
        <v>101</v>
      </c>
      <c r="CQ2" s="10" t="s">
        <v>99</v>
      </c>
      <c r="CR2" s="10" t="s">
        <v>100</v>
      </c>
      <c r="CS2" s="10" t="s">
        <v>101</v>
      </c>
      <c r="CT2" s="11" t="s">
        <v>99</v>
      </c>
      <c r="CU2" s="11" t="s">
        <v>100</v>
      </c>
      <c r="CV2" s="11" t="s">
        <v>101</v>
      </c>
      <c r="CW2" s="10" t="s">
        <v>99</v>
      </c>
      <c r="CX2" s="10" t="s">
        <v>100</v>
      </c>
      <c r="CY2" s="10" t="s">
        <v>101</v>
      </c>
      <c r="CZ2" s="11" t="s">
        <v>99</v>
      </c>
      <c r="DA2" s="11" t="s">
        <v>100</v>
      </c>
      <c r="DB2" s="11" t="s">
        <v>101</v>
      </c>
      <c r="DC2" s="10" t="s">
        <v>99</v>
      </c>
      <c r="DD2" s="10" t="s">
        <v>100</v>
      </c>
      <c r="DE2" s="10" t="s">
        <v>101</v>
      </c>
      <c r="DF2" s="11" t="s">
        <v>99</v>
      </c>
      <c r="DG2" s="11" t="s">
        <v>100</v>
      </c>
      <c r="DH2" s="11" t="s">
        <v>101</v>
      </c>
      <c r="DI2" s="10" t="s">
        <v>99</v>
      </c>
      <c r="DJ2" s="10" t="s">
        <v>100</v>
      </c>
      <c r="DK2" s="10" t="s">
        <v>101</v>
      </c>
      <c r="DL2" s="11" t="s">
        <v>99</v>
      </c>
      <c r="DM2" s="11" t="s">
        <v>100</v>
      </c>
      <c r="DN2" s="11" t="s">
        <v>101</v>
      </c>
    </row>
    <row r="3" customFormat="false" ht="15" hidden="false" customHeight="false" outlineLevel="0" collapsed="false">
      <c r="A3" s="5" t="s">
        <v>249</v>
      </c>
      <c r="B3" s="123" t="str">
        <f aca="false">IF(COUNT(AR3,AO3,AL3,AI3,AF3,AC3,Z3,W3,T3,Q3,N3,K3)=0,"",SUM(AR3,AO3,AL3,AI3,AF3,AC3,Z3,W3,T3,Q3,N3,K3))</f>
        <v/>
      </c>
      <c r="C3" s="123" t="n">
        <f aca="false">IF(COUNT(AS3,AP3,AM3,AJ3,AG3,AD3,AA3,X3,U3,R3,O3,L3)=0,"",SUM(AS3,AP3,AM3,AJ3,AG3,AD3,AA3,X3,U3,R3,O3,L3))</f>
        <v>619.6</v>
      </c>
      <c r="D3" s="123" t="n">
        <f aca="false">IF(COUNT(AT3,AQ3,AN3,AK3,AH3,AE3,AB3,Y3,V3,S3,P3,M3)=0,"",SUM(AT3,AQ3,AN3,AK3,AH3,AE3,AB3,Y3,V3,S3,P3,M3))</f>
        <v>619.6</v>
      </c>
      <c r="E3" s="29" t="str">
        <f aca="false">IF(COUNT(CB3,BY3,BV3,BS3,BP3,BM3,BJ3,BG3,BD3,BA3,AX3,AU3)=0,"",SUM(CB3,BY3,BV3,BS3,BP3,BM3,BJ3,BG3,BD3,BA3,AX3,AU3))</f>
        <v/>
      </c>
      <c r="F3" s="29" t="n">
        <f aca="false">IF(COUNT(CC3,BZ3,BW3,BT3,BQ3,BN3,BK3,BH3,BE3,BB3,AY3,AV3)=0,"",SUM(CC3,BZ3,BW3,BT3,BQ3,BN3,BK3,BH3,BE3,BB3,AY3,AV3))</f>
        <v>420</v>
      </c>
      <c r="G3" s="29" t="n">
        <f aca="false">IF(COUNT(CD3,CA3,BX3,BU3,BR3,BO3,BL3,BI3,BF3,BC3,AZ3,AW3)=0,"",SUM(CD3,CA3,BX3,BU3,BR3,BO3,BL3,BI3,BF3,BC3,AZ3,AW3))</f>
        <v>420</v>
      </c>
      <c r="H3" s="123" t="n">
        <f aca="false">IF(COUNT(DL3,DI3,DF3,DC3,CZ3,CW3,CT3,CQ3,CN3,CK3,CH3,CE3)=0,"",SUM(DL3,DI3,DF3,DC3,CZ3,CW3,CT3,CQ3,CN3,CK3,CH3,CE3))</f>
        <v>52</v>
      </c>
      <c r="I3" s="123" t="n">
        <f aca="false">IF(COUNT(DM3,DJ3,DG3,DD3,DA3,CX3,CU3,CR3,CO3,CL3,CI3,CF3)=0,"",SUM(DM3,DJ3,DG3,DD3,DA3,CX3,CU3,CR3,CO3,CL3,CI3,CF3))</f>
        <v>312</v>
      </c>
      <c r="J3" s="123" t="n">
        <f aca="false">IF(COUNT(DN3,DK3,DH3,DE3,DB3,CY3,CV3,CS3,CP3,CM3,CJ3,CG3)=0,"",SUM(DN3,DK3,DH3,DE3,DB3,CY3,CV3,CS3,CP3,CM3,CJ3,CG3))</f>
        <v>312</v>
      </c>
      <c r="K3" s="29" t="str">
        <f aca="false">IF(COUNT(K32,K33,K34,K35,K36,K37,K40,K41,K42,K43,K44,K45)=12,ROUND(COUNT(K32,K33,K34,K35,K36,K37,K40,K41,K42,K43,K44,K45)*4.33,1),"")</f>
        <v/>
      </c>
      <c r="L3" s="29" t="n">
        <f aca="false">ROUND(COUNT(L32,L33,L34,L35,L36,L37,L40,L41,L42,L43,L44,L45)*4.33,1)</f>
        <v>52</v>
      </c>
      <c r="M3" s="29" t="n">
        <f aca="false">ROUND(COUNT(M32,M33,M34,M35,M36,M37,M40,M41,M42,M43,M44,M45)*4.33,1)</f>
        <v>52</v>
      </c>
      <c r="N3" s="123" t="str">
        <f aca="false">IF(COUNT(N32,N33,N34,N35,N36,N37,N40,N41,N42,N43,N44,N45)=12,ROUND(COUNT(N32,N33,N34,N35,N36,N37,N40,N41,N42,N43,N44,N45)*4.33,1),"")</f>
        <v/>
      </c>
      <c r="O3" s="123" t="n">
        <f aca="false">ROUND(COUNT(O32,O33,O34,O35,O36,O37,O40,O41,O42,O43,O44,O45)*4.33,1)</f>
        <v>52</v>
      </c>
      <c r="P3" s="123" t="n">
        <f aca="false">ROUND(COUNT(P32,P33,P34,P35,P36,P37,P40,P41,P42,P43,P44,P45)*4.33,1)</f>
        <v>52</v>
      </c>
      <c r="Q3" s="29" t="str">
        <f aca="false">IF(COUNT(Q32,Q33,Q34,Q35,Q36,Q37,Q40,Q41,Q42,Q43,Q44,Q45)=12,ROUND(COUNT(Q32,Q33,Q34,Q35,Q36,Q37,Q40,Q41,Q42,Q43,Q44,Q45)*4.33,1),"")</f>
        <v/>
      </c>
      <c r="R3" s="29" t="n">
        <f aca="false">ROUND(COUNT(R32,R33,R34,R35,R36,R37,R40,R41,R42,R43,R44,R45)*4.33,1)</f>
        <v>52</v>
      </c>
      <c r="S3" s="29" t="n">
        <f aca="false">ROUND(COUNT(S32,S33,S34,S35,S36,S37,S40,S41,S42,S43,S44,S45)*4.33,1)</f>
        <v>52</v>
      </c>
      <c r="T3" s="123" t="str">
        <f aca="false">IF(COUNT(T32,T33,T34,T35,T36,T37,T40,T41,T42,T43,T44,T45)=12,ROUND(COUNT(T32,T33,T34,T35,T36,T37,T40,T41,T42,T43,T44,T45)*4.33,1),"")</f>
        <v/>
      </c>
      <c r="U3" s="123" t="n">
        <f aca="false">ROUND(COUNT(U32,U33,U34,U35,U36,U37,U40,U41,U42,U43,U44,U45)*4.33,1)</f>
        <v>52</v>
      </c>
      <c r="V3" s="123" t="n">
        <f aca="false">ROUND(COUNT(V32,V33,V34,V35,V36,V37,V40,V41,V42,V43,V44,V45)*4.33,1)</f>
        <v>52</v>
      </c>
      <c r="W3" s="29" t="str">
        <f aca="false">IF(COUNT(W32,W33,W34,W35,W36,W37,W40,W41,W42,W43,W44,W45)=12,ROUND(COUNT(W32,W33,W34,W35,W36,W37,W40,W41,W42,W43,W44,W45)*4.33,1),"")</f>
        <v/>
      </c>
      <c r="X3" s="29" t="n">
        <f aca="false">ROUND(COUNT(X32,X33,X34,X35,X36,X37,X40,X41,X42,X43,X44,X45)*4.33,1)</f>
        <v>52</v>
      </c>
      <c r="Y3" s="29" t="n">
        <f aca="false">ROUND(COUNT(Y32,Y33,Y34,Y35,Y36,Y37,Y40,Y41,Y42,Y43,Y44,Y45)*4.33,1)</f>
        <v>52</v>
      </c>
      <c r="Z3" s="123" t="str">
        <f aca="false">IF(COUNT(Z32,Z33,Z34,Z35,Z36,Z37,Z40,Z41,Z42,Z43,Z44,Z45)=12,ROUND(COUNT(Z32,Z33,Z34,Z35,Z36,Z37,Z40,Z41,Z42,Z43,Z44,Z45)*4.33,1),"")</f>
        <v/>
      </c>
      <c r="AA3" s="123" t="n">
        <f aca="false">ROUND(COUNT(AA32,AA33,AA34,AA35,AA36,AA37,AA40,AA41,AA42,AA43,AA44,AA45)*4.33,1)</f>
        <v>52</v>
      </c>
      <c r="AB3" s="123" t="n">
        <f aca="false">ROUND(COUNT(AB32,AB33,AB34,AB35,AB36,AB37,AB40,AB41,AB42,AB43,AB44,AB45)*4.33,1)</f>
        <v>52</v>
      </c>
      <c r="AC3" s="29" t="str">
        <f aca="false">IF(COUNT(AC32,AC33,AC34,AC35,AC36,AC37,AC40,AC41,AC42,AC43,AC44,AC45)=12,ROUND(COUNT(AC32,AC33,AC34,AC35,AC36,AC37,AC40,AC41,AC42,AC43,AC44,AC45)*4.33,1),"")</f>
        <v/>
      </c>
      <c r="AD3" s="29" t="n">
        <f aca="false">ROUND(COUNT(AD32,AD33,AD34,AD35,AD36,AD37,AD40,AD41,AD42,AD43,AD44,AD45)*4.33,1)</f>
        <v>52</v>
      </c>
      <c r="AE3" s="29" t="n">
        <f aca="false">ROUND(COUNT(AE32,AE33,AE34,AE35,AE36,AE37,AE40,AE41,AE42,AE43,AE44,AE45)*4.33,1)</f>
        <v>52</v>
      </c>
      <c r="AF3" s="123" t="str">
        <f aca="false">IF(COUNT(AF32,AF33,AF34,AF35,AF36,AF37,AF40,AF41,AF42,AF43,AF44,AF45)=12,ROUND(COUNT(AF32,AF33,AF34,AF35,AF36,AF37,AF40,AF41,AF42,AF43,AF44,AF45)*4.33,1),"")</f>
        <v/>
      </c>
      <c r="AG3" s="123" t="n">
        <f aca="false">ROUND(COUNT(AG32,AG33,AG34,AG35,AG36,AG37,AG40,AG41,AG42,AG43,AG44,AG45)*4.33,1)</f>
        <v>52</v>
      </c>
      <c r="AH3" s="123" t="n">
        <f aca="false">ROUND(COUNT(AH32,AH33,AH34,AH35,AH36,AH37,AH40,AH41,AH42,AH43,AH44,AH45)*4.33,1)</f>
        <v>52</v>
      </c>
      <c r="AI3" s="29" t="str">
        <f aca="false">IF(COUNT(AI32,AI33,AI34,AI35,AI36,AI37,AI40,AI41,AI42,AI43,AI44,AI45)=12,ROUND(COUNT(AI32,AI33,AI34,AI35,AI36,AI37,AI40,AI41,AI42,AI43,AI44,AI45)*4.33,1),"")</f>
        <v/>
      </c>
      <c r="AJ3" s="29" t="n">
        <f aca="false">ROUND(COUNT(AJ32,AJ33,AJ34,AJ35,AJ36,AJ37,AJ40,AJ41,AJ42,AJ43,AJ44,AJ45)*4.33,1)</f>
        <v>52</v>
      </c>
      <c r="AK3" s="29" t="n">
        <f aca="false">ROUND(COUNT(AK32,AK33,AK34,AK35,AK36,AK37,AK40,AK41,AK42,AK43,AK44,AK45)*4.33,1)</f>
        <v>52</v>
      </c>
      <c r="AL3" s="123" t="str">
        <f aca="false">IF(COUNT(AL32,AL33,AL34,AL35,AL36,AL37,AL40,AL41,AL42,AL43,AL44,AL45)=12,ROUND(COUNT(AL32,AL33,AL34,AL35,AL36,AL37,AL40,AL41,AL42,AL43,AL44,AL45)*4.33,1),"")</f>
        <v/>
      </c>
      <c r="AM3" s="123" t="n">
        <f aca="false">ROUND(COUNT(AM32,AM33,AM34,AM35,AM36,AM37,AM40,AM41,AM42,AM43,AM44,AM45)*4.33,1)</f>
        <v>52</v>
      </c>
      <c r="AN3" s="123" t="n">
        <f aca="false">ROUND(COUNT(AN32,AN33,AN34,AN35,AN36,AN37,AN40,AN41,AN42,AN43,AN44,AN45)*4.33,1)</f>
        <v>52</v>
      </c>
      <c r="AO3" s="29" t="str">
        <f aca="false">IF(COUNT(AO32,AO33,AO34,AO35,AO36,AO37,AO40,AO41,AO42,AO43,AO44,AO45)=12,ROUND(COUNT(AO32,AO33,AO34,AO35,AO36,AO37,AO40,AO41,AO42,AO43,AO44,AO45)*4.33,1),"")</f>
        <v/>
      </c>
      <c r="AP3" s="29" t="n">
        <f aca="false">ROUND(COUNT(AP32,AP33,AP34,AP35,AP36,AP37,AP40,AP41,AP42,AP43,AP44,AP45)*4.33,1)</f>
        <v>52</v>
      </c>
      <c r="AQ3" s="29" t="n">
        <f aca="false">ROUND(COUNT(AQ32,AQ33,AQ34,AQ35,AQ36,AQ37,AQ40,AQ41,AQ42,AQ43,AQ44,AQ45)*4.33,1)</f>
        <v>52</v>
      </c>
      <c r="AR3" s="123" t="str">
        <f aca="false">IF(COUNT(AR32,AR33,AR34,AR35,AR36,AR37,AR40,AR41,AR43,AR44,AR45)=11,ROUND(COUNT(AR32,AR33,AR34,AR35,AR36,AR37,AR40,AR41,AR43,AR44,AR45)*4.33,1),"")</f>
        <v/>
      </c>
      <c r="AS3" s="123" t="n">
        <f aca="false">ROUND(COUNT(AS32,AS33,AS34,AS35,AS36,AS37,AS40,AS41,AS43,AS44,AS45)*4.33,1)</f>
        <v>47.6</v>
      </c>
      <c r="AT3" s="123" t="n">
        <f aca="false">ROUND(COUNT(AT32,AT33,AT34,AT35,AT36,AT37,AT40,AT41,AT43,AT44,AT45)*4.33,1)</f>
        <v>47.6</v>
      </c>
      <c r="AU3" s="29" t="str">
        <f aca="false">IF(COUNT(AU32,AU33,AU34,AU35,AU36,AU37,AU40,AU41,AU43,AU44)=10,ROUND(COUNT(AU32,AU33,AU34,AU35,AU36,AU37,AU40,AU41,AU43,AU44)*4.33,1),"")</f>
        <v/>
      </c>
      <c r="AV3" s="29" t="n">
        <f aca="false">ROUND(COUNT(AV32,AV33,AV34,AV35,AV36,AV37,AV40,AV41,AV43,AV44)*4.33,1)</f>
        <v>43.3</v>
      </c>
      <c r="AW3" s="29" t="n">
        <f aca="false">ROUND(COUNT(AW32,AW33,AW34,AW35,AW36,AW37,AW40,AW41,AW43,AW44)*4.33,1)</f>
        <v>43.3</v>
      </c>
      <c r="AX3" s="123" t="str">
        <f aca="false">IF(COUNT(AX32,AX33,AX34,AX35,AX36,AX37,AX40,AX41,AX43,AX44)=10,ROUND(COUNT(AX32,AX33,AX34,AX35,AX36,AX37,AX40,AX41,AX43,AX44)*4.33,1),"")</f>
        <v/>
      </c>
      <c r="AY3" s="123" t="n">
        <f aca="false">ROUND(COUNT(AY32,AY33,AY34,AY35,AY36,AY37,AY40,AY41,AY43,AY44)*4.33,1)</f>
        <v>43.3</v>
      </c>
      <c r="AZ3" s="123" t="n">
        <f aca="false">ROUND(COUNT(AZ32,AZ33,AZ34,AZ35,AZ36,AZ37,AZ40,AZ41,AZ43,AZ44)*4.33,1)</f>
        <v>43.3</v>
      </c>
      <c r="BA3" s="29" t="str">
        <f aca="false">IF(COUNT(BA32,BA33,BA34,BA35,BA36,BA37,BA40,BA41,BA43)=9,ROUND(COUNT(BA32,BA33,BA34,BA35,BA36,BA37,BA40,BA41,BA43)*4.33,1),"")</f>
        <v/>
      </c>
      <c r="BB3" s="29" t="n">
        <f aca="false">ROUND(COUNT(BB32,BB33,BB34,BB35,BB36,BB37,BB40,BB41,BB43)*4.33,1)</f>
        <v>39</v>
      </c>
      <c r="BC3" s="29" t="n">
        <f aca="false">ROUND(COUNT(BC32,BC33,BC34,BC35,BC36,BC37,BC40,BC41,BC43)*4.33,1)</f>
        <v>39</v>
      </c>
      <c r="BD3" s="123" t="str">
        <f aca="false">IF(COUNT(BD32,BD33,BD34,BD35,BD36,BD37,BD40,BD41,BD43)=9,ROUND(COUNT(BD32,BD33,BD34,BD35,BD36,BD37,BD40,BD41,BD43)*4.33,1),"")</f>
        <v/>
      </c>
      <c r="BE3" s="123" t="n">
        <f aca="false">ROUND(COUNT(BE32,BE33,BE34,BE35,BE36,BE37,BE40,BE41,BE43)*4.33,1)</f>
        <v>39</v>
      </c>
      <c r="BF3" s="123" t="n">
        <f aca="false">ROUND(COUNT(BF32,BF33,BF34,BF35,BF36,BF37,BF40,BF41,BF43)*4.33,1)</f>
        <v>39</v>
      </c>
      <c r="BG3" s="29" t="str">
        <f aca="false">IF(COUNT(BG32,BG33,BG34,BG35,BG36,BG37,BG40,BG41,BG43)=9,ROUND(COUNT(BG32,BG33,BG34,BG35,BG36,BG37,BG40,BG41,BG43)*4.33,1),"")</f>
        <v/>
      </c>
      <c r="BH3" s="29" t="n">
        <f aca="false">ROUND(COUNT(BH32,BH33,BH34,BH35,BH36,BH37,BH40,BH41,BH43)*4.33,1)</f>
        <v>39</v>
      </c>
      <c r="BI3" s="29" t="n">
        <f aca="false">ROUND(COUNT(BI32,BI33,BI34,BI35,BI36,BI37,BI40,BI41,BI43)*4.33,1)</f>
        <v>39</v>
      </c>
      <c r="BJ3" s="123" t="str">
        <f aca="false">IF(COUNT(BJ32,BJ33,BJ34,BJ35,BJ36,BJ37,BJ40,BJ43)=8,ROUND(COUNT(BJ32,BJ33,BJ34,BJ35,BJ36,BJ37,BJ40,BJ43)*4.33,1),"")</f>
        <v/>
      </c>
      <c r="BK3" s="123" t="n">
        <f aca="false">ROUND(COUNT(BK32,BK33,BK34,BK35,BK36,BK37,BK40,BK43)*4.33,1)</f>
        <v>34.6</v>
      </c>
      <c r="BL3" s="123" t="n">
        <f aca="false">ROUND(COUNT(BL32,BL33,BL34,BL35,BL36,BL37,BL40,BL43)*4.33,1)</f>
        <v>34.6</v>
      </c>
      <c r="BM3" s="29" t="str">
        <f aca="false">IF(COUNT(BM32,BM33,BM34,BM35,BM36,BM37,BM40,BM43)=8,ROUND(COUNT(BM32,BM33,BM34,BM35,BM36,BM37,BM40,BM43)*4.33,1),"")</f>
        <v/>
      </c>
      <c r="BN3" s="29" t="n">
        <f aca="false">ROUND(COUNT(BN32,BN33,BN34,BN35,BN36,BN37,BN40,BN43)*4.33,1)</f>
        <v>34.6</v>
      </c>
      <c r="BO3" s="29" t="n">
        <f aca="false">ROUND(COUNT(BO32,BO33,BO34,BO35,BO36,BO37,BO40,BO43)*4.33,1)</f>
        <v>34.6</v>
      </c>
      <c r="BP3" s="123" t="str">
        <f aca="false">IF(COUNT(BP32,BP33,BP34,BP35,BP36,BP37,BP40)=7,ROUND(COUNT(BP32,BP33,BP34,BP35,BP36,BP37,BP40)*4.33,1),"")</f>
        <v/>
      </c>
      <c r="BQ3" s="123" t="n">
        <f aca="false">ROUND(COUNT(BQ32,BQ33,BQ34,BQ35,BQ36,BQ37,BQ40)*4.33,1)</f>
        <v>30.3</v>
      </c>
      <c r="BR3" s="123" t="n">
        <f aca="false">ROUND(COUNT(BR32,BR33,BR34,BR35,BR36,BR37,BR40)*4.33,1)</f>
        <v>30.3</v>
      </c>
      <c r="BS3" s="29" t="str">
        <f aca="false">IF(COUNT(BS32,BS33,BS34,BS35,BS36,BS37,BS40)=7,ROUND(COUNT(BS32,BS33,BS34,BS35,BS36,BS37,BS40)*4.33,1),"")</f>
        <v/>
      </c>
      <c r="BT3" s="29" t="n">
        <f aca="false">ROUND(COUNT(BT32,BT33,BT34,BT35,BT36,BT37,BT40)*4.33,1)</f>
        <v>30.3</v>
      </c>
      <c r="BU3" s="29" t="n">
        <f aca="false">ROUND(COUNT(BU32,BU33,BU34,BU35,BU36,BU37,BU40)*4.33,1)</f>
        <v>30.3</v>
      </c>
      <c r="BV3" s="123" t="str">
        <f aca="false">IF(COUNT(BV32,BV33,BV34,BV35,BV36,BV37,BV40)=7,ROUND(COUNT(BV32,BV33,BV34,BV35,BV36,BV37,BV40)*4.33,1),"")</f>
        <v/>
      </c>
      <c r="BW3" s="123" t="n">
        <f aca="false">ROUND(COUNT(BW32,BW33,BW34,BW35,BW36,BW37,BW40)*4.33,1)</f>
        <v>30.3</v>
      </c>
      <c r="BX3" s="123" t="n">
        <f aca="false">ROUND(COUNT(BX32,BX33,BX34,BX35,BX36,BX37,BX40)*4.33,1)</f>
        <v>30.3</v>
      </c>
      <c r="BY3" s="29" t="str">
        <f aca="false">IF(COUNT(BY32,BY33,BY34,BY35,BY36,BY37,BY40)=7,ROUND(COUNT(BY32,BY33,BY34,BY35,BY36,BY37,BY40)*4.33,1),"")</f>
        <v/>
      </c>
      <c r="BZ3" s="29" t="n">
        <f aca="false">ROUND(COUNT(BZ32,BZ33,BZ34,BZ35,BZ36,BZ37,BZ40)*4.33,1)</f>
        <v>30.3</v>
      </c>
      <c r="CA3" s="29" t="n">
        <f aca="false">ROUND(COUNT(CA32,CA33,CA34,CA35,CA36,CA37,CA40)*4.33,1)</f>
        <v>30.3</v>
      </c>
      <c r="CB3" s="123" t="str">
        <f aca="false">IF(COUNT(CB32,CB33,CB34,CB35,CB36,CB37)=6,ROUND(COUNT(CB32,CB33,CB34,CB35,CB36,CB37)*4.33,1),"")</f>
        <v/>
      </c>
      <c r="CC3" s="123" t="n">
        <f aca="false">ROUND(COUNT(CC32,CC33,CC34,CC35,CC36,CC37)*4.33,1)</f>
        <v>26</v>
      </c>
      <c r="CD3" s="123" t="n">
        <f aca="false">ROUND(COUNT(CD32,CD33,CD34,CD35,CD36,CD37)*4.33,1)</f>
        <v>26</v>
      </c>
      <c r="CE3" s="29" t="str">
        <f aca="false">IF(COUNT(CE32,CE33,CE34,CE35,CE36,CE37)=6,ROUND(COUNT(CE32,CE33,CE34,CE35,CE36,CE37)*4.33,1),"")</f>
        <v/>
      </c>
      <c r="CF3" s="29" t="n">
        <f aca="false">ROUND(COUNT(CF32,CF33,CF34,CF35,CF36,CF37)*4.33,1)</f>
        <v>26</v>
      </c>
      <c r="CG3" s="29" t="n">
        <f aca="false">ROUND(COUNT(CG32,CG33,CG34,CG35,CG36,CG37)*4.33,1)</f>
        <v>26</v>
      </c>
      <c r="CH3" s="123" t="str">
        <f aca="false">IF(COUNT(CH32,CH33,CH34,CH35,CH36,CH37)=6,ROUND(COUNT(CH32,CH33,CH34,CH35,CH36,CH37)*4.33,1),"")</f>
        <v/>
      </c>
      <c r="CI3" s="123" t="n">
        <f aca="false">ROUND(COUNT(CI32,CI33,CI34,CI35,CI36,CI37)*4.33,1)</f>
        <v>26</v>
      </c>
      <c r="CJ3" s="123" t="n">
        <f aca="false">ROUND(COUNT(CJ32,CJ33,CJ34,CJ35,CJ36,CJ37)*4.33,1)</f>
        <v>26</v>
      </c>
      <c r="CK3" s="29" t="str">
        <f aca="false">IF(COUNT(CK32,CK33,CK34,CK35,CK36,CK37)=6,ROUND(COUNT(CK32,CK33,CK34,CK35,CK36,CK37)*4.33,1),"")</f>
        <v/>
      </c>
      <c r="CL3" s="29" t="n">
        <f aca="false">ROUND(COUNT(CL32,CL33,CL34,CL35,CL36,CL37)*4.33,1)</f>
        <v>26</v>
      </c>
      <c r="CM3" s="29" t="n">
        <f aca="false">ROUND(COUNT(CM32,CM33,CM34,CM35,CM36,CM37)*4.33,1)</f>
        <v>26</v>
      </c>
      <c r="CN3" s="123" t="str">
        <f aca="false">IF(COUNT(CN32,CN33,CN34,CN35,CN36,CN37)=6,ROUND(COUNT(CN32,CN33,CN34,CN35,CN36,CN37)*4.33,1),"")</f>
        <v/>
      </c>
      <c r="CO3" s="123" t="n">
        <f aca="false">ROUND(COUNT(CO32,CO33,CO34,CO35,CO36,CO37)*4.33,1)</f>
        <v>26</v>
      </c>
      <c r="CP3" s="123" t="n">
        <f aca="false">ROUND(COUNT(CP32,CP33,CP34,CP35,CP36,CP37)*4.33,1)</f>
        <v>26</v>
      </c>
      <c r="CQ3" s="29" t="str">
        <f aca="false">IF(COUNT(CQ32,CQ33,CQ34,CQ35,CQ36,CQ37)=6,ROUND(COUNT(CQ32,CQ33,CQ34,CQ35,CQ36,CQ37)*4.33,1),"")</f>
        <v/>
      </c>
      <c r="CR3" s="29" t="n">
        <f aca="false">ROUND(COUNT(CR32,CR33,CR34,CR35,CR36,CR37)*4.33,1)</f>
        <v>26</v>
      </c>
      <c r="CS3" s="29" t="n">
        <f aca="false">ROUND(COUNT(CS32,CS33,CS34,CS35,CS36,CS37)*4.33,1)</f>
        <v>26</v>
      </c>
      <c r="CT3" s="123" t="str">
        <f aca="false">IF(COUNT(CT32,CT33,CT34,CT35,CT36,CT37)=6,ROUND(COUNT(CT32,CT33,CT34,CT35,CT36,CT37)*4.33,1),"")</f>
        <v/>
      </c>
      <c r="CU3" s="123" t="n">
        <f aca="false">ROUND(COUNT(CU32,CU33,CU34,CU35,CU36,CU37)*4.33,1)</f>
        <v>26</v>
      </c>
      <c r="CV3" s="123" t="n">
        <f aca="false">ROUND(COUNT(CV32,CV33,CV34,CV35,CV36,CV37)*4.33,1)</f>
        <v>26</v>
      </c>
      <c r="CW3" s="29" t="str">
        <f aca="false">IF(COUNT(CW32,CW33,CW34,CW35,CW36,CW37)=6,ROUND(COUNT(CW32,CW33,CW34,CW35,CW36,CW37)*4.33,1),"")</f>
        <v/>
      </c>
      <c r="CX3" s="29" t="n">
        <f aca="false">ROUND(COUNT(CX32,CX33,CX34,CX35,CX36,CX37)*4.33,1)</f>
        <v>26</v>
      </c>
      <c r="CY3" s="29" t="n">
        <f aca="false">ROUND(COUNT(CY32,CY33,CY34,CY35,CY36,CY37)*4.33,1)</f>
        <v>26</v>
      </c>
      <c r="CZ3" s="123" t="str">
        <f aca="false">IF(COUNT(CZ32,CZ33,CZ34,CZ35,CZ36,CZ37)=6,ROUND(COUNT(CZ32,CZ33,CZ34,CZ35,CZ36,CZ37)*4.33,1),"")</f>
        <v/>
      </c>
      <c r="DA3" s="123" t="n">
        <f aca="false">ROUND(COUNT(DA32,DA33,DA34,DA35,DA36,DA37)*4.33,1)</f>
        <v>26</v>
      </c>
      <c r="DB3" s="123" t="n">
        <f aca="false">ROUND(COUNT(DB32,DB33,DB34,DB35,DB36,DB37)*4.33,1)</f>
        <v>26</v>
      </c>
      <c r="DC3" s="29" t="str">
        <f aca="false">IF(COUNT(DC32,DC33,DC34,DC35,DC36,DC37)=6,ROUND(COUNT(DC32,DC33,DC34,DC35,DC36,DC37)*4.33,1),"")</f>
        <v/>
      </c>
      <c r="DD3" s="29" t="n">
        <f aca="false">ROUND(COUNT(DD32,DD33,DD34,DD35,DD36,DD37)*4.33,1)</f>
        <v>26</v>
      </c>
      <c r="DE3" s="29" t="n">
        <f aca="false">ROUND(COUNT(DE32,DE33,DE34,DE35,DE36,DE37)*4.33,1)</f>
        <v>26</v>
      </c>
      <c r="DF3" s="123" t="str">
        <f aca="false">IF(COUNT(DF32,DF33,DF34,DF35,DF36,DF37)=6,ROUND(COUNT(DF32,DF33,DF34,DF35,DF36,DF37)*4.33,1),"")</f>
        <v/>
      </c>
      <c r="DG3" s="123" t="n">
        <f aca="false">ROUND(COUNT(DG32,DG33,DG34,DG35,DG36,DG37)*4.33,1)</f>
        <v>26</v>
      </c>
      <c r="DH3" s="123" t="n">
        <f aca="false">ROUND(COUNT(DH32,DH33,DH34,DH35,DH36,DH37)*4.33,1)</f>
        <v>26</v>
      </c>
      <c r="DI3" s="29" t="n">
        <f aca="false">IF(COUNT(DI32,DI33,DI34,DI35,DI36,DI37)=6,ROUND(COUNT(DI32,DI33,DI34,DI35,DI36,DI37)*4.33,1),"")</f>
        <v>26</v>
      </c>
      <c r="DJ3" s="29" t="n">
        <f aca="false">ROUND(COUNT(DJ32,DJ33,DJ34,DJ35,DJ36,DJ37)*4.33,1)</f>
        <v>26</v>
      </c>
      <c r="DK3" s="29" t="n">
        <f aca="false">ROUND(COUNT(DK32,DK33,DK34,DK35,DK36,DK37)*4.33,1)</f>
        <v>26</v>
      </c>
      <c r="DL3" s="123" t="n">
        <f aca="false">IF(COUNT(DL32,DL33,DL34,DL35,DL36,DL37)=6,ROUND(COUNT(DL32,DL33,DL34,DL35,DL36,DL37)*4.33,1),"")</f>
        <v>26</v>
      </c>
      <c r="DM3" s="123" t="n">
        <f aca="false">ROUND(COUNT(DM32,DM33,DM34,DM35,DM36,DM37)*4.33,1)</f>
        <v>26</v>
      </c>
      <c r="DN3" s="123" t="n">
        <f aca="false">ROUND(COUNT(DN32,DN33,DN34,DN35,DN36,DN37)*4.33,1)</f>
        <v>26</v>
      </c>
    </row>
    <row r="4" customFormat="false" ht="15" hidden="false" customHeight="false" outlineLevel="0" collapsed="false">
      <c r="A4" s="17" t="s">
        <v>250</v>
      </c>
      <c r="B4" s="120" t="str">
        <f aca="false">IF(SUM(AR5,AO5,AL5,AI5,AF5,AC5,Z5,W5,T5,Q5,N5,K5)=0,"",SUM(AR3,AO3,AL3,AI3,AF3,AC3,Z3,W3,T3,Q3,N3,K3)/SUM(AR5,AO5,AL5,AI5,AF5,AC5,Z5,W5,T5,Q5,N5,K5))</f>
        <v/>
      </c>
      <c r="C4" s="120" t="n">
        <f aca="false">IF(SUM(AS5,AP5,AM5,AJ5,AG5,AD5,AA5,X5,U5,R5,O5,L5)=0,"",SUM(AS3,AP3,AM3,AJ3,AG3,AD3,AA3,X3,U3,R3,O3,L3)/SUM(AS5,AP5,AM5,AJ5,AG5,AD5,AA5,X5,U5,R5,O5,L5))</f>
        <v>5.79065420560748</v>
      </c>
      <c r="D4" s="120" t="n">
        <f aca="false">IF(SUM(AT5,AQ5,AN5,AK5,AH5,AE5,AB5,Y5,V5,S5,P5,M5)=0,"",SUM(AT3,AQ3,AN3,AK3,AH3,AE3,AB3,Y3,V3,S3,P3,M3)/SUM(AT5,AQ5,AN5,AK5,AH5,AE5,AB5,Y5,V5,S5,P5,M5))</f>
        <v>5.79065420560748</v>
      </c>
      <c r="E4" s="121" t="str">
        <f aca="false">IF(SUM(CB5,BY5,BV5,BS5,BP5,BM5,BJ5,BG5,BD5,BA5,AX5,AU5)=0,"",SUM(CB3,BY3,BV3,BS3,BP3,BM3,BJ3,BG3,BD3,BA3,AX3,AU3)/SUM(CB5,BY5,BV5,BS5,BP5,BM5,BJ5,BG5,BD5,BA5,AX5,AU5))</f>
        <v/>
      </c>
      <c r="F4" s="121" t="n">
        <f aca="false">IF(SUM(CC5,BZ5,BW5,BT5,BQ5,BN5,BK5,BH5,BE5,BB5,AY5,AV5)=0,"",SUM(CC3,BZ3,BW3,BT3,BQ3,BN3,BK3,BH3,BE3,BB3,AY3,AV3)/SUM(CC5,BZ5,BW5,BT5,BQ5,BN5,BK5,BH5,BE5,BB5,AY5,AV5))</f>
        <v>5.91549295774648</v>
      </c>
      <c r="G4" s="121" t="n">
        <f aca="false">IF(SUM(CD5,CA5,BX5,BU5,BR5,BO5,BL5,BI5,BF5,BC5,AZ5,AW5)=0,"",SUM(CD3,CA3,BX3,BU3,BR3,BO3,BL3,BI3,BF3,BC3,AZ3,AW3)/SUM(CD5,CA5,BX5,BU5,BR5,BO5,BL5,BI5,BF5,BC5,AZ5,AW5))</f>
        <v>5.91549295774648</v>
      </c>
      <c r="H4" s="120" t="n">
        <f aca="false">IF(SUM(DL5,DI5,DF5,DC5,CZ5,CW5,CT5,CQ5,CN5,CK5,CH5,CE5)=0,"",SUM(DL3,DI3,DF3,DC3,CZ3,CW3,CT3,CQ3,CN3,CK3,CH3,CE3)/SUM(DL5,DI5,DF5,DC5,CZ5,CW5,CT5,CQ5,CN5,CK5,CH5,CE5))</f>
        <v>6.5</v>
      </c>
      <c r="I4" s="120" t="n">
        <f aca="false">IF(SUM(DM5,DJ5,DG5,DD5,DA5,CX5,CU5,CR5,CO5,CL5,CI5,CF5)=0,"",SUM(DM3,DJ3,DG3,DD3,DA3,CX3,CU3,CR3,CO3,CL3,CI3,CF3)/SUM(DM5,DJ5,DG5,DD5,DA5,CX5,CU5,CR5,CO5,CL5,CI5,CF5))</f>
        <v>6.5</v>
      </c>
      <c r="J4" s="120" t="n">
        <f aca="false">IF(SUM(DN5,DK5,DH5,DE5,DB5,CY5,CV5,CS5,CP5,CM5,CJ5,CG5)=0,"",SUM(DN3,DK3,DH3,DE3,DB3,CY3,CV3,CS3,CP3,CM3,CJ3,CG3)/SUM(DN5,DK5,DH5,DE5,DB5,CY5,CV5,CS5,CP5,CM5,CJ5,CG5))</f>
        <v>6.5</v>
      </c>
      <c r="K4" s="29"/>
      <c r="L4" s="121" t="n">
        <f aca="false">IF('Cash Drivers'!L$26,Engineering!K4,Engineering!M4)</f>
        <v>6</v>
      </c>
      <c r="M4" s="122" t="n">
        <v>6</v>
      </c>
      <c r="N4" s="123"/>
      <c r="O4" s="120" t="n">
        <f aca="false">IF('Cash Drivers'!O$26,Engineering!N4,Engineering!P4)</f>
        <v>6</v>
      </c>
      <c r="P4" s="124" t="n">
        <v>6</v>
      </c>
      <c r="Q4" s="29"/>
      <c r="R4" s="121" t="n">
        <f aca="false">IF('Cash Drivers'!R$26,Engineering!Q4,Engineering!S4)</f>
        <v>6</v>
      </c>
      <c r="S4" s="122" t="n">
        <v>6</v>
      </c>
      <c r="T4" s="123"/>
      <c r="U4" s="120" t="n">
        <f aca="false">IF('Cash Drivers'!U$26,Engineering!T4,Engineering!V4)</f>
        <v>6</v>
      </c>
      <c r="V4" s="124" t="n">
        <v>6</v>
      </c>
      <c r="W4" s="29"/>
      <c r="X4" s="121" t="n">
        <f aca="false">IF('Cash Drivers'!X$26,Engineering!W4,Engineering!Y4)</f>
        <v>6</v>
      </c>
      <c r="Y4" s="122" t="n">
        <v>6</v>
      </c>
      <c r="Z4" s="123"/>
      <c r="AA4" s="120" t="n">
        <f aca="false">IF('Cash Drivers'!AA$26,Engineering!Z4,Engineering!AB4)</f>
        <v>6</v>
      </c>
      <c r="AB4" s="124" t="n">
        <v>6</v>
      </c>
      <c r="AC4" s="29"/>
      <c r="AD4" s="121" t="n">
        <f aca="false">IF('Cash Drivers'!AD$26,Engineering!AC4,Engineering!AE4)</f>
        <v>6</v>
      </c>
      <c r="AE4" s="122" t="n">
        <v>6</v>
      </c>
      <c r="AF4" s="123"/>
      <c r="AG4" s="120" t="n">
        <f aca="false">IF('Cash Drivers'!AG$26,Engineering!AF4,Engineering!AH4)</f>
        <v>6</v>
      </c>
      <c r="AH4" s="124" t="n">
        <v>6</v>
      </c>
      <c r="AI4" s="29"/>
      <c r="AJ4" s="121" t="n">
        <f aca="false">IF('Cash Drivers'!AJ$26,Engineering!AI4,Engineering!AK4)</f>
        <v>6</v>
      </c>
      <c r="AK4" s="122" t="n">
        <v>6</v>
      </c>
      <c r="AL4" s="123"/>
      <c r="AM4" s="120" t="n">
        <f aca="false">IF('Cash Drivers'!AM$26,Engineering!AL4,Engineering!AN4)</f>
        <v>6</v>
      </c>
      <c r="AN4" s="124" t="n">
        <v>6</v>
      </c>
      <c r="AO4" s="29"/>
      <c r="AP4" s="121" t="n">
        <f aca="false">IF('Cash Drivers'!AP$26,Engineering!AO4,Engineering!AQ4)</f>
        <v>6</v>
      </c>
      <c r="AQ4" s="122" t="n">
        <v>6</v>
      </c>
      <c r="AR4" s="123"/>
      <c r="AS4" s="120" t="n">
        <f aca="false">IF('Cash Drivers'!AS$26,Engineering!AR4,Engineering!AT4)</f>
        <v>6</v>
      </c>
      <c r="AT4" s="124" t="n">
        <v>6</v>
      </c>
      <c r="AU4" s="29"/>
      <c r="AV4" s="121" t="n">
        <f aca="false">IF('Cash Drivers'!AV$26,Engineering!AU4,Engineering!AW4)</f>
        <v>6</v>
      </c>
      <c r="AW4" s="122" t="n">
        <v>6</v>
      </c>
      <c r="AX4" s="123"/>
      <c r="AY4" s="120" t="n">
        <f aca="false">IF('Cash Drivers'!AY$26,Engineering!AX4,Engineering!AZ4)</f>
        <v>6</v>
      </c>
      <c r="AZ4" s="124" t="n">
        <v>6</v>
      </c>
      <c r="BA4" s="29"/>
      <c r="BB4" s="121" t="n">
        <f aca="false">IF('Cash Drivers'!BB$26,Engineering!BA4,Engineering!BC4)</f>
        <v>6</v>
      </c>
      <c r="BC4" s="122" t="n">
        <v>6</v>
      </c>
      <c r="BD4" s="123"/>
      <c r="BE4" s="120" t="n">
        <f aca="false">IF('Cash Drivers'!BE$26,Engineering!BD4,Engineering!BF4)</f>
        <v>6</v>
      </c>
      <c r="BF4" s="124" t="n">
        <v>6</v>
      </c>
      <c r="BG4" s="29"/>
      <c r="BH4" s="121" t="n">
        <f aca="false">IF('Cash Drivers'!BH$26,Engineering!BG4,Engineering!BI4)</f>
        <v>6</v>
      </c>
      <c r="BI4" s="122" t="n">
        <v>6</v>
      </c>
      <c r="BJ4" s="123"/>
      <c r="BK4" s="120" t="n">
        <f aca="false">IF('Cash Drivers'!BK$26,Engineering!BJ4,Engineering!BL4)</f>
        <v>6</v>
      </c>
      <c r="BL4" s="124" t="n">
        <v>6</v>
      </c>
      <c r="BM4" s="29"/>
      <c r="BN4" s="121" t="n">
        <f aca="false">IF('Cash Drivers'!BN$26,Engineering!BM4,Engineering!BO4)</f>
        <v>6</v>
      </c>
      <c r="BO4" s="122" t="n">
        <v>6</v>
      </c>
      <c r="BP4" s="123"/>
      <c r="BQ4" s="120" t="n">
        <f aca="false">IF('Cash Drivers'!BQ$26,Engineering!BP4,Engineering!BR4)</f>
        <v>6</v>
      </c>
      <c r="BR4" s="124" t="n">
        <v>6</v>
      </c>
      <c r="BS4" s="29"/>
      <c r="BT4" s="121" t="n">
        <f aca="false">IF('Cash Drivers'!BT$26,Engineering!BS4,Engineering!BU4)</f>
        <v>6</v>
      </c>
      <c r="BU4" s="122" t="n">
        <v>6</v>
      </c>
      <c r="BV4" s="123"/>
      <c r="BW4" s="120" t="n">
        <f aca="false">IF('Cash Drivers'!BW$26,Engineering!BV4,Engineering!BX4)</f>
        <v>6</v>
      </c>
      <c r="BX4" s="124" t="n">
        <v>6</v>
      </c>
      <c r="BY4" s="29"/>
      <c r="BZ4" s="121" t="n">
        <f aca="false">IF('Cash Drivers'!BZ$26,Engineering!BY4,Engineering!CA4)</f>
        <v>6</v>
      </c>
      <c r="CA4" s="122" t="n">
        <v>6</v>
      </c>
      <c r="CB4" s="123"/>
      <c r="CC4" s="120" t="n">
        <f aca="false">IF('Cash Drivers'!CC$26,Engineering!CB4,Engineering!CD4)</f>
        <v>6</v>
      </c>
      <c r="CD4" s="124" t="n">
        <v>6</v>
      </c>
      <c r="CE4" s="29"/>
      <c r="CF4" s="121" t="n">
        <f aca="false">IF('Cash Drivers'!CF$26,Engineering!CE4,Engineering!CG4)</f>
        <v>6</v>
      </c>
      <c r="CG4" s="122" t="n">
        <v>6</v>
      </c>
      <c r="CH4" s="123"/>
      <c r="CI4" s="120" t="n">
        <f aca="false">IF('Cash Drivers'!CI$26,Engineering!CH4,Engineering!CJ4)</f>
        <v>6</v>
      </c>
      <c r="CJ4" s="124" t="n">
        <v>6</v>
      </c>
      <c r="CK4" s="29"/>
      <c r="CL4" s="121" t="n">
        <f aca="false">IF('Cash Drivers'!CL$26,Engineering!CK4,Engineering!CM4)</f>
        <v>6</v>
      </c>
      <c r="CM4" s="122" t="n">
        <v>6</v>
      </c>
      <c r="CN4" s="123"/>
      <c r="CO4" s="120" t="n">
        <f aca="false">IF('Cash Drivers'!CO$26,Engineering!CN4,Engineering!CP4)</f>
        <v>6</v>
      </c>
      <c r="CP4" s="124" t="n">
        <v>6</v>
      </c>
      <c r="CQ4" s="29"/>
      <c r="CR4" s="121" t="n">
        <f aca="false">IF('Cash Drivers'!CR$26,Engineering!CQ4,Engineering!CS4)</f>
        <v>6</v>
      </c>
      <c r="CS4" s="122" t="n">
        <v>6</v>
      </c>
      <c r="CT4" s="123"/>
      <c r="CU4" s="120" t="n">
        <f aca="false">IF('Cash Drivers'!CU$26,Engineering!CT4,Engineering!CV4)</f>
        <v>6</v>
      </c>
      <c r="CV4" s="124" t="n">
        <v>6</v>
      </c>
      <c r="CW4" s="29"/>
      <c r="CX4" s="121" t="n">
        <f aca="false">IF('Cash Drivers'!CX$26,Engineering!CW4,Engineering!CY4)</f>
        <v>6</v>
      </c>
      <c r="CY4" s="122" t="n">
        <v>6</v>
      </c>
      <c r="CZ4" s="123"/>
      <c r="DA4" s="120" t="n">
        <f aca="false">IF('Cash Drivers'!DA$26,Engineering!CZ4,Engineering!DB4)</f>
        <v>6</v>
      </c>
      <c r="DB4" s="124" t="n">
        <v>6</v>
      </c>
      <c r="DC4" s="29"/>
      <c r="DD4" s="121" t="n">
        <f aca="false">IF('Cash Drivers'!DD$26,Engineering!DC4,Engineering!DE4)</f>
        <v>6</v>
      </c>
      <c r="DE4" s="122" t="n">
        <v>6</v>
      </c>
      <c r="DF4" s="123"/>
      <c r="DG4" s="120" t="n">
        <f aca="false">IF('Cash Drivers'!DG$26,Engineering!DF4,Engineering!DH4)</f>
        <v>6</v>
      </c>
      <c r="DH4" s="124" t="n">
        <v>6</v>
      </c>
      <c r="DI4" s="122" t="n">
        <v>6</v>
      </c>
      <c r="DJ4" s="121" t="n">
        <f aca="false">IF('Cash Drivers'!DJ$26,Engineering!DI4,Engineering!DK4)</f>
        <v>6</v>
      </c>
      <c r="DK4" s="122" t="n">
        <v>6</v>
      </c>
      <c r="DL4" s="124" t="n">
        <v>6</v>
      </c>
      <c r="DM4" s="120" t="n">
        <f aca="false">IF('Cash Drivers'!DM$26,Engineering!DL4,Engineering!DN4)</f>
        <v>6</v>
      </c>
      <c r="DN4" s="124" t="n">
        <v>6</v>
      </c>
    </row>
    <row r="5" customFormat="false" ht="15" hidden="false" customHeight="false" outlineLevel="0" collapsed="false">
      <c r="A5" s="5" t="s">
        <v>251</v>
      </c>
      <c r="B5" s="23" t="str">
        <f aca="false">IF(COUNT(AR5,AO5,AL5,AI5,AF5,AC5,Z5,W5,T5,Q5,N5,K5)=0,"",SUM(AR5,AO5,AL5,AI5,AF5,AC5,Z5,W5,T5,Q5,N5,K5))</f>
        <v/>
      </c>
      <c r="C5" s="23" t="n">
        <f aca="false">IF(COUNT(AS5,AP5,AM5,AJ5,AG5,AD5,AA5,X5,U5,R5,O5,L5)=0,"",SUM(AS5,AP5,AM5,AJ5,AG5,AD5,AA5,X5,U5,R5,O5,L5))</f>
        <v>107</v>
      </c>
      <c r="D5" s="23" t="n">
        <f aca="false">IF(COUNT(AT5,AQ5,AN5,AK5,AH5,AE5,AB5,Y5,V5,S5,P5,M5)=0,"",SUM(AT5,AQ5,AN5,AK5,AH5,AE5,AB5,Y5,V5,S5,P5,M5))</f>
        <v>107</v>
      </c>
      <c r="E5" s="2" t="str">
        <f aca="false">IF(COUNT(CB5,BY5,BV5,BS5,BP5,BM5,BJ5,BG5,BD5,BA5,AX5,AU5)=0,"",SUM(CB5,BY5,BV5,BS5,BP5,BM5,BJ5,BG5,BD5,BA5,AX5,AU5))</f>
        <v/>
      </c>
      <c r="F5" s="2" t="n">
        <f aca="false">IF(COUNT(CC5,BZ5,BW5,BT5,BQ5,BN5,BK5,BH5,BE5,BB5,AY5,AV5)=0,"",SUM(CC5,BZ5,BW5,BT5,BQ5,BN5,BK5,BH5,BE5,BB5,AY5,AV5))</f>
        <v>71</v>
      </c>
      <c r="G5" s="2" t="n">
        <f aca="false">IF(COUNT(CD5,CA5,BX5,BU5,BR5,BO5,BL5,BI5,BF5,BC5,AZ5,AW5)=0,"",SUM(CD5,CA5,BX5,BU5,BR5,BO5,BL5,BI5,BF5,BC5,AZ5,AW5))</f>
        <v>71</v>
      </c>
      <c r="H5" s="23" t="n">
        <f aca="false">IF(COUNT(DL5,DI5,DF5,DC5,CZ5,CW5,CT5,CQ5,CN5,CK5,CH5,CE5)=0,"",SUM(DL5,DI5,DF5,DC5,CZ5,CW5,CT5,CQ5,CN5,CK5,CH5,CE5))</f>
        <v>8</v>
      </c>
      <c r="I5" s="23" t="n">
        <f aca="false">IF(COUNT(DM5,DJ5,DG5,DD5,DA5,CX5,CU5,CR5,CO5,CL5,CI5,CF5)=0,"",SUM(DM5,DJ5,DG5,DD5,DA5,CX5,CU5,CR5,CO5,CL5,CI5,CF5))</f>
        <v>48</v>
      </c>
      <c r="J5" s="23" t="n">
        <f aca="false">IF(COUNT(DN5,DK5,DH5,DE5,DB5,CY5,CV5,CS5,CP5,CM5,CJ5,CG5)=0,"",SUM(DN5,DK5,DH5,DE5,DB5,CY5,CV5,CS5,CP5,CM5,CJ5,CG5))</f>
        <v>48</v>
      </c>
      <c r="K5" s="2" t="str">
        <f aca="false">IF(COUNT(K3,K4)=2,ROUND(K3/K4,0),"")</f>
        <v/>
      </c>
      <c r="L5" s="2" t="n">
        <f aca="false">ROUND(L3/L4,0)</f>
        <v>9</v>
      </c>
      <c r="M5" s="2" t="n">
        <f aca="false">ROUND(M3/M4,0)</f>
        <v>9</v>
      </c>
      <c r="N5" s="23" t="str">
        <f aca="false">IF(COUNT(N3,N4)=2,ROUND(N3/N4,0),"")</f>
        <v/>
      </c>
      <c r="O5" s="23" t="n">
        <f aca="false">ROUND(O3/O4,0)</f>
        <v>9</v>
      </c>
      <c r="P5" s="23" t="n">
        <f aca="false">ROUND(P3/P4,0)</f>
        <v>9</v>
      </c>
      <c r="Q5" s="2" t="str">
        <f aca="false">IF(COUNT(Q3,Q4)=2,ROUND(Q3/Q4,0),"")</f>
        <v/>
      </c>
      <c r="R5" s="2" t="n">
        <f aca="false">ROUND(R3/R4,0)</f>
        <v>9</v>
      </c>
      <c r="S5" s="2" t="n">
        <f aca="false">ROUND(S3/S4,0)</f>
        <v>9</v>
      </c>
      <c r="T5" s="23" t="str">
        <f aca="false">IF(COUNT(T3,T4)=2,ROUND(T3/T4,0),"")</f>
        <v/>
      </c>
      <c r="U5" s="23" t="n">
        <f aca="false">ROUND(U3/U4,0)</f>
        <v>9</v>
      </c>
      <c r="V5" s="23" t="n">
        <f aca="false">ROUND(V3/V4,0)</f>
        <v>9</v>
      </c>
      <c r="W5" s="2" t="str">
        <f aca="false">IF(COUNT(W3,W4)=2,ROUND(W3/W4,0),"")</f>
        <v/>
      </c>
      <c r="X5" s="2" t="n">
        <f aca="false">ROUND(X3/X4,0)</f>
        <v>9</v>
      </c>
      <c r="Y5" s="2" t="n">
        <f aca="false">ROUND(Y3/Y4,0)</f>
        <v>9</v>
      </c>
      <c r="Z5" s="23" t="str">
        <f aca="false">IF(COUNT(Z3,Z4)=2,ROUND(Z3/Z4,0),"")</f>
        <v/>
      </c>
      <c r="AA5" s="23" t="n">
        <f aca="false">ROUND(AA3/AA4,0)</f>
        <v>9</v>
      </c>
      <c r="AB5" s="23" t="n">
        <f aca="false">ROUND(AB3/AB4,0)</f>
        <v>9</v>
      </c>
      <c r="AC5" s="2" t="str">
        <f aca="false">IF(COUNT(AC3,AC4)=2,ROUND(AC3/AC4,0),"")</f>
        <v/>
      </c>
      <c r="AD5" s="2" t="n">
        <f aca="false">ROUND(AD3/AD4,0)</f>
        <v>9</v>
      </c>
      <c r="AE5" s="2" t="n">
        <f aca="false">ROUND(AE3/AE4,0)</f>
        <v>9</v>
      </c>
      <c r="AF5" s="23" t="str">
        <f aca="false">IF(COUNT(AF3,AF4)=2,ROUND(AF3/AF4,0),"")</f>
        <v/>
      </c>
      <c r="AG5" s="23" t="n">
        <f aca="false">ROUND(AG3/AG4,0)</f>
        <v>9</v>
      </c>
      <c r="AH5" s="23" t="n">
        <f aca="false">ROUND(AH3/AH4,0)</f>
        <v>9</v>
      </c>
      <c r="AI5" s="2" t="str">
        <f aca="false">IF(COUNT(AI3,AI4)=2,ROUND(AI3/AI4,0),"")</f>
        <v/>
      </c>
      <c r="AJ5" s="2" t="n">
        <f aca="false">ROUND(AJ3/AJ4,0)</f>
        <v>9</v>
      </c>
      <c r="AK5" s="2" t="n">
        <f aca="false">ROUND(AK3/AK4,0)</f>
        <v>9</v>
      </c>
      <c r="AL5" s="23" t="str">
        <f aca="false">IF(COUNT(AL3,AL4)=2,ROUND(AL3/AL4,0),"")</f>
        <v/>
      </c>
      <c r="AM5" s="23" t="n">
        <f aca="false">ROUND(AM3/AM4,0)</f>
        <v>9</v>
      </c>
      <c r="AN5" s="23" t="n">
        <f aca="false">ROUND(AN3/AN4,0)</f>
        <v>9</v>
      </c>
      <c r="AO5" s="2" t="str">
        <f aca="false">IF(COUNT(AO3,AO4)=2,ROUND(AO3/AO4,0),"")</f>
        <v/>
      </c>
      <c r="AP5" s="2" t="n">
        <f aca="false">ROUND(AP3/AP4,0)</f>
        <v>9</v>
      </c>
      <c r="AQ5" s="2" t="n">
        <f aca="false">ROUND(AQ3/AQ4,0)</f>
        <v>9</v>
      </c>
      <c r="AR5" s="23" t="str">
        <f aca="false">IF(COUNT(AR3,AR4)=2,ROUND(AR3/AR4,0),"")</f>
        <v/>
      </c>
      <c r="AS5" s="23" t="n">
        <f aca="false">ROUND(AS3/AS4,0)</f>
        <v>8</v>
      </c>
      <c r="AT5" s="23" t="n">
        <f aca="false">ROUND(AT3/AT4,0)</f>
        <v>8</v>
      </c>
      <c r="AU5" s="2" t="str">
        <f aca="false">IF(COUNT(AU3,AU4)=2,ROUND(AU3/AU4,0),"")</f>
        <v/>
      </c>
      <c r="AV5" s="2" t="n">
        <f aca="false">ROUND(AV3/AV4,0)</f>
        <v>7</v>
      </c>
      <c r="AW5" s="2" t="n">
        <f aca="false">ROUND(AW3/AW4,0)</f>
        <v>7</v>
      </c>
      <c r="AX5" s="23" t="str">
        <f aca="false">IF(COUNT(AX3,AX4)=2,ROUND(AX3/AX4,0),"")</f>
        <v/>
      </c>
      <c r="AY5" s="23" t="n">
        <f aca="false">ROUND(AY3/AY4,0)</f>
        <v>7</v>
      </c>
      <c r="AZ5" s="23" t="n">
        <f aca="false">ROUND(AZ3/AZ4,0)</f>
        <v>7</v>
      </c>
      <c r="BA5" s="2" t="str">
        <f aca="false">IF(COUNT(BA3,BA4)=2,ROUND(BA3/BA4,0),"")</f>
        <v/>
      </c>
      <c r="BB5" s="2" t="n">
        <f aca="false">ROUND(BB3/BB4,0)</f>
        <v>7</v>
      </c>
      <c r="BC5" s="2" t="n">
        <f aca="false">ROUND(BC3/BC4,0)</f>
        <v>7</v>
      </c>
      <c r="BD5" s="23" t="str">
        <f aca="false">IF(COUNT(BD3,BD4)=2,ROUND(BD3/BD4,0),"")</f>
        <v/>
      </c>
      <c r="BE5" s="23" t="n">
        <f aca="false">ROUND(BE3/BE4,0)</f>
        <v>7</v>
      </c>
      <c r="BF5" s="23" t="n">
        <f aca="false">ROUND(BF3/BF4,0)</f>
        <v>7</v>
      </c>
      <c r="BG5" s="2" t="str">
        <f aca="false">IF(COUNT(BG3,BG4)=2,ROUND(BG3/BG4,0),"")</f>
        <v/>
      </c>
      <c r="BH5" s="2" t="n">
        <f aca="false">ROUND(BH3/BH4,0)</f>
        <v>7</v>
      </c>
      <c r="BI5" s="2" t="n">
        <f aca="false">ROUND(BI3/BI4,0)</f>
        <v>7</v>
      </c>
      <c r="BJ5" s="23" t="str">
        <f aca="false">IF(COUNT(BJ3,BJ4)=2,ROUND(BJ3/BJ4,0),"")</f>
        <v/>
      </c>
      <c r="BK5" s="23" t="n">
        <f aca="false">ROUND(BK3/BK4,0)</f>
        <v>6</v>
      </c>
      <c r="BL5" s="23" t="n">
        <f aca="false">ROUND(BL3/BL4,0)</f>
        <v>6</v>
      </c>
      <c r="BM5" s="2" t="str">
        <f aca="false">IF(COUNT(BM3,BM4)=2,ROUND(BM3/BM4,0),"")</f>
        <v/>
      </c>
      <c r="BN5" s="2" t="n">
        <f aca="false">ROUND(BN3/BN4,0)</f>
        <v>6</v>
      </c>
      <c r="BO5" s="2" t="n">
        <f aca="false">ROUND(BO3/BO4,0)</f>
        <v>6</v>
      </c>
      <c r="BP5" s="23" t="str">
        <f aca="false">IF(COUNT(BP3,BP4)=2,ROUND(BP3/BP4,0),"")</f>
        <v/>
      </c>
      <c r="BQ5" s="23" t="n">
        <f aca="false">ROUND(BQ3/BQ4,0)</f>
        <v>5</v>
      </c>
      <c r="BR5" s="23" t="n">
        <f aca="false">ROUND(BR3/BR4,0)</f>
        <v>5</v>
      </c>
      <c r="BS5" s="2" t="str">
        <f aca="false">IF(COUNT(BS3,BS4)=2,ROUND(BS3/BS4,0),"")</f>
        <v/>
      </c>
      <c r="BT5" s="2" t="n">
        <f aca="false">ROUND(BT3/BT4,0)</f>
        <v>5</v>
      </c>
      <c r="BU5" s="2" t="n">
        <f aca="false">ROUND(BU3/BU4,0)</f>
        <v>5</v>
      </c>
      <c r="BV5" s="23" t="str">
        <f aca="false">IF(COUNT(BV3,BV4)=2,ROUND(BV3/BV4,0),"")</f>
        <v/>
      </c>
      <c r="BW5" s="23" t="n">
        <f aca="false">ROUND(BW3/BW4,0)</f>
        <v>5</v>
      </c>
      <c r="BX5" s="23" t="n">
        <f aca="false">ROUND(BX3/BX4,0)</f>
        <v>5</v>
      </c>
      <c r="BY5" s="2" t="str">
        <f aca="false">IF(COUNT(BY3,BY4)=2,ROUND(BY3/BY4,0),"")</f>
        <v/>
      </c>
      <c r="BZ5" s="2" t="n">
        <f aca="false">ROUND(BZ3/BZ4,0)</f>
        <v>5</v>
      </c>
      <c r="CA5" s="2" t="n">
        <f aca="false">ROUND(CA3/CA4,0)</f>
        <v>5</v>
      </c>
      <c r="CB5" s="23" t="str">
        <f aca="false">IF(COUNT(CB3,CB4)=2,ROUND(CB3/CB4,0),"")</f>
        <v/>
      </c>
      <c r="CC5" s="23" t="n">
        <f aca="false">ROUND(CC3/CC4,0)</f>
        <v>4</v>
      </c>
      <c r="CD5" s="23" t="n">
        <f aca="false">ROUND(CD3/CD4,0)</f>
        <v>4</v>
      </c>
      <c r="CE5" s="2" t="str">
        <f aca="false">IF(COUNT(CE3,CE4)=2,ROUND(CE3/CE4,0),"")</f>
        <v/>
      </c>
      <c r="CF5" s="2" t="n">
        <f aca="false">ROUND(CF3/CF4,0)</f>
        <v>4</v>
      </c>
      <c r="CG5" s="2" t="n">
        <f aca="false">ROUND(CG3/CG4,0)</f>
        <v>4</v>
      </c>
      <c r="CH5" s="23" t="str">
        <f aca="false">IF(COUNT(CH3,CH4)=2,ROUND(CH3/CH4,0),"")</f>
        <v/>
      </c>
      <c r="CI5" s="23" t="n">
        <f aca="false">ROUND(CI3/CI4,0)</f>
        <v>4</v>
      </c>
      <c r="CJ5" s="23" t="n">
        <f aca="false">ROUND(CJ3/CJ4,0)</f>
        <v>4</v>
      </c>
      <c r="CK5" s="2" t="str">
        <f aca="false">IF(COUNT(CK3,CK4)=2,ROUND(CK3/CK4,0),"")</f>
        <v/>
      </c>
      <c r="CL5" s="2" t="n">
        <f aca="false">ROUND(CL3/CL4,0)</f>
        <v>4</v>
      </c>
      <c r="CM5" s="2" t="n">
        <f aca="false">ROUND(CM3/CM4,0)</f>
        <v>4</v>
      </c>
      <c r="CN5" s="23" t="str">
        <f aca="false">IF(COUNT(CN3,CN4)=2,ROUND(CN3/CN4,0),"")</f>
        <v/>
      </c>
      <c r="CO5" s="23" t="n">
        <f aca="false">ROUND(CO3/CO4,0)</f>
        <v>4</v>
      </c>
      <c r="CP5" s="23" t="n">
        <f aca="false">ROUND(CP3/CP4,0)</f>
        <v>4</v>
      </c>
      <c r="CQ5" s="2" t="str">
        <f aca="false">IF(COUNT(CQ3,CQ4)=2,ROUND(CQ3/CQ4,0),"")</f>
        <v/>
      </c>
      <c r="CR5" s="2" t="n">
        <f aca="false">ROUND(CR3/CR4,0)</f>
        <v>4</v>
      </c>
      <c r="CS5" s="2" t="n">
        <f aca="false">ROUND(CS3/CS4,0)</f>
        <v>4</v>
      </c>
      <c r="CT5" s="23" t="str">
        <f aca="false">IF(COUNT(CT3,CT4)=2,ROUND(CT3/CT4,0),"")</f>
        <v/>
      </c>
      <c r="CU5" s="23" t="n">
        <f aca="false">ROUND(CU3/CU4,0)</f>
        <v>4</v>
      </c>
      <c r="CV5" s="23" t="n">
        <f aca="false">ROUND(CV3/CV4,0)</f>
        <v>4</v>
      </c>
      <c r="CW5" s="2" t="str">
        <f aca="false">IF(COUNT(CW3,CW4)=2,ROUND(CW3/CW4,0),"")</f>
        <v/>
      </c>
      <c r="CX5" s="2" t="n">
        <f aca="false">ROUND(CX3/CX4,0)</f>
        <v>4</v>
      </c>
      <c r="CY5" s="2" t="n">
        <f aca="false">ROUND(CY3/CY4,0)</f>
        <v>4</v>
      </c>
      <c r="CZ5" s="23" t="str">
        <f aca="false">IF(COUNT(CZ3,CZ4)=2,ROUND(CZ3/CZ4,0),"")</f>
        <v/>
      </c>
      <c r="DA5" s="23" t="n">
        <f aca="false">ROUND(DA3/DA4,0)</f>
        <v>4</v>
      </c>
      <c r="DB5" s="23" t="n">
        <f aca="false">ROUND(DB3/DB4,0)</f>
        <v>4</v>
      </c>
      <c r="DC5" s="2" t="str">
        <f aca="false">IF(COUNT(DC3,DC4)=2,ROUND(DC3/DC4,0),"")</f>
        <v/>
      </c>
      <c r="DD5" s="2" t="n">
        <f aca="false">ROUND(DD3/DD4,0)</f>
        <v>4</v>
      </c>
      <c r="DE5" s="2" t="n">
        <f aca="false">ROUND(DE3/DE4,0)</f>
        <v>4</v>
      </c>
      <c r="DF5" s="23" t="str">
        <f aca="false">IF(COUNT(DF3,DF4)=2,ROUND(DF3/DF4,0),"")</f>
        <v/>
      </c>
      <c r="DG5" s="23" t="n">
        <f aca="false">ROUND(DG3/DG4,0)</f>
        <v>4</v>
      </c>
      <c r="DH5" s="23" t="n">
        <f aca="false">ROUND(DH3/DH4,0)</f>
        <v>4</v>
      </c>
      <c r="DI5" s="2" t="n">
        <f aca="false">IF(COUNT(DI3,DI4)=2,ROUND(DI3/DI4,0),"")</f>
        <v>4</v>
      </c>
      <c r="DJ5" s="2" t="n">
        <f aca="false">ROUND(DJ3/DJ4,0)</f>
        <v>4</v>
      </c>
      <c r="DK5" s="2" t="n">
        <f aca="false">ROUND(DK3/DK4,0)</f>
        <v>4</v>
      </c>
      <c r="DL5" s="23" t="n">
        <f aca="false">IF(COUNT(DL3,DL4)=2,ROUND(DL3/DL4,0),"")</f>
        <v>4</v>
      </c>
      <c r="DM5" s="23" t="n">
        <f aca="false">ROUND(DM3/DM4,0)</f>
        <v>4</v>
      </c>
      <c r="DN5" s="23" t="n">
        <f aca="false">ROUND(DN3/DN4,0)</f>
        <v>4</v>
      </c>
    </row>
    <row r="6" customFormat="false" ht="15" hidden="false" customHeight="false" outlineLevel="0" collapsed="false">
      <c r="A6" s="17" t="s">
        <v>252</v>
      </c>
      <c r="B6" s="82" t="str">
        <f aca="false">IF(SUM(AR5,AO5,AL5,AI5,AF5,AC5,Z5,W5,T5,Q5,N5,K5)=0,"",SUM(AR7,AO7,AL7,AI7,AF7,AC7,Z7,W7,T7,Q7,N7,K7)/SUM(AR5,AO5,AL5,AI5,AF5,AC5,Z5,W5,T5,Q5,N5,K5))</f>
        <v/>
      </c>
      <c r="C6" s="82" t="n">
        <f aca="false">IF(SUM(AS5,AP5,AM5,AJ5,AG5,AD5,AA5,X5,U5,R5,O5,L5)=0,"",SUM(AS7,AP7,AM7,AJ7,AG7,AD7,AA7,X7,U7,R7,O7,L7)/SUM(AS5,AP5,AM5,AJ5,AG5,AD5,AA5,X5,U5,R5,O5,L5))</f>
        <v>0.560747663551402</v>
      </c>
      <c r="D6" s="82" t="n">
        <f aca="false">IF(SUM(AT5,AQ5,AN5,AK5,AH5,AE5,AB5,Y5,V5,S5,P5,M5)=0,"",SUM(AT7,AQ7,AN7,AK7,AH7,AE7,AB7,Y7,V7,S7,P7,M7)/SUM(AT5,AQ5,AN5,AK5,AH5,AE5,AB5,Y5,V5,S5,P5,M5))</f>
        <v>0.560747663551402</v>
      </c>
      <c r="E6" s="83" t="str">
        <f aca="false">IF(SUM(CB5,BY5,BV5,BS5,BP5,BM5,BJ5,BG5,BD5,BA5,AX5,AU5)=0,"",SUM(CB7,BY7,BV7,BS7,BP7,BM7,BJ7,BG7,BD7,BA7,AX7,AU7)/SUM(CB5,BY5,BV5,BS5,BP5,BM5,BJ5,BG5,BD5,BA5,AX5,AU5))</f>
        <v/>
      </c>
      <c r="F6" s="83" t="n">
        <f aca="false">IF(SUM(CC5,BZ5,BW5,BT5,BQ5,BN5,BK5,BH5,BE5,BB5,AY5,AV5)=0,"",SUM(CC7,BZ7,BW7,BT7,BQ7,BN7,BK7,BH7,BE7,BB7,AY7,AV7)/SUM(CC5,BZ5,BW5,BT5,BQ5,BN5,BK5,BH5,BE5,BB5,AY5,AV5))</f>
        <v>0.591549295774648</v>
      </c>
      <c r="G6" s="83" t="n">
        <f aca="false">IF(SUM(CD5,CA5,BX5,BU5,BR5,BO5,BL5,BI5,BF5,BC5,AZ5,AW5)=0,"",SUM(CD7,CA7,BX7,BU7,BR7,BO7,BL7,BI7,BF7,BC7,AZ7,AW7)/SUM(CD5,CA5,BX5,BU5,BR5,BO5,BL5,BI5,BF5,BC5,AZ5,AW5))</f>
        <v>0.591549295774648</v>
      </c>
      <c r="H6" s="82" t="n">
        <f aca="false">IF(SUM(DL5,DI5,DF5,DC5,CZ5,CW5,CT5,CQ5,CN5,CK5,CH5,CE5)=0,"",SUM(DL7,DI7,DF7,DC7,CZ7,CW7,CT7,CQ7,CN7,CK7,CH7,CE7)/SUM(DL5,DI5,DF5,DC5,CZ5,CW5,CT5,CQ5,CN5,CK5,CH5,CE5))</f>
        <v>0.5</v>
      </c>
      <c r="I6" s="82" t="n">
        <f aca="false">IF(SUM(DM5,DJ5,DG5,DD5,DA5,CX5,CU5,CR5,CO5,CL5,CI5,CF5)=0,"",SUM(DM7,DJ7,DG7,DD7,DA7,CX7,CU7,CR7,CO7,CL7,CI7,CF7)/SUM(DM5,DJ5,DG5,DD5,DA5,CX5,CU5,CR5,CO5,CL5,CI5,CF5))</f>
        <v>0.5</v>
      </c>
      <c r="J6" s="82" t="n">
        <f aca="false">IF(SUM(DN5,DK5,DH5,DE5,DB5,CY5,CV5,CS5,CP5,CM5,CJ5,CG5)=0,"",SUM(DN7,DK7,DH7,DE7,DB7,CY7,CV7,CS7,CP7,CM7,CJ7,CG7)/SUM(DN5,DK5,DH5,DE5,DB5,CY5,CV5,CS5,CP5,CM5,CJ5,CG5))</f>
        <v>0.5</v>
      </c>
      <c r="K6" s="118"/>
      <c r="L6" s="83" t="n">
        <f aca="false">IF('Cash Drivers'!L$26,Engineering!K6,Engineering!M6)</f>
        <v>0.6</v>
      </c>
      <c r="M6" s="84" t="n">
        <v>0.6</v>
      </c>
      <c r="N6" s="119"/>
      <c r="O6" s="82" t="n">
        <f aca="false">IF('Cash Drivers'!O$26,Engineering!N6,Engineering!P6)</f>
        <v>0.6</v>
      </c>
      <c r="P6" s="85" t="n">
        <v>0.6</v>
      </c>
      <c r="Q6" s="118"/>
      <c r="R6" s="83" t="n">
        <f aca="false">IF('Cash Drivers'!R$26,Engineering!Q6,Engineering!S6)</f>
        <v>0.6</v>
      </c>
      <c r="S6" s="84" t="n">
        <v>0.6</v>
      </c>
      <c r="T6" s="119"/>
      <c r="U6" s="82" t="n">
        <f aca="false">IF('Cash Drivers'!U$26,Engineering!T6,Engineering!V6)</f>
        <v>0.6</v>
      </c>
      <c r="V6" s="85" t="n">
        <v>0.6</v>
      </c>
      <c r="W6" s="118"/>
      <c r="X6" s="83" t="n">
        <f aca="false">IF('Cash Drivers'!X$26,Engineering!W6,Engineering!Y6)</f>
        <v>0.6</v>
      </c>
      <c r="Y6" s="84" t="n">
        <v>0.6</v>
      </c>
      <c r="Z6" s="119"/>
      <c r="AA6" s="82" t="n">
        <f aca="false">IF('Cash Drivers'!AA$26,Engineering!Z6,Engineering!AB6)</f>
        <v>0.6</v>
      </c>
      <c r="AB6" s="85" t="n">
        <v>0.6</v>
      </c>
      <c r="AC6" s="118"/>
      <c r="AD6" s="83" t="n">
        <f aca="false">IF('Cash Drivers'!AD$26,Engineering!AC6,Engineering!AE6)</f>
        <v>0.6</v>
      </c>
      <c r="AE6" s="84" t="n">
        <v>0.6</v>
      </c>
      <c r="AF6" s="119"/>
      <c r="AG6" s="82" t="n">
        <f aca="false">IF('Cash Drivers'!AG$26,Engineering!AF6,Engineering!AH6)</f>
        <v>0.6</v>
      </c>
      <c r="AH6" s="85" t="n">
        <v>0.6</v>
      </c>
      <c r="AI6" s="118"/>
      <c r="AJ6" s="83" t="n">
        <f aca="false">IF('Cash Drivers'!AJ$26,Engineering!AI6,Engineering!AK6)</f>
        <v>0.6</v>
      </c>
      <c r="AK6" s="84" t="n">
        <v>0.6</v>
      </c>
      <c r="AL6" s="119"/>
      <c r="AM6" s="82" t="n">
        <f aca="false">IF('Cash Drivers'!AM$26,Engineering!AL6,Engineering!AN6)</f>
        <v>0.6</v>
      </c>
      <c r="AN6" s="85" t="n">
        <v>0.6</v>
      </c>
      <c r="AO6" s="118"/>
      <c r="AP6" s="83" t="n">
        <f aca="false">IF('Cash Drivers'!AP$26,Engineering!AO6,Engineering!AQ6)</f>
        <v>0.6</v>
      </c>
      <c r="AQ6" s="84" t="n">
        <v>0.6</v>
      </c>
      <c r="AR6" s="119"/>
      <c r="AS6" s="82" t="n">
        <f aca="false">IF('Cash Drivers'!AS$26,Engineering!AR6,Engineering!AT6)</f>
        <v>0.6</v>
      </c>
      <c r="AT6" s="85" t="n">
        <v>0.6</v>
      </c>
      <c r="AU6" s="118"/>
      <c r="AV6" s="83" t="n">
        <f aca="false">IF('Cash Drivers'!AV$26,Engineering!AU6,Engineering!AW6)</f>
        <v>0.6</v>
      </c>
      <c r="AW6" s="84" t="n">
        <v>0.6</v>
      </c>
      <c r="AX6" s="119"/>
      <c r="AY6" s="82" t="n">
        <f aca="false">IF('Cash Drivers'!AY$26,Engineering!AX6,Engineering!AZ6)</f>
        <v>0.6</v>
      </c>
      <c r="AZ6" s="85" t="n">
        <v>0.6</v>
      </c>
      <c r="BA6" s="118"/>
      <c r="BB6" s="83" t="n">
        <f aca="false">IF('Cash Drivers'!BB$26,Engineering!BA6,Engineering!BC6)</f>
        <v>0.6</v>
      </c>
      <c r="BC6" s="84" t="n">
        <v>0.6</v>
      </c>
      <c r="BD6" s="119"/>
      <c r="BE6" s="82" t="n">
        <f aca="false">IF('Cash Drivers'!BE$26,Engineering!BD6,Engineering!BF6)</f>
        <v>0.6</v>
      </c>
      <c r="BF6" s="85" t="n">
        <v>0.6</v>
      </c>
      <c r="BG6" s="118"/>
      <c r="BH6" s="83" t="n">
        <f aca="false">IF('Cash Drivers'!BH$26,Engineering!BG6,Engineering!BI6)</f>
        <v>0.6</v>
      </c>
      <c r="BI6" s="84" t="n">
        <v>0.6</v>
      </c>
      <c r="BJ6" s="119"/>
      <c r="BK6" s="82" t="n">
        <f aca="false">IF('Cash Drivers'!BK$26,Engineering!BJ6,Engineering!BL6)</f>
        <v>0.6</v>
      </c>
      <c r="BL6" s="85" t="n">
        <v>0.6</v>
      </c>
      <c r="BM6" s="118"/>
      <c r="BN6" s="83" t="n">
        <f aca="false">IF('Cash Drivers'!BN$26,Engineering!BM6,Engineering!BO6)</f>
        <v>0.6</v>
      </c>
      <c r="BO6" s="84" t="n">
        <v>0.6</v>
      </c>
      <c r="BP6" s="119"/>
      <c r="BQ6" s="82" t="n">
        <f aca="false">IF('Cash Drivers'!BQ$26,Engineering!BP6,Engineering!BR6)</f>
        <v>0.6</v>
      </c>
      <c r="BR6" s="85" t="n">
        <v>0.6</v>
      </c>
      <c r="BS6" s="118"/>
      <c r="BT6" s="83" t="n">
        <f aca="false">IF('Cash Drivers'!BT$26,Engineering!BS6,Engineering!BU6)</f>
        <v>0.6</v>
      </c>
      <c r="BU6" s="84" t="n">
        <v>0.6</v>
      </c>
      <c r="BV6" s="119"/>
      <c r="BW6" s="82" t="n">
        <f aca="false">IF('Cash Drivers'!BW$26,Engineering!BV6,Engineering!BX6)</f>
        <v>0.6</v>
      </c>
      <c r="BX6" s="85" t="n">
        <v>0.6</v>
      </c>
      <c r="BY6" s="118"/>
      <c r="BZ6" s="83" t="n">
        <f aca="false">IF('Cash Drivers'!BZ$26,Engineering!BY6,Engineering!CA6)</f>
        <v>0.6</v>
      </c>
      <c r="CA6" s="84" t="n">
        <v>0.6</v>
      </c>
      <c r="CB6" s="119"/>
      <c r="CC6" s="82" t="n">
        <f aca="false">IF('Cash Drivers'!CC$26,Engineering!CB6,Engineering!CD6)</f>
        <v>0.6</v>
      </c>
      <c r="CD6" s="85" t="n">
        <v>0.6</v>
      </c>
      <c r="CE6" s="118"/>
      <c r="CF6" s="83" t="n">
        <f aca="false">IF('Cash Drivers'!CF$26,Engineering!CE6,Engineering!CG6)</f>
        <v>0.6</v>
      </c>
      <c r="CG6" s="84" t="n">
        <v>0.6</v>
      </c>
      <c r="CH6" s="119"/>
      <c r="CI6" s="82" t="n">
        <f aca="false">IF('Cash Drivers'!CI$26,Engineering!CH6,Engineering!CJ6)</f>
        <v>0.6</v>
      </c>
      <c r="CJ6" s="85" t="n">
        <v>0.6</v>
      </c>
      <c r="CK6" s="118"/>
      <c r="CL6" s="83" t="n">
        <f aca="false">IF('Cash Drivers'!CL$26,Engineering!CK6,Engineering!CM6)</f>
        <v>0.6</v>
      </c>
      <c r="CM6" s="84" t="n">
        <v>0.6</v>
      </c>
      <c r="CN6" s="119"/>
      <c r="CO6" s="82" t="n">
        <f aca="false">IF('Cash Drivers'!CO$26,Engineering!CN6,Engineering!CP6)</f>
        <v>0.6</v>
      </c>
      <c r="CP6" s="85" t="n">
        <v>0.6</v>
      </c>
      <c r="CQ6" s="118"/>
      <c r="CR6" s="83" t="n">
        <f aca="false">IF('Cash Drivers'!CR$26,Engineering!CQ6,Engineering!CS6)</f>
        <v>0.6</v>
      </c>
      <c r="CS6" s="84" t="n">
        <v>0.6</v>
      </c>
      <c r="CT6" s="119"/>
      <c r="CU6" s="82" t="n">
        <f aca="false">IF('Cash Drivers'!CU$26,Engineering!CT6,Engineering!CV6)</f>
        <v>0.6</v>
      </c>
      <c r="CV6" s="85" t="n">
        <v>0.6</v>
      </c>
      <c r="CW6" s="118"/>
      <c r="CX6" s="83" t="n">
        <f aca="false">IF('Cash Drivers'!CX$26,Engineering!CW6,Engineering!CY6)</f>
        <v>0.6</v>
      </c>
      <c r="CY6" s="84" t="n">
        <v>0.6</v>
      </c>
      <c r="CZ6" s="119"/>
      <c r="DA6" s="82" t="n">
        <f aca="false">IF('Cash Drivers'!DA$26,Engineering!CZ6,Engineering!DB6)</f>
        <v>0.6</v>
      </c>
      <c r="DB6" s="85" t="n">
        <v>0.6</v>
      </c>
      <c r="DC6" s="118"/>
      <c r="DD6" s="83" t="n">
        <f aca="false">IF('Cash Drivers'!DD$26,Engineering!DC6,Engineering!DE6)</f>
        <v>0.6</v>
      </c>
      <c r="DE6" s="84" t="n">
        <v>0.6</v>
      </c>
      <c r="DF6" s="119"/>
      <c r="DG6" s="82" t="n">
        <f aca="false">IF('Cash Drivers'!DG$26,Engineering!DF6,Engineering!DH6)</f>
        <v>0.6</v>
      </c>
      <c r="DH6" s="85" t="n">
        <v>0.6</v>
      </c>
      <c r="DI6" s="84" t="n">
        <v>0.6</v>
      </c>
      <c r="DJ6" s="83" t="n">
        <f aca="false">IF('Cash Drivers'!DJ$26,Engineering!DI6,Engineering!DK6)</f>
        <v>0.6</v>
      </c>
      <c r="DK6" s="84" t="n">
        <v>0.6</v>
      </c>
      <c r="DL6" s="85" t="n">
        <v>0.6</v>
      </c>
      <c r="DM6" s="82" t="n">
        <f aca="false">IF('Cash Drivers'!DM$26,Engineering!DL6,Engineering!DN6)</f>
        <v>0.6</v>
      </c>
      <c r="DN6" s="85" t="n">
        <v>0.6</v>
      </c>
    </row>
    <row r="7" customFormat="false" ht="15" hidden="false" customHeight="false" outlineLevel="0" collapsed="false">
      <c r="A7" s="5" t="s">
        <v>253</v>
      </c>
      <c r="B7" s="23" t="str">
        <f aca="false">IF(COUNT(AR7,AO7,AL7,AI7,AF7,AC7,Z7,W7,T7,Q7,N7,K7)=0,"",SUM(AR7,AO7,AL7,AI7,AF7,AC7,Z7,W7,T7,Q7,N7,K7))</f>
        <v/>
      </c>
      <c r="C7" s="23" t="n">
        <f aca="false">IF(COUNT(AS7,AP7,AM7,AJ7,AG7,AD7,AA7,X7,U7,R7,O7,L7)=0,"",SUM(AS7,AP7,AM7,AJ7,AG7,AD7,AA7,X7,U7,R7,O7,L7))</f>
        <v>60</v>
      </c>
      <c r="D7" s="23" t="n">
        <f aca="false">IF(COUNT(AT7,AQ7,AN7,AK7,AH7,AE7,AB7,Y7,V7,S7,P7,M7)=0,"",SUM(AT7,AQ7,AN7,AK7,AH7,AE7,AB7,Y7,V7,S7,P7,M7))</f>
        <v>60</v>
      </c>
      <c r="E7" s="2" t="str">
        <f aca="false">IF(COUNT(CB7,BY7,BV7,BS7,BP7,BM7,BJ7,BG7,BD7,BA7,AX7,AU7)=0,"",SUM(CB7,BY7,BV7,BS7,BP7,BM7,BJ7,BG7,BD7,BA7,AX7,AU7))</f>
        <v/>
      </c>
      <c r="F7" s="2" t="n">
        <f aca="false">IF(COUNT(CC7,BZ7,BW7,BT7,BQ7,BN7,BK7,BH7,BE7,BB7,AY7,AV7)=0,"",SUM(CC7,BZ7,BW7,BT7,BQ7,BN7,BK7,BH7,BE7,BB7,AY7,AV7))</f>
        <v>42</v>
      </c>
      <c r="G7" s="2" t="n">
        <f aca="false">IF(COUNT(CD7,CA7,BX7,BU7,BR7,BO7,BL7,BI7,BF7,BC7,AZ7,AW7)=0,"",SUM(CD7,CA7,BX7,BU7,BR7,BO7,BL7,BI7,BF7,BC7,AZ7,AW7))</f>
        <v>42</v>
      </c>
      <c r="H7" s="23" t="n">
        <f aca="false">IF(COUNT(DL7,DI7,DF7,DC7,CZ7,CW7,CT7,CQ7,CN7,CK7,CH7,CE7)=0,"",SUM(DL7,DI7,DF7,DC7,CZ7,CW7,CT7,CQ7,CN7,CK7,CH7,CE7))</f>
        <v>4</v>
      </c>
      <c r="I7" s="23" t="n">
        <f aca="false">IF(COUNT(DM7,DJ7,DG7,DD7,DA7,CX7,CU7,CR7,CO7,CL7,CI7,CF7)=0,"",SUM(DM7,DJ7,DG7,DD7,DA7,CX7,CU7,CR7,CO7,CL7,CI7,CF7))</f>
        <v>24</v>
      </c>
      <c r="J7" s="23" t="n">
        <f aca="false">IF(COUNT(DN7,DK7,DH7,DE7,DB7,CY7,CV7,CS7,CP7,CM7,CJ7,CG7)=0,"",SUM(DN7,DK7,DH7,DE7,DB7,CY7,CV7,CS7,CP7,CM7,CJ7,CG7))</f>
        <v>24</v>
      </c>
      <c r="K7" s="2" t="str">
        <f aca="false">IF(COUNT(K5,K6)=2,ROUND(K5*K6,0),"")</f>
        <v/>
      </c>
      <c r="L7" s="2" t="n">
        <f aca="false">ROUND(L5*L6,0)</f>
        <v>5</v>
      </c>
      <c r="M7" s="2" t="n">
        <f aca="false">ROUND(M5*M6,0)</f>
        <v>5</v>
      </c>
      <c r="N7" s="23" t="str">
        <f aca="false">IF(COUNT(N5,N6)=2,ROUND(N5*N6,0),"")</f>
        <v/>
      </c>
      <c r="O7" s="23" t="n">
        <f aca="false">ROUND(O5*O6,0)</f>
        <v>5</v>
      </c>
      <c r="P7" s="23" t="n">
        <f aca="false">ROUND(P5*P6,0)</f>
        <v>5</v>
      </c>
      <c r="Q7" s="2" t="str">
        <f aca="false">IF(COUNT(Q5,Q6)=2,ROUND(Q5*Q6,0),"")</f>
        <v/>
      </c>
      <c r="R7" s="2" t="n">
        <f aca="false">ROUND(R5*R6,0)</f>
        <v>5</v>
      </c>
      <c r="S7" s="2" t="n">
        <f aca="false">ROUND(S5*S6,0)</f>
        <v>5</v>
      </c>
      <c r="T7" s="23" t="str">
        <f aca="false">IF(COUNT(T5,T6)=2,ROUND(T5*T6,0),"")</f>
        <v/>
      </c>
      <c r="U7" s="23" t="n">
        <f aca="false">ROUND(U5*U6,0)</f>
        <v>5</v>
      </c>
      <c r="V7" s="23" t="n">
        <f aca="false">ROUND(V5*V6,0)</f>
        <v>5</v>
      </c>
      <c r="W7" s="2" t="str">
        <f aca="false">IF(COUNT(W5,W6)=2,ROUND(W5*W6,0),"")</f>
        <v/>
      </c>
      <c r="X7" s="2" t="n">
        <f aca="false">ROUND(X5*X6,0)</f>
        <v>5</v>
      </c>
      <c r="Y7" s="2" t="n">
        <f aca="false">ROUND(Y5*Y6,0)</f>
        <v>5</v>
      </c>
      <c r="Z7" s="23" t="str">
        <f aca="false">IF(COUNT(Z5,Z6)=2,ROUND(Z5*Z6,0),"")</f>
        <v/>
      </c>
      <c r="AA7" s="23" t="n">
        <f aca="false">ROUND(AA5*AA6,0)</f>
        <v>5</v>
      </c>
      <c r="AB7" s="23" t="n">
        <f aca="false">ROUND(AB5*AB6,0)</f>
        <v>5</v>
      </c>
      <c r="AC7" s="2" t="str">
        <f aca="false">IF(COUNT(AC5,AC6)=2,ROUND(AC5*AC6,0),"")</f>
        <v/>
      </c>
      <c r="AD7" s="2" t="n">
        <f aca="false">ROUND(AD5*AD6,0)</f>
        <v>5</v>
      </c>
      <c r="AE7" s="2" t="n">
        <f aca="false">ROUND(AE5*AE6,0)</f>
        <v>5</v>
      </c>
      <c r="AF7" s="23" t="str">
        <f aca="false">IF(COUNT(AF5,AF6)=2,ROUND(AF5*AF6,0),"")</f>
        <v/>
      </c>
      <c r="AG7" s="23" t="n">
        <f aca="false">ROUND(AG5*AG6,0)</f>
        <v>5</v>
      </c>
      <c r="AH7" s="23" t="n">
        <f aca="false">ROUND(AH5*AH6,0)</f>
        <v>5</v>
      </c>
      <c r="AI7" s="2" t="str">
        <f aca="false">IF(COUNT(AI5,AI6)=2,ROUND(AI5*AI6,0),"")</f>
        <v/>
      </c>
      <c r="AJ7" s="2" t="n">
        <f aca="false">ROUND(AJ5*AJ6,0)</f>
        <v>5</v>
      </c>
      <c r="AK7" s="2" t="n">
        <f aca="false">ROUND(AK5*AK6,0)</f>
        <v>5</v>
      </c>
      <c r="AL7" s="23" t="str">
        <f aca="false">IF(COUNT(AL5,AL6)=2,ROUND(AL5*AL6,0),"")</f>
        <v/>
      </c>
      <c r="AM7" s="23" t="n">
        <f aca="false">ROUND(AM5*AM6,0)</f>
        <v>5</v>
      </c>
      <c r="AN7" s="23" t="n">
        <f aca="false">ROUND(AN5*AN6,0)</f>
        <v>5</v>
      </c>
      <c r="AO7" s="2" t="str">
        <f aca="false">IF(COUNT(AO5,AO6)=2,ROUND(AO5*AO6,0),"")</f>
        <v/>
      </c>
      <c r="AP7" s="2" t="n">
        <f aca="false">ROUND(AP5*AP6,0)</f>
        <v>5</v>
      </c>
      <c r="AQ7" s="2" t="n">
        <f aca="false">ROUND(AQ5*AQ6,0)</f>
        <v>5</v>
      </c>
      <c r="AR7" s="23" t="str">
        <f aca="false">IF(COUNT(AR5,AR6)=2,ROUND(AR5*AR6,0),"")</f>
        <v/>
      </c>
      <c r="AS7" s="23" t="n">
        <f aca="false">ROUND(AS5*AS6,0)</f>
        <v>5</v>
      </c>
      <c r="AT7" s="23" t="n">
        <f aca="false">ROUND(AT5*AT6,0)</f>
        <v>5</v>
      </c>
      <c r="AU7" s="2" t="str">
        <f aca="false">IF(COUNT(AU5,AU6)=2,ROUND(AU5*AU6,0),"")</f>
        <v/>
      </c>
      <c r="AV7" s="2" t="n">
        <f aca="false">ROUND(AV5*AV6,0)</f>
        <v>4</v>
      </c>
      <c r="AW7" s="2" t="n">
        <f aca="false">ROUND(AW5*AW6,0)</f>
        <v>4</v>
      </c>
      <c r="AX7" s="23" t="str">
        <f aca="false">IF(COUNT(AX5,AX6)=2,ROUND(AX5*AX6,0),"")</f>
        <v/>
      </c>
      <c r="AY7" s="23" t="n">
        <f aca="false">ROUND(AY5*AY6,0)</f>
        <v>4</v>
      </c>
      <c r="AZ7" s="23" t="n">
        <f aca="false">ROUND(AZ5*AZ6,0)</f>
        <v>4</v>
      </c>
      <c r="BA7" s="2" t="str">
        <f aca="false">IF(COUNT(BA5,BA6)=2,ROUND(BA5*BA6,0),"")</f>
        <v/>
      </c>
      <c r="BB7" s="2" t="n">
        <f aca="false">ROUND(BB5*BB6,0)</f>
        <v>4</v>
      </c>
      <c r="BC7" s="2" t="n">
        <f aca="false">ROUND(BC5*BC6,0)</f>
        <v>4</v>
      </c>
      <c r="BD7" s="23" t="str">
        <f aca="false">IF(COUNT(BD5,BD6)=2,ROUND(BD5*BD6,0),"")</f>
        <v/>
      </c>
      <c r="BE7" s="23" t="n">
        <f aca="false">ROUND(BE5*BE6,0)</f>
        <v>4</v>
      </c>
      <c r="BF7" s="23" t="n">
        <f aca="false">ROUND(BF5*BF6,0)</f>
        <v>4</v>
      </c>
      <c r="BG7" s="2" t="str">
        <f aca="false">IF(COUNT(BG5,BG6)=2,ROUND(BG5*BG6,0),"")</f>
        <v/>
      </c>
      <c r="BH7" s="2" t="n">
        <f aca="false">ROUND(BH5*BH6,0)</f>
        <v>4</v>
      </c>
      <c r="BI7" s="2" t="n">
        <f aca="false">ROUND(BI5*BI6,0)</f>
        <v>4</v>
      </c>
      <c r="BJ7" s="23" t="str">
        <f aca="false">IF(COUNT(BJ5,BJ6)=2,ROUND(BJ5*BJ6,0),"")</f>
        <v/>
      </c>
      <c r="BK7" s="23" t="n">
        <f aca="false">ROUND(BK5*BK6,0)</f>
        <v>4</v>
      </c>
      <c r="BL7" s="23" t="n">
        <f aca="false">ROUND(BL5*BL6,0)</f>
        <v>4</v>
      </c>
      <c r="BM7" s="2" t="str">
        <f aca="false">IF(COUNT(BM5,BM6)=2,ROUND(BM5*BM6,0),"")</f>
        <v/>
      </c>
      <c r="BN7" s="2" t="n">
        <f aca="false">ROUND(BN5*BN6,0)</f>
        <v>4</v>
      </c>
      <c r="BO7" s="2" t="n">
        <f aca="false">ROUND(BO5*BO6,0)</f>
        <v>4</v>
      </c>
      <c r="BP7" s="23" t="str">
        <f aca="false">IF(COUNT(BP5,BP6)=2,ROUND(BP5*BP6,0),"")</f>
        <v/>
      </c>
      <c r="BQ7" s="23" t="n">
        <f aca="false">ROUND(BQ5*BQ6,0)</f>
        <v>3</v>
      </c>
      <c r="BR7" s="23" t="n">
        <f aca="false">ROUND(BR5*BR6,0)</f>
        <v>3</v>
      </c>
      <c r="BS7" s="2" t="str">
        <f aca="false">IF(COUNT(BS5,BS6)=2,ROUND(BS5*BS6,0),"")</f>
        <v/>
      </c>
      <c r="BT7" s="2" t="n">
        <f aca="false">ROUND(BT5*BT6,0)</f>
        <v>3</v>
      </c>
      <c r="BU7" s="2" t="n">
        <f aca="false">ROUND(BU5*BU6,0)</f>
        <v>3</v>
      </c>
      <c r="BV7" s="23" t="str">
        <f aca="false">IF(COUNT(BV5,BV6)=2,ROUND(BV5*BV6,0),"")</f>
        <v/>
      </c>
      <c r="BW7" s="23" t="n">
        <f aca="false">ROUND(BW5*BW6,0)</f>
        <v>3</v>
      </c>
      <c r="BX7" s="23" t="n">
        <f aca="false">ROUND(BX5*BX6,0)</f>
        <v>3</v>
      </c>
      <c r="BY7" s="2" t="str">
        <f aca="false">IF(COUNT(BY5,BY6)=2,ROUND(BY5*BY6,0),"")</f>
        <v/>
      </c>
      <c r="BZ7" s="2" t="n">
        <f aca="false">ROUND(BZ5*BZ6,0)</f>
        <v>3</v>
      </c>
      <c r="CA7" s="2" t="n">
        <f aca="false">ROUND(CA5*CA6,0)</f>
        <v>3</v>
      </c>
      <c r="CB7" s="23" t="str">
        <f aca="false">IF(COUNT(CB5,CB6)=2,ROUND(CB5*CB6,0),"")</f>
        <v/>
      </c>
      <c r="CC7" s="23" t="n">
        <f aca="false">ROUND(CC5*CC6,0)</f>
        <v>2</v>
      </c>
      <c r="CD7" s="23" t="n">
        <f aca="false">ROUND(CD5*CD6,0)</f>
        <v>2</v>
      </c>
      <c r="CE7" s="2" t="str">
        <f aca="false">IF(COUNT(CE5,CE6)=2,ROUND(CE5*CE6,0),"")</f>
        <v/>
      </c>
      <c r="CF7" s="2" t="n">
        <f aca="false">ROUND(CF5*CF6,0)</f>
        <v>2</v>
      </c>
      <c r="CG7" s="2" t="n">
        <f aca="false">ROUND(CG5*CG6,0)</f>
        <v>2</v>
      </c>
      <c r="CH7" s="23" t="str">
        <f aca="false">IF(COUNT(CH5,CH6)=2,ROUND(CH5*CH6,0),"")</f>
        <v/>
      </c>
      <c r="CI7" s="23" t="n">
        <f aca="false">ROUND(CI5*CI6,0)</f>
        <v>2</v>
      </c>
      <c r="CJ7" s="23" t="n">
        <f aca="false">ROUND(CJ5*CJ6,0)</f>
        <v>2</v>
      </c>
      <c r="CK7" s="2" t="str">
        <f aca="false">IF(COUNT(CK5,CK6)=2,ROUND(CK5*CK6,0),"")</f>
        <v/>
      </c>
      <c r="CL7" s="2" t="n">
        <f aca="false">ROUND(CL5*CL6,0)</f>
        <v>2</v>
      </c>
      <c r="CM7" s="2" t="n">
        <f aca="false">ROUND(CM5*CM6,0)</f>
        <v>2</v>
      </c>
      <c r="CN7" s="23" t="str">
        <f aca="false">IF(COUNT(CN5,CN6)=2,ROUND(CN5*CN6,0),"")</f>
        <v/>
      </c>
      <c r="CO7" s="23" t="n">
        <f aca="false">ROUND(CO5*CO6,0)</f>
        <v>2</v>
      </c>
      <c r="CP7" s="23" t="n">
        <f aca="false">ROUND(CP5*CP6,0)</f>
        <v>2</v>
      </c>
      <c r="CQ7" s="2" t="str">
        <f aca="false">IF(COUNT(CQ5,CQ6)=2,ROUND(CQ5*CQ6,0),"")</f>
        <v/>
      </c>
      <c r="CR7" s="2" t="n">
        <f aca="false">ROUND(CR5*CR6,0)</f>
        <v>2</v>
      </c>
      <c r="CS7" s="2" t="n">
        <f aca="false">ROUND(CS5*CS6,0)</f>
        <v>2</v>
      </c>
      <c r="CT7" s="23" t="str">
        <f aca="false">IF(COUNT(CT5,CT6)=2,ROUND(CT5*CT6,0),"")</f>
        <v/>
      </c>
      <c r="CU7" s="23" t="n">
        <f aca="false">ROUND(CU5*CU6,0)</f>
        <v>2</v>
      </c>
      <c r="CV7" s="23" t="n">
        <f aca="false">ROUND(CV5*CV6,0)</f>
        <v>2</v>
      </c>
      <c r="CW7" s="2" t="str">
        <f aca="false">IF(COUNT(CW5,CW6)=2,ROUND(CW5*CW6,0),"")</f>
        <v/>
      </c>
      <c r="CX7" s="2" t="n">
        <f aca="false">ROUND(CX5*CX6,0)</f>
        <v>2</v>
      </c>
      <c r="CY7" s="2" t="n">
        <f aca="false">ROUND(CY5*CY6,0)</f>
        <v>2</v>
      </c>
      <c r="CZ7" s="23" t="str">
        <f aca="false">IF(COUNT(CZ5,CZ6)=2,ROUND(CZ5*CZ6,0),"")</f>
        <v/>
      </c>
      <c r="DA7" s="23" t="n">
        <f aca="false">ROUND(DA5*DA6,0)</f>
        <v>2</v>
      </c>
      <c r="DB7" s="23" t="n">
        <f aca="false">ROUND(DB5*DB6,0)</f>
        <v>2</v>
      </c>
      <c r="DC7" s="2" t="str">
        <f aca="false">IF(COUNT(DC5,DC6)=2,ROUND(DC5*DC6,0),"")</f>
        <v/>
      </c>
      <c r="DD7" s="2" t="n">
        <f aca="false">ROUND(DD5*DD6,0)</f>
        <v>2</v>
      </c>
      <c r="DE7" s="2" t="n">
        <f aca="false">ROUND(DE5*DE6,0)</f>
        <v>2</v>
      </c>
      <c r="DF7" s="23" t="str">
        <f aca="false">IF(COUNT(DF5,DF6)=2,ROUND(DF5*DF6,0),"")</f>
        <v/>
      </c>
      <c r="DG7" s="23" t="n">
        <f aca="false">ROUND(DG5*DG6,0)</f>
        <v>2</v>
      </c>
      <c r="DH7" s="23" t="n">
        <f aca="false">ROUND(DH5*DH6,0)</f>
        <v>2</v>
      </c>
      <c r="DI7" s="2" t="n">
        <f aca="false">IF(COUNT(DI5,DI6)=2,ROUND(DI5*DI6,0),"")</f>
        <v>2</v>
      </c>
      <c r="DJ7" s="2" t="n">
        <f aca="false">ROUND(DJ5*DJ6,0)</f>
        <v>2</v>
      </c>
      <c r="DK7" s="2" t="n">
        <f aca="false">ROUND(DK5*DK6,0)</f>
        <v>2</v>
      </c>
      <c r="DL7" s="23" t="n">
        <f aca="false">IF(COUNT(DL5,DL6)=2,ROUND(DL5*DL6,0),"")</f>
        <v>2</v>
      </c>
      <c r="DM7" s="23" t="n">
        <f aca="false">ROUND(DM5*DM6,0)</f>
        <v>2</v>
      </c>
      <c r="DN7" s="23" t="n">
        <f aca="false">ROUND(DN5*DN6,0)</f>
        <v>2</v>
      </c>
    </row>
    <row r="8" customFormat="false" ht="15" hidden="false" customHeight="false" outlineLevel="0" collapsed="false">
      <c r="A8" s="26" t="s">
        <v>254</v>
      </c>
      <c r="B8" s="86" t="str">
        <f aca="false">IF(COUNT(AR8,AO8,AL8,AI8,AF8,AC8,Z8,W8,T8,Q8,N8,K8)=0,"",SUM(AR8,AO8,AL8,AI8,AF8,AC8,Z8,W8,T8,Q8,N8,K8))</f>
        <v/>
      </c>
      <c r="C8" s="86" t="n">
        <f aca="false">IF(COUNT(AS8,AP8,AM8,AJ8,AG8,AD8,AA8,X8,U8,R8,O8,L8)=0,"",SUM(AS8,AP8,AM8,AJ8,AG8,AD8,AA8,X8,U8,R8,O8,L8))</f>
        <v>47</v>
      </c>
      <c r="D8" s="86" t="n">
        <f aca="false">IF(COUNT(AT8,AQ8,AN8,AK8,AH8,AE8,AB8,Y8,V8,S8,P8,M8)=0,"",SUM(AT8,AQ8,AN8,AK8,AH8,AE8,AB8,Y8,V8,S8,P8,M8))</f>
        <v>47</v>
      </c>
      <c r="E8" s="87" t="str">
        <f aca="false">IF(COUNT(CB8,BY8,BV8,BS8,BP8,BM8,BJ8,BG8,BD8,BA8,AX8,AU8)=0,"",SUM(CB8,BY8,BV8,BS8,BP8,BM8,BJ8,BG8,BD8,BA8,AX8,AU8))</f>
        <v/>
      </c>
      <c r="F8" s="87" t="n">
        <f aca="false">IF(COUNT(CC8,BZ8,BW8,BT8,BQ8,BN8,BK8,BH8,BE8,BB8,AY8,AV8)=0,"",SUM(CC8,BZ8,BW8,BT8,BQ8,BN8,BK8,BH8,BE8,BB8,AY8,AV8))</f>
        <v>29</v>
      </c>
      <c r="G8" s="87" t="n">
        <f aca="false">IF(COUNT(CD8,CA8,BX8,BU8,BR8,BO8,BL8,BI8,BF8,BC8,AZ8,AW8)=0,"",SUM(CD8,CA8,BX8,BU8,BR8,BO8,BL8,BI8,BF8,BC8,AZ8,AW8))</f>
        <v>29</v>
      </c>
      <c r="H8" s="86" t="n">
        <f aca="false">IF(COUNT(DL8,DI8,DF8,DC8,CZ8,CW8,CT8,CQ8,CN8,CK8,CH8,CE8)=0,"",SUM(DL8,DI8,DF8,DC8,CZ8,CW8,CT8,CQ8,CN8,CK8,CH8,CE8))</f>
        <v>4</v>
      </c>
      <c r="I8" s="86" t="n">
        <f aca="false">IF(COUNT(DM8,DJ8,DG8,DD8,DA8,CX8,CU8,CR8,CO8,CL8,CI8,CF8)=0,"",SUM(DM8,DJ8,DG8,DD8,DA8,CX8,CU8,CR8,CO8,CL8,CI8,CF8))</f>
        <v>24</v>
      </c>
      <c r="J8" s="86" t="n">
        <f aca="false">IF(COUNT(DN8,DK8,DH8,DE8,DB8,CY8,CV8,CS8,CP8,CM8,CJ8,CG8)=0,"",SUM(DN8,DK8,DH8,DE8,DB8,CY8,CV8,CS8,CP8,CM8,CJ8,CG8))</f>
        <v>24</v>
      </c>
      <c r="K8" s="87" t="str">
        <f aca="false">IF(COUNT(K5,K7)=2,K5-K7,"")</f>
        <v/>
      </c>
      <c r="L8" s="87" t="n">
        <f aca="false">L5-L7</f>
        <v>4</v>
      </c>
      <c r="M8" s="87" t="n">
        <f aca="false">M5-M7</f>
        <v>4</v>
      </c>
      <c r="N8" s="86" t="str">
        <f aca="false">IF(COUNT(N5,N7)=2,N5-N7,"")</f>
        <v/>
      </c>
      <c r="O8" s="86" t="n">
        <f aca="false">O5-O7</f>
        <v>4</v>
      </c>
      <c r="P8" s="86" t="n">
        <f aca="false">P5-P7</f>
        <v>4</v>
      </c>
      <c r="Q8" s="87" t="str">
        <f aca="false">IF(COUNT(Q5,Q7)=2,Q5-Q7,"")</f>
        <v/>
      </c>
      <c r="R8" s="87" t="n">
        <f aca="false">R5-R7</f>
        <v>4</v>
      </c>
      <c r="S8" s="87" t="n">
        <f aca="false">S5-S7</f>
        <v>4</v>
      </c>
      <c r="T8" s="86" t="str">
        <f aca="false">IF(COUNT(T5,T7)=2,T5-T7,"")</f>
        <v/>
      </c>
      <c r="U8" s="86" t="n">
        <f aca="false">U5-U7</f>
        <v>4</v>
      </c>
      <c r="V8" s="86" t="n">
        <f aca="false">V5-V7</f>
        <v>4</v>
      </c>
      <c r="W8" s="87" t="str">
        <f aca="false">IF(COUNT(W5,W7)=2,W5-W7,"")</f>
        <v/>
      </c>
      <c r="X8" s="87" t="n">
        <f aca="false">X5-X7</f>
        <v>4</v>
      </c>
      <c r="Y8" s="87" t="n">
        <f aca="false">Y5-Y7</f>
        <v>4</v>
      </c>
      <c r="Z8" s="86" t="str">
        <f aca="false">IF(COUNT(Z5,Z7)=2,Z5-Z7,"")</f>
        <v/>
      </c>
      <c r="AA8" s="86" t="n">
        <f aca="false">AA5-AA7</f>
        <v>4</v>
      </c>
      <c r="AB8" s="86" t="n">
        <f aca="false">AB5-AB7</f>
        <v>4</v>
      </c>
      <c r="AC8" s="87" t="str">
        <f aca="false">IF(COUNT(AC5,AC7)=2,AC5-AC7,"")</f>
        <v/>
      </c>
      <c r="AD8" s="87" t="n">
        <f aca="false">AD5-AD7</f>
        <v>4</v>
      </c>
      <c r="AE8" s="87" t="n">
        <f aca="false">AE5-AE7</f>
        <v>4</v>
      </c>
      <c r="AF8" s="86" t="str">
        <f aca="false">IF(COUNT(AF5,AF7)=2,AF5-AF7,"")</f>
        <v/>
      </c>
      <c r="AG8" s="86" t="n">
        <f aca="false">AG5-AG7</f>
        <v>4</v>
      </c>
      <c r="AH8" s="86" t="n">
        <f aca="false">AH5-AH7</f>
        <v>4</v>
      </c>
      <c r="AI8" s="87" t="str">
        <f aca="false">IF(COUNT(AI5,AI7)=2,AI5-AI7,"")</f>
        <v/>
      </c>
      <c r="AJ8" s="87" t="n">
        <f aca="false">AJ5-AJ7</f>
        <v>4</v>
      </c>
      <c r="AK8" s="87" t="n">
        <f aca="false">AK5-AK7</f>
        <v>4</v>
      </c>
      <c r="AL8" s="86" t="str">
        <f aca="false">IF(COUNT(AL5,AL7)=2,AL5-AL7,"")</f>
        <v/>
      </c>
      <c r="AM8" s="86" t="n">
        <f aca="false">AM5-AM7</f>
        <v>4</v>
      </c>
      <c r="AN8" s="86" t="n">
        <f aca="false">AN5-AN7</f>
        <v>4</v>
      </c>
      <c r="AO8" s="87" t="str">
        <f aca="false">IF(COUNT(AO5,AO7)=2,AO5-AO7,"")</f>
        <v/>
      </c>
      <c r="AP8" s="87" t="n">
        <f aca="false">AP5-AP7</f>
        <v>4</v>
      </c>
      <c r="AQ8" s="87" t="n">
        <f aca="false">AQ5-AQ7</f>
        <v>4</v>
      </c>
      <c r="AR8" s="86" t="str">
        <f aca="false">IF(COUNT(AR5,AR7)=2,AR5-AR7,"")</f>
        <v/>
      </c>
      <c r="AS8" s="86" t="n">
        <f aca="false">AS5-AS7</f>
        <v>3</v>
      </c>
      <c r="AT8" s="86" t="n">
        <f aca="false">AT5-AT7</f>
        <v>3</v>
      </c>
      <c r="AU8" s="87" t="str">
        <f aca="false">IF(COUNT(AU5,AU7)=2,AU5-AU7,"")</f>
        <v/>
      </c>
      <c r="AV8" s="87" t="n">
        <f aca="false">AV5-AV7</f>
        <v>3</v>
      </c>
      <c r="AW8" s="87" t="n">
        <f aca="false">AW5-AW7</f>
        <v>3</v>
      </c>
      <c r="AX8" s="86" t="str">
        <f aca="false">IF(COUNT(AX5,AX7)=2,AX5-AX7,"")</f>
        <v/>
      </c>
      <c r="AY8" s="86" t="n">
        <f aca="false">AY5-AY7</f>
        <v>3</v>
      </c>
      <c r="AZ8" s="86" t="n">
        <f aca="false">AZ5-AZ7</f>
        <v>3</v>
      </c>
      <c r="BA8" s="87" t="str">
        <f aca="false">IF(COUNT(BA5,BA7)=2,BA5-BA7,"")</f>
        <v/>
      </c>
      <c r="BB8" s="87" t="n">
        <f aca="false">BB5-BB7</f>
        <v>3</v>
      </c>
      <c r="BC8" s="87" t="n">
        <f aca="false">BC5-BC7</f>
        <v>3</v>
      </c>
      <c r="BD8" s="86" t="str">
        <f aca="false">IF(COUNT(BD5,BD7)=2,BD5-BD7,"")</f>
        <v/>
      </c>
      <c r="BE8" s="86" t="n">
        <f aca="false">BE5-BE7</f>
        <v>3</v>
      </c>
      <c r="BF8" s="86" t="n">
        <f aca="false">BF5-BF7</f>
        <v>3</v>
      </c>
      <c r="BG8" s="87" t="str">
        <f aca="false">IF(COUNT(BG5,BG7)=2,BG5-BG7,"")</f>
        <v/>
      </c>
      <c r="BH8" s="87" t="n">
        <f aca="false">BH5-BH7</f>
        <v>3</v>
      </c>
      <c r="BI8" s="87" t="n">
        <f aca="false">BI5-BI7</f>
        <v>3</v>
      </c>
      <c r="BJ8" s="86" t="str">
        <f aca="false">IF(COUNT(BJ5,BJ7)=2,BJ5-BJ7,"")</f>
        <v/>
      </c>
      <c r="BK8" s="86" t="n">
        <f aca="false">BK5-BK7</f>
        <v>2</v>
      </c>
      <c r="BL8" s="86" t="n">
        <f aca="false">BL5-BL7</f>
        <v>2</v>
      </c>
      <c r="BM8" s="87" t="str">
        <f aca="false">IF(COUNT(BM5,BM7)=2,BM5-BM7,"")</f>
        <v/>
      </c>
      <c r="BN8" s="87" t="n">
        <f aca="false">BN5-BN7</f>
        <v>2</v>
      </c>
      <c r="BO8" s="87" t="n">
        <f aca="false">BO5-BO7</f>
        <v>2</v>
      </c>
      <c r="BP8" s="86" t="str">
        <f aca="false">IF(COUNT(BP5,BP7)=2,BP5-BP7,"")</f>
        <v/>
      </c>
      <c r="BQ8" s="86" t="n">
        <f aca="false">BQ5-BQ7</f>
        <v>2</v>
      </c>
      <c r="BR8" s="86" t="n">
        <f aca="false">BR5-BR7</f>
        <v>2</v>
      </c>
      <c r="BS8" s="87" t="str">
        <f aca="false">IF(COUNT(BS5,BS7)=2,BS5-BS7,"")</f>
        <v/>
      </c>
      <c r="BT8" s="87" t="n">
        <f aca="false">BT5-BT7</f>
        <v>2</v>
      </c>
      <c r="BU8" s="87" t="n">
        <f aca="false">BU5-BU7</f>
        <v>2</v>
      </c>
      <c r="BV8" s="86" t="str">
        <f aca="false">IF(COUNT(BV5,BV7)=2,BV5-BV7,"")</f>
        <v/>
      </c>
      <c r="BW8" s="86" t="n">
        <f aca="false">BW5-BW7</f>
        <v>2</v>
      </c>
      <c r="BX8" s="86" t="n">
        <f aca="false">BX5-BX7</f>
        <v>2</v>
      </c>
      <c r="BY8" s="87" t="str">
        <f aca="false">IF(COUNT(BY5,BY7)=2,BY5-BY7,"")</f>
        <v/>
      </c>
      <c r="BZ8" s="87" t="n">
        <f aca="false">BZ5-BZ7</f>
        <v>2</v>
      </c>
      <c r="CA8" s="87" t="n">
        <f aca="false">CA5-CA7</f>
        <v>2</v>
      </c>
      <c r="CB8" s="86" t="str">
        <f aca="false">IF(COUNT(CB5,CB7)=2,CB5-CB7,"")</f>
        <v/>
      </c>
      <c r="CC8" s="86" t="n">
        <f aca="false">CC5-CC7</f>
        <v>2</v>
      </c>
      <c r="CD8" s="86" t="n">
        <f aca="false">CD5-CD7</f>
        <v>2</v>
      </c>
      <c r="CE8" s="87" t="str">
        <f aca="false">IF(COUNT(CE5,CE7)=2,CE5-CE7,"")</f>
        <v/>
      </c>
      <c r="CF8" s="87" t="n">
        <f aca="false">CF5-CF7</f>
        <v>2</v>
      </c>
      <c r="CG8" s="87" t="n">
        <f aca="false">CG5-CG7</f>
        <v>2</v>
      </c>
      <c r="CH8" s="86" t="str">
        <f aca="false">IF(COUNT(CH5,CH7)=2,CH5-CH7,"")</f>
        <v/>
      </c>
      <c r="CI8" s="86" t="n">
        <f aca="false">CI5-CI7</f>
        <v>2</v>
      </c>
      <c r="CJ8" s="86" t="n">
        <f aca="false">CJ5-CJ7</f>
        <v>2</v>
      </c>
      <c r="CK8" s="87" t="str">
        <f aca="false">IF(COUNT(CK5,CK7)=2,CK5-CK7,"")</f>
        <v/>
      </c>
      <c r="CL8" s="87" t="n">
        <f aca="false">CL5-CL7</f>
        <v>2</v>
      </c>
      <c r="CM8" s="87" t="n">
        <f aca="false">CM5-CM7</f>
        <v>2</v>
      </c>
      <c r="CN8" s="86" t="str">
        <f aca="false">IF(COUNT(CN5,CN7)=2,CN5-CN7,"")</f>
        <v/>
      </c>
      <c r="CO8" s="86" t="n">
        <f aca="false">CO5-CO7</f>
        <v>2</v>
      </c>
      <c r="CP8" s="86" t="n">
        <f aca="false">CP5-CP7</f>
        <v>2</v>
      </c>
      <c r="CQ8" s="87" t="str">
        <f aca="false">IF(COUNT(CQ5,CQ7)=2,CQ5-CQ7,"")</f>
        <v/>
      </c>
      <c r="CR8" s="87" t="n">
        <f aca="false">CR5-CR7</f>
        <v>2</v>
      </c>
      <c r="CS8" s="87" t="n">
        <f aca="false">CS5-CS7</f>
        <v>2</v>
      </c>
      <c r="CT8" s="86" t="str">
        <f aca="false">IF(COUNT(CT5,CT7)=2,CT5-CT7,"")</f>
        <v/>
      </c>
      <c r="CU8" s="86" t="n">
        <f aca="false">CU5-CU7</f>
        <v>2</v>
      </c>
      <c r="CV8" s="86" t="n">
        <f aca="false">CV5-CV7</f>
        <v>2</v>
      </c>
      <c r="CW8" s="87" t="str">
        <f aca="false">IF(COUNT(CW5,CW7)=2,CW5-CW7,"")</f>
        <v/>
      </c>
      <c r="CX8" s="87" t="n">
        <f aca="false">CX5-CX7</f>
        <v>2</v>
      </c>
      <c r="CY8" s="87" t="n">
        <f aca="false">CY5-CY7</f>
        <v>2</v>
      </c>
      <c r="CZ8" s="86" t="str">
        <f aca="false">IF(COUNT(CZ5,CZ7)=2,CZ5-CZ7,"")</f>
        <v/>
      </c>
      <c r="DA8" s="86" t="n">
        <f aca="false">DA5-DA7</f>
        <v>2</v>
      </c>
      <c r="DB8" s="86" t="n">
        <f aca="false">DB5-DB7</f>
        <v>2</v>
      </c>
      <c r="DC8" s="87" t="str">
        <f aca="false">IF(COUNT(DC5,DC7)=2,DC5-DC7,"")</f>
        <v/>
      </c>
      <c r="DD8" s="87" t="n">
        <f aca="false">DD5-DD7</f>
        <v>2</v>
      </c>
      <c r="DE8" s="87" t="n">
        <f aca="false">DE5-DE7</f>
        <v>2</v>
      </c>
      <c r="DF8" s="86" t="str">
        <f aca="false">IF(COUNT(DF5,DF7)=2,DF5-DF7,"")</f>
        <v/>
      </c>
      <c r="DG8" s="86" t="n">
        <f aca="false">DG5-DG7</f>
        <v>2</v>
      </c>
      <c r="DH8" s="86" t="n">
        <f aca="false">DH5-DH7</f>
        <v>2</v>
      </c>
      <c r="DI8" s="87" t="n">
        <f aca="false">IF(COUNT(DI5,DI7)=2,DI5-DI7,"")</f>
        <v>2</v>
      </c>
      <c r="DJ8" s="87" t="n">
        <f aca="false">DJ5-DJ7</f>
        <v>2</v>
      </c>
      <c r="DK8" s="87" t="n">
        <f aca="false">DK5-DK7</f>
        <v>2</v>
      </c>
      <c r="DL8" s="86" t="n">
        <f aca="false">IF(COUNT(DL5,DL7)=2,DL5-DL7,"")</f>
        <v>2</v>
      </c>
      <c r="DM8" s="86" t="n">
        <f aca="false">DM5-DM7</f>
        <v>2</v>
      </c>
      <c r="DN8" s="86" t="n">
        <f aca="false">DN5-DN7</f>
        <v>2</v>
      </c>
    </row>
    <row r="9" customFormat="false" ht="15" hidden="false" customHeight="false" outlineLevel="0" collapsed="false">
      <c r="A9" s="17" t="s">
        <v>255</v>
      </c>
      <c r="B9" s="125" t="str">
        <f aca="false">IF(K9&lt;&gt;"",K9,IF(N9&lt;&gt;"",N9,IF(Q9&lt;&gt;"",Q9,IF(T9&lt;&gt;"",T9,IF(W9&lt;&gt;"",W9,IF(Z9&lt;&gt;"",Z9,IF(AC9&lt;&gt;"",AC9,IF(AF9&lt;&gt;"",AF9,IF(AI9&lt;&gt;"",AI9,IF(AL9&lt;&gt;"",AL9,IF(AO9&lt;&gt;"",AO9,IF(AR9&lt;&gt;"",AR9,""))))))))))))</f>
        <v/>
      </c>
      <c r="C9" s="125" t="n">
        <f aca="false">IF(L9&lt;&gt;"",L9,IF(O9&lt;&gt;"",O9,IF(R9&lt;&gt;"",R9,IF(U9&lt;&gt;"",U9,IF(X9&lt;&gt;"",X9,IF(AA9&lt;&gt;"",AA9,IF(AD9&lt;&gt;"",AD9,IF(AG9&lt;&gt;"",AG9,IF(AJ9&lt;&gt;"",AJ9,IF(AM9&lt;&gt;"",AM9,IF(AP9&lt;&gt;"",AP9,IF(AS9&lt;&gt;"",AS9,""))))))))))))</f>
        <v>1.5</v>
      </c>
      <c r="D9" s="125" t="n">
        <f aca="false">IF(M9&lt;&gt;"",M9,IF(P9&lt;&gt;"",P9,IF(S9&lt;&gt;"",S9,IF(V9&lt;&gt;"",V9,IF(Y9&lt;&gt;"",Y9,IF(AB9&lt;&gt;"",AB9,IF(AE9&lt;&gt;"",AE9,IF(AH9&lt;&gt;"",AH9,IF(AK9&lt;&gt;"",AK9,IF(AN9&lt;&gt;"",AN9,IF(AQ9&lt;&gt;"",AQ9,IF(AT9&lt;&gt;"",AT9,""))))))))))))</f>
        <v>1.5</v>
      </c>
      <c r="E9" s="126" t="str">
        <f aca="false">IF(AU9&lt;&gt;"",AU9,IF(AX9&lt;&gt;"",AX9,IF(BA9&lt;&gt;"",BA9,IF(BD9&lt;&gt;"",BD9,IF(BG9&lt;&gt;"",BG9,IF(BJ9&lt;&gt;"",BJ9,IF(BM9&lt;&gt;"",BM9,IF(BP9&lt;&gt;"",BP9,IF(BS9&lt;&gt;"",BS9,IF(BV9&lt;&gt;"",BV9,IF(BY9&lt;&gt;"",BY9,IF(CB9&lt;&gt;"",CB9,""))))))))))))</f>
        <v/>
      </c>
      <c r="F9" s="126" t="n">
        <f aca="false">IF(AV9&lt;&gt;"",AV9,IF(AY9&lt;&gt;"",AY9,IF(BB9&lt;&gt;"",BB9,IF(BE9&lt;&gt;"",BE9,IF(BH9&lt;&gt;"",BH9,IF(BK9&lt;&gt;"",BK9,IF(BN9&lt;&gt;"",BN9,IF(BQ9&lt;&gt;"",BQ9,IF(BT9&lt;&gt;"",BT9,IF(BW9&lt;&gt;"",BW9,IF(BZ9&lt;&gt;"",BZ9,IF(CC9&lt;&gt;"",CC9,""))))))))))))</f>
        <v>1.5</v>
      </c>
      <c r="G9" s="126" t="n">
        <f aca="false">IF(AW9&lt;&gt;"",AW9,IF(AZ9&lt;&gt;"",AZ9,IF(BC9&lt;&gt;"",BC9,IF(BF9&lt;&gt;"",BF9,IF(BI9&lt;&gt;"",BI9,IF(BL9&lt;&gt;"",BL9,IF(BO9&lt;&gt;"",BO9,IF(BR9&lt;&gt;"",BR9,IF(BU9&lt;&gt;"",BU9,IF(BX9&lt;&gt;"",BX9,IF(CA9&lt;&gt;"",CA9,IF(CD9&lt;&gt;"",CD9,""))))))))))))</f>
        <v>1.5</v>
      </c>
      <c r="H9" s="125" t="n">
        <f aca="false">IF(CE9&lt;&gt;"",CE9,IF(CH9&lt;&gt;"",CH9,IF(CK9&lt;&gt;"",CK9,IF(CN9&lt;&gt;"",CN9,IF(CQ9&lt;&gt;"",CQ9,IF(CT9&lt;&gt;"",CT9,IF(CW9&lt;&gt;"",CW9,IF(CZ9&lt;&gt;"",CZ9,IF(DC9&lt;&gt;"",DC9,IF(DF9&lt;&gt;"",DF9,IF(DI9&lt;&gt;"",DI9,IF(DL9&lt;&gt;"",DL9,""))))))))))))</f>
        <v>1.5</v>
      </c>
      <c r="I9" s="125" t="n">
        <f aca="false">IF(CF9&lt;&gt;"",CF9,IF(CI9&lt;&gt;"",CI9,IF(CL9&lt;&gt;"",CL9,IF(CO9&lt;&gt;"",CO9,IF(CR9&lt;&gt;"",CR9,IF(CU9&lt;&gt;"",CU9,IF(CX9&lt;&gt;"",CX9,IF(DA9&lt;&gt;"",DA9,IF(DD9&lt;&gt;"",DD9,IF(DG9&lt;&gt;"",DG9,IF(DJ9&lt;&gt;"",DJ9,IF(DM9&lt;&gt;"",DM9,""))))))))))))</f>
        <v>1.5</v>
      </c>
      <c r="J9" s="125" t="n">
        <f aca="false">IF(CG9&lt;&gt;"",CG9,IF(CJ9&lt;&gt;"",CJ9,IF(CM9&lt;&gt;"",CM9,IF(CP9&lt;&gt;"",CP9,IF(CS9&lt;&gt;"",CS9,IF(CV9&lt;&gt;"",CV9,IF(CY9&lt;&gt;"",CY9,IF(DB9&lt;&gt;"",DB9,IF(DE9&lt;&gt;"",DE9,IF(DH9&lt;&gt;"",DH9,IF(DK9&lt;&gt;"",DK9,IF(DN9&lt;&gt;"",DN9,""))))))))))))</f>
        <v>1.5</v>
      </c>
      <c r="K9" s="127"/>
      <c r="L9" s="126" t="n">
        <f aca="false">IF('Cash Drivers'!L$26,Engineering!K9,Engineering!M9)</f>
        <v>1.5</v>
      </c>
      <c r="M9" s="128" t="n">
        <v>1.5</v>
      </c>
      <c r="N9" s="129"/>
      <c r="O9" s="125" t="n">
        <f aca="false">IF('Cash Drivers'!O$26,Engineering!N9,Engineering!P9)</f>
        <v>1.5</v>
      </c>
      <c r="P9" s="130" t="n">
        <v>1.5</v>
      </c>
      <c r="Q9" s="127"/>
      <c r="R9" s="126" t="n">
        <f aca="false">IF('Cash Drivers'!R$26,Engineering!Q9,Engineering!S9)</f>
        <v>1.5</v>
      </c>
      <c r="S9" s="128" t="n">
        <v>1.5</v>
      </c>
      <c r="T9" s="129"/>
      <c r="U9" s="125" t="n">
        <f aca="false">IF('Cash Drivers'!U$26,Engineering!T9,Engineering!V9)</f>
        <v>1.5</v>
      </c>
      <c r="V9" s="130" t="n">
        <v>1.5</v>
      </c>
      <c r="W9" s="127"/>
      <c r="X9" s="126" t="n">
        <f aca="false">IF('Cash Drivers'!X$26,Engineering!W9,Engineering!Y9)</f>
        <v>1.5</v>
      </c>
      <c r="Y9" s="128" t="n">
        <v>1.5</v>
      </c>
      <c r="Z9" s="129"/>
      <c r="AA9" s="125" t="n">
        <f aca="false">IF('Cash Drivers'!AA$26,Engineering!Z9,Engineering!AB9)</f>
        <v>1.5</v>
      </c>
      <c r="AB9" s="130" t="n">
        <v>1.5</v>
      </c>
      <c r="AC9" s="127"/>
      <c r="AD9" s="126" t="n">
        <f aca="false">IF('Cash Drivers'!AD$26,Engineering!AC9,Engineering!AE9)</f>
        <v>1.5</v>
      </c>
      <c r="AE9" s="128" t="n">
        <v>1.5</v>
      </c>
      <c r="AF9" s="129"/>
      <c r="AG9" s="125" t="n">
        <f aca="false">IF('Cash Drivers'!AG$26,Engineering!AF9,Engineering!AH9)</f>
        <v>1.5</v>
      </c>
      <c r="AH9" s="130" t="n">
        <v>1.5</v>
      </c>
      <c r="AI9" s="127"/>
      <c r="AJ9" s="126" t="n">
        <f aca="false">IF('Cash Drivers'!AJ$26,Engineering!AI9,Engineering!AK9)</f>
        <v>1.5</v>
      </c>
      <c r="AK9" s="128" t="n">
        <v>1.5</v>
      </c>
      <c r="AL9" s="129"/>
      <c r="AM9" s="125" t="n">
        <f aca="false">IF('Cash Drivers'!AM$26,Engineering!AL9,Engineering!AN9)</f>
        <v>1.5</v>
      </c>
      <c r="AN9" s="130" t="n">
        <v>1.5</v>
      </c>
      <c r="AO9" s="127"/>
      <c r="AP9" s="126" t="n">
        <f aca="false">IF('Cash Drivers'!AP$26,Engineering!AO9,Engineering!AQ9)</f>
        <v>1.5</v>
      </c>
      <c r="AQ9" s="128" t="n">
        <v>1.5</v>
      </c>
      <c r="AR9" s="129"/>
      <c r="AS9" s="125" t="n">
        <f aca="false">IF('Cash Drivers'!AS$26,Engineering!AR9,Engineering!AT9)</f>
        <v>1.5</v>
      </c>
      <c r="AT9" s="130" t="n">
        <v>1.5</v>
      </c>
      <c r="AU9" s="127"/>
      <c r="AV9" s="126" t="n">
        <f aca="false">IF('Cash Drivers'!AV$26,Engineering!AU9,Engineering!AW9)</f>
        <v>1.5</v>
      </c>
      <c r="AW9" s="128" t="n">
        <v>1.5</v>
      </c>
      <c r="AX9" s="129"/>
      <c r="AY9" s="125" t="n">
        <f aca="false">IF('Cash Drivers'!AY$26,Engineering!AX9,Engineering!AZ9)</f>
        <v>1.5</v>
      </c>
      <c r="AZ9" s="130" t="n">
        <v>1.5</v>
      </c>
      <c r="BA9" s="127"/>
      <c r="BB9" s="126" t="n">
        <f aca="false">IF('Cash Drivers'!BB$26,Engineering!BA9,Engineering!BC9)</f>
        <v>1.5</v>
      </c>
      <c r="BC9" s="128" t="n">
        <v>1.5</v>
      </c>
      <c r="BD9" s="129"/>
      <c r="BE9" s="125" t="n">
        <f aca="false">IF('Cash Drivers'!BE$26,Engineering!BD9,Engineering!BF9)</f>
        <v>1.5</v>
      </c>
      <c r="BF9" s="130" t="n">
        <v>1.5</v>
      </c>
      <c r="BG9" s="127"/>
      <c r="BH9" s="126" t="n">
        <f aca="false">IF('Cash Drivers'!BH$26,Engineering!BG9,Engineering!BI9)</f>
        <v>1.5</v>
      </c>
      <c r="BI9" s="128" t="n">
        <v>1.5</v>
      </c>
      <c r="BJ9" s="129"/>
      <c r="BK9" s="125" t="n">
        <f aca="false">IF('Cash Drivers'!BK$26,Engineering!BJ9,Engineering!BL9)</f>
        <v>1.5</v>
      </c>
      <c r="BL9" s="130" t="n">
        <v>1.5</v>
      </c>
      <c r="BM9" s="127"/>
      <c r="BN9" s="126" t="n">
        <f aca="false">IF('Cash Drivers'!BN$26,Engineering!BM9,Engineering!BO9)</f>
        <v>1.5</v>
      </c>
      <c r="BO9" s="128" t="n">
        <v>1.5</v>
      </c>
      <c r="BP9" s="129"/>
      <c r="BQ9" s="125" t="n">
        <f aca="false">IF('Cash Drivers'!BQ$26,Engineering!BP9,Engineering!BR9)</f>
        <v>1.5</v>
      </c>
      <c r="BR9" s="130" t="n">
        <v>1.5</v>
      </c>
      <c r="BS9" s="127"/>
      <c r="BT9" s="126" t="n">
        <f aca="false">IF('Cash Drivers'!BT$26,Engineering!BS9,Engineering!BU9)</f>
        <v>1.5</v>
      </c>
      <c r="BU9" s="128" t="n">
        <v>1.5</v>
      </c>
      <c r="BV9" s="129"/>
      <c r="BW9" s="125" t="n">
        <f aca="false">IF('Cash Drivers'!BW$26,Engineering!BV9,Engineering!BX9)</f>
        <v>1.5</v>
      </c>
      <c r="BX9" s="130" t="n">
        <v>1.5</v>
      </c>
      <c r="BY9" s="127"/>
      <c r="BZ9" s="126" t="n">
        <f aca="false">IF('Cash Drivers'!BZ$26,Engineering!BY9,Engineering!CA9)</f>
        <v>1.5</v>
      </c>
      <c r="CA9" s="128" t="n">
        <v>1.5</v>
      </c>
      <c r="CB9" s="129"/>
      <c r="CC9" s="125" t="n">
        <f aca="false">IF('Cash Drivers'!CC$26,Engineering!CB9,Engineering!CD9)</f>
        <v>1.5</v>
      </c>
      <c r="CD9" s="130" t="n">
        <v>1.5</v>
      </c>
      <c r="CE9" s="127"/>
      <c r="CF9" s="126" t="n">
        <f aca="false">IF('Cash Drivers'!CF$26,Engineering!CE9,Engineering!CG9)</f>
        <v>1.5</v>
      </c>
      <c r="CG9" s="128" t="n">
        <v>1.5</v>
      </c>
      <c r="CH9" s="129"/>
      <c r="CI9" s="125" t="n">
        <f aca="false">IF('Cash Drivers'!CI$26,Engineering!CH9,Engineering!CJ9)</f>
        <v>1.5</v>
      </c>
      <c r="CJ9" s="130" t="n">
        <v>1.5</v>
      </c>
      <c r="CK9" s="127"/>
      <c r="CL9" s="126" t="n">
        <f aca="false">IF('Cash Drivers'!CL$26,Engineering!CK9,Engineering!CM9)</f>
        <v>1.5</v>
      </c>
      <c r="CM9" s="128" t="n">
        <v>1.5</v>
      </c>
      <c r="CN9" s="129"/>
      <c r="CO9" s="125" t="n">
        <f aca="false">IF('Cash Drivers'!CO$26,Engineering!CN9,Engineering!CP9)</f>
        <v>1.5</v>
      </c>
      <c r="CP9" s="130" t="n">
        <v>1.5</v>
      </c>
      <c r="CQ9" s="127"/>
      <c r="CR9" s="126" t="n">
        <f aca="false">IF('Cash Drivers'!CR$26,Engineering!CQ9,Engineering!CS9)</f>
        <v>1.5</v>
      </c>
      <c r="CS9" s="128" t="n">
        <v>1.5</v>
      </c>
      <c r="CT9" s="129"/>
      <c r="CU9" s="125" t="n">
        <f aca="false">IF('Cash Drivers'!CU$26,Engineering!CT9,Engineering!CV9)</f>
        <v>1.5</v>
      </c>
      <c r="CV9" s="130" t="n">
        <v>1.5</v>
      </c>
      <c r="CW9" s="127"/>
      <c r="CX9" s="126" t="n">
        <f aca="false">IF('Cash Drivers'!CX$26,Engineering!CW9,Engineering!CY9)</f>
        <v>1.5</v>
      </c>
      <c r="CY9" s="128" t="n">
        <v>1.5</v>
      </c>
      <c r="CZ9" s="129"/>
      <c r="DA9" s="125" t="n">
        <f aca="false">IF('Cash Drivers'!DA$26,Engineering!CZ9,Engineering!DB9)</f>
        <v>1.5</v>
      </c>
      <c r="DB9" s="130" t="n">
        <v>1.5</v>
      </c>
      <c r="DC9" s="127"/>
      <c r="DD9" s="126" t="n">
        <f aca="false">IF('Cash Drivers'!DD$26,Engineering!DC9,Engineering!DE9)</f>
        <v>1.5</v>
      </c>
      <c r="DE9" s="128" t="n">
        <v>1.5</v>
      </c>
      <c r="DF9" s="129"/>
      <c r="DG9" s="125" t="n">
        <f aca="false">IF('Cash Drivers'!DG$26,Engineering!DF9,Engineering!DH9)</f>
        <v>1.5</v>
      </c>
      <c r="DH9" s="130" t="n">
        <v>1.5</v>
      </c>
      <c r="DI9" s="128" t="n">
        <v>1.5</v>
      </c>
      <c r="DJ9" s="126" t="n">
        <f aca="false">IF('Cash Drivers'!DJ$26,Engineering!DI9,Engineering!DK9)</f>
        <v>1.5</v>
      </c>
      <c r="DK9" s="128" t="n">
        <v>1.5</v>
      </c>
      <c r="DL9" s="130" t="n">
        <v>1.5</v>
      </c>
      <c r="DM9" s="125" t="n">
        <f aca="false">IF('Cash Drivers'!DM$26,Engineering!DL9,Engineering!DN9)</f>
        <v>1.5</v>
      </c>
      <c r="DN9" s="130" t="n">
        <v>1.5</v>
      </c>
    </row>
    <row r="10" customFormat="false" ht="15" hidden="false" customHeight="false" outlineLevel="0" collapsed="false">
      <c r="A10" s="17" t="s">
        <v>256</v>
      </c>
      <c r="B10" s="131" t="str">
        <f aca="false">IF(K10&lt;&gt;"",K10,IF(N10&lt;&gt;"",N10,IF(Q10&lt;&gt;"",Q10,IF(T10&lt;&gt;"",T10,IF(W10&lt;&gt;"",W10,IF(Z10&lt;&gt;"",Z10,IF(AC10&lt;&gt;"",AC10,IF(AF10&lt;&gt;"",AF10,IF(AI10&lt;&gt;"",AI10,IF(AL10&lt;&gt;"",AL10,IF(AO10&lt;&gt;"",AO10,IF(AR10&lt;&gt;"",AR10,""))))))))))))</f>
        <v/>
      </c>
      <c r="C10" s="131" t="n">
        <f aca="false">IF(L10&lt;&gt;"",L10,IF(O10&lt;&gt;"",O10,IF(R10&lt;&gt;"",R10,IF(U10&lt;&gt;"",U10,IF(X10&lt;&gt;"",X10,IF(AA10&lt;&gt;"",AA10,IF(AD10&lt;&gt;"",AD10,IF(AG10&lt;&gt;"",AG10,IF(AJ10&lt;&gt;"",AJ10,IF(AM10&lt;&gt;"",AM10,IF(AP10&lt;&gt;"",AP10,IF(AS10&lt;&gt;"",AS10,""))))))))))))</f>
        <v>0.0005</v>
      </c>
      <c r="D10" s="131" t="n">
        <f aca="false">IF(M10&lt;&gt;"",M10,IF(P10&lt;&gt;"",P10,IF(S10&lt;&gt;"",S10,IF(V10&lt;&gt;"",V10,IF(Y10&lt;&gt;"",Y10,IF(AB10&lt;&gt;"",AB10,IF(AE10&lt;&gt;"",AE10,IF(AH10&lt;&gt;"",AH10,IF(AK10&lt;&gt;"",AK10,IF(AN10&lt;&gt;"",AN10,IF(AQ10&lt;&gt;"",AQ10,IF(AT10&lt;&gt;"",AT10,""))))))))))))</f>
        <v>0.0005</v>
      </c>
      <c r="E10" s="132" t="str">
        <f aca="false">IF(AU10&lt;&gt;"",AU10,IF(AX10&lt;&gt;"",AX10,IF(BA10&lt;&gt;"",BA10,IF(BD10&lt;&gt;"",BD10,IF(BG10&lt;&gt;"",BG10,IF(BJ10&lt;&gt;"",BJ10,IF(BM10&lt;&gt;"",BM10,IF(BP10&lt;&gt;"",BP10,IF(BS10&lt;&gt;"",BS10,IF(BV10&lt;&gt;"",BV10,IF(BY10&lt;&gt;"",BY10,IF(CB10&lt;&gt;"",CB10,""))))))))))))</f>
        <v/>
      </c>
      <c r="F10" s="132" t="n">
        <f aca="false">IF(AV10&lt;&gt;"",AV10,IF(AY10&lt;&gt;"",AY10,IF(BB10&lt;&gt;"",BB10,IF(BE10&lt;&gt;"",BE10,IF(BH10&lt;&gt;"",BH10,IF(BK10&lt;&gt;"",BK10,IF(BN10&lt;&gt;"",BN10,IF(BQ10&lt;&gt;"",BQ10,IF(BT10&lt;&gt;"",BT10,IF(BW10&lt;&gt;"",BW10,IF(BZ10&lt;&gt;"",BZ10,IF(CC10&lt;&gt;"",CC10,""))))))))))))</f>
        <v>0.0005</v>
      </c>
      <c r="G10" s="132" t="n">
        <f aca="false">IF(AW10&lt;&gt;"",AW10,IF(AZ10&lt;&gt;"",AZ10,IF(BC10&lt;&gt;"",BC10,IF(BF10&lt;&gt;"",BF10,IF(BI10&lt;&gt;"",BI10,IF(BL10&lt;&gt;"",BL10,IF(BO10&lt;&gt;"",BO10,IF(BR10&lt;&gt;"",BR10,IF(BU10&lt;&gt;"",BU10,IF(BX10&lt;&gt;"",BX10,IF(CA10&lt;&gt;"",CA10,IF(CD10&lt;&gt;"",CD10,""))))))))))))</f>
        <v>0.0005</v>
      </c>
      <c r="H10" s="131" t="n">
        <f aca="false">IF(CE10&lt;&gt;"",CE10,IF(CH10&lt;&gt;"",CH10,IF(CK10&lt;&gt;"",CK10,IF(CN10&lt;&gt;"",CN10,IF(CQ10&lt;&gt;"",CQ10,IF(CT10&lt;&gt;"",CT10,IF(CW10&lt;&gt;"",CW10,IF(CZ10&lt;&gt;"",CZ10,IF(DC10&lt;&gt;"",DC10,IF(DF10&lt;&gt;"",DF10,IF(DI10&lt;&gt;"",DI10,IF(DL10&lt;&gt;"",DL10,""))))))))))))</f>
        <v>0.0005</v>
      </c>
      <c r="I10" s="131" t="n">
        <f aca="false">IF(CF10&lt;&gt;"",CF10,IF(CI10&lt;&gt;"",CI10,IF(CL10&lt;&gt;"",CL10,IF(CO10&lt;&gt;"",CO10,IF(CR10&lt;&gt;"",CR10,IF(CU10&lt;&gt;"",CU10,IF(CX10&lt;&gt;"",CX10,IF(DA10&lt;&gt;"",DA10,IF(DD10&lt;&gt;"",DD10,IF(DG10&lt;&gt;"",DG10,IF(DJ10&lt;&gt;"",DJ10,IF(DM10&lt;&gt;"",DM10,""))))))))))))</f>
        <v>0.0005</v>
      </c>
      <c r="J10" s="131" t="n">
        <f aca="false">IF(CG10&lt;&gt;"",CG10,IF(CJ10&lt;&gt;"",CJ10,IF(CM10&lt;&gt;"",CM10,IF(CP10&lt;&gt;"",CP10,IF(CS10&lt;&gt;"",CS10,IF(CV10&lt;&gt;"",CV10,IF(CY10&lt;&gt;"",CY10,IF(DB10&lt;&gt;"",DB10,IF(DE10&lt;&gt;"",DE10,IF(DH10&lt;&gt;"",DH10,IF(DK10&lt;&gt;"",DK10,IF(DN10&lt;&gt;"",DN10,""))))))))))))</f>
        <v>0.0005</v>
      </c>
      <c r="K10" s="133"/>
      <c r="L10" s="132" t="n">
        <f aca="false">IF('Cash Drivers'!L$26,Engineering!K10,Engineering!M10)</f>
        <v>0.0005</v>
      </c>
      <c r="M10" s="134" t="n">
        <v>0.0005</v>
      </c>
      <c r="N10" s="135"/>
      <c r="O10" s="131" t="n">
        <f aca="false">IF('Cash Drivers'!O$26,Engineering!N10,Engineering!P10)</f>
        <v>0.0005</v>
      </c>
      <c r="P10" s="136" t="n">
        <v>0.0005</v>
      </c>
      <c r="Q10" s="133"/>
      <c r="R10" s="132" t="n">
        <f aca="false">IF('Cash Drivers'!R$26,Engineering!Q10,Engineering!S10)</f>
        <v>0.0005</v>
      </c>
      <c r="S10" s="134" t="n">
        <v>0.0005</v>
      </c>
      <c r="T10" s="135"/>
      <c r="U10" s="131" t="n">
        <f aca="false">IF('Cash Drivers'!U$26,Engineering!T10,Engineering!V10)</f>
        <v>0.0005</v>
      </c>
      <c r="V10" s="136" t="n">
        <v>0.0005</v>
      </c>
      <c r="W10" s="133"/>
      <c r="X10" s="132" t="n">
        <f aca="false">IF('Cash Drivers'!X$26,Engineering!W10,Engineering!Y10)</f>
        <v>0.0005</v>
      </c>
      <c r="Y10" s="134" t="n">
        <v>0.0005</v>
      </c>
      <c r="Z10" s="135"/>
      <c r="AA10" s="131" t="n">
        <f aca="false">IF('Cash Drivers'!AA$26,Engineering!Z10,Engineering!AB10)</f>
        <v>0.0005</v>
      </c>
      <c r="AB10" s="136" t="n">
        <v>0.0005</v>
      </c>
      <c r="AC10" s="133"/>
      <c r="AD10" s="132" t="n">
        <f aca="false">IF('Cash Drivers'!AD$26,Engineering!AC10,Engineering!AE10)</f>
        <v>0.0005</v>
      </c>
      <c r="AE10" s="134" t="n">
        <v>0.0005</v>
      </c>
      <c r="AF10" s="135"/>
      <c r="AG10" s="131" t="n">
        <f aca="false">IF('Cash Drivers'!AG$26,Engineering!AF10,Engineering!AH10)</f>
        <v>0.0005</v>
      </c>
      <c r="AH10" s="136" t="n">
        <v>0.0005</v>
      </c>
      <c r="AI10" s="133"/>
      <c r="AJ10" s="132" t="n">
        <f aca="false">IF('Cash Drivers'!AJ$26,Engineering!AI10,Engineering!AK10)</f>
        <v>0.0005</v>
      </c>
      <c r="AK10" s="134" t="n">
        <v>0.0005</v>
      </c>
      <c r="AL10" s="135"/>
      <c r="AM10" s="131" t="n">
        <f aca="false">IF('Cash Drivers'!AM$26,Engineering!AL10,Engineering!AN10)</f>
        <v>0.0005</v>
      </c>
      <c r="AN10" s="136" t="n">
        <v>0.0005</v>
      </c>
      <c r="AO10" s="133"/>
      <c r="AP10" s="132" t="n">
        <f aca="false">IF('Cash Drivers'!AP$26,Engineering!AO10,Engineering!AQ10)</f>
        <v>0.0005</v>
      </c>
      <c r="AQ10" s="134" t="n">
        <v>0.0005</v>
      </c>
      <c r="AR10" s="135"/>
      <c r="AS10" s="131" t="n">
        <f aca="false">IF('Cash Drivers'!AS$26,Engineering!AR10,Engineering!AT10)</f>
        <v>0.0005</v>
      </c>
      <c r="AT10" s="136" t="n">
        <v>0.0005</v>
      </c>
      <c r="AU10" s="133"/>
      <c r="AV10" s="132" t="n">
        <f aca="false">IF('Cash Drivers'!AV$26,Engineering!AU10,Engineering!AW10)</f>
        <v>0.0005</v>
      </c>
      <c r="AW10" s="134" t="n">
        <v>0.0005</v>
      </c>
      <c r="AX10" s="135"/>
      <c r="AY10" s="131" t="n">
        <f aca="false">IF('Cash Drivers'!AY$26,Engineering!AX10,Engineering!AZ10)</f>
        <v>0.0005</v>
      </c>
      <c r="AZ10" s="136" t="n">
        <v>0.0005</v>
      </c>
      <c r="BA10" s="133"/>
      <c r="BB10" s="132" t="n">
        <f aca="false">IF('Cash Drivers'!BB$26,Engineering!BA10,Engineering!BC10)</f>
        <v>0.0005</v>
      </c>
      <c r="BC10" s="134" t="n">
        <v>0.0005</v>
      </c>
      <c r="BD10" s="135"/>
      <c r="BE10" s="131" t="n">
        <f aca="false">IF('Cash Drivers'!BE$26,Engineering!BD10,Engineering!BF10)</f>
        <v>0.0005</v>
      </c>
      <c r="BF10" s="136" t="n">
        <v>0.0005</v>
      </c>
      <c r="BG10" s="133"/>
      <c r="BH10" s="132" t="n">
        <f aca="false">IF('Cash Drivers'!BH$26,Engineering!BG10,Engineering!BI10)</f>
        <v>0.0005</v>
      </c>
      <c r="BI10" s="134" t="n">
        <v>0.0005</v>
      </c>
      <c r="BJ10" s="135"/>
      <c r="BK10" s="131" t="n">
        <f aca="false">IF('Cash Drivers'!BK$26,Engineering!BJ10,Engineering!BL10)</f>
        <v>0.0005</v>
      </c>
      <c r="BL10" s="136" t="n">
        <v>0.0005</v>
      </c>
      <c r="BM10" s="133"/>
      <c r="BN10" s="132" t="n">
        <f aca="false">IF('Cash Drivers'!BN$26,Engineering!BM10,Engineering!BO10)</f>
        <v>0.0005</v>
      </c>
      <c r="BO10" s="134" t="n">
        <v>0.0005</v>
      </c>
      <c r="BP10" s="135"/>
      <c r="BQ10" s="131" t="n">
        <f aca="false">IF('Cash Drivers'!BQ$26,Engineering!BP10,Engineering!BR10)</f>
        <v>0.0005</v>
      </c>
      <c r="BR10" s="136" t="n">
        <v>0.0005</v>
      </c>
      <c r="BS10" s="133"/>
      <c r="BT10" s="132" t="n">
        <f aca="false">IF('Cash Drivers'!BT$26,Engineering!BS10,Engineering!BU10)</f>
        <v>0.0005</v>
      </c>
      <c r="BU10" s="134" t="n">
        <v>0.0005</v>
      </c>
      <c r="BV10" s="135"/>
      <c r="BW10" s="131" t="n">
        <f aca="false">IF('Cash Drivers'!BW$26,Engineering!BV10,Engineering!BX10)</f>
        <v>0.0005</v>
      </c>
      <c r="BX10" s="136" t="n">
        <v>0.0005</v>
      </c>
      <c r="BY10" s="133"/>
      <c r="BZ10" s="132" t="n">
        <f aca="false">IF('Cash Drivers'!BZ$26,Engineering!BY10,Engineering!CA10)</f>
        <v>0.0005</v>
      </c>
      <c r="CA10" s="134" t="n">
        <v>0.0005</v>
      </c>
      <c r="CB10" s="135"/>
      <c r="CC10" s="131" t="n">
        <f aca="false">IF('Cash Drivers'!CC$26,Engineering!CB10,Engineering!CD10)</f>
        <v>0.0005</v>
      </c>
      <c r="CD10" s="136" t="n">
        <v>0.0005</v>
      </c>
      <c r="CE10" s="133"/>
      <c r="CF10" s="132" t="n">
        <f aca="false">IF('Cash Drivers'!CF$26,Engineering!CE10,Engineering!CG10)</f>
        <v>0.0005</v>
      </c>
      <c r="CG10" s="134" t="n">
        <v>0.0005</v>
      </c>
      <c r="CH10" s="135"/>
      <c r="CI10" s="131" t="n">
        <f aca="false">IF('Cash Drivers'!CI$26,Engineering!CH10,Engineering!CJ10)</f>
        <v>0.0005</v>
      </c>
      <c r="CJ10" s="136" t="n">
        <v>0.0005</v>
      </c>
      <c r="CK10" s="133"/>
      <c r="CL10" s="132" t="n">
        <f aca="false">IF('Cash Drivers'!CL$26,Engineering!CK10,Engineering!CM10)</f>
        <v>0.0005</v>
      </c>
      <c r="CM10" s="134" t="n">
        <v>0.0005</v>
      </c>
      <c r="CN10" s="135"/>
      <c r="CO10" s="131" t="n">
        <f aca="false">IF('Cash Drivers'!CO$26,Engineering!CN10,Engineering!CP10)</f>
        <v>0.0005</v>
      </c>
      <c r="CP10" s="136" t="n">
        <v>0.0005</v>
      </c>
      <c r="CQ10" s="133"/>
      <c r="CR10" s="132" t="n">
        <f aca="false">IF('Cash Drivers'!CR$26,Engineering!CQ10,Engineering!CS10)</f>
        <v>0.0005</v>
      </c>
      <c r="CS10" s="134" t="n">
        <v>0.0005</v>
      </c>
      <c r="CT10" s="135"/>
      <c r="CU10" s="131" t="n">
        <f aca="false">IF('Cash Drivers'!CU$26,Engineering!CT10,Engineering!CV10)</f>
        <v>0.0005</v>
      </c>
      <c r="CV10" s="136" t="n">
        <v>0.0005</v>
      </c>
      <c r="CW10" s="133"/>
      <c r="CX10" s="132" t="n">
        <f aca="false">IF('Cash Drivers'!CX$26,Engineering!CW10,Engineering!CY10)</f>
        <v>0.0005</v>
      </c>
      <c r="CY10" s="134" t="n">
        <v>0.0005</v>
      </c>
      <c r="CZ10" s="135"/>
      <c r="DA10" s="131" t="n">
        <f aca="false">IF('Cash Drivers'!DA$26,Engineering!CZ10,Engineering!DB10)</f>
        <v>0.0005</v>
      </c>
      <c r="DB10" s="136" t="n">
        <v>0.0005</v>
      </c>
      <c r="DC10" s="133"/>
      <c r="DD10" s="132" t="n">
        <f aca="false">IF('Cash Drivers'!DD$26,Engineering!DC10,Engineering!DE10)</f>
        <v>0.0005</v>
      </c>
      <c r="DE10" s="134" t="n">
        <v>0.0005</v>
      </c>
      <c r="DF10" s="135"/>
      <c r="DG10" s="131" t="n">
        <f aca="false">IF('Cash Drivers'!DG$26,Engineering!DF10,Engineering!DH10)</f>
        <v>0.0005</v>
      </c>
      <c r="DH10" s="136" t="n">
        <v>0.0005</v>
      </c>
      <c r="DI10" s="134" t="n">
        <v>0.0005</v>
      </c>
      <c r="DJ10" s="132" t="n">
        <f aca="false">IF('Cash Drivers'!DJ$26,Engineering!DI10,Engineering!DK10)</f>
        <v>0.0005</v>
      </c>
      <c r="DK10" s="134" t="n">
        <v>0.0005</v>
      </c>
      <c r="DL10" s="136" t="n">
        <v>0.0005</v>
      </c>
      <c r="DM10" s="131" t="n">
        <f aca="false">IF('Cash Drivers'!DM$26,Engineering!DL10,Engineering!DN10)</f>
        <v>0.0005</v>
      </c>
      <c r="DN10" s="136" t="n">
        <v>0.0005</v>
      </c>
    </row>
    <row r="11" customFormat="false" ht="15" hidden="false" customHeight="false" outlineLevel="0" collapsed="false">
      <c r="A11" s="26" t="s">
        <v>257</v>
      </c>
      <c r="B11" s="27" t="str">
        <f aca="false">IF(COUNT(AR11,AO11,AL11,AI11,AF11,AC11,Z11,W11,T11,Q11,N11,K11)=0,"",SUM(AR11,AO11,AL11,AI11,AF11,AC11,Z11,W11,T11,Q11,N11,K11))</f>
        <v/>
      </c>
      <c r="C11" s="27" t="n">
        <f aca="false">IF(COUNT(AS11,AP11,AM11,AJ11,AG11,AD11,AA11,X11,U11,R11,O11,L11)=0,"",SUM(AS11,AP11,AM11,AJ11,AG11,AD11,AA11,X11,U11,R11,O11,L11))</f>
        <v>2260845</v>
      </c>
      <c r="D11" s="27" t="n">
        <f aca="false">IF(COUNT(AT11,AQ11,AN11,AK11,AH11,AE11,AB11,Y11,V11,S11,P11,M11)=0,"",SUM(AT11,AQ11,AN11,AK11,AH11,AE11,AB11,Y11,V11,S11,P11,M11))</f>
        <v>2255985</v>
      </c>
      <c r="E11" s="28" t="str">
        <f aca="false">IF(COUNT(CB11,BY11,BV11,BS11,BP11,BM11,BJ11,BG11,BD11,BA11,AX11,AU11)=0,"",SUM(CB11,BY11,BV11,BS11,BP11,BM11,BJ11,BG11,BD11,BA11,AX11,AU11))</f>
        <v/>
      </c>
      <c r="F11" s="28" t="n">
        <f aca="false">IF(COUNT(CC11,BZ11,BW11,BT11,BQ11,BN11,BK11,BH11,BE11,BB11,AY11,AV11)=0,"",SUM(CC11,BZ11,BW11,BT11,BQ11,BN11,BK11,BH11,BE11,BB11,AY11,AV11))</f>
        <v>1789155</v>
      </c>
      <c r="G11" s="28" t="n">
        <f aca="false">IF(COUNT(CD11,CA11,BX11,BU11,BR11,BO11,BL11,BI11,BF11,BC11,AZ11,AW11)=0,"",SUM(CD11,CA11,BX11,BU11,BR11,BO11,BL11,BI11,BF11,BC11,AZ11,AW11))</f>
        <v>1784295</v>
      </c>
      <c r="H11" s="27" t="n">
        <f aca="false">IF(COUNT(DL11,DI11,DF11,DC11,CZ11,CW11,CT11,CQ11,CN11,CK11,CH11,CE11)=0,"",SUM(DL11,DI11,DF11,DC11,CZ11,CW11,CT11,CQ11,CN11,CK11,CH11,CE11))</f>
        <v>225990</v>
      </c>
      <c r="I11" s="27" t="n">
        <f aca="false">IF(COUNT(DM11,DJ11,DG11,DD11,DA11,CX11,CU11,CR11,CO11,CL11,CI11,CF11)=0,"",SUM(DM11,DJ11,DG11,DD11,DA11,CX11,CU11,CR11,CO11,CL11,CI11,CF11))</f>
        <v>1469070</v>
      </c>
      <c r="J11" s="27" t="n">
        <f aca="false">IF(COUNT(DN11,DK11,DH11,DE11,DB11,CY11,CV11,CS11,CP11,CM11,CJ11,CG11)=0,"",SUM(DN11,DK11,DH11,DE11,DB11,CY11,CV11,CS11,CP11,CM11,CJ11,CG11))</f>
        <v>1461375</v>
      </c>
      <c r="K11" s="28"/>
      <c r="L11" s="28" t="n">
        <f aca="false">Summary!O16*Engineering!$B$60</f>
        <v>210060</v>
      </c>
      <c r="M11" s="28" t="n">
        <f aca="false">Summary!P16*Engineering!$B$60</f>
        <v>209655</v>
      </c>
      <c r="N11" s="27"/>
      <c r="O11" s="27" t="n">
        <f aca="false">Summary!R16*Engineering!$B$60</f>
        <v>206145</v>
      </c>
      <c r="P11" s="27" t="n">
        <f aca="false">Summary!S16*Engineering!$B$60</f>
        <v>205740</v>
      </c>
      <c r="Q11" s="28"/>
      <c r="R11" s="28" t="n">
        <f aca="false">Summary!U16*Engineering!$B$60</f>
        <v>202230</v>
      </c>
      <c r="S11" s="28" t="n">
        <f aca="false">Summary!V16*Engineering!$B$60</f>
        <v>201825</v>
      </c>
      <c r="T11" s="27"/>
      <c r="U11" s="27" t="n">
        <f aca="false">Summary!X16*Engineering!$B$60</f>
        <v>198315</v>
      </c>
      <c r="V11" s="27" t="n">
        <f aca="false">Summary!Y16*Engineering!$B$60</f>
        <v>197910</v>
      </c>
      <c r="W11" s="28"/>
      <c r="X11" s="28" t="n">
        <f aca="false">Summary!AA16*Engineering!$B$60</f>
        <v>194400</v>
      </c>
      <c r="Y11" s="28" t="n">
        <f aca="false">Summary!AB16*Engineering!$B$60</f>
        <v>193995</v>
      </c>
      <c r="Z11" s="27"/>
      <c r="AA11" s="27" t="n">
        <f aca="false">Summary!AD16*Engineering!$B$60</f>
        <v>190485</v>
      </c>
      <c r="AB11" s="27" t="n">
        <f aca="false">Summary!AE16*Engineering!$B$60</f>
        <v>190080</v>
      </c>
      <c r="AC11" s="28"/>
      <c r="AD11" s="28" t="n">
        <f aca="false">Summary!AG16*Engineering!$B$60</f>
        <v>186435</v>
      </c>
      <c r="AE11" s="28" t="n">
        <f aca="false">Summary!AH16*Engineering!$B$60</f>
        <v>186030</v>
      </c>
      <c r="AF11" s="27"/>
      <c r="AG11" s="27" t="n">
        <f aca="false">Summary!AJ16*Engineering!$B$60</f>
        <v>182385</v>
      </c>
      <c r="AH11" s="27" t="n">
        <f aca="false">Summary!AK16*Engineering!$B$60</f>
        <v>181980</v>
      </c>
      <c r="AI11" s="28"/>
      <c r="AJ11" s="28" t="n">
        <f aca="false">Summary!AM16*Engineering!$B$60</f>
        <v>178335</v>
      </c>
      <c r="AK11" s="28" t="n">
        <f aca="false">Summary!AN16*Engineering!$B$60</f>
        <v>177930</v>
      </c>
      <c r="AL11" s="27"/>
      <c r="AM11" s="27" t="n">
        <f aca="false">Summary!AP16*Engineering!$B$60</f>
        <v>174285</v>
      </c>
      <c r="AN11" s="27" t="n">
        <f aca="false">Summary!AQ16*Engineering!$B$60</f>
        <v>173880</v>
      </c>
      <c r="AO11" s="28"/>
      <c r="AP11" s="28" t="n">
        <f aca="false">Summary!AS16*Engineering!$B$60</f>
        <v>170235</v>
      </c>
      <c r="AQ11" s="28" t="n">
        <f aca="false">Summary!AT16*Engineering!$B$60</f>
        <v>169830</v>
      </c>
      <c r="AR11" s="27"/>
      <c r="AS11" s="27" t="n">
        <f aca="false">Summary!AV16*Engineering!$B$60</f>
        <v>167535</v>
      </c>
      <c r="AT11" s="27" t="n">
        <f aca="false">Summary!AW16*Engineering!$B$60</f>
        <v>167130</v>
      </c>
      <c r="AU11" s="28"/>
      <c r="AV11" s="28" t="n">
        <f aca="false">Summary!AY16*Engineering!$B$60</f>
        <v>164700</v>
      </c>
      <c r="AW11" s="28" t="n">
        <f aca="false">Summary!AZ16*Engineering!$B$60</f>
        <v>164295</v>
      </c>
      <c r="AX11" s="27"/>
      <c r="AY11" s="27" t="n">
        <f aca="false">Summary!BB16*Engineering!$B$60</f>
        <v>161865</v>
      </c>
      <c r="AZ11" s="27" t="n">
        <f aca="false">Summary!BC16*Engineering!$B$60</f>
        <v>161460</v>
      </c>
      <c r="BA11" s="28"/>
      <c r="BB11" s="28" t="n">
        <f aca="false">Summary!BE16*Engineering!$B$60</f>
        <v>159030</v>
      </c>
      <c r="BC11" s="28" t="n">
        <f aca="false">Summary!BF16*Engineering!$B$60</f>
        <v>158625</v>
      </c>
      <c r="BD11" s="27"/>
      <c r="BE11" s="27" t="n">
        <f aca="false">Summary!BH16*Engineering!$B$60</f>
        <v>156195</v>
      </c>
      <c r="BF11" s="27" t="n">
        <f aca="false">Summary!BI16*Engineering!$B$60</f>
        <v>155790</v>
      </c>
      <c r="BG11" s="28"/>
      <c r="BH11" s="28" t="n">
        <f aca="false">Summary!BK16*Engineering!$B$60</f>
        <v>153360</v>
      </c>
      <c r="BI11" s="28" t="n">
        <f aca="false">Summary!BL16*Engineering!$B$60</f>
        <v>152955</v>
      </c>
      <c r="BJ11" s="27"/>
      <c r="BK11" s="27" t="n">
        <f aca="false">Summary!BN16*Engineering!$B$60</f>
        <v>150525</v>
      </c>
      <c r="BL11" s="27" t="n">
        <f aca="false">Summary!BO16*Engineering!$B$60</f>
        <v>150120</v>
      </c>
      <c r="BM11" s="28"/>
      <c r="BN11" s="28" t="n">
        <f aca="false">Summary!BQ16*Engineering!$B$60</f>
        <v>147690</v>
      </c>
      <c r="BO11" s="28" t="n">
        <f aca="false">Summary!BR16*Engineering!$B$60</f>
        <v>147285</v>
      </c>
      <c r="BP11" s="27"/>
      <c r="BQ11" s="27" t="n">
        <f aca="false">Summary!BT16*Engineering!$B$60</f>
        <v>144855</v>
      </c>
      <c r="BR11" s="27" t="n">
        <f aca="false">Summary!BU16*Engineering!$B$60</f>
        <v>144450</v>
      </c>
      <c r="BS11" s="28"/>
      <c r="BT11" s="28" t="n">
        <f aca="false">Summary!BW16*Engineering!$B$60</f>
        <v>141885</v>
      </c>
      <c r="BU11" s="28" t="n">
        <f aca="false">Summary!BX16*Engineering!$B$60</f>
        <v>141480</v>
      </c>
      <c r="BV11" s="27"/>
      <c r="BW11" s="27" t="n">
        <f aca="false">Summary!BZ16*Engineering!$B$60</f>
        <v>138915</v>
      </c>
      <c r="BX11" s="27" t="n">
        <f aca="false">Summary!CA16*Engineering!$B$60</f>
        <v>138510</v>
      </c>
      <c r="BY11" s="28"/>
      <c r="BZ11" s="28" t="n">
        <f aca="false">Summary!CC16*Engineering!$B$60</f>
        <v>135945</v>
      </c>
      <c r="CA11" s="28" t="n">
        <f aca="false">Summary!CD16*Engineering!$B$60</f>
        <v>135540</v>
      </c>
      <c r="CB11" s="27"/>
      <c r="CC11" s="27" t="n">
        <f aca="false">Summary!CF16*Engineering!$B$60</f>
        <v>134190</v>
      </c>
      <c r="CD11" s="27" t="n">
        <f aca="false">Summary!CG16*Engineering!$B$60</f>
        <v>133785</v>
      </c>
      <c r="CE11" s="28"/>
      <c r="CF11" s="28" t="n">
        <f aca="false">Summary!CI16*Engineering!$B$60</f>
        <v>132435</v>
      </c>
      <c r="CG11" s="28" t="n">
        <f aca="false">Summary!CJ16*Engineering!$B$60</f>
        <v>132030</v>
      </c>
      <c r="CH11" s="27"/>
      <c r="CI11" s="27" t="n">
        <f aca="false">Summary!CL16*Engineering!$B$60</f>
        <v>130680</v>
      </c>
      <c r="CJ11" s="27" t="n">
        <f aca="false">Summary!CM16*Engineering!$B$60</f>
        <v>130275</v>
      </c>
      <c r="CK11" s="28"/>
      <c r="CL11" s="28" t="n">
        <f aca="false">Summary!CO16*Engineering!$B$60</f>
        <v>128925</v>
      </c>
      <c r="CM11" s="28" t="n">
        <f aca="false">Summary!CP16*Engineering!$B$60</f>
        <v>128520</v>
      </c>
      <c r="CN11" s="27"/>
      <c r="CO11" s="27" t="n">
        <f aca="false">Summary!CR16*Engineering!$B$60</f>
        <v>127170</v>
      </c>
      <c r="CP11" s="27" t="n">
        <f aca="false">Summary!CS16*Engineering!$B$60</f>
        <v>126765</v>
      </c>
      <c r="CQ11" s="28"/>
      <c r="CR11" s="28" t="n">
        <f aca="false">Summary!CU16*Engineering!$B$60</f>
        <v>125415</v>
      </c>
      <c r="CS11" s="28" t="n">
        <f aca="false">Summary!CV16*Engineering!$B$60</f>
        <v>125010</v>
      </c>
      <c r="CT11" s="27"/>
      <c r="CU11" s="27" t="n">
        <f aca="false">Summary!CX16*Engineering!$B$60</f>
        <v>123660</v>
      </c>
      <c r="CV11" s="27" t="n">
        <f aca="false">Summary!CY16*Engineering!$B$60</f>
        <v>123255</v>
      </c>
      <c r="CW11" s="28"/>
      <c r="CX11" s="28" t="n">
        <f aca="false">Summary!DA16*Engineering!$B$60</f>
        <v>121905</v>
      </c>
      <c r="CY11" s="28" t="n">
        <f aca="false">Summary!DB16*Engineering!$B$60</f>
        <v>121500</v>
      </c>
      <c r="CZ11" s="27"/>
      <c r="DA11" s="27" t="n">
        <f aca="false">Summary!DD16*Engineering!$B$60</f>
        <v>120015</v>
      </c>
      <c r="DB11" s="27" t="n">
        <f aca="false">Summary!DE16*Engineering!$B$60</f>
        <v>119610</v>
      </c>
      <c r="DC11" s="28"/>
      <c r="DD11" s="28" t="n">
        <f aca="false">Summary!DG16*Engineering!$B$60</f>
        <v>118125</v>
      </c>
      <c r="DE11" s="28" t="n">
        <f aca="false">Summary!DH16*Engineering!$B$60</f>
        <v>117720</v>
      </c>
      <c r="DF11" s="27"/>
      <c r="DG11" s="27" t="n">
        <f aca="false">Summary!DJ16*Engineering!$B$60</f>
        <v>114750</v>
      </c>
      <c r="DH11" s="27" t="n">
        <f aca="false">Summary!DK16*Engineering!$B$60</f>
        <v>113265</v>
      </c>
      <c r="DI11" s="28" t="n">
        <f aca="false">IF(COUNT(Summary!DL16)=1,Summary!DL16*Engineering!$B$60,"")</f>
        <v>113940</v>
      </c>
      <c r="DJ11" s="28" t="n">
        <f aca="false">Summary!DM16*Engineering!$B$60</f>
        <v>113940</v>
      </c>
      <c r="DK11" s="28" t="n">
        <f aca="false">Summary!DN16*Engineering!$B$60</f>
        <v>111375</v>
      </c>
      <c r="DL11" s="27" t="n">
        <f aca="false">IF(COUNT(Finance!$DL$62)=1,Finance!$DL$62*Engineering!$B$60,"")</f>
        <v>112050</v>
      </c>
      <c r="DM11" s="27" t="n">
        <f aca="false">Finance!$DL$62*Engineering!$B$60</f>
        <v>112050</v>
      </c>
      <c r="DN11" s="27" t="n">
        <f aca="false">Finance!$DL$62*Engineering!$B$60</f>
        <v>112050</v>
      </c>
    </row>
    <row r="12" customFormat="false" ht="15" hidden="false" customHeight="false" outlineLevel="0" collapsed="false">
      <c r="A12" s="5" t="s">
        <v>158</v>
      </c>
      <c r="B12" s="12" t="str">
        <f aca="false">IF(COUNT(AR12,AO12,AL12,AI12,AF12,AC12,Z12,W12,T12,Q12,N12,K12)=0,"",SUM(AR12,AO12,AL12,AI12,AF12,AC12,Z12,W12,T12,Q12,N12,K12))</f>
        <v/>
      </c>
      <c r="C12" s="12" t="n">
        <f aca="false">IF(COUNT(AS12,AP12,AM12,AJ12,AG12,AD12,AA12,X12,U12,R12,O12,L12)=0,"",SUM(AS12,AP12,AM12,AJ12,AG12,AD12,AA12,X12,U12,R12,O12,L12))</f>
        <v>2721000</v>
      </c>
      <c r="D12" s="12" t="n">
        <f aca="false">IF(COUNT(AT12,AQ12,AN12,AK12,AH12,AE12,AB12,Y12,V12,S12,P12,M12)=0,"",SUM(AT12,AQ12,AN12,AK12,AH12,AE12,AB12,Y12,V12,S12,P12,M12))</f>
        <v>2721000</v>
      </c>
      <c r="E12" s="13" t="str">
        <f aca="false">IF(COUNT(CB12,BY12,BV12,BS12,BP12,BM12,BJ12,BG12,BD12,BA12,AX12,AU12)=0,"",SUM(CB12,BY12,BV12,BS12,BP12,BM12,BJ12,BG12,BD12,BA12,AX12,AU12))</f>
        <v/>
      </c>
      <c r="F12" s="13" t="n">
        <f aca="false">IF(COUNT(CC12,BZ12,BW12,BT12,BQ12,BN12,BK12,BH12,BE12,BB12,AY12,AV12)=0,"",SUM(CC12,BZ12,BW12,BT12,BQ12,BN12,BK12,BH12,BE12,BB12,AY12,AV12))</f>
        <v>2091000</v>
      </c>
      <c r="G12" s="13" t="n">
        <f aca="false">IF(COUNT(CD12,CA12,BX12,BU12,BR12,BO12,BL12,BI12,BF12,BC12,AZ12,AW12)=0,"",SUM(CD12,CA12,BX12,BU12,BR12,BO12,BL12,BI12,BF12,BC12,AZ12,AW12))</f>
        <v>2091000</v>
      </c>
      <c r="H12" s="12" t="n">
        <f aca="false">IF(COUNT(DL12,DI12,DF12,DC12,CZ12,CW12,CT12,CQ12,CN12,CK12,CH12,CE12)=0,"",SUM(DL12,DI12,DF12,DC12,CZ12,CW12,CT12,CQ12,CN12,CK12,CH12,CE12))</f>
        <v>290000</v>
      </c>
      <c r="I12" s="12" t="n">
        <f aca="false">IF(COUNT(DM12,DJ12,DG12,DD12,DA12,CX12,CU12,CR12,CO12,CL12,CI12,CF12)=0,"",SUM(DM12,DJ12,DG12,DD12,DA12,CX12,CU12,CR12,CO12,CL12,CI12,CF12))</f>
        <v>1740000</v>
      </c>
      <c r="J12" s="12" t="n">
        <f aca="false">IF(COUNT(DN12,DK12,DH12,DE12,DB12,CY12,CV12,CS12,CP12,CM12,CJ12,CG12)=0,"",SUM(DN12,DK12,DH12,DE12,DB12,CY12,CV12,CS12,CP12,CM12,CJ12,CG12))</f>
        <v>1740000</v>
      </c>
      <c r="K12" s="13" t="str">
        <f aca="false">IF(COUNT(K46)=1,K46,"")</f>
        <v/>
      </c>
      <c r="L12" s="13" t="n">
        <f aca="false">L46</f>
        <v>228000</v>
      </c>
      <c r="M12" s="13" t="n">
        <f aca="false">M46</f>
        <v>228000</v>
      </c>
      <c r="N12" s="12" t="str">
        <f aca="false">IF(COUNT(N46)=1,N46,"")</f>
        <v/>
      </c>
      <c r="O12" s="12" t="n">
        <f aca="false">O46</f>
        <v>228000</v>
      </c>
      <c r="P12" s="12" t="n">
        <f aca="false">P46</f>
        <v>228000</v>
      </c>
      <c r="Q12" s="13" t="str">
        <f aca="false">IF(COUNT(Q46)=1,Q46,"")</f>
        <v/>
      </c>
      <c r="R12" s="13" t="n">
        <f aca="false">R46</f>
        <v>228000</v>
      </c>
      <c r="S12" s="13" t="n">
        <f aca="false">S46</f>
        <v>228000</v>
      </c>
      <c r="T12" s="12" t="str">
        <f aca="false">IF(COUNT(T46)=1,T46,"")</f>
        <v/>
      </c>
      <c r="U12" s="12" t="n">
        <f aca="false">U46</f>
        <v>228000</v>
      </c>
      <c r="V12" s="12" t="n">
        <f aca="false">V46</f>
        <v>228000</v>
      </c>
      <c r="W12" s="13" t="str">
        <f aca="false">IF(COUNT(W46)=1,W46,"")</f>
        <v/>
      </c>
      <c r="X12" s="13" t="n">
        <f aca="false">X46</f>
        <v>228000</v>
      </c>
      <c r="Y12" s="13" t="n">
        <f aca="false">Y46</f>
        <v>228000</v>
      </c>
      <c r="Z12" s="12" t="str">
        <f aca="false">IF(COUNT(Z46)=1,Z46,"")</f>
        <v/>
      </c>
      <c r="AA12" s="12" t="n">
        <f aca="false">AA46</f>
        <v>228000</v>
      </c>
      <c r="AB12" s="12" t="n">
        <f aca="false">AB46</f>
        <v>228000</v>
      </c>
      <c r="AC12" s="13" t="str">
        <f aca="false">IF(COUNT(AC46)=1,AC46,"")</f>
        <v/>
      </c>
      <c r="AD12" s="13" t="n">
        <f aca="false">AD46</f>
        <v>228000</v>
      </c>
      <c r="AE12" s="13" t="n">
        <f aca="false">AE46</f>
        <v>228000</v>
      </c>
      <c r="AF12" s="12" t="str">
        <f aca="false">IF(COUNT(AF46)=1,AF46,"")</f>
        <v/>
      </c>
      <c r="AG12" s="12" t="n">
        <f aca="false">AG46</f>
        <v>228000</v>
      </c>
      <c r="AH12" s="12" t="n">
        <f aca="false">AH46</f>
        <v>228000</v>
      </c>
      <c r="AI12" s="13" t="str">
        <f aca="false">IF(COUNT(AI46)=1,AI46,"")</f>
        <v/>
      </c>
      <c r="AJ12" s="13" t="n">
        <f aca="false">AJ46</f>
        <v>228000</v>
      </c>
      <c r="AK12" s="13" t="n">
        <f aca="false">AK46</f>
        <v>228000</v>
      </c>
      <c r="AL12" s="12" t="str">
        <f aca="false">IF(COUNT(AL46)=1,AL46,"")</f>
        <v/>
      </c>
      <c r="AM12" s="12" t="n">
        <f aca="false">AM46</f>
        <v>228000</v>
      </c>
      <c r="AN12" s="12" t="n">
        <f aca="false">AN46</f>
        <v>228000</v>
      </c>
      <c r="AO12" s="13" t="str">
        <f aca="false">IF(COUNT(AO46)=1,AO46,"")</f>
        <v/>
      </c>
      <c r="AP12" s="13" t="n">
        <f aca="false">AP46</f>
        <v>228000</v>
      </c>
      <c r="AQ12" s="13" t="n">
        <f aca="false">AQ46</f>
        <v>228000</v>
      </c>
      <c r="AR12" s="12" t="str">
        <f aca="false">IF(COUNT(AR46)=1,AR46,"")</f>
        <v/>
      </c>
      <c r="AS12" s="12" t="n">
        <f aca="false">AS46</f>
        <v>213000</v>
      </c>
      <c r="AT12" s="12" t="n">
        <f aca="false">AT46</f>
        <v>213000</v>
      </c>
      <c r="AU12" s="13" t="str">
        <f aca="false">IF(COUNT(AU46)=1,AU46,"")</f>
        <v/>
      </c>
      <c r="AV12" s="13" t="n">
        <f aca="false">AV46</f>
        <v>201000</v>
      </c>
      <c r="AW12" s="13" t="n">
        <f aca="false">AW46</f>
        <v>201000</v>
      </c>
      <c r="AX12" s="12" t="str">
        <f aca="false">IF(COUNT(AX46)=1,AX46,"")</f>
        <v/>
      </c>
      <c r="AY12" s="12" t="n">
        <f aca="false">AY46</f>
        <v>201000</v>
      </c>
      <c r="AZ12" s="12" t="n">
        <f aca="false">AZ46</f>
        <v>201000</v>
      </c>
      <c r="BA12" s="13" t="str">
        <f aca="false">IF(COUNT(BA46)=1,BA46,"")</f>
        <v/>
      </c>
      <c r="BB12" s="13" t="n">
        <f aca="false">BB46</f>
        <v>186000</v>
      </c>
      <c r="BC12" s="13" t="n">
        <f aca="false">BC46</f>
        <v>186000</v>
      </c>
      <c r="BD12" s="12" t="str">
        <f aca="false">IF(COUNT(BD46)=1,BD46,"")</f>
        <v/>
      </c>
      <c r="BE12" s="12" t="n">
        <f aca="false">BE46</f>
        <v>186000</v>
      </c>
      <c r="BF12" s="12" t="n">
        <f aca="false">BF46</f>
        <v>186000</v>
      </c>
      <c r="BG12" s="13" t="str">
        <f aca="false">IF(COUNT(BG46)=1,BG46,"")</f>
        <v/>
      </c>
      <c r="BH12" s="13" t="n">
        <f aca="false">BH46</f>
        <v>186000</v>
      </c>
      <c r="BI12" s="13" t="n">
        <f aca="false">BI46</f>
        <v>186000</v>
      </c>
      <c r="BJ12" s="12" t="str">
        <f aca="false">IF(COUNT(BJ46)=1,BJ46,"")</f>
        <v/>
      </c>
      <c r="BK12" s="12" t="n">
        <f aca="false">BK46</f>
        <v>173000</v>
      </c>
      <c r="BL12" s="12" t="n">
        <f aca="false">BL46</f>
        <v>173000</v>
      </c>
      <c r="BM12" s="13" t="str">
        <f aca="false">IF(COUNT(BM46)=1,BM46,"")</f>
        <v/>
      </c>
      <c r="BN12" s="13" t="n">
        <f aca="false">BN46</f>
        <v>173000</v>
      </c>
      <c r="BO12" s="13" t="n">
        <f aca="false">BO46</f>
        <v>173000</v>
      </c>
      <c r="BP12" s="12" t="str">
        <f aca="false">IF(COUNT(BP46)=1,BP46,"")</f>
        <v/>
      </c>
      <c r="BQ12" s="12" t="n">
        <f aca="false">BQ46</f>
        <v>160000</v>
      </c>
      <c r="BR12" s="12" t="n">
        <f aca="false">BR46</f>
        <v>160000</v>
      </c>
      <c r="BS12" s="13" t="str">
        <f aca="false">IF(COUNT(BS46)=1,BS46,"")</f>
        <v/>
      </c>
      <c r="BT12" s="13" t="n">
        <f aca="false">BT46</f>
        <v>160000</v>
      </c>
      <c r="BU12" s="13" t="n">
        <f aca="false">BU46</f>
        <v>160000</v>
      </c>
      <c r="BV12" s="12" t="str">
        <f aca="false">IF(COUNT(BV46)=1,BV46,"")</f>
        <v/>
      </c>
      <c r="BW12" s="12" t="n">
        <f aca="false">BW46</f>
        <v>160000</v>
      </c>
      <c r="BX12" s="12" t="n">
        <f aca="false">BX46</f>
        <v>160000</v>
      </c>
      <c r="BY12" s="13" t="str">
        <f aca="false">IF(COUNT(BY46)=1,BY46,"")</f>
        <v/>
      </c>
      <c r="BZ12" s="13" t="n">
        <f aca="false">BZ46</f>
        <v>160000</v>
      </c>
      <c r="CA12" s="13" t="n">
        <f aca="false">CA46</f>
        <v>160000</v>
      </c>
      <c r="CB12" s="12" t="str">
        <f aca="false">IF(COUNT(CB46)=1,CB46,"")</f>
        <v/>
      </c>
      <c r="CC12" s="12" t="n">
        <f aca="false">CC46</f>
        <v>145000</v>
      </c>
      <c r="CD12" s="12" t="n">
        <f aca="false">CD46</f>
        <v>145000</v>
      </c>
      <c r="CE12" s="13" t="str">
        <f aca="false">IF(COUNT(CE46)=1,CE46,"")</f>
        <v/>
      </c>
      <c r="CF12" s="13" t="n">
        <f aca="false">CF46</f>
        <v>145000</v>
      </c>
      <c r="CG12" s="13" t="n">
        <f aca="false">CG46</f>
        <v>145000</v>
      </c>
      <c r="CH12" s="12" t="str">
        <f aca="false">IF(COUNT(CH46)=1,CH46,"")</f>
        <v/>
      </c>
      <c r="CI12" s="12" t="n">
        <f aca="false">CI46</f>
        <v>145000</v>
      </c>
      <c r="CJ12" s="12" t="n">
        <f aca="false">CJ46</f>
        <v>145000</v>
      </c>
      <c r="CK12" s="13" t="str">
        <f aca="false">IF(COUNT(CK46)=1,CK46,"")</f>
        <v/>
      </c>
      <c r="CL12" s="13" t="n">
        <f aca="false">CL46</f>
        <v>145000</v>
      </c>
      <c r="CM12" s="13" t="n">
        <f aca="false">CM46</f>
        <v>145000</v>
      </c>
      <c r="CN12" s="12" t="str">
        <f aca="false">IF(COUNT(CN46)=1,CN46,"")</f>
        <v/>
      </c>
      <c r="CO12" s="12" t="n">
        <f aca="false">CO46</f>
        <v>145000</v>
      </c>
      <c r="CP12" s="12" t="n">
        <f aca="false">CP46</f>
        <v>145000</v>
      </c>
      <c r="CQ12" s="13" t="str">
        <f aca="false">IF(COUNT(CQ46)=1,CQ46,"")</f>
        <v/>
      </c>
      <c r="CR12" s="13" t="n">
        <f aca="false">CR46</f>
        <v>145000</v>
      </c>
      <c r="CS12" s="13" t="n">
        <f aca="false">CS46</f>
        <v>145000</v>
      </c>
      <c r="CT12" s="12" t="str">
        <f aca="false">IF(COUNT(CT46)=1,CT46,"")</f>
        <v/>
      </c>
      <c r="CU12" s="12" t="n">
        <f aca="false">CU46</f>
        <v>145000</v>
      </c>
      <c r="CV12" s="12" t="n">
        <f aca="false">CV46</f>
        <v>145000</v>
      </c>
      <c r="CW12" s="13" t="str">
        <f aca="false">IF(COUNT(CW46)=1,CW46,"")</f>
        <v/>
      </c>
      <c r="CX12" s="13" t="n">
        <f aca="false">CX46</f>
        <v>145000</v>
      </c>
      <c r="CY12" s="13" t="n">
        <f aca="false">CY46</f>
        <v>145000</v>
      </c>
      <c r="CZ12" s="12" t="str">
        <f aca="false">IF(COUNT(CZ46)=1,CZ46,"")</f>
        <v/>
      </c>
      <c r="DA12" s="12" t="n">
        <f aca="false">DA46</f>
        <v>145000</v>
      </c>
      <c r="DB12" s="12" t="n">
        <f aca="false">DB46</f>
        <v>145000</v>
      </c>
      <c r="DC12" s="13" t="str">
        <f aca="false">IF(COUNT(DC46)=1,DC46,"")</f>
        <v/>
      </c>
      <c r="DD12" s="13" t="n">
        <f aca="false">DD46</f>
        <v>145000</v>
      </c>
      <c r="DE12" s="13" t="n">
        <f aca="false">DE46</f>
        <v>145000</v>
      </c>
      <c r="DF12" s="12" t="str">
        <f aca="false">IF(COUNT(DF46)=1,DF46,"")</f>
        <v/>
      </c>
      <c r="DG12" s="12" t="n">
        <f aca="false">DG46</f>
        <v>145000</v>
      </c>
      <c r="DH12" s="12" t="n">
        <f aca="false">DH46</f>
        <v>145000</v>
      </c>
      <c r="DI12" s="13" t="n">
        <f aca="false">IF(COUNT(DI46)=1,DI46,"")</f>
        <v>145000</v>
      </c>
      <c r="DJ12" s="13" t="n">
        <f aca="false">DJ46</f>
        <v>145000</v>
      </c>
      <c r="DK12" s="13" t="n">
        <f aca="false">DK46</f>
        <v>145000</v>
      </c>
      <c r="DL12" s="12" t="n">
        <f aca="false">IF(COUNT(DL46)=1,DL46,"")</f>
        <v>145000</v>
      </c>
      <c r="DM12" s="12" t="n">
        <f aca="false">DM46</f>
        <v>145000</v>
      </c>
      <c r="DN12" s="12" t="n">
        <f aca="false">DN46</f>
        <v>145000</v>
      </c>
    </row>
    <row r="13" customFormat="false" ht="15" hidden="false" customHeight="false" outlineLevel="0" collapsed="false">
      <c r="A13" s="5" t="s">
        <v>159</v>
      </c>
      <c r="B13" s="12" t="str">
        <f aca="false">IF(COUNT(AR13,AO13,AL13,AI13,AF13,AC13,Z13,W13,T13,Q13,N13,K13)=0,"",SUM(AR13,AO13,AL13,AI13,AF13,AC13,Z13,W13,T13,Q13,N13,K13))</f>
        <v/>
      </c>
      <c r="C13" s="12" t="n">
        <f aca="false">IF(COUNT(AS13,AP13,AM13,AJ13,AG13,AD13,AA13,X13,U13,R13,O13,L13)=0,"",SUM(AS13,AP13,AM13,AJ13,AG13,AD13,AA13,X13,U13,R13,O13,L13))</f>
        <v>24000</v>
      </c>
      <c r="D13" s="12" t="n">
        <f aca="false">IF(COUNT(AT13,AQ13,AN13,AK13,AH13,AE13,AB13,Y13,V13,S13,P13,M13)=0,"",SUM(AT13,AQ13,AN13,AK13,AH13,AE13,AB13,Y13,V13,S13,P13,M13))</f>
        <v>24000</v>
      </c>
      <c r="E13" s="13" t="str">
        <f aca="false">IF(COUNT(CB13,BY13,BV13,BS13,BP13,BM13,BJ13,BG13,BD13,BA13,AX13,AU13)=0,"",SUM(CB13,BY13,BV13,BS13,BP13,BM13,BJ13,BG13,BD13,BA13,AX13,AU13))</f>
        <v/>
      </c>
      <c r="F13" s="13" t="n">
        <f aca="false">IF(COUNT(CC13,BZ13,BW13,BT13,BQ13,BN13,BK13,BH13,BE13,BB13,AY13,AV13)=0,"",SUM(CC13,BZ13,BW13,BT13,BQ13,BN13,BK13,BH13,BE13,BB13,AY13,AV13))</f>
        <v>24000</v>
      </c>
      <c r="G13" s="13" t="n">
        <f aca="false">IF(COUNT(CD13,CA13,BX13,BU13,BR13,BO13,BL13,BI13,BF13,BC13,AZ13,AW13)=0,"",SUM(CD13,CA13,BX13,BU13,BR13,BO13,BL13,BI13,BF13,BC13,AZ13,AW13))</f>
        <v>24000</v>
      </c>
      <c r="H13" s="12" t="n">
        <f aca="false">IF(COUNT(DL13,DI13,DF13,DC13,CZ13,CW13,CT13,CQ13,CN13,CK13,CH13,CE13)=0,"",SUM(DL13,DI13,DF13,DC13,CZ13,CW13,CT13,CQ13,CN13,CK13,CH13,CE13))</f>
        <v>4000</v>
      </c>
      <c r="I13" s="12" t="n">
        <f aca="false">IF(COUNT(DM13,DJ13,DG13,DD13,DA13,CX13,CU13,CR13,CO13,CL13,CI13,CF13)=0,"",SUM(DM13,DJ13,DG13,DD13,DA13,CX13,CU13,CR13,CO13,CL13,CI13,CF13))</f>
        <v>24000</v>
      </c>
      <c r="J13" s="12" t="n">
        <f aca="false">IF(COUNT(DN13,DK13,DH13,DE13,DB13,CY13,CV13,CS13,CP13,CM13,CJ13,CG13)=0,"",SUM(DN13,DK13,DH13,DE13,DB13,CY13,CV13,CS13,CP13,CM13,CJ13,CG13))</f>
        <v>24000</v>
      </c>
      <c r="K13" s="13"/>
      <c r="L13" s="13" t="n">
        <f aca="false">IF('Cash Drivers'!L$26,Engineering!K13,Engineering!M13)</f>
        <v>2000</v>
      </c>
      <c r="M13" s="89" t="n">
        <v>2000</v>
      </c>
      <c r="N13" s="12"/>
      <c r="O13" s="12" t="n">
        <f aca="false">IF('Cash Drivers'!O$26,Engineering!N13,Engineering!P13)</f>
        <v>2000</v>
      </c>
      <c r="P13" s="90" t="n">
        <v>2000</v>
      </c>
      <c r="Q13" s="13"/>
      <c r="R13" s="13" t="n">
        <f aca="false">IF('Cash Drivers'!R$26,Engineering!Q13,Engineering!S13)</f>
        <v>2000</v>
      </c>
      <c r="S13" s="89" t="n">
        <v>2000</v>
      </c>
      <c r="T13" s="12"/>
      <c r="U13" s="12" t="n">
        <f aca="false">IF('Cash Drivers'!U$26,Engineering!T13,Engineering!V13)</f>
        <v>2000</v>
      </c>
      <c r="V13" s="90" t="n">
        <v>2000</v>
      </c>
      <c r="W13" s="13"/>
      <c r="X13" s="13" t="n">
        <f aca="false">IF('Cash Drivers'!X$26,Engineering!W13,Engineering!Y13)</f>
        <v>2000</v>
      </c>
      <c r="Y13" s="89" t="n">
        <v>2000</v>
      </c>
      <c r="Z13" s="12"/>
      <c r="AA13" s="12" t="n">
        <f aca="false">IF('Cash Drivers'!AA$26,Engineering!Z13,Engineering!AB13)</f>
        <v>2000</v>
      </c>
      <c r="AB13" s="90" t="n">
        <v>2000</v>
      </c>
      <c r="AC13" s="13"/>
      <c r="AD13" s="13" t="n">
        <f aca="false">IF('Cash Drivers'!AD$26,Engineering!AC13,Engineering!AE13)</f>
        <v>2000</v>
      </c>
      <c r="AE13" s="89" t="n">
        <v>2000</v>
      </c>
      <c r="AF13" s="12"/>
      <c r="AG13" s="12" t="n">
        <f aca="false">IF('Cash Drivers'!AG$26,Engineering!AF13,Engineering!AH13)</f>
        <v>2000</v>
      </c>
      <c r="AH13" s="90" t="n">
        <v>2000</v>
      </c>
      <c r="AI13" s="13"/>
      <c r="AJ13" s="13" t="n">
        <f aca="false">IF('Cash Drivers'!AJ$26,Engineering!AI13,Engineering!AK13)</f>
        <v>2000</v>
      </c>
      <c r="AK13" s="89" t="n">
        <v>2000</v>
      </c>
      <c r="AL13" s="12"/>
      <c r="AM13" s="12" t="n">
        <f aca="false">IF('Cash Drivers'!AM$26,Engineering!AL13,Engineering!AN13)</f>
        <v>2000</v>
      </c>
      <c r="AN13" s="90" t="n">
        <v>2000</v>
      </c>
      <c r="AO13" s="13"/>
      <c r="AP13" s="13" t="n">
        <f aca="false">IF('Cash Drivers'!AP$26,Engineering!AO13,Engineering!AQ13)</f>
        <v>2000</v>
      </c>
      <c r="AQ13" s="89" t="n">
        <v>2000</v>
      </c>
      <c r="AR13" s="12"/>
      <c r="AS13" s="12" t="n">
        <f aca="false">IF('Cash Drivers'!AS$26,Engineering!AR13,Engineering!AT13)</f>
        <v>2000</v>
      </c>
      <c r="AT13" s="90" t="n">
        <v>2000</v>
      </c>
      <c r="AU13" s="13"/>
      <c r="AV13" s="13" t="n">
        <f aca="false">IF('Cash Drivers'!AV$26,Engineering!AU13,Engineering!AW13)</f>
        <v>2000</v>
      </c>
      <c r="AW13" s="89" t="n">
        <v>2000</v>
      </c>
      <c r="AX13" s="12"/>
      <c r="AY13" s="12" t="n">
        <f aca="false">IF('Cash Drivers'!AY$26,Engineering!AX13,Engineering!AZ13)</f>
        <v>2000</v>
      </c>
      <c r="AZ13" s="90" t="n">
        <v>2000</v>
      </c>
      <c r="BA13" s="13"/>
      <c r="BB13" s="13" t="n">
        <f aca="false">IF('Cash Drivers'!BB$26,Engineering!BA13,Engineering!BC13)</f>
        <v>2000</v>
      </c>
      <c r="BC13" s="89" t="n">
        <v>2000</v>
      </c>
      <c r="BD13" s="12"/>
      <c r="BE13" s="12" t="n">
        <f aca="false">IF('Cash Drivers'!BE$26,Engineering!BD13,Engineering!BF13)</f>
        <v>2000</v>
      </c>
      <c r="BF13" s="90" t="n">
        <v>2000</v>
      </c>
      <c r="BG13" s="13"/>
      <c r="BH13" s="13" t="n">
        <f aca="false">IF('Cash Drivers'!BH$26,Engineering!BG13,Engineering!BI13)</f>
        <v>2000</v>
      </c>
      <c r="BI13" s="89" t="n">
        <v>2000</v>
      </c>
      <c r="BJ13" s="12"/>
      <c r="BK13" s="12" t="n">
        <f aca="false">IF('Cash Drivers'!BK$26,Engineering!BJ13,Engineering!BL13)</f>
        <v>2000</v>
      </c>
      <c r="BL13" s="90" t="n">
        <v>2000</v>
      </c>
      <c r="BM13" s="13"/>
      <c r="BN13" s="13" t="n">
        <f aca="false">IF('Cash Drivers'!BN$26,Engineering!BM13,Engineering!BO13)</f>
        <v>2000</v>
      </c>
      <c r="BO13" s="89" t="n">
        <v>2000</v>
      </c>
      <c r="BP13" s="12"/>
      <c r="BQ13" s="12" t="n">
        <f aca="false">IF('Cash Drivers'!BQ$26,Engineering!BP13,Engineering!BR13)</f>
        <v>2000</v>
      </c>
      <c r="BR13" s="90" t="n">
        <v>2000</v>
      </c>
      <c r="BS13" s="13"/>
      <c r="BT13" s="13" t="n">
        <f aca="false">IF('Cash Drivers'!BT$26,Engineering!BS13,Engineering!BU13)</f>
        <v>2000</v>
      </c>
      <c r="BU13" s="89" t="n">
        <v>2000</v>
      </c>
      <c r="BV13" s="12"/>
      <c r="BW13" s="12" t="n">
        <f aca="false">IF('Cash Drivers'!BW$26,Engineering!BV13,Engineering!BX13)</f>
        <v>2000</v>
      </c>
      <c r="BX13" s="90" t="n">
        <v>2000</v>
      </c>
      <c r="BY13" s="13"/>
      <c r="BZ13" s="13" t="n">
        <f aca="false">IF('Cash Drivers'!BZ$26,Engineering!BY13,Engineering!CA13)</f>
        <v>2000</v>
      </c>
      <c r="CA13" s="89" t="n">
        <v>2000</v>
      </c>
      <c r="CB13" s="12"/>
      <c r="CC13" s="12" t="n">
        <f aca="false">IF('Cash Drivers'!CC$26,Engineering!CB13,Engineering!CD13)</f>
        <v>2000</v>
      </c>
      <c r="CD13" s="90" t="n">
        <v>2000</v>
      </c>
      <c r="CE13" s="13"/>
      <c r="CF13" s="13" t="n">
        <f aca="false">IF('Cash Drivers'!CF$26,Engineering!CE13,Engineering!CG13)</f>
        <v>2000</v>
      </c>
      <c r="CG13" s="89" t="n">
        <v>2000</v>
      </c>
      <c r="CH13" s="12"/>
      <c r="CI13" s="12" t="n">
        <f aca="false">IF('Cash Drivers'!CI$26,Engineering!CH13,Engineering!CJ13)</f>
        <v>2000</v>
      </c>
      <c r="CJ13" s="90" t="n">
        <v>2000</v>
      </c>
      <c r="CK13" s="13"/>
      <c r="CL13" s="13" t="n">
        <f aca="false">IF('Cash Drivers'!CL$26,Engineering!CK13,Engineering!CM13)</f>
        <v>2000</v>
      </c>
      <c r="CM13" s="89" t="n">
        <v>2000</v>
      </c>
      <c r="CN13" s="12"/>
      <c r="CO13" s="12" t="n">
        <f aca="false">IF('Cash Drivers'!CO$26,Engineering!CN13,Engineering!CP13)</f>
        <v>2000</v>
      </c>
      <c r="CP13" s="90" t="n">
        <v>2000</v>
      </c>
      <c r="CQ13" s="13"/>
      <c r="CR13" s="13" t="n">
        <f aca="false">IF('Cash Drivers'!CR$26,Engineering!CQ13,Engineering!CS13)</f>
        <v>2000</v>
      </c>
      <c r="CS13" s="89" t="n">
        <v>2000</v>
      </c>
      <c r="CT13" s="12"/>
      <c r="CU13" s="12" t="n">
        <f aca="false">IF('Cash Drivers'!CU$26,Engineering!CT13,Engineering!CV13)</f>
        <v>2000</v>
      </c>
      <c r="CV13" s="90" t="n">
        <v>2000</v>
      </c>
      <c r="CW13" s="13"/>
      <c r="CX13" s="13" t="n">
        <f aca="false">IF('Cash Drivers'!CX$26,Engineering!CW13,Engineering!CY13)</f>
        <v>2000</v>
      </c>
      <c r="CY13" s="89" t="n">
        <v>2000</v>
      </c>
      <c r="CZ13" s="12"/>
      <c r="DA13" s="12" t="n">
        <f aca="false">IF('Cash Drivers'!DA$26,Engineering!CZ13,Engineering!DB13)</f>
        <v>2000</v>
      </c>
      <c r="DB13" s="90" t="n">
        <v>2000</v>
      </c>
      <c r="DC13" s="13"/>
      <c r="DD13" s="13" t="n">
        <f aca="false">IF('Cash Drivers'!DD$26,Engineering!DC13,Engineering!DE13)</f>
        <v>2000</v>
      </c>
      <c r="DE13" s="89" t="n">
        <v>2000</v>
      </c>
      <c r="DF13" s="12"/>
      <c r="DG13" s="12" t="n">
        <f aca="false">IF('Cash Drivers'!DG$26,Engineering!DF13,Engineering!DH13)</f>
        <v>2000</v>
      </c>
      <c r="DH13" s="90" t="n">
        <v>2000</v>
      </c>
      <c r="DI13" s="89" t="n">
        <v>2000</v>
      </c>
      <c r="DJ13" s="13" t="n">
        <f aca="false">IF('Cash Drivers'!DJ$26,Engineering!DI13,Engineering!DK13)</f>
        <v>2000</v>
      </c>
      <c r="DK13" s="89" t="n">
        <v>2000</v>
      </c>
      <c r="DL13" s="90" t="n">
        <v>2000</v>
      </c>
      <c r="DM13" s="12" t="n">
        <f aca="false">IF('Cash Drivers'!DM$26,Engineering!DL13,Engineering!DN13)</f>
        <v>2000</v>
      </c>
      <c r="DN13" s="90" t="n">
        <v>2000</v>
      </c>
    </row>
    <row r="14" customFormat="false" ht="15" hidden="false" customHeight="false" outlineLevel="0" collapsed="false">
      <c r="A14" s="5" t="s">
        <v>160</v>
      </c>
      <c r="B14" s="12" t="str">
        <f aca="false">IF(COUNT(AR14,AO14,AL14,AI14,AF14,AC14,Z14,W14,T14,Q14,N14,K14)=0,"",SUM(AR14,AO14,AL14,AI14,AF14,AC14,Z14,W14,T14,Q14,N14,K14))</f>
        <v/>
      </c>
      <c r="C14" s="12" t="n">
        <f aca="false">IF(COUNT(AS14,AP14,AM14,AJ14,AG14,AD14,AA14,X14,U14,R14,O14,L14)=0,"",SUM(AS14,AP14,AM14,AJ14,AG14,AD14,AA14,X14,U14,R14,O14,L14))</f>
        <v>598620</v>
      </c>
      <c r="D14" s="12" t="n">
        <f aca="false">IF(COUNT(AT14,AQ14,AN14,AK14,AH14,AE14,AB14,Y14,V14,S14,P14,M14)=0,"",SUM(AT14,AQ14,AN14,AK14,AH14,AE14,AB14,Y14,V14,S14,P14,M14))</f>
        <v>598620</v>
      </c>
      <c r="E14" s="13" t="str">
        <f aca="false">IF(COUNT(CB14,BY14,BV14,BS14,BP14,BM14,BJ14,BG14,BD14,BA14,AX14,AU14)=0,"",SUM(CB14,BY14,BV14,BS14,BP14,BM14,BJ14,BG14,BD14,BA14,AX14,AU14))</f>
        <v/>
      </c>
      <c r="F14" s="13" t="n">
        <f aca="false">IF(COUNT(CC14,BZ14,BW14,BT14,BQ14,BN14,BK14,BH14,BE14,BB14,AY14,AV14)=0,"",SUM(CC14,BZ14,BW14,BT14,BQ14,BN14,BK14,BH14,BE14,BB14,AY14,AV14))</f>
        <v>460020</v>
      </c>
      <c r="G14" s="13" t="n">
        <f aca="false">IF(COUNT(CD14,CA14,BX14,BU14,BR14,BO14,BL14,BI14,BF14,BC14,AZ14,AW14)=0,"",SUM(CD14,CA14,BX14,BU14,BR14,BO14,BL14,BI14,BF14,BC14,AZ14,AW14))</f>
        <v>460020</v>
      </c>
      <c r="H14" s="12" t="n">
        <f aca="false">IF(COUNT(DL14,DI14,DF14,DC14,CZ14,CW14,CT14,CQ14,CN14,CK14,CH14,CE14)=0,"",SUM(DL14,DI14,DF14,DC14,CZ14,CW14,CT14,CQ14,CN14,CK14,CH14,CE14))</f>
        <v>63800</v>
      </c>
      <c r="I14" s="12" t="n">
        <f aca="false">IF(COUNT(DM14,DJ14,DG14,DD14,DA14,CX14,CU14,CR14,CO14,CL14,CI14,CF14)=0,"",SUM(DM14,DJ14,DG14,DD14,DA14,CX14,CU14,CR14,CO14,CL14,CI14,CF14))</f>
        <v>382800</v>
      </c>
      <c r="J14" s="12" t="n">
        <f aca="false">IF(COUNT(DN14,DK14,DH14,DE14,DB14,CY14,CV14,CS14,CP14,CM14,CJ14,CG14)=0,"",SUM(DN14,DK14,DH14,DE14,DB14,CY14,CV14,CS14,CP14,CM14,CJ14,CG14))</f>
        <v>382800</v>
      </c>
      <c r="K14" s="13" t="str">
        <f aca="false">IF(COUNT(K12)=1,K12*0.22,"")</f>
        <v/>
      </c>
      <c r="L14" s="13" t="n">
        <f aca="false">L12*0.22</f>
        <v>50160</v>
      </c>
      <c r="M14" s="13" t="n">
        <f aca="false">M12*0.22</f>
        <v>50160</v>
      </c>
      <c r="N14" s="12" t="str">
        <f aca="false">IF(COUNT(N12)=1,N12*0.22,"")</f>
        <v/>
      </c>
      <c r="O14" s="12" t="n">
        <f aca="false">O12*0.22</f>
        <v>50160</v>
      </c>
      <c r="P14" s="12" t="n">
        <f aca="false">P12*0.22</f>
        <v>50160</v>
      </c>
      <c r="Q14" s="13" t="str">
        <f aca="false">IF(COUNT(Q12)=1,Q12*0.22,"")</f>
        <v/>
      </c>
      <c r="R14" s="13" t="n">
        <f aca="false">R12*0.22</f>
        <v>50160</v>
      </c>
      <c r="S14" s="13" t="n">
        <f aca="false">S12*0.22</f>
        <v>50160</v>
      </c>
      <c r="T14" s="12" t="str">
        <f aca="false">IF(COUNT(T12)=1,T12*0.22,"")</f>
        <v/>
      </c>
      <c r="U14" s="12" t="n">
        <f aca="false">U12*0.22</f>
        <v>50160</v>
      </c>
      <c r="V14" s="12" t="n">
        <f aca="false">V12*0.22</f>
        <v>50160</v>
      </c>
      <c r="W14" s="13" t="str">
        <f aca="false">IF(COUNT(W12)=1,W12*0.22,"")</f>
        <v/>
      </c>
      <c r="X14" s="13" t="n">
        <f aca="false">X12*0.22</f>
        <v>50160</v>
      </c>
      <c r="Y14" s="13" t="n">
        <f aca="false">Y12*0.22</f>
        <v>50160</v>
      </c>
      <c r="Z14" s="12" t="str">
        <f aca="false">IF(COUNT(Z12)=1,Z12*0.22,"")</f>
        <v/>
      </c>
      <c r="AA14" s="12" t="n">
        <f aca="false">AA12*0.22</f>
        <v>50160</v>
      </c>
      <c r="AB14" s="12" t="n">
        <f aca="false">AB12*0.22</f>
        <v>50160</v>
      </c>
      <c r="AC14" s="13" t="str">
        <f aca="false">IF(COUNT(AC12)=1,AC12*0.22,"")</f>
        <v/>
      </c>
      <c r="AD14" s="13" t="n">
        <f aca="false">AD12*0.22</f>
        <v>50160</v>
      </c>
      <c r="AE14" s="13" t="n">
        <f aca="false">AE12*0.22</f>
        <v>50160</v>
      </c>
      <c r="AF14" s="12" t="str">
        <f aca="false">IF(COUNT(AF12)=1,AF12*0.22,"")</f>
        <v/>
      </c>
      <c r="AG14" s="12" t="n">
        <f aca="false">AG12*0.22</f>
        <v>50160</v>
      </c>
      <c r="AH14" s="12" t="n">
        <f aca="false">AH12*0.22</f>
        <v>50160</v>
      </c>
      <c r="AI14" s="13" t="str">
        <f aca="false">IF(COUNT(AI12)=1,AI12*0.22,"")</f>
        <v/>
      </c>
      <c r="AJ14" s="13" t="n">
        <f aca="false">AJ12*0.22</f>
        <v>50160</v>
      </c>
      <c r="AK14" s="13" t="n">
        <f aca="false">AK12*0.22</f>
        <v>50160</v>
      </c>
      <c r="AL14" s="12" t="str">
        <f aca="false">IF(COUNT(AL12)=1,AL12*0.22,"")</f>
        <v/>
      </c>
      <c r="AM14" s="12" t="n">
        <f aca="false">AM12*0.22</f>
        <v>50160</v>
      </c>
      <c r="AN14" s="12" t="n">
        <f aca="false">AN12*0.22</f>
        <v>50160</v>
      </c>
      <c r="AO14" s="13" t="str">
        <f aca="false">IF(COUNT(AO12)=1,AO12*0.22,"")</f>
        <v/>
      </c>
      <c r="AP14" s="13" t="n">
        <f aca="false">AP12*0.22</f>
        <v>50160</v>
      </c>
      <c r="AQ14" s="13" t="n">
        <f aca="false">AQ12*0.22</f>
        <v>50160</v>
      </c>
      <c r="AR14" s="12" t="str">
        <f aca="false">IF(COUNT(AR12)=1,AR12*0.22,"")</f>
        <v/>
      </c>
      <c r="AS14" s="12" t="n">
        <f aca="false">AS12*0.22</f>
        <v>46860</v>
      </c>
      <c r="AT14" s="12" t="n">
        <f aca="false">AT12*0.22</f>
        <v>46860</v>
      </c>
      <c r="AU14" s="13" t="str">
        <f aca="false">IF(COUNT(AU12)=1,AU12*0.22,"")</f>
        <v/>
      </c>
      <c r="AV14" s="13" t="n">
        <f aca="false">AV12*0.22</f>
        <v>44220</v>
      </c>
      <c r="AW14" s="13" t="n">
        <f aca="false">AW12*0.22</f>
        <v>44220</v>
      </c>
      <c r="AX14" s="12" t="str">
        <f aca="false">IF(COUNT(AX12)=1,AX12*0.22,"")</f>
        <v/>
      </c>
      <c r="AY14" s="12" t="n">
        <f aca="false">AY12*0.22</f>
        <v>44220</v>
      </c>
      <c r="AZ14" s="12" t="n">
        <f aca="false">AZ12*0.22</f>
        <v>44220</v>
      </c>
      <c r="BA14" s="13" t="str">
        <f aca="false">IF(COUNT(BA12)=1,BA12*0.22,"")</f>
        <v/>
      </c>
      <c r="BB14" s="13" t="n">
        <f aca="false">BB12*0.22</f>
        <v>40920</v>
      </c>
      <c r="BC14" s="13" t="n">
        <f aca="false">BC12*0.22</f>
        <v>40920</v>
      </c>
      <c r="BD14" s="12" t="str">
        <f aca="false">IF(COUNT(BD12)=1,BD12*0.22,"")</f>
        <v/>
      </c>
      <c r="BE14" s="12" t="n">
        <f aca="false">BE12*0.22</f>
        <v>40920</v>
      </c>
      <c r="BF14" s="12" t="n">
        <f aca="false">BF12*0.22</f>
        <v>40920</v>
      </c>
      <c r="BG14" s="13" t="str">
        <f aca="false">IF(COUNT(BG12)=1,BG12*0.22,"")</f>
        <v/>
      </c>
      <c r="BH14" s="13" t="n">
        <f aca="false">BH12*0.22</f>
        <v>40920</v>
      </c>
      <c r="BI14" s="13" t="n">
        <f aca="false">BI12*0.22</f>
        <v>40920</v>
      </c>
      <c r="BJ14" s="12" t="str">
        <f aca="false">IF(COUNT(BJ12)=1,BJ12*0.22,"")</f>
        <v/>
      </c>
      <c r="BK14" s="12" t="n">
        <f aca="false">BK12*0.22</f>
        <v>38060</v>
      </c>
      <c r="BL14" s="12" t="n">
        <f aca="false">BL12*0.22</f>
        <v>38060</v>
      </c>
      <c r="BM14" s="13" t="str">
        <f aca="false">IF(COUNT(BM12)=1,BM12*0.22,"")</f>
        <v/>
      </c>
      <c r="BN14" s="13" t="n">
        <f aca="false">BN12*0.22</f>
        <v>38060</v>
      </c>
      <c r="BO14" s="13" t="n">
        <f aca="false">BO12*0.22</f>
        <v>38060</v>
      </c>
      <c r="BP14" s="12" t="str">
        <f aca="false">IF(COUNT(BP12)=1,BP12*0.22,"")</f>
        <v/>
      </c>
      <c r="BQ14" s="12" t="n">
        <f aca="false">BQ12*0.22</f>
        <v>35200</v>
      </c>
      <c r="BR14" s="12" t="n">
        <f aca="false">BR12*0.22</f>
        <v>35200</v>
      </c>
      <c r="BS14" s="13" t="str">
        <f aca="false">IF(COUNT(BS12)=1,BS12*0.22,"")</f>
        <v/>
      </c>
      <c r="BT14" s="13" t="n">
        <f aca="false">BT12*0.22</f>
        <v>35200</v>
      </c>
      <c r="BU14" s="13" t="n">
        <f aca="false">BU12*0.22</f>
        <v>35200</v>
      </c>
      <c r="BV14" s="12" t="str">
        <f aca="false">IF(COUNT(BV12)=1,BV12*0.22,"")</f>
        <v/>
      </c>
      <c r="BW14" s="12" t="n">
        <f aca="false">BW12*0.22</f>
        <v>35200</v>
      </c>
      <c r="BX14" s="12" t="n">
        <f aca="false">BX12*0.22</f>
        <v>35200</v>
      </c>
      <c r="BY14" s="13" t="str">
        <f aca="false">IF(COUNT(BY12)=1,BY12*0.22,"")</f>
        <v/>
      </c>
      <c r="BZ14" s="13" t="n">
        <f aca="false">BZ12*0.22</f>
        <v>35200</v>
      </c>
      <c r="CA14" s="13" t="n">
        <f aca="false">CA12*0.22</f>
        <v>35200</v>
      </c>
      <c r="CB14" s="12" t="str">
        <f aca="false">IF(COUNT(CB12)=1,CB12*0.22,"")</f>
        <v/>
      </c>
      <c r="CC14" s="12" t="n">
        <f aca="false">CC12*0.22</f>
        <v>31900</v>
      </c>
      <c r="CD14" s="12" t="n">
        <f aca="false">CD12*0.22</f>
        <v>31900</v>
      </c>
      <c r="CE14" s="13" t="str">
        <f aca="false">IF(COUNT(CE12)=1,CE12*0.22,"")</f>
        <v/>
      </c>
      <c r="CF14" s="13" t="n">
        <f aca="false">CF12*0.22</f>
        <v>31900</v>
      </c>
      <c r="CG14" s="13" t="n">
        <f aca="false">CG12*0.22</f>
        <v>31900</v>
      </c>
      <c r="CH14" s="12" t="str">
        <f aca="false">IF(COUNT(CH12)=1,CH12*0.22,"")</f>
        <v/>
      </c>
      <c r="CI14" s="12" t="n">
        <f aca="false">CI12*0.22</f>
        <v>31900</v>
      </c>
      <c r="CJ14" s="12" t="n">
        <f aca="false">CJ12*0.22</f>
        <v>31900</v>
      </c>
      <c r="CK14" s="13" t="str">
        <f aca="false">IF(COUNT(CK12)=1,CK12*0.22,"")</f>
        <v/>
      </c>
      <c r="CL14" s="13" t="n">
        <f aca="false">CL12*0.22</f>
        <v>31900</v>
      </c>
      <c r="CM14" s="13" t="n">
        <f aca="false">CM12*0.22</f>
        <v>31900</v>
      </c>
      <c r="CN14" s="12" t="str">
        <f aca="false">IF(COUNT(CN12)=1,CN12*0.22,"")</f>
        <v/>
      </c>
      <c r="CO14" s="12" t="n">
        <f aca="false">CO12*0.22</f>
        <v>31900</v>
      </c>
      <c r="CP14" s="12" t="n">
        <f aca="false">CP12*0.22</f>
        <v>31900</v>
      </c>
      <c r="CQ14" s="13" t="str">
        <f aca="false">IF(COUNT(CQ12)=1,CQ12*0.22,"")</f>
        <v/>
      </c>
      <c r="CR14" s="13" t="n">
        <f aca="false">CR12*0.22</f>
        <v>31900</v>
      </c>
      <c r="CS14" s="13" t="n">
        <f aca="false">CS12*0.22</f>
        <v>31900</v>
      </c>
      <c r="CT14" s="12" t="str">
        <f aca="false">IF(COUNT(CT12)=1,CT12*0.22,"")</f>
        <v/>
      </c>
      <c r="CU14" s="12" t="n">
        <f aca="false">CU12*0.22</f>
        <v>31900</v>
      </c>
      <c r="CV14" s="12" t="n">
        <f aca="false">CV12*0.22</f>
        <v>31900</v>
      </c>
      <c r="CW14" s="13" t="str">
        <f aca="false">IF(COUNT(CW12)=1,CW12*0.22,"")</f>
        <v/>
      </c>
      <c r="CX14" s="13" t="n">
        <f aca="false">CX12*0.22</f>
        <v>31900</v>
      </c>
      <c r="CY14" s="13" t="n">
        <f aca="false">CY12*0.22</f>
        <v>31900</v>
      </c>
      <c r="CZ14" s="12" t="str">
        <f aca="false">IF(COUNT(CZ12)=1,CZ12*0.22,"")</f>
        <v/>
      </c>
      <c r="DA14" s="12" t="n">
        <f aca="false">DA12*0.22</f>
        <v>31900</v>
      </c>
      <c r="DB14" s="12" t="n">
        <f aca="false">DB12*0.22</f>
        <v>31900</v>
      </c>
      <c r="DC14" s="13" t="str">
        <f aca="false">IF(COUNT(DC12)=1,DC12*0.22,"")</f>
        <v/>
      </c>
      <c r="DD14" s="13" t="n">
        <f aca="false">DD12*0.22</f>
        <v>31900</v>
      </c>
      <c r="DE14" s="13" t="n">
        <f aca="false">DE12*0.22</f>
        <v>31900</v>
      </c>
      <c r="DF14" s="12" t="str">
        <f aca="false">IF(COUNT(DF12)=1,DF12*0.22,"")</f>
        <v/>
      </c>
      <c r="DG14" s="12" t="n">
        <f aca="false">DG12*0.22</f>
        <v>31900</v>
      </c>
      <c r="DH14" s="12" t="n">
        <f aca="false">DH12*0.22</f>
        <v>31900</v>
      </c>
      <c r="DI14" s="13" t="n">
        <f aca="false">IF(COUNT(DI12)=1,DI12*0.22,"")</f>
        <v>31900</v>
      </c>
      <c r="DJ14" s="13" t="n">
        <f aca="false">DJ12*0.22</f>
        <v>31900</v>
      </c>
      <c r="DK14" s="13" t="n">
        <f aca="false">DK12*0.22</f>
        <v>31900</v>
      </c>
      <c r="DL14" s="12" t="n">
        <f aca="false">IF(COUNT(DL12)=1,DL12*0.22,"")</f>
        <v>31900</v>
      </c>
      <c r="DM14" s="12" t="n">
        <f aca="false">DM12*0.22</f>
        <v>31900</v>
      </c>
      <c r="DN14" s="12" t="n">
        <f aca="false">DN12*0.22</f>
        <v>31900</v>
      </c>
    </row>
    <row r="15" customFormat="false" ht="15" hidden="false" customHeight="false" outlineLevel="0" collapsed="false">
      <c r="A15" s="5" t="s">
        <v>161</v>
      </c>
      <c r="B15" s="12" t="str">
        <f aca="false">IF(COUNT(AR15,AO15,AL15,AI15,AF15,AC15,Z15,W15,T15,Q15,N15,K15)=0,"",SUM(AR15,AO15,AL15,AI15,AF15,AC15,Z15,W15,T15,Q15,N15,K15))</f>
        <v/>
      </c>
      <c r="C15" s="12" t="n">
        <f aca="false">IF(COUNT(AS15,AP15,AM15,AJ15,AG15,AD15,AA15,X15,U15,R15,O15,L15)=0,"",SUM(AS15,AP15,AM15,AJ15,AG15,AD15,AA15,X15,U15,R15,O15,L15))</f>
        <v>36000</v>
      </c>
      <c r="D15" s="12" t="n">
        <f aca="false">IF(COUNT(AT15,AQ15,AN15,AK15,AH15,AE15,AB15,Y15,V15,S15,P15,M15)=0,"",SUM(AT15,AQ15,AN15,AK15,AH15,AE15,AB15,Y15,V15,S15,P15,M15))</f>
        <v>36000</v>
      </c>
      <c r="E15" s="13" t="str">
        <f aca="false">IF(COUNT(CB15,BY15,BV15,BS15,BP15,BM15,BJ15,BG15,BD15,BA15,AX15,AU15)=0,"",SUM(CB15,BY15,BV15,BS15,BP15,BM15,BJ15,BG15,BD15,BA15,AX15,AU15))</f>
        <v/>
      </c>
      <c r="F15" s="13" t="n">
        <f aca="false">IF(COUNT(CC15,BZ15,BW15,BT15,BQ15,BN15,BK15,BH15,BE15,BB15,AY15,AV15)=0,"",SUM(CC15,BZ15,BW15,BT15,BQ15,BN15,BK15,BH15,BE15,BB15,AY15,AV15))</f>
        <v>36000</v>
      </c>
      <c r="G15" s="13" t="n">
        <f aca="false">IF(COUNT(CD15,CA15,BX15,BU15,BR15,BO15,BL15,BI15,BF15,BC15,AZ15,AW15)=0,"",SUM(CD15,CA15,BX15,BU15,BR15,BO15,BL15,BI15,BF15,BC15,AZ15,AW15))</f>
        <v>36000</v>
      </c>
      <c r="H15" s="12" t="n">
        <f aca="false">IF(COUNT(DL15,DI15,DF15,DC15,CZ15,CW15,CT15,CQ15,CN15,CK15,CH15,CE15)=0,"",SUM(DL15,DI15,DF15,DC15,CZ15,CW15,CT15,CQ15,CN15,CK15,CH15,CE15))</f>
        <v>6000</v>
      </c>
      <c r="I15" s="12" t="n">
        <f aca="false">IF(COUNT(DM15,DJ15,DG15,DD15,DA15,CX15,CU15,CR15,CO15,CL15,CI15,CF15)=0,"",SUM(DM15,DJ15,DG15,DD15,DA15,CX15,CU15,CR15,CO15,CL15,CI15,CF15))</f>
        <v>36000</v>
      </c>
      <c r="J15" s="12" t="n">
        <f aca="false">IF(COUNT(DN15,DK15,DH15,DE15,DB15,CY15,CV15,CS15,CP15,CM15,CJ15,CG15)=0,"",SUM(DN15,DK15,DH15,DE15,DB15,CY15,CV15,CS15,CP15,CM15,CJ15,CG15))</f>
        <v>36000</v>
      </c>
      <c r="K15" s="13"/>
      <c r="L15" s="13" t="n">
        <f aca="false">IF('Cash Drivers'!L$26,Engineering!K15,Engineering!M15)</f>
        <v>3000</v>
      </c>
      <c r="M15" s="89" t="n">
        <v>3000</v>
      </c>
      <c r="N15" s="12"/>
      <c r="O15" s="12" t="n">
        <f aca="false">IF('Cash Drivers'!O$26,Engineering!N15,Engineering!P15)</f>
        <v>3000</v>
      </c>
      <c r="P15" s="90" t="n">
        <v>3000</v>
      </c>
      <c r="Q15" s="13"/>
      <c r="R15" s="13" t="n">
        <f aca="false">IF('Cash Drivers'!R$26,Engineering!Q15,Engineering!S15)</f>
        <v>3000</v>
      </c>
      <c r="S15" s="89" t="n">
        <v>3000</v>
      </c>
      <c r="T15" s="12"/>
      <c r="U15" s="12" t="n">
        <f aca="false">IF('Cash Drivers'!U$26,Engineering!T15,Engineering!V15)</f>
        <v>3000</v>
      </c>
      <c r="V15" s="90" t="n">
        <v>3000</v>
      </c>
      <c r="W15" s="13"/>
      <c r="X15" s="13" t="n">
        <f aca="false">IF('Cash Drivers'!X$26,Engineering!W15,Engineering!Y15)</f>
        <v>3000</v>
      </c>
      <c r="Y15" s="89" t="n">
        <v>3000</v>
      </c>
      <c r="Z15" s="12"/>
      <c r="AA15" s="12" t="n">
        <f aca="false">IF('Cash Drivers'!AA$26,Engineering!Z15,Engineering!AB15)</f>
        <v>3000</v>
      </c>
      <c r="AB15" s="90" t="n">
        <v>3000</v>
      </c>
      <c r="AC15" s="13"/>
      <c r="AD15" s="13" t="n">
        <f aca="false">IF('Cash Drivers'!AD$26,Engineering!AC15,Engineering!AE15)</f>
        <v>3000</v>
      </c>
      <c r="AE15" s="89" t="n">
        <v>3000</v>
      </c>
      <c r="AF15" s="12"/>
      <c r="AG15" s="12" t="n">
        <f aca="false">IF('Cash Drivers'!AG$26,Engineering!AF15,Engineering!AH15)</f>
        <v>3000</v>
      </c>
      <c r="AH15" s="90" t="n">
        <v>3000</v>
      </c>
      <c r="AI15" s="13"/>
      <c r="AJ15" s="13" t="n">
        <f aca="false">IF('Cash Drivers'!AJ$26,Engineering!AI15,Engineering!AK15)</f>
        <v>3000</v>
      </c>
      <c r="AK15" s="89" t="n">
        <v>3000</v>
      </c>
      <c r="AL15" s="12"/>
      <c r="AM15" s="12" t="n">
        <f aca="false">IF('Cash Drivers'!AM$26,Engineering!AL15,Engineering!AN15)</f>
        <v>3000</v>
      </c>
      <c r="AN15" s="90" t="n">
        <v>3000</v>
      </c>
      <c r="AO15" s="13"/>
      <c r="AP15" s="13" t="n">
        <f aca="false">IF('Cash Drivers'!AP$26,Engineering!AO15,Engineering!AQ15)</f>
        <v>3000</v>
      </c>
      <c r="AQ15" s="89" t="n">
        <v>3000</v>
      </c>
      <c r="AR15" s="12"/>
      <c r="AS15" s="12" t="n">
        <f aca="false">IF('Cash Drivers'!AS$26,Engineering!AR15,Engineering!AT15)</f>
        <v>3000</v>
      </c>
      <c r="AT15" s="90" t="n">
        <v>3000</v>
      </c>
      <c r="AU15" s="13"/>
      <c r="AV15" s="13" t="n">
        <f aca="false">IF('Cash Drivers'!AV$26,Engineering!AU15,Engineering!AW15)</f>
        <v>3000</v>
      </c>
      <c r="AW15" s="89" t="n">
        <v>3000</v>
      </c>
      <c r="AX15" s="12"/>
      <c r="AY15" s="12" t="n">
        <f aca="false">IF('Cash Drivers'!AY$26,Engineering!AX15,Engineering!AZ15)</f>
        <v>3000</v>
      </c>
      <c r="AZ15" s="90" t="n">
        <v>3000</v>
      </c>
      <c r="BA15" s="13"/>
      <c r="BB15" s="13" t="n">
        <f aca="false">IF('Cash Drivers'!BB$26,Engineering!BA15,Engineering!BC15)</f>
        <v>3000</v>
      </c>
      <c r="BC15" s="89" t="n">
        <v>3000</v>
      </c>
      <c r="BD15" s="12"/>
      <c r="BE15" s="12" t="n">
        <f aca="false">IF('Cash Drivers'!BE$26,Engineering!BD15,Engineering!BF15)</f>
        <v>3000</v>
      </c>
      <c r="BF15" s="90" t="n">
        <v>3000</v>
      </c>
      <c r="BG15" s="13"/>
      <c r="BH15" s="13" t="n">
        <f aca="false">IF('Cash Drivers'!BH$26,Engineering!BG15,Engineering!BI15)</f>
        <v>3000</v>
      </c>
      <c r="BI15" s="89" t="n">
        <v>3000</v>
      </c>
      <c r="BJ15" s="12"/>
      <c r="BK15" s="12" t="n">
        <f aca="false">IF('Cash Drivers'!BK$26,Engineering!BJ15,Engineering!BL15)</f>
        <v>3000</v>
      </c>
      <c r="BL15" s="90" t="n">
        <v>3000</v>
      </c>
      <c r="BM15" s="13"/>
      <c r="BN15" s="13" t="n">
        <f aca="false">IF('Cash Drivers'!BN$26,Engineering!BM15,Engineering!BO15)</f>
        <v>3000</v>
      </c>
      <c r="BO15" s="89" t="n">
        <v>3000</v>
      </c>
      <c r="BP15" s="12"/>
      <c r="BQ15" s="12" t="n">
        <f aca="false">IF('Cash Drivers'!BQ$26,Engineering!BP15,Engineering!BR15)</f>
        <v>3000</v>
      </c>
      <c r="BR15" s="90" t="n">
        <v>3000</v>
      </c>
      <c r="BS15" s="13"/>
      <c r="BT15" s="13" t="n">
        <f aca="false">IF('Cash Drivers'!BT$26,Engineering!BS15,Engineering!BU15)</f>
        <v>3000</v>
      </c>
      <c r="BU15" s="89" t="n">
        <v>3000</v>
      </c>
      <c r="BV15" s="12"/>
      <c r="BW15" s="12" t="n">
        <f aca="false">IF('Cash Drivers'!BW$26,Engineering!BV15,Engineering!BX15)</f>
        <v>3000</v>
      </c>
      <c r="BX15" s="90" t="n">
        <v>3000</v>
      </c>
      <c r="BY15" s="13"/>
      <c r="BZ15" s="13" t="n">
        <f aca="false">IF('Cash Drivers'!BZ$26,Engineering!BY15,Engineering!CA15)</f>
        <v>3000</v>
      </c>
      <c r="CA15" s="89" t="n">
        <v>3000</v>
      </c>
      <c r="CB15" s="12"/>
      <c r="CC15" s="12" t="n">
        <f aca="false">IF('Cash Drivers'!CC$26,Engineering!CB15,Engineering!CD15)</f>
        <v>3000</v>
      </c>
      <c r="CD15" s="90" t="n">
        <v>3000</v>
      </c>
      <c r="CE15" s="13"/>
      <c r="CF15" s="13" t="n">
        <f aca="false">IF('Cash Drivers'!CF$26,Engineering!CE15,Engineering!CG15)</f>
        <v>3000</v>
      </c>
      <c r="CG15" s="89" t="n">
        <v>3000</v>
      </c>
      <c r="CH15" s="12"/>
      <c r="CI15" s="12" t="n">
        <f aca="false">IF('Cash Drivers'!CI$26,Engineering!CH15,Engineering!CJ15)</f>
        <v>3000</v>
      </c>
      <c r="CJ15" s="90" t="n">
        <v>3000</v>
      </c>
      <c r="CK15" s="13"/>
      <c r="CL15" s="13" t="n">
        <f aca="false">IF('Cash Drivers'!CL$26,Engineering!CK15,Engineering!CM15)</f>
        <v>3000</v>
      </c>
      <c r="CM15" s="89" t="n">
        <v>3000</v>
      </c>
      <c r="CN15" s="12"/>
      <c r="CO15" s="12" t="n">
        <f aca="false">IF('Cash Drivers'!CO$26,Engineering!CN15,Engineering!CP15)</f>
        <v>3000</v>
      </c>
      <c r="CP15" s="90" t="n">
        <v>3000</v>
      </c>
      <c r="CQ15" s="13"/>
      <c r="CR15" s="13" t="n">
        <f aca="false">IF('Cash Drivers'!CR$26,Engineering!CQ15,Engineering!CS15)</f>
        <v>3000</v>
      </c>
      <c r="CS15" s="89" t="n">
        <v>3000</v>
      </c>
      <c r="CT15" s="12"/>
      <c r="CU15" s="12" t="n">
        <f aca="false">IF('Cash Drivers'!CU$26,Engineering!CT15,Engineering!CV15)</f>
        <v>3000</v>
      </c>
      <c r="CV15" s="90" t="n">
        <v>3000</v>
      </c>
      <c r="CW15" s="13"/>
      <c r="CX15" s="13" t="n">
        <f aca="false">IF('Cash Drivers'!CX$26,Engineering!CW15,Engineering!CY15)</f>
        <v>3000</v>
      </c>
      <c r="CY15" s="89" t="n">
        <v>3000</v>
      </c>
      <c r="CZ15" s="12"/>
      <c r="DA15" s="12" t="n">
        <f aca="false">IF('Cash Drivers'!DA$26,Engineering!CZ15,Engineering!DB15)</f>
        <v>3000</v>
      </c>
      <c r="DB15" s="90" t="n">
        <v>3000</v>
      </c>
      <c r="DC15" s="13"/>
      <c r="DD15" s="13" t="n">
        <f aca="false">IF('Cash Drivers'!DD$26,Engineering!DC15,Engineering!DE15)</f>
        <v>3000</v>
      </c>
      <c r="DE15" s="89" t="n">
        <v>3000</v>
      </c>
      <c r="DF15" s="12"/>
      <c r="DG15" s="12" t="n">
        <f aca="false">IF('Cash Drivers'!DG$26,Engineering!DF15,Engineering!DH15)</f>
        <v>3000</v>
      </c>
      <c r="DH15" s="90" t="n">
        <v>3000</v>
      </c>
      <c r="DI15" s="89" t="n">
        <v>3000</v>
      </c>
      <c r="DJ15" s="13" t="n">
        <f aca="false">IF('Cash Drivers'!DJ$26,Engineering!DI15,Engineering!DK15)</f>
        <v>3000</v>
      </c>
      <c r="DK15" s="89" t="n">
        <v>3000</v>
      </c>
      <c r="DL15" s="90" t="n">
        <v>3000</v>
      </c>
      <c r="DM15" s="12" t="n">
        <f aca="false">IF('Cash Drivers'!DM$26,Engineering!DL15,Engineering!DN15)</f>
        <v>3000</v>
      </c>
      <c r="DN15" s="90" t="n">
        <v>3000</v>
      </c>
    </row>
    <row r="16" customFormat="false" ht="15" hidden="false" customHeight="false" outlineLevel="0" collapsed="false">
      <c r="A16" s="5" t="s">
        <v>162</v>
      </c>
      <c r="B16" s="12" t="str">
        <f aca="false">IF(COUNT(AR16,AO16,AL16,AI16,AF16,AC16,Z16,W16,T16,Q16,N16,K16)=0,"",SUM(AR16,AO16,AL16,AI16,AF16,AC16,Z16,W16,T16,Q16,N16,K16))</f>
        <v/>
      </c>
      <c r="C16" s="12" t="n">
        <f aca="false">IF(COUNT(AS16,AP16,AM16,AJ16,AG16,AD16,AA16,X16,U16,R16,O16,L16)=0,"",SUM(AS16,AP16,AM16,AJ16,AG16,AD16,AA16,X16,U16,R16,O16,L16))</f>
        <v>6000</v>
      </c>
      <c r="D16" s="12" t="n">
        <f aca="false">IF(COUNT(AT16,AQ16,AN16,AK16,AH16,AE16,AB16,Y16,V16,S16,P16,M16)=0,"",SUM(AT16,AQ16,AN16,AK16,AH16,AE16,AB16,Y16,V16,S16,P16,M16))</f>
        <v>6000</v>
      </c>
      <c r="E16" s="13" t="str">
        <f aca="false">IF(COUNT(CB16,BY16,BV16,BS16,BP16,BM16,BJ16,BG16,BD16,BA16,AX16,AU16)=0,"",SUM(CB16,BY16,BV16,BS16,BP16,BM16,BJ16,BG16,BD16,BA16,AX16,AU16))</f>
        <v/>
      </c>
      <c r="F16" s="13" t="n">
        <f aca="false">IF(COUNT(CC16,BZ16,BW16,BT16,BQ16,BN16,BK16,BH16,BE16,BB16,AY16,AV16)=0,"",SUM(CC16,BZ16,BW16,BT16,BQ16,BN16,BK16,BH16,BE16,BB16,AY16,AV16))</f>
        <v>6000</v>
      </c>
      <c r="G16" s="13" t="n">
        <f aca="false">IF(COUNT(CD16,CA16,BX16,BU16,BR16,BO16,BL16,BI16,BF16,BC16,AZ16,AW16)=0,"",SUM(CD16,CA16,BX16,BU16,BR16,BO16,BL16,BI16,BF16,BC16,AZ16,AW16))</f>
        <v>6000</v>
      </c>
      <c r="H16" s="12" t="n">
        <f aca="false">IF(COUNT(DL16,DI16,DF16,DC16,CZ16,CW16,CT16,CQ16,CN16,CK16,CH16,CE16)=0,"",SUM(DL16,DI16,DF16,DC16,CZ16,CW16,CT16,CQ16,CN16,CK16,CH16,CE16))</f>
        <v>1000</v>
      </c>
      <c r="I16" s="12" t="n">
        <f aca="false">IF(COUNT(DM16,DJ16,DG16,DD16,DA16,CX16,CU16,CR16,CO16,CL16,CI16,CF16)=0,"",SUM(DM16,DJ16,DG16,DD16,DA16,CX16,CU16,CR16,CO16,CL16,CI16,CF16))</f>
        <v>6000</v>
      </c>
      <c r="J16" s="12" t="n">
        <f aca="false">IF(COUNT(DN16,DK16,DH16,DE16,DB16,CY16,CV16,CS16,CP16,CM16,CJ16,CG16)=0,"",SUM(DN16,DK16,DH16,DE16,DB16,CY16,CV16,CS16,CP16,CM16,CJ16,CG16))</f>
        <v>6000</v>
      </c>
      <c r="K16" s="13"/>
      <c r="L16" s="13" t="n">
        <f aca="false">IF('Cash Drivers'!L$26,Engineering!K16,Engineering!M16)</f>
        <v>500</v>
      </c>
      <c r="M16" s="89" t="n">
        <v>500</v>
      </c>
      <c r="N16" s="12"/>
      <c r="O16" s="12" t="n">
        <f aca="false">IF('Cash Drivers'!O$26,Engineering!N16,Engineering!P16)</f>
        <v>500</v>
      </c>
      <c r="P16" s="90" t="n">
        <v>500</v>
      </c>
      <c r="Q16" s="13"/>
      <c r="R16" s="13" t="n">
        <f aca="false">IF('Cash Drivers'!R$26,Engineering!Q16,Engineering!S16)</f>
        <v>500</v>
      </c>
      <c r="S16" s="89" t="n">
        <v>500</v>
      </c>
      <c r="T16" s="12"/>
      <c r="U16" s="12" t="n">
        <f aca="false">IF('Cash Drivers'!U$26,Engineering!T16,Engineering!V16)</f>
        <v>500</v>
      </c>
      <c r="V16" s="90" t="n">
        <v>500</v>
      </c>
      <c r="W16" s="13"/>
      <c r="X16" s="13" t="n">
        <f aca="false">IF('Cash Drivers'!X$26,Engineering!W16,Engineering!Y16)</f>
        <v>500</v>
      </c>
      <c r="Y16" s="89" t="n">
        <v>500</v>
      </c>
      <c r="Z16" s="12"/>
      <c r="AA16" s="12" t="n">
        <f aca="false">IF('Cash Drivers'!AA$26,Engineering!Z16,Engineering!AB16)</f>
        <v>500</v>
      </c>
      <c r="AB16" s="90" t="n">
        <v>500</v>
      </c>
      <c r="AC16" s="13"/>
      <c r="AD16" s="13" t="n">
        <f aca="false">IF('Cash Drivers'!AD$26,Engineering!AC16,Engineering!AE16)</f>
        <v>500</v>
      </c>
      <c r="AE16" s="89" t="n">
        <v>500</v>
      </c>
      <c r="AF16" s="12"/>
      <c r="AG16" s="12" t="n">
        <f aca="false">IF('Cash Drivers'!AG$26,Engineering!AF16,Engineering!AH16)</f>
        <v>500</v>
      </c>
      <c r="AH16" s="90" t="n">
        <v>500</v>
      </c>
      <c r="AI16" s="13"/>
      <c r="AJ16" s="13" t="n">
        <f aca="false">IF('Cash Drivers'!AJ$26,Engineering!AI16,Engineering!AK16)</f>
        <v>500</v>
      </c>
      <c r="AK16" s="89" t="n">
        <v>500</v>
      </c>
      <c r="AL16" s="12"/>
      <c r="AM16" s="12" t="n">
        <f aca="false">IF('Cash Drivers'!AM$26,Engineering!AL16,Engineering!AN16)</f>
        <v>500</v>
      </c>
      <c r="AN16" s="90" t="n">
        <v>500</v>
      </c>
      <c r="AO16" s="13"/>
      <c r="AP16" s="13" t="n">
        <f aca="false">IF('Cash Drivers'!AP$26,Engineering!AO16,Engineering!AQ16)</f>
        <v>500</v>
      </c>
      <c r="AQ16" s="89" t="n">
        <v>500</v>
      </c>
      <c r="AR16" s="12"/>
      <c r="AS16" s="12" t="n">
        <f aca="false">IF('Cash Drivers'!AS$26,Engineering!AR16,Engineering!AT16)</f>
        <v>500</v>
      </c>
      <c r="AT16" s="90" t="n">
        <v>500</v>
      </c>
      <c r="AU16" s="13"/>
      <c r="AV16" s="13" t="n">
        <f aca="false">IF('Cash Drivers'!AV$26,Engineering!AU16,Engineering!AW16)</f>
        <v>500</v>
      </c>
      <c r="AW16" s="89" t="n">
        <v>500</v>
      </c>
      <c r="AX16" s="12"/>
      <c r="AY16" s="12" t="n">
        <f aca="false">IF('Cash Drivers'!AY$26,Engineering!AX16,Engineering!AZ16)</f>
        <v>500</v>
      </c>
      <c r="AZ16" s="90" t="n">
        <v>500</v>
      </c>
      <c r="BA16" s="13"/>
      <c r="BB16" s="13" t="n">
        <f aca="false">IF('Cash Drivers'!BB$26,Engineering!BA16,Engineering!BC16)</f>
        <v>500</v>
      </c>
      <c r="BC16" s="89" t="n">
        <v>500</v>
      </c>
      <c r="BD16" s="12"/>
      <c r="BE16" s="12" t="n">
        <f aca="false">IF('Cash Drivers'!BE$26,Engineering!BD16,Engineering!BF16)</f>
        <v>500</v>
      </c>
      <c r="BF16" s="90" t="n">
        <v>500</v>
      </c>
      <c r="BG16" s="13"/>
      <c r="BH16" s="13" t="n">
        <f aca="false">IF('Cash Drivers'!BH$26,Engineering!BG16,Engineering!BI16)</f>
        <v>500</v>
      </c>
      <c r="BI16" s="89" t="n">
        <v>500</v>
      </c>
      <c r="BJ16" s="12"/>
      <c r="BK16" s="12" t="n">
        <f aca="false">IF('Cash Drivers'!BK$26,Engineering!BJ16,Engineering!BL16)</f>
        <v>500</v>
      </c>
      <c r="BL16" s="90" t="n">
        <v>500</v>
      </c>
      <c r="BM16" s="13"/>
      <c r="BN16" s="13" t="n">
        <f aca="false">IF('Cash Drivers'!BN$26,Engineering!BM16,Engineering!BO16)</f>
        <v>500</v>
      </c>
      <c r="BO16" s="89" t="n">
        <v>500</v>
      </c>
      <c r="BP16" s="12"/>
      <c r="BQ16" s="12" t="n">
        <f aca="false">IF('Cash Drivers'!BQ$26,Engineering!BP16,Engineering!BR16)</f>
        <v>500</v>
      </c>
      <c r="BR16" s="90" t="n">
        <v>500</v>
      </c>
      <c r="BS16" s="13"/>
      <c r="BT16" s="13" t="n">
        <f aca="false">IF('Cash Drivers'!BT$26,Engineering!BS16,Engineering!BU16)</f>
        <v>500</v>
      </c>
      <c r="BU16" s="89" t="n">
        <v>500</v>
      </c>
      <c r="BV16" s="12"/>
      <c r="BW16" s="12" t="n">
        <f aca="false">IF('Cash Drivers'!BW$26,Engineering!BV16,Engineering!BX16)</f>
        <v>500</v>
      </c>
      <c r="BX16" s="90" t="n">
        <v>500</v>
      </c>
      <c r="BY16" s="13"/>
      <c r="BZ16" s="13" t="n">
        <f aca="false">IF('Cash Drivers'!BZ$26,Engineering!BY16,Engineering!CA16)</f>
        <v>500</v>
      </c>
      <c r="CA16" s="89" t="n">
        <v>500</v>
      </c>
      <c r="CB16" s="12"/>
      <c r="CC16" s="12" t="n">
        <f aca="false">IF('Cash Drivers'!CC$26,Engineering!CB16,Engineering!CD16)</f>
        <v>500</v>
      </c>
      <c r="CD16" s="90" t="n">
        <v>500</v>
      </c>
      <c r="CE16" s="13"/>
      <c r="CF16" s="13" t="n">
        <f aca="false">IF('Cash Drivers'!CF$26,Engineering!CE16,Engineering!CG16)</f>
        <v>500</v>
      </c>
      <c r="CG16" s="89" t="n">
        <v>500</v>
      </c>
      <c r="CH16" s="12"/>
      <c r="CI16" s="12" t="n">
        <f aca="false">IF('Cash Drivers'!CI$26,Engineering!CH16,Engineering!CJ16)</f>
        <v>500</v>
      </c>
      <c r="CJ16" s="90" t="n">
        <v>500</v>
      </c>
      <c r="CK16" s="13"/>
      <c r="CL16" s="13" t="n">
        <f aca="false">IF('Cash Drivers'!CL$26,Engineering!CK16,Engineering!CM16)</f>
        <v>500</v>
      </c>
      <c r="CM16" s="89" t="n">
        <v>500</v>
      </c>
      <c r="CN16" s="12"/>
      <c r="CO16" s="12" t="n">
        <f aca="false">IF('Cash Drivers'!CO$26,Engineering!CN16,Engineering!CP16)</f>
        <v>500</v>
      </c>
      <c r="CP16" s="90" t="n">
        <v>500</v>
      </c>
      <c r="CQ16" s="13"/>
      <c r="CR16" s="13" t="n">
        <f aca="false">IF('Cash Drivers'!CR$26,Engineering!CQ16,Engineering!CS16)</f>
        <v>500</v>
      </c>
      <c r="CS16" s="89" t="n">
        <v>500</v>
      </c>
      <c r="CT16" s="12"/>
      <c r="CU16" s="12" t="n">
        <f aca="false">IF('Cash Drivers'!CU$26,Engineering!CT16,Engineering!CV16)</f>
        <v>500</v>
      </c>
      <c r="CV16" s="90" t="n">
        <v>500</v>
      </c>
      <c r="CW16" s="13"/>
      <c r="CX16" s="13" t="n">
        <f aca="false">IF('Cash Drivers'!CX$26,Engineering!CW16,Engineering!CY16)</f>
        <v>500</v>
      </c>
      <c r="CY16" s="89" t="n">
        <v>500</v>
      </c>
      <c r="CZ16" s="12"/>
      <c r="DA16" s="12" t="n">
        <f aca="false">IF('Cash Drivers'!DA$26,Engineering!CZ16,Engineering!DB16)</f>
        <v>500</v>
      </c>
      <c r="DB16" s="90" t="n">
        <v>500</v>
      </c>
      <c r="DC16" s="13"/>
      <c r="DD16" s="13" t="n">
        <f aca="false">IF('Cash Drivers'!DD$26,Engineering!DC16,Engineering!DE16)</f>
        <v>500</v>
      </c>
      <c r="DE16" s="89" t="n">
        <v>500</v>
      </c>
      <c r="DF16" s="12"/>
      <c r="DG16" s="12" t="n">
        <f aca="false">IF('Cash Drivers'!DG$26,Engineering!DF16,Engineering!DH16)</f>
        <v>500</v>
      </c>
      <c r="DH16" s="90" t="n">
        <v>500</v>
      </c>
      <c r="DI16" s="89" t="n">
        <v>500</v>
      </c>
      <c r="DJ16" s="13" t="n">
        <f aca="false">IF('Cash Drivers'!DJ$26,Engineering!DI16,Engineering!DK16)</f>
        <v>500</v>
      </c>
      <c r="DK16" s="89" t="n">
        <v>500</v>
      </c>
      <c r="DL16" s="90" t="n">
        <v>500</v>
      </c>
      <c r="DM16" s="12" t="n">
        <f aca="false">IF('Cash Drivers'!DM$26,Engineering!DL16,Engineering!DN16)</f>
        <v>500</v>
      </c>
      <c r="DN16" s="90" t="n">
        <v>500</v>
      </c>
    </row>
    <row r="17" customFormat="false" ht="15" hidden="false" customHeight="false" outlineLevel="0" collapsed="false">
      <c r="A17" s="5" t="s">
        <v>163</v>
      </c>
      <c r="B17" s="12" t="str">
        <f aca="false">IF(COUNT(AR17,AO17,AL17,AI17,AF17,AC17,Z17,W17,T17,Q17,N17,K17)=0,"",SUM(AR17,AO17,AL17,AI17,AF17,AC17,Z17,W17,T17,Q17,N17,K17))</f>
        <v/>
      </c>
      <c r="C17" s="12" t="n">
        <f aca="false">IF(COUNT(AS17,AP17,AM17,AJ17,AG17,AD17,AA17,X17,U17,R17,O17,L17)=0,"",SUM(AS17,AP17,AM17,AJ17,AG17,AD17,AA17,X17,U17,R17,O17,L17))</f>
        <v>6000</v>
      </c>
      <c r="D17" s="12" t="n">
        <f aca="false">IF(COUNT(AT17,AQ17,AN17,AK17,AH17,AE17,AB17,Y17,V17,S17,P17,M17)=0,"",SUM(AT17,AQ17,AN17,AK17,AH17,AE17,AB17,Y17,V17,S17,P17,M17))</f>
        <v>6000</v>
      </c>
      <c r="E17" s="13" t="str">
        <f aca="false">IF(COUNT(CB17,BY17,BV17,BS17,BP17,BM17,BJ17,BG17,BD17,BA17,AX17,AU17)=0,"",SUM(CB17,BY17,BV17,BS17,BP17,BM17,BJ17,BG17,BD17,BA17,AX17,AU17))</f>
        <v/>
      </c>
      <c r="F17" s="13" t="n">
        <f aca="false">IF(COUNT(CC17,BZ17,BW17,BT17,BQ17,BN17,BK17,BH17,BE17,BB17,AY17,AV17)=0,"",SUM(CC17,BZ17,BW17,BT17,BQ17,BN17,BK17,BH17,BE17,BB17,AY17,AV17))</f>
        <v>6000</v>
      </c>
      <c r="G17" s="13" t="n">
        <f aca="false">IF(COUNT(CD17,CA17,BX17,BU17,BR17,BO17,BL17,BI17,BF17,BC17,AZ17,AW17)=0,"",SUM(CD17,CA17,BX17,BU17,BR17,BO17,BL17,BI17,BF17,BC17,AZ17,AW17))</f>
        <v>6000</v>
      </c>
      <c r="H17" s="12" t="n">
        <f aca="false">IF(COUNT(DL17,DI17,DF17,DC17,CZ17,CW17,CT17,CQ17,CN17,CK17,CH17,CE17)=0,"",SUM(DL17,DI17,DF17,DC17,CZ17,CW17,CT17,CQ17,CN17,CK17,CH17,CE17))</f>
        <v>1000</v>
      </c>
      <c r="I17" s="12" t="n">
        <f aca="false">IF(COUNT(DM17,DJ17,DG17,DD17,DA17,CX17,CU17,CR17,CO17,CL17,CI17,CF17)=0,"",SUM(DM17,DJ17,DG17,DD17,DA17,CX17,CU17,CR17,CO17,CL17,CI17,CF17))</f>
        <v>6000</v>
      </c>
      <c r="J17" s="12" t="n">
        <f aca="false">IF(COUNT(DN17,DK17,DH17,DE17,DB17,CY17,CV17,CS17,CP17,CM17,CJ17,CG17)=0,"",SUM(DN17,DK17,DH17,DE17,DB17,CY17,CV17,CS17,CP17,CM17,CJ17,CG17))</f>
        <v>6000</v>
      </c>
      <c r="K17" s="13"/>
      <c r="L17" s="13" t="n">
        <f aca="false">IF('Cash Drivers'!L$26,Engineering!K17,Engineering!M17)</f>
        <v>500</v>
      </c>
      <c r="M17" s="89" t="n">
        <v>500</v>
      </c>
      <c r="N17" s="12"/>
      <c r="O17" s="12" t="n">
        <f aca="false">IF('Cash Drivers'!O$26,Engineering!N17,Engineering!P17)</f>
        <v>500</v>
      </c>
      <c r="P17" s="90" t="n">
        <v>500</v>
      </c>
      <c r="Q17" s="13"/>
      <c r="R17" s="13" t="n">
        <f aca="false">IF('Cash Drivers'!R$26,Engineering!Q17,Engineering!S17)</f>
        <v>500</v>
      </c>
      <c r="S17" s="89" t="n">
        <v>500</v>
      </c>
      <c r="T17" s="12"/>
      <c r="U17" s="12" t="n">
        <f aca="false">IF('Cash Drivers'!U$26,Engineering!T17,Engineering!V17)</f>
        <v>500</v>
      </c>
      <c r="V17" s="90" t="n">
        <v>500</v>
      </c>
      <c r="W17" s="13"/>
      <c r="X17" s="13" t="n">
        <f aca="false">IF('Cash Drivers'!X$26,Engineering!W17,Engineering!Y17)</f>
        <v>500</v>
      </c>
      <c r="Y17" s="89" t="n">
        <v>500</v>
      </c>
      <c r="Z17" s="12"/>
      <c r="AA17" s="12" t="n">
        <f aca="false">IF('Cash Drivers'!AA$26,Engineering!Z17,Engineering!AB17)</f>
        <v>500</v>
      </c>
      <c r="AB17" s="90" t="n">
        <v>500</v>
      </c>
      <c r="AC17" s="13"/>
      <c r="AD17" s="13" t="n">
        <f aca="false">IF('Cash Drivers'!AD$26,Engineering!AC17,Engineering!AE17)</f>
        <v>500</v>
      </c>
      <c r="AE17" s="89" t="n">
        <v>500</v>
      </c>
      <c r="AF17" s="12"/>
      <c r="AG17" s="12" t="n">
        <f aca="false">IF('Cash Drivers'!AG$26,Engineering!AF17,Engineering!AH17)</f>
        <v>500</v>
      </c>
      <c r="AH17" s="90" t="n">
        <v>500</v>
      </c>
      <c r="AI17" s="13"/>
      <c r="AJ17" s="13" t="n">
        <f aca="false">IF('Cash Drivers'!AJ$26,Engineering!AI17,Engineering!AK17)</f>
        <v>500</v>
      </c>
      <c r="AK17" s="89" t="n">
        <v>500</v>
      </c>
      <c r="AL17" s="12"/>
      <c r="AM17" s="12" t="n">
        <f aca="false">IF('Cash Drivers'!AM$26,Engineering!AL17,Engineering!AN17)</f>
        <v>500</v>
      </c>
      <c r="AN17" s="90" t="n">
        <v>500</v>
      </c>
      <c r="AO17" s="13"/>
      <c r="AP17" s="13" t="n">
        <f aca="false">IF('Cash Drivers'!AP$26,Engineering!AO17,Engineering!AQ17)</f>
        <v>500</v>
      </c>
      <c r="AQ17" s="89" t="n">
        <v>500</v>
      </c>
      <c r="AR17" s="12"/>
      <c r="AS17" s="12" t="n">
        <f aca="false">IF('Cash Drivers'!AS$26,Engineering!AR17,Engineering!AT17)</f>
        <v>500</v>
      </c>
      <c r="AT17" s="90" t="n">
        <v>500</v>
      </c>
      <c r="AU17" s="13"/>
      <c r="AV17" s="13" t="n">
        <f aca="false">IF('Cash Drivers'!AV$26,Engineering!AU17,Engineering!AW17)</f>
        <v>500</v>
      </c>
      <c r="AW17" s="89" t="n">
        <v>500</v>
      </c>
      <c r="AX17" s="12"/>
      <c r="AY17" s="12" t="n">
        <f aca="false">IF('Cash Drivers'!AY$26,Engineering!AX17,Engineering!AZ17)</f>
        <v>500</v>
      </c>
      <c r="AZ17" s="90" t="n">
        <v>500</v>
      </c>
      <c r="BA17" s="13"/>
      <c r="BB17" s="13" t="n">
        <f aca="false">IF('Cash Drivers'!BB$26,Engineering!BA17,Engineering!BC17)</f>
        <v>500</v>
      </c>
      <c r="BC17" s="89" t="n">
        <v>500</v>
      </c>
      <c r="BD17" s="12"/>
      <c r="BE17" s="12" t="n">
        <f aca="false">IF('Cash Drivers'!BE$26,Engineering!BD17,Engineering!BF17)</f>
        <v>500</v>
      </c>
      <c r="BF17" s="90" t="n">
        <v>500</v>
      </c>
      <c r="BG17" s="13"/>
      <c r="BH17" s="13" t="n">
        <f aca="false">IF('Cash Drivers'!BH$26,Engineering!BG17,Engineering!BI17)</f>
        <v>500</v>
      </c>
      <c r="BI17" s="89" t="n">
        <v>500</v>
      </c>
      <c r="BJ17" s="12"/>
      <c r="BK17" s="12" t="n">
        <f aca="false">IF('Cash Drivers'!BK$26,Engineering!BJ17,Engineering!BL17)</f>
        <v>500</v>
      </c>
      <c r="BL17" s="90" t="n">
        <v>500</v>
      </c>
      <c r="BM17" s="13"/>
      <c r="BN17" s="13" t="n">
        <f aca="false">IF('Cash Drivers'!BN$26,Engineering!BM17,Engineering!BO17)</f>
        <v>500</v>
      </c>
      <c r="BO17" s="89" t="n">
        <v>500</v>
      </c>
      <c r="BP17" s="12"/>
      <c r="BQ17" s="12" t="n">
        <f aca="false">IF('Cash Drivers'!BQ$26,Engineering!BP17,Engineering!BR17)</f>
        <v>500</v>
      </c>
      <c r="BR17" s="90" t="n">
        <v>500</v>
      </c>
      <c r="BS17" s="13"/>
      <c r="BT17" s="13" t="n">
        <f aca="false">IF('Cash Drivers'!BT$26,Engineering!BS17,Engineering!BU17)</f>
        <v>500</v>
      </c>
      <c r="BU17" s="89" t="n">
        <v>500</v>
      </c>
      <c r="BV17" s="12"/>
      <c r="BW17" s="12" t="n">
        <f aca="false">IF('Cash Drivers'!BW$26,Engineering!BV17,Engineering!BX17)</f>
        <v>500</v>
      </c>
      <c r="BX17" s="90" t="n">
        <v>500</v>
      </c>
      <c r="BY17" s="13"/>
      <c r="BZ17" s="13" t="n">
        <f aca="false">IF('Cash Drivers'!BZ$26,Engineering!BY17,Engineering!CA17)</f>
        <v>500</v>
      </c>
      <c r="CA17" s="89" t="n">
        <v>500</v>
      </c>
      <c r="CB17" s="12"/>
      <c r="CC17" s="12" t="n">
        <f aca="false">IF('Cash Drivers'!CC$26,Engineering!CB17,Engineering!CD17)</f>
        <v>500</v>
      </c>
      <c r="CD17" s="90" t="n">
        <v>500</v>
      </c>
      <c r="CE17" s="13"/>
      <c r="CF17" s="13" t="n">
        <f aca="false">IF('Cash Drivers'!CF$26,Engineering!CE17,Engineering!CG17)</f>
        <v>500</v>
      </c>
      <c r="CG17" s="89" t="n">
        <v>500</v>
      </c>
      <c r="CH17" s="12"/>
      <c r="CI17" s="12" t="n">
        <f aca="false">IF('Cash Drivers'!CI$26,Engineering!CH17,Engineering!CJ17)</f>
        <v>500</v>
      </c>
      <c r="CJ17" s="90" t="n">
        <v>500</v>
      </c>
      <c r="CK17" s="13"/>
      <c r="CL17" s="13" t="n">
        <f aca="false">IF('Cash Drivers'!CL$26,Engineering!CK17,Engineering!CM17)</f>
        <v>500</v>
      </c>
      <c r="CM17" s="89" t="n">
        <v>500</v>
      </c>
      <c r="CN17" s="12"/>
      <c r="CO17" s="12" t="n">
        <f aca="false">IF('Cash Drivers'!CO$26,Engineering!CN17,Engineering!CP17)</f>
        <v>500</v>
      </c>
      <c r="CP17" s="90" t="n">
        <v>500</v>
      </c>
      <c r="CQ17" s="13"/>
      <c r="CR17" s="13" t="n">
        <f aca="false">IF('Cash Drivers'!CR$26,Engineering!CQ17,Engineering!CS17)</f>
        <v>500</v>
      </c>
      <c r="CS17" s="89" t="n">
        <v>500</v>
      </c>
      <c r="CT17" s="12"/>
      <c r="CU17" s="12" t="n">
        <f aca="false">IF('Cash Drivers'!CU$26,Engineering!CT17,Engineering!CV17)</f>
        <v>500</v>
      </c>
      <c r="CV17" s="90" t="n">
        <v>500</v>
      </c>
      <c r="CW17" s="13"/>
      <c r="CX17" s="13" t="n">
        <f aca="false">IF('Cash Drivers'!CX$26,Engineering!CW17,Engineering!CY17)</f>
        <v>500</v>
      </c>
      <c r="CY17" s="89" t="n">
        <v>500</v>
      </c>
      <c r="CZ17" s="12"/>
      <c r="DA17" s="12" t="n">
        <f aca="false">IF('Cash Drivers'!DA$26,Engineering!CZ17,Engineering!DB17)</f>
        <v>500</v>
      </c>
      <c r="DB17" s="90" t="n">
        <v>500</v>
      </c>
      <c r="DC17" s="13"/>
      <c r="DD17" s="13" t="n">
        <f aca="false">IF('Cash Drivers'!DD$26,Engineering!DC17,Engineering!DE17)</f>
        <v>500</v>
      </c>
      <c r="DE17" s="89" t="n">
        <v>500</v>
      </c>
      <c r="DF17" s="12"/>
      <c r="DG17" s="12" t="n">
        <f aca="false">IF('Cash Drivers'!DG$26,Engineering!DF17,Engineering!DH17)</f>
        <v>500</v>
      </c>
      <c r="DH17" s="90" t="n">
        <v>500</v>
      </c>
      <c r="DI17" s="89" t="n">
        <v>500</v>
      </c>
      <c r="DJ17" s="13" t="n">
        <f aca="false">IF('Cash Drivers'!DJ$26,Engineering!DI17,Engineering!DK17)</f>
        <v>500</v>
      </c>
      <c r="DK17" s="89" t="n">
        <v>500</v>
      </c>
      <c r="DL17" s="90" t="n">
        <v>500</v>
      </c>
      <c r="DM17" s="12" t="n">
        <f aca="false">IF('Cash Drivers'!DM$26,Engineering!DL17,Engineering!DN17)</f>
        <v>500</v>
      </c>
      <c r="DN17" s="90" t="n">
        <v>500</v>
      </c>
    </row>
    <row r="18" customFormat="false" ht="15" hidden="false" customHeight="false" outlineLevel="0" collapsed="false">
      <c r="A18" s="5" t="s">
        <v>164</v>
      </c>
      <c r="B18" s="12" t="str">
        <f aca="false">IF(COUNT(AR18,AO18,AL18,AI18,AF18,AC18,Z18,W18,T18,Q18,N18,K18)=0,"",SUM(AR18,AO18,AL18,AI18,AF18,AC18,Z18,W18,T18,Q18,N18,K18))</f>
        <v/>
      </c>
      <c r="C18" s="12" t="n">
        <f aca="false">IF(COUNT(AS18,AP18,AM18,AJ18,AG18,AD18,AA18,X18,U18,R18,O18,L18)=0,"",SUM(AS18,AP18,AM18,AJ18,AG18,AD18,AA18,X18,U18,R18,O18,L18))</f>
        <v>48000</v>
      </c>
      <c r="D18" s="12" t="n">
        <f aca="false">IF(COUNT(AT18,AQ18,AN18,AK18,AH18,AE18,AB18,Y18,V18,S18,P18,M18)=0,"",SUM(AT18,AQ18,AN18,AK18,AH18,AE18,AB18,Y18,V18,S18,P18,M18))</f>
        <v>48000</v>
      </c>
      <c r="E18" s="13" t="str">
        <f aca="false">IF(COUNT(CB18,BY18,BV18,BS18,BP18,BM18,BJ18,BG18,BD18,BA18,AX18,AU18)=0,"",SUM(CB18,BY18,BV18,BS18,BP18,BM18,BJ18,BG18,BD18,BA18,AX18,AU18))</f>
        <v/>
      </c>
      <c r="F18" s="13" t="n">
        <f aca="false">IF(COUNT(CC18,BZ18,BW18,BT18,BQ18,BN18,BK18,BH18,BE18,BB18,AY18,AV18)=0,"",SUM(CC18,BZ18,BW18,BT18,BQ18,BN18,BK18,BH18,BE18,BB18,AY18,AV18))</f>
        <v>48000</v>
      </c>
      <c r="G18" s="13" t="n">
        <f aca="false">IF(COUNT(CD18,CA18,BX18,BU18,BR18,BO18,BL18,BI18,BF18,BC18,AZ18,AW18)=0,"",SUM(CD18,CA18,BX18,BU18,BR18,BO18,BL18,BI18,BF18,BC18,AZ18,AW18))</f>
        <v>48000</v>
      </c>
      <c r="H18" s="12" t="n">
        <f aca="false">IF(COUNT(DL18,DI18,DF18,DC18,CZ18,CW18,CT18,CQ18,CN18,CK18,CH18,CE18)=0,"",SUM(DL18,DI18,DF18,DC18,CZ18,CW18,CT18,CQ18,CN18,CK18,CH18,CE18))</f>
        <v>8000</v>
      </c>
      <c r="I18" s="12" t="n">
        <f aca="false">IF(COUNT(DM18,DJ18,DG18,DD18,DA18,CX18,CU18,CR18,CO18,CL18,CI18,CF18)=0,"",SUM(DM18,DJ18,DG18,DD18,DA18,CX18,CU18,CR18,CO18,CL18,CI18,CF18))</f>
        <v>48000</v>
      </c>
      <c r="J18" s="12" t="n">
        <f aca="false">IF(COUNT(DN18,DK18,DH18,DE18,DB18,CY18,CV18,CS18,CP18,CM18,CJ18,CG18)=0,"",SUM(DN18,DK18,DH18,DE18,DB18,CY18,CV18,CS18,CP18,CM18,CJ18,CG18))</f>
        <v>48000</v>
      </c>
      <c r="K18" s="13"/>
      <c r="L18" s="13" t="n">
        <f aca="false">IF('Cash Drivers'!L$26,Engineering!K18,Engineering!M18)</f>
        <v>4000</v>
      </c>
      <c r="M18" s="89" t="n">
        <v>4000</v>
      </c>
      <c r="N18" s="12"/>
      <c r="O18" s="12" t="n">
        <f aca="false">IF('Cash Drivers'!O$26,Engineering!N18,Engineering!P18)</f>
        <v>4000</v>
      </c>
      <c r="P18" s="90" t="n">
        <v>4000</v>
      </c>
      <c r="Q18" s="13"/>
      <c r="R18" s="13" t="n">
        <f aca="false">IF('Cash Drivers'!R$26,Engineering!Q18,Engineering!S18)</f>
        <v>4000</v>
      </c>
      <c r="S18" s="89" t="n">
        <v>4000</v>
      </c>
      <c r="T18" s="12"/>
      <c r="U18" s="12" t="n">
        <f aca="false">IF('Cash Drivers'!U$26,Engineering!T18,Engineering!V18)</f>
        <v>4000</v>
      </c>
      <c r="V18" s="90" t="n">
        <v>4000</v>
      </c>
      <c r="W18" s="13"/>
      <c r="X18" s="13" t="n">
        <f aca="false">IF('Cash Drivers'!X$26,Engineering!W18,Engineering!Y18)</f>
        <v>4000</v>
      </c>
      <c r="Y18" s="89" t="n">
        <v>4000</v>
      </c>
      <c r="Z18" s="12"/>
      <c r="AA18" s="12" t="n">
        <f aca="false">IF('Cash Drivers'!AA$26,Engineering!Z18,Engineering!AB18)</f>
        <v>4000</v>
      </c>
      <c r="AB18" s="90" t="n">
        <v>4000</v>
      </c>
      <c r="AC18" s="13"/>
      <c r="AD18" s="13" t="n">
        <f aca="false">IF('Cash Drivers'!AD$26,Engineering!AC18,Engineering!AE18)</f>
        <v>4000</v>
      </c>
      <c r="AE18" s="89" t="n">
        <v>4000</v>
      </c>
      <c r="AF18" s="12"/>
      <c r="AG18" s="12" t="n">
        <f aca="false">IF('Cash Drivers'!AG$26,Engineering!AF18,Engineering!AH18)</f>
        <v>4000</v>
      </c>
      <c r="AH18" s="90" t="n">
        <v>4000</v>
      </c>
      <c r="AI18" s="13"/>
      <c r="AJ18" s="13" t="n">
        <f aca="false">IF('Cash Drivers'!AJ$26,Engineering!AI18,Engineering!AK18)</f>
        <v>4000</v>
      </c>
      <c r="AK18" s="89" t="n">
        <v>4000</v>
      </c>
      <c r="AL18" s="12"/>
      <c r="AM18" s="12" t="n">
        <f aca="false">IF('Cash Drivers'!AM$26,Engineering!AL18,Engineering!AN18)</f>
        <v>4000</v>
      </c>
      <c r="AN18" s="90" t="n">
        <v>4000</v>
      </c>
      <c r="AO18" s="13"/>
      <c r="AP18" s="13" t="n">
        <f aca="false">IF('Cash Drivers'!AP$26,Engineering!AO18,Engineering!AQ18)</f>
        <v>4000</v>
      </c>
      <c r="AQ18" s="89" t="n">
        <v>4000</v>
      </c>
      <c r="AR18" s="12"/>
      <c r="AS18" s="12" t="n">
        <f aca="false">IF('Cash Drivers'!AS$26,Engineering!AR18,Engineering!AT18)</f>
        <v>4000</v>
      </c>
      <c r="AT18" s="90" t="n">
        <v>4000</v>
      </c>
      <c r="AU18" s="13"/>
      <c r="AV18" s="13" t="n">
        <f aca="false">IF('Cash Drivers'!AV$26,Engineering!AU18,Engineering!AW18)</f>
        <v>4000</v>
      </c>
      <c r="AW18" s="89" t="n">
        <v>4000</v>
      </c>
      <c r="AX18" s="12"/>
      <c r="AY18" s="12" t="n">
        <f aca="false">IF('Cash Drivers'!AY$26,Engineering!AX18,Engineering!AZ18)</f>
        <v>4000</v>
      </c>
      <c r="AZ18" s="90" t="n">
        <v>4000</v>
      </c>
      <c r="BA18" s="13"/>
      <c r="BB18" s="13" t="n">
        <f aca="false">IF('Cash Drivers'!BB$26,Engineering!BA18,Engineering!BC18)</f>
        <v>4000</v>
      </c>
      <c r="BC18" s="89" t="n">
        <v>4000</v>
      </c>
      <c r="BD18" s="12"/>
      <c r="BE18" s="12" t="n">
        <f aca="false">IF('Cash Drivers'!BE$26,Engineering!BD18,Engineering!BF18)</f>
        <v>4000</v>
      </c>
      <c r="BF18" s="90" t="n">
        <v>4000</v>
      </c>
      <c r="BG18" s="13"/>
      <c r="BH18" s="13" t="n">
        <f aca="false">IF('Cash Drivers'!BH$26,Engineering!BG18,Engineering!BI18)</f>
        <v>4000</v>
      </c>
      <c r="BI18" s="89" t="n">
        <v>4000</v>
      </c>
      <c r="BJ18" s="12"/>
      <c r="BK18" s="12" t="n">
        <f aca="false">IF('Cash Drivers'!BK$26,Engineering!BJ18,Engineering!BL18)</f>
        <v>4000</v>
      </c>
      <c r="BL18" s="90" t="n">
        <v>4000</v>
      </c>
      <c r="BM18" s="13"/>
      <c r="BN18" s="13" t="n">
        <f aca="false">IF('Cash Drivers'!BN$26,Engineering!BM18,Engineering!BO18)</f>
        <v>4000</v>
      </c>
      <c r="BO18" s="89" t="n">
        <v>4000</v>
      </c>
      <c r="BP18" s="12"/>
      <c r="BQ18" s="12" t="n">
        <f aca="false">IF('Cash Drivers'!BQ$26,Engineering!BP18,Engineering!BR18)</f>
        <v>4000</v>
      </c>
      <c r="BR18" s="90" t="n">
        <v>4000</v>
      </c>
      <c r="BS18" s="13"/>
      <c r="BT18" s="13" t="n">
        <f aca="false">IF('Cash Drivers'!BT$26,Engineering!BS18,Engineering!BU18)</f>
        <v>4000</v>
      </c>
      <c r="BU18" s="89" t="n">
        <v>4000</v>
      </c>
      <c r="BV18" s="12"/>
      <c r="BW18" s="12" t="n">
        <f aca="false">IF('Cash Drivers'!BW$26,Engineering!BV18,Engineering!BX18)</f>
        <v>4000</v>
      </c>
      <c r="BX18" s="90" t="n">
        <v>4000</v>
      </c>
      <c r="BY18" s="13"/>
      <c r="BZ18" s="13" t="n">
        <f aca="false">IF('Cash Drivers'!BZ$26,Engineering!BY18,Engineering!CA18)</f>
        <v>4000</v>
      </c>
      <c r="CA18" s="89" t="n">
        <v>4000</v>
      </c>
      <c r="CB18" s="12"/>
      <c r="CC18" s="12" t="n">
        <f aca="false">IF('Cash Drivers'!CC$26,Engineering!CB18,Engineering!CD18)</f>
        <v>4000</v>
      </c>
      <c r="CD18" s="90" t="n">
        <v>4000</v>
      </c>
      <c r="CE18" s="13"/>
      <c r="CF18" s="13" t="n">
        <f aca="false">IF('Cash Drivers'!CF$26,Engineering!CE18,Engineering!CG18)</f>
        <v>4000</v>
      </c>
      <c r="CG18" s="89" t="n">
        <v>4000</v>
      </c>
      <c r="CH18" s="12"/>
      <c r="CI18" s="12" t="n">
        <f aca="false">IF('Cash Drivers'!CI$26,Engineering!CH18,Engineering!CJ18)</f>
        <v>4000</v>
      </c>
      <c r="CJ18" s="90" t="n">
        <v>4000</v>
      </c>
      <c r="CK18" s="13"/>
      <c r="CL18" s="13" t="n">
        <f aca="false">IF('Cash Drivers'!CL$26,Engineering!CK18,Engineering!CM18)</f>
        <v>4000</v>
      </c>
      <c r="CM18" s="89" t="n">
        <v>4000</v>
      </c>
      <c r="CN18" s="12"/>
      <c r="CO18" s="12" t="n">
        <f aca="false">IF('Cash Drivers'!CO$26,Engineering!CN18,Engineering!CP18)</f>
        <v>4000</v>
      </c>
      <c r="CP18" s="90" t="n">
        <v>4000</v>
      </c>
      <c r="CQ18" s="13"/>
      <c r="CR18" s="13" t="n">
        <f aca="false">IF('Cash Drivers'!CR$26,Engineering!CQ18,Engineering!CS18)</f>
        <v>4000</v>
      </c>
      <c r="CS18" s="89" t="n">
        <v>4000</v>
      </c>
      <c r="CT18" s="12"/>
      <c r="CU18" s="12" t="n">
        <f aca="false">IF('Cash Drivers'!CU$26,Engineering!CT18,Engineering!CV18)</f>
        <v>4000</v>
      </c>
      <c r="CV18" s="90" t="n">
        <v>4000</v>
      </c>
      <c r="CW18" s="13"/>
      <c r="CX18" s="13" t="n">
        <f aca="false">IF('Cash Drivers'!CX$26,Engineering!CW18,Engineering!CY18)</f>
        <v>4000</v>
      </c>
      <c r="CY18" s="89" t="n">
        <v>4000</v>
      </c>
      <c r="CZ18" s="12"/>
      <c r="DA18" s="12" t="n">
        <f aca="false">IF('Cash Drivers'!DA$26,Engineering!CZ18,Engineering!DB18)</f>
        <v>4000</v>
      </c>
      <c r="DB18" s="90" t="n">
        <v>4000</v>
      </c>
      <c r="DC18" s="13"/>
      <c r="DD18" s="13" t="n">
        <f aca="false">IF('Cash Drivers'!DD$26,Engineering!DC18,Engineering!DE18)</f>
        <v>4000</v>
      </c>
      <c r="DE18" s="89" t="n">
        <v>4000</v>
      </c>
      <c r="DF18" s="12"/>
      <c r="DG18" s="12" t="n">
        <f aca="false">IF('Cash Drivers'!DG$26,Engineering!DF18,Engineering!DH18)</f>
        <v>4000</v>
      </c>
      <c r="DH18" s="90" t="n">
        <v>4000</v>
      </c>
      <c r="DI18" s="89" t="n">
        <v>4000</v>
      </c>
      <c r="DJ18" s="13" t="n">
        <f aca="false">IF('Cash Drivers'!DJ$26,Engineering!DI18,Engineering!DK18)</f>
        <v>4000</v>
      </c>
      <c r="DK18" s="89" t="n">
        <v>4000</v>
      </c>
      <c r="DL18" s="90" t="n">
        <v>4000</v>
      </c>
      <c r="DM18" s="12" t="n">
        <f aca="false">IF('Cash Drivers'!DM$26,Engineering!DL18,Engineering!DN18)</f>
        <v>4000</v>
      </c>
      <c r="DN18" s="90" t="n">
        <v>4000</v>
      </c>
    </row>
    <row r="19" customFormat="false" ht="15" hidden="false" customHeight="false" outlineLevel="0" collapsed="false">
      <c r="A19" s="5" t="s">
        <v>165</v>
      </c>
      <c r="B19" s="12" t="str">
        <f aca="false">IF(COUNT(AR19,AO19,AL19,AI19,AF19,AC19,Z19,W19,T19,Q19,N19,K19)=0,"",SUM(AR19,AO19,AL19,AI19,AF19,AC19,Z19,W19,T19,Q19,N19,K19))</f>
        <v/>
      </c>
      <c r="C19" s="12" t="n">
        <f aca="false">IF(COUNT(AS19,AP19,AM19,AJ19,AG19,AD19,AA19,X19,U19,R19,O19,L19)=0,"",SUM(AS19,AP19,AM19,AJ19,AG19,AD19,AA19,X19,U19,R19,O19,L19))</f>
        <v>12000</v>
      </c>
      <c r="D19" s="12" t="n">
        <f aca="false">IF(COUNT(AT19,AQ19,AN19,AK19,AH19,AE19,AB19,Y19,V19,S19,P19,M19)=0,"",SUM(AT19,AQ19,AN19,AK19,AH19,AE19,AB19,Y19,V19,S19,P19,M19))</f>
        <v>12000</v>
      </c>
      <c r="E19" s="13" t="str">
        <f aca="false">IF(COUNT(CB19,BY19,BV19,BS19,BP19,BM19,BJ19,BG19,BD19,BA19,AX19,AU19)=0,"",SUM(CB19,BY19,BV19,BS19,BP19,BM19,BJ19,BG19,BD19,BA19,AX19,AU19))</f>
        <v/>
      </c>
      <c r="F19" s="13" t="n">
        <f aca="false">IF(COUNT(CC19,BZ19,BW19,BT19,BQ19,BN19,BK19,BH19,BE19,BB19,AY19,AV19)=0,"",SUM(CC19,BZ19,BW19,BT19,BQ19,BN19,BK19,BH19,BE19,BB19,AY19,AV19))</f>
        <v>12000</v>
      </c>
      <c r="G19" s="13" t="n">
        <f aca="false">IF(COUNT(CD19,CA19,BX19,BU19,BR19,BO19,BL19,BI19,BF19,BC19,AZ19,AW19)=0,"",SUM(CD19,CA19,BX19,BU19,BR19,BO19,BL19,BI19,BF19,BC19,AZ19,AW19))</f>
        <v>12000</v>
      </c>
      <c r="H19" s="12" t="n">
        <f aca="false">IF(COUNT(DL19,DI19,DF19,DC19,CZ19,CW19,CT19,CQ19,CN19,CK19,CH19,CE19)=0,"",SUM(DL19,DI19,DF19,DC19,CZ19,CW19,CT19,CQ19,CN19,CK19,CH19,CE19))</f>
        <v>2000</v>
      </c>
      <c r="I19" s="12" t="n">
        <f aca="false">IF(COUNT(DM19,DJ19,DG19,DD19,DA19,CX19,CU19,CR19,CO19,CL19,CI19,CF19)=0,"",SUM(DM19,DJ19,DG19,DD19,DA19,CX19,CU19,CR19,CO19,CL19,CI19,CF19))</f>
        <v>12000</v>
      </c>
      <c r="J19" s="12" t="n">
        <f aca="false">IF(COUNT(DN19,DK19,DH19,DE19,DB19,CY19,CV19,CS19,CP19,CM19,CJ19,CG19)=0,"",SUM(DN19,DK19,DH19,DE19,DB19,CY19,CV19,CS19,CP19,CM19,CJ19,CG19))</f>
        <v>12000</v>
      </c>
      <c r="K19" s="13"/>
      <c r="L19" s="13" t="n">
        <f aca="false">IF('Cash Drivers'!L$26,Engineering!K19,Engineering!M19)</f>
        <v>1000</v>
      </c>
      <c r="M19" s="89" t="n">
        <v>1000</v>
      </c>
      <c r="N19" s="12"/>
      <c r="O19" s="12" t="n">
        <f aca="false">IF('Cash Drivers'!O$26,Engineering!N19,Engineering!P19)</f>
        <v>1000</v>
      </c>
      <c r="P19" s="90" t="n">
        <v>1000</v>
      </c>
      <c r="Q19" s="13"/>
      <c r="R19" s="13" t="n">
        <f aca="false">IF('Cash Drivers'!R$26,Engineering!Q19,Engineering!S19)</f>
        <v>1000</v>
      </c>
      <c r="S19" s="89" t="n">
        <v>1000</v>
      </c>
      <c r="T19" s="12"/>
      <c r="U19" s="12" t="n">
        <f aca="false">IF('Cash Drivers'!U$26,Engineering!T19,Engineering!V19)</f>
        <v>1000</v>
      </c>
      <c r="V19" s="90" t="n">
        <v>1000</v>
      </c>
      <c r="W19" s="13"/>
      <c r="X19" s="13" t="n">
        <f aca="false">IF('Cash Drivers'!X$26,Engineering!W19,Engineering!Y19)</f>
        <v>1000</v>
      </c>
      <c r="Y19" s="89" t="n">
        <v>1000</v>
      </c>
      <c r="Z19" s="12"/>
      <c r="AA19" s="12" t="n">
        <f aca="false">IF('Cash Drivers'!AA$26,Engineering!Z19,Engineering!AB19)</f>
        <v>1000</v>
      </c>
      <c r="AB19" s="90" t="n">
        <v>1000</v>
      </c>
      <c r="AC19" s="13"/>
      <c r="AD19" s="13" t="n">
        <f aca="false">IF('Cash Drivers'!AD$26,Engineering!AC19,Engineering!AE19)</f>
        <v>1000</v>
      </c>
      <c r="AE19" s="89" t="n">
        <v>1000</v>
      </c>
      <c r="AF19" s="12"/>
      <c r="AG19" s="12" t="n">
        <f aca="false">IF('Cash Drivers'!AG$26,Engineering!AF19,Engineering!AH19)</f>
        <v>1000</v>
      </c>
      <c r="AH19" s="90" t="n">
        <v>1000</v>
      </c>
      <c r="AI19" s="13"/>
      <c r="AJ19" s="13" t="n">
        <f aca="false">IF('Cash Drivers'!AJ$26,Engineering!AI19,Engineering!AK19)</f>
        <v>1000</v>
      </c>
      <c r="AK19" s="89" t="n">
        <v>1000</v>
      </c>
      <c r="AL19" s="12"/>
      <c r="AM19" s="12" t="n">
        <f aca="false">IF('Cash Drivers'!AM$26,Engineering!AL19,Engineering!AN19)</f>
        <v>1000</v>
      </c>
      <c r="AN19" s="90" t="n">
        <v>1000</v>
      </c>
      <c r="AO19" s="13"/>
      <c r="AP19" s="13" t="n">
        <f aca="false">IF('Cash Drivers'!AP$26,Engineering!AO19,Engineering!AQ19)</f>
        <v>1000</v>
      </c>
      <c r="AQ19" s="89" t="n">
        <v>1000</v>
      </c>
      <c r="AR19" s="12"/>
      <c r="AS19" s="12" t="n">
        <f aca="false">IF('Cash Drivers'!AS$26,Engineering!AR19,Engineering!AT19)</f>
        <v>1000</v>
      </c>
      <c r="AT19" s="90" t="n">
        <v>1000</v>
      </c>
      <c r="AU19" s="13"/>
      <c r="AV19" s="13" t="n">
        <f aca="false">IF('Cash Drivers'!AV$26,Engineering!AU19,Engineering!AW19)</f>
        <v>1000</v>
      </c>
      <c r="AW19" s="89" t="n">
        <v>1000</v>
      </c>
      <c r="AX19" s="12"/>
      <c r="AY19" s="12" t="n">
        <f aca="false">IF('Cash Drivers'!AY$26,Engineering!AX19,Engineering!AZ19)</f>
        <v>1000</v>
      </c>
      <c r="AZ19" s="90" t="n">
        <v>1000</v>
      </c>
      <c r="BA19" s="13"/>
      <c r="BB19" s="13" t="n">
        <f aca="false">IF('Cash Drivers'!BB$26,Engineering!BA19,Engineering!BC19)</f>
        <v>1000</v>
      </c>
      <c r="BC19" s="89" t="n">
        <v>1000</v>
      </c>
      <c r="BD19" s="12"/>
      <c r="BE19" s="12" t="n">
        <f aca="false">IF('Cash Drivers'!BE$26,Engineering!BD19,Engineering!BF19)</f>
        <v>1000</v>
      </c>
      <c r="BF19" s="90" t="n">
        <v>1000</v>
      </c>
      <c r="BG19" s="13"/>
      <c r="BH19" s="13" t="n">
        <f aca="false">IF('Cash Drivers'!BH$26,Engineering!BG19,Engineering!BI19)</f>
        <v>1000</v>
      </c>
      <c r="BI19" s="89" t="n">
        <v>1000</v>
      </c>
      <c r="BJ19" s="12"/>
      <c r="BK19" s="12" t="n">
        <f aca="false">IF('Cash Drivers'!BK$26,Engineering!BJ19,Engineering!BL19)</f>
        <v>1000</v>
      </c>
      <c r="BL19" s="90" t="n">
        <v>1000</v>
      </c>
      <c r="BM19" s="13"/>
      <c r="BN19" s="13" t="n">
        <f aca="false">IF('Cash Drivers'!BN$26,Engineering!BM19,Engineering!BO19)</f>
        <v>1000</v>
      </c>
      <c r="BO19" s="89" t="n">
        <v>1000</v>
      </c>
      <c r="BP19" s="12"/>
      <c r="BQ19" s="12" t="n">
        <f aca="false">IF('Cash Drivers'!BQ$26,Engineering!BP19,Engineering!BR19)</f>
        <v>1000</v>
      </c>
      <c r="BR19" s="90" t="n">
        <v>1000</v>
      </c>
      <c r="BS19" s="13"/>
      <c r="BT19" s="13" t="n">
        <f aca="false">IF('Cash Drivers'!BT$26,Engineering!BS19,Engineering!BU19)</f>
        <v>1000</v>
      </c>
      <c r="BU19" s="89" t="n">
        <v>1000</v>
      </c>
      <c r="BV19" s="12"/>
      <c r="BW19" s="12" t="n">
        <f aca="false">IF('Cash Drivers'!BW$26,Engineering!BV19,Engineering!BX19)</f>
        <v>1000</v>
      </c>
      <c r="BX19" s="90" t="n">
        <v>1000</v>
      </c>
      <c r="BY19" s="13"/>
      <c r="BZ19" s="13" t="n">
        <f aca="false">IF('Cash Drivers'!BZ$26,Engineering!BY19,Engineering!CA19)</f>
        <v>1000</v>
      </c>
      <c r="CA19" s="89" t="n">
        <v>1000</v>
      </c>
      <c r="CB19" s="12"/>
      <c r="CC19" s="12" t="n">
        <f aca="false">IF('Cash Drivers'!CC$26,Engineering!CB19,Engineering!CD19)</f>
        <v>1000</v>
      </c>
      <c r="CD19" s="90" t="n">
        <v>1000</v>
      </c>
      <c r="CE19" s="13"/>
      <c r="CF19" s="13" t="n">
        <f aca="false">IF('Cash Drivers'!CF$26,Engineering!CE19,Engineering!CG19)</f>
        <v>1000</v>
      </c>
      <c r="CG19" s="89" t="n">
        <v>1000</v>
      </c>
      <c r="CH19" s="12"/>
      <c r="CI19" s="12" t="n">
        <f aca="false">IF('Cash Drivers'!CI$26,Engineering!CH19,Engineering!CJ19)</f>
        <v>1000</v>
      </c>
      <c r="CJ19" s="90" t="n">
        <v>1000</v>
      </c>
      <c r="CK19" s="13"/>
      <c r="CL19" s="13" t="n">
        <f aca="false">IF('Cash Drivers'!CL$26,Engineering!CK19,Engineering!CM19)</f>
        <v>1000</v>
      </c>
      <c r="CM19" s="89" t="n">
        <v>1000</v>
      </c>
      <c r="CN19" s="12"/>
      <c r="CO19" s="12" t="n">
        <f aca="false">IF('Cash Drivers'!CO$26,Engineering!CN19,Engineering!CP19)</f>
        <v>1000</v>
      </c>
      <c r="CP19" s="90" t="n">
        <v>1000</v>
      </c>
      <c r="CQ19" s="13"/>
      <c r="CR19" s="13" t="n">
        <f aca="false">IF('Cash Drivers'!CR$26,Engineering!CQ19,Engineering!CS19)</f>
        <v>1000</v>
      </c>
      <c r="CS19" s="89" t="n">
        <v>1000</v>
      </c>
      <c r="CT19" s="12"/>
      <c r="CU19" s="12" t="n">
        <f aca="false">IF('Cash Drivers'!CU$26,Engineering!CT19,Engineering!CV19)</f>
        <v>1000</v>
      </c>
      <c r="CV19" s="90" t="n">
        <v>1000</v>
      </c>
      <c r="CW19" s="13"/>
      <c r="CX19" s="13" t="n">
        <f aca="false">IF('Cash Drivers'!CX$26,Engineering!CW19,Engineering!CY19)</f>
        <v>1000</v>
      </c>
      <c r="CY19" s="89" t="n">
        <v>1000</v>
      </c>
      <c r="CZ19" s="12"/>
      <c r="DA19" s="12" t="n">
        <f aca="false">IF('Cash Drivers'!DA$26,Engineering!CZ19,Engineering!DB19)</f>
        <v>1000</v>
      </c>
      <c r="DB19" s="90" t="n">
        <v>1000</v>
      </c>
      <c r="DC19" s="13"/>
      <c r="DD19" s="13" t="n">
        <f aca="false">IF('Cash Drivers'!DD$26,Engineering!DC19,Engineering!DE19)</f>
        <v>1000</v>
      </c>
      <c r="DE19" s="89" t="n">
        <v>1000</v>
      </c>
      <c r="DF19" s="12"/>
      <c r="DG19" s="12" t="n">
        <f aca="false">IF('Cash Drivers'!DG$26,Engineering!DF19,Engineering!DH19)</f>
        <v>1000</v>
      </c>
      <c r="DH19" s="90" t="n">
        <v>1000</v>
      </c>
      <c r="DI19" s="89" t="n">
        <v>1000</v>
      </c>
      <c r="DJ19" s="13" t="n">
        <f aca="false">IF('Cash Drivers'!DJ$26,Engineering!DI19,Engineering!DK19)</f>
        <v>1000</v>
      </c>
      <c r="DK19" s="89" t="n">
        <v>1000</v>
      </c>
      <c r="DL19" s="90" t="n">
        <v>1000</v>
      </c>
      <c r="DM19" s="12" t="n">
        <f aca="false">IF('Cash Drivers'!DM$26,Engineering!DL19,Engineering!DN19)</f>
        <v>1000</v>
      </c>
      <c r="DN19" s="90" t="n">
        <v>1000</v>
      </c>
    </row>
    <row r="20" customFormat="false" ht="15" hidden="false" customHeight="false" outlineLevel="0" collapsed="false">
      <c r="A20" s="5" t="s">
        <v>166</v>
      </c>
      <c r="B20" s="12" t="str">
        <f aca="false">IF(COUNT(AR20,AO20,AL20,AI20,AF20,AC20,Z20,W20,T20,Q20,N20,K20)=0,"",SUM(AR20,AO20,AL20,AI20,AF20,AC20,Z20,W20,T20,Q20,N20,K20))</f>
        <v/>
      </c>
      <c r="C20" s="12" t="n">
        <f aca="false">IF(COUNT(AS20,AP20,AM20,AJ20,AG20,AD20,AA20,X20,U20,R20,O20,L20)=0,"",SUM(AS20,AP20,AM20,AJ20,AG20,AD20,AA20,X20,U20,R20,O20,L20))</f>
        <v>24000</v>
      </c>
      <c r="D20" s="12" t="n">
        <f aca="false">IF(COUNT(AT20,AQ20,AN20,AK20,AH20,AE20,AB20,Y20,V20,S20,P20,M20)=0,"",SUM(AT20,AQ20,AN20,AK20,AH20,AE20,AB20,Y20,V20,S20,P20,M20))</f>
        <v>24000</v>
      </c>
      <c r="E20" s="13" t="str">
        <f aca="false">IF(COUNT(CB20,BY20,BV20,BS20,BP20,BM20,BJ20,BG20,BD20,BA20,AX20,AU20)=0,"",SUM(CB20,BY20,BV20,BS20,BP20,BM20,BJ20,BG20,BD20,BA20,AX20,AU20))</f>
        <v/>
      </c>
      <c r="F20" s="13" t="n">
        <f aca="false">IF(COUNT(CC20,BZ20,BW20,BT20,BQ20,BN20,BK20,BH20,BE20,BB20,AY20,AV20)=0,"",SUM(CC20,BZ20,BW20,BT20,BQ20,BN20,BK20,BH20,BE20,BB20,AY20,AV20))</f>
        <v>24000</v>
      </c>
      <c r="G20" s="13" t="n">
        <f aca="false">IF(COUNT(CD20,CA20,BX20,BU20,BR20,BO20,BL20,BI20,BF20,BC20,AZ20,AW20)=0,"",SUM(CD20,CA20,BX20,BU20,BR20,BO20,BL20,BI20,BF20,BC20,AZ20,AW20))</f>
        <v>24000</v>
      </c>
      <c r="H20" s="12" t="n">
        <f aca="false">IF(COUNT(DL20,DI20,DF20,DC20,CZ20,CW20,CT20,CQ20,CN20,CK20,CH20,CE20)=0,"",SUM(DL20,DI20,DF20,DC20,CZ20,CW20,CT20,CQ20,CN20,CK20,CH20,CE20))</f>
        <v>4000</v>
      </c>
      <c r="I20" s="12" t="n">
        <f aca="false">IF(COUNT(DM20,DJ20,DG20,DD20,DA20,CX20,CU20,CR20,CO20,CL20,CI20,CF20)=0,"",SUM(DM20,DJ20,DG20,DD20,DA20,CX20,CU20,CR20,CO20,CL20,CI20,CF20))</f>
        <v>24000</v>
      </c>
      <c r="J20" s="12" t="n">
        <f aca="false">IF(COUNT(DN20,DK20,DH20,DE20,DB20,CY20,CV20,CS20,CP20,CM20,CJ20,CG20)=0,"",SUM(DN20,DK20,DH20,DE20,DB20,CY20,CV20,CS20,CP20,CM20,CJ20,CG20))</f>
        <v>24000</v>
      </c>
      <c r="K20" s="13"/>
      <c r="L20" s="13" t="n">
        <f aca="false">IF('Cash Drivers'!L$26,Engineering!K20,Engineering!M20)</f>
        <v>2000</v>
      </c>
      <c r="M20" s="89" t="n">
        <v>2000</v>
      </c>
      <c r="N20" s="12"/>
      <c r="O20" s="12" t="n">
        <f aca="false">IF('Cash Drivers'!O$26,Engineering!N20,Engineering!P20)</f>
        <v>2000</v>
      </c>
      <c r="P20" s="90" t="n">
        <v>2000</v>
      </c>
      <c r="Q20" s="13"/>
      <c r="R20" s="13" t="n">
        <f aca="false">IF('Cash Drivers'!R$26,Engineering!Q20,Engineering!S20)</f>
        <v>2000</v>
      </c>
      <c r="S20" s="89" t="n">
        <v>2000</v>
      </c>
      <c r="T20" s="12"/>
      <c r="U20" s="12" t="n">
        <f aca="false">IF('Cash Drivers'!U$26,Engineering!T20,Engineering!V20)</f>
        <v>2000</v>
      </c>
      <c r="V20" s="90" t="n">
        <v>2000</v>
      </c>
      <c r="W20" s="13"/>
      <c r="X20" s="13" t="n">
        <f aca="false">IF('Cash Drivers'!X$26,Engineering!W20,Engineering!Y20)</f>
        <v>2000</v>
      </c>
      <c r="Y20" s="89" t="n">
        <v>2000</v>
      </c>
      <c r="Z20" s="12"/>
      <c r="AA20" s="12" t="n">
        <f aca="false">IF('Cash Drivers'!AA$26,Engineering!Z20,Engineering!AB20)</f>
        <v>2000</v>
      </c>
      <c r="AB20" s="90" t="n">
        <v>2000</v>
      </c>
      <c r="AC20" s="13"/>
      <c r="AD20" s="13" t="n">
        <f aca="false">IF('Cash Drivers'!AD$26,Engineering!AC20,Engineering!AE20)</f>
        <v>2000</v>
      </c>
      <c r="AE20" s="89" t="n">
        <v>2000</v>
      </c>
      <c r="AF20" s="12"/>
      <c r="AG20" s="12" t="n">
        <f aca="false">IF('Cash Drivers'!AG$26,Engineering!AF20,Engineering!AH20)</f>
        <v>2000</v>
      </c>
      <c r="AH20" s="90" t="n">
        <v>2000</v>
      </c>
      <c r="AI20" s="13"/>
      <c r="AJ20" s="13" t="n">
        <f aca="false">IF('Cash Drivers'!AJ$26,Engineering!AI20,Engineering!AK20)</f>
        <v>2000</v>
      </c>
      <c r="AK20" s="89" t="n">
        <v>2000</v>
      </c>
      <c r="AL20" s="12"/>
      <c r="AM20" s="12" t="n">
        <f aca="false">IF('Cash Drivers'!AM$26,Engineering!AL20,Engineering!AN20)</f>
        <v>2000</v>
      </c>
      <c r="AN20" s="90" t="n">
        <v>2000</v>
      </c>
      <c r="AO20" s="13"/>
      <c r="AP20" s="13" t="n">
        <f aca="false">IF('Cash Drivers'!AP$26,Engineering!AO20,Engineering!AQ20)</f>
        <v>2000</v>
      </c>
      <c r="AQ20" s="89" t="n">
        <v>2000</v>
      </c>
      <c r="AR20" s="12"/>
      <c r="AS20" s="12" t="n">
        <f aca="false">IF('Cash Drivers'!AS$26,Engineering!AR20,Engineering!AT20)</f>
        <v>2000</v>
      </c>
      <c r="AT20" s="90" t="n">
        <v>2000</v>
      </c>
      <c r="AU20" s="13"/>
      <c r="AV20" s="13" t="n">
        <f aca="false">IF('Cash Drivers'!AV$26,Engineering!AU20,Engineering!AW20)</f>
        <v>2000</v>
      </c>
      <c r="AW20" s="89" t="n">
        <v>2000</v>
      </c>
      <c r="AX20" s="12"/>
      <c r="AY20" s="12" t="n">
        <f aca="false">IF('Cash Drivers'!AY$26,Engineering!AX20,Engineering!AZ20)</f>
        <v>2000</v>
      </c>
      <c r="AZ20" s="90" t="n">
        <v>2000</v>
      </c>
      <c r="BA20" s="13"/>
      <c r="BB20" s="13" t="n">
        <f aca="false">IF('Cash Drivers'!BB$26,Engineering!BA20,Engineering!BC20)</f>
        <v>2000</v>
      </c>
      <c r="BC20" s="89" t="n">
        <v>2000</v>
      </c>
      <c r="BD20" s="12"/>
      <c r="BE20" s="12" t="n">
        <f aca="false">IF('Cash Drivers'!BE$26,Engineering!BD20,Engineering!BF20)</f>
        <v>2000</v>
      </c>
      <c r="BF20" s="90" t="n">
        <v>2000</v>
      </c>
      <c r="BG20" s="13"/>
      <c r="BH20" s="13" t="n">
        <f aca="false">IF('Cash Drivers'!BH$26,Engineering!BG20,Engineering!BI20)</f>
        <v>2000</v>
      </c>
      <c r="BI20" s="89" t="n">
        <v>2000</v>
      </c>
      <c r="BJ20" s="12"/>
      <c r="BK20" s="12" t="n">
        <f aca="false">IF('Cash Drivers'!BK$26,Engineering!BJ20,Engineering!BL20)</f>
        <v>2000</v>
      </c>
      <c r="BL20" s="90" t="n">
        <v>2000</v>
      </c>
      <c r="BM20" s="13"/>
      <c r="BN20" s="13" t="n">
        <f aca="false">IF('Cash Drivers'!BN$26,Engineering!BM20,Engineering!BO20)</f>
        <v>2000</v>
      </c>
      <c r="BO20" s="89" t="n">
        <v>2000</v>
      </c>
      <c r="BP20" s="12"/>
      <c r="BQ20" s="12" t="n">
        <f aca="false">IF('Cash Drivers'!BQ$26,Engineering!BP20,Engineering!BR20)</f>
        <v>2000</v>
      </c>
      <c r="BR20" s="90" t="n">
        <v>2000</v>
      </c>
      <c r="BS20" s="13"/>
      <c r="BT20" s="13" t="n">
        <f aca="false">IF('Cash Drivers'!BT$26,Engineering!BS20,Engineering!BU20)</f>
        <v>2000</v>
      </c>
      <c r="BU20" s="89" t="n">
        <v>2000</v>
      </c>
      <c r="BV20" s="12"/>
      <c r="BW20" s="12" t="n">
        <f aca="false">IF('Cash Drivers'!BW$26,Engineering!BV20,Engineering!BX20)</f>
        <v>2000</v>
      </c>
      <c r="BX20" s="90" t="n">
        <v>2000</v>
      </c>
      <c r="BY20" s="13"/>
      <c r="BZ20" s="13" t="n">
        <f aca="false">IF('Cash Drivers'!BZ$26,Engineering!BY20,Engineering!CA20)</f>
        <v>2000</v>
      </c>
      <c r="CA20" s="89" t="n">
        <v>2000</v>
      </c>
      <c r="CB20" s="12"/>
      <c r="CC20" s="12" t="n">
        <f aca="false">IF('Cash Drivers'!CC$26,Engineering!CB20,Engineering!CD20)</f>
        <v>2000</v>
      </c>
      <c r="CD20" s="90" t="n">
        <v>2000</v>
      </c>
      <c r="CE20" s="13"/>
      <c r="CF20" s="13" t="n">
        <f aca="false">IF('Cash Drivers'!CF$26,Engineering!CE20,Engineering!CG20)</f>
        <v>2000</v>
      </c>
      <c r="CG20" s="89" t="n">
        <v>2000</v>
      </c>
      <c r="CH20" s="12"/>
      <c r="CI20" s="12" t="n">
        <f aca="false">IF('Cash Drivers'!CI$26,Engineering!CH20,Engineering!CJ20)</f>
        <v>2000</v>
      </c>
      <c r="CJ20" s="90" t="n">
        <v>2000</v>
      </c>
      <c r="CK20" s="13"/>
      <c r="CL20" s="13" t="n">
        <f aca="false">IF('Cash Drivers'!CL$26,Engineering!CK20,Engineering!CM20)</f>
        <v>2000</v>
      </c>
      <c r="CM20" s="89" t="n">
        <v>2000</v>
      </c>
      <c r="CN20" s="12"/>
      <c r="CO20" s="12" t="n">
        <f aca="false">IF('Cash Drivers'!CO$26,Engineering!CN20,Engineering!CP20)</f>
        <v>2000</v>
      </c>
      <c r="CP20" s="90" t="n">
        <v>2000</v>
      </c>
      <c r="CQ20" s="13"/>
      <c r="CR20" s="13" t="n">
        <f aca="false">IF('Cash Drivers'!CR$26,Engineering!CQ20,Engineering!CS20)</f>
        <v>2000</v>
      </c>
      <c r="CS20" s="89" t="n">
        <v>2000</v>
      </c>
      <c r="CT20" s="12"/>
      <c r="CU20" s="12" t="n">
        <f aca="false">IF('Cash Drivers'!CU$26,Engineering!CT20,Engineering!CV20)</f>
        <v>2000</v>
      </c>
      <c r="CV20" s="90" t="n">
        <v>2000</v>
      </c>
      <c r="CW20" s="13"/>
      <c r="CX20" s="13" t="n">
        <f aca="false">IF('Cash Drivers'!CX$26,Engineering!CW20,Engineering!CY20)</f>
        <v>2000</v>
      </c>
      <c r="CY20" s="89" t="n">
        <v>2000</v>
      </c>
      <c r="CZ20" s="12"/>
      <c r="DA20" s="12" t="n">
        <f aca="false">IF('Cash Drivers'!DA$26,Engineering!CZ20,Engineering!DB20)</f>
        <v>2000</v>
      </c>
      <c r="DB20" s="90" t="n">
        <v>2000</v>
      </c>
      <c r="DC20" s="13"/>
      <c r="DD20" s="13" t="n">
        <f aca="false">IF('Cash Drivers'!DD$26,Engineering!DC20,Engineering!DE20)</f>
        <v>2000</v>
      </c>
      <c r="DE20" s="89" t="n">
        <v>2000</v>
      </c>
      <c r="DF20" s="12"/>
      <c r="DG20" s="12" t="n">
        <f aca="false">IF('Cash Drivers'!DG$26,Engineering!DF20,Engineering!DH20)</f>
        <v>2000</v>
      </c>
      <c r="DH20" s="90" t="n">
        <v>2000</v>
      </c>
      <c r="DI20" s="89" t="n">
        <v>2000</v>
      </c>
      <c r="DJ20" s="13" t="n">
        <f aca="false">IF('Cash Drivers'!DJ$26,Engineering!DI20,Engineering!DK20)</f>
        <v>2000</v>
      </c>
      <c r="DK20" s="89" t="n">
        <v>2000</v>
      </c>
      <c r="DL20" s="90" t="n">
        <v>2000</v>
      </c>
      <c r="DM20" s="12" t="n">
        <f aca="false">IF('Cash Drivers'!DM$26,Engineering!DL20,Engineering!DN20)</f>
        <v>2000</v>
      </c>
      <c r="DN20" s="90" t="n">
        <v>2000</v>
      </c>
    </row>
    <row r="21" customFormat="false" ht="15.75" hidden="false" customHeight="true" outlineLevel="0" collapsed="false">
      <c r="A21" s="14" t="s">
        <v>167</v>
      </c>
      <c r="B21" s="15" t="str">
        <f aca="false">IF(COUNT(AR21,AO21,AL21,AI21,AF21,AC21,Z21,W21,T21,Q21,N21,K21)=0,"",SUM(AR21,AO21,AL21,AI21,AF21,AC21,Z21,W21,T21,Q21,N21,K21))</f>
        <v/>
      </c>
      <c r="C21" s="15" t="n">
        <f aca="false">IF(COUNT(AS21,AP21,AM21,AJ21,AG21,AD21,AA21,X21,U21,R21,O21,L21)=0,"",SUM(AS21,AP21,AM21,AJ21,AG21,AD21,AA21,X21,U21,R21,O21,L21))</f>
        <v>3475620</v>
      </c>
      <c r="D21" s="15" t="n">
        <f aca="false">IF(COUNT(AT21,AQ21,AN21,AK21,AH21,AE21,AB21,Y21,V21,S21,P21,M21)=0,"",SUM(AT21,AQ21,AN21,AK21,AH21,AE21,AB21,Y21,V21,S21,P21,M21))</f>
        <v>3475620</v>
      </c>
      <c r="E21" s="16" t="str">
        <f aca="false">IF(COUNT(CB21,BY21,BV21,BS21,BP21,BM21,BJ21,BG21,BD21,BA21,AX21,AU21)=0,"",SUM(CB21,BY21,BV21,BS21,BP21,BM21,BJ21,BG21,BD21,BA21,AX21,AU21))</f>
        <v/>
      </c>
      <c r="F21" s="16" t="n">
        <f aca="false">IF(COUNT(CC21,BZ21,BW21,BT21,BQ21,BN21,BK21,BH21,BE21,BB21,AY21,AV21)=0,"",SUM(CC21,BZ21,BW21,BT21,BQ21,BN21,BK21,BH21,BE21,BB21,AY21,AV21))</f>
        <v>2707020</v>
      </c>
      <c r="G21" s="16" t="n">
        <f aca="false">IF(COUNT(CD21,CA21,BX21,BU21,BR21,BO21,BL21,BI21,BF21,BC21,AZ21,AW21)=0,"",SUM(CD21,CA21,BX21,BU21,BR21,BO21,BL21,BI21,BF21,BC21,AZ21,AW21))</f>
        <v>2707020</v>
      </c>
      <c r="H21" s="15" t="n">
        <f aca="false">IF(COUNT(DL21,DI21,DF21,DC21,CZ21,CW21,CT21,CQ21,CN21,CK21,CH21,CE21)=0,"",SUM(DL21,DI21,DF21,DC21,CZ21,CW21,CT21,CQ21,CN21,CK21,CH21,CE21))</f>
        <v>379800</v>
      </c>
      <c r="I21" s="15" t="n">
        <f aca="false">IF(COUNT(DM21,DJ21,DG21,DD21,DA21,CX21,CU21,CR21,CO21,CL21,CI21,CF21)=0,"",SUM(DM21,DJ21,DG21,DD21,DA21,CX21,CU21,CR21,CO21,CL21,CI21,CF21))</f>
        <v>2278800</v>
      </c>
      <c r="J21" s="15" t="n">
        <f aca="false">IF(COUNT(DN21,DK21,DH21,DE21,DB21,CY21,CV21,CS21,CP21,CM21,CJ21,CG21)=0,"",SUM(DN21,DK21,DH21,DE21,DB21,CY21,CV21,CS21,CP21,CM21,CJ21,CG21))</f>
        <v>2278800</v>
      </c>
      <c r="K21" s="16" t="str">
        <f aca="false">IF(COUNT(K12,K13,K14,K15,K16,K17,K18,K19,K20)=0,"",SUM(K12:K20))</f>
        <v/>
      </c>
      <c r="L21" s="16" t="n">
        <f aca="false">SUM(L12:L20)</f>
        <v>291160</v>
      </c>
      <c r="M21" s="16" t="n">
        <f aca="false">SUM(M12:M20)</f>
        <v>291160</v>
      </c>
      <c r="N21" s="15" t="str">
        <f aca="false">IF(COUNT(N12,N13,N14,N15,N16,N17,N18,N19,N20)=0,"",SUM(N12:N20))</f>
        <v/>
      </c>
      <c r="O21" s="15" t="n">
        <f aca="false">SUM(O12:O20)</f>
        <v>291160</v>
      </c>
      <c r="P21" s="15" t="n">
        <f aca="false">SUM(P12:P20)</f>
        <v>291160</v>
      </c>
      <c r="Q21" s="16" t="str">
        <f aca="false">IF(COUNT(Q12,Q13,Q14,Q15,Q16,Q17,Q18,Q19,Q20)=0,"",SUM(Q12:Q20))</f>
        <v/>
      </c>
      <c r="R21" s="16" t="n">
        <f aca="false">SUM(R12:R20)</f>
        <v>291160</v>
      </c>
      <c r="S21" s="16" t="n">
        <f aca="false">SUM(S12:S20)</f>
        <v>291160</v>
      </c>
      <c r="T21" s="15" t="str">
        <f aca="false">IF(COUNT(T12,T13,T14,T15,T16,T17,T18,T19,T20)=0,"",SUM(T12:T20))</f>
        <v/>
      </c>
      <c r="U21" s="15" t="n">
        <f aca="false">SUM(U12:U20)</f>
        <v>291160</v>
      </c>
      <c r="V21" s="15" t="n">
        <f aca="false">SUM(V12:V20)</f>
        <v>291160</v>
      </c>
      <c r="W21" s="16" t="str">
        <f aca="false">IF(COUNT(W12,W13,W14,W15,W16,W17,W18,W19,W20)=0,"",SUM(W12:W20))</f>
        <v/>
      </c>
      <c r="X21" s="16" t="n">
        <f aca="false">SUM(X12:X20)</f>
        <v>291160</v>
      </c>
      <c r="Y21" s="16" t="n">
        <f aca="false">SUM(Y12:Y20)</f>
        <v>291160</v>
      </c>
      <c r="Z21" s="15" t="str">
        <f aca="false">IF(COUNT(Z12,Z13,Z14,Z15,Z16,Z17,Z18,Z19,Z20)=0,"",SUM(Z12:Z20))</f>
        <v/>
      </c>
      <c r="AA21" s="15" t="n">
        <f aca="false">SUM(AA12:AA20)</f>
        <v>291160</v>
      </c>
      <c r="AB21" s="15" t="n">
        <f aca="false">SUM(AB12:AB20)</f>
        <v>291160</v>
      </c>
      <c r="AC21" s="16" t="str">
        <f aca="false">IF(COUNT(AC12,AC13,AC14,AC15,AC16,AC17,AC18,AC19,AC20)=0,"",SUM(AC12:AC20))</f>
        <v/>
      </c>
      <c r="AD21" s="16" t="n">
        <f aca="false">SUM(AD12:AD20)</f>
        <v>291160</v>
      </c>
      <c r="AE21" s="16" t="n">
        <f aca="false">SUM(AE12:AE20)</f>
        <v>291160</v>
      </c>
      <c r="AF21" s="15" t="str">
        <f aca="false">IF(COUNT(AF12,AF13,AF14,AF15,AF16,AF17,AF18,AF19,AF20)=0,"",SUM(AF12:AF20))</f>
        <v/>
      </c>
      <c r="AG21" s="15" t="n">
        <f aca="false">SUM(AG12:AG20)</f>
        <v>291160</v>
      </c>
      <c r="AH21" s="15" t="n">
        <f aca="false">SUM(AH12:AH20)</f>
        <v>291160</v>
      </c>
      <c r="AI21" s="16" t="str">
        <f aca="false">IF(COUNT(AI12,AI13,AI14,AI15,AI16,AI17,AI18,AI19,AI20)=0,"",SUM(AI12:AI20))</f>
        <v/>
      </c>
      <c r="AJ21" s="16" t="n">
        <f aca="false">SUM(AJ12:AJ20)</f>
        <v>291160</v>
      </c>
      <c r="AK21" s="16" t="n">
        <f aca="false">SUM(AK12:AK20)</f>
        <v>291160</v>
      </c>
      <c r="AL21" s="15" t="str">
        <f aca="false">IF(COUNT(AL12,AL13,AL14,AL15,AL16,AL17,AL18,AL19,AL20)=0,"",SUM(AL12:AL20))</f>
        <v/>
      </c>
      <c r="AM21" s="15" t="n">
        <f aca="false">SUM(AM12:AM20)</f>
        <v>291160</v>
      </c>
      <c r="AN21" s="15" t="n">
        <f aca="false">SUM(AN12:AN20)</f>
        <v>291160</v>
      </c>
      <c r="AO21" s="16" t="str">
        <f aca="false">IF(COUNT(AO12,AO13,AO14,AO15,AO16,AO17,AO18,AO19,AO20)=0,"",SUM(AO12:AO20))</f>
        <v/>
      </c>
      <c r="AP21" s="16" t="n">
        <f aca="false">SUM(AP12:AP20)</f>
        <v>291160</v>
      </c>
      <c r="AQ21" s="16" t="n">
        <f aca="false">SUM(AQ12:AQ20)</f>
        <v>291160</v>
      </c>
      <c r="AR21" s="15" t="str">
        <f aca="false">IF(COUNT(AR12,AR13,AR14,AR15,AR16,AR17,AR18,AR19,AR20)=0,"",SUM(AR12:AR20))</f>
        <v/>
      </c>
      <c r="AS21" s="15" t="n">
        <f aca="false">SUM(AS12:AS20)</f>
        <v>272860</v>
      </c>
      <c r="AT21" s="15" t="n">
        <f aca="false">SUM(AT12:AT20)</f>
        <v>272860</v>
      </c>
      <c r="AU21" s="16" t="str">
        <f aca="false">IF(COUNT(AU12,AU13,AU14,AU15,AU16,AU17,AU18,AU19,AU20)=0,"",SUM(AU12:AU20))</f>
        <v/>
      </c>
      <c r="AV21" s="16" t="n">
        <f aca="false">SUM(AV12:AV20)</f>
        <v>258220</v>
      </c>
      <c r="AW21" s="16" t="n">
        <f aca="false">SUM(AW12:AW20)</f>
        <v>258220</v>
      </c>
      <c r="AX21" s="15" t="str">
        <f aca="false">IF(COUNT(AX12,AX13,AX14,AX15,AX16,AX17,AX18,AX19,AX20)=0,"",SUM(AX12:AX20))</f>
        <v/>
      </c>
      <c r="AY21" s="15" t="n">
        <f aca="false">SUM(AY12:AY20)</f>
        <v>258220</v>
      </c>
      <c r="AZ21" s="15" t="n">
        <f aca="false">SUM(AZ12:AZ20)</f>
        <v>258220</v>
      </c>
      <c r="BA21" s="16" t="str">
        <f aca="false">IF(COUNT(BA12,BA13,BA14,BA15,BA16,BA17,BA18,BA19,BA20)=0,"",SUM(BA12:BA20))</f>
        <v/>
      </c>
      <c r="BB21" s="16" t="n">
        <f aca="false">SUM(BB12:BB20)</f>
        <v>239920</v>
      </c>
      <c r="BC21" s="16" t="n">
        <f aca="false">SUM(BC12:BC20)</f>
        <v>239920</v>
      </c>
      <c r="BD21" s="15" t="str">
        <f aca="false">IF(COUNT(BD12,BD13,BD14,BD15,BD16,BD17,BD18,BD19,BD20)=0,"",SUM(BD12:BD20))</f>
        <v/>
      </c>
      <c r="BE21" s="15" t="n">
        <f aca="false">SUM(BE12:BE20)</f>
        <v>239920</v>
      </c>
      <c r="BF21" s="15" t="n">
        <f aca="false">SUM(BF12:BF20)</f>
        <v>239920</v>
      </c>
      <c r="BG21" s="16" t="str">
        <f aca="false">IF(COUNT(BG12,BG13,BG14,BG15,BG16,BG17,BG18,BG19,BG20)=0,"",SUM(BG12:BG20))</f>
        <v/>
      </c>
      <c r="BH21" s="16" t="n">
        <f aca="false">SUM(BH12:BH20)</f>
        <v>239920</v>
      </c>
      <c r="BI21" s="16" t="n">
        <f aca="false">SUM(BI12:BI20)</f>
        <v>239920</v>
      </c>
      <c r="BJ21" s="15" t="str">
        <f aca="false">IF(COUNT(BJ12,BJ13,BJ14,BJ15,BJ16,BJ17,BJ18,BJ19,BJ20)=0,"",SUM(BJ12:BJ20))</f>
        <v/>
      </c>
      <c r="BK21" s="15" t="n">
        <f aca="false">SUM(BK12:BK20)</f>
        <v>224060</v>
      </c>
      <c r="BL21" s="15" t="n">
        <f aca="false">SUM(BL12:BL20)</f>
        <v>224060</v>
      </c>
      <c r="BM21" s="16" t="str">
        <f aca="false">IF(COUNT(BM12,BM13,BM14,BM15,BM16,BM17,BM18,BM19,BM20)=0,"",SUM(BM12:BM20))</f>
        <v/>
      </c>
      <c r="BN21" s="16" t="n">
        <f aca="false">SUM(BN12:BN20)</f>
        <v>224060</v>
      </c>
      <c r="BO21" s="16" t="n">
        <f aca="false">SUM(BO12:BO20)</f>
        <v>224060</v>
      </c>
      <c r="BP21" s="15" t="str">
        <f aca="false">IF(COUNT(BP12,BP13,BP14,BP15,BP16,BP17,BP18,BP19,BP20)=0,"",SUM(BP12:BP20))</f>
        <v/>
      </c>
      <c r="BQ21" s="15" t="n">
        <f aca="false">SUM(BQ12:BQ20)</f>
        <v>208200</v>
      </c>
      <c r="BR21" s="15" t="n">
        <f aca="false">SUM(BR12:BR20)</f>
        <v>208200</v>
      </c>
      <c r="BS21" s="16" t="str">
        <f aca="false">IF(COUNT(BS12,BS13,BS14,BS15,BS16,BS17,BS18,BS19,BS20)=0,"",SUM(BS12:BS20))</f>
        <v/>
      </c>
      <c r="BT21" s="16" t="n">
        <f aca="false">SUM(BT12:BT20)</f>
        <v>208200</v>
      </c>
      <c r="BU21" s="16" t="n">
        <f aca="false">SUM(BU12:BU20)</f>
        <v>208200</v>
      </c>
      <c r="BV21" s="15" t="str">
        <f aca="false">IF(COUNT(BV12,BV13,BV14,BV15,BV16,BV17,BV18,BV19,BV20)=0,"",SUM(BV12:BV20))</f>
        <v/>
      </c>
      <c r="BW21" s="15" t="n">
        <f aca="false">SUM(BW12:BW20)</f>
        <v>208200</v>
      </c>
      <c r="BX21" s="15" t="n">
        <f aca="false">SUM(BX12:BX20)</f>
        <v>208200</v>
      </c>
      <c r="BY21" s="16" t="str">
        <f aca="false">IF(COUNT(BY12,BY13,BY14,BY15,BY16,BY17,BY18,BY19,BY20)=0,"",SUM(BY12:BY20))</f>
        <v/>
      </c>
      <c r="BZ21" s="16" t="n">
        <f aca="false">SUM(BZ12:BZ20)</f>
        <v>208200</v>
      </c>
      <c r="CA21" s="16" t="n">
        <f aca="false">SUM(CA12:CA20)</f>
        <v>208200</v>
      </c>
      <c r="CB21" s="15" t="str">
        <f aca="false">IF(COUNT(CB12,CB13,CB14,CB15,CB16,CB17,CB18,CB19,CB20)=0,"",SUM(CB12:CB20))</f>
        <v/>
      </c>
      <c r="CC21" s="15" t="n">
        <f aca="false">SUM(CC12:CC20)</f>
        <v>189900</v>
      </c>
      <c r="CD21" s="15" t="n">
        <f aca="false">SUM(CD12:CD20)</f>
        <v>189900</v>
      </c>
      <c r="CE21" s="16" t="str">
        <f aca="false">IF(COUNT(CE12,CE13,CE14,CE15,CE16,CE17,CE18,CE19,CE20)=0,"",SUM(CE12:CE20))</f>
        <v/>
      </c>
      <c r="CF21" s="16" t="n">
        <f aca="false">SUM(CF12:CF20)</f>
        <v>189900</v>
      </c>
      <c r="CG21" s="16" t="n">
        <f aca="false">SUM(CG12:CG20)</f>
        <v>189900</v>
      </c>
      <c r="CH21" s="15" t="str">
        <f aca="false">IF(COUNT(CH12,CH13,CH14,CH15,CH16,CH17,CH18,CH19,CH20)=0,"",SUM(CH12:CH20))</f>
        <v/>
      </c>
      <c r="CI21" s="15" t="n">
        <f aca="false">SUM(CI12:CI20)</f>
        <v>189900</v>
      </c>
      <c r="CJ21" s="15" t="n">
        <f aca="false">SUM(CJ12:CJ20)</f>
        <v>189900</v>
      </c>
      <c r="CK21" s="16" t="str">
        <f aca="false">IF(COUNT(CK12,CK13,CK14,CK15,CK16,CK17,CK18,CK19,CK20)=0,"",SUM(CK12:CK20))</f>
        <v/>
      </c>
      <c r="CL21" s="16" t="n">
        <f aca="false">SUM(CL12:CL20)</f>
        <v>189900</v>
      </c>
      <c r="CM21" s="16" t="n">
        <f aca="false">SUM(CM12:CM20)</f>
        <v>189900</v>
      </c>
      <c r="CN21" s="15" t="str">
        <f aca="false">IF(COUNT(CN12,CN13,CN14,CN15,CN16,CN17,CN18,CN19,CN20)=0,"",SUM(CN12:CN20))</f>
        <v/>
      </c>
      <c r="CO21" s="15" t="n">
        <f aca="false">SUM(CO12:CO20)</f>
        <v>189900</v>
      </c>
      <c r="CP21" s="15" t="n">
        <f aca="false">SUM(CP12:CP20)</f>
        <v>189900</v>
      </c>
      <c r="CQ21" s="16" t="str">
        <f aca="false">IF(COUNT(CQ12,CQ13,CQ14,CQ15,CQ16,CQ17,CQ18,CQ19,CQ20)=0,"",SUM(CQ12:CQ20))</f>
        <v/>
      </c>
      <c r="CR21" s="16" t="n">
        <f aca="false">SUM(CR12:CR20)</f>
        <v>189900</v>
      </c>
      <c r="CS21" s="16" t="n">
        <f aca="false">SUM(CS12:CS20)</f>
        <v>189900</v>
      </c>
      <c r="CT21" s="15" t="str">
        <f aca="false">IF(COUNT(CT12,CT13,CT14,CT15,CT16,CT17,CT18,CT19,CT20)=0,"",SUM(CT12:CT20))</f>
        <v/>
      </c>
      <c r="CU21" s="15" t="n">
        <f aca="false">SUM(CU12:CU20)</f>
        <v>189900</v>
      </c>
      <c r="CV21" s="15" t="n">
        <f aca="false">SUM(CV12:CV20)</f>
        <v>189900</v>
      </c>
      <c r="CW21" s="16" t="str">
        <f aca="false">IF(COUNT(CW12,CW13,CW14,CW15,CW16,CW17,CW18,CW19,CW20)=0,"",SUM(CW12:CW20))</f>
        <v/>
      </c>
      <c r="CX21" s="16" t="n">
        <f aca="false">SUM(CX12:CX20)</f>
        <v>189900</v>
      </c>
      <c r="CY21" s="16" t="n">
        <f aca="false">SUM(CY12:CY20)</f>
        <v>189900</v>
      </c>
      <c r="CZ21" s="15" t="str">
        <f aca="false">IF(COUNT(CZ12,CZ13,CZ14,CZ15,CZ16,CZ17,CZ18,CZ19,CZ20)=0,"",SUM(CZ12:CZ20))</f>
        <v/>
      </c>
      <c r="DA21" s="15" t="n">
        <f aca="false">SUM(DA12:DA20)</f>
        <v>189900</v>
      </c>
      <c r="DB21" s="15" t="n">
        <f aca="false">SUM(DB12:DB20)</f>
        <v>189900</v>
      </c>
      <c r="DC21" s="16" t="str">
        <f aca="false">IF(COUNT(DC12,DC13,DC14,DC15,DC16,DC17,DC18,DC19,DC20)=0,"",SUM(DC12:DC20))</f>
        <v/>
      </c>
      <c r="DD21" s="16" t="n">
        <f aca="false">SUM(DD12:DD20)</f>
        <v>189900</v>
      </c>
      <c r="DE21" s="16" t="n">
        <f aca="false">SUM(DE12:DE20)</f>
        <v>189900</v>
      </c>
      <c r="DF21" s="15" t="str">
        <f aca="false">IF(COUNT(DF12,DF13,DF14,DF15,DF16,DF17,DF18,DF19,DF20)=0,"",SUM(DF12:DF20))</f>
        <v/>
      </c>
      <c r="DG21" s="15" t="n">
        <f aca="false">SUM(DG12:DG20)</f>
        <v>189900</v>
      </c>
      <c r="DH21" s="15" t="n">
        <f aca="false">SUM(DH12:DH20)</f>
        <v>189900</v>
      </c>
      <c r="DI21" s="16" t="n">
        <f aca="false">IF(COUNT(DI12,DI13,DI14,DI15,DI16,DI17,DI18,DI19,DI20)=0,"",SUM(DI12:DI20))</f>
        <v>189900</v>
      </c>
      <c r="DJ21" s="16" t="n">
        <f aca="false">SUM(DJ12:DJ20)</f>
        <v>189900</v>
      </c>
      <c r="DK21" s="16" t="n">
        <f aca="false">SUM(DK12:DK20)</f>
        <v>189900</v>
      </c>
      <c r="DL21" s="15" t="n">
        <f aca="false">IF(COUNT(DL12,DL13,DL14,DL15,DL16,DL17,DL18,DL19,DL20)=0,"",SUM(DL12:DL20))</f>
        <v>189900</v>
      </c>
      <c r="DM21" s="15" t="n">
        <f aca="false">SUM(DM12:DM20)</f>
        <v>189900</v>
      </c>
      <c r="DN21" s="15" t="n">
        <f aca="false">SUM(DN12:DN20)</f>
        <v>189900</v>
      </c>
    </row>
    <row r="22" customFormat="false" ht="15.75" hidden="false" customHeight="true" outlineLevel="0" collapsed="false">
      <c r="A22" s="5" t="s">
        <v>258</v>
      </c>
      <c r="B22" s="12" t="str">
        <f aca="false">IF(COUNT(AR22,AO22,AL22,AI22,AF22,AC22,Z22,W22,T22,Q22,N22,K22)=0,"",SUM(AR22,AO22,AL22,AI22,AF22,AC22,Z22,W22,T22,Q22,N22,K22))</f>
        <v/>
      </c>
      <c r="C22" s="12" t="n">
        <f aca="false">IF(COUNT(AS22,AP22,AM22,AJ22,AG22,AD22,AA22,X22,U22,R22,O22,L22)=0,"",SUM(AS22,AP22,AM22,AJ22,AG22,AD22,AA22,X22,U22,R22,O22,L22))</f>
        <v>48000</v>
      </c>
      <c r="D22" s="12" t="n">
        <f aca="false">IF(COUNT(AT22,AQ22,AN22,AK22,AH22,AE22,AB22,Y22,V22,S22,P22,M22)=0,"",SUM(AT22,AQ22,AN22,AK22,AH22,AE22,AB22,Y22,V22,S22,P22,M22))</f>
        <v>48000</v>
      </c>
      <c r="E22" s="13" t="str">
        <f aca="false">IF(COUNT(CB22,BY22,BV22,BS22,BP22,BM22,BJ22,BG22,BD22,BA22,AX22,AU22)=0,"",SUM(CB22,BY22,BV22,BS22,BP22,BM22,BJ22,BG22,BD22,BA22,AX22,AU22))</f>
        <v/>
      </c>
      <c r="F22" s="13" t="n">
        <f aca="false">IF(COUNT(CC22,BZ22,BW22,BT22,BQ22,BN22,BK22,BH22,BE22,BB22,AY22,AV22)=0,"",SUM(CC22,BZ22,BW22,BT22,BQ22,BN22,BK22,BH22,BE22,BB22,AY22,AV22))</f>
        <v>48000</v>
      </c>
      <c r="G22" s="13" t="n">
        <f aca="false">IF(COUNT(CD22,CA22,BX22,BU22,BR22,BO22,BL22,BI22,BF22,BC22,AZ22,AW22)=0,"",SUM(CD22,CA22,BX22,BU22,BR22,BO22,BL22,BI22,BF22,BC22,AZ22,AW22))</f>
        <v>48000</v>
      </c>
      <c r="H22" s="12" t="n">
        <f aca="false">IF(COUNT(DL22,DI22,DF22,DC22,CZ22,CW22,CT22,CQ22,CN22,CK22,CH22,CE22)=0,"",SUM(DL22,DI22,DF22,DC22,CZ22,CW22,CT22,CQ22,CN22,CK22,CH22,CE22))</f>
        <v>8000</v>
      </c>
      <c r="I22" s="12" t="n">
        <f aca="false">IF(COUNT(DM22,DJ22,DG22,DD22,DA22,CX22,CU22,CR22,CO22,CL22,CI22,CF22)=0,"",SUM(DM22,DJ22,DG22,DD22,DA22,CX22,CU22,CR22,CO22,CL22,CI22,CF22))</f>
        <v>48000</v>
      </c>
      <c r="J22" s="12" t="n">
        <f aca="false">IF(COUNT(DN22,DK22,DH22,DE22,DB22,CY22,CV22,CS22,CP22,CM22,CJ22,CG22)=0,"",SUM(DN22,DK22,DH22,DE22,DB22,CY22,CV22,CS22,CP22,CM22,CJ22,CG22))</f>
        <v>48000</v>
      </c>
      <c r="K22" s="13"/>
      <c r="L22" s="13" t="n">
        <f aca="false">IF('Cash Drivers'!L$26,Engineering!K22,Engineering!M22)</f>
        <v>4000</v>
      </c>
      <c r="M22" s="89" t="n">
        <v>4000</v>
      </c>
      <c r="N22" s="12"/>
      <c r="O22" s="12" t="n">
        <f aca="false">IF('Cash Drivers'!O$26,Engineering!N22,Engineering!P22)</f>
        <v>4000</v>
      </c>
      <c r="P22" s="90" t="n">
        <v>4000</v>
      </c>
      <c r="Q22" s="13"/>
      <c r="R22" s="13" t="n">
        <f aca="false">IF('Cash Drivers'!R$26,Engineering!Q22,Engineering!S22)</f>
        <v>4000</v>
      </c>
      <c r="S22" s="89" t="n">
        <v>4000</v>
      </c>
      <c r="T22" s="12"/>
      <c r="U22" s="12" t="n">
        <f aca="false">IF('Cash Drivers'!U$26,Engineering!T22,Engineering!V22)</f>
        <v>4000</v>
      </c>
      <c r="V22" s="90" t="n">
        <v>4000</v>
      </c>
      <c r="W22" s="13"/>
      <c r="X22" s="13" t="n">
        <f aca="false">IF('Cash Drivers'!X$26,Engineering!W22,Engineering!Y22)</f>
        <v>4000</v>
      </c>
      <c r="Y22" s="89" t="n">
        <v>4000</v>
      </c>
      <c r="Z22" s="12"/>
      <c r="AA22" s="12" t="n">
        <f aca="false">IF('Cash Drivers'!AA$26,Engineering!Z22,Engineering!AB22)</f>
        <v>4000</v>
      </c>
      <c r="AB22" s="90" t="n">
        <v>4000</v>
      </c>
      <c r="AC22" s="13"/>
      <c r="AD22" s="13" t="n">
        <f aca="false">IF('Cash Drivers'!AD$26,Engineering!AC22,Engineering!AE22)</f>
        <v>4000</v>
      </c>
      <c r="AE22" s="89" t="n">
        <v>4000</v>
      </c>
      <c r="AF22" s="12"/>
      <c r="AG22" s="12" t="n">
        <f aca="false">IF('Cash Drivers'!AG$26,Engineering!AF22,Engineering!AH22)</f>
        <v>4000</v>
      </c>
      <c r="AH22" s="90" t="n">
        <v>4000</v>
      </c>
      <c r="AI22" s="13"/>
      <c r="AJ22" s="13" t="n">
        <f aca="false">IF('Cash Drivers'!AJ$26,Engineering!AI22,Engineering!AK22)</f>
        <v>4000</v>
      </c>
      <c r="AK22" s="89" t="n">
        <v>4000</v>
      </c>
      <c r="AL22" s="12"/>
      <c r="AM22" s="12" t="n">
        <f aca="false">IF('Cash Drivers'!AM$26,Engineering!AL22,Engineering!AN22)</f>
        <v>4000</v>
      </c>
      <c r="AN22" s="90" t="n">
        <v>4000</v>
      </c>
      <c r="AO22" s="13"/>
      <c r="AP22" s="13" t="n">
        <f aca="false">IF('Cash Drivers'!AP$26,Engineering!AO22,Engineering!AQ22)</f>
        <v>4000</v>
      </c>
      <c r="AQ22" s="89" t="n">
        <v>4000</v>
      </c>
      <c r="AR22" s="12"/>
      <c r="AS22" s="12" t="n">
        <f aca="false">IF('Cash Drivers'!AS$26,Engineering!AR22,Engineering!AT22)</f>
        <v>4000</v>
      </c>
      <c r="AT22" s="90" t="n">
        <v>4000</v>
      </c>
      <c r="AU22" s="13"/>
      <c r="AV22" s="13" t="n">
        <f aca="false">IF('Cash Drivers'!AV$26,Engineering!AU22,Engineering!AW22)</f>
        <v>4000</v>
      </c>
      <c r="AW22" s="89" t="n">
        <v>4000</v>
      </c>
      <c r="AX22" s="12"/>
      <c r="AY22" s="12" t="n">
        <f aca="false">IF('Cash Drivers'!AY$26,Engineering!AX22,Engineering!AZ22)</f>
        <v>4000</v>
      </c>
      <c r="AZ22" s="90" t="n">
        <v>4000</v>
      </c>
      <c r="BA22" s="13"/>
      <c r="BB22" s="13" t="n">
        <f aca="false">IF('Cash Drivers'!BB$26,Engineering!BA22,Engineering!BC22)</f>
        <v>4000</v>
      </c>
      <c r="BC22" s="89" t="n">
        <v>4000</v>
      </c>
      <c r="BD22" s="12"/>
      <c r="BE22" s="12" t="n">
        <f aca="false">IF('Cash Drivers'!BE$26,Engineering!BD22,Engineering!BF22)</f>
        <v>4000</v>
      </c>
      <c r="BF22" s="90" t="n">
        <v>4000</v>
      </c>
      <c r="BG22" s="13"/>
      <c r="BH22" s="13" t="n">
        <f aca="false">IF('Cash Drivers'!BH$26,Engineering!BG22,Engineering!BI22)</f>
        <v>4000</v>
      </c>
      <c r="BI22" s="89" t="n">
        <v>4000</v>
      </c>
      <c r="BJ22" s="12"/>
      <c r="BK22" s="12" t="n">
        <f aca="false">IF('Cash Drivers'!BK$26,Engineering!BJ22,Engineering!BL22)</f>
        <v>4000</v>
      </c>
      <c r="BL22" s="90" t="n">
        <v>4000</v>
      </c>
      <c r="BM22" s="13"/>
      <c r="BN22" s="13" t="n">
        <f aca="false">IF('Cash Drivers'!BN$26,Engineering!BM22,Engineering!BO22)</f>
        <v>4000</v>
      </c>
      <c r="BO22" s="89" t="n">
        <v>4000</v>
      </c>
      <c r="BP22" s="12"/>
      <c r="BQ22" s="12" t="n">
        <f aca="false">IF('Cash Drivers'!BQ$26,Engineering!BP22,Engineering!BR22)</f>
        <v>4000</v>
      </c>
      <c r="BR22" s="90" t="n">
        <v>4000</v>
      </c>
      <c r="BS22" s="13"/>
      <c r="BT22" s="13" t="n">
        <f aca="false">IF('Cash Drivers'!BT$26,Engineering!BS22,Engineering!BU22)</f>
        <v>4000</v>
      </c>
      <c r="BU22" s="89" t="n">
        <v>4000</v>
      </c>
      <c r="BV22" s="12"/>
      <c r="BW22" s="12" t="n">
        <f aca="false">IF('Cash Drivers'!BW$26,Engineering!BV22,Engineering!BX22)</f>
        <v>4000</v>
      </c>
      <c r="BX22" s="90" t="n">
        <v>4000</v>
      </c>
      <c r="BY22" s="13"/>
      <c r="BZ22" s="13" t="n">
        <f aca="false">IF('Cash Drivers'!BZ$26,Engineering!BY22,Engineering!CA22)</f>
        <v>4000</v>
      </c>
      <c r="CA22" s="89" t="n">
        <v>4000</v>
      </c>
      <c r="CB22" s="12"/>
      <c r="CC22" s="12" t="n">
        <f aca="false">IF('Cash Drivers'!CC$26,Engineering!CB22,Engineering!CD22)</f>
        <v>4000</v>
      </c>
      <c r="CD22" s="90" t="n">
        <v>4000</v>
      </c>
      <c r="CE22" s="13"/>
      <c r="CF22" s="13" t="n">
        <f aca="false">IF('Cash Drivers'!CF$26,Engineering!CE22,Engineering!CG22)</f>
        <v>4000</v>
      </c>
      <c r="CG22" s="89" t="n">
        <v>4000</v>
      </c>
      <c r="CH22" s="12"/>
      <c r="CI22" s="12" t="n">
        <f aca="false">IF('Cash Drivers'!CI$26,Engineering!CH22,Engineering!CJ22)</f>
        <v>4000</v>
      </c>
      <c r="CJ22" s="90" t="n">
        <v>4000</v>
      </c>
      <c r="CK22" s="13"/>
      <c r="CL22" s="13" t="n">
        <f aca="false">IF('Cash Drivers'!CL$26,Engineering!CK22,Engineering!CM22)</f>
        <v>4000</v>
      </c>
      <c r="CM22" s="89" t="n">
        <v>4000</v>
      </c>
      <c r="CN22" s="12"/>
      <c r="CO22" s="12" t="n">
        <f aca="false">IF('Cash Drivers'!CO$26,Engineering!CN22,Engineering!CP22)</f>
        <v>4000</v>
      </c>
      <c r="CP22" s="90" t="n">
        <v>4000</v>
      </c>
      <c r="CQ22" s="13"/>
      <c r="CR22" s="13" t="n">
        <f aca="false">IF('Cash Drivers'!CR$26,Engineering!CQ22,Engineering!CS22)</f>
        <v>4000</v>
      </c>
      <c r="CS22" s="89" t="n">
        <v>4000</v>
      </c>
      <c r="CT22" s="12"/>
      <c r="CU22" s="12" t="n">
        <f aca="false">IF('Cash Drivers'!CU$26,Engineering!CT22,Engineering!CV22)</f>
        <v>4000</v>
      </c>
      <c r="CV22" s="90" t="n">
        <v>4000</v>
      </c>
      <c r="CW22" s="13"/>
      <c r="CX22" s="13" t="n">
        <f aca="false">IF('Cash Drivers'!CX$26,Engineering!CW22,Engineering!CY22)</f>
        <v>4000</v>
      </c>
      <c r="CY22" s="89" t="n">
        <v>4000</v>
      </c>
      <c r="CZ22" s="12"/>
      <c r="DA22" s="12" t="n">
        <f aca="false">IF('Cash Drivers'!DA$26,Engineering!CZ22,Engineering!DB22)</f>
        <v>4000</v>
      </c>
      <c r="DB22" s="90" t="n">
        <v>4000</v>
      </c>
      <c r="DC22" s="13"/>
      <c r="DD22" s="13" t="n">
        <f aca="false">IF('Cash Drivers'!DD$26,Engineering!DC22,Engineering!DE22)</f>
        <v>4000</v>
      </c>
      <c r="DE22" s="89" t="n">
        <v>4000</v>
      </c>
      <c r="DF22" s="12"/>
      <c r="DG22" s="12" t="n">
        <f aca="false">IF('Cash Drivers'!DG$26,Engineering!DF22,Engineering!DH22)</f>
        <v>4000</v>
      </c>
      <c r="DH22" s="90" t="n">
        <v>4000</v>
      </c>
      <c r="DI22" s="89" t="n">
        <v>4000</v>
      </c>
      <c r="DJ22" s="13" t="n">
        <f aca="false">IF('Cash Drivers'!DJ$26,Engineering!DI22,Engineering!DK22)</f>
        <v>4000</v>
      </c>
      <c r="DK22" s="89" t="n">
        <v>4000</v>
      </c>
      <c r="DL22" s="90" t="n">
        <v>4000</v>
      </c>
      <c r="DM22" s="12" t="n">
        <f aca="false">IF('Cash Drivers'!DM$26,Engineering!DL22,Engineering!DN22)</f>
        <v>4000</v>
      </c>
      <c r="DN22" s="90" t="n">
        <v>4000</v>
      </c>
    </row>
    <row r="23" customFormat="false" ht="15.75" hidden="false" customHeight="true" outlineLevel="0" collapsed="false">
      <c r="A23" s="5" t="s">
        <v>259</v>
      </c>
      <c r="B23" s="12" t="str">
        <f aca="false">IF(COUNT(AR23,AO23,AL23,AI23,AF23,AC23,Z23,W23,T23,Q23,N23,K23)=0,"",SUM(AR23,AO23,AL23,AI23,AF23,AC23,Z23,W23,T23,Q23,N23,K23))</f>
        <v/>
      </c>
      <c r="C23" s="12" t="n">
        <f aca="false">IF(COUNT(AS23,AP23,AM23,AJ23,AG23,AD23,AA23,X23,U23,R23,O23,L23)=0,"",SUM(AS23,AP23,AM23,AJ23,AG23,AD23,AA23,X23,U23,R23,O23,L23))</f>
        <v>36000</v>
      </c>
      <c r="D23" s="12" t="n">
        <f aca="false">IF(COUNT(AT23,AQ23,AN23,AK23,AH23,AE23,AB23,Y23,V23,S23,P23,M23)=0,"",SUM(AT23,AQ23,AN23,AK23,AH23,AE23,AB23,Y23,V23,S23,P23,M23))</f>
        <v>36000</v>
      </c>
      <c r="E23" s="13" t="str">
        <f aca="false">IF(COUNT(CB23,BY23,BV23,BS23,BP23,BM23,BJ23,BG23,BD23,BA23,AX23,AU23)=0,"",SUM(CB23,BY23,BV23,BS23,BP23,BM23,BJ23,BG23,BD23,BA23,AX23,AU23))</f>
        <v/>
      </c>
      <c r="F23" s="13" t="n">
        <f aca="false">IF(COUNT(CC23,BZ23,BW23,BT23,BQ23,BN23,BK23,BH23,BE23,BB23,AY23,AV23)=0,"",SUM(CC23,BZ23,BW23,BT23,BQ23,BN23,BK23,BH23,BE23,BB23,AY23,AV23))</f>
        <v>36000</v>
      </c>
      <c r="G23" s="13" t="n">
        <f aca="false">IF(COUNT(CD23,CA23,BX23,BU23,BR23,BO23,BL23,BI23,BF23,BC23,AZ23,AW23)=0,"",SUM(CD23,CA23,BX23,BU23,BR23,BO23,BL23,BI23,BF23,BC23,AZ23,AW23))</f>
        <v>36000</v>
      </c>
      <c r="H23" s="12" t="n">
        <f aca="false">IF(COUNT(DL23,DI23,DF23,DC23,CZ23,CW23,CT23,CQ23,CN23,CK23,CH23,CE23)=0,"",SUM(DL23,DI23,DF23,DC23,CZ23,CW23,CT23,CQ23,CN23,CK23,CH23,CE23))</f>
        <v>6000</v>
      </c>
      <c r="I23" s="12" t="n">
        <f aca="false">IF(COUNT(DM23,DJ23,DG23,DD23,DA23,CX23,CU23,CR23,CO23,CL23,CI23,CF23)=0,"",SUM(DM23,DJ23,DG23,DD23,DA23,CX23,CU23,CR23,CO23,CL23,CI23,CF23))</f>
        <v>36000</v>
      </c>
      <c r="J23" s="12" t="n">
        <f aca="false">IF(COUNT(DN23,DK23,DH23,DE23,DB23,CY23,CV23,CS23,CP23,CM23,CJ23,CG23)=0,"",SUM(DN23,DK23,DH23,DE23,DB23,CY23,CV23,CS23,CP23,CM23,CJ23,CG23))</f>
        <v>36000</v>
      </c>
      <c r="K23" s="13"/>
      <c r="L23" s="13" t="n">
        <f aca="false">IF('Cash Drivers'!L$26,Engineering!K23,Engineering!M23)</f>
        <v>3000</v>
      </c>
      <c r="M23" s="89" t="n">
        <v>3000</v>
      </c>
      <c r="N23" s="12"/>
      <c r="O23" s="12" t="n">
        <f aca="false">IF('Cash Drivers'!O$26,Engineering!N23,Engineering!P23)</f>
        <v>3000</v>
      </c>
      <c r="P23" s="90" t="n">
        <v>3000</v>
      </c>
      <c r="Q23" s="13"/>
      <c r="R23" s="13" t="n">
        <f aca="false">IF('Cash Drivers'!R$26,Engineering!Q23,Engineering!S23)</f>
        <v>3000</v>
      </c>
      <c r="S23" s="89" t="n">
        <v>3000</v>
      </c>
      <c r="T23" s="12"/>
      <c r="U23" s="12" t="n">
        <f aca="false">IF('Cash Drivers'!U$26,Engineering!T23,Engineering!V23)</f>
        <v>3000</v>
      </c>
      <c r="V23" s="90" t="n">
        <v>3000</v>
      </c>
      <c r="W23" s="13"/>
      <c r="X23" s="13" t="n">
        <f aca="false">IF('Cash Drivers'!X$26,Engineering!W23,Engineering!Y23)</f>
        <v>3000</v>
      </c>
      <c r="Y23" s="89" t="n">
        <v>3000</v>
      </c>
      <c r="Z23" s="12"/>
      <c r="AA23" s="12" t="n">
        <f aca="false">IF('Cash Drivers'!AA$26,Engineering!Z23,Engineering!AB23)</f>
        <v>3000</v>
      </c>
      <c r="AB23" s="90" t="n">
        <v>3000</v>
      </c>
      <c r="AC23" s="13"/>
      <c r="AD23" s="13" t="n">
        <f aca="false">IF('Cash Drivers'!AD$26,Engineering!AC23,Engineering!AE23)</f>
        <v>3000</v>
      </c>
      <c r="AE23" s="89" t="n">
        <v>3000</v>
      </c>
      <c r="AF23" s="12"/>
      <c r="AG23" s="12" t="n">
        <f aca="false">IF('Cash Drivers'!AG$26,Engineering!AF23,Engineering!AH23)</f>
        <v>3000</v>
      </c>
      <c r="AH23" s="90" t="n">
        <v>3000</v>
      </c>
      <c r="AI23" s="13"/>
      <c r="AJ23" s="13" t="n">
        <f aca="false">IF('Cash Drivers'!AJ$26,Engineering!AI23,Engineering!AK23)</f>
        <v>3000</v>
      </c>
      <c r="AK23" s="89" t="n">
        <v>3000</v>
      </c>
      <c r="AL23" s="12"/>
      <c r="AM23" s="12" t="n">
        <f aca="false">IF('Cash Drivers'!AM$26,Engineering!AL23,Engineering!AN23)</f>
        <v>3000</v>
      </c>
      <c r="AN23" s="90" t="n">
        <v>3000</v>
      </c>
      <c r="AO23" s="13"/>
      <c r="AP23" s="13" t="n">
        <f aca="false">IF('Cash Drivers'!AP$26,Engineering!AO23,Engineering!AQ23)</f>
        <v>3000</v>
      </c>
      <c r="AQ23" s="89" t="n">
        <v>3000</v>
      </c>
      <c r="AR23" s="12"/>
      <c r="AS23" s="12" t="n">
        <f aca="false">IF('Cash Drivers'!AS$26,Engineering!AR23,Engineering!AT23)</f>
        <v>3000</v>
      </c>
      <c r="AT23" s="90" t="n">
        <v>3000</v>
      </c>
      <c r="AU23" s="13"/>
      <c r="AV23" s="13" t="n">
        <f aca="false">IF('Cash Drivers'!AV$26,Engineering!AU23,Engineering!AW23)</f>
        <v>3000</v>
      </c>
      <c r="AW23" s="89" t="n">
        <v>3000</v>
      </c>
      <c r="AX23" s="12"/>
      <c r="AY23" s="12" t="n">
        <f aca="false">IF('Cash Drivers'!AY$26,Engineering!AX23,Engineering!AZ23)</f>
        <v>3000</v>
      </c>
      <c r="AZ23" s="90" t="n">
        <v>3000</v>
      </c>
      <c r="BA23" s="13"/>
      <c r="BB23" s="13" t="n">
        <f aca="false">IF('Cash Drivers'!BB$26,Engineering!BA23,Engineering!BC23)</f>
        <v>3000</v>
      </c>
      <c r="BC23" s="89" t="n">
        <v>3000</v>
      </c>
      <c r="BD23" s="12"/>
      <c r="BE23" s="12" t="n">
        <f aca="false">IF('Cash Drivers'!BE$26,Engineering!BD23,Engineering!BF23)</f>
        <v>3000</v>
      </c>
      <c r="BF23" s="90" t="n">
        <v>3000</v>
      </c>
      <c r="BG23" s="13"/>
      <c r="BH23" s="13" t="n">
        <f aca="false">IF('Cash Drivers'!BH$26,Engineering!BG23,Engineering!BI23)</f>
        <v>3000</v>
      </c>
      <c r="BI23" s="89" t="n">
        <v>3000</v>
      </c>
      <c r="BJ23" s="12"/>
      <c r="BK23" s="12" t="n">
        <f aca="false">IF('Cash Drivers'!BK$26,Engineering!BJ23,Engineering!BL23)</f>
        <v>3000</v>
      </c>
      <c r="BL23" s="90" t="n">
        <v>3000</v>
      </c>
      <c r="BM23" s="13"/>
      <c r="BN23" s="13" t="n">
        <f aca="false">IF('Cash Drivers'!BN$26,Engineering!BM23,Engineering!BO23)</f>
        <v>3000</v>
      </c>
      <c r="BO23" s="89" t="n">
        <v>3000</v>
      </c>
      <c r="BP23" s="12"/>
      <c r="BQ23" s="12" t="n">
        <f aca="false">IF('Cash Drivers'!BQ$26,Engineering!BP23,Engineering!BR23)</f>
        <v>3000</v>
      </c>
      <c r="BR23" s="90" t="n">
        <v>3000</v>
      </c>
      <c r="BS23" s="13"/>
      <c r="BT23" s="13" t="n">
        <f aca="false">IF('Cash Drivers'!BT$26,Engineering!BS23,Engineering!BU23)</f>
        <v>3000</v>
      </c>
      <c r="BU23" s="89" t="n">
        <v>3000</v>
      </c>
      <c r="BV23" s="12"/>
      <c r="BW23" s="12" t="n">
        <f aca="false">IF('Cash Drivers'!BW$26,Engineering!BV23,Engineering!BX23)</f>
        <v>3000</v>
      </c>
      <c r="BX23" s="90" t="n">
        <v>3000</v>
      </c>
      <c r="BY23" s="13"/>
      <c r="BZ23" s="13" t="n">
        <f aca="false">IF('Cash Drivers'!BZ$26,Engineering!BY23,Engineering!CA23)</f>
        <v>3000</v>
      </c>
      <c r="CA23" s="89" t="n">
        <v>3000</v>
      </c>
      <c r="CB23" s="12"/>
      <c r="CC23" s="12" t="n">
        <f aca="false">IF('Cash Drivers'!CC$26,Engineering!CB23,Engineering!CD23)</f>
        <v>3000</v>
      </c>
      <c r="CD23" s="90" t="n">
        <v>3000</v>
      </c>
      <c r="CE23" s="13"/>
      <c r="CF23" s="13" t="n">
        <f aca="false">IF('Cash Drivers'!CF$26,Engineering!CE23,Engineering!CG23)</f>
        <v>3000</v>
      </c>
      <c r="CG23" s="89" t="n">
        <v>3000</v>
      </c>
      <c r="CH23" s="12"/>
      <c r="CI23" s="12" t="n">
        <f aca="false">IF('Cash Drivers'!CI$26,Engineering!CH23,Engineering!CJ23)</f>
        <v>3000</v>
      </c>
      <c r="CJ23" s="90" t="n">
        <v>3000</v>
      </c>
      <c r="CK23" s="13"/>
      <c r="CL23" s="13" t="n">
        <f aca="false">IF('Cash Drivers'!CL$26,Engineering!CK23,Engineering!CM23)</f>
        <v>3000</v>
      </c>
      <c r="CM23" s="89" t="n">
        <v>3000</v>
      </c>
      <c r="CN23" s="12"/>
      <c r="CO23" s="12" t="n">
        <f aca="false">IF('Cash Drivers'!CO$26,Engineering!CN23,Engineering!CP23)</f>
        <v>3000</v>
      </c>
      <c r="CP23" s="90" t="n">
        <v>3000</v>
      </c>
      <c r="CQ23" s="13"/>
      <c r="CR23" s="13" t="n">
        <f aca="false">IF('Cash Drivers'!CR$26,Engineering!CQ23,Engineering!CS23)</f>
        <v>3000</v>
      </c>
      <c r="CS23" s="89" t="n">
        <v>3000</v>
      </c>
      <c r="CT23" s="12"/>
      <c r="CU23" s="12" t="n">
        <f aca="false">IF('Cash Drivers'!CU$26,Engineering!CT23,Engineering!CV23)</f>
        <v>3000</v>
      </c>
      <c r="CV23" s="90" t="n">
        <v>3000</v>
      </c>
      <c r="CW23" s="13"/>
      <c r="CX23" s="13" t="n">
        <f aca="false">IF('Cash Drivers'!CX$26,Engineering!CW23,Engineering!CY23)</f>
        <v>3000</v>
      </c>
      <c r="CY23" s="89" t="n">
        <v>3000</v>
      </c>
      <c r="CZ23" s="12"/>
      <c r="DA23" s="12" t="n">
        <f aca="false">IF('Cash Drivers'!DA$26,Engineering!CZ23,Engineering!DB23)</f>
        <v>3000</v>
      </c>
      <c r="DB23" s="90" t="n">
        <v>3000</v>
      </c>
      <c r="DC23" s="13"/>
      <c r="DD23" s="13" t="n">
        <f aca="false">IF('Cash Drivers'!DD$26,Engineering!DC23,Engineering!DE23)</f>
        <v>3000</v>
      </c>
      <c r="DE23" s="89" t="n">
        <v>3000</v>
      </c>
      <c r="DF23" s="12"/>
      <c r="DG23" s="12" t="n">
        <f aca="false">IF('Cash Drivers'!DG$26,Engineering!DF23,Engineering!DH23)</f>
        <v>3000</v>
      </c>
      <c r="DH23" s="90" t="n">
        <v>3000</v>
      </c>
      <c r="DI23" s="89" t="n">
        <v>3000</v>
      </c>
      <c r="DJ23" s="13" t="n">
        <f aca="false">IF('Cash Drivers'!DJ$26,Engineering!DI23,Engineering!DK23)</f>
        <v>3000</v>
      </c>
      <c r="DK23" s="89" t="n">
        <v>3000</v>
      </c>
      <c r="DL23" s="90" t="n">
        <v>3000</v>
      </c>
      <c r="DM23" s="12" t="n">
        <f aca="false">IF('Cash Drivers'!DM$26,Engineering!DL23,Engineering!DN23)</f>
        <v>3000</v>
      </c>
      <c r="DN23" s="90" t="n">
        <v>3000</v>
      </c>
    </row>
    <row r="24" customFormat="false" ht="15.75" hidden="false" customHeight="true" outlineLevel="0" collapsed="false">
      <c r="A24" s="5" t="s">
        <v>260</v>
      </c>
      <c r="B24" s="12" t="str">
        <f aca="false">IF(COUNT(AR24,AO24,AL24,AI24,AF24,AC24,Z24,W24,T24,Q24,N24,K24)=0,"",SUM(AR24,AO24,AL24,AI24,AF24,AC24,Z24,W24,T24,Q24,N24,K24))</f>
        <v/>
      </c>
      <c r="C24" s="12" t="n">
        <f aca="false">IF(COUNT(AS24,AP24,AM24,AJ24,AG24,AD24,AA24,X24,U24,R24,O24,L24)=0,"",SUM(AS24,AP24,AM24,AJ24,AG24,AD24,AA24,X24,U24,R24,O24,L24))</f>
        <v>24000</v>
      </c>
      <c r="D24" s="12" t="n">
        <f aca="false">IF(COUNT(AT24,AQ24,AN24,AK24,AH24,AE24,AB24,Y24,V24,S24,P24,M24)=0,"",SUM(AT24,AQ24,AN24,AK24,AH24,AE24,AB24,Y24,V24,S24,P24,M24))</f>
        <v>24000</v>
      </c>
      <c r="E24" s="13" t="str">
        <f aca="false">IF(COUNT(CB24,BY24,BV24,BS24,BP24,BM24,BJ24,BG24,BD24,BA24,AX24,AU24)=0,"",SUM(CB24,BY24,BV24,BS24,BP24,BM24,BJ24,BG24,BD24,BA24,AX24,AU24))</f>
        <v/>
      </c>
      <c r="F24" s="13" t="n">
        <f aca="false">IF(COUNT(CC24,BZ24,BW24,BT24,BQ24,BN24,BK24,BH24,BE24,BB24,AY24,AV24)=0,"",SUM(CC24,BZ24,BW24,BT24,BQ24,BN24,BK24,BH24,BE24,BB24,AY24,AV24))</f>
        <v>24000</v>
      </c>
      <c r="G24" s="13" t="n">
        <f aca="false">IF(COUNT(CD24,CA24,BX24,BU24,BR24,BO24,BL24,BI24,BF24,BC24,AZ24,AW24)=0,"",SUM(CD24,CA24,BX24,BU24,BR24,BO24,BL24,BI24,BF24,BC24,AZ24,AW24))</f>
        <v>24000</v>
      </c>
      <c r="H24" s="12" t="n">
        <f aca="false">IF(COUNT(DL24,DI24,DF24,DC24,CZ24,CW24,CT24,CQ24,CN24,CK24,CH24,CE24)=0,"",SUM(DL24,DI24,DF24,DC24,CZ24,CW24,CT24,CQ24,CN24,CK24,CH24,CE24))</f>
        <v>4000</v>
      </c>
      <c r="I24" s="12" t="n">
        <f aca="false">IF(COUNT(DM24,DJ24,DG24,DD24,DA24,CX24,CU24,CR24,CO24,CL24,CI24,CF24)=0,"",SUM(DM24,DJ24,DG24,DD24,DA24,CX24,CU24,CR24,CO24,CL24,CI24,CF24))</f>
        <v>24000</v>
      </c>
      <c r="J24" s="12" t="n">
        <f aca="false">IF(COUNT(DN24,DK24,DH24,DE24,DB24,CY24,CV24,CS24,CP24,CM24,CJ24,CG24)=0,"",SUM(DN24,DK24,DH24,DE24,DB24,CY24,CV24,CS24,CP24,CM24,CJ24,CG24))</f>
        <v>24000</v>
      </c>
      <c r="K24" s="13"/>
      <c r="L24" s="13" t="n">
        <f aca="false">IF('Cash Drivers'!L$26,Engineering!K24,Engineering!M24)</f>
        <v>2000</v>
      </c>
      <c r="M24" s="89" t="n">
        <v>2000</v>
      </c>
      <c r="N24" s="12"/>
      <c r="O24" s="12" t="n">
        <f aca="false">IF('Cash Drivers'!O$26,Engineering!N24,Engineering!P24)</f>
        <v>2000</v>
      </c>
      <c r="P24" s="90" t="n">
        <v>2000</v>
      </c>
      <c r="Q24" s="13"/>
      <c r="R24" s="13" t="n">
        <f aca="false">IF('Cash Drivers'!R$26,Engineering!Q24,Engineering!S24)</f>
        <v>2000</v>
      </c>
      <c r="S24" s="89" t="n">
        <v>2000</v>
      </c>
      <c r="T24" s="12"/>
      <c r="U24" s="12" t="n">
        <f aca="false">IF('Cash Drivers'!U$26,Engineering!T24,Engineering!V24)</f>
        <v>2000</v>
      </c>
      <c r="V24" s="90" t="n">
        <v>2000</v>
      </c>
      <c r="W24" s="13"/>
      <c r="X24" s="13" t="n">
        <f aca="false">IF('Cash Drivers'!X$26,Engineering!W24,Engineering!Y24)</f>
        <v>2000</v>
      </c>
      <c r="Y24" s="89" t="n">
        <v>2000</v>
      </c>
      <c r="Z24" s="12"/>
      <c r="AA24" s="12" t="n">
        <f aca="false">IF('Cash Drivers'!AA$26,Engineering!Z24,Engineering!AB24)</f>
        <v>2000</v>
      </c>
      <c r="AB24" s="90" t="n">
        <v>2000</v>
      </c>
      <c r="AC24" s="13"/>
      <c r="AD24" s="13" t="n">
        <f aca="false">IF('Cash Drivers'!AD$26,Engineering!AC24,Engineering!AE24)</f>
        <v>2000</v>
      </c>
      <c r="AE24" s="89" t="n">
        <v>2000</v>
      </c>
      <c r="AF24" s="12"/>
      <c r="AG24" s="12" t="n">
        <f aca="false">IF('Cash Drivers'!AG$26,Engineering!AF24,Engineering!AH24)</f>
        <v>2000</v>
      </c>
      <c r="AH24" s="90" t="n">
        <v>2000</v>
      </c>
      <c r="AI24" s="13"/>
      <c r="AJ24" s="13" t="n">
        <f aca="false">IF('Cash Drivers'!AJ$26,Engineering!AI24,Engineering!AK24)</f>
        <v>2000</v>
      </c>
      <c r="AK24" s="89" t="n">
        <v>2000</v>
      </c>
      <c r="AL24" s="12"/>
      <c r="AM24" s="12" t="n">
        <f aca="false">IF('Cash Drivers'!AM$26,Engineering!AL24,Engineering!AN24)</f>
        <v>2000</v>
      </c>
      <c r="AN24" s="90" t="n">
        <v>2000</v>
      </c>
      <c r="AO24" s="13"/>
      <c r="AP24" s="13" t="n">
        <f aca="false">IF('Cash Drivers'!AP$26,Engineering!AO24,Engineering!AQ24)</f>
        <v>2000</v>
      </c>
      <c r="AQ24" s="89" t="n">
        <v>2000</v>
      </c>
      <c r="AR24" s="12"/>
      <c r="AS24" s="12" t="n">
        <f aca="false">IF('Cash Drivers'!AS$26,Engineering!AR24,Engineering!AT24)</f>
        <v>2000</v>
      </c>
      <c r="AT24" s="90" t="n">
        <v>2000</v>
      </c>
      <c r="AU24" s="13"/>
      <c r="AV24" s="13" t="n">
        <f aca="false">IF('Cash Drivers'!AV$26,Engineering!AU24,Engineering!AW24)</f>
        <v>2000</v>
      </c>
      <c r="AW24" s="89" t="n">
        <v>2000</v>
      </c>
      <c r="AX24" s="12"/>
      <c r="AY24" s="12" t="n">
        <f aca="false">IF('Cash Drivers'!AY$26,Engineering!AX24,Engineering!AZ24)</f>
        <v>2000</v>
      </c>
      <c r="AZ24" s="90" t="n">
        <v>2000</v>
      </c>
      <c r="BA24" s="13"/>
      <c r="BB24" s="13" t="n">
        <f aca="false">IF('Cash Drivers'!BB$26,Engineering!BA24,Engineering!BC24)</f>
        <v>2000</v>
      </c>
      <c r="BC24" s="89" t="n">
        <v>2000</v>
      </c>
      <c r="BD24" s="12"/>
      <c r="BE24" s="12" t="n">
        <f aca="false">IF('Cash Drivers'!BE$26,Engineering!BD24,Engineering!BF24)</f>
        <v>2000</v>
      </c>
      <c r="BF24" s="90" t="n">
        <v>2000</v>
      </c>
      <c r="BG24" s="13"/>
      <c r="BH24" s="13" t="n">
        <f aca="false">IF('Cash Drivers'!BH$26,Engineering!BG24,Engineering!BI24)</f>
        <v>2000</v>
      </c>
      <c r="BI24" s="89" t="n">
        <v>2000</v>
      </c>
      <c r="BJ24" s="12"/>
      <c r="BK24" s="12" t="n">
        <f aca="false">IF('Cash Drivers'!BK$26,Engineering!BJ24,Engineering!BL24)</f>
        <v>2000</v>
      </c>
      <c r="BL24" s="90" t="n">
        <v>2000</v>
      </c>
      <c r="BM24" s="13"/>
      <c r="BN24" s="13" t="n">
        <f aca="false">IF('Cash Drivers'!BN$26,Engineering!BM24,Engineering!BO24)</f>
        <v>2000</v>
      </c>
      <c r="BO24" s="89" t="n">
        <v>2000</v>
      </c>
      <c r="BP24" s="12"/>
      <c r="BQ24" s="12" t="n">
        <f aca="false">IF('Cash Drivers'!BQ$26,Engineering!BP24,Engineering!BR24)</f>
        <v>2000</v>
      </c>
      <c r="BR24" s="90" t="n">
        <v>2000</v>
      </c>
      <c r="BS24" s="13"/>
      <c r="BT24" s="13" t="n">
        <f aca="false">IF('Cash Drivers'!BT$26,Engineering!BS24,Engineering!BU24)</f>
        <v>2000</v>
      </c>
      <c r="BU24" s="89" t="n">
        <v>2000</v>
      </c>
      <c r="BV24" s="12"/>
      <c r="BW24" s="12" t="n">
        <f aca="false">IF('Cash Drivers'!BW$26,Engineering!BV24,Engineering!BX24)</f>
        <v>2000</v>
      </c>
      <c r="BX24" s="90" t="n">
        <v>2000</v>
      </c>
      <c r="BY24" s="13"/>
      <c r="BZ24" s="13" t="n">
        <f aca="false">IF('Cash Drivers'!BZ$26,Engineering!BY24,Engineering!CA24)</f>
        <v>2000</v>
      </c>
      <c r="CA24" s="89" t="n">
        <v>2000</v>
      </c>
      <c r="CB24" s="12"/>
      <c r="CC24" s="12" t="n">
        <f aca="false">IF('Cash Drivers'!CC$26,Engineering!CB24,Engineering!CD24)</f>
        <v>2000</v>
      </c>
      <c r="CD24" s="90" t="n">
        <v>2000</v>
      </c>
      <c r="CE24" s="13"/>
      <c r="CF24" s="13" t="n">
        <f aca="false">IF('Cash Drivers'!CF$26,Engineering!CE24,Engineering!CG24)</f>
        <v>2000</v>
      </c>
      <c r="CG24" s="89" t="n">
        <v>2000</v>
      </c>
      <c r="CH24" s="12"/>
      <c r="CI24" s="12" t="n">
        <f aca="false">IF('Cash Drivers'!CI$26,Engineering!CH24,Engineering!CJ24)</f>
        <v>2000</v>
      </c>
      <c r="CJ24" s="90" t="n">
        <v>2000</v>
      </c>
      <c r="CK24" s="13"/>
      <c r="CL24" s="13" t="n">
        <f aca="false">IF('Cash Drivers'!CL$26,Engineering!CK24,Engineering!CM24)</f>
        <v>2000</v>
      </c>
      <c r="CM24" s="89" t="n">
        <v>2000</v>
      </c>
      <c r="CN24" s="12"/>
      <c r="CO24" s="12" t="n">
        <f aca="false">IF('Cash Drivers'!CO$26,Engineering!CN24,Engineering!CP24)</f>
        <v>2000</v>
      </c>
      <c r="CP24" s="90" t="n">
        <v>2000</v>
      </c>
      <c r="CQ24" s="13"/>
      <c r="CR24" s="13" t="n">
        <f aca="false">IF('Cash Drivers'!CR$26,Engineering!CQ24,Engineering!CS24)</f>
        <v>2000</v>
      </c>
      <c r="CS24" s="89" t="n">
        <v>2000</v>
      </c>
      <c r="CT24" s="12"/>
      <c r="CU24" s="12" t="n">
        <f aca="false">IF('Cash Drivers'!CU$26,Engineering!CT24,Engineering!CV24)</f>
        <v>2000</v>
      </c>
      <c r="CV24" s="90" t="n">
        <v>2000</v>
      </c>
      <c r="CW24" s="13"/>
      <c r="CX24" s="13" t="n">
        <f aca="false">IF('Cash Drivers'!CX$26,Engineering!CW24,Engineering!CY24)</f>
        <v>2000</v>
      </c>
      <c r="CY24" s="89" t="n">
        <v>2000</v>
      </c>
      <c r="CZ24" s="12"/>
      <c r="DA24" s="12" t="n">
        <f aca="false">IF('Cash Drivers'!DA$26,Engineering!CZ24,Engineering!DB24)</f>
        <v>2000</v>
      </c>
      <c r="DB24" s="90" t="n">
        <v>2000</v>
      </c>
      <c r="DC24" s="13"/>
      <c r="DD24" s="13" t="n">
        <f aca="false">IF('Cash Drivers'!DD$26,Engineering!DC24,Engineering!DE24)</f>
        <v>2000</v>
      </c>
      <c r="DE24" s="89" t="n">
        <v>2000</v>
      </c>
      <c r="DF24" s="12"/>
      <c r="DG24" s="12" t="n">
        <f aca="false">IF('Cash Drivers'!DG$26,Engineering!DF24,Engineering!DH24)</f>
        <v>2000</v>
      </c>
      <c r="DH24" s="90" t="n">
        <v>2000</v>
      </c>
      <c r="DI24" s="89" t="n">
        <v>2000</v>
      </c>
      <c r="DJ24" s="13" t="n">
        <f aca="false">IF('Cash Drivers'!DJ$26,Engineering!DI24,Engineering!DK24)</f>
        <v>2000</v>
      </c>
      <c r="DK24" s="89" t="n">
        <v>2000</v>
      </c>
      <c r="DL24" s="90" t="n">
        <v>2000</v>
      </c>
      <c r="DM24" s="12" t="n">
        <f aca="false">IF('Cash Drivers'!DM$26,Engineering!DL24,Engineering!DN24)</f>
        <v>2000</v>
      </c>
      <c r="DN24" s="90" t="n">
        <v>2000</v>
      </c>
    </row>
    <row r="25" customFormat="false" ht="15.75" hidden="false" customHeight="true" outlineLevel="0" collapsed="false">
      <c r="A25" s="5" t="s">
        <v>261</v>
      </c>
      <c r="B25" s="12" t="str">
        <f aca="false">IF(COUNT(AR25,AO25,AL25,AI25,AF25,AC25,Z25,W25,T25,Q25,N25,K25)=0,"",SUM(AR25,AO25,AL25,AI25,AF25,AC25,Z25,W25,T25,Q25,N25,K25))</f>
        <v/>
      </c>
      <c r="C25" s="12" t="n">
        <f aca="false">IF(COUNT(AS25,AP25,AM25,AJ25,AG25,AD25,AA25,X25,U25,R25,O25,L25)=0,"",SUM(AS25,AP25,AM25,AJ25,AG25,AD25,AA25,X25,U25,R25,O25,L25))</f>
        <v>120000</v>
      </c>
      <c r="D25" s="12" t="n">
        <f aca="false">IF(COUNT(AT25,AQ25,AN25,AK25,AH25,AE25,AB25,Y25,V25,S25,P25,M25)=0,"",SUM(AT25,AQ25,AN25,AK25,AH25,AE25,AB25,Y25,V25,S25,P25,M25))</f>
        <v>120000</v>
      </c>
      <c r="E25" s="13" t="str">
        <f aca="false">IF(COUNT(CB25,BY25,BV25,BS25,BP25,BM25,BJ25,BG25,BD25,BA25,AX25,AU25)=0,"",SUM(CB25,BY25,BV25,BS25,BP25,BM25,BJ25,BG25,BD25,BA25,AX25,AU25))</f>
        <v/>
      </c>
      <c r="F25" s="13" t="n">
        <f aca="false">IF(COUNT(CC25,BZ25,BW25,BT25,BQ25,BN25,BK25,BH25,BE25,BB25,AY25,AV25)=0,"",SUM(CC25,BZ25,BW25,BT25,BQ25,BN25,BK25,BH25,BE25,BB25,AY25,AV25))</f>
        <v>120000</v>
      </c>
      <c r="G25" s="13" t="n">
        <f aca="false">IF(COUNT(CD25,CA25,BX25,BU25,BR25,BO25,BL25,BI25,BF25,BC25,AZ25,AW25)=0,"",SUM(CD25,CA25,BX25,BU25,BR25,BO25,BL25,BI25,BF25,BC25,AZ25,AW25))</f>
        <v>120000</v>
      </c>
      <c r="H25" s="12" t="n">
        <f aca="false">IF(COUNT(DL25,DI25,DF25,DC25,CZ25,CW25,CT25,CQ25,CN25,CK25,CH25,CE25)=0,"",SUM(DL25,DI25,DF25,DC25,CZ25,CW25,CT25,CQ25,CN25,CK25,CH25,CE25))</f>
        <v>20000</v>
      </c>
      <c r="I25" s="12" t="n">
        <f aca="false">IF(COUNT(DM25,DJ25,DG25,DD25,DA25,CX25,CU25,CR25,CO25,CL25,CI25,CF25)=0,"",SUM(DM25,DJ25,DG25,DD25,DA25,CX25,CU25,CR25,CO25,CL25,CI25,CF25))</f>
        <v>120000</v>
      </c>
      <c r="J25" s="12" t="n">
        <f aca="false">IF(COUNT(DN25,DK25,DH25,DE25,DB25,CY25,CV25,CS25,CP25,CM25,CJ25,CG25)=0,"",SUM(DN25,DK25,DH25,DE25,DB25,CY25,CV25,CS25,CP25,CM25,CJ25,CG25))</f>
        <v>120000</v>
      </c>
      <c r="K25" s="13"/>
      <c r="L25" s="13" t="n">
        <f aca="false">IF('Cash Drivers'!L$26,Engineering!K25,Engineering!M25)</f>
        <v>10000</v>
      </c>
      <c r="M25" s="89" t="n">
        <v>10000</v>
      </c>
      <c r="N25" s="12"/>
      <c r="O25" s="12" t="n">
        <f aca="false">IF('Cash Drivers'!O$26,Engineering!N25,Engineering!P25)</f>
        <v>10000</v>
      </c>
      <c r="P25" s="90" t="n">
        <v>10000</v>
      </c>
      <c r="Q25" s="13"/>
      <c r="R25" s="13" t="n">
        <f aca="false">IF('Cash Drivers'!R$26,Engineering!Q25,Engineering!S25)</f>
        <v>10000</v>
      </c>
      <c r="S25" s="89" t="n">
        <v>10000</v>
      </c>
      <c r="T25" s="12"/>
      <c r="U25" s="12" t="n">
        <f aca="false">IF('Cash Drivers'!U$26,Engineering!T25,Engineering!V25)</f>
        <v>10000</v>
      </c>
      <c r="V25" s="90" t="n">
        <v>10000</v>
      </c>
      <c r="W25" s="13"/>
      <c r="X25" s="13" t="n">
        <f aca="false">IF('Cash Drivers'!X$26,Engineering!W25,Engineering!Y25)</f>
        <v>10000</v>
      </c>
      <c r="Y25" s="89" t="n">
        <v>10000</v>
      </c>
      <c r="Z25" s="12"/>
      <c r="AA25" s="12" t="n">
        <f aca="false">IF('Cash Drivers'!AA$26,Engineering!Z25,Engineering!AB25)</f>
        <v>10000</v>
      </c>
      <c r="AB25" s="90" t="n">
        <v>10000</v>
      </c>
      <c r="AC25" s="13"/>
      <c r="AD25" s="13" t="n">
        <f aca="false">IF('Cash Drivers'!AD$26,Engineering!AC25,Engineering!AE25)</f>
        <v>10000</v>
      </c>
      <c r="AE25" s="89" t="n">
        <v>10000</v>
      </c>
      <c r="AF25" s="12"/>
      <c r="AG25" s="12" t="n">
        <f aca="false">IF('Cash Drivers'!AG$26,Engineering!AF25,Engineering!AH25)</f>
        <v>10000</v>
      </c>
      <c r="AH25" s="90" t="n">
        <v>10000</v>
      </c>
      <c r="AI25" s="13"/>
      <c r="AJ25" s="13" t="n">
        <f aca="false">IF('Cash Drivers'!AJ$26,Engineering!AI25,Engineering!AK25)</f>
        <v>10000</v>
      </c>
      <c r="AK25" s="89" t="n">
        <v>10000</v>
      </c>
      <c r="AL25" s="12"/>
      <c r="AM25" s="12" t="n">
        <f aca="false">IF('Cash Drivers'!AM$26,Engineering!AL25,Engineering!AN25)</f>
        <v>10000</v>
      </c>
      <c r="AN25" s="90" t="n">
        <v>10000</v>
      </c>
      <c r="AO25" s="13"/>
      <c r="AP25" s="13" t="n">
        <f aca="false">IF('Cash Drivers'!AP$26,Engineering!AO25,Engineering!AQ25)</f>
        <v>10000</v>
      </c>
      <c r="AQ25" s="89" t="n">
        <v>10000</v>
      </c>
      <c r="AR25" s="12"/>
      <c r="AS25" s="12" t="n">
        <f aca="false">IF('Cash Drivers'!AS$26,Engineering!AR25,Engineering!AT25)</f>
        <v>10000</v>
      </c>
      <c r="AT25" s="90" t="n">
        <v>10000</v>
      </c>
      <c r="AU25" s="13"/>
      <c r="AV25" s="13" t="n">
        <f aca="false">IF('Cash Drivers'!AV$26,Engineering!AU25,Engineering!AW25)</f>
        <v>10000</v>
      </c>
      <c r="AW25" s="89" t="n">
        <v>10000</v>
      </c>
      <c r="AX25" s="12"/>
      <c r="AY25" s="12" t="n">
        <f aca="false">IF('Cash Drivers'!AY$26,Engineering!AX25,Engineering!AZ25)</f>
        <v>10000</v>
      </c>
      <c r="AZ25" s="90" t="n">
        <v>10000</v>
      </c>
      <c r="BA25" s="13"/>
      <c r="BB25" s="13" t="n">
        <f aca="false">IF('Cash Drivers'!BB$26,Engineering!BA25,Engineering!BC25)</f>
        <v>10000</v>
      </c>
      <c r="BC25" s="89" t="n">
        <v>10000</v>
      </c>
      <c r="BD25" s="12"/>
      <c r="BE25" s="12" t="n">
        <f aca="false">IF('Cash Drivers'!BE$26,Engineering!BD25,Engineering!BF25)</f>
        <v>10000</v>
      </c>
      <c r="BF25" s="90" t="n">
        <v>10000</v>
      </c>
      <c r="BG25" s="13"/>
      <c r="BH25" s="13" t="n">
        <f aca="false">IF('Cash Drivers'!BH$26,Engineering!BG25,Engineering!BI25)</f>
        <v>10000</v>
      </c>
      <c r="BI25" s="89" t="n">
        <v>10000</v>
      </c>
      <c r="BJ25" s="12"/>
      <c r="BK25" s="12" t="n">
        <f aca="false">IF('Cash Drivers'!BK$26,Engineering!BJ25,Engineering!BL25)</f>
        <v>10000</v>
      </c>
      <c r="BL25" s="90" t="n">
        <v>10000</v>
      </c>
      <c r="BM25" s="13"/>
      <c r="BN25" s="13" t="n">
        <f aca="false">IF('Cash Drivers'!BN$26,Engineering!BM25,Engineering!BO25)</f>
        <v>10000</v>
      </c>
      <c r="BO25" s="89" t="n">
        <v>10000</v>
      </c>
      <c r="BP25" s="12"/>
      <c r="BQ25" s="12" t="n">
        <f aca="false">IF('Cash Drivers'!BQ$26,Engineering!BP25,Engineering!BR25)</f>
        <v>10000</v>
      </c>
      <c r="BR25" s="90" t="n">
        <v>10000</v>
      </c>
      <c r="BS25" s="13"/>
      <c r="BT25" s="13" t="n">
        <f aca="false">IF('Cash Drivers'!BT$26,Engineering!BS25,Engineering!BU25)</f>
        <v>10000</v>
      </c>
      <c r="BU25" s="89" t="n">
        <v>10000</v>
      </c>
      <c r="BV25" s="12"/>
      <c r="BW25" s="12" t="n">
        <f aca="false">IF('Cash Drivers'!BW$26,Engineering!BV25,Engineering!BX25)</f>
        <v>10000</v>
      </c>
      <c r="BX25" s="90" t="n">
        <v>10000</v>
      </c>
      <c r="BY25" s="13"/>
      <c r="BZ25" s="13" t="n">
        <f aca="false">IF('Cash Drivers'!BZ$26,Engineering!BY25,Engineering!CA25)</f>
        <v>10000</v>
      </c>
      <c r="CA25" s="89" t="n">
        <v>10000</v>
      </c>
      <c r="CB25" s="12"/>
      <c r="CC25" s="12" t="n">
        <f aca="false">IF('Cash Drivers'!CC$26,Engineering!CB25,Engineering!CD25)</f>
        <v>10000</v>
      </c>
      <c r="CD25" s="90" t="n">
        <v>10000</v>
      </c>
      <c r="CE25" s="13"/>
      <c r="CF25" s="13" t="n">
        <f aca="false">IF('Cash Drivers'!CF$26,Engineering!CE25,Engineering!CG25)</f>
        <v>10000</v>
      </c>
      <c r="CG25" s="89" t="n">
        <v>10000</v>
      </c>
      <c r="CH25" s="12"/>
      <c r="CI25" s="12" t="n">
        <f aca="false">IF('Cash Drivers'!CI$26,Engineering!CH25,Engineering!CJ25)</f>
        <v>10000</v>
      </c>
      <c r="CJ25" s="90" t="n">
        <v>10000</v>
      </c>
      <c r="CK25" s="13"/>
      <c r="CL25" s="13" t="n">
        <f aca="false">IF('Cash Drivers'!CL$26,Engineering!CK25,Engineering!CM25)</f>
        <v>10000</v>
      </c>
      <c r="CM25" s="89" t="n">
        <v>10000</v>
      </c>
      <c r="CN25" s="12"/>
      <c r="CO25" s="12" t="n">
        <f aca="false">IF('Cash Drivers'!CO$26,Engineering!CN25,Engineering!CP25)</f>
        <v>10000</v>
      </c>
      <c r="CP25" s="90" t="n">
        <v>10000</v>
      </c>
      <c r="CQ25" s="13"/>
      <c r="CR25" s="13" t="n">
        <f aca="false">IF('Cash Drivers'!CR$26,Engineering!CQ25,Engineering!CS25)</f>
        <v>10000</v>
      </c>
      <c r="CS25" s="89" t="n">
        <v>10000</v>
      </c>
      <c r="CT25" s="12"/>
      <c r="CU25" s="12" t="n">
        <f aca="false">IF('Cash Drivers'!CU$26,Engineering!CT25,Engineering!CV25)</f>
        <v>10000</v>
      </c>
      <c r="CV25" s="90" t="n">
        <v>10000</v>
      </c>
      <c r="CW25" s="13"/>
      <c r="CX25" s="13" t="n">
        <f aca="false">IF('Cash Drivers'!CX$26,Engineering!CW25,Engineering!CY25)</f>
        <v>10000</v>
      </c>
      <c r="CY25" s="89" t="n">
        <v>10000</v>
      </c>
      <c r="CZ25" s="12"/>
      <c r="DA25" s="12" t="n">
        <f aca="false">IF('Cash Drivers'!DA$26,Engineering!CZ25,Engineering!DB25)</f>
        <v>10000</v>
      </c>
      <c r="DB25" s="90" t="n">
        <v>10000</v>
      </c>
      <c r="DC25" s="13"/>
      <c r="DD25" s="13" t="n">
        <f aca="false">IF('Cash Drivers'!DD$26,Engineering!DC25,Engineering!DE25)</f>
        <v>10000</v>
      </c>
      <c r="DE25" s="89" t="n">
        <v>10000</v>
      </c>
      <c r="DF25" s="12"/>
      <c r="DG25" s="12" t="n">
        <f aca="false">IF('Cash Drivers'!DG$26,Engineering!DF25,Engineering!DH25)</f>
        <v>10000</v>
      </c>
      <c r="DH25" s="90" t="n">
        <v>10000</v>
      </c>
      <c r="DI25" s="89" t="n">
        <v>10000</v>
      </c>
      <c r="DJ25" s="13" t="n">
        <f aca="false">IF('Cash Drivers'!DJ$26,Engineering!DI25,Engineering!DK25)</f>
        <v>10000</v>
      </c>
      <c r="DK25" s="89" t="n">
        <v>10000</v>
      </c>
      <c r="DL25" s="90" t="n">
        <v>10000</v>
      </c>
      <c r="DM25" s="12" t="n">
        <f aca="false">IF('Cash Drivers'!DM$26,Engineering!DL25,Engineering!DN25)</f>
        <v>10000</v>
      </c>
      <c r="DN25" s="90" t="n">
        <v>10000</v>
      </c>
    </row>
    <row r="26" customFormat="false" ht="15.75" hidden="false" customHeight="true" outlineLevel="0" collapsed="false">
      <c r="A26" s="14" t="s">
        <v>262</v>
      </c>
      <c r="B26" s="15" t="str">
        <f aca="false">IF(COUNT(AR26,AO26,AL26,AI26,AF26,AC26,Z26,W26,T26,Q26,N26,K26)=0,"",SUM(AR26,AO26,AL26,AI26,AF26,AC26,Z26,W26,T26,Q26,N26,K26))</f>
        <v/>
      </c>
      <c r="C26" s="15" t="n">
        <f aca="false">IF(COUNT(AS26,AP26,AM26,AJ26,AG26,AD26,AA26,X26,U26,R26,O26,L26)=0,"",SUM(AS26,AP26,AM26,AJ26,AG26,AD26,AA26,X26,U26,R26,O26,L26))</f>
        <v>228000</v>
      </c>
      <c r="D26" s="15" t="n">
        <f aca="false">IF(COUNT(AT26,AQ26,AN26,AK26,AH26,AE26,AB26,Y26,V26,S26,P26,M26)=0,"",SUM(AT26,AQ26,AN26,AK26,AH26,AE26,AB26,Y26,V26,S26,P26,M26))</f>
        <v>228000</v>
      </c>
      <c r="E26" s="16" t="str">
        <f aca="false">IF(COUNT(CB26,BY26,BV26,BS26,BP26,BM26,BJ26,BG26,BD26,BA26,AX26,AU26)=0,"",SUM(CB26,BY26,BV26,BS26,BP26,BM26,BJ26,BG26,BD26,BA26,AX26,AU26))</f>
        <v/>
      </c>
      <c r="F26" s="16" t="n">
        <f aca="false">IF(COUNT(CC26,BZ26,BW26,BT26,BQ26,BN26,BK26,BH26,BE26,BB26,AY26,AV26)=0,"",SUM(CC26,BZ26,BW26,BT26,BQ26,BN26,BK26,BH26,BE26,BB26,AY26,AV26))</f>
        <v>228000</v>
      </c>
      <c r="G26" s="16" t="n">
        <f aca="false">IF(COUNT(CD26,CA26,BX26,BU26,BR26,BO26,BL26,BI26,BF26,BC26,AZ26,AW26)=0,"",SUM(CD26,CA26,BX26,BU26,BR26,BO26,BL26,BI26,BF26,BC26,AZ26,AW26))</f>
        <v>228000</v>
      </c>
      <c r="H26" s="15" t="n">
        <f aca="false">IF(COUNT(DL26,DI26,DF26,DC26,CZ26,CW26,CT26,CQ26,CN26,CK26,CH26,CE26)=0,"",SUM(DL26,DI26,DF26,DC26,CZ26,CW26,CT26,CQ26,CN26,CK26,CH26,CE26))</f>
        <v>38000</v>
      </c>
      <c r="I26" s="15" t="n">
        <f aca="false">IF(COUNT(DM26,DJ26,DG26,DD26,DA26,CX26,CU26,CR26,CO26,CL26,CI26,CF26)=0,"",SUM(DM26,DJ26,DG26,DD26,DA26,CX26,CU26,CR26,CO26,CL26,CI26,CF26))</f>
        <v>228000</v>
      </c>
      <c r="J26" s="15" t="n">
        <f aca="false">IF(COUNT(DN26,DK26,DH26,DE26,DB26,CY26,CV26,CS26,CP26,CM26,CJ26,CG26)=0,"",SUM(DN26,DK26,DH26,DE26,DB26,CY26,CV26,CS26,CP26,CM26,CJ26,CG26))</f>
        <v>228000</v>
      </c>
      <c r="K26" s="16" t="str">
        <f aca="false">IF(COUNT(K22,K23,K24,K25)=0,"",SUM(K22:K25))</f>
        <v/>
      </c>
      <c r="L26" s="16" t="n">
        <f aca="false">SUM(L22:L25)</f>
        <v>19000</v>
      </c>
      <c r="M26" s="16" t="n">
        <f aca="false">SUM(M22:M25)</f>
        <v>19000</v>
      </c>
      <c r="N26" s="15" t="str">
        <f aca="false">IF(COUNT(N22,N23,N24,N25)=0,"",SUM(N22:N25))</f>
        <v/>
      </c>
      <c r="O26" s="15" t="n">
        <f aca="false">SUM(O22:O25)</f>
        <v>19000</v>
      </c>
      <c r="P26" s="15" t="n">
        <f aca="false">SUM(P22:P25)</f>
        <v>19000</v>
      </c>
      <c r="Q26" s="16" t="str">
        <f aca="false">IF(COUNT(Q22,Q23,Q24,Q25)=0,"",SUM(Q22:Q25))</f>
        <v/>
      </c>
      <c r="R26" s="16" t="n">
        <f aca="false">SUM(R22:R25)</f>
        <v>19000</v>
      </c>
      <c r="S26" s="16" t="n">
        <f aca="false">SUM(S22:S25)</f>
        <v>19000</v>
      </c>
      <c r="T26" s="15" t="str">
        <f aca="false">IF(COUNT(T22,T23,T24,T25)=0,"",SUM(T22:T25))</f>
        <v/>
      </c>
      <c r="U26" s="15" t="n">
        <f aca="false">SUM(U22:U25)</f>
        <v>19000</v>
      </c>
      <c r="V26" s="15" t="n">
        <f aca="false">SUM(V22:V25)</f>
        <v>19000</v>
      </c>
      <c r="W26" s="16" t="str">
        <f aca="false">IF(COUNT(W22,W23,W24,W25)=0,"",SUM(W22:W25))</f>
        <v/>
      </c>
      <c r="X26" s="16" t="n">
        <f aca="false">SUM(X22:X25)</f>
        <v>19000</v>
      </c>
      <c r="Y26" s="16" t="n">
        <f aca="false">SUM(Y22:Y25)</f>
        <v>19000</v>
      </c>
      <c r="Z26" s="15" t="str">
        <f aca="false">IF(COUNT(Z22,Z23,Z24,Z25)=0,"",SUM(Z22:Z25))</f>
        <v/>
      </c>
      <c r="AA26" s="15" t="n">
        <f aca="false">SUM(AA22:AA25)</f>
        <v>19000</v>
      </c>
      <c r="AB26" s="15" t="n">
        <f aca="false">SUM(AB22:AB25)</f>
        <v>19000</v>
      </c>
      <c r="AC26" s="16" t="str">
        <f aca="false">IF(COUNT(AC22,AC23,AC24,AC25)=0,"",SUM(AC22:AC25))</f>
        <v/>
      </c>
      <c r="AD26" s="16" t="n">
        <f aca="false">SUM(AD22:AD25)</f>
        <v>19000</v>
      </c>
      <c r="AE26" s="16" t="n">
        <f aca="false">SUM(AE22:AE25)</f>
        <v>19000</v>
      </c>
      <c r="AF26" s="15" t="str">
        <f aca="false">IF(COUNT(AF22,AF23,AF24,AF25)=0,"",SUM(AF22:AF25))</f>
        <v/>
      </c>
      <c r="AG26" s="15" t="n">
        <f aca="false">SUM(AG22:AG25)</f>
        <v>19000</v>
      </c>
      <c r="AH26" s="15" t="n">
        <f aca="false">SUM(AH22:AH25)</f>
        <v>19000</v>
      </c>
      <c r="AI26" s="16" t="str">
        <f aca="false">IF(COUNT(AI22,AI23,AI24,AI25)=0,"",SUM(AI22:AI25))</f>
        <v/>
      </c>
      <c r="AJ26" s="16" t="n">
        <f aca="false">SUM(AJ22:AJ25)</f>
        <v>19000</v>
      </c>
      <c r="AK26" s="16" t="n">
        <f aca="false">SUM(AK22:AK25)</f>
        <v>19000</v>
      </c>
      <c r="AL26" s="15" t="str">
        <f aca="false">IF(COUNT(AL22,AL23,AL24,AL25)=0,"",SUM(AL22:AL25))</f>
        <v/>
      </c>
      <c r="AM26" s="15" t="n">
        <f aca="false">SUM(AM22:AM25)</f>
        <v>19000</v>
      </c>
      <c r="AN26" s="15" t="n">
        <f aca="false">SUM(AN22:AN25)</f>
        <v>19000</v>
      </c>
      <c r="AO26" s="16" t="str">
        <f aca="false">IF(COUNT(AO22,AO23,AO24,AO25)=0,"",SUM(AO22:AO25))</f>
        <v/>
      </c>
      <c r="AP26" s="16" t="n">
        <f aca="false">SUM(AP22:AP25)</f>
        <v>19000</v>
      </c>
      <c r="AQ26" s="16" t="n">
        <f aca="false">SUM(AQ22:AQ25)</f>
        <v>19000</v>
      </c>
      <c r="AR26" s="15" t="str">
        <f aca="false">IF(COUNT(AR22,AR23,AR24,AR25)=0,"",SUM(AR22:AR25))</f>
        <v/>
      </c>
      <c r="AS26" s="15" t="n">
        <f aca="false">SUM(AS22:AS25)</f>
        <v>19000</v>
      </c>
      <c r="AT26" s="15" t="n">
        <f aca="false">SUM(AT22:AT25)</f>
        <v>19000</v>
      </c>
      <c r="AU26" s="16" t="str">
        <f aca="false">IF(COUNT(AU22,AU23,AU24,AU25)=0,"",SUM(AU22:AU25))</f>
        <v/>
      </c>
      <c r="AV26" s="16" t="n">
        <f aca="false">SUM(AV22:AV25)</f>
        <v>19000</v>
      </c>
      <c r="AW26" s="16" t="n">
        <f aca="false">SUM(AW22:AW25)</f>
        <v>19000</v>
      </c>
      <c r="AX26" s="15" t="str">
        <f aca="false">IF(COUNT(AX22,AX23,AX24,AX25)=0,"",SUM(AX22:AX25))</f>
        <v/>
      </c>
      <c r="AY26" s="15" t="n">
        <f aca="false">SUM(AY22:AY25)</f>
        <v>19000</v>
      </c>
      <c r="AZ26" s="15" t="n">
        <f aca="false">SUM(AZ22:AZ25)</f>
        <v>19000</v>
      </c>
      <c r="BA26" s="16" t="str">
        <f aca="false">IF(COUNT(BA22,BA23,BA24,BA25)=0,"",SUM(BA22:BA25))</f>
        <v/>
      </c>
      <c r="BB26" s="16" t="n">
        <f aca="false">SUM(BB22:BB25)</f>
        <v>19000</v>
      </c>
      <c r="BC26" s="16" t="n">
        <f aca="false">SUM(BC22:BC25)</f>
        <v>19000</v>
      </c>
      <c r="BD26" s="15" t="str">
        <f aca="false">IF(COUNT(BD22,BD23,BD24,BD25)=0,"",SUM(BD22:BD25))</f>
        <v/>
      </c>
      <c r="BE26" s="15" t="n">
        <f aca="false">SUM(BE22:BE25)</f>
        <v>19000</v>
      </c>
      <c r="BF26" s="15" t="n">
        <f aca="false">SUM(BF22:BF25)</f>
        <v>19000</v>
      </c>
      <c r="BG26" s="16" t="str">
        <f aca="false">IF(COUNT(BG22,BG23,BG24,BG25)=0,"",SUM(BG22:BG25))</f>
        <v/>
      </c>
      <c r="BH26" s="16" t="n">
        <f aca="false">SUM(BH22:BH25)</f>
        <v>19000</v>
      </c>
      <c r="BI26" s="16" t="n">
        <f aca="false">SUM(BI22:BI25)</f>
        <v>19000</v>
      </c>
      <c r="BJ26" s="15" t="str">
        <f aca="false">IF(COUNT(BJ22,BJ23,BJ24,BJ25)=0,"",SUM(BJ22:BJ25))</f>
        <v/>
      </c>
      <c r="BK26" s="15" t="n">
        <f aca="false">SUM(BK22:BK25)</f>
        <v>19000</v>
      </c>
      <c r="BL26" s="15" t="n">
        <f aca="false">SUM(BL22:BL25)</f>
        <v>19000</v>
      </c>
      <c r="BM26" s="16" t="str">
        <f aca="false">IF(COUNT(BM22,BM23,BM24,BM25)=0,"",SUM(BM22:BM25))</f>
        <v/>
      </c>
      <c r="BN26" s="16" t="n">
        <f aca="false">SUM(BN22:BN25)</f>
        <v>19000</v>
      </c>
      <c r="BO26" s="16" t="n">
        <f aca="false">SUM(BO22:BO25)</f>
        <v>19000</v>
      </c>
      <c r="BP26" s="15" t="str">
        <f aca="false">IF(COUNT(BP22,BP23,BP24,BP25)=0,"",SUM(BP22:BP25))</f>
        <v/>
      </c>
      <c r="BQ26" s="15" t="n">
        <f aca="false">SUM(BQ22:BQ25)</f>
        <v>19000</v>
      </c>
      <c r="BR26" s="15" t="n">
        <f aca="false">SUM(BR22:BR25)</f>
        <v>19000</v>
      </c>
      <c r="BS26" s="16" t="str">
        <f aca="false">IF(COUNT(BS22,BS23,BS24,BS25)=0,"",SUM(BS22:BS25))</f>
        <v/>
      </c>
      <c r="BT26" s="16" t="n">
        <f aca="false">SUM(BT22:BT25)</f>
        <v>19000</v>
      </c>
      <c r="BU26" s="16" t="n">
        <f aca="false">SUM(BU22:BU25)</f>
        <v>19000</v>
      </c>
      <c r="BV26" s="15" t="str">
        <f aca="false">IF(COUNT(BV22,BV23,BV24,BV25)=0,"",SUM(BV22:BV25))</f>
        <v/>
      </c>
      <c r="BW26" s="15" t="n">
        <f aca="false">SUM(BW22:BW25)</f>
        <v>19000</v>
      </c>
      <c r="BX26" s="15" t="n">
        <f aca="false">SUM(BX22:BX25)</f>
        <v>19000</v>
      </c>
      <c r="BY26" s="16" t="str">
        <f aca="false">IF(COUNT(BY22,BY23,BY24,BY25)=0,"",SUM(BY22:BY25))</f>
        <v/>
      </c>
      <c r="BZ26" s="16" t="n">
        <f aca="false">SUM(BZ22:BZ25)</f>
        <v>19000</v>
      </c>
      <c r="CA26" s="16" t="n">
        <f aca="false">SUM(CA22:CA25)</f>
        <v>19000</v>
      </c>
      <c r="CB26" s="15" t="str">
        <f aca="false">IF(COUNT(CB22,CB23,CB24,CB25)=0,"",SUM(CB22:CB25))</f>
        <v/>
      </c>
      <c r="CC26" s="15" t="n">
        <f aca="false">SUM(CC22:CC25)</f>
        <v>19000</v>
      </c>
      <c r="CD26" s="15" t="n">
        <f aca="false">SUM(CD22:CD25)</f>
        <v>19000</v>
      </c>
      <c r="CE26" s="16" t="str">
        <f aca="false">IF(COUNT(CE22,CE23,CE24,CE25)=0,"",SUM(CE22:CE25))</f>
        <v/>
      </c>
      <c r="CF26" s="16" t="n">
        <f aca="false">SUM(CF22:CF25)</f>
        <v>19000</v>
      </c>
      <c r="CG26" s="16" t="n">
        <f aca="false">SUM(CG22:CG25)</f>
        <v>19000</v>
      </c>
      <c r="CH26" s="15" t="str">
        <f aca="false">IF(COUNT(CH22,CH23,CH24,CH25)=0,"",SUM(CH22:CH25))</f>
        <v/>
      </c>
      <c r="CI26" s="15" t="n">
        <f aca="false">SUM(CI22:CI25)</f>
        <v>19000</v>
      </c>
      <c r="CJ26" s="15" t="n">
        <f aca="false">SUM(CJ22:CJ25)</f>
        <v>19000</v>
      </c>
      <c r="CK26" s="16" t="str">
        <f aca="false">IF(COUNT(CK22,CK23,CK24,CK25)=0,"",SUM(CK22:CK25))</f>
        <v/>
      </c>
      <c r="CL26" s="16" t="n">
        <f aca="false">SUM(CL22:CL25)</f>
        <v>19000</v>
      </c>
      <c r="CM26" s="16" t="n">
        <f aca="false">SUM(CM22:CM25)</f>
        <v>19000</v>
      </c>
      <c r="CN26" s="15" t="str">
        <f aca="false">IF(COUNT(CN22,CN23,CN24,CN25)=0,"",SUM(CN22:CN25))</f>
        <v/>
      </c>
      <c r="CO26" s="15" t="n">
        <f aca="false">SUM(CO22:CO25)</f>
        <v>19000</v>
      </c>
      <c r="CP26" s="15" t="n">
        <f aca="false">SUM(CP22:CP25)</f>
        <v>19000</v>
      </c>
      <c r="CQ26" s="16" t="str">
        <f aca="false">IF(COUNT(CQ22,CQ23,CQ24,CQ25)=0,"",SUM(CQ22:CQ25))</f>
        <v/>
      </c>
      <c r="CR26" s="16" t="n">
        <f aca="false">SUM(CR22:CR25)</f>
        <v>19000</v>
      </c>
      <c r="CS26" s="16" t="n">
        <f aca="false">SUM(CS22:CS25)</f>
        <v>19000</v>
      </c>
      <c r="CT26" s="15" t="str">
        <f aca="false">IF(COUNT(CT22,CT23,CT24,CT25)=0,"",SUM(CT22:CT25))</f>
        <v/>
      </c>
      <c r="CU26" s="15" t="n">
        <f aca="false">SUM(CU22:CU25)</f>
        <v>19000</v>
      </c>
      <c r="CV26" s="15" t="n">
        <f aca="false">SUM(CV22:CV25)</f>
        <v>19000</v>
      </c>
      <c r="CW26" s="16" t="str">
        <f aca="false">IF(COUNT(CW22,CW23,CW24,CW25)=0,"",SUM(CW22:CW25))</f>
        <v/>
      </c>
      <c r="CX26" s="16" t="n">
        <f aca="false">SUM(CX22:CX25)</f>
        <v>19000</v>
      </c>
      <c r="CY26" s="16" t="n">
        <f aca="false">SUM(CY22:CY25)</f>
        <v>19000</v>
      </c>
      <c r="CZ26" s="15" t="str">
        <f aca="false">IF(COUNT(CZ22,CZ23,CZ24,CZ25)=0,"",SUM(CZ22:CZ25))</f>
        <v/>
      </c>
      <c r="DA26" s="15" t="n">
        <f aca="false">SUM(DA22:DA25)</f>
        <v>19000</v>
      </c>
      <c r="DB26" s="15" t="n">
        <f aca="false">SUM(DB22:DB25)</f>
        <v>19000</v>
      </c>
      <c r="DC26" s="16" t="str">
        <f aca="false">IF(COUNT(DC22,DC23,DC24,DC25)=0,"",SUM(DC22:DC25))</f>
        <v/>
      </c>
      <c r="DD26" s="16" t="n">
        <f aca="false">SUM(DD22:DD25)</f>
        <v>19000</v>
      </c>
      <c r="DE26" s="16" t="n">
        <f aca="false">SUM(DE22:DE25)</f>
        <v>19000</v>
      </c>
      <c r="DF26" s="15" t="str">
        <f aca="false">IF(COUNT(DF22,DF23,DF24,DF25)=0,"",SUM(DF22:DF25))</f>
        <v/>
      </c>
      <c r="DG26" s="15" t="n">
        <f aca="false">SUM(DG22:DG25)</f>
        <v>19000</v>
      </c>
      <c r="DH26" s="15" t="n">
        <f aca="false">SUM(DH22:DH25)</f>
        <v>19000</v>
      </c>
      <c r="DI26" s="16" t="n">
        <f aca="false">IF(COUNT(DI22,DI23,DI24,DI25)=0,"",SUM(DI22:DI25))</f>
        <v>19000</v>
      </c>
      <c r="DJ26" s="16" t="n">
        <f aca="false">SUM(DJ22:DJ25)</f>
        <v>19000</v>
      </c>
      <c r="DK26" s="16" t="n">
        <f aca="false">SUM(DK22:DK25)</f>
        <v>19000</v>
      </c>
      <c r="DL26" s="15" t="n">
        <f aca="false">IF(COUNT(DL22,DL23,DL24,DL25)=0,"",SUM(DL22:DL25))</f>
        <v>19000</v>
      </c>
      <c r="DM26" s="15" t="n">
        <f aca="false">SUM(DM22:DM25)</f>
        <v>19000</v>
      </c>
      <c r="DN26" s="15" t="n">
        <f aca="false">SUM(DN22:DN25)</f>
        <v>19000</v>
      </c>
    </row>
    <row r="27" customFormat="false" ht="15.75" hidden="false" customHeight="true" outlineLevel="0" collapsed="false">
      <c r="A27" s="14" t="s">
        <v>263</v>
      </c>
      <c r="B27" s="15" t="str">
        <f aca="false">IF(COUNT(AR27,AO27,AL27,AI27,AF27,AC27,Z27,W27,T27,Q27,N27,K27)=0,"",SUM(AR27,AO27,AL27,AI27,AF27,AC27,Z27,W27,T27,Q27,N27,K27))</f>
        <v/>
      </c>
      <c r="C27" s="15" t="n">
        <f aca="false">IF(COUNT(AS27,AP27,AM27,AJ27,AG27,AD27,AA27,X27,U27,R27,O27,L27)=0,"",SUM(AS27,AP27,AM27,AJ27,AG27,AD27,AA27,X27,U27,R27,O27,L27))</f>
        <v>5964465</v>
      </c>
      <c r="D27" s="15" t="n">
        <f aca="false">IF(COUNT(AT27,AQ27,AN27,AK27,AH27,AE27,AB27,Y27,V27,S27,P27,M27)=0,"",SUM(AT27,AQ27,AN27,AK27,AH27,AE27,AB27,Y27,V27,S27,P27,M27))</f>
        <v>5959605</v>
      </c>
      <c r="E27" s="16" t="str">
        <f aca="false">IF(COUNT(CB27,BY27,BV27,BS27,BP27,BM27,BJ27,BG27,BD27,BA27,AX27,AU27)=0,"",SUM(CB27,BY27,BV27,BS27,BP27,BM27,BJ27,BG27,BD27,BA27,AX27,AU27))</f>
        <v/>
      </c>
      <c r="F27" s="16" t="n">
        <f aca="false">IF(COUNT(CC27,BZ27,BW27,BT27,BQ27,BN27,BK27,BH27,BE27,BB27,AY27,AV27)=0,"",SUM(CC27,BZ27,BW27,BT27,BQ27,BN27,BK27,BH27,BE27,BB27,AY27,AV27))</f>
        <v>4724175</v>
      </c>
      <c r="G27" s="16" t="n">
        <f aca="false">IF(COUNT(CD27,CA27,BX27,BU27,BR27,BO27,BL27,BI27,BF27,BC27,AZ27,AW27)=0,"",SUM(CD27,CA27,BX27,BU27,BR27,BO27,BL27,BI27,BF27,BC27,AZ27,AW27))</f>
        <v>4719315</v>
      </c>
      <c r="H27" s="15" t="n">
        <f aca="false">IF(COUNT(DL27,DI27,DF27,DC27,CZ27,CW27,CT27,CQ27,CN27,CK27,CH27,CE27)=0,"",SUM(DL27,DI27,DF27,DC27,CZ27,CW27,CT27,CQ27,CN27,CK27,CH27,CE27))</f>
        <v>643790</v>
      </c>
      <c r="I27" s="15" t="n">
        <f aca="false">IF(COUNT(DM27,DJ27,DG27,DD27,DA27,CX27,CU27,CR27,CO27,CL27,CI27,CF27)=0,"",SUM(DM27,DJ27,DG27,DD27,DA27,CX27,CU27,CR27,CO27,CL27,CI27,CF27))</f>
        <v>3975870</v>
      </c>
      <c r="J27" s="15" t="n">
        <f aca="false">IF(COUNT(DN27,DK27,DH27,DE27,DB27,CY27,CV27,CS27,CP27,CM27,CJ27,CG27)=0,"",SUM(DN27,DK27,DH27,DE27,DB27,CY27,CV27,CS27,CP27,CM27,CJ27,CG27))</f>
        <v>3968175</v>
      </c>
      <c r="K27" s="16" t="str">
        <f aca="false">IF(COUNT(K21,K26,K11)=0,"",SUM(K21,K26,K11))</f>
        <v/>
      </c>
      <c r="L27" s="16" t="n">
        <f aca="false">SUM(L21,L26,L11)</f>
        <v>520220</v>
      </c>
      <c r="M27" s="16" t="n">
        <f aca="false">SUM(M21,M26,M11)</f>
        <v>519815</v>
      </c>
      <c r="N27" s="15" t="str">
        <f aca="false">IF(COUNT(N21,N26,N11)=0,"",SUM(N21,N26,N11))</f>
        <v/>
      </c>
      <c r="O27" s="15" t="n">
        <f aca="false">SUM(O21,O26,O11)</f>
        <v>516305</v>
      </c>
      <c r="P27" s="15" t="n">
        <f aca="false">SUM(P21,P26,P11)</f>
        <v>515900</v>
      </c>
      <c r="Q27" s="16" t="str">
        <f aca="false">IF(COUNT(Q21,Q26,Q11)=0,"",SUM(Q21,Q26,Q11))</f>
        <v/>
      </c>
      <c r="R27" s="16" t="n">
        <f aca="false">SUM(R21,R26,R11)</f>
        <v>512390</v>
      </c>
      <c r="S27" s="16" t="n">
        <f aca="false">SUM(S21,S26,S11)</f>
        <v>511985</v>
      </c>
      <c r="T27" s="15" t="str">
        <f aca="false">IF(COUNT(T21,T26,T11)=0,"",SUM(T21,T26,T11))</f>
        <v/>
      </c>
      <c r="U27" s="15" t="n">
        <f aca="false">SUM(U21,U26,U11)</f>
        <v>508475</v>
      </c>
      <c r="V27" s="15" t="n">
        <f aca="false">SUM(V21,V26,V11)</f>
        <v>508070</v>
      </c>
      <c r="W27" s="16" t="str">
        <f aca="false">IF(COUNT(W21,W26,W11)=0,"",SUM(W21,W26,W11))</f>
        <v/>
      </c>
      <c r="X27" s="16" t="n">
        <f aca="false">SUM(X21,X26,X11)</f>
        <v>504560</v>
      </c>
      <c r="Y27" s="16" t="n">
        <f aca="false">SUM(Y21,Y26,Y11)</f>
        <v>504155</v>
      </c>
      <c r="Z27" s="15" t="str">
        <f aca="false">IF(COUNT(Z21,Z26,Z11)=0,"",SUM(Z21,Z26,Z11))</f>
        <v/>
      </c>
      <c r="AA27" s="15" t="n">
        <f aca="false">SUM(AA21,AA26,AA11)</f>
        <v>500645</v>
      </c>
      <c r="AB27" s="15" t="n">
        <f aca="false">SUM(AB21,AB26,AB11)</f>
        <v>500240</v>
      </c>
      <c r="AC27" s="16" t="str">
        <f aca="false">IF(COUNT(AC21,AC26,AC11)=0,"",SUM(AC21,AC26,AC11))</f>
        <v/>
      </c>
      <c r="AD27" s="16" t="n">
        <f aca="false">SUM(AD21,AD26,AD11)</f>
        <v>496595</v>
      </c>
      <c r="AE27" s="16" t="n">
        <f aca="false">SUM(AE21,AE26,AE11)</f>
        <v>496190</v>
      </c>
      <c r="AF27" s="15" t="str">
        <f aca="false">IF(COUNT(AF21,AF26,AF11)=0,"",SUM(AF21,AF26,AF11))</f>
        <v/>
      </c>
      <c r="AG27" s="15" t="n">
        <f aca="false">SUM(AG21,AG26,AG11)</f>
        <v>492545</v>
      </c>
      <c r="AH27" s="15" t="n">
        <f aca="false">SUM(AH21,AH26,AH11)</f>
        <v>492140</v>
      </c>
      <c r="AI27" s="16" t="str">
        <f aca="false">IF(COUNT(AI21,AI26,AI11)=0,"",SUM(AI21,AI26,AI11))</f>
        <v/>
      </c>
      <c r="AJ27" s="16" t="n">
        <f aca="false">SUM(AJ21,AJ26,AJ11)</f>
        <v>488495</v>
      </c>
      <c r="AK27" s="16" t="n">
        <f aca="false">SUM(AK21,AK26,AK11)</f>
        <v>488090</v>
      </c>
      <c r="AL27" s="15" t="str">
        <f aca="false">IF(COUNT(AL21,AL26,AL11)=0,"",SUM(AL21,AL26,AL11))</f>
        <v/>
      </c>
      <c r="AM27" s="15" t="n">
        <f aca="false">SUM(AM21,AM26,AM11)</f>
        <v>484445</v>
      </c>
      <c r="AN27" s="15" t="n">
        <f aca="false">SUM(AN21,AN26,AN11)</f>
        <v>484040</v>
      </c>
      <c r="AO27" s="16" t="str">
        <f aca="false">IF(COUNT(AO21,AO26,AO11)=0,"",SUM(AO21,AO26,AO11))</f>
        <v/>
      </c>
      <c r="AP27" s="16" t="n">
        <f aca="false">SUM(AP21,AP26,AP11)</f>
        <v>480395</v>
      </c>
      <c r="AQ27" s="16" t="n">
        <f aca="false">SUM(AQ21,AQ26,AQ11)</f>
        <v>479990</v>
      </c>
      <c r="AR27" s="15" t="str">
        <f aca="false">IF(COUNT(AR21,AR26,AR11)=0,"",SUM(AR21,AR26,AR11))</f>
        <v/>
      </c>
      <c r="AS27" s="15" t="n">
        <f aca="false">SUM(AS21,AS26,AS11)</f>
        <v>459395</v>
      </c>
      <c r="AT27" s="15" t="n">
        <f aca="false">SUM(AT21,AT26,AT11)</f>
        <v>458990</v>
      </c>
      <c r="AU27" s="16" t="str">
        <f aca="false">IF(COUNT(AU21,AU26,AU11)=0,"",SUM(AU21,AU26,AU11))</f>
        <v/>
      </c>
      <c r="AV27" s="16" t="n">
        <f aca="false">SUM(AV21,AV26,AV11)</f>
        <v>441920</v>
      </c>
      <c r="AW27" s="16" t="n">
        <f aca="false">SUM(AW21,AW26,AW11)</f>
        <v>441515</v>
      </c>
      <c r="AX27" s="15" t="str">
        <f aca="false">IF(COUNT(AX21,AX26,AX11)=0,"",SUM(AX21,AX26,AX11))</f>
        <v/>
      </c>
      <c r="AY27" s="15" t="n">
        <f aca="false">SUM(AY21,AY26,AY11)</f>
        <v>439085</v>
      </c>
      <c r="AZ27" s="15" t="n">
        <f aca="false">SUM(AZ21,AZ26,AZ11)</f>
        <v>438680</v>
      </c>
      <c r="BA27" s="16" t="str">
        <f aca="false">IF(COUNT(BA21,BA26,BA11)=0,"",SUM(BA21,BA26,BA11))</f>
        <v/>
      </c>
      <c r="BB27" s="16" t="n">
        <f aca="false">SUM(BB21,BB26,BB11)</f>
        <v>417950</v>
      </c>
      <c r="BC27" s="16" t="n">
        <f aca="false">SUM(BC21,BC26,BC11)</f>
        <v>417545</v>
      </c>
      <c r="BD27" s="15" t="str">
        <f aca="false">IF(COUNT(BD21,BD26,BD11)=0,"",SUM(BD21,BD26,BD11))</f>
        <v/>
      </c>
      <c r="BE27" s="15" t="n">
        <f aca="false">SUM(BE21,BE26,BE11)</f>
        <v>415115</v>
      </c>
      <c r="BF27" s="15" t="n">
        <f aca="false">SUM(BF21,BF26,BF11)</f>
        <v>414710</v>
      </c>
      <c r="BG27" s="16" t="str">
        <f aca="false">IF(COUNT(BG21,BG26,BG11)=0,"",SUM(BG21,BG26,BG11))</f>
        <v/>
      </c>
      <c r="BH27" s="16" t="n">
        <f aca="false">SUM(BH21,BH26,BH11)</f>
        <v>412280</v>
      </c>
      <c r="BI27" s="16" t="n">
        <f aca="false">SUM(BI21,BI26,BI11)</f>
        <v>411875</v>
      </c>
      <c r="BJ27" s="15" t="str">
        <f aca="false">IF(COUNT(BJ21,BJ26,BJ11)=0,"",SUM(BJ21,BJ26,BJ11))</f>
        <v/>
      </c>
      <c r="BK27" s="15" t="n">
        <f aca="false">SUM(BK21,BK26,BK11)</f>
        <v>393585</v>
      </c>
      <c r="BL27" s="15" t="n">
        <f aca="false">SUM(BL21,BL26,BL11)</f>
        <v>393180</v>
      </c>
      <c r="BM27" s="16" t="str">
        <f aca="false">IF(COUNT(BM21,BM26,BM11)=0,"",SUM(BM21,BM26,BM11))</f>
        <v/>
      </c>
      <c r="BN27" s="16" t="n">
        <f aca="false">SUM(BN21,BN26,BN11)</f>
        <v>390750</v>
      </c>
      <c r="BO27" s="16" t="n">
        <f aca="false">SUM(BO21,BO26,BO11)</f>
        <v>390345</v>
      </c>
      <c r="BP27" s="15" t="str">
        <f aca="false">IF(COUNT(BP21,BP26,BP11)=0,"",SUM(BP21,BP26,BP11))</f>
        <v/>
      </c>
      <c r="BQ27" s="15" t="n">
        <f aca="false">SUM(BQ21,BQ26,BQ11)</f>
        <v>372055</v>
      </c>
      <c r="BR27" s="15" t="n">
        <f aca="false">SUM(BR21,BR26,BR11)</f>
        <v>371650</v>
      </c>
      <c r="BS27" s="16" t="str">
        <f aca="false">IF(COUNT(BS21,BS26,BS11)=0,"",SUM(BS21,BS26,BS11))</f>
        <v/>
      </c>
      <c r="BT27" s="16" t="n">
        <f aca="false">SUM(BT21,BT26,BT11)</f>
        <v>369085</v>
      </c>
      <c r="BU27" s="16" t="n">
        <f aca="false">SUM(BU21,BU26,BU11)</f>
        <v>368680</v>
      </c>
      <c r="BV27" s="15" t="str">
        <f aca="false">IF(COUNT(BV21,BV26,BV11)=0,"",SUM(BV21,BV26,BV11))</f>
        <v/>
      </c>
      <c r="BW27" s="15" t="n">
        <f aca="false">SUM(BW21,BW26,BW11)</f>
        <v>366115</v>
      </c>
      <c r="BX27" s="15" t="n">
        <f aca="false">SUM(BX21,BX26,BX11)</f>
        <v>365710</v>
      </c>
      <c r="BY27" s="16" t="str">
        <f aca="false">IF(COUNT(BY21,BY26,BY11)=0,"",SUM(BY21,BY26,BY11))</f>
        <v/>
      </c>
      <c r="BZ27" s="16" t="n">
        <f aca="false">SUM(BZ21,BZ26,BZ11)</f>
        <v>363145</v>
      </c>
      <c r="CA27" s="16" t="n">
        <f aca="false">SUM(CA21,CA26,CA11)</f>
        <v>362740</v>
      </c>
      <c r="CB27" s="15" t="str">
        <f aca="false">IF(COUNT(CB21,CB26,CB11)=0,"",SUM(CB21,CB26,CB11))</f>
        <v/>
      </c>
      <c r="CC27" s="15" t="n">
        <f aca="false">SUM(CC21,CC26,CC11)</f>
        <v>343090</v>
      </c>
      <c r="CD27" s="15" t="n">
        <f aca="false">SUM(CD21,CD26,CD11)</f>
        <v>342685</v>
      </c>
      <c r="CE27" s="16" t="str">
        <f aca="false">IF(COUNT(CE21,CE26,CE11)=0,"",SUM(CE21,CE26,CE11))</f>
        <v/>
      </c>
      <c r="CF27" s="16" t="n">
        <f aca="false">SUM(CF21,CF26,CF11)</f>
        <v>341335</v>
      </c>
      <c r="CG27" s="16" t="n">
        <f aca="false">SUM(CG21,CG26,CG11)</f>
        <v>340930</v>
      </c>
      <c r="CH27" s="15" t="str">
        <f aca="false">IF(COUNT(CH21,CH26,CH11)=0,"",SUM(CH21,CH26,CH11))</f>
        <v/>
      </c>
      <c r="CI27" s="15" t="n">
        <f aca="false">SUM(CI21,CI26,CI11)</f>
        <v>339580</v>
      </c>
      <c r="CJ27" s="15" t="n">
        <f aca="false">SUM(CJ21,CJ26,CJ11)</f>
        <v>339175</v>
      </c>
      <c r="CK27" s="16" t="str">
        <f aca="false">IF(COUNT(CK21,CK26,CK11)=0,"",SUM(CK21,CK26,CK11))</f>
        <v/>
      </c>
      <c r="CL27" s="16" t="n">
        <f aca="false">SUM(CL21,CL26,CL11)</f>
        <v>337825</v>
      </c>
      <c r="CM27" s="16" t="n">
        <f aca="false">SUM(CM21,CM26,CM11)</f>
        <v>337420</v>
      </c>
      <c r="CN27" s="15" t="str">
        <f aca="false">IF(COUNT(CN21,CN26,CN11)=0,"",SUM(CN21,CN26,CN11))</f>
        <v/>
      </c>
      <c r="CO27" s="15" t="n">
        <f aca="false">SUM(CO21,CO26,CO11)</f>
        <v>336070</v>
      </c>
      <c r="CP27" s="15" t="n">
        <f aca="false">SUM(CP21,CP26,CP11)</f>
        <v>335665</v>
      </c>
      <c r="CQ27" s="16" t="str">
        <f aca="false">IF(COUNT(CQ21,CQ26,CQ11)=0,"",SUM(CQ21,CQ26,CQ11))</f>
        <v/>
      </c>
      <c r="CR27" s="16" t="n">
        <f aca="false">SUM(CR21,CR26,CR11)</f>
        <v>334315</v>
      </c>
      <c r="CS27" s="16" t="n">
        <f aca="false">SUM(CS21,CS26,CS11)</f>
        <v>333910</v>
      </c>
      <c r="CT27" s="15" t="str">
        <f aca="false">IF(COUNT(CT21,CT26,CT11)=0,"",SUM(CT21,CT26,CT11))</f>
        <v/>
      </c>
      <c r="CU27" s="15" t="n">
        <f aca="false">SUM(CU21,CU26,CU11)</f>
        <v>332560</v>
      </c>
      <c r="CV27" s="15" t="n">
        <f aca="false">SUM(CV21,CV26,CV11)</f>
        <v>332155</v>
      </c>
      <c r="CW27" s="16" t="str">
        <f aca="false">IF(COUNT(CW21,CW26,CW11)=0,"",SUM(CW21,CW26,CW11))</f>
        <v/>
      </c>
      <c r="CX27" s="16" t="n">
        <f aca="false">SUM(CX21,CX26,CX11)</f>
        <v>330805</v>
      </c>
      <c r="CY27" s="16" t="n">
        <f aca="false">SUM(CY21,CY26,CY11)</f>
        <v>330400</v>
      </c>
      <c r="CZ27" s="15" t="str">
        <f aca="false">IF(COUNT(CZ21,CZ26,CZ11)=0,"",SUM(CZ21,CZ26,CZ11))</f>
        <v/>
      </c>
      <c r="DA27" s="15" t="n">
        <f aca="false">SUM(DA21,DA26,DA11)</f>
        <v>328915</v>
      </c>
      <c r="DB27" s="15" t="n">
        <f aca="false">SUM(DB21,DB26,DB11)</f>
        <v>328510</v>
      </c>
      <c r="DC27" s="16" t="str">
        <f aca="false">IF(COUNT(DC21,DC26,DC11)=0,"",SUM(DC21,DC26,DC11))</f>
        <v/>
      </c>
      <c r="DD27" s="16" t="n">
        <f aca="false">SUM(DD21,DD26,DD11)</f>
        <v>327025</v>
      </c>
      <c r="DE27" s="16" t="n">
        <f aca="false">SUM(DE21,DE26,DE11)</f>
        <v>326620</v>
      </c>
      <c r="DF27" s="15" t="str">
        <f aca="false">IF(COUNT(DF21,DF26,DF11)=0,"",SUM(DF21,DF26,DF11))</f>
        <v/>
      </c>
      <c r="DG27" s="15" t="n">
        <f aca="false">SUM(DG21,DG26,DG11)</f>
        <v>323650</v>
      </c>
      <c r="DH27" s="15" t="n">
        <f aca="false">SUM(DH21,DH26,DH11)</f>
        <v>322165</v>
      </c>
      <c r="DI27" s="16" t="n">
        <f aca="false">IF(COUNT(DI21,DI26,DI11)=0,"",SUM(DI21,DI26,DI11))</f>
        <v>322840</v>
      </c>
      <c r="DJ27" s="16" t="n">
        <f aca="false">SUM(DJ21,DJ26,DJ11)</f>
        <v>322840</v>
      </c>
      <c r="DK27" s="16" t="n">
        <f aca="false">SUM(DK21,DK26,DK11)</f>
        <v>320275</v>
      </c>
      <c r="DL27" s="15" t="n">
        <f aca="false">IF(COUNT(DL21,DL26,DL11)=0,"",SUM(DL21,DL26,DL11))</f>
        <v>320950</v>
      </c>
      <c r="DM27" s="15" t="n">
        <f aca="false">SUM(DM21,DM26,DM11)</f>
        <v>320950</v>
      </c>
      <c r="DN27" s="15" t="n">
        <f aca="false">SUM(DN21,DN26,DN11)</f>
        <v>320950</v>
      </c>
    </row>
    <row r="28" customFormat="false" ht="15.75" hidden="false" customHeight="true" outlineLevel="0" collapsed="false">
      <c r="A28" s="5" t="s">
        <v>264</v>
      </c>
      <c r="B28" s="24" t="str">
        <f aca="false">IF(SUM(AR5,AO5,AL5,AI5,AF5,AC5,Z5,W5,T5,Q5,N5,K5)=0,"",SUM(AR27,AO27,AL27,AI27,AF27,AC27,Z27,W27,T27,Q27,N27,K27)/SUM(AR5,AO5,AL5,AI5,AF5,AC5,Z5,W5,T5,Q5,N5,K5))</f>
        <v/>
      </c>
      <c r="C28" s="24" t="n">
        <f aca="false">IF(SUM(AS5,AP5,AM5,AJ5,AG5,AD5,AA5,X5,U5,R5,O5,L5)=0,"",SUM(AS27,AP27,AM27,AJ27,AG27,AD27,AA27,X27,U27,R27,O27,L27)/SUM(AS5,AP5,AM5,AJ5,AG5,AD5,AA5,X5,U5,R5,O5,L5))</f>
        <v>55742.6635514019</v>
      </c>
      <c r="D28" s="24" t="n">
        <f aca="false">IF(SUM(AT5,AQ5,AN5,AK5,AH5,AE5,AB5,Y5,V5,S5,P5,M5)=0,"",SUM(AT27,AQ27,AN27,AK27,AH27,AE27,AB27,Y27,V27,S27,P27,M27)/SUM(AT5,AQ5,AN5,AK5,AH5,AE5,AB5,Y5,V5,S5,P5,M5))</f>
        <v>55697.2429906542</v>
      </c>
      <c r="E28" s="25" t="str">
        <f aca="false">IF(SUM(CB5,BY5,BV5,BS5,BP5,BM5,BJ5,BG5,BD5,BA5,AX5,AU5)=0,"",SUM(CB27,BY27,BV27,BS27,BP27,BM27,BJ27,BG27,BD27,BA27,AX27,AU27)/SUM(CB5,BY5,BV5,BS5,BP5,BM5,BJ5,BG5,BD5,BA5,AX5,AU5))</f>
        <v/>
      </c>
      <c r="F28" s="25" t="n">
        <f aca="false">IF(SUM(CC5,BZ5,BW5,BT5,BQ5,BN5,BK5,BH5,BE5,BB5,AY5,AV5)=0,"",SUM(CC27,BZ27,BW27,BT27,BQ27,BN27,BK27,BH27,BE27,BB27,AY27,AV27)/SUM(CC5,BZ5,BW5,BT5,BQ5,BN5,BK5,BH5,BE5,BB5,AY5,AV5))</f>
        <v>66537.676056338</v>
      </c>
      <c r="G28" s="25" t="n">
        <f aca="false">IF(SUM(CD5,CA5,BX5,BU5,BR5,BO5,BL5,BI5,BF5,BC5,AZ5,AW5)=0,"",SUM(CD27,CA27,BX27,BU27,BR27,BO27,BL27,BI27,BF27,BC27,AZ27,AW27)/SUM(CD5,CA5,BX5,BU5,BR5,BO5,BL5,BI5,BF5,BC5,AZ5,AW5))</f>
        <v>66469.2253521127</v>
      </c>
      <c r="H28" s="24" t="n">
        <f aca="false">IF(SUM(DL5,DI5,DF5,DC5,CZ5,CW5,CT5,CQ5,CN5,CK5,CH5,CE5)=0,"",SUM(DL27,DI27,DF27,DC27,CZ27,CW27,CT27,CQ27,CN27,CK27,CH27,CE27)/SUM(DL5,DI5,DF5,DC5,CZ5,CW5,CT5,CQ5,CN5,CK5,CH5,CE5))</f>
        <v>80473.75</v>
      </c>
      <c r="I28" s="24" t="n">
        <f aca="false">IF(SUM(DM5,DJ5,DG5,DD5,DA5,CX5,CU5,CR5,CO5,CL5,CI5,CF5)=0,"",SUM(DM27,DJ27,DG27,DD27,DA27,CX27,CU27,CR27,CO27,CL27,CI27,CF27)/SUM(DM5,DJ5,DG5,DD5,DA5,CX5,CU5,CR5,CO5,CL5,CI5,CF5))</f>
        <v>82830.625</v>
      </c>
      <c r="J28" s="24" t="n">
        <f aca="false">IF(SUM(DN5,DK5,DH5,DE5,DB5,CY5,CV5,CS5,CP5,CM5,CJ5,CG5)=0,"",SUM(DN27,DK27,DH27,DE27,DB27,CY27,CV27,CS27,CP27,CM27,CJ27,CG27)/SUM(DN5,DK5,DH5,DE5,DB5,CY5,CV5,CS5,CP5,CM5,CJ5,CG5))</f>
        <v>82670.3125</v>
      </c>
      <c r="K28" s="25" t="str">
        <f aca="false">IF(COUNT(K27,K5)=2,IF(N(K5)=0,"",K27/K5),"")</f>
        <v/>
      </c>
      <c r="L28" s="25" t="n">
        <f aca="false">IF(N(L5)=0,"",L27/L5)</f>
        <v>57802.2222222222</v>
      </c>
      <c r="M28" s="25" t="n">
        <f aca="false">IF(N(M5)=0,"",M27/M5)</f>
        <v>57757.2222222222</v>
      </c>
      <c r="N28" s="24" t="str">
        <f aca="false">IF(COUNT(N27,N5)=2,IF(N(N5)=0,"",N27/N5),"")</f>
        <v/>
      </c>
      <c r="O28" s="24" t="n">
        <f aca="false">IF(N(O5)=0,"",O27/O5)</f>
        <v>57367.2222222222</v>
      </c>
      <c r="P28" s="24" t="n">
        <f aca="false">IF(N(P5)=0,"",P27/P5)</f>
        <v>57322.2222222222</v>
      </c>
      <c r="Q28" s="25" t="str">
        <f aca="false">IF(COUNT(Q27,Q5)=2,IF(N(Q5)=0,"",Q27/Q5),"")</f>
        <v/>
      </c>
      <c r="R28" s="25" t="n">
        <f aca="false">IF(N(R5)=0,"",R27/R5)</f>
        <v>56932.2222222222</v>
      </c>
      <c r="S28" s="25" t="n">
        <f aca="false">IF(N(S5)=0,"",S27/S5)</f>
        <v>56887.2222222222</v>
      </c>
      <c r="T28" s="24" t="str">
        <f aca="false">IF(COUNT(T27,T5)=2,IF(N(T5)=0,"",T27/T5),"")</f>
        <v/>
      </c>
      <c r="U28" s="24" t="n">
        <f aca="false">IF(N(U5)=0,"",U27/U5)</f>
        <v>56497.2222222222</v>
      </c>
      <c r="V28" s="24" t="n">
        <f aca="false">IF(N(V5)=0,"",V27/V5)</f>
        <v>56452.2222222222</v>
      </c>
      <c r="W28" s="25" t="str">
        <f aca="false">IF(COUNT(W27,W5)=2,IF(N(W5)=0,"",W27/W5),"")</f>
        <v/>
      </c>
      <c r="X28" s="25" t="n">
        <f aca="false">IF(N(X5)=0,"",X27/X5)</f>
        <v>56062.2222222222</v>
      </c>
      <c r="Y28" s="25" t="n">
        <f aca="false">IF(N(Y5)=0,"",Y27/Y5)</f>
        <v>56017.2222222222</v>
      </c>
      <c r="Z28" s="24" t="str">
        <f aca="false">IF(COUNT(Z27,Z5)=2,IF(N(Z5)=0,"",Z27/Z5),"")</f>
        <v/>
      </c>
      <c r="AA28" s="24" t="n">
        <f aca="false">IF(N(AA5)=0,"",AA27/AA5)</f>
        <v>55627.2222222222</v>
      </c>
      <c r="AB28" s="24" t="n">
        <f aca="false">IF(N(AB5)=0,"",AB27/AB5)</f>
        <v>55582.2222222222</v>
      </c>
      <c r="AC28" s="25" t="str">
        <f aca="false">IF(COUNT(AC27,AC5)=2,IF(N(AC5)=0,"",AC27/AC5),"")</f>
        <v/>
      </c>
      <c r="AD28" s="25" t="n">
        <f aca="false">IF(N(AD5)=0,"",AD27/AD5)</f>
        <v>55177.2222222222</v>
      </c>
      <c r="AE28" s="25" t="n">
        <f aca="false">IF(N(AE5)=0,"",AE27/AE5)</f>
        <v>55132.2222222222</v>
      </c>
      <c r="AF28" s="24" t="str">
        <f aca="false">IF(COUNT(AF27,AF5)=2,IF(N(AF5)=0,"",AF27/AF5),"")</f>
        <v/>
      </c>
      <c r="AG28" s="24" t="n">
        <f aca="false">IF(N(AG5)=0,"",AG27/AG5)</f>
        <v>54727.2222222222</v>
      </c>
      <c r="AH28" s="24" t="n">
        <f aca="false">IF(N(AH5)=0,"",AH27/AH5)</f>
        <v>54682.2222222222</v>
      </c>
      <c r="AI28" s="25" t="str">
        <f aca="false">IF(COUNT(AI27,AI5)=2,IF(N(AI5)=0,"",AI27/AI5),"")</f>
        <v/>
      </c>
      <c r="AJ28" s="25" t="n">
        <f aca="false">IF(N(AJ5)=0,"",AJ27/AJ5)</f>
        <v>54277.2222222222</v>
      </c>
      <c r="AK28" s="25" t="n">
        <f aca="false">IF(N(AK5)=0,"",AK27/AK5)</f>
        <v>54232.2222222222</v>
      </c>
      <c r="AL28" s="24" t="str">
        <f aca="false">IF(COUNT(AL27,AL5)=2,IF(N(AL5)=0,"",AL27/AL5),"")</f>
        <v/>
      </c>
      <c r="AM28" s="24" t="n">
        <f aca="false">IF(N(AM5)=0,"",AM27/AM5)</f>
        <v>53827.2222222222</v>
      </c>
      <c r="AN28" s="24" t="n">
        <f aca="false">IF(N(AN5)=0,"",AN27/AN5)</f>
        <v>53782.2222222222</v>
      </c>
      <c r="AO28" s="25" t="str">
        <f aca="false">IF(COUNT(AO27,AO5)=2,IF(N(AO5)=0,"",AO27/AO5),"")</f>
        <v/>
      </c>
      <c r="AP28" s="25" t="n">
        <f aca="false">IF(N(AP5)=0,"",AP27/AP5)</f>
        <v>53377.2222222222</v>
      </c>
      <c r="AQ28" s="25" t="n">
        <f aca="false">IF(N(AQ5)=0,"",AQ27/AQ5)</f>
        <v>53332.2222222222</v>
      </c>
      <c r="AR28" s="24" t="str">
        <f aca="false">IF(COUNT(AR27,AR5)=2,IF(N(AR5)=0,"",AR27/AR5),"")</f>
        <v/>
      </c>
      <c r="AS28" s="24" t="n">
        <f aca="false">IF(N(AS5)=0,"",AS27/AS5)</f>
        <v>57424.375</v>
      </c>
      <c r="AT28" s="24" t="n">
        <f aca="false">IF(N(AT5)=0,"",AT27/AT5)</f>
        <v>57373.75</v>
      </c>
      <c r="AU28" s="25" t="str">
        <f aca="false">IF(COUNT(AU27,AU5)=2,IF(N(AU5)=0,"",AU27/AU5),"")</f>
        <v/>
      </c>
      <c r="AV28" s="25" t="n">
        <f aca="false">IF(N(AV5)=0,"",AV27/AV5)</f>
        <v>63131.4285714286</v>
      </c>
      <c r="AW28" s="25" t="n">
        <f aca="false">IF(N(AW5)=0,"",AW27/AW5)</f>
        <v>63073.5714285714</v>
      </c>
      <c r="AX28" s="24" t="str">
        <f aca="false">IF(COUNT(AX27,AX5)=2,IF(N(AX5)=0,"",AX27/AX5),"")</f>
        <v/>
      </c>
      <c r="AY28" s="24" t="n">
        <f aca="false">IF(N(AY5)=0,"",AY27/AY5)</f>
        <v>62726.4285714286</v>
      </c>
      <c r="AZ28" s="24" t="n">
        <f aca="false">IF(N(AZ5)=0,"",AZ27/AZ5)</f>
        <v>62668.5714285714</v>
      </c>
      <c r="BA28" s="25" t="str">
        <f aca="false">IF(COUNT(BA27,BA5)=2,IF(N(BA5)=0,"",BA27/BA5),"")</f>
        <v/>
      </c>
      <c r="BB28" s="25" t="n">
        <f aca="false">IF(N(BB5)=0,"",BB27/BB5)</f>
        <v>59707.1428571429</v>
      </c>
      <c r="BC28" s="25" t="n">
        <f aca="false">IF(N(BC5)=0,"",BC27/BC5)</f>
        <v>59649.2857142857</v>
      </c>
      <c r="BD28" s="24" t="str">
        <f aca="false">IF(COUNT(BD27,BD5)=2,IF(N(BD5)=0,"",BD27/BD5),"")</f>
        <v/>
      </c>
      <c r="BE28" s="24" t="n">
        <f aca="false">IF(N(BE5)=0,"",BE27/BE5)</f>
        <v>59302.1428571429</v>
      </c>
      <c r="BF28" s="24" t="n">
        <f aca="false">IF(N(BF5)=0,"",BF27/BF5)</f>
        <v>59244.2857142857</v>
      </c>
      <c r="BG28" s="25" t="str">
        <f aca="false">IF(COUNT(BG27,BG5)=2,IF(N(BG5)=0,"",BG27/BG5),"")</f>
        <v/>
      </c>
      <c r="BH28" s="25" t="n">
        <f aca="false">IF(N(BH5)=0,"",BH27/BH5)</f>
        <v>58897.1428571429</v>
      </c>
      <c r="BI28" s="25" t="n">
        <f aca="false">IF(N(BI5)=0,"",BI27/BI5)</f>
        <v>58839.2857142857</v>
      </c>
      <c r="BJ28" s="24" t="str">
        <f aca="false">IF(COUNT(BJ27,BJ5)=2,IF(N(BJ5)=0,"",BJ27/BJ5),"")</f>
        <v/>
      </c>
      <c r="BK28" s="24" t="n">
        <f aca="false">IF(N(BK5)=0,"",BK27/BK5)</f>
        <v>65597.5</v>
      </c>
      <c r="BL28" s="24" t="n">
        <f aca="false">IF(N(BL5)=0,"",BL27/BL5)</f>
        <v>65530</v>
      </c>
      <c r="BM28" s="25" t="str">
        <f aca="false">IF(COUNT(BM27,BM5)=2,IF(N(BM5)=0,"",BM27/BM5),"")</f>
        <v/>
      </c>
      <c r="BN28" s="25" t="n">
        <f aca="false">IF(N(BN5)=0,"",BN27/BN5)</f>
        <v>65125</v>
      </c>
      <c r="BO28" s="25" t="n">
        <f aca="false">IF(N(BO5)=0,"",BO27/BO5)</f>
        <v>65057.5</v>
      </c>
      <c r="BP28" s="24" t="str">
        <f aca="false">IF(COUNT(BP27,BP5)=2,IF(N(BP5)=0,"",BP27/BP5),"")</f>
        <v/>
      </c>
      <c r="BQ28" s="24" t="n">
        <f aca="false">IF(N(BQ5)=0,"",BQ27/BQ5)</f>
        <v>74411</v>
      </c>
      <c r="BR28" s="24" t="n">
        <f aca="false">IF(N(BR5)=0,"",BR27/BR5)</f>
        <v>74330</v>
      </c>
      <c r="BS28" s="25" t="str">
        <f aca="false">IF(COUNT(BS27,BS5)=2,IF(N(BS5)=0,"",BS27/BS5),"")</f>
        <v/>
      </c>
      <c r="BT28" s="25" t="n">
        <f aca="false">IF(N(BT5)=0,"",BT27/BT5)</f>
        <v>73817</v>
      </c>
      <c r="BU28" s="25" t="n">
        <f aca="false">IF(N(BU5)=0,"",BU27/BU5)</f>
        <v>73736</v>
      </c>
      <c r="BV28" s="24" t="str">
        <f aca="false">IF(COUNT(BV27,BV5)=2,IF(N(BV5)=0,"",BV27/BV5),"")</f>
        <v/>
      </c>
      <c r="BW28" s="24" t="n">
        <f aca="false">IF(N(BW5)=0,"",BW27/BW5)</f>
        <v>73223</v>
      </c>
      <c r="BX28" s="24" t="n">
        <f aca="false">IF(N(BX5)=0,"",BX27/BX5)</f>
        <v>73142</v>
      </c>
      <c r="BY28" s="25" t="str">
        <f aca="false">IF(COUNT(BY27,BY5)=2,IF(N(BY5)=0,"",BY27/BY5),"")</f>
        <v/>
      </c>
      <c r="BZ28" s="25" t="n">
        <f aca="false">IF(N(BZ5)=0,"",BZ27/BZ5)</f>
        <v>72629</v>
      </c>
      <c r="CA28" s="25" t="n">
        <f aca="false">IF(N(CA5)=0,"",CA27/CA5)</f>
        <v>72548</v>
      </c>
      <c r="CB28" s="24" t="str">
        <f aca="false">IF(COUNT(CB27,CB5)=2,IF(N(CB5)=0,"",CB27/CB5),"")</f>
        <v/>
      </c>
      <c r="CC28" s="24" t="n">
        <f aca="false">IF(N(CC5)=0,"",CC27/CC5)</f>
        <v>85772.5</v>
      </c>
      <c r="CD28" s="24" t="n">
        <f aca="false">IF(N(CD5)=0,"",CD27/CD5)</f>
        <v>85671.25</v>
      </c>
      <c r="CE28" s="25" t="str">
        <f aca="false">IF(COUNT(CE27,CE5)=2,IF(N(CE5)=0,"",CE27/CE5),"")</f>
        <v/>
      </c>
      <c r="CF28" s="25" t="n">
        <f aca="false">IF(N(CF5)=0,"",CF27/CF5)</f>
        <v>85333.75</v>
      </c>
      <c r="CG28" s="25" t="n">
        <f aca="false">IF(N(CG5)=0,"",CG27/CG5)</f>
        <v>85232.5</v>
      </c>
      <c r="CH28" s="24" t="str">
        <f aca="false">IF(COUNT(CH27,CH5)=2,IF(N(CH5)=0,"",CH27/CH5),"")</f>
        <v/>
      </c>
      <c r="CI28" s="24" t="n">
        <f aca="false">IF(N(CI5)=0,"",CI27/CI5)</f>
        <v>84895</v>
      </c>
      <c r="CJ28" s="24" t="n">
        <f aca="false">IF(N(CJ5)=0,"",CJ27/CJ5)</f>
        <v>84793.75</v>
      </c>
      <c r="CK28" s="25" t="str">
        <f aca="false">IF(COUNT(CK27,CK5)=2,IF(N(CK5)=0,"",CK27/CK5),"")</f>
        <v/>
      </c>
      <c r="CL28" s="25" t="n">
        <f aca="false">IF(N(CL5)=0,"",CL27/CL5)</f>
        <v>84456.25</v>
      </c>
      <c r="CM28" s="25" t="n">
        <f aca="false">IF(N(CM5)=0,"",CM27/CM5)</f>
        <v>84355</v>
      </c>
      <c r="CN28" s="24" t="str">
        <f aca="false">IF(COUNT(CN27,CN5)=2,IF(N(CN5)=0,"",CN27/CN5),"")</f>
        <v/>
      </c>
      <c r="CO28" s="24" t="n">
        <f aca="false">IF(N(CO5)=0,"",CO27/CO5)</f>
        <v>84017.5</v>
      </c>
      <c r="CP28" s="24" t="n">
        <f aca="false">IF(N(CP5)=0,"",CP27/CP5)</f>
        <v>83916.25</v>
      </c>
      <c r="CQ28" s="25" t="str">
        <f aca="false">IF(COUNT(CQ27,CQ5)=2,IF(N(CQ5)=0,"",CQ27/CQ5),"")</f>
        <v/>
      </c>
      <c r="CR28" s="25" t="n">
        <f aca="false">IF(N(CR5)=0,"",CR27/CR5)</f>
        <v>83578.75</v>
      </c>
      <c r="CS28" s="25" t="n">
        <f aca="false">IF(N(CS5)=0,"",CS27/CS5)</f>
        <v>83477.5</v>
      </c>
      <c r="CT28" s="24" t="str">
        <f aca="false">IF(COUNT(CT27,CT5)=2,IF(N(CT5)=0,"",CT27/CT5),"")</f>
        <v/>
      </c>
      <c r="CU28" s="24" t="n">
        <f aca="false">IF(N(CU5)=0,"",CU27/CU5)</f>
        <v>83140</v>
      </c>
      <c r="CV28" s="24" t="n">
        <f aca="false">IF(N(CV5)=0,"",CV27/CV5)</f>
        <v>83038.75</v>
      </c>
      <c r="CW28" s="25" t="str">
        <f aca="false">IF(COUNT(CW27,CW5)=2,IF(N(CW5)=0,"",CW27/CW5),"")</f>
        <v/>
      </c>
      <c r="CX28" s="25" t="n">
        <f aca="false">IF(N(CX5)=0,"",CX27/CX5)</f>
        <v>82701.25</v>
      </c>
      <c r="CY28" s="25" t="n">
        <f aca="false">IF(N(CY5)=0,"",CY27/CY5)</f>
        <v>82600</v>
      </c>
      <c r="CZ28" s="24" t="str">
        <f aca="false">IF(COUNT(CZ27,CZ5)=2,IF(N(CZ5)=0,"",CZ27/CZ5),"")</f>
        <v/>
      </c>
      <c r="DA28" s="24" t="n">
        <f aca="false">IF(N(DA5)=0,"",DA27/DA5)</f>
        <v>82228.75</v>
      </c>
      <c r="DB28" s="24" t="n">
        <f aca="false">IF(N(DB5)=0,"",DB27/DB5)</f>
        <v>82127.5</v>
      </c>
      <c r="DC28" s="25" t="str">
        <f aca="false">IF(COUNT(DC27,DC5)=2,IF(N(DC5)=0,"",DC27/DC5),"")</f>
        <v/>
      </c>
      <c r="DD28" s="25" t="n">
        <f aca="false">IF(N(DD5)=0,"",DD27/DD5)</f>
        <v>81756.25</v>
      </c>
      <c r="DE28" s="25" t="n">
        <f aca="false">IF(N(DE5)=0,"",DE27/DE5)</f>
        <v>81655</v>
      </c>
      <c r="DF28" s="24" t="str">
        <f aca="false">IF(COUNT(DF27,DF5)=2,IF(N(DF5)=0,"",DF27/DF5),"")</f>
        <v/>
      </c>
      <c r="DG28" s="24" t="n">
        <f aca="false">IF(N(DG5)=0,"",DG27/DG5)</f>
        <v>80912.5</v>
      </c>
      <c r="DH28" s="24" t="n">
        <f aca="false">IF(N(DH5)=0,"",DH27/DH5)</f>
        <v>80541.25</v>
      </c>
      <c r="DI28" s="25" t="n">
        <f aca="false">IF(COUNT(DI27,DI5)=2,IF(N(DI5)=0,"",DI27/DI5),"")</f>
        <v>80710</v>
      </c>
      <c r="DJ28" s="25" t="n">
        <f aca="false">IF(N(DJ5)=0,"",DJ27/DJ5)</f>
        <v>80710</v>
      </c>
      <c r="DK28" s="25" t="n">
        <f aca="false">IF(N(DK5)=0,"",DK27/DK5)</f>
        <v>80068.75</v>
      </c>
      <c r="DL28" s="24" t="n">
        <f aca="false">IF(COUNT(DL27,DL5)=2,IF(N(DL5)=0,"",DL27/DL5),"")</f>
        <v>80237.5</v>
      </c>
      <c r="DM28" s="24" t="n">
        <f aca="false">IF(N(DM5)=0,"",DM27/DM5)</f>
        <v>80237.5</v>
      </c>
      <c r="DN28" s="24" t="n">
        <f aca="false">IF(N(DN5)=0,"",DN27/DN5)</f>
        <v>80237.5</v>
      </c>
    </row>
    <row r="29" customFormat="false" ht="15.75" hidden="false" customHeight="true" outlineLevel="0" collapsed="false">
      <c r="A29" s="17" t="s">
        <v>118</v>
      </c>
      <c r="B29" s="91"/>
      <c r="C29" s="91"/>
      <c r="D29" s="91"/>
      <c r="H29" s="91"/>
      <c r="I29" s="91"/>
      <c r="J29" s="91"/>
      <c r="N29" s="91"/>
      <c r="O29" s="91"/>
      <c r="P29" s="91"/>
      <c r="T29" s="91"/>
      <c r="U29" s="91"/>
      <c r="V29" s="91"/>
      <c r="Z29" s="91"/>
      <c r="AA29" s="91"/>
      <c r="AB29" s="91"/>
      <c r="AF29" s="91"/>
      <c r="AG29" s="91"/>
      <c r="AH29" s="91"/>
      <c r="AL29" s="91"/>
      <c r="AM29" s="91"/>
      <c r="AN29" s="91"/>
      <c r="AR29" s="91"/>
      <c r="AS29" s="91"/>
      <c r="AT29" s="91"/>
      <c r="AX29" s="91"/>
      <c r="AY29" s="91"/>
      <c r="AZ29" s="91"/>
      <c r="BD29" s="91"/>
      <c r="BE29" s="91"/>
      <c r="BF29" s="91"/>
      <c r="BJ29" s="91"/>
      <c r="BK29" s="91"/>
      <c r="BL29" s="91"/>
      <c r="BP29" s="91"/>
      <c r="BQ29" s="91"/>
      <c r="BR29" s="91"/>
      <c r="BV29" s="91"/>
      <c r="BW29" s="91"/>
      <c r="BX29" s="91"/>
      <c r="CB29" s="91"/>
      <c r="CC29" s="91"/>
      <c r="CD29" s="91"/>
      <c r="CH29" s="91"/>
      <c r="CI29" s="91"/>
      <c r="CJ29" s="91"/>
      <c r="CN29" s="91"/>
      <c r="CO29" s="91"/>
      <c r="CP29" s="91"/>
      <c r="CT29" s="91"/>
      <c r="CU29" s="91"/>
      <c r="CV29" s="91"/>
      <c r="CZ29" s="91"/>
      <c r="DA29" s="91"/>
      <c r="DB29" s="91"/>
      <c r="DF29" s="91"/>
      <c r="DG29" s="91"/>
      <c r="DH29" s="91"/>
      <c r="DL29" s="91"/>
      <c r="DM29" s="91"/>
      <c r="DN29" s="91"/>
    </row>
    <row r="30" customFormat="false" ht="15.75" hidden="false" customHeight="true" outlineLevel="0" collapsed="false">
      <c r="A30" s="5" t="s">
        <v>265</v>
      </c>
      <c r="B30" s="12" t="str">
        <f aca="false">IF(COUNT(AR30,AO30,AL30,AI30,AF30,AC30,Z30,W30,T30,Q30,N30,K30)=0,"",SUM(AR30,AO30,AL30,AI30,AF30,AC30,Z30,W30,T30,Q30,N30,K30))</f>
        <v/>
      </c>
      <c r="C30" s="12" t="n">
        <f aca="false">IF(COUNT(AS30,AP30,AM30,AJ30,AG30,AD30,AA30,X30,U30,R30,O30,L30)=0,"",SUM(AS30,AP30,AM30,AJ30,AG30,AD30,AA30,X30,U30,R30,O30,L30))</f>
        <v>240000</v>
      </c>
      <c r="D30" s="12" t="n">
        <f aca="false">IF(COUNT(AT30,AQ30,AN30,AK30,AH30,AE30,AB30,Y30,V30,S30,P30,M30)=0,"",SUM(AT30,AQ30,AN30,AK30,AH30,AE30,AB30,Y30,V30,S30,P30,M30))</f>
        <v>240000</v>
      </c>
      <c r="E30" s="13" t="str">
        <f aca="false">IF(COUNT(CB30,BY30,BV30,BS30,BP30,BM30,BJ30,BG30,BD30,BA30,AX30,AU30)=0,"",SUM(CB30,BY30,BV30,BS30,BP30,BM30,BJ30,BG30,BD30,BA30,AX30,AU30))</f>
        <v/>
      </c>
      <c r="F30" s="13" t="n">
        <f aca="false">IF(COUNT(CC30,BZ30,BW30,BT30,BQ30,BN30,BK30,BH30,BE30,BB30,AY30,AV30)=0,"",SUM(CC30,BZ30,BW30,BT30,BQ30,BN30,BK30,BH30,BE30,BB30,AY30,AV30))</f>
        <v>240000</v>
      </c>
      <c r="G30" s="13" t="n">
        <f aca="false">IF(COUNT(CD30,CA30,BX30,BU30,BR30,BO30,BL30,BI30,BF30,BC30,AZ30,AW30)=0,"",SUM(CD30,CA30,BX30,BU30,BR30,BO30,BL30,BI30,BF30,BC30,AZ30,AW30))</f>
        <v>240000</v>
      </c>
      <c r="H30" s="12" t="n">
        <f aca="false">IF(COUNT(DL30,DI30,DF30,DC30,CZ30,CW30,CT30,CQ30,CN30,CK30,CH30,CE30)=0,"",SUM(DL30,DI30,DF30,DC30,CZ30,CW30,CT30,CQ30,CN30,CK30,CH30,CE30))</f>
        <v>40000</v>
      </c>
      <c r="I30" s="12" t="n">
        <f aca="false">IF(COUNT(DM30,DJ30,DG30,DD30,DA30,CX30,CU30,CR30,CO30,CL30,CI30,CF30)=0,"",SUM(DM30,DJ30,DG30,DD30,DA30,CX30,CU30,CR30,CO30,CL30,CI30,CF30))</f>
        <v>240000</v>
      </c>
      <c r="J30" s="12" t="n">
        <f aca="false">IF(COUNT(DN30,DK30,DH30,DE30,DB30,CY30,CV30,CS30,CP30,CM30,CJ30,CG30)=0,"",SUM(DN30,DK30,DH30,DE30,DB30,CY30,CV30,CS30,CP30,CM30,CJ30,CG30))</f>
        <v>240000</v>
      </c>
      <c r="K30" s="13"/>
      <c r="L30" s="13" t="n">
        <f aca="false">IF('Cash Drivers'!L$26,Engineering!K30,Engineering!M30)</f>
        <v>20000</v>
      </c>
      <c r="M30" s="89" t="n">
        <v>20000</v>
      </c>
      <c r="N30" s="12"/>
      <c r="O30" s="12" t="n">
        <f aca="false">IF('Cash Drivers'!O$26,Engineering!N30,Engineering!P30)</f>
        <v>20000</v>
      </c>
      <c r="P30" s="90" t="n">
        <v>20000</v>
      </c>
      <c r="Q30" s="13"/>
      <c r="R30" s="13" t="n">
        <f aca="false">IF('Cash Drivers'!R$26,Engineering!Q30,Engineering!S30)</f>
        <v>20000</v>
      </c>
      <c r="S30" s="89" t="n">
        <v>20000</v>
      </c>
      <c r="T30" s="12"/>
      <c r="U30" s="12" t="n">
        <f aca="false">IF('Cash Drivers'!U$26,Engineering!T30,Engineering!V30)</f>
        <v>20000</v>
      </c>
      <c r="V30" s="90" t="n">
        <v>20000</v>
      </c>
      <c r="W30" s="13"/>
      <c r="X30" s="13" t="n">
        <f aca="false">IF('Cash Drivers'!X$26,Engineering!W30,Engineering!Y30)</f>
        <v>20000</v>
      </c>
      <c r="Y30" s="89" t="n">
        <v>20000</v>
      </c>
      <c r="Z30" s="12"/>
      <c r="AA30" s="12" t="n">
        <f aca="false">IF('Cash Drivers'!AA$26,Engineering!Z30,Engineering!AB30)</f>
        <v>20000</v>
      </c>
      <c r="AB30" s="90" t="n">
        <v>20000</v>
      </c>
      <c r="AC30" s="13"/>
      <c r="AD30" s="13" t="n">
        <f aca="false">IF('Cash Drivers'!AD$26,Engineering!AC30,Engineering!AE30)</f>
        <v>20000</v>
      </c>
      <c r="AE30" s="89" t="n">
        <v>20000</v>
      </c>
      <c r="AF30" s="12"/>
      <c r="AG30" s="12" t="n">
        <f aca="false">IF('Cash Drivers'!AG$26,Engineering!AF30,Engineering!AH30)</f>
        <v>20000</v>
      </c>
      <c r="AH30" s="90" t="n">
        <v>20000</v>
      </c>
      <c r="AI30" s="13"/>
      <c r="AJ30" s="13" t="n">
        <f aca="false">IF('Cash Drivers'!AJ$26,Engineering!AI30,Engineering!AK30)</f>
        <v>20000</v>
      </c>
      <c r="AK30" s="89" t="n">
        <v>20000</v>
      </c>
      <c r="AL30" s="12"/>
      <c r="AM30" s="12" t="n">
        <f aca="false">IF('Cash Drivers'!AM$26,Engineering!AL30,Engineering!AN30)</f>
        <v>20000</v>
      </c>
      <c r="AN30" s="90" t="n">
        <v>20000</v>
      </c>
      <c r="AO30" s="13"/>
      <c r="AP30" s="13" t="n">
        <f aca="false">IF('Cash Drivers'!AP$26,Engineering!AO30,Engineering!AQ30)</f>
        <v>20000</v>
      </c>
      <c r="AQ30" s="89" t="n">
        <v>20000</v>
      </c>
      <c r="AR30" s="12"/>
      <c r="AS30" s="12" t="n">
        <f aca="false">IF('Cash Drivers'!AS$26,Engineering!AR30,Engineering!AT30)</f>
        <v>20000</v>
      </c>
      <c r="AT30" s="90" t="n">
        <v>20000</v>
      </c>
      <c r="AU30" s="13"/>
      <c r="AV30" s="13" t="n">
        <f aca="false">IF('Cash Drivers'!AV$26,Engineering!AU30,Engineering!AW30)</f>
        <v>20000</v>
      </c>
      <c r="AW30" s="89" t="n">
        <v>20000</v>
      </c>
      <c r="AX30" s="12"/>
      <c r="AY30" s="12" t="n">
        <f aca="false">IF('Cash Drivers'!AY$26,Engineering!AX30,Engineering!AZ30)</f>
        <v>20000</v>
      </c>
      <c r="AZ30" s="90" t="n">
        <v>20000</v>
      </c>
      <c r="BA30" s="13"/>
      <c r="BB30" s="13" t="n">
        <f aca="false">IF('Cash Drivers'!BB$26,Engineering!BA30,Engineering!BC30)</f>
        <v>20000</v>
      </c>
      <c r="BC30" s="89" t="n">
        <v>20000</v>
      </c>
      <c r="BD30" s="12"/>
      <c r="BE30" s="12" t="n">
        <f aca="false">IF('Cash Drivers'!BE$26,Engineering!BD30,Engineering!BF30)</f>
        <v>20000</v>
      </c>
      <c r="BF30" s="90" t="n">
        <v>20000</v>
      </c>
      <c r="BG30" s="13"/>
      <c r="BH30" s="13" t="n">
        <f aca="false">IF('Cash Drivers'!BH$26,Engineering!BG30,Engineering!BI30)</f>
        <v>20000</v>
      </c>
      <c r="BI30" s="89" t="n">
        <v>20000</v>
      </c>
      <c r="BJ30" s="12"/>
      <c r="BK30" s="12" t="n">
        <f aca="false">IF('Cash Drivers'!BK$26,Engineering!BJ30,Engineering!BL30)</f>
        <v>20000</v>
      </c>
      <c r="BL30" s="90" t="n">
        <v>20000</v>
      </c>
      <c r="BM30" s="13"/>
      <c r="BN30" s="13" t="n">
        <f aca="false">IF('Cash Drivers'!BN$26,Engineering!BM30,Engineering!BO30)</f>
        <v>20000</v>
      </c>
      <c r="BO30" s="89" t="n">
        <v>20000</v>
      </c>
      <c r="BP30" s="12"/>
      <c r="BQ30" s="12" t="n">
        <f aca="false">IF('Cash Drivers'!BQ$26,Engineering!BP30,Engineering!BR30)</f>
        <v>20000</v>
      </c>
      <c r="BR30" s="90" t="n">
        <v>20000</v>
      </c>
      <c r="BS30" s="13"/>
      <c r="BT30" s="13" t="n">
        <f aca="false">IF('Cash Drivers'!BT$26,Engineering!BS30,Engineering!BU30)</f>
        <v>20000</v>
      </c>
      <c r="BU30" s="89" t="n">
        <v>20000</v>
      </c>
      <c r="BV30" s="12"/>
      <c r="BW30" s="12" t="n">
        <f aca="false">IF('Cash Drivers'!BW$26,Engineering!BV30,Engineering!BX30)</f>
        <v>20000</v>
      </c>
      <c r="BX30" s="90" t="n">
        <v>20000</v>
      </c>
      <c r="BY30" s="13"/>
      <c r="BZ30" s="13" t="n">
        <f aca="false">IF('Cash Drivers'!BZ$26,Engineering!BY30,Engineering!CA30)</f>
        <v>20000</v>
      </c>
      <c r="CA30" s="89" t="n">
        <v>20000</v>
      </c>
      <c r="CB30" s="12"/>
      <c r="CC30" s="12" t="n">
        <f aca="false">IF('Cash Drivers'!CC$26,Engineering!CB30,Engineering!CD30)</f>
        <v>20000</v>
      </c>
      <c r="CD30" s="90" t="n">
        <v>20000</v>
      </c>
      <c r="CE30" s="13"/>
      <c r="CF30" s="13" t="n">
        <f aca="false">IF('Cash Drivers'!CF$26,Engineering!CE30,Engineering!CG30)</f>
        <v>20000</v>
      </c>
      <c r="CG30" s="89" t="n">
        <v>20000</v>
      </c>
      <c r="CH30" s="12"/>
      <c r="CI30" s="12" t="n">
        <f aca="false">IF('Cash Drivers'!CI$26,Engineering!CH30,Engineering!CJ30)</f>
        <v>20000</v>
      </c>
      <c r="CJ30" s="90" t="n">
        <v>20000</v>
      </c>
      <c r="CK30" s="13"/>
      <c r="CL30" s="13" t="n">
        <f aca="false">IF('Cash Drivers'!CL$26,Engineering!CK30,Engineering!CM30)</f>
        <v>20000</v>
      </c>
      <c r="CM30" s="89" t="n">
        <v>20000</v>
      </c>
      <c r="CN30" s="12"/>
      <c r="CO30" s="12" t="n">
        <f aca="false">IF('Cash Drivers'!CO$26,Engineering!CN30,Engineering!CP30)</f>
        <v>20000</v>
      </c>
      <c r="CP30" s="90" t="n">
        <v>20000</v>
      </c>
      <c r="CQ30" s="13"/>
      <c r="CR30" s="13" t="n">
        <f aca="false">IF('Cash Drivers'!CR$26,Engineering!CQ30,Engineering!CS30)</f>
        <v>20000</v>
      </c>
      <c r="CS30" s="89" t="n">
        <v>20000</v>
      </c>
      <c r="CT30" s="12"/>
      <c r="CU30" s="12" t="n">
        <f aca="false">IF('Cash Drivers'!CU$26,Engineering!CT30,Engineering!CV30)</f>
        <v>20000</v>
      </c>
      <c r="CV30" s="90" t="n">
        <v>20000</v>
      </c>
      <c r="CW30" s="13"/>
      <c r="CX30" s="13" t="n">
        <f aca="false">IF('Cash Drivers'!CX$26,Engineering!CW30,Engineering!CY30)</f>
        <v>20000</v>
      </c>
      <c r="CY30" s="89" t="n">
        <v>20000</v>
      </c>
      <c r="CZ30" s="12"/>
      <c r="DA30" s="12" t="n">
        <f aca="false">IF('Cash Drivers'!DA$26,Engineering!CZ30,Engineering!DB30)</f>
        <v>20000</v>
      </c>
      <c r="DB30" s="90" t="n">
        <v>20000</v>
      </c>
      <c r="DC30" s="13"/>
      <c r="DD30" s="13" t="n">
        <f aca="false">IF('Cash Drivers'!DD$26,Engineering!DC30,Engineering!DE30)</f>
        <v>20000</v>
      </c>
      <c r="DE30" s="89" t="n">
        <v>20000</v>
      </c>
      <c r="DF30" s="12"/>
      <c r="DG30" s="12" t="n">
        <f aca="false">IF('Cash Drivers'!DG$26,Engineering!DF30,Engineering!DH30)</f>
        <v>20000</v>
      </c>
      <c r="DH30" s="90" t="n">
        <v>20000</v>
      </c>
      <c r="DI30" s="89" t="n">
        <v>20000</v>
      </c>
      <c r="DJ30" s="13" t="n">
        <f aca="false">IF('Cash Drivers'!DJ$26,Engineering!DI30,Engineering!DK30)</f>
        <v>20000</v>
      </c>
      <c r="DK30" s="89" t="n">
        <v>20000</v>
      </c>
      <c r="DL30" s="90" t="n">
        <v>20000</v>
      </c>
      <c r="DM30" s="12" t="n">
        <f aca="false">IF('Cash Drivers'!DM$26,Engineering!DL30,Engineering!DN30)</f>
        <v>20000</v>
      </c>
      <c r="DN30" s="90" t="n">
        <v>20000</v>
      </c>
    </row>
    <row r="31" customFormat="false" ht="15.75" hidden="false" customHeight="true" outlineLevel="0" collapsed="false">
      <c r="A31" s="5" t="s">
        <v>266</v>
      </c>
      <c r="B31" s="12" t="str">
        <f aca="false">IF(COUNT(AR31,AO31,AL31,AI31,AF31,AC31,Z31,W31,T31,Q31,N31,K31)=0,"",SUM(AR31,AO31,AL31,AI31,AF31,AC31,Z31,W31,T31,Q31,N31,K31))</f>
        <v/>
      </c>
      <c r="C31" s="12" t="n">
        <f aca="false">IF(COUNT(AS31,AP31,AM31,AJ31,AG31,AD31,AA31,X31,U31,R31,O31,L31)=0,"",SUM(AS31,AP31,AM31,AJ31,AG31,AD31,AA31,X31,U31,R31,O31,L31))</f>
        <v>192000</v>
      </c>
      <c r="D31" s="12" t="n">
        <f aca="false">IF(COUNT(AT31,AQ31,AN31,AK31,AH31,AE31,AB31,Y31,V31,S31,P31,M31)=0,"",SUM(AT31,AQ31,AN31,AK31,AH31,AE31,AB31,Y31,V31,S31,P31,M31))</f>
        <v>192000</v>
      </c>
      <c r="E31" s="13" t="str">
        <f aca="false">IF(COUNT(CB31,BY31,BV31,BS31,BP31,BM31,BJ31,BG31,BD31,BA31,AX31,AU31)=0,"",SUM(CB31,BY31,BV31,BS31,BP31,BM31,BJ31,BG31,BD31,BA31,AX31,AU31))</f>
        <v/>
      </c>
      <c r="F31" s="13" t="n">
        <f aca="false">IF(COUNT(CC31,BZ31,BW31,BT31,BQ31,BN31,BK31,BH31,BE31,BB31,AY31,AV31)=0,"",SUM(CC31,BZ31,BW31,BT31,BQ31,BN31,BK31,BH31,BE31,BB31,AY31,AV31))</f>
        <v>192000</v>
      </c>
      <c r="G31" s="13" t="n">
        <f aca="false">IF(COUNT(CD31,CA31,BX31,BU31,BR31,BO31,BL31,BI31,BF31,BC31,AZ31,AW31)=0,"",SUM(CD31,CA31,BX31,BU31,BR31,BO31,BL31,BI31,BF31,BC31,AZ31,AW31))</f>
        <v>192000</v>
      </c>
      <c r="H31" s="12" t="n">
        <f aca="false">IF(COUNT(DL31,DI31,DF31,DC31,CZ31,CW31,CT31,CQ31,CN31,CK31,CH31,CE31)=0,"",SUM(DL31,DI31,DF31,DC31,CZ31,CW31,CT31,CQ31,CN31,CK31,CH31,CE31))</f>
        <v>32000</v>
      </c>
      <c r="I31" s="12" t="n">
        <f aca="false">IF(COUNT(DM31,DJ31,DG31,DD31,DA31,CX31,CU31,CR31,CO31,CL31,CI31,CF31)=0,"",SUM(DM31,DJ31,DG31,DD31,DA31,CX31,CU31,CR31,CO31,CL31,CI31,CF31))</f>
        <v>192000</v>
      </c>
      <c r="J31" s="12" t="n">
        <f aca="false">IF(COUNT(DN31,DK31,DH31,DE31,DB31,CY31,CV31,CS31,CP31,CM31,CJ31,CG31)=0,"",SUM(DN31,DK31,DH31,DE31,DB31,CY31,CV31,CS31,CP31,CM31,CJ31,CG31))</f>
        <v>192000</v>
      </c>
      <c r="K31" s="13"/>
      <c r="L31" s="13" t="n">
        <f aca="false">IF('Cash Drivers'!L$26,Engineering!K31,Engineering!M31)</f>
        <v>16000</v>
      </c>
      <c r="M31" s="89" t="n">
        <v>16000</v>
      </c>
      <c r="N31" s="12"/>
      <c r="O31" s="12" t="n">
        <f aca="false">IF('Cash Drivers'!O$26,Engineering!N31,Engineering!P31)</f>
        <v>16000</v>
      </c>
      <c r="P31" s="90" t="n">
        <v>16000</v>
      </c>
      <c r="Q31" s="13"/>
      <c r="R31" s="13" t="n">
        <f aca="false">IF('Cash Drivers'!R$26,Engineering!Q31,Engineering!S31)</f>
        <v>16000</v>
      </c>
      <c r="S31" s="89" t="n">
        <v>16000</v>
      </c>
      <c r="T31" s="12"/>
      <c r="U31" s="12" t="n">
        <f aca="false">IF('Cash Drivers'!U$26,Engineering!T31,Engineering!V31)</f>
        <v>16000</v>
      </c>
      <c r="V31" s="90" t="n">
        <v>16000</v>
      </c>
      <c r="W31" s="13"/>
      <c r="X31" s="13" t="n">
        <f aca="false">IF('Cash Drivers'!X$26,Engineering!W31,Engineering!Y31)</f>
        <v>16000</v>
      </c>
      <c r="Y31" s="89" t="n">
        <v>16000</v>
      </c>
      <c r="Z31" s="12"/>
      <c r="AA31" s="12" t="n">
        <f aca="false">IF('Cash Drivers'!AA$26,Engineering!Z31,Engineering!AB31)</f>
        <v>16000</v>
      </c>
      <c r="AB31" s="90" t="n">
        <v>16000</v>
      </c>
      <c r="AC31" s="13"/>
      <c r="AD31" s="13" t="n">
        <f aca="false">IF('Cash Drivers'!AD$26,Engineering!AC31,Engineering!AE31)</f>
        <v>16000</v>
      </c>
      <c r="AE31" s="89" t="n">
        <v>16000</v>
      </c>
      <c r="AF31" s="12"/>
      <c r="AG31" s="12" t="n">
        <f aca="false">IF('Cash Drivers'!AG$26,Engineering!AF31,Engineering!AH31)</f>
        <v>16000</v>
      </c>
      <c r="AH31" s="90" t="n">
        <v>16000</v>
      </c>
      <c r="AI31" s="13"/>
      <c r="AJ31" s="13" t="n">
        <f aca="false">IF('Cash Drivers'!AJ$26,Engineering!AI31,Engineering!AK31)</f>
        <v>16000</v>
      </c>
      <c r="AK31" s="89" t="n">
        <v>16000</v>
      </c>
      <c r="AL31" s="12"/>
      <c r="AM31" s="12" t="n">
        <f aca="false">IF('Cash Drivers'!AM$26,Engineering!AL31,Engineering!AN31)</f>
        <v>16000</v>
      </c>
      <c r="AN31" s="90" t="n">
        <v>16000</v>
      </c>
      <c r="AO31" s="13"/>
      <c r="AP31" s="13" t="n">
        <f aca="false">IF('Cash Drivers'!AP$26,Engineering!AO31,Engineering!AQ31)</f>
        <v>16000</v>
      </c>
      <c r="AQ31" s="89" t="n">
        <v>16000</v>
      </c>
      <c r="AR31" s="12"/>
      <c r="AS31" s="12" t="n">
        <f aca="false">IF('Cash Drivers'!AS$26,Engineering!AR31,Engineering!AT31)</f>
        <v>16000</v>
      </c>
      <c r="AT31" s="90" t="n">
        <v>16000</v>
      </c>
      <c r="AU31" s="13"/>
      <c r="AV31" s="13" t="n">
        <f aca="false">IF('Cash Drivers'!AV$26,Engineering!AU31,Engineering!AW31)</f>
        <v>16000</v>
      </c>
      <c r="AW31" s="89" t="n">
        <v>16000</v>
      </c>
      <c r="AX31" s="12"/>
      <c r="AY31" s="12" t="n">
        <f aca="false">IF('Cash Drivers'!AY$26,Engineering!AX31,Engineering!AZ31)</f>
        <v>16000</v>
      </c>
      <c r="AZ31" s="90" t="n">
        <v>16000</v>
      </c>
      <c r="BA31" s="13"/>
      <c r="BB31" s="13" t="n">
        <f aca="false">IF('Cash Drivers'!BB$26,Engineering!BA31,Engineering!BC31)</f>
        <v>16000</v>
      </c>
      <c r="BC31" s="89" t="n">
        <v>16000</v>
      </c>
      <c r="BD31" s="12"/>
      <c r="BE31" s="12" t="n">
        <f aca="false">IF('Cash Drivers'!BE$26,Engineering!BD31,Engineering!BF31)</f>
        <v>16000</v>
      </c>
      <c r="BF31" s="90" t="n">
        <v>16000</v>
      </c>
      <c r="BG31" s="13"/>
      <c r="BH31" s="13" t="n">
        <f aca="false">IF('Cash Drivers'!BH$26,Engineering!BG31,Engineering!BI31)</f>
        <v>16000</v>
      </c>
      <c r="BI31" s="89" t="n">
        <v>16000</v>
      </c>
      <c r="BJ31" s="12"/>
      <c r="BK31" s="12" t="n">
        <f aca="false">IF('Cash Drivers'!BK$26,Engineering!BJ31,Engineering!BL31)</f>
        <v>16000</v>
      </c>
      <c r="BL31" s="90" t="n">
        <v>16000</v>
      </c>
      <c r="BM31" s="13"/>
      <c r="BN31" s="13" t="n">
        <f aca="false">IF('Cash Drivers'!BN$26,Engineering!BM31,Engineering!BO31)</f>
        <v>16000</v>
      </c>
      <c r="BO31" s="89" t="n">
        <v>16000</v>
      </c>
      <c r="BP31" s="12"/>
      <c r="BQ31" s="12" t="n">
        <f aca="false">IF('Cash Drivers'!BQ$26,Engineering!BP31,Engineering!BR31)</f>
        <v>16000</v>
      </c>
      <c r="BR31" s="90" t="n">
        <v>16000</v>
      </c>
      <c r="BS31" s="13"/>
      <c r="BT31" s="13" t="n">
        <f aca="false">IF('Cash Drivers'!BT$26,Engineering!BS31,Engineering!BU31)</f>
        <v>16000</v>
      </c>
      <c r="BU31" s="89" t="n">
        <v>16000</v>
      </c>
      <c r="BV31" s="12"/>
      <c r="BW31" s="12" t="n">
        <f aca="false">IF('Cash Drivers'!BW$26,Engineering!BV31,Engineering!BX31)</f>
        <v>16000</v>
      </c>
      <c r="BX31" s="90" t="n">
        <v>16000</v>
      </c>
      <c r="BY31" s="13"/>
      <c r="BZ31" s="13" t="n">
        <f aca="false">IF('Cash Drivers'!BZ$26,Engineering!BY31,Engineering!CA31)</f>
        <v>16000</v>
      </c>
      <c r="CA31" s="89" t="n">
        <v>16000</v>
      </c>
      <c r="CB31" s="12"/>
      <c r="CC31" s="12" t="n">
        <f aca="false">IF('Cash Drivers'!CC$26,Engineering!CB31,Engineering!CD31)</f>
        <v>16000</v>
      </c>
      <c r="CD31" s="90" t="n">
        <v>16000</v>
      </c>
      <c r="CE31" s="13"/>
      <c r="CF31" s="13" t="n">
        <f aca="false">IF('Cash Drivers'!CF$26,Engineering!CE31,Engineering!CG31)</f>
        <v>16000</v>
      </c>
      <c r="CG31" s="89" t="n">
        <v>16000</v>
      </c>
      <c r="CH31" s="12"/>
      <c r="CI31" s="12" t="n">
        <f aca="false">IF('Cash Drivers'!CI$26,Engineering!CH31,Engineering!CJ31)</f>
        <v>16000</v>
      </c>
      <c r="CJ31" s="90" t="n">
        <v>16000</v>
      </c>
      <c r="CK31" s="13"/>
      <c r="CL31" s="13" t="n">
        <f aca="false">IF('Cash Drivers'!CL$26,Engineering!CK31,Engineering!CM31)</f>
        <v>16000</v>
      </c>
      <c r="CM31" s="89" t="n">
        <v>16000</v>
      </c>
      <c r="CN31" s="12"/>
      <c r="CO31" s="12" t="n">
        <f aca="false">IF('Cash Drivers'!CO$26,Engineering!CN31,Engineering!CP31)</f>
        <v>16000</v>
      </c>
      <c r="CP31" s="90" t="n">
        <v>16000</v>
      </c>
      <c r="CQ31" s="13"/>
      <c r="CR31" s="13" t="n">
        <f aca="false">IF('Cash Drivers'!CR$26,Engineering!CQ31,Engineering!CS31)</f>
        <v>16000</v>
      </c>
      <c r="CS31" s="89" t="n">
        <v>16000</v>
      </c>
      <c r="CT31" s="12"/>
      <c r="CU31" s="12" t="n">
        <f aca="false">IF('Cash Drivers'!CU$26,Engineering!CT31,Engineering!CV31)</f>
        <v>16000</v>
      </c>
      <c r="CV31" s="90" t="n">
        <v>16000</v>
      </c>
      <c r="CW31" s="13"/>
      <c r="CX31" s="13" t="n">
        <f aca="false">IF('Cash Drivers'!CX$26,Engineering!CW31,Engineering!CY31)</f>
        <v>16000</v>
      </c>
      <c r="CY31" s="89" t="n">
        <v>16000</v>
      </c>
      <c r="CZ31" s="12"/>
      <c r="DA31" s="12" t="n">
        <f aca="false">IF('Cash Drivers'!DA$26,Engineering!CZ31,Engineering!DB31)</f>
        <v>16000</v>
      </c>
      <c r="DB31" s="90" t="n">
        <v>16000</v>
      </c>
      <c r="DC31" s="13"/>
      <c r="DD31" s="13" t="n">
        <f aca="false">IF('Cash Drivers'!DD$26,Engineering!DC31,Engineering!DE31)</f>
        <v>16000</v>
      </c>
      <c r="DE31" s="89" t="n">
        <v>16000</v>
      </c>
      <c r="DF31" s="12"/>
      <c r="DG31" s="12" t="n">
        <f aca="false">IF('Cash Drivers'!DG$26,Engineering!DF31,Engineering!DH31)</f>
        <v>16000</v>
      </c>
      <c r="DH31" s="90" t="n">
        <v>16000</v>
      </c>
      <c r="DI31" s="89" t="n">
        <v>16000</v>
      </c>
      <c r="DJ31" s="13" t="n">
        <f aca="false">IF('Cash Drivers'!DJ$26,Engineering!DI31,Engineering!DK31)</f>
        <v>16000</v>
      </c>
      <c r="DK31" s="89" t="n">
        <v>16000</v>
      </c>
      <c r="DL31" s="90" t="n">
        <v>16000</v>
      </c>
      <c r="DM31" s="12" t="n">
        <f aca="false">IF('Cash Drivers'!DM$26,Engineering!DL31,Engineering!DN31)</f>
        <v>16000</v>
      </c>
      <c r="DN31" s="90" t="n">
        <v>16000</v>
      </c>
    </row>
    <row r="32" customFormat="false" ht="15.75" hidden="false" customHeight="true" outlineLevel="0" collapsed="false">
      <c r="A32" s="5" t="s">
        <v>267</v>
      </c>
      <c r="B32" s="12" t="str">
        <f aca="false">IF(COUNT(AR32,AO32,AL32,AI32,AF32,AC32,Z32,W32,T32,Q32,N32,K32)=0,"",SUM(AR32,AO32,AL32,AI32,AF32,AC32,Z32,W32,T32,Q32,N32,K32))</f>
        <v/>
      </c>
      <c r="C32" s="12" t="n">
        <f aca="false">IF(COUNT(AS32,AP32,AM32,AJ32,AG32,AD32,AA32,X32,U32,R32,O32,L32)=0,"",SUM(AS32,AP32,AM32,AJ32,AG32,AD32,AA32,X32,U32,R32,O32,L32))</f>
        <v>180000</v>
      </c>
      <c r="D32" s="12" t="n">
        <f aca="false">IF(COUNT(AT32,AQ32,AN32,AK32,AH32,AE32,AB32,Y32,V32,S32,P32,M32)=0,"",SUM(AT32,AQ32,AN32,AK32,AH32,AE32,AB32,Y32,V32,S32,P32,M32))</f>
        <v>180000</v>
      </c>
      <c r="E32" s="13" t="str">
        <f aca="false">IF(COUNT(CB32,BY32,BV32,BS32,BP32,BM32,BJ32,BG32,BD32,BA32,AX32,AU32)=0,"",SUM(CB32,BY32,BV32,BS32,BP32,BM32,BJ32,BG32,BD32,BA32,AX32,AU32))</f>
        <v/>
      </c>
      <c r="F32" s="13" t="n">
        <f aca="false">IF(COUNT(CC32,BZ32,BW32,BT32,BQ32,BN32,BK32,BH32,BE32,BB32,AY32,AV32)=0,"",SUM(CC32,BZ32,BW32,BT32,BQ32,BN32,BK32,BH32,BE32,BB32,AY32,AV32))</f>
        <v>180000</v>
      </c>
      <c r="G32" s="13" t="n">
        <f aca="false">IF(COUNT(CD32,CA32,BX32,BU32,BR32,BO32,BL32,BI32,BF32,BC32,AZ32,AW32)=0,"",SUM(CD32,CA32,BX32,BU32,BR32,BO32,BL32,BI32,BF32,BC32,AZ32,AW32))</f>
        <v>180000</v>
      </c>
      <c r="H32" s="12" t="n">
        <f aca="false">IF(COUNT(DL32,DI32,DF32,DC32,CZ32,CW32,CT32,CQ32,CN32,CK32,CH32,CE32)=0,"",SUM(DL32,DI32,DF32,DC32,CZ32,CW32,CT32,CQ32,CN32,CK32,CH32,CE32))</f>
        <v>30000</v>
      </c>
      <c r="I32" s="12" t="n">
        <f aca="false">IF(COUNT(DM32,DJ32,DG32,DD32,DA32,CX32,CU32,CR32,CO32,CL32,CI32,CF32)=0,"",SUM(DM32,DJ32,DG32,DD32,DA32,CX32,CU32,CR32,CO32,CL32,CI32,CF32))</f>
        <v>180000</v>
      </c>
      <c r="J32" s="12" t="n">
        <f aca="false">IF(COUNT(DN32,DK32,DH32,DE32,DB32,CY32,CV32,CS32,CP32,CM32,CJ32,CG32)=0,"",SUM(DN32,DK32,DH32,DE32,DB32,CY32,CV32,CS32,CP32,CM32,CJ32,CG32))</f>
        <v>180000</v>
      </c>
      <c r="K32" s="13"/>
      <c r="L32" s="13" t="n">
        <f aca="false">IF('Cash Drivers'!L$26,Engineering!K32,Engineering!M32)</f>
        <v>15000</v>
      </c>
      <c r="M32" s="89" t="n">
        <v>15000</v>
      </c>
      <c r="N32" s="12"/>
      <c r="O32" s="12" t="n">
        <f aca="false">IF('Cash Drivers'!O$26,Engineering!N32,Engineering!P32)</f>
        <v>15000</v>
      </c>
      <c r="P32" s="90" t="n">
        <v>15000</v>
      </c>
      <c r="Q32" s="13"/>
      <c r="R32" s="13" t="n">
        <f aca="false">IF('Cash Drivers'!R$26,Engineering!Q32,Engineering!S32)</f>
        <v>15000</v>
      </c>
      <c r="S32" s="89" t="n">
        <v>15000</v>
      </c>
      <c r="T32" s="12"/>
      <c r="U32" s="12" t="n">
        <f aca="false">IF('Cash Drivers'!U$26,Engineering!T32,Engineering!V32)</f>
        <v>15000</v>
      </c>
      <c r="V32" s="90" t="n">
        <v>15000</v>
      </c>
      <c r="W32" s="13"/>
      <c r="X32" s="13" t="n">
        <f aca="false">IF('Cash Drivers'!X$26,Engineering!W32,Engineering!Y32)</f>
        <v>15000</v>
      </c>
      <c r="Y32" s="89" t="n">
        <v>15000</v>
      </c>
      <c r="Z32" s="12"/>
      <c r="AA32" s="12" t="n">
        <f aca="false">IF('Cash Drivers'!AA$26,Engineering!Z32,Engineering!AB32)</f>
        <v>15000</v>
      </c>
      <c r="AB32" s="90" t="n">
        <v>15000</v>
      </c>
      <c r="AC32" s="13"/>
      <c r="AD32" s="13" t="n">
        <f aca="false">IF('Cash Drivers'!AD$26,Engineering!AC32,Engineering!AE32)</f>
        <v>15000</v>
      </c>
      <c r="AE32" s="89" t="n">
        <v>15000</v>
      </c>
      <c r="AF32" s="12"/>
      <c r="AG32" s="12" t="n">
        <f aca="false">IF('Cash Drivers'!AG$26,Engineering!AF32,Engineering!AH32)</f>
        <v>15000</v>
      </c>
      <c r="AH32" s="90" t="n">
        <v>15000</v>
      </c>
      <c r="AI32" s="13"/>
      <c r="AJ32" s="13" t="n">
        <f aca="false">IF('Cash Drivers'!AJ$26,Engineering!AI32,Engineering!AK32)</f>
        <v>15000</v>
      </c>
      <c r="AK32" s="89" t="n">
        <v>15000</v>
      </c>
      <c r="AL32" s="12"/>
      <c r="AM32" s="12" t="n">
        <f aca="false">IF('Cash Drivers'!AM$26,Engineering!AL32,Engineering!AN32)</f>
        <v>15000</v>
      </c>
      <c r="AN32" s="90" t="n">
        <v>15000</v>
      </c>
      <c r="AO32" s="13"/>
      <c r="AP32" s="13" t="n">
        <f aca="false">IF('Cash Drivers'!AP$26,Engineering!AO32,Engineering!AQ32)</f>
        <v>15000</v>
      </c>
      <c r="AQ32" s="89" t="n">
        <v>15000</v>
      </c>
      <c r="AR32" s="12"/>
      <c r="AS32" s="12" t="n">
        <f aca="false">IF('Cash Drivers'!AS$26,Engineering!AR32,Engineering!AT32)</f>
        <v>15000</v>
      </c>
      <c r="AT32" s="90" t="n">
        <v>15000</v>
      </c>
      <c r="AU32" s="13"/>
      <c r="AV32" s="13" t="n">
        <f aca="false">IF('Cash Drivers'!AV$26,Engineering!AU32,Engineering!AW32)</f>
        <v>15000</v>
      </c>
      <c r="AW32" s="89" t="n">
        <v>15000</v>
      </c>
      <c r="AX32" s="12"/>
      <c r="AY32" s="12" t="n">
        <f aca="false">IF('Cash Drivers'!AY$26,Engineering!AX32,Engineering!AZ32)</f>
        <v>15000</v>
      </c>
      <c r="AZ32" s="90" t="n">
        <v>15000</v>
      </c>
      <c r="BA32" s="13"/>
      <c r="BB32" s="13" t="n">
        <f aca="false">IF('Cash Drivers'!BB$26,Engineering!BA32,Engineering!BC32)</f>
        <v>15000</v>
      </c>
      <c r="BC32" s="89" t="n">
        <v>15000</v>
      </c>
      <c r="BD32" s="12"/>
      <c r="BE32" s="12" t="n">
        <f aca="false">IF('Cash Drivers'!BE$26,Engineering!BD32,Engineering!BF32)</f>
        <v>15000</v>
      </c>
      <c r="BF32" s="90" t="n">
        <v>15000</v>
      </c>
      <c r="BG32" s="13"/>
      <c r="BH32" s="13" t="n">
        <f aca="false">IF('Cash Drivers'!BH$26,Engineering!BG32,Engineering!BI32)</f>
        <v>15000</v>
      </c>
      <c r="BI32" s="89" t="n">
        <v>15000</v>
      </c>
      <c r="BJ32" s="12"/>
      <c r="BK32" s="12" t="n">
        <f aca="false">IF('Cash Drivers'!BK$26,Engineering!BJ32,Engineering!BL32)</f>
        <v>15000</v>
      </c>
      <c r="BL32" s="90" t="n">
        <v>15000</v>
      </c>
      <c r="BM32" s="13"/>
      <c r="BN32" s="13" t="n">
        <f aca="false">IF('Cash Drivers'!BN$26,Engineering!BM32,Engineering!BO32)</f>
        <v>15000</v>
      </c>
      <c r="BO32" s="89" t="n">
        <v>15000</v>
      </c>
      <c r="BP32" s="12"/>
      <c r="BQ32" s="12" t="n">
        <f aca="false">IF('Cash Drivers'!BQ$26,Engineering!BP32,Engineering!BR32)</f>
        <v>15000</v>
      </c>
      <c r="BR32" s="90" t="n">
        <v>15000</v>
      </c>
      <c r="BS32" s="13"/>
      <c r="BT32" s="13" t="n">
        <f aca="false">IF('Cash Drivers'!BT$26,Engineering!BS32,Engineering!BU32)</f>
        <v>15000</v>
      </c>
      <c r="BU32" s="89" t="n">
        <v>15000</v>
      </c>
      <c r="BV32" s="12"/>
      <c r="BW32" s="12" t="n">
        <f aca="false">IF('Cash Drivers'!BW$26,Engineering!BV32,Engineering!BX32)</f>
        <v>15000</v>
      </c>
      <c r="BX32" s="90" t="n">
        <v>15000</v>
      </c>
      <c r="BY32" s="13"/>
      <c r="BZ32" s="13" t="n">
        <f aca="false">IF('Cash Drivers'!BZ$26,Engineering!BY32,Engineering!CA32)</f>
        <v>15000</v>
      </c>
      <c r="CA32" s="89" t="n">
        <v>15000</v>
      </c>
      <c r="CB32" s="12"/>
      <c r="CC32" s="12" t="n">
        <f aca="false">IF('Cash Drivers'!CC$26,Engineering!CB32,Engineering!CD32)</f>
        <v>15000</v>
      </c>
      <c r="CD32" s="90" t="n">
        <v>15000</v>
      </c>
      <c r="CE32" s="13"/>
      <c r="CF32" s="13" t="n">
        <f aca="false">IF('Cash Drivers'!CF$26,Engineering!CE32,Engineering!CG32)</f>
        <v>15000</v>
      </c>
      <c r="CG32" s="89" t="n">
        <v>15000</v>
      </c>
      <c r="CH32" s="12"/>
      <c r="CI32" s="12" t="n">
        <f aca="false">IF('Cash Drivers'!CI$26,Engineering!CH32,Engineering!CJ32)</f>
        <v>15000</v>
      </c>
      <c r="CJ32" s="90" t="n">
        <v>15000</v>
      </c>
      <c r="CK32" s="13"/>
      <c r="CL32" s="13" t="n">
        <f aca="false">IF('Cash Drivers'!CL$26,Engineering!CK32,Engineering!CM32)</f>
        <v>15000</v>
      </c>
      <c r="CM32" s="89" t="n">
        <v>15000</v>
      </c>
      <c r="CN32" s="12"/>
      <c r="CO32" s="12" t="n">
        <f aca="false">IF('Cash Drivers'!CO$26,Engineering!CN32,Engineering!CP32)</f>
        <v>15000</v>
      </c>
      <c r="CP32" s="90" t="n">
        <v>15000</v>
      </c>
      <c r="CQ32" s="13"/>
      <c r="CR32" s="13" t="n">
        <f aca="false">IF('Cash Drivers'!CR$26,Engineering!CQ32,Engineering!CS32)</f>
        <v>15000</v>
      </c>
      <c r="CS32" s="89" t="n">
        <v>15000</v>
      </c>
      <c r="CT32" s="12"/>
      <c r="CU32" s="12" t="n">
        <f aca="false">IF('Cash Drivers'!CU$26,Engineering!CT32,Engineering!CV32)</f>
        <v>15000</v>
      </c>
      <c r="CV32" s="90" t="n">
        <v>15000</v>
      </c>
      <c r="CW32" s="13"/>
      <c r="CX32" s="13" t="n">
        <f aca="false">IF('Cash Drivers'!CX$26,Engineering!CW32,Engineering!CY32)</f>
        <v>15000</v>
      </c>
      <c r="CY32" s="89" t="n">
        <v>15000</v>
      </c>
      <c r="CZ32" s="12"/>
      <c r="DA32" s="12" t="n">
        <f aca="false">IF('Cash Drivers'!DA$26,Engineering!CZ32,Engineering!DB32)</f>
        <v>15000</v>
      </c>
      <c r="DB32" s="90" t="n">
        <v>15000</v>
      </c>
      <c r="DC32" s="13"/>
      <c r="DD32" s="13" t="n">
        <f aca="false">IF('Cash Drivers'!DD$26,Engineering!DC32,Engineering!DE32)</f>
        <v>15000</v>
      </c>
      <c r="DE32" s="89" t="n">
        <v>15000</v>
      </c>
      <c r="DF32" s="12"/>
      <c r="DG32" s="12" t="n">
        <f aca="false">IF('Cash Drivers'!DG$26,Engineering!DF32,Engineering!DH32)</f>
        <v>15000</v>
      </c>
      <c r="DH32" s="90" t="n">
        <v>15000</v>
      </c>
      <c r="DI32" s="89" t="n">
        <v>15000</v>
      </c>
      <c r="DJ32" s="13" t="n">
        <f aca="false">IF('Cash Drivers'!DJ$26,Engineering!DI32,Engineering!DK32)</f>
        <v>15000</v>
      </c>
      <c r="DK32" s="89" t="n">
        <v>15000</v>
      </c>
      <c r="DL32" s="90" t="n">
        <v>15000</v>
      </c>
      <c r="DM32" s="12" t="n">
        <f aca="false">IF('Cash Drivers'!DM$26,Engineering!DL32,Engineering!DN32)</f>
        <v>15000</v>
      </c>
      <c r="DN32" s="90" t="n">
        <v>15000</v>
      </c>
    </row>
    <row r="33" customFormat="false" ht="15.75" hidden="false" customHeight="true" outlineLevel="0" collapsed="false">
      <c r="A33" s="5" t="s">
        <v>267</v>
      </c>
      <c r="B33" s="12" t="str">
        <f aca="false">IF(COUNT(AR33,AO33,AL33,AI33,AF33,AC33,Z33,W33,T33,Q33,N33,K33)=0,"",SUM(AR33,AO33,AL33,AI33,AF33,AC33,Z33,W33,T33,Q33,N33,K33))</f>
        <v/>
      </c>
      <c r="C33" s="12" t="n">
        <f aca="false">IF(COUNT(AS33,AP33,AM33,AJ33,AG33,AD33,AA33,X33,U33,R33,O33,L33)=0,"",SUM(AS33,AP33,AM33,AJ33,AG33,AD33,AA33,X33,U33,R33,O33,L33))</f>
        <v>180000</v>
      </c>
      <c r="D33" s="12" t="n">
        <f aca="false">IF(COUNT(AT33,AQ33,AN33,AK33,AH33,AE33,AB33,Y33,V33,S33,P33,M33)=0,"",SUM(AT33,AQ33,AN33,AK33,AH33,AE33,AB33,Y33,V33,S33,P33,M33))</f>
        <v>180000</v>
      </c>
      <c r="E33" s="13" t="str">
        <f aca="false">IF(COUNT(CB33,BY33,BV33,BS33,BP33,BM33,BJ33,BG33,BD33,BA33,AX33,AU33)=0,"",SUM(CB33,BY33,BV33,BS33,BP33,BM33,BJ33,BG33,BD33,BA33,AX33,AU33))</f>
        <v/>
      </c>
      <c r="F33" s="13" t="n">
        <f aca="false">IF(COUNT(CC33,BZ33,BW33,BT33,BQ33,BN33,BK33,BH33,BE33,BB33,AY33,AV33)=0,"",SUM(CC33,BZ33,BW33,BT33,BQ33,BN33,BK33,BH33,BE33,BB33,AY33,AV33))</f>
        <v>180000</v>
      </c>
      <c r="G33" s="13" t="n">
        <f aca="false">IF(COUNT(CD33,CA33,BX33,BU33,BR33,BO33,BL33,BI33,BF33,BC33,AZ33,AW33)=0,"",SUM(CD33,CA33,BX33,BU33,BR33,BO33,BL33,BI33,BF33,BC33,AZ33,AW33))</f>
        <v>180000</v>
      </c>
      <c r="H33" s="12" t="n">
        <f aca="false">IF(COUNT(DL33,DI33,DF33,DC33,CZ33,CW33,CT33,CQ33,CN33,CK33,CH33,CE33)=0,"",SUM(DL33,DI33,DF33,DC33,CZ33,CW33,CT33,CQ33,CN33,CK33,CH33,CE33))</f>
        <v>30000</v>
      </c>
      <c r="I33" s="12" t="n">
        <f aca="false">IF(COUNT(DM33,DJ33,DG33,DD33,DA33,CX33,CU33,CR33,CO33,CL33,CI33,CF33)=0,"",SUM(DM33,DJ33,DG33,DD33,DA33,CX33,CU33,CR33,CO33,CL33,CI33,CF33))</f>
        <v>180000</v>
      </c>
      <c r="J33" s="12" t="n">
        <f aca="false">IF(COUNT(DN33,DK33,DH33,DE33,DB33,CY33,CV33,CS33,CP33,CM33,CJ33,CG33)=0,"",SUM(DN33,DK33,DH33,DE33,DB33,CY33,CV33,CS33,CP33,CM33,CJ33,CG33))</f>
        <v>180000</v>
      </c>
      <c r="K33" s="13"/>
      <c r="L33" s="13" t="n">
        <f aca="false">IF('Cash Drivers'!L$26,Engineering!K33,Engineering!M33)</f>
        <v>15000</v>
      </c>
      <c r="M33" s="89" t="n">
        <v>15000</v>
      </c>
      <c r="N33" s="12"/>
      <c r="O33" s="12" t="n">
        <f aca="false">IF('Cash Drivers'!O$26,Engineering!N33,Engineering!P33)</f>
        <v>15000</v>
      </c>
      <c r="P33" s="90" t="n">
        <v>15000</v>
      </c>
      <c r="Q33" s="13"/>
      <c r="R33" s="13" t="n">
        <f aca="false">IF('Cash Drivers'!R$26,Engineering!Q33,Engineering!S33)</f>
        <v>15000</v>
      </c>
      <c r="S33" s="89" t="n">
        <v>15000</v>
      </c>
      <c r="T33" s="12"/>
      <c r="U33" s="12" t="n">
        <f aca="false">IF('Cash Drivers'!U$26,Engineering!T33,Engineering!V33)</f>
        <v>15000</v>
      </c>
      <c r="V33" s="90" t="n">
        <v>15000</v>
      </c>
      <c r="W33" s="13"/>
      <c r="X33" s="13" t="n">
        <f aca="false">IF('Cash Drivers'!X$26,Engineering!W33,Engineering!Y33)</f>
        <v>15000</v>
      </c>
      <c r="Y33" s="89" t="n">
        <v>15000</v>
      </c>
      <c r="Z33" s="12"/>
      <c r="AA33" s="12" t="n">
        <f aca="false">IF('Cash Drivers'!AA$26,Engineering!Z33,Engineering!AB33)</f>
        <v>15000</v>
      </c>
      <c r="AB33" s="90" t="n">
        <v>15000</v>
      </c>
      <c r="AC33" s="13"/>
      <c r="AD33" s="13" t="n">
        <f aca="false">IF('Cash Drivers'!AD$26,Engineering!AC33,Engineering!AE33)</f>
        <v>15000</v>
      </c>
      <c r="AE33" s="89" t="n">
        <v>15000</v>
      </c>
      <c r="AF33" s="12"/>
      <c r="AG33" s="12" t="n">
        <f aca="false">IF('Cash Drivers'!AG$26,Engineering!AF33,Engineering!AH33)</f>
        <v>15000</v>
      </c>
      <c r="AH33" s="90" t="n">
        <v>15000</v>
      </c>
      <c r="AI33" s="13"/>
      <c r="AJ33" s="13" t="n">
        <f aca="false">IF('Cash Drivers'!AJ$26,Engineering!AI33,Engineering!AK33)</f>
        <v>15000</v>
      </c>
      <c r="AK33" s="89" t="n">
        <v>15000</v>
      </c>
      <c r="AL33" s="12"/>
      <c r="AM33" s="12" t="n">
        <f aca="false">IF('Cash Drivers'!AM$26,Engineering!AL33,Engineering!AN33)</f>
        <v>15000</v>
      </c>
      <c r="AN33" s="90" t="n">
        <v>15000</v>
      </c>
      <c r="AO33" s="13"/>
      <c r="AP33" s="13" t="n">
        <f aca="false">IF('Cash Drivers'!AP$26,Engineering!AO33,Engineering!AQ33)</f>
        <v>15000</v>
      </c>
      <c r="AQ33" s="89" t="n">
        <v>15000</v>
      </c>
      <c r="AR33" s="12"/>
      <c r="AS33" s="12" t="n">
        <f aca="false">IF('Cash Drivers'!AS$26,Engineering!AR33,Engineering!AT33)</f>
        <v>15000</v>
      </c>
      <c r="AT33" s="90" t="n">
        <v>15000</v>
      </c>
      <c r="AU33" s="13"/>
      <c r="AV33" s="13" t="n">
        <f aca="false">IF('Cash Drivers'!AV$26,Engineering!AU33,Engineering!AW33)</f>
        <v>15000</v>
      </c>
      <c r="AW33" s="89" t="n">
        <v>15000</v>
      </c>
      <c r="AX33" s="12"/>
      <c r="AY33" s="12" t="n">
        <f aca="false">IF('Cash Drivers'!AY$26,Engineering!AX33,Engineering!AZ33)</f>
        <v>15000</v>
      </c>
      <c r="AZ33" s="90" t="n">
        <v>15000</v>
      </c>
      <c r="BA33" s="13"/>
      <c r="BB33" s="13" t="n">
        <f aca="false">IF('Cash Drivers'!BB$26,Engineering!BA33,Engineering!BC33)</f>
        <v>15000</v>
      </c>
      <c r="BC33" s="89" t="n">
        <v>15000</v>
      </c>
      <c r="BD33" s="12"/>
      <c r="BE33" s="12" t="n">
        <f aca="false">IF('Cash Drivers'!BE$26,Engineering!BD33,Engineering!BF33)</f>
        <v>15000</v>
      </c>
      <c r="BF33" s="90" t="n">
        <v>15000</v>
      </c>
      <c r="BG33" s="13"/>
      <c r="BH33" s="13" t="n">
        <f aca="false">IF('Cash Drivers'!BH$26,Engineering!BG33,Engineering!BI33)</f>
        <v>15000</v>
      </c>
      <c r="BI33" s="89" t="n">
        <v>15000</v>
      </c>
      <c r="BJ33" s="12"/>
      <c r="BK33" s="12" t="n">
        <f aca="false">IF('Cash Drivers'!BK$26,Engineering!BJ33,Engineering!BL33)</f>
        <v>15000</v>
      </c>
      <c r="BL33" s="90" t="n">
        <v>15000</v>
      </c>
      <c r="BM33" s="13"/>
      <c r="BN33" s="13" t="n">
        <f aca="false">IF('Cash Drivers'!BN$26,Engineering!BM33,Engineering!BO33)</f>
        <v>15000</v>
      </c>
      <c r="BO33" s="89" t="n">
        <v>15000</v>
      </c>
      <c r="BP33" s="12"/>
      <c r="BQ33" s="12" t="n">
        <f aca="false">IF('Cash Drivers'!BQ$26,Engineering!BP33,Engineering!BR33)</f>
        <v>15000</v>
      </c>
      <c r="BR33" s="90" t="n">
        <v>15000</v>
      </c>
      <c r="BS33" s="13"/>
      <c r="BT33" s="13" t="n">
        <f aca="false">IF('Cash Drivers'!BT$26,Engineering!BS33,Engineering!BU33)</f>
        <v>15000</v>
      </c>
      <c r="BU33" s="89" t="n">
        <v>15000</v>
      </c>
      <c r="BV33" s="12"/>
      <c r="BW33" s="12" t="n">
        <f aca="false">IF('Cash Drivers'!BW$26,Engineering!BV33,Engineering!BX33)</f>
        <v>15000</v>
      </c>
      <c r="BX33" s="90" t="n">
        <v>15000</v>
      </c>
      <c r="BY33" s="13"/>
      <c r="BZ33" s="13" t="n">
        <f aca="false">IF('Cash Drivers'!BZ$26,Engineering!BY33,Engineering!CA33)</f>
        <v>15000</v>
      </c>
      <c r="CA33" s="89" t="n">
        <v>15000</v>
      </c>
      <c r="CB33" s="12"/>
      <c r="CC33" s="12" t="n">
        <f aca="false">IF('Cash Drivers'!CC$26,Engineering!CB33,Engineering!CD33)</f>
        <v>15000</v>
      </c>
      <c r="CD33" s="90" t="n">
        <v>15000</v>
      </c>
      <c r="CE33" s="13"/>
      <c r="CF33" s="13" t="n">
        <f aca="false">IF('Cash Drivers'!CF$26,Engineering!CE33,Engineering!CG33)</f>
        <v>15000</v>
      </c>
      <c r="CG33" s="89" t="n">
        <v>15000</v>
      </c>
      <c r="CH33" s="12"/>
      <c r="CI33" s="12" t="n">
        <f aca="false">IF('Cash Drivers'!CI$26,Engineering!CH33,Engineering!CJ33)</f>
        <v>15000</v>
      </c>
      <c r="CJ33" s="90" t="n">
        <v>15000</v>
      </c>
      <c r="CK33" s="13"/>
      <c r="CL33" s="13" t="n">
        <f aca="false">IF('Cash Drivers'!CL$26,Engineering!CK33,Engineering!CM33)</f>
        <v>15000</v>
      </c>
      <c r="CM33" s="89" t="n">
        <v>15000</v>
      </c>
      <c r="CN33" s="12"/>
      <c r="CO33" s="12" t="n">
        <f aca="false">IF('Cash Drivers'!CO$26,Engineering!CN33,Engineering!CP33)</f>
        <v>15000</v>
      </c>
      <c r="CP33" s="90" t="n">
        <v>15000</v>
      </c>
      <c r="CQ33" s="13"/>
      <c r="CR33" s="13" t="n">
        <f aca="false">IF('Cash Drivers'!CR$26,Engineering!CQ33,Engineering!CS33)</f>
        <v>15000</v>
      </c>
      <c r="CS33" s="89" t="n">
        <v>15000</v>
      </c>
      <c r="CT33" s="12"/>
      <c r="CU33" s="12" t="n">
        <f aca="false">IF('Cash Drivers'!CU$26,Engineering!CT33,Engineering!CV33)</f>
        <v>15000</v>
      </c>
      <c r="CV33" s="90" t="n">
        <v>15000</v>
      </c>
      <c r="CW33" s="13"/>
      <c r="CX33" s="13" t="n">
        <f aca="false">IF('Cash Drivers'!CX$26,Engineering!CW33,Engineering!CY33)</f>
        <v>15000</v>
      </c>
      <c r="CY33" s="89" t="n">
        <v>15000</v>
      </c>
      <c r="CZ33" s="12"/>
      <c r="DA33" s="12" t="n">
        <f aca="false">IF('Cash Drivers'!DA$26,Engineering!CZ33,Engineering!DB33)</f>
        <v>15000</v>
      </c>
      <c r="DB33" s="90" t="n">
        <v>15000</v>
      </c>
      <c r="DC33" s="13"/>
      <c r="DD33" s="13" t="n">
        <f aca="false">IF('Cash Drivers'!DD$26,Engineering!DC33,Engineering!DE33)</f>
        <v>15000</v>
      </c>
      <c r="DE33" s="89" t="n">
        <v>15000</v>
      </c>
      <c r="DF33" s="12"/>
      <c r="DG33" s="12" t="n">
        <f aca="false">IF('Cash Drivers'!DG$26,Engineering!DF33,Engineering!DH33)</f>
        <v>15000</v>
      </c>
      <c r="DH33" s="90" t="n">
        <v>15000</v>
      </c>
      <c r="DI33" s="89" t="n">
        <v>15000</v>
      </c>
      <c r="DJ33" s="13" t="n">
        <f aca="false">IF('Cash Drivers'!DJ$26,Engineering!DI33,Engineering!DK33)</f>
        <v>15000</v>
      </c>
      <c r="DK33" s="89" t="n">
        <v>15000</v>
      </c>
      <c r="DL33" s="90" t="n">
        <v>15000</v>
      </c>
      <c r="DM33" s="12" t="n">
        <f aca="false">IF('Cash Drivers'!DM$26,Engineering!DL33,Engineering!DN33)</f>
        <v>15000</v>
      </c>
      <c r="DN33" s="90" t="n">
        <v>15000</v>
      </c>
    </row>
    <row r="34" customFormat="false" ht="15.75" hidden="false" customHeight="true" outlineLevel="0" collapsed="false">
      <c r="A34" s="5" t="s">
        <v>268</v>
      </c>
      <c r="B34" s="12" t="str">
        <f aca="false">IF(COUNT(AR34,AO34,AL34,AI34,AF34,AC34,Z34,W34,T34,Q34,N34,K34)=0,"",SUM(AR34,AO34,AL34,AI34,AF34,AC34,Z34,W34,T34,Q34,N34,K34))</f>
        <v/>
      </c>
      <c r="C34" s="12" t="n">
        <f aca="false">IF(COUNT(AS34,AP34,AM34,AJ34,AG34,AD34,AA34,X34,U34,R34,O34,L34)=0,"",SUM(AS34,AP34,AM34,AJ34,AG34,AD34,AA34,X34,U34,R34,O34,L34))</f>
        <v>156000</v>
      </c>
      <c r="D34" s="12" t="n">
        <f aca="false">IF(COUNT(AT34,AQ34,AN34,AK34,AH34,AE34,AB34,Y34,V34,S34,P34,M34)=0,"",SUM(AT34,AQ34,AN34,AK34,AH34,AE34,AB34,Y34,V34,S34,P34,M34))</f>
        <v>156000</v>
      </c>
      <c r="E34" s="13" t="str">
        <f aca="false">IF(COUNT(CB34,BY34,BV34,BS34,BP34,BM34,BJ34,BG34,BD34,BA34,AX34,AU34)=0,"",SUM(CB34,BY34,BV34,BS34,BP34,BM34,BJ34,BG34,BD34,BA34,AX34,AU34))</f>
        <v/>
      </c>
      <c r="F34" s="13" t="n">
        <f aca="false">IF(COUNT(CC34,BZ34,BW34,BT34,BQ34,BN34,BK34,BH34,BE34,BB34,AY34,AV34)=0,"",SUM(CC34,BZ34,BW34,BT34,BQ34,BN34,BK34,BH34,BE34,BB34,AY34,AV34))</f>
        <v>156000</v>
      </c>
      <c r="G34" s="13" t="n">
        <f aca="false">IF(COUNT(CD34,CA34,BX34,BU34,BR34,BO34,BL34,BI34,BF34,BC34,AZ34,AW34)=0,"",SUM(CD34,CA34,BX34,BU34,BR34,BO34,BL34,BI34,BF34,BC34,AZ34,AW34))</f>
        <v>156000</v>
      </c>
      <c r="H34" s="12" t="n">
        <f aca="false">IF(COUNT(DL34,DI34,DF34,DC34,CZ34,CW34,CT34,CQ34,CN34,CK34,CH34,CE34)=0,"",SUM(DL34,DI34,DF34,DC34,CZ34,CW34,CT34,CQ34,CN34,CK34,CH34,CE34))</f>
        <v>26000</v>
      </c>
      <c r="I34" s="12" t="n">
        <f aca="false">IF(COUNT(DM34,DJ34,DG34,DD34,DA34,CX34,CU34,CR34,CO34,CL34,CI34,CF34)=0,"",SUM(DM34,DJ34,DG34,DD34,DA34,CX34,CU34,CR34,CO34,CL34,CI34,CF34))</f>
        <v>156000</v>
      </c>
      <c r="J34" s="12" t="n">
        <f aca="false">IF(COUNT(DN34,DK34,DH34,DE34,DB34,CY34,CV34,CS34,CP34,CM34,CJ34,CG34)=0,"",SUM(DN34,DK34,DH34,DE34,DB34,CY34,CV34,CS34,CP34,CM34,CJ34,CG34))</f>
        <v>156000</v>
      </c>
      <c r="K34" s="13"/>
      <c r="L34" s="13" t="n">
        <f aca="false">IF('Cash Drivers'!L$26,Engineering!K34,Engineering!M34)</f>
        <v>13000</v>
      </c>
      <c r="M34" s="89" t="n">
        <v>13000</v>
      </c>
      <c r="N34" s="12"/>
      <c r="O34" s="12" t="n">
        <f aca="false">IF('Cash Drivers'!O$26,Engineering!N34,Engineering!P34)</f>
        <v>13000</v>
      </c>
      <c r="P34" s="90" t="n">
        <v>13000</v>
      </c>
      <c r="Q34" s="13"/>
      <c r="R34" s="13" t="n">
        <f aca="false">IF('Cash Drivers'!R$26,Engineering!Q34,Engineering!S34)</f>
        <v>13000</v>
      </c>
      <c r="S34" s="89" t="n">
        <v>13000</v>
      </c>
      <c r="T34" s="12"/>
      <c r="U34" s="12" t="n">
        <f aca="false">IF('Cash Drivers'!U$26,Engineering!T34,Engineering!V34)</f>
        <v>13000</v>
      </c>
      <c r="V34" s="90" t="n">
        <v>13000</v>
      </c>
      <c r="W34" s="13"/>
      <c r="X34" s="13" t="n">
        <f aca="false">IF('Cash Drivers'!X$26,Engineering!W34,Engineering!Y34)</f>
        <v>13000</v>
      </c>
      <c r="Y34" s="89" t="n">
        <v>13000</v>
      </c>
      <c r="Z34" s="12"/>
      <c r="AA34" s="12" t="n">
        <f aca="false">IF('Cash Drivers'!AA$26,Engineering!Z34,Engineering!AB34)</f>
        <v>13000</v>
      </c>
      <c r="AB34" s="90" t="n">
        <v>13000</v>
      </c>
      <c r="AC34" s="13"/>
      <c r="AD34" s="13" t="n">
        <f aca="false">IF('Cash Drivers'!AD$26,Engineering!AC34,Engineering!AE34)</f>
        <v>13000</v>
      </c>
      <c r="AE34" s="89" t="n">
        <v>13000</v>
      </c>
      <c r="AF34" s="12"/>
      <c r="AG34" s="12" t="n">
        <f aca="false">IF('Cash Drivers'!AG$26,Engineering!AF34,Engineering!AH34)</f>
        <v>13000</v>
      </c>
      <c r="AH34" s="90" t="n">
        <v>13000</v>
      </c>
      <c r="AI34" s="13"/>
      <c r="AJ34" s="13" t="n">
        <f aca="false">IF('Cash Drivers'!AJ$26,Engineering!AI34,Engineering!AK34)</f>
        <v>13000</v>
      </c>
      <c r="AK34" s="89" t="n">
        <v>13000</v>
      </c>
      <c r="AL34" s="12"/>
      <c r="AM34" s="12" t="n">
        <f aca="false">IF('Cash Drivers'!AM$26,Engineering!AL34,Engineering!AN34)</f>
        <v>13000</v>
      </c>
      <c r="AN34" s="90" t="n">
        <v>13000</v>
      </c>
      <c r="AO34" s="13"/>
      <c r="AP34" s="13" t="n">
        <f aca="false">IF('Cash Drivers'!AP$26,Engineering!AO34,Engineering!AQ34)</f>
        <v>13000</v>
      </c>
      <c r="AQ34" s="89" t="n">
        <v>13000</v>
      </c>
      <c r="AR34" s="12"/>
      <c r="AS34" s="12" t="n">
        <f aca="false">IF('Cash Drivers'!AS$26,Engineering!AR34,Engineering!AT34)</f>
        <v>13000</v>
      </c>
      <c r="AT34" s="90" t="n">
        <v>13000</v>
      </c>
      <c r="AU34" s="13"/>
      <c r="AV34" s="13" t="n">
        <f aca="false">IF('Cash Drivers'!AV$26,Engineering!AU34,Engineering!AW34)</f>
        <v>13000</v>
      </c>
      <c r="AW34" s="89" t="n">
        <v>13000</v>
      </c>
      <c r="AX34" s="12"/>
      <c r="AY34" s="12" t="n">
        <f aca="false">IF('Cash Drivers'!AY$26,Engineering!AX34,Engineering!AZ34)</f>
        <v>13000</v>
      </c>
      <c r="AZ34" s="90" t="n">
        <v>13000</v>
      </c>
      <c r="BA34" s="13"/>
      <c r="BB34" s="13" t="n">
        <f aca="false">IF('Cash Drivers'!BB$26,Engineering!BA34,Engineering!BC34)</f>
        <v>13000</v>
      </c>
      <c r="BC34" s="89" t="n">
        <v>13000</v>
      </c>
      <c r="BD34" s="12"/>
      <c r="BE34" s="12" t="n">
        <f aca="false">IF('Cash Drivers'!BE$26,Engineering!BD34,Engineering!BF34)</f>
        <v>13000</v>
      </c>
      <c r="BF34" s="90" t="n">
        <v>13000</v>
      </c>
      <c r="BG34" s="13"/>
      <c r="BH34" s="13" t="n">
        <f aca="false">IF('Cash Drivers'!BH$26,Engineering!BG34,Engineering!BI34)</f>
        <v>13000</v>
      </c>
      <c r="BI34" s="89" t="n">
        <v>13000</v>
      </c>
      <c r="BJ34" s="12"/>
      <c r="BK34" s="12" t="n">
        <f aca="false">IF('Cash Drivers'!BK$26,Engineering!BJ34,Engineering!BL34)</f>
        <v>13000</v>
      </c>
      <c r="BL34" s="90" t="n">
        <v>13000</v>
      </c>
      <c r="BM34" s="13"/>
      <c r="BN34" s="13" t="n">
        <f aca="false">IF('Cash Drivers'!BN$26,Engineering!BM34,Engineering!BO34)</f>
        <v>13000</v>
      </c>
      <c r="BO34" s="89" t="n">
        <v>13000</v>
      </c>
      <c r="BP34" s="12"/>
      <c r="BQ34" s="12" t="n">
        <f aca="false">IF('Cash Drivers'!BQ$26,Engineering!BP34,Engineering!BR34)</f>
        <v>13000</v>
      </c>
      <c r="BR34" s="90" t="n">
        <v>13000</v>
      </c>
      <c r="BS34" s="13"/>
      <c r="BT34" s="13" t="n">
        <f aca="false">IF('Cash Drivers'!BT$26,Engineering!BS34,Engineering!BU34)</f>
        <v>13000</v>
      </c>
      <c r="BU34" s="89" t="n">
        <v>13000</v>
      </c>
      <c r="BV34" s="12"/>
      <c r="BW34" s="12" t="n">
        <f aca="false">IF('Cash Drivers'!BW$26,Engineering!BV34,Engineering!BX34)</f>
        <v>13000</v>
      </c>
      <c r="BX34" s="90" t="n">
        <v>13000</v>
      </c>
      <c r="BY34" s="13"/>
      <c r="BZ34" s="13" t="n">
        <f aca="false">IF('Cash Drivers'!BZ$26,Engineering!BY34,Engineering!CA34)</f>
        <v>13000</v>
      </c>
      <c r="CA34" s="89" t="n">
        <v>13000</v>
      </c>
      <c r="CB34" s="12"/>
      <c r="CC34" s="12" t="n">
        <f aca="false">IF('Cash Drivers'!CC$26,Engineering!CB34,Engineering!CD34)</f>
        <v>13000</v>
      </c>
      <c r="CD34" s="90" t="n">
        <v>13000</v>
      </c>
      <c r="CE34" s="13"/>
      <c r="CF34" s="13" t="n">
        <f aca="false">IF('Cash Drivers'!CF$26,Engineering!CE34,Engineering!CG34)</f>
        <v>13000</v>
      </c>
      <c r="CG34" s="89" t="n">
        <v>13000</v>
      </c>
      <c r="CH34" s="12"/>
      <c r="CI34" s="12" t="n">
        <f aca="false">IF('Cash Drivers'!CI$26,Engineering!CH34,Engineering!CJ34)</f>
        <v>13000</v>
      </c>
      <c r="CJ34" s="90" t="n">
        <v>13000</v>
      </c>
      <c r="CK34" s="13"/>
      <c r="CL34" s="13" t="n">
        <f aca="false">IF('Cash Drivers'!CL$26,Engineering!CK34,Engineering!CM34)</f>
        <v>13000</v>
      </c>
      <c r="CM34" s="89" t="n">
        <v>13000</v>
      </c>
      <c r="CN34" s="12"/>
      <c r="CO34" s="12" t="n">
        <f aca="false">IF('Cash Drivers'!CO$26,Engineering!CN34,Engineering!CP34)</f>
        <v>13000</v>
      </c>
      <c r="CP34" s="90" t="n">
        <v>13000</v>
      </c>
      <c r="CQ34" s="13"/>
      <c r="CR34" s="13" t="n">
        <f aca="false">IF('Cash Drivers'!CR$26,Engineering!CQ34,Engineering!CS34)</f>
        <v>13000</v>
      </c>
      <c r="CS34" s="89" t="n">
        <v>13000</v>
      </c>
      <c r="CT34" s="12"/>
      <c r="CU34" s="12" t="n">
        <f aca="false">IF('Cash Drivers'!CU$26,Engineering!CT34,Engineering!CV34)</f>
        <v>13000</v>
      </c>
      <c r="CV34" s="90" t="n">
        <v>13000</v>
      </c>
      <c r="CW34" s="13"/>
      <c r="CX34" s="13" t="n">
        <f aca="false">IF('Cash Drivers'!CX$26,Engineering!CW34,Engineering!CY34)</f>
        <v>13000</v>
      </c>
      <c r="CY34" s="89" t="n">
        <v>13000</v>
      </c>
      <c r="CZ34" s="12"/>
      <c r="DA34" s="12" t="n">
        <f aca="false">IF('Cash Drivers'!DA$26,Engineering!CZ34,Engineering!DB34)</f>
        <v>13000</v>
      </c>
      <c r="DB34" s="90" t="n">
        <v>13000</v>
      </c>
      <c r="DC34" s="13"/>
      <c r="DD34" s="13" t="n">
        <f aca="false">IF('Cash Drivers'!DD$26,Engineering!DC34,Engineering!DE34)</f>
        <v>13000</v>
      </c>
      <c r="DE34" s="89" t="n">
        <v>13000</v>
      </c>
      <c r="DF34" s="12"/>
      <c r="DG34" s="12" t="n">
        <f aca="false">IF('Cash Drivers'!DG$26,Engineering!DF34,Engineering!DH34)</f>
        <v>13000</v>
      </c>
      <c r="DH34" s="90" t="n">
        <v>13000</v>
      </c>
      <c r="DI34" s="89" t="n">
        <v>13000</v>
      </c>
      <c r="DJ34" s="13" t="n">
        <f aca="false">IF('Cash Drivers'!DJ$26,Engineering!DI34,Engineering!DK34)</f>
        <v>13000</v>
      </c>
      <c r="DK34" s="89" t="n">
        <v>13000</v>
      </c>
      <c r="DL34" s="90" t="n">
        <v>13000</v>
      </c>
      <c r="DM34" s="12" t="n">
        <f aca="false">IF('Cash Drivers'!DM$26,Engineering!DL34,Engineering!DN34)</f>
        <v>13000</v>
      </c>
      <c r="DN34" s="90" t="n">
        <v>13000</v>
      </c>
    </row>
    <row r="35" customFormat="false" ht="15.75" hidden="false" customHeight="true" outlineLevel="0" collapsed="false">
      <c r="A35" s="5" t="s">
        <v>268</v>
      </c>
      <c r="B35" s="12" t="str">
        <f aca="false">IF(COUNT(AR35,AO35,AL35,AI35,AF35,AC35,Z35,W35,T35,Q35,N35,K35)=0,"",SUM(AR35,AO35,AL35,AI35,AF35,AC35,Z35,W35,T35,Q35,N35,K35))</f>
        <v/>
      </c>
      <c r="C35" s="12" t="n">
        <f aca="false">IF(COUNT(AS35,AP35,AM35,AJ35,AG35,AD35,AA35,X35,U35,R35,O35,L35)=0,"",SUM(AS35,AP35,AM35,AJ35,AG35,AD35,AA35,X35,U35,R35,O35,L35))</f>
        <v>156000</v>
      </c>
      <c r="D35" s="12" t="n">
        <f aca="false">IF(COUNT(AT35,AQ35,AN35,AK35,AH35,AE35,AB35,Y35,V35,S35,P35,M35)=0,"",SUM(AT35,AQ35,AN35,AK35,AH35,AE35,AB35,Y35,V35,S35,P35,M35))</f>
        <v>156000</v>
      </c>
      <c r="E35" s="13" t="str">
        <f aca="false">IF(COUNT(CB35,BY35,BV35,BS35,BP35,BM35,BJ35,BG35,BD35,BA35,AX35,AU35)=0,"",SUM(CB35,BY35,BV35,BS35,BP35,BM35,BJ35,BG35,BD35,BA35,AX35,AU35))</f>
        <v/>
      </c>
      <c r="F35" s="13" t="n">
        <f aca="false">IF(COUNT(CC35,BZ35,BW35,BT35,BQ35,BN35,BK35,BH35,BE35,BB35,AY35,AV35)=0,"",SUM(CC35,BZ35,BW35,BT35,BQ35,BN35,BK35,BH35,BE35,BB35,AY35,AV35))</f>
        <v>156000</v>
      </c>
      <c r="G35" s="13" t="n">
        <f aca="false">IF(COUNT(CD35,CA35,BX35,BU35,BR35,BO35,BL35,BI35,BF35,BC35,AZ35,AW35)=0,"",SUM(CD35,CA35,BX35,BU35,BR35,BO35,BL35,BI35,BF35,BC35,AZ35,AW35))</f>
        <v>156000</v>
      </c>
      <c r="H35" s="12" t="n">
        <f aca="false">IF(COUNT(DL35,DI35,DF35,DC35,CZ35,CW35,CT35,CQ35,CN35,CK35,CH35,CE35)=0,"",SUM(DL35,DI35,DF35,DC35,CZ35,CW35,CT35,CQ35,CN35,CK35,CH35,CE35))</f>
        <v>26000</v>
      </c>
      <c r="I35" s="12" t="n">
        <f aca="false">IF(COUNT(DM35,DJ35,DG35,DD35,DA35,CX35,CU35,CR35,CO35,CL35,CI35,CF35)=0,"",SUM(DM35,DJ35,DG35,DD35,DA35,CX35,CU35,CR35,CO35,CL35,CI35,CF35))</f>
        <v>156000</v>
      </c>
      <c r="J35" s="12" t="n">
        <f aca="false">IF(COUNT(DN35,DK35,DH35,DE35,DB35,CY35,CV35,CS35,CP35,CM35,CJ35,CG35)=0,"",SUM(DN35,DK35,DH35,DE35,DB35,CY35,CV35,CS35,CP35,CM35,CJ35,CG35))</f>
        <v>156000</v>
      </c>
      <c r="K35" s="13"/>
      <c r="L35" s="13" t="n">
        <f aca="false">IF('Cash Drivers'!L$26,Engineering!K35,Engineering!M35)</f>
        <v>13000</v>
      </c>
      <c r="M35" s="89" t="n">
        <v>13000</v>
      </c>
      <c r="N35" s="12"/>
      <c r="O35" s="12" t="n">
        <f aca="false">IF('Cash Drivers'!O$26,Engineering!N35,Engineering!P35)</f>
        <v>13000</v>
      </c>
      <c r="P35" s="90" t="n">
        <v>13000</v>
      </c>
      <c r="Q35" s="13"/>
      <c r="R35" s="13" t="n">
        <f aca="false">IF('Cash Drivers'!R$26,Engineering!Q35,Engineering!S35)</f>
        <v>13000</v>
      </c>
      <c r="S35" s="89" t="n">
        <v>13000</v>
      </c>
      <c r="T35" s="12"/>
      <c r="U35" s="12" t="n">
        <f aca="false">IF('Cash Drivers'!U$26,Engineering!T35,Engineering!V35)</f>
        <v>13000</v>
      </c>
      <c r="V35" s="90" t="n">
        <v>13000</v>
      </c>
      <c r="W35" s="13"/>
      <c r="X35" s="13" t="n">
        <f aca="false">IF('Cash Drivers'!X$26,Engineering!W35,Engineering!Y35)</f>
        <v>13000</v>
      </c>
      <c r="Y35" s="89" t="n">
        <v>13000</v>
      </c>
      <c r="Z35" s="12"/>
      <c r="AA35" s="12" t="n">
        <f aca="false">IF('Cash Drivers'!AA$26,Engineering!Z35,Engineering!AB35)</f>
        <v>13000</v>
      </c>
      <c r="AB35" s="90" t="n">
        <v>13000</v>
      </c>
      <c r="AC35" s="13"/>
      <c r="AD35" s="13" t="n">
        <f aca="false">IF('Cash Drivers'!AD$26,Engineering!AC35,Engineering!AE35)</f>
        <v>13000</v>
      </c>
      <c r="AE35" s="89" t="n">
        <v>13000</v>
      </c>
      <c r="AF35" s="12"/>
      <c r="AG35" s="12" t="n">
        <f aca="false">IF('Cash Drivers'!AG$26,Engineering!AF35,Engineering!AH35)</f>
        <v>13000</v>
      </c>
      <c r="AH35" s="90" t="n">
        <v>13000</v>
      </c>
      <c r="AI35" s="13"/>
      <c r="AJ35" s="13" t="n">
        <f aca="false">IF('Cash Drivers'!AJ$26,Engineering!AI35,Engineering!AK35)</f>
        <v>13000</v>
      </c>
      <c r="AK35" s="89" t="n">
        <v>13000</v>
      </c>
      <c r="AL35" s="12"/>
      <c r="AM35" s="12" t="n">
        <f aca="false">IF('Cash Drivers'!AM$26,Engineering!AL35,Engineering!AN35)</f>
        <v>13000</v>
      </c>
      <c r="AN35" s="90" t="n">
        <v>13000</v>
      </c>
      <c r="AO35" s="13"/>
      <c r="AP35" s="13" t="n">
        <f aca="false">IF('Cash Drivers'!AP$26,Engineering!AO35,Engineering!AQ35)</f>
        <v>13000</v>
      </c>
      <c r="AQ35" s="89" t="n">
        <v>13000</v>
      </c>
      <c r="AR35" s="12"/>
      <c r="AS35" s="12" t="n">
        <f aca="false">IF('Cash Drivers'!AS$26,Engineering!AR35,Engineering!AT35)</f>
        <v>13000</v>
      </c>
      <c r="AT35" s="90" t="n">
        <v>13000</v>
      </c>
      <c r="AU35" s="13"/>
      <c r="AV35" s="13" t="n">
        <f aca="false">IF('Cash Drivers'!AV$26,Engineering!AU35,Engineering!AW35)</f>
        <v>13000</v>
      </c>
      <c r="AW35" s="89" t="n">
        <v>13000</v>
      </c>
      <c r="AX35" s="12"/>
      <c r="AY35" s="12" t="n">
        <f aca="false">IF('Cash Drivers'!AY$26,Engineering!AX35,Engineering!AZ35)</f>
        <v>13000</v>
      </c>
      <c r="AZ35" s="90" t="n">
        <v>13000</v>
      </c>
      <c r="BA35" s="13"/>
      <c r="BB35" s="13" t="n">
        <f aca="false">IF('Cash Drivers'!BB$26,Engineering!BA35,Engineering!BC35)</f>
        <v>13000</v>
      </c>
      <c r="BC35" s="89" t="n">
        <v>13000</v>
      </c>
      <c r="BD35" s="12"/>
      <c r="BE35" s="12" t="n">
        <f aca="false">IF('Cash Drivers'!BE$26,Engineering!BD35,Engineering!BF35)</f>
        <v>13000</v>
      </c>
      <c r="BF35" s="90" t="n">
        <v>13000</v>
      </c>
      <c r="BG35" s="13"/>
      <c r="BH35" s="13" t="n">
        <f aca="false">IF('Cash Drivers'!BH$26,Engineering!BG35,Engineering!BI35)</f>
        <v>13000</v>
      </c>
      <c r="BI35" s="89" t="n">
        <v>13000</v>
      </c>
      <c r="BJ35" s="12"/>
      <c r="BK35" s="12" t="n">
        <f aca="false">IF('Cash Drivers'!BK$26,Engineering!BJ35,Engineering!BL35)</f>
        <v>13000</v>
      </c>
      <c r="BL35" s="90" t="n">
        <v>13000</v>
      </c>
      <c r="BM35" s="13"/>
      <c r="BN35" s="13" t="n">
        <f aca="false">IF('Cash Drivers'!BN$26,Engineering!BM35,Engineering!BO35)</f>
        <v>13000</v>
      </c>
      <c r="BO35" s="89" t="n">
        <v>13000</v>
      </c>
      <c r="BP35" s="12"/>
      <c r="BQ35" s="12" t="n">
        <f aca="false">IF('Cash Drivers'!BQ$26,Engineering!BP35,Engineering!BR35)</f>
        <v>13000</v>
      </c>
      <c r="BR35" s="90" t="n">
        <v>13000</v>
      </c>
      <c r="BS35" s="13"/>
      <c r="BT35" s="13" t="n">
        <f aca="false">IF('Cash Drivers'!BT$26,Engineering!BS35,Engineering!BU35)</f>
        <v>13000</v>
      </c>
      <c r="BU35" s="89" t="n">
        <v>13000</v>
      </c>
      <c r="BV35" s="12"/>
      <c r="BW35" s="12" t="n">
        <f aca="false">IF('Cash Drivers'!BW$26,Engineering!BV35,Engineering!BX35)</f>
        <v>13000</v>
      </c>
      <c r="BX35" s="90" t="n">
        <v>13000</v>
      </c>
      <c r="BY35" s="13"/>
      <c r="BZ35" s="13" t="n">
        <f aca="false">IF('Cash Drivers'!BZ$26,Engineering!BY35,Engineering!CA35)</f>
        <v>13000</v>
      </c>
      <c r="CA35" s="89" t="n">
        <v>13000</v>
      </c>
      <c r="CB35" s="12"/>
      <c r="CC35" s="12" t="n">
        <f aca="false">IF('Cash Drivers'!CC$26,Engineering!CB35,Engineering!CD35)</f>
        <v>13000</v>
      </c>
      <c r="CD35" s="90" t="n">
        <v>13000</v>
      </c>
      <c r="CE35" s="13"/>
      <c r="CF35" s="13" t="n">
        <f aca="false">IF('Cash Drivers'!CF$26,Engineering!CE35,Engineering!CG35)</f>
        <v>13000</v>
      </c>
      <c r="CG35" s="89" t="n">
        <v>13000</v>
      </c>
      <c r="CH35" s="12"/>
      <c r="CI35" s="12" t="n">
        <f aca="false">IF('Cash Drivers'!CI$26,Engineering!CH35,Engineering!CJ35)</f>
        <v>13000</v>
      </c>
      <c r="CJ35" s="90" t="n">
        <v>13000</v>
      </c>
      <c r="CK35" s="13"/>
      <c r="CL35" s="13" t="n">
        <f aca="false">IF('Cash Drivers'!CL$26,Engineering!CK35,Engineering!CM35)</f>
        <v>13000</v>
      </c>
      <c r="CM35" s="89" t="n">
        <v>13000</v>
      </c>
      <c r="CN35" s="12"/>
      <c r="CO35" s="12" t="n">
        <f aca="false">IF('Cash Drivers'!CO$26,Engineering!CN35,Engineering!CP35)</f>
        <v>13000</v>
      </c>
      <c r="CP35" s="90" t="n">
        <v>13000</v>
      </c>
      <c r="CQ35" s="13"/>
      <c r="CR35" s="13" t="n">
        <f aca="false">IF('Cash Drivers'!CR$26,Engineering!CQ35,Engineering!CS35)</f>
        <v>13000</v>
      </c>
      <c r="CS35" s="89" t="n">
        <v>13000</v>
      </c>
      <c r="CT35" s="12"/>
      <c r="CU35" s="12" t="n">
        <f aca="false">IF('Cash Drivers'!CU$26,Engineering!CT35,Engineering!CV35)</f>
        <v>13000</v>
      </c>
      <c r="CV35" s="90" t="n">
        <v>13000</v>
      </c>
      <c r="CW35" s="13"/>
      <c r="CX35" s="13" t="n">
        <f aca="false">IF('Cash Drivers'!CX$26,Engineering!CW35,Engineering!CY35)</f>
        <v>13000</v>
      </c>
      <c r="CY35" s="89" t="n">
        <v>13000</v>
      </c>
      <c r="CZ35" s="12"/>
      <c r="DA35" s="12" t="n">
        <f aca="false">IF('Cash Drivers'!DA$26,Engineering!CZ35,Engineering!DB35)</f>
        <v>13000</v>
      </c>
      <c r="DB35" s="90" t="n">
        <v>13000</v>
      </c>
      <c r="DC35" s="13"/>
      <c r="DD35" s="13" t="n">
        <f aca="false">IF('Cash Drivers'!DD$26,Engineering!DC35,Engineering!DE35)</f>
        <v>13000</v>
      </c>
      <c r="DE35" s="89" t="n">
        <v>13000</v>
      </c>
      <c r="DF35" s="12"/>
      <c r="DG35" s="12" t="n">
        <f aca="false">IF('Cash Drivers'!DG$26,Engineering!DF35,Engineering!DH35)</f>
        <v>13000</v>
      </c>
      <c r="DH35" s="90" t="n">
        <v>13000</v>
      </c>
      <c r="DI35" s="89" t="n">
        <v>13000</v>
      </c>
      <c r="DJ35" s="13" t="n">
        <f aca="false">IF('Cash Drivers'!DJ$26,Engineering!DI35,Engineering!DK35)</f>
        <v>13000</v>
      </c>
      <c r="DK35" s="89" t="n">
        <v>13000</v>
      </c>
      <c r="DL35" s="90" t="n">
        <v>13000</v>
      </c>
      <c r="DM35" s="12" t="n">
        <f aca="false">IF('Cash Drivers'!DM$26,Engineering!DL35,Engineering!DN35)</f>
        <v>13000</v>
      </c>
      <c r="DN35" s="90" t="n">
        <v>13000</v>
      </c>
    </row>
    <row r="36" customFormat="false" ht="15.75" hidden="false" customHeight="true" outlineLevel="0" collapsed="false">
      <c r="A36" s="5" t="s">
        <v>268</v>
      </c>
      <c r="B36" s="12" t="str">
        <f aca="false">IF(COUNT(AR36,AO36,AL36,AI36,AF36,AC36,Z36,W36,T36,Q36,N36,K36)=0,"",SUM(AR36,AO36,AL36,AI36,AF36,AC36,Z36,W36,T36,Q36,N36,K36))</f>
        <v/>
      </c>
      <c r="C36" s="12" t="n">
        <f aca="false">IF(COUNT(AS36,AP36,AM36,AJ36,AG36,AD36,AA36,X36,U36,R36,O36,L36)=0,"",SUM(AS36,AP36,AM36,AJ36,AG36,AD36,AA36,X36,U36,R36,O36,L36))</f>
        <v>156000</v>
      </c>
      <c r="D36" s="12" t="n">
        <f aca="false">IF(COUNT(AT36,AQ36,AN36,AK36,AH36,AE36,AB36,Y36,V36,S36,P36,M36)=0,"",SUM(AT36,AQ36,AN36,AK36,AH36,AE36,AB36,Y36,V36,S36,P36,M36))</f>
        <v>156000</v>
      </c>
      <c r="E36" s="13" t="str">
        <f aca="false">IF(COUNT(CB36,BY36,BV36,BS36,BP36,BM36,BJ36,BG36,BD36,BA36,AX36,AU36)=0,"",SUM(CB36,BY36,BV36,BS36,BP36,BM36,BJ36,BG36,BD36,BA36,AX36,AU36))</f>
        <v/>
      </c>
      <c r="F36" s="13" t="n">
        <f aca="false">IF(COUNT(CC36,BZ36,BW36,BT36,BQ36,BN36,BK36,BH36,BE36,BB36,AY36,AV36)=0,"",SUM(CC36,BZ36,BW36,BT36,BQ36,BN36,BK36,BH36,BE36,BB36,AY36,AV36))</f>
        <v>156000</v>
      </c>
      <c r="G36" s="13" t="n">
        <f aca="false">IF(COUNT(CD36,CA36,BX36,BU36,BR36,BO36,BL36,BI36,BF36,BC36,AZ36,AW36)=0,"",SUM(CD36,CA36,BX36,BU36,BR36,BO36,BL36,BI36,BF36,BC36,AZ36,AW36))</f>
        <v>156000</v>
      </c>
      <c r="H36" s="12" t="n">
        <f aca="false">IF(COUNT(DL36,DI36,DF36,DC36,CZ36,CW36,CT36,CQ36,CN36,CK36,CH36,CE36)=0,"",SUM(DL36,DI36,DF36,DC36,CZ36,CW36,CT36,CQ36,CN36,CK36,CH36,CE36))</f>
        <v>26000</v>
      </c>
      <c r="I36" s="12" t="n">
        <f aca="false">IF(COUNT(DM36,DJ36,DG36,DD36,DA36,CX36,CU36,CR36,CO36,CL36,CI36,CF36)=0,"",SUM(DM36,DJ36,DG36,DD36,DA36,CX36,CU36,CR36,CO36,CL36,CI36,CF36))</f>
        <v>156000</v>
      </c>
      <c r="J36" s="12" t="n">
        <f aca="false">IF(COUNT(DN36,DK36,DH36,DE36,DB36,CY36,CV36,CS36,CP36,CM36,CJ36,CG36)=0,"",SUM(DN36,DK36,DH36,DE36,DB36,CY36,CV36,CS36,CP36,CM36,CJ36,CG36))</f>
        <v>156000</v>
      </c>
      <c r="K36" s="13"/>
      <c r="L36" s="13" t="n">
        <f aca="false">IF('Cash Drivers'!L$26,Engineering!K36,Engineering!M36)</f>
        <v>13000</v>
      </c>
      <c r="M36" s="89" t="n">
        <v>13000</v>
      </c>
      <c r="N36" s="12"/>
      <c r="O36" s="12" t="n">
        <f aca="false">IF('Cash Drivers'!O$26,Engineering!N36,Engineering!P36)</f>
        <v>13000</v>
      </c>
      <c r="P36" s="90" t="n">
        <v>13000</v>
      </c>
      <c r="Q36" s="13"/>
      <c r="R36" s="13" t="n">
        <f aca="false">IF('Cash Drivers'!R$26,Engineering!Q36,Engineering!S36)</f>
        <v>13000</v>
      </c>
      <c r="S36" s="89" t="n">
        <v>13000</v>
      </c>
      <c r="T36" s="12"/>
      <c r="U36" s="12" t="n">
        <f aca="false">IF('Cash Drivers'!U$26,Engineering!T36,Engineering!V36)</f>
        <v>13000</v>
      </c>
      <c r="V36" s="90" t="n">
        <v>13000</v>
      </c>
      <c r="W36" s="13"/>
      <c r="X36" s="13" t="n">
        <f aca="false">IF('Cash Drivers'!X$26,Engineering!W36,Engineering!Y36)</f>
        <v>13000</v>
      </c>
      <c r="Y36" s="89" t="n">
        <v>13000</v>
      </c>
      <c r="Z36" s="12"/>
      <c r="AA36" s="12" t="n">
        <f aca="false">IF('Cash Drivers'!AA$26,Engineering!Z36,Engineering!AB36)</f>
        <v>13000</v>
      </c>
      <c r="AB36" s="90" t="n">
        <v>13000</v>
      </c>
      <c r="AC36" s="13"/>
      <c r="AD36" s="13" t="n">
        <f aca="false">IF('Cash Drivers'!AD$26,Engineering!AC36,Engineering!AE36)</f>
        <v>13000</v>
      </c>
      <c r="AE36" s="89" t="n">
        <v>13000</v>
      </c>
      <c r="AF36" s="12"/>
      <c r="AG36" s="12" t="n">
        <f aca="false">IF('Cash Drivers'!AG$26,Engineering!AF36,Engineering!AH36)</f>
        <v>13000</v>
      </c>
      <c r="AH36" s="90" t="n">
        <v>13000</v>
      </c>
      <c r="AI36" s="13"/>
      <c r="AJ36" s="13" t="n">
        <f aca="false">IF('Cash Drivers'!AJ$26,Engineering!AI36,Engineering!AK36)</f>
        <v>13000</v>
      </c>
      <c r="AK36" s="89" t="n">
        <v>13000</v>
      </c>
      <c r="AL36" s="12"/>
      <c r="AM36" s="12" t="n">
        <f aca="false">IF('Cash Drivers'!AM$26,Engineering!AL36,Engineering!AN36)</f>
        <v>13000</v>
      </c>
      <c r="AN36" s="90" t="n">
        <v>13000</v>
      </c>
      <c r="AO36" s="13"/>
      <c r="AP36" s="13" t="n">
        <f aca="false">IF('Cash Drivers'!AP$26,Engineering!AO36,Engineering!AQ36)</f>
        <v>13000</v>
      </c>
      <c r="AQ36" s="89" t="n">
        <v>13000</v>
      </c>
      <c r="AR36" s="12"/>
      <c r="AS36" s="12" t="n">
        <f aca="false">IF('Cash Drivers'!AS$26,Engineering!AR36,Engineering!AT36)</f>
        <v>13000</v>
      </c>
      <c r="AT36" s="90" t="n">
        <v>13000</v>
      </c>
      <c r="AU36" s="13"/>
      <c r="AV36" s="13" t="n">
        <f aca="false">IF('Cash Drivers'!AV$26,Engineering!AU36,Engineering!AW36)</f>
        <v>13000</v>
      </c>
      <c r="AW36" s="89" t="n">
        <v>13000</v>
      </c>
      <c r="AX36" s="12"/>
      <c r="AY36" s="12" t="n">
        <f aca="false">IF('Cash Drivers'!AY$26,Engineering!AX36,Engineering!AZ36)</f>
        <v>13000</v>
      </c>
      <c r="AZ36" s="90" t="n">
        <v>13000</v>
      </c>
      <c r="BA36" s="13"/>
      <c r="BB36" s="13" t="n">
        <f aca="false">IF('Cash Drivers'!BB$26,Engineering!BA36,Engineering!BC36)</f>
        <v>13000</v>
      </c>
      <c r="BC36" s="89" t="n">
        <v>13000</v>
      </c>
      <c r="BD36" s="12"/>
      <c r="BE36" s="12" t="n">
        <f aca="false">IF('Cash Drivers'!BE$26,Engineering!BD36,Engineering!BF36)</f>
        <v>13000</v>
      </c>
      <c r="BF36" s="90" t="n">
        <v>13000</v>
      </c>
      <c r="BG36" s="13"/>
      <c r="BH36" s="13" t="n">
        <f aca="false">IF('Cash Drivers'!BH$26,Engineering!BG36,Engineering!BI36)</f>
        <v>13000</v>
      </c>
      <c r="BI36" s="89" t="n">
        <v>13000</v>
      </c>
      <c r="BJ36" s="12"/>
      <c r="BK36" s="12" t="n">
        <f aca="false">IF('Cash Drivers'!BK$26,Engineering!BJ36,Engineering!BL36)</f>
        <v>13000</v>
      </c>
      <c r="BL36" s="90" t="n">
        <v>13000</v>
      </c>
      <c r="BM36" s="13"/>
      <c r="BN36" s="13" t="n">
        <f aca="false">IF('Cash Drivers'!BN$26,Engineering!BM36,Engineering!BO36)</f>
        <v>13000</v>
      </c>
      <c r="BO36" s="89" t="n">
        <v>13000</v>
      </c>
      <c r="BP36" s="12"/>
      <c r="BQ36" s="12" t="n">
        <f aca="false">IF('Cash Drivers'!BQ$26,Engineering!BP36,Engineering!BR36)</f>
        <v>13000</v>
      </c>
      <c r="BR36" s="90" t="n">
        <v>13000</v>
      </c>
      <c r="BS36" s="13"/>
      <c r="BT36" s="13" t="n">
        <f aca="false">IF('Cash Drivers'!BT$26,Engineering!BS36,Engineering!BU36)</f>
        <v>13000</v>
      </c>
      <c r="BU36" s="89" t="n">
        <v>13000</v>
      </c>
      <c r="BV36" s="12"/>
      <c r="BW36" s="12" t="n">
        <f aca="false">IF('Cash Drivers'!BW$26,Engineering!BV36,Engineering!BX36)</f>
        <v>13000</v>
      </c>
      <c r="BX36" s="90" t="n">
        <v>13000</v>
      </c>
      <c r="BY36" s="13"/>
      <c r="BZ36" s="13" t="n">
        <f aca="false">IF('Cash Drivers'!BZ$26,Engineering!BY36,Engineering!CA36)</f>
        <v>13000</v>
      </c>
      <c r="CA36" s="89" t="n">
        <v>13000</v>
      </c>
      <c r="CB36" s="12"/>
      <c r="CC36" s="12" t="n">
        <f aca="false">IF('Cash Drivers'!CC$26,Engineering!CB36,Engineering!CD36)</f>
        <v>13000</v>
      </c>
      <c r="CD36" s="90" t="n">
        <v>13000</v>
      </c>
      <c r="CE36" s="13"/>
      <c r="CF36" s="13" t="n">
        <f aca="false">IF('Cash Drivers'!CF$26,Engineering!CE36,Engineering!CG36)</f>
        <v>13000</v>
      </c>
      <c r="CG36" s="89" t="n">
        <v>13000</v>
      </c>
      <c r="CH36" s="12"/>
      <c r="CI36" s="12" t="n">
        <f aca="false">IF('Cash Drivers'!CI$26,Engineering!CH36,Engineering!CJ36)</f>
        <v>13000</v>
      </c>
      <c r="CJ36" s="90" t="n">
        <v>13000</v>
      </c>
      <c r="CK36" s="13"/>
      <c r="CL36" s="13" t="n">
        <f aca="false">IF('Cash Drivers'!CL$26,Engineering!CK36,Engineering!CM36)</f>
        <v>13000</v>
      </c>
      <c r="CM36" s="89" t="n">
        <v>13000</v>
      </c>
      <c r="CN36" s="12"/>
      <c r="CO36" s="12" t="n">
        <f aca="false">IF('Cash Drivers'!CO$26,Engineering!CN36,Engineering!CP36)</f>
        <v>13000</v>
      </c>
      <c r="CP36" s="90" t="n">
        <v>13000</v>
      </c>
      <c r="CQ36" s="13"/>
      <c r="CR36" s="13" t="n">
        <f aca="false">IF('Cash Drivers'!CR$26,Engineering!CQ36,Engineering!CS36)</f>
        <v>13000</v>
      </c>
      <c r="CS36" s="89" t="n">
        <v>13000</v>
      </c>
      <c r="CT36" s="12"/>
      <c r="CU36" s="12" t="n">
        <f aca="false">IF('Cash Drivers'!CU$26,Engineering!CT36,Engineering!CV36)</f>
        <v>13000</v>
      </c>
      <c r="CV36" s="90" t="n">
        <v>13000</v>
      </c>
      <c r="CW36" s="13"/>
      <c r="CX36" s="13" t="n">
        <f aca="false">IF('Cash Drivers'!CX$26,Engineering!CW36,Engineering!CY36)</f>
        <v>13000</v>
      </c>
      <c r="CY36" s="89" t="n">
        <v>13000</v>
      </c>
      <c r="CZ36" s="12"/>
      <c r="DA36" s="12" t="n">
        <f aca="false">IF('Cash Drivers'!DA$26,Engineering!CZ36,Engineering!DB36)</f>
        <v>13000</v>
      </c>
      <c r="DB36" s="90" t="n">
        <v>13000</v>
      </c>
      <c r="DC36" s="13"/>
      <c r="DD36" s="13" t="n">
        <f aca="false">IF('Cash Drivers'!DD$26,Engineering!DC36,Engineering!DE36)</f>
        <v>13000</v>
      </c>
      <c r="DE36" s="89" t="n">
        <v>13000</v>
      </c>
      <c r="DF36" s="12"/>
      <c r="DG36" s="12" t="n">
        <f aca="false">IF('Cash Drivers'!DG$26,Engineering!DF36,Engineering!DH36)</f>
        <v>13000</v>
      </c>
      <c r="DH36" s="90" t="n">
        <v>13000</v>
      </c>
      <c r="DI36" s="89" t="n">
        <v>13000</v>
      </c>
      <c r="DJ36" s="13" t="n">
        <f aca="false">IF('Cash Drivers'!DJ$26,Engineering!DI36,Engineering!DK36)</f>
        <v>13000</v>
      </c>
      <c r="DK36" s="89" t="n">
        <v>13000</v>
      </c>
      <c r="DL36" s="90" t="n">
        <v>13000</v>
      </c>
      <c r="DM36" s="12" t="n">
        <f aca="false">IF('Cash Drivers'!DM$26,Engineering!DL36,Engineering!DN36)</f>
        <v>13000</v>
      </c>
      <c r="DN36" s="90" t="n">
        <v>13000</v>
      </c>
    </row>
    <row r="37" customFormat="false" ht="15.75" hidden="false" customHeight="true" outlineLevel="0" collapsed="false">
      <c r="A37" s="5" t="s">
        <v>269</v>
      </c>
      <c r="B37" s="12" t="str">
        <f aca="false">IF(COUNT(AR37,AO37,AL37,AI37,AF37,AC37,Z37,W37,T37,Q37,N37,K37)=0,"",SUM(AR37,AO37,AL37,AI37,AF37,AC37,Z37,W37,T37,Q37,N37,K37))</f>
        <v/>
      </c>
      <c r="C37" s="12" t="n">
        <f aca="false">IF(COUNT(AS37,AP37,AM37,AJ37,AG37,AD37,AA37,X37,U37,R37,O37,L37)=0,"",SUM(AS37,AP37,AM37,AJ37,AG37,AD37,AA37,X37,U37,R37,O37,L37))</f>
        <v>144000</v>
      </c>
      <c r="D37" s="12" t="n">
        <f aca="false">IF(COUNT(AT37,AQ37,AN37,AK37,AH37,AE37,AB37,Y37,V37,S37,P37,M37)=0,"",SUM(AT37,AQ37,AN37,AK37,AH37,AE37,AB37,Y37,V37,S37,P37,M37))</f>
        <v>144000</v>
      </c>
      <c r="E37" s="13" t="str">
        <f aca="false">IF(COUNT(CB37,BY37,BV37,BS37,BP37,BM37,BJ37,BG37,BD37,BA37,AX37,AU37)=0,"",SUM(CB37,BY37,BV37,BS37,BP37,BM37,BJ37,BG37,BD37,BA37,AX37,AU37))</f>
        <v/>
      </c>
      <c r="F37" s="13" t="n">
        <f aca="false">IF(COUNT(CC37,BZ37,BW37,BT37,BQ37,BN37,BK37,BH37,BE37,BB37,AY37,AV37)=0,"",SUM(CC37,BZ37,BW37,BT37,BQ37,BN37,BK37,BH37,BE37,BB37,AY37,AV37))</f>
        <v>144000</v>
      </c>
      <c r="G37" s="13" t="n">
        <f aca="false">IF(COUNT(CD37,CA37,BX37,BU37,BR37,BO37,BL37,BI37,BF37,BC37,AZ37,AW37)=0,"",SUM(CD37,CA37,BX37,BU37,BR37,BO37,BL37,BI37,BF37,BC37,AZ37,AW37))</f>
        <v>144000</v>
      </c>
      <c r="H37" s="12" t="n">
        <f aca="false">IF(COUNT(DL37,DI37,DF37,DC37,CZ37,CW37,CT37,CQ37,CN37,CK37,CH37,CE37)=0,"",SUM(DL37,DI37,DF37,DC37,CZ37,CW37,CT37,CQ37,CN37,CK37,CH37,CE37))</f>
        <v>24000</v>
      </c>
      <c r="I37" s="12" t="n">
        <f aca="false">IF(COUNT(DM37,DJ37,DG37,DD37,DA37,CX37,CU37,CR37,CO37,CL37,CI37,CF37)=0,"",SUM(DM37,DJ37,DG37,DD37,DA37,CX37,CU37,CR37,CO37,CL37,CI37,CF37))</f>
        <v>144000</v>
      </c>
      <c r="J37" s="12" t="n">
        <f aca="false">IF(COUNT(DN37,DK37,DH37,DE37,DB37,CY37,CV37,CS37,CP37,CM37,CJ37,CG37)=0,"",SUM(DN37,DK37,DH37,DE37,DB37,CY37,CV37,CS37,CP37,CM37,CJ37,CG37))</f>
        <v>144000</v>
      </c>
      <c r="K37" s="13"/>
      <c r="L37" s="13" t="n">
        <f aca="false">IF('Cash Drivers'!L$26,Engineering!K37,Engineering!M37)</f>
        <v>12000</v>
      </c>
      <c r="M37" s="89" t="n">
        <v>12000</v>
      </c>
      <c r="N37" s="12"/>
      <c r="O37" s="12" t="n">
        <f aca="false">IF('Cash Drivers'!O$26,Engineering!N37,Engineering!P37)</f>
        <v>12000</v>
      </c>
      <c r="P37" s="90" t="n">
        <v>12000</v>
      </c>
      <c r="Q37" s="13"/>
      <c r="R37" s="13" t="n">
        <f aca="false">IF('Cash Drivers'!R$26,Engineering!Q37,Engineering!S37)</f>
        <v>12000</v>
      </c>
      <c r="S37" s="89" t="n">
        <v>12000</v>
      </c>
      <c r="T37" s="12"/>
      <c r="U37" s="12" t="n">
        <f aca="false">IF('Cash Drivers'!U$26,Engineering!T37,Engineering!V37)</f>
        <v>12000</v>
      </c>
      <c r="V37" s="90" t="n">
        <v>12000</v>
      </c>
      <c r="W37" s="13"/>
      <c r="X37" s="13" t="n">
        <f aca="false">IF('Cash Drivers'!X$26,Engineering!W37,Engineering!Y37)</f>
        <v>12000</v>
      </c>
      <c r="Y37" s="89" t="n">
        <v>12000</v>
      </c>
      <c r="Z37" s="12"/>
      <c r="AA37" s="12" t="n">
        <f aca="false">IF('Cash Drivers'!AA$26,Engineering!Z37,Engineering!AB37)</f>
        <v>12000</v>
      </c>
      <c r="AB37" s="90" t="n">
        <v>12000</v>
      </c>
      <c r="AC37" s="13"/>
      <c r="AD37" s="13" t="n">
        <f aca="false">IF('Cash Drivers'!AD$26,Engineering!AC37,Engineering!AE37)</f>
        <v>12000</v>
      </c>
      <c r="AE37" s="89" t="n">
        <v>12000</v>
      </c>
      <c r="AF37" s="12"/>
      <c r="AG37" s="12" t="n">
        <f aca="false">IF('Cash Drivers'!AG$26,Engineering!AF37,Engineering!AH37)</f>
        <v>12000</v>
      </c>
      <c r="AH37" s="90" t="n">
        <v>12000</v>
      </c>
      <c r="AI37" s="13"/>
      <c r="AJ37" s="13" t="n">
        <f aca="false">IF('Cash Drivers'!AJ$26,Engineering!AI37,Engineering!AK37)</f>
        <v>12000</v>
      </c>
      <c r="AK37" s="89" t="n">
        <v>12000</v>
      </c>
      <c r="AL37" s="12"/>
      <c r="AM37" s="12" t="n">
        <f aca="false">IF('Cash Drivers'!AM$26,Engineering!AL37,Engineering!AN37)</f>
        <v>12000</v>
      </c>
      <c r="AN37" s="90" t="n">
        <v>12000</v>
      </c>
      <c r="AO37" s="13"/>
      <c r="AP37" s="13" t="n">
        <f aca="false">IF('Cash Drivers'!AP$26,Engineering!AO37,Engineering!AQ37)</f>
        <v>12000</v>
      </c>
      <c r="AQ37" s="89" t="n">
        <v>12000</v>
      </c>
      <c r="AR37" s="12"/>
      <c r="AS37" s="12" t="n">
        <f aca="false">IF('Cash Drivers'!AS$26,Engineering!AR37,Engineering!AT37)</f>
        <v>12000</v>
      </c>
      <c r="AT37" s="90" t="n">
        <v>12000</v>
      </c>
      <c r="AU37" s="13"/>
      <c r="AV37" s="13" t="n">
        <f aca="false">IF('Cash Drivers'!AV$26,Engineering!AU37,Engineering!AW37)</f>
        <v>12000</v>
      </c>
      <c r="AW37" s="89" t="n">
        <v>12000</v>
      </c>
      <c r="AX37" s="12"/>
      <c r="AY37" s="12" t="n">
        <f aca="false">IF('Cash Drivers'!AY$26,Engineering!AX37,Engineering!AZ37)</f>
        <v>12000</v>
      </c>
      <c r="AZ37" s="90" t="n">
        <v>12000</v>
      </c>
      <c r="BA37" s="13"/>
      <c r="BB37" s="13" t="n">
        <f aca="false">IF('Cash Drivers'!BB$26,Engineering!BA37,Engineering!BC37)</f>
        <v>12000</v>
      </c>
      <c r="BC37" s="89" t="n">
        <v>12000</v>
      </c>
      <c r="BD37" s="12"/>
      <c r="BE37" s="12" t="n">
        <f aca="false">IF('Cash Drivers'!BE$26,Engineering!BD37,Engineering!BF37)</f>
        <v>12000</v>
      </c>
      <c r="BF37" s="90" t="n">
        <v>12000</v>
      </c>
      <c r="BG37" s="13"/>
      <c r="BH37" s="13" t="n">
        <f aca="false">IF('Cash Drivers'!BH$26,Engineering!BG37,Engineering!BI37)</f>
        <v>12000</v>
      </c>
      <c r="BI37" s="89" t="n">
        <v>12000</v>
      </c>
      <c r="BJ37" s="12"/>
      <c r="BK37" s="12" t="n">
        <f aca="false">IF('Cash Drivers'!BK$26,Engineering!BJ37,Engineering!BL37)</f>
        <v>12000</v>
      </c>
      <c r="BL37" s="90" t="n">
        <v>12000</v>
      </c>
      <c r="BM37" s="13"/>
      <c r="BN37" s="13" t="n">
        <f aca="false">IF('Cash Drivers'!BN$26,Engineering!BM37,Engineering!BO37)</f>
        <v>12000</v>
      </c>
      <c r="BO37" s="89" t="n">
        <v>12000</v>
      </c>
      <c r="BP37" s="12"/>
      <c r="BQ37" s="12" t="n">
        <f aca="false">IF('Cash Drivers'!BQ$26,Engineering!BP37,Engineering!BR37)</f>
        <v>12000</v>
      </c>
      <c r="BR37" s="90" t="n">
        <v>12000</v>
      </c>
      <c r="BS37" s="13"/>
      <c r="BT37" s="13" t="n">
        <f aca="false">IF('Cash Drivers'!BT$26,Engineering!BS37,Engineering!BU37)</f>
        <v>12000</v>
      </c>
      <c r="BU37" s="89" t="n">
        <v>12000</v>
      </c>
      <c r="BV37" s="12"/>
      <c r="BW37" s="12" t="n">
        <f aca="false">IF('Cash Drivers'!BW$26,Engineering!BV37,Engineering!BX37)</f>
        <v>12000</v>
      </c>
      <c r="BX37" s="90" t="n">
        <v>12000</v>
      </c>
      <c r="BY37" s="13"/>
      <c r="BZ37" s="13" t="n">
        <f aca="false">IF('Cash Drivers'!BZ$26,Engineering!BY37,Engineering!CA37)</f>
        <v>12000</v>
      </c>
      <c r="CA37" s="89" t="n">
        <v>12000</v>
      </c>
      <c r="CB37" s="12"/>
      <c r="CC37" s="12" t="n">
        <f aca="false">IF('Cash Drivers'!CC$26,Engineering!CB37,Engineering!CD37)</f>
        <v>12000</v>
      </c>
      <c r="CD37" s="90" t="n">
        <v>12000</v>
      </c>
      <c r="CE37" s="13"/>
      <c r="CF37" s="13" t="n">
        <f aca="false">IF('Cash Drivers'!CF$26,Engineering!CE37,Engineering!CG37)</f>
        <v>12000</v>
      </c>
      <c r="CG37" s="89" t="n">
        <v>12000</v>
      </c>
      <c r="CH37" s="12"/>
      <c r="CI37" s="12" t="n">
        <f aca="false">IF('Cash Drivers'!CI$26,Engineering!CH37,Engineering!CJ37)</f>
        <v>12000</v>
      </c>
      <c r="CJ37" s="90" t="n">
        <v>12000</v>
      </c>
      <c r="CK37" s="13"/>
      <c r="CL37" s="13" t="n">
        <f aca="false">IF('Cash Drivers'!CL$26,Engineering!CK37,Engineering!CM37)</f>
        <v>12000</v>
      </c>
      <c r="CM37" s="89" t="n">
        <v>12000</v>
      </c>
      <c r="CN37" s="12"/>
      <c r="CO37" s="12" t="n">
        <f aca="false">IF('Cash Drivers'!CO$26,Engineering!CN37,Engineering!CP37)</f>
        <v>12000</v>
      </c>
      <c r="CP37" s="90" t="n">
        <v>12000</v>
      </c>
      <c r="CQ37" s="13"/>
      <c r="CR37" s="13" t="n">
        <f aca="false">IF('Cash Drivers'!CR$26,Engineering!CQ37,Engineering!CS37)</f>
        <v>12000</v>
      </c>
      <c r="CS37" s="89" t="n">
        <v>12000</v>
      </c>
      <c r="CT37" s="12"/>
      <c r="CU37" s="12" t="n">
        <f aca="false">IF('Cash Drivers'!CU$26,Engineering!CT37,Engineering!CV37)</f>
        <v>12000</v>
      </c>
      <c r="CV37" s="90" t="n">
        <v>12000</v>
      </c>
      <c r="CW37" s="13"/>
      <c r="CX37" s="13" t="n">
        <f aca="false">IF('Cash Drivers'!CX$26,Engineering!CW37,Engineering!CY37)</f>
        <v>12000</v>
      </c>
      <c r="CY37" s="89" t="n">
        <v>12000</v>
      </c>
      <c r="CZ37" s="12"/>
      <c r="DA37" s="12" t="n">
        <f aca="false">IF('Cash Drivers'!DA$26,Engineering!CZ37,Engineering!DB37)</f>
        <v>12000</v>
      </c>
      <c r="DB37" s="90" t="n">
        <v>12000</v>
      </c>
      <c r="DC37" s="13"/>
      <c r="DD37" s="13" t="n">
        <f aca="false">IF('Cash Drivers'!DD$26,Engineering!DC37,Engineering!DE37)</f>
        <v>12000</v>
      </c>
      <c r="DE37" s="89" t="n">
        <v>12000</v>
      </c>
      <c r="DF37" s="12"/>
      <c r="DG37" s="12" t="n">
        <f aca="false">IF('Cash Drivers'!DG$26,Engineering!DF37,Engineering!DH37)</f>
        <v>12000</v>
      </c>
      <c r="DH37" s="90" t="n">
        <v>12000</v>
      </c>
      <c r="DI37" s="89" t="n">
        <v>12000</v>
      </c>
      <c r="DJ37" s="13" t="n">
        <f aca="false">IF('Cash Drivers'!DJ$26,Engineering!DI37,Engineering!DK37)</f>
        <v>12000</v>
      </c>
      <c r="DK37" s="89" t="n">
        <v>12000</v>
      </c>
      <c r="DL37" s="90" t="n">
        <v>12000</v>
      </c>
      <c r="DM37" s="12" t="n">
        <f aca="false">IF('Cash Drivers'!DM$26,Engineering!DL37,Engineering!DN37)</f>
        <v>12000</v>
      </c>
      <c r="DN37" s="90" t="n">
        <v>12000</v>
      </c>
    </row>
    <row r="38" customFormat="false" ht="15.75" hidden="false" customHeight="true" outlineLevel="0" collapsed="false">
      <c r="A38" s="5" t="s">
        <v>270</v>
      </c>
      <c r="B38" s="12" t="str">
        <f aca="false">IF(COUNT(AR38,AO38,AL38,AI38,AF38,AC38,Z38,W38,T38,Q38,N38,K38)=0,"",SUM(AR38,AO38,AL38,AI38,AF38,AC38,Z38,W38,T38,Q38,N38,K38))</f>
        <v/>
      </c>
      <c r="C38" s="12" t="n">
        <f aca="false">IF(COUNT(AS38,AP38,AM38,AJ38,AG38,AD38,AA38,X38,U38,R38,O38,L38)=0,"",SUM(AS38,AP38,AM38,AJ38,AG38,AD38,AA38,X38,U38,R38,O38,L38))</f>
        <v>168000</v>
      </c>
      <c r="D38" s="12" t="n">
        <f aca="false">IF(COUNT(AT38,AQ38,AN38,AK38,AH38,AE38,AB38,Y38,V38,S38,P38,M38)=0,"",SUM(AT38,AQ38,AN38,AK38,AH38,AE38,AB38,Y38,V38,S38,P38,M38))</f>
        <v>168000</v>
      </c>
      <c r="E38" s="13" t="str">
        <f aca="false">IF(COUNT(CB38,BY38,BV38,BS38,BP38,BM38,BJ38,BG38,BD38,BA38,AX38,AU38)=0,"",SUM(CB38,BY38,BV38,BS38,BP38,BM38,BJ38,BG38,BD38,BA38,AX38,AU38))</f>
        <v/>
      </c>
      <c r="F38" s="13" t="n">
        <f aca="false">IF(COUNT(CC38,BZ38,BW38,BT38,BQ38,BN38,BK38,BH38,BE38,BB38,AY38,AV38)=0,"",SUM(CC38,BZ38,BW38,BT38,BQ38,BN38,BK38,BH38,BE38,BB38,AY38,AV38))</f>
        <v>168000</v>
      </c>
      <c r="G38" s="13" t="n">
        <f aca="false">IF(COUNT(CD38,CA38,BX38,BU38,BR38,BO38,BL38,BI38,BF38,BC38,AZ38,AW38)=0,"",SUM(CD38,CA38,BX38,BU38,BR38,BO38,BL38,BI38,BF38,BC38,AZ38,AW38))</f>
        <v>168000</v>
      </c>
      <c r="H38" s="12" t="n">
        <f aca="false">IF(COUNT(DL38,DI38,DF38,DC38,CZ38,CW38,CT38,CQ38,CN38,CK38,CH38,CE38)=0,"",SUM(DL38,DI38,DF38,DC38,CZ38,CW38,CT38,CQ38,CN38,CK38,CH38,CE38))</f>
        <v>28000</v>
      </c>
      <c r="I38" s="12" t="n">
        <f aca="false">IF(COUNT(DM38,DJ38,DG38,DD38,DA38,CX38,CU38,CR38,CO38,CL38,CI38,CF38)=0,"",SUM(DM38,DJ38,DG38,DD38,DA38,CX38,CU38,CR38,CO38,CL38,CI38,CF38))</f>
        <v>168000</v>
      </c>
      <c r="J38" s="12" t="n">
        <f aca="false">IF(COUNT(DN38,DK38,DH38,DE38,DB38,CY38,CV38,CS38,CP38,CM38,CJ38,CG38)=0,"",SUM(DN38,DK38,DH38,DE38,DB38,CY38,CV38,CS38,CP38,CM38,CJ38,CG38))</f>
        <v>168000</v>
      </c>
      <c r="K38" s="13"/>
      <c r="L38" s="13" t="n">
        <f aca="false">IF('Cash Drivers'!L$26,Engineering!K38,Engineering!M38)</f>
        <v>14000</v>
      </c>
      <c r="M38" s="89" t="n">
        <v>14000</v>
      </c>
      <c r="N38" s="12"/>
      <c r="O38" s="12" t="n">
        <f aca="false">IF('Cash Drivers'!O$26,Engineering!N38,Engineering!P38)</f>
        <v>14000</v>
      </c>
      <c r="P38" s="90" t="n">
        <v>14000</v>
      </c>
      <c r="Q38" s="13"/>
      <c r="R38" s="13" t="n">
        <f aca="false">IF('Cash Drivers'!R$26,Engineering!Q38,Engineering!S38)</f>
        <v>14000</v>
      </c>
      <c r="S38" s="89" t="n">
        <v>14000</v>
      </c>
      <c r="T38" s="12"/>
      <c r="U38" s="12" t="n">
        <f aca="false">IF('Cash Drivers'!U$26,Engineering!T38,Engineering!V38)</f>
        <v>14000</v>
      </c>
      <c r="V38" s="90" t="n">
        <v>14000</v>
      </c>
      <c r="W38" s="13"/>
      <c r="X38" s="13" t="n">
        <f aca="false">IF('Cash Drivers'!X$26,Engineering!W38,Engineering!Y38)</f>
        <v>14000</v>
      </c>
      <c r="Y38" s="89" t="n">
        <v>14000</v>
      </c>
      <c r="Z38" s="12"/>
      <c r="AA38" s="12" t="n">
        <f aca="false">IF('Cash Drivers'!AA$26,Engineering!Z38,Engineering!AB38)</f>
        <v>14000</v>
      </c>
      <c r="AB38" s="90" t="n">
        <v>14000</v>
      </c>
      <c r="AC38" s="13"/>
      <c r="AD38" s="13" t="n">
        <f aca="false">IF('Cash Drivers'!AD$26,Engineering!AC38,Engineering!AE38)</f>
        <v>14000</v>
      </c>
      <c r="AE38" s="89" t="n">
        <v>14000</v>
      </c>
      <c r="AF38" s="12"/>
      <c r="AG38" s="12" t="n">
        <f aca="false">IF('Cash Drivers'!AG$26,Engineering!AF38,Engineering!AH38)</f>
        <v>14000</v>
      </c>
      <c r="AH38" s="90" t="n">
        <v>14000</v>
      </c>
      <c r="AI38" s="13"/>
      <c r="AJ38" s="13" t="n">
        <f aca="false">IF('Cash Drivers'!AJ$26,Engineering!AI38,Engineering!AK38)</f>
        <v>14000</v>
      </c>
      <c r="AK38" s="89" t="n">
        <v>14000</v>
      </c>
      <c r="AL38" s="12"/>
      <c r="AM38" s="12" t="n">
        <f aca="false">IF('Cash Drivers'!AM$26,Engineering!AL38,Engineering!AN38)</f>
        <v>14000</v>
      </c>
      <c r="AN38" s="90" t="n">
        <v>14000</v>
      </c>
      <c r="AO38" s="13"/>
      <c r="AP38" s="13" t="n">
        <f aca="false">IF('Cash Drivers'!AP$26,Engineering!AO38,Engineering!AQ38)</f>
        <v>14000</v>
      </c>
      <c r="AQ38" s="89" t="n">
        <v>14000</v>
      </c>
      <c r="AR38" s="12"/>
      <c r="AS38" s="12" t="n">
        <f aca="false">IF('Cash Drivers'!AS$26,Engineering!AR38,Engineering!AT38)</f>
        <v>14000</v>
      </c>
      <c r="AT38" s="90" t="n">
        <v>14000</v>
      </c>
      <c r="AU38" s="13"/>
      <c r="AV38" s="13" t="n">
        <f aca="false">IF('Cash Drivers'!AV$26,Engineering!AU38,Engineering!AW38)</f>
        <v>14000</v>
      </c>
      <c r="AW38" s="89" t="n">
        <v>14000</v>
      </c>
      <c r="AX38" s="12"/>
      <c r="AY38" s="12" t="n">
        <f aca="false">IF('Cash Drivers'!AY$26,Engineering!AX38,Engineering!AZ38)</f>
        <v>14000</v>
      </c>
      <c r="AZ38" s="90" t="n">
        <v>14000</v>
      </c>
      <c r="BA38" s="13"/>
      <c r="BB38" s="13" t="n">
        <f aca="false">IF('Cash Drivers'!BB$26,Engineering!BA38,Engineering!BC38)</f>
        <v>14000</v>
      </c>
      <c r="BC38" s="89" t="n">
        <v>14000</v>
      </c>
      <c r="BD38" s="12"/>
      <c r="BE38" s="12" t="n">
        <f aca="false">IF('Cash Drivers'!BE$26,Engineering!BD38,Engineering!BF38)</f>
        <v>14000</v>
      </c>
      <c r="BF38" s="90" t="n">
        <v>14000</v>
      </c>
      <c r="BG38" s="13"/>
      <c r="BH38" s="13" t="n">
        <f aca="false">IF('Cash Drivers'!BH$26,Engineering!BG38,Engineering!BI38)</f>
        <v>14000</v>
      </c>
      <c r="BI38" s="89" t="n">
        <v>14000</v>
      </c>
      <c r="BJ38" s="12"/>
      <c r="BK38" s="12" t="n">
        <f aca="false">IF('Cash Drivers'!BK$26,Engineering!BJ38,Engineering!BL38)</f>
        <v>14000</v>
      </c>
      <c r="BL38" s="90" t="n">
        <v>14000</v>
      </c>
      <c r="BM38" s="13"/>
      <c r="BN38" s="13" t="n">
        <f aca="false">IF('Cash Drivers'!BN$26,Engineering!BM38,Engineering!BO38)</f>
        <v>14000</v>
      </c>
      <c r="BO38" s="89" t="n">
        <v>14000</v>
      </c>
      <c r="BP38" s="12"/>
      <c r="BQ38" s="12" t="n">
        <f aca="false">IF('Cash Drivers'!BQ$26,Engineering!BP38,Engineering!BR38)</f>
        <v>14000</v>
      </c>
      <c r="BR38" s="90" t="n">
        <v>14000</v>
      </c>
      <c r="BS38" s="13"/>
      <c r="BT38" s="13" t="n">
        <f aca="false">IF('Cash Drivers'!BT$26,Engineering!BS38,Engineering!BU38)</f>
        <v>14000</v>
      </c>
      <c r="BU38" s="89" t="n">
        <v>14000</v>
      </c>
      <c r="BV38" s="12"/>
      <c r="BW38" s="12" t="n">
        <f aca="false">IF('Cash Drivers'!BW$26,Engineering!BV38,Engineering!BX38)</f>
        <v>14000</v>
      </c>
      <c r="BX38" s="90" t="n">
        <v>14000</v>
      </c>
      <c r="BY38" s="13"/>
      <c r="BZ38" s="13" t="n">
        <f aca="false">IF('Cash Drivers'!BZ$26,Engineering!BY38,Engineering!CA38)</f>
        <v>14000</v>
      </c>
      <c r="CA38" s="89" t="n">
        <v>14000</v>
      </c>
      <c r="CB38" s="12"/>
      <c r="CC38" s="12" t="n">
        <f aca="false">IF('Cash Drivers'!CC$26,Engineering!CB38,Engineering!CD38)</f>
        <v>14000</v>
      </c>
      <c r="CD38" s="90" t="n">
        <v>14000</v>
      </c>
      <c r="CE38" s="13"/>
      <c r="CF38" s="13" t="n">
        <f aca="false">IF('Cash Drivers'!CF$26,Engineering!CE38,Engineering!CG38)</f>
        <v>14000</v>
      </c>
      <c r="CG38" s="89" t="n">
        <v>14000</v>
      </c>
      <c r="CH38" s="12"/>
      <c r="CI38" s="12" t="n">
        <f aca="false">IF('Cash Drivers'!CI$26,Engineering!CH38,Engineering!CJ38)</f>
        <v>14000</v>
      </c>
      <c r="CJ38" s="90" t="n">
        <v>14000</v>
      </c>
      <c r="CK38" s="13"/>
      <c r="CL38" s="13" t="n">
        <f aca="false">IF('Cash Drivers'!CL$26,Engineering!CK38,Engineering!CM38)</f>
        <v>14000</v>
      </c>
      <c r="CM38" s="89" t="n">
        <v>14000</v>
      </c>
      <c r="CN38" s="12"/>
      <c r="CO38" s="12" t="n">
        <f aca="false">IF('Cash Drivers'!CO$26,Engineering!CN38,Engineering!CP38)</f>
        <v>14000</v>
      </c>
      <c r="CP38" s="90" t="n">
        <v>14000</v>
      </c>
      <c r="CQ38" s="13"/>
      <c r="CR38" s="13" t="n">
        <f aca="false">IF('Cash Drivers'!CR$26,Engineering!CQ38,Engineering!CS38)</f>
        <v>14000</v>
      </c>
      <c r="CS38" s="89" t="n">
        <v>14000</v>
      </c>
      <c r="CT38" s="12"/>
      <c r="CU38" s="12" t="n">
        <f aca="false">IF('Cash Drivers'!CU$26,Engineering!CT38,Engineering!CV38)</f>
        <v>14000</v>
      </c>
      <c r="CV38" s="90" t="n">
        <v>14000</v>
      </c>
      <c r="CW38" s="13"/>
      <c r="CX38" s="13" t="n">
        <f aca="false">IF('Cash Drivers'!CX$26,Engineering!CW38,Engineering!CY38)</f>
        <v>14000</v>
      </c>
      <c r="CY38" s="89" t="n">
        <v>14000</v>
      </c>
      <c r="CZ38" s="12"/>
      <c r="DA38" s="12" t="n">
        <f aca="false">IF('Cash Drivers'!DA$26,Engineering!CZ38,Engineering!DB38)</f>
        <v>14000</v>
      </c>
      <c r="DB38" s="90" t="n">
        <v>14000</v>
      </c>
      <c r="DC38" s="13"/>
      <c r="DD38" s="13" t="n">
        <f aca="false">IF('Cash Drivers'!DD$26,Engineering!DC38,Engineering!DE38)</f>
        <v>14000</v>
      </c>
      <c r="DE38" s="89" t="n">
        <v>14000</v>
      </c>
      <c r="DF38" s="12"/>
      <c r="DG38" s="12" t="n">
        <f aca="false">IF('Cash Drivers'!DG$26,Engineering!DF38,Engineering!DH38)</f>
        <v>14000</v>
      </c>
      <c r="DH38" s="90" t="n">
        <v>14000</v>
      </c>
      <c r="DI38" s="89" t="n">
        <v>14000</v>
      </c>
      <c r="DJ38" s="13" t="n">
        <f aca="false">IF('Cash Drivers'!DJ$26,Engineering!DI38,Engineering!DK38)</f>
        <v>14000</v>
      </c>
      <c r="DK38" s="89" t="n">
        <v>14000</v>
      </c>
      <c r="DL38" s="90" t="n">
        <v>14000</v>
      </c>
      <c r="DM38" s="12" t="n">
        <f aca="false">IF('Cash Drivers'!DM$26,Engineering!DL38,Engineering!DN38)</f>
        <v>14000</v>
      </c>
      <c r="DN38" s="90" t="n">
        <v>14000</v>
      </c>
    </row>
    <row r="39" customFormat="false" ht="15.75" hidden="false" customHeight="true" outlineLevel="0" collapsed="false">
      <c r="A39" s="5" t="s">
        <v>271</v>
      </c>
      <c r="B39" s="12" t="str">
        <f aca="false">IF(COUNT(AR39,AO39,AL39,AI39,AF39,AC39,Z39,W39,T39,Q39,N39,K39)=0,"",SUM(AR39,AO39,AL39,AI39,AF39,AC39,Z39,W39,T39,Q39,N39,K39))</f>
        <v/>
      </c>
      <c r="C39" s="12" t="n">
        <f aca="false">IF(COUNT(AS39,AP39,AM39,AJ39,AG39,AD39,AA39,X39,U39,R39,O39,L39)=0,"",SUM(AS39,AP39,AM39,AJ39,AG39,AD39,AA39,X39,U39,R39,O39,L39))</f>
        <v>168000</v>
      </c>
      <c r="D39" s="12" t="n">
        <f aca="false">IF(COUNT(AT39,AQ39,AN39,AK39,AH39,AE39,AB39,Y39,V39,S39,P39,M39)=0,"",SUM(AT39,AQ39,AN39,AK39,AH39,AE39,AB39,Y39,V39,S39,P39,M39))</f>
        <v>168000</v>
      </c>
      <c r="E39" s="13" t="str">
        <f aca="false">IF(COUNT(CB39,BY39,BV39,BS39,BP39,BM39,BJ39,BG39,BD39,BA39,AX39,AU39)=0,"",SUM(CB39,BY39,BV39,BS39,BP39,BM39,BJ39,BG39,BD39,BA39,AX39,AU39))</f>
        <v/>
      </c>
      <c r="F39" s="13" t="n">
        <f aca="false">IF(COUNT(CC39,BZ39,BW39,BT39,BQ39,BN39,BK39,BH39,BE39,BB39,AY39,AV39)=0,"",SUM(CC39,BZ39,BW39,BT39,BQ39,BN39,BK39,BH39,BE39,BB39,AY39,AV39))</f>
        <v>168000</v>
      </c>
      <c r="G39" s="13" t="n">
        <f aca="false">IF(COUNT(CD39,CA39,BX39,BU39,BR39,BO39,BL39,BI39,BF39,BC39,AZ39,AW39)=0,"",SUM(CD39,CA39,BX39,BU39,BR39,BO39,BL39,BI39,BF39,BC39,AZ39,AW39))</f>
        <v>168000</v>
      </c>
      <c r="H39" s="12" t="n">
        <f aca="false">IF(COUNT(DL39,DI39,DF39,DC39,CZ39,CW39,CT39,CQ39,CN39,CK39,CH39,CE39)=0,"",SUM(DL39,DI39,DF39,DC39,CZ39,CW39,CT39,CQ39,CN39,CK39,CH39,CE39))</f>
        <v>28000</v>
      </c>
      <c r="I39" s="12" t="n">
        <f aca="false">IF(COUNT(DM39,DJ39,DG39,DD39,DA39,CX39,CU39,CR39,CO39,CL39,CI39,CF39)=0,"",SUM(DM39,DJ39,DG39,DD39,DA39,CX39,CU39,CR39,CO39,CL39,CI39,CF39))</f>
        <v>168000</v>
      </c>
      <c r="J39" s="12" t="n">
        <f aca="false">IF(COUNT(DN39,DK39,DH39,DE39,DB39,CY39,CV39,CS39,CP39,CM39,CJ39,CG39)=0,"",SUM(DN39,DK39,DH39,DE39,DB39,CY39,CV39,CS39,CP39,CM39,CJ39,CG39))</f>
        <v>168000</v>
      </c>
      <c r="K39" s="13"/>
      <c r="L39" s="13" t="n">
        <f aca="false">IF('Cash Drivers'!L$26,Engineering!K39,Engineering!M39)</f>
        <v>14000</v>
      </c>
      <c r="M39" s="89" t="n">
        <v>14000</v>
      </c>
      <c r="N39" s="12"/>
      <c r="O39" s="12" t="n">
        <f aca="false">IF('Cash Drivers'!O$26,Engineering!N39,Engineering!P39)</f>
        <v>14000</v>
      </c>
      <c r="P39" s="90" t="n">
        <v>14000</v>
      </c>
      <c r="Q39" s="13"/>
      <c r="R39" s="13" t="n">
        <f aca="false">IF('Cash Drivers'!R$26,Engineering!Q39,Engineering!S39)</f>
        <v>14000</v>
      </c>
      <c r="S39" s="89" t="n">
        <v>14000</v>
      </c>
      <c r="T39" s="12"/>
      <c r="U39" s="12" t="n">
        <f aca="false">IF('Cash Drivers'!U$26,Engineering!T39,Engineering!V39)</f>
        <v>14000</v>
      </c>
      <c r="V39" s="90" t="n">
        <v>14000</v>
      </c>
      <c r="W39" s="13"/>
      <c r="X39" s="13" t="n">
        <f aca="false">IF('Cash Drivers'!X$26,Engineering!W39,Engineering!Y39)</f>
        <v>14000</v>
      </c>
      <c r="Y39" s="89" t="n">
        <v>14000</v>
      </c>
      <c r="Z39" s="12"/>
      <c r="AA39" s="12" t="n">
        <f aca="false">IF('Cash Drivers'!AA$26,Engineering!Z39,Engineering!AB39)</f>
        <v>14000</v>
      </c>
      <c r="AB39" s="90" t="n">
        <v>14000</v>
      </c>
      <c r="AC39" s="13"/>
      <c r="AD39" s="13" t="n">
        <f aca="false">IF('Cash Drivers'!AD$26,Engineering!AC39,Engineering!AE39)</f>
        <v>14000</v>
      </c>
      <c r="AE39" s="89" t="n">
        <v>14000</v>
      </c>
      <c r="AF39" s="12"/>
      <c r="AG39" s="12" t="n">
        <f aca="false">IF('Cash Drivers'!AG$26,Engineering!AF39,Engineering!AH39)</f>
        <v>14000</v>
      </c>
      <c r="AH39" s="90" t="n">
        <v>14000</v>
      </c>
      <c r="AI39" s="13"/>
      <c r="AJ39" s="13" t="n">
        <f aca="false">IF('Cash Drivers'!AJ$26,Engineering!AI39,Engineering!AK39)</f>
        <v>14000</v>
      </c>
      <c r="AK39" s="89" t="n">
        <v>14000</v>
      </c>
      <c r="AL39" s="12"/>
      <c r="AM39" s="12" t="n">
        <f aca="false">IF('Cash Drivers'!AM$26,Engineering!AL39,Engineering!AN39)</f>
        <v>14000</v>
      </c>
      <c r="AN39" s="90" t="n">
        <v>14000</v>
      </c>
      <c r="AO39" s="13"/>
      <c r="AP39" s="13" t="n">
        <f aca="false">IF('Cash Drivers'!AP$26,Engineering!AO39,Engineering!AQ39)</f>
        <v>14000</v>
      </c>
      <c r="AQ39" s="89" t="n">
        <v>14000</v>
      </c>
      <c r="AR39" s="12"/>
      <c r="AS39" s="12" t="n">
        <f aca="false">IF('Cash Drivers'!AS$26,Engineering!AR39,Engineering!AT39)</f>
        <v>14000</v>
      </c>
      <c r="AT39" s="90" t="n">
        <v>14000</v>
      </c>
      <c r="AU39" s="13"/>
      <c r="AV39" s="13" t="n">
        <f aca="false">IF('Cash Drivers'!AV$26,Engineering!AU39,Engineering!AW39)</f>
        <v>14000</v>
      </c>
      <c r="AW39" s="89" t="n">
        <v>14000</v>
      </c>
      <c r="AX39" s="12"/>
      <c r="AY39" s="12" t="n">
        <f aca="false">IF('Cash Drivers'!AY$26,Engineering!AX39,Engineering!AZ39)</f>
        <v>14000</v>
      </c>
      <c r="AZ39" s="90" t="n">
        <v>14000</v>
      </c>
      <c r="BA39" s="13"/>
      <c r="BB39" s="13" t="n">
        <f aca="false">IF('Cash Drivers'!BB$26,Engineering!BA39,Engineering!BC39)</f>
        <v>14000</v>
      </c>
      <c r="BC39" s="89" t="n">
        <v>14000</v>
      </c>
      <c r="BD39" s="12"/>
      <c r="BE39" s="12" t="n">
        <f aca="false">IF('Cash Drivers'!BE$26,Engineering!BD39,Engineering!BF39)</f>
        <v>14000</v>
      </c>
      <c r="BF39" s="90" t="n">
        <v>14000</v>
      </c>
      <c r="BG39" s="13"/>
      <c r="BH39" s="13" t="n">
        <f aca="false">IF('Cash Drivers'!BH$26,Engineering!BG39,Engineering!BI39)</f>
        <v>14000</v>
      </c>
      <c r="BI39" s="89" t="n">
        <v>14000</v>
      </c>
      <c r="BJ39" s="12"/>
      <c r="BK39" s="12" t="n">
        <f aca="false">IF('Cash Drivers'!BK$26,Engineering!BJ39,Engineering!BL39)</f>
        <v>14000</v>
      </c>
      <c r="BL39" s="90" t="n">
        <v>14000</v>
      </c>
      <c r="BM39" s="13"/>
      <c r="BN39" s="13" t="n">
        <f aca="false">IF('Cash Drivers'!BN$26,Engineering!BM39,Engineering!BO39)</f>
        <v>14000</v>
      </c>
      <c r="BO39" s="89" t="n">
        <v>14000</v>
      </c>
      <c r="BP39" s="12"/>
      <c r="BQ39" s="12" t="n">
        <f aca="false">IF('Cash Drivers'!BQ$26,Engineering!BP39,Engineering!BR39)</f>
        <v>14000</v>
      </c>
      <c r="BR39" s="90" t="n">
        <v>14000</v>
      </c>
      <c r="BS39" s="13"/>
      <c r="BT39" s="13" t="n">
        <f aca="false">IF('Cash Drivers'!BT$26,Engineering!BS39,Engineering!BU39)</f>
        <v>14000</v>
      </c>
      <c r="BU39" s="89" t="n">
        <v>14000</v>
      </c>
      <c r="BV39" s="12"/>
      <c r="BW39" s="12" t="n">
        <f aca="false">IF('Cash Drivers'!BW$26,Engineering!BV39,Engineering!BX39)</f>
        <v>14000</v>
      </c>
      <c r="BX39" s="90" t="n">
        <v>14000</v>
      </c>
      <c r="BY39" s="13"/>
      <c r="BZ39" s="13" t="n">
        <f aca="false">IF('Cash Drivers'!BZ$26,Engineering!BY39,Engineering!CA39)</f>
        <v>14000</v>
      </c>
      <c r="CA39" s="89" t="n">
        <v>14000</v>
      </c>
      <c r="CB39" s="12"/>
      <c r="CC39" s="12" t="n">
        <f aca="false">IF('Cash Drivers'!CC$26,Engineering!CB39,Engineering!CD39)</f>
        <v>14000</v>
      </c>
      <c r="CD39" s="90" t="n">
        <v>14000</v>
      </c>
      <c r="CE39" s="13"/>
      <c r="CF39" s="13" t="n">
        <f aca="false">IF('Cash Drivers'!CF$26,Engineering!CE39,Engineering!CG39)</f>
        <v>14000</v>
      </c>
      <c r="CG39" s="89" t="n">
        <v>14000</v>
      </c>
      <c r="CH39" s="12"/>
      <c r="CI39" s="12" t="n">
        <f aca="false">IF('Cash Drivers'!CI$26,Engineering!CH39,Engineering!CJ39)</f>
        <v>14000</v>
      </c>
      <c r="CJ39" s="90" t="n">
        <v>14000</v>
      </c>
      <c r="CK39" s="13"/>
      <c r="CL39" s="13" t="n">
        <f aca="false">IF('Cash Drivers'!CL$26,Engineering!CK39,Engineering!CM39)</f>
        <v>14000</v>
      </c>
      <c r="CM39" s="89" t="n">
        <v>14000</v>
      </c>
      <c r="CN39" s="12"/>
      <c r="CO39" s="12" t="n">
        <f aca="false">IF('Cash Drivers'!CO$26,Engineering!CN39,Engineering!CP39)</f>
        <v>14000</v>
      </c>
      <c r="CP39" s="90" t="n">
        <v>14000</v>
      </c>
      <c r="CQ39" s="13"/>
      <c r="CR39" s="13" t="n">
        <f aca="false">IF('Cash Drivers'!CR$26,Engineering!CQ39,Engineering!CS39)</f>
        <v>14000</v>
      </c>
      <c r="CS39" s="89" t="n">
        <v>14000</v>
      </c>
      <c r="CT39" s="12"/>
      <c r="CU39" s="12" t="n">
        <f aca="false">IF('Cash Drivers'!CU$26,Engineering!CT39,Engineering!CV39)</f>
        <v>14000</v>
      </c>
      <c r="CV39" s="90" t="n">
        <v>14000</v>
      </c>
      <c r="CW39" s="13"/>
      <c r="CX39" s="13" t="n">
        <f aca="false">IF('Cash Drivers'!CX$26,Engineering!CW39,Engineering!CY39)</f>
        <v>14000</v>
      </c>
      <c r="CY39" s="89" t="n">
        <v>14000</v>
      </c>
      <c r="CZ39" s="12"/>
      <c r="DA39" s="12" t="n">
        <f aca="false">IF('Cash Drivers'!DA$26,Engineering!CZ39,Engineering!DB39)</f>
        <v>14000</v>
      </c>
      <c r="DB39" s="90" t="n">
        <v>14000</v>
      </c>
      <c r="DC39" s="13"/>
      <c r="DD39" s="13" t="n">
        <f aca="false">IF('Cash Drivers'!DD$26,Engineering!DC39,Engineering!DE39)</f>
        <v>14000</v>
      </c>
      <c r="DE39" s="89" t="n">
        <v>14000</v>
      </c>
      <c r="DF39" s="12"/>
      <c r="DG39" s="12" t="n">
        <f aca="false">IF('Cash Drivers'!DG$26,Engineering!DF39,Engineering!DH39)</f>
        <v>14000</v>
      </c>
      <c r="DH39" s="90" t="n">
        <v>14000</v>
      </c>
      <c r="DI39" s="89" t="n">
        <v>14000</v>
      </c>
      <c r="DJ39" s="13" t="n">
        <f aca="false">IF('Cash Drivers'!DJ$26,Engineering!DI39,Engineering!DK39)</f>
        <v>14000</v>
      </c>
      <c r="DK39" s="89" t="n">
        <v>14000</v>
      </c>
      <c r="DL39" s="90" t="n">
        <v>14000</v>
      </c>
      <c r="DM39" s="12" t="n">
        <f aca="false">IF('Cash Drivers'!DM$26,Engineering!DL39,Engineering!DN39)</f>
        <v>14000</v>
      </c>
      <c r="DN39" s="90" t="n">
        <v>14000</v>
      </c>
    </row>
    <row r="40" customFormat="false" ht="15.75" hidden="false" customHeight="true" outlineLevel="0" collapsed="false">
      <c r="A40" s="5" t="s">
        <v>267</v>
      </c>
      <c r="B40" s="12" t="str">
        <f aca="false">IF(COUNT(AR40,AO40,AL40,AI40,AF40,AC40,Z40,W40,T40,Q40,N40,K40)=0,"",SUM(AR40,AO40,AL40,AI40,AF40,AC40,Z40,W40,T40,Q40,N40,K40))</f>
        <v/>
      </c>
      <c r="C40" s="12" t="n">
        <f aca="false">IF(COUNT(AS40,AP40,AM40,AJ40,AG40,AD40,AA40,X40,U40,R40,O40,L40)=0,"",SUM(AS40,AP40,AM40,AJ40,AG40,AD40,AA40,X40,U40,R40,O40,L40))</f>
        <v>180000</v>
      </c>
      <c r="D40" s="12" t="n">
        <f aca="false">IF(COUNT(AT40,AQ40,AN40,AK40,AH40,AE40,AB40,Y40,V40,S40,P40,M40)=0,"",SUM(AT40,AQ40,AN40,AK40,AH40,AE40,AB40,Y40,V40,S40,P40,M40))</f>
        <v>180000</v>
      </c>
      <c r="E40" s="13" t="str">
        <f aca="false">IF(COUNT(CB40,BY40,BV40,BS40,BP40,BM40,BJ40,BG40,BD40,BA40,AX40,AU40)=0,"",SUM(CB40,BY40,BV40,BS40,BP40,BM40,BJ40,BG40,BD40,BA40,AX40,AU40))</f>
        <v/>
      </c>
      <c r="F40" s="13" t="n">
        <f aca="false">IF(COUNT(CC40,BZ40,BW40,BT40,BQ40,BN40,BK40,BH40,BE40,BB40,AY40,AV40)=0,"",SUM(CC40,BZ40,BW40,BT40,BQ40,BN40,BK40,BH40,BE40,BB40,AY40,AV40))</f>
        <v>165000</v>
      </c>
      <c r="G40" s="13" t="n">
        <f aca="false">IF(COUNT(CD40,CA40,BX40,BU40,BR40,BO40,BL40,BI40,BF40,BC40,AZ40,AW40)=0,"",SUM(CD40,CA40,BX40,BU40,BR40,BO40,BL40,BI40,BF40,BC40,AZ40,AW40))</f>
        <v>165000</v>
      </c>
      <c r="H40" s="12" t="str">
        <f aca="false">IF(COUNT(DL40,DI40,DF40,DC40,CZ40,CW40,CT40,CQ40,CN40,CK40,CH40,CE40)=0,"",SUM(DL40,DI40,DF40,DC40,CZ40,CW40,CT40,CQ40,CN40,CK40,CH40,CE40))</f>
        <v/>
      </c>
      <c r="I40" s="12" t="str">
        <f aca="false">IF(COUNT(DM40,DJ40,DG40,DD40,DA40,CX40,CU40,CR40,CO40,CL40,CI40,CF40)=0,"",SUM(DM40,DJ40,DG40,DD40,DA40,CX40,CU40,CR40,CO40,CL40,CI40,CF40))</f>
        <v/>
      </c>
      <c r="J40" s="12" t="str">
        <f aca="false">IF(COUNT(DN40,DK40,DH40,DE40,DB40,CY40,CV40,CS40,CP40,CM40,CJ40,CG40)=0,"",SUM(DN40,DK40,DH40,DE40,DB40,CY40,CV40,CS40,CP40,CM40,CJ40,CG40))</f>
        <v/>
      </c>
      <c r="K40" s="13"/>
      <c r="L40" s="13" t="n">
        <f aca="false">IF('Cash Drivers'!L$26,Engineering!K40,Engineering!M40)</f>
        <v>15000</v>
      </c>
      <c r="M40" s="89" t="n">
        <v>15000</v>
      </c>
      <c r="N40" s="12"/>
      <c r="O40" s="12" t="n">
        <f aca="false">IF('Cash Drivers'!O$26,Engineering!N40,Engineering!P40)</f>
        <v>15000</v>
      </c>
      <c r="P40" s="90" t="n">
        <v>15000</v>
      </c>
      <c r="Q40" s="13"/>
      <c r="R40" s="13" t="n">
        <f aca="false">IF('Cash Drivers'!R$26,Engineering!Q40,Engineering!S40)</f>
        <v>15000</v>
      </c>
      <c r="S40" s="89" t="n">
        <v>15000</v>
      </c>
      <c r="T40" s="12"/>
      <c r="U40" s="12" t="n">
        <f aca="false">IF('Cash Drivers'!U$26,Engineering!T40,Engineering!V40)</f>
        <v>15000</v>
      </c>
      <c r="V40" s="90" t="n">
        <v>15000</v>
      </c>
      <c r="W40" s="13"/>
      <c r="X40" s="13" t="n">
        <f aca="false">IF('Cash Drivers'!X$26,Engineering!W40,Engineering!Y40)</f>
        <v>15000</v>
      </c>
      <c r="Y40" s="89" t="n">
        <v>15000</v>
      </c>
      <c r="Z40" s="12"/>
      <c r="AA40" s="12" t="n">
        <f aca="false">IF('Cash Drivers'!AA$26,Engineering!Z40,Engineering!AB40)</f>
        <v>15000</v>
      </c>
      <c r="AB40" s="90" t="n">
        <v>15000</v>
      </c>
      <c r="AC40" s="13"/>
      <c r="AD40" s="13" t="n">
        <f aca="false">IF('Cash Drivers'!AD$26,Engineering!AC40,Engineering!AE40)</f>
        <v>15000</v>
      </c>
      <c r="AE40" s="89" t="n">
        <v>15000</v>
      </c>
      <c r="AF40" s="12"/>
      <c r="AG40" s="12" t="n">
        <f aca="false">IF('Cash Drivers'!AG$26,Engineering!AF40,Engineering!AH40)</f>
        <v>15000</v>
      </c>
      <c r="AH40" s="90" t="n">
        <v>15000</v>
      </c>
      <c r="AI40" s="13"/>
      <c r="AJ40" s="13" t="n">
        <f aca="false">IF('Cash Drivers'!AJ$26,Engineering!AI40,Engineering!AK40)</f>
        <v>15000</v>
      </c>
      <c r="AK40" s="89" t="n">
        <v>15000</v>
      </c>
      <c r="AL40" s="12"/>
      <c r="AM40" s="12" t="n">
        <f aca="false">IF('Cash Drivers'!AM$26,Engineering!AL40,Engineering!AN40)</f>
        <v>15000</v>
      </c>
      <c r="AN40" s="90" t="n">
        <v>15000</v>
      </c>
      <c r="AO40" s="13"/>
      <c r="AP40" s="13" t="n">
        <f aca="false">IF('Cash Drivers'!AP$26,Engineering!AO40,Engineering!AQ40)</f>
        <v>15000</v>
      </c>
      <c r="AQ40" s="89" t="n">
        <v>15000</v>
      </c>
      <c r="AR40" s="12"/>
      <c r="AS40" s="12" t="n">
        <f aca="false">IF('Cash Drivers'!AS$26,Engineering!AR40,Engineering!AT40)</f>
        <v>15000</v>
      </c>
      <c r="AT40" s="90" t="n">
        <v>15000</v>
      </c>
      <c r="AU40" s="13"/>
      <c r="AV40" s="13" t="n">
        <f aca="false">IF('Cash Drivers'!AV$26,Engineering!AU40,Engineering!AW40)</f>
        <v>15000</v>
      </c>
      <c r="AW40" s="89" t="n">
        <v>15000</v>
      </c>
      <c r="AX40" s="12"/>
      <c r="AY40" s="12" t="n">
        <f aca="false">IF('Cash Drivers'!AY$26,Engineering!AX40,Engineering!AZ40)</f>
        <v>15000</v>
      </c>
      <c r="AZ40" s="90" t="n">
        <v>15000</v>
      </c>
      <c r="BA40" s="13"/>
      <c r="BB40" s="13" t="n">
        <f aca="false">IF('Cash Drivers'!BB$26,Engineering!BA40,Engineering!BC40)</f>
        <v>15000</v>
      </c>
      <c r="BC40" s="89" t="n">
        <v>15000</v>
      </c>
      <c r="BD40" s="12"/>
      <c r="BE40" s="12" t="n">
        <f aca="false">IF('Cash Drivers'!BE$26,Engineering!BD40,Engineering!BF40)</f>
        <v>15000</v>
      </c>
      <c r="BF40" s="90" t="n">
        <v>15000</v>
      </c>
      <c r="BG40" s="13"/>
      <c r="BH40" s="13" t="n">
        <f aca="false">IF('Cash Drivers'!BH$26,Engineering!BG40,Engineering!BI40)</f>
        <v>15000</v>
      </c>
      <c r="BI40" s="89" t="n">
        <v>15000</v>
      </c>
      <c r="BJ40" s="12"/>
      <c r="BK40" s="12" t="n">
        <f aca="false">IF('Cash Drivers'!BK$26,Engineering!BJ40,Engineering!BL40)</f>
        <v>15000</v>
      </c>
      <c r="BL40" s="90" t="n">
        <v>15000</v>
      </c>
      <c r="BM40" s="13"/>
      <c r="BN40" s="13" t="n">
        <f aca="false">IF('Cash Drivers'!BN$26,Engineering!BM40,Engineering!BO40)</f>
        <v>15000</v>
      </c>
      <c r="BO40" s="89" t="n">
        <v>15000</v>
      </c>
      <c r="BP40" s="12"/>
      <c r="BQ40" s="12" t="n">
        <f aca="false">IF('Cash Drivers'!BQ$26,Engineering!BP40,Engineering!BR40)</f>
        <v>15000</v>
      </c>
      <c r="BR40" s="90" t="n">
        <v>15000</v>
      </c>
      <c r="BS40" s="13"/>
      <c r="BT40" s="13" t="n">
        <f aca="false">IF('Cash Drivers'!BT$26,Engineering!BS40,Engineering!BU40)</f>
        <v>15000</v>
      </c>
      <c r="BU40" s="89" t="n">
        <v>15000</v>
      </c>
      <c r="BV40" s="12"/>
      <c r="BW40" s="12" t="n">
        <f aca="false">IF('Cash Drivers'!BW$26,Engineering!BV40,Engineering!BX40)</f>
        <v>15000</v>
      </c>
      <c r="BX40" s="90" t="n">
        <v>15000</v>
      </c>
      <c r="BY40" s="13"/>
      <c r="BZ40" s="13" t="n">
        <f aca="false">IF('Cash Drivers'!BZ$26,Engineering!BY40,Engineering!CA40)</f>
        <v>15000</v>
      </c>
      <c r="CA40" s="89" t="n">
        <v>15000</v>
      </c>
      <c r="CB40" s="91"/>
      <c r="CC40" s="91"/>
      <c r="CD40" s="91"/>
      <c r="CH40" s="91"/>
      <c r="CI40" s="91"/>
      <c r="CJ40" s="91"/>
      <c r="CN40" s="91"/>
      <c r="CO40" s="91"/>
      <c r="CP40" s="91"/>
      <c r="CT40" s="91"/>
      <c r="CU40" s="91"/>
      <c r="CV40" s="91"/>
      <c r="CZ40" s="91"/>
      <c r="DA40" s="91"/>
      <c r="DB40" s="91"/>
      <c r="DF40" s="91"/>
      <c r="DG40" s="91"/>
      <c r="DH40" s="91"/>
      <c r="DL40" s="91"/>
      <c r="DM40" s="91"/>
      <c r="DN40" s="91"/>
    </row>
    <row r="41" customFormat="false" ht="15.75" hidden="false" customHeight="true" outlineLevel="0" collapsed="false">
      <c r="A41" s="5" t="s">
        <v>268</v>
      </c>
      <c r="B41" s="12" t="str">
        <f aca="false">IF(COUNT(AR41,AO41,AL41,AI41,AF41,AC41,Z41,W41,T41,Q41,N41,K41)=0,"",SUM(AR41,AO41,AL41,AI41,AF41,AC41,Z41,W41,T41,Q41,N41,K41))</f>
        <v/>
      </c>
      <c r="C41" s="12" t="n">
        <f aca="false">IF(COUNT(AS41,AP41,AM41,AJ41,AG41,AD41,AA41,X41,U41,R41,O41,L41)=0,"",SUM(AS41,AP41,AM41,AJ41,AG41,AD41,AA41,X41,U41,R41,O41,L41))</f>
        <v>156000</v>
      </c>
      <c r="D41" s="12" t="n">
        <f aca="false">IF(COUNT(AT41,AQ41,AN41,AK41,AH41,AE41,AB41,Y41,V41,S41,P41,M41)=0,"",SUM(AT41,AQ41,AN41,AK41,AH41,AE41,AB41,Y41,V41,S41,P41,M41))</f>
        <v>156000</v>
      </c>
      <c r="E41" s="13" t="str">
        <f aca="false">IF(COUNT(CB41,BY41,BV41,BS41,BP41,BM41,BJ41,BG41,BD41,BA41,AX41,AU41)=0,"",SUM(CB41,BY41,BV41,BS41,BP41,BM41,BJ41,BG41,BD41,BA41,AX41,AU41))</f>
        <v/>
      </c>
      <c r="F41" s="13" t="n">
        <f aca="false">IF(COUNT(CC41,BZ41,BW41,BT41,BQ41,BN41,BK41,BH41,BE41,BB41,AY41,AV41)=0,"",SUM(CC41,BZ41,BW41,BT41,BQ41,BN41,BK41,BH41,BE41,BB41,AY41,AV41))</f>
        <v>65000</v>
      </c>
      <c r="G41" s="13" t="n">
        <f aca="false">IF(COUNT(CD41,CA41,BX41,BU41,BR41,BO41,BL41,BI41,BF41,BC41,AZ41,AW41)=0,"",SUM(CD41,CA41,BX41,BU41,BR41,BO41,BL41,BI41,BF41,BC41,AZ41,AW41))</f>
        <v>65000</v>
      </c>
      <c r="H41" s="12" t="str">
        <f aca="false">IF(COUNT(DL41,DI41,DF41,DC41,CZ41,CW41,CT41,CQ41,CN41,CK41,CH41,CE41)=0,"",SUM(DL41,DI41,DF41,DC41,CZ41,CW41,CT41,CQ41,CN41,CK41,CH41,CE41))</f>
        <v/>
      </c>
      <c r="I41" s="12" t="str">
        <f aca="false">IF(COUNT(DM41,DJ41,DG41,DD41,DA41,CX41,CU41,CR41,CO41,CL41,CI41,CF41)=0,"",SUM(DM41,DJ41,DG41,DD41,DA41,CX41,CU41,CR41,CO41,CL41,CI41,CF41))</f>
        <v/>
      </c>
      <c r="J41" s="12" t="str">
        <f aca="false">IF(COUNT(DN41,DK41,DH41,DE41,DB41,CY41,CV41,CS41,CP41,CM41,CJ41,CG41)=0,"",SUM(DN41,DK41,DH41,DE41,DB41,CY41,CV41,CS41,CP41,CM41,CJ41,CG41))</f>
        <v/>
      </c>
      <c r="K41" s="13"/>
      <c r="L41" s="13" t="n">
        <f aca="false">IF('Cash Drivers'!L$26,Engineering!K41,Engineering!M41)</f>
        <v>13000</v>
      </c>
      <c r="M41" s="89" t="n">
        <v>13000</v>
      </c>
      <c r="N41" s="12"/>
      <c r="O41" s="12" t="n">
        <f aca="false">IF('Cash Drivers'!O$26,Engineering!N41,Engineering!P41)</f>
        <v>13000</v>
      </c>
      <c r="P41" s="90" t="n">
        <v>13000</v>
      </c>
      <c r="Q41" s="13"/>
      <c r="R41" s="13" t="n">
        <f aca="false">IF('Cash Drivers'!R$26,Engineering!Q41,Engineering!S41)</f>
        <v>13000</v>
      </c>
      <c r="S41" s="89" t="n">
        <v>13000</v>
      </c>
      <c r="T41" s="12"/>
      <c r="U41" s="12" t="n">
        <f aca="false">IF('Cash Drivers'!U$26,Engineering!T41,Engineering!V41)</f>
        <v>13000</v>
      </c>
      <c r="V41" s="90" t="n">
        <v>13000</v>
      </c>
      <c r="W41" s="13"/>
      <c r="X41" s="13" t="n">
        <f aca="false">IF('Cash Drivers'!X$26,Engineering!W41,Engineering!Y41)</f>
        <v>13000</v>
      </c>
      <c r="Y41" s="89" t="n">
        <v>13000</v>
      </c>
      <c r="Z41" s="12"/>
      <c r="AA41" s="12" t="n">
        <f aca="false">IF('Cash Drivers'!AA$26,Engineering!Z41,Engineering!AB41)</f>
        <v>13000</v>
      </c>
      <c r="AB41" s="90" t="n">
        <v>13000</v>
      </c>
      <c r="AC41" s="13"/>
      <c r="AD41" s="13" t="n">
        <f aca="false">IF('Cash Drivers'!AD$26,Engineering!AC41,Engineering!AE41)</f>
        <v>13000</v>
      </c>
      <c r="AE41" s="89" t="n">
        <v>13000</v>
      </c>
      <c r="AF41" s="12"/>
      <c r="AG41" s="12" t="n">
        <f aca="false">IF('Cash Drivers'!AG$26,Engineering!AF41,Engineering!AH41)</f>
        <v>13000</v>
      </c>
      <c r="AH41" s="90" t="n">
        <v>13000</v>
      </c>
      <c r="AI41" s="13"/>
      <c r="AJ41" s="13" t="n">
        <f aca="false">IF('Cash Drivers'!AJ$26,Engineering!AI41,Engineering!AK41)</f>
        <v>13000</v>
      </c>
      <c r="AK41" s="89" t="n">
        <v>13000</v>
      </c>
      <c r="AL41" s="12"/>
      <c r="AM41" s="12" t="n">
        <f aca="false">IF('Cash Drivers'!AM$26,Engineering!AL41,Engineering!AN41)</f>
        <v>13000</v>
      </c>
      <c r="AN41" s="90" t="n">
        <v>13000</v>
      </c>
      <c r="AO41" s="13"/>
      <c r="AP41" s="13" t="n">
        <f aca="false">IF('Cash Drivers'!AP$26,Engineering!AO41,Engineering!AQ41)</f>
        <v>13000</v>
      </c>
      <c r="AQ41" s="89" t="n">
        <v>13000</v>
      </c>
      <c r="AR41" s="12"/>
      <c r="AS41" s="12" t="n">
        <f aca="false">IF('Cash Drivers'!AS$26,Engineering!AR41,Engineering!AT41)</f>
        <v>13000</v>
      </c>
      <c r="AT41" s="90" t="n">
        <v>13000</v>
      </c>
      <c r="AU41" s="13"/>
      <c r="AV41" s="13" t="n">
        <f aca="false">IF('Cash Drivers'!AV$26,Engineering!AU41,Engineering!AW41)</f>
        <v>13000</v>
      </c>
      <c r="AW41" s="89" t="n">
        <v>13000</v>
      </c>
      <c r="AX41" s="12"/>
      <c r="AY41" s="12" t="n">
        <f aca="false">IF('Cash Drivers'!AY$26,Engineering!AX41,Engineering!AZ41)</f>
        <v>13000</v>
      </c>
      <c r="AZ41" s="90" t="n">
        <v>13000</v>
      </c>
      <c r="BA41" s="13"/>
      <c r="BB41" s="13" t="n">
        <f aca="false">IF('Cash Drivers'!BB$26,Engineering!BA41,Engineering!BC41)</f>
        <v>13000</v>
      </c>
      <c r="BC41" s="89" t="n">
        <v>13000</v>
      </c>
      <c r="BD41" s="12"/>
      <c r="BE41" s="12" t="n">
        <f aca="false">IF('Cash Drivers'!BE$26,Engineering!BD41,Engineering!BF41)</f>
        <v>13000</v>
      </c>
      <c r="BF41" s="90" t="n">
        <v>13000</v>
      </c>
      <c r="BG41" s="13"/>
      <c r="BH41" s="13" t="n">
        <f aca="false">IF('Cash Drivers'!BH$26,Engineering!BG41,Engineering!BI41)</f>
        <v>13000</v>
      </c>
      <c r="BI41" s="89" t="n">
        <v>13000</v>
      </c>
      <c r="BJ41" s="91"/>
      <c r="BK41" s="91"/>
      <c r="BL41" s="91"/>
      <c r="BP41" s="91"/>
      <c r="BQ41" s="91"/>
      <c r="BR41" s="91"/>
      <c r="BV41" s="91"/>
      <c r="BW41" s="91"/>
      <c r="BX41" s="91"/>
      <c r="CB41" s="91"/>
      <c r="CC41" s="91"/>
      <c r="CD41" s="91"/>
      <c r="CH41" s="91"/>
      <c r="CI41" s="91"/>
      <c r="CJ41" s="91"/>
      <c r="CN41" s="91"/>
      <c r="CO41" s="91"/>
      <c r="CP41" s="91"/>
      <c r="CT41" s="91"/>
      <c r="CU41" s="91"/>
      <c r="CV41" s="91"/>
      <c r="CZ41" s="91"/>
      <c r="DA41" s="91"/>
      <c r="DB41" s="91"/>
      <c r="DF41" s="91"/>
      <c r="DG41" s="91"/>
      <c r="DH41" s="91"/>
      <c r="DL41" s="91"/>
      <c r="DM41" s="91"/>
      <c r="DN41" s="91"/>
    </row>
    <row r="42" customFormat="false" ht="15.75" hidden="false" customHeight="true" outlineLevel="0" collapsed="false">
      <c r="A42" s="5" t="s">
        <v>267</v>
      </c>
      <c r="B42" s="12" t="str">
        <f aca="false">IF(COUNT(AR42,AO42,AL42,AI42,AF42,AC42,Z42,W42,T42,Q42,N42,K42)=0,"",SUM(AR42,AO42,AL42,AI42,AF42,AC42,Z42,W42,T42,Q42,N42,K42))</f>
        <v/>
      </c>
      <c r="C42" s="12" t="n">
        <f aca="false">IF(COUNT(AS42,AP42,AM42,AJ42,AG42,AD42,AA42,X42,U42,R42,O42,L42)=0,"",SUM(AS42,AP42,AM42,AJ42,AG42,AD42,AA42,X42,U42,R42,O42,L42))</f>
        <v>165000</v>
      </c>
      <c r="D42" s="12" t="n">
        <f aca="false">IF(COUNT(AT42,AQ42,AN42,AK42,AH42,AE42,AB42,Y42,V42,S42,P42,M42)=0,"",SUM(AT42,AQ42,AN42,AK42,AH42,AE42,AB42,Y42,V42,S42,P42,M42))</f>
        <v>165000</v>
      </c>
      <c r="E42" s="13" t="str">
        <f aca="false">IF(COUNT(CB42,BY42,BV42,BS42,BP42,BM42,BJ42,BG42,BD42,BA42,AX42,AU42)=0,"",SUM(CB42,BY42,BV42,BS42,BP42,BM42,BJ42,BG42,BD42,BA42,AX42,AU42))</f>
        <v/>
      </c>
      <c r="F42" s="13" t="str">
        <f aca="false">IF(COUNT(CC42,BZ42,BW42,BT42,BQ42,BN42,BK42,BH42,BE42,BB42,AY42,AV42)=0,"",SUM(CC42,BZ42,BW42,BT42,BQ42,BN42,BK42,BH42,BE42,BB42,AY42,AV42))</f>
        <v/>
      </c>
      <c r="G42" s="13" t="str">
        <f aca="false">IF(COUNT(CD42,CA42,BX42,BU42,BR42,BO42,BL42,BI42,BF42,BC42,AZ42,AW42)=0,"",SUM(CD42,CA42,BX42,BU42,BR42,BO42,BL42,BI42,BF42,BC42,AZ42,AW42))</f>
        <v/>
      </c>
      <c r="H42" s="12" t="str">
        <f aca="false">IF(COUNT(DL42,DI42,DF42,DC42,CZ42,CW42,CT42,CQ42,CN42,CK42,CH42,CE42)=0,"",SUM(DL42,DI42,DF42,DC42,CZ42,CW42,CT42,CQ42,CN42,CK42,CH42,CE42))</f>
        <v/>
      </c>
      <c r="I42" s="12" t="str">
        <f aca="false">IF(COUNT(DM42,DJ42,DG42,DD42,DA42,CX42,CU42,CR42,CO42,CL42,CI42,CF42)=0,"",SUM(DM42,DJ42,DG42,DD42,DA42,CX42,CU42,CR42,CO42,CL42,CI42,CF42))</f>
        <v/>
      </c>
      <c r="J42" s="12" t="str">
        <f aca="false">IF(COUNT(DN42,DK42,DH42,DE42,DB42,CY42,CV42,CS42,CP42,CM42,CJ42,CG42)=0,"",SUM(DN42,DK42,DH42,DE42,DB42,CY42,CV42,CS42,CP42,CM42,CJ42,CG42))</f>
        <v/>
      </c>
      <c r="K42" s="13"/>
      <c r="L42" s="13" t="n">
        <f aca="false">IF('Cash Drivers'!L$26,Engineering!K42,Engineering!M42)</f>
        <v>15000</v>
      </c>
      <c r="M42" s="89" t="n">
        <v>15000</v>
      </c>
      <c r="N42" s="12"/>
      <c r="O42" s="12" t="n">
        <f aca="false">IF('Cash Drivers'!O$26,Engineering!N42,Engineering!P42)</f>
        <v>15000</v>
      </c>
      <c r="P42" s="90" t="n">
        <v>15000</v>
      </c>
      <c r="Q42" s="13"/>
      <c r="R42" s="13" t="n">
        <f aca="false">IF('Cash Drivers'!R$26,Engineering!Q42,Engineering!S42)</f>
        <v>15000</v>
      </c>
      <c r="S42" s="89" t="n">
        <v>15000</v>
      </c>
      <c r="T42" s="12"/>
      <c r="U42" s="12" t="n">
        <f aca="false">IF('Cash Drivers'!U$26,Engineering!T42,Engineering!V42)</f>
        <v>15000</v>
      </c>
      <c r="V42" s="90" t="n">
        <v>15000</v>
      </c>
      <c r="W42" s="13"/>
      <c r="X42" s="13" t="n">
        <f aca="false">IF('Cash Drivers'!X$26,Engineering!W42,Engineering!Y42)</f>
        <v>15000</v>
      </c>
      <c r="Y42" s="89" t="n">
        <v>15000</v>
      </c>
      <c r="Z42" s="12"/>
      <c r="AA42" s="12" t="n">
        <f aca="false">IF('Cash Drivers'!AA$26,Engineering!Z42,Engineering!AB42)</f>
        <v>15000</v>
      </c>
      <c r="AB42" s="90" t="n">
        <v>15000</v>
      </c>
      <c r="AC42" s="13"/>
      <c r="AD42" s="13" t="n">
        <f aca="false">IF('Cash Drivers'!AD$26,Engineering!AC42,Engineering!AE42)</f>
        <v>15000</v>
      </c>
      <c r="AE42" s="89" t="n">
        <v>15000</v>
      </c>
      <c r="AF42" s="12"/>
      <c r="AG42" s="12" t="n">
        <f aca="false">IF('Cash Drivers'!AG$26,Engineering!AF42,Engineering!AH42)</f>
        <v>15000</v>
      </c>
      <c r="AH42" s="90" t="n">
        <v>15000</v>
      </c>
      <c r="AI42" s="13"/>
      <c r="AJ42" s="13" t="n">
        <f aca="false">IF('Cash Drivers'!AJ$26,Engineering!AI42,Engineering!AK42)</f>
        <v>15000</v>
      </c>
      <c r="AK42" s="89" t="n">
        <v>15000</v>
      </c>
      <c r="AL42" s="12"/>
      <c r="AM42" s="12" t="n">
        <f aca="false">IF('Cash Drivers'!AM$26,Engineering!AL42,Engineering!AN42)</f>
        <v>15000</v>
      </c>
      <c r="AN42" s="90" t="n">
        <v>15000</v>
      </c>
      <c r="AO42" s="13"/>
      <c r="AP42" s="13" t="n">
        <f aca="false">IF('Cash Drivers'!AP$26,Engineering!AO42,Engineering!AQ42)</f>
        <v>15000</v>
      </c>
      <c r="AQ42" s="89" t="n">
        <v>15000</v>
      </c>
      <c r="AR42" s="91"/>
      <c r="AS42" s="91"/>
      <c r="AT42" s="91"/>
      <c r="AX42" s="91"/>
      <c r="AY42" s="91"/>
      <c r="AZ42" s="91"/>
      <c r="BD42" s="91"/>
      <c r="BE42" s="91"/>
      <c r="BF42" s="91"/>
      <c r="BJ42" s="91"/>
      <c r="BK42" s="91"/>
      <c r="BL42" s="91"/>
      <c r="BP42" s="91"/>
      <c r="BQ42" s="91"/>
      <c r="BR42" s="91"/>
      <c r="BV42" s="91"/>
      <c r="BW42" s="91"/>
      <c r="BX42" s="91"/>
      <c r="CB42" s="91"/>
      <c r="CC42" s="91"/>
      <c r="CD42" s="91"/>
      <c r="CH42" s="91"/>
      <c r="CI42" s="91"/>
      <c r="CJ42" s="91"/>
      <c r="CN42" s="91"/>
      <c r="CO42" s="91"/>
      <c r="CP42" s="91"/>
      <c r="CT42" s="91"/>
      <c r="CU42" s="91"/>
      <c r="CV42" s="91"/>
      <c r="CZ42" s="91"/>
      <c r="DA42" s="91"/>
      <c r="DB42" s="91"/>
      <c r="DF42" s="91"/>
      <c r="DG42" s="91"/>
      <c r="DH42" s="91"/>
      <c r="DL42" s="91"/>
      <c r="DM42" s="91"/>
      <c r="DN42" s="91"/>
    </row>
    <row r="43" customFormat="false" ht="15.75" hidden="false" customHeight="true" outlineLevel="0" collapsed="false">
      <c r="A43" s="5" t="s">
        <v>268</v>
      </c>
      <c r="B43" s="12" t="str">
        <f aca="false">IF(COUNT(AR43,AO43,AL43,AI43,AF43,AC43,Z43,W43,T43,Q43,N43,K43)=0,"",SUM(AR43,AO43,AL43,AI43,AF43,AC43,Z43,W43,T43,Q43,N43,K43))</f>
        <v/>
      </c>
      <c r="C43" s="12" t="n">
        <f aca="false">IF(COUNT(AS43,AP43,AM43,AJ43,AG43,AD43,AA43,X43,U43,R43,O43,L43)=0,"",SUM(AS43,AP43,AM43,AJ43,AG43,AD43,AA43,X43,U43,R43,O43,L43))</f>
        <v>156000</v>
      </c>
      <c r="D43" s="12" t="n">
        <f aca="false">IF(COUNT(AT43,AQ43,AN43,AK43,AH43,AE43,AB43,Y43,V43,S43,P43,M43)=0,"",SUM(AT43,AQ43,AN43,AK43,AH43,AE43,AB43,Y43,V43,S43,P43,M43))</f>
        <v>156000</v>
      </c>
      <c r="E43" s="13" t="str">
        <f aca="false">IF(COUNT(CB43,BY43,BV43,BS43,BP43,BM43,BJ43,BG43,BD43,BA43,AX43,AU43)=0,"",SUM(CB43,BY43,BV43,BS43,BP43,BM43,BJ43,BG43,BD43,BA43,AX43,AU43))</f>
        <v/>
      </c>
      <c r="F43" s="13" t="n">
        <f aca="false">IF(COUNT(CC43,BZ43,BW43,BT43,BQ43,BN43,BK43,BH43,BE43,BB43,AY43,AV43)=0,"",SUM(CC43,BZ43,BW43,BT43,BQ43,BN43,BK43,BH43,BE43,BB43,AY43,AV43))</f>
        <v>91000</v>
      </c>
      <c r="G43" s="13" t="n">
        <f aca="false">IF(COUNT(CD43,CA43,BX43,BU43,BR43,BO43,BL43,BI43,BF43,BC43,AZ43,AW43)=0,"",SUM(CD43,CA43,BX43,BU43,BR43,BO43,BL43,BI43,BF43,BC43,AZ43,AW43))</f>
        <v>91000</v>
      </c>
      <c r="H43" s="12" t="str">
        <f aca="false">IF(COUNT(DL43,DI43,DF43,DC43,CZ43,CW43,CT43,CQ43,CN43,CK43,CH43,CE43)=0,"",SUM(DL43,DI43,DF43,DC43,CZ43,CW43,CT43,CQ43,CN43,CK43,CH43,CE43))</f>
        <v/>
      </c>
      <c r="I43" s="12" t="str">
        <f aca="false">IF(COUNT(DM43,DJ43,DG43,DD43,DA43,CX43,CU43,CR43,CO43,CL43,CI43,CF43)=0,"",SUM(DM43,DJ43,DG43,DD43,DA43,CX43,CU43,CR43,CO43,CL43,CI43,CF43))</f>
        <v/>
      </c>
      <c r="J43" s="12" t="str">
        <f aca="false">IF(COUNT(DN43,DK43,DH43,DE43,DB43,CY43,CV43,CS43,CP43,CM43,CJ43,CG43)=0,"",SUM(DN43,DK43,DH43,DE43,DB43,CY43,CV43,CS43,CP43,CM43,CJ43,CG43))</f>
        <v/>
      </c>
      <c r="K43" s="13"/>
      <c r="L43" s="13" t="n">
        <f aca="false">IF('Cash Drivers'!L$26,Engineering!K43,Engineering!M43)</f>
        <v>13000</v>
      </c>
      <c r="M43" s="89" t="n">
        <v>13000</v>
      </c>
      <c r="N43" s="12"/>
      <c r="O43" s="12" t="n">
        <f aca="false">IF('Cash Drivers'!O$26,Engineering!N43,Engineering!P43)</f>
        <v>13000</v>
      </c>
      <c r="P43" s="90" t="n">
        <v>13000</v>
      </c>
      <c r="Q43" s="13"/>
      <c r="R43" s="13" t="n">
        <f aca="false">IF('Cash Drivers'!R$26,Engineering!Q43,Engineering!S43)</f>
        <v>13000</v>
      </c>
      <c r="S43" s="89" t="n">
        <v>13000</v>
      </c>
      <c r="T43" s="12"/>
      <c r="U43" s="12" t="n">
        <f aca="false">IF('Cash Drivers'!U$26,Engineering!T43,Engineering!V43)</f>
        <v>13000</v>
      </c>
      <c r="V43" s="90" t="n">
        <v>13000</v>
      </c>
      <c r="W43" s="13"/>
      <c r="X43" s="13" t="n">
        <f aca="false">IF('Cash Drivers'!X$26,Engineering!W43,Engineering!Y43)</f>
        <v>13000</v>
      </c>
      <c r="Y43" s="89" t="n">
        <v>13000</v>
      </c>
      <c r="Z43" s="12"/>
      <c r="AA43" s="12" t="n">
        <f aca="false">IF('Cash Drivers'!AA$26,Engineering!Z43,Engineering!AB43)</f>
        <v>13000</v>
      </c>
      <c r="AB43" s="90" t="n">
        <v>13000</v>
      </c>
      <c r="AC43" s="13"/>
      <c r="AD43" s="13" t="n">
        <f aca="false">IF('Cash Drivers'!AD$26,Engineering!AC43,Engineering!AE43)</f>
        <v>13000</v>
      </c>
      <c r="AE43" s="89" t="n">
        <v>13000</v>
      </c>
      <c r="AF43" s="12"/>
      <c r="AG43" s="12" t="n">
        <f aca="false">IF('Cash Drivers'!AG$26,Engineering!AF43,Engineering!AH43)</f>
        <v>13000</v>
      </c>
      <c r="AH43" s="90" t="n">
        <v>13000</v>
      </c>
      <c r="AI43" s="13"/>
      <c r="AJ43" s="13" t="n">
        <f aca="false">IF('Cash Drivers'!AJ$26,Engineering!AI43,Engineering!AK43)</f>
        <v>13000</v>
      </c>
      <c r="AK43" s="89" t="n">
        <v>13000</v>
      </c>
      <c r="AL43" s="12"/>
      <c r="AM43" s="12" t="n">
        <f aca="false">IF('Cash Drivers'!AM$26,Engineering!AL43,Engineering!AN43)</f>
        <v>13000</v>
      </c>
      <c r="AN43" s="90" t="n">
        <v>13000</v>
      </c>
      <c r="AO43" s="13"/>
      <c r="AP43" s="13" t="n">
        <f aca="false">IF('Cash Drivers'!AP$26,Engineering!AO43,Engineering!AQ43)</f>
        <v>13000</v>
      </c>
      <c r="AQ43" s="89" t="n">
        <v>13000</v>
      </c>
      <c r="AR43" s="12"/>
      <c r="AS43" s="12" t="n">
        <f aca="false">IF('Cash Drivers'!AS$26,Engineering!AR43,Engineering!AT43)</f>
        <v>13000</v>
      </c>
      <c r="AT43" s="90" t="n">
        <v>13000</v>
      </c>
      <c r="AU43" s="13"/>
      <c r="AV43" s="13" t="n">
        <f aca="false">IF('Cash Drivers'!AV$26,Engineering!AU43,Engineering!AW43)</f>
        <v>13000</v>
      </c>
      <c r="AW43" s="89" t="n">
        <v>13000</v>
      </c>
      <c r="AX43" s="12"/>
      <c r="AY43" s="12" t="n">
        <f aca="false">IF('Cash Drivers'!AY$26,Engineering!AX43,Engineering!AZ43)</f>
        <v>13000</v>
      </c>
      <c r="AZ43" s="90" t="n">
        <v>13000</v>
      </c>
      <c r="BA43" s="13"/>
      <c r="BB43" s="13" t="n">
        <f aca="false">IF('Cash Drivers'!BB$26,Engineering!BA43,Engineering!BC43)</f>
        <v>13000</v>
      </c>
      <c r="BC43" s="89" t="n">
        <v>13000</v>
      </c>
      <c r="BD43" s="12"/>
      <c r="BE43" s="12" t="n">
        <f aca="false">IF('Cash Drivers'!BE$26,Engineering!BD43,Engineering!BF43)</f>
        <v>13000</v>
      </c>
      <c r="BF43" s="90" t="n">
        <v>13000</v>
      </c>
      <c r="BG43" s="13"/>
      <c r="BH43" s="13" t="n">
        <f aca="false">IF('Cash Drivers'!BH$26,Engineering!BG43,Engineering!BI43)</f>
        <v>13000</v>
      </c>
      <c r="BI43" s="89" t="n">
        <v>13000</v>
      </c>
      <c r="BJ43" s="12"/>
      <c r="BK43" s="12" t="n">
        <f aca="false">IF('Cash Drivers'!BK$26,Engineering!BJ43,Engineering!BL43)</f>
        <v>13000</v>
      </c>
      <c r="BL43" s="90" t="n">
        <v>13000</v>
      </c>
      <c r="BM43" s="13"/>
      <c r="BN43" s="13" t="n">
        <f aca="false">IF('Cash Drivers'!BN$26,Engineering!BM43,Engineering!BO43)</f>
        <v>13000</v>
      </c>
      <c r="BO43" s="89" t="n">
        <v>13000</v>
      </c>
      <c r="BP43" s="91"/>
      <c r="BQ43" s="91"/>
      <c r="BR43" s="91"/>
      <c r="BV43" s="91"/>
      <c r="BW43" s="91"/>
      <c r="BX43" s="91"/>
      <c r="CB43" s="91"/>
      <c r="CC43" s="91"/>
      <c r="CD43" s="91"/>
      <c r="CH43" s="91"/>
      <c r="CI43" s="91"/>
      <c r="CJ43" s="91"/>
      <c r="CN43" s="91"/>
      <c r="CO43" s="91"/>
      <c r="CP43" s="91"/>
      <c r="CT43" s="91"/>
      <c r="CU43" s="91"/>
      <c r="CV43" s="91"/>
      <c r="CZ43" s="91"/>
      <c r="DA43" s="91"/>
      <c r="DB43" s="91"/>
      <c r="DF43" s="91"/>
      <c r="DG43" s="91"/>
      <c r="DH43" s="91"/>
      <c r="DL43" s="91"/>
      <c r="DM43" s="91"/>
      <c r="DN43" s="91"/>
    </row>
    <row r="44" customFormat="false" ht="15.75" hidden="false" customHeight="true" outlineLevel="0" collapsed="false">
      <c r="A44" s="5" t="s">
        <v>267</v>
      </c>
      <c r="B44" s="12" t="str">
        <f aca="false">IF(COUNT(AR44,AO44,AL44,AI44,AF44,AC44,Z44,W44,T44,Q44,N44,K44)=0,"",SUM(AR44,AO44,AL44,AI44,AF44,AC44,Z44,W44,T44,Q44,N44,K44))</f>
        <v/>
      </c>
      <c r="C44" s="12" t="n">
        <f aca="false">IF(COUNT(AS44,AP44,AM44,AJ44,AG44,AD44,AA44,X44,U44,R44,O44,L44)=0,"",SUM(AS44,AP44,AM44,AJ44,AG44,AD44,AA44,X44,U44,R44,O44,L44))</f>
        <v>180000</v>
      </c>
      <c r="D44" s="12" t="n">
        <f aca="false">IF(COUNT(AT44,AQ44,AN44,AK44,AH44,AE44,AB44,Y44,V44,S44,P44,M44)=0,"",SUM(AT44,AQ44,AN44,AK44,AH44,AE44,AB44,Y44,V44,S44,P44,M44))</f>
        <v>180000</v>
      </c>
      <c r="E44" s="13" t="str">
        <f aca="false">IF(COUNT(CB44,BY44,BV44,BS44,BP44,BM44,BJ44,BG44,BD44,BA44,AX44,AU44)=0,"",SUM(CB44,BY44,BV44,BS44,BP44,BM44,BJ44,BG44,BD44,BA44,AX44,AU44))</f>
        <v/>
      </c>
      <c r="F44" s="13" t="n">
        <f aca="false">IF(COUNT(CC44,BZ44,BW44,BT44,BQ44,BN44,BK44,BH44,BE44,BB44,AY44,AV44)=0,"",SUM(CC44,BZ44,BW44,BT44,BQ44,BN44,BK44,BH44,BE44,BB44,AY44,AV44))</f>
        <v>30000</v>
      </c>
      <c r="G44" s="13" t="n">
        <f aca="false">IF(COUNT(CD44,CA44,BX44,BU44,BR44,BO44,BL44,BI44,BF44,BC44,AZ44,AW44)=0,"",SUM(CD44,CA44,BX44,BU44,BR44,BO44,BL44,BI44,BF44,BC44,AZ44,AW44))</f>
        <v>30000</v>
      </c>
      <c r="H44" s="12" t="str">
        <f aca="false">IF(COUNT(DL44,DI44,DF44,DC44,CZ44,CW44,CT44,CQ44,CN44,CK44,CH44,CE44)=0,"",SUM(DL44,DI44,DF44,DC44,CZ44,CW44,CT44,CQ44,CN44,CK44,CH44,CE44))</f>
        <v/>
      </c>
      <c r="I44" s="12" t="str">
        <f aca="false">IF(COUNT(DM44,DJ44,DG44,DD44,DA44,CX44,CU44,CR44,CO44,CL44,CI44,CF44)=0,"",SUM(DM44,DJ44,DG44,DD44,DA44,CX44,CU44,CR44,CO44,CL44,CI44,CF44))</f>
        <v/>
      </c>
      <c r="J44" s="12" t="str">
        <f aca="false">IF(COUNT(DN44,DK44,DH44,DE44,DB44,CY44,CV44,CS44,CP44,CM44,CJ44,CG44)=0,"",SUM(DN44,DK44,DH44,DE44,DB44,CY44,CV44,CS44,CP44,CM44,CJ44,CG44))</f>
        <v/>
      </c>
      <c r="K44" s="13"/>
      <c r="L44" s="13" t="n">
        <f aca="false">IF('Cash Drivers'!L$26,Engineering!K44,Engineering!M44)</f>
        <v>15000</v>
      </c>
      <c r="M44" s="89" t="n">
        <v>15000</v>
      </c>
      <c r="N44" s="12"/>
      <c r="O44" s="12" t="n">
        <f aca="false">IF('Cash Drivers'!O$26,Engineering!N44,Engineering!P44)</f>
        <v>15000</v>
      </c>
      <c r="P44" s="90" t="n">
        <v>15000</v>
      </c>
      <c r="Q44" s="13"/>
      <c r="R44" s="13" t="n">
        <f aca="false">IF('Cash Drivers'!R$26,Engineering!Q44,Engineering!S44)</f>
        <v>15000</v>
      </c>
      <c r="S44" s="89" t="n">
        <v>15000</v>
      </c>
      <c r="T44" s="12"/>
      <c r="U44" s="12" t="n">
        <f aca="false">IF('Cash Drivers'!U$26,Engineering!T44,Engineering!V44)</f>
        <v>15000</v>
      </c>
      <c r="V44" s="90" t="n">
        <v>15000</v>
      </c>
      <c r="W44" s="13"/>
      <c r="X44" s="13" t="n">
        <f aca="false">IF('Cash Drivers'!X$26,Engineering!W44,Engineering!Y44)</f>
        <v>15000</v>
      </c>
      <c r="Y44" s="89" t="n">
        <v>15000</v>
      </c>
      <c r="Z44" s="12"/>
      <c r="AA44" s="12" t="n">
        <f aca="false">IF('Cash Drivers'!AA$26,Engineering!Z44,Engineering!AB44)</f>
        <v>15000</v>
      </c>
      <c r="AB44" s="90" t="n">
        <v>15000</v>
      </c>
      <c r="AC44" s="13"/>
      <c r="AD44" s="13" t="n">
        <f aca="false">IF('Cash Drivers'!AD$26,Engineering!AC44,Engineering!AE44)</f>
        <v>15000</v>
      </c>
      <c r="AE44" s="89" t="n">
        <v>15000</v>
      </c>
      <c r="AF44" s="12"/>
      <c r="AG44" s="12" t="n">
        <f aca="false">IF('Cash Drivers'!AG$26,Engineering!AF44,Engineering!AH44)</f>
        <v>15000</v>
      </c>
      <c r="AH44" s="90" t="n">
        <v>15000</v>
      </c>
      <c r="AI44" s="13"/>
      <c r="AJ44" s="13" t="n">
        <f aca="false">IF('Cash Drivers'!AJ$26,Engineering!AI44,Engineering!AK44)</f>
        <v>15000</v>
      </c>
      <c r="AK44" s="89" t="n">
        <v>15000</v>
      </c>
      <c r="AL44" s="12"/>
      <c r="AM44" s="12" t="n">
        <f aca="false">IF('Cash Drivers'!AM$26,Engineering!AL44,Engineering!AN44)</f>
        <v>15000</v>
      </c>
      <c r="AN44" s="90" t="n">
        <v>15000</v>
      </c>
      <c r="AO44" s="13"/>
      <c r="AP44" s="13" t="n">
        <f aca="false">IF('Cash Drivers'!AP$26,Engineering!AO44,Engineering!AQ44)</f>
        <v>15000</v>
      </c>
      <c r="AQ44" s="89" t="n">
        <v>15000</v>
      </c>
      <c r="AR44" s="12"/>
      <c r="AS44" s="12" t="n">
        <f aca="false">IF('Cash Drivers'!AS$26,Engineering!AR44,Engineering!AT44)</f>
        <v>15000</v>
      </c>
      <c r="AT44" s="90" t="n">
        <v>15000</v>
      </c>
      <c r="AU44" s="13"/>
      <c r="AV44" s="13" t="n">
        <f aca="false">IF('Cash Drivers'!AV$26,Engineering!AU44,Engineering!AW44)</f>
        <v>15000</v>
      </c>
      <c r="AW44" s="89" t="n">
        <v>15000</v>
      </c>
      <c r="AX44" s="12"/>
      <c r="AY44" s="12" t="n">
        <f aca="false">IF('Cash Drivers'!AY$26,Engineering!AX44,Engineering!AZ44)</f>
        <v>15000</v>
      </c>
      <c r="AZ44" s="90" t="n">
        <v>15000</v>
      </c>
      <c r="BD44" s="91"/>
      <c r="BE44" s="91"/>
      <c r="BF44" s="91"/>
      <c r="BJ44" s="91"/>
      <c r="BK44" s="91"/>
      <c r="BL44" s="91"/>
      <c r="BP44" s="91"/>
      <c r="BQ44" s="91"/>
      <c r="BR44" s="91"/>
      <c r="BV44" s="91"/>
      <c r="BW44" s="91"/>
      <c r="BX44" s="91"/>
      <c r="CB44" s="91"/>
      <c r="CC44" s="91"/>
      <c r="CD44" s="91"/>
      <c r="CH44" s="91"/>
      <c r="CI44" s="91"/>
      <c r="CJ44" s="91"/>
      <c r="CN44" s="91"/>
      <c r="CO44" s="91"/>
      <c r="CP44" s="91"/>
      <c r="CT44" s="91"/>
      <c r="CU44" s="91"/>
      <c r="CV44" s="91"/>
      <c r="CZ44" s="91"/>
      <c r="DA44" s="91"/>
      <c r="DB44" s="91"/>
      <c r="DF44" s="91"/>
      <c r="DG44" s="91"/>
      <c r="DH44" s="91"/>
      <c r="DL44" s="91"/>
      <c r="DM44" s="91"/>
      <c r="DN44" s="91"/>
    </row>
    <row r="45" customFormat="false" ht="15.75" hidden="false" customHeight="true" outlineLevel="0" collapsed="false">
      <c r="A45" s="5" t="s">
        <v>269</v>
      </c>
      <c r="B45" s="12" t="str">
        <f aca="false">IF(COUNT(AR45,AO45,AL45,AI45,AF45,AC45,Z45,W45,T45,Q45,N45,K45)=0,"",SUM(AR45,AO45,AL45,AI45,AF45,AC45,Z45,W45,T45,Q45,N45,K45))</f>
        <v/>
      </c>
      <c r="C45" s="12" t="n">
        <f aca="false">IF(COUNT(AS45,AP45,AM45,AJ45,AG45,AD45,AA45,X45,U45,R45,O45,L45)=0,"",SUM(AS45,AP45,AM45,AJ45,AG45,AD45,AA45,X45,U45,R45,O45,L45))</f>
        <v>144000</v>
      </c>
      <c r="D45" s="12" t="n">
        <f aca="false">IF(COUNT(AT45,AQ45,AN45,AK45,AH45,AE45,AB45,Y45,V45,S45,P45,M45)=0,"",SUM(AT45,AQ45,AN45,AK45,AH45,AE45,AB45,Y45,V45,S45,P45,M45))</f>
        <v>144000</v>
      </c>
      <c r="E45" s="13" t="str">
        <f aca="false">IF(COUNT(CB45,BY45,BV45,BS45,BP45,BM45,BJ45,BG45,BD45,BA45,AX45,AU45)=0,"",SUM(CB45,BY45,BV45,BS45,BP45,BM45,BJ45,BG45,BD45,BA45,AX45,AU45))</f>
        <v/>
      </c>
      <c r="F45" s="13" t="str">
        <f aca="false">IF(COUNT(CC45,BZ45,BW45,BT45,BQ45,BN45,BK45,BH45,BE45,BB45,AY45,AV45)=0,"",SUM(CC45,BZ45,BW45,BT45,BQ45,BN45,BK45,BH45,BE45,BB45,AY45,AV45))</f>
        <v/>
      </c>
      <c r="G45" s="13" t="str">
        <f aca="false">IF(COUNT(CD45,CA45,BX45,BU45,BR45,BO45,BL45,BI45,BF45,BC45,AZ45,AW45)=0,"",SUM(CD45,CA45,BX45,BU45,BR45,BO45,BL45,BI45,BF45,BC45,AZ45,AW45))</f>
        <v/>
      </c>
      <c r="H45" s="12" t="str">
        <f aca="false">IF(COUNT(DL45,DI45,DF45,DC45,CZ45,CW45,CT45,CQ45,CN45,CK45,CH45,CE45)=0,"",SUM(DL45,DI45,DF45,DC45,CZ45,CW45,CT45,CQ45,CN45,CK45,CH45,CE45))</f>
        <v/>
      </c>
      <c r="I45" s="12" t="str">
        <f aca="false">IF(COUNT(DM45,DJ45,DG45,DD45,DA45,CX45,CU45,CR45,CO45,CL45,CI45,CF45)=0,"",SUM(DM45,DJ45,DG45,DD45,DA45,CX45,CU45,CR45,CO45,CL45,CI45,CF45))</f>
        <v/>
      </c>
      <c r="J45" s="12" t="str">
        <f aca="false">IF(COUNT(DN45,DK45,DH45,DE45,DB45,CY45,CV45,CS45,CP45,CM45,CJ45,CG45)=0,"",SUM(DN45,DK45,DH45,DE45,DB45,CY45,CV45,CS45,CP45,CM45,CJ45,CG45))</f>
        <v/>
      </c>
      <c r="K45" s="13"/>
      <c r="L45" s="13" t="n">
        <f aca="false">IF('Cash Drivers'!L$26,Engineering!K45,Engineering!M45)</f>
        <v>12000</v>
      </c>
      <c r="M45" s="89" t="n">
        <v>12000</v>
      </c>
      <c r="N45" s="12"/>
      <c r="O45" s="12" t="n">
        <f aca="false">IF('Cash Drivers'!O$26,Engineering!N45,Engineering!P45)</f>
        <v>12000</v>
      </c>
      <c r="P45" s="90" t="n">
        <v>12000</v>
      </c>
      <c r="Q45" s="13"/>
      <c r="R45" s="13" t="n">
        <f aca="false">IF('Cash Drivers'!R$26,Engineering!Q45,Engineering!S45)</f>
        <v>12000</v>
      </c>
      <c r="S45" s="89" t="n">
        <v>12000</v>
      </c>
      <c r="T45" s="12"/>
      <c r="U45" s="12" t="n">
        <f aca="false">IF('Cash Drivers'!U$26,Engineering!T45,Engineering!V45)</f>
        <v>12000</v>
      </c>
      <c r="V45" s="90" t="n">
        <v>12000</v>
      </c>
      <c r="W45" s="13"/>
      <c r="X45" s="13" t="n">
        <f aca="false">IF('Cash Drivers'!X$26,Engineering!W45,Engineering!Y45)</f>
        <v>12000</v>
      </c>
      <c r="Y45" s="89" t="n">
        <v>12000</v>
      </c>
      <c r="Z45" s="12"/>
      <c r="AA45" s="12" t="n">
        <f aca="false">IF('Cash Drivers'!AA$26,Engineering!Z45,Engineering!AB45)</f>
        <v>12000</v>
      </c>
      <c r="AB45" s="90" t="n">
        <v>12000</v>
      </c>
      <c r="AC45" s="13"/>
      <c r="AD45" s="13" t="n">
        <f aca="false">IF('Cash Drivers'!AD$26,Engineering!AC45,Engineering!AE45)</f>
        <v>12000</v>
      </c>
      <c r="AE45" s="89" t="n">
        <v>12000</v>
      </c>
      <c r="AF45" s="12"/>
      <c r="AG45" s="12" t="n">
        <f aca="false">IF('Cash Drivers'!AG$26,Engineering!AF45,Engineering!AH45)</f>
        <v>12000</v>
      </c>
      <c r="AH45" s="90" t="n">
        <v>12000</v>
      </c>
      <c r="AI45" s="13"/>
      <c r="AJ45" s="13" t="n">
        <f aca="false">IF('Cash Drivers'!AJ$26,Engineering!AI45,Engineering!AK45)</f>
        <v>12000</v>
      </c>
      <c r="AK45" s="89" t="n">
        <v>12000</v>
      </c>
      <c r="AL45" s="12"/>
      <c r="AM45" s="12" t="n">
        <f aca="false">IF('Cash Drivers'!AM$26,Engineering!AL45,Engineering!AN45)</f>
        <v>12000</v>
      </c>
      <c r="AN45" s="90" t="n">
        <v>12000</v>
      </c>
      <c r="AO45" s="13"/>
      <c r="AP45" s="13" t="n">
        <f aca="false">IF('Cash Drivers'!AP$26,Engineering!AO45,Engineering!AQ45)</f>
        <v>12000</v>
      </c>
      <c r="AQ45" s="89" t="n">
        <v>12000</v>
      </c>
      <c r="AR45" s="12"/>
      <c r="AS45" s="12" t="n">
        <f aca="false">IF('Cash Drivers'!AS$26,Engineering!AR45,Engineering!AT45)</f>
        <v>12000</v>
      </c>
      <c r="AT45" s="90" t="n">
        <v>12000</v>
      </c>
      <c r="AX45" s="91"/>
      <c r="AY45" s="91"/>
      <c r="AZ45" s="91"/>
      <c r="BD45" s="91"/>
      <c r="BE45" s="91"/>
      <c r="BF45" s="91"/>
      <c r="BJ45" s="91"/>
      <c r="BK45" s="91"/>
      <c r="BL45" s="91"/>
      <c r="BP45" s="91"/>
      <c r="BQ45" s="91"/>
      <c r="BR45" s="91"/>
      <c r="BV45" s="91"/>
      <c r="BW45" s="91"/>
      <c r="BX45" s="91"/>
      <c r="CB45" s="91"/>
      <c r="CC45" s="91"/>
      <c r="CD45" s="91"/>
      <c r="CH45" s="91"/>
      <c r="CI45" s="91"/>
      <c r="CJ45" s="91"/>
      <c r="CN45" s="91"/>
      <c r="CO45" s="91"/>
      <c r="CP45" s="91"/>
      <c r="CT45" s="91"/>
      <c r="CU45" s="91"/>
      <c r="CV45" s="91"/>
      <c r="CZ45" s="91"/>
      <c r="DA45" s="91"/>
      <c r="DB45" s="91"/>
      <c r="DF45" s="91"/>
      <c r="DG45" s="91"/>
      <c r="DH45" s="91"/>
      <c r="DL45" s="91"/>
      <c r="DM45" s="91"/>
      <c r="DN45" s="91"/>
    </row>
    <row r="46" customFormat="false" ht="15.75" hidden="false" customHeight="true" outlineLevel="0" collapsed="false">
      <c r="A46" s="14" t="s">
        <v>186</v>
      </c>
      <c r="B46" s="15" t="str">
        <f aca="false">IF(COUNT(AR46,AO46,AL46,AI46,AF46,AC46,Z46,W46,T46,Q46,N46,K46)=0,"",SUM(AR46,AO46,AL46,AI46,AF46,AC46,Z46,W46,T46,Q46,N46,K46))</f>
        <v/>
      </c>
      <c r="C46" s="15" t="n">
        <f aca="false">IF(COUNT(AS46,AP46,AM46,AJ46,AG46,AD46,AA46,X46,U46,R46,O46,L46)=0,"",SUM(AS46,AP46,AM46,AJ46,AG46,AD46,AA46,X46,U46,R46,O46,L46))</f>
        <v>2721000</v>
      </c>
      <c r="D46" s="15" t="n">
        <f aca="false">IF(COUNT(AT46,AQ46,AN46,AK46,AH46,AE46,AB46,Y46,V46,S46,P46,M46)=0,"",SUM(AT46,AQ46,AN46,AK46,AH46,AE46,AB46,Y46,V46,S46,P46,M46))</f>
        <v>2721000</v>
      </c>
      <c r="E46" s="16" t="str">
        <f aca="false">IF(COUNT(CB46,BY46,BV46,BS46,BP46,BM46,BJ46,BG46,BD46,BA46,AX46,AU46)=0,"",SUM(CB46,BY46,BV46,BS46,BP46,BM46,BJ46,BG46,BD46,BA46,AX46,AU46))</f>
        <v/>
      </c>
      <c r="F46" s="16" t="n">
        <f aca="false">IF(COUNT(CC46,BZ46,BW46,BT46,BQ46,BN46,BK46,BH46,BE46,BB46,AY46,AV46)=0,"",SUM(CC46,BZ46,BW46,BT46,BQ46,BN46,BK46,BH46,BE46,BB46,AY46,AV46))</f>
        <v>2091000</v>
      </c>
      <c r="G46" s="16" t="n">
        <f aca="false">IF(COUNT(CD46,CA46,BX46,BU46,BR46,BO46,BL46,BI46,BF46,BC46,AZ46,AW46)=0,"",SUM(CD46,CA46,BX46,BU46,BR46,BO46,BL46,BI46,BF46,BC46,AZ46,AW46))</f>
        <v>2091000</v>
      </c>
      <c r="H46" s="15" t="n">
        <f aca="false">IF(COUNT(DL46,DI46,DF46,DC46,CZ46,CW46,CT46,CQ46,CN46,CK46,CH46,CE46)=0,"",SUM(DL46,DI46,DF46,DC46,CZ46,CW46,CT46,CQ46,CN46,CK46,CH46,CE46))</f>
        <v>290000</v>
      </c>
      <c r="I46" s="15" t="n">
        <f aca="false">IF(COUNT(DM46,DJ46,DG46,DD46,DA46,CX46,CU46,CR46,CO46,CL46,CI46,CF46)=0,"",SUM(DM46,DJ46,DG46,DD46,DA46,CX46,CU46,CR46,CO46,CL46,CI46,CF46))</f>
        <v>1740000</v>
      </c>
      <c r="J46" s="15" t="n">
        <f aca="false">IF(COUNT(DN46,DK46,DH46,DE46,DB46,CY46,CV46,CS46,CP46,CM46,CJ46,CG46)=0,"",SUM(DN46,DK46,DH46,DE46,DB46,CY46,CV46,CS46,CP46,CM46,CJ46,CG46))</f>
        <v>1740000</v>
      </c>
      <c r="K46" s="16" t="str">
        <f aca="false">IF(COUNT(K30,K31,K32,K33,K34,K35,K36,K37,K38,K39,K40,K41,K42,K43,K44,K45)=0,"",SUM(K30:K45))</f>
        <v/>
      </c>
      <c r="L46" s="16" t="n">
        <f aca="false">SUM(L30:L45)</f>
        <v>228000</v>
      </c>
      <c r="M46" s="16" t="n">
        <f aca="false">SUM(M30:M45)</f>
        <v>228000</v>
      </c>
      <c r="N46" s="15" t="str">
        <f aca="false">IF(COUNT(N30,N31,N32,N33,N34,N35,N36,N37,N38,N39,N40,N41,N42,N43,N44,N45)=0,"",SUM(N30:N45))</f>
        <v/>
      </c>
      <c r="O46" s="15" t="n">
        <f aca="false">SUM(O30:O45)</f>
        <v>228000</v>
      </c>
      <c r="P46" s="15" t="n">
        <f aca="false">SUM(P30:P45)</f>
        <v>228000</v>
      </c>
      <c r="Q46" s="16" t="str">
        <f aca="false">IF(COUNT(Q30,Q31,Q32,Q33,Q34,Q35,Q36,Q37,Q38,Q39,Q40,Q41,Q42,Q43,Q44,Q45)=0,"",SUM(Q30:Q45))</f>
        <v/>
      </c>
      <c r="R46" s="16" t="n">
        <f aca="false">SUM(R30:R45)</f>
        <v>228000</v>
      </c>
      <c r="S46" s="16" t="n">
        <f aca="false">SUM(S30:S45)</f>
        <v>228000</v>
      </c>
      <c r="T46" s="15" t="str">
        <f aca="false">IF(COUNT(T30,T31,T32,T33,T34,T35,T36,T37,T38,T39,T40,T41,T42,T43,T44,T45)=0,"",SUM(T30:T45))</f>
        <v/>
      </c>
      <c r="U46" s="15" t="n">
        <f aca="false">SUM(U30:U45)</f>
        <v>228000</v>
      </c>
      <c r="V46" s="15" t="n">
        <f aca="false">SUM(V30:V45)</f>
        <v>228000</v>
      </c>
      <c r="W46" s="16" t="str">
        <f aca="false">IF(COUNT(W30,W31,W32,W33,W34,W35,W36,W37,W38,W39,W40,W41,W42,W43,W44,W45)=0,"",SUM(W30:W45))</f>
        <v/>
      </c>
      <c r="X46" s="16" t="n">
        <f aca="false">SUM(X30:X45)</f>
        <v>228000</v>
      </c>
      <c r="Y46" s="16" t="n">
        <f aca="false">SUM(Y30:Y45)</f>
        <v>228000</v>
      </c>
      <c r="Z46" s="15" t="str">
        <f aca="false">IF(COUNT(Z30,Z31,Z32,Z33,Z34,Z35,Z36,Z37,Z38,Z39,Z40,Z41,Z42,Z43,Z44,Z45)=0,"",SUM(Z30:Z45))</f>
        <v/>
      </c>
      <c r="AA46" s="15" t="n">
        <f aca="false">SUM(AA30:AA45)</f>
        <v>228000</v>
      </c>
      <c r="AB46" s="15" t="n">
        <f aca="false">SUM(AB30:AB45)</f>
        <v>228000</v>
      </c>
      <c r="AC46" s="16" t="str">
        <f aca="false">IF(COUNT(AC30,AC31,AC32,AC33,AC34,AC35,AC36,AC37,AC38,AC39,AC40,AC41,AC42,AC43,AC44,AC45)=0,"",SUM(AC30:AC45))</f>
        <v/>
      </c>
      <c r="AD46" s="16" t="n">
        <f aca="false">SUM(AD30:AD45)</f>
        <v>228000</v>
      </c>
      <c r="AE46" s="16" t="n">
        <f aca="false">SUM(AE30:AE45)</f>
        <v>228000</v>
      </c>
      <c r="AF46" s="15" t="str">
        <f aca="false">IF(COUNT(AF30,AF31,AF32,AF33,AF34,AF35,AF36,AF37,AF38,AF39,AF40,AF41,AF42,AF43,AF44,AF45)=0,"",SUM(AF30:AF45))</f>
        <v/>
      </c>
      <c r="AG46" s="15" t="n">
        <f aca="false">SUM(AG30:AG45)</f>
        <v>228000</v>
      </c>
      <c r="AH46" s="15" t="n">
        <f aca="false">SUM(AH30:AH45)</f>
        <v>228000</v>
      </c>
      <c r="AI46" s="16" t="str">
        <f aca="false">IF(COUNT(AI30,AI31,AI32,AI33,AI34,AI35,AI36,AI37,AI38,AI39,AI40,AI41,AI42,AI43,AI44,AI45)=0,"",SUM(AI30:AI45))</f>
        <v/>
      </c>
      <c r="AJ46" s="16" t="n">
        <f aca="false">SUM(AJ30:AJ45)</f>
        <v>228000</v>
      </c>
      <c r="AK46" s="16" t="n">
        <f aca="false">SUM(AK30:AK45)</f>
        <v>228000</v>
      </c>
      <c r="AL46" s="15" t="str">
        <f aca="false">IF(COUNT(AL30,AL31,AL32,AL33,AL34,AL35,AL36,AL37,AL38,AL39,AL40,AL41,AL42,AL43,AL44,AL45)=0,"",SUM(AL30:AL45))</f>
        <v/>
      </c>
      <c r="AM46" s="15" t="n">
        <f aca="false">SUM(AM30:AM45)</f>
        <v>228000</v>
      </c>
      <c r="AN46" s="15" t="n">
        <f aca="false">SUM(AN30:AN45)</f>
        <v>228000</v>
      </c>
      <c r="AO46" s="16" t="str">
        <f aca="false">IF(COUNT(AO30,AO31,AO32,AO33,AO34,AO35,AO36,AO37,AO38,AO39,AO40,AO41,AO42,AO43,AO44,AO45)=0,"",SUM(AO30:AO45))</f>
        <v/>
      </c>
      <c r="AP46" s="16" t="n">
        <f aca="false">SUM(AP30:AP45)</f>
        <v>228000</v>
      </c>
      <c r="AQ46" s="16" t="n">
        <f aca="false">SUM(AQ30:AQ45)</f>
        <v>228000</v>
      </c>
      <c r="AR46" s="15" t="str">
        <f aca="false">IF(COUNT(AR30,AR31,AR32,AR33,AR34,AR35,AR36,AR37,AR38,AR39,AR40,AR41,AR43,AR44,AR45)=0,"",SUM(AR30:AR45))</f>
        <v/>
      </c>
      <c r="AS46" s="15" t="n">
        <f aca="false">SUM(AS30:AS45)</f>
        <v>213000</v>
      </c>
      <c r="AT46" s="15" t="n">
        <f aca="false">SUM(AT30:AT45)</f>
        <v>213000</v>
      </c>
      <c r="AU46" s="16" t="str">
        <f aca="false">IF(COUNT(AU30,AU31,AU32,AU33,AU34,AU35,AU36,AU37,AU38,AU39,AU40,AU41,AU43,AU44)=0,"",SUM(AU30:AU45))</f>
        <v/>
      </c>
      <c r="AV46" s="16" t="n">
        <f aca="false">SUM(AV30:AV45)</f>
        <v>201000</v>
      </c>
      <c r="AW46" s="16" t="n">
        <f aca="false">SUM(AW30:AW45)</f>
        <v>201000</v>
      </c>
      <c r="AX46" s="15" t="str">
        <f aca="false">IF(COUNT(AX30,AX31,AX32,AX33,AX34,AX35,AX36,AX37,AX38,AX39,AX40,AX41,AX43,AX44)=0,"",SUM(AX30:AX45))</f>
        <v/>
      </c>
      <c r="AY46" s="15" t="n">
        <f aca="false">SUM(AY30:AY45)</f>
        <v>201000</v>
      </c>
      <c r="AZ46" s="15" t="n">
        <f aca="false">SUM(AZ30:AZ45)</f>
        <v>201000</v>
      </c>
      <c r="BA46" s="16" t="str">
        <f aca="false">IF(COUNT(BA30,BA31,BA32,BA33,BA34,BA35,BA36,BA37,BA38,BA39,BA40,BA41,BA43)=0,"",SUM(BA30:BA45))</f>
        <v/>
      </c>
      <c r="BB46" s="16" t="n">
        <f aca="false">SUM(BB30:BB45)</f>
        <v>186000</v>
      </c>
      <c r="BC46" s="16" t="n">
        <f aca="false">SUM(BC30:BC45)</f>
        <v>186000</v>
      </c>
      <c r="BD46" s="15" t="str">
        <f aca="false">IF(COUNT(BD30,BD31,BD32,BD33,BD34,BD35,BD36,BD37,BD38,BD39,BD40,BD41,BD43)=0,"",SUM(BD30:BD45))</f>
        <v/>
      </c>
      <c r="BE46" s="15" t="n">
        <f aca="false">SUM(BE30:BE45)</f>
        <v>186000</v>
      </c>
      <c r="BF46" s="15" t="n">
        <f aca="false">SUM(BF30:BF45)</f>
        <v>186000</v>
      </c>
      <c r="BG46" s="16" t="str">
        <f aca="false">IF(COUNT(BG30,BG31,BG32,BG33,BG34,BG35,BG36,BG37,BG38,BG39,BG40,BG41,BG43)=0,"",SUM(BG30:BG45))</f>
        <v/>
      </c>
      <c r="BH46" s="16" t="n">
        <f aca="false">SUM(BH30:BH45)</f>
        <v>186000</v>
      </c>
      <c r="BI46" s="16" t="n">
        <f aca="false">SUM(BI30:BI45)</f>
        <v>186000</v>
      </c>
      <c r="BJ46" s="15" t="str">
        <f aca="false">IF(COUNT(BJ30,BJ31,BJ32,BJ33,BJ34,BJ35,BJ36,BJ37,BJ38,BJ39,BJ40,BJ43)=0,"",SUM(BJ30:BJ45))</f>
        <v/>
      </c>
      <c r="BK46" s="15" t="n">
        <f aca="false">SUM(BK30:BK45)</f>
        <v>173000</v>
      </c>
      <c r="BL46" s="15" t="n">
        <f aca="false">SUM(BL30:BL45)</f>
        <v>173000</v>
      </c>
      <c r="BM46" s="16" t="str">
        <f aca="false">IF(COUNT(BM30,BM31,BM32,BM33,BM34,BM35,BM36,BM37,BM38,BM39,BM40,BM43)=0,"",SUM(BM30:BM45))</f>
        <v/>
      </c>
      <c r="BN46" s="16" t="n">
        <f aca="false">SUM(BN30:BN45)</f>
        <v>173000</v>
      </c>
      <c r="BO46" s="16" t="n">
        <f aca="false">SUM(BO30:BO45)</f>
        <v>173000</v>
      </c>
      <c r="BP46" s="15" t="str">
        <f aca="false">IF(COUNT(BP30,BP31,BP32,BP33,BP34,BP35,BP36,BP37,BP38,BP39,BP40)=0,"",SUM(BP30:BP45))</f>
        <v/>
      </c>
      <c r="BQ46" s="15" t="n">
        <f aca="false">SUM(BQ30:BQ45)</f>
        <v>160000</v>
      </c>
      <c r="BR46" s="15" t="n">
        <f aca="false">SUM(BR30:BR45)</f>
        <v>160000</v>
      </c>
      <c r="BS46" s="16" t="str">
        <f aca="false">IF(COUNT(BS30,BS31,BS32,BS33,BS34,BS35,BS36,BS37,BS38,BS39,BS40)=0,"",SUM(BS30:BS45))</f>
        <v/>
      </c>
      <c r="BT46" s="16" t="n">
        <f aca="false">SUM(BT30:BT45)</f>
        <v>160000</v>
      </c>
      <c r="BU46" s="16" t="n">
        <f aca="false">SUM(BU30:BU45)</f>
        <v>160000</v>
      </c>
      <c r="BV46" s="15" t="str">
        <f aca="false">IF(COUNT(BV30,BV31,BV32,BV33,BV34,BV35,BV36,BV37,BV38,BV39,BV40)=0,"",SUM(BV30:BV45))</f>
        <v/>
      </c>
      <c r="BW46" s="15" t="n">
        <f aca="false">SUM(BW30:BW45)</f>
        <v>160000</v>
      </c>
      <c r="BX46" s="15" t="n">
        <f aca="false">SUM(BX30:BX45)</f>
        <v>160000</v>
      </c>
      <c r="BY46" s="16" t="str">
        <f aca="false">IF(COUNT(BY30,BY31,BY32,BY33,BY34,BY35,BY36,BY37,BY38,BY39,BY40)=0,"",SUM(BY30:BY45))</f>
        <v/>
      </c>
      <c r="BZ46" s="16" t="n">
        <f aca="false">SUM(BZ30:BZ45)</f>
        <v>160000</v>
      </c>
      <c r="CA46" s="16" t="n">
        <f aca="false">SUM(CA30:CA45)</f>
        <v>160000</v>
      </c>
      <c r="CB46" s="15" t="str">
        <f aca="false">IF(COUNT(CB30,CB31,CB32,CB33,CB34,CB35,CB36,CB37,CB38,CB39)=0,"",SUM(CB30:CB45))</f>
        <v/>
      </c>
      <c r="CC46" s="15" t="n">
        <f aca="false">SUM(CC30:CC45)</f>
        <v>145000</v>
      </c>
      <c r="CD46" s="15" t="n">
        <f aca="false">SUM(CD30:CD45)</f>
        <v>145000</v>
      </c>
      <c r="CE46" s="16" t="str">
        <f aca="false">IF(COUNT(CE30,CE31,CE32,CE33,CE34,CE35,CE36,CE37,CE38,CE39)=0,"",SUM(CE30:CE45))</f>
        <v/>
      </c>
      <c r="CF46" s="16" t="n">
        <f aca="false">SUM(CF30:CF45)</f>
        <v>145000</v>
      </c>
      <c r="CG46" s="16" t="n">
        <f aca="false">SUM(CG30:CG45)</f>
        <v>145000</v>
      </c>
      <c r="CH46" s="15" t="str">
        <f aca="false">IF(COUNT(CH30,CH31,CH32,CH33,CH34,CH35,CH36,CH37,CH38,CH39)=0,"",SUM(CH30:CH45))</f>
        <v/>
      </c>
      <c r="CI46" s="15" t="n">
        <f aca="false">SUM(CI30:CI45)</f>
        <v>145000</v>
      </c>
      <c r="CJ46" s="15" t="n">
        <f aca="false">SUM(CJ30:CJ45)</f>
        <v>145000</v>
      </c>
      <c r="CK46" s="16" t="str">
        <f aca="false">IF(COUNT(CK30,CK31,CK32,CK33,CK34,CK35,CK36,CK37,CK38,CK39)=0,"",SUM(CK30:CK45))</f>
        <v/>
      </c>
      <c r="CL46" s="16" t="n">
        <f aca="false">SUM(CL30:CL45)</f>
        <v>145000</v>
      </c>
      <c r="CM46" s="16" t="n">
        <f aca="false">SUM(CM30:CM45)</f>
        <v>145000</v>
      </c>
      <c r="CN46" s="15" t="str">
        <f aca="false">IF(COUNT(CN30,CN31,CN32,CN33,CN34,CN35,CN36,CN37,CN38,CN39)=0,"",SUM(CN30:CN45))</f>
        <v/>
      </c>
      <c r="CO46" s="15" t="n">
        <f aca="false">SUM(CO30:CO45)</f>
        <v>145000</v>
      </c>
      <c r="CP46" s="15" t="n">
        <f aca="false">SUM(CP30:CP45)</f>
        <v>145000</v>
      </c>
      <c r="CQ46" s="16" t="str">
        <f aca="false">IF(COUNT(CQ30,CQ31,CQ32,CQ33,CQ34,CQ35,CQ36,CQ37,CQ38,CQ39)=0,"",SUM(CQ30:CQ45))</f>
        <v/>
      </c>
      <c r="CR46" s="16" t="n">
        <f aca="false">SUM(CR30:CR45)</f>
        <v>145000</v>
      </c>
      <c r="CS46" s="16" t="n">
        <f aca="false">SUM(CS30:CS45)</f>
        <v>145000</v>
      </c>
      <c r="CT46" s="15" t="str">
        <f aca="false">IF(COUNT(CT30,CT31,CT32,CT33,CT34,CT35,CT36,CT37,CT38,CT39)=0,"",SUM(CT30:CT45))</f>
        <v/>
      </c>
      <c r="CU46" s="15" t="n">
        <f aca="false">SUM(CU30:CU45)</f>
        <v>145000</v>
      </c>
      <c r="CV46" s="15" t="n">
        <f aca="false">SUM(CV30:CV45)</f>
        <v>145000</v>
      </c>
      <c r="CW46" s="16" t="str">
        <f aca="false">IF(COUNT(CW30,CW31,CW32,CW33,CW34,CW35,CW36,CW37,CW38,CW39)=0,"",SUM(CW30:CW45))</f>
        <v/>
      </c>
      <c r="CX46" s="16" t="n">
        <f aca="false">SUM(CX30:CX45)</f>
        <v>145000</v>
      </c>
      <c r="CY46" s="16" t="n">
        <f aca="false">SUM(CY30:CY45)</f>
        <v>145000</v>
      </c>
      <c r="CZ46" s="15" t="str">
        <f aca="false">IF(COUNT(CZ30,CZ31,CZ32,CZ33,CZ34,CZ35,CZ36,CZ37,CZ38,CZ39)=0,"",SUM(CZ30:CZ45))</f>
        <v/>
      </c>
      <c r="DA46" s="15" t="n">
        <f aca="false">SUM(DA30:DA45)</f>
        <v>145000</v>
      </c>
      <c r="DB46" s="15" t="n">
        <f aca="false">SUM(DB30:DB45)</f>
        <v>145000</v>
      </c>
      <c r="DC46" s="16" t="str">
        <f aca="false">IF(COUNT(DC30,DC31,DC32,DC33,DC34,DC35,DC36,DC37,DC38,DC39)=0,"",SUM(DC30:DC45))</f>
        <v/>
      </c>
      <c r="DD46" s="16" t="n">
        <f aca="false">SUM(DD30:DD45)</f>
        <v>145000</v>
      </c>
      <c r="DE46" s="16" t="n">
        <f aca="false">SUM(DE30:DE45)</f>
        <v>145000</v>
      </c>
      <c r="DF46" s="15" t="str">
        <f aca="false">IF(COUNT(DF30,DF31,DF32,DF33,DF34,DF35,DF36,DF37,DF38,DF39)=0,"",SUM(DF30:DF45))</f>
        <v/>
      </c>
      <c r="DG46" s="15" t="n">
        <f aca="false">SUM(DG30:DG45)</f>
        <v>145000</v>
      </c>
      <c r="DH46" s="15" t="n">
        <f aca="false">SUM(DH30:DH45)</f>
        <v>145000</v>
      </c>
      <c r="DI46" s="16" t="n">
        <f aca="false">IF(COUNT(DI30,DI31,DI32,DI33,DI34,DI35,DI36,DI37,DI38,DI39)=0,"",SUM(DI30:DI45))</f>
        <v>145000</v>
      </c>
      <c r="DJ46" s="16" t="n">
        <f aca="false">SUM(DJ30:DJ45)</f>
        <v>145000</v>
      </c>
      <c r="DK46" s="16" t="n">
        <f aca="false">SUM(DK30:DK45)</f>
        <v>145000</v>
      </c>
      <c r="DL46" s="15" t="n">
        <f aca="false">IF(COUNT(DL30,DL31,DL32,DL33,DL34,DL35,DL36,DL37,DL38,DL39)=0,"",SUM(DL30:DL45))</f>
        <v>145000</v>
      </c>
      <c r="DM46" s="15" t="n">
        <f aca="false">SUM(DM30:DM45)</f>
        <v>145000</v>
      </c>
      <c r="DN46" s="15" t="n">
        <f aca="false">SUM(DN30:DN45)</f>
        <v>145000</v>
      </c>
    </row>
    <row r="47" customFormat="false" ht="15.75" hidden="false" customHeight="true" outlineLevel="0" collapsed="false">
      <c r="A47" s="5" t="s">
        <v>187</v>
      </c>
      <c r="B47" s="23" t="str">
        <f aca="false">IF(K47&lt;&gt;"",K47,IF(N47&lt;&gt;"",N47,IF(Q47&lt;&gt;"",Q47,IF(T47&lt;&gt;"",T47,IF(W47&lt;&gt;"",W47,IF(Z47&lt;&gt;"",Z47,IF(AC47&lt;&gt;"",AC47,IF(AF47&lt;&gt;"",AF47,IF(AI47&lt;&gt;"",AI47,IF(AL47&lt;&gt;"",AL47,IF(AO47&lt;&gt;"",AO47,IF(AR47&lt;&gt;"",AR47,""))))))))))))</f>
        <v/>
      </c>
      <c r="C47" s="23" t="n">
        <f aca="false">IF(L47&lt;&gt;"",L47,IF(O47&lt;&gt;"",O47,IF(R47&lt;&gt;"",R47,IF(U47&lt;&gt;"",U47,IF(X47&lt;&gt;"",X47,IF(AA47&lt;&gt;"",AA47,IF(AD47&lt;&gt;"",AD47,IF(AG47&lt;&gt;"",AG47,IF(AJ47&lt;&gt;"",AJ47,IF(AM47&lt;&gt;"",AM47,IF(AP47&lt;&gt;"",AP47,IF(AS47&lt;&gt;"",AS47,""))))))))))))</f>
        <v>16</v>
      </c>
      <c r="D47" s="23" t="n">
        <f aca="false">IF(M47&lt;&gt;"",M47,IF(P47&lt;&gt;"",P47,IF(S47&lt;&gt;"",S47,IF(V47&lt;&gt;"",V47,IF(Y47&lt;&gt;"",Y47,IF(AB47&lt;&gt;"",AB47,IF(AE47&lt;&gt;"",AE47,IF(AH47&lt;&gt;"",AH47,IF(AK47&lt;&gt;"",AK47,IF(AN47&lt;&gt;"",AN47,IF(AQ47&lt;&gt;"",AQ47,IF(AT47&lt;&gt;"",AT47,""))))))))))))</f>
        <v>16</v>
      </c>
      <c r="E47" s="2" t="str">
        <f aca="false">IF(AU47&lt;&gt;"",AU47,IF(AX47&lt;&gt;"",AX47,IF(BA47&lt;&gt;"",BA47,IF(BD47&lt;&gt;"",BD47,IF(BG47&lt;&gt;"",BG47,IF(BJ47&lt;&gt;"",BJ47,IF(BM47&lt;&gt;"",BM47,IF(BP47&lt;&gt;"",BP47,IF(BS47&lt;&gt;"",BS47,IF(BV47&lt;&gt;"",BV47,IF(BY47&lt;&gt;"",BY47,IF(CB47&lt;&gt;"",CB47,""))))))))))))</f>
        <v/>
      </c>
      <c r="F47" s="2" t="n">
        <f aca="false">IF(AV47&lt;&gt;"",AV47,IF(AY47&lt;&gt;"",AY47,IF(BB47&lt;&gt;"",BB47,IF(BE47&lt;&gt;"",BE47,IF(BH47&lt;&gt;"",BH47,IF(BK47&lt;&gt;"",BK47,IF(BN47&lt;&gt;"",BN47,IF(BQ47&lt;&gt;"",BQ47,IF(BT47&lt;&gt;"",BT47,IF(BW47&lt;&gt;"",BW47,IF(BZ47&lt;&gt;"",BZ47,IF(CC47&lt;&gt;"",CC47,""))))))))))))</f>
        <v>14</v>
      </c>
      <c r="G47" s="2" t="n">
        <f aca="false">IF(AW47&lt;&gt;"",AW47,IF(AZ47&lt;&gt;"",AZ47,IF(BC47&lt;&gt;"",BC47,IF(BF47&lt;&gt;"",BF47,IF(BI47&lt;&gt;"",BI47,IF(BL47&lt;&gt;"",BL47,IF(BO47&lt;&gt;"",BO47,IF(BR47&lt;&gt;"",BR47,IF(BU47&lt;&gt;"",BU47,IF(BX47&lt;&gt;"",BX47,IF(CA47&lt;&gt;"",CA47,IF(CD47&lt;&gt;"",CD47,""))))))))))))</f>
        <v>14</v>
      </c>
      <c r="H47" s="23" t="n">
        <f aca="false">IF(CE47&lt;&gt;"",CE47,IF(CH47&lt;&gt;"",CH47,IF(CK47&lt;&gt;"",CK47,IF(CN47&lt;&gt;"",CN47,IF(CQ47&lt;&gt;"",CQ47,IF(CT47&lt;&gt;"",CT47,IF(CW47&lt;&gt;"",CW47,IF(CZ47&lt;&gt;"",CZ47,IF(DC47&lt;&gt;"",DC47,IF(DF47&lt;&gt;"",DF47,IF(DI47&lt;&gt;"",DI47,IF(DL47&lt;&gt;"",DL47,""))))))))))))</f>
        <v>10</v>
      </c>
      <c r="I47" s="23" t="n">
        <f aca="false">IF(CF47&lt;&gt;"",CF47,IF(CI47&lt;&gt;"",CI47,IF(CL47&lt;&gt;"",CL47,IF(CO47&lt;&gt;"",CO47,IF(CR47&lt;&gt;"",CR47,IF(CU47&lt;&gt;"",CU47,IF(CX47&lt;&gt;"",CX47,IF(DA47&lt;&gt;"",DA47,IF(DD47&lt;&gt;"",DD47,IF(DG47&lt;&gt;"",DG47,IF(DJ47&lt;&gt;"",DJ47,IF(DM47&lt;&gt;"",DM47,""))))))))))))</f>
        <v>10</v>
      </c>
      <c r="J47" s="23" t="n">
        <f aca="false">IF(CG47&lt;&gt;"",CG47,IF(CJ47&lt;&gt;"",CJ47,IF(CM47&lt;&gt;"",CM47,IF(CP47&lt;&gt;"",CP47,IF(CS47&lt;&gt;"",CS47,IF(CV47&lt;&gt;"",CV47,IF(CY47&lt;&gt;"",CY47,IF(DB47&lt;&gt;"",DB47,IF(DE47&lt;&gt;"",DE47,IF(DH47&lt;&gt;"",DH47,IF(DK47&lt;&gt;"",DK47,IF(DN47&lt;&gt;"",DN47,""))))))))))))</f>
        <v>10</v>
      </c>
      <c r="K47" s="2" t="str">
        <f aca="false">IF(COUNT(K30,K31,K32,K33,K34,K35,K36,K37,K38,K39,K40,K41,K42,K43,K44,K45)=0,"",COUNT(K30:K45))</f>
        <v/>
      </c>
      <c r="L47" s="2" t="n">
        <f aca="false">COUNT(L30:L45)</f>
        <v>16</v>
      </c>
      <c r="M47" s="2" t="n">
        <f aca="false">COUNT(M30:M45)</f>
        <v>16</v>
      </c>
      <c r="N47" s="23" t="str">
        <f aca="false">IF(COUNT(N30,N31,N32,N33,N34,N35,N36,N37,N38,N39,N40,N41,N42,N43,N44,N45)=0,"",COUNT(N30:N45))</f>
        <v/>
      </c>
      <c r="O47" s="23" t="n">
        <f aca="false">COUNT(O30:O45)</f>
        <v>16</v>
      </c>
      <c r="P47" s="23" t="n">
        <f aca="false">COUNT(P30:P45)</f>
        <v>16</v>
      </c>
      <c r="Q47" s="2" t="str">
        <f aca="false">IF(COUNT(Q30,Q31,Q32,Q33,Q34,Q35,Q36,Q37,Q38,Q39,Q40,Q41,Q42,Q43,Q44,Q45)=0,"",COUNT(Q30:Q45))</f>
        <v/>
      </c>
      <c r="R47" s="2" t="n">
        <f aca="false">COUNT(R30:R45)</f>
        <v>16</v>
      </c>
      <c r="S47" s="2" t="n">
        <f aca="false">COUNT(S30:S45)</f>
        <v>16</v>
      </c>
      <c r="T47" s="23" t="str">
        <f aca="false">IF(COUNT(T30,T31,T32,T33,T34,T35,T36,T37,T38,T39,T40,T41,T42,T43,T44,T45)=0,"",COUNT(T30:T45))</f>
        <v/>
      </c>
      <c r="U47" s="23" t="n">
        <f aca="false">COUNT(U30:U45)</f>
        <v>16</v>
      </c>
      <c r="V47" s="23" t="n">
        <f aca="false">COUNT(V30:V45)</f>
        <v>16</v>
      </c>
      <c r="W47" s="2" t="str">
        <f aca="false">IF(COUNT(W30,W31,W32,W33,W34,W35,W36,W37,W38,W39,W40,W41,W42,W43,W44,W45)=0,"",COUNT(W30:W45))</f>
        <v/>
      </c>
      <c r="X47" s="2" t="n">
        <f aca="false">COUNT(X30:X45)</f>
        <v>16</v>
      </c>
      <c r="Y47" s="2" t="n">
        <f aca="false">COUNT(Y30:Y45)</f>
        <v>16</v>
      </c>
      <c r="Z47" s="23" t="str">
        <f aca="false">IF(COUNT(Z30,Z31,Z32,Z33,Z34,Z35,Z36,Z37,Z38,Z39,Z40,Z41,Z42,Z43,Z44,Z45)=0,"",COUNT(Z30:Z45))</f>
        <v/>
      </c>
      <c r="AA47" s="23" t="n">
        <f aca="false">COUNT(AA30:AA45)</f>
        <v>16</v>
      </c>
      <c r="AB47" s="23" t="n">
        <f aca="false">COUNT(AB30:AB45)</f>
        <v>16</v>
      </c>
      <c r="AC47" s="2" t="str">
        <f aca="false">IF(COUNT(AC30,AC31,AC32,AC33,AC34,AC35,AC36,AC37,AC38,AC39,AC40,AC41,AC42,AC43,AC44,AC45)=0,"",COUNT(AC30:AC45))</f>
        <v/>
      </c>
      <c r="AD47" s="2" t="n">
        <f aca="false">COUNT(AD30:AD45)</f>
        <v>16</v>
      </c>
      <c r="AE47" s="2" t="n">
        <f aca="false">COUNT(AE30:AE45)</f>
        <v>16</v>
      </c>
      <c r="AF47" s="23" t="str">
        <f aca="false">IF(COUNT(AF30,AF31,AF32,AF33,AF34,AF35,AF36,AF37,AF38,AF39,AF40,AF41,AF42,AF43,AF44,AF45)=0,"",COUNT(AF30:AF45))</f>
        <v/>
      </c>
      <c r="AG47" s="23" t="n">
        <f aca="false">COUNT(AG30:AG45)</f>
        <v>16</v>
      </c>
      <c r="AH47" s="23" t="n">
        <f aca="false">COUNT(AH30:AH45)</f>
        <v>16</v>
      </c>
      <c r="AI47" s="2" t="str">
        <f aca="false">IF(COUNT(AI30,AI31,AI32,AI33,AI34,AI35,AI36,AI37,AI38,AI39,AI40,AI41,AI42,AI43,AI44,AI45)=0,"",COUNT(AI30:AI45))</f>
        <v/>
      </c>
      <c r="AJ47" s="2" t="n">
        <f aca="false">COUNT(AJ30:AJ45)</f>
        <v>16</v>
      </c>
      <c r="AK47" s="2" t="n">
        <f aca="false">COUNT(AK30:AK45)</f>
        <v>16</v>
      </c>
      <c r="AL47" s="23" t="str">
        <f aca="false">IF(COUNT(AL30,AL31,AL32,AL33,AL34,AL35,AL36,AL37,AL38,AL39,AL40,AL41,AL42,AL43,AL44,AL45)=0,"",COUNT(AL30:AL45))</f>
        <v/>
      </c>
      <c r="AM47" s="23" t="n">
        <f aca="false">COUNT(AM30:AM45)</f>
        <v>16</v>
      </c>
      <c r="AN47" s="23" t="n">
        <f aca="false">COUNT(AN30:AN45)</f>
        <v>16</v>
      </c>
      <c r="AO47" s="2" t="str">
        <f aca="false">IF(COUNT(AO30,AO31,AO32,AO33,AO34,AO35,AO36,AO37,AO38,AO39,AO40,AO41,AO42,AO43,AO44,AO45)=0,"",COUNT(AO30:AO45))</f>
        <v/>
      </c>
      <c r="AP47" s="2" t="n">
        <f aca="false">COUNT(AP30:AP45)</f>
        <v>16</v>
      </c>
      <c r="AQ47" s="2" t="n">
        <f aca="false">COUNT(AQ30:AQ45)</f>
        <v>16</v>
      </c>
      <c r="AR47" s="23" t="str">
        <f aca="false">IF(COUNT(AR30,AR31,AR32,AR33,AR34,AR35,AR36,AR37,AR38,AR39,AR40,AR41,AR43,AR44,AR45)=0,"",COUNT(AR30:AR45))</f>
        <v/>
      </c>
      <c r="AS47" s="23" t="n">
        <f aca="false">COUNT(AS30:AS45)</f>
        <v>15</v>
      </c>
      <c r="AT47" s="23" t="n">
        <f aca="false">COUNT(AT30:AT45)</f>
        <v>15</v>
      </c>
      <c r="AU47" s="2" t="str">
        <f aca="false">IF(COUNT(AU30,AU31,AU32,AU33,AU34,AU35,AU36,AU37,AU38,AU39,AU40,AU41,AU43,AU44)=0,"",COUNT(AU30:AU45))</f>
        <v/>
      </c>
      <c r="AV47" s="2" t="n">
        <f aca="false">COUNT(AV30:AV45)</f>
        <v>14</v>
      </c>
      <c r="AW47" s="2" t="n">
        <f aca="false">COUNT(AW30:AW45)</f>
        <v>14</v>
      </c>
      <c r="AX47" s="23" t="str">
        <f aca="false">IF(COUNT(AX30,AX31,AX32,AX33,AX34,AX35,AX36,AX37,AX38,AX39,AX40,AX41,AX43,AX44)=0,"",COUNT(AX30:AX45))</f>
        <v/>
      </c>
      <c r="AY47" s="23" t="n">
        <f aca="false">COUNT(AY30:AY45)</f>
        <v>14</v>
      </c>
      <c r="AZ47" s="23" t="n">
        <f aca="false">COUNT(AZ30:AZ45)</f>
        <v>14</v>
      </c>
      <c r="BA47" s="2" t="str">
        <f aca="false">IF(COUNT(BA30,BA31,BA32,BA33,BA34,BA35,BA36,BA37,BA38,BA39,BA40,BA41,BA43)=0,"",COUNT(BA30:BA45))</f>
        <v/>
      </c>
      <c r="BB47" s="2" t="n">
        <f aca="false">COUNT(BB30:BB45)</f>
        <v>13</v>
      </c>
      <c r="BC47" s="2" t="n">
        <f aca="false">COUNT(BC30:BC45)</f>
        <v>13</v>
      </c>
      <c r="BD47" s="23" t="str">
        <f aca="false">IF(COUNT(BD30,BD31,BD32,BD33,BD34,BD35,BD36,BD37,BD38,BD39,BD40,BD41,BD43)=0,"",COUNT(BD30:BD45))</f>
        <v/>
      </c>
      <c r="BE47" s="23" t="n">
        <f aca="false">COUNT(BE30:BE45)</f>
        <v>13</v>
      </c>
      <c r="BF47" s="23" t="n">
        <f aca="false">COUNT(BF30:BF45)</f>
        <v>13</v>
      </c>
      <c r="BG47" s="2" t="str">
        <f aca="false">IF(COUNT(BG30,BG31,BG32,BG33,BG34,BG35,BG36,BG37,BG38,BG39,BG40,BG41,BG43)=0,"",COUNT(BG30:BG45))</f>
        <v/>
      </c>
      <c r="BH47" s="2" t="n">
        <f aca="false">COUNT(BH30:BH45)</f>
        <v>13</v>
      </c>
      <c r="BI47" s="2" t="n">
        <f aca="false">COUNT(BI30:BI45)</f>
        <v>13</v>
      </c>
      <c r="BJ47" s="23" t="str">
        <f aca="false">IF(COUNT(BJ30,BJ31,BJ32,BJ33,BJ34,BJ35,BJ36,BJ37,BJ38,BJ39,BJ40,BJ43)=0,"",COUNT(BJ30:BJ45))</f>
        <v/>
      </c>
      <c r="BK47" s="23" t="n">
        <f aca="false">COUNT(BK30:BK45)</f>
        <v>12</v>
      </c>
      <c r="BL47" s="23" t="n">
        <f aca="false">COUNT(BL30:BL45)</f>
        <v>12</v>
      </c>
      <c r="BM47" s="2" t="str">
        <f aca="false">IF(COUNT(BM30,BM31,BM32,BM33,BM34,BM35,BM36,BM37,BM38,BM39,BM40,BM43)=0,"",COUNT(BM30:BM45))</f>
        <v/>
      </c>
      <c r="BN47" s="2" t="n">
        <f aca="false">COUNT(BN30:BN45)</f>
        <v>12</v>
      </c>
      <c r="BO47" s="2" t="n">
        <f aca="false">COUNT(BO30:BO45)</f>
        <v>12</v>
      </c>
      <c r="BP47" s="23" t="str">
        <f aca="false">IF(COUNT(BP30,BP31,BP32,BP33,BP34,BP35,BP36,BP37,BP38,BP39,BP40)=0,"",COUNT(BP30:BP45))</f>
        <v/>
      </c>
      <c r="BQ47" s="23" t="n">
        <f aca="false">COUNT(BQ30:BQ45)</f>
        <v>11</v>
      </c>
      <c r="BR47" s="23" t="n">
        <f aca="false">COUNT(BR30:BR45)</f>
        <v>11</v>
      </c>
      <c r="BS47" s="2" t="str">
        <f aca="false">IF(COUNT(BS30,BS31,BS32,BS33,BS34,BS35,BS36,BS37,BS38,BS39,BS40)=0,"",COUNT(BS30:BS45))</f>
        <v/>
      </c>
      <c r="BT47" s="2" t="n">
        <f aca="false">COUNT(BT30:BT45)</f>
        <v>11</v>
      </c>
      <c r="BU47" s="2" t="n">
        <f aca="false">COUNT(BU30:BU45)</f>
        <v>11</v>
      </c>
      <c r="BV47" s="23" t="str">
        <f aca="false">IF(COUNT(BV30,BV31,BV32,BV33,BV34,BV35,BV36,BV37,BV38,BV39,BV40)=0,"",COUNT(BV30:BV45))</f>
        <v/>
      </c>
      <c r="BW47" s="23" t="n">
        <f aca="false">COUNT(BW30:BW45)</f>
        <v>11</v>
      </c>
      <c r="BX47" s="23" t="n">
        <f aca="false">COUNT(BX30:BX45)</f>
        <v>11</v>
      </c>
      <c r="BY47" s="2" t="str">
        <f aca="false">IF(COUNT(BY30,BY31,BY32,BY33,BY34,BY35,BY36,BY37,BY38,BY39,BY40)=0,"",COUNT(BY30:BY45))</f>
        <v/>
      </c>
      <c r="BZ47" s="2" t="n">
        <f aca="false">COUNT(BZ30:BZ45)</f>
        <v>11</v>
      </c>
      <c r="CA47" s="2" t="n">
        <f aca="false">COUNT(CA30:CA45)</f>
        <v>11</v>
      </c>
      <c r="CB47" s="23" t="str">
        <f aca="false">IF(COUNT(CB30,CB31,CB32,CB33,CB34,CB35,CB36,CB37,CB38,CB39)=0,"",COUNT(CB30:CB45))</f>
        <v/>
      </c>
      <c r="CC47" s="23" t="n">
        <f aca="false">COUNT(CC30:CC45)</f>
        <v>10</v>
      </c>
      <c r="CD47" s="23" t="n">
        <f aca="false">COUNT(CD30:CD45)</f>
        <v>10</v>
      </c>
      <c r="CE47" s="2" t="str">
        <f aca="false">IF(COUNT(CE30,CE31,CE32,CE33,CE34,CE35,CE36,CE37,CE38,CE39)=0,"",COUNT(CE30:CE45))</f>
        <v/>
      </c>
      <c r="CF47" s="2" t="n">
        <f aca="false">COUNT(CF30:CF45)</f>
        <v>10</v>
      </c>
      <c r="CG47" s="2" t="n">
        <f aca="false">COUNT(CG30:CG45)</f>
        <v>10</v>
      </c>
      <c r="CH47" s="23" t="str">
        <f aca="false">IF(COUNT(CH30,CH31,CH32,CH33,CH34,CH35,CH36,CH37,CH38,CH39)=0,"",COUNT(CH30:CH45))</f>
        <v/>
      </c>
      <c r="CI47" s="23" t="n">
        <f aca="false">COUNT(CI30:CI45)</f>
        <v>10</v>
      </c>
      <c r="CJ47" s="23" t="n">
        <f aca="false">COUNT(CJ30:CJ45)</f>
        <v>10</v>
      </c>
      <c r="CK47" s="2" t="str">
        <f aca="false">IF(COUNT(CK30,CK31,CK32,CK33,CK34,CK35,CK36,CK37,CK38,CK39)=0,"",COUNT(CK30:CK45))</f>
        <v/>
      </c>
      <c r="CL47" s="2" t="n">
        <f aca="false">COUNT(CL30:CL45)</f>
        <v>10</v>
      </c>
      <c r="CM47" s="2" t="n">
        <f aca="false">COUNT(CM30:CM45)</f>
        <v>10</v>
      </c>
      <c r="CN47" s="23" t="str">
        <f aca="false">IF(COUNT(CN30,CN31,CN32,CN33,CN34,CN35,CN36,CN37,CN38,CN39)=0,"",COUNT(CN30:CN45))</f>
        <v/>
      </c>
      <c r="CO47" s="23" t="n">
        <f aca="false">COUNT(CO30:CO45)</f>
        <v>10</v>
      </c>
      <c r="CP47" s="23" t="n">
        <f aca="false">COUNT(CP30:CP45)</f>
        <v>10</v>
      </c>
      <c r="CQ47" s="2" t="str">
        <f aca="false">IF(COUNT(CQ30,CQ31,CQ32,CQ33,CQ34,CQ35,CQ36,CQ37,CQ38,CQ39)=0,"",COUNT(CQ30:CQ45))</f>
        <v/>
      </c>
      <c r="CR47" s="2" t="n">
        <f aca="false">COUNT(CR30:CR45)</f>
        <v>10</v>
      </c>
      <c r="CS47" s="2" t="n">
        <f aca="false">COUNT(CS30:CS45)</f>
        <v>10</v>
      </c>
      <c r="CT47" s="23" t="str">
        <f aca="false">IF(COUNT(CT30,CT31,CT32,CT33,CT34,CT35,CT36,CT37,CT38,CT39)=0,"",COUNT(CT30:CT45))</f>
        <v/>
      </c>
      <c r="CU47" s="23" t="n">
        <f aca="false">COUNT(CU30:CU45)</f>
        <v>10</v>
      </c>
      <c r="CV47" s="23" t="n">
        <f aca="false">COUNT(CV30:CV45)</f>
        <v>10</v>
      </c>
      <c r="CW47" s="2" t="str">
        <f aca="false">IF(COUNT(CW30,CW31,CW32,CW33,CW34,CW35,CW36,CW37,CW38,CW39)=0,"",COUNT(CW30:CW45))</f>
        <v/>
      </c>
      <c r="CX47" s="2" t="n">
        <f aca="false">COUNT(CX30:CX45)</f>
        <v>10</v>
      </c>
      <c r="CY47" s="2" t="n">
        <f aca="false">COUNT(CY30:CY45)</f>
        <v>10</v>
      </c>
      <c r="CZ47" s="23" t="str">
        <f aca="false">IF(COUNT(CZ30,CZ31,CZ32,CZ33,CZ34,CZ35,CZ36,CZ37,CZ38,CZ39)=0,"",COUNT(CZ30:CZ45))</f>
        <v/>
      </c>
      <c r="DA47" s="23" t="n">
        <f aca="false">COUNT(DA30:DA45)</f>
        <v>10</v>
      </c>
      <c r="DB47" s="23" t="n">
        <f aca="false">COUNT(DB30:DB45)</f>
        <v>10</v>
      </c>
      <c r="DC47" s="2" t="str">
        <f aca="false">IF(COUNT(DC30,DC31,DC32,DC33,DC34,DC35,DC36,DC37,DC38,DC39)=0,"",COUNT(DC30:DC45))</f>
        <v/>
      </c>
      <c r="DD47" s="2" t="n">
        <f aca="false">COUNT(DD30:DD45)</f>
        <v>10</v>
      </c>
      <c r="DE47" s="2" t="n">
        <f aca="false">COUNT(DE30:DE45)</f>
        <v>10</v>
      </c>
      <c r="DF47" s="23" t="str">
        <f aca="false">IF(COUNT(DF30,DF31,DF32,DF33,DF34,DF35,DF36,DF37,DF38,DF39)=0,"",COUNT(DF30:DF45))</f>
        <v/>
      </c>
      <c r="DG47" s="23" t="n">
        <f aca="false">COUNT(DG30:DG45)</f>
        <v>10</v>
      </c>
      <c r="DH47" s="23" t="n">
        <f aca="false">COUNT(DH30:DH45)</f>
        <v>10</v>
      </c>
      <c r="DI47" s="2" t="n">
        <f aca="false">IF(COUNT(DI30,DI31,DI32,DI33,DI34,DI35,DI36,DI37,DI38,DI39)=0,"",COUNT(DI30:DI45))</f>
        <v>10</v>
      </c>
      <c r="DJ47" s="2" t="n">
        <f aca="false">COUNT(DJ30:DJ45)</f>
        <v>10</v>
      </c>
      <c r="DK47" s="2" t="n">
        <f aca="false">COUNT(DK30:DK45)</f>
        <v>10</v>
      </c>
      <c r="DL47" s="23" t="n">
        <f aca="false">IF(COUNT(DL30,DL31,DL32,DL33,DL34,DL35,DL36,DL37,DL38,DL39)=0,"",COUNT(DL30:DL45))</f>
        <v>10</v>
      </c>
      <c r="DM47" s="23" t="n">
        <f aca="false">COUNT(DM30:DM45)</f>
        <v>10</v>
      </c>
      <c r="DN47" s="23" t="n">
        <f aca="false">COUNT(DN30:DN45)</f>
        <v>10</v>
      </c>
    </row>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c r="A60" s="5" t="s">
        <v>272</v>
      </c>
      <c r="B60" s="102" t="n">
        <v>135</v>
      </c>
    </row>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39">
    <mergeCell ref="B1:D1"/>
    <mergeCell ref="E1:G1"/>
    <mergeCell ref="H1:J1"/>
    <mergeCell ref="K1:M1"/>
    <mergeCell ref="N1:P1"/>
    <mergeCell ref="Q1:S1"/>
    <mergeCell ref="T1:V1"/>
    <mergeCell ref="W1:Y1"/>
    <mergeCell ref="Z1:AB1"/>
    <mergeCell ref="AC1:AE1"/>
    <mergeCell ref="AF1:AH1"/>
    <mergeCell ref="AI1:AK1"/>
    <mergeCell ref="AL1:AN1"/>
    <mergeCell ref="AO1:AQ1"/>
    <mergeCell ref="AR1:AT1"/>
    <mergeCell ref="AU1:AW1"/>
    <mergeCell ref="AX1:AZ1"/>
    <mergeCell ref="BA1:BC1"/>
    <mergeCell ref="BD1:BF1"/>
    <mergeCell ref="BG1:BI1"/>
    <mergeCell ref="BJ1:BL1"/>
    <mergeCell ref="BM1:BO1"/>
    <mergeCell ref="BP1:BR1"/>
    <mergeCell ref="BS1:BU1"/>
    <mergeCell ref="BV1:BX1"/>
    <mergeCell ref="BY1:CA1"/>
    <mergeCell ref="CB1:CD1"/>
    <mergeCell ref="CE1:CG1"/>
    <mergeCell ref="CH1:CJ1"/>
    <mergeCell ref="CK1:CM1"/>
    <mergeCell ref="CN1:CP1"/>
    <mergeCell ref="CQ1:CS1"/>
    <mergeCell ref="CT1:CV1"/>
    <mergeCell ref="CW1:CY1"/>
    <mergeCell ref="CZ1:DB1"/>
    <mergeCell ref="DC1:DE1"/>
    <mergeCell ref="DF1:DH1"/>
    <mergeCell ref="DI1:DK1"/>
    <mergeCell ref="DL1:DN1"/>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N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false" zeroHeight="false" outlineLevelRow="0" outlineLevelCol="0"/>
  <cols>
    <col collapsed="false" customWidth="true" hidden="false" outlineLevel="0" max="1" min="1" style="0" width="44"/>
    <col collapsed="false" customWidth="true" hidden="false" outlineLevel="0" max="118" min="2" style="0" width="11"/>
  </cols>
  <sheetData>
    <row r="1" customFormat="false" ht="15" hidden="false" customHeight="false" outlineLevel="0" collapsed="false">
      <c r="B1" s="6" t="str">
        <f aca="false">"FY"&amp;YEAR(K$1)</f>
        <v>FY2028</v>
      </c>
      <c r="C1" s="6"/>
      <c r="D1" s="6"/>
      <c r="E1" s="7" t="str">
        <f aca="false">"FY"&amp;YEAR(AU$1)</f>
        <v>FY2027</v>
      </c>
      <c r="F1" s="7"/>
      <c r="G1" s="7"/>
      <c r="H1" s="6" t="str">
        <f aca="false">"FY"&amp;YEAR(CE$1)</f>
        <v>FY2026</v>
      </c>
      <c r="I1" s="6"/>
      <c r="J1" s="6"/>
      <c r="K1" s="8" t="n">
        <f aca="false">EOMONTH(N$1,1)</f>
        <v>47118</v>
      </c>
      <c r="L1" s="8"/>
      <c r="M1" s="8"/>
      <c r="N1" s="9" t="n">
        <f aca="false">EOMONTH(Q$1,1)</f>
        <v>47087</v>
      </c>
      <c r="O1" s="9"/>
      <c r="P1" s="9"/>
      <c r="Q1" s="8" t="n">
        <f aca="false">EOMONTH(T$1,1)</f>
        <v>47057</v>
      </c>
      <c r="R1" s="8"/>
      <c r="S1" s="8"/>
      <c r="T1" s="9" t="n">
        <f aca="false">EOMONTH(W$1,1)</f>
        <v>47026</v>
      </c>
      <c r="U1" s="9"/>
      <c r="V1" s="9"/>
      <c r="W1" s="8" t="n">
        <f aca="false">EOMONTH(Z$1,1)</f>
        <v>46996</v>
      </c>
      <c r="X1" s="8"/>
      <c r="Y1" s="8"/>
      <c r="Z1" s="9" t="n">
        <f aca="false">EOMONTH(AC$1,1)</f>
        <v>46965</v>
      </c>
      <c r="AA1" s="9"/>
      <c r="AB1" s="9"/>
      <c r="AC1" s="8" t="n">
        <f aca="false">EOMONTH(AF$1,1)</f>
        <v>46934</v>
      </c>
      <c r="AD1" s="8"/>
      <c r="AE1" s="8"/>
      <c r="AF1" s="9" t="n">
        <f aca="false">EOMONTH(AI$1,1)</f>
        <v>46904</v>
      </c>
      <c r="AG1" s="9"/>
      <c r="AH1" s="9"/>
      <c r="AI1" s="8" t="n">
        <f aca="false">EOMONTH(AL$1,1)</f>
        <v>46873</v>
      </c>
      <c r="AJ1" s="8"/>
      <c r="AK1" s="8"/>
      <c r="AL1" s="9" t="n">
        <f aca="false">EOMONTH(AO$1,1)</f>
        <v>46843</v>
      </c>
      <c r="AM1" s="9"/>
      <c r="AN1" s="9"/>
      <c r="AO1" s="8" t="n">
        <f aca="false">EOMONTH(AR$1,1)</f>
        <v>46812</v>
      </c>
      <c r="AP1" s="8"/>
      <c r="AQ1" s="8"/>
      <c r="AR1" s="9" t="n">
        <f aca="false">EOMONTH(AU$1,1)</f>
        <v>46783</v>
      </c>
      <c r="AS1" s="9"/>
      <c r="AT1" s="9"/>
      <c r="AU1" s="8" t="n">
        <f aca="false">EOMONTH(AX$1,1)</f>
        <v>46752</v>
      </c>
      <c r="AV1" s="8"/>
      <c r="AW1" s="8"/>
      <c r="AX1" s="9" t="n">
        <f aca="false">EOMONTH(BA$1,1)</f>
        <v>46721</v>
      </c>
      <c r="AY1" s="9"/>
      <c r="AZ1" s="9"/>
      <c r="BA1" s="8" t="n">
        <f aca="false">EOMONTH(BD$1,1)</f>
        <v>46691</v>
      </c>
      <c r="BB1" s="8"/>
      <c r="BC1" s="8"/>
      <c r="BD1" s="9" t="n">
        <f aca="false">EOMONTH(BG$1,1)</f>
        <v>46660</v>
      </c>
      <c r="BE1" s="9"/>
      <c r="BF1" s="9"/>
      <c r="BG1" s="8" t="n">
        <f aca="false">EOMONTH(BJ$1,1)</f>
        <v>46630</v>
      </c>
      <c r="BH1" s="8"/>
      <c r="BI1" s="8"/>
      <c r="BJ1" s="9" t="n">
        <f aca="false">EOMONTH(BM$1,1)</f>
        <v>46599</v>
      </c>
      <c r="BK1" s="9"/>
      <c r="BL1" s="9"/>
      <c r="BM1" s="8" t="n">
        <f aca="false">EOMONTH(BP$1,1)</f>
        <v>46568</v>
      </c>
      <c r="BN1" s="8"/>
      <c r="BO1" s="8"/>
      <c r="BP1" s="9" t="n">
        <f aca="false">EOMONTH(BS$1,1)</f>
        <v>46538</v>
      </c>
      <c r="BQ1" s="9"/>
      <c r="BR1" s="9"/>
      <c r="BS1" s="8" t="n">
        <f aca="false">EOMONTH(BV$1,1)</f>
        <v>46507</v>
      </c>
      <c r="BT1" s="8"/>
      <c r="BU1" s="8"/>
      <c r="BV1" s="9" t="n">
        <f aca="false">EOMONTH(BY$1,1)</f>
        <v>46477</v>
      </c>
      <c r="BW1" s="9"/>
      <c r="BX1" s="9"/>
      <c r="BY1" s="8" t="n">
        <f aca="false">EOMONTH(CB$1,1)</f>
        <v>46446</v>
      </c>
      <c r="BZ1" s="8"/>
      <c r="CA1" s="8"/>
      <c r="CB1" s="9" t="n">
        <f aca="false">EOMONTH(CE$1,1)</f>
        <v>46418</v>
      </c>
      <c r="CC1" s="9"/>
      <c r="CD1" s="9"/>
      <c r="CE1" s="8" t="n">
        <f aca="false">EOMONTH(CH$1,1)</f>
        <v>46387</v>
      </c>
      <c r="CF1" s="8"/>
      <c r="CG1" s="8"/>
      <c r="CH1" s="9" t="n">
        <f aca="false">EOMONTH(CK$1,1)</f>
        <v>46356</v>
      </c>
      <c r="CI1" s="9"/>
      <c r="CJ1" s="9"/>
      <c r="CK1" s="8" t="n">
        <f aca="false">EOMONTH(CN$1,1)</f>
        <v>46326</v>
      </c>
      <c r="CL1" s="8"/>
      <c r="CM1" s="8"/>
      <c r="CN1" s="9" t="n">
        <f aca="false">EOMONTH(CQ$1,1)</f>
        <v>46295</v>
      </c>
      <c r="CO1" s="9"/>
      <c r="CP1" s="9"/>
      <c r="CQ1" s="8" t="n">
        <f aca="false">EOMONTH(CT$1,1)</f>
        <v>46265</v>
      </c>
      <c r="CR1" s="8"/>
      <c r="CS1" s="8"/>
      <c r="CT1" s="9" t="n">
        <f aca="false">EOMONTH(CW$1,1)</f>
        <v>46234</v>
      </c>
      <c r="CU1" s="9"/>
      <c r="CV1" s="9"/>
      <c r="CW1" s="8" t="n">
        <f aca="false">EOMONTH(CZ$1,1)</f>
        <v>46203</v>
      </c>
      <c r="CX1" s="8"/>
      <c r="CY1" s="8"/>
      <c r="CZ1" s="9" t="n">
        <f aca="false">EOMONTH(DC$1,1)</f>
        <v>46173</v>
      </c>
      <c r="DA1" s="9"/>
      <c r="DB1" s="9"/>
      <c r="DC1" s="8" t="n">
        <f aca="false">EOMONTH(DF$1,1)</f>
        <v>46142</v>
      </c>
      <c r="DD1" s="8"/>
      <c r="DE1" s="8"/>
      <c r="DF1" s="9" t="n">
        <f aca="false">EOMONTH(DI$1,1)</f>
        <v>46112</v>
      </c>
      <c r="DG1" s="9"/>
      <c r="DH1" s="9"/>
      <c r="DI1" s="8" t="n">
        <f aca="false">EOMONTH(DL$1,1)</f>
        <v>46081</v>
      </c>
      <c r="DJ1" s="8"/>
      <c r="DK1" s="8"/>
      <c r="DL1" s="9" t="n">
        <f aca="false">Finance!$DL$61</f>
        <v>46053</v>
      </c>
      <c r="DM1" s="9"/>
      <c r="DN1" s="9"/>
    </row>
    <row r="2" customFormat="false" ht="15" hidden="false" customHeight="false" outlineLevel="0" collapsed="false">
      <c r="A2" s="10"/>
      <c r="B2" s="11" t="s">
        <v>99</v>
      </c>
      <c r="C2" s="11" t="s">
        <v>100</v>
      </c>
      <c r="D2" s="11" t="s">
        <v>101</v>
      </c>
      <c r="E2" s="10" t="s">
        <v>99</v>
      </c>
      <c r="F2" s="10" t="s">
        <v>100</v>
      </c>
      <c r="G2" s="10" t="s">
        <v>101</v>
      </c>
      <c r="H2" s="11" t="s">
        <v>99</v>
      </c>
      <c r="I2" s="11" t="s">
        <v>100</v>
      </c>
      <c r="J2" s="11" t="s">
        <v>101</v>
      </c>
      <c r="K2" s="10" t="s">
        <v>99</v>
      </c>
      <c r="L2" s="10" t="s">
        <v>100</v>
      </c>
      <c r="M2" s="10" t="s">
        <v>101</v>
      </c>
      <c r="N2" s="11" t="s">
        <v>99</v>
      </c>
      <c r="O2" s="11" t="s">
        <v>100</v>
      </c>
      <c r="P2" s="11" t="s">
        <v>101</v>
      </c>
      <c r="Q2" s="10" t="s">
        <v>99</v>
      </c>
      <c r="R2" s="10" t="s">
        <v>100</v>
      </c>
      <c r="S2" s="10" t="s">
        <v>101</v>
      </c>
      <c r="T2" s="11" t="s">
        <v>99</v>
      </c>
      <c r="U2" s="11" t="s">
        <v>100</v>
      </c>
      <c r="V2" s="11" t="s">
        <v>101</v>
      </c>
      <c r="W2" s="10" t="s">
        <v>99</v>
      </c>
      <c r="X2" s="10" t="s">
        <v>100</v>
      </c>
      <c r="Y2" s="10" t="s">
        <v>101</v>
      </c>
      <c r="Z2" s="11" t="s">
        <v>99</v>
      </c>
      <c r="AA2" s="11" t="s">
        <v>100</v>
      </c>
      <c r="AB2" s="11" t="s">
        <v>101</v>
      </c>
      <c r="AC2" s="10" t="s">
        <v>99</v>
      </c>
      <c r="AD2" s="10" t="s">
        <v>100</v>
      </c>
      <c r="AE2" s="10" t="s">
        <v>101</v>
      </c>
      <c r="AF2" s="11" t="s">
        <v>99</v>
      </c>
      <c r="AG2" s="11" t="s">
        <v>100</v>
      </c>
      <c r="AH2" s="11" t="s">
        <v>101</v>
      </c>
      <c r="AI2" s="10" t="s">
        <v>99</v>
      </c>
      <c r="AJ2" s="10" t="s">
        <v>100</v>
      </c>
      <c r="AK2" s="10" t="s">
        <v>101</v>
      </c>
      <c r="AL2" s="11" t="s">
        <v>99</v>
      </c>
      <c r="AM2" s="11" t="s">
        <v>100</v>
      </c>
      <c r="AN2" s="11" t="s">
        <v>101</v>
      </c>
      <c r="AO2" s="10" t="s">
        <v>99</v>
      </c>
      <c r="AP2" s="10" t="s">
        <v>100</v>
      </c>
      <c r="AQ2" s="10" t="s">
        <v>101</v>
      </c>
      <c r="AR2" s="11" t="s">
        <v>99</v>
      </c>
      <c r="AS2" s="11" t="s">
        <v>100</v>
      </c>
      <c r="AT2" s="11" t="s">
        <v>101</v>
      </c>
      <c r="AU2" s="10" t="s">
        <v>99</v>
      </c>
      <c r="AV2" s="10" t="s">
        <v>100</v>
      </c>
      <c r="AW2" s="10" t="s">
        <v>101</v>
      </c>
      <c r="AX2" s="11" t="s">
        <v>99</v>
      </c>
      <c r="AY2" s="11" t="s">
        <v>100</v>
      </c>
      <c r="AZ2" s="11" t="s">
        <v>101</v>
      </c>
      <c r="BA2" s="10" t="s">
        <v>99</v>
      </c>
      <c r="BB2" s="10" t="s">
        <v>100</v>
      </c>
      <c r="BC2" s="10" t="s">
        <v>101</v>
      </c>
      <c r="BD2" s="11" t="s">
        <v>99</v>
      </c>
      <c r="BE2" s="11" t="s">
        <v>100</v>
      </c>
      <c r="BF2" s="11" t="s">
        <v>101</v>
      </c>
      <c r="BG2" s="10" t="s">
        <v>99</v>
      </c>
      <c r="BH2" s="10" t="s">
        <v>100</v>
      </c>
      <c r="BI2" s="10" t="s">
        <v>101</v>
      </c>
      <c r="BJ2" s="11" t="s">
        <v>99</v>
      </c>
      <c r="BK2" s="11" t="s">
        <v>100</v>
      </c>
      <c r="BL2" s="11" t="s">
        <v>101</v>
      </c>
      <c r="BM2" s="10" t="s">
        <v>99</v>
      </c>
      <c r="BN2" s="10" t="s">
        <v>100</v>
      </c>
      <c r="BO2" s="10" t="s">
        <v>101</v>
      </c>
      <c r="BP2" s="11" t="s">
        <v>99</v>
      </c>
      <c r="BQ2" s="11" t="s">
        <v>100</v>
      </c>
      <c r="BR2" s="11" t="s">
        <v>101</v>
      </c>
      <c r="BS2" s="10" t="s">
        <v>99</v>
      </c>
      <c r="BT2" s="10" t="s">
        <v>100</v>
      </c>
      <c r="BU2" s="10" t="s">
        <v>101</v>
      </c>
      <c r="BV2" s="11" t="s">
        <v>99</v>
      </c>
      <c r="BW2" s="11" t="s">
        <v>100</v>
      </c>
      <c r="BX2" s="11" t="s">
        <v>101</v>
      </c>
      <c r="BY2" s="10" t="s">
        <v>99</v>
      </c>
      <c r="BZ2" s="10" t="s">
        <v>100</v>
      </c>
      <c r="CA2" s="10" t="s">
        <v>101</v>
      </c>
      <c r="CB2" s="11" t="s">
        <v>99</v>
      </c>
      <c r="CC2" s="11" t="s">
        <v>100</v>
      </c>
      <c r="CD2" s="11" t="s">
        <v>101</v>
      </c>
      <c r="CE2" s="10" t="s">
        <v>99</v>
      </c>
      <c r="CF2" s="10" t="s">
        <v>100</v>
      </c>
      <c r="CG2" s="10" t="s">
        <v>101</v>
      </c>
      <c r="CH2" s="11" t="s">
        <v>99</v>
      </c>
      <c r="CI2" s="11" t="s">
        <v>100</v>
      </c>
      <c r="CJ2" s="11" t="s">
        <v>101</v>
      </c>
      <c r="CK2" s="10" t="s">
        <v>99</v>
      </c>
      <c r="CL2" s="10" t="s">
        <v>100</v>
      </c>
      <c r="CM2" s="10" t="s">
        <v>101</v>
      </c>
      <c r="CN2" s="11" t="s">
        <v>99</v>
      </c>
      <c r="CO2" s="11" t="s">
        <v>100</v>
      </c>
      <c r="CP2" s="11" t="s">
        <v>101</v>
      </c>
      <c r="CQ2" s="10" t="s">
        <v>99</v>
      </c>
      <c r="CR2" s="10" t="s">
        <v>100</v>
      </c>
      <c r="CS2" s="10" t="s">
        <v>101</v>
      </c>
      <c r="CT2" s="11" t="s">
        <v>99</v>
      </c>
      <c r="CU2" s="11" t="s">
        <v>100</v>
      </c>
      <c r="CV2" s="11" t="s">
        <v>101</v>
      </c>
      <c r="CW2" s="10" t="s">
        <v>99</v>
      </c>
      <c r="CX2" s="10" t="s">
        <v>100</v>
      </c>
      <c r="CY2" s="10" t="s">
        <v>101</v>
      </c>
      <c r="CZ2" s="11" t="s">
        <v>99</v>
      </c>
      <c r="DA2" s="11" t="s">
        <v>100</v>
      </c>
      <c r="DB2" s="11" t="s">
        <v>101</v>
      </c>
      <c r="DC2" s="10" t="s">
        <v>99</v>
      </c>
      <c r="DD2" s="10" t="s">
        <v>100</v>
      </c>
      <c r="DE2" s="10" t="s">
        <v>101</v>
      </c>
      <c r="DF2" s="11" t="s">
        <v>99</v>
      </c>
      <c r="DG2" s="11" t="s">
        <v>100</v>
      </c>
      <c r="DH2" s="11" t="s">
        <v>101</v>
      </c>
      <c r="DI2" s="10" t="s">
        <v>99</v>
      </c>
      <c r="DJ2" s="10" t="s">
        <v>100</v>
      </c>
      <c r="DK2" s="10" t="s">
        <v>101</v>
      </c>
      <c r="DL2" s="11" t="s">
        <v>99</v>
      </c>
      <c r="DM2" s="11" t="s">
        <v>100</v>
      </c>
      <c r="DN2" s="11" t="s">
        <v>101</v>
      </c>
    </row>
    <row r="3" customFormat="false" ht="15" hidden="false" customHeight="false" outlineLevel="0" collapsed="false">
      <c r="A3" s="5" t="s">
        <v>273</v>
      </c>
      <c r="B3" s="12" t="str">
        <f aca="false">IF(COUNT(AR3,AO3,AL3,AI3,AF3,AC3,Z3,W3,T3,Q3,N3,K3)=0,"",SUM(AR3,AO3,AL3,AI3,AF3,AC3,Z3,W3,T3,Q3,N3,K3))</f>
        <v/>
      </c>
      <c r="C3" s="12" t="n">
        <f aca="false">IF(COUNT(AS3,AP3,AM3,AJ3,AG3,AD3,AA3,X3,U3,R3,O3,L3)=0,"",SUM(AS3,AP3,AM3,AJ3,AG3,AD3,AA3,X3,U3,R3,O3,L3))</f>
        <v>25519411.9319208</v>
      </c>
      <c r="D3" s="12" t="n">
        <f aca="false">IF(COUNT(AT3,AQ3,AN3,AK3,AH3,AE3,AB3,Y3,V3,S3,P3,M3)=0,"",SUM(AT3,AQ3,AN3,AK3,AH3,AE3,AB3,Y3,V3,S3,P3,M3))</f>
        <v>25205052.012</v>
      </c>
      <c r="E3" s="13" t="str">
        <f aca="false">IF(COUNT(CB3,BY3,BV3,BS3,BP3,BM3,BJ3,BG3,BD3,BA3,AX3,AU3)=0,"",SUM(CB3,BY3,BV3,BS3,BP3,BM3,BJ3,BG3,BD3,BA3,AX3,AU3))</f>
        <v/>
      </c>
      <c r="F3" s="13" t="n">
        <f aca="false">IF(COUNT(CC3,BZ3,BW3,BT3,BQ3,BN3,BK3,BH3,BE3,BB3,AY3,AV3)=0,"",SUM(CC3,BZ3,BW3,BT3,BQ3,BN3,BK3,BH3,BE3,BB3,AY3,AV3))</f>
        <v>18839138.2931834</v>
      </c>
      <c r="G3" s="13" t="n">
        <f aca="false">IF(COUNT(CD3,CA3,BX3,BU3,BR3,BO3,BL3,BI3,BF3,BC3,AZ3,AW3)=0,"",SUM(CD3,CA3,BX3,BU3,BR3,BO3,BL3,BI3,BF3,BC3,AZ3,AW3))</f>
        <v>18521269.672</v>
      </c>
      <c r="H3" s="12" t="n">
        <f aca="false">IF(COUNT(DL3,DI3,DF3,DC3,CZ3,CW3,CT3,CQ3,CN3,CK3,CH3,CE3)=0,"",SUM(DL3,DI3,DF3,DC3,CZ3,CW3,CT3,CQ3,CN3,CK3,CH3,CE3))</f>
        <v>2059117.4476564</v>
      </c>
      <c r="I3" s="12" t="n">
        <f aca="false">IF(COUNT(DM3,DJ3,DG3,DD3,DA3,CX3,CU3,CR3,CO3,CL3,CI3,CF3)=0,"",SUM(DM3,DJ3,DG3,DD3,DA3,CX3,CU3,CR3,CO3,CL3,CI3,CF3))</f>
        <v>14222328.7718445</v>
      </c>
      <c r="J3" s="12" t="n">
        <f aca="false">IF(COUNT(DN3,DK3,DH3,DE3,DB3,CY3,CV3,CS3,CP3,CM3,CJ3,CG3)=0,"",SUM(DN3,DK3,DH3,DE3,DB3,CY3,CV3,CS3,CP3,CM3,CJ3,CG3))</f>
        <v>13889102.932</v>
      </c>
      <c r="K3" s="13" t="str">
        <f aca="false">IF(COUNT(Summary!K7)=1,Summary!K7,"")</f>
        <v/>
      </c>
      <c r="L3" s="13" t="n">
        <f aca="false">Summary!L7</f>
        <v>2442077.32222036</v>
      </c>
      <c r="M3" s="13" t="n">
        <f aca="false">Summary!M7</f>
        <v>2416063.779</v>
      </c>
      <c r="N3" s="12" t="str">
        <f aca="false">IF(COUNT(Summary!N7)=1,Summary!N7,"")</f>
        <v/>
      </c>
      <c r="O3" s="12" t="n">
        <f aca="false">Summary!O7</f>
        <v>2382997.26275961</v>
      </c>
      <c r="P3" s="12" t="n">
        <f aca="false">Summary!P7</f>
        <v>2356950.906</v>
      </c>
      <c r="Q3" s="13" t="str">
        <f aca="false">IF(COUNT(Summary!Q7)=1,Summary!Q7,"")</f>
        <v/>
      </c>
      <c r="R3" s="13" t="n">
        <f aca="false">Summary!R7</f>
        <v>2324352.76622078</v>
      </c>
      <c r="S3" s="13" t="n">
        <f aca="false">Summary!S7</f>
        <v>2298273.858</v>
      </c>
      <c r="T3" s="12" t="str">
        <f aca="false">IF(COUNT(Summary!T7)=1,Summary!T7,"")</f>
        <v/>
      </c>
      <c r="U3" s="12" t="n">
        <f aca="false">Summary!U7</f>
        <v>2266210.69868097</v>
      </c>
      <c r="V3" s="12" t="n">
        <f aca="false">Summary!V7</f>
        <v>2240098.86</v>
      </c>
      <c r="W3" s="13" t="str">
        <f aca="false">IF(COUNT(Summary!W7)=1,Summary!W7,"")</f>
        <v/>
      </c>
      <c r="X3" s="13" t="n">
        <f aca="false">Summary!X7</f>
        <v>2208501.55491807</v>
      </c>
      <c r="Y3" s="13" t="n">
        <f aca="false">Summary!Y7</f>
        <v>2182357.052</v>
      </c>
      <c r="Z3" s="12" t="str">
        <f aca="false">IF(COUNT(Summary!Z7)=1,Summary!Z7,"")</f>
        <v/>
      </c>
      <c r="AA3" s="12" t="n">
        <f aca="false">Summary!AA7</f>
        <v>2151224.33343859</v>
      </c>
      <c r="AB3" s="12" t="n">
        <f aca="false">Summary!AB7</f>
        <v>2125047.439</v>
      </c>
      <c r="AC3" s="13" t="str">
        <f aca="false">IF(COUNT(Summary!AC7)=1,Summary!AC7,"")</f>
        <v/>
      </c>
      <c r="AD3" s="13" t="n">
        <f aca="false">Summary!AD7</f>
        <v>2094444.63942965</v>
      </c>
      <c r="AE3" s="13" t="n">
        <f aca="false">Summary!AE7</f>
        <v>2068234.942</v>
      </c>
      <c r="AF3" s="12" t="str">
        <f aca="false">IF(COUNT(Summary!AF7)=1,Summary!AF7,"")</f>
        <v/>
      </c>
      <c r="AG3" s="12" t="n">
        <f aca="false">Summary!AG7</f>
        <v>2038095.83632833</v>
      </c>
      <c r="AH3" s="12" t="n">
        <f aca="false">Summary!AH7</f>
        <v>2011853.599</v>
      </c>
      <c r="AI3" s="13" t="str">
        <f aca="false">IF(COUNT(Summary!AI7)=1,Summary!AI7,"")</f>
        <v/>
      </c>
      <c r="AJ3" s="13" t="n">
        <f aca="false">Summary!AJ7</f>
        <v>1982242.71847953</v>
      </c>
      <c r="AK3" s="13" t="n">
        <f aca="false">Summary!AK7</f>
        <v>1955967.485</v>
      </c>
      <c r="AL3" s="12" t="str">
        <f aca="false">IF(COUNT(Summary!AL7)=1,Summary!AL7,"")</f>
        <v/>
      </c>
      <c r="AM3" s="12" t="n">
        <f aca="false">Summary!AM7</f>
        <v>1926883.28803952</v>
      </c>
      <c r="AN3" s="12" t="n">
        <f aca="false">Summary!AN7</f>
        <v>1900574.578</v>
      </c>
      <c r="AO3" s="13" t="str">
        <f aca="false">IF(COUNT(Summary!AO7)=1,Summary!AO7,"")</f>
        <v/>
      </c>
      <c r="AP3" s="13" t="n">
        <f aca="false">Summary!AP7</f>
        <v>1871950.48663577</v>
      </c>
      <c r="AQ3" s="13" t="n">
        <f aca="false">Summary!AQ7</f>
        <v>1845608.557</v>
      </c>
      <c r="AR3" s="12" t="str">
        <f aca="false">IF(COUNT(Summary!AR7)=1,Summary!AR7,"")</f>
        <v/>
      </c>
      <c r="AS3" s="12" t="n">
        <f aca="false">Summary!AS7</f>
        <v>1830431.02476958</v>
      </c>
      <c r="AT3" s="12" t="n">
        <f aca="false">Summary!AT7</f>
        <v>1804020.957</v>
      </c>
      <c r="AU3" s="13" t="str">
        <f aca="false">IF(COUNT(Summary!AU7)=1,Summary!AU7,"")</f>
        <v/>
      </c>
      <c r="AV3" s="13" t="n">
        <f aca="false">Summary!AV7</f>
        <v>1789165.55188105</v>
      </c>
      <c r="AW3" s="13" t="n">
        <f aca="false">Summary!AW7</f>
        <v>1762752.248</v>
      </c>
      <c r="AX3" s="12" t="str">
        <f aca="false">IF(COUNT(Summary!AX7)=1,Summary!AX7,"")</f>
        <v/>
      </c>
      <c r="AY3" s="12" t="n">
        <f aca="false">Summary!AY7</f>
        <v>1748219.66210855</v>
      </c>
      <c r="AZ3" s="12" t="n">
        <f aca="false">Summary!AZ7</f>
        <v>1721739.191</v>
      </c>
      <c r="BA3" s="13" t="str">
        <f aca="false">IF(COUNT(Summary!BA7)=1,Summary!BA7,"")</f>
        <v/>
      </c>
      <c r="BB3" s="13" t="n">
        <f aca="false">Summary!BB7</f>
        <v>1707528.12090369</v>
      </c>
      <c r="BC3" s="13" t="n">
        <f aca="false">Summary!BC7</f>
        <v>1681044.513</v>
      </c>
      <c r="BD3" s="12" t="str">
        <f aca="false">IF(COUNT(Summary!BD7)=1,Summary!BD7,"")</f>
        <v/>
      </c>
      <c r="BE3" s="12" t="n">
        <f aca="false">Summary!BE7</f>
        <v>1667154.08014186</v>
      </c>
      <c r="BF3" s="12" t="n">
        <f aca="false">Summary!BF7</f>
        <v>1640666.867</v>
      </c>
      <c r="BG3" s="13" t="str">
        <f aca="false">IF(COUNT(Summary!BG7)=1,Summary!BG7,"")</f>
        <v/>
      </c>
      <c r="BH3" s="13" t="n">
        <f aca="false">Summary!BH7</f>
        <v>1627033.10606109</v>
      </c>
      <c r="BI3" s="13" t="n">
        <f aca="false">Summary!BI7</f>
        <v>1600542.669</v>
      </c>
      <c r="BJ3" s="12" t="str">
        <f aca="false">IF(COUNT(Summary!BJ7)=1,Summary!BJ7,"")</f>
        <v/>
      </c>
      <c r="BK3" s="12" t="n">
        <f aca="false">Summary!BK7</f>
        <v>1587227.55144917</v>
      </c>
      <c r="BL3" s="12" t="n">
        <f aca="false">Summary!BL7</f>
        <v>1560733.403</v>
      </c>
      <c r="BM3" s="13" t="str">
        <f aca="false">IF(COUNT(Summary!BM7)=1,Summary!BM7,"")</f>
        <v/>
      </c>
      <c r="BN3" s="13" t="n">
        <f aca="false">Summary!BN7</f>
        <v>1547673.79705404</v>
      </c>
      <c r="BO3" s="13" t="n">
        <f aca="false">Summary!BO7</f>
        <v>1521176.333</v>
      </c>
      <c r="BP3" s="12" t="str">
        <f aca="false">IF(COUNT(Summary!BP7)=1,Summary!BP7,"")</f>
        <v/>
      </c>
      <c r="BQ3" s="12" t="n">
        <f aca="false">Summary!BQ7</f>
        <v>1508391.50096901</v>
      </c>
      <c r="BR3" s="12" t="n">
        <f aca="false">Summary!BR7</f>
        <v>1481890.212</v>
      </c>
      <c r="BS3" s="13" t="str">
        <f aca="false">IF(COUNT(Summary!BS7)=1,Summary!BS7,"")</f>
        <v/>
      </c>
      <c r="BT3" s="13" t="n">
        <f aca="false">Summary!BT7</f>
        <v>1469379.44274868</v>
      </c>
      <c r="BU3" s="13" t="n">
        <f aca="false">Summary!BU7</f>
        <v>1442873.802</v>
      </c>
      <c r="BV3" s="12" t="str">
        <f aca="false">IF(COUNT(Summary!BV7)=1,Summary!BV7,"")</f>
        <v/>
      </c>
      <c r="BW3" s="12" t="n">
        <f aca="false">Summary!BW7</f>
        <v>1430576.9418171</v>
      </c>
      <c r="BX3" s="12" t="n">
        <f aca="false">Summary!BX7</f>
        <v>1404067.34</v>
      </c>
      <c r="BY3" s="13" t="str">
        <f aca="false">IF(COUNT(Summary!BY7)=1,Summary!BY7,"")</f>
        <v/>
      </c>
      <c r="BZ3" s="13" t="n">
        <f aca="false">Summary!BZ7</f>
        <v>1392044.4317137</v>
      </c>
      <c r="CA3" s="13" t="n">
        <f aca="false">Summary!CA7</f>
        <v>1365530.294</v>
      </c>
      <c r="CB3" s="12" t="str">
        <f aca="false">IF(COUNT(Summary!CB7)=1,Summary!CB7,"")</f>
        <v/>
      </c>
      <c r="CC3" s="12" t="n">
        <f aca="false">Summary!CC7</f>
        <v>1364744.10633544</v>
      </c>
      <c r="CD3" s="12" t="n">
        <f aca="false">Summary!CD7</f>
        <v>1338252.8</v>
      </c>
      <c r="CE3" s="13" t="str">
        <f aca="false">IF(COUNT(Summary!CE7)=1,Summary!CE7,"")</f>
        <v/>
      </c>
      <c r="CF3" s="13" t="n">
        <f aca="false">Summary!CF7</f>
        <v>1337598.15018913</v>
      </c>
      <c r="CG3" s="13" t="n">
        <f aca="false">Summary!CG7</f>
        <v>1311129.236</v>
      </c>
      <c r="CH3" s="12" t="str">
        <f aca="false">IF(COUNT(Summary!CH7)=1,Summary!CH7,"")</f>
        <v/>
      </c>
      <c r="CI3" s="12" t="n">
        <f aca="false">Summary!CI7</f>
        <v>1310605.83472651</v>
      </c>
      <c r="CJ3" s="12" t="n">
        <f aca="false">Summary!CJ7</f>
        <v>1284099.945</v>
      </c>
      <c r="CK3" s="13" t="str">
        <f aca="false">IF(COUNT(Summary!CK7)=1,Summary!CK7,"")</f>
        <v/>
      </c>
      <c r="CL3" s="13" t="n">
        <f aca="false">Summary!CL7</f>
        <v>1283706.9185022</v>
      </c>
      <c r="CM3" s="13" t="n">
        <f aca="false">Summary!CM7</f>
        <v>1257223.726</v>
      </c>
      <c r="CN3" s="12" t="str">
        <f aca="false">IF(COUNT(Summary!CN7)=1,Summary!CN7,"")</f>
        <v/>
      </c>
      <c r="CO3" s="12" t="n">
        <f aca="false">Summary!CO7</f>
        <v>1256960.78831946</v>
      </c>
      <c r="CP3" s="12" t="n">
        <f aca="false">Summary!CP7</f>
        <v>1230499.836</v>
      </c>
      <c r="CQ3" s="13" t="str">
        <f aca="false">IF(COUNT(Summary!CQ7)=1,Summary!CQ7,"")</f>
        <v/>
      </c>
      <c r="CR3" s="13" t="n">
        <f aca="false">Summary!CR7</f>
        <v>1230366.70847815</v>
      </c>
      <c r="CS3" s="13" t="n">
        <f aca="false">Summary!CS7</f>
        <v>1203869.999</v>
      </c>
      <c r="CT3" s="12" t="str">
        <f aca="false">IF(COUNT(Summary!CT7)=1,Summary!CT7,"")</f>
        <v/>
      </c>
      <c r="CU3" s="12" t="n">
        <f aca="false">Summary!CU7</f>
        <v>1203865.78790022</v>
      </c>
      <c r="CV3" s="12" t="n">
        <f aca="false">Summary!CV7</f>
        <v>1177391.632</v>
      </c>
      <c r="CW3" s="13" t="str">
        <f aca="false">IF(COUNT(Summary!CW7)=1,Summary!CW7,"")</f>
        <v/>
      </c>
      <c r="CX3" s="13" t="n">
        <f aca="false">Summary!CX7</f>
        <v>1177516.06136902</v>
      </c>
      <c r="CY3" s="13" t="n">
        <f aca="false">Summary!CY7</f>
        <v>1151063.985</v>
      </c>
      <c r="CZ3" s="12" t="str">
        <f aca="false">IF(COUNT(Summary!CZ7)=1,Summary!CZ7,"")</f>
        <v/>
      </c>
      <c r="DA3" s="12" t="n">
        <f aca="false">Summary!DA7</f>
        <v>1151316.78440544</v>
      </c>
      <c r="DB3" s="12" t="n">
        <f aca="false">Summary!DB7</f>
        <v>1124830.219</v>
      </c>
      <c r="DC3" s="13" t="str">
        <f aca="false">IF(COUNT(Summary!DC7)=1,Summary!DC7,"")</f>
        <v/>
      </c>
      <c r="DD3" s="13" t="n">
        <f aca="false">Summary!DD7</f>
        <v>1125211.94154308</v>
      </c>
      <c r="DE3" s="13" t="n">
        <f aca="false">Summary!DE7</f>
        <v>1098747.754</v>
      </c>
      <c r="DF3" s="12" t="str">
        <f aca="false">IF(COUNT(Summary!DF7)=1,Summary!DF7,"")</f>
        <v/>
      </c>
      <c r="DG3" s="12" t="n">
        <f aca="false">Summary!DG7</f>
        <v>1086062.34875488</v>
      </c>
      <c r="DH3" s="12" t="n">
        <f aca="false">Summary!DH7</f>
        <v>1049966.122</v>
      </c>
      <c r="DI3" s="13" t="n">
        <f aca="false">IF(COUNT(Summary!DI7)=1,Summary!DI7,"")</f>
        <v>1037575.4476564</v>
      </c>
      <c r="DJ3" s="13" t="n">
        <f aca="false">Summary!DJ7</f>
        <v>1037575.4476564</v>
      </c>
      <c r="DK3" s="13" t="n">
        <f aca="false">Summary!DK7</f>
        <v>1001538.478</v>
      </c>
      <c r="DL3" s="12" t="n">
        <f aca="false">IF(COUNT(Summary!DL7)=1,Summary!DL7,"")</f>
        <v>1021542</v>
      </c>
      <c r="DM3" s="12" t="n">
        <f aca="false">Summary!DM7</f>
        <v>1021542</v>
      </c>
      <c r="DN3" s="12" t="n">
        <f aca="false">Summary!DN7</f>
        <v>998742</v>
      </c>
    </row>
    <row r="4" customFormat="false" ht="15" hidden="false" customHeight="false" outlineLevel="0" collapsed="false">
      <c r="A4" s="17" t="s">
        <v>145</v>
      </c>
      <c r="B4" s="92" t="str">
        <f aca="false">IF(K4&lt;&gt;"",K4,IF(N4&lt;&gt;"",N4,IF(Q4&lt;&gt;"",Q4,IF(T4&lt;&gt;"",T4,IF(W4&lt;&gt;"",W4,IF(Z4&lt;&gt;"",Z4,IF(AC4&lt;&gt;"",AC4,IF(AF4&lt;&gt;"",AF4,IF(AI4&lt;&gt;"",AI4,IF(AL4&lt;&gt;"",AL4,IF(AO4&lt;&gt;"",AO4,IF(AR4&lt;&gt;"",AR4,""))))))))))))</f>
        <v/>
      </c>
      <c r="C4" s="92" t="n">
        <f aca="false">IF(L4&lt;&gt;"",L4,IF(O4&lt;&gt;"",O4,IF(R4&lt;&gt;"",R4,IF(U4&lt;&gt;"",U4,IF(X4&lt;&gt;"",X4,IF(AA4&lt;&gt;"",AA4,IF(AD4&lt;&gt;"",AD4,IF(AG4&lt;&gt;"",AG4,IF(AJ4&lt;&gt;"",AJ4,IF(AM4&lt;&gt;"",AM4,IF(AP4&lt;&gt;"",AP4,IF(AS4&lt;&gt;"",AS4,""))))))))))))</f>
        <v>30</v>
      </c>
      <c r="D4" s="92" t="n">
        <f aca="false">IF(M4&lt;&gt;"",M4,IF(P4&lt;&gt;"",P4,IF(S4&lt;&gt;"",S4,IF(V4&lt;&gt;"",V4,IF(Y4&lt;&gt;"",Y4,IF(AB4&lt;&gt;"",AB4,IF(AE4&lt;&gt;"",AE4,IF(AH4&lt;&gt;"",AH4,IF(AK4&lt;&gt;"",AK4,IF(AN4&lt;&gt;"",AN4,IF(AQ4&lt;&gt;"",AQ4,IF(AT4&lt;&gt;"",AT4,""))))))))))))</f>
        <v>30</v>
      </c>
      <c r="E4" s="93" t="str">
        <f aca="false">IF(AU4&lt;&gt;"",AU4,IF(AX4&lt;&gt;"",AX4,IF(BA4&lt;&gt;"",BA4,IF(BD4&lt;&gt;"",BD4,IF(BG4&lt;&gt;"",BG4,IF(BJ4&lt;&gt;"",BJ4,IF(BM4&lt;&gt;"",BM4,IF(BP4&lt;&gt;"",BP4,IF(BS4&lt;&gt;"",BS4,IF(BV4&lt;&gt;"",BV4,IF(BY4&lt;&gt;"",BY4,IF(CB4&lt;&gt;"",CB4,""))))))))))))</f>
        <v/>
      </c>
      <c r="F4" s="93" t="n">
        <f aca="false">IF(AV4&lt;&gt;"",AV4,IF(AY4&lt;&gt;"",AY4,IF(BB4&lt;&gt;"",BB4,IF(BE4&lt;&gt;"",BE4,IF(BH4&lt;&gt;"",BH4,IF(BK4&lt;&gt;"",BK4,IF(BN4&lt;&gt;"",BN4,IF(BQ4&lt;&gt;"",BQ4,IF(BT4&lt;&gt;"",BT4,IF(BW4&lt;&gt;"",BW4,IF(BZ4&lt;&gt;"",BZ4,IF(CC4&lt;&gt;"",CC4,""))))))))))))</f>
        <v>30</v>
      </c>
      <c r="G4" s="93" t="n">
        <f aca="false">IF(AW4&lt;&gt;"",AW4,IF(AZ4&lt;&gt;"",AZ4,IF(BC4&lt;&gt;"",BC4,IF(BF4&lt;&gt;"",BF4,IF(BI4&lt;&gt;"",BI4,IF(BL4&lt;&gt;"",BL4,IF(BO4&lt;&gt;"",BO4,IF(BR4&lt;&gt;"",BR4,IF(BU4&lt;&gt;"",BU4,IF(BX4&lt;&gt;"",BX4,IF(CA4&lt;&gt;"",CA4,IF(CD4&lt;&gt;"",CD4,""))))))))))))</f>
        <v>30</v>
      </c>
      <c r="H4" s="92" t="n">
        <f aca="false">IF(CE4&lt;&gt;"",CE4,IF(CH4&lt;&gt;"",CH4,IF(CK4&lt;&gt;"",CK4,IF(CN4&lt;&gt;"",CN4,IF(CQ4&lt;&gt;"",CQ4,IF(CT4&lt;&gt;"",CT4,IF(CW4&lt;&gt;"",CW4,IF(CZ4&lt;&gt;"",CZ4,IF(DC4&lt;&gt;"",DC4,IF(DF4&lt;&gt;"",DF4,IF(DI4&lt;&gt;"",DI4,IF(DL4&lt;&gt;"",DL4,""))))))))))))</f>
        <v>30</v>
      </c>
      <c r="I4" s="92" t="n">
        <f aca="false">IF(CF4&lt;&gt;"",CF4,IF(CI4&lt;&gt;"",CI4,IF(CL4&lt;&gt;"",CL4,IF(CO4&lt;&gt;"",CO4,IF(CR4&lt;&gt;"",CR4,IF(CU4&lt;&gt;"",CU4,IF(CX4&lt;&gt;"",CX4,IF(DA4&lt;&gt;"",DA4,IF(DD4&lt;&gt;"",DD4,IF(DG4&lt;&gt;"",DG4,IF(DJ4&lt;&gt;"",DJ4,IF(DM4&lt;&gt;"",DM4,""))))))))))))</f>
        <v>30</v>
      </c>
      <c r="J4" s="92" t="n">
        <f aca="false">IF(CG4&lt;&gt;"",CG4,IF(CJ4&lt;&gt;"",CJ4,IF(CM4&lt;&gt;"",CM4,IF(CP4&lt;&gt;"",CP4,IF(CS4&lt;&gt;"",CS4,IF(CV4&lt;&gt;"",CV4,IF(CY4&lt;&gt;"",CY4,IF(DB4&lt;&gt;"",DB4,IF(DE4&lt;&gt;"",DE4,IF(DH4&lt;&gt;"",DH4,IF(DK4&lt;&gt;"",DK4,IF(DN4&lt;&gt;"",DN4,""))))))))))))</f>
        <v>30</v>
      </c>
      <c r="K4" s="137"/>
      <c r="L4" s="93" t="n">
        <f aca="false">IF('Cash Drivers'!L$26,Finance!K4,Finance!M4)</f>
        <v>30</v>
      </c>
      <c r="M4" s="94" t="n">
        <v>30</v>
      </c>
      <c r="N4" s="138"/>
      <c r="O4" s="92" t="n">
        <f aca="false">IF('Cash Drivers'!O$26,Finance!N4,Finance!P4)</f>
        <v>30</v>
      </c>
      <c r="P4" s="95" t="n">
        <v>30</v>
      </c>
      <c r="Q4" s="137"/>
      <c r="R4" s="93" t="n">
        <f aca="false">IF('Cash Drivers'!R$26,Finance!Q4,Finance!S4)</f>
        <v>30</v>
      </c>
      <c r="S4" s="94" t="n">
        <v>30</v>
      </c>
      <c r="T4" s="138"/>
      <c r="U4" s="92" t="n">
        <f aca="false">IF('Cash Drivers'!U$26,Finance!T4,Finance!V4)</f>
        <v>30</v>
      </c>
      <c r="V4" s="95" t="n">
        <v>30</v>
      </c>
      <c r="W4" s="137"/>
      <c r="X4" s="93" t="n">
        <f aca="false">IF('Cash Drivers'!X$26,Finance!W4,Finance!Y4)</f>
        <v>30</v>
      </c>
      <c r="Y4" s="94" t="n">
        <v>30</v>
      </c>
      <c r="Z4" s="138"/>
      <c r="AA4" s="92" t="n">
        <f aca="false">IF('Cash Drivers'!AA$26,Finance!Z4,Finance!AB4)</f>
        <v>30</v>
      </c>
      <c r="AB4" s="95" t="n">
        <v>30</v>
      </c>
      <c r="AC4" s="137"/>
      <c r="AD4" s="93" t="n">
        <f aca="false">IF('Cash Drivers'!AD$26,Finance!AC4,Finance!AE4)</f>
        <v>30</v>
      </c>
      <c r="AE4" s="94" t="n">
        <v>30</v>
      </c>
      <c r="AF4" s="138"/>
      <c r="AG4" s="92" t="n">
        <f aca="false">IF('Cash Drivers'!AG$26,Finance!AF4,Finance!AH4)</f>
        <v>30</v>
      </c>
      <c r="AH4" s="95" t="n">
        <v>30</v>
      </c>
      <c r="AI4" s="137"/>
      <c r="AJ4" s="93" t="n">
        <f aca="false">IF('Cash Drivers'!AJ$26,Finance!AI4,Finance!AK4)</f>
        <v>30</v>
      </c>
      <c r="AK4" s="94" t="n">
        <v>30</v>
      </c>
      <c r="AL4" s="138"/>
      <c r="AM4" s="92" t="n">
        <f aca="false">IF('Cash Drivers'!AM$26,Finance!AL4,Finance!AN4)</f>
        <v>30</v>
      </c>
      <c r="AN4" s="95" t="n">
        <v>30</v>
      </c>
      <c r="AO4" s="137"/>
      <c r="AP4" s="93" t="n">
        <f aca="false">IF('Cash Drivers'!AP$26,Finance!AO4,Finance!AQ4)</f>
        <v>30</v>
      </c>
      <c r="AQ4" s="94" t="n">
        <v>30</v>
      </c>
      <c r="AR4" s="138"/>
      <c r="AS4" s="92" t="n">
        <f aca="false">IF('Cash Drivers'!AS$26,Finance!AR4,Finance!AT4)</f>
        <v>30</v>
      </c>
      <c r="AT4" s="95" t="n">
        <v>30</v>
      </c>
      <c r="AU4" s="137"/>
      <c r="AV4" s="93" t="n">
        <f aca="false">IF('Cash Drivers'!AV$26,Finance!AU4,Finance!AW4)</f>
        <v>30</v>
      </c>
      <c r="AW4" s="94" t="n">
        <v>30</v>
      </c>
      <c r="AX4" s="138"/>
      <c r="AY4" s="92" t="n">
        <f aca="false">IF('Cash Drivers'!AY$26,Finance!AX4,Finance!AZ4)</f>
        <v>30</v>
      </c>
      <c r="AZ4" s="95" t="n">
        <v>30</v>
      </c>
      <c r="BA4" s="137"/>
      <c r="BB4" s="93" t="n">
        <f aca="false">IF('Cash Drivers'!BB$26,Finance!BA4,Finance!BC4)</f>
        <v>30</v>
      </c>
      <c r="BC4" s="94" t="n">
        <v>30</v>
      </c>
      <c r="BD4" s="138"/>
      <c r="BE4" s="92" t="n">
        <f aca="false">IF('Cash Drivers'!BE$26,Finance!BD4,Finance!BF4)</f>
        <v>30</v>
      </c>
      <c r="BF4" s="95" t="n">
        <v>30</v>
      </c>
      <c r="BG4" s="137"/>
      <c r="BH4" s="93" t="n">
        <f aca="false">IF('Cash Drivers'!BH$26,Finance!BG4,Finance!BI4)</f>
        <v>30</v>
      </c>
      <c r="BI4" s="94" t="n">
        <v>30</v>
      </c>
      <c r="BJ4" s="138"/>
      <c r="BK4" s="92" t="n">
        <f aca="false">IF('Cash Drivers'!BK$26,Finance!BJ4,Finance!BL4)</f>
        <v>30</v>
      </c>
      <c r="BL4" s="95" t="n">
        <v>30</v>
      </c>
      <c r="BM4" s="137"/>
      <c r="BN4" s="93" t="n">
        <f aca="false">IF('Cash Drivers'!BN$26,Finance!BM4,Finance!BO4)</f>
        <v>30</v>
      </c>
      <c r="BO4" s="94" t="n">
        <v>30</v>
      </c>
      <c r="BP4" s="138"/>
      <c r="BQ4" s="92" t="n">
        <f aca="false">IF('Cash Drivers'!BQ$26,Finance!BP4,Finance!BR4)</f>
        <v>30</v>
      </c>
      <c r="BR4" s="95" t="n">
        <v>30</v>
      </c>
      <c r="BS4" s="137"/>
      <c r="BT4" s="93" t="n">
        <f aca="false">IF('Cash Drivers'!BT$26,Finance!BS4,Finance!BU4)</f>
        <v>30</v>
      </c>
      <c r="BU4" s="94" t="n">
        <v>30</v>
      </c>
      <c r="BV4" s="138"/>
      <c r="BW4" s="92" t="n">
        <f aca="false">IF('Cash Drivers'!BW$26,Finance!BV4,Finance!BX4)</f>
        <v>30</v>
      </c>
      <c r="BX4" s="95" t="n">
        <v>30</v>
      </c>
      <c r="BY4" s="137"/>
      <c r="BZ4" s="93" t="n">
        <f aca="false">IF('Cash Drivers'!BZ$26,Finance!BY4,Finance!CA4)</f>
        <v>30</v>
      </c>
      <c r="CA4" s="94" t="n">
        <v>30</v>
      </c>
      <c r="CB4" s="138"/>
      <c r="CC4" s="92" t="n">
        <f aca="false">IF('Cash Drivers'!CC$26,Finance!CB4,Finance!CD4)</f>
        <v>30</v>
      </c>
      <c r="CD4" s="95" t="n">
        <v>30</v>
      </c>
      <c r="CE4" s="137"/>
      <c r="CF4" s="93" t="n">
        <f aca="false">IF('Cash Drivers'!CF$26,Finance!CE4,Finance!CG4)</f>
        <v>30</v>
      </c>
      <c r="CG4" s="94" t="n">
        <v>30</v>
      </c>
      <c r="CH4" s="138"/>
      <c r="CI4" s="92" t="n">
        <f aca="false">IF('Cash Drivers'!CI$26,Finance!CH4,Finance!CJ4)</f>
        <v>30</v>
      </c>
      <c r="CJ4" s="95" t="n">
        <v>30</v>
      </c>
      <c r="CK4" s="137"/>
      <c r="CL4" s="93" t="n">
        <f aca="false">IF('Cash Drivers'!CL$26,Finance!CK4,Finance!CM4)</f>
        <v>30</v>
      </c>
      <c r="CM4" s="94" t="n">
        <v>30</v>
      </c>
      <c r="CN4" s="138"/>
      <c r="CO4" s="92" t="n">
        <f aca="false">IF('Cash Drivers'!CO$26,Finance!CN4,Finance!CP4)</f>
        <v>30</v>
      </c>
      <c r="CP4" s="95" t="n">
        <v>30</v>
      </c>
      <c r="CQ4" s="137"/>
      <c r="CR4" s="93" t="n">
        <f aca="false">IF('Cash Drivers'!CR$26,Finance!CQ4,Finance!CS4)</f>
        <v>30</v>
      </c>
      <c r="CS4" s="94" t="n">
        <v>30</v>
      </c>
      <c r="CT4" s="138"/>
      <c r="CU4" s="92" t="n">
        <f aca="false">IF('Cash Drivers'!CU$26,Finance!CT4,Finance!CV4)</f>
        <v>30</v>
      </c>
      <c r="CV4" s="95" t="n">
        <v>30</v>
      </c>
      <c r="CW4" s="137"/>
      <c r="CX4" s="93" t="n">
        <f aca="false">IF('Cash Drivers'!CX$26,Finance!CW4,Finance!CY4)</f>
        <v>30</v>
      </c>
      <c r="CY4" s="94" t="n">
        <v>30</v>
      </c>
      <c r="CZ4" s="138"/>
      <c r="DA4" s="92" t="n">
        <f aca="false">IF('Cash Drivers'!DA$26,Finance!CZ4,Finance!DB4)</f>
        <v>30</v>
      </c>
      <c r="DB4" s="95" t="n">
        <v>30</v>
      </c>
      <c r="DC4" s="137"/>
      <c r="DD4" s="93" t="n">
        <f aca="false">IF('Cash Drivers'!DD$26,Finance!DC4,Finance!DE4)</f>
        <v>30</v>
      </c>
      <c r="DE4" s="94" t="n">
        <v>30</v>
      </c>
      <c r="DF4" s="138"/>
      <c r="DG4" s="92" t="n">
        <f aca="false">IF('Cash Drivers'!DG$26,Finance!DF4,Finance!DH4)</f>
        <v>30</v>
      </c>
      <c r="DH4" s="95" t="n">
        <v>30</v>
      </c>
      <c r="DI4" s="94" t="n">
        <v>30</v>
      </c>
      <c r="DJ4" s="93" t="n">
        <f aca="false">IF('Cash Drivers'!DJ$26,Finance!DI4,Finance!DK4)</f>
        <v>30</v>
      </c>
      <c r="DK4" s="94" t="n">
        <v>30</v>
      </c>
      <c r="DL4" s="95" t="n">
        <v>30</v>
      </c>
      <c r="DM4" s="92" t="n">
        <f aca="false">IF('Cash Drivers'!DM$26,Finance!DL4,Finance!DN4)</f>
        <v>30</v>
      </c>
      <c r="DN4" s="95" t="n">
        <v>30</v>
      </c>
    </row>
    <row r="5" customFormat="false" ht="15" hidden="false" customHeight="false" outlineLevel="0" collapsed="false">
      <c r="A5" s="5" t="s">
        <v>274</v>
      </c>
      <c r="B5" s="12" t="str">
        <f aca="false">IF(COUNT(AR5,AO5,AL5,AI5,AF5,AC5,Z5,W5,T5,Q5,N5,K5)=0,"",SUM(AR5,AO5,AL5,AI5,AF5,AC5,Z5,W5,T5,Q5,N5,K5))</f>
        <v/>
      </c>
      <c r="C5" s="12" t="n">
        <f aca="false">IF(COUNT(AS5,AP5,AM5,AJ5,AG5,AD5,AA5,X5,U5,R5,O5,L5)=0,"",SUM(AS5,AP5,AM5,AJ5,AG5,AD5,AA5,X5,U5,R5,O5,L5))</f>
        <v>24866501</v>
      </c>
      <c r="D5" s="12" t="n">
        <f aca="false">IF(COUNT(AT5,AQ5,AN5,AK5,AH5,AE5,AB5,Y5,V5,S5,P5,M5)=0,"",SUM(AT5,AQ5,AN5,AK5,AH5,AE5,AB5,Y5,V5,S5,P5,M5))</f>
        <v>24551741</v>
      </c>
      <c r="E5" s="13" t="str">
        <f aca="false">IF(COUNT(CB5,BY5,BV5,BS5,BP5,BM5,BJ5,BG5,BD5,BA5,AX5,AU5)=0,"",SUM(CB5,BY5,BV5,BS5,BP5,BM5,BJ5,BG5,BD5,BA5,AX5,AU5))</f>
        <v/>
      </c>
      <c r="F5" s="13" t="n">
        <f aca="false">IF(COUNT(CC5,BZ5,BW5,BT5,BQ5,BN5,BK5,BH5,BE5,BB5,AY5,AV5)=0,"",SUM(CC5,BZ5,BW5,BT5,BQ5,BN5,BK5,BH5,BE5,BB5,AY5,AV5))</f>
        <v>18387571</v>
      </c>
      <c r="G5" s="13" t="n">
        <f aca="false">IF(COUNT(CD5,CA5,BX5,BU5,BR5,BO5,BL5,BI5,BF5,BC5,AZ5,AW5)=0,"",SUM(CD5,CA5,BX5,BU5,BR5,BO5,BL5,BI5,BF5,BC5,AZ5,AW5))</f>
        <v>18069646</v>
      </c>
      <c r="H5" s="12" t="n">
        <f aca="false">IF(COUNT(DL5,DI5,DF5,DC5,CZ5,CW5,CT5,CQ5,CN5,CK5,CH5,CE5)=0,"",SUM(DL5,DI5,DF5,DC5,CZ5,CW5,CT5,CQ5,CN5,CK5,CH5,CE5))</f>
        <v>2017542</v>
      </c>
      <c r="I5" s="12" t="n">
        <f aca="false">IF(COUNT(DM5,DJ5,DG5,DD5,DA5,CX5,CU5,CR5,CO5,CL5,CI5,CF5)=0,"",SUM(DM5,DJ5,DG5,DD5,DA5,CX5,CU5,CR5,CO5,CL5,CI5,CF5))</f>
        <v>14876731</v>
      </c>
      <c r="J5" s="12" t="n">
        <f aca="false">IF(COUNT(DN5,DK5,DH5,DE5,DB5,CY5,CV5,CS5,CP5,CM5,CJ5,CG5)=0,"",SUM(DN5,DK5,DH5,DE5,DB5,CY5,CV5,CS5,CP5,CM5,CJ5,CG5))</f>
        <v>13573974</v>
      </c>
      <c r="K5" s="13"/>
      <c r="L5" s="13" t="n">
        <f aca="false">IF('Cash Drivers'!L$26,K5,ROUND(IF(EOMONTH(DATE(YEAR(Finance!$DL$1),MONTH(Finance!$DL$1),1)+INT((DAY(Finance!$DL$1)-1)/2)+Finance!DM$4,0)=EOMONTH($K$1,0),Finance!DM$3,0)+IF(EOMONTH(DATE(YEAR(Finance!$DI$1),MONTH(Finance!$DI$1),1)+INT((DAY(Finance!$DI$1)-1)/2)+Finance!DJ$4,0)=EOMONTH($K$1,0),Finance!DJ$3,0)+IF(EOMONTH(DATE(YEAR(Finance!$DF$1),MONTH(Finance!$DF$1),1)+INT((DAY(Finance!$DF$1)-1)/2)+Finance!DG$4,0)=EOMONTH($K$1,0),Finance!DG$3,0)+IF(EOMONTH(DATE(YEAR(Finance!$DC$1),MONTH(Finance!$DC$1),1)+INT((DAY(Finance!$DC$1)-1)/2)+Finance!DD$4,0)=EOMONTH($K$1,0),Finance!DD$3,0)+IF(EOMONTH(DATE(YEAR(Finance!$CZ$1),MONTH(Finance!$CZ$1),1)+INT((DAY(Finance!$CZ$1)-1)/2)+Finance!DA$4,0)=EOMONTH($K$1,0),Finance!DA$3,0)+IF(EOMONTH(DATE(YEAR(Finance!$CW$1),MONTH(Finance!$CW$1),1)+INT((DAY(Finance!$CW$1)-1)/2)+Finance!CX$4,0)=EOMONTH($K$1,0),Finance!CX$3,0)+IF(EOMONTH(DATE(YEAR(Finance!$CT$1),MONTH(Finance!$CT$1),1)+INT((DAY(Finance!$CT$1)-1)/2)+Finance!CU$4,0)=EOMONTH($K$1,0),Finance!CU$3,0)+IF(EOMONTH(DATE(YEAR(Finance!$CQ$1),MONTH(Finance!$CQ$1),1)+INT((DAY(Finance!$CQ$1)-1)/2)+Finance!CR$4,0)=EOMONTH($K$1,0),Finance!CR$3,0)+IF(EOMONTH(DATE(YEAR(Finance!$CN$1),MONTH(Finance!$CN$1),1)+INT((DAY(Finance!$CN$1)-1)/2)+Finance!CO$4,0)=EOMONTH($K$1,0),Finance!CO$3,0)+IF(EOMONTH(DATE(YEAR(Finance!$CK$1),MONTH(Finance!$CK$1),1)+INT((DAY(Finance!$CK$1)-1)/2)+Finance!CL$4,0)=EOMONTH($K$1,0),Finance!CL$3,0)+IF(EOMONTH(DATE(YEAR(Finance!$CH$1),MONTH(Finance!$CH$1),1)+INT((DAY(Finance!$CH$1)-1)/2)+Finance!CI$4,0)=EOMONTH($K$1,0),Finance!CI$3,0)+IF(EOMONTH(DATE(YEAR(Finance!$CE$1),MONTH(Finance!$CE$1),1)+INT((DAY(Finance!$CE$1)-1)/2)+Finance!CF$4,0)=EOMONTH($K$1,0),Finance!CF$3,0)+IF(EOMONTH(DATE(YEAR(Finance!$CB$1),MONTH(Finance!$CB$1),1)+INT((DAY(Finance!$CB$1)-1)/2)+Finance!CC$4,0)=EOMONTH($K$1,0),Finance!CC$3,0)+IF(EOMONTH(DATE(YEAR(Finance!$BY$1),MONTH(Finance!$BY$1),1)+INT((DAY(Finance!$BY$1)-1)/2)+Finance!BZ$4,0)=EOMONTH($K$1,0),Finance!BZ$3,0)+IF(EOMONTH(DATE(YEAR(Finance!$BV$1),MONTH(Finance!$BV$1),1)+INT((DAY(Finance!$BV$1)-1)/2)+Finance!BW$4,0)=EOMONTH($K$1,0),Finance!BW$3,0)+IF(EOMONTH(DATE(YEAR(Finance!$BS$1),MONTH(Finance!$BS$1),1)+INT((DAY(Finance!$BS$1)-1)/2)+Finance!BT$4,0)=EOMONTH($K$1,0),Finance!BT$3,0)+IF(EOMONTH(DATE(YEAR(Finance!$BP$1),MONTH(Finance!$BP$1),1)+INT((DAY(Finance!$BP$1)-1)/2)+Finance!BQ$4,0)=EOMONTH($K$1,0),Finance!BQ$3,0)+IF(EOMONTH(DATE(YEAR(Finance!$BM$1),MONTH(Finance!$BM$1),1)+INT((DAY(Finance!$BM$1)-1)/2)+Finance!BN$4,0)=EOMONTH($K$1,0),Finance!BN$3,0)+IF(EOMONTH(DATE(YEAR(Finance!$BJ$1),MONTH(Finance!$BJ$1),1)+INT((DAY(Finance!$BJ$1)-1)/2)+Finance!BK$4,0)=EOMONTH($K$1,0),Finance!BK$3,0)+IF(EOMONTH(DATE(YEAR(Finance!$BG$1),MONTH(Finance!$BG$1),1)+INT((DAY(Finance!$BG$1)-1)/2)+Finance!BH$4,0)=EOMONTH($K$1,0),Finance!BH$3,0)+IF(EOMONTH(DATE(YEAR(Finance!$BD$1),MONTH(Finance!$BD$1),1)+INT((DAY(Finance!$BD$1)-1)/2)+Finance!BE$4,0)=EOMONTH($K$1,0),Finance!BE$3,0)+IF(EOMONTH(DATE(YEAR(Finance!$BA$1),MONTH(Finance!$BA$1),1)+INT((DAY(Finance!$BA$1)-1)/2)+Finance!BB$4,0)=EOMONTH($K$1,0),Finance!BB$3,0)+IF(EOMONTH(DATE(YEAR(Finance!$AX$1),MONTH(Finance!$AX$1),1)+INT((DAY(Finance!$AX$1)-1)/2)+Finance!AY$4,0)=EOMONTH($K$1,0),Finance!AY$3,0)+IF(EOMONTH(DATE(YEAR(Finance!$AU$1),MONTH(Finance!$AU$1),1)+INT((DAY(Finance!$AU$1)-1)/2)+Finance!AV$4,0)=EOMONTH($K$1,0),Finance!AV$3,0)+IF(EOMONTH(DATE(YEAR(Finance!$AR$1),MONTH(Finance!$AR$1),1)+INT((DAY(Finance!$AR$1)-1)/2)+Finance!AS$4,0)=EOMONTH($K$1,0),Finance!AS$3,0)+IF(EOMONTH(DATE(YEAR(Finance!$AO$1),MONTH(Finance!$AO$1),1)+INT((DAY(Finance!$AO$1)-1)/2)+Finance!AP$4,0)=EOMONTH($K$1,0),Finance!AP$3,0)+IF(EOMONTH(DATE(YEAR(Finance!$AL$1),MONTH(Finance!$AL$1),1)+INT((DAY(Finance!$AL$1)-1)/2)+Finance!AM$4,0)=EOMONTH($K$1,0),Finance!AM$3,0)+IF(EOMONTH(DATE(YEAR(Finance!$AI$1),MONTH(Finance!$AI$1),1)+INT((DAY(Finance!$AI$1)-1)/2)+Finance!AJ$4,0)=EOMONTH($K$1,0),Finance!AJ$3,0)+IF(EOMONTH(DATE(YEAR(Finance!$AF$1),MONTH(Finance!$AF$1),1)+INT((DAY(Finance!$AF$1)-1)/2)+Finance!AG$4,0)=EOMONTH($K$1,0),Finance!AG$3,0)+IF(EOMONTH(DATE(YEAR(Finance!$AC$1),MONTH(Finance!$AC$1),1)+INT((DAY(Finance!$AC$1)-1)/2)+Finance!AD$4,0)=EOMONTH($K$1,0),Finance!AD$3,0)+IF(EOMONTH(DATE(YEAR(Finance!$Z$1),MONTH(Finance!$Z$1),1)+INT((DAY(Finance!$Z$1)-1)/2)+Finance!AA$4,0)=EOMONTH($K$1,0),Finance!AA$3,0)+IF(EOMONTH(DATE(YEAR(Finance!$W$1),MONTH(Finance!$W$1),1)+INT((DAY(Finance!$W$1)-1)/2)+Finance!X$4,0)=EOMONTH($K$1,0),Finance!X$3,0)+IF(EOMONTH(DATE(YEAR(Finance!$T$1),MONTH(Finance!$T$1),1)+INT((DAY(Finance!$T$1)-1)/2)+Finance!U$4,0)=EOMONTH($K$1,0),Finance!U$3,0)+IF(EOMONTH(DATE(YEAR(Finance!$Q$1),MONTH(Finance!$Q$1),1)+INT((DAY(Finance!$Q$1)-1)/2)+Finance!R$4,0)=EOMONTH($K$1,0),Finance!R$3,0)+IF(EOMONTH(DATE(YEAR(Finance!$N$1),MONTH(Finance!$N$1),1)+INT((DAY(Finance!$N$1)-1)/2)+Finance!O$4,0)=EOMONTH($K$1,0),Finance!O$3,0)+IF(EOMONTH(DATE(YEAR(Finance!$K$1),MONTH(Finance!$K$1),1)+INT((DAY(Finance!$K$1)-1)/2)+Finance!L$4,0)=EOMONTH($K$1,0),Finance!L$3,0)+IF(EOMONTH('Cash Drivers'!$DL$30+Finance!DM$4,0)=EOMONTH($K$1,0),'Cash Drivers'!$DL$35,0),0))</f>
        <v>2382997</v>
      </c>
      <c r="M5" s="13" t="n">
        <f aca="false">ROUND(IF(EOMONTH(DATE(YEAR(Finance!$DL$1),MONTH(Finance!$DL$1),1)+INT((DAY(Finance!$DL$1)-1)/2)+Finance!DN$4,0)=EOMONTH($K$1,0),Finance!DN$3,0)+IF(EOMONTH(DATE(YEAR(Finance!$DI$1),MONTH(Finance!$DI$1),1)+INT((DAY(Finance!$DI$1)-1)/2)+Finance!DK$4,0)=EOMONTH($K$1,0),Finance!DK$3,0)+IF(EOMONTH(DATE(YEAR(Finance!$DF$1),MONTH(Finance!$DF$1),1)+INT((DAY(Finance!$DF$1)-1)/2)+Finance!DH$4,0)=EOMONTH($K$1,0),Finance!DH$3,0)+IF(EOMONTH(DATE(YEAR(Finance!$DC$1),MONTH(Finance!$DC$1),1)+INT((DAY(Finance!$DC$1)-1)/2)+Finance!DE$4,0)=EOMONTH($K$1,0),Finance!DE$3,0)+IF(EOMONTH(DATE(YEAR(Finance!$CZ$1),MONTH(Finance!$CZ$1),1)+INT((DAY(Finance!$CZ$1)-1)/2)+Finance!DB$4,0)=EOMONTH($K$1,0),Finance!DB$3,0)+IF(EOMONTH(DATE(YEAR(Finance!$CW$1),MONTH(Finance!$CW$1),1)+INT((DAY(Finance!$CW$1)-1)/2)+Finance!CY$4,0)=EOMONTH($K$1,0),Finance!CY$3,0)+IF(EOMONTH(DATE(YEAR(Finance!$CT$1),MONTH(Finance!$CT$1),1)+INT((DAY(Finance!$CT$1)-1)/2)+Finance!CV$4,0)=EOMONTH($K$1,0),Finance!CV$3,0)+IF(EOMONTH(DATE(YEAR(Finance!$CQ$1),MONTH(Finance!$CQ$1),1)+INT((DAY(Finance!$CQ$1)-1)/2)+Finance!CS$4,0)=EOMONTH($K$1,0),Finance!CS$3,0)+IF(EOMONTH(DATE(YEAR(Finance!$CN$1),MONTH(Finance!$CN$1),1)+INT((DAY(Finance!$CN$1)-1)/2)+Finance!CP$4,0)=EOMONTH($K$1,0),Finance!CP$3,0)+IF(EOMONTH(DATE(YEAR(Finance!$CK$1),MONTH(Finance!$CK$1),1)+INT((DAY(Finance!$CK$1)-1)/2)+Finance!CM$4,0)=EOMONTH($K$1,0),Finance!CM$3,0)+IF(EOMONTH(DATE(YEAR(Finance!$CH$1),MONTH(Finance!$CH$1),1)+INT((DAY(Finance!$CH$1)-1)/2)+Finance!CJ$4,0)=EOMONTH($K$1,0),Finance!CJ$3,0)+IF(EOMONTH(DATE(YEAR(Finance!$CE$1),MONTH(Finance!$CE$1),1)+INT((DAY(Finance!$CE$1)-1)/2)+Finance!CG$4,0)=EOMONTH($K$1,0),Finance!CG$3,0)+IF(EOMONTH(DATE(YEAR(Finance!$CB$1),MONTH(Finance!$CB$1),1)+INT((DAY(Finance!$CB$1)-1)/2)+Finance!CD$4,0)=EOMONTH($K$1,0),Finance!CD$3,0)+IF(EOMONTH(DATE(YEAR(Finance!$BY$1),MONTH(Finance!$BY$1),1)+INT((DAY(Finance!$BY$1)-1)/2)+Finance!CA$4,0)=EOMONTH($K$1,0),Finance!CA$3,0)+IF(EOMONTH(DATE(YEAR(Finance!$BV$1),MONTH(Finance!$BV$1),1)+INT((DAY(Finance!$BV$1)-1)/2)+Finance!BX$4,0)=EOMONTH($K$1,0),Finance!BX$3,0)+IF(EOMONTH(DATE(YEAR(Finance!$BS$1),MONTH(Finance!$BS$1),1)+INT((DAY(Finance!$BS$1)-1)/2)+Finance!BU$4,0)=EOMONTH($K$1,0),Finance!BU$3,0)+IF(EOMONTH(DATE(YEAR(Finance!$BP$1),MONTH(Finance!$BP$1),1)+INT((DAY(Finance!$BP$1)-1)/2)+Finance!BR$4,0)=EOMONTH($K$1,0),Finance!BR$3,0)+IF(EOMONTH(DATE(YEAR(Finance!$BM$1),MONTH(Finance!$BM$1),1)+INT((DAY(Finance!$BM$1)-1)/2)+Finance!BO$4,0)=EOMONTH($K$1,0),Finance!BO$3,0)+IF(EOMONTH(DATE(YEAR(Finance!$BJ$1),MONTH(Finance!$BJ$1),1)+INT((DAY(Finance!$BJ$1)-1)/2)+Finance!BL$4,0)=EOMONTH($K$1,0),Finance!BL$3,0)+IF(EOMONTH(DATE(YEAR(Finance!$BG$1),MONTH(Finance!$BG$1),1)+INT((DAY(Finance!$BG$1)-1)/2)+Finance!BI$4,0)=EOMONTH($K$1,0),Finance!BI$3,0)+IF(EOMONTH(DATE(YEAR(Finance!$BD$1),MONTH(Finance!$BD$1),1)+INT((DAY(Finance!$BD$1)-1)/2)+Finance!BF$4,0)=EOMONTH($K$1,0),Finance!BF$3,0)+IF(EOMONTH(DATE(YEAR(Finance!$BA$1),MONTH(Finance!$BA$1),1)+INT((DAY(Finance!$BA$1)-1)/2)+Finance!BC$4,0)=EOMONTH($K$1,0),Finance!BC$3,0)+IF(EOMONTH(DATE(YEAR(Finance!$AX$1),MONTH(Finance!$AX$1),1)+INT((DAY(Finance!$AX$1)-1)/2)+Finance!AZ$4,0)=EOMONTH($K$1,0),Finance!AZ$3,0)+IF(EOMONTH(DATE(YEAR(Finance!$AU$1),MONTH(Finance!$AU$1),1)+INT((DAY(Finance!$AU$1)-1)/2)+Finance!AW$4,0)=EOMONTH($K$1,0),Finance!AW$3,0)+IF(EOMONTH(DATE(YEAR(Finance!$AR$1),MONTH(Finance!$AR$1),1)+INT((DAY(Finance!$AR$1)-1)/2)+Finance!AT$4,0)=EOMONTH($K$1,0),Finance!AT$3,0)+IF(EOMONTH(DATE(YEAR(Finance!$AO$1),MONTH(Finance!$AO$1),1)+INT((DAY(Finance!$AO$1)-1)/2)+Finance!AQ$4,0)=EOMONTH($K$1,0),Finance!AQ$3,0)+IF(EOMONTH(DATE(YEAR(Finance!$AL$1),MONTH(Finance!$AL$1),1)+INT((DAY(Finance!$AL$1)-1)/2)+Finance!AN$4,0)=EOMONTH($K$1,0),Finance!AN$3,0)+IF(EOMONTH(DATE(YEAR(Finance!$AI$1),MONTH(Finance!$AI$1),1)+INT((DAY(Finance!$AI$1)-1)/2)+Finance!AK$4,0)=EOMONTH($K$1,0),Finance!AK$3,0)+IF(EOMONTH(DATE(YEAR(Finance!$AF$1),MONTH(Finance!$AF$1),1)+INT((DAY(Finance!$AF$1)-1)/2)+Finance!AH$4,0)=EOMONTH($K$1,0),Finance!AH$3,0)+IF(EOMONTH(DATE(YEAR(Finance!$AC$1),MONTH(Finance!$AC$1),1)+INT((DAY(Finance!$AC$1)-1)/2)+Finance!AE$4,0)=EOMONTH($K$1,0),Finance!AE$3,0)+IF(EOMONTH(DATE(YEAR(Finance!$Z$1),MONTH(Finance!$Z$1),1)+INT((DAY(Finance!$Z$1)-1)/2)+Finance!AB$4,0)=EOMONTH($K$1,0),Finance!AB$3,0)+IF(EOMONTH(DATE(YEAR(Finance!$W$1),MONTH(Finance!$W$1),1)+INT((DAY(Finance!$W$1)-1)/2)+Finance!Y$4,0)=EOMONTH($K$1,0),Finance!Y$3,0)+IF(EOMONTH(DATE(YEAR(Finance!$T$1),MONTH(Finance!$T$1),1)+INT((DAY(Finance!$T$1)-1)/2)+Finance!V$4,0)=EOMONTH($K$1,0),Finance!V$3,0)+IF(EOMONTH(DATE(YEAR(Finance!$Q$1),MONTH(Finance!$Q$1),1)+INT((DAY(Finance!$Q$1)-1)/2)+Finance!S$4,0)=EOMONTH($K$1,0),Finance!S$3,0)+IF(EOMONTH(DATE(YEAR(Finance!$N$1),MONTH(Finance!$N$1),1)+INT((DAY(Finance!$N$1)-1)/2)+Finance!P$4,0)=EOMONTH($K$1,0),Finance!P$3,0)+IF(EOMONTH(DATE(YEAR(Finance!$K$1),MONTH(Finance!$K$1),1)+INT((DAY(Finance!$K$1)-1)/2)+Finance!M$4,0)=EOMONTH($K$1,0),Finance!M$3,0)+IF(EOMONTH('Cash Drivers'!$DL$30+Finance!DN$4,0)=EOMONTH($K$1,0),'Cash Drivers'!$DL$35,0),0)</f>
        <v>2356951</v>
      </c>
      <c r="N5" s="12"/>
      <c r="O5" s="12" t="n">
        <f aca="false">IF('Cash Drivers'!O$26,N5,ROUND(IF(EOMONTH(DATE(YEAR(Finance!$DL$1),MONTH(Finance!$DL$1),1)+INT((DAY(Finance!$DL$1)-1)/2)+Finance!DM$4,0)=EOMONTH($N$1,0),Finance!DM$3,0)+IF(EOMONTH(DATE(YEAR(Finance!$DI$1),MONTH(Finance!$DI$1),1)+INT((DAY(Finance!$DI$1)-1)/2)+Finance!DJ$4,0)=EOMONTH($N$1,0),Finance!DJ$3,0)+IF(EOMONTH(DATE(YEAR(Finance!$DF$1),MONTH(Finance!$DF$1),1)+INT((DAY(Finance!$DF$1)-1)/2)+Finance!DG$4,0)=EOMONTH($N$1,0),Finance!DG$3,0)+IF(EOMONTH(DATE(YEAR(Finance!$DC$1),MONTH(Finance!$DC$1),1)+INT((DAY(Finance!$DC$1)-1)/2)+Finance!DD$4,0)=EOMONTH($N$1,0),Finance!DD$3,0)+IF(EOMONTH(DATE(YEAR(Finance!$CZ$1),MONTH(Finance!$CZ$1),1)+INT((DAY(Finance!$CZ$1)-1)/2)+Finance!DA$4,0)=EOMONTH($N$1,0),Finance!DA$3,0)+IF(EOMONTH(DATE(YEAR(Finance!$CW$1),MONTH(Finance!$CW$1),1)+INT((DAY(Finance!$CW$1)-1)/2)+Finance!CX$4,0)=EOMONTH($N$1,0),Finance!CX$3,0)+IF(EOMONTH(DATE(YEAR(Finance!$CT$1),MONTH(Finance!$CT$1),1)+INT((DAY(Finance!$CT$1)-1)/2)+Finance!CU$4,0)=EOMONTH($N$1,0),Finance!CU$3,0)+IF(EOMONTH(DATE(YEAR(Finance!$CQ$1),MONTH(Finance!$CQ$1),1)+INT((DAY(Finance!$CQ$1)-1)/2)+Finance!CR$4,0)=EOMONTH($N$1,0),Finance!CR$3,0)+IF(EOMONTH(DATE(YEAR(Finance!$CN$1),MONTH(Finance!$CN$1),1)+INT((DAY(Finance!$CN$1)-1)/2)+Finance!CO$4,0)=EOMONTH($N$1,0),Finance!CO$3,0)+IF(EOMONTH(DATE(YEAR(Finance!$CK$1),MONTH(Finance!$CK$1),1)+INT((DAY(Finance!$CK$1)-1)/2)+Finance!CL$4,0)=EOMONTH($N$1,0),Finance!CL$3,0)+IF(EOMONTH(DATE(YEAR(Finance!$CH$1),MONTH(Finance!$CH$1),1)+INT((DAY(Finance!$CH$1)-1)/2)+Finance!CI$4,0)=EOMONTH($N$1,0),Finance!CI$3,0)+IF(EOMONTH(DATE(YEAR(Finance!$CE$1),MONTH(Finance!$CE$1),1)+INT((DAY(Finance!$CE$1)-1)/2)+Finance!CF$4,0)=EOMONTH($N$1,0),Finance!CF$3,0)+IF(EOMONTH(DATE(YEAR(Finance!$CB$1),MONTH(Finance!$CB$1),1)+INT((DAY(Finance!$CB$1)-1)/2)+Finance!CC$4,0)=EOMONTH($N$1,0),Finance!CC$3,0)+IF(EOMONTH(DATE(YEAR(Finance!$BY$1),MONTH(Finance!$BY$1),1)+INT((DAY(Finance!$BY$1)-1)/2)+Finance!BZ$4,0)=EOMONTH($N$1,0),Finance!BZ$3,0)+IF(EOMONTH(DATE(YEAR(Finance!$BV$1),MONTH(Finance!$BV$1),1)+INT((DAY(Finance!$BV$1)-1)/2)+Finance!BW$4,0)=EOMONTH($N$1,0),Finance!BW$3,0)+IF(EOMONTH(DATE(YEAR(Finance!$BS$1),MONTH(Finance!$BS$1),1)+INT((DAY(Finance!$BS$1)-1)/2)+Finance!BT$4,0)=EOMONTH($N$1,0),Finance!BT$3,0)+IF(EOMONTH(DATE(YEAR(Finance!$BP$1),MONTH(Finance!$BP$1),1)+INT((DAY(Finance!$BP$1)-1)/2)+Finance!BQ$4,0)=EOMONTH($N$1,0),Finance!BQ$3,0)+IF(EOMONTH(DATE(YEAR(Finance!$BM$1),MONTH(Finance!$BM$1),1)+INT((DAY(Finance!$BM$1)-1)/2)+Finance!BN$4,0)=EOMONTH($N$1,0),Finance!BN$3,0)+IF(EOMONTH(DATE(YEAR(Finance!$BJ$1),MONTH(Finance!$BJ$1),1)+INT((DAY(Finance!$BJ$1)-1)/2)+Finance!BK$4,0)=EOMONTH($N$1,0),Finance!BK$3,0)+IF(EOMONTH(DATE(YEAR(Finance!$BG$1),MONTH(Finance!$BG$1),1)+INT((DAY(Finance!$BG$1)-1)/2)+Finance!BH$4,0)=EOMONTH($N$1,0),Finance!BH$3,0)+IF(EOMONTH(DATE(YEAR(Finance!$BD$1),MONTH(Finance!$BD$1),1)+INT((DAY(Finance!$BD$1)-1)/2)+Finance!BE$4,0)=EOMONTH($N$1,0),Finance!BE$3,0)+IF(EOMONTH(DATE(YEAR(Finance!$BA$1),MONTH(Finance!$BA$1),1)+INT((DAY(Finance!$BA$1)-1)/2)+Finance!BB$4,0)=EOMONTH($N$1,0),Finance!BB$3,0)+IF(EOMONTH(DATE(YEAR(Finance!$AX$1),MONTH(Finance!$AX$1),1)+INT((DAY(Finance!$AX$1)-1)/2)+Finance!AY$4,0)=EOMONTH($N$1,0),Finance!AY$3,0)+IF(EOMONTH(DATE(YEAR(Finance!$AU$1),MONTH(Finance!$AU$1),1)+INT((DAY(Finance!$AU$1)-1)/2)+Finance!AV$4,0)=EOMONTH($N$1,0),Finance!AV$3,0)+IF(EOMONTH(DATE(YEAR(Finance!$AR$1),MONTH(Finance!$AR$1),1)+INT((DAY(Finance!$AR$1)-1)/2)+Finance!AS$4,0)=EOMONTH($N$1,0),Finance!AS$3,0)+IF(EOMONTH(DATE(YEAR(Finance!$AO$1),MONTH(Finance!$AO$1),1)+INT((DAY(Finance!$AO$1)-1)/2)+Finance!AP$4,0)=EOMONTH($N$1,0),Finance!AP$3,0)+IF(EOMONTH(DATE(YEAR(Finance!$AL$1),MONTH(Finance!$AL$1),1)+INT((DAY(Finance!$AL$1)-1)/2)+Finance!AM$4,0)=EOMONTH($N$1,0),Finance!AM$3,0)+IF(EOMONTH(DATE(YEAR(Finance!$AI$1),MONTH(Finance!$AI$1),1)+INT((DAY(Finance!$AI$1)-1)/2)+Finance!AJ$4,0)=EOMONTH($N$1,0),Finance!AJ$3,0)+IF(EOMONTH(DATE(YEAR(Finance!$AF$1),MONTH(Finance!$AF$1),1)+INT((DAY(Finance!$AF$1)-1)/2)+Finance!AG$4,0)=EOMONTH($N$1,0),Finance!AG$3,0)+IF(EOMONTH(DATE(YEAR(Finance!$AC$1),MONTH(Finance!$AC$1),1)+INT((DAY(Finance!$AC$1)-1)/2)+Finance!AD$4,0)=EOMONTH($N$1,0),Finance!AD$3,0)+IF(EOMONTH(DATE(YEAR(Finance!$Z$1),MONTH(Finance!$Z$1),1)+INT((DAY(Finance!$Z$1)-1)/2)+Finance!AA$4,0)=EOMONTH($N$1,0),Finance!AA$3,0)+IF(EOMONTH(DATE(YEAR(Finance!$W$1),MONTH(Finance!$W$1),1)+INT((DAY(Finance!$W$1)-1)/2)+Finance!X$4,0)=EOMONTH($N$1,0),Finance!X$3,0)+IF(EOMONTH(DATE(YEAR(Finance!$T$1),MONTH(Finance!$T$1),1)+INT((DAY(Finance!$T$1)-1)/2)+Finance!U$4,0)=EOMONTH($N$1,0),Finance!U$3,0)+IF(EOMONTH(DATE(YEAR(Finance!$Q$1),MONTH(Finance!$Q$1),1)+INT((DAY(Finance!$Q$1)-1)/2)+Finance!R$4,0)=EOMONTH($N$1,0),Finance!R$3,0)+IF(EOMONTH(DATE(YEAR(Finance!$N$1),MONTH(Finance!$N$1),1)+INT((DAY(Finance!$N$1)-1)/2)+Finance!O$4,0)=EOMONTH($N$1,0),Finance!O$3,0)+IF(EOMONTH(DATE(YEAR(Finance!$K$1),MONTH(Finance!$K$1),1)+INT((DAY(Finance!$K$1)-1)/2)+Finance!L$4,0)=EOMONTH($N$1,0),Finance!L$3,0)+IF(EOMONTH('Cash Drivers'!$DL$30+Finance!DM$4,0)=EOMONTH($N$1,0),'Cash Drivers'!$DL$35,0),0))</f>
        <v>2324353</v>
      </c>
      <c r="P5" s="12" t="n">
        <f aca="false">ROUND(IF(EOMONTH(DATE(YEAR(Finance!$DL$1),MONTH(Finance!$DL$1),1)+INT((DAY(Finance!$DL$1)-1)/2)+Finance!DN$4,0)=EOMONTH($N$1,0),Finance!DN$3,0)+IF(EOMONTH(DATE(YEAR(Finance!$DI$1),MONTH(Finance!$DI$1),1)+INT((DAY(Finance!$DI$1)-1)/2)+Finance!DK$4,0)=EOMONTH($N$1,0),Finance!DK$3,0)+IF(EOMONTH(DATE(YEAR(Finance!$DF$1),MONTH(Finance!$DF$1),1)+INT((DAY(Finance!$DF$1)-1)/2)+Finance!DH$4,0)=EOMONTH($N$1,0),Finance!DH$3,0)+IF(EOMONTH(DATE(YEAR(Finance!$DC$1),MONTH(Finance!$DC$1),1)+INT((DAY(Finance!$DC$1)-1)/2)+Finance!DE$4,0)=EOMONTH($N$1,0),Finance!DE$3,0)+IF(EOMONTH(DATE(YEAR(Finance!$CZ$1),MONTH(Finance!$CZ$1),1)+INT((DAY(Finance!$CZ$1)-1)/2)+Finance!DB$4,0)=EOMONTH($N$1,0),Finance!DB$3,0)+IF(EOMONTH(DATE(YEAR(Finance!$CW$1),MONTH(Finance!$CW$1),1)+INT((DAY(Finance!$CW$1)-1)/2)+Finance!CY$4,0)=EOMONTH($N$1,0),Finance!CY$3,0)+IF(EOMONTH(DATE(YEAR(Finance!$CT$1),MONTH(Finance!$CT$1),1)+INT((DAY(Finance!$CT$1)-1)/2)+Finance!CV$4,0)=EOMONTH($N$1,0),Finance!CV$3,0)+IF(EOMONTH(DATE(YEAR(Finance!$CQ$1),MONTH(Finance!$CQ$1),1)+INT((DAY(Finance!$CQ$1)-1)/2)+Finance!CS$4,0)=EOMONTH($N$1,0),Finance!CS$3,0)+IF(EOMONTH(DATE(YEAR(Finance!$CN$1),MONTH(Finance!$CN$1),1)+INT((DAY(Finance!$CN$1)-1)/2)+Finance!CP$4,0)=EOMONTH($N$1,0),Finance!CP$3,0)+IF(EOMONTH(DATE(YEAR(Finance!$CK$1),MONTH(Finance!$CK$1),1)+INT((DAY(Finance!$CK$1)-1)/2)+Finance!CM$4,0)=EOMONTH($N$1,0),Finance!CM$3,0)+IF(EOMONTH(DATE(YEAR(Finance!$CH$1),MONTH(Finance!$CH$1),1)+INT((DAY(Finance!$CH$1)-1)/2)+Finance!CJ$4,0)=EOMONTH($N$1,0),Finance!CJ$3,0)+IF(EOMONTH(DATE(YEAR(Finance!$CE$1),MONTH(Finance!$CE$1),1)+INT((DAY(Finance!$CE$1)-1)/2)+Finance!CG$4,0)=EOMONTH($N$1,0),Finance!CG$3,0)+IF(EOMONTH(DATE(YEAR(Finance!$CB$1),MONTH(Finance!$CB$1),1)+INT((DAY(Finance!$CB$1)-1)/2)+Finance!CD$4,0)=EOMONTH($N$1,0),Finance!CD$3,0)+IF(EOMONTH(DATE(YEAR(Finance!$BY$1),MONTH(Finance!$BY$1),1)+INT((DAY(Finance!$BY$1)-1)/2)+Finance!CA$4,0)=EOMONTH($N$1,0),Finance!CA$3,0)+IF(EOMONTH(DATE(YEAR(Finance!$BV$1),MONTH(Finance!$BV$1),1)+INT((DAY(Finance!$BV$1)-1)/2)+Finance!BX$4,0)=EOMONTH($N$1,0),Finance!BX$3,0)+IF(EOMONTH(DATE(YEAR(Finance!$BS$1),MONTH(Finance!$BS$1),1)+INT((DAY(Finance!$BS$1)-1)/2)+Finance!BU$4,0)=EOMONTH($N$1,0),Finance!BU$3,0)+IF(EOMONTH(DATE(YEAR(Finance!$BP$1),MONTH(Finance!$BP$1),1)+INT((DAY(Finance!$BP$1)-1)/2)+Finance!BR$4,0)=EOMONTH($N$1,0),Finance!BR$3,0)+IF(EOMONTH(DATE(YEAR(Finance!$BM$1),MONTH(Finance!$BM$1),1)+INT((DAY(Finance!$BM$1)-1)/2)+Finance!BO$4,0)=EOMONTH($N$1,0),Finance!BO$3,0)+IF(EOMONTH(DATE(YEAR(Finance!$BJ$1),MONTH(Finance!$BJ$1),1)+INT((DAY(Finance!$BJ$1)-1)/2)+Finance!BL$4,0)=EOMONTH($N$1,0),Finance!BL$3,0)+IF(EOMONTH(DATE(YEAR(Finance!$BG$1),MONTH(Finance!$BG$1),1)+INT((DAY(Finance!$BG$1)-1)/2)+Finance!BI$4,0)=EOMONTH($N$1,0),Finance!BI$3,0)+IF(EOMONTH(DATE(YEAR(Finance!$BD$1),MONTH(Finance!$BD$1),1)+INT((DAY(Finance!$BD$1)-1)/2)+Finance!BF$4,0)=EOMONTH($N$1,0),Finance!BF$3,0)+IF(EOMONTH(DATE(YEAR(Finance!$BA$1),MONTH(Finance!$BA$1),1)+INT((DAY(Finance!$BA$1)-1)/2)+Finance!BC$4,0)=EOMONTH($N$1,0),Finance!BC$3,0)+IF(EOMONTH(DATE(YEAR(Finance!$AX$1),MONTH(Finance!$AX$1),1)+INT((DAY(Finance!$AX$1)-1)/2)+Finance!AZ$4,0)=EOMONTH($N$1,0),Finance!AZ$3,0)+IF(EOMONTH(DATE(YEAR(Finance!$AU$1),MONTH(Finance!$AU$1),1)+INT((DAY(Finance!$AU$1)-1)/2)+Finance!AW$4,0)=EOMONTH($N$1,0),Finance!AW$3,0)+IF(EOMONTH(DATE(YEAR(Finance!$AR$1),MONTH(Finance!$AR$1),1)+INT((DAY(Finance!$AR$1)-1)/2)+Finance!AT$4,0)=EOMONTH($N$1,0),Finance!AT$3,0)+IF(EOMONTH(DATE(YEAR(Finance!$AO$1),MONTH(Finance!$AO$1),1)+INT((DAY(Finance!$AO$1)-1)/2)+Finance!AQ$4,0)=EOMONTH($N$1,0),Finance!AQ$3,0)+IF(EOMONTH(DATE(YEAR(Finance!$AL$1),MONTH(Finance!$AL$1),1)+INT((DAY(Finance!$AL$1)-1)/2)+Finance!AN$4,0)=EOMONTH($N$1,0),Finance!AN$3,0)+IF(EOMONTH(DATE(YEAR(Finance!$AI$1),MONTH(Finance!$AI$1),1)+INT((DAY(Finance!$AI$1)-1)/2)+Finance!AK$4,0)=EOMONTH($N$1,0),Finance!AK$3,0)+IF(EOMONTH(DATE(YEAR(Finance!$AF$1),MONTH(Finance!$AF$1),1)+INT((DAY(Finance!$AF$1)-1)/2)+Finance!AH$4,0)=EOMONTH($N$1,0),Finance!AH$3,0)+IF(EOMONTH(DATE(YEAR(Finance!$AC$1),MONTH(Finance!$AC$1),1)+INT((DAY(Finance!$AC$1)-1)/2)+Finance!AE$4,0)=EOMONTH($N$1,0),Finance!AE$3,0)+IF(EOMONTH(DATE(YEAR(Finance!$Z$1),MONTH(Finance!$Z$1),1)+INT((DAY(Finance!$Z$1)-1)/2)+Finance!AB$4,0)=EOMONTH($N$1,0),Finance!AB$3,0)+IF(EOMONTH(DATE(YEAR(Finance!$W$1),MONTH(Finance!$W$1),1)+INT((DAY(Finance!$W$1)-1)/2)+Finance!Y$4,0)=EOMONTH($N$1,0),Finance!Y$3,0)+IF(EOMONTH(DATE(YEAR(Finance!$T$1),MONTH(Finance!$T$1),1)+INT((DAY(Finance!$T$1)-1)/2)+Finance!V$4,0)=EOMONTH($N$1,0),Finance!V$3,0)+IF(EOMONTH(DATE(YEAR(Finance!$Q$1),MONTH(Finance!$Q$1),1)+INT((DAY(Finance!$Q$1)-1)/2)+Finance!S$4,0)=EOMONTH($N$1,0),Finance!S$3,0)+IF(EOMONTH(DATE(YEAR(Finance!$N$1),MONTH(Finance!$N$1),1)+INT((DAY(Finance!$N$1)-1)/2)+Finance!P$4,0)=EOMONTH($N$1,0),Finance!P$3,0)+IF(EOMONTH(DATE(YEAR(Finance!$K$1),MONTH(Finance!$K$1),1)+INT((DAY(Finance!$K$1)-1)/2)+Finance!M$4,0)=EOMONTH($N$1,0),Finance!M$3,0)+IF(EOMONTH('Cash Drivers'!$DL$30+Finance!DN$4,0)=EOMONTH($N$1,0),'Cash Drivers'!$DL$35,0),0)</f>
        <v>2298274</v>
      </c>
      <c r="Q5" s="13"/>
      <c r="R5" s="13" t="n">
        <f aca="false">IF('Cash Drivers'!R$26,Q5,ROUND(IF(EOMONTH(DATE(YEAR(Finance!$DL$1),MONTH(Finance!$DL$1),1)+INT((DAY(Finance!$DL$1)-1)/2)+Finance!DM$4,0)=EOMONTH($Q$1,0),Finance!DM$3,0)+IF(EOMONTH(DATE(YEAR(Finance!$DI$1),MONTH(Finance!$DI$1),1)+INT((DAY(Finance!$DI$1)-1)/2)+Finance!DJ$4,0)=EOMONTH($Q$1,0),Finance!DJ$3,0)+IF(EOMONTH(DATE(YEAR(Finance!$DF$1),MONTH(Finance!$DF$1),1)+INT((DAY(Finance!$DF$1)-1)/2)+Finance!DG$4,0)=EOMONTH($Q$1,0),Finance!DG$3,0)+IF(EOMONTH(DATE(YEAR(Finance!$DC$1),MONTH(Finance!$DC$1),1)+INT((DAY(Finance!$DC$1)-1)/2)+Finance!DD$4,0)=EOMONTH($Q$1,0),Finance!DD$3,0)+IF(EOMONTH(DATE(YEAR(Finance!$CZ$1),MONTH(Finance!$CZ$1),1)+INT((DAY(Finance!$CZ$1)-1)/2)+Finance!DA$4,0)=EOMONTH($Q$1,0),Finance!DA$3,0)+IF(EOMONTH(DATE(YEAR(Finance!$CW$1),MONTH(Finance!$CW$1),1)+INT((DAY(Finance!$CW$1)-1)/2)+Finance!CX$4,0)=EOMONTH($Q$1,0),Finance!CX$3,0)+IF(EOMONTH(DATE(YEAR(Finance!$CT$1),MONTH(Finance!$CT$1),1)+INT((DAY(Finance!$CT$1)-1)/2)+Finance!CU$4,0)=EOMONTH($Q$1,0),Finance!CU$3,0)+IF(EOMONTH(DATE(YEAR(Finance!$CQ$1),MONTH(Finance!$CQ$1),1)+INT((DAY(Finance!$CQ$1)-1)/2)+Finance!CR$4,0)=EOMONTH($Q$1,0),Finance!CR$3,0)+IF(EOMONTH(DATE(YEAR(Finance!$CN$1),MONTH(Finance!$CN$1),1)+INT((DAY(Finance!$CN$1)-1)/2)+Finance!CO$4,0)=EOMONTH($Q$1,0),Finance!CO$3,0)+IF(EOMONTH(DATE(YEAR(Finance!$CK$1),MONTH(Finance!$CK$1),1)+INT((DAY(Finance!$CK$1)-1)/2)+Finance!CL$4,0)=EOMONTH($Q$1,0),Finance!CL$3,0)+IF(EOMONTH(DATE(YEAR(Finance!$CH$1),MONTH(Finance!$CH$1),1)+INT((DAY(Finance!$CH$1)-1)/2)+Finance!CI$4,0)=EOMONTH($Q$1,0),Finance!CI$3,0)+IF(EOMONTH(DATE(YEAR(Finance!$CE$1),MONTH(Finance!$CE$1),1)+INT((DAY(Finance!$CE$1)-1)/2)+Finance!CF$4,0)=EOMONTH($Q$1,0),Finance!CF$3,0)+IF(EOMONTH(DATE(YEAR(Finance!$CB$1),MONTH(Finance!$CB$1),1)+INT((DAY(Finance!$CB$1)-1)/2)+Finance!CC$4,0)=EOMONTH($Q$1,0),Finance!CC$3,0)+IF(EOMONTH(DATE(YEAR(Finance!$BY$1),MONTH(Finance!$BY$1),1)+INT((DAY(Finance!$BY$1)-1)/2)+Finance!BZ$4,0)=EOMONTH($Q$1,0),Finance!BZ$3,0)+IF(EOMONTH(DATE(YEAR(Finance!$BV$1),MONTH(Finance!$BV$1),1)+INT((DAY(Finance!$BV$1)-1)/2)+Finance!BW$4,0)=EOMONTH($Q$1,0),Finance!BW$3,0)+IF(EOMONTH(DATE(YEAR(Finance!$BS$1),MONTH(Finance!$BS$1),1)+INT((DAY(Finance!$BS$1)-1)/2)+Finance!BT$4,0)=EOMONTH($Q$1,0),Finance!BT$3,0)+IF(EOMONTH(DATE(YEAR(Finance!$BP$1),MONTH(Finance!$BP$1),1)+INT((DAY(Finance!$BP$1)-1)/2)+Finance!BQ$4,0)=EOMONTH($Q$1,0),Finance!BQ$3,0)+IF(EOMONTH(DATE(YEAR(Finance!$BM$1),MONTH(Finance!$BM$1),1)+INT((DAY(Finance!$BM$1)-1)/2)+Finance!BN$4,0)=EOMONTH($Q$1,0),Finance!BN$3,0)+IF(EOMONTH(DATE(YEAR(Finance!$BJ$1),MONTH(Finance!$BJ$1),1)+INT((DAY(Finance!$BJ$1)-1)/2)+Finance!BK$4,0)=EOMONTH($Q$1,0),Finance!BK$3,0)+IF(EOMONTH(DATE(YEAR(Finance!$BG$1),MONTH(Finance!$BG$1),1)+INT((DAY(Finance!$BG$1)-1)/2)+Finance!BH$4,0)=EOMONTH($Q$1,0),Finance!BH$3,0)+IF(EOMONTH(DATE(YEAR(Finance!$BD$1),MONTH(Finance!$BD$1),1)+INT((DAY(Finance!$BD$1)-1)/2)+Finance!BE$4,0)=EOMONTH($Q$1,0),Finance!BE$3,0)+IF(EOMONTH(DATE(YEAR(Finance!$BA$1),MONTH(Finance!$BA$1),1)+INT((DAY(Finance!$BA$1)-1)/2)+Finance!BB$4,0)=EOMONTH($Q$1,0),Finance!BB$3,0)+IF(EOMONTH(DATE(YEAR(Finance!$AX$1),MONTH(Finance!$AX$1),1)+INT((DAY(Finance!$AX$1)-1)/2)+Finance!AY$4,0)=EOMONTH($Q$1,0),Finance!AY$3,0)+IF(EOMONTH(DATE(YEAR(Finance!$AU$1),MONTH(Finance!$AU$1),1)+INT((DAY(Finance!$AU$1)-1)/2)+Finance!AV$4,0)=EOMONTH($Q$1,0),Finance!AV$3,0)+IF(EOMONTH(DATE(YEAR(Finance!$AR$1),MONTH(Finance!$AR$1),1)+INT((DAY(Finance!$AR$1)-1)/2)+Finance!AS$4,0)=EOMONTH($Q$1,0),Finance!AS$3,0)+IF(EOMONTH(DATE(YEAR(Finance!$AO$1),MONTH(Finance!$AO$1),1)+INT((DAY(Finance!$AO$1)-1)/2)+Finance!AP$4,0)=EOMONTH($Q$1,0),Finance!AP$3,0)+IF(EOMONTH(DATE(YEAR(Finance!$AL$1),MONTH(Finance!$AL$1),1)+INT((DAY(Finance!$AL$1)-1)/2)+Finance!AM$4,0)=EOMONTH($Q$1,0),Finance!AM$3,0)+IF(EOMONTH(DATE(YEAR(Finance!$AI$1),MONTH(Finance!$AI$1),1)+INT((DAY(Finance!$AI$1)-1)/2)+Finance!AJ$4,0)=EOMONTH($Q$1,0),Finance!AJ$3,0)+IF(EOMONTH(DATE(YEAR(Finance!$AF$1),MONTH(Finance!$AF$1),1)+INT((DAY(Finance!$AF$1)-1)/2)+Finance!AG$4,0)=EOMONTH($Q$1,0),Finance!AG$3,0)+IF(EOMONTH(DATE(YEAR(Finance!$AC$1),MONTH(Finance!$AC$1),1)+INT((DAY(Finance!$AC$1)-1)/2)+Finance!AD$4,0)=EOMONTH($Q$1,0),Finance!AD$3,0)+IF(EOMONTH(DATE(YEAR(Finance!$Z$1),MONTH(Finance!$Z$1),1)+INT((DAY(Finance!$Z$1)-1)/2)+Finance!AA$4,0)=EOMONTH($Q$1,0),Finance!AA$3,0)+IF(EOMONTH(DATE(YEAR(Finance!$W$1),MONTH(Finance!$W$1),1)+INT((DAY(Finance!$W$1)-1)/2)+Finance!X$4,0)=EOMONTH($Q$1,0),Finance!X$3,0)+IF(EOMONTH(DATE(YEAR(Finance!$T$1),MONTH(Finance!$T$1),1)+INT((DAY(Finance!$T$1)-1)/2)+Finance!U$4,0)=EOMONTH($Q$1,0),Finance!U$3,0)+IF(EOMONTH(DATE(YEAR(Finance!$Q$1),MONTH(Finance!$Q$1),1)+INT((DAY(Finance!$Q$1)-1)/2)+Finance!R$4,0)=EOMONTH($Q$1,0),Finance!R$3,0)+IF(EOMONTH(DATE(YEAR(Finance!$N$1),MONTH(Finance!$N$1),1)+INT((DAY(Finance!$N$1)-1)/2)+Finance!O$4,0)=EOMONTH($Q$1,0),Finance!O$3,0)+IF(EOMONTH(DATE(YEAR(Finance!$K$1),MONTH(Finance!$K$1),1)+INT((DAY(Finance!$K$1)-1)/2)+Finance!L$4,0)=EOMONTH($Q$1,0),Finance!L$3,0)+IF(EOMONTH('Cash Drivers'!$DL$30+Finance!DM$4,0)=EOMONTH($Q$1,0),'Cash Drivers'!$DL$35,0),0))</f>
        <v>2266211</v>
      </c>
      <c r="S5" s="13" t="n">
        <f aca="false">ROUND(IF(EOMONTH(DATE(YEAR(Finance!$DL$1),MONTH(Finance!$DL$1),1)+INT((DAY(Finance!$DL$1)-1)/2)+Finance!DN$4,0)=EOMONTH($Q$1,0),Finance!DN$3,0)+IF(EOMONTH(DATE(YEAR(Finance!$DI$1),MONTH(Finance!$DI$1),1)+INT((DAY(Finance!$DI$1)-1)/2)+Finance!DK$4,0)=EOMONTH($Q$1,0),Finance!DK$3,0)+IF(EOMONTH(DATE(YEAR(Finance!$DF$1),MONTH(Finance!$DF$1),1)+INT((DAY(Finance!$DF$1)-1)/2)+Finance!DH$4,0)=EOMONTH($Q$1,0),Finance!DH$3,0)+IF(EOMONTH(DATE(YEAR(Finance!$DC$1),MONTH(Finance!$DC$1),1)+INT((DAY(Finance!$DC$1)-1)/2)+Finance!DE$4,0)=EOMONTH($Q$1,0),Finance!DE$3,0)+IF(EOMONTH(DATE(YEAR(Finance!$CZ$1),MONTH(Finance!$CZ$1),1)+INT((DAY(Finance!$CZ$1)-1)/2)+Finance!DB$4,0)=EOMONTH($Q$1,0),Finance!DB$3,0)+IF(EOMONTH(DATE(YEAR(Finance!$CW$1),MONTH(Finance!$CW$1),1)+INT((DAY(Finance!$CW$1)-1)/2)+Finance!CY$4,0)=EOMONTH($Q$1,0),Finance!CY$3,0)+IF(EOMONTH(DATE(YEAR(Finance!$CT$1),MONTH(Finance!$CT$1),1)+INT((DAY(Finance!$CT$1)-1)/2)+Finance!CV$4,0)=EOMONTH($Q$1,0),Finance!CV$3,0)+IF(EOMONTH(DATE(YEAR(Finance!$CQ$1),MONTH(Finance!$CQ$1),1)+INT((DAY(Finance!$CQ$1)-1)/2)+Finance!CS$4,0)=EOMONTH($Q$1,0),Finance!CS$3,0)+IF(EOMONTH(DATE(YEAR(Finance!$CN$1),MONTH(Finance!$CN$1),1)+INT((DAY(Finance!$CN$1)-1)/2)+Finance!CP$4,0)=EOMONTH($Q$1,0),Finance!CP$3,0)+IF(EOMONTH(DATE(YEAR(Finance!$CK$1),MONTH(Finance!$CK$1),1)+INT((DAY(Finance!$CK$1)-1)/2)+Finance!CM$4,0)=EOMONTH($Q$1,0),Finance!CM$3,0)+IF(EOMONTH(DATE(YEAR(Finance!$CH$1),MONTH(Finance!$CH$1),1)+INT((DAY(Finance!$CH$1)-1)/2)+Finance!CJ$4,0)=EOMONTH($Q$1,0),Finance!CJ$3,0)+IF(EOMONTH(DATE(YEAR(Finance!$CE$1),MONTH(Finance!$CE$1),1)+INT((DAY(Finance!$CE$1)-1)/2)+Finance!CG$4,0)=EOMONTH($Q$1,0),Finance!CG$3,0)+IF(EOMONTH(DATE(YEAR(Finance!$CB$1),MONTH(Finance!$CB$1),1)+INT((DAY(Finance!$CB$1)-1)/2)+Finance!CD$4,0)=EOMONTH($Q$1,0),Finance!CD$3,0)+IF(EOMONTH(DATE(YEAR(Finance!$BY$1),MONTH(Finance!$BY$1),1)+INT((DAY(Finance!$BY$1)-1)/2)+Finance!CA$4,0)=EOMONTH($Q$1,0),Finance!CA$3,0)+IF(EOMONTH(DATE(YEAR(Finance!$BV$1),MONTH(Finance!$BV$1),1)+INT((DAY(Finance!$BV$1)-1)/2)+Finance!BX$4,0)=EOMONTH($Q$1,0),Finance!BX$3,0)+IF(EOMONTH(DATE(YEAR(Finance!$BS$1),MONTH(Finance!$BS$1),1)+INT((DAY(Finance!$BS$1)-1)/2)+Finance!BU$4,0)=EOMONTH($Q$1,0),Finance!BU$3,0)+IF(EOMONTH(DATE(YEAR(Finance!$BP$1),MONTH(Finance!$BP$1),1)+INT((DAY(Finance!$BP$1)-1)/2)+Finance!BR$4,0)=EOMONTH($Q$1,0),Finance!BR$3,0)+IF(EOMONTH(DATE(YEAR(Finance!$BM$1),MONTH(Finance!$BM$1),1)+INT((DAY(Finance!$BM$1)-1)/2)+Finance!BO$4,0)=EOMONTH($Q$1,0),Finance!BO$3,0)+IF(EOMONTH(DATE(YEAR(Finance!$BJ$1),MONTH(Finance!$BJ$1),1)+INT((DAY(Finance!$BJ$1)-1)/2)+Finance!BL$4,0)=EOMONTH($Q$1,0),Finance!BL$3,0)+IF(EOMONTH(DATE(YEAR(Finance!$BG$1),MONTH(Finance!$BG$1),1)+INT((DAY(Finance!$BG$1)-1)/2)+Finance!BI$4,0)=EOMONTH($Q$1,0),Finance!BI$3,0)+IF(EOMONTH(DATE(YEAR(Finance!$BD$1),MONTH(Finance!$BD$1),1)+INT((DAY(Finance!$BD$1)-1)/2)+Finance!BF$4,0)=EOMONTH($Q$1,0),Finance!BF$3,0)+IF(EOMONTH(DATE(YEAR(Finance!$BA$1),MONTH(Finance!$BA$1),1)+INT((DAY(Finance!$BA$1)-1)/2)+Finance!BC$4,0)=EOMONTH($Q$1,0),Finance!BC$3,0)+IF(EOMONTH(DATE(YEAR(Finance!$AX$1),MONTH(Finance!$AX$1),1)+INT((DAY(Finance!$AX$1)-1)/2)+Finance!AZ$4,0)=EOMONTH($Q$1,0),Finance!AZ$3,0)+IF(EOMONTH(DATE(YEAR(Finance!$AU$1),MONTH(Finance!$AU$1),1)+INT((DAY(Finance!$AU$1)-1)/2)+Finance!AW$4,0)=EOMONTH($Q$1,0),Finance!AW$3,0)+IF(EOMONTH(DATE(YEAR(Finance!$AR$1),MONTH(Finance!$AR$1),1)+INT((DAY(Finance!$AR$1)-1)/2)+Finance!AT$4,0)=EOMONTH($Q$1,0),Finance!AT$3,0)+IF(EOMONTH(DATE(YEAR(Finance!$AO$1),MONTH(Finance!$AO$1),1)+INT((DAY(Finance!$AO$1)-1)/2)+Finance!AQ$4,0)=EOMONTH($Q$1,0),Finance!AQ$3,0)+IF(EOMONTH(DATE(YEAR(Finance!$AL$1),MONTH(Finance!$AL$1),1)+INT((DAY(Finance!$AL$1)-1)/2)+Finance!AN$4,0)=EOMONTH($Q$1,0),Finance!AN$3,0)+IF(EOMONTH(DATE(YEAR(Finance!$AI$1),MONTH(Finance!$AI$1),1)+INT((DAY(Finance!$AI$1)-1)/2)+Finance!AK$4,0)=EOMONTH($Q$1,0),Finance!AK$3,0)+IF(EOMONTH(DATE(YEAR(Finance!$AF$1),MONTH(Finance!$AF$1),1)+INT((DAY(Finance!$AF$1)-1)/2)+Finance!AH$4,0)=EOMONTH($Q$1,0),Finance!AH$3,0)+IF(EOMONTH(DATE(YEAR(Finance!$AC$1),MONTH(Finance!$AC$1),1)+INT((DAY(Finance!$AC$1)-1)/2)+Finance!AE$4,0)=EOMONTH($Q$1,0),Finance!AE$3,0)+IF(EOMONTH(DATE(YEAR(Finance!$Z$1),MONTH(Finance!$Z$1),1)+INT((DAY(Finance!$Z$1)-1)/2)+Finance!AB$4,0)=EOMONTH($Q$1,0),Finance!AB$3,0)+IF(EOMONTH(DATE(YEAR(Finance!$W$1),MONTH(Finance!$W$1),1)+INT((DAY(Finance!$W$1)-1)/2)+Finance!Y$4,0)=EOMONTH($Q$1,0),Finance!Y$3,0)+IF(EOMONTH(DATE(YEAR(Finance!$T$1),MONTH(Finance!$T$1),1)+INT((DAY(Finance!$T$1)-1)/2)+Finance!V$4,0)=EOMONTH($Q$1,0),Finance!V$3,0)+IF(EOMONTH(DATE(YEAR(Finance!$Q$1),MONTH(Finance!$Q$1),1)+INT((DAY(Finance!$Q$1)-1)/2)+Finance!S$4,0)=EOMONTH($Q$1,0),Finance!S$3,0)+IF(EOMONTH(DATE(YEAR(Finance!$N$1),MONTH(Finance!$N$1),1)+INT((DAY(Finance!$N$1)-1)/2)+Finance!P$4,0)=EOMONTH($Q$1,0),Finance!P$3,0)+IF(EOMONTH(DATE(YEAR(Finance!$K$1),MONTH(Finance!$K$1),1)+INT((DAY(Finance!$K$1)-1)/2)+Finance!M$4,0)=EOMONTH($Q$1,0),Finance!M$3,0)+IF(EOMONTH('Cash Drivers'!$DL$30+Finance!DN$4,0)=EOMONTH($Q$1,0),'Cash Drivers'!$DL$35,0),0)</f>
        <v>2240099</v>
      </c>
      <c r="T5" s="12"/>
      <c r="U5" s="12" t="n">
        <f aca="false">IF('Cash Drivers'!U$26,T5,ROUND(IF(EOMONTH(DATE(YEAR(Finance!$DL$1),MONTH(Finance!$DL$1),1)+INT((DAY(Finance!$DL$1)-1)/2)+Finance!DM$4,0)=EOMONTH($T$1,0),Finance!DM$3,0)+IF(EOMONTH(DATE(YEAR(Finance!$DI$1),MONTH(Finance!$DI$1),1)+INT((DAY(Finance!$DI$1)-1)/2)+Finance!DJ$4,0)=EOMONTH($T$1,0),Finance!DJ$3,0)+IF(EOMONTH(DATE(YEAR(Finance!$DF$1),MONTH(Finance!$DF$1),1)+INT((DAY(Finance!$DF$1)-1)/2)+Finance!DG$4,0)=EOMONTH($T$1,0),Finance!DG$3,0)+IF(EOMONTH(DATE(YEAR(Finance!$DC$1),MONTH(Finance!$DC$1),1)+INT((DAY(Finance!$DC$1)-1)/2)+Finance!DD$4,0)=EOMONTH($T$1,0),Finance!DD$3,0)+IF(EOMONTH(DATE(YEAR(Finance!$CZ$1),MONTH(Finance!$CZ$1),1)+INT((DAY(Finance!$CZ$1)-1)/2)+Finance!DA$4,0)=EOMONTH($T$1,0),Finance!DA$3,0)+IF(EOMONTH(DATE(YEAR(Finance!$CW$1),MONTH(Finance!$CW$1),1)+INT((DAY(Finance!$CW$1)-1)/2)+Finance!CX$4,0)=EOMONTH($T$1,0),Finance!CX$3,0)+IF(EOMONTH(DATE(YEAR(Finance!$CT$1),MONTH(Finance!$CT$1),1)+INT((DAY(Finance!$CT$1)-1)/2)+Finance!CU$4,0)=EOMONTH($T$1,0),Finance!CU$3,0)+IF(EOMONTH(DATE(YEAR(Finance!$CQ$1),MONTH(Finance!$CQ$1),1)+INT((DAY(Finance!$CQ$1)-1)/2)+Finance!CR$4,0)=EOMONTH($T$1,0),Finance!CR$3,0)+IF(EOMONTH(DATE(YEAR(Finance!$CN$1),MONTH(Finance!$CN$1),1)+INT((DAY(Finance!$CN$1)-1)/2)+Finance!CO$4,0)=EOMONTH($T$1,0),Finance!CO$3,0)+IF(EOMONTH(DATE(YEAR(Finance!$CK$1),MONTH(Finance!$CK$1),1)+INT((DAY(Finance!$CK$1)-1)/2)+Finance!CL$4,0)=EOMONTH($T$1,0),Finance!CL$3,0)+IF(EOMONTH(DATE(YEAR(Finance!$CH$1),MONTH(Finance!$CH$1),1)+INT((DAY(Finance!$CH$1)-1)/2)+Finance!CI$4,0)=EOMONTH($T$1,0),Finance!CI$3,0)+IF(EOMONTH(DATE(YEAR(Finance!$CE$1),MONTH(Finance!$CE$1),1)+INT((DAY(Finance!$CE$1)-1)/2)+Finance!CF$4,0)=EOMONTH($T$1,0),Finance!CF$3,0)+IF(EOMONTH(DATE(YEAR(Finance!$CB$1),MONTH(Finance!$CB$1),1)+INT((DAY(Finance!$CB$1)-1)/2)+Finance!CC$4,0)=EOMONTH($T$1,0),Finance!CC$3,0)+IF(EOMONTH(DATE(YEAR(Finance!$BY$1),MONTH(Finance!$BY$1),1)+INT((DAY(Finance!$BY$1)-1)/2)+Finance!BZ$4,0)=EOMONTH($T$1,0),Finance!BZ$3,0)+IF(EOMONTH(DATE(YEAR(Finance!$BV$1),MONTH(Finance!$BV$1),1)+INT((DAY(Finance!$BV$1)-1)/2)+Finance!BW$4,0)=EOMONTH($T$1,0),Finance!BW$3,0)+IF(EOMONTH(DATE(YEAR(Finance!$BS$1),MONTH(Finance!$BS$1),1)+INT((DAY(Finance!$BS$1)-1)/2)+Finance!BT$4,0)=EOMONTH($T$1,0),Finance!BT$3,0)+IF(EOMONTH(DATE(YEAR(Finance!$BP$1),MONTH(Finance!$BP$1),1)+INT((DAY(Finance!$BP$1)-1)/2)+Finance!BQ$4,0)=EOMONTH($T$1,0),Finance!BQ$3,0)+IF(EOMONTH(DATE(YEAR(Finance!$BM$1),MONTH(Finance!$BM$1),1)+INT((DAY(Finance!$BM$1)-1)/2)+Finance!BN$4,0)=EOMONTH($T$1,0),Finance!BN$3,0)+IF(EOMONTH(DATE(YEAR(Finance!$BJ$1),MONTH(Finance!$BJ$1),1)+INT((DAY(Finance!$BJ$1)-1)/2)+Finance!BK$4,0)=EOMONTH($T$1,0),Finance!BK$3,0)+IF(EOMONTH(DATE(YEAR(Finance!$BG$1),MONTH(Finance!$BG$1),1)+INT((DAY(Finance!$BG$1)-1)/2)+Finance!BH$4,0)=EOMONTH($T$1,0),Finance!BH$3,0)+IF(EOMONTH(DATE(YEAR(Finance!$BD$1),MONTH(Finance!$BD$1),1)+INT((DAY(Finance!$BD$1)-1)/2)+Finance!BE$4,0)=EOMONTH($T$1,0),Finance!BE$3,0)+IF(EOMONTH(DATE(YEAR(Finance!$BA$1),MONTH(Finance!$BA$1),1)+INT((DAY(Finance!$BA$1)-1)/2)+Finance!BB$4,0)=EOMONTH($T$1,0),Finance!BB$3,0)+IF(EOMONTH(DATE(YEAR(Finance!$AX$1),MONTH(Finance!$AX$1),1)+INT((DAY(Finance!$AX$1)-1)/2)+Finance!AY$4,0)=EOMONTH($T$1,0),Finance!AY$3,0)+IF(EOMONTH(DATE(YEAR(Finance!$AU$1),MONTH(Finance!$AU$1),1)+INT((DAY(Finance!$AU$1)-1)/2)+Finance!AV$4,0)=EOMONTH($T$1,0),Finance!AV$3,0)+IF(EOMONTH(DATE(YEAR(Finance!$AR$1),MONTH(Finance!$AR$1),1)+INT((DAY(Finance!$AR$1)-1)/2)+Finance!AS$4,0)=EOMONTH($T$1,0),Finance!AS$3,0)+IF(EOMONTH(DATE(YEAR(Finance!$AO$1),MONTH(Finance!$AO$1),1)+INT((DAY(Finance!$AO$1)-1)/2)+Finance!AP$4,0)=EOMONTH($T$1,0),Finance!AP$3,0)+IF(EOMONTH(DATE(YEAR(Finance!$AL$1),MONTH(Finance!$AL$1),1)+INT((DAY(Finance!$AL$1)-1)/2)+Finance!AM$4,0)=EOMONTH($T$1,0),Finance!AM$3,0)+IF(EOMONTH(DATE(YEAR(Finance!$AI$1),MONTH(Finance!$AI$1),1)+INT((DAY(Finance!$AI$1)-1)/2)+Finance!AJ$4,0)=EOMONTH($T$1,0),Finance!AJ$3,0)+IF(EOMONTH(DATE(YEAR(Finance!$AF$1),MONTH(Finance!$AF$1),1)+INT((DAY(Finance!$AF$1)-1)/2)+Finance!AG$4,0)=EOMONTH($T$1,0),Finance!AG$3,0)+IF(EOMONTH(DATE(YEAR(Finance!$AC$1),MONTH(Finance!$AC$1),1)+INT((DAY(Finance!$AC$1)-1)/2)+Finance!AD$4,0)=EOMONTH($T$1,0),Finance!AD$3,0)+IF(EOMONTH(DATE(YEAR(Finance!$Z$1),MONTH(Finance!$Z$1),1)+INT((DAY(Finance!$Z$1)-1)/2)+Finance!AA$4,0)=EOMONTH($T$1,0),Finance!AA$3,0)+IF(EOMONTH(DATE(YEAR(Finance!$W$1),MONTH(Finance!$W$1),1)+INT((DAY(Finance!$W$1)-1)/2)+Finance!X$4,0)=EOMONTH($T$1,0),Finance!X$3,0)+IF(EOMONTH(DATE(YEAR(Finance!$T$1),MONTH(Finance!$T$1),1)+INT((DAY(Finance!$T$1)-1)/2)+Finance!U$4,0)=EOMONTH($T$1,0),Finance!U$3,0)+IF(EOMONTH(DATE(YEAR(Finance!$Q$1),MONTH(Finance!$Q$1),1)+INT((DAY(Finance!$Q$1)-1)/2)+Finance!R$4,0)=EOMONTH($T$1,0),Finance!R$3,0)+IF(EOMONTH(DATE(YEAR(Finance!$N$1),MONTH(Finance!$N$1),1)+INT((DAY(Finance!$N$1)-1)/2)+Finance!O$4,0)=EOMONTH($T$1,0),Finance!O$3,0)+IF(EOMONTH(DATE(YEAR(Finance!$K$1),MONTH(Finance!$K$1),1)+INT((DAY(Finance!$K$1)-1)/2)+Finance!L$4,0)=EOMONTH($T$1,0),Finance!L$3,0)+IF(EOMONTH('Cash Drivers'!$DL$30+Finance!DM$4,0)=EOMONTH($T$1,0),'Cash Drivers'!$DL$35,0),0))</f>
        <v>2208502</v>
      </c>
      <c r="V5" s="12" t="n">
        <f aca="false">ROUND(IF(EOMONTH(DATE(YEAR(Finance!$DL$1),MONTH(Finance!$DL$1),1)+INT((DAY(Finance!$DL$1)-1)/2)+Finance!DN$4,0)=EOMONTH($T$1,0),Finance!DN$3,0)+IF(EOMONTH(DATE(YEAR(Finance!$DI$1),MONTH(Finance!$DI$1),1)+INT((DAY(Finance!$DI$1)-1)/2)+Finance!DK$4,0)=EOMONTH($T$1,0),Finance!DK$3,0)+IF(EOMONTH(DATE(YEAR(Finance!$DF$1),MONTH(Finance!$DF$1),1)+INT((DAY(Finance!$DF$1)-1)/2)+Finance!DH$4,0)=EOMONTH($T$1,0),Finance!DH$3,0)+IF(EOMONTH(DATE(YEAR(Finance!$DC$1),MONTH(Finance!$DC$1),1)+INT((DAY(Finance!$DC$1)-1)/2)+Finance!DE$4,0)=EOMONTH($T$1,0),Finance!DE$3,0)+IF(EOMONTH(DATE(YEAR(Finance!$CZ$1),MONTH(Finance!$CZ$1),1)+INT((DAY(Finance!$CZ$1)-1)/2)+Finance!DB$4,0)=EOMONTH($T$1,0),Finance!DB$3,0)+IF(EOMONTH(DATE(YEAR(Finance!$CW$1),MONTH(Finance!$CW$1),1)+INT((DAY(Finance!$CW$1)-1)/2)+Finance!CY$4,0)=EOMONTH($T$1,0),Finance!CY$3,0)+IF(EOMONTH(DATE(YEAR(Finance!$CT$1),MONTH(Finance!$CT$1),1)+INT((DAY(Finance!$CT$1)-1)/2)+Finance!CV$4,0)=EOMONTH($T$1,0),Finance!CV$3,0)+IF(EOMONTH(DATE(YEAR(Finance!$CQ$1),MONTH(Finance!$CQ$1),1)+INT((DAY(Finance!$CQ$1)-1)/2)+Finance!CS$4,0)=EOMONTH($T$1,0),Finance!CS$3,0)+IF(EOMONTH(DATE(YEAR(Finance!$CN$1),MONTH(Finance!$CN$1),1)+INT((DAY(Finance!$CN$1)-1)/2)+Finance!CP$4,0)=EOMONTH($T$1,0),Finance!CP$3,0)+IF(EOMONTH(DATE(YEAR(Finance!$CK$1),MONTH(Finance!$CK$1),1)+INT((DAY(Finance!$CK$1)-1)/2)+Finance!CM$4,0)=EOMONTH($T$1,0),Finance!CM$3,0)+IF(EOMONTH(DATE(YEAR(Finance!$CH$1),MONTH(Finance!$CH$1),1)+INT((DAY(Finance!$CH$1)-1)/2)+Finance!CJ$4,0)=EOMONTH($T$1,0),Finance!CJ$3,0)+IF(EOMONTH(DATE(YEAR(Finance!$CE$1),MONTH(Finance!$CE$1),1)+INT((DAY(Finance!$CE$1)-1)/2)+Finance!CG$4,0)=EOMONTH($T$1,0),Finance!CG$3,0)+IF(EOMONTH(DATE(YEAR(Finance!$CB$1),MONTH(Finance!$CB$1),1)+INT((DAY(Finance!$CB$1)-1)/2)+Finance!CD$4,0)=EOMONTH($T$1,0),Finance!CD$3,0)+IF(EOMONTH(DATE(YEAR(Finance!$BY$1),MONTH(Finance!$BY$1),1)+INT((DAY(Finance!$BY$1)-1)/2)+Finance!CA$4,0)=EOMONTH($T$1,0),Finance!CA$3,0)+IF(EOMONTH(DATE(YEAR(Finance!$BV$1),MONTH(Finance!$BV$1),1)+INT((DAY(Finance!$BV$1)-1)/2)+Finance!BX$4,0)=EOMONTH($T$1,0),Finance!BX$3,0)+IF(EOMONTH(DATE(YEAR(Finance!$BS$1),MONTH(Finance!$BS$1),1)+INT((DAY(Finance!$BS$1)-1)/2)+Finance!BU$4,0)=EOMONTH($T$1,0),Finance!BU$3,0)+IF(EOMONTH(DATE(YEAR(Finance!$BP$1),MONTH(Finance!$BP$1),1)+INT((DAY(Finance!$BP$1)-1)/2)+Finance!BR$4,0)=EOMONTH($T$1,0),Finance!BR$3,0)+IF(EOMONTH(DATE(YEAR(Finance!$BM$1),MONTH(Finance!$BM$1),1)+INT((DAY(Finance!$BM$1)-1)/2)+Finance!BO$4,0)=EOMONTH($T$1,0),Finance!BO$3,0)+IF(EOMONTH(DATE(YEAR(Finance!$BJ$1),MONTH(Finance!$BJ$1),1)+INT((DAY(Finance!$BJ$1)-1)/2)+Finance!BL$4,0)=EOMONTH($T$1,0),Finance!BL$3,0)+IF(EOMONTH(DATE(YEAR(Finance!$BG$1),MONTH(Finance!$BG$1),1)+INT((DAY(Finance!$BG$1)-1)/2)+Finance!BI$4,0)=EOMONTH($T$1,0),Finance!BI$3,0)+IF(EOMONTH(DATE(YEAR(Finance!$BD$1),MONTH(Finance!$BD$1),1)+INT((DAY(Finance!$BD$1)-1)/2)+Finance!BF$4,0)=EOMONTH($T$1,0),Finance!BF$3,0)+IF(EOMONTH(DATE(YEAR(Finance!$BA$1),MONTH(Finance!$BA$1),1)+INT((DAY(Finance!$BA$1)-1)/2)+Finance!BC$4,0)=EOMONTH($T$1,0),Finance!BC$3,0)+IF(EOMONTH(DATE(YEAR(Finance!$AX$1),MONTH(Finance!$AX$1),1)+INT((DAY(Finance!$AX$1)-1)/2)+Finance!AZ$4,0)=EOMONTH($T$1,0),Finance!AZ$3,0)+IF(EOMONTH(DATE(YEAR(Finance!$AU$1),MONTH(Finance!$AU$1),1)+INT((DAY(Finance!$AU$1)-1)/2)+Finance!AW$4,0)=EOMONTH($T$1,0),Finance!AW$3,0)+IF(EOMONTH(DATE(YEAR(Finance!$AR$1),MONTH(Finance!$AR$1),1)+INT((DAY(Finance!$AR$1)-1)/2)+Finance!AT$4,0)=EOMONTH($T$1,0),Finance!AT$3,0)+IF(EOMONTH(DATE(YEAR(Finance!$AO$1),MONTH(Finance!$AO$1),1)+INT((DAY(Finance!$AO$1)-1)/2)+Finance!AQ$4,0)=EOMONTH($T$1,0),Finance!AQ$3,0)+IF(EOMONTH(DATE(YEAR(Finance!$AL$1),MONTH(Finance!$AL$1),1)+INT((DAY(Finance!$AL$1)-1)/2)+Finance!AN$4,0)=EOMONTH($T$1,0),Finance!AN$3,0)+IF(EOMONTH(DATE(YEAR(Finance!$AI$1),MONTH(Finance!$AI$1),1)+INT((DAY(Finance!$AI$1)-1)/2)+Finance!AK$4,0)=EOMONTH($T$1,0),Finance!AK$3,0)+IF(EOMONTH(DATE(YEAR(Finance!$AF$1),MONTH(Finance!$AF$1),1)+INT((DAY(Finance!$AF$1)-1)/2)+Finance!AH$4,0)=EOMONTH($T$1,0),Finance!AH$3,0)+IF(EOMONTH(DATE(YEAR(Finance!$AC$1),MONTH(Finance!$AC$1),1)+INT((DAY(Finance!$AC$1)-1)/2)+Finance!AE$4,0)=EOMONTH($T$1,0),Finance!AE$3,0)+IF(EOMONTH(DATE(YEAR(Finance!$Z$1),MONTH(Finance!$Z$1),1)+INT((DAY(Finance!$Z$1)-1)/2)+Finance!AB$4,0)=EOMONTH($T$1,0),Finance!AB$3,0)+IF(EOMONTH(DATE(YEAR(Finance!$W$1),MONTH(Finance!$W$1),1)+INT((DAY(Finance!$W$1)-1)/2)+Finance!Y$4,0)=EOMONTH($T$1,0),Finance!Y$3,0)+IF(EOMONTH(DATE(YEAR(Finance!$T$1),MONTH(Finance!$T$1),1)+INT((DAY(Finance!$T$1)-1)/2)+Finance!V$4,0)=EOMONTH($T$1,0),Finance!V$3,0)+IF(EOMONTH(DATE(YEAR(Finance!$Q$1),MONTH(Finance!$Q$1),1)+INT((DAY(Finance!$Q$1)-1)/2)+Finance!S$4,0)=EOMONTH($T$1,0),Finance!S$3,0)+IF(EOMONTH(DATE(YEAR(Finance!$N$1),MONTH(Finance!$N$1),1)+INT((DAY(Finance!$N$1)-1)/2)+Finance!P$4,0)=EOMONTH($T$1,0),Finance!P$3,0)+IF(EOMONTH(DATE(YEAR(Finance!$K$1),MONTH(Finance!$K$1),1)+INT((DAY(Finance!$K$1)-1)/2)+Finance!M$4,0)=EOMONTH($T$1,0),Finance!M$3,0)+IF(EOMONTH('Cash Drivers'!$DL$30+Finance!DN$4,0)=EOMONTH($T$1,0),'Cash Drivers'!$DL$35,0),0)</f>
        <v>2182357</v>
      </c>
      <c r="W5" s="13"/>
      <c r="X5" s="13" t="n">
        <f aca="false">IF('Cash Drivers'!X$26,W5,ROUND(IF(EOMONTH(DATE(YEAR(Finance!$DL$1),MONTH(Finance!$DL$1),1)+INT((DAY(Finance!$DL$1)-1)/2)+Finance!DM$4,0)=EOMONTH($W$1,0),Finance!DM$3,0)+IF(EOMONTH(DATE(YEAR(Finance!$DI$1),MONTH(Finance!$DI$1),1)+INT((DAY(Finance!$DI$1)-1)/2)+Finance!DJ$4,0)=EOMONTH($W$1,0),Finance!DJ$3,0)+IF(EOMONTH(DATE(YEAR(Finance!$DF$1),MONTH(Finance!$DF$1),1)+INT((DAY(Finance!$DF$1)-1)/2)+Finance!DG$4,0)=EOMONTH($W$1,0),Finance!DG$3,0)+IF(EOMONTH(DATE(YEAR(Finance!$DC$1),MONTH(Finance!$DC$1),1)+INT((DAY(Finance!$DC$1)-1)/2)+Finance!DD$4,0)=EOMONTH($W$1,0),Finance!DD$3,0)+IF(EOMONTH(DATE(YEAR(Finance!$CZ$1),MONTH(Finance!$CZ$1),1)+INT((DAY(Finance!$CZ$1)-1)/2)+Finance!DA$4,0)=EOMONTH($W$1,0),Finance!DA$3,0)+IF(EOMONTH(DATE(YEAR(Finance!$CW$1),MONTH(Finance!$CW$1),1)+INT((DAY(Finance!$CW$1)-1)/2)+Finance!CX$4,0)=EOMONTH($W$1,0),Finance!CX$3,0)+IF(EOMONTH(DATE(YEAR(Finance!$CT$1),MONTH(Finance!$CT$1),1)+INT((DAY(Finance!$CT$1)-1)/2)+Finance!CU$4,0)=EOMONTH($W$1,0),Finance!CU$3,0)+IF(EOMONTH(DATE(YEAR(Finance!$CQ$1),MONTH(Finance!$CQ$1),1)+INT((DAY(Finance!$CQ$1)-1)/2)+Finance!CR$4,0)=EOMONTH($W$1,0),Finance!CR$3,0)+IF(EOMONTH(DATE(YEAR(Finance!$CN$1),MONTH(Finance!$CN$1),1)+INT((DAY(Finance!$CN$1)-1)/2)+Finance!CO$4,0)=EOMONTH($W$1,0),Finance!CO$3,0)+IF(EOMONTH(DATE(YEAR(Finance!$CK$1),MONTH(Finance!$CK$1),1)+INT((DAY(Finance!$CK$1)-1)/2)+Finance!CL$4,0)=EOMONTH($W$1,0),Finance!CL$3,0)+IF(EOMONTH(DATE(YEAR(Finance!$CH$1),MONTH(Finance!$CH$1),1)+INT((DAY(Finance!$CH$1)-1)/2)+Finance!CI$4,0)=EOMONTH($W$1,0),Finance!CI$3,0)+IF(EOMONTH(DATE(YEAR(Finance!$CE$1),MONTH(Finance!$CE$1),1)+INT((DAY(Finance!$CE$1)-1)/2)+Finance!CF$4,0)=EOMONTH($W$1,0),Finance!CF$3,0)+IF(EOMONTH(DATE(YEAR(Finance!$CB$1),MONTH(Finance!$CB$1),1)+INT((DAY(Finance!$CB$1)-1)/2)+Finance!CC$4,0)=EOMONTH($W$1,0),Finance!CC$3,0)+IF(EOMONTH(DATE(YEAR(Finance!$BY$1),MONTH(Finance!$BY$1),1)+INT((DAY(Finance!$BY$1)-1)/2)+Finance!BZ$4,0)=EOMONTH($W$1,0),Finance!BZ$3,0)+IF(EOMONTH(DATE(YEAR(Finance!$BV$1),MONTH(Finance!$BV$1),1)+INT((DAY(Finance!$BV$1)-1)/2)+Finance!BW$4,0)=EOMONTH($W$1,0),Finance!BW$3,0)+IF(EOMONTH(DATE(YEAR(Finance!$BS$1),MONTH(Finance!$BS$1),1)+INT((DAY(Finance!$BS$1)-1)/2)+Finance!BT$4,0)=EOMONTH($W$1,0),Finance!BT$3,0)+IF(EOMONTH(DATE(YEAR(Finance!$BP$1),MONTH(Finance!$BP$1),1)+INT((DAY(Finance!$BP$1)-1)/2)+Finance!BQ$4,0)=EOMONTH($W$1,0),Finance!BQ$3,0)+IF(EOMONTH(DATE(YEAR(Finance!$BM$1),MONTH(Finance!$BM$1),1)+INT((DAY(Finance!$BM$1)-1)/2)+Finance!BN$4,0)=EOMONTH($W$1,0),Finance!BN$3,0)+IF(EOMONTH(DATE(YEAR(Finance!$BJ$1),MONTH(Finance!$BJ$1),1)+INT((DAY(Finance!$BJ$1)-1)/2)+Finance!BK$4,0)=EOMONTH($W$1,0),Finance!BK$3,0)+IF(EOMONTH(DATE(YEAR(Finance!$BG$1),MONTH(Finance!$BG$1),1)+INT((DAY(Finance!$BG$1)-1)/2)+Finance!BH$4,0)=EOMONTH($W$1,0),Finance!BH$3,0)+IF(EOMONTH(DATE(YEAR(Finance!$BD$1),MONTH(Finance!$BD$1),1)+INT((DAY(Finance!$BD$1)-1)/2)+Finance!BE$4,0)=EOMONTH($W$1,0),Finance!BE$3,0)+IF(EOMONTH(DATE(YEAR(Finance!$BA$1),MONTH(Finance!$BA$1),1)+INT((DAY(Finance!$BA$1)-1)/2)+Finance!BB$4,0)=EOMONTH($W$1,0),Finance!BB$3,0)+IF(EOMONTH(DATE(YEAR(Finance!$AX$1),MONTH(Finance!$AX$1),1)+INT((DAY(Finance!$AX$1)-1)/2)+Finance!AY$4,0)=EOMONTH($W$1,0),Finance!AY$3,0)+IF(EOMONTH(DATE(YEAR(Finance!$AU$1),MONTH(Finance!$AU$1),1)+INT((DAY(Finance!$AU$1)-1)/2)+Finance!AV$4,0)=EOMONTH($W$1,0),Finance!AV$3,0)+IF(EOMONTH(DATE(YEAR(Finance!$AR$1),MONTH(Finance!$AR$1),1)+INT((DAY(Finance!$AR$1)-1)/2)+Finance!AS$4,0)=EOMONTH($W$1,0),Finance!AS$3,0)+IF(EOMONTH(DATE(YEAR(Finance!$AO$1),MONTH(Finance!$AO$1),1)+INT((DAY(Finance!$AO$1)-1)/2)+Finance!AP$4,0)=EOMONTH($W$1,0),Finance!AP$3,0)+IF(EOMONTH(DATE(YEAR(Finance!$AL$1),MONTH(Finance!$AL$1),1)+INT((DAY(Finance!$AL$1)-1)/2)+Finance!AM$4,0)=EOMONTH($W$1,0),Finance!AM$3,0)+IF(EOMONTH(DATE(YEAR(Finance!$AI$1),MONTH(Finance!$AI$1),1)+INT((DAY(Finance!$AI$1)-1)/2)+Finance!AJ$4,0)=EOMONTH($W$1,0),Finance!AJ$3,0)+IF(EOMONTH(DATE(YEAR(Finance!$AF$1),MONTH(Finance!$AF$1),1)+INT((DAY(Finance!$AF$1)-1)/2)+Finance!AG$4,0)=EOMONTH($W$1,0),Finance!AG$3,0)+IF(EOMONTH(DATE(YEAR(Finance!$AC$1),MONTH(Finance!$AC$1),1)+INT((DAY(Finance!$AC$1)-1)/2)+Finance!AD$4,0)=EOMONTH($W$1,0),Finance!AD$3,0)+IF(EOMONTH(DATE(YEAR(Finance!$Z$1),MONTH(Finance!$Z$1),1)+INT((DAY(Finance!$Z$1)-1)/2)+Finance!AA$4,0)=EOMONTH($W$1,0),Finance!AA$3,0)+IF(EOMONTH(DATE(YEAR(Finance!$W$1),MONTH(Finance!$W$1),1)+INT((DAY(Finance!$W$1)-1)/2)+Finance!X$4,0)=EOMONTH($W$1,0),Finance!X$3,0)+IF(EOMONTH(DATE(YEAR(Finance!$T$1),MONTH(Finance!$T$1),1)+INT((DAY(Finance!$T$1)-1)/2)+Finance!U$4,0)=EOMONTH($W$1,0),Finance!U$3,0)+IF(EOMONTH(DATE(YEAR(Finance!$Q$1),MONTH(Finance!$Q$1),1)+INT((DAY(Finance!$Q$1)-1)/2)+Finance!R$4,0)=EOMONTH($W$1,0),Finance!R$3,0)+IF(EOMONTH(DATE(YEAR(Finance!$N$1),MONTH(Finance!$N$1),1)+INT((DAY(Finance!$N$1)-1)/2)+Finance!O$4,0)=EOMONTH($W$1,0),Finance!O$3,0)+IF(EOMONTH(DATE(YEAR(Finance!$K$1),MONTH(Finance!$K$1),1)+INT((DAY(Finance!$K$1)-1)/2)+Finance!L$4,0)=EOMONTH($W$1,0),Finance!L$3,0)+IF(EOMONTH('Cash Drivers'!$DL$30+Finance!DM$4,0)=EOMONTH($W$1,0),'Cash Drivers'!$DL$35,0),0))</f>
        <v>2151224</v>
      </c>
      <c r="Y5" s="13" t="n">
        <f aca="false">ROUND(IF(EOMONTH(DATE(YEAR(Finance!$DL$1),MONTH(Finance!$DL$1),1)+INT((DAY(Finance!$DL$1)-1)/2)+Finance!DN$4,0)=EOMONTH($W$1,0),Finance!DN$3,0)+IF(EOMONTH(DATE(YEAR(Finance!$DI$1),MONTH(Finance!$DI$1),1)+INT((DAY(Finance!$DI$1)-1)/2)+Finance!DK$4,0)=EOMONTH($W$1,0),Finance!DK$3,0)+IF(EOMONTH(DATE(YEAR(Finance!$DF$1),MONTH(Finance!$DF$1),1)+INT((DAY(Finance!$DF$1)-1)/2)+Finance!DH$4,0)=EOMONTH($W$1,0),Finance!DH$3,0)+IF(EOMONTH(DATE(YEAR(Finance!$DC$1),MONTH(Finance!$DC$1),1)+INT((DAY(Finance!$DC$1)-1)/2)+Finance!DE$4,0)=EOMONTH($W$1,0),Finance!DE$3,0)+IF(EOMONTH(DATE(YEAR(Finance!$CZ$1),MONTH(Finance!$CZ$1),1)+INT((DAY(Finance!$CZ$1)-1)/2)+Finance!DB$4,0)=EOMONTH($W$1,0),Finance!DB$3,0)+IF(EOMONTH(DATE(YEAR(Finance!$CW$1),MONTH(Finance!$CW$1),1)+INT((DAY(Finance!$CW$1)-1)/2)+Finance!CY$4,0)=EOMONTH($W$1,0),Finance!CY$3,0)+IF(EOMONTH(DATE(YEAR(Finance!$CT$1),MONTH(Finance!$CT$1),1)+INT((DAY(Finance!$CT$1)-1)/2)+Finance!CV$4,0)=EOMONTH($W$1,0),Finance!CV$3,0)+IF(EOMONTH(DATE(YEAR(Finance!$CQ$1),MONTH(Finance!$CQ$1),1)+INT((DAY(Finance!$CQ$1)-1)/2)+Finance!CS$4,0)=EOMONTH($W$1,0),Finance!CS$3,0)+IF(EOMONTH(DATE(YEAR(Finance!$CN$1),MONTH(Finance!$CN$1),1)+INT((DAY(Finance!$CN$1)-1)/2)+Finance!CP$4,0)=EOMONTH($W$1,0),Finance!CP$3,0)+IF(EOMONTH(DATE(YEAR(Finance!$CK$1),MONTH(Finance!$CK$1),1)+INT((DAY(Finance!$CK$1)-1)/2)+Finance!CM$4,0)=EOMONTH($W$1,0),Finance!CM$3,0)+IF(EOMONTH(DATE(YEAR(Finance!$CH$1),MONTH(Finance!$CH$1),1)+INT((DAY(Finance!$CH$1)-1)/2)+Finance!CJ$4,0)=EOMONTH($W$1,0),Finance!CJ$3,0)+IF(EOMONTH(DATE(YEAR(Finance!$CE$1),MONTH(Finance!$CE$1),1)+INT((DAY(Finance!$CE$1)-1)/2)+Finance!CG$4,0)=EOMONTH($W$1,0),Finance!CG$3,0)+IF(EOMONTH(DATE(YEAR(Finance!$CB$1),MONTH(Finance!$CB$1),1)+INT((DAY(Finance!$CB$1)-1)/2)+Finance!CD$4,0)=EOMONTH($W$1,0),Finance!CD$3,0)+IF(EOMONTH(DATE(YEAR(Finance!$BY$1),MONTH(Finance!$BY$1),1)+INT((DAY(Finance!$BY$1)-1)/2)+Finance!CA$4,0)=EOMONTH($W$1,0),Finance!CA$3,0)+IF(EOMONTH(DATE(YEAR(Finance!$BV$1),MONTH(Finance!$BV$1),1)+INT((DAY(Finance!$BV$1)-1)/2)+Finance!BX$4,0)=EOMONTH($W$1,0),Finance!BX$3,0)+IF(EOMONTH(DATE(YEAR(Finance!$BS$1),MONTH(Finance!$BS$1),1)+INT((DAY(Finance!$BS$1)-1)/2)+Finance!BU$4,0)=EOMONTH($W$1,0),Finance!BU$3,0)+IF(EOMONTH(DATE(YEAR(Finance!$BP$1),MONTH(Finance!$BP$1),1)+INT((DAY(Finance!$BP$1)-1)/2)+Finance!BR$4,0)=EOMONTH($W$1,0),Finance!BR$3,0)+IF(EOMONTH(DATE(YEAR(Finance!$BM$1),MONTH(Finance!$BM$1),1)+INT((DAY(Finance!$BM$1)-1)/2)+Finance!BO$4,0)=EOMONTH($W$1,0),Finance!BO$3,0)+IF(EOMONTH(DATE(YEAR(Finance!$BJ$1),MONTH(Finance!$BJ$1),1)+INT((DAY(Finance!$BJ$1)-1)/2)+Finance!BL$4,0)=EOMONTH($W$1,0),Finance!BL$3,0)+IF(EOMONTH(DATE(YEAR(Finance!$BG$1),MONTH(Finance!$BG$1),1)+INT((DAY(Finance!$BG$1)-1)/2)+Finance!BI$4,0)=EOMONTH($W$1,0),Finance!BI$3,0)+IF(EOMONTH(DATE(YEAR(Finance!$BD$1),MONTH(Finance!$BD$1),1)+INT((DAY(Finance!$BD$1)-1)/2)+Finance!BF$4,0)=EOMONTH($W$1,0),Finance!BF$3,0)+IF(EOMONTH(DATE(YEAR(Finance!$BA$1),MONTH(Finance!$BA$1),1)+INT((DAY(Finance!$BA$1)-1)/2)+Finance!BC$4,0)=EOMONTH($W$1,0),Finance!BC$3,0)+IF(EOMONTH(DATE(YEAR(Finance!$AX$1),MONTH(Finance!$AX$1),1)+INT((DAY(Finance!$AX$1)-1)/2)+Finance!AZ$4,0)=EOMONTH($W$1,0),Finance!AZ$3,0)+IF(EOMONTH(DATE(YEAR(Finance!$AU$1),MONTH(Finance!$AU$1),1)+INT((DAY(Finance!$AU$1)-1)/2)+Finance!AW$4,0)=EOMONTH($W$1,0),Finance!AW$3,0)+IF(EOMONTH(DATE(YEAR(Finance!$AR$1),MONTH(Finance!$AR$1),1)+INT((DAY(Finance!$AR$1)-1)/2)+Finance!AT$4,0)=EOMONTH($W$1,0),Finance!AT$3,0)+IF(EOMONTH(DATE(YEAR(Finance!$AO$1),MONTH(Finance!$AO$1),1)+INT((DAY(Finance!$AO$1)-1)/2)+Finance!AQ$4,0)=EOMONTH($W$1,0),Finance!AQ$3,0)+IF(EOMONTH(DATE(YEAR(Finance!$AL$1),MONTH(Finance!$AL$1),1)+INT((DAY(Finance!$AL$1)-1)/2)+Finance!AN$4,0)=EOMONTH($W$1,0),Finance!AN$3,0)+IF(EOMONTH(DATE(YEAR(Finance!$AI$1),MONTH(Finance!$AI$1),1)+INT((DAY(Finance!$AI$1)-1)/2)+Finance!AK$4,0)=EOMONTH($W$1,0),Finance!AK$3,0)+IF(EOMONTH(DATE(YEAR(Finance!$AF$1),MONTH(Finance!$AF$1),1)+INT((DAY(Finance!$AF$1)-1)/2)+Finance!AH$4,0)=EOMONTH($W$1,0),Finance!AH$3,0)+IF(EOMONTH(DATE(YEAR(Finance!$AC$1),MONTH(Finance!$AC$1),1)+INT((DAY(Finance!$AC$1)-1)/2)+Finance!AE$4,0)=EOMONTH($W$1,0),Finance!AE$3,0)+IF(EOMONTH(DATE(YEAR(Finance!$Z$1),MONTH(Finance!$Z$1),1)+INT((DAY(Finance!$Z$1)-1)/2)+Finance!AB$4,0)=EOMONTH($W$1,0),Finance!AB$3,0)+IF(EOMONTH(DATE(YEAR(Finance!$W$1),MONTH(Finance!$W$1),1)+INT((DAY(Finance!$W$1)-1)/2)+Finance!Y$4,0)=EOMONTH($W$1,0),Finance!Y$3,0)+IF(EOMONTH(DATE(YEAR(Finance!$T$1),MONTH(Finance!$T$1),1)+INT((DAY(Finance!$T$1)-1)/2)+Finance!V$4,0)=EOMONTH($W$1,0),Finance!V$3,0)+IF(EOMONTH(DATE(YEAR(Finance!$Q$1),MONTH(Finance!$Q$1),1)+INT((DAY(Finance!$Q$1)-1)/2)+Finance!S$4,0)=EOMONTH($W$1,0),Finance!S$3,0)+IF(EOMONTH(DATE(YEAR(Finance!$N$1),MONTH(Finance!$N$1),1)+INT((DAY(Finance!$N$1)-1)/2)+Finance!P$4,0)=EOMONTH($W$1,0),Finance!P$3,0)+IF(EOMONTH(DATE(YEAR(Finance!$K$1),MONTH(Finance!$K$1),1)+INT((DAY(Finance!$K$1)-1)/2)+Finance!M$4,0)=EOMONTH($W$1,0),Finance!M$3,0)+IF(EOMONTH('Cash Drivers'!$DL$30+Finance!DN$4,0)=EOMONTH($W$1,0),'Cash Drivers'!$DL$35,0),0)</f>
        <v>2125047</v>
      </c>
      <c r="Z5" s="12"/>
      <c r="AA5" s="12" t="n">
        <f aca="false">IF('Cash Drivers'!AA$26,Z5,ROUND(IF(EOMONTH(DATE(YEAR(Finance!$DL$1),MONTH(Finance!$DL$1),1)+INT((DAY(Finance!$DL$1)-1)/2)+Finance!DM$4,0)=EOMONTH($Z$1,0),Finance!DM$3,0)+IF(EOMONTH(DATE(YEAR(Finance!$DI$1),MONTH(Finance!$DI$1),1)+INT((DAY(Finance!$DI$1)-1)/2)+Finance!DJ$4,0)=EOMONTH($Z$1,0),Finance!DJ$3,0)+IF(EOMONTH(DATE(YEAR(Finance!$DF$1),MONTH(Finance!$DF$1),1)+INT((DAY(Finance!$DF$1)-1)/2)+Finance!DG$4,0)=EOMONTH($Z$1,0),Finance!DG$3,0)+IF(EOMONTH(DATE(YEAR(Finance!$DC$1),MONTH(Finance!$DC$1),1)+INT((DAY(Finance!$DC$1)-1)/2)+Finance!DD$4,0)=EOMONTH($Z$1,0),Finance!DD$3,0)+IF(EOMONTH(DATE(YEAR(Finance!$CZ$1),MONTH(Finance!$CZ$1),1)+INT((DAY(Finance!$CZ$1)-1)/2)+Finance!DA$4,0)=EOMONTH($Z$1,0),Finance!DA$3,0)+IF(EOMONTH(DATE(YEAR(Finance!$CW$1),MONTH(Finance!$CW$1),1)+INT((DAY(Finance!$CW$1)-1)/2)+Finance!CX$4,0)=EOMONTH($Z$1,0),Finance!CX$3,0)+IF(EOMONTH(DATE(YEAR(Finance!$CT$1),MONTH(Finance!$CT$1),1)+INT((DAY(Finance!$CT$1)-1)/2)+Finance!CU$4,0)=EOMONTH($Z$1,0),Finance!CU$3,0)+IF(EOMONTH(DATE(YEAR(Finance!$CQ$1),MONTH(Finance!$CQ$1),1)+INT((DAY(Finance!$CQ$1)-1)/2)+Finance!CR$4,0)=EOMONTH($Z$1,0),Finance!CR$3,0)+IF(EOMONTH(DATE(YEAR(Finance!$CN$1),MONTH(Finance!$CN$1),1)+INT((DAY(Finance!$CN$1)-1)/2)+Finance!CO$4,0)=EOMONTH($Z$1,0),Finance!CO$3,0)+IF(EOMONTH(DATE(YEAR(Finance!$CK$1),MONTH(Finance!$CK$1),1)+INT((DAY(Finance!$CK$1)-1)/2)+Finance!CL$4,0)=EOMONTH($Z$1,0),Finance!CL$3,0)+IF(EOMONTH(DATE(YEAR(Finance!$CH$1),MONTH(Finance!$CH$1),1)+INT((DAY(Finance!$CH$1)-1)/2)+Finance!CI$4,0)=EOMONTH($Z$1,0),Finance!CI$3,0)+IF(EOMONTH(DATE(YEAR(Finance!$CE$1),MONTH(Finance!$CE$1),1)+INT((DAY(Finance!$CE$1)-1)/2)+Finance!CF$4,0)=EOMONTH($Z$1,0),Finance!CF$3,0)+IF(EOMONTH(DATE(YEAR(Finance!$CB$1),MONTH(Finance!$CB$1),1)+INT((DAY(Finance!$CB$1)-1)/2)+Finance!CC$4,0)=EOMONTH($Z$1,0),Finance!CC$3,0)+IF(EOMONTH(DATE(YEAR(Finance!$BY$1),MONTH(Finance!$BY$1),1)+INT((DAY(Finance!$BY$1)-1)/2)+Finance!BZ$4,0)=EOMONTH($Z$1,0),Finance!BZ$3,0)+IF(EOMONTH(DATE(YEAR(Finance!$BV$1),MONTH(Finance!$BV$1),1)+INT((DAY(Finance!$BV$1)-1)/2)+Finance!BW$4,0)=EOMONTH($Z$1,0),Finance!BW$3,0)+IF(EOMONTH(DATE(YEAR(Finance!$BS$1),MONTH(Finance!$BS$1),1)+INT((DAY(Finance!$BS$1)-1)/2)+Finance!BT$4,0)=EOMONTH($Z$1,0),Finance!BT$3,0)+IF(EOMONTH(DATE(YEAR(Finance!$BP$1),MONTH(Finance!$BP$1),1)+INT((DAY(Finance!$BP$1)-1)/2)+Finance!BQ$4,0)=EOMONTH($Z$1,0),Finance!BQ$3,0)+IF(EOMONTH(DATE(YEAR(Finance!$BM$1),MONTH(Finance!$BM$1),1)+INT((DAY(Finance!$BM$1)-1)/2)+Finance!BN$4,0)=EOMONTH($Z$1,0),Finance!BN$3,0)+IF(EOMONTH(DATE(YEAR(Finance!$BJ$1),MONTH(Finance!$BJ$1),1)+INT((DAY(Finance!$BJ$1)-1)/2)+Finance!BK$4,0)=EOMONTH($Z$1,0),Finance!BK$3,0)+IF(EOMONTH(DATE(YEAR(Finance!$BG$1),MONTH(Finance!$BG$1),1)+INT((DAY(Finance!$BG$1)-1)/2)+Finance!BH$4,0)=EOMONTH($Z$1,0),Finance!BH$3,0)+IF(EOMONTH(DATE(YEAR(Finance!$BD$1),MONTH(Finance!$BD$1),1)+INT((DAY(Finance!$BD$1)-1)/2)+Finance!BE$4,0)=EOMONTH($Z$1,0),Finance!BE$3,0)+IF(EOMONTH(DATE(YEAR(Finance!$BA$1),MONTH(Finance!$BA$1),1)+INT((DAY(Finance!$BA$1)-1)/2)+Finance!BB$4,0)=EOMONTH($Z$1,0),Finance!BB$3,0)+IF(EOMONTH(DATE(YEAR(Finance!$AX$1),MONTH(Finance!$AX$1),1)+INT((DAY(Finance!$AX$1)-1)/2)+Finance!AY$4,0)=EOMONTH($Z$1,0),Finance!AY$3,0)+IF(EOMONTH(DATE(YEAR(Finance!$AU$1),MONTH(Finance!$AU$1),1)+INT((DAY(Finance!$AU$1)-1)/2)+Finance!AV$4,0)=EOMONTH($Z$1,0),Finance!AV$3,0)+IF(EOMONTH(DATE(YEAR(Finance!$AR$1),MONTH(Finance!$AR$1),1)+INT((DAY(Finance!$AR$1)-1)/2)+Finance!AS$4,0)=EOMONTH($Z$1,0),Finance!AS$3,0)+IF(EOMONTH(DATE(YEAR(Finance!$AO$1),MONTH(Finance!$AO$1),1)+INT((DAY(Finance!$AO$1)-1)/2)+Finance!AP$4,0)=EOMONTH($Z$1,0),Finance!AP$3,0)+IF(EOMONTH(DATE(YEAR(Finance!$AL$1),MONTH(Finance!$AL$1),1)+INT((DAY(Finance!$AL$1)-1)/2)+Finance!AM$4,0)=EOMONTH($Z$1,0),Finance!AM$3,0)+IF(EOMONTH(DATE(YEAR(Finance!$AI$1),MONTH(Finance!$AI$1),1)+INT((DAY(Finance!$AI$1)-1)/2)+Finance!AJ$4,0)=EOMONTH($Z$1,0),Finance!AJ$3,0)+IF(EOMONTH(DATE(YEAR(Finance!$AF$1),MONTH(Finance!$AF$1),1)+INT((DAY(Finance!$AF$1)-1)/2)+Finance!AG$4,0)=EOMONTH($Z$1,0),Finance!AG$3,0)+IF(EOMONTH(DATE(YEAR(Finance!$AC$1),MONTH(Finance!$AC$1),1)+INT((DAY(Finance!$AC$1)-1)/2)+Finance!AD$4,0)=EOMONTH($Z$1,0),Finance!AD$3,0)+IF(EOMONTH(DATE(YEAR(Finance!$Z$1),MONTH(Finance!$Z$1),1)+INT((DAY(Finance!$Z$1)-1)/2)+Finance!AA$4,0)=EOMONTH($Z$1,0),Finance!AA$3,0)+IF(EOMONTH(DATE(YEAR(Finance!$W$1),MONTH(Finance!$W$1),1)+INT((DAY(Finance!$W$1)-1)/2)+Finance!X$4,0)=EOMONTH($Z$1,0),Finance!X$3,0)+IF(EOMONTH(DATE(YEAR(Finance!$T$1),MONTH(Finance!$T$1),1)+INT((DAY(Finance!$T$1)-1)/2)+Finance!U$4,0)=EOMONTH($Z$1,0),Finance!U$3,0)+IF(EOMONTH(DATE(YEAR(Finance!$Q$1),MONTH(Finance!$Q$1),1)+INT((DAY(Finance!$Q$1)-1)/2)+Finance!R$4,0)=EOMONTH($Z$1,0),Finance!R$3,0)+IF(EOMONTH(DATE(YEAR(Finance!$N$1),MONTH(Finance!$N$1),1)+INT((DAY(Finance!$N$1)-1)/2)+Finance!O$4,0)=EOMONTH($Z$1,0),Finance!O$3,0)+IF(EOMONTH(DATE(YEAR(Finance!$K$1),MONTH(Finance!$K$1),1)+INT((DAY(Finance!$K$1)-1)/2)+Finance!L$4,0)=EOMONTH($Z$1,0),Finance!L$3,0)+IF(EOMONTH('Cash Drivers'!$DL$30+Finance!DM$4,0)=EOMONTH($Z$1,0),'Cash Drivers'!$DL$35,0),0))</f>
        <v>2094445</v>
      </c>
      <c r="AB5" s="12" t="n">
        <f aca="false">ROUND(IF(EOMONTH(DATE(YEAR(Finance!$DL$1),MONTH(Finance!$DL$1),1)+INT((DAY(Finance!$DL$1)-1)/2)+Finance!DN$4,0)=EOMONTH($Z$1,0),Finance!DN$3,0)+IF(EOMONTH(DATE(YEAR(Finance!$DI$1),MONTH(Finance!$DI$1),1)+INT((DAY(Finance!$DI$1)-1)/2)+Finance!DK$4,0)=EOMONTH($Z$1,0),Finance!DK$3,0)+IF(EOMONTH(DATE(YEAR(Finance!$DF$1),MONTH(Finance!$DF$1),1)+INT((DAY(Finance!$DF$1)-1)/2)+Finance!DH$4,0)=EOMONTH($Z$1,0),Finance!DH$3,0)+IF(EOMONTH(DATE(YEAR(Finance!$DC$1),MONTH(Finance!$DC$1),1)+INT((DAY(Finance!$DC$1)-1)/2)+Finance!DE$4,0)=EOMONTH($Z$1,0),Finance!DE$3,0)+IF(EOMONTH(DATE(YEAR(Finance!$CZ$1),MONTH(Finance!$CZ$1),1)+INT((DAY(Finance!$CZ$1)-1)/2)+Finance!DB$4,0)=EOMONTH($Z$1,0),Finance!DB$3,0)+IF(EOMONTH(DATE(YEAR(Finance!$CW$1),MONTH(Finance!$CW$1),1)+INT((DAY(Finance!$CW$1)-1)/2)+Finance!CY$4,0)=EOMONTH($Z$1,0),Finance!CY$3,0)+IF(EOMONTH(DATE(YEAR(Finance!$CT$1),MONTH(Finance!$CT$1),1)+INT((DAY(Finance!$CT$1)-1)/2)+Finance!CV$4,0)=EOMONTH($Z$1,0),Finance!CV$3,0)+IF(EOMONTH(DATE(YEAR(Finance!$CQ$1),MONTH(Finance!$CQ$1),1)+INT((DAY(Finance!$CQ$1)-1)/2)+Finance!CS$4,0)=EOMONTH($Z$1,0),Finance!CS$3,0)+IF(EOMONTH(DATE(YEAR(Finance!$CN$1),MONTH(Finance!$CN$1),1)+INT((DAY(Finance!$CN$1)-1)/2)+Finance!CP$4,0)=EOMONTH($Z$1,0),Finance!CP$3,0)+IF(EOMONTH(DATE(YEAR(Finance!$CK$1),MONTH(Finance!$CK$1),1)+INT((DAY(Finance!$CK$1)-1)/2)+Finance!CM$4,0)=EOMONTH($Z$1,0),Finance!CM$3,0)+IF(EOMONTH(DATE(YEAR(Finance!$CH$1),MONTH(Finance!$CH$1),1)+INT((DAY(Finance!$CH$1)-1)/2)+Finance!CJ$4,0)=EOMONTH($Z$1,0),Finance!CJ$3,0)+IF(EOMONTH(DATE(YEAR(Finance!$CE$1),MONTH(Finance!$CE$1),1)+INT((DAY(Finance!$CE$1)-1)/2)+Finance!CG$4,0)=EOMONTH($Z$1,0),Finance!CG$3,0)+IF(EOMONTH(DATE(YEAR(Finance!$CB$1),MONTH(Finance!$CB$1),1)+INT((DAY(Finance!$CB$1)-1)/2)+Finance!CD$4,0)=EOMONTH($Z$1,0),Finance!CD$3,0)+IF(EOMONTH(DATE(YEAR(Finance!$BY$1),MONTH(Finance!$BY$1),1)+INT((DAY(Finance!$BY$1)-1)/2)+Finance!CA$4,0)=EOMONTH($Z$1,0),Finance!CA$3,0)+IF(EOMONTH(DATE(YEAR(Finance!$BV$1),MONTH(Finance!$BV$1),1)+INT((DAY(Finance!$BV$1)-1)/2)+Finance!BX$4,0)=EOMONTH($Z$1,0),Finance!BX$3,0)+IF(EOMONTH(DATE(YEAR(Finance!$BS$1),MONTH(Finance!$BS$1),1)+INT((DAY(Finance!$BS$1)-1)/2)+Finance!BU$4,0)=EOMONTH($Z$1,0),Finance!BU$3,0)+IF(EOMONTH(DATE(YEAR(Finance!$BP$1),MONTH(Finance!$BP$1),1)+INT((DAY(Finance!$BP$1)-1)/2)+Finance!BR$4,0)=EOMONTH($Z$1,0),Finance!BR$3,0)+IF(EOMONTH(DATE(YEAR(Finance!$BM$1),MONTH(Finance!$BM$1),1)+INT((DAY(Finance!$BM$1)-1)/2)+Finance!BO$4,0)=EOMONTH($Z$1,0),Finance!BO$3,0)+IF(EOMONTH(DATE(YEAR(Finance!$BJ$1),MONTH(Finance!$BJ$1),1)+INT((DAY(Finance!$BJ$1)-1)/2)+Finance!BL$4,0)=EOMONTH($Z$1,0),Finance!BL$3,0)+IF(EOMONTH(DATE(YEAR(Finance!$BG$1),MONTH(Finance!$BG$1),1)+INT((DAY(Finance!$BG$1)-1)/2)+Finance!BI$4,0)=EOMONTH($Z$1,0),Finance!BI$3,0)+IF(EOMONTH(DATE(YEAR(Finance!$BD$1),MONTH(Finance!$BD$1),1)+INT((DAY(Finance!$BD$1)-1)/2)+Finance!BF$4,0)=EOMONTH($Z$1,0),Finance!BF$3,0)+IF(EOMONTH(DATE(YEAR(Finance!$BA$1),MONTH(Finance!$BA$1),1)+INT((DAY(Finance!$BA$1)-1)/2)+Finance!BC$4,0)=EOMONTH($Z$1,0),Finance!BC$3,0)+IF(EOMONTH(DATE(YEAR(Finance!$AX$1),MONTH(Finance!$AX$1),1)+INT((DAY(Finance!$AX$1)-1)/2)+Finance!AZ$4,0)=EOMONTH($Z$1,0),Finance!AZ$3,0)+IF(EOMONTH(DATE(YEAR(Finance!$AU$1),MONTH(Finance!$AU$1),1)+INT((DAY(Finance!$AU$1)-1)/2)+Finance!AW$4,0)=EOMONTH($Z$1,0),Finance!AW$3,0)+IF(EOMONTH(DATE(YEAR(Finance!$AR$1),MONTH(Finance!$AR$1),1)+INT((DAY(Finance!$AR$1)-1)/2)+Finance!AT$4,0)=EOMONTH($Z$1,0),Finance!AT$3,0)+IF(EOMONTH(DATE(YEAR(Finance!$AO$1),MONTH(Finance!$AO$1),1)+INT((DAY(Finance!$AO$1)-1)/2)+Finance!AQ$4,0)=EOMONTH($Z$1,0),Finance!AQ$3,0)+IF(EOMONTH(DATE(YEAR(Finance!$AL$1),MONTH(Finance!$AL$1),1)+INT((DAY(Finance!$AL$1)-1)/2)+Finance!AN$4,0)=EOMONTH($Z$1,0),Finance!AN$3,0)+IF(EOMONTH(DATE(YEAR(Finance!$AI$1),MONTH(Finance!$AI$1),1)+INT((DAY(Finance!$AI$1)-1)/2)+Finance!AK$4,0)=EOMONTH($Z$1,0),Finance!AK$3,0)+IF(EOMONTH(DATE(YEAR(Finance!$AF$1),MONTH(Finance!$AF$1),1)+INT((DAY(Finance!$AF$1)-1)/2)+Finance!AH$4,0)=EOMONTH($Z$1,0),Finance!AH$3,0)+IF(EOMONTH(DATE(YEAR(Finance!$AC$1),MONTH(Finance!$AC$1),1)+INT((DAY(Finance!$AC$1)-1)/2)+Finance!AE$4,0)=EOMONTH($Z$1,0),Finance!AE$3,0)+IF(EOMONTH(DATE(YEAR(Finance!$Z$1),MONTH(Finance!$Z$1),1)+INT((DAY(Finance!$Z$1)-1)/2)+Finance!AB$4,0)=EOMONTH($Z$1,0),Finance!AB$3,0)+IF(EOMONTH(DATE(YEAR(Finance!$W$1),MONTH(Finance!$W$1),1)+INT((DAY(Finance!$W$1)-1)/2)+Finance!Y$4,0)=EOMONTH($Z$1,0),Finance!Y$3,0)+IF(EOMONTH(DATE(YEAR(Finance!$T$1),MONTH(Finance!$T$1),1)+INT((DAY(Finance!$T$1)-1)/2)+Finance!V$4,0)=EOMONTH($Z$1,0),Finance!V$3,0)+IF(EOMONTH(DATE(YEAR(Finance!$Q$1),MONTH(Finance!$Q$1),1)+INT((DAY(Finance!$Q$1)-1)/2)+Finance!S$4,0)=EOMONTH($Z$1,0),Finance!S$3,0)+IF(EOMONTH(DATE(YEAR(Finance!$N$1),MONTH(Finance!$N$1),1)+INT((DAY(Finance!$N$1)-1)/2)+Finance!P$4,0)=EOMONTH($Z$1,0),Finance!P$3,0)+IF(EOMONTH(DATE(YEAR(Finance!$K$1),MONTH(Finance!$K$1),1)+INT((DAY(Finance!$K$1)-1)/2)+Finance!M$4,0)=EOMONTH($Z$1,0),Finance!M$3,0)+IF(EOMONTH('Cash Drivers'!$DL$30+Finance!DN$4,0)=EOMONTH($Z$1,0),'Cash Drivers'!$DL$35,0),0)</f>
        <v>2068235</v>
      </c>
      <c r="AC5" s="13"/>
      <c r="AD5" s="13" t="n">
        <f aca="false">IF('Cash Drivers'!AD$26,AC5,ROUND(IF(EOMONTH(DATE(YEAR(Finance!$DL$1),MONTH(Finance!$DL$1),1)+INT((DAY(Finance!$DL$1)-1)/2)+Finance!DM$4,0)=EOMONTH($AC$1,0),Finance!DM$3,0)+IF(EOMONTH(DATE(YEAR(Finance!$DI$1),MONTH(Finance!$DI$1),1)+INT((DAY(Finance!$DI$1)-1)/2)+Finance!DJ$4,0)=EOMONTH($AC$1,0),Finance!DJ$3,0)+IF(EOMONTH(DATE(YEAR(Finance!$DF$1),MONTH(Finance!$DF$1),1)+INT((DAY(Finance!$DF$1)-1)/2)+Finance!DG$4,0)=EOMONTH($AC$1,0),Finance!DG$3,0)+IF(EOMONTH(DATE(YEAR(Finance!$DC$1),MONTH(Finance!$DC$1),1)+INT((DAY(Finance!$DC$1)-1)/2)+Finance!DD$4,0)=EOMONTH($AC$1,0),Finance!DD$3,0)+IF(EOMONTH(DATE(YEAR(Finance!$CZ$1),MONTH(Finance!$CZ$1),1)+INT((DAY(Finance!$CZ$1)-1)/2)+Finance!DA$4,0)=EOMONTH($AC$1,0),Finance!DA$3,0)+IF(EOMONTH(DATE(YEAR(Finance!$CW$1),MONTH(Finance!$CW$1),1)+INT((DAY(Finance!$CW$1)-1)/2)+Finance!CX$4,0)=EOMONTH($AC$1,0),Finance!CX$3,0)+IF(EOMONTH(DATE(YEAR(Finance!$CT$1),MONTH(Finance!$CT$1),1)+INT((DAY(Finance!$CT$1)-1)/2)+Finance!CU$4,0)=EOMONTH($AC$1,0),Finance!CU$3,0)+IF(EOMONTH(DATE(YEAR(Finance!$CQ$1),MONTH(Finance!$CQ$1),1)+INT((DAY(Finance!$CQ$1)-1)/2)+Finance!CR$4,0)=EOMONTH($AC$1,0),Finance!CR$3,0)+IF(EOMONTH(DATE(YEAR(Finance!$CN$1),MONTH(Finance!$CN$1),1)+INT((DAY(Finance!$CN$1)-1)/2)+Finance!CO$4,0)=EOMONTH($AC$1,0),Finance!CO$3,0)+IF(EOMONTH(DATE(YEAR(Finance!$CK$1),MONTH(Finance!$CK$1),1)+INT((DAY(Finance!$CK$1)-1)/2)+Finance!CL$4,0)=EOMONTH($AC$1,0),Finance!CL$3,0)+IF(EOMONTH(DATE(YEAR(Finance!$CH$1),MONTH(Finance!$CH$1),1)+INT((DAY(Finance!$CH$1)-1)/2)+Finance!CI$4,0)=EOMONTH($AC$1,0),Finance!CI$3,0)+IF(EOMONTH(DATE(YEAR(Finance!$CE$1),MONTH(Finance!$CE$1),1)+INT((DAY(Finance!$CE$1)-1)/2)+Finance!CF$4,0)=EOMONTH($AC$1,0),Finance!CF$3,0)+IF(EOMONTH(DATE(YEAR(Finance!$CB$1),MONTH(Finance!$CB$1),1)+INT((DAY(Finance!$CB$1)-1)/2)+Finance!CC$4,0)=EOMONTH($AC$1,0),Finance!CC$3,0)+IF(EOMONTH(DATE(YEAR(Finance!$BY$1),MONTH(Finance!$BY$1),1)+INT((DAY(Finance!$BY$1)-1)/2)+Finance!BZ$4,0)=EOMONTH($AC$1,0),Finance!BZ$3,0)+IF(EOMONTH(DATE(YEAR(Finance!$BV$1),MONTH(Finance!$BV$1),1)+INT((DAY(Finance!$BV$1)-1)/2)+Finance!BW$4,0)=EOMONTH($AC$1,0),Finance!BW$3,0)+IF(EOMONTH(DATE(YEAR(Finance!$BS$1),MONTH(Finance!$BS$1),1)+INT((DAY(Finance!$BS$1)-1)/2)+Finance!BT$4,0)=EOMONTH($AC$1,0),Finance!BT$3,0)+IF(EOMONTH(DATE(YEAR(Finance!$BP$1),MONTH(Finance!$BP$1),1)+INT((DAY(Finance!$BP$1)-1)/2)+Finance!BQ$4,0)=EOMONTH($AC$1,0),Finance!BQ$3,0)+IF(EOMONTH(DATE(YEAR(Finance!$BM$1),MONTH(Finance!$BM$1),1)+INT((DAY(Finance!$BM$1)-1)/2)+Finance!BN$4,0)=EOMONTH($AC$1,0),Finance!BN$3,0)+IF(EOMONTH(DATE(YEAR(Finance!$BJ$1),MONTH(Finance!$BJ$1),1)+INT((DAY(Finance!$BJ$1)-1)/2)+Finance!BK$4,0)=EOMONTH($AC$1,0),Finance!BK$3,0)+IF(EOMONTH(DATE(YEAR(Finance!$BG$1),MONTH(Finance!$BG$1),1)+INT((DAY(Finance!$BG$1)-1)/2)+Finance!BH$4,0)=EOMONTH($AC$1,0),Finance!BH$3,0)+IF(EOMONTH(DATE(YEAR(Finance!$BD$1),MONTH(Finance!$BD$1),1)+INT((DAY(Finance!$BD$1)-1)/2)+Finance!BE$4,0)=EOMONTH($AC$1,0),Finance!BE$3,0)+IF(EOMONTH(DATE(YEAR(Finance!$BA$1),MONTH(Finance!$BA$1),1)+INT((DAY(Finance!$BA$1)-1)/2)+Finance!BB$4,0)=EOMONTH($AC$1,0),Finance!BB$3,0)+IF(EOMONTH(DATE(YEAR(Finance!$AX$1),MONTH(Finance!$AX$1),1)+INT((DAY(Finance!$AX$1)-1)/2)+Finance!AY$4,0)=EOMONTH($AC$1,0),Finance!AY$3,0)+IF(EOMONTH(DATE(YEAR(Finance!$AU$1),MONTH(Finance!$AU$1),1)+INT((DAY(Finance!$AU$1)-1)/2)+Finance!AV$4,0)=EOMONTH($AC$1,0),Finance!AV$3,0)+IF(EOMONTH(DATE(YEAR(Finance!$AR$1),MONTH(Finance!$AR$1),1)+INT((DAY(Finance!$AR$1)-1)/2)+Finance!AS$4,0)=EOMONTH($AC$1,0),Finance!AS$3,0)+IF(EOMONTH(DATE(YEAR(Finance!$AO$1),MONTH(Finance!$AO$1),1)+INT((DAY(Finance!$AO$1)-1)/2)+Finance!AP$4,0)=EOMONTH($AC$1,0),Finance!AP$3,0)+IF(EOMONTH(DATE(YEAR(Finance!$AL$1),MONTH(Finance!$AL$1),1)+INT((DAY(Finance!$AL$1)-1)/2)+Finance!AM$4,0)=EOMONTH($AC$1,0),Finance!AM$3,0)+IF(EOMONTH(DATE(YEAR(Finance!$AI$1),MONTH(Finance!$AI$1),1)+INT((DAY(Finance!$AI$1)-1)/2)+Finance!AJ$4,0)=EOMONTH($AC$1,0),Finance!AJ$3,0)+IF(EOMONTH(DATE(YEAR(Finance!$AF$1),MONTH(Finance!$AF$1),1)+INT((DAY(Finance!$AF$1)-1)/2)+Finance!AG$4,0)=EOMONTH($AC$1,0),Finance!AG$3,0)+IF(EOMONTH(DATE(YEAR(Finance!$AC$1),MONTH(Finance!$AC$1),1)+INT((DAY(Finance!$AC$1)-1)/2)+Finance!AD$4,0)=EOMONTH($AC$1,0),Finance!AD$3,0)+IF(EOMONTH(DATE(YEAR(Finance!$Z$1),MONTH(Finance!$Z$1),1)+INT((DAY(Finance!$Z$1)-1)/2)+Finance!AA$4,0)=EOMONTH($AC$1,0),Finance!AA$3,0)+IF(EOMONTH(DATE(YEAR(Finance!$W$1),MONTH(Finance!$W$1),1)+INT((DAY(Finance!$W$1)-1)/2)+Finance!X$4,0)=EOMONTH($AC$1,0),Finance!X$3,0)+IF(EOMONTH(DATE(YEAR(Finance!$T$1),MONTH(Finance!$T$1),1)+INT((DAY(Finance!$T$1)-1)/2)+Finance!U$4,0)=EOMONTH($AC$1,0),Finance!U$3,0)+IF(EOMONTH(DATE(YEAR(Finance!$Q$1),MONTH(Finance!$Q$1),1)+INT((DAY(Finance!$Q$1)-1)/2)+Finance!R$4,0)=EOMONTH($AC$1,0),Finance!R$3,0)+IF(EOMONTH(DATE(YEAR(Finance!$N$1),MONTH(Finance!$N$1),1)+INT((DAY(Finance!$N$1)-1)/2)+Finance!O$4,0)=EOMONTH($AC$1,0),Finance!O$3,0)+IF(EOMONTH(DATE(YEAR(Finance!$K$1),MONTH(Finance!$K$1),1)+INT((DAY(Finance!$K$1)-1)/2)+Finance!L$4,0)=EOMONTH($AC$1,0),Finance!L$3,0)+IF(EOMONTH('Cash Drivers'!$DL$30+Finance!DM$4,0)=EOMONTH($AC$1,0),'Cash Drivers'!$DL$35,0),0))</f>
        <v>2038096</v>
      </c>
      <c r="AE5" s="13" t="n">
        <f aca="false">ROUND(IF(EOMONTH(DATE(YEAR(Finance!$DL$1),MONTH(Finance!$DL$1),1)+INT((DAY(Finance!$DL$1)-1)/2)+Finance!DN$4,0)=EOMONTH($AC$1,0),Finance!DN$3,0)+IF(EOMONTH(DATE(YEAR(Finance!$DI$1),MONTH(Finance!$DI$1),1)+INT((DAY(Finance!$DI$1)-1)/2)+Finance!DK$4,0)=EOMONTH($AC$1,0),Finance!DK$3,0)+IF(EOMONTH(DATE(YEAR(Finance!$DF$1),MONTH(Finance!$DF$1),1)+INT((DAY(Finance!$DF$1)-1)/2)+Finance!DH$4,0)=EOMONTH($AC$1,0),Finance!DH$3,0)+IF(EOMONTH(DATE(YEAR(Finance!$DC$1),MONTH(Finance!$DC$1),1)+INT((DAY(Finance!$DC$1)-1)/2)+Finance!DE$4,0)=EOMONTH($AC$1,0),Finance!DE$3,0)+IF(EOMONTH(DATE(YEAR(Finance!$CZ$1),MONTH(Finance!$CZ$1),1)+INT((DAY(Finance!$CZ$1)-1)/2)+Finance!DB$4,0)=EOMONTH($AC$1,0),Finance!DB$3,0)+IF(EOMONTH(DATE(YEAR(Finance!$CW$1),MONTH(Finance!$CW$1),1)+INT((DAY(Finance!$CW$1)-1)/2)+Finance!CY$4,0)=EOMONTH($AC$1,0),Finance!CY$3,0)+IF(EOMONTH(DATE(YEAR(Finance!$CT$1),MONTH(Finance!$CT$1),1)+INT((DAY(Finance!$CT$1)-1)/2)+Finance!CV$4,0)=EOMONTH($AC$1,0),Finance!CV$3,0)+IF(EOMONTH(DATE(YEAR(Finance!$CQ$1),MONTH(Finance!$CQ$1),1)+INT((DAY(Finance!$CQ$1)-1)/2)+Finance!CS$4,0)=EOMONTH($AC$1,0),Finance!CS$3,0)+IF(EOMONTH(DATE(YEAR(Finance!$CN$1),MONTH(Finance!$CN$1),1)+INT((DAY(Finance!$CN$1)-1)/2)+Finance!CP$4,0)=EOMONTH($AC$1,0),Finance!CP$3,0)+IF(EOMONTH(DATE(YEAR(Finance!$CK$1),MONTH(Finance!$CK$1),1)+INT((DAY(Finance!$CK$1)-1)/2)+Finance!CM$4,0)=EOMONTH($AC$1,0),Finance!CM$3,0)+IF(EOMONTH(DATE(YEAR(Finance!$CH$1),MONTH(Finance!$CH$1),1)+INT((DAY(Finance!$CH$1)-1)/2)+Finance!CJ$4,0)=EOMONTH($AC$1,0),Finance!CJ$3,0)+IF(EOMONTH(DATE(YEAR(Finance!$CE$1),MONTH(Finance!$CE$1),1)+INT((DAY(Finance!$CE$1)-1)/2)+Finance!CG$4,0)=EOMONTH($AC$1,0),Finance!CG$3,0)+IF(EOMONTH(DATE(YEAR(Finance!$CB$1),MONTH(Finance!$CB$1),1)+INT((DAY(Finance!$CB$1)-1)/2)+Finance!CD$4,0)=EOMONTH($AC$1,0),Finance!CD$3,0)+IF(EOMONTH(DATE(YEAR(Finance!$BY$1),MONTH(Finance!$BY$1),1)+INT((DAY(Finance!$BY$1)-1)/2)+Finance!CA$4,0)=EOMONTH($AC$1,0),Finance!CA$3,0)+IF(EOMONTH(DATE(YEAR(Finance!$BV$1),MONTH(Finance!$BV$1),1)+INT((DAY(Finance!$BV$1)-1)/2)+Finance!BX$4,0)=EOMONTH($AC$1,0),Finance!BX$3,0)+IF(EOMONTH(DATE(YEAR(Finance!$BS$1),MONTH(Finance!$BS$1),1)+INT((DAY(Finance!$BS$1)-1)/2)+Finance!BU$4,0)=EOMONTH($AC$1,0),Finance!BU$3,0)+IF(EOMONTH(DATE(YEAR(Finance!$BP$1),MONTH(Finance!$BP$1),1)+INT((DAY(Finance!$BP$1)-1)/2)+Finance!BR$4,0)=EOMONTH($AC$1,0),Finance!BR$3,0)+IF(EOMONTH(DATE(YEAR(Finance!$BM$1),MONTH(Finance!$BM$1),1)+INT((DAY(Finance!$BM$1)-1)/2)+Finance!BO$4,0)=EOMONTH($AC$1,0),Finance!BO$3,0)+IF(EOMONTH(DATE(YEAR(Finance!$BJ$1),MONTH(Finance!$BJ$1),1)+INT((DAY(Finance!$BJ$1)-1)/2)+Finance!BL$4,0)=EOMONTH($AC$1,0),Finance!BL$3,0)+IF(EOMONTH(DATE(YEAR(Finance!$BG$1),MONTH(Finance!$BG$1),1)+INT((DAY(Finance!$BG$1)-1)/2)+Finance!BI$4,0)=EOMONTH($AC$1,0),Finance!BI$3,0)+IF(EOMONTH(DATE(YEAR(Finance!$BD$1),MONTH(Finance!$BD$1),1)+INT((DAY(Finance!$BD$1)-1)/2)+Finance!BF$4,0)=EOMONTH($AC$1,0),Finance!BF$3,0)+IF(EOMONTH(DATE(YEAR(Finance!$BA$1),MONTH(Finance!$BA$1),1)+INT((DAY(Finance!$BA$1)-1)/2)+Finance!BC$4,0)=EOMONTH($AC$1,0),Finance!BC$3,0)+IF(EOMONTH(DATE(YEAR(Finance!$AX$1),MONTH(Finance!$AX$1),1)+INT((DAY(Finance!$AX$1)-1)/2)+Finance!AZ$4,0)=EOMONTH($AC$1,0),Finance!AZ$3,0)+IF(EOMONTH(DATE(YEAR(Finance!$AU$1),MONTH(Finance!$AU$1),1)+INT((DAY(Finance!$AU$1)-1)/2)+Finance!AW$4,0)=EOMONTH($AC$1,0),Finance!AW$3,0)+IF(EOMONTH(DATE(YEAR(Finance!$AR$1),MONTH(Finance!$AR$1),1)+INT((DAY(Finance!$AR$1)-1)/2)+Finance!AT$4,0)=EOMONTH($AC$1,0),Finance!AT$3,0)+IF(EOMONTH(DATE(YEAR(Finance!$AO$1),MONTH(Finance!$AO$1),1)+INT((DAY(Finance!$AO$1)-1)/2)+Finance!AQ$4,0)=EOMONTH($AC$1,0),Finance!AQ$3,0)+IF(EOMONTH(DATE(YEAR(Finance!$AL$1),MONTH(Finance!$AL$1),1)+INT((DAY(Finance!$AL$1)-1)/2)+Finance!AN$4,0)=EOMONTH($AC$1,0),Finance!AN$3,0)+IF(EOMONTH(DATE(YEAR(Finance!$AI$1),MONTH(Finance!$AI$1),1)+INT((DAY(Finance!$AI$1)-1)/2)+Finance!AK$4,0)=EOMONTH($AC$1,0),Finance!AK$3,0)+IF(EOMONTH(DATE(YEAR(Finance!$AF$1),MONTH(Finance!$AF$1),1)+INT((DAY(Finance!$AF$1)-1)/2)+Finance!AH$4,0)=EOMONTH($AC$1,0),Finance!AH$3,0)+IF(EOMONTH(DATE(YEAR(Finance!$AC$1),MONTH(Finance!$AC$1),1)+INT((DAY(Finance!$AC$1)-1)/2)+Finance!AE$4,0)=EOMONTH($AC$1,0),Finance!AE$3,0)+IF(EOMONTH(DATE(YEAR(Finance!$Z$1),MONTH(Finance!$Z$1),1)+INT((DAY(Finance!$Z$1)-1)/2)+Finance!AB$4,0)=EOMONTH($AC$1,0),Finance!AB$3,0)+IF(EOMONTH(DATE(YEAR(Finance!$W$1),MONTH(Finance!$W$1),1)+INT((DAY(Finance!$W$1)-1)/2)+Finance!Y$4,0)=EOMONTH($AC$1,0),Finance!Y$3,0)+IF(EOMONTH(DATE(YEAR(Finance!$T$1),MONTH(Finance!$T$1),1)+INT((DAY(Finance!$T$1)-1)/2)+Finance!V$4,0)=EOMONTH($AC$1,0),Finance!V$3,0)+IF(EOMONTH(DATE(YEAR(Finance!$Q$1),MONTH(Finance!$Q$1),1)+INT((DAY(Finance!$Q$1)-1)/2)+Finance!S$4,0)=EOMONTH($AC$1,0),Finance!S$3,0)+IF(EOMONTH(DATE(YEAR(Finance!$N$1),MONTH(Finance!$N$1),1)+INT((DAY(Finance!$N$1)-1)/2)+Finance!P$4,0)=EOMONTH($AC$1,0),Finance!P$3,0)+IF(EOMONTH(DATE(YEAR(Finance!$K$1),MONTH(Finance!$K$1),1)+INT((DAY(Finance!$K$1)-1)/2)+Finance!M$4,0)=EOMONTH($AC$1,0),Finance!M$3,0)+IF(EOMONTH('Cash Drivers'!$DL$30+Finance!DN$4,0)=EOMONTH($AC$1,0),'Cash Drivers'!$DL$35,0),0)</f>
        <v>2011854</v>
      </c>
      <c r="AF5" s="12"/>
      <c r="AG5" s="12" t="n">
        <f aca="false">IF('Cash Drivers'!AG$26,AF5,ROUND(IF(EOMONTH(DATE(YEAR(Finance!$DL$1),MONTH(Finance!$DL$1),1)+INT((DAY(Finance!$DL$1)-1)/2)+Finance!DM$4,0)=EOMONTH($AF$1,0),Finance!DM$3,0)+IF(EOMONTH(DATE(YEAR(Finance!$DI$1),MONTH(Finance!$DI$1),1)+INT((DAY(Finance!$DI$1)-1)/2)+Finance!DJ$4,0)=EOMONTH($AF$1,0),Finance!DJ$3,0)+IF(EOMONTH(DATE(YEAR(Finance!$DF$1),MONTH(Finance!$DF$1),1)+INT((DAY(Finance!$DF$1)-1)/2)+Finance!DG$4,0)=EOMONTH($AF$1,0),Finance!DG$3,0)+IF(EOMONTH(DATE(YEAR(Finance!$DC$1),MONTH(Finance!$DC$1),1)+INT((DAY(Finance!$DC$1)-1)/2)+Finance!DD$4,0)=EOMONTH($AF$1,0),Finance!DD$3,0)+IF(EOMONTH(DATE(YEAR(Finance!$CZ$1),MONTH(Finance!$CZ$1),1)+INT((DAY(Finance!$CZ$1)-1)/2)+Finance!DA$4,0)=EOMONTH($AF$1,0),Finance!DA$3,0)+IF(EOMONTH(DATE(YEAR(Finance!$CW$1),MONTH(Finance!$CW$1),1)+INT((DAY(Finance!$CW$1)-1)/2)+Finance!CX$4,0)=EOMONTH($AF$1,0),Finance!CX$3,0)+IF(EOMONTH(DATE(YEAR(Finance!$CT$1),MONTH(Finance!$CT$1),1)+INT((DAY(Finance!$CT$1)-1)/2)+Finance!CU$4,0)=EOMONTH($AF$1,0),Finance!CU$3,0)+IF(EOMONTH(DATE(YEAR(Finance!$CQ$1),MONTH(Finance!$CQ$1),1)+INT((DAY(Finance!$CQ$1)-1)/2)+Finance!CR$4,0)=EOMONTH($AF$1,0),Finance!CR$3,0)+IF(EOMONTH(DATE(YEAR(Finance!$CN$1),MONTH(Finance!$CN$1),1)+INT((DAY(Finance!$CN$1)-1)/2)+Finance!CO$4,0)=EOMONTH($AF$1,0),Finance!CO$3,0)+IF(EOMONTH(DATE(YEAR(Finance!$CK$1),MONTH(Finance!$CK$1),1)+INT((DAY(Finance!$CK$1)-1)/2)+Finance!CL$4,0)=EOMONTH($AF$1,0),Finance!CL$3,0)+IF(EOMONTH(DATE(YEAR(Finance!$CH$1),MONTH(Finance!$CH$1),1)+INT((DAY(Finance!$CH$1)-1)/2)+Finance!CI$4,0)=EOMONTH($AF$1,0),Finance!CI$3,0)+IF(EOMONTH(DATE(YEAR(Finance!$CE$1),MONTH(Finance!$CE$1),1)+INT((DAY(Finance!$CE$1)-1)/2)+Finance!CF$4,0)=EOMONTH($AF$1,0),Finance!CF$3,0)+IF(EOMONTH(DATE(YEAR(Finance!$CB$1),MONTH(Finance!$CB$1),1)+INT((DAY(Finance!$CB$1)-1)/2)+Finance!CC$4,0)=EOMONTH($AF$1,0),Finance!CC$3,0)+IF(EOMONTH(DATE(YEAR(Finance!$BY$1),MONTH(Finance!$BY$1),1)+INT((DAY(Finance!$BY$1)-1)/2)+Finance!BZ$4,0)=EOMONTH($AF$1,0),Finance!BZ$3,0)+IF(EOMONTH(DATE(YEAR(Finance!$BV$1),MONTH(Finance!$BV$1),1)+INT((DAY(Finance!$BV$1)-1)/2)+Finance!BW$4,0)=EOMONTH($AF$1,0),Finance!BW$3,0)+IF(EOMONTH(DATE(YEAR(Finance!$BS$1),MONTH(Finance!$BS$1),1)+INT((DAY(Finance!$BS$1)-1)/2)+Finance!BT$4,0)=EOMONTH($AF$1,0),Finance!BT$3,0)+IF(EOMONTH(DATE(YEAR(Finance!$BP$1),MONTH(Finance!$BP$1),1)+INT((DAY(Finance!$BP$1)-1)/2)+Finance!BQ$4,0)=EOMONTH($AF$1,0),Finance!BQ$3,0)+IF(EOMONTH(DATE(YEAR(Finance!$BM$1),MONTH(Finance!$BM$1),1)+INT((DAY(Finance!$BM$1)-1)/2)+Finance!BN$4,0)=EOMONTH($AF$1,0),Finance!BN$3,0)+IF(EOMONTH(DATE(YEAR(Finance!$BJ$1),MONTH(Finance!$BJ$1),1)+INT((DAY(Finance!$BJ$1)-1)/2)+Finance!BK$4,0)=EOMONTH($AF$1,0),Finance!BK$3,0)+IF(EOMONTH(DATE(YEAR(Finance!$BG$1),MONTH(Finance!$BG$1),1)+INT((DAY(Finance!$BG$1)-1)/2)+Finance!BH$4,0)=EOMONTH($AF$1,0),Finance!BH$3,0)+IF(EOMONTH(DATE(YEAR(Finance!$BD$1),MONTH(Finance!$BD$1),1)+INT((DAY(Finance!$BD$1)-1)/2)+Finance!BE$4,0)=EOMONTH($AF$1,0),Finance!BE$3,0)+IF(EOMONTH(DATE(YEAR(Finance!$BA$1),MONTH(Finance!$BA$1),1)+INT((DAY(Finance!$BA$1)-1)/2)+Finance!BB$4,0)=EOMONTH($AF$1,0),Finance!BB$3,0)+IF(EOMONTH(DATE(YEAR(Finance!$AX$1),MONTH(Finance!$AX$1),1)+INT((DAY(Finance!$AX$1)-1)/2)+Finance!AY$4,0)=EOMONTH($AF$1,0),Finance!AY$3,0)+IF(EOMONTH(DATE(YEAR(Finance!$AU$1),MONTH(Finance!$AU$1),1)+INT((DAY(Finance!$AU$1)-1)/2)+Finance!AV$4,0)=EOMONTH($AF$1,0),Finance!AV$3,0)+IF(EOMONTH(DATE(YEAR(Finance!$AR$1),MONTH(Finance!$AR$1),1)+INT((DAY(Finance!$AR$1)-1)/2)+Finance!AS$4,0)=EOMONTH($AF$1,0),Finance!AS$3,0)+IF(EOMONTH(DATE(YEAR(Finance!$AO$1),MONTH(Finance!$AO$1),1)+INT((DAY(Finance!$AO$1)-1)/2)+Finance!AP$4,0)=EOMONTH($AF$1,0),Finance!AP$3,0)+IF(EOMONTH(DATE(YEAR(Finance!$AL$1),MONTH(Finance!$AL$1),1)+INT((DAY(Finance!$AL$1)-1)/2)+Finance!AM$4,0)=EOMONTH($AF$1,0),Finance!AM$3,0)+IF(EOMONTH(DATE(YEAR(Finance!$AI$1),MONTH(Finance!$AI$1),1)+INT((DAY(Finance!$AI$1)-1)/2)+Finance!AJ$4,0)=EOMONTH($AF$1,0),Finance!AJ$3,0)+IF(EOMONTH(DATE(YEAR(Finance!$AF$1),MONTH(Finance!$AF$1),1)+INT((DAY(Finance!$AF$1)-1)/2)+Finance!AG$4,0)=EOMONTH($AF$1,0),Finance!AG$3,0)+IF(EOMONTH(DATE(YEAR(Finance!$AC$1),MONTH(Finance!$AC$1),1)+INT((DAY(Finance!$AC$1)-1)/2)+Finance!AD$4,0)=EOMONTH($AF$1,0),Finance!AD$3,0)+IF(EOMONTH(DATE(YEAR(Finance!$Z$1),MONTH(Finance!$Z$1),1)+INT((DAY(Finance!$Z$1)-1)/2)+Finance!AA$4,0)=EOMONTH($AF$1,0),Finance!AA$3,0)+IF(EOMONTH(DATE(YEAR(Finance!$W$1),MONTH(Finance!$W$1),1)+INT((DAY(Finance!$W$1)-1)/2)+Finance!X$4,0)=EOMONTH($AF$1,0),Finance!X$3,0)+IF(EOMONTH(DATE(YEAR(Finance!$T$1),MONTH(Finance!$T$1),1)+INT((DAY(Finance!$T$1)-1)/2)+Finance!U$4,0)=EOMONTH($AF$1,0),Finance!U$3,0)+IF(EOMONTH(DATE(YEAR(Finance!$Q$1),MONTH(Finance!$Q$1),1)+INT((DAY(Finance!$Q$1)-1)/2)+Finance!R$4,0)=EOMONTH($AF$1,0),Finance!R$3,0)+IF(EOMONTH(DATE(YEAR(Finance!$N$1),MONTH(Finance!$N$1),1)+INT((DAY(Finance!$N$1)-1)/2)+Finance!O$4,0)=EOMONTH($AF$1,0),Finance!O$3,0)+IF(EOMONTH(DATE(YEAR(Finance!$K$1),MONTH(Finance!$K$1),1)+INT((DAY(Finance!$K$1)-1)/2)+Finance!L$4,0)=EOMONTH($AF$1,0),Finance!L$3,0)+IF(EOMONTH('Cash Drivers'!$DL$30+Finance!DM$4,0)=EOMONTH($AF$1,0),'Cash Drivers'!$DL$35,0),0))</f>
        <v>1982243</v>
      </c>
      <c r="AH5" s="12" t="n">
        <f aca="false">ROUND(IF(EOMONTH(DATE(YEAR(Finance!$DL$1),MONTH(Finance!$DL$1),1)+INT((DAY(Finance!$DL$1)-1)/2)+Finance!DN$4,0)=EOMONTH($AF$1,0),Finance!DN$3,0)+IF(EOMONTH(DATE(YEAR(Finance!$DI$1),MONTH(Finance!$DI$1),1)+INT((DAY(Finance!$DI$1)-1)/2)+Finance!DK$4,0)=EOMONTH($AF$1,0),Finance!DK$3,0)+IF(EOMONTH(DATE(YEAR(Finance!$DF$1),MONTH(Finance!$DF$1),1)+INT((DAY(Finance!$DF$1)-1)/2)+Finance!DH$4,0)=EOMONTH($AF$1,0),Finance!DH$3,0)+IF(EOMONTH(DATE(YEAR(Finance!$DC$1),MONTH(Finance!$DC$1),1)+INT((DAY(Finance!$DC$1)-1)/2)+Finance!DE$4,0)=EOMONTH($AF$1,0),Finance!DE$3,0)+IF(EOMONTH(DATE(YEAR(Finance!$CZ$1),MONTH(Finance!$CZ$1),1)+INT((DAY(Finance!$CZ$1)-1)/2)+Finance!DB$4,0)=EOMONTH($AF$1,0),Finance!DB$3,0)+IF(EOMONTH(DATE(YEAR(Finance!$CW$1),MONTH(Finance!$CW$1),1)+INT((DAY(Finance!$CW$1)-1)/2)+Finance!CY$4,0)=EOMONTH($AF$1,0),Finance!CY$3,0)+IF(EOMONTH(DATE(YEAR(Finance!$CT$1),MONTH(Finance!$CT$1),1)+INT((DAY(Finance!$CT$1)-1)/2)+Finance!CV$4,0)=EOMONTH($AF$1,0),Finance!CV$3,0)+IF(EOMONTH(DATE(YEAR(Finance!$CQ$1),MONTH(Finance!$CQ$1),1)+INT((DAY(Finance!$CQ$1)-1)/2)+Finance!CS$4,0)=EOMONTH($AF$1,0),Finance!CS$3,0)+IF(EOMONTH(DATE(YEAR(Finance!$CN$1),MONTH(Finance!$CN$1),1)+INT((DAY(Finance!$CN$1)-1)/2)+Finance!CP$4,0)=EOMONTH($AF$1,0),Finance!CP$3,0)+IF(EOMONTH(DATE(YEAR(Finance!$CK$1),MONTH(Finance!$CK$1),1)+INT((DAY(Finance!$CK$1)-1)/2)+Finance!CM$4,0)=EOMONTH($AF$1,0),Finance!CM$3,0)+IF(EOMONTH(DATE(YEAR(Finance!$CH$1),MONTH(Finance!$CH$1),1)+INT((DAY(Finance!$CH$1)-1)/2)+Finance!CJ$4,0)=EOMONTH($AF$1,0),Finance!CJ$3,0)+IF(EOMONTH(DATE(YEAR(Finance!$CE$1),MONTH(Finance!$CE$1),1)+INT((DAY(Finance!$CE$1)-1)/2)+Finance!CG$4,0)=EOMONTH($AF$1,0),Finance!CG$3,0)+IF(EOMONTH(DATE(YEAR(Finance!$CB$1),MONTH(Finance!$CB$1),1)+INT((DAY(Finance!$CB$1)-1)/2)+Finance!CD$4,0)=EOMONTH($AF$1,0),Finance!CD$3,0)+IF(EOMONTH(DATE(YEAR(Finance!$BY$1),MONTH(Finance!$BY$1),1)+INT((DAY(Finance!$BY$1)-1)/2)+Finance!CA$4,0)=EOMONTH($AF$1,0),Finance!CA$3,0)+IF(EOMONTH(DATE(YEAR(Finance!$BV$1),MONTH(Finance!$BV$1),1)+INT((DAY(Finance!$BV$1)-1)/2)+Finance!BX$4,0)=EOMONTH($AF$1,0),Finance!BX$3,0)+IF(EOMONTH(DATE(YEAR(Finance!$BS$1),MONTH(Finance!$BS$1),1)+INT((DAY(Finance!$BS$1)-1)/2)+Finance!BU$4,0)=EOMONTH($AF$1,0),Finance!BU$3,0)+IF(EOMONTH(DATE(YEAR(Finance!$BP$1),MONTH(Finance!$BP$1),1)+INT((DAY(Finance!$BP$1)-1)/2)+Finance!BR$4,0)=EOMONTH($AF$1,0),Finance!BR$3,0)+IF(EOMONTH(DATE(YEAR(Finance!$BM$1),MONTH(Finance!$BM$1),1)+INT((DAY(Finance!$BM$1)-1)/2)+Finance!BO$4,0)=EOMONTH($AF$1,0),Finance!BO$3,0)+IF(EOMONTH(DATE(YEAR(Finance!$BJ$1),MONTH(Finance!$BJ$1),1)+INT((DAY(Finance!$BJ$1)-1)/2)+Finance!BL$4,0)=EOMONTH($AF$1,0),Finance!BL$3,0)+IF(EOMONTH(DATE(YEAR(Finance!$BG$1),MONTH(Finance!$BG$1),1)+INT((DAY(Finance!$BG$1)-1)/2)+Finance!BI$4,0)=EOMONTH($AF$1,0),Finance!BI$3,0)+IF(EOMONTH(DATE(YEAR(Finance!$BD$1),MONTH(Finance!$BD$1),1)+INT((DAY(Finance!$BD$1)-1)/2)+Finance!BF$4,0)=EOMONTH($AF$1,0),Finance!BF$3,0)+IF(EOMONTH(DATE(YEAR(Finance!$BA$1),MONTH(Finance!$BA$1),1)+INT((DAY(Finance!$BA$1)-1)/2)+Finance!BC$4,0)=EOMONTH($AF$1,0),Finance!BC$3,0)+IF(EOMONTH(DATE(YEAR(Finance!$AX$1),MONTH(Finance!$AX$1),1)+INT((DAY(Finance!$AX$1)-1)/2)+Finance!AZ$4,0)=EOMONTH($AF$1,0),Finance!AZ$3,0)+IF(EOMONTH(DATE(YEAR(Finance!$AU$1),MONTH(Finance!$AU$1),1)+INT((DAY(Finance!$AU$1)-1)/2)+Finance!AW$4,0)=EOMONTH($AF$1,0),Finance!AW$3,0)+IF(EOMONTH(DATE(YEAR(Finance!$AR$1),MONTH(Finance!$AR$1),1)+INT((DAY(Finance!$AR$1)-1)/2)+Finance!AT$4,0)=EOMONTH($AF$1,0),Finance!AT$3,0)+IF(EOMONTH(DATE(YEAR(Finance!$AO$1),MONTH(Finance!$AO$1),1)+INT((DAY(Finance!$AO$1)-1)/2)+Finance!AQ$4,0)=EOMONTH($AF$1,0),Finance!AQ$3,0)+IF(EOMONTH(DATE(YEAR(Finance!$AL$1),MONTH(Finance!$AL$1),1)+INT((DAY(Finance!$AL$1)-1)/2)+Finance!AN$4,0)=EOMONTH($AF$1,0),Finance!AN$3,0)+IF(EOMONTH(DATE(YEAR(Finance!$AI$1),MONTH(Finance!$AI$1),1)+INT((DAY(Finance!$AI$1)-1)/2)+Finance!AK$4,0)=EOMONTH($AF$1,0),Finance!AK$3,0)+IF(EOMONTH(DATE(YEAR(Finance!$AF$1),MONTH(Finance!$AF$1),1)+INT((DAY(Finance!$AF$1)-1)/2)+Finance!AH$4,0)=EOMONTH($AF$1,0),Finance!AH$3,0)+IF(EOMONTH(DATE(YEAR(Finance!$AC$1),MONTH(Finance!$AC$1),1)+INT((DAY(Finance!$AC$1)-1)/2)+Finance!AE$4,0)=EOMONTH($AF$1,0),Finance!AE$3,0)+IF(EOMONTH(DATE(YEAR(Finance!$Z$1),MONTH(Finance!$Z$1),1)+INT((DAY(Finance!$Z$1)-1)/2)+Finance!AB$4,0)=EOMONTH($AF$1,0),Finance!AB$3,0)+IF(EOMONTH(DATE(YEAR(Finance!$W$1),MONTH(Finance!$W$1),1)+INT((DAY(Finance!$W$1)-1)/2)+Finance!Y$4,0)=EOMONTH($AF$1,0),Finance!Y$3,0)+IF(EOMONTH(DATE(YEAR(Finance!$T$1),MONTH(Finance!$T$1),1)+INT((DAY(Finance!$T$1)-1)/2)+Finance!V$4,0)=EOMONTH($AF$1,0),Finance!V$3,0)+IF(EOMONTH(DATE(YEAR(Finance!$Q$1),MONTH(Finance!$Q$1),1)+INT((DAY(Finance!$Q$1)-1)/2)+Finance!S$4,0)=EOMONTH($AF$1,0),Finance!S$3,0)+IF(EOMONTH(DATE(YEAR(Finance!$N$1),MONTH(Finance!$N$1),1)+INT((DAY(Finance!$N$1)-1)/2)+Finance!P$4,0)=EOMONTH($AF$1,0),Finance!P$3,0)+IF(EOMONTH(DATE(YEAR(Finance!$K$1),MONTH(Finance!$K$1),1)+INT((DAY(Finance!$K$1)-1)/2)+Finance!M$4,0)=EOMONTH($AF$1,0),Finance!M$3,0)+IF(EOMONTH('Cash Drivers'!$DL$30+Finance!DN$4,0)=EOMONTH($AF$1,0),'Cash Drivers'!$DL$35,0),0)</f>
        <v>1955967</v>
      </c>
      <c r="AI5" s="13"/>
      <c r="AJ5" s="13" t="n">
        <f aca="false">IF('Cash Drivers'!AJ$26,AI5,ROUND(IF(EOMONTH(DATE(YEAR(Finance!$DL$1),MONTH(Finance!$DL$1),1)+INT((DAY(Finance!$DL$1)-1)/2)+Finance!DM$4,0)=EOMONTH($AI$1,0),Finance!DM$3,0)+IF(EOMONTH(DATE(YEAR(Finance!$DI$1),MONTH(Finance!$DI$1),1)+INT((DAY(Finance!$DI$1)-1)/2)+Finance!DJ$4,0)=EOMONTH($AI$1,0),Finance!DJ$3,0)+IF(EOMONTH(DATE(YEAR(Finance!$DF$1),MONTH(Finance!$DF$1),1)+INT((DAY(Finance!$DF$1)-1)/2)+Finance!DG$4,0)=EOMONTH($AI$1,0),Finance!DG$3,0)+IF(EOMONTH(DATE(YEAR(Finance!$DC$1),MONTH(Finance!$DC$1),1)+INT((DAY(Finance!$DC$1)-1)/2)+Finance!DD$4,0)=EOMONTH($AI$1,0),Finance!DD$3,0)+IF(EOMONTH(DATE(YEAR(Finance!$CZ$1),MONTH(Finance!$CZ$1),1)+INT((DAY(Finance!$CZ$1)-1)/2)+Finance!DA$4,0)=EOMONTH($AI$1,0),Finance!DA$3,0)+IF(EOMONTH(DATE(YEAR(Finance!$CW$1),MONTH(Finance!$CW$1),1)+INT((DAY(Finance!$CW$1)-1)/2)+Finance!CX$4,0)=EOMONTH($AI$1,0),Finance!CX$3,0)+IF(EOMONTH(DATE(YEAR(Finance!$CT$1),MONTH(Finance!$CT$1),1)+INT((DAY(Finance!$CT$1)-1)/2)+Finance!CU$4,0)=EOMONTH($AI$1,0),Finance!CU$3,0)+IF(EOMONTH(DATE(YEAR(Finance!$CQ$1),MONTH(Finance!$CQ$1),1)+INT((DAY(Finance!$CQ$1)-1)/2)+Finance!CR$4,0)=EOMONTH($AI$1,0),Finance!CR$3,0)+IF(EOMONTH(DATE(YEAR(Finance!$CN$1),MONTH(Finance!$CN$1),1)+INT((DAY(Finance!$CN$1)-1)/2)+Finance!CO$4,0)=EOMONTH($AI$1,0),Finance!CO$3,0)+IF(EOMONTH(DATE(YEAR(Finance!$CK$1),MONTH(Finance!$CK$1),1)+INT((DAY(Finance!$CK$1)-1)/2)+Finance!CL$4,0)=EOMONTH($AI$1,0),Finance!CL$3,0)+IF(EOMONTH(DATE(YEAR(Finance!$CH$1),MONTH(Finance!$CH$1),1)+INT((DAY(Finance!$CH$1)-1)/2)+Finance!CI$4,0)=EOMONTH($AI$1,0),Finance!CI$3,0)+IF(EOMONTH(DATE(YEAR(Finance!$CE$1),MONTH(Finance!$CE$1),1)+INT((DAY(Finance!$CE$1)-1)/2)+Finance!CF$4,0)=EOMONTH($AI$1,0),Finance!CF$3,0)+IF(EOMONTH(DATE(YEAR(Finance!$CB$1),MONTH(Finance!$CB$1),1)+INT((DAY(Finance!$CB$1)-1)/2)+Finance!CC$4,0)=EOMONTH($AI$1,0),Finance!CC$3,0)+IF(EOMONTH(DATE(YEAR(Finance!$BY$1),MONTH(Finance!$BY$1),1)+INT((DAY(Finance!$BY$1)-1)/2)+Finance!BZ$4,0)=EOMONTH($AI$1,0),Finance!BZ$3,0)+IF(EOMONTH(DATE(YEAR(Finance!$BV$1),MONTH(Finance!$BV$1),1)+INT((DAY(Finance!$BV$1)-1)/2)+Finance!BW$4,0)=EOMONTH($AI$1,0),Finance!BW$3,0)+IF(EOMONTH(DATE(YEAR(Finance!$BS$1),MONTH(Finance!$BS$1),1)+INT((DAY(Finance!$BS$1)-1)/2)+Finance!BT$4,0)=EOMONTH($AI$1,0),Finance!BT$3,0)+IF(EOMONTH(DATE(YEAR(Finance!$BP$1),MONTH(Finance!$BP$1),1)+INT((DAY(Finance!$BP$1)-1)/2)+Finance!BQ$4,0)=EOMONTH($AI$1,0),Finance!BQ$3,0)+IF(EOMONTH(DATE(YEAR(Finance!$BM$1),MONTH(Finance!$BM$1),1)+INT((DAY(Finance!$BM$1)-1)/2)+Finance!BN$4,0)=EOMONTH($AI$1,0),Finance!BN$3,0)+IF(EOMONTH(DATE(YEAR(Finance!$BJ$1),MONTH(Finance!$BJ$1),1)+INT((DAY(Finance!$BJ$1)-1)/2)+Finance!BK$4,0)=EOMONTH($AI$1,0),Finance!BK$3,0)+IF(EOMONTH(DATE(YEAR(Finance!$BG$1),MONTH(Finance!$BG$1),1)+INT((DAY(Finance!$BG$1)-1)/2)+Finance!BH$4,0)=EOMONTH($AI$1,0),Finance!BH$3,0)+IF(EOMONTH(DATE(YEAR(Finance!$BD$1),MONTH(Finance!$BD$1),1)+INT((DAY(Finance!$BD$1)-1)/2)+Finance!BE$4,0)=EOMONTH($AI$1,0),Finance!BE$3,0)+IF(EOMONTH(DATE(YEAR(Finance!$BA$1),MONTH(Finance!$BA$1),1)+INT((DAY(Finance!$BA$1)-1)/2)+Finance!BB$4,0)=EOMONTH($AI$1,0),Finance!BB$3,0)+IF(EOMONTH(DATE(YEAR(Finance!$AX$1),MONTH(Finance!$AX$1),1)+INT((DAY(Finance!$AX$1)-1)/2)+Finance!AY$4,0)=EOMONTH($AI$1,0),Finance!AY$3,0)+IF(EOMONTH(DATE(YEAR(Finance!$AU$1),MONTH(Finance!$AU$1),1)+INT((DAY(Finance!$AU$1)-1)/2)+Finance!AV$4,0)=EOMONTH($AI$1,0),Finance!AV$3,0)+IF(EOMONTH(DATE(YEAR(Finance!$AR$1),MONTH(Finance!$AR$1),1)+INT((DAY(Finance!$AR$1)-1)/2)+Finance!AS$4,0)=EOMONTH($AI$1,0),Finance!AS$3,0)+IF(EOMONTH(DATE(YEAR(Finance!$AO$1),MONTH(Finance!$AO$1),1)+INT((DAY(Finance!$AO$1)-1)/2)+Finance!AP$4,0)=EOMONTH($AI$1,0),Finance!AP$3,0)+IF(EOMONTH(DATE(YEAR(Finance!$AL$1),MONTH(Finance!$AL$1),1)+INT((DAY(Finance!$AL$1)-1)/2)+Finance!AM$4,0)=EOMONTH($AI$1,0),Finance!AM$3,0)+IF(EOMONTH(DATE(YEAR(Finance!$AI$1),MONTH(Finance!$AI$1),1)+INT((DAY(Finance!$AI$1)-1)/2)+Finance!AJ$4,0)=EOMONTH($AI$1,0),Finance!AJ$3,0)+IF(EOMONTH(DATE(YEAR(Finance!$AF$1),MONTH(Finance!$AF$1),1)+INT((DAY(Finance!$AF$1)-1)/2)+Finance!AG$4,0)=EOMONTH($AI$1,0),Finance!AG$3,0)+IF(EOMONTH(DATE(YEAR(Finance!$AC$1),MONTH(Finance!$AC$1),1)+INT((DAY(Finance!$AC$1)-1)/2)+Finance!AD$4,0)=EOMONTH($AI$1,0),Finance!AD$3,0)+IF(EOMONTH(DATE(YEAR(Finance!$Z$1),MONTH(Finance!$Z$1),1)+INT((DAY(Finance!$Z$1)-1)/2)+Finance!AA$4,0)=EOMONTH($AI$1,0),Finance!AA$3,0)+IF(EOMONTH(DATE(YEAR(Finance!$W$1),MONTH(Finance!$W$1),1)+INT((DAY(Finance!$W$1)-1)/2)+Finance!X$4,0)=EOMONTH($AI$1,0),Finance!X$3,0)+IF(EOMONTH(DATE(YEAR(Finance!$T$1),MONTH(Finance!$T$1),1)+INT((DAY(Finance!$T$1)-1)/2)+Finance!U$4,0)=EOMONTH($AI$1,0),Finance!U$3,0)+IF(EOMONTH(DATE(YEAR(Finance!$Q$1),MONTH(Finance!$Q$1),1)+INT((DAY(Finance!$Q$1)-1)/2)+Finance!R$4,0)=EOMONTH($AI$1,0),Finance!R$3,0)+IF(EOMONTH(DATE(YEAR(Finance!$N$1),MONTH(Finance!$N$1),1)+INT((DAY(Finance!$N$1)-1)/2)+Finance!O$4,0)=EOMONTH($AI$1,0),Finance!O$3,0)+IF(EOMONTH(DATE(YEAR(Finance!$K$1),MONTH(Finance!$K$1),1)+INT((DAY(Finance!$K$1)-1)/2)+Finance!L$4,0)=EOMONTH($AI$1,0),Finance!L$3,0)+IF(EOMONTH('Cash Drivers'!$DL$30+Finance!DM$4,0)=EOMONTH($AI$1,0),'Cash Drivers'!$DL$35,0),0))</f>
        <v>1926883</v>
      </c>
      <c r="AK5" s="13" t="n">
        <f aca="false">ROUND(IF(EOMONTH(DATE(YEAR(Finance!$DL$1),MONTH(Finance!$DL$1),1)+INT((DAY(Finance!$DL$1)-1)/2)+Finance!DN$4,0)=EOMONTH($AI$1,0),Finance!DN$3,0)+IF(EOMONTH(DATE(YEAR(Finance!$DI$1),MONTH(Finance!$DI$1),1)+INT((DAY(Finance!$DI$1)-1)/2)+Finance!DK$4,0)=EOMONTH($AI$1,0),Finance!DK$3,0)+IF(EOMONTH(DATE(YEAR(Finance!$DF$1),MONTH(Finance!$DF$1),1)+INT((DAY(Finance!$DF$1)-1)/2)+Finance!DH$4,0)=EOMONTH($AI$1,0),Finance!DH$3,0)+IF(EOMONTH(DATE(YEAR(Finance!$DC$1),MONTH(Finance!$DC$1),1)+INT((DAY(Finance!$DC$1)-1)/2)+Finance!DE$4,0)=EOMONTH($AI$1,0),Finance!DE$3,0)+IF(EOMONTH(DATE(YEAR(Finance!$CZ$1),MONTH(Finance!$CZ$1),1)+INT((DAY(Finance!$CZ$1)-1)/2)+Finance!DB$4,0)=EOMONTH($AI$1,0),Finance!DB$3,0)+IF(EOMONTH(DATE(YEAR(Finance!$CW$1),MONTH(Finance!$CW$1),1)+INT((DAY(Finance!$CW$1)-1)/2)+Finance!CY$4,0)=EOMONTH($AI$1,0),Finance!CY$3,0)+IF(EOMONTH(DATE(YEAR(Finance!$CT$1),MONTH(Finance!$CT$1),1)+INT((DAY(Finance!$CT$1)-1)/2)+Finance!CV$4,0)=EOMONTH($AI$1,0),Finance!CV$3,0)+IF(EOMONTH(DATE(YEAR(Finance!$CQ$1),MONTH(Finance!$CQ$1),1)+INT((DAY(Finance!$CQ$1)-1)/2)+Finance!CS$4,0)=EOMONTH($AI$1,0),Finance!CS$3,0)+IF(EOMONTH(DATE(YEAR(Finance!$CN$1),MONTH(Finance!$CN$1),1)+INT((DAY(Finance!$CN$1)-1)/2)+Finance!CP$4,0)=EOMONTH($AI$1,0),Finance!CP$3,0)+IF(EOMONTH(DATE(YEAR(Finance!$CK$1),MONTH(Finance!$CK$1),1)+INT((DAY(Finance!$CK$1)-1)/2)+Finance!CM$4,0)=EOMONTH($AI$1,0),Finance!CM$3,0)+IF(EOMONTH(DATE(YEAR(Finance!$CH$1),MONTH(Finance!$CH$1),1)+INT((DAY(Finance!$CH$1)-1)/2)+Finance!CJ$4,0)=EOMONTH($AI$1,0),Finance!CJ$3,0)+IF(EOMONTH(DATE(YEAR(Finance!$CE$1),MONTH(Finance!$CE$1),1)+INT((DAY(Finance!$CE$1)-1)/2)+Finance!CG$4,0)=EOMONTH($AI$1,0),Finance!CG$3,0)+IF(EOMONTH(DATE(YEAR(Finance!$CB$1),MONTH(Finance!$CB$1),1)+INT((DAY(Finance!$CB$1)-1)/2)+Finance!CD$4,0)=EOMONTH($AI$1,0),Finance!CD$3,0)+IF(EOMONTH(DATE(YEAR(Finance!$BY$1),MONTH(Finance!$BY$1),1)+INT((DAY(Finance!$BY$1)-1)/2)+Finance!CA$4,0)=EOMONTH($AI$1,0),Finance!CA$3,0)+IF(EOMONTH(DATE(YEAR(Finance!$BV$1),MONTH(Finance!$BV$1),1)+INT((DAY(Finance!$BV$1)-1)/2)+Finance!BX$4,0)=EOMONTH($AI$1,0),Finance!BX$3,0)+IF(EOMONTH(DATE(YEAR(Finance!$BS$1),MONTH(Finance!$BS$1),1)+INT((DAY(Finance!$BS$1)-1)/2)+Finance!BU$4,0)=EOMONTH($AI$1,0),Finance!BU$3,0)+IF(EOMONTH(DATE(YEAR(Finance!$BP$1),MONTH(Finance!$BP$1),1)+INT((DAY(Finance!$BP$1)-1)/2)+Finance!BR$4,0)=EOMONTH($AI$1,0),Finance!BR$3,0)+IF(EOMONTH(DATE(YEAR(Finance!$BM$1),MONTH(Finance!$BM$1),1)+INT((DAY(Finance!$BM$1)-1)/2)+Finance!BO$4,0)=EOMONTH($AI$1,0),Finance!BO$3,0)+IF(EOMONTH(DATE(YEAR(Finance!$BJ$1),MONTH(Finance!$BJ$1),1)+INT((DAY(Finance!$BJ$1)-1)/2)+Finance!BL$4,0)=EOMONTH($AI$1,0),Finance!BL$3,0)+IF(EOMONTH(DATE(YEAR(Finance!$BG$1),MONTH(Finance!$BG$1),1)+INT((DAY(Finance!$BG$1)-1)/2)+Finance!BI$4,0)=EOMONTH($AI$1,0),Finance!BI$3,0)+IF(EOMONTH(DATE(YEAR(Finance!$BD$1),MONTH(Finance!$BD$1),1)+INT((DAY(Finance!$BD$1)-1)/2)+Finance!BF$4,0)=EOMONTH($AI$1,0),Finance!BF$3,0)+IF(EOMONTH(DATE(YEAR(Finance!$BA$1),MONTH(Finance!$BA$1),1)+INT((DAY(Finance!$BA$1)-1)/2)+Finance!BC$4,0)=EOMONTH($AI$1,0),Finance!BC$3,0)+IF(EOMONTH(DATE(YEAR(Finance!$AX$1),MONTH(Finance!$AX$1),1)+INT((DAY(Finance!$AX$1)-1)/2)+Finance!AZ$4,0)=EOMONTH($AI$1,0),Finance!AZ$3,0)+IF(EOMONTH(DATE(YEAR(Finance!$AU$1),MONTH(Finance!$AU$1),1)+INT((DAY(Finance!$AU$1)-1)/2)+Finance!AW$4,0)=EOMONTH($AI$1,0),Finance!AW$3,0)+IF(EOMONTH(DATE(YEAR(Finance!$AR$1),MONTH(Finance!$AR$1),1)+INT((DAY(Finance!$AR$1)-1)/2)+Finance!AT$4,0)=EOMONTH($AI$1,0),Finance!AT$3,0)+IF(EOMONTH(DATE(YEAR(Finance!$AO$1),MONTH(Finance!$AO$1),1)+INT((DAY(Finance!$AO$1)-1)/2)+Finance!AQ$4,0)=EOMONTH($AI$1,0),Finance!AQ$3,0)+IF(EOMONTH(DATE(YEAR(Finance!$AL$1),MONTH(Finance!$AL$1),1)+INT((DAY(Finance!$AL$1)-1)/2)+Finance!AN$4,0)=EOMONTH($AI$1,0),Finance!AN$3,0)+IF(EOMONTH(DATE(YEAR(Finance!$AI$1),MONTH(Finance!$AI$1),1)+INT((DAY(Finance!$AI$1)-1)/2)+Finance!AK$4,0)=EOMONTH($AI$1,0),Finance!AK$3,0)+IF(EOMONTH(DATE(YEAR(Finance!$AF$1),MONTH(Finance!$AF$1),1)+INT((DAY(Finance!$AF$1)-1)/2)+Finance!AH$4,0)=EOMONTH($AI$1,0),Finance!AH$3,0)+IF(EOMONTH(DATE(YEAR(Finance!$AC$1),MONTH(Finance!$AC$1),1)+INT((DAY(Finance!$AC$1)-1)/2)+Finance!AE$4,0)=EOMONTH($AI$1,0),Finance!AE$3,0)+IF(EOMONTH(DATE(YEAR(Finance!$Z$1),MONTH(Finance!$Z$1),1)+INT((DAY(Finance!$Z$1)-1)/2)+Finance!AB$4,0)=EOMONTH($AI$1,0),Finance!AB$3,0)+IF(EOMONTH(DATE(YEAR(Finance!$W$1),MONTH(Finance!$W$1),1)+INT((DAY(Finance!$W$1)-1)/2)+Finance!Y$4,0)=EOMONTH($AI$1,0),Finance!Y$3,0)+IF(EOMONTH(DATE(YEAR(Finance!$T$1),MONTH(Finance!$T$1),1)+INT((DAY(Finance!$T$1)-1)/2)+Finance!V$4,0)=EOMONTH($AI$1,0),Finance!V$3,0)+IF(EOMONTH(DATE(YEAR(Finance!$Q$1),MONTH(Finance!$Q$1),1)+INT((DAY(Finance!$Q$1)-1)/2)+Finance!S$4,0)=EOMONTH($AI$1,0),Finance!S$3,0)+IF(EOMONTH(DATE(YEAR(Finance!$N$1),MONTH(Finance!$N$1),1)+INT((DAY(Finance!$N$1)-1)/2)+Finance!P$4,0)=EOMONTH($AI$1,0),Finance!P$3,0)+IF(EOMONTH(DATE(YEAR(Finance!$K$1),MONTH(Finance!$K$1),1)+INT((DAY(Finance!$K$1)-1)/2)+Finance!M$4,0)=EOMONTH($AI$1,0),Finance!M$3,0)+IF(EOMONTH('Cash Drivers'!$DL$30+Finance!DN$4,0)=EOMONTH($AI$1,0),'Cash Drivers'!$DL$35,0),0)</f>
        <v>1900575</v>
      </c>
      <c r="AL5" s="12"/>
      <c r="AM5" s="12" t="n">
        <f aca="false">IF('Cash Drivers'!AM$26,AL5,ROUND(IF(EOMONTH(DATE(YEAR(Finance!$DL$1),MONTH(Finance!$DL$1),1)+INT((DAY(Finance!$DL$1)-1)/2)+Finance!DM$4,0)=EOMONTH($AL$1,0),Finance!DM$3,0)+IF(EOMONTH(DATE(YEAR(Finance!$DI$1),MONTH(Finance!$DI$1),1)+INT((DAY(Finance!$DI$1)-1)/2)+Finance!DJ$4,0)=EOMONTH($AL$1,0),Finance!DJ$3,0)+IF(EOMONTH(DATE(YEAR(Finance!$DF$1),MONTH(Finance!$DF$1),1)+INT((DAY(Finance!$DF$1)-1)/2)+Finance!DG$4,0)=EOMONTH($AL$1,0),Finance!DG$3,0)+IF(EOMONTH(DATE(YEAR(Finance!$DC$1),MONTH(Finance!$DC$1),1)+INT((DAY(Finance!$DC$1)-1)/2)+Finance!DD$4,0)=EOMONTH($AL$1,0),Finance!DD$3,0)+IF(EOMONTH(DATE(YEAR(Finance!$CZ$1),MONTH(Finance!$CZ$1),1)+INT((DAY(Finance!$CZ$1)-1)/2)+Finance!DA$4,0)=EOMONTH($AL$1,0),Finance!DA$3,0)+IF(EOMONTH(DATE(YEAR(Finance!$CW$1),MONTH(Finance!$CW$1),1)+INT((DAY(Finance!$CW$1)-1)/2)+Finance!CX$4,0)=EOMONTH($AL$1,0),Finance!CX$3,0)+IF(EOMONTH(DATE(YEAR(Finance!$CT$1),MONTH(Finance!$CT$1),1)+INT((DAY(Finance!$CT$1)-1)/2)+Finance!CU$4,0)=EOMONTH($AL$1,0),Finance!CU$3,0)+IF(EOMONTH(DATE(YEAR(Finance!$CQ$1),MONTH(Finance!$CQ$1),1)+INT((DAY(Finance!$CQ$1)-1)/2)+Finance!CR$4,0)=EOMONTH($AL$1,0),Finance!CR$3,0)+IF(EOMONTH(DATE(YEAR(Finance!$CN$1),MONTH(Finance!$CN$1),1)+INT((DAY(Finance!$CN$1)-1)/2)+Finance!CO$4,0)=EOMONTH($AL$1,0),Finance!CO$3,0)+IF(EOMONTH(DATE(YEAR(Finance!$CK$1),MONTH(Finance!$CK$1),1)+INT((DAY(Finance!$CK$1)-1)/2)+Finance!CL$4,0)=EOMONTH($AL$1,0),Finance!CL$3,0)+IF(EOMONTH(DATE(YEAR(Finance!$CH$1),MONTH(Finance!$CH$1),1)+INT((DAY(Finance!$CH$1)-1)/2)+Finance!CI$4,0)=EOMONTH($AL$1,0),Finance!CI$3,0)+IF(EOMONTH(DATE(YEAR(Finance!$CE$1),MONTH(Finance!$CE$1),1)+INT((DAY(Finance!$CE$1)-1)/2)+Finance!CF$4,0)=EOMONTH($AL$1,0),Finance!CF$3,0)+IF(EOMONTH(DATE(YEAR(Finance!$CB$1),MONTH(Finance!$CB$1),1)+INT((DAY(Finance!$CB$1)-1)/2)+Finance!CC$4,0)=EOMONTH($AL$1,0),Finance!CC$3,0)+IF(EOMONTH(DATE(YEAR(Finance!$BY$1),MONTH(Finance!$BY$1),1)+INT((DAY(Finance!$BY$1)-1)/2)+Finance!BZ$4,0)=EOMONTH($AL$1,0),Finance!BZ$3,0)+IF(EOMONTH(DATE(YEAR(Finance!$BV$1),MONTH(Finance!$BV$1),1)+INT((DAY(Finance!$BV$1)-1)/2)+Finance!BW$4,0)=EOMONTH($AL$1,0),Finance!BW$3,0)+IF(EOMONTH(DATE(YEAR(Finance!$BS$1),MONTH(Finance!$BS$1),1)+INT((DAY(Finance!$BS$1)-1)/2)+Finance!BT$4,0)=EOMONTH($AL$1,0),Finance!BT$3,0)+IF(EOMONTH(DATE(YEAR(Finance!$BP$1),MONTH(Finance!$BP$1),1)+INT((DAY(Finance!$BP$1)-1)/2)+Finance!BQ$4,0)=EOMONTH($AL$1,0),Finance!BQ$3,0)+IF(EOMONTH(DATE(YEAR(Finance!$BM$1),MONTH(Finance!$BM$1),1)+INT((DAY(Finance!$BM$1)-1)/2)+Finance!BN$4,0)=EOMONTH($AL$1,0),Finance!BN$3,0)+IF(EOMONTH(DATE(YEAR(Finance!$BJ$1),MONTH(Finance!$BJ$1),1)+INT((DAY(Finance!$BJ$1)-1)/2)+Finance!BK$4,0)=EOMONTH($AL$1,0),Finance!BK$3,0)+IF(EOMONTH(DATE(YEAR(Finance!$BG$1),MONTH(Finance!$BG$1),1)+INT((DAY(Finance!$BG$1)-1)/2)+Finance!BH$4,0)=EOMONTH($AL$1,0),Finance!BH$3,0)+IF(EOMONTH(DATE(YEAR(Finance!$BD$1),MONTH(Finance!$BD$1),1)+INT((DAY(Finance!$BD$1)-1)/2)+Finance!BE$4,0)=EOMONTH($AL$1,0),Finance!BE$3,0)+IF(EOMONTH(DATE(YEAR(Finance!$BA$1),MONTH(Finance!$BA$1),1)+INT((DAY(Finance!$BA$1)-1)/2)+Finance!BB$4,0)=EOMONTH($AL$1,0),Finance!BB$3,0)+IF(EOMONTH(DATE(YEAR(Finance!$AX$1),MONTH(Finance!$AX$1),1)+INT((DAY(Finance!$AX$1)-1)/2)+Finance!AY$4,0)=EOMONTH($AL$1,0),Finance!AY$3,0)+IF(EOMONTH(DATE(YEAR(Finance!$AU$1),MONTH(Finance!$AU$1),1)+INT((DAY(Finance!$AU$1)-1)/2)+Finance!AV$4,0)=EOMONTH($AL$1,0),Finance!AV$3,0)+IF(EOMONTH(DATE(YEAR(Finance!$AR$1),MONTH(Finance!$AR$1),1)+INT((DAY(Finance!$AR$1)-1)/2)+Finance!AS$4,0)=EOMONTH($AL$1,0),Finance!AS$3,0)+IF(EOMONTH(DATE(YEAR(Finance!$AO$1),MONTH(Finance!$AO$1),1)+INT((DAY(Finance!$AO$1)-1)/2)+Finance!AP$4,0)=EOMONTH($AL$1,0),Finance!AP$3,0)+IF(EOMONTH(DATE(YEAR(Finance!$AL$1),MONTH(Finance!$AL$1),1)+INT((DAY(Finance!$AL$1)-1)/2)+Finance!AM$4,0)=EOMONTH($AL$1,0),Finance!AM$3,0)+IF(EOMONTH(DATE(YEAR(Finance!$AI$1),MONTH(Finance!$AI$1),1)+INT((DAY(Finance!$AI$1)-1)/2)+Finance!AJ$4,0)=EOMONTH($AL$1,0),Finance!AJ$3,0)+IF(EOMONTH(DATE(YEAR(Finance!$AF$1),MONTH(Finance!$AF$1),1)+INT((DAY(Finance!$AF$1)-1)/2)+Finance!AG$4,0)=EOMONTH($AL$1,0),Finance!AG$3,0)+IF(EOMONTH(DATE(YEAR(Finance!$AC$1),MONTH(Finance!$AC$1),1)+INT((DAY(Finance!$AC$1)-1)/2)+Finance!AD$4,0)=EOMONTH($AL$1,0),Finance!AD$3,0)+IF(EOMONTH(DATE(YEAR(Finance!$Z$1),MONTH(Finance!$Z$1),1)+INT((DAY(Finance!$Z$1)-1)/2)+Finance!AA$4,0)=EOMONTH($AL$1,0),Finance!AA$3,0)+IF(EOMONTH(DATE(YEAR(Finance!$W$1),MONTH(Finance!$W$1),1)+INT((DAY(Finance!$W$1)-1)/2)+Finance!X$4,0)=EOMONTH($AL$1,0),Finance!X$3,0)+IF(EOMONTH(DATE(YEAR(Finance!$T$1),MONTH(Finance!$T$1),1)+INT((DAY(Finance!$T$1)-1)/2)+Finance!U$4,0)=EOMONTH($AL$1,0),Finance!U$3,0)+IF(EOMONTH(DATE(YEAR(Finance!$Q$1),MONTH(Finance!$Q$1),1)+INT((DAY(Finance!$Q$1)-1)/2)+Finance!R$4,0)=EOMONTH($AL$1,0),Finance!R$3,0)+IF(EOMONTH(DATE(YEAR(Finance!$N$1),MONTH(Finance!$N$1),1)+INT((DAY(Finance!$N$1)-1)/2)+Finance!O$4,0)=EOMONTH($AL$1,0),Finance!O$3,0)+IF(EOMONTH(DATE(YEAR(Finance!$K$1),MONTH(Finance!$K$1),1)+INT((DAY(Finance!$K$1)-1)/2)+Finance!L$4,0)=EOMONTH($AL$1,0),Finance!L$3,0)+IF(EOMONTH('Cash Drivers'!$DL$30+Finance!DM$4,0)=EOMONTH($AL$1,0),'Cash Drivers'!$DL$35,0),0))</f>
        <v>1871950</v>
      </c>
      <c r="AN5" s="12" t="n">
        <f aca="false">ROUND(IF(EOMONTH(DATE(YEAR(Finance!$DL$1),MONTH(Finance!$DL$1),1)+INT((DAY(Finance!$DL$1)-1)/2)+Finance!DN$4,0)=EOMONTH($AL$1,0),Finance!DN$3,0)+IF(EOMONTH(DATE(YEAR(Finance!$DI$1),MONTH(Finance!$DI$1),1)+INT((DAY(Finance!$DI$1)-1)/2)+Finance!DK$4,0)=EOMONTH($AL$1,0),Finance!DK$3,0)+IF(EOMONTH(DATE(YEAR(Finance!$DF$1),MONTH(Finance!$DF$1),1)+INT((DAY(Finance!$DF$1)-1)/2)+Finance!DH$4,0)=EOMONTH($AL$1,0),Finance!DH$3,0)+IF(EOMONTH(DATE(YEAR(Finance!$DC$1),MONTH(Finance!$DC$1),1)+INT((DAY(Finance!$DC$1)-1)/2)+Finance!DE$4,0)=EOMONTH($AL$1,0),Finance!DE$3,0)+IF(EOMONTH(DATE(YEAR(Finance!$CZ$1),MONTH(Finance!$CZ$1),1)+INT((DAY(Finance!$CZ$1)-1)/2)+Finance!DB$4,0)=EOMONTH($AL$1,0),Finance!DB$3,0)+IF(EOMONTH(DATE(YEAR(Finance!$CW$1),MONTH(Finance!$CW$1),1)+INT((DAY(Finance!$CW$1)-1)/2)+Finance!CY$4,0)=EOMONTH($AL$1,0),Finance!CY$3,0)+IF(EOMONTH(DATE(YEAR(Finance!$CT$1),MONTH(Finance!$CT$1),1)+INT((DAY(Finance!$CT$1)-1)/2)+Finance!CV$4,0)=EOMONTH($AL$1,0),Finance!CV$3,0)+IF(EOMONTH(DATE(YEAR(Finance!$CQ$1),MONTH(Finance!$CQ$1),1)+INT((DAY(Finance!$CQ$1)-1)/2)+Finance!CS$4,0)=EOMONTH($AL$1,0),Finance!CS$3,0)+IF(EOMONTH(DATE(YEAR(Finance!$CN$1),MONTH(Finance!$CN$1),1)+INT((DAY(Finance!$CN$1)-1)/2)+Finance!CP$4,0)=EOMONTH($AL$1,0),Finance!CP$3,0)+IF(EOMONTH(DATE(YEAR(Finance!$CK$1),MONTH(Finance!$CK$1),1)+INT((DAY(Finance!$CK$1)-1)/2)+Finance!CM$4,0)=EOMONTH($AL$1,0),Finance!CM$3,0)+IF(EOMONTH(DATE(YEAR(Finance!$CH$1),MONTH(Finance!$CH$1),1)+INT((DAY(Finance!$CH$1)-1)/2)+Finance!CJ$4,0)=EOMONTH($AL$1,0),Finance!CJ$3,0)+IF(EOMONTH(DATE(YEAR(Finance!$CE$1),MONTH(Finance!$CE$1),1)+INT((DAY(Finance!$CE$1)-1)/2)+Finance!CG$4,0)=EOMONTH($AL$1,0),Finance!CG$3,0)+IF(EOMONTH(DATE(YEAR(Finance!$CB$1),MONTH(Finance!$CB$1),1)+INT((DAY(Finance!$CB$1)-1)/2)+Finance!CD$4,0)=EOMONTH($AL$1,0),Finance!CD$3,0)+IF(EOMONTH(DATE(YEAR(Finance!$BY$1),MONTH(Finance!$BY$1),1)+INT((DAY(Finance!$BY$1)-1)/2)+Finance!CA$4,0)=EOMONTH($AL$1,0),Finance!CA$3,0)+IF(EOMONTH(DATE(YEAR(Finance!$BV$1),MONTH(Finance!$BV$1),1)+INT((DAY(Finance!$BV$1)-1)/2)+Finance!BX$4,0)=EOMONTH($AL$1,0),Finance!BX$3,0)+IF(EOMONTH(DATE(YEAR(Finance!$BS$1),MONTH(Finance!$BS$1),1)+INT((DAY(Finance!$BS$1)-1)/2)+Finance!BU$4,0)=EOMONTH($AL$1,0),Finance!BU$3,0)+IF(EOMONTH(DATE(YEAR(Finance!$BP$1),MONTH(Finance!$BP$1),1)+INT((DAY(Finance!$BP$1)-1)/2)+Finance!BR$4,0)=EOMONTH($AL$1,0),Finance!BR$3,0)+IF(EOMONTH(DATE(YEAR(Finance!$BM$1),MONTH(Finance!$BM$1),1)+INT((DAY(Finance!$BM$1)-1)/2)+Finance!BO$4,0)=EOMONTH($AL$1,0),Finance!BO$3,0)+IF(EOMONTH(DATE(YEAR(Finance!$BJ$1),MONTH(Finance!$BJ$1),1)+INT((DAY(Finance!$BJ$1)-1)/2)+Finance!BL$4,0)=EOMONTH($AL$1,0),Finance!BL$3,0)+IF(EOMONTH(DATE(YEAR(Finance!$BG$1),MONTH(Finance!$BG$1),1)+INT((DAY(Finance!$BG$1)-1)/2)+Finance!BI$4,0)=EOMONTH($AL$1,0),Finance!BI$3,0)+IF(EOMONTH(DATE(YEAR(Finance!$BD$1),MONTH(Finance!$BD$1),1)+INT((DAY(Finance!$BD$1)-1)/2)+Finance!BF$4,0)=EOMONTH($AL$1,0),Finance!BF$3,0)+IF(EOMONTH(DATE(YEAR(Finance!$BA$1),MONTH(Finance!$BA$1),1)+INT((DAY(Finance!$BA$1)-1)/2)+Finance!BC$4,0)=EOMONTH($AL$1,0),Finance!BC$3,0)+IF(EOMONTH(DATE(YEAR(Finance!$AX$1),MONTH(Finance!$AX$1),1)+INT((DAY(Finance!$AX$1)-1)/2)+Finance!AZ$4,0)=EOMONTH($AL$1,0),Finance!AZ$3,0)+IF(EOMONTH(DATE(YEAR(Finance!$AU$1),MONTH(Finance!$AU$1),1)+INT((DAY(Finance!$AU$1)-1)/2)+Finance!AW$4,0)=EOMONTH($AL$1,0),Finance!AW$3,0)+IF(EOMONTH(DATE(YEAR(Finance!$AR$1),MONTH(Finance!$AR$1),1)+INT((DAY(Finance!$AR$1)-1)/2)+Finance!AT$4,0)=EOMONTH($AL$1,0),Finance!AT$3,0)+IF(EOMONTH(DATE(YEAR(Finance!$AO$1),MONTH(Finance!$AO$1),1)+INT((DAY(Finance!$AO$1)-1)/2)+Finance!AQ$4,0)=EOMONTH($AL$1,0),Finance!AQ$3,0)+IF(EOMONTH(DATE(YEAR(Finance!$AL$1),MONTH(Finance!$AL$1),1)+INT((DAY(Finance!$AL$1)-1)/2)+Finance!AN$4,0)=EOMONTH($AL$1,0),Finance!AN$3,0)+IF(EOMONTH(DATE(YEAR(Finance!$AI$1),MONTH(Finance!$AI$1),1)+INT((DAY(Finance!$AI$1)-1)/2)+Finance!AK$4,0)=EOMONTH($AL$1,0),Finance!AK$3,0)+IF(EOMONTH(DATE(YEAR(Finance!$AF$1),MONTH(Finance!$AF$1),1)+INT((DAY(Finance!$AF$1)-1)/2)+Finance!AH$4,0)=EOMONTH($AL$1,0),Finance!AH$3,0)+IF(EOMONTH(DATE(YEAR(Finance!$AC$1),MONTH(Finance!$AC$1),1)+INT((DAY(Finance!$AC$1)-1)/2)+Finance!AE$4,0)=EOMONTH($AL$1,0),Finance!AE$3,0)+IF(EOMONTH(DATE(YEAR(Finance!$Z$1),MONTH(Finance!$Z$1),1)+INT((DAY(Finance!$Z$1)-1)/2)+Finance!AB$4,0)=EOMONTH($AL$1,0),Finance!AB$3,0)+IF(EOMONTH(DATE(YEAR(Finance!$W$1),MONTH(Finance!$W$1),1)+INT((DAY(Finance!$W$1)-1)/2)+Finance!Y$4,0)=EOMONTH($AL$1,0),Finance!Y$3,0)+IF(EOMONTH(DATE(YEAR(Finance!$T$1),MONTH(Finance!$T$1),1)+INT((DAY(Finance!$T$1)-1)/2)+Finance!V$4,0)=EOMONTH($AL$1,0),Finance!V$3,0)+IF(EOMONTH(DATE(YEAR(Finance!$Q$1),MONTH(Finance!$Q$1),1)+INT((DAY(Finance!$Q$1)-1)/2)+Finance!S$4,0)=EOMONTH($AL$1,0),Finance!S$3,0)+IF(EOMONTH(DATE(YEAR(Finance!$N$1),MONTH(Finance!$N$1),1)+INT((DAY(Finance!$N$1)-1)/2)+Finance!P$4,0)=EOMONTH($AL$1,0),Finance!P$3,0)+IF(EOMONTH(DATE(YEAR(Finance!$K$1),MONTH(Finance!$K$1),1)+INT((DAY(Finance!$K$1)-1)/2)+Finance!M$4,0)=EOMONTH($AL$1,0),Finance!M$3,0)+IF(EOMONTH('Cash Drivers'!$DL$30+Finance!DN$4,0)=EOMONTH($AL$1,0),'Cash Drivers'!$DL$35,0),0)</f>
        <v>1845609</v>
      </c>
      <c r="AO5" s="13"/>
      <c r="AP5" s="13" t="n">
        <f aca="false">IF('Cash Drivers'!AP$26,AO5,ROUND(IF(EOMONTH(DATE(YEAR(Finance!$DL$1),MONTH(Finance!$DL$1),1)+INT((DAY(Finance!$DL$1)-1)/2)+Finance!DM$4,0)=EOMONTH($AO$1,0),Finance!DM$3,0)+IF(EOMONTH(DATE(YEAR(Finance!$DI$1),MONTH(Finance!$DI$1),1)+INT((DAY(Finance!$DI$1)-1)/2)+Finance!DJ$4,0)=EOMONTH($AO$1,0),Finance!DJ$3,0)+IF(EOMONTH(DATE(YEAR(Finance!$DF$1),MONTH(Finance!$DF$1),1)+INT((DAY(Finance!$DF$1)-1)/2)+Finance!DG$4,0)=EOMONTH($AO$1,0),Finance!DG$3,0)+IF(EOMONTH(DATE(YEAR(Finance!$DC$1),MONTH(Finance!$DC$1),1)+INT((DAY(Finance!$DC$1)-1)/2)+Finance!DD$4,0)=EOMONTH($AO$1,0),Finance!DD$3,0)+IF(EOMONTH(DATE(YEAR(Finance!$CZ$1),MONTH(Finance!$CZ$1),1)+INT((DAY(Finance!$CZ$1)-1)/2)+Finance!DA$4,0)=EOMONTH($AO$1,0),Finance!DA$3,0)+IF(EOMONTH(DATE(YEAR(Finance!$CW$1),MONTH(Finance!$CW$1),1)+INT((DAY(Finance!$CW$1)-1)/2)+Finance!CX$4,0)=EOMONTH($AO$1,0),Finance!CX$3,0)+IF(EOMONTH(DATE(YEAR(Finance!$CT$1),MONTH(Finance!$CT$1),1)+INT((DAY(Finance!$CT$1)-1)/2)+Finance!CU$4,0)=EOMONTH($AO$1,0),Finance!CU$3,0)+IF(EOMONTH(DATE(YEAR(Finance!$CQ$1),MONTH(Finance!$CQ$1),1)+INT((DAY(Finance!$CQ$1)-1)/2)+Finance!CR$4,0)=EOMONTH($AO$1,0),Finance!CR$3,0)+IF(EOMONTH(DATE(YEAR(Finance!$CN$1),MONTH(Finance!$CN$1),1)+INT((DAY(Finance!$CN$1)-1)/2)+Finance!CO$4,0)=EOMONTH($AO$1,0),Finance!CO$3,0)+IF(EOMONTH(DATE(YEAR(Finance!$CK$1),MONTH(Finance!$CK$1),1)+INT((DAY(Finance!$CK$1)-1)/2)+Finance!CL$4,0)=EOMONTH($AO$1,0),Finance!CL$3,0)+IF(EOMONTH(DATE(YEAR(Finance!$CH$1),MONTH(Finance!$CH$1),1)+INT((DAY(Finance!$CH$1)-1)/2)+Finance!CI$4,0)=EOMONTH($AO$1,0),Finance!CI$3,0)+IF(EOMONTH(DATE(YEAR(Finance!$CE$1),MONTH(Finance!$CE$1),1)+INT((DAY(Finance!$CE$1)-1)/2)+Finance!CF$4,0)=EOMONTH($AO$1,0),Finance!CF$3,0)+IF(EOMONTH(DATE(YEAR(Finance!$CB$1),MONTH(Finance!$CB$1),1)+INT((DAY(Finance!$CB$1)-1)/2)+Finance!CC$4,0)=EOMONTH($AO$1,0),Finance!CC$3,0)+IF(EOMONTH(DATE(YEAR(Finance!$BY$1),MONTH(Finance!$BY$1),1)+INT((DAY(Finance!$BY$1)-1)/2)+Finance!BZ$4,0)=EOMONTH($AO$1,0),Finance!BZ$3,0)+IF(EOMONTH(DATE(YEAR(Finance!$BV$1),MONTH(Finance!$BV$1),1)+INT((DAY(Finance!$BV$1)-1)/2)+Finance!BW$4,0)=EOMONTH($AO$1,0),Finance!BW$3,0)+IF(EOMONTH(DATE(YEAR(Finance!$BS$1),MONTH(Finance!$BS$1),1)+INT((DAY(Finance!$BS$1)-1)/2)+Finance!BT$4,0)=EOMONTH($AO$1,0),Finance!BT$3,0)+IF(EOMONTH(DATE(YEAR(Finance!$BP$1),MONTH(Finance!$BP$1),1)+INT((DAY(Finance!$BP$1)-1)/2)+Finance!BQ$4,0)=EOMONTH($AO$1,0),Finance!BQ$3,0)+IF(EOMONTH(DATE(YEAR(Finance!$BM$1),MONTH(Finance!$BM$1),1)+INT((DAY(Finance!$BM$1)-1)/2)+Finance!BN$4,0)=EOMONTH($AO$1,0),Finance!BN$3,0)+IF(EOMONTH(DATE(YEAR(Finance!$BJ$1),MONTH(Finance!$BJ$1),1)+INT((DAY(Finance!$BJ$1)-1)/2)+Finance!BK$4,0)=EOMONTH($AO$1,0),Finance!BK$3,0)+IF(EOMONTH(DATE(YEAR(Finance!$BG$1),MONTH(Finance!$BG$1),1)+INT((DAY(Finance!$BG$1)-1)/2)+Finance!BH$4,0)=EOMONTH($AO$1,0),Finance!BH$3,0)+IF(EOMONTH(DATE(YEAR(Finance!$BD$1),MONTH(Finance!$BD$1),1)+INT((DAY(Finance!$BD$1)-1)/2)+Finance!BE$4,0)=EOMONTH($AO$1,0),Finance!BE$3,0)+IF(EOMONTH(DATE(YEAR(Finance!$BA$1),MONTH(Finance!$BA$1),1)+INT((DAY(Finance!$BA$1)-1)/2)+Finance!BB$4,0)=EOMONTH($AO$1,0),Finance!BB$3,0)+IF(EOMONTH(DATE(YEAR(Finance!$AX$1),MONTH(Finance!$AX$1),1)+INT((DAY(Finance!$AX$1)-1)/2)+Finance!AY$4,0)=EOMONTH($AO$1,0),Finance!AY$3,0)+IF(EOMONTH(DATE(YEAR(Finance!$AU$1),MONTH(Finance!$AU$1),1)+INT((DAY(Finance!$AU$1)-1)/2)+Finance!AV$4,0)=EOMONTH($AO$1,0),Finance!AV$3,0)+IF(EOMONTH(DATE(YEAR(Finance!$AR$1),MONTH(Finance!$AR$1),1)+INT((DAY(Finance!$AR$1)-1)/2)+Finance!AS$4,0)=EOMONTH($AO$1,0),Finance!AS$3,0)+IF(EOMONTH(DATE(YEAR(Finance!$AO$1),MONTH(Finance!$AO$1),1)+INT((DAY(Finance!$AO$1)-1)/2)+Finance!AP$4,0)=EOMONTH($AO$1,0),Finance!AP$3,0)+IF(EOMONTH(DATE(YEAR(Finance!$AL$1),MONTH(Finance!$AL$1),1)+INT((DAY(Finance!$AL$1)-1)/2)+Finance!AM$4,0)=EOMONTH($AO$1,0),Finance!AM$3,0)+IF(EOMONTH(DATE(YEAR(Finance!$AI$1),MONTH(Finance!$AI$1),1)+INT((DAY(Finance!$AI$1)-1)/2)+Finance!AJ$4,0)=EOMONTH($AO$1,0),Finance!AJ$3,0)+IF(EOMONTH(DATE(YEAR(Finance!$AF$1),MONTH(Finance!$AF$1),1)+INT((DAY(Finance!$AF$1)-1)/2)+Finance!AG$4,0)=EOMONTH($AO$1,0),Finance!AG$3,0)+IF(EOMONTH(DATE(YEAR(Finance!$AC$1),MONTH(Finance!$AC$1),1)+INT((DAY(Finance!$AC$1)-1)/2)+Finance!AD$4,0)=EOMONTH($AO$1,0),Finance!AD$3,0)+IF(EOMONTH(DATE(YEAR(Finance!$Z$1),MONTH(Finance!$Z$1),1)+INT((DAY(Finance!$Z$1)-1)/2)+Finance!AA$4,0)=EOMONTH($AO$1,0),Finance!AA$3,0)+IF(EOMONTH(DATE(YEAR(Finance!$W$1),MONTH(Finance!$W$1),1)+INT((DAY(Finance!$W$1)-1)/2)+Finance!X$4,0)=EOMONTH($AO$1,0),Finance!X$3,0)+IF(EOMONTH(DATE(YEAR(Finance!$T$1),MONTH(Finance!$T$1),1)+INT((DAY(Finance!$T$1)-1)/2)+Finance!U$4,0)=EOMONTH($AO$1,0),Finance!U$3,0)+IF(EOMONTH(DATE(YEAR(Finance!$Q$1),MONTH(Finance!$Q$1),1)+INT((DAY(Finance!$Q$1)-1)/2)+Finance!R$4,0)=EOMONTH($AO$1,0),Finance!R$3,0)+IF(EOMONTH(DATE(YEAR(Finance!$N$1),MONTH(Finance!$N$1),1)+INT((DAY(Finance!$N$1)-1)/2)+Finance!O$4,0)=EOMONTH($AO$1,0),Finance!O$3,0)+IF(EOMONTH(DATE(YEAR(Finance!$K$1),MONTH(Finance!$K$1),1)+INT((DAY(Finance!$K$1)-1)/2)+Finance!L$4,0)=EOMONTH($AO$1,0),Finance!L$3,0)+IF(EOMONTH('Cash Drivers'!$DL$30+Finance!DM$4,0)=EOMONTH($AO$1,0),'Cash Drivers'!$DL$35,0),0))</f>
        <v>1830431</v>
      </c>
      <c r="AQ5" s="13" t="n">
        <f aca="false">ROUND(IF(EOMONTH(DATE(YEAR(Finance!$DL$1),MONTH(Finance!$DL$1),1)+INT((DAY(Finance!$DL$1)-1)/2)+Finance!DN$4,0)=EOMONTH($AO$1,0),Finance!DN$3,0)+IF(EOMONTH(DATE(YEAR(Finance!$DI$1),MONTH(Finance!$DI$1),1)+INT((DAY(Finance!$DI$1)-1)/2)+Finance!DK$4,0)=EOMONTH($AO$1,0),Finance!DK$3,0)+IF(EOMONTH(DATE(YEAR(Finance!$DF$1),MONTH(Finance!$DF$1),1)+INT((DAY(Finance!$DF$1)-1)/2)+Finance!DH$4,0)=EOMONTH($AO$1,0),Finance!DH$3,0)+IF(EOMONTH(DATE(YEAR(Finance!$DC$1),MONTH(Finance!$DC$1),1)+INT((DAY(Finance!$DC$1)-1)/2)+Finance!DE$4,0)=EOMONTH($AO$1,0),Finance!DE$3,0)+IF(EOMONTH(DATE(YEAR(Finance!$CZ$1),MONTH(Finance!$CZ$1),1)+INT((DAY(Finance!$CZ$1)-1)/2)+Finance!DB$4,0)=EOMONTH($AO$1,0),Finance!DB$3,0)+IF(EOMONTH(DATE(YEAR(Finance!$CW$1),MONTH(Finance!$CW$1),1)+INT((DAY(Finance!$CW$1)-1)/2)+Finance!CY$4,0)=EOMONTH($AO$1,0),Finance!CY$3,0)+IF(EOMONTH(DATE(YEAR(Finance!$CT$1),MONTH(Finance!$CT$1),1)+INT((DAY(Finance!$CT$1)-1)/2)+Finance!CV$4,0)=EOMONTH($AO$1,0),Finance!CV$3,0)+IF(EOMONTH(DATE(YEAR(Finance!$CQ$1),MONTH(Finance!$CQ$1),1)+INT((DAY(Finance!$CQ$1)-1)/2)+Finance!CS$4,0)=EOMONTH($AO$1,0),Finance!CS$3,0)+IF(EOMONTH(DATE(YEAR(Finance!$CN$1),MONTH(Finance!$CN$1),1)+INT((DAY(Finance!$CN$1)-1)/2)+Finance!CP$4,0)=EOMONTH($AO$1,0),Finance!CP$3,0)+IF(EOMONTH(DATE(YEAR(Finance!$CK$1),MONTH(Finance!$CK$1),1)+INT((DAY(Finance!$CK$1)-1)/2)+Finance!CM$4,0)=EOMONTH($AO$1,0),Finance!CM$3,0)+IF(EOMONTH(DATE(YEAR(Finance!$CH$1),MONTH(Finance!$CH$1),1)+INT((DAY(Finance!$CH$1)-1)/2)+Finance!CJ$4,0)=EOMONTH($AO$1,0),Finance!CJ$3,0)+IF(EOMONTH(DATE(YEAR(Finance!$CE$1),MONTH(Finance!$CE$1),1)+INT((DAY(Finance!$CE$1)-1)/2)+Finance!CG$4,0)=EOMONTH($AO$1,0),Finance!CG$3,0)+IF(EOMONTH(DATE(YEAR(Finance!$CB$1),MONTH(Finance!$CB$1),1)+INT((DAY(Finance!$CB$1)-1)/2)+Finance!CD$4,0)=EOMONTH($AO$1,0),Finance!CD$3,0)+IF(EOMONTH(DATE(YEAR(Finance!$BY$1),MONTH(Finance!$BY$1),1)+INT((DAY(Finance!$BY$1)-1)/2)+Finance!CA$4,0)=EOMONTH($AO$1,0),Finance!CA$3,0)+IF(EOMONTH(DATE(YEAR(Finance!$BV$1),MONTH(Finance!$BV$1),1)+INT((DAY(Finance!$BV$1)-1)/2)+Finance!BX$4,0)=EOMONTH($AO$1,0),Finance!BX$3,0)+IF(EOMONTH(DATE(YEAR(Finance!$BS$1),MONTH(Finance!$BS$1),1)+INT((DAY(Finance!$BS$1)-1)/2)+Finance!BU$4,0)=EOMONTH($AO$1,0),Finance!BU$3,0)+IF(EOMONTH(DATE(YEAR(Finance!$BP$1),MONTH(Finance!$BP$1),1)+INT((DAY(Finance!$BP$1)-1)/2)+Finance!BR$4,0)=EOMONTH($AO$1,0),Finance!BR$3,0)+IF(EOMONTH(DATE(YEAR(Finance!$BM$1),MONTH(Finance!$BM$1),1)+INT((DAY(Finance!$BM$1)-1)/2)+Finance!BO$4,0)=EOMONTH($AO$1,0),Finance!BO$3,0)+IF(EOMONTH(DATE(YEAR(Finance!$BJ$1),MONTH(Finance!$BJ$1),1)+INT((DAY(Finance!$BJ$1)-1)/2)+Finance!BL$4,0)=EOMONTH($AO$1,0),Finance!BL$3,0)+IF(EOMONTH(DATE(YEAR(Finance!$BG$1),MONTH(Finance!$BG$1),1)+INT((DAY(Finance!$BG$1)-1)/2)+Finance!BI$4,0)=EOMONTH($AO$1,0),Finance!BI$3,0)+IF(EOMONTH(DATE(YEAR(Finance!$BD$1),MONTH(Finance!$BD$1),1)+INT((DAY(Finance!$BD$1)-1)/2)+Finance!BF$4,0)=EOMONTH($AO$1,0),Finance!BF$3,0)+IF(EOMONTH(DATE(YEAR(Finance!$BA$1),MONTH(Finance!$BA$1),1)+INT((DAY(Finance!$BA$1)-1)/2)+Finance!BC$4,0)=EOMONTH($AO$1,0),Finance!BC$3,0)+IF(EOMONTH(DATE(YEAR(Finance!$AX$1),MONTH(Finance!$AX$1),1)+INT((DAY(Finance!$AX$1)-1)/2)+Finance!AZ$4,0)=EOMONTH($AO$1,0),Finance!AZ$3,0)+IF(EOMONTH(DATE(YEAR(Finance!$AU$1),MONTH(Finance!$AU$1),1)+INT((DAY(Finance!$AU$1)-1)/2)+Finance!AW$4,0)=EOMONTH($AO$1,0),Finance!AW$3,0)+IF(EOMONTH(DATE(YEAR(Finance!$AR$1),MONTH(Finance!$AR$1),1)+INT((DAY(Finance!$AR$1)-1)/2)+Finance!AT$4,0)=EOMONTH($AO$1,0),Finance!AT$3,0)+IF(EOMONTH(DATE(YEAR(Finance!$AO$1),MONTH(Finance!$AO$1),1)+INT((DAY(Finance!$AO$1)-1)/2)+Finance!AQ$4,0)=EOMONTH($AO$1,0),Finance!AQ$3,0)+IF(EOMONTH(DATE(YEAR(Finance!$AL$1),MONTH(Finance!$AL$1),1)+INT((DAY(Finance!$AL$1)-1)/2)+Finance!AN$4,0)=EOMONTH($AO$1,0),Finance!AN$3,0)+IF(EOMONTH(DATE(YEAR(Finance!$AI$1),MONTH(Finance!$AI$1),1)+INT((DAY(Finance!$AI$1)-1)/2)+Finance!AK$4,0)=EOMONTH($AO$1,0),Finance!AK$3,0)+IF(EOMONTH(DATE(YEAR(Finance!$AF$1),MONTH(Finance!$AF$1),1)+INT((DAY(Finance!$AF$1)-1)/2)+Finance!AH$4,0)=EOMONTH($AO$1,0),Finance!AH$3,0)+IF(EOMONTH(DATE(YEAR(Finance!$AC$1),MONTH(Finance!$AC$1),1)+INT((DAY(Finance!$AC$1)-1)/2)+Finance!AE$4,0)=EOMONTH($AO$1,0),Finance!AE$3,0)+IF(EOMONTH(DATE(YEAR(Finance!$Z$1),MONTH(Finance!$Z$1),1)+INT((DAY(Finance!$Z$1)-1)/2)+Finance!AB$4,0)=EOMONTH($AO$1,0),Finance!AB$3,0)+IF(EOMONTH(DATE(YEAR(Finance!$W$1),MONTH(Finance!$W$1),1)+INT((DAY(Finance!$W$1)-1)/2)+Finance!Y$4,0)=EOMONTH($AO$1,0),Finance!Y$3,0)+IF(EOMONTH(DATE(YEAR(Finance!$T$1),MONTH(Finance!$T$1),1)+INT((DAY(Finance!$T$1)-1)/2)+Finance!V$4,0)=EOMONTH($AO$1,0),Finance!V$3,0)+IF(EOMONTH(DATE(YEAR(Finance!$Q$1),MONTH(Finance!$Q$1),1)+INT((DAY(Finance!$Q$1)-1)/2)+Finance!S$4,0)=EOMONTH($AO$1,0),Finance!S$3,0)+IF(EOMONTH(DATE(YEAR(Finance!$N$1),MONTH(Finance!$N$1),1)+INT((DAY(Finance!$N$1)-1)/2)+Finance!P$4,0)=EOMONTH($AO$1,0),Finance!P$3,0)+IF(EOMONTH(DATE(YEAR(Finance!$K$1),MONTH(Finance!$K$1),1)+INT((DAY(Finance!$K$1)-1)/2)+Finance!M$4,0)=EOMONTH($AO$1,0),Finance!M$3,0)+IF(EOMONTH('Cash Drivers'!$DL$30+Finance!DN$4,0)=EOMONTH($AO$1,0),'Cash Drivers'!$DL$35,0),0)</f>
        <v>1804021</v>
      </c>
      <c r="AR5" s="12"/>
      <c r="AS5" s="12" t="n">
        <f aca="false">IF('Cash Drivers'!AS$26,AR5,ROUND(IF(EOMONTH(DATE(YEAR(Finance!$DL$1),MONTH(Finance!$DL$1),1)+INT((DAY(Finance!$DL$1)-1)/2)+Finance!DM$4,0)=EOMONTH($AR$1,0),Finance!DM$3,0)+IF(EOMONTH(DATE(YEAR(Finance!$DI$1),MONTH(Finance!$DI$1),1)+INT((DAY(Finance!$DI$1)-1)/2)+Finance!DJ$4,0)=EOMONTH($AR$1,0),Finance!DJ$3,0)+IF(EOMONTH(DATE(YEAR(Finance!$DF$1),MONTH(Finance!$DF$1),1)+INT((DAY(Finance!$DF$1)-1)/2)+Finance!DG$4,0)=EOMONTH($AR$1,0),Finance!DG$3,0)+IF(EOMONTH(DATE(YEAR(Finance!$DC$1),MONTH(Finance!$DC$1),1)+INT((DAY(Finance!$DC$1)-1)/2)+Finance!DD$4,0)=EOMONTH($AR$1,0),Finance!DD$3,0)+IF(EOMONTH(DATE(YEAR(Finance!$CZ$1),MONTH(Finance!$CZ$1),1)+INT((DAY(Finance!$CZ$1)-1)/2)+Finance!DA$4,0)=EOMONTH($AR$1,0),Finance!DA$3,0)+IF(EOMONTH(DATE(YEAR(Finance!$CW$1),MONTH(Finance!$CW$1),1)+INT((DAY(Finance!$CW$1)-1)/2)+Finance!CX$4,0)=EOMONTH($AR$1,0),Finance!CX$3,0)+IF(EOMONTH(DATE(YEAR(Finance!$CT$1),MONTH(Finance!$CT$1),1)+INT((DAY(Finance!$CT$1)-1)/2)+Finance!CU$4,0)=EOMONTH($AR$1,0),Finance!CU$3,0)+IF(EOMONTH(DATE(YEAR(Finance!$CQ$1),MONTH(Finance!$CQ$1),1)+INT((DAY(Finance!$CQ$1)-1)/2)+Finance!CR$4,0)=EOMONTH($AR$1,0),Finance!CR$3,0)+IF(EOMONTH(DATE(YEAR(Finance!$CN$1),MONTH(Finance!$CN$1),1)+INT((DAY(Finance!$CN$1)-1)/2)+Finance!CO$4,0)=EOMONTH($AR$1,0),Finance!CO$3,0)+IF(EOMONTH(DATE(YEAR(Finance!$CK$1),MONTH(Finance!$CK$1),1)+INT((DAY(Finance!$CK$1)-1)/2)+Finance!CL$4,0)=EOMONTH($AR$1,0),Finance!CL$3,0)+IF(EOMONTH(DATE(YEAR(Finance!$CH$1),MONTH(Finance!$CH$1),1)+INT((DAY(Finance!$CH$1)-1)/2)+Finance!CI$4,0)=EOMONTH($AR$1,0),Finance!CI$3,0)+IF(EOMONTH(DATE(YEAR(Finance!$CE$1),MONTH(Finance!$CE$1),1)+INT((DAY(Finance!$CE$1)-1)/2)+Finance!CF$4,0)=EOMONTH($AR$1,0),Finance!CF$3,0)+IF(EOMONTH(DATE(YEAR(Finance!$CB$1),MONTH(Finance!$CB$1),1)+INT((DAY(Finance!$CB$1)-1)/2)+Finance!CC$4,0)=EOMONTH($AR$1,0),Finance!CC$3,0)+IF(EOMONTH(DATE(YEAR(Finance!$BY$1),MONTH(Finance!$BY$1),1)+INT((DAY(Finance!$BY$1)-1)/2)+Finance!BZ$4,0)=EOMONTH($AR$1,0),Finance!BZ$3,0)+IF(EOMONTH(DATE(YEAR(Finance!$BV$1),MONTH(Finance!$BV$1),1)+INT((DAY(Finance!$BV$1)-1)/2)+Finance!BW$4,0)=EOMONTH($AR$1,0),Finance!BW$3,0)+IF(EOMONTH(DATE(YEAR(Finance!$BS$1),MONTH(Finance!$BS$1),1)+INT((DAY(Finance!$BS$1)-1)/2)+Finance!BT$4,0)=EOMONTH($AR$1,0),Finance!BT$3,0)+IF(EOMONTH(DATE(YEAR(Finance!$BP$1),MONTH(Finance!$BP$1),1)+INT((DAY(Finance!$BP$1)-1)/2)+Finance!BQ$4,0)=EOMONTH($AR$1,0),Finance!BQ$3,0)+IF(EOMONTH(DATE(YEAR(Finance!$BM$1),MONTH(Finance!$BM$1),1)+INT((DAY(Finance!$BM$1)-1)/2)+Finance!BN$4,0)=EOMONTH($AR$1,0),Finance!BN$3,0)+IF(EOMONTH(DATE(YEAR(Finance!$BJ$1),MONTH(Finance!$BJ$1),1)+INT((DAY(Finance!$BJ$1)-1)/2)+Finance!BK$4,0)=EOMONTH($AR$1,0),Finance!BK$3,0)+IF(EOMONTH(DATE(YEAR(Finance!$BG$1),MONTH(Finance!$BG$1),1)+INT((DAY(Finance!$BG$1)-1)/2)+Finance!BH$4,0)=EOMONTH($AR$1,0),Finance!BH$3,0)+IF(EOMONTH(DATE(YEAR(Finance!$BD$1),MONTH(Finance!$BD$1),1)+INT((DAY(Finance!$BD$1)-1)/2)+Finance!BE$4,0)=EOMONTH($AR$1,0),Finance!BE$3,0)+IF(EOMONTH(DATE(YEAR(Finance!$BA$1),MONTH(Finance!$BA$1),1)+INT((DAY(Finance!$BA$1)-1)/2)+Finance!BB$4,0)=EOMONTH($AR$1,0),Finance!BB$3,0)+IF(EOMONTH(DATE(YEAR(Finance!$AX$1),MONTH(Finance!$AX$1),1)+INT((DAY(Finance!$AX$1)-1)/2)+Finance!AY$4,0)=EOMONTH($AR$1,0),Finance!AY$3,0)+IF(EOMONTH(DATE(YEAR(Finance!$AU$1),MONTH(Finance!$AU$1),1)+INT((DAY(Finance!$AU$1)-1)/2)+Finance!AV$4,0)=EOMONTH($AR$1,0),Finance!AV$3,0)+IF(EOMONTH(DATE(YEAR(Finance!$AR$1),MONTH(Finance!$AR$1),1)+INT((DAY(Finance!$AR$1)-1)/2)+Finance!AS$4,0)=EOMONTH($AR$1,0),Finance!AS$3,0)+IF(EOMONTH(DATE(YEAR(Finance!$AO$1),MONTH(Finance!$AO$1),1)+INT((DAY(Finance!$AO$1)-1)/2)+Finance!AP$4,0)=EOMONTH($AR$1,0),Finance!AP$3,0)+IF(EOMONTH(DATE(YEAR(Finance!$AL$1),MONTH(Finance!$AL$1),1)+INT((DAY(Finance!$AL$1)-1)/2)+Finance!AM$4,0)=EOMONTH($AR$1,0),Finance!AM$3,0)+IF(EOMONTH(DATE(YEAR(Finance!$AI$1),MONTH(Finance!$AI$1),1)+INT((DAY(Finance!$AI$1)-1)/2)+Finance!AJ$4,0)=EOMONTH($AR$1,0),Finance!AJ$3,0)+IF(EOMONTH(DATE(YEAR(Finance!$AF$1),MONTH(Finance!$AF$1),1)+INT((DAY(Finance!$AF$1)-1)/2)+Finance!AG$4,0)=EOMONTH($AR$1,0),Finance!AG$3,0)+IF(EOMONTH(DATE(YEAR(Finance!$AC$1),MONTH(Finance!$AC$1),1)+INT((DAY(Finance!$AC$1)-1)/2)+Finance!AD$4,0)=EOMONTH($AR$1,0),Finance!AD$3,0)+IF(EOMONTH(DATE(YEAR(Finance!$Z$1),MONTH(Finance!$Z$1),1)+INT((DAY(Finance!$Z$1)-1)/2)+Finance!AA$4,0)=EOMONTH($AR$1,0),Finance!AA$3,0)+IF(EOMONTH(DATE(YEAR(Finance!$W$1),MONTH(Finance!$W$1),1)+INT((DAY(Finance!$W$1)-1)/2)+Finance!X$4,0)=EOMONTH($AR$1,0),Finance!X$3,0)+IF(EOMONTH(DATE(YEAR(Finance!$T$1),MONTH(Finance!$T$1),1)+INT((DAY(Finance!$T$1)-1)/2)+Finance!U$4,0)=EOMONTH($AR$1,0),Finance!U$3,0)+IF(EOMONTH(DATE(YEAR(Finance!$Q$1),MONTH(Finance!$Q$1),1)+INT((DAY(Finance!$Q$1)-1)/2)+Finance!R$4,0)=EOMONTH($AR$1,0),Finance!R$3,0)+IF(EOMONTH(DATE(YEAR(Finance!$N$1),MONTH(Finance!$N$1),1)+INT((DAY(Finance!$N$1)-1)/2)+Finance!O$4,0)=EOMONTH($AR$1,0),Finance!O$3,0)+IF(EOMONTH(DATE(YEAR(Finance!$K$1),MONTH(Finance!$K$1),1)+INT((DAY(Finance!$K$1)-1)/2)+Finance!L$4,0)=EOMONTH($AR$1,0),Finance!L$3,0)+IF(EOMONTH('Cash Drivers'!$DL$30+Finance!DM$4,0)=EOMONTH($AR$1,0),'Cash Drivers'!$DL$35,0),0))</f>
        <v>1789166</v>
      </c>
      <c r="AT5" s="12" t="n">
        <f aca="false">ROUND(IF(EOMONTH(DATE(YEAR(Finance!$DL$1),MONTH(Finance!$DL$1),1)+INT((DAY(Finance!$DL$1)-1)/2)+Finance!DN$4,0)=EOMONTH($AR$1,0),Finance!DN$3,0)+IF(EOMONTH(DATE(YEAR(Finance!$DI$1),MONTH(Finance!$DI$1),1)+INT((DAY(Finance!$DI$1)-1)/2)+Finance!DK$4,0)=EOMONTH($AR$1,0),Finance!DK$3,0)+IF(EOMONTH(DATE(YEAR(Finance!$DF$1),MONTH(Finance!$DF$1),1)+INT((DAY(Finance!$DF$1)-1)/2)+Finance!DH$4,0)=EOMONTH($AR$1,0),Finance!DH$3,0)+IF(EOMONTH(DATE(YEAR(Finance!$DC$1),MONTH(Finance!$DC$1),1)+INT((DAY(Finance!$DC$1)-1)/2)+Finance!DE$4,0)=EOMONTH($AR$1,0),Finance!DE$3,0)+IF(EOMONTH(DATE(YEAR(Finance!$CZ$1),MONTH(Finance!$CZ$1),1)+INT((DAY(Finance!$CZ$1)-1)/2)+Finance!DB$4,0)=EOMONTH($AR$1,0),Finance!DB$3,0)+IF(EOMONTH(DATE(YEAR(Finance!$CW$1),MONTH(Finance!$CW$1),1)+INT((DAY(Finance!$CW$1)-1)/2)+Finance!CY$4,0)=EOMONTH($AR$1,0),Finance!CY$3,0)+IF(EOMONTH(DATE(YEAR(Finance!$CT$1),MONTH(Finance!$CT$1),1)+INT((DAY(Finance!$CT$1)-1)/2)+Finance!CV$4,0)=EOMONTH($AR$1,0),Finance!CV$3,0)+IF(EOMONTH(DATE(YEAR(Finance!$CQ$1),MONTH(Finance!$CQ$1),1)+INT((DAY(Finance!$CQ$1)-1)/2)+Finance!CS$4,0)=EOMONTH($AR$1,0),Finance!CS$3,0)+IF(EOMONTH(DATE(YEAR(Finance!$CN$1),MONTH(Finance!$CN$1),1)+INT((DAY(Finance!$CN$1)-1)/2)+Finance!CP$4,0)=EOMONTH($AR$1,0),Finance!CP$3,0)+IF(EOMONTH(DATE(YEAR(Finance!$CK$1),MONTH(Finance!$CK$1),1)+INT((DAY(Finance!$CK$1)-1)/2)+Finance!CM$4,0)=EOMONTH($AR$1,0),Finance!CM$3,0)+IF(EOMONTH(DATE(YEAR(Finance!$CH$1),MONTH(Finance!$CH$1),1)+INT((DAY(Finance!$CH$1)-1)/2)+Finance!CJ$4,0)=EOMONTH($AR$1,0),Finance!CJ$3,0)+IF(EOMONTH(DATE(YEAR(Finance!$CE$1),MONTH(Finance!$CE$1),1)+INT((DAY(Finance!$CE$1)-1)/2)+Finance!CG$4,0)=EOMONTH($AR$1,0),Finance!CG$3,0)+IF(EOMONTH(DATE(YEAR(Finance!$CB$1),MONTH(Finance!$CB$1),1)+INT((DAY(Finance!$CB$1)-1)/2)+Finance!CD$4,0)=EOMONTH($AR$1,0),Finance!CD$3,0)+IF(EOMONTH(DATE(YEAR(Finance!$BY$1),MONTH(Finance!$BY$1),1)+INT((DAY(Finance!$BY$1)-1)/2)+Finance!CA$4,0)=EOMONTH($AR$1,0),Finance!CA$3,0)+IF(EOMONTH(DATE(YEAR(Finance!$BV$1),MONTH(Finance!$BV$1),1)+INT((DAY(Finance!$BV$1)-1)/2)+Finance!BX$4,0)=EOMONTH($AR$1,0),Finance!BX$3,0)+IF(EOMONTH(DATE(YEAR(Finance!$BS$1),MONTH(Finance!$BS$1),1)+INT((DAY(Finance!$BS$1)-1)/2)+Finance!BU$4,0)=EOMONTH($AR$1,0),Finance!BU$3,0)+IF(EOMONTH(DATE(YEAR(Finance!$BP$1),MONTH(Finance!$BP$1),1)+INT((DAY(Finance!$BP$1)-1)/2)+Finance!BR$4,0)=EOMONTH($AR$1,0),Finance!BR$3,0)+IF(EOMONTH(DATE(YEAR(Finance!$BM$1),MONTH(Finance!$BM$1),1)+INT((DAY(Finance!$BM$1)-1)/2)+Finance!BO$4,0)=EOMONTH($AR$1,0),Finance!BO$3,0)+IF(EOMONTH(DATE(YEAR(Finance!$BJ$1),MONTH(Finance!$BJ$1),1)+INT((DAY(Finance!$BJ$1)-1)/2)+Finance!BL$4,0)=EOMONTH($AR$1,0),Finance!BL$3,0)+IF(EOMONTH(DATE(YEAR(Finance!$BG$1),MONTH(Finance!$BG$1),1)+INT((DAY(Finance!$BG$1)-1)/2)+Finance!BI$4,0)=EOMONTH($AR$1,0),Finance!BI$3,0)+IF(EOMONTH(DATE(YEAR(Finance!$BD$1),MONTH(Finance!$BD$1),1)+INT((DAY(Finance!$BD$1)-1)/2)+Finance!BF$4,0)=EOMONTH($AR$1,0),Finance!BF$3,0)+IF(EOMONTH(DATE(YEAR(Finance!$BA$1),MONTH(Finance!$BA$1),1)+INT((DAY(Finance!$BA$1)-1)/2)+Finance!BC$4,0)=EOMONTH($AR$1,0),Finance!BC$3,0)+IF(EOMONTH(DATE(YEAR(Finance!$AX$1),MONTH(Finance!$AX$1),1)+INT((DAY(Finance!$AX$1)-1)/2)+Finance!AZ$4,0)=EOMONTH($AR$1,0),Finance!AZ$3,0)+IF(EOMONTH(DATE(YEAR(Finance!$AU$1),MONTH(Finance!$AU$1),1)+INT((DAY(Finance!$AU$1)-1)/2)+Finance!AW$4,0)=EOMONTH($AR$1,0),Finance!AW$3,0)+IF(EOMONTH(DATE(YEAR(Finance!$AR$1),MONTH(Finance!$AR$1),1)+INT((DAY(Finance!$AR$1)-1)/2)+Finance!AT$4,0)=EOMONTH($AR$1,0),Finance!AT$3,0)+IF(EOMONTH(DATE(YEAR(Finance!$AO$1),MONTH(Finance!$AO$1),1)+INT((DAY(Finance!$AO$1)-1)/2)+Finance!AQ$4,0)=EOMONTH($AR$1,0),Finance!AQ$3,0)+IF(EOMONTH(DATE(YEAR(Finance!$AL$1),MONTH(Finance!$AL$1),1)+INT((DAY(Finance!$AL$1)-1)/2)+Finance!AN$4,0)=EOMONTH($AR$1,0),Finance!AN$3,0)+IF(EOMONTH(DATE(YEAR(Finance!$AI$1),MONTH(Finance!$AI$1),1)+INT((DAY(Finance!$AI$1)-1)/2)+Finance!AK$4,0)=EOMONTH($AR$1,0),Finance!AK$3,0)+IF(EOMONTH(DATE(YEAR(Finance!$AF$1),MONTH(Finance!$AF$1),1)+INT((DAY(Finance!$AF$1)-1)/2)+Finance!AH$4,0)=EOMONTH($AR$1,0),Finance!AH$3,0)+IF(EOMONTH(DATE(YEAR(Finance!$AC$1),MONTH(Finance!$AC$1),1)+INT((DAY(Finance!$AC$1)-1)/2)+Finance!AE$4,0)=EOMONTH($AR$1,0),Finance!AE$3,0)+IF(EOMONTH(DATE(YEAR(Finance!$Z$1),MONTH(Finance!$Z$1),1)+INT((DAY(Finance!$Z$1)-1)/2)+Finance!AB$4,0)=EOMONTH($AR$1,0),Finance!AB$3,0)+IF(EOMONTH(DATE(YEAR(Finance!$W$1),MONTH(Finance!$W$1),1)+INT((DAY(Finance!$W$1)-1)/2)+Finance!Y$4,0)=EOMONTH($AR$1,0),Finance!Y$3,0)+IF(EOMONTH(DATE(YEAR(Finance!$T$1),MONTH(Finance!$T$1),1)+INT((DAY(Finance!$T$1)-1)/2)+Finance!V$4,0)=EOMONTH($AR$1,0),Finance!V$3,0)+IF(EOMONTH(DATE(YEAR(Finance!$Q$1),MONTH(Finance!$Q$1),1)+INT((DAY(Finance!$Q$1)-1)/2)+Finance!S$4,0)=EOMONTH($AR$1,0),Finance!S$3,0)+IF(EOMONTH(DATE(YEAR(Finance!$N$1),MONTH(Finance!$N$1),1)+INT((DAY(Finance!$N$1)-1)/2)+Finance!P$4,0)=EOMONTH($AR$1,0),Finance!P$3,0)+IF(EOMONTH(DATE(YEAR(Finance!$K$1),MONTH(Finance!$K$1),1)+INT((DAY(Finance!$K$1)-1)/2)+Finance!M$4,0)=EOMONTH($AR$1,0),Finance!M$3,0)+IF(EOMONTH('Cash Drivers'!$DL$30+Finance!DN$4,0)=EOMONTH($AR$1,0),'Cash Drivers'!$DL$35,0),0)</f>
        <v>1762752</v>
      </c>
      <c r="AU5" s="13"/>
      <c r="AV5" s="13" t="n">
        <f aca="false">IF('Cash Drivers'!AV$26,AU5,ROUND(IF(EOMONTH(DATE(YEAR(Finance!$DL$1),MONTH(Finance!$DL$1),1)+INT((DAY(Finance!$DL$1)-1)/2)+Finance!DM$4,0)=EOMONTH($AU$1,0),Finance!DM$3,0)+IF(EOMONTH(DATE(YEAR(Finance!$DI$1),MONTH(Finance!$DI$1),1)+INT((DAY(Finance!$DI$1)-1)/2)+Finance!DJ$4,0)=EOMONTH($AU$1,0),Finance!DJ$3,0)+IF(EOMONTH(DATE(YEAR(Finance!$DF$1),MONTH(Finance!$DF$1),1)+INT((DAY(Finance!$DF$1)-1)/2)+Finance!DG$4,0)=EOMONTH($AU$1,0),Finance!DG$3,0)+IF(EOMONTH(DATE(YEAR(Finance!$DC$1),MONTH(Finance!$DC$1),1)+INT((DAY(Finance!$DC$1)-1)/2)+Finance!DD$4,0)=EOMONTH($AU$1,0),Finance!DD$3,0)+IF(EOMONTH(DATE(YEAR(Finance!$CZ$1),MONTH(Finance!$CZ$1),1)+INT((DAY(Finance!$CZ$1)-1)/2)+Finance!DA$4,0)=EOMONTH($AU$1,0),Finance!DA$3,0)+IF(EOMONTH(DATE(YEAR(Finance!$CW$1),MONTH(Finance!$CW$1),1)+INT((DAY(Finance!$CW$1)-1)/2)+Finance!CX$4,0)=EOMONTH($AU$1,0),Finance!CX$3,0)+IF(EOMONTH(DATE(YEAR(Finance!$CT$1),MONTH(Finance!$CT$1),1)+INT((DAY(Finance!$CT$1)-1)/2)+Finance!CU$4,0)=EOMONTH($AU$1,0),Finance!CU$3,0)+IF(EOMONTH(DATE(YEAR(Finance!$CQ$1),MONTH(Finance!$CQ$1),1)+INT((DAY(Finance!$CQ$1)-1)/2)+Finance!CR$4,0)=EOMONTH($AU$1,0),Finance!CR$3,0)+IF(EOMONTH(DATE(YEAR(Finance!$CN$1),MONTH(Finance!$CN$1),1)+INT((DAY(Finance!$CN$1)-1)/2)+Finance!CO$4,0)=EOMONTH($AU$1,0),Finance!CO$3,0)+IF(EOMONTH(DATE(YEAR(Finance!$CK$1),MONTH(Finance!$CK$1),1)+INT((DAY(Finance!$CK$1)-1)/2)+Finance!CL$4,0)=EOMONTH($AU$1,0),Finance!CL$3,0)+IF(EOMONTH(DATE(YEAR(Finance!$CH$1),MONTH(Finance!$CH$1),1)+INT((DAY(Finance!$CH$1)-1)/2)+Finance!CI$4,0)=EOMONTH($AU$1,0),Finance!CI$3,0)+IF(EOMONTH(DATE(YEAR(Finance!$CE$1),MONTH(Finance!$CE$1),1)+INT((DAY(Finance!$CE$1)-1)/2)+Finance!CF$4,0)=EOMONTH($AU$1,0),Finance!CF$3,0)+IF(EOMONTH(DATE(YEAR(Finance!$CB$1),MONTH(Finance!$CB$1),1)+INT((DAY(Finance!$CB$1)-1)/2)+Finance!CC$4,0)=EOMONTH($AU$1,0),Finance!CC$3,0)+IF(EOMONTH(DATE(YEAR(Finance!$BY$1),MONTH(Finance!$BY$1),1)+INT((DAY(Finance!$BY$1)-1)/2)+Finance!BZ$4,0)=EOMONTH($AU$1,0),Finance!BZ$3,0)+IF(EOMONTH(DATE(YEAR(Finance!$BV$1),MONTH(Finance!$BV$1),1)+INT((DAY(Finance!$BV$1)-1)/2)+Finance!BW$4,0)=EOMONTH($AU$1,0),Finance!BW$3,0)+IF(EOMONTH(DATE(YEAR(Finance!$BS$1),MONTH(Finance!$BS$1),1)+INT((DAY(Finance!$BS$1)-1)/2)+Finance!BT$4,0)=EOMONTH($AU$1,0),Finance!BT$3,0)+IF(EOMONTH(DATE(YEAR(Finance!$BP$1),MONTH(Finance!$BP$1),1)+INT((DAY(Finance!$BP$1)-1)/2)+Finance!BQ$4,0)=EOMONTH($AU$1,0),Finance!BQ$3,0)+IF(EOMONTH(DATE(YEAR(Finance!$BM$1),MONTH(Finance!$BM$1),1)+INT((DAY(Finance!$BM$1)-1)/2)+Finance!BN$4,0)=EOMONTH($AU$1,0),Finance!BN$3,0)+IF(EOMONTH(DATE(YEAR(Finance!$BJ$1),MONTH(Finance!$BJ$1),1)+INT((DAY(Finance!$BJ$1)-1)/2)+Finance!BK$4,0)=EOMONTH($AU$1,0),Finance!BK$3,0)+IF(EOMONTH(DATE(YEAR(Finance!$BG$1),MONTH(Finance!$BG$1),1)+INT((DAY(Finance!$BG$1)-1)/2)+Finance!BH$4,0)=EOMONTH($AU$1,0),Finance!BH$3,0)+IF(EOMONTH(DATE(YEAR(Finance!$BD$1),MONTH(Finance!$BD$1),1)+INT((DAY(Finance!$BD$1)-1)/2)+Finance!BE$4,0)=EOMONTH($AU$1,0),Finance!BE$3,0)+IF(EOMONTH(DATE(YEAR(Finance!$BA$1),MONTH(Finance!$BA$1),1)+INT((DAY(Finance!$BA$1)-1)/2)+Finance!BB$4,0)=EOMONTH($AU$1,0),Finance!BB$3,0)+IF(EOMONTH(DATE(YEAR(Finance!$AX$1),MONTH(Finance!$AX$1),1)+INT((DAY(Finance!$AX$1)-1)/2)+Finance!AY$4,0)=EOMONTH($AU$1,0),Finance!AY$3,0)+IF(EOMONTH(DATE(YEAR(Finance!$AU$1),MONTH(Finance!$AU$1),1)+INT((DAY(Finance!$AU$1)-1)/2)+Finance!AV$4,0)=EOMONTH($AU$1,0),Finance!AV$3,0)+IF(EOMONTH(DATE(YEAR(Finance!$AR$1),MONTH(Finance!$AR$1),1)+INT((DAY(Finance!$AR$1)-1)/2)+Finance!AS$4,0)=EOMONTH($AU$1,0),Finance!AS$3,0)+IF(EOMONTH(DATE(YEAR(Finance!$AO$1),MONTH(Finance!$AO$1),1)+INT((DAY(Finance!$AO$1)-1)/2)+Finance!AP$4,0)=EOMONTH($AU$1,0),Finance!AP$3,0)+IF(EOMONTH(DATE(YEAR(Finance!$AL$1),MONTH(Finance!$AL$1),1)+INT((DAY(Finance!$AL$1)-1)/2)+Finance!AM$4,0)=EOMONTH($AU$1,0),Finance!AM$3,0)+IF(EOMONTH(DATE(YEAR(Finance!$AI$1),MONTH(Finance!$AI$1),1)+INT((DAY(Finance!$AI$1)-1)/2)+Finance!AJ$4,0)=EOMONTH($AU$1,0),Finance!AJ$3,0)+IF(EOMONTH(DATE(YEAR(Finance!$AF$1),MONTH(Finance!$AF$1),1)+INT((DAY(Finance!$AF$1)-1)/2)+Finance!AG$4,0)=EOMONTH($AU$1,0),Finance!AG$3,0)+IF(EOMONTH(DATE(YEAR(Finance!$AC$1),MONTH(Finance!$AC$1),1)+INT((DAY(Finance!$AC$1)-1)/2)+Finance!AD$4,0)=EOMONTH($AU$1,0),Finance!AD$3,0)+IF(EOMONTH(DATE(YEAR(Finance!$Z$1),MONTH(Finance!$Z$1),1)+INT((DAY(Finance!$Z$1)-1)/2)+Finance!AA$4,0)=EOMONTH($AU$1,0),Finance!AA$3,0)+IF(EOMONTH(DATE(YEAR(Finance!$W$1),MONTH(Finance!$W$1),1)+INT((DAY(Finance!$W$1)-1)/2)+Finance!X$4,0)=EOMONTH($AU$1,0),Finance!X$3,0)+IF(EOMONTH(DATE(YEAR(Finance!$T$1),MONTH(Finance!$T$1),1)+INT((DAY(Finance!$T$1)-1)/2)+Finance!U$4,0)=EOMONTH($AU$1,0),Finance!U$3,0)+IF(EOMONTH(DATE(YEAR(Finance!$Q$1),MONTH(Finance!$Q$1),1)+INT((DAY(Finance!$Q$1)-1)/2)+Finance!R$4,0)=EOMONTH($AU$1,0),Finance!R$3,0)+IF(EOMONTH(DATE(YEAR(Finance!$N$1),MONTH(Finance!$N$1),1)+INT((DAY(Finance!$N$1)-1)/2)+Finance!O$4,0)=EOMONTH($AU$1,0),Finance!O$3,0)+IF(EOMONTH(DATE(YEAR(Finance!$K$1),MONTH(Finance!$K$1),1)+INT((DAY(Finance!$K$1)-1)/2)+Finance!L$4,0)=EOMONTH($AU$1,0),Finance!L$3,0)+IF(EOMONTH('Cash Drivers'!$DL$30+Finance!DM$4,0)=EOMONTH($AU$1,0),'Cash Drivers'!$DL$35,0),0))</f>
        <v>1748220</v>
      </c>
      <c r="AW5" s="13" t="n">
        <f aca="false">ROUND(IF(EOMONTH(DATE(YEAR(Finance!$DL$1),MONTH(Finance!$DL$1),1)+INT((DAY(Finance!$DL$1)-1)/2)+Finance!DN$4,0)=EOMONTH($AU$1,0),Finance!DN$3,0)+IF(EOMONTH(DATE(YEAR(Finance!$DI$1),MONTH(Finance!$DI$1),1)+INT((DAY(Finance!$DI$1)-1)/2)+Finance!DK$4,0)=EOMONTH($AU$1,0),Finance!DK$3,0)+IF(EOMONTH(DATE(YEAR(Finance!$DF$1),MONTH(Finance!$DF$1),1)+INT((DAY(Finance!$DF$1)-1)/2)+Finance!DH$4,0)=EOMONTH($AU$1,0),Finance!DH$3,0)+IF(EOMONTH(DATE(YEAR(Finance!$DC$1),MONTH(Finance!$DC$1),1)+INT((DAY(Finance!$DC$1)-1)/2)+Finance!DE$4,0)=EOMONTH($AU$1,0),Finance!DE$3,0)+IF(EOMONTH(DATE(YEAR(Finance!$CZ$1),MONTH(Finance!$CZ$1),1)+INT((DAY(Finance!$CZ$1)-1)/2)+Finance!DB$4,0)=EOMONTH($AU$1,0),Finance!DB$3,0)+IF(EOMONTH(DATE(YEAR(Finance!$CW$1),MONTH(Finance!$CW$1),1)+INT((DAY(Finance!$CW$1)-1)/2)+Finance!CY$4,0)=EOMONTH($AU$1,0),Finance!CY$3,0)+IF(EOMONTH(DATE(YEAR(Finance!$CT$1),MONTH(Finance!$CT$1),1)+INT((DAY(Finance!$CT$1)-1)/2)+Finance!CV$4,0)=EOMONTH($AU$1,0),Finance!CV$3,0)+IF(EOMONTH(DATE(YEAR(Finance!$CQ$1),MONTH(Finance!$CQ$1),1)+INT((DAY(Finance!$CQ$1)-1)/2)+Finance!CS$4,0)=EOMONTH($AU$1,0),Finance!CS$3,0)+IF(EOMONTH(DATE(YEAR(Finance!$CN$1),MONTH(Finance!$CN$1),1)+INT((DAY(Finance!$CN$1)-1)/2)+Finance!CP$4,0)=EOMONTH($AU$1,0),Finance!CP$3,0)+IF(EOMONTH(DATE(YEAR(Finance!$CK$1),MONTH(Finance!$CK$1),1)+INT((DAY(Finance!$CK$1)-1)/2)+Finance!CM$4,0)=EOMONTH($AU$1,0),Finance!CM$3,0)+IF(EOMONTH(DATE(YEAR(Finance!$CH$1),MONTH(Finance!$CH$1),1)+INT((DAY(Finance!$CH$1)-1)/2)+Finance!CJ$4,0)=EOMONTH($AU$1,0),Finance!CJ$3,0)+IF(EOMONTH(DATE(YEAR(Finance!$CE$1),MONTH(Finance!$CE$1),1)+INT((DAY(Finance!$CE$1)-1)/2)+Finance!CG$4,0)=EOMONTH($AU$1,0),Finance!CG$3,0)+IF(EOMONTH(DATE(YEAR(Finance!$CB$1),MONTH(Finance!$CB$1),1)+INT((DAY(Finance!$CB$1)-1)/2)+Finance!CD$4,0)=EOMONTH($AU$1,0),Finance!CD$3,0)+IF(EOMONTH(DATE(YEAR(Finance!$BY$1),MONTH(Finance!$BY$1),1)+INT((DAY(Finance!$BY$1)-1)/2)+Finance!CA$4,0)=EOMONTH($AU$1,0),Finance!CA$3,0)+IF(EOMONTH(DATE(YEAR(Finance!$BV$1),MONTH(Finance!$BV$1),1)+INT((DAY(Finance!$BV$1)-1)/2)+Finance!BX$4,0)=EOMONTH($AU$1,0),Finance!BX$3,0)+IF(EOMONTH(DATE(YEAR(Finance!$BS$1),MONTH(Finance!$BS$1),1)+INT((DAY(Finance!$BS$1)-1)/2)+Finance!BU$4,0)=EOMONTH($AU$1,0),Finance!BU$3,0)+IF(EOMONTH(DATE(YEAR(Finance!$BP$1),MONTH(Finance!$BP$1),1)+INT((DAY(Finance!$BP$1)-1)/2)+Finance!BR$4,0)=EOMONTH($AU$1,0),Finance!BR$3,0)+IF(EOMONTH(DATE(YEAR(Finance!$BM$1),MONTH(Finance!$BM$1),1)+INT((DAY(Finance!$BM$1)-1)/2)+Finance!BO$4,0)=EOMONTH($AU$1,0),Finance!BO$3,0)+IF(EOMONTH(DATE(YEAR(Finance!$BJ$1),MONTH(Finance!$BJ$1),1)+INT((DAY(Finance!$BJ$1)-1)/2)+Finance!BL$4,0)=EOMONTH($AU$1,0),Finance!BL$3,0)+IF(EOMONTH(DATE(YEAR(Finance!$BG$1),MONTH(Finance!$BG$1),1)+INT((DAY(Finance!$BG$1)-1)/2)+Finance!BI$4,0)=EOMONTH($AU$1,0),Finance!BI$3,0)+IF(EOMONTH(DATE(YEAR(Finance!$BD$1),MONTH(Finance!$BD$1),1)+INT((DAY(Finance!$BD$1)-1)/2)+Finance!BF$4,0)=EOMONTH($AU$1,0),Finance!BF$3,0)+IF(EOMONTH(DATE(YEAR(Finance!$BA$1),MONTH(Finance!$BA$1),1)+INT((DAY(Finance!$BA$1)-1)/2)+Finance!BC$4,0)=EOMONTH($AU$1,0),Finance!BC$3,0)+IF(EOMONTH(DATE(YEAR(Finance!$AX$1),MONTH(Finance!$AX$1),1)+INT((DAY(Finance!$AX$1)-1)/2)+Finance!AZ$4,0)=EOMONTH($AU$1,0),Finance!AZ$3,0)+IF(EOMONTH(DATE(YEAR(Finance!$AU$1),MONTH(Finance!$AU$1),1)+INT((DAY(Finance!$AU$1)-1)/2)+Finance!AW$4,0)=EOMONTH($AU$1,0),Finance!AW$3,0)+IF(EOMONTH(DATE(YEAR(Finance!$AR$1),MONTH(Finance!$AR$1),1)+INT((DAY(Finance!$AR$1)-1)/2)+Finance!AT$4,0)=EOMONTH($AU$1,0),Finance!AT$3,0)+IF(EOMONTH(DATE(YEAR(Finance!$AO$1),MONTH(Finance!$AO$1),1)+INT((DAY(Finance!$AO$1)-1)/2)+Finance!AQ$4,0)=EOMONTH($AU$1,0),Finance!AQ$3,0)+IF(EOMONTH(DATE(YEAR(Finance!$AL$1),MONTH(Finance!$AL$1),1)+INT((DAY(Finance!$AL$1)-1)/2)+Finance!AN$4,0)=EOMONTH($AU$1,0),Finance!AN$3,0)+IF(EOMONTH(DATE(YEAR(Finance!$AI$1),MONTH(Finance!$AI$1),1)+INT((DAY(Finance!$AI$1)-1)/2)+Finance!AK$4,0)=EOMONTH($AU$1,0),Finance!AK$3,0)+IF(EOMONTH(DATE(YEAR(Finance!$AF$1),MONTH(Finance!$AF$1),1)+INT((DAY(Finance!$AF$1)-1)/2)+Finance!AH$4,0)=EOMONTH($AU$1,0),Finance!AH$3,0)+IF(EOMONTH(DATE(YEAR(Finance!$AC$1),MONTH(Finance!$AC$1),1)+INT((DAY(Finance!$AC$1)-1)/2)+Finance!AE$4,0)=EOMONTH($AU$1,0),Finance!AE$3,0)+IF(EOMONTH(DATE(YEAR(Finance!$Z$1),MONTH(Finance!$Z$1),1)+INT((DAY(Finance!$Z$1)-1)/2)+Finance!AB$4,0)=EOMONTH($AU$1,0),Finance!AB$3,0)+IF(EOMONTH(DATE(YEAR(Finance!$W$1),MONTH(Finance!$W$1),1)+INT((DAY(Finance!$W$1)-1)/2)+Finance!Y$4,0)=EOMONTH($AU$1,0),Finance!Y$3,0)+IF(EOMONTH(DATE(YEAR(Finance!$T$1),MONTH(Finance!$T$1),1)+INT((DAY(Finance!$T$1)-1)/2)+Finance!V$4,0)=EOMONTH($AU$1,0),Finance!V$3,0)+IF(EOMONTH(DATE(YEAR(Finance!$Q$1),MONTH(Finance!$Q$1),1)+INT((DAY(Finance!$Q$1)-1)/2)+Finance!S$4,0)=EOMONTH($AU$1,0),Finance!S$3,0)+IF(EOMONTH(DATE(YEAR(Finance!$N$1),MONTH(Finance!$N$1),1)+INT((DAY(Finance!$N$1)-1)/2)+Finance!P$4,0)=EOMONTH($AU$1,0),Finance!P$3,0)+IF(EOMONTH(DATE(YEAR(Finance!$K$1),MONTH(Finance!$K$1),1)+INT((DAY(Finance!$K$1)-1)/2)+Finance!M$4,0)=EOMONTH($AU$1,0),Finance!M$3,0)+IF(EOMONTH('Cash Drivers'!$DL$30+Finance!DN$4,0)=EOMONTH($AU$1,0),'Cash Drivers'!$DL$35,0),0)</f>
        <v>1721739</v>
      </c>
      <c r="AX5" s="12"/>
      <c r="AY5" s="12" t="n">
        <f aca="false">IF('Cash Drivers'!AY$26,AX5,ROUND(IF(EOMONTH(DATE(YEAR(Finance!$DL$1),MONTH(Finance!$DL$1),1)+INT((DAY(Finance!$DL$1)-1)/2)+Finance!DM$4,0)=EOMONTH($AX$1,0),Finance!DM$3,0)+IF(EOMONTH(DATE(YEAR(Finance!$DI$1),MONTH(Finance!$DI$1),1)+INT((DAY(Finance!$DI$1)-1)/2)+Finance!DJ$4,0)=EOMONTH($AX$1,0),Finance!DJ$3,0)+IF(EOMONTH(DATE(YEAR(Finance!$DF$1),MONTH(Finance!$DF$1),1)+INT((DAY(Finance!$DF$1)-1)/2)+Finance!DG$4,0)=EOMONTH($AX$1,0),Finance!DG$3,0)+IF(EOMONTH(DATE(YEAR(Finance!$DC$1),MONTH(Finance!$DC$1),1)+INT((DAY(Finance!$DC$1)-1)/2)+Finance!DD$4,0)=EOMONTH($AX$1,0),Finance!DD$3,0)+IF(EOMONTH(DATE(YEAR(Finance!$CZ$1),MONTH(Finance!$CZ$1),1)+INT((DAY(Finance!$CZ$1)-1)/2)+Finance!DA$4,0)=EOMONTH($AX$1,0),Finance!DA$3,0)+IF(EOMONTH(DATE(YEAR(Finance!$CW$1),MONTH(Finance!$CW$1),1)+INT((DAY(Finance!$CW$1)-1)/2)+Finance!CX$4,0)=EOMONTH($AX$1,0),Finance!CX$3,0)+IF(EOMONTH(DATE(YEAR(Finance!$CT$1),MONTH(Finance!$CT$1),1)+INT((DAY(Finance!$CT$1)-1)/2)+Finance!CU$4,0)=EOMONTH($AX$1,0),Finance!CU$3,0)+IF(EOMONTH(DATE(YEAR(Finance!$CQ$1),MONTH(Finance!$CQ$1),1)+INT((DAY(Finance!$CQ$1)-1)/2)+Finance!CR$4,0)=EOMONTH($AX$1,0),Finance!CR$3,0)+IF(EOMONTH(DATE(YEAR(Finance!$CN$1),MONTH(Finance!$CN$1),1)+INT((DAY(Finance!$CN$1)-1)/2)+Finance!CO$4,0)=EOMONTH($AX$1,0),Finance!CO$3,0)+IF(EOMONTH(DATE(YEAR(Finance!$CK$1),MONTH(Finance!$CK$1),1)+INT((DAY(Finance!$CK$1)-1)/2)+Finance!CL$4,0)=EOMONTH($AX$1,0),Finance!CL$3,0)+IF(EOMONTH(DATE(YEAR(Finance!$CH$1),MONTH(Finance!$CH$1),1)+INT((DAY(Finance!$CH$1)-1)/2)+Finance!CI$4,0)=EOMONTH($AX$1,0),Finance!CI$3,0)+IF(EOMONTH(DATE(YEAR(Finance!$CE$1),MONTH(Finance!$CE$1),1)+INT((DAY(Finance!$CE$1)-1)/2)+Finance!CF$4,0)=EOMONTH($AX$1,0),Finance!CF$3,0)+IF(EOMONTH(DATE(YEAR(Finance!$CB$1),MONTH(Finance!$CB$1),1)+INT((DAY(Finance!$CB$1)-1)/2)+Finance!CC$4,0)=EOMONTH($AX$1,0),Finance!CC$3,0)+IF(EOMONTH(DATE(YEAR(Finance!$BY$1),MONTH(Finance!$BY$1),1)+INT((DAY(Finance!$BY$1)-1)/2)+Finance!BZ$4,0)=EOMONTH($AX$1,0),Finance!BZ$3,0)+IF(EOMONTH(DATE(YEAR(Finance!$BV$1),MONTH(Finance!$BV$1),1)+INT((DAY(Finance!$BV$1)-1)/2)+Finance!BW$4,0)=EOMONTH($AX$1,0),Finance!BW$3,0)+IF(EOMONTH(DATE(YEAR(Finance!$BS$1),MONTH(Finance!$BS$1),1)+INT((DAY(Finance!$BS$1)-1)/2)+Finance!BT$4,0)=EOMONTH($AX$1,0),Finance!BT$3,0)+IF(EOMONTH(DATE(YEAR(Finance!$BP$1),MONTH(Finance!$BP$1),1)+INT((DAY(Finance!$BP$1)-1)/2)+Finance!BQ$4,0)=EOMONTH($AX$1,0),Finance!BQ$3,0)+IF(EOMONTH(DATE(YEAR(Finance!$BM$1),MONTH(Finance!$BM$1),1)+INT((DAY(Finance!$BM$1)-1)/2)+Finance!BN$4,0)=EOMONTH($AX$1,0),Finance!BN$3,0)+IF(EOMONTH(DATE(YEAR(Finance!$BJ$1),MONTH(Finance!$BJ$1),1)+INT((DAY(Finance!$BJ$1)-1)/2)+Finance!BK$4,0)=EOMONTH($AX$1,0),Finance!BK$3,0)+IF(EOMONTH(DATE(YEAR(Finance!$BG$1),MONTH(Finance!$BG$1),1)+INT((DAY(Finance!$BG$1)-1)/2)+Finance!BH$4,0)=EOMONTH($AX$1,0),Finance!BH$3,0)+IF(EOMONTH(DATE(YEAR(Finance!$BD$1),MONTH(Finance!$BD$1),1)+INT((DAY(Finance!$BD$1)-1)/2)+Finance!BE$4,0)=EOMONTH($AX$1,0),Finance!BE$3,0)+IF(EOMONTH(DATE(YEAR(Finance!$BA$1),MONTH(Finance!$BA$1),1)+INT((DAY(Finance!$BA$1)-1)/2)+Finance!BB$4,0)=EOMONTH($AX$1,0),Finance!BB$3,0)+IF(EOMONTH(DATE(YEAR(Finance!$AX$1),MONTH(Finance!$AX$1),1)+INT((DAY(Finance!$AX$1)-1)/2)+Finance!AY$4,0)=EOMONTH($AX$1,0),Finance!AY$3,0)+IF(EOMONTH(DATE(YEAR(Finance!$AU$1),MONTH(Finance!$AU$1),1)+INT((DAY(Finance!$AU$1)-1)/2)+Finance!AV$4,0)=EOMONTH($AX$1,0),Finance!AV$3,0)+IF(EOMONTH(DATE(YEAR(Finance!$AR$1),MONTH(Finance!$AR$1),1)+INT((DAY(Finance!$AR$1)-1)/2)+Finance!AS$4,0)=EOMONTH($AX$1,0),Finance!AS$3,0)+IF(EOMONTH(DATE(YEAR(Finance!$AO$1),MONTH(Finance!$AO$1),1)+INT((DAY(Finance!$AO$1)-1)/2)+Finance!AP$4,0)=EOMONTH($AX$1,0),Finance!AP$3,0)+IF(EOMONTH(DATE(YEAR(Finance!$AL$1),MONTH(Finance!$AL$1),1)+INT((DAY(Finance!$AL$1)-1)/2)+Finance!AM$4,0)=EOMONTH($AX$1,0),Finance!AM$3,0)+IF(EOMONTH(DATE(YEAR(Finance!$AI$1),MONTH(Finance!$AI$1),1)+INT((DAY(Finance!$AI$1)-1)/2)+Finance!AJ$4,0)=EOMONTH($AX$1,0),Finance!AJ$3,0)+IF(EOMONTH(DATE(YEAR(Finance!$AF$1),MONTH(Finance!$AF$1),1)+INT((DAY(Finance!$AF$1)-1)/2)+Finance!AG$4,0)=EOMONTH($AX$1,0),Finance!AG$3,0)+IF(EOMONTH(DATE(YEAR(Finance!$AC$1),MONTH(Finance!$AC$1),1)+INT((DAY(Finance!$AC$1)-1)/2)+Finance!AD$4,0)=EOMONTH($AX$1,0),Finance!AD$3,0)+IF(EOMONTH(DATE(YEAR(Finance!$Z$1),MONTH(Finance!$Z$1),1)+INT((DAY(Finance!$Z$1)-1)/2)+Finance!AA$4,0)=EOMONTH($AX$1,0),Finance!AA$3,0)+IF(EOMONTH(DATE(YEAR(Finance!$W$1),MONTH(Finance!$W$1),1)+INT((DAY(Finance!$W$1)-1)/2)+Finance!X$4,0)=EOMONTH($AX$1,0),Finance!X$3,0)+IF(EOMONTH(DATE(YEAR(Finance!$T$1),MONTH(Finance!$T$1),1)+INT((DAY(Finance!$T$1)-1)/2)+Finance!U$4,0)=EOMONTH($AX$1,0),Finance!U$3,0)+IF(EOMONTH(DATE(YEAR(Finance!$Q$1),MONTH(Finance!$Q$1),1)+INT((DAY(Finance!$Q$1)-1)/2)+Finance!R$4,0)=EOMONTH($AX$1,0),Finance!R$3,0)+IF(EOMONTH(DATE(YEAR(Finance!$N$1),MONTH(Finance!$N$1),1)+INT((DAY(Finance!$N$1)-1)/2)+Finance!O$4,0)=EOMONTH($AX$1,0),Finance!O$3,0)+IF(EOMONTH(DATE(YEAR(Finance!$K$1),MONTH(Finance!$K$1),1)+INT((DAY(Finance!$K$1)-1)/2)+Finance!L$4,0)=EOMONTH($AX$1,0),Finance!L$3,0)+IF(EOMONTH('Cash Drivers'!$DL$30+Finance!DM$4,0)=EOMONTH($AX$1,0),'Cash Drivers'!$DL$35,0),0))</f>
        <v>1707528</v>
      </c>
      <c r="AZ5" s="12" t="n">
        <f aca="false">ROUND(IF(EOMONTH(DATE(YEAR(Finance!$DL$1),MONTH(Finance!$DL$1),1)+INT((DAY(Finance!$DL$1)-1)/2)+Finance!DN$4,0)=EOMONTH($AX$1,0),Finance!DN$3,0)+IF(EOMONTH(DATE(YEAR(Finance!$DI$1),MONTH(Finance!$DI$1),1)+INT((DAY(Finance!$DI$1)-1)/2)+Finance!DK$4,0)=EOMONTH($AX$1,0),Finance!DK$3,0)+IF(EOMONTH(DATE(YEAR(Finance!$DF$1),MONTH(Finance!$DF$1),1)+INT((DAY(Finance!$DF$1)-1)/2)+Finance!DH$4,0)=EOMONTH($AX$1,0),Finance!DH$3,0)+IF(EOMONTH(DATE(YEAR(Finance!$DC$1),MONTH(Finance!$DC$1),1)+INT((DAY(Finance!$DC$1)-1)/2)+Finance!DE$4,0)=EOMONTH($AX$1,0),Finance!DE$3,0)+IF(EOMONTH(DATE(YEAR(Finance!$CZ$1),MONTH(Finance!$CZ$1),1)+INT((DAY(Finance!$CZ$1)-1)/2)+Finance!DB$4,0)=EOMONTH($AX$1,0),Finance!DB$3,0)+IF(EOMONTH(DATE(YEAR(Finance!$CW$1),MONTH(Finance!$CW$1),1)+INT((DAY(Finance!$CW$1)-1)/2)+Finance!CY$4,0)=EOMONTH($AX$1,0),Finance!CY$3,0)+IF(EOMONTH(DATE(YEAR(Finance!$CT$1),MONTH(Finance!$CT$1),1)+INT((DAY(Finance!$CT$1)-1)/2)+Finance!CV$4,0)=EOMONTH($AX$1,0),Finance!CV$3,0)+IF(EOMONTH(DATE(YEAR(Finance!$CQ$1),MONTH(Finance!$CQ$1),1)+INT((DAY(Finance!$CQ$1)-1)/2)+Finance!CS$4,0)=EOMONTH($AX$1,0),Finance!CS$3,0)+IF(EOMONTH(DATE(YEAR(Finance!$CN$1),MONTH(Finance!$CN$1),1)+INT((DAY(Finance!$CN$1)-1)/2)+Finance!CP$4,0)=EOMONTH($AX$1,0),Finance!CP$3,0)+IF(EOMONTH(DATE(YEAR(Finance!$CK$1),MONTH(Finance!$CK$1),1)+INT((DAY(Finance!$CK$1)-1)/2)+Finance!CM$4,0)=EOMONTH($AX$1,0),Finance!CM$3,0)+IF(EOMONTH(DATE(YEAR(Finance!$CH$1),MONTH(Finance!$CH$1),1)+INT((DAY(Finance!$CH$1)-1)/2)+Finance!CJ$4,0)=EOMONTH($AX$1,0),Finance!CJ$3,0)+IF(EOMONTH(DATE(YEAR(Finance!$CE$1),MONTH(Finance!$CE$1),1)+INT((DAY(Finance!$CE$1)-1)/2)+Finance!CG$4,0)=EOMONTH($AX$1,0),Finance!CG$3,0)+IF(EOMONTH(DATE(YEAR(Finance!$CB$1),MONTH(Finance!$CB$1),1)+INT((DAY(Finance!$CB$1)-1)/2)+Finance!CD$4,0)=EOMONTH($AX$1,0),Finance!CD$3,0)+IF(EOMONTH(DATE(YEAR(Finance!$BY$1),MONTH(Finance!$BY$1),1)+INT((DAY(Finance!$BY$1)-1)/2)+Finance!CA$4,0)=EOMONTH($AX$1,0),Finance!CA$3,0)+IF(EOMONTH(DATE(YEAR(Finance!$BV$1),MONTH(Finance!$BV$1),1)+INT((DAY(Finance!$BV$1)-1)/2)+Finance!BX$4,0)=EOMONTH($AX$1,0),Finance!BX$3,0)+IF(EOMONTH(DATE(YEAR(Finance!$BS$1),MONTH(Finance!$BS$1),1)+INT((DAY(Finance!$BS$1)-1)/2)+Finance!BU$4,0)=EOMONTH($AX$1,0),Finance!BU$3,0)+IF(EOMONTH(DATE(YEAR(Finance!$BP$1),MONTH(Finance!$BP$1),1)+INT((DAY(Finance!$BP$1)-1)/2)+Finance!BR$4,0)=EOMONTH($AX$1,0),Finance!BR$3,0)+IF(EOMONTH(DATE(YEAR(Finance!$BM$1),MONTH(Finance!$BM$1),1)+INT((DAY(Finance!$BM$1)-1)/2)+Finance!BO$4,0)=EOMONTH($AX$1,0),Finance!BO$3,0)+IF(EOMONTH(DATE(YEAR(Finance!$BJ$1),MONTH(Finance!$BJ$1),1)+INT((DAY(Finance!$BJ$1)-1)/2)+Finance!BL$4,0)=EOMONTH($AX$1,0),Finance!BL$3,0)+IF(EOMONTH(DATE(YEAR(Finance!$BG$1),MONTH(Finance!$BG$1),1)+INT((DAY(Finance!$BG$1)-1)/2)+Finance!BI$4,0)=EOMONTH($AX$1,0),Finance!BI$3,0)+IF(EOMONTH(DATE(YEAR(Finance!$BD$1),MONTH(Finance!$BD$1),1)+INT((DAY(Finance!$BD$1)-1)/2)+Finance!BF$4,0)=EOMONTH($AX$1,0),Finance!BF$3,0)+IF(EOMONTH(DATE(YEAR(Finance!$BA$1),MONTH(Finance!$BA$1),1)+INT((DAY(Finance!$BA$1)-1)/2)+Finance!BC$4,0)=EOMONTH($AX$1,0),Finance!BC$3,0)+IF(EOMONTH(DATE(YEAR(Finance!$AX$1),MONTH(Finance!$AX$1),1)+INT((DAY(Finance!$AX$1)-1)/2)+Finance!AZ$4,0)=EOMONTH($AX$1,0),Finance!AZ$3,0)+IF(EOMONTH(DATE(YEAR(Finance!$AU$1),MONTH(Finance!$AU$1),1)+INT((DAY(Finance!$AU$1)-1)/2)+Finance!AW$4,0)=EOMONTH($AX$1,0),Finance!AW$3,0)+IF(EOMONTH(DATE(YEAR(Finance!$AR$1),MONTH(Finance!$AR$1),1)+INT((DAY(Finance!$AR$1)-1)/2)+Finance!AT$4,0)=EOMONTH($AX$1,0),Finance!AT$3,0)+IF(EOMONTH(DATE(YEAR(Finance!$AO$1),MONTH(Finance!$AO$1),1)+INT((DAY(Finance!$AO$1)-1)/2)+Finance!AQ$4,0)=EOMONTH($AX$1,0),Finance!AQ$3,0)+IF(EOMONTH(DATE(YEAR(Finance!$AL$1),MONTH(Finance!$AL$1),1)+INT((DAY(Finance!$AL$1)-1)/2)+Finance!AN$4,0)=EOMONTH($AX$1,0),Finance!AN$3,0)+IF(EOMONTH(DATE(YEAR(Finance!$AI$1),MONTH(Finance!$AI$1),1)+INT((DAY(Finance!$AI$1)-1)/2)+Finance!AK$4,0)=EOMONTH($AX$1,0),Finance!AK$3,0)+IF(EOMONTH(DATE(YEAR(Finance!$AF$1),MONTH(Finance!$AF$1),1)+INT((DAY(Finance!$AF$1)-1)/2)+Finance!AH$4,0)=EOMONTH($AX$1,0),Finance!AH$3,0)+IF(EOMONTH(DATE(YEAR(Finance!$AC$1),MONTH(Finance!$AC$1),1)+INT((DAY(Finance!$AC$1)-1)/2)+Finance!AE$4,0)=EOMONTH($AX$1,0),Finance!AE$3,0)+IF(EOMONTH(DATE(YEAR(Finance!$Z$1),MONTH(Finance!$Z$1),1)+INT((DAY(Finance!$Z$1)-1)/2)+Finance!AB$4,0)=EOMONTH($AX$1,0),Finance!AB$3,0)+IF(EOMONTH(DATE(YEAR(Finance!$W$1),MONTH(Finance!$W$1),1)+INT((DAY(Finance!$W$1)-1)/2)+Finance!Y$4,0)=EOMONTH($AX$1,0),Finance!Y$3,0)+IF(EOMONTH(DATE(YEAR(Finance!$T$1),MONTH(Finance!$T$1),1)+INT((DAY(Finance!$T$1)-1)/2)+Finance!V$4,0)=EOMONTH($AX$1,0),Finance!V$3,0)+IF(EOMONTH(DATE(YEAR(Finance!$Q$1),MONTH(Finance!$Q$1),1)+INT((DAY(Finance!$Q$1)-1)/2)+Finance!S$4,0)=EOMONTH($AX$1,0),Finance!S$3,0)+IF(EOMONTH(DATE(YEAR(Finance!$N$1),MONTH(Finance!$N$1),1)+INT((DAY(Finance!$N$1)-1)/2)+Finance!P$4,0)=EOMONTH($AX$1,0),Finance!P$3,0)+IF(EOMONTH(DATE(YEAR(Finance!$K$1),MONTH(Finance!$K$1),1)+INT((DAY(Finance!$K$1)-1)/2)+Finance!M$4,0)=EOMONTH($AX$1,0),Finance!M$3,0)+IF(EOMONTH('Cash Drivers'!$DL$30+Finance!DN$4,0)=EOMONTH($AX$1,0),'Cash Drivers'!$DL$35,0),0)</f>
        <v>1681045</v>
      </c>
      <c r="BA5" s="13"/>
      <c r="BB5" s="13" t="n">
        <f aca="false">IF('Cash Drivers'!BB$26,BA5,ROUND(IF(EOMONTH(DATE(YEAR(Finance!$DL$1),MONTH(Finance!$DL$1),1)+INT((DAY(Finance!$DL$1)-1)/2)+Finance!DM$4,0)=EOMONTH($BA$1,0),Finance!DM$3,0)+IF(EOMONTH(DATE(YEAR(Finance!$DI$1),MONTH(Finance!$DI$1),1)+INT((DAY(Finance!$DI$1)-1)/2)+Finance!DJ$4,0)=EOMONTH($BA$1,0),Finance!DJ$3,0)+IF(EOMONTH(DATE(YEAR(Finance!$DF$1),MONTH(Finance!$DF$1),1)+INT((DAY(Finance!$DF$1)-1)/2)+Finance!DG$4,0)=EOMONTH($BA$1,0),Finance!DG$3,0)+IF(EOMONTH(DATE(YEAR(Finance!$DC$1),MONTH(Finance!$DC$1),1)+INT((DAY(Finance!$DC$1)-1)/2)+Finance!DD$4,0)=EOMONTH($BA$1,0),Finance!DD$3,0)+IF(EOMONTH(DATE(YEAR(Finance!$CZ$1),MONTH(Finance!$CZ$1),1)+INT((DAY(Finance!$CZ$1)-1)/2)+Finance!DA$4,0)=EOMONTH($BA$1,0),Finance!DA$3,0)+IF(EOMONTH(DATE(YEAR(Finance!$CW$1),MONTH(Finance!$CW$1),1)+INT((DAY(Finance!$CW$1)-1)/2)+Finance!CX$4,0)=EOMONTH($BA$1,0),Finance!CX$3,0)+IF(EOMONTH(DATE(YEAR(Finance!$CT$1),MONTH(Finance!$CT$1),1)+INT((DAY(Finance!$CT$1)-1)/2)+Finance!CU$4,0)=EOMONTH($BA$1,0),Finance!CU$3,0)+IF(EOMONTH(DATE(YEAR(Finance!$CQ$1),MONTH(Finance!$CQ$1),1)+INT((DAY(Finance!$CQ$1)-1)/2)+Finance!CR$4,0)=EOMONTH($BA$1,0),Finance!CR$3,0)+IF(EOMONTH(DATE(YEAR(Finance!$CN$1),MONTH(Finance!$CN$1),1)+INT((DAY(Finance!$CN$1)-1)/2)+Finance!CO$4,0)=EOMONTH($BA$1,0),Finance!CO$3,0)+IF(EOMONTH(DATE(YEAR(Finance!$CK$1),MONTH(Finance!$CK$1),1)+INT((DAY(Finance!$CK$1)-1)/2)+Finance!CL$4,0)=EOMONTH($BA$1,0),Finance!CL$3,0)+IF(EOMONTH(DATE(YEAR(Finance!$CH$1),MONTH(Finance!$CH$1),1)+INT((DAY(Finance!$CH$1)-1)/2)+Finance!CI$4,0)=EOMONTH($BA$1,0),Finance!CI$3,0)+IF(EOMONTH(DATE(YEAR(Finance!$CE$1),MONTH(Finance!$CE$1),1)+INT((DAY(Finance!$CE$1)-1)/2)+Finance!CF$4,0)=EOMONTH($BA$1,0),Finance!CF$3,0)+IF(EOMONTH(DATE(YEAR(Finance!$CB$1),MONTH(Finance!$CB$1),1)+INT((DAY(Finance!$CB$1)-1)/2)+Finance!CC$4,0)=EOMONTH($BA$1,0),Finance!CC$3,0)+IF(EOMONTH(DATE(YEAR(Finance!$BY$1),MONTH(Finance!$BY$1),1)+INT((DAY(Finance!$BY$1)-1)/2)+Finance!BZ$4,0)=EOMONTH($BA$1,0),Finance!BZ$3,0)+IF(EOMONTH(DATE(YEAR(Finance!$BV$1),MONTH(Finance!$BV$1),1)+INT((DAY(Finance!$BV$1)-1)/2)+Finance!BW$4,0)=EOMONTH($BA$1,0),Finance!BW$3,0)+IF(EOMONTH(DATE(YEAR(Finance!$BS$1),MONTH(Finance!$BS$1),1)+INT((DAY(Finance!$BS$1)-1)/2)+Finance!BT$4,0)=EOMONTH($BA$1,0),Finance!BT$3,0)+IF(EOMONTH(DATE(YEAR(Finance!$BP$1),MONTH(Finance!$BP$1),1)+INT((DAY(Finance!$BP$1)-1)/2)+Finance!BQ$4,0)=EOMONTH($BA$1,0),Finance!BQ$3,0)+IF(EOMONTH(DATE(YEAR(Finance!$BM$1),MONTH(Finance!$BM$1),1)+INT((DAY(Finance!$BM$1)-1)/2)+Finance!BN$4,0)=EOMONTH($BA$1,0),Finance!BN$3,0)+IF(EOMONTH(DATE(YEAR(Finance!$BJ$1),MONTH(Finance!$BJ$1),1)+INT((DAY(Finance!$BJ$1)-1)/2)+Finance!BK$4,0)=EOMONTH($BA$1,0),Finance!BK$3,0)+IF(EOMONTH(DATE(YEAR(Finance!$BG$1),MONTH(Finance!$BG$1),1)+INT((DAY(Finance!$BG$1)-1)/2)+Finance!BH$4,0)=EOMONTH($BA$1,0),Finance!BH$3,0)+IF(EOMONTH(DATE(YEAR(Finance!$BD$1),MONTH(Finance!$BD$1),1)+INT((DAY(Finance!$BD$1)-1)/2)+Finance!BE$4,0)=EOMONTH($BA$1,0),Finance!BE$3,0)+IF(EOMONTH(DATE(YEAR(Finance!$BA$1),MONTH(Finance!$BA$1),1)+INT((DAY(Finance!$BA$1)-1)/2)+Finance!BB$4,0)=EOMONTH($BA$1,0),Finance!BB$3,0)+IF(EOMONTH(DATE(YEAR(Finance!$AX$1),MONTH(Finance!$AX$1),1)+INT((DAY(Finance!$AX$1)-1)/2)+Finance!AY$4,0)=EOMONTH($BA$1,0),Finance!AY$3,0)+IF(EOMONTH(DATE(YEAR(Finance!$AU$1),MONTH(Finance!$AU$1),1)+INT((DAY(Finance!$AU$1)-1)/2)+Finance!AV$4,0)=EOMONTH($BA$1,0),Finance!AV$3,0)+IF(EOMONTH(DATE(YEAR(Finance!$AR$1),MONTH(Finance!$AR$1),1)+INT((DAY(Finance!$AR$1)-1)/2)+Finance!AS$4,0)=EOMONTH($BA$1,0),Finance!AS$3,0)+IF(EOMONTH(DATE(YEAR(Finance!$AO$1),MONTH(Finance!$AO$1),1)+INT((DAY(Finance!$AO$1)-1)/2)+Finance!AP$4,0)=EOMONTH($BA$1,0),Finance!AP$3,0)+IF(EOMONTH(DATE(YEAR(Finance!$AL$1),MONTH(Finance!$AL$1),1)+INT((DAY(Finance!$AL$1)-1)/2)+Finance!AM$4,0)=EOMONTH($BA$1,0),Finance!AM$3,0)+IF(EOMONTH(DATE(YEAR(Finance!$AI$1),MONTH(Finance!$AI$1),1)+INT((DAY(Finance!$AI$1)-1)/2)+Finance!AJ$4,0)=EOMONTH($BA$1,0),Finance!AJ$3,0)+IF(EOMONTH(DATE(YEAR(Finance!$AF$1),MONTH(Finance!$AF$1),1)+INT((DAY(Finance!$AF$1)-1)/2)+Finance!AG$4,0)=EOMONTH($BA$1,0),Finance!AG$3,0)+IF(EOMONTH(DATE(YEAR(Finance!$AC$1),MONTH(Finance!$AC$1),1)+INT((DAY(Finance!$AC$1)-1)/2)+Finance!AD$4,0)=EOMONTH($BA$1,0),Finance!AD$3,0)+IF(EOMONTH(DATE(YEAR(Finance!$Z$1),MONTH(Finance!$Z$1),1)+INT((DAY(Finance!$Z$1)-1)/2)+Finance!AA$4,0)=EOMONTH($BA$1,0),Finance!AA$3,0)+IF(EOMONTH(DATE(YEAR(Finance!$W$1),MONTH(Finance!$W$1),1)+INT((DAY(Finance!$W$1)-1)/2)+Finance!X$4,0)=EOMONTH($BA$1,0),Finance!X$3,0)+IF(EOMONTH(DATE(YEAR(Finance!$T$1),MONTH(Finance!$T$1),1)+INT((DAY(Finance!$T$1)-1)/2)+Finance!U$4,0)=EOMONTH($BA$1,0),Finance!U$3,0)+IF(EOMONTH(DATE(YEAR(Finance!$Q$1),MONTH(Finance!$Q$1),1)+INT((DAY(Finance!$Q$1)-1)/2)+Finance!R$4,0)=EOMONTH($BA$1,0),Finance!R$3,0)+IF(EOMONTH(DATE(YEAR(Finance!$N$1),MONTH(Finance!$N$1),1)+INT((DAY(Finance!$N$1)-1)/2)+Finance!O$4,0)=EOMONTH($BA$1,0),Finance!O$3,0)+IF(EOMONTH(DATE(YEAR(Finance!$K$1),MONTH(Finance!$K$1),1)+INT((DAY(Finance!$K$1)-1)/2)+Finance!L$4,0)=EOMONTH($BA$1,0),Finance!L$3,0)+IF(EOMONTH('Cash Drivers'!$DL$30+Finance!DM$4,0)=EOMONTH($BA$1,0),'Cash Drivers'!$DL$35,0),0))</f>
        <v>1667154</v>
      </c>
      <c r="BC5" s="13" t="n">
        <f aca="false">ROUND(IF(EOMONTH(DATE(YEAR(Finance!$DL$1),MONTH(Finance!$DL$1),1)+INT((DAY(Finance!$DL$1)-1)/2)+Finance!DN$4,0)=EOMONTH($BA$1,0),Finance!DN$3,0)+IF(EOMONTH(DATE(YEAR(Finance!$DI$1),MONTH(Finance!$DI$1),1)+INT((DAY(Finance!$DI$1)-1)/2)+Finance!DK$4,0)=EOMONTH($BA$1,0),Finance!DK$3,0)+IF(EOMONTH(DATE(YEAR(Finance!$DF$1),MONTH(Finance!$DF$1),1)+INT((DAY(Finance!$DF$1)-1)/2)+Finance!DH$4,0)=EOMONTH($BA$1,0),Finance!DH$3,0)+IF(EOMONTH(DATE(YEAR(Finance!$DC$1),MONTH(Finance!$DC$1),1)+INT((DAY(Finance!$DC$1)-1)/2)+Finance!DE$4,0)=EOMONTH($BA$1,0),Finance!DE$3,0)+IF(EOMONTH(DATE(YEAR(Finance!$CZ$1),MONTH(Finance!$CZ$1),1)+INT((DAY(Finance!$CZ$1)-1)/2)+Finance!DB$4,0)=EOMONTH($BA$1,0),Finance!DB$3,0)+IF(EOMONTH(DATE(YEAR(Finance!$CW$1),MONTH(Finance!$CW$1),1)+INT((DAY(Finance!$CW$1)-1)/2)+Finance!CY$4,0)=EOMONTH($BA$1,0),Finance!CY$3,0)+IF(EOMONTH(DATE(YEAR(Finance!$CT$1),MONTH(Finance!$CT$1),1)+INT((DAY(Finance!$CT$1)-1)/2)+Finance!CV$4,0)=EOMONTH($BA$1,0),Finance!CV$3,0)+IF(EOMONTH(DATE(YEAR(Finance!$CQ$1),MONTH(Finance!$CQ$1),1)+INT((DAY(Finance!$CQ$1)-1)/2)+Finance!CS$4,0)=EOMONTH($BA$1,0),Finance!CS$3,0)+IF(EOMONTH(DATE(YEAR(Finance!$CN$1),MONTH(Finance!$CN$1),1)+INT((DAY(Finance!$CN$1)-1)/2)+Finance!CP$4,0)=EOMONTH($BA$1,0),Finance!CP$3,0)+IF(EOMONTH(DATE(YEAR(Finance!$CK$1),MONTH(Finance!$CK$1),1)+INT((DAY(Finance!$CK$1)-1)/2)+Finance!CM$4,0)=EOMONTH($BA$1,0),Finance!CM$3,0)+IF(EOMONTH(DATE(YEAR(Finance!$CH$1),MONTH(Finance!$CH$1),1)+INT((DAY(Finance!$CH$1)-1)/2)+Finance!CJ$4,0)=EOMONTH($BA$1,0),Finance!CJ$3,0)+IF(EOMONTH(DATE(YEAR(Finance!$CE$1),MONTH(Finance!$CE$1),1)+INT((DAY(Finance!$CE$1)-1)/2)+Finance!CG$4,0)=EOMONTH($BA$1,0),Finance!CG$3,0)+IF(EOMONTH(DATE(YEAR(Finance!$CB$1),MONTH(Finance!$CB$1),1)+INT((DAY(Finance!$CB$1)-1)/2)+Finance!CD$4,0)=EOMONTH($BA$1,0),Finance!CD$3,0)+IF(EOMONTH(DATE(YEAR(Finance!$BY$1),MONTH(Finance!$BY$1),1)+INT((DAY(Finance!$BY$1)-1)/2)+Finance!CA$4,0)=EOMONTH($BA$1,0),Finance!CA$3,0)+IF(EOMONTH(DATE(YEAR(Finance!$BV$1),MONTH(Finance!$BV$1),1)+INT((DAY(Finance!$BV$1)-1)/2)+Finance!BX$4,0)=EOMONTH($BA$1,0),Finance!BX$3,0)+IF(EOMONTH(DATE(YEAR(Finance!$BS$1),MONTH(Finance!$BS$1),1)+INT((DAY(Finance!$BS$1)-1)/2)+Finance!BU$4,0)=EOMONTH($BA$1,0),Finance!BU$3,0)+IF(EOMONTH(DATE(YEAR(Finance!$BP$1),MONTH(Finance!$BP$1),1)+INT((DAY(Finance!$BP$1)-1)/2)+Finance!BR$4,0)=EOMONTH($BA$1,0),Finance!BR$3,0)+IF(EOMONTH(DATE(YEAR(Finance!$BM$1),MONTH(Finance!$BM$1),1)+INT((DAY(Finance!$BM$1)-1)/2)+Finance!BO$4,0)=EOMONTH($BA$1,0),Finance!BO$3,0)+IF(EOMONTH(DATE(YEAR(Finance!$BJ$1),MONTH(Finance!$BJ$1),1)+INT((DAY(Finance!$BJ$1)-1)/2)+Finance!BL$4,0)=EOMONTH($BA$1,0),Finance!BL$3,0)+IF(EOMONTH(DATE(YEAR(Finance!$BG$1),MONTH(Finance!$BG$1),1)+INT((DAY(Finance!$BG$1)-1)/2)+Finance!BI$4,0)=EOMONTH($BA$1,0),Finance!BI$3,0)+IF(EOMONTH(DATE(YEAR(Finance!$BD$1),MONTH(Finance!$BD$1),1)+INT((DAY(Finance!$BD$1)-1)/2)+Finance!BF$4,0)=EOMONTH($BA$1,0),Finance!BF$3,0)+IF(EOMONTH(DATE(YEAR(Finance!$BA$1),MONTH(Finance!$BA$1),1)+INT((DAY(Finance!$BA$1)-1)/2)+Finance!BC$4,0)=EOMONTH($BA$1,0),Finance!BC$3,0)+IF(EOMONTH(DATE(YEAR(Finance!$AX$1),MONTH(Finance!$AX$1),1)+INT((DAY(Finance!$AX$1)-1)/2)+Finance!AZ$4,0)=EOMONTH($BA$1,0),Finance!AZ$3,0)+IF(EOMONTH(DATE(YEAR(Finance!$AU$1),MONTH(Finance!$AU$1),1)+INT((DAY(Finance!$AU$1)-1)/2)+Finance!AW$4,0)=EOMONTH($BA$1,0),Finance!AW$3,0)+IF(EOMONTH(DATE(YEAR(Finance!$AR$1),MONTH(Finance!$AR$1),1)+INT((DAY(Finance!$AR$1)-1)/2)+Finance!AT$4,0)=EOMONTH($BA$1,0),Finance!AT$3,0)+IF(EOMONTH(DATE(YEAR(Finance!$AO$1),MONTH(Finance!$AO$1),1)+INT((DAY(Finance!$AO$1)-1)/2)+Finance!AQ$4,0)=EOMONTH($BA$1,0),Finance!AQ$3,0)+IF(EOMONTH(DATE(YEAR(Finance!$AL$1),MONTH(Finance!$AL$1),1)+INT((DAY(Finance!$AL$1)-1)/2)+Finance!AN$4,0)=EOMONTH($BA$1,0),Finance!AN$3,0)+IF(EOMONTH(DATE(YEAR(Finance!$AI$1),MONTH(Finance!$AI$1),1)+INT((DAY(Finance!$AI$1)-1)/2)+Finance!AK$4,0)=EOMONTH($BA$1,0),Finance!AK$3,0)+IF(EOMONTH(DATE(YEAR(Finance!$AF$1),MONTH(Finance!$AF$1),1)+INT((DAY(Finance!$AF$1)-1)/2)+Finance!AH$4,0)=EOMONTH($BA$1,0),Finance!AH$3,0)+IF(EOMONTH(DATE(YEAR(Finance!$AC$1),MONTH(Finance!$AC$1),1)+INT((DAY(Finance!$AC$1)-1)/2)+Finance!AE$4,0)=EOMONTH($BA$1,0),Finance!AE$3,0)+IF(EOMONTH(DATE(YEAR(Finance!$Z$1),MONTH(Finance!$Z$1),1)+INT((DAY(Finance!$Z$1)-1)/2)+Finance!AB$4,0)=EOMONTH($BA$1,0),Finance!AB$3,0)+IF(EOMONTH(DATE(YEAR(Finance!$W$1),MONTH(Finance!$W$1),1)+INT((DAY(Finance!$W$1)-1)/2)+Finance!Y$4,0)=EOMONTH($BA$1,0),Finance!Y$3,0)+IF(EOMONTH(DATE(YEAR(Finance!$T$1),MONTH(Finance!$T$1),1)+INT((DAY(Finance!$T$1)-1)/2)+Finance!V$4,0)=EOMONTH($BA$1,0),Finance!V$3,0)+IF(EOMONTH(DATE(YEAR(Finance!$Q$1),MONTH(Finance!$Q$1),1)+INT((DAY(Finance!$Q$1)-1)/2)+Finance!S$4,0)=EOMONTH($BA$1,0),Finance!S$3,0)+IF(EOMONTH(DATE(YEAR(Finance!$N$1),MONTH(Finance!$N$1),1)+INT((DAY(Finance!$N$1)-1)/2)+Finance!P$4,0)=EOMONTH($BA$1,0),Finance!P$3,0)+IF(EOMONTH(DATE(YEAR(Finance!$K$1),MONTH(Finance!$K$1),1)+INT((DAY(Finance!$K$1)-1)/2)+Finance!M$4,0)=EOMONTH($BA$1,0),Finance!M$3,0)+IF(EOMONTH('Cash Drivers'!$DL$30+Finance!DN$4,0)=EOMONTH($BA$1,0),'Cash Drivers'!$DL$35,0),0)</f>
        <v>1640667</v>
      </c>
      <c r="BD5" s="12"/>
      <c r="BE5" s="12" t="n">
        <f aca="false">IF('Cash Drivers'!BE$26,BD5,ROUND(IF(EOMONTH(DATE(YEAR(Finance!$DL$1),MONTH(Finance!$DL$1),1)+INT((DAY(Finance!$DL$1)-1)/2)+Finance!DM$4,0)=EOMONTH($BD$1,0),Finance!DM$3,0)+IF(EOMONTH(DATE(YEAR(Finance!$DI$1),MONTH(Finance!$DI$1),1)+INT((DAY(Finance!$DI$1)-1)/2)+Finance!DJ$4,0)=EOMONTH($BD$1,0),Finance!DJ$3,0)+IF(EOMONTH(DATE(YEAR(Finance!$DF$1),MONTH(Finance!$DF$1),1)+INT((DAY(Finance!$DF$1)-1)/2)+Finance!DG$4,0)=EOMONTH($BD$1,0),Finance!DG$3,0)+IF(EOMONTH(DATE(YEAR(Finance!$DC$1),MONTH(Finance!$DC$1),1)+INT((DAY(Finance!$DC$1)-1)/2)+Finance!DD$4,0)=EOMONTH($BD$1,0),Finance!DD$3,0)+IF(EOMONTH(DATE(YEAR(Finance!$CZ$1),MONTH(Finance!$CZ$1),1)+INT((DAY(Finance!$CZ$1)-1)/2)+Finance!DA$4,0)=EOMONTH($BD$1,0),Finance!DA$3,0)+IF(EOMONTH(DATE(YEAR(Finance!$CW$1),MONTH(Finance!$CW$1),1)+INT((DAY(Finance!$CW$1)-1)/2)+Finance!CX$4,0)=EOMONTH($BD$1,0),Finance!CX$3,0)+IF(EOMONTH(DATE(YEAR(Finance!$CT$1),MONTH(Finance!$CT$1),1)+INT((DAY(Finance!$CT$1)-1)/2)+Finance!CU$4,0)=EOMONTH($BD$1,0),Finance!CU$3,0)+IF(EOMONTH(DATE(YEAR(Finance!$CQ$1),MONTH(Finance!$CQ$1),1)+INT((DAY(Finance!$CQ$1)-1)/2)+Finance!CR$4,0)=EOMONTH($BD$1,0),Finance!CR$3,0)+IF(EOMONTH(DATE(YEAR(Finance!$CN$1),MONTH(Finance!$CN$1),1)+INT((DAY(Finance!$CN$1)-1)/2)+Finance!CO$4,0)=EOMONTH($BD$1,0),Finance!CO$3,0)+IF(EOMONTH(DATE(YEAR(Finance!$CK$1),MONTH(Finance!$CK$1),1)+INT((DAY(Finance!$CK$1)-1)/2)+Finance!CL$4,0)=EOMONTH($BD$1,0),Finance!CL$3,0)+IF(EOMONTH(DATE(YEAR(Finance!$CH$1),MONTH(Finance!$CH$1),1)+INT((DAY(Finance!$CH$1)-1)/2)+Finance!CI$4,0)=EOMONTH($BD$1,0),Finance!CI$3,0)+IF(EOMONTH(DATE(YEAR(Finance!$CE$1),MONTH(Finance!$CE$1),1)+INT((DAY(Finance!$CE$1)-1)/2)+Finance!CF$4,0)=EOMONTH($BD$1,0),Finance!CF$3,0)+IF(EOMONTH(DATE(YEAR(Finance!$CB$1),MONTH(Finance!$CB$1),1)+INT((DAY(Finance!$CB$1)-1)/2)+Finance!CC$4,0)=EOMONTH($BD$1,0),Finance!CC$3,0)+IF(EOMONTH(DATE(YEAR(Finance!$BY$1),MONTH(Finance!$BY$1),1)+INT((DAY(Finance!$BY$1)-1)/2)+Finance!BZ$4,0)=EOMONTH($BD$1,0),Finance!BZ$3,0)+IF(EOMONTH(DATE(YEAR(Finance!$BV$1),MONTH(Finance!$BV$1),1)+INT((DAY(Finance!$BV$1)-1)/2)+Finance!BW$4,0)=EOMONTH($BD$1,0),Finance!BW$3,0)+IF(EOMONTH(DATE(YEAR(Finance!$BS$1),MONTH(Finance!$BS$1),1)+INT((DAY(Finance!$BS$1)-1)/2)+Finance!BT$4,0)=EOMONTH($BD$1,0),Finance!BT$3,0)+IF(EOMONTH(DATE(YEAR(Finance!$BP$1),MONTH(Finance!$BP$1),1)+INT((DAY(Finance!$BP$1)-1)/2)+Finance!BQ$4,0)=EOMONTH($BD$1,0),Finance!BQ$3,0)+IF(EOMONTH(DATE(YEAR(Finance!$BM$1),MONTH(Finance!$BM$1),1)+INT((DAY(Finance!$BM$1)-1)/2)+Finance!BN$4,0)=EOMONTH($BD$1,0),Finance!BN$3,0)+IF(EOMONTH(DATE(YEAR(Finance!$BJ$1),MONTH(Finance!$BJ$1),1)+INT((DAY(Finance!$BJ$1)-1)/2)+Finance!BK$4,0)=EOMONTH($BD$1,0),Finance!BK$3,0)+IF(EOMONTH(DATE(YEAR(Finance!$BG$1),MONTH(Finance!$BG$1),1)+INT((DAY(Finance!$BG$1)-1)/2)+Finance!BH$4,0)=EOMONTH($BD$1,0),Finance!BH$3,0)+IF(EOMONTH(DATE(YEAR(Finance!$BD$1),MONTH(Finance!$BD$1),1)+INT((DAY(Finance!$BD$1)-1)/2)+Finance!BE$4,0)=EOMONTH($BD$1,0),Finance!BE$3,0)+IF(EOMONTH(DATE(YEAR(Finance!$BA$1),MONTH(Finance!$BA$1),1)+INT((DAY(Finance!$BA$1)-1)/2)+Finance!BB$4,0)=EOMONTH($BD$1,0),Finance!BB$3,0)+IF(EOMONTH(DATE(YEAR(Finance!$AX$1),MONTH(Finance!$AX$1),1)+INT((DAY(Finance!$AX$1)-1)/2)+Finance!AY$4,0)=EOMONTH($BD$1,0),Finance!AY$3,0)+IF(EOMONTH(DATE(YEAR(Finance!$AU$1),MONTH(Finance!$AU$1),1)+INT((DAY(Finance!$AU$1)-1)/2)+Finance!AV$4,0)=EOMONTH($BD$1,0),Finance!AV$3,0)+IF(EOMONTH(DATE(YEAR(Finance!$AR$1),MONTH(Finance!$AR$1),1)+INT((DAY(Finance!$AR$1)-1)/2)+Finance!AS$4,0)=EOMONTH($BD$1,0),Finance!AS$3,0)+IF(EOMONTH(DATE(YEAR(Finance!$AO$1),MONTH(Finance!$AO$1),1)+INT((DAY(Finance!$AO$1)-1)/2)+Finance!AP$4,0)=EOMONTH($BD$1,0),Finance!AP$3,0)+IF(EOMONTH(DATE(YEAR(Finance!$AL$1),MONTH(Finance!$AL$1),1)+INT((DAY(Finance!$AL$1)-1)/2)+Finance!AM$4,0)=EOMONTH($BD$1,0),Finance!AM$3,0)+IF(EOMONTH(DATE(YEAR(Finance!$AI$1),MONTH(Finance!$AI$1),1)+INT((DAY(Finance!$AI$1)-1)/2)+Finance!AJ$4,0)=EOMONTH($BD$1,0),Finance!AJ$3,0)+IF(EOMONTH(DATE(YEAR(Finance!$AF$1),MONTH(Finance!$AF$1),1)+INT((DAY(Finance!$AF$1)-1)/2)+Finance!AG$4,0)=EOMONTH($BD$1,0),Finance!AG$3,0)+IF(EOMONTH(DATE(YEAR(Finance!$AC$1),MONTH(Finance!$AC$1),1)+INT((DAY(Finance!$AC$1)-1)/2)+Finance!AD$4,0)=EOMONTH($BD$1,0),Finance!AD$3,0)+IF(EOMONTH(DATE(YEAR(Finance!$Z$1),MONTH(Finance!$Z$1),1)+INT((DAY(Finance!$Z$1)-1)/2)+Finance!AA$4,0)=EOMONTH($BD$1,0),Finance!AA$3,0)+IF(EOMONTH(DATE(YEAR(Finance!$W$1),MONTH(Finance!$W$1),1)+INT((DAY(Finance!$W$1)-1)/2)+Finance!X$4,0)=EOMONTH($BD$1,0),Finance!X$3,0)+IF(EOMONTH(DATE(YEAR(Finance!$T$1),MONTH(Finance!$T$1),1)+INT((DAY(Finance!$T$1)-1)/2)+Finance!U$4,0)=EOMONTH($BD$1,0),Finance!U$3,0)+IF(EOMONTH(DATE(YEAR(Finance!$Q$1),MONTH(Finance!$Q$1),1)+INT((DAY(Finance!$Q$1)-1)/2)+Finance!R$4,0)=EOMONTH($BD$1,0),Finance!R$3,0)+IF(EOMONTH(DATE(YEAR(Finance!$N$1),MONTH(Finance!$N$1),1)+INT((DAY(Finance!$N$1)-1)/2)+Finance!O$4,0)=EOMONTH($BD$1,0),Finance!O$3,0)+IF(EOMONTH(DATE(YEAR(Finance!$K$1),MONTH(Finance!$K$1),1)+INT((DAY(Finance!$K$1)-1)/2)+Finance!L$4,0)=EOMONTH($BD$1,0),Finance!L$3,0)+IF(EOMONTH('Cash Drivers'!$DL$30+Finance!DM$4,0)=EOMONTH($BD$1,0),'Cash Drivers'!$DL$35,0),0))</f>
        <v>1627033</v>
      </c>
      <c r="BF5" s="12" t="n">
        <f aca="false">ROUND(IF(EOMONTH(DATE(YEAR(Finance!$DL$1),MONTH(Finance!$DL$1),1)+INT((DAY(Finance!$DL$1)-1)/2)+Finance!DN$4,0)=EOMONTH($BD$1,0),Finance!DN$3,0)+IF(EOMONTH(DATE(YEAR(Finance!$DI$1),MONTH(Finance!$DI$1),1)+INT((DAY(Finance!$DI$1)-1)/2)+Finance!DK$4,0)=EOMONTH($BD$1,0),Finance!DK$3,0)+IF(EOMONTH(DATE(YEAR(Finance!$DF$1),MONTH(Finance!$DF$1),1)+INT((DAY(Finance!$DF$1)-1)/2)+Finance!DH$4,0)=EOMONTH($BD$1,0),Finance!DH$3,0)+IF(EOMONTH(DATE(YEAR(Finance!$DC$1),MONTH(Finance!$DC$1),1)+INT((DAY(Finance!$DC$1)-1)/2)+Finance!DE$4,0)=EOMONTH($BD$1,0),Finance!DE$3,0)+IF(EOMONTH(DATE(YEAR(Finance!$CZ$1),MONTH(Finance!$CZ$1),1)+INT((DAY(Finance!$CZ$1)-1)/2)+Finance!DB$4,0)=EOMONTH($BD$1,0),Finance!DB$3,0)+IF(EOMONTH(DATE(YEAR(Finance!$CW$1),MONTH(Finance!$CW$1),1)+INT((DAY(Finance!$CW$1)-1)/2)+Finance!CY$4,0)=EOMONTH($BD$1,0),Finance!CY$3,0)+IF(EOMONTH(DATE(YEAR(Finance!$CT$1),MONTH(Finance!$CT$1),1)+INT((DAY(Finance!$CT$1)-1)/2)+Finance!CV$4,0)=EOMONTH($BD$1,0),Finance!CV$3,0)+IF(EOMONTH(DATE(YEAR(Finance!$CQ$1),MONTH(Finance!$CQ$1),1)+INT((DAY(Finance!$CQ$1)-1)/2)+Finance!CS$4,0)=EOMONTH($BD$1,0),Finance!CS$3,0)+IF(EOMONTH(DATE(YEAR(Finance!$CN$1),MONTH(Finance!$CN$1),1)+INT((DAY(Finance!$CN$1)-1)/2)+Finance!CP$4,0)=EOMONTH($BD$1,0),Finance!CP$3,0)+IF(EOMONTH(DATE(YEAR(Finance!$CK$1),MONTH(Finance!$CK$1),1)+INT((DAY(Finance!$CK$1)-1)/2)+Finance!CM$4,0)=EOMONTH($BD$1,0),Finance!CM$3,0)+IF(EOMONTH(DATE(YEAR(Finance!$CH$1),MONTH(Finance!$CH$1),1)+INT((DAY(Finance!$CH$1)-1)/2)+Finance!CJ$4,0)=EOMONTH($BD$1,0),Finance!CJ$3,0)+IF(EOMONTH(DATE(YEAR(Finance!$CE$1),MONTH(Finance!$CE$1),1)+INT((DAY(Finance!$CE$1)-1)/2)+Finance!CG$4,0)=EOMONTH($BD$1,0),Finance!CG$3,0)+IF(EOMONTH(DATE(YEAR(Finance!$CB$1),MONTH(Finance!$CB$1),1)+INT((DAY(Finance!$CB$1)-1)/2)+Finance!CD$4,0)=EOMONTH($BD$1,0),Finance!CD$3,0)+IF(EOMONTH(DATE(YEAR(Finance!$BY$1),MONTH(Finance!$BY$1),1)+INT((DAY(Finance!$BY$1)-1)/2)+Finance!CA$4,0)=EOMONTH($BD$1,0),Finance!CA$3,0)+IF(EOMONTH(DATE(YEAR(Finance!$BV$1),MONTH(Finance!$BV$1),1)+INT((DAY(Finance!$BV$1)-1)/2)+Finance!BX$4,0)=EOMONTH($BD$1,0),Finance!BX$3,0)+IF(EOMONTH(DATE(YEAR(Finance!$BS$1),MONTH(Finance!$BS$1),1)+INT((DAY(Finance!$BS$1)-1)/2)+Finance!BU$4,0)=EOMONTH($BD$1,0),Finance!BU$3,0)+IF(EOMONTH(DATE(YEAR(Finance!$BP$1),MONTH(Finance!$BP$1),1)+INT((DAY(Finance!$BP$1)-1)/2)+Finance!BR$4,0)=EOMONTH($BD$1,0),Finance!BR$3,0)+IF(EOMONTH(DATE(YEAR(Finance!$BM$1),MONTH(Finance!$BM$1),1)+INT((DAY(Finance!$BM$1)-1)/2)+Finance!BO$4,0)=EOMONTH($BD$1,0),Finance!BO$3,0)+IF(EOMONTH(DATE(YEAR(Finance!$BJ$1),MONTH(Finance!$BJ$1),1)+INT((DAY(Finance!$BJ$1)-1)/2)+Finance!BL$4,0)=EOMONTH($BD$1,0),Finance!BL$3,0)+IF(EOMONTH(DATE(YEAR(Finance!$BG$1),MONTH(Finance!$BG$1),1)+INT((DAY(Finance!$BG$1)-1)/2)+Finance!BI$4,0)=EOMONTH($BD$1,0),Finance!BI$3,0)+IF(EOMONTH(DATE(YEAR(Finance!$BD$1),MONTH(Finance!$BD$1),1)+INT((DAY(Finance!$BD$1)-1)/2)+Finance!BF$4,0)=EOMONTH($BD$1,0),Finance!BF$3,0)+IF(EOMONTH(DATE(YEAR(Finance!$BA$1),MONTH(Finance!$BA$1),1)+INT((DAY(Finance!$BA$1)-1)/2)+Finance!BC$4,0)=EOMONTH($BD$1,0),Finance!BC$3,0)+IF(EOMONTH(DATE(YEAR(Finance!$AX$1),MONTH(Finance!$AX$1),1)+INT((DAY(Finance!$AX$1)-1)/2)+Finance!AZ$4,0)=EOMONTH($BD$1,0),Finance!AZ$3,0)+IF(EOMONTH(DATE(YEAR(Finance!$AU$1),MONTH(Finance!$AU$1),1)+INT((DAY(Finance!$AU$1)-1)/2)+Finance!AW$4,0)=EOMONTH($BD$1,0),Finance!AW$3,0)+IF(EOMONTH(DATE(YEAR(Finance!$AR$1),MONTH(Finance!$AR$1),1)+INT((DAY(Finance!$AR$1)-1)/2)+Finance!AT$4,0)=EOMONTH($BD$1,0),Finance!AT$3,0)+IF(EOMONTH(DATE(YEAR(Finance!$AO$1),MONTH(Finance!$AO$1),1)+INT((DAY(Finance!$AO$1)-1)/2)+Finance!AQ$4,0)=EOMONTH($BD$1,0),Finance!AQ$3,0)+IF(EOMONTH(DATE(YEAR(Finance!$AL$1),MONTH(Finance!$AL$1),1)+INT((DAY(Finance!$AL$1)-1)/2)+Finance!AN$4,0)=EOMONTH($BD$1,0),Finance!AN$3,0)+IF(EOMONTH(DATE(YEAR(Finance!$AI$1),MONTH(Finance!$AI$1),1)+INT((DAY(Finance!$AI$1)-1)/2)+Finance!AK$4,0)=EOMONTH($BD$1,0),Finance!AK$3,0)+IF(EOMONTH(DATE(YEAR(Finance!$AF$1),MONTH(Finance!$AF$1),1)+INT((DAY(Finance!$AF$1)-1)/2)+Finance!AH$4,0)=EOMONTH($BD$1,0),Finance!AH$3,0)+IF(EOMONTH(DATE(YEAR(Finance!$AC$1),MONTH(Finance!$AC$1),1)+INT((DAY(Finance!$AC$1)-1)/2)+Finance!AE$4,0)=EOMONTH($BD$1,0),Finance!AE$3,0)+IF(EOMONTH(DATE(YEAR(Finance!$Z$1),MONTH(Finance!$Z$1),1)+INT((DAY(Finance!$Z$1)-1)/2)+Finance!AB$4,0)=EOMONTH($BD$1,0),Finance!AB$3,0)+IF(EOMONTH(DATE(YEAR(Finance!$W$1),MONTH(Finance!$W$1),1)+INT((DAY(Finance!$W$1)-1)/2)+Finance!Y$4,0)=EOMONTH($BD$1,0),Finance!Y$3,0)+IF(EOMONTH(DATE(YEAR(Finance!$T$1),MONTH(Finance!$T$1),1)+INT((DAY(Finance!$T$1)-1)/2)+Finance!V$4,0)=EOMONTH($BD$1,0),Finance!V$3,0)+IF(EOMONTH(DATE(YEAR(Finance!$Q$1),MONTH(Finance!$Q$1),1)+INT((DAY(Finance!$Q$1)-1)/2)+Finance!S$4,0)=EOMONTH($BD$1,0),Finance!S$3,0)+IF(EOMONTH(DATE(YEAR(Finance!$N$1),MONTH(Finance!$N$1),1)+INT((DAY(Finance!$N$1)-1)/2)+Finance!P$4,0)=EOMONTH($BD$1,0),Finance!P$3,0)+IF(EOMONTH(DATE(YEAR(Finance!$K$1),MONTH(Finance!$K$1),1)+INT((DAY(Finance!$K$1)-1)/2)+Finance!M$4,0)=EOMONTH($BD$1,0),Finance!M$3,0)+IF(EOMONTH('Cash Drivers'!$DL$30+Finance!DN$4,0)=EOMONTH($BD$1,0),'Cash Drivers'!$DL$35,0),0)</f>
        <v>1600543</v>
      </c>
      <c r="BG5" s="13"/>
      <c r="BH5" s="13" t="n">
        <f aca="false">IF('Cash Drivers'!BH$26,BG5,ROUND(IF(EOMONTH(DATE(YEAR(Finance!$DL$1),MONTH(Finance!$DL$1),1)+INT((DAY(Finance!$DL$1)-1)/2)+Finance!DM$4,0)=EOMONTH($BG$1,0),Finance!DM$3,0)+IF(EOMONTH(DATE(YEAR(Finance!$DI$1),MONTH(Finance!$DI$1),1)+INT((DAY(Finance!$DI$1)-1)/2)+Finance!DJ$4,0)=EOMONTH($BG$1,0),Finance!DJ$3,0)+IF(EOMONTH(DATE(YEAR(Finance!$DF$1),MONTH(Finance!$DF$1),1)+INT((DAY(Finance!$DF$1)-1)/2)+Finance!DG$4,0)=EOMONTH($BG$1,0),Finance!DG$3,0)+IF(EOMONTH(DATE(YEAR(Finance!$DC$1),MONTH(Finance!$DC$1),1)+INT((DAY(Finance!$DC$1)-1)/2)+Finance!DD$4,0)=EOMONTH($BG$1,0),Finance!DD$3,0)+IF(EOMONTH(DATE(YEAR(Finance!$CZ$1),MONTH(Finance!$CZ$1),1)+INT((DAY(Finance!$CZ$1)-1)/2)+Finance!DA$4,0)=EOMONTH($BG$1,0),Finance!DA$3,0)+IF(EOMONTH(DATE(YEAR(Finance!$CW$1),MONTH(Finance!$CW$1),1)+INT((DAY(Finance!$CW$1)-1)/2)+Finance!CX$4,0)=EOMONTH($BG$1,0),Finance!CX$3,0)+IF(EOMONTH(DATE(YEAR(Finance!$CT$1),MONTH(Finance!$CT$1),1)+INT((DAY(Finance!$CT$1)-1)/2)+Finance!CU$4,0)=EOMONTH($BG$1,0),Finance!CU$3,0)+IF(EOMONTH(DATE(YEAR(Finance!$CQ$1),MONTH(Finance!$CQ$1),1)+INT((DAY(Finance!$CQ$1)-1)/2)+Finance!CR$4,0)=EOMONTH($BG$1,0),Finance!CR$3,0)+IF(EOMONTH(DATE(YEAR(Finance!$CN$1),MONTH(Finance!$CN$1),1)+INT((DAY(Finance!$CN$1)-1)/2)+Finance!CO$4,0)=EOMONTH($BG$1,0),Finance!CO$3,0)+IF(EOMONTH(DATE(YEAR(Finance!$CK$1),MONTH(Finance!$CK$1),1)+INT((DAY(Finance!$CK$1)-1)/2)+Finance!CL$4,0)=EOMONTH($BG$1,0),Finance!CL$3,0)+IF(EOMONTH(DATE(YEAR(Finance!$CH$1),MONTH(Finance!$CH$1),1)+INT((DAY(Finance!$CH$1)-1)/2)+Finance!CI$4,0)=EOMONTH($BG$1,0),Finance!CI$3,0)+IF(EOMONTH(DATE(YEAR(Finance!$CE$1),MONTH(Finance!$CE$1),1)+INT((DAY(Finance!$CE$1)-1)/2)+Finance!CF$4,0)=EOMONTH($BG$1,0),Finance!CF$3,0)+IF(EOMONTH(DATE(YEAR(Finance!$CB$1),MONTH(Finance!$CB$1),1)+INT((DAY(Finance!$CB$1)-1)/2)+Finance!CC$4,0)=EOMONTH($BG$1,0),Finance!CC$3,0)+IF(EOMONTH(DATE(YEAR(Finance!$BY$1),MONTH(Finance!$BY$1),1)+INT((DAY(Finance!$BY$1)-1)/2)+Finance!BZ$4,0)=EOMONTH($BG$1,0),Finance!BZ$3,0)+IF(EOMONTH(DATE(YEAR(Finance!$BV$1),MONTH(Finance!$BV$1),1)+INT((DAY(Finance!$BV$1)-1)/2)+Finance!BW$4,0)=EOMONTH($BG$1,0),Finance!BW$3,0)+IF(EOMONTH(DATE(YEAR(Finance!$BS$1),MONTH(Finance!$BS$1),1)+INT((DAY(Finance!$BS$1)-1)/2)+Finance!BT$4,0)=EOMONTH($BG$1,0),Finance!BT$3,0)+IF(EOMONTH(DATE(YEAR(Finance!$BP$1),MONTH(Finance!$BP$1),1)+INT((DAY(Finance!$BP$1)-1)/2)+Finance!BQ$4,0)=EOMONTH($BG$1,0),Finance!BQ$3,0)+IF(EOMONTH(DATE(YEAR(Finance!$BM$1),MONTH(Finance!$BM$1),1)+INT((DAY(Finance!$BM$1)-1)/2)+Finance!BN$4,0)=EOMONTH($BG$1,0),Finance!BN$3,0)+IF(EOMONTH(DATE(YEAR(Finance!$BJ$1),MONTH(Finance!$BJ$1),1)+INT((DAY(Finance!$BJ$1)-1)/2)+Finance!BK$4,0)=EOMONTH($BG$1,0),Finance!BK$3,0)+IF(EOMONTH(DATE(YEAR(Finance!$BG$1),MONTH(Finance!$BG$1),1)+INT((DAY(Finance!$BG$1)-1)/2)+Finance!BH$4,0)=EOMONTH($BG$1,0),Finance!BH$3,0)+IF(EOMONTH(DATE(YEAR(Finance!$BD$1),MONTH(Finance!$BD$1),1)+INT((DAY(Finance!$BD$1)-1)/2)+Finance!BE$4,0)=EOMONTH($BG$1,0),Finance!BE$3,0)+IF(EOMONTH(DATE(YEAR(Finance!$BA$1),MONTH(Finance!$BA$1),1)+INT((DAY(Finance!$BA$1)-1)/2)+Finance!BB$4,0)=EOMONTH($BG$1,0),Finance!BB$3,0)+IF(EOMONTH(DATE(YEAR(Finance!$AX$1),MONTH(Finance!$AX$1),1)+INT((DAY(Finance!$AX$1)-1)/2)+Finance!AY$4,0)=EOMONTH($BG$1,0),Finance!AY$3,0)+IF(EOMONTH(DATE(YEAR(Finance!$AU$1),MONTH(Finance!$AU$1),1)+INT((DAY(Finance!$AU$1)-1)/2)+Finance!AV$4,0)=EOMONTH($BG$1,0),Finance!AV$3,0)+IF(EOMONTH(DATE(YEAR(Finance!$AR$1),MONTH(Finance!$AR$1),1)+INT((DAY(Finance!$AR$1)-1)/2)+Finance!AS$4,0)=EOMONTH($BG$1,0),Finance!AS$3,0)+IF(EOMONTH(DATE(YEAR(Finance!$AO$1),MONTH(Finance!$AO$1),1)+INT((DAY(Finance!$AO$1)-1)/2)+Finance!AP$4,0)=EOMONTH($BG$1,0),Finance!AP$3,0)+IF(EOMONTH(DATE(YEAR(Finance!$AL$1),MONTH(Finance!$AL$1),1)+INT((DAY(Finance!$AL$1)-1)/2)+Finance!AM$4,0)=EOMONTH($BG$1,0),Finance!AM$3,0)+IF(EOMONTH(DATE(YEAR(Finance!$AI$1),MONTH(Finance!$AI$1),1)+INT((DAY(Finance!$AI$1)-1)/2)+Finance!AJ$4,0)=EOMONTH($BG$1,0),Finance!AJ$3,0)+IF(EOMONTH(DATE(YEAR(Finance!$AF$1),MONTH(Finance!$AF$1),1)+INT((DAY(Finance!$AF$1)-1)/2)+Finance!AG$4,0)=EOMONTH($BG$1,0),Finance!AG$3,0)+IF(EOMONTH(DATE(YEAR(Finance!$AC$1),MONTH(Finance!$AC$1),1)+INT((DAY(Finance!$AC$1)-1)/2)+Finance!AD$4,0)=EOMONTH($BG$1,0),Finance!AD$3,0)+IF(EOMONTH(DATE(YEAR(Finance!$Z$1),MONTH(Finance!$Z$1),1)+INT((DAY(Finance!$Z$1)-1)/2)+Finance!AA$4,0)=EOMONTH($BG$1,0),Finance!AA$3,0)+IF(EOMONTH(DATE(YEAR(Finance!$W$1),MONTH(Finance!$W$1),1)+INT((DAY(Finance!$W$1)-1)/2)+Finance!X$4,0)=EOMONTH($BG$1,0),Finance!X$3,0)+IF(EOMONTH(DATE(YEAR(Finance!$T$1),MONTH(Finance!$T$1),1)+INT((DAY(Finance!$T$1)-1)/2)+Finance!U$4,0)=EOMONTH($BG$1,0),Finance!U$3,0)+IF(EOMONTH(DATE(YEAR(Finance!$Q$1),MONTH(Finance!$Q$1),1)+INT((DAY(Finance!$Q$1)-1)/2)+Finance!R$4,0)=EOMONTH($BG$1,0),Finance!R$3,0)+IF(EOMONTH(DATE(YEAR(Finance!$N$1),MONTH(Finance!$N$1),1)+INT((DAY(Finance!$N$1)-1)/2)+Finance!O$4,0)=EOMONTH($BG$1,0),Finance!O$3,0)+IF(EOMONTH(DATE(YEAR(Finance!$K$1),MONTH(Finance!$K$1),1)+INT((DAY(Finance!$K$1)-1)/2)+Finance!L$4,0)=EOMONTH($BG$1,0),Finance!L$3,0)+IF(EOMONTH('Cash Drivers'!$DL$30+Finance!DM$4,0)=EOMONTH($BG$1,0),'Cash Drivers'!$DL$35,0),0))</f>
        <v>1587228</v>
      </c>
      <c r="BI5" s="13" t="n">
        <f aca="false">ROUND(IF(EOMONTH(DATE(YEAR(Finance!$DL$1),MONTH(Finance!$DL$1),1)+INT((DAY(Finance!$DL$1)-1)/2)+Finance!DN$4,0)=EOMONTH($BG$1,0),Finance!DN$3,0)+IF(EOMONTH(DATE(YEAR(Finance!$DI$1),MONTH(Finance!$DI$1),1)+INT((DAY(Finance!$DI$1)-1)/2)+Finance!DK$4,0)=EOMONTH($BG$1,0),Finance!DK$3,0)+IF(EOMONTH(DATE(YEAR(Finance!$DF$1),MONTH(Finance!$DF$1),1)+INT((DAY(Finance!$DF$1)-1)/2)+Finance!DH$4,0)=EOMONTH($BG$1,0),Finance!DH$3,0)+IF(EOMONTH(DATE(YEAR(Finance!$DC$1),MONTH(Finance!$DC$1),1)+INT((DAY(Finance!$DC$1)-1)/2)+Finance!DE$4,0)=EOMONTH($BG$1,0),Finance!DE$3,0)+IF(EOMONTH(DATE(YEAR(Finance!$CZ$1),MONTH(Finance!$CZ$1),1)+INT((DAY(Finance!$CZ$1)-1)/2)+Finance!DB$4,0)=EOMONTH($BG$1,0),Finance!DB$3,0)+IF(EOMONTH(DATE(YEAR(Finance!$CW$1),MONTH(Finance!$CW$1),1)+INT((DAY(Finance!$CW$1)-1)/2)+Finance!CY$4,0)=EOMONTH($BG$1,0),Finance!CY$3,0)+IF(EOMONTH(DATE(YEAR(Finance!$CT$1),MONTH(Finance!$CT$1),1)+INT((DAY(Finance!$CT$1)-1)/2)+Finance!CV$4,0)=EOMONTH($BG$1,0),Finance!CV$3,0)+IF(EOMONTH(DATE(YEAR(Finance!$CQ$1),MONTH(Finance!$CQ$1),1)+INT((DAY(Finance!$CQ$1)-1)/2)+Finance!CS$4,0)=EOMONTH($BG$1,0),Finance!CS$3,0)+IF(EOMONTH(DATE(YEAR(Finance!$CN$1),MONTH(Finance!$CN$1),1)+INT((DAY(Finance!$CN$1)-1)/2)+Finance!CP$4,0)=EOMONTH($BG$1,0),Finance!CP$3,0)+IF(EOMONTH(DATE(YEAR(Finance!$CK$1),MONTH(Finance!$CK$1),1)+INT((DAY(Finance!$CK$1)-1)/2)+Finance!CM$4,0)=EOMONTH($BG$1,0),Finance!CM$3,0)+IF(EOMONTH(DATE(YEAR(Finance!$CH$1),MONTH(Finance!$CH$1),1)+INT((DAY(Finance!$CH$1)-1)/2)+Finance!CJ$4,0)=EOMONTH($BG$1,0),Finance!CJ$3,0)+IF(EOMONTH(DATE(YEAR(Finance!$CE$1),MONTH(Finance!$CE$1),1)+INT((DAY(Finance!$CE$1)-1)/2)+Finance!CG$4,0)=EOMONTH($BG$1,0),Finance!CG$3,0)+IF(EOMONTH(DATE(YEAR(Finance!$CB$1),MONTH(Finance!$CB$1),1)+INT((DAY(Finance!$CB$1)-1)/2)+Finance!CD$4,0)=EOMONTH($BG$1,0),Finance!CD$3,0)+IF(EOMONTH(DATE(YEAR(Finance!$BY$1),MONTH(Finance!$BY$1),1)+INT((DAY(Finance!$BY$1)-1)/2)+Finance!CA$4,0)=EOMONTH($BG$1,0),Finance!CA$3,0)+IF(EOMONTH(DATE(YEAR(Finance!$BV$1),MONTH(Finance!$BV$1),1)+INT((DAY(Finance!$BV$1)-1)/2)+Finance!BX$4,0)=EOMONTH($BG$1,0),Finance!BX$3,0)+IF(EOMONTH(DATE(YEAR(Finance!$BS$1),MONTH(Finance!$BS$1),1)+INT((DAY(Finance!$BS$1)-1)/2)+Finance!BU$4,0)=EOMONTH($BG$1,0),Finance!BU$3,0)+IF(EOMONTH(DATE(YEAR(Finance!$BP$1),MONTH(Finance!$BP$1),1)+INT((DAY(Finance!$BP$1)-1)/2)+Finance!BR$4,0)=EOMONTH($BG$1,0),Finance!BR$3,0)+IF(EOMONTH(DATE(YEAR(Finance!$BM$1),MONTH(Finance!$BM$1),1)+INT((DAY(Finance!$BM$1)-1)/2)+Finance!BO$4,0)=EOMONTH($BG$1,0),Finance!BO$3,0)+IF(EOMONTH(DATE(YEAR(Finance!$BJ$1),MONTH(Finance!$BJ$1),1)+INT((DAY(Finance!$BJ$1)-1)/2)+Finance!BL$4,0)=EOMONTH($BG$1,0),Finance!BL$3,0)+IF(EOMONTH(DATE(YEAR(Finance!$BG$1),MONTH(Finance!$BG$1),1)+INT((DAY(Finance!$BG$1)-1)/2)+Finance!BI$4,0)=EOMONTH($BG$1,0),Finance!BI$3,0)+IF(EOMONTH(DATE(YEAR(Finance!$BD$1),MONTH(Finance!$BD$1),1)+INT((DAY(Finance!$BD$1)-1)/2)+Finance!BF$4,0)=EOMONTH($BG$1,0),Finance!BF$3,0)+IF(EOMONTH(DATE(YEAR(Finance!$BA$1),MONTH(Finance!$BA$1),1)+INT((DAY(Finance!$BA$1)-1)/2)+Finance!BC$4,0)=EOMONTH($BG$1,0),Finance!BC$3,0)+IF(EOMONTH(DATE(YEAR(Finance!$AX$1),MONTH(Finance!$AX$1),1)+INT((DAY(Finance!$AX$1)-1)/2)+Finance!AZ$4,0)=EOMONTH($BG$1,0),Finance!AZ$3,0)+IF(EOMONTH(DATE(YEAR(Finance!$AU$1),MONTH(Finance!$AU$1),1)+INT((DAY(Finance!$AU$1)-1)/2)+Finance!AW$4,0)=EOMONTH($BG$1,0),Finance!AW$3,0)+IF(EOMONTH(DATE(YEAR(Finance!$AR$1),MONTH(Finance!$AR$1),1)+INT((DAY(Finance!$AR$1)-1)/2)+Finance!AT$4,0)=EOMONTH($BG$1,0),Finance!AT$3,0)+IF(EOMONTH(DATE(YEAR(Finance!$AO$1),MONTH(Finance!$AO$1),1)+INT((DAY(Finance!$AO$1)-1)/2)+Finance!AQ$4,0)=EOMONTH($BG$1,0),Finance!AQ$3,0)+IF(EOMONTH(DATE(YEAR(Finance!$AL$1),MONTH(Finance!$AL$1),1)+INT((DAY(Finance!$AL$1)-1)/2)+Finance!AN$4,0)=EOMONTH($BG$1,0),Finance!AN$3,0)+IF(EOMONTH(DATE(YEAR(Finance!$AI$1),MONTH(Finance!$AI$1),1)+INT((DAY(Finance!$AI$1)-1)/2)+Finance!AK$4,0)=EOMONTH($BG$1,0),Finance!AK$3,0)+IF(EOMONTH(DATE(YEAR(Finance!$AF$1),MONTH(Finance!$AF$1),1)+INT((DAY(Finance!$AF$1)-1)/2)+Finance!AH$4,0)=EOMONTH($BG$1,0),Finance!AH$3,0)+IF(EOMONTH(DATE(YEAR(Finance!$AC$1),MONTH(Finance!$AC$1),1)+INT((DAY(Finance!$AC$1)-1)/2)+Finance!AE$4,0)=EOMONTH($BG$1,0),Finance!AE$3,0)+IF(EOMONTH(DATE(YEAR(Finance!$Z$1),MONTH(Finance!$Z$1),1)+INT((DAY(Finance!$Z$1)-1)/2)+Finance!AB$4,0)=EOMONTH($BG$1,0),Finance!AB$3,0)+IF(EOMONTH(DATE(YEAR(Finance!$W$1),MONTH(Finance!$W$1),1)+INT((DAY(Finance!$W$1)-1)/2)+Finance!Y$4,0)=EOMONTH($BG$1,0),Finance!Y$3,0)+IF(EOMONTH(DATE(YEAR(Finance!$T$1),MONTH(Finance!$T$1),1)+INT((DAY(Finance!$T$1)-1)/2)+Finance!V$4,0)=EOMONTH($BG$1,0),Finance!V$3,0)+IF(EOMONTH(DATE(YEAR(Finance!$Q$1),MONTH(Finance!$Q$1),1)+INT((DAY(Finance!$Q$1)-1)/2)+Finance!S$4,0)=EOMONTH($BG$1,0),Finance!S$3,0)+IF(EOMONTH(DATE(YEAR(Finance!$N$1),MONTH(Finance!$N$1),1)+INT((DAY(Finance!$N$1)-1)/2)+Finance!P$4,0)=EOMONTH($BG$1,0),Finance!P$3,0)+IF(EOMONTH(DATE(YEAR(Finance!$K$1),MONTH(Finance!$K$1),1)+INT((DAY(Finance!$K$1)-1)/2)+Finance!M$4,0)=EOMONTH($BG$1,0),Finance!M$3,0)+IF(EOMONTH('Cash Drivers'!$DL$30+Finance!DN$4,0)=EOMONTH($BG$1,0),'Cash Drivers'!$DL$35,0),0)</f>
        <v>1560733</v>
      </c>
      <c r="BJ5" s="12"/>
      <c r="BK5" s="12" t="n">
        <f aca="false">IF('Cash Drivers'!BK$26,BJ5,ROUND(IF(EOMONTH(DATE(YEAR(Finance!$DL$1),MONTH(Finance!$DL$1),1)+INT((DAY(Finance!$DL$1)-1)/2)+Finance!DM$4,0)=EOMONTH($BJ$1,0),Finance!DM$3,0)+IF(EOMONTH(DATE(YEAR(Finance!$DI$1),MONTH(Finance!$DI$1),1)+INT((DAY(Finance!$DI$1)-1)/2)+Finance!DJ$4,0)=EOMONTH($BJ$1,0),Finance!DJ$3,0)+IF(EOMONTH(DATE(YEAR(Finance!$DF$1),MONTH(Finance!$DF$1),1)+INT((DAY(Finance!$DF$1)-1)/2)+Finance!DG$4,0)=EOMONTH($BJ$1,0),Finance!DG$3,0)+IF(EOMONTH(DATE(YEAR(Finance!$DC$1),MONTH(Finance!$DC$1),1)+INT((DAY(Finance!$DC$1)-1)/2)+Finance!DD$4,0)=EOMONTH($BJ$1,0),Finance!DD$3,0)+IF(EOMONTH(DATE(YEAR(Finance!$CZ$1),MONTH(Finance!$CZ$1),1)+INT((DAY(Finance!$CZ$1)-1)/2)+Finance!DA$4,0)=EOMONTH($BJ$1,0),Finance!DA$3,0)+IF(EOMONTH(DATE(YEAR(Finance!$CW$1),MONTH(Finance!$CW$1),1)+INT((DAY(Finance!$CW$1)-1)/2)+Finance!CX$4,0)=EOMONTH($BJ$1,0),Finance!CX$3,0)+IF(EOMONTH(DATE(YEAR(Finance!$CT$1),MONTH(Finance!$CT$1),1)+INT((DAY(Finance!$CT$1)-1)/2)+Finance!CU$4,0)=EOMONTH($BJ$1,0),Finance!CU$3,0)+IF(EOMONTH(DATE(YEAR(Finance!$CQ$1),MONTH(Finance!$CQ$1),1)+INT((DAY(Finance!$CQ$1)-1)/2)+Finance!CR$4,0)=EOMONTH($BJ$1,0),Finance!CR$3,0)+IF(EOMONTH(DATE(YEAR(Finance!$CN$1),MONTH(Finance!$CN$1),1)+INT((DAY(Finance!$CN$1)-1)/2)+Finance!CO$4,0)=EOMONTH($BJ$1,0),Finance!CO$3,0)+IF(EOMONTH(DATE(YEAR(Finance!$CK$1),MONTH(Finance!$CK$1),1)+INT((DAY(Finance!$CK$1)-1)/2)+Finance!CL$4,0)=EOMONTH($BJ$1,0),Finance!CL$3,0)+IF(EOMONTH(DATE(YEAR(Finance!$CH$1),MONTH(Finance!$CH$1),1)+INT((DAY(Finance!$CH$1)-1)/2)+Finance!CI$4,0)=EOMONTH($BJ$1,0),Finance!CI$3,0)+IF(EOMONTH(DATE(YEAR(Finance!$CE$1),MONTH(Finance!$CE$1),1)+INT((DAY(Finance!$CE$1)-1)/2)+Finance!CF$4,0)=EOMONTH($BJ$1,0),Finance!CF$3,0)+IF(EOMONTH(DATE(YEAR(Finance!$CB$1),MONTH(Finance!$CB$1),1)+INT((DAY(Finance!$CB$1)-1)/2)+Finance!CC$4,0)=EOMONTH($BJ$1,0),Finance!CC$3,0)+IF(EOMONTH(DATE(YEAR(Finance!$BY$1),MONTH(Finance!$BY$1),1)+INT((DAY(Finance!$BY$1)-1)/2)+Finance!BZ$4,0)=EOMONTH($BJ$1,0),Finance!BZ$3,0)+IF(EOMONTH(DATE(YEAR(Finance!$BV$1),MONTH(Finance!$BV$1),1)+INT((DAY(Finance!$BV$1)-1)/2)+Finance!BW$4,0)=EOMONTH($BJ$1,0),Finance!BW$3,0)+IF(EOMONTH(DATE(YEAR(Finance!$BS$1),MONTH(Finance!$BS$1),1)+INT((DAY(Finance!$BS$1)-1)/2)+Finance!BT$4,0)=EOMONTH($BJ$1,0),Finance!BT$3,0)+IF(EOMONTH(DATE(YEAR(Finance!$BP$1),MONTH(Finance!$BP$1),1)+INT((DAY(Finance!$BP$1)-1)/2)+Finance!BQ$4,0)=EOMONTH($BJ$1,0),Finance!BQ$3,0)+IF(EOMONTH(DATE(YEAR(Finance!$BM$1),MONTH(Finance!$BM$1),1)+INT((DAY(Finance!$BM$1)-1)/2)+Finance!BN$4,0)=EOMONTH($BJ$1,0),Finance!BN$3,0)+IF(EOMONTH(DATE(YEAR(Finance!$BJ$1),MONTH(Finance!$BJ$1),1)+INT((DAY(Finance!$BJ$1)-1)/2)+Finance!BK$4,0)=EOMONTH($BJ$1,0),Finance!BK$3,0)+IF(EOMONTH(DATE(YEAR(Finance!$BG$1),MONTH(Finance!$BG$1),1)+INT((DAY(Finance!$BG$1)-1)/2)+Finance!BH$4,0)=EOMONTH($BJ$1,0),Finance!BH$3,0)+IF(EOMONTH(DATE(YEAR(Finance!$BD$1),MONTH(Finance!$BD$1),1)+INT((DAY(Finance!$BD$1)-1)/2)+Finance!BE$4,0)=EOMONTH($BJ$1,0),Finance!BE$3,0)+IF(EOMONTH(DATE(YEAR(Finance!$BA$1),MONTH(Finance!$BA$1),1)+INT((DAY(Finance!$BA$1)-1)/2)+Finance!BB$4,0)=EOMONTH($BJ$1,0),Finance!BB$3,0)+IF(EOMONTH(DATE(YEAR(Finance!$AX$1),MONTH(Finance!$AX$1),1)+INT((DAY(Finance!$AX$1)-1)/2)+Finance!AY$4,0)=EOMONTH($BJ$1,0),Finance!AY$3,0)+IF(EOMONTH(DATE(YEAR(Finance!$AU$1),MONTH(Finance!$AU$1),1)+INT((DAY(Finance!$AU$1)-1)/2)+Finance!AV$4,0)=EOMONTH($BJ$1,0),Finance!AV$3,0)+IF(EOMONTH(DATE(YEAR(Finance!$AR$1),MONTH(Finance!$AR$1),1)+INT((DAY(Finance!$AR$1)-1)/2)+Finance!AS$4,0)=EOMONTH($BJ$1,0),Finance!AS$3,0)+IF(EOMONTH(DATE(YEAR(Finance!$AO$1),MONTH(Finance!$AO$1),1)+INT((DAY(Finance!$AO$1)-1)/2)+Finance!AP$4,0)=EOMONTH($BJ$1,0),Finance!AP$3,0)+IF(EOMONTH(DATE(YEAR(Finance!$AL$1),MONTH(Finance!$AL$1),1)+INT((DAY(Finance!$AL$1)-1)/2)+Finance!AM$4,0)=EOMONTH($BJ$1,0),Finance!AM$3,0)+IF(EOMONTH(DATE(YEAR(Finance!$AI$1),MONTH(Finance!$AI$1),1)+INT((DAY(Finance!$AI$1)-1)/2)+Finance!AJ$4,0)=EOMONTH($BJ$1,0),Finance!AJ$3,0)+IF(EOMONTH(DATE(YEAR(Finance!$AF$1),MONTH(Finance!$AF$1),1)+INT((DAY(Finance!$AF$1)-1)/2)+Finance!AG$4,0)=EOMONTH($BJ$1,0),Finance!AG$3,0)+IF(EOMONTH(DATE(YEAR(Finance!$AC$1),MONTH(Finance!$AC$1),1)+INT((DAY(Finance!$AC$1)-1)/2)+Finance!AD$4,0)=EOMONTH($BJ$1,0),Finance!AD$3,0)+IF(EOMONTH(DATE(YEAR(Finance!$Z$1),MONTH(Finance!$Z$1),1)+INT((DAY(Finance!$Z$1)-1)/2)+Finance!AA$4,0)=EOMONTH($BJ$1,0),Finance!AA$3,0)+IF(EOMONTH(DATE(YEAR(Finance!$W$1),MONTH(Finance!$W$1),1)+INT((DAY(Finance!$W$1)-1)/2)+Finance!X$4,0)=EOMONTH($BJ$1,0),Finance!X$3,0)+IF(EOMONTH(DATE(YEAR(Finance!$T$1),MONTH(Finance!$T$1),1)+INT((DAY(Finance!$T$1)-1)/2)+Finance!U$4,0)=EOMONTH($BJ$1,0),Finance!U$3,0)+IF(EOMONTH(DATE(YEAR(Finance!$Q$1),MONTH(Finance!$Q$1),1)+INT((DAY(Finance!$Q$1)-1)/2)+Finance!R$4,0)=EOMONTH($BJ$1,0),Finance!R$3,0)+IF(EOMONTH(DATE(YEAR(Finance!$N$1),MONTH(Finance!$N$1),1)+INT((DAY(Finance!$N$1)-1)/2)+Finance!O$4,0)=EOMONTH($BJ$1,0),Finance!O$3,0)+IF(EOMONTH(DATE(YEAR(Finance!$K$1),MONTH(Finance!$K$1),1)+INT((DAY(Finance!$K$1)-1)/2)+Finance!L$4,0)=EOMONTH($BJ$1,0),Finance!L$3,0)+IF(EOMONTH('Cash Drivers'!$DL$30+Finance!DM$4,0)=EOMONTH($BJ$1,0),'Cash Drivers'!$DL$35,0),0))</f>
        <v>1547674</v>
      </c>
      <c r="BL5" s="12" t="n">
        <f aca="false">ROUND(IF(EOMONTH(DATE(YEAR(Finance!$DL$1),MONTH(Finance!$DL$1),1)+INT((DAY(Finance!$DL$1)-1)/2)+Finance!DN$4,0)=EOMONTH($BJ$1,0),Finance!DN$3,0)+IF(EOMONTH(DATE(YEAR(Finance!$DI$1),MONTH(Finance!$DI$1),1)+INT((DAY(Finance!$DI$1)-1)/2)+Finance!DK$4,0)=EOMONTH($BJ$1,0),Finance!DK$3,0)+IF(EOMONTH(DATE(YEAR(Finance!$DF$1),MONTH(Finance!$DF$1),1)+INT((DAY(Finance!$DF$1)-1)/2)+Finance!DH$4,0)=EOMONTH($BJ$1,0),Finance!DH$3,0)+IF(EOMONTH(DATE(YEAR(Finance!$DC$1),MONTH(Finance!$DC$1),1)+INT((DAY(Finance!$DC$1)-1)/2)+Finance!DE$4,0)=EOMONTH($BJ$1,0),Finance!DE$3,0)+IF(EOMONTH(DATE(YEAR(Finance!$CZ$1),MONTH(Finance!$CZ$1),1)+INT((DAY(Finance!$CZ$1)-1)/2)+Finance!DB$4,0)=EOMONTH($BJ$1,0),Finance!DB$3,0)+IF(EOMONTH(DATE(YEAR(Finance!$CW$1),MONTH(Finance!$CW$1),1)+INT((DAY(Finance!$CW$1)-1)/2)+Finance!CY$4,0)=EOMONTH($BJ$1,0),Finance!CY$3,0)+IF(EOMONTH(DATE(YEAR(Finance!$CT$1),MONTH(Finance!$CT$1),1)+INT((DAY(Finance!$CT$1)-1)/2)+Finance!CV$4,0)=EOMONTH($BJ$1,0),Finance!CV$3,0)+IF(EOMONTH(DATE(YEAR(Finance!$CQ$1),MONTH(Finance!$CQ$1),1)+INT((DAY(Finance!$CQ$1)-1)/2)+Finance!CS$4,0)=EOMONTH($BJ$1,0),Finance!CS$3,0)+IF(EOMONTH(DATE(YEAR(Finance!$CN$1),MONTH(Finance!$CN$1),1)+INT((DAY(Finance!$CN$1)-1)/2)+Finance!CP$4,0)=EOMONTH($BJ$1,0),Finance!CP$3,0)+IF(EOMONTH(DATE(YEAR(Finance!$CK$1),MONTH(Finance!$CK$1),1)+INT((DAY(Finance!$CK$1)-1)/2)+Finance!CM$4,0)=EOMONTH($BJ$1,0),Finance!CM$3,0)+IF(EOMONTH(DATE(YEAR(Finance!$CH$1),MONTH(Finance!$CH$1),1)+INT((DAY(Finance!$CH$1)-1)/2)+Finance!CJ$4,0)=EOMONTH($BJ$1,0),Finance!CJ$3,0)+IF(EOMONTH(DATE(YEAR(Finance!$CE$1),MONTH(Finance!$CE$1),1)+INT((DAY(Finance!$CE$1)-1)/2)+Finance!CG$4,0)=EOMONTH($BJ$1,0),Finance!CG$3,0)+IF(EOMONTH(DATE(YEAR(Finance!$CB$1),MONTH(Finance!$CB$1),1)+INT((DAY(Finance!$CB$1)-1)/2)+Finance!CD$4,0)=EOMONTH($BJ$1,0),Finance!CD$3,0)+IF(EOMONTH(DATE(YEAR(Finance!$BY$1),MONTH(Finance!$BY$1),1)+INT((DAY(Finance!$BY$1)-1)/2)+Finance!CA$4,0)=EOMONTH($BJ$1,0),Finance!CA$3,0)+IF(EOMONTH(DATE(YEAR(Finance!$BV$1),MONTH(Finance!$BV$1),1)+INT((DAY(Finance!$BV$1)-1)/2)+Finance!BX$4,0)=EOMONTH($BJ$1,0),Finance!BX$3,0)+IF(EOMONTH(DATE(YEAR(Finance!$BS$1),MONTH(Finance!$BS$1),1)+INT((DAY(Finance!$BS$1)-1)/2)+Finance!BU$4,0)=EOMONTH($BJ$1,0),Finance!BU$3,0)+IF(EOMONTH(DATE(YEAR(Finance!$BP$1),MONTH(Finance!$BP$1),1)+INT((DAY(Finance!$BP$1)-1)/2)+Finance!BR$4,0)=EOMONTH($BJ$1,0),Finance!BR$3,0)+IF(EOMONTH(DATE(YEAR(Finance!$BM$1),MONTH(Finance!$BM$1),1)+INT((DAY(Finance!$BM$1)-1)/2)+Finance!BO$4,0)=EOMONTH($BJ$1,0),Finance!BO$3,0)+IF(EOMONTH(DATE(YEAR(Finance!$BJ$1),MONTH(Finance!$BJ$1),1)+INT((DAY(Finance!$BJ$1)-1)/2)+Finance!BL$4,0)=EOMONTH($BJ$1,0),Finance!BL$3,0)+IF(EOMONTH(DATE(YEAR(Finance!$BG$1),MONTH(Finance!$BG$1),1)+INT((DAY(Finance!$BG$1)-1)/2)+Finance!BI$4,0)=EOMONTH($BJ$1,0),Finance!BI$3,0)+IF(EOMONTH(DATE(YEAR(Finance!$BD$1),MONTH(Finance!$BD$1),1)+INT((DAY(Finance!$BD$1)-1)/2)+Finance!BF$4,0)=EOMONTH($BJ$1,0),Finance!BF$3,0)+IF(EOMONTH(DATE(YEAR(Finance!$BA$1),MONTH(Finance!$BA$1),1)+INT((DAY(Finance!$BA$1)-1)/2)+Finance!BC$4,0)=EOMONTH($BJ$1,0),Finance!BC$3,0)+IF(EOMONTH(DATE(YEAR(Finance!$AX$1),MONTH(Finance!$AX$1),1)+INT((DAY(Finance!$AX$1)-1)/2)+Finance!AZ$4,0)=EOMONTH($BJ$1,0),Finance!AZ$3,0)+IF(EOMONTH(DATE(YEAR(Finance!$AU$1),MONTH(Finance!$AU$1),1)+INT((DAY(Finance!$AU$1)-1)/2)+Finance!AW$4,0)=EOMONTH($BJ$1,0),Finance!AW$3,0)+IF(EOMONTH(DATE(YEAR(Finance!$AR$1),MONTH(Finance!$AR$1),1)+INT((DAY(Finance!$AR$1)-1)/2)+Finance!AT$4,0)=EOMONTH($BJ$1,0),Finance!AT$3,0)+IF(EOMONTH(DATE(YEAR(Finance!$AO$1),MONTH(Finance!$AO$1),1)+INT((DAY(Finance!$AO$1)-1)/2)+Finance!AQ$4,0)=EOMONTH($BJ$1,0),Finance!AQ$3,0)+IF(EOMONTH(DATE(YEAR(Finance!$AL$1),MONTH(Finance!$AL$1),1)+INT((DAY(Finance!$AL$1)-1)/2)+Finance!AN$4,0)=EOMONTH($BJ$1,0),Finance!AN$3,0)+IF(EOMONTH(DATE(YEAR(Finance!$AI$1),MONTH(Finance!$AI$1),1)+INT((DAY(Finance!$AI$1)-1)/2)+Finance!AK$4,0)=EOMONTH($BJ$1,0),Finance!AK$3,0)+IF(EOMONTH(DATE(YEAR(Finance!$AF$1),MONTH(Finance!$AF$1),1)+INT((DAY(Finance!$AF$1)-1)/2)+Finance!AH$4,0)=EOMONTH($BJ$1,0),Finance!AH$3,0)+IF(EOMONTH(DATE(YEAR(Finance!$AC$1),MONTH(Finance!$AC$1),1)+INT((DAY(Finance!$AC$1)-1)/2)+Finance!AE$4,0)=EOMONTH($BJ$1,0),Finance!AE$3,0)+IF(EOMONTH(DATE(YEAR(Finance!$Z$1),MONTH(Finance!$Z$1),1)+INT((DAY(Finance!$Z$1)-1)/2)+Finance!AB$4,0)=EOMONTH($BJ$1,0),Finance!AB$3,0)+IF(EOMONTH(DATE(YEAR(Finance!$W$1),MONTH(Finance!$W$1),1)+INT((DAY(Finance!$W$1)-1)/2)+Finance!Y$4,0)=EOMONTH($BJ$1,0),Finance!Y$3,0)+IF(EOMONTH(DATE(YEAR(Finance!$T$1),MONTH(Finance!$T$1),1)+INT((DAY(Finance!$T$1)-1)/2)+Finance!V$4,0)=EOMONTH($BJ$1,0),Finance!V$3,0)+IF(EOMONTH(DATE(YEAR(Finance!$Q$1),MONTH(Finance!$Q$1),1)+INT((DAY(Finance!$Q$1)-1)/2)+Finance!S$4,0)=EOMONTH($BJ$1,0),Finance!S$3,0)+IF(EOMONTH(DATE(YEAR(Finance!$N$1),MONTH(Finance!$N$1),1)+INT((DAY(Finance!$N$1)-1)/2)+Finance!P$4,0)=EOMONTH($BJ$1,0),Finance!P$3,0)+IF(EOMONTH(DATE(YEAR(Finance!$K$1),MONTH(Finance!$K$1),1)+INT((DAY(Finance!$K$1)-1)/2)+Finance!M$4,0)=EOMONTH($BJ$1,0),Finance!M$3,0)+IF(EOMONTH('Cash Drivers'!$DL$30+Finance!DN$4,0)=EOMONTH($BJ$1,0),'Cash Drivers'!$DL$35,0),0)</f>
        <v>1521176</v>
      </c>
      <c r="BM5" s="13"/>
      <c r="BN5" s="13" t="n">
        <f aca="false">IF('Cash Drivers'!BN$26,BM5,ROUND(IF(EOMONTH(DATE(YEAR(Finance!$DL$1),MONTH(Finance!$DL$1),1)+INT((DAY(Finance!$DL$1)-1)/2)+Finance!DM$4,0)=EOMONTH($BM$1,0),Finance!DM$3,0)+IF(EOMONTH(DATE(YEAR(Finance!$DI$1),MONTH(Finance!$DI$1),1)+INT((DAY(Finance!$DI$1)-1)/2)+Finance!DJ$4,0)=EOMONTH($BM$1,0),Finance!DJ$3,0)+IF(EOMONTH(DATE(YEAR(Finance!$DF$1),MONTH(Finance!$DF$1),1)+INT((DAY(Finance!$DF$1)-1)/2)+Finance!DG$4,0)=EOMONTH($BM$1,0),Finance!DG$3,0)+IF(EOMONTH(DATE(YEAR(Finance!$DC$1),MONTH(Finance!$DC$1),1)+INT((DAY(Finance!$DC$1)-1)/2)+Finance!DD$4,0)=EOMONTH($BM$1,0),Finance!DD$3,0)+IF(EOMONTH(DATE(YEAR(Finance!$CZ$1),MONTH(Finance!$CZ$1),1)+INT((DAY(Finance!$CZ$1)-1)/2)+Finance!DA$4,0)=EOMONTH($BM$1,0),Finance!DA$3,0)+IF(EOMONTH(DATE(YEAR(Finance!$CW$1),MONTH(Finance!$CW$1),1)+INT((DAY(Finance!$CW$1)-1)/2)+Finance!CX$4,0)=EOMONTH($BM$1,0),Finance!CX$3,0)+IF(EOMONTH(DATE(YEAR(Finance!$CT$1),MONTH(Finance!$CT$1),1)+INT((DAY(Finance!$CT$1)-1)/2)+Finance!CU$4,0)=EOMONTH($BM$1,0),Finance!CU$3,0)+IF(EOMONTH(DATE(YEAR(Finance!$CQ$1),MONTH(Finance!$CQ$1),1)+INT((DAY(Finance!$CQ$1)-1)/2)+Finance!CR$4,0)=EOMONTH($BM$1,0),Finance!CR$3,0)+IF(EOMONTH(DATE(YEAR(Finance!$CN$1),MONTH(Finance!$CN$1),1)+INT((DAY(Finance!$CN$1)-1)/2)+Finance!CO$4,0)=EOMONTH($BM$1,0),Finance!CO$3,0)+IF(EOMONTH(DATE(YEAR(Finance!$CK$1),MONTH(Finance!$CK$1),1)+INT((DAY(Finance!$CK$1)-1)/2)+Finance!CL$4,0)=EOMONTH($BM$1,0),Finance!CL$3,0)+IF(EOMONTH(DATE(YEAR(Finance!$CH$1),MONTH(Finance!$CH$1),1)+INT((DAY(Finance!$CH$1)-1)/2)+Finance!CI$4,0)=EOMONTH($BM$1,0),Finance!CI$3,0)+IF(EOMONTH(DATE(YEAR(Finance!$CE$1),MONTH(Finance!$CE$1),1)+INT((DAY(Finance!$CE$1)-1)/2)+Finance!CF$4,0)=EOMONTH($BM$1,0),Finance!CF$3,0)+IF(EOMONTH(DATE(YEAR(Finance!$CB$1),MONTH(Finance!$CB$1),1)+INT((DAY(Finance!$CB$1)-1)/2)+Finance!CC$4,0)=EOMONTH($BM$1,0),Finance!CC$3,0)+IF(EOMONTH(DATE(YEAR(Finance!$BY$1),MONTH(Finance!$BY$1),1)+INT((DAY(Finance!$BY$1)-1)/2)+Finance!BZ$4,0)=EOMONTH($BM$1,0),Finance!BZ$3,0)+IF(EOMONTH(DATE(YEAR(Finance!$BV$1),MONTH(Finance!$BV$1),1)+INT((DAY(Finance!$BV$1)-1)/2)+Finance!BW$4,0)=EOMONTH($BM$1,0),Finance!BW$3,0)+IF(EOMONTH(DATE(YEAR(Finance!$BS$1),MONTH(Finance!$BS$1),1)+INT((DAY(Finance!$BS$1)-1)/2)+Finance!BT$4,0)=EOMONTH($BM$1,0),Finance!BT$3,0)+IF(EOMONTH(DATE(YEAR(Finance!$BP$1),MONTH(Finance!$BP$1),1)+INT((DAY(Finance!$BP$1)-1)/2)+Finance!BQ$4,0)=EOMONTH($BM$1,0),Finance!BQ$3,0)+IF(EOMONTH(DATE(YEAR(Finance!$BM$1),MONTH(Finance!$BM$1),1)+INT((DAY(Finance!$BM$1)-1)/2)+Finance!BN$4,0)=EOMONTH($BM$1,0),Finance!BN$3,0)+IF(EOMONTH(DATE(YEAR(Finance!$BJ$1),MONTH(Finance!$BJ$1),1)+INT((DAY(Finance!$BJ$1)-1)/2)+Finance!BK$4,0)=EOMONTH($BM$1,0),Finance!BK$3,0)+IF(EOMONTH(DATE(YEAR(Finance!$BG$1),MONTH(Finance!$BG$1),1)+INT((DAY(Finance!$BG$1)-1)/2)+Finance!BH$4,0)=EOMONTH($BM$1,0),Finance!BH$3,0)+IF(EOMONTH(DATE(YEAR(Finance!$BD$1),MONTH(Finance!$BD$1),1)+INT((DAY(Finance!$BD$1)-1)/2)+Finance!BE$4,0)=EOMONTH($BM$1,0),Finance!BE$3,0)+IF(EOMONTH(DATE(YEAR(Finance!$BA$1),MONTH(Finance!$BA$1),1)+INT((DAY(Finance!$BA$1)-1)/2)+Finance!BB$4,0)=EOMONTH($BM$1,0),Finance!BB$3,0)+IF(EOMONTH(DATE(YEAR(Finance!$AX$1),MONTH(Finance!$AX$1),1)+INT((DAY(Finance!$AX$1)-1)/2)+Finance!AY$4,0)=EOMONTH($BM$1,0),Finance!AY$3,0)+IF(EOMONTH(DATE(YEAR(Finance!$AU$1),MONTH(Finance!$AU$1),1)+INT((DAY(Finance!$AU$1)-1)/2)+Finance!AV$4,0)=EOMONTH($BM$1,0),Finance!AV$3,0)+IF(EOMONTH(DATE(YEAR(Finance!$AR$1),MONTH(Finance!$AR$1),1)+INT((DAY(Finance!$AR$1)-1)/2)+Finance!AS$4,0)=EOMONTH($BM$1,0),Finance!AS$3,0)+IF(EOMONTH(DATE(YEAR(Finance!$AO$1),MONTH(Finance!$AO$1),1)+INT((DAY(Finance!$AO$1)-1)/2)+Finance!AP$4,0)=EOMONTH($BM$1,0),Finance!AP$3,0)+IF(EOMONTH(DATE(YEAR(Finance!$AL$1),MONTH(Finance!$AL$1),1)+INT((DAY(Finance!$AL$1)-1)/2)+Finance!AM$4,0)=EOMONTH($BM$1,0),Finance!AM$3,0)+IF(EOMONTH(DATE(YEAR(Finance!$AI$1),MONTH(Finance!$AI$1),1)+INT((DAY(Finance!$AI$1)-1)/2)+Finance!AJ$4,0)=EOMONTH($BM$1,0),Finance!AJ$3,0)+IF(EOMONTH(DATE(YEAR(Finance!$AF$1),MONTH(Finance!$AF$1),1)+INT((DAY(Finance!$AF$1)-1)/2)+Finance!AG$4,0)=EOMONTH($BM$1,0),Finance!AG$3,0)+IF(EOMONTH(DATE(YEAR(Finance!$AC$1),MONTH(Finance!$AC$1),1)+INT((DAY(Finance!$AC$1)-1)/2)+Finance!AD$4,0)=EOMONTH($BM$1,0),Finance!AD$3,0)+IF(EOMONTH(DATE(YEAR(Finance!$Z$1),MONTH(Finance!$Z$1),1)+INT((DAY(Finance!$Z$1)-1)/2)+Finance!AA$4,0)=EOMONTH($BM$1,0),Finance!AA$3,0)+IF(EOMONTH(DATE(YEAR(Finance!$W$1),MONTH(Finance!$W$1),1)+INT((DAY(Finance!$W$1)-1)/2)+Finance!X$4,0)=EOMONTH($BM$1,0),Finance!X$3,0)+IF(EOMONTH(DATE(YEAR(Finance!$T$1),MONTH(Finance!$T$1),1)+INT((DAY(Finance!$T$1)-1)/2)+Finance!U$4,0)=EOMONTH($BM$1,0),Finance!U$3,0)+IF(EOMONTH(DATE(YEAR(Finance!$Q$1),MONTH(Finance!$Q$1),1)+INT((DAY(Finance!$Q$1)-1)/2)+Finance!R$4,0)=EOMONTH($BM$1,0),Finance!R$3,0)+IF(EOMONTH(DATE(YEAR(Finance!$N$1),MONTH(Finance!$N$1),1)+INT((DAY(Finance!$N$1)-1)/2)+Finance!O$4,0)=EOMONTH($BM$1,0),Finance!O$3,0)+IF(EOMONTH(DATE(YEAR(Finance!$K$1),MONTH(Finance!$K$1),1)+INT((DAY(Finance!$K$1)-1)/2)+Finance!L$4,0)=EOMONTH($BM$1,0),Finance!L$3,0)+IF(EOMONTH('Cash Drivers'!$DL$30+Finance!DM$4,0)=EOMONTH($BM$1,0),'Cash Drivers'!$DL$35,0),0))</f>
        <v>1508392</v>
      </c>
      <c r="BO5" s="13" t="n">
        <f aca="false">ROUND(IF(EOMONTH(DATE(YEAR(Finance!$DL$1),MONTH(Finance!$DL$1),1)+INT((DAY(Finance!$DL$1)-1)/2)+Finance!DN$4,0)=EOMONTH($BM$1,0),Finance!DN$3,0)+IF(EOMONTH(DATE(YEAR(Finance!$DI$1),MONTH(Finance!$DI$1),1)+INT((DAY(Finance!$DI$1)-1)/2)+Finance!DK$4,0)=EOMONTH($BM$1,0),Finance!DK$3,0)+IF(EOMONTH(DATE(YEAR(Finance!$DF$1),MONTH(Finance!$DF$1),1)+INT((DAY(Finance!$DF$1)-1)/2)+Finance!DH$4,0)=EOMONTH($BM$1,0),Finance!DH$3,0)+IF(EOMONTH(DATE(YEAR(Finance!$DC$1),MONTH(Finance!$DC$1),1)+INT((DAY(Finance!$DC$1)-1)/2)+Finance!DE$4,0)=EOMONTH($BM$1,0),Finance!DE$3,0)+IF(EOMONTH(DATE(YEAR(Finance!$CZ$1),MONTH(Finance!$CZ$1),1)+INT((DAY(Finance!$CZ$1)-1)/2)+Finance!DB$4,0)=EOMONTH($BM$1,0),Finance!DB$3,0)+IF(EOMONTH(DATE(YEAR(Finance!$CW$1),MONTH(Finance!$CW$1),1)+INT((DAY(Finance!$CW$1)-1)/2)+Finance!CY$4,0)=EOMONTH($BM$1,0),Finance!CY$3,0)+IF(EOMONTH(DATE(YEAR(Finance!$CT$1),MONTH(Finance!$CT$1),1)+INT((DAY(Finance!$CT$1)-1)/2)+Finance!CV$4,0)=EOMONTH($BM$1,0),Finance!CV$3,0)+IF(EOMONTH(DATE(YEAR(Finance!$CQ$1),MONTH(Finance!$CQ$1),1)+INT((DAY(Finance!$CQ$1)-1)/2)+Finance!CS$4,0)=EOMONTH($BM$1,0),Finance!CS$3,0)+IF(EOMONTH(DATE(YEAR(Finance!$CN$1),MONTH(Finance!$CN$1),1)+INT((DAY(Finance!$CN$1)-1)/2)+Finance!CP$4,0)=EOMONTH($BM$1,0),Finance!CP$3,0)+IF(EOMONTH(DATE(YEAR(Finance!$CK$1),MONTH(Finance!$CK$1),1)+INT((DAY(Finance!$CK$1)-1)/2)+Finance!CM$4,0)=EOMONTH($BM$1,0),Finance!CM$3,0)+IF(EOMONTH(DATE(YEAR(Finance!$CH$1),MONTH(Finance!$CH$1),1)+INT((DAY(Finance!$CH$1)-1)/2)+Finance!CJ$4,0)=EOMONTH($BM$1,0),Finance!CJ$3,0)+IF(EOMONTH(DATE(YEAR(Finance!$CE$1),MONTH(Finance!$CE$1),1)+INT((DAY(Finance!$CE$1)-1)/2)+Finance!CG$4,0)=EOMONTH($BM$1,0),Finance!CG$3,0)+IF(EOMONTH(DATE(YEAR(Finance!$CB$1),MONTH(Finance!$CB$1),1)+INT((DAY(Finance!$CB$1)-1)/2)+Finance!CD$4,0)=EOMONTH($BM$1,0),Finance!CD$3,0)+IF(EOMONTH(DATE(YEAR(Finance!$BY$1),MONTH(Finance!$BY$1),1)+INT((DAY(Finance!$BY$1)-1)/2)+Finance!CA$4,0)=EOMONTH($BM$1,0),Finance!CA$3,0)+IF(EOMONTH(DATE(YEAR(Finance!$BV$1),MONTH(Finance!$BV$1),1)+INT((DAY(Finance!$BV$1)-1)/2)+Finance!BX$4,0)=EOMONTH($BM$1,0),Finance!BX$3,0)+IF(EOMONTH(DATE(YEAR(Finance!$BS$1),MONTH(Finance!$BS$1),1)+INT((DAY(Finance!$BS$1)-1)/2)+Finance!BU$4,0)=EOMONTH($BM$1,0),Finance!BU$3,0)+IF(EOMONTH(DATE(YEAR(Finance!$BP$1),MONTH(Finance!$BP$1),1)+INT((DAY(Finance!$BP$1)-1)/2)+Finance!BR$4,0)=EOMONTH($BM$1,0),Finance!BR$3,0)+IF(EOMONTH(DATE(YEAR(Finance!$BM$1),MONTH(Finance!$BM$1),1)+INT((DAY(Finance!$BM$1)-1)/2)+Finance!BO$4,0)=EOMONTH($BM$1,0),Finance!BO$3,0)+IF(EOMONTH(DATE(YEAR(Finance!$BJ$1),MONTH(Finance!$BJ$1),1)+INT((DAY(Finance!$BJ$1)-1)/2)+Finance!BL$4,0)=EOMONTH($BM$1,0),Finance!BL$3,0)+IF(EOMONTH(DATE(YEAR(Finance!$BG$1),MONTH(Finance!$BG$1),1)+INT((DAY(Finance!$BG$1)-1)/2)+Finance!BI$4,0)=EOMONTH($BM$1,0),Finance!BI$3,0)+IF(EOMONTH(DATE(YEAR(Finance!$BD$1),MONTH(Finance!$BD$1),1)+INT((DAY(Finance!$BD$1)-1)/2)+Finance!BF$4,0)=EOMONTH($BM$1,0),Finance!BF$3,0)+IF(EOMONTH(DATE(YEAR(Finance!$BA$1),MONTH(Finance!$BA$1),1)+INT((DAY(Finance!$BA$1)-1)/2)+Finance!BC$4,0)=EOMONTH($BM$1,0),Finance!BC$3,0)+IF(EOMONTH(DATE(YEAR(Finance!$AX$1),MONTH(Finance!$AX$1),1)+INT((DAY(Finance!$AX$1)-1)/2)+Finance!AZ$4,0)=EOMONTH($BM$1,0),Finance!AZ$3,0)+IF(EOMONTH(DATE(YEAR(Finance!$AU$1),MONTH(Finance!$AU$1),1)+INT((DAY(Finance!$AU$1)-1)/2)+Finance!AW$4,0)=EOMONTH($BM$1,0),Finance!AW$3,0)+IF(EOMONTH(DATE(YEAR(Finance!$AR$1),MONTH(Finance!$AR$1),1)+INT((DAY(Finance!$AR$1)-1)/2)+Finance!AT$4,0)=EOMONTH($BM$1,0),Finance!AT$3,0)+IF(EOMONTH(DATE(YEAR(Finance!$AO$1),MONTH(Finance!$AO$1),1)+INT((DAY(Finance!$AO$1)-1)/2)+Finance!AQ$4,0)=EOMONTH($BM$1,0),Finance!AQ$3,0)+IF(EOMONTH(DATE(YEAR(Finance!$AL$1),MONTH(Finance!$AL$1),1)+INT((DAY(Finance!$AL$1)-1)/2)+Finance!AN$4,0)=EOMONTH($BM$1,0),Finance!AN$3,0)+IF(EOMONTH(DATE(YEAR(Finance!$AI$1),MONTH(Finance!$AI$1),1)+INT((DAY(Finance!$AI$1)-1)/2)+Finance!AK$4,0)=EOMONTH($BM$1,0),Finance!AK$3,0)+IF(EOMONTH(DATE(YEAR(Finance!$AF$1),MONTH(Finance!$AF$1),1)+INT((DAY(Finance!$AF$1)-1)/2)+Finance!AH$4,0)=EOMONTH($BM$1,0),Finance!AH$3,0)+IF(EOMONTH(DATE(YEAR(Finance!$AC$1),MONTH(Finance!$AC$1),1)+INT((DAY(Finance!$AC$1)-1)/2)+Finance!AE$4,0)=EOMONTH($BM$1,0),Finance!AE$3,0)+IF(EOMONTH(DATE(YEAR(Finance!$Z$1),MONTH(Finance!$Z$1),1)+INT((DAY(Finance!$Z$1)-1)/2)+Finance!AB$4,0)=EOMONTH($BM$1,0),Finance!AB$3,0)+IF(EOMONTH(DATE(YEAR(Finance!$W$1),MONTH(Finance!$W$1),1)+INT((DAY(Finance!$W$1)-1)/2)+Finance!Y$4,0)=EOMONTH($BM$1,0),Finance!Y$3,0)+IF(EOMONTH(DATE(YEAR(Finance!$T$1),MONTH(Finance!$T$1),1)+INT((DAY(Finance!$T$1)-1)/2)+Finance!V$4,0)=EOMONTH($BM$1,0),Finance!V$3,0)+IF(EOMONTH(DATE(YEAR(Finance!$Q$1),MONTH(Finance!$Q$1),1)+INT((DAY(Finance!$Q$1)-1)/2)+Finance!S$4,0)=EOMONTH($BM$1,0),Finance!S$3,0)+IF(EOMONTH(DATE(YEAR(Finance!$N$1),MONTH(Finance!$N$1),1)+INT((DAY(Finance!$N$1)-1)/2)+Finance!P$4,0)=EOMONTH($BM$1,0),Finance!P$3,0)+IF(EOMONTH(DATE(YEAR(Finance!$K$1),MONTH(Finance!$K$1),1)+INT((DAY(Finance!$K$1)-1)/2)+Finance!M$4,0)=EOMONTH($BM$1,0),Finance!M$3,0)+IF(EOMONTH('Cash Drivers'!$DL$30+Finance!DN$4,0)=EOMONTH($BM$1,0),'Cash Drivers'!$DL$35,0),0)</f>
        <v>1481890</v>
      </c>
      <c r="BP5" s="12"/>
      <c r="BQ5" s="12" t="n">
        <f aca="false">IF('Cash Drivers'!BQ$26,BP5,ROUND(IF(EOMONTH(DATE(YEAR(Finance!$DL$1),MONTH(Finance!$DL$1),1)+INT((DAY(Finance!$DL$1)-1)/2)+Finance!DM$4,0)=EOMONTH($BP$1,0),Finance!DM$3,0)+IF(EOMONTH(DATE(YEAR(Finance!$DI$1),MONTH(Finance!$DI$1),1)+INT((DAY(Finance!$DI$1)-1)/2)+Finance!DJ$4,0)=EOMONTH($BP$1,0),Finance!DJ$3,0)+IF(EOMONTH(DATE(YEAR(Finance!$DF$1),MONTH(Finance!$DF$1),1)+INT((DAY(Finance!$DF$1)-1)/2)+Finance!DG$4,0)=EOMONTH($BP$1,0),Finance!DG$3,0)+IF(EOMONTH(DATE(YEAR(Finance!$DC$1),MONTH(Finance!$DC$1),1)+INT((DAY(Finance!$DC$1)-1)/2)+Finance!DD$4,0)=EOMONTH($BP$1,0),Finance!DD$3,0)+IF(EOMONTH(DATE(YEAR(Finance!$CZ$1),MONTH(Finance!$CZ$1),1)+INT((DAY(Finance!$CZ$1)-1)/2)+Finance!DA$4,0)=EOMONTH($BP$1,0),Finance!DA$3,0)+IF(EOMONTH(DATE(YEAR(Finance!$CW$1),MONTH(Finance!$CW$1),1)+INT((DAY(Finance!$CW$1)-1)/2)+Finance!CX$4,0)=EOMONTH($BP$1,0),Finance!CX$3,0)+IF(EOMONTH(DATE(YEAR(Finance!$CT$1),MONTH(Finance!$CT$1),1)+INT((DAY(Finance!$CT$1)-1)/2)+Finance!CU$4,0)=EOMONTH($BP$1,0),Finance!CU$3,0)+IF(EOMONTH(DATE(YEAR(Finance!$CQ$1),MONTH(Finance!$CQ$1),1)+INT((DAY(Finance!$CQ$1)-1)/2)+Finance!CR$4,0)=EOMONTH($BP$1,0),Finance!CR$3,0)+IF(EOMONTH(DATE(YEAR(Finance!$CN$1),MONTH(Finance!$CN$1),1)+INT((DAY(Finance!$CN$1)-1)/2)+Finance!CO$4,0)=EOMONTH($BP$1,0),Finance!CO$3,0)+IF(EOMONTH(DATE(YEAR(Finance!$CK$1),MONTH(Finance!$CK$1),1)+INT((DAY(Finance!$CK$1)-1)/2)+Finance!CL$4,0)=EOMONTH($BP$1,0),Finance!CL$3,0)+IF(EOMONTH(DATE(YEAR(Finance!$CH$1),MONTH(Finance!$CH$1),1)+INT((DAY(Finance!$CH$1)-1)/2)+Finance!CI$4,0)=EOMONTH($BP$1,0),Finance!CI$3,0)+IF(EOMONTH(DATE(YEAR(Finance!$CE$1),MONTH(Finance!$CE$1),1)+INT((DAY(Finance!$CE$1)-1)/2)+Finance!CF$4,0)=EOMONTH($BP$1,0),Finance!CF$3,0)+IF(EOMONTH(DATE(YEAR(Finance!$CB$1),MONTH(Finance!$CB$1),1)+INT((DAY(Finance!$CB$1)-1)/2)+Finance!CC$4,0)=EOMONTH($BP$1,0),Finance!CC$3,0)+IF(EOMONTH(DATE(YEAR(Finance!$BY$1),MONTH(Finance!$BY$1),1)+INT((DAY(Finance!$BY$1)-1)/2)+Finance!BZ$4,0)=EOMONTH($BP$1,0),Finance!BZ$3,0)+IF(EOMONTH(DATE(YEAR(Finance!$BV$1),MONTH(Finance!$BV$1),1)+INT((DAY(Finance!$BV$1)-1)/2)+Finance!BW$4,0)=EOMONTH($BP$1,0),Finance!BW$3,0)+IF(EOMONTH(DATE(YEAR(Finance!$BS$1),MONTH(Finance!$BS$1),1)+INT((DAY(Finance!$BS$1)-1)/2)+Finance!BT$4,0)=EOMONTH($BP$1,0),Finance!BT$3,0)+IF(EOMONTH(DATE(YEAR(Finance!$BP$1),MONTH(Finance!$BP$1),1)+INT((DAY(Finance!$BP$1)-1)/2)+Finance!BQ$4,0)=EOMONTH($BP$1,0),Finance!BQ$3,0)+IF(EOMONTH(DATE(YEAR(Finance!$BM$1),MONTH(Finance!$BM$1),1)+INT((DAY(Finance!$BM$1)-1)/2)+Finance!BN$4,0)=EOMONTH($BP$1,0),Finance!BN$3,0)+IF(EOMONTH(DATE(YEAR(Finance!$BJ$1),MONTH(Finance!$BJ$1),1)+INT((DAY(Finance!$BJ$1)-1)/2)+Finance!BK$4,0)=EOMONTH($BP$1,0),Finance!BK$3,0)+IF(EOMONTH(DATE(YEAR(Finance!$BG$1),MONTH(Finance!$BG$1),1)+INT((DAY(Finance!$BG$1)-1)/2)+Finance!BH$4,0)=EOMONTH($BP$1,0),Finance!BH$3,0)+IF(EOMONTH(DATE(YEAR(Finance!$BD$1),MONTH(Finance!$BD$1),1)+INT((DAY(Finance!$BD$1)-1)/2)+Finance!BE$4,0)=EOMONTH($BP$1,0),Finance!BE$3,0)+IF(EOMONTH(DATE(YEAR(Finance!$BA$1),MONTH(Finance!$BA$1),1)+INT((DAY(Finance!$BA$1)-1)/2)+Finance!BB$4,0)=EOMONTH($BP$1,0),Finance!BB$3,0)+IF(EOMONTH(DATE(YEAR(Finance!$AX$1),MONTH(Finance!$AX$1),1)+INT((DAY(Finance!$AX$1)-1)/2)+Finance!AY$4,0)=EOMONTH($BP$1,0),Finance!AY$3,0)+IF(EOMONTH(DATE(YEAR(Finance!$AU$1),MONTH(Finance!$AU$1),1)+INT((DAY(Finance!$AU$1)-1)/2)+Finance!AV$4,0)=EOMONTH($BP$1,0),Finance!AV$3,0)+IF(EOMONTH(DATE(YEAR(Finance!$AR$1),MONTH(Finance!$AR$1),1)+INT((DAY(Finance!$AR$1)-1)/2)+Finance!AS$4,0)=EOMONTH($BP$1,0),Finance!AS$3,0)+IF(EOMONTH(DATE(YEAR(Finance!$AO$1),MONTH(Finance!$AO$1),1)+INT((DAY(Finance!$AO$1)-1)/2)+Finance!AP$4,0)=EOMONTH($BP$1,0),Finance!AP$3,0)+IF(EOMONTH(DATE(YEAR(Finance!$AL$1),MONTH(Finance!$AL$1),1)+INT((DAY(Finance!$AL$1)-1)/2)+Finance!AM$4,0)=EOMONTH($BP$1,0),Finance!AM$3,0)+IF(EOMONTH(DATE(YEAR(Finance!$AI$1),MONTH(Finance!$AI$1),1)+INT((DAY(Finance!$AI$1)-1)/2)+Finance!AJ$4,0)=EOMONTH($BP$1,0),Finance!AJ$3,0)+IF(EOMONTH(DATE(YEAR(Finance!$AF$1),MONTH(Finance!$AF$1),1)+INT((DAY(Finance!$AF$1)-1)/2)+Finance!AG$4,0)=EOMONTH($BP$1,0),Finance!AG$3,0)+IF(EOMONTH(DATE(YEAR(Finance!$AC$1),MONTH(Finance!$AC$1),1)+INT((DAY(Finance!$AC$1)-1)/2)+Finance!AD$4,0)=EOMONTH($BP$1,0),Finance!AD$3,0)+IF(EOMONTH(DATE(YEAR(Finance!$Z$1),MONTH(Finance!$Z$1),1)+INT((DAY(Finance!$Z$1)-1)/2)+Finance!AA$4,0)=EOMONTH($BP$1,0),Finance!AA$3,0)+IF(EOMONTH(DATE(YEAR(Finance!$W$1),MONTH(Finance!$W$1),1)+INT((DAY(Finance!$W$1)-1)/2)+Finance!X$4,0)=EOMONTH($BP$1,0),Finance!X$3,0)+IF(EOMONTH(DATE(YEAR(Finance!$T$1),MONTH(Finance!$T$1),1)+INT((DAY(Finance!$T$1)-1)/2)+Finance!U$4,0)=EOMONTH($BP$1,0),Finance!U$3,0)+IF(EOMONTH(DATE(YEAR(Finance!$Q$1),MONTH(Finance!$Q$1),1)+INT((DAY(Finance!$Q$1)-1)/2)+Finance!R$4,0)=EOMONTH($BP$1,0),Finance!R$3,0)+IF(EOMONTH(DATE(YEAR(Finance!$N$1),MONTH(Finance!$N$1),1)+INT((DAY(Finance!$N$1)-1)/2)+Finance!O$4,0)=EOMONTH($BP$1,0),Finance!O$3,0)+IF(EOMONTH(DATE(YEAR(Finance!$K$1),MONTH(Finance!$K$1),1)+INT((DAY(Finance!$K$1)-1)/2)+Finance!L$4,0)=EOMONTH($BP$1,0),Finance!L$3,0)+IF(EOMONTH('Cash Drivers'!$DL$30+Finance!DM$4,0)=EOMONTH($BP$1,0),'Cash Drivers'!$DL$35,0),0))</f>
        <v>1469379</v>
      </c>
      <c r="BR5" s="12" t="n">
        <f aca="false">ROUND(IF(EOMONTH(DATE(YEAR(Finance!$DL$1),MONTH(Finance!$DL$1),1)+INT((DAY(Finance!$DL$1)-1)/2)+Finance!DN$4,0)=EOMONTH($BP$1,0),Finance!DN$3,0)+IF(EOMONTH(DATE(YEAR(Finance!$DI$1),MONTH(Finance!$DI$1),1)+INT((DAY(Finance!$DI$1)-1)/2)+Finance!DK$4,0)=EOMONTH($BP$1,0),Finance!DK$3,0)+IF(EOMONTH(DATE(YEAR(Finance!$DF$1),MONTH(Finance!$DF$1),1)+INT((DAY(Finance!$DF$1)-1)/2)+Finance!DH$4,0)=EOMONTH($BP$1,0),Finance!DH$3,0)+IF(EOMONTH(DATE(YEAR(Finance!$DC$1),MONTH(Finance!$DC$1),1)+INT((DAY(Finance!$DC$1)-1)/2)+Finance!DE$4,0)=EOMONTH($BP$1,0),Finance!DE$3,0)+IF(EOMONTH(DATE(YEAR(Finance!$CZ$1),MONTH(Finance!$CZ$1),1)+INT((DAY(Finance!$CZ$1)-1)/2)+Finance!DB$4,0)=EOMONTH($BP$1,0),Finance!DB$3,0)+IF(EOMONTH(DATE(YEAR(Finance!$CW$1),MONTH(Finance!$CW$1),1)+INT((DAY(Finance!$CW$1)-1)/2)+Finance!CY$4,0)=EOMONTH($BP$1,0),Finance!CY$3,0)+IF(EOMONTH(DATE(YEAR(Finance!$CT$1),MONTH(Finance!$CT$1),1)+INT((DAY(Finance!$CT$1)-1)/2)+Finance!CV$4,0)=EOMONTH($BP$1,0),Finance!CV$3,0)+IF(EOMONTH(DATE(YEAR(Finance!$CQ$1),MONTH(Finance!$CQ$1),1)+INT((DAY(Finance!$CQ$1)-1)/2)+Finance!CS$4,0)=EOMONTH($BP$1,0),Finance!CS$3,0)+IF(EOMONTH(DATE(YEAR(Finance!$CN$1),MONTH(Finance!$CN$1),1)+INT((DAY(Finance!$CN$1)-1)/2)+Finance!CP$4,0)=EOMONTH($BP$1,0),Finance!CP$3,0)+IF(EOMONTH(DATE(YEAR(Finance!$CK$1),MONTH(Finance!$CK$1),1)+INT((DAY(Finance!$CK$1)-1)/2)+Finance!CM$4,0)=EOMONTH($BP$1,0),Finance!CM$3,0)+IF(EOMONTH(DATE(YEAR(Finance!$CH$1),MONTH(Finance!$CH$1),1)+INT((DAY(Finance!$CH$1)-1)/2)+Finance!CJ$4,0)=EOMONTH($BP$1,0),Finance!CJ$3,0)+IF(EOMONTH(DATE(YEAR(Finance!$CE$1),MONTH(Finance!$CE$1),1)+INT((DAY(Finance!$CE$1)-1)/2)+Finance!CG$4,0)=EOMONTH($BP$1,0),Finance!CG$3,0)+IF(EOMONTH(DATE(YEAR(Finance!$CB$1),MONTH(Finance!$CB$1),1)+INT((DAY(Finance!$CB$1)-1)/2)+Finance!CD$4,0)=EOMONTH($BP$1,0),Finance!CD$3,0)+IF(EOMONTH(DATE(YEAR(Finance!$BY$1),MONTH(Finance!$BY$1),1)+INT((DAY(Finance!$BY$1)-1)/2)+Finance!CA$4,0)=EOMONTH($BP$1,0),Finance!CA$3,0)+IF(EOMONTH(DATE(YEAR(Finance!$BV$1),MONTH(Finance!$BV$1),1)+INT((DAY(Finance!$BV$1)-1)/2)+Finance!BX$4,0)=EOMONTH($BP$1,0),Finance!BX$3,0)+IF(EOMONTH(DATE(YEAR(Finance!$BS$1),MONTH(Finance!$BS$1),1)+INT((DAY(Finance!$BS$1)-1)/2)+Finance!BU$4,0)=EOMONTH($BP$1,0),Finance!BU$3,0)+IF(EOMONTH(DATE(YEAR(Finance!$BP$1),MONTH(Finance!$BP$1),1)+INT((DAY(Finance!$BP$1)-1)/2)+Finance!BR$4,0)=EOMONTH($BP$1,0),Finance!BR$3,0)+IF(EOMONTH(DATE(YEAR(Finance!$BM$1),MONTH(Finance!$BM$1),1)+INT((DAY(Finance!$BM$1)-1)/2)+Finance!BO$4,0)=EOMONTH($BP$1,0),Finance!BO$3,0)+IF(EOMONTH(DATE(YEAR(Finance!$BJ$1),MONTH(Finance!$BJ$1),1)+INT((DAY(Finance!$BJ$1)-1)/2)+Finance!BL$4,0)=EOMONTH($BP$1,0),Finance!BL$3,0)+IF(EOMONTH(DATE(YEAR(Finance!$BG$1),MONTH(Finance!$BG$1),1)+INT((DAY(Finance!$BG$1)-1)/2)+Finance!BI$4,0)=EOMONTH($BP$1,0),Finance!BI$3,0)+IF(EOMONTH(DATE(YEAR(Finance!$BD$1),MONTH(Finance!$BD$1),1)+INT((DAY(Finance!$BD$1)-1)/2)+Finance!BF$4,0)=EOMONTH($BP$1,0),Finance!BF$3,0)+IF(EOMONTH(DATE(YEAR(Finance!$BA$1),MONTH(Finance!$BA$1),1)+INT((DAY(Finance!$BA$1)-1)/2)+Finance!BC$4,0)=EOMONTH($BP$1,0),Finance!BC$3,0)+IF(EOMONTH(DATE(YEAR(Finance!$AX$1),MONTH(Finance!$AX$1),1)+INT((DAY(Finance!$AX$1)-1)/2)+Finance!AZ$4,0)=EOMONTH($BP$1,0),Finance!AZ$3,0)+IF(EOMONTH(DATE(YEAR(Finance!$AU$1),MONTH(Finance!$AU$1),1)+INT((DAY(Finance!$AU$1)-1)/2)+Finance!AW$4,0)=EOMONTH($BP$1,0),Finance!AW$3,0)+IF(EOMONTH(DATE(YEAR(Finance!$AR$1),MONTH(Finance!$AR$1),1)+INT((DAY(Finance!$AR$1)-1)/2)+Finance!AT$4,0)=EOMONTH($BP$1,0),Finance!AT$3,0)+IF(EOMONTH(DATE(YEAR(Finance!$AO$1),MONTH(Finance!$AO$1),1)+INT((DAY(Finance!$AO$1)-1)/2)+Finance!AQ$4,0)=EOMONTH($BP$1,0),Finance!AQ$3,0)+IF(EOMONTH(DATE(YEAR(Finance!$AL$1),MONTH(Finance!$AL$1),1)+INT((DAY(Finance!$AL$1)-1)/2)+Finance!AN$4,0)=EOMONTH($BP$1,0),Finance!AN$3,0)+IF(EOMONTH(DATE(YEAR(Finance!$AI$1),MONTH(Finance!$AI$1),1)+INT((DAY(Finance!$AI$1)-1)/2)+Finance!AK$4,0)=EOMONTH($BP$1,0),Finance!AK$3,0)+IF(EOMONTH(DATE(YEAR(Finance!$AF$1),MONTH(Finance!$AF$1),1)+INT((DAY(Finance!$AF$1)-1)/2)+Finance!AH$4,0)=EOMONTH($BP$1,0),Finance!AH$3,0)+IF(EOMONTH(DATE(YEAR(Finance!$AC$1),MONTH(Finance!$AC$1),1)+INT((DAY(Finance!$AC$1)-1)/2)+Finance!AE$4,0)=EOMONTH($BP$1,0),Finance!AE$3,0)+IF(EOMONTH(DATE(YEAR(Finance!$Z$1),MONTH(Finance!$Z$1),1)+INT((DAY(Finance!$Z$1)-1)/2)+Finance!AB$4,0)=EOMONTH($BP$1,0),Finance!AB$3,0)+IF(EOMONTH(DATE(YEAR(Finance!$W$1),MONTH(Finance!$W$1),1)+INT((DAY(Finance!$W$1)-1)/2)+Finance!Y$4,0)=EOMONTH($BP$1,0),Finance!Y$3,0)+IF(EOMONTH(DATE(YEAR(Finance!$T$1),MONTH(Finance!$T$1),1)+INT((DAY(Finance!$T$1)-1)/2)+Finance!V$4,0)=EOMONTH($BP$1,0),Finance!V$3,0)+IF(EOMONTH(DATE(YEAR(Finance!$Q$1),MONTH(Finance!$Q$1),1)+INT((DAY(Finance!$Q$1)-1)/2)+Finance!S$4,0)=EOMONTH($BP$1,0),Finance!S$3,0)+IF(EOMONTH(DATE(YEAR(Finance!$N$1),MONTH(Finance!$N$1),1)+INT((DAY(Finance!$N$1)-1)/2)+Finance!P$4,0)=EOMONTH($BP$1,0),Finance!P$3,0)+IF(EOMONTH(DATE(YEAR(Finance!$K$1),MONTH(Finance!$K$1),1)+INT((DAY(Finance!$K$1)-1)/2)+Finance!M$4,0)=EOMONTH($BP$1,0),Finance!M$3,0)+IF(EOMONTH('Cash Drivers'!$DL$30+Finance!DN$4,0)=EOMONTH($BP$1,0),'Cash Drivers'!$DL$35,0),0)</f>
        <v>1442874</v>
      </c>
      <c r="BS5" s="13"/>
      <c r="BT5" s="13" t="n">
        <f aca="false">IF('Cash Drivers'!BT$26,BS5,ROUND(IF(EOMONTH(DATE(YEAR(Finance!$DL$1),MONTH(Finance!$DL$1),1)+INT((DAY(Finance!$DL$1)-1)/2)+Finance!DM$4,0)=EOMONTH($BS$1,0),Finance!DM$3,0)+IF(EOMONTH(DATE(YEAR(Finance!$DI$1),MONTH(Finance!$DI$1),1)+INT((DAY(Finance!$DI$1)-1)/2)+Finance!DJ$4,0)=EOMONTH($BS$1,0),Finance!DJ$3,0)+IF(EOMONTH(DATE(YEAR(Finance!$DF$1),MONTH(Finance!$DF$1),1)+INT((DAY(Finance!$DF$1)-1)/2)+Finance!DG$4,0)=EOMONTH($BS$1,0),Finance!DG$3,0)+IF(EOMONTH(DATE(YEAR(Finance!$DC$1),MONTH(Finance!$DC$1),1)+INT((DAY(Finance!$DC$1)-1)/2)+Finance!DD$4,0)=EOMONTH($BS$1,0),Finance!DD$3,0)+IF(EOMONTH(DATE(YEAR(Finance!$CZ$1),MONTH(Finance!$CZ$1),1)+INT((DAY(Finance!$CZ$1)-1)/2)+Finance!DA$4,0)=EOMONTH($BS$1,0),Finance!DA$3,0)+IF(EOMONTH(DATE(YEAR(Finance!$CW$1),MONTH(Finance!$CW$1),1)+INT((DAY(Finance!$CW$1)-1)/2)+Finance!CX$4,0)=EOMONTH($BS$1,0),Finance!CX$3,0)+IF(EOMONTH(DATE(YEAR(Finance!$CT$1),MONTH(Finance!$CT$1),1)+INT((DAY(Finance!$CT$1)-1)/2)+Finance!CU$4,0)=EOMONTH($BS$1,0),Finance!CU$3,0)+IF(EOMONTH(DATE(YEAR(Finance!$CQ$1),MONTH(Finance!$CQ$1),1)+INT((DAY(Finance!$CQ$1)-1)/2)+Finance!CR$4,0)=EOMONTH($BS$1,0),Finance!CR$3,0)+IF(EOMONTH(DATE(YEAR(Finance!$CN$1),MONTH(Finance!$CN$1),1)+INT((DAY(Finance!$CN$1)-1)/2)+Finance!CO$4,0)=EOMONTH($BS$1,0),Finance!CO$3,0)+IF(EOMONTH(DATE(YEAR(Finance!$CK$1),MONTH(Finance!$CK$1),1)+INT((DAY(Finance!$CK$1)-1)/2)+Finance!CL$4,0)=EOMONTH($BS$1,0),Finance!CL$3,0)+IF(EOMONTH(DATE(YEAR(Finance!$CH$1),MONTH(Finance!$CH$1),1)+INT((DAY(Finance!$CH$1)-1)/2)+Finance!CI$4,0)=EOMONTH($BS$1,0),Finance!CI$3,0)+IF(EOMONTH(DATE(YEAR(Finance!$CE$1),MONTH(Finance!$CE$1),1)+INT((DAY(Finance!$CE$1)-1)/2)+Finance!CF$4,0)=EOMONTH($BS$1,0),Finance!CF$3,0)+IF(EOMONTH(DATE(YEAR(Finance!$CB$1),MONTH(Finance!$CB$1),1)+INT((DAY(Finance!$CB$1)-1)/2)+Finance!CC$4,0)=EOMONTH($BS$1,0),Finance!CC$3,0)+IF(EOMONTH(DATE(YEAR(Finance!$BY$1),MONTH(Finance!$BY$1),1)+INT((DAY(Finance!$BY$1)-1)/2)+Finance!BZ$4,0)=EOMONTH($BS$1,0),Finance!BZ$3,0)+IF(EOMONTH(DATE(YEAR(Finance!$BV$1),MONTH(Finance!$BV$1),1)+INT((DAY(Finance!$BV$1)-1)/2)+Finance!BW$4,0)=EOMONTH($BS$1,0),Finance!BW$3,0)+IF(EOMONTH(DATE(YEAR(Finance!$BS$1),MONTH(Finance!$BS$1),1)+INT((DAY(Finance!$BS$1)-1)/2)+Finance!BT$4,0)=EOMONTH($BS$1,0),Finance!BT$3,0)+IF(EOMONTH(DATE(YEAR(Finance!$BP$1),MONTH(Finance!$BP$1),1)+INT((DAY(Finance!$BP$1)-1)/2)+Finance!BQ$4,0)=EOMONTH($BS$1,0),Finance!BQ$3,0)+IF(EOMONTH(DATE(YEAR(Finance!$BM$1),MONTH(Finance!$BM$1),1)+INT((DAY(Finance!$BM$1)-1)/2)+Finance!BN$4,0)=EOMONTH($BS$1,0),Finance!BN$3,0)+IF(EOMONTH(DATE(YEAR(Finance!$BJ$1),MONTH(Finance!$BJ$1),1)+INT((DAY(Finance!$BJ$1)-1)/2)+Finance!BK$4,0)=EOMONTH($BS$1,0),Finance!BK$3,0)+IF(EOMONTH(DATE(YEAR(Finance!$BG$1),MONTH(Finance!$BG$1),1)+INT((DAY(Finance!$BG$1)-1)/2)+Finance!BH$4,0)=EOMONTH($BS$1,0),Finance!BH$3,0)+IF(EOMONTH(DATE(YEAR(Finance!$BD$1),MONTH(Finance!$BD$1),1)+INT((DAY(Finance!$BD$1)-1)/2)+Finance!BE$4,0)=EOMONTH($BS$1,0),Finance!BE$3,0)+IF(EOMONTH(DATE(YEAR(Finance!$BA$1),MONTH(Finance!$BA$1),1)+INT((DAY(Finance!$BA$1)-1)/2)+Finance!BB$4,0)=EOMONTH($BS$1,0),Finance!BB$3,0)+IF(EOMONTH(DATE(YEAR(Finance!$AX$1),MONTH(Finance!$AX$1),1)+INT((DAY(Finance!$AX$1)-1)/2)+Finance!AY$4,0)=EOMONTH($BS$1,0),Finance!AY$3,0)+IF(EOMONTH(DATE(YEAR(Finance!$AU$1),MONTH(Finance!$AU$1),1)+INT((DAY(Finance!$AU$1)-1)/2)+Finance!AV$4,0)=EOMONTH($BS$1,0),Finance!AV$3,0)+IF(EOMONTH(DATE(YEAR(Finance!$AR$1),MONTH(Finance!$AR$1),1)+INT((DAY(Finance!$AR$1)-1)/2)+Finance!AS$4,0)=EOMONTH($BS$1,0),Finance!AS$3,0)+IF(EOMONTH(DATE(YEAR(Finance!$AO$1),MONTH(Finance!$AO$1),1)+INT((DAY(Finance!$AO$1)-1)/2)+Finance!AP$4,0)=EOMONTH($BS$1,0),Finance!AP$3,0)+IF(EOMONTH(DATE(YEAR(Finance!$AL$1),MONTH(Finance!$AL$1),1)+INT((DAY(Finance!$AL$1)-1)/2)+Finance!AM$4,0)=EOMONTH($BS$1,0),Finance!AM$3,0)+IF(EOMONTH(DATE(YEAR(Finance!$AI$1),MONTH(Finance!$AI$1),1)+INT((DAY(Finance!$AI$1)-1)/2)+Finance!AJ$4,0)=EOMONTH($BS$1,0),Finance!AJ$3,0)+IF(EOMONTH(DATE(YEAR(Finance!$AF$1),MONTH(Finance!$AF$1),1)+INT((DAY(Finance!$AF$1)-1)/2)+Finance!AG$4,0)=EOMONTH($BS$1,0),Finance!AG$3,0)+IF(EOMONTH(DATE(YEAR(Finance!$AC$1),MONTH(Finance!$AC$1),1)+INT((DAY(Finance!$AC$1)-1)/2)+Finance!AD$4,0)=EOMONTH($BS$1,0),Finance!AD$3,0)+IF(EOMONTH(DATE(YEAR(Finance!$Z$1),MONTH(Finance!$Z$1),1)+INT((DAY(Finance!$Z$1)-1)/2)+Finance!AA$4,0)=EOMONTH($BS$1,0),Finance!AA$3,0)+IF(EOMONTH(DATE(YEAR(Finance!$W$1),MONTH(Finance!$W$1),1)+INT((DAY(Finance!$W$1)-1)/2)+Finance!X$4,0)=EOMONTH($BS$1,0),Finance!X$3,0)+IF(EOMONTH(DATE(YEAR(Finance!$T$1),MONTH(Finance!$T$1),1)+INT((DAY(Finance!$T$1)-1)/2)+Finance!U$4,0)=EOMONTH($BS$1,0),Finance!U$3,0)+IF(EOMONTH(DATE(YEAR(Finance!$Q$1),MONTH(Finance!$Q$1),1)+INT((DAY(Finance!$Q$1)-1)/2)+Finance!R$4,0)=EOMONTH($BS$1,0),Finance!R$3,0)+IF(EOMONTH(DATE(YEAR(Finance!$N$1),MONTH(Finance!$N$1),1)+INT((DAY(Finance!$N$1)-1)/2)+Finance!O$4,0)=EOMONTH($BS$1,0),Finance!O$3,0)+IF(EOMONTH(DATE(YEAR(Finance!$K$1),MONTH(Finance!$K$1),1)+INT((DAY(Finance!$K$1)-1)/2)+Finance!L$4,0)=EOMONTH($BS$1,0),Finance!L$3,0)+IF(EOMONTH('Cash Drivers'!$DL$30+Finance!DM$4,0)=EOMONTH($BS$1,0),'Cash Drivers'!$DL$35,0),0))</f>
        <v>1430577</v>
      </c>
      <c r="BU5" s="13" t="n">
        <f aca="false">ROUND(IF(EOMONTH(DATE(YEAR(Finance!$DL$1),MONTH(Finance!$DL$1),1)+INT((DAY(Finance!$DL$1)-1)/2)+Finance!DN$4,0)=EOMONTH($BS$1,0),Finance!DN$3,0)+IF(EOMONTH(DATE(YEAR(Finance!$DI$1),MONTH(Finance!$DI$1),1)+INT((DAY(Finance!$DI$1)-1)/2)+Finance!DK$4,0)=EOMONTH($BS$1,0),Finance!DK$3,0)+IF(EOMONTH(DATE(YEAR(Finance!$DF$1),MONTH(Finance!$DF$1),1)+INT((DAY(Finance!$DF$1)-1)/2)+Finance!DH$4,0)=EOMONTH($BS$1,0),Finance!DH$3,0)+IF(EOMONTH(DATE(YEAR(Finance!$DC$1),MONTH(Finance!$DC$1),1)+INT((DAY(Finance!$DC$1)-1)/2)+Finance!DE$4,0)=EOMONTH($BS$1,0),Finance!DE$3,0)+IF(EOMONTH(DATE(YEAR(Finance!$CZ$1),MONTH(Finance!$CZ$1),1)+INT((DAY(Finance!$CZ$1)-1)/2)+Finance!DB$4,0)=EOMONTH($BS$1,0),Finance!DB$3,0)+IF(EOMONTH(DATE(YEAR(Finance!$CW$1),MONTH(Finance!$CW$1),1)+INT((DAY(Finance!$CW$1)-1)/2)+Finance!CY$4,0)=EOMONTH($BS$1,0),Finance!CY$3,0)+IF(EOMONTH(DATE(YEAR(Finance!$CT$1),MONTH(Finance!$CT$1),1)+INT((DAY(Finance!$CT$1)-1)/2)+Finance!CV$4,0)=EOMONTH($BS$1,0),Finance!CV$3,0)+IF(EOMONTH(DATE(YEAR(Finance!$CQ$1),MONTH(Finance!$CQ$1),1)+INT((DAY(Finance!$CQ$1)-1)/2)+Finance!CS$4,0)=EOMONTH($BS$1,0),Finance!CS$3,0)+IF(EOMONTH(DATE(YEAR(Finance!$CN$1),MONTH(Finance!$CN$1),1)+INT((DAY(Finance!$CN$1)-1)/2)+Finance!CP$4,0)=EOMONTH($BS$1,0),Finance!CP$3,0)+IF(EOMONTH(DATE(YEAR(Finance!$CK$1),MONTH(Finance!$CK$1),1)+INT((DAY(Finance!$CK$1)-1)/2)+Finance!CM$4,0)=EOMONTH($BS$1,0),Finance!CM$3,0)+IF(EOMONTH(DATE(YEAR(Finance!$CH$1),MONTH(Finance!$CH$1),1)+INT((DAY(Finance!$CH$1)-1)/2)+Finance!CJ$4,0)=EOMONTH($BS$1,0),Finance!CJ$3,0)+IF(EOMONTH(DATE(YEAR(Finance!$CE$1),MONTH(Finance!$CE$1),1)+INT((DAY(Finance!$CE$1)-1)/2)+Finance!CG$4,0)=EOMONTH($BS$1,0),Finance!CG$3,0)+IF(EOMONTH(DATE(YEAR(Finance!$CB$1),MONTH(Finance!$CB$1),1)+INT((DAY(Finance!$CB$1)-1)/2)+Finance!CD$4,0)=EOMONTH($BS$1,0),Finance!CD$3,0)+IF(EOMONTH(DATE(YEAR(Finance!$BY$1),MONTH(Finance!$BY$1),1)+INT((DAY(Finance!$BY$1)-1)/2)+Finance!CA$4,0)=EOMONTH($BS$1,0),Finance!CA$3,0)+IF(EOMONTH(DATE(YEAR(Finance!$BV$1),MONTH(Finance!$BV$1),1)+INT((DAY(Finance!$BV$1)-1)/2)+Finance!BX$4,0)=EOMONTH($BS$1,0),Finance!BX$3,0)+IF(EOMONTH(DATE(YEAR(Finance!$BS$1),MONTH(Finance!$BS$1),1)+INT((DAY(Finance!$BS$1)-1)/2)+Finance!BU$4,0)=EOMONTH($BS$1,0),Finance!BU$3,0)+IF(EOMONTH(DATE(YEAR(Finance!$BP$1),MONTH(Finance!$BP$1),1)+INT((DAY(Finance!$BP$1)-1)/2)+Finance!BR$4,0)=EOMONTH($BS$1,0),Finance!BR$3,0)+IF(EOMONTH(DATE(YEAR(Finance!$BM$1),MONTH(Finance!$BM$1),1)+INT((DAY(Finance!$BM$1)-1)/2)+Finance!BO$4,0)=EOMONTH($BS$1,0),Finance!BO$3,0)+IF(EOMONTH(DATE(YEAR(Finance!$BJ$1),MONTH(Finance!$BJ$1),1)+INT((DAY(Finance!$BJ$1)-1)/2)+Finance!BL$4,0)=EOMONTH($BS$1,0),Finance!BL$3,0)+IF(EOMONTH(DATE(YEAR(Finance!$BG$1),MONTH(Finance!$BG$1),1)+INT((DAY(Finance!$BG$1)-1)/2)+Finance!BI$4,0)=EOMONTH($BS$1,0),Finance!BI$3,0)+IF(EOMONTH(DATE(YEAR(Finance!$BD$1),MONTH(Finance!$BD$1),1)+INT((DAY(Finance!$BD$1)-1)/2)+Finance!BF$4,0)=EOMONTH($BS$1,0),Finance!BF$3,0)+IF(EOMONTH(DATE(YEAR(Finance!$BA$1),MONTH(Finance!$BA$1),1)+INT((DAY(Finance!$BA$1)-1)/2)+Finance!BC$4,0)=EOMONTH($BS$1,0),Finance!BC$3,0)+IF(EOMONTH(DATE(YEAR(Finance!$AX$1),MONTH(Finance!$AX$1),1)+INT((DAY(Finance!$AX$1)-1)/2)+Finance!AZ$4,0)=EOMONTH($BS$1,0),Finance!AZ$3,0)+IF(EOMONTH(DATE(YEAR(Finance!$AU$1),MONTH(Finance!$AU$1),1)+INT((DAY(Finance!$AU$1)-1)/2)+Finance!AW$4,0)=EOMONTH($BS$1,0),Finance!AW$3,0)+IF(EOMONTH(DATE(YEAR(Finance!$AR$1),MONTH(Finance!$AR$1),1)+INT((DAY(Finance!$AR$1)-1)/2)+Finance!AT$4,0)=EOMONTH($BS$1,0),Finance!AT$3,0)+IF(EOMONTH(DATE(YEAR(Finance!$AO$1),MONTH(Finance!$AO$1),1)+INT((DAY(Finance!$AO$1)-1)/2)+Finance!AQ$4,0)=EOMONTH($BS$1,0),Finance!AQ$3,0)+IF(EOMONTH(DATE(YEAR(Finance!$AL$1),MONTH(Finance!$AL$1),1)+INT((DAY(Finance!$AL$1)-1)/2)+Finance!AN$4,0)=EOMONTH($BS$1,0),Finance!AN$3,0)+IF(EOMONTH(DATE(YEAR(Finance!$AI$1),MONTH(Finance!$AI$1),1)+INT((DAY(Finance!$AI$1)-1)/2)+Finance!AK$4,0)=EOMONTH($BS$1,0),Finance!AK$3,0)+IF(EOMONTH(DATE(YEAR(Finance!$AF$1),MONTH(Finance!$AF$1),1)+INT((DAY(Finance!$AF$1)-1)/2)+Finance!AH$4,0)=EOMONTH($BS$1,0),Finance!AH$3,0)+IF(EOMONTH(DATE(YEAR(Finance!$AC$1),MONTH(Finance!$AC$1),1)+INT((DAY(Finance!$AC$1)-1)/2)+Finance!AE$4,0)=EOMONTH($BS$1,0),Finance!AE$3,0)+IF(EOMONTH(DATE(YEAR(Finance!$Z$1),MONTH(Finance!$Z$1),1)+INT((DAY(Finance!$Z$1)-1)/2)+Finance!AB$4,0)=EOMONTH($BS$1,0),Finance!AB$3,0)+IF(EOMONTH(DATE(YEAR(Finance!$W$1),MONTH(Finance!$W$1),1)+INT((DAY(Finance!$W$1)-1)/2)+Finance!Y$4,0)=EOMONTH($BS$1,0),Finance!Y$3,0)+IF(EOMONTH(DATE(YEAR(Finance!$T$1),MONTH(Finance!$T$1),1)+INT((DAY(Finance!$T$1)-1)/2)+Finance!V$4,0)=EOMONTH($BS$1,0),Finance!V$3,0)+IF(EOMONTH(DATE(YEAR(Finance!$Q$1),MONTH(Finance!$Q$1),1)+INT((DAY(Finance!$Q$1)-1)/2)+Finance!S$4,0)=EOMONTH($BS$1,0),Finance!S$3,0)+IF(EOMONTH(DATE(YEAR(Finance!$N$1),MONTH(Finance!$N$1),1)+INT((DAY(Finance!$N$1)-1)/2)+Finance!P$4,0)=EOMONTH($BS$1,0),Finance!P$3,0)+IF(EOMONTH(DATE(YEAR(Finance!$K$1),MONTH(Finance!$K$1),1)+INT((DAY(Finance!$K$1)-1)/2)+Finance!M$4,0)=EOMONTH($BS$1,0),Finance!M$3,0)+IF(EOMONTH('Cash Drivers'!$DL$30+Finance!DN$4,0)=EOMONTH($BS$1,0),'Cash Drivers'!$DL$35,0),0)</f>
        <v>1404067</v>
      </c>
      <c r="BV5" s="12"/>
      <c r="BW5" s="12" t="n">
        <f aca="false">IF('Cash Drivers'!BW$26,BV5,ROUND(IF(EOMONTH(DATE(YEAR(Finance!$DL$1),MONTH(Finance!$DL$1),1)+INT((DAY(Finance!$DL$1)-1)/2)+Finance!DM$4,0)=EOMONTH($BV$1,0),Finance!DM$3,0)+IF(EOMONTH(DATE(YEAR(Finance!$DI$1),MONTH(Finance!$DI$1),1)+INT((DAY(Finance!$DI$1)-1)/2)+Finance!DJ$4,0)=EOMONTH($BV$1,0),Finance!DJ$3,0)+IF(EOMONTH(DATE(YEAR(Finance!$DF$1),MONTH(Finance!$DF$1),1)+INT((DAY(Finance!$DF$1)-1)/2)+Finance!DG$4,0)=EOMONTH($BV$1,0),Finance!DG$3,0)+IF(EOMONTH(DATE(YEAR(Finance!$DC$1),MONTH(Finance!$DC$1),1)+INT((DAY(Finance!$DC$1)-1)/2)+Finance!DD$4,0)=EOMONTH($BV$1,0),Finance!DD$3,0)+IF(EOMONTH(DATE(YEAR(Finance!$CZ$1),MONTH(Finance!$CZ$1),1)+INT((DAY(Finance!$CZ$1)-1)/2)+Finance!DA$4,0)=EOMONTH($BV$1,0),Finance!DA$3,0)+IF(EOMONTH(DATE(YEAR(Finance!$CW$1),MONTH(Finance!$CW$1),1)+INT((DAY(Finance!$CW$1)-1)/2)+Finance!CX$4,0)=EOMONTH($BV$1,0),Finance!CX$3,0)+IF(EOMONTH(DATE(YEAR(Finance!$CT$1),MONTH(Finance!$CT$1),1)+INT((DAY(Finance!$CT$1)-1)/2)+Finance!CU$4,0)=EOMONTH($BV$1,0),Finance!CU$3,0)+IF(EOMONTH(DATE(YEAR(Finance!$CQ$1),MONTH(Finance!$CQ$1),1)+INT((DAY(Finance!$CQ$1)-1)/2)+Finance!CR$4,0)=EOMONTH($BV$1,0),Finance!CR$3,0)+IF(EOMONTH(DATE(YEAR(Finance!$CN$1),MONTH(Finance!$CN$1),1)+INT((DAY(Finance!$CN$1)-1)/2)+Finance!CO$4,0)=EOMONTH($BV$1,0),Finance!CO$3,0)+IF(EOMONTH(DATE(YEAR(Finance!$CK$1),MONTH(Finance!$CK$1),1)+INT((DAY(Finance!$CK$1)-1)/2)+Finance!CL$4,0)=EOMONTH($BV$1,0),Finance!CL$3,0)+IF(EOMONTH(DATE(YEAR(Finance!$CH$1),MONTH(Finance!$CH$1),1)+INT((DAY(Finance!$CH$1)-1)/2)+Finance!CI$4,0)=EOMONTH($BV$1,0),Finance!CI$3,0)+IF(EOMONTH(DATE(YEAR(Finance!$CE$1),MONTH(Finance!$CE$1),1)+INT((DAY(Finance!$CE$1)-1)/2)+Finance!CF$4,0)=EOMONTH($BV$1,0),Finance!CF$3,0)+IF(EOMONTH(DATE(YEAR(Finance!$CB$1),MONTH(Finance!$CB$1),1)+INT((DAY(Finance!$CB$1)-1)/2)+Finance!CC$4,0)=EOMONTH($BV$1,0),Finance!CC$3,0)+IF(EOMONTH(DATE(YEAR(Finance!$BY$1),MONTH(Finance!$BY$1),1)+INT((DAY(Finance!$BY$1)-1)/2)+Finance!BZ$4,0)=EOMONTH($BV$1,0),Finance!BZ$3,0)+IF(EOMONTH(DATE(YEAR(Finance!$BV$1),MONTH(Finance!$BV$1),1)+INT((DAY(Finance!$BV$1)-1)/2)+Finance!BW$4,0)=EOMONTH($BV$1,0),Finance!BW$3,0)+IF(EOMONTH(DATE(YEAR(Finance!$BS$1),MONTH(Finance!$BS$1),1)+INT((DAY(Finance!$BS$1)-1)/2)+Finance!BT$4,0)=EOMONTH($BV$1,0),Finance!BT$3,0)+IF(EOMONTH(DATE(YEAR(Finance!$BP$1),MONTH(Finance!$BP$1),1)+INT((DAY(Finance!$BP$1)-1)/2)+Finance!BQ$4,0)=EOMONTH($BV$1,0),Finance!BQ$3,0)+IF(EOMONTH(DATE(YEAR(Finance!$BM$1),MONTH(Finance!$BM$1),1)+INT((DAY(Finance!$BM$1)-1)/2)+Finance!BN$4,0)=EOMONTH($BV$1,0),Finance!BN$3,0)+IF(EOMONTH(DATE(YEAR(Finance!$BJ$1),MONTH(Finance!$BJ$1),1)+INT((DAY(Finance!$BJ$1)-1)/2)+Finance!BK$4,0)=EOMONTH($BV$1,0),Finance!BK$3,0)+IF(EOMONTH(DATE(YEAR(Finance!$BG$1),MONTH(Finance!$BG$1),1)+INT((DAY(Finance!$BG$1)-1)/2)+Finance!BH$4,0)=EOMONTH($BV$1,0),Finance!BH$3,0)+IF(EOMONTH(DATE(YEAR(Finance!$BD$1),MONTH(Finance!$BD$1),1)+INT((DAY(Finance!$BD$1)-1)/2)+Finance!BE$4,0)=EOMONTH($BV$1,0),Finance!BE$3,0)+IF(EOMONTH(DATE(YEAR(Finance!$BA$1),MONTH(Finance!$BA$1),1)+INT((DAY(Finance!$BA$1)-1)/2)+Finance!BB$4,0)=EOMONTH($BV$1,0),Finance!BB$3,0)+IF(EOMONTH(DATE(YEAR(Finance!$AX$1),MONTH(Finance!$AX$1),1)+INT((DAY(Finance!$AX$1)-1)/2)+Finance!AY$4,0)=EOMONTH($BV$1,0),Finance!AY$3,0)+IF(EOMONTH(DATE(YEAR(Finance!$AU$1),MONTH(Finance!$AU$1),1)+INT((DAY(Finance!$AU$1)-1)/2)+Finance!AV$4,0)=EOMONTH($BV$1,0),Finance!AV$3,0)+IF(EOMONTH(DATE(YEAR(Finance!$AR$1),MONTH(Finance!$AR$1),1)+INT((DAY(Finance!$AR$1)-1)/2)+Finance!AS$4,0)=EOMONTH($BV$1,0),Finance!AS$3,0)+IF(EOMONTH(DATE(YEAR(Finance!$AO$1),MONTH(Finance!$AO$1),1)+INT((DAY(Finance!$AO$1)-1)/2)+Finance!AP$4,0)=EOMONTH($BV$1,0),Finance!AP$3,0)+IF(EOMONTH(DATE(YEAR(Finance!$AL$1),MONTH(Finance!$AL$1),1)+INT((DAY(Finance!$AL$1)-1)/2)+Finance!AM$4,0)=EOMONTH($BV$1,0),Finance!AM$3,0)+IF(EOMONTH(DATE(YEAR(Finance!$AI$1),MONTH(Finance!$AI$1),1)+INT((DAY(Finance!$AI$1)-1)/2)+Finance!AJ$4,0)=EOMONTH($BV$1,0),Finance!AJ$3,0)+IF(EOMONTH(DATE(YEAR(Finance!$AF$1),MONTH(Finance!$AF$1),1)+INT((DAY(Finance!$AF$1)-1)/2)+Finance!AG$4,0)=EOMONTH($BV$1,0),Finance!AG$3,0)+IF(EOMONTH(DATE(YEAR(Finance!$AC$1),MONTH(Finance!$AC$1),1)+INT((DAY(Finance!$AC$1)-1)/2)+Finance!AD$4,0)=EOMONTH($BV$1,0),Finance!AD$3,0)+IF(EOMONTH(DATE(YEAR(Finance!$Z$1),MONTH(Finance!$Z$1),1)+INT((DAY(Finance!$Z$1)-1)/2)+Finance!AA$4,0)=EOMONTH($BV$1,0),Finance!AA$3,0)+IF(EOMONTH(DATE(YEAR(Finance!$W$1),MONTH(Finance!$W$1),1)+INT((DAY(Finance!$W$1)-1)/2)+Finance!X$4,0)=EOMONTH($BV$1,0),Finance!X$3,0)+IF(EOMONTH(DATE(YEAR(Finance!$T$1),MONTH(Finance!$T$1),1)+INT((DAY(Finance!$T$1)-1)/2)+Finance!U$4,0)=EOMONTH($BV$1,0),Finance!U$3,0)+IF(EOMONTH(DATE(YEAR(Finance!$Q$1),MONTH(Finance!$Q$1),1)+INT((DAY(Finance!$Q$1)-1)/2)+Finance!R$4,0)=EOMONTH($BV$1,0),Finance!R$3,0)+IF(EOMONTH(DATE(YEAR(Finance!$N$1),MONTH(Finance!$N$1),1)+INT((DAY(Finance!$N$1)-1)/2)+Finance!O$4,0)=EOMONTH($BV$1,0),Finance!O$3,0)+IF(EOMONTH(DATE(YEAR(Finance!$K$1),MONTH(Finance!$K$1),1)+INT((DAY(Finance!$K$1)-1)/2)+Finance!L$4,0)=EOMONTH($BV$1,0),Finance!L$3,0)+IF(EOMONTH('Cash Drivers'!$DL$30+Finance!DM$4,0)=EOMONTH($BV$1,0),'Cash Drivers'!$DL$35,0),0))</f>
        <v>1392044</v>
      </c>
      <c r="BX5" s="12" t="n">
        <f aca="false">ROUND(IF(EOMONTH(DATE(YEAR(Finance!$DL$1),MONTH(Finance!$DL$1),1)+INT((DAY(Finance!$DL$1)-1)/2)+Finance!DN$4,0)=EOMONTH($BV$1,0),Finance!DN$3,0)+IF(EOMONTH(DATE(YEAR(Finance!$DI$1),MONTH(Finance!$DI$1),1)+INT((DAY(Finance!$DI$1)-1)/2)+Finance!DK$4,0)=EOMONTH($BV$1,0),Finance!DK$3,0)+IF(EOMONTH(DATE(YEAR(Finance!$DF$1),MONTH(Finance!$DF$1),1)+INT((DAY(Finance!$DF$1)-1)/2)+Finance!DH$4,0)=EOMONTH($BV$1,0),Finance!DH$3,0)+IF(EOMONTH(DATE(YEAR(Finance!$DC$1),MONTH(Finance!$DC$1),1)+INT((DAY(Finance!$DC$1)-1)/2)+Finance!DE$4,0)=EOMONTH($BV$1,0),Finance!DE$3,0)+IF(EOMONTH(DATE(YEAR(Finance!$CZ$1),MONTH(Finance!$CZ$1),1)+INT((DAY(Finance!$CZ$1)-1)/2)+Finance!DB$4,0)=EOMONTH($BV$1,0),Finance!DB$3,0)+IF(EOMONTH(DATE(YEAR(Finance!$CW$1),MONTH(Finance!$CW$1),1)+INT((DAY(Finance!$CW$1)-1)/2)+Finance!CY$4,0)=EOMONTH($BV$1,0),Finance!CY$3,0)+IF(EOMONTH(DATE(YEAR(Finance!$CT$1),MONTH(Finance!$CT$1),1)+INT((DAY(Finance!$CT$1)-1)/2)+Finance!CV$4,0)=EOMONTH($BV$1,0),Finance!CV$3,0)+IF(EOMONTH(DATE(YEAR(Finance!$CQ$1),MONTH(Finance!$CQ$1),1)+INT((DAY(Finance!$CQ$1)-1)/2)+Finance!CS$4,0)=EOMONTH($BV$1,0),Finance!CS$3,0)+IF(EOMONTH(DATE(YEAR(Finance!$CN$1),MONTH(Finance!$CN$1),1)+INT((DAY(Finance!$CN$1)-1)/2)+Finance!CP$4,0)=EOMONTH($BV$1,0),Finance!CP$3,0)+IF(EOMONTH(DATE(YEAR(Finance!$CK$1),MONTH(Finance!$CK$1),1)+INT((DAY(Finance!$CK$1)-1)/2)+Finance!CM$4,0)=EOMONTH($BV$1,0),Finance!CM$3,0)+IF(EOMONTH(DATE(YEAR(Finance!$CH$1),MONTH(Finance!$CH$1),1)+INT((DAY(Finance!$CH$1)-1)/2)+Finance!CJ$4,0)=EOMONTH($BV$1,0),Finance!CJ$3,0)+IF(EOMONTH(DATE(YEAR(Finance!$CE$1),MONTH(Finance!$CE$1),1)+INT((DAY(Finance!$CE$1)-1)/2)+Finance!CG$4,0)=EOMONTH($BV$1,0),Finance!CG$3,0)+IF(EOMONTH(DATE(YEAR(Finance!$CB$1),MONTH(Finance!$CB$1),1)+INT((DAY(Finance!$CB$1)-1)/2)+Finance!CD$4,0)=EOMONTH($BV$1,0),Finance!CD$3,0)+IF(EOMONTH(DATE(YEAR(Finance!$BY$1),MONTH(Finance!$BY$1),1)+INT((DAY(Finance!$BY$1)-1)/2)+Finance!CA$4,0)=EOMONTH($BV$1,0),Finance!CA$3,0)+IF(EOMONTH(DATE(YEAR(Finance!$BV$1),MONTH(Finance!$BV$1),1)+INT((DAY(Finance!$BV$1)-1)/2)+Finance!BX$4,0)=EOMONTH($BV$1,0),Finance!BX$3,0)+IF(EOMONTH(DATE(YEAR(Finance!$BS$1),MONTH(Finance!$BS$1),1)+INT((DAY(Finance!$BS$1)-1)/2)+Finance!BU$4,0)=EOMONTH($BV$1,0),Finance!BU$3,0)+IF(EOMONTH(DATE(YEAR(Finance!$BP$1),MONTH(Finance!$BP$1),1)+INT((DAY(Finance!$BP$1)-1)/2)+Finance!BR$4,0)=EOMONTH($BV$1,0),Finance!BR$3,0)+IF(EOMONTH(DATE(YEAR(Finance!$BM$1),MONTH(Finance!$BM$1),1)+INT((DAY(Finance!$BM$1)-1)/2)+Finance!BO$4,0)=EOMONTH($BV$1,0),Finance!BO$3,0)+IF(EOMONTH(DATE(YEAR(Finance!$BJ$1),MONTH(Finance!$BJ$1),1)+INT((DAY(Finance!$BJ$1)-1)/2)+Finance!BL$4,0)=EOMONTH($BV$1,0),Finance!BL$3,0)+IF(EOMONTH(DATE(YEAR(Finance!$BG$1),MONTH(Finance!$BG$1),1)+INT((DAY(Finance!$BG$1)-1)/2)+Finance!BI$4,0)=EOMONTH($BV$1,0),Finance!BI$3,0)+IF(EOMONTH(DATE(YEAR(Finance!$BD$1),MONTH(Finance!$BD$1),1)+INT((DAY(Finance!$BD$1)-1)/2)+Finance!BF$4,0)=EOMONTH($BV$1,0),Finance!BF$3,0)+IF(EOMONTH(DATE(YEAR(Finance!$BA$1),MONTH(Finance!$BA$1),1)+INT((DAY(Finance!$BA$1)-1)/2)+Finance!BC$4,0)=EOMONTH($BV$1,0),Finance!BC$3,0)+IF(EOMONTH(DATE(YEAR(Finance!$AX$1),MONTH(Finance!$AX$1),1)+INT((DAY(Finance!$AX$1)-1)/2)+Finance!AZ$4,0)=EOMONTH($BV$1,0),Finance!AZ$3,0)+IF(EOMONTH(DATE(YEAR(Finance!$AU$1),MONTH(Finance!$AU$1),1)+INT((DAY(Finance!$AU$1)-1)/2)+Finance!AW$4,0)=EOMONTH($BV$1,0),Finance!AW$3,0)+IF(EOMONTH(DATE(YEAR(Finance!$AR$1),MONTH(Finance!$AR$1),1)+INT((DAY(Finance!$AR$1)-1)/2)+Finance!AT$4,0)=EOMONTH($BV$1,0),Finance!AT$3,0)+IF(EOMONTH(DATE(YEAR(Finance!$AO$1),MONTH(Finance!$AO$1),1)+INT((DAY(Finance!$AO$1)-1)/2)+Finance!AQ$4,0)=EOMONTH($BV$1,0),Finance!AQ$3,0)+IF(EOMONTH(DATE(YEAR(Finance!$AL$1),MONTH(Finance!$AL$1),1)+INT((DAY(Finance!$AL$1)-1)/2)+Finance!AN$4,0)=EOMONTH($BV$1,0),Finance!AN$3,0)+IF(EOMONTH(DATE(YEAR(Finance!$AI$1),MONTH(Finance!$AI$1),1)+INT((DAY(Finance!$AI$1)-1)/2)+Finance!AK$4,0)=EOMONTH($BV$1,0),Finance!AK$3,0)+IF(EOMONTH(DATE(YEAR(Finance!$AF$1),MONTH(Finance!$AF$1),1)+INT((DAY(Finance!$AF$1)-1)/2)+Finance!AH$4,0)=EOMONTH($BV$1,0),Finance!AH$3,0)+IF(EOMONTH(DATE(YEAR(Finance!$AC$1),MONTH(Finance!$AC$1),1)+INT((DAY(Finance!$AC$1)-1)/2)+Finance!AE$4,0)=EOMONTH($BV$1,0),Finance!AE$3,0)+IF(EOMONTH(DATE(YEAR(Finance!$Z$1),MONTH(Finance!$Z$1),1)+INT((DAY(Finance!$Z$1)-1)/2)+Finance!AB$4,0)=EOMONTH($BV$1,0),Finance!AB$3,0)+IF(EOMONTH(DATE(YEAR(Finance!$W$1),MONTH(Finance!$W$1),1)+INT((DAY(Finance!$W$1)-1)/2)+Finance!Y$4,0)=EOMONTH($BV$1,0),Finance!Y$3,0)+IF(EOMONTH(DATE(YEAR(Finance!$T$1),MONTH(Finance!$T$1),1)+INT((DAY(Finance!$T$1)-1)/2)+Finance!V$4,0)=EOMONTH($BV$1,0),Finance!V$3,0)+IF(EOMONTH(DATE(YEAR(Finance!$Q$1),MONTH(Finance!$Q$1),1)+INT((DAY(Finance!$Q$1)-1)/2)+Finance!S$4,0)=EOMONTH($BV$1,0),Finance!S$3,0)+IF(EOMONTH(DATE(YEAR(Finance!$N$1),MONTH(Finance!$N$1),1)+INT((DAY(Finance!$N$1)-1)/2)+Finance!P$4,0)=EOMONTH($BV$1,0),Finance!P$3,0)+IF(EOMONTH(DATE(YEAR(Finance!$K$1),MONTH(Finance!$K$1),1)+INT((DAY(Finance!$K$1)-1)/2)+Finance!M$4,0)=EOMONTH($BV$1,0),Finance!M$3,0)+IF(EOMONTH('Cash Drivers'!$DL$30+Finance!DN$4,0)=EOMONTH($BV$1,0),'Cash Drivers'!$DL$35,0),0)</f>
        <v>1365530</v>
      </c>
      <c r="BY5" s="13"/>
      <c r="BZ5" s="13" t="n">
        <f aca="false">IF('Cash Drivers'!BZ$26,BY5,ROUND(IF(EOMONTH(DATE(YEAR(Finance!$DL$1),MONTH(Finance!$DL$1),1)+INT((DAY(Finance!$DL$1)-1)/2)+Finance!DM$4,0)=EOMONTH($BY$1,0),Finance!DM$3,0)+IF(EOMONTH(DATE(YEAR(Finance!$DI$1),MONTH(Finance!$DI$1),1)+INT((DAY(Finance!$DI$1)-1)/2)+Finance!DJ$4,0)=EOMONTH($BY$1,0),Finance!DJ$3,0)+IF(EOMONTH(DATE(YEAR(Finance!$DF$1),MONTH(Finance!$DF$1),1)+INT((DAY(Finance!$DF$1)-1)/2)+Finance!DG$4,0)=EOMONTH($BY$1,0),Finance!DG$3,0)+IF(EOMONTH(DATE(YEAR(Finance!$DC$1),MONTH(Finance!$DC$1),1)+INT((DAY(Finance!$DC$1)-1)/2)+Finance!DD$4,0)=EOMONTH($BY$1,0),Finance!DD$3,0)+IF(EOMONTH(DATE(YEAR(Finance!$CZ$1),MONTH(Finance!$CZ$1),1)+INT((DAY(Finance!$CZ$1)-1)/2)+Finance!DA$4,0)=EOMONTH($BY$1,0),Finance!DA$3,0)+IF(EOMONTH(DATE(YEAR(Finance!$CW$1),MONTH(Finance!$CW$1),1)+INT((DAY(Finance!$CW$1)-1)/2)+Finance!CX$4,0)=EOMONTH($BY$1,0),Finance!CX$3,0)+IF(EOMONTH(DATE(YEAR(Finance!$CT$1),MONTH(Finance!$CT$1),1)+INT((DAY(Finance!$CT$1)-1)/2)+Finance!CU$4,0)=EOMONTH($BY$1,0),Finance!CU$3,0)+IF(EOMONTH(DATE(YEAR(Finance!$CQ$1),MONTH(Finance!$CQ$1),1)+INT((DAY(Finance!$CQ$1)-1)/2)+Finance!CR$4,0)=EOMONTH($BY$1,0),Finance!CR$3,0)+IF(EOMONTH(DATE(YEAR(Finance!$CN$1),MONTH(Finance!$CN$1),1)+INT((DAY(Finance!$CN$1)-1)/2)+Finance!CO$4,0)=EOMONTH($BY$1,0),Finance!CO$3,0)+IF(EOMONTH(DATE(YEAR(Finance!$CK$1),MONTH(Finance!$CK$1),1)+INT((DAY(Finance!$CK$1)-1)/2)+Finance!CL$4,0)=EOMONTH($BY$1,0),Finance!CL$3,0)+IF(EOMONTH(DATE(YEAR(Finance!$CH$1),MONTH(Finance!$CH$1),1)+INT((DAY(Finance!$CH$1)-1)/2)+Finance!CI$4,0)=EOMONTH($BY$1,0),Finance!CI$3,0)+IF(EOMONTH(DATE(YEAR(Finance!$CE$1),MONTH(Finance!$CE$1),1)+INT((DAY(Finance!$CE$1)-1)/2)+Finance!CF$4,0)=EOMONTH($BY$1,0),Finance!CF$3,0)+IF(EOMONTH(DATE(YEAR(Finance!$CB$1),MONTH(Finance!$CB$1),1)+INT((DAY(Finance!$CB$1)-1)/2)+Finance!CC$4,0)=EOMONTH($BY$1,0),Finance!CC$3,0)+IF(EOMONTH(DATE(YEAR(Finance!$BY$1),MONTH(Finance!$BY$1),1)+INT((DAY(Finance!$BY$1)-1)/2)+Finance!BZ$4,0)=EOMONTH($BY$1,0),Finance!BZ$3,0)+IF(EOMONTH(DATE(YEAR(Finance!$BV$1),MONTH(Finance!$BV$1),1)+INT((DAY(Finance!$BV$1)-1)/2)+Finance!BW$4,0)=EOMONTH($BY$1,0),Finance!BW$3,0)+IF(EOMONTH(DATE(YEAR(Finance!$BS$1),MONTH(Finance!$BS$1),1)+INT((DAY(Finance!$BS$1)-1)/2)+Finance!BT$4,0)=EOMONTH($BY$1,0),Finance!BT$3,0)+IF(EOMONTH(DATE(YEAR(Finance!$BP$1),MONTH(Finance!$BP$1),1)+INT((DAY(Finance!$BP$1)-1)/2)+Finance!BQ$4,0)=EOMONTH($BY$1,0),Finance!BQ$3,0)+IF(EOMONTH(DATE(YEAR(Finance!$BM$1),MONTH(Finance!$BM$1),1)+INT((DAY(Finance!$BM$1)-1)/2)+Finance!BN$4,0)=EOMONTH($BY$1,0),Finance!BN$3,0)+IF(EOMONTH(DATE(YEAR(Finance!$BJ$1),MONTH(Finance!$BJ$1),1)+INT((DAY(Finance!$BJ$1)-1)/2)+Finance!BK$4,0)=EOMONTH($BY$1,0),Finance!BK$3,0)+IF(EOMONTH(DATE(YEAR(Finance!$BG$1),MONTH(Finance!$BG$1),1)+INT((DAY(Finance!$BG$1)-1)/2)+Finance!BH$4,0)=EOMONTH($BY$1,0),Finance!BH$3,0)+IF(EOMONTH(DATE(YEAR(Finance!$BD$1),MONTH(Finance!$BD$1),1)+INT((DAY(Finance!$BD$1)-1)/2)+Finance!BE$4,0)=EOMONTH($BY$1,0),Finance!BE$3,0)+IF(EOMONTH(DATE(YEAR(Finance!$BA$1),MONTH(Finance!$BA$1),1)+INT((DAY(Finance!$BA$1)-1)/2)+Finance!BB$4,0)=EOMONTH($BY$1,0),Finance!BB$3,0)+IF(EOMONTH(DATE(YEAR(Finance!$AX$1),MONTH(Finance!$AX$1),1)+INT((DAY(Finance!$AX$1)-1)/2)+Finance!AY$4,0)=EOMONTH($BY$1,0),Finance!AY$3,0)+IF(EOMONTH(DATE(YEAR(Finance!$AU$1),MONTH(Finance!$AU$1),1)+INT((DAY(Finance!$AU$1)-1)/2)+Finance!AV$4,0)=EOMONTH($BY$1,0),Finance!AV$3,0)+IF(EOMONTH(DATE(YEAR(Finance!$AR$1),MONTH(Finance!$AR$1),1)+INT((DAY(Finance!$AR$1)-1)/2)+Finance!AS$4,0)=EOMONTH($BY$1,0),Finance!AS$3,0)+IF(EOMONTH(DATE(YEAR(Finance!$AO$1),MONTH(Finance!$AO$1),1)+INT((DAY(Finance!$AO$1)-1)/2)+Finance!AP$4,0)=EOMONTH($BY$1,0),Finance!AP$3,0)+IF(EOMONTH(DATE(YEAR(Finance!$AL$1),MONTH(Finance!$AL$1),1)+INT((DAY(Finance!$AL$1)-1)/2)+Finance!AM$4,0)=EOMONTH($BY$1,0),Finance!AM$3,0)+IF(EOMONTH(DATE(YEAR(Finance!$AI$1),MONTH(Finance!$AI$1),1)+INT((DAY(Finance!$AI$1)-1)/2)+Finance!AJ$4,0)=EOMONTH($BY$1,0),Finance!AJ$3,0)+IF(EOMONTH(DATE(YEAR(Finance!$AF$1),MONTH(Finance!$AF$1),1)+INT((DAY(Finance!$AF$1)-1)/2)+Finance!AG$4,0)=EOMONTH($BY$1,0),Finance!AG$3,0)+IF(EOMONTH(DATE(YEAR(Finance!$AC$1),MONTH(Finance!$AC$1),1)+INT((DAY(Finance!$AC$1)-1)/2)+Finance!AD$4,0)=EOMONTH($BY$1,0),Finance!AD$3,0)+IF(EOMONTH(DATE(YEAR(Finance!$Z$1),MONTH(Finance!$Z$1),1)+INT((DAY(Finance!$Z$1)-1)/2)+Finance!AA$4,0)=EOMONTH($BY$1,0),Finance!AA$3,0)+IF(EOMONTH(DATE(YEAR(Finance!$W$1),MONTH(Finance!$W$1),1)+INT((DAY(Finance!$W$1)-1)/2)+Finance!X$4,0)=EOMONTH($BY$1,0),Finance!X$3,0)+IF(EOMONTH(DATE(YEAR(Finance!$T$1),MONTH(Finance!$T$1),1)+INT((DAY(Finance!$T$1)-1)/2)+Finance!U$4,0)=EOMONTH($BY$1,0),Finance!U$3,0)+IF(EOMONTH(DATE(YEAR(Finance!$Q$1),MONTH(Finance!$Q$1),1)+INT((DAY(Finance!$Q$1)-1)/2)+Finance!R$4,0)=EOMONTH($BY$1,0),Finance!R$3,0)+IF(EOMONTH(DATE(YEAR(Finance!$N$1),MONTH(Finance!$N$1),1)+INT((DAY(Finance!$N$1)-1)/2)+Finance!O$4,0)=EOMONTH($BY$1,0),Finance!O$3,0)+IF(EOMONTH(DATE(YEAR(Finance!$K$1),MONTH(Finance!$K$1),1)+INT((DAY(Finance!$K$1)-1)/2)+Finance!L$4,0)=EOMONTH($BY$1,0),Finance!L$3,0)+IF(EOMONTH('Cash Drivers'!$DL$30+Finance!DM$4,0)=EOMONTH($BY$1,0),'Cash Drivers'!$DL$35,0),0))</f>
        <v>1364744</v>
      </c>
      <c r="CA5" s="13" t="n">
        <f aca="false">ROUND(IF(EOMONTH(DATE(YEAR(Finance!$DL$1),MONTH(Finance!$DL$1),1)+INT((DAY(Finance!$DL$1)-1)/2)+Finance!DN$4,0)=EOMONTH($BY$1,0),Finance!DN$3,0)+IF(EOMONTH(DATE(YEAR(Finance!$DI$1),MONTH(Finance!$DI$1),1)+INT((DAY(Finance!$DI$1)-1)/2)+Finance!DK$4,0)=EOMONTH($BY$1,0),Finance!DK$3,0)+IF(EOMONTH(DATE(YEAR(Finance!$DF$1),MONTH(Finance!$DF$1),1)+INT((DAY(Finance!$DF$1)-1)/2)+Finance!DH$4,0)=EOMONTH($BY$1,0),Finance!DH$3,0)+IF(EOMONTH(DATE(YEAR(Finance!$DC$1),MONTH(Finance!$DC$1),1)+INT((DAY(Finance!$DC$1)-1)/2)+Finance!DE$4,0)=EOMONTH($BY$1,0),Finance!DE$3,0)+IF(EOMONTH(DATE(YEAR(Finance!$CZ$1),MONTH(Finance!$CZ$1),1)+INT((DAY(Finance!$CZ$1)-1)/2)+Finance!DB$4,0)=EOMONTH($BY$1,0),Finance!DB$3,0)+IF(EOMONTH(DATE(YEAR(Finance!$CW$1),MONTH(Finance!$CW$1),1)+INT((DAY(Finance!$CW$1)-1)/2)+Finance!CY$4,0)=EOMONTH($BY$1,0),Finance!CY$3,0)+IF(EOMONTH(DATE(YEAR(Finance!$CT$1),MONTH(Finance!$CT$1),1)+INT((DAY(Finance!$CT$1)-1)/2)+Finance!CV$4,0)=EOMONTH($BY$1,0),Finance!CV$3,0)+IF(EOMONTH(DATE(YEAR(Finance!$CQ$1),MONTH(Finance!$CQ$1),1)+INT((DAY(Finance!$CQ$1)-1)/2)+Finance!CS$4,0)=EOMONTH($BY$1,0),Finance!CS$3,0)+IF(EOMONTH(DATE(YEAR(Finance!$CN$1),MONTH(Finance!$CN$1),1)+INT((DAY(Finance!$CN$1)-1)/2)+Finance!CP$4,0)=EOMONTH($BY$1,0),Finance!CP$3,0)+IF(EOMONTH(DATE(YEAR(Finance!$CK$1),MONTH(Finance!$CK$1),1)+INT((DAY(Finance!$CK$1)-1)/2)+Finance!CM$4,0)=EOMONTH($BY$1,0),Finance!CM$3,0)+IF(EOMONTH(DATE(YEAR(Finance!$CH$1),MONTH(Finance!$CH$1),1)+INT((DAY(Finance!$CH$1)-1)/2)+Finance!CJ$4,0)=EOMONTH($BY$1,0),Finance!CJ$3,0)+IF(EOMONTH(DATE(YEAR(Finance!$CE$1),MONTH(Finance!$CE$1),1)+INT((DAY(Finance!$CE$1)-1)/2)+Finance!CG$4,0)=EOMONTH($BY$1,0),Finance!CG$3,0)+IF(EOMONTH(DATE(YEAR(Finance!$CB$1),MONTH(Finance!$CB$1),1)+INT((DAY(Finance!$CB$1)-1)/2)+Finance!CD$4,0)=EOMONTH($BY$1,0),Finance!CD$3,0)+IF(EOMONTH(DATE(YEAR(Finance!$BY$1),MONTH(Finance!$BY$1),1)+INT((DAY(Finance!$BY$1)-1)/2)+Finance!CA$4,0)=EOMONTH($BY$1,0),Finance!CA$3,0)+IF(EOMONTH(DATE(YEAR(Finance!$BV$1),MONTH(Finance!$BV$1),1)+INT((DAY(Finance!$BV$1)-1)/2)+Finance!BX$4,0)=EOMONTH($BY$1,0),Finance!BX$3,0)+IF(EOMONTH(DATE(YEAR(Finance!$BS$1),MONTH(Finance!$BS$1),1)+INT((DAY(Finance!$BS$1)-1)/2)+Finance!BU$4,0)=EOMONTH($BY$1,0),Finance!BU$3,0)+IF(EOMONTH(DATE(YEAR(Finance!$BP$1),MONTH(Finance!$BP$1),1)+INT((DAY(Finance!$BP$1)-1)/2)+Finance!BR$4,0)=EOMONTH($BY$1,0),Finance!BR$3,0)+IF(EOMONTH(DATE(YEAR(Finance!$BM$1),MONTH(Finance!$BM$1),1)+INT((DAY(Finance!$BM$1)-1)/2)+Finance!BO$4,0)=EOMONTH($BY$1,0),Finance!BO$3,0)+IF(EOMONTH(DATE(YEAR(Finance!$BJ$1),MONTH(Finance!$BJ$1),1)+INT((DAY(Finance!$BJ$1)-1)/2)+Finance!BL$4,0)=EOMONTH($BY$1,0),Finance!BL$3,0)+IF(EOMONTH(DATE(YEAR(Finance!$BG$1),MONTH(Finance!$BG$1),1)+INT((DAY(Finance!$BG$1)-1)/2)+Finance!BI$4,0)=EOMONTH($BY$1,0),Finance!BI$3,0)+IF(EOMONTH(DATE(YEAR(Finance!$BD$1),MONTH(Finance!$BD$1),1)+INT((DAY(Finance!$BD$1)-1)/2)+Finance!BF$4,0)=EOMONTH($BY$1,0),Finance!BF$3,0)+IF(EOMONTH(DATE(YEAR(Finance!$BA$1),MONTH(Finance!$BA$1),1)+INT((DAY(Finance!$BA$1)-1)/2)+Finance!BC$4,0)=EOMONTH($BY$1,0),Finance!BC$3,0)+IF(EOMONTH(DATE(YEAR(Finance!$AX$1),MONTH(Finance!$AX$1),1)+INT((DAY(Finance!$AX$1)-1)/2)+Finance!AZ$4,0)=EOMONTH($BY$1,0),Finance!AZ$3,0)+IF(EOMONTH(DATE(YEAR(Finance!$AU$1),MONTH(Finance!$AU$1),1)+INT((DAY(Finance!$AU$1)-1)/2)+Finance!AW$4,0)=EOMONTH($BY$1,0),Finance!AW$3,0)+IF(EOMONTH(DATE(YEAR(Finance!$AR$1),MONTH(Finance!$AR$1),1)+INT((DAY(Finance!$AR$1)-1)/2)+Finance!AT$4,0)=EOMONTH($BY$1,0),Finance!AT$3,0)+IF(EOMONTH(DATE(YEAR(Finance!$AO$1),MONTH(Finance!$AO$1),1)+INT((DAY(Finance!$AO$1)-1)/2)+Finance!AQ$4,0)=EOMONTH($BY$1,0),Finance!AQ$3,0)+IF(EOMONTH(DATE(YEAR(Finance!$AL$1),MONTH(Finance!$AL$1),1)+INT((DAY(Finance!$AL$1)-1)/2)+Finance!AN$4,0)=EOMONTH($BY$1,0),Finance!AN$3,0)+IF(EOMONTH(DATE(YEAR(Finance!$AI$1),MONTH(Finance!$AI$1),1)+INT((DAY(Finance!$AI$1)-1)/2)+Finance!AK$4,0)=EOMONTH($BY$1,0),Finance!AK$3,0)+IF(EOMONTH(DATE(YEAR(Finance!$AF$1),MONTH(Finance!$AF$1),1)+INT((DAY(Finance!$AF$1)-1)/2)+Finance!AH$4,0)=EOMONTH($BY$1,0),Finance!AH$3,0)+IF(EOMONTH(DATE(YEAR(Finance!$AC$1),MONTH(Finance!$AC$1),1)+INT((DAY(Finance!$AC$1)-1)/2)+Finance!AE$4,0)=EOMONTH($BY$1,0),Finance!AE$3,0)+IF(EOMONTH(DATE(YEAR(Finance!$Z$1),MONTH(Finance!$Z$1),1)+INT((DAY(Finance!$Z$1)-1)/2)+Finance!AB$4,0)=EOMONTH($BY$1,0),Finance!AB$3,0)+IF(EOMONTH(DATE(YEAR(Finance!$W$1),MONTH(Finance!$W$1),1)+INT((DAY(Finance!$W$1)-1)/2)+Finance!Y$4,0)=EOMONTH($BY$1,0),Finance!Y$3,0)+IF(EOMONTH(DATE(YEAR(Finance!$T$1),MONTH(Finance!$T$1),1)+INT((DAY(Finance!$T$1)-1)/2)+Finance!V$4,0)=EOMONTH($BY$1,0),Finance!V$3,0)+IF(EOMONTH(DATE(YEAR(Finance!$Q$1),MONTH(Finance!$Q$1),1)+INT((DAY(Finance!$Q$1)-1)/2)+Finance!S$4,0)=EOMONTH($BY$1,0),Finance!S$3,0)+IF(EOMONTH(DATE(YEAR(Finance!$N$1),MONTH(Finance!$N$1),1)+INT((DAY(Finance!$N$1)-1)/2)+Finance!P$4,0)=EOMONTH($BY$1,0),Finance!P$3,0)+IF(EOMONTH(DATE(YEAR(Finance!$K$1),MONTH(Finance!$K$1),1)+INT((DAY(Finance!$K$1)-1)/2)+Finance!M$4,0)=EOMONTH($BY$1,0),Finance!M$3,0)+IF(EOMONTH('Cash Drivers'!$DL$30+Finance!DN$4,0)=EOMONTH($BY$1,0),'Cash Drivers'!$DL$35,0),0)</f>
        <v>1338253</v>
      </c>
      <c r="CB5" s="12"/>
      <c r="CC5" s="12" t="n">
        <f aca="false">IF('Cash Drivers'!CC$26,CB5,ROUND(IF(EOMONTH(DATE(YEAR(Finance!$DL$1),MONTH(Finance!$DL$1),1)+INT((DAY(Finance!$DL$1)-1)/2)+Finance!DM$4,0)=EOMONTH($CB$1,0),Finance!DM$3,0)+IF(EOMONTH(DATE(YEAR(Finance!$DI$1),MONTH(Finance!$DI$1),1)+INT((DAY(Finance!$DI$1)-1)/2)+Finance!DJ$4,0)=EOMONTH($CB$1,0),Finance!DJ$3,0)+IF(EOMONTH(DATE(YEAR(Finance!$DF$1),MONTH(Finance!$DF$1),1)+INT((DAY(Finance!$DF$1)-1)/2)+Finance!DG$4,0)=EOMONTH($CB$1,0),Finance!DG$3,0)+IF(EOMONTH(DATE(YEAR(Finance!$DC$1),MONTH(Finance!$DC$1),1)+INT((DAY(Finance!$DC$1)-1)/2)+Finance!DD$4,0)=EOMONTH($CB$1,0),Finance!DD$3,0)+IF(EOMONTH(DATE(YEAR(Finance!$CZ$1),MONTH(Finance!$CZ$1),1)+INT((DAY(Finance!$CZ$1)-1)/2)+Finance!DA$4,0)=EOMONTH($CB$1,0),Finance!DA$3,0)+IF(EOMONTH(DATE(YEAR(Finance!$CW$1),MONTH(Finance!$CW$1),1)+INT((DAY(Finance!$CW$1)-1)/2)+Finance!CX$4,0)=EOMONTH($CB$1,0),Finance!CX$3,0)+IF(EOMONTH(DATE(YEAR(Finance!$CT$1),MONTH(Finance!$CT$1),1)+INT((DAY(Finance!$CT$1)-1)/2)+Finance!CU$4,0)=EOMONTH($CB$1,0),Finance!CU$3,0)+IF(EOMONTH(DATE(YEAR(Finance!$CQ$1),MONTH(Finance!$CQ$1),1)+INT((DAY(Finance!$CQ$1)-1)/2)+Finance!CR$4,0)=EOMONTH($CB$1,0),Finance!CR$3,0)+IF(EOMONTH(DATE(YEAR(Finance!$CN$1),MONTH(Finance!$CN$1),1)+INT((DAY(Finance!$CN$1)-1)/2)+Finance!CO$4,0)=EOMONTH($CB$1,0),Finance!CO$3,0)+IF(EOMONTH(DATE(YEAR(Finance!$CK$1),MONTH(Finance!$CK$1),1)+INT((DAY(Finance!$CK$1)-1)/2)+Finance!CL$4,0)=EOMONTH($CB$1,0),Finance!CL$3,0)+IF(EOMONTH(DATE(YEAR(Finance!$CH$1),MONTH(Finance!$CH$1),1)+INT((DAY(Finance!$CH$1)-1)/2)+Finance!CI$4,0)=EOMONTH($CB$1,0),Finance!CI$3,0)+IF(EOMONTH(DATE(YEAR(Finance!$CE$1),MONTH(Finance!$CE$1),1)+INT((DAY(Finance!$CE$1)-1)/2)+Finance!CF$4,0)=EOMONTH($CB$1,0),Finance!CF$3,0)+IF(EOMONTH(DATE(YEAR(Finance!$CB$1),MONTH(Finance!$CB$1),1)+INT((DAY(Finance!$CB$1)-1)/2)+Finance!CC$4,0)=EOMONTH($CB$1,0),Finance!CC$3,0)+IF(EOMONTH(DATE(YEAR(Finance!$BY$1),MONTH(Finance!$BY$1),1)+INT((DAY(Finance!$BY$1)-1)/2)+Finance!BZ$4,0)=EOMONTH($CB$1,0),Finance!BZ$3,0)+IF(EOMONTH(DATE(YEAR(Finance!$BV$1),MONTH(Finance!$BV$1),1)+INT((DAY(Finance!$BV$1)-1)/2)+Finance!BW$4,0)=EOMONTH($CB$1,0),Finance!BW$3,0)+IF(EOMONTH(DATE(YEAR(Finance!$BS$1),MONTH(Finance!$BS$1),1)+INT((DAY(Finance!$BS$1)-1)/2)+Finance!BT$4,0)=EOMONTH($CB$1,0),Finance!BT$3,0)+IF(EOMONTH(DATE(YEAR(Finance!$BP$1),MONTH(Finance!$BP$1),1)+INT((DAY(Finance!$BP$1)-1)/2)+Finance!BQ$4,0)=EOMONTH($CB$1,0),Finance!BQ$3,0)+IF(EOMONTH(DATE(YEAR(Finance!$BM$1),MONTH(Finance!$BM$1),1)+INT((DAY(Finance!$BM$1)-1)/2)+Finance!BN$4,0)=EOMONTH($CB$1,0),Finance!BN$3,0)+IF(EOMONTH(DATE(YEAR(Finance!$BJ$1),MONTH(Finance!$BJ$1),1)+INT((DAY(Finance!$BJ$1)-1)/2)+Finance!BK$4,0)=EOMONTH($CB$1,0),Finance!BK$3,0)+IF(EOMONTH(DATE(YEAR(Finance!$BG$1),MONTH(Finance!$BG$1),1)+INT((DAY(Finance!$BG$1)-1)/2)+Finance!BH$4,0)=EOMONTH($CB$1,0),Finance!BH$3,0)+IF(EOMONTH(DATE(YEAR(Finance!$BD$1),MONTH(Finance!$BD$1),1)+INT((DAY(Finance!$BD$1)-1)/2)+Finance!BE$4,0)=EOMONTH($CB$1,0),Finance!BE$3,0)+IF(EOMONTH(DATE(YEAR(Finance!$BA$1),MONTH(Finance!$BA$1),1)+INT((DAY(Finance!$BA$1)-1)/2)+Finance!BB$4,0)=EOMONTH($CB$1,0),Finance!BB$3,0)+IF(EOMONTH(DATE(YEAR(Finance!$AX$1),MONTH(Finance!$AX$1),1)+INT((DAY(Finance!$AX$1)-1)/2)+Finance!AY$4,0)=EOMONTH($CB$1,0),Finance!AY$3,0)+IF(EOMONTH(DATE(YEAR(Finance!$AU$1),MONTH(Finance!$AU$1),1)+INT((DAY(Finance!$AU$1)-1)/2)+Finance!AV$4,0)=EOMONTH($CB$1,0),Finance!AV$3,0)+IF(EOMONTH(DATE(YEAR(Finance!$AR$1),MONTH(Finance!$AR$1),1)+INT((DAY(Finance!$AR$1)-1)/2)+Finance!AS$4,0)=EOMONTH($CB$1,0),Finance!AS$3,0)+IF(EOMONTH(DATE(YEAR(Finance!$AO$1),MONTH(Finance!$AO$1),1)+INT((DAY(Finance!$AO$1)-1)/2)+Finance!AP$4,0)=EOMONTH($CB$1,0),Finance!AP$3,0)+IF(EOMONTH(DATE(YEAR(Finance!$AL$1),MONTH(Finance!$AL$1),1)+INT((DAY(Finance!$AL$1)-1)/2)+Finance!AM$4,0)=EOMONTH($CB$1,0),Finance!AM$3,0)+IF(EOMONTH(DATE(YEAR(Finance!$AI$1),MONTH(Finance!$AI$1),1)+INT((DAY(Finance!$AI$1)-1)/2)+Finance!AJ$4,0)=EOMONTH($CB$1,0),Finance!AJ$3,0)+IF(EOMONTH(DATE(YEAR(Finance!$AF$1),MONTH(Finance!$AF$1),1)+INT((DAY(Finance!$AF$1)-1)/2)+Finance!AG$4,0)=EOMONTH($CB$1,0),Finance!AG$3,0)+IF(EOMONTH(DATE(YEAR(Finance!$AC$1),MONTH(Finance!$AC$1),1)+INT((DAY(Finance!$AC$1)-1)/2)+Finance!AD$4,0)=EOMONTH($CB$1,0),Finance!AD$3,0)+IF(EOMONTH(DATE(YEAR(Finance!$Z$1),MONTH(Finance!$Z$1),1)+INT((DAY(Finance!$Z$1)-1)/2)+Finance!AA$4,0)=EOMONTH($CB$1,0),Finance!AA$3,0)+IF(EOMONTH(DATE(YEAR(Finance!$W$1),MONTH(Finance!$W$1),1)+INT((DAY(Finance!$W$1)-1)/2)+Finance!X$4,0)=EOMONTH($CB$1,0),Finance!X$3,0)+IF(EOMONTH(DATE(YEAR(Finance!$T$1),MONTH(Finance!$T$1),1)+INT((DAY(Finance!$T$1)-1)/2)+Finance!U$4,0)=EOMONTH($CB$1,0),Finance!U$3,0)+IF(EOMONTH(DATE(YEAR(Finance!$Q$1),MONTH(Finance!$Q$1),1)+INT((DAY(Finance!$Q$1)-1)/2)+Finance!R$4,0)=EOMONTH($CB$1,0),Finance!R$3,0)+IF(EOMONTH(DATE(YEAR(Finance!$N$1),MONTH(Finance!$N$1),1)+INT((DAY(Finance!$N$1)-1)/2)+Finance!O$4,0)=EOMONTH($CB$1,0),Finance!O$3,0)+IF(EOMONTH(DATE(YEAR(Finance!$K$1),MONTH(Finance!$K$1),1)+INT((DAY(Finance!$K$1)-1)/2)+Finance!L$4,0)=EOMONTH($CB$1,0),Finance!L$3,0)+IF(EOMONTH('Cash Drivers'!$DL$30+Finance!DM$4,0)=EOMONTH($CB$1,0),'Cash Drivers'!$DL$35,0),0))</f>
        <v>1337598</v>
      </c>
      <c r="CD5" s="12" t="n">
        <f aca="false">ROUND(IF(EOMONTH(DATE(YEAR(Finance!$DL$1),MONTH(Finance!$DL$1),1)+INT((DAY(Finance!$DL$1)-1)/2)+Finance!DN$4,0)=EOMONTH($CB$1,0),Finance!DN$3,0)+IF(EOMONTH(DATE(YEAR(Finance!$DI$1),MONTH(Finance!$DI$1),1)+INT((DAY(Finance!$DI$1)-1)/2)+Finance!DK$4,0)=EOMONTH($CB$1,0),Finance!DK$3,0)+IF(EOMONTH(DATE(YEAR(Finance!$DF$1),MONTH(Finance!$DF$1),1)+INT((DAY(Finance!$DF$1)-1)/2)+Finance!DH$4,0)=EOMONTH($CB$1,0),Finance!DH$3,0)+IF(EOMONTH(DATE(YEAR(Finance!$DC$1),MONTH(Finance!$DC$1),1)+INT((DAY(Finance!$DC$1)-1)/2)+Finance!DE$4,0)=EOMONTH($CB$1,0),Finance!DE$3,0)+IF(EOMONTH(DATE(YEAR(Finance!$CZ$1),MONTH(Finance!$CZ$1),1)+INT((DAY(Finance!$CZ$1)-1)/2)+Finance!DB$4,0)=EOMONTH($CB$1,0),Finance!DB$3,0)+IF(EOMONTH(DATE(YEAR(Finance!$CW$1),MONTH(Finance!$CW$1),1)+INT((DAY(Finance!$CW$1)-1)/2)+Finance!CY$4,0)=EOMONTH($CB$1,0),Finance!CY$3,0)+IF(EOMONTH(DATE(YEAR(Finance!$CT$1),MONTH(Finance!$CT$1),1)+INT((DAY(Finance!$CT$1)-1)/2)+Finance!CV$4,0)=EOMONTH($CB$1,0),Finance!CV$3,0)+IF(EOMONTH(DATE(YEAR(Finance!$CQ$1),MONTH(Finance!$CQ$1),1)+INT((DAY(Finance!$CQ$1)-1)/2)+Finance!CS$4,0)=EOMONTH($CB$1,0),Finance!CS$3,0)+IF(EOMONTH(DATE(YEAR(Finance!$CN$1),MONTH(Finance!$CN$1),1)+INT((DAY(Finance!$CN$1)-1)/2)+Finance!CP$4,0)=EOMONTH($CB$1,0),Finance!CP$3,0)+IF(EOMONTH(DATE(YEAR(Finance!$CK$1),MONTH(Finance!$CK$1),1)+INT((DAY(Finance!$CK$1)-1)/2)+Finance!CM$4,0)=EOMONTH($CB$1,0),Finance!CM$3,0)+IF(EOMONTH(DATE(YEAR(Finance!$CH$1),MONTH(Finance!$CH$1),1)+INT((DAY(Finance!$CH$1)-1)/2)+Finance!CJ$4,0)=EOMONTH($CB$1,0),Finance!CJ$3,0)+IF(EOMONTH(DATE(YEAR(Finance!$CE$1),MONTH(Finance!$CE$1),1)+INT((DAY(Finance!$CE$1)-1)/2)+Finance!CG$4,0)=EOMONTH($CB$1,0),Finance!CG$3,0)+IF(EOMONTH(DATE(YEAR(Finance!$CB$1),MONTH(Finance!$CB$1),1)+INT((DAY(Finance!$CB$1)-1)/2)+Finance!CD$4,0)=EOMONTH($CB$1,0),Finance!CD$3,0)+IF(EOMONTH(DATE(YEAR(Finance!$BY$1),MONTH(Finance!$BY$1),1)+INT((DAY(Finance!$BY$1)-1)/2)+Finance!CA$4,0)=EOMONTH($CB$1,0),Finance!CA$3,0)+IF(EOMONTH(DATE(YEAR(Finance!$BV$1),MONTH(Finance!$BV$1),1)+INT((DAY(Finance!$BV$1)-1)/2)+Finance!BX$4,0)=EOMONTH($CB$1,0),Finance!BX$3,0)+IF(EOMONTH(DATE(YEAR(Finance!$BS$1),MONTH(Finance!$BS$1),1)+INT((DAY(Finance!$BS$1)-1)/2)+Finance!BU$4,0)=EOMONTH($CB$1,0),Finance!BU$3,0)+IF(EOMONTH(DATE(YEAR(Finance!$BP$1),MONTH(Finance!$BP$1),1)+INT((DAY(Finance!$BP$1)-1)/2)+Finance!BR$4,0)=EOMONTH($CB$1,0),Finance!BR$3,0)+IF(EOMONTH(DATE(YEAR(Finance!$BM$1),MONTH(Finance!$BM$1),1)+INT((DAY(Finance!$BM$1)-1)/2)+Finance!BO$4,0)=EOMONTH($CB$1,0),Finance!BO$3,0)+IF(EOMONTH(DATE(YEAR(Finance!$BJ$1),MONTH(Finance!$BJ$1),1)+INT((DAY(Finance!$BJ$1)-1)/2)+Finance!BL$4,0)=EOMONTH($CB$1,0),Finance!BL$3,0)+IF(EOMONTH(DATE(YEAR(Finance!$BG$1),MONTH(Finance!$BG$1),1)+INT((DAY(Finance!$BG$1)-1)/2)+Finance!BI$4,0)=EOMONTH($CB$1,0),Finance!BI$3,0)+IF(EOMONTH(DATE(YEAR(Finance!$BD$1),MONTH(Finance!$BD$1),1)+INT((DAY(Finance!$BD$1)-1)/2)+Finance!BF$4,0)=EOMONTH($CB$1,0),Finance!BF$3,0)+IF(EOMONTH(DATE(YEAR(Finance!$BA$1),MONTH(Finance!$BA$1),1)+INT((DAY(Finance!$BA$1)-1)/2)+Finance!BC$4,0)=EOMONTH($CB$1,0),Finance!BC$3,0)+IF(EOMONTH(DATE(YEAR(Finance!$AX$1),MONTH(Finance!$AX$1),1)+INT((DAY(Finance!$AX$1)-1)/2)+Finance!AZ$4,0)=EOMONTH($CB$1,0),Finance!AZ$3,0)+IF(EOMONTH(DATE(YEAR(Finance!$AU$1),MONTH(Finance!$AU$1),1)+INT((DAY(Finance!$AU$1)-1)/2)+Finance!AW$4,0)=EOMONTH($CB$1,0),Finance!AW$3,0)+IF(EOMONTH(DATE(YEAR(Finance!$AR$1),MONTH(Finance!$AR$1),1)+INT((DAY(Finance!$AR$1)-1)/2)+Finance!AT$4,0)=EOMONTH($CB$1,0),Finance!AT$3,0)+IF(EOMONTH(DATE(YEAR(Finance!$AO$1),MONTH(Finance!$AO$1),1)+INT((DAY(Finance!$AO$1)-1)/2)+Finance!AQ$4,0)=EOMONTH($CB$1,0),Finance!AQ$3,0)+IF(EOMONTH(DATE(YEAR(Finance!$AL$1),MONTH(Finance!$AL$1),1)+INT((DAY(Finance!$AL$1)-1)/2)+Finance!AN$4,0)=EOMONTH($CB$1,0),Finance!AN$3,0)+IF(EOMONTH(DATE(YEAR(Finance!$AI$1),MONTH(Finance!$AI$1),1)+INT((DAY(Finance!$AI$1)-1)/2)+Finance!AK$4,0)=EOMONTH($CB$1,0),Finance!AK$3,0)+IF(EOMONTH(DATE(YEAR(Finance!$AF$1),MONTH(Finance!$AF$1),1)+INT((DAY(Finance!$AF$1)-1)/2)+Finance!AH$4,0)=EOMONTH($CB$1,0),Finance!AH$3,0)+IF(EOMONTH(DATE(YEAR(Finance!$AC$1),MONTH(Finance!$AC$1),1)+INT((DAY(Finance!$AC$1)-1)/2)+Finance!AE$4,0)=EOMONTH($CB$1,0),Finance!AE$3,0)+IF(EOMONTH(DATE(YEAR(Finance!$Z$1),MONTH(Finance!$Z$1),1)+INT((DAY(Finance!$Z$1)-1)/2)+Finance!AB$4,0)=EOMONTH($CB$1,0),Finance!AB$3,0)+IF(EOMONTH(DATE(YEAR(Finance!$W$1),MONTH(Finance!$W$1),1)+INT((DAY(Finance!$W$1)-1)/2)+Finance!Y$4,0)=EOMONTH($CB$1,0),Finance!Y$3,0)+IF(EOMONTH(DATE(YEAR(Finance!$T$1),MONTH(Finance!$T$1),1)+INT((DAY(Finance!$T$1)-1)/2)+Finance!V$4,0)=EOMONTH($CB$1,0),Finance!V$3,0)+IF(EOMONTH(DATE(YEAR(Finance!$Q$1),MONTH(Finance!$Q$1),1)+INT((DAY(Finance!$Q$1)-1)/2)+Finance!S$4,0)=EOMONTH($CB$1,0),Finance!S$3,0)+IF(EOMONTH(DATE(YEAR(Finance!$N$1),MONTH(Finance!$N$1),1)+INT((DAY(Finance!$N$1)-1)/2)+Finance!P$4,0)=EOMONTH($CB$1,0),Finance!P$3,0)+IF(EOMONTH(DATE(YEAR(Finance!$K$1),MONTH(Finance!$K$1),1)+INT((DAY(Finance!$K$1)-1)/2)+Finance!M$4,0)=EOMONTH($CB$1,0),Finance!M$3,0)+IF(EOMONTH('Cash Drivers'!$DL$30+Finance!DN$4,0)=EOMONTH($CB$1,0),'Cash Drivers'!$DL$35,0),0)</f>
        <v>1311129</v>
      </c>
      <c r="CE5" s="13"/>
      <c r="CF5" s="13" t="n">
        <f aca="false">IF('Cash Drivers'!CF$26,CE5,ROUND(IF(EOMONTH(DATE(YEAR(Finance!$DL$1),MONTH(Finance!$DL$1),1)+INT((DAY(Finance!$DL$1)-1)/2)+Finance!DM$4,0)=EOMONTH($CE$1,0),Finance!DM$3,0)+IF(EOMONTH(DATE(YEAR(Finance!$DI$1),MONTH(Finance!$DI$1),1)+INT((DAY(Finance!$DI$1)-1)/2)+Finance!DJ$4,0)=EOMONTH($CE$1,0),Finance!DJ$3,0)+IF(EOMONTH(DATE(YEAR(Finance!$DF$1),MONTH(Finance!$DF$1),1)+INT((DAY(Finance!$DF$1)-1)/2)+Finance!DG$4,0)=EOMONTH($CE$1,0),Finance!DG$3,0)+IF(EOMONTH(DATE(YEAR(Finance!$DC$1),MONTH(Finance!$DC$1),1)+INT((DAY(Finance!$DC$1)-1)/2)+Finance!DD$4,0)=EOMONTH($CE$1,0),Finance!DD$3,0)+IF(EOMONTH(DATE(YEAR(Finance!$CZ$1),MONTH(Finance!$CZ$1),1)+INT((DAY(Finance!$CZ$1)-1)/2)+Finance!DA$4,0)=EOMONTH($CE$1,0),Finance!DA$3,0)+IF(EOMONTH(DATE(YEAR(Finance!$CW$1),MONTH(Finance!$CW$1),1)+INT((DAY(Finance!$CW$1)-1)/2)+Finance!CX$4,0)=EOMONTH($CE$1,0),Finance!CX$3,0)+IF(EOMONTH(DATE(YEAR(Finance!$CT$1),MONTH(Finance!$CT$1),1)+INT((DAY(Finance!$CT$1)-1)/2)+Finance!CU$4,0)=EOMONTH($CE$1,0),Finance!CU$3,0)+IF(EOMONTH(DATE(YEAR(Finance!$CQ$1),MONTH(Finance!$CQ$1),1)+INT((DAY(Finance!$CQ$1)-1)/2)+Finance!CR$4,0)=EOMONTH($CE$1,0),Finance!CR$3,0)+IF(EOMONTH(DATE(YEAR(Finance!$CN$1),MONTH(Finance!$CN$1),1)+INT((DAY(Finance!$CN$1)-1)/2)+Finance!CO$4,0)=EOMONTH($CE$1,0),Finance!CO$3,0)+IF(EOMONTH(DATE(YEAR(Finance!$CK$1),MONTH(Finance!$CK$1),1)+INT((DAY(Finance!$CK$1)-1)/2)+Finance!CL$4,0)=EOMONTH($CE$1,0),Finance!CL$3,0)+IF(EOMONTH(DATE(YEAR(Finance!$CH$1),MONTH(Finance!$CH$1),1)+INT((DAY(Finance!$CH$1)-1)/2)+Finance!CI$4,0)=EOMONTH($CE$1,0),Finance!CI$3,0)+IF(EOMONTH(DATE(YEAR(Finance!$CE$1),MONTH(Finance!$CE$1),1)+INT((DAY(Finance!$CE$1)-1)/2)+Finance!CF$4,0)=EOMONTH($CE$1,0),Finance!CF$3,0)+IF(EOMONTH(DATE(YEAR(Finance!$CB$1),MONTH(Finance!$CB$1),1)+INT((DAY(Finance!$CB$1)-1)/2)+Finance!CC$4,0)=EOMONTH($CE$1,0),Finance!CC$3,0)+IF(EOMONTH(DATE(YEAR(Finance!$BY$1),MONTH(Finance!$BY$1),1)+INT((DAY(Finance!$BY$1)-1)/2)+Finance!BZ$4,0)=EOMONTH($CE$1,0),Finance!BZ$3,0)+IF(EOMONTH(DATE(YEAR(Finance!$BV$1),MONTH(Finance!$BV$1),1)+INT((DAY(Finance!$BV$1)-1)/2)+Finance!BW$4,0)=EOMONTH($CE$1,0),Finance!BW$3,0)+IF(EOMONTH(DATE(YEAR(Finance!$BS$1),MONTH(Finance!$BS$1),1)+INT((DAY(Finance!$BS$1)-1)/2)+Finance!BT$4,0)=EOMONTH($CE$1,0),Finance!BT$3,0)+IF(EOMONTH(DATE(YEAR(Finance!$BP$1),MONTH(Finance!$BP$1),1)+INT((DAY(Finance!$BP$1)-1)/2)+Finance!BQ$4,0)=EOMONTH($CE$1,0),Finance!BQ$3,0)+IF(EOMONTH(DATE(YEAR(Finance!$BM$1),MONTH(Finance!$BM$1),1)+INT((DAY(Finance!$BM$1)-1)/2)+Finance!BN$4,0)=EOMONTH($CE$1,0),Finance!BN$3,0)+IF(EOMONTH(DATE(YEAR(Finance!$BJ$1),MONTH(Finance!$BJ$1),1)+INT((DAY(Finance!$BJ$1)-1)/2)+Finance!BK$4,0)=EOMONTH($CE$1,0),Finance!BK$3,0)+IF(EOMONTH(DATE(YEAR(Finance!$BG$1),MONTH(Finance!$BG$1),1)+INT((DAY(Finance!$BG$1)-1)/2)+Finance!BH$4,0)=EOMONTH($CE$1,0),Finance!BH$3,0)+IF(EOMONTH(DATE(YEAR(Finance!$BD$1),MONTH(Finance!$BD$1),1)+INT((DAY(Finance!$BD$1)-1)/2)+Finance!BE$4,0)=EOMONTH($CE$1,0),Finance!BE$3,0)+IF(EOMONTH(DATE(YEAR(Finance!$BA$1),MONTH(Finance!$BA$1),1)+INT((DAY(Finance!$BA$1)-1)/2)+Finance!BB$4,0)=EOMONTH($CE$1,0),Finance!BB$3,0)+IF(EOMONTH(DATE(YEAR(Finance!$AX$1),MONTH(Finance!$AX$1),1)+INT((DAY(Finance!$AX$1)-1)/2)+Finance!AY$4,0)=EOMONTH($CE$1,0),Finance!AY$3,0)+IF(EOMONTH(DATE(YEAR(Finance!$AU$1),MONTH(Finance!$AU$1),1)+INT((DAY(Finance!$AU$1)-1)/2)+Finance!AV$4,0)=EOMONTH($CE$1,0),Finance!AV$3,0)+IF(EOMONTH(DATE(YEAR(Finance!$AR$1),MONTH(Finance!$AR$1),1)+INT((DAY(Finance!$AR$1)-1)/2)+Finance!AS$4,0)=EOMONTH($CE$1,0),Finance!AS$3,0)+IF(EOMONTH(DATE(YEAR(Finance!$AO$1),MONTH(Finance!$AO$1),1)+INT((DAY(Finance!$AO$1)-1)/2)+Finance!AP$4,0)=EOMONTH($CE$1,0),Finance!AP$3,0)+IF(EOMONTH(DATE(YEAR(Finance!$AL$1),MONTH(Finance!$AL$1),1)+INT((DAY(Finance!$AL$1)-1)/2)+Finance!AM$4,0)=EOMONTH($CE$1,0),Finance!AM$3,0)+IF(EOMONTH(DATE(YEAR(Finance!$AI$1),MONTH(Finance!$AI$1),1)+INT((DAY(Finance!$AI$1)-1)/2)+Finance!AJ$4,0)=EOMONTH($CE$1,0),Finance!AJ$3,0)+IF(EOMONTH(DATE(YEAR(Finance!$AF$1),MONTH(Finance!$AF$1),1)+INT((DAY(Finance!$AF$1)-1)/2)+Finance!AG$4,0)=EOMONTH($CE$1,0),Finance!AG$3,0)+IF(EOMONTH(DATE(YEAR(Finance!$AC$1),MONTH(Finance!$AC$1),1)+INT((DAY(Finance!$AC$1)-1)/2)+Finance!AD$4,0)=EOMONTH($CE$1,0),Finance!AD$3,0)+IF(EOMONTH(DATE(YEAR(Finance!$Z$1),MONTH(Finance!$Z$1),1)+INT((DAY(Finance!$Z$1)-1)/2)+Finance!AA$4,0)=EOMONTH($CE$1,0),Finance!AA$3,0)+IF(EOMONTH(DATE(YEAR(Finance!$W$1),MONTH(Finance!$W$1),1)+INT((DAY(Finance!$W$1)-1)/2)+Finance!X$4,0)=EOMONTH($CE$1,0),Finance!X$3,0)+IF(EOMONTH(DATE(YEAR(Finance!$T$1),MONTH(Finance!$T$1),1)+INT((DAY(Finance!$T$1)-1)/2)+Finance!U$4,0)=EOMONTH($CE$1,0),Finance!U$3,0)+IF(EOMONTH(DATE(YEAR(Finance!$Q$1),MONTH(Finance!$Q$1),1)+INT((DAY(Finance!$Q$1)-1)/2)+Finance!R$4,0)=EOMONTH($CE$1,0),Finance!R$3,0)+IF(EOMONTH(DATE(YEAR(Finance!$N$1),MONTH(Finance!$N$1),1)+INT((DAY(Finance!$N$1)-1)/2)+Finance!O$4,0)=EOMONTH($CE$1,0),Finance!O$3,0)+IF(EOMONTH(DATE(YEAR(Finance!$K$1),MONTH(Finance!$K$1),1)+INT((DAY(Finance!$K$1)-1)/2)+Finance!L$4,0)=EOMONTH($CE$1,0),Finance!L$3,0)+IF(EOMONTH('Cash Drivers'!$DL$30+Finance!DM$4,0)=EOMONTH($CE$1,0),'Cash Drivers'!$DL$35,0),0))</f>
        <v>1310606</v>
      </c>
      <c r="CG5" s="13" t="n">
        <f aca="false">ROUND(IF(EOMONTH(DATE(YEAR(Finance!$DL$1),MONTH(Finance!$DL$1),1)+INT((DAY(Finance!$DL$1)-1)/2)+Finance!DN$4,0)=EOMONTH($CE$1,0),Finance!DN$3,0)+IF(EOMONTH(DATE(YEAR(Finance!$DI$1),MONTH(Finance!$DI$1),1)+INT((DAY(Finance!$DI$1)-1)/2)+Finance!DK$4,0)=EOMONTH($CE$1,0),Finance!DK$3,0)+IF(EOMONTH(DATE(YEAR(Finance!$DF$1),MONTH(Finance!$DF$1),1)+INT((DAY(Finance!$DF$1)-1)/2)+Finance!DH$4,0)=EOMONTH($CE$1,0),Finance!DH$3,0)+IF(EOMONTH(DATE(YEAR(Finance!$DC$1),MONTH(Finance!$DC$1),1)+INT((DAY(Finance!$DC$1)-1)/2)+Finance!DE$4,0)=EOMONTH($CE$1,0),Finance!DE$3,0)+IF(EOMONTH(DATE(YEAR(Finance!$CZ$1),MONTH(Finance!$CZ$1),1)+INT((DAY(Finance!$CZ$1)-1)/2)+Finance!DB$4,0)=EOMONTH($CE$1,0),Finance!DB$3,0)+IF(EOMONTH(DATE(YEAR(Finance!$CW$1),MONTH(Finance!$CW$1),1)+INT((DAY(Finance!$CW$1)-1)/2)+Finance!CY$4,0)=EOMONTH($CE$1,0),Finance!CY$3,0)+IF(EOMONTH(DATE(YEAR(Finance!$CT$1),MONTH(Finance!$CT$1),1)+INT((DAY(Finance!$CT$1)-1)/2)+Finance!CV$4,0)=EOMONTH($CE$1,0),Finance!CV$3,0)+IF(EOMONTH(DATE(YEAR(Finance!$CQ$1),MONTH(Finance!$CQ$1),1)+INT((DAY(Finance!$CQ$1)-1)/2)+Finance!CS$4,0)=EOMONTH($CE$1,0),Finance!CS$3,0)+IF(EOMONTH(DATE(YEAR(Finance!$CN$1),MONTH(Finance!$CN$1),1)+INT((DAY(Finance!$CN$1)-1)/2)+Finance!CP$4,0)=EOMONTH($CE$1,0),Finance!CP$3,0)+IF(EOMONTH(DATE(YEAR(Finance!$CK$1),MONTH(Finance!$CK$1),1)+INT((DAY(Finance!$CK$1)-1)/2)+Finance!CM$4,0)=EOMONTH($CE$1,0),Finance!CM$3,0)+IF(EOMONTH(DATE(YEAR(Finance!$CH$1),MONTH(Finance!$CH$1),1)+INT((DAY(Finance!$CH$1)-1)/2)+Finance!CJ$4,0)=EOMONTH($CE$1,0),Finance!CJ$3,0)+IF(EOMONTH(DATE(YEAR(Finance!$CE$1),MONTH(Finance!$CE$1),1)+INT((DAY(Finance!$CE$1)-1)/2)+Finance!CG$4,0)=EOMONTH($CE$1,0),Finance!CG$3,0)+IF(EOMONTH(DATE(YEAR(Finance!$CB$1),MONTH(Finance!$CB$1),1)+INT((DAY(Finance!$CB$1)-1)/2)+Finance!CD$4,0)=EOMONTH($CE$1,0),Finance!CD$3,0)+IF(EOMONTH(DATE(YEAR(Finance!$BY$1),MONTH(Finance!$BY$1),1)+INT((DAY(Finance!$BY$1)-1)/2)+Finance!CA$4,0)=EOMONTH($CE$1,0),Finance!CA$3,0)+IF(EOMONTH(DATE(YEAR(Finance!$BV$1),MONTH(Finance!$BV$1),1)+INT((DAY(Finance!$BV$1)-1)/2)+Finance!BX$4,0)=EOMONTH($CE$1,0),Finance!BX$3,0)+IF(EOMONTH(DATE(YEAR(Finance!$BS$1),MONTH(Finance!$BS$1),1)+INT((DAY(Finance!$BS$1)-1)/2)+Finance!BU$4,0)=EOMONTH($CE$1,0),Finance!BU$3,0)+IF(EOMONTH(DATE(YEAR(Finance!$BP$1),MONTH(Finance!$BP$1),1)+INT((DAY(Finance!$BP$1)-1)/2)+Finance!BR$4,0)=EOMONTH($CE$1,0),Finance!BR$3,0)+IF(EOMONTH(DATE(YEAR(Finance!$BM$1),MONTH(Finance!$BM$1),1)+INT((DAY(Finance!$BM$1)-1)/2)+Finance!BO$4,0)=EOMONTH($CE$1,0),Finance!BO$3,0)+IF(EOMONTH(DATE(YEAR(Finance!$BJ$1),MONTH(Finance!$BJ$1),1)+INT((DAY(Finance!$BJ$1)-1)/2)+Finance!BL$4,0)=EOMONTH($CE$1,0),Finance!BL$3,0)+IF(EOMONTH(DATE(YEAR(Finance!$BG$1),MONTH(Finance!$BG$1),1)+INT((DAY(Finance!$BG$1)-1)/2)+Finance!BI$4,0)=EOMONTH($CE$1,0),Finance!BI$3,0)+IF(EOMONTH(DATE(YEAR(Finance!$BD$1),MONTH(Finance!$BD$1),1)+INT((DAY(Finance!$BD$1)-1)/2)+Finance!BF$4,0)=EOMONTH($CE$1,0),Finance!BF$3,0)+IF(EOMONTH(DATE(YEAR(Finance!$BA$1),MONTH(Finance!$BA$1),1)+INT((DAY(Finance!$BA$1)-1)/2)+Finance!BC$4,0)=EOMONTH($CE$1,0),Finance!BC$3,0)+IF(EOMONTH(DATE(YEAR(Finance!$AX$1),MONTH(Finance!$AX$1),1)+INT((DAY(Finance!$AX$1)-1)/2)+Finance!AZ$4,0)=EOMONTH($CE$1,0),Finance!AZ$3,0)+IF(EOMONTH(DATE(YEAR(Finance!$AU$1),MONTH(Finance!$AU$1),1)+INT((DAY(Finance!$AU$1)-1)/2)+Finance!AW$4,0)=EOMONTH($CE$1,0),Finance!AW$3,0)+IF(EOMONTH(DATE(YEAR(Finance!$AR$1),MONTH(Finance!$AR$1),1)+INT((DAY(Finance!$AR$1)-1)/2)+Finance!AT$4,0)=EOMONTH($CE$1,0),Finance!AT$3,0)+IF(EOMONTH(DATE(YEAR(Finance!$AO$1),MONTH(Finance!$AO$1),1)+INT((DAY(Finance!$AO$1)-1)/2)+Finance!AQ$4,0)=EOMONTH($CE$1,0),Finance!AQ$3,0)+IF(EOMONTH(DATE(YEAR(Finance!$AL$1),MONTH(Finance!$AL$1),1)+INT((DAY(Finance!$AL$1)-1)/2)+Finance!AN$4,0)=EOMONTH($CE$1,0),Finance!AN$3,0)+IF(EOMONTH(DATE(YEAR(Finance!$AI$1),MONTH(Finance!$AI$1),1)+INT((DAY(Finance!$AI$1)-1)/2)+Finance!AK$4,0)=EOMONTH($CE$1,0),Finance!AK$3,0)+IF(EOMONTH(DATE(YEAR(Finance!$AF$1),MONTH(Finance!$AF$1),1)+INT((DAY(Finance!$AF$1)-1)/2)+Finance!AH$4,0)=EOMONTH($CE$1,0),Finance!AH$3,0)+IF(EOMONTH(DATE(YEAR(Finance!$AC$1),MONTH(Finance!$AC$1),1)+INT((DAY(Finance!$AC$1)-1)/2)+Finance!AE$4,0)=EOMONTH($CE$1,0),Finance!AE$3,0)+IF(EOMONTH(DATE(YEAR(Finance!$Z$1),MONTH(Finance!$Z$1),1)+INT((DAY(Finance!$Z$1)-1)/2)+Finance!AB$4,0)=EOMONTH($CE$1,0),Finance!AB$3,0)+IF(EOMONTH(DATE(YEAR(Finance!$W$1),MONTH(Finance!$W$1),1)+INT((DAY(Finance!$W$1)-1)/2)+Finance!Y$4,0)=EOMONTH($CE$1,0),Finance!Y$3,0)+IF(EOMONTH(DATE(YEAR(Finance!$T$1),MONTH(Finance!$T$1),1)+INT((DAY(Finance!$T$1)-1)/2)+Finance!V$4,0)=EOMONTH($CE$1,0),Finance!V$3,0)+IF(EOMONTH(DATE(YEAR(Finance!$Q$1),MONTH(Finance!$Q$1),1)+INT((DAY(Finance!$Q$1)-1)/2)+Finance!S$4,0)=EOMONTH($CE$1,0),Finance!S$3,0)+IF(EOMONTH(DATE(YEAR(Finance!$N$1),MONTH(Finance!$N$1),1)+INT((DAY(Finance!$N$1)-1)/2)+Finance!P$4,0)=EOMONTH($CE$1,0),Finance!P$3,0)+IF(EOMONTH(DATE(YEAR(Finance!$K$1),MONTH(Finance!$K$1),1)+INT((DAY(Finance!$K$1)-1)/2)+Finance!M$4,0)=EOMONTH($CE$1,0),Finance!M$3,0)+IF(EOMONTH('Cash Drivers'!$DL$30+Finance!DN$4,0)=EOMONTH($CE$1,0),'Cash Drivers'!$DL$35,0),0)</f>
        <v>1284100</v>
      </c>
      <c r="CH5" s="12"/>
      <c r="CI5" s="12" t="n">
        <f aca="false">IF('Cash Drivers'!CI$26,CH5,ROUND(IF(EOMONTH(DATE(YEAR(Finance!$DL$1),MONTH(Finance!$DL$1),1)+INT((DAY(Finance!$DL$1)-1)/2)+Finance!DM$4,0)=EOMONTH($CH$1,0),Finance!DM$3,0)+IF(EOMONTH(DATE(YEAR(Finance!$DI$1),MONTH(Finance!$DI$1),1)+INT((DAY(Finance!$DI$1)-1)/2)+Finance!DJ$4,0)=EOMONTH($CH$1,0),Finance!DJ$3,0)+IF(EOMONTH(DATE(YEAR(Finance!$DF$1),MONTH(Finance!$DF$1),1)+INT((DAY(Finance!$DF$1)-1)/2)+Finance!DG$4,0)=EOMONTH($CH$1,0),Finance!DG$3,0)+IF(EOMONTH(DATE(YEAR(Finance!$DC$1),MONTH(Finance!$DC$1),1)+INT((DAY(Finance!$DC$1)-1)/2)+Finance!DD$4,0)=EOMONTH($CH$1,0),Finance!DD$3,0)+IF(EOMONTH(DATE(YEAR(Finance!$CZ$1),MONTH(Finance!$CZ$1),1)+INT((DAY(Finance!$CZ$1)-1)/2)+Finance!DA$4,0)=EOMONTH($CH$1,0),Finance!DA$3,0)+IF(EOMONTH(DATE(YEAR(Finance!$CW$1),MONTH(Finance!$CW$1),1)+INT((DAY(Finance!$CW$1)-1)/2)+Finance!CX$4,0)=EOMONTH($CH$1,0),Finance!CX$3,0)+IF(EOMONTH(DATE(YEAR(Finance!$CT$1),MONTH(Finance!$CT$1),1)+INT((DAY(Finance!$CT$1)-1)/2)+Finance!CU$4,0)=EOMONTH($CH$1,0),Finance!CU$3,0)+IF(EOMONTH(DATE(YEAR(Finance!$CQ$1),MONTH(Finance!$CQ$1),1)+INT((DAY(Finance!$CQ$1)-1)/2)+Finance!CR$4,0)=EOMONTH($CH$1,0),Finance!CR$3,0)+IF(EOMONTH(DATE(YEAR(Finance!$CN$1),MONTH(Finance!$CN$1),1)+INT((DAY(Finance!$CN$1)-1)/2)+Finance!CO$4,0)=EOMONTH($CH$1,0),Finance!CO$3,0)+IF(EOMONTH(DATE(YEAR(Finance!$CK$1),MONTH(Finance!$CK$1),1)+INT((DAY(Finance!$CK$1)-1)/2)+Finance!CL$4,0)=EOMONTH($CH$1,0),Finance!CL$3,0)+IF(EOMONTH(DATE(YEAR(Finance!$CH$1),MONTH(Finance!$CH$1),1)+INT((DAY(Finance!$CH$1)-1)/2)+Finance!CI$4,0)=EOMONTH($CH$1,0),Finance!CI$3,0)+IF(EOMONTH(DATE(YEAR(Finance!$CE$1),MONTH(Finance!$CE$1),1)+INT((DAY(Finance!$CE$1)-1)/2)+Finance!CF$4,0)=EOMONTH($CH$1,0),Finance!CF$3,0)+IF(EOMONTH(DATE(YEAR(Finance!$CB$1),MONTH(Finance!$CB$1),1)+INT((DAY(Finance!$CB$1)-1)/2)+Finance!CC$4,0)=EOMONTH($CH$1,0),Finance!CC$3,0)+IF(EOMONTH(DATE(YEAR(Finance!$BY$1),MONTH(Finance!$BY$1),1)+INT((DAY(Finance!$BY$1)-1)/2)+Finance!BZ$4,0)=EOMONTH($CH$1,0),Finance!BZ$3,0)+IF(EOMONTH(DATE(YEAR(Finance!$BV$1),MONTH(Finance!$BV$1),1)+INT((DAY(Finance!$BV$1)-1)/2)+Finance!BW$4,0)=EOMONTH($CH$1,0),Finance!BW$3,0)+IF(EOMONTH(DATE(YEAR(Finance!$BS$1),MONTH(Finance!$BS$1),1)+INT((DAY(Finance!$BS$1)-1)/2)+Finance!BT$4,0)=EOMONTH($CH$1,0),Finance!BT$3,0)+IF(EOMONTH(DATE(YEAR(Finance!$BP$1),MONTH(Finance!$BP$1),1)+INT((DAY(Finance!$BP$1)-1)/2)+Finance!BQ$4,0)=EOMONTH($CH$1,0),Finance!BQ$3,0)+IF(EOMONTH(DATE(YEAR(Finance!$BM$1),MONTH(Finance!$BM$1),1)+INT((DAY(Finance!$BM$1)-1)/2)+Finance!BN$4,0)=EOMONTH($CH$1,0),Finance!BN$3,0)+IF(EOMONTH(DATE(YEAR(Finance!$BJ$1),MONTH(Finance!$BJ$1),1)+INT((DAY(Finance!$BJ$1)-1)/2)+Finance!BK$4,0)=EOMONTH($CH$1,0),Finance!BK$3,0)+IF(EOMONTH(DATE(YEAR(Finance!$BG$1),MONTH(Finance!$BG$1),1)+INT((DAY(Finance!$BG$1)-1)/2)+Finance!BH$4,0)=EOMONTH($CH$1,0),Finance!BH$3,0)+IF(EOMONTH(DATE(YEAR(Finance!$BD$1),MONTH(Finance!$BD$1),1)+INT((DAY(Finance!$BD$1)-1)/2)+Finance!BE$4,0)=EOMONTH($CH$1,0),Finance!BE$3,0)+IF(EOMONTH(DATE(YEAR(Finance!$BA$1),MONTH(Finance!$BA$1),1)+INT((DAY(Finance!$BA$1)-1)/2)+Finance!BB$4,0)=EOMONTH($CH$1,0),Finance!BB$3,0)+IF(EOMONTH(DATE(YEAR(Finance!$AX$1),MONTH(Finance!$AX$1),1)+INT((DAY(Finance!$AX$1)-1)/2)+Finance!AY$4,0)=EOMONTH($CH$1,0),Finance!AY$3,0)+IF(EOMONTH(DATE(YEAR(Finance!$AU$1),MONTH(Finance!$AU$1),1)+INT((DAY(Finance!$AU$1)-1)/2)+Finance!AV$4,0)=EOMONTH($CH$1,0),Finance!AV$3,0)+IF(EOMONTH(DATE(YEAR(Finance!$AR$1),MONTH(Finance!$AR$1),1)+INT((DAY(Finance!$AR$1)-1)/2)+Finance!AS$4,0)=EOMONTH($CH$1,0),Finance!AS$3,0)+IF(EOMONTH(DATE(YEAR(Finance!$AO$1),MONTH(Finance!$AO$1),1)+INT((DAY(Finance!$AO$1)-1)/2)+Finance!AP$4,0)=EOMONTH($CH$1,0),Finance!AP$3,0)+IF(EOMONTH(DATE(YEAR(Finance!$AL$1),MONTH(Finance!$AL$1),1)+INT((DAY(Finance!$AL$1)-1)/2)+Finance!AM$4,0)=EOMONTH($CH$1,0),Finance!AM$3,0)+IF(EOMONTH(DATE(YEAR(Finance!$AI$1),MONTH(Finance!$AI$1),1)+INT((DAY(Finance!$AI$1)-1)/2)+Finance!AJ$4,0)=EOMONTH($CH$1,0),Finance!AJ$3,0)+IF(EOMONTH(DATE(YEAR(Finance!$AF$1),MONTH(Finance!$AF$1),1)+INT((DAY(Finance!$AF$1)-1)/2)+Finance!AG$4,0)=EOMONTH($CH$1,0),Finance!AG$3,0)+IF(EOMONTH(DATE(YEAR(Finance!$AC$1),MONTH(Finance!$AC$1),1)+INT((DAY(Finance!$AC$1)-1)/2)+Finance!AD$4,0)=EOMONTH($CH$1,0),Finance!AD$3,0)+IF(EOMONTH(DATE(YEAR(Finance!$Z$1),MONTH(Finance!$Z$1),1)+INT((DAY(Finance!$Z$1)-1)/2)+Finance!AA$4,0)=EOMONTH($CH$1,0),Finance!AA$3,0)+IF(EOMONTH(DATE(YEAR(Finance!$W$1),MONTH(Finance!$W$1),1)+INT((DAY(Finance!$W$1)-1)/2)+Finance!X$4,0)=EOMONTH($CH$1,0),Finance!X$3,0)+IF(EOMONTH(DATE(YEAR(Finance!$T$1),MONTH(Finance!$T$1),1)+INT((DAY(Finance!$T$1)-1)/2)+Finance!U$4,0)=EOMONTH($CH$1,0),Finance!U$3,0)+IF(EOMONTH(DATE(YEAR(Finance!$Q$1),MONTH(Finance!$Q$1),1)+INT((DAY(Finance!$Q$1)-1)/2)+Finance!R$4,0)=EOMONTH($CH$1,0),Finance!R$3,0)+IF(EOMONTH(DATE(YEAR(Finance!$N$1),MONTH(Finance!$N$1),1)+INT((DAY(Finance!$N$1)-1)/2)+Finance!O$4,0)=EOMONTH($CH$1,0),Finance!O$3,0)+IF(EOMONTH(DATE(YEAR(Finance!$K$1),MONTH(Finance!$K$1),1)+INT((DAY(Finance!$K$1)-1)/2)+Finance!L$4,0)=EOMONTH($CH$1,0),Finance!L$3,0)+IF(EOMONTH('Cash Drivers'!$DL$30+Finance!DM$4,0)=EOMONTH($CH$1,0),'Cash Drivers'!$DL$35,0),0))</f>
        <v>1283707</v>
      </c>
      <c r="CJ5" s="12" t="n">
        <f aca="false">ROUND(IF(EOMONTH(DATE(YEAR(Finance!$DL$1),MONTH(Finance!$DL$1),1)+INT((DAY(Finance!$DL$1)-1)/2)+Finance!DN$4,0)=EOMONTH($CH$1,0),Finance!DN$3,0)+IF(EOMONTH(DATE(YEAR(Finance!$DI$1),MONTH(Finance!$DI$1),1)+INT((DAY(Finance!$DI$1)-1)/2)+Finance!DK$4,0)=EOMONTH($CH$1,0),Finance!DK$3,0)+IF(EOMONTH(DATE(YEAR(Finance!$DF$1),MONTH(Finance!$DF$1),1)+INT((DAY(Finance!$DF$1)-1)/2)+Finance!DH$4,0)=EOMONTH($CH$1,0),Finance!DH$3,0)+IF(EOMONTH(DATE(YEAR(Finance!$DC$1),MONTH(Finance!$DC$1),1)+INT((DAY(Finance!$DC$1)-1)/2)+Finance!DE$4,0)=EOMONTH($CH$1,0),Finance!DE$3,0)+IF(EOMONTH(DATE(YEAR(Finance!$CZ$1),MONTH(Finance!$CZ$1),1)+INT((DAY(Finance!$CZ$1)-1)/2)+Finance!DB$4,0)=EOMONTH($CH$1,0),Finance!DB$3,0)+IF(EOMONTH(DATE(YEAR(Finance!$CW$1),MONTH(Finance!$CW$1),1)+INT((DAY(Finance!$CW$1)-1)/2)+Finance!CY$4,0)=EOMONTH($CH$1,0),Finance!CY$3,0)+IF(EOMONTH(DATE(YEAR(Finance!$CT$1),MONTH(Finance!$CT$1),1)+INT((DAY(Finance!$CT$1)-1)/2)+Finance!CV$4,0)=EOMONTH($CH$1,0),Finance!CV$3,0)+IF(EOMONTH(DATE(YEAR(Finance!$CQ$1),MONTH(Finance!$CQ$1),1)+INT((DAY(Finance!$CQ$1)-1)/2)+Finance!CS$4,0)=EOMONTH($CH$1,0),Finance!CS$3,0)+IF(EOMONTH(DATE(YEAR(Finance!$CN$1),MONTH(Finance!$CN$1),1)+INT((DAY(Finance!$CN$1)-1)/2)+Finance!CP$4,0)=EOMONTH($CH$1,0),Finance!CP$3,0)+IF(EOMONTH(DATE(YEAR(Finance!$CK$1),MONTH(Finance!$CK$1),1)+INT((DAY(Finance!$CK$1)-1)/2)+Finance!CM$4,0)=EOMONTH($CH$1,0),Finance!CM$3,0)+IF(EOMONTH(DATE(YEAR(Finance!$CH$1),MONTH(Finance!$CH$1),1)+INT((DAY(Finance!$CH$1)-1)/2)+Finance!CJ$4,0)=EOMONTH($CH$1,0),Finance!CJ$3,0)+IF(EOMONTH(DATE(YEAR(Finance!$CE$1),MONTH(Finance!$CE$1),1)+INT((DAY(Finance!$CE$1)-1)/2)+Finance!CG$4,0)=EOMONTH($CH$1,0),Finance!CG$3,0)+IF(EOMONTH(DATE(YEAR(Finance!$CB$1),MONTH(Finance!$CB$1),1)+INT((DAY(Finance!$CB$1)-1)/2)+Finance!CD$4,0)=EOMONTH($CH$1,0),Finance!CD$3,0)+IF(EOMONTH(DATE(YEAR(Finance!$BY$1),MONTH(Finance!$BY$1),1)+INT((DAY(Finance!$BY$1)-1)/2)+Finance!CA$4,0)=EOMONTH($CH$1,0),Finance!CA$3,0)+IF(EOMONTH(DATE(YEAR(Finance!$BV$1),MONTH(Finance!$BV$1),1)+INT((DAY(Finance!$BV$1)-1)/2)+Finance!BX$4,0)=EOMONTH($CH$1,0),Finance!BX$3,0)+IF(EOMONTH(DATE(YEAR(Finance!$BS$1),MONTH(Finance!$BS$1),1)+INT((DAY(Finance!$BS$1)-1)/2)+Finance!BU$4,0)=EOMONTH($CH$1,0),Finance!BU$3,0)+IF(EOMONTH(DATE(YEAR(Finance!$BP$1),MONTH(Finance!$BP$1),1)+INT((DAY(Finance!$BP$1)-1)/2)+Finance!BR$4,0)=EOMONTH($CH$1,0),Finance!BR$3,0)+IF(EOMONTH(DATE(YEAR(Finance!$BM$1),MONTH(Finance!$BM$1),1)+INT((DAY(Finance!$BM$1)-1)/2)+Finance!BO$4,0)=EOMONTH($CH$1,0),Finance!BO$3,0)+IF(EOMONTH(DATE(YEAR(Finance!$BJ$1),MONTH(Finance!$BJ$1),1)+INT((DAY(Finance!$BJ$1)-1)/2)+Finance!BL$4,0)=EOMONTH($CH$1,0),Finance!BL$3,0)+IF(EOMONTH(DATE(YEAR(Finance!$BG$1),MONTH(Finance!$BG$1),1)+INT((DAY(Finance!$BG$1)-1)/2)+Finance!BI$4,0)=EOMONTH($CH$1,0),Finance!BI$3,0)+IF(EOMONTH(DATE(YEAR(Finance!$BD$1),MONTH(Finance!$BD$1),1)+INT((DAY(Finance!$BD$1)-1)/2)+Finance!BF$4,0)=EOMONTH($CH$1,0),Finance!BF$3,0)+IF(EOMONTH(DATE(YEAR(Finance!$BA$1),MONTH(Finance!$BA$1),1)+INT((DAY(Finance!$BA$1)-1)/2)+Finance!BC$4,0)=EOMONTH($CH$1,0),Finance!BC$3,0)+IF(EOMONTH(DATE(YEAR(Finance!$AX$1),MONTH(Finance!$AX$1),1)+INT((DAY(Finance!$AX$1)-1)/2)+Finance!AZ$4,0)=EOMONTH($CH$1,0),Finance!AZ$3,0)+IF(EOMONTH(DATE(YEAR(Finance!$AU$1),MONTH(Finance!$AU$1),1)+INT((DAY(Finance!$AU$1)-1)/2)+Finance!AW$4,0)=EOMONTH($CH$1,0),Finance!AW$3,0)+IF(EOMONTH(DATE(YEAR(Finance!$AR$1),MONTH(Finance!$AR$1),1)+INT((DAY(Finance!$AR$1)-1)/2)+Finance!AT$4,0)=EOMONTH($CH$1,0),Finance!AT$3,0)+IF(EOMONTH(DATE(YEAR(Finance!$AO$1),MONTH(Finance!$AO$1),1)+INT((DAY(Finance!$AO$1)-1)/2)+Finance!AQ$4,0)=EOMONTH($CH$1,0),Finance!AQ$3,0)+IF(EOMONTH(DATE(YEAR(Finance!$AL$1),MONTH(Finance!$AL$1),1)+INT((DAY(Finance!$AL$1)-1)/2)+Finance!AN$4,0)=EOMONTH($CH$1,0),Finance!AN$3,0)+IF(EOMONTH(DATE(YEAR(Finance!$AI$1),MONTH(Finance!$AI$1),1)+INT((DAY(Finance!$AI$1)-1)/2)+Finance!AK$4,0)=EOMONTH($CH$1,0),Finance!AK$3,0)+IF(EOMONTH(DATE(YEAR(Finance!$AF$1),MONTH(Finance!$AF$1),1)+INT((DAY(Finance!$AF$1)-1)/2)+Finance!AH$4,0)=EOMONTH($CH$1,0),Finance!AH$3,0)+IF(EOMONTH(DATE(YEAR(Finance!$AC$1),MONTH(Finance!$AC$1),1)+INT((DAY(Finance!$AC$1)-1)/2)+Finance!AE$4,0)=EOMONTH($CH$1,0),Finance!AE$3,0)+IF(EOMONTH(DATE(YEAR(Finance!$Z$1),MONTH(Finance!$Z$1),1)+INT((DAY(Finance!$Z$1)-1)/2)+Finance!AB$4,0)=EOMONTH($CH$1,0),Finance!AB$3,0)+IF(EOMONTH(DATE(YEAR(Finance!$W$1),MONTH(Finance!$W$1),1)+INT((DAY(Finance!$W$1)-1)/2)+Finance!Y$4,0)=EOMONTH($CH$1,0),Finance!Y$3,0)+IF(EOMONTH(DATE(YEAR(Finance!$T$1),MONTH(Finance!$T$1),1)+INT((DAY(Finance!$T$1)-1)/2)+Finance!V$4,0)=EOMONTH($CH$1,0),Finance!V$3,0)+IF(EOMONTH(DATE(YEAR(Finance!$Q$1),MONTH(Finance!$Q$1),1)+INT((DAY(Finance!$Q$1)-1)/2)+Finance!S$4,0)=EOMONTH($CH$1,0),Finance!S$3,0)+IF(EOMONTH(DATE(YEAR(Finance!$N$1),MONTH(Finance!$N$1),1)+INT((DAY(Finance!$N$1)-1)/2)+Finance!P$4,0)=EOMONTH($CH$1,0),Finance!P$3,0)+IF(EOMONTH(DATE(YEAR(Finance!$K$1),MONTH(Finance!$K$1),1)+INT((DAY(Finance!$K$1)-1)/2)+Finance!M$4,0)=EOMONTH($CH$1,0),Finance!M$3,0)+IF(EOMONTH('Cash Drivers'!$DL$30+Finance!DN$4,0)=EOMONTH($CH$1,0),'Cash Drivers'!$DL$35,0),0)</f>
        <v>1257224</v>
      </c>
      <c r="CK5" s="13"/>
      <c r="CL5" s="13" t="n">
        <f aca="false">IF('Cash Drivers'!CL$26,CK5,ROUND(IF(EOMONTH(DATE(YEAR(Finance!$DL$1),MONTH(Finance!$DL$1),1)+INT((DAY(Finance!$DL$1)-1)/2)+Finance!DM$4,0)=EOMONTH($CK$1,0),Finance!DM$3,0)+IF(EOMONTH(DATE(YEAR(Finance!$DI$1),MONTH(Finance!$DI$1),1)+INT((DAY(Finance!$DI$1)-1)/2)+Finance!DJ$4,0)=EOMONTH($CK$1,0),Finance!DJ$3,0)+IF(EOMONTH(DATE(YEAR(Finance!$DF$1),MONTH(Finance!$DF$1),1)+INT((DAY(Finance!$DF$1)-1)/2)+Finance!DG$4,0)=EOMONTH($CK$1,0),Finance!DG$3,0)+IF(EOMONTH(DATE(YEAR(Finance!$DC$1),MONTH(Finance!$DC$1),1)+INT((DAY(Finance!$DC$1)-1)/2)+Finance!DD$4,0)=EOMONTH($CK$1,0),Finance!DD$3,0)+IF(EOMONTH(DATE(YEAR(Finance!$CZ$1),MONTH(Finance!$CZ$1),1)+INT((DAY(Finance!$CZ$1)-1)/2)+Finance!DA$4,0)=EOMONTH($CK$1,0),Finance!DA$3,0)+IF(EOMONTH(DATE(YEAR(Finance!$CW$1),MONTH(Finance!$CW$1),1)+INT((DAY(Finance!$CW$1)-1)/2)+Finance!CX$4,0)=EOMONTH($CK$1,0),Finance!CX$3,0)+IF(EOMONTH(DATE(YEAR(Finance!$CT$1),MONTH(Finance!$CT$1),1)+INT((DAY(Finance!$CT$1)-1)/2)+Finance!CU$4,0)=EOMONTH($CK$1,0),Finance!CU$3,0)+IF(EOMONTH(DATE(YEAR(Finance!$CQ$1),MONTH(Finance!$CQ$1),1)+INT((DAY(Finance!$CQ$1)-1)/2)+Finance!CR$4,0)=EOMONTH($CK$1,0),Finance!CR$3,0)+IF(EOMONTH(DATE(YEAR(Finance!$CN$1),MONTH(Finance!$CN$1),1)+INT((DAY(Finance!$CN$1)-1)/2)+Finance!CO$4,0)=EOMONTH($CK$1,0),Finance!CO$3,0)+IF(EOMONTH(DATE(YEAR(Finance!$CK$1),MONTH(Finance!$CK$1),1)+INT((DAY(Finance!$CK$1)-1)/2)+Finance!CL$4,0)=EOMONTH($CK$1,0),Finance!CL$3,0)+IF(EOMONTH(DATE(YEAR(Finance!$CH$1),MONTH(Finance!$CH$1),1)+INT((DAY(Finance!$CH$1)-1)/2)+Finance!CI$4,0)=EOMONTH($CK$1,0),Finance!CI$3,0)+IF(EOMONTH(DATE(YEAR(Finance!$CE$1),MONTH(Finance!$CE$1),1)+INT((DAY(Finance!$CE$1)-1)/2)+Finance!CF$4,0)=EOMONTH($CK$1,0),Finance!CF$3,0)+IF(EOMONTH(DATE(YEAR(Finance!$CB$1),MONTH(Finance!$CB$1),1)+INT((DAY(Finance!$CB$1)-1)/2)+Finance!CC$4,0)=EOMONTH($CK$1,0),Finance!CC$3,0)+IF(EOMONTH(DATE(YEAR(Finance!$BY$1),MONTH(Finance!$BY$1),1)+INT((DAY(Finance!$BY$1)-1)/2)+Finance!BZ$4,0)=EOMONTH($CK$1,0),Finance!BZ$3,0)+IF(EOMONTH(DATE(YEAR(Finance!$BV$1),MONTH(Finance!$BV$1),1)+INT((DAY(Finance!$BV$1)-1)/2)+Finance!BW$4,0)=EOMONTH($CK$1,0),Finance!BW$3,0)+IF(EOMONTH(DATE(YEAR(Finance!$BS$1),MONTH(Finance!$BS$1),1)+INT((DAY(Finance!$BS$1)-1)/2)+Finance!BT$4,0)=EOMONTH($CK$1,0),Finance!BT$3,0)+IF(EOMONTH(DATE(YEAR(Finance!$BP$1),MONTH(Finance!$BP$1),1)+INT((DAY(Finance!$BP$1)-1)/2)+Finance!BQ$4,0)=EOMONTH($CK$1,0),Finance!BQ$3,0)+IF(EOMONTH(DATE(YEAR(Finance!$BM$1),MONTH(Finance!$BM$1),1)+INT((DAY(Finance!$BM$1)-1)/2)+Finance!BN$4,0)=EOMONTH($CK$1,0),Finance!BN$3,0)+IF(EOMONTH(DATE(YEAR(Finance!$BJ$1),MONTH(Finance!$BJ$1),1)+INT((DAY(Finance!$BJ$1)-1)/2)+Finance!BK$4,0)=EOMONTH($CK$1,0),Finance!BK$3,0)+IF(EOMONTH(DATE(YEAR(Finance!$BG$1),MONTH(Finance!$BG$1),1)+INT((DAY(Finance!$BG$1)-1)/2)+Finance!BH$4,0)=EOMONTH($CK$1,0),Finance!BH$3,0)+IF(EOMONTH(DATE(YEAR(Finance!$BD$1),MONTH(Finance!$BD$1),1)+INT((DAY(Finance!$BD$1)-1)/2)+Finance!BE$4,0)=EOMONTH($CK$1,0),Finance!BE$3,0)+IF(EOMONTH(DATE(YEAR(Finance!$BA$1),MONTH(Finance!$BA$1),1)+INT((DAY(Finance!$BA$1)-1)/2)+Finance!BB$4,0)=EOMONTH($CK$1,0),Finance!BB$3,0)+IF(EOMONTH(DATE(YEAR(Finance!$AX$1),MONTH(Finance!$AX$1),1)+INT((DAY(Finance!$AX$1)-1)/2)+Finance!AY$4,0)=EOMONTH($CK$1,0),Finance!AY$3,0)+IF(EOMONTH(DATE(YEAR(Finance!$AU$1),MONTH(Finance!$AU$1),1)+INT((DAY(Finance!$AU$1)-1)/2)+Finance!AV$4,0)=EOMONTH($CK$1,0),Finance!AV$3,0)+IF(EOMONTH(DATE(YEAR(Finance!$AR$1),MONTH(Finance!$AR$1),1)+INT((DAY(Finance!$AR$1)-1)/2)+Finance!AS$4,0)=EOMONTH($CK$1,0),Finance!AS$3,0)+IF(EOMONTH(DATE(YEAR(Finance!$AO$1),MONTH(Finance!$AO$1),1)+INT((DAY(Finance!$AO$1)-1)/2)+Finance!AP$4,0)=EOMONTH($CK$1,0),Finance!AP$3,0)+IF(EOMONTH(DATE(YEAR(Finance!$AL$1),MONTH(Finance!$AL$1),1)+INT((DAY(Finance!$AL$1)-1)/2)+Finance!AM$4,0)=EOMONTH($CK$1,0),Finance!AM$3,0)+IF(EOMONTH(DATE(YEAR(Finance!$AI$1),MONTH(Finance!$AI$1),1)+INT((DAY(Finance!$AI$1)-1)/2)+Finance!AJ$4,0)=EOMONTH($CK$1,0),Finance!AJ$3,0)+IF(EOMONTH(DATE(YEAR(Finance!$AF$1),MONTH(Finance!$AF$1),1)+INT((DAY(Finance!$AF$1)-1)/2)+Finance!AG$4,0)=EOMONTH($CK$1,0),Finance!AG$3,0)+IF(EOMONTH(DATE(YEAR(Finance!$AC$1),MONTH(Finance!$AC$1),1)+INT((DAY(Finance!$AC$1)-1)/2)+Finance!AD$4,0)=EOMONTH($CK$1,0),Finance!AD$3,0)+IF(EOMONTH(DATE(YEAR(Finance!$Z$1),MONTH(Finance!$Z$1),1)+INT((DAY(Finance!$Z$1)-1)/2)+Finance!AA$4,0)=EOMONTH($CK$1,0),Finance!AA$3,0)+IF(EOMONTH(DATE(YEAR(Finance!$W$1),MONTH(Finance!$W$1),1)+INT((DAY(Finance!$W$1)-1)/2)+Finance!X$4,0)=EOMONTH($CK$1,0),Finance!X$3,0)+IF(EOMONTH(DATE(YEAR(Finance!$T$1),MONTH(Finance!$T$1),1)+INT((DAY(Finance!$T$1)-1)/2)+Finance!U$4,0)=EOMONTH($CK$1,0),Finance!U$3,0)+IF(EOMONTH(DATE(YEAR(Finance!$Q$1),MONTH(Finance!$Q$1),1)+INT((DAY(Finance!$Q$1)-1)/2)+Finance!R$4,0)=EOMONTH($CK$1,0),Finance!R$3,0)+IF(EOMONTH(DATE(YEAR(Finance!$N$1),MONTH(Finance!$N$1),1)+INT((DAY(Finance!$N$1)-1)/2)+Finance!O$4,0)=EOMONTH($CK$1,0),Finance!O$3,0)+IF(EOMONTH(DATE(YEAR(Finance!$K$1),MONTH(Finance!$K$1),1)+INT((DAY(Finance!$K$1)-1)/2)+Finance!L$4,0)=EOMONTH($CK$1,0),Finance!L$3,0)+IF(EOMONTH('Cash Drivers'!$DL$30+Finance!DM$4,0)=EOMONTH($CK$1,0),'Cash Drivers'!$DL$35,0),0))</f>
        <v>1256961</v>
      </c>
      <c r="CM5" s="13" t="n">
        <f aca="false">ROUND(IF(EOMONTH(DATE(YEAR(Finance!$DL$1),MONTH(Finance!$DL$1),1)+INT((DAY(Finance!$DL$1)-1)/2)+Finance!DN$4,0)=EOMONTH($CK$1,0),Finance!DN$3,0)+IF(EOMONTH(DATE(YEAR(Finance!$DI$1),MONTH(Finance!$DI$1),1)+INT((DAY(Finance!$DI$1)-1)/2)+Finance!DK$4,0)=EOMONTH($CK$1,0),Finance!DK$3,0)+IF(EOMONTH(DATE(YEAR(Finance!$DF$1),MONTH(Finance!$DF$1),1)+INT((DAY(Finance!$DF$1)-1)/2)+Finance!DH$4,0)=EOMONTH($CK$1,0),Finance!DH$3,0)+IF(EOMONTH(DATE(YEAR(Finance!$DC$1),MONTH(Finance!$DC$1),1)+INT((DAY(Finance!$DC$1)-1)/2)+Finance!DE$4,0)=EOMONTH($CK$1,0),Finance!DE$3,0)+IF(EOMONTH(DATE(YEAR(Finance!$CZ$1),MONTH(Finance!$CZ$1),1)+INT((DAY(Finance!$CZ$1)-1)/2)+Finance!DB$4,0)=EOMONTH($CK$1,0),Finance!DB$3,0)+IF(EOMONTH(DATE(YEAR(Finance!$CW$1),MONTH(Finance!$CW$1),1)+INT((DAY(Finance!$CW$1)-1)/2)+Finance!CY$4,0)=EOMONTH($CK$1,0),Finance!CY$3,0)+IF(EOMONTH(DATE(YEAR(Finance!$CT$1),MONTH(Finance!$CT$1),1)+INT((DAY(Finance!$CT$1)-1)/2)+Finance!CV$4,0)=EOMONTH($CK$1,0),Finance!CV$3,0)+IF(EOMONTH(DATE(YEAR(Finance!$CQ$1),MONTH(Finance!$CQ$1),1)+INT((DAY(Finance!$CQ$1)-1)/2)+Finance!CS$4,0)=EOMONTH($CK$1,0),Finance!CS$3,0)+IF(EOMONTH(DATE(YEAR(Finance!$CN$1),MONTH(Finance!$CN$1),1)+INT((DAY(Finance!$CN$1)-1)/2)+Finance!CP$4,0)=EOMONTH($CK$1,0),Finance!CP$3,0)+IF(EOMONTH(DATE(YEAR(Finance!$CK$1),MONTH(Finance!$CK$1),1)+INT((DAY(Finance!$CK$1)-1)/2)+Finance!CM$4,0)=EOMONTH($CK$1,0),Finance!CM$3,0)+IF(EOMONTH(DATE(YEAR(Finance!$CH$1),MONTH(Finance!$CH$1),1)+INT((DAY(Finance!$CH$1)-1)/2)+Finance!CJ$4,0)=EOMONTH($CK$1,0),Finance!CJ$3,0)+IF(EOMONTH(DATE(YEAR(Finance!$CE$1),MONTH(Finance!$CE$1),1)+INT((DAY(Finance!$CE$1)-1)/2)+Finance!CG$4,0)=EOMONTH($CK$1,0),Finance!CG$3,0)+IF(EOMONTH(DATE(YEAR(Finance!$CB$1),MONTH(Finance!$CB$1),1)+INT((DAY(Finance!$CB$1)-1)/2)+Finance!CD$4,0)=EOMONTH($CK$1,0),Finance!CD$3,0)+IF(EOMONTH(DATE(YEAR(Finance!$BY$1),MONTH(Finance!$BY$1),1)+INT((DAY(Finance!$BY$1)-1)/2)+Finance!CA$4,0)=EOMONTH($CK$1,0),Finance!CA$3,0)+IF(EOMONTH(DATE(YEAR(Finance!$BV$1),MONTH(Finance!$BV$1),1)+INT((DAY(Finance!$BV$1)-1)/2)+Finance!BX$4,0)=EOMONTH($CK$1,0),Finance!BX$3,0)+IF(EOMONTH(DATE(YEAR(Finance!$BS$1),MONTH(Finance!$BS$1),1)+INT((DAY(Finance!$BS$1)-1)/2)+Finance!BU$4,0)=EOMONTH($CK$1,0),Finance!BU$3,0)+IF(EOMONTH(DATE(YEAR(Finance!$BP$1),MONTH(Finance!$BP$1),1)+INT((DAY(Finance!$BP$1)-1)/2)+Finance!BR$4,0)=EOMONTH($CK$1,0),Finance!BR$3,0)+IF(EOMONTH(DATE(YEAR(Finance!$BM$1),MONTH(Finance!$BM$1),1)+INT((DAY(Finance!$BM$1)-1)/2)+Finance!BO$4,0)=EOMONTH($CK$1,0),Finance!BO$3,0)+IF(EOMONTH(DATE(YEAR(Finance!$BJ$1),MONTH(Finance!$BJ$1),1)+INT((DAY(Finance!$BJ$1)-1)/2)+Finance!BL$4,0)=EOMONTH($CK$1,0),Finance!BL$3,0)+IF(EOMONTH(DATE(YEAR(Finance!$BG$1),MONTH(Finance!$BG$1),1)+INT((DAY(Finance!$BG$1)-1)/2)+Finance!BI$4,0)=EOMONTH($CK$1,0),Finance!BI$3,0)+IF(EOMONTH(DATE(YEAR(Finance!$BD$1),MONTH(Finance!$BD$1),1)+INT((DAY(Finance!$BD$1)-1)/2)+Finance!BF$4,0)=EOMONTH($CK$1,0),Finance!BF$3,0)+IF(EOMONTH(DATE(YEAR(Finance!$BA$1),MONTH(Finance!$BA$1),1)+INT((DAY(Finance!$BA$1)-1)/2)+Finance!BC$4,0)=EOMONTH($CK$1,0),Finance!BC$3,0)+IF(EOMONTH(DATE(YEAR(Finance!$AX$1),MONTH(Finance!$AX$1),1)+INT((DAY(Finance!$AX$1)-1)/2)+Finance!AZ$4,0)=EOMONTH($CK$1,0),Finance!AZ$3,0)+IF(EOMONTH(DATE(YEAR(Finance!$AU$1),MONTH(Finance!$AU$1),1)+INT((DAY(Finance!$AU$1)-1)/2)+Finance!AW$4,0)=EOMONTH($CK$1,0),Finance!AW$3,0)+IF(EOMONTH(DATE(YEAR(Finance!$AR$1),MONTH(Finance!$AR$1),1)+INT((DAY(Finance!$AR$1)-1)/2)+Finance!AT$4,0)=EOMONTH($CK$1,0),Finance!AT$3,0)+IF(EOMONTH(DATE(YEAR(Finance!$AO$1),MONTH(Finance!$AO$1),1)+INT((DAY(Finance!$AO$1)-1)/2)+Finance!AQ$4,0)=EOMONTH($CK$1,0),Finance!AQ$3,0)+IF(EOMONTH(DATE(YEAR(Finance!$AL$1),MONTH(Finance!$AL$1),1)+INT((DAY(Finance!$AL$1)-1)/2)+Finance!AN$4,0)=EOMONTH($CK$1,0),Finance!AN$3,0)+IF(EOMONTH(DATE(YEAR(Finance!$AI$1),MONTH(Finance!$AI$1),1)+INT((DAY(Finance!$AI$1)-1)/2)+Finance!AK$4,0)=EOMONTH($CK$1,0),Finance!AK$3,0)+IF(EOMONTH(DATE(YEAR(Finance!$AF$1),MONTH(Finance!$AF$1),1)+INT((DAY(Finance!$AF$1)-1)/2)+Finance!AH$4,0)=EOMONTH($CK$1,0),Finance!AH$3,0)+IF(EOMONTH(DATE(YEAR(Finance!$AC$1),MONTH(Finance!$AC$1),1)+INT((DAY(Finance!$AC$1)-1)/2)+Finance!AE$4,0)=EOMONTH($CK$1,0),Finance!AE$3,0)+IF(EOMONTH(DATE(YEAR(Finance!$Z$1),MONTH(Finance!$Z$1),1)+INT((DAY(Finance!$Z$1)-1)/2)+Finance!AB$4,0)=EOMONTH($CK$1,0),Finance!AB$3,0)+IF(EOMONTH(DATE(YEAR(Finance!$W$1),MONTH(Finance!$W$1),1)+INT((DAY(Finance!$W$1)-1)/2)+Finance!Y$4,0)=EOMONTH($CK$1,0),Finance!Y$3,0)+IF(EOMONTH(DATE(YEAR(Finance!$T$1),MONTH(Finance!$T$1),1)+INT((DAY(Finance!$T$1)-1)/2)+Finance!V$4,0)=EOMONTH($CK$1,0),Finance!V$3,0)+IF(EOMONTH(DATE(YEAR(Finance!$Q$1),MONTH(Finance!$Q$1),1)+INT((DAY(Finance!$Q$1)-1)/2)+Finance!S$4,0)=EOMONTH($CK$1,0),Finance!S$3,0)+IF(EOMONTH(DATE(YEAR(Finance!$N$1),MONTH(Finance!$N$1),1)+INT((DAY(Finance!$N$1)-1)/2)+Finance!P$4,0)=EOMONTH($CK$1,0),Finance!P$3,0)+IF(EOMONTH(DATE(YEAR(Finance!$K$1),MONTH(Finance!$K$1),1)+INT((DAY(Finance!$K$1)-1)/2)+Finance!M$4,0)=EOMONTH($CK$1,0),Finance!M$3,0)+IF(EOMONTH('Cash Drivers'!$DL$30+Finance!DN$4,0)=EOMONTH($CK$1,0),'Cash Drivers'!$DL$35,0),0)</f>
        <v>1230500</v>
      </c>
      <c r="CN5" s="12"/>
      <c r="CO5" s="12" t="n">
        <f aca="false">IF('Cash Drivers'!CO$26,CN5,ROUND(IF(EOMONTH(DATE(YEAR(Finance!$DL$1),MONTH(Finance!$DL$1),1)+INT((DAY(Finance!$DL$1)-1)/2)+Finance!DM$4,0)=EOMONTH($CN$1,0),Finance!DM$3,0)+IF(EOMONTH(DATE(YEAR(Finance!$DI$1),MONTH(Finance!$DI$1),1)+INT((DAY(Finance!$DI$1)-1)/2)+Finance!DJ$4,0)=EOMONTH($CN$1,0),Finance!DJ$3,0)+IF(EOMONTH(DATE(YEAR(Finance!$DF$1),MONTH(Finance!$DF$1),1)+INT((DAY(Finance!$DF$1)-1)/2)+Finance!DG$4,0)=EOMONTH($CN$1,0),Finance!DG$3,0)+IF(EOMONTH(DATE(YEAR(Finance!$DC$1),MONTH(Finance!$DC$1),1)+INT((DAY(Finance!$DC$1)-1)/2)+Finance!DD$4,0)=EOMONTH($CN$1,0),Finance!DD$3,0)+IF(EOMONTH(DATE(YEAR(Finance!$CZ$1),MONTH(Finance!$CZ$1),1)+INT((DAY(Finance!$CZ$1)-1)/2)+Finance!DA$4,0)=EOMONTH($CN$1,0),Finance!DA$3,0)+IF(EOMONTH(DATE(YEAR(Finance!$CW$1),MONTH(Finance!$CW$1),1)+INT((DAY(Finance!$CW$1)-1)/2)+Finance!CX$4,0)=EOMONTH($CN$1,0),Finance!CX$3,0)+IF(EOMONTH(DATE(YEAR(Finance!$CT$1),MONTH(Finance!$CT$1),1)+INT((DAY(Finance!$CT$1)-1)/2)+Finance!CU$4,0)=EOMONTH($CN$1,0),Finance!CU$3,0)+IF(EOMONTH(DATE(YEAR(Finance!$CQ$1),MONTH(Finance!$CQ$1),1)+INT((DAY(Finance!$CQ$1)-1)/2)+Finance!CR$4,0)=EOMONTH($CN$1,0),Finance!CR$3,0)+IF(EOMONTH(DATE(YEAR(Finance!$CN$1),MONTH(Finance!$CN$1),1)+INT((DAY(Finance!$CN$1)-1)/2)+Finance!CO$4,0)=EOMONTH($CN$1,0),Finance!CO$3,0)+IF(EOMONTH(DATE(YEAR(Finance!$CK$1),MONTH(Finance!$CK$1),1)+INT((DAY(Finance!$CK$1)-1)/2)+Finance!CL$4,0)=EOMONTH($CN$1,0),Finance!CL$3,0)+IF(EOMONTH(DATE(YEAR(Finance!$CH$1),MONTH(Finance!$CH$1),1)+INT((DAY(Finance!$CH$1)-1)/2)+Finance!CI$4,0)=EOMONTH($CN$1,0),Finance!CI$3,0)+IF(EOMONTH(DATE(YEAR(Finance!$CE$1),MONTH(Finance!$CE$1),1)+INT((DAY(Finance!$CE$1)-1)/2)+Finance!CF$4,0)=EOMONTH($CN$1,0),Finance!CF$3,0)+IF(EOMONTH(DATE(YEAR(Finance!$CB$1),MONTH(Finance!$CB$1),1)+INT((DAY(Finance!$CB$1)-1)/2)+Finance!CC$4,0)=EOMONTH($CN$1,0),Finance!CC$3,0)+IF(EOMONTH(DATE(YEAR(Finance!$BY$1),MONTH(Finance!$BY$1),1)+INT((DAY(Finance!$BY$1)-1)/2)+Finance!BZ$4,0)=EOMONTH($CN$1,0),Finance!BZ$3,0)+IF(EOMONTH(DATE(YEAR(Finance!$BV$1),MONTH(Finance!$BV$1),1)+INT((DAY(Finance!$BV$1)-1)/2)+Finance!BW$4,0)=EOMONTH($CN$1,0),Finance!BW$3,0)+IF(EOMONTH(DATE(YEAR(Finance!$BS$1),MONTH(Finance!$BS$1),1)+INT((DAY(Finance!$BS$1)-1)/2)+Finance!BT$4,0)=EOMONTH($CN$1,0),Finance!BT$3,0)+IF(EOMONTH(DATE(YEAR(Finance!$BP$1),MONTH(Finance!$BP$1),1)+INT((DAY(Finance!$BP$1)-1)/2)+Finance!BQ$4,0)=EOMONTH($CN$1,0),Finance!BQ$3,0)+IF(EOMONTH(DATE(YEAR(Finance!$BM$1),MONTH(Finance!$BM$1),1)+INT((DAY(Finance!$BM$1)-1)/2)+Finance!BN$4,0)=EOMONTH($CN$1,0),Finance!BN$3,0)+IF(EOMONTH(DATE(YEAR(Finance!$BJ$1),MONTH(Finance!$BJ$1),1)+INT((DAY(Finance!$BJ$1)-1)/2)+Finance!BK$4,0)=EOMONTH($CN$1,0),Finance!BK$3,0)+IF(EOMONTH(DATE(YEAR(Finance!$BG$1),MONTH(Finance!$BG$1),1)+INT((DAY(Finance!$BG$1)-1)/2)+Finance!BH$4,0)=EOMONTH($CN$1,0),Finance!BH$3,0)+IF(EOMONTH(DATE(YEAR(Finance!$BD$1),MONTH(Finance!$BD$1),1)+INT((DAY(Finance!$BD$1)-1)/2)+Finance!BE$4,0)=EOMONTH($CN$1,0),Finance!BE$3,0)+IF(EOMONTH(DATE(YEAR(Finance!$BA$1),MONTH(Finance!$BA$1),1)+INT((DAY(Finance!$BA$1)-1)/2)+Finance!BB$4,0)=EOMONTH($CN$1,0),Finance!BB$3,0)+IF(EOMONTH(DATE(YEAR(Finance!$AX$1),MONTH(Finance!$AX$1),1)+INT((DAY(Finance!$AX$1)-1)/2)+Finance!AY$4,0)=EOMONTH($CN$1,0),Finance!AY$3,0)+IF(EOMONTH(DATE(YEAR(Finance!$AU$1),MONTH(Finance!$AU$1),1)+INT((DAY(Finance!$AU$1)-1)/2)+Finance!AV$4,0)=EOMONTH($CN$1,0),Finance!AV$3,0)+IF(EOMONTH(DATE(YEAR(Finance!$AR$1),MONTH(Finance!$AR$1),1)+INT((DAY(Finance!$AR$1)-1)/2)+Finance!AS$4,0)=EOMONTH($CN$1,0),Finance!AS$3,0)+IF(EOMONTH(DATE(YEAR(Finance!$AO$1),MONTH(Finance!$AO$1),1)+INT((DAY(Finance!$AO$1)-1)/2)+Finance!AP$4,0)=EOMONTH($CN$1,0),Finance!AP$3,0)+IF(EOMONTH(DATE(YEAR(Finance!$AL$1),MONTH(Finance!$AL$1),1)+INT((DAY(Finance!$AL$1)-1)/2)+Finance!AM$4,0)=EOMONTH($CN$1,0),Finance!AM$3,0)+IF(EOMONTH(DATE(YEAR(Finance!$AI$1),MONTH(Finance!$AI$1),1)+INT((DAY(Finance!$AI$1)-1)/2)+Finance!AJ$4,0)=EOMONTH($CN$1,0),Finance!AJ$3,0)+IF(EOMONTH(DATE(YEAR(Finance!$AF$1),MONTH(Finance!$AF$1),1)+INT((DAY(Finance!$AF$1)-1)/2)+Finance!AG$4,0)=EOMONTH($CN$1,0),Finance!AG$3,0)+IF(EOMONTH(DATE(YEAR(Finance!$AC$1),MONTH(Finance!$AC$1),1)+INT((DAY(Finance!$AC$1)-1)/2)+Finance!AD$4,0)=EOMONTH($CN$1,0),Finance!AD$3,0)+IF(EOMONTH(DATE(YEAR(Finance!$Z$1),MONTH(Finance!$Z$1),1)+INT((DAY(Finance!$Z$1)-1)/2)+Finance!AA$4,0)=EOMONTH($CN$1,0),Finance!AA$3,0)+IF(EOMONTH(DATE(YEAR(Finance!$W$1),MONTH(Finance!$W$1),1)+INT((DAY(Finance!$W$1)-1)/2)+Finance!X$4,0)=EOMONTH($CN$1,0),Finance!X$3,0)+IF(EOMONTH(DATE(YEAR(Finance!$T$1),MONTH(Finance!$T$1),1)+INT((DAY(Finance!$T$1)-1)/2)+Finance!U$4,0)=EOMONTH($CN$1,0),Finance!U$3,0)+IF(EOMONTH(DATE(YEAR(Finance!$Q$1),MONTH(Finance!$Q$1),1)+INT((DAY(Finance!$Q$1)-1)/2)+Finance!R$4,0)=EOMONTH($CN$1,0),Finance!R$3,0)+IF(EOMONTH(DATE(YEAR(Finance!$N$1),MONTH(Finance!$N$1),1)+INT((DAY(Finance!$N$1)-1)/2)+Finance!O$4,0)=EOMONTH($CN$1,0),Finance!O$3,0)+IF(EOMONTH(DATE(YEAR(Finance!$K$1),MONTH(Finance!$K$1),1)+INT((DAY(Finance!$K$1)-1)/2)+Finance!L$4,0)=EOMONTH($CN$1,0),Finance!L$3,0)+IF(EOMONTH('Cash Drivers'!$DL$30+Finance!DM$4,0)=EOMONTH($CN$1,0),'Cash Drivers'!$DL$35,0),0))</f>
        <v>1230367</v>
      </c>
      <c r="CP5" s="12" t="n">
        <f aca="false">ROUND(IF(EOMONTH(DATE(YEAR(Finance!$DL$1),MONTH(Finance!$DL$1),1)+INT((DAY(Finance!$DL$1)-1)/2)+Finance!DN$4,0)=EOMONTH($CN$1,0),Finance!DN$3,0)+IF(EOMONTH(DATE(YEAR(Finance!$DI$1),MONTH(Finance!$DI$1),1)+INT((DAY(Finance!$DI$1)-1)/2)+Finance!DK$4,0)=EOMONTH($CN$1,0),Finance!DK$3,0)+IF(EOMONTH(DATE(YEAR(Finance!$DF$1),MONTH(Finance!$DF$1),1)+INT((DAY(Finance!$DF$1)-1)/2)+Finance!DH$4,0)=EOMONTH($CN$1,0),Finance!DH$3,0)+IF(EOMONTH(DATE(YEAR(Finance!$DC$1),MONTH(Finance!$DC$1),1)+INT((DAY(Finance!$DC$1)-1)/2)+Finance!DE$4,0)=EOMONTH($CN$1,0),Finance!DE$3,0)+IF(EOMONTH(DATE(YEAR(Finance!$CZ$1),MONTH(Finance!$CZ$1),1)+INT((DAY(Finance!$CZ$1)-1)/2)+Finance!DB$4,0)=EOMONTH($CN$1,0),Finance!DB$3,0)+IF(EOMONTH(DATE(YEAR(Finance!$CW$1),MONTH(Finance!$CW$1),1)+INT((DAY(Finance!$CW$1)-1)/2)+Finance!CY$4,0)=EOMONTH($CN$1,0),Finance!CY$3,0)+IF(EOMONTH(DATE(YEAR(Finance!$CT$1),MONTH(Finance!$CT$1),1)+INT((DAY(Finance!$CT$1)-1)/2)+Finance!CV$4,0)=EOMONTH($CN$1,0),Finance!CV$3,0)+IF(EOMONTH(DATE(YEAR(Finance!$CQ$1),MONTH(Finance!$CQ$1),1)+INT((DAY(Finance!$CQ$1)-1)/2)+Finance!CS$4,0)=EOMONTH($CN$1,0),Finance!CS$3,0)+IF(EOMONTH(DATE(YEAR(Finance!$CN$1),MONTH(Finance!$CN$1),1)+INT((DAY(Finance!$CN$1)-1)/2)+Finance!CP$4,0)=EOMONTH($CN$1,0),Finance!CP$3,0)+IF(EOMONTH(DATE(YEAR(Finance!$CK$1),MONTH(Finance!$CK$1),1)+INT((DAY(Finance!$CK$1)-1)/2)+Finance!CM$4,0)=EOMONTH($CN$1,0),Finance!CM$3,0)+IF(EOMONTH(DATE(YEAR(Finance!$CH$1),MONTH(Finance!$CH$1),1)+INT((DAY(Finance!$CH$1)-1)/2)+Finance!CJ$4,0)=EOMONTH($CN$1,0),Finance!CJ$3,0)+IF(EOMONTH(DATE(YEAR(Finance!$CE$1),MONTH(Finance!$CE$1),1)+INT((DAY(Finance!$CE$1)-1)/2)+Finance!CG$4,0)=EOMONTH($CN$1,0),Finance!CG$3,0)+IF(EOMONTH(DATE(YEAR(Finance!$CB$1),MONTH(Finance!$CB$1),1)+INT((DAY(Finance!$CB$1)-1)/2)+Finance!CD$4,0)=EOMONTH($CN$1,0),Finance!CD$3,0)+IF(EOMONTH(DATE(YEAR(Finance!$BY$1),MONTH(Finance!$BY$1),1)+INT((DAY(Finance!$BY$1)-1)/2)+Finance!CA$4,0)=EOMONTH($CN$1,0),Finance!CA$3,0)+IF(EOMONTH(DATE(YEAR(Finance!$BV$1),MONTH(Finance!$BV$1),1)+INT((DAY(Finance!$BV$1)-1)/2)+Finance!BX$4,0)=EOMONTH($CN$1,0),Finance!BX$3,0)+IF(EOMONTH(DATE(YEAR(Finance!$BS$1),MONTH(Finance!$BS$1),1)+INT((DAY(Finance!$BS$1)-1)/2)+Finance!BU$4,0)=EOMONTH($CN$1,0),Finance!BU$3,0)+IF(EOMONTH(DATE(YEAR(Finance!$BP$1),MONTH(Finance!$BP$1),1)+INT((DAY(Finance!$BP$1)-1)/2)+Finance!BR$4,0)=EOMONTH($CN$1,0),Finance!BR$3,0)+IF(EOMONTH(DATE(YEAR(Finance!$BM$1),MONTH(Finance!$BM$1),1)+INT((DAY(Finance!$BM$1)-1)/2)+Finance!BO$4,0)=EOMONTH($CN$1,0),Finance!BO$3,0)+IF(EOMONTH(DATE(YEAR(Finance!$BJ$1),MONTH(Finance!$BJ$1),1)+INT((DAY(Finance!$BJ$1)-1)/2)+Finance!BL$4,0)=EOMONTH($CN$1,0),Finance!BL$3,0)+IF(EOMONTH(DATE(YEAR(Finance!$BG$1),MONTH(Finance!$BG$1),1)+INT((DAY(Finance!$BG$1)-1)/2)+Finance!BI$4,0)=EOMONTH($CN$1,0),Finance!BI$3,0)+IF(EOMONTH(DATE(YEAR(Finance!$BD$1),MONTH(Finance!$BD$1),1)+INT((DAY(Finance!$BD$1)-1)/2)+Finance!BF$4,0)=EOMONTH($CN$1,0),Finance!BF$3,0)+IF(EOMONTH(DATE(YEAR(Finance!$BA$1),MONTH(Finance!$BA$1),1)+INT((DAY(Finance!$BA$1)-1)/2)+Finance!BC$4,0)=EOMONTH($CN$1,0),Finance!BC$3,0)+IF(EOMONTH(DATE(YEAR(Finance!$AX$1),MONTH(Finance!$AX$1),1)+INT((DAY(Finance!$AX$1)-1)/2)+Finance!AZ$4,0)=EOMONTH($CN$1,0),Finance!AZ$3,0)+IF(EOMONTH(DATE(YEAR(Finance!$AU$1),MONTH(Finance!$AU$1),1)+INT((DAY(Finance!$AU$1)-1)/2)+Finance!AW$4,0)=EOMONTH($CN$1,0),Finance!AW$3,0)+IF(EOMONTH(DATE(YEAR(Finance!$AR$1),MONTH(Finance!$AR$1),1)+INT((DAY(Finance!$AR$1)-1)/2)+Finance!AT$4,0)=EOMONTH($CN$1,0),Finance!AT$3,0)+IF(EOMONTH(DATE(YEAR(Finance!$AO$1),MONTH(Finance!$AO$1),1)+INT((DAY(Finance!$AO$1)-1)/2)+Finance!AQ$4,0)=EOMONTH($CN$1,0),Finance!AQ$3,0)+IF(EOMONTH(DATE(YEAR(Finance!$AL$1),MONTH(Finance!$AL$1),1)+INT((DAY(Finance!$AL$1)-1)/2)+Finance!AN$4,0)=EOMONTH($CN$1,0),Finance!AN$3,0)+IF(EOMONTH(DATE(YEAR(Finance!$AI$1),MONTH(Finance!$AI$1),1)+INT((DAY(Finance!$AI$1)-1)/2)+Finance!AK$4,0)=EOMONTH($CN$1,0),Finance!AK$3,0)+IF(EOMONTH(DATE(YEAR(Finance!$AF$1),MONTH(Finance!$AF$1),1)+INT((DAY(Finance!$AF$1)-1)/2)+Finance!AH$4,0)=EOMONTH($CN$1,0),Finance!AH$3,0)+IF(EOMONTH(DATE(YEAR(Finance!$AC$1),MONTH(Finance!$AC$1),1)+INT((DAY(Finance!$AC$1)-1)/2)+Finance!AE$4,0)=EOMONTH($CN$1,0),Finance!AE$3,0)+IF(EOMONTH(DATE(YEAR(Finance!$Z$1),MONTH(Finance!$Z$1),1)+INT((DAY(Finance!$Z$1)-1)/2)+Finance!AB$4,0)=EOMONTH($CN$1,0),Finance!AB$3,0)+IF(EOMONTH(DATE(YEAR(Finance!$W$1),MONTH(Finance!$W$1),1)+INT((DAY(Finance!$W$1)-1)/2)+Finance!Y$4,0)=EOMONTH($CN$1,0),Finance!Y$3,0)+IF(EOMONTH(DATE(YEAR(Finance!$T$1),MONTH(Finance!$T$1),1)+INT((DAY(Finance!$T$1)-1)/2)+Finance!V$4,0)=EOMONTH($CN$1,0),Finance!V$3,0)+IF(EOMONTH(DATE(YEAR(Finance!$Q$1),MONTH(Finance!$Q$1),1)+INT((DAY(Finance!$Q$1)-1)/2)+Finance!S$4,0)=EOMONTH($CN$1,0),Finance!S$3,0)+IF(EOMONTH(DATE(YEAR(Finance!$N$1),MONTH(Finance!$N$1),1)+INT((DAY(Finance!$N$1)-1)/2)+Finance!P$4,0)=EOMONTH($CN$1,0),Finance!P$3,0)+IF(EOMONTH(DATE(YEAR(Finance!$K$1),MONTH(Finance!$K$1),1)+INT((DAY(Finance!$K$1)-1)/2)+Finance!M$4,0)=EOMONTH($CN$1,0),Finance!M$3,0)+IF(EOMONTH('Cash Drivers'!$DL$30+Finance!DN$4,0)=EOMONTH($CN$1,0),'Cash Drivers'!$DL$35,0),0)</f>
        <v>1203870</v>
      </c>
      <c r="CQ5" s="13"/>
      <c r="CR5" s="13" t="n">
        <f aca="false">IF('Cash Drivers'!CR$26,CQ5,ROUND(IF(EOMONTH(DATE(YEAR(Finance!$DL$1),MONTH(Finance!$DL$1),1)+INT((DAY(Finance!$DL$1)-1)/2)+Finance!DM$4,0)=EOMONTH($CQ$1,0),Finance!DM$3,0)+IF(EOMONTH(DATE(YEAR(Finance!$DI$1),MONTH(Finance!$DI$1),1)+INT((DAY(Finance!$DI$1)-1)/2)+Finance!DJ$4,0)=EOMONTH($CQ$1,0),Finance!DJ$3,0)+IF(EOMONTH(DATE(YEAR(Finance!$DF$1),MONTH(Finance!$DF$1),1)+INT((DAY(Finance!$DF$1)-1)/2)+Finance!DG$4,0)=EOMONTH($CQ$1,0),Finance!DG$3,0)+IF(EOMONTH(DATE(YEAR(Finance!$DC$1),MONTH(Finance!$DC$1),1)+INT((DAY(Finance!$DC$1)-1)/2)+Finance!DD$4,0)=EOMONTH($CQ$1,0),Finance!DD$3,0)+IF(EOMONTH(DATE(YEAR(Finance!$CZ$1),MONTH(Finance!$CZ$1),1)+INT((DAY(Finance!$CZ$1)-1)/2)+Finance!DA$4,0)=EOMONTH($CQ$1,0),Finance!DA$3,0)+IF(EOMONTH(DATE(YEAR(Finance!$CW$1),MONTH(Finance!$CW$1),1)+INT((DAY(Finance!$CW$1)-1)/2)+Finance!CX$4,0)=EOMONTH($CQ$1,0),Finance!CX$3,0)+IF(EOMONTH(DATE(YEAR(Finance!$CT$1),MONTH(Finance!$CT$1),1)+INT((DAY(Finance!$CT$1)-1)/2)+Finance!CU$4,0)=EOMONTH($CQ$1,0),Finance!CU$3,0)+IF(EOMONTH(DATE(YEAR(Finance!$CQ$1),MONTH(Finance!$CQ$1),1)+INT((DAY(Finance!$CQ$1)-1)/2)+Finance!CR$4,0)=EOMONTH($CQ$1,0),Finance!CR$3,0)+IF(EOMONTH(DATE(YEAR(Finance!$CN$1),MONTH(Finance!$CN$1),1)+INT((DAY(Finance!$CN$1)-1)/2)+Finance!CO$4,0)=EOMONTH($CQ$1,0),Finance!CO$3,0)+IF(EOMONTH(DATE(YEAR(Finance!$CK$1),MONTH(Finance!$CK$1),1)+INT((DAY(Finance!$CK$1)-1)/2)+Finance!CL$4,0)=EOMONTH($CQ$1,0),Finance!CL$3,0)+IF(EOMONTH(DATE(YEAR(Finance!$CH$1),MONTH(Finance!$CH$1),1)+INT((DAY(Finance!$CH$1)-1)/2)+Finance!CI$4,0)=EOMONTH($CQ$1,0),Finance!CI$3,0)+IF(EOMONTH(DATE(YEAR(Finance!$CE$1),MONTH(Finance!$CE$1),1)+INT((DAY(Finance!$CE$1)-1)/2)+Finance!CF$4,0)=EOMONTH($CQ$1,0),Finance!CF$3,0)+IF(EOMONTH(DATE(YEAR(Finance!$CB$1),MONTH(Finance!$CB$1),1)+INT((DAY(Finance!$CB$1)-1)/2)+Finance!CC$4,0)=EOMONTH($CQ$1,0),Finance!CC$3,0)+IF(EOMONTH(DATE(YEAR(Finance!$BY$1),MONTH(Finance!$BY$1),1)+INT((DAY(Finance!$BY$1)-1)/2)+Finance!BZ$4,0)=EOMONTH($CQ$1,0),Finance!BZ$3,0)+IF(EOMONTH(DATE(YEAR(Finance!$BV$1),MONTH(Finance!$BV$1),1)+INT((DAY(Finance!$BV$1)-1)/2)+Finance!BW$4,0)=EOMONTH($CQ$1,0),Finance!BW$3,0)+IF(EOMONTH(DATE(YEAR(Finance!$BS$1),MONTH(Finance!$BS$1),1)+INT((DAY(Finance!$BS$1)-1)/2)+Finance!BT$4,0)=EOMONTH($CQ$1,0),Finance!BT$3,0)+IF(EOMONTH(DATE(YEAR(Finance!$BP$1),MONTH(Finance!$BP$1),1)+INT((DAY(Finance!$BP$1)-1)/2)+Finance!BQ$4,0)=EOMONTH($CQ$1,0),Finance!BQ$3,0)+IF(EOMONTH(DATE(YEAR(Finance!$BM$1),MONTH(Finance!$BM$1),1)+INT((DAY(Finance!$BM$1)-1)/2)+Finance!BN$4,0)=EOMONTH($CQ$1,0),Finance!BN$3,0)+IF(EOMONTH(DATE(YEAR(Finance!$BJ$1),MONTH(Finance!$BJ$1),1)+INT((DAY(Finance!$BJ$1)-1)/2)+Finance!BK$4,0)=EOMONTH($CQ$1,0),Finance!BK$3,0)+IF(EOMONTH(DATE(YEAR(Finance!$BG$1),MONTH(Finance!$BG$1),1)+INT((DAY(Finance!$BG$1)-1)/2)+Finance!BH$4,0)=EOMONTH($CQ$1,0),Finance!BH$3,0)+IF(EOMONTH(DATE(YEAR(Finance!$BD$1),MONTH(Finance!$BD$1),1)+INT((DAY(Finance!$BD$1)-1)/2)+Finance!BE$4,0)=EOMONTH($CQ$1,0),Finance!BE$3,0)+IF(EOMONTH(DATE(YEAR(Finance!$BA$1),MONTH(Finance!$BA$1),1)+INT((DAY(Finance!$BA$1)-1)/2)+Finance!BB$4,0)=EOMONTH($CQ$1,0),Finance!BB$3,0)+IF(EOMONTH(DATE(YEAR(Finance!$AX$1),MONTH(Finance!$AX$1),1)+INT((DAY(Finance!$AX$1)-1)/2)+Finance!AY$4,0)=EOMONTH($CQ$1,0),Finance!AY$3,0)+IF(EOMONTH(DATE(YEAR(Finance!$AU$1),MONTH(Finance!$AU$1),1)+INT((DAY(Finance!$AU$1)-1)/2)+Finance!AV$4,0)=EOMONTH($CQ$1,0),Finance!AV$3,0)+IF(EOMONTH(DATE(YEAR(Finance!$AR$1),MONTH(Finance!$AR$1),1)+INT((DAY(Finance!$AR$1)-1)/2)+Finance!AS$4,0)=EOMONTH($CQ$1,0),Finance!AS$3,0)+IF(EOMONTH(DATE(YEAR(Finance!$AO$1),MONTH(Finance!$AO$1),1)+INT((DAY(Finance!$AO$1)-1)/2)+Finance!AP$4,0)=EOMONTH($CQ$1,0),Finance!AP$3,0)+IF(EOMONTH(DATE(YEAR(Finance!$AL$1),MONTH(Finance!$AL$1),1)+INT((DAY(Finance!$AL$1)-1)/2)+Finance!AM$4,0)=EOMONTH($CQ$1,0),Finance!AM$3,0)+IF(EOMONTH(DATE(YEAR(Finance!$AI$1),MONTH(Finance!$AI$1),1)+INT((DAY(Finance!$AI$1)-1)/2)+Finance!AJ$4,0)=EOMONTH($CQ$1,0),Finance!AJ$3,0)+IF(EOMONTH(DATE(YEAR(Finance!$AF$1),MONTH(Finance!$AF$1),1)+INT((DAY(Finance!$AF$1)-1)/2)+Finance!AG$4,0)=EOMONTH($CQ$1,0),Finance!AG$3,0)+IF(EOMONTH(DATE(YEAR(Finance!$AC$1),MONTH(Finance!$AC$1),1)+INT((DAY(Finance!$AC$1)-1)/2)+Finance!AD$4,0)=EOMONTH($CQ$1,0),Finance!AD$3,0)+IF(EOMONTH(DATE(YEAR(Finance!$Z$1),MONTH(Finance!$Z$1),1)+INT((DAY(Finance!$Z$1)-1)/2)+Finance!AA$4,0)=EOMONTH($CQ$1,0),Finance!AA$3,0)+IF(EOMONTH(DATE(YEAR(Finance!$W$1),MONTH(Finance!$W$1),1)+INT((DAY(Finance!$W$1)-1)/2)+Finance!X$4,0)=EOMONTH($CQ$1,0),Finance!X$3,0)+IF(EOMONTH(DATE(YEAR(Finance!$T$1),MONTH(Finance!$T$1),1)+INT((DAY(Finance!$T$1)-1)/2)+Finance!U$4,0)=EOMONTH($CQ$1,0),Finance!U$3,0)+IF(EOMONTH(DATE(YEAR(Finance!$Q$1),MONTH(Finance!$Q$1),1)+INT((DAY(Finance!$Q$1)-1)/2)+Finance!R$4,0)=EOMONTH($CQ$1,0),Finance!R$3,0)+IF(EOMONTH(DATE(YEAR(Finance!$N$1),MONTH(Finance!$N$1),1)+INT((DAY(Finance!$N$1)-1)/2)+Finance!O$4,0)=EOMONTH($CQ$1,0),Finance!O$3,0)+IF(EOMONTH(DATE(YEAR(Finance!$K$1),MONTH(Finance!$K$1),1)+INT((DAY(Finance!$K$1)-1)/2)+Finance!L$4,0)=EOMONTH($CQ$1,0),Finance!L$3,0)+IF(EOMONTH('Cash Drivers'!$DL$30+Finance!DM$4,0)=EOMONTH($CQ$1,0),'Cash Drivers'!$DL$35,0),0))</f>
        <v>1203866</v>
      </c>
      <c r="CS5" s="13" t="n">
        <f aca="false">ROUND(IF(EOMONTH(DATE(YEAR(Finance!$DL$1),MONTH(Finance!$DL$1),1)+INT((DAY(Finance!$DL$1)-1)/2)+Finance!DN$4,0)=EOMONTH($CQ$1,0),Finance!DN$3,0)+IF(EOMONTH(DATE(YEAR(Finance!$DI$1),MONTH(Finance!$DI$1),1)+INT((DAY(Finance!$DI$1)-1)/2)+Finance!DK$4,0)=EOMONTH($CQ$1,0),Finance!DK$3,0)+IF(EOMONTH(DATE(YEAR(Finance!$DF$1),MONTH(Finance!$DF$1),1)+INT((DAY(Finance!$DF$1)-1)/2)+Finance!DH$4,0)=EOMONTH($CQ$1,0),Finance!DH$3,0)+IF(EOMONTH(DATE(YEAR(Finance!$DC$1),MONTH(Finance!$DC$1),1)+INT((DAY(Finance!$DC$1)-1)/2)+Finance!DE$4,0)=EOMONTH($CQ$1,0),Finance!DE$3,0)+IF(EOMONTH(DATE(YEAR(Finance!$CZ$1),MONTH(Finance!$CZ$1),1)+INT((DAY(Finance!$CZ$1)-1)/2)+Finance!DB$4,0)=EOMONTH($CQ$1,0),Finance!DB$3,0)+IF(EOMONTH(DATE(YEAR(Finance!$CW$1),MONTH(Finance!$CW$1),1)+INT((DAY(Finance!$CW$1)-1)/2)+Finance!CY$4,0)=EOMONTH($CQ$1,0),Finance!CY$3,0)+IF(EOMONTH(DATE(YEAR(Finance!$CT$1),MONTH(Finance!$CT$1),1)+INT((DAY(Finance!$CT$1)-1)/2)+Finance!CV$4,0)=EOMONTH($CQ$1,0),Finance!CV$3,0)+IF(EOMONTH(DATE(YEAR(Finance!$CQ$1),MONTH(Finance!$CQ$1),1)+INT((DAY(Finance!$CQ$1)-1)/2)+Finance!CS$4,0)=EOMONTH($CQ$1,0),Finance!CS$3,0)+IF(EOMONTH(DATE(YEAR(Finance!$CN$1),MONTH(Finance!$CN$1),1)+INT((DAY(Finance!$CN$1)-1)/2)+Finance!CP$4,0)=EOMONTH($CQ$1,0),Finance!CP$3,0)+IF(EOMONTH(DATE(YEAR(Finance!$CK$1),MONTH(Finance!$CK$1),1)+INT((DAY(Finance!$CK$1)-1)/2)+Finance!CM$4,0)=EOMONTH($CQ$1,0),Finance!CM$3,0)+IF(EOMONTH(DATE(YEAR(Finance!$CH$1),MONTH(Finance!$CH$1),1)+INT((DAY(Finance!$CH$1)-1)/2)+Finance!CJ$4,0)=EOMONTH($CQ$1,0),Finance!CJ$3,0)+IF(EOMONTH(DATE(YEAR(Finance!$CE$1),MONTH(Finance!$CE$1),1)+INT((DAY(Finance!$CE$1)-1)/2)+Finance!CG$4,0)=EOMONTH($CQ$1,0),Finance!CG$3,0)+IF(EOMONTH(DATE(YEAR(Finance!$CB$1),MONTH(Finance!$CB$1),1)+INT((DAY(Finance!$CB$1)-1)/2)+Finance!CD$4,0)=EOMONTH($CQ$1,0),Finance!CD$3,0)+IF(EOMONTH(DATE(YEAR(Finance!$BY$1),MONTH(Finance!$BY$1),1)+INT((DAY(Finance!$BY$1)-1)/2)+Finance!CA$4,0)=EOMONTH($CQ$1,0),Finance!CA$3,0)+IF(EOMONTH(DATE(YEAR(Finance!$BV$1),MONTH(Finance!$BV$1),1)+INT((DAY(Finance!$BV$1)-1)/2)+Finance!BX$4,0)=EOMONTH($CQ$1,0),Finance!BX$3,0)+IF(EOMONTH(DATE(YEAR(Finance!$BS$1),MONTH(Finance!$BS$1),1)+INT((DAY(Finance!$BS$1)-1)/2)+Finance!BU$4,0)=EOMONTH($CQ$1,0),Finance!BU$3,0)+IF(EOMONTH(DATE(YEAR(Finance!$BP$1),MONTH(Finance!$BP$1),1)+INT((DAY(Finance!$BP$1)-1)/2)+Finance!BR$4,0)=EOMONTH($CQ$1,0),Finance!BR$3,0)+IF(EOMONTH(DATE(YEAR(Finance!$BM$1),MONTH(Finance!$BM$1),1)+INT((DAY(Finance!$BM$1)-1)/2)+Finance!BO$4,0)=EOMONTH($CQ$1,0),Finance!BO$3,0)+IF(EOMONTH(DATE(YEAR(Finance!$BJ$1),MONTH(Finance!$BJ$1),1)+INT((DAY(Finance!$BJ$1)-1)/2)+Finance!BL$4,0)=EOMONTH($CQ$1,0),Finance!BL$3,0)+IF(EOMONTH(DATE(YEAR(Finance!$BG$1),MONTH(Finance!$BG$1),1)+INT((DAY(Finance!$BG$1)-1)/2)+Finance!BI$4,0)=EOMONTH($CQ$1,0),Finance!BI$3,0)+IF(EOMONTH(DATE(YEAR(Finance!$BD$1),MONTH(Finance!$BD$1),1)+INT((DAY(Finance!$BD$1)-1)/2)+Finance!BF$4,0)=EOMONTH($CQ$1,0),Finance!BF$3,0)+IF(EOMONTH(DATE(YEAR(Finance!$BA$1),MONTH(Finance!$BA$1),1)+INT((DAY(Finance!$BA$1)-1)/2)+Finance!BC$4,0)=EOMONTH($CQ$1,0),Finance!BC$3,0)+IF(EOMONTH(DATE(YEAR(Finance!$AX$1),MONTH(Finance!$AX$1),1)+INT((DAY(Finance!$AX$1)-1)/2)+Finance!AZ$4,0)=EOMONTH($CQ$1,0),Finance!AZ$3,0)+IF(EOMONTH(DATE(YEAR(Finance!$AU$1),MONTH(Finance!$AU$1),1)+INT((DAY(Finance!$AU$1)-1)/2)+Finance!AW$4,0)=EOMONTH($CQ$1,0),Finance!AW$3,0)+IF(EOMONTH(DATE(YEAR(Finance!$AR$1),MONTH(Finance!$AR$1),1)+INT((DAY(Finance!$AR$1)-1)/2)+Finance!AT$4,0)=EOMONTH($CQ$1,0),Finance!AT$3,0)+IF(EOMONTH(DATE(YEAR(Finance!$AO$1),MONTH(Finance!$AO$1),1)+INT((DAY(Finance!$AO$1)-1)/2)+Finance!AQ$4,0)=EOMONTH($CQ$1,0),Finance!AQ$3,0)+IF(EOMONTH(DATE(YEAR(Finance!$AL$1),MONTH(Finance!$AL$1),1)+INT((DAY(Finance!$AL$1)-1)/2)+Finance!AN$4,0)=EOMONTH($CQ$1,0),Finance!AN$3,0)+IF(EOMONTH(DATE(YEAR(Finance!$AI$1),MONTH(Finance!$AI$1),1)+INT((DAY(Finance!$AI$1)-1)/2)+Finance!AK$4,0)=EOMONTH($CQ$1,0),Finance!AK$3,0)+IF(EOMONTH(DATE(YEAR(Finance!$AF$1),MONTH(Finance!$AF$1),1)+INT((DAY(Finance!$AF$1)-1)/2)+Finance!AH$4,0)=EOMONTH($CQ$1,0),Finance!AH$3,0)+IF(EOMONTH(DATE(YEAR(Finance!$AC$1),MONTH(Finance!$AC$1),1)+INT((DAY(Finance!$AC$1)-1)/2)+Finance!AE$4,0)=EOMONTH($CQ$1,0),Finance!AE$3,0)+IF(EOMONTH(DATE(YEAR(Finance!$Z$1),MONTH(Finance!$Z$1),1)+INT((DAY(Finance!$Z$1)-1)/2)+Finance!AB$4,0)=EOMONTH($CQ$1,0),Finance!AB$3,0)+IF(EOMONTH(DATE(YEAR(Finance!$W$1),MONTH(Finance!$W$1),1)+INT((DAY(Finance!$W$1)-1)/2)+Finance!Y$4,0)=EOMONTH($CQ$1,0),Finance!Y$3,0)+IF(EOMONTH(DATE(YEAR(Finance!$T$1),MONTH(Finance!$T$1),1)+INT((DAY(Finance!$T$1)-1)/2)+Finance!V$4,0)=EOMONTH($CQ$1,0),Finance!V$3,0)+IF(EOMONTH(DATE(YEAR(Finance!$Q$1),MONTH(Finance!$Q$1),1)+INT((DAY(Finance!$Q$1)-1)/2)+Finance!S$4,0)=EOMONTH($CQ$1,0),Finance!S$3,0)+IF(EOMONTH(DATE(YEAR(Finance!$N$1),MONTH(Finance!$N$1),1)+INT((DAY(Finance!$N$1)-1)/2)+Finance!P$4,0)=EOMONTH($CQ$1,0),Finance!P$3,0)+IF(EOMONTH(DATE(YEAR(Finance!$K$1),MONTH(Finance!$K$1),1)+INT((DAY(Finance!$K$1)-1)/2)+Finance!M$4,0)=EOMONTH($CQ$1,0),Finance!M$3,0)+IF(EOMONTH('Cash Drivers'!$DL$30+Finance!DN$4,0)=EOMONTH($CQ$1,0),'Cash Drivers'!$DL$35,0),0)</f>
        <v>1177392</v>
      </c>
      <c r="CT5" s="12"/>
      <c r="CU5" s="12" t="n">
        <f aca="false">IF('Cash Drivers'!CU$26,CT5,ROUND(IF(EOMONTH(DATE(YEAR(Finance!$DL$1),MONTH(Finance!$DL$1),1)+INT((DAY(Finance!$DL$1)-1)/2)+Finance!DM$4,0)=EOMONTH($CT$1,0),Finance!DM$3,0)+IF(EOMONTH(DATE(YEAR(Finance!$DI$1),MONTH(Finance!$DI$1),1)+INT((DAY(Finance!$DI$1)-1)/2)+Finance!DJ$4,0)=EOMONTH($CT$1,0),Finance!DJ$3,0)+IF(EOMONTH(DATE(YEAR(Finance!$DF$1),MONTH(Finance!$DF$1),1)+INT((DAY(Finance!$DF$1)-1)/2)+Finance!DG$4,0)=EOMONTH($CT$1,0),Finance!DG$3,0)+IF(EOMONTH(DATE(YEAR(Finance!$DC$1),MONTH(Finance!$DC$1),1)+INT((DAY(Finance!$DC$1)-1)/2)+Finance!DD$4,0)=EOMONTH($CT$1,0),Finance!DD$3,0)+IF(EOMONTH(DATE(YEAR(Finance!$CZ$1),MONTH(Finance!$CZ$1),1)+INT((DAY(Finance!$CZ$1)-1)/2)+Finance!DA$4,0)=EOMONTH($CT$1,0),Finance!DA$3,0)+IF(EOMONTH(DATE(YEAR(Finance!$CW$1),MONTH(Finance!$CW$1),1)+INT((DAY(Finance!$CW$1)-1)/2)+Finance!CX$4,0)=EOMONTH($CT$1,0),Finance!CX$3,0)+IF(EOMONTH(DATE(YEAR(Finance!$CT$1),MONTH(Finance!$CT$1),1)+INT((DAY(Finance!$CT$1)-1)/2)+Finance!CU$4,0)=EOMONTH($CT$1,0),Finance!CU$3,0)+IF(EOMONTH(DATE(YEAR(Finance!$CQ$1),MONTH(Finance!$CQ$1),1)+INT((DAY(Finance!$CQ$1)-1)/2)+Finance!CR$4,0)=EOMONTH($CT$1,0),Finance!CR$3,0)+IF(EOMONTH(DATE(YEAR(Finance!$CN$1),MONTH(Finance!$CN$1),1)+INT((DAY(Finance!$CN$1)-1)/2)+Finance!CO$4,0)=EOMONTH($CT$1,0),Finance!CO$3,0)+IF(EOMONTH(DATE(YEAR(Finance!$CK$1),MONTH(Finance!$CK$1),1)+INT((DAY(Finance!$CK$1)-1)/2)+Finance!CL$4,0)=EOMONTH($CT$1,0),Finance!CL$3,0)+IF(EOMONTH(DATE(YEAR(Finance!$CH$1),MONTH(Finance!$CH$1),1)+INT((DAY(Finance!$CH$1)-1)/2)+Finance!CI$4,0)=EOMONTH($CT$1,0),Finance!CI$3,0)+IF(EOMONTH(DATE(YEAR(Finance!$CE$1),MONTH(Finance!$CE$1),1)+INT((DAY(Finance!$CE$1)-1)/2)+Finance!CF$4,0)=EOMONTH($CT$1,0),Finance!CF$3,0)+IF(EOMONTH(DATE(YEAR(Finance!$CB$1),MONTH(Finance!$CB$1),1)+INT((DAY(Finance!$CB$1)-1)/2)+Finance!CC$4,0)=EOMONTH($CT$1,0),Finance!CC$3,0)+IF(EOMONTH(DATE(YEAR(Finance!$BY$1),MONTH(Finance!$BY$1),1)+INT((DAY(Finance!$BY$1)-1)/2)+Finance!BZ$4,0)=EOMONTH($CT$1,0),Finance!BZ$3,0)+IF(EOMONTH(DATE(YEAR(Finance!$BV$1),MONTH(Finance!$BV$1),1)+INT((DAY(Finance!$BV$1)-1)/2)+Finance!BW$4,0)=EOMONTH($CT$1,0),Finance!BW$3,0)+IF(EOMONTH(DATE(YEAR(Finance!$BS$1),MONTH(Finance!$BS$1),1)+INT((DAY(Finance!$BS$1)-1)/2)+Finance!BT$4,0)=EOMONTH($CT$1,0),Finance!BT$3,0)+IF(EOMONTH(DATE(YEAR(Finance!$BP$1),MONTH(Finance!$BP$1),1)+INT((DAY(Finance!$BP$1)-1)/2)+Finance!BQ$4,0)=EOMONTH($CT$1,0),Finance!BQ$3,0)+IF(EOMONTH(DATE(YEAR(Finance!$BM$1),MONTH(Finance!$BM$1),1)+INT((DAY(Finance!$BM$1)-1)/2)+Finance!BN$4,0)=EOMONTH($CT$1,0),Finance!BN$3,0)+IF(EOMONTH(DATE(YEAR(Finance!$BJ$1),MONTH(Finance!$BJ$1),1)+INT((DAY(Finance!$BJ$1)-1)/2)+Finance!BK$4,0)=EOMONTH($CT$1,0),Finance!BK$3,0)+IF(EOMONTH(DATE(YEAR(Finance!$BG$1),MONTH(Finance!$BG$1),1)+INT((DAY(Finance!$BG$1)-1)/2)+Finance!BH$4,0)=EOMONTH($CT$1,0),Finance!BH$3,0)+IF(EOMONTH(DATE(YEAR(Finance!$BD$1),MONTH(Finance!$BD$1),1)+INT((DAY(Finance!$BD$1)-1)/2)+Finance!BE$4,0)=EOMONTH($CT$1,0),Finance!BE$3,0)+IF(EOMONTH(DATE(YEAR(Finance!$BA$1),MONTH(Finance!$BA$1),1)+INT((DAY(Finance!$BA$1)-1)/2)+Finance!BB$4,0)=EOMONTH($CT$1,0),Finance!BB$3,0)+IF(EOMONTH(DATE(YEAR(Finance!$AX$1),MONTH(Finance!$AX$1),1)+INT((DAY(Finance!$AX$1)-1)/2)+Finance!AY$4,0)=EOMONTH($CT$1,0),Finance!AY$3,0)+IF(EOMONTH(DATE(YEAR(Finance!$AU$1),MONTH(Finance!$AU$1),1)+INT((DAY(Finance!$AU$1)-1)/2)+Finance!AV$4,0)=EOMONTH($CT$1,0),Finance!AV$3,0)+IF(EOMONTH(DATE(YEAR(Finance!$AR$1),MONTH(Finance!$AR$1),1)+INT((DAY(Finance!$AR$1)-1)/2)+Finance!AS$4,0)=EOMONTH($CT$1,0),Finance!AS$3,0)+IF(EOMONTH(DATE(YEAR(Finance!$AO$1),MONTH(Finance!$AO$1),1)+INT((DAY(Finance!$AO$1)-1)/2)+Finance!AP$4,0)=EOMONTH($CT$1,0),Finance!AP$3,0)+IF(EOMONTH(DATE(YEAR(Finance!$AL$1),MONTH(Finance!$AL$1),1)+INT((DAY(Finance!$AL$1)-1)/2)+Finance!AM$4,0)=EOMONTH($CT$1,0),Finance!AM$3,0)+IF(EOMONTH(DATE(YEAR(Finance!$AI$1),MONTH(Finance!$AI$1),1)+INT((DAY(Finance!$AI$1)-1)/2)+Finance!AJ$4,0)=EOMONTH($CT$1,0),Finance!AJ$3,0)+IF(EOMONTH(DATE(YEAR(Finance!$AF$1),MONTH(Finance!$AF$1),1)+INT((DAY(Finance!$AF$1)-1)/2)+Finance!AG$4,0)=EOMONTH($CT$1,0),Finance!AG$3,0)+IF(EOMONTH(DATE(YEAR(Finance!$AC$1),MONTH(Finance!$AC$1),1)+INT((DAY(Finance!$AC$1)-1)/2)+Finance!AD$4,0)=EOMONTH($CT$1,0),Finance!AD$3,0)+IF(EOMONTH(DATE(YEAR(Finance!$Z$1),MONTH(Finance!$Z$1),1)+INT((DAY(Finance!$Z$1)-1)/2)+Finance!AA$4,0)=EOMONTH($CT$1,0),Finance!AA$3,0)+IF(EOMONTH(DATE(YEAR(Finance!$W$1),MONTH(Finance!$W$1),1)+INT((DAY(Finance!$W$1)-1)/2)+Finance!X$4,0)=EOMONTH($CT$1,0),Finance!X$3,0)+IF(EOMONTH(DATE(YEAR(Finance!$T$1),MONTH(Finance!$T$1),1)+INT((DAY(Finance!$T$1)-1)/2)+Finance!U$4,0)=EOMONTH($CT$1,0),Finance!U$3,0)+IF(EOMONTH(DATE(YEAR(Finance!$Q$1),MONTH(Finance!$Q$1),1)+INT((DAY(Finance!$Q$1)-1)/2)+Finance!R$4,0)=EOMONTH($CT$1,0),Finance!R$3,0)+IF(EOMONTH(DATE(YEAR(Finance!$N$1),MONTH(Finance!$N$1),1)+INT((DAY(Finance!$N$1)-1)/2)+Finance!O$4,0)=EOMONTH($CT$1,0),Finance!O$3,0)+IF(EOMONTH(DATE(YEAR(Finance!$K$1),MONTH(Finance!$K$1),1)+INT((DAY(Finance!$K$1)-1)/2)+Finance!L$4,0)=EOMONTH($CT$1,0),Finance!L$3,0)+IF(EOMONTH('Cash Drivers'!$DL$30+Finance!DM$4,0)=EOMONTH($CT$1,0),'Cash Drivers'!$DL$35,0),0))</f>
        <v>1177516</v>
      </c>
      <c r="CV5" s="12" t="n">
        <f aca="false">ROUND(IF(EOMONTH(DATE(YEAR(Finance!$DL$1),MONTH(Finance!$DL$1),1)+INT((DAY(Finance!$DL$1)-1)/2)+Finance!DN$4,0)=EOMONTH($CT$1,0),Finance!DN$3,0)+IF(EOMONTH(DATE(YEAR(Finance!$DI$1),MONTH(Finance!$DI$1),1)+INT((DAY(Finance!$DI$1)-1)/2)+Finance!DK$4,0)=EOMONTH($CT$1,0),Finance!DK$3,0)+IF(EOMONTH(DATE(YEAR(Finance!$DF$1),MONTH(Finance!$DF$1),1)+INT((DAY(Finance!$DF$1)-1)/2)+Finance!DH$4,0)=EOMONTH($CT$1,0),Finance!DH$3,0)+IF(EOMONTH(DATE(YEAR(Finance!$DC$1),MONTH(Finance!$DC$1),1)+INT((DAY(Finance!$DC$1)-1)/2)+Finance!DE$4,0)=EOMONTH($CT$1,0),Finance!DE$3,0)+IF(EOMONTH(DATE(YEAR(Finance!$CZ$1),MONTH(Finance!$CZ$1),1)+INT((DAY(Finance!$CZ$1)-1)/2)+Finance!DB$4,0)=EOMONTH($CT$1,0),Finance!DB$3,0)+IF(EOMONTH(DATE(YEAR(Finance!$CW$1),MONTH(Finance!$CW$1),1)+INT((DAY(Finance!$CW$1)-1)/2)+Finance!CY$4,0)=EOMONTH($CT$1,0),Finance!CY$3,0)+IF(EOMONTH(DATE(YEAR(Finance!$CT$1),MONTH(Finance!$CT$1),1)+INT((DAY(Finance!$CT$1)-1)/2)+Finance!CV$4,0)=EOMONTH($CT$1,0),Finance!CV$3,0)+IF(EOMONTH(DATE(YEAR(Finance!$CQ$1),MONTH(Finance!$CQ$1),1)+INT((DAY(Finance!$CQ$1)-1)/2)+Finance!CS$4,0)=EOMONTH($CT$1,0),Finance!CS$3,0)+IF(EOMONTH(DATE(YEAR(Finance!$CN$1),MONTH(Finance!$CN$1),1)+INT((DAY(Finance!$CN$1)-1)/2)+Finance!CP$4,0)=EOMONTH($CT$1,0),Finance!CP$3,0)+IF(EOMONTH(DATE(YEAR(Finance!$CK$1),MONTH(Finance!$CK$1),1)+INT((DAY(Finance!$CK$1)-1)/2)+Finance!CM$4,0)=EOMONTH($CT$1,0),Finance!CM$3,0)+IF(EOMONTH(DATE(YEAR(Finance!$CH$1),MONTH(Finance!$CH$1),1)+INT((DAY(Finance!$CH$1)-1)/2)+Finance!CJ$4,0)=EOMONTH($CT$1,0),Finance!CJ$3,0)+IF(EOMONTH(DATE(YEAR(Finance!$CE$1),MONTH(Finance!$CE$1),1)+INT((DAY(Finance!$CE$1)-1)/2)+Finance!CG$4,0)=EOMONTH($CT$1,0),Finance!CG$3,0)+IF(EOMONTH(DATE(YEAR(Finance!$CB$1),MONTH(Finance!$CB$1),1)+INT((DAY(Finance!$CB$1)-1)/2)+Finance!CD$4,0)=EOMONTH($CT$1,0),Finance!CD$3,0)+IF(EOMONTH(DATE(YEAR(Finance!$BY$1),MONTH(Finance!$BY$1),1)+INT((DAY(Finance!$BY$1)-1)/2)+Finance!CA$4,0)=EOMONTH($CT$1,0),Finance!CA$3,0)+IF(EOMONTH(DATE(YEAR(Finance!$BV$1),MONTH(Finance!$BV$1),1)+INT((DAY(Finance!$BV$1)-1)/2)+Finance!BX$4,0)=EOMONTH($CT$1,0),Finance!BX$3,0)+IF(EOMONTH(DATE(YEAR(Finance!$BS$1),MONTH(Finance!$BS$1),1)+INT((DAY(Finance!$BS$1)-1)/2)+Finance!BU$4,0)=EOMONTH($CT$1,0),Finance!BU$3,0)+IF(EOMONTH(DATE(YEAR(Finance!$BP$1),MONTH(Finance!$BP$1),1)+INT((DAY(Finance!$BP$1)-1)/2)+Finance!BR$4,0)=EOMONTH($CT$1,0),Finance!BR$3,0)+IF(EOMONTH(DATE(YEAR(Finance!$BM$1),MONTH(Finance!$BM$1),1)+INT((DAY(Finance!$BM$1)-1)/2)+Finance!BO$4,0)=EOMONTH($CT$1,0),Finance!BO$3,0)+IF(EOMONTH(DATE(YEAR(Finance!$BJ$1),MONTH(Finance!$BJ$1),1)+INT((DAY(Finance!$BJ$1)-1)/2)+Finance!BL$4,0)=EOMONTH($CT$1,0),Finance!BL$3,0)+IF(EOMONTH(DATE(YEAR(Finance!$BG$1),MONTH(Finance!$BG$1),1)+INT((DAY(Finance!$BG$1)-1)/2)+Finance!BI$4,0)=EOMONTH($CT$1,0),Finance!BI$3,0)+IF(EOMONTH(DATE(YEAR(Finance!$BD$1),MONTH(Finance!$BD$1),1)+INT((DAY(Finance!$BD$1)-1)/2)+Finance!BF$4,0)=EOMONTH($CT$1,0),Finance!BF$3,0)+IF(EOMONTH(DATE(YEAR(Finance!$BA$1),MONTH(Finance!$BA$1),1)+INT((DAY(Finance!$BA$1)-1)/2)+Finance!BC$4,0)=EOMONTH($CT$1,0),Finance!BC$3,0)+IF(EOMONTH(DATE(YEAR(Finance!$AX$1),MONTH(Finance!$AX$1),1)+INT((DAY(Finance!$AX$1)-1)/2)+Finance!AZ$4,0)=EOMONTH($CT$1,0),Finance!AZ$3,0)+IF(EOMONTH(DATE(YEAR(Finance!$AU$1),MONTH(Finance!$AU$1),1)+INT((DAY(Finance!$AU$1)-1)/2)+Finance!AW$4,0)=EOMONTH($CT$1,0),Finance!AW$3,0)+IF(EOMONTH(DATE(YEAR(Finance!$AR$1),MONTH(Finance!$AR$1),1)+INT((DAY(Finance!$AR$1)-1)/2)+Finance!AT$4,0)=EOMONTH($CT$1,0),Finance!AT$3,0)+IF(EOMONTH(DATE(YEAR(Finance!$AO$1),MONTH(Finance!$AO$1),1)+INT((DAY(Finance!$AO$1)-1)/2)+Finance!AQ$4,0)=EOMONTH($CT$1,0),Finance!AQ$3,0)+IF(EOMONTH(DATE(YEAR(Finance!$AL$1),MONTH(Finance!$AL$1),1)+INT((DAY(Finance!$AL$1)-1)/2)+Finance!AN$4,0)=EOMONTH($CT$1,0),Finance!AN$3,0)+IF(EOMONTH(DATE(YEAR(Finance!$AI$1),MONTH(Finance!$AI$1),1)+INT((DAY(Finance!$AI$1)-1)/2)+Finance!AK$4,0)=EOMONTH($CT$1,0),Finance!AK$3,0)+IF(EOMONTH(DATE(YEAR(Finance!$AF$1),MONTH(Finance!$AF$1),1)+INT((DAY(Finance!$AF$1)-1)/2)+Finance!AH$4,0)=EOMONTH($CT$1,0),Finance!AH$3,0)+IF(EOMONTH(DATE(YEAR(Finance!$AC$1),MONTH(Finance!$AC$1),1)+INT((DAY(Finance!$AC$1)-1)/2)+Finance!AE$4,0)=EOMONTH($CT$1,0),Finance!AE$3,0)+IF(EOMONTH(DATE(YEAR(Finance!$Z$1),MONTH(Finance!$Z$1),1)+INT((DAY(Finance!$Z$1)-1)/2)+Finance!AB$4,0)=EOMONTH($CT$1,0),Finance!AB$3,0)+IF(EOMONTH(DATE(YEAR(Finance!$W$1),MONTH(Finance!$W$1),1)+INT((DAY(Finance!$W$1)-1)/2)+Finance!Y$4,0)=EOMONTH($CT$1,0),Finance!Y$3,0)+IF(EOMONTH(DATE(YEAR(Finance!$T$1),MONTH(Finance!$T$1),1)+INT((DAY(Finance!$T$1)-1)/2)+Finance!V$4,0)=EOMONTH($CT$1,0),Finance!V$3,0)+IF(EOMONTH(DATE(YEAR(Finance!$Q$1),MONTH(Finance!$Q$1),1)+INT((DAY(Finance!$Q$1)-1)/2)+Finance!S$4,0)=EOMONTH($CT$1,0),Finance!S$3,0)+IF(EOMONTH(DATE(YEAR(Finance!$N$1),MONTH(Finance!$N$1),1)+INT((DAY(Finance!$N$1)-1)/2)+Finance!P$4,0)=EOMONTH($CT$1,0),Finance!P$3,0)+IF(EOMONTH(DATE(YEAR(Finance!$K$1),MONTH(Finance!$K$1),1)+INT((DAY(Finance!$K$1)-1)/2)+Finance!M$4,0)=EOMONTH($CT$1,0),Finance!M$3,0)+IF(EOMONTH('Cash Drivers'!$DL$30+Finance!DN$4,0)=EOMONTH($CT$1,0),'Cash Drivers'!$DL$35,0),0)</f>
        <v>1151064</v>
      </c>
      <c r="CW5" s="13"/>
      <c r="CX5" s="13" t="n">
        <f aca="false">IF('Cash Drivers'!CX$26,CW5,ROUND(IF(EOMONTH(DATE(YEAR(Finance!$DL$1),MONTH(Finance!$DL$1),1)+INT((DAY(Finance!$DL$1)-1)/2)+Finance!DM$4,0)=EOMONTH($CW$1,0),Finance!DM$3,0)+IF(EOMONTH(DATE(YEAR(Finance!$DI$1),MONTH(Finance!$DI$1),1)+INT((DAY(Finance!$DI$1)-1)/2)+Finance!DJ$4,0)=EOMONTH($CW$1,0),Finance!DJ$3,0)+IF(EOMONTH(DATE(YEAR(Finance!$DF$1),MONTH(Finance!$DF$1),1)+INT((DAY(Finance!$DF$1)-1)/2)+Finance!DG$4,0)=EOMONTH($CW$1,0),Finance!DG$3,0)+IF(EOMONTH(DATE(YEAR(Finance!$DC$1),MONTH(Finance!$DC$1),1)+INT((DAY(Finance!$DC$1)-1)/2)+Finance!DD$4,0)=EOMONTH($CW$1,0),Finance!DD$3,0)+IF(EOMONTH(DATE(YEAR(Finance!$CZ$1),MONTH(Finance!$CZ$1),1)+INT((DAY(Finance!$CZ$1)-1)/2)+Finance!DA$4,0)=EOMONTH($CW$1,0),Finance!DA$3,0)+IF(EOMONTH(DATE(YEAR(Finance!$CW$1),MONTH(Finance!$CW$1),1)+INT((DAY(Finance!$CW$1)-1)/2)+Finance!CX$4,0)=EOMONTH($CW$1,0),Finance!CX$3,0)+IF(EOMONTH(DATE(YEAR(Finance!$CT$1),MONTH(Finance!$CT$1),1)+INT((DAY(Finance!$CT$1)-1)/2)+Finance!CU$4,0)=EOMONTH($CW$1,0),Finance!CU$3,0)+IF(EOMONTH(DATE(YEAR(Finance!$CQ$1),MONTH(Finance!$CQ$1),1)+INT((DAY(Finance!$CQ$1)-1)/2)+Finance!CR$4,0)=EOMONTH($CW$1,0),Finance!CR$3,0)+IF(EOMONTH(DATE(YEAR(Finance!$CN$1),MONTH(Finance!$CN$1),1)+INT((DAY(Finance!$CN$1)-1)/2)+Finance!CO$4,0)=EOMONTH($CW$1,0),Finance!CO$3,0)+IF(EOMONTH(DATE(YEAR(Finance!$CK$1),MONTH(Finance!$CK$1),1)+INT((DAY(Finance!$CK$1)-1)/2)+Finance!CL$4,0)=EOMONTH($CW$1,0),Finance!CL$3,0)+IF(EOMONTH(DATE(YEAR(Finance!$CH$1),MONTH(Finance!$CH$1),1)+INT((DAY(Finance!$CH$1)-1)/2)+Finance!CI$4,0)=EOMONTH($CW$1,0),Finance!CI$3,0)+IF(EOMONTH(DATE(YEAR(Finance!$CE$1),MONTH(Finance!$CE$1),1)+INT((DAY(Finance!$CE$1)-1)/2)+Finance!CF$4,0)=EOMONTH($CW$1,0),Finance!CF$3,0)+IF(EOMONTH(DATE(YEAR(Finance!$CB$1),MONTH(Finance!$CB$1),1)+INT((DAY(Finance!$CB$1)-1)/2)+Finance!CC$4,0)=EOMONTH($CW$1,0),Finance!CC$3,0)+IF(EOMONTH(DATE(YEAR(Finance!$BY$1),MONTH(Finance!$BY$1),1)+INT((DAY(Finance!$BY$1)-1)/2)+Finance!BZ$4,0)=EOMONTH($CW$1,0),Finance!BZ$3,0)+IF(EOMONTH(DATE(YEAR(Finance!$BV$1),MONTH(Finance!$BV$1),1)+INT((DAY(Finance!$BV$1)-1)/2)+Finance!BW$4,0)=EOMONTH($CW$1,0),Finance!BW$3,0)+IF(EOMONTH(DATE(YEAR(Finance!$BS$1),MONTH(Finance!$BS$1),1)+INT((DAY(Finance!$BS$1)-1)/2)+Finance!BT$4,0)=EOMONTH($CW$1,0),Finance!BT$3,0)+IF(EOMONTH(DATE(YEAR(Finance!$BP$1),MONTH(Finance!$BP$1),1)+INT((DAY(Finance!$BP$1)-1)/2)+Finance!BQ$4,0)=EOMONTH($CW$1,0),Finance!BQ$3,0)+IF(EOMONTH(DATE(YEAR(Finance!$BM$1),MONTH(Finance!$BM$1),1)+INT((DAY(Finance!$BM$1)-1)/2)+Finance!BN$4,0)=EOMONTH($CW$1,0),Finance!BN$3,0)+IF(EOMONTH(DATE(YEAR(Finance!$BJ$1),MONTH(Finance!$BJ$1),1)+INT((DAY(Finance!$BJ$1)-1)/2)+Finance!BK$4,0)=EOMONTH($CW$1,0),Finance!BK$3,0)+IF(EOMONTH(DATE(YEAR(Finance!$BG$1),MONTH(Finance!$BG$1),1)+INT((DAY(Finance!$BG$1)-1)/2)+Finance!BH$4,0)=EOMONTH($CW$1,0),Finance!BH$3,0)+IF(EOMONTH(DATE(YEAR(Finance!$BD$1),MONTH(Finance!$BD$1),1)+INT((DAY(Finance!$BD$1)-1)/2)+Finance!BE$4,0)=EOMONTH($CW$1,0),Finance!BE$3,0)+IF(EOMONTH(DATE(YEAR(Finance!$BA$1),MONTH(Finance!$BA$1),1)+INT((DAY(Finance!$BA$1)-1)/2)+Finance!BB$4,0)=EOMONTH($CW$1,0),Finance!BB$3,0)+IF(EOMONTH(DATE(YEAR(Finance!$AX$1),MONTH(Finance!$AX$1),1)+INT((DAY(Finance!$AX$1)-1)/2)+Finance!AY$4,0)=EOMONTH($CW$1,0),Finance!AY$3,0)+IF(EOMONTH(DATE(YEAR(Finance!$AU$1),MONTH(Finance!$AU$1),1)+INT((DAY(Finance!$AU$1)-1)/2)+Finance!AV$4,0)=EOMONTH($CW$1,0),Finance!AV$3,0)+IF(EOMONTH(DATE(YEAR(Finance!$AR$1),MONTH(Finance!$AR$1),1)+INT((DAY(Finance!$AR$1)-1)/2)+Finance!AS$4,0)=EOMONTH($CW$1,0),Finance!AS$3,0)+IF(EOMONTH(DATE(YEAR(Finance!$AO$1),MONTH(Finance!$AO$1),1)+INT((DAY(Finance!$AO$1)-1)/2)+Finance!AP$4,0)=EOMONTH($CW$1,0),Finance!AP$3,0)+IF(EOMONTH(DATE(YEAR(Finance!$AL$1),MONTH(Finance!$AL$1),1)+INT((DAY(Finance!$AL$1)-1)/2)+Finance!AM$4,0)=EOMONTH($CW$1,0),Finance!AM$3,0)+IF(EOMONTH(DATE(YEAR(Finance!$AI$1),MONTH(Finance!$AI$1),1)+INT((DAY(Finance!$AI$1)-1)/2)+Finance!AJ$4,0)=EOMONTH($CW$1,0),Finance!AJ$3,0)+IF(EOMONTH(DATE(YEAR(Finance!$AF$1),MONTH(Finance!$AF$1),1)+INT((DAY(Finance!$AF$1)-1)/2)+Finance!AG$4,0)=EOMONTH($CW$1,0),Finance!AG$3,0)+IF(EOMONTH(DATE(YEAR(Finance!$AC$1),MONTH(Finance!$AC$1),1)+INT((DAY(Finance!$AC$1)-1)/2)+Finance!AD$4,0)=EOMONTH($CW$1,0),Finance!AD$3,0)+IF(EOMONTH(DATE(YEAR(Finance!$Z$1),MONTH(Finance!$Z$1),1)+INT((DAY(Finance!$Z$1)-1)/2)+Finance!AA$4,0)=EOMONTH($CW$1,0),Finance!AA$3,0)+IF(EOMONTH(DATE(YEAR(Finance!$W$1),MONTH(Finance!$W$1),1)+INT((DAY(Finance!$W$1)-1)/2)+Finance!X$4,0)=EOMONTH($CW$1,0),Finance!X$3,0)+IF(EOMONTH(DATE(YEAR(Finance!$T$1),MONTH(Finance!$T$1),1)+INT((DAY(Finance!$T$1)-1)/2)+Finance!U$4,0)=EOMONTH($CW$1,0),Finance!U$3,0)+IF(EOMONTH(DATE(YEAR(Finance!$Q$1),MONTH(Finance!$Q$1),1)+INT((DAY(Finance!$Q$1)-1)/2)+Finance!R$4,0)=EOMONTH($CW$1,0),Finance!R$3,0)+IF(EOMONTH(DATE(YEAR(Finance!$N$1),MONTH(Finance!$N$1),1)+INT((DAY(Finance!$N$1)-1)/2)+Finance!O$4,0)=EOMONTH($CW$1,0),Finance!O$3,0)+IF(EOMONTH(DATE(YEAR(Finance!$K$1),MONTH(Finance!$K$1),1)+INT((DAY(Finance!$K$1)-1)/2)+Finance!L$4,0)=EOMONTH($CW$1,0),Finance!L$3,0)+IF(EOMONTH('Cash Drivers'!$DL$30+Finance!DM$4,0)=EOMONTH($CW$1,0),'Cash Drivers'!$DL$35,0),0))</f>
        <v>1151317</v>
      </c>
      <c r="CY5" s="13" t="n">
        <f aca="false">ROUND(IF(EOMONTH(DATE(YEAR(Finance!$DL$1),MONTH(Finance!$DL$1),1)+INT((DAY(Finance!$DL$1)-1)/2)+Finance!DN$4,0)=EOMONTH($CW$1,0),Finance!DN$3,0)+IF(EOMONTH(DATE(YEAR(Finance!$DI$1),MONTH(Finance!$DI$1),1)+INT((DAY(Finance!$DI$1)-1)/2)+Finance!DK$4,0)=EOMONTH($CW$1,0),Finance!DK$3,0)+IF(EOMONTH(DATE(YEAR(Finance!$DF$1),MONTH(Finance!$DF$1),1)+INT((DAY(Finance!$DF$1)-1)/2)+Finance!DH$4,0)=EOMONTH($CW$1,0),Finance!DH$3,0)+IF(EOMONTH(DATE(YEAR(Finance!$DC$1),MONTH(Finance!$DC$1),1)+INT((DAY(Finance!$DC$1)-1)/2)+Finance!DE$4,0)=EOMONTH($CW$1,0),Finance!DE$3,0)+IF(EOMONTH(DATE(YEAR(Finance!$CZ$1),MONTH(Finance!$CZ$1),1)+INT((DAY(Finance!$CZ$1)-1)/2)+Finance!DB$4,0)=EOMONTH($CW$1,0),Finance!DB$3,0)+IF(EOMONTH(DATE(YEAR(Finance!$CW$1),MONTH(Finance!$CW$1),1)+INT((DAY(Finance!$CW$1)-1)/2)+Finance!CY$4,0)=EOMONTH($CW$1,0),Finance!CY$3,0)+IF(EOMONTH(DATE(YEAR(Finance!$CT$1),MONTH(Finance!$CT$1),1)+INT((DAY(Finance!$CT$1)-1)/2)+Finance!CV$4,0)=EOMONTH($CW$1,0),Finance!CV$3,0)+IF(EOMONTH(DATE(YEAR(Finance!$CQ$1),MONTH(Finance!$CQ$1),1)+INT((DAY(Finance!$CQ$1)-1)/2)+Finance!CS$4,0)=EOMONTH($CW$1,0),Finance!CS$3,0)+IF(EOMONTH(DATE(YEAR(Finance!$CN$1),MONTH(Finance!$CN$1),1)+INT((DAY(Finance!$CN$1)-1)/2)+Finance!CP$4,0)=EOMONTH($CW$1,0),Finance!CP$3,0)+IF(EOMONTH(DATE(YEAR(Finance!$CK$1),MONTH(Finance!$CK$1),1)+INT((DAY(Finance!$CK$1)-1)/2)+Finance!CM$4,0)=EOMONTH($CW$1,0),Finance!CM$3,0)+IF(EOMONTH(DATE(YEAR(Finance!$CH$1),MONTH(Finance!$CH$1),1)+INT((DAY(Finance!$CH$1)-1)/2)+Finance!CJ$4,0)=EOMONTH($CW$1,0),Finance!CJ$3,0)+IF(EOMONTH(DATE(YEAR(Finance!$CE$1),MONTH(Finance!$CE$1),1)+INT((DAY(Finance!$CE$1)-1)/2)+Finance!CG$4,0)=EOMONTH($CW$1,0),Finance!CG$3,0)+IF(EOMONTH(DATE(YEAR(Finance!$CB$1),MONTH(Finance!$CB$1),1)+INT((DAY(Finance!$CB$1)-1)/2)+Finance!CD$4,0)=EOMONTH($CW$1,0),Finance!CD$3,0)+IF(EOMONTH(DATE(YEAR(Finance!$BY$1),MONTH(Finance!$BY$1),1)+INT((DAY(Finance!$BY$1)-1)/2)+Finance!CA$4,0)=EOMONTH($CW$1,0),Finance!CA$3,0)+IF(EOMONTH(DATE(YEAR(Finance!$BV$1),MONTH(Finance!$BV$1),1)+INT((DAY(Finance!$BV$1)-1)/2)+Finance!BX$4,0)=EOMONTH($CW$1,0),Finance!BX$3,0)+IF(EOMONTH(DATE(YEAR(Finance!$BS$1),MONTH(Finance!$BS$1),1)+INT((DAY(Finance!$BS$1)-1)/2)+Finance!BU$4,0)=EOMONTH($CW$1,0),Finance!BU$3,0)+IF(EOMONTH(DATE(YEAR(Finance!$BP$1),MONTH(Finance!$BP$1),1)+INT((DAY(Finance!$BP$1)-1)/2)+Finance!BR$4,0)=EOMONTH($CW$1,0),Finance!BR$3,0)+IF(EOMONTH(DATE(YEAR(Finance!$BM$1),MONTH(Finance!$BM$1),1)+INT((DAY(Finance!$BM$1)-1)/2)+Finance!BO$4,0)=EOMONTH($CW$1,0),Finance!BO$3,0)+IF(EOMONTH(DATE(YEAR(Finance!$BJ$1),MONTH(Finance!$BJ$1),1)+INT((DAY(Finance!$BJ$1)-1)/2)+Finance!BL$4,0)=EOMONTH($CW$1,0),Finance!BL$3,0)+IF(EOMONTH(DATE(YEAR(Finance!$BG$1),MONTH(Finance!$BG$1),1)+INT((DAY(Finance!$BG$1)-1)/2)+Finance!BI$4,0)=EOMONTH($CW$1,0),Finance!BI$3,0)+IF(EOMONTH(DATE(YEAR(Finance!$BD$1),MONTH(Finance!$BD$1),1)+INT((DAY(Finance!$BD$1)-1)/2)+Finance!BF$4,0)=EOMONTH($CW$1,0),Finance!BF$3,0)+IF(EOMONTH(DATE(YEAR(Finance!$BA$1),MONTH(Finance!$BA$1),1)+INT((DAY(Finance!$BA$1)-1)/2)+Finance!BC$4,0)=EOMONTH($CW$1,0),Finance!BC$3,0)+IF(EOMONTH(DATE(YEAR(Finance!$AX$1),MONTH(Finance!$AX$1),1)+INT((DAY(Finance!$AX$1)-1)/2)+Finance!AZ$4,0)=EOMONTH($CW$1,0),Finance!AZ$3,0)+IF(EOMONTH(DATE(YEAR(Finance!$AU$1),MONTH(Finance!$AU$1),1)+INT((DAY(Finance!$AU$1)-1)/2)+Finance!AW$4,0)=EOMONTH($CW$1,0),Finance!AW$3,0)+IF(EOMONTH(DATE(YEAR(Finance!$AR$1),MONTH(Finance!$AR$1),1)+INT((DAY(Finance!$AR$1)-1)/2)+Finance!AT$4,0)=EOMONTH($CW$1,0),Finance!AT$3,0)+IF(EOMONTH(DATE(YEAR(Finance!$AO$1),MONTH(Finance!$AO$1),1)+INT((DAY(Finance!$AO$1)-1)/2)+Finance!AQ$4,0)=EOMONTH($CW$1,0),Finance!AQ$3,0)+IF(EOMONTH(DATE(YEAR(Finance!$AL$1),MONTH(Finance!$AL$1),1)+INT((DAY(Finance!$AL$1)-1)/2)+Finance!AN$4,0)=EOMONTH($CW$1,0),Finance!AN$3,0)+IF(EOMONTH(DATE(YEAR(Finance!$AI$1),MONTH(Finance!$AI$1),1)+INT((DAY(Finance!$AI$1)-1)/2)+Finance!AK$4,0)=EOMONTH($CW$1,0),Finance!AK$3,0)+IF(EOMONTH(DATE(YEAR(Finance!$AF$1),MONTH(Finance!$AF$1),1)+INT((DAY(Finance!$AF$1)-1)/2)+Finance!AH$4,0)=EOMONTH($CW$1,0),Finance!AH$3,0)+IF(EOMONTH(DATE(YEAR(Finance!$AC$1),MONTH(Finance!$AC$1),1)+INT((DAY(Finance!$AC$1)-1)/2)+Finance!AE$4,0)=EOMONTH($CW$1,0),Finance!AE$3,0)+IF(EOMONTH(DATE(YEAR(Finance!$Z$1),MONTH(Finance!$Z$1),1)+INT((DAY(Finance!$Z$1)-1)/2)+Finance!AB$4,0)=EOMONTH($CW$1,0),Finance!AB$3,0)+IF(EOMONTH(DATE(YEAR(Finance!$W$1),MONTH(Finance!$W$1),1)+INT((DAY(Finance!$W$1)-1)/2)+Finance!Y$4,0)=EOMONTH($CW$1,0),Finance!Y$3,0)+IF(EOMONTH(DATE(YEAR(Finance!$T$1),MONTH(Finance!$T$1),1)+INT((DAY(Finance!$T$1)-1)/2)+Finance!V$4,0)=EOMONTH($CW$1,0),Finance!V$3,0)+IF(EOMONTH(DATE(YEAR(Finance!$Q$1),MONTH(Finance!$Q$1),1)+INT((DAY(Finance!$Q$1)-1)/2)+Finance!S$4,0)=EOMONTH($CW$1,0),Finance!S$3,0)+IF(EOMONTH(DATE(YEAR(Finance!$N$1),MONTH(Finance!$N$1),1)+INT((DAY(Finance!$N$1)-1)/2)+Finance!P$4,0)=EOMONTH($CW$1,0),Finance!P$3,0)+IF(EOMONTH(DATE(YEAR(Finance!$K$1),MONTH(Finance!$K$1),1)+INT((DAY(Finance!$K$1)-1)/2)+Finance!M$4,0)=EOMONTH($CW$1,0),Finance!M$3,0)+IF(EOMONTH('Cash Drivers'!$DL$30+Finance!DN$4,0)=EOMONTH($CW$1,0),'Cash Drivers'!$DL$35,0),0)</f>
        <v>1124830</v>
      </c>
      <c r="CZ5" s="12"/>
      <c r="DA5" s="12" t="n">
        <f aca="false">IF('Cash Drivers'!DA$26,CZ5,ROUND(IF(EOMONTH(DATE(YEAR(Finance!$DL$1),MONTH(Finance!$DL$1),1)+INT((DAY(Finance!$DL$1)-1)/2)+Finance!DM$4,0)=EOMONTH($CZ$1,0),Finance!DM$3,0)+IF(EOMONTH(DATE(YEAR(Finance!$DI$1),MONTH(Finance!$DI$1),1)+INT((DAY(Finance!$DI$1)-1)/2)+Finance!DJ$4,0)=EOMONTH($CZ$1,0),Finance!DJ$3,0)+IF(EOMONTH(DATE(YEAR(Finance!$DF$1),MONTH(Finance!$DF$1),1)+INT((DAY(Finance!$DF$1)-1)/2)+Finance!DG$4,0)=EOMONTH($CZ$1,0),Finance!DG$3,0)+IF(EOMONTH(DATE(YEAR(Finance!$DC$1),MONTH(Finance!$DC$1),1)+INT((DAY(Finance!$DC$1)-1)/2)+Finance!DD$4,0)=EOMONTH($CZ$1,0),Finance!DD$3,0)+IF(EOMONTH(DATE(YEAR(Finance!$CZ$1),MONTH(Finance!$CZ$1),1)+INT((DAY(Finance!$CZ$1)-1)/2)+Finance!DA$4,0)=EOMONTH($CZ$1,0),Finance!DA$3,0)+IF(EOMONTH(DATE(YEAR(Finance!$CW$1),MONTH(Finance!$CW$1),1)+INT((DAY(Finance!$CW$1)-1)/2)+Finance!CX$4,0)=EOMONTH($CZ$1,0),Finance!CX$3,0)+IF(EOMONTH(DATE(YEAR(Finance!$CT$1),MONTH(Finance!$CT$1),1)+INT((DAY(Finance!$CT$1)-1)/2)+Finance!CU$4,0)=EOMONTH($CZ$1,0),Finance!CU$3,0)+IF(EOMONTH(DATE(YEAR(Finance!$CQ$1),MONTH(Finance!$CQ$1),1)+INT((DAY(Finance!$CQ$1)-1)/2)+Finance!CR$4,0)=EOMONTH($CZ$1,0),Finance!CR$3,0)+IF(EOMONTH(DATE(YEAR(Finance!$CN$1),MONTH(Finance!$CN$1),1)+INT((DAY(Finance!$CN$1)-1)/2)+Finance!CO$4,0)=EOMONTH($CZ$1,0),Finance!CO$3,0)+IF(EOMONTH(DATE(YEAR(Finance!$CK$1),MONTH(Finance!$CK$1),1)+INT((DAY(Finance!$CK$1)-1)/2)+Finance!CL$4,0)=EOMONTH($CZ$1,0),Finance!CL$3,0)+IF(EOMONTH(DATE(YEAR(Finance!$CH$1),MONTH(Finance!$CH$1),1)+INT((DAY(Finance!$CH$1)-1)/2)+Finance!CI$4,0)=EOMONTH($CZ$1,0),Finance!CI$3,0)+IF(EOMONTH(DATE(YEAR(Finance!$CE$1),MONTH(Finance!$CE$1),1)+INT((DAY(Finance!$CE$1)-1)/2)+Finance!CF$4,0)=EOMONTH($CZ$1,0),Finance!CF$3,0)+IF(EOMONTH(DATE(YEAR(Finance!$CB$1),MONTH(Finance!$CB$1),1)+INT((DAY(Finance!$CB$1)-1)/2)+Finance!CC$4,0)=EOMONTH($CZ$1,0),Finance!CC$3,0)+IF(EOMONTH(DATE(YEAR(Finance!$BY$1),MONTH(Finance!$BY$1),1)+INT((DAY(Finance!$BY$1)-1)/2)+Finance!BZ$4,0)=EOMONTH($CZ$1,0),Finance!BZ$3,0)+IF(EOMONTH(DATE(YEAR(Finance!$BV$1),MONTH(Finance!$BV$1),1)+INT((DAY(Finance!$BV$1)-1)/2)+Finance!BW$4,0)=EOMONTH($CZ$1,0),Finance!BW$3,0)+IF(EOMONTH(DATE(YEAR(Finance!$BS$1),MONTH(Finance!$BS$1),1)+INT((DAY(Finance!$BS$1)-1)/2)+Finance!BT$4,0)=EOMONTH($CZ$1,0),Finance!BT$3,0)+IF(EOMONTH(DATE(YEAR(Finance!$BP$1),MONTH(Finance!$BP$1),1)+INT((DAY(Finance!$BP$1)-1)/2)+Finance!BQ$4,0)=EOMONTH($CZ$1,0),Finance!BQ$3,0)+IF(EOMONTH(DATE(YEAR(Finance!$BM$1),MONTH(Finance!$BM$1),1)+INT((DAY(Finance!$BM$1)-1)/2)+Finance!BN$4,0)=EOMONTH($CZ$1,0),Finance!BN$3,0)+IF(EOMONTH(DATE(YEAR(Finance!$BJ$1),MONTH(Finance!$BJ$1),1)+INT((DAY(Finance!$BJ$1)-1)/2)+Finance!BK$4,0)=EOMONTH($CZ$1,0),Finance!BK$3,0)+IF(EOMONTH(DATE(YEAR(Finance!$BG$1),MONTH(Finance!$BG$1),1)+INT((DAY(Finance!$BG$1)-1)/2)+Finance!BH$4,0)=EOMONTH($CZ$1,0),Finance!BH$3,0)+IF(EOMONTH(DATE(YEAR(Finance!$BD$1),MONTH(Finance!$BD$1),1)+INT((DAY(Finance!$BD$1)-1)/2)+Finance!BE$4,0)=EOMONTH($CZ$1,0),Finance!BE$3,0)+IF(EOMONTH(DATE(YEAR(Finance!$BA$1),MONTH(Finance!$BA$1),1)+INT((DAY(Finance!$BA$1)-1)/2)+Finance!BB$4,0)=EOMONTH($CZ$1,0),Finance!BB$3,0)+IF(EOMONTH(DATE(YEAR(Finance!$AX$1),MONTH(Finance!$AX$1),1)+INT((DAY(Finance!$AX$1)-1)/2)+Finance!AY$4,0)=EOMONTH($CZ$1,0),Finance!AY$3,0)+IF(EOMONTH(DATE(YEAR(Finance!$AU$1),MONTH(Finance!$AU$1),1)+INT((DAY(Finance!$AU$1)-1)/2)+Finance!AV$4,0)=EOMONTH($CZ$1,0),Finance!AV$3,0)+IF(EOMONTH(DATE(YEAR(Finance!$AR$1),MONTH(Finance!$AR$1),1)+INT((DAY(Finance!$AR$1)-1)/2)+Finance!AS$4,0)=EOMONTH($CZ$1,0),Finance!AS$3,0)+IF(EOMONTH(DATE(YEAR(Finance!$AO$1),MONTH(Finance!$AO$1),1)+INT((DAY(Finance!$AO$1)-1)/2)+Finance!AP$4,0)=EOMONTH($CZ$1,0),Finance!AP$3,0)+IF(EOMONTH(DATE(YEAR(Finance!$AL$1),MONTH(Finance!$AL$1),1)+INT((DAY(Finance!$AL$1)-1)/2)+Finance!AM$4,0)=EOMONTH($CZ$1,0),Finance!AM$3,0)+IF(EOMONTH(DATE(YEAR(Finance!$AI$1),MONTH(Finance!$AI$1),1)+INT((DAY(Finance!$AI$1)-1)/2)+Finance!AJ$4,0)=EOMONTH($CZ$1,0),Finance!AJ$3,0)+IF(EOMONTH(DATE(YEAR(Finance!$AF$1),MONTH(Finance!$AF$1),1)+INT((DAY(Finance!$AF$1)-1)/2)+Finance!AG$4,0)=EOMONTH($CZ$1,0),Finance!AG$3,0)+IF(EOMONTH(DATE(YEAR(Finance!$AC$1),MONTH(Finance!$AC$1),1)+INT((DAY(Finance!$AC$1)-1)/2)+Finance!AD$4,0)=EOMONTH($CZ$1,0),Finance!AD$3,0)+IF(EOMONTH(DATE(YEAR(Finance!$Z$1),MONTH(Finance!$Z$1),1)+INT((DAY(Finance!$Z$1)-1)/2)+Finance!AA$4,0)=EOMONTH($CZ$1,0),Finance!AA$3,0)+IF(EOMONTH(DATE(YEAR(Finance!$W$1),MONTH(Finance!$W$1),1)+INT((DAY(Finance!$W$1)-1)/2)+Finance!X$4,0)=EOMONTH($CZ$1,0),Finance!X$3,0)+IF(EOMONTH(DATE(YEAR(Finance!$T$1),MONTH(Finance!$T$1),1)+INT((DAY(Finance!$T$1)-1)/2)+Finance!U$4,0)=EOMONTH($CZ$1,0),Finance!U$3,0)+IF(EOMONTH(DATE(YEAR(Finance!$Q$1),MONTH(Finance!$Q$1),1)+INT((DAY(Finance!$Q$1)-1)/2)+Finance!R$4,0)=EOMONTH($CZ$1,0),Finance!R$3,0)+IF(EOMONTH(DATE(YEAR(Finance!$N$1),MONTH(Finance!$N$1),1)+INT((DAY(Finance!$N$1)-1)/2)+Finance!O$4,0)=EOMONTH($CZ$1,0),Finance!O$3,0)+IF(EOMONTH(DATE(YEAR(Finance!$K$1),MONTH(Finance!$K$1),1)+INT((DAY(Finance!$K$1)-1)/2)+Finance!L$4,0)=EOMONTH($CZ$1,0),Finance!L$3,0)+IF(EOMONTH('Cash Drivers'!$DL$30+Finance!DM$4,0)=EOMONTH($CZ$1,0),'Cash Drivers'!$DL$35,0),0))</f>
        <v>1125212</v>
      </c>
      <c r="DB5" s="12" t="n">
        <f aca="false">ROUND(IF(EOMONTH(DATE(YEAR(Finance!$DL$1),MONTH(Finance!$DL$1),1)+INT((DAY(Finance!$DL$1)-1)/2)+Finance!DN$4,0)=EOMONTH($CZ$1,0),Finance!DN$3,0)+IF(EOMONTH(DATE(YEAR(Finance!$DI$1),MONTH(Finance!$DI$1),1)+INT((DAY(Finance!$DI$1)-1)/2)+Finance!DK$4,0)=EOMONTH($CZ$1,0),Finance!DK$3,0)+IF(EOMONTH(DATE(YEAR(Finance!$DF$1),MONTH(Finance!$DF$1),1)+INT((DAY(Finance!$DF$1)-1)/2)+Finance!DH$4,0)=EOMONTH($CZ$1,0),Finance!DH$3,0)+IF(EOMONTH(DATE(YEAR(Finance!$DC$1),MONTH(Finance!$DC$1),1)+INT((DAY(Finance!$DC$1)-1)/2)+Finance!DE$4,0)=EOMONTH($CZ$1,0),Finance!DE$3,0)+IF(EOMONTH(DATE(YEAR(Finance!$CZ$1),MONTH(Finance!$CZ$1),1)+INT((DAY(Finance!$CZ$1)-1)/2)+Finance!DB$4,0)=EOMONTH($CZ$1,0),Finance!DB$3,0)+IF(EOMONTH(DATE(YEAR(Finance!$CW$1),MONTH(Finance!$CW$1),1)+INT((DAY(Finance!$CW$1)-1)/2)+Finance!CY$4,0)=EOMONTH($CZ$1,0),Finance!CY$3,0)+IF(EOMONTH(DATE(YEAR(Finance!$CT$1),MONTH(Finance!$CT$1),1)+INT((DAY(Finance!$CT$1)-1)/2)+Finance!CV$4,0)=EOMONTH($CZ$1,0),Finance!CV$3,0)+IF(EOMONTH(DATE(YEAR(Finance!$CQ$1),MONTH(Finance!$CQ$1),1)+INT((DAY(Finance!$CQ$1)-1)/2)+Finance!CS$4,0)=EOMONTH($CZ$1,0),Finance!CS$3,0)+IF(EOMONTH(DATE(YEAR(Finance!$CN$1),MONTH(Finance!$CN$1),1)+INT((DAY(Finance!$CN$1)-1)/2)+Finance!CP$4,0)=EOMONTH($CZ$1,0),Finance!CP$3,0)+IF(EOMONTH(DATE(YEAR(Finance!$CK$1),MONTH(Finance!$CK$1),1)+INT((DAY(Finance!$CK$1)-1)/2)+Finance!CM$4,0)=EOMONTH($CZ$1,0),Finance!CM$3,0)+IF(EOMONTH(DATE(YEAR(Finance!$CH$1),MONTH(Finance!$CH$1),1)+INT((DAY(Finance!$CH$1)-1)/2)+Finance!CJ$4,0)=EOMONTH($CZ$1,0),Finance!CJ$3,0)+IF(EOMONTH(DATE(YEAR(Finance!$CE$1),MONTH(Finance!$CE$1),1)+INT((DAY(Finance!$CE$1)-1)/2)+Finance!CG$4,0)=EOMONTH($CZ$1,0),Finance!CG$3,0)+IF(EOMONTH(DATE(YEAR(Finance!$CB$1),MONTH(Finance!$CB$1),1)+INT((DAY(Finance!$CB$1)-1)/2)+Finance!CD$4,0)=EOMONTH($CZ$1,0),Finance!CD$3,0)+IF(EOMONTH(DATE(YEAR(Finance!$BY$1),MONTH(Finance!$BY$1),1)+INT((DAY(Finance!$BY$1)-1)/2)+Finance!CA$4,0)=EOMONTH($CZ$1,0),Finance!CA$3,0)+IF(EOMONTH(DATE(YEAR(Finance!$BV$1),MONTH(Finance!$BV$1),1)+INT((DAY(Finance!$BV$1)-1)/2)+Finance!BX$4,0)=EOMONTH($CZ$1,0),Finance!BX$3,0)+IF(EOMONTH(DATE(YEAR(Finance!$BS$1),MONTH(Finance!$BS$1),1)+INT((DAY(Finance!$BS$1)-1)/2)+Finance!BU$4,0)=EOMONTH($CZ$1,0),Finance!BU$3,0)+IF(EOMONTH(DATE(YEAR(Finance!$BP$1),MONTH(Finance!$BP$1),1)+INT((DAY(Finance!$BP$1)-1)/2)+Finance!BR$4,0)=EOMONTH($CZ$1,0),Finance!BR$3,0)+IF(EOMONTH(DATE(YEAR(Finance!$BM$1),MONTH(Finance!$BM$1),1)+INT((DAY(Finance!$BM$1)-1)/2)+Finance!BO$4,0)=EOMONTH($CZ$1,0),Finance!BO$3,0)+IF(EOMONTH(DATE(YEAR(Finance!$BJ$1),MONTH(Finance!$BJ$1),1)+INT((DAY(Finance!$BJ$1)-1)/2)+Finance!BL$4,0)=EOMONTH($CZ$1,0),Finance!BL$3,0)+IF(EOMONTH(DATE(YEAR(Finance!$BG$1),MONTH(Finance!$BG$1),1)+INT((DAY(Finance!$BG$1)-1)/2)+Finance!BI$4,0)=EOMONTH($CZ$1,0),Finance!BI$3,0)+IF(EOMONTH(DATE(YEAR(Finance!$BD$1),MONTH(Finance!$BD$1),1)+INT((DAY(Finance!$BD$1)-1)/2)+Finance!BF$4,0)=EOMONTH($CZ$1,0),Finance!BF$3,0)+IF(EOMONTH(DATE(YEAR(Finance!$BA$1),MONTH(Finance!$BA$1),1)+INT((DAY(Finance!$BA$1)-1)/2)+Finance!BC$4,0)=EOMONTH($CZ$1,0),Finance!BC$3,0)+IF(EOMONTH(DATE(YEAR(Finance!$AX$1),MONTH(Finance!$AX$1),1)+INT((DAY(Finance!$AX$1)-1)/2)+Finance!AZ$4,0)=EOMONTH($CZ$1,0),Finance!AZ$3,0)+IF(EOMONTH(DATE(YEAR(Finance!$AU$1),MONTH(Finance!$AU$1),1)+INT((DAY(Finance!$AU$1)-1)/2)+Finance!AW$4,0)=EOMONTH($CZ$1,0),Finance!AW$3,0)+IF(EOMONTH(DATE(YEAR(Finance!$AR$1),MONTH(Finance!$AR$1),1)+INT((DAY(Finance!$AR$1)-1)/2)+Finance!AT$4,0)=EOMONTH($CZ$1,0),Finance!AT$3,0)+IF(EOMONTH(DATE(YEAR(Finance!$AO$1),MONTH(Finance!$AO$1),1)+INT((DAY(Finance!$AO$1)-1)/2)+Finance!AQ$4,0)=EOMONTH($CZ$1,0),Finance!AQ$3,0)+IF(EOMONTH(DATE(YEAR(Finance!$AL$1),MONTH(Finance!$AL$1),1)+INT((DAY(Finance!$AL$1)-1)/2)+Finance!AN$4,0)=EOMONTH($CZ$1,0),Finance!AN$3,0)+IF(EOMONTH(DATE(YEAR(Finance!$AI$1),MONTH(Finance!$AI$1),1)+INT((DAY(Finance!$AI$1)-1)/2)+Finance!AK$4,0)=EOMONTH($CZ$1,0),Finance!AK$3,0)+IF(EOMONTH(DATE(YEAR(Finance!$AF$1),MONTH(Finance!$AF$1),1)+INT((DAY(Finance!$AF$1)-1)/2)+Finance!AH$4,0)=EOMONTH($CZ$1,0),Finance!AH$3,0)+IF(EOMONTH(DATE(YEAR(Finance!$AC$1),MONTH(Finance!$AC$1),1)+INT((DAY(Finance!$AC$1)-1)/2)+Finance!AE$4,0)=EOMONTH($CZ$1,0),Finance!AE$3,0)+IF(EOMONTH(DATE(YEAR(Finance!$Z$1),MONTH(Finance!$Z$1),1)+INT((DAY(Finance!$Z$1)-1)/2)+Finance!AB$4,0)=EOMONTH($CZ$1,0),Finance!AB$3,0)+IF(EOMONTH(DATE(YEAR(Finance!$W$1),MONTH(Finance!$W$1),1)+INT((DAY(Finance!$W$1)-1)/2)+Finance!Y$4,0)=EOMONTH($CZ$1,0),Finance!Y$3,0)+IF(EOMONTH(DATE(YEAR(Finance!$T$1),MONTH(Finance!$T$1),1)+INT((DAY(Finance!$T$1)-1)/2)+Finance!V$4,0)=EOMONTH($CZ$1,0),Finance!V$3,0)+IF(EOMONTH(DATE(YEAR(Finance!$Q$1),MONTH(Finance!$Q$1),1)+INT((DAY(Finance!$Q$1)-1)/2)+Finance!S$4,0)=EOMONTH($CZ$1,0),Finance!S$3,0)+IF(EOMONTH(DATE(YEAR(Finance!$N$1),MONTH(Finance!$N$1),1)+INT((DAY(Finance!$N$1)-1)/2)+Finance!P$4,0)=EOMONTH($CZ$1,0),Finance!P$3,0)+IF(EOMONTH(DATE(YEAR(Finance!$K$1),MONTH(Finance!$K$1),1)+INT((DAY(Finance!$K$1)-1)/2)+Finance!M$4,0)=EOMONTH($CZ$1,0),Finance!M$3,0)+IF(EOMONTH('Cash Drivers'!$DL$30+Finance!DN$4,0)=EOMONTH($CZ$1,0),'Cash Drivers'!$DL$35,0),0)</f>
        <v>1098748</v>
      </c>
      <c r="DC5" s="13"/>
      <c r="DD5" s="13" t="n">
        <f aca="false">IF('Cash Drivers'!DD$26,DC5,ROUND(IF(EOMONTH(DATE(YEAR(Finance!$DL$1),MONTH(Finance!$DL$1),1)+INT((DAY(Finance!$DL$1)-1)/2)+Finance!DM$4,0)=EOMONTH($DC$1,0),Finance!DM$3,0)+IF(EOMONTH(DATE(YEAR(Finance!$DI$1),MONTH(Finance!$DI$1),1)+INT((DAY(Finance!$DI$1)-1)/2)+Finance!DJ$4,0)=EOMONTH($DC$1,0),Finance!DJ$3,0)+IF(EOMONTH(DATE(YEAR(Finance!$DF$1),MONTH(Finance!$DF$1),1)+INT((DAY(Finance!$DF$1)-1)/2)+Finance!DG$4,0)=EOMONTH($DC$1,0),Finance!DG$3,0)+IF(EOMONTH(DATE(YEAR(Finance!$DC$1),MONTH(Finance!$DC$1),1)+INT((DAY(Finance!$DC$1)-1)/2)+Finance!DD$4,0)=EOMONTH($DC$1,0),Finance!DD$3,0)+IF(EOMONTH(DATE(YEAR(Finance!$CZ$1),MONTH(Finance!$CZ$1),1)+INT((DAY(Finance!$CZ$1)-1)/2)+Finance!DA$4,0)=EOMONTH($DC$1,0),Finance!DA$3,0)+IF(EOMONTH(DATE(YEAR(Finance!$CW$1),MONTH(Finance!$CW$1),1)+INT((DAY(Finance!$CW$1)-1)/2)+Finance!CX$4,0)=EOMONTH($DC$1,0),Finance!CX$3,0)+IF(EOMONTH(DATE(YEAR(Finance!$CT$1),MONTH(Finance!$CT$1),1)+INT((DAY(Finance!$CT$1)-1)/2)+Finance!CU$4,0)=EOMONTH($DC$1,0),Finance!CU$3,0)+IF(EOMONTH(DATE(YEAR(Finance!$CQ$1),MONTH(Finance!$CQ$1),1)+INT((DAY(Finance!$CQ$1)-1)/2)+Finance!CR$4,0)=EOMONTH($DC$1,0),Finance!CR$3,0)+IF(EOMONTH(DATE(YEAR(Finance!$CN$1),MONTH(Finance!$CN$1),1)+INT((DAY(Finance!$CN$1)-1)/2)+Finance!CO$4,0)=EOMONTH($DC$1,0),Finance!CO$3,0)+IF(EOMONTH(DATE(YEAR(Finance!$CK$1),MONTH(Finance!$CK$1),1)+INT((DAY(Finance!$CK$1)-1)/2)+Finance!CL$4,0)=EOMONTH($DC$1,0),Finance!CL$3,0)+IF(EOMONTH(DATE(YEAR(Finance!$CH$1),MONTH(Finance!$CH$1),1)+INT((DAY(Finance!$CH$1)-1)/2)+Finance!CI$4,0)=EOMONTH($DC$1,0),Finance!CI$3,0)+IF(EOMONTH(DATE(YEAR(Finance!$CE$1),MONTH(Finance!$CE$1),1)+INT((DAY(Finance!$CE$1)-1)/2)+Finance!CF$4,0)=EOMONTH($DC$1,0),Finance!CF$3,0)+IF(EOMONTH(DATE(YEAR(Finance!$CB$1),MONTH(Finance!$CB$1),1)+INT((DAY(Finance!$CB$1)-1)/2)+Finance!CC$4,0)=EOMONTH($DC$1,0),Finance!CC$3,0)+IF(EOMONTH(DATE(YEAR(Finance!$BY$1),MONTH(Finance!$BY$1),1)+INT((DAY(Finance!$BY$1)-1)/2)+Finance!BZ$4,0)=EOMONTH($DC$1,0),Finance!BZ$3,0)+IF(EOMONTH(DATE(YEAR(Finance!$BV$1),MONTH(Finance!$BV$1),1)+INT((DAY(Finance!$BV$1)-1)/2)+Finance!BW$4,0)=EOMONTH($DC$1,0),Finance!BW$3,0)+IF(EOMONTH(DATE(YEAR(Finance!$BS$1),MONTH(Finance!$BS$1),1)+INT((DAY(Finance!$BS$1)-1)/2)+Finance!BT$4,0)=EOMONTH($DC$1,0),Finance!BT$3,0)+IF(EOMONTH(DATE(YEAR(Finance!$BP$1),MONTH(Finance!$BP$1),1)+INT((DAY(Finance!$BP$1)-1)/2)+Finance!BQ$4,0)=EOMONTH($DC$1,0),Finance!BQ$3,0)+IF(EOMONTH(DATE(YEAR(Finance!$BM$1),MONTH(Finance!$BM$1),1)+INT((DAY(Finance!$BM$1)-1)/2)+Finance!BN$4,0)=EOMONTH($DC$1,0),Finance!BN$3,0)+IF(EOMONTH(DATE(YEAR(Finance!$BJ$1),MONTH(Finance!$BJ$1),1)+INT((DAY(Finance!$BJ$1)-1)/2)+Finance!BK$4,0)=EOMONTH($DC$1,0),Finance!BK$3,0)+IF(EOMONTH(DATE(YEAR(Finance!$BG$1),MONTH(Finance!$BG$1),1)+INT((DAY(Finance!$BG$1)-1)/2)+Finance!BH$4,0)=EOMONTH($DC$1,0),Finance!BH$3,0)+IF(EOMONTH(DATE(YEAR(Finance!$BD$1),MONTH(Finance!$BD$1),1)+INT((DAY(Finance!$BD$1)-1)/2)+Finance!BE$4,0)=EOMONTH($DC$1,0),Finance!BE$3,0)+IF(EOMONTH(DATE(YEAR(Finance!$BA$1),MONTH(Finance!$BA$1),1)+INT((DAY(Finance!$BA$1)-1)/2)+Finance!BB$4,0)=EOMONTH($DC$1,0),Finance!BB$3,0)+IF(EOMONTH(DATE(YEAR(Finance!$AX$1),MONTH(Finance!$AX$1),1)+INT((DAY(Finance!$AX$1)-1)/2)+Finance!AY$4,0)=EOMONTH($DC$1,0),Finance!AY$3,0)+IF(EOMONTH(DATE(YEAR(Finance!$AU$1),MONTH(Finance!$AU$1),1)+INT((DAY(Finance!$AU$1)-1)/2)+Finance!AV$4,0)=EOMONTH($DC$1,0),Finance!AV$3,0)+IF(EOMONTH(DATE(YEAR(Finance!$AR$1),MONTH(Finance!$AR$1),1)+INT((DAY(Finance!$AR$1)-1)/2)+Finance!AS$4,0)=EOMONTH($DC$1,0),Finance!AS$3,0)+IF(EOMONTH(DATE(YEAR(Finance!$AO$1),MONTH(Finance!$AO$1),1)+INT((DAY(Finance!$AO$1)-1)/2)+Finance!AP$4,0)=EOMONTH($DC$1,0),Finance!AP$3,0)+IF(EOMONTH(DATE(YEAR(Finance!$AL$1),MONTH(Finance!$AL$1),1)+INT((DAY(Finance!$AL$1)-1)/2)+Finance!AM$4,0)=EOMONTH($DC$1,0),Finance!AM$3,0)+IF(EOMONTH(DATE(YEAR(Finance!$AI$1),MONTH(Finance!$AI$1),1)+INT((DAY(Finance!$AI$1)-1)/2)+Finance!AJ$4,0)=EOMONTH($DC$1,0),Finance!AJ$3,0)+IF(EOMONTH(DATE(YEAR(Finance!$AF$1),MONTH(Finance!$AF$1),1)+INT((DAY(Finance!$AF$1)-1)/2)+Finance!AG$4,0)=EOMONTH($DC$1,0),Finance!AG$3,0)+IF(EOMONTH(DATE(YEAR(Finance!$AC$1),MONTH(Finance!$AC$1),1)+INT((DAY(Finance!$AC$1)-1)/2)+Finance!AD$4,0)=EOMONTH($DC$1,0),Finance!AD$3,0)+IF(EOMONTH(DATE(YEAR(Finance!$Z$1),MONTH(Finance!$Z$1),1)+INT((DAY(Finance!$Z$1)-1)/2)+Finance!AA$4,0)=EOMONTH($DC$1,0),Finance!AA$3,0)+IF(EOMONTH(DATE(YEAR(Finance!$W$1),MONTH(Finance!$W$1),1)+INT((DAY(Finance!$W$1)-1)/2)+Finance!X$4,0)=EOMONTH($DC$1,0),Finance!X$3,0)+IF(EOMONTH(DATE(YEAR(Finance!$T$1),MONTH(Finance!$T$1),1)+INT((DAY(Finance!$T$1)-1)/2)+Finance!U$4,0)=EOMONTH($DC$1,0),Finance!U$3,0)+IF(EOMONTH(DATE(YEAR(Finance!$Q$1),MONTH(Finance!$Q$1),1)+INT((DAY(Finance!$Q$1)-1)/2)+Finance!R$4,0)=EOMONTH($DC$1,0),Finance!R$3,0)+IF(EOMONTH(DATE(YEAR(Finance!$N$1),MONTH(Finance!$N$1),1)+INT((DAY(Finance!$N$1)-1)/2)+Finance!O$4,0)=EOMONTH($DC$1,0),Finance!O$3,0)+IF(EOMONTH(DATE(YEAR(Finance!$K$1),MONTH(Finance!$K$1),1)+INT((DAY(Finance!$K$1)-1)/2)+Finance!L$4,0)=EOMONTH($DC$1,0),Finance!L$3,0)+IF(EOMONTH('Cash Drivers'!$DL$30+Finance!DM$4,0)=EOMONTH($DC$1,0),'Cash Drivers'!$DL$35,0),0))</f>
        <v>1086062</v>
      </c>
      <c r="DE5" s="13" t="n">
        <f aca="false">ROUND(IF(EOMONTH(DATE(YEAR(Finance!$DL$1),MONTH(Finance!$DL$1),1)+INT((DAY(Finance!$DL$1)-1)/2)+Finance!DN$4,0)=EOMONTH($DC$1,0),Finance!DN$3,0)+IF(EOMONTH(DATE(YEAR(Finance!$DI$1),MONTH(Finance!$DI$1),1)+INT((DAY(Finance!$DI$1)-1)/2)+Finance!DK$4,0)=EOMONTH($DC$1,0),Finance!DK$3,0)+IF(EOMONTH(DATE(YEAR(Finance!$DF$1),MONTH(Finance!$DF$1),1)+INT((DAY(Finance!$DF$1)-1)/2)+Finance!DH$4,0)=EOMONTH($DC$1,0),Finance!DH$3,0)+IF(EOMONTH(DATE(YEAR(Finance!$DC$1),MONTH(Finance!$DC$1),1)+INT((DAY(Finance!$DC$1)-1)/2)+Finance!DE$4,0)=EOMONTH($DC$1,0),Finance!DE$3,0)+IF(EOMONTH(DATE(YEAR(Finance!$CZ$1),MONTH(Finance!$CZ$1),1)+INT((DAY(Finance!$CZ$1)-1)/2)+Finance!DB$4,0)=EOMONTH($DC$1,0),Finance!DB$3,0)+IF(EOMONTH(DATE(YEAR(Finance!$CW$1),MONTH(Finance!$CW$1),1)+INT((DAY(Finance!$CW$1)-1)/2)+Finance!CY$4,0)=EOMONTH($DC$1,0),Finance!CY$3,0)+IF(EOMONTH(DATE(YEAR(Finance!$CT$1),MONTH(Finance!$CT$1),1)+INT((DAY(Finance!$CT$1)-1)/2)+Finance!CV$4,0)=EOMONTH($DC$1,0),Finance!CV$3,0)+IF(EOMONTH(DATE(YEAR(Finance!$CQ$1),MONTH(Finance!$CQ$1),1)+INT((DAY(Finance!$CQ$1)-1)/2)+Finance!CS$4,0)=EOMONTH($DC$1,0),Finance!CS$3,0)+IF(EOMONTH(DATE(YEAR(Finance!$CN$1),MONTH(Finance!$CN$1),1)+INT((DAY(Finance!$CN$1)-1)/2)+Finance!CP$4,0)=EOMONTH($DC$1,0),Finance!CP$3,0)+IF(EOMONTH(DATE(YEAR(Finance!$CK$1),MONTH(Finance!$CK$1),1)+INT((DAY(Finance!$CK$1)-1)/2)+Finance!CM$4,0)=EOMONTH($DC$1,0),Finance!CM$3,0)+IF(EOMONTH(DATE(YEAR(Finance!$CH$1),MONTH(Finance!$CH$1),1)+INT((DAY(Finance!$CH$1)-1)/2)+Finance!CJ$4,0)=EOMONTH($DC$1,0),Finance!CJ$3,0)+IF(EOMONTH(DATE(YEAR(Finance!$CE$1),MONTH(Finance!$CE$1),1)+INT((DAY(Finance!$CE$1)-1)/2)+Finance!CG$4,0)=EOMONTH($DC$1,0),Finance!CG$3,0)+IF(EOMONTH(DATE(YEAR(Finance!$CB$1),MONTH(Finance!$CB$1),1)+INT((DAY(Finance!$CB$1)-1)/2)+Finance!CD$4,0)=EOMONTH($DC$1,0),Finance!CD$3,0)+IF(EOMONTH(DATE(YEAR(Finance!$BY$1),MONTH(Finance!$BY$1),1)+INT((DAY(Finance!$BY$1)-1)/2)+Finance!CA$4,0)=EOMONTH($DC$1,0),Finance!CA$3,0)+IF(EOMONTH(DATE(YEAR(Finance!$BV$1),MONTH(Finance!$BV$1),1)+INT((DAY(Finance!$BV$1)-1)/2)+Finance!BX$4,0)=EOMONTH($DC$1,0),Finance!BX$3,0)+IF(EOMONTH(DATE(YEAR(Finance!$BS$1),MONTH(Finance!$BS$1),1)+INT((DAY(Finance!$BS$1)-1)/2)+Finance!BU$4,0)=EOMONTH($DC$1,0),Finance!BU$3,0)+IF(EOMONTH(DATE(YEAR(Finance!$BP$1),MONTH(Finance!$BP$1),1)+INT((DAY(Finance!$BP$1)-1)/2)+Finance!BR$4,0)=EOMONTH($DC$1,0),Finance!BR$3,0)+IF(EOMONTH(DATE(YEAR(Finance!$BM$1),MONTH(Finance!$BM$1),1)+INT((DAY(Finance!$BM$1)-1)/2)+Finance!BO$4,0)=EOMONTH($DC$1,0),Finance!BO$3,0)+IF(EOMONTH(DATE(YEAR(Finance!$BJ$1),MONTH(Finance!$BJ$1),1)+INT((DAY(Finance!$BJ$1)-1)/2)+Finance!BL$4,0)=EOMONTH($DC$1,0),Finance!BL$3,0)+IF(EOMONTH(DATE(YEAR(Finance!$BG$1),MONTH(Finance!$BG$1),1)+INT((DAY(Finance!$BG$1)-1)/2)+Finance!BI$4,0)=EOMONTH($DC$1,0),Finance!BI$3,0)+IF(EOMONTH(DATE(YEAR(Finance!$BD$1),MONTH(Finance!$BD$1),1)+INT((DAY(Finance!$BD$1)-1)/2)+Finance!BF$4,0)=EOMONTH($DC$1,0),Finance!BF$3,0)+IF(EOMONTH(DATE(YEAR(Finance!$BA$1),MONTH(Finance!$BA$1),1)+INT((DAY(Finance!$BA$1)-1)/2)+Finance!BC$4,0)=EOMONTH($DC$1,0),Finance!BC$3,0)+IF(EOMONTH(DATE(YEAR(Finance!$AX$1),MONTH(Finance!$AX$1),1)+INT((DAY(Finance!$AX$1)-1)/2)+Finance!AZ$4,0)=EOMONTH($DC$1,0),Finance!AZ$3,0)+IF(EOMONTH(DATE(YEAR(Finance!$AU$1),MONTH(Finance!$AU$1),1)+INT((DAY(Finance!$AU$1)-1)/2)+Finance!AW$4,0)=EOMONTH($DC$1,0),Finance!AW$3,0)+IF(EOMONTH(DATE(YEAR(Finance!$AR$1),MONTH(Finance!$AR$1),1)+INT((DAY(Finance!$AR$1)-1)/2)+Finance!AT$4,0)=EOMONTH($DC$1,0),Finance!AT$3,0)+IF(EOMONTH(DATE(YEAR(Finance!$AO$1),MONTH(Finance!$AO$1),1)+INT((DAY(Finance!$AO$1)-1)/2)+Finance!AQ$4,0)=EOMONTH($DC$1,0),Finance!AQ$3,0)+IF(EOMONTH(DATE(YEAR(Finance!$AL$1),MONTH(Finance!$AL$1),1)+INT((DAY(Finance!$AL$1)-1)/2)+Finance!AN$4,0)=EOMONTH($DC$1,0),Finance!AN$3,0)+IF(EOMONTH(DATE(YEAR(Finance!$AI$1),MONTH(Finance!$AI$1),1)+INT((DAY(Finance!$AI$1)-1)/2)+Finance!AK$4,0)=EOMONTH($DC$1,0),Finance!AK$3,0)+IF(EOMONTH(DATE(YEAR(Finance!$AF$1),MONTH(Finance!$AF$1),1)+INT((DAY(Finance!$AF$1)-1)/2)+Finance!AH$4,0)=EOMONTH($DC$1,0),Finance!AH$3,0)+IF(EOMONTH(DATE(YEAR(Finance!$AC$1),MONTH(Finance!$AC$1),1)+INT((DAY(Finance!$AC$1)-1)/2)+Finance!AE$4,0)=EOMONTH($DC$1,0),Finance!AE$3,0)+IF(EOMONTH(DATE(YEAR(Finance!$Z$1),MONTH(Finance!$Z$1),1)+INT((DAY(Finance!$Z$1)-1)/2)+Finance!AB$4,0)=EOMONTH($DC$1,0),Finance!AB$3,0)+IF(EOMONTH(DATE(YEAR(Finance!$W$1),MONTH(Finance!$W$1),1)+INT((DAY(Finance!$W$1)-1)/2)+Finance!Y$4,0)=EOMONTH($DC$1,0),Finance!Y$3,0)+IF(EOMONTH(DATE(YEAR(Finance!$T$1),MONTH(Finance!$T$1),1)+INT((DAY(Finance!$T$1)-1)/2)+Finance!V$4,0)=EOMONTH($DC$1,0),Finance!V$3,0)+IF(EOMONTH(DATE(YEAR(Finance!$Q$1),MONTH(Finance!$Q$1),1)+INT((DAY(Finance!$Q$1)-1)/2)+Finance!S$4,0)=EOMONTH($DC$1,0),Finance!S$3,0)+IF(EOMONTH(DATE(YEAR(Finance!$N$1),MONTH(Finance!$N$1),1)+INT((DAY(Finance!$N$1)-1)/2)+Finance!P$4,0)=EOMONTH($DC$1,0),Finance!P$3,0)+IF(EOMONTH(DATE(YEAR(Finance!$K$1),MONTH(Finance!$K$1),1)+INT((DAY(Finance!$K$1)-1)/2)+Finance!M$4,0)=EOMONTH($DC$1,0),Finance!M$3,0)+IF(EOMONTH('Cash Drivers'!$DL$30+Finance!DN$4,0)=EOMONTH($DC$1,0),'Cash Drivers'!$DL$35,0),0)</f>
        <v>1049966</v>
      </c>
      <c r="DF5" s="12"/>
      <c r="DG5" s="12" t="n">
        <f aca="false">IF('Cash Drivers'!DG$26,DF5,ROUND(IF(EOMONTH(DATE(YEAR(Finance!$DL$1),MONTH(Finance!$DL$1),1)+INT((DAY(Finance!$DL$1)-1)/2)+Finance!DM$4,0)=EOMONTH($DF$1,0),Finance!DM$3,0)+IF(EOMONTH(DATE(YEAR(Finance!$DI$1),MONTH(Finance!$DI$1),1)+INT((DAY(Finance!$DI$1)-1)/2)+Finance!DJ$4,0)=EOMONTH($DF$1,0),Finance!DJ$3,0)+IF(EOMONTH(DATE(YEAR(Finance!$DF$1),MONTH(Finance!$DF$1),1)+INT((DAY(Finance!$DF$1)-1)/2)+Finance!DG$4,0)=EOMONTH($DF$1,0),Finance!DG$3,0)+IF(EOMONTH(DATE(YEAR(Finance!$DC$1),MONTH(Finance!$DC$1),1)+INT((DAY(Finance!$DC$1)-1)/2)+Finance!DD$4,0)=EOMONTH($DF$1,0),Finance!DD$3,0)+IF(EOMONTH(DATE(YEAR(Finance!$CZ$1),MONTH(Finance!$CZ$1),1)+INT((DAY(Finance!$CZ$1)-1)/2)+Finance!DA$4,0)=EOMONTH($DF$1,0),Finance!DA$3,0)+IF(EOMONTH(DATE(YEAR(Finance!$CW$1),MONTH(Finance!$CW$1),1)+INT((DAY(Finance!$CW$1)-1)/2)+Finance!CX$4,0)=EOMONTH($DF$1,0),Finance!CX$3,0)+IF(EOMONTH(DATE(YEAR(Finance!$CT$1),MONTH(Finance!$CT$1),1)+INT((DAY(Finance!$CT$1)-1)/2)+Finance!CU$4,0)=EOMONTH($DF$1,0),Finance!CU$3,0)+IF(EOMONTH(DATE(YEAR(Finance!$CQ$1),MONTH(Finance!$CQ$1),1)+INT((DAY(Finance!$CQ$1)-1)/2)+Finance!CR$4,0)=EOMONTH($DF$1,0),Finance!CR$3,0)+IF(EOMONTH(DATE(YEAR(Finance!$CN$1),MONTH(Finance!$CN$1),1)+INT((DAY(Finance!$CN$1)-1)/2)+Finance!CO$4,0)=EOMONTH($DF$1,0),Finance!CO$3,0)+IF(EOMONTH(DATE(YEAR(Finance!$CK$1),MONTH(Finance!$CK$1),1)+INT((DAY(Finance!$CK$1)-1)/2)+Finance!CL$4,0)=EOMONTH($DF$1,0),Finance!CL$3,0)+IF(EOMONTH(DATE(YEAR(Finance!$CH$1),MONTH(Finance!$CH$1),1)+INT((DAY(Finance!$CH$1)-1)/2)+Finance!CI$4,0)=EOMONTH($DF$1,0),Finance!CI$3,0)+IF(EOMONTH(DATE(YEAR(Finance!$CE$1),MONTH(Finance!$CE$1),1)+INT((DAY(Finance!$CE$1)-1)/2)+Finance!CF$4,0)=EOMONTH($DF$1,0),Finance!CF$3,0)+IF(EOMONTH(DATE(YEAR(Finance!$CB$1),MONTH(Finance!$CB$1),1)+INT((DAY(Finance!$CB$1)-1)/2)+Finance!CC$4,0)=EOMONTH($DF$1,0),Finance!CC$3,0)+IF(EOMONTH(DATE(YEAR(Finance!$BY$1),MONTH(Finance!$BY$1),1)+INT((DAY(Finance!$BY$1)-1)/2)+Finance!BZ$4,0)=EOMONTH($DF$1,0),Finance!BZ$3,0)+IF(EOMONTH(DATE(YEAR(Finance!$BV$1),MONTH(Finance!$BV$1),1)+INT((DAY(Finance!$BV$1)-1)/2)+Finance!BW$4,0)=EOMONTH($DF$1,0),Finance!BW$3,0)+IF(EOMONTH(DATE(YEAR(Finance!$BS$1),MONTH(Finance!$BS$1),1)+INT((DAY(Finance!$BS$1)-1)/2)+Finance!BT$4,0)=EOMONTH($DF$1,0),Finance!BT$3,0)+IF(EOMONTH(DATE(YEAR(Finance!$BP$1),MONTH(Finance!$BP$1),1)+INT((DAY(Finance!$BP$1)-1)/2)+Finance!BQ$4,0)=EOMONTH($DF$1,0),Finance!BQ$3,0)+IF(EOMONTH(DATE(YEAR(Finance!$BM$1),MONTH(Finance!$BM$1),1)+INT((DAY(Finance!$BM$1)-1)/2)+Finance!BN$4,0)=EOMONTH($DF$1,0),Finance!BN$3,0)+IF(EOMONTH(DATE(YEAR(Finance!$BJ$1),MONTH(Finance!$BJ$1),1)+INT((DAY(Finance!$BJ$1)-1)/2)+Finance!BK$4,0)=EOMONTH($DF$1,0),Finance!BK$3,0)+IF(EOMONTH(DATE(YEAR(Finance!$BG$1),MONTH(Finance!$BG$1),1)+INT((DAY(Finance!$BG$1)-1)/2)+Finance!BH$4,0)=EOMONTH($DF$1,0),Finance!BH$3,0)+IF(EOMONTH(DATE(YEAR(Finance!$BD$1),MONTH(Finance!$BD$1),1)+INT((DAY(Finance!$BD$1)-1)/2)+Finance!BE$4,0)=EOMONTH($DF$1,0),Finance!BE$3,0)+IF(EOMONTH(DATE(YEAR(Finance!$BA$1),MONTH(Finance!$BA$1),1)+INT((DAY(Finance!$BA$1)-1)/2)+Finance!BB$4,0)=EOMONTH($DF$1,0),Finance!BB$3,0)+IF(EOMONTH(DATE(YEAR(Finance!$AX$1),MONTH(Finance!$AX$1),1)+INT((DAY(Finance!$AX$1)-1)/2)+Finance!AY$4,0)=EOMONTH($DF$1,0),Finance!AY$3,0)+IF(EOMONTH(DATE(YEAR(Finance!$AU$1),MONTH(Finance!$AU$1),1)+INT((DAY(Finance!$AU$1)-1)/2)+Finance!AV$4,0)=EOMONTH($DF$1,0),Finance!AV$3,0)+IF(EOMONTH(DATE(YEAR(Finance!$AR$1),MONTH(Finance!$AR$1),1)+INT((DAY(Finance!$AR$1)-1)/2)+Finance!AS$4,0)=EOMONTH($DF$1,0),Finance!AS$3,0)+IF(EOMONTH(DATE(YEAR(Finance!$AO$1),MONTH(Finance!$AO$1),1)+INT((DAY(Finance!$AO$1)-1)/2)+Finance!AP$4,0)=EOMONTH($DF$1,0),Finance!AP$3,0)+IF(EOMONTH(DATE(YEAR(Finance!$AL$1),MONTH(Finance!$AL$1),1)+INT((DAY(Finance!$AL$1)-1)/2)+Finance!AM$4,0)=EOMONTH($DF$1,0),Finance!AM$3,0)+IF(EOMONTH(DATE(YEAR(Finance!$AI$1),MONTH(Finance!$AI$1),1)+INT((DAY(Finance!$AI$1)-1)/2)+Finance!AJ$4,0)=EOMONTH($DF$1,0),Finance!AJ$3,0)+IF(EOMONTH(DATE(YEAR(Finance!$AF$1),MONTH(Finance!$AF$1),1)+INT((DAY(Finance!$AF$1)-1)/2)+Finance!AG$4,0)=EOMONTH($DF$1,0),Finance!AG$3,0)+IF(EOMONTH(DATE(YEAR(Finance!$AC$1),MONTH(Finance!$AC$1),1)+INT((DAY(Finance!$AC$1)-1)/2)+Finance!AD$4,0)=EOMONTH($DF$1,0),Finance!AD$3,0)+IF(EOMONTH(DATE(YEAR(Finance!$Z$1),MONTH(Finance!$Z$1),1)+INT((DAY(Finance!$Z$1)-1)/2)+Finance!AA$4,0)=EOMONTH($DF$1,0),Finance!AA$3,0)+IF(EOMONTH(DATE(YEAR(Finance!$W$1),MONTH(Finance!$W$1),1)+INT((DAY(Finance!$W$1)-1)/2)+Finance!X$4,0)=EOMONTH($DF$1,0),Finance!X$3,0)+IF(EOMONTH(DATE(YEAR(Finance!$T$1),MONTH(Finance!$T$1),1)+INT((DAY(Finance!$T$1)-1)/2)+Finance!U$4,0)=EOMONTH($DF$1,0),Finance!U$3,0)+IF(EOMONTH(DATE(YEAR(Finance!$Q$1),MONTH(Finance!$Q$1),1)+INT((DAY(Finance!$Q$1)-1)/2)+Finance!R$4,0)=EOMONTH($DF$1,0),Finance!R$3,0)+IF(EOMONTH(DATE(YEAR(Finance!$N$1),MONTH(Finance!$N$1),1)+INT((DAY(Finance!$N$1)-1)/2)+Finance!O$4,0)=EOMONTH($DF$1,0),Finance!O$3,0)+IF(EOMONTH(DATE(YEAR(Finance!$K$1),MONTH(Finance!$K$1),1)+INT((DAY(Finance!$K$1)-1)/2)+Finance!L$4,0)=EOMONTH($DF$1,0),Finance!L$3,0)+IF(EOMONTH('Cash Drivers'!$DL$30+Finance!DM$4,0)=EOMONTH($DF$1,0),'Cash Drivers'!$DL$35,0),0))</f>
        <v>2033575</v>
      </c>
      <c r="DH5" s="12" t="n">
        <f aca="false">ROUND(IF(EOMONTH(DATE(YEAR(Finance!$DL$1),MONTH(Finance!$DL$1),1)+INT((DAY(Finance!$DL$1)-1)/2)+Finance!DN$4,0)=EOMONTH($DF$1,0),Finance!DN$3,0)+IF(EOMONTH(DATE(YEAR(Finance!$DI$1),MONTH(Finance!$DI$1),1)+INT((DAY(Finance!$DI$1)-1)/2)+Finance!DK$4,0)=EOMONTH($DF$1,0),Finance!DK$3,0)+IF(EOMONTH(DATE(YEAR(Finance!$DF$1),MONTH(Finance!$DF$1),1)+INT((DAY(Finance!$DF$1)-1)/2)+Finance!DH$4,0)=EOMONTH($DF$1,0),Finance!DH$3,0)+IF(EOMONTH(DATE(YEAR(Finance!$DC$1),MONTH(Finance!$DC$1),1)+INT((DAY(Finance!$DC$1)-1)/2)+Finance!DE$4,0)=EOMONTH($DF$1,0),Finance!DE$3,0)+IF(EOMONTH(DATE(YEAR(Finance!$CZ$1),MONTH(Finance!$CZ$1),1)+INT((DAY(Finance!$CZ$1)-1)/2)+Finance!DB$4,0)=EOMONTH($DF$1,0),Finance!DB$3,0)+IF(EOMONTH(DATE(YEAR(Finance!$CW$1),MONTH(Finance!$CW$1),1)+INT((DAY(Finance!$CW$1)-1)/2)+Finance!CY$4,0)=EOMONTH($DF$1,0),Finance!CY$3,0)+IF(EOMONTH(DATE(YEAR(Finance!$CT$1),MONTH(Finance!$CT$1),1)+INT((DAY(Finance!$CT$1)-1)/2)+Finance!CV$4,0)=EOMONTH($DF$1,0),Finance!CV$3,0)+IF(EOMONTH(DATE(YEAR(Finance!$CQ$1),MONTH(Finance!$CQ$1),1)+INT((DAY(Finance!$CQ$1)-1)/2)+Finance!CS$4,0)=EOMONTH($DF$1,0),Finance!CS$3,0)+IF(EOMONTH(DATE(YEAR(Finance!$CN$1),MONTH(Finance!$CN$1),1)+INT((DAY(Finance!$CN$1)-1)/2)+Finance!CP$4,0)=EOMONTH($DF$1,0),Finance!CP$3,0)+IF(EOMONTH(DATE(YEAR(Finance!$CK$1),MONTH(Finance!$CK$1),1)+INT((DAY(Finance!$CK$1)-1)/2)+Finance!CM$4,0)=EOMONTH($DF$1,0),Finance!CM$3,0)+IF(EOMONTH(DATE(YEAR(Finance!$CH$1),MONTH(Finance!$CH$1),1)+INT((DAY(Finance!$CH$1)-1)/2)+Finance!CJ$4,0)=EOMONTH($DF$1,0),Finance!CJ$3,0)+IF(EOMONTH(DATE(YEAR(Finance!$CE$1),MONTH(Finance!$CE$1),1)+INT((DAY(Finance!$CE$1)-1)/2)+Finance!CG$4,0)=EOMONTH($DF$1,0),Finance!CG$3,0)+IF(EOMONTH(DATE(YEAR(Finance!$CB$1),MONTH(Finance!$CB$1),1)+INT((DAY(Finance!$CB$1)-1)/2)+Finance!CD$4,0)=EOMONTH($DF$1,0),Finance!CD$3,0)+IF(EOMONTH(DATE(YEAR(Finance!$BY$1),MONTH(Finance!$BY$1),1)+INT((DAY(Finance!$BY$1)-1)/2)+Finance!CA$4,0)=EOMONTH($DF$1,0),Finance!CA$3,0)+IF(EOMONTH(DATE(YEAR(Finance!$BV$1),MONTH(Finance!$BV$1),1)+INT((DAY(Finance!$BV$1)-1)/2)+Finance!BX$4,0)=EOMONTH($DF$1,0),Finance!BX$3,0)+IF(EOMONTH(DATE(YEAR(Finance!$BS$1),MONTH(Finance!$BS$1),1)+INT((DAY(Finance!$BS$1)-1)/2)+Finance!BU$4,0)=EOMONTH($DF$1,0),Finance!BU$3,0)+IF(EOMONTH(DATE(YEAR(Finance!$BP$1),MONTH(Finance!$BP$1),1)+INT((DAY(Finance!$BP$1)-1)/2)+Finance!BR$4,0)=EOMONTH($DF$1,0),Finance!BR$3,0)+IF(EOMONTH(DATE(YEAR(Finance!$BM$1),MONTH(Finance!$BM$1),1)+INT((DAY(Finance!$BM$1)-1)/2)+Finance!BO$4,0)=EOMONTH($DF$1,0),Finance!BO$3,0)+IF(EOMONTH(DATE(YEAR(Finance!$BJ$1),MONTH(Finance!$BJ$1),1)+INT((DAY(Finance!$BJ$1)-1)/2)+Finance!BL$4,0)=EOMONTH($DF$1,0),Finance!BL$3,0)+IF(EOMONTH(DATE(YEAR(Finance!$BG$1),MONTH(Finance!$BG$1),1)+INT((DAY(Finance!$BG$1)-1)/2)+Finance!BI$4,0)=EOMONTH($DF$1,0),Finance!BI$3,0)+IF(EOMONTH(DATE(YEAR(Finance!$BD$1),MONTH(Finance!$BD$1),1)+INT((DAY(Finance!$BD$1)-1)/2)+Finance!BF$4,0)=EOMONTH($DF$1,0),Finance!BF$3,0)+IF(EOMONTH(DATE(YEAR(Finance!$BA$1),MONTH(Finance!$BA$1),1)+INT((DAY(Finance!$BA$1)-1)/2)+Finance!BC$4,0)=EOMONTH($DF$1,0),Finance!BC$3,0)+IF(EOMONTH(DATE(YEAR(Finance!$AX$1),MONTH(Finance!$AX$1),1)+INT((DAY(Finance!$AX$1)-1)/2)+Finance!AZ$4,0)=EOMONTH($DF$1,0),Finance!AZ$3,0)+IF(EOMONTH(DATE(YEAR(Finance!$AU$1),MONTH(Finance!$AU$1),1)+INT((DAY(Finance!$AU$1)-1)/2)+Finance!AW$4,0)=EOMONTH($DF$1,0),Finance!AW$3,0)+IF(EOMONTH(DATE(YEAR(Finance!$AR$1),MONTH(Finance!$AR$1),1)+INT((DAY(Finance!$AR$1)-1)/2)+Finance!AT$4,0)=EOMONTH($DF$1,0),Finance!AT$3,0)+IF(EOMONTH(DATE(YEAR(Finance!$AO$1),MONTH(Finance!$AO$1),1)+INT((DAY(Finance!$AO$1)-1)/2)+Finance!AQ$4,0)=EOMONTH($DF$1,0),Finance!AQ$3,0)+IF(EOMONTH(DATE(YEAR(Finance!$AL$1),MONTH(Finance!$AL$1),1)+INT((DAY(Finance!$AL$1)-1)/2)+Finance!AN$4,0)=EOMONTH($DF$1,0),Finance!AN$3,0)+IF(EOMONTH(DATE(YEAR(Finance!$AI$1),MONTH(Finance!$AI$1),1)+INT((DAY(Finance!$AI$1)-1)/2)+Finance!AK$4,0)=EOMONTH($DF$1,0),Finance!AK$3,0)+IF(EOMONTH(DATE(YEAR(Finance!$AF$1),MONTH(Finance!$AF$1),1)+INT((DAY(Finance!$AF$1)-1)/2)+Finance!AH$4,0)=EOMONTH($DF$1,0),Finance!AH$3,0)+IF(EOMONTH(DATE(YEAR(Finance!$AC$1),MONTH(Finance!$AC$1),1)+INT((DAY(Finance!$AC$1)-1)/2)+Finance!AE$4,0)=EOMONTH($DF$1,0),Finance!AE$3,0)+IF(EOMONTH(DATE(YEAR(Finance!$Z$1),MONTH(Finance!$Z$1),1)+INT((DAY(Finance!$Z$1)-1)/2)+Finance!AB$4,0)=EOMONTH($DF$1,0),Finance!AB$3,0)+IF(EOMONTH(DATE(YEAR(Finance!$W$1),MONTH(Finance!$W$1),1)+INT((DAY(Finance!$W$1)-1)/2)+Finance!Y$4,0)=EOMONTH($DF$1,0),Finance!Y$3,0)+IF(EOMONTH(DATE(YEAR(Finance!$T$1),MONTH(Finance!$T$1),1)+INT((DAY(Finance!$T$1)-1)/2)+Finance!V$4,0)=EOMONTH($DF$1,0),Finance!V$3,0)+IF(EOMONTH(DATE(YEAR(Finance!$Q$1),MONTH(Finance!$Q$1),1)+INT((DAY(Finance!$Q$1)-1)/2)+Finance!S$4,0)=EOMONTH($DF$1,0),Finance!S$3,0)+IF(EOMONTH(DATE(YEAR(Finance!$N$1),MONTH(Finance!$N$1),1)+INT((DAY(Finance!$N$1)-1)/2)+Finance!P$4,0)=EOMONTH($DF$1,0),Finance!P$3,0)+IF(EOMONTH(DATE(YEAR(Finance!$K$1),MONTH(Finance!$K$1),1)+INT((DAY(Finance!$K$1)-1)/2)+Finance!M$4,0)=EOMONTH($DF$1,0),Finance!M$3,0)+IF(EOMONTH('Cash Drivers'!$DL$30+Finance!DN$4,0)=EOMONTH($DF$1,0),'Cash Drivers'!$DL$35,0),0)</f>
        <v>1997538</v>
      </c>
      <c r="DI5" s="13" t="n">
        <f aca="false">IF(COUNT(Summary!DI7,Finance!DL3)=2,Summary!DI7*(1-MIN(1,DI4/30))+Finance!DL3*MIN(1,DI4/30),"")</f>
        <v>1021542</v>
      </c>
      <c r="DJ5" s="13" t="n">
        <f aca="false">IF('Cash Drivers'!DJ$26,DI5,ROUND(IF(EOMONTH(DATE(YEAR(Finance!$DL$1),MONTH(Finance!$DL$1),1)+INT((DAY(Finance!$DL$1)-1)/2)+Finance!DM$4,0)=EOMONTH($DI$1,0),Finance!DM$3,0)+IF(EOMONTH(DATE(YEAR(Finance!$DI$1),MONTH(Finance!$DI$1),1)+INT((DAY(Finance!$DI$1)-1)/2)+Finance!DJ$4,0)=EOMONTH($DI$1,0),Finance!DJ$3,0)+IF(EOMONTH(DATE(YEAR(Finance!$DF$1),MONTH(Finance!$DF$1),1)+INT((DAY(Finance!$DF$1)-1)/2)+Finance!DG$4,0)=EOMONTH($DI$1,0),Finance!DG$3,0)+IF(EOMONTH(DATE(YEAR(Finance!$DC$1),MONTH(Finance!$DC$1),1)+INT((DAY(Finance!$DC$1)-1)/2)+Finance!DD$4,0)=EOMONTH($DI$1,0),Finance!DD$3,0)+IF(EOMONTH(DATE(YEAR(Finance!$CZ$1),MONTH(Finance!$CZ$1),1)+INT((DAY(Finance!$CZ$1)-1)/2)+Finance!DA$4,0)=EOMONTH($DI$1,0),Finance!DA$3,0)+IF(EOMONTH(DATE(YEAR(Finance!$CW$1),MONTH(Finance!$CW$1),1)+INT((DAY(Finance!$CW$1)-1)/2)+Finance!CX$4,0)=EOMONTH($DI$1,0),Finance!CX$3,0)+IF(EOMONTH(DATE(YEAR(Finance!$CT$1),MONTH(Finance!$CT$1),1)+INT((DAY(Finance!$CT$1)-1)/2)+Finance!CU$4,0)=EOMONTH($DI$1,0),Finance!CU$3,0)+IF(EOMONTH(DATE(YEAR(Finance!$CQ$1),MONTH(Finance!$CQ$1),1)+INT((DAY(Finance!$CQ$1)-1)/2)+Finance!CR$4,0)=EOMONTH($DI$1,0),Finance!CR$3,0)+IF(EOMONTH(DATE(YEAR(Finance!$CN$1),MONTH(Finance!$CN$1),1)+INT((DAY(Finance!$CN$1)-1)/2)+Finance!CO$4,0)=EOMONTH($DI$1,0),Finance!CO$3,0)+IF(EOMONTH(DATE(YEAR(Finance!$CK$1),MONTH(Finance!$CK$1),1)+INT((DAY(Finance!$CK$1)-1)/2)+Finance!CL$4,0)=EOMONTH($DI$1,0),Finance!CL$3,0)+IF(EOMONTH(DATE(YEAR(Finance!$CH$1),MONTH(Finance!$CH$1),1)+INT((DAY(Finance!$CH$1)-1)/2)+Finance!CI$4,0)=EOMONTH($DI$1,0),Finance!CI$3,0)+IF(EOMONTH(DATE(YEAR(Finance!$CE$1),MONTH(Finance!$CE$1),1)+INT((DAY(Finance!$CE$1)-1)/2)+Finance!CF$4,0)=EOMONTH($DI$1,0),Finance!CF$3,0)+IF(EOMONTH(DATE(YEAR(Finance!$CB$1),MONTH(Finance!$CB$1),1)+INT((DAY(Finance!$CB$1)-1)/2)+Finance!CC$4,0)=EOMONTH($DI$1,0),Finance!CC$3,0)+IF(EOMONTH(DATE(YEAR(Finance!$BY$1),MONTH(Finance!$BY$1),1)+INT((DAY(Finance!$BY$1)-1)/2)+Finance!BZ$4,0)=EOMONTH($DI$1,0),Finance!BZ$3,0)+IF(EOMONTH(DATE(YEAR(Finance!$BV$1),MONTH(Finance!$BV$1),1)+INT((DAY(Finance!$BV$1)-1)/2)+Finance!BW$4,0)=EOMONTH($DI$1,0),Finance!BW$3,0)+IF(EOMONTH(DATE(YEAR(Finance!$BS$1),MONTH(Finance!$BS$1),1)+INT((DAY(Finance!$BS$1)-1)/2)+Finance!BT$4,0)=EOMONTH($DI$1,0),Finance!BT$3,0)+IF(EOMONTH(DATE(YEAR(Finance!$BP$1),MONTH(Finance!$BP$1),1)+INT((DAY(Finance!$BP$1)-1)/2)+Finance!BQ$4,0)=EOMONTH($DI$1,0),Finance!BQ$3,0)+IF(EOMONTH(DATE(YEAR(Finance!$BM$1),MONTH(Finance!$BM$1),1)+INT((DAY(Finance!$BM$1)-1)/2)+Finance!BN$4,0)=EOMONTH($DI$1,0),Finance!BN$3,0)+IF(EOMONTH(DATE(YEAR(Finance!$BJ$1),MONTH(Finance!$BJ$1),1)+INT((DAY(Finance!$BJ$1)-1)/2)+Finance!BK$4,0)=EOMONTH($DI$1,0),Finance!BK$3,0)+IF(EOMONTH(DATE(YEAR(Finance!$BG$1),MONTH(Finance!$BG$1),1)+INT((DAY(Finance!$BG$1)-1)/2)+Finance!BH$4,0)=EOMONTH($DI$1,0),Finance!BH$3,0)+IF(EOMONTH(DATE(YEAR(Finance!$BD$1),MONTH(Finance!$BD$1),1)+INT((DAY(Finance!$BD$1)-1)/2)+Finance!BE$4,0)=EOMONTH($DI$1,0),Finance!BE$3,0)+IF(EOMONTH(DATE(YEAR(Finance!$BA$1),MONTH(Finance!$BA$1),1)+INT((DAY(Finance!$BA$1)-1)/2)+Finance!BB$4,0)=EOMONTH($DI$1,0),Finance!BB$3,0)+IF(EOMONTH(DATE(YEAR(Finance!$AX$1),MONTH(Finance!$AX$1),1)+INT((DAY(Finance!$AX$1)-1)/2)+Finance!AY$4,0)=EOMONTH($DI$1,0),Finance!AY$3,0)+IF(EOMONTH(DATE(YEAR(Finance!$AU$1),MONTH(Finance!$AU$1),1)+INT((DAY(Finance!$AU$1)-1)/2)+Finance!AV$4,0)=EOMONTH($DI$1,0),Finance!AV$3,0)+IF(EOMONTH(DATE(YEAR(Finance!$AR$1),MONTH(Finance!$AR$1),1)+INT((DAY(Finance!$AR$1)-1)/2)+Finance!AS$4,0)=EOMONTH($DI$1,0),Finance!AS$3,0)+IF(EOMONTH(DATE(YEAR(Finance!$AO$1),MONTH(Finance!$AO$1),1)+INT((DAY(Finance!$AO$1)-1)/2)+Finance!AP$4,0)=EOMONTH($DI$1,0),Finance!AP$3,0)+IF(EOMONTH(DATE(YEAR(Finance!$AL$1),MONTH(Finance!$AL$1),1)+INT((DAY(Finance!$AL$1)-1)/2)+Finance!AM$4,0)=EOMONTH($DI$1,0),Finance!AM$3,0)+IF(EOMONTH(DATE(YEAR(Finance!$AI$1),MONTH(Finance!$AI$1),1)+INT((DAY(Finance!$AI$1)-1)/2)+Finance!AJ$4,0)=EOMONTH($DI$1,0),Finance!AJ$3,0)+IF(EOMONTH(DATE(YEAR(Finance!$AF$1),MONTH(Finance!$AF$1),1)+INT((DAY(Finance!$AF$1)-1)/2)+Finance!AG$4,0)=EOMONTH($DI$1,0),Finance!AG$3,0)+IF(EOMONTH(DATE(YEAR(Finance!$AC$1),MONTH(Finance!$AC$1),1)+INT((DAY(Finance!$AC$1)-1)/2)+Finance!AD$4,0)=EOMONTH($DI$1,0),Finance!AD$3,0)+IF(EOMONTH(DATE(YEAR(Finance!$Z$1),MONTH(Finance!$Z$1),1)+INT((DAY(Finance!$Z$1)-1)/2)+Finance!AA$4,0)=EOMONTH($DI$1,0),Finance!AA$3,0)+IF(EOMONTH(DATE(YEAR(Finance!$W$1),MONTH(Finance!$W$1),1)+INT((DAY(Finance!$W$1)-1)/2)+Finance!X$4,0)=EOMONTH($DI$1,0),Finance!X$3,0)+IF(EOMONTH(DATE(YEAR(Finance!$T$1),MONTH(Finance!$T$1),1)+INT((DAY(Finance!$T$1)-1)/2)+Finance!U$4,0)=EOMONTH($DI$1,0),Finance!U$3,0)+IF(EOMONTH(DATE(YEAR(Finance!$Q$1),MONTH(Finance!$Q$1),1)+INT((DAY(Finance!$Q$1)-1)/2)+Finance!R$4,0)=EOMONTH($DI$1,0),Finance!R$3,0)+IF(EOMONTH(DATE(YEAR(Finance!$N$1),MONTH(Finance!$N$1),1)+INT((DAY(Finance!$N$1)-1)/2)+Finance!O$4,0)=EOMONTH($DI$1,0),Finance!O$3,0)+IF(EOMONTH(DATE(YEAR(Finance!$K$1),MONTH(Finance!$K$1),1)+INT((DAY(Finance!$K$1)-1)/2)+Finance!L$4,0)=EOMONTH($DI$1,0),Finance!L$3,0)+IF(EOMONTH('Cash Drivers'!$DL$30+Finance!DM$4,0)=EOMONTH($DI$1,0),'Cash Drivers'!$DL$35,0),0))</f>
        <v>1021542</v>
      </c>
      <c r="DK5" s="13" t="n">
        <f aca="false">ROUND(IF(EOMONTH(DATE(YEAR(Finance!$DL$1),MONTH(Finance!$DL$1),1)+INT((DAY(Finance!$DL$1)-1)/2)+Finance!DN$4,0)=EOMONTH($DI$1,0),Finance!DN$3,0)+IF(EOMONTH(DATE(YEAR(Finance!$DI$1),MONTH(Finance!$DI$1),1)+INT((DAY(Finance!$DI$1)-1)/2)+Finance!DK$4,0)=EOMONTH($DI$1,0),Finance!DK$3,0)+IF(EOMONTH(DATE(YEAR(Finance!$DF$1),MONTH(Finance!$DF$1),1)+INT((DAY(Finance!$DF$1)-1)/2)+Finance!DH$4,0)=EOMONTH($DI$1,0),Finance!DH$3,0)+IF(EOMONTH(DATE(YEAR(Finance!$DC$1),MONTH(Finance!$DC$1),1)+INT((DAY(Finance!$DC$1)-1)/2)+Finance!DE$4,0)=EOMONTH($DI$1,0),Finance!DE$3,0)+IF(EOMONTH(DATE(YEAR(Finance!$CZ$1),MONTH(Finance!$CZ$1),1)+INT((DAY(Finance!$CZ$1)-1)/2)+Finance!DB$4,0)=EOMONTH($DI$1,0),Finance!DB$3,0)+IF(EOMONTH(DATE(YEAR(Finance!$CW$1),MONTH(Finance!$CW$1),1)+INT((DAY(Finance!$CW$1)-1)/2)+Finance!CY$4,0)=EOMONTH($DI$1,0),Finance!CY$3,0)+IF(EOMONTH(DATE(YEAR(Finance!$CT$1),MONTH(Finance!$CT$1),1)+INT((DAY(Finance!$CT$1)-1)/2)+Finance!CV$4,0)=EOMONTH($DI$1,0),Finance!CV$3,0)+IF(EOMONTH(DATE(YEAR(Finance!$CQ$1),MONTH(Finance!$CQ$1),1)+INT((DAY(Finance!$CQ$1)-1)/2)+Finance!CS$4,0)=EOMONTH($DI$1,0),Finance!CS$3,0)+IF(EOMONTH(DATE(YEAR(Finance!$CN$1),MONTH(Finance!$CN$1),1)+INT((DAY(Finance!$CN$1)-1)/2)+Finance!CP$4,0)=EOMONTH($DI$1,0),Finance!CP$3,0)+IF(EOMONTH(DATE(YEAR(Finance!$CK$1),MONTH(Finance!$CK$1),1)+INT((DAY(Finance!$CK$1)-1)/2)+Finance!CM$4,0)=EOMONTH($DI$1,0),Finance!CM$3,0)+IF(EOMONTH(DATE(YEAR(Finance!$CH$1),MONTH(Finance!$CH$1),1)+INT((DAY(Finance!$CH$1)-1)/2)+Finance!CJ$4,0)=EOMONTH($DI$1,0),Finance!CJ$3,0)+IF(EOMONTH(DATE(YEAR(Finance!$CE$1),MONTH(Finance!$CE$1),1)+INT((DAY(Finance!$CE$1)-1)/2)+Finance!CG$4,0)=EOMONTH($DI$1,0),Finance!CG$3,0)+IF(EOMONTH(DATE(YEAR(Finance!$CB$1),MONTH(Finance!$CB$1),1)+INT((DAY(Finance!$CB$1)-1)/2)+Finance!CD$4,0)=EOMONTH($DI$1,0),Finance!CD$3,0)+IF(EOMONTH(DATE(YEAR(Finance!$BY$1),MONTH(Finance!$BY$1),1)+INT((DAY(Finance!$BY$1)-1)/2)+Finance!CA$4,0)=EOMONTH($DI$1,0),Finance!CA$3,0)+IF(EOMONTH(DATE(YEAR(Finance!$BV$1),MONTH(Finance!$BV$1),1)+INT((DAY(Finance!$BV$1)-1)/2)+Finance!BX$4,0)=EOMONTH($DI$1,0),Finance!BX$3,0)+IF(EOMONTH(DATE(YEAR(Finance!$BS$1),MONTH(Finance!$BS$1),1)+INT((DAY(Finance!$BS$1)-1)/2)+Finance!BU$4,0)=EOMONTH($DI$1,0),Finance!BU$3,0)+IF(EOMONTH(DATE(YEAR(Finance!$BP$1),MONTH(Finance!$BP$1),1)+INT((DAY(Finance!$BP$1)-1)/2)+Finance!BR$4,0)=EOMONTH($DI$1,0),Finance!BR$3,0)+IF(EOMONTH(DATE(YEAR(Finance!$BM$1),MONTH(Finance!$BM$1),1)+INT((DAY(Finance!$BM$1)-1)/2)+Finance!BO$4,0)=EOMONTH($DI$1,0),Finance!BO$3,0)+IF(EOMONTH(DATE(YEAR(Finance!$BJ$1),MONTH(Finance!$BJ$1),1)+INT((DAY(Finance!$BJ$1)-1)/2)+Finance!BL$4,0)=EOMONTH($DI$1,0),Finance!BL$3,0)+IF(EOMONTH(DATE(YEAR(Finance!$BG$1),MONTH(Finance!$BG$1),1)+INT((DAY(Finance!$BG$1)-1)/2)+Finance!BI$4,0)=EOMONTH($DI$1,0),Finance!BI$3,0)+IF(EOMONTH(DATE(YEAR(Finance!$BD$1),MONTH(Finance!$BD$1),1)+INT((DAY(Finance!$BD$1)-1)/2)+Finance!BF$4,0)=EOMONTH($DI$1,0),Finance!BF$3,0)+IF(EOMONTH(DATE(YEAR(Finance!$BA$1),MONTH(Finance!$BA$1),1)+INT((DAY(Finance!$BA$1)-1)/2)+Finance!BC$4,0)=EOMONTH($DI$1,0),Finance!BC$3,0)+IF(EOMONTH(DATE(YEAR(Finance!$AX$1),MONTH(Finance!$AX$1),1)+INT((DAY(Finance!$AX$1)-1)/2)+Finance!AZ$4,0)=EOMONTH($DI$1,0),Finance!AZ$3,0)+IF(EOMONTH(DATE(YEAR(Finance!$AU$1),MONTH(Finance!$AU$1),1)+INT((DAY(Finance!$AU$1)-1)/2)+Finance!AW$4,0)=EOMONTH($DI$1,0),Finance!AW$3,0)+IF(EOMONTH(DATE(YEAR(Finance!$AR$1),MONTH(Finance!$AR$1),1)+INT((DAY(Finance!$AR$1)-1)/2)+Finance!AT$4,0)=EOMONTH($DI$1,0),Finance!AT$3,0)+IF(EOMONTH(DATE(YEAR(Finance!$AO$1),MONTH(Finance!$AO$1),1)+INT((DAY(Finance!$AO$1)-1)/2)+Finance!AQ$4,0)=EOMONTH($DI$1,0),Finance!AQ$3,0)+IF(EOMONTH(DATE(YEAR(Finance!$AL$1),MONTH(Finance!$AL$1),1)+INT((DAY(Finance!$AL$1)-1)/2)+Finance!AN$4,0)=EOMONTH($DI$1,0),Finance!AN$3,0)+IF(EOMONTH(DATE(YEAR(Finance!$AI$1),MONTH(Finance!$AI$1),1)+INT((DAY(Finance!$AI$1)-1)/2)+Finance!AK$4,0)=EOMONTH($DI$1,0),Finance!AK$3,0)+IF(EOMONTH(DATE(YEAR(Finance!$AF$1),MONTH(Finance!$AF$1),1)+INT((DAY(Finance!$AF$1)-1)/2)+Finance!AH$4,0)=EOMONTH($DI$1,0),Finance!AH$3,0)+IF(EOMONTH(DATE(YEAR(Finance!$AC$1),MONTH(Finance!$AC$1),1)+INT((DAY(Finance!$AC$1)-1)/2)+Finance!AE$4,0)=EOMONTH($DI$1,0),Finance!AE$3,0)+IF(EOMONTH(DATE(YEAR(Finance!$Z$1),MONTH(Finance!$Z$1),1)+INT((DAY(Finance!$Z$1)-1)/2)+Finance!AB$4,0)=EOMONTH($DI$1,0),Finance!AB$3,0)+IF(EOMONTH(DATE(YEAR(Finance!$W$1),MONTH(Finance!$W$1),1)+INT((DAY(Finance!$W$1)-1)/2)+Finance!Y$4,0)=EOMONTH($DI$1,0),Finance!Y$3,0)+IF(EOMONTH(DATE(YEAR(Finance!$T$1),MONTH(Finance!$T$1),1)+INT((DAY(Finance!$T$1)-1)/2)+Finance!V$4,0)=EOMONTH($DI$1,0),Finance!V$3,0)+IF(EOMONTH(DATE(YEAR(Finance!$Q$1),MONTH(Finance!$Q$1),1)+INT((DAY(Finance!$Q$1)-1)/2)+Finance!S$4,0)=EOMONTH($DI$1,0),Finance!S$3,0)+IF(EOMONTH(DATE(YEAR(Finance!$N$1),MONTH(Finance!$N$1),1)+INT((DAY(Finance!$N$1)-1)/2)+Finance!P$4,0)=EOMONTH($DI$1,0),Finance!P$3,0)+IF(EOMONTH(DATE(YEAR(Finance!$K$1),MONTH(Finance!$K$1),1)+INT((DAY(Finance!$K$1)-1)/2)+Finance!M$4,0)=EOMONTH($DI$1,0),Finance!M$3,0)+IF(EOMONTH('Cash Drivers'!$DL$30+Finance!DN$4,0)=EOMONTH($DI$1,0),'Cash Drivers'!$DL$35,0),0)</f>
        <v>998742</v>
      </c>
      <c r="DL5" s="12" t="n">
        <f aca="false">IF(COUNT(Summary!DL7,Finance!$DL$63)=2,Summary!DL7*(1-MIN(1,DL4/30))+Finance!$DL$63*MIN(1,DL4/30),"")</f>
        <v>996000</v>
      </c>
      <c r="DM5" s="12" t="n">
        <f aca="false">IF('Cash Drivers'!DM$26,DL5,ROUND(IF(EOMONTH(DATE(YEAR(Finance!$DL$1),MONTH(Finance!$DL$1),1)+INT((DAY(Finance!$DL$1)-1)/2)+Finance!DM$4,0)=EOMONTH($DL$1,0),Finance!DM$3,0)+IF(EOMONTH(DATE(YEAR(Finance!$DI$1),MONTH(Finance!$DI$1),1)+INT((DAY(Finance!$DI$1)-1)/2)+Finance!DJ$4,0)=EOMONTH($DL$1,0),Finance!DJ$3,0)+IF(EOMONTH(DATE(YEAR(Finance!$DF$1),MONTH(Finance!$DF$1),1)+INT((DAY(Finance!$DF$1)-1)/2)+Finance!DG$4,0)=EOMONTH($DL$1,0),Finance!DG$3,0)+IF(EOMONTH(DATE(YEAR(Finance!$DC$1),MONTH(Finance!$DC$1),1)+INT((DAY(Finance!$DC$1)-1)/2)+Finance!DD$4,0)=EOMONTH($DL$1,0),Finance!DD$3,0)+IF(EOMONTH(DATE(YEAR(Finance!$CZ$1),MONTH(Finance!$CZ$1),1)+INT((DAY(Finance!$CZ$1)-1)/2)+Finance!DA$4,0)=EOMONTH($DL$1,0),Finance!DA$3,0)+IF(EOMONTH(DATE(YEAR(Finance!$CW$1),MONTH(Finance!$CW$1),1)+INT((DAY(Finance!$CW$1)-1)/2)+Finance!CX$4,0)=EOMONTH($DL$1,0),Finance!CX$3,0)+IF(EOMONTH(DATE(YEAR(Finance!$CT$1),MONTH(Finance!$CT$1),1)+INT((DAY(Finance!$CT$1)-1)/2)+Finance!CU$4,0)=EOMONTH($DL$1,0),Finance!CU$3,0)+IF(EOMONTH(DATE(YEAR(Finance!$CQ$1),MONTH(Finance!$CQ$1),1)+INT((DAY(Finance!$CQ$1)-1)/2)+Finance!CR$4,0)=EOMONTH($DL$1,0),Finance!CR$3,0)+IF(EOMONTH(DATE(YEAR(Finance!$CN$1),MONTH(Finance!$CN$1),1)+INT((DAY(Finance!$CN$1)-1)/2)+Finance!CO$4,0)=EOMONTH($DL$1,0),Finance!CO$3,0)+IF(EOMONTH(DATE(YEAR(Finance!$CK$1),MONTH(Finance!$CK$1),1)+INT((DAY(Finance!$CK$1)-1)/2)+Finance!CL$4,0)=EOMONTH($DL$1,0),Finance!CL$3,0)+IF(EOMONTH(DATE(YEAR(Finance!$CH$1),MONTH(Finance!$CH$1),1)+INT((DAY(Finance!$CH$1)-1)/2)+Finance!CI$4,0)=EOMONTH($DL$1,0),Finance!CI$3,0)+IF(EOMONTH(DATE(YEAR(Finance!$CE$1),MONTH(Finance!$CE$1),1)+INT((DAY(Finance!$CE$1)-1)/2)+Finance!CF$4,0)=EOMONTH($DL$1,0),Finance!CF$3,0)+IF(EOMONTH(DATE(YEAR(Finance!$CB$1),MONTH(Finance!$CB$1),1)+INT((DAY(Finance!$CB$1)-1)/2)+Finance!CC$4,0)=EOMONTH($DL$1,0),Finance!CC$3,0)+IF(EOMONTH(DATE(YEAR(Finance!$BY$1),MONTH(Finance!$BY$1),1)+INT((DAY(Finance!$BY$1)-1)/2)+Finance!BZ$4,0)=EOMONTH($DL$1,0),Finance!BZ$3,0)+IF(EOMONTH(DATE(YEAR(Finance!$BV$1),MONTH(Finance!$BV$1),1)+INT((DAY(Finance!$BV$1)-1)/2)+Finance!BW$4,0)=EOMONTH($DL$1,0),Finance!BW$3,0)+IF(EOMONTH(DATE(YEAR(Finance!$BS$1),MONTH(Finance!$BS$1),1)+INT((DAY(Finance!$BS$1)-1)/2)+Finance!BT$4,0)=EOMONTH($DL$1,0),Finance!BT$3,0)+IF(EOMONTH(DATE(YEAR(Finance!$BP$1),MONTH(Finance!$BP$1),1)+INT((DAY(Finance!$BP$1)-1)/2)+Finance!BQ$4,0)=EOMONTH($DL$1,0),Finance!BQ$3,0)+IF(EOMONTH(DATE(YEAR(Finance!$BM$1),MONTH(Finance!$BM$1),1)+INT((DAY(Finance!$BM$1)-1)/2)+Finance!BN$4,0)=EOMONTH($DL$1,0),Finance!BN$3,0)+IF(EOMONTH(DATE(YEAR(Finance!$BJ$1),MONTH(Finance!$BJ$1),1)+INT((DAY(Finance!$BJ$1)-1)/2)+Finance!BK$4,0)=EOMONTH($DL$1,0),Finance!BK$3,0)+IF(EOMONTH(DATE(YEAR(Finance!$BG$1),MONTH(Finance!$BG$1),1)+INT((DAY(Finance!$BG$1)-1)/2)+Finance!BH$4,0)=EOMONTH($DL$1,0),Finance!BH$3,0)+IF(EOMONTH(DATE(YEAR(Finance!$BD$1),MONTH(Finance!$BD$1),1)+INT((DAY(Finance!$BD$1)-1)/2)+Finance!BE$4,0)=EOMONTH($DL$1,0),Finance!BE$3,0)+IF(EOMONTH(DATE(YEAR(Finance!$BA$1),MONTH(Finance!$BA$1),1)+INT((DAY(Finance!$BA$1)-1)/2)+Finance!BB$4,0)=EOMONTH($DL$1,0),Finance!BB$3,0)+IF(EOMONTH(DATE(YEAR(Finance!$AX$1),MONTH(Finance!$AX$1),1)+INT((DAY(Finance!$AX$1)-1)/2)+Finance!AY$4,0)=EOMONTH($DL$1,0),Finance!AY$3,0)+IF(EOMONTH(DATE(YEAR(Finance!$AU$1),MONTH(Finance!$AU$1),1)+INT((DAY(Finance!$AU$1)-1)/2)+Finance!AV$4,0)=EOMONTH($DL$1,0),Finance!AV$3,0)+IF(EOMONTH(DATE(YEAR(Finance!$AR$1),MONTH(Finance!$AR$1),1)+INT((DAY(Finance!$AR$1)-1)/2)+Finance!AS$4,0)=EOMONTH($DL$1,0),Finance!AS$3,0)+IF(EOMONTH(DATE(YEAR(Finance!$AO$1),MONTH(Finance!$AO$1),1)+INT((DAY(Finance!$AO$1)-1)/2)+Finance!AP$4,0)=EOMONTH($DL$1,0),Finance!AP$3,0)+IF(EOMONTH(DATE(YEAR(Finance!$AL$1),MONTH(Finance!$AL$1),1)+INT((DAY(Finance!$AL$1)-1)/2)+Finance!AM$4,0)=EOMONTH($DL$1,0),Finance!AM$3,0)+IF(EOMONTH(DATE(YEAR(Finance!$AI$1),MONTH(Finance!$AI$1),1)+INT((DAY(Finance!$AI$1)-1)/2)+Finance!AJ$4,0)=EOMONTH($DL$1,0),Finance!AJ$3,0)+IF(EOMONTH(DATE(YEAR(Finance!$AF$1),MONTH(Finance!$AF$1),1)+INT((DAY(Finance!$AF$1)-1)/2)+Finance!AG$4,0)=EOMONTH($DL$1,0),Finance!AG$3,0)+IF(EOMONTH(DATE(YEAR(Finance!$AC$1),MONTH(Finance!$AC$1),1)+INT((DAY(Finance!$AC$1)-1)/2)+Finance!AD$4,0)=EOMONTH($DL$1,0),Finance!AD$3,0)+IF(EOMONTH(DATE(YEAR(Finance!$Z$1),MONTH(Finance!$Z$1),1)+INT((DAY(Finance!$Z$1)-1)/2)+Finance!AA$4,0)=EOMONTH($DL$1,0),Finance!AA$3,0)+IF(EOMONTH(DATE(YEAR(Finance!$W$1),MONTH(Finance!$W$1),1)+INT((DAY(Finance!$W$1)-1)/2)+Finance!X$4,0)=EOMONTH($DL$1,0),Finance!X$3,0)+IF(EOMONTH(DATE(YEAR(Finance!$T$1),MONTH(Finance!$T$1),1)+INT((DAY(Finance!$T$1)-1)/2)+Finance!U$4,0)=EOMONTH($DL$1,0),Finance!U$3,0)+IF(EOMONTH(DATE(YEAR(Finance!$Q$1),MONTH(Finance!$Q$1),1)+INT((DAY(Finance!$Q$1)-1)/2)+Finance!R$4,0)=EOMONTH($DL$1,0),Finance!R$3,0)+IF(EOMONTH(DATE(YEAR(Finance!$N$1),MONTH(Finance!$N$1),1)+INT((DAY(Finance!$N$1)-1)/2)+Finance!O$4,0)=EOMONTH($DL$1,0),Finance!O$3,0)+IF(EOMONTH(DATE(YEAR(Finance!$K$1),MONTH(Finance!$K$1),1)+INT((DAY(Finance!$K$1)-1)/2)+Finance!L$4,0)=EOMONTH($DL$1,0),Finance!L$3,0)+IF(EOMONTH('Cash Drivers'!$DL$30+Finance!DM$4,0)=EOMONTH($DL$1,0),'Cash Drivers'!$DL$35,0),0))</f>
        <v>996000</v>
      </c>
      <c r="DN5" s="12" t="n">
        <f aca="false">ROUND(IF(EOMONTH(DATE(YEAR(Finance!$DL$1),MONTH(Finance!$DL$1),1)+INT((DAY(Finance!$DL$1)-1)/2)+Finance!DN$4,0)=EOMONTH($DL$1,0),Finance!DN$3,0)+IF(EOMONTH(DATE(YEAR(Finance!$DI$1),MONTH(Finance!$DI$1),1)+INT((DAY(Finance!$DI$1)-1)/2)+Finance!DK$4,0)=EOMONTH($DL$1,0),Finance!DK$3,0)+IF(EOMONTH(DATE(YEAR(Finance!$DF$1),MONTH(Finance!$DF$1),1)+INT((DAY(Finance!$DF$1)-1)/2)+Finance!DH$4,0)=EOMONTH($DL$1,0),Finance!DH$3,0)+IF(EOMONTH(DATE(YEAR(Finance!$DC$1),MONTH(Finance!$DC$1),1)+INT((DAY(Finance!$DC$1)-1)/2)+Finance!DE$4,0)=EOMONTH($DL$1,0),Finance!DE$3,0)+IF(EOMONTH(DATE(YEAR(Finance!$CZ$1),MONTH(Finance!$CZ$1),1)+INT((DAY(Finance!$CZ$1)-1)/2)+Finance!DB$4,0)=EOMONTH($DL$1,0),Finance!DB$3,0)+IF(EOMONTH(DATE(YEAR(Finance!$CW$1),MONTH(Finance!$CW$1),1)+INT((DAY(Finance!$CW$1)-1)/2)+Finance!CY$4,0)=EOMONTH($DL$1,0),Finance!CY$3,0)+IF(EOMONTH(DATE(YEAR(Finance!$CT$1),MONTH(Finance!$CT$1),1)+INT((DAY(Finance!$CT$1)-1)/2)+Finance!CV$4,0)=EOMONTH($DL$1,0),Finance!CV$3,0)+IF(EOMONTH(DATE(YEAR(Finance!$CQ$1),MONTH(Finance!$CQ$1),1)+INT((DAY(Finance!$CQ$1)-1)/2)+Finance!CS$4,0)=EOMONTH($DL$1,0),Finance!CS$3,0)+IF(EOMONTH(DATE(YEAR(Finance!$CN$1),MONTH(Finance!$CN$1),1)+INT((DAY(Finance!$CN$1)-1)/2)+Finance!CP$4,0)=EOMONTH($DL$1,0),Finance!CP$3,0)+IF(EOMONTH(DATE(YEAR(Finance!$CK$1),MONTH(Finance!$CK$1),1)+INT((DAY(Finance!$CK$1)-1)/2)+Finance!CM$4,0)=EOMONTH($DL$1,0),Finance!CM$3,0)+IF(EOMONTH(DATE(YEAR(Finance!$CH$1),MONTH(Finance!$CH$1),1)+INT((DAY(Finance!$CH$1)-1)/2)+Finance!CJ$4,0)=EOMONTH($DL$1,0),Finance!CJ$3,0)+IF(EOMONTH(DATE(YEAR(Finance!$CE$1),MONTH(Finance!$CE$1),1)+INT((DAY(Finance!$CE$1)-1)/2)+Finance!CG$4,0)=EOMONTH($DL$1,0),Finance!CG$3,0)+IF(EOMONTH(DATE(YEAR(Finance!$CB$1),MONTH(Finance!$CB$1),1)+INT((DAY(Finance!$CB$1)-1)/2)+Finance!CD$4,0)=EOMONTH($DL$1,0),Finance!CD$3,0)+IF(EOMONTH(DATE(YEAR(Finance!$BY$1),MONTH(Finance!$BY$1),1)+INT((DAY(Finance!$BY$1)-1)/2)+Finance!CA$4,0)=EOMONTH($DL$1,0),Finance!CA$3,0)+IF(EOMONTH(DATE(YEAR(Finance!$BV$1),MONTH(Finance!$BV$1),1)+INT((DAY(Finance!$BV$1)-1)/2)+Finance!BX$4,0)=EOMONTH($DL$1,0),Finance!BX$3,0)+IF(EOMONTH(DATE(YEAR(Finance!$BS$1),MONTH(Finance!$BS$1),1)+INT((DAY(Finance!$BS$1)-1)/2)+Finance!BU$4,0)=EOMONTH($DL$1,0),Finance!BU$3,0)+IF(EOMONTH(DATE(YEAR(Finance!$BP$1),MONTH(Finance!$BP$1),1)+INT((DAY(Finance!$BP$1)-1)/2)+Finance!BR$4,0)=EOMONTH($DL$1,0),Finance!BR$3,0)+IF(EOMONTH(DATE(YEAR(Finance!$BM$1),MONTH(Finance!$BM$1),1)+INT((DAY(Finance!$BM$1)-1)/2)+Finance!BO$4,0)=EOMONTH($DL$1,0),Finance!BO$3,0)+IF(EOMONTH(DATE(YEAR(Finance!$BJ$1),MONTH(Finance!$BJ$1),1)+INT((DAY(Finance!$BJ$1)-1)/2)+Finance!BL$4,0)=EOMONTH($DL$1,0),Finance!BL$3,0)+IF(EOMONTH(DATE(YEAR(Finance!$BG$1),MONTH(Finance!$BG$1),1)+INT((DAY(Finance!$BG$1)-1)/2)+Finance!BI$4,0)=EOMONTH($DL$1,0),Finance!BI$3,0)+IF(EOMONTH(DATE(YEAR(Finance!$BD$1),MONTH(Finance!$BD$1),1)+INT((DAY(Finance!$BD$1)-1)/2)+Finance!BF$4,0)=EOMONTH($DL$1,0),Finance!BF$3,0)+IF(EOMONTH(DATE(YEAR(Finance!$BA$1),MONTH(Finance!$BA$1),1)+INT((DAY(Finance!$BA$1)-1)/2)+Finance!BC$4,0)=EOMONTH($DL$1,0),Finance!BC$3,0)+IF(EOMONTH(DATE(YEAR(Finance!$AX$1),MONTH(Finance!$AX$1),1)+INT((DAY(Finance!$AX$1)-1)/2)+Finance!AZ$4,0)=EOMONTH($DL$1,0),Finance!AZ$3,0)+IF(EOMONTH(DATE(YEAR(Finance!$AU$1),MONTH(Finance!$AU$1),1)+INT((DAY(Finance!$AU$1)-1)/2)+Finance!AW$4,0)=EOMONTH($DL$1,0),Finance!AW$3,0)+IF(EOMONTH(DATE(YEAR(Finance!$AR$1),MONTH(Finance!$AR$1),1)+INT((DAY(Finance!$AR$1)-1)/2)+Finance!AT$4,0)=EOMONTH($DL$1,0),Finance!AT$3,0)+IF(EOMONTH(DATE(YEAR(Finance!$AO$1),MONTH(Finance!$AO$1),1)+INT((DAY(Finance!$AO$1)-1)/2)+Finance!AQ$4,0)=EOMONTH($DL$1,0),Finance!AQ$3,0)+IF(EOMONTH(DATE(YEAR(Finance!$AL$1),MONTH(Finance!$AL$1),1)+INT((DAY(Finance!$AL$1)-1)/2)+Finance!AN$4,0)=EOMONTH($DL$1,0),Finance!AN$3,0)+IF(EOMONTH(DATE(YEAR(Finance!$AI$1),MONTH(Finance!$AI$1),1)+INT((DAY(Finance!$AI$1)-1)/2)+Finance!AK$4,0)=EOMONTH($DL$1,0),Finance!AK$3,0)+IF(EOMONTH(DATE(YEAR(Finance!$AF$1),MONTH(Finance!$AF$1),1)+INT((DAY(Finance!$AF$1)-1)/2)+Finance!AH$4,0)=EOMONTH($DL$1,0),Finance!AH$3,0)+IF(EOMONTH(DATE(YEAR(Finance!$AC$1),MONTH(Finance!$AC$1),1)+INT((DAY(Finance!$AC$1)-1)/2)+Finance!AE$4,0)=EOMONTH($DL$1,0),Finance!AE$3,0)+IF(EOMONTH(DATE(YEAR(Finance!$Z$1),MONTH(Finance!$Z$1),1)+INT((DAY(Finance!$Z$1)-1)/2)+Finance!AB$4,0)=EOMONTH($DL$1,0),Finance!AB$3,0)+IF(EOMONTH(DATE(YEAR(Finance!$W$1),MONTH(Finance!$W$1),1)+INT((DAY(Finance!$W$1)-1)/2)+Finance!Y$4,0)=EOMONTH($DL$1,0),Finance!Y$3,0)+IF(EOMONTH(DATE(YEAR(Finance!$T$1),MONTH(Finance!$T$1),1)+INT((DAY(Finance!$T$1)-1)/2)+Finance!V$4,0)=EOMONTH($DL$1,0),Finance!V$3,0)+IF(EOMONTH(DATE(YEAR(Finance!$Q$1),MONTH(Finance!$Q$1),1)+INT((DAY(Finance!$Q$1)-1)/2)+Finance!S$4,0)=EOMONTH($DL$1,0),Finance!S$3,0)+IF(EOMONTH(DATE(YEAR(Finance!$N$1),MONTH(Finance!$N$1),1)+INT((DAY(Finance!$N$1)-1)/2)+Finance!P$4,0)=EOMONTH($DL$1,0),Finance!P$3,0)+IF(EOMONTH(DATE(YEAR(Finance!$K$1),MONTH(Finance!$K$1),1)+INT((DAY(Finance!$K$1)-1)/2)+Finance!M$4,0)=EOMONTH($DL$1,0),Finance!M$3,0)+IF(EOMONTH('Cash Drivers'!$DL$30+Finance!DN$4,0)=EOMONTH($DL$1,0),'Cash Drivers'!$DL$35,0),0)</f>
        <v>0</v>
      </c>
    </row>
    <row r="6" customFormat="false" ht="15" hidden="false" customHeight="false" outlineLevel="0" collapsed="false">
      <c r="A6" s="5" t="s">
        <v>275</v>
      </c>
      <c r="B6" s="12" t="str">
        <f aca="false">IF(K6&lt;&gt;"",K6,IF(N6&lt;&gt;"",N6,IF(Q6&lt;&gt;"",Q6,IF(T6&lt;&gt;"",T6,IF(W6&lt;&gt;"",W6,IF(Z6&lt;&gt;"",Z6,IF(AC6&lt;&gt;"",AC6,IF(AF6&lt;&gt;"",AF6,IF(AI6&lt;&gt;"",AI6,IF(AL6&lt;&gt;"",AL6,IF(AO6&lt;&gt;"",AO6,IF(AR6&lt;&gt;"",AR6,""))))))))))))</f>
        <v/>
      </c>
      <c r="C6" s="12" t="n">
        <f aca="false">IF(L6&lt;&gt;"",L6,IF(O6&lt;&gt;"",O6,IF(R6&lt;&gt;"",R6,IF(U6&lt;&gt;"",U6,IF(X6&lt;&gt;"",X6,IF(AA6&lt;&gt;"",AA6,IF(AD6&lt;&gt;"",AD6,IF(AG6&lt;&gt;"",AG6,IF(AJ6&lt;&gt;"",AJ6,IF(AM6&lt;&gt;"",AM6,IF(AP6&lt;&gt;"",AP6,IF(AS6&lt;&gt;"",AS6,""))))))))))))</f>
        <v>9509935.88082831</v>
      </c>
      <c r="D6" s="12" t="n">
        <f aca="false">IF(M6&lt;&gt;"",M6,IF(P6&lt;&gt;"",P6,IF(S6&lt;&gt;"",S6,IF(V6&lt;&gt;"",V6,IF(Y6&lt;&gt;"",Y6,IF(AB6&lt;&gt;"",AB6,IF(AE6&lt;&gt;"",AE6,IF(AH6&lt;&gt;"",AH6,IF(AK6&lt;&gt;"",AK6,IF(AN6&lt;&gt;"",AN6,IF(AQ6&lt;&gt;"",AQ6,IF(AT6&lt;&gt;"",AT6,""))))))))))))</f>
        <v>7859609.093</v>
      </c>
      <c r="E6" s="13" t="str">
        <f aca="false">IF(AU6&lt;&gt;"",AU6,IF(AX6&lt;&gt;"",AX6,IF(BA6&lt;&gt;"",BA6,IF(BD6&lt;&gt;"",BD6,IF(BG6&lt;&gt;"",BG6,IF(BJ6&lt;&gt;"",BJ6,IF(BM6&lt;&gt;"",BM6,IF(BP6&lt;&gt;"",BP6,IF(BS6&lt;&gt;"",BS6,IF(BV6&lt;&gt;"",BV6,IF(BY6&lt;&gt;"",BY6,IF(CB6&lt;&gt;"",CB6,""))))))))))))</f>
        <v/>
      </c>
      <c r="F6" s="13" t="n">
        <f aca="false">IF(AV6&lt;&gt;"",AV6,IF(AY6&lt;&gt;"",AY6,IF(BB6&lt;&gt;"",BB6,IF(BE6&lt;&gt;"",BE6,IF(BH6&lt;&gt;"",BH6,IF(BK6&lt;&gt;"",BK6,IF(BN6&lt;&gt;"",BN6,IF(BQ6&lt;&gt;"",BQ6,IF(BT6&lt;&gt;"",BT6,IF(BW6&lt;&gt;"",BW6,IF(BZ6&lt;&gt;"",BZ6,IF(CC6&lt;&gt;"",CC6,""))))))))))))</f>
        <v>5048120.20947486</v>
      </c>
      <c r="G6" s="13" t="n">
        <f aca="false">IF(AW6&lt;&gt;"",AW6,IF(AZ6&lt;&gt;"",AZ6,IF(BC6&lt;&gt;"",BC6,IF(BF6&lt;&gt;"",BF6,IF(BI6&lt;&gt;"",BI6,IF(BL6&lt;&gt;"",BL6,IF(BO6&lt;&gt;"",BO6,IF(BR6&lt;&gt;"",BR6,IF(BU6&lt;&gt;"",BU6,IF(BX6&lt;&gt;"",BX6,IF(CA6&lt;&gt;"",CA6,IF(CD6&lt;&gt;"",CD6,""))))))))))))</f>
        <v>3625889.966</v>
      </c>
      <c r="H6" s="12" t="n">
        <f aca="false">IF(CE6&lt;&gt;"",CE6,IF(CH6&lt;&gt;"",CH6,IF(CK6&lt;&gt;"",CK6,IF(CN6&lt;&gt;"",CN6,IF(CQ6&lt;&gt;"",CQ6,IF(CT6&lt;&gt;"",CT6,IF(CW6&lt;&gt;"",CW6,IF(CZ6&lt;&gt;"",CZ6,IF(DC6&lt;&gt;"",DC6,IF(DF6&lt;&gt;"",DF6,IF(DI6&lt;&gt;"",DI6,IF(DL6&lt;&gt;"",DL6,""))))))))))))</f>
        <v>1177985.02637105</v>
      </c>
      <c r="I6" s="12" t="n">
        <f aca="false">IF(CF6&lt;&gt;"",CF6,IF(CI6&lt;&gt;"",CI6,IF(CL6&lt;&gt;"",CL6,IF(CO6&lt;&gt;"",CO6,IF(CR6&lt;&gt;"",CR6,IF(CU6&lt;&gt;"",CU6,IF(CX6&lt;&gt;"",CX6,IF(DA6&lt;&gt;"",DA6,IF(DD6&lt;&gt;"",DD6,IF(DG6&lt;&gt;"",DG6,IF(DJ6&lt;&gt;"",DJ6,IF(DM6&lt;&gt;"",DM6,""))))))))))))</f>
        <v>2889583.45646386</v>
      </c>
      <c r="J6" s="12" t="n">
        <f aca="false">IF(CG6&lt;&gt;"",CG6,IF(CJ6&lt;&gt;"",CJ6,IF(CM6&lt;&gt;"",CM6,IF(CP6&lt;&gt;"",CP6,IF(CS6&lt;&gt;"",CS6,IF(CV6&lt;&gt;"",CV6,IF(CY6&lt;&gt;"",CY6,IF(DB6&lt;&gt;"",DB6,IF(DE6&lt;&gt;"",DE6,IF(DH6&lt;&gt;"",DH6,IF(DK6&lt;&gt;"",DK6,IF(DN6&lt;&gt;"",DN6,""))))))))))))</f>
        <v>1697474.456</v>
      </c>
      <c r="K6" s="13" t="str">
        <f aca="false">IF(COUNT(Finance!N11)=1,Finance!N11,"")</f>
        <v/>
      </c>
      <c r="L6" s="13" t="n">
        <f aca="false">Finance!O11</f>
        <v>9509935.88082831</v>
      </c>
      <c r="M6" s="13" t="n">
        <f aca="false">Finance!P11</f>
        <v>7859609.093</v>
      </c>
      <c r="N6" s="12" t="str">
        <f aca="false">IF(COUNT(Finance!Q11)=1,Finance!Q11,"")</f>
        <v/>
      </c>
      <c r="O6" s="12" t="n">
        <f aca="false">Finance!R11</f>
        <v>8944852.11387681</v>
      </c>
      <c r="P6" s="12" t="n">
        <f aca="false">Finance!S11</f>
        <v>7313395.74</v>
      </c>
      <c r="Q6" s="13" t="str">
        <f aca="false">IF(COUNT(Finance!T11)=1,Finance!T11,"")</f>
        <v/>
      </c>
      <c r="R6" s="13" t="n">
        <f aca="false">Finance!U11</f>
        <v>8419625.17402727</v>
      </c>
      <c r="S6" s="13" t="n">
        <f aca="false">Finance!V11</f>
        <v>6807063.488</v>
      </c>
      <c r="T6" s="12" t="str">
        <f aca="false">IF(COUNT(Finance!W11)=1,Finance!W11,"")</f>
        <v/>
      </c>
      <c r="U6" s="12" t="n">
        <f aca="false">Finance!X11</f>
        <v>7933936.78608056</v>
      </c>
      <c r="V6" s="12" t="n">
        <f aca="false">Finance!Y11</f>
        <v>6340294.132</v>
      </c>
      <c r="W6" s="13" t="str">
        <f aca="false">IF(COUNT(Finance!Z11)=1,Finance!Z11,"")</f>
        <v/>
      </c>
      <c r="X6" s="13" t="n">
        <f aca="false">Finance!AA11</f>
        <v>7487470.40944179</v>
      </c>
      <c r="Y6" s="13" t="n">
        <f aca="false">Finance!AB11</f>
        <v>5912770.203</v>
      </c>
      <c r="Z6" s="12" t="str">
        <f aca="false">IF(COUNT(Finance!AC11)=1,Finance!AC11,"")</f>
        <v/>
      </c>
      <c r="AA6" s="12" t="n">
        <f aca="false">Finance!AD11</f>
        <v>7088307.38889065</v>
      </c>
      <c r="AB6" s="12" t="n">
        <f aca="false">Finance!AE11</f>
        <v>5532573.938</v>
      </c>
      <c r="AC6" s="13" t="str">
        <f aca="false">IF(COUNT(Finance!AF11)=1,Finance!AF11,"")</f>
        <v/>
      </c>
      <c r="AD6" s="13" t="n">
        <f aca="false">Finance!AG11</f>
        <v>6708444.18551765</v>
      </c>
      <c r="AE6" s="13" t="n">
        <f aca="false">Finance!AH11</f>
        <v>5171700.866</v>
      </c>
      <c r="AF6" s="12" t="str">
        <f aca="false">IF(COUNT(Finance!AI11)=1,Finance!AI11,"")</f>
        <v/>
      </c>
      <c r="AG6" s="12" t="n">
        <f aca="false">Finance!AJ11</f>
        <v>6366656.15591473</v>
      </c>
      <c r="AH6" s="12" t="n">
        <f aca="false">Finance!AK11</f>
        <v>4848928.225</v>
      </c>
      <c r="AI6" s="13" t="str">
        <f aca="false">IF(COUNT(Finance!AL11)=1,Finance!AL11,"")</f>
        <v/>
      </c>
      <c r="AJ6" s="13" t="n">
        <f aca="false">Finance!AM11</f>
        <v>6070993.8522452</v>
      </c>
      <c r="AK6" s="13" t="n">
        <f aca="false">Finance!AN11</f>
        <v>4572304.438</v>
      </c>
      <c r="AL6" s="12" t="str">
        <f aca="false">IF(COUNT(Finance!AO11)=1,Finance!AO11,"")</f>
        <v/>
      </c>
      <c r="AM6" s="12" t="n">
        <f aca="false">Finance!AP11</f>
        <v>5807506.35620368</v>
      </c>
      <c r="AN6" s="12" t="n">
        <f aca="false">Finance!AQ11</f>
        <v>4327879.656</v>
      </c>
      <c r="AO6" s="13" t="str">
        <f aca="false">IF(COUNT(Finance!AR11)=1,Finance!AR11,"")</f>
        <v/>
      </c>
      <c r="AP6" s="13" t="n">
        <f aca="false">Finance!AS11</f>
        <v>5565702.85276762</v>
      </c>
      <c r="AQ6" s="13" t="n">
        <f aca="false">Finance!AT11</f>
        <v>4105189.809</v>
      </c>
      <c r="AR6" s="12" t="str">
        <f aca="false">IF(COUNT(Finance!AU11)=1,Finance!AU11,"")</f>
        <v/>
      </c>
      <c r="AS6" s="12" t="n">
        <f aca="false">Finance!AV11</f>
        <v>5312045.7240161</v>
      </c>
      <c r="AT6" s="12" t="n">
        <f aca="false">Finance!AW11</f>
        <v>3870649.48</v>
      </c>
      <c r="AU6" s="13" t="str">
        <f aca="false">IF(COUNT(Finance!AX11)=1,Finance!AX11,"")</f>
        <v/>
      </c>
      <c r="AV6" s="13" t="n">
        <f aca="false">Finance!AY11</f>
        <v>5048120.20947486</v>
      </c>
      <c r="AW6" s="13" t="n">
        <f aca="false">Finance!AZ11</f>
        <v>3625889.966</v>
      </c>
      <c r="AX6" s="12" t="str">
        <f aca="false">IF(COUNT(Finance!BA11)=1,Finance!BA11,"")</f>
        <v/>
      </c>
      <c r="AY6" s="12" t="n">
        <f aca="false">Finance!BB11</f>
        <v>4828521.86151434</v>
      </c>
      <c r="AZ6" s="12" t="n">
        <f aca="false">Finance!BC11</f>
        <v>3425458.787</v>
      </c>
      <c r="BA6" s="13" t="str">
        <f aca="false">IF(COUNT(Finance!BD11)=1,Finance!BD11,"")</f>
        <v/>
      </c>
      <c r="BB6" s="13" t="n">
        <f aca="false">Finance!BE11</f>
        <v>4616280.11775193</v>
      </c>
      <c r="BC6" s="13" t="n">
        <f aca="false">Finance!BF11</f>
        <v>3232387.257</v>
      </c>
      <c r="BD6" s="12" t="str">
        <f aca="false">IF(COUNT(Finance!BG11)=1,Finance!BG11,"")</f>
        <v/>
      </c>
      <c r="BE6" s="12" t="n">
        <f aca="false">Finance!BH11</f>
        <v>4407079.34085812</v>
      </c>
      <c r="BF6" s="12" t="n">
        <f aca="false">Finance!BI11</f>
        <v>3042358.839</v>
      </c>
      <c r="BG6" s="13" t="str">
        <f aca="false">IF(COUNT(Finance!BJ11)=1,Finance!BJ11,"")</f>
        <v/>
      </c>
      <c r="BH6" s="13" t="n">
        <f aca="false">Finance!BK11</f>
        <v>4222666.24199215</v>
      </c>
      <c r="BI6" s="13" t="n">
        <f aca="false">Finance!BL11</f>
        <v>2877122.116</v>
      </c>
      <c r="BJ6" s="12" t="str">
        <f aca="false">IF(COUNT(Finance!BM11)=1,Finance!BM11,"")</f>
        <v/>
      </c>
      <c r="BK6" s="12" t="n">
        <f aca="false">Finance!BN11</f>
        <v>4016161.19821147</v>
      </c>
      <c r="BL6" s="12" t="n">
        <f aca="false">Finance!BO11</f>
        <v>2689795.569</v>
      </c>
      <c r="BM6" s="13" t="str">
        <f aca="false">IF(COUNT(Finance!BP11)=1,Finance!BP11,"")</f>
        <v/>
      </c>
      <c r="BN6" s="13" t="n">
        <f aca="false">Finance!BQ11</f>
        <v>3844836.39596826</v>
      </c>
      <c r="BO6" s="13" t="n">
        <f aca="false">Finance!BR11</f>
        <v>2537652.25</v>
      </c>
      <c r="BP6" s="12" t="str">
        <f aca="false">IF(COUNT(Finance!BS11)=1,Finance!BS11,"")</f>
        <v/>
      </c>
      <c r="BQ6" s="12" t="n">
        <f aca="false">Finance!BT11</f>
        <v>3659274.67329666</v>
      </c>
      <c r="BR6" s="12" t="n">
        <f aca="false">Finance!BU11</f>
        <v>2371273.858</v>
      </c>
      <c r="BS6" s="13" t="str">
        <f aca="false">IF(COUNT(Finance!BV11)=1,Finance!BV11,"")</f>
        <v/>
      </c>
      <c r="BT6" s="13" t="n">
        <f aca="false">Finance!BW11</f>
        <v>3502218.28787819</v>
      </c>
      <c r="BU6" s="13" t="n">
        <f aca="false">Finance!BX11</f>
        <v>2233404.753</v>
      </c>
      <c r="BV6" s="12" t="str">
        <f aca="false">IF(COUNT(Finance!BY11)=1,Finance!BY11,"")</f>
        <v/>
      </c>
      <c r="BW6" s="12" t="n">
        <f aca="false">Finance!BZ11</f>
        <v>3346240.36228232</v>
      </c>
      <c r="BX6" s="12" t="n">
        <f aca="false">Finance!CA11</f>
        <v>2096616.906</v>
      </c>
      <c r="BY6" s="13" t="str">
        <f aca="false">IF(COUNT(Finance!CB11)=1,Finance!CB11,"")</f>
        <v/>
      </c>
      <c r="BZ6" s="13" t="n">
        <f aca="false">Finance!CC11</f>
        <v>3216128.27546121</v>
      </c>
      <c r="CA6" s="13" t="n">
        <f aca="false">Finance!CD11</f>
        <v>1985677.948</v>
      </c>
      <c r="CB6" s="12" t="str">
        <f aca="false">IF(COUNT(Finance!CE11)=1,Finance!CE11,"")</f>
        <v/>
      </c>
      <c r="CC6" s="12" t="n">
        <f aca="false">Finance!CF11</f>
        <v>3053151.31026133</v>
      </c>
      <c r="CD6" s="12" t="n">
        <f aca="false">Finance!CG11</f>
        <v>1841858.046</v>
      </c>
      <c r="CE6" s="13" t="str">
        <f aca="false">IF(COUNT(Finance!CH11)=1,Finance!CH11,"")</f>
        <v/>
      </c>
      <c r="CF6" s="13" t="n">
        <f aca="false">Finance!CI11</f>
        <v>2889583.45646386</v>
      </c>
      <c r="CG6" s="13" t="n">
        <f aca="false">Finance!CJ11</f>
        <v>1697474.456</v>
      </c>
      <c r="CH6" s="12" t="str">
        <f aca="false">IF(COUNT(Finance!CK11)=1,Finance!CK11,"")</f>
        <v/>
      </c>
      <c r="CI6" s="12" t="n">
        <f aca="false">Finance!CL11</f>
        <v>2744496.46486694</v>
      </c>
      <c r="CJ6" s="12" t="n">
        <f aca="false">Finance!CM11</f>
        <v>1571554.743</v>
      </c>
      <c r="CK6" s="13" t="str">
        <f aca="false">IF(COUNT(Finance!CN11)=1,Finance!CN11,"")</f>
        <v/>
      </c>
      <c r="CL6" s="13" t="n">
        <f aca="false">Finance!CO11</f>
        <v>2624574.0487716</v>
      </c>
      <c r="CM6" s="13" t="n">
        <f aca="false">Finance!CP11</f>
        <v>1470783.5</v>
      </c>
      <c r="CN6" s="12" t="str">
        <f aca="false">IF(COUNT(Finance!CQ11)=1,Finance!CQ11,"")</f>
        <v/>
      </c>
      <c r="CO6" s="12" t="n">
        <f aca="false">Finance!CR11</f>
        <v>2517311.10151831</v>
      </c>
      <c r="CP6" s="12" t="n">
        <f aca="false">Finance!CS11</f>
        <v>1382698.25</v>
      </c>
      <c r="CQ6" s="13" t="str">
        <f aca="false">IF(COUNT(Finance!CT11)=1,Finance!CT11,"")</f>
        <v/>
      </c>
      <c r="CR6" s="13" t="n">
        <f aca="false">Finance!CU11</f>
        <v>2412756.48531187</v>
      </c>
      <c r="CS6" s="13" t="n">
        <f aca="false">Finance!CV11</f>
        <v>1297304.307</v>
      </c>
      <c r="CT6" s="12" t="str">
        <f aca="false">IF(COUNT(Finance!CW11)=1,Finance!CW11,"")</f>
        <v/>
      </c>
      <c r="CU6" s="12" t="n">
        <f aca="false">Finance!CX11</f>
        <v>2334691.99157465</v>
      </c>
      <c r="CV6" s="12" t="n">
        <f aca="false">Finance!CY11</f>
        <v>1238384.338</v>
      </c>
      <c r="CW6" s="13" t="str">
        <f aca="false">IF(COUNT(Finance!CZ11)=1,Finance!CZ11,"")</f>
        <v/>
      </c>
      <c r="CX6" s="13" t="n">
        <f aca="false">Finance!DA11</f>
        <v>2255489.53944209</v>
      </c>
      <c r="CY6" s="13" t="n">
        <f aca="false">Finance!DB11</f>
        <v>1178352.271</v>
      </c>
      <c r="CZ6" s="12" t="str">
        <f aca="false">IF(COUNT(Finance!DC11)=1,Finance!DC11,"")</f>
        <v/>
      </c>
      <c r="DA6" s="12" t="n">
        <f aca="false">Finance!DD11</f>
        <v>2194085.15395101</v>
      </c>
      <c r="DB6" s="12" t="n">
        <f aca="false">Finance!DE11</f>
        <v>1123578.52</v>
      </c>
      <c r="DC6" s="13" t="n">
        <f aca="false">IF(COUNT(Finance!DF11)=1,Finance!DF11,"")</f>
        <v>1177985.02637105</v>
      </c>
      <c r="DD6" s="13" t="n">
        <f aca="false">Finance!DG11</f>
        <v>2161750.02637105</v>
      </c>
      <c r="DE6" s="13" t="n">
        <f aca="false">Finance!DH11</f>
        <v>1118652.52</v>
      </c>
      <c r="DF6" s="12" t="n">
        <f aca="false">IF(COUNT(Finance!DI11)=1,Finance!DI11,"")</f>
        <v>1181432</v>
      </c>
      <c r="DG6" s="12" t="n">
        <f aca="false">Finance!DJ11</f>
        <v>1181432</v>
      </c>
      <c r="DH6" s="12" t="n">
        <f aca="false">Finance!DK11</f>
        <v>185439.52</v>
      </c>
      <c r="DI6" s="13" t="n">
        <f aca="false">IF(COUNT(Finance!DL11)=1,Finance!DL11,"")</f>
        <v>1170890</v>
      </c>
      <c r="DJ6" s="13" t="n">
        <f aca="false">Finance!DM11</f>
        <v>1170890</v>
      </c>
      <c r="DK6" s="13" t="n">
        <f aca="false">Finance!DN11</f>
        <v>212890</v>
      </c>
      <c r="DL6" s="12" t="n">
        <f aca="false">IF(COUNT(Finance!$DL$64)=1,Finance!$DL$64,"")</f>
        <v>1200000</v>
      </c>
      <c r="DM6" s="12" t="n">
        <f aca="false">Finance!$DL$64</f>
        <v>1200000</v>
      </c>
      <c r="DN6" s="12" t="n">
        <f aca="false">Finance!$DL$64</f>
        <v>1200000</v>
      </c>
    </row>
    <row r="7" customFormat="false" ht="15" hidden="false" customHeight="false" outlineLevel="0" collapsed="false">
      <c r="A7" s="5" t="s">
        <v>276</v>
      </c>
      <c r="B7" s="12" t="str">
        <f aca="false">IF(COUNT(AR7,AO7,AL7,AI7,AF7,AC7,Z7,W7,T7,Q7,N7,K7)=0,"",SUM(AR7,AO7,AL7,AI7,AF7,AC7,Z7,W7,T7,Q7,N7,K7))</f>
        <v/>
      </c>
      <c r="C7" s="12" t="n">
        <f aca="false">IF(COUNT(AS7,AP7,AM7,AJ7,AG7,AD7,AA7,X7,U7,R7,O7,L7)=0,"",SUM(AS7,AP7,AM7,AJ7,AG7,AD7,AA7,X7,U7,R7,O7,L7))</f>
        <v>18259065</v>
      </c>
      <c r="D7" s="12" t="n">
        <f aca="false">IF(COUNT(AT7,AQ7,AN7,AK7,AH7,AE7,AB7,Y7,V7,S7,P7,M7)=0,"",SUM(AT7,AQ7,AN7,AK7,AH7,AE7,AB7,Y7,V7,S7,P7,M7))</f>
        <v>18254205</v>
      </c>
      <c r="E7" s="13" t="str">
        <f aca="false">IF(COUNT(CB7,BY7,BV7,BS7,BP7,BM7,BJ7,BG7,BD7,BA7,AX7,AU7)=0,"",SUM(CB7,BY7,BV7,BS7,BP7,BM7,BJ7,BG7,BD7,BA7,AX7,AU7))</f>
        <v/>
      </c>
      <c r="F7" s="13" t="n">
        <f aca="false">IF(COUNT(CC7,BZ7,BW7,BT7,BQ7,BN7,BK7,BH7,BE7,BB7,AY7,AV7)=0,"",SUM(CC7,BZ7,BW7,BT7,BQ7,BN7,BK7,BH7,BE7,BB7,AY7,AV7))</f>
        <v>15111815</v>
      </c>
      <c r="G7" s="13" t="n">
        <f aca="false">IF(COUNT(CD7,CA7,BX7,BU7,BR7,BO7,BL7,BI7,BF7,BC7,AZ7,AW7)=0,"",SUM(CD7,CA7,BX7,BU7,BR7,BO7,BL7,BI7,BF7,BC7,AZ7,AW7))</f>
        <v>15106955</v>
      </c>
      <c r="H7" s="12" t="n">
        <f aca="false">IF(COUNT(DL7,DI7,DF7,DC7,CZ7,CW7,CT7,CQ7,CN7,CK7,CH7,CE7)=0,"",SUM(DL7,DI7,DF7,DC7,CZ7,CW7,CT7,CQ7,CN7,CK7,CH7,CE7))</f>
        <v>2036110</v>
      </c>
      <c r="I7" s="12" t="n">
        <f aca="false">IF(COUNT(DM7,DJ7,DG7,DD7,DA7,CX7,CU7,CR7,CO7,CL7,CI7,CF7)=0,"",SUM(DM7,DJ7,DG7,DD7,DA7,CX7,CU7,CR7,CO7,CL7,CI7,CF7))</f>
        <v>12677010</v>
      </c>
      <c r="J7" s="12" t="n">
        <f aca="false">IF(COUNT(DN7,DK7,DH7,DE7,DB7,CY7,CV7,CS7,CP7,CM7,CJ7,CG7)=0,"",SUM(DN7,DK7,DH7,DE7,DB7,CY7,CV7,CS7,CP7,CM7,CJ7,CG7))</f>
        <v>12663315</v>
      </c>
      <c r="K7" s="13" t="str">
        <f aca="false">IF(COUNT(Summary!K7,Summary!K8,Summary!K10)=3,Summary!K7-Summary!K8+Summary!K10,"")</f>
        <v/>
      </c>
      <c r="L7" s="13" t="n">
        <f aca="false">Summary!L7-Summary!L8+Summary!L10</f>
        <v>1561280</v>
      </c>
      <c r="M7" s="13" t="n">
        <f aca="false">Summary!M7-Summary!M8+Summary!M10</f>
        <v>1560875</v>
      </c>
      <c r="N7" s="12" t="str">
        <f aca="false">IF(COUNT(Summary!N7,Summary!N8,Summary!N10)=3,Summary!N7-Summary!N8+Summary!N10,"")</f>
        <v/>
      </c>
      <c r="O7" s="12" t="n">
        <f aca="false">Summary!O7-Summary!O8+Summary!O10</f>
        <v>1557365</v>
      </c>
      <c r="P7" s="12" t="n">
        <f aca="false">Summary!P7-Summary!P8+Summary!P10</f>
        <v>1556960</v>
      </c>
      <c r="Q7" s="13" t="str">
        <f aca="false">IF(COUNT(Summary!Q7,Summary!Q8,Summary!Q10)=3,Summary!Q7-Summary!Q8+Summary!Q10,"")</f>
        <v/>
      </c>
      <c r="R7" s="13" t="n">
        <f aca="false">Summary!R7-Summary!R8+Summary!R10</f>
        <v>1553450</v>
      </c>
      <c r="S7" s="13" t="n">
        <f aca="false">Summary!S7-Summary!S8+Summary!S10</f>
        <v>1553045</v>
      </c>
      <c r="T7" s="12" t="str">
        <f aca="false">IF(COUNT(Summary!T7,Summary!T8,Summary!T10)=3,Summary!T7-Summary!T8+Summary!T10,"")</f>
        <v/>
      </c>
      <c r="U7" s="12" t="n">
        <f aca="false">Summary!U7-Summary!U8+Summary!U10</f>
        <v>1549535</v>
      </c>
      <c r="V7" s="12" t="n">
        <f aca="false">Summary!V7-Summary!V8+Summary!V10</f>
        <v>1549130</v>
      </c>
      <c r="W7" s="13" t="str">
        <f aca="false">IF(COUNT(Summary!W7,Summary!W8,Summary!W10)=3,Summary!W7-Summary!W8+Summary!W10,"")</f>
        <v/>
      </c>
      <c r="X7" s="13" t="n">
        <f aca="false">Summary!X7-Summary!X8+Summary!X10</f>
        <v>1545620</v>
      </c>
      <c r="Y7" s="13" t="n">
        <f aca="false">Summary!Y7-Summary!Y8+Summary!Y10</f>
        <v>1545215</v>
      </c>
      <c r="Z7" s="12" t="str">
        <f aca="false">IF(COUNT(Summary!Z7,Summary!Z8,Summary!Z10)=3,Summary!Z7-Summary!Z8+Summary!Z10,"")</f>
        <v/>
      </c>
      <c r="AA7" s="12" t="n">
        <f aca="false">Summary!AA7-Summary!AA8+Summary!AA10</f>
        <v>1541705</v>
      </c>
      <c r="AB7" s="12" t="n">
        <f aca="false">Summary!AB7-Summary!AB8+Summary!AB10</f>
        <v>1541300</v>
      </c>
      <c r="AC7" s="13" t="str">
        <f aca="false">IF(COUNT(Summary!AC7,Summary!AC8,Summary!AC10)=3,Summary!AC7-Summary!AC8+Summary!AC10,"")</f>
        <v/>
      </c>
      <c r="AD7" s="13" t="n">
        <f aca="false">Summary!AD7-Summary!AD8+Summary!AD10</f>
        <v>1523015</v>
      </c>
      <c r="AE7" s="13" t="n">
        <f aca="false">Summary!AE7-Summary!AE8+Summary!AE10</f>
        <v>1522610</v>
      </c>
      <c r="AF7" s="12" t="str">
        <f aca="false">IF(COUNT(Summary!AF7,Summary!AF8,Summary!AF10)=3,Summary!AF7-Summary!AF8+Summary!AF10,"")</f>
        <v/>
      </c>
      <c r="AG7" s="12" t="n">
        <f aca="false">Summary!AG7-Summary!AG8+Summary!AG10</f>
        <v>1518965</v>
      </c>
      <c r="AH7" s="12" t="n">
        <f aca="false">Summary!AH7-Summary!AH8+Summary!AH10</f>
        <v>1518560</v>
      </c>
      <c r="AI7" s="13" t="str">
        <f aca="false">IF(COUNT(Summary!AI7,Summary!AI8,Summary!AI10)=3,Summary!AI7-Summary!AI8+Summary!AI10,"")</f>
        <v/>
      </c>
      <c r="AJ7" s="13" t="n">
        <f aca="false">Summary!AJ7-Summary!AJ8+Summary!AJ10</f>
        <v>1514915</v>
      </c>
      <c r="AK7" s="13" t="n">
        <f aca="false">Summary!AK7-Summary!AK8+Summary!AK10</f>
        <v>1514510</v>
      </c>
      <c r="AL7" s="12" t="str">
        <f aca="false">IF(COUNT(Summary!AL7,Summary!AL8,Summary!AL10)=3,Summary!AL7-Summary!AL8+Summary!AL10,"")</f>
        <v/>
      </c>
      <c r="AM7" s="12" t="n">
        <f aca="false">Summary!AM7-Summary!AM8+Summary!AM10</f>
        <v>1496225</v>
      </c>
      <c r="AN7" s="12" t="n">
        <f aca="false">Summary!AN7-Summary!AN8+Summary!AN10</f>
        <v>1495820</v>
      </c>
      <c r="AO7" s="13" t="str">
        <f aca="false">IF(COUNT(Summary!AO7,Summary!AO8,Summary!AO10)=3,Summary!AO7-Summary!AO8+Summary!AO10,"")</f>
        <v/>
      </c>
      <c r="AP7" s="13" t="n">
        <f aca="false">Summary!AP7-Summary!AP8+Summary!AP10</f>
        <v>1473875</v>
      </c>
      <c r="AQ7" s="13" t="n">
        <f aca="false">Summary!AQ7-Summary!AQ8+Summary!AQ10</f>
        <v>1473470</v>
      </c>
      <c r="AR7" s="12" t="str">
        <f aca="false">IF(COUNT(Summary!AR7,Summary!AR8,Summary!AR10)=3,Summary!AR7-Summary!AR8+Summary!AR10,"")</f>
        <v/>
      </c>
      <c r="AS7" s="12" t="n">
        <f aca="false">Summary!AS7-Summary!AS8+Summary!AS10</f>
        <v>1423115</v>
      </c>
      <c r="AT7" s="12" t="n">
        <f aca="false">Summary!AT7-Summary!AT8+Summary!AT10</f>
        <v>1422710</v>
      </c>
      <c r="AU7" s="13" t="str">
        <f aca="false">IF(COUNT(Summary!AU7,Summary!AU8,Summary!AU10)=3,Summary!AU7-Summary!AU8+Summary!AU10,"")</f>
        <v/>
      </c>
      <c r="AV7" s="13" t="n">
        <f aca="false">Summary!AV7-Summary!AV8+Summary!AV10</f>
        <v>1391000</v>
      </c>
      <c r="AW7" s="13" t="n">
        <f aca="false">Summary!AW7-Summary!AW8+Summary!AW10</f>
        <v>1390595</v>
      </c>
      <c r="AX7" s="12" t="str">
        <f aca="false">IF(COUNT(Summary!AX7,Summary!AX8,Summary!AX10)=3,Summary!AX7-Summary!AX8+Summary!AX10,"")</f>
        <v/>
      </c>
      <c r="AY7" s="12" t="n">
        <f aca="false">Summary!AY7-Summary!AY8+Summary!AY10</f>
        <v>1388165</v>
      </c>
      <c r="AZ7" s="12" t="n">
        <f aca="false">Summary!AZ7-Summary!AZ8+Summary!AZ10</f>
        <v>1387760</v>
      </c>
      <c r="BA7" s="13" t="str">
        <f aca="false">IF(COUNT(Summary!BA7,Summary!BA8,Summary!BA10)=3,Summary!BA7-Summary!BA8+Summary!BA10,"")</f>
        <v/>
      </c>
      <c r="BB7" s="13" t="n">
        <f aca="false">Summary!BB7-Summary!BB8+Summary!BB10</f>
        <v>1357270</v>
      </c>
      <c r="BC7" s="13" t="n">
        <f aca="false">Summary!BC7-Summary!BC8+Summary!BC10</f>
        <v>1356865</v>
      </c>
      <c r="BD7" s="12" t="str">
        <f aca="false">IF(COUNT(Summary!BD7,Summary!BD8,Summary!BD10)=3,Summary!BD7-Summary!BD8+Summary!BD10,"")</f>
        <v/>
      </c>
      <c r="BE7" s="12" t="n">
        <f aca="false">Summary!BE7-Summary!BE8+Summary!BE10</f>
        <v>1325155</v>
      </c>
      <c r="BF7" s="12" t="n">
        <f aca="false">Summary!BF7-Summary!BF8+Summary!BF10</f>
        <v>1324750</v>
      </c>
      <c r="BG7" s="13" t="str">
        <f aca="false">IF(COUNT(Summary!BG7,Summary!BG8,Summary!BG10)=3,Summary!BG7-Summary!BG8+Summary!BG10,"")</f>
        <v/>
      </c>
      <c r="BH7" s="13" t="n">
        <f aca="false">Summary!BH7-Summary!BH8+Summary!BH10</f>
        <v>1304020</v>
      </c>
      <c r="BI7" s="13" t="n">
        <f aca="false">Summary!BI7-Summary!BI8+Summary!BI10</f>
        <v>1303615</v>
      </c>
      <c r="BJ7" s="12" t="str">
        <f aca="false">IF(COUNT(Summary!BJ7,Summary!BJ8,Summary!BJ10)=3,Summary!BJ7-Summary!BJ8+Summary!BJ10,"")</f>
        <v/>
      </c>
      <c r="BK7" s="12" t="n">
        <f aca="false">Summary!BK7-Summary!BK8+Summary!BK10</f>
        <v>1258485</v>
      </c>
      <c r="BL7" s="12" t="n">
        <f aca="false">Summary!BL7-Summary!BL8+Summary!BL10</f>
        <v>1258080</v>
      </c>
      <c r="BM7" s="13" t="str">
        <f aca="false">IF(COUNT(Summary!BM7,Summary!BM8,Summary!BM10)=3,Summary!BM7-Summary!BM8+Summary!BM10,"")</f>
        <v/>
      </c>
      <c r="BN7" s="13" t="n">
        <f aca="false">Summary!BN7-Summary!BN8+Summary!BN10</f>
        <v>1245890</v>
      </c>
      <c r="BO7" s="13" t="n">
        <f aca="false">Summary!BO7-Summary!BO8+Summary!BO10</f>
        <v>1245485</v>
      </c>
      <c r="BP7" s="12" t="str">
        <f aca="false">IF(COUNT(Summary!BP7,Summary!BP8,Summary!BP10)=3,Summary!BP7-Summary!BP8+Summary!BP10,"")</f>
        <v/>
      </c>
      <c r="BQ7" s="12" t="n">
        <f aca="false">Summary!BQ7-Summary!BQ8+Summary!BQ10</f>
        <v>1208895</v>
      </c>
      <c r="BR7" s="12" t="n">
        <f aca="false">Summary!BR7-Summary!BR8+Summary!BR10</f>
        <v>1208490</v>
      </c>
      <c r="BS7" s="13" t="str">
        <f aca="false">IF(COUNT(Summary!BS7,Summary!BS8,Summary!BS10)=3,Summary!BS7-Summary!BS8+Summary!BS10,"")</f>
        <v/>
      </c>
      <c r="BT7" s="13" t="n">
        <f aca="false">Summary!BT7-Summary!BT8+Summary!BT10</f>
        <v>1197385</v>
      </c>
      <c r="BU7" s="13" t="n">
        <f aca="false">Summary!BU7-Summary!BU8+Summary!BU10</f>
        <v>1196980</v>
      </c>
      <c r="BV7" s="12" t="str">
        <f aca="false">IF(COUNT(Summary!BV7,Summary!BV8,Summary!BV10)=3,Summary!BV7-Summary!BV8+Summary!BV10,"")</f>
        <v/>
      </c>
      <c r="BW7" s="12" t="n">
        <f aca="false">Summary!BW7-Summary!BW8+Summary!BW10</f>
        <v>1171235</v>
      </c>
      <c r="BX7" s="12" t="n">
        <f aca="false">Summary!BX7-Summary!BX8+Summary!BX10</f>
        <v>1170830</v>
      </c>
      <c r="BY7" s="13" t="str">
        <f aca="false">IF(COUNT(Summary!BY7,Summary!BY8,Summary!BY10)=3,Summary!BY7-Summary!BY8+Summary!BY10,"")</f>
        <v/>
      </c>
      <c r="BZ7" s="13" t="n">
        <f aca="false">Summary!BZ7-Summary!BZ8+Summary!BZ10</f>
        <v>1158505</v>
      </c>
      <c r="CA7" s="13" t="n">
        <f aca="false">Summary!CA7-Summary!CA8+Summary!CA10</f>
        <v>1158100</v>
      </c>
      <c r="CB7" s="12" t="str">
        <f aca="false">IF(COUNT(Summary!CB7,Summary!CB8,Summary!CB10)=3,Summary!CB7-Summary!CB8+Summary!CB10,"")</f>
        <v/>
      </c>
      <c r="CC7" s="12" t="n">
        <f aca="false">Summary!CC7-Summary!CC8+Summary!CC10</f>
        <v>1105810</v>
      </c>
      <c r="CD7" s="12" t="n">
        <f aca="false">Summary!CD7-Summary!CD8+Summary!CD10</f>
        <v>1105405</v>
      </c>
      <c r="CE7" s="13" t="str">
        <f aca="false">IF(COUNT(Summary!CE7,Summary!CE8,Summary!CE10)=3,Summary!CE7-Summary!CE8+Summary!CE10,"")</f>
        <v/>
      </c>
      <c r="CF7" s="13" t="n">
        <f aca="false">Summary!CF7-Summary!CF8+Summary!CF10</f>
        <v>1089415</v>
      </c>
      <c r="CG7" s="13" t="n">
        <f aca="false">Summary!CG7-Summary!CG8+Summary!CG10</f>
        <v>1089010</v>
      </c>
      <c r="CH7" s="12" t="str">
        <f aca="false">IF(COUNT(Summary!CH7,Summary!CH8,Summary!CH10)=3,Summary!CH7-Summary!CH8+Summary!CH10,"")</f>
        <v/>
      </c>
      <c r="CI7" s="12" t="n">
        <f aca="false">Summary!CI7-Summary!CI8+Summary!CI10</f>
        <v>1087660</v>
      </c>
      <c r="CJ7" s="12" t="n">
        <f aca="false">Summary!CJ7-Summary!CJ8+Summary!CJ10</f>
        <v>1087255</v>
      </c>
      <c r="CK7" s="13" t="str">
        <f aca="false">IF(COUNT(Summary!CK7,Summary!CK8,Summary!CK10)=3,Summary!CK7-Summary!CK8+Summary!CK10,"")</f>
        <v/>
      </c>
      <c r="CL7" s="13" t="n">
        <f aca="false">Summary!CL7-Summary!CL8+Summary!CL10</f>
        <v>1085905</v>
      </c>
      <c r="CM7" s="13" t="n">
        <f aca="false">Summary!CM7-Summary!CM8+Summary!CM10</f>
        <v>1085500</v>
      </c>
      <c r="CN7" s="12" t="str">
        <f aca="false">IF(COUNT(Summary!CN7,Summary!CN8,Summary!CN10)=3,Summary!CN7-Summary!CN8+Summary!CN10,"")</f>
        <v/>
      </c>
      <c r="CO7" s="12" t="n">
        <f aca="false">Summary!CO7-Summary!CO8+Summary!CO10</f>
        <v>1075610</v>
      </c>
      <c r="CP7" s="12" t="n">
        <f aca="false">Summary!CP7-Summary!CP8+Summary!CP10</f>
        <v>1075205</v>
      </c>
      <c r="CQ7" s="13" t="str">
        <f aca="false">IF(COUNT(Summary!CQ7,Summary!CQ8,Summary!CQ10)=3,Summary!CQ7-Summary!CQ8+Summary!CQ10,"")</f>
        <v/>
      </c>
      <c r="CR7" s="13" t="n">
        <f aca="false">Summary!CR7-Summary!CR8+Summary!CR10</f>
        <v>1062875</v>
      </c>
      <c r="CS7" s="13" t="n">
        <f aca="false">Summary!CS7-Summary!CS8+Summary!CS10</f>
        <v>1062470</v>
      </c>
      <c r="CT7" s="12" t="str">
        <f aca="false">IF(COUNT(Summary!CT7,Summary!CT8,Summary!CT10)=3,Summary!CT7-Summary!CT8+Summary!CT10,"")</f>
        <v/>
      </c>
      <c r="CU7" s="12" t="n">
        <f aca="false">Summary!CU7-Summary!CU8+Summary!CU10</f>
        <v>1061120</v>
      </c>
      <c r="CV7" s="12" t="n">
        <f aca="false">Summary!CV7-Summary!CV8+Summary!CV10</f>
        <v>1060715</v>
      </c>
      <c r="CW7" s="13" t="str">
        <f aca="false">IF(COUNT(Summary!CW7,Summary!CW8,Summary!CW10)=3,Summary!CW7-Summary!CW8+Summary!CW10,"")</f>
        <v/>
      </c>
      <c r="CX7" s="13" t="n">
        <f aca="false">Summary!CX7-Summary!CX8+Summary!CX10</f>
        <v>1044725</v>
      </c>
      <c r="CY7" s="13" t="n">
        <f aca="false">Summary!CY7-Summary!CY8+Summary!CY10</f>
        <v>1044320</v>
      </c>
      <c r="CZ7" s="12" t="str">
        <f aca="false">IF(COUNT(Summary!CZ7,Summary!CZ8,Summary!CZ10)=3,Summary!CZ7-Summary!CZ8+Summary!CZ10,"")</f>
        <v/>
      </c>
      <c r="DA7" s="12" t="n">
        <f aca="false">Summary!DA7-Summary!DA8+Summary!DA10</f>
        <v>1042835</v>
      </c>
      <c r="DB7" s="12" t="n">
        <f aca="false">Summary!DB7-Summary!DB8+Summary!DB10</f>
        <v>1042430</v>
      </c>
      <c r="DC7" s="13" t="str">
        <f aca="false">IF(COUNT(Summary!DC7,Summary!DC8,Summary!DC10)=3,Summary!DC7-Summary!DC8+Summary!DC10,"")</f>
        <v/>
      </c>
      <c r="DD7" s="13" t="n">
        <f aca="false">Summary!DD7-Summary!DD8+Summary!DD10</f>
        <v>1040945</v>
      </c>
      <c r="DE7" s="13" t="n">
        <f aca="false">Summary!DE7-Summary!DE8+Summary!DE10</f>
        <v>1040540</v>
      </c>
      <c r="DF7" s="12" t="str">
        <f aca="false">IF(COUNT(Summary!DF7,Summary!DF8,Summary!DF10)=3,Summary!DF7-Summary!DF8+Summary!DF10,"")</f>
        <v/>
      </c>
      <c r="DG7" s="12" t="n">
        <f aca="false">Summary!DG7-Summary!DG8+Summary!DG10</f>
        <v>1049810</v>
      </c>
      <c r="DH7" s="12" t="n">
        <f aca="false">Summary!DH7-Summary!DH8+Summary!DH10</f>
        <v>1064325</v>
      </c>
      <c r="DI7" s="13" t="n">
        <f aca="false">IF(COUNT(Summary!DI7,Summary!DI8,Summary!DI10)=3,Summary!DI7-Summary!DI8+Summary!DI10,"")</f>
        <v>1011000</v>
      </c>
      <c r="DJ7" s="13" t="n">
        <f aca="false">Summary!DJ7-Summary!DJ8+Summary!DJ10</f>
        <v>1011000</v>
      </c>
      <c r="DK7" s="13" t="n">
        <f aca="false">Summary!DK7-Summary!DK8+Summary!DK10</f>
        <v>1024435</v>
      </c>
      <c r="DL7" s="12" t="n">
        <f aca="false">IF(COUNT(Summary!DL7,Summary!DL8,Summary!DL10)=3,Summary!DL7-Summary!DL8+Summary!DL10,"")</f>
        <v>1025110</v>
      </c>
      <c r="DM7" s="12" t="n">
        <f aca="false">Summary!DM7-Summary!DM8+Summary!DM10</f>
        <v>1025110</v>
      </c>
      <c r="DN7" s="12" t="n">
        <f aca="false">Summary!DN7-Summary!DN8+Summary!DN10</f>
        <v>987110</v>
      </c>
    </row>
    <row r="8" customFormat="false" ht="15" hidden="false" customHeight="false" outlineLevel="0" collapsed="false">
      <c r="A8" s="5" t="s">
        <v>277</v>
      </c>
      <c r="B8" s="12" t="str">
        <f aca="false">IF(COUNT(AR8,AO8,AL8,AI8,AF8,AC8,Z8,W8,T8,Q8,N8,K8)=0,"",SUM(AR8,AO8,AL8,AI8,AF8,AC8,Z8,W8,T8,Q8,N8,K8))</f>
        <v/>
      </c>
      <c r="C8" s="12" t="n">
        <f aca="false">IF(COUNT(AS8,AP8,AM8,AJ8,AG8,AD8,AA8,X8,U8,R8,O8,L8)=0,"",SUM(AS8,AP8,AM8,AJ8,AG8,AD8,AA8,X8,U8,R8,O8,L8))</f>
        <v>1768236.39281908</v>
      </c>
      <c r="D8" s="12" t="n">
        <f aca="false">IF(COUNT(AT8,AQ8,AN8,AK8,AH8,AE8,AB8,Y8,V8,S8,P8,M8)=0,"",SUM(AT8,AQ8,AN8,AK8,AH8,AE8,AB8,Y8,V8,S8,P8,M8))</f>
        <v>1686112.9771735</v>
      </c>
      <c r="E8" s="13" t="str">
        <f aca="false">IF(COUNT(CB8,BY8,BV8,BS8,BP8,BM8,BJ8,BG8,BD8,BA8,AX8,AU8)=0,"",SUM(CB8,BY8,BV8,BS8,BP8,BM8,BJ8,BG8,BD8,BA8,AX8,AU8))</f>
        <v/>
      </c>
      <c r="F8" s="13" t="n">
        <f aca="false">IF(COUNT(CC8,BZ8,BW8,BT8,BQ8,BN8,BK8,BH8,BE8,BB8,AY8,AV8)=0,"",SUM(CC8,BZ8,BW8,BT8,BQ8,BN8,BK8,BH8,BE8,BB8,AY8,AV8))</f>
        <v>926861.58624524</v>
      </c>
      <c r="G8" s="13" t="n">
        <f aca="false">IF(COUNT(CD8,CA8,BX8,BU8,BR8,BO8,BL8,BI8,BF8,BC8,AZ8,AW8)=0,"",SUM(CD8,CA8,BX8,BU8,BR8,BO8,BL8,BI8,BF8,BC8,AZ8,AW8))</f>
        <v>843899.5652445</v>
      </c>
      <c r="H8" s="12" t="n">
        <f aca="false">IF(COUNT(DL8,DI8,DF8,DC8,CZ8,CW8,CT8,CQ8,CN8,CK8,CH8,CE8)=0,"",SUM(DL8,DI8,DF8,DC8,CZ8,CW8,CT8,CQ8,CN8,CK8,CH8,CE8))</f>
        <v>3446.97362894549</v>
      </c>
      <c r="I8" s="12" t="n">
        <f aca="false">IF(COUNT(DM8,DJ8,DG8,DD8,DA8,CX8,CU8,CR8,CO8,CL8,CI8,CF8)=0,"",SUM(DM8,DJ8,DG8,DD8,DA8,CX8,CU8,CR8,CO8,CL8,CI8,CF8))</f>
        <v>328569.689738667</v>
      </c>
      <c r="J8" s="12" t="n">
        <f aca="false">IF(COUNT(DN8,DK8,DH8,DE8,DB8,CY8,CV8,CS8,CP8,CM8,CJ8,CG8)=0,"",SUM(DN8,DK8,DH8,DE8,DB8,CY8,CV8,CS8,CP8,CM8,CJ8,CG8))</f>
        <v>250800.9544718</v>
      </c>
      <c r="K8" s="13" t="str">
        <f aca="false">IF(COUNT(Finance!N16)=1,Finance!N16,"")</f>
        <v/>
      </c>
      <c r="L8" s="13" t="n">
        <f aca="false">Finance!O16</f>
        <v>216407.549631297</v>
      </c>
      <c r="M8" s="13" t="n">
        <f aca="false">Finance!P16</f>
        <v>209612.59009</v>
      </c>
      <c r="N8" s="12" t="str">
        <f aca="false">IF(COUNT(Finance!Q16)=1,Finance!Q16,"")</f>
        <v/>
      </c>
      <c r="O8" s="12" t="n">
        <f aca="false">Finance!R16</f>
        <v>201904.233048506</v>
      </c>
      <c r="P8" s="12" t="n">
        <f aca="false">Finance!S16</f>
        <v>195100.647264</v>
      </c>
      <c r="Q8" s="13" t="str">
        <f aca="false">IF(COUNT(Finance!T16)=1,Finance!T16,"")</f>
        <v/>
      </c>
      <c r="R8" s="13" t="n">
        <f aca="false">Finance!U16</f>
        <v>187534.060150457</v>
      </c>
      <c r="S8" s="13" t="n">
        <f aca="false">Finance!V16</f>
        <v>180721.747953</v>
      </c>
      <c r="T8" s="12" t="str">
        <f aca="false">IF(COUNT(Finance!W16)=1,Finance!W16,"")</f>
        <v/>
      </c>
      <c r="U8" s="12" t="n">
        <f aca="false">Finance!X16</f>
        <v>173278.612053288</v>
      </c>
      <c r="V8" s="12" t="n">
        <f aca="false">Finance!Y16</f>
        <v>166457.6437005</v>
      </c>
      <c r="W8" s="13" t="str">
        <f aca="false">IF(COUNT(Finance!Z16)=1,Finance!Z16,"")</f>
        <v/>
      </c>
      <c r="X8" s="13" t="n">
        <f aca="false">Finance!AA16</f>
        <v>159137.623361227</v>
      </c>
      <c r="Y8" s="13" t="n">
        <f aca="false">Finance!AB16</f>
        <v>152308.0712025</v>
      </c>
      <c r="Z8" s="12" t="str">
        <f aca="false">IF(COUNT(Finance!AC16)=1,Finance!AC16,"")</f>
        <v/>
      </c>
      <c r="AA8" s="12" t="n">
        <f aca="false">Finance!AD16</f>
        <v>149076.979448858</v>
      </c>
      <c r="AB8" s="12" t="n">
        <f aca="false">Finance!AE16</f>
        <v>142238.7344975</v>
      </c>
      <c r="AC8" s="13" t="str">
        <f aca="false">IF(COUNT(Finance!AF16)=1,Finance!AF16,"")</f>
        <v/>
      </c>
      <c r="AD8" s="13" t="n">
        <f aca="false">Finance!AG16</f>
        <v>135217.796627007</v>
      </c>
      <c r="AE8" s="13" t="n">
        <f aca="false">Finance!AH16</f>
        <v>128370.9286555</v>
      </c>
      <c r="AF8" s="12" t="str">
        <f aca="false">IF(COUNT(Finance!AI16)=1,Finance!AI16,"")</f>
        <v/>
      </c>
      <c r="AG8" s="12" t="n">
        <f aca="false">Finance!AJ16</f>
        <v>121489.970397076</v>
      </c>
      <c r="AH8" s="12" t="n">
        <f aca="false">Finance!AK16</f>
        <v>114634.358578</v>
      </c>
      <c r="AI8" s="13" t="str">
        <f aca="false">IF(COUNT(Finance!AL16)=1,Finance!AL16,"")</f>
        <v/>
      </c>
      <c r="AJ8" s="13" t="n">
        <f aca="false">Finance!AM16</f>
        <v>111805.696330472</v>
      </c>
      <c r="AK8" s="13" t="n">
        <f aca="false">Finance!AN16</f>
        <v>104941.213117</v>
      </c>
      <c r="AL8" s="12" t="str">
        <f aca="false">IF(COUNT(Finance!AO16)=1,Finance!AO16,"")</f>
        <v/>
      </c>
      <c r="AM8" s="12" t="n">
        <f aca="false">Finance!AP16</f>
        <v>103237.50395848</v>
      </c>
      <c r="AN8" s="12" t="n">
        <f aca="false">Finance!AQ16</f>
        <v>96364.2175785</v>
      </c>
      <c r="AO8" s="13" t="str">
        <f aca="false">IF(COUNT(Finance!AR16)=1,Finance!AR16,"")</f>
        <v/>
      </c>
      <c r="AP8" s="13" t="n">
        <f aca="false">Finance!AS16</f>
        <v>105752.496563939</v>
      </c>
      <c r="AQ8" s="13" t="n">
        <f aca="false">Finance!AT16</f>
        <v>98861.153711</v>
      </c>
      <c r="AR8" s="12" t="str">
        <f aca="false">IF(COUNT(Finance!AU16)=1,Finance!AU16,"")</f>
        <v/>
      </c>
      <c r="AS8" s="12" t="n">
        <f aca="false">Finance!AV16</f>
        <v>103393.871248479</v>
      </c>
      <c r="AT8" s="12" t="n">
        <f aca="false">Finance!AW16</f>
        <v>96501.670826</v>
      </c>
      <c r="AU8" s="13" t="str">
        <f aca="false">IF(COUNT(Finance!AX16)=1,Finance!AX16,"")</f>
        <v/>
      </c>
      <c r="AV8" s="13" t="n">
        <f aca="false">Finance!AY16</f>
        <v>93294.4854587665</v>
      </c>
      <c r="AW8" s="13" t="n">
        <f aca="false">Finance!AZ16</f>
        <v>86384.4856945</v>
      </c>
      <c r="AX8" s="12" t="str">
        <f aca="false">IF(COUNT(Finance!BA16)=1,Finance!BA16,"")</f>
        <v/>
      </c>
      <c r="AY8" s="12" t="n">
        <f aca="false">Finance!BB16</f>
        <v>90764.6520394771</v>
      </c>
      <c r="AZ8" s="12" t="n">
        <f aca="false">Finance!BC16</f>
        <v>83853.8210245</v>
      </c>
      <c r="BA8" s="13" t="str">
        <f aca="false">IF(COUNT(Finance!BD16)=1,Finance!BD16,"")</f>
        <v/>
      </c>
      <c r="BB8" s="13" t="n">
        <f aca="false">Finance!BE16</f>
        <v>88642.2562375919</v>
      </c>
      <c r="BC8" s="13" t="n">
        <f aca="false">Finance!BF16</f>
        <v>81730.4698345</v>
      </c>
      <c r="BD8" s="12" t="str">
        <f aca="false">IF(COUNT(Finance!BG16)=1,Finance!BG16,"")</f>
        <v/>
      </c>
      <c r="BE8" s="12" t="n">
        <f aca="false">Finance!BH16</f>
        <v>83677.2231061901</v>
      </c>
      <c r="BF8" s="12" t="n">
        <f aca="false">Finance!BI16</f>
        <v>76764.5823115</v>
      </c>
      <c r="BG8" s="13" t="str">
        <f aca="false">IF(COUNT(Finance!BJ16)=1,Finance!BJ16,"")</f>
        <v/>
      </c>
      <c r="BH8" s="13" t="n">
        <f aca="false">Finance!BK16</f>
        <v>85294.9011340306</v>
      </c>
      <c r="BI8" s="13" t="n">
        <f aca="false">Finance!BL16</f>
        <v>78381.276742</v>
      </c>
      <c r="BJ8" s="12" t="str">
        <f aca="false">IF(COUNT(Finance!BM16)=1,Finance!BM16,"")</f>
        <v/>
      </c>
      <c r="BK8" s="12" t="n">
        <f aca="false">Finance!BN16</f>
        <v>78183.9562193205</v>
      </c>
      <c r="BL8" s="12" t="n">
        <f aca="false">Finance!BO16</f>
        <v>71269.4531125</v>
      </c>
      <c r="BM8" s="13" t="str">
        <f aca="false">IF(COUNT(Finance!BP16)=1,Finance!BP16,"")</f>
        <v/>
      </c>
      <c r="BN8" s="13" t="n">
        <f aca="false">Finance!BQ16</f>
        <v>77677.1977567884</v>
      </c>
      <c r="BO8" s="13" t="n">
        <f aca="false">Finance!BR16</f>
        <v>70761.6812595</v>
      </c>
      <c r="BP8" s="12" t="str">
        <f aca="false">IF(COUNT(Finance!BS16)=1,Finance!BS16,"")</f>
        <v/>
      </c>
      <c r="BQ8" s="12" t="n">
        <f aca="false">Finance!BT16</f>
        <v>70422.277328401</v>
      </c>
      <c r="BR8" s="12" t="n">
        <f aca="false">Finance!BU16</f>
        <v>63505.6075565</v>
      </c>
      <c r="BS8" s="13" t="str">
        <f aca="false">IF(COUNT(Finance!BV16)=1,Finance!BV16,"")</f>
        <v/>
      </c>
      <c r="BT8" s="13" t="n">
        <f aca="false">Finance!BW16</f>
        <v>67135.614581532</v>
      </c>
      <c r="BU8" s="13" t="n">
        <f aca="false">Finance!BX16</f>
        <v>60217.895047</v>
      </c>
      <c r="BV8" s="12" t="str">
        <f aca="false">IF(COUNT(Finance!BY16)=1,Finance!BY16,"")</f>
        <v/>
      </c>
      <c r="BW8" s="12" t="n">
        <f aca="false">Finance!BZ16</f>
        <v>60331.0744041303</v>
      </c>
      <c r="BX8" s="12" t="n">
        <f aca="false">Finance!CA16</f>
        <v>53412.15291</v>
      </c>
      <c r="BY8" s="13" t="str">
        <f aca="false">IF(COUNT(Finance!CB16)=1,Finance!CB16,"")</f>
        <v/>
      </c>
      <c r="BZ8" s="13" t="n">
        <f aca="false">Finance!CC16</f>
        <v>67126.9131788917</v>
      </c>
      <c r="CA8" s="13" t="n">
        <f aca="false">Finance!CD16</f>
        <v>60214.0421325</v>
      </c>
      <c r="CB8" s="12" t="str">
        <f aca="false">IF(COUNT(Finance!CE16)=1,Finance!CE16,"")</f>
        <v/>
      </c>
      <c r="CC8" s="12" t="n">
        <f aca="false">Finance!CF16</f>
        <v>64311.03480012</v>
      </c>
      <c r="CD8" s="12" t="n">
        <f aca="false">Finance!CG16</f>
        <v>57404.0976195</v>
      </c>
      <c r="CE8" s="13" t="str">
        <f aca="false">IF(COUNT(Finance!CH16)=1,Finance!CH16,"")</f>
        <v/>
      </c>
      <c r="CF8" s="13" t="n">
        <f aca="false">Finance!CI16</f>
        <v>57623.1462025239</v>
      </c>
      <c r="CG8" s="13" t="n">
        <f aca="false">Finance!CJ16</f>
        <v>50706.410531</v>
      </c>
      <c r="CH8" s="12" t="str">
        <f aca="false">IF(COUNT(Finance!CK16)=1,Finance!CK16,"")</f>
        <v/>
      </c>
      <c r="CI8" s="12" t="n">
        <f aca="false">Finance!CL16</f>
        <v>50960.0084030835</v>
      </c>
      <c r="CJ8" s="12" t="n">
        <f aca="false">Finance!CM16</f>
        <v>44049.287337</v>
      </c>
      <c r="CK8" s="13" t="str">
        <f aca="false">IF(COUNT(Finance!CN16)=1,Finance!CN16,"")</f>
        <v/>
      </c>
      <c r="CL8" s="13" t="n">
        <f aca="false">Finance!CO16</f>
        <v>46633.5839046563</v>
      </c>
      <c r="CM8" s="13" t="n">
        <f aca="false">Finance!CP16</f>
        <v>39728.75654</v>
      </c>
      <c r="CN8" s="12" t="str">
        <f aca="false">IF(COUNT(Finance!CQ16)=1,Finance!CQ16,"")</f>
        <v/>
      </c>
      <c r="CO8" s="12" t="n">
        <f aca="false">Finance!CR16</f>
        <v>42994.0527467109</v>
      </c>
      <c r="CP8" s="12" t="n">
        <f aca="false">Finance!CS16</f>
        <v>36079.749682</v>
      </c>
      <c r="CQ8" s="13" t="str">
        <f aca="false">IF(COUNT(Finance!CT16)=1,Finance!CT16,"")</f>
        <v/>
      </c>
      <c r="CR8" s="13" t="n">
        <f aca="false">Finance!CU16</f>
        <v>36436.3837935571</v>
      </c>
      <c r="CS8" s="13" t="n">
        <f aca="false">Finance!CV16</f>
        <v>29528.0575065</v>
      </c>
      <c r="CT8" s="12" t="str">
        <f aca="false">IF(COUNT(Finance!CW16)=1,Finance!CW16,"")</f>
        <v/>
      </c>
      <c r="CU8" s="12" t="n">
        <f aca="false">Finance!CX16</f>
        <v>33831.5062627896</v>
      </c>
      <c r="CV8" s="12" t="n">
        <f aca="false">Finance!CY16</f>
        <v>26929.031078</v>
      </c>
      <c r="CW8" s="13" t="str">
        <f aca="false">IF(COUNT(Finance!CZ16)=1,Finance!CZ16,"")</f>
        <v/>
      </c>
      <c r="CX8" s="13" t="n">
        <f aca="false">Finance!DA16</f>
        <v>27389.5478674403</v>
      </c>
      <c r="CY8" s="13" t="n">
        <f aca="false">Finance!DB16</f>
        <v>20477.93305885</v>
      </c>
      <c r="CZ8" s="12" t="str">
        <f aca="false">IF(COUNT(Finance!DC16)=1,Finance!DC16,"")</f>
        <v/>
      </c>
      <c r="DA8" s="12" t="n">
        <f aca="false">Finance!DD16</f>
        <v>20972.6145089173</v>
      </c>
      <c r="DB8" s="12" t="n">
        <f aca="false">Finance!DE16</f>
        <v>1544.24873845</v>
      </c>
      <c r="DC8" s="13" t="str">
        <f aca="false">IF(COUNT(Finance!DF16)=1,Finance!DF16,"")</f>
        <v/>
      </c>
      <c r="DD8" s="13" t="n">
        <f aca="false">Finance!DG16</f>
        <v>8281.87242004253</v>
      </c>
      <c r="DE8" s="13" t="n">
        <f aca="false">Finance!DH16</f>
        <v>0</v>
      </c>
      <c r="DF8" s="12" t="n">
        <f aca="false">IF(COUNT(Finance!DI16)=1,Finance!DI16,"")</f>
        <v>3446.97362894549</v>
      </c>
      <c r="DG8" s="12" t="n">
        <f aca="false">Finance!DJ16</f>
        <v>3446.97362894549</v>
      </c>
      <c r="DH8" s="12" t="n">
        <f aca="false">Finance!DK16</f>
        <v>0</v>
      </c>
      <c r="DI8" s="13" t="n">
        <f aca="false">IF(COUNT(Finance!DL16)=1,Finance!DL16,"")</f>
        <v>0</v>
      </c>
      <c r="DJ8" s="13" t="n">
        <f aca="false">Finance!DM16</f>
        <v>0</v>
      </c>
      <c r="DK8" s="13" t="n">
        <f aca="false">Finance!DN16</f>
        <v>1757.48</v>
      </c>
      <c r="DL8" s="90" t="n">
        <v>0</v>
      </c>
      <c r="DM8" s="12" t="n">
        <f aca="false">IF('Cash Drivers'!DM$26,Finance!DL8,Finance!DN8)</f>
        <v>0</v>
      </c>
      <c r="DN8" s="90" t="n">
        <v>0</v>
      </c>
    </row>
    <row r="9" customFormat="false" ht="15" hidden="false" customHeight="false" outlineLevel="0" collapsed="false">
      <c r="A9" s="5" t="s">
        <v>278</v>
      </c>
      <c r="B9" s="12" t="str">
        <f aca="false">IF(COUNT(AR9,AO9,AL9,AI9,AF9,AC9,Z9,W9,T9,Q9,N9,K9)=0,"",SUM(AR9,AO9,AL9,AI9,AF9,AC9,Z9,W9,T9,Q9,N9,K9))</f>
        <v/>
      </c>
      <c r="C9" s="12" t="n">
        <f aca="false">IF(COUNT(AS9,AP9,AM9,AJ9,AG9,AD9,AA9,X9,U9,R9,O9,L9)=0,"",SUM(AS9,AP9,AM9,AJ9,AG9,AD9,AA9,X9,U9,R9,O9,L9))</f>
        <v>36000</v>
      </c>
      <c r="D9" s="12" t="n">
        <f aca="false">IF(COUNT(AT9,AQ9,AN9,AK9,AH9,AE9,AB9,Y9,V9,S9,P9,M9)=0,"",SUM(AT9,AQ9,AN9,AK9,AH9,AE9,AB9,Y9,V9,S9,P9,M9))</f>
        <v>36000</v>
      </c>
      <c r="E9" s="13" t="str">
        <f aca="false">IF(COUNT(CB9,BY9,BV9,BS9,BP9,BM9,BJ9,BG9,BD9,BA9,AX9,AU9)=0,"",SUM(CB9,BY9,BV9,BS9,BP9,BM9,BJ9,BG9,BD9,BA9,AX9,AU9))</f>
        <v/>
      </c>
      <c r="F9" s="13" t="n">
        <f aca="false">IF(COUNT(CC9,BZ9,BW9,BT9,BQ9,BN9,BK9,BH9,BE9,BB9,AY9,AV9)=0,"",SUM(CC9,BZ9,BW9,BT9,BQ9,BN9,BK9,BH9,BE9,BB9,AY9,AV9))</f>
        <v>90000</v>
      </c>
      <c r="G9" s="13" t="n">
        <f aca="false">IF(COUNT(CD9,CA9,BX9,BU9,BR9,BO9,BL9,BI9,BF9,BC9,AZ9,AW9)=0,"",SUM(CD9,CA9,BX9,BU9,BR9,BO9,BL9,BI9,BF9,BC9,AZ9,AW9))</f>
        <v>90000</v>
      </c>
      <c r="H9" s="12" t="n">
        <f aca="false">IF(COUNT(DL9,DI9,DF9,DC9,CZ9,CW9,CT9,CQ9,CN9,CK9,CH9,CE9)=0,"",SUM(DL9,DI9,DF9,DC9,CZ9,CW9,CT9,CQ9,CN9,CK9,CH9,CE9))</f>
        <v>0</v>
      </c>
      <c r="I9" s="12" t="n">
        <f aca="false">IF(COUNT(DM9,DJ9,DG9,DD9,DA9,CX9,CU9,CR9,CO9,CL9,CI9,CF9)=0,"",SUM(DM9,DJ9,DG9,DD9,DA9,CX9,CU9,CR9,CO9,CL9,CI9,CF9))</f>
        <v>18000</v>
      </c>
      <c r="J9" s="12" t="n">
        <f aca="false">IF(COUNT(DN9,DK9,DH9,DE9,DB9,CY9,CV9,CS9,CP9,CM9,CJ9,CG9)=0,"",SUM(DN9,DK9,DH9,DE9,DB9,CY9,CV9,CS9,CP9,CM9,CJ9,CG9))</f>
        <v>18000</v>
      </c>
      <c r="K9" s="13" t="str">
        <f aca="false">IF(COUNT(Summary!K19,Summary!N19)=2,MAX(0,Summary!K19-Summary!N19)*K18,"")</f>
        <v/>
      </c>
      <c r="L9" s="13" t="n">
        <f aca="false">MAX(0,Summary!L19-Summary!O19)*L18</f>
        <v>0</v>
      </c>
      <c r="M9" s="13" t="n">
        <f aca="false">MAX(0,Summary!M19-Summary!P19)*M18</f>
        <v>0</v>
      </c>
      <c r="N9" s="12" t="str">
        <f aca="false">IF(COUNT(Summary!N19,Summary!Q19)=2,MAX(0,Summary!N19-Summary!Q19)*N18,"")</f>
        <v/>
      </c>
      <c r="O9" s="12" t="n">
        <f aca="false">MAX(0,Summary!O19-Summary!R19)*O18</f>
        <v>0</v>
      </c>
      <c r="P9" s="12" t="n">
        <f aca="false">MAX(0,Summary!P19-Summary!S19)*P18</f>
        <v>0</v>
      </c>
      <c r="Q9" s="13" t="str">
        <f aca="false">IF(COUNT(Summary!Q19,Summary!T19)=2,MAX(0,Summary!Q19-Summary!T19)*Q18,"")</f>
        <v/>
      </c>
      <c r="R9" s="13" t="n">
        <f aca="false">MAX(0,Summary!R19-Summary!U19)*R18</f>
        <v>0</v>
      </c>
      <c r="S9" s="13" t="n">
        <f aca="false">MAX(0,Summary!S19-Summary!V19)*S18</f>
        <v>0</v>
      </c>
      <c r="T9" s="12" t="str">
        <f aca="false">IF(COUNT(Summary!T19,Summary!W19)=2,MAX(0,Summary!T19-Summary!W19)*T18,"")</f>
        <v/>
      </c>
      <c r="U9" s="12" t="n">
        <f aca="false">MAX(0,Summary!U19-Summary!X19)*U18</f>
        <v>0</v>
      </c>
      <c r="V9" s="12" t="n">
        <f aca="false">MAX(0,Summary!V19-Summary!Y19)*V18</f>
        <v>0</v>
      </c>
      <c r="W9" s="13" t="str">
        <f aca="false">IF(COUNT(Summary!W19,Summary!Z19)=2,MAX(0,Summary!W19-Summary!Z19)*W18,"")</f>
        <v/>
      </c>
      <c r="X9" s="13" t="n">
        <f aca="false">MAX(0,Summary!X19-Summary!AA19)*X18</f>
        <v>0</v>
      </c>
      <c r="Y9" s="13" t="n">
        <f aca="false">MAX(0,Summary!Y19-Summary!AB19)*Y18</f>
        <v>0</v>
      </c>
      <c r="Z9" s="12" t="str">
        <f aca="false">IF(COUNT(Summary!Z19,Summary!AC19)=2,MAX(0,Summary!Z19-Summary!AC19)*Z18,"")</f>
        <v/>
      </c>
      <c r="AA9" s="12" t="n">
        <f aca="false">MAX(0,Summary!AA19-Summary!AD19)*AA18</f>
        <v>4500</v>
      </c>
      <c r="AB9" s="12" t="n">
        <f aca="false">MAX(0,Summary!AB19-Summary!AE19)*AB18</f>
        <v>4500</v>
      </c>
      <c r="AC9" s="13" t="str">
        <f aca="false">IF(COUNT(Summary!AC19,Summary!AF19)=2,MAX(0,Summary!AC19-Summary!AF19)*AC18,"")</f>
        <v/>
      </c>
      <c r="AD9" s="13" t="n">
        <f aca="false">MAX(0,Summary!AD19-Summary!AG19)*AD18</f>
        <v>0</v>
      </c>
      <c r="AE9" s="13" t="n">
        <f aca="false">MAX(0,Summary!AE19-Summary!AH19)*AE18</f>
        <v>0</v>
      </c>
      <c r="AF9" s="12" t="str">
        <f aca="false">IF(COUNT(Summary!AF19,Summary!AI19)=2,MAX(0,Summary!AF19-Summary!AI19)*AF18,"")</f>
        <v/>
      </c>
      <c r="AG9" s="12" t="n">
        <f aca="false">MAX(0,Summary!AG19-Summary!AJ19)*AG18</f>
        <v>0</v>
      </c>
      <c r="AH9" s="12" t="n">
        <f aca="false">MAX(0,Summary!AH19-Summary!AK19)*AH18</f>
        <v>0</v>
      </c>
      <c r="AI9" s="13" t="str">
        <f aca="false">IF(COUNT(Summary!AI19,Summary!AL19)=2,MAX(0,Summary!AI19-Summary!AL19)*AI18,"")</f>
        <v/>
      </c>
      <c r="AJ9" s="13" t="n">
        <f aca="false">MAX(0,Summary!AJ19-Summary!AM19)*AJ18</f>
        <v>4500</v>
      </c>
      <c r="AK9" s="13" t="n">
        <f aca="false">MAX(0,Summary!AK19-Summary!AN19)*AK18</f>
        <v>4500</v>
      </c>
      <c r="AL9" s="12" t="str">
        <f aca="false">IF(COUNT(Summary!AL19,Summary!AO19)=2,MAX(0,Summary!AL19-Summary!AO19)*AL18,"")</f>
        <v/>
      </c>
      <c r="AM9" s="12" t="n">
        <f aca="false">MAX(0,Summary!AM19-Summary!AP19)*AM18</f>
        <v>9000</v>
      </c>
      <c r="AN9" s="12" t="n">
        <f aca="false">MAX(0,Summary!AN19-Summary!AQ19)*AN18</f>
        <v>9000</v>
      </c>
      <c r="AO9" s="13" t="str">
        <f aca="false">IF(COUNT(Summary!AO19,Summary!AR19)=2,MAX(0,Summary!AO19-Summary!AR19)*AO18,"")</f>
        <v/>
      </c>
      <c r="AP9" s="13" t="n">
        <f aca="false">MAX(0,Summary!AP19-Summary!AS19)*AP18</f>
        <v>9000</v>
      </c>
      <c r="AQ9" s="13" t="n">
        <f aca="false">MAX(0,Summary!AQ19-Summary!AT19)*AQ18</f>
        <v>9000</v>
      </c>
      <c r="AR9" s="12" t="str">
        <f aca="false">IF(COUNT(Summary!AR19,Summary!AU19)=2,MAX(0,Summary!AR19-Summary!AU19)*AR18,"")</f>
        <v/>
      </c>
      <c r="AS9" s="12" t="n">
        <f aca="false">MAX(0,Summary!AS19-Summary!AV19)*AS18</f>
        <v>9000</v>
      </c>
      <c r="AT9" s="12" t="n">
        <f aca="false">MAX(0,Summary!AT19-Summary!AW19)*AT18</f>
        <v>9000</v>
      </c>
      <c r="AU9" s="13" t="str">
        <f aca="false">IF(COUNT(Summary!AU19,Summary!AX19)=2,MAX(0,Summary!AU19-Summary!AX19)*AU18,"")</f>
        <v/>
      </c>
      <c r="AV9" s="13" t="n">
        <f aca="false">MAX(0,Summary!AV19-Summary!AY19)*AV18</f>
        <v>0</v>
      </c>
      <c r="AW9" s="13" t="n">
        <f aca="false">MAX(0,Summary!AW19-Summary!AZ19)*AW18</f>
        <v>0</v>
      </c>
      <c r="AX9" s="12" t="str">
        <f aca="false">IF(COUNT(Summary!AX19,Summary!BA19)=2,MAX(0,Summary!AX19-Summary!BA19)*AX18,"")</f>
        <v/>
      </c>
      <c r="AY9" s="12" t="n">
        <f aca="false">MAX(0,Summary!AY19-Summary!BB19)*AY18</f>
        <v>9000</v>
      </c>
      <c r="AZ9" s="12" t="n">
        <f aca="false">MAX(0,Summary!AZ19-Summary!BC19)*AZ18</f>
        <v>9000</v>
      </c>
      <c r="BA9" s="13" t="str">
        <f aca="false">IF(COUNT(Summary!BA19,Summary!BD19)=2,MAX(0,Summary!BA19-Summary!BD19)*BA18,"")</f>
        <v/>
      </c>
      <c r="BB9" s="13" t="n">
        <f aca="false">MAX(0,Summary!BB19-Summary!BE19)*BB18</f>
        <v>9000</v>
      </c>
      <c r="BC9" s="13" t="n">
        <f aca="false">MAX(0,Summary!BC19-Summary!BF19)*BC18</f>
        <v>9000</v>
      </c>
      <c r="BD9" s="12" t="str">
        <f aca="false">IF(COUNT(Summary!BD19,Summary!BG19)=2,MAX(0,Summary!BD19-Summary!BG19)*BD18,"")</f>
        <v/>
      </c>
      <c r="BE9" s="12" t="n">
        <f aca="false">MAX(0,Summary!BE19-Summary!BH19)*BE18</f>
        <v>9000</v>
      </c>
      <c r="BF9" s="12" t="n">
        <f aca="false">MAX(0,Summary!BF19-Summary!BI19)*BF18</f>
        <v>9000</v>
      </c>
      <c r="BG9" s="13" t="str">
        <f aca="false">IF(COUNT(Summary!BG19,Summary!BJ19)=2,MAX(0,Summary!BG19-Summary!BJ19)*BG18,"")</f>
        <v/>
      </c>
      <c r="BH9" s="13" t="n">
        <f aca="false">MAX(0,Summary!BH19-Summary!BK19)*BH18</f>
        <v>13500</v>
      </c>
      <c r="BI9" s="13" t="n">
        <f aca="false">MAX(0,Summary!BI19-Summary!BL19)*BI18</f>
        <v>13500</v>
      </c>
      <c r="BJ9" s="12" t="str">
        <f aca="false">IF(COUNT(Summary!BJ19,Summary!BM19)=2,MAX(0,Summary!BJ19-Summary!BM19)*BJ18,"")</f>
        <v/>
      </c>
      <c r="BK9" s="12" t="n">
        <f aca="false">MAX(0,Summary!BK19-Summary!BN19)*BK18</f>
        <v>4500</v>
      </c>
      <c r="BL9" s="12" t="n">
        <f aca="false">MAX(0,Summary!BL19-Summary!BO19)*BL18</f>
        <v>4500</v>
      </c>
      <c r="BM9" s="13" t="str">
        <f aca="false">IF(COUNT(Summary!BM19,Summary!BP19)=2,MAX(0,Summary!BM19-Summary!BP19)*BM18,"")</f>
        <v/>
      </c>
      <c r="BN9" s="13" t="n">
        <f aca="false">MAX(0,Summary!BN19-Summary!BQ19)*BN18</f>
        <v>13500</v>
      </c>
      <c r="BO9" s="13" t="n">
        <f aca="false">MAX(0,Summary!BO19-Summary!BR19)*BO18</f>
        <v>13500</v>
      </c>
      <c r="BP9" s="12" t="str">
        <f aca="false">IF(COUNT(Summary!BP19,Summary!BS19)=2,MAX(0,Summary!BP19-Summary!BS19)*BP18,"")</f>
        <v/>
      </c>
      <c r="BQ9" s="12" t="n">
        <f aca="false">MAX(0,Summary!BQ19-Summary!BT19)*BQ18</f>
        <v>4500</v>
      </c>
      <c r="BR9" s="12" t="n">
        <f aca="false">MAX(0,Summary!BR19-Summary!BU19)*BR18</f>
        <v>4500</v>
      </c>
      <c r="BS9" s="13" t="str">
        <f aca="false">IF(COUNT(Summary!BS19,Summary!BV19)=2,MAX(0,Summary!BS19-Summary!BV19)*BS18,"")</f>
        <v/>
      </c>
      <c r="BT9" s="13" t="n">
        <f aca="false">MAX(0,Summary!BT19-Summary!BW19)*BT18</f>
        <v>9000</v>
      </c>
      <c r="BU9" s="13" t="n">
        <f aca="false">MAX(0,Summary!BU19-Summary!BX19)*BU18</f>
        <v>9000</v>
      </c>
      <c r="BV9" s="12" t="str">
        <f aca="false">IF(COUNT(Summary!BV19,Summary!BY19)=2,MAX(0,Summary!BV19-Summary!BY19)*BV18,"")</f>
        <v/>
      </c>
      <c r="BW9" s="12" t="n">
        <f aca="false">MAX(0,Summary!BW19-Summary!BZ19)*BW18</f>
        <v>4500</v>
      </c>
      <c r="BX9" s="12" t="n">
        <f aca="false">MAX(0,Summary!BX19-Summary!CA19)*BX18</f>
        <v>4500</v>
      </c>
      <c r="BY9" s="13" t="str">
        <f aca="false">IF(COUNT(Summary!BY19,Summary!CB19)=2,MAX(0,Summary!BY19-Summary!CB19)*BY18,"")</f>
        <v/>
      </c>
      <c r="BZ9" s="13" t="n">
        <f aca="false">MAX(0,Summary!BZ19-Summary!CC19)*BZ18</f>
        <v>9000</v>
      </c>
      <c r="CA9" s="13" t="n">
        <f aca="false">MAX(0,Summary!CA19-Summary!CD19)*CA18</f>
        <v>9000</v>
      </c>
      <c r="CB9" s="12" t="str">
        <f aca="false">IF(COUNT(Summary!CB19,Summary!CE19)=2,MAX(0,Summary!CB19-Summary!CE19)*CB18,"")</f>
        <v/>
      </c>
      <c r="CC9" s="12" t="n">
        <f aca="false">MAX(0,Summary!CC19-Summary!CF19)*CC18</f>
        <v>4500</v>
      </c>
      <c r="CD9" s="12" t="n">
        <f aca="false">MAX(0,Summary!CD19-Summary!CG19)*CD18</f>
        <v>4500</v>
      </c>
      <c r="CE9" s="13" t="str">
        <f aca="false">IF(COUNT(Summary!CE19,Summary!CH19)=2,MAX(0,Summary!CE19-Summary!CH19)*CE18,"")</f>
        <v/>
      </c>
      <c r="CF9" s="13" t="n">
        <f aca="false">MAX(0,Summary!CF19-Summary!CI19)*CF18</f>
        <v>0</v>
      </c>
      <c r="CG9" s="13" t="n">
        <f aca="false">MAX(0,Summary!CG19-Summary!CJ19)*CG18</f>
        <v>0</v>
      </c>
      <c r="CH9" s="12" t="str">
        <f aca="false">IF(COUNT(Summary!CH19,Summary!CK19)=2,MAX(0,Summary!CH19-Summary!CK19)*CH18,"")</f>
        <v/>
      </c>
      <c r="CI9" s="12" t="n">
        <f aca="false">MAX(0,Summary!CI19-Summary!CL19)*CI18</f>
        <v>0</v>
      </c>
      <c r="CJ9" s="12" t="n">
        <f aca="false">MAX(0,Summary!CJ19-Summary!CM19)*CJ18</f>
        <v>0</v>
      </c>
      <c r="CK9" s="13" t="str">
        <f aca="false">IF(COUNT(Summary!CK19,Summary!CN19)=2,MAX(0,Summary!CK19-Summary!CN19)*CK18,"")</f>
        <v/>
      </c>
      <c r="CL9" s="13" t="n">
        <f aca="false">MAX(0,Summary!CL19-Summary!CO19)*CL18</f>
        <v>4500</v>
      </c>
      <c r="CM9" s="13" t="n">
        <f aca="false">MAX(0,Summary!CM19-Summary!CP19)*CM18</f>
        <v>4500</v>
      </c>
      <c r="CN9" s="12" t="str">
        <f aca="false">IF(COUNT(Summary!CN19,Summary!CQ19)=2,MAX(0,Summary!CN19-Summary!CQ19)*CN18,"")</f>
        <v/>
      </c>
      <c r="CO9" s="12" t="n">
        <f aca="false">MAX(0,Summary!CO19-Summary!CR19)*CO18</f>
        <v>4500</v>
      </c>
      <c r="CP9" s="12" t="n">
        <f aca="false">MAX(0,Summary!CP19-Summary!CS19)*CP18</f>
        <v>4500</v>
      </c>
      <c r="CQ9" s="13" t="str">
        <f aca="false">IF(COUNT(Summary!CQ19,Summary!CT19)=2,MAX(0,Summary!CQ19-Summary!CT19)*CQ18,"")</f>
        <v/>
      </c>
      <c r="CR9" s="13" t="n">
        <f aca="false">MAX(0,Summary!CR19-Summary!CU19)*CR18</f>
        <v>0</v>
      </c>
      <c r="CS9" s="13" t="n">
        <f aca="false">MAX(0,Summary!CS19-Summary!CV19)*CS18</f>
        <v>0</v>
      </c>
      <c r="CT9" s="12" t="str">
        <f aca="false">IF(COUNT(Summary!CT19,Summary!CW19)=2,MAX(0,Summary!CT19-Summary!CW19)*CT18,"")</f>
        <v/>
      </c>
      <c r="CU9" s="12" t="n">
        <f aca="false">MAX(0,Summary!CU19-Summary!CX19)*CU18</f>
        <v>4500</v>
      </c>
      <c r="CV9" s="12" t="n">
        <f aca="false">MAX(0,Summary!CV19-Summary!CY19)*CV18</f>
        <v>4500</v>
      </c>
      <c r="CW9" s="13" t="str">
        <f aca="false">IF(COUNT(Summary!CW19,Summary!CZ19)=2,MAX(0,Summary!CW19-Summary!CZ19)*CW18,"")</f>
        <v/>
      </c>
      <c r="CX9" s="13" t="n">
        <f aca="false">MAX(0,Summary!CX19-Summary!DA19)*CX18</f>
        <v>0</v>
      </c>
      <c r="CY9" s="13" t="n">
        <f aca="false">MAX(0,Summary!CY19-Summary!DB19)*CY18</f>
        <v>0</v>
      </c>
      <c r="CZ9" s="12" t="str">
        <f aca="false">IF(COUNT(Summary!CZ19,Summary!DC19)=2,MAX(0,Summary!CZ19-Summary!DC19)*CZ18,"")</f>
        <v/>
      </c>
      <c r="DA9" s="12" t="n">
        <f aca="false">MAX(0,Summary!DA19-Summary!DD19)*DA18</f>
        <v>0</v>
      </c>
      <c r="DB9" s="12" t="n">
        <f aca="false">MAX(0,Summary!DB19-Summary!DE19)*DB18</f>
        <v>0</v>
      </c>
      <c r="DC9" s="13" t="str">
        <f aca="false">IF(COUNT(Summary!DC19,Summary!DF19)=2,MAX(0,Summary!DC19-Summary!DF19)*DC18,"")</f>
        <v/>
      </c>
      <c r="DD9" s="13" t="n">
        <f aca="false">MAX(0,Summary!DD19-Summary!DG19)*DD18</f>
        <v>4500</v>
      </c>
      <c r="DE9" s="13" t="n">
        <f aca="false">MAX(0,Summary!DE19-Summary!DH19)*DE18</f>
        <v>4500</v>
      </c>
      <c r="DF9" s="12" t="str">
        <f aca="false">IF(COUNT(Summary!DF19,Summary!DI19)=2,MAX(0,Summary!DF19-Summary!DI19)*DF18,"")</f>
        <v/>
      </c>
      <c r="DG9" s="12" t="n">
        <f aca="false">MAX(0,Summary!DG19-Summary!DJ19)*DG18</f>
        <v>0</v>
      </c>
      <c r="DH9" s="12" t="n">
        <f aca="false">MAX(0,Summary!DH19-Summary!DK19)*DH18</f>
        <v>0</v>
      </c>
      <c r="DI9" s="13" t="n">
        <f aca="false">IF(COUNT(Summary!DI19,Summary!DL19)=2,MAX(0,Summary!DI19-Summary!DL19)*DI18,"")</f>
        <v>0</v>
      </c>
      <c r="DJ9" s="13" t="n">
        <f aca="false">MAX(0,Summary!DJ19-Summary!DM19)*DJ18</f>
        <v>0</v>
      </c>
      <c r="DK9" s="13" t="n">
        <f aca="false">MAX(0,Summary!DK19-Summary!DN19)*DK18</f>
        <v>0</v>
      </c>
      <c r="DL9" s="90" t="n">
        <v>0</v>
      </c>
      <c r="DM9" s="12" t="n">
        <f aca="false">IF('Cash Drivers'!DM$26,Finance!DL9,Finance!DN9)</f>
        <v>0</v>
      </c>
      <c r="DN9" s="90" t="n">
        <v>0</v>
      </c>
    </row>
    <row r="10" customFormat="false" ht="15" hidden="false" customHeight="false" outlineLevel="0" collapsed="false">
      <c r="A10" s="5" t="s">
        <v>279</v>
      </c>
      <c r="B10" s="12" t="str">
        <f aca="false">IF(COUNT(AR10,AO10,AL10,AI10,AF10,AC10,Z10,W10,T10,Q10,N10,K10)=0,"",SUM(AR10,AO10,AL10,AI10,AF10,AC10,Z10,W10,T10,Q10,N10,K10))</f>
        <v/>
      </c>
      <c r="C10" s="12" t="n">
        <f aca="false">IF(COUNT(AS10,AP10,AM10,AJ10,AG10,AD10,AA10,X10,U10,R10,O10,L10)=0,"",SUM(AS10,AP10,AM10,AJ10,AG10,AD10,AA10,X10,U10,R10,O10,L10))</f>
        <v>4803199.60718092</v>
      </c>
      <c r="D10" s="12" t="n">
        <f aca="false">IF(COUNT(AT10,AQ10,AN10,AK10,AH10,AE10,AB10,Y10,V10,S10,P10,M10)=0,"",SUM(AT10,AQ10,AN10,AK10,AH10,AE10,AB10,Y10,V10,S10,P10,M10))</f>
        <v>4575423.0228265</v>
      </c>
      <c r="E10" s="13" t="str">
        <f aca="false">IF(COUNT(CB10,BY10,BV10,BS10,BP10,BM10,BJ10,BG10,BD10,BA10,AX10,AU10)=0,"",SUM(CB10,BY10,BV10,BS10,BP10,BM10,BJ10,BG10,BD10,BA10,AX10,AU10))</f>
        <v/>
      </c>
      <c r="F10" s="13" t="n">
        <f aca="false">IF(COUNT(CC10,BZ10,BW10,BT10,BQ10,BN10,BK10,BH10,BE10,BB10,AY10,AV10)=0,"",SUM(CC10,BZ10,BW10,BT10,BQ10,BN10,BK10,BH10,BE10,BB10,AY10,AV10))</f>
        <v>2258894.41375476</v>
      </c>
      <c r="G10" s="13" t="n">
        <f aca="false">IF(COUNT(CD10,CA10,BX10,BU10,BR10,BO10,BL10,BI10,BF10,BC10,AZ10,AW10)=0,"",SUM(CD10,CA10,BX10,BU10,BR10,BO10,BL10,BI10,BF10,BC10,AZ10,AW10))</f>
        <v>2028791.4347555</v>
      </c>
      <c r="H10" s="12" t="n">
        <f aca="false">IF(COUNT(DL10,DI10,DF10,DC10,CZ10,CW10,CT10,CQ10,CN10,CK10,CH10,CE10)=0,"",SUM(DL10,DI10,DF10,DC10,CZ10,CW10,CT10,CQ10,CN10,CK10,CH10,CE10))</f>
        <v>-22014.9736289455</v>
      </c>
      <c r="I10" s="12" t="n">
        <f aca="false">IF(COUNT(DM10,DJ10,DG10,DD10,DA10,CX10,CU10,CR10,CO10,CL10,CI10,CF10)=0,"",SUM(DM10,DJ10,DG10,DD10,DA10,CX10,CU10,CR10,CO10,CL10,CI10,CF10))</f>
        <v>1853151.31026133</v>
      </c>
      <c r="J10" s="12" t="n">
        <f aca="false">IF(COUNT(DN10,DK10,DH10,DE10,DB10,CY10,CV10,CS10,CP10,CM10,CJ10,CG10)=0,"",SUM(DN10,DK10,DH10,DE10,DB10,CY10,CV10,CS10,CP10,CM10,CJ10,CG10))</f>
        <v>641858.0455282</v>
      </c>
      <c r="K10" s="13" t="str">
        <f aca="false">IF(COUNT(K5,K7,K8,K9,K51,K52,K53)=0,"",K5+K51-K7-K8-K9-K52-K53)</f>
        <v/>
      </c>
      <c r="L10" s="13" t="n">
        <f aca="false">L5+L51-L7-L8-L9-L52-L53</f>
        <v>605309.450368703</v>
      </c>
      <c r="M10" s="13" t="n">
        <f aca="false">M5+M51-M7-M8-M9-M52-M53</f>
        <v>586463.40991</v>
      </c>
      <c r="N10" s="12" t="str">
        <f aca="false">IF(COUNT(N5,N7,N8,N9,N51,N52,N53)=0,"",N5+N51-N7-N8-N9-N52-N53)</f>
        <v/>
      </c>
      <c r="O10" s="12" t="n">
        <f aca="false">O5+O51-O7-O8-O9-O52-O53</f>
        <v>565083.766951494</v>
      </c>
      <c r="P10" s="12" t="n">
        <f aca="false">P5+P51-P7-P8-P9-P52-P53</f>
        <v>546213.352736</v>
      </c>
      <c r="Q10" s="13" t="str">
        <f aca="false">IF(COUNT(Q5,Q7,Q8,Q9,Q51,Q52,Q53)=0,"",Q5+Q51-Q7-Q8-Q9-Q52-Q53)</f>
        <v/>
      </c>
      <c r="R10" s="13" t="n">
        <f aca="false">R5+R51-R7-R8-R9-R52-R53</f>
        <v>525226.939849543</v>
      </c>
      <c r="S10" s="13" t="n">
        <f aca="false">S5+S51-S7-S8-S9-S52-S53</f>
        <v>506332.252047</v>
      </c>
      <c r="T10" s="12" t="str">
        <f aca="false">IF(COUNT(T5,T7,T8,T9,T51,T52,T53)=0,"",T5+T51-T7-T8-T9-T52-T53)</f>
        <v/>
      </c>
      <c r="U10" s="12" t="n">
        <f aca="false">U5+U51-U7-U8-U9-U52-U53</f>
        <v>485688.387946712</v>
      </c>
      <c r="V10" s="12" t="n">
        <f aca="false">V5+V51-V7-V8-V9-V52-V53</f>
        <v>466769.3562995</v>
      </c>
      <c r="W10" s="13" t="str">
        <f aca="false">IF(COUNT(W5,W7,W8,W9,W51,W52,W53)=0,"",W5+W51-W7-W8-W9-W52-W53)</f>
        <v/>
      </c>
      <c r="X10" s="13" t="n">
        <f aca="false">X5+X51-X7-X8-X9-X52-X53</f>
        <v>446466.376638773</v>
      </c>
      <c r="Y10" s="13" t="n">
        <f aca="false">Y5+Y51-Y7-Y8-Y9-Y52-Y53</f>
        <v>427523.9287975</v>
      </c>
      <c r="Z10" s="12" t="str">
        <f aca="false">IF(COUNT(Z5,Z7,Z8,Z9,Z51,Z52,Z53)=0,"",Z5+Z51-Z7-Z8-Z9-Z52-Z53)</f>
        <v/>
      </c>
      <c r="AA10" s="12" t="n">
        <f aca="false">AA5+AA51-AA7-AA8-AA9-AA52-AA53</f>
        <v>399163.020551142</v>
      </c>
      <c r="AB10" s="12" t="n">
        <f aca="false">AB5+AB51-AB7-AB8-AB9-AB52-AB53</f>
        <v>380196.2655025</v>
      </c>
      <c r="AC10" s="13" t="str">
        <f aca="false">IF(COUNT(AC5,AC7,AC8,AC9,AC51,AC52,AC53)=0,"",AC5+AC51-AC7-AC8-AC9-AC52-AC53)</f>
        <v/>
      </c>
      <c r="AD10" s="13" t="n">
        <f aca="false">AD5+AD51-AD7-AD8-AD9-AD52-AD53</f>
        <v>379863.203372994</v>
      </c>
      <c r="AE10" s="13" t="n">
        <f aca="false">AE5+AE51-AE7-AE8-AE9-AE52-AE53</f>
        <v>360873.0713445</v>
      </c>
      <c r="AF10" s="12" t="str">
        <f aca="false">IF(COUNT(AF5,AF7,AF8,AF9,AF51,AF52,AF53)=0,"",AF5+AF51-AF7-AF8-AF9-AF52-AF53)</f>
        <v/>
      </c>
      <c r="AG10" s="12" t="n">
        <f aca="false">AG5+AG51-AG7-AG8-AG9-AG52-AG53</f>
        <v>341788.029602924</v>
      </c>
      <c r="AH10" s="12" t="n">
        <f aca="false">AH5+AH51-AH7-AH8-AH9-AH52-AH53</f>
        <v>322772.641422</v>
      </c>
      <c r="AI10" s="13" t="str">
        <f aca="false">IF(COUNT(AI5,AI7,AI8,AI9,AI51,AI52,AI53)=0,"",AI5+AI51-AI7-AI8-AI9-AI52-AI53)</f>
        <v/>
      </c>
      <c r="AJ10" s="13" t="n">
        <f aca="false">AJ5+AJ51-AJ7-AJ8-AJ9-AJ52-AJ53</f>
        <v>295662.303669528</v>
      </c>
      <c r="AK10" s="13" t="n">
        <f aca="false">AK5+AK51-AK7-AK8-AK9-AK52-AK53</f>
        <v>276623.786883</v>
      </c>
      <c r="AL10" s="12" t="str">
        <f aca="false">IF(COUNT(AL5,AL7,AL8,AL9,AL51,AL52,AL53)=0,"",AL5+AL51-AL7-AL8-AL9-AL52-AL53)</f>
        <v/>
      </c>
      <c r="AM10" s="12" t="n">
        <f aca="false">AM5+AM51-AM7-AM8-AM9-AM52-AM53</f>
        <v>263487.49604152</v>
      </c>
      <c r="AN10" s="12" t="n">
        <f aca="false">AN5+AN51-AN7-AN8-AN9-AN52-AN53</f>
        <v>244424.7824215</v>
      </c>
      <c r="AO10" s="13" t="str">
        <f aca="false">IF(COUNT(AO5,AO7,AO8,AO9,AO51,AO52,AO53)=0,"",AO5+AO51-AO7-AO8-AO9-AO52-AO53)</f>
        <v/>
      </c>
      <c r="AP10" s="13" t="n">
        <f aca="false">AP5+AP51-AP7-AP8-AP9-AP52-AP53</f>
        <v>241803.503436061</v>
      </c>
      <c r="AQ10" s="13" t="n">
        <f aca="false">AQ5+AQ51-AQ7-AQ8-AQ9-AQ52-AQ53</f>
        <v>222689.846289</v>
      </c>
      <c r="AR10" s="12" t="str">
        <f aca="false">IF(COUNT(AR5,AR7,AR8,AR9,AR51,AR52,AR53)=0,"",AR5+AR51-AR7-AR8-AR9-AR52-AR53)</f>
        <v/>
      </c>
      <c r="AS10" s="12" t="n">
        <f aca="false">AS5+AS51-AS7-AS8-AS9-AS52-AS53</f>
        <v>253657.128751521</v>
      </c>
      <c r="AT10" s="12" t="n">
        <f aca="false">AT5+AT51-AT7-AT8-AT9-AT52-AT53</f>
        <v>234540.329174</v>
      </c>
      <c r="AU10" s="13" t="str">
        <f aca="false">IF(COUNT(AU5,AU7,AU8,AU9,AU51,AU52,AU53)=0,"",AU5+AU51-AU7-AU8-AU9-AU52-AU53)</f>
        <v/>
      </c>
      <c r="AV10" s="13" t="n">
        <f aca="false">AV5+AV51-AV7-AV8-AV9-AV52-AV53</f>
        <v>263925.514541234</v>
      </c>
      <c r="AW10" s="13" t="n">
        <f aca="false">AW5+AW51-AW7-AW8-AW9-AW52-AW53</f>
        <v>244759.5143055</v>
      </c>
      <c r="AX10" s="12" t="str">
        <f aca="false">IF(COUNT(AX5,AX7,AX8,AX9,AX51,AX52,AX53)=0,"",AX5+AX51-AX7-AX8-AX9-AX52-AX53)</f>
        <v/>
      </c>
      <c r="AY10" s="12" t="n">
        <f aca="false">AY5+AY51-AY7-AY8-AY9-AY52-AY53</f>
        <v>219598.347960523</v>
      </c>
      <c r="AZ10" s="12" t="n">
        <f aca="false">AZ5+AZ51-AZ7-AZ8-AZ9-AZ52-AZ53</f>
        <v>200431.1789755</v>
      </c>
      <c r="BA10" s="13" t="str">
        <f aca="false">IF(COUNT(BA5,BA7,BA8,BA9,BA51,BA52,BA53)=0,"",BA5+BA51-BA7-BA8-BA9-BA52-BA53)</f>
        <v/>
      </c>
      <c r="BB10" s="13" t="n">
        <f aca="false">BB5+BB51-BB7-BB8-BB9-BB52-BB53</f>
        <v>212241.743762408</v>
      </c>
      <c r="BC10" s="13" t="n">
        <f aca="false">BC5+BC51-BC7-BC8-BC9-BC52-BC53</f>
        <v>193071.5301655</v>
      </c>
      <c r="BD10" s="12" t="str">
        <f aca="false">IF(COUNT(BD5,BD7,BD8,BD9,BD51,BD52,BD53)=0,"",BD5+BD51-BD7-BD8-BD9-BD52-BD53)</f>
        <v/>
      </c>
      <c r="BE10" s="12" t="n">
        <f aca="false">BE5+BE51-BE7-BE8-BE9-BE52-BE53</f>
        <v>209200.77689381</v>
      </c>
      <c r="BF10" s="12" t="n">
        <f aca="false">BF5+BF51-BF7-BF8-BF9-BF52-BF53</f>
        <v>190028.4176885</v>
      </c>
      <c r="BG10" s="13" t="str">
        <f aca="false">IF(COUNT(BG5,BG7,BG8,BG9,BG51,BG52,BG53)=0,"",BG5+BG51-BG7-BG8-BG9-BG52-BG53)</f>
        <v/>
      </c>
      <c r="BH10" s="13" t="n">
        <f aca="false">BH5+BH51-BH7-BH8-BH9-BH52-BH53</f>
        <v>184413.098865969</v>
      </c>
      <c r="BI10" s="13" t="n">
        <f aca="false">BI5+BI51-BI7-BI8-BI9-BI52-BI53</f>
        <v>165236.723258</v>
      </c>
      <c r="BJ10" s="12" t="str">
        <f aca="false">IF(COUNT(BJ5,BJ7,BJ8,BJ9,BJ51,BJ52,BJ53)=0,"",BJ5+BJ51-BJ7-BJ8-BJ9-BJ52-BJ53)</f>
        <v/>
      </c>
      <c r="BK10" s="12" t="n">
        <f aca="false">BK5+BK51-BK7-BK8-BK9-BK52-BK53</f>
        <v>206505.04378068</v>
      </c>
      <c r="BL10" s="12" t="n">
        <f aca="false">BL5+BL51-BL7-BL8-BL9-BL52-BL53</f>
        <v>187326.5468875</v>
      </c>
      <c r="BM10" s="13" t="str">
        <f aca="false">IF(COUNT(BM5,BM7,BM8,BM9,BM51,BM52,BM53)=0,"",BM5+BM51-BM7-BM8-BM9-BM52-BM53)</f>
        <v/>
      </c>
      <c r="BN10" s="13" t="n">
        <f aca="false">BN5+BN51-BN7-BN8-BN9-BN52-BN53</f>
        <v>171324.802243212</v>
      </c>
      <c r="BO10" s="13" t="n">
        <f aca="false">BO5+BO51-BO7-BO8-BO9-BO52-BO53</f>
        <v>152143.3187405</v>
      </c>
      <c r="BP10" s="12" t="str">
        <f aca="false">IF(COUNT(BP5,BP7,BP8,BP9,BP51,BP52,BP53)=0,"",BP5+BP51-BP7-BP8-BP9-BP52-BP53)</f>
        <v/>
      </c>
      <c r="BQ10" s="12" t="n">
        <f aca="false">BQ5+BQ51-BQ7-BQ8-BQ9-BQ52-BQ53</f>
        <v>185561.722671599</v>
      </c>
      <c r="BR10" s="12" t="n">
        <f aca="false">BR5+BR51-BR7-BR8-BR9-BR52-BR53</f>
        <v>166378.3924435</v>
      </c>
      <c r="BS10" s="13" t="str">
        <f aca="false">IF(COUNT(BS5,BS7,BS8,BS9,BS51,BS52,BS53)=0,"",BS5+BS51-BS7-BS8-BS9-BS52-BS53)</f>
        <v/>
      </c>
      <c r="BT10" s="13" t="n">
        <f aca="false">BT5+BT51-BT7-BT8-BT9-BT52-BT53</f>
        <v>157056.385418468</v>
      </c>
      <c r="BU10" s="13" t="n">
        <f aca="false">BU5+BU51-BU7-BU8-BU9-BU52-BU53</f>
        <v>137869.104953</v>
      </c>
      <c r="BV10" s="12" t="str">
        <f aca="false">IF(COUNT(BV5,BV7,BV8,BV9,BV51,BV52,BV53)=0,"",BV5+BV51-BV7-BV8-BV9-BV52-BV53)</f>
        <v/>
      </c>
      <c r="BW10" s="12" t="n">
        <f aca="false">BW5+BW51-BW7-BW8-BW9-BW52-BW53</f>
        <v>155977.92559587</v>
      </c>
      <c r="BX10" s="12" t="n">
        <f aca="false">BX5+BX51-BX7-BX8-BX9-BX52-BX53</f>
        <v>136787.84709</v>
      </c>
      <c r="BY10" s="13" t="str">
        <f aca="false">IF(COUNT(BY5,BY7,BY8,BY9,BY51,BY52,BY53)=0,"",BY5+BY51-BY7-BY8-BY9-BY52-BY53)</f>
        <v/>
      </c>
      <c r="BZ10" s="13" t="n">
        <f aca="false">BZ5+BZ51-BZ7-BZ8-BZ9-BZ52-BZ53</f>
        <v>130112.086821108</v>
      </c>
      <c r="CA10" s="13" t="n">
        <f aca="false">CA5+CA51-CA7-CA8-CA9-CA52-CA53</f>
        <v>110938.9578675</v>
      </c>
      <c r="CB10" s="12" t="str">
        <f aca="false">IF(COUNT(CB5,CB7,CB8,CB9,CB51,CB52,CB53)=0,"",CB5+CB51-CB7-CB8-CB9-CB52-CB53)</f>
        <v/>
      </c>
      <c r="CC10" s="12" t="n">
        <f aca="false">CC5+CC51-CC7-CC8-CC9-CC52-CC53</f>
        <v>162976.96519988</v>
      </c>
      <c r="CD10" s="12" t="n">
        <f aca="false">CD5+CD51-CD7-CD8-CD9-CD52-CD53</f>
        <v>143819.9023805</v>
      </c>
      <c r="CE10" s="13" t="str">
        <f aca="false">IF(COUNT(CE5,CE7,CE8,CE9,CE51,CE52,CE53)=0,"",CE5+CE51-CE7-CE8-CE9-CE52-CE53)</f>
        <v/>
      </c>
      <c r="CF10" s="13" t="n">
        <f aca="false">CF5+CF51-CF7-CF8-CF9-CF52-CF53</f>
        <v>163567.853797476</v>
      </c>
      <c r="CG10" s="13" t="n">
        <f aca="false">CG5+CG51-CG7-CG8-CG9-CG52-CG53</f>
        <v>144383.589469</v>
      </c>
      <c r="CH10" s="12" t="str">
        <f aca="false">IF(COUNT(CH5,CH7,CH8,CH9,CH51,CH52,CH53)=0,"",CH5+CH51-CH7-CH8-CH9-CH52-CH53)</f>
        <v/>
      </c>
      <c r="CI10" s="12" t="n">
        <f aca="false">CI5+CI51-CI7-CI8-CI9-CI52-CI53</f>
        <v>145086.991596916</v>
      </c>
      <c r="CJ10" s="12" t="n">
        <f aca="false">CJ5+CJ51-CJ7-CJ8-CJ9-CJ52-CJ53</f>
        <v>125919.712663</v>
      </c>
      <c r="CK10" s="13" t="str">
        <f aca="false">IF(COUNT(CK5,CK7,CK8,CK9,CK51,CK52,CK53)=0,"",CK5+CK51-CK7-CK8-CK9-CK52-CK53)</f>
        <v/>
      </c>
      <c r="CL10" s="13" t="n">
        <f aca="false">CL5+CL51-CL7-CL8-CL9-CL52-CL53</f>
        <v>119922.416095344</v>
      </c>
      <c r="CM10" s="13" t="n">
        <f aca="false">CM5+CM51-CM7-CM8-CM9-CM52-CM53</f>
        <v>100771.24346</v>
      </c>
      <c r="CN10" s="12" t="str">
        <f aca="false">IF(COUNT(CN5,CN7,CN8,CN9,CN51,CN52,CN53)=0,"",CN5+CN51-CN7-CN8-CN9-CN52-CN53)</f>
        <v/>
      </c>
      <c r="CO10" s="12" t="n">
        <f aca="false">CO5+CO51-CO7-CO8-CO9-CO52-CO53</f>
        <v>107262.947253289</v>
      </c>
      <c r="CP10" s="12" t="n">
        <f aca="false">CP5+CP51-CP7-CP8-CP9-CP52-CP53</f>
        <v>88085.250318</v>
      </c>
      <c r="CQ10" s="13" t="str">
        <f aca="false">IF(COUNT(CQ5,CQ7,CQ8,CQ9,CQ51,CQ52,CQ53)=0,"",CQ5+CQ51-CQ7-CQ8-CQ9-CQ52-CQ53)</f>
        <v/>
      </c>
      <c r="CR10" s="13" t="n">
        <f aca="false">CR5+CR51-CR7-CR8-CR9-CR52-CR53</f>
        <v>104554.616206443</v>
      </c>
      <c r="CS10" s="13" t="n">
        <f aca="false">CS5+CS51-CS7-CS8-CS9-CS52-CS53</f>
        <v>85393.9424935</v>
      </c>
      <c r="CT10" s="12" t="str">
        <f aca="false">IF(COUNT(CT5,CT7,CT8,CT9,CT51,CT52,CT53)=0,"",CT5+CT51-CT7-CT8-CT9-CT52-CT53)</f>
        <v/>
      </c>
      <c r="CU10" s="12" t="n">
        <f aca="false">CU5+CU51-CU7-CU8-CU9-CU52-CU53</f>
        <v>78064.4937372104</v>
      </c>
      <c r="CV10" s="12" t="n">
        <f aca="false">CV5+CV51-CV7-CV8-CV9-CV52-CV53</f>
        <v>58919.968922</v>
      </c>
      <c r="CW10" s="13" t="str">
        <f aca="false">IF(COUNT(CW5,CW7,CW8,CW9,CW51,CW52,CW53)=0,"",CW5+CW51-CW7-CW8-CW9-CW52-CW53)</f>
        <v/>
      </c>
      <c r="CX10" s="13" t="n">
        <f aca="false">CX5+CX51-CX7-CX8-CX9-CX52-CX53</f>
        <v>79202.4521325597</v>
      </c>
      <c r="CY10" s="13" t="n">
        <f aca="false">CY5+CY51-CY7-CY8-CY9-CY52-CY53</f>
        <v>60032.06694115</v>
      </c>
      <c r="CZ10" s="12" t="str">
        <f aca="false">IF(COUNT(CZ5,CZ7,CZ8,CZ9,CZ51,CZ52,CZ53)=0,"",CZ5+CZ51-CZ7-CZ8-CZ9-CZ52-CZ53)</f>
        <v/>
      </c>
      <c r="DA10" s="12" t="n">
        <f aca="false">DA5+DA51-DA7-DA8-DA9-DA52-DA53</f>
        <v>61404.3854910827</v>
      </c>
      <c r="DB10" s="12" t="n">
        <f aca="false">DB5+DB51-DB7-DB8-DB9-DB52-DB53</f>
        <v>54773.75126155</v>
      </c>
      <c r="DC10" s="13" t="str">
        <f aca="false">IF(COUNT(DC5,DC7,DC8,DC9,DC51,DC52,DC53)=0,"",DC5+DC51-DC7-DC8-DC9-DC52-DC53)</f>
        <v/>
      </c>
      <c r="DD10" s="13" t="n">
        <f aca="false">DD5+DD51-DD7-DD8-DD9-DD52-DD53</f>
        <v>32335.1275799575</v>
      </c>
      <c r="DE10" s="13" t="n">
        <f aca="false">DE5+DE51-DE7-DE8-DE9-DE52-DE53</f>
        <v>4926</v>
      </c>
      <c r="DF10" s="12" t="n">
        <f aca="false">IF(COUNT(DF5,DF7,DF8,DF9,DF51,DF52,DF53)=0,"",DF5+DF51-DF7-DF8-DF9-DF52-DF53)</f>
        <v>-3446.97362894549</v>
      </c>
      <c r="DG10" s="12" t="n">
        <f aca="false">DG5+DG51-DG7-DG8-DG9-DG52-DG53</f>
        <v>980318.026371055</v>
      </c>
      <c r="DH10" s="12" t="n">
        <f aca="false">DH5+DH51-DH7-DH8-DH9-DH52-DH53</f>
        <v>933213</v>
      </c>
      <c r="DI10" s="13" t="n">
        <f aca="false">IF(COUNT(DI5,DI7,DI8,DI9,DI51,DI52,DI53)=0,"",DI5+DI51-DI7-DI8-DI9-DI52-DI53)</f>
        <v>10542</v>
      </c>
      <c r="DJ10" s="13" t="n">
        <f aca="false">DJ5+DJ51-DJ7-DJ8-DJ9-DJ52-DJ53</f>
        <v>10542</v>
      </c>
      <c r="DK10" s="13" t="n">
        <f aca="false">DK5+DK51-DK7-DK8-DK9-DK52-DK53</f>
        <v>-27450.48</v>
      </c>
      <c r="DL10" s="12" t="n">
        <f aca="false">IF(COUNT(DL5,DL7,DL8,DL9,DL51,DL52,DL53)=0,"",DL5+DL51-DL7-DL8-DL9-DL52-DL53)</f>
        <v>-29110</v>
      </c>
      <c r="DM10" s="12" t="n">
        <f aca="false">DM5+DM51-DM7-DM8-DM9-DM52-DM53</f>
        <v>-29110</v>
      </c>
      <c r="DN10" s="12" t="n">
        <f aca="false">DN5+DN51-DN7-DN8-DN9-DN52-DN53</f>
        <v>-987110</v>
      </c>
    </row>
    <row r="11" customFormat="false" ht="15" hidden="false" customHeight="false" outlineLevel="0" collapsed="false">
      <c r="A11" s="5" t="s">
        <v>119</v>
      </c>
      <c r="B11" s="12" t="str">
        <f aca="false">IF(K11&lt;&gt;"",K11,IF(N11&lt;&gt;"",N11,IF(Q11&lt;&gt;"",Q11,IF(T11&lt;&gt;"",T11,IF(W11&lt;&gt;"",W11,IF(Z11&lt;&gt;"",Z11,IF(AC11&lt;&gt;"",AC11,IF(AF11&lt;&gt;"",AF11,IF(AI11&lt;&gt;"",AI11,IF(AL11&lt;&gt;"",AL11,IF(AO11&lt;&gt;"",AO11,IF(AR11&lt;&gt;"",AR11,""))))))))))))</f>
        <v/>
      </c>
      <c r="C11" s="12" t="n">
        <f aca="false">IF(L11&lt;&gt;"",L11,IF(O11&lt;&gt;"",O11,IF(R11&lt;&gt;"",R11,IF(U11&lt;&gt;"",U11,IF(X11&lt;&gt;"",X11,IF(AA11&lt;&gt;"",AA11,IF(AD11&lt;&gt;"",AD11,IF(AG11&lt;&gt;"",AG11,IF(AJ11&lt;&gt;"",AJ11,IF(AM11&lt;&gt;"",AM11,IF(AP11&lt;&gt;"",AP11,IF(AS11&lt;&gt;"",AS11,""))))))))))))</f>
        <v>10115245.331197</v>
      </c>
      <c r="D11" s="12" t="n">
        <f aca="false">IF(M11&lt;&gt;"",M11,IF(P11&lt;&gt;"",P11,IF(S11&lt;&gt;"",S11,IF(V11&lt;&gt;"",V11,IF(Y11&lt;&gt;"",Y11,IF(AB11&lt;&gt;"",AB11,IF(AE11&lt;&gt;"",AE11,IF(AH11&lt;&gt;"",AH11,IF(AK11&lt;&gt;"",AK11,IF(AN11&lt;&gt;"",AN11,IF(AQ11&lt;&gt;"",AQ11,IF(AT11&lt;&gt;"",AT11,""))))))))))))</f>
        <v>8446072.50291</v>
      </c>
      <c r="E11" s="13" t="str">
        <f aca="false">IF(AU11&lt;&gt;"",AU11,IF(AX11&lt;&gt;"",AX11,IF(BA11&lt;&gt;"",BA11,IF(BD11&lt;&gt;"",BD11,IF(BG11&lt;&gt;"",BG11,IF(BJ11&lt;&gt;"",BJ11,IF(BM11&lt;&gt;"",BM11,IF(BP11&lt;&gt;"",BP11,IF(BS11&lt;&gt;"",BS11,IF(BV11&lt;&gt;"",BV11,IF(BY11&lt;&gt;"",BY11,IF(CB11&lt;&gt;"",CB11,""))))))))))))</f>
        <v/>
      </c>
      <c r="F11" s="13" t="n">
        <f aca="false">IF(AV11&lt;&gt;"",AV11,IF(AY11&lt;&gt;"",AY11,IF(BB11&lt;&gt;"",BB11,IF(BE11&lt;&gt;"",BE11,IF(BH11&lt;&gt;"",BH11,IF(BK11&lt;&gt;"",BK11,IF(BN11&lt;&gt;"",BN11,IF(BQ11&lt;&gt;"",BQ11,IF(BT11&lt;&gt;"",BT11,IF(BW11&lt;&gt;"",BW11,IF(BZ11&lt;&gt;"",BZ11,IF(CC11&lt;&gt;"",CC11,""))))))))))))</f>
        <v>5312045.7240161</v>
      </c>
      <c r="G11" s="13" t="n">
        <f aca="false">IF(AW11&lt;&gt;"",AW11,IF(AZ11&lt;&gt;"",AZ11,IF(BC11&lt;&gt;"",BC11,IF(BF11&lt;&gt;"",BF11,IF(BI11&lt;&gt;"",BI11,IF(BL11&lt;&gt;"",BL11,IF(BO11&lt;&gt;"",BO11,IF(BR11&lt;&gt;"",BR11,IF(BU11&lt;&gt;"",BU11,IF(BX11&lt;&gt;"",BX11,IF(CA11&lt;&gt;"",CA11,IF(CD11&lt;&gt;"",CD11,""))))))))))))</f>
        <v>3870649.4803055</v>
      </c>
      <c r="H11" s="12" t="n">
        <f aca="false">IF(CE11&lt;&gt;"",CE11,IF(CH11&lt;&gt;"",CH11,IF(CK11&lt;&gt;"",CK11,IF(CN11&lt;&gt;"",CN11,IF(CQ11&lt;&gt;"",CQ11,IF(CT11&lt;&gt;"",CT11,IF(CW11&lt;&gt;"",CW11,IF(CZ11&lt;&gt;"",CZ11,IF(DC11&lt;&gt;"",DC11,IF(DF11&lt;&gt;"",DF11,IF(DI11&lt;&gt;"",DI11,IF(DL11&lt;&gt;"",DL11,""))))))))))))</f>
        <v>1177985.02637105</v>
      </c>
      <c r="I11" s="12" t="n">
        <f aca="false">IF(CF11&lt;&gt;"",CF11,IF(CI11&lt;&gt;"",CI11,IF(CL11&lt;&gt;"",CL11,IF(CO11&lt;&gt;"",CO11,IF(CR11&lt;&gt;"",CR11,IF(CU11&lt;&gt;"",CU11,IF(CX11&lt;&gt;"",CX11,IF(DA11&lt;&gt;"",DA11,IF(DD11&lt;&gt;"",DD11,IF(DG11&lt;&gt;"",DG11,IF(DJ11&lt;&gt;"",DJ11,IF(DM11&lt;&gt;"",DM11,""))))))))))))</f>
        <v>3053151.31026133</v>
      </c>
      <c r="J11" s="12" t="n">
        <f aca="false">IF(CG11&lt;&gt;"",CG11,IF(CJ11&lt;&gt;"",CJ11,IF(CM11&lt;&gt;"",CM11,IF(CP11&lt;&gt;"",CP11,IF(CS11&lt;&gt;"",CS11,IF(CV11&lt;&gt;"",CV11,IF(CY11&lt;&gt;"",CY11,IF(DB11&lt;&gt;"",DB11,IF(DE11&lt;&gt;"",DE11,IF(DH11&lt;&gt;"",DH11,IF(DK11&lt;&gt;"",DK11,IF(DN11&lt;&gt;"",DN11,""))))))))))))</f>
        <v>1841858.045469</v>
      </c>
      <c r="K11" s="13" t="str">
        <f aca="false">IF(COUNT(K6,K10)=2,K6+K10,"")</f>
        <v/>
      </c>
      <c r="L11" s="13" t="n">
        <f aca="false">L6+L10</f>
        <v>10115245.331197</v>
      </c>
      <c r="M11" s="13" t="n">
        <f aca="false">M6+M10</f>
        <v>8446072.50291</v>
      </c>
      <c r="N11" s="12" t="str">
        <f aca="false">IF(COUNT(N6,N10)=2,N6+N10,"")</f>
        <v/>
      </c>
      <c r="O11" s="12" t="n">
        <f aca="false">O6+O10</f>
        <v>9509935.88082831</v>
      </c>
      <c r="P11" s="12" t="n">
        <f aca="false">P6+P10</f>
        <v>7859609.092736</v>
      </c>
      <c r="Q11" s="13" t="str">
        <f aca="false">IF(COUNT(Q6,Q10)=2,Q6+Q10,"")</f>
        <v/>
      </c>
      <c r="R11" s="13" t="n">
        <f aca="false">R6+R10</f>
        <v>8944852.11387681</v>
      </c>
      <c r="S11" s="13" t="n">
        <f aca="false">S6+S10</f>
        <v>7313395.740047</v>
      </c>
      <c r="T11" s="12" t="str">
        <f aca="false">IF(COUNT(T6,T10)=2,T6+T10,"")</f>
        <v/>
      </c>
      <c r="U11" s="12" t="n">
        <f aca="false">U6+U10</f>
        <v>8419625.17402727</v>
      </c>
      <c r="V11" s="12" t="n">
        <f aca="false">V6+V10</f>
        <v>6807063.4882995</v>
      </c>
      <c r="W11" s="13" t="str">
        <f aca="false">IF(COUNT(W6,W10)=2,W6+W10,"")</f>
        <v/>
      </c>
      <c r="X11" s="13" t="n">
        <f aca="false">X6+X10</f>
        <v>7933936.78608056</v>
      </c>
      <c r="Y11" s="13" t="n">
        <f aca="false">Y6+Y10</f>
        <v>6340294.1317975</v>
      </c>
      <c r="Z11" s="12" t="str">
        <f aca="false">IF(COUNT(Z6,Z10)=2,Z6+Z10,"")</f>
        <v/>
      </c>
      <c r="AA11" s="12" t="n">
        <f aca="false">AA6+AA10</f>
        <v>7487470.40944179</v>
      </c>
      <c r="AB11" s="12" t="n">
        <f aca="false">AB6+AB10</f>
        <v>5912770.2035025</v>
      </c>
      <c r="AC11" s="13" t="str">
        <f aca="false">IF(COUNT(AC6,AC10)=2,AC6+AC10,"")</f>
        <v/>
      </c>
      <c r="AD11" s="13" t="n">
        <f aca="false">AD6+AD10</f>
        <v>7088307.38889065</v>
      </c>
      <c r="AE11" s="13" t="n">
        <f aca="false">AE6+AE10</f>
        <v>5532573.9373445</v>
      </c>
      <c r="AF11" s="12" t="str">
        <f aca="false">IF(COUNT(AF6,AF10)=2,AF6+AF10,"")</f>
        <v/>
      </c>
      <c r="AG11" s="12" t="n">
        <f aca="false">AG6+AG10</f>
        <v>6708444.18551765</v>
      </c>
      <c r="AH11" s="12" t="n">
        <f aca="false">AH6+AH10</f>
        <v>5171700.866422</v>
      </c>
      <c r="AI11" s="13" t="str">
        <f aca="false">IF(COUNT(AI6,AI10)=2,AI6+AI10,"")</f>
        <v/>
      </c>
      <c r="AJ11" s="13" t="n">
        <f aca="false">AJ6+AJ10</f>
        <v>6366656.15591473</v>
      </c>
      <c r="AK11" s="13" t="n">
        <f aca="false">AK6+AK10</f>
        <v>4848928.224883</v>
      </c>
      <c r="AL11" s="12" t="str">
        <f aca="false">IF(COUNT(AL6,AL10)=2,AL6+AL10,"")</f>
        <v/>
      </c>
      <c r="AM11" s="12" t="n">
        <f aca="false">AM6+AM10</f>
        <v>6070993.8522452</v>
      </c>
      <c r="AN11" s="12" t="n">
        <f aca="false">AN6+AN10</f>
        <v>4572304.4384215</v>
      </c>
      <c r="AO11" s="13" t="str">
        <f aca="false">IF(COUNT(AO6,AO10)=2,AO6+AO10,"")</f>
        <v/>
      </c>
      <c r="AP11" s="13" t="n">
        <f aca="false">AP6+AP10</f>
        <v>5807506.35620368</v>
      </c>
      <c r="AQ11" s="13" t="n">
        <f aca="false">AQ6+AQ10</f>
        <v>4327879.655289</v>
      </c>
      <c r="AR11" s="12" t="str">
        <f aca="false">IF(COUNT(AR6,AR10)=2,AR6+AR10,"")</f>
        <v/>
      </c>
      <c r="AS11" s="12" t="n">
        <f aca="false">AS6+AS10</f>
        <v>5565702.85276762</v>
      </c>
      <c r="AT11" s="12" t="n">
        <f aca="false">AT6+AT10</f>
        <v>4105189.809174</v>
      </c>
      <c r="AU11" s="13" t="str">
        <f aca="false">IF(COUNT(AU6,AU10)=2,AU6+AU10,"")</f>
        <v/>
      </c>
      <c r="AV11" s="13" t="n">
        <f aca="false">AV6+AV10</f>
        <v>5312045.7240161</v>
      </c>
      <c r="AW11" s="13" t="n">
        <f aca="false">AW6+AW10</f>
        <v>3870649.4803055</v>
      </c>
      <c r="AX11" s="12" t="str">
        <f aca="false">IF(COUNT(AX6,AX10)=2,AX6+AX10,"")</f>
        <v/>
      </c>
      <c r="AY11" s="12" t="n">
        <f aca="false">AY6+AY10</f>
        <v>5048120.20947486</v>
      </c>
      <c r="AZ11" s="12" t="n">
        <f aca="false">AZ6+AZ10</f>
        <v>3625889.9659755</v>
      </c>
      <c r="BA11" s="13" t="str">
        <f aca="false">IF(COUNT(BA6,BA10)=2,BA6+BA10,"")</f>
        <v/>
      </c>
      <c r="BB11" s="13" t="n">
        <f aca="false">BB6+BB10</f>
        <v>4828521.86151434</v>
      </c>
      <c r="BC11" s="13" t="n">
        <f aca="false">BC6+BC10</f>
        <v>3425458.7871655</v>
      </c>
      <c r="BD11" s="12" t="str">
        <f aca="false">IF(COUNT(BD6,BD10)=2,BD6+BD10,"")</f>
        <v/>
      </c>
      <c r="BE11" s="12" t="n">
        <f aca="false">BE6+BE10</f>
        <v>4616280.11775193</v>
      </c>
      <c r="BF11" s="12" t="n">
        <f aca="false">BF6+BF10</f>
        <v>3232387.2566885</v>
      </c>
      <c r="BG11" s="13" t="str">
        <f aca="false">IF(COUNT(BG6,BG10)=2,BG6+BG10,"")</f>
        <v/>
      </c>
      <c r="BH11" s="13" t="n">
        <f aca="false">BH6+BH10</f>
        <v>4407079.34085812</v>
      </c>
      <c r="BI11" s="13" t="n">
        <f aca="false">BI6+BI10</f>
        <v>3042358.839258</v>
      </c>
      <c r="BJ11" s="12" t="str">
        <f aca="false">IF(COUNT(BJ6,BJ10)=2,BJ6+BJ10,"")</f>
        <v/>
      </c>
      <c r="BK11" s="12" t="n">
        <f aca="false">BK6+BK10</f>
        <v>4222666.24199215</v>
      </c>
      <c r="BL11" s="12" t="n">
        <f aca="false">BL6+BL10</f>
        <v>2877122.1158875</v>
      </c>
      <c r="BM11" s="13" t="str">
        <f aca="false">IF(COUNT(BM6,BM10)=2,BM6+BM10,"")</f>
        <v/>
      </c>
      <c r="BN11" s="13" t="n">
        <f aca="false">BN6+BN10</f>
        <v>4016161.19821147</v>
      </c>
      <c r="BO11" s="13" t="n">
        <f aca="false">BO6+BO10</f>
        <v>2689795.5687405</v>
      </c>
      <c r="BP11" s="12" t="str">
        <f aca="false">IF(COUNT(BP6,BP10)=2,BP6+BP10,"")</f>
        <v/>
      </c>
      <c r="BQ11" s="12" t="n">
        <f aca="false">BQ6+BQ10</f>
        <v>3844836.39596826</v>
      </c>
      <c r="BR11" s="12" t="n">
        <f aca="false">BR6+BR10</f>
        <v>2537652.2504435</v>
      </c>
      <c r="BS11" s="13" t="str">
        <f aca="false">IF(COUNT(BS6,BS10)=2,BS6+BS10,"")</f>
        <v/>
      </c>
      <c r="BT11" s="13" t="n">
        <f aca="false">BT6+BT10</f>
        <v>3659274.67329666</v>
      </c>
      <c r="BU11" s="13" t="n">
        <f aca="false">BU6+BU10</f>
        <v>2371273.857953</v>
      </c>
      <c r="BV11" s="12" t="str">
        <f aca="false">IF(COUNT(BV6,BV10)=2,BV6+BV10,"")</f>
        <v/>
      </c>
      <c r="BW11" s="12" t="n">
        <f aca="false">BW6+BW10</f>
        <v>3502218.28787819</v>
      </c>
      <c r="BX11" s="12" t="n">
        <f aca="false">BX6+BX10</f>
        <v>2233404.75309</v>
      </c>
      <c r="BY11" s="13" t="str">
        <f aca="false">IF(COUNT(BY6,BY10)=2,BY6+BY10,"")</f>
        <v/>
      </c>
      <c r="BZ11" s="13" t="n">
        <f aca="false">BZ6+BZ10</f>
        <v>3346240.36228232</v>
      </c>
      <c r="CA11" s="13" t="n">
        <f aca="false">CA6+CA10</f>
        <v>2096616.9058675</v>
      </c>
      <c r="CB11" s="12" t="str">
        <f aca="false">IF(COUNT(CB6,CB10)=2,CB6+CB10,"")</f>
        <v/>
      </c>
      <c r="CC11" s="12" t="n">
        <f aca="false">CC6+CC10</f>
        <v>3216128.27546121</v>
      </c>
      <c r="CD11" s="12" t="n">
        <f aca="false">CD6+CD10</f>
        <v>1985677.9483805</v>
      </c>
      <c r="CE11" s="13" t="str">
        <f aca="false">IF(COUNT(CE6,CE10)=2,CE6+CE10,"")</f>
        <v/>
      </c>
      <c r="CF11" s="13" t="n">
        <f aca="false">CF6+CF10</f>
        <v>3053151.31026133</v>
      </c>
      <c r="CG11" s="13" t="n">
        <f aca="false">CG6+CG10</f>
        <v>1841858.045469</v>
      </c>
      <c r="CH11" s="12" t="str">
        <f aca="false">IF(COUNT(CH6,CH10)=2,CH6+CH10,"")</f>
        <v/>
      </c>
      <c r="CI11" s="12" t="n">
        <f aca="false">CI6+CI10</f>
        <v>2889583.45646386</v>
      </c>
      <c r="CJ11" s="12" t="n">
        <f aca="false">CJ6+CJ10</f>
        <v>1697474.455663</v>
      </c>
      <c r="CK11" s="13" t="str">
        <f aca="false">IF(COUNT(CK6,CK10)=2,CK6+CK10,"")</f>
        <v/>
      </c>
      <c r="CL11" s="13" t="n">
        <f aca="false">CL6+CL10</f>
        <v>2744496.46486694</v>
      </c>
      <c r="CM11" s="13" t="n">
        <f aca="false">CM6+CM10</f>
        <v>1571554.74346</v>
      </c>
      <c r="CN11" s="12" t="str">
        <f aca="false">IF(COUNT(CN6,CN10)=2,CN6+CN10,"")</f>
        <v/>
      </c>
      <c r="CO11" s="12" t="n">
        <f aca="false">CO6+CO10</f>
        <v>2624574.0487716</v>
      </c>
      <c r="CP11" s="12" t="n">
        <f aca="false">CP6+CP10</f>
        <v>1470783.500318</v>
      </c>
      <c r="CQ11" s="13" t="str">
        <f aca="false">IF(COUNT(CQ6,CQ10)=2,CQ6+CQ10,"")</f>
        <v/>
      </c>
      <c r="CR11" s="13" t="n">
        <f aca="false">CR6+CR10</f>
        <v>2517311.10151831</v>
      </c>
      <c r="CS11" s="13" t="n">
        <f aca="false">CS6+CS10</f>
        <v>1382698.2494935</v>
      </c>
      <c r="CT11" s="12" t="str">
        <f aca="false">IF(COUNT(CT6,CT10)=2,CT6+CT10,"")</f>
        <v/>
      </c>
      <c r="CU11" s="12" t="n">
        <f aca="false">CU6+CU10</f>
        <v>2412756.48531187</v>
      </c>
      <c r="CV11" s="12" t="n">
        <f aca="false">CV6+CV10</f>
        <v>1297304.306922</v>
      </c>
      <c r="CW11" s="13" t="str">
        <f aca="false">IF(COUNT(CW6,CW10)=2,CW6+CW10,"")</f>
        <v/>
      </c>
      <c r="CX11" s="13" t="n">
        <f aca="false">CX6+CX10</f>
        <v>2334691.99157465</v>
      </c>
      <c r="CY11" s="13" t="n">
        <f aca="false">CY6+CY10</f>
        <v>1238384.33794115</v>
      </c>
      <c r="CZ11" s="12" t="str">
        <f aca="false">IF(COUNT(CZ6,CZ10)=2,CZ6+CZ10,"")</f>
        <v/>
      </c>
      <c r="DA11" s="12" t="n">
        <f aca="false">DA6+DA10</f>
        <v>2255489.53944209</v>
      </c>
      <c r="DB11" s="12" t="n">
        <f aca="false">DB6+DB10</f>
        <v>1178352.27126155</v>
      </c>
      <c r="DC11" s="13" t="str">
        <f aca="false">IF(COUNT(DC6,DC10)=2,DC6+DC10,"")</f>
        <v/>
      </c>
      <c r="DD11" s="13" t="n">
        <f aca="false">DD6+DD10</f>
        <v>2194085.15395101</v>
      </c>
      <c r="DE11" s="13" t="n">
        <f aca="false">DE6+DE10</f>
        <v>1123578.52</v>
      </c>
      <c r="DF11" s="12" t="n">
        <f aca="false">IF(COUNT(DF6,DF10)=2,DF6+DF10,"")</f>
        <v>1177985.02637105</v>
      </c>
      <c r="DG11" s="12" t="n">
        <f aca="false">DG6+DG10</f>
        <v>2161750.02637105</v>
      </c>
      <c r="DH11" s="12" t="n">
        <f aca="false">DH6+DH10</f>
        <v>1118652.52</v>
      </c>
      <c r="DI11" s="13" t="n">
        <f aca="false">IF(COUNT(DI6,DI10)=2,DI6+DI10,"")</f>
        <v>1181432</v>
      </c>
      <c r="DJ11" s="13" t="n">
        <f aca="false">DJ6+DJ10</f>
        <v>1181432</v>
      </c>
      <c r="DK11" s="13" t="n">
        <f aca="false">DK6+DK10</f>
        <v>185439.52</v>
      </c>
      <c r="DL11" s="12" t="n">
        <f aca="false">IF(COUNT(DL6,DL10)=2,DL6+DL10,"")</f>
        <v>1170890</v>
      </c>
      <c r="DM11" s="12" t="n">
        <f aca="false">DM6+DM10</f>
        <v>1170890</v>
      </c>
      <c r="DN11" s="12" t="n">
        <f aca="false">DN6+DN10</f>
        <v>212890</v>
      </c>
    </row>
    <row r="12" customFormat="false" ht="15" hidden="false" customHeight="false" outlineLevel="0" collapsed="false">
      <c r="A12" s="5" t="s">
        <v>120</v>
      </c>
      <c r="B12" s="123" t="str">
        <f aca="false">IF(K12&lt;&gt;"",K12,IF(N12&lt;&gt;"",N12,IF(Q12&lt;&gt;"",Q12,IF(T12&lt;&gt;"",T12,IF(W12&lt;&gt;"",W12,IF(Z12&lt;&gt;"",Z12,IF(AC12&lt;&gt;"",AC12,IF(AF12&lt;&gt;"",AF12,IF(AI12&lt;&gt;"",AI12,IF(AL12&lt;&gt;"",AL12,IF(AO12&lt;&gt;"",AO12,IF(AR12&lt;&gt;"",AR12,""))))))))))))</f>
        <v/>
      </c>
      <c r="C12" s="123" t="n">
        <f aca="false">IF(L12&lt;&gt;"",L12,IF(O12&lt;&gt;"",O12,IF(R12&lt;&gt;"",R12,IF(U12&lt;&gt;"",U12,IF(X12&lt;&gt;"",X12,IF(AA12&lt;&gt;"",AA12,IF(AD12&lt;&gt;"",AD12,IF(AG12&lt;&gt;"",AG12,IF(AJ12&lt;&gt;"",AJ12,IF(AM12&lt;&gt;"",AM12,IF(AP12&lt;&gt;"",AP12,IF(AS12&lt;&gt;"",AS12,""))))))))))))</f>
        <v>5.6901142910603</v>
      </c>
      <c r="D12" s="123" t="n">
        <f aca="false">IF(M12&lt;&gt;"",M12,IF(P12&lt;&gt;"",P12,IF(S12&lt;&gt;"",S12,IF(V12&lt;&gt;"",V12,IF(Y12&lt;&gt;"",Y12,IF(AB12&lt;&gt;"",AB12,IF(AE12&lt;&gt;"",AE12,IF(AH12&lt;&gt;"",AH12,IF(AK12&lt;&gt;"",AK12,IF(AN12&lt;&gt;"",AN12,IF(AQ12&lt;&gt;"",AQ12,IF(AT12&lt;&gt;"",AT12,""))))))))))))</f>
        <v>4.77047822881416</v>
      </c>
      <c r="E12" s="29" t="str">
        <f aca="false">IF(AU12&lt;&gt;"",AU12,IF(AX12&lt;&gt;"",AX12,IF(BA12&lt;&gt;"",BA12,IF(BD12&lt;&gt;"",BD12,IF(BG12&lt;&gt;"",BG12,IF(BJ12&lt;&gt;"",BJ12,IF(BM12&lt;&gt;"",BM12,IF(BP12&lt;&gt;"",BP12,IF(BS12&lt;&gt;"",BS12,IF(BV12&lt;&gt;"",BV12,IF(BY12&lt;&gt;"",BY12,IF(CB12&lt;&gt;"",CB12,""))))))))))))</f>
        <v/>
      </c>
      <c r="F12" s="29" t="n">
        <f aca="false">IF(AV12&lt;&gt;"",AV12,IF(AY12&lt;&gt;"",AY12,IF(BB12&lt;&gt;"",BB12,IF(BE12&lt;&gt;"",BE12,IF(BH12&lt;&gt;"",BH12,IF(BK12&lt;&gt;"",BK12,IF(BN12&lt;&gt;"",BN12,IF(BQ12&lt;&gt;"",BQ12,IF(BT12&lt;&gt;"",BT12,IF(BW12&lt;&gt;"",BW12,IF(BZ12&lt;&gt;"",BZ12,IF(CC12&lt;&gt;"",CC12,""))))))))))))</f>
        <v>3.57883545081975</v>
      </c>
      <c r="G12" s="29" t="n">
        <f aca="false">IF(AW12&lt;&gt;"",AW12,IF(AZ12&lt;&gt;"",AZ12,IF(BC12&lt;&gt;"",BC12,IF(BF12&lt;&gt;"",BF12,IF(BI12&lt;&gt;"",BI12,IF(BL12&lt;&gt;"",BL12,IF(BO12&lt;&gt;"",BO12,IF(BR12&lt;&gt;"",BR12,IF(BU12&lt;&gt;"",BU12,IF(BX12&lt;&gt;"",BX12,IF(CA12&lt;&gt;"",CA12,IF(CD12&lt;&gt;"",CD12,""))))))))))))</f>
        <v>2.62065216057179</v>
      </c>
      <c r="H12" s="123" t="n">
        <f aca="false">IF(CE12&lt;&gt;"",CE12,IF(CH12&lt;&gt;"",CH12,IF(CK12&lt;&gt;"",CK12,IF(CN12&lt;&gt;"",CN12,IF(CQ12&lt;&gt;"",CQ12,IF(CT12&lt;&gt;"",CT12,IF(CW12&lt;&gt;"",CW12,IF(CZ12&lt;&gt;"",CZ12,IF(DC12&lt;&gt;"",DC12,IF(DF12&lt;&gt;"",DF12,IF(DI12&lt;&gt;"",DI12,IF(DL12&lt;&gt;"",DL12,""))))))))))))</f>
        <v>1.16857764589515</v>
      </c>
      <c r="I12" s="123" t="n">
        <f aca="false">IF(CF12&lt;&gt;"",CF12,IF(CI12&lt;&gt;"",CI12,IF(CL12&lt;&gt;"",CL12,IF(CO12&lt;&gt;"",CO12,IF(CR12&lt;&gt;"",CR12,IF(CU12&lt;&gt;"",CU12,IF(CX12&lt;&gt;"",CX12,IF(DA12&lt;&gt;"",DA12,IF(DD12&lt;&gt;"",DD12,IF(DG12&lt;&gt;"",DG12,IF(DJ12&lt;&gt;"",DJ12,IF(DM12&lt;&gt;"",DM12,""))))))))))))</f>
        <v>2.66176963719066</v>
      </c>
      <c r="J12" s="123" t="n">
        <f aca="false">IF(CG12&lt;&gt;"",CG12,IF(CJ12&lt;&gt;"",CJ12,IF(CM12&lt;&gt;"",CM12,IF(CP12&lt;&gt;"",CP12,IF(CS12&lt;&gt;"",CS12,IF(CV12&lt;&gt;"",CV12,IF(CY12&lt;&gt;"",CY12,IF(DB12&lt;&gt;"",DB12,IF(DE12&lt;&gt;"",DE12,IF(DH12&lt;&gt;"",DH12,IF(DK12&lt;&gt;"",DK12,IF(DN12&lt;&gt;"",DN12,""))))))))))))</f>
        <v>1.6160669693357</v>
      </c>
      <c r="K12" s="29" t="str">
        <f aca="false">IF(COUNT(K11,K7)=2,IF(N(K7+K8)=0,"",K11/(K7+K8)),"")</f>
        <v/>
      </c>
      <c r="L12" s="29" t="n">
        <f aca="false">IF(N(L7+L8)=0,"",L11/(L7+L8))</f>
        <v>5.6901142910603</v>
      </c>
      <c r="M12" s="29" t="n">
        <f aca="false">IF(N(M7+M8)=0,"",M11/(M7+M8))</f>
        <v>4.77047822881416</v>
      </c>
      <c r="N12" s="123" t="str">
        <f aca="false">IF(COUNT(N11,N7)=2,IF(N(N7+N8)=0,"",N11/(N7+N8)),"")</f>
        <v/>
      </c>
      <c r="O12" s="123" t="n">
        <f aca="false">IF(N(O7+O8)=0,"",O11/(O7+O8))</f>
        <v>5.40561711771043</v>
      </c>
      <c r="P12" s="123" t="n">
        <f aca="false">IF(N(P7+P8)=0,"",P11/(P7+P8))</f>
        <v>4.48592296448727</v>
      </c>
      <c r="Q12" s="29" t="str">
        <f aca="false">IF(COUNT(Q11,Q7)=2,IF(N(Q7+Q8)=0,"",Q11/(Q7+Q8)),"")</f>
        <v/>
      </c>
      <c r="R12" s="29" t="n">
        <f aca="false">IF(N(R7+R8)=0,"",R11/(R7+R8))</f>
        <v>5.13781390571939</v>
      </c>
      <c r="S12" s="29" t="n">
        <f aca="false">IF(N(S7+S8)=0,"",S11/(S7+S8))</f>
        <v>4.21821202228136</v>
      </c>
      <c r="T12" s="123" t="str">
        <f aca="false">IF(COUNT(T11,T7)=2,IF(N(T7+T8)=0,"",T11/(T7+T8)),"")</f>
        <v/>
      </c>
      <c r="U12" s="123" t="n">
        <f aca="false">IF(N(U7+U8)=0,"",U11/(U7+U8))</f>
        <v>4.8871364349116</v>
      </c>
      <c r="V12" s="123" t="n">
        <f aca="false">IF(N(V7+V8)=0,"",V11/(V7+V8))</f>
        <v>3.96777367410781</v>
      </c>
      <c r="W12" s="29" t="str">
        <f aca="false">IF(COUNT(W11,W7)=2,IF(N(W7+W8)=0,"",W11/(W7+W8)),"")</f>
        <v/>
      </c>
      <c r="X12" s="29" t="n">
        <f aca="false">IF(N(X7+X8)=0,"",X11/(X7+X8))</f>
        <v>4.65399695379418</v>
      </c>
      <c r="Y12" s="29" t="n">
        <f aca="false">IF(N(Y7+Y8)=0,"",Y11/(Y7+Y8))</f>
        <v>3.73502678070003</v>
      </c>
      <c r="Z12" s="123" t="str">
        <f aca="false">IF(COUNT(Z11,Z7)=2,IF(N(Z7+Z8)=0,"",Z11/(Z7+Z8)),"")</f>
        <v/>
      </c>
      <c r="AA12" s="123" t="n">
        <f aca="false">IF(N(AA7+AA8)=0,"",AA11/(AA7+AA8))</f>
        <v>4.4284067966483</v>
      </c>
      <c r="AB12" s="123" t="n">
        <f aca="false">IF(N(AB7+AB8)=0,"",AB11/(AB7+AB8))</f>
        <v>3.51210820537927</v>
      </c>
      <c r="AC12" s="29" t="str">
        <f aca="false">IF(COUNT(AC11,AC7)=2,IF(N(AC7+AC8)=0,"",AC11/(AC7+AC8)),"")</f>
        <v/>
      </c>
      <c r="AD12" s="29" t="n">
        <f aca="false">IF(N(AD7+AD8)=0,"",AD11/(AD7+AD8))</f>
        <v>4.27461536360208</v>
      </c>
      <c r="AE12" s="29" t="n">
        <f aca="false">IF(N(AE7+AE8)=0,"",AE11/(AE7+AE8))</f>
        <v>3.35108288734143</v>
      </c>
      <c r="AF12" s="123" t="str">
        <f aca="false">IF(COUNT(AF11,AF7)=2,IF(N(AF7+AF8)=0,"",AF11/(AF7+AF8)),"")</f>
        <v/>
      </c>
      <c r="AG12" s="123" t="n">
        <f aca="false">IF(N(AG7+AG8)=0,"",AG11/(AG7+AG8))</f>
        <v>4.08938026741073</v>
      </c>
      <c r="AH12" s="123" t="n">
        <f aca="false">IF(N(AH7+AH8)=0,"",AH11/(AH7+AH8))</f>
        <v>3.16661690585616</v>
      </c>
      <c r="AI12" s="29" t="str">
        <f aca="false">IF(COUNT(AI11,AI7)=2,IF(N(AI7+AI8)=0,"",AI11/(AI7+AI8)),"")</f>
        <v/>
      </c>
      <c r="AJ12" s="29" t="n">
        <f aca="false">IF(N(AJ7+AJ8)=0,"",AJ11/(AJ7+AJ8))</f>
        <v>3.91379796806945</v>
      </c>
      <c r="AK12" s="29" t="n">
        <f aca="false">IF(N(AK7+AK8)=0,"",AK11/(AK7+AK8))</f>
        <v>2.9941798713097</v>
      </c>
      <c r="AL12" s="123" t="str">
        <f aca="false">IF(COUNT(AL11,AL7)=2,IF(N(AL7+AL8)=0,"",AL11/(AL7+AL8)),"")</f>
        <v/>
      </c>
      <c r="AM12" s="123" t="n">
        <f aca="false">IF(N(AM7+AM8)=0,"",AM11/(AM7+AM8))</f>
        <v>3.79564624817413</v>
      </c>
      <c r="AN12" s="123" t="n">
        <f aca="false">IF(N(AN7+AN8)=0,"",AN11/(AN7+AN8))</f>
        <v>2.87171822703743</v>
      </c>
      <c r="AO12" s="29" t="str">
        <f aca="false">IF(COUNT(AO11,AO7)=2,IF(N(AO7+AO8)=0,"",AO11/(AO7+AO8)),"")</f>
        <v/>
      </c>
      <c r="AP12" s="29" t="n">
        <f aca="false">IF(N(AP7+AP8)=0,"",AP11/(AP7+AP8))</f>
        <v>3.67650371295535</v>
      </c>
      <c r="AQ12" s="29" t="n">
        <f aca="false">IF(N(AQ7+AQ8)=0,"",AQ11/(AQ7+AQ8))</f>
        <v>2.75252426632544</v>
      </c>
      <c r="AR12" s="123" t="str">
        <f aca="false">IF(COUNT(AR11,AR7)=2,IF(N(AR7+AR8)=0,"",AR11/(AR7+AR8)),"")</f>
        <v/>
      </c>
      <c r="AS12" s="123" t="n">
        <f aca="false">IF(N(AS7+AS8)=0,"",AS11/(AS7+AS8))</f>
        <v>3.6460337424804</v>
      </c>
      <c r="AT12" s="123" t="n">
        <f aca="false">IF(N(AT7+AT8)=0,"",AT11/(AT7+AT8))</f>
        <v>2.702184223573</v>
      </c>
      <c r="AU12" s="29" t="str">
        <f aca="false">IF(COUNT(AU11,AU7)=2,IF(N(AU7+AU8)=0,"",AU11/(AU7+AU8)),"")</f>
        <v/>
      </c>
      <c r="AV12" s="29" t="n">
        <f aca="false">IF(N(AV7+AV8)=0,"",AV11/(AV7+AV8))</f>
        <v>3.57883545081975</v>
      </c>
      <c r="AW12" s="29" t="n">
        <f aca="false">IF(N(AW7+AW8)=0,"",AW11/(AW7+AW8))</f>
        <v>2.62065216057179</v>
      </c>
      <c r="AX12" s="123" t="str">
        <f aca="false">IF(COUNT(AX11,AX7)=2,IF(N(AX7+AX8)=0,"",AX11/(AX7+AX8)),"")</f>
        <v/>
      </c>
      <c r="AY12" s="123" t="n">
        <f aca="false">IF(N(AY7+AY8)=0,"",AY11/(AY7+AY8))</f>
        <v>3.41336060340219</v>
      </c>
      <c r="AZ12" s="123" t="n">
        <f aca="false">IF(N(AZ7+AZ8)=0,"",AZ11/(AZ7+AZ8))</f>
        <v>2.46388686635958</v>
      </c>
      <c r="BA12" s="29" t="str">
        <f aca="false">IF(COUNT(BA11,BA7)=2,IF(N(BA7+BA8)=0,"",BA11/(BA7+BA8)),"")</f>
        <v/>
      </c>
      <c r="BB12" s="29" t="n">
        <f aca="false">IF(N(BB7+BB8)=0,"",BB11/(BB7+BB8))</f>
        <v>3.33942937455875</v>
      </c>
      <c r="BC12" s="29" t="n">
        <f aca="false">IF(N(BC7+BC8)=0,"",BC11/(BC7+BC8))</f>
        <v>2.38111328653049</v>
      </c>
      <c r="BD12" s="123" t="str">
        <f aca="false">IF(COUNT(BD11,BD7)=2,IF(N(BD7+BD8)=0,"",BD11/(BD7+BD8)),"")</f>
        <v/>
      </c>
      <c r="BE12" s="123" t="n">
        <f aca="false">IF(N(BE7+BE8)=0,"",BE11/(BE7+BE8))</f>
        <v>3.27667130410601</v>
      </c>
      <c r="BF12" s="123" t="n">
        <f aca="false">IF(N(BF7+BF8)=0,"",BF11/(BF7+BF8))</f>
        <v>2.30635292524561</v>
      </c>
      <c r="BG12" s="29" t="str">
        <f aca="false">IF(COUNT(BG11,BG7)=2,IF(N(BG7+BG8)=0,"",BG11/(BG7+BG8)),"")</f>
        <v/>
      </c>
      <c r="BH12" s="29" t="n">
        <f aca="false">IF(N(BH7+BH8)=0,"",BH11/(BH7+BH8))</f>
        <v>3.1721241435335</v>
      </c>
      <c r="BI12" s="29" t="n">
        <f aca="false">IF(N(BI7+BI8)=0,"",BI11/(BI7+BI8))</f>
        <v>2.20142332541607</v>
      </c>
      <c r="BJ12" s="123" t="str">
        <f aca="false">IF(COUNT(BJ11,BJ7)=2,IF(N(BJ7+BJ8)=0,"",BJ11/(BJ7+BJ8)),"")</f>
        <v/>
      </c>
      <c r="BK12" s="123" t="n">
        <f aca="false">IF(N(BK7+BK8)=0,"",BK11/(BK7+BK8))</f>
        <v>3.15909651551696</v>
      </c>
      <c r="BL12" s="123" t="n">
        <f aca="false">IF(N(BL7+BL8)=0,"",BL11/(BL7+BL8))</f>
        <v>2.16430834582366</v>
      </c>
      <c r="BM12" s="29" t="str">
        <f aca="false">IF(COUNT(BM11,BM7)=2,IF(N(BM7+BM8)=0,"",BM11/(BM7+BM8)),"")</f>
        <v/>
      </c>
      <c r="BN12" s="29" t="n">
        <f aca="false">IF(N(BN7+BN8)=0,"",BN11/(BN7+BN8))</f>
        <v>3.03434627650047</v>
      </c>
      <c r="BO12" s="29" t="n">
        <f aca="false">IF(N(BO7+BO8)=0,"",BO11/(BO7+BO8))</f>
        <v>2.04353454944074</v>
      </c>
      <c r="BP12" s="123" t="str">
        <f aca="false">IF(COUNT(BP11,BP7)=2,IF(N(BP7+BP8)=0,"",BP11/(BP7+BP8)),"")</f>
        <v/>
      </c>
      <c r="BQ12" s="123" t="n">
        <f aca="false">IF(N(BQ7+BQ8)=0,"",BQ11/(BQ7+BQ8))</f>
        <v>3.00538143594639</v>
      </c>
      <c r="BR12" s="123" t="n">
        <f aca="false">IF(N(BR7+BR8)=0,"",BR11/(BR7+BR8))</f>
        <v>1.99501652000066</v>
      </c>
      <c r="BS12" s="29" t="str">
        <f aca="false">IF(COUNT(BS11,BS7)=2,IF(N(BS7+BS8)=0,"",BS11/(BS7+BS8)),"")</f>
        <v/>
      </c>
      <c r="BT12" s="29" t="n">
        <f aca="false">IF(N(BT7+BT8)=0,"",BT11/(BT7+BT8))</f>
        <v>2.89380388986986</v>
      </c>
      <c r="BU12" s="29" t="n">
        <f aca="false">IF(N(BU7+BU8)=0,"",BU11/(BU7+BU8))</f>
        <v>1.88615799254448</v>
      </c>
      <c r="BV12" s="123" t="str">
        <f aca="false">IF(COUNT(BV11,BV7)=2,IF(N(BV7+BV8)=0,"",BV11/(BV7+BV8)),"")</f>
        <v/>
      </c>
      <c r="BW12" s="123" t="n">
        <f aca="false">IF(N(BW7+BW8)=0,"",BW11/(BW7+BW8))</f>
        <v>2.84371123942552</v>
      </c>
      <c r="BX12" s="123" t="n">
        <f aca="false">IF(N(BX7+BX8)=0,"",BX11/(BX7+BX8))</f>
        <v>1.82431616799114</v>
      </c>
      <c r="BY12" s="29" t="str">
        <f aca="false">IF(COUNT(BY11,BY7)=2,IF(N(BY7+BY8)=0,"",BY11/(BY7+BY8)),"")</f>
        <v/>
      </c>
      <c r="BZ12" s="29" t="n">
        <f aca="false">IF(N(BZ7+BZ8)=0,"",BZ11/(BZ7+BZ8))</f>
        <v>2.73021641024609</v>
      </c>
      <c r="CA12" s="29" t="n">
        <f aca="false">IF(N(CA7+CA8)=0,"",CA11/(CA7+CA8))</f>
        <v>1.72091663837154</v>
      </c>
      <c r="CB12" s="123" t="str">
        <f aca="false">IF(COUNT(CB11,CB7)=2,IF(N(CB7+CB8)=0,"",CB11/(CB7+CB8)),"")</f>
        <v/>
      </c>
      <c r="CC12" s="123" t="n">
        <f aca="false">IF(N(CC7+CC8)=0,"",CC11/(CC7+CC8))</f>
        <v>2.74854325305808</v>
      </c>
      <c r="CD12" s="123" t="n">
        <f aca="false">IF(N(CD7+CD8)=0,"",CD11/(CD7+CD8))</f>
        <v>1.70765601373912</v>
      </c>
      <c r="CE12" s="29" t="str">
        <f aca="false">IF(COUNT(CE11,CE7)=2,IF(N(CE7+CE8)=0,"",CE11/(CE7+CE8)),"")</f>
        <v/>
      </c>
      <c r="CF12" s="29" t="n">
        <f aca="false">IF(N(CF7+CF8)=0,"",CF11/(CF7+CF8))</f>
        <v>2.66176963719066</v>
      </c>
      <c r="CG12" s="29" t="n">
        <f aca="false">IF(N(CG7+CG8)=0,"",CG11/(CG7+CG8))</f>
        <v>1.6160669693357</v>
      </c>
      <c r="CH12" s="123" t="str">
        <f aca="false">IF(COUNT(CH11,CH7)=2,IF(N(CH7+CH8)=0,"",CH11/(CH7+CH8)),"")</f>
        <v/>
      </c>
      <c r="CI12" s="123" t="n">
        <f aca="false">IF(N(CI7+CI8)=0,"",CI11/(CI7+CI8))</f>
        <v>2.53779437840417</v>
      </c>
      <c r="CJ12" s="123" t="n">
        <f aca="false">IF(N(CJ7+CJ8)=0,"",CJ11/(CJ7+CJ8))</f>
        <v>1.50045790037508</v>
      </c>
      <c r="CK12" s="29" t="str">
        <f aca="false">IF(COUNT(CK11,CK7)=2,IF(N(CK7+CK8)=0,"",CK11/(CK7+CK8)),"")</f>
        <v/>
      </c>
      <c r="CL12" s="29" t="n">
        <f aca="false">IF(N(CL7+CL8)=0,"",CL11/(CL7+CL8))</f>
        <v>2.42331387545732</v>
      </c>
      <c r="CM12" s="29" t="n">
        <f aca="false">IF(N(CM7+CM8)=0,"",CM11/(CM7+CM8))</f>
        <v>1.39665355540008</v>
      </c>
      <c r="CN12" s="123" t="str">
        <f aca="false">IF(COUNT(CN11,CN7)=2,IF(N(CN7+CN8)=0,"",CN11/(CN7+CN8)),"")</f>
        <v/>
      </c>
      <c r="CO12" s="123" t="n">
        <f aca="false">IF(N(CO7+CO8)=0,"",CO11/(CO7+CO8))</f>
        <v>2.34629406386201</v>
      </c>
      <c r="CP12" s="123" t="n">
        <f aca="false">IF(N(CP7+CP8)=0,"",CP11/(CP7+CP8))</f>
        <v>1.32349832096488</v>
      </c>
      <c r="CQ12" s="29" t="str">
        <f aca="false">IF(COUNT(CQ11,CQ7)=2,IF(N(CQ7+CQ8)=0,"",CQ11/(CQ7+CQ8)),"")</f>
        <v/>
      </c>
      <c r="CR12" s="29" t="n">
        <f aca="false">IF(N(CR7+CR8)=0,"",CR11/(CR7+CR8))</f>
        <v>2.28989814772176</v>
      </c>
      <c r="CS12" s="29" t="n">
        <f aca="false">IF(N(CS7+CS8)=0,"",CS11/(CS7+CS8))</f>
        <v>1.26620944056512</v>
      </c>
      <c r="CT12" s="123" t="str">
        <f aca="false">IF(COUNT(CT11,CT7)=2,IF(N(CT7+CT8)=0,"",CT11/(CT7+CT8)),"")</f>
        <v/>
      </c>
      <c r="CU12" s="123" t="n">
        <f aca="false">IF(N(CU7+CU8)=0,"",CU11/(CU7+CU8))</f>
        <v>2.20352816678331</v>
      </c>
      <c r="CV12" s="123" t="n">
        <f aca="false">IF(N(CV7+CV8)=0,"",CV11/(CV7+CV8))</f>
        <v>1.19276552792387</v>
      </c>
      <c r="CW12" s="29" t="str">
        <f aca="false">IF(COUNT(CW11,CW7)=2,IF(N(CW7+CW8)=0,"",CW11/(CW7+CW8)),"")</f>
        <v/>
      </c>
      <c r="CX12" s="29" t="n">
        <f aca="false">IF(N(CX7+CX8)=0,"",CX11/(CX7+CX8))</f>
        <v>2.17765162894079</v>
      </c>
      <c r="CY12" s="29" t="n">
        <f aca="false">IF(N(CY7+CY8)=0,"",CY11/(CY7+CY8))</f>
        <v>1.16302286048174</v>
      </c>
      <c r="CZ12" s="123" t="str">
        <f aca="false">IF(COUNT(CZ11,CZ7)=2,IF(N(CZ7+CZ8)=0,"",CZ11/(CZ7+CZ8)),"")</f>
        <v/>
      </c>
      <c r="DA12" s="123" t="n">
        <f aca="false">IF(N(DA7+DA8)=0,"",DA11/(DA7+DA8))</f>
        <v>2.12020435714148</v>
      </c>
      <c r="DB12" s="123" t="n">
        <f aca="false">IF(N(DB7+DB8)=0,"",DB11/(DB7+DB8))</f>
        <v>1.12871775590776</v>
      </c>
      <c r="DC12" s="29" t="str">
        <f aca="false">IF(COUNT(DC11,DC7)=2,IF(N(DC7+DC8)=0,"",DC11/(DC7+DC8)),"")</f>
        <v/>
      </c>
      <c r="DD12" s="29" t="n">
        <f aca="false">IF(N(DD7+DD8)=0,"",DD11/(DD7+DD8))</f>
        <v>2.09114464337951</v>
      </c>
      <c r="DE12" s="29" t="n">
        <f aca="false">IF(N(DE7+DE8)=0,"",DE11/(DE7+DE8))</f>
        <v>1.07980329444327</v>
      </c>
      <c r="DF12" s="123" t="str">
        <f aca="false">IF(COUNT(DF11,DF7)=2,IF(N(DF7+DF8)=0,"",DF11/(DF7+DF8)),"")</f>
        <v/>
      </c>
      <c r="DG12" s="123" t="n">
        <f aca="false">IF(N(DG7+DG8)=0,"",DG11/(DG7+DG8))</f>
        <v>2.05244311739314</v>
      </c>
      <c r="DH12" s="123" t="n">
        <f aca="false">IF(N(DH7+DH8)=0,"",DH11/(DH7+DH8))</f>
        <v>1.05104410776783</v>
      </c>
      <c r="DI12" s="29" t="n">
        <f aca="false">IF(COUNT(DI11,DI7)=2,IF(N(DI7+DI8)=0,"",DI11/(DI7+DI8)),"")</f>
        <v>1.16857764589515</v>
      </c>
      <c r="DJ12" s="29" t="n">
        <f aca="false">IF(N(DJ7+DJ8)=0,"",DJ11/(DJ7+DJ8))</f>
        <v>1.16857764589515</v>
      </c>
      <c r="DK12" s="29" t="n">
        <f aca="false">IF(N(DK7+DK8)=0,"",DK11/(DK7+DK8))</f>
        <v>0.180706371966398</v>
      </c>
      <c r="DL12" s="123" t="n">
        <f aca="false">IF(COUNT(DL11,DL7)=2,IF(N(DL7+DL8)=0,"",DL11/(DL7+DL8)),"")</f>
        <v>1.14220912877642</v>
      </c>
      <c r="DM12" s="123" t="n">
        <f aca="false">IF(N(DM7+DM8)=0,"",DM11/(DM7+DM8))</f>
        <v>1.14220912877642</v>
      </c>
      <c r="DN12" s="123" t="n">
        <f aca="false">IF(N(DN7+DN8)=0,"",DN11/(DN7+DN8))</f>
        <v>0.215669986121101</v>
      </c>
    </row>
    <row r="13" customFormat="false" ht="15" hidden="false" customHeight="false" outlineLevel="0" collapsed="false">
      <c r="A13" s="26" t="s">
        <v>280</v>
      </c>
      <c r="B13" s="139" t="str">
        <f aca="false">IF(COUNT(AR13,AO13,AL13,AI13,AF13,AC13,Z13,W13,T13,Q13,N13,K13)=0,"",AVERAGE(AR13,AO13,AL13,AI13,AF13,AC13,Z13,W13,T13,Q13,N13,K13))</f>
        <v/>
      </c>
      <c r="C13" s="139" t="n">
        <f aca="false">IF(COUNT(AS13,AP13,AM13,AJ13,AG13,AD13,AA13,X13,U13,R13,O13,L13)=0,"",AVERAGE(AS13,AP13,AM13,AJ13,AG13,AD13,AA13,X13,U13,R13,O13,L13))</f>
        <v>0.987414649435732</v>
      </c>
      <c r="D13" s="139"/>
      <c r="E13" s="140" t="str">
        <f aca="false">IF(COUNT(CB13,BY13,BV13,BS13,BP13,BM13,BJ13,BG13,BD13,BA13,AX13,AU13)=0,"",AVERAGE(CB13,BY13,BV13,BS13,BP13,BM13,BJ13,BG13,BD13,BA13,AX13,AU13))</f>
        <v/>
      </c>
      <c r="F13" s="140" t="n">
        <f aca="false">IF(COUNT(CC13,BZ13,BW13,BT13,BQ13,BN13,BK13,BH13,BE13,BB13,AY13,AV13)=0,"",AVERAGE(CC13,BZ13,BW13,BT13,BQ13,BN13,BK13,BH13,BE13,BB13,AY13,AV13))</f>
        <v>0.982703810596828</v>
      </c>
      <c r="G13" s="140"/>
      <c r="H13" s="139" t="n">
        <f aca="false">IF(COUNT(DL13,DI13,DF13,DC13,CZ13,CW13,CT13,CQ13,CN13,CK13,CH13,CE13)=0,"",AVERAGE(DL13,DI13,DF13,DC13,CZ13,CW13,CT13,CQ13,CN13,CK13,CH13,CE13))</f>
        <v>0.970594834367647</v>
      </c>
      <c r="I13" s="139" t="n">
        <f aca="false">IF(COUNT(DM13,DJ13,DG13,DD13,DA13,CX13,CU13,CR13,CO13,CL13,CI13,CF13)=0,"",AVERAGE(DM13,DJ13,DG13,DD13,DA13,CX13,CU13,CR13,CO13,CL13,CI13,CF13))</f>
        <v>0.975692011811925</v>
      </c>
      <c r="J13" s="139"/>
      <c r="K13" s="140" t="str">
        <f aca="false">IF(OR(COUNT(K3,M3)&lt;2,N(M3)=0),"",1-ABS(K3-M3)/M3)</f>
        <v/>
      </c>
      <c r="L13" s="140" t="n">
        <f aca="false">IF(OR(COUNT(L3,M3)&lt;2,N(M3)=0),"",1-ABS(L3-M3)/M3)</f>
        <v>0.989233089189755</v>
      </c>
      <c r="M13" s="10"/>
      <c r="N13" s="139" t="str">
        <f aca="false">IF(OR(COUNT(N3,P3)&lt;2,N(P3)=0),"",1-ABS(N3-P3)/P3)</f>
        <v/>
      </c>
      <c r="O13" s="139" t="n">
        <f aca="false">IF(OR(COUNT(O3,P3)&lt;2,N(P3)=0),"",1-ABS(O3-P3)/P3)</f>
        <v>0.988949130551126</v>
      </c>
      <c r="P13" s="11"/>
      <c r="Q13" s="140" t="str">
        <f aca="false">IF(OR(COUNT(Q3,S3)&lt;2,N(S3)=0),"",1-ABS(Q3-S3)/S3)</f>
        <v/>
      </c>
      <c r="R13" s="140" t="n">
        <f aca="false">IF(OR(COUNT(R3,S3)&lt;2,N(S3)=0),"",1-ABS(R3-S3)/S3)</f>
        <v>0.988652828238898</v>
      </c>
      <c r="S13" s="10"/>
      <c r="T13" s="139" t="str">
        <f aca="false">IF(OR(COUNT(T3,V3)&lt;2,N(V3)=0),"",1-ABS(T3-V3)/V3)</f>
        <v/>
      </c>
      <c r="U13" s="139" t="n">
        <f aca="false">IF(OR(COUNT(U3,V3)&lt;2,N(V3)=0),"",1-ABS(U3-V3)/V3)</f>
        <v>0.988343443609909</v>
      </c>
      <c r="V13" s="11"/>
      <c r="W13" s="140" t="str">
        <f aca="false">IF(OR(COUNT(W3,Y3)&lt;2,N(Y3)=0),"",1-ABS(W3-Y3)/Y3)</f>
        <v/>
      </c>
      <c r="X13" s="140" t="n">
        <f aca="false">IF(OR(COUNT(X3,Y3)&lt;2,N(Y3)=0),"",1-ABS(X3-Y3)/Y3)</f>
        <v>0.988020061660347</v>
      </c>
      <c r="Y13" s="10"/>
      <c r="Z13" s="139" t="str">
        <f aca="false">IF(OR(COUNT(Z3,AB3)&lt;2,N(AB3)=0),"",1-ABS(Z3-AB3)/AB3)</f>
        <v/>
      </c>
      <c r="AA13" s="139" t="n">
        <f aca="false">IF(OR(COUNT(AA3,AB3)&lt;2,N(AB3)=0),"",1-ABS(AA3-AB3)/AB3)</f>
        <v>0.987681736436477</v>
      </c>
      <c r="AB13" s="11"/>
      <c r="AC13" s="140" t="str">
        <f aca="false">IF(OR(COUNT(AC3,AE3)&lt;2,N(AE3)=0),"",1-ABS(AC3-AE3)/AE3)</f>
        <v/>
      </c>
      <c r="AD13" s="140" t="n">
        <f aca="false">IF(OR(COUNT(AD3,AE3)&lt;2,N(AE3)=0),"",1-ABS(AD3-AE3)/AE3)</f>
        <v>0.98732750477356</v>
      </c>
      <c r="AE13" s="10"/>
      <c r="AF13" s="139" t="str">
        <f aca="false">IF(OR(COUNT(AF3,AH3)&lt;2,N(AH3)=0),"",1-ABS(AF3-AH3)/AH3)</f>
        <v/>
      </c>
      <c r="AG13" s="139" t="n">
        <f aca="false">IF(OR(COUNT(AG3,AH3)&lt;2,N(AH3)=0),"",1-ABS(AG3-AH3)/AH3)</f>
        <v>0.986956189386062</v>
      </c>
      <c r="AH13" s="11"/>
      <c r="AI13" s="140" t="str">
        <f aca="false">IF(OR(COUNT(AI3,AK3)&lt;2,N(AK3)=0),"",1-ABS(AI3-AK3)/AK3)</f>
        <v/>
      </c>
      <c r="AJ13" s="140" t="n">
        <f aca="false">IF(OR(COUNT(AJ3,AK3)&lt;2,N(AK3)=0),"",1-ABS(AJ3-AK3)/AK3)</f>
        <v>0.986566630743592</v>
      </c>
      <c r="AK13" s="10"/>
      <c r="AL13" s="139" t="str">
        <f aca="false">IF(OR(COUNT(AL3,AN3)&lt;2,N(AN3)=0),"",1-ABS(AL3-AN3)/AN3)</f>
        <v/>
      </c>
      <c r="AM13" s="139" t="n">
        <f aca="false">IF(OR(COUNT(AM3,AN3)&lt;2,N(AN3)=0),"",1-ABS(AM3-AN3)/AN3)</f>
        <v>0.986157496609683</v>
      </c>
      <c r="AN13" s="11"/>
      <c r="AO13" s="140" t="str">
        <f aca="false">IF(OR(COUNT(AO3,AQ3)&lt;2,N(AQ3)=0),"",1-ABS(AO3-AQ3)/AQ3)</f>
        <v/>
      </c>
      <c r="AP13" s="140" t="n">
        <f aca="false">IF(OR(COUNT(AP3,AQ3)&lt;2,N(AQ3)=0),"",1-ABS(AP3-AQ3)/AQ3)</f>
        <v>0.985727239107197</v>
      </c>
      <c r="AQ13" s="10"/>
      <c r="AR13" s="139" t="str">
        <f aca="false">IF(OR(COUNT(AR3,AT3)&lt;2,N(AT3)=0),"",1-ABS(AR3-AT3)/AT3)</f>
        <v/>
      </c>
      <c r="AS13" s="139" t="n">
        <f aca="false">IF(OR(COUNT(AS3,AT3)&lt;2,N(AT3)=0),"",1-ABS(AS3-AT3)/AT3)</f>
        <v>0.985360442922183</v>
      </c>
      <c r="AT13" s="11"/>
      <c r="AU13" s="140" t="str">
        <f aca="false">IF(OR(COUNT(AU3,AW3)&lt;2,N(AW3)=0),"",1-ABS(AU3-AW3)/AW3)</f>
        <v/>
      </c>
      <c r="AV13" s="140" t="n">
        <f aca="false">IF(OR(COUNT(AV3,AW3)&lt;2,N(AW3)=0),"",1-ABS(AV3-AW3)/AW3)</f>
        <v>0.98501587281422</v>
      </c>
      <c r="AW13" s="10"/>
      <c r="AX13" s="139" t="str">
        <f aca="false">IF(OR(COUNT(AX3,AZ3)&lt;2,N(AZ3)=0),"",1-ABS(AX3-AZ3)/AZ3)</f>
        <v/>
      </c>
      <c r="AY13" s="139" t="n">
        <f aca="false">IF(OR(COUNT(AY3,AZ3)&lt;2,N(AZ3)=0),"",1-ABS(AY3-AZ3)/AZ3)</f>
        <v>0.984619928937569</v>
      </c>
      <c r="AZ13" s="11"/>
      <c r="BA13" s="140" t="str">
        <f aca="false">IF(OR(COUNT(BA3,BC3)&lt;2,N(BC3)=0),"",1-ABS(BA3-BC3)/BC3)</f>
        <v/>
      </c>
      <c r="BB13" s="140" t="n">
        <f aca="false">IF(OR(COUNT(BB3,BC3)&lt;2,N(BC3)=0),"",1-ABS(BB3-BC3)/BC3)</f>
        <v>0.984245742632702</v>
      </c>
      <c r="BC13" s="10"/>
      <c r="BD13" s="139" t="str">
        <f aca="false">IF(OR(COUNT(BD3,BF3)&lt;2,N(BF3)=0),"",1-ABS(BD3-BF3)/BF3)</f>
        <v/>
      </c>
      <c r="BE13" s="139" t="n">
        <f aca="false">IF(OR(COUNT(BE3,BF3)&lt;2,N(BF3)=0),"",1-ABS(BE3-BF3)/BF3)</f>
        <v>0.983855824924234</v>
      </c>
      <c r="BF13" s="11"/>
      <c r="BG13" s="140" t="str">
        <f aca="false">IF(OR(COUNT(BG3,BI3)&lt;2,N(BI3)=0),"",1-ABS(BG3-BI3)/BI3)</f>
        <v/>
      </c>
      <c r="BH13" s="140" t="n">
        <f aca="false">IF(OR(COUNT(BH3,BI3)&lt;2,N(BI3)=0),"",1-ABS(BH3-BI3)/BI3)</f>
        <v>0.9834490903778</v>
      </c>
      <c r="BI13" s="10"/>
      <c r="BJ13" s="139" t="str">
        <f aca="false">IF(OR(COUNT(BJ3,BL3)&lt;2,N(BL3)=0),"",1-ABS(BJ3-BL3)/BL3)</f>
        <v/>
      </c>
      <c r="BK13" s="139" t="n">
        <f aca="false">IF(OR(COUNT(BK3,BL3)&lt;2,N(BL3)=0),"",1-ABS(BK3-BL3)/BL3)</f>
        <v>0.983024552176403</v>
      </c>
      <c r="BL13" s="11"/>
      <c r="BM13" s="140" t="str">
        <f aca="false">IF(OR(COUNT(BM3,BO3)&lt;2,N(BO3)=0),"",1-ABS(BM3-BO3)/BO3)</f>
        <v/>
      </c>
      <c r="BN13" s="140" t="n">
        <f aca="false">IF(OR(COUNT(BN3,BO3)&lt;2,N(BO3)=0),"",1-ABS(BN3-BO3)/BO3)</f>
        <v>0.982580938528157</v>
      </c>
      <c r="BO13" s="10"/>
      <c r="BP13" s="139" t="str">
        <f aca="false">IF(OR(COUNT(BP3,BR3)&lt;2,N(BR3)=0),"",1-ABS(BP3-BR3)/BR3)</f>
        <v/>
      </c>
      <c r="BQ13" s="139" t="n">
        <f aca="false">IF(OR(COUNT(BQ3,BR3)&lt;2,N(BR3)=0),"",1-ABS(BQ3-BR3)/BR3)</f>
        <v>0.982116563862551</v>
      </c>
      <c r="BR13" s="11"/>
      <c r="BS13" s="140" t="str">
        <f aca="false">IF(OR(COUNT(BS3,BU3)&lt;2,N(BU3)=0),"",1-ABS(BS3-BU3)/BU3)</f>
        <v/>
      </c>
      <c r="BT13" s="140" t="n">
        <f aca="false">IF(OR(COUNT(BT3,BU3)&lt;2,N(BU3)=0),"",1-ABS(BT3-BU3)/BU3)</f>
        <v>0.981629966035877</v>
      </c>
      <c r="BU13" s="10"/>
      <c r="BV13" s="139" t="str">
        <f aca="false">IF(OR(COUNT(BV3,BX3)&lt;2,N(BX3)=0),"",1-ABS(BV3-BX3)/BX3)</f>
        <v/>
      </c>
      <c r="BW13" s="139" t="n">
        <f aca="false">IF(OR(COUNT(BW3,BX3)&lt;2,N(BX3)=0),"",1-ABS(BW3-BX3)/BX3)</f>
        <v>0.981119422792712</v>
      </c>
      <c r="BX13" s="11"/>
      <c r="BY13" s="140" t="str">
        <f aca="false">IF(OR(COUNT(BY3,CA3)&lt;2,N(CA3)=0),"",1-ABS(BY3-CA3)/CA3)</f>
        <v/>
      </c>
      <c r="BZ13" s="140" t="n">
        <f aca="false">IF(OR(COUNT(BZ3,CA3)&lt;2,N(CA3)=0),"",1-ABS(BZ3-CA3)/CA3)</f>
        <v>0.980583266566696</v>
      </c>
      <c r="CA13" s="10"/>
      <c r="CB13" s="139" t="str">
        <f aca="false">IF(OR(COUNT(CB3,CD3)&lt;2,N(CD3)=0),"",1-ABS(CB3-CD3)/CD3)</f>
        <v/>
      </c>
      <c r="CC13" s="139" t="n">
        <f aca="false">IF(OR(COUNT(CC3,CD3)&lt;2,N(CD3)=0),"",1-ABS(CC3-CD3)/CD3)</f>
        <v>0.98020455751302</v>
      </c>
      <c r="CD13" s="11"/>
      <c r="CE13" s="140" t="str">
        <f aca="false">IF(OR(COUNT(CE3,CG3)&lt;2,N(CG3)=0),"",1-ABS(CE3-CG3)/CG3)</f>
        <v/>
      </c>
      <c r="CF13" s="140" t="n">
        <f aca="false">IF(OR(COUNT(CF3,CG3)&lt;2,N(CG3)=0),"",1-ABS(CF3-CG3)/CG3)</f>
        <v>0.979812124188548</v>
      </c>
      <c r="CG13" s="10"/>
      <c r="CH13" s="139" t="str">
        <f aca="false">IF(OR(COUNT(CH3,CJ3)&lt;2,N(CJ3)=0),"",1-ABS(CH3-CJ3)/CJ3)</f>
        <v/>
      </c>
      <c r="CI13" s="139" t="n">
        <f aca="false">IF(OR(COUNT(CI3,CJ3)&lt;2,N(CJ3)=0),"",1-ABS(CI3-CJ3)/CJ3)</f>
        <v>0.97935839041991</v>
      </c>
      <c r="CJ13" s="11"/>
      <c r="CK13" s="140" t="str">
        <f aca="false">IF(OR(COUNT(CK3,CM3)&lt;2,N(CM3)=0),"",1-ABS(CK3-CM3)/CM3)</f>
        <v/>
      </c>
      <c r="CL13" s="140" t="n">
        <f aca="false">IF(OR(COUNT(CL3,CM3)&lt;2,N(CM3)=0),"",1-ABS(CL3-CM3)/CM3)</f>
        <v>0.978935179193236</v>
      </c>
      <c r="CM13" s="10"/>
      <c r="CN13" s="139" t="str">
        <f aca="false">IF(OR(COUNT(CN3,CP3)&lt;2,N(CP3)=0),"",1-ABS(CN3-CP3)/CP3)</f>
        <v/>
      </c>
      <c r="CO13" s="139" t="n">
        <f aca="false">IF(OR(COUNT(CO3,CP3)&lt;2,N(CP3)=0),"",1-ABS(CO3-CP3)/CP3)</f>
        <v>0.978495769324542</v>
      </c>
      <c r="CP13" s="11"/>
      <c r="CQ13" s="140" t="str">
        <f aca="false">IF(OR(COUNT(CQ3,CS3)&lt;2,N(CS3)=0),"",1-ABS(CQ3-CS3)/CS3)</f>
        <v/>
      </c>
      <c r="CR13" s="140" t="n">
        <f aca="false">IF(OR(COUNT(CR3,CS3)&lt;2,N(CS3)=0),"",1-ABS(CR3-CS3)/CS3)</f>
        <v>0.977990389742943</v>
      </c>
      <c r="CS13" s="10"/>
      <c r="CT13" s="139" t="str">
        <f aca="false">IF(OR(COUNT(CT3,CV3)&lt;2,N(CV3)=0),"",1-ABS(CT3-CV3)/CV3)</f>
        <v/>
      </c>
      <c r="CU13" s="139" t="n">
        <f aca="false">IF(OR(COUNT(CU3,CV3)&lt;2,N(CV3)=0),"",1-ABS(CU3-CV3)/CV3)</f>
        <v>0.977514571039337</v>
      </c>
      <c r="CV13" s="11"/>
      <c r="CW13" s="140" t="str">
        <f aca="false">IF(OR(COUNT(CW3,CY3)&lt;2,N(CY3)=0),"",1-ABS(CW3-CY3)/CY3)</f>
        <v/>
      </c>
      <c r="CX13" s="140" t="n">
        <f aca="false">IF(OR(COUNT(CX3,CY3)&lt;2,N(CY3)=0),"",1-ABS(CX3-CY3)/CY3)</f>
        <v>0.9770194561608</v>
      </c>
      <c r="CY13" s="10"/>
      <c r="CZ13" s="139" t="str">
        <f aca="false">IF(OR(COUNT(CZ3,DB3)&lt;2,N(DB3)=0),"",1-ABS(CZ3-DB3)/DB3)</f>
        <v/>
      </c>
      <c r="DA13" s="139" t="n">
        <f aca="false">IF(OR(COUNT(DA3,DB3)&lt;2,N(DB3)=0),"",1-ABS(DA3-DB3)/DB3)</f>
        <v>0.976452832651507</v>
      </c>
      <c r="DB13" s="11"/>
      <c r="DC13" s="140" t="str">
        <f aca="false">IF(OR(COUNT(DC3,DE3)&lt;2,N(DE3)=0),"",1-ABS(DC3-DE3)/DE3)</f>
        <v/>
      </c>
      <c r="DD13" s="140" t="n">
        <f aca="false">IF(OR(COUNT(DD3,DE3)&lt;2,N(DE3)=0),"",1-ABS(DD3-DE3)/DE3)</f>
        <v>0.975914228314241</v>
      </c>
      <c r="DE13" s="10"/>
      <c r="DF13" s="139" t="str">
        <f aca="false">IF(OR(COUNT(DF3,DH3)&lt;2,N(DH3)=0),"",1-ABS(DF3-DH3)/DH3)</f>
        <v/>
      </c>
      <c r="DG13" s="139" t="n">
        <f aca="false">IF(OR(COUNT(DG3,DH3)&lt;2,N(DH3)=0),"",1-ABS(DG3-DH3)/DH3)</f>
        <v>0.965621531972746</v>
      </c>
      <c r="DH13" s="11"/>
      <c r="DI13" s="140" t="n">
        <f aca="false">IF(OR(COUNT(DI3,DK3)&lt;2,N(DK3)=0),"",1-ABS(DI3-DK3)/DK3)</f>
        <v>0.964018387263202</v>
      </c>
      <c r="DJ13" s="140" t="n">
        <f aca="false">IF(OR(COUNT(DJ3,DK3)&lt;2,N(DK3)=0),"",1-ABS(DJ3-DK3)/DK3)</f>
        <v>0.964018387263202</v>
      </c>
      <c r="DK13" s="10"/>
      <c r="DL13" s="139" t="n">
        <f aca="false">IF(OR(COUNT(DL3,DN3)&lt;2,N(DN3)=0),"",1-ABS(DL3-DN3)/DN3)</f>
        <v>0.977171281472092</v>
      </c>
      <c r="DM13" s="139" t="n">
        <f aca="false">IF(OR(COUNT(DM3,DN3)&lt;2,N(DN3)=0),"",1-ABS(DM3-DN3)/DN3)</f>
        <v>0.977171281472092</v>
      </c>
      <c r="DN13" s="11"/>
    </row>
    <row r="14" customFormat="false" ht="15" hidden="false" customHeight="false" outlineLevel="0" collapsed="false">
      <c r="A14" s="17" t="s">
        <v>281</v>
      </c>
      <c r="B14" s="18" t="str">
        <f aca="false">IF(K14&lt;&gt;"",K14,IF(N14&lt;&gt;"",N14,IF(Q14&lt;&gt;"",Q14,IF(T14&lt;&gt;"",T14,IF(W14&lt;&gt;"",W14,IF(Z14&lt;&gt;"",Z14,IF(AC14&lt;&gt;"",AC14,IF(AF14&lt;&gt;"",AF14,IF(AI14&lt;&gt;"",AI14,IF(AL14&lt;&gt;"",AL14,IF(AO14&lt;&gt;"",AO14,IF(AR14&lt;&gt;"",AR14,""))))))))))))</f>
        <v/>
      </c>
      <c r="C14" s="18" t="n">
        <f aca="false">IF(L14&lt;&gt;"",L14,IF(O14&lt;&gt;"",O14,IF(R14&lt;&gt;"",R14,IF(U14&lt;&gt;"",U14,IF(X14&lt;&gt;"",X14,IF(AA14&lt;&gt;"",AA14,IF(AD14&lt;&gt;"",AD14,IF(AG14&lt;&gt;"",AG14,IF(AJ14&lt;&gt;"",AJ14,IF(AM14&lt;&gt;"",AM14,IF(AP14&lt;&gt;"",AP14,IF(AS14&lt;&gt;"",AS14,""))))))))))))</f>
        <v>0.265</v>
      </c>
      <c r="D14" s="18" t="n">
        <f aca="false">IF(M14&lt;&gt;"",M14,IF(P14&lt;&gt;"",P14,IF(S14&lt;&gt;"",S14,IF(V14&lt;&gt;"",V14,IF(Y14&lt;&gt;"",Y14,IF(AB14&lt;&gt;"",AB14,IF(AE14&lt;&gt;"",AE14,IF(AH14&lt;&gt;"",AH14,IF(AK14&lt;&gt;"",AK14,IF(AN14&lt;&gt;"",AN14,IF(AQ14&lt;&gt;"",AQ14,IF(AT14&lt;&gt;"",AT14,""))))))))))))</f>
        <v>0.265</v>
      </c>
      <c r="E14" s="19" t="str">
        <f aca="false">IF(AU14&lt;&gt;"",AU14,IF(AX14&lt;&gt;"",AX14,IF(BA14&lt;&gt;"",BA14,IF(BD14&lt;&gt;"",BD14,IF(BG14&lt;&gt;"",BG14,IF(BJ14&lt;&gt;"",BJ14,IF(BM14&lt;&gt;"",BM14,IF(BP14&lt;&gt;"",BP14,IF(BS14&lt;&gt;"",BS14,IF(BV14&lt;&gt;"",BV14,IF(BY14&lt;&gt;"",BY14,IF(CB14&lt;&gt;"",CB14,""))))))))))))</f>
        <v/>
      </c>
      <c r="F14" s="19" t="n">
        <f aca="false">IF(AV14&lt;&gt;"",AV14,IF(AY14&lt;&gt;"",AY14,IF(BB14&lt;&gt;"",BB14,IF(BE14&lt;&gt;"",BE14,IF(BH14&lt;&gt;"",BH14,IF(BK14&lt;&gt;"",BK14,IF(BN14&lt;&gt;"",BN14,IF(BQ14&lt;&gt;"",BQ14,IF(BT14&lt;&gt;"",BT14,IF(BW14&lt;&gt;"",BW14,IF(BZ14&lt;&gt;"",BZ14,IF(CC14&lt;&gt;"",CC14,""))))))))))))</f>
        <v>0.265</v>
      </c>
      <c r="G14" s="19" t="n">
        <f aca="false">IF(AW14&lt;&gt;"",AW14,IF(AZ14&lt;&gt;"",AZ14,IF(BC14&lt;&gt;"",BC14,IF(BF14&lt;&gt;"",BF14,IF(BI14&lt;&gt;"",BI14,IF(BL14&lt;&gt;"",BL14,IF(BO14&lt;&gt;"",BO14,IF(BR14&lt;&gt;"",BR14,IF(BU14&lt;&gt;"",BU14,IF(BX14&lt;&gt;"",BX14,IF(CA14&lt;&gt;"",CA14,IF(CD14&lt;&gt;"",CD14,""))))))))))))</f>
        <v>0.265</v>
      </c>
      <c r="H14" s="18" t="n">
        <f aca="false">IF(CE14&lt;&gt;"",CE14,IF(CH14&lt;&gt;"",CH14,IF(CK14&lt;&gt;"",CK14,IF(CN14&lt;&gt;"",CN14,IF(CQ14&lt;&gt;"",CQ14,IF(CT14&lt;&gt;"",CT14,IF(CW14&lt;&gt;"",CW14,IF(CZ14&lt;&gt;"",CZ14,IF(DC14&lt;&gt;"",DC14,IF(DF14&lt;&gt;"",DF14,IF(DI14&lt;&gt;"",DI14,IF(DL14&lt;&gt;"",DL14,""))))))))))))</f>
        <v>0.265</v>
      </c>
      <c r="I14" s="18" t="n">
        <f aca="false">IF(CF14&lt;&gt;"",CF14,IF(CI14&lt;&gt;"",CI14,IF(CL14&lt;&gt;"",CL14,IF(CO14&lt;&gt;"",CO14,IF(CR14&lt;&gt;"",CR14,IF(CU14&lt;&gt;"",CU14,IF(CX14&lt;&gt;"",CX14,IF(DA14&lt;&gt;"",DA14,IF(DD14&lt;&gt;"",DD14,IF(DG14&lt;&gt;"",DG14,IF(DJ14&lt;&gt;"",DJ14,IF(DM14&lt;&gt;"",DM14,""))))))))))))</f>
        <v>0.265</v>
      </c>
      <c r="J14" s="18" t="n">
        <f aca="false">IF(CG14&lt;&gt;"",CG14,IF(CJ14&lt;&gt;"",CJ14,IF(CM14&lt;&gt;"",CM14,IF(CP14&lt;&gt;"",CP14,IF(CS14&lt;&gt;"",CS14,IF(CV14&lt;&gt;"",CV14,IF(CY14&lt;&gt;"",CY14,IF(DB14&lt;&gt;"",DB14,IF(DE14&lt;&gt;"",DE14,IF(DH14&lt;&gt;"",DH14,IF(DK14&lt;&gt;"",DK14,IF(DN14&lt;&gt;"",DN14,""))))))))))))</f>
        <v>0.265</v>
      </c>
      <c r="K14" s="19"/>
      <c r="L14" s="19" t="n">
        <f aca="false">IF('Cash Drivers'!L$26,Finance!K14,Finance!M14)</f>
        <v>0.265</v>
      </c>
      <c r="M14" s="79" t="n">
        <v>0.265</v>
      </c>
      <c r="N14" s="18"/>
      <c r="O14" s="18" t="n">
        <f aca="false">IF('Cash Drivers'!O$26,Finance!N14,Finance!P14)</f>
        <v>0.265</v>
      </c>
      <c r="P14" s="80" t="n">
        <v>0.265</v>
      </c>
      <c r="Q14" s="19"/>
      <c r="R14" s="19" t="n">
        <f aca="false">IF('Cash Drivers'!R$26,Finance!Q14,Finance!S14)</f>
        <v>0.265</v>
      </c>
      <c r="S14" s="79" t="n">
        <v>0.265</v>
      </c>
      <c r="T14" s="18"/>
      <c r="U14" s="18" t="n">
        <f aca="false">IF('Cash Drivers'!U$26,Finance!T14,Finance!V14)</f>
        <v>0.265</v>
      </c>
      <c r="V14" s="80" t="n">
        <v>0.265</v>
      </c>
      <c r="W14" s="19"/>
      <c r="X14" s="19" t="n">
        <f aca="false">IF('Cash Drivers'!X$26,Finance!W14,Finance!Y14)</f>
        <v>0.265</v>
      </c>
      <c r="Y14" s="79" t="n">
        <v>0.265</v>
      </c>
      <c r="Z14" s="18"/>
      <c r="AA14" s="18" t="n">
        <f aca="false">IF('Cash Drivers'!AA$26,Finance!Z14,Finance!AB14)</f>
        <v>0.265</v>
      </c>
      <c r="AB14" s="80" t="n">
        <v>0.265</v>
      </c>
      <c r="AC14" s="19"/>
      <c r="AD14" s="19" t="n">
        <f aca="false">IF('Cash Drivers'!AD$26,Finance!AC14,Finance!AE14)</f>
        <v>0.265</v>
      </c>
      <c r="AE14" s="79" t="n">
        <v>0.265</v>
      </c>
      <c r="AF14" s="18"/>
      <c r="AG14" s="18" t="n">
        <f aca="false">IF('Cash Drivers'!AG$26,Finance!AF14,Finance!AH14)</f>
        <v>0.265</v>
      </c>
      <c r="AH14" s="80" t="n">
        <v>0.265</v>
      </c>
      <c r="AI14" s="19"/>
      <c r="AJ14" s="19" t="n">
        <f aca="false">IF('Cash Drivers'!AJ$26,Finance!AI14,Finance!AK14)</f>
        <v>0.265</v>
      </c>
      <c r="AK14" s="79" t="n">
        <v>0.265</v>
      </c>
      <c r="AL14" s="18"/>
      <c r="AM14" s="18" t="n">
        <f aca="false">IF('Cash Drivers'!AM$26,Finance!AL14,Finance!AN14)</f>
        <v>0.265</v>
      </c>
      <c r="AN14" s="80" t="n">
        <v>0.265</v>
      </c>
      <c r="AO14" s="19"/>
      <c r="AP14" s="19" t="n">
        <f aca="false">IF('Cash Drivers'!AP$26,Finance!AO14,Finance!AQ14)</f>
        <v>0.265</v>
      </c>
      <c r="AQ14" s="79" t="n">
        <v>0.265</v>
      </c>
      <c r="AR14" s="18"/>
      <c r="AS14" s="18" t="n">
        <f aca="false">IF('Cash Drivers'!AS$26,Finance!AR14,Finance!AT14)</f>
        <v>0.265</v>
      </c>
      <c r="AT14" s="80" t="n">
        <v>0.265</v>
      </c>
      <c r="AU14" s="19"/>
      <c r="AV14" s="19" t="n">
        <f aca="false">IF('Cash Drivers'!AV$26,Finance!AU14,Finance!AW14)</f>
        <v>0.265</v>
      </c>
      <c r="AW14" s="79" t="n">
        <v>0.265</v>
      </c>
      <c r="AX14" s="18"/>
      <c r="AY14" s="18" t="n">
        <f aca="false">IF('Cash Drivers'!AY$26,Finance!AX14,Finance!AZ14)</f>
        <v>0.265</v>
      </c>
      <c r="AZ14" s="80" t="n">
        <v>0.265</v>
      </c>
      <c r="BA14" s="19"/>
      <c r="BB14" s="19" t="n">
        <f aca="false">IF('Cash Drivers'!BB$26,Finance!BA14,Finance!BC14)</f>
        <v>0.265</v>
      </c>
      <c r="BC14" s="79" t="n">
        <v>0.265</v>
      </c>
      <c r="BD14" s="18"/>
      <c r="BE14" s="18" t="n">
        <f aca="false">IF('Cash Drivers'!BE$26,Finance!BD14,Finance!BF14)</f>
        <v>0.265</v>
      </c>
      <c r="BF14" s="80" t="n">
        <v>0.265</v>
      </c>
      <c r="BG14" s="19"/>
      <c r="BH14" s="19" t="n">
        <f aca="false">IF('Cash Drivers'!BH$26,Finance!BG14,Finance!BI14)</f>
        <v>0.265</v>
      </c>
      <c r="BI14" s="79" t="n">
        <v>0.265</v>
      </c>
      <c r="BJ14" s="18"/>
      <c r="BK14" s="18" t="n">
        <f aca="false">IF('Cash Drivers'!BK$26,Finance!BJ14,Finance!BL14)</f>
        <v>0.265</v>
      </c>
      <c r="BL14" s="80" t="n">
        <v>0.265</v>
      </c>
      <c r="BM14" s="19"/>
      <c r="BN14" s="19" t="n">
        <f aca="false">IF('Cash Drivers'!BN$26,Finance!BM14,Finance!BO14)</f>
        <v>0.265</v>
      </c>
      <c r="BO14" s="79" t="n">
        <v>0.265</v>
      </c>
      <c r="BP14" s="18"/>
      <c r="BQ14" s="18" t="n">
        <f aca="false">IF('Cash Drivers'!BQ$26,Finance!BP14,Finance!BR14)</f>
        <v>0.265</v>
      </c>
      <c r="BR14" s="80" t="n">
        <v>0.265</v>
      </c>
      <c r="BS14" s="19"/>
      <c r="BT14" s="19" t="n">
        <f aca="false">IF('Cash Drivers'!BT$26,Finance!BS14,Finance!BU14)</f>
        <v>0.265</v>
      </c>
      <c r="BU14" s="79" t="n">
        <v>0.265</v>
      </c>
      <c r="BV14" s="18"/>
      <c r="BW14" s="18" t="n">
        <f aca="false">IF('Cash Drivers'!BW$26,Finance!BV14,Finance!BX14)</f>
        <v>0.265</v>
      </c>
      <c r="BX14" s="80" t="n">
        <v>0.265</v>
      </c>
      <c r="BY14" s="19"/>
      <c r="BZ14" s="19" t="n">
        <f aca="false">IF('Cash Drivers'!BZ$26,Finance!BY14,Finance!CA14)</f>
        <v>0.265</v>
      </c>
      <c r="CA14" s="79" t="n">
        <v>0.265</v>
      </c>
      <c r="CB14" s="18"/>
      <c r="CC14" s="18" t="n">
        <f aca="false">IF('Cash Drivers'!CC$26,Finance!CB14,Finance!CD14)</f>
        <v>0.265</v>
      </c>
      <c r="CD14" s="80" t="n">
        <v>0.265</v>
      </c>
      <c r="CE14" s="19"/>
      <c r="CF14" s="19" t="n">
        <f aca="false">IF('Cash Drivers'!CF$26,Finance!CE14,Finance!CG14)</f>
        <v>0.265</v>
      </c>
      <c r="CG14" s="79" t="n">
        <v>0.265</v>
      </c>
      <c r="CH14" s="18"/>
      <c r="CI14" s="18" t="n">
        <f aca="false">IF('Cash Drivers'!CI$26,Finance!CH14,Finance!CJ14)</f>
        <v>0.265</v>
      </c>
      <c r="CJ14" s="80" t="n">
        <v>0.265</v>
      </c>
      <c r="CK14" s="19"/>
      <c r="CL14" s="19" t="n">
        <f aca="false">IF('Cash Drivers'!CL$26,Finance!CK14,Finance!CM14)</f>
        <v>0.265</v>
      </c>
      <c r="CM14" s="79" t="n">
        <v>0.265</v>
      </c>
      <c r="CN14" s="18"/>
      <c r="CO14" s="18" t="n">
        <f aca="false">IF('Cash Drivers'!CO$26,Finance!CN14,Finance!CP14)</f>
        <v>0.265</v>
      </c>
      <c r="CP14" s="80" t="n">
        <v>0.265</v>
      </c>
      <c r="CQ14" s="19"/>
      <c r="CR14" s="19" t="n">
        <f aca="false">IF('Cash Drivers'!CR$26,Finance!CQ14,Finance!CS14)</f>
        <v>0.265</v>
      </c>
      <c r="CS14" s="79" t="n">
        <v>0.265</v>
      </c>
      <c r="CT14" s="18"/>
      <c r="CU14" s="18" t="n">
        <f aca="false">IF('Cash Drivers'!CU$26,Finance!CT14,Finance!CV14)</f>
        <v>0.265</v>
      </c>
      <c r="CV14" s="80" t="n">
        <v>0.265</v>
      </c>
      <c r="CW14" s="19"/>
      <c r="CX14" s="19" t="n">
        <f aca="false">IF('Cash Drivers'!CX$26,Finance!CW14,Finance!CY14)</f>
        <v>0.265</v>
      </c>
      <c r="CY14" s="79" t="n">
        <v>0.265</v>
      </c>
      <c r="CZ14" s="18"/>
      <c r="DA14" s="18" t="n">
        <f aca="false">IF('Cash Drivers'!DA$26,Finance!CZ14,Finance!DB14)</f>
        <v>0.265</v>
      </c>
      <c r="DB14" s="80" t="n">
        <v>0.265</v>
      </c>
      <c r="DC14" s="19"/>
      <c r="DD14" s="19" t="n">
        <f aca="false">IF('Cash Drivers'!DD$26,Finance!DC14,Finance!DE14)</f>
        <v>0.265</v>
      </c>
      <c r="DE14" s="79" t="n">
        <v>0.265</v>
      </c>
      <c r="DF14" s="18"/>
      <c r="DG14" s="18" t="n">
        <f aca="false">IF('Cash Drivers'!DG$26,Finance!DF14,Finance!DH14)</f>
        <v>0.265</v>
      </c>
      <c r="DH14" s="80" t="n">
        <v>0.265</v>
      </c>
      <c r="DI14" s="79" t="n">
        <v>0.265</v>
      </c>
      <c r="DJ14" s="19" t="n">
        <f aca="false">IF('Cash Drivers'!DJ$26,Finance!DI14,Finance!DK14)</f>
        <v>0.265</v>
      </c>
      <c r="DK14" s="79" t="n">
        <v>0.265</v>
      </c>
      <c r="DL14" s="80" t="n">
        <v>0.265</v>
      </c>
      <c r="DM14" s="18" t="n">
        <f aca="false">IF('Cash Drivers'!DM$26,Finance!DL14,Finance!DN14)</f>
        <v>0.265</v>
      </c>
      <c r="DN14" s="80" t="n">
        <v>0.265</v>
      </c>
    </row>
    <row r="15" customFormat="false" ht="15" hidden="false" customHeight="false" outlineLevel="0" collapsed="false">
      <c r="A15" s="5" t="s">
        <v>282</v>
      </c>
      <c r="B15" s="12" t="str">
        <f aca="false">IF(K15&lt;&gt;"",K15,IF(N15&lt;&gt;"",N15,IF(Q15&lt;&gt;"",Q15,IF(T15&lt;&gt;"",T15,IF(W15&lt;&gt;"",W15,IF(Z15&lt;&gt;"",Z15,IF(AC15&lt;&gt;"",AC15,IF(AF15&lt;&gt;"",AF15,IF(AI15&lt;&gt;"",AI15,IF(AL15&lt;&gt;"",AL15,IF(AO15&lt;&gt;"",AO15,IF(AR15&lt;&gt;"",AR15,""))))))))))))</f>
        <v/>
      </c>
      <c r="C15" s="12" t="n">
        <f aca="false">IF(L15&lt;&gt;"",L15,IF(O15&lt;&gt;"",O15,IF(R15&lt;&gt;"",R15,IF(U15&lt;&gt;"",U15,IF(X15&lt;&gt;"",X15,IF(AA15&lt;&gt;"",AA15,IF(AD15&lt;&gt;"",AD15,IF(AG15&lt;&gt;"",AG15,IF(AJ15&lt;&gt;"",AJ15,IF(AM15&lt;&gt;"",AM15,IF(AP15&lt;&gt;"",AP15,IF(AS15&lt;&gt;"",AS15,""))))))))))))</f>
        <v>0</v>
      </c>
      <c r="D15" s="12" t="n">
        <f aca="false">IF(M15&lt;&gt;"",M15,IF(P15&lt;&gt;"",P15,IF(S15&lt;&gt;"",S15,IF(V15&lt;&gt;"",V15,IF(Y15&lt;&gt;"",Y15,IF(AB15&lt;&gt;"",AB15,IF(AE15&lt;&gt;"",AE15,IF(AH15&lt;&gt;"",AH15,IF(AK15&lt;&gt;"",AK15,IF(AN15&lt;&gt;"",AN15,IF(AQ15&lt;&gt;"",AQ15,IF(AT15&lt;&gt;"",AT15,""))))))))))))</f>
        <v>0</v>
      </c>
      <c r="E15" s="13" t="str">
        <f aca="false">IF(AU15&lt;&gt;"",AU15,IF(AX15&lt;&gt;"",AX15,IF(BA15&lt;&gt;"",BA15,IF(BD15&lt;&gt;"",BD15,IF(BG15&lt;&gt;"",BG15,IF(BJ15&lt;&gt;"",BJ15,IF(BM15&lt;&gt;"",BM15,IF(BP15&lt;&gt;"",BP15,IF(BS15&lt;&gt;"",BS15,IF(BV15&lt;&gt;"",BV15,IF(BY15&lt;&gt;"",BY15,IF(CB15&lt;&gt;"",CB15,""))))))))))))</f>
        <v/>
      </c>
      <c r="F15" s="13" t="n">
        <f aca="false">IF(AV15&lt;&gt;"",AV15,IF(AY15&lt;&gt;"",AY15,IF(BB15&lt;&gt;"",BB15,IF(BE15&lt;&gt;"",BE15,IF(BH15&lt;&gt;"",BH15,IF(BK15&lt;&gt;"",BK15,IF(BN15&lt;&gt;"",BN15,IF(BQ15&lt;&gt;"",BQ15,IF(BT15&lt;&gt;"",BT15,IF(BW15&lt;&gt;"",BW15,IF(BZ15&lt;&gt;"",BZ15,IF(CC15&lt;&gt;"",CC15,""))))))))))))</f>
        <v>0</v>
      </c>
      <c r="G15" s="13" t="n">
        <f aca="false">IF(AW15&lt;&gt;"",AW15,IF(AZ15&lt;&gt;"",AZ15,IF(BC15&lt;&gt;"",BC15,IF(BF15&lt;&gt;"",BF15,IF(BI15&lt;&gt;"",BI15,IF(BL15&lt;&gt;"",BL15,IF(BO15&lt;&gt;"",BO15,IF(BR15&lt;&gt;"",BR15,IF(BU15&lt;&gt;"",BU15,IF(BX15&lt;&gt;"",BX15,IF(CA15&lt;&gt;"",CA15,IF(CD15&lt;&gt;"",CD15,""))))))))))))</f>
        <v>0</v>
      </c>
      <c r="H15" s="12" t="n">
        <f aca="false">IF(CE15&lt;&gt;"",CE15,IF(CH15&lt;&gt;"",CH15,IF(CK15&lt;&gt;"",CK15,IF(CN15&lt;&gt;"",CN15,IF(CQ15&lt;&gt;"",CQ15,IF(CT15&lt;&gt;"",CT15,IF(CW15&lt;&gt;"",CW15,IF(CZ15&lt;&gt;"",CZ15,IF(DC15&lt;&gt;"",DC15,IF(DF15&lt;&gt;"",DF15,IF(DI15&lt;&gt;"",DI15,IF(DL15&lt;&gt;"",DL15,""))))))))))))</f>
        <v>0</v>
      </c>
      <c r="I15" s="12" t="n">
        <f aca="false">IF(CF15&lt;&gt;"",CF15,IF(CI15&lt;&gt;"",CI15,IF(CL15&lt;&gt;"",CL15,IF(CO15&lt;&gt;"",CO15,IF(CR15&lt;&gt;"",CR15,IF(CU15&lt;&gt;"",CU15,IF(CX15&lt;&gt;"",CX15,IF(DA15&lt;&gt;"",DA15,IF(DD15&lt;&gt;"",DD15,IF(DG15&lt;&gt;"",DG15,IF(DJ15&lt;&gt;"",DJ15,IF(DM15&lt;&gt;"",DM15,""))))))))))))</f>
        <v>0</v>
      </c>
      <c r="J15" s="12" t="n">
        <f aca="false">IF(CG15&lt;&gt;"",CG15,IF(CJ15&lt;&gt;"",CJ15,IF(CM15&lt;&gt;"",CM15,IF(CP15&lt;&gt;"",CP15,IF(CS15&lt;&gt;"",CS15,IF(CV15&lt;&gt;"",CV15,IF(CY15&lt;&gt;"",CY15,IF(DB15&lt;&gt;"",DB15,IF(DE15&lt;&gt;"",DE15,IF(DH15&lt;&gt;"",DH15,IF(DK15&lt;&gt;"",DK15,IF(DN15&lt;&gt;"",DN15,""))))))))))))</f>
        <v>0</v>
      </c>
      <c r="K15" s="13" t="str">
        <f aca="false">IF(COUNT(Finance!N17)=1,Finance!N17,"")</f>
        <v/>
      </c>
      <c r="L15" s="13" t="n">
        <f aca="false">Finance!O17</f>
        <v>0</v>
      </c>
      <c r="M15" s="13" t="n">
        <f aca="false">Finance!P17</f>
        <v>0</v>
      </c>
      <c r="N15" s="12" t="str">
        <f aca="false">IF(COUNT(Finance!Q17)=1,Finance!Q17,"")</f>
        <v/>
      </c>
      <c r="O15" s="12" t="n">
        <f aca="false">Finance!R17</f>
        <v>0</v>
      </c>
      <c r="P15" s="12" t="n">
        <f aca="false">Finance!S17</f>
        <v>0</v>
      </c>
      <c r="Q15" s="13" t="str">
        <f aca="false">IF(COUNT(Finance!T17)=1,Finance!T17,"")</f>
        <v/>
      </c>
      <c r="R15" s="13" t="n">
        <f aca="false">Finance!U17</f>
        <v>0</v>
      </c>
      <c r="S15" s="13" t="n">
        <f aca="false">Finance!V17</f>
        <v>0</v>
      </c>
      <c r="T15" s="12" t="str">
        <f aca="false">IF(COUNT(Finance!W17)=1,Finance!W17,"")</f>
        <v/>
      </c>
      <c r="U15" s="12" t="n">
        <f aca="false">Finance!X17</f>
        <v>0</v>
      </c>
      <c r="V15" s="12" t="n">
        <f aca="false">Finance!Y17</f>
        <v>0</v>
      </c>
      <c r="W15" s="13" t="str">
        <f aca="false">IF(COUNT(Finance!Z17)=1,Finance!Z17,"")</f>
        <v/>
      </c>
      <c r="X15" s="13" t="n">
        <f aca="false">Finance!AA17</f>
        <v>0</v>
      </c>
      <c r="Y15" s="13" t="n">
        <f aca="false">Finance!AB17</f>
        <v>0</v>
      </c>
      <c r="Z15" s="12" t="str">
        <f aca="false">IF(COUNT(Finance!AC17)=1,Finance!AC17,"")</f>
        <v/>
      </c>
      <c r="AA15" s="12" t="n">
        <f aca="false">Finance!AD17</f>
        <v>0</v>
      </c>
      <c r="AB15" s="12" t="n">
        <f aca="false">Finance!AE17</f>
        <v>0</v>
      </c>
      <c r="AC15" s="13" t="str">
        <f aca="false">IF(COUNT(Finance!AF17)=1,Finance!AF17,"")</f>
        <v/>
      </c>
      <c r="AD15" s="13" t="n">
        <f aca="false">Finance!AG17</f>
        <v>0</v>
      </c>
      <c r="AE15" s="13" t="n">
        <f aca="false">Finance!AH17</f>
        <v>0</v>
      </c>
      <c r="AF15" s="12" t="str">
        <f aca="false">IF(COUNT(Finance!AI17)=1,Finance!AI17,"")</f>
        <v/>
      </c>
      <c r="AG15" s="12" t="n">
        <f aca="false">Finance!AJ17</f>
        <v>0</v>
      </c>
      <c r="AH15" s="12" t="n">
        <f aca="false">Finance!AK17</f>
        <v>0</v>
      </c>
      <c r="AI15" s="13" t="str">
        <f aca="false">IF(COUNT(Finance!AL17)=1,Finance!AL17,"")</f>
        <v/>
      </c>
      <c r="AJ15" s="13" t="n">
        <f aca="false">Finance!AM17</f>
        <v>0</v>
      </c>
      <c r="AK15" s="13" t="n">
        <f aca="false">Finance!AN17</f>
        <v>0</v>
      </c>
      <c r="AL15" s="12" t="str">
        <f aca="false">IF(COUNT(Finance!AO17)=1,Finance!AO17,"")</f>
        <v/>
      </c>
      <c r="AM15" s="12" t="n">
        <f aca="false">Finance!AP17</f>
        <v>0</v>
      </c>
      <c r="AN15" s="12" t="n">
        <f aca="false">Finance!AQ17</f>
        <v>0</v>
      </c>
      <c r="AO15" s="13" t="str">
        <f aca="false">IF(COUNT(Finance!AR17)=1,Finance!AR17,"")</f>
        <v/>
      </c>
      <c r="AP15" s="13" t="n">
        <f aca="false">Finance!AS17</f>
        <v>0</v>
      </c>
      <c r="AQ15" s="13" t="n">
        <f aca="false">Finance!AT17</f>
        <v>0</v>
      </c>
      <c r="AR15" s="12" t="str">
        <f aca="false">IF(COUNT(Finance!AU17)=1,Finance!AU17,"")</f>
        <v/>
      </c>
      <c r="AS15" s="12" t="n">
        <f aca="false">Finance!AV17</f>
        <v>0</v>
      </c>
      <c r="AT15" s="12" t="n">
        <f aca="false">Finance!AW17</f>
        <v>0</v>
      </c>
      <c r="AU15" s="13" t="str">
        <f aca="false">IF(COUNT(Finance!AX17)=1,Finance!AX17,"")</f>
        <v/>
      </c>
      <c r="AV15" s="13" t="n">
        <f aca="false">Finance!AY17</f>
        <v>0</v>
      </c>
      <c r="AW15" s="13" t="n">
        <f aca="false">Finance!AZ17</f>
        <v>0</v>
      </c>
      <c r="AX15" s="12" t="str">
        <f aca="false">IF(COUNT(Finance!BA17)=1,Finance!BA17,"")</f>
        <v/>
      </c>
      <c r="AY15" s="12" t="n">
        <f aca="false">Finance!BB17</f>
        <v>0</v>
      </c>
      <c r="AZ15" s="12" t="n">
        <f aca="false">Finance!BC17</f>
        <v>0</v>
      </c>
      <c r="BA15" s="13" t="str">
        <f aca="false">IF(COUNT(Finance!BD17)=1,Finance!BD17,"")</f>
        <v/>
      </c>
      <c r="BB15" s="13" t="n">
        <f aca="false">Finance!BE17</f>
        <v>0</v>
      </c>
      <c r="BC15" s="13" t="n">
        <f aca="false">Finance!BF17</f>
        <v>0</v>
      </c>
      <c r="BD15" s="12" t="str">
        <f aca="false">IF(COUNT(Finance!BG17)=1,Finance!BG17,"")</f>
        <v/>
      </c>
      <c r="BE15" s="12" t="n">
        <f aca="false">Finance!BH17</f>
        <v>0</v>
      </c>
      <c r="BF15" s="12" t="n">
        <f aca="false">Finance!BI17</f>
        <v>0</v>
      </c>
      <c r="BG15" s="13" t="str">
        <f aca="false">IF(COUNT(Finance!BJ17)=1,Finance!BJ17,"")</f>
        <v/>
      </c>
      <c r="BH15" s="13" t="n">
        <f aca="false">Finance!BK17</f>
        <v>0</v>
      </c>
      <c r="BI15" s="13" t="n">
        <f aca="false">Finance!BL17</f>
        <v>0</v>
      </c>
      <c r="BJ15" s="12" t="str">
        <f aca="false">IF(COUNT(Finance!BM17)=1,Finance!BM17,"")</f>
        <v/>
      </c>
      <c r="BK15" s="12" t="n">
        <f aca="false">Finance!BN17</f>
        <v>0</v>
      </c>
      <c r="BL15" s="12" t="n">
        <f aca="false">Finance!BO17</f>
        <v>0</v>
      </c>
      <c r="BM15" s="13" t="str">
        <f aca="false">IF(COUNT(Finance!BP17)=1,Finance!BP17,"")</f>
        <v/>
      </c>
      <c r="BN15" s="13" t="n">
        <f aca="false">Finance!BQ17</f>
        <v>0</v>
      </c>
      <c r="BO15" s="13" t="n">
        <f aca="false">Finance!BR17</f>
        <v>0</v>
      </c>
      <c r="BP15" s="12" t="str">
        <f aca="false">IF(COUNT(Finance!BS17)=1,Finance!BS17,"")</f>
        <v/>
      </c>
      <c r="BQ15" s="12" t="n">
        <f aca="false">Finance!BT17</f>
        <v>0</v>
      </c>
      <c r="BR15" s="12" t="n">
        <f aca="false">Finance!BU17</f>
        <v>0</v>
      </c>
      <c r="BS15" s="13" t="str">
        <f aca="false">IF(COUNT(Finance!BV17)=1,Finance!BV17,"")</f>
        <v/>
      </c>
      <c r="BT15" s="13" t="n">
        <f aca="false">Finance!BW17</f>
        <v>0</v>
      </c>
      <c r="BU15" s="13" t="n">
        <f aca="false">Finance!BX17</f>
        <v>0</v>
      </c>
      <c r="BV15" s="12" t="str">
        <f aca="false">IF(COUNT(Finance!BY17)=1,Finance!BY17,"")</f>
        <v/>
      </c>
      <c r="BW15" s="12" t="n">
        <f aca="false">Finance!BZ17</f>
        <v>0</v>
      </c>
      <c r="BX15" s="12" t="n">
        <f aca="false">Finance!CA17</f>
        <v>0</v>
      </c>
      <c r="BY15" s="13" t="str">
        <f aca="false">IF(COUNT(Finance!CB17)=1,Finance!CB17,"")</f>
        <v/>
      </c>
      <c r="BZ15" s="13" t="n">
        <f aca="false">Finance!CC17</f>
        <v>0</v>
      </c>
      <c r="CA15" s="13" t="n">
        <f aca="false">Finance!CD17</f>
        <v>0</v>
      </c>
      <c r="CB15" s="12" t="str">
        <f aca="false">IF(COUNT(Finance!CE17)=1,Finance!CE17,"")</f>
        <v/>
      </c>
      <c r="CC15" s="12" t="n">
        <f aca="false">Finance!CF17</f>
        <v>0</v>
      </c>
      <c r="CD15" s="12" t="n">
        <f aca="false">Finance!CG17</f>
        <v>0</v>
      </c>
      <c r="CE15" s="13" t="str">
        <f aca="false">IF(COUNT(Finance!CH17)=1,Finance!CH17,"")</f>
        <v/>
      </c>
      <c r="CF15" s="13" t="n">
        <f aca="false">Finance!CI17</f>
        <v>0</v>
      </c>
      <c r="CG15" s="13" t="n">
        <f aca="false">Finance!CJ17</f>
        <v>0</v>
      </c>
      <c r="CH15" s="12" t="str">
        <f aca="false">IF(COUNT(Finance!CK17)=1,Finance!CK17,"")</f>
        <v/>
      </c>
      <c r="CI15" s="12" t="n">
        <f aca="false">Finance!CL17</f>
        <v>0</v>
      </c>
      <c r="CJ15" s="12" t="n">
        <f aca="false">Finance!CM17</f>
        <v>0</v>
      </c>
      <c r="CK15" s="13" t="str">
        <f aca="false">IF(COUNT(Finance!CN17)=1,Finance!CN17,"")</f>
        <v/>
      </c>
      <c r="CL15" s="13" t="n">
        <f aca="false">Finance!CO17</f>
        <v>0</v>
      </c>
      <c r="CM15" s="13" t="n">
        <f aca="false">Finance!CP17</f>
        <v>0</v>
      </c>
      <c r="CN15" s="12" t="str">
        <f aca="false">IF(COUNT(Finance!CQ17)=1,Finance!CQ17,"")</f>
        <v/>
      </c>
      <c r="CO15" s="12" t="n">
        <f aca="false">Finance!CR17</f>
        <v>0</v>
      </c>
      <c r="CP15" s="12" t="n">
        <f aca="false">Finance!CS17</f>
        <v>0</v>
      </c>
      <c r="CQ15" s="13" t="str">
        <f aca="false">IF(COUNT(Finance!CT17)=1,Finance!CT17,"")</f>
        <v/>
      </c>
      <c r="CR15" s="13" t="n">
        <f aca="false">Finance!CU17</f>
        <v>0</v>
      </c>
      <c r="CS15" s="13" t="n">
        <f aca="false">Finance!CV17</f>
        <v>0</v>
      </c>
      <c r="CT15" s="12" t="str">
        <f aca="false">IF(COUNT(Finance!CW17)=1,Finance!CW17,"")</f>
        <v/>
      </c>
      <c r="CU15" s="12" t="n">
        <f aca="false">Finance!CX17</f>
        <v>0</v>
      </c>
      <c r="CV15" s="12" t="n">
        <f aca="false">Finance!CY17</f>
        <v>0</v>
      </c>
      <c r="CW15" s="13" t="str">
        <f aca="false">IF(COUNT(Finance!CZ17)=1,Finance!CZ17,"")</f>
        <v/>
      </c>
      <c r="CX15" s="13" t="n">
        <f aca="false">Finance!DA17</f>
        <v>0</v>
      </c>
      <c r="CY15" s="13" t="n">
        <f aca="false">Finance!DB17</f>
        <v>0</v>
      </c>
      <c r="CZ15" s="12" t="str">
        <f aca="false">IF(COUNT(Finance!DC17)=1,Finance!DC17,"")</f>
        <v/>
      </c>
      <c r="DA15" s="12" t="n">
        <f aca="false">Finance!DD17</f>
        <v>0</v>
      </c>
      <c r="DB15" s="12" t="n">
        <f aca="false">Finance!DE17</f>
        <v>0</v>
      </c>
      <c r="DC15" s="13" t="str">
        <f aca="false">IF(COUNT(Finance!DF17)=1,Finance!DF17,"")</f>
        <v/>
      </c>
      <c r="DD15" s="13" t="n">
        <f aca="false">Finance!DG17</f>
        <v>0</v>
      </c>
      <c r="DE15" s="13" t="n">
        <f aca="false">Finance!DH17</f>
        <v>47255.40022</v>
      </c>
      <c r="DF15" s="12" t="n">
        <f aca="false">IF(COUNT(Finance!DI17)=1,Finance!DI17,"")</f>
        <v>0</v>
      </c>
      <c r="DG15" s="12" t="n">
        <f aca="false">Finance!DJ17</f>
        <v>0</v>
      </c>
      <c r="DH15" s="12" t="n">
        <f aca="false">Finance!DK17</f>
        <v>27896.5224</v>
      </c>
      <c r="DI15" s="13" t="n">
        <f aca="false">IF(COUNT(Finance!DL17)=1,Finance!DL17,"")</f>
        <v>8568</v>
      </c>
      <c r="DJ15" s="13" t="n">
        <f aca="false">Finance!DM17</f>
        <v>8568</v>
      </c>
      <c r="DK15" s="13" t="n">
        <f aca="false">Finance!DN17</f>
        <v>0</v>
      </c>
      <c r="DL15" s="90" t="n">
        <v>0</v>
      </c>
      <c r="DM15" s="12" t="n">
        <f aca="false">IF('Cash Drivers'!DM$26,Finance!DL15,Finance!DN15)</f>
        <v>0</v>
      </c>
      <c r="DN15" s="90" t="n">
        <v>0</v>
      </c>
    </row>
    <row r="16" customFormat="false" ht="15" hidden="false" customHeight="false" outlineLevel="0" collapsed="false">
      <c r="A16" s="5" t="s">
        <v>283</v>
      </c>
      <c r="B16" s="12" t="str">
        <f aca="false">IF(COUNT(AR16,AO16,AL16,AI16,AF16,AC16,Z16,W16,T16,Q16,N16,K16)=0,"",SUM(AR16,AO16,AL16,AI16,AF16,AC16,Z16,W16,T16,Q16,N16,K16))</f>
        <v/>
      </c>
      <c r="C16" s="12" t="n">
        <f aca="false">IF(COUNT(AS16,AP16,AM16,AJ16,AG16,AD16,AA16,X16,U16,R16,O16,L16)=0,"",SUM(AS16,AP16,AM16,AJ16,AG16,AD16,AA16,X16,U16,R16,O16,L16))</f>
        <v>1895868.811959</v>
      </c>
      <c r="D16" s="12" t="n">
        <f aca="false">IF(COUNT(AT16,AQ16,AN16,AK16,AH16,AE16,AB16,Y16,V16,S16,P16,M16)=0,"",SUM(AT16,AQ16,AN16,AK16,AH16,AE16,AB16,Y16,V16,S16,P16,M16))</f>
        <v>1813851.3327825</v>
      </c>
      <c r="E16" s="13" t="str">
        <f aca="false">IF(COUNT(CB16,BY16,BV16,BS16,BP16,BM16,BJ16,BG16,BD16,BA16,AX16,AU16)=0,"",SUM(CB16,BY16,BV16,BS16,BP16,BM16,BJ16,BG16,BD16,BA16,AX16,AU16))</f>
        <v/>
      </c>
      <c r="F16" s="13" t="n">
        <f aca="false">IF(COUNT(CC16,BZ16,BW16,BT16,BQ16,BN16,BK16,BH16,BE16,BB16,AY16,AV16)=0,"",SUM(CC16,BZ16,BW16,BT16,BQ16,BN16,BK16,BH16,BE16,BB16,AY16,AV16))</f>
        <v>965944.422693599</v>
      </c>
      <c r="G16" s="13" t="n">
        <f aca="false">IF(COUNT(CD16,CA16,BX16,BU16,BR16,BO16,BL16,BI16,BF16,BC16,AZ16,AW16)=0,"",SUM(CD16,CA16,BX16,BU16,BR16,BO16,BL16,BI16,BF16,BC16,AZ16,AW16))</f>
        <v>882997.138451</v>
      </c>
      <c r="H16" s="12" t="n">
        <f aca="false">IF(COUNT(DL16,DI16,DF16,DC16,CZ16,CW16,CT16,CQ16,CN16,CK16,CH16,CE16)=0,"",SUM(DL16,DI16,DF16,DC16,CZ16,CW16,CT16,CQ16,CN16,CK16,CH16,CE16))</f>
        <v>3446.97362894549</v>
      </c>
      <c r="I16" s="12" t="n">
        <f aca="false">IF(COUNT(DM16,DJ16,DG16,DD16,DA16,CX16,CU16,CR16,CO16,CL16,CI16,CF16)=0,"",SUM(DM16,DJ16,DG16,DD16,DA16,CX16,CU16,CR16,CO16,CL16,CI16,CF16))</f>
        <v>392880.724538787</v>
      </c>
      <c r="J16" s="12" t="n">
        <f aca="false">IF(COUNT(DN16,DK16,DH16,DE16,DB16,CY16,CV16,CS16,CP16,CM16,CJ16,CG16)=0,"",SUM(DN16,DK16,DH16,DE16,DB16,CY16,CV16,CS16,CP16,CM16,CJ16,CG16))</f>
        <v>308205.0520913</v>
      </c>
      <c r="K16" s="13" t="str">
        <f aca="false">IF(COUNT(Summary!K12)=1,MAX(0,Summary!K12-K15)*K14,"")</f>
        <v/>
      </c>
      <c r="L16" s="13" t="n">
        <f aca="false">MAX(0,Summary!L12-L15)*L14</f>
        <v>231026.290388395</v>
      </c>
      <c r="M16" s="13" t="n">
        <f aca="false">MAX(0,Summary!M12-M15)*M14</f>
        <v>224240.026435</v>
      </c>
      <c r="N16" s="12" t="str">
        <f aca="false">IF(COUNT(Summary!N12)=1,MAX(0,Summary!N12-N15)*N14,"")</f>
        <v/>
      </c>
      <c r="O16" s="12" t="n">
        <f aca="false">MAX(0,Summary!O12-O15)*O14</f>
        <v>216407.549631297</v>
      </c>
      <c r="P16" s="12" t="n">
        <f aca="false">MAX(0,Summary!P12-P15)*P14</f>
        <v>209612.59009</v>
      </c>
      <c r="Q16" s="13" t="str">
        <f aca="false">IF(COUNT(Summary!Q12)=1,MAX(0,Summary!Q12-Q15)*Q14,"")</f>
        <v/>
      </c>
      <c r="R16" s="13" t="n">
        <f aca="false">MAX(0,Summary!R12-R15)*R14</f>
        <v>201904.233048506</v>
      </c>
      <c r="S16" s="13" t="n">
        <f aca="false">MAX(0,Summary!S12-S15)*S14</f>
        <v>195100.647264</v>
      </c>
      <c r="T16" s="12" t="str">
        <f aca="false">IF(COUNT(Summary!T12)=1,MAX(0,Summary!T12-T15)*T14,"")</f>
        <v/>
      </c>
      <c r="U16" s="12" t="n">
        <f aca="false">MAX(0,Summary!U12-U15)*U14</f>
        <v>187534.060150457</v>
      </c>
      <c r="V16" s="12" t="n">
        <f aca="false">MAX(0,Summary!V12-V15)*V14</f>
        <v>180721.747953</v>
      </c>
      <c r="W16" s="13" t="str">
        <f aca="false">IF(COUNT(Summary!W12)=1,MAX(0,Summary!W12-W15)*W14,"")</f>
        <v/>
      </c>
      <c r="X16" s="13" t="n">
        <f aca="false">MAX(0,Summary!X12-X15)*X14</f>
        <v>173278.612053288</v>
      </c>
      <c r="Y16" s="13" t="n">
        <f aca="false">MAX(0,Summary!Y12-Y15)*Y14</f>
        <v>166457.6437005</v>
      </c>
      <c r="Z16" s="12" t="str">
        <f aca="false">IF(COUNT(Summary!Z12)=1,MAX(0,Summary!Z12-Z15)*Z14,"")</f>
        <v/>
      </c>
      <c r="AA16" s="12" t="n">
        <f aca="false">MAX(0,Summary!AA12-AA15)*AA14</f>
        <v>159137.623361227</v>
      </c>
      <c r="AB16" s="12" t="n">
        <f aca="false">MAX(0,Summary!AB12-AB15)*AB14</f>
        <v>152308.0712025</v>
      </c>
      <c r="AC16" s="13" t="str">
        <f aca="false">IF(COUNT(Summary!AC12)=1,MAX(0,Summary!AC12-AC15)*AC14,"")</f>
        <v/>
      </c>
      <c r="AD16" s="13" t="n">
        <f aca="false">MAX(0,Summary!AD12-AD15)*AD14</f>
        <v>149076.979448858</v>
      </c>
      <c r="AE16" s="13" t="n">
        <f aca="false">MAX(0,Summary!AE12-AE15)*AE14</f>
        <v>142238.7344975</v>
      </c>
      <c r="AF16" s="12" t="str">
        <f aca="false">IF(COUNT(Summary!AF12)=1,MAX(0,Summary!AF12-AF15)*AF14,"")</f>
        <v/>
      </c>
      <c r="AG16" s="12" t="n">
        <f aca="false">MAX(0,Summary!AG12-AG15)*AG14</f>
        <v>135217.796627007</v>
      </c>
      <c r="AH16" s="12" t="n">
        <f aca="false">MAX(0,Summary!AH12-AH15)*AH14</f>
        <v>128370.9286555</v>
      </c>
      <c r="AI16" s="13" t="str">
        <f aca="false">IF(COUNT(Summary!AI12)=1,MAX(0,Summary!AI12-AI15)*AI14,"")</f>
        <v/>
      </c>
      <c r="AJ16" s="13" t="n">
        <f aca="false">MAX(0,Summary!AJ12-AJ15)*AJ14</f>
        <v>121489.970397076</v>
      </c>
      <c r="AK16" s="13" t="n">
        <f aca="false">MAX(0,Summary!AK12-AK15)*AK14</f>
        <v>114634.358578</v>
      </c>
      <c r="AL16" s="12" t="str">
        <f aca="false">IF(COUNT(Summary!AL12)=1,MAX(0,Summary!AL12-AL15)*AL14,"")</f>
        <v/>
      </c>
      <c r="AM16" s="12" t="n">
        <f aca="false">MAX(0,Summary!AM12-AM15)*AM14</f>
        <v>111805.696330472</v>
      </c>
      <c r="AN16" s="12" t="n">
        <f aca="false">MAX(0,Summary!AN12-AN15)*AN14</f>
        <v>104941.213117</v>
      </c>
      <c r="AO16" s="13" t="str">
        <f aca="false">IF(COUNT(Summary!AO12)=1,MAX(0,Summary!AO12-AO15)*AO14,"")</f>
        <v/>
      </c>
      <c r="AP16" s="13" t="n">
        <f aca="false">MAX(0,Summary!AP12-AP15)*AP14</f>
        <v>103237.50395848</v>
      </c>
      <c r="AQ16" s="13" t="n">
        <f aca="false">MAX(0,Summary!AQ12-AQ15)*AQ14</f>
        <v>96364.2175785</v>
      </c>
      <c r="AR16" s="12" t="str">
        <f aca="false">IF(COUNT(Summary!AR12)=1,MAX(0,Summary!AR12-AR15)*AR14,"")</f>
        <v/>
      </c>
      <c r="AS16" s="12" t="n">
        <f aca="false">MAX(0,Summary!AS12-AS15)*AS14</f>
        <v>105752.496563939</v>
      </c>
      <c r="AT16" s="12" t="n">
        <f aca="false">MAX(0,Summary!AT12-AT15)*AT14</f>
        <v>98861.153711</v>
      </c>
      <c r="AU16" s="13" t="str">
        <f aca="false">IF(COUNT(Summary!AU12)=1,MAX(0,Summary!AU12-AU15)*AU14,"")</f>
        <v/>
      </c>
      <c r="AV16" s="13" t="n">
        <f aca="false">MAX(0,Summary!AV12-AV15)*AV14</f>
        <v>103393.871248479</v>
      </c>
      <c r="AW16" s="13" t="n">
        <f aca="false">MAX(0,Summary!AW12-AW15)*AW14</f>
        <v>96501.670826</v>
      </c>
      <c r="AX16" s="12" t="str">
        <f aca="false">IF(COUNT(Summary!AX12)=1,MAX(0,Summary!AX12-AX15)*AX14,"")</f>
        <v/>
      </c>
      <c r="AY16" s="12" t="n">
        <f aca="false">MAX(0,Summary!AY12-AY15)*AY14</f>
        <v>93294.4854587665</v>
      </c>
      <c r="AZ16" s="12" t="n">
        <f aca="false">MAX(0,Summary!AZ12-AZ15)*AZ14</f>
        <v>86384.4856945</v>
      </c>
      <c r="BA16" s="13" t="str">
        <f aca="false">IF(COUNT(Summary!BA12)=1,MAX(0,Summary!BA12-BA15)*BA14,"")</f>
        <v/>
      </c>
      <c r="BB16" s="13" t="n">
        <f aca="false">MAX(0,Summary!BB12-BB15)*BB14</f>
        <v>90764.6520394771</v>
      </c>
      <c r="BC16" s="13" t="n">
        <f aca="false">MAX(0,Summary!BC12-BC15)*BC14</f>
        <v>83853.8210245</v>
      </c>
      <c r="BD16" s="12" t="str">
        <f aca="false">IF(COUNT(Summary!BD12)=1,MAX(0,Summary!BD12-BD15)*BD14,"")</f>
        <v/>
      </c>
      <c r="BE16" s="12" t="n">
        <f aca="false">MAX(0,Summary!BE12-BE15)*BE14</f>
        <v>88642.2562375919</v>
      </c>
      <c r="BF16" s="12" t="n">
        <f aca="false">MAX(0,Summary!BF12-BF15)*BF14</f>
        <v>81730.4698345</v>
      </c>
      <c r="BG16" s="13" t="str">
        <f aca="false">IF(COUNT(Summary!BG12)=1,MAX(0,Summary!BG12-BG15)*BG14,"")</f>
        <v/>
      </c>
      <c r="BH16" s="13" t="n">
        <f aca="false">MAX(0,Summary!BH12-BH15)*BH14</f>
        <v>83677.2231061901</v>
      </c>
      <c r="BI16" s="13" t="n">
        <f aca="false">MAX(0,Summary!BI12-BI15)*BI14</f>
        <v>76764.5823115</v>
      </c>
      <c r="BJ16" s="12" t="str">
        <f aca="false">IF(COUNT(Summary!BJ12)=1,MAX(0,Summary!BJ12-BJ15)*BJ14,"")</f>
        <v/>
      </c>
      <c r="BK16" s="12" t="n">
        <f aca="false">MAX(0,Summary!BK12-BK15)*BK14</f>
        <v>85294.9011340306</v>
      </c>
      <c r="BL16" s="12" t="n">
        <f aca="false">MAX(0,Summary!BL12-BL15)*BL14</f>
        <v>78381.276742</v>
      </c>
      <c r="BM16" s="13" t="str">
        <f aca="false">IF(COUNT(Summary!BM12)=1,MAX(0,Summary!BM12-BM15)*BM14,"")</f>
        <v/>
      </c>
      <c r="BN16" s="13" t="n">
        <f aca="false">MAX(0,Summary!BN12-BN15)*BN14</f>
        <v>78183.9562193205</v>
      </c>
      <c r="BO16" s="13" t="n">
        <f aca="false">MAX(0,Summary!BO12-BO15)*BO14</f>
        <v>71269.4531125</v>
      </c>
      <c r="BP16" s="12" t="str">
        <f aca="false">IF(COUNT(Summary!BP12)=1,MAX(0,Summary!BP12-BP15)*BP14,"")</f>
        <v/>
      </c>
      <c r="BQ16" s="12" t="n">
        <f aca="false">MAX(0,Summary!BQ12-BQ15)*BQ14</f>
        <v>77677.1977567884</v>
      </c>
      <c r="BR16" s="12" t="n">
        <f aca="false">MAX(0,Summary!BR12-BR15)*BR14</f>
        <v>70761.6812595</v>
      </c>
      <c r="BS16" s="13" t="str">
        <f aca="false">IF(COUNT(Summary!BS12)=1,MAX(0,Summary!BS12-BS15)*BS14,"")</f>
        <v/>
      </c>
      <c r="BT16" s="13" t="n">
        <f aca="false">MAX(0,Summary!BT12-BT15)*BT14</f>
        <v>70422.277328401</v>
      </c>
      <c r="BU16" s="13" t="n">
        <f aca="false">MAX(0,Summary!BU12-BU15)*BU14</f>
        <v>63505.6075565</v>
      </c>
      <c r="BV16" s="12" t="str">
        <f aca="false">IF(COUNT(Summary!BV12)=1,MAX(0,Summary!BV12-BV15)*BV14,"")</f>
        <v/>
      </c>
      <c r="BW16" s="12" t="n">
        <f aca="false">MAX(0,Summary!BW12-BW15)*BW14</f>
        <v>67135.614581532</v>
      </c>
      <c r="BX16" s="12" t="n">
        <f aca="false">MAX(0,Summary!BX12-BX15)*BX14</f>
        <v>60217.895047</v>
      </c>
      <c r="BY16" s="13" t="str">
        <f aca="false">IF(COUNT(Summary!BY12)=1,MAX(0,Summary!BY12-BY15)*BY14,"")</f>
        <v/>
      </c>
      <c r="BZ16" s="13" t="n">
        <f aca="false">MAX(0,Summary!BZ12-BZ15)*BZ14</f>
        <v>60331.0744041303</v>
      </c>
      <c r="CA16" s="13" t="n">
        <f aca="false">MAX(0,Summary!CA12-CA15)*CA14</f>
        <v>53412.15291</v>
      </c>
      <c r="CB16" s="12" t="str">
        <f aca="false">IF(COUNT(Summary!CB12)=1,MAX(0,Summary!CB12-CB15)*CB14,"")</f>
        <v/>
      </c>
      <c r="CC16" s="12" t="n">
        <f aca="false">MAX(0,Summary!CC12-CC15)*CC14</f>
        <v>67126.9131788917</v>
      </c>
      <c r="CD16" s="12" t="n">
        <f aca="false">MAX(0,Summary!CD12-CD15)*CD14</f>
        <v>60214.0421325</v>
      </c>
      <c r="CE16" s="13" t="str">
        <f aca="false">IF(COUNT(Summary!CE12)=1,MAX(0,Summary!CE12-CE15)*CE14,"")</f>
        <v/>
      </c>
      <c r="CF16" s="13" t="n">
        <f aca="false">MAX(0,Summary!CF12-CF15)*CF14</f>
        <v>64311.03480012</v>
      </c>
      <c r="CG16" s="13" t="n">
        <f aca="false">MAX(0,Summary!CG12-CG15)*CG14</f>
        <v>57404.0976195</v>
      </c>
      <c r="CH16" s="12" t="str">
        <f aca="false">IF(COUNT(Summary!CH12)=1,MAX(0,Summary!CH12-CH15)*CH14,"")</f>
        <v/>
      </c>
      <c r="CI16" s="12" t="n">
        <f aca="false">MAX(0,Summary!CI12-CI15)*CI14</f>
        <v>57623.1462025239</v>
      </c>
      <c r="CJ16" s="12" t="n">
        <f aca="false">MAX(0,Summary!CJ12-CJ15)*CJ14</f>
        <v>50706.410531</v>
      </c>
      <c r="CK16" s="13" t="str">
        <f aca="false">IF(COUNT(Summary!CK12)=1,MAX(0,Summary!CK12-CK15)*CK14,"")</f>
        <v/>
      </c>
      <c r="CL16" s="13" t="n">
        <f aca="false">MAX(0,Summary!CL12-CL15)*CL14</f>
        <v>50960.0084030835</v>
      </c>
      <c r="CM16" s="13" t="n">
        <f aca="false">MAX(0,Summary!CM12-CM15)*CM14</f>
        <v>44049.287337</v>
      </c>
      <c r="CN16" s="12" t="str">
        <f aca="false">IF(COUNT(Summary!CN12)=1,MAX(0,Summary!CN12-CN15)*CN14,"")</f>
        <v/>
      </c>
      <c r="CO16" s="12" t="n">
        <f aca="false">MAX(0,Summary!CO12-CO15)*CO14</f>
        <v>46633.5839046563</v>
      </c>
      <c r="CP16" s="12" t="n">
        <f aca="false">MAX(0,Summary!CP12-CP15)*CP14</f>
        <v>39728.75654</v>
      </c>
      <c r="CQ16" s="13" t="str">
        <f aca="false">IF(COUNT(Summary!CQ12)=1,MAX(0,Summary!CQ12-CQ15)*CQ14,"")</f>
        <v/>
      </c>
      <c r="CR16" s="13" t="n">
        <f aca="false">MAX(0,Summary!CR12-CR15)*CR14</f>
        <v>42994.0527467109</v>
      </c>
      <c r="CS16" s="13" t="n">
        <f aca="false">MAX(0,Summary!CS12-CS15)*CS14</f>
        <v>36079.749682</v>
      </c>
      <c r="CT16" s="12" t="str">
        <f aca="false">IF(COUNT(Summary!CT12)=1,MAX(0,Summary!CT12-CT15)*CT14,"")</f>
        <v/>
      </c>
      <c r="CU16" s="12" t="n">
        <f aca="false">MAX(0,Summary!CU12-CU15)*CU14</f>
        <v>36436.3837935571</v>
      </c>
      <c r="CV16" s="12" t="n">
        <f aca="false">MAX(0,Summary!CV12-CV15)*CV14</f>
        <v>29528.0575065</v>
      </c>
      <c r="CW16" s="13" t="str">
        <f aca="false">IF(COUNT(Summary!CW12)=1,MAX(0,Summary!CW12-CW15)*CW14,"")</f>
        <v/>
      </c>
      <c r="CX16" s="13" t="n">
        <f aca="false">MAX(0,Summary!CX12-CX15)*CX14</f>
        <v>33831.5062627896</v>
      </c>
      <c r="CY16" s="13" t="n">
        <f aca="false">MAX(0,Summary!CY12-CY15)*CY14</f>
        <v>26929.031078</v>
      </c>
      <c r="CZ16" s="12" t="str">
        <f aca="false">IF(COUNT(Summary!CZ12)=1,MAX(0,Summary!CZ12-CZ15)*CZ14,"")</f>
        <v/>
      </c>
      <c r="DA16" s="12" t="n">
        <f aca="false">MAX(0,Summary!DA12-DA15)*DA14</f>
        <v>27389.5478674403</v>
      </c>
      <c r="DB16" s="12" t="n">
        <f aca="false">MAX(0,Summary!DB12-DB15)*DB14</f>
        <v>20477.93305885</v>
      </c>
      <c r="DC16" s="13" t="str">
        <f aca="false">IF(COUNT(Summary!DC12)=1,MAX(0,Summary!DC12-DC15)*DC14,"")</f>
        <v/>
      </c>
      <c r="DD16" s="13" t="n">
        <f aca="false">MAX(0,Summary!DD12-DD15)*DD14</f>
        <v>20972.6145089173</v>
      </c>
      <c r="DE16" s="13" t="n">
        <f aca="false">MAX(0,Summary!DE12-DE15)*DE14</f>
        <v>1544.24873845</v>
      </c>
      <c r="DF16" s="12" t="str">
        <f aca="false">IF(COUNT(Summary!DF12)=1,MAX(0,Summary!DF12-DF15)*DF14,"")</f>
        <v/>
      </c>
      <c r="DG16" s="12" t="n">
        <f aca="false">MAX(0,Summary!DG12-DG15)*DG14</f>
        <v>8281.87242004253</v>
      </c>
      <c r="DH16" s="12" t="n">
        <f aca="false">MAX(0,Summary!DH12-DH15)*DH14</f>
        <v>0</v>
      </c>
      <c r="DI16" s="13" t="n">
        <f aca="false">IF(COUNT(Summary!DI12)=1,MAX(0,Summary!DI12-DI15)*DI14,"")</f>
        <v>3446.97362894549</v>
      </c>
      <c r="DJ16" s="13" t="n">
        <f aca="false">MAX(0,Summary!DJ12-DJ15)*DJ14</f>
        <v>3446.97362894549</v>
      </c>
      <c r="DK16" s="13" t="n">
        <f aca="false">MAX(0,Summary!DK12-DK15)*DK14</f>
        <v>0</v>
      </c>
      <c r="DL16" s="12" t="n">
        <f aca="false">IF(COUNT(Summary!DL12)=1,MAX(0,Summary!DL12-DL15)*DL14,"")</f>
        <v>0</v>
      </c>
      <c r="DM16" s="12" t="n">
        <f aca="false">MAX(0,Summary!DM12-DM15)*DM14</f>
        <v>0</v>
      </c>
      <c r="DN16" s="12" t="n">
        <f aca="false">MAX(0,Summary!DN12-DN15)*DN14</f>
        <v>1757.48</v>
      </c>
    </row>
    <row r="17" customFormat="false" ht="15" hidden="false" customHeight="false" outlineLevel="0" collapsed="false">
      <c r="A17" s="5" t="s">
        <v>284</v>
      </c>
      <c r="B17" s="12" t="str">
        <f aca="false">IF(K17&lt;&gt;"",K17,IF(N17&lt;&gt;"",N17,IF(Q17&lt;&gt;"",Q17,IF(T17&lt;&gt;"",T17,IF(W17&lt;&gt;"",W17,IF(Z17&lt;&gt;"",Z17,IF(AC17&lt;&gt;"",AC17,IF(AF17&lt;&gt;"",AF17,IF(AI17&lt;&gt;"",AI17,IF(AL17&lt;&gt;"",AL17,IF(AO17&lt;&gt;"",AO17,IF(AR17&lt;&gt;"",AR17,""))))))))))))</f>
        <v/>
      </c>
      <c r="C17" s="12" t="n">
        <f aca="false">IF(L17&lt;&gt;"",L17,IF(O17&lt;&gt;"",O17,IF(R17&lt;&gt;"",R17,IF(U17&lt;&gt;"",U17,IF(X17&lt;&gt;"",X17,IF(AA17&lt;&gt;"",AA17,IF(AD17&lt;&gt;"",AD17,IF(AG17&lt;&gt;"",AG17,IF(AJ17&lt;&gt;"",AJ17,IF(AM17&lt;&gt;"",AM17,IF(AP17&lt;&gt;"",AP17,IF(AS17&lt;&gt;"",AS17,""))))))))))))</f>
        <v>0</v>
      </c>
      <c r="D17" s="12" t="n">
        <f aca="false">IF(M17&lt;&gt;"",M17,IF(P17&lt;&gt;"",P17,IF(S17&lt;&gt;"",S17,IF(V17&lt;&gt;"",V17,IF(Y17&lt;&gt;"",Y17,IF(AB17&lt;&gt;"",AB17,IF(AE17&lt;&gt;"",AE17,IF(AH17&lt;&gt;"",AH17,IF(AK17&lt;&gt;"",AK17,IF(AN17&lt;&gt;"",AN17,IF(AQ17&lt;&gt;"",AQ17,IF(AT17&lt;&gt;"",AT17,""))))))))))))</f>
        <v>0</v>
      </c>
      <c r="E17" s="13" t="str">
        <f aca="false">IF(AU17&lt;&gt;"",AU17,IF(AX17&lt;&gt;"",AX17,IF(BA17&lt;&gt;"",BA17,IF(BD17&lt;&gt;"",BD17,IF(BG17&lt;&gt;"",BG17,IF(BJ17&lt;&gt;"",BJ17,IF(BM17&lt;&gt;"",BM17,IF(BP17&lt;&gt;"",BP17,IF(BS17&lt;&gt;"",BS17,IF(BV17&lt;&gt;"",BV17,IF(BY17&lt;&gt;"",BY17,IF(CB17&lt;&gt;"",CB17,""))))))))))))</f>
        <v/>
      </c>
      <c r="F17" s="13" t="n">
        <f aca="false">IF(AV17&lt;&gt;"",AV17,IF(AY17&lt;&gt;"",AY17,IF(BB17&lt;&gt;"",BB17,IF(BE17&lt;&gt;"",BE17,IF(BH17&lt;&gt;"",BH17,IF(BK17&lt;&gt;"",BK17,IF(BN17&lt;&gt;"",BN17,IF(BQ17&lt;&gt;"",BQ17,IF(BT17&lt;&gt;"",BT17,IF(BW17&lt;&gt;"",BW17,IF(BZ17&lt;&gt;"",BZ17,IF(CC17&lt;&gt;"",CC17,""))))))))))))</f>
        <v>0</v>
      </c>
      <c r="G17" s="13" t="n">
        <f aca="false">IF(AW17&lt;&gt;"",AW17,IF(AZ17&lt;&gt;"",AZ17,IF(BC17&lt;&gt;"",BC17,IF(BF17&lt;&gt;"",BF17,IF(BI17&lt;&gt;"",BI17,IF(BL17&lt;&gt;"",BL17,IF(BO17&lt;&gt;"",BO17,IF(BR17&lt;&gt;"",BR17,IF(BU17&lt;&gt;"",BU17,IF(BX17&lt;&gt;"",BX17,IF(CA17&lt;&gt;"",CA17,IF(CD17&lt;&gt;"",CD17,""))))))))))))</f>
        <v>0</v>
      </c>
      <c r="H17" s="12" t="n">
        <f aca="false">IF(CE17&lt;&gt;"",CE17,IF(CH17&lt;&gt;"",CH17,IF(CK17&lt;&gt;"",CK17,IF(CN17&lt;&gt;"",CN17,IF(CQ17&lt;&gt;"",CQ17,IF(CT17&lt;&gt;"",CT17,IF(CW17&lt;&gt;"",CW17,IF(CZ17&lt;&gt;"",CZ17,IF(DC17&lt;&gt;"",DC17,IF(DF17&lt;&gt;"",DF17,IF(DI17&lt;&gt;"",DI17,IF(DL17&lt;&gt;"",DL17,""))))))))))))</f>
        <v>0</v>
      </c>
      <c r="I17" s="12" t="n">
        <f aca="false">IF(CF17&lt;&gt;"",CF17,IF(CI17&lt;&gt;"",CI17,IF(CL17&lt;&gt;"",CL17,IF(CO17&lt;&gt;"",CO17,IF(CR17&lt;&gt;"",CR17,IF(CU17&lt;&gt;"",CU17,IF(CX17&lt;&gt;"",CX17,IF(DA17&lt;&gt;"",DA17,IF(DD17&lt;&gt;"",DD17,IF(DG17&lt;&gt;"",DG17,IF(DJ17&lt;&gt;"",DJ17,IF(DM17&lt;&gt;"",DM17,""))))))))))))</f>
        <v>0</v>
      </c>
      <c r="J17" s="12" t="n">
        <f aca="false">IF(CG17&lt;&gt;"",CG17,IF(CJ17&lt;&gt;"",CJ17,IF(CM17&lt;&gt;"",CM17,IF(CP17&lt;&gt;"",CP17,IF(CS17&lt;&gt;"",CS17,IF(CV17&lt;&gt;"",CV17,IF(CY17&lt;&gt;"",CY17,IF(DB17&lt;&gt;"",DB17,IF(DE17&lt;&gt;"",DE17,IF(DH17&lt;&gt;"",DH17,IF(DK17&lt;&gt;"",DK17,IF(DN17&lt;&gt;"",DN17,""))))))))))))</f>
        <v>0</v>
      </c>
      <c r="K17" s="13" t="str">
        <f aca="false">IF(COUNT(Summary!K12)=1,MAX(0,K15-MAX(0,Summary!K12))+MAX(0,-Summary!K12),"")</f>
        <v/>
      </c>
      <c r="L17" s="13" t="n">
        <f aca="false">MAX(0,L15-MAX(0,Summary!L12))+MAX(0,-Summary!L12)</f>
        <v>0</v>
      </c>
      <c r="M17" s="13" t="n">
        <f aca="false">MAX(0,M15-MAX(0,Summary!M12))+MAX(0,-Summary!M12)</f>
        <v>0</v>
      </c>
      <c r="N17" s="12" t="str">
        <f aca="false">IF(COUNT(Summary!N12)=1,MAX(0,N15-MAX(0,Summary!N12))+MAX(0,-Summary!N12),"")</f>
        <v/>
      </c>
      <c r="O17" s="12" t="n">
        <f aca="false">MAX(0,O15-MAX(0,Summary!O12))+MAX(0,-Summary!O12)</f>
        <v>0</v>
      </c>
      <c r="P17" s="12" t="n">
        <f aca="false">MAX(0,P15-MAX(0,Summary!P12))+MAX(0,-Summary!P12)</f>
        <v>0</v>
      </c>
      <c r="Q17" s="13" t="str">
        <f aca="false">IF(COUNT(Summary!Q12)=1,MAX(0,Q15-MAX(0,Summary!Q12))+MAX(0,-Summary!Q12),"")</f>
        <v/>
      </c>
      <c r="R17" s="13" t="n">
        <f aca="false">MAX(0,R15-MAX(0,Summary!R12))+MAX(0,-Summary!R12)</f>
        <v>0</v>
      </c>
      <c r="S17" s="13" t="n">
        <f aca="false">MAX(0,S15-MAX(0,Summary!S12))+MAX(0,-Summary!S12)</f>
        <v>0</v>
      </c>
      <c r="T17" s="12" t="str">
        <f aca="false">IF(COUNT(Summary!T12)=1,MAX(0,T15-MAX(0,Summary!T12))+MAX(0,-Summary!T12),"")</f>
        <v/>
      </c>
      <c r="U17" s="12" t="n">
        <f aca="false">MAX(0,U15-MAX(0,Summary!U12))+MAX(0,-Summary!U12)</f>
        <v>0</v>
      </c>
      <c r="V17" s="12" t="n">
        <f aca="false">MAX(0,V15-MAX(0,Summary!V12))+MAX(0,-Summary!V12)</f>
        <v>0</v>
      </c>
      <c r="W17" s="13" t="str">
        <f aca="false">IF(COUNT(Summary!W12)=1,MAX(0,W15-MAX(0,Summary!W12))+MAX(0,-Summary!W12),"")</f>
        <v/>
      </c>
      <c r="X17" s="13" t="n">
        <f aca="false">MAX(0,X15-MAX(0,Summary!X12))+MAX(0,-Summary!X12)</f>
        <v>0</v>
      </c>
      <c r="Y17" s="13" t="n">
        <f aca="false">MAX(0,Y15-MAX(0,Summary!Y12))+MAX(0,-Summary!Y12)</f>
        <v>0</v>
      </c>
      <c r="Z17" s="12" t="str">
        <f aca="false">IF(COUNT(Summary!Z12)=1,MAX(0,Z15-MAX(0,Summary!Z12))+MAX(0,-Summary!Z12),"")</f>
        <v/>
      </c>
      <c r="AA17" s="12" t="n">
        <f aca="false">MAX(0,AA15-MAX(0,Summary!AA12))+MAX(0,-Summary!AA12)</f>
        <v>0</v>
      </c>
      <c r="AB17" s="12" t="n">
        <f aca="false">MAX(0,AB15-MAX(0,Summary!AB12))+MAX(0,-Summary!AB12)</f>
        <v>0</v>
      </c>
      <c r="AC17" s="13" t="str">
        <f aca="false">IF(COUNT(Summary!AC12)=1,MAX(0,AC15-MAX(0,Summary!AC12))+MAX(0,-Summary!AC12),"")</f>
        <v/>
      </c>
      <c r="AD17" s="13" t="n">
        <f aca="false">MAX(0,AD15-MAX(0,Summary!AD12))+MAX(0,-Summary!AD12)</f>
        <v>0</v>
      </c>
      <c r="AE17" s="13" t="n">
        <f aca="false">MAX(0,AE15-MAX(0,Summary!AE12))+MAX(0,-Summary!AE12)</f>
        <v>0</v>
      </c>
      <c r="AF17" s="12" t="str">
        <f aca="false">IF(COUNT(Summary!AF12)=1,MAX(0,AF15-MAX(0,Summary!AF12))+MAX(0,-Summary!AF12),"")</f>
        <v/>
      </c>
      <c r="AG17" s="12" t="n">
        <f aca="false">MAX(0,AG15-MAX(0,Summary!AG12))+MAX(0,-Summary!AG12)</f>
        <v>0</v>
      </c>
      <c r="AH17" s="12" t="n">
        <f aca="false">MAX(0,AH15-MAX(0,Summary!AH12))+MAX(0,-Summary!AH12)</f>
        <v>0</v>
      </c>
      <c r="AI17" s="13" t="str">
        <f aca="false">IF(COUNT(Summary!AI12)=1,MAX(0,AI15-MAX(0,Summary!AI12))+MAX(0,-Summary!AI12),"")</f>
        <v/>
      </c>
      <c r="AJ17" s="13" t="n">
        <f aca="false">MAX(0,AJ15-MAX(0,Summary!AJ12))+MAX(0,-Summary!AJ12)</f>
        <v>0</v>
      </c>
      <c r="AK17" s="13" t="n">
        <f aca="false">MAX(0,AK15-MAX(0,Summary!AK12))+MAX(0,-Summary!AK12)</f>
        <v>0</v>
      </c>
      <c r="AL17" s="12" t="str">
        <f aca="false">IF(COUNT(Summary!AL12)=1,MAX(0,AL15-MAX(0,Summary!AL12))+MAX(0,-Summary!AL12),"")</f>
        <v/>
      </c>
      <c r="AM17" s="12" t="n">
        <f aca="false">MAX(0,AM15-MAX(0,Summary!AM12))+MAX(0,-Summary!AM12)</f>
        <v>0</v>
      </c>
      <c r="AN17" s="12" t="n">
        <f aca="false">MAX(0,AN15-MAX(0,Summary!AN12))+MAX(0,-Summary!AN12)</f>
        <v>0</v>
      </c>
      <c r="AO17" s="13" t="str">
        <f aca="false">IF(COUNT(Summary!AO12)=1,MAX(0,AO15-MAX(0,Summary!AO12))+MAX(0,-Summary!AO12),"")</f>
        <v/>
      </c>
      <c r="AP17" s="13" t="n">
        <f aca="false">MAX(0,AP15-MAX(0,Summary!AP12))+MAX(0,-Summary!AP12)</f>
        <v>0</v>
      </c>
      <c r="AQ17" s="13" t="n">
        <f aca="false">MAX(0,AQ15-MAX(0,Summary!AQ12))+MAX(0,-Summary!AQ12)</f>
        <v>0</v>
      </c>
      <c r="AR17" s="12" t="str">
        <f aca="false">IF(COUNT(Summary!AR12)=1,MAX(0,AR15-MAX(0,Summary!AR12))+MAX(0,-Summary!AR12),"")</f>
        <v/>
      </c>
      <c r="AS17" s="12" t="n">
        <f aca="false">MAX(0,AS15-MAX(0,Summary!AS12))+MAX(0,-Summary!AS12)</f>
        <v>0</v>
      </c>
      <c r="AT17" s="12" t="n">
        <f aca="false">MAX(0,AT15-MAX(0,Summary!AT12))+MAX(0,-Summary!AT12)</f>
        <v>0</v>
      </c>
      <c r="AU17" s="13" t="str">
        <f aca="false">IF(COUNT(Summary!AU12)=1,MAX(0,AU15-MAX(0,Summary!AU12))+MAX(0,-Summary!AU12),"")</f>
        <v/>
      </c>
      <c r="AV17" s="13" t="n">
        <f aca="false">MAX(0,AV15-MAX(0,Summary!AV12))+MAX(0,-Summary!AV12)</f>
        <v>0</v>
      </c>
      <c r="AW17" s="13" t="n">
        <f aca="false">MAX(0,AW15-MAX(0,Summary!AW12))+MAX(0,-Summary!AW12)</f>
        <v>0</v>
      </c>
      <c r="AX17" s="12" t="str">
        <f aca="false">IF(COUNT(Summary!AX12)=1,MAX(0,AX15-MAX(0,Summary!AX12))+MAX(0,-Summary!AX12),"")</f>
        <v/>
      </c>
      <c r="AY17" s="12" t="n">
        <f aca="false">MAX(0,AY15-MAX(0,Summary!AY12))+MAX(0,-Summary!AY12)</f>
        <v>0</v>
      </c>
      <c r="AZ17" s="12" t="n">
        <f aca="false">MAX(0,AZ15-MAX(0,Summary!AZ12))+MAX(0,-Summary!AZ12)</f>
        <v>0</v>
      </c>
      <c r="BA17" s="13" t="str">
        <f aca="false">IF(COUNT(Summary!BA12)=1,MAX(0,BA15-MAX(0,Summary!BA12))+MAX(0,-Summary!BA12),"")</f>
        <v/>
      </c>
      <c r="BB17" s="13" t="n">
        <f aca="false">MAX(0,BB15-MAX(0,Summary!BB12))+MAX(0,-Summary!BB12)</f>
        <v>0</v>
      </c>
      <c r="BC17" s="13" t="n">
        <f aca="false">MAX(0,BC15-MAX(0,Summary!BC12))+MAX(0,-Summary!BC12)</f>
        <v>0</v>
      </c>
      <c r="BD17" s="12" t="str">
        <f aca="false">IF(COUNT(Summary!BD12)=1,MAX(0,BD15-MAX(0,Summary!BD12))+MAX(0,-Summary!BD12),"")</f>
        <v/>
      </c>
      <c r="BE17" s="12" t="n">
        <f aca="false">MAX(0,BE15-MAX(0,Summary!BE12))+MAX(0,-Summary!BE12)</f>
        <v>0</v>
      </c>
      <c r="BF17" s="12" t="n">
        <f aca="false">MAX(0,BF15-MAX(0,Summary!BF12))+MAX(0,-Summary!BF12)</f>
        <v>0</v>
      </c>
      <c r="BG17" s="13" t="str">
        <f aca="false">IF(COUNT(Summary!BG12)=1,MAX(0,BG15-MAX(0,Summary!BG12))+MAX(0,-Summary!BG12),"")</f>
        <v/>
      </c>
      <c r="BH17" s="13" t="n">
        <f aca="false">MAX(0,BH15-MAX(0,Summary!BH12))+MAX(0,-Summary!BH12)</f>
        <v>0</v>
      </c>
      <c r="BI17" s="13" t="n">
        <f aca="false">MAX(0,BI15-MAX(0,Summary!BI12))+MAX(0,-Summary!BI12)</f>
        <v>0</v>
      </c>
      <c r="BJ17" s="12" t="str">
        <f aca="false">IF(COUNT(Summary!BJ12)=1,MAX(0,BJ15-MAX(0,Summary!BJ12))+MAX(0,-Summary!BJ12),"")</f>
        <v/>
      </c>
      <c r="BK17" s="12" t="n">
        <f aca="false">MAX(0,BK15-MAX(0,Summary!BK12))+MAX(0,-Summary!BK12)</f>
        <v>0</v>
      </c>
      <c r="BL17" s="12" t="n">
        <f aca="false">MAX(0,BL15-MAX(0,Summary!BL12))+MAX(0,-Summary!BL12)</f>
        <v>0</v>
      </c>
      <c r="BM17" s="13" t="str">
        <f aca="false">IF(COUNT(Summary!BM12)=1,MAX(0,BM15-MAX(0,Summary!BM12))+MAX(0,-Summary!BM12),"")</f>
        <v/>
      </c>
      <c r="BN17" s="13" t="n">
        <f aca="false">MAX(0,BN15-MAX(0,Summary!BN12))+MAX(0,-Summary!BN12)</f>
        <v>0</v>
      </c>
      <c r="BO17" s="13" t="n">
        <f aca="false">MAX(0,BO15-MAX(0,Summary!BO12))+MAX(0,-Summary!BO12)</f>
        <v>0</v>
      </c>
      <c r="BP17" s="12" t="str">
        <f aca="false">IF(COUNT(Summary!BP12)=1,MAX(0,BP15-MAX(0,Summary!BP12))+MAX(0,-Summary!BP12),"")</f>
        <v/>
      </c>
      <c r="BQ17" s="12" t="n">
        <f aca="false">MAX(0,BQ15-MAX(0,Summary!BQ12))+MAX(0,-Summary!BQ12)</f>
        <v>0</v>
      </c>
      <c r="BR17" s="12" t="n">
        <f aca="false">MAX(0,BR15-MAX(0,Summary!BR12))+MAX(0,-Summary!BR12)</f>
        <v>0</v>
      </c>
      <c r="BS17" s="13" t="str">
        <f aca="false">IF(COUNT(Summary!BS12)=1,MAX(0,BS15-MAX(0,Summary!BS12))+MAX(0,-Summary!BS12),"")</f>
        <v/>
      </c>
      <c r="BT17" s="13" t="n">
        <f aca="false">MAX(0,BT15-MAX(0,Summary!BT12))+MAX(0,-Summary!BT12)</f>
        <v>0</v>
      </c>
      <c r="BU17" s="13" t="n">
        <f aca="false">MAX(0,BU15-MAX(0,Summary!BU12))+MAX(0,-Summary!BU12)</f>
        <v>0</v>
      </c>
      <c r="BV17" s="12" t="str">
        <f aca="false">IF(COUNT(Summary!BV12)=1,MAX(0,BV15-MAX(0,Summary!BV12))+MAX(0,-Summary!BV12),"")</f>
        <v/>
      </c>
      <c r="BW17" s="12" t="n">
        <f aca="false">MAX(0,BW15-MAX(0,Summary!BW12))+MAX(0,-Summary!BW12)</f>
        <v>0</v>
      </c>
      <c r="BX17" s="12" t="n">
        <f aca="false">MAX(0,BX15-MAX(0,Summary!BX12))+MAX(0,-Summary!BX12)</f>
        <v>0</v>
      </c>
      <c r="BY17" s="13" t="str">
        <f aca="false">IF(COUNT(Summary!BY12)=1,MAX(0,BY15-MAX(0,Summary!BY12))+MAX(0,-Summary!BY12),"")</f>
        <v/>
      </c>
      <c r="BZ17" s="13" t="n">
        <f aca="false">MAX(0,BZ15-MAX(0,Summary!BZ12))+MAX(0,-Summary!BZ12)</f>
        <v>0</v>
      </c>
      <c r="CA17" s="13" t="n">
        <f aca="false">MAX(0,CA15-MAX(0,Summary!CA12))+MAX(0,-Summary!CA12)</f>
        <v>0</v>
      </c>
      <c r="CB17" s="12" t="str">
        <f aca="false">IF(COUNT(Summary!CB12)=1,MAX(0,CB15-MAX(0,Summary!CB12))+MAX(0,-Summary!CB12),"")</f>
        <v/>
      </c>
      <c r="CC17" s="12" t="n">
        <f aca="false">MAX(0,CC15-MAX(0,Summary!CC12))+MAX(0,-Summary!CC12)</f>
        <v>0</v>
      </c>
      <c r="CD17" s="12" t="n">
        <f aca="false">MAX(0,CD15-MAX(0,Summary!CD12))+MAX(0,-Summary!CD12)</f>
        <v>0</v>
      </c>
      <c r="CE17" s="13" t="str">
        <f aca="false">IF(COUNT(Summary!CE12)=1,MAX(0,CE15-MAX(0,Summary!CE12))+MAX(0,-Summary!CE12),"")</f>
        <v/>
      </c>
      <c r="CF17" s="13" t="n">
        <f aca="false">MAX(0,CF15-MAX(0,Summary!CF12))+MAX(0,-Summary!CF12)</f>
        <v>0</v>
      </c>
      <c r="CG17" s="13" t="n">
        <f aca="false">MAX(0,CG15-MAX(0,Summary!CG12))+MAX(0,-Summary!CG12)</f>
        <v>0</v>
      </c>
      <c r="CH17" s="12" t="str">
        <f aca="false">IF(COUNT(Summary!CH12)=1,MAX(0,CH15-MAX(0,Summary!CH12))+MAX(0,-Summary!CH12),"")</f>
        <v/>
      </c>
      <c r="CI17" s="12" t="n">
        <f aca="false">MAX(0,CI15-MAX(0,Summary!CI12))+MAX(0,-Summary!CI12)</f>
        <v>0</v>
      </c>
      <c r="CJ17" s="12" t="n">
        <f aca="false">MAX(0,CJ15-MAX(0,Summary!CJ12))+MAX(0,-Summary!CJ12)</f>
        <v>0</v>
      </c>
      <c r="CK17" s="13" t="str">
        <f aca="false">IF(COUNT(Summary!CK12)=1,MAX(0,CK15-MAX(0,Summary!CK12))+MAX(0,-Summary!CK12),"")</f>
        <v/>
      </c>
      <c r="CL17" s="13" t="n">
        <f aca="false">MAX(0,CL15-MAX(0,Summary!CL12))+MAX(0,-Summary!CL12)</f>
        <v>0</v>
      </c>
      <c r="CM17" s="13" t="n">
        <f aca="false">MAX(0,CM15-MAX(0,Summary!CM12))+MAX(0,-Summary!CM12)</f>
        <v>0</v>
      </c>
      <c r="CN17" s="12" t="str">
        <f aca="false">IF(COUNT(Summary!CN12)=1,MAX(0,CN15-MAX(0,Summary!CN12))+MAX(0,-Summary!CN12),"")</f>
        <v/>
      </c>
      <c r="CO17" s="12" t="n">
        <f aca="false">MAX(0,CO15-MAX(0,Summary!CO12))+MAX(0,-Summary!CO12)</f>
        <v>0</v>
      </c>
      <c r="CP17" s="12" t="n">
        <f aca="false">MAX(0,CP15-MAX(0,Summary!CP12))+MAX(0,-Summary!CP12)</f>
        <v>0</v>
      </c>
      <c r="CQ17" s="13" t="str">
        <f aca="false">IF(COUNT(Summary!CQ12)=1,MAX(0,CQ15-MAX(0,Summary!CQ12))+MAX(0,-Summary!CQ12),"")</f>
        <v/>
      </c>
      <c r="CR17" s="13" t="n">
        <f aca="false">MAX(0,CR15-MAX(0,Summary!CR12))+MAX(0,-Summary!CR12)</f>
        <v>0</v>
      </c>
      <c r="CS17" s="13" t="n">
        <f aca="false">MAX(0,CS15-MAX(0,Summary!CS12))+MAX(0,-Summary!CS12)</f>
        <v>0</v>
      </c>
      <c r="CT17" s="12" t="str">
        <f aca="false">IF(COUNT(Summary!CT12)=1,MAX(0,CT15-MAX(0,Summary!CT12))+MAX(0,-Summary!CT12),"")</f>
        <v/>
      </c>
      <c r="CU17" s="12" t="n">
        <f aca="false">MAX(0,CU15-MAX(0,Summary!CU12))+MAX(0,-Summary!CU12)</f>
        <v>0</v>
      </c>
      <c r="CV17" s="12" t="n">
        <f aca="false">MAX(0,CV15-MAX(0,Summary!CV12))+MAX(0,-Summary!CV12)</f>
        <v>0</v>
      </c>
      <c r="CW17" s="13" t="str">
        <f aca="false">IF(COUNT(Summary!CW12)=1,MAX(0,CW15-MAX(0,Summary!CW12))+MAX(0,-Summary!CW12),"")</f>
        <v/>
      </c>
      <c r="CX17" s="13" t="n">
        <f aca="false">MAX(0,CX15-MAX(0,Summary!CX12))+MAX(0,-Summary!CX12)</f>
        <v>0</v>
      </c>
      <c r="CY17" s="13" t="n">
        <f aca="false">MAX(0,CY15-MAX(0,Summary!CY12))+MAX(0,-Summary!CY12)</f>
        <v>0</v>
      </c>
      <c r="CZ17" s="12" t="str">
        <f aca="false">IF(COUNT(Summary!CZ12)=1,MAX(0,CZ15-MAX(0,Summary!CZ12))+MAX(0,-Summary!CZ12),"")</f>
        <v/>
      </c>
      <c r="DA17" s="12" t="n">
        <f aca="false">MAX(0,DA15-MAX(0,Summary!DA12))+MAX(0,-Summary!DA12)</f>
        <v>0</v>
      </c>
      <c r="DB17" s="12" t="n">
        <f aca="false">MAX(0,DB15-MAX(0,Summary!DB12))+MAX(0,-Summary!DB12)</f>
        <v>0</v>
      </c>
      <c r="DC17" s="13" t="str">
        <f aca="false">IF(COUNT(Summary!DC12)=1,MAX(0,DC15-MAX(0,Summary!DC12))+MAX(0,-Summary!DC12),"")</f>
        <v/>
      </c>
      <c r="DD17" s="13" t="n">
        <f aca="false">MAX(0,DD15-MAX(0,Summary!DD12))+MAX(0,-Summary!DD12)</f>
        <v>0</v>
      </c>
      <c r="DE17" s="13" t="n">
        <f aca="false">MAX(0,DE15-MAX(0,Summary!DE12))+MAX(0,-Summary!DE12)</f>
        <v>0</v>
      </c>
      <c r="DF17" s="12" t="str">
        <f aca="false">IF(COUNT(Summary!DF12)=1,MAX(0,DF15-MAX(0,Summary!DF12))+MAX(0,-Summary!DF12),"")</f>
        <v/>
      </c>
      <c r="DG17" s="12" t="n">
        <f aca="false">MAX(0,DG15-MAX(0,Summary!DG12))+MAX(0,-Summary!DG12)</f>
        <v>0</v>
      </c>
      <c r="DH17" s="12" t="n">
        <f aca="false">MAX(0,DH15-MAX(0,Summary!DH12))+MAX(0,-Summary!DH12)</f>
        <v>47255.40022</v>
      </c>
      <c r="DI17" s="13" t="n">
        <f aca="false">IF(COUNT(Summary!DI12)=1,MAX(0,DI15-MAX(0,Summary!DI12))+MAX(0,-Summary!DI12),"")</f>
        <v>0</v>
      </c>
      <c r="DJ17" s="13" t="n">
        <f aca="false">MAX(0,DJ15-MAX(0,Summary!DJ12))+MAX(0,-Summary!DJ12)</f>
        <v>0</v>
      </c>
      <c r="DK17" s="13" t="n">
        <f aca="false">MAX(0,DK15-MAX(0,Summary!DK12))+MAX(0,-Summary!DK12)</f>
        <v>27896.5224</v>
      </c>
      <c r="DL17" s="12" t="n">
        <f aca="false">IF(COUNT(Summary!DL12)=1,MAX(0,DL15-MAX(0,Summary!DL12))+MAX(0,-Summary!DL12),"")</f>
        <v>8568</v>
      </c>
      <c r="DM17" s="12" t="n">
        <f aca="false">MAX(0,DM15-MAX(0,Summary!DM12))+MAX(0,-Summary!DM12)</f>
        <v>8568</v>
      </c>
      <c r="DN17" s="12" t="n">
        <f aca="false">MAX(0,DN15-MAX(0,Summary!DN12))+MAX(0,-Summary!DN12)</f>
        <v>0</v>
      </c>
    </row>
    <row r="18" customFormat="false" ht="15" hidden="false" customHeight="false" outlineLevel="0" collapsed="false">
      <c r="A18" s="17" t="s">
        <v>285</v>
      </c>
      <c r="B18" s="141" t="str">
        <f aca="false">IF(K18&lt;&gt;"",K18,IF(N18&lt;&gt;"",N18,IF(Q18&lt;&gt;"",Q18,IF(T18&lt;&gt;"",T18,IF(W18&lt;&gt;"",W18,IF(Z18&lt;&gt;"",Z18,IF(AC18&lt;&gt;"",AC18,IF(AF18&lt;&gt;"",AF18,IF(AI18&lt;&gt;"",AI18,IF(AL18&lt;&gt;"",AL18,IF(AO18&lt;&gt;"",AO18,IF(AR18&lt;&gt;"",AR18,""))))))))))))</f>
        <v/>
      </c>
      <c r="C18" s="141" t="n">
        <f aca="false">IF(L18&lt;&gt;"",L18,IF(O18&lt;&gt;"",O18,IF(R18&lt;&gt;"",R18,IF(U18&lt;&gt;"",U18,IF(X18&lt;&gt;"",X18,IF(AA18&lt;&gt;"",AA18,IF(AD18&lt;&gt;"",AD18,IF(AG18&lt;&gt;"",AG18,IF(AJ18&lt;&gt;"",AJ18,IF(AM18&lt;&gt;"",AM18,IF(AP18&lt;&gt;"",AP18,IF(AS18&lt;&gt;"",AS18,""))))))))))))</f>
        <v>4500</v>
      </c>
      <c r="D18" s="141" t="n">
        <f aca="false">IF(M18&lt;&gt;"",M18,IF(P18&lt;&gt;"",P18,IF(S18&lt;&gt;"",S18,IF(V18&lt;&gt;"",V18,IF(Y18&lt;&gt;"",Y18,IF(AB18&lt;&gt;"",AB18,IF(AE18&lt;&gt;"",AE18,IF(AH18&lt;&gt;"",AH18,IF(AK18&lt;&gt;"",AK18,IF(AN18&lt;&gt;"",AN18,IF(AQ18&lt;&gt;"",AQ18,IF(AT18&lt;&gt;"",AT18,""))))))))))))</f>
        <v>4500</v>
      </c>
      <c r="E18" s="142" t="str">
        <f aca="false">IF(AU18&lt;&gt;"",AU18,IF(AX18&lt;&gt;"",AX18,IF(BA18&lt;&gt;"",BA18,IF(BD18&lt;&gt;"",BD18,IF(BG18&lt;&gt;"",BG18,IF(BJ18&lt;&gt;"",BJ18,IF(BM18&lt;&gt;"",BM18,IF(BP18&lt;&gt;"",BP18,IF(BS18&lt;&gt;"",BS18,IF(BV18&lt;&gt;"",BV18,IF(BY18&lt;&gt;"",BY18,IF(CB18&lt;&gt;"",CB18,""))))))))))))</f>
        <v/>
      </c>
      <c r="F18" s="142" t="n">
        <f aca="false">IF(AV18&lt;&gt;"",AV18,IF(AY18&lt;&gt;"",AY18,IF(BB18&lt;&gt;"",BB18,IF(BE18&lt;&gt;"",BE18,IF(BH18&lt;&gt;"",BH18,IF(BK18&lt;&gt;"",BK18,IF(BN18&lt;&gt;"",BN18,IF(BQ18&lt;&gt;"",BQ18,IF(BT18&lt;&gt;"",BT18,IF(BW18&lt;&gt;"",BW18,IF(BZ18&lt;&gt;"",BZ18,IF(CC18&lt;&gt;"",CC18,""))))))))))))</f>
        <v>4500</v>
      </c>
      <c r="G18" s="142" t="n">
        <f aca="false">IF(AW18&lt;&gt;"",AW18,IF(AZ18&lt;&gt;"",AZ18,IF(BC18&lt;&gt;"",BC18,IF(BF18&lt;&gt;"",BF18,IF(BI18&lt;&gt;"",BI18,IF(BL18&lt;&gt;"",BL18,IF(BO18&lt;&gt;"",BO18,IF(BR18&lt;&gt;"",BR18,IF(BU18&lt;&gt;"",BU18,IF(BX18&lt;&gt;"",BX18,IF(CA18&lt;&gt;"",CA18,IF(CD18&lt;&gt;"",CD18,""))))))))))))</f>
        <v>4500</v>
      </c>
      <c r="H18" s="141" t="n">
        <f aca="false">IF(CE18&lt;&gt;"",CE18,IF(CH18&lt;&gt;"",CH18,IF(CK18&lt;&gt;"",CK18,IF(CN18&lt;&gt;"",CN18,IF(CQ18&lt;&gt;"",CQ18,IF(CT18&lt;&gt;"",CT18,IF(CW18&lt;&gt;"",CW18,IF(CZ18&lt;&gt;"",CZ18,IF(DC18&lt;&gt;"",DC18,IF(DF18&lt;&gt;"",DF18,IF(DI18&lt;&gt;"",DI18,IF(DL18&lt;&gt;"",DL18,""))))))))))))</f>
        <v>4500</v>
      </c>
      <c r="I18" s="141" t="n">
        <f aca="false">IF(CF18&lt;&gt;"",CF18,IF(CI18&lt;&gt;"",CI18,IF(CL18&lt;&gt;"",CL18,IF(CO18&lt;&gt;"",CO18,IF(CR18&lt;&gt;"",CR18,IF(CU18&lt;&gt;"",CU18,IF(CX18&lt;&gt;"",CX18,IF(DA18&lt;&gt;"",DA18,IF(DD18&lt;&gt;"",DD18,IF(DG18&lt;&gt;"",DG18,IF(DJ18&lt;&gt;"",DJ18,IF(DM18&lt;&gt;"",DM18,""))))))))))))</f>
        <v>4500</v>
      </c>
      <c r="J18" s="141" t="n">
        <f aca="false">IF(CG18&lt;&gt;"",CG18,IF(CJ18&lt;&gt;"",CJ18,IF(CM18&lt;&gt;"",CM18,IF(CP18&lt;&gt;"",CP18,IF(CS18&lt;&gt;"",CS18,IF(CV18&lt;&gt;"",CV18,IF(CY18&lt;&gt;"",CY18,IF(DB18&lt;&gt;"",DB18,IF(DE18&lt;&gt;"",DE18,IF(DH18&lt;&gt;"",DH18,IF(DK18&lt;&gt;"",DK18,IF(DN18&lt;&gt;"",DN18,""))))))))))))</f>
        <v>4500</v>
      </c>
      <c r="K18" s="142"/>
      <c r="L18" s="142" t="n">
        <f aca="false">IF('Cash Drivers'!L$26,Finance!K18,Finance!M18)</f>
        <v>4500</v>
      </c>
      <c r="M18" s="143" t="n">
        <v>4500</v>
      </c>
      <c r="N18" s="141"/>
      <c r="O18" s="141" t="n">
        <f aca="false">IF('Cash Drivers'!O$26,Finance!N18,Finance!P18)</f>
        <v>4500</v>
      </c>
      <c r="P18" s="144" t="n">
        <v>4500</v>
      </c>
      <c r="Q18" s="142"/>
      <c r="R18" s="142" t="n">
        <f aca="false">IF('Cash Drivers'!R$26,Finance!Q18,Finance!S18)</f>
        <v>4500</v>
      </c>
      <c r="S18" s="143" t="n">
        <v>4500</v>
      </c>
      <c r="T18" s="141"/>
      <c r="U18" s="141" t="n">
        <f aca="false">IF('Cash Drivers'!U$26,Finance!T18,Finance!V18)</f>
        <v>4500</v>
      </c>
      <c r="V18" s="144" t="n">
        <v>4500</v>
      </c>
      <c r="W18" s="142"/>
      <c r="X18" s="142" t="n">
        <f aca="false">IF('Cash Drivers'!X$26,Finance!W18,Finance!Y18)</f>
        <v>4500</v>
      </c>
      <c r="Y18" s="143" t="n">
        <v>4500</v>
      </c>
      <c r="Z18" s="141"/>
      <c r="AA18" s="141" t="n">
        <f aca="false">IF('Cash Drivers'!AA$26,Finance!Z18,Finance!AB18)</f>
        <v>4500</v>
      </c>
      <c r="AB18" s="144" t="n">
        <v>4500</v>
      </c>
      <c r="AC18" s="142"/>
      <c r="AD18" s="142" t="n">
        <f aca="false">IF('Cash Drivers'!AD$26,Finance!AC18,Finance!AE18)</f>
        <v>4500</v>
      </c>
      <c r="AE18" s="143" t="n">
        <v>4500</v>
      </c>
      <c r="AF18" s="141"/>
      <c r="AG18" s="141" t="n">
        <f aca="false">IF('Cash Drivers'!AG$26,Finance!AF18,Finance!AH18)</f>
        <v>4500</v>
      </c>
      <c r="AH18" s="144" t="n">
        <v>4500</v>
      </c>
      <c r="AI18" s="142"/>
      <c r="AJ18" s="142" t="n">
        <f aca="false">IF('Cash Drivers'!AJ$26,Finance!AI18,Finance!AK18)</f>
        <v>4500</v>
      </c>
      <c r="AK18" s="143" t="n">
        <v>4500</v>
      </c>
      <c r="AL18" s="141"/>
      <c r="AM18" s="141" t="n">
        <f aca="false">IF('Cash Drivers'!AM$26,Finance!AL18,Finance!AN18)</f>
        <v>4500</v>
      </c>
      <c r="AN18" s="144" t="n">
        <v>4500</v>
      </c>
      <c r="AO18" s="142"/>
      <c r="AP18" s="142" t="n">
        <f aca="false">IF('Cash Drivers'!AP$26,Finance!AO18,Finance!AQ18)</f>
        <v>4500</v>
      </c>
      <c r="AQ18" s="143" t="n">
        <v>4500</v>
      </c>
      <c r="AR18" s="141"/>
      <c r="AS18" s="141" t="n">
        <f aca="false">IF('Cash Drivers'!AS$26,Finance!AR18,Finance!AT18)</f>
        <v>4500</v>
      </c>
      <c r="AT18" s="144" t="n">
        <v>4500</v>
      </c>
      <c r="AU18" s="142"/>
      <c r="AV18" s="142" t="n">
        <f aca="false">IF('Cash Drivers'!AV$26,Finance!AU18,Finance!AW18)</f>
        <v>4500</v>
      </c>
      <c r="AW18" s="143" t="n">
        <v>4500</v>
      </c>
      <c r="AX18" s="141"/>
      <c r="AY18" s="141" t="n">
        <f aca="false">IF('Cash Drivers'!AY$26,Finance!AX18,Finance!AZ18)</f>
        <v>4500</v>
      </c>
      <c r="AZ18" s="144" t="n">
        <v>4500</v>
      </c>
      <c r="BA18" s="142"/>
      <c r="BB18" s="142" t="n">
        <f aca="false">IF('Cash Drivers'!BB$26,Finance!BA18,Finance!BC18)</f>
        <v>4500</v>
      </c>
      <c r="BC18" s="143" t="n">
        <v>4500</v>
      </c>
      <c r="BD18" s="141"/>
      <c r="BE18" s="141" t="n">
        <f aca="false">IF('Cash Drivers'!BE$26,Finance!BD18,Finance!BF18)</f>
        <v>4500</v>
      </c>
      <c r="BF18" s="144" t="n">
        <v>4500</v>
      </c>
      <c r="BG18" s="142"/>
      <c r="BH18" s="142" t="n">
        <f aca="false">IF('Cash Drivers'!BH$26,Finance!BG18,Finance!BI18)</f>
        <v>4500</v>
      </c>
      <c r="BI18" s="143" t="n">
        <v>4500</v>
      </c>
      <c r="BJ18" s="141"/>
      <c r="BK18" s="141" t="n">
        <f aca="false">IF('Cash Drivers'!BK$26,Finance!BJ18,Finance!BL18)</f>
        <v>4500</v>
      </c>
      <c r="BL18" s="144" t="n">
        <v>4500</v>
      </c>
      <c r="BM18" s="142"/>
      <c r="BN18" s="142" t="n">
        <f aca="false">IF('Cash Drivers'!BN$26,Finance!BM18,Finance!BO18)</f>
        <v>4500</v>
      </c>
      <c r="BO18" s="143" t="n">
        <v>4500</v>
      </c>
      <c r="BP18" s="141"/>
      <c r="BQ18" s="141" t="n">
        <f aca="false">IF('Cash Drivers'!BQ$26,Finance!BP18,Finance!BR18)</f>
        <v>4500</v>
      </c>
      <c r="BR18" s="144" t="n">
        <v>4500</v>
      </c>
      <c r="BS18" s="142"/>
      <c r="BT18" s="142" t="n">
        <f aca="false">IF('Cash Drivers'!BT$26,Finance!BS18,Finance!BU18)</f>
        <v>4500</v>
      </c>
      <c r="BU18" s="143" t="n">
        <v>4500</v>
      </c>
      <c r="BV18" s="141"/>
      <c r="BW18" s="141" t="n">
        <f aca="false">IF('Cash Drivers'!BW$26,Finance!BV18,Finance!BX18)</f>
        <v>4500</v>
      </c>
      <c r="BX18" s="144" t="n">
        <v>4500</v>
      </c>
      <c r="BY18" s="142"/>
      <c r="BZ18" s="142" t="n">
        <f aca="false">IF('Cash Drivers'!BZ$26,Finance!BY18,Finance!CA18)</f>
        <v>4500</v>
      </c>
      <c r="CA18" s="143" t="n">
        <v>4500</v>
      </c>
      <c r="CB18" s="141"/>
      <c r="CC18" s="141" t="n">
        <f aca="false">IF('Cash Drivers'!CC$26,Finance!CB18,Finance!CD18)</f>
        <v>4500</v>
      </c>
      <c r="CD18" s="144" t="n">
        <v>4500</v>
      </c>
      <c r="CE18" s="142"/>
      <c r="CF18" s="142" t="n">
        <f aca="false">IF('Cash Drivers'!CF$26,Finance!CE18,Finance!CG18)</f>
        <v>4500</v>
      </c>
      <c r="CG18" s="143" t="n">
        <v>4500</v>
      </c>
      <c r="CH18" s="141"/>
      <c r="CI18" s="141" t="n">
        <f aca="false">IF('Cash Drivers'!CI$26,Finance!CH18,Finance!CJ18)</f>
        <v>4500</v>
      </c>
      <c r="CJ18" s="144" t="n">
        <v>4500</v>
      </c>
      <c r="CK18" s="142"/>
      <c r="CL18" s="142" t="n">
        <f aca="false">IF('Cash Drivers'!CL$26,Finance!CK18,Finance!CM18)</f>
        <v>4500</v>
      </c>
      <c r="CM18" s="143" t="n">
        <v>4500</v>
      </c>
      <c r="CN18" s="141"/>
      <c r="CO18" s="141" t="n">
        <f aca="false">IF('Cash Drivers'!CO$26,Finance!CN18,Finance!CP18)</f>
        <v>4500</v>
      </c>
      <c r="CP18" s="144" t="n">
        <v>4500</v>
      </c>
      <c r="CQ18" s="142"/>
      <c r="CR18" s="142" t="n">
        <f aca="false">IF('Cash Drivers'!CR$26,Finance!CQ18,Finance!CS18)</f>
        <v>4500</v>
      </c>
      <c r="CS18" s="143" t="n">
        <v>4500</v>
      </c>
      <c r="CT18" s="141"/>
      <c r="CU18" s="141" t="n">
        <f aca="false">IF('Cash Drivers'!CU$26,Finance!CT18,Finance!CV18)</f>
        <v>4500</v>
      </c>
      <c r="CV18" s="144" t="n">
        <v>4500</v>
      </c>
      <c r="CW18" s="142"/>
      <c r="CX18" s="142" t="n">
        <f aca="false">IF('Cash Drivers'!CX$26,Finance!CW18,Finance!CY18)</f>
        <v>4500</v>
      </c>
      <c r="CY18" s="143" t="n">
        <v>4500</v>
      </c>
      <c r="CZ18" s="141"/>
      <c r="DA18" s="141" t="n">
        <f aca="false">IF('Cash Drivers'!DA$26,Finance!CZ18,Finance!DB18)</f>
        <v>4500</v>
      </c>
      <c r="DB18" s="144" t="n">
        <v>4500</v>
      </c>
      <c r="DC18" s="142"/>
      <c r="DD18" s="142" t="n">
        <f aca="false">IF('Cash Drivers'!DD$26,Finance!DC18,Finance!DE18)</f>
        <v>4500</v>
      </c>
      <c r="DE18" s="143" t="n">
        <v>4500</v>
      </c>
      <c r="DF18" s="141"/>
      <c r="DG18" s="141" t="n">
        <f aca="false">IF('Cash Drivers'!DG$26,Finance!DF18,Finance!DH18)</f>
        <v>4500</v>
      </c>
      <c r="DH18" s="144" t="n">
        <v>4500</v>
      </c>
      <c r="DI18" s="143" t="n">
        <v>4500</v>
      </c>
      <c r="DJ18" s="142" t="n">
        <f aca="false">IF('Cash Drivers'!DJ$26,Finance!DI18,Finance!DK18)</f>
        <v>4500</v>
      </c>
      <c r="DK18" s="143" t="n">
        <v>4500</v>
      </c>
      <c r="DL18" s="144" t="n">
        <v>4500</v>
      </c>
      <c r="DM18" s="141" t="n">
        <f aca="false">IF('Cash Drivers'!DM$26,Finance!DL18,Finance!DN18)</f>
        <v>4500</v>
      </c>
      <c r="DN18" s="144" t="n">
        <v>4500</v>
      </c>
    </row>
    <row r="19" customFormat="false" ht="15" hidden="false" customHeight="false" outlineLevel="0" collapsed="false">
      <c r="A19" s="17" t="s">
        <v>286</v>
      </c>
      <c r="B19" s="92" t="str">
        <f aca="false">IF(K19&lt;&gt;"",K19,IF(N19&lt;&gt;"",N19,IF(Q19&lt;&gt;"",Q19,IF(T19&lt;&gt;"",T19,IF(W19&lt;&gt;"",W19,IF(Z19&lt;&gt;"",Z19,IF(AC19&lt;&gt;"",AC19,IF(AF19&lt;&gt;"",AF19,IF(AI19&lt;&gt;"",AI19,IF(AL19&lt;&gt;"",AL19,IF(AO19&lt;&gt;"",AO19,IF(AR19&lt;&gt;"",AR19,""))))))))))))</f>
        <v/>
      </c>
      <c r="C19" s="92" t="n">
        <f aca="false">IF(L19&lt;&gt;"",L19,IF(O19&lt;&gt;"",O19,IF(R19&lt;&gt;"",R19,IF(U19&lt;&gt;"",U19,IF(X19&lt;&gt;"",X19,IF(AA19&lt;&gt;"",AA19,IF(AD19&lt;&gt;"",AD19,IF(AG19&lt;&gt;"",AG19,IF(AJ19&lt;&gt;"",AJ19,IF(AM19&lt;&gt;"",AM19,IF(AP19&lt;&gt;"",AP19,IF(AS19&lt;&gt;"",AS19,""))))))))))))</f>
        <v>36</v>
      </c>
      <c r="D19" s="92" t="n">
        <f aca="false">IF(M19&lt;&gt;"",M19,IF(P19&lt;&gt;"",P19,IF(S19&lt;&gt;"",S19,IF(V19&lt;&gt;"",V19,IF(Y19&lt;&gt;"",Y19,IF(AB19&lt;&gt;"",AB19,IF(AE19&lt;&gt;"",AE19,IF(AH19&lt;&gt;"",AH19,IF(AK19&lt;&gt;"",AK19,IF(AN19&lt;&gt;"",AN19,IF(AQ19&lt;&gt;"",AQ19,IF(AT19&lt;&gt;"",AT19,""))))))))))))</f>
        <v>36</v>
      </c>
      <c r="E19" s="93" t="str">
        <f aca="false">IF(AU19&lt;&gt;"",AU19,IF(AX19&lt;&gt;"",AX19,IF(BA19&lt;&gt;"",BA19,IF(BD19&lt;&gt;"",BD19,IF(BG19&lt;&gt;"",BG19,IF(BJ19&lt;&gt;"",BJ19,IF(BM19&lt;&gt;"",BM19,IF(BP19&lt;&gt;"",BP19,IF(BS19&lt;&gt;"",BS19,IF(BV19&lt;&gt;"",BV19,IF(BY19&lt;&gt;"",BY19,IF(CB19&lt;&gt;"",CB19,""))))))))))))</f>
        <v/>
      </c>
      <c r="F19" s="93" t="n">
        <f aca="false">IF(AV19&lt;&gt;"",AV19,IF(AY19&lt;&gt;"",AY19,IF(BB19&lt;&gt;"",BB19,IF(BE19&lt;&gt;"",BE19,IF(BH19&lt;&gt;"",BH19,IF(BK19&lt;&gt;"",BK19,IF(BN19&lt;&gt;"",BN19,IF(BQ19&lt;&gt;"",BQ19,IF(BT19&lt;&gt;"",BT19,IF(BW19&lt;&gt;"",BW19,IF(BZ19&lt;&gt;"",BZ19,IF(CC19&lt;&gt;"",CC19,""))))))))))))</f>
        <v>36</v>
      </c>
      <c r="G19" s="93" t="n">
        <f aca="false">IF(AW19&lt;&gt;"",AW19,IF(AZ19&lt;&gt;"",AZ19,IF(BC19&lt;&gt;"",BC19,IF(BF19&lt;&gt;"",BF19,IF(BI19&lt;&gt;"",BI19,IF(BL19&lt;&gt;"",BL19,IF(BO19&lt;&gt;"",BO19,IF(BR19&lt;&gt;"",BR19,IF(BU19&lt;&gt;"",BU19,IF(BX19&lt;&gt;"",BX19,IF(CA19&lt;&gt;"",CA19,IF(CD19&lt;&gt;"",CD19,""))))))))))))</f>
        <v>36</v>
      </c>
      <c r="H19" s="92" t="n">
        <f aca="false">IF(CE19&lt;&gt;"",CE19,IF(CH19&lt;&gt;"",CH19,IF(CK19&lt;&gt;"",CK19,IF(CN19&lt;&gt;"",CN19,IF(CQ19&lt;&gt;"",CQ19,IF(CT19&lt;&gt;"",CT19,IF(CW19&lt;&gt;"",CW19,IF(CZ19&lt;&gt;"",CZ19,IF(DC19&lt;&gt;"",DC19,IF(DF19&lt;&gt;"",DF19,IF(DI19&lt;&gt;"",DI19,IF(DL19&lt;&gt;"",DL19,""))))))))))))</f>
        <v>36</v>
      </c>
      <c r="I19" s="92" t="n">
        <f aca="false">IF(CF19&lt;&gt;"",CF19,IF(CI19&lt;&gt;"",CI19,IF(CL19&lt;&gt;"",CL19,IF(CO19&lt;&gt;"",CO19,IF(CR19&lt;&gt;"",CR19,IF(CU19&lt;&gt;"",CU19,IF(CX19&lt;&gt;"",CX19,IF(DA19&lt;&gt;"",DA19,IF(DD19&lt;&gt;"",DD19,IF(DG19&lt;&gt;"",DG19,IF(DJ19&lt;&gt;"",DJ19,IF(DM19&lt;&gt;"",DM19,""))))))))))))</f>
        <v>36</v>
      </c>
      <c r="J19" s="92" t="n">
        <f aca="false">IF(CG19&lt;&gt;"",CG19,IF(CJ19&lt;&gt;"",CJ19,IF(CM19&lt;&gt;"",CM19,IF(CP19&lt;&gt;"",CP19,IF(CS19&lt;&gt;"",CS19,IF(CV19&lt;&gt;"",CV19,IF(CY19&lt;&gt;"",CY19,IF(DB19&lt;&gt;"",DB19,IF(DE19&lt;&gt;"",DE19,IF(DH19&lt;&gt;"",DH19,IF(DK19&lt;&gt;"",DK19,IF(DN19&lt;&gt;"",DN19,""))))))))))))</f>
        <v>36</v>
      </c>
      <c r="K19" s="93"/>
      <c r="L19" s="93" t="n">
        <f aca="false">IF('Cash Drivers'!L$26,Finance!K19,Finance!M19)</f>
        <v>36</v>
      </c>
      <c r="M19" s="94" t="n">
        <v>36</v>
      </c>
      <c r="N19" s="92"/>
      <c r="O19" s="92" t="n">
        <f aca="false">IF('Cash Drivers'!O$26,Finance!N19,Finance!P19)</f>
        <v>36</v>
      </c>
      <c r="P19" s="95" t="n">
        <v>36</v>
      </c>
      <c r="Q19" s="93"/>
      <c r="R19" s="93" t="n">
        <f aca="false">IF('Cash Drivers'!R$26,Finance!Q19,Finance!S19)</f>
        <v>36</v>
      </c>
      <c r="S19" s="94" t="n">
        <v>36</v>
      </c>
      <c r="T19" s="92"/>
      <c r="U19" s="92" t="n">
        <f aca="false">IF('Cash Drivers'!U$26,Finance!T19,Finance!V19)</f>
        <v>36</v>
      </c>
      <c r="V19" s="95" t="n">
        <v>36</v>
      </c>
      <c r="W19" s="93"/>
      <c r="X19" s="93" t="n">
        <f aca="false">IF('Cash Drivers'!X$26,Finance!W19,Finance!Y19)</f>
        <v>36</v>
      </c>
      <c r="Y19" s="94" t="n">
        <v>36</v>
      </c>
      <c r="Z19" s="92"/>
      <c r="AA19" s="92" t="n">
        <f aca="false">IF('Cash Drivers'!AA$26,Finance!Z19,Finance!AB19)</f>
        <v>36</v>
      </c>
      <c r="AB19" s="95" t="n">
        <v>36</v>
      </c>
      <c r="AC19" s="93"/>
      <c r="AD19" s="93" t="n">
        <f aca="false">IF('Cash Drivers'!AD$26,Finance!AC19,Finance!AE19)</f>
        <v>36</v>
      </c>
      <c r="AE19" s="94" t="n">
        <v>36</v>
      </c>
      <c r="AF19" s="92"/>
      <c r="AG19" s="92" t="n">
        <f aca="false">IF('Cash Drivers'!AG$26,Finance!AF19,Finance!AH19)</f>
        <v>36</v>
      </c>
      <c r="AH19" s="95" t="n">
        <v>36</v>
      </c>
      <c r="AI19" s="93"/>
      <c r="AJ19" s="93" t="n">
        <f aca="false">IF('Cash Drivers'!AJ$26,Finance!AI19,Finance!AK19)</f>
        <v>36</v>
      </c>
      <c r="AK19" s="94" t="n">
        <v>36</v>
      </c>
      <c r="AL19" s="92"/>
      <c r="AM19" s="92" t="n">
        <f aca="false">IF('Cash Drivers'!AM$26,Finance!AL19,Finance!AN19)</f>
        <v>36</v>
      </c>
      <c r="AN19" s="95" t="n">
        <v>36</v>
      </c>
      <c r="AO19" s="93"/>
      <c r="AP19" s="93" t="n">
        <f aca="false">IF('Cash Drivers'!AP$26,Finance!AO19,Finance!AQ19)</f>
        <v>36</v>
      </c>
      <c r="AQ19" s="94" t="n">
        <v>36</v>
      </c>
      <c r="AR19" s="92"/>
      <c r="AS19" s="92" t="n">
        <f aca="false">IF('Cash Drivers'!AS$26,Finance!AR19,Finance!AT19)</f>
        <v>36</v>
      </c>
      <c r="AT19" s="95" t="n">
        <v>36</v>
      </c>
      <c r="AU19" s="93"/>
      <c r="AV19" s="93" t="n">
        <f aca="false">IF('Cash Drivers'!AV$26,Finance!AU19,Finance!AW19)</f>
        <v>36</v>
      </c>
      <c r="AW19" s="94" t="n">
        <v>36</v>
      </c>
      <c r="AX19" s="92"/>
      <c r="AY19" s="92" t="n">
        <f aca="false">IF('Cash Drivers'!AY$26,Finance!AX19,Finance!AZ19)</f>
        <v>36</v>
      </c>
      <c r="AZ19" s="95" t="n">
        <v>36</v>
      </c>
      <c r="BA19" s="93"/>
      <c r="BB19" s="93" t="n">
        <f aca="false">IF('Cash Drivers'!BB$26,Finance!BA19,Finance!BC19)</f>
        <v>36</v>
      </c>
      <c r="BC19" s="94" t="n">
        <v>36</v>
      </c>
      <c r="BD19" s="92"/>
      <c r="BE19" s="92" t="n">
        <f aca="false">IF('Cash Drivers'!BE$26,Finance!BD19,Finance!BF19)</f>
        <v>36</v>
      </c>
      <c r="BF19" s="95" t="n">
        <v>36</v>
      </c>
      <c r="BG19" s="93"/>
      <c r="BH19" s="93" t="n">
        <f aca="false">IF('Cash Drivers'!BH$26,Finance!BG19,Finance!BI19)</f>
        <v>36</v>
      </c>
      <c r="BI19" s="94" t="n">
        <v>36</v>
      </c>
      <c r="BJ19" s="92"/>
      <c r="BK19" s="92" t="n">
        <f aca="false">IF('Cash Drivers'!BK$26,Finance!BJ19,Finance!BL19)</f>
        <v>36</v>
      </c>
      <c r="BL19" s="95" t="n">
        <v>36</v>
      </c>
      <c r="BM19" s="93"/>
      <c r="BN19" s="93" t="n">
        <f aca="false">IF('Cash Drivers'!BN$26,Finance!BM19,Finance!BO19)</f>
        <v>36</v>
      </c>
      <c r="BO19" s="94" t="n">
        <v>36</v>
      </c>
      <c r="BP19" s="92"/>
      <c r="BQ19" s="92" t="n">
        <f aca="false">IF('Cash Drivers'!BQ$26,Finance!BP19,Finance!BR19)</f>
        <v>36</v>
      </c>
      <c r="BR19" s="95" t="n">
        <v>36</v>
      </c>
      <c r="BS19" s="93"/>
      <c r="BT19" s="93" t="n">
        <f aca="false">IF('Cash Drivers'!BT$26,Finance!BS19,Finance!BU19)</f>
        <v>36</v>
      </c>
      <c r="BU19" s="94" t="n">
        <v>36</v>
      </c>
      <c r="BV19" s="92"/>
      <c r="BW19" s="92" t="n">
        <f aca="false">IF('Cash Drivers'!BW$26,Finance!BV19,Finance!BX19)</f>
        <v>36</v>
      </c>
      <c r="BX19" s="95" t="n">
        <v>36</v>
      </c>
      <c r="BY19" s="93"/>
      <c r="BZ19" s="93" t="n">
        <f aca="false">IF('Cash Drivers'!BZ$26,Finance!BY19,Finance!CA19)</f>
        <v>36</v>
      </c>
      <c r="CA19" s="94" t="n">
        <v>36</v>
      </c>
      <c r="CB19" s="92"/>
      <c r="CC19" s="92" t="n">
        <f aca="false">IF('Cash Drivers'!CC$26,Finance!CB19,Finance!CD19)</f>
        <v>36</v>
      </c>
      <c r="CD19" s="95" t="n">
        <v>36</v>
      </c>
      <c r="CE19" s="93"/>
      <c r="CF19" s="93" t="n">
        <f aca="false">IF('Cash Drivers'!CF$26,Finance!CE19,Finance!CG19)</f>
        <v>36</v>
      </c>
      <c r="CG19" s="94" t="n">
        <v>36</v>
      </c>
      <c r="CH19" s="92"/>
      <c r="CI19" s="92" t="n">
        <f aca="false">IF('Cash Drivers'!CI$26,Finance!CH19,Finance!CJ19)</f>
        <v>36</v>
      </c>
      <c r="CJ19" s="95" t="n">
        <v>36</v>
      </c>
      <c r="CK19" s="93"/>
      <c r="CL19" s="93" t="n">
        <f aca="false">IF('Cash Drivers'!CL$26,Finance!CK19,Finance!CM19)</f>
        <v>36</v>
      </c>
      <c r="CM19" s="94" t="n">
        <v>36</v>
      </c>
      <c r="CN19" s="92"/>
      <c r="CO19" s="92" t="n">
        <f aca="false">IF('Cash Drivers'!CO$26,Finance!CN19,Finance!CP19)</f>
        <v>36</v>
      </c>
      <c r="CP19" s="95" t="n">
        <v>36</v>
      </c>
      <c r="CQ19" s="93"/>
      <c r="CR19" s="93" t="n">
        <f aca="false">IF('Cash Drivers'!CR$26,Finance!CQ19,Finance!CS19)</f>
        <v>36</v>
      </c>
      <c r="CS19" s="94" t="n">
        <v>36</v>
      </c>
      <c r="CT19" s="92"/>
      <c r="CU19" s="92" t="n">
        <f aca="false">IF('Cash Drivers'!CU$26,Finance!CT19,Finance!CV19)</f>
        <v>36</v>
      </c>
      <c r="CV19" s="95" t="n">
        <v>36</v>
      </c>
      <c r="CW19" s="93"/>
      <c r="CX19" s="93" t="n">
        <f aca="false">IF('Cash Drivers'!CX$26,Finance!CW19,Finance!CY19)</f>
        <v>36</v>
      </c>
      <c r="CY19" s="94" t="n">
        <v>36</v>
      </c>
      <c r="CZ19" s="92"/>
      <c r="DA19" s="92" t="n">
        <f aca="false">IF('Cash Drivers'!DA$26,Finance!CZ19,Finance!DB19)</f>
        <v>36</v>
      </c>
      <c r="DB19" s="95" t="n">
        <v>36</v>
      </c>
      <c r="DC19" s="93"/>
      <c r="DD19" s="93" t="n">
        <f aca="false">IF('Cash Drivers'!DD$26,Finance!DC19,Finance!DE19)</f>
        <v>36</v>
      </c>
      <c r="DE19" s="94" t="n">
        <v>36</v>
      </c>
      <c r="DF19" s="92"/>
      <c r="DG19" s="92" t="n">
        <f aca="false">IF('Cash Drivers'!DG$26,Finance!DF19,Finance!DH19)</f>
        <v>36</v>
      </c>
      <c r="DH19" s="95" t="n">
        <v>36</v>
      </c>
      <c r="DI19" s="94" t="n">
        <v>36</v>
      </c>
      <c r="DJ19" s="93" t="n">
        <f aca="false">IF('Cash Drivers'!DJ$26,Finance!DI19,Finance!DK19)</f>
        <v>36</v>
      </c>
      <c r="DK19" s="94" t="n">
        <v>36</v>
      </c>
      <c r="DL19" s="95" t="n">
        <v>36</v>
      </c>
      <c r="DM19" s="92" t="n">
        <f aca="false">IF('Cash Drivers'!DM$26,Finance!DL19,Finance!DN19)</f>
        <v>36</v>
      </c>
      <c r="DN19" s="95" t="n">
        <v>36</v>
      </c>
    </row>
    <row r="20" customFormat="false" ht="15" hidden="false" customHeight="false" outlineLevel="0" collapsed="false">
      <c r="A20" s="5" t="s">
        <v>110</v>
      </c>
      <c r="B20" s="12" t="str">
        <f aca="false">IF(COUNT(AR20,AO20,AL20,AI20,AF20,AC20,Z20,W20,T20,Q20,N20,K20)=0,"",SUM(AR20,AO20,AL20,AI20,AF20,AC20,Z20,W20,T20,Q20,N20,K20))</f>
        <v/>
      </c>
      <c r="C20" s="12" t="n">
        <f aca="false">IF(COUNT(AS20,AP20,AM20,AJ20,AG20,AD20,AA20,X20,U20,R20,O20,L20)=0,"",SUM(AS20,AP20,AM20,AJ20,AG20,AD20,AA20,X20,U20,R20,O20,L20))</f>
        <v>106125</v>
      </c>
      <c r="D20" s="12" t="n">
        <f aca="false">IF(COUNT(AT20,AQ20,AN20,AK20,AH20,AE20,AB20,Y20,V20,S20,P20,M20)=0,"",SUM(AT20,AQ20,AN20,AK20,AH20,AE20,AB20,Y20,V20,S20,P20,M20))</f>
        <v>106125</v>
      </c>
      <c r="E20" s="13" t="str">
        <f aca="false">IF(COUNT(CB20,BY20,BV20,BS20,BP20,BM20,BJ20,BG20,BD20,BA20,AX20,AU20)=0,"",SUM(CB20,BY20,BV20,BS20,BP20,BM20,BJ20,BG20,BD20,BA20,AX20,AU20))</f>
        <v/>
      </c>
      <c r="F20" s="13" t="n">
        <f aca="false">IF(COUNT(CC20,BZ20,BW20,BT20,BQ20,BN20,BK20,BH20,BE20,BB20,AY20,AV20)=0,"",SUM(CC20,BZ20,BW20,BT20,BQ20,BN20,BK20,BH20,BE20,BB20,AY20,AV20))</f>
        <v>82250</v>
      </c>
      <c r="G20" s="13" t="n">
        <f aca="false">IF(COUNT(CD20,CA20,BX20,BU20,BR20,BO20,BL20,BI20,BF20,BC20,AZ20,AW20)=0,"",SUM(CD20,CA20,BX20,BU20,BR20,BO20,BL20,BI20,BF20,BC20,AZ20,AW20))</f>
        <v>82250</v>
      </c>
      <c r="H20" s="12" t="n">
        <f aca="false">IF(COUNT(DL20,DI20,DF20,DC20,CZ20,CW20,CT20,CQ20,CN20,CK20,CH20,CE20)=0,"",SUM(DL20,DI20,DF20,DC20,CZ20,CW20,CT20,CQ20,CN20,CK20,CH20,CE20))</f>
        <v>10000</v>
      </c>
      <c r="I20" s="12" t="n">
        <f aca="false">IF(COUNT(DM20,DJ20,DG20,DD20,DA20,CX20,CU20,CR20,CO20,CL20,CI20,CF20)=0,"",SUM(DM20,DJ20,DG20,DD20,DA20,CX20,CU20,CR20,CO20,CL20,CI20,CF20))</f>
        <v>62750</v>
      </c>
      <c r="J20" s="12" t="n">
        <f aca="false">IF(COUNT(DN20,DK20,DH20,DE20,DB20,CY20,CV20,CS20,CP20,CM20,CJ20,CG20)=0,"",SUM(DN20,DK20,DH20,DE20,DB20,CY20,CV20,CS20,CP20,CM20,CJ20,CG20))</f>
        <v>62750</v>
      </c>
      <c r="K20" s="13" t="str">
        <f aca="false">IF(K19=0,"",(Finance!$DL$65+SUM(DL9,DI9,DF9,DC9,CZ9,CW9,CT9,CQ9,CN9,CK9,CH9,CE9,CB9,BY9,BV9,BS9,BP9,BM9,BJ9,BG9,BD9,BA9,AX9,AU9,AR9,AO9,AL9,AI9,AF9,AC9,Z9,W9,T9,Q9,N9,K9))/K19)</f>
        <v/>
      </c>
      <c r="L20" s="13" t="n">
        <f aca="false">IF(L19=0,"",(Finance!$DL$65+SUM(DM9,DJ9,DG9,DD9,DA9,CX9,CU9,CR9,CO9,CL9,CI9,CF9,CC9,BZ9,BW9,BT9,BQ9,BN9,BK9,BH9,BE9,BB9,AY9,AV9,AS9,AP9,AM9,AJ9,AG9,AD9,AA9,X9,U9,R9,O9,L9))/L19)</f>
        <v>9000</v>
      </c>
      <c r="M20" s="13" t="n">
        <f aca="false">IF(M19=0,"",(Finance!$DL$65+SUM(DN9,DK9,DH9,DE9,DB9,CY9,CV9,CS9,CP9,CM9,CJ9,CG9,CD9,CA9,BX9,BU9,BR9,BO9,BL9,BI9,BF9,BC9,AZ9,AW9,AT9,AQ9,AN9,AK9,AH9,AE9,AB9,Y9,V9,S9,P9,M9))/M19)</f>
        <v>9000</v>
      </c>
      <c r="N20" s="12" t="str">
        <f aca="false">IF(N19=0,"",(Finance!$DL$65+SUM(DL9,DI9,DF9,DC9,CZ9,CW9,CT9,CQ9,CN9,CK9,CH9,CE9,CB9,BY9,BV9,BS9,BP9,BM9,BJ9,BG9,BD9,BA9,AX9,AU9,AR9,AO9,AL9,AI9,AF9,AC9,Z9,W9,T9,Q9,N9))/N19)</f>
        <v/>
      </c>
      <c r="O20" s="12" t="n">
        <f aca="false">IF(O19=0,"",(Finance!$DL$65+SUM(DM9,DJ9,DG9,DD9,DA9,CX9,CU9,CR9,CO9,CL9,CI9,CF9,CC9,BZ9,BW9,BT9,BQ9,BN9,BK9,BH9,BE9,BB9,AY9,AV9,AS9,AP9,AM9,AJ9,AG9,AD9,AA9,X9,U9,R9,O9))/O19)</f>
        <v>9000</v>
      </c>
      <c r="P20" s="12" t="n">
        <f aca="false">IF(P19=0,"",(Finance!$DL$65+SUM(DN9,DK9,DH9,DE9,DB9,CY9,CV9,CS9,CP9,CM9,CJ9,CG9,CD9,CA9,BX9,BU9,BR9,BO9,BL9,BI9,BF9,BC9,AZ9,AW9,AT9,AQ9,AN9,AK9,AH9,AE9,AB9,Y9,V9,S9,P9))/P19)</f>
        <v>9000</v>
      </c>
      <c r="Q20" s="13" t="str">
        <f aca="false">IF(Q19=0,"",(Finance!$DL$65+SUM(DL9,DI9,DF9,DC9,CZ9,CW9,CT9,CQ9,CN9,CK9,CH9,CE9,CB9,BY9,BV9,BS9,BP9,BM9,BJ9,BG9,BD9,BA9,AX9,AU9,AR9,AO9,AL9,AI9,AF9,AC9,Z9,W9,T9,Q9))/Q19)</f>
        <v/>
      </c>
      <c r="R20" s="13" t="n">
        <f aca="false">IF(R19=0,"",(Finance!$DL$65+SUM(DM9,DJ9,DG9,DD9,DA9,CX9,CU9,CR9,CO9,CL9,CI9,CF9,CC9,BZ9,BW9,BT9,BQ9,BN9,BK9,BH9,BE9,BB9,AY9,AV9,AS9,AP9,AM9,AJ9,AG9,AD9,AA9,X9,U9,R9))/R19)</f>
        <v>9000</v>
      </c>
      <c r="S20" s="13" t="n">
        <f aca="false">IF(S19=0,"",(Finance!$DL$65+SUM(DN9,DK9,DH9,DE9,DB9,CY9,CV9,CS9,CP9,CM9,CJ9,CG9,CD9,CA9,BX9,BU9,BR9,BO9,BL9,BI9,BF9,BC9,AZ9,AW9,AT9,AQ9,AN9,AK9,AH9,AE9,AB9,Y9,V9,S9))/S19)</f>
        <v>9000</v>
      </c>
      <c r="T20" s="12" t="str">
        <f aca="false">IF(T19=0,"",(Finance!$DL$65+SUM(DL9,DI9,DF9,DC9,CZ9,CW9,CT9,CQ9,CN9,CK9,CH9,CE9,CB9,BY9,BV9,BS9,BP9,BM9,BJ9,BG9,BD9,BA9,AX9,AU9,AR9,AO9,AL9,AI9,AF9,AC9,Z9,W9,T9))/T19)</f>
        <v/>
      </c>
      <c r="U20" s="12" t="n">
        <f aca="false">IF(U19=0,"",(Finance!$DL$65+SUM(DM9,DJ9,DG9,DD9,DA9,CX9,CU9,CR9,CO9,CL9,CI9,CF9,CC9,BZ9,BW9,BT9,BQ9,BN9,BK9,BH9,BE9,BB9,AY9,AV9,AS9,AP9,AM9,AJ9,AG9,AD9,AA9,X9,U9))/U19)</f>
        <v>9000</v>
      </c>
      <c r="V20" s="12" t="n">
        <f aca="false">IF(V19=0,"",(Finance!$DL$65+SUM(DN9,DK9,DH9,DE9,DB9,CY9,CV9,CS9,CP9,CM9,CJ9,CG9,CD9,CA9,BX9,BU9,BR9,BO9,BL9,BI9,BF9,BC9,AZ9,AW9,AT9,AQ9,AN9,AK9,AH9,AE9,AB9,Y9,V9))/V19)</f>
        <v>9000</v>
      </c>
      <c r="W20" s="13" t="str">
        <f aca="false">IF(W19=0,"",(Finance!$DL$65+SUM(DL9,DI9,DF9,DC9,CZ9,CW9,CT9,CQ9,CN9,CK9,CH9,CE9,CB9,BY9,BV9,BS9,BP9,BM9,BJ9,BG9,BD9,BA9,AX9,AU9,AR9,AO9,AL9,AI9,AF9,AC9,Z9,W9))/W19)</f>
        <v/>
      </c>
      <c r="X20" s="13" t="n">
        <f aca="false">IF(X19=0,"",(Finance!$DL$65+SUM(DM9,DJ9,DG9,DD9,DA9,CX9,CU9,CR9,CO9,CL9,CI9,CF9,CC9,BZ9,BW9,BT9,BQ9,BN9,BK9,BH9,BE9,BB9,AY9,AV9,AS9,AP9,AM9,AJ9,AG9,AD9,AA9,X9))/X19)</f>
        <v>9000</v>
      </c>
      <c r="Y20" s="13" t="n">
        <f aca="false">IF(Y19=0,"",(Finance!$DL$65+SUM(DN9,DK9,DH9,DE9,DB9,CY9,CV9,CS9,CP9,CM9,CJ9,CG9,CD9,CA9,BX9,BU9,BR9,BO9,BL9,BI9,BF9,BC9,AZ9,AW9,AT9,AQ9,AN9,AK9,AH9,AE9,AB9,Y9))/Y19)</f>
        <v>9000</v>
      </c>
      <c r="Z20" s="12" t="str">
        <f aca="false">IF(Z19=0,"",(Finance!$DL$65+SUM(DL9,DI9,DF9,DC9,CZ9,CW9,CT9,CQ9,CN9,CK9,CH9,CE9,CB9,BY9,BV9,BS9,BP9,BM9,BJ9,BG9,BD9,BA9,AX9,AU9,AR9,AO9,AL9,AI9,AF9,AC9,Z9))/Z19)</f>
        <v/>
      </c>
      <c r="AA20" s="12" t="n">
        <f aca="false">IF(AA19=0,"",(Finance!$DL$65+SUM(DM9,DJ9,DG9,DD9,DA9,CX9,CU9,CR9,CO9,CL9,CI9,CF9,CC9,BZ9,BW9,BT9,BQ9,BN9,BK9,BH9,BE9,BB9,AY9,AV9,AS9,AP9,AM9,AJ9,AG9,AD9,AA9))/AA19)</f>
        <v>9000</v>
      </c>
      <c r="AB20" s="12" t="n">
        <f aca="false">IF(AB19=0,"",(Finance!$DL$65+SUM(DN9,DK9,DH9,DE9,DB9,CY9,CV9,CS9,CP9,CM9,CJ9,CG9,CD9,CA9,BX9,BU9,BR9,BO9,BL9,BI9,BF9,BC9,AZ9,AW9,AT9,AQ9,AN9,AK9,AH9,AE9,AB9))/AB19)</f>
        <v>9000</v>
      </c>
      <c r="AC20" s="13" t="str">
        <f aca="false">IF(AC19=0,"",(Finance!$DL$65+SUM(DL9,DI9,DF9,DC9,CZ9,CW9,CT9,CQ9,CN9,CK9,CH9,CE9,CB9,BY9,BV9,BS9,BP9,BM9,BJ9,BG9,BD9,BA9,AX9,AU9,AR9,AO9,AL9,AI9,AF9,AC9))/AC19)</f>
        <v/>
      </c>
      <c r="AD20" s="13" t="n">
        <f aca="false">IF(AD19=0,"",(Finance!$DL$65+SUM(DM9,DJ9,DG9,DD9,DA9,CX9,CU9,CR9,CO9,CL9,CI9,CF9,CC9,BZ9,BW9,BT9,BQ9,BN9,BK9,BH9,BE9,BB9,AY9,AV9,AS9,AP9,AM9,AJ9,AG9,AD9))/AD19)</f>
        <v>8875</v>
      </c>
      <c r="AE20" s="13" t="n">
        <f aca="false">IF(AE19=0,"",(Finance!$DL$65+SUM(DN9,DK9,DH9,DE9,DB9,CY9,CV9,CS9,CP9,CM9,CJ9,CG9,CD9,CA9,BX9,BU9,BR9,BO9,BL9,BI9,BF9,BC9,AZ9,AW9,AT9,AQ9,AN9,AK9,AH9,AE9))/AE19)</f>
        <v>8875</v>
      </c>
      <c r="AF20" s="12" t="str">
        <f aca="false">IF(AF19=0,"",(Finance!$DL$65+SUM(DL9,DI9,DF9,DC9,CZ9,CW9,CT9,CQ9,CN9,CK9,CH9,CE9,CB9,BY9,BV9,BS9,BP9,BM9,BJ9,BG9,BD9,BA9,AX9,AU9,AR9,AO9,AL9,AI9,AF9))/AF19)</f>
        <v/>
      </c>
      <c r="AG20" s="12" t="n">
        <f aca="false">IF(AG19=0,"",(Finance!$DL$65+SUM(DM9,DJ9,DG9,DD9,DA9,CX9,CU9,CR9,CO9,CL9,CI9,CF9,CC9,BZ9,BW9,BT9,BQ9,BN9,BK9,BH9,BE9,BB9,AY9,AV9,AS9,AP9,AM9,AJ9,AG9))/AG19)</f>
        <v>8875</v>
      </c>
      <c r="AH20" s="12" t="n">
        <f aca="false">IF(AH19=0,"",(Finance!$DL$65+SUM(DN9,DK9,DH9,DE9,DB9,CY9,CV9,CS9,CP9,CM9,CJ9,CG9,CD9,CA9,BX9,BU9,BR9,BO9,BL9,BI9,BF9,BC9,AZ9,AW9,AT9,AQ9,AN9,AK9,AH9))/AH19)</f>
        <v>8875</v>
      </c>
      <c r="AI20" s="13" t="str">
        <f aca="false">IF(AI19=0,"",(Finance!$DL$65+SUM(DL9,DI9,DF9,DC9,CZ9,CW9,CT9,CQ9,CN9,CK9,CH9,CE9,CB9,BY9,BV9,BS9,BP9,BM9,BJ9,BG9,BD9,BA9,AX9,AU9,AR9,AO9,AL9,AI9))/AI19)</f>
        <v/>
      </c>
      <c r="AJ20" s="13" t="n">
        <f aca="false">IF(AJ19=0,"",(Finance!$DL$65+SUM(DM9,DJ9,DG9,DD9,DA9,CX9,CU9,CR9,CO9,CL9,CI9,CF9,CC9,BZ9,BW9,BT9,BQ9,BN9,BK9,BH9,BE9,BB9,AY9,AV9,AS9,AP9,AM9,AJ9))/AJ19)</f>
        <v>8875</v>
      </c>
      <c r="AK20" s="13" t="n">
        <f aca="false">IF(AK19=0,"",(Finance!$DL$65+SUM(DN9,DK9,DH9,DE9,DB9,CY9,CV9,CS9,CP9,CM9,CJ9,CG9,CD9,CA9,BX9,BU9,BR9,BO9,BL9,BI9,BF9,BC9,AZ9,AW9,AT9,AQ9,AN9,AK9))/AK19)</f>
        <v>8875</v>
      </c>
      <c r="AL20" s="12" t="str">
        <f aca="false">IF(AL19=0,"",(Finance!$DL$65+SUM(DL9,DI9,DF9,DC9,CZ9,CW9,CT9,CQ9,CN9,CK9,CH9,CE9,CB9,BY9,BV9,BS9,BP9,BM9,BJ9,BG9,BD9,BA9,AX9,AU9,AR9,AO9,AL9))/AL19)</f>
        <v/>
      </c>
      <c r="AM20" s="12" t="n">
        <f aca="false">IF(AM19=0,"",(Finance!$DL$65+SUM(DM9,DJ9,DG9,DD9,DA9,CX9,CU9,CR9,CO9,CL9,CI9,CF9,CC9,BZ9,BW9,BT9,BQ9,BN9,BK9,BH9,BE9,BB9,AY9,AV9,AS9,AP9,AM9))/AM19)</f>
        <v>8750</v>
      </c>
      <c r="AN20" s="12" t="n">
        <f aca="false">IF(AN19=0,"",(Finance!$DL$65+SUM(DN9,DK9,DH9,DE9,DB9,CY9,CV9,CS9,CP9,CM9,CJ9,CG9,CD9,CA9,BX9,BU9,BR9,BO9,BL9,BI9,BF9,BC9,AZ9,AW9,AT9,AQ9,AN9))/AN19)</f>
        <v>8750</v>
      </c>
      <c r="AO20" s="13" t="str">
        <f aca="false">IF(AO19=0,"",(Finance!$DL$65+SUM(DL9,DI9,DF9,DC9,CZ9,CW9,CT9,CQ9,CN9,CK9,CH9,CE9,CB9,BY9,BV9,BS9,BP9,BM9,BJ9,BG9,BD9,BA9,AX9,AU9,AR9,AO9))/AO19)</f>
        <v/>
      </c>
      <c r="AP20" s="13" t="n">
        <f aca="false">IF(AP19=0,"",(Finance!$DL$65+SUM(DM9,DJ9,DG9,DD9,DA9,CX9,CU9,CR9,CO9,CL9,CI9,CF9,CC9,BZ9,BW9,BT9,BQ9,BN9,BK9,BH9,BE9,BB9,AY9,AV9,AS9,AP9))/AP19)</f>
        <v>8500</v>
      </c>
      <c r="AQ20" s="13" t="n">
        <f aca="false">IF(AQ19=0,"",(Finance!$DL$65+SUM(DN9,DK9,DH9,DE9,DB9,CY9,CV9,CS9,CP9,CM9,CJ9,CG9,CD9,CA9,BX9,BU9,BR9,BO9,BL9,BI9,BF9,BC9,AZ9,AW9,AT9,AQ9))/AQ19)</f>
        <v>8500</v>
      </c>
      <c r="AR20" s="12" t="str">
        <f aca="false">IF(AR19=0,"",(Finance!$DL$65+SUM(DL9,DI9,DF9,DC9,CZ9,CW9,CT9,CQ9,CN9,CK9,CH9,CE9,CB9,BY9,BV9,BS9,BP9,BM9,BJ9,BG9,BD9,BA9,AX9,AU9,AR9))/AR19)</f>
        <v/>
      </c>
      <c r="AS20" s="12" t="n">
        <f aca="false">IF(AS19=0,"",(Finance!$DL$65+SUM(DM9,DJ9,DG9,DD9,DA9,CX9,CU9,CR9,CO9,CL9,CI9,CF9,CC9,BZ9,BW9,BT9,BQ9,BN9,BK9,BH9,BE9,BB9,AY9,AV9,AS9))/AS19)</f>
        <v>8250</v>
      </c>
      <c r="AT20" s="12" t="n">
        <f aca="false">IF(AT19=0,"",(Finance!$DL$65+SUM(DN9,DK9,DH9,DE9,DB9,CY9,CV9,CS9,CP9,CM9,CJ9,CG9,CD9,CA9,BX9,BU9,BR9,BO9,BL9,BI9,BF9,BC9,AZ9,AW9,AT9))/AT19)</f>
        <v>8250</v>
      </c>
      <c r="AU20" s="13" t="str">
        <f aca="false">IF(AU19=0,"",(Finance!$DL$65+SUM(DL9,DI9,DF9,DC9,CZ9,CW9,CT9,CQ9,CN9,CK9,CH9,CE9,CB9,BY9,BV9,BS9,BP9,BM9,BJ9,BG9,BD9,BA9,AX9,AU9))/AU19)</f>
        <v/>
      </c>
      <c r="AV20" s="13" t="n">
        <f aca="false">IF(AV19=0,"",(Finance!$DL$65+SUM(DM9,DJ9,DG9,DD9,DA9,CX9,CU9,CR9,CO9,CL9,CI9,CF9,CC9,BZ9,BW9,BT9,BQ9,BN9,BK9,BH9,BE9,BB9,AY9,AV9))/AV19)</f>
        <v>8000</v>
      </c>
      <c r="AW20" s="13" t="n">
        <f aca="false">IF(AW19=0,"",(Finance!$DL$65+SUM(DN9,DK9,DH9,DE9,DB9,CY9,CV9,CS9,CP9,CM9,CJ9,CG9,CD9,CA9,BX9,BU9,BR9,BO9,BL9,BI9,BF9,BC9,AZ9,AW9))/AW19)</f>
        <v>8000</v>
      </c>
      <c r="AX20" s="12" t="str">
        <f aca="false">IF(AX19=0,"",(Finance!$DL$65+SUM(DL9,DI9,DF9,DC9,CZ9,CW9,CT9,CQ9,CN9,CK9,CH9,CE9,CB9,BY9,BV9,BS9,BP9,BM9,BJ9,BG9,BD9,BA9,AX9))/AX19)</f>
        <v/>
      </c>
      <c r="AY20" s="12" t="n">
        <f aca="false">IF(AY19=0,"",(Finance!$DL$65+SUM(DM9,DJ9,DG9,DD9,DA9,CX9,CU9,CR9,CO9,CL9,CI9,CF9,CC9,BZ9,BW9,BT9,BQ9,BN9,BK9,BH9,BE9,BB9,AY9))/AY19)</f>
        <v>8000</v>
      </c>
      <c r="AZ20" s="12" t="n">
        <f aca="false">IF(AZ19=0,"",(Finance!$DL$65+SUM(DN9,DK9,DH9,DE9,DB9,CY9,CV9,CS9,CP9,CM9,CJ9,CG9,CD9,CA9,BX9,BU9,BR9,BO9,BL9,BI9,BF9,BC9,AZ9))/AZ19)</f>
        <v>8000</v>
      </c>
      <c r="BA20" s="13" t="str">
        <f aca="false">IF(BA19=0,"",(Finance!$DL$65+SUM(DL9,DI9,DF9,DC9,CZ9,CW9,CT9,CQ9,CN9,CK9,CH9,CE9,CB9,BY9,BV9,BS9,BP9,BM9,BJ9,BG9,BD9,BA9))/BA19)</f>
        <v/>
      </c>
      <c r="BB20" s="13" t="n">
        <f aca="false">IF(BB19=0,"",(Finance!$DL$65+SUM(DM9,DJ9,DG9,DD9,DA9,CX9,CU9,CR9,CO9,CL9,CI9,CF9,CC9,BZ9,BW9,BT9,BQ9,BN9,BK9,BH9,BE9,BB9))/BB19)</f>
        <v>7750</v>
      </c>
      <c r="BC20" s="13" t="n">
        <f aca="false">IF(BC19=0,"",(Finance!$DL$65+SUM(DN9,DK9,DH9,DE9,DB9,CY9,CV9,CS9,CP9,CM9,CJ9,CG9,CD9,CA9,BX9,BU9,BR9,BO9,BL9,BI9,BF9,BC9))/BC19)</f>
        <v>7750</v>
      </c>
      <c r="BD20" s="12" t="str">
        <f aca="false">IF(BD19=0,"",(Finance!$DL$65+SUM(DL9,DI9,DF9,DC9,CZ9,CW9,CT9,CQ9,CN9,CK9,CH9,CE9,CB9,BY9,BV9,BS9,BP9,BM9,BJ9,BG9,BD9))/BD19)</f>
        <v/>
      </c>
      <c r="BE20" s="12" t="n">
        <f aca="false">IF(BE19=0,"",(Finance!$DL$65+SUM(DM9,DJ9,DG9,DD9,DA9,CX9,CU9,CR9,CO9,CL9,CI9,CF9,CC9,BZ9,BW9,BT9,BQ9,BN9,BK9,BH9,BE9))/BE19)</f>
        <v>7500</v>
      </c>
      <c r="BF20" s="12" t="n">
        <f aca="false">IF(BF19=0,"",(Finance!$DL$65+SUM(DN9,DK9,DH9,DE9,DB9,CY9,CV9,CS9,CP9,CM9,CJ9,CG9,CD9,CA9,BX9,BU9,BR9,BO9,BL9,BI9,BF9))/BF19)</f>
        <v>7500</v>
      </c>
      <c r="BG20" s="13" t="str">
        <f aca="false">IF(BG19=0,"",(Finance!$DL$65+SUM(DL9,DI9,DF9,DC9,CZ9,CW9,CT9,CQ9,CN9,CK9,CH9,CE9,CB9,BY9,BV9,BS9,BP9,BM9,BJ9,BG9))/BG19)</f>
        <v/>
      </c>
      <c r="BH20" s="13" t="n">
        <f aca="false">IF(BH19=0,"",(Finance!$DL$65+SUM(DM9,DJ9,DG9,DD9,DA9,CX9,CU9,CR9,CO9,CL9,CI9,CF9,CC9,BZ9,BW9,BT9,BQ9,BN9,BK9,BH9))/BH19)</f>
        <v>7250</v>
      </c>
      <c r="BI20" s="13" t="n">
        <f aca="false">IF(BI19=0,"",(Finance!$DL$65+SUM(DN9,DK9,DH9,DE9,DB9,CY9,CV9,CS9,CP9,CM9,CJ9,CG9,CD9,CA9,BX9,BU9,BR9,BO9,BL9,BI9))/BI19)</f>
        <v>7250</v>
      </c>
      <c r="BJ20" s="12" t="str">
        <f aca="false">IF(BJ19=0,"",(Finance!$DL$65+SUM(DL9,DI9,DF9,DC9,CZ9,CW9,CT9,CQ9,CN9,CK9,CH9,CE9,CB9,BY9,BV9,BS9,BP9,BM9,BJ9))/BJ19)</f>
        <v/>
      </c>
      <c r="BK20" s="12" t="n">
        <f aca="false">IF(BK19=0,"",(Finance!$DL$65+SUM(DM9,DJ9,DG9,DD9,DA9,CX9,CU9,CR9,CO9,CL9,CI9,CF9,CC9,BZ9,BW9,BT9,BQ9,BN9,BK9))/BK19)</f>
        <v>6875</v>
      </c>
      <c r="BL20" s="12" t="n">
        <f aca="false">IF(BL19=0,"",(Finance!$DL$65+SUM(DN9,DK9,DH9,DE9,DB9,CY9,CV9,CS9,CP9,CM9,CJ9,CG9,CD9,CA9,BX9,BU9,BR9,BO9,BL9))/BL19)</f>
        <v>6875</v>
      </c>
      <c r="BM20" s="13" t="str">
        <f aca="false">IF(BM19=0,"",(Finance!$DL$65+SUM(DL9,DI9,DF9,DC9,CZ9,CW9,CT9,CQ9,CN9,CK9,CH9,CE9,CB9,BY9,BV9,BS9,BP9,BM9))/BM19)</f>
        <v/>
      </c>
      <c r="BN20" s="13" t="n">
        <f aca="false">IF(BN19=0,"",(Finance!$DL$65+SUM(DM9,DJ9,DG9,DD9,DA9,CX9,CU9,CR9,CO9,CL9,CI9,CF9,CC9,BZ9,BW9,BT9,BQ9,BN9))/BN19)</f>
        <v>6750</v>
      </c>
      <c r="BO20" s="13" t="n">
        <f aca="false">IF(BO19=0,"",(Finance!$DL$65+SUM(DN9,DK9,DH9,DE9,DB9,CY9,CV9,CS9,CP9,CM9,CJ9,CG9,CD9,CA9,BX9,BU9,BR9,BO9))/BO19)</f>
        <v>6750</v>
      </c>
      <c r="BP20" s="12" t="str">
        <f aca="false">IF(BP19=0,"",(Finance!$DL$65+SUM(DL9,DI9,DF9,DC9,CZ9,CW9,CT9,CQ9,CN9,CK9,CH9,CE9,CB9,BY9,BV9,BS9,BP9))/BP19)</f>
        <v/>
      </c>
      <c r="BQ20" s="12" t="n">
        <f aca="false">IF(BQ19=0,"",(Finance!$DL$65+SUM(DM9,DJ9,DG9,DD9,DA9,CX9,CU9,CR9,CO9,CL9,CI9,CF9,CC9,BZ9,BW9,BT9,BQ9))/BQ19)</f>
        <v>6375</v>
      </c>
      <c r="BR20" s="12" t="n">
        <f aca="false">IF(BR19=0,"",(Finance!$DL$65+SUM(DN9,DK9,DH9,DE9,DB9,CY9,CV9,CS9,CP9,CM9,CJ9,CG9,CD9,CA9,BX9,BU9,BR9))/BR19)</f>
        <v>6375</v>
      </c>
      <c r="BS20" s="13" t="str">
        <f aca="false">IF(BS19=0,"",(Finance!$DL$65+SUM(DL9,DI9,DF9,DC9,CZ9,CW9,CT9,CQ9,CN9,CK9,CH9,CE9,CB9,BY9,BV9,BS9))/BS19)</f>
        <v/>
      </c>
      <c r="BT20" s="13" t="n">
        <f aca="false">IF(BT19=0,"",(Finance!$DL$65+SUM(DM9,DJ9,DG9,DD9,DA9,CX9,CU9,CR9,CO9,CL9,CI9,CF9,CC9,BZ9,BW9,BT9))/BT19)</f>
        <v>6250</v>
      </c>
      <c r="BU20" s="13" t="n">
        <f aca="false">IF(BU19=0,"",(Finance!$DL$65+SUM(DN9,DK9,DH9,DE9,DB9,CY9,CV9,CS9,CP9,CM9,CJ9,CG9,CD9,CA9,BX9,BU9))/BU19)</f>
        <v>6250</v>
      </c>
      <c r="BV20" s="12" t="str">
        <f aca="false">IF(BV19=0,"",(Finance!$DL$65+SUM(DL9,DI9,DF9,DC9,CZ9,CW9,CT9,CQ9,CN9,CK9,CH9,CE9,CB9,BY9,BV9))/BV19)</f>
        <v/>
      </c>
      <c r="BW20" s="12" t="n">
        <f aca="false">IF(BW19=0,"",(Finance!$DL$65+SUM(DM9,DJ9,DG9,DD9,DA9,CX9,CU9,CR9,CO9,CL9,CI9,CF9,CC9,BZ9,BW9))/BW19)</f>
        <v>6000</v>
      </c>
      <c r="BX20" s="12" t="n">
        <f aca="false">IF(BX19=0,"",(Finance!$DL$65+SUM(DN9,DK9,DH9,DE9,DB9,CY9,CV9,CS9,CP9,CM9,CJ9,CG9,CD9,CA9,BX9))/BX19)</f>
        <v>6000</v>
      </c>
      <c r="BY20" s="13" t="str">
        <f aca="false">IF(BY19=0,"",(Finance!$DL$65+SUM(DL9,DI9,DF9,DC9,CZ9,CW9,CT9,CQ9,CN9,CK9,CH9,CE9,CB9,BY9))/BY19)</f>
        <v/>
      </c>
      <c r="BZ20" s="13" t="n">
        <f aca="false">IF(BZ19=0,"",(Finance!$DL$65+SUM(DM9,DJ9,DG9,DD9,DA9,CX9,CU9,CR9,CO9,CL9,CI9,CF9,CC9,BZ9))/BZ19)</f>
        <v>5875</v>
      </c>
      <c r="CA20" s="13" t="n">
        <f aca="false">IF(CA19=0,"",(Finance!$DL$65+SUM(DN9,DK9,DH9,DE9,DB9,CY9,CV9,CS9,CP9,CM9,CJ9,CG9,CD9,CA9))/CA19)</f>
        <v>5875</v>
      </c>
      <c r="CB20" s="12" t="str">
        <f aca="false">IF(CB19=0,"",(Finance!$DL$65+SUM(DL9,DI9,DF9,DC9,CZ9,CW9,CT9,CQ9,CN9,CK9,CH9,CE9,CB9))/CB19)</f>
        <v/>
      </c>
      <c r="CC20" s="12" t="n">
        <f aca="false">IF(CC19=0,"",(Finance!$DL$65+SUM(DM9,DJ9,DG9,DD9,DA9,CX9,CU9,CR9,CO9,CL9,CI9,CF9,CC9))/CC19)</f>
        <v>5625</v>
      </c>
      <c r="CD20" s="12" t="n">
        <f aca="false">IF(CD19=0,"",(Finance!$DL$65+SUM(DN9,DK9,DH9,DE9,DB9,CY9,CV9,CS9,CP9,CM9,CJ9,CG9,CD9))/CD19)</f>
        <v>5625</v>
      </c>
      <c r="CE20" s="13" t="str">
        <f aca="false">IF(CE19=0,"",(Finance!$DL$65+SUM(DL9,DI9,DF9,DC9,CZ9,CW9,CT9,CQ9,CN9,CK9,CH9,CE9))/CE19)</f>
        <v/>
      </c>
      <c r="CF20" s="13" t="n">
        <f aca="false">IF(CF19=0,"",(Finance!$DL$65+SUM(DM9,DJ9,DG9,DD9,DA9,CX9,CU9,CR9,CO9,CL9,CI9,CF9))/CF19)</f>
        <v>5500</v>
      </c>
      <c r="CG20" s="13" t="n">
        <f aca="false">IF(CG19=0,"",(Finance!$DL$65+SUM(DN9,DK9,DH9,DE9,DB9,CY9,CV9,CS9,CP9,CM9,CJ9,CG9))/CG19)</f>
        <v>5500</v>
      </c>
      <c r="CH20" s="12" t="str">
        <f aca="false">IF(CH19=0,"",(Finance!$DL$65+SUM(DL9,DI9,DF9,DC9,CZ9,CW9,CT9,CQ9,CN9,CK9,CH9))/CH19)</f>
        <v/>
      </c>
      <c r="CI20" s="12" t="n">
        <f aca="false">IF(CI19=0,"",(Finance!$DL$65+SUM(DM9,DJ9,DG9,DD9,DA9,CX9,CU9,CR9,CO9,CL9,CI9))/CI19)</f>
        <v>5500</v>
      </c>
      <c r="CJ20" s="12" t="n">
        <f aca="false">IF(CJ19=0,"",(Finance!$DL$65+SUM(DN9,DK9,DH9,DE9,DB9,CY9,CV9,CS9,CP9,CM9,CJ9))/CJ19)</f>
        <v>5500</v>
      </c>
      <c r="CK20" s="13" t="str">
        <f aca="false">IF(CK19=0,"",(Finance!$DL$65+SUM(DL9,DI9,DF9,DC9,CZ9,CW9,CT9,CQ9,CN9,CK9))/CK19)</f>
        <v/>
      </c>
      <c r="CL20" s="13" t="n">
        <f aca="false">IF(CL19=0,"",(Finance!$DL$65+SUM(DM9,DJ9,DG9,DD9,DA9,CX9,CU9,CR9,CO9,CL9))/CL19)</f>
        <v>5500</v>
      </c>
      <c r="CM20" s="13" t="n">
        <f aca="false">IF(CM19=0,"",(Finance!$DL$65+SUM(DN9,DK9,DH9,DE9,DB9,CY9,CV9,CS9,CP9,CM9))/CM19)</f>
        <v>5500</v>
      </c>
      <c r="CN20" s="12" t="str">
        <f aca="false">IF(CN19=0,"",(Finance!$DL$65+SUM(DL9,DI9,DF9,DC9,CZ9,CW9,CT9,CQ9,CN9))/CN19)</f>
        <v/>
      </c>
      <c r="CO20" s="12" t="n">
        <f aca="false">IF(CO19=0,"",(Finance!$DL$65+SUM(DM9,DJ9,DG9,DD9,DA9,CX9,CU9,CR9,CO9))/CO19)</f>
        <v>5375</v>
      </c>
      <c r="CP20" s="12" t="n">
        <f aca="false">IF(CP19=0,"",(Finance!$DL$65+SUM(DN9,DK9,DH9,DE9,DB9,CY9,CV9,CS9,CP9))/CP19)</f>
        <v>5375</v>
      </c>
      <c r="CQ20" s="13" t="str">
        <f aca="false">IF(CQ19=0,"",(Finance!$DL$65+SUM(DL9,DI9,DF9,DC9,CZ9,CW9,CT9,CQ9))/CQ19)</f>
        <v/>
      </c>
      <c r="CR20" s="13" t="n">
        <f aca="false">IF(CR19=0,"",(Finance!$DL$65+SUM(DM9,DJ9,DG9,DD9,DA9,CX9,CU9,CR9))/CR19)</f>
        <v>5250</v>
      </c>
      <c r="CS20" s="13" t="n">
        <f aca="false">IF(CS19=0,"",(Finance!$DL$65+SUM(DN9,DK9,DH9,DE9,DB9,CY9,CV9,CS9))/CS19)</f>
        <v>5250</v>
      </c>
      <c r="CT20" s="12" t="str">
        <f aca="false">IF(CT19=0,"",(Finance!$DL$65+SUM(DL9,DI9,DF9,DC9,CZ9,CW9,CT9))/CT19)</f>
        <v/>
      </c>
      <c r="CU20" s="12" t="n">
        <f aca="false">IF(CU19=0,"",(Finance!$DL$65+SUM(DM9,DJ9,DG9,DD9,DA9,CX9,CU9))/CU19)</f>
        <v>5250</v>
      </c>
      <c r="CV20" s="12" t="n">
        <f aca="false">IF(CV19=0,"",(Finance!$DL$65+SUM(DN9,DK9,DH9,DE9,DB9,CY9,CV9))/CV19)</f>
        <v>5250</v>
      </c>
      <c r="CW20" s="13" t="str">
        <f aca="false">IF(CW19=0,"",(Finance!$DL$65+SUM(DL9,DI9,DF9,DC9,CZ9,CW9))/CW19)</f>
        <v/>
      </c>
      <c r="CX20" s="13" t="n">
        <f aca="false">IF(CX19=0,"",(Finance!$DL$65+SUM(DM9,DJ9,DG9,DD9,DA9,CX9))/CX19)</f>
        <v>5125</v>
      </c>
      <c r="CY20" s="13" t="n">
        <f aca="false">IF(CY19=0,"",(Finance!$DL$65+SUM(DN9,DK9,DH9,DE9,DB9,CY9))/CY19)</f>
        <v>5125</v>
      </c>
      <c r="CZ20" s="12" t="str">
        <f aca="false">IF(CZ19=0,"",(Finance!$DL$65+SUM(DL9,DI9,DF9,DC9,CZ9))/CZ19)</f>
        <v/>
      </c>
      <c r="DA20" s="12" t="n">
        <f aca="false">IF(DA19=0,"",(Finance!$DL$65+SUM(DM9,DJ9,DG9,DD9,DA9))/DA19)</f>
        <v>5125</v>
      </c>
      <c r="DB20" s="12" t="n">
        <f aca="false">IF(DB19=0,"",(Finance!$DL$65+SUM(DN9,DK9,DH9,DE9,DB9))/DB19)</f>
        <v>5125</v>
      </c>
      <c r="DC20" s="13" t="str">
        <f aca="false">IF(DC19=0,"",(Finance!$DL$65+SUM(DL9,DI9,DF9,DC9))/DC19)</f>
        <v/>
      </c>
      <c r="DD20" s="13" t="n">
        <f aca="false">IF(DD19=0,"",(Finance!$DL$65+SUM(DM9,DJ9,DG9,DD9))/DD19)</f>
        <v>5125</v>
      </c>
      <c r="DE20" s="13" t="n">
        <f aca="false">IF(DE19=0,"",(Finance!$DL$65+SUM(DN9,DK9,DH9,DE9))/DE19)</f>
        <v>5125</v>
      </c>
      <c r="DF20" s="12" t="str">
        <f aca="false">IF(DF19=0,"",(Finance!$DL$65+SUM(DL9,DI9,DF9))/DF19)</f>
        <v/>
      </c>
      <c r="DG20" s="12" t="n">
        <f aca="false">IF(DG19=0,"",(Finance!$DL$65+SUM(DM9,DJ9,DG9))/DG19)</f>
        <v>5000</v>
      </c>
      <c r="DH20" s="12" t="n">
        <f aca="false">IF(DH19=0,"",(Finance!$DL$65+SUM(DN9,DK9,DH9))/DH19)</f>
        <v>5000</v>
      </c>
      <c r="DI20" s="13" t="n">
        <f aca="false">IF(DI19=0,"",(Finance!$DL$65+SUM(DL9,DI9))/DI19)</f>
        <v>5000</v>
      </c>
      <c r="DJ20" s="13" t="n">
        <f aca="false">IF(DJ19=0,"",(Finance!$DL$65+SUM(DM9,DJ9))/DJ19)</f>
        <v>5000</v>
      </c>
      <c r="DK20" s="13" t="n">
        <f aca="false">IF(DK19=0,"",(Finance!$DL$65+SUM(DN9,DK9))/DK19)</f>
        <v>5000</v>
      </c>
      <c r="DL20" s="12" t="n">
        <f aca="false">IF(DL19=0,"",(Finance!$DL$65+SUM(DL9))/DL19)</f>
        <v>5000</v>
      </c>
      <c r="DM20" s="12" t="n">
        <f aca="false">IF(DM19=0,"",(Finance!$DL$65+SUM(DM9))/DM19)</f>
        <v>5000</v>
      </c>
      <c r="DN20" s="12" t="n">
        <f aca="false">IF(DN19=0,"",(Finance!$DL$65+SUM(DN9))/DN19)</f>
        <v>5000</v>
      </c>
    </row>
    <row r="21" customFormat="false" ht="15.75" hidden="false" customHeight="true" outlineLevel="0" collapsed="false">
      <c r="B21" s="91"/>
      <c r="C21" s="91"/>
      <c r="D21" s="91"/>
      <c r="H21" s="91"/>
      <c r="I21" s="91"/>
      <c r="J21" s="91"/>
      <c r="N21" s="91"/>
      <c r="O21" s="91"/>
      <c r="P21" s="91"/>
      <c r="T21" s="91"/>
      <c r="U21" s="91"/>
      <c r="V21" s="91"/>
      <c r="Z21" s="91"/>
      <c r="AA21" s="91"/>
      <c r="AB21" s="91"/>
      <c r="AF21" s="91"/>
      <c r="AG21" s="91"/>
      <c r="AH21" s="91"/>
      <c r="AL21" s="91"/>
      <c r="AM21" s="91"/>
      <c r="AN21" s="91"/>
      <c r="AR21" s="91"/>
      <c r="AS21" s="91"/>
      <c r="AT21" s="91"/>
      <c r="AX21" s="91"/>
      <c r="AY21" s="91"/>
      <c r="AZ21" s="91"/>
      <c r="BD21" s="91"/>
      <c r="BE21" s="91"/>
      <c r="BF21" s="91"/>
      <c r="BJ21" s="91"/>
      <c r="BK21" s="91"/>
      <c r="BL21" s="91"/>
      <c r="BP21" s="91"/>
      <c r="BQ21" s="91"/>
      <c r="BR21" s="91"/>
      <c r="BV21" s="91"/>
      <c r="BW21" s="91"/>
      <c r="BX21" s="91"/>
      <c r="CB21" s="91"/>
      <c r="CC21" s="91"/>
      <c r="CD21" s="91"/>
      <c r="CH21" s="91"/>
      <c r="CI21" s="91"/>
      <c r="CJ21" s="91"/>
      <c r="CN21" s="91"/>
      <c r="CO21" s="91"/>
      <c r="CP21" s="91"/>
      <c r="CT21" s="91"/>
      <c r="CU21" s="91"/>
      <c r="CV21" s="91"/>
      <c r="CZ21" s="91"/>
      <c r="DA21" s="91"/>
      <c r="DB21" s="91"/>
      <c r="DF21" s="91"/>
      <c r="DG21" s="91"/>
      <c r="DH21" s="91"/>
      <c r="DL21" s="91"/>
      <c r="DM21" s="91"/>
      <c r="DN21" s="91"/>
    </row>
    <row r="22" customFormat="false" ht="15.75" hidden="false" customHeight="true" outlineLevel="0" collapsed="false">
      <c r="A22" s="5" t="s">
        <v>158</v>
      </c>
      <c r="B22" s="12" t="str">
        <f aca="false">IF(COUNT(AR22,AO22,AL22,AI22,AF22,AC22,Z22,W22,T22,Q22,N22,K22)=0,"",SUM(AR22,AO22,AL22,AI22,AF22,AC22,Z22,W22,T22,Q22,N22,K22))</f>
        <v/>
      </c>
      <c r="C22" s="12" t="n">
        <f aca="false">IF(COUNT(AS22,AP22,AM22,AJ22,AG22,AD22,AA22,X22,U22,R22,O22,L22)=0,"",SUM(AS22,AP22,AM22,AJ22,AG22,AD22,AA22,X22,U22,R22,O22,L22))</f>
        <v>1284000</v>
      </c>
      <c r="D22" s="12" t="n">
        <f aca="false">IF(COUNT(AT22,AQ22,AN22,AK22,AH22,AE22,AB22,Y22,V22,S22,P22,M22)=0,"",SUM(AT22,AQ22,AN22,AK22,AH22,AE22,AB22,Y22,V22,S22,P22,M22))</f>
        <v>1284000</v>
      </c>
      <c r="E22" s="13" t="str">
        <f aca="false">IF(COUNT(CB22,BY22,BV22,BS22,BP22,BM22,BJ22,BG22,BD22,BA22,AX22,AU22)=0,"",SUM(CB22,BY22,BV22,BS22,BP22,BM22,BJ22,BG22,BD22,BA22,AX22,AU22))</f>
        <v/>
      </c>
      <c r="F22" s="13" t="n">
        <f aca="false">IF(COUNT(CC22,BZ22,BW22,BT22,BQ22,BN22,BK22,BH22,BE22,BB22,AY22,AV22)=0,"",SUM(CC22,BZ22,BW22,BT22,BQ22,BN22,BK22,BH22,BE22,BB22,AY22,AV22))</f>
        <v>1249000</v>
      </c>
      <c r="G22" s="13" t="n">
        <f aca="false">IF(COUNT(CD22,CA22,BX22,BU22,BR22,BO22,BL22,BI22,BF22,BC22,AZ22,AW22)=0,"",SUM(CD22,CA22,BX22,BU22,BR22,BO22,BL22,BI22,BF22,BC22,AZ22,AW22))</f>
        <v>1249000</v>
      </c>
      <c r="H22" s="12" t="n">
        <f aca="false">IF(COUNT(DL22,DI22,DF22,DC22,CZ22,CW22,CT22,CQ22,CN22,CK22,CH22,CE22)=0,"",SUM(DL22,DI22,DF22,DC22,CZ22,CW22,CT22,CQ22,CN22,CK22,CH22,CE22))</f>
        <v>200000</v>
      </c>
      <c r="I22" s="12" t="n">
        <f aca="false">IF(COUNT(DM22,DJ22,DG22,DD22,DA22,CX22,CU22,CR22,CO22,CL22,CI22,CF22)=0,"",SUM(DM22,DJ22,DG22,DD22,DA22,CX22,CU22,CR22,CO22,CL22,CI22,CF22))</f>
        <v>1200000</v>
      </c>
      <c r="J22" s="12" t="n">
        <f aca="false">IF(COUNT(DN22,DK22,DH22,DE22,DB22,CY22,CV22,CS22,CP22,CM22,CJ22,CG22)=0,"",SUM(DN22,DK22,DH22,DE22,DB22,CY22,CV22,CS22,CP22,CM22,CJ22,CG22))</f>
        <v>1200000</v>
      </c>
      <c r="K22" s="13" t="str">
        <f aca="false">IF(COUNT(K49)=1,K49,"")</f>
        <v/>
      </c>
      <c r="L22" s="13" t="n">
        <f aca="false">L49</f>
        <v>107000</v>
      </c>
      <c r="M22" s="13" t="n">
        <f aca="false">M49</f>
        <v>107000</v>
      </c>
      <c r="N22" s="12" t="str">
        <f aca="false">IF(COUNT(N49)=1,N49,"")</f>
        <v/>
      </c>
      <c r="O22" s="12" t="n">
        <f aca="false">O49</f>
        <v>107000</v>
      </c>
      <c r="P22" s="12" t="n">
        <f aca="false">P49</f>
        <v>107000</v>
      </c>
      <c r="Q22" s="13" t="str">
        <f aca="false">IF(COUNT(Q49)=1,Q49,"")</f>
        <v/>
      </c>
      <c r="R22" s="13" t="n">
        <f aca="false">R49</f>
        <v>107000</v>
      </c>
      <c r="S22" s="13" t="n">
        <f aca="false">S49</f>
        <v>107000</v>
      </c>
      <c r="T22" s="12" t="str">
        <f aca="false">IF(COUNT(T49)=1,T49,"")</f>
        <v/>
      </c>
      <c r="U22" s="12" t="n">
        <f aca="false">U49</f>
        <v>107000</v>
      </c>
      <c r="V22" s="12" t="n">
        <f aca="false">V49</f>
        <v>107000</v>
      </c>
      <c r="W22" s="13" t="str">
        <f aca="false">IF(COUNT(W49)=1,W49,"")</f>
        <v/>
      </c>
      <c r="X22" s="13" t="n">
        <f aca="false">X49</f>
        <v>107000</v>
      </c>
      <c r="Y22" s="13" t="n">
        <f aca="false">Y49</f>
        <v>107000</v>
      </c>
      <c r="Z22" s="12" t="str">
        <f aca="false">IF(COUNT(Z49)=1,Z49,"")</f>
        <v/>
      </c>
      <c r="AA22" s="12" t="n">
        <f aca="false">AA49</f>
        <v>107000</v>
      </c>
      <c r="AB22" s="12" t="n">
        <f aca="false">AB49</f>
        <v>107000</v>
      </c>
      <c r="AC22" s="13" t="str">
        <f aca="false">IF(COUNT(AC49)=1,AC49,"")</f>
        <v/>
      </c>
      <c r="AD22" s="13" t="n">
        <f aca="false">AD49</f>
        <v>107000</v>
      </c>
      <c r="AE22" s="13" t="n">
        <f aca="false">AE49</f>
        <v>107000</v>
      </c>
      <c r="AF22" s="12" t="str">
        <f aca="false">IF(COUNT(AF49)=1,AF49,"")</f>
        <v/>
      </c>
      <c r="AG22" s="12" t="n">
        <f aca="false">AG49</f>
        <v>107000</v>
      </c>
      <c r="AH22" s="12" t="n">
        <f aca="false">AH49</f>
        <v>107000</v>
      </c>
      <c r="AI22" s="13" t="str">
        <f aca="false">IF(COUNT(AI49)=1,AI49,"")</f>
        <v/>
      </c>
      <c r="AJ22" s="13" t="n">
        <f aca="false">AJ49</f>
        <v>107000</v>
      </c>
      <c r="AK22" s="13" t="n">
        <f aca="false">AK49</f>
        <v>107000</v>
      </c>
      <c r="AL22" s="12" t="str">
        <f aca="false">IF(COUNT(AL49)=1,AL49,"")</f>
        <v/>
      </c>
      <c r="AM22" s="12" t="n">
        <f aca="false">AM49</f>
        <v>107000</v>
      </c>
      <c r="AN22" s="12" t="n">
        <f aca="false">AN49</f>
        <v>107000</v>
      </c>
      <c r="AO22" s="13" t="str">
        <f aca="false">IF(COUNT(AO49)=1,AO49,"")</f>
        <v/>
      </c>
      <c r="AP22" s="13" t="n">
        <f aca="false">AP49</f>
        <v>107000</v>
      </c>
      <c r="AQ22" s="13" t="n">
        <f aca="false">AQ49</f>
        <v>107000</v>
      </c>
      <c r="AR22" s="12" t="str">
        <f aca="false">IF(COUNT(AR49)=1,AR49,"")</f>
        <v/>
      </c>
      <c r="AS22" s="12" t="n">
        <f aca="false">AS49</f>
        <v>107000</v>
      </c>
      <c r="AT22" s="12" t="n">
        <f aca="false">AT49</f>
        <v>107000</v>
      </c>
      <c r="AU22" s="13" t="str">
        <f aca="false">IF(COUNT(AU49)=1,AU49,"")</f>
        <v/>
      </c>
      <c r="AV22" s="13" t="n">
        <f aca="false">AV49</f>
        <v>107000</v>
      </c>
      <c r="AW22" s="13" t="n">
        <f aca="false">AW49</f>
        <v>107000</v>
      </c>
      <c r="AX22" s="12" t="str">
        <f aca="false">IF(COUNT(AX49)=1,AX49,"")</f>
        <v/>
      </c>
      <c r="AY22" s="12" t="n">
        <f aca="false">AY49</f>
        <v>107000</v>
      </c>
      <c r="AZ22" s="12" t="n">
        <f aca="false">AZ49</f>
        <v>107000</v>
      </c>
      <c r="BA22" s="13" t="str">
        <f aca="false">IF(COUNT(BA49)=1,BA49,"")</f>
        <v/>
      </c>
      <c r="BB22" s="13" t="n">
        <f aca="false">BB49</f>
        <v>107000</v>
      </c>
      <c r="BC22" s="13" t="n">
        <f aca="false">BC49</f>
        <v>107000</v>
      </c>
      <c r="BD22" s="12" t="str">
        <f aca="false">IF(COUNT(BD49)=1,BD49,"")</f>
        <v/>
      </c>
      <c r="BE22" s="12" t="n">
        <f aca="false">BE49</f>
        <v>107000</v>
      </c>
      <c r="BF22" s="12" t="n">
        <f aca="false">BF49</f>
        <v>107000</v>
      </c>
      <c r="BG22" s="13" t="str">
        <f aca="false">IF(COUNT(BG49)=1,BG49,"")</f>
        <v/>
      </c>
      <c r="BH22" s="13" t="n">
        <f aca="false">BH49</f>
        <v>107000</v>
      </c>
      <c r="BI22" s="13" t="n">
        <f aca="false">BI49</f>
        <v>107000</v>
      </c>
      <c r="BJ22" s="12" t="str">
        <f aca="false">IF(COUNT(BJ49)=1,BJ49,"")</f>
        <v/>
      </c>
      <c r="BK22" s="12" t="n">
        <f aca="false">BK49</f>
        <v>107000</v>
      </c>
      <c r="BL22" s="12" t="n">
        <f aca="false">BL49</f>
        <v>107000</v>
      </c>
      <c r="BM22" s="13" t="str">
        <f aca="false">IF(COUNT(BM49)=1,BM49,"")</f>
        <v/>
      </c>
      <c r="BN22" s="13" t="n">
        <f aca="false">BN49</f>
        <v>107000</v>
      </c>
      <c r="BO22" s="13" t="n">
        <f aca="false">BO49</f>
        <v>107000</v>
      </c>
      <c r="BP22" s="12" t="str">
        <f aca="false">IF(COUNT(BP49)=1,BP49,"")</f>
        <v/>
      </c>
      <c r="BQ22" s="12" t="n">
        <f aca="false">BQ49</f>
        <v>100000</v>
      </c>
      <c r="BR22" s="12" t="n">
        <f aca="false">BR49</f>
        <v>100000</v>
      </c>
      <c r="BS22" s="13" t="str">
        <f aca="false">IF(COUNT(BS49)=1,BS49,"")</f>
        <v/>
      </c>
      <c r="BT22" s="13" t="n">
        <f aca="false">BT49</f>
        <v>100000</v>
      </c>
      <c r="BU22" s="13" t="n">
        <f aca="false">BU49</f>
        <v>100000</v>
      </c>
      <c r="BV22" s="12" t="str">
        <f aca="false">IF(COUNT(BV49)=1,BV49,"")</f>
        <v/>
      </c>
      <c r="BW22" s="12" t="n">
        <f aca="false">BW49</f>
        <v>100000</v>
      </c>
      <c r="BX22" s="12" t="n">
        <f aca="false">BX49</f>
        <v>100000</v>
      </c>
      <c r="BY22" s="13" t="str">
        <f aca="false">IF(COUNT(BY49)=1,BY49,"")</f>
        <v/>
      </c>
      <c r="BZ22" s="13" t="n">
        <f aca="false">BZ49</f>
        <v>100000</v>
      </c>
      <c r="CA22" s="13" t="n">
        <f aca="false">CA49</f>
        <v>100000</v>
      </c>
      <c r="CB22" s="12" t="str">
        <f aca="false">IF(COUNT(CB49)=1,CB49,"")</f>
        <v/>
      </c>
      <c r="CC22" s="12" t="n">
        <f aca="false">CC49</f>
        <v>100000</v>
      </c>
      <c r="CD22" s="12" t="n">
        <f aca="false">CD49</f>
        <v>100000</v>
      </c>
      <c r="CE22" s="13" t="str">
        <f aca="false">IF(COUNT(CE49)=1,CE49,"")</f>
        <v/>
      </c>
      <c r="CF22" s="13" t="n">
        <f aca="false">CF49</f>
        <v>100000</v>
      </c>
      <c r="CG22" s="13" t="n">
        <f aca="false">CG49</f>
        <v>100000</v>
      </c>
      <c r="CH22" s="12" t="str">
        <f aca="false">IF(COUNT(CH49)=1,CH49,"")</f>
        <v/>
      </c>
      <c r="CI22" s="12" t="n">
        <f aca="false">CI49</f>
        <v>100000</v>
      </c>
      <c r="CJ22" s="12" t="n">
        <f aca="false">CJ49</f>
        <v>100000</v>
      </c>
      <c r="CK22" s="13" t="str">
        <f aca="false">IF(COUNT(CK49)=1,CK49,"")</f>
        <v/>
      </c>
      <c r="CL22" s="13" t="n">
        <f aca="false">CL49</f>
        <v>100000</v>
      </c>
      <c r="CM22" s="13" t="n">
        <f aca="false">CM49</f>
        <v>100000</v>
      </c>
      <c r="CN22" s="12" t="str">
        <f aca="false">IF(COUNT(CN49)=1,CN49,"")</f>
        <v/>
      </c>
      <c r="CO22" s="12" t="n">
        <f aca="false">CO49</f>
        <v>100000</v>
      </c>
      <c r="CP22" s="12" t="n">
        <f aca="false">CP49</f>
        <v>100000</v>
      </c>
      <c r="CQ22" s="13" t="str">
        <f aca="false">IF(COUNT(CQ49)=1,CQ49,"")</f>
        <v/>
      </c>
      <c r="CR22" s="13" t="n">
        <f aca="false">CR49</f>
        <v>100000</v>
      </c>
      <c r="CS22" s="13" t="n">
        <f aca="false">CS49</f>
        <v>100000</v>
      </c>
      <c r="CT22" s="12" t="str">
        <f aca="false">IF(COUNT(CT49)=1,CT49,"")</f>
        <v/>
      </c>
      <c r="CU22" s="12" t="n">
        <f aca="false">CU49</f>
        <v>100000</v>
      </c>
      <c r="CV22" s="12" t="n">
        <f aca="false">CV49</f>
        <v>100000</v>
      </c>
      <c r="CW22" s="13" t="str">
        <f aca="false">IF(COUNT(CW49)=1,CW49,"")</f>
        <v/>
      </c>
      <c r="CX22" s="13" t="n">
        <f aca="false">CX49</f>
        <v>100000</v>
      </c>
      <c r="CY22" s="13" t="n">
        <f aca="false">CY49</f>
        <v>100000</v>
      </c>
      <c r="CZ22" s="12" t="str">
        <f aca="false">IF(COUNT(CZ49)=1,CZ49,"")</f>
        <v/>
      </c>
      <c r="DA22" s="12" t="n">
        <f aca="false">DA49</f>
        <v>100000</v>
      </c>
      <c r="DB22" s="12" t="n">
        <f aca="false">DB49</f>
        <v>100000</v>
      </c>
      <c r="DC22" s="13" t="str">
        <f aca="false">IF(COUNT(DC49)=1,DC49,"")</f>
        <v/>
      </c>
      <c r="DD22" s="13" t="n">
        <f aca="false">DD49</f>
        <v>100000</v>
      </c>
      <c r="DE22" s="13" t="n">
        <f aca="false">DE49</f>
        <v>100000</v>
      </c>
      <c r="DF22" s="12" t="str">
        <f aca="false">IF(COUNT(DF49)=1,DF49,"")</f>
        <v/>
      </c>
      <c r="DG22" s="12" t="n">
        <f aca="false">DG49</f>
        <v>100000</v>
      </c>
      <c r="DH22" s="12" t="n">
        <f aca="false">DH49</f>
        <v>100000</v>
      </c>
      <c r="DI22" s="13" t="n">
        <f aca="false">IF(COUNT(DI49)=1,DI49,"")</f>
        <v>100000</v>
      </c>
      <c r="DJ22" s="13" t="n">
        <f aca="false">DJ49</f>
        <v>100000</v>
      </c>
      <c r="DK22" s="13" t="n">
        <f aca="false">DK49</f>
        <v>100000</v>
      </c>
      <c r="DL22" s="12" t="n">
        <f aca="false">IF(COUNT(DL49)=1,DL49,"")</f>
        <v>100000</v>
      </c>
      <c r="DM22" s="12" t="n">
        <f aca="false">DM49</f>
        <v>100000</v>
      </c>
      <c r="DN22" s="12" t="n">
        <f aca="false">DN49</f>
        <v>100000</v>
      </c>
    </row>
    <row r="23" customFormat="false" ht="15.75" hidden="false" customHeight="true" outlineLevel="0" collapsed="false">
      <c r="A23" s="5" t="s">
        <v>159</v>
      </c>
      <c r="B23" s="12" t="str">
        <f aca="false">IF(COUNT(AR23,AO23,AL23,AI23,AF23,AC23,Z23,W23,T23,Q23,N23,K23)=0,"",SUM(AR23,AO23,AL23,AI23,AF23,AC23,Z23,W23,T23,Q23,N23,K23))</f>
        <v/>
      </c>
      <c r="C23" s="12" t="n">
        <f aca="false">IF(COUNT(AS23,AP23,AM23,AJ23,AG23,AD23,AA23,X23,U23,R23,O23,L23)=0,"",SUM(AS23,AP23,AM23,AJ23,AG23,AD23,AA23,X23,U23,R23,O23,L23))</f>
        <v>24000</v>
      </c>
      <c r="D23" s="12" t="n">
        <f aca="false">IF(COUNT(AT23,AQ23,AN23,AK23,AH23,AE23,AB23,Y23,V23,S23,P23,M23)=0,"",SUM(AT23,AQ23,AN23,AK23,AH23,AE23,AB23,Y23,V23,S23,P23,M23))</f>
        <v>24000</v>
      </c>
      <c r="E23" s="13" t="str">
        <f aca="false">IF(COUNT(CB23,BY23,BV23,BS23,BP23,BM23,BJ23,BG23,BD23,BA23,AX23,AU23)=0,"",SUM(CB23,BY23,BV23,BS23,BP23,BM23,BJ23,BG23,BD23,BA23,AX23,AU23))</f>
        <v/>
      </c>
      <c r="F23" s="13" t="n">
        <f aca="false">IF(COUNT(CC23,BZ23,BW23,BT23,BQ23,BN23,BK23,BH23,BE23,BB23,AY23,AV23)=0,"",SUM(CC23,BZ23,BW23,BT23,BQ23,BN23,BK23,BH23,BE23,BB23,AY23,AV23))</f>
        <v>24000</v>
      </c>
      <c r="G23" s="13" t="n">
        <f aca="false">IF(COUNT(CD23,CA23,BX23,BU23,BR23,BO23,BL23,BI23,BF23,BC23,AZ23,AW23)=0,"",SUM(CD23,CA23,BX23,BU23,BR23,BO23,BL23,BI23,BF23,BC23,AZ23,AW23))</f>
        <v>24000</v>
      </c>
      <c r="H23" s="12" t="n">
        <f aca="false">IF(COUNT(DL23,DI23,DF23,DC23,CZ23,CW23,CT23,CQ23,CN23,CK23,CH23,CE23)=0,"",SUM(DL23,DI23,DF23,DC23,CZ23,CW23,CT23,CQ23,CN23,CK23,CH23,CE23))</f>
        <v>4000</v>
      </c>
      <c r="I23" s="12" t="n">
        <f aca="false">IF(COUNT(DM23,DJ23,DG23,DD23,DA23,CX23,CU23,CR23,CO23,CL23,CI23,CF23)=0,"",SUM(DM23,DJ23,DG23,DD23,DA23,CX23,CU23,CR23,CO23,CL23,CI23,CF23))</f>
        <v>24000</v>
      </c>
      <c r="J23" s="12" t="n">
        <f aca="false">IF(COUNT(DN23,DK23,DH23,DE23,DB23,CY23,CV23,CS23,CP23,CM23,CJ23,CG23)=0,"",SUM(DN23,DK23,DH23,DE23,DB23,CY23,CV23,CS23,CP23,CM23,CJ23,CG23))</f>
        <v>24000</v>
      </c>
      <c r="K23" s="13"/>
      <c r="L23" s="13" t="n">
        <f aca="false">IF('Cash Drivers'!L$26,Finance!K23,Finance!M23)</f>
        <v>2000</v>
      </c>
      <c r="M23" s="89" t="n">
        <v>2000</v>
      </c>
      <c r="N23" s="12"/>
      <c r="O23" s="12" t="n">
        <f aca="false">IF('Cash Drivers'!O$26,Finance!N23,Finance!P23)</f>
        <v>2000</v>
      </c>
      <c r="P23" s="90" t="n">
        <v>2000</v>
      </c>
      <c r="Q23" s="13"/>
      <c r="R23" s="13" t="n">
        <f aca="false">IF('Cash Drivers'!R$26,Finance!Q23,Finance!S23)</f>
        <v>2000</v>
      </c>
      <c r="S23" s="89" t="n">
        <v>2000</v>
      </c>
      <c r="T23" s="12"/>
      <c r="U23" s="12" t="n">
        <f aca="false">IF('Cash Drivers'!U$26,Finance!T23,Finance!V23)</f>
        <v>2000</v>
      </c>
      <c r="V23" s="90" t="n">
        <v>2000</v>
      </c>
      <c r="W23" s="13"/>
      <c r="X23" s="13" t="n">
        <f aca="false">IF('Cash Drivers'!X$26,Finance!W23,Finance!Y23)</f>
        <v>2000</v>
      </c>
      <c r="Y23" s="89" t="n">
        <v>2000</v>
      </c>
      <c r="Z23" s="12"/>
      <c r="AA23" s="12" t="n">
        <f aca="false">IF('Cash Drivers'!AA$26,Finance!Z23,Finance!AB23)</f>
        <v>2000</v>
      </c>
      <c r="AB23" s="90" t="n">
        <v>2000</v>
      </c>
      <c r="AC23" s="13"/>
      <c r="AD23" s="13" t="n">
        <f aca="false">IF('Cash Drivers'!AD$26,Finance!AC23,Finance!AE23)</f>
        <v>2000</v>
      </c>
      <c r="AE23" s="89" t="n">
        <v>2000</v>
      </c>
      <c r="AF23" s="12"/>
      <c r="AG23" s="12" t="n">
        <f aca="false">IF('Cash Drivers'!AG$26,Finance!AF23,Finance!AH23)</f>
        <v>2000</v>
      </c>
      <c r="AH23" s="90" t="n">
        <v>2000</v>
      </c>
      <c r="AI23" s="13"/>
      <c r="AJ23" s="13" t="n">
        <f aca="false">IF('Cash Drivers'!AJ$26,Finance!AI23,Finance!AK23)</f>
        <v>2000</v>
      </c>
      <c r="AK23" s="89" t="n">
        <v>2000</v>
      </c>
      <c r="AL23" s="12"/>
      <c r="AM23" s="12" t="n">
        <f aca="false">IF('Cash Drivers'!AM$26,Finance!AL23,Finance!AN23)</f>
        <v>2000</v>
      </c>
      <c r="AN23" s="90" t="n">
        <v>2000</v>
      </c>
      <c r="AO23" s="13"/>
      <c r="AP23" s="13" t="n">
        <f aca="false">IF('Cash Drivers'!AP$26,Finance!AO23,Finance!AQ23)</f>
        <v>2000</v>
      </c>
      <c r="AQ23" s="89" t="n">
        <v>2000</v>
      </c>
      <c r="AR23" s="12"/>
      <c r="AS23" s="12" t="n">
        <f aca="false">IF('Cash Drivers'!AS$26,Finance!AR23,Finance!AT23)</f>
        <v>2000</v>
      </c>
      <c r="AT23" s="90" t="n">
        <v>2000</v>
      </c>
      <c r="AU23" s="13"/>
      <c r="AV23" s="13" t="n">
        <f aca="false">IF('Cash Drivers'!AV$26,Finance!AU23,Finance!AW23)</f>
        <v>2000</v>
      </c>
      <c r="AW23" s="89" t="n">
        <v>2000</v>
      </c>
      <c r="AX23" s="12"/>
      <c r="AY23" s="12" t="n">
        <f aca="false">IF('Cash Drivers'!AY$26,Finance!AX23,Finance!AZ23)</f>
        <v>2000</v>
      </c>
      <c r="AZ23" s="90" t="n">
        <v>2000</v>
      </c>
      <c r="BA23" s="13"/>
      <c r="BB23" s="13" t="n">
        <f aca="false">IF('Cash Drivers'!BB$26,Finance!BA23,Finance!BC23)</f>
        <v>2000</v>
      </c>
      <c r="BC23" s="89" t="n">
        <v>2000</v>
      </c>
      <c r="BD23" s="12"/>
      <c r="BE23" s="12" t="n">
        <f aca="false">IF('Cash Drivers'!BE$26,Finance!BD23,Finance!BF23)</f>
        <v>2000</v>
      </c>
      <c r="BF23" s="90" t="n">
        <v>2000</v>
      </c>
      <c r="BG23" s="13"/>
      <c r="BH23" s="13" t="n">
        <f aca="false">IF('Cash Drivers'!BH$26,Finance!BG23,Finance!BI23)</f>
        <v>2000</v>
      </c>
      <c r="BI23" s="89" t="n">
        <v>2000</v>
      </c>
      <c r="BJ23" s="12"/>
      <c r="BK23" s="12" t="n">
        <f aca="false">IF('Cash Drivers'!BK$26,Finance!BJ23,Finance!BL23)</f>
        <v>2000</v>
      </c>
      <c r="BL23" s="90" t="n">
        <v>2000</v>
      </c>
      <c r="BM23" s="13"/>
      <c r="BN23" s="13" t="n">
        <f aca="false">IF('Cash Drivers'!BN$26,Finance!BM23,Finance!BO23)</f>
        <v>2000</v>
      </c>
      <c r="BO23" s="89" t="n">
        <v>2000</v>
      </c>
      <c r="BP23" s="12"/>
      <c r="BQ23" s="12" t="n">
        <f aca="false">IF('Cash Drivers'!BQ$26,Finance!BP23,Finance!BR23)</f>
        <v>2000</v>
      </c>
      <c r="BR23" s="90" t="n">
        <v>2000</v>
      </c>
      <c r="BS23" s="13"/>
      <c r="BT23" s="13" t="n">
        <f aca="false">IF('Cash Drivers'!BT$26,Finance!BS23,Finance!BU23)</f>
        <v>2000</v>
      </c>
      <c r="BU23" s="89" t="n">
        <v>2000</v>
      </c>
      <c r="BV23" s="12"/>
      <c r="BW23" s="12" t="n">
        <f aca="false">IF('Cash Drivers'!BW$26,Finance!BV23,Finance!BX23)</f>
        <v>2000</v>
      </c>
      <c r="BX23" s="90" t="n">
        <v>2000</v>
      </c>
      <c r="BY23" s="13"/>
      <c r="BZ23" s="13" t="n">
        <f aca="false">IF('Cash Drivers'!BZ$26,Finance!BY23,Finance!CA23)</f>
        <v>2000</v>
      </c>
      <c r="CA23" s="89" t="n">
        <v>2000</v>
      </c>
      <c r="CB23" s="12"/>
      <c r="CC23" s="12" t="n">
        <f aca="false">IF('Cash Drivers'!CC$26,Finance!CB23,Finance!CD23)</f>
        <v>2000</v>
      </c>
      <c r="CD23" s="90" t="n">
        <v>2000</v>
      </c>
      <c r="CE23" s="13"/>
      <c r="CF23" s="13" t="n">
        <f aca="false">IF('Cash Drivers'!CF$26,Finance!CE23,Finance!CG23)</f>
        <v>2000</v>
      </c>
      <c r="CG23" s="89" t="n">
        <v>2000</v>
      </c>
      <c r="CH23" s="12"/>
      <c r="CI23" s="12" t="n">
        <f aca="false">IF('Cash Drivers'!CI$26,Finance!CH23,Finance!CJ23)</f>
        <v>2000</v>
      </c>
      <c r="CJ23" s="90" t="n">
        <v>2000</v>
      </c>
      <c r="CK23" s="13"/>
      <c r="CL23" s="13" t="n">
        <f aca="false">IF('Cash Drivers'!CL$26,Finance!CK23,Finance!CM23)</f>
        <v>2000</v>
      </c>
      <c r="CM23" s="89" t="n">
        <v>2000</v>
      </c>
      <c r="CN23" s="12"/>
      <c r="CO23" s="12" t="n">
        <f aca="false">IF('Cash Drivers'!CO$26,Finance!CN23,Finance!CP23)</f>
        <v>2000</v>
      </c>
      <c r="CP23" s="90" t="n">
        <v>2000</v>
      </c>
      <c r="CQ23" s="13"/>
      <c r="CR23" s="13" t="n">
        <f aca="false">IF('Cash Drivers'!CR$26,Finance!CQ23,Finance!CS23)</f>
        <v>2000</v>
      </c>
      <c r="CS23" s="89" t="n">
        <v>2000</v>
      </c>
      <c r="CT23" s="12"/>
      <c r="CU23" s="12" t="n">
        <f aca="false">IF('Cash Drivers'!CU$26,Finance!CT23,Finance!CV23)</f>
        <v>2000</v>
      </c>
      <c r="CV23" s="90" t="n">
        <v>2000</v>
      </c>
      <c r="CW23" s="13"/>
      <c r="CX23" s="13" t="n">
        <f aca="false">IF('Cash Drivers'!CX$26,Finance!CW23,Finance!CY23)</f>
        <v>2000</v>
      </c>
      <c r="CY23" s="89" t="n">
        <v>2000</v>
      </c>
      <c r="CZ23" s="12"/>
      <c r="DA23" s="12" t="n">
        <f aca="false">IF('Cash Drivers'!DA$26,Finance!CZ23,Finance!DB23)</f>
        <v>2000</v>
      </c>
      <c r="DB23" s="90" t="n">
        <v>2000</v>
      </c>
      <c r="DC23" s="13"/>
      <c r="DD23" s="13" t="n">
        <f aca="false">IF('Cash Drivers'!DD$26,Finance!DC23,Finance!DE23)</f>
        <v>2000</v>
      </c>
      <c r="DE23" s="89" t="n">
        <v>2000</v>
      </c>
      <c r="DF23" s="12"/>
      <c r="DG23" s="12" t="n">
        <f aca="false">IF('Cash Drivers'!DG$26,Finance!DF23,Finance!DH23)</f>
        <v>2000</v>
      </c>
      <c r="DH23" s="90" t="n">
        <v>2000</v>
      </c>
      <c r="DI23" s="89" t="n">
        <v>2000</v>
      </c>
      <c r="DJ23" s="13" t="n">
        <f aca="false">IF('Cash Drivers'!DJ$26,Finance!DI23,Finance!DK23)</f>
        <v>2000</v>
      </c>
      <c r="DK23" s="89" t="n">
        <v>2000</v>
      </c>
      <c r="DL23" s="90" t="n">
        <v>2000</v>
      </c>
      <c r="DM23" s="12" t="n">
        <f aca="false">IF('Cash Drivers'!DM$26,Finance!DL23,Finance!DN23)</f>
        <v>2000</v>
      </c>
      <c r="DN23" s="90" t="n">
        <v>2000</v>
      </c>
    </row>
    <row r="24" customFormat="false" ht="15.75" hidden="false" customHeight="true" outlineLevel="0" collapsed="false">
      <c r="A24" s="5" t="s">
        <v>160</v>
      </c>
      <c r="B24" s="12" t="str">
        <f aca="false">IF(COUNT(AR24,AO24,AL24,AI24,AF24,AC24,Z24,W24,T24,Q24,N24,K24)=0,"",SUM(AR24,AO24,AL24,AI24,AF24,AC24,Z24,W24,T24,Q24,N24,K24))</f>
        <v/>
      </c>
      <c r="C24" s="12" t="n">
        <f aca="false">IF(COUNT(AS24,AP24,AM24,AJ24,AG24,AD24,AA24,X24,U24,R24,O24,L24)=0,"",SUM(AS24,AP24,AM24,AJ24,AG24,AD24,AA24,X24,U24,R24,O24,L24))</f>
        <v>282480</v>
      </c>
      <c r="D24" s="12" t="n">
        <f aca="false">IF(COUNT(AT24,AQ24,AN24,AK24,AH24,AE24,AB24,Y24,V24,S24,P24,M24)=0,"",SUM(AT24,AQ24,AN24,AK24,AH24,AE24,AB24,Y24,V24,S24,P24,M24))</f>
        <v>282480</v>
      </c>
      <c r="E24" s="13" t="str">
        <f aca="false">IF(COUNT(CB24,BY24,BV24,BS24,BP24,BM24,BJ24,BG24,BD24,BA24,AX24,AU24)=0,"",SUM(CB24,BY24,BV24,BS24,BP24,BM24,BJ24,BG24,BD24,BA24,AX24,AU24))</f>
        <v/>
      </c>
      <c r="F24" s="13" t="n">
        <f aca="false">IF(COUNT(CC24,BZ24,BW24,BT24,BQ24,BN24,BK24,BH24,BE24,BB24,AY24,AV24)=0,"",SUM(CC24,BZ24,BW24,BT24,BQ24,BN24,BK24,BH24,BE24,BB24,AY24,AV24))</f>
        <v>274780</v>
      </c>
      <c r="G24" s="13" t="n">
        <f aca="false">IF(COUNT(CD24,CA24,BX24,BU24,BR24,BO24,BL24,BI24,BF24,BC24,AZ24,AW24)=0,"",SUM(CD24,CA24,BX24,BU24,BR24,BO24,BL24,BI24,BF24,BC24,AZ24,AW24))</f>
        <v>274780</v>
      </c>
      <c r="H24" s="12" t="n">
        <f aca="false">IF(COUNT(DL24,DI24,DF24,DC24,CZ24,CW24,CT24,CQ24,CN24,CK24,CH24,CE24)=0,"",SUM(DL24,DI24,DF24,DC24,CZ24,CW24,CT24,CQ24,CN24,CK24,CH24,CE24))</f>
        <v>44000</v>
      </c>
      <c r="I24" s="12" t="n">
        <f aca="false">IF(COUNT(DM24,DJ24,DG24,DD24,DA24,CX24,CU24,CR24,CO24,CL24,CI24,CF24)=0,"",SUM(DM24,DJ24,DG24,DD24,DA24,CX24,CU24,CR24,CO24,CL24,CI24,CF24))</f>
        <v>264000</v>
      </c>
      <c r="J24" s="12" t="n">
        <f aca="false">IF(COUNT(DN24,DK24,DH24,DE24,DB24,CY24,CV24,CS24,CP24,CM24,CJ24,CG24)=0,"",SUM(DN24,DK24,DH24,DE24,DB24,CY24,CV24,CS24,CP24,CM24,CJ24,CG24))</f>
        <v>264000</v>
      </c>
      <c r="K24" s="13" t="str">
        <f aca="false">IF(COUNT(K22)=1,K22*0.22,"")</f>
        <v/>
      </c>
      <c r="L24" s="13" t="n">
        <f aca="false">L22*0.22</f>
        <v>23540</v>
      </c>
      <c r="M24" s="13" t="n">
        <f aca="false">M22*0.22</f>
        <v>23540</v>
      </c>
      <c r="N24" s="12" t="str">
        <f aca="false">IF(COUNT(N22)=1,N22*0.22,"")</f>
        <v/>
      </c>
      <c r="O24" s="12" t="n">
        <f aca="false">O22*0.22</f>
        <v>23540</v>
      </c>
      <c r="P24" s="12" t="n">
        <f aca="false">P22*0.22</f>
        <v>23540</v>
      </c>
      <c r="Q24" s="13" t="str">
        <f aca="false">IF(COUNT(Q22)=1,Q22*0.22,"")</f>
        <v/>
      </c>
      <c r="R24" s="13" t="n">
        <f aca="false">R22*0.22</f>
        <v>23540</v>
      </c>
      <c r="S24" s="13" t="n">
        <f aca="false">S22*0.22</f>
        <v>23540</v>
      </c>
      <c r="T24" s="12" t="str">
        <f aca="false">IF(COUNT(T22)=1,T22*0.22,"")</f>
        <v/>
      </c>
      <c r="U24" s="12" t="n">
        <f aca="false">U22*0.22</f>
        <v>23540</v>
      </c>
      <c r="V24" s="12" t="n">
        <f aca="false">V22*0.22</f>
        <v>23540</v>
      </c>
      <c r="W24" s="13" t="str">
        <f aca="false">IF(COUNT(W22)=1,W22*0.22,"")</f>
        <v/>
      </c>
      <c r="X24" s="13" t="n">
        <f aca="false">X22*0.22</f>
        <v>23540</v>
      </c>
      <c r="Y24" s="13" t="n">
        <f aca="false">Y22*0.22</f>
        <v>23540</v>
      </c>
      <c r="Z24" s="12" t="str">
        <f aca="false">IF(COUNT(Z22)=1,Z22*0.22,"")</f>
        <v/>
      </c>
      <c r="AA24" s="12" t="n">
        <f aca="false">AA22*0.22</f>
        <v>23540</v>
      </c>
      <c r="AB24" s="12" t="n">
        <f aca="false">AB22*0.22</f>
        <v>23540</v>
      </c>
      <c r="AC24" s="13" t="str">
        <f aca="false">IF(COUNT(AC22)=1,AC22*0.22,"")</f>
        <v/>
      </c>
      <c r="AD24" s="13" t="n">
        <f aca="false">AD22*0.22</f>
        <v>23540</v>
      </c>
      <c r="AE24" s="13" t="n">
        <f aca="false">AE22*0.22</f>
        <v>23540</v>
      </c>
      <c r="AF24" s="12" t="str">
        <f aca="false">IF(COUNT(AF22)=1,AF22*0.22,"")</f>
        <v/>
      </c>
      <c r="AG24" s="12" t="n">
        <f aca="false">AG22*0.22</f>
        <v>23540</v>
      </c>
      <c r="AH24" s="12" t="n">
        <f aca="false">AH22*0.22</f>
        <v>23540</v>
      </c>
      <c r="AI24" s="13" t="str">
        <f aca="false">IF(COUNT(AI22)=1,AI22*0.22,"")</f>
        <v/>
      </c>
      <c r="AJ24" s="13" t="n">
        <f aca="false">AJ22*0.22</f>
        <v>23540</v>
      </c>
      <c r="AK24" s="13" t="n">
        <f aca="false">AK22*0.22</f>
        <v>23540</v>
      </c>
      <c r="AL24" s="12" t="str">
        <f aca="false">IF(COUNT(AL22)=1,AL22*0.22,"")</f>
        <v/>
      </c>
      <c r="AM24" s="12" t="n">
        <f aca="false">AM22*0.22</f>
        <v>23540</v>
      </c>
      <c r="AN24" s="12" t="n">
        <f aca="false">AN22*0.22</f>
        <v>23540</v>
      </c>
      <c r="AO24" s="13" t="str">
        <f aca="false">IF(COUNT(AO22)=1,AO22*0.22,"")</f>
        <v/>
      </c>
      <c r="AP24" s="13" t="n">
        <f aca="false">AP22*0.22</f>
        <v>23540</v>
      </c>
      <c r="AQ24" s="13" t="n">
        <f aca="false">AQ22*0.22</f>
        <v>23540</v>
      </c>
      <c r="AR24" s="12" t="str">
        <f aca="false">IF(COUNT(AR22)=1,AR22*0.22,"")</f>
        <v/>
      </c>
      <c r="AS24" s="12" t="n">
        <f aca="false">AS22*0.22</f>
        <v>23540</v>
      </c>
      <c r="AT24" s="12" t="n">
        <f aca="false">AT22*0.22</f>
        <v>23540</v>
      </c>
      <c r="AU24" s="13" t="str">
        <f aca="false">IF(COUNT(AU22)=1,AU22*0.22,"")</f>
        <v/>
      </c>
      <c r="AV24" s="13" t="n">
        <f aca="false">AV22*0.22</f>
        <v>23540</v>
      </c>
      <c r="AW24" s="13" t="n">
        <f aca="false">AW22*0.22</f>
        <v>23540</v>
      </c>
      <c r="AX24" s="12" t="str">
        <f aca="false">IF(COUNT(AX22)=1,AX22*0.22,"")</f>
        <v/>
      </c>
      <c r="AY24" s="12" t="n">
        <f aca="false">AY22*0.22</f>
        <v>23540</v>
      </c>
      <c r="AZ24" s="12" t="n">
        <f aca="false">AZ22*0.22</f>
        <v>23540</v>
      </c>
      <c r="BA24" s="13" t="str">
        <f aca="false">IF(COUNT(BA22)=1,BA22*0.22,"")</f>
        <v/>
      </c>
      <c r="BB24" s="13" t="n">
        <f aca="false">BB22*0.22</f>
        <v>23540</v>
      </c>
      <c r="BC24" s="13" t="n">
        <f aca="false">BC22*0.22</f>
        <v>23540</v>
      </c>
      <c r="BD24" s="12" t="str">
        <f aca="false">IF(COUNT(BD22)=1,BD22*0.22,"")</f>
        <v/>
      </c>
      <c r="BE24" s="12" t="n">
        <f aca="false">BE22*0.22</f>
        <v>23540</v>
      </c>
      <c r="BF24" s="12" t="n">
        <f aca="false">BF22*0.22</f>
        <v>23540</v>
      </c>
      <c r="BG24" s="13" t="str">
        <f aca="false">IF(COUNT(BG22)=1,BG22*0.22,"")</f>
        <v/>
      </c>
      <c r="BH24" s="13" t="n">
        <f aca="false">BH22*0.22</f>
        <v>23540</v>
      </c>
      <c r="BI24" s="13" t="n">
        <f aca="false">BI22*0.22</f>
        <v>23540</v>
      </c>
      <c r="BJ24" s="12" t="str">
        <f aca="false">IF(COUNT(BJ22)=1,BJ22*0.22,"")</f>
        <v/>
      </c>
      <c r="BK24" s="12" t="n">
        <f aca="false">BK22*0.22</f>
        <v>23540</v>
      </c>
      <c r="BL24" s="12" t="n">
        <f aca="false">BL22*0.22</f>
        <v>23540</v>
      </c>
      <c r="BM24" s="13" t="str">
        <f aca="false">IF(COUNT(BM22)=1,BM22*0.22,"")</f>
        <v/>
      </c>
      <c r="BN24" s="13" t="n">
        <f aca="false">BN22*0.22</f>
        <v>23540</v>
      </c>
      <c r="BO24" s="13" t="n">
        <f aca="false">BO22*0.22</f>
        <v>23540</v>
      </c>
      <c r="BP24" s="12" t="str">
        <f aca="false">IF(COUNT(BP22)=1,BP22*0.22,"")</f>
        <v/>
      </c>
      <c r="BQ24" s="12" t="n">
        <f aca="false">BQ22*0.22</f>
        <v>22000</v>
      </c>
      <c r="BR24" s="12" t="n">
        <f aca="false">BR22*0.22</f>
        <v>22000</v>
      </c>
      <c r="BS24" s="13" t="str">
        <f aca="false">IF(COUNT(BS22)=1,BS22*0.22,"")</f>
        <v/>
      </c>
      <c r="BT24" s="13" t="n">
        <f aca="false">BT22*0.22</f>
        <v>22000</v>
      </c>
      <c r="BU24" s="13" t="n">
        <f aca="false">BU22*0.22</f>
        <v>22000</v>
      </c>
      <c r="BV24" s="12" t="str">
        <f aca="false">IF(COUNT(BV22)=1,BV22*0.22,"")</f>
        <v/>
      </c>
      <c r="BW24" s="12" t="n">
        <f aca="false">BW22*0.22</f>
        <v>22000</v>
      </c>
      <c r="BX24" s="12" t="n">
        <f aca="false">BX22*0.22</f>
        <v>22000</v>
      </c>
      <c r="BY24" s="13" t="str">
        <f aca="false">IF(COUNT(BY22)=1,BY22*0.22,"")</f>
        <v/>
      </c>
      <c r="BZ24" s="13" t="n">
        <f aca="false">BZ22*0.22</f>
        <v>22000</v>
      </c>
      <c r="CA24" s="13" t="n">
        <f aca="false">CA22*0.22</f>
        <v>22000</v>
      </c>
      <c r="CB24" s="12" t="str">
        <f aca="false">IF(COUNT(CB22)=1,CB22*0.22,"")</f>
        <v/>
      </c>
      <c r="CC24" s="12" t="n">
        <f aca="false">CC22*0.22</f>
        <v>22000</v>
      </c>
      <c r="CD24" s="12" t="n">
        <f aca="false">CD22*0.22</f>
        <v>22000</v>
      </c>
      <c r="CE24" s="13" t="str">
        <f aca="false">IF(COUNT(CE22)=1,CE22*0.22,"")</f>
        <v/>
      </c>
      <c r="CF24" s="13" t="n">
        <f aca="false">CF22*0.22</f>
        <v>22000</v>
      </c>
      <c r="CG24" s="13" t="n">
        <f aca="false">CG22*0.22</f>
        <v>22000</v>
      </c>
      <c r="CH24" s="12" t="str">
        <f aca="false">IF(COUNT(CH22)=1,CH22*0.22,"")</f>
        <v/>
      </c>
      <c r="CI24" s="12" t="n">
        <f aca="false">CI22*0.22</f>
        <v>22000</v>
      </c>
      <c r="CJ24" s="12" t="n">
        <f aca="false">CJ22*0.22</f>
        <v>22000</v>
      </c>
      <c r="CK24" s="13" t="str">
        <f aca="false">IF(COUNT(CK22)=1,CK22*0.22,"")</f>
        <v/>
      </c>
      <c r="CL24" s="13" t="n">
        <f aca="false">CL22*0.22</f>
        <v>22000</v>
      </c>
      <c r="CM24" s="13" t="n">
        <f aca="false">CM22*0.22</f>
        <v>22000</v>
      </c>
      <c r="CN24" s="12" t="str">
        <f aca="false">IF(COUNT(CN22)=1,CN22*0.22,"")</f>
        <v/>
      </c>
      <c r="CO24" s="12" t="n">
        <f aca="false">CO22*0.22</f>
        <v>22000</v>
      </c>
      <c r="CP24" s="12" t="n">
        <f aca="false">CP22*0.22</f>
        <v>22000</v>
      </c>
      <c r="CQ24" s="13" t="str">
        <f aca="false">IF(COUNT(CQ22)=1,CQ22*0.22,"")</f>
        <v/>
      </c>
      <c r="CR24" s="13" t="n">
        <f aca="false">CR22*0.22</f>
        <v>22000</v>
      </c>
      <c r="CS24" s="13" t="n">
        <f aca="false">CS22*0.22</f>
        <v>22000</v>
      </c>
      <c r="CT24" s="12" t="str">
        <f aca="false">IF(COUNT(CT22)=1,CT22*0.22,"")</f>
        <v/>
      </c>
      <c r="CU24" s="12" t="n">
        <f aca="false">CU22*0.22</f>
        <v>22000</v>
      </c>
      <c r="CV24" s="12" t="n">
        <f aca="false">CV22*0.22</f>
        <v>22000</v>
      </c>
      <c r="CW24" s="13" t="str">
        <f aca="false">IF(COUNT(CW22)=1,CW22*0.22,"")</f>
        <v/>
      </c>
      <c r="CX24" s="13" t="n">
        <f aca="false">CX22*0.22</f>
        <v>22000</v>
      </c>
      <c r="CY24" s="13" t="n">
        <f aca="false">CY22*0.22</f>
        <v>22000</v>
      </c>
      <c r="CZ24" s="12" t="str">
        <f aca="false">IF(COUNT(CZ22)=1,CZ22*0.22,"")</f>
        <v/>
      </c>
      <c r="DA24" s="12" t="n">
        <f aca="false">DA22*0.22</f>
        <v>22000</v>
      </c>
      <c r="DB24" s="12" t="n">
        <f aca="false">DB22*0.22</f>
        <v>22000</v>
      </c>
      <c r="DC24" s="13" t="str">
        <f aca="false">IF(COUNT(DC22)=1,DC22*0.22,"")</f>
        <v/>
      </c>
      <c r="DD24" s="13" t="n">
        <f aca="false">DD22*0.22</f>
        <v>22000</v>
      </c>
      <c r="DE24" s="13" t="n">
        <f aca="false">DE22*0.22</f>
        <v>22000</v>
      </c>
      <c r="DF24" s="12" t="str">
        <f aca="false">IF(COUNT(DF22)=1,DF22*0.22,"")</f>
        <v/>
      </c>
      <c r="DG24" s="12" t="n">
        <f aca="false">DG22*0.22</f>
        <v>22000</v>
      </c>
      <c r="DH24" s="12" t="n">
        <f aca="false">DH22*0.22</f>
        <v>22000</v>
      </c>
      <c r="DI24" s="13" t="n">
        <f aca="false">IF(COUNT(DI22)=1,DI22*0.22,"")</f>
        <v>22000</v>
      </c>
      <c r="DJ24" s="13" t="n">
        <f aca="false">DJ22*0.22</f>
        <v>22000</v>
      </c>
      <c r="DK24" s="13" t="n">
        <f aca="false">DK22*0.22</f>
        <v>22000</v>
      </c>
      <c r="DL24" s="12" t="n">
        <f aca="false">IF(COUNT(DL22)=1,DL22*0.22,"")</f>
        <v>22000</v>
      </c>
      <c r="DM24" s="12" t="n">
        <f aca="false">DM22*0.22</f>
        <v>22000</v>
      </c>
      <c r="DN24" s="12" t="n">
        <f aca="false">DN22*0.22</f>
        <v>22000</v>
      </c>
    </row>
    <row r="25" customFormat="false" ht="15.75" hidden="false" customHeight="true" outlineLevel="0" collapsed="false">
      <c r="A25" s="5" t="s">
        <v>161</v>
      </c>
      <c r="B25" s="12" t="str">
        <f aca="false">IF(COUNT(AR25,AO25,AL25,AI25,AF25,AC25,Z25,W25,T25,Q25,N25,K25)=0,"",SUM(AR25,AO25,AL25,AI25,AF25,AC25,Z25,W25,T25,Q25,N25,K25))</f>
        <v/>
      </c>
      <c r="C25" s="12" t="n">
        <f aca="false">IF(COUNT(AS25,AP25,AM25,AJ25,AG25,AD25,AA25,X25,U25,R25,O25,L25)=0,"",SUM(AS25,AP25,AM25,AJ25,AG25,AD25,AA25,X25,U25,R25,O25,L25))</f>
        <v>36000</v>
      </c>
      <c r="D25" s="12" t="n">
        <f aca="false">IF(COUNT(AT25,AQ25,AN25,AK25,AH25,AE25,AB25,Y25,V25,S25,P25,M25)=0,"",SUM(AT25,AQ25,AN25,AK25,AH25,AE25,AB25,Y25,V25,S25,P25,M25))</f>
        <v>36000</v>
      </c>
      <c r="E25" s="13" t="str">
        <f aca="false">IF(COUNT(CB25,BY25,BV25,BS25,BP25,BM25,BJ25,BG25,BD25,BA25,AX25,AU25)=0,"",SUM(CB25,BY25,BV25,BS25,BP25,BM25,BJ25,BG25,BD25,BA25,AX25,AU25))</f>
        <v/>
      </c>
      <c r="F25" s="13" t="n">
        <f aca="false">IF(COUNT(CC25,BZ25,BW25,BT25,BQ25,BN25,BK25,BH25,BE25,BB25,AY25,AV25)=0,"",SUM(CC25,BZ25,BW25,BT25,BQ25,BN25,BK25,BH25,BE25,BB25,AY25,AV25))</f>
        <v>36000</v>
      </c>
      <c r="G25" s="13" t="n">
        <f aca="false">IF(COUNT(CD25,CA25,BX25,BU25,BR25,BO25,BL25,BI25,BF25,BC25,AZ25,AW25)=0,"",SUM(CD25,CA25,BX25,BU25,BR25,BO25,BL25,BI25,BF25,BC25,AZ25,AW25))</f>
        <v>36000</v>
      </c>
      <c r="H25" s="12" t="n">
        <f aca="false">IF(COUNT(DL25,DI25,DF25,DC25,CZ25,CW25,CT25,CQ25,CN25,CK25,CH25,CE25)=0,"",SUM(DL25,DI25,DF25,DC25,CZ25,CW25,CT25,CQ25,CN25,CK25,CH25,CE25))</f>
        <v>6000</v>
      </c>
      <c r="I25" s="12" t="n">
        <f aca="false">IF(COUNT(DM25,DJ25,DG25,DD25,DA25,CX25,CU25,CR25,CO25,CL25,CI25,CF25)=0,"",SUM(DM25,DJ25,DG25,DD25,DA25,CX25,CU25,CR25,CO25,CL25,CI25,CF25))</f>
        <v>36000</v>
      </c>
      <c r="J25" s="12" t="n">
        <f aca="false">IF(COUNT(DN25,DK25,DH25,DE25,DB25,CY25,CV25,CS25,CP25,CM25,CJ25,CG25)=0,"",SUM(DN25,DK25,DH25,DE25,DB25,CY25,CV25,CS25,CP25,CM25,CJ25,CG25))</f>
        <v>36000</v>
      </c>
      <c r="K25" s="13"/>
      <c r="L25" s="13" t="n">
        <f aca="false">IF('Cash Drivers'!L$26,Finance!K25,Finance!M25)</f>
        <v>3000</v>
      </c>
      <c r="M25" s="89" t="n">
        <v>3000</v>
      </c>
      <c r="N25" s="12"/>
      <c r="O25" s="12" t="n">
        <f aca="false">IF('Cash Drivers'!O$26,Finance!N25,Finance!P25)</f>
        <v>3000</v>
      </c>
      <c r="P25" s="90" t="n">
        <v>3000</v>
      </c>
      <c r="Q25" s="13"/>
      <c r="R25" s="13" t="n">
        <f aca="false">IF('Cash Drivers'!R$26,Finance!Q25,Finance!S25)</f>
        <v>3000</v>
      </c>
      <c r="S25" s="89" t="n">
        <v>3000</v>
      </c>
      <c r="T25" s="12"/>
      <c r="U25" s="12" t="n">
        <f aca="false">IF('Cash Drivers'!U$26,Finance!T25,Finance!V25)</f>
        <v>3000</v>
      </c>
      <c r="V25" s="90" t="n">
        <v>3000</v>
      </c>
      <c r="W25" s="13"/>
      <c r="X25" s="13" t="n">
        <f aca="false">IF('Cash Drivers'!X$26,Finance!W25,Finance!Y25)</f>
        <v>3000</v>
      </c>
      <c r="Y25" s="89" t="n">
        <v>3000</v>
      </c>
      <c r="Z25" s="12"/>
      <c r="AA25" s="12" t="n">
        <f aca="false">IF('Cash Drivers'!AA$26,Finance!Z25,Finance!AB25)</f>
        <v>3000</v>
      </c>
      <c r="AB25" s="90" t="n">
        <v>3000</v>
      </c>
      <c r="AC25" s="13"/>
      <c r="AD25" s="13" t="n">
        <f aca="false">IF('Cash Drivers'!AD$26,Finance!AC25,Finance!AE25)</f>
        <v>3000</v>
      </c>
      <c r="AE25" s="89" t="n">
        <v>3000</v>
      </c>
      <c r="AF25" s="12"/>
      <c r="AG25" s="12" t="n">
        <f aca="false">IF('Cash Drivers'!AG$26,Finance!AF25,Finance!AH25)</f>
        <v>3000</v>
      </c>
      <c r="AH25" s="90" t="n">
        <v>3000</v>
      </c>
      <c r="AI25" s="13"/>
      <c r="AJ25" s="13" t="n">
        <f aca="false">IF('Cash Drivers'!AJ$26,Finance!AI25,Finance!AK25)</f>
        <v>3000</v>
      </c>
      <c r="AK25" s="89" t="n">
        <v>3000</v>
      </c>
      <c r="AL25" s="12"/>
      <c r="AM25" s="12" t="n">
        <f aca="false">IF('Cash Drivers'!AM$26,Finance!AL25,Finance!AN25)</f>
        <v>3000</v>
      </c>
      <c r="AN25" s="90" t="n">
        <v>3000</v>
      </c>
      <c r="AO25" s="13"/>
      <c r="AP25" s="13" t="n">
        <f aca="false">IF('Cash Drivers'!AP$26,Finance!AO25,Finance!AQ25)</f>
        <v>3000</v>
      </c>
      <c r="AQ25" s="89" t="n">
        <v>3000</v>
      </c>
      <c r="AR25" s="12"/>
      <c r="AS25" s="12" t="n">
        <f aca="false">IF('Cash Drivers'!AS$26,Finance!AR25,Finance!AT25)</f>
        <v>3000</v>
      </c>
      <c r="AT25" s="90" t="n">
        <v>3000</v>
      </c>
      <c r="AU25" s="13"/>
      <c r="AV25" s="13" t="n">
        <f aca="false">IF('Cash Drivers'!AV$26,Finance!AU25,Finance!AW25)</f>
        <v>3000</v>
      </c>
      <c r="AW25" s="89" t="n">
        <v>3000</v>
      </c>
      <c r="AX25" s="12"/>
      <c r="AY25" s="12" t="n">
        <f aca="false">IF('Cash Drivers'!AY$26,Finance!AX25,Finance!AZ25)</f>
        <v>3000</v>
      </c>
      <c r="AZ25" s="90" t="n">
        <v>3000</v>
      </c>
      <c r="BA25" s="13"/>
      <c r="BB25" s="13" t="n">
        <f aca="false">IF('Cash Drivers'!BB$26,Finance!BA25,Finance!BC25)</f>
        <v>3000</v>
      </c>
      <c r="BC25" s="89" t="n">
        <v>3000</v>
      </c>
      <c r="BD25" s="12"/>
      <c r="BE25" s="12" t="n">
        <f aca="false">IF('Cash Drivers'!BE$26,Finance!BD25,Finance!BF25)</f>
        <v>3000</v>
      </c>
      <c r="BF25" s="90" t="n">
        <v>3000</v>
      </c>
      <c r="BG25" s="13"/>
      <c r="BH25" s="13" t="n">
        <f aca="false">IF('Cash Drivers'!BH$26,Finance!BG25,Finance!BI25)</f>
        <v>3000</v>
      </c>
      <c r="BI25" s="89" t="n">
        <v>3000</v>
      </c>
      <c r="BJ25" s="12"/>
      <c r="BK25" s="12" t="n">
        <f aca="false">IF('Cash Drivers'!BK$26,Finance!BJ25,Finance!BL25)</f>
        <v>3000</v>
      </c>
      <c r="BL25" s="90" t="n">
        <v>3000</v>
      </c>
      <c r="BM25" s="13"/>
      <c r="BN25" s="13" t="n">
        <f aca="false">IF('Cash Drivers'!BN$26,Finance!BM25,Finance!BO25)</f>
        <v>3000</v>
      </c>
      <c r="BO25" s="89" t="n">
        <v>3000</v>
      </c>
      <c r="BP25" s="12"/>
      <c r="BQ25" s="12" t="n">
        <f aca="false">IF('Cash Drivers'!BQ$26,Finance!BP25,Finance!BR25)</f>
        <v>3000</v>
      </c>
      <c r="BR25" s="90" t="n">
        <v>3000</v>
      </c>
      <c r="BS25" s="13"/>
      <c r="BT25" s="13" t="n">
        <f aca="false">IF('Cash Drivers'!BT$26,Finance!BS25,Finance!BU25)</f>
        <v>3000</v>
      </c>
      <c r="BU25" s="89" t="n">
        <v>3000</v>
      </c>
      <c r="BV25" s="12"/>
      <c r="BW25" s="12" t="n">
        <f aca="false">IF('Cash Drivers'!BW$26,Finance!BV25,Finance!BX25)</f>
        <v>3000</v>
      </c>
      <c r="BX25" s="90" t="n">
        <v>3000</v>
      </c>
      <c r="BY25" s="13"/>
      <c r="BZ25" s="13" t="n">
        <f aca="false">IF('Cash Drivers'!BZ$26,Finance!BY25,Finance!CA25)</f>
        <v>3000</v>
      </c>
      <c r="CA25" s="89" t="n">
        <v>3000</v>
      </c>
      <c r="CB25" s="12"/>
      <c r="CC25" s="12" t="n">
        <f aca="false">IF('Cash Drivers'!CC$26,Finance!CB25,Finance!CD25)</f>
        <v>3000</v>
      </c>
      <c r="CD25" s="90" t="n">
        <v>3000</v>
      </c>
      <c r="CE25" s="13"/>
      <c r="CF25" s="13" t="n">
        <f aca="false">IF('Cash Drivers'!CF$26,Finance!CE25,Finance!CG25)</f>
        <v>3000</v>
      </c>
      <c r="CG25" s="89" t="n">
        <v>3000</v>
      </c>
      <c r="CH25" s="12"/>
      <c r="CI25" s="12" t="n">
        <f aca="false">IF('Cash Drivers'!CI$26,Finance!CH25,Finance!CJ25)</f>
        <v>3000</v>
      </c>
      <c r="CJ25" s="90" t="n">
        <v>3000</v>
      </c>
      <c r="CK25" s="13"/>
      <c r="CL25" s="13" t="n">
        <f aca="false">IF('Cash Drivers'!CL$26,Finance!CK25,Finance!CM25)</f>
        <v>3000</v>
      </c>
      <c r="CM25" s="89" t="n">
        <v>3000</v>
      </c>
      <c r="CN25" s="12"/>
      <c r="CO25" s="12" t="n">
        <f aca="false">IF('Cash Drivers'!CO$26,Finance!CN25,Finance!CP25)</f>
        <v>3000</v>
      </c>
      <c r="CP25" s="90" t="n">
        <v>3000</v>
      </c>
      <c r="CQ25" s="13"/>
      <c r="CR25" s="13" t="n">
        <f aca="false">IF('Cash Drivers'!CR$26,Finance!CQ25,Finance!CS25)</f>
        <v>3000</v>
      </c>
      <c r="CS25" s="89" t="n">
        <v>3000</v>
      </c>
      <c r="CT25" s="12"/>
      <c r="CU25" s="12" t="n">
        <f aca="false">IF('Cash Drivers'!CU$26,Finance!CT25,Finance!CV25)</f>
        <v>3000</v>
      </c>
      <c r="CV25" s="90" t="n">
        <v>3000</v>
      </c>
      <c r="CW25" s="13"/>
      <c r="CX25" s="13" t="n">
        <f aca="false">IF('Cash Drivers'!CX$26,Finance!CW25,Finance!CY25)</f>
        <v>3000</v>
      </c>
      <c r="CY25" s="89" t="n">
        <v>3000</v>
      </c>
      <c r="CZ25" s="12"/>
      <c r="DA25" s="12" t="n">
        <f aca="false">IF('Cash Drivers'!DA$26,Finance!CZ25,Finance!DB25)</f>
        <v>3000</v>
      </c>
      <c r="DB25" s="90" t="n">
        <v>3000</v>
      </c>
      <c r="DC25" s="13"/>
      <c r="DD25" s="13" t="n">
        <f aca="false">IF('Cash Drivers'!DD$26,Finance!DC25,Finance!DE25)</f>
        <v>3000</v>
      </c>
      <c r="DE25" s="89" t="n">
        <v>3000</v>
      </c>
      <c r="DF25" s="12"/>
      <c r="DG25" s="12" t="n">
        <f aca="false">IF('Cash Drivers'!DG$26,Finance!DF25,Finance!DH25)</f>
        <v>3000</v>
      </c>
      <c r="DH25" s="90" t="n">
        <v>3000</v>
      </c>
      <c r="DI25" s="89" t="n">
        <v>3000</v>
      </c>
      <c r="DJ25" s="13" t="n">
        <f aca="false">IF('Cash Drivers'!DJ$26,Finance!DI25,Finance!DK25)</f>
        <v>3000</v>
      </c>
      <c r="DK25" s="89" t="n">
        <v>3000</v>
      </c>
      <c r="DL25" s="90" t="n">
        <v>3000</v>
      </c>
      <c r="DM25" s="12" t="n">
        <f aca="false">IF('Cash Drivers'!DM$26,Finance!DL25,Finance!DN25)</f>
        <v>3000</v>
      </c>
      <c r="DN25" s="90" t="n">
        <v>3000</v>
      </c>
    </row>
    <row r="26" customFormat="false" ht="15.75" hidden="false" customHeight="true" outlineLevel="0" collapsed="false">
      <c r="A26" s="5" t="s">
        <v>162</v>
      </c>
      <c r="B26" s="12" t="str">
        <f aca="false">IF(COUNT(AR26,AO26,AL26,AI26,AF26,AC26,Z26,W26,T26,Q26,N26,K26)=0,"",SUM(AR26,AO26,AL26,AI26,AF26,AC26,Z26,W26,T26,Q26,N26,K26))</f>
        <v/>
      </c>
      <c r="C26" s="12" t="n">
        <f aca="false">IF(COUNT(AS26,AP26,AM26,AJ26,AG26,AD26,AA26,X26,U26,R26,O26,L26)=0,"",SUM(AS26,AP26,AM26,AJ26,AG26,AD26,AA26,X26,U26,R26,O26,L26))</f>
        <v>6000</v>
      </c>
      <c r="D26" s="12" t="n">
        <f aca="false">IF(COUNT(AT26,AQ26,AN26,AK26,AH26,AE26,AB26,Y26,V26,S26,P26,M26)=0,"",SUM(AT26,AQ26,AN26,AK26,AH26,AE26,AB26,Y26,V26,S26,P26,M26))</f>
        <v>6000</v>
      </c>
      <c r="E26" s="13" t="str">
        <f aca="false">IF(COUNT(CB26,BY26,BV26,BS26,BP26,BM26,BJ26,BG26,BD26,BA26,AX26,AU26)=0,"",SUM(CB26,BY26,BV26,BS26,BP26,BM26,BJ26,BG26,BD26,BA26,AX26,AU26))</f>
        <v/>
      </c>
      <c r="F26" s="13" t="n">
        <f aca="false">IF(COUNT(CC26,BZ26,BW26,BT26,BQ26,BN26,BK26,BH26,BE26,BB26,AY26,AV26)=0,"",SUM(CC26,BZ26,BW26,BT26,BQ26,BN26,BK26,BH26,BE26,BB26,AY26,AV26))</f>
        <v>6000</v>
      </c>
      <c r="G26" s="13" t="n">
        <f aca="false">IF(COUNT(CD26,CA26,BX26,BU26,BR26,BO26,BL26,BI26,BF26,BC26,AZ26,AW26)=0,"",SUM(CD26,CA26,BX26,BU26,BR26,BO26,BL26,BI26,BF26,BC26,AZ26,AW26))</f>
        <v>6000</v>
      </c>
      <c r="H26" s="12" t="n">
        <f aca="false">IF(COUNT(DL26,DI26,DF26,DC26,CZ26,CW26,CT26,CQ26,CN26,CK26,CH26,CE26)=0,"",SUM(DL26,DI26,DF26,DC26,CZ26,CW26,CT26,CQ26,CN26,CK26,CH26,CE26))</f>
        <v>1000</v>
      </c>
      <c r="I26" s="12" t="n">
        <f aca="false">IF(COUNT(DM26,DJ26,DG26,DD26,DA26,CX26,CU26,CR26,CO26,CL26,CI26,CF26)=0,"",SUM(DM26,DJ26,DG26,DD26,DA26,CX26,CU26,CR26,CO26,CL26,CI26,CF26))</f>
        <v>6000</v>
      </c>
      <c r="J26" s="12" t="n">
        <f aca="false">IF(COUNT(DN26,DK26,DH26,DE26,DB26,CY26,CV26,CS26,CP26,CM26,CJ26,CG26)=0,"",SUM(DN26,DK26,DH26,DE26,DB26,CY26,CV26,CS26,CP26,CM26,CJ26,CG26))</f>
        <v>6000</v>
      </c>
      <c r="K26" s="13"/>
      <c r="L26" s="13" t="n">
        <f aca="false">IF('Cash Drivers'!L$26,Finance!K26,Finance!M26)</f>
        <v>500</v>
      </c>
      <c r="M26" s="89" t="n">
        <v>500</v>
      </c>
      <c r="N26" s="12"/>
      <c r="O26" s="12" t="n">
        <f aca="false">IF('Cash Drivers'!O$26,Finance!N26,Finance!P26)</f>
        <v>500</v>
      </c>
      <c r="P26" s="90" t="n">
        <v>500</v>
      </c>
      <c r="Q26" s="13"/>
      <c r="R26" s="13" t="n">
        <f aca="false">IF('Cash Drivers'!R$26,Finance!Q26,Finance!S26)</f>
        <v>500</v>
      </c>
      <c r="S26" s="89" t="n">
        <v>500</v>
      </c>
      <c r="T26" s="12"/>
      <c r="U26" s="12" t="n">
        <f aca="false">IF('Cash Drivers'!U$26,Finance!T26,Finance!V26)</f>
        <v>500</v>
      </c>
      <c r="V26" s="90" t="n">
        <v>500</v>
      </c>
      <c r="W26" s="13"/>
      <c r="X26" s="13" t="n">
        <f aca="false">IF('Cash Drivers'!X$26,Finance!W26,Finance!Y26)</f>
        <v>500</v>
      </c>
      <c r="Y26" s="89" t="n">
        <v>500</v>
      </c>
      <c r="Z26" s="12"/>
      <c r="AA26" s="12" t="n">
        <f aca="false">IF('Cash Drivers'!AA$26,Finance!Z26,Finance!AB26)</f>
        <v>500</v>
      </c>
      <c r="AB26" s="90" t="n">
        <v>500</v>
      </c>
      <c r="AC26" s="13"/>
      <c r="AD26" s="13" t="n">
        <f aca="false">IF('Cash Drivers'!AD$26,Finance!AC26,Finance!AE26)</f>
        <v>500</v>
      </c>
      <c r="AE26" s="89" t="n">
        <v>500</v>
      </c>
      <c r="AF26" s="12"/>
      <c r="AG26" s="12" t="n">
        <f aca="false">IF('Cash Drivers'!AG$26,Finance!AF26,Finance!AH26)</f>
        <v>500</v>
      </c>
      <c r="AH26" s="90" t="n">
        <v>500</v>
      </c>
      <c r="AI26" s="13"/>
      <c r="AJ26" s="13" t="n">
        <f aca="false">IF('Cash Drivers'!AJ$26,Finance!AI26,Finance!AK26)</f>
        <v>500</v>
      </c>
      <c r="AK26" s="89" t="n">
        <v>500</v>
      </c>
      <c r="AL26" s="12"/>
      <c r="AM26" s="12" t="n">
        <f aca="false">IF('Cash Drivers'!AM$26,Finance!AL26,Finance!AN26)</f>
        <v>500</v>
      </c>
      <c r="AN26" s="90" t="n">
        <v>500</v>
      </c>
      <c r="AO26" s="13"/>
      <c r="AP26" s="13" t="n">
        <f aca="false">IF('Cash Drivers'!AP$26,Finance!AO26,Finance!AQ26)</f>
        <v>500</v>
      </c>
      <c r="AQ26" s="89" t="n">
        <v>500</v>
      </c>
      <c r="AR26" s="12"/>
      <c r="AS26" s="12" t="n">
        <f aca="false">IF('Cash Drivers'!AS$26,Finance!AR26,Finance!AT26)</f>
        <v>500</v>
      </c>
      <c r="AT26" s="90" t="n">
        <v>500</v>
      </c>
      <c r="AU26" s="13"/>
      <c r="AV26" s="13" t="n">
        <f aca="false">IF('Cash Drivers'!AV$26,Finance!AU26,Finance!AW26)</f>
        <v>500</v>
      </c>
      <c r="AW26" s="89" t="n">
        <v>500</v>
      </c>
      <c r="AX26" s="12"/>
      <c r="AY26" s="12" t="n">
        <f aca="false">IF('Cash Drivers'!AY$26,Finance!AX26,Finance!AZ26)</f>
        <v>500</v>
      </c>
      <c r="AZ26" s="90" t="n">
        <v>500</v>
      </c>
      <c r="BA26" s="13"/>
      <c r="BB26" s="13" t="n">
        <f aca="false">IF('Cash Drivers'!BB$26,Finance!BA26,Finance!BC26)</f>
        <v>500</v>
      </c>
      <c r="BC26" s="89" t="n">
        <v>500</v>
      </c>
      <c r="BD26" s="12"/>
      <c r="BE26" s="12" t="n">
        <f aca="false">IF('Cash Drivers'!BE$26,Finance!BD26,Finance!BF26)</f>
        <v>500</v>
      </c>
      <c r="BF26" s="90" t="n">
        <v>500</v>
      </c>
      <c r="BG26" s="13"/>
      <c r="BH26" s="13" t="n">
        <f aca="false">IF('Cash Drivers'!BH$26,Finance!BG26,Finance!BI26)</f>
        <v>500</v>
      </c>
      <c r="BI26" s="89" t="n">
        <v>500</v>
      </c>
      <c r="BJ26" s="12"/>
      <c r="BK26" s="12" t="n">
        <f aca="false">IF('Cash Drivers'!BK$26,Finance!BJ26,Finance!BL26)</f>
        <v>500</v>
      </c>
      <c r="BL26" s="90" t="n">
        <v>500</v>
      </c>
      <c r="BM26" s="13"/>
      <c r="BN26" s="13" t="n">
        <f aca="false">IF('Cash Drivers'!BN$26,Finance!BM26,Finance!BO26)</f>
        <v>500</v>
      </c>
      <c r="BO26" s="89" t="n">
        <v>500</v>
      </c>
      <c r="BP26" s="12"/>
      <c r="BQ26" s="12" t="n">
        <f aca="false">IF('Cash Drivers'!BQ$26,Finance!BP26,Finance!BR26)</f>
        <v>500</v>
      </c>
      <c r="BR26" s="90" t="n">
        <v>500</v>
      </c>
      <c r="BS26" s="13"/>
      <c r="BT26" s="13" t="n">
        <f aca="false">IF('Cash Drivers'!BT$26,Finance!BS26,Finance!BU26)</f>
        <v>500</v>
      </c>
      <c r="BU26" s="89" t="n">
        <v>500</v>
      </c>
      <c r="BV26" s="12"/>
      <c r="BW26" s="12" t="n">
        <f aca="false">IF('Cash Drivers'!BW$26,Finance!BV26,Finance!BX26)</f>
        <v>500</v>
      </c>
      <c r="BX26" s="90" t="n">
        <v>500</v>
      </c>
      <c r="BY26" s="13"/>
      <c r="BZ26" s="13" t="n">
        <f aca="false">IF('Cash Drivers'!BZ$26,Finance!BY26,Finance!CA26)</f>
        <v>500</v>
      </c>
      <c r="CA26" s="89" t="n">
        <v>500</v>
      </c>
      <c r="CB26" s="12"/>
      <c r="CC26" s="12" t="n">
        <f aca="false">IF('Cash Drivers'!CC$26,Finance!CB26,Finance!CD26)</f>
        <v>500</v>
      </c>
      <c r="CD26" s="90" t="n">
        <v>500</v>
      </c>
      <c r="CE26" s="13"/>
      <c r="CF26" s="13" t="n">
        <f aca="false">IF('Cash Drivers'!CF$26,Finance!CE26,Finance!CG26)</f>
        <v>500</v>
      </c>
      <c r="CG26" s="89" t="n">
        <v>500</v>
      </c>
      <c r="CH26" s="12"/>
      <c r="CI26" s="12" t="n">
        <f aca="false">IF('Cash Drivers'!CI$26,Finance!CH26,Finance!CJ26)</f>
        <v>500</v>
      </c>
      <c r="CJ26" s="90" t="n">
        <v>500</v>
      </c>
      <c r="CK26" s="13"/>
      <c r="CL26" s="13" t="n">
        <f aca="false">IF('Cash Drivers'!CL$26,Finance!CK26,Finance!CM26)</f>
        <v>500</v>
      </c>
      <c r="CM26" s="89" t="n">
        <v>500</v>
      </c>
      <c r="CN26" s="12"/>
      <c r="CO26" s="12" t="n">
        <f aca="false">IF('Cash Drivers'!CO$26,Finance!CN26,Finance!CP26)</f>
        <v>500</v>
      </c>
      <c r="CP26" s="90" t="n">
        <v>500</v>
      </c>
      <c r="CQ26" s="13"/>
      <c r="CR26" s="13" t="n">
        <f aca="false">IF('Cash Drivers'!CR$26,Finance!CQ26,Finance!CS26)</f>
        <v>500</v>
      </c>
      <c r="CS26" s="89" t="n">
        <v>500</v>
      </c>
      <c r="CT26" s="12"/>
      <c r="CU26" s="12" t="n">
        <f aca="false">IF('Cash Drivers'!CU$26,Finance!CT26,Finance!CV26)</f>
        <v>500</v>
      </c>
      <c r="CV26" s="90" t="n">
        <v>500</v>
      </c>
      <c r="CW26" s="13"/>
      <c r="CX26" s="13" t="n">
        <f aca="false">IF('Cash Drivers'!CX$26,Finance!CW26,Finance!CY26)</f>
        <v>500</v>
      </c>
      <c r="CY26" s="89" t="n">
        <v>500</v>
      </c>
      <c r="CZ26" s="12"/>
      <c r="DA26" s="12" t="n">
        <f aca="false">IF('Cash Drivers'!DA$26,Finance!CZ26,Finance!DB26)</f>
        <v>500</v>
      </c>
      <c r="DB26" s="90" t="n">
        <v>500</v>
      </c>
      <c r="DC26" s="13"/>
      <c r="DD26" s="13" t="n">
        <f aca="false">IF('Cash Drivers'!DD$26,Finance!DC26,Finance!DE26)</f>
        <v>500</v>
      </c>
      <c r="DE26" s="89" t="n">
        <v>500</v>
      </c>
      <c r="DF26" s="12"/>
      <c r="DG26" s="12" t="n">
        <f aca="false">IF('Cash Drivers'!DG$26,Finance!DF26,Finance!DH26)</f>
        <v>500</v>
      </c>
      <c r="DH26" s="90" t="n">
        <v>500</v>
      </c>
      <c r="DI26" s="89" t="n">
        <v>500</v>
      </c>
      <c r="DJ26" s="13" t="n">
        <f aca="false">IF('Cash Drivers'!DJ$26,Finance!DI26,Finance!DK26)</f>
        <v>500</v>
      </c>
      <c r="DK26" s="89" t="n">
        <v>500</v>
      </c>
      <c r="DL26" s="90" t="n">
        <v>500</v>
      </c>
      <c r="DM26" s="12" t="n">
        <f aca="false">IF('Cash Drivers'!DM$26,Finance!DL26,Finance!DN26)</f>
        <v>500</v>
      </c>
      <c r="DN26" s="90" t="n">
        <v>500</v>
      </c>
    </row>
    <row r="27" customFormat="false" ht="15.75" hidden="false" customHeight="true" outlineLevel="0" collapsed="false">
      <c r="A27" s="5" t="s">
        <v>163</v>
      </c>
      <c r="B27" s="12" t="str">
        <f aca="false">IF(COUNT(AR27,AO27,AL27,AI27,AF27,AC27,Z27,W27,T27,Q27,N27,K27)=0,"",SUM(AR27,AO27,AL27,AI27,AF27,AC27,Z27,W27,T27,Q27,N27,K27))</f>
        <v/>
      </c>
      <c r="C27" s="12" t="n">
        <f aca="false">IF(COUNT(AS27,AP27,AM27,AJ27,AG27,AD27,AA27,X27,U27,R27,O27,L27)=0,"",SUM(AS27,AP27,AM27,AJ27,AG27,AD27,AA27,X27,U27,R27,O27,L27))</f>
        <v>6000</v>
      </c>
      <c r="D27" s="12" t="n">
        <f aca="false">IF(COUNT(AT27,AQ27,AN27,AK27,AH27,AE27,AB27,Y27,V27,S27,P27,M27)=0,"",SUM(AT27,AQ27,AN27,AK27,AH27,AE27,AB27,Y27,V27,S27,P27,M27))</f>
        <v>6000</v>
      </c>
      <c r="E27" s="13" t="str">
        <f aca="false">IF(COUNT(CB27,BY27,BV27,BS27,BP27,BM27,BJ27,BG27,BD27,BA27,AX27,AU27)=0,"",SUM(CB27,BY27,BV27,BS27,BP27,BM27,BJ27,BG27,BD27,BA27,AX27,AU27))</f>
        <v/>
      </c>
      <c r="F27" s="13" t="n">
        <f aca="false">IF(COUNT(CC27,BZ27,BW27,BT27,BQ27,BN27,BK27,BH27,BE27,BB27,AY27,AV27)=0,"",SUM(CC27,BZ27,BW27,BT27,BQ27,BN27,BK27,BH27,BE27,BB27,AY27,AV27))</f>
        <v>6000</v>
      </c>
      <c r="G27" s="13" t="n">
        <f aca="false">IF(COUNT(CD27,CA27,BX27,BU27,BR27,BO27,BL27,BI27,BF27,BC27,AZ27,AW27)=0,"",SUM(CD27,CA27,BX27,BU27,BR27,BO27,BL27,BI27,BF27,BC27,AZ27,AW27))</f>
        <v>6000</v>
      </c>
      <c r="H27" s="12" t="n">
        <f aca="false">IF(COUNT(DL27,DI27,DF27,DC27,CZ27,CW27,CT27,CQ27,CN27,CK27,CH27,CE27)=0,"",SUM(DL27,DI27,DF27,DC27,CZ27,CW27,CT27,CQ27,CN27,CK27,CH27,CE27))</f>
        <v>1000</v>
      </c>
      <c r="I27" s="12" t="n">
        <f aca="false">IF(COUNT(DM27,DJ27,DG27,DD27,DA27,CX27,CU27,CR27,CO27,CL27,CI27,CF27)=0,"",SUM(DM27,DJ27,DG27,DD27,DA27,CX27,CU27,CR27,CO27,CL27,CI27,CF27))</f>
        <v>6000</v>
      </c>
      <c r="J27" s="12" t="n">
        <f aca="false">IF(COUNT(DN27,DK27,DH27,DE27,DB27,CY27,CV27,CS27,CP27,CM27,CJ27,CG27)=0,"",SUM(DN27,DK27,DH27,DE27,DB27,CY27,CV27,CS27,CP27,CM27,CJ27,CG27))</f>
        <v>6000</v>
      </c>
      <c r="K27" s="13"/>
      <c r="L27" s="13" t="n">
        <f aca="false">IF('Cash Drivers'!L$26,Finance!K27,Finance!M27)</f>
        <v>500</v>
      </c>
      <c r="M27" s="89" t="n">
        <v>500</v>
      </c>
      <c r="N27" s="12"/>
      <c r="O27" s="12" t="n">
        <f aca="false">IF('Cash Drivers'!O$26,Finance!N27,Finance!P27)</f>
        <v>500</v>
      </c>
      <c r="P27" s="90" t="n">
        <v>500</v>
      </c>
      <c r="Q27" s="13"/>
      <c r="R27" s="13" t="n">
        <f aca="false">IF('Cash Drivers'!R$26,Finance!Q27,Finance!S27)</f>
        <v>500</v>
      </c>
      <c r="S27" s="89" t="n">
        <v>500</v>
      </c>
      <c r="T27" s="12"/>
      <c r="U27" s="12" t="n">
        <f aca="false">IF('Cash Drivers'!U$26,Finance!T27,Finance!V27)</f>
        <v>500</v>
      </c>
      <c r="V27" s="90" t="n">
        <v>500</v>
      </c>
      <c r="W27" s="13"/>
      <c r="X27" s="13" t="n">
        <f aca="false">IF('Cash Drivers'!X$26,Finance!W27,Finance!Y27)</f>
        <v>500</v>
      </c>
      <c r="Y27" s="89" t="n">
        <v>500</v>
      </c>
      <c r="Z27" s="12"/>
      <c r="AA27" s="12" t="n">
        <f aca="false">IF('Cash Drivers'!AA$26,Finance!Z27,Finance!AB27)</f>
        <v>500</v>
      </c>
      <c r="AB27" s="90" t="n">
        <v>500</v>
      </c>
      <c r="AC27" s="13"/>
      <c r="AD27" s="13" t="n">
        <f aca="false">IF('Cash Drivers'!AD$26,Finance!AC27,Finance!AE27)</f>
        <v>500</v>
      </c>
      <c r="AE27" s="89" t="n">
        <v>500</v>
      </c>
      <c r="AF27" s="12"/>
      <c r="AG27" s="12" t="n">
        <f aca="false">IF('Cash Drivers'!AG$26,Finance!AF27,Finance!AH27)</f>
        <v>500</v>
      </c>
      <c r="AH27" s="90" t="n">
        <v>500</v>
      </c>
      <c r="AI27" s="13"/>
      <c r="AJ27" s="13" t="n">
        <f aca="false">IF('Cash Drivers'!AJ$26,Finance!AI27,Finance!AK27)</f>
        <v>500</v>
      </c>
      <c r="AK27" s="89" t="n">
        <v>500</v>
      </c>
      <c r="AL27" s="12"/>
      <c r="AM27" s="12" t="n">
        <f aca="false">IF('Cash Drivers'!AM$26,Finance!AL27,Finance!AN27)</f>
        <v>500</v>
      </c>
      <c r="AN27" s="90" t="n">
        <v>500</v>
      </c>
      <c r="AO27" s="13"/>
      <c r="AP27" s="13" t="n">
        <f aca="false">IF('Cash Drivers'!AP$26,Finance!AO27,Finance!AQ27)</f>
        <v>500</v>
      </c>
      <c r="AQ27" s="89" t="n">
        <v>500</v>
      </c>
      <c r="AR27" s="12"/>
      <c r="AS27" s="12" t="n">
        <f aca="false">IF('Cash Drivers'!AS$26,Finance!AR27,Finance!AT27)</f>
        <v>500</v>
      </c>
      <c r="AT27" s="90" t="n">
        <v>500</v>
      </c>
      <c r="AU27" s="13"/>
      <c r="AV27" s="13" t="n">
        <f aca="false">IF('Cash Drivers'!AV$26,Finance!AU27,Finance!AW27)</f>
        <v>500</v>
      </c>
      <c r="AW27" s="89" t="n">
        <v>500</v>
      </c>
      <c r="AX27" s="12"/>
      <c r="AY27" s="12" t="n">
        <f aca="false">IF('Cash Drivers'!AY$26,Finance!AX27,Finance!AZ27)</f>
        <v>500</v>
      </c>
      <c r="AZ27" s="90" t="n">
        <v>500</v>
      </c>
      <c r="BA27" s="13"/>
      <c r="BB27" s="13" t="n">
        <f aca="false">IF('Cash Drivers'!BB$26,Finance!BA27,Finance!BC27)</f>
        <v>500</v>
      </c>
      <c r="BC27" s="89" t="n">
        <v>500</v>
      </c>
      <c r="BD27" s="12"/>
      <c r="BE27" s="12" t="n">
        <f aca="false">IF('Cash Drivers'!BE$26,Finance!BD27,Finance!BF27)</f>
        <v>500</v>
      </c>
      <c r="BF27" s="90" t="n">
        <v>500</v>
      </c>
      <c r="BG27" s="13"/>
      <c r="BH27" s="13" t="n">
        <f aca="false">IF('Cash Drivers'!BH$26,Finance!BG27,Finance!BI27)</f>
        <v>500</v>
      </c>
      <c r="BI27" s="89" t="n">
        <v>500</v>
      </c>
      <c r="BJ27" s="12"/>
      <c r="BK27" s="12" t="n">
        <f aca="false">IF('Cash Drivers'!BK$26,Finance!BJ27,Finance!BL27)</f>
        <v>500</v>
      </c>
      <c r="BL27" s="90" t="n">
        <v>500</v>
      </c>
      <c r="BM27" s="13"/>
      <c r="BN27" s="13" t="n">
        <f aca="false">IF('Cash Drivers'!BN$26,Finance!BM27,Finance!BO27)</f>
        <v>500</v>
      </c>
      <c r="BO27" s="89" t="n">
        <v>500</v>
      </c>
      <c r="BP27" s="12"/>
      <c r="BQ27" s="12" t="n">
        <f aca="false">IF('Cash Drivers'!BQ$26,Finance!BP27,Finance!BR27)</f>
        <v>500</v>
      </c>
      <c r="BR27" s="90" t="n">
        <v>500</v>
      </c>
      <c r="BS27" s="13"/>
      <c r="BT27" s="13" t="n">
        <f aca="false">IF('Cash Drivers'!BT$26,Finance!BS27,Finance!BU27)</f>
        <v>500</v>
      </c>
      <c r="BU27" s="89" t="n">
        <v>500</v>
      </c>
      <c r="BV27" s="12"/>
      <c r="BW27" s="12" t="n">
        <f aca="false">IF('Cash Drivers'!BW$26,Finance!BV27,Finance!BX27)</f>
        <v>500</v>
      </c>
      <c r="BX27" s="90" t="n">
        <v>500</v>
      </c>
      <c r="BY27" s="13"/>
      <c r="BZ27" s="13" t="n">
        <f aca="false">IF('Cash Drivers'!BZ$26,Finance!BY27,Finance!CA27)</f>
        <v>500</v>
      </c>
      <c r="CA27" s="89" t="n">
        <v>500</v>
      </c>
      <c r="CB27" s="12"/>
      <c r="CC27" s="12" t="n">
        <f aca="false">IF('Cash Drivers'!CC$26,Finance!CB27,Finance!CD27)</f>
        <v>500</v>
      </c>
      <c r="CD27" s="90" t="n">
        <v>500</v>
      </c>
      <c r="CE27" s="13"/>
      <c r="CF27" s="13" t="n">
        <f aca="false">IF('Cash Drivers'!CF$26,Finance!CE27,Finance!CG27)</f>
        <v>500</v>
      </c>
      <c r="CG27" s="89" t="n">
        <v>500</v>
      </c>
      <c r="CH27" s="12"/>
      <c r="CI27" s="12" t="n">
        <f aca="false">IF('Cash Drivers'!CI$26,Finance!CH27,Finance!CJ27)</f>
        <v>500</v>
      </c>
      <c r="CJ27" s="90" t="n">
        <v>500</v>
      </c>
      <c r="CK27" s="13"/>
      <c r="CL27" s="13" t="n">
        <f aca="false">IF('Cash Drivers'!CL$26,Finance!CK27,Finance!CM27)</f>
        <v>500</v>
      </c>
      <c r="CM27" s="89" t="n">
        <v>500</v>
      </c>
      <c r="CN27" s="12"/>
      <c r="CO27" s="12" t="n">
        <f aca="false">IF('Cash Drivers'!CO$26,Finance!CN27,Finance!CP27)</f>
        <v>500</v>
      </c>
      <c r="CP27" s="90" t="n">
        <v>500</v>
      </c>
      <c r="CQ27" s="13"/>
      <c r="CR27" s="13" t="n">
        <f aca="false">IF('Cash Drivers'!CR$26,Finance!CQ27,Finance!CS27)</f>
        <v>500</v>
      </c>
      <c r="CS27" s="89" t="n">
        <v>500</v>
      </c>
      <c r="CT27" s="12"/>
      <c r="CU27" s="12" t="n">
        <f aca="false">IF('Cash Drivers'!CU$26,Finance!CT27,Finance!CV27)</f>
        <v>500</v>
      </c>
      <c r="CV27" s="90" t="n">
        <v>500</v>
      </c>
      <c r="CW27" s="13"/>
      <c r="CX27" s="13" t="n">
        <f aca="false">IF('Cash Drivers'!CX$26,Finance!CW27,Finance!CY27)</f>
        <v>500</v>
      </c>
      <c r="CY27" s="89" t="n">
        <v>500</v>
      </c>
      <c r="CZ27" s="12"/>
      <c r="DA27" s="12" t="n">
        <f aca="false">IF('Cash Drivers'!DA$26,Finance!CZ27,Finance!DB27)</f>
        <v>500</v>
      </c>
      <c r="DB27" s="90" t="n">
        <v>500</v>
      </c>
      <c r="DC27" s="13"/>
      <c r="DD27" s="13" t="n">
        <f aca="false">IF('Cash Drivers'!DD$26,Finance!DC27,Finance!DE27)</f>
        <v>500</v>
      </c>
      <c r="DE27" s="89" t="n">
        <v>500</v>
      </c>
      <c r="DF27" s="12"/>
      <c r="DG27" s="12" t="n">
        <f aca="false">IF('Cash Drivers'!DG$26,Finance!DF27,Finance!DH27)</f>
        <v>500</v>
      </c>
      <c r="DH27" s="90" t="n">
        <v>500</v>
      </c>
      <c r="DI27" s="89" t="n">
        <v>500</v>
      </c>
      <c r="DJ27" s="13" t="n">
        <f aca="false">IF('Cash Drivers'!DJ$26,Finance!DI27,Finance!DK27)</f>
        <v>500</v>
      </c>
      <c r="DK27" s="89" t="n">
        <v>500</v>
      </c>
      <c r="DL27" s="90" t="n">
        <v>500</v>
      </c>
      <c r="DM27" s="12" t="n">
        <f aca="false">IF('Cash Drivers'!DM$26,Finance!DL27,Finance!DN27)</f>
        <v>500</v>
      </c>
      <c r="DN27" s="90" t="n">
        <v>500</v>
      </c>
    </row>
    <row r="28" customFormat="false" ht="15.75" hidden="false" customHeight="true" outlineLevel="0" collapsed="false">
      <c r="A28" s="5" t="s">
        <v>164</v>
      </c>
      <c r="B28" s="12" t="str">
        <f aca="false">IF(COUNT(AR28,AO28,AL28,AI28,AF28,AC28,Z28,W28,T28,Q28,N28,K28)=0,"",SUM(AR28,AO28,AL28,AI28,AF28,AC28,Z28,W28,T28,Q28,N28,K28))</f>
        <v/>
      </c>
      <c r="C28" s="12" t="n">
        <f aca="false">IF(COUNT(AS28,AP28,AM28,AJ28,AG28,AD28,AA28,X28,U28,R28,O28,L28)=0,"",SUM(AS28,AP28,AM28,AJ28,AG28,AD28,AA28,X28,U28,R28,O28,L28))</f>
        <v>48000</v>
      </c>
      <c r="D28" s="12" t="n">
        <f aca="false">IF(COUNT(AT28,AQ28,AN28,AK28,AH28,AE28,AB28,Y28,V28,S28,P28,M28)=0,"",SUM(AT28,AQ28,AN28,AK28,AH28,AE28,AB28,Y28,V28,S28,P28,M28))</f>
        <v>48000</v>
      </c>
      <c r="E28" s="13" t="str">
        <f aca="false">IF(COUNT(CB28,BY28,BV28,BS28,BP28,BM28,BJ28,BG28,BD28,BA28,AX28,AU28)=0,"",SUM(CB28,BY28,BV28,BS28,BP28,BM28,BJ28,BG28,BD28,BA28,AX28,AU28))</f>
        <v/>
      </c>
      <c r="F28" s="13" t="n">
        <f aca="false">IF(COUNT(CC28,BZ28,BW28,BT28,BQ28,BN28,BK28,BH28,BE28,BB28,AY28,AV28)=0,"",SUM(CC28,BZ28,BW28,BT28,BQ28,BN28,BK28,BH28,BE28,BB28,AY28,AV28))</f>
        <v>48000</v>
      </c>
      <c r="G28" s="13" t="n">
        <f aca="false">IF(COUNT(CD28,CA28,BX28,BU28,BR28,BO28,BL28,BI28,BF28,BC28,AZ28,AW28)=0,"",SUM(CD28,CA28,BX28,BU28,BR28,BO28,BL28,BI28,BF28,BC28,AZ28,AW28))</f>
        <v>48000</v>
      </c>
      <c r="H28" s="12" t="n">
        <f aca="false">IF(COUNT(DL28,DI28,DF28,DC28,CZ28,CW28,CT28,CQ28,CN28,CK28,CH28,CE28)=0,"",SUM(DL28,DI28,DF28,DC28,CZ28,CW28,CT28,CQ28,CN28,CK28,CH28,CE28))</f>
        <v>8000</v>
      </c>
      <c r="I28" s="12" t="n">
        <f aca="false">IF(COUNT(DM28,DJ28,DG28,DD28,DA28,CX28,CU28,CR28,CO28,CL28,CI28,CF28)=0,"",SUM(DM28,DJ28,DG28,DD28,DA28,CX28,CU28,CR28,CO28,CL28,CI28,CF28))</f>
        <v>48000</v>
      </c>
      <c r="J28" s="12" t="n">
        <f aca="false">IF(COUNT(DN28,DK28,DH28,DE28,DB28,CY28,CV28,CS28,CP28,CM28,CJ28,CG28)=0,"",SUM(DN28,DK28,DH28,DE28,DB28,CY28,CV28,CS28,CP28,CM28,CJ28,CG28))</f>
        <v>48000</v>
      </c>
      <c r="K28" s="13"/>
      <c r="L28" s="13" t="n">
        <f aca="false">IF('Cash Drivers'!L$26,Finance!K28,Finance!M28)</f>
        <v>4000</v>
      </c>
      <c r="M28" s="89" t="n">
        <v>4000</v>
      </c>
      <c r="N28" s="12"/>
      <c r="O28" s="12" t="n">
        <f aca="false">IF('Cash Drivers'!O$26,Finance!N28,Finance!P28)</f>
        <v>4000</v>
      </c>
      <c r="P28" s="90" t="n">
        <v>4000</v>
      </c>
      <c r="Q28" s="13"/>
      <c r="R28" s="13" t="n">
        <f aca="false">IF('Cash Drivers'!R$26,Finance!Q28,Finance!S28)</f>
        <v>4000</v>
      </c>
      <c r="S28" s="89" t="n">
        <v>4000</v>
      </c>
      <c r="T28" s="12"/>
      <c r="U28" s="12" t="n">
        <f aca="false">IF('Cash Drivers'!U$26,Finance!T28,Finance!V28)</f>
        <v>4000</v>
      </c>
      <c r="V28" s="90" t="n">
        <v>4000</v>
      </c>
      <c r="W28" s="13"/>
      <c r="X28" s="13" t="n">
        <f aca="false">IF('Cash Drivers'!X$26,Finance!W28,Finance!Y28)</f>
        <v>4000</v>
      </c>
      <c r="Y28" s="89" t="n">
        <v>4000</v>
      </c>
      <c r="Z28" s="12"/>
      <c r="AA28" s="12" t="n">
        <f aca="false">IF('Cash Drivers'!AA$26,Finance!Z28,Finance!AB28)</f>
        <v>4000</v>
      </c>
      <c r="AB28" s="90" t="n">
        <v>4000</v>
      </c>
      <c r="AC28" s="13"/>
      <c r="AD28" s="13" t="n">
        <f aca="false">IF('Cash Drivers'!AD$26,Finance!AC28,Finance!AE28)</f>
        <v>4000</v>
      </c>
      <c r="AE28" s="89" t="n">
        <v>4000</v>
      </c>
      <c r="AF28" s="12"/>
      <c r="AG28" s="12" t="n">
        <f aca="false">IF('Cash Drivers'!AG$26,Finance!AF28,Finance!AH28)</f>
        <v>4000</v>
      </c>
      <c r="AH28" s="90" t="n">
        <v>4000</v>
      </c>
      <c r="AI28" s="13"/>
      <c r="AJ28" s="13" t="n">
        <f aca="false">IF('Cash Drivers'!AJ$26,Finance!AI28,Finance!AK28)</f>
        <v>4000</v>
      </c>
      <c r="AK28" s="89" t="n">
        <v>4000</v>
      </c>
      <c r="AL28" s="12"/>
      <c r="AM28" s="12" t="n">
        <f aca="false">IF('Cash Drivers'!AM$26,Finance!AL28,Finance!AN28)</f>
        <v>4000</v>
      </c>
      <c r="AN28" s="90" t="n">
        <v>4000</v>
      </c>
      <c r="AO28" s="13"/>
      <c r="AP28" s="13" t="n">
        <f aca="false">IF('Cash Drivers'!AP$26,Finance!AO28,Finance!AQ28)</f>
        <v>4000</v>
      </c>
      <c r="AQ28" s="89" t="n">
        <v>4000</v>
      </c>
      <c r="AR28" s="12"/>
      <c r="AS28" s="12" t="n">
        <f aca="false">IF('Cash Drivers'!AS$26,Finance!AR28,Finance!AT28)</f>
        <v>4000</v>
      </c>
      <c r="AT28" s="90" t="n">
        <v>4000</v>
      </c>
      <c r="AU28" s="13"/>
      <c r="AV28" s="13" t="n">
        <f aca="false">IF('Cash Drivers'!AV$26,Finance!AU28,Finance!AW28)</f>
        <v>4000</v>
      </c>
      <c r="AW28" s="89" t="n">
        <v>4000</v>
      </c>
      <c r="AX28" s="12"/>
      <c r="AY28" s="12" t="n">
        <f aca="false">IF('Cash Drivers'!AY$26,Finance!AX28,Finance!AZ28)</f>
        <v>4000</v>
      </c>
      <c r="AZ28" s="90" t="n">
        <v>4000</v>
      </c>
      <c r="BA28" s="13"/>
      <c r="BB28" s="13" t="n">
        <f aca="false">IF('Cash Drivers'!BB$26,Finance!BA28,Finance!BC28)</f>
        <v>4000</v>
      </c>
      <c r="BC28" s="89" t="n">
        <v>4000</v>
      </c>
      <c r="BD28" s="12"/>
      <c r="BE28" s="12" t="n">
        <f aca="false">IF('Cash Drivers'!BE$26,Finance!BD28,Finance!BF28)</f>
        <v>4000</v>
      </c>
      <c r="BF28" s="90" t="n">
        <v>4000</v>
      </c>
      <c r="BG28" s="13"/>
      <c r="BH28" s="13" t="n">
        <f aca="false">IF('Cash Drivers'!BH$26,Finance!BG28,Finance!BI28)</f>
        <v>4000</v>
      </c>
      <c r="BI28" s="89" t="n">
        <v>4000</v>
      </c>
      <c r="BJ28" s="12"/>
      <c r="BK28" s="12" t="n">
        <f aca="false">IF('Cash Drivers'!BK$26,Finance!BJ28,Finance!BL28)</f>
        <v>4000</v>
      </c>
      <c r="BL28" s="90" t="n">
        <v>4000</v>
      </c>
      <c r="BM28" s="13"/>
      <c r="BN28" s="13" t="n">
        <f aca="false">IF('Cash Drivers'!BN$26,Finance!BM28,Finance!BO28)</f>
        <v>4000</v>
      </c>
      <c r="BO28" s="89" t="n">
        <v>4000</v>
      </c>
      <c r="BP28" s="12"/>
      <c r="BQ28" s="12" t="n">
        <f aca="false">IF('Cash Drivers'!BQ$26,Finance!BP28,Finance!BR28)</f>
        <v>4000</v>
      </c>
      <c r="BR28" s="90" t="n">
        <v>4000</v>
      </c>
      <c r="BS28" s="13"/>
      <c r="BT28" s="13" t="n">
        <f aca="false">IF('Cash Drivers'!BT$26,Finance!BS28,Finance!BU28)</f>
        <v>4000</v>
      </c>
      <c r="BU28" s="89" t="n">
        <v>4000</v>
      </c>
      <c r="BV28" s="12"/>
      <c r="BW28" s="12" t="n">
        <f aca="false">IF('Cash Drivers'!BW$26,Finance!BV28,Finance!BX28)</f>
        <v>4000</v>
      </c>
      <c r="BX28" s="90" t="n">
        <v>4000</v>
      </c>
      <c r="BY28" s="13"/>
      <c r="BZ28" s="13" t="n">
        <f aca="false">IF('Cash Drivers'!BZ$26,Finance!BY28,Finance!CA28)</f>
        <v>4000</v>
      </c>
      <c r="CA28" s="89" t="n">
        <v>4000</v>
      </c>
      <c r="CB28" s="12"/>
      <c r="CC28" s="12" t="n">
        <f aca="false">IF('Cash Drivers'!CC$26,Finance!CB28,Finance!CD28)</f>
        <v>4000</v>
      </c>
      <c r="CD28" s="90" t="n">
        <v>4000</v>
      </c>
      <c r="CE28" s="13"/>
      <c r="CF28" s="13" t="n">
        <f aca="false">IF('Cash Drivers'!CF$26,Finance!CE28,Finance!CG28)</f>
        <v>4000</v>
      </c>
      <c r="CG28" s="89" t="n">
        <v>4000</v>
      </c>
      <c r="CH28" s="12"/>
      <c r="CI28" s="12" t="n">
        <f aca="false">IF('Cash Drivers'!CI$26,Finance!CH28,Finance!CJ28)</f>
        <v>4000</v>
      </c>
      <c r="CJ28" s="90" t="n">
        <v>4000</v>
      </c>
      <c r="CK28" s="13"/>
      <c r="CL28" s="13" t="n">
        <f aca="false">IF('Cash Drivers'!CL$26,Finance!CK28,Finance!CM28)</f>
        <v>4000</v>
      </c>
      <c r="CM28" s="89" t="n">
        <v>4000</v>
      </c>
      <c r="CN28" s="12"/>
      <c r="CO28" s="12" t="n">
        <f aca="false">IF('Cash Drivers'!CO$26,Finance!CN28,Finance!CP28)</f>
        <v>4000</v>
      </c>
      <c r="CP28" s="90" t="n">
        <v>4000</v>
      </c>
      <c r="CQ28" s="13"/>
      <c r="CR28" s="13" t="n">
        <f aca="false">IF('Cash Drivers'!CR$26,Finance!CQ28,Finance!CS28)</f>
        <v>4000</v>
      </c>
      <c r="CS28" s="89" t="n">
        <v>4000</v>
      </c>
      <c r="CT28" s="12"/>
      <c r="CU28" s="12" t="n">
        <f aca="false">IF('Cash Drivers'!CU$26,Finance!CT28,Finance!CV28)</f>
        <v>4000</v>
      </c>
      <c r="CV28" s="90" t="n">
        <v>4000</v>
      </c>
      <c r="CW28" s="13"/>
      <c r="CX28" s="13" t="n">
        <f aca="false">IF('Cash Drivers'!CX$26,Finance!CW28,Finance!CY28)</f>
        <v>4000</v>
      </c>
      <c r="CY28" s="89" t="n">
        <v>4000</v>
      </c>
      <c r="CZ28" s="12"/>
      <c r="DA28" s="12" t="n">
        <f aca="false">IF('Cash Drivers'!DA$26,Finance!CZ28,Finance!DB28)</f>
        <v>4000</v>
      </c>
      <c r="DB28" s="90" t="n">
        <v>4000</v>
      </c>
      <c r="DC28" s="13"/>
      <c r="DD28" s="13" t="n">
        <f aca="false">IF('Cash Drivers'!DD$26,Finance!DC28,Finance!DE28)</f>
        <v>4000</v>
      </c>
      <c r="DE28" s="89" t="n">
        <v>4000</v>
      </c>
      <c r="DF28" s="12"/>
      <c r="DG28" s="12" t="n">
        <f aca="false">IF('Cash Drivers'!DG$26,Finance!DF28,Finance!DH28)</f>
        <v>4000</v>
      </c>
      <c r="DH28" s="90" t="n">
        <v>4000</v>
      </c>
      <c r="DI28" s="89" t="n">
        <v>4000</v>
      </c>
      <c r="DJ28" s="13" t="n">
        <f aca="false">IF('Cash Drivers'!DJ$26,Finance!DI28,Finance!DK28)</f>
        <v>4000</v>
      </c>
      <c r="DK28" s="89" t="n">
        <v>4000</v>
      </c>
      <c r="DL28" s="90" t="n">
        <v>4000</v>
      </c>
      <c r="DM28" s="12" t="n">
        <f aca="false">IF('Cash Drivers'!DM$26,Finance!DL28,Finance!DN28)</f>
        <v>4000</v>
      </c>
      <c r="DN28" s="90" t="n">
        <v>4000</v>
      </c>
    </row>
    <row r="29" customFormat="false" ht="15.75" hidden="false" customHeight="true" outlineLevel="0" collapsed="false">
      <c r="A29" s="5" t="s">
        <v>165</v>
      </c>
      <c r="B29" s="12" t="str">
        <f aca="false">IF(COUNT(AR29,AO29,AL29,AI29,AF29,AC29,Z29,W29,T29,Q29,N29,K29)=0,"",SUM(AR29,AO29,AL29,AI29,AF29,AC29,Z29,W29,T29,Q29,N29,K29))</f>
        <v/>
      </c>
      <c r="C29" s="12" t="n">
        <f aca="false">IF(COUNT(AS29,AP29,AM29,AJ29,AG29,AD29,AA29,X29,U29,R29,O29,L29)=0,"",SUM(AS29,AP29,AM29,AJ29,AG29,AD29,AA29,X29,U29,R29,O29,L29))</f>
        <v>12000</v>
      </c>
      <c r="D29" s="12" t="n">
        <f aca="false">IF(COUNT(AT29,AQ29,AN29,AK29,AH29,AE29,AB29,Y29,V29,S29,P29,M29)=0,"",SUM(AT29,AQ29,AN29,AK29,AH29,AE29,AB29,Y29,V29,S29,P29,M29))</f>
        <v>12000</v>
      </c>
      <c r="E29" s="13" t="str">
        <f aca="false">IF(COUNT(CB29,BY29,BV29,BS29,BP29,BM29,BJ29,BG29,BD29,BA29,AX29,AU29)=0,"",SUM(CB29,BY29,BV29,BS29,BP29,BM29,BJ29,BG29,BD29,BA29,AX29,AU29))</f>
        <v/>
      </c>
      <c r="F29" s="13" t="n">
        <f aca="false">IF(COUNT(CC29,BZ29,BW29,BT29,BQ29,BN29,BK29,BH29,BE29,BB29,AY29,AV29)=0,"",SUM(CC29,BZ29,BW29,BT29,BQ29,BN29,BK29,BH29,BE29,BB29,AY29,AV29))</f>
        <v>12000</v>
      </c>
      <c r="G29" s="13" t="n">
        <f aca="false">IF(COUNT(CD29,CA29,BX29,BU29,BR29,BO29,BL29,BI29,BF29,BC29,AZ29,AW29)=0,"",SUM(CD29,CA29,BX29,BU29,BR29,BO29,BL29,BI29,BF29,BC29,AZ29,AW29))</f>
        <v>12000</v>
      </c>
      <c r="H29" s="12" t="n">
        <f aca="false">IF(COUNT(DL29,DI29,DF29,DC29,CZ29,CW29,CT29,CQ29,CN29,CK29,CH29,CE29)=0,"",SUM(DL29,DI29,DF29,DC29,CZ29,CW29,CT29,CQ29,CN29,CK29,CH29,CE29))</f>
        <v>2000</v>
      </c>
      <c r="I29" s="12" t="n">
        <f aca="false">IF(COUNT(DM29,DJ29,DG29,DD29,DA29,CX29,CU29,CR29,CO29,CL29,CI29,CF29)=0,"",SUM(DM29,DJ29,DG29,DD29,DA29,CX29,CU29,CR29,CO29,CL29,CI29,CF29))</f>
        <v>12000</v>
      </c>
      <c r="J29" s="12" t="n">
        <f aca="false">IF(COUNT(DN29,DK29,DH29,DE29,DB29,CY29,CV29,CS29,CP29,CM29,CJ29,CG29)=0,"",SUM(DN29,DK29,DH29,DE29,DB29,CY29,CV29,CS29,CP29,CM29,CJ29,CG29))</f>
        <v>12000</v>
      </c>
      <c r="K29" s="13"/>
      <c r="L29" s="13" t="n">
        <f aca="false">IF('Cash Drivers'!L$26,Finance!K29,Finance!M29)</f>
        <v>1000</v>
      </c>
      <c r="M29" s="89" t="n">
        <v>1000</v>
      </c>
      <c r="N29" s="12"/>
      <c r="O29" s="12" t="n">
        <f aca="false">IF('Cash Drivers'!O$26,Finance!N29,Finance!P29)</f>
        <v>1000</v>
      </c>
      <c r="P29" s="90" t="n">
        <v>1000</v>
      </c>
      <c r="Q29" s="13"/>
      <c r="R29" s="13" t="n">
        <f aca="false">IF('Cash Drivers'!R$26,Finance!Q29,Finance!S29)</f>
        <v>1000</v>
      </c>
      <c r="S29" s="89" t="n">
        <v>1000</v>
      </c>
      <c r="T29" s="12"/>
      <c r="U29" s="12" t="n">
        <f aca="false">IF('Cash Drivers'!U$26,Finance!T29,Finance!V29)</f>
        <v>1000</v>
      </c>
      <c r="V29" s="90" t="n">
        <v>1000</v>
      </c>
      <c r="W29" s="13"/>
      <c r="X29" s="13" t="n">
        <f aca="false">IF('Cash Drivers'!X$26,Finance!W29,Finance!Y29)</f>
        <v>1000</v>
      </c>
      <c r="Y29" s="89" t="n">
        <v>1000</v>
      </c>
      <c r="Z29" s="12"/>
      <c r="AA29" s="12" t="n">
        <f aca="false">IF('Cash Drivers'!AA$26,Finance!Z29,Finance!AB29)</f>
        <v>1000</v>
      </c>
      <c r="AB29" s="90" t="n">
        <v>1000</v>
      </c>
      <c r="AC29" s="13"/>
      <c r="AD29" s="13" t="n">
        <f aca="false">IF('Cash Drivers'!AD$26,Finance!AC29,Finance!AE29)</f>
        <v>1000</v>
      </c>
      <c r="AE29" s="89" t="n">
        <v>1000</v>
      </c>
      <c r="AF29" s="12"/>
      <c r="AG29" s="12" t="n">
        <f aca="false">IF('Cash Drivers'!AG$26,Finance!AF29,Finance!AH29)</f>
        <v>1000</v>
      </c>
      <c r="AH29" s="90" t="n">
        <v>1000</v>
      </c>
      <c r="AI29" s="13"/>
      <c r="AJ29" s="13" t="n">
        <f aca="false">IF('Cash Drivers'!AJ$26,Finance!AI29,Finance!AK29)</f>
        <v>1000</v>
      </c>
      <c r="AK29" s="89" t="n">
        <v>1000</v>
      </c>
      <c r="AL29" s="12"/>
      <c r="AM29" s="12" t="n">
        <f aca="false">IF('Cash Drivers'!AM$26,Finance!AL29,Finance!AN29)</f>
        <v>1000</v>
      </c>
      <c r="AN29" s="90" t="n">
        <v>1000</v>
      </c>
      <c r="AO29" s="13"/>
      <c r="AP29" s="13" t="n">
        <f aca="false">IF('Cash Drivers'!AP$26,Finance!AO29,Finance!AQ29)</f>
        <v>1000</v>
      </c>
      <c r="AQ29" s="89" t="n">
        <v>1000</v>
      </c>
      <c r="AR29" s="12"/>
      <c r="AS29" s="12" t="n">
        <f aca="false">IF('Cash Drivers'!AS$26,Finance!AR29,Finance!AT29)</f>
        <v>1000</v>
      </c>
      <c r="AT29" s="90" t="n">
        <v>1000</v>
      </c>
      <c r="AU29" s="13"/>
      <c r="AV29" s="13" t="n">
        <f aca="false">IF('Cash Drivers'!AV$26,Finance!AU29,Finance!AW29)</f>
        <v>1000</v>
      </c>
      <c r="AW29" s="89" t="n">
        <v>1000</v>
      </c>
      <c r="AX29" s="12"/>
      <c r="AY29" s="12" t="n">
        <f aca="false">IF('Cash Drivers'!AY$26,Finance!AX29,Finance!AZ29)</f>
        <v>1000</v>
      </c>
      <c r="AZ29" s="90" t="n">
        <v>1000</v>
      </c>
      <c r="BA29" s="13"/>
      <c r="BB29" s="13" t="n">
        <f aca="false">IF('Cash Drivers'!BB$26,Finance!BA29,Finance!BC29)</f>
        <v>1000</v>
      </c>
      <c r="BC29" s="89" t="n">
        <v>1000</v>
      </c>
      <c r="BD29" s="12"/>
      <c r="BE29" s="12" t="n">
        <f aca="false">IF('Cash Drivers'!BE$26,Finance!BD29,Finance!BF29)</f>
        <v>1000</v>
      </c>
      <c r="BF29" s="90" t="n">
        <v>1000</v>
      </c>
      <c r="BG29" s="13"/>
      <c r="BH29" s="13" t="n">
        <f aca="false">IF('Cash Drivers'!BH$26,Finance!BG29,Finance!BI29)</f>
        <v>1000</v>
      </c>
      <c r="BI29" s="89" t="n">
        <v>1000</v>
      </c>
      <c r="BJ29" s="12"/>
      <c r="BK29" s="12" t="n">
        <f aca="false">IF('Cash Drivers'!BK$26,Finance!BJ29,Finance!BL29)</f>
        <v>1000</v>
      </c>
      <c r="BL29" s="90" t="n">
        <v>1000</v>
      </c>
      <c r="BM29" s="13"/>
      <c r="BN29" s="13" t="n">
        <f aca="false">IF('Cash Drivers'!BN$26,Finance!BM29,Finance!BO29)</f>
        <v>1000</v>
      </c>
      <c r="BO29" s="89" t="n">
        <v>1000</v>
      </c>
      <c r="BP29" s="12"/>
      <c r="BQ29" s="12" t="n">
        <f aca="false">IF('Cash Drivers'!BQ$26,Finance!BP29,Finance!BR29)</f>
        <v>1000</v>
      </c>
      <c r="BR29" s="90" t="n">
        <v>1000</v>
      </c>
      <c r="BS29" s="13"/>
      <c r="BT29" s="13" t="n">
        <f aca="false">IF('Cash Drivers'!BT$26,Finance!BS29,Finance!BU29)</f>
        <v>1000</v>
      </c>
      <c r="BU29" s="89" t="n">
        <v>1000</v>
      </c>
      <c r="BV29" s="12"/>
      <c r="BW29" s="12" t="n">
        <f aca="false">IF('Cash Drivers'!BW$26,Finance!BV29,Finance!BX29)</f>
        <v>1000</v>
      </c>
      <c r="BX29" s="90" t="n">
        <v>1000</v>
      </c>
      <c r="BY29" s="13"/>
      <c r="BZ29" s="13" t="n">
        <f aca="false">IF('Cash Drivers'!BZ$26,Finance!BY29,Finance!CA29)</f>
        <v>1000</v>
      </c>
      <c r="CA29" s="89" t="n">
        <v>1000</v>
      </c>
      <c r="CB29" s="12"/>
      <c r="CC29" s="12" t="n">
        <f aca="false">IF('Cash Drivers'!CC$26,Finance!CB29,Finance!CD29)</f>
        <v>1000</v>
      </c>
      <c r="CD29" s="90" t="n">
        <v>1000</v>
      </c>
      <c r="CE29" s="13"/>
      <c r="CF29" s="13" t="n">
        <f aca="false">IF('Cash Drivers'!CF$26,Finance!CE29,Finance!CG29)</f>
        <v>1000</v>
      </c>
      <c r="CG29" s="89" t="n">
        <v>1000</v>
      </c>
      <c r="CH29" s="12"/>
      <c r="CI29" s="12" t="n">
        <f aca="false">IF('Cash Drivers'!CI$26,Finance!CH29,Finance!CJ29)</f>
        <v>1000</v>
      </c>
      <c r="CJ29" s="90" t="n">
        <v>1000</v>
      </c>
      <c r="CK29" s="13"/>
      <c r="CL29" s="13" t="n">
        <f aca="false">IF('Cash Drivers'!CL$26,Finance!CK29,Finance!CM29)</f>
        <v>1000</v>
      </c>
      <c r="CM29" s="89" t="n">
        <v>1000</v>
      </c>
      <c r="CN29" s="12"/>
      <c r="CO29" s="12" t="n">
        <f aca="false">IF('Cash Drivers'!CO$26,Finance!CN29,Finance!CP29)</f>
        <v>1000</v>
      </c>
      <c r="CP29" s="90" t="n">
        <v>1000</v>
      </c>
      <c r="CQ29" s="13"/>
      <c r="CR29" s="13" t="n">
        <f aca="false">IF('Cash Drivers'!CR$26,Finance!CQ29,Finance!CS29)</f>
        <v>1000</v>
      </c>
      <c r="CS29" s="89" t="n">
        <v>1000</v>
      </c>
      <c r="CT29" s="12"/>
      <c r="CU29" s="12" t="n">
        <f aca="false">IF('Cash Drivers'!CU$26,Finance!CT29,Finance!CV29)</f>
        <v>1000</v>
      </c>
      <c r="CV29" s="90" t="n">
        <v>1000</v>
      </c>
      <c r="CW29" s="13"/>
      <c r="CX29" s="13" t="n">
        <f aca="false">IF('Cash Drivers'!CX$26,Finance!CW29,Finance!CY29)</f>
        <v>1000</v>
      </c>
      <c r="CY29" s="89" t="n">
        <v>1000</v>
      </c>
      <c r="CZ29" s="12"/>
      <c r="DA29" s="12" t="n">
        <f aca="false">IF('Cash Drivers'!DA$26,Finance!CZ29,Finance!DB29)</f>
        <v>1000</v>
      </c>
      <c r="DB29" s="90" t="n">
        <v>1000</v>
      </c>
      <c r="DC29" s="13"/>
      <c r="DD29" s="13" t="n">
        <f aca="false">IF('Cash Drivers'!DD$26,Finance!DC29,Finance!DE29)</f>
        <v>1000</v>
      </c>
      <c r="DE29" s="89" t="n">
        <v>1000</v>
      </c>
      <c r="DF29" s="12"/>
      <c r="DG29" s="12" t="n">
        <f aca="false">IF('Cash Drivers'!DG$26,Finance!DF29,Finance!DH29)</f>
        <v>1000</v>
      </c>
      <c r="DH29" s="90" t="n">
        <v>1000</v>
      </c>
      <c r="DI29" s="89" t="n">
        <v>1000</v>
      </c>
      <c r="DJ29" s="13" t="n">
        <f aca="false">IF('Cash Drivers'!DJ$26,Finance!DI29,Finance!DK29)</f>
        <v>1000</v>
      </c>
      <c r="DK29" s="89" t="n">
        <v>1000</v>
      </c>
      <c r="DL29" s="90" t="n">
        <v>1000</v>
      </c>
      <c r="DM29" s="12" t="n">
        <f aca="false">IF('Cash Drivers'!DM$26,Finance!DL29,Finance!DN29)</f>
        <v>1000</v>
      </c>
      <c r="DN29" s="90" t="n">
        <v>1000</v>
      </c>
    </row>
    <row r="30" customFormat="false" ht="15.75" hidden="false" customHeight="true" outlineLevel="0" collapsed="false">
      <c r="A30" s="5" t="s">
        <v>166</v>
      </c>
      <c r="B30" s="12" t="str">
        <f aca="false">IF(COUNT(AR30,AO30,AL30,AI30,AF30,AC30,Z30,W30,T30,Q30,N30,K30)=0,"",SUM(AR30,AO30,AL30,AI30,AF30,AC30,Z30,W30,T30,Q30,N30,K30))</f>
        <v/>
      </c>
      <c r="C30" s="12" t="n">
        <f aca="false">IF(COUNT(AS30,AP30,AM30,AJ30,AG30,AD30,AA30,X30,U30,R30,O30,L30)=0,"",SUM(AS30,AP30,AM30,AJ30,AG30,AD30,AA30,X30,U30,R30,O30,L30))</f>
        <v>24000</v>
      </c>
      <c r="D30" s="12" t="n">
        <f aca="false">IF(COUNT(AT30,AQ30,AN30,AK30,AH30,AE30,AB30,Y30,V30,S30,P30,M30)=0,"",SUM(AT30,AQ30,AN30,AK30,AH30,AE30,AB30,Y30,V30,S30,P30,M30))</f>
        <v>24000</v>
      </c>
      <c r="E30" s="13" t="str">
        <f aca="false">IF(COUNT(CB30,BY30,BV30,BS30,BP30,BM30,BJ30,BG30,BD30,BA30,AX30,AU30)=0,"",SUM(CB30,BY30,BV30,BS30,BP30,BM30,BJ30,BG30,BD30,BA30,AX30,AU30))</f>
        <v/>
      </c>
      <c r="F30" s="13" t="n">
        <f aca="false">IF(COUNT(CC30,BZ30,BW30,BT30,BQ30,BN30,BK30,BH30,BE30,BB30,AY30,AV30)=0,"",SUM(CC30,BZ30,BW30,BT30,BQ30,BN30,BK30,BH30,BE30,BB30,AY30,AV30))</f>
        <v>24000</v>
      </c>
      <c r="G30" s="13" t="n">
        <f aca="false">IF(COUNT(CD30,CA30,BX30,BU30,BR30,BO30,BL30,BI30,BF30,BC30,AZ30,AW30)=0,"",SUM(CD30,CA30,BX30,BU30,BR30,BO30,BL30,BI30,BF30,BC30,AZ30,AW30))</f>
        <v>24000</v>
      </c>
      <c r="H30" s="12" t="n">
        <f aca="false">IF(COUNT(DL30,DI30,DF30,DC30,CZ30,CW30,CT30,CQ30,CN30,CK30,CH30,CE30)=0,"",SUM(DL30,DI30,DF30,DC30,CZ30,CW30,CT30,CQ30,CN30,CK30,CH30,CE30))</f>
        <v>4000</v>
      </c>
      <c r="I30" s="12" t="n">
        <f aca="false">IF(COUNT(DM30,DJ30,DG30,DD30,DA30,CX30,CU30,CR30,CO30,CL30,CI30,CF30)=0,"",SUM(DM30,DJ30,DG30,DD30,DA30,CX30,CU30,CR30,CO30,CL30,CI30,CF30))</f>
        <v>24000</v>
      </c>
      <c r="J30" s="12" t="n">
        <f aca="false">IF(COUNT(DN30,DK30,DH30,DE30,DB30,CY30,CV30,CS30,CP30,CM30,CJ30,CG30)=0,"",SUM(DN30,DK30,DH30,DE30,DB30,CY30,CV30,CS30,CP30,CM30,CJ30,CG30))</f>
        <v>24000</v>
      </c>
      <c r="K30" s="13"/>
      <c r="L30" s="13" t="n">
        <f aca="false">IF('Cash Drivers'!L$26,Finance!K30,Finance!M30)</f>
        <v>2000</v>
      </c>
      <c r="M30" s="89" t="n">
        <v>2000</v>
      </c>
      <c r="N30" s="12"/>
      <c r="O30" s="12" t="n">
        <f aca="false">IF('Cash Drivers'!O$26,Finance!N30,Finance!P30)</f>
        <v>2000</v>
      </c>
      <c r="P30" s="90" t="n">
        <v>2000</v>
      </c>
      <c r="Q30" s="13"/>
      <c r="R30" s="13" t="n">
        <f aca="false">IF('Cash Drivers'!R$26,Finance!Q30,Finance!S30)</f>
        <v>2000</v>
      </c>
      <c r="S30" s="89" t="n">
        <v>2000</v>
      </c>
      <c r="T30" s="12"/>
      <c r="U30" s="12" t="n">
        <f aca="false">IF('Cash Drivers'!U$26,Finance!T30,Finance!V30)</f>
        <v>2000</v>
      </c>
      <c r="V30" s="90" t="n">
        <v>2000</v>
      </c>
      <c r="W30" s="13"/>
      <c r="X30" s="13" t="n">
        <f aca="false">IF('Cash Drivers'!X$26,Finance!W30,Finance!Y30)</f>
        <v>2000</v>
      </c>
      <c r="Y30" s="89" t="n">
        <v>2000</v>
      </c>
      <c r="Z30" s="12"/>
      <c r="AA30" s="12" t="n">
        <f aca="false">IF('Cash Drivers'!AA$26,Finance!Z30,Finance!AB30)</f>
        <v>2000</v>
      </c>
      <c r="AB30" s="90" t="n">
        <v>2000</v>
      </c>
      <c r="AC30" s="13"/>
      <c r="AD30" s="13" t="n">
        <f aca="false">IF('Cash Drivers'!AD$26,Finance!AC30,Finance!AE30)</f>
        <v>2000</v>
      </c>
      <c r="AE30" s="89" t="n">
        <v>2000</v>
      </c>
      <c r="AF30" s="12"/>
      <c r="AG30" s="12" t="n">
        <f aca="false">IF('Cash Drivers'!AG$26,Finance!AF30,Finance!AH30)</f>
        <v>2000</v>
      </c>
      <c r="AH30" s="90" t="n">
        <v>2000</v>
      </c>
      <c r="AI30" s="13"/>
      <c r="AJ30" s="13" t="n">
        <f aca="false">IF('Cash Drivers'!AJ$26,Finance!AI30,Finance!AK30)</f>
        <v>2000</v>
      </c>
      <c r="AK30" s="89" t="n">
        <v>2000</v>
      </c>
      <c r="AL30" s="12"/>
      <c r="AM30" s="12" t="n">
        <f aca="false">IF('Cash Drivers'!AM$26,Finance!AL30,Finance!AN30)</f>
        <v>2000</v>
      </c>
      <c r="AN30" s="90" t="n">
        <v>2000</v>
      </c>
      <c r="AO30" s="13"/>
      <c r="AP30" s="13" t="n">
        <f aca="false">IF('Cash Drivers'!AP$26,Finance!AO30,Finance!AQ30)</f>
        <v>2000</v>
      </c>
      <c r="AQ30" s="89" t="n">
        <v>2000</v>
      </c>
      <c r="AR30" s="12"/>
      <c r="AS30" s="12" t="n">
        <f aca="false">IF('Cash Drivers'!AS$26,Finance!AR30,Finance!AT30)</f>
        <v>2000</v>
      </c>
      <c r="AT30" s="90" t="n">
        <v>2000</v>
      </c>
      <c r="AU30" s="13"/>
      <c r="AV30" s="13" t="n">
        <f aca="false">IF('Cash Drivers'!AV$26,Finance!AU30,Finance!AW30)</f>
        <v>2000</v>
      </c>
      <c r="AW30" s="89" t="n">
        <v>2000</v>
      </c>
      <c r="AX30" s="12"/>
      <c r="AY30" s="12" t="n">
        <f aca="false">IF('Cash Drivers'!AY$26,Finance!AX30,Finance!AZ30)</f>
        <v>2000</v>
      </c>
      <c r="AZ30" s="90" t="n">
        <v>2000</v>
      </c>
      <c r="BA30" s="13"/>
      <c r="BB30" s="13" t="n">
        <f aca="false">IF('Cash Drivers'!BB$26,Finance!BA30,Finance!BC30)</f>
        <v>2000</v>
      </c>
      <c r="BC30" s="89" t="n">
        <v>2000</v>
      </c>
      <c r="BD30" s="12"/>
      <c r="BE30" s="12" t="n">
        <f aca="false">IF('Cash Drivers'!BE$26,Finance!BD30,Finance!BF30)</f>
        <v>2000</v>
      </c>
      <c r="BF30" s="90" t="n">
        <v>2000</v>
      </c>
      <c r="BG30" s="13"/>
      <c r="BH30" s="13" t="n">
        <f aca="false">IF('Cash Drivers'!BH$26,Finance!BG30,Finance!BI30)</f>
        <v>2000</v>
      </c>
      <c r="BI30" s="89" t="n">
        <v>2000</v>
      </c>
      <c r="BJ30" s="12"/>
      <c r="BK30" s="12" t="n">
        <f aca="false">IF('Cash Drivers'!BK$26,Finance!BJ30,Finance!BL30)</f>
        <v>2000</v>
      </c>
      <c r="BL30" s="90" t="n">
        <v>2000</v>
      </c>
      <c r="BM30" s="13"/>
      <c r="BN30" s="13" t="n">
        <f aca="false">IF('Cash Drivers'!BN$26,Finance!BM30,Finance!BO30)</f>
        <v>2000</v>
      </c>
      <c r="BO30" s="89" t="n">
        <v>2000</v>
      </c>
      <c r="BP30" s="12"/>
      <c r="BQ30" s="12" t="n">
        <f aca="false">IF('Cash Drivers'!BQ$26,Finance!BP30,Finance!BR30)</f>
        <v>2000</v>
      </c>
      <c r="BR30" s="90" t="n">
        <v>2000</v>
      </c>
      <c r="BS30" s="13"/>
      <c r="BT30" s="13" t="n">
        <f aca="false">IF('Cash Drivers'!BT$26,Finance!BS30,Finance!BU30)</f>
        <v>2000</v>
      </c>
      <c r="BU30" s="89" t="n">
        <v>2000</v>
      </c>
      <c r="BV30" s="12"/>
      <c r="BW30" s="12" t="n">
        <f aca="false">IF('Cash Drivers'!BW$26,Finance!BV30,Finance!BX30)</f>
        <v>2000</v>
      </c>
      <c r="BX30" s="90" t="n">
        <v>2000</v>
      </c>
      <c r="BY30" s="13"/>
      <c r="BZ30" s="13" t="n">
        <f aca="false">IF('Cash Drivers'!BZ$26,Finance!BY30,Finance!CA30)</f>
        <v>2000</v>
      </c>
      <c r="CA30" s="89" t="n">
        <v>2000</v>
      </c>
      <c r="CB30" s="12"/>
      <c r="CC30" s="12" t="n">
        <f aca="false">IF('Cash Drivers'!CC$26,Finance!CB30,Finance!CD30)</f>
        <v>2000</v>
      </c>
      <c r="CD30" s="90" t="n">
        <v>2000</v>
      </c>
      <c r="CE30" s="13"/>
      <c r="CF30" s="13" t="n">
        <f aca="false">IF('Cash Drivers'!CF$26,Finance!CE30,Finance!CG30)</f>
        <v>2000</v>
      </c>
      <c r="CG30" s="89" t="n">
        <v>2000</v>
      </c>
      <c r="CH30" s="12"/>
      <c r="CI30" s="12" t="n">
        <f aca="false">IF('Cash Drivers'!CI$26,Finance!CH30,Finance!CJ30)</f>
        <v>2000</v>
      </c>
      <c r="CJ30" s="90" t="n">
        <v>2000</v>
      </c>
      <c r="CK30" s="13"/>
      <c r="CL30" s="13" t="n">
        <f aca="false">IF('Cash Drivers'!CL$26,Finance!CK30,Finance!CM30)</f>
        <v>2000</v>
      </c>
      <c r="CM30" s="89" t="n">
        <v>2000</v>
      </c>
      <c r="CN30" s="12"/>
      <c r="CO30" s="12" t="n">
        <f aca="false">IF('Cash Drivers'!CO$26,Finance!CN30,Finance!CP30)</f>
        <v>2000</v>
      </c>
      <c r="CP30" s="90" t="n">
        <v>2000</v>
      </c>
      <c r="CQ30" s="13"/>
      <c r="CR30" s="13" t="n">
        <f aca="false">IF('Cash Drivers'!CR$26,Finance!CQ30,Finance!CS30)</f>
        <v>2000</v>
      </c>
      <c r="CS30" s="89" t="n">
        <v>2000</v>
      </c>
      <c r="CT30" s="12"/>
      <c r="CU30" s="12" t="n">
        <f aca="false">IF('Cash Drivers'!CU$26,Finance!CT30,Finance!CV30)</f>
        <v>2000</v>
      </c>
      <c r="CV30" s="90" t="n">
        <v>2000</v>
      </c>
      <c r="CW30" s="13"/>
      <c r="CX30" s="13" t="n">
        <f aca="false">IF('Cash Drivers'!CX$26,Finance!CW30,Finance!CY30)</f>
        <v>2000</v>
      </c>
      <c r="CY30" s="89" t="n">
        <v>2000</v>
      </c>
      <c r="CZ30" s="12"/>
      <c r="DA30" s="12" t="n">
        <f aca="false">IF('Cash Drivers'!DA$26,Finance!CZ30,Finance!DB30)</f>
        <v>2000</v>
      </c>
      <c r="DB30" s="90" t="n">
        <v>2000</v>
      </c>
      <c r="DC30" s="13"/>
      <c r="DD30" s="13" t="n">
        <f aca="false">IF('Cash Drivers'!DD$26,Finance!DC30,Finance!DE30)</f>
        <v>2000</v>
      </c>
      <c r="DE30" s="89" t="n">
        <v>2000</v>
      </c>
      <c r="DF30" s="12"/>
      <c r="DG30" s="12" t="n">
        <f aca="false">IF('Cash Drivers'!DG$26,Finance!DF30,Finance!DH30)</f>
        <v>2000</v>
      </c>
      <c r="DH30" s="90" t="n">
        <v>2000</v>
      </c>
      <c r="DI30" s="89" t="n">
        <v>2000</v>
      </c>
      <c r="DJ30" s="13" t="n">
        <f aca="false">IF('Cash Drivers'!DJ$26,Finance!DI30,Finance!DK30)</f>
        <v>2000</v>
      </c>
      <c r="DK30" s="89" t="n">
        <v>2000</v>
      </c>
      <c r="DL30" s="90" t="n">
        <v>2000</v>
      </c>
      <c r="DM30" s="12" t="n">
        <f aca="false">IF('Cash Drivers'!DM$26,Finance!DL30,Finance!DN30)</f>
        <v>2000</v>
      </c>
      <c r="DN30" s="90" t="n">
        <v>2000</v>
      </c>
    </row>
    <row r="31" customFormat="false" ht="15.75" hidden="false" customHeight="true" outlineLevel="0" collapsed="false">
      <c r="A31" s="14" t="s">
        <v>167</v>
      </c>
      <c r="B31" s="15" t="str">
        <f aca="false">IF(COUNT(AR31,AO31,AL31,AI31,AF31,AC31,Z31,W31,T31,Q31,N31,K31)=0,"",SUM(AR31,AO31,AL31,AI31,AF31,AC31,Z31,W31,T31,Q31,N31,K31))</f>
        <v/>
      </c>
      <c r="C31" s="15" t="n">
        <f aca="false">IF(COUNT(AS31,AP31,AM31,AJ31,AG31,AD31,AA31,X31,U31,R31,O31,L31)=0,"",SUM(AS31,AP31,AM31,AJ31,AG31,AD31,AA31,X31,U31,R31,O31,L31))</f>
        <v>1722480</v>
      </c>
      <c r="D31" s="15" t="n">
        <f aca="false">IF(COUNT(AT31,AQ31,AN31,AK31,AH31,AE31,AB31,Y31,V31,S31,P31,M31)=0,"",SUM(AT31,AQ31,AN31,AK31,AH31,AE31,AB31,Y31,V31,S31,P31,M31))</f>
        <v>1722480</v>
      </c>
      <c r="E31" s="16" t="str">
        <f aca="false">IF(COUNT(CB31,BY31,BV31,BS31,BP31,BM31,BJ31,BG31,BD31,BA31,AX31,AU31)=0,"",SUM(CB31,BY31,BV31,BS31,BP31,BM31,BJ31,BG31,BD31,BA31,AX31,AU31))</f>
        <v/>
      </c>
      <c r="F31" s="16" t="n">
        <f aca="false">IF(COUNT(CC31,BZ31,BW31,BT31,BQ31,BN31,BK31,BH31,BE31,BB31,AY31,AV31)=0,"",SUM(CC31,BZ31,BW31,BT31,BQ31,BN31,BK31,BH31,BE31,BB31,AY31,AV31))</f>
        <v>1679780</v>
      </c>
      <c r="G31" s="16" t="n">
        <f aca="false">IF(COUNT(CD31,CA31,BX31,BU31,BR31,BO31,BL31,BI31,BF31,BC31,AZ31,AW31)=0,"",SUM(CD31,CA31,BX31,BU31,BR31,BO31,BL31,BI31,BF31,BC31,AZ31,AW31))</f>
        <v>1679780</v>
      </c>
      <c r="H31" s="15" t="n">
        <f aca="false">IF(COUNT(DL31,DI31,DF31,DC31,CZ31,CW31,CT31,CQ31,CN31,CK31,CH31,CE31)=0,"",SUM(DL31,DI31,DF31,DC31,CZ31,CW31,CT31,CQ31,CN31,CK31,CH31,CE31))</f>
        <v>270000</v>
      </c>
      <c r="I31" s="15" t="n">
        <f aca="false">IF(COUNT(DM31,DJ31,DG31,DD31,DA31,CX31,CU31,CR31,CO31,CL31,CI31,CF31)=0,"",SUM(DM31,DJ31,DG31,DD31,DA31,CX31,CU31,CR31,CO31,CL31,CI31,CF31))</f>
        <v>1620000</v>
      </c>
      <c r="J31" s="15" t="n">
        <f aca="false">IF(COUNT(DN31,DK31,DH31,DE31,DB31,CY31,CV31,CS31,CP31,CM31,CJ31,CG31)=0,"",SUM(DN31,DK31,DH31,DE31,DB31,CY31,CV31,CS31,CP31,CM31,CJ31,CG31))</f>
        <v>1620000</v>
      </c>
      <c r="K31" s="16" t="str">
        <f aca="false">IF(COUNT(K22,K23,K24,K25,K26,K27,K28,K29,K30)=0,"",SUM(K22:K30))</f>
        <v/>
      </c>
      <c r="L31" s="16" t="n">
        <f aca="false">SUM(L22:L30)</f>
        <v>143540</v>
      </c>
      <c r="M31" s="16" t="n">
        <f aca="false">SUM(M22:M30)</f>
        <v>143540</v>
      </c>
      <c r="N31" s="15" t="str">
        <f aca="false">IF(COUNT(N22,N23,N24,N25,N26,N27,N28,N29,N30)=0,"",SUM(N22:N30))</f>
        <v/>
      </c>
      <c r="O31" s="15" t="n">
        <f aca="false">SUM(O22:O30)</f>
        <v>143540</v>
      </c>
      <c r="P31" s="15" t="n">
        <f aca="false">SUM(P22:P30)</f>
        <v>143540</v>
      </c>
      <c r="Q31" s="16" t="str">
        <f aca="false">IF(COUNT(Q22,Q23,Q24,Q25,Q26,Q27,Q28,Q29,Q30)=0,"",SUM(Q22:Q30))</f>
        <v/>
      </c>
      <c r="R31" s="16" t="n">
        <f aca="false">SUM(R22:R30)</f>
        <v>143540</v>
      </c>
      <c r="S31" s="16" t="n">
        <f aca="false">SUM(S22:S30)</f>
        <v>143540</v>
      </c>
      <c r="T31" s="15" t="str">
        <f aca="false">IF(COUNT(T22,T23,T24,T25,T26,T27,T28,T29,T30)=0,"",SUM(T22:T30))</f>
        <v/>
      </c>
      <c r="U31" s="15" t="n">
        <f aca="false">SUM(U22:U30)</f>
        <v>143540</v>
      </c>
      <c r="V31" s="15" t="n">
        <f aca="false">SUM(V22:V30)</f>
        <v>143540</v>
      </c>
      <c r="W31" s="16" t="str">
        <f aca="false">IF(COUNT(W22,W23,W24,W25,W26,W27,W28,W29,W30)=0,"",SUM(W22:W30))</f>
        <v/>
      </c>
      <c r="X31" s="16" t="n">
        <f aca="false">SUM(X22:X30)</f>
        <v>143540</v>
      </c>
      <c r="Y31" s="16" t="n">
        <f aca="false">SUM(Y22:Y30)</f>
        <v>143540</v>
      </c>
      <c r="Z31" s="15" t="str">
        <f aca="false">IF(COUNT(Z22,Z23,Z24,Z25,Z26,Z27,Z28,Z29,Z30)=0,"",SUM(Z22:Z30))</f>
        <v/>
      </c>
      <c r="AA31" s="15" t="n">
        <f aca="false">SUM(AA22:AA30)</f>
        <v>143540</v>
      </c>
      <c r="AB31" s="15" t="n">
        <f aca="false">SUM(AB22:AB30)</f>
        <v>143540</v>
      </c>
      <c r="AC31" s="16" t="str">
        <f aca="false">IF(COUNT(AC22,AC23,AC24,AC25,AC26,AC27,AC28,AC29,AC30)=0,"",SUM(AC22:AC30))</f>
        <v/>
      </c>
      <c r="AD31" s="16" t="n">
        <f aca="false">SUM(AD22:AD30)</f>
        <v>143540</v>
      </c>
      <c r="AE31" s="16" t="n">
        <f aca="false">SUM(AE22:AE30)</f>
        <v>143540</v>
      </c>
      <c r="AF31" s="15" t="str">
        <f aca="false">IF(COUNT(AF22,AF23,AF24,AF25,AF26,AF27,AF28,AF29,AF30)=0,"",SUM(AF22:AF30))</f>
        <v/>
      </c>
      <c r="AG31" s="15" t="n">
        <f aca="false">SUM(AG22:AG30)</f>
        <v>143540</v>
      </c>
      <c r="AH31" s="15" t="n">
        <f aca="false">SUM(AH22:AH30)</f>
        <v>143540</v>
      </c>
      <c r="AI31" s="16" t="str">
        <f aca="false">IF(COUNT(AI22,AI23,AI24,AI25,AI26,AI27,AI28,AI29,AI30)=0,"",SUM(AI22:AI30))</f>
        <v/>
      </c>
      <c r="AJ31" s="16" t="n">
        <f aca="false">SUM(AJ22:AJ30)</f>
        <v>143540</v>
      </c>
      <c r="AK31" s="16" t="n">
        <f aca="false">SUM(AK22:AK30)</f>
        <v>143540</v>
      </c>
      <c r="AL31" s="15" t="str">
        <f aca="false">IF(COUNT(AL22,AL23,AL24,AL25,AL26,AL27,AL28,AL29,AL30)=0,"",SUM(AL22:AL30))</f>
        <v/>
      </c>
      <c r="AM31" s="15" t="n">
        <f aca="false">SUM(AM22:AM30)</f>
        <v>143540</v>
      </c>
      <c r="AN31" s="15" t="n">
        <f aca="false">SUM(AN22:AN30)</f>
        <v>143540</v>
      </c>
      <c r="AO31" s="16" t="str">
        <f aca="false">IF(COUNT(AO22,AO23,AO24,AO25,AO26,AO27,AO28,AO29,AO30)=0,"",SUM(AO22:AO30))</f>
        <v/>
      </c>
      <c r="AP31" s="16" t="n">
        <f aca="false">SUM(AP22:AP30)</f>
        <v>143540</v>
      </c>
      <c r="AQ31" s="16" t="n">
        <f aca="false">SUM(AQ22:AQ30)</f>
        <v>143540</v>
      </c>
      <c r="AR31" s="15" t="str">
        <f aca="false">IF(COUNT(AR22,AR23,AR24,AR25,AR26,AR27,AR28,AR29,AR30)=0,"",SUM(AR22:AR30))</f>
        <v/>
      </c>
      <c r="AS31" s="15" t="n">
        <f aca="false">SUM(AS22:AS30)</f>
        <v>143540</v>
      </c>
      <c r="AT31" s="15" t="n">
        <f aca="false">SUM(AT22:AT30)</f>
        <v>143540</v>
      </c>
      <c r="AU31" s="16" t="str">
        <f aca="false">IF(COUNT(AU22,AU23,AU24,AU25,AU26,AU27,AU28,AU29,AU30)=0,"",SUM(AU22:AU30))</f>
        <v/>
      </c>
      <c r="AV31" s="16" t="n">
        <f aca="false">SUM(AV22:AV30)</f>
        <v>143540</v>
      </c>
      <c r="AW31" s="16" t="n">
        <f aca="false">SUM(AW22:AW30)</f>
        <v>143540</v>
      </c>
      <c r="AX31" s="15" t="str">
        <f aca="false">IF(COUNT(AX22,AX23,AX24,AX25,AX26,AX27,AX28,AX29,AX30)=0,"",SUM(AX22:AX30))</f>
        <v/>
      </c>
      <c r="AY31" s="15" t="n">
        <f aca="false">SUM(AY22:AY30)</f>
        <v>143540</v>
      </c>
      <c r="AZ31" s="15" t="n">
        <f aca="false">SUM(AZ22:AZ30)</f>
        <v>143540</v>
      </c>
      <c r="BA31" s="16" t="str">
        <f aca="false">IF(COUNT(BA22,BA23,BA24,BA25,BA26,BA27,BA28,BA29,BA30)=0,"",SUM(BA22:BA30))</f>
        <v/>
      </c>
      <c r="BB31" s="16" t="n">
        <f aca="false">SUM(BB22:BB30)</f>
        <v>143540</v>
      </c>
      <c r="BC31" s="16" t="n">
        <f aca="false">SUM(BC22:BC30)</f>
        <v>143540</v>
      </c>
      <c r="BD31" s="15" t="str">
        <f aca="false">IF(COUNT(BD22,BD23,BD24,BD25,BD26,BD27,BD28,BD29,BD30)=0,"",SUM(BD22:BD30))</f>
        <v/>
      </c>
      <c r="BE31" s="15" t="n">
        <f aca="false">SUM(BE22:BE30)</f>
        <v>143540</v>
      </c>
      <c r="BF31" s="15" t="n">
        <f aca="false">SUM(BF22:BF30)</f>
        <v>143540</v>
      </c>
      <c r="BG31" s="16" t="str">
        <f aca="false">IF(COUNT(BG22,BG23,BG24,BG25,BG26,BG27,BG28,BG29,BG30)=0,"",SUM(BG22:BG30))</f>
        <v/>
      </c>
      <c r="BH31" s="16" t="n">
        <f aca="false">SUM(BH22:BH30)</f>
        <v>143540</v>
      </c>
      <c r="BI31" s="16" t="n">
        <f aca="false">SUM(BI22:BI30)</f>
        <v>143540</v>
      </c>
      <c r="BJ31" s="15" t="str">
        <f aca="false">IF(COUNT(BJ22,BJ23,BJ24,BJ25,BJ26,BJ27,BJ28,BJ29,BJ30)=0,"",SUM(BJ22:BJ30))</f>
        <v/>
      </c>
      <c r="BK31" s="15" t="n">
        <f aca="false">SUM(BK22:BK30)</f>
        <v>143540</v>
      </c>
      <c r="BL31" s="15" t="n">
        <f aca="false">SUM(BL22:BL30)</f>
        <v>143540</v>
      </c>
      <c r="BM31" s="16" t="str">
        <f aca="false">IF(COUNT(BM22,BM23,BM24,BM25,BM26,BM27,BM28,BM29,BM30)=0,"",SUM(BM22:BM30))</f>
        <v/>
      </c>
      <c r="BN31" s="16" t="n">
        <f aca="false">SUM(BN22:BN30)</f>
        <v>143540</v>
      </c>
      <c r="BO31" s="16" t="n">
        <f aca="false">SUM(BO22:BO30)</f>
        <v>143540</v>
      </c>
      <c r="BP31" s="15" t="str">
        <f aca="false">IF(COUNT(BP22,BP23,BP24,BP25,BP26,BP27,BP28,BP29,BP30)=0,"",SUM(BP22:BP30))</f>
        <v/>
      </c>
      <c r="BQ31" s="15" t="n">
        <f aca="false">SUM(BQ22:BQ30)</f>
        <v>135000</v>
      </c>
      <c r="BR31" s="15" t="n">
        <f aca="false">SUM(BR22:BR30)</f>
        <v>135000</v>
      </c>
      <c r="BS31" s="16" t="str">
        <f aca="false">IF(COUNT(BS22,BS23,BS24,BS25,BS26,BS27,BS28,BS29,BS30)=0,"",SUM(BS22:BS30))</f>
        <v/>
      </c>
      <c r="BT31" s="16" t="n">
        <f aca="false">SUM(BT22:BT30)</f>
        <v>135000</v>
      </c>
      <c r="BU31" s="16" t="n">
        <f aca="false">SUM(BU22:BU30)</f>
        <v>135000</v>
      </c>
      <c r="BV31" s="15" t="str">
        <f aca="false">IF(COUNT(BV22,BV23,BV24,BV25,BV26,BV27,BV28,BV29,BV30)=0,"",SUM(BV22:BV30))</f>
        <v/>
      </c>
      <c r="BW31" s="15" t="n">
        <f aca="false">SUM(BW22:BW30)</f>
        <v>135000</v>
      </c>
      <c r="BX31" s="15" t="n">
        <f aca="false">SUM(BX22:BX30)</f>
        <v>135000</v>
      </c>
      <c r="BY31" s="16" t="str">
        <f aca="false">IF(COUNT(BY22,BY23,BY24,BY25,BY26,BY27,BY28,BY29,BY30)=0,"",SUM(BY22:BY30))</f>
        <v/>
      </c>
      <c r="BZ31" s="16" t="n">
        <f aca="false">SUM(BZ22:BZ30)</f>
        <v>135000</v>
      </c>
      <c r="CA31" s="16" t="n">
        <f aca="false">SUM(CA22:CA30)</f>
        <v>135000</v>
      </c>
      <c r="CB31" s="15" t="str">
        <f aca="false">IF(COUNT(CB22,CB23,CB24,CB25,CB26,CB27,CB28,CB29,CB30)=0,"",SUM(CB22:CB30))</f>
        <v/>
      </c>
      <c r="CC31" s="15" t="n">
        <f aca="false">SUM(CC22:CC30)</f>
        <v>135000</v>
      </c>
      <c r="CD31" s="15" t="n">
        <f aca="false">SUM(CD22:CD30)</f>
        <v>135000</v>
      </c>
      <c r="CE31" s="16" t="str">
        <f aca="false">IF(COUNT(CE22,CE23,CE24,CE25,CE26,CE27,CE28,CE29,CE30)=0,"",SUM(CE22:CE30))</f>
        <v/>
      </c>
      <c r="CF31" s="16" t="n">
        <f aca="false">SUM(CF22:CF30)</f>
        <v>135000</v>
      </c>
      <c r="CG31" s="16" t="n">
        <f aca="false">SUM(CG22:CG30)</f>
        <v>135000</v>
      </c>
      <c r="CH31" s="15" t="str">
        <f aca="false">IF(COUNT(CH22,CH23,CH24,CH25,CH26,CH27,CH28,CH29,CH30)=0,"",SUM(CH22:CH30))</f>
        <v/>
      </c>
      <c r="CI31" s="15" t="n">
        <f aca="false">SUM(CI22:CI30)</f>
        <v>135000</v>
      </c>
      <c r="CJ31" s="15" t="n">
        <f aca="false">SUM(CJ22:CJ30)</f>
        <v>135000</v>
      </c>
      <c r="CK31" s="16" t="str">
        <f aca="false">IF(COUNT(CK22,CK23,CK24,CK25,CK26,CK27,CK28,CK29,CK30)=0,"",SUM(CK22:CK30))</f>
        <v/>
      </c>
      <c r="CL31" s="16" t="n">
        <f aca="false">SUM(CL22:CL30)</f>
        <v>135000</v>
      </c>
      <c r="CM31" s="16" t="n">
        <f aca="false">SUM(CM22:CM30)</f>
        <v>135000</v>
      </c>
      <c r="CN31" s="15" t="str">
        <f aca="false">IF(COUNT(CN22,CN23,CN24,CN25,CN26,CN27,CN28,CN29,CN30)=0,"",SUM(CN22:CN30))</f>
        <v/>
      </c>
      <c r="CO31" s="15" t="n">
        <f aca="false">SUM(CO22:CO30)</f>
        <v>135000</v>
      </c>
      <c r="CP31" s="15" t="n">
        <f aca="false">SUM(CP22:CP30)</f>
        <v>135000</v>
      </c>
      <c r="CQ31" s="16" t="str">
        <f aca="false">IF(COUNT(CQ22,CQ23,CQ24,CQ25,CQ26,CQ27,CQ28,CQ29,CQ30)=0,"",SUM(CQ22:CQ30))</f>
        <v/>
      </c>
      <c r="CR31" s="16" t="n">
        <f aca="false">SUM(CR22:CR30)</f>
        <v>135000</v>
      </c>
      <c r="CS31" s="16" t="n">
        <f aca="false">SUM(CS22:CS30)</f>
        <v>135000</v>
      </c>
      <c r="CT31" s="15" t="str">
        <f aca="false">IF(COUNT(CT22,CT23,CT24,CT25,CT26,CT27,CT28,CT29,CT30)=0,"",SUM(CT22:CT30))</f>
        <v/>
      </c>
      <c r="CU31" s="15" t="n">
        <f aca="false">SUM(CU22:CU30)</f>
        <v>135000</v>
      </c>
      <c r="CV31" s="15" t="n">
        <f aca="false">SUM(CV22:CV30)</f>
        <v>135000</v>
      </c>
      <c r="CW31" s="16" t="str">
        <f aca="false">IF(COUNT(CW22,CW23,CW24,CW25,CW26,CW27,CW28,CW29,CW30)=0,"",SUM(CW22:CW30))</f>
        <v/>
      </c>
      <c r="CX31" s="16" t="n">
        <f aca="false">SUM(CX22:CX30)</f>
        <v>135000</v>
      </c>
      <c r="CY31" s="16" t="n">
        <f aca="false">SUM(CY22:CY30)</f>
        <v>135000</v>
      </c>
      <c r="CZ31" s="15" t="str">
        <f aca="false">IF(COUNT(CZ22,CZ23,CZ24,CZ25,CZ26,CZ27,CZ28,CZ29,CZ30)=0,"",SUM(CZ22:CZ30))</f>
        <v/>
      </c>
      <c r="DA31" s="15" t="n">
        <f aca="false">SUM(DA22:DA30)</f>
        <v>135000</v>
      </c>
      <c r="DB31" s="15" t="n">
        <f aca="false">SUM(DB22:DB30)</f>
        <v>135000</v>
      </c>
      <c r="DC31" s="16" t="str">
        <f aca="false">IF(COUNT(DC22,DC23,DC24,DC25,DC26,DC27,DC28,DC29,DC30)=0,"",SUM(DC22:DC30))</f>
        <v/>
      </c>
      <c r="DD31" s="16" t="n">
        <f aca="false">SUM(DD22:DD30)</f>
        <v>135000</v>
      </c>
      <c r="DE31" s="16" t="n">
        <f aca="false">SUM(DE22:DE30)</f>
        <v>135000</v>
      </c>
      <c r="DF31" s="15" t="str">
        <f aca="false">IF(COUNT(DF22,DF23,DF24,DF25,DF26,DF27,DF28,DF29,DF30)=0,"",SUM(DF22:DF30))</f>
        <v/>
      </c>
      <c r="DG31" s="15" t="n">
        <f aca="false">SUM(DG22:DG30)</f>
        <v>135000</v>
      </c>
      <c r="DH31" s="15" t="n">
        <f aca="false">SUM(DH22:DH30)</f>
        <v>135000</v>
      </c>
      <c r="DI31" s="16" t="n">
        <f aca="false">IF(COUNT(DI22,DI23,DI24,DI25,DI26,DI27,DI28,DI29,DI30)=0,"",SUM(DI22:DI30))</f>
        <v>135000</v>
      </c>
      <c r="DJ31" s="16" t="n">
        <f aca="false">SUM(DJ22:DJ30)</f>
        <v>135000</v>
      </c>
      <c r="DK31" s="16" t="n">
        <f aca="false">SUM(DK22:DK30)</f>
        <v>135000</v>
      </c>
      <c r="DL31" s="15" t="n">
        <f aca="false">IF(COUNT(DL22,DL23,DL24,DL25,DL26,DL27,DL28,DL29,DL30)=0,"",SUM(DL22:DL30))</f>
        <v>135000</v>
      </c>
      <c r="DM31" s="15" t="n">
        <f aca="false">SUM(DM22:DM30)</f>
        <v>135000</v>
      </c>
      <c r="DN31" s="15" t="n">
        <f aca="false">SUM(DN22:DN30)</f>
        <v>135000</v>
      </c>
    </row>
    <row r="32" customFormat="false" ht="15.75" hidden="false" customHeight="true" outlineLevel="0" collapsed="false">
      <c r="A32" s="5" t="s">
        <v>287</v>
      </c>
      <c r="B32" s="12" t="str">
        <f aca="false">IF(COUNT(AR32,AO32,AL32,AI32,AF32,AC32,Z32,W32,T32,Q32,N32,K32)=0,"",SUM(AR32,AO32,AL32,AI32,AF32,AC32,Z32,W32,T32,Q32,N32,K32))</f>
        <v/>
      </c>
      <c r="C32" s="12" t="n">
        <f aca="false">IF(COUNT(AS32,AP32,AM32,AJ32,AG32,AD32,AA32,X32,U32,R32,O32,L32)=0,"",SUM(AS32,AP32,AM32,AJ32,AG32,AD32,AA32,X32,U32,R32,O32,L32))</f>
        <v>120000</v>
      </c>
      <c r="D32" s="12" t="n">
        <f aca="false">IF(COUNT(AT32,AQ32,AN32,AK32,AH32,AE32,AB32,Y32,V32,S32,P32,M32)=0,"",SUM(AT32,AQ32,AN32,AK32,AH32,AE32,AB32,Y32,V32,S32,P32,M32))</f>
        <v>120000</v>
      </c>
      <c r="E32" s="13" t="str">
        <f aca="false">IF(COUNT(CB32,BY32,BV32,BS32,BP32,BM32,BJ32,BG32,BD32,BA32,AX32,AU32)=0,"",SUM(CB32,BY32,BV32,BS32,BP32,BM32,BJ32,BG32,BD32,BA32,AX32,AU32))</f>
        <v/>
      </c>
      <c r="F32" s="13" t="n">
        <f aca="false">IF(COUNT(CC32,BZ32,BW32,BT32,BQ32,BN32,BK32,BH32,BE32,BB32,AY32,AV32)=0,"",SUM(CC32,BZ32,BW32,BT32,BQ32,BN32,BK32,BH32,BE32,BB32,AY32,AV32))</f>
        <v>120000</v>
      </c>
      <c r="G32" s="13" t="n">
        <f aca="false">IF(COUNT(CD32,CA32,BX32,BU32,BR32,BO32,BL32,BI32,BF32,BC32,AZ32,AW32)=0,"",SUM(CD32,CA32,BX32,BU32,BR32,BO32,BL32,BI32,BF32,BC32,AZ32,AW32))</f>
        <v>120000</v>
      </c>
      <c r="H32" s="12" t="n">
        <f aca="false">IF(COUNT(DL32,DI32,DF32,DC32,CZ32,CW32,CT32,CQ32,CN32,CK32,CH32,CE32)=0,"",SUM(DL32,DI32,DF32,DC32,CZ32,CW32,CT32,CQ32,CN32,CK32,CH32,CE32))</f>
        <v>20000</v>
      </c>
      <c r="I32" s="12" t="n">
        <f aca="false">IF(COUNT(DM32,DJ32,DG32,DD32,DA32,CX32,CU32,CR32,CO32,CL32,CI32,CF32)=0,"",SUM(DM32,DJ32,DG32,DD32,DA32,CX32,CU32,CR32,CO32,CL32,CI32,CF32))</f>
        <v>120000</v>
      </c>
      <c r="J32" s="12" t="n">
        <f aca="false">IF(COUNT(DN32,DK32,DH32,DE32,DB32,CY32,CV32,CS32,CP32,CM32,CJ32,CG32)=0,"",SUM(DN32,DK32,DH32,DE32,DB32,CY32,CV32,CS32,CP32,CM32,CJ32,CG32))</f>
        <v>120000</v>
      </c>
      <c r="K32" s="13"/>
      <c r="L32" s="13" t="n">
        <f aca="false">IF('Cash Drivers'!L$26,Finance!K32,Finance!M32)</f>
        <v>10000</v>
      </c>
      <c r="M32" s="89" t="n">
        <v>10000</v>
      </c>
      <c r="N32" s="12"/>
      <c r="O32" s="12" t="n">
        <f aca="false">IF('Cash Drivers'!O$26,Finance!N32,Finance!P32)</f>
        <v>10000</v>
      </c>
      <c r="P32" s="90" t="n">
        <v>10000</v>
      </c>
      <c r="Q32" s="13"/>
      <c r="R32" s="13" t="n">
        <f aca="false">IF('Cash Drivers'!R$26,Finance!Q32,Finance!S32)</f>
        <v>10000</v>
      </c>
      <c r="S32" s="89" t="n">
        <v>10000</v>
      </c>
      <c r="T32" s="12"/>
      <c r="U32" s="12" t="n">
        <f aca="false">IF('Cash Drivers'!U$26,Finance!T32,Finance!V32)</f>
        <v>10000</v>
      </c>
      <c r="V32" s="90" t="n">
        <v>10000</v>
      </c>
      <c r="W32" s="13"/>
      <c r="X32" s="13" t="n">
        <f aca="false">IF('Cash Drivers'!X$26,Finance!W32,Finance!Y32)</f>
        <v>10000</v>
      </c>
      <c r="Y32" s="89" t="n">
        <v>10000</v>
      </c>
      <c r="Z32" s="12"/>
      <c r="AA32" s="12" t="n">
        <f aca="false">IF('Cash Drivers'!AA$26,Finance!Z32,Finance!AB32)</f>
        <v>10000</v>
      </c>
      <c r="AB32" s="90" t="n">
        <v>10000</v>
      </c>
      <c r="AC32" s="13"/>
      <c r="AD32" s="13" t="n">
        <f aca="false">IF('Cash Drivers'!AD$26,Finance!AC32,Finance!AE32)</f>
        <v>10000</v>
      </c>
      <c r="AE32" s="89" t="n">
        <v>10000</v>
      </c>
      <c r="AF32" s="12"/>
      <c r="AG32" s="12" t="n">
        <f aca="false">IF('Cash Drivers'!AG$26,Finance!AF32,Finance!AH32)</f>
        <v>10000</v>
      </c>
      <c r="AH32" s="90" t="n">
        <v>10000</v>
      </c>
      <c r="AI32" s="13"/>
      <c r="AJ32" s="13" t="n">
        <f aca="false">IF('Cash Drivers'!AJ$26,Finance!AI32,Finance!AK32)</f>
        <v>10000</v>
      </c>
      <c r="AK32" s="89" t="n">
        <v>10000</v>
      </c>
      <c r="AL32" s="12"/>
      <c r="AM32" s="12" t="n">
        <f aca="false">IF('Cash Drivers'!AM$26,Finance!AL32,Finance!AN32)</f>
        <v>10000</v>
      </c>
      <c r="AN32" s="90" t="n">
        <v>10000</v>
      </c>
      <c r="AO32" s="13"/>
      <c r="AP32" s="13" t="n">
        <f aca="false">IF('Cash Drivers'!AP$26,Finance!AO32,Finance!AQ32)</f>
        <v>10000</v>
      </c>
      <c r="AQ32" s="89" t="n">
        <v>10000</v>
      </c>
      <c r="AR32" s="12"/>
      <c r="AS32" s="12" t="n">
        <f aca="false">IF('Cash Drivers'!AS$26,Finance!AR32,Finance!AT32)</f>
        <v>10000</v>
      </c>
      <c r="AT32" s="90" t="n">
        <v>10000</v>
      </c>
      <c r="AU32" s="13"/>
      <c r="AV32" s="13" t="n">
        <f aca="false">IF('Cash Drivers'!AV$26,Finance!AU32,Finance!AW32)</f>
        <v>10000</v>
      </c>
      <c r="AW32" s="89" t="n">
        <v>10000</v>
      </c>
      <c r="AX32" s="12"/>
      <c r="AY32" s="12" t="n">
        <f aca="false">IF('Cash Drivers'!AY$26,Finance!AX32,Finance!AZ32)</f>
        <v>10000</v>
      </c>
      <c r="AZ32" s="90" t="n">
        <v>10000</v>
      </c>
      <c r="BA32" s="13"/>
      <c r="BB32" s="13" t="n">
        <f aca="false">IF('Cash Drivers'!BB$26,Finance!BA32,Finance!BC32)</f>
        <v>10000</v>
      </c>
      <c r="BC32" s="89" t="n">
        <v>10000</v>
      </c>
      <c r="BD32" s="12"/>
      <c r="BE32" s="12" t="n">
        <f aca="false">IF('Cash Drivers'!BE$26,Finance!BD32,Finance!BF32)</f>
        <v>10000</v>
      </c>
      <c r="BF32" s="90" t="n">
        <v>10000</v>
      </c>
      <c r="BG32" s="13"/>
      <c r="BH32" s="13" t="n">
        <f aca="false">IF('Cash Drivers'!BH$26,Finance!BG32,Finance!BI32)</f>
        <v>10000</v>
      </c>
      <c r="BI32" s="89" t="n">
        <v>10000</v>
      </c>
      <c r="BJ32" s="12"/>
      <c r="BK32" s="12" t="n">
        <f aca="false">IF('Cash Drivers'!BK$26,Finance!BJ32,Finance!BL32)</f>
        <v>10000</v>
      </c>
      <c r="BL32" s="90" t="n">
        <v>10000</v>
      </c>
      <c r="BM32" s="13"/>
      <c r="BN32" s="13" t="n">
        <f aca="false">IF('Cash Drivers'!BN$26,Finance!BM32,Finance!BO32)</f>
        <v>10000</v>
      </c>
      <c r="BO32" s="89" t="n">
        <v>10000</v>
      </c>
      <c r="BP32" s="12"/>
      <c r="BQ32" s="12" t="n">
        <f aca="false">IF('Cash Drivers'!BQ$26,Finance!BP32,Finance!BR32)</f>
        <v>10000</v>
      </c>
      <c r="BR32" s="90" t="n">
        <v>10000</v>
      </c>
      <c r="BS32" s="13"/>
      <c r="BT32" s="13" t="n">
        <f aca="false">IF('Cash Drivers'!BT$26,Finance!BS32,Finance!BU32)</f>
        <v>10000</v>
      </c>
      <c r="BU32" s="89" t="n">
        <v>10000</v>
      </c>
      <c r="BV32" s="12"/>
      <c r="BW32" s="12" t="n">
        <f aca="false">IF('Cash Drivers'!BW$26,Finance!BV32,Finance!BX32)</f>
        <v>10000</v>
      </c>
      <c r="BX32" s="90" t="n">
        <v>10000</v>
      </c>
      <c r="BY32" s="13"/>
      <c r="BZ32" s="13" t="n">
        <f aca="false">IF('Cash Drivers'!BZ$26,Finance!BY32,Finance!CA32)</f>
        <v>10000</v>
      </c>
      <c r="CA32" s="89" t="n">
        <v>10000</v>
      </c>
      <c r="CB32" s="12"/>
      <c r="CC32" s="12" t="n">
        <f aca="false">IF('Cash Drivers'!CC$26,Finance!CB32,Finance!CD32)</f>
        <v>10000</v>
      </c>
      <c r="CD32" s="90" t="n">
        <v>10000</v>
      </c>
      <c r="CE32" s="13"/>
      <c r="CF32" s="13" t="n">
        <f aca="false">IF('Cash Drivers'!CF$26,Finance!CE32,Finance!CG32)</f>
        <v>10000</v>
      </c>
      <c r="CG32" s="89" t="n">
        <v>10000</v>
      </c>
      <c r="CH32" s="12"/>
      <c r="CI32" s="12" t="n">
        <f aca="false">IF('Cash Drivers'!CI$26,Finance!CH32,Finance!CJ32)</f>
        <v>10000</v>
      </c>
      <c r="CJ32" s="90" t="n">
        <v>10000</v>
      </c>
      <c r="CK32" s="13"/>
      <c r="CL32" s="13" t="n">
        <f aca="false">IF('Cash Drivers'!CL$26,Finance!CK32,Finance!CM32)</f>
        <v>10000</v>
      </c>
      <c r="CM32" s="89" t="n">
        <v>10000</v>
      </c>
      <c r="CN32" s="12"/>
      <c r="CO32" s="12" t="n">
        <f aca="false">IF('Cash Drivers'!CO$26,Finance!CN32,Finance!CP32)</f>
        <v>10000</v>
      </c>
      <c r="CP32" s="90" t="n">
        <v>10000</v>
      </c>
      <c r="CQ32" s="13"/>
      <c r="CR32" s="13" t="n">
        <f aca="false">IF('Cash Drivers'!CR$26,Finance!CQ32,Finance!CS32)</f>
        <v>10000</v>
      </c>
      <c r="CS32" s="89" t="n">
        <v>10000</v>
      </c>
      <c r="CT32" s="12"/>
      <c r="CU32" s="12" t="n">
        <f aca="false">IF('Cash Drivers'!CU$26,Finance!CT32,Finance!CV32)</f>
        <v>10000</v>
      </c>
      <c r="CV32" s="90" t="n">
        <v>10000</v>
      </c>
      <c r="CW32" s="13"/>
      <c r="CX32" s="13" t="n">
        <f aca="false">IF('Cash Drivers'!CX$26,Finance!CW32,Finance!CY32)</f>
        <v>10000</v>
      </c>
      <c r="CY32" s="89" t="n">
        <v>10000</v>
      </c>
      <c r="CZ32" s="12"/>
      <c r="DA32" s="12" t="n">
        <f aca="false">IF('Cash Drivers'!DA$26,Finance!CZ32,Finance!DB32)</f>
        <v>10000</v>
      </c>
      <c r="DB32" s="90" t="n">
        <v>10000</v>
      </c>
      <c r="DC32" s="13"/>
      <c r="DD32" s="13" t="n">
        <f aca="false">IF('Cash Drivers'!DD$26,Finance!DC32,Finance!DE32)</f>
        <v>10000</v>
      </c>
      <c r="DE32" s="89" t="n">
        <v>10000</v>
      </c>
      <c r="DF32" s="12"/>
      <c r="DG32" s="12" t="n">
        <f aca="false">IF('Cash Drivers'!DG$26,Finance!DF32,Finance!DH32)</f>
        <v>10000</v>
      </c>
      <c r="DH32" s="90" t="n">
        <v>10000</v>
      </c>
      <c r="DI32" s="89" t="n">
        <v>10000</v>
      </c>
      <c r="DJ32" s="13" t="n">
        <f aca="false">IF('Cash Drivers'!DJ$26,Finance!DI32,Finance!DK32)</f>
        <v>10000</v>
      </c>
      <c r="DK32" s="89" t="n">
        <v>10000</v>
      </c>
      <c r="DL32" s="90" t="n">
        <v>10000</v>
      </c>
      <c r="DM32" s="12" t="n">
        <f aca="false">IF('Cash Drivers'!DM$26,Finance!DL32,Finance!DN32)</f>
        <v>10000</v>
      </c>
      <c r="DN32" s="90" t="n">
        <v>10000</v>
      </c>
    </row>
    <row r="33" customFormat="false" ht="15.75" hidden="false" customHeight="true" outlineLevel="0" collapsed="false">
      <c r="A33" s="5" t="s">
        <v>288</v>
      </c>
      <c r="B33" s="12" t="str">
        <f aca="false">IF(COUNT(AR33,AO33,AL33,AI33,AF33,AC33,Z33,W33,T33,Q33,N33,K33)=0,"",SUM(AR33,AO33,AL33,AI33,AF33,AC33,Z33,W33,T33,Q33,N33,K33))</f>
        <v/>
      </c>
      <c r="C33" s="12" t="n">
        <f aca="false">IF(COUNT(AS33,AP33,AM33,AJ33,AG33,AD33,AA33,X33,U33,R33,O33,L33)=0,"",SUM(AS33,AP33,AM33,AJ33,AG33,AD33,AA33,X33,U33,R33,O33,L33))</f>
        <v>48000</v>
      </c>
      <c r="D33" s="12" t="n">
        <f aca="false">IF(COUNT(AT33,AQ33,AN33,AK33,AH33,AE33,AB33,Y33,V33,S33,P33,M33)=0,"",SUM(AT33,AQ33,AN33,AK33,AH33,AE33,AB33,Y33,V33,S33,P33,M33))</f>
        <v>48000</v>
      </c>
      <c r="E33" s="13" t="str">
        <f aca="false">IF(COUNT(CB33,BY33,BV33,BS33,BP33,BM33,BJ33,BG33,BD33,BA33,AX33,AU33)=0,"",SUM(CB33,BY33,BV33,BS33,BP33,BM33,BJ33,BG33,BD33,BA33,AX33,AU33))</f>
        <v/>
      </c>
      <c r="F33" s="13" t="n">
        <f aca="false">IF(COUNT(CC33,BZ33,BW33,BT33,BQ33,BN33,BK33,BH33,BE33,BB33,AY33,AV33)=0,"",SUM(CC33,BZ33,BW33,BT33,BQ33,BN33,BK33,BH33,BE33,BB33,AY33,AV33))</f>
        <v>48000</v>
      </c>
      <c r="G33" s="13" t="n">
        <f aca="false">IF(COUNT(CD33,CA33,BX33,BU33,BR33,BO33,BL33,BI33,BF33,BC33,AZ33,AW33)=0,"",SUM(CD33,CA33,BX33,BU33,BR33,BO33,BL33,BI33,BF33,BC33,AZ33,AW33))</f>
        <v>48000</v>
      </c>
      <c r="H33" s="12" t="n">
        <f aca="false">IF(COUNT(DL33,DI33,DF33,DC33,CZ33,CW33,CT33,CQ33,CN33,CK33,CH33,CE33)=0,"",SUM(DL33,DI33,DF33,DC33,CZ33,CW33,CT33,CQ33,CN33,CK33,CH33,CE33))</f>
        <v>8000</v>
      </c>
      <c r="I33" s="12" t="n">
        <f aca="false">IF(COUNT(DM33,DJ33,DG33,DD33,DA33,CX33,CU33,CR33,CO33,CL33,CI33,CF33)=0,"",SUM(DM33,DJ33,DG33,DD33,DA33,CX33,CU33,CR33,CO33,CL33,CI33,CF33))</f>
        <v>48000</v>
      </c>
      <c r="J33" s="12" t="n">
        <f aca="false">IF(COUNT(DN33,DK33,DH33,DE33,DB33,CY33,CV33,CS33,CP33,CM33,CJ33,CG33)=0,"",SUM(DN33,DK33,DH33,DE33,DB33,CY33,CV33,CS33,CP33,CM33,CJ33,CG33))</f>
        <v>48000</v>
      </c>
      <c r="K33" s="13"/>
      <c r="L33" s="13" t="n">
        <f aca="false">IF('Cash Drivers'!L$26,Finance!K33,Finance!M33)</f>
        <v>4000</v>
      </c>
      <c r="M33" s="89" t="n">
        <v>4000</v>
      </c>
      <c r="N33" s="12"/>
      <c r="O33" s="12" t="n">
        <f aca="false">IF('Cash Drivers'!O$26,Finance!N33,Finance!P33)</f>
        <v>4000</v>
      </c>
      <c r="P33" s="90" t="n">
        <v>4000</v>
      </c>
      <c r="Q33" s="13"/>
      <c r="R33" s="13" t="n">
        <f aca="false">IF('Cash Drivers'!R$26,Finance!Q33,Finance!S33)</f>
        <v>4000</v>
      </c>
      <c r="S33" s="89" t="n">
        <v>4000</v>
      </c>
      <c r="T33" s="12"/>
      <c r="U33" s="12" t="n">
        <f aca="false">IF('Cash Drivers'!U$26,Finance!T33,Finance!V33)</f>
        <v>4000</v>
      </c>
      <c r="V33" s="90" t="n">
        <v>4000</v>
      </c>
      <c r="W33" s="13"/>
      <c r="X33" s="13" t="n">
        <f aca="false">IF('Cash Drivers'!X$26,Finance!W33,Finance!Y33)</f>
        <v>4000</v>
      </c>
      <c r="Y33" s="89" t="n">
        <v>4000</v>
      </c>
      <c r="Z33" s="12"/>
      <c r="AA33" s="12" t="n">
        <f aca="false">IF('Cash Drivers'!AA$26,Finance!Z33,Finance!AB33)</f>
        <v>4000</v>
      </c>
      <c r="AB33" s="90" t="n">
        <v>4000</v>
      </c>
      <c r="AC33" s="13"/>
      <c r="AD33" s="13" t="n">
        <f aca="false">IF('Cash Drivers'!AD$26,Finance!AC33,Finance!AE33)</f>
        <v>4000</v>
      </c>
      <c r="AE33" s="89" t="n">
        <v>4000</v>
      </c>
      <c r="AF33" s="12"/>
      <c r="AG33" s="12" t="n">
        <f aca="false">IF('Cash Drivers'!AG$26,Finance!AF33,Finance!AH33)</f>
        <v>4000</v>
      </c>
      <c r="AH33" s="90" t="n">
        <v>4000</v>
      </c>
      <c r="AI33" s="13"/>
      <c r="AJ33" s="13" t="n">
        <f aca="false">IF('Cash Drivers'!AJ$26,Finance!AI33,Finance!AK33)</f>
        <v>4000</v>
      </c>
      <c r="AK33" s="89" t="n">
        <v>4000</v>
      </c>
      <c r="AL33" s="12"/>
      <c r="AM33" s="12" t="n">
        <f aca="false">IF('Cash Drivers'!AM$26,Finance!AL33,Finance!AN33)</f>
        <v>4000</v>
      </c>
      <c r="AN33" s="90" t="n">
        <v>4000</v>
      </c>
      <c r="AO33" s="13"/>
      <c r="AP33" s="13" t="n">
        <f aca="false">IF('Cash Drivers'!AP$26,Finance!AO33,Finance!AQ33)</f>
        <v>4000</v>
      </c>
      <c r="AQ33" s="89" t="n">
        <v>4000</v>
      </c>
      <c r="AR33" s="12"/>
      <c r="AS33" s="12" t="n">
        <f aca="false">IF('Cash Drivers'!AS$26,Finance!AR33,Finance!AT33)</f>
        <v>4000</v>
      </c>
      <c r="AT33" s="90" t="n">
        <v>4000</v>
      </c>
      <c r="AU33" s="13"/>
      <c r="AV33" s="13" t="n">
        <f aca="false">IF('Cash Drivers'!AV$26,Finance!AU33,Finance!AW33)</f>
        <v>4000</v>
      </c>
      <c r="AW33" s="89" t="n">
        <v>4000</v>
      </c>
      <c r="AX33" s="12"/>
      <c r="AY33" s="12" t="n">
        <f aca="false">IF('Cash Drivers'!AY$26,Finance!AX33,Finance!AZ33)</f>
        <v>4000</v>
      </c>
      <c r="AZ33" s="90" t="n">
        <v>4000</v>
      </c>
      <c r="BA33" s="13"/>
      <c r="BB33" s="13" t="n">
        <f aca="false">IF('Cash Drivers'!BB$26,Finance!BA33,Finance!BC33)</f>
        <v>4000</v>
      </c>
      <c r="BC33" s="89" t="n">
        <v>4000</v>
      </c>
      <c r="BD33" s="12"/>
      <c r="BE33" s="12" t="n">
        <f aca="false">IF('Cash Drivers'!BE$26,Finance!BD33,Finance!BF33)</f>
        <v>4000</v>
      </c>
      <c r="BF33" s="90" t="n">
        <v>4000</v>
      </c>
      <c r="BG33" s="13"/>
      <c r="BH33" s="13" t="n">
        <f aca="false">IF('Cash Drivers'!BH$26,Finance!BG33,Finance!BI33)</f>
        <v>4000</v>
      </c>
      <c r="BI33" s="89" t="n">
        <v>4000</v>
      </c>
      <c r="BJ33" s="12"/>
      <c r="BK33" s="12" t="n">
        <f aca="false">IF('Cash Drivers'!BK$26,Finance!BJ33,Finance!BL33)</f>
        <v>4000</v>
      </c>
      <c r="BL33" s="90" t="n">
        <v>4000</v>
      </c>
      <c r="BM33" s="13"/>
      <c r="BN33" s="13" t="n">
        <f aca="false">IF('Cash Drivers'!BN$26,Finance!BM33,Finance!BO33)</f>
        <v>4000</v>
      </c>
      <c r="BO33" s="89" t="n">
        <v>4000</v>
      </c>
      <c r="BP33" s="12"/>
      <c r="BQ33" s="12" t="n">
        <f aca="false">IF('Cash Drivers'!BQ$26,Finance!BP33,Finance!BR33)</f>
        <v>4000</v>
      </c>
      <c r="BR33" s="90" t="n">
        <v>4000</v>
      </c>
      <c r="BS33" s="13"/>
      <c r="BT33" s="13" t="n">
        <f aca="false">IF('Cash Drivers'!BT$26,Finance!BS33,Finance!BU33)</f>
        <v>4000</v>
      </c>
      <c r="BU33" s="89" t="n">
        <v>4000</v>
      </c>
      <c r="BV33" s="12"/>
      <c r="BW33" s="12" t="n">
        <f aca="false">IF('Cash Drivers'!BW$26,Finance!BV33,Finance!BX33)</f>
        <v>4000</v>
      </c>
      <c r="BX33" s="90" t="n">
        <v>4000</v>
      </c>
      <c r="BY33" s="13"/>
      <c r="BZ33" s="13" t="n">
        <f aca="false">IF('Cash Drivers'!BZ$26,Finance!BY33,Finance!CA33)</f>
        <v>4000</v>
      </c>
      <c r="CA33" s="89" t="n">
        <v>4000</v>
      </c>
      <c r="CB33" s="12"/>
      <c r="CC33" s="12" t="n">
        <f aca="false">IF('Cash Drivers'!CC$26,Finance!CB33,Finance!CD33)</f>
        <v>4000</v>
      </c>
      <c r="CD33" s="90" t="n">
        <v>4000</v>
      </c>
      <c r="CE33" s="13"/>
      <c r="CF33" s="13" t="n">
        <f aca="false">IF('Cash Drivers'!CF$26,Finance!CE33,Finance!CG33)</f>
        <v>4000</v>
      </c>
      <c r="CG33" s="89" t="n">
        <v>4000</v>
      </c>
      <c r="CH33" s="12"/>
      <c r="CI33" s="12" t="n">
        <f aca="false">IF('Cash Drivers'!CI$26,Finance!CH33,Finance!CJ33)</f>
        <v>4000</v>
      </c>
      <c r="CJ33" s="90" t="n">
        <v>4000</v>
      </c>
      <c r="CK33" s="13"/>
      <c r="CL33" s="13" t="n">
        <f aca="false">IF('Cash Drivers'!CL$26,Finance!CK33,Finance!CM33)</f>
        <v>4000</v>
      </c>
      <c r="CM33" s="89" t="n">
        <v>4000</v>
      </c>
      <c r="CN33" s="12"/>
      <c r="CO33" s="12" t="n">
        <f aca="false">IF('Cash Drivers'!CO$26,Finance!CN33,Finance!CP33)</f>
        <v>4000</v>
      </c>
      <c r="CP33" s="90" t="n">
        <v>4000</v>
      </c>
      <c r="CQ33" s="13"/>
      <c r="CR33" s="13" t="n">
        <f aca="false">IF('Cash Drivers'!CR$26,Finance!CQ33,Finance!CS33)</f>
        <v>4000</v>
      </c>
      <c r="CS33" s="89" t="n">
        <v>4000</v>
      </c>
      <c r="CT33" s="12"/>
      <c r="CU33" s="12" t="n">
        <f aca="false">IF('Cash Drivers'!CU$26,Finance!CT33,Finance!CV33)</f>
        <v>4000</v>
      </c>
      <c r="CV33" s="90" t="n">
        <v>4000</v>
      </c>
      <c r="CW33" s="13"/>
      <c r="CX33" s="13" t="n">
        <f aca="false">IF('Cash Drivers'!CX$26,Finance!CW33,Finance!CY33)</f>
        <v>4000</v>
      </c>
      <c r="CY33" s="89" t="n">
        <v>4000</v>
      </c>
      <c r="CZ33" s="12"/>
      <c r="DA33" s="12" t="n">
        <f aca="false">IF('Cash Drivers'!DA$26,Finance!CZ33,Finance!DB33)</f>
        <v>4000</v>
      </c>
      <c r="DB33" s="90" t="n">
        <v>4000</v>
      </c>
      <c r="DC33" s="13"/>
      <c r="DD33" s="13" t="n">
        <f aca="false">IF('Cash Drivers'!DD$26,Finance!DC33,Finance!DE33)</f>
        <v>4000</v>
      </c>
      <c r="DE33" s="89" t="n">
        <v>4000</v>
      </c>
      <c r="DF33" s="12"/>
      <c r="DG33" s="12" t="n">
        <f aca="false">IF('Cash Drivers'!DG$26,Finance!DF33,Finance!DH33)</f>
        <v>4000</v>
      </c>
      <c r="DH33" s="90" t="n">
        <v>4000</v>
      </c>
      <c r="DI33" s="89" t="n">
        <v>4000</v>
      </c>
      <c r="DJ33" s="13" t="n">
        <f aca="false">IF('Cash Drivers'!DJ$26,Finance!DI33,Finance!DK33)</f>
        <v>4000</v>
      </c>
      <c r="DK33" s="89" t="n">
        <v>4000</v>
      </c>
      <c r="DL33" s="90" t="n">
        <v>4000</v>
      </c>
      <c r="DM33" s="12" t="n">
        <f aca="false">IF('Cash Drivers'!DM$26,Finance!DL33,Finance!DN33)</f>
        <v>4000</v>
      </c>
      <c r="DN33" s="90" t="n">
        <v>4000</v>
      </c>
    </row>
    <row r="34" customFormat="false" ht="15.75" hidden="false" customHeight="true" outlineLevel="0" collapsed="false">
      <c r="A34" s="5" t="s">
        <v>289</v>
      </c>
      <c r="B34" s="12" t="str">
        <f aca="false">IF(COUNT(AR34,AO34,AL34,AI34,AF34,AC34,Z34,W34,T34,Q34,N34,K34)=0,"",SUM(AR34,AO34,AL34,AI34,AF34,AC34,Z34,W34,T34,Q34,N34,K34))</f>
        <v/>
      </c>
      <c r="C34" s="12" t="n">
        <f aca="false">IF(COUNT(AS34,AP34,AM34,AJ34,AG34,AD34,AA34,X34,U34,R34,O34,L34)=0,"",SUM(AS34,AP34,AM34,AJ34,AG34,AD34,AA34,X34,U34,R34,O34,L34))</f>
        <v>36000</v>
      </c>
      <c r="D34" s="12" t="n">
        <f aca="false">IF(COUNT(AT34,AQ34,AN34,AK34,AH34,AE34,AB34,Y34,V34,S34,P34,M34)=0,"",SUM(AT34,AQ34,AN34,AK34,AH34,AE34,AB34,Y34,V34,S34,P34,M34))</f>
        <v>36000</v>
      </c>
      <c r="E34" s="13" t="str">
        <f aca="false">IF(COUNT(CB34,BY34,BV34,BS34,BP34,BM34,BJ34,BG34,BD34,BA34,AX34,AU34)=0,"",SUM(CB34,BY34,BV34,BS34,BP34,BM34,BJ34,BG34,BD34,BA34,AX34,AU34))</f>
        <v/>
      </c>
      <c r="F34" s="13" t="n">
        <f aca="false">IF(COUNT(CC34,BZ34,BW34,BT34,BQ34,BN34,BK34,BH34,BE34,BB34,AY34,AV34)=0,"",SUM(CC34,BZ34,BW34,BT34,BQ34,BN34,BK34,BH34,BE34,BB34,AY34,AV34))</f>
        <v>36000</v>
      </c>
      <c r="G34" s="13" t="n">
        <f aca="false">IF(COUNT(CD34,CA34,BX34,BU34,BR34,BO34,BL34,BI34,BF34,BC34,AZ34,AW34)=0,"",SUM(CD34,CA34,BX34,BU34,BR34,BO34,BL34,BI34,BF34,BC34,AZ34,AW34))</f>
        <v>36000</v>
      </c>
      <c r="H34" s="12" t="n">
        <f aca="false">IF(COUNT(DL34,DI34,DF34,DC34,CZ34,CW34,CT34,CQ34,CN34,CK34,CH34,CE34)=0,"",SUM(DL34,DI34,DF34,DC34,CZ34,CW34,CT34,CQ34,CN34,CK34,CH34,CE34))</f>
        <v>6000</v>
      </c>
      <c r="I34" s="12" t="n">
        <f aca="false">IF(COUNT(DM34,DJ34,DG34,DD34,DA34,CX34,CU34,CR34,CO34,CL34,CI34,CF34)=0,"",SUM(DM34,DJ34,DG34,DD34,DA34,CX34,CU34,CR34,CO34,CL34,CI34,CF34))</f>
        <v>36000</v>
      </c>
      <c r="J34" s="12" t="n">
        <f aca="false">IF(COUNT(DN34,DK34,DH34,DE34,DB34,CY34,CV34,CS34,CP34,CM34,CJ34,CG34)=0,"",SUM(DN34,DK34,DH34,DE34,DB34,CY34,CV34,CS34,CP34,CM34,CJ34,CG34))</f>
        <v>36000</v>
      </c>
      <c r="K34" s="13"/>
      <c r="L34" s="13" t="n">
        <f aca="false">IF('Cash Drivers'!L$26,Finance!K34,Finance!M34)</f>
        <v>3000</v>
      </c>
      <c r="M34" s="89" t="n">
        <v>3000</v>
      </c>
      <c r="N34" s="12"/>
      <c r="O34" s="12" t="n">
        <f aca="false">IF('Cash Drivers'!O$26,Finance!N34,Finance!P34)</f>
        <v>3000</v>
      </c>
      <c r="P34" s="90" t="n">
        <v>3000</v>
      </c>
      <c r="Q34" s="13"/>
      <c r="R34" s="13" t="n">
        <f aca="false">IF('Cash Drivers'!R$26,Finance!Q34,Finance!S34)</f>
        <v>3000</v>
      </c>
      <c r="S34" s="89" t="n">
        <v>3000</v>
      </c>
      <c r="T34" s="12"/>
      <c r="U34" s="12" t="n">
        <f aca="false">IF('Cash Drivers'!U$26,Finance!T34,Finance!V34)</f>
        <v>3000</v>
      </c>
      <c r="V34" s="90" t="n">
        <v>3000</v>
      </c>
      <c r="W34" s="13"/>
      <c r="X34" s="13" t="n">
        <f aca="false">IF('Cash Drivers'!X$26,Finance!W34,Finance!Y34)</f>
        <v>3000</v>
      </c>
      <c r="Y34" s="89" t="n">
        <v>3000</v>
      </c>
      <c r="Z34" s="12"/>
      <c r="AA34" s="12" t="n">
        <f aca="false">IF('Cash Drivers'!AA$26,Finance!Z34,Finance!AB34)</f>
        <v>3000</v>
      </c>
      <c r="AB34" s="90" t="n">
        <v>3000</v>
      </c>
      <c r="AC34" s="13"/>
      <c r="AD34" s="13" t="n">
        <f aca="false">IF('Cash Drivers'!AD$26,Finance!AC34,Finance!AE34)</f>
        <v>3000</v>
      </c>
      <c r="AE34" s="89" t="n">
        <v>3000</v>
      </c>
      <c r="AF34" s="12"/>
      <c r="AG34" s="12" t="n">
        <f aca="false">IF('Cash Drivers'!AG$26,Finance!AF34,Finance!AH34)</f>
        <v>3000</v>
      </c>
      <c r="AH34" s="90" t="n">
        <v>3000</v>
      </c>
      <c r="AI34" s="13"/>
      <c r="AJ34" s="13" t="n">
        <f aca="false">IF('Cash Drivers'!AJ$26,Finance!AI34,Finance!AK34)</f>
        <v>3000</v>
      </c>
      <c r="AK34" s="89" t="n">
        <v>3000</v>
      </c>
      <c r="AL34" s="12"/>
      <c r="AM34" s="12" t="n">
        <f aca="false">IF('Cash Drivers'!AM$26,Finance!AL34,Finance!AN34)</f>
        <v>3000</v>
      </c>
      <c r="AN34" s="90" t="n">
        <v>3000</v>
      </c>
      <c r="AO34" s="13"/>
      <c r="AP34" s="13" t="n">
        <f aca="false">IF('Cash Drivers'!AP$26,Finance!AO34,Finance!AQ34)</f>
        <v>3000</v>
      </c>
      <c r="AQ34" s="89" t="n">
        <v>3000</v>
      </c>
      <c r="AR34" s="12"/>
      <c r="AS34" s="12" t="n">
        <f aca="false">IF('Cash Drivers'!AS$26,Finance!AR34,Finance!AT34)</f>
        <v>3000</v>
      </c>
      <c r="AT34" s="90" t="n">
        <v>3000</v>
      </c>
      <c r="AU34" s="13"/>
      <c r="AV34" s="13" t="n">
        <f aca="false">IF('Cash Drivers'!AV$26,Finance!AU34,Finance!AW34)</f>
        <v>3000</v>
      </c>
      <c r="AW34" s="89" t="n">
        <v>3000</v>
      </c>
      <c r="AX34" s="12"/>
      <c r="AY34" s="12" t="n">
        <f aca="false">IF('Cash Drivers'!AY$26,Finance!AX34,Finance!AZ34)</f>
        <v>3000</v>
      </c>
      <c r="AZ34" s="90" t="n">
        <v>3000</v>
      </c>
      <c r="BA34" s="13"/>
      <c r="BB34" s="13" t="n">
        <f aca="false">IF('Cash Drivers'!BB$26,Finance!BA34,Finance!BC34)</f>
        <v>3000</v>
      </c>
      <c r="BC34" s="89" t="n">
        <v>3000</v>
      </c>
      <c r="BD34" s="12"/>
      <c r="BE34" s="12" t="n">
        <f aca="false">IF('Cash Drivers'!BE$26,Finance!BD34,Finance!BF34)</f>
        <v>3000</v>
      </c>
      <c r="BF34" s="90" t="n">
        <v>3000</v>
      </c>
      <c r="BG34" s="13"/>
      <c r="BH34" s="13" t="n">
        <f aca="false">IF('Cash Drivers'!BH$26,Finance!BG34,Finance!BI34)</f>
        <v>3000</v>
      </c>
      <c r="BI34" s="89" t="n">
        <v>3000</v>
      </c>
      <c r="BJ34" s="12"/>
      <c r="BK34" s="12" t="n">
        <f aca="false">IF('Cash Drivers'!BK$26,Finance!BJ34,Finance!BL34)</f>
        <v>3000</v>
      </c>
      <c r="BL34" s="90" t="n">
        <v>3000</v>
      </c>
      <c r="BM34" s="13"/>
      <c r="BN34" s="13" t="n">
        <f aca="false">IF('Cash Drivers'!BN$26,Finance!BM34,Finance!BO34)</f>
        <v>3000</v>
      </c>
      <c r="BO34" s="89" t="n">
        <v>3000</v>
      </c>
      <c r="BP34" s="12"/>
      <c r="BQ34" s="12" t="n">
        <f aca="false">IF('Cash Drivers'!BQ$26,Finance!BP34,Finance!BR34)</f>
        <v>3000</v>
      </c>
      <c r="BR34" s="90" t="n">
        <v>3000</v>
      </c>
      <c r="BS34" s="13"/>
      <c r="BT34" s="13" t="n">
        <f aca="false">IF('Cash Drivers'!BT$26,Finance!BS34,Finance!BU34)</f>
        <v>3000</v>
      </c>
      <c r="BU34" s="89" t="n">
        <v>3000</v>
      </c>
      <c r="BV34" s="12"/>
      <c r="BW34" s="12" t="n">
        <f aca="false">IF('Cash Drivers'!BW$26,Finance!BV34,Finance!BX34)</f>
        <v>3000</v>
      </c>
      <c r="BX34" s="90" t="n">
        <v>3000</v>
      </c>
      <c r="BY34" s="13"/>
      <c r="BZ34" s="13" t="n">
        <f aca="false">IF('Cash Drivers'!BZ$26,Finance!BY34,Finance!CA34)</f>
        <v>3000</v>
      </c>
      <c r="CA34" s="89" t="n">
        <v>3000</v>
      </c>
      <c r="CB34" s="12"/>
      <c r="CC34" s="12" t="n">
        <f aca="false">IF('Cash Drivers'!CC$26,Finance!CB34,Finance!CD34)</f>
        <v>3000</v>
      </c>
      <c r="CD34" s="90" t="n">
        <v>3000</v>
      </c>
      <c r="CE34" s="13"/>
      <c r="CF34" s="13" t="n">
        <f aca="false">IF('Cash Drivers'!CF$26,Finance!CE34,Finance!CG34)</f>
        <v>3000</v>
      </c>
      <c r="CG34" s="89" t="n">
        <v>3000</v>
      </c>
      <c r="CH34" s="12"/>
      <c r="CI34" s="12" t="n">
        <f aca="false">IF('Cash Drivers'!CI$26,Finance!CH34,Finance!CJ34)</f>
        <v>3000</v>
      </c>
      <c r="CJ34" s="90" t="n">
        <v>3000</v>
      </c>
      <c r="CK34" s="13"/>
      <c r="CL34" s="13" t="n">
        <f aca="false">IF('Cash Drivers'!CL$26,Finance!CK34,Finance!CM34)</f>
        <v>3000</v>
      </c>
      <c r="CM34" s="89" t="n">
        <v>3000</v>
      </c>
      <c r="CN34" s="12"/>
      <c r="CO34" s="12" t="n">
        <f aca="false">IF('Cash Drivers'!CO$26,Finance!CN34,Finance!CP34)</f>
        <v>3000</v>
      </c>
      <c r="CP34" s="90" t="n">
        <v>3000</v>
      </c>
      <c r="CQ34" s="13"/>
      <c r="CR34" s="13" t="n">
        <f aca="false">IF('Cash Drivers'!CR$26,Finance!CQ34,Finance!CS34)</f>
        <v>3000</v>
      </c>
      <c r="CS34" s="89" t="n">
        <v>3000</v>
      </c>
      <c r="CT34" s="12"/>
      <c r="CU34" s="12" t="n">
        <f aca="false">IF('Cash Drivers'!CU$26,Finance!CT34,Finance!CV34)</f>
        <v>3000</v>
      </c>
      <c r="CV34" s="90" t="n">
        <v>3000</v>
      </c>
      <c r="CW34" s="13"/>
      <c r="CX34" s="13" t="n">
        <f aca="false">IF('Cash Drivers'!CX$26,Finance!CW34,Finance!CY34)</f>
        <v>3000</v>
      </c>
      <c r="CY34" s="89" t="n">
        <v>3000</v>
      </c>
      <c r="CZ34" s="12"/>
      <c r="DA34" s="12" t="n">
        <f aca="false">IF('Cash Drivers'!DA$26,Finance!CZ34,Finance!DB34)</f>
        <v>3000</v>
      </c>
      <c r="DB34" s="90" t="n">
        <v>3000</v>
      </c>
      <c r="DC34" s="13"/>
      <c r="DD34" s="13" t="n">
        <f aca="false">IF('Cash Drivers'!DD$26,Finance!DC34,Finance!DE34)</f>
        <v>3000</v>
      </c>
      <c r="DE34" s="89" t="n">
        <v>3000</v>
      </c>
      <c r="DF34" s="12"/>
      <c r="DG34" s="12" t="n">
        <f aca="false">IF('Cash Drivers'!DG$26,Finance!DF34,Finance!DH34)</f>
        <v>3000</v>
      </c>
      <c r="DH34" s="90" t="n">
        <v>3000</v>
      </c>
      <c r="DI34" s="89" t="n">
        <v>3000</v>
      </c>
      <c r="DJ34" s="13" t="n">
        <f aca="false">IF('Cash Drivers'!DJ$26,Finance!DI34,Finance!DK34)</f>
        <v>3000</v>
      </c>
      <c r="DK34" s="89" t="n">
        <v>3000</v>
      </c>
      <c r="DL34" s="90" t="n">
        <v>3000</v>
      </c>
      <c r="DM34" s="12" t="n">
        <f aca="false">IF('Cash Drivers'!DM$26,Finance!DL34,Finance!DN34)</f>
        <v>3000</v>
      </c>
      <c r="DN34" s="90" t="n">
        <v>3000</v>
      </c>
    </row>
    <row r="35" customFormat="false" ht="15.75" hidden="false" customHeight="true" outlineLevel="0" collapsed="false">
      <c r="A35" s="5" t="s">
        <v>290</v>
      </c>
      <c r="B35" s="12" t="str">
        <f aca="false">IF(COUNT(AR35,AO35,AL35,AI35,AF35,AC35,Z35,W35,T35,Q35,N35,K35)=0,"",SUM(AR35,AO35,AL35,AI35,AF35,AC35,Z35,W35,T35,Q35,N35,K35))</f>
        <v/>
      </c>
      <c r="C35" s="12" t="n">
        <f aca="false">IF(COUNT(AS35,AP35,AM35,AJ35,AG35,AD35,AA35,X35,U35,R35,O35,L35)=0,"",SUM(AS35,AP35,AM35,AJ35,AG35,AD35,AA35,X35,U35,R35,O35,L35))</f>
        <v>72000</v>
      </c>
      <c r="D35" s="12" t="n">
        <f aca="false">IF(COUNT(AT35,AQ35,AN35,AK35,AH35,AE35,AB35,Y35,V35,S35,P35,M35)=0,"",SUM(AT35,AQ35,AN35,AK35,AH35,AE35,AB35,Y35,V35,S35,P35,M35))</f>
        <v>72000</v>
      </c>
      <c r="E35" s="13" t="str">
        <f aca="false">IF(COUNT(CB35,BY35,BV35,BS35,BP35,BM35,BJ35,BG35,BD35,BA35,AX35,AU35)=0,"",SUM(CB35,BY35,BV35,BS35,BP35,BM35,BJ35,BG35,BD35,BA35,AX35,AU35))</f>
        <v/>
      </c>
      <c r="F35" s="13" t="n">
        <f aca="false">IF(COUNT(CC35,BZ35,BW35,BT35,BQ35,BN35,BK35,BH35,BE35,BB35,AY35,AV35)=0,"",SUM(CC35,BZ35,BW35,BT35,BQ35,BN35,BK35,BH35,BE35,BB35,AY35,AV35))</f>
        <v>72000</v>
      </c>
      <c r="G35" s="13" t="n">
        <f aca="false">IF(COUNT(CD35,CA35,BX35,BU35,BR35,BO35,BL35,BI35,BF35,BC35,AZ35,AW35)=0,"",SUM(CD35,CA35,BX35,BU35,BR35,BO35,BL35,BI35,BF35,BC35,AZ35,AW35))</f>
        <v>72000</v>
      </c>
      <c r="H35" s="12" t="n">
        <f aca="false">IF(COUNT(DL35,DI35,DF35,DC35,CZ35,CW35,CT35,CQ35,CN35,CK35,CH35,CE35)=0,"",SUM(DL35,DI35,DF35,DC35,CZ35,CW35,CT35,CQ35,CN35,CK35,CH35,CE35))</f>
        <v>12000</v>
      </c>
      <c r="I35" s="12" t="n">
        <f aca="false">IF(COUNT(DM35,DJ35,DG35,DD35,DA35,CX35,CU35,CR35,CO35,CL35,CI35,CF35)=0,"",SUM(DM35,DJ35,DG35,DD35,DA35,CX35,CU35,CR35,CO35,CL35,CI35,CF35))</f>
        <v>72000</v>
      </c>
      <c r="J35" s="12" t="n">
        <f aca="false">IF(COUNT(DN35,DK35,DH35,DE35,DB35,CY35,CV35,CS35,CP35,CM35,CJ35,CG35)=0,"",SUM(DN35,DK35,DH35,DE35,DB35,CY35,CV35,CS35,CP35,CM35,CJ35,CG35))</f>
        <v>72000</v>
      </c>
      <c r="K35" s="13"/>
      <c r="L35" s="13" t="n">
        <f aca="false">IF('Cash Drivers'!L$26,Finance!K35,Finance!M35)</f>
        <v>6000</v>
      </c>
      <c r="M35" s="89" t="n">
        <v>6000</v>
      </c>
      <c r="N35" s="12"/>
      <c r="O35" s="12" t="n">
        <f aca="false">IF('Cash Drivers'!O$26,Finance!N35,Finance!P35)</f>
        <v>6000</v>
      </c>
      <c r="P35" s="90" t="n">
        <v>6000</v>
      </c>
      <c r="Q35" s="13"/>
      <c r="R35" s="13" t="n">
        <f aca="false">IF('Cash Drivers'!R$26,Finance!Q35,Finance!S35)</f>
        <v>6000</v>
      </c>
      <c r="S35" s="89" t="n">
        <v>6000</v>
      </c>
      <c r="T35" s="12"/>
      <c r="U35" s="12" t="n">
        <f aca="false">IF('Cash Drivers'!U$26,Finance!T35,Finance!V35)</f>
        <v>6000</v>
      </c>
      <c r="V35" s="90" t="n">
        <v>6000</v>
      </c>
      <c r="W35" s="13"/>
      <c r="X35" s="13" t="n">
        <f aca="false">IF('Cash Drivers'!X$26,Finance!W35,Finance!Y35)</f>
        <v>6000</v>
      </c>
      <c r="Y35" s="89" t="n">
        <v>6000</v>
      </c>
      <c r="Z35" s="12"/>
      <c r="AA35" s="12" t="n">
        <f aca="false">IF('Cash Drivers'!AA$26,Finance!Z35,Finance!AB35)</f>
        <v>6000</v>
      </c>
      <c r="AB35" s="90" t="n">
        <v>6000</v>
      </c>
      <c r="AC35" s="13"/>
      <c r="AD35" s="13" t="n">
        <f aca="false">IF('Cash Drivers'!AD$26,Finance!AC35,Finance!AE35)</f>
        <v>6000</v>
      </c>
      <c r="AE35" s="89" t="n">
        <v>6000</v>
      </c>
      <c r="AF35" s="12"/>
      <c r="AG35" s="12" t="n">
        <f aca="false">IF('Cash Drivers'!AG$26,Finance!AF35,Finance!AH35)</f>
        <v>6000</v>
      </c>
      <c r="AH35" s="90" t="n">
        <v>6000</v>
      </c>
      <c r="AI35" s="13"/>
      <c r="AJ35" s="13" t="n">
        <f aca="false">IF('Cash Drivers'!AJ$26,Finance!AI35,Finance!AK35)</f>
        <v>6000</v>
      </c>
      <c r="AK35" s="89" t="n">
        <v>6000</v>
      </c>
      <c r="AL35" s="12"/>
      <c r="AM35" s="12" t="n">
        <f aca="false">IF('Cash Drivers'!AM$26,Finance!AL35,Finance!AN35)</f>
        <v>6000</v>
      </c>
      <c r="AN35" s="90" t="n">
        <v>6000</v>
      </c>
      <c r="AO35" s="13"/>
      <c r="AP35" s="13" t="n">
        <f aca="false">IF('Cash Drivers'!AP$26,Finance!AO35,Finance!AQ35)</f>
        <v>6000</v>
      </c>
      <c r="AQ35" s="89" t="n">
        <v>6000</v>
      </c>
      <c r="AR35" s="12"/>
      <c r="AS35" s="12" t="n">
        <f aca="false">IF('Cash Drivers'!AS$26,Finance!AR35,Finance!AT35)</f>
        <v>6000</v>
      </c>
      <c r="AT35" s="90" t="n">
        <v>6000</v>
      </c>
      <c r="AU35" s="13"/>
      <c r="AV35" s="13" t="n">
        <f aca="false">IF('Cash Drivers'!AV$26,Finance!AU35,Finance!AW35)</f>
        <v>6000</v>
      </c>
      <c r="AW35" s="89" t="n">
        <v>6000</v>
      </c>
      <c r="AX35" s="12"/>
      <c r="AY35" s="12" t="n">
        <f aca="false">IF('Cash Drivers'!AY$26,Finance!AX35,Finance!AZ35)</f>
        <v>6000</v>
      </c>
      <c r="AZ35" s="90" t="n">
        <v>6000</v>
      </c>
      <c r="BA35" s="13"/>
      <c r="BB35" s="13" t="n">
        <f aca="false">IF('Cash Drivers'!BB$26,Finance!BA35,Finance!BC35)</f>
        <v>6000</v>
      </c>
      <c r="BC35" s="89" t="n">
        <v>6000</v>
      </c>
      <c r="BD35" s="12"/>
      <c r="BE35" s="12" t="n">
        <f aca="false">IF('Cash Drivers'!BE$26,Finance!BD35,Finance!BF35)</f>
        <v>6000</v>
      </c>
      <c r="BF35" s="90" t="n">
        <v>6000</v>
      </c>
      <c r="BG35" s="13"/>
      <c r="BH35" s="13" t="n">
        <f aca="false">IF('Cash Drivers'!BH$26,Finance!BG35,Finance!BI35)</f>
        <v>6000</v>
      </c>
      <c r="BI35" s="89" t="n">
        <v>6000</v>
      </c>
      <c r="BJ35" s="12"/>
      <c r="BK35" s="12" t="n">
        <f aca="false">IF('Cash Drivers'!BK$26,Finance!BJ35,Finance!BL35)</f>
        <v>6000</v>
      </c>
      <c r="BL35" s="90" t="n">
        <v>6000</v>
      </c>
      <c r="BM35" s="13"/>
      <c r="BN35" s="13" t="n">
        <f aca="false">IF('Cash Drivers'!BN$26,Finance!BM35,Finance!BO35)</f>
        <v>6000</v>
      </c>
      <c r="BO35" s="89" t="n">
        <v>6000</v>
      </c>
      <c r="BP35" s="12"/>
      <c r="BQ35" s="12" t="n">
        <f aca="false">IF('Cash Drivers'!BQ$26,Finance!BP35,Finance!BR35)</f>
        <v>6000</v>
      </c>
      <c r="BR35" s="90" t="n">
        <v>6000</v>
      </c>
      <c r="BS35" s="13"/>
      <c r="BT35" s="13" t="n">
        <f aca="false">IF('Cash Drivers'!BT$26,Finance!BS35,Finance!BU35)</f>
        <v>6000</v>
      </c>
      <c r="BU35" s="89" t="n">
        <v>6000</v>
      </c>
      <c r="BV35" s="12"/>
      <c r="BW35" s="12" t="n">
        <f aca="false">IF('Cash Drivers'!BW$26,Finance!BV35,Finance!BX35)</f>
        <v>6000</v>
      </c>
      <c r="BX35" s="90" t="n">
        <v>6000</v>
      </c>
      <c r="BY35" s="13"/>
      <c r="BZ35" s="13" t="n">
        <f aca="false">IF('Cash Drivers'!BZ$26,Finance!BY35,Finance!CA35)</f>
        <v>6000</v>
      </c>
      <c r="CA35" s="89" t="n">
        <v>6000</v>
      </c>
      <c r="CB35" s="12"/>
      <c r="CC35" s="12" t="n">
        <f aca="false">IF('Cash Drivers'!CC$26,Finance!CB35,Finance!CD35)</f>
        <v>6000</v>
      </c>
      <c r="CD35" s="90" t="n">
        <v>6000</v>
      </c>
      <c r="CE35" s="13"/>
      <c r="CF35" s="13" t="n">
        <f aca="false">IF('Cash Drivers'!CF$26,Finance!CE35,Finance!CG35)</f>
        <v>6000</v>
      </c>
      <c r="CG35" s="89" t="n">
        <v>6000</v>
      </c>
      <c r="CH35" s="12"/>
      <c r="CI35" s="12" t="n">
        <f aca="false">IF('Cash Drivers'!CI$26,Finance!CH35,Finance!CJ35)</f>
        <v>6000</v>
      </c>
      <c r="CJ35" s="90" t="n">
        <v>6000</v>
      </c>
      <c r="CK35" s="13"/>
      <c r="CL35" s="13" t="n">
        <f aca="false">IF('Cash Drivers'!CL$26,Finance!CK35,Finance!CM35)</f>
        <v>6000</v>
      </c>
      <c r="CM35" s="89" t="n">
        <v>6000</v>
      </c>
      <c r="CN35" s="12"/>
      <c r="CO35" s="12" t="n">
        <f aca="false">IF('Cash Drivers'!CO$26,Finance!CN35,Finance!CP35)</f>
        <v>6000</v>
      </c>
      <c r="CP35" s="90" t="n">
        <v>6000</v>
      </c>
      <c r="CQ35" s="13"/>
      <c r="CR35" s="13" t="n">
        <f aca="false">IF('Cash Drivers'!CR$26,Finance!CQ35,Finance!CS35)</f>
        <v>6000</v>
      </c>
      <c r="CS35" s="89" t="n">
        <v>6000</v>
      </c>
      <c r="CT35" s="12"/>
      <c r="CU35" s="12" t="n">
        <f aca="false">IF('Cash Drivers'!CU$26,Finance!CT35,Finance!CV35)</f>
        <v>6000</v>
      </c>
      <c r="CV35" s="90" t="n">
        <v>6000</v>
      </c>
      <c r="CW35" s="13"/>
      <c r="CX35" s="13" t="n">
        <f aca="false">IF('Cash Drivers'!CX$26,Finance!CW35,Finance!CY35)</f>
        <v>6000</v>
      </c>
      <c r="CY35" s="89" t="n">
        <v>6000</v>
      </c>
      <c r="CZ35" s="12"/>
      <c r="DA35" s="12" t="n">
        <f aca="false">IF('Cash Drivers'!DA$26,Finance!CZ35,Finance!DB35)</f>
        <v>6000</v>
      </c>
      <c r="DB35" s="90" t="n">
        <v>6000</v>
      </c>
      <c r="DC35" s="13"/>
      <c r="DD35" s="13" t="n">
        <f aca="false">IF('Cash Drivers'!DD$26,Finance!DC35,Finance!DE35)</f>
        <v>6000</v>
      </c>
      <c r="DE35" s="89" t="n">
        <v>6000</v>
      </c>
      <c r="DF35" s="12"/>
      <c r="DG35" s="12" t="n">
        <f aca="false">IF('Cash Drivers'!DG$26,Finance!DF35,Finance!DH35)</f>
        <v>6000</v>
      </c>
      <c r="DH35" s="90" t="n">
        <v>6000</v>
      </c>
      <c r="DI35" s="89" t="n">
        <v>6000</v>
      </c>
      <c r="DJ35" s="13" t="n">
        <f aca="false">IF('Cash Drivers'!DJ$26,Finance!DI35,Finance!DK35)</f>
        <v>6000</v>
      </c>
      <c r="DK35" s="89" t="n">
        <v>6000</v>
      </c>
      <c r="DL35" s="90" t="n">
        <v>6000</v>
      </c>
      <c r="DM35" s="12" t="n">
        <f aca="false">IF('Cash Drivers'!DM$26,Finance!DL35,Finance!DN35)</f>
        <v>6000</v>
      </c>
      <c r="DN35" s="90" t="n">
        <v>6000</v>
      </c>
    </row>
    <row r="36" customFormat="false" ht="15.75" hidden="false" customHeight="true" outlineLevel="0" collapsed="false">
      <c r="A36" s="5" t="s">
        <v>291</v>
      </c>
      <c r="B36" s="12" t="str">
        <f aca="false">IF(COUNT(AR36,AO36,AL36,AI36,AF36,AC36,Z36,W36,T36,Q36,N36,K36)=0,"",SUM(AR36,AO36,AL36,AI36,AF36,AC36,Z36,W36,T36,Q36,N36,K36))</f>
        <v/>
      </c>
      <c r="C36" s="12" t="n">
        <f aca="false">IF(COUNT(AS36,AP36,AM36,AJ36,AG36,AD36,AA36,X36,U36,R36,O36,L36)=0,"",SUM(AS36,AP36,AM36,AJ36,AG36,AD36,AA36,X36,U36,R36,O36,L36))</f>
        <v>72000</v>
      </c>
      <c r="D36" s="12" t="n">
        <f aca="false">IF(COUNT(AT36,AQ36,AN36,AK36,AH36,AE36,AB36,Y36,V36,S36,P36,M36)=0,"",SUM(AT36,AQ36,AN36,AK36,AH36,AE36,AB36,Y36,V36,S36,P36,M36))</f>
        <v>72000</v>
      </c>
      <c r="E36" s="13" t="str">
        <f aca="false">IF(COUNT(CB36,BY36,BV36,BS36,BP36,BM36,BJ36,BG36,BD36,BA36,AX36,AU36)=0,"",SUM(CB36,BY36,BV36,BS36,BP36,BM36,BJ36,BG36,BD36,BA36,AX36,AU36))</f>
        <v/>
      </c>
      <c r="F36" s="13" t="n">
        <f aca="false">IF(COUNT(CC36,BZ36,BW36,BT36,BQ36,BN36,BK36,BH36,BE36,BB36,AY36,AV36)=0,"",SUM(CC36,BZ36,BW36,BT36,BQ36,BN36,BK36,BH36,BE36,BB36,AY36,AV36))</f>
        <v>72000</v>
      </c>
      <c r="G36" s="13" t="n">
        <f aca="false">IF(COUNT(CD36,CA36,BX36,BU36,BR36,BO36,BL36,BI36,BF36,BC36,AZ36,AW36)=0,"",SUM(CD36,CA36,BX36,BU36,BR36,BO36,BL36,BI36,BF36,BC36,AZ36,AW36))</f>
        <v>72000</v>
      </c>
      <c r="H36" s="12" t="n">
        <f aca="false">IF(COUNT(DL36,DI36,DF36,DC36,CZ36,CW36,CT36,CQ36,CN36,CK36,CH36,CE36)=0,"",SUM(DL36,DI36,DF36,DC36,CZ36,CW36,CT36,CQ36,CN36,CK36,CH36,CE36))</f>
        <v>12000</v>
      </c>
      <c r="I36" s="12" t="n">
        <f aca="false">IF(COUNT(DM36,DJ36,DG36,DD36,DA36,CX36,CU36,CR36,CO36,CL36,CI36,CF36)=0,"",SUM(DM36,DJ36,DG36,DD36,DA36,CX36,CU36,CR36,CO36,CL36,CI36,CF36))</f>
        <v>72000</v>
      </c>
      <c r="J36" s="12" t="n">
        <f aca="false">IF(COUNT(DN36,DK36,DH36,DE36,DB36,CY36,CV36,CS36,CP36,CM36,CJ36,CG36)=0,"",SUM(DN36,DK36,DH36,DE36,DB36,CY36,CV36,CS36,CP36,CM36,CJ36,CG36))</f>
        <v>72000</v>
      </c>
      <c r="K36" s="13"/>
      <c r="L36" s="13" t="n">
        <f aca="false">IF('Cash Drivers'!L$26,Finance!K36,Finance!M36)</f>
        <v>6000</v>
      </c>
      <c r="M36" s="89" t="n">
        <v>6000</v>
      </c>
      <c r="N36" s="12"/>
      <c r="O36" s="12" t="n">
        <f aca="false">IF('Cash Drivers'!O$26,Finance!N36,Finance!P36)</f>
        <v>6000</v>
      </c>
      <c r="P36" s="90" t="n">
        <v>6000</v>
      </c>
      <c r="Q36" s="13"/>
      <c r="R36" s="13" t="n">
        <f aca="false">IF('Cash Drivers'!R$26,Finance!Q36,Finance!S36)</f>
        <v>6000</v>
      </c>
      <c r="S36" s="89" t="n">
        <v>6000</v>
      </c>
      <c r="T36" s="12"/>
      <c r="U36" s="12" t="n">
        <f aca="false">IF('Cash Drivers'!U$26,Finance!T36,Finance!V36)</f>
        <v>6000</v>
      </c>
      <c r="V36" s="90" t="n">
        <v>6000</v>
      </c>
      <c r="W36" s="13"/>
      <c r="X36" s="13" t="n">
        <f aca="false">IF('Cash Drivers'!X$26,Finance!W36,Finance!Y36)</f>
        <v>6000</v>
      </c>
      <c r="Y36" s="89" t="n">
        <v>6000</v>
      </c>
      <c r="Z36" s="12"/>
      <c r="AA36" s="12" t="n">
        <f aca="false">IF('Cash Drivers'!AA$26,Finance!Z36,Finance!AB36)</f>
        <v>6000</v>
      </c>
      <c r="AB36" s="90" t="n">
        <v>6000</v>
      </c>
      <c r="AC36" s="13"/>
      <c r="AD36" s="13" t="n">
        <f aca="false">IF('Cash Drivers'!AD$26,Finance!AC36,Finance!AE36)</f>
        <v>6000</v>
      </c>
      <c r="AE36" s="89" t="n">
        <v>6000</v>
      </c>
      <c r="AF36" s="12"/>
      <c r="AG36" s="12" t="n">
        <f aca="false">IF('Cash Drivers'!AG$26,Finance!AF36,Finance!AH36)</f>
        <v>6000</v>
      </c>
      <c r="AH36" s="90" t="n">
        <v>6000</v>
      </c>
      <c r="AI36" s="13"/>
      <c r="AJ36" s="13" t="n">
        <f aca="false">IF('Cash Drivers'!AJ$26,Finance!AI36,Finance!AK36)</f>
        <v>6000</v>
      </c>
      <c r="AK36" s="89" t="n">
        <v>6000</v>
      </c>
      <c r="AL36" s="12"/>
      <c r="AM36" s="12" t="n">
        <f aca="false">IF('Cash Drivers'!AM$26,Finance!AL36,Finance!AN36)</f>
        <v>6000</v>
      </c>
      <c r="AN36" s="90" t="n">
        <v>6000</v>
      </c>
      <c r="AO36" s="13"/>
      <c r="AP36" s="13" t="n">
        <f aca="false">IF('Cash Drivers'!AP$26,Finance!AO36,Finance!AQ36)</f>
        <v>6000</v>
      </c>
      <c r="AQ36" s="89" t="n">
        <v>6000</v>
      </c>
      <c r="AR36" s="12"/>
      <c r="AS36" s="12" t="n">
        <f aca="false">IF('Cash Drivers'!AS$26,Finance!AR36,Finance!AT36)</f>
        <v>6000</v>
      </c>
      <c r="AT36" s="90" t="n">
        <v>6000</v>
      </c>
      <c r="AU36" s="13"/>
      <c r="AV36" s="13" t="n">
        <f aca="false">IF('Cash Drivers'!AV$26,Finance!AU36,Finance!AW36)</f>
        <v>6000</v>
      </c>
      <c r="AW36" s="89" t="n">
        <v>6000</v>
      </c>
      <c r="AX36" s="12"/>
      <c r="AY36" s="12" t="n">
        <f aca="false">IF('Cash Drivers'!AY$26,Finance!AX36,Finance!AZ36)</f>
        <v>6000</v>
      </c>
      <c r="AZ36" s="90" t="n">
        <v>6000</v>
      </c>
      <c r="BA36" s="13"/>
      <c r="BB36" s="13" t="n">
        <f aca="false">IF('Cash Drivers'!BB$26,Finance!BA36,Finance!BC36)</f>
        <v>6000</v>
      </c>
      <c r="BC36" s="89" t="n">
        <v>6000</v>
      </c>
      <c r="BD36" s="12"/>
      <c r="BE36" s="12" t="n">
        <f aca="false">IF('Cash Drivers'!BE$26,Finance!BD36,Finance!BF36)</f>
        <v>6000</v>
      </c>
      <c r="BF36" s="90" t="n">
        <v>6000</v>
      </c>
      <c r="BG36" s="13"/>
      <c r="BH36" s="13" t="n">
        <f aca="false">IF('Cash Drivers'!BH$26,Finance!BG36,Finance!BI36)</f>
        <v>6000</v>
      </c>
      <c r="BI36" s="89" t="n">
        <v>6000</v>
      </c>
      <c r="BJ36" s="12"/>
      <c r="BK36" s="12" t="n">
        <f aca="false">IF('Cash Drivers'!BK$26,Finance!BJ36,Finance!BL36)</f>
        <v>6000</v>
      </c>
      <c r="BL36" s="90" t="n">
        <v>6000</v>
      </c>
      <c r="BM36" s="13"/>
      <c r="BN36" s="13" t="n">
        <f aca="false">IF('Cash Drivers'!BN$26,Finance!BM36,Finance!BO36)</f>
        <v>6000</v>
      </c>
      <c r="BO36" s="89" t="n">
        <v>6000</v>
      </c>
      <c r="BP36" s="12"/>
      <c r="BQ36" s="12" t="n">
        <f aca="false">IF('Cash Drivers'!BQ$26,Finance!BP36,Finance!BR36)</f>
        <v>6000</v>
      </c>
      <c r="BR36" s="90" t="n">
        <v>6000</v>
      </c>
      <c r="BS36" s="13"/>
      <c r="BT36" s="13" t="n">
        <f aca="false">IF('Cash Drivers'!BT$26,Finance!BS36,Finance!BU36)</f>
        <v>6000</v>
      </c>
      <c r="BU36" s="89" t="n">
        <v>6000</v>
      </c>
      <c r="BV36" s="12"/>
      <c r="BW36" s="12" t="n">
        <f aca="false">IF('Cash Drivers'!BW$26,Finance!BV36,Finance!BX36)</f>
        <v>6000</v>
      </c>
      <c r="BX36" s="90" t="n">
        <v>6000</v>
      </c>
      <c r="BY36" s="13"/>
      <c r="BZ36" s="13" t="n">
        <f aca="false">IF('Cash Drivers'!BZ$26,Finance!BY36,Finance!CA36)</f>
        <v>6000</v>
      </c>
      <c r="CA36" s="89" t="n">
        <v>6000</v>
      </c>
      <c r="CB36" s="12"/>
      <c r="CC36" s="12" t="n">
        <f aca="false">IF('Cash Drivers'!CC$26,Finance!CB36,Finance!CD36)</f>
        <v>6000</v>
      </c>
      <c r="CD36" s="90" t="n">
        <v>6000</v>
      </c>
      <c r="CE36" s="13"/>
      <c r="CF36" s="13" t="n">
        <f aca="false">IF('Cash Drivers'!CF$26,Finance!CE36,Finance!CG36)</f>
        <v>6000</v>
      </c>
      <c r="CG36" s="89" t="n">
        <v>6000</v>
      </c>
      <c r="CH36" s="12"/>
      <c r="CI36" s="12" t="n">
        <f aca="false">IF('Cash Drivers'!CI$26,Finance!CH36,Finance!CJ36)</f>
        <v>6000</v>
      </c>
      <c r="CJ36" s="90" t="n">
        <v>6000</v>
      </c>
      <c r="CK36" s="13"/>
      <c r="CL36" s="13" t="n">
        <f aca="false">IF('Cash Drivers'!CL$26,Finance!CK36,Finance!CM36)</f>
        <v>6000</v>
      </c>
      <c r="CM36" s="89" t="n">
        <v>6000</v>
      </c>
      <c r="CN36" s="12"/>
      <c r="CO36" s="12" t="n">
        <f aca="false">IF('Cash Drivers'!CO$26,Finance!CN36,Finance!CP36)</f>
        <v>6000</v>
      </c>
      <c r="CP36" s="90" t="n">
        <v>6000</v>
      </c>
      <c r="CQ36" s="13"/>
      <c r="CR36" s="13" t="n">
        <f aca="false">IF('Cash Drivers'!CR$26,Finance!CQ36,Finance!CS36)</f>
        <v>6000</v>
      </c>
      <c r="CS36" s="89" t="n">
        <v>6000</v>
      </c>
      <c r="CT36" s="12"/>
      <c r="CU36" s="12" t="n">
        <f aca="false">IF('Cash Drivers'!CU$26,Finance!CT36,Finance!CV36)</f>
        <v>6000</v>
      </c>
      <c r="CV36" s="90" t="n">
        <v>6000</v>
      </c>
      <c r="CW36" s="13"/>
      <c r="CX36" s="13" t="n">
        <f aca="false">IF('Cash Drivers'!CX$26,Finance!CW36,Finance!CY36)</f>
        <v>6000</v>
      </c>
      <c r="CY36" s="89" t="n">
        <v>6000</v>
      </c>
      <c r="CZ36" s="12"/>
      <c r="DA36" s="12" t="n">
        <f aca="false">IF('Cash Drivers'!DA$26,Finance!CZ36,Finance!DB36)</f>
        <v>6000</v>
      </c>
      <c r="DB36" s="90" t="n">
        <v>6000</v>
      </c>
      <c r="DC36" s="13"/>
      <c r="DD36" s="13" t="n">
        <f aca="false">IF('Cash Drivers'!DD$26,Finance!DC36,Finance!DE36)</f>
        <v>6000</v>
      </c>
      <c r="DE36" s="89" t="n">
        <v>6000</v>
      </c>
      <c r="DF36" s="12"/>
      <c r="DG36" s="12" t="n">
        <f aca="false">IF('Cash Drivers'!DG$26,Finance!DF36,Finance!DH36)</f>
        <v>6000</v>
      </c>
      <c r="DH36" s="90" t="n">
        <v>6000</v>
      </c>
      <c r="DI36" s="89" t="n">
        <v>6000</v>
      </c>
      <c r="DJ36" s="13" t="n">
        <f aca="false">IF('Cash Drivers'!DJ$26,Finance!DI36,Finance!DK36)</f>
        <v>6000</v>
      </c>
      <c r="DK36" s="89" t="n">
        <v>6000</v>
      </c>
      <c r="DL36" s="90" t="n">
        <v>6000</v>
      </c>
      <c r="DM36" s="12" t="n">
        <f aca="false">IF('Cash Drivers'!DM$26,Finance!DL36,Finance!DN36)</f>
        <v>6000</v>
      </c>
      <c r="DN36" s="90" t="n">
        <v>6000</v>
      </c>
    </row>
    <row r="37" customFormat="false" ht="15.75" hidden="false" customHeight="true" outlineLevel="0" collapsed="false">
      <c r="A37" s="14" t="s">
        <v>292</v>
      </c>
      <c r="B37" s="15" t="str">
        <f aca="false">IF(COUNT(AR37,AO37,AL37,AI37,AF37,AC37,Z37,W37,T37,Q37,N37,K37)=0,"",SUM(AR37,AO37,AL37,AI37,AF37,AC37,Z37,W37,T37,Q37,N37,K37))</f>
        <v/>
      </c>
      <c r="C37" s="15" t="n">
        <f aca="false">IF(COUNT(AS37,AP37,AM37,AJ37,AG37,AD37,AA37,X37,U37,R37,O37,L37)=0,"",SUM(AS37,AP37,AM37,AJ37,AG37,AD37,AA37,X37,U37,R37,O37,L37))</f>
        <v>348000</v>
      </c>
      <c r="D37" s="15" t="n">
        <f aca="false">IF(COUNT(AT37,AQ37,AN37,AK37,AH37,AE37,AB37,Y37,V37,S37,P37,M37)=0,"",SUM(AT37,AQ37,AN37,AK37,AH37,AE37,AB37,Y37,V37,S37,P37,M37))</f>
        <v>348000</v>
      </c>
      <c r="E37" s="16" t="str">
        <f aca="false">IF(COUNT(CB37,BY37,BV37,BS37,BP37,BM37,BJ37,BG37,BD37,BA37,AX37,AU37)=0,"",SUM(CB37,BY37,BV37,BS37,BP37,BM37,BJ37,BG37,BD37,BA37,AX37,AU37))</f>
        <v/>
      </c>
      <c r="F37" s="16" t="n">
        <f aca="false">IF(COUNT(CC37,BZ37,BW37,BT37,BQ37,BN37,BK37,BH37,BE37,BB37,AY37,AV37)=0,"",SUM(CC37,BZ37,BW37,BT37,BQ37,BN37,BK37,BH37,BE37,BB37,AY37,AV37))</f>
        <v>348000</v>
      </c>
      <c r="G37" s="16" t="n">
        <f aca="false">IF(COUNT(CD37,CA37,BX37,BU37,BR37,BO37,BL37,BI37,BF37,BC37,AZ37,AW37)=0,"",SUM(CD37,CA37,BX37,BU37,BR37,BO37,BL37,BI37,BF37,BC37,AZ37,AW37))</f>
        <v>348000</v>
      </c>
      <c r="H37" s="15" t="n">
        <f aca="false">IF(COUNT(DL37,DI37,DF37,DC37,CZ37,CW37,CT37,CQ37,CN37,CK37,CH37,CE37)=0,"",SUM(DL37,DI37,DF37,DC37,CZ37,CW37,CT37,CQ37,CN37,CK37,CH37,CE37))</f>
        <v>58000</v>
      </c>
      <c r="I37" s="15" t="n">
        <f aca="false">IF(COUNT(DM37,DJ37,DG37,DD37,DA37,CX37,CU37,CR37,CO37,CL37,CI37,CF37)=0,"",SUM(DM37,DJ37,DG37,DD37,DA37,CX37,CU37,CR37,CO37,CL37,CI37,CF37))</f>
        <v>348000</v>
      </c>
      <c r="J37" s="15" t="n">
        <f aca="false">IF(COUNT(DN37,DK37,DH37,DE37,DB37,CY37,CV37,CS37,CP37,CM37,CJ37,CG37)=0,"",SUM(DN37,DK37,DH37,DE37,DB37,CY37,CV37,CS37,CP37,CM37,CJ37,CG37))</f>
        <v>348000</v>
      </c>
      <c r="K37" s="16" t="str">
        <f aca="false">IF(COUNT(K32,K33,K34,K35,K36)=0,"",SUM(K32:K36))</f>
        <v/>
      </c>
      <c r="L37" s="16" t="n">
        <f aca="false">SUM(L32:L36)</f>
        <v>29000</v>
      </c>
      <c r="M37" s="16" t="n">
        <f aca="false">SUM(M32:M36)</f>
        <v>29000</v>
      </c>
      <c r="N37" s="15" t="str">
        <f aca="false">IF(COUNT(N32,N33,N34,N35,N36)=0,"",SUM(N32:N36))</f>
        <v/>
      </c>
      <c r="O37" s="15" t="n">
        <f aca="false">SUM(O32:O36)</f>
        <v>29000</v>
      </c>
      <c r="P37" s="15" t="n">
        <f aca="false">SUM(P32:P36)</f>
        <v>29000</v>
      </c>
      <c r="Q37" s="16" t="str">
        <f aca="false">IF(COUNT(Q32,Q33,Q34,Q35,Q36)=0,"",SUM(Q32:Q36))</f>
        <v/>
      </c>
      <c r="R37" s="16" t="n">
        <f aca="false">SUM(R32:R36)</f>
        <v>29000</v>
      </c>
      <c r="S37" s="16" t="n">
        <f aca="false">SUM(S32:S36)</f>
        <v>29000</v>
      </c>
      <c r="T37" s="15" t="str">
        <f aca="false">IF(COUNT(T32,T33,T34,T35,T36)=0,"",SUM(T32:T36))</f>
        <v/>
      </c>
      <c r="U37" s="15" t="n">
        <f aca="false">SUM(U32:U36)</f>
        <v>29000</v>
      </c>
      <c r="V37" s="15" t="n">
        <f aca="false">SUM(V32:V36)</f>
        <v>29000</v>
      </c>
      <c r="W37" s="16" t="str">
        <f aca="false">IF(COUNT(W32,W33,W34,W35,W36)=0,"",SUM(W32:W36))</f>
        <v/>
      </c>
      <c r="X37" s="16" t="n">
        <f aca="false">SUM(X32:X36)</f>
        <v>29000</v>
      </c>
      <c r="Y37" s="16" t="n">
        <f aca="false">SUM(Y32:Y36)</f>
        <v>29000</v>
      </c>
      <c r="Z37" s="15" t="str">
        <f aca="false">IF(COUNT(Z32,Z33,Z34,Z35,Z36)=0,"",SUM(Z32:Z36))</f>
        <v/>
      </c>
      <c r="AA37" s="15" t="n">
        <f aca="false">SUM(AA32:AA36)</f>
        <v>29000</v>
      </c>
      <c r="AB37" s="15" t="n">
        <f aca="false">SUM(AB32:AB36)</f>
        <v>29000</v>
      </c>
      <c r="AC37" s="16" t="str">
        <f aca="false">IF(COUNT(AC32,AC33,AC34,AC35,AC36)=0,"",SUM(AC32:AC36))</f>
        <v/>
      </c>
      <c r="AD37" s="16" t="n">
        <f aca="false">SUM(AD32:AD36)</f>
        <v>29000</v>
      </c>
      <c r="AE37" s="16" t="n">
        <f aca="false">SUM(AE32:AE36)</f>
        <v>29000</v>
      </c>
      <c r="AF37" s="15" t="str">
        <f aca="false">IF(COUNT(AF32,AF33,AF34,AF35,AF36)=0,"",SUM(AF32:AF36))</f>
        <v/>
      </c>
      <c r="AG37" s="15" t="n">
        <f aca="false">SUM(AG32:AG36)</f>
        <v>29000</v>
      </c>
      <c r="AH37" s="15" t="n">
        <f aca="false">SUM(AH32:AH36)</f>
        <v>29000</v>
      </c>
      <c r="AI37" s="16" t="str">
        <f aca="false">IF(COUNT(AI32,AI33,AI34,AI35,AI36)=0,"",SUM(AI32:AI36))</f>
        <v/>
      </c>
      <c r="AJ37" s="16" t="n">
        <f aca="false">SUM(AJ32:AJ36)</f>
        <v>29000</v>
      </c>
      <c r="AK37" s="16" t="n">
        <f aca="false">SUM(AK32:AK36)</f>
        <v>29000</v>
      </c>
      <c r="AL37" s="15" t="str">
        <f aca="false">IF(COUNT(AL32,AL33,AL34,AL35,AL36)=0,"",SUM(AL32:AL36))</f>
        <v/>
      </c>
      <c r="AM37" s="15" t="n">
        <f aca="false">SUM(AM32:AM36)</f>
        <v>29000</v>
      </c>
      <c r="AN37" s="15" t="n">
        <f aca="false">SUM(AN32:AN36)</f>
        <v>29000</v>
      </c>
      <c r="AO37" s="16" t="str">
        <f aca="false">IF(COUNT(AO32,AO33,AO34,AO35,AO36)=0,"",SUM(AO32:AO36))</f>
        <v/>
      </c>
      <c r="AP37" s="16" t="n">
        <f aca="false">SUM(AP32:AP36)</f>
        <v>29000</v>
      </c>
      <c r="AQ37" s="16" t="n">
        <f aca="false">SUM(AQ32:AQ36)</f>
        <v>29000</v>
      </c>
      <c r="AR37" s="15" t="str">
        <f aca="false">IF(COUNT(AR32,AR33,AR34,AR35,AR36)=0,"",SUM(AR32:AR36))</f>
        <v/>
      </c>
      <c r="AS37" s="15" t="n">
        <f aca="false">SUM(AS32:AS36)</f>
        <v>29000</v>
      </c>
      <c r="AT37" s="15" t="n">
        <f aca="false">SUM(AT32:AT36)</f>
        <v>29000</v>
      </c>
      <c r="AU37" s="16" t="str">
        <f aca="false">IF(COUNT(AU32,AU33,AU34,AU35,AU36)=0,"",SUM(AU32:AU36))</f>
        <v/>
      </c>
      <c r="AV37" s="16" t="n">
        <f aca="false">SUM(AV32:AV36)</f>
        <v>29000</v>
      </c>
      <c r="AW37" s="16" t="n">
        <f aca="false">SUM(AW32:AW36)</f>
        <v>29000</v>
      </c>
      <c r="AX37" s="15" t="str">
        <f aca="false">IF(COUNT(AX32,AX33,AX34,AX35,AX36)=0,"",SUM(AX32:AX36))</f>
        <v/>
      </c>
      <c r="AY37" s="15" t="n">
        <f aca="false">SUM(AY32:AY36)</f>
        <v>29000</v>
      </c>
      <c r="AZ37" s="15" t="n">
        <f aca="false">SUM(AZ32:AZ36)</f>
        <v>29000</v>
      </c>
      <c r="BA37" s="16" t="str">
        <f aca="false">IF(COUNT(BA32,BA33,BA34,BA35,BA36)=0,"",SUM(BA32:BA36))</f>
        <v/>
      </c>
      <c r="BB37" s="16" t="n">
        <f aca="false">SUM(BB32:BB36)</f>
        <v>29000</v>
      </c>
      <c r="BC37" s="16" t="n">
        <f aca="false">SUM(BC32:BC36)</f>
        <v>29000</v>
      </c>
      <c r="BD37" s="15" t="str">
        <f aca="false">IF(COUNT(BD32,BD33,BD34,BD35,BD36)=0,"",SUM(BD32:BD36))</f>
        <v/>
      </c>
      <c r="BE37" s="15" t="n">
        <f aca="false">SUM(BE32:BE36)</f>
        <v>29000</v>
      </c>
      <c r="BF37" s="15" t="n">
        <f aca="false">SUM(BF32:BF36)</f>
        <v>29000</v>
      </c>
      <c r="BG37" s="16" t="str">
        <f aca="false">IF(COUNT(BG32,BG33,BG34,BG35,BG36)=0,"",SUM(BG32:BG36))</f>
        <v/>
      </c>
      <c r="BH37" s="16" t="n">
        <f aca="false">SUM(BH32:BH36)</f>
        <v>29000</v>
      </c>
      <c r="BI37" s="16" t="n">
        <f aca="false">SUM(BI32:BI36)</f>
        <v>29000</v>
      </c>
      <c r="BJ37" s="15" t="str">
        <f aca="false">IF(COUNT(BJ32,BJ33,BJ34,BJ35,BJ36)=0,"",SUM(BJ32:BJ36))</f>
        <v/>
      </c>
      <c r="BK37" s="15" t="n">
        <f aca="false">SUM(BK32:BK36)</f>
        <v>29000</v>
      </c>
      <c r="BL37" s="15" t="n">
        <f aca="false">SUM(BL32:BL36)</f>
        <v>29000</v>
      </c>
      <c r="BM37" s="16" t="str">
        <f aca="false">IF(COUNT(BM32,BM33,BM34,BM35,BM36)=0,"",SUM(BM32:BM36))</f>
        <v/>
      </c>
      <c r="BN37" s="16" t="n">
        <f aca="false">SUM(BN32:BN36)</f>
        <v>29000</v>
      </c>
      <c r="BO37" s="16" t="n">
        <f aca="false">SUM(BO32:BO36)</f>
        <v>29000</v>
      </c>
      <c r="BP37" s="15" t="str">
        <f aca="false">IF(COUNT(BP32,BP33,BP34,BP35,BP36)=0,"",SUM(BP32:BP36))</f>
        <v/>
      </c>
      <c r="BQ37" s="15" t="n">
        <f aca="false">SUM(BQ32:BQ36)</f>
        <v>29000</v>
      </c>
      <c r="BR37" s="15" t="n">
        <f aca="false">SUM(BR32:BR36)</f>
        <v>29000</v>
      </c>
      <c r="BS37" s="16" t="str">
        <f aca="false">IF(COUNT(BS32,BS33,BS34,BS35,BS36)=0,"",SUM(BS32:BS36))</f>
        <v/>
      </c>
      <c r="BT37" s="16" t="n">
        <f aca="false">SUM(BT32:BT36)</f>
        <v>29000</v>
      </c>
      <c r="BU37" s="16" t="n">
        <f aca="false">SUM(BU32:BU36)</f>
        <v>29000</v>
      </c>
      <c r="BV37" s="15" t="str">
        <f aca="false">IF(COUNT(BV32,BV33,BV34,BV35,BV36)=0,"",SUM(BV32:BV36))</f>
        <v/>
      </c>
      <c r="BW37" s="15" t="n">
        <f aca="false">SUM(BW32:BW36)</f>
        <v>29000</v>
      </c>
      <c r="BX37" s="15" t="n">
        <f aca="false">SUM(BX32:BX36)</f>
        <v>29000</v>
      </c>
      <c r="BY37" s="16" t="str">
        <f aca="false">IF(COUNT(BY32,BY33,BY34,BY35,BY36)=0,"",SUM(BY32:BY36))</f>
        <v/>
      </c>
      <c r="BZ37" s="16" t="n">
        <f aca="false">SUM(BZ32:BZ36)</f>
        <v>29000</v>
      </c>
      <c r="CA37" s="16" t="n">
        <f aca="false">SUM(CA32:CA36)</f>
        <v>29000</v>
      </c>
      <c r="CB37" s="15" t="str">
        <f aca="false">IF(COUNT(CB32,CB33,CB34,CB35,CB36)=0,"",SUM(CB32:CB36))</f>
        <v/>
      </c>
      <c r="CC37" s="15" t="n">
        <f aca="false">SUM(CC32:CC36)</f>
        <v>29000</v>
      </c>
      <c r="CD37" s="15" t="n">
        <f aca="false">SUM(CD32:CD36)</f>
        <v>29000</v>
      </c>
      <c r="CE37" s="16" t="str">
        <f aca="false">IF(COUNT(CE32,CE33,CE34,CE35,CE36)=0,"",SUM(CE32:CE36))</f>
        <v/>
      </c>
      <c r="CF37" s="16" t="n">
        <f aca="false">SUM(CF32:CF36)</f>
        <v>29000</v>
      </c>
      <c r="CG37" s="16" t="n">
        <f aca="false">SUM(CG32:CG36)</f>
        <v>29000</v>
      </c>
      <c r="CH37" s="15" t="str">
        <f aca="false">IF(COUNT(CH32,CH33,CH34,CH35,CH36)=0,"",SUM(CH32:CH36))</f>
        <v/>
      </c>
      <c r="CI37" s="15" t="n">
        <f aca="false">SUM(CI32:CI36)</f>
        <v>29000</v>
      </c>
      <c r="CJ37" s="15" t="n">
        <f aca="false">SUM(CJ32:CJ36)</f>
        <v>29000</v>
      </c>
      <c r="CK37" s="16" t="str">
        <f aca="false">IF(COUNT(CK32,CK33,CK34,CK35,CK36)=0,"",SUM(CK32:CK36))</f>
        <v/>
      </c>
      <c r="CL37" s="16" t="n">
        <f aca="false">SUM(CL32:CL36)</f>
        <v>29000</v>
      </c>
      <c r="CM37" s="16" t="n">
        <f aca="false">SUM(CM32:CM36)</f>
        <v>29000</v>
      </c>
      <c r="CN37" s="15" t="str">
        <f aca="false">IF(COUNT(CN32,CN33,CN34,CN35,CN36)=0,"",SUM(CN32:CN36))</f>
        <v/>
      </c>
      <c r="CO37" s="15" t="n">
        <f aca="false">SUM(CO32:CO36)</f>
        <v>29000</v>
      </c>
      <c r="CP37" s="15" t="n">
        <f aca="false">SUM(CP32:CP36)</f>
        <v>29000</v>
      </c>
      <c r="CQ37" s="16" t="str">
        <f aca="false">IF(COUNT(CQ32,CQ33,CQ34,CQ35,CQ36)=0,"",SUM(CQ32:CQ36))</f>
        <v/>
      </c>
      <c r="CR37" s="16" t="n">
        <f aca="false">SUM(CR32:CR36)</f>
        <v>29000</v>
      </c>
      <c r="CS37" s="16" t="n">
        <f aca="false">SUM(CS32:CS36)</f>
        <v>29000</v>
      </c>
      <c r="CT37" s="15" t="str">
        <f aca="false">IF(COUNT(CT32,CT33,CT34,CT35,CT36)=0,"",SUM(CT32:CT36))</f>
        <v/>
      </c>
      <c r="CU37" s="15" t="n">
        <f aca="false">SUM(CU32:CU36)</f>
        <v>29000</v>
      </c>
      <c r="CV37" s="15" t="n">
        <f aca="false">SUM(CV32:CV36)</f>
        <v>29000</v>
      </c>
      <c r="CW37" s="16" t="str">
        <f aca="false">IF(COUNT(CW32,CW33,CW34,CW35,CW36)=0,"",SUM(CW32:CW36))</f>
        <v/>
      </c>
      <c r="CX37" s="16" t="n">
        <f aca="false">SUM(CX32:CX36)</f>
        <v>29000</v>
      </c>
      <c r="CY37" s="16" t="n">
        <f aca="false">SUM(CY32:CY36)</f>
        <v>29000</v>
      </c>
      <c r="CZ37" s="15" t="str">
        <f aca="false">IF(COUNT(CZ32,CZ33,CZ34,CZ35,CZ36)=0,"",SUM(CZ32:CZ36))</f>
        <v/>
      </c>
      <c r="DA37" s="15" t="n">
        <f aca="false">SUM(DA32:DA36)</f>
        <v>29000</v>
      </c>
      <c r="DB37" s="15" t="n">
        <f aca="false">SUM(DB32:DB36)</f>
        <v>29000</v>
      </c>
      <c r="DC37" s="16" t="str">
        <f aca="false">IF(COUNT(DC32,DC33,DC34,DC35,DC36)=0,"",SUM(DC32:DC36))</f>
        <v/>
      </c>
      <c r="DD37" s="16" t="n">
        <f aca="false">SUM(DD32:DD36)</f>
        <v>29000</v>
      </c>
      <c r="DE37" s="16" t="n">
        <f aca="false">SUM(DE32:DE36)</f>
        <v>29000</v>
      </c>
      <c r="DF37" s="15" t="str">
        <f aca="false">IF(COUNT(DF32,DF33,DF34,DF35,DF36)=0,"",SUM(DF32:DF36))</f>
        <v/>
      </c>
      <c r="DG37" s="15" t="n">
        <f aca="false">SUM(DG32:DG36)</f>
        <v>29000</v>
      </c>
      <c r="DH37" s="15" t="n">
        <f aca="false">SUM(DH32:DH36)</f>
        <v>29000</v>
      </c>
      <c r="DI37" s="16" t="n">
        <f aca="false">IF(COUNT(DI32,DI33,DI34,DI35,DI36)=0,"",SUM(DI32:DI36))</f>
        <v>29000</v>
      </c>
      <c r="DJ37" s="16" t="n">
        <f aca="false">SUM(DJ32:DJ36)</f>
        <v>29000</v>
      </c>
      <c r="DK37" s="16" t="n">
        <f aca="false">SUM(DK32:DK36)</f>
        <v>29000</v>
      </c>
      <c r="DL37" s="15" t="n">
        <f aca="false">IF(COUNT(DL32,DL33,DL34,DL35,DL36)=0,"",SUM(DL32:DL36))</f>
        <v>29000</v>
      </c>
      <c r="DM37" s="15" t="n">
        <f aca="false">SUM(DM32:DM36)</f>
        <v>29000</v>
      </c>
      <c r="DN37" s="15" t="n">
        <f aca="false">SUM(DN32:DN36)</f>
        <v>29000</v>
      </c>
    </row>
    <row r="38" customFormat="false" ht="15.75" hidden="false" customHeight="true" outlineLevel="0" collapsed="false">
      <c r="A38" s="14" t="s">
        <v>293</v>
      </c>
      <c r="B38" s="15" t="str">
        <f aca="false">IF(COUNT(AR38,AO38,AL38,AI38,AF38,AC38,Z38,W38,T38,Q38,N38,K38)=0,"",SUM(AR38,AO38,AL38,AI38,AF38,AC38,Z38,W38,T38,Q38,N38,K38))</f>
        <v/>
      </c>
      <c r="C38" s="15" t="n">
        <f aca="false">IF(COUNT(AS38,AP38,AM38,AJ38,AG38,AD38,AA38,X38,U38,R38,O38,L38)=0,"",SUM(AS38,AP38,AM38,AJ38,AG38,AD38,AA38,X38,U38,R38,O38,L38))</f>
        <v>2070480</v>
      </c>
      <c r="D38" s="15" t="n">
        <f aca="false">IF(COUNT(AT38,AQ38,AN38,AK38,AH38,AE38,AB38,Y38,V38,S38,P38,M38)=0,"",SUM(AT38,AQ38,AN38,AK38,AH38,AE38,AB38,Y38,V38,S38,P38,M38))</f>
        <v>2070480</v>
      </c>
      <c r="E38" s="16" t="str">
        <f aca="false">IF(COUNT(CB38,BY38,BV38,BS38,BP38,BM38,BJ38,BG38,BD38,BA38,AX38,AU38)=0,"",SUM(CB38,BY38,BV38,BS38,BP38,BM38,BJ38,BG38,BD38,BA38,AX38,AU38))</f>
        <v/>
      </c>
      <c r="F38" s="16" t="n">
        <f aca="false">IF(COUNT(CC38,BZ38,BW38,BT38,BQ38,BN38,BK38,BH38,BE38,BB38,AY38,AV38)=0,"",SUM(CC38,BZ38,BW38,BT38,BQ38,BN38,BK38,BH38,BE38,BB38,AY38,AV38))</f>
        <v>2027780</v>
      </c>
      <c r="G38" s="16" t="n">
        <f aca="false">IF(COUNT(CD38,CA38,BX38,BU38,BR38,BO38,BL38,BI38,BF38,BC38,AZ38,AW38)=0,"",SUM(CD38,CA38,BX38,BU38,BR38,BO38,BL38,BI38,BF38,BC38,AZ38,AW38))</f>
        <v>2027780</v>
      </c>
      <c r="H38" s="15" t="n">
        <f aca="false">IF(COUNT(DL38,DI38,DF38,DC38,CZ38,CW38,CT38,CQ38,CN38,CK38,CH38,CE38)=0,"",SUM(DL38,DI38,DF38,DC38,CZ38,CW38,CT38,CQ38,CN38,CK38,CH38,CE38))</f>
        <v>328000</v>
      </c>
      <c r="I38" s="15" t="n">
        <f aca="false">IF(COUNT(DM38,DJ38,DG38,DD38,DA38,CX38,CU38,CR38,CO38,CL38,CI38,CF38)=0,"",SUM(DM38,DJ38,DG38,DD38,DA38,CX38,CU38,CR38,CO38,CL38,CI38,CF38))</f>
        <v>1968000</v>
      </c>
      <c r="J38" s="15" t="n">
        <f aca="false">IF(COUNT(DN38,DK38,DH38,DE38,DB38,CY38,CV38,CS38,CP38,CM38,CJ38,CG38)=0,"",SUM(DN38,DK38,DH38,DE38,DB38,CY38,CV38,CS38,CP38,CM38,CJ38,CG38))</f>
        <v>1968000</v>
      </c>
      <c r="K38" s="16" t="str">
        <f aca="false">IF(COUNT(K31,K37)=0,"",K31+K37)</f>
        <v/>
      </c>
      <c r="L38" s="16" t="n">
        <f aca="false">L31+L37</f>
        <v>172540</v>
      </c>
      <c r="M38" s="16" t="n">
        <f aca="false">M31+M37</f>
        <v>172540</v>
      </c>
      <c r="N38" s="15" t="str">
        <f aca="false">IF(COUNT(N31,N37)=0,"",N31+N37)</f>
        <v/>
      </c>
      <c r="O38" s="15" t="n">
        <f aca="false">O31+O37</f>
        <v>172540</v>
      </c>
      <c r="P38" s="15" t="n">
        <f aca="false">P31+P37</f>
        <v>172540</v>
      </c>
      <c r="Q38" s="16" t="str">
        <f aca="false">IF(COUNT(Q31,Q37)=0,"",Q31+Q37)</f>
        <v/>
      </c>
      <c r="R38" s="16" t="n">
        <f aca="false">R31+R37</f>
        <v>172540</v>
      </c>
      <c r="S38" s="16" t="n">
        <f aca="false">S31+S37</f>
        <v>172540</v>
      </c>
      <c r="T38" s="15" t="str">
        <f aca="false">IF(COUNT(T31,T37)=0,"",T31+T37)</f>
        <v/>
      </c>
      <c r="U38" s="15" t="n">
        <f aca="false">U31+U37</f>
        <v>172540</v>
      </c>
      <c r="V38" s="15" t="n">
        <f aca="false">V31+V37</f>
        <v>172540</v>
      </c>
      <c r="W38" s="16" t="str">
        <f aca="false">IF(COUNT(W31,W37)=0,"",W31+W37)</f>
        <v/>
      </c>
      <c r="X38" s="16" t="n">
        <f aca="false">X31+X37</f>
        <v>172540</v>
      </c>
      <c r="Y38" s="16" t="n">
        <f aca="false">Y31+Y37</f>
        <v>172540</v>
      </c>
      <c r="Z38" s="15" t="str">
        <f aca="false">IF(COUNT(Z31,Z37)=0,"",Z31+Z37)</f>
        <v/>
      </c>
      <c r="AA38" s="15" t="n">
        <f aca="false">AA31+AA37</f>
        <v>172540</v>
      </c>
      <c r="AB38" s="15" t="n">
        <f aca="false">AB31+AB37</f>
        <v>172540</v>
      </c>
      <c r="AC38" s="16" t="str">
        <f aca="false">IF(COUNT(AC31,AC37)=0,"",AC31+AC37)</f>
        <v/>
      </c>
      <c r="AD38" s="16" t="n">
        <f aca="false">AD31+AD37</f>
        <v>172540</v>
      </c>
      <c r="AE38" s="16" t="n">
        <f aca="false">AE31+AE37</f>
        <v>172540</v>
      </c>
      <c r="AF38" s="15" t="str">
        <f aca="false">IF(COUNT(AF31,AF37)=0,"",AF31+AF37)</f>
        <v/>
      </c>
      <c r="AG38" s="15" t="n">
        <f aca="false">AG31+AG37</f>
        <v>172540</v>
      </c>
      <c r="AH38" s="15" t="n">
        <f aca="false">AH31+AH37</f>
        <v>172540</v>
      </c>
      <c r="AI38" s="16" t="str">
        <f aca="false">IF(COUNT(AI31,AI37)=0,"",AI31+AI37)</f>
        <v/>
      </c>
      <c r="AJ38" s="16" t="n">
        <f aca="false">AJ31+AJ37</f>
        <v>172540</v>
      </c>
      <c r="AK38" s="16" t="n">
        <f aca="false">AK31+AK37</f>
        <v>172540</v>
      </c>
      <c r="AL38" s="15" t="str">
        <f aca="false">IF(COUNT(AL31,AL37)=0,"",AL31+AL37)</f>
        <v/>
      </c>
      <c r="AM38" s="15" t="n">
        <f aca="false">AM31+AM37</f>
        <v>172540</v>
      </c>
      <c r="AN38" s="15" t="n">
        <f aca="false">AN31+AN37</f>
        <v>172540</v>
      </c>
      <c r="AO38" s="16" t="str">
        <f aca="false">IF(COUNT(AO31,AO37)=0,"",AO31+AO37)</f>
        <v/>
      </c>
      <c r="AP38" s="16" t="n">
        <f aca="false">AP31+AP37</f>
        <v>172540</v>
      </c>
      <c r="AQ38" s="16" t="n">
        <f aca="false">AQ31+AQ37</f>
        <v>172540</v>
      </c>
      <c r="AR38" s="15" t="str">
        <f aca="false">IF(COUNT(AR31,AR37)=0,"",AR31+AR37)</f>
        <v/>
      </c>
      <c r="AS38" s="15" t="n">
        <f aca="false">AS31+AS37</f>
        <v>172540</v>
      </c>
      <c r="AT38" s="15" t="n">
        <f aca="false">AT31+AT37</f>
        <v>172540</v>
      </c>
      <c r="AU38" s="16" t="str">
        <f aca="false">IF(COUNT(AU31,AU37)=0,"",AU31+AU37)</f>
        <v/>
      </c>
      <c r="AV38" s="16" t="n">
        <f aca="false">AV31+AV37</f>
        <v>172540</v>
      </c>
      <c r="AW38" s="16" t="n">
        <f aca="false">AW31+AW37</f>
        <v>172540</v>
      </c>
      <c r="AX38" s="15" t="str">
        <f aca="false">IF(COUNT(AX31,AX37)=0,"",AX31+AX37)</f>
        <v/>
      </c>
      <c r="AY38" s="15" t="n">
        <f aca="false">AY31+AY37</f>
        <v>172540</v>
      </c>
      <c r="AZ38" s="15" t="n">
        <f aca="false">AZ31+AZ37</f>
        <v>172540</v>
      </c>
      <c r="BA38" s="16" t="str">
        <f aca="false">IF(COUNT(BA31,BA37)=0,"",BA31+BA37)</f>
        <v/>
      </c>
      <c r="BB38" s="16" t="n">
        <f aca="false">BB31+BB37</f>
        <v>172540</v>
      </c>
      <c r="BC38" s="16" t="n">
        <f aca="false">BC31+BC37</f>
        <v>172540</v>
      </c>
      <c r="BD38" s="15" t="str">
        <f aca="false">IF(COUNT(BD31,BD37)=0,"",BD31+BD37)</f>
        <v/>
      </c>
      <c r="BE38" s="15" t="n">
        <f aca="false">BE31+BE37</f>
        <v>172540</v>
      </c>
      <c r="BF38" s="15" t="n">
        <f aca="false">BF31+BF37</f>
        <v>172540</v>
      </c>
      <c r="BG38" s="16" t="str">
        <f aca="false">IF(COUNT(BG31,BG37)=0,"",BG31+BG37)</f>
        <v/>
      </c>
      <c r="BH38" s="16" t="n">
        <f aca="false">BH31+BH37</f>
        <v>172540</v>
      </c>
      <c r="BI38" s="16" t="n">
        <f aca="false">BI31+BI37</f>
        <v>172540</v>
      </c>
      <c r="BJ38" s="15" t="str">
        <f aca="false">IF(COUNT(BJ31,BJ37)=0,"",BJ31+BJ37)</f>
        <v/>
      </c>
      <c r="BK38" s="15" t="n">
        <f aca="false">BK31+BK37</f>
        <v>172540</v>
      </c>
      <c r="BL38" s="15" t="n">
        <f aca="false">BL31+BL37</f>
        <v>172540</v>
      </c>
      <c r="BM38" s="16" t="str">
        <f aca="false">IF(COUNT(BM31,BM37)=0,"",BM31+BM37)</f>
        <v/>
      </c>
      <c r="BN38" s="16" t="n">
        <f aca="false">BN31+BN37</f>
        <v>172540</v>
      </c>
      <c r="BO38" s="16" t="n">
        <f aca="false">BO31+BO37</f>
        <v>172540</v>
      </c>
      <c r="BP38" s="15" t="str">
        <f aca="false">IF(COUNT(BP31,BP37)=0,"",BP31+BP37)</f>
        <v/>
      </c>
      <c r="BQ38" s="15" t="n">
        <f aca="false">BQ31+BQ37</f>
        <v>164000</v>
      </c>
      <c r="BR38" s="15" t="n">
        <f aca="false">BR31+BR37</f>
        <v>164000</v>
      </c>
      <c r="BS38" s="16" t="str">
        <f aca="false">IF(COUNT(BS31,BS37)=0,"",BS31+BS37)</f>
        <v/>
      </c>
      <c r="BT38" s="16" t="n">
        <f aca="false">BT31+BT37</f>
        <v>164000</v>
      </c>
      <c r="BU38" s="16" t="n">
        <f aca="false">BU31+BU37</f>
        <v>164000</v>
      </c>
      <c r="BV38" s="15" t="str">
        <f aca="false">IF(COUNT(BV31,BV37)=0,"",BV31+BV37)</f>
        <v/>
      </c>
      <c r="BW38" s="15" t="n">
        <f aca="false">BW31+BW37</f>
        <v>164000</v>
      </c>
      <c r="BX38" s="15" t="n">
        <f aca="false">BX31+BX37</f>
        <v>164000</v>
      </c>
      <c r="BY38" s="16" t="str">
        <f aca="false">IF(COUNT(BY31,BY37)=0,"",BY31+BY37)</f>
        <v/>
      </c>
      <c r="BZ38" s="16" t="n">
        <f aca="false">BZ31+BZ37</f>
        <v>164000</v>
      </c>
      <c r="CA38" s="16" t="n">
        <f aca="false">CA31+CA37</f>
        <v>164000</v>
      </c>
      <c r="CB38" s="15" t="str">
        <f aca="false">IF(COUNT(CB31,CB37)=0,"",CB31+CB37)</f>
        <v/>
      </c>
      <c r="CC38" s="15" t="n">
        <f aca="false">CC31+CC37</f>
        <v>164000</v>
      </c>
      <c r="CD38" s="15" t="n">
        <f aca="false">CD31+CD37</f>
        <v>164000</v>
      </c>
      <c r="CE38" s="16" t="str">
        <f aca="false">IF(COUNT(CE31,CE37)=0,"",CE31+CE37)</f>
        <v/>
      </c>
      <c r="CF38" s="16" t="n">
        <f aca="false">CF31+CF37</f>
        <v>164000</v>
      </c>
      <c r="CG38" s="16" t="n">
        <f aca="false">CG31+CG37</f>
        <v>164000</v>
      </c>
      <c r="CH38" s="15" t="str">
        <f aca="false">IF(COUNT(CH31,CH37)=0,"",CH31+CH37)</f>
        <v/>
      </c>
      <c r="CI38" s="15" t="n">
        <f aca="false">CI31+CI37</f>
        <v>164000</v>
      </c>
      <c r="CJ38" s="15" t="n">
        <f aca="false">CJ31+CJ37</f>
        <v>164000</v>
      </c>
      <c r="CK38" s="16" t="str">
        <f aca="false">IF(COUNT(CK31,CK37)=0,"",CK31+CK37)</f>
        <v/>
      </c>
      <c r="CL38" s="16" t="n">
        <f aca="false">CL31+CL37</f>
        <v>164000</v>
      </c>
      <c r="CM38" s="16" t="n">
        <f aca="false">CM31+CM37</f>
        <v>164000</v>
      </c>
      <c r="CN38" s="15" t="str">
        <f aca="false">IF(COUNT(CN31,CN37)=0,"",CN31+CN37)</f>
        <v/>
      </c>
      <c r="CO38" s="15" t="n">
        <f aca="false">CO31+CO37</f>
        <v>164000</v>
      </c>
      <c r="CP38" s="15" t="n">
        <f aca="false">CP31+CP37</f>
        <v>164000</v>
      </c>
      <c r="CQ38" s="16" t="str">
        <f aca="false">IF(COUNT(CQ31,CQ37)=0,"",CQ31+CQ37)</f>
        <v/>
      </c>
      <c r="CR38" s="16" t="n">
        <f aca="false">CR31+CR37</f>
        <v>164000</v>
      </c>
      <c r="CS38" s="16" t="n">
        <f aca="false">CS31+CS37</f>
        <v>164000</v>
      </c>
      <c r="CT38" s="15" t="str">
        <f aca="false">IF(COUNT(CT31,CT37)=0,"",CT31+CT37)</f>
        <v/>
      </c>
      <c r="CU38" s="15" t="n">
        <f aca="false">CU31+CU37</f>
        <v>164000</v>
      </c>
      <c r="CV38" s="15" t="n">
        <f aca="false">CV31+CV37</f>
        <v>164000</v>
      </c>
      <c r="CW38" s="16" t="str">
        <f aca="false">IF(COUNT(CW31,CW37)=0,"",CW31+CW37)</f>
        <v/>
      </c>
      <c r="CX38" s="16" t="n">
        <f aca="false">CX31+CX37</f>
        <v>164000</v>
      </c>
      <c r="CY38" s="16" t="n">
        <f aca="false">CY31+CY37</f>
        <v>164000</v>
      </c>
      <c r="CZ38" s="15" t="str">
        <f aca="false">IF(COUNT(CZ31,CZ37)=0,"",CZ31+CZ37)</f>
        <v/>
      </c>
      <c r="DA38" s="15" t="n">
        <f aca="false">DA31+DA37</f>
        <v>164000</v>
      </c>
      <c r="DB38" s="15" t="n">
        <f aca="false">DB31+DB37</f>
        <v>164000</v>
      </c>
      <c r="DC38" s="16" t="str">
        <f aca="false">IF(COUNT(DC31,DC37)=0,"",DC31+DC37)</f>
        <v/>
      </c>
      <c r="DD38" s="16" t="n">
        <f aca="false">DD31+DD37</f>
        <v>164000</v>
      </c>
      <c r="DE38" s="16" t="n">
        <f aca="false">DE31+DE37</f>
        <v>164000</v>
      </c>
      <c r="DF38" s="15" t="str">
        <f aca="false">IF(COUNT(DF31,DF37)=0,"",DF31+DF37)</f>
        <v/>
      </c>
      <c r="DG38" s="15" t="n">
        <f aca="false">DG31+DG37</f>
        <v>164000</v>
      </c>
      <c r="DH38" s="15" t="n">
        <f aca="false">DH31+DH37</f>
        <v>164000</v>
      </c>
      <c r="DI38" s="16" t="n">
        <f aca="false">IF(COUNT(DI31,DI37)=0,"",DI31+DI37)</f>
        <v>164000</v>
      </c>
      <c r="DJ38" s="16" t="n">
        <f aca="false">DJ31+DJ37</f>
        <v>164000</v>
      </c>
      <c r="DK38" s="16" t="n">
        <f aca="false">DK31+DK37</f>
        <v>164000</v>
      </c>
      <c r="DL38" s="15" t="n">
        <f aca="false">IF(COUNT(DL31,DL37)=0,"",DL31+DL37)</f>
        <v>164000</v>
      </c>
      <c r="DM38" s="15" t="n">
        <f aca="false">DM31+DM37</f>
        <v>164000</v>
      </c>
      <c r="DN38" s="15" t="n">
        <f aca="false">DN31+DN37</f>
        <v>164000</v>
      </c>
    </row>
    <row r="39" customFormat="false" ht="15.75" hidden="false" customHeight="true" outlineLevel="0" collapsed="false">
      <c r="A39" s="5" t="s">
        <v>294</v>
      </c>
      <c r="B39" s="112" t="str">
        <f aca="false">IF(SUM(AR3,AO3,AL3,AI3,AF3,AC3,Z3,W3,T3,Q3,N3,K3)=0,"",SUM(AR38,AO38,AL38,AI38,AF38,AC38,Z38,W38,T38,Q38,N38,K38)/SUM(AR3,AO3,AL3,AI3,AF3,AC3,Z3,W3,T3,Q3,N3,K3))</f>
        <v/>
      </c>
      <c r="C39" s="112" t="n">
        <f aca="false">IF(SUM(AS3,AP3,AM3,AJ3,AG3,AD3,AA3,X3,U3,R3,O3,L3)=0,"",SUM(AS38,AP38,AM38,AJ38,AG38,AD38,AA38,X38,U38,R38,O38,L38)/SUM(AS3,AP3,AM3,AJ3,AG3,AD3,AA3,X3,U3,R3,O3,L3))</f>
        <v>0.0811335310360407</v>
      </c>
      <c r="D39" s="112" t="n">
        <f aca="false">IF(SUM(AT3,AQ3,AN3,AK3,AH3,AE3,AB3,Y3,V3,S3,P3,M3)=0,"",SUM(AT38,AQ38,AN38,AK38,AH38,AE38,AB38,Y38,V38,S38,P38,M38)/SUM(AT3,AQ3,AN3,AK3,AH3,AE3,AB3,Y3,V3,S3,P3,M3))</f>
        <v>0.0821454365186096</v>
      </c>
      <c r="E39" s="31" t="str">
        <f aca="false">IF(SUM(CB3,BY3,BV3,BS3,BP3,BM3,BJ3,BG3,BD3,BA3,AX3,AU3)=0,"",SUM(CB38,BY38,BV38,BS38,BP38,BM38,BJ38,BG38,BD38,BA38,AX38,AU38)/SUM(CB3,BY3,BV3,BS3,BP3,BM3,BJ3,BG3,BD3,BA3,AX3,AU3))</f>
        <v/>
      </c>
      <c r="F39" s="31" t="n">
        <f aca="false">IF(SUM(CC3,BZ3,BW3,BT3,BQ3,BN3,BK3,BH3,BE3,BB3,AY3,AV3)=0,"",SUM(CC38,BZ38,BW38,BT38,BQ38,BN38,BK38,BH38,BE38,BB38,AY38,AV38)/SUM(CC3,BZ3,BW3,BT3,BQ3,BN3,BK3,BH3,BE3,BB3,AY3,AV3))</f>
        <v>0.107636557916968</v>
      </c>
      <c r="G39" s="31" t="n">
        <f aca="false">IF(SUM(CD3,CA3,BX3,BU3,BR3,BO3,BL3,BI3,BF3,BC3,AZ3,AW3)=0,"",SUM(CD38,CA38,BX38,BU38,BR38,BO38,BL38,BI38,BF38,BC38,AZ38,AW38)/SUM(CD3,CA3,BX3,BU3,BR3,BO3,BL3,BI3,BF3,BC3,AZ3,AW3))</f>
        <v>0.109483854828028</v>
      </c>
      <c r="H39" s="112" t="n">
        <f aca="false">IF(SUM(DL3,DI3,DF3,DC3,CZ3,CW3,CT3,CQ3,CN3,CK3,CH3,CE3)=0,"",SUM(DL38,DI38,DF38,DC38,CZ38,CW38,CT38,CQ38,CN38,CK38,CH38,CE38)/SUM(DL3,DI3,DF3,DC3,CZ3,CW3,CT3,CQ3,CN3,CK3,CH3,CE3))</f>
        <v>0.159291545207058</v>
      </c>
      <c r="I39" s="112" t="n">
        <f aca="false">IF(SUM(DM3,DJ3,DG3,DD3,DA3,CX3,CU3,CR3,CO3,CL3,CI3,CF3)=0,"",SUM(DM38,DJ38,DG38,DD38,DA38,CX38,CU38,CR38,CO38,CL38,CI38,CF38)/SUM(DM3,DJ3,DG3,DD3,DA3,CX3,CU3,CR3,CO3,CL3,CI3,CF3))</f>
        <v>0.138373963334049</v>
      </c>
      <c r="J39" s="112" t="n">
        <f aca="false">IF(SUM(DN3,DK3,DH3,DE3,DB3,CY3,CV3,CS3,CP3,CM3,CJ3,CG3)=0,"",SUM(DN38,DK38,DH38,DE38,DB38,CY38,CV38,CS38,CP38,CM38,CJ38,CG38)/SUM(DN3,DK3,DH3,DE3,DB3,CY3,CV3,CS3,CP3,CM3,CJ3,CG3))</f>
        <v>0.14169381634186</v>
      </c>
      <c r="K39" s="31" t="str">
        <f aca="false">IF(COUNT(K38,K3)=2,IF(N(K3)=0,"",K38/K3),"")</f>
        <v/>
      </c>
      <c r="L39" s="31" t="n">
        <f aca="false">IF(N(L3)=0,"",L38/L3)</f>
        <v>0.0706529635364392</v>
      </c>
      <c r="M39" s="31" t="n">
        <f aca="false">IF(N(M3)=0,"",M38/M3)</f>
        <v>0.0714136776933156</v>
      </c>
      <c r="N39" s="112" t="str">
        <f aca="false">IF(COUNT(N38,N3)=2,IF(N(N3)=0,"",N38/N3),"")</f>
        <v/>
      </c>
      <c r="O39" s="112" t="n">
        <f aca="false">IF(N(O3)=0,"",O38/O3)</f>
        <v>0.0724046152701793</v>
      </c>
      <c r="P39" s="112" t="n">
        <f aca="false">IF(N(P3)=0,"",P38/P3)</f>
        <v>0.073204749221026</v>
      </c>
      <c r="Q39" s="31" t="str">
        <f aca="false">IF(COUNT(Q38,Q3)=2,IF(N(Q3)=0,"",Q38/Q3),"")</f>
        <v/>
      </c>
      <c r="R39" s="31" t="n">
        <f aca="false">IF(N(R3)=0,"",R38/R3)</f>
        <v>0.0742314172390179</v>
      </c>
      <c r="S39" s="31" t="n">
        <f aca="false">IF(N(S3)=0,"",S38/S3)</f>
        <v>0.0750737338804991</v>
      </c>
      <c r="T39" s="112" t="str">
        <f aca="false">IF(COUNT(T38,T3)=2,IF(N(T3)=0,"",T38/T3),"")</f>
        <v/>
      </c>
      <c r="U39" s="112" t="n">
        <f aca="false">IF(N(U3)=0,"",U38/U3)</f>
        <v>0.076135903912388</v>
      </c>
      <c r="V39" s="112" t="n">
        <f aca="false">IF(N(V3)=0,"",V38/V3)</f>
        <v>0.0770233863696534</v>
      </c>
      <c r="W39" s="31" t="str">
        <f aca="false">IF(COUNT(W38,W3)=2,IF(N(W3)=0,"",W38/W3),"")</f>
        <v/>
      </c>
      <c r="X39" s="31" t="n">
        <f aca="false">IF(N(X3)=0,"",X38/X3)</f>
        <v>0.0781253694912617</v>
      </c>
      <c r="Y39" s="31" t="n">
        <f aca="false">IF(N(Y3)=0,"",Y38/Y3)</f>
        <v>0.0790613066005296</v>
      </c>
      <c r="Z39" s="112" t="str">
        <f aca="false">IF(COUNT(Z38,Z3)=2,IF(N(Z3)=0,"",Z38/Z3),"")</f>
        <v/>
      </c>
      <c r="AA39" s="112" t="n">
        <f aca="false">IF(N(AA3)=0,"",AA38/AA3)</f>
        <v>0.0802054891802967</v>
      </c>
      <c r="AB39" s="112" t="n">
        <f aca="false">IF(N(AB3)=0,"",AB38/AB3)</f>
        <v>0.0811934815352609</v>
      </c>
      <c r="AC39" s="31" t="str">
        <f aca="false">IF(COUNT(AC38,AC3)=2,IF(N(AC3)=0,"",AC38/AC3),"")</f>
        <v/>
      </c>
      <c r="AD39" s="31" t="n">
        <f aca="false">IF(N(AD3)=0,"",AD38/AD3)</f>
        <v>0.0823798331795417</v>
      </c>
      <c r="AE39" s="31" t="n">
        <f aca="false">IF(N(AE3)=0,"",AE38/AE3)</f>
        <v>0.0834237912222643</v>
      </c>
      <c r="AF39" s="112" t="str">
        <f aca="false">IF(COUNT(AF38,AF3)=2,IF(N(AF3)=0,"",AF38/AF3),"")</f>
        <v/>
      </c>
      <c r="AG39" s="112" t="n">
        <f aca="false">IF(N(AG3)=0,"",AG38/AG3)</f>
        <v>0.0846574517863863</v>
      </c>
      <c r="AH39" s="112" t="n">
        <f aca="false">IF(N(AH3)=0,"",AH38/AH3)</f>
        <v>0.0857617075545466</v>
      </c>
      <c r="AI39" s="31" t="str">
        <f aca="false">IF(COUNT(AI38,AI3)=2,IF(N(AI3)=0,"",AI38/AI3),"")</f>
        <v/>
      </c>
      <c r="AJ39" s="31" t="n">
        <f aca="false">IF(N(AJ3)=0,"",AJ38/AJ3)</f>
        <v>0.0870428219468229</v>
      </c>
      <c r="AK39" s="31" t="n">
        <f aca="false">IF(N(AK3)=0,"",AK38/AK3)</f>
        <v>0.0882121003151543</v>
      </c>
      <c r="AL39" s="112" t="str">
        <f aca="false">IF(COUNT(AL38,AL3)=2,IF(N(AL3)=0,"",AL38/AL3),"")</f>
        <v/>
      </c>
      <c r="AM39" s="112" t="n">
        <f aca="false">IF(N(AM3)=0,"",AM38/AM3)</f>
        <v>0.0895435655449318</v>
      </c>
      <c r="AN39" s="112" t="n">
        <f aca="false">IF(N(AN3)=0,"",AN38/AN3)</f>
        <v>0.0907830726545686</v>
      </c>
      <c r="AO39" s="31" t="str">
        <f aca="false">IF(COUNT(AO38,AO3)=2,IF(N(AO3)=0,"",AO38/AO3),"")</f>
        <v/>
      </c>
      <c r="AP39" s="31" t="n">
        <f aca="false">IF(N(AP3)=0,"",AP38/AP3)</f>
        <v>0.0921712412971376</v>
      </c>
      <c r="AQ39" s="31" t="n">
        <f aca="false">IF(N(AQ3)=0,"",AQ38/AQ3)</f>
        <v>0.0934867793853645</v>
      </c>
      <c r="AR39" s="112" t="str">
        <f aca="false">IF(COUNT(AR38,AR3)=2,IF(N(AR3)=0,"",AR38/AR3),"")</f>
        <v/>
      </c>
      <c r="AS39" s="112" t="n">
        <f aca="false">IF(N(AS3)=0,"",AS38/AS3)</f>
        <v>0.0942619512372611</v>
      </c>
      <c r="AT39" s="112" t="n">
        <f aca="false">IF(N(AT3)=0,"",AT38/AT3)</f>
        <v>0.0956419044526654</v>
      </c>
      <c r="AU39" s="31" t="str">
        <f aca="false">IF(COUNT(AU38,AU3)=2,IF(N(AU3)=0,"",AU38/AU3),"")</f>
        <v/>
      </c>
      <c r="AV39" s="31" t="n">
        <f aca="false">IF(N(AV3)=0,"",AV38/AV3)</f>
        <v>0.0964360172364144</v>
      </c>
      <c r="AW39" s="31" t="n">
        <f aca="false">IF(N(AW3)=0,"",AW38/AW3)</f>
        <v>0.0978810267839749</v>
      </c>
      <c r="AX39" s="112" t="str">
        <f aca="false">IF(COUNT(AX38,AX3)=2,IF(N(AX3)=0,"",AX38/AX3),"")</f>
        <v/>
      </c>
      <c r="AY39" s="112" t="n">
        <f aca="false">IF(N(AY3)=0,"",AY38/AY3)</f>
        <v>0.098694691370704</v>
      </c>
      <c r="AZ39" s="112" t="n">
        <f aca="false">IF(N(AZ3)=0,"",AZ38/AZ3)</f>
        <v>0.10021262273747</v>
      </c>
      <c r="BA39" s="31" t="str">
        <f aca="false">IF(COUNT(BA38,BA3)=2,IF(N(BA3)=0,"",BA38/BA3),"")</f>
        <v/>
      </c>
      <c r="BB39" s="31" t="n">
        <f aca="false">IF(N(BB3)=0,"",BB38/BB3)</f>
        <v>0.101046652109416</v>
      </c>
      <c r="BC39" s="31" t="n">
        <f aca="false">IF(N(BC3)=0,"",BC38/BC3)</f>
        <v>0.102638567072852</v>
      </c>
      <c r="BD39" s="112" t="str">
        <f aca="false">IF(COUNT(BD38,BD3)=2,IF(N(BD3)=0,"",BD38/BD3),"")</f>
        <v/>
      </c>
      <c r="BE39" s="112" t="n">
        <f aca="false">IF(N(BE3)=0,"",BE38/BE3)</f>
        <v>0.10349373345583</v>
      </c>
      <c r="BF39" s="112" t="n">
        <f aca="false">IF(N(BF3)=0,"",BF38/BF3)</f>
        <v>0.105164554407985</v>
      </c>
      <c r="BG39" s="31" t="str">
        <f aca="false">IF(COUNT(BG38,BG3)=2,IF(N(BG3)=0,"",BG38/BG3),"")</f>
        <v/>
      </c>
      <c r="BH39" s="31" t="n">
        <f aca="false">IF(N(BH3)=0,"",BH38/BH3)</f>
        <v>0.106045783184894</v>
      </c>
      <c r="BI39" s="31" t="n">
        <f aca="false">IF(N(BI3)=0,"",BI38/BI3)</f>
        <v>0.107800937358203</v>
      </c>
      <c r="BJ39" s="112" t="str">
        <f aca="false">IF(COUNT(BJ38,BJ3)=2,IF(N(BJ3)=0,"",BJ38/BJ3),"")</f>
        <v/>
      </c>
      <c r="BK39" s="112" t="n">
        <f aca="false">IF(N(BK3)=0,"",BK38/BK3)</f>
        <v>0.108705270295029</v>
      </c>
      <c r="BL39" s="112" t="n">
        <f aca="false">IF(N(BL3)=0,"",BL38/BL3)</f>
        <v>0.110550590939073</v>
      </c>
      <c r="BM39" s="31" t="str">
        <f aca="false">IF(COUNT(BM38,BM3)=2,IF(N(BM3)=0,"",BM38/BM3),"")</f>
        <v/>
      </c>
      <c r="BN39" s="31" t="n">
        <f aca="false">IF(N(BN3)=0,"",BN38/BN3)</f>
        <v>0.111483440714979</v>
      </c>
      <c r="BO39" s="31" t="n">
        <f aca="false">IF(N(BO3)=0,"",BO38/BO3)</f>
        <v>0.113425377621885</v>
      </c>
      <c r="BP39" s="112" t="str">
        <f aca="false">IF(COUNT(BP38,BP3)=2,IF(N(BP3)=0,"",BP38/BP3),"")</f>
        <v/>
      </c>
      <c r="BQ39" s="112" t="n">
        <f aca="false">IF(N(BQ3)=0,"",BQ38/BQ3)</f>
        <v>0.108725088874237</v>
      </c>
      <c r="BR39" s="112" t="n">
        <f aca="false">IF(N(BR3)=0,"",BR38/BR3)</f>
        <v>0.110669467057658</v>
      </c>
      <c r="BS39" s="31" t="str">
        <f aca="false">IF(COUNT(BS38,BS3)=2,IF(N(BS3)=0,"",BS38/BS3),"")</f>
        <v/>
      </c>
      <c r="BT39" s="31" t="n">
        <f aca="false">IF(N(BT3)=0,"",BT38/BT3)</f>
        <v>0.111611742500776</v>
      </c>
      <c r="BU39" s="31" t="n">
        <f aca="false">IF(N(BU3)=0,"",BU38/BU3)</f>
        <v>0.11366205400131</v>
      </c>
      <c r="BV39" s="112" t="str">
        <f aca="false">IF(COUNT(BV38,BV3)=2,IF(N(BV3)=0,"",BV38/BV3),"")</f>
        <v/>
      </c>
      <c r="BW39" s="112" t="n">
        <f aca="false">IF(N(BW3)=0,"",BW38/BW3)</f>
        <v>0.114639062888634</v>
      </c>
      <c r="BX39" s="112" t="n">
        <f aca="false">IF(N(BX3)=0,"",BX38/BX3)</f>
        <v>0.116803514566474</v>
      </c>
      <c r="BY39" s="31" t="str">
        <f aca="false">IF(COUNT(BY38,BY3)=2,IF(N(BY3)=0,"",BY38/BY3),"")</f>
        <v/>
      </c>
      <c r="BZ39" s="31" t="n">
        <f aca="false">IF(N(BZ3)=0,"",BZ38/BZ3)</f>
        <v>0.1178123314628</v>
      </c>
      <c r="CA39" s="31" t="n">
        <f aca="false">IF(N(CA3)=0,"",CA38/CA3)</f>
        <v>0.12009986209797</v>
      </c>
      <c r="CB39" s="112" t="str">
        <f aca="false">IF(COUNT(CB38,CB3)=2,IF(N(CB3)=0,"",CB38/CB3),"")</f>
        <v/>
      </c>
      <c r="CC39" s="112" t="n">
        <f aca="false">IF(N(CC3)=0,"",CC38/CC3)</f>
        <v>0.120169047983923</v>
      </c>
      <c r="CD39" s="112" t="n">
        <f aca="false">IF(N(CD3)=0,"",CD38/CD3)</f>
        <v>0.122547847462004</v>
      </c>
      <c r="CE39" s="31" t="str">
        <f aca="false">IF(COUNT(CE38,CE3)=2,IF(N(CE3)=0,"",CE38/CE3),"")</f>
        <v/>
      </c>
      <c r="CF39" s="31" t="n">
        <f aca="false">IF(N(CF3)=0,"",CF38/CF3)</f>
        <v>0.122607825060771</v>
      </c>
      <c r="CG39" s="31" t="n">
        <f aca="false">IF(N(CG3)=0,"",CG38/CG3)</f>
        <v>0.12508301660661</v>
      </c>
      <c r="CH39" s="112" t="str">
        <f aca="false">IF(COUNT(CH38,CH3)=2,IF(N(CH3)=0,"",CH38/CH3),"")</f>
        <v/>
      </c>
      <c r="CI39" s="112" t="n">
        <f aca="false">IF(N(CI3)=0,"",CI38/CI3)</f>
        <v>0.125132969543221</v>
      </c>
      <c r="CJ39" s="112" t="n">
        <f aca="false">IF(N(CJ3)=0,"",CJ38/CJ3)</f>
        <v>0.12771591544613</v>
      </c>
      <c r="CK39" s="31" t="str">
        <f aca="false">IF(COUNT(CK38,CK3)=2,IF(N(CK3)=0,"",CK38/CK3),"")</f>
        <v/>
      </c>
      <c r="CL39" s="31" t="n">
        <f aca="false">IF(N(CL3)=0,"",CL38/CL3)</f>
        <v>0.127755017626104</v>
      </c>
      <c r="CM39" s="31" t="n">
        <f aca="false">IF(N(CM3)=0,"",CM38/CM3)</f>
        <v>0.130446154179562</v>
      </c>
      <c r="CN39" s="112" t="str">
        <f aca="false">IF(COUNT(CN38,CN3)=2,IF(N(CN3)=0,"",CN38/CN3),"")</f>
        <v/>
      </c>
      <c r="CO39" s="112" t="n">
        <f aca="false">IF(N(CO3)=0,"",CO38/CO3)</f>
        <v>0.130473441593406</v>
      </c>
      <c r="CP39" s="112" t="n">
        <f aca="false">IF(N(CP3)=0,"",CP38/CP3)</f>
        <v>0.133279172578451</v>
      </c>
      <c r="CQ39" s="31" t="str">
        <f aca="false">IF(COUNT(CQ38,CQ3)=2,IF(N(CQ3)=0,"",CQ38/CQ3),"")</f>
        <v/>
      </c>
      <c r="CR39" s="31" t="n">
        <f aca="false">IF(N(CR3)=0,"",CR38/CR3)</f>
        <v>0.133293593584674</v>
      </c>
      <c r="CS39" s="31" t="n">
        <f aca="false">IF(N(CS3)=0,"",CS38/CS3)</f>
        <v>0.136227333629235</v>
      </c>
      <c r="CT39" s="112" t="str">
        <f aca="false">IF(COUNT(CT38,CT3)=2,IF(N(CT3)=0,"",CT38/CT3),"")</f>
        <v/>
      </c>
      <c r="CU39" s="112" t="n">
        <f aca="false">IF(N(CU3)=0,"",CU38/CU3)</f>
        <v>0.136227810149875</v>
      </c>
      <c r="CV39" s="112" t="n">
        <f aca="false">IF(N(CV3)=0,"",CV38/CV3)</f>
        <v>0.139290950897467</v>
      </c>
      <c r="CW39" s="31" t="str">
        <f aca="false">IF(COUNT(CW38,CW3)=2,IF(N(CW3)=0,"",CW38/CW3),"")</f>
        <v/>
      </c>
      <c r="CX39" s="31" t="n">
        <f aca="false">IF(N(CX3)=0,"",CX38/CX3)</f>
        <v>0.139276231875197</v>
      </c>
      <c r="CY39" s="31" t="n">
        <f aca="false">IF(N(CY3)=0,"",CY38/CY3)</f>
        <v>0.142476875427564</v>
      </c>
      <c r="CZ39" s="112" t="str">
        <f aca="false">IF(COUNT(CZ38,CZ3)=2,IF(N(CZ3)=0,"",CZ38/CZ3),"")</f>
        <v/>
      </c>
      <c r="DA39" s="112" t="n">
        <f aca="false">IF(N(DA3)=0,"",DA38/DA3)</f>
        <v>0.142445591188609</v>
      </c>
      <c r="DB39" s="112" t="n">
        <f aca="false">IF(N(DB3)=0,"",DB38/DB3)</f>
        <v>0.145799781362382</v>
      </c>
      <c r="DC39" s="31" t="str">
        <f aca="false">IF(COUNT(DC38,DC3)=2,IF(N(DC3)=0,"",DC38/DC3),"")</f>
        <v/>
      </c>
      <c r="DD39" s="31" t="n">
        <f aca="false">IF(N(DD3)=0,"",DD38/DD3)</f>
        <v>0.145750319513224</v>
      </c>
      <c r="DE39" s="31" t="n">
        <f aca="false">IF(N(DE3)=0,"",DE38/DE3)</f>
        <v>0.149260828432146</v>
      </c>
      <c r="DF39" s="112" t="str">
        <f aca="false">IF(COUNT(DF38,DF3)=2,IF(N(DF3)=0,"",DF38/DF3),"")</f>
        <v/>
      </c>
      <c r="DG39" s="112" t="n">
        <f aca="false">IF(N(DG3)=0,"",DG38/DG3)</f>
        <v>0.151004221984142</v>
      </c>
      <c r="DH39" s="112" t="n">
        <f aca="false">IF(N(DH3)=0,"",DH38/DH3)</f>
        <v>0.156195515801604</v>
      </c>
      <c r="DI39" s="31" t="n">
        <f aca="false">IF(COUNT(DI38,DI3)=2,IF(N(DI3)=0,"",DI38/DI3),"")</f>
        <v>0.158060794875622</v>
      </c>
      <c r="DJ39" s="31" t="n">
        <f aca="false">IF(N(DJ3)=0,"",DJ38/DJ3)</f>
        <v>0.158060794875622</v>
      </c>
      <c r="DK39" s="31" t="n">
        <f aca="false">IF(N(DK3)=0,"",DK38/DK3)</f>
        <v>0.163748077185708</v>
      </c>
      <c r="DL39" s="112" t="n">
        <f aca="false">IF(COUNT(DL38,DL3)=2,IF(N(DL3)=0,"",DL38/DL3),"")</f>
        <v>0.160541612581764</v>
      </c>
      <c r="DM39" s="112" t="n">
        <f aca="false">IF(N(DM3)=0,"",DM38/DM3)</f>
        <v>0.160541612581764</v>
      </c>
      <c r="DN39" s="112" t="n">
        <f aca="false">IF(N(DN3)=0,"",DN38/DN3)</f>
        <v>0.164206571867409</v>
      </c>
    </row>
    <row r="40" customFormat="false" ht="15.75" hidden="false" customHeight="true" outlineLevel="0" collapsed="false">
      <c r="A40" s="17" t="s">
        <v>118</v>
      </c>
      <c r="B40" s="91"/>
      <c r="C40" s="91"/>
      <c r="D40" s="91"/>
      <c r="H40" s="91"/>
      <c r="I40" s="91"/>
      <c r="J40" s="91"/>
      <c r="N40" s="91"/>
      <c r="O40" s="91"/>
      <c r="P40" s="91"/>
      <c r="T40" s="91"/>
      <c r="U40" s="91"/>
      <c r="V40" s="91"/>
      <c r="Z40" s="91"/>
      <c r="AA40" s="91"/>
      <c r="AB40" s="91"/>
      <c r="AF40" s="91"/>
      <c r="AG40" s="91"/>
      <c r="AH40" s="91"/>
      <c r="AL40" s="91"/>
      <c r="AM40" s="91"/>
      <c r="AN40" s="91"/>
      <c r="AR40" s="91"/>
      <c r="AS40" s="91"/>
      <c r="AT40" s="91"/>
      <c r="AX40" s="91"/>
      <c r="AY40" s="91"/>
      <c r="AZ40" s="91"/>
      <c r="BD40" s="91"/>
      <c r="BE40" s="91"/>
      <c r="BF40" s="91"/>
      <c r="BJ40" s="91"/>
      <c r="BK40" s="91"/>
      <c r="BL40" s="91"/>
      <c r="BP40" s="91"/>
      <c r="BQ40" s="91"/>
      <c r="BR40" s="91"/>
      <c r="BV40" s="91"/>
      <c r="BW40" s="91"/>
      <c r="BX40" s="91"/>
      <c r="CB40" s="91"/>
      <c r="CC40" s="91"/>
      <c r="CD40" s="91"/>
      <c r="CH40" s="91"/>
      <c r="CI40" s="91"/>
      <c r="CJ40" s="91"/>
      <c r="CN40" s="91"/>
      <c r="CO40" s="91"/>
      <c r="CP40" s="91"/>
      <c r="CT40" s="91"/>
      <c r="CU40" s="91"/>
      <c r="CV40" s="91"/>
      <c r="CZ40" s="91"/>
      <c r="DA40" s="91"/>
      <c r="DB40" s="91"/>
      <c r="DF40" s="91"/>
      <c r="DG40" s="91"/>
      <c r="DH40" s="91"/>
      <c r="DL40" s="91"/>
      <c r="DM40" s="91"/>
      <c r="DN40" s="91"/>
    </row>
    <row r="41" customFormat="false" ht="15.75" hidden="false" customHeight="true" outlineLevel="0" collapsed="false">
      <c r="A41" s="5" t="s">
        <v>295</v>
      </c>
      <c r="B41" s="12" t="str">
        <f aca="false">IF(COUNT(AR41,AO41,AL41,AI41,AF41,AC41,Z41,W41,T41,Q41,N41,K41)=0,"",SUM(AR41,AO41,AL41,AI41,AF41,AC41,Z41,W41,T41,Q41,N41,K41))</f>
        <v/>
      </c>
      <c r="C41" s="12" t="n">
        <f aca="false">IF(COUNT(AS41,AP41,AM41,AJ41,AG41,AD41,AA41,X41,U41,R41,O41,L41)=0,"",SUM(AS41,AP41,AM41,AJ41,AG41,AD41,AA41,X41,U41,R41,O41,L41))</f>
        <v>300000</v>
      </c>
      <c r="D41" s="12" t="n">
        <f aca="false">IF(COUNT(AT41,AQ41,AN41,AK41,AH41,AE41,AB41,Y41,V41,S41,P41,M41)=0,"",SUM(AT41,AQ41,AN41,AK41,AH41,AE41,AB41,Y41,V41,S41,P41,M41))</f>
        <v>300000</v>
      </c>
      <c r="E41" s="13" t="str">
        <f aca="false">IF(COUNT(CB41,BY41,BV41,BS41,BP41,BM41,BJ41,BG41,BD41,BA41,AX41,AU41)=0,"",SUM(CB41,BY41,BV41,BS41,BP41,BM41,BJ41,BG41,BD41,BA41,AX41,AU41))</f>
        <v/>
      </c>
      <c r="F41" s="13" t="n">
        <f aca="false">IF(COUNT(CC41,BZ41,BW41,BT41,BQ41,BN41,BK41,BH41,BE41,BB41,AY41,AV41)=0,"",SUM(CC41,BZ41,BW41,BT41,BQ41,BN41,BK41,BH41,BE41,BB41,AY41,AV41))</f>
        <v>300000</v>
      </c>
      <c r="G41" s="13" t="n">
        <f aca="false">IF(COUNT(CD41,CA41,BX41,BU41,BR41,BO41,BL41,BI41,BF41,BC41,AZ41,AW41)=0,"",SUM(CD41,CA41,BX41,BU41,BR41,BO41,BL41,BI41,BF41,BC41,AZ41,AW41))</f>
        <v>300000</v>
      </c>
      <c r="H41" s="12" t="n">
        <f aca="false">IF(COUNT(DL41,DI41,DF41,DC41,CZ41,CW41,CT41,CQ41,CN41,CK41,CH41,CE41)=0,"",SUM(DL41,DI41,DF41,DC41,CZ41,CW41,CT41,CQ41,CN41,CK41,CH41,CE41))</f>
        <v>50000</v>
      </c>
      <c r="I41" s="12" t="n">
        <f aca="false">IF(COUNT(DM41,DJ41,DG41,DD41,DA41,CX41,CU41,CR41,CO41,CL41,CI41,CF41)=0,"",SUM(DM41,DJ41,DG41,DD41,DA41,CX41,CU41,CR41,CO41,CL41,CI41,CF41))</f>
        <v>300000</v>
      </c>
      <c r="J41" s="12" t="n">
        <f aca="false">IF(COUNT(DN41,DK41,DH41,DE41,DB41,CY41,CV41,CS41,CP41,CM41,CJ41,CG41)=0,"",SUM(DN41,DK41,DH41,DE41,DB41,CY41,CV41,CS41,CP41,CM41,CJ41,CG41))</f>
        <v>300000</v>
      </c>
      <c r="K41" s="13"/>
      <c r="L41" s="13" t="n">
        <f aca="false">IF('Cash Drivers'!L$26,Finance!K41,Finance!M41)</f>
        <v>25000</v>
      </c>
      <c r="M41" s="89" t="n">
        <v>25000</v>
      </c>
      <c r="N41" s="12"/>
      <c r="O41" s="12" t="n">
        <f aca="false">IF('Cash Drivers'!O$26,Finance!N41,Finance!P41)</f>
        <v>25000</v>
      </c>
      <c r="P41" s="90" t="n">
        <v>25000</v>
      </c>
      <c r="Q41" s="13"/>
      <c r="R41" s="13" t="n">
        <f aca="false">IF('Cash Drivers'!R$26,Finance!Q41,Finance!S41)</f>
        <v>25000</v>
      </c>
      <c r="S41" s="89" t="n">
        <v>25000</v>
      </c>
      <c r="T41" s="12"/>
      <c r="U41" s="12" t="n">
        <f aca="false">IF('Cash Drivers'!U$26,Finance!T41,Finance!V41)</f>
        <v>25000</v>
      </c>
      <c r="V41" s="90" t="n">
        <v>25000</v>
      </c>
      <c r="W41" s="13"/>
      <c r="X41" s="13" t="n">
        <f aca="false">IF('Cash Drivers'!X$26,Finance!W41,Finance!Y41)</f>
        <v>25000</v>
      </c>
      <c r="Y41" s="89" t="n">
        <v>25000</v>
      </c>
      <c r="Z41" s="12"/>
      <c r="AA41" s="12" t="n">
        <f aca="false">IF('Cash Drivers'!AA$26,Finance!Z41,Finance!AB41)</f>
        <v>25000</v>
      </c>
      <c r="AB41" s="90" t="n">
        <v>25000</v>
      </c>
      <c r="AC41" s="13"/>
      <c r="AD41" s="13" t="n">
        <f aca="false">IF('Cash Drivers'!AD$26,Finance!AC41,Finance!AE41)</f>
        <v>25000</v>
      </c>
      <c r="AE41" s="89" t="n">
        <v>25000</v>
      </c>
      <c r="AF41" s="12"/>
      <c r="AG41" s="12" t="n">
        <f aca="false">IF('Cash Drivers'!AG$26,Finance!AF41,Finance!AH41)</f>
        <v>25000</v>
      </c>
      <c r="AH41" s="90" t="n">
        <v>25000</v>
      </c>
      <c r="AI41" s="13"/>
      <c r="AJ41" s="13" t="n">
        <f aca="false">IF('Cash Drivers'!AJ$26,Finance!AI41,Finance!AK41)</f>
        <v>25000</v>
      </c>
      <c r="AK41" s="89" t="n">
        <v>25000</v>
      </c>
      <c r="AL41" s="12"/>
      <c r="AM41" s="12" t="n">
        <f aca="false">IF('Cash Drivers'!AM$26,Finance!AL41,Finance!AN41)</f>
        <v>25000</v>
      </c>
      <c r="AN41" s="90" t="n">
        <v>25000</v>
      </c>
      <c r="AO41" s="13"/>
      <c r="AP41" s="13" t="n">
        <f aca="false">IF('Cash Drivers'!AP$26,Finance!AO41,Finance!AQ41)</f>
        <v>25000</v>
      </c>
      <c r="AQ41" s="89" t="n">
        <v>25000</v>
      </c>
      <c r="AR41" s="12"/>
      <c r="AS41" s="12" t="n">
        <f aca="false">IF('Cash Drivers'!AS$26,Finance!AR41,Finance!AT41)</f>
        <v>25000</v>
      </c>
      <c r="AT41" s="90" t="n">
        <v>25000</v>
      </c>
      <c r="AU41" s="13"/>
      <c r="AV41" s="13" t="n">
        <f aca="false">IF('Cash Drivers'!AV$26,Finance!AU41,Finance!AW41)</f>
        <v>25000</v>
      </c>
      <c r="AW41" s="89" t="n">
        <v>25000</v>
      </c>
      <c r="AX41" s="12"/>
      <c r="AY41" s="12" t="n">
        <f aca="false">IF('Cash Drivers'!AY$26,Finance!AX41,Finance!AZ41)</f>
        <v>25000</v>
      </c>
      <c r="AZ41" s="90" t="n">
        <v>25000</v>
      </c>
      <c r="BA41" s="13"/>
      <c r="BB41" s="13" t="n">
        <f aca="false">IF('Cash Drivers'!BB$26,Finance!BA41,Finance!BC41)</f>
        <v>25000</v>
      </c>
      <c r="BC41" s="89" t="n">
        <v>25000</v>
      </c>
      <c r="BD41" s="12"/>
      <c r="BE41" s="12" t="n">
        <f aca="false">IF('Cash Drivers'!BE$26,Finance!BD41,Finance!BF41)</f>
        <v>25000</v>
      </c>
      <c r="BF41" s="90" t="n">
        <v>25000</v>
      </c>
      <c r="BG41" s="13"/>
      <c r="BH41" s="13" t="n">
        <f aca="false">IF('Cash Drivers'!BH$26,Finance!BG41,Finance!BI41)</f>
        <v>25000</v>
      </c>
      <c r="BI41" s="89" t="n">
        <v>25000</v>
      </c>
      <c r="BJ41" s="12"/>
      <c r="BK41" s="12" t="n">
        <f aca="false">IF('Cash Drivers'!BK$26,Finance!BJ41,Finance!BL41)</f>
        <v>25000</v>
      </c>
      <c r="BL41" s="90" t="n">
        <v>25000</v>
      </c>
      <c r="BM41" s="13"/>
      <c r="BN41" s="13" t="n">
        <f aca="false">IF('Cash Drivers'!BN$26,Finance!BM41,Finance!BO41)</f>
        <v>25000</v>
      </c>
      <c r="BO41" s="89" t="n">
        <v>25000</v>
      </c>
      <c r="BP41" s="12"/>
      <c r="BQ41" s="12" t="n">
        <f aca="false">IF('Cash Drivers'!BQ$26,Finance!BP41,Finance!BR41)</f>
        <v>25000</v>
      </c>
      <c r="BR41" s="90" t="n">
        <v>25000</v>
      </c>
      <c r="BS41" s="13"/>
      <c r="BT41" s="13" t="n">
        <f aca="false">IF('Cash Drivers'!BT$26,Finance!BS41,Finance!BU41)</f>
        <v>25000</v>
      </c>
      <c r="BU41" s="89" t="n">
        <v>25000</v>
      </c>
      <c r="BV41" s="12"/>
      <c r="BW41" s="12" t="n">
        <f aca="false">IF('Cash Drivers'!BW$26,Finance!BV41,Finance!BX41)</f>
        <v>25000</v>
      </c>
      <c r="BX41" s="90" t="n">
        <v>25000</v>
      </c>
      <c r="BY41" s="13"/>
      <c r="BZ41" s="13" t="n">
        <f aca="false">IF('Cash Drivers'!BZ$26,Finance!BY41,Finance!CA41)</f>
        <v>25000</v>
      </c>
      <c r="CA41" s="89" t="n">
        <v>25000</v>
      </c>
      <c r="CB41" s="12"/>
      <c r="CC41" s="12" t="n">
        <f aca="false">IF('Cash Drivers'!CC$26,Finance!CB41,Finance!CD41)</f>
        <v>25000</v>
      </c>
      <c r="CD41" s="90" t="n">
        <v>25000</v>
      </c>
      <c r="CE41" s="13"/>
      <c r="CF41" s="13" t="n">
        <f aca="false">IF('Cash Drivers'!CF$26,Finance!CE41,Finance!CG41)</f>
        <v>25000</v>
      </c>
      <c r="CG41" s="89" t="n">
        <v>25000</v>
      </c>
      <c r="CH41" s="12"/>
      <c r="CI41" s="12" t="n">
        <f aca="false">IF('Cash Drivers'!CI$26,Finance!CH41,Finance!CJ41)</f>
        <v>25000</v>
      </c>
      <c r="CJ41" s="90" t="n">
        <v>25000</v>
      </c>
      <c r="CK41" s="13"/>
      <c r="CL41" s="13" t="n">
        <f aca="false">IF('Cash Drivers'!CL$26,Finance!CK41,Finance!CM41)</f>
        <v>25000</v>
      </c>
      <c r="CM41" s="89" t="n">
        <v>25000</v>
      </c>
      <c r="CN41" s="12"/>
      <c r="CO41" s="12" t="n">
        <f aca="false">IF('Cash Drivers'!CO$26,Finance!CN41,Finance!CP41)</f>
        <v>25000</v>
      </c>
      <c r="CP41" s="90" t="n">
        <v>25000</v>
      </c>
      <c r="CQ41" s="13"/>
      <c r="CR41" s="13" t="n">
        <f aca="false">IF('Cash Drivers'!CR$26,Finance!CQ41,Finance!CS41)</f>
        <v>25000</v>
      </c>
      <c r="CS41" s="89" t="n">
        <v>25000</v>
      </c>
      <c r="CT41" s="12"/>
      <c r="CU41" s="12" t="n">
        <f aca="false">IF('Cash Drivers'!CU$26,Finance!CT41,Finance!CV41)</f>
        <v>25000</v>
      </c>
      <c r="CV41" s="90" t="n">
        <v>25000</v>
      </c>
      <c r="CW41" s="13"/>
      <c r="CX41" s="13" t="n">
        <f aca="false">IF('Cash Drivers'!CX$26,Finance!CW41,Finance!CY41)</f>
        <v>25000</v>
      </c>
      <c r="CY41" s="89" t="n">
        <v>25000</v>
      </c>
      <c r="CZ41" s="12"/>
      <c r="DA41" s="12" t="n">
        <f aca="false">IF('Cash Drivers'!DA$26,Finance!CZ41,Finance!DB41)</f>
        <v>25000</v>
      </c>
      <c r="DB41" s="90" t="n">
        <v>25000</v>
      </c>
      <c r="DC41" s="13"/>
      <c r="DD41" s="13" t="n">
        <f aca="false">IF('Cash Drivers'!DD$26,Finance!DC41,Finance!DE41)</f>
        <v>25000</v>
      </c>
      <c r="DE41" s="89" t="n">
        <v>25000</v>
      </c>
      <c r="DF41" s="12"/>
      <c r="DG41" s="12" t="n">
        <f aca="false">IF('Cash Drivers'!DG$26,Finance!DF41,Finance!DH41)</f>
        <v>25000</v>
      </c>
      <c r="DH41" s="90" t="n">
        <v>25000</v>
      </c>
      <c r="DI41" s="89" t="n">
        <v>25000</v>
      </c>
      <c r="DJ41" s="13" t="n">
        <f aca="false">IF('Cash Drivers'!DJ$26,Finance!DI41,Finance!DK41)</f>
        <v>25000</v>
      </c>
      <c r="DK41" s="89" t="n">
        <v>25000</v>
      </c>
      <c r="DL41" s="90" t="n">
        <v>25000</v>
      </c>
      <c r="DM41" s="12" t="n">
        <f aca="false">IF('Cash Drivers'!DM$26,Finance!DL41,Finance!DN41)</f>
        <v>25000</v>
      </c>
      <c r="DN41" s="90" t="n">
        <v>25000</v>
      </c>
    </row>
    <row r="42" customFormat="false" ht="15.75" hidden="false" customHeight="true" outlineLevel="0" collapsed="false">
      <c r="A42" s="5" t="s">
        <v>296</v>
      </c>
      <c r="B42" s="12" t="str">
        <f aca="false">IF(COUNT(AR42,AO42,AL42,AI42,AF42,AC42,Z42,W42,T42,Q42,N42,K42)=0,"",SUM(AR42,AO42,AL42,AI42,AF42,AC42,Z42,W42,T42,Q42,N42,K42))</f>
        <v/>
      </c>
      <c r="C42" s="12" t="n">
        <f aca="false">IF(COUNT(AS42,AP42,AM42,AJ42,AG42,AD42,AA42,X42,U42,R42,O42,L42)=0,"",SUM(AS42,AP42,AM42,AJ42,AG42,AD42,AA42,X42,U42,R42,O42,L42))</f>
        <v>264000</v>
      </c>
      <c r="D42" s="12" t="n">
        <f aca="false">IF(COUNT(AT42,AQ42,AN42,AK42,AH42,AE42,AB42,Y42,V42,S42,P42,M42)=0,"",SUM(AT42,AQ42,AN42,AK42,AH42,AE42,AB42,Y42,V42,S42,P42,M42))</f>
        <v>264000</v>
      </c>
      <c r="E42" s="13" t="str">
        <f aca="false">IF(COUNT(CB42,BY42,BV42,BS42,BP42,BM42,BJ42,BG42,BD42,BA42,AX42,AU42)=0,"",SUM(CB42,BY42,BV42,BS42,BP42,BM42,BJ42,BG42,BD42,BA42,AX42,AU42))</f>
        <v/>
      </c>
      <c r="F42" s="13" t="n">
        <f aca="false">IF(COUNT(CC42,BZ42,BW42,BT42,BQ42,BN42,BK42,BH42,BE42,BB42,AY42,AV42)=0,"",SUM(CC42,BZ42,BW42,BT42,BQ42,BN42,BK42,BH42,BE42,BB42,AY42,AV42))</f>
        <v>264000</v>
      </c>
      <c r="G42" s="13" t="n">
        <f aca="false">IF(COUNT(CD42,CA42,BX42,BU42,BR42,BO42,BL42,BI42,BF42,BC42,AZ42,AW42)=0,"",SUM(CD42,CA42,BX42,BU42,BR42,BO42,BL42,BI42,BF42,BC42,AZ42,AW42))</f>
        <v>264000</v>
      </c>
      <c r="H42" s="12" t="n">
        <f aca="false">IF(COUNT(DL42,DI42,DF42,DC42,CZ42,CW42,CT42,CQ42,CN42,CK42,CH42,CE42)=0,"",SUM(DL42,DI42,DF42,DC42,CZ42,CW42,CT42,CQ42,CN42,CK42,CH42,CE42))</f>
        <v>44000</v>
      </c>
      <c r="I42" s="12" t="n">
        <f aca="false">IF(COUNT(DM42,DJ42,DG42,DD42,DA42,CX42,CU42,CR42,CO42,CL42,CI42,CF42)=0,"",SUM(DM42,DJ42,DG42,DD42,DA42,CX42,CU42,CR42,CO42,CL42,CI42,CF42))</f>
        <v>264000</v>
      </c>
      <c r="J42" s="12" t="n">
        <f aca="false">IF(COUNT(DN42,DK42,DH42,DE42,DB42,CY42,CV42,CS42,CP42,CM42,CJ42,CG42)=0,"",SUM(DN42,DK42,DH42,DE42,DB42,CY42,CV42,CS42,CP42,CM42,CJ42,CG42))</f>
        <v>264000</v>
      </c>
      <c r="K42" s="13"/>
      <c r="L42" s="13" t="n">
        <f aca="false">IF('Cash Drivers'!L$26,Finance!K42,Finance!M42)</f>
        <v>22000</v>
      </c>
      <c r="M42" s="89" t="n">
        <v>22000</v>
      </c>
      <c r="N42" s="12"/>
      <c r="O42" s="12" t="n">
        <f aca="false">IF('Cash Drivers'!O$26,Finance!N42,Finance!P42)</f>
        <v>22000</v>
      </c>
      <c r="P42" s="90" t="n">
        <v>22000</v>
      </c>
      <c r="Q42" s="13"/>
      <c r="R42" s="13" t="n">
        <f aca="false">IF('Cash Drivers'!R$26,Finance!Q42,Finance!S42)</f>
        <v>22000</v>
      </c>
      <c r="S42" s="89" t="n">
        <v>22000</v>
      </c>
      <c r="T42" s="12"/>
      <c r="U42" s="12" t="n">
        <f aca="false">IF('Cash Drivers'!U$26,Finance!T42,Finance!V42)</f>
        <v>22000</v>
      </c>
      <c r="V42" s="90" t="n">
        <v>22000</v>
      </c>
      <c r="W42" s="13"/>
      <c r="X42" s="13" t="n">
        <f aca="false">IF('Cash Drivers'!X$26,Finance!W42,Finance!Y42)</f>
        <v>22000</v>
      </c>
      <c r="Y42" s="89" t="n">
        <v>22000</v>
      </c>
      <c r="Z42" s="12"/>
      <c r="AA42" s="12" t="n">
        <f aca="false">IF('Cash Drivers'!AA$26,Finance!Z42,Finance!AB42)</f>
        <v>22000</v>
      </c>
      <c r="AB42" s="90" t="n">
        <v>22000</v>
      </c>
      <c r="AC42" s="13"/>
      <c r="AD42" s="13" t="n">
        <f aca="false">IF('Cash Drivers'!AD$26,Finance!AC42,Finance!AE42)</f>
        <v>22000</v>
      </c>
      <c r="AE42" s="89" t="n">
        <v>22000</v>
      </c>
      <c r="AF42" s="12"/>
      <c r="AG42" s="12" t="n">
        <f aca="false">IF('Cash Drivers'!AG$26,Finance!AF42,Finance!AH42)</f>
        <v>22000</v>
      </c>
      <c r="AH42" s="90" t="n">
        <v>22000</v>
      </c>
      <c r="AI42" s="13"/>
      <c r="AJ42" s="13" t="n">
        <f aca="false">IF('Cash Drivers'!AJ$26,Finance!AI42,Finance!AK42)</f>
        <v>22000</v>
      </c>
      <c r="AK42" s="89" t="n">
        <v>22000</v>
      </c>
      <c r="AL42" s="12"/>
      <c r="AM42" s="12" t="n">
        <f aca="false">IF('Cash Drivers'!AM$26,Finance!AL42,Finance!AN42)</f>
        <v>22000</v>
      </c>
      <c r="AN42" s="90" t="n">
        <v>22000</v>
      </c>
      <c r="AO42" s="13"/>
      <c r="AP42" s="13" t="n">
        <f aca="false">IF('Cash Drivers'!AP$26,Finance!AO42,Finance!AQ42)</f>
        <v>22000</v>
      </c>
      <c r="AQ42" s="89" t="n">
        <v>22000</v>
      </c>
      <c r="AR42" s="12"/>
      <c r="AS42" s="12" t="n">
        <f aca="false">IF('Cash Drivers'!AS$26,Finance!AR42,Finance!AT42)</f>
        <v>22000</v>
      </c>
      <c r="AT42" s="90" t="n">
        <v>22000</v>
      </c>
      <c r="AU42" s="13"/>
      <c r="AV42" s="13" t="n">
        <f aca="false">IF('Cash Drivers'!AV$26,Finance!AU42,Finance!AW42)</f>
        <v>22000</v>
      </c>
      <c r="AW42" s="89" t="n">
        <v>22000</v>
      </c>
      <c r="AX42" s="12"/>
      <c r="AY42" s="12" t="n">
        <f aca="false">IF('Cash Drivers'!AY$26,Finance!AX42,Finance!AZ42)</f>
        <v>22000</v>
      </c>
      <c r="AZ42" s="90" t="n">
        <v>22000</v>
      </c>
      <c r="BA42" s="13"/>
      <c r="BB42" s="13" t="n">
        <f aca="false">IF('Cash Drivers'!BB$26,Finance!BA42,Finance!BC42)</f>
        <v>22000</v>
      </c>
      <c r="BC42" s="89" t="n">
        <v>22000</v>
      </c>
      <c r="BD42" s="12"/>
      <c r="BE42" s="12" t="n">
        <f aca="false">IF('Cash Drivers'!BE$26,Finance!BD42,Finance!BF42)</f>
        <v>22000</v>
      </c>
      <c r="BF42" s="90" t="n">
        <v>22000</v>
      </c>
      <c r="BG42" s="13"/>
      <c r="BH42" s="13" t="n">
        <f aca="false">IF('Cash Drivers'!BH$26,Finance!BG42,Finance!BI42)</f>
        <v>22000</v>
      </c>
      <c r="BI42" s="89" t="n">
        <v>22000</v>
      </c>
      <c r="BJ42" s="12"/>
      <c r="BK42" s="12" t="n">
        <f aca="false">IF('Cash Drivers'!BK$26,Finance!BJ42,Finance!BL42)</f>
        <v>22000</v>
      </c>
      <c r="BL42" s="90" t="n">
        <v>22000</v>
      </c>
      <c r="BM42" s="13"/>
      <c r="BN42" s="13" t="n">
        <f aca="false">IF('Cash Drivers'!BN$26,Finance!BM42,Finance!BO42)</f>
        <v>22000</v>
      </c>
      <c r="BO42" s="89" t="n">
        <v>22000</v>
      </c>
      <c r="BP42" s="12"/>
      <c r="BQ42" s="12" t="n">
        <f aca="false">IF('Cash Drivers'!BQ$26,Finance!BP42,Finance!BR42)</f>
        <v>22000</v>
      </c>
      <c r="BR42" s="90" t="n">
        <v>22000</v>
      </c>
      <c r="BS42" s="13"/>
      <c r="BT42" s="13" t="n">
        <f aca="false">IF('Cash Drivers'!BT$26,Finance!BS42,Finance!BU42)</f>
        <v>22000</v>
      </c>
      <c r="BU42" s="89" t="n">
        <v>22000</v>
      </c>
      <c r="BV42" s="12"/>
      <c r="BW42" s="12" t="n">
        <f aca="false">IF('Cash Drivers'!BW$26,Finance!BV42,Finance!BX42)</f>
        <v>22000</v>
      </c>
      <c r="BX42" s="90" t="n">
        <v>22000</v>
      </c>
      <c r="BY42" s="13"/>
      <c r="BZ42" s="13" t="n">
        <f aca="false">IF('Cash Drivers'!BZ$26,Finance!BY42,Finance!CA42)</f>
        <v>22000</v>
      </c>
      <c r="CA42" s="89" t="n">
        <v>22000</v>
      </c>
      <c r="CB42" s="12"/>
      <c r="CC42" s="12" t="n">
        <f aca="false">IF('Cash Drivers'!CC$26,Finance!CB42,Finance!CD42)</f>
        <v>22000</v>
      </c>
      <c r="CD42" s="90" t="n">
        <v>22000</v>
      </c>
      <c r="CE42" s="13"/>
      <c r="CF42" s="13" t="n">
        <f aca="false">IF('Cash Drivers'!CF$26,Finance!CE42,Finance!CG42)</f>
        <v>22000</v>
      </c>
      <c r="CG42" s="89" t="n">
        <v>22000</v>
      </c>
      <c r="CH42" s="12"/>
      <c r="CI42" s="12" t="n">
        <f aca="false">IF('Cash Drivers'!CI$26,Finance!CH42,Finance!CJ42)</f>
        <v>22000</v>
      </c>
      <c r="CJ42" s="90" t="n">
        <v>22000</v>
      </c>
      <c r="CK42" s="13"/>
      <c r="CL42" s="13" t="n">
        <f aca="false">IF('Cash Drivers'!CL$26,Finance!CK42,Finance!CM42)</f>
        <v>22000</v>
      </c>
      <c r="CM42" s="89" t="n">
        <v>22000</v>
      </c>
      <c r="CN42" s="12"/>
      <c r="CO42" s="12" t="n">
        <f aca="false">IF('Cash Drivers'!CO$26,Finance!CN42,Finance!CP42)</f>
        <v>22000</v>
      </c>
      <c r="CP42" s="90" t="n">
        <v>22000</v>
      </c>
      <c r="CQ42" s="13"/>
      <c r="CR42" s="13" t="n">
        <f aca="false">IF('Cash Drivers'!CR$26,Finance!CQ42,Finance!CS42)</f>
        <v>22000</v>
      </c>
      <c r="CS42" s="89" t="n">
        <v>22000</v>
      </c>
      <c r="CT42" s="12"/>
      <c r="CU42" s="12" t="n">
        <f aca="false">IF('Cash Drivers'!CU$26,Finance!CT42,Finance!CV42)</f>
        <v>22000</v>
      </c>
      <c r="CV42" s="90" t="n">
        <v>22000</v>
      </c>
      <c r="CW42" s="13"/>
      <c r="CX42" s="13" t="n">
        <f aca="false">IF('Cash Drivers'!CX$26,Finance!CW42,Finance!CY42)</f>
        <v>22000</v>
      </c>
      <c r="CY42" s="89" t="n">
        <v>22000</v>
      </c>
      <c r="CZ42" s="12"/>
      <c r="DA42" s="12" t="n">
        <f aca="false">IF('Cash Drivers'!DA$26,Finance!CZ42,Finance!DB42)</f>
        <v>22000</v>
      </c>
      <c r="DB42" s="90" t="n">
        <v>22000</v>
      </c>
      <c r="DC42" s="13"/>
      <c r="DD42" s="13" t="n">
        <f aca="false">IF('Cash Drivers'!DD$26,Finance!DC42,Finance!DE42)</f>
        <v>22000</v>
      </c>
      <c r="DE42" s="89" t="n">
        <v>22000</v>
      </c>
      <c r="DF42" s="12"/>
      <c r="DG42" s="12" t="n">
        <f aca="false">IF('Cash Drivers'!DG$26,Finance!DF42,Finance!DH42)</f>
        <v>22000</v>
      </c>
      <c r="DH42" s="90" t="n">
        <v>22000</v>
      </c>
      <c r="DI42" s="89" t="n">
        <v>22000</v>
      </c>
      <c r="DJ42" s="13" t="n">
        <f aca="false">IF('Cash Drivers'!DJ$26,Finance!DI42,Finance!DK42)</f>
        <v>22000</v>
      </c>
      <c r="DK42" s="89" t="n">
        <v>22000</v>
      </c>
      <c r="DL42" s="90" t="n">
        <v>22000</v>
      </c>
      <c r="DM42" s="12" t="n">
        <f aca="false">IF('Cash Drivers'!DM$26,Finance!DL42,Finance!DN42)</f>
        <v>22000</v>
      </c>
      <c r="DN42" s="90" t="n">
        <v>22000</v>
      </c>
    </row>
    <row r="43" customFormat="false" ht="15.75" hidden="false" customHeight="true" outlineLevel="0" collapsed="false">
      <c r="A43" s="5" t="s">
        <v>297</v>
      </c>
      <c r="B43" s="12" t="str">
        <f aca="false">IF(COUNT(AR43,AO43,AL43,AI43,AF43,AC43,Z43,W43,T43,Q43,N43,K43)=0,"",SUM(AR43,AO43,AL43,AI43,AF43,AC43,Z43,W43,T43,Q43,N43,K43))</f>
        <v/>
      </c>
      <c r="C43" s="12" t="n">
        <f aca="false">IF(COUNT(AS43,AP43,AM43,AJ43,AG43,AD43,AA43,X43,U43,R43,O43,L43)=0,"",SUM(AS43,AP43,AM43,AJ43,AG43,AD43,AA43,X43,U43,R43,O43,L43))</f>
        <v>180000</v>
      </c>
      <c r="D43" s="12" t="n">
        <f aca="false">IF(COUNT(AT43,AQ43,AN43,AK43,AH43,AE43,AB43,Y43,V43,S43,P43,M43)=0,"",SUM(AT43,AQ43,AN43,AK43,AH43,AE43,AB43,Y43,V43,S43,P43,M43))</f>
        <v>180000</v>
      </c>
      <c r="E43" s="13" t="str">
        <f aca="false">IF(COUNT(CB43,BY43,BV43,BS43,BP43,BM43,BJ43,BG43,BD43,BA43,AX43,AU43)=0,"",SUM(CB43,BY43,BV43,BS43,BP43,BM43,BJ43,BG43,BD43,BA43,AX43,AU43))</f>
        <v/>
      </c>
      <c r="F43" s="13" t="n">
        <f aca="false">IF(COUNT(CC43,BZ43,BW43,BT43,BQ43,BN43,BK43,BH43,BE43,BB43,AY43,AV43)=0,"",SUM(CC43,BZ43,BW43,BT43,BQ43,BN43,BK43,BH43,BE43,BB43,AY43,AV43))</f>
        <v>180000</v>
      </c>
      <c r="G43" s="13" t="n">
        <f aca="false">IF(COUNT(CD43,CA43,BX43,BU43,BR43,BO43,BL43,BI43,BF43,BC43,AZ43,AW43)=0,"",SUM(CD43,CA43,BX43,BU43,BR43,BO43,BL43,BI43,BF43,BC43,AZ43,AW43))</f>
        <v>180000</v>
      </c>
      <c r="H43" s="12" t="n">
        <f aca="false">IF(COUNT(DL43,DI43,DF43,DC43,CZ43,CW43,CT43,CQ43,CN43,CK43,CH43,CE43)=0,"",SUM(DL43,DI43,DF43,DC43,CZ43,CW43,CT43,CQ43,CN43,CK43,CH43,CE43))</f>
        <v>30000</v>
      </c>
      <c r="I43" s="12" t="n">
        <f aca="false">IF(COUNT(DM43,DJ43,DG43,DD43,DA43,CX43,CU43,CR43,CO43,CL43,CI43,CF43)=0,"",SUM(DM43,DJ43,DG43,DD43,DA43,CX43,CU43,CR43,CO43,CL43,CI43,CF43))</f>
        <v>180000</v>
      </c>
      <c r="J43" s="12" t="n">
        <f aca="false">IF(COUNT(DN43,DK43,DH43,DE43,DB43,CY43,CV43,CS43,CP43,CM43,CJ43,CG43)=0,"",SUM(DN43,DK43,DH43,DE43,DB43,CY43,CV43,CS43,CP43,CM43,CJ43,CG43))</f>
        <v>180000</v>
      </c>
      <c r="K43" s="13"/>
      <c r="L43" s="13" t="n">
        <f aca="false">IF('Cash Drivers'!L$26,Finance!K43,Finance!M43)</f>
        <v>15000</v>
      </c>
      <c r="M43" s="89" t="n">
        <v>15000</v>
      </c>
      <c r="N43" s="12"/>
      <c r="O43" s="12" t="n">
        <f aca="false">IF('Cash Drivers'!O$26,Finance!N43,Finance!P43)</f>
        <v>15000</v>
      </c>
      <c r="P43" s="90" t="n">
        <v>15000</v>
      </c>
      <c r="Q43" s="13"/>
      <c r="R43" s="13" t="n">
        <f aca="false">IF('Cash Drivers'!R$26,Finance!Q43,Finance!S43)</f>
        <v>15000</v>
      </c>
      <c r="S43" s="89" t="n">
        <v>15000</v>
      </c>
      <c r="T43" s="12"/>
      <c r="U43" s="12" t="n">
        <f aca="false">IF('Cash Drivers'!U$26,Finance!T43,Finance!V43)</f>
        <v>15000</v>
      </c>
      <c r="V43" s="90" t="n">
        <v>15000</v>
      </c>
      <c r="W43" s="13"/>
      <c r="X43" s="13" t="n">
        <f aca="false">IF('Cash Drivers'!X$26,Finance!W43,Finance!Y43)</f>
        <v>15000</v>
      </c>
      <c r="Y43" s="89" t="n">
        <v>15000</v>
      </c>
      <c r="Z43" s="12"/>
      <c r="AA43" s="12" t="n">
        <f aca="false">IF('Cash Drivers'!AA$26,Finance!Z43,Finance!AB43)</f>
        <v>15000</v>
      </c>
      <c r="AB43" s="90" t="n">
        <v>15000</v>
      </c>
      <c r="AC43" s="13"/>
      <c r="AD43" s="13" t="n">
        <f aca="false">IF('Cash Drivers'!AD$26,Finance!AC43,Finance!AE43)</f>
        <v>15000</v>
      </c>
      <c r="AE43" s="89" t="n">
        <v>15000</v>
      </c>
      <c r="AF43" s="12"/>
      <c r="AG43" s="12" t="n">
        <f aca="false">IF('Cash Drivers'!AG$26,Finance!AF43,Finance!AH43)</f>
        <v>15000</v>
      </c>
      <c r="AH43" s="90" t="n">
        <v>15000</v>
      </c>
      <c r="AI43" s="13"/>
      <c r="AJ43" s="13" t="n">
        <f aca="false">IF('Cash Drivers'!AJ$26,Finance!AI43,Finance!AK43)</f>
        <v>15000</v>
      </c>
      <c r="AK43" s="89" t="n">
        <v>15000</v>
      </c>
      <c r="AL43" s="12"/>
      <c r="AM43" s="12" t="n">
        <f aca="false">IF('Cash Drivers'!AM$26,Finance!AL43,Finance!AN43)</f>
        <v>15000</v>
      </c>
      <c r="AN43" s="90" t="n">
        <v>15000</v>
      </c>
      <c r="AO43" s="13"/>
      <c r="AP43" s="13" t="n">
        <f aca="false">IF('Cash Drivers'!AP$26,Finance!AO43,Finance!AQ43)</f>
        <v>15000</v>
      </c>
      <c r="AQ43" s="89" t="n">
        <v>15000</v>
      </c>
      <c r="AR43" s="12"/>
      <c r="AS43" s="12" t="n">
        <f aca="false">IF('Cash Drivers'!AS$26,Finance!AR43,Finance!AT43)</f>
        <v>15000</v>
      </c>
      <c r="AT43" s="90" t="n">
        <v>15000</v>
      </c>
      <c r="AU43" s="13"/>
      <c r="AV43" s="13" t="n">
        <f aca="false">IF('Cash Drivers'!AV$26,Finance!AU43,Finance!AW43)</f>
        <v>15000</v>
      </c>
      <c r="AW43" s="89" t="n">
        <v>15000</v>
      </c>
      <c r="AX43" s="12"/>
      <c r="AY43" s="12" t="n">
        <f aca="false">IF('Cash Drivers'!AY$26,Finance!AX43,Finance!AZ43)</f>
        <v>15000</v>
      </c>
      <c r="AZ43" s="90" t="n">
        <v>15000</v>
      </c>
      <c r="BA43" s="13"/>
      <c r="BB43" s="13" t="n">
        <f aca="false">IF('Cash Drivers'!BB$26,Finance!BA43,Finance!BC43)</f>
        <v>15000</v>
      </c>
      <c r="BC43" s="89" t="n">
        <v>15000</v>
      </c>
      <c r="BD43" s="12"/>
      <c r="BE43" s="12" t="n">
        <f aca="false">IF('Cash Drivers'!BE$26,Finance!BD43,Finance!BF43)</f>
        <v>15000</v>
      </c>
      <c r="BF43" s="90" t="n">
        <v>15000</v>
      </c>
      <c r="BG43" s="13"/>
      <c r="BH43" s="13" t="n">
        <f aca="false">IF('Cash Drivers'!BH$26,Finance!BG43,Finance!BI43)</f>
        <v>15000</v>
      </c>
      <c r="BI43" s="89" t="n">
        <v>15000</v>
      </c>
      <c r="BJ43" s="12"/>
      <c r="BK43" s="12" t="n">
        <f aca="false">IF('Cash Drivers'!BK$26,Finance!BJ43,Finance!BL43)</f>
        <v>15000</v>
      </c>
      <c r="BL43" s="90" t="n">
        <v>15000</v>
      </c>
      <c r="BM43" s="13"/>
      <c r="BN43" s="13" t="n">
        <f aca="false">IF('Cash Drivers'!BN$26,Finance!BM43,Finance!BO43)</f>
        <v>15000</v>
      </c>
      <c r="BO43" s="89" t="n">
        <v>15000</v>
      </c>
      <c r="BP43" s="12"/>
      <c r="BQ43" s="12" t="n">
        <f aca="false">IF('Cash Drivers'!BQ$26,Finance!BP43,Finance!BR43)</f>
        <v>15000</v>
      </c>
      <c r="BR43" s="90" t="n">
        <v>15000</v>
      </c>
      <c r="BS43" s="13"/>
      <c r="BT43" s="13" t="n">
        <f aca="false">IF('Cash Drivers'!BT$26,Finance!BS43,Finance!BU43)</f>
        <v>15000</v>
      </c>
      <c r="BU43" s="89" t="n">
        <v>15000</v>
      </c>
      <c r="BV43" s="12"/>
      <c r="BW43" s="12" t="n">
        <f aca="false">IF('Cash Drivers'!BW$26,Finance!BV43,Finance!BX43)</f>
        <v>15000</v>
      </c>
      <c r="BX43" s="90" t="n">
        <v>15000</v>
      </c>
      <c r="BY43" s="13"/>
      <c r="BZ43" s="13" t="n">
        <f aca="false">IF('Cash Drivers'!BZ$26,Finance!BY43,Finance!CA43)</f>
        <v>15000</v>
      </c>
      <c r="CA43" s="89" t="n">
        <v>15000</v>
      </c>
      <c r="CB43" s="12"/>
      <c r="CC43" s="12" t="n">
        <f aca="false">IF('Cash Drivers'!CC$26,Finance!CB43,Finance!CD43)</f>
        <v>15000</v>
      </c>
      <c r="CD43" s="90" t="n">
        <v>15000</v>
      </c>
      <c r="CE43" s="13"/>
      <c r="CF43" s="13" t="n">
        <f aca="false">IF('Cash Drivers'!CF$26,Finance!CE43,Finance!CG43)</f>
        <v>15000</v>
      </c>
      <c r="CG43" s="89" t="n">
        <v>15000</v>
      </c>
      <c r="CH43" s="12"/>
      <c r="CI43" s="12" t="n">
        <f aca="false">IF('Cash Drivers'!CI$26,Finance!CH43,Finance!CJ43)</f>
        <v>15000</v>
      </c>
      <c r="CJ43" s="90" t="n">
        <v>15000</v>
      </c>
      <c r="CK43" s="13"/>
      <c r="CL43" s="13" t="n">
        <f aca="false">IF('Cash Drivers'!CL$26,Finance!CK43,Finance!CM43)</f>
        <v>15000</v>
      </c>
      <c r="CM43" s="89" t="n">
        <v>15000</v>
      </c>
      <c r="CN43" s="12"/>
      <c r="CO43" s="12" t="n">
        <f aca="false">IF('Cash Drivers'!CO$26,Finance!CN43,Finance!CP43)</f>
        <v>15000</v>
      </c>
      <c r="CP43" s="90" t="n">
        <v>15000</v>
      </c>
      <c r="CQ43" s="13"/>
      <c r="CR43" s="13" t="n">
        <f aca="false">IF('Cash Drivers'!CR$26,Finance!CQ43,Finance!CS43)</f>
        <v>15000</v>
      </c>
      <c r="CS43" s="89" t="n">
        <v>15000</v>
      </c>
      <c r="CT43" s="12"/>
      <c r="CU43" s="12" t="n">
        <f aca="false">IF('Cash Drivers'!CU$26,Finance!CT43,Finance!CV43)</f>
        <v>15000</v>
      </c>
      <c r="CV43" s="90" t="n">
        <v>15000</v>
      </c>
      <c r="CW43" s="13"/>
      <c r="CX43" s="13" t="n">
        <f aca="false">IF('Cash Drivers'!CX$26,Finance!CW43,Finance!CY43)</f>
        <v>15000</v>
      </c>
      <c r="CY43" s="89" t="n">
        <v>15000</v>
      </c>
      <c r="CZ43" s="12"/>
      <c r="DA43" s="12" t="n">
        <f aca="false">IF('Cash Drivers'!DA$26,Finance!CZ43,Finance!DB43)</f>
        <v>15000</v>
      </c>
      <c r="DB43" s="90" t="n">
        <v>15000</v>
      </c>
      <c r="DC43" s="13"/>
      <c r="DD43" s="13" t="n">
        <f aca="false">IF('Cash Drivers'!DD$26,Finance!DC43,Finance!DE43)</f>
        <v>15000</v>
      </c>
      <c r="DE43" s="89" t="n">
        <v>15000</v>
      </c>
      <c r="DF43" s="12"/>
      <c r="DG43" s="12" t="n">
        <f aca="false">IF('Cash Drivers'!DG$26,Finance!DF43,Finance!DH43)</f>
        <v>15000</v>
      </c>
      <c r="DH43" s="90" t="n">
        <v>15000</v>
      </c>
      <c r="DI43" s="89" t="n">
        <v>15000</v>
      </c>
      <c r="DJ43" s="13" t="n">
        <f aca="false">IF('Cash Drivers'!DJ$26,Finance!DI43,Finance!DK43)</f>
        <v>15000</v>
      </c>
      <c r="DK43" s="89" t="n">
        <v>15000</v>
      </c>
      <c r="DL43" s="90" t="n">
        <v>15000</v>
      </c>
      <c r="DM43" s="12" t="n">
        <f aca="false">IF('Cash Drivers'!DM$26,Finance!DL43,Finance!DN43)</f>
        <v>15000</v>
      </c>
      <c r="DN43" s="90" t="n">
        <v>15000</v>
      </c>
    </row>
    <row r="44" customFormat="false" ht="15.75" hidden="false" customHeight="true" outlineLevel="0" collapsed="false">
      <c r="A44" s="5" t="s">
        <v>298</v>
      </c>
      <c r="B44" s="12" t="str">
        <f aca="false">IF(COUNT(AR44,AO44,AL44,AI44,AF44,AC44,Z44,W44,T44,Q44,N44,K44)=0,"",SUM(AR44,AO44,AL44,AI44,AF44,AC44,Z44,W44,T44,Q44,N44,K44))</f>
        <v/>
      </c>
      <c r="C44" s="12" t="n">
        <f aca="false">IF(COUNT(AS44,AP44,AM44,AJ44,AG44,AD44,AA44,X44,U44,R44,O44,L44)=0,"",SUM(AS44,AP44,AM44,AJ44,AG44,AD44,AA44,X44,U44,R44,O44,L44))</f>
        <v>132000</v>
      </c>
      <c r="D44" s="12" t="n">
        <f aca="false">IF(COUNT(AT44,AQ44,AN44,AK44,AH44,AE44,AB44,Y44,V44,S44,P44,M44)=0,"",SUM(AT44,AQ44,AN44,AK44,AH44,AE44,AB44,Y44,V44,S44,P44,M44))</f>
        <v>132000</v>
      </c>
      <c r="E44" s="13" t="str">
        <f aca="false">IF(COUNT(CB44,BY44,BV44,BS44,BP44,BM44,BJ44,BG44,BD44,BA44,AX44,AU44)=0,"",SUM(CB44,BY44,BV44,BS44,BP44,BM44,BJ44,BG44,BD44,BA44,AX44,AU44))</f>
        <v/>
      </c>
      <c r="F44" s="13" t="n">
        <f aca="false">IF(COUNT(CC44,BZ44,BW44,BT44,BQ44,BN44,BK44,BH44,BE44,BB44,AY44,AV44)=0,"",SUM(CC44,BZ44,BW44,BT44,BQ44,BN44,BK44,BH44,BE44,BB44,AY44,AV44))</f>
        <v>132000</v>
      </c>
      <c r="G44" s="13" t="n">
        <f aca="false">IF(COUNT(CD44,CA44,BX44,BU44,BR44,BO44,BL44,BI44,BF44,BC44,AZ44,AW44)=0,"",SUM(CD44,CA44,BX44,BU44,BR44,BO44,BL44,BI44,BF44,BC44,AZ44,AW44))</f>
        <v>132000</v>
      </c>
      <c r="H44" s="12" t="n">
        <f aca="false">IF(COUNT(DL44,DI44,DF44,DC44,CZ44,CW44,CT44,CQ44,CN44,CK44,CH44,CE44)=0,"",SUM(DL44,DI44,DF44,DC44,CZ44,CW44,CT44,CQ44,CN44,CK44,CH44,CE44))</f>
        <v>22000</v>
      </c>
      <c r="I44" s="12" t="n">
        <f aca="false">IF(COUNT(DM44,DJ44,DG44,DD44,DA44,CX44,CU44,CR44,CO44,CL44,CI44,CF44)=0,"",SUM(DM44,DJ44,DG44,DD44,DA44,CX44,CU44,CR44,CO44,CL44,CI44,CF44))</f>
        <v>132000</v>
      </c>
      <c r="J44" s="12" t="n">
        <f aca="false">IF(COUNT(DN44,DK44,DH44,DE44,DB44,CY44,CV44,CS44,CP44,CM44,CJ44,CG44)=0,"",SUM(DN44,DK44,DH44,DE44,DB44,CY44,CV44,CS44,CP44,CM44,CJ44,CG44))</f>
        <v>132000</v>
      </c>
      <c r="K44" s="13"/>
      <c r="L44" s="13" t="n">
        <f aca="false">IF('Cash Drivers'!L$26,Finance!K44,Finance!M44)</f>
        <v>11000</v>
      </c>
      <c r="M44" s="89" t="n">
        <v>11000</v>
      </c>
      <c r="N44" s="12"/>
      <c r="O44" s="12" t="n">
        <f aca="false">IF('Cash Drivers'!O$26,Finance!N44,Finance!P44)</f>
        <v>11000</v>
      </c>
      <c r="P44" s="90" t="n">
        <v>11000</v>
      </c>
      <c r="Q44" s="13"/>
      <c r="R44" s="13" t="n">
        <f aca="false">IF('Cash Drivers'!R$26,Finance!Q44,Finance!S44)</f>
        <v>11000</v>
      </c>
      <c r="S44" s="89" t="n">
        <v>11000</v>
      </c>
      <c r="T44" s="12"/>
      <c r="U44" s="12" t="n">
        <f aca="false">IF('Cash Drivers'!U$26,Finance!T44,Finance!V44)</f>
        <v>11000</v>
      </c>
      <c r="V44" s="90" t="n">
        <v>11000</v>
      </c>
      <c r="W44" s="13"/>
      <c r="X44" s="13" t="n">
        <f aca="false">IF('Cash Drivers'!X$26,Finance!W44,Finance!Y44)</f>
        <v>11000</v>
      </c>
      <c r="Y44" s="89" t="n">
        <v>11000</v>
      </c>
      <c r="Z44" s="12"/>
      <c r="AA44" s="12" t="n">
        <f aca="false">IF('Cash Drivers'!AA$26,Finance!Z44,Finance!AB44)</f>
        <v>11000</v>
      </c>
      <c r="AB44" s="90" t="n">
        <v>11000</v>
      </c>
      <c r="AC44" s="13"/>
      <c r="AD44" s="13" t="n">
        <f aca="false">IF('Cash Drivers'!AD$26,Finance!AC44,Finance!AE44)</f>
        <v>11000</v>
      </c>
      <c r="AE44" s="89" t="n">
        <v>11000</v>
      </c>
      <c r="AF44" s="12"/>
      <c r="AG44" s="12" t="n">
        <f aca="false">IF('Cash Drivers'!AG$26,Finance!AF44,Finance!AH44)</f>
        <v>11000</v>
      </c>
      <c r="AH44" s="90" t="n">
        <v>11000</v>
      </c>
      <c r="AI44" s="13"/>
      <c r="AJ44" s="13" t="n">
        <f aca="false">IF('Cash Drivers'!AJ$26,Finance!AI44,Finance!AK44)</f>
        <v>11000</v>
      </c>
      <c r="AK44" s="89" t="n">
        <v>11000</v>
      </c>
      <c r="AL44" s="12"/>
      <c r="AM44" s="12" t="n">
        <f aca="false">IF('Cash Drivers'!AM$26,Finance!AL44,Finance!AN44)</f>
        <v>11000</v>
      </c>
      <c r="AN44" s="90" t="n">
        <v>11000</v>
      </c>
      <c r="AO44" s="13"/>
      <c r="AP44" s="13" t="n">
        <f aca="false">IF('Cash Drivers'!AP$26,Finance!AO44,Finance!AQ44)</f>
        <v>11000</v>
      </c>
      <c r="AQ44" s="89" t="n">
        <v>11000</v>
      </c>
      <c r="AR44" s="12"/>
      <c r="AS44" s="12" t="n">
        <f aca="false">IF('Cash Drivers'!AS$26,Finance!AR44,Finance!AT44)</f>
        <v>11000</v>
      </c>
      <c r="AT44" s="90" t="n">
        <v>11000</v>
      </c>
      <c r="AU44" s="13"/>
      <c r="AV44" s="13" t="n">
        <f aca="false">IF('Cash Drivers'!AV$26,Finance!AU44,Finance!AW44)</f>
        <v>11000</v>
      </c>
      <c r="AW44" s="89" t="n">
        <v>11000</v>
      </c>
      <c r="AX44" s="12"/>
      <c r="AY44" s="12" t="n">
        <f aca="false">IF('Cash Drivers'!AY$26,Finance!AX44,Finance!AZ44)</f>
        <v>11000</v>
      </c>
      <c r="AZ44" s="90" t="n">
        <v>11000</v>
      </c>
      <c r="BA44" s="13"/>
      <c r="BB44" s="13" t="n">
        <f aca="false">IF('Cash Drivers'!BB$26,Finance!BA44,Finance!BC44)</f>
        <v>11000</v>
      </c>
      <c r="BC44" s="89" t="n">
        <v>11000</v>
      </c>
      <c r="BD44" s="12"/>
      <c r="BE44" s="12" t="n">
        <f aca="false">IF('Cash Drivers'!BE$26,Finance!BD44,Finance!BF44)</f>
        <v>11000</v>
      </c>
      <c r="BF44" s="90" t="n">
        <v>11000</v>
      </c>
      <c r="BG44" s="13"/>
      <c r="BH44" s="13" t="n">
        <f aca="false">IF('Cash Drivers'!BH$26,Finance!BG44,Finance!BI44)</f>
        <v>11000</v>
      </c>
      <c r="BI44" s="89" t="n">
        <v>11000</v>
      </c>
      <c r="BJ44" s="12"/>
      <c r="BK44" s="12" t="n">
        <f aca="false">IF('Cash Drivers'!BK$26,Finance!BJ44,Finance!BL44)</f>
        <v>11000</v>
      </c>
      <c r="BL44" s="90" t="n">
        <v>11000</v>
      </c>
      <c r="BM44" s="13"/>
      <c r="BN44" s="13" t="n">
        <f aca="false">IF('Cash Drivers'!BN$26,Finance!BM44,Finance!BO44)</f>
        <v>11000</v>
      </c>
      <c r="BO44" s="89" t="n">
        <v>11000</v>
      </c>
      <c r="BP44" s="12"/>
      <c r="BQ44" s="12" t="n">
        <f aca="false">IF('Cash Drivers'!BQ$26,Finance!BP44,Finance!BR44)</f>
        <v>11000</v>
      </c>
      <c r="BR44" s="90" t="n">
        <v>11000</v>
      </c>
      <c r="BS44" s="13"/>
      <c r="BT44" s="13" t="n">
        <f aca="false">IF('Cash Drivers'!BT$26,Finance!BS44,Finance!BU44)</f>
        <v>11000</v>
      </c>
      <c r="BU44" s="89" t="n">
        <v>11000</v>
      </c>
      <c r="BV44" s="12"/>
      <c r="BW44" s="12" t="n">
        <f aca="false">IF('Cash Drivers'!BW$26,Finance!BV44,Finance!BX44)</f>
        <v>11000</v>
      </c>
      <c r="BX44" s="90" t="n">
        <v>11000</v>
      </c>
      <c r="BY44" s="13"/>
      <c r="BZ44" s="13" t="n">
        <f aca="false">IF('Cash Drivers'!BZ$26,Finance!BY44,Finance!CA44)</f>
        <v>11000</v>
      </c>
      <c r="CA44" s="89" t="n">
        <v>11000</v>
      </c>
      <c r="CB44" s="12"/>
      <c r="CC44" s="12" t="n">
        <f aca="false">IF('Cash Drivers'!CC$26,Finance!CB44,Finance!CD44)</f>
        <v>11000</v>
      </c>
      <c r="CD44" s="90" t="n">
        <v>11000</v>
      </c>
      <c r="CE44" s="13"/>
      <c r="CF44" s="13" t="n">
        <f aca="false">IF('Cash Drivers'!CF$26,Finance!CE44,Finance!CG44)</f>
        <v>11000</v>
      </c>
      <c r="CG44" s="89" t="n">
        <v>11000</v>
      </c>
      <c r="CH44" s="12"/>
      <c r="CI44" s="12" t="n">
        <f aca="false">IF('Cash Drivers'!CI$26,Finance!CH44,Finance!CJ44)</f>
        <v>11000</v>
      </c>
      <c r="CJ44" s="90" t="n">
        <v>11000</v>
      </c>
      <c r="CK44" s="13"/>
      <c r="CL44" s="13" t="n">
        <f aca="false">IF('Cash Drivers'!CL$26,Finance!CK44,Finance!CM44)</f>
        <v>11000</v>
      </c>
      <c r="CM44" s="89" t="n">
        <v>11000</v>
      </c>
      <c r="CN44" s="12"/>
      <c r="CO44" s="12" t="n">
        <f aca="false">IF('Cash Drivers'!CO$26,Finance!CN44,Finance!CP44)</f>
        <v>11000</v>
      </c>
      <c r="CP44" s="90" t="n">
        <v>11000</v>
      </c>
      <c r="CQ44" s="13"/>
      <c r="CR44" s="13" t="n">
        <f aca="false">IF('Cash Drivers'!CR$26,Finance!CQ44,Finance!CS44)</f>
        <v>11000</v>
      </c>
      <c r="CS44" s="89" t="n">
        <v>11000</v>
      </c>
      <c r="CT44" s="12"/>
      <c r="CU44" s="12" t="n">
        <f aca="false">IF('Cash Drivers'!CU$26,Finance!CT44,Finance!CV44)</f>
        <v>11000</v>
      </c>
      <c r="CV44" s="90" t="n">
        <v>11000</v>
      </c>
      <c r="CW44" s="13"/>
      <c r="CX44" s="13" t="n">
        <f aca="false">IF('Cash Drivers'!CX$26,Finance!CW44,Finance!CY44)</f>
        <v>11000</v>
      </c>
      <c r="CY44" s="89" t="n">
        <v>11000</v>
      </c>
      <c r="CZ44" s="12"/>
      <c r="DA44" s="12" t="n">
        <f aca="false">IF('Cash Drivers'!DA$26,Finance!CZ44,Finance!DB44)</f>
        <v>11000</v>
      </c>
      <c r="DB44" s="90" t="n">
        <v>11000</v>
      </c>
      <c r="DC44" s="13"/>
      <c r="DD44" s="13" t="n">
        <f aca="false">IF('Cash Drivers'!DD$26,Finance!DC44,Finance!DE44)</f>
        <v>11000</v>
      </c>
      <c r="DE44" s="89" t="n">
        <v>11000</v>
      </c>
      <c r="DF44" s="12"/>
      <c r="DG44" s="12" t="n">
        <f aca="false">IF('Cash Drivers'!DG$26,Finance!DF44,Finance!DH44)</f>
        <v>11000</v>
      </c>
      <c r="DH44" s="90" t="n">
        <v>11000</v>
      </c>
      <c r="DI44" s="89" t="n">
        <v>11000</v>
      </c>
      <c r="DJ44" s="13" t="n">
        <f aca="false">IF('Cash Drivers'!DJ$26,Finance!DI44,Finance!DK44)</f>
        <v>11000</v>
      </c>
      <c r="DK44" s="89" t="n">
        <v>11000</v>
      </c>
      <c r="DL44" s="90" t="n">
        <v>11000</v>
      </c>
      <c r="DM44" s="12" t="n">
        <f aca="false">IF('Cash Drivers'!DM$26,Finance!DL44,Finance!DN44)</f>
        <v>11000</v>
      </c>
      <c r="DN44" s="90" t="n">
        <v>11000</v>
      </c>
    </row>
    <row r="45" customFormat="false" ht="15.75" hidden="false" customHeight="true" outlineLevel="0" collapsed="false">
      <c r="A45" s="5" t="s">
        <v>299</v>
      </c>
      <c r="B45" s="12" t="str">
        <f aca="false">IF(COUNT(AR45,AO45,AL45,AI45,AF45,AC45,Z45,W45,T45,Q45,N45,K45)=0,"",SUM(AR45,AO45,AL45,AI45,AF45,AC45,Z45,W45,T45,Q45,N45,K45))</f>
        <v/>
      </c>
      <c r="C45" s="12" t="n">
        <f aca="false">IF(COUNT(AS45,AP45,AM45,AJ45,AG45,AD45,AA45,X45,U45,R45,O45,L45)=0,"",SUM(AS45,AP45,AM45,AJ45,AG45,AD45,AA45,X45,U45,R45,O45,L45))</f>
        <v>96000</v>
      </c>
      <c r="D45" s="12" t="n">
        <f aca="false">IF(COUNT(AT45,AQ45,AN45,AK45,AH45,AE45,AB45,Y45,V45,S45,P45,M45)=0,"",SUM(AT45,AQ45,AN45,AK45,AH45,AE45,AB45,Y45,V45,S45,P45,M45))</f>
        <v>96000</v>
      </c>
      <c r="E45" s="13" t="str">
        <f aca="false">IF(COUNT(CB45,BY45,BV45,BS45,BP45,BM45,BJ45,BG45,BD45,BA45,AX45,AU45)=0,"",SUM(CB45,BY45,BV45,BS45,BP45,BM45,BJ45,BG45,BD45,BA45,AX45,AU45))</f>
        <v/>
      </c>
      <c r="F45" s="13" t="n">
        <f aca="false">IF(COUNT(CC45,BZ45,BW45,BT45,BQ45,BN45,BK45,BH45,BE45,BB45,AY45,AV45)=0,"",SUM(CC45,BZ45,BW45,BT45,BQ45,BN45,BK45,BH45,BE45,BB45,AY45,AV45))</f>
        <v>96000</v>
      </c>
      <c r="G45" s="13" t="n">
        <f aca="false">IF(COUNT(CD45,CA45,BX45,BU45,BR45,BO45,BL45,BI45,BF45,BC45,AZ45,AW45)=0,"",SUM(CD45,CA45,BX45,BU45,BR45,BO45,BL45,BI45,BF45,BC45,AZ45,AW45))</f>
        <v>96000</v>
      </c>
      <c r="H45" s="12" t="n">
        <f aca="false">IF(COUNT(DL45,DI45,DF45,DC45,CZ45,CW45,CT45,CQ45,CN45,CK45,CH45,CE45)=0,"",SUM(DL45,DI45,DF45,DC45,CZ45,CW45,CT45,CQ45,CN45,CK45,CH45,CE45))</f>
        <v>16000</v>
      </c>
      <c r="I45" s="12" t="n">
        <f aca="false">IF(COUNT(DM45,DJ45,DG45,DD45,DA45,CX45,CU45,CR45,CO45,CL45,CI45,CF45)=0,"",SUM(DM45,DJ45,DG45,DD45,DA45,CX45,CU45,CR45,CO45,CL45,CI45,CF45))</f>
        <v>96000</v>
      </c>
      <c r="J45" s="12" t="n">
        <f aca="false">IF(COUNT(DN45,DK45,DH45,DE45,DB45,CY45,CV45,CS45,CP45,CM45,CJ45,CG45)=0,"",SUM(DN45,DK45,DH45,DE45,DB45,CY45,CV45,CS45,CP45,CM45,CJ45,CG45))</f>
        <v>96000</v>
      </c>
      <c r="K45" s="13"/>
      <c r="L45" s="13" t="n">
        <f aca="false">IF('Cash Drivers'!L$26,Finance!K45,Finance!M45)</f>
        <v>8000</v>
      </c>
      <c r="M45" s="89" t="n">
        <v>8000</v>
      </c>
      <c r="N45" s="12"/>
      <c r="O45" s="12" t="n">
        <f aca="false">IF('Cash Drivers'!O$26,Finance!N45,Finance!P45)</f>
        <v>8000</v>
      </c>
      <c r="P45" s="90" t="n">
        <v>8000</v>
      </c>
      <c r="Q45" s="13"/>
      <c r="R45" s="13" t="n">
        <f aca="false">IF('Cash Drivers'!R$26,Finance!Q45,Finance!S45)</f>
        <v>8000</v>
      </c>
      <c r="S45" s="89" t="n">
        <v>8000</v>
      </c>
      <c r="T45" s="12"/>
      <c r="U45" s="12" t="n">
        <f aca="false">IF('Cash Drivers'!U$26,Finance!T45,Finance!V45)</f>
        <v>8000</v>
      </c>
      <c r="V45" s="90" t="n">
        <v>8000</v>
      </c>
      <c r="W45" s="13"/>
      <c r="X45" s="13" t="n">
        <f aca="false">IF('Cash Drivers'!X$26,Finance!W45,Finance!Y45)</f>
        <v>8000</v>
      </c>
      <c r="Y45" s="89" t="n">
        <v>8000</v>
      </c>
      <c r="Z45" s="12"/>
      <c r="AA45" s="12" t="n">
        <f aca="false">IF('Cash Drivers'!AA$26,Finance!Z45,Finance!AB45)</f>
        <v>8000</v>
      </c>
      <c r="AB45" s="90" t="n">
        <v>8000</v>
      </c>
      <c r="AC45" s="13"/>
      <c r="AD45" s="13" t="n">
        <f aca="false">IF('Cash Drivers'!AD$26,Finance!AC45,Finance!AE45)</f>
        <v>8000</v>
      </c>
      <c r="AE45" s="89" t="n">
        <v>8000</v>
      </c>
      <c r="AF45" s="12"/>
      <c r="AG45" s="12" t="n">
        <f aca="false">IF('Cash Drivers'!AG$26,Finance!AF45,Finance!AH45)</f>
        <v>8000</v>
      </c>
      <c r="AH45" s="90" t="n">
        <v>8000</v>
      </c>
      <c r="AI45" s="13"/>
      <c r="AJ45" s="13" t="n">
        <f aca="false">IF('Cash Drivers'!AJ$26,Finance!AI45,Finance!AK45)</f>
        <v>8000</v>
      </c>
      <c r="AK45" s="89" t="n">
        <v>8000</v>
      </c>
      <c r="AL45" s="12"/>
      <c r="AM45" s="12" t="n">
        <f aca="false">IF('Cash Drivers'!AM$26,Finance!AL45,Finance!AN45)</f>
        <v>8000</v>
      </c>
      <c r="AN45" s="90" t="n">
        <v>8000</v>
      </c>
      <c r="AO45" s="13"/>
      <c r="AP45" s="13" t="n">
        <f aca="false">IF('Cash Drivers'!AP$26,Finance!AO45,Finance!AQ45)</f>
        <v>8000</v>
      </c>
      <c r="AQ45" s="89" t="n">
        <v>8000</v>
      </c>
      <c r="AR45" s="12"/>
      <c r="AS45" s="12" t="n">
        <f aca="false">IF('Cash Drivers'!AS$26,Finance!AR45,Finance!AT45)</f>
        <v>8000</v>
      </c>
      <c r="AT45" s="90" t="n">
        <v>8000</v>
      </c>
      <c r="AU45" s="13"/>
      <c r="AV45" s="13" t="n">
        <f aca="false">IF('Cash Drivers'!AV$26,Finance!AU45,Finance!AW45)</f>
        <v>8000</v>
      </c>
      <c r="AW45" s="89" t="n">
        <v>8000</v>
      </c>
      <c r="AX45" s="12"/>
      <c r="AY45" s="12" t="n">
        <f aca="false">IF('Cash Drivers'!AY$26,Finance!AX45,Finance!AZ45)</f>
        <v>8000</v>
      </c>
      <c r="AZ45" s="90" t="n">
        <v>8000</v>
      </c>
      <c r="BA45" s="13"/>
      <c r="BB45" s="13" t="n">
        <f aca="false">IF('Cash Drivers'!BB$26,Finance!BA45,Finance!BC45)</f>
        <v>8000</v>
      </c>
      <c r="BC45" s="89" t="n">
        <v>8000</v>
      </c>
      <c r="BD45" s="12"/>
      <c r="BE45" s="12" t="n">
        <f aca="false">IF('Cash Drivers'!BE$26,Finance!BD45,Finance!BF45)</f>
        <v>8000</v>
      </c>
      <c r="BF45" s="90" t="n">
        <v>8000</v>
      </c>
      <c r="BG45" s="13"/>
      <c r="BH45" s="13" t="n">
        <f aca="false">IF('Cash Drivers'!BH$26,Finance!BG45,Finance!BI45)</f>
        <v>8000</v>
      </c>
      <c r="BI45" s="89" t="n">
        <v>8000</v>
      </c>
      <c r="BJ45" s="12"/>
      <c r="BK45" s="12" t="n">
        <f aca="false">IF('Cash Drivers'!BK$26,Finance!BJ45,Finance!BL45)</f>
        <v>8000</v>
      </c>
      <c r="BL45" s="90" t="n">
        <v>8000</v>
      </c>
      <c r="BM45" s="13"/>
      <c r="BN45" s="13" t="n">
        <f aca="false">IF('Cash Drivers'!BN$26,Finance!BM45,Finance!BO45)</f>
        <v>8000</v>
      </c>
      <c r="BO45" s="89" t="n">
        <v>8000</v>
      </c>
      <c r="BP45" s="12"/>
      <c r="BQ45" s="12" t="n">
        <f aca="false">IF('Cash Drivers'!BQ$26,Finance!BP45,Finance!BR45)</f>
        <v>8000</v>
      </c>
      <c r="BR45" s="90" t="n">
        <v>8000</v>
      </c>
      <c r="BS45" s="13"/>
      <c r="BT45" s="13" t="n">
        <f aca="false">IF('Cash Drivers'!BT$26,Finance!BS45,Finance!BU45)</f>
        <v>8000</v>
      </c>
      <c r="BU45" s="89" t="n">
        <v>8000</v>
      </c>
      <c r="BV45" s="12"/>
      <c r="BW45" s="12" t="n">
        <f aca="false">IF('Cash Drivers'!BW$26,Finance!BV45,Finance!BX45)</f>
        <v>8000</v>
      </c>
      <c r="BX45" s="90" t="n">
        <v>8000</v>
      </c>
      <c r="BY45" s="13"/>
      <c r="BZ45" s="13" t="n">
        <f aca="false">IF('Cash Drivers'!BZ$26,Finance!BY45,Finance!CA45)</f>
        <v>8000</v>
      </c>
      <c r="CA45" s="89" t="n">
        <v>8000</v>
      </c>
      <c r="CB45" s="12"/>
      <c r="CC45" s="12" t="n">
        <f aca="false">IF('Cash Drivers'!CC$26,Finance!CB45,Finance!CD45)</f>
        <v>8000</v>
      </c>
      <c r="CD45" s="90" t="n">
        <v>8000</v>
      </c>
      <c r="CE45" s="13"/>
      <c r="CF45" s="13" t="n">
        <f aca="false">IF('Cash Drivers'!CF$26,Finance!CE45,Finance!CG45)</f>
        <v>8000</v>
      </c>
      <c r="CG45" s="89" t="n">
        <v>8000</v>
      </c>
      <c r="CH45" s="12"/>
      <c r="CI45" s="12" t="n">
        <f aca="false">IF('Cash Drivers'!CI$26,Finance!CH45,Finance!CJ45)</f>
        <v>8000</v>
      </c>
      <c r="CJ45" s="90" t="n">
        <v>8000</v>
      </c>
      <c r="CK45" s="13"/>
      <c r="CL45" s="13" t="n">
        <f aca="false">IF('Cash Drivers'!CL$26,Finance!CK45,Finance!CM45)</f>
        <v>8000</v>
      </c>
      <c r="CM45" s="89" t="n">
        <v>8000</v>
      </c>
      <c r="CN45" s="12"/>
      <c r="CO45" s="12" t="n">
        <f aca="false">IF('Cash Drivers'!CO$26,Finance!CN45,Finance!CP45)</f>
        <v>8000</v>
      </c>
      <c r="CP45" s="90" t="n">
        <v>8000</v>
      </c>
      <c r="CQ45" s="13"/>
      <c r="CR45" s="13" t="n">
        <f aca="false">IF('Cash Drivers'!CR$26,Finance!CQ45,Finance!CS45)</f>
        <v>8000</v>
      </c>
      <c r="CS45" s="89" t="n">
        <v>8000</v>
      </c>
      <c r="CT45" s="12"/>
      <c r="CU45" s="12" t="n">
        <f aca="false">IF('Cash Drivers'!CU$26,Finance!CT45,Finance!CV45)</f>
        <v>8000</v>
      </c>
      <c r="CV45" s="90" t="n">
        <v>8000</v>
      </c>
      <c r="CW45" s="13"/>
      <c r="CX45" s="13" t="n">
        <f aca="false">IF('Cash Drivers'!CX$26,Finance!CW45,Finance!CY45)</f>
        <v>8000</v>
      </c>
      <c r="CY45" s="89" t="n">
        <v>8000</v>
      </c>
      <c r="CZ45" s="12"/>
      <c r="DA45" s="12" t="n">
        <f aca="false">IF('Cash Drivers'!DA$26,Finance!CZ45,Finance!DB45)</f>
        <v>8000</v>
      </c>
      <c r="DB45" s="90" t="n">
        <v>8000</v>
      </c>
      <c r="DC45" s="13"/>
      <c r="DD45" s="13" t="n">
        <f aca="false">IF('Cash Drivers'!DD$26,Finance!DC45,Finance!DE45)</f>
        <v>8000</v>
      </c>
      <c r="DE45" s="89" t="n">
        <v>8000</v>
      </c>
      <c r="DF45" s="12"/>
      <c r="DG45" s="12" t="n">
        <f aca="false">IF('Cash Drivers'!DG$26,Finance!DF45,Finance!DH45)</f>
        <v>8000</v>
      </c>
      <c r="DH45" s="90" t="n">
        <v>8000</v>
      </c>
      <c r="DI45" s="89" t="n">
        <v>8000</v>
      </c>
      <c r="DJ45" s="13" t="n">
        <f aca="false">IF('Cash Drivers'!DJ$26,Finance!DI45,Finance!DK45)</f>
        <v>8000</v>
      </c>
      <c r="DK45" s="89" t="n">
        <v>8000</v>
      </c>
      <c r="DL45" s="90" t="n">
        <v>8000</v>
      </c>
      <c r="DM45" s="12" t="n">
        <f aca="false">IF('Cash Drivers'!DM$26,Finance!DL45,Finance!DN45)</f>
        <v>8000</v>
      </c>
      <c r="DN45" s="90" t="n">
        <v>8000</v>
      </c>
    </row>
    <row r="46" customFormat="false" ht="15.75" hidden="false" customHeight="true" outlineLevel="0" collapsed="false">
      <c r="A46" s="5" t="s">
        <v>300</v>
      </c>
      <c r="B46" s="12" t="str">
        <f aca="false">IF(COUNT(AR46,AO46,AL46,AI46,AF46,AC46,Z46,W46,T46,Q46,N46,K46)=0,"",SUM(AR46,AO46,AL46,AI46,AF46,AC46,Z46,W46,T46,Q46,N46,K46))</f>
        <v/>
      </c>
      <c r="C46" s="12" t="n">
        <f aca="false">IF(COUNT(AS46,AP46,AM46,AJ46,AG46,AD46,AA46,X46,U46,R46,O46,L46)=0,"",SUM(AS46,AP46,AM46,AJ46,AG46,AD46,AA46,X46,U46,R46,O46,L46))</f>
        <v>108000</v>
      </c>
      <c r="D46" s="12" t="n">
        <f aca="false">IF(COUNT(AT46,AQ46,AN46,AK46,AH46,AE46,AB46,Y46,V46,S46,P46,M46)=0,"",SUM(AT46,AQ46,AN46,AK46,AH46,AE46,AB46,Y46,V46,S46,P46,M46))</f>
        <v>108000</v>
      </c>
      <c r="E46" s="13" t="str">
        <f aca="false">IF(COUNT(CB46,BY46,BV46,BS46,BP46,BM46,BJ46,BG46,BD46,BA46,AX46,AU46)=0,"",SUM(CB46,BY46,BV46,BS46,BP46,BM46,BJ46,BG46,BD46,BA46,AX46,AU46))</f>
        <v/>
      </c>
      <c r="F46" s="13" t="n">
        <f aca="false">IF(COUNT(CC46,BZ46,BW46,BT46,BQ46,BN46,BK46,BH46,BE46,BB46,AY46,AV46)=0,"",SUM(CC46,BZ46,BW46,BT46,BQ46,BN46,BK46,BH46,BE46,BB46,AY46,AV46))</f>
        <v>108000</v>
      </c>
      <c r="G46" s="13" t="n">
        <f aca="false">IF(COUNT(CD46,CA46,BX46,BU46,BR46,BO46,BL46,BI46,BF46,BC46,AZ46,AW46)=0,"",SUM(CD46,CA46,BX46,BU46,BR46,BO46,BL46,BI46,BF46,BC46,AZ46,AW46))</f>
        <v>108000</v>
      </c>
      <c r="H46" s="12" t="n">
        <f aca="false">IF(COUNT(DL46,DI46,DF46,DC46,CZ46,CW46,CT46,CQ46,CN46,CK46,CH46,CE46)=0,"",SUM(DL46,DI46,DF46,DC46,CZ46,CW46,CT46,CQ46,CN46,CK46,CH46,CE46))</f>
        <v>18000</v>
      </c>
      <c r="I46" s="12" t="n">
        <f aca="false">IF(COUNT(DM46,DJ46,DG46,DD46,DA46,CX46,CU46,CR46,CO46,CL46,CI46,CF46)=0,"",SUM(DM46,DJ46,DG46,DD46,DA46,CX46,CU46,CR46,CO46,CL46,CI46,CF46))</f>
        <v>108000</v>
      </c>
      <c r="J46" s="12" t="n">
        <f aca="false">IF(COUNT(DN46,DK46,DH46,DE46,DB46,CY46,CV46,CS46,CP46,CM46,CJ46,CG46)=0,"",SUM(DN46,DK46,DH46,DE46,DB46,CY46,CV46,CS46,CP46,CM46,CJ46,CG46))</f>
        <v>108000</v>
      </c>
      <c r="K46" s="13"/>
      <c r="L46" s="13" t="n">
        <f aca="false">IF('Cash Drivers'!L$26,Finance!K46,Finance!M46)</f>
        <v>9000</v>
      </c>
      <c r="M46" s="89" t="n">
        <v>9000</v>
      </c>
      <c r="N46" s="12"/>
      <c r="O46" s="12" t="n">
        <f aca="false">IF('Cash Drivers'!O$26,Finance!N46,Finance!P46)</f>
        <v>9000</v>
      </c>
      <c r="P46" s="90" t="n">
        <v>9000</v>
      </c>
      <c r="Q46" s="13"/>
      <c r="R46" s="13" t="n">
        <f aca="false">IF('Cash Drivers'!R$26,Finance!Q46,Finance!S46)</f>
        <v>9000</v>
      </c>
      <c r="S46" s="89" t="n">
        <v>9000</v>
      </c>
      <c r="T46" s="12"/>
      <c r="U46" s="12" t="n">
        <f aca="false">IF('Cash Drivers'!U$26,Finance!T46,Finance!V46)</f>
        <v>9000</v>
      </c>
      <c r="V46" s="90" t="n">
        <v>9000</v>
      </c>
      <c r="W46" s="13"/>
      <c r="X46" s="13" t="n">
        <f aca="false">IF('Cash Drivers'!X$26,Finance!W46,Finance!Y46)</f>
        <v>9000</v>
      </c>
      <c r="Y46" s="89" t="n">
        <v>9000</v>
      </c>
      <c r="Z46" s="12"/>
      <c r="AA46" s="12" t="n">
        <f aca="false">IF('Cash Drivers'!AA$26,Finance!Z46,Finance!AB46)</f>
        <v>9000</v>
      </c>
      <c r="AB46" s="90" t="n">
        <v>9000</v>
      </c>
      <c r="AC46" s="13"/>
      <c r="AD46" s="13" t="n">
        <f aca="false">IF('Cash Drivers'!AD$26,Finance!AC46,Finance!AE46)</f>
        <v>9000</v>
      </c>
      <c r="AE46" s="89" t="n">
        <v>9000</v>
      </c>
      <c r="AF46" s="12"/>
      <c r="AG46" s="12" t="n">
        <f aca="false">IF('Cash Drivers'!AG$26,Finance!AF46,Finance!AH46)</f>
        <v>9000</v>
      </c>
      <c r="AH46" s="90" t="n">
        <v>9000</v>
      </c>
      <c r="AI46" s="13"/>
      <c r="AJ46" s="13" t="n">
        <f aca="false">IF('Cash Drivers'!AJ$26,Finance!AI46,Finance!AK46)</f>
        <v>9000</v>
      </c>
      <c r="AK46" s="89" t="n">
        <v>9000</v>
      </c>
      <c r="AL46" s="12"/>
      <c r="AM46" s="12" t="n">
        <f aca="false">IF('Cash Drivers'!AM$26,Finance!AL46,Finance!AN46)</f>
        <v>9000</v>
      </c>
      <c r="AN46" s="90" t="n">
        <v>9000</v>
      </c>
      <c r="AO46" s="13"/>
      <c r="AP46" s="13" t="n">
        <f aca="false">IF('Cash Drivers'!AP$26,Finance!AO46,Finance!AQ46)</f>
        <v>9000</v>
      </c>
      <c r="AQ46" s="89" t="n">
        <v>9000</v>
      </c>
      <c r="AR46" s="12"/>
      <c r="AS46" s="12" t="n">
        <f aca="false">IF('Cash Drivers'!AS$26,Finance!AR46,Finance!AT46)</f>
        <v>9000</v>
      </c>
      <c r="AT46" s="90" t="n">
        <v>9000</v>
      </c>
      <c r="AU46" s="13"/>
      <c r="AV46" s="13" t="n">
        <f aca="false">IF('Cash Drivers'!AV$26,Finance!AU46,Finance!AW46)</f>
        <v>9000</v>
      </c>
      <c r="AW46" s="89" t="n">
        <v>9000</v>
      </c>
      <c r="AX46" s="12"/>
      <c r="AY46" s="12" t="n">
        <f aca="false">IF('Cash Drivers'!AY$26,Finance!AX46,Finance!AZ46)</f>
        <v>9000</v>
      </c>
      <c r="AZ46" s="90" t="n">
        <v>9000</v>
      </c>
      <c r="BA46" s="13"/>
      <c r="BB46" s="13" t="n">
        <f aca="false">IF('Cash Drivers'!BB$26,Finance!BA46,Finance!BC46)</f>
        <v>9000</v>
      </c>
      <c r="BC46" s="89" t="n">
        <v>9000</v>
      </c>
      <c r="BD46" s="12"/>
      <c r="BE46" s="12" t="n">
        <f aca="false">IF('Cash Drivers'!BE$26,Finance!BD46,Finance!BF46)</f>
        <v>9000</v>
      </c>
      <c r="BF46" s="90" t="n">
        <v>9000</v>
      </c>
      <c r="BG46" s="13"/>
      <c r="BH46" s="13" t="n">
        <f aca="false">IF('Cash Drivers'!BH$26,Finance!BG46,Finance!BI46)</f>
        <v>9000</v>
      </c>
      <c r="BI46" s="89" t="n">
        <v>9000</v>
      </c>
      <c r="BJ46" s="12"/>
      <c r="BK46" s="12" t="n">
        <f aca="false">IF('Cash Drivers'!BK$26,Finance!BJ46,Finance!BL46)</f>
        <v>9000</v>
      </c>
      <c r="BL46" s="90" t="n">
        <v>9000</v>
      </c>
      <c r="BM46" s="13"/>
      <c r="BN46" s="13" t="n">
        <f aca="false">IF('Cash Drivers'!BN$26,Finance!BM46,Finance!BO46)</f>
        <v>9000</v>
      </c>
      <c r="BO46" s="89" t="n">
        <v>9000</v>
      </c>
      <c r="BP46" s="12"/>
      <c r="BQ46" s="12" t="n">
        <f aca="false">IF('Cash Drivers'!BQ$26,Finance!BP46,Finance!BR46)</f>
        <v>9000</v>
      </c>
      <c r="BR46" s="90" t="n">
        <v>9000</v>
      </c>
      <c r="BS46" s="13"/>
      <c r="BT46" s="13" t="n">
        <f aca="false">IF('Cash Drivers'!BT$26,Finance!BS46,Finance!BU46)</f>
        <v>9000</v>
      </c>
      <c r="BU46" s="89" t="n">
        <v>9000</v>
      </c>
      <c r="BV46" s="12"/>
      <c r="BW46" s="12" t="n">
        <f aca="false">IF('Cash Drivers'!BW$26,Finance!BV46,Finance!BX46)</f>
        <v>9000</v>
      </c>
      <c r="BX46" s="90" t="n">
        <v>9000</v>
      </c>
      <c r="BY46" s="13"/>
      <c r="BZ46" s="13" t="n">
        <f aca="false">IF('Cash Drivers'!BZ$26,Finance!BY46,Finance!CA46)</f>
        <v>9000</v>
      </c>
      <c r="CA46" s="89" t="n">
        <v>9000</v>
      </c>
      <c r="CB46" s="12"/>
      <c r="CC46" s="12" t="n">
        <f aca="false">IF('Cash Drivers'!CC$26,Finance!CB46,Finance!CD46)</f>
        <v>9000</v>
      </c>
      <c r="CD46" s="90" t="n">
        <v>9000</v>
      </c>
      <c r="CE46" s="13"/>
      <c r="CF46" s="13" t="n">
        <f aca="false">IF('Cash Drivers'!CF$26,Finance!CE46,Finance!CG46)</f>
        <v>9000</v>
      </c>
      <c r="CG46" s="89" t="n">
        <v>9000</v>
      </c>
      <c r="CH46" s="12"/>
      <c r="CI46" s="12" t="n">
        <f aca="false">IF('Cash Drivers'!CI$26,Finance!CH46,Finance!CJ46)</f>
        <v>9000</v>
      </c>
      <c r="CJ46" s="90" t="n">
        <v>9000</v>
      </c>
      <c r="CK46" s="13"/>
      <c r="CL46" s="13" t="n">
        <f aca="false">IF('Cash Drivers'!CL$26,Finance!CK46,Finance!CM46)</f>
        <v>9000</v>
      </c>
      <c r="CM46" s="89" t="n">
        <v>9000</v>
      </c>
      <c r="CN46" s="12"/>
      <c r="CO46" s="12" t="n">
        <f aca="false">IF('Cash Drivers'!CO$26,Finance!CN46,Finance!CP46)</f>
        <v>9000</v>
      </c>
      <c r="CP46" s="90" t="n">
        <v>9000</v>
      </c>
      <c r="CQ46" s="13"/>
      <c r="CR46" s="13" t="n">
        <f aca="false">IF('Cash Drivers'!CR$26,Finance!CQ46,Finance!CS46)</f>
        <v>9000</v>
      </c>
      <c r="CS46" s="89" t="n">
        <v>9000</v>
      </c>
      <c r="CT46" s="12"/>
      <c r="CU46" s="12" t="n">
        <f aca="false">IF('Cash Drivers'!CU$26,Finance!CT46,Finance!CV46)</f>
        <v>9000</v>
      </c>
      <c r="CV46" s="90" t="n">
        <v>9000</v>
      </c>
      <c r="CW46" s="13"/>
      <c r="CX46" s="13" t="n">
        <f aca="false">IF('Cash Drivers'!CX$26,Finance!CW46,Finance!CY46)</f>
        <v>9000</v>
      </c>
      <c r="CY46" s="89" t="n">
        <v>9000</v>
      </c>
      <c r="CZ46" s="12"/>
      <c r="DA46" s="12" t="n">
        <f aca="false">IF('Cash Drivers'!DA$26,Finance!CZ46,Finance!DB46)</f>
        <v>9000</v>
      </c>
      <c r="DB46" s="90" t="n">
        <v>9000</v>
      </c>
      <c r="DC46" s="13"/>
      <c r="DD46" s="13" t="n">
        <f aca="false">IF('Cash Drivers'!DD$26,Finance!DC46,Finance!DE46)</f>
        <v>9000</v>
      </c>
      <c r="DE46" s="89" t="n">
        <v>9000</v>
      </c>
      <c r="DF46" s="12"/>
      <c r="DG46" s="12" t="n">
        <f aca="false">IF('Cash Drivers'!DG$26,Finance!DF46,Finance!DH46)</f>
        <v>9000</v>
      </c>
      <c r="DH46" s="90" t="n">
        <v>9000</v>
      </c>
      <c r="DI46" s="89" t="n">
        <v>9000</v>
      </c>
      <c r="DJ46" s="13" t="n">
        <f aca="false">IF('Cash Drivers'!DJ$26,Finance!DI46,Finance!DK46)</f>
        <v>9000</v>
      </c>
      <c r="DK46" s="89" t="n">
        <v>9000</v>
      </c>
      <c r="DL46" s="90" t="n">
        <v>9000</v>
      </c>
      <c r="DM46" s="12" t="n">
        <f aca="false">IF('Cash Drivers'!DM$26,Finance!DL46,Finance!DN46)</f>
        <v>9000</v>
      </c>
      <c r="DN46" s="90" t="n">
        <v>9000</v>
      </c>
    </row>
    <row r="47" customFormat="false" ht="15.75" hidden="false" customHeight="true" outlineLevel="0" collapsed="false">
      <c r="A47" s="5" t="s">
        <v>301</v>
      </c>
      <c r="B47" s="12" t="str">
        <f aca="false">IF(COUNT(AR47,AO47,AL47,AI47,AF47,AC47,Z47,W47,T47,Q47,N47,K47)=0,"",SUM(AR47,AO47,AL47,AI47,AF47,AC47,Z47,W47,T47,Q47,N47,K47))</f>
        <v/>
      </c>
      <c r="C47" s="12" t="n">
        <f aca="false">IF(COUNT(AS47,AP47,AM47,AJ47,AG47,AD47,AA47,X47,U47,R47,O47,L47)=0,"",SUM(AS47,AP47,AM47,AJ47,AG47,AD47,AA47,X47,U47,R47,O47,L47))</f>
        <v>120000</v>
      </c>
      <c r="D47" s="12" t="n">
        <f aca="false">IF(COUNT(AT47,AQ47,AN47,AK47,AH47,AE47,AB47,Y47,V47,S47,P47,M47)=0,"",SUM(AT47,AQ47,AN47,AK47,AH47,AE47,AB47,Y47,V47,S47,P47,M47))</f>
        <v>120000</v>
      </c>
      <c r="E47" s="13" t="str">
        <f aca="false">IF(COUNT(CB47,BY47,BV47,BS47,BP47,BM47,BJ47,BG47,BD47,BA47,AX47,AU47)=0,"",SUM(CB47,BY47,BV47,BS47,BP47,BM47,BJ47,BG47,BD47,BA47,AX47,AU47))</f>
        <v/>
      </c>
      <c r="F47" s="13" t="n">
        <f aca="false">IF(COUNT(CC47,BZ47,BW47,BT47,BQ47,BN47,BK47,BH47,BE47,BB47,AY47,AV47)=0,"",SUM(CC47,BZ47,BW47,BT47,BQ47,BN47,BK47,BH47,BE47,BB47,AY47,AV47))</f>
        <v>120000</v>
      </c>
      <c r="G47" s="13" t="n">
        <f aca="false">IF(COUNT(CD47,CA47,BX47,BU47,BR47,BO47,BL47,BI47,BF47,BC47,AZ47,AW47)=0,"",SUM(CD47,CA47,BX47,BU47,BR47,BO47,BL47,BI47,BF47,BC47,AZ47,AW47))</f>
        <v>120000</v>
      </c>
      <c r="H47" s="12" t="n">
        <f aca="false">IF(COUNT(DL47,DI47,DF47,DC47,CZ47,CW47,CT47,CQ47,CN47,CK47,CH47,CE47)=0,"",SUM(DL47,DI47,DF47,DC47,CZ47,CW47,CT47,CQ47,CN47,CK47,CH47,CE47))</f>
        <v>20000</v>
      </c>
      <c r="I47" s="12" t="n">
        <f aca="false">IF(COUNT(DM47,DJ47,DG47,DD47,DA47,CX47,CU47,CR47,CO47,CL47,CI47,CF47)=0,"",SUM(DM47,DJ47,DG47,DD47,DA47,CX47,CU47,CR47,CO47,CL47,CI47,CF47))</f>
        <v>120000</v>
      </c>
      <c r="J47" s="12" t="n">
        <f aca="false">IF(COUNT(DN47,DK47,DH47,DE47,DB47,CY47,CV47,CS47,CP47,CM47,CJ47,CG47)=0,"",SUM(DN47,DK47,DH47,DE47,DB47,CY47,CV47,CS47,CP47,CM47,CJ47,CG47))</f>
        <v>120000</v>
      </c>
      <c r="K47" s="13"/>
      <c r="L47" s="13" t="n">
        <f aca="false">IF('Cash Drivers'!L$26,Finance!K47,Finance!M47)</f>
        <v>10000</v>
      </c>
      <c r="M47" s="89" t="n">
        <v>10000</v>
      </c>
      <c r="N47" s="12"/>
      <c r="O47" s="12" t="n">
        <f aca="false">IF('Cash Drivers'!O$26,Finance!N47,Finance!P47)</f>
        <v>10000</v>
      </c>
      <c r="P47" s="90" t="n">
        <v>10000</v>
      </c>
      <c r="Q47" s="13"/>
      <c r="R47" s="13" t="n">
        <f aca="false">IF('Cash Drivers'!R$26,Finance!Q47,Finance!S47)</f>
        <v>10000</v>
      </c>
      <c r="S47" s="89" t="n">
        <v>10000</v>
      </c>
      <c r="T47" s="12"/>
      <c r="U47" s="12" t="n">
        <f aca="false">IF('Cash Drivers'!U$26,Finance!T47,Finance!V47)</f>
        <v>10000</v>
      </c>
      <c r="V47" s="90" t="n">
        <v>10000</v>
      </c>
      <c r="W47" s="13"/>
      <c r="X47" s="13" t="n">
        <f aca="false">IF('Cash Drivers'!X$26,Finance!W47,Finance!Y47)</f>
        <v>10000</v>
      </c>
      <c r="Y47" s="89" t="n">
        <v>10000</v>
      </c>
      <c r="Z47" s="12"/>
      <c r="AA47" s="12" t="n">
        <f aca="false">IF('Cash Drivers'!AA$26,Finance!Z47,Finance!AB47)</f>
        <v>10000</v>
      </c>
      <c r="AB47" s="90" t="n">
        <v>10000</v>
      </c>
      <c r="AC47" s="13"/>
      <c r="AD47" s="13" t="n">
        <f aca="false">IF('Cash Drivers'!AD$26,Finance!AC47,Finance!AE47)</f>
        <v>10000</v>
      </c>
      <c r="AE47" s="89" t="n">
        <v>10000</v>
      </c>
      <c r="AF47" s="12"/>
      <c r="AG47" s="12" t="n">
        <f aca="false">IF('Cash Drivers'!AG$26,Finance!AF47,Finance!AH47)</f>
        <v>10000</v>
      </c>
      <c r="AH47" s="90" t="n">
        <v>10000</v>
      </c>
      <c r="AI47" s="13"/>
      <c r="AJ47" s="13" t="n">
        <f aca="false">IF('Cash Drivers'!AJ$26,Finance!AI47,Finance!AK47)</f>
        <v>10000</v>
      </c>
      <c r="AK47" s="89" t="n">
        <v>10000</v>
      </c>
      <c r="AL47" s="12"/>
      <c r="AM47" s="12" t="n">
        <f aca="false">IF('Cash Drivers'!AM$26,Finance!AL47,Finance!AN47)</f>
        <v>10000</v>
      </c>
      <c r="AN47" s="90" t="n">
        <v>10000</v>
      </c>
      <c r="AO47" s="13"/>
      <c r="AP47" s="13" t="n">
        <f aca="false">IF('Cash Drivers'!AP$26,Finance!AO47,Finance!AQ47)</f>
        <v>10000</v>
      </c>
      <c r="AQ47" s="89" t="n">
        <v>10000</v>
      </c>
      <c r="AR47" s="12"/>
      <c r="AS47" s="12" t="n">
        <f aca="false">IF('Cash Drivers'!AS$26,Finance!AR47,Finance!AT47)</f>
        <v>10000</v>
      </c>
      <c r="AT47" s="90" t="n">
        <v>10000</v>
      </c>
      <c r="AU47" s="13"/>
      <c r="AV47" s="13" t="n">
        <f aca="false">IF('Cash Drivers'!AV$26,Finance!AU47,Finance!AW47)</f>
        <v>10000</v>
      </c>
      <c r="AW47" s="89" t="n">
        <v>10000</v>
      </c>
      <c r="AX47" s="12"/>
      <c r="AY47" s="12" t="n">
        <f aca="false">IF('Cash Drivers'!AY$26,Finance!AX47,Finance!AZ47)</f>
        <v>10000</v>
      </c>
      <c r="AZ47" s="90" t="n">
        <v>10000</v>
      </c>
      <c r="BA47" s="13"/>
      <c r="BB47" s="13" t="n">
        <f aca="false">IF('Cash Drivers'!BB$26,Finance!BA47,Finance!BC47)</f>
        <v>10000</v>
      </c>
      <c r="BC47" s="89" t="n">
        <v>10000</v>
      </c>
      <c r="BD47" s="12"/>
      <c r="BE47" s="12" t="n">
        <f aca="false">IF('Cash Drivers'!BE$26,Finance!BD47,Finance!BF47)</f>
        <v>10000</v>
      </c>
      <c r="BF47" s="90" t="n">
        <v>10000</v>
      </c>
      <c r="BG47" s="13"/>
      <c r="BH47" s="13" t="n">
        <f aca="false">IF('Cash Drivers'!BH$26,Finance!BG47,Finance!BI47)</f>
        <v>10000</v>
      </c>
      <c r="BI47" s="89" t="n">
        <v>10000</v>
      </c>
      <c r="BJ47" s="12"/>
      <c r="BK47" s="12" t="n">
        <f aca="false">IF('Cash Drivers'!BK$26,Finance!BJ47,Finance!BL47)</f>
        <v>10000</v>
      </c>
      <c r="BL47" s="90" t="n">
        <v>10000</v>
      </c>
      <c r="BM47" s="13"/>
      <c r="BN47" s="13" t="n">
        <f aca="false">IF('Cash Drivers'!BN$26,Finance!BM47,Finance!BO47)</f>
        <v>10000</v>
      </c>
      <c r="BO47" s="89" t="n">
        <v>10000</v>
      </c>
      <c r="BP47" s="12"/>
      <c r="BQ47" s="12" t="n">
        <f aca="false">IF('Cash Drivers'!BQ$26,Finance!BP47,Finance!BR47)</f>
        <v>10000</v>
      </c>
      <c r="BR47" s="90" t="n">
        <v>10000</v>
      </c>
      <c r="BS47" s="13"/>
      <c r="BT47" s="13" t="n">
        <f aca="false">IF('Cash Drivers'!BT$26,Finance!BS47,Finance!BU47)</f>
        <v>10000</v>
      </c>
      <c r="BU47" s="89" t="n">
        <v>10000</v>
      </c>
      <c r="BV47" s="12"/>
      <c r="BW47" s="12" t="n">
        <f aca="false">IF('Cash Drivers'!BW$26,Finance!BV47,Finance!BX47)</f>
        <v>10000</v>
      </c>
      <c r="BX47" s="90" t="n">
        <v>10000</v>
      </c>
      <c r="BY47" s="13"/>
      <c r="BZ47" s="13" t="n">
        <f aca="false">IF('Cash Drivers'!BZ$26,Finance!BY47,Finance!CA47)</f>
        <v>10000</v>
      </c>
      <c r="CA47" s="89" t="n">
        <v>10000</v>
      </c>
      <c r="CB47" s="12"/>
      <c r="CC47" s="12" t="n">
        <f aca="false">IF('Cash Drivers'!CC$26,Finance!CB47,Finance!CD47)</f>
        <v>10000</v>
      </c>
      <c r="CD47" s="90" t="n">
        <v>10000</v>
      </c>
      <c r="CE47" s="13"/>
      <c r="CF47" s="13" t="n">
        <f aca="false">IF('Cash Drivers'!CF$26,Finance!CE47,Finance!CG47)</f>
        <v>10000</v>
      </c>
      <c r="CG47" s="89" t="n">
        <v>10000</v>
      </c>
      <c r="CH47" s="12"/>
      <c r="CI47" s="12" t="n">
        <f aca="false">IF('Cash Drivers'!CI$26,Finance!CH47,Finance!CJ47)</f>
        <v>10000</v>
      </c>
      <c r="CJ47" s="90" t="n">
        <v>10000</v>
      </c>
      <c r="CK47" s="13"/>
      <c r="CL47" s="13" t="n">
        <f aca="false">IF('Cash Drivers'!CL$26,Finance!CK47,Finance!CM47)</f>
        <v>10000</v>
      </c>
      <c r="CM47" s="89" t="n">
        <v>10000</v>
      </c>
      <c r="CN47" s="12"/>
      <c r="CO47" s="12" t="n">
        <f aca="false">IF('Cash Drivers'!CO$26,Finance!CN47,Finance!CP47)</f>
        <v>10000</v>
      </c>
      <c r="CP47" s="90" t="n">
        <v>10000</v>
      </c>
      <c r="CQ47" s="13"/>
      <c r="CR47" s="13" t="n">
        <f aca="false">IF('Cash Drivers'!CR$26,Finance!CQ47,Finance!CS47)</f>
        <v>10000</v>
      </c>
      <c r="CS47" s="89" t="n">
        <v>10000</v>
      </c>
      <c r="CT47" s="12"/>
      <c r="CU47" s="12" t="n">
        <f aca="false">IF('Cash Drivers'!CU$26,Finance!CT47,Finance!CV47)</f>
        <v>10000</v>
      </c>
      <c r="CV47" s="90" t="n">
        <v>10000</v>
      </c>
      <c r="CW47" s="13"/>
      <c r="CX47" s="13" t="n">
        <f aca="false">IF('Cash Drivers'!CX$26,Finance!CW47,Finance!CY47)</f>
        <v>10000</v>
      </c>
      <c r="CY47" s="89" t="n">
        <v>10000</v>
      </c>
      <c r="CZ47" s="12"/>
      <c r="DA47" s="12" t="n">
        <f aca="false">IF('Cash Drivers'!DA$26,Finance!CZ47,Finance!DB47)</f>
        <v>10000</v>
      </c>
      <c r="DB47" s="90" t="n">
        <v>10000</v>
      </c>
      <c r="DC47" s="13"/>
      <c r="DD47" s="13" t="n">
        <f aca="false">IF('Cash Drivers'!DD$26,Finance!DC47,Finance!DE47)</f>
        <v>10000</v>
      </c>
      <c r="DE47" s="89" t="n">
        <v>10000</v>
      </c>
      <c r="DF47" s="12"/>
      <c r="DG47" s="12" t="n">
        <f aca="false">IF('Cash Drivers'!DG$26,Finance!DF47,Finance!DH47)</f>
        <v>10000</v>
      </c>
      <c r="DH47" s="90" t="n">
        <v>10000</v>
      </c>
      <c r="DI47" s="89" t="n">
        <v>10000</v>
      </c>
      <c r="DJ47" s="13" t="n">
        <f aca="false">IF('Cash Drivers'!DJ$26,Finance!DI47,Finance!DK47)</f>
        <v>10000</v>
      </c>
      <c r="DK47" s="89" t="n">
        <v>10000</v>
      </c>
      <c r="DL47" s="90" t="n">
        <v>10000</v>
      </c>
      <c r="DM47" s="12" t="n">
        <f aca="false">IF('Cash Drivers'!DM$26,Finance!DL47,Finance!DN47)</f>
        <v>10000</v>
      </c>
      <c r="DN47" s="90" t="n">
        <v>10000</v>
      </c>
    </row>
    <row r="48" customFormat="false" ht="15.75" hidden="false" customHeight="true" outlineLevel="0" collapsed="false">
      <c r="A48" s="5" t="s">
        <v>302</v>
      </c>
      <c r="B48" s="12" t="str">
        <f aca="false">IF(COUNT(AR48,AO48,AL48,AI48,AF48,AC48,Z48,W48,T48,Q48,N48,K48)=0,"",SUM(AR48,AO48,AL48,AI48,AF48,AC48,Z48,W48,T48,Q48,N48,K48))</f>
        <v/>
      </c>
      <c r="C48" s="12" t="n">
        <f aca="false">IF(COUNT(AS48,AP48,AM48,AJ48,AG48,AD48,AA48,X48,U48,R48,O48,L48)=0,"",SUM(AS48,AP48,AM48,AJ48,AG48,AD48,AA48,X48,U48,R48,O48,L48))</f>
        <v>84000</v>
      </c>
      <c r="D48" s="12" t="n">
        <f aca="false">IF(COUNT(AT48,AQ48,AN48,AK48,AH48,AE48,AB48,Y48,V48,S48,P48,M48)=0,"",SUM(AT48,AQ48,AN48,AK48,AH48,AE48,AB48,Y48,V48,S48,P48,M48))</f>
        <v>84000</v>
      </c>
      <c r="E48" s="13" t="str">
        <f aca="false">IF(COUNT(CB48,BY48,BV48,BS48,BP48,BM48,BJ48,BG48,BD48,BA48,AX48,AU48)=0,"",SUM(CB48,BY48,BV48,BS48,BP48,BM48,BJ48,BG48,BD48,BA48,AX48,AU48))</f>
        <v/>
      </c>
      <c r="F48" s="13" t="n">
        <f aca="false">IF(COUNT(CC48,BZ48,BW48,BT48,BQ48,BN48,BK48,BH48,BE48,BB48,AY48,AV48)=0,"",SUM(CC48,BZ48,BW48,BT48,BQ48,BN48,BK48,BH48,BE48,BB48,AY48,AV48))</f>
        <v>49000</v>
      </c>
      <c r="G48" s="13" t="n">
        <f aca="false">IF(COUNT(CD48,CA48,BX48,BU48,BR48,BO48,BL48,BI48,BF48,BC48,AZ48,AW48)=0,"",SUM(CD48,CA48,BX48,BU48,BR48,BO48,BL48,BI48,BF48,BC48,AZ48,AW48))</f>
        <v>49000</v>
      </c>
      <c r="H48" s="12" t="str">
        <f aca="false">IF(COUNT(DL48,DI48,DF48,DC48,CZ48,CW48,CT48,CQ48,CN48,CK48,CH48,CE48)=0,"",SUM(DL48,DI48,DF48,DC48,CZ48,CW48,CT48,CQ48,CN48,CK48,CH48,CE48))</f>
        <v/>
      </c>
      <c r="I48" s="12" t="str">
        <f aca="false">IF(COUNT(DM48,DJ48,DG48,DD48,DA48,CX48,CU48,CR48,CO48,CL48,CI48,CF48)=0,"",SUM(DM48,DJ48,DG48,DD48,DA48,CX48,CU48,CR48,CO48,CL48,CI48,CF48))</f>
        <v/>
      </c>
      <c r="J48" s="12" t="str">
        <f aca="false">IF(COUNT(DN48,DK48,DH48,DE48,DB48,CY48,CV48,CS48,CP48,CM48,CJ48,CG48)=0,"",SUM(DN48,DK48,DH48,DE48,DB48,CY48,CV48,CS48,CP48,CM48,CJ48,CG48))</f>
        <v/>
      </c>
      <c r="K48" s="13"/>
      <c r="L48" s="13" t="n">
        <f aca="false">IF('Cash Drivers'!L$26,Finance!K48,Finance!M48)</f>
        <v>7000</v>
      </c>
      <c r="M48" s="89" t="n">
        <v>7000</v>
      </c>
      <c r="N48" s="12"/>
      <c r="O48" s="12" t="n">
        <f aca="false">IF('Cash Drivers'!O$26,Finance!N48,Finance!P48)</f>
        <v>7000</v>
      </c>
      <c r="P48" s="90" t="n">
        <v>7000</v>
      </c>
      <c r="Q48" s="13"/>
      <c r="R48" s="13" t="n">
        <f aca="false">IF('Cash Drivers'!R$26,Finance!Q48,Finance!S48)</f>
        <v>7000</v>
      </c>
      <c r="S48" s="89" t="n">
        <v>7000</v>
      </c>
      <c r="T48" s="12"/>
      <c r="U48" s="12" t="n">
        <f aca="false">IF('Cash Drivers'!U$26,Finance!T48,Finance!V48)</f>
        <v>7000</v>
      </c>
      <c r="V48" s="90" t="n">
        <v>7000</v>
      </c>
      <c r="W48" s="13"/>
      <c r="X48" s="13" t="n">
        <f aca="false">IF('Cash Drivers'!X$26,Finance!W48,Finance!Y48)</f>
        <v>7000</v>
      </c>
      <c r="Y48" s="89" t="n">
        <v>7000</v>
      </c>
      <c r="Z48" s="12"/>
      <c r="AA48" s="12" t="n">
        <f aca="false">IF('Cash Drivers'!AA$26,Finance!Z48,Finance!AB48)</f>
        <v>7000</v>
      </c>
      <c r="AB48" s="90" t="n">
        <v>7000</v>
      </c>
      <c r="AC48" s="13"/>
      <c r="AD48" s="13" t="n">
        <f aca="false">IF('Cash Drivers'!AD$26,Finance!AC48,Finance!AE48)</f>
        <v>7000</v>
      </c>
      <c r="AE48" s="89" t="n">
        <v>7000</v>
      </c>
      <c r="AF48" s="12"/>
      <c r="AG48" s="12" t="n">
        <f aca="false">IF('Cash Drivers'!AG$26,Finance!AF48,Finance!AH48)</f>
        <v>7000</v>
      </c>
      <c r="AH48" s="90" t="n">
        <v>7000</v>
      </c>
      <c r="AI48" s="13"/>
      <c r="AJ48" s="13" t="n">
        <f aca="false">IF('Cash Drivers'!AJ$26,Finance!AI48,Finance!AK48)</f>
        <v>7000</v>
      </c>
      <c r="AK48" s="89" t="n">
        <v>7000</v>
      </c>
      <c r="AL48" s="12"/>
      <c r="AM48" s="12" t="n">
        <f aca="false">IF('Cash Drivers'!AM$26,Finance!AL48,Finance!AN48)</f>
        <v>7000</v>
      </c>
      <c r="AN48" s="90" t="n">
        <v>7000</v>
      </c>
      <c r="AO48" s="13"/>
      <c r="AP48" s="13" t="n">
        <f aca="false">IF('Cash Drivers'!AP$26,Finance!AO48,Finance!AQ48)</f>
        <v>7000</v>
      </c>
      <c r="AQ48" s="89" t="n">
        <v>7000</v>
      </c>
      <c r="AR48" s="12"/>
      <c r="AS48" s="12" t="n">
        <f aca="false">IF('Cash Drivers'!AS$26,Finance!AR48,Finance!AT48)</f>
        <v>7000</v>
      </c>
      <c r="AT48" s="90" t="n">
        <v>7000</v>
      </c>
      <c r="AU48" s="13"/>
      <c r="AV48" s="13" t="n">
        <f aca="false">IF('Cash Drivers'!AV$26,Finance!AU48,Finance!AW48)</f>
        <v>7000</v>
      </c>
      <c r="AW48" s="89" t="n">
        <v>7000</v>
      </c>
      <c r="AX48" s="12"/>
      <c r="AY48" s="12" t="n">
        <f aca="false">IF('Cash Drivers'!AY$26,Finance!AX48,Finance!AZ48)</f>
        <v>7000</v>
      </c>
      <c r="AZ48" s="90" t="n">
        <v>7000</v>
      </c>
      <c r="BA48" s="13"/>
      <c r="BB48" s="13" t="n">
        <f aca="false">IF('Cash Drivers'!BB$26,Finance!BA48,Finance!BC48)</f>
        <v>7000</v>
      </c>
      <c r="BC48" s="89" t="n">
        <v>7000</v>
      </c>
      <c r="BD48" s="12"/>
      <c r="BE48" s="12" t="n">
        <f aca="false">IF('Cash Drivers'!BE$26,Finance!BD48,Finance!BF48)</f>
        <v>7000</v>
      </c>
      <c r="BF48" s="90" t="n">
        <v>7000</v>
      </c>
      <c r="BG48" s="13"/>
      <c r="BH48" s="13" t="n">
        <f aca="false">IF('Cash Drivers'!BH$26,Finance!BG48,Finance!BI48)</f>
        <v>7000</v>
      </c>
      <c r="BI48" s="89" t="n">
        <v>7000</v>
      </c>
      <c r="BJ48" s="12"/>
      <c r="BK48" s="12" t="n">
        <f aca="false">IF('Cash Drivers'!BK$26,Finance!BJ48,Finance!BL48)</f>
        <v>7000</v>
      </c>
      <c r="BL48" s="90" t="n">
        <v>7000</v>
      </c>
      <c r="BM48" s="13"/>
      <c r="BN48" s="13" t="n">
        <f aca="false">IF('Cash Drivers'!BN$26,Finance!BM48,Finance!BO48)</f>
        <v>7000</v>
      </c>
      <c r="BO48" s="89" t="n">
        <v>7000</v>
      </c>
      <c r="BP48" s="91"/>
      <c r="BQ48" s="91"/>
      <c r="BR48" s="91"/>
      <c r="BV48" s="91"/>
      <c r="BW48" s="91"/>
      <c r="BX48" s="91"/>
      <c r="CB48" s="91"/>
      <c r="CC48" s="91"/>
      <c r="CD48" s="91"/>
      <c r="CH48" s="91"/>
      <c r="CI48" s="91"/>
      <c r="CJ48" s="91"/>
      <c r="CN48" s="91"/>
      <c r="CO48" s="91"/>
      <c r="CP48" s="91"/>
      <c r="CT48" s="91"/>
      <c r="CU48" s="91"/>
      <c r="CV48" s="91"/>
      <c r="CZ48" s="91"/>
      <c r="DA48" s="91"/>
      <c r="DB48" s="91"/>
      <c r="DF48" s="91"/>
      <c r="DG48" s="91"/>
      <c r="DH48" s="91"/>
      <c r="DL48" s="91"/>
      <c r="DM48" s="91"/>
      <c r="DN48" s="91"/>
    </row>
    <row r="49" customFormat="false" ht="15.75" hidden="false" customHeight="true" outlineLevel="0" collapsed="false">
      <c r="A49" s="14" t="s">
        <v>186</v>
      </c>
      <c r="B49" s="15" t="str">
        <f aca="false">IF(COUNT(AR49,AO49,AL49,AI49,AF49,AC49,Z49,W49,T49,Q49,N49,K49)=0,"",SUM(AR49,AO49,AL49,AI49,AF49,AC49,Z49,W49,T49,Q49,N49,K49))</f>
        <v/>
      </c>
      <c r="C49" s="15" t="n">
        <f aca="false">IF(COUNT(AS49,AP49,AM49,AJ49,AG49,AD49,AA49,X49,U49,R49,O49,L49)=0,"",SUM(AS49,AP49,AM49,AJ49,AG49,AD49,AA49,X49,U49,R49,O49,L49))</f>
        <v>1284000</v>
      </c>
      <c r="D49" s="15" t="n">
        <f aca="false">IF(COUNT(AT49,AQ49,AN49,AK49,AH49,AE49,AB49,Y49,V49,S49,P49,M49)=0,"",SUM(AT49,AQ49,AN49,AK49,AH49,AE49,AB49,Y49,V49,S49,P49,M49))</f>
        <v>1284000</v>
      </c>
      <c r="E49" s="16" t="str">
        <f aca="false">IF(COUNT(CB49,BY49,BV49,BS49,BP49,BM49,BJ49,BG49,BD49,BA49,AX49,AU49)=0,"",SUM(CB49,BY49,BV49,BS49,BP49,BM49,BJ49,BG49,BD49,BA49,AX49,AU49))</f>
        <v/>
      </c>
      <c r="F49" s="16" t="n">
        <f aca="false">IF(COUNT(CC49,BZ49,BW49,BT49,BQ49,BN49,BK49,BH49,BE49,BB49,AY49,AV49)=0,"",SUM(CC49,BZ49,BW49,BT49,BQ49,BN49,BK49,BH49,BE49,BB49,AY49,AV49))</f>
        <v>1249000</v>
      </c>
      <c r="G49" s="16" t="n">
        <f aca="false">IF(COUNT(CD49,CA49,BX49,BU49,BR49,BO49,BL49,BI49,BF49,BC49,AZ49,AW49)=0,"",SUM(CD49,CA49,BX49,BU49,BR49,BO49,BL49,BI49,BF49,BC49,AZ49,AW49))</f>
        <v>1249000</v>
      </c>
      <c r="H49" s="15" t="n">
        <f aca="false">IF(COUNT(DL49,DI49,DF49,DC49,CZ49,CW49,CT49,CQ49,CN49,CK49,CH49,CE49)=0,"",SUM(DL49,DI49,DF49,DC49,CZ49,CW49,CT49,CQ49,CN49,CK49,CH49,CE49))</f>
        <v>200000</v>
      </c>
      <c r="I49" s="15" t="n">
        <f aca="false">IF(COUNT(DM49,DJ49,DG49,DD49,DA49,CX49,CU49,CR49,CO49,CL49,CI49,CF49)=0,"",SUM(DM49,DJ49,DG49,DD49,DA49,CX49,CU49,CR49,CO49,CL49,CI49,CF49))</f>
        <v>1200000</v>
      </c>
      <c r="J49" s="15" t="n">
        <f aca="false">IF(COUNT(DN49,DK49,DH49,DE49,DB49,CY49,CV49,CS49,CP49,CM49,CJ49,CG49)=0,"",SUM(DN49,DK49,DH49,DE49,DB49,CY49,CV49,CS49,CP49,CM49,CJ49,CG49))</f>
        <v>1200000</v>
      </c>
      <c r="K49" s="16" t="str">
        <f aca="false">IF(COUNT(K41,K42,K43,K44,K45,K46,K47,K48)=0,"",SUM(K41:K48))</f>
        <v/>
      </c>
      <c r="L49" s="16" t="n">
        <f aca="false">SUM(L41:L48)</f>
        <v>107000</v>
      </c>
      <c r="M49" s="16" t="n">
        <f aca="false">SUM(M41:M48)</f>
        <v>107000</v>
      </c>
      <c r="N49" s="15" t="str">
        <f aca="false">IF(COUNT(N41,N42,N43,N44,N45,N46,N47,N48)=0,"",SUM(N41:N48))</f>
        <v/>
      </c>
      <c r="O49" s="15" t="n">
        <f aca="false">SUM(O41:O48)</f>
        <v>107000</v>
      </c>
      <c r="P49" s="15" t="n">
        <f aca="false">SUM(P41:P48)</f>
        <v>107000</v>
      </c>
      <c r="Q49" s="16" t="str">
        <f aca="false">IF(COUNT(Q41,Q42,Q43,Q44,Q45,Q46,Q47,Q48)=0,"",SUM(Q41:Q48))</f>
        <v/>
      </c>
      <c r="R49" s="16" t="n">
        <f aca="false">SUM(R41:R48)</f>
        <v>107000</v>
      </c>
      <c r="S49" s="16" t="n">
        <f aca="false">SUM(S41:S48)</f>
        <v>107000</v>
      </c>
      <c r="T49" s="15" t="str">
        <f aca="false">IF(COUNT(T41,T42,T43,T44,T45,T46,T47,T48)=0,"",SUM(T41:T48))</f>
        <v/>
      </c>
      <c r="U49" s="15" t="n">
        <f aca="false">SUM(U41:U48)</f>
        <v>107000</v>
      </c>
      <c r="V49" s="15" t="n">
        <f aca="false">SUM(V41:V48)</f>
        <v>107000</v>
      </c>
      <c r="W49" s="16" t="str">
        <f aca="false">IF(COUNT(W41,W42,W43,W44,W45,W46,W47,W48)=0,"",SUM(W41:W48))</f>
        <v/>
      </c>
      <c r="X49" s="16" t="n">
        <f aca="false">SUM(X41:X48)</f>
        <v>107000</v>
      </c>
      <c r="Y49" s="16" t="n">
        <f aca="false">SUM(Y41:Y48)</f>
        <v>107000</v>
      </c>
      <c r="Z49" s="15" t="str">
        <f aca="false">IF(COUNT(Z41,Z42,Z43,Z44,Z45,Z46,Z47,Z48)=0,"",SUM(Z41:Z48))</f>
        <v/>
      </c>
      <c r="AA49" s="15" t="n">
        <f aca="false">SUM(AA41:AA48)</f>
        <v>107000</v>
      </c>
      <c r="AB49" s="15" t="n">
        <f aca="false">SUM(AB41:AB48)</f>
        <v>107000</v>
      </c>
      <c r="AC49" s="16" t="str">
        <f aca="false">IF(COUNT(AC41,AC42,AC43,AC44,AC45,AC46,AC47,AC48)=0,"",SUM(AC41:AC48))</f>
        <v/>
      </c>
      <c r="AD49" s="16" t="n">
        <f aca="false">SUM(AD41:AD48)</f>
        <v>107000</v>
      </c>
      <c r="AE49" s="16" t="n">
        <f aca="false">SUM(AE41:AE48)</f>
        <v>107000</v>
      </c>
      <c r="AF49" s="15" t="str">
        <f aca="false">IF(COUNT(AF41,AF42,AF43,AF44,AF45,AF46,AF47,AF48)=0,"",SUM(AF41:AF48))</f>
        <v/>
      </c>
      <c r="AG49" s="15" t="n">
        <f aca="false">SUM(AG41:AG48)</f>
        <v>107000</v>
      </c>
      <c r="AH49" s="15" t="n">
        <f aca="false">SUM(AH41:AH48)</f>
        <v>107000</v>
      </c>
      <c r="AI49" s="16" t="str">
        <f aca="false">IF(COUNT(AI41,AI42,AI43,AI44,AI45,AI46,AI47,AI48)=0,"",SUM(AI41:AI48))</f>
        <v/>
      </c>
      <c r="AJ49" s="16" t="n">
        <f aca="false">SUM(AJ41:AJ48)</f>
        <v>107000</v>
      </c>
      <c r="AK49" s="16" t="n">
        <f aca="false">SUM(AK41:AK48)</f>
        <v>107000</v>
      </c>
      <c r="AL49" s="15" t="str">
        <f aca="false">IF(COUNT(AL41,AL42,AL43,AL44,AL45,AL46,AL47,AL48)=0,"",SUM(AL41:AL48))</f>
        <v/>
      </c>
      <c r="AM49" s="15" t="n">
        <f aca="false">SUM(AM41:AM48)</f>
        <v>107000</v>
      </c>
      <c r="AN49" s="15" t="n">
        <f aca="false">SUM(AN41:AN48)</f>
        <v>107000</v>
      </c>
      <c r="AO49" s="16" t="str">
        <f aca="false">IF(COUNT(AO41,AO42,AO43,AO44,AO45,AO46,AO47,AO48)=0,"",SUM(AO41:AO48))</f>
        <v/>
      </c>
      <c r="AP49" s="16" t="n">
        <f aca="false">SUM(AP41:AP48)</f>
        <v>107000</v>
      </c>
      <c r="AQ49" s="16" t="n">
        <f aca="false">SUM(AQ41:AQ48)</f>
        <v>107000</v>
      </c>
      <c r="AR49" s="15" t="str">
        <f aca="false">IF(COUNT(AR41,AR42,AR43,AR44,AR45,AR46,AR47,AR48)=0,"",SUM(AR41:AR48))</f>
        <v/>
      </c>
      <c r="AS49" s="15" t="n">
        <f aca="false">SUM(AS41:AS48)</f>
        <v>107000</v>
      </c>
      <c r="AT49" s="15" t="n">
        <f aca="false">SUM(AT41:AT48)</f>
        <v>107000</v>
      </c>
      <c r="AU49" s="16" t="str">
        <f aca="false">IF(COUNT(AU41,AU42,AU43,AU44,AU45,AU46,AU47,AU48)=0,"",SUM(AU41:AU48))</f>
        <v/>
      </c>
      <c r="AV49" s="16" t="n">
        <f aca="false">SUM(AV41:AV48)</f>
        <v>107000</v>
      </c>
      <c r="AW49" s="16" t="n">
        <f aca="false">SUM(AW41:AW48)</f>
        <v>107000</v>
      </c>
      <c r="AX49" s="15" t="str">
        <f aca="false">IF(COUNT(AX41,AX42,AX43,AX44,AX45,AX46,AX47,AX48)=0,"",SUM(AX41:AX48))</f>
        <v/>
      </c>
      <c r="AY49" s="15" t="n">
        <f aca="false">SUM(AY41:AY48)</f>
        <v>107000</v>
      </c>
      <c r="AZ49" s="15" t="n">
        <f aca="false">SUM(AZ41:AZ48)</f>
        <v>107000</v>
      </c>
      <c r="BA49" s="16" t="str">
        <f aca="false">IF(COUNT(BA41,BA42,BA43,BA44,BA45,BA46,BA47,BA48)=0,"",SUM(BA41:BA48))</f>
        <v/>
      </c>
      <c r="BB49" s="16" t="n">
        <f aca="false">SUM(BB41:BB48)</f>
        <v>107000</v>
      </c>
      <c r="BC49" s="16" t="n">
        <f aca="false">SUM(BC41:BC48)</f>
        <v>107000</v>
      </c>
      <c r="BD49" s="15" t="str">
        <f aca="false">IF(COUNT(BD41,BD42,BD43,BD44,BD45,BD46,BD47,BD48)=0,"",SUM(BD41:BD48))</f>
        <v/>
      </c>
      <c r="BE49" s="15" t="n">
        <f aca="false">SUM(BE41:BE48)</f>
        <v>107000</v>
      </c>
      <c r="BF49" s="15" t="n">
        <f aca="false">SUM(BF41:BF48)</f>
        <v>107000</v>
      </c>
      <c r="BG49" s="16" t="str">
        <f aca="false">IF(COUNT(BG41,BG42,BG43,BG44,BG45,BG46,BG47,BG48)=0,"",SUM(BG41:BG48))</f>
        <v/>
      </c>
      <c r="BH49" s="16" t="n">
        <f aca="false">SUM(BH41:BH48)</f>
        <v>107000</v>
      </c>
      <c r="BI49" s="16" t="n">
        <f aca="false">SUM(BI41:BI48)</f>
        <v>107000</v>
      </c>
      <c r="BJ49" s="15" t="str">
        <f aca="false">IF(COUNT(BJ41,BJ42,BJ43,BJ44,BJ45,BJ46,BJ47,BJ48)=0,"",SUM(BJ41:BJ48))</f>
        <v/>
      </c>
      <c r="BK49" s="15" t="n">
        <f aca="false">SUM(BK41:BK48)</f>
        <v>107000</v>
      </c>
      <c r="BL49" s="15" t="n">
        <f aca="false">SUM(BL41:BL48)</f>
        <v>107000</v>
      </c>
      <c r="BM49" s="16" t="str">
        <f aca="false">IF(COUNT(BM41,BM42,BM43,BM44,BM45,BM46,BM47,BM48)=0,"",SUM(BM41:BM48))</f>
        <v/>
      </c>
      <c r="BN49" s="16" t="n">
        <f aca="false">SUM(BN41:BN48)</f>
        <v>107000</v>
      </c>
      <c r="BO49" s="16" t="n">
        <f aca="false">SUM(BO41:BO48)</f>
        <v>107000</v>
      </c>
      <c r="BP49" s="15" t="str">
        <f aca="false">IF(COUNT(BP41,BP42,BP43,BP44,BP45,BP46,BP47)=0,"",SUM(BP41:BP48))</f>
        <v/>
      </c>
      <c r="BQ49" s="15" t="n">
        <f aca="false">SUM(BQ41:BQ48)</f>
        <v>100000</v>
      </c>
      <c r="BR49" s="15" t="n">
        <f aca="false">SUM(BR41:BR48)</f>
        <v>100000</v>
      </c>
      <c r="BS49" s="16" t="str">
        <f aca="false">IF(COUNT(BS41,BS42,BS43,BS44,BS45,BS46,BS47)=0,"",SUM(BS41:BS48))</f>
        <v/>
      </c>
      <c r="BT49" s="16" t="n">
        <f aca="false">SUM(BT41:BT48)</f>
        <v>100000</v>
      </c>
      <c r="BU49" s="16" t="n">
        <f aca="false">SUM(BU41:BU48)</f>
        <v>100000</v>
      </c>
      <c r="BV49" s="15" t="str">
        <f aca="false">IF(COUNT(BV41,BV42,BV43,BV44,BV45,BV46,BV47)=0,"",SUM(BV41:BV48))</f>
        <v/>
      </c>
      <c r="BW49" s="15" t="n">
        <f aca="false">SUM(BW41:BW48)</f>
        <v>100000</v>
      </c>
      <c r="BX49" s="15" t="n">
        <f aca="false">SUM(BX41:BX48)</f>
        <v>100000</v>
      </c>
      <c r="BY49" s="16" t="str">
        <f aca="false">IF(COUNT(BY41,BY42,BY43,BY44,BY45,BY46,BY47)=0,"",SUM(BY41:BY48))</f>
        <v/>
      </c>
      <c r="BZ49" s="16" t="n">
        <f aca="false">SUM(BZ41:BZ48)</f>
        <v>100000</v>
      </c>
      <c r="CA49" s="16" t="n">
        <f aca="false">SUM(CA41:CA48)</f>
        <v>100000</v>
      </c>
      <c r="CB49" s="15" t="str">
        <f aca="false">IF(COUNT(CB41,CB42,CB43,CB44,CB45,CB46,CB47)=0,"",SUM(CB41:CB48))</f>
        <v/>
      </c>
      <c r="CC49" s="15" t="n">
        <f aca="false">SUM(CC41:CC48)</f>
        <v>100000</v>
      </c>
      <c r="CD49" s="15" t="n">
        <f aca="false">SUM(CD41:CD48)</f>
        <v>100000</v>
      </c>
      <c r="CE49" s="16" t="str">
        <f aca="false">IF(COUNT(CE41,CE42,CE43,CE44,CE45,CE46,CE47)=0,"",SUM(CE41:CE48))</f>
        <v/>
      </c>
      <c r="CF49" s="16" t="n">
        <f aca="false">SUM(CF41:CF48)</f>
        <v>100000</v>
      </c>
      <c r="CG49" s="16" t="n">
        <f aca="false">SUM(CG41:CG48)</f>
        <v>100000</v>
      </c>
      <c r="CH49" s="15" t="str">
        <f aca="false">IF(COUNT(CH41,CH42,CH43,CH44,CH45,CH46,CH47)=0,"",SUM(CH41:CH48))</f>
        <v/>
      </c>
      <c r="CI49" s="15" t="n">
        <f aca="false">SUM(CI41:CI48)</f>
        <v>100000</v>
      </c>
      <c r="CJ49" s="15" t="n">
        <f aca="false">SUM(CJ41:CJ48)</f>
        <v>100000</v>
      </c>
      <c r="CK49" s="16" t="str">
        <f aca="false">IF(COUNT(CK41,CK42,CK43,CK44,CK45,CK46,CK47)=0,"",SUM(CK41:CK48))</f>
        <v/>
      </c>
      <c r="CL49" s="16" t="n">
        <f aca="false">SUM(CL41:CL48)</f>
        <v>100000</v>
      </c>
      <c r="CM49" s="16" t="n">
        <f aca="false">SUM(CM41:CM48)</f>
        <v>100000</v>
      </c>
      <c r="CN49" s="15" t="str">
        <f aca="false">IF(COUNT(CN41,CN42,CN43,CN44,CN45,CN46,CN47)=0,"",SUM(CN41:CN48))</f>
        <v/>
      </c>
      <c r="CO49" s="15" t="n">
        <f aca="false">SUM(CO41:CO48)</f>
        <v>100000</v>
      </c>
      <c r="CP49" s="15" t="n">
        <f aca="false">SUM(CP41:CP48)</f>
        <v>100000</v>
      </c>
      <c r="CQ49" s="16" t="str">
        <f aca="false">IF(COUNT(CQ41,CQ42,CQ43,CQ44,CQ45,CQ46,CQ47)=0,"",SUM(CQ41:CQ48))</f>
        <v/>
      </c>
      <c r="CR49" s="16" t="n">
        <f aca="false">SUM(CR41:CR48)</f>
        <v>100000</v>
      </c>
      <c r="CS49" s="16" t="n">
        <f aca="false">SUM(CS41:CS48)</f>
        <v>100000</v>
      </c>
      <c r="CT49" s="15" t="str">
        <f aca="false">IF(COUNT(CT41,CT42,CT43,CT44,CT45,CT46,CT47)=0,"",SUM(CT41:CT48))</f>
        <v/>
      </c>
      <c r="CU49" s="15" t="n">
        <f aca="false">SUM(CU41:CU48)</f>
        <v>100000</v>
      </c>
      <c r="CV49" s="15" t="n">
        <f aca="false">SUM(CV41:CV48)</f>
        <v>100000</v>
      </c>
      <c r="CW49" s="16" t="str">
        <f aca="false">IF(COUNT(CW41,CW42,CW43,CW44,CW45,CW46,CW47)=0,"",SUM(CW41:CW48))</f>
        <v/>
      </c>
      <c r="CX49" s="16" t="n">
        <f aca="false">SUM(CX41:CX48)</f>
        <v>100000</v>
      </c>
      <c r="CY49" s="16" t="n">
        <f aca="false">SUM(CY41:CY48)</f>
        <v>100000</v>
      </c>
      <c r="CZ49" s="15" t="str">
        <f aca="false">IF(COUNT(CZ41,CZ42,CZ43,CZ44,CZ45,CZ46,CZ47)=0,"",SUM(CZ41:CZ48))</f>
        <v/>
      </c>
      <c r="DA49" s="15" t="n">
        <f aca="false">SUM(DA41:DA48)</f>
        <v>100000</v>
      </c>
      <c r="DB49" s="15" t="n">
        <f aca="false">SUM(DB41:DB48)</f>
        <v>100000</v>
      </c>
      <c r="DC49" s="16" t="str">
        <f aca="false">IF(COUNT(DC41,DC42,DC43,DC44,DC45,DC46,DC47)=0,"",SUM(DC41:DC48))</f>
        <v/>
      </c>
      <c r="DD49" s="16" t="n">
        <f aca="false">SUM(DD41:DD48)</f>
        <v>100000</v>
      </c>
      <c r="DE49" s="16" t="n">
        <f aca="false">SUM(DE41:DE48)</f>
        <v>100000</v>
      </c>
      <c r="DF49" s="15" t="str">
        <f aca="false">IF(COUNT(DF41,DF42,DF43,DF44,DF45,DF46,DF47)=0,"",SUM(DF41:DF48))</f>
        <v/>
      </c>
      <c r="DG49" s="15" t="n">
        <f aca="false">SUM(DG41:DG48)</f>
        <v>100000</v>
      </c>
      <c r="DH49" s="15" t="n">
        <f aca="false">SUM(DH41:DH48)</f>
        <v>100000</v>
      </c>
      <c r="DI49" s="16" t="n">
        <f aca="false">IF(COUNT(DI41,DI42,DI43,DI44,DI45,DI46,DI47)=0,"",SUM(DI41:DI48))</f>
        <v>100000</v>
      </c>
      <c r="DJ49" s="16" t="n">
        <f aca="false">SUM(DJ41:DJ48)</f>
        <v>100000</v>
      </c>
      <c r="DK49" s="16" t="n">
        <f aca="false">SUM(DK41:DK48)</f>
        <v>100000</v>
      </c>
      <c r="DL49" s="15" t="n">
        <f aca="false">IF(COUNT(DL41,DL42,DL43,DL44,DL45,DL46,DL47)=0,"",SUM(DL41:DL48))</f>
        <v>100000</v>
      </c>
      <c r="DM49" s="15" t="n">
        <f aca="false">SUM(DM41:DM48)</f>
        <v>100000</v>
      </c>
      <c r="DN49" s="15" t="n">
        <f aca="false">SUM(DN41:DN48)</f>
        <v>100000</v>
      </c>
    </row>
    <row r="50" customFormat="false" ht="15.75" hidden="false" customHeight="true" outlineLevel="0" collapsed="false">
      <c r="A50" s="5" t="s">
        <v>187</v>
      </c>
      <c r="B50" s="23" t="str">
        <f aca="false">IF(K50&lt;&gt;"",K50,IF(N50&lt;&gt;"",N50,IF(Q50&lt;&gt;"",Q50,IF(T50&lt;&gt;"",T50,IF(W50&lt;&gt;"",W50,IF(Z50&lt;&gt;"",Z50,IF(AC50&lt;&gt;"",AC50,IF(AF50&lt;&gt;"",AF50,IF(AI50&lt;&gt;"",AI50,IF(AL50&lt;&gt;"",AL50,IF(AO50&lt;&gt;"",AO50,IF(AR50&lt;&gt;"",AR50,""))))))))))))</f>
        <v/>
      </c>
      <c r="C50" s="23" t="n">
        <f aca="false">IF(L50&lt;&gt;"",L50,IF(O50&lt;&gt;"",O50,IF(R50&lt;&gt;"",R50,IF(U50&lt;&gt;"",U50,IF(X50&lt;&gt;"",X50,IF(AA50&lt;&gt;"",AA50,IF(AD50&lt;&gt;"",AD50,IF(AG50&lt;&gt;"",AG50,IF(AJ50&lt;&gt;"",AJ50,IF(AM50&lt;&gt;"",AM50,IF(AP50&lt;&gt;"",AP50,IF(AS50&lt;&gt;"",AS50,""))))))))))))</f>
        <v>8</v>
      </c>
      <c r="D50" s="23" t="n">
        <f aca="false">IF(M50&lt;&gt;"",M50,IF(P50&lt;&gt;"",P50,IF(S50&lt;&gt;"",S50,IF(V50&lt;&gt;"",V50,IF(Y50&lt;&gt;"",Y50,IF(AB50&lt;&gt;"",AB50,IF(AE50&lt;&gt;"",AE50,IF(AH50&lt;&gt;"",AH50,IF(AK50&lt;&gt;"",AK50,IF(AN50&lt;&gt;"",AN50,IF(AQ50&lt;&gt;"",AQ50,IF(AT50&lt;&gt;"",AT50,""))))))))))))</f>
        <v>8</v>
      </c>
      <c r="E50" s="2" t="str">
        <f aca="false">IF(AU50&lt;&gt;"",AU50,IF(AX50&lt;&gt;"",AX50,IF(BA50&lt;&gt;"",BA50,IF(BD50&lt;&gt;"",BD50,IF(BG50&lt;&gt;"",BG50,IF(BJ50&lt;&gt;"",BJ50,IF(BM50&lt;&gt;"",BM50,IF(BP50&lt;&gt;"",BP50,IF(BS50&lt;&gt;"",BS50,IF(BV50&lt;&gt;"",BV50,IF(BY50&lt;&gt;"",BY50,IF(CB50&lt;&gt;"",CB50,""))))))))))))</f>
        <v/>
      </c>
      <c r="F50" s="2" t="n">
        <f aca="false">IF(AV50&lt;&gt;"",AV50,IF(AY50&lt;&gt;"",AY50,IF(BB50&lt;&gt;"",BB50,IF(BE50&lt;&gt;"",BE50,IF(BH50&lt;&gt;"",BH50,IF(BK50&lt;&gt;"",BK50,IF(BN50&lt;&gt;"",BN50,IF(BQ50&lt;&gt;"",BQ50,IF(BT50&lt;&gt;"",BT50,IF(BW50&lt;&gt;"",BW50,IF(BZ50&lt;&gt;"",BZ50,IF(CC50&lt;&gt;"",CC50,""))))))))))))</f>
        <v>8</v>
      </c>
      <c r="G50" s="2" t="n">
        <f aca="false">IF(AW50&lt;&gt;"",AW50,IF(AZ50&lt;&gt;"",AZ50,IF(BC50&lt;&gt;"",BC50,IF(BF50&lt;&gt;"",BF50,IF(BI50&lt;&gt;"",BI50,IF(BL50&lt;&gt;"",BL50,IF(BO50&lt;&gt;"",BO50,IF(BR50&lt;&gt;"",BR50,IF(BU50&lt;&gt;"",BU50,IF(BX50&lt;&gt;"",BX50,IF(CA50&lt;&gt;"",CA50,IF(CD50&lt;&gt;"",CD50,""))))))))))))</f>
        <v>8</v>
      </c>
      <c r="H50" s="23" t="n">
        <f aca="false">IF(CE50&lt;&gt;"",CE50,IF(CH50&lt;&gt;"",CH50,IF(CK50&lt;&gt;"",CK50,IF(CN50&lt;&gt;"",CN50,IF(CQ50&lt;&gt;"",CQ50,IF(CT50&lt;&gt;"",CT50,IF(CW50&lt;&gt;"",CW50,IF(CZ50&lt;&gt;"",CZ50,IF(DC50&lt;&gt;"",DC50,IF(DF50&lt;&gt;"",DF50,IF(DI50&lt;&gt;"",DI50,IF(DL50&lt;&gt;"",DL50,""))))))))))))</f>
        <v>7</v>
      </c>
      <c r="I50" s="23" t="n">
        <f aca="false">IF(CF50&lt;&gt;"",CF50,IF(CI50&lt;&gt;"",CI50,IF(CL50&lt;&gt;"",CL50,IF(CO50&lt;&gt;"",CO50,IF(CR50&lt;&gt;"",CR50,IF(CU50&lt;&gt;"",CU50,IF(CX50&lt;&gt;"",CX50,IF(DA50&lt;&gt;"",DA50,IF(DD50&lt;&gt;"",DD50,IF(DG50&lt;&gt;"",DG50,IF(DJ50&lt;&gt;"",DJ50,IF(DM50&lt;&gt;"",DM50,""))))))))))))</f>
        <v>7</v>
      </c>
      <c r="J50" s="23" t="n">
        <f aca="false">IF(CG50&lt;&gt;"",CG50,IF(CJ50&lt;&gt;"",CJ50,IF(CM50&lt;&gt;"",CM50,IF(CP50&lt;&gt;"",CP50,IF(CS50&lt;&gt;"",CS50,IF(CV50&lt;&gt;"",CV50,IF(CY50&lt;&gt;"",CY50,IF(DB50&lt;&gt;"",DB50,IF(DE50&lt;&gt;"",DE50,IF(DH50&lt;&gt;"",DH50,IF(DK50&lt;&gt;"",DK50,IF(DN50&lt;&gt;"",DN50,""))))))))))))</f>
        <v>7</v>
      </c>
      <c r="K50" s="2" t="str">
        <f aca="false">IF(COUNT(K41,K42,K43,K44,K45,K46,K47,K48)=0,"",COUNT(K41:K48))</f>
        <v/>
      </c>
      <c r="L50" s="2" t="n">
        <f aca="false">COUNT(L41:L48)</f>
        <v>8</v>
      </c>
      <c r="M50" s="2" t="n">
        <f aca="false">COUNT(M41:M48)</f>
        <v>8</v>
      </c>
      <c r="N50" s="23" t="str">
        <f aca="false">IF(COUNT(N41,N42,N43,N44,N45,N46,N47,N48)=0,"",COUNT(N41:N48))</f>
        <v/>
      </c>
      <c r="O50" s="23" t="n">
        <f aca="false">COUNT(O41:O48)</f>
        <v>8</v>
      </c>
      <c r="P50" s="23" t="n">
        <f aca="false">COUNT(P41:P48)</f>
        <v>8</v>
      </c>
      <c r="Q50" s="2" t="str">
        <f aca="false">IF(COUNT(Q41,Q42,Q43,Q44,Q45,Q46,Q47,Q48)=0,"",COUNT(Q41:Q48))</f>
        <v/>
      </c>
      <c r="R50" s="2" t="n">
        <f aca="false">COUNT(R41:R48)</f>
        <v>8</v>
      </c>
      <c r="S50" s="2" t="n">
        <f aca="false">COUNT(S41:S48)</f>
        <v>8</v>
      </c>
      <c r="T50" s="23" t="str">
        <f aca="false">IF(COUNT(T41,T42,T43,T44,T45,T46,T47,T48)=0,"",COUNT(T41:T48))</f>
        <v/>
      </c>
      <c r="U50" s="23" t="n">
        <f aca="false">COUNT(U41:U48)</f>
        <v>8</v>
      </c>
      <c r="V50" s="23" t="n">
        <f aca="false">COUNT(V41:V48)</f>
        <v>8</v>
      </c>
      <c r="W50" s="2" t="str">
        <f aca="false">IF(COUNT(W41,W42,W43,W44,W45,W46,W47,W48)=0,"",COUNT(W41:W48))</f>
        <v/>
      </c>
      <c r="X50" s="2" t="n">
        <f aca="false">COUNT(X41:X48)</f>
        <v>8</v>
      </c>
      <c r="Y50" s="2" t="n">
        <f aca="false">COUNT(Y41:Y48)</f>
        <v>8</v>
      </c>
      <c r="Z50" s="23" t="str">
        <f aca="false">IF(COUNT(Z41,Z42,Z43,Z44,Z45,Z46,Z47,Z48)=0,"",COUNT(Z41:Z48))</f>
        <v/>
      </c>
      <c r="AA50" s="23" t="n">
        <f aca="false">COUNT(AA41:AA48)</f>
        <v>8</v>
      </c>
      <c r="AB50" s="23" t="n">
        <f aca="false">COUNT(AB41:AB48)</f>
        <v>8</v>
      </c>
      <c r="AC50" s="2" t="str">
        <f aca="false">IF(COUNT(AC41,AC42,AC43,AC44,AC45,AC46,AC47,AC48)=0,"",COUNT(AC41:AC48))</f>
        <v/>
      </c>
      <c r="AD50" s="2" t="n">
        <f aca="false">COUNT(AD41:AD48)</f>
        <v>8</v>
      </c>
      <c r="AE50" s="2" t="n">
        <f aca="false">COUNT(AE41:AE48)</f>
        <v>8</v>
      </c>
      <c r="AF50" s="23" t="str">
        <f aca="false">IF(COUNT(AF41,AF42,AF43,AF44,AF45,AF46,AF47,AF48)=0,"",COUNT(AF41:AF48))</f>
        <v/>
      </c>
      <c r="AG50" s="23" t="n">
        <f aca="false">COUNT(AG41:AG48)</f>
        <v>8</v>
      </c>
      <c r="AH50" s="23" t="n">
        <f aca="false">COUNT(AH41:AH48)</f>
        <v>8</v>
      </c>
      <c r="AI50" s="2" t="str">
        <f aca="false">IF(COUNT(AI41,AI42,AI43,AI44,AI45,AI46,AI47,AI48)=0,"",COUNT(AI41:AI48))</f>
        <v/>
      </c>
      <c r="AJ50" s="2" t="n">
        <f aca="false">COUNT(AJ41:AJ48)</f>
        <v>8</v>
      </c>
      <c r="AK50" s="2" t="n">
        <f aca="false">COUNT(AK41:AK48)</f>
        <v>8</v>
      </c>
      <c r="AL50" s="23" t="str">
        <f aca="false">IF(COUNT(AL41,AL42,AL43,AL44,AL45,AL46,AL47,AL48)=0,"",COUNT(AL41:AL48))</f>
        <v/>
      </c>
      <c r="AM50" s="23" t="n">
        <f aca="false">COUNT(AM41:AM48)</f>
        <v>8</v>
      </c>
      <c r="AN50" s="23" t="n">
        <f aca="false">COUNT(AN41:AN48)</f>
        <v>8</v>
      </c>
      <c r="AO50" s="2" t="str">
        <f aca="false">IF(COUNT(AO41,AO42,AO43,AO44,AO45,AO46,AO47,AO48)=0,"",COUNT(AO41:AO48))</f>
        <v/>
      </c>
      <c r="AP50" s="2" t="n">
        <f aca="false">COUNT(AP41:AP48)</f>
        <v>8</v>
      </c>
      <c r="AQ50" s="2" t="n">
        <f aca="false">COUNT(AQ41:AQ48)</f>
        <v>8</v>
      </c>
      <c r="AR50" s="23" t="str">
        <f aca="false">IF(COUNT(AR41,AR42,AR43,AR44,AR45,AR46,AR47,AR48)=0,"",COUNT(AR41:AR48))</f>
        <v/>
      </c>
      <c r="AS50" s="23" t="n">
        <f aca="false">COUNT(AS41:AS48)</f>
        <v>8</v>
      </c>
      <c r="AT50" s="23" t="n">
        <f aca="false">COUNT(AT41:AT48)</f>
        <v>8</v>
      </c>
      <c r="AU50" s="2" t="str">
        <f aca="false">IF(COUNT(AU41,AU42,AU43,AU44,AU45,AU46,AU47,AU48)=0,"",COUNT(AU41:AU48))</f>
        <v/>
      </c>
      <c r="AV50" s="2" t="n">
        <f aca="false">COUNT(AV41:AV48)</f>
        <v>8</v>
      </c>
      <c r="AW50" s="2" t="n">
        <f aca="false">COUNT(AW41:AW48)</f>
        <v>8</v>
      </c>
      <c r="AX50" s="23" t="str">
        <f aca="false">IF(COUNT(AX41,AX42,AX43,AX44,AX45,AX46,AX47,AX48)=0,"",COUNT(AX41:AX48))</f>
        <v/>
      </c>
      <c r="AY50" s="23" t="n">
        <f aca="false">COUNT(AY41:AY48)</f>
        <v>8</v>
      </c>
      <c r="AZ50" s="23" t="n">
        <f aca="false">COUNT(AZ41:AZ48)</f>
        <v>8</v>
      </c>
      <c r="BA50" s="2" t="str">
        <f aca="false">IF(COUNT(BA41,BA42,BA43,BA44,BA45,BA46,BA47,BA48)=0,"",COUNT(BA41:BA48))</f>
        <v/>
      </c>
      <c r="BB50" s="2" t="n">
        <f aca="false">COUNT(BB41:BB48)</f>
        <v>8</v>
      </c>
      <c r="BC50" s="2" t="n">
        <f aca="false">COUNT(BC41:BC48)</f>
        <v>8</v>
      </c>
      <c r="BD50" s="23" t="str">
        <f aca="false">IF(COUNT(BD41,BD42,BD43,BD44,BD45,BD46,BD47,BD48)=0,"",COUNT(BD41:BD48))</f>
        <v/>
      </c>
      <c r="BE50" s="23" t="n">
        <f aca="false">COUNT(BE41:BE48)</f>
        <v>8</v>
      </c>
      <c r="BF50" s="23" t="n">
        <f aca="false">COUNT(BF41:BF48)</f>
        <v>8</v>
      </c>
      <c r="BG50" s="2" t="str">
        <f aca="false">IF(COUNT(BG41,BG42,BG43,BG44,BG45,BG46,BG47,BG48)=0,"",COUNT(BG41:BG48))</f>
        <v/>
      </c>
      <c r="BH50" s="2" t="n">
        <f aca="false">COUNT(BH41:BH48)</f>
        <v>8</v>
      </c>
      <c r="BI50" s="2" t="n">
        <f aca="false">COUNT(BI41:BI48)</f>
        <v>8</v>
      </c>
      <c r="BJ50" s="23" t="str">
        <f aca="false">IF(COUNT(BJ41,BJ42,BJ43,BJ44,BJ45,BJ46,BJ47,BJ48)=0,"",COUNT(BJ41:BJ48))</f>
        <v/>
      </c>
      <c r="BK50" s="23" t="n">
        <f aca="false">COUNT(BK41:BK48)</f>
        <v>8</v>
      </c>
      <c r="BL50" s="23" t="n">
        <f aca="false">COUNT(BL41:BL48)</f>
        <v>8</v>
      </c>
      <c r="BM50" s="2" t="str">
        <f aca="false">IF(COUNT(BM41,BM42,BM43,BM44,BM45,BM46,BM47,BM48)=0,"",COUNT(BM41:BM48))</f>
        <v/>
      </c>
      <c r="BN50" s="2" t="n">
        <f aca="false">COUNT(BN41:BN48)</f>
        <v>8</v>
      </c>
      <c r="BO50" s="2" t="n">
        <f aca="false">COUNT(BO41:BO48)</f>
        <v>8</v>
      </c>
      <c r="BP50" s="23" t="str">
        <f aca="false">IF(COUNT(BP41,BP42,BP43,BP44,BP45,BP46,BP47)=0,"",COUNT(BP41:BP48))</f>
        <v/>
      </c>
      <c r="BQ50" s="23" t="n">
        <f aca="false">COUNT(BQ41:BQ48)</f>
        <v>7</v>
      </c>
      <c r="BR50" s="23" t="n">
        <f aca="false">COUNT(BR41:BR48)</f>
        <v>7</v>
      </c>
      <c r="BS50" s="2" t="str">
        <f aca="false">IF(COUNT(BS41,BS42,BS43,BS44,BS45,BS46,BS47)=0,"",COUNT(BS41:BS48))</f>
        <v/>
      </c>
      <c r="BT50" s="2" t="n">
        <f aca="false">COUNT(BT41:BT48)</f>
        <v>7</v>
      </c>
      <c r="BU50" s="2" t="n">
        <f aca="false">COUNT(BU41:BU48)</f>
        <v>7</v>
      </c>
      <c r="BV50" s="23" t="str">
        <f aca="false">IF(COUNT(BV41,BV42,BV43,BV44,BV45,BV46,BV47)=0,"",COUNT(BV41:BV48))</f>
        <v/>
      </c>
      <c r="BW50" s="23" t="n">
        <f aca="false">COUNT(BW41:BW48)</f>
        <v>7</v>
      </c>
      <c r="BX50" s="23" t="n">
        <f aca="false">COUNT(BX41:BX48)</f>
        <v>7</v>
      </c>
      <c r="BY50" s="2" t="str">
        <f aca="false">IF(COUNT(BY41,BY42,BY43,BY44,BY45,BY46,BY47)=0,"",COUNT(BY41:BY48))</f>
        <v/>
      </c>
      <c r="BZ50" s="2" t="n">
        <f aca="false">COUNT(BZ41:BZ48)</f>
        <v>7</v>
      </c>
      <c r="CA50" s="2" t="n">
        <f aca="false">COUNT(CA41:CA48)</f>
        <v>7</v>
      </c>
      <c r="CB50" s="23" t="str">
        <f aca="false">IF(COUNT(CB41,CB42,CB43,CB44,CB45,CB46,CB47)=0,"",COUNT(CB41:CB48))</f>
        <v/>
      </c>
      <c r="CC50" s="23" t="n">
        <f aca="false">COUNT(CC41:CC48)</f>
        <v>7</v>
      </c>
      <c r="CD50" s="23" t="n">
        <f aca="false">COUNT(CD41:CD48)</f>
        <v>7</v>
      </c>
      <c r="CE50" s="2" t="str">
        <f aca="false">IF(COUNT(CE41,CE42,CE43,CE44,CE45,CE46,CE47)=0,"",COUNT(CE41:CE48))</f>
        <v/>
      </c>
      <c r="CF50" s="2" t="n">
        <f aca="false">COUNT(CF41:CF48)</f>
        <v>7</v>
      </c>
      <c r="CG50" s="2" t="n">
        <f aca="false">COUNT(CG41:CG48)</f>
        <v>7</v>
      </c>
      <c r="CH50" s="23" t="str">
        <f aca="false">IF(COUNT(CH41,CH42,CH43,CH44,CH45,CH46,CH47)=0,"",COUNT(CH41:CH48))</f>
        <v/>
      </c>
      <c r="CI50" s="23" t="n">
        <f aca="false">COUNT(CI41:CI48)</f>
        <v>7</v>
      </c>
      <c r="CJ50" s="23" t="n">
        <f aca="false">COUNT(CJ41:CJ48)</f>
        <v>7</v>
      </c>
      <c r="CK50" s="2" t="str">
        <f aca="false">IF(COUNT(CK41,CK42,CK43,CK44,CK45,CK46,CK47)=0,"",COUNT(CK41:CK48))</f>
        <v/>
      </c>
      <c r="CL50" s="2" t="n">
        <f aca="false">COUNT(CL41:CL48)</f>
        <v>7</v>
      </c>
      <c r="CM50" s="2" t="n">
        <f aca="false">COUNT(CM41:CM48)</f>
        <v>7</v>
      </c>
      <c r="CN50" s="23" t="str">
        <f aca="false">IF(COUNT(CN41,CN42,CN43,CN44,CN45,CN46,CN47)=0,"",COUNT(CN41:CN48))</f>
        <v/>
      </c>
      <c r="CO50" s="23" t="n">
        <f aca="false">COUNT(CO41:CO48)</f>
        <v>7</v>
      </c>
      <c r="CP50" s="23" t="n">
        <f aca="false">COUNT(CP41:CP48)</f>
        <v>7</v>
      </c>
      <c r="CQ50" s="2" t="str">
        <f aca="false">IF(COUNT(CQ41,CQ42,CQ43,CQ44,CQ45,CQ46,CQ47)=0,"",COUNT(CQ41:CQ48))</f>
        <v/>
      </c>
      <c r="CR50" s="2" t="n">
        <f aca="false">COUNT(CR41:CR48)</f>
        <v>7</v>
      </c>
      <c r="CS50" s="2" t="n">
        <f aca="false">COUNT(CS41:CS48)</f>
        <v>7</v>
      </c>
      <c r="CT50" s="23" t="str">
        <f aca="false">IF(COUNT(CT41,CT42,CT43,CT44,CT45,CT46,CT47)=0,"",COUNT(CT41:CT48))</f>
        <v/>
      </c>
      <c r="CU50" s="23" t="n">
        <f aca="false">COUNT(CU41:CU48)</f>
        <v>7</v>
      </c>
      <c r="CV50" s="23" t="n">
        <f aca="false">COUNT(CV41:CV48)</f>
        <v>7</v>
      </c>
      <c r="CW50" s="2" t="str">
        <f aca="false">IF(COUNT(CW41,CW42,CW43,CW44,CW45,CW46,CW47)=0,"",COUNT(CW41:CW48))</f>
        <v/>
      </c>
      <c r="CX50" s="2" t="n">
        <f aca="false">COUNT(CX41:CX48)</f>
        <v>7</v>
      </c>
      <c r="CY50" s="2" t="n">
        <f aca="false">COUNT(CY41:CY48)</f>
        <v>7</v>
      </c>
      <c r="CZ50" s="23" t="str">
        <f aca="false">IF(COUNT(CZ41,CZ42,CZ43,CZ44,CZ45,CZ46,CZ47)=0,"",COUNT(CZ41:CZ48))</f>
        <v/>
      </c>
      <c r="DA50" s="23" t="n">
        <f aca="false">COUNT(DA41:DA48)</f>
        <v>7</v>
      </c>
      <c r="DB50" s="23" t="n">
        <f aca="false">COUNT(DB41:DB48)</f>
        <v>7</v>
      </c>
      <c r="DC50" s="2" t="str">
        <f aca="false">IF(COUNT(DC41,DC42,DC43,DC44,DC45,DC46,DC47)=0,"",COUNT(DC41:DC48))</f>
        <v/>
      </c>
      <c r="DD50" s="2" t="n">
        <f aca="false">COUNT(DD41:DD48)</f>
        <v>7</v>
      </c>
      <c r="DE50" s="2" t="n">
        <f aca="false">COUNT(DE41:DE48)</f>
        <v>7</v>
      </c>
      <c r="DF50" s="23" t="str">
        <f aca="false">IF(COUNT(DF41,DF42,DF43,DF44,DF45,DF46,DF47)=0,"",COUNT(DF41:DF48))</f>
        <v/>
      </c>
      <c r="DG50" s="23" t="n">
        <f aca="false">COUNT(DG41:DG48)</f>
        <v>7</v>
      </c>
      <c r="DH50" s="23" t="n">
        <f aca="false">COUNT(DH41:DH48)</f>
        <v>7</v>
      </c>
      <c r="DI50" s="2" t="n">
        <f aca="false">IF(COUNT(DI41,DI42,DI43,DI44,DI45,DI46,DI47)=0,"",COUNT(DI41:DI48))</f>
        <v>7</v>
      </c>
      <c r="DJ50" s="2" t="n">
        <f aca="false">COUNT(DJ41:DJ48)</f>
        <v>7</v>
      </c>
      <c r="DK50" s="2" t="n">
        <f aca="false">COUNT(DK41:DK48)</f>
        <v>7</v>
      </c>
      <c r="DL50" s="23" t="n">
        <f aca="false">IF(COUNT(DL41,DL42,DL43,DL44,DL45,DL46,DL47)=0,"",COUNT(DL41:DL48))</f>
        <v>7</v>
      </c>
      <c r="DM50" s="23" t="n">
        <f aca="false">COUNT(DM41:DM48)</f>
        <v>7</v>
      </c>
      <c r="DN50" s="23" t="n">
        <f aca="false">COUNT(DN41:DN48)</f>
        <v>7</v>
      </c>
    </row>
    <row r="51" customFormat="false" ht="15.75" hidden="false" customHeight="true" outlineLevel="0" collapsed="false">
      <c r="A51" s="145" t="s">
        <v>303</v>
      </c>
      <c r="B51" s="146" t="str">
        <f aca="false">IF(COUNT(AR51,AO51,AL51,AI51,AF51,AC51,Z51,W51,T51,Q51,N51,K51)=0,"",SUM(AR51,AO51,AL51,AI51,AF51,AC51,Z51,W51,T51,Q51,N51,K51))</f>
        <v/>
      </c>
      <c r="C51" s="146" t="n">
        <f aca="false">SUM(AS51,AP51,AM51,AJ51,AG51,AD51,AA51,X51,U51,R51,O51,L51)</f>
        <v>0</v>
      </c>
      <c r="D51" s="146" t="n">
        <f aca="false">SUM(AT51,AQ51,AN51,AK51,AH51,AE51,AB51,Y51,V51,S51,P51,M51)</f>
        <v>0</v>
      </c>
      <c r="E51" s="146" t="str">
        <f aca="false">IF(COUNT(CB51,BY51,BV51,BS51,BP51,BM51,BJ51,BG51,BD51,BA51,AX51,AU51)=0,"",SUM(CB51,BY51,BV51,BS51,BP51,BM51,BJ51,BG51,BD51,BA51,AX51,AU51))</f>
        <v/>
      </c>
      <c r="F51" s="146" t="n">
        <f aca="false">SUM(CC51,BZ51,BW51,BT51,BQ51,BN51,BK51,BH51,BE51,BB51,AY51,AV51)</f>
        <v>0</v>
      </c>
      <c r="G51" s="146" t="n">
        <f aca="false">SUM(CD51,CA51,BX51,BU51,BR51,BO51,BL51,BI51,BF51,BC51,AZ51,AW51)</f>
        <v>0</v>
      </c>
      <c r="H51" s="146" t="n">
        <f aca="false">IF(COUNT(DL51,DI51,DF51,DC51,CZ51,CW51,CT51,CQ51,CN51,CK51,CH51,CE51)=0,"",SUM(DL51,DI51,DF51,DC51,CZ51,CW51,CT51,CQ51,CN51,CK51,CH51,CE51))</f>
        <v>0</v>
      </c>
      <c r="I51" s="146" t="n">
        <f aca="false">SUM(DM51,DJ51,DG51,DD51,DA51,CX51,CU51,CR51,CO51,CL51,CI51,CF51)</f>
        <v>0</v>
      </c>
      <c r="J51" s="146" t="n">
        <f aca="false">SUM(DN51,DK51,DH51,DE51,DB51,CY51,CV51,CS51,CP51,CM51,CJ51,CG51)</f>
        <v>0</v>
      </c>
      <c r="K51" s="147"/>
      <c r="L51" s="146" t="n">
        <f aca="false">IF('Cash Drivers'!L$26,K51,M51)</f>
        <v>0</v>
      </c>
      <c r="M51" s="148" t="n">
        <v>0</v>
      </c>
      <c r="N51" s="147"/>
      <c r="O51" s="146" t="n">
        <f aca="false">IF('Cash Drivers'!O$26,N51,P51)</f>
        <v>0</v>
      </c>
      <c r="P51" s="148" t="n">
        <v>0</v>
      </c>
      <c r="Q51" s="147"/>
      <c r="R51" s="146" t="n">
        <f aca="false">IF('Cash Drivers'!R$26,Q51,S51)</f>
        <v>0</v>
      </c>
      <c r="S51" s="148" t="n">
        <v>0</v>
      </c>
      <c r="T51" s="147"/>
      <c r="U51" s="146" t="n">
        <f aca="false">IF('Cash Drivers'!U$26,T51,V51)</f>
        <v>0</v>
      </c>
      <c r="V51" s="148" t="n">
        <v>0</v>
      </c>
      <c r="W51" s="147"/>
      <c r="X51" s="146" t="n">
        <f aca="false">IF('Cash Drivers'!X$26,W51,Y51)</f>
        <v>0</v>
      </c>
      <c r="Y51" s="148" t="n">
        <v>0</v>
      </c>
      <c r="Z51" s="147"/>
      <c r="AA51" s="146" t="n">
        <f aca="false">IF('Cash Drivers'!AA$26,Z51,AB51)</f>
        <v>0</v>
      </c>
      <c r="AB51" s="148" t="n">
        <v>0</v>
      </c>
      <c r="AC51" s="147"/>
      <c r="AD51" s="146" t="n">
        <f aca="false">IF('Cash Drivers'!AD$26,AC51,AE51)</f>
        <v>0</v>
      </c>
      <c r="AE51" s="148" t="n">
        <v>0</v>
      </c>
      <c r="AF51" s="147"/>
      <c r="AG51" s="146" t="n">
        <f aca="false">IF('Cash Drivers'!AG$26,AF51,AH51)</f>
        <v>0</v>
      </c>
      <c r="AH51" s="148" t="n">
        <v>0</v>
      </c>
      <c r="AI51" s="147"/>
      <c r="AJ51" s="146" t="n">
        <f aca="false">IF('Cash Drivers'!AJ$26,AI51,AK51)</f>
        <v>0</v>
      </c>
      <c r="AK51" s="148" t="n">
        <v>0</v>
      </c>
      <c r="AL51" s="147"/>
      <c r="AM51" s="146" t="n">
        <f aca="false">IF('Cash Drivers'!AM$26,AL51,AN51)</f>
        <v>0</v>
      </c>
      <c r="AN51" s="148" t="n">
        <v>0</v>
      </c>
      <c r="AO51" s="147"/>
      <c r="AP51" s="146" t="n">
        <f aca="false">IF('Cash Drivers'!AP$26,AO51,AQ51)</f>
        <v>0</v>
      </c>
      <c r="AQ51" s="148" t="n">
        <v>0</v>
      </c>
      <c r="AR51" s="147"/>
      <c r="AS51" s="146" t="n">
        <f aca="false">IF('Cash Drivers'!AS$26,AR51,AT51)</f>
        <v>0</v>
      </c>
      <c r="AT51" s="148" t="n">
        <v>0</v>
      </c>
      <c r="AU51" s="147"/>
      <c r="AV51" s="146" t="n">
        <f aca="false">IF('Cash Drivers'!AV$26,AU51,AW51)</f>
        <v>0</v>
      </c>
      <c r="AW51" s="148" t="n">
        <v>0</v>
      </c>
      <c r="AX51" s="147"/>
      <c r="AY51" s="146" t="n">
        <f aca="false">IF('Cash Drivers'!AY$26,AX51,AZ51)</f>
        <v>0</v>
      </c>
      <c r="AZ51" s="148" t="n">
        <v>0</v>
      </c>
      <c r="BA51" s="147"/>
      <c r="BB51" s="146" t="n">
        <f aca="false">IF('Cash Drivers'!BB$26,BA51,BC51)</f>
        <v>0</v>
      </c>
      <c r="BC51" s="148" t="n">
        <v>0</v>
      </c>
      <c r="BD51" s="147"/>
      <c r="BE51" s="146" t="n">
        <f aca="false">IF('Cash Drivers'!BE$26,BD51,BF51)</f>
        <v>0</v>
      </c>
      <c r="BF51" s="148" t="n">
        <v>0</v>
      </c>
      <c r="BG51" s="147"/>
      <c r="BH51" s="146" t="n">
        <f aca="false">IF('Cash Drivers'!BH$26,BG51,BI51)</f>
        <v>0</v>
      </c>
      <c r="BI51" s="148" t="n">
        <v>0</v>
      </c>
      <c r="BJ51" s="147"/>
      <c r="BK51" s="146" t="n">
        <f aca="false">IF('Cash Drivers'!BK$26,BJ51,BL51)</f>
        <v>0</v>
      </c>
      <c r="BL51" s="148" t="n">
        <v>0</v>
      </c>
      <c r="BM51" s="147"/>
      <c r="BN51" s="146" t="n">
        <f aca="false">IF('Cash Drivers'!BN$26,BM51,BO51)</f>
        <v>0</v>
      </c>
      <c r="BO51" s="148" t="n">
        <v>0</v>
      </c>
      <c r="BP51" s="147"/>
      <c r="BQ51" s="146" t="n">
        <f aca="false">IF('Cash Drivers'!BQ$26,BP51,BR51)</f>
        <v>0</v>
      </c>
      <c r="BR51" s="148" t="n">
        <v>0</v>
      </c>
      <c r="BS51" s="147"/>
      <c r="BT51" s="146" t="n">
        <f aca="false">IF('Cash Drivers'!BT$26,BS51,BU51)</f>
        <v>0</v>
      </c>
      <c r="BU51" s="148" t="n">
        <v>0</v>
      </c>
      <c r="BV51" s="147"/>
      <c r="BW51" s="146" t="n">
        <f aca="false">IF('Cash Drivers'!BW$26,BV51,BX51)</f>
        <v>0</v>
      </c>
      <c r="BX51" s="148" t="n">
        <v>0</v>
      </c>
      <c r="BY51" s="147"/>
      <c r="BZ51" s="146" t="n">
        <f aca="false">IF('Cash Drivers'!BZ$26,BY51,CA51)</f>
        <v>0</v>
      </c>
      <c r="CA51" s="148" t="n">
        <v>0</v>
      </c>
      <c r="CB51" s="147"/>
      <c r="CC51" s="146" t="n">
        <f aca="false">IF('Cash Drivers'!CC$26,CB51,CD51)</f>
        <v>0</v>
      </c>
      <c r="CD51" s="148" t="n">
        <v>0</v>
      </c>
      <c r="CE51" s="147"/>
      <c r="CF51" s="146" t="n">
        <f aca="false">IF('Cash Drivers'!CF$26,CE51,CG51)</f>
        <v>0</v>
      </c>
      <c r="CG51" s="148" t="n">
        <v>0</v>
      </c>
      <c r="CH51" s="147"/>
      <c r="CI51" s="146" t="n">
        <f aca="false">IF('Cash Drivers'!CI$26,CH51,CJ51)</f>
        <v>0</v>
      </c>
      <c r="CJ51" s="148" t="n">
        <v>0</v>
      </c>
      <c r="CK51" s="147"/>
      <c r="CL51" s="146" t="n">
        <f aca="false">IF('Cash Drivers'!CL$26,CK51,CM51)</f>
        <v>0</v>
      </c>
      <c r="CM51" s="148" t="n">
        <v>0</v>
      </c>
      <c r="CN51" s="147"/>
      <c r="CO51" s="146" t="n">
        <f aca="false">IF('Cash Drivers'!CO$26,CN51,CP51)</f>
        <v>0</v>
      </c>
      <c r="CP51" s="148" t="n">
        <v>0</v>
      </c>
      <c r="CQ51" s="147"/>
      <c r="CR51" s="146" t="n">
        <f aca="false">IF('Cash Drivers'!CR$26,CQ51,CS51)</f>
        <v>0</v>
      </c>
      <c r="CS51" s="148" t="n">
        <v>0</v>
      </c>
      <c r="CT51" s="147"/>
      <c r="CU51" s="146" t="n">
        <f aca="false">IF('Cash Drivers'!CU$26,CT51,CV51)</f>
        <v>0</v>
      </c>
      <c r="CV51" s="148" t="n">
        <v>0</v>
      </c>
      <c r="CW51" s="147"/>
      <c r="CX51" s="146" t="n">
        <f aca="false">IF('Cash Drivers'!CX$26,CW51,CY51)</f>
        <v>0</v>
      </c>
      <c r="CY51" s="148" t="n">
        <v>0</v>
      </c>
      <c r="CZ51" s="147"/>
      <c r="DA51" s="146" t="n">
        <f aca="false">IF('Cash Drivers'!DA$26,CZ51,DB51)</f>
        <v>0</v>
      </c>
      <c r="DB51" s="148" t="n">
        <v>0</v>
      </c>
      <c r="DC51" s="147"/>
      <c r="DD51" s="146" t="n">
        <f aca="false">IF('Cash Drivers'!DD$26,DC51,DE51)</f>
        <v>0</v>
      </c>
      <c r="DE51" s="148" t="n">
        <v>0</v>
      </c>
      <c r="DF51" s="147"/>
      <c r="DG51" s="146" t="n">
        <f aca="false">IF('Cash Drivers'!DG$26,DF51,DH51)</f>
        <v>0</v>
      </c>
      <c r="DH51" s="148" t="n">
        <v>0</v>
      </c>
      <c r="DI51" s="148" t="n">
        <v>0</v>
      </c>
      <c r="DJ51" s="146" t="n">
        <f aca="false">IF('Cash Drivers'!DJ$26,DI51,DK51)</f>
        <v>0</v>
      </c>
      <c r="DK51" s="148" t="n">
        <v>0</v>
      </c>
      <c r="DL51" s="148" t="n">
        <v>0</v>
      </c>
      <c r="DM51" s="146" t="n">
        <f aca="false">IF('Cash Drivers'!DM$26,DL51,DN51)</f>
        <v>0</v>
      </c>
      <c r="DN51" s="148" t="n">
        <v>0</v>
      </c>
    </row>
    <row r="52" customFormat="false" ht="15.75" hidden="false" customHeight="true" outlineLevel="0" collapsed="false">
      <c r="A52" s="145" t="s">
        <v>304</v>
      </c>
      <c r="B52" s="146" t="str">
        <f aca="false">IF(COUNT(AR52,AO52,AL52,AI52,AF52,AC52,Z52,W52,T52,Q52,N52,K52)=0,"",SUM(AR52,AO52,AL52,AI52,AF52,AC52,Z52,W52,T52,Q52,N52,K52))</f>
        <v/>
      </c>
      <c r="C52" s="146" t="n">
        <f aca="false">SUM(AS52,AP52,AM52,AJ52,AG52,AD52,AA52,X52,U52,R52,O52,L52)</f>
        <v>0</v>
      </c>
      <c r="D52" s="146" t="n">
        <f aca="false">SUM(AT52,AQ52,AN52,AK52,AH52,AE52,AB52,Y52,V52,S52,P52,M52)</f>
        <v>0</v>
      </c>
      <c r="E52" s="146" t="str">
        <f aca="false">IF(COUNT(CB52,BY52,BV52,BS52,BP52,BM52,BJ52,BG52,BD52,BA52,AX52,AU52)=0,"",SUM(CB52,BY52,BV52,BS52,BP52,BM52,BJ52,BG52,BD52,BA52,AX52,AU52))</f>
        <v/>
      </c>
      <c r="F52" s="146" t="n">
        <f aca="false">SUM(CC52,BZ52,BW52,BT52,BQ52,BN52,BK52,BH52,BE52,BB52,AY52,AV52)</f>
        <v>0</v>
      </c>
      <c r="G52" s="146" t="n">
        <f aca="false">SUM(CD52,CA52,BX52,BU52,BR52,BO52,BL52,BI52,BF52,BC52,AZ52,AW52)</f>
        <v>0</v>
      </c>
      <c r="H52" s="146" t="n">
        <f aca="false">IF(COUNT(DL52,DI52,DF52,DC52,CZ52,CW52,CT52,CQ52,CN52,CK52,CH52,CE52)=0,"",SUM(DL52,DI52,DF52,DC52,CZ52,CW52,CT52,CQ52,CN52,CK52,CH52,CE52))</f>
        <v>0</v>
      </c>
      <c r="I52" s="146" t="n">
        <f aca="false">SUM(DM52,DJ52,DG52,DD52,DA52,CX52,CU52,CR52,CO52,CL52,CI52,CF52)</f>
        <v>0</v>
      </c>
      <c r="J52" s="146" t="n">
        <f aca="false">SUM(DN52,DK52,DH52,DE52,DB52,CY52,CV52,CS52,CP52,CM52,CJ52,CG52)</f>
        <v>0</v>
      </c>
      <c r="K52" s="147"/>
      <c r="L52" s="146" t="n">
        <f aca="false">IF('Cash Drivers'!L$26,K52,M52)</f>
        <v>0</v>
      </c>
      <c r="M52" s="148" t="n">
        <v>0</v>
      </c>
      <c r="N52" s="147"/>
      <c r="O52" s="146" t="n">
        <f aca="false">IF('Cash Drivers'!O$26,N52,P52)</f>
        <v>0</v>
      </c>
      <c r="P52" s="148" t="n">
        <v>0</v>
      </c>
      <c r="Q52" s="147"/>
      <c r="R52" s="146" t="n">
        <f aca="false">IF('Cash Drivers'!R$26,Q52,S52)</f>
        <v>0</v>
      </c>
      <c r="S52" s="148" t="n">
        <v>0</v>
      </c>
      <c r="T52" s="147"/>
      <c r="U52" s="146" t="n">
        <f aca="false">IF('Cash Drivers'!U$26,T52,V52)</f>
        <v>0</v>
      </c>
      <c r="V52" s="148" t="n">
        <v>0</v>
      </c>
      <c r="W52" s="147"/>
      <c r="X52" s="146" t="n">
        <f aca="false">IF('Cash Drivers'!X$26,W52,Y52)</f>
        <v>0</v>
      </c>
      <c r="Y52" s="148" t="n">
        <v>0</v>
      </c>
      <c r="Z52" s="147"/>
      <c r="AA52" s="146" t="n">
        <f aca="false">IF('Cash Drivers'!AA$26,Z52,AB52)</f>
        <v>0</v>
      </c>
      <c r="AB52" s="148" t="n">
        <v>0</v>
      </c>
      <c r="AC52" s="147"/>
      <c r="AD52" s="146" t="n">
        <f aca="false">IF('Cash Drivers'!AD$26,AC52,AE52)</f>
        <v>0</v>
      </c>
      <c r="AE52" s="148" t="n">
        <v>0</v>
      </c>
      <c r="AF52" s="147"/>
      <c r="AG52" s="146" t="n">
        <f aca="false">IF('Cash Drivers'!AG$26,AF52,AH52)</f>
        <v>0</v>
      </c>
      <c r="AH52" s="148" t="n">
        <v>0</v>
      </c>
      <c r="AI52" s="147"/>
      <c r="AJ52" s="146" t="n">
        <f aca="false">IF('Cash Drivers'!AJ$26,AI52,AK52)</f>
        <v>0</v>
      </c>
      <c r="AK52" s="148" t="n">
        <v>0</v>
      </c>
      <c r="AL52" s="147"/>
      <c r="AM52" s="146" t="n">
        <f aca="false">IF('Cash Drivers'!AM$26,AL52,AN52)</f>
        <v>0</v>
      </c>
      <c r="AN52" s="148" t="n">
        <v>0</v>
      </c>
      <c r="AO52" s="147"/>
      <c r="AP52" s="146" t="n">
        <f aca="false">IF('Cash Drivers'!AP$26,AO52,AQ52)</f>
        <v>0</v>
      </c>
      <c r="AQ52" s="148" t="n">
        <v>0</v>
      </c>
      <c r="AR52" s="147"/>
      <c r="AS52" s="146" t="n">
        <f aca="false">IF('Cash Drivers'!AS$26,AR52,AT52)</f>
        <v>0</v>
      </c>
      <c r="AT52" s="148" t="n">
        <v>0</v>
      </c>
      <c r="AU52" s="147"/>
      <c r="AV52" s="146" t="n">
        <f aca="false">IF('Cash Drivers'!AV$26,AU52,AW52)</f>
        <v>0</v>
      </c>
      <c r="AW52" s="148" t="n">
        <v>0</v>
      </c>
      <c r="AX52" s="147"/>
      <c r="AY52" s="146" t="n">
        <f aca="false">IF('Cash Drivers'!AY$26,AX52,AZ52)</f>
        <v>0</v>
      </c>
      <c r="AZ52" s="148" t="n">
        <v>0</v>
      </c>
      <c r="BA52" s="147"/>
      <c r="BB52" s="146" t="n">
        <f aca="false">IF('Cash Drivers'!BB$26,BA52,BC52)</f>
        <v>0</v>
      </c>
      <c r="BC52" s="148" t="n">
        <v>0</v>
      </c>
      <c r="BD52" s="147"/>
      <c r="BE52" s="146" t="n">
        <f aca="false">IF('Cash Drivers'!BE$26,BD52,BF52)</f>
        <v>0</v>
      </c>
      <c r="BF52" s="148" t="n">
        <v>0</v>
      </c>
      <c r="BG52" s="147"/>
      <c r="BH52" s="146" t="n">
        <f aca="false">IF('Cash Drivers'!BH$26,BG52,BI52)</f>
        <v>0</v>
      </c>
      <c r="BI52" s="148" t="n">
        <v>0</v>
      </c>
      <c r="BJ52" s="147"/>
      <c r="BK52" s="146" t="n">
        <f aca="false">IF('Cash Drivers'!BK$26,BJ52,BL52)</f>
        <v>0</v>
      </c>
      <c r="BL52" s="148" t="n">
        <v>0</v>
      </c>
      <c r="BM52" s="147"/>
      <c r="BN52" s="146" t="n">
        <f aca="false">IF('Cash Drivers'!BN$26,BM52,BO52)</f>
        <v>0</v>
      </c>
      <c r="BO52" s="148" t="n">
        <v>0</v>
      </c>
      <c r="BP52" s="147"/>
      <c r="BQ52" s="146" t="n">
        <f aca="false">IF('Cash Drivers'!BQ$26,BP52,BR52)</f>
        <v>0</v>
      </c>
      <c r="BR52" s="148" t="n">
        <v>0</v>
      </c>
      <c r="BS52" s="147"/>
      <c r="BT52" s="146" t="n">
        <f aca="false">IF('Cash Drivers'!BT$26,BS52,BU52)</f>
        <v>0</v>
      </c>
      <c r="BU52" s="148" t="n">
        <v>0</v>
      </c>
      <c r="BV52" s="147"/>
      <c r="BW52" s="146" t="n">
        <f aca="false">IF('Cash Drivers'!BW$26,BV52,BX52)</f>
        <v>0</v>
      </c>
      <c r="BX52" s="148" t="n">
        <v>0</v>
      </c>
      <c r="BY52" s="147"/>
      <c r="BZ52" s="146" t="n">
        <f aca="false">IF('Cash Drivers'!BZ$26,BY52,CA52)</f>
        <v>0</v>
      </c>
      <c r="CA52" s="148" t="n">
        <v>0</v>
      </c>
      <c r="CB52" s="147"/>
      <c r="CC52" s="146" t="n">
        <f aca="false">IF('Cash Drivers'!CC$26,CB52,CD52)</f>
        <v>0</v>
      </c>
      <c r="CD52" s="148" t="n">
        <v>0</v>
      </c>
      <c r="CE52" s="147"/>
      <c r="CF52" s="146" t="n">
        <f aca="false">IF('Cash Drivers'!CF$26,CE52,CG52)</f>
        <v>0</v>
      </c>
      <c r="CG52" s="148" t="n">
        <v>0</v>
      </c>
      <c r="CH52" s="147"/>
      <c r="CI52" s="146" t="n">
        <f aca="false">IF('Cash Drivers'!CI$26,CH52,CJ52)</f>
        <v>0</v>
      </c>
      <c r="CJ52" s="148" t="n">
        <v>0</v>
      </c>
      <c r="CK52" s="147"/>
      <c r="CL52" s="146" t="n">
        <f aca="false">IF('Cash Drivers'!CL$26,CK52,CM52)</f>
        <v>0</v>
      </c>
      <c r="CM52" s="148" t="n">
        <v>0</v>
      </c>
      <c r="CN52" s="147"/>
      <c r="CO52" s="146" t="n">
        <f aca="false">IF('Cash Drivers'!CO$26,CN52,CP52)</f>
        <v>0</v>
      </c>
      <c r="CP52" s="148" t="n">
        <v>0</v>
      </c>
      <c r="CQ52" s="147"/>
      <c r="CR52" s="146" t="n">
        <f aca="false">IF('Cash Drivers'!CR$26,CQ52,CS52)</f>
        <v>0</v>
      </c>
      <c r="CS52" s="148" t="n">
        <v>0</v>
      </c>
      <c r="CT52" s="147"/>
      <c r="CU52" s="146" t="n">
        <f aca="false">IF('Cash Drivers'!CU$26,CT52,CV52)</f>
        <v>0</v>
      </c>
      <c r="CV52" s="148" t="n">
        <v>0</v>
      </c>
      <c r="CW52" s="147"/>
      <c r="CX52" s="146" t="n">
        <f aca="false">IF('Cash Drivers'!CX$26,CW52,CY52)</f>
        <v>0</v>
      </c>
      <c r="CY52" s="148" t="n">
        <v>0</v>
      </c>
      <c r="CZ52" s="147"/>
      <c r="DA52" s="146" t="n">
        <f aca="false">IF('Cash Drivers'!DA$26,CZ52,DB52)</f>
        <v>0</v>
      </c>
      <c r="DB52" s="148" t="n">
        <v>0</v>
      </c>
      <c r="DC52" s="147"/>
      <c r="DD52" s="146" t="n">
        <f aca="false">IF('Cash Drivers'!DD$26,DC52,DE52)</f>
        <v>0</v>
      </c>
      <c r="DE52" s="148" t="n">
        <v>0</v>
      </c>
      <c r="DF52" s="147"/>
      <c r="DG52" s="146" t="n">
        <f aca="false">IF('Cash Drivers'!DG$26,DF52,DH52)</f>
        <v>0</v>
      </c>
      <c r="DH52" s="148" t="n">
        <v>0</v>
      </c>
      <c r="DI52" s="148" t="n">
        <v>0</v>
      </c>
      <c r="DJ52" s="146" t="n">
        <f aca="false">IF('Cash Drivers'!DJ$26,DI52,DK52)</f>
        <v>0</v>
      </c>
      <c r="DK52" s="148" t="n">
        <v>0</v>
      </c>
      <c r="DL52" s="148" t="n">
        <v>0</v>
      </c>
      <c r="DM52" s="146" t="n">
        <f aca="false">IF('Cash Drivers'!DM$26,DL52,DN52)</f>
        <v>0</v>
      </c>
      <c r="DN52" s="148" t="n">
        <v>0</v>
      </c>
    </row>
    <row r="53" customFormat="false" ht="15.75" hidden="false" customHeight="true" outlineLevel="0" collapsed="false">
      <c r="A53" s="145" t="s">
        <v>305</v>
      </c>
      <c r="B53" s="146" t="str">
        <f aca="false">IF(COUNT(AR53,AO53,AL53,AI53,AF53,AC53,Z53,W53,T53,Q53,N53,K53)=0,"",SUM(AR53,AO53,AL53,AI53,AF53,AC53,Z53,W53,T53,Q53,N53,K53))</f>
        <v/>
      </c>
      <c r="C53" s="146" t="n">
        <f aca="false">SUM(AS53,AP53,AM53,AJ53,AG53,AD53,AA53,X53,U53,R53,O53,L53)</f>
        <v>0</v>
      </c>
      <c r="D53" s="146" t="n">
        <f aca="false">SUM(AT53,AQ53,AN53,AK53,AH53,AE53,AB53,Y53,V53,S53,P53,M53)</f>
        <v>0</v>
      </c>
      <c r="E53" s="146" t="str">
        <f aca="false">IF(COUNT(CB53,BY53,BV53,BS53,BP53,BM53,BJ53,BG53,BD53,BA53,AX53,AU53)=0,"",SUM(CB53,BY53,BV53,BS53,BP53,BM53,BJ53,BG53,BD53,BA53,AX53,AU53))</f>
        <v/>
      </c>
      <c r="F53" s="146" t="n">
        <f aca="false">SUM(CC53,BZ53,BW53,BT53,BQ53,BN53,BK53,BH53,BE53,BB53,AY53,AV53)</f>
        <v>0</v>
      </c>
      <c r="G53" s="146" t="n">
        <f aca="false">SUM(CD53,CA53,BX53,BU53,BR53,BO53,BL53,BI53,BF53,BC53,AZ53,AW53)</f>
        <v>0</v>
      </c>
      <c r="H53" s="146" t="n">
        <f aca="false">IF(COUNT(DL53,DI53,DF53,DC53,CZ53,CW53,CT53,CQ53,CN53,CK53,CH53,CE53)=0,"",SUM(DL53,DI53,DF53,DC53,CZ53,CW53,CT53,CQ53,CN53,CK53,CH53,CE53))</f>
        <v>0</v>
      </c>
      <c r="I53" s="146" t="n">
        <f aca="false">SUM(DM53,DJ53,DG53,DD53,DA53,CX53,CU53,CR53,CO53,CL53,CI53,CF53)</f>
        <v>0</v>
      </c>
      <c r="J53" s="146" t="n">
        <f aca="false">SUM(DN53,DK53,DH53,DE53,DB53,CY53,CV53,CS53,CP53,CM53,CJ53,CG53)</f>
        <v>0</v>
      </c>
      <c r="K53" s="147"/>
      <c r="L53" s="146" t="n">
        <f aca="false">IF('Cash Drivers'!L$26,K53,M53)</f>
        <v>0</v>
      </c>
      <c r="M53" s="148" t="n">
        <v>0</v>
      </c>
      <c r="N53" s="147"/>
      <c r="O53" s="146" t="n">
        <f aca="false">IF('Cash Drivers'!O$26,N53,P53)</f>
        <v>0</v>
      </c>
      <c r="P53" s="148" t="n">
        <v>0</v>
      </c>
      <c r="Q53" s="147"/>
      <c r="R53" s="146" t="n">
        <f aca="false">IF('Cash Drivers'!R$26,Q53,S53)</f>
        <v>0</v>
      </c>
      <c r="S53" s="148" t="n">
        <v>0</v>
      </c>
      <c r="T53" s="147"/>
      <c r="U53" s="146" t="n">
        <f aca="false">IF('Cash Drivers'!U$26,T53,V53)</f>
        <v>0</v>
      </c>
      <c r="V53" s="148" t="n">
        <v>0</v>
      </c>
      <c r="W53" s="147"/>
      <c r="X53" s="146" t="n">
        <f aca="false">IF('Cash Drivers'!X$26,W53,Y53)</f>
        <v>0</v>
      </c>
      <c r="Y53" s="148" t="n">
        <v>0</v>
      </c>
      <c r="Z53" s="147"/>
      <c r="AA53" s="146" t="n">
        <f aca="false">IF('Cash Drivers'!AA$26,Z53,AB53)</f>
        <v>0</v>
      </c>
      <c r="AB53" s="148" t="n">
        <v>0</v>
      </c>
      <c r="AC53" s="147"/>
      <c r="AD53" s="146" t="n">
        <f aca="false">IF('Cash Drivers'!AD$26,AC53,AE53)</f>
        <v>0</v>
      </c>
      <c r="AE53" s="148" t="n">
        <v>0</v>
      </c>
      <c r="AF53" s="147"/>
      <c r="AG53" s="146" t="n">
        <f aca="false">IF('Cash Drivers'!AG$26,AF53,AH53)</f>
        <v>0</v>
      </c>
      <c r="AH53" s="148" t="n">
        <v>0</v>
      </c>
      <c r="AI53" s="147"/>
      <c r="AJ53" s="146" t="n">
        <f aca="false">IF('Cash Drivers'!AJ$26,AI53,AK53)</f>
        <v>0</v>
      </c>
      <c r="AK53" s="148" t="n">
        <v>0</v>
      </c>
      <c r="AL53" s="147"/>
      <c r="AM53" s="146" t="n">
        <f aca="false">IF('Cash Drivers'!AM$26,AL53,AN53)</f>
        <v>0</v>
      </c>
      <c r="AN53" s="148" t="n">
        <v>0</v>
      </c>
      <c r="AO53" s="147"/>
      <c r="AP53" s="146" t="n">
        <f aca="false">IF('Cash Drivers'!AP$26,AO53,AQ53)</f>
        <v>0</v>
      </c>
      <c r="AQ53" s="148" t="n">
        <v>0</v>
      </c>
      <c r="AR53" s="147"/>
      <c r="AS53" s="146" t="n">
        <f aca="false">IF('Cash Drivers'!AS$26,AR53,AT53)</f>
        <v>0</v>
      </c>
      <c r="AT53" s="148" t="n">
        <v>0</v>
      </c>
      <c r="AU53" s="147"/>
      <c r="AV53" s="146" t="n">
        <f aca="false">IF('Cash Drivers'!AV$26,AU53,AW53)</f>
        <v>0</v>
      </c>
      <c r="AW53" s="148" t="n">
        <v>0</v>
      </c>
      <c r="AX53" s="147"/>
      <c r="AY53" s="146" t="n">
        <f aca="false">IF('Cash Drivers'!AY$26,AX53,AZ53)</f>
        <v>0</v>
      </c>
      <c r="AZ53" s="148" t="n">
        <v>0</v>
      </c>
      <c r="BA53" s="147"/>
      <c r="BB53" s="146" t="n">
        <f aca="false">IF('Cash Drivers'!BB$26,BA53,BC53)</f>
        <v>0</v>
      </c>
      <c r="BC53" s="148" t="n">
        <v>0</v>
      </c>
      <c r="BD53" s="147"/>
      <c r="BE53" s="146" t="n">
        <f aca="false">IF('Cash Drivers'!BE$26,BD53,BF53)</f>
        <v>0</v>
      </c>
      <c r="BF53" s="148" t="n">
        <v>0</v>
      </c>
      <c r="BG53" s="147"/>
      <c r="BH53" s="146" t="n">
        <f aca="false">IF('Cash Drivers'!BH$26,BG53,BI53)</f>
        <v>0</v>
      </c>
      <c r="BI53" s="148" t="n">
        <v>0</v>
      </c>
      <c r="BJ53" s="147"/>
      <c r="BK53" s="146" t="n">
        <f aca="false">IF('Cash Drivers'!BK$26,BJ53,BL53)</f>
        <v>0</v>
      </c>
      <c r="BL53" s="148" t="n">
        <v>0</v>
      </c>
      <c r="BM53" s="147"/>
      <c r="BN53" s="146" t="n">
        <f aca="false">IF('Cash Drivers'!BN$26,BM53,BO53)</f>
        <v>0</v>
      </c>
      <c r="BO53" s="148" t="n">
        <v>0</v>
      </c>
      <c r="BP53" s="147"/>
      <c r="BQ53" s="146" t="n">
        <f aca="false">IF('Cash Drivers'!BQ$26,BP53,BR53)</f>
        <v>0</v>
      </c>
      <c r="BR53" s="148" t="n">
        <v>0</v>
      </c>
      <c r="BS53" s="147"/>
      <c r="BT53" s="146" t="n">
        <f aca="false">IF('Cash Drivers'!BT$26,BS53,BU53)</f>
        <v>0</v>
      </c>
      <c r="BU53" s="148" t="n">
        <v>0</v>
      </c>
      <c r="BV53" s="147"/>
      <c r="BW53" s="146" t="n">
        <f aca="false">IF('Cash Drivers'!BW$26,BV53,BX53)</f>
        <v>0</v>
      </c>
      <c r="BX53" s="148" t="n">
        <v>0</v>
      </c>
      <c r="BY53" s="147"/>
      <c r="BZ53" s="146" t="n">
        <f aca="false">IF('Cash Drivers'!BZ$26,BY53,CA53)</f>
        <v>0</v>
      </c>
      <c r="CA53" s="148" t="n">
        <v>0</v>
      </c>
      <c r="CB53" s="147"/>
      <c r="CC53" s="146" t="n">
        <f aca="false">IF('Cash Drivers'!CC$26,CB53,CD53)</f>
        <v>0</v>
      </c>
      <c r="CD53" s="148" t="n">
        <v>0</v>
      </c>
      <c r="CE53" s="147"/>
      <c r="CF53" s="146" t="n">
        <f aca="false">IF('Cash Drivers'!CF$26,CE53,CG53)</f>
        <v>0</v>
      </c>
      <c r="CG53" s="148" t="n">
        <v>0</v>
      </c>
      <c r="CH53" s="147"/>
      <c r="CI53" s="146" t="n">
        <f aca="false">IF('Cash Drivers'!CI$26,CH53,CJ53)</f>
        <v>0</v>
      </c>
      <c r="CJ53" s="148" t="n">
        <v>0</v>
      </c>
      <c r="CK53" s="147"/>
      <c r="CL53" s="146" t="n">
        <f aca="false">IF('Cash Drivers'!CL$26,CK53,CM53)</f>
        <v>0</v>
      </c>
      <c r="CM53" s="148" t="n">
        <v>0</v>
      </c>
      <c r="CN53" s="147"/>
      <c r="CO53" s="146" t="n">
        <f aca="false">IF('Cash Drivers'!CO$26,CN53,CP53)</f>
        <v>0</v>
      </c>
      <c r="CP53" s="148" t="n">
        <v>0</v>
      </c>
      <c r="CQ53" s="147"/>
      <c r="CR53" s="146" t="n">
        <f aca="false">IF('Cash Drivers'!CR$26,CQ53,CS53)</f>
        <v>0</v>
      </c>
      <c r="CS53" s="148" t="n">
        <v>0</v>
      </c>
      <c r="CT53" s="147"/>
      <c r="CU53" s="146" t="n">
        <f aca="false">IF('Cash Drivers'!CU$26,CT53,CV53)</f>
        <v>0</v>
      </c>
      <c r="CV53" s="148" t="n">
        <v>0</v>
      </c>
      <c r="CW53" s="147"/>
      <c r="CX53" s="146" t="n">
        <f aca="false">IF('Cash Drivers'!CX$26,CW53,CY53)</f>
        <v>0</v>
      </c>
      <c r="CY53" s="148" t="n">
        <v>0</v>
      </c>
      <c r="CZ53" s="147"/>
      <c r="DA53" s="146" t="n">
        <f aca="false">IF('Cash Drivers'!DA$26,CZ53,DB53)</f>
        <v>0</v>
      </c>
      <c r="DB53" s="148" t="n">
        <v>0</v>
      </c>
      <c r="DC53" s="147"/>
      <c r="DD53" s="146" t="n">
        <f aca="false">IF('Cash Drivers'!DD$26,DC53,DE53)</f>
        <v>0</v>
      </c>
      <c r="DE53" s="148" t="n">
        <v>0</v>
      </c>
      <c r="DF53" s="147"/>
      <c r="DG53" s="146" t="n">
        <f aca="false">IF('Cash Drivers'!DG$26,DF53,DH53)</f>
        <v>0</v>
      </c>
      <c r="DH53" s="148" t="n">
        <v>0</v>
      </c>
      <c r="DI53" s="148" t="n">
        <v>0</v>
      </c>
      <c r="DJ53" s="146" t="n">
        <f aca="false">IF('Cash Drivers'!DJ$26,DI53,DK53)</f>
        <v>0</v>
      </c>
      <c r="DK53" s="148" t="n">
        <v>0</v>
      </c>
      <c r="DL53" s="148" t="n">
        <v>0</v>
      </c>
      <c r="DM53" s="146" t="n">
        <f aca="false">IF('Cash Drivers'!DM$26,DL53,DN53)</f>
        <v>0</v>
      </c>
      <c r="DN53" s="148" t="n">
        <v>0</v>
      </c>
    </row>
    <row r="54" customFormat="false" ht="15.75" hidden="false" customHeight="true" outlineLevel="0" collapsed="false">
      <c r="A54" s="145" t="s">
        <v>306</v>
      </c>
      <c r="B54" s="146" t="str">
        <f aca="false">IF(COUNT(AR54,AO54,AL54,AI54,AF54,AC54,Z54,W54,T54,Q54,N54,K54)=0,"",SUM(AR54,AO54,AL54,AI54,AF54,AC54,Z54,W54,T54,Q54,N54,K54))</f>
        <v/>
      </c>
      <c r="C54" s="146" t="n">
        <f aca="false">SUM(AS54,AP54,AM54,AJ54,AG54,AD54,AA54,X54,U54,R54,O54,L54)</f>
        <v>0</v>
      </c>
      <c r="D54" s="146" t="n">
        <f aca="false">SUM(AT54,AQ54,AN54,AK54,AH54,AE54,AB54,Y54,V54,S54,P54,M54)</f>
        <v>0</v>
      </c>
      <c r="E54" s="146" t="str">
        <f aca="false">IF(COUNT(CB54,BY54,BV54,BS54,BP54,BM54,BJ54,BG54,BD54,BA54,AX54,AU54)=0,"",SUM(CB54,BY54,BV54,BS54,BP54,BM54,BJ54,BG54,BD54,BA54,AX54,AU54))</f>
        <v/>
      </c>
      <c r="F54" s="146" t="n">
        <f aca="false">SUM(CC54,BZ54,BW54,BT54,BQ54,BN54,BK54,BH54,BE54,BB54,AY54,AV54)</f>
        <v>0</v>
      </c>
      <c r="G54" s="146" t="n">
        <f aca="false">SUM(CD54,CA54,BX54,BU54,BR54,BO54,BL54,BI54,BF54,BC54,AZ54,AW54)</f>
        <v>0</v>
      </c>
      <c r="H54" s="146" t="n">
        <f aca="false">IF(COUNT(DL54,DI54,DF54,DC54,CZ54,CW54,CT54,CQ54,CN54,CK54,CH54,CE54)=0,"",SUM(DL54,DI54,DF54,DC54,CZ54,CW54,CT54,CQ54,CN54,CK54,CH54,CE54))</f>
        <v>0</v>
      </c>
      <c r="I54" s="146" t="n">
        <f aca="false">SUM(DM54,DJ54,DG54,DD54,DA54,CX54,CU54,CR54,CO54,CL54,CI54,CF54)</f>
        <v>0</v>
      </c>
      <c r="J54" s="146" t="n">
        <f aca="false">SUM(DN54,DK54,DH54,DE54,DB54,CY54,CV54,CS54,CP54,CM54,CJ54,CG54)</f>
        <v>0</v>
      </c>
      <c r="K54" s="146" t="str">
        <f aca="false">IF(COUNT(K52:K53)=0,"",SUM(K52:K53))</f>
        <v/>
      </c>
      <c r="L54" s="146" t="n">
        <f aca="false">SUM(L52:L53)</f>
        <v>0</v>
      </c>
      <c r="M54" s="146" t="n">
        <f aca="false">SUM(M52:M53)</f>
        <v>0</v>
      </c>
      <c r="N54" s="146" t="str">
        <f aca="false">IF(COUNT(N52:N53)=0,"",SUM(N52:N53))</f>
        <v/>
      </c>
      <c r="O54" s="146" t="n">
        <f aca="false">SUM(O52:O53)</f>
        <v>0</v>
      </c>
      <c r="P54" s="146" t="n">
        <f aca="false">SUM(P52:P53)</f>
        <v>0</v>
      </c>
      <c r="Q54" s="146" t="str">
        <f aca="false">IF(COUNT(Q52:Q53)=0,"",SUM(Q52:Q53))</f>
        <v/>
      </c>
      <c r="R54" s="146" t="n">
        <f aca="false">SUM(R52:R53)</f>
        <v>0</v>
      </c>
      <c r="S54" s="146" t="n">
        <f aca="false">SUM(S52:S53)</f>
        <v>0</v>
      </c>
      <c r="T54" s="146" t="str">
        <f aca="false">IF(COUNT(T52:T53)=0,"",SUM(T52:T53))</f>
        <v/>
      </c>
      <c r="U54" s="146" t="n">
        <f aca="false">SUM(U52:U53)</f>
        <v>0</v>
      </c>
      <c r="V54" s="146" t="n">
        <f aca="false">SUM(V52:V53)</f>
        <v>0</v>
      </c>
      <c r="W54" s="146" t="str">
        <f aca="false">IF(COUNT(W52:W53)=0,"",SUM(W52:W53))</f>
        <v/>
      </c>
      <c r="X54" s="146" t="n">
        <f aca="false">SUM(X52:X53)</f>
        <v>0</v>
      </c>
      <c r="Y54" s="146" t="n">
        <f aca="false">SUM(Y52:Y53)</f>
        <v>0</v>
      </c>
      <c r="Z54" s="146" t="str">
        <f aca="false">IF(COUNT(Z52:Z53)=0,"",SUM(Z52:Z53))</f>
        <v/>
      </c>
      <c r="AA54" s="146" t="n">
        <f aca="false">SUM(AA52:AA53)</f>
        <v>0</v>
      </c>
      <c r="AB54" s="146" t="n">
        <f aca="false">SUM(AB52:AB53)</f>
        <v>0</v>
      </c>
      <c r="AC54" s="146" t="str">
        <f aca="false">IF(COUNT(AC52:AC53)=0,"",SUM(AC52:AC53))</f>
        <v/>
      </c>
      <c r="AD54" s="146" t="n">
        <f aca="false">SUM(AD52:AD53)</f>
        <v>0</v>
      </c>
      <c r="AE54" s="146" t="n">
        <f aca="false">SUM(AE52:AE53)</f>
        <v>0</v>
      </c>
      <c r="AF54" s="146" t="str">
        <f aca="false">IF(COUNT(AF52:AF53)=0,"",SUM(AF52:AF53))</f>
        <v/>
      </c>
      <c r="AG54" s="146" t="n">
        <f aca="false">SUM(AG52:AG53)</f>
        <v>0</v>
      </c>
      <c r="AH54" s="146" t="n">
        <f aca="false">SUM(AH52:AH53)</f>
        <v>0</v>
      </c>
      <c r="AI54" s="146" t="str">
        <f aca="false">IF(COUNT(AI52:AI53)=0,"",SUM(AI52:AI53))</f>
        <v/>
      </c>
      <c r="AJ54" s="146" t="n">
        <f aca="false">SUM(AJ52:AJ53)</f>
        <v>0</v>
      </c>
      <c r="AK54" s="146" t="n">
        <f aca="false">SUM(AK52:AK53)</f>
        <v>0</v>
      </c>
      <c r="AL54" s="146" t="str">
        <f aca="false">IF(COUNT(AL52:AL53)=0,"",SUM(AL52:AL53))</f>
        <v/>
      </c>
      <c r="AM54" s="146" t="n">
        <f aca="false">SUM(AM52:AM53)</f>
        <v>0</v>
      </c>
      <c r="AN54" s="146" t="n">
        <f aca="false">SUM(AN52:AN53)</f>
        <v>0</v>
      </c>
      <c r="AO54" s="146" t="str">
        <f aca="false">IF(COUNT(AO52:AO53)=0,"",SUM(AO52:AO53))</f>
        <v/>
      </c>
      <c r="AP54" s="146" t="n">
        <f aca="false">SUM(AP52:AP53)</f>
        <v>0</v>
      </c>
      <c r="AQ54" s="146" t="n">
        <f aca="false">SUM(AQ52:AQ53)</f>
        <v>0</v>
      </c>
      <c r="AR54" s="146" t="str">
        <f aca="false">IF(COUNT(AR52:AR53)=0,"",SUM(AR52:AR53))</f>
        <v/>
      </c>
      <c r="AS54" s="146" t="n">
        <f aca="false">SUM(AS52:AS53)</f>
        <v>0</v>
      </c>
      <c r="AT54" s="146" t="n">
        <f aca="false">SUM(AT52:AT53)</f>
        <v>0</v>
      </c>
      <c r="AU54" s="146" t="str">
        <f aca="false">IF(COUNT(AU52:AU53)=0,"",SUM(AU52:AU53))</f>
        <v/>
      </c>
      <c r="AV54" s="146" t="n">
        <f aca="false">SUM(AV52:AV53)</f>
        <v>0</v>
      </c>
      <c r="AW54" s="146" t="n">
        <f aca="false">SUM(AW52:AW53)</f>
        <v>0</v>
      </c>
      <c r="AX54" s="146" t="str">
        <f aca="false">IF(COUNT(AX52:AX53)=0,"",SUM(AX52:AX53))</f>
        <v/>
      </c>
      <c r="AY54" s="146" t="n">
        <f aca="false">SUM(AY52:AY53)</f>
        <v>0</v>
      </c>
      <c r="AZ54" s="146" t="n">
        <f aca="false">SUM(AZ52:AZ53)</f>
        <v>0</v>
      </c>
      <c r="BA54" s="146" t="str">
        <f aca="false">IF(COUNT(BA52:BA53)=0,"",SUM(BA52:BA53))</f>
        <v/>
      </c>
      <c r="BB54" s="146" t="n">
        <f aca="false">SUM(BB52:BB53)</f>
        <v>0</v>
      </c>
      <c r="BC54" s="146" t="n">
        <f aca="false">SUM(BC52:BC53)</f>
        <v>0</v>
      </c>
      <c r="BD54" s="146" t="str">
        <f aca="false">IF(COUNT(BD52:BD53)=0,"",SUM(BD52:BD53))</f>
        <v/>
      </c>
      <c r="BE54" s="146" t="n">
        <f aca="false">SUM(BE52:BE53)</f>
        <v>0</v>
      </c>
      <c r="BF54" s="146" t="n">
        <f aca="false">SUM(BF52:BF53)</f>
        <v>0</v>
      </c>
      <c r="BG54" s="146" t="str">
        <f aca="false">IF(COUNT(BG52:BG53)=0,"",SUM(BG52:BG53))</f>
        <v/>
      </c>
      <c r="BH54" s="146" t="n">
        <f aca="false">SUM(BH52:BH53)</f>
        <v>0</v>
      </c>
      <c r="BI54" s="146" t="n">
        <f aca="false">SUM(BI52:BI53)</f>
        <v>0</v>
      </c>
      <c r="BJ54" s="146" t="str">
        <f aca="false">IF(COUNT(BJ52:BJ53)=0,"",SUM(BJ52:BJ53))</f>
        <v/>
      </c>
      <c r="BK54" s="146" t="n">
        <f aca="false">SUM(BK52:BK53)</f>
        <v>0</v>
      </c>
      <c r="BL54" s="146" t="n">
        <f aca="false">SUM(BL52:BL53)</f>
        <v>0</v>
      </c>
      <c r="BM54" s="146" t="str">
        <f aca="false">IF(COUNT(BM52:BM53)=0,"",SUM(BM52:BM53))</f>
        <v/>
      </c>
      <c r="BN54" s="146" t="n">
        <f aca="false">SUM(BN52:BN53)</f>
        <v>0</v>
      </c>
      <c r="BO54" s="146" t="n">
        <f aca="false">SUM(BO52:BO53)</f>
        <v>0</v>
      </c>
      <c r="BP54" s="146" t="str">
        <f aca="false">IF(COUNT(BP52:BP53)=0,"",SUM(BP52:BP53))</f>
        <v/>
      </c>
      <c r="BQ54" s="146" t="n">
        <f aca="false">SUM(BQ52:BQ53)</f>
        <v>0</v>
      </c>
      <c r="BR54" s="146" t="n">
        <f aca="false">SUM(BR52:BR53)</f>
        <v>0</v>
      </c>
      <c r="BS54" s="146" t="str">
        <f aca="false">IF(COUNT(BS52:BS53)=0,"",SUM(BS52:BS53))</f>
        <v/>
      </c>
      <c r="BT54" s="146" t="n">
        <f aca="false">SUM(BT52:BT53)</f>
        <v>0</v>
      </c>
      <c r="BU54" s="146" t="n">
        <f aca="false">SUM(BU52:BU53)</f>
        <v>0</v>
      </c>
      <c r="BV54" s="146" t="str">
        <f aca="false">IF(COUNT(BV52:BV53)=0,"",SUM(BV52:BV53))</f>
        <v/>
      </c>
      <c r="BW54" s="146" t="n">
        <f aca="false">SUM(BW52:BW53)</f>
        <v>0</v>
      </c>
      <c r="BX54" s="146" t="n">
        <f aca="false">SUM(BX52:BX53)</f>
        <v>0</v>
      </c>
      <c r="BY54" s="146" t="str">
        <f aca="false">IF(COUNT(BY52:BY53)=0,"",SUM(BY52:BY53))</f>
        <v/>
      </c>
      <c r="BZ54" s="146" t="n">
        <f aca="false">SUM(BZ52:BZ53)</f>
        <v>0</v>
      </c>
      <c r="CA54" s="146" t="n">
        <f aca="false">SUM(CA52:CA53)</f>
        <v>0</v>
      </c>
      <c r="CB54" s="146" t="str">
        <f aca="false">IF(COUNT(CB52:CB53)=0,"",SUM(CB52:CB53))</f>
        <v/>
      </c>
      <c r="CC54" s="146" t="n">
        <f aca="false">SUM(CC52:CC53)</f>
        <v>0</v>
      </c>
      <c r="CD54" s="146" t="n">
        <f aca="false">SUM(CD52:CD53)</f>
        <v>0</v>
      </c>
      <c r="CE54" s="146" t="str">
        <f aca="false">IF(COUNT(CE52:CE53)=0,"",SUM(CE52:CE53))</f>
        <v/>
      </c>
      <c r="CF54" s="146" t="n">
        <f aca="false">SUM(CF52:CF53)</f>
        <v>0</v>
      </c>
      <c r="CG54" s="146" t="n">
        <f aca="false">SUM(CG52:CG53)</f>
        <v>0</v>
      </c>
      <c r="CH54" s="146" t="str">
        <f aca="false">IF(COUNT(CH52:CH53)=0,"",SUM(CH52:CH53))</f>
        <v/>
      </c>
      <c r="CI54" s="146" t="n">
        <f aca="false">SUM(CI52:CI53)</f>
        <v>0</v>
      </c>
      <c r="CJ54" s="146" t="n">
        <f aca="false">SUM(CJ52:CJ53)</f>
        <v>0</v>
      </c>
      <c r="CK54" s="146" t="str">
        <f aca="false">IF(COUNT(CK52:CK53)=0,"",SUM(CK52:CK53))</f>
        <v/>
      </c>
      <c r="CL54" s="146" t="n">
        <f aca="false">SUM(CL52:CL53)</f>
        <v>0</v>
      </c>
      <c r="CM54" s="146" t="n">
        <f aca="false">SUM(CM52:CM53)</f>
        <v>0</v>
      </c>
      <c r="CN54" s="146" t="str">
        <f aca="false">IF(COUNT(CN52:CN53)=0,"",SUM(CN52:CN53))</f>
        <v/>
      </c>
      <c r="CO54" s="146" t="n">
        <f aca="false">SUM(CO52:CO53)</f>
        <v>0</v>
      </c>
      <c r="CP54" s="146" t="n">
        <f aca="false">SUM(CP52:CP53)</f>
        <v>0</v>
      </c>
      <c r="CQ54" s="146" t="str">
        <f aca="false">IF(COUNT(CQ52:CQ53)=0,"",SUM(CQ52:CQ53))</f>
        <v/>
      </c>
      <c r="CR54" s="146" t="n">
        <f aca="false">SUM(CR52:CR53)</f>
        <v>0</v>
      </c>
      <c r="CS54" s="146" t="n">
        <f aca="false">SUM(CS52:CS53)</f>
        <v>0</v>
      </c>
      <c r="CT54" s="146" t="str">
        <f aca="false">IF(COUNT(CT52:CT53)=0,"",SUM(CT52:CT53))</f>
        <v/>
      </c>
      <c r="CU54" s="146" t="n">
        <f aca="false">SUM(CU52:CU53)</f>
        <v>0</v>
      </c>
      <c r="CV54" s="146" t="n">
        <f aca="false">SUM(CV52:CV53)</f>
        <v>0</v>
      </c>
      <c r="CW54" s="146" t="str">
        <f aca="false">IF(COUNT(CW52:CW53)=0,"",SUM(CW52:CW53))</f>
        <v/>
      </c>
      <c r="CX54" s="146" t="n">
        <f aca="false">SUM(CX52:CX53)</f>
        <v>0</v>
      </c>
      <c r="CY54" s="146" t="n">
        <f aca="false">SUM(CY52:CY53)</f>
        <v>0</v>
      </c>
      <c r="CZ54" s="146" t="str">
        <f aca="false">IF(COUNT(CZ52:CZ53)=0,"",SUM(CZ52:CZ53))</f>
        <v/>
      </c>
      <c r="DA54" s="146" t="n">
        <f aca="false">SUM(DA52:DA53)</f>
        <v>0</v>
      </c>
      <c r="DB54" s="146" t="n">
        <f aca="false">SUM(DB52:DB53)</f>
        <v>0</v>
      </c>
      <c r="DC54" s="146" t="str">
        <f aca="false">IF(COUNT(DC52:DC53)=0,"",SUM(DC52:DC53))</f>
        <v/>
      </c>
      <c r="DD54" s="146" t="n">
        <f aca="false">SUM(DD52:DD53)</f>
        <v>0</v>
      </c>
      <c r="DE54" s="146" t="n">
        <f aca="false">SUM(DE52:DE53)</f>
        <v>0</v>
      </c>
      <c r="DF54" s="146" t="str">
        <f aca="false">IF(COUNT(DF52:DF53)=0,"",SUM(DF52:DF53))</f>
        <v/>
      </c>
      <c r="DG54" s="146" t="n">
        <f aca="false">SUM(DG52:DG53)</f>
        <v>0</v>
      </c>
      <c r="DH54" s="146" t="n">
        <f aca="false">SUM(DH52:DH53)</f>
        <v>0</v>
      </c>
      <c r="DI54" s="146" t="n">
        <f aca="false">IF(COUNT(DI52:DI53)=0,"",SUM(DI52:DI53))</f>
        <v>0</v>
      </c>
      <c r="DJ54" s="146" t="n">
        <f aca="false">SUM(DJ52:DJ53)</f>
        <v>0</v>
      </c>
      <c r="DK54" s="146" t="n">
        <f aca="false">SUM(DK52:DK53)</f>
        <v>0</v>
      </c>
      <c r="DL54" s="146" t="n">
        <f aca="false">IF(COUNT(DL52:DL53)=0,"",SUM(DL52:DL53))</f>
        <v>0</v>
      </c>
      <c r="DM54" s="146" t="n">
        <f aca="false">SUM(DM52:DM53)</f>
        <v>0</v>
      </c>
      <c r="DN54" s="146" t="n">
        <f aca="false">SUM(DN52:DN53)</f>
        <v>0</v>
      </c>
    </row>
    <row r="55" customFormat="false" ht="15.75" hidden="false" customHeight="true" outlineLevel="0" collapsed="false">
      <c r="A55" s="145" t="s">
        <v>123</v>
      </c>
      <c r="B55" s="146" t="str">
        <f aca="false">IF(K55&lt;&gt;"",K55,IF(N55&lt;&gt;"",N55,IF(Q55&lt;&gt;"",Q55,IF(T55&lt;&gt;"",T55,IF(W55&lt;&gt;"",W55,IF(Z55&lt;&gt;"",Z55,IF(AC55&lt;&gt;"",AC55,IF(AF55&lt;&gt;"",AF55,IF(AI55&lt;&gt;"",AI55,IF(AL55&lt;&gt;"",AL55,IF(AO55&lt;&gt;"",AO55,IF(AR55&lt;&gt;"",AR55,""))))))))))))</f>
        <v/>
      </c>
      <c r="C55" s="146" t="n">
        <f aca="false">L55</f>
        <v>1000000</v>
      </c>
      <c r="D55" s="146" t="n">
        <f aca="false">M55</f>
        <v>1000000</v>
      </c>
      <c r="E55" s="146" t="str">
        <f aca="false">IF(AU55&lt;&gt;"",AU55,IF(AX55&lt;&gt;"",AX55,IF(BA55&lt;&gt;"",BA55,IF(BD55&lt;&gt;"",BD55,IF(BG55&lt;&gt;"",BG55,IF(BJ55&lt;&gt;"",BJ55,IF(BM55&lt;&gt;"",BM55,IF(BP55&lt;&gt;"",BP55,IF(BS55&lt;&gt;"",BS55,IF(BV55&lt;&gt;"",BV55,IF(BY55&lt;&gt;"",BY55,IF(CB55&lt;&gt;"",CB55,""))))))))))))</f>
        <v/>
      </c>
      <c r="F55" s="146" t="n">
        <f aca="false">AV55</f>
        <v>1000000</v>
      </c>
      <c r="G55" s="146" t="n">
        <f aca="false">AW55</f>
        <v>1000000</v>
      </c>
      <c r="H55" s="146" t="n">
        <f aca="false">IF(CE55&lt;&gt;"",CE55,IF(CH55&lt;&gt;"",CH55,IF(CK55&lt;&gt;"",CK55,IF(CN55&lt;&gt;"",CN55,IF(CQ55&lt;&gt;"",CQ55,IF(CT55&lt;&gt;"",CT55,IF(CW55&lt;&gt;"",CW55,IF(CZ55&lt;&gt;"",CZ55,IF(DC55&lt;&gt;"",DC55,IF(DF55&lt;&gt;"",DF55,IF(DI55&lt;&gt;"",DI55,IF(DL55&lt;&gt;"",DL55,""))))))))))))</f>
        <v>1000000</v>
      </c>
      <c r="I55" s="146" t="n">
        <f aca="false">CF55</f>
        <v>1000000</v>
      </c>
      <c r="J55" s="146" t="n">
        <f aca="false">CG55</f>
        <v>1000000</v>
      </c>
      <c r="K55" s="147"/>
      <c r="L55" s="146" t="n">
        <f aca="false">IF('Cash Drivers'!L$26,K55,M55)</f>
        <v>1000000</v>
      </c>
      <c r="M55" s="148" t="n">
        <v>1000000</v>
      </c>
      <c r="N55" s="147"/>
      <c r="O55" s="146" t="n">
        <f aca="false">IF('Cash Drivers'!O$26,N55,P55)</f>
        <v>1000000</v>
      </c>
      <c r="P55" s="148" t="n">
        <v>1000000</v>
      </c>
      <c r="Q55" s="147"/>
      <c r="R55" s="146" t="n">
        <f aca="false">IF('Cash Drivers'!R$26,Q55,S55)</f>
        <v>1000000</v>
      </c>
      <c r="S55" s="148" t="n">
        <v>1000000</v>
      </c>
      <c r="T55" s="147"/>
      <c r="U55" s="146" t="n">
        <f aca="false">IF('Cash Drivers'!U$26,T55,V55)</f>
        <v>1000000</v>
      </c>
      <c r="V55" s="148" t="n">
        <v>1000000</v>
      </c>
      <c r="W55" s="147"/>
      <c r="X55" s="146" t="n">
        <f aca="false">IF('Cash Drivers'!X$26,W55,Y55)</f>
        <v>1000000</v>
      </c>
      <c r="Y55" s="148" t="n">
        <v>1000000</v>
      </c>
      <c r="Z55" s="147"/>
      <c r="AA55" s="146" t="n">
        <f aca="false">IF('Cash Drivers'!AA$26,Z55,AB55)</f>
        <v>1000000</v>
      </c>
      <c r="AB55" s="148" t="n">
        <v>1000000</v>
      </c>
      <c r="AC55" s="147"/>
      <c r="AD55" s="146" t="n">
        <f aca="false">IF('Cash Drivers'!AD$26,AC55,AE55)</f>
        <v>1000000</v>
      </c>
      <c r="AE55" s="148" t="n">
        <v>1000000</v>
      </c>
      <c r="AF55" s="147"/>
      <c r="AG55" s="146" t="n">
        <f aca="false">IF('Cash Drivers'!AG$26,AF55,AH55)</f>
        <v>1000000</v>
      </c>
      <c r="AH55" s="148" t="n">
        <v>1000000</v>
      </c>
      <c r="AI55" s="147"/>
      <c r="AJ55" s="146" t="n">
        <f aca="false">IF('Cash Drivers'!AJ$26,AI55,AK55)</f>
        <v>1000000</v>
      </c>
      <c r="AK55" s="148" t="n">
        <v>1000000</v>
      </c>
      <c r="AL55" s="147"/>
      <c r="AM55" s="146" t="n">
        <f aca="false">IF('Cash Drivers'!AM$26,AL55,AN55)</f>
        <v>1000000</v>
      </c>
      <c r="AN55" s="148" t="n">
        <v>1000000</v>
      </c>
      <c r="AO55" s="147"/>
      <c r="AP55" s="146" t="n">
        <f aca="false">IF('Cash Drivers'!AP$26,AO55,AQ55)</f>
        <v>1000000</v>
      </c>
      <c r="AQ55" s="148" t="n">
        <v>1000000</v>
      </c>
      <c r="AR55" s="147"/>
      <c r="AS55" s="146" t="n">
        <f aca="false">IF('Cash Drivers'!AS$26,AR55,AT55)</f>
        <v>1000000</v>
      </c>
      <c r="AT55" s="148" t="n">
        <v>1000000</v>
      </c>
      <c r="AU55" s="147"/>
      <c r="AV55" s="146" t="n">
        <f aca="false">IF('Cash Drivers'!AV$26,AU55,AW55)</f>
        <v>1000000</v>
      </c>
      <c r="AW55" s="148" t="n">
        <v>1000000</v>
      </c>
      <c r="AX55" s="147"/>
      <c r="AY55" s="146" t="n">
        <f aca="false">IF('Cash Drivers'!AY$26,AX55,AZ55)</f>
        <v>1000000</v>
      </c>
      <c r="AZ55" s="148" t="n">
        <v>1000000</v>
      </c>
      <c r="BA55" s="147"/>
      <c r="BB55" s="146" t="n">
        <f aca="false">IF('Cash Drivers'!BB$26,BA55,BC55)</f>
        <v>1000000</v>
      </c>
      <c r="BC55" s="148" t="n">
        <v>1000000</v>
      </c>
      <c r="BD55" s="147"/>
      <c r="BE55" s="146" t="n">
        <f aca="false">IF('Cash Drivers'!BE$26,BD55,BF55)</f>
        <v>1000000</v>
      </c>
      <c r="BF55" s="148" t="n">
        <v>1000000</v>
      </c>
      <c r="BG55" s="147"/>
      <c r="BH55" s="146" t="n">
        <f aca="false">IF('Cash Drivers'!BH$26,BG55,BI55)</f>
        <v>1000000</v>
      </c>
      <c r="BI55" s="148" t="n">
        <v>1000000</v>
      </c>
      <c r="BJ55" s="147"/>
      <c r="BK55" s="146" t="n">
        <f aca="false">IF('Cash Drivers'!BK$26,BJ55,BL55)</f>
        <v>1000000</v>
      </c>
      <c r="BL55" s="148" t="n">
        <v>1000000</v>
      </c>
      <c r="BM55" s="147"/>
      <c r="BN55" s="146" t="n">
        <f aca="false">IF('Cash Drivers'!BN$26,BM55,BO55)</f>
        <v>1000000</v>
      </c>
      <c r="BO55" s="148" t="n">
        <v>1000000</v>
      </c>
      <c r="BP55" s="147"/>
      <c r="BQ55" s="146" t="n">
        <f aca="false">IF('Cash Drivers'!BQ$26,BP55,BR55)</f>
        <v>1000000</v>
      </c>
      <c r="BR55" s="148" t="n">
        <v>1000000</v>
      </c>
      <c r="BS55" s="147"/>
      <c r="BT55" s="146" t="n">
        <f aca="false">IF('Cash Drivers'!BT$26,BS55,BU55)</f>
        <v>1000000</v>
      </c>
      <c r="BU55" s="148" t="n">
        <v>1000000</v>
      </c>
      <c r="BV55" s="147"/>
      <c r="BW55" s="146" t="n">
        <f aca="false">IF('Cash Drivers'!BW$26,BV55,BX55)</f>
        <v>1000000</v>
      </c>
      <c r="BX55" s="148" t="n">
        <v>1000000</v>
      </c>
      <c r="BY55" s="147"/>
      <c r="BZ55" s="146" t="n">
        <f aca="false">IF('Cash Drivers'!BZ$26,BY55,CA55)</f>
        <v>1000000</v>
      </c>
      <c r="CA55" s="148" t="n">
        <v>1000000</v>
      </c>
      <c r="CB55" s="147"/>
      <c r="CC55" s="146" t="n">
        <f aca="false">IF('Cash Drivers'!CC$26,CB55,CD55)</f>
        <v>1000000</v>
      </c>
      <c r="CD55" s="148" t="n">
        <v>1000000</v>
      </c>
      <c r="CE55" s="147"/>
      <c r="CF55" s="146" t="n">
        <f aca="false">IF('Cash Drivers'!CF$26,CE55,CG55)</f>
        <v>1000000</v>
      </c>
      <c r="CG55" s="148" t="n">
        <v>1000000</v>
      </c>
      <c r="CH55" s="147"/>
      <c r="CI55" s="146" t="n">
        <f aca="false">IF('Cash Drivers'!CI$26,CH55,CJ55)</f>
        <v>1000000</v>
      </c>
      <c r="CJ55" s="148" t="n">
        <v>1000000</v>
      </c>
      <c r="CK55" s="147"/>
      <c r="CL55" s="146" t="n">
        <f aca="false">IF('Cash Drivers'!CL$26,CK55,CM55)</f>
        <v>1000000</v>
      </c>
      <c r="CM55" s="148" t="n">
        <v>1000000</v>
      </c>
      <c r="CN55" s="147"/>
      <c r="CO55" s="146" t="n">
        <f aca="false">IF('Cash Drivers'!CO$26,CN55,CP55)</f>
        <v>1000000</v>
      </c>
      <c r="CP55" s="148" t="n">
        <v>1000000</v>
      </c>
      <c r="CQ55" s="147"/>
      <c r="CR55" s="146" t="n">
        <f aca="false">IF('Cash Drivers'!CR$26,CQ55,CS55)</f>
        <v>1000000</v>
      </c>
      <c r="CS55" s="148" t="n">
        <v>1000000</v>
      </c>
      <c r="CT55" s="147"/>
      <c r="CU55" s="146" t="n">
        <f aca="false">IF('Cash Drivers'!CU$26,CT55,CV55)</f>
        <v>1000000</v>
      </c>
      <c r="CV55" s="148" t="n">
        <v>1000000</v>
      </c>
      <c r="CW55" s="147"/>
      <c r="CX55" s="146" t="n">
        <f aca="false">IF('Cash Drivers'!CX$26,CW55,CY55)</f>
        <v>1000000</v>
      </c>
      <c r="CY55" s="148" t="n">
        <v>1000000</v>
      </c>
      <c r="CZ55" s="147"/>
      <c r="DA55" s="146" t="n">
        <f aca="false">IF('Cash Drivers'!DA$26,CZ55,DB55)</f>
        <v>1000000</v>
      </c>
      <c r="DB55" s="148" t="n">
        <v>1000000</v>
      </c>
      <c r="DC55" s="147"/>
      <c r="DD55" s="146" t="n">
        <f aca="false">IF('Cash Drivers'!DD$26,DC55,DE55)</f>
        <v>1000000</v>
      </c>
      <c r="DE55" s="148" t="n">
        <v>1000000</v>
      </c>
      <c r="DF55" s="147"/>
      <c r="DG55" s="146" t="n">
        <f aca="false">IF('Cash Drivers'!DG$26,DF55,DH55)</f>
        <v>1000000</v>
      </c>
      <c r="DH55" s="148" t="n">
        <v>1000000</v>
      </c>
      <c r="DI55" s="148" t="n">
        <v>1000000</v>
      </c>
      <c r="DJ55" s="146" t="n">
        <f aca="false">IF('Cash Drivers'!DJ$26,DI55,DK55)</f>
        <v>1000000</v>
      </c>
      <c r="DK55" s="148" t="n">
        <v>1000000</v>
      </c>
      <c r="DL55" s="148" t="n">
        <v>1000000</v>
      </c>
      <c r="DM55" s="146" t="n">
        <f aca="false">IF('Cash Drivers'!DM$26,DL55,DN55)</f>
        <v>1000000</v>
      </c>
      <c r="DN55" s="148" t="n">
        <v>1000000</v>
      </c>
    </row>
    <row r="56" customFormat="false" ht="15.75" hidden="false" customHeight="true" outlineLevel="0" collapsed="false">
      <c r="A56" s="145" t="s">
        <v>124</v>
      </c>
      <c r="B56" s="146" t="str">
        <f aca="false">IF(K56&lt;&gt;"",K56,IF(N56&lt;&gt;"",N56,IF(Q56&lt;&gt;"",Q56,IF(T56&lt;&gt;"",T56,IF(W56&lt;&gt;"",W56,IF(Z56&lt;&gt;"",Z56,IF(AC56&lt;&gt;"",AC56,IF(AF56&lt;&gt;"",AF56,IF(AI56&lt;&gt;"",AI56,IF(AL56&lt;&gt;"",AL56,IF(AO56&lt;&gt;"",AO56,IF(AR56&lt;&gt;"",AR56,""))))))))))))</f>
        <v/>
      </c>
      <c r="C56" s="146" t="n">
        <f aca="false">L56</f>
        <v>9115245.33119701</v>
      </c>
      <c r="D56" s="146" t="n">
        <f aca="false">M56</f>
        <v>7446072.50291</v>
      </c>
      <c r="E56" s="146" t="str">
        <f aca="false">IF(AU56&lt;&gt;"",AU56,IF(AX56&lt;&gt;"",AX56,IF(BA56&lt;&gt;"",BA56,IF(BD56&lt;&gt;"",BD56,IF(BG56&lt;&gt;"",BG56,IF(BJ56&lt;&gt;"",BJ56,IF(BM56&lt;&gt;"",BM56,IF(BP56&lt;&gt;"",BP56,IF(BS56&lt;&gt;"",BS56,IF(BV56&lt;&gt;"",BV56,IF(BY56&lt;&gt;"",BY56,IF(CB56&lt;&gt;"",CB56,""))))))))))))</f>
        <v/>
      </c>
      <c r="F56" s="146" t="n">
        <f aca="false">AV56</f>
        <v>4312045.7240161</v>
      </c>
      <c r="G56" s="146" t="n">
        <f aca="false">AW56</f>
        <v>2870649.4803055</v>
      </c>
      <c r="H56" s="146" t="n">
        <f aca="false">IF(CE56&lt;&gt;"",CE56,IF(CH56&lt;&gt;"",CH56,IF(CK56&lt;&gt;"",CK56,IF(CN56&lt;&gt;"",CN56,IF(CQ56&lt;&gt;"",CQ56,IF(CT56&lt;&gt;"",CT56,IF(CW56&lt;&gt;"",CW56,IF(CZ56&lt;&gt;"",CZ56,IF(DC56&lt;&gt;"",DC56,IF(DF56&lt;&gt;"",DF56,IF(DI56&lt;&gt;"",DI56,IF(DL56&lt;&gt;"",DL56,""))))))))))))</f>
        <v>1177985.02637105</v>
      </c>
      <c r="I56" s="146" t="n">
        <f aca="false">CF56</f>
        <v>2053151.31026133</v>
      </c>
      <c r="J56" s="146" t="n">
        <f aca="false">CG56</f>
        <v>841858.045469</v>
      </c>
      <c r="K56" s="146" t="str">
        <f aca="false">IF(K11="","",K11-K55)</f>
        <v/>
      </c>
      <c r="L56" s="146" t="n">
        <f aca="false">IF(L11="","",L11-L55)</f>
        <v>9115245.33119701</v>
      </c>
      <c r="M56" s="146" t="n">
        <f aca="false">IF(M11="","",M11-M55)</f>
        <v>7446072.50291</v>
      </c>
      <c r="N56" s="146" t="str">
        <f aca="false">IF(N11="","",N11-N55)</f>
        <v/>
      </c>
      <c r="O56" s="146" t="n">
        <f aca="false">IF(O11="","",O11-O55)</f>
        <v>8509935.88082831</v>
      </c>
      <c r="P56" s="146" t="n">
        <f aca="false">IF(P11="","",P11-P55)</f>
        <v>6859609.092736</v>
      </c>
      <c r="Q56" s="146" t="str">
        <f aca="false">IF(Q11="","",Q11-Q55)</f>
        <v/>
      </c>
      <c r="R56" s="146" t="n">
        <f aca="false">IF(R11="","",R11-R55)</f>
        <v>7944852.11387681</v>
      </c>
      <c r="S56" s="146" t="n">
        <f aca="false">IF(S11="","",S11-S55)</f>
        <v>6313395.740047</v>
      </c>
      <c r="T56" s="146" t="str">
        <f aca="false">IF(T11="","",T11-T55)</f>
        <v/>
      </c>
      <c r="U56" s="146" t="n">
        <f aca="false">IF(U11="","",U11-U55)</f>
        <v>7419625.17402727</v>
      </c>
      <c r="V56" s="146" t="n">
        <f aca="false">IF(V11="","",V11-V55)</f>
        <v>5807063.4882995</v>
      </c>
      <c r="W56" s="146" t="str">
        <f aca="false">IF(W11="","",W11-W55)</f>
        <v/>
      </c>
      <c r="X56" s="146" t="n">
        <f aca="false">IF(X11="","",X11-X55)</f>
        <v>6933936.78608056</v>
      </c>
      <c r="Y56" s="146" t="n">
        <f aca="false">IF(Y11="","",Y11-Y55)</f>
        <v>5340294.1317975</v>
      </c>
      <c r="Z56" s="146" t="str">
        <f aca="false">IF(Z11="","",Z11-Z55)</f>
        <v/>
      </c>
      <c r="AA56" s="146" t="n">
        <f aca="false">IF(AA11="","",AA11-AA55)</f>
        <v>6487470.40944179</v>
      </c>
      <c r="AB56" s="146" t="n">
        <f aca="false">IF(AB11="","",AB11-AB55)</f>
        <v>4912770.2035025</v>
      </c>
      <c r="AC56" s="146" t="str">
        <f aca="false">IF(AC11="","",AC11-AC55)</f>
        <v/>
      </c>
      <c r="AD56" s="146" t="n">
        <f aca="false">IF(AD11="","",AD11-AD55)</f>
        <v>6088307.38889065</v>
      </c>
      <c r="AE56" s="146" t="n">
        <f aca="false">IF(AE11="","",AE11-AE55)</f>
        <v>4532573.9373445</v>
      </c>
      <c r="AF56" s="146" t="str">
        <f aca="false">IF(AF11="","",AF11-AF55)</f>
        <v/>
      </c>
      <c r="AG56" s="146" t="n">
        <f aca="false">IF(AG11="","",AG11-AG55)</f>
        <v>5708444.18551765</v>
      </c>
      <c r="AH56" s="146" t="n">
        <f aca="false">IF(AH11="","",AH11-AH55)</f>
        <v>4171700.866422</v>
      </c>
      <c r="AI56" s="146" t="str">
        <f aca="false">IF(AI11="","",AI11-AI55)</f>
        <v/>
      </c>
      <c r="AJ56" s="146" t="n">
        <f aca="false">IF(AJ11="","",AJ11-AJ55)</f>
        <v>5366656.15591473</v>
      </c>
      <c r="AK56" s="146" t="n">
        <f aca="false">IF(AK11="","",AK11-AK55)</f>
        <v>3848928.224883</v>
      </c>
      <c r="AL56" s="146" t="str">
        <f aca="false">IF(AL11="","",AL11-AL55)</f>
        <v/>
      </c>
      <c r="AM56" s="146" t="n">
        <f aca="false">IF(AM11="","",AM11-AM55)</f>
        <v>5070993.8522452</v>
      </c>
      <c r="AN56" s="146" t="n">
        <f aca="false">IF(AN11="","",AN11-AN55)</f>
        <v>3572304.4384215</v>
      </c>
      <c r="AO56" s="146" t="str">
        <f aca="false">IF(AO11="","",AO11-AO55)</f>
        <v/>
      </c>
      <c r="AP56" s="146" t="n">
        <f aca="false">IF(AP11="","",AP11-AP55)</f>
        <v>4807506.35620368</v>
      </c>
      <c r="AQ56" s="146" t="n">
        <f aca="false">IF(AQ11="","",AQ11-AQ55)</f>
        <v>3327879.655289</v>
      </c>
      <c r="AR56" s="146" t="str">
        <f aca="false">IF(AR11="","",AR11-AR55)</f>
        <v/>
      </c>
      <c r="AS56" s="146" t="n">
        <f aca="false">IF(AS11="","",AS11-AS55)</f>
        <v>4565702.85276762</v>
      </c>
      <c r="AT56" s="146" t="n">
        <f aca="false">IF(AT11="","",AT11-AT55)</f>
        <v>3105189.809174</v>
      </c>
      <c r="AU56" s="146" t="str">
        <f aca="false">IF(AU11="","",AU11-AU55)</f>
        <v/>
      </c>
      <c r="AV56" s="146" t="n">
        <f aca="false">IF(AV11="","",AV11-AV55)</f>
        <v>4312045.7240161</v>
      </c>
      <c r="AW56" s="146" t="n">
        <f aca="false">IF(AW11="","",AW11-AW55)</f>
        <v>2870649.4803055</v>
      </c>
      <c r="AX56" s="146" t="str">
        <f aca="false">IF(AX11="","",AX11-AX55)</f>
        <v/>
      </c>
      <c r="AY56" s="146" t="n">
        <f aca="false">IF(AY11="","",AY11-AY55)</f>
        <v>4048120.20947486</v>
      </c>
      <c r="AZ56" s="146" t="n">
        <f aca="false">IF(AZ11="","",AZ11-AZ55)</f>
        <v>2625889.9659755</v>
      </c>
      <c r="BA56" s="146" t="str">
        <f aca="false">IF(BA11="","",BA11-BA55)</f>
        <v/>
      </c>
      <c r="BB56" s="146" t="n">
        <f aca="false">IF(BB11="","",BB11-BB55)</f>
        <v>3828521.86151434</v>
      </c>
      <c r="BC56" s="146" t="n">
        <f aca="false">IF(BC11="","",BC11-BC55)</f>
        <v>2425458.7871655</v>
      </c>
      <c r="BD56" s="146" t="str">
        <f aca="false">IF(BD11="","",BD11-BD55)</f>
        <v/>
      </c>
      <c r="BE56" s="146" t="n">
        <f aca="false">IF(BE11="","",BE11-BE55)</f>
        <v>3616280.11775193</v>
      </c>
      <c r="BF56" s="146" t="n">
        <f aca="false">IF(BF11="","",BF11-BF55)</f>
        <v>2232387.2566885</v>
      </c>
      <c r="BG56" s="146" t="str">
        <f aca="false">IF(BG11="","",BG11-BG55)</f>
        <v/>
      </c>
      <c r="BH56" s="146" t="n">
        <f aca="false">IF(BH11="","",BH11-BH55)</f>
        <v>3407079.34085812</v>
      </c>
      <c r="BI56" s="146" t="n">
        <f aca="false">IF(BI11="","",BI11-BI55)</f>
        <v>2042358.839258</v>
      </c>
      <c r="BJ56" s="146" t="str">
        <f aca="false">IF(BJ11="","",BJ11-BJ55)</f>
        <v/>
      </c>
      <c r="BK56" s="146" t="n">
        <f aca="false">IF(BK11="","",BK11-BK55)</f>
        <v>3222666.24199215</v>
      </c>
      <c r="BL56" s="146" t="n">
        <f aca="false">IF(BL11="","",BL11-BL55)</f>
        <v>1877122.1158875</v>
      </c>
      <c r="BM56" s="146" t="str">
        <f aca="false">IF(BM11="","",BM11-BM55)</f>
        <v/>
      </c>
      <c r="BN56" s="146" t="n">
        <f aca="false">IF(BN11="","",BN11-BN55)</f>
        <v>3016161.19821147</v>
      </c>
      <c r="BO56" s="146" t="n">
        <f aca="false">IF(BO11="","",BO11-BO55)</f>
        <v>1689795.5687405</v>
      </c>
      <c r="BP56" s="146" t="str">
        <f aca="false">IF(BP11="","",BP11-BP55)</f>
        <v/>
      </c>
      <c r="BQ56" s="146" t="n">
        <f aca="false">IF(BQ11="","",BQ11-BQ55)</f>
        <v>2844836.39596826</v>
      </c>
      <c r="BR56" s="146" t="n">
        <f aca="false">IF(BR11="","",BR11-BR55)</f>
        <v>1537652.2504435</v>
      </c>
      <c r="BS56" s="146" t="str">
        <f aca="false">IF(BS11="","",BS11-BS55)</f>
        <v/>
      </c>
      <c r="BT56" s="146" t="n">
        <f aca="false">IF(BT11="","",BT11-BT55)</f>
        <v>2659274.67329666</v>
      </c>
      <c r="BU56" s="146" t="n">
        <f aca="false">IF(BU11="","",BU11-BU55)</f>
        <v>1371273.857953</v>
      </c>
      <c r="BV56" s="146" t="str">
        <f aca="false">IF(BV11="","",BV11-BV55)</f>
        <v/>
      </c>
      <c r="BW56" s="146" t="n">
        <f aca="false">IF(BW11="","",BW11-BW55)</f>
        <v>2502218.28787819</v>
      </c>
      <c r="BX56" s="146" t="n">
        <f aca="false">IF(BX11="","",BX11-BX55)</f>
        <v>1233404.75309</v>
      </c>
      <c r="BY56" s="146" t="str">
        <f aca="false">IF(BY11="","",BY11-BY55)</f>
        <v/>
      </c>
      <c r="BZ56" s="146" t="n">
        <f aca="false">IF(BZ11="","",BZ11-BZ55)</f>
        <v>2346240.36228232</v>
      </c>
      <c r="CA56" s="146" t="n">
        <f aca="false">IF(CA11="","",CA11-CA55)</f>
        <v>1096616.9058675</v>
      </c>
      <c r="CB56" s="146" t="str">
        <f aca="false">IF(CB11="","",CB11-CB55)</f>
        <v/>
      </c>
      <c r="CC56" s="146" t="n">
        <f aca="false">IF(CC11="","",CC11-CC55)</f>
        <v>2216128.27546121</v>
      </c>
      <c r="CD56" s="146" t="n">
        <f aca="false">IF(CD11="","",CD11-CD55)</f>
        <v>985677.9483805</v>
      </c>
      <c r="CE56" s="146" t="str">
        <f aca="false">IF(CE11="","",CE11-CE55)</f>
        <v/>
      </c>
      <c r="CF56" s="146" t="n">
        <f aca="false">IF(CF11="","",CF11-CF55)</f>
        <v>2053151.31026133</v>
      </c>
      <c r="CG56" s="146" t="n">
        <f aca="false">IF(CG11="","",CG11-CG55)</f>
        <v>841858.045469</v>
      </c>
      <c r="CH56" s="146" t="str">
        <f aca="false">IF(CH11="","",CH11-CH55)</f>
        <v/>
      </c>
      <c r="CI56" s="146" t="n">
        <f aca="false">IF(CI11="","",CI11-CI55)</f>
        <v>1889583.45646386</v>
      </c>
      <c r="CJ56" s="146" t="n">
        <f aca="false">IF(CJ11="","",CJ11-CJ55)</f>
        <v>697474.455663</v>
      </c>
      <c r="CK56" s="146" t="str">
        <f aca="false">IF(CK11="","",CK11-CK55)</f>
        <v/>
      </c>
      <c r="CL56" s="146" t="n">
        <f aca="false">IF(CL11="","",CL11-CL55)</f>
        <v>1744496.46486694</v>
      </c>
      <c r="CM56" s="146" t="n">
        <f aca="false">IF(CM11="","",CM11-CM55)</f>
        <v>571554.74346</v>
      </c>
      <c r="CN56" s="146" t="str">
        <f aca="false">IF(CN11="","",CN11-CN55)</f>
        <v/>
      </c>
      <c r="CO56" s="146" t="n">
        <f aca="false">IF(CO11="","",CO11-CO55)</f>
        <v>1624574.0487716</v>
      </c>
      <c r="CP56" s="146" t="n">
        <f aca="false">IF(CP11="","",CP11-CP55)</f>
        <v>470783.500318</v>
      </c>
      <c r="CQ56" s="146" t="str">
        <f aca="false">IF(CQ11="","",CQ11-CQ55)</f>
        <v/>
      </c>
      <c r="CR56" s="146" t="n">
        <f aca="false">IF(CR11="","",CR11-CR55)</f>
        <v>1517311.10151831</v>
      </c>
      <c r="CS56" s="146" t="n">
        <f aca="false">IF(CS11="","",CS11-CS55)</f>
        <v>382698.2494935</v>
      </c>
      <c r="CT56" s="146" t="str">
        <f aca="false">IF(CT11="","",CT11-CT55)</f>
        <v/>
      </c>
      <c r="CU56" s="146" t="n">
        <f aca="false">IF(CU11="","",CU11-CU55)</f>
        <v>1412756.48531186</v>
      </c>
      <c r="CV56" s="146" t="n">
        <f aca="false">IF(CV11="","",CV11-CV55)</f>
        <v>297304.306922</v>
      </c>
      <c r="CW56" s="146" t="str">
        <f aca="false">IF(CW11="","",CW11-CW55)</f>
        <v/>
      </c>
      <c r="CX56" s="146" t="n">
        <f aca="false">IF(CX11="","",CX11-CX55)</f>
        <v>1334691.99157465</v>
      </c>
      <c r="CY56" s="146" t="n">
        <f aca="false">IF(CY11="","",CY11-CY55)</f>
        <v>238384.33794115</v>
      </c>
      <c r="CZ56" s="146" t="str">
        <f aca="false">IF(CZ11="","",CZ11-CZ55)</f>
        <v/>
      </c>
      <c r="DA56" s="146" t="n">
        <f aca="false">IF(DA11="","",DA11-DA55)</f>
        <v>1255489.53944209</v>
      </c>
      <c r="DB56" s="146" t="n">
        <f aca="false">IF(DB11="","",DB11-DB55)</f>
        <v>178352.27126155</v>
      </c>
      <c r="DC56" s="146" t="str">
        <f aca="false">IF(DC11="","",DC11-DC55)</f>
        <v/>
      </c>
      <c r="DD56" s="146" t="n">
        <f aca="false">IF(DD11="","",DD11-DD55)</f>
        <v>1194085.15395101</v>
      </c>
      <c r="DE56" s="146" t="n">
        <f aca="false">IF(DE11="","",DE11-DE55)</f>
        <v>123578.52</v>
      </c>
      <c r="DF56" s="146" t="n">
        <f aca="false">IF(DF11="","",DF11-DF55)</f>
        <v>1177985.02637105</v>
      </c>
      <c r="DG56" s="146" t="n">
        <f aca="false">IF(DG11="","",DG11-DG55)</f>
        <v>1161750.02637105</v>
      </c>
      <c r="DH56" s="146" t="n">
        <f aca="false">IF(DH11="","",DH11-DH55)</f>
        <v>118652.52</v>
      </c>
      <c r="DI56" s="146" t="n">
        <f aca="false">IF(DI11="","",DI11-DI55)</f>
        <v>181432</v>
      </c>
      <c r="DJ56" s="146" t="n">
        <f aca="false">IF(DJ11="","",DJ11-DJ55)</f>
        <v>181432</v>
      </c>
      <c r="DK56" s="146" t="n">
        <f aca="false">IF(DK11="","",DK11-DK55)</f>
        <v>-814560.48</v>
      </c>
      <c r="DL56" s="146" t="n">
        <f aca="false">IF(DL11="","",DL11-DL55)</f>
        <v>170890</v>
      </c>
      <c r="DM56" s="146" t="n">
        <f aca="false">IF(DM11="","",DM11-DM55)</f>
        <v>170890</v>
      </c>
      <c r="DN56" s="146" t="n">
        <f aca="false">IF(DN11="","",DN11-DN55)</f>
        <v>-787110</v>
      </c>
    </row>
    <row r="57" customFormat="false" ht="15.75" hidden="false" customHeight="true" outlineLevel="0" collapsed="false">
      <c r="A57" s="145" t="s">
        <v>125</v>
      </c>
      <c r="B57" s="34" t="str">
        <f aca="false">IF(K57&lt;&gt;"",K57,IF(N57&lt;&gt;"",N57,IF(Q57&lt;&gt;"",Q57,IF(T57&lt;&gt;"",T57,IF(W57&lt;&gt;"",W57,IF(Z57&lt;&gt;"",Z57,IF(AC57&lt;&gt;"",AC57,IF(AF57&lt;&gt;"",AF57,IF(AI57&lt;&gt;"",AI57,IF(AL57&lt;&gt;"",AL57,IF(AO57&lt;&gt;"",AO57,IF(AR57&lt;&gt;"",AR57,""))))))))))))</f>
        <v/>
      </c>
      <c r="C57" s="34" t="str">
        <f aca="false">L57</f>
        <v>OK</v>
      </c>
      <c r="D57" s="34" t="str">
        <f aca="false">M57</f>
        <v>OK</v>
      </c>
      <c r="E57" s="34" t="str">
        <f aca="false">IF(AU57&lt;&gt;"",AU57,IF(AX57&lt;&gt;"",AX57,IF(BA57&lt;&gt;"",BA57,IF(BD57&lt;&gt;"",BD57,IF(BG57&lt;&gt;"",BG57,IF(BJ57&lt;&gt;"",BJ57,IF(BM57&lt;&gt;"",BM57,IF(BP57&lt;&gt;"",BP57,IF(BS57&lt;&gt;"",BS57,IF(BV57&lt;&gt;"",BV57,IF(BY57&lt;&gt;"",BY57,IF(CB57&lt;&gt;"",CB57,""))))))))))))</f>
        <v/>
      </c>
      <c r="F57" s="34" t="str">
        <f aca="false">AV57</f>
        <v>OK</v>
      </c>
      <c r="G57" s="34" t="str">
        <f aca="false">AW57</f>
        <v>OK</v>
      </c>
      <c r="H57" s="34" t="str">
        <f aca="false">IF(CE57&lt;&gt;"",CE57,IF(CH57&lt;&gt;"",CH57,IF(CK57&lt;&gt;"",CK57,IF(CN57&lt;&gt;"",CN57,IF(CQ57&lt;&gt;"",CQ57,IF(CT57&lt;&gt;"",CT57,IF(CW57&lt;&gt;"",CW57,IF(CZ57&lt;&gt;"",CZ57,IF(DC57&lt;&gt;"",DC57,IF(DF57&lt;&gt;"",DF57,IF(DI57&lt;&gt;"",DI57,IF(DL57&lt;&gt;"",DL57,""))))))))))))</f>
        <v>OK</v>
      </c>
      <c r="I57" s="34" t="str">
        <f aca="false">CF57</f>
        <v>OK</v>
      </c>
      <c r="J57" s="34" t="str">
        <f aca="false">CG57</f>
        <v>OK</v>
      </c>
      <c r="K57" s="34" t="str">
        <f aca="false">IF(K56="","",IF(K56&lt;0,"ACTION","OK"))</f>
        <v/>
      </c>
      <c r="L57" s="34" t="str">
        <f aca="false">IF(L56="","",IF(L56&lt;0,"ACTION","OK"))</f>
        <v>OK</v>
      </c>
      <c r="M57" s="34" t="str">
        <f aca="false">IF(M56="","",IF(M56&lt;0,"ACTION","OK"))</f>
        <v>OK</v>
      </c>
      <c r="N57" s="34" t="str">
        <f aca="false">IF(N56="","",IF(N56&lt;0,"ACTION","OK"))</f>
        <v/>
      </c>
      <c r="O57" s="34" t="str">
        <f aca="false">IF(O56="","",IF(O56&lt;0,"ACTION","OK"))</f>
        <v>OK</v>
      </c>
      <c r="P57" s="34" t="str">
        <f aca="false">IF(P56="","",IF(P56&lt;0,"ACTION","OK"))</f>
        <v>OK</v>
      </c>
      <c r="Q57" s="34" t="str">
        <f aca="false">IF(Q56="","",IF(Q56&lt;0,"ACTION","OK"))</f>
        <v/>
      </c>
      <c r="R57" s="34" t="str">
        <f aca="false">IF(R56="","",IF(R56&lt;0,"ACTION","OK"))</f>
        <v>OK</v>
      </c>
      <c r="S57" s="34" t="str">
        <f aca="false">IF(S56="","",IF(S56&lt;0,"ACTION","OK"))</f>
        <v>OK</v>
      </c>
      <c r="T57" s="34" t="str">
        <f aca="false">IF(T56="","",IF(T56&lt;0,"ACTION","OK"))</f>
        <v/>
      </c>
      <c r="U57" s="34" t="str">
        <f aca="false">IF(U56="","",IF(U56&lt;0,"ACTION","OK"))</f>
        <v>OK</v>
      </c>
      <c r="V57" s="34" t="str">
        <f aca="false">IF(V56="","",IF(V56&lt;0,"ACTION","OK"))</f>
        <v>OK</v>
      </c>
      <c r="W57" s="34" t="str">
        <f aca="false">IF(W56="","",IF(W56&lt;0,"ACTION","OK"))</f>
        <v/>
      </c>
      <c r="X57" s="34" t="str">
        <f aca="false">IF(X56="","",IF(X56&lt;0,"ACTION","OK"))</f>
        <v>OK</v>
      </c>
      <c r="Y57" s="34" t="str">
        <f aca="false">IF(Y56="","",IF(Y56&lt;0,"ACTION","OK"))</f>
        <v>OK</v>
      </c>
      <c r="Z57" s="34" t="str">
        <f aca="false">IF(Z56="","",IF(Z56&lt;0,"ACTION","OK"))</f>
        <v/>
      </c>
      <c r="AA57" s="34" t="str">
        <f aca="false">IF(AA56="","",IF(AA56&lt;0,"ACTION","OK"))</f>
        <v>OK</v>
      </c>
      <c r="AB57" s="34" t="str">
        <f aca="false">IF(AB56="","",IF(AB56&lt;0,"ACTION","OK"))</f>
        <v>OK</v>
      </c>
      <c r="AC57" s="34" t="str">
        <f aca="false">IF(AC56="","",IF(AC56&lt;0,"ACTION","OK"))</f>
        <v/>
      </c>
      <c r="AD57" s="34" t="str">
        <f aca="false">IF(AD56="","",IF(AD56&lt;0,"ACTION","OK"))</f>
        <v>OK</v>
      </c>
      <c r="AE57" s="34" t="str">
        <f aca="false">IF(AE56="","",IF(AE56&lt;0,"ACTION","OK"))</f>
        <v>OK</v>
      </c>
      <c r="AF57" s="34" t="str">
        <f aca="false">IF(AF56="","",IF(AF56&lt;0,"ACTION","OK"))</f>
        <v/>
      </c>
      <c r="AG57" s="34" t="str">
        <f aca="false">IF(AG56="","",IF(AG56&lt;0,"ACTION","OK"))</f>
        <v>OK</v>
      </c>
      <c r="AH57" s="34" t="str">
        <f aca="false">IF(AH56="","",IF(AH56&lt;0,"ACTION","OK"))</f>
        <v>OK</v>
      </c>
      <c r="AI57" s="34" t="str">
        <f aca="false">IF(AI56="","",IF(AI56&lt;0,"ACTION","OK"))</f>
        <v/>
      </c>
      <c r="AJ57" s="34" t="str">
        <f aca="false">IF(AJ56="","",IF(AJ56&lt;0,"ACTION","OK"))</f>
        <v>OK</v>
      </c>
      <c r="AK57" s="34" t="str">
        <f aca="false">IF(AK56="","",IF(AK56&lt;0,"ACTION","OK"))</f>
        <v>OK</v>
      </c>
      <c r="AL57" s="34" t="str">
        <f aca="false">IF(AL56="","",IF(AL56&lt;0,"ACTION","OK"))</f>
        <v/>
      </c>
      <c r="AM57" s="34" t="str">
        <f aca="false">IF(AM56="","",IF(AM56&lt;0,"ACTION","OK"))</f>
        <v>OK</v>
      </c>
      <c r="AN57" s="34" t="str">
        <f aca="false">IF(AN56="","",IF(AN56&lt;0,"ACTION","OK"))</f>
        <v>OK</v>
      </c>
      <c r="AO57" s="34" t="str">
        <f aca="false">IF(AO56="","",IF(AO56&lt;0,"ACTION","OK"))</f>
        <v/>
      </c>
      <c r="AP57" s="34" t="str">
        <f aca="false">IF(AP56="","",IF(AP56&lt;0,"ACTION","OK"))</f>
        <v>OK</v>
      </c>
      <c r="AQ57" s="34" t="str">
        <f aca="false">IF(AQ56="","",IF(AQ56&lt;0,"ACTION","OK"))</f>
        <v>OK</v>
      </c>
      <c r="AR57" s="34" t="str">
        <f aca="false">IF(AR56="","",IF(AR56&lt;0,"ACTION","OK"))</f>
        <v/>
      </c>
      <c r="AS57" s="34" t="str">
        <f aca="false">IF(AS56="","",IF(AS56&lt;0,"ACTION","OK"))</f>
        <v>OK</v>
      </c>
      <c r="AT57" s="34" t="str">
        <f aca="false">IF(AT56="","",IF(AT56&lt;0,"ACTION","OK"))</f>
        <v>OK</v>
      </c>
      <c r="AU57" s="34" t="str">
        <f aca="false">IF(AU56="","",IF(AU56&lt;0,"ACTION","OK"))</f>
        <v/>
      </c>
      <c r="AV57" s="34" t="str">
        <f aca="false">IF(AV56="","",IF(AV56&lt;0,"ACTION","OK"))</f>
        <v>OK</v>
      </c>
      <c r="AW57" s="34" t="str">
        <f aca="false">IF(AW56="","",IF(AW56&lt;0,"ACTION","OK"))</f>
        <v>OK</v>
      </c>
      <c r="AX57" s="34" t="str">
        <f aca="false">IF(AX56="","",IF(AX56&lt;0,"ACTION","OK"))</f>
        <v/>
      </c>
      <c r="AY57" s="34" t="str">
        <f aca="false">IF(AY56="","",IF(AY56&lt;0,"ACTION","OK"))</f>
        <v>OK</v>
      </c>
      <c r="AZ57" s="34" t="str">
        <f aca="false">IF(AZ56="","",IF(AZ56&lt;0,"ACTION","OK"))</f>
        <v>OK</v>
      </c>
      <c r="BA57" s="34" t="str">
        <f aca="false">IF(BA56="","",IF(BA56&lt;0,"ACTION","OK"))</f>
        <v/>
      </c>
      <c r="BB57" s="34" t="str">
        <f aca="false">IF(BB56="","",IF(BB56&lt;0,"ACTION","OK"))</f>
        <v>OK</v>
      </c>
      <c r="BC57" s="34" t="str">
        <f aca="false">IF(BC56="","",IF(BC56&lt;0,"ACTION","OK"))</f>
        <v>OK</v>
      </c>
      <c r="BD57" s="34" t="str">
        <f aca="false">IF(BD56="","",IF(BD56&lt;0,"ACTION","OK"))</f>
        <v/>
      </c>
      <c r="BE57" s="34" t="str">
        <f aca="false">IF(BE56="","",IF(BE56&lt;0,"ACTION","OK"))</f>
        <v>OK</v>
      </c>
      <c r="BF57" s="34" t="str">
        <f aca="false">IF(BF56="","",IF(BF56&lt;0,"ACTION","OK"))</f>
        <v>OK</v>
      </c>
      <c r="BG57" s="34" t="str">
        <f aca="false">IF(BG56="","",IF(BG56&lt;0,"ACTION","OK"))</f>
        <v/>
      </c>
      <c r="BH57" s="34" t="str">
        <f aca="false">IF(BH56="","",IF(BH56&lt;0,"ACTION","OK"))</f>
        <v>OK</v>
      </c>
      <c r="BI57" s="34" t="str">
        <f aca="false">IF(BI56="","",IF(BI56&lt;0,"ACTION","OK"))</f>
        <v>OK</v>
      </c>
      <c r="BJ57" s="34" t="str">
        <f aca="false">IF(BJ56="","",IF(BJ56&lt;0,"ACTION","OK"))</f>
        <v/>
      </c>
      <c r="BK57" s="34" t="str">
        <f aca="false">IF(BK56="","",IF(BK56&lt;0,"ACTION","OK"))</f>
        <v>OK</v>
      </c>
      <c r="BL57" s="34" t="str">
        <f aca="false">IF(BL56="","",IF(BL56&lt;0,"ACTION","OK"))</f>
        <v>OK</v>
      </c>
      <c r="BM57" s="34" t="str">
        <f aca="false">IF(BM56="","",IF(BM56&lt;0,"ACTION","OK"))</f>
        <v/>
      </c>
      <c r="BN57" s="34" t="str">
        <f aca="false">IF(BN56="","",IF(BN56&lt;0,"ACTION","OK"))</f>
        <v>OK</v>
      </c>
      <c r="BO57" s="34" t="str">
        <f aca="false">IF(BO56="","",IF(BO56&lt;0,"ACTION","OK"))</f>
        <v>OK</v>
      </c>
      <c r="BP57" s="34" t="str">
        <f aca="false">IF(BP56="","",IF(BP56&lt;0,"ACTION","OK"))</f>
        <v/>
      </c>
      <c r="BQ57" s="34" t="str">
        <f aca="false">IF(BQ56="","",IF(BQ56&lt;0,"ACTION","OK"))</f>
        <v>OK</v>
      </c>
      <c r="BR57" s="34" t="str">
        <f aca="false">IF(BR56="","",IF(BR56&lt;0,"ACTION","OK"))</f>
        <v>OK</v>
      </c>
      <c r="BS57" s="34" t="str">
        <f aca="false">IF(BS56="","",IF(BS56&lt;0,"ACTION","OK"))</f>
        <v/>
      </c>
      <c r="BT57" s="34" t="str">
        <f aca="false">IF(BT56="","",IF(BT56&lt;0,"ACTION","OK"))</f>
        <v>OK</v>
      </c>
      <c r="BU57" s="34" t="str">
        <f aca="false">IF(BU56="","",IF(BU56&lt;0,"ACTION","OK"))</f>
        <v>OK</v>
      </c>
      <c r="BV57" s="34" t="str">
        <f aca="false">IF(BV56="","",IF(BV56&lt;0,"ACTION","OK"))</f>
        <v/>
      </c>
      <c r="BW57" s="34" t="str">
        <f aca="false">IF(BW56="","",IF(BW56&lt;0,"ACTION","OK"))</f>
        <v>OK</v>
      </c>
      <c r="BX57" s="34" t="str">
        <f aca="false">IF(BX56="","",IF(BX56&lt;0,"ACTION","OK"))</f>
        <v>OK</v>
      </c>
      <c r="BY57" s="34" t="str">
        <f aca="false">IF(BY56="","",IF(BY56&lt;0,"ACTION","OK"))</f>
        <v/>
      </c>
      <c r="BZ57" s="34" t="str">
        <f aca="false">IF(BZ56="","",IF(BZ56&lt;0,"ACTION","OK"))</f>
        <v>OK</v>
      </c>
      <c r="CA57" s="34" t="str">
        <f aca="false">IF(CA56="","",IF(CA56&lt;0,"ACTION","OK"))</f>
        <v>OK</v>
      </c>
      <c r="CB57" s="34" t="str">
        <f aca="false">IF(CB56="","",IF(CB56&lt;0,"ACTION","OK"))</f>
        <v/>
      </c>
      <c r="CC57" s="34" t="str">
        <f aca="false">IF(CC56="","",IF(CC56&lt;0,"ACTION","OK"))</f>
        <v>OK</v>
      </c>
      <c r="CD57" s="34" t="str">
        <f aca="false">IF(CD56="","",IF(CD56&lt;0,"ACTION","OK"))</f>
        <v>OK</v>
      </c>
      <c r="CE57" s="34" t="str">
        <f aca="false">IF(CE56="","",IF(CE56&lt;0,"ACTION","OK"))</f>
        <v/>
      </c>
      <c r="CF57" s="34" t="str">
        <f aca="false">IF(CF56="","",IF(CF56&lt;0,"ACTION","OK"))</f>
        <v>OK</v>
      </c>
      <c r="CG57" s="34" t="str">
        <f aca="false">IF(CG56="","",IF(CG56&lt;0,"ACTION","OK"))</f>
        <v>OK</v>
      </c>
      <c r="CH57" s="34" t="str">
        <f aca="false">IF(CH56="","",IF(CH56&lt;0,"ACTION","OK"))</f>
        <v/>
      </c>
      <c r="CI57" s="34" t="str">
        <f aca="false">IF(CI56="","",IF(CI56&lt;0,"ACTION","OK"))</f>
        <v>OK</v>
      </c>
      <c r="CJ57" s="34" t="str">
        <f aca="false">IF(CJ56="","",IF(CJ56&lt;0,"ACTION","OK"))</f>
        <v>OK</v>
      </c>
      <c r="CK57" s="34" t="str">
        <f aca="false">IF(CK56="","",IF(CK56&lt;0,"ACTION","OK"))</f>
        <v/>
      </c>
      <c r="CL57" s="34" t="str">
        <f aca="false">IF(CL56="","",IF(CL56&lt;0,"ACTION","OK"))</f>
        <v>OK</v>
      </c>
      <c r="CM57" s="34" t="str">
        <f aca="false">IF(CM56="","",IF(CM56&lt;0,"ACTION","OK"))</f>
        <v>OK</v>
      </c>
      <c r="CN57" s="34" t="str">
        <f aca="false">IF(CN56="","",IF(CN56&lt;0,"ACTION","OK"))</f>
        <v/>
      </c>
      <c r="CO57" s="34" t="str">
        <f aca="false">IF(CO56="","",IF(CO56&lt;0,"ACTION","OK"))</f>
        <v>OK</v>
      </c>
      <c r="CP57" s="34" t="str">
        <f aca="false">IF(CP56="","",IF(CP56&lt;0,"ACTION","OK"))</f>
        <v>OK</v>
      </c>
      <c r="CQ57" s="34" t="str">
        <f aca="false">IF(CQ56="","",IF(CQ56&lt;0,"ACTION","OK"))</f>
        <v/>
      </c>
      <c r="CR57" s="34" t="str">
        <f aca="false">IF(CR56="","",IF(CR56&lt;0,"ACTION","OK"))</f>
        <v>OK</v>
      </c>
      <c r="CS57" s="34" t="str">
        <f aca="false">IF(CS56="","",IF(CS56&lt;0,"ACTION","OK"))</f>
        <v>OK</v>
      </c>
      <c r="CT57" s="34" t="str">
        <f aca="false">IF(CT56="","",IF(CT56&lt;0,"ACTION","OK"))</f>
        <v/>
      </c>
      <c r="CU57" s="34" t="str">
        <f aca="false">IF(CU56="","",IF(CU56&lt;0,"ACTION","OK"))</f>
        <v>OK</v>
      </c>
      <c r="CV57" s="34" t="str">
        <f aca="false">IF(CV56="","",IF(CV56&lt;0,"ACTION","OK"))</f>
        <v>OK</v>
      </c>
      <c r="CW57" s="34" t="str">
        <f aca="false">IF(CW56="","",IF(CW56&lt;0,"ACTION","OK"))</f>
        <v/>
      </c>
      <c r="CX57" s="34" t="str">
        <f aca="false">IF(CX56="","",IF(CX56&lt;0,"ACTION","OK"))</f>
        <v>OK</v>
      </c>
      <c r="CY57" s="34" t="str">
        <f aca="false">IF(CY56="","",IF(CY56&lt;0,"ACTION","OK"))</f>
        <v>OK</v>
      </c>
      <c r="CZ57" s="34" t="str">
        <f aca="false">IF(CZ56="","",IF(CZ56&lt;0,"ACTION","OK"))</f>
        <v/>
      </c>
      <c r="DA57" s="34" t="str">
        <f aca="false">IF(DA56="","",IF(DA56&lt;0,"ACTION","OK"))</f>
        <v>OK</v>
      </c>
      <c r="DB57" s="34" t="str">
        <f aca="false">IF(DB56="","",IF(DB56&lt;0,"ACTION","OK"))</f>
        <v>OK</v>
      </c>
      <c r="DC57" s="34" t="str">
        <f aca="false">IF(DC56="","",IF(DC56&lt;0,"ACTION","OK"))</f>
        <v/>
      </c>
      <c r="DD57" s="34" t="str">
        <f aca="false">IF(DD56="","",IF(DD56&lt;0,"ACTION","OK"))</f>
        <v>OK</v>
      </c>
      <c r="DE57" s="34" t="str">
        <f aca="false">IF(DE56="","",IF(DE56&lt;0,"ACTION","OK"))</f>
        <v>OK</v>
      </c>
      <c r="DF57" s="34" t="str">
        <f aca="false">IF(DF56="","",IF(DF56&lt;0,"ACTION","OK"))</f>
        <v>OK</v>
      </c>
      <c r="DG57" s="34" t="str">
        <f aca="false">IF(DG56="","",IF(DG56&lt;0,"ACTION","OK"))</f>
        <v>OK</v>
      </c>
      <c r="DH57" s="34" t="str">
        <f aca="false">IF(DH56="","",IF(DH56&lt;0,"ACTION","OK"))</f>
        <v>OK</v>
      </c>
      <c r="DI57" s="34" t="str">
        <f aca="false">IF(DI56="","",IF(DI56&lt;0,"ACTION","OK"))</f>
        <v>OK</v>
      </c>
      <c r="DJ57" s="34" t="str">
        <f aca="false">IF(DJ56="","",IF(DJ56&lt;0,"ACTION","OK"))</f>
        <v>OK</v>
      </c>
      <c r="DK57" s="34" t="str">
        <f aca="false">IF(DK56="","",IF(DK56&lt;0,"ACTION","OK"))</f>
        <v>ACTION</v>
      </c>
      <c r="DL57" s="34" t="str">
        <f aca="false">IF(DL56="","",IF(DL56&lt;0,"ACTION","OK"))</f>
        <v>OK</v>
      </c>
      <c r="DM57" s="34" t="str">
        <f aca="false">IF(DM56="","",IF(DM56&lt;0,"ACTION","OK"))</f>
        <v>OK</v>
      </c>
      <c r="DN57" s="34" t="str">
        <f aca="false">IF(DN56="","",IF(DN56&lt;0,"ACTION","OK"))</f>
        <v>ACTION</v>
      </c>
    </row>
    <row r="58" customFormat="false" ht="15.75" hidden="false" customHeight="true" outlineLevel="0" collapsed="false"/>
    <row r="59" customFormat="false" ht="15.75" hidden="false" customHeight="true" outlineLevel="0" collapsed="false"/>
    <row r="60" customFormat="false" ht="15.75" hidden="false" customHeight="true" outlineLevel="0" collapsed="false">
      <c r="A60" s="17" t="s">
        <v>307</v>
      </c>
    </row>
    <row r="61" customFormat="false" ht="15.75" hidden="false" customHeight="true" outlineLevel="0" collapsed="false">
      <c r="A61" s="5" t="s">
        <v>308</v>
      </c>
      <c r="B61" s="149"/>
      <c r="DL61" s="150" t="n">
        <v>46053</v>
      </c>
      <c r="DM61" s="150"/>
      <c r="DN61" s="150"/>
    </row>
    <row r="62" customFormat="false" ht="15.75" hidden="false" customHeight="true" outlineLevel="0" collapsed="false">
      <c r="A62" s="5" t="s">
        <v>309</v>
      </c>
      <c r="B62" s="5"/>
      <c r="DL62" s="151" t="n">
        <v>830</v>
      </c>
      <c r="DM62" s="151"/>
      <c r="DN62" s="151"/>
    </row>
    <row r="63" customFormat="false" ht="15.75" hidden="false" customHeight="true" outlineLevel="0" collapsed="false">
      <c r="A63" s="5" t="s">
        <v>310</v>
      </c>
      <c r="B63" s="89"/>
      <c r="DL63" s="152" t="n">
        <v>996000</v>
      </c>
      <c r="DM63" s="152"/>
      <c r="DN63" s="152"/>
    </row>
    <row r="64" customFormat="false" ht="15.75" hidden="false" customHeight="true" outlineLevel="0" collapsed="false">
      <c r="A64" s="5" t="s">
        <v>311</v>
      </c>
      <c r="B64" s="89"/>
      <c r="DL64" s="152" t="n">
        <v>1200000</v>
      </c>
      <c r="DM64" s="152"/>
      <c r="DN64" s="152"/>
    </row>
    <row r="65" customFormat="false" ht="15.75" hidden="false" customHeight="true" outlineLevel="0" collapsed="false">
      <c r="A65" s="5" t="s">
        <v>312</v>
      </c>
      <c r="B65" s="89"/>
      <c r="DL65" s="152" t="n">
        <v>180000</v>
      </c>
      <c r="DM65" s="152"/>
      <c r="DN65" s="152"/>
    </row>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44">
    <mergeCell ref="B1:D1"/>
    <mergeCell ref="E1:G1"/>
    <mergeCell ref="H1:J1"/>
    <mergeCell ref="K1:M1"/>
    <mergeCell ref="N1:P1"/>
    <mergeCell ref="Q1:S1"/>
    <mergeCell ref="T1:V1"/>
    <mergeCell ref="W1:Y1"/>
    <mergeCell ref="Z1:AB1"/>
    <mergeCell ref="AC1:AE1"/>
    <mergeCell ref="AF1:AH1"/>
    <mergeCell ref="AI1:AK1"/>
    <mergeCell ref="AL1:AN1"/>
    <mergeCell ref="AO1:AQ1"/>
    <mergeCell ref="AR1:AT1"/>
    <mergeCell ref="AU1:AW1"/>
    <mergeCell ref="AX1:AZ1"/>
    <mergeCell ref="BA1:BC1"/>
    <mergeCell ref="BD1:BF1"/>
    <mergeCell ref="BG1:BI1"/>
    <mergeCell ref="BJ1:BL1"/>
    <mergeCell ref="BM1:BO1"/>
    <mergeCell ref="BP1:BR1"/>
    <mergeCell ref="BS1:BU1"/>
    <mergeCell ref="BV1:BX1"/>
    <mergeCell ref="BY1:CA1"/>
    <mergeCell ref="CB1:CD1"/>
    <mergeCell ref="CE1:CG1"/>
    <mergeCell ref="CH1:CJ1"/>
    <mergeCell ref="CK1:CM1"/>
    <mergeCell ref="CN1:CP1"/>
    <mergeCell ref="CQ1:CS1"/>
    <mergeCell ref="CT1:CV1"/>
    <mergeCell ref="CW1:CY1"/>
    <mergeCell ref="CZ1:DB1"/>
    <mergeCell ref="DC1:DE1"/>
    <mergeCell ref="DF1:DH1"/>
    <mergeCell ref="DI1:DK1"/>
    <mergeCell ref="DL1:DN1"/>
    <mergeCell ref="DL61:DN61"/>
    <mergeCell ref="DL62:DN62"/>
    <mergeCell ref="DL63:DN63"/>
    <mergeCell ref="DL64:DN64"/>
    <mergeCell ref="DL65:DN65"/>
  </mergeCells>
  <conditionalFormatting sqref="B56:DN56">
    <cfRule type="cellIs" priority="2" operator="lessThan" aboveAverage="0" equalAverage="0" bottom="0" percent="0" rank="0" text="" dxfId="1">
      <formula>0</formula>
    </cfRule>
  </conditionalFormatting>
  <conditionalFormatting sqref="B57:DN57">
    <cfRule type="containsText" priority="3" operator="containsText" aboveAverage="0" equalAverage="0" bottom="0" percent="0" rank="0" text="ACTION" dxfId="1">
      <formula>NOT(ISERROR(SEARCH("ACTION",B57)))</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false" zeroHeight="false" outlineLevelRow="0" outlineLevelCol="0"/>
  <cols>
    <col collapsed="false" customWidth="true" hidden="false" outlineLevel="0" max="1" min="1" style="0" width="88.71"/>
    <col collapsed="false" customWidth="true" hidden="false" outlineLevel="0" max="2" min="2" style="0" width="12"/>
    <col collapsed="false" customWidth="true" hidden="false" outlineLevel="0" max="26" min="3" style="0" width="8.71"/>
  </cols>
  <sheetData>
    <row r="1" customFormat="false" ht="16.15" hidden="false" customHeight="false" outlineLevel="0" collapsed="false">
      <c r="A1" s="153" t="s">
        <v>313</v>
      </c>
    </row>
    <row r="3" customFormat="false" ht="15" hidden="false" customHeight="false" outlineLevel="0" collapsed="false">
      <c r="A3" s="5" t="s">
        <v>314</v>
      </c>
      <c r="B3" s="2" t="str">
        <f aca="false">IF(AND(Sales!DM6=Sales!DL6,Sales!DJ6=Sales!DI6,'Customer Success'!DM17='Customer Success'!DL17,'Customer Success'!DJ17='Customer Success'!DI17),"OK","CHECK")</f>
        <v>OK</v>
      </c>
    </row>
    <row r="4" customFormat="false" ht="15" hidden="false" customHeight="false" outlineLevel="0" collapsed="false">
      <c r="A4" s="5" t="s">
        <v>315</v>
      </c>
      <c r="B4" s="2" t="str">
        <f aca="false">IF(ABS(Finance!L6-Finance!O11)&lt;0.01,"OK","CHECK")</f>
        <v>OK</v>
      </c>
    </row>
    <row r="5" customFormat="false" ht="15" hidden="false" customHeight="false" outlineLevel="0" collapsed="false">
      <c r="A5" s="5" t="s">
        <v>316</v>
      </c>
      <c r="B5" s="2" t="str">
        <f aca="false">IF(ABS(Finance!M6-Finance!P11)&lt;0.01,"OK","CHECK")</f>
        <v>OK</v>
      </c>
    </row>
    <row r="6" customFormat="false" ht="15" hidden="false" customHeight="false" outlineLevel="0" collapsed="false">
      <c r="A6" s="5" t="s">
        <v>317</v>
      </c>
      <c r="B6" s="2" t="str">
        <f aca="false">IF(ABS((Marketing!M28+Sales!M24+'Customer Success'!M33+Support!M25+Engineering!M27+Finance!M38)-(Summary!M10+Summary!M7-Summary!M8))&lt;1,"OK","CHECK")</f>
        <v>OK</v>
      </c>
    </row>
    <row r="7" customFormat="false" ht="15" hidden="false" customHeight="false" outlineLevel="0" collapsed="false">
      <c r="A7" s="5" t="s">
        <v>318</v>
      </c>
      <c r="B7" s="2" t="str">
        <f aca="false">IF(ABS((Marketing!L28+Sales!L24+'Customer Success'!L33+Support!L25+Engineering!L27+Finance!L38)-(Summary!L10+Summary!L7-Summary!L8))&lt;1,"OK","CHECK")</f>
        <v>OK</v>
      </c>
    </row>
    <row r="8" customFormat="false" ht="15" hidden="false" customHeight="false" outlineLevel="0" collapsed="false">
      <c r="A8" s="5" t="s">
        <v>319</v>
      </c>
      <c r="B8" s="2" t="str">
        <f aca="false">IF(ABS(Summary!L6-(Summary!O6+Sales!L8+'Customer Success'!L11))&lt;1,"OK","CHECK")</f>
        <v>OK</v>
      </c>
    </row>
    <row r="9" customFormat="false" ht="15" hidden="false" customHeight="false" outlineLevel="0" collapsed="false">
      <c r="A9" s="5" t="s">
        <v>320</v>
      </c>
      <c r="B9" s="2" t="str">
        <f aca="false">IF(SUMPRODUCT(--(Marketing!K7:DN7&lt;&gt;Sales!K3:DN3))=0,"OK","CHECK")</f>
        <v>OK</v>
      </c>
    </row>
    <row r="10" customFormat="false" ht="15" hidden="false" customHeight="false" outlineLevel="0" collapsed="false">
      <c r="A10" s="5" t="s">
        <v>321</v>
      </c>
      <c r="B10" s="2" t="str">
        <f aca="false">IF(SUMPRODUCT(--(Support!K10:DN10&lt;&gt;'Customer Success'!K13:DN13))=0,"OK","CHECK")</f>
        <v>OK</v>
      </c>
    </row>
    <row r="11" customFormat="false" ht="15" hidden="false" customHeight="false" outlineLevel="0" collapsed="false">
      <c r="A11" s="5" t="s">
        <v>322</v>
      </c>
      <c r="B11" s="2" t="str">
        <f aca="false">IF(AND(ABS(Sales!O7-(Sales!R7+Engineering!R7*Engineering!R9))&lt;0.01,ABS(Sales!BE7-(Sales!BH7+Engineering!BH7*Engineering!BH9))&lt;0.01,ABS(Sales!CX7-(Sales!DA7+Engineering!DA7*Engineering!DA9))&lt;0.01),"OK","CHECK")</f>
        <v>OK</v>
      </c>
    </row>
    <row r="12" customFormat="false" ht="15" hidden="false" customHeight="false" outlineLevel="0" collapsed="false">
      <c r="A12" s="5" t="s">
        <v>323</v>
      </c>
      <c r="B12" s="2" t="str">
        <f aca="false">IF(AND(ABS(Support!O4-MAX(0.25,Support!R4-Engineering!R8*Engineering!R10))&lt;0.000001,ABS(Support!BE4-MAX(0.25,Support!BH4-Engineering!BH8*Engineering!BH10))&lt;0.000001,ABS(Support!CX4-MAX(0.25,Support!DA4-Engineering!DA8*Engineering!DA10))&lt;0.000001),"OK","CHECK")</f>
        <v>OK</v>
      </c>
    </row>
    <row r="13" customFormat="false" ht="15" hidden="false" customHeight="false" outlineLevel="0" collapsed="false">
      <c r="A13" s="5" t="s">
        <v>324</v>
      </c>
      <c r="B13" s="2" t="str">
        <f aca="false">IF(AND(SUMPRODUCT(--(Marketing!K8:DN8&lt;&gt;Marketing!K38:DN38))=0,SUMPRODUCT(--(Sales!K9:DN9&lt;&gt;Sales!K51:DN51))=0,SUMPRODUCT(--('Customer Success'!K18:DN18&lt;&gt;'Customer Success'!K47:DN47))=0,SUMPRODUCT(--(Support!K11:DN11&lt;&gt;Support!K41:DN41))=0,SUMPRODUCT(--(Engineering!K12:DN12&lt;&gt;Engineering!K46:DN46))=0,SUMPRODUCT(--(Finance!K22:DN22&lt;&gt;Finance!K49:DN49))=0),"OK","CHECK")</f>
        <v>OK</v>
      </c>
    </row>
    <row r="14" customFormat="false" ht="15" hidden="false" customHeight="false" outlineLevel="0" collapsed="false">
      <c r="A14" s="5" t="s">
        <v>325</v>
      </c>
      <c r="B14" s="2" t="str">
        <f aca="false">IF(AND(ABS(N(Summary!B21)-N(Finance!B12))&lt;0.001,ABS(N(Summary!C21)-N(Finance!C12))&lt;0.001,ABS(N(Summary!D21)-N(Finance!D12))&lt;0.001,ABS(N(Summary!E21)-N(Finance!E12))&lt;0.001,ABS(N(Summary!F21)-N(Finance!F12))&lt;0.001,ABS(N(Summary!G21)-N(Finance!G12))&lt;0.001,ABS(N(Summary!H21)-N(Finance!H12))&lt;0.001,ABS(N(Summary!I21)-N(Finance!I12))&lt;0.001,ABS(N(Summary!J21)-N(Finance!J12))&lt;0.001),"OK","CHECK")</f>
        <v>OK</v>
      </c>
    </row>
    <row r="15" customFormat="false" ht="15" hidden="false" customHeight="false" outlineLevel="0" collapsed="false">
      <c r="A15" s="5" t="s">
        <v>326</v>
      </c>
      <c r="B15" s="2" t="str">
        <f aca="false">IF(AND(ABS(Marketing!L10-Marketing!L8*0.22)&lt;0.01,ABS(Sales!L11-Sales!L9*0.22)&lt;0.01,ABS('Customer Success'!L20-'Customer Success'!L18*0.22)&lt;0.01,ABS(Support!L13-Support!L11*0.22)&lt;0.01,ABS(Engineering!L14-Engineering!L12*0.22)&lt;0.01,ABS(Finance!L24-Finance!L22*0.22)&lt;0.01),"OK","CHECK")</f>
        <v>OK</v>
      </c>
    </row>
    <row r="16" customFormat="false" ht="15" hidden="false" customHeight="false" outlineLevel="0" collapsed="false">
      <c r="A16" s="5" t="s">
        <v>327</v>
      </c>
      <c r="B16" s="2" t="str">
        <f aca="false">IF(AND(Sales!DM6=Sales!DL6,Sales!DJ6=Sales!DI6,Sales!DG6='Cash Drivers'!DG11,Sales!AS6='Cash Drivers'!AS11),"OK","CHECK")</f>
        <v>OK</v>
      </c>
    </row>
    <row r="17" customFormat="false" ht="15" hidden="false" customHeight="false" outlineLevel="0" collapsed="false">
      <c r="A17" s="5" t="s">
        <v>328</v>
      </c>
      <c r="B17" s="2" t="str">
        <f aca="false">IF(AND(ABS(Finance!L16-MAX(0,Summary!L12-Finance!L15)*Finance!L14)&lt;0.01,ABS(Finance!AS16-MAX(0,Summary!AS12-Finance!AS15)*Finance!AS14)&lt;0.01,ABS(Finance!CC16-MAX(0,Summary!CC12-Finance!CC15)*Finance!CC14)&lt;0.01,ABS(Finance!DJ16-MAX(0,Summary!DJ12-Finance!DJ15)*Finance!DJ14)&lt;0.01),"OK","CHECK")</f>
        <v>OK</v>
      </c>
    </row>
    <row r="18" customFormat="false" ht="15" hidden="false" customHeight="false" outlineLevel="0" collapsed="false">
      <c r="A18" s="5" t="s">
        <v>329</v>
      </c>
      <c r="B18" s="2" t="str">
        <f aca="false">IF(AND(ABS(Finance!L11-(Finance!L6+Finance!L5-Finance!L7-Finance!L8-Finance!L9))&lt;0.01,ABS(Finance!M11-(Finance!M6+Finance!M5-Finance!M7-Finance!M8-Finance!M9))&lt;0.01,ABS(Finance!BK11-(Finance!BK6+Finance!BK5-Finance!BK7-Finance!BK8-Finance!BK9))&lt;0.01,ABS(Finance!BL11-(Finance!BL6+Finance!BL5-Finance!BL7-Finance!BL8-Finance!BL9))&lt;0.01,ABS(Finance!DG11-(Finance!DG6+Finance!DG5-Finance!DG7-Finance!DG8-Finance!DG9))&lt;0.01,ABS(Finance!DH11-(Finance!DH6+Finance!DH5-Finance!DH7-Finance!DH8-Finance!DH9))&lt;0.01),"OK","CHECK")</f>
        <v>OK</v>
      </c>
    </row>
    <row r="19" customFormat="false" ht="15" hidden="false" customHeight="false" outlineLevel="0" collapsed="false">
      <c r="A19" s="5" t="s">
        <v>330</v>
      </c>
      <c r="B19" s="2" t="str">
        <f aca="false">IF(AND(ABS(Finance!L7-(Summary!L7-Summary!L8+Summary!L10))&lt;0.01,ABS(Finance!BK7-(Summary!BK7-Summary!BK8+Summary!BK10))&lt;0.01,ABS(Finance!DG7-(Summary!DG7-Summary!DG8+Summary!DG10))&lt;0.01),"OK","CHECK")</f>
        <v>OK</v>
      </c>
    </row>
    <row r="20" customFormat="false" ht="15" hidden="false" customHeight="false" outlineLevel="0" collapsed="false">
      <c r="A20" s="5" t="s">
        <v>331</v>
      </c>
      <c r="B20" s="2" t="str">
        <f aca="false">IF(AND(ABS(Sales!L19-Sales!L6*2000)&lt;0.01,ABS(Sales!M19-Sales!M6*2000)&lt;0.01,ABS(Sales!AS19-Sales!AS6*2000)&lt;0.01,ABS(Sales!AT19-Sales!AT6*2000)&lt;0.01,ABS(Sales!CC19-Sales!CC6*2000)&lt;0.01,ABS(Sales!CD19-Sales!CD6*2000)&lt;0.01,ABS(Sales!DJ19-Sales!DJ6*2000)&lt;0.01,ABS(Sales!DK19-Sales!DK6*2000)&lt;0.01),"OK","CHECK")</f>
        <v>OK</v>
      </c>
    </row>
    <row r="21" customFormat="false" ht="15.75" hidden="false" customHeight="true" outlineLevel="0" collapsed="false">
      <c r="A21" s="5" t="s">
        <v>332</v>
      </c>
      <c r="B21" s="2" t="str">
        <f aca="false">IF(AND(ABS(Sales!L25-Sales!L24/Sales!L6)&lt;0.01,ABS(Sales!AS25-Sales!AS24/Sales!AS6)&lt;0.01,ABS(Sales!CC25-Sales!CC24/Sales!CC6)&lt;0.01,ABS(Support!L26-Support!L25/Support!L5)&lt;0.01,ABS(Support!AS26-Support!AS25/Support!AS5)&lt;0.01,ABS(Support!CC26-Support!CC25/Support!CC5)&lt;0.01),"OK","CHECK")</f>
        <v>OK</v>
      </c>
    </row>
    <row r="22" customFormat="false" ht="15.75" hidden="false" customHeight="true" outlineLevel="0" collapsed="false">
      <c r="A22" s="5" t="s">
        <v>333</v>
      </c>
      <c r="B22" s="2" t="str">
        <f aca="false">IF(AND(Finance!DM5=Finance!DL5,Finance!DJ5=Finance!DI5,COUNT(Finance!DG5,Finance!AS5,Finance!CC5,Finance!L5)=4),"OK","CHECK")</f>
        <v>OK</v>
      </c>
    </row>
    <row r="23" customFormat="false" ht="15.75" hidden="false" customHeight="true" outlineLevel="0" collapsed="false">
      <c r="A23" s="5" t="s">
        <v>334</v>
      </c>
      <c r="B23" s="2" t="str">
        <f aca="false">IF(SUMPRODUCT(--ISERROR(Summary!B3:DN26))+SUMPRODUCT(--ISERROR(Marketing!B3:DN39))+SUMPRODUCT(--ISERROR(Sales!B3:DN61))+SUMPRODUCT(--ISERROR('Customer Success'!B3:DN48))+SUMPRODUCT(--ISERROR(Support!B3:DN42))+SUMPRODUCT(--ISERROR(Engineering!B3:DN60))+SUMPRODUCT(--ISERROR(Finance!B3:DN65))+SUMPRODUCT(--ISERROR('Cash Drivers'!B3:DN35))=0,"OK","ERRORS")</f>
        <v>OK</v>
      </c>
    </row>
    <row r="24" customFormat="false" ht="15.75" hidden="false" customHeight="true" outlineLevel="0" collapsed="false">
      <c r="A24" s="154" t="s">
        <v>335</v>
      </c>
      <c r="B24" s="155" t="str">
        <f aca="false">IF(AND(AND('Cash Drivers'!DM7&gt;=0,'Cash Drivers'!DM10&gt;=0,'Cash Drivers'!DM13&gt;=0,'Cash Drivers'!DM21&gt;=0),AND('Cash Drivers'!DN7&gt;=0,'Cash Drivers'!DN10&gt;=0,'Cash Drivers'!DN13&gt;=0,'Cash Drivers'!DN21&gt;=0),AND('Cash Drivers'!DJ7&gt;=0,'Cash Drivers'!DJ10&gt;=0,'Cash Drivers'!DJ13&gt;=0,'Cash Drivers'!DJ21&gt;=0),AND('Cash Drivers'!DK7&gt;=0,'Cash Drivers'!DK10&gt;=0,'Cash Drivers'!DK13&gt;=0,'Cash Drivers'!DK21&gt;=0),AND('Cash Drivers'!DG7&gt;=0,'Cash Drivers'!DG10&gt;=0,'Cash Drivers'!DG13&gt;=0,'Cash Drivers'!DG21&gt;=0),AND('Cash Drivers'!DH7&gt;=0,'Cash Drivers'!DH10&gt;=0,'Cash Drivers'!DH13&gt;=0,'Cash Drivers'!DH21&gt;=0),AND('Cash Drivers'!DD7&gt;=0,'Cash Drivers'!DD10&gt;=0,'Cash Drivers'!DD13&gt;=0,'Cash Drivers'!DD21&gt;=0),AND('Cash Drivers'!DE7&gt;=0,'Cash Drivers'!DE10&gt;=0,'Cash Drivers'!DE13&gt;=0,'Cash Drivers'!DE21&gt;=0),AND('Cash Drivers'!DA7&gt;=0,'Cash Drivers'!DA10&gt;=0,'Cash Drivers'!DA13&gt;=0,'Cash Drivers'!DA21&gt;=0),AND('Cash Drivers'!DB7&gt;=0,'Cash Drivers'!DB10&gt;=0,'Cash Drivers'!DB13&gt;=0,'Cash Drivers'!DB21&gt;=0),AND('Cash Drivers'!CX7&gt;=0,'Cash Drivers'!CX10&gt;=0,'Cash Drivers'!CX13&gt;=0,'Cash Drivers'!CX21&gt;=0),AND('Cash Drivers'!CY7&gt;=0,'Cash Drivers'!CY10&gt;=0,'Cash Drivers'!CY13&gt;=0,'Cash Drivers'!CY21&gt;=0),AND('Cash Drivers'!CU7&gt;=0,'Cash Drivers'!CU10&gt;=0,'Cash Drivers'!CU13&gt;=0,'Cash Drivers'!CU21&gt;=0),AND('Cash Drivers'!CV7&gt;=0,'Cash Drivers'!CV10&gt;=0,'Cash Drivers'!CV13&gt;=0,'Cash Drivers'!CV21&gt;=0),AND('Cash Drivers'!CR7&gt;=0,'Cash Drivers'!CR10&gt;=0,'Cash Drivers'!CR13&gt;=0,'Cash Drivers'!CR21&gt;=0),AND('Cash Drivers'!CS7&gt;=0,'Cash Drivers'!CS10&gt;=0,'Cash Drivers'!CS13&gt;=0,'Cash Drivers'!CS21&gt;=0),AND('Cash Drivers'!CO7&gt;=0,'Cash Drivers'!CO10&gt;=0,'Cash Drivers'!CO13&gt;=0,'Cash Drivers'!CO21&gt;=0),AND('Cash Drivers'!CP7&gt;=0,'Cash Drivers'!CP10&gt;=0,'Cash Drivers'!CP13&gt;=0,'Cash Drivers'!CP21&gt;=0),AND('Cash Drivers'!CL7&gt;=0,'Cash Drivers'!CL10&gt;=0,'Cash Drivers'!CL13&gt;=0,'Cash Drivers'!CL21&gt;=0),AND('Cash Drivers'!CM7&gt;=0,'Cash Drivers'!CM10&gt;=0,'Cash Drivers'!CM13&gt;=0,'Cash Drivers'!CM21&gt;=0),AND('Cash Drivers'!CI7&gt;=0,'Cash Drivers'!CI10&gt;=0,'Cash Drivers'!CI13&gt;=0,'Cash Drivers'!CI21&gt;=0),AND('Cash Drivers'!CJ7&gt;=0,'Cash Drivers'!CJ10&gt;=0,'Cash Drivers'!CJ13&gt;=0,'Cash Drivers'!CJ21&gt;=0),AND('Cash Drivers'!CF7&gt;=0,'Cash Drivers'!CF10&gt;=0,'Cash Drivers'!CF13&gt;=0,'Cash Drivers'!CF21&gt;=0),AND('Cash Drivers'!CG7&gt;=0,'Cash Drivers'!CG10&gt;=0,'Cash Drivers'!CG13&gt;=0,'Cash Drivers'!CG21&gt;=0),AND('Cash Drivers'!CC7&gt;=0,'Cash Drivers'!CC10&gt;=0,'Cash Drivers'!CC13&gt;=0,'Cash Drivers'!CC21&gt;=0),AND('Cash Drivers'!CD7&gt;=0,'Cash Drivers'!CD10&gt;=0,'Cash Drivers'!CD13&gt;=0,'Cash Drivers'!CD21&gt;=0),AND('Cash Drivers'!BZ7&gt;=0,'Cash Drivers'!BZ10&gt;=0,'Cash Drivers'!BZ13&gt;=0,'Cash Drivers'!BZ21&gt;=0),AND('Cash Drivers'!CA7&gt;=0,'Cash Drivers'!CA10&gt;=0,'Cash Drivers'!CA13&gt;=0,'Cash Drivers'!CA21&gt;=0),AND('Cash Drivers'!BW7&gt;=0,'Cash Drivers'!BW10&gt;=0,'Cash Drivers'!BW13&gt;=0,'Cash Drivers'!BW21&gt;=0),AND('Cash Drivers'!BX7&gt;=0,'Cash Drivers'!BX10&gt;=0,'Cash Drivers'!BX13&gt;=0,'Cash Drivers'!BX21&gt;=0),AND('Cash Drivers'!BT7&gt;=0,'Cash Drivers'!BT10&gt;=0,'Cash Drivers'!BT13&gt;=0,'Cash Drivers'!BT21&gt;=0),AND('Cash Drivers'!BU7&gt;=0,'Cash Drivers'!BU10&gt;=0,'Cash Drivers'!BU13&gt;=0,'Cash Drivers'!BU21&gt;=0),AND('Cash Drivers'!BQ7&gt;=0,'Cash Drivers'!BQ10&gt;=0,'Cash Drivers'!BQ13&gt;=0,'Cash Drivers'!BQ21&gt;=0),AND('Cash Drivers'!BR7&gt;=0,'Cash Drivers'!BR10&gt;=0,'Cash Drivers'!BR13&gt;=0,'Cash Drivers'!BR21&gt;=0),AND('Cash Drivers'!BN7&gt;=0,'Cash Drivers'!BN10&gt;=0,'Cash Drivers'!BN13&gt;=0,'Cash Drivers'!BN21&gt;=0),AND('Cash Drivers'!BO7&gt;=0,'Cash Drivers'!BO10&gt;=0,'Cash Drivers'!BO13&gt;=0,'Cash Drivers'!BO21&gt;=0),AND('Cash Drivers'!BK7&gt;=0,'Cash Drivers'!BK10&gt;=0,'Cash Drivers'!BK13&gt;=0,'Cash Drivers'!BK21&gt;=0),AND('Cash Drivers'!BL7&gt;=0,'Cash Drivers'!BL10&gt;=0,'Cash Drivers'!BL13&gt;=0,'Cash Drivers'!BL21&gt;=0),AND('Cash Drivers'!BH7&gt;=0,'Cash Drivers'!BH10&gt;=0,'Cash Drivers'!BH13&gt;=0,'Cash Drivers'!BH21&gt;=0),AND('Cash Drivers'!BI7&gt;=0,'Cash Drivers'!BI10&gt;=0,'Cash Drivers'!BI13&gt;=0,'Cash Drivers'!BI21&gt;=0),AND('Cash Drivers'!BE7&gt;=0,'Cash Drivers'!BE10&gt;=0,'Cash Drivers'!BE13&gt;=0,'Cash Drivers'!BE21&gt;=0),AND('Cash Drivers'!BF7&gt;=0,'Cash Drivers'!BF10&gt;=0,'Cash Drivers'!BF13&gt;=0,'Cash Drivers'!BF21&gt;=0),AND('Cash Drivers'!BB7&gt;=0,'Cash Drivers'!BB10&gt;=0,'Cash Drivers'!BB13&gt;=0,'Cash Drivers'!BB21&gt;=0),AND('Cash Drivers'!BC7&gt;=0,'Cash Drivers'!BC10&gt;=0,'Cash Drivers'!BC13&gt;=0,'Cash Drivers'!BC21&gt;=0),AND('Cash Drivers'!AY7&gt;=0,'Cash Drivers'!AY10&gt;=0,'Cash Drivers'!AY13&gt;=0,'Cash Drivers'!AY21&gt;=0),AND('Cash Drivers'!AZ7&gt;=0,'Cash Drivers'!AZ10&gt;=0,'Cash Drivers'!AZ13&gt;=0,'Cash Drivers'!AZ21&gt;=0),AND('Cash Drivers'!AV7&gt;=0,'Cash Drivers'!AV10&gt;=0,'Cash Drivers'!AV13&gt;=0,'Cash Drivers'!AV21&gt;=0),AND('Cash Drivers'!AW7&gt;=0,'Cash Drivers'!AW10&gt;=0,'Cash Drivers'!AW13&gt;=0,'Cash Drivers'!AW21&gt;=0),AND('Cash Drivers'!AS7&gt;=0,'Cash Drivers'!AS10&gt;=0,'Cash Drivers'!AS13&gt;=0,'Cash Drivers'!AS21&gt;=0),AND('Cash Drivers'!AT7&gt;=0,'Cash Drivers'!AT10&gt;=0,'Cash Drivers'!AT13&gt;=0,'Cash Drivers'!AT21&gt;=0),AND('Cash Drivers'!AP7&gt;=0,'Cash Drivers'!AP10&gt;=0,'Cash Drivers'!AP13&gt;=0,'Cash Drivers'!AP21&gt;=0),AND('Cash Drivers'!AQ7&gt;=0,'Cash Drivers'!AQ10&gt;=0,'Cash Drivers'!AQ13&gt;=0,'Cash Drivers'!AQ21&gt;=0),AND('Cash Drivers'!AM7&gt;=0,'Cash Drivers'!AM10&gt;=0,'Cash Drivers'!AM13&gt;=0,'Cash Drivers'!AM21&gt;=0),AND('Cash Drivers'!AN7&gt;=0,'Cash Drivers'!AN10&gt;=0,'Cash Drivers'!AN13&gt;=0,'Cash Drivers'!AN21&gt;=0),AND('Cash Drivers'!AJ7&gt;=0,'Cash Drivers'!AJ10&gt;=0,'Cash Drivers'!AJ13&gt;=0,'Cash Drivers'!AJ21&gt;=0),AND('Cash Drivers'!AK7&gt;=0,'Cash Drivers'!AK10&gt;=0,'Cash Drivers'!AK13&gt;=0,'Cash Drivers'!AK21&gt;=0),AND('Cash Drivers'!AG7&gt;=0,'Cash Drivers'!AG10&gt;=0,'Cash Drivers'!AG13&gt;=0,'Cash Drivers'!AG21&gt;=0),AND('Cash Drivers'!AH7&gt;=0,'Cash Drivers'!AH10&gt;=0,'Cash Drivers'!AH13&gt;=0,'Cash Drivers'!AH21&gt;=0),AND('Cash Drivers'!AD7&gt;=0,'Cash Drivers'!AD10&gt;=0,'Cash Drivers'!AD13&gt;=0,'Cash Drivers'!AD21&gt;=0),AND('Cash Drivers'!AE7&gt;=0,'Cash Drivers'!AE10&gt;=0,'Cash Drivers'!AE13&gt;=0,'Cash Drivers'!AE21&gt;=0),AND('Cash Drivers'!AA7&gt;=0,'Cash Drivers'!AA10&gt;=0,'Cash Drivers'!AA13&gt;=0,'Cash Drivers'!AA21&gt;=0),AND('Cash Drivers'!AB7&gt;=0,'Cash Drivers'!AB10&gt;=0,'Cash Drivers'!AB13&gt;=0,'Cash Drivers'!AB21&gt;=0),AND('Cash Drivers'!X7&gt;=0,'Cash Drivers'!X10&gt;=0,'Cash Drivers'!X13&gt;=0,'Cash Drivers'!X21&gt;=0),AND('Cash Drivers'!Y7&gt;=0,'Cash Drivers'!Y10&gt;=0,'Cash Drivers'!Y13&gt;=0,'Cash Drivers'!Y21&gt;=0),AND('Cash Drivers'!U7&gt;=0,'Cash Drivers'!U10&gt;=0,'Cash Drivers'!U13&gt;=0,'Cash Drivers'!U21&gt;=0),AND('Cash Drivers'!V7&gt;=0,'Cash Drivers'!V10&gt;=0,'Cash Drivers'!V13&gt;=0,'Cash Drivers'!V21&gt;=0),AND('Cash Drivers'!R7&gt;=0,'Cash Drivers'!R10&gt;=0,'Cash Drivers'!R13&gt;=0,'Cash Drivers'!R21&gt;=0),AND('Cash Drivers'!S7&gt;=0,'Cash Drivers'!S10&gt;=0,'Cash Drivers'!S13&gt;=0,'Cash Drivers'!S21&gt;=0),AND('Cash Drivers'!O7&gt;=0,'Cash Drivers'!O10&gt;=0,'Cash Drivers'!O13&gt;=0,'Cash Drivers'!O21&gt;=0),AND('Cash Drivers'!P7&gt;=0,'Cash Drivers'!P10&gt;=0,'Cash Drivers'!P13&gt;=0,'Cash Drivers'!P21&gt;=0),AND('Cash Drivers'!L7&gt;=0,'Cash Drivers'!L10&gt;=0,'Cash Drivers'!L13&gt;=0,'Cash Drivers'!L21&gt;=0),AND('Cash Drivers'!M7&gt;=0,'Cash Drivers'!M10&gt;=0,'Cash Drivers'!M13&gt;=0,'Cash Drivers'!M21&gt;=0)),"OK","CHECK")</f>
        <v>OK</v>
      </c>
    </row>
    <row r="25" customFormat="false" ht="15.75" hidden="false" customHeight="true" outlineLevel="0" collapsed="false">
      <c r="A25" s="154" t="s">
        <v>336</v>
      </c>
      <c r="B25" s="155" t="str">
        <f aca="false">IF(AND(AND('Cash Drivers'!DM4&gt;=0,'Cash Drivers'!DM4&lt;=1,'Cash Drivers'!DM6&gt;=0,'Cash Drivers'!DM6&lt;=1,'Cash Drivers'!DM9&gt;=0,'Cash Drivers'!DM9&lt;=1),AND('Cash Drivers'!DN4&gt;=0,'Cash Drivers'!DN4&lt;=1,'Cash Drivers'!DN6&gt;=0,'Cash Drivers'!DN6&lt;=1,'Cash Drivers'!DN9&gt;=0,'Cash Drivers'!DN9&lt;=1),AND('Cash Drivers'!DJ4&gt;=0,'Cash Drivers'!DJ4&lt;=1,'Cash Drivers'!DJ6&gt;=0,'Cash Drivers'!DJ6&lt;=1,'Cash Drivers'!DJ9&gt;=0,'Cash Drivers'!DJ9&lt;=1),AND('Cash Drivers'!DK4&gt;=0,'Cash Drivers'!DK4&lt;=1,'Cash Drivers'!DK6&gt;=0,'Cash Drivers'!DK6&lt;=1,'Cash Drivers'!DK9&gt;=0,'Cash Drivers'!DK9&lt;=1),AND('Cash Drivers'!DG4&gt;=0,'Cash Drivers'!DG4&lt;=1,'Cash Drivers'!DG6&gt;=0,'Cash Drivers'!DG6&lt;=1,'Cash Drivers'!DG9&gt;=0,'Cash Drivers'!DG9&lt;=1),AND('Cash Drivers'!DH4&gt;=0,'Cash Drivers'!DH4&lt;=1,'Cash Drivers'!DH6&gt;=0,'Cash Drivers'!DH6&lt;=1,'Cash Drivers'!DH9&gt;=0,'Cash Drivers'!DH9&lt;=1),AND('Cash Drivers'!DD4&gt;=0,'Cash Drivers'!DD4&lt;=1,'Cash Drivers'!DD6&gt;=0,'Cash Drivers'!DD6&lt;=1,'Cash Drivers'!DD9&gt;=0,'Cash Drivers'!DD9&lt;=1),AND('Cash Drivers'!DE4&gt;=0,'Cash Drivers'!DE4&lt;=1,'Cash Drivers'!DE6&gt;=0,'Cash Drivers'!DE6&lt;=1,'Cash Drivers'!DE9&gt;=0,'Cash Drivers'!DE9&lt;=1),AND('Cash Drivers'!DA4&gt;=0,'Cash Drivers'!DA4&lt;=1,'Cash Drivers'!DA6&gt;=0,'Cash Drivers'!DA6&lt;=1,'Cash Drivers'!DA9&gt;=0,'Cash Drivers'!DA9&lt;=1),AND('Cash Drivers'!DB4&gt;=0,'Cash Drivers'!DB4&lt;=1,'Cash Drivers'!DB6&gt;=0,'Cash Drivers'!DB6&lt;=1,'Cash Drivers'!DB9&gt;=0,'Cash Drivers'!DB9&lt;=1),AND('Cash Drivers'!CX4&gt;=0,'Cash Drivers'!CX4&lt;=1,'Cash Drivers'!CX6&gt;=0,'Cash Drivers'!CX6&lt;=1,'Cash Drivers'!CX9&gt;=0,'Cash Drivers'!CX9&lt;=1),AND('Cash Drivers'!CY4&gt;=0,'Cash Drivers'!CY4&lt;=1,'Cash Drivers'!CY6&gt;=0,'Cash Drivers'!CY6&lt;=1,'Cash Drivers'!CY9&gt;=0,'Cash Drivers'!CY9&lt;=1),AND('Cash Drivers'!CU4&gt;=0,'Cash Drivers'!CU4&lt;=1,'Cash Drivers'!CU6&gt;=0,'Cash Drivers'!CU6&lt;=1,'Cash Drivers'!CU9&gt;=0,'Cash Drivers'!CU9&lt;=1),AND('Cash Drivers'!CV4&gt;=0,'Cash Drivers'!CV4&lt;=1,'Cash Drivers'!CV6&gt;=0,'Cash Drivers'!CV6&lt;=1,'Cash Drivers'!CV9&gt;=0,'Cash Drivers'!CV9&lt;=1),AND('Cash Drivers'!CR4&gt;=0,'Cash Drivers'!CR4&lt;=1,'Cash Drivers'!CR6&gt;=0,'Cash Drivers'!CR6&lt;=1,'Cash Drivers'!CR9&gt;=0,'Cash Drivers'!CR9&lt;=1),AND('Cash Drivers'!CS4&gt;=0,'Cash Drivers'!CS4&lt;=1,'Cash Drivers'!CS6&gt;=0,'Cash Drivers'!CS6&lt;=1,'Cash Drivers'!CS9&gt;=0,'Cash Drivers'!CS9&lt;=1),AND('Cash Drivers'!CO4&gt;=0,'Cash Drivers'!CO4&lt;=1,'Cash Drivers'!CO6&gt;=0,'Cash Drivers'!CO6&lt;=1,'Cash Drivers'!CO9&gt;=0,'Cash Drivers'!CO9&lt;=1),AND('Cash Drivers'!CP4&gt;=0,'Cash Drivers'!CP4&lt;=1,'Cash Drivers'!CP6&gt;=0,'Cash Drivers'!CP6&lt;=1,'Cash Drivers'!CP9&gt;=0,'Cash Drivers'!CP9&lt;=1),AND('Cash Drivers'!CL4&gt;=0,'Cash Drivers'!CL4&lt;=1,'Cash Drivers'!CL6&gt;=0,'Cash Drivers'!CL6&lt;=1,'Cash Drivers'!CL9&gt;=0,'Cash Drivers'!CL9&lt;=1),AND('Cash Drivers'!CM4&gt;=0,'Cash Drivers'!CM4&lt;=1,'Cash Drivers'!CM6&gt;=0,'Cash Drivers'!CM6&lt;=1,'Cash Drivers'!CM9&gt;=0,'Cash Drivers'!CM9&lt;=1),AND('Cash Drivers'!CI4&gt;=0,'Cash Drivers'!CI4&lt;=1,'Cash Drivers'!CI6&gt;=0,'Cash Drivers'!CI6&lt;=1,'Cash Drivers'!CI9&gt;=0,'Cash Drivers'!CI9&lt;=1),AND('Cash Drivers'!CJ4&gt;=0,'Cash Drivers'!CJ4&lt;=1,'Cash Drivers'!CJ6&gt;=0,'Cash Drivers'!CJ6&lt;=1,'Cash Drivers'!CJ9&gt;=0,'Cash Drivers'!CJ9&lt;=1),AND('Cash Drivers'!CF4&gt;=0,'Cash Drivers'!CF4&lt;=1,'Cash Drivers'!CF6&gt;=0,'Cash Drivers'!CF6&lt;=1,'Cash Drivers'!CF9&gt;=0,'Cash Drivers'!CF9&lt;=1),AND('Cash Drivers'!CG4&gt;=0,'Cash Drivers'!CG4&lt;=1,'Cash Drivers'!CG6&gt;=0,'Cash Drivers'!CG6&lt;=1,'Cash Drivers'!CG9&gt;=0,'Cash Drivers'!CG9&lt;=1),AND('Cash Drivers'!CC4&gt;=0,'Cash Drivers'!CC4&lt;=1,'Cash Drivers'!CC6&gt;=0,'Cash Drivers'!CC6&lt;=1,'Cash Drivers'!CC9&gt;=0,'Cash Drivers'!CC9&lt;=1),AND('Cash Drivers'!CD4&gt;=0,'Cash Drivers'!CD4&lt;=1,'Cash Drivers'!CD6&gt;=0,'Cash Drivers'!CD6&lt;=1,'Cash Drivers'!CD9&gt;=0,'Cash Drivers'!CD9&lt;=1),AND('Cash Drivers'!BZ4&gt;=0,'Cash Drivers'!BZ4&lt;=1,'Cash Drivers'!BZ6&gt;=0,'Cash Drivers'!BZ6&lt;=1,'Cash Drivers'!BZ9&gt;=0,'Cash Drivers'!BZ9&lt;=1),AND('Cash Drivers'!CA4&gt;=0,'Cash Drivers'!CA4&lt;=1,'Cash Drivers'!CA6&gt;=0,'Cash Drivers'!CA6&lt;=1,'Cash Drivers'!CA9&gt;=0,'Cash Drivers'!CA9&lt;=1),AND('Cash Drivers'!BW4&gt;=0,'Cash Drivers'!BW4&lt;=1,'Cash Drivers'!BW6&gt;=0,'Cash Drivers'!BW6&lt;=1,'Cash Drivers'!BW9&gt;=0,'Cash Drivers'!BW9&lt;=1),AND('Cash Drivers'!BX4&gt;=0,'Cash Drivers'!BX4&lt;=1,'Cash Drivers'!BX6&gt;=0,'Cash Drivers'!BX6&lt;=1,'Cash Drivers'!BX9&gt;=0,'Cash Drivers'!BX9&lt;=1),AND('Cash Drivers'!BT4&gt;=0,'Cash Drivers'!BT4&lt;=1,'Cash Drivers'!BT6&gt;=0,'Cash Drivers'!BT6&lt;=1,'Cash Drivers'!BT9&gt;=0,'Cash Drivers'!BT9&lt;=1),AND('Cash Drivers'!BU4&gt;=0,'Cash Drivers'!BU4&lt;=1,'Cash Drivers'!BU6&gt;=0,'Cash Drivers'!BU6&lt;=1,'Cash Drivers'!BU9&gt;=0,'Cash Drivers'!BU9&lt;=1),AND('Cash Drivers'!BQ4&gt;=0,'Cash Drivers'!BQ4&lt;=1,'Cash Drivers'!BQ6&gt;=0,'Cash Drivers'!BQ6&lt;=1,'Cash Drivers'!BQ9&gt;=0,'Cash Drivers'!BQ9&lt;=1),AND('Cash Drivers'!BR4&gt;=0,'Cash Drivers'!BR4&lt;=1,'Cash Drivers'!BR6&gt;=0,'Cash Drivers'!BR6&lt;=1,'Cash Drivers'!BR9&gt;=0,'Cash Drivers'!BR9&lt;=1),AND('Cash Drivers'!BN4&gt;=0,'Cash Drivers'!BN4&lt;=1,'Cash Drivers'!BN6&gt;=0,'Cash Drivers'!BN6&lt;=1,'Cash Drivers'!BN9&gt;=0,'Cash Drivers'!BN9&lt;=1),AND('Cash Drivers'!BO4&gt;=0,'Cash Drivers'!BO4&lt;=1,'Cash Drivers'!BO6&gt;=0,'Cash Drivers'!BO6&lt;=1,'Cash Drivers'!BO9&gt;=0,'Cash Drivers'!BO9&lt;=1),AND('Cash Drivers'!BK4&gt;=0,'Cash Drivers'!BK4&lt;=1,'Cash Drivers'!BK6&gt;=0,'Cash Drivers'!BK6&lt;=1,'Cash Drivers'!BK9&gt;=0,'Cash Drivers'!BK9&lt;=1),AND('Cash Drivers'!BL4&gt;=0,'Cash Drivers'!BL4&lt;=1,'Cash Drivers'!BL6&gt;=0,'Cash Drivers'!BL6&lt;=1,'Cash Drivers'!BL9&gt;=0,'Cash Drivers'!BL9&lt;=1),AND('Cash Drivers'!BH4&gt;=0,'Cash Drivers'!BH4&lt;=1,'Cash Drivers'!BH6&gt;=0,'Cash Drivers'!BH6&lt;=1,'Cash Drivers'!BH9&gt;=0,'Cash Drivers'!BH9&lt;=1),AND('Cash Drivers'!BI4&gt;=0,'Cash Drivers'!BI4&lt;=1,'Cash Drivers'!BI6&gt;=0,'Cash Drivers'!BI6&lt;=1,'Cash Drivers'!BI9&gt;=0,'Cash Drivers'!BI9&lt;=1),AND('Cash Drivers'!BE4&gt;=0,'Cash Drivers'!BE4&lt;=1,'Cash Drivers'!BE6&gt;=0,'Cash Drivers'!BE6&lt;=1,'Cash Drivers'!BE9&gt;=0,'Cash Drivers'!BE9&lt;=1),AND('Cash Drivers'!BF4&gt;=0,'Cash Drivers'!BF4&lt;=1,'Cash Drivers'!BF6&gt;=0,'Cash Drivers'!BF6&lt;=1,'Cash Drivers'!BF9&gt;=0,'Cash Drivers'!BF9&lt;=1),AND('Cash Drivers'!BB4&gt;=0,'Cash Drivers'!BB4&lt;=1,'Cash Drivers'!BB6&gt;=0,'Cash Drivers'!BB6&lt;=1,'Cash Drivers'!BB9&gt;=0,'Cash Drivers'!BB9&lt;=1),AND('Cash Drivers'!BC4&gt;=0,'Cash Drivers'!BC4&lt;=1,'Cash Drivers'!BC6&gt;=0,'Cash Drivers'!BC6&lt;=1,'Cash Drivers'!BC9&gt;=0,'Cash Drivers'!BC9&lt;=1),AND('Cash Drivers'!AY4&gt;=0,'Cash Drivers'!AY4&lt;=1,'Cash Drivers'!AY6&gt;=0,'Cash Drivers'!AY6&lt;=1,'Cash Drivers'!AY9&gt;=0,'Cash Drivers'!AY9&lt;=1),AND('Cash Drivers'!AZ4&gt;=0,'Cash Drivers'!AZ4&lt;=1,'Cash Drivers'!AZ6&gt;=0,'Cash Drivers'!AZ6&lt;=1,'Cash Drivers'!AZ9&gt;=0,'Cash Drivers'!AZ9&lt;=1),AND('Cash Drivers'!AV4&gt;=0,'Cash Drivers'!AV4&lt;=1,'Cash Drivers'!AV6&gt;=0,'Cash Drivers'!AV6&lt;=1,'Cash Drivers'!AV9&gt;=0,'Cash Drivers'!AV9&lt;=1),AND('Cash Drivers'!AW4&gt;=0,'Cash Drivers'!AW4&lt;=1,'Cash Drivers'!AW6&gt;=0,'Cash Drivers'!AW6&lt;=1,'Cash Drivers'!AW9&gt;=0,'Cash Drivers'!AW9&lt;=1),AND('Cash Drivers'!AS4&gt;=0,'Cash Drivers'!AS4&lt;=1,'Cash Drivers'!AS6&gt;=0,'Cash Drivers'!AS6&lt;=1,'Cash Drivers'!AS9&gt;=0,'Cash Drivers'!AS9&lt;=1),AND('Cash Drivers'!AT4&gt;=0,'Cash Drivers'!AT4&lt;=1,'Cash Drivers'!AT6&gt;=0,'Cash Drivers'!AT6&lt;=1,'Cash Drivers'!AT9&gt;=0,'Cash Drivers'!AT9&lt;=1),AND('Cash Drivers'!AP4&gt;=0,'Cash Drivers'!AP4&lt;=1,'Cash Drivers'!AP6&gt;=0,'Cash Drivers'!AP6&lt;=1,'Cash Drivers'!AP9&gt;=0,'Cash Drivers'!AP9&lt;=1),AND('Cash Drivers'!AQ4&gt;=0,'Cash Drivers'!AQ4&lt;=1,'Cash Drivers'!AQ6&gt;=0,'Cash Drivers'!AQ6&lt;=1,'Cash Drivers'!AQ9&gt;=0,'Cash Drivers'!AQ9&lt;=1),AND('Cash Drivers'!AM4&gt;=0,'Cash Drivers'!AM4&lt;=1,'Cash Drivers'!AM6&gt;=0,'Cash Drivers'!AM6&lt;=1,'Cash Drivers'!AM9&gt;=0,'Cash Drivers'!AM9&lt;=1),AND('Cash Drivers'!AN4&gt;=0,'Cash Drivers'!AN4&lt;=1,'Cash Drivers'!AN6&gt;=0,'Cash Drivers'!AN6&lt;=1,'Cash Drivers'!AN9&gt;=0,'Cash Drivers'!AN9&lt;=1),AND('Cash Drivers'!AJ4&gt;=0,'Cash Drivers'!AJ4&lt;=1,'Cash Drivers'!AJ6&gt;=0,'Cash Drivers'!AJ6&lt;=1,'Cash Drivers'!AJ9&gt;=0,'Cash Drivers'!AJ9&lt;=1),AND('Cash Drivers'!AK4&gt;=0,'Cash Drivers'!AK4&lt;=1,'Cash Drivers'!AK6&gt;=0,'Cash Drivers'!AK6&lt;=1,'Cash Drivers'!AK9&gt;=0,'Cash Drivers'!AK9&lt;=1),AND('Cash Drivers'!AG4&gt;=0,'Cash Drivers'!AG4&lt;=1,'Cash Drivers'!AG6&gt;=0,'Cash Drivers'!AG6&lt;=1,'Cash Drivers'!AG9&gt;=0,'Cash Drivers'!AG9&lt;=1),AND('Cash Drivers'!AH4&gt;=0,'Cash Drivers'!AH4&lt;=1,'Cash Drivers'!AH6&gt;=0,'Cash Drivers'!AH6&lt;=1,'Cash Drivers'!AH9&gt;=0,'Cash Drivers'!AH9&lt;=1),AND('Cash Drivers'!AD4&gt;=0,'Cash Drivers'!AD4&lt;=1,'Cash Drivers'!AD6&gt;=0,'Cash Drivers'!AD6&lt;=1,'Cash Drivers'!AD9&gt;=0,'Cash Drivers'!AD9&lt;=1),AND('Cash Drivers'!AE4&gt;=0,'Cash Drivers'!AE4&lt;=1,'Cash Drivers'!AE6&gt;=0,'Cash Drivers'!AE6&lt;=1,'Cash Drivers'!AE9&gt;=0,'Cash Drivers'!AE9&lt;=1),AND('Cash Drivers'!AA4&gt;=0,'Cash Drivers'!AA4&lt;=1,'Cash Drivers'!AA6&gt;=0,'Cash Drivers'!AA6&lt;=1,'Cash Drivers'!AA9&gt;=0,'Cash Drivers'!AA9&lt;=1),AND('Cash Drivers'!AB4&gt;=0,'Cash Drivers'!AB4&lt;=1,'Cash Drivers'!AB6&gt;=0,'Cash Drivers'!AB6&lt;=1,'Cash Drivers'!AB9&gt;=0,'Cash Drivers'!AB9&lt;=1),AND('Cash Drivers'!X4&gt;=0,'Cash Drivers'!X4&lt;=1,'Cash Drivers'!X6&gt;=0,'Cash Drivers'!X6&lt;=1,'Cash Drivers'!X9&gt;=0,'Cash Drivers'!X9&lt;=1),AND('Cash Drivers'!Y4&gt;=0,'Cash Drivers'!Y4&lt;=1,'Cash Drivers'!Y6&gt;=0,'Cash Drivers'!Y6&lt;=1,'Cash Drivers'!Y9&gt;=0,'Cash Drivers'!Y9&lt;=1),AND('Cash Drivers'!U4&gt;=0,'Cash Drivers'!U4&lt;=1,'Cash Drivers'!U6&gt;=0,'Cash Drivers'!U6&lt;=1,'Cash Drivers'!U9&gt;=0,'Cash Drivers'!U9&lt;=1),AND('Cash Drivers'!V4&gt;=0,'Cash Drivers'!V4&lt;=1,'Cash Drivers'!V6&gt;=0,'Cash Drivers'!V6&lt;=1,'Cash Drivers'!V9&gt;=0,'Cash Drivers'!V9&lt;=1),AND('Cash Drivers'!R4&gt;=0,'Cash Drivers'!R4&lt;=1,'Cash Drivers'!R6&gt;=0,'Cash Drivers'!R6&lt;=1,'Cash Drivers'!R9&gt;=0,'Cash Drivers'!R9&lt;=1),AND('Cash Drivers'!S4&gt;=0,'Cash Drivers'!S4&lt;=1,'Cash Drivers'!S6&gt;=0,'Cash Drivers'!S6&lt;=1,'Cash Drivers'!S9&gt;=0,'Cash Drivers'!S9&lt;=1),AND('Cash Drivers'!O4&gt;=0,'Cash Drivers'!O4&lt;=1,'Cash Drivers'!O6&gt;=0,'Cash Drivers'!O6&lt;=1,'Cash Drivers'!O9&gt;=0,'Cash Drivers'!O9&lt;=1),AND('Cash Drivers'!P4&gt;=0,'Cash Drivers'!P4&lt;=1,'Cash Drivers'!P6&gt;=0,'Cash Drivers'!P6&lt;=1,'Cash Drivers'!P9&gt;=0,'Cash Drivers'!P9&lt;=1),AND('Cash Drivers'!L4&gt;=0,'Cash Drivers'!L4&lt;=1,'Cash Drivers'!L6&gt;=0,'Cash Drivers'!L6&lt;=1,'Cash Drivers'!L9&gt;=0,'Cash Drivers'!L9&lt;=1),AND('Cash Drivers'!M4&gt;=0,'Cash Drivers'!M4&lt;=1,'Cash Drivers'!M6&gt;=0,'Cash Drivers'!M6&lt;=1,'Cash Drivers'!M9&gt;=0,'Cash Drivers'!M9&lt;=1)),"OK","CHECK")</f>
        <v>OK</v>
      </c>
    </row>
    <row r="26" customFormat="false" ht="15.75" hidden="false" customHeight="true" outlineLevel="0" collapsed="false">
      <c r="A26" s="154" t="s">
        <v>337</v>
      </c>
      <c r="B26" s="155" t="str">
        <f aca="false">IF(AND(COUNTIF('Cash Drivers'!K26:DN26,"PARTIAL")=0,COUNTIF('Cash Drivers'!DL26,TRUE())+COUNTIF('Cash Drivers'!DI26,TRUE())+COUNTIF('Cash Drivers'!DF26,TRUE())+COUNTIF('Cash Drivers'!DC26,TRUE())+COUNTIF('Cash Drivers'!CZ26,TRUE())+COUNTIF('Cash Drivers'!CW26,TRUE())+COUNTIF('Cash Drivers'!CT26,TRUE())+COUNTIF('Cash Drivers'!CQ26,TRUE())+COUNTIF('Cash Drivers'!CN26,TRUE())+COUNTIF('Cash Drivers'!CK26,TRUE())+COUNTIF('Cash Drivers'!CH26,TRUE())+COUNTIF('Cash Drivers'!CE26,TRUE())+COUNTIF('Cash Drivers'!CB26,TRUE())+COUNTIF('Cash Drivers'!BY26,TRUE())+COUNTIF('Cash Drivers'!BV26,TRUE())+COUNTIF('Cash Drivers'!BS26,TRUE())+COUNTIF('Cash Drivers'!BP26,TRUE())+COUNTIF('Cash Drivers'!BM26,TRUE())+COUNTIF('Cash Drivers'!BJ26,TRUE())+COUNTIF('Cash Drivers'!BG26,TRUE())+COUNTIF('Cash Drivers'!BD26,TRUE())+COUNTIF('Cash Drivers'!BA26,TRUE())+COUNTIF('Cash Drivers'!AX26,TRUE())+COUNTIF('Cash Drivers'!AU26,TRUE())+COUNTIF('Cash Drivers'!AR26,TRUE())+COUNTIF('Cash Drivers'!AO26,TRUE())+COUNTIF('Cash Drivers'!AL26,TRUE())+COUNTIF('Cash Drivers'!AI26,TRUE())+COUNTIF('Cash Drivers'!AF26,TRUE())+COUNTIF('Cash Drivers'!AC26,TRUE())+COUNTIF('Cash Drivers'!Z26,TRUE())+COUNTIF('Cash Drivers'!W26,TRUE())+COUNTIF('Cash Drivers'!T26,TRUE())+COUNTIF('Cash Drivers'!Q26,TRUE())+COUNTIF('Cash Drivers'!N26,TRUE())+COUNTIF('Cash Drivers'!K26,TRUE())=COUNTIF('Cash Drivers'!DM26,TRUE())+COUNTIF('Cash Drivers'!DJ26,TRUE())+COUNTIF('Cash Drivers'!DG26,TRUE())+COUNTIF('Cash Drivers'!DD26,TRUE())+COUNTIF('Cash Drivers'!DA26,TRUE())+COUNTIF('Cash Drivers'!CX26,TRUE())+COUNTIF('Cash Drivers'!CU26,TRUE())+COUNTIF('Cash Drivers'!CR26,TRUE())+COUNTIF('Cash Drivers'!CO26,TRUE())+COUNTIF('Cash Drivers'!CL26,TRUE())+COUNTIF('Cash Drivers'!CI26,TRUE())+COUNTIF('Cash Drivers'!CF26,TRUE())+COUNTIF('Cash Drivers'!CC26,TRUE())+COUNTIF('Cash Drivers'!BZ26,TRUE())+COUNTIF('Cash Drivers'!BW26,TRUE())+COUNTIF('Cash Drivers'!BT26,TRUE())+COUNTIF('Cash Drivers'!BQ26,TRUE())+COUNTIF('Cash Drivers'!BN26,TRUE())+COUNTIF('Cash Drivers'!BK26,TRUE())+COUNTIF('Cash Drivers'!BH26,TRUE())+COUNTIF('Cash Drivers'!BE26,TRUE())+COUNTIF('Cash Drivers'!BB26,TRUE())+COUNTIF('Cash Drivers'!AY26,TRUE())+COUNTIF('Cash Drivers'!AV26,TRUE())+COUNTIF('Cash Drivers'!AS26,TRUE())+COUNTIF('Cash Drivers'!AP26,TRUE())+COUNTIF('Cash Drivers'!AM26,TRUE())+COUNTIF('Cash Drivers'!AJ26,TRUE())+COUNTIF('Cash Drivers'!AG26,TRUE())+COUNTIF('Cash Drivers'!AD26,TRUE())+COUNTIF('Cash Drivers'!AA26,TRUE())+COUNTIF('Cash Drivers'!X26,TRUE())+COUNTIF('Cash Drivers'!U26,TRUE())+COUNTIF('Cash Drivers'!R26,TRUE())+COUNTIF('Cash Drivers'!O26,TRUE())+COUNTIF('Cash Drivers'!L26,TRUE())),"OK","CHECK")</f>
        <v>OK</v>
      </c>
    </row>
    <row r="27" customFormat="false" ht="15.75" hidden="false" customHeight="true" outlineLevel="0" collapsed="false">
      <c r="A27" s="154" t="s">
        <v>338</v>
      </c>
      <c r="B27" s="155" t="str">
        <f aca="false">IF(AND(ABS('Cash Drivers'!DM16-'Cash Drivers'!DM14*'Cash Drivers'!DM15)&lt;0.01,ABS('Cash Drivers'!DN16-'Cash Drivers'!DN14*'Cash Drivers'!DN15)&lt;0.01,ABS('Cash Drivers'!DJ16-'Cash Drivers'!DJ14*'Cash Drivers'!DJ15)&lt;0.01,ABS('Cash Drivers'!DK16-'Cash Drivers'!DK14*'Cash Drivers'!DK15)&lt;0.01,ABS('Cash Drivers'!DG16-'Cash Drivers'!DG14*'Cash Drivers'!DG15)&lt;0.01,ABS('Cash Drivers'!DH16-'Cash Drivers'!DH14*'Cash Drivers'!DH15)&lt;0.01,ABS('Cash Drivers'!DD16-'Cash Drivers'!DD14*'Cash Drivers'!DD15)&lt;0.01,ABS('Cash Drivers'!DE16-'Cash Drivers'!DE14*'Cash Drivers'!DE15)&lt;0.01,ABS('Cash Drivers'!DA16-'Cash Drivers'!DA14*'Cash Drivers'!DA15)&lt;0.01,ABS('Cash Drivers'!DB16-'Cash Drivers'!DB14*'Cash Drivers'!DB15)&lt;0.01,ABS('Cash Drivers'!CX16-'Cash Drivers'!CX14*'Cash Drivers'!CX15)&lt;0.01,ABS('Cash Drivers'!CY16-'Cash Drivers'!CY14*'Cash Drivers'!CY15)&lt;0.01,ABS('Cash Drivers'!CU16-'Cash Drivers'!CU14*'Cash Drivers'!CU15)&lt;0.01,ABS('Cash Drivers'!CV16-'Cash Drivers'!CV14*'Cash Drivers'!CV15)&lt;0.01,ABS('Cash Drivers'!CR16-'Cash Drivers'!CR14*'Cash Drivers'!CR15)&lt;0.01,ABS('Cash Drivers'!CS16-'Cash Drivers'!CS14*'Cash Drivers'!CS15)&lt;0.01,ABS('Cash Drivers'!CO16-'Cash Drivers'!CO14*'Cash Drivers'!CO15)&lt;0.01,ABS('Cash Drivers'!CP16-'Cash Drivers'!CP14*'Cash Drivers'!CP15)&lt;0.01,ABS('Cash Drivers'!CL16-'Cash Drivers'!CL14*'Cash Drivers'!CL15)&lt;0.01,ABS('Cash Drivers'!CM16-'Cash Drivers'!CM14*'Cash Drivers'!CM15)&lt;0.01,ABS('Cash Drivers'!CI16-'Cash Drivers'!CI14*'Cash Drivers'!CI15)&lt;0.01,ABS('Cash Drivers'!CJ16-'Cash Drivers'!CJ14*'Cash Drivers'!CJ15)&lt;0.01,ABS('Cash Drivers'!CF16-'Cash Drivers'!CF14*'Cash Drivers'!CF15)&lt;0.01,ABS('Cash Drivers'!CG16-'Cash Drivers'!CG14*'Cash Drivers'!CG15)&lt;0.01,ABS('Cash Drivers'!CC16-'Cash Drivers'!CC14*'Cash Drivers'!CC15)&lt;0.01,ABS('Cash Drivers'!CD16-'Cash Drivers'!CD14*'Cash Drivers'!CD15)&lt;0.01,ABS('Cash Drivers'!BZ16-'Cash Drivers'!BZ14*'Cash Drivers'!BZ15)&lt;0.01,ABS('Cash Drivers'!CA16-'Cash Drivers'!CA14*'Cash Drivers'!CA15)&lt;0.01,ABS('Cash Drivers'!BW16-'Cash Drivers'!BW14*'Cash Drivers'!BW15)&lt;0.01,ABS('Cash Drivers'!BX16-'Cash Drivers'!BX14*'Cash Drivers'!BX15)&lt;0.01,ABS('Cash Drivers'!BT16-'Cash Drivers'!BT14*'Cash Drivers'!BT15)&lt;0.01,ABS('Cash Drivers'!BU16-'Cash Drivers'!BU14*'Cash Drivers'!BU15)&lt;0.01,ABS('Cash Drivers'!BQ16-'Cash Drivers'!BQ14*'Cash Drivers'!BQ15)&lt;0.01,ABS('Cash Drivers'!BR16-'Cash Drivers'!BR14*'Cash Drivers'!BR15)&lt;0.01,ABS('Cash Drivers'!BN16-'Cash Drivers'!BN14*'Cash Drivers'!BN15)&lt;0.01,ABS('Cash Drivers'!BO16-'Cash Drivers'!BO14*'Cash Drivers'!BO15)&lt;0.01,ABS('Cash Drivers'!BK16-'Cash Drivers'!BK14*'Cash Drivers'!BK15)&lt;0.01,ABS('Cash Drivers'!BL16-'Cash Drivers'!BL14*'Cash Drivers'!BL15)&lt;0.01,ABS('Cash Drivers'!BH16-'Cash Drivers'!BH14*'Cash Drivers'!BH15)&lt;0.01,ABS('Cash Drivers'!BI16-'Cash Drivers'!BI14*'Cash Drivers'!BI15)&lt;0.01,ABS('Cash Drivers'!BE16-'Cash Drivers'!BE14*'Cash Drivers'!BE15)&lt;0.01,ABS('Cash Drivers'!BF16-'Cash Drivers'!BF14*'Cash Drivers'!BF15)&lt;0.01,ABS('Cash Drivers'!BB16-'Cash Drivers'!BB14*'Cash Drivers'!BB15)&lt;0.01,ABS('Cash Drivers'!BC16-'Cash Drivers'!BC14*'Cash Drivers'!BC15)&lt;0.01,ABS('Cash Drivers'!AY16-'Cash Drivers'!AY14*'Cash Drivers'!AY15)&lt;0.01,ABS('Cash Drivers'!AZ16-'Cash Drivers'!AZ14*'Cash Drivers'!AZ15)&lt;0.01,ABS('Cash Drivers'!AV16-'Cash Drivers'!AV14*'Cash Drivers'!AV15)&lt;0.01,ABS('Cash Drivers'!AW16-'Cash Drivers'!AW14*'Cash Drivers'!AW15)&lt;0.01,ABS('Cash Drivers'!AS16-'Cash Drivers'!AS14*'Cash Drivers'!AS15)&lt;0.01,ABS('Cash Drivers'!AT16-'Cash Drivers'!AT14*'Cash Drivers'!AT15)&lt;0.01,ABS('Cash Drivers'!AP16-'Cash Drivers'!AP14*'Cash Drivers'!AP15)&lt;0.01,ABS('Cash Drivers'!AQ16-'Cash Drivers'!AQ14*'Cash Drivers'!AQ15)&lt;0.01,ABS('Cash Drivers'!AM16-'Cash Drivers'!AM14*'Cash Drivers'!AM15)&lt;0.01,ABS('Cash Drivers'!AN16-'Cash Drivers'!AN14*'Cash Drivers'!AN15)&lt;0.01,ABS('Cash Drivers'!AJ16-'Cash Drivers'!AJ14*'Cash Drivers'!AJ15)&lt;0.01,ABS('Cash Drivers'!AK16-'Cash Drivers'!AK14*'Cash Drivers'!AK15)&lt;0.01,ABS('Cash Drivers'!AG16-'Cash Drivers'!AG14*'Cash Drivers'!AG15)&lt;0.01,ABS('Cash Drivers'!AH16-'Cash Drivers'!AH14*'Cash Drivers'!AH15)&lt;0.01,ABS('Cash Drivers'!AD16-'Cash Drivers'!AD14*'Cash Drivers'!AD15)&lt;0.01,ABS('Cash Drivers'!AE16-'Cash Drivers'!AE14*'Cash Drivers'!AE15)&lt;0.01,ABS('Cash Drivers'!AA16-'Cash Drivers'!AA14*'Cash Drivers'!AA15)&lt;0.01,ABS('Cash Drivers'!AB16-'Cash Drivers'!AB14*'Cash Drivers'!AB15)&lt;0.01,ABS('Cash Drivers'!X16-'Cash Drivers'!X14*'Cash Drivers'!X15)&lt;0.01,ABS('Cash Drivers'!Y16-'Cash Drivers'!Y14*'Cash Drivers'!Y15)&lt;0.01,ABS('Cash Drivers'!U16-'Cash Drivers'!U14*'Cash Drivers'!U15)&lt;0.01,ABS('Cash Drivers'!V16-'Cash Drivers'!V14*'Cash Drivers'!V15)&lt;0.01,ABS('Cash Drivers'!R16-'Cash Drivers'!R14*'Cash Drivers'!R15)&lt;0.01,ABS('Cash Drivers'!S16-'Cash Drivers'!S14*'Cash Drivers'!S15)&lt;0.01,ABS('Cash Drivers'!O16-'Cash Drivers'!O14*'Cash Drivers'!O15)&lt;0.01,ABS('Cash Drivers'!P16-'Cash Drivers'!P14*'Cash Drivers'!P15)&lt;0.01,ABS('Cash Drivers'!L16-'Cash Drivers'!L14*'Cash Drivers'!L15)&lt;0.01,ABS('Cash Drivers'!M16-'Cash Drivers'!M14*'Cash Drivers'!M15)&lt;0.01),"OK","CHECK")</f>
        <v>OK</v>
      </c>
    </row>
    <row r="28" customFormat="false" ht="15.75" hidden="false" customHeight="true" outlineLevel="0" collapsed="false">
      <c r="A28" s="154" t="s">
        <v>339</v>
      </c>
      <c r="B28" s="155" t="str">
        <f aca="false">IF(AND('Cash Drivers'!DM19&lt;='Cash Drivers'!DM16,'Cash Drivers'!DN19&lt;='Cash Drivers'!DN16,'Cash Drivers'!DJ19&lt;='Cash Drivers'!DJ16,'Cash Drivers'!DK19&lt;='Cash Drivers'!DK16,'Cash Drivers'!DG19&lt;='Cash Drivers'!DG16,'Cash Drivers'!DH19&lt;='Cash Drivers'!DH16,'Cash Drivers'!DD19&lt;='Cash Drivers'!DD16,'Cash Drivers'!DE19&lt;='Cash Drivers'!DE16,'Cash Drivers'!DA19&lt;='Cash Drivers'!DA16,'Cash Drivers'!DB19&lt;='Cash Drivers'!DB16,'Cash Drivers'!CX19&lt;='Cash Drivers'!CX16,'Cash Drivers'!CY19&lt;='Cash Drivers'!CY16,'Cash Drivers'!CU19&lt;='Cash Drivers'!CU16,'Cash Drivers'!CV19&lt;='Cash Drivers'!CV16,'Cash Drivers'!CR19&lt;='Cash Drivers'!CR16,'Cash Drivers'!CS19&lt;='Cash Drivers'!CS16,'Cash Drivers'!CO19&lt;='Cash Drivers'!CO16,'Cash Drivers'!CP19&lt;='Cash Drivers'!CP16,'Cash Drivers'!CL19&lt;='Cash Drivers'!CL16,'Cash Drivers'!CM19&lt;='Cash Drivers'!CM16,'Cash Drivers'!CI19&lt;='Cash Drivers'!CI16,'Cash Drivers'!CJ19&lt;='Cash Drivers'!CJ16,'Cash Drivers'!CF19&lt;='Cash Drivers'!CF16,'Cash Drivers'!CG19&lt;='Cash Drivers'!CG16,'Cash Drivers'!CC19&lt;='Cash Drivers'!CC16,'Cash Drivers'!CD19&lt;='Cash Drivers'!CD16,'Cash Drivers'!BZ19&lt;='Cash Drivers'!BZ16,'Cash Drivers'!CA19&lt;='Cash Drivers'!CA16,'Cash Drivers'!BW19&lt;='Cash Drivers'!BW16,'Cash Drivers'!BX19&lt;='Cash Drivers'!BX16,'Cash Drivers'!BT19&lt;='Cash Drivers'!BT16,'Cash Drivers'!BU19&lt;='Cash Drivers'!BU16,'Cash Drivers'!BQ19&lt;='Cash Drivers'!BQ16,'Cash Drivers'!BR19&lt;='Cash Drivers'!BR16,'Cash Drivers'!BN19&lt;='Cash Drivers'!BN16,'Cash Drivers'!BO19&lt;='Cash Drivers'!BO16,'Cash Drivers'!BK19&lt;='Cash Drivers'!BK16,'Cash Drivers'!BL19&lt;='Cash Drivers'!BL16,'Cash Drivers'!BH19&lt;='Cash Drivers'!BH16,'Cash Drivers'!BI19&lt;='Cash Drivers'!BI16,'Cash Drivers'!BE19&lt;='Cash Drivers'!BE16,'Cash Drivers'!BF19&lt;='Cash Drivers'!BF16,'Cash Drivers'!BB19&lt;='Cash Drivers'!BB16,'Cash Drivers'!BC19&lt;='Cash Drivers'!BC16,'Cash Drivers'!AY19&lt;='Cash Drivers'!AY16,'Cash Drivers'!AZ19&lt;='Cash Drivers'!AZ16,'Cash Drivers'!AV19&lt;='Cash Drivers'!AV16,'Cash Drivers'!AW19&lt;='Cash Drivers'!AW16,'Cash Drivers'!AS19&lt;='Cash Drivers'!AS16,'Cash Drivers'!AT19&lt;='Cash Drivers'!AT16,'Cash Drivers'!AP19&lt;='Cash Drivers'!AP16,'Cash Drivers'!AQ19&lt;='Cash Drivers'!AQ16,'Cash Drivers'!AM19&lt;='Cash Drivers'!AM16,'Cash Drivers'!AN19&lt;='Cash Drivers'!AN16,'Cash Drivers'!AJ19&lt;='Cash Drivers'!AJ16,'Cash Drivers'!AK19&lt;='Cash Drivers'!AK16,'Cash Drivers'!AG19&lt;='Cash Drivers'!AG16,'Cash Drivers'!AH19&lt;='Cash Drivers'!AH16,'Cash Drivers'!AD19&lt;='Cash Drivers'!AD16,'Cash Drivers'!AE19&lt;='Cash Drivers'!AE16,'Cash Drivers'!AA19&lt;='Cash Drivers'!AA16,'Cash Drivers'!AB19&lt;='Cash Drivers'!AB16,'Cash Drivers'!X19&lt;='Cash Drivers'!X16,'Cash Drivers'!Y19&lt;='Cash Drivers'!Y16,'Cash Drivers'!U19&lt;='Cash Drivers'!U16,'Cash Drivers'!V19&lt;='Cash Drivers'!V16,'Cash Drivers'!R19&lt;='Cash Drivers'!R16,'Cash Drivers'!S19&lt;='Cash Drivers'!S16,'Cash Drivers'!O19&lt;='Cash Drivers'!O16,'Cash Drivers'!P19&lt;='Cash Drivers'!P16,'Cash Drivers'!L19&lt;='Cash Drivers'!L16,'Cash Drivers'!M19&lt;='Cash Drivers'!M16),"OK","CHECK")</f>
        <v>OK</v>
      </c>
    </row>
    <row r="29" customFormat="false" ht="15.75" hidden="false" customHeight="true" outlineLevel="0" collapsed="false">
      <c r="A29" s="154" t="s">
        <v>340</v>
      </c>
      <c r="B29" s="155" t="str">
        <f aca="false">IF(AND(ABS('Cash Drivers'!DM20-MAX(0,'Cash Drivers'!DM17+'Cash Drivers'!DM18-'Cash Drivers'!DM19))&lt;0.01,ABS('Cash Drivers'!DN20-MAX(0,'Cash Drivers'!DN17+'Cash Drivers'!DN18-'Cash Drivers'!DN19))&lt;0.01,ABS('Cash Drivers'!DJ20-MAX(0,'Cash Drivers'!DJ17+'Cash Drivers'!DJ18-'Cash Drivers'!DJ19))&lt;0.01,ABS('Cash Drivers'!DK20-MAX(0,'Cash Drivers'!DK17+'Cash Drivers'!DK18-'Cash Drivers'!DK19))&lt;0.01,ABS('Cash Drivers'!DG20-MAX(0,'Cash Drivers'!DG17+'Cash Drivers'!DG18-'Cash Drivers'!DG19))&lt;0.01,ABS('Cash Drivers'!DH20-MAX(0,'Cash Drivers'!DH17+'Cash Drivers'!DH18-'Cash Drivers'!DH19))&lt;0.01,ABS('Cash Drivers'!DD20-MAX(0,'Cash Drivers'!DD17+'Cash Drivers'!DD18-'Cash Drivers'!DD19))&lt;0.01,ABS('Cash Drivers'!DE20-MAX(0,'Cash Drivers'!DE17+'Cash Drivers'!DE18-'Cash Drivers'!DE19))&lt;0.01,ABS('Cash Drivers'!DA20-MAX(0,'Cash Drivers'!DA17+'Cash Drivers'!DA18-'Cash Drivers'!DA19))&lt;0.01,ABS('Cash Drivers'!DB20-MAX(0,'Cash Drivers'!DB17+'Cash Drivers'!DB18-'Cash Drivers'!DB19))&lt;0.01,ABS('Cash Drivers'!CX20-MAX(0,'Cash Drivers'!CX17+'Cash Drivers'!CX18-'Cash Drivers'!CX19))&lt;0.01,ABS('Cash Drivers'!CY20-MAX(0,'Cash Drivers'!CY17+'Cash Drivers'!CY18-'Cash Drivers'!CY19))&lt;0.01,ABS('Cash Drivers'!CU20-MAX(0,'Cash Drivers'!CU17+'Cash Drivers'!CU18-'Cash Drivers'!CU19))&lt;0.01,ABS('Cash Drivers'!CV20-MAX(0,'Cash Drivers'!CV17+'Cash Drivers'!CV18-'Cash Drivers'!CV19))&lt;0.01,ABS('Cash Drivers'!CR20-MAX(0,'Cash Drivers'!CR17+'Cash Drivers'!CR18-'Cash Drivers'!CR19))&lt;0.01,ABS('Cash Drivers'!CS20-MAX(0,'Cash Drivers'!CS17+'Cash Drivers'!CS18-'Cash Drivers'!CS19))&lt;0.01,ABS('Cash Drivers'!CO20-MAX(0,'Cash Drivers'!CO17+'Cash Drivers'!CO18-'Cash Drivers'!CO19))&lt;0.01,ABS('Cash Drivers'!CP20-MAX(0,'Cash Drivers'!CP17+'Cash Drivers'!CP18-'Cash Drivers'!CP19))&lt;0.01,ABS('Cash Drivers'!CL20-MAX(0,'Cash Drivers'!CL17+'Cash Drivers'!CL18-'Cash Drivers'!CL19))&lt;0.01,ABS('Cash Drivers'!CM20-MAX(0,'Cash Drivers'!CM17+'Cash Drivers'!CM18-'Cash Drivers'!CM19))&lt;0.01,ABS('Cash Drivers'!CI20-MAX(0,'Cash Drivers'!CI17+'Cash Drivers'!CI18-'Cash Drivers'!CI19))&lt;0.01,ABS('Cash Drivers'!CJ20-MAX(0,'Cash Drivers'!CJ17+'Cash Drivers'!CJ18-'Cash Drivers'!CJ19))&lt;0.01,ABS('Cash Drivers'!CF20-MAX(0,'Cash Drivers'!CF17+'Cash Drivers'!CF18-'Cash Drivers'!CF19))&lt;0.01,ABS('Cash Drivers'!CG20-MAX(0,'Cash Drivers'!CG17+'Cash Drivers'!CG18-'Cash Drivers'!CG19))&lt;0.01,ABS('Cash Drivers'!CC20-MAX(0,'Cash Drivers'!CC17+'Cash Drivers'!CC18-'Cash Drivers'!CC19))&lt;0.01,ABS('Cash Drivers'!CD20-MAX(0,'Cash Drivers'!CD17+'Cash Drivers'!CD18-'Cash Drivers'!CD19))&lt;0.01,ABS('Cash Drivers'!BZ20-MAX(0,'Cash Drivers'!BZ17+'Cash Drivers'!BZ18-'Cash Drivers'!BZ19))&lt;0.01,ABS('Cash Drivers'!CA20-MAX(0,'Cash Drivers'!CA17+'Cash Drivers'!CA18-'Cash Drivers'!CA19))&lt;0.01,ABS('Cash Drivers'!BW20-MAX(0,'Cash Drivers'!BW17+'Cash Drivers'!BW18-'Cash Drivers'!BW19))&lt;0.01,ABS('Cash Drivers'!BX20-MAX(0,'Cash Drivers'!BX17+'Cash Drivers'!BX18-'Cash Drivers'!BX19))&lt;0.01,ABS('Cash Drivers'!BT20-MAX(0,'Cash Drivers'!BT17+'Cash Drivers'!BT18-'Cash Drivers'!BT19))&lt;0.01,ABS('Cash Drivers'!BU20-MAX(0,'Cash Drivers'!BU17+'Cash Drivers'!BU18-'Cash Drivers'!BU19))&lt;0.01,ABS('Cash Drivers'!BQ20-MAX(0,'Cash Drivers'!BQ17+'Cash Drivers'!BQ18-'Cash Drivers'!BQ19))&lt;0.01,ABS('Cash Drivers'!BR20-MAX(0,'Cash Drivers'!BR17+'Cash Drivers'!BR18-'Cash Drivers'!BR19))&lt;0.01,ABS('Cash Drivers'!BN20-MAX(0,'Cash Drivers'!BN17+'Cash Drivers'!BN18-'Cash Drivers'!BN19))&lt;0.01,ABS('Cash Drivers'!BO20-MAX(0,'Cash Drivers'!BO17+'Cash Drivers'!BO18-'Cash Drivers'!BO19))&lt;0.01,ABS('Cash Drivers'!BK20-MAX(0,'Cash Drivers'!BK17+'Cash Drivers'!BK18-'Cash Drivers'!BK19))&lt;0.01,ABS('Cash Drivers'!BL20-MAX(0,'Cash Drivers'!BL17+'Cash Drivers'!BL18-'Cash Drivers'!BL19))&lt;0.01,ABS('Cash Drivers'!BH20-MAX(0,'Cash Drivers'!BH17+'Cash Drivers'!BH18-'Cash Drivers'!BH19))&lt;0.01,ABS('Cash Drivers'!BI20-MAX(0,'Cash Drivers'!BI17+'Cash Drivers'!BI18-'Cash Drivers'!BI19))&lt;0.01,ABS('Cash Drivers'!BE20-MAX(0,'Cash Drivers'!BE17+'Cash Drivers'!BE18-'Cash Drivers'!BE19))&lt;0.01,ABS('Cash Drivers'!BF20-MAX(0,'Cash Drivers'!BF17+'Cash Drivers'!BF18-'Cash Drivers'!BF19))&lt;0.01,ABS('Cash Drivers'!BB20-MAX(0,'Cash Drivers'!BB17+'Cash Drivers'!BB18-'Cash Drivers'!BB19))&lt;0.01,ABS('Cash Drivers'!BC20-MAX(0,'Cash Drivers'!BC17+'Cash Drivers'!BC18-'Cash Drivers'!BC19))&lt;0.01,ABS('Cash Drivers'!AY20-MAX(0,'Cash Drivers'!AY17+'Cash Drivers'!AY18-'Cash Drivers'!AY19))&lt;0.01,ABS('Cash Drivers'!AZ20-MAX(0,'Cash Drivers'!AZ17+'Cash Drivers'!AZ18-'Cash Drivers'!AZ19))&lt;0.01,ABS('Cash Drivers'!AV20-MAX(0,'Cash Drivers'!AV17+'Cash Drivers'!AV18-'Cash Drivers'!AV19))&lt;0.01,ABS('Cash Drivers'!AW20-MAX(0,'Cash Drivers'!AW17+'Cash Drivers'!AW18-'Cash Drivers'!AW19))&lt;0.01,ABS('Cash Drivers'!AS20-MAX(0,'Cash Drivers'!AS17+'Cash Drivers'!AS18-'Cash Drivers'!AS19))&lt;0.01,ABS('Cash Drivers'!AT20-MAX(0,'Cash Drivers'!AT17+'Cash Drivers'!AT18-'Cash Drivers'!AT19))&lt;0.01,ABS('Cash Drivers'!AP20-MAX(0,'Cash Drivers'!AP17+'Cash Drivers'!AP18-'Cash Drivers'!AP19))&lt;0.01,ABS('Cash Drivers'!AQ20-MAX(0,'Cash Drivers'!AQ17+'Cash Drivers'!AQ18-'Cash Drivers'!AQ19))&lt;0.01,ABS('Cash Drivers'!AM20-MAX(0,'Cash Drivers'!AM17+'Cash Drivers'!AM18-'Cash Drivers'!AM19))&lt;0.01,ABS('Cash Drivers'!AN20-MAX(0,'Cash Drivers'!AN17+'Cash Drivers'!AN18-'Cash Drivers'!AN19))&lt;0.01,ABS('Cash Drivers'!AJ20-MAX(0,'Cash Drivers'!AJ17+'Cash Drivers'!AJ18-'Cash Drivers'!AJ19))&lt;0.01,ABS('Cash Drivers'!AK20-MAX(0,'Cash Drivers'!AK17+'Cash Drivers'!AK18-'Cash Drivers'!AK19))&lt;0.01,ABS('Cash Drivers'!AG20-MAX(0,'Cash Drivers'!AG17+'Cash Drivers'!AG18-'Cash Drivers'!AG19))&lt;0.01,ABS('Cash Drivers'!AH20-MAX(0,'Cash Drivers'!AH17+'Cash Drivers'!AH18-'Cash Drivers'!AH19))&lt;0.01,ABS('Cash Drivers'!AD20-MAX(0,'Cash Drivers'!AD17+'Cash Drivers'!AD18-'Cash Drivers'!AD19))&lt;0.01,ABS('Cash Drivers'!AE20-MAX(0,'Cash Drivers'!AE17+'Cash Drivers'!AE18-'Cash Drivers'!AE19))&lt;0.01,ABS('Cash Drivers'!AA20-MAX(0,'Cash Drivers'!AA17+'Cash Drivers'!AA18-'Cash Drivers'!AA19))&lt;0.01,ABS('Cash Drivers'!AB20-MAX(0,'Cash Drivers'!AB17+'Cash Drivers'!AB18-'Cash Drivers'!AB19))&lt;0.01,ABS('Cash Drivers'!X20-MAX(0,'Cash Drivers'!X17+'Cash Drivers'!X18-'Cash Drivers'!X19))&lt;0.01,ABS('Cash Drivers'!Y20-MAX(0,'Cash Drivers'!Y17+'Cash Drivers'!Y18-'Cash Drivers'!Y19))&lt;0.01,ABS('Cash Drivers'!U20-MAX(0,'Cash Drivers'!U17+'Cash Drivers'!U18-'Cash Drivers'!U19))&lt;0.01,ABS('Cash Drivers'!V20-MAX(0,'Cash Drivers'!V17+'Cash Drivers'!V18-'Cash Drivers'!V19))&lt;0.01,ABS('Cash Drivers'!R20-MAX(0,'Cash Drivers'!R17+'Cash Drivers'!R18-'Cash Drivers'!R19))&lt;0.01,ABS('Cash Drivers'!S20-MAX(0,'Cash Drivers'!S17+'Cash Drivers'!S18-'Cash Drivers'!S19))&lt;0.01,ABS('Cash Drivers'!O20-MAX(0,'Cash Drivers'!O17+'Cash Drivers'!O18-'Cash Drivers'!O19))&lt;0.01,ABS('Cash Drivers'!P20-MAX(0,'Cash Drivers'!P17+'Cash Drivers'!P18-'Cash Drivers'!P19))&lt;0.01,ABS('Cash Drivers'!L20-MAX(0,'Cash Drivers'!L17+'Cash Drivers'!L18-'Cash Drivers'!L19))&lt;0.01,ABS('Cash Drivers'!M20-MAX(0,'Cash Drivers'!M17+'Cash Drivers'!M18-'Cash Drivers'!M19))&lt;0.01),"OK","CHECK")</f>
        <v>OK</v>
      </c>
    </row>
    <row r="30" customFormat="false" ht="15.75" hidden="false" customHeight="true" outlineLevel="0" collapsed="false">
      <c r="A30" s="154" t="s">
        <v>341</v>
      </c>
      <c r="B30" s="155" t="str">
        <f aca="false">IF(AND(OR('Cash Drivers'!DM$26,ABS('Cash Drivers'!DM25-IF('Cash Drivers'!DM17+'Cash Drivers'!DM18=0,0,ROUND('Cash Drivers'!DM19*('Cash Drivers'!DM23+'Cash Drivers'!DM24)/('Cash Drivers'!DM17+'Cash Drivers'!DM18),0)))&lt;0.01),ABS('Cash Drivers'!DN25-IF('Cash Drivers'!DN17+'Cash Drivers'!DN18=0,0,ROUND('Cash Drivers'!DN19*('Cash Drivers'!DN23+'Cash Drivers'!DN24)/('Cash Drivers'!DN17+'Cash Drivers'!DN18),0)))&lt;0.01,OR('Cash Drivers'!DJ$26,ABS('Cash Drivers'!DJ25-IF('Cash Drivers'!DJ17+'Cash Drivers'!DJ18=0,0,ROUND('Cash Drivers'!DJ19*('Cash Drivers'!DJ23+'Cash Drivers'!DJ24)/('Cash Drivers'!DJ17+'Cash Drivers'!DJ18),0)))&lt;0.01),ABS('Cash Drivers'!DK25-IF('Cash Drivers'!DK17+'Cash Drivers'!DK18=0,0,ROUND('Cash Drivers'!DK19*('Cash Drivers'!DK23+'Cash Drivers'!DK24)/('Cash Drivers'!DK17+'Cash Drivers'!DK18),0)))&lt;0.01,OR('Cash Drivers'!DG$26,ABS('Cash Drivers'!DG25-IF('Cash Drivers'!DG17+'Cash Drivers'!DG18=0,0,ROUND('Cash Drivers'!DG19*('Cash Drivers'!DG23+'Cash Drivers'!DG24)/('Cash Drivers'!DG17+'Cash Drivers'!DG18),0)))&lt;0.01),ABS('Cash Drivers'!DH25-IF('Cash Drivers'!DH17+'Cash Drivers'!DH18=0,0,ROUND('Cash Drivers'!DH19*('Cash Drivers'!DH23+'Cash Drivers'!DH24)/('Cash Drivers'!DH17+'Cash Drivers'!DH18),0)))&lt;0.01,OR('Cash Drivers'!DD$26,ABS('Cash Drivers'!DD25-IF('Cash Drivers'!DD17+'Cash Drivers'!DD18=0,0,ROUND('Cash Drivers'!DD19*('Cash Drivers'!DD23+'Cash Drivers'!DD24)/('Cash Drivers'!DD17+'Cash Drivers'!DD18),0)))&lt;0.01),ABS('Cash Drivers'!DE25-IF('Cash Drivers'!DE17+'Cash Drivers'!DE18=0,0,ROUND('Cash Drivers'!DE19*('Cash Drivers'!DE23+'Cash Drivers'!DE24)/('Cash Drivers'!DE17+'Cash Drivers'!DE18),0)))&lt;0.01,OR('Cash Drivers'!DA$26,ABS('Cash Drivers'!DA25-IF('Cash Drivers'!DA17+'Cash Drivers'!DA18=0,0,ROUND('Cash Drivers'!DA19*('Cash Drivers'!DA23+'Cash Drivers'!DA24)/('Cash Drivers'!DA17+'Cash Drivers'!DA18),0)))&lt;0.01),ABS('Cash Drivers'!DB25-IF('Cash Drivers'!DB17+'Cash Drivers'!DB18=0,0,ROUND('Cash Drivers'!DB19*('Cash Drivers'!DB23+'Cash Drivers'!DB24)/('Cash Drivers'!DB17+'Cash Drivers'!DB18),0)))&lt;0.01,OR('Cash Drivers'!CX$26,ABS('Cash Drivers'!CX25-IF('Cash Drivers'!CX17+'Cash Drivers'!CX18=0,0,ROUND('Cash Drivers'!CX19*('Cash Drivers'!CX23+'Cash Drivers'!CX24)/('Cash Drivers'!CX17+'Cash Drivers'!CX18),0)))&lt;0.01),ABS('Cash Drivers'!CY25-IF('Cash Drivers'!CY17+'Cash Drivers'!CY18=0,0,ROUND('Cash Drivers'!CY19*('Cash Drivers'!CY23+'Cash Drivers'!CY24)/('Cash Drivers'!CY17+'Cash Drivers'!CY18),0)))&lt;0.01,OR('Cash Drivers'!CU$26,ABS('Cash Drivers'!CU25-IF('Cash Drivers'!CU17+'Cash Drivers'!CU18=0,0,ROUND('Cash Drivers'!CU19*('Cash Drivers'!CU23+'Cash Drivers'!CU24)/('Cash Drivers'!CU17+'Cash Drivers'!CU18),0)))&lt;0.01),ABS('Cash Drivers'!CV25-IF('Cash Drivers'!CV17+'Cash Drivers'!CV18=0,0,ROUND('Cash Drivers'!CV19*('Cash Drivers'!CV23+'Cash Drivers'!CV24)/('Cash Drivers'!CV17+'Cash Drivers'!CV18),0)))&lt;0.01,OR('Cash Drivers'!CR$26,ABS('Cash Drivers'!CR25-IF('Cash Drivers'!CR17+'Cash Drivers'!CR18=0,0,ROUND('Cash Drivers'!CR19*('Cash Drivers'!CR23+'Cash Drivers'!CR24)/('Cash Drivers'!CR17+'Cash Drivers'!CR18),0)))&lt;0.01),ABS('Cash Drivers'!CS25-IF('Cash Drivers'!CS17+'Cash Drivers'!CS18=0,0,ROUND('Cash Drivers'!CS19*('Cash Drivers'!CS23+'Cash Drivers'!CS24)/('Cash Drivers'!CS17+'Cash Drivers'!CS18),0)))&lt;0.01,OR('Cash Drivers'!CO$26,ABS('Cash Drivers'!CO25-IF('Cash Drivers'!CO17+'Cash Drivers'!CO18=0,0,ROUND('Cash Drivers'!CO19*('Cash Drivers'!CO23+'Cash Drivers'!CO24)/('Cash Drivers'!CO17+'Cash Drivers'!CO18),0)))&lt;0.01),ABS('Cash Drivers'!CP25-IF('Cash Drivers'!CP17+'Cash Drivers'!CP18=0,0,ROUND('Cash Drivers'!CP19*('Cash Drivers'!CP23+'Cash Drivers'!CP24)/('Cash Drivers'!CP17+'Cash Drivers'!CP18),0)))&lt;0.01,OR('Cash Drivers'!CL$26,ABS('Cash Drivers'!CL25-IF('Cash Drivers'!CL17+'Cash Drivers'!CL18=0,0,ROUND('Cash Drivers'!CL19*('Cash Drivers'!CL23+'Cash Drivers'!CL24)/('Cash Drivers'!CL17+'Cash Drivers'!CL18),0)))&lt;0.01),ABS('Cash Drivers'!CM25-IF('Cash Drivers'!CM17+'Cash Drivers'!CM18=0,0,ROUND('Cash Drivers'!CM19*('Cash Drivers'!CM23+'Cash Drivers'!CM24)/('Cash Drivers'!CM17+'Cash Drivers'!CM18),0)))&lt;0.01,OR('Cash Drivers'!CI$26,ABS('Cash Drivers'!CI25-IF('Cash Drivers'!CI17+'Cash Drivers'!CI18=0,0,ROUND('Cash Drivers'!CI19*('Cash Drivers'!CI23+'Cash Drivers'!CI24)/('Cash Drivers'!CI17+'Cash Drivers'!CI18),0)))&lt;0.01),ABS('Cash Drivers'!CJ25-IF('Cash Drivers'!CJ17+'Cash Drivers'!CJ18=0,0,ROUND('Cash Drivers'!CJ19*('Cash Drivers'!CJ23+'Cash Drivers'!CJ24)/('Cash Drivers'!CJ17+'Cash Drivers'!CJ18),0)))&lt;0.01,OR('Cash Drivers'!CF$26,ABS('Cash Drivers'!CF25-IF('Cash Drivers'!CF17+'Cash Drivers'!CF18=0,0,ROUND('Cash Drivers'!CF19*('Cash Drivers'!CF23+'Cash Drivers'!CF24)/('Cash Drivers'!CF17+'Cash Drivers'!CF18),0)))&lt;0.01),ABS('Cash Drivers'!CG25-IF('Cash Drivers'!CG17+'Cash Drivers'!CG18=0,0,ROUND('Cash Drivers'!CG19*('Cash Drivers'!CG23+'Cash Drivers'!CG24)/('Cash Drivers'!CG17+'Cash Drivers'!CG18),0)))&lt;0.01,OR('Cash Drivers'!CC$26,ABS('Cash Drivers'!CC25-IF('Cash Drivers'!CC17+'Cash Drivers'!CC18=0,0,ROUND('Cash Drivers'!CC19*('Cash Drivers'!CC23+'Cash Drivers'!CC24)/('Cash Drivers'!CC17+'Cash Drivers'!CC18),0)))&lt;0.01),ABS('Cash Drivers'!CD25-IF('Cash Drivers'!CD17+'Cash Drivers'!CD18=0,0,ROUND('Cash Drivers'!CD19*('Cash Drivers'!CD23+'Cash Drivers'!CD24)/('Cash Drivers'!CD17+'Cash Drivers'!CD18),0)))&lt;0.01,OR('Cash Drivers'!BZ$26,ABS('Cash Drivers'!BZ25-IF('Cash Drivers'!BZ17+'Cash Drivers'!BZ18=0,0,ROUND('Cash Drivers'!BZ19*('Cash Drivers'!BZ23+'Cash Drivers'!BZ24)/('Cash Drivers'!BZ17+'Cash Drivers'!BZ18),0)))&lt;0.01),ABS('Cash Drivers'!CA25-IF('Cash Drivers'!CA17+'Cash Drivers'!CA18=0,0,ROUND('Cash Drivers'!CA19*('Cash Drivers'!CA23+'Cash Drivers'!CA24)/('Cash Drivers'!CA17+'Cash Drivers'!CA18),0)))&lt;0.01,OR('Cash Drivers'!BW$26,ABS('Cash Drivers'!BW25-IF('Cash Drivers'!BW17+'Cash Drivers'!BW18=0,0,ROUND('Cash Drivers'!BW19*('Cash Drivers'!BW23+'Cash Drivers'!BW24)/('Cash Drivers'!BW17+'Cash Drivers'!BW18),0)))&lt;0.01),ABS('Cash Drivers'!BX25-IF('Cash Drivers'!BX17+'Cash Drivers'!BX18=0,0,ROUND('Cash Drivers'!BX19*('Cash Drivers'!BX23+'Cash Drivers'!BX24)/('Cash Drivers'!BX17+'Cash Drivers'!BX18),0)))&lt;0.01,OR('Cash Drivers'!BT$26,ABS('Cash Drivers'!BT25-IF('Cash Drivers'!BT17+'Cash Drivers'!BT18=0,0,ROUND('Cash Drivers'!BT19*('Cash Drivers'!BT23+'Cash Drivers'!BT24)/('Cash Drivers'!BT17+'Cash Drivers'!BT18),0)))&lt;0.01),ABS('Cash Drivers'!BU25-IF('Cash Drivers'!BU17+'Cash Drivers'!BU18=0,0,ROUND('Cash Drivers'!BU19*('Cash Drivers'!BU23+'Cash Drivers'!BU24)/('Cash Drivers'!BU17+'Cash Drivers'!BU18),0)))&lt;0.01,OR('Cash Drivers'!BQ$26,ABS('Cash Drivers'!BQ25-IF('Cash Drivers'!BQ17+'Cash Drivers'!BQ18=0,0,ROUND('Cash Drivers'!BQ19*('Cash Drivers'!BQ23+'Cash Drivers'!BQ24)/('Cash Drivers'!BQ17+'Cash Drivers'!BQ18),0)))&lt;0.01),ABS('Cash Drivers'!BR25-IF('Cash Drivers'!BR17+'Cash Drivers'!BR18=0,0,ROUND('Cash Drivers'!BR19*('Cash Drivers'!BR23+'Cash Drivers'!BR24)/('Cash Drivers'!BR17+'Cash Drivers'!BR18),0)))&lt;0.01,OR('Cash Drivers'!BN$26,ABS('Cash Drivers'!BN25-IF('Cash Drivers'!BN17+'Cash Drivers'!BN18=0,0,ROUND('Cash Drivers'!BN19*('Cash Drivers'!BN23+'Cash Drivers'!BN24)/('Cash Drivers'!BN17+'Cash Drivers'!BN18),0)))&lt;0.01),ABS('Cash Drivers'!BO25-IF('Cash Drivers'!BO17+'Cash Drivers'!BO18=0,0,ROUND('Cash Drivers'!BO19*('Cash Drivers'!BO23+'Cash Drivers'!BO24)/('Cash Drivers'!BO17+'Cash Drivers'!BO18),0)))&lt;0.01,OR('Cash Drivers'!BK$26,ABS('Cash Drivers'!BK25-IF('Cash Drivers'!BK17+'Cash Drivers'!BK18=0,0,ROUND('Cash Drivers'!BK19*('Cash Drivers'!BK23+'Cash Drivers'!BK24)/('Cash Drivers'!BK17+'Cash Drivers'!BK18),0)))&lt;0.01),ABS('Cash Drivers'!BL25-IF('Cash Drivers'!BL17+'Cash Drivers'!BL18=0,0,ROUND('Cash Drivers'!BL19*('Cash Drivers'!BL23+'Cash Drivers'!BL24)/('Cash Drivers'!BL17+'Cash Drivers'!BL18),0)))&lt;0.01,OR('Cash Drivers'!BH$26,ABS('Cash Drivers'!BH25-IF('Cash Drivers'!BH17+'Cash Drivers'!BH18=0,0,ROUND('Cash Drivers'!BH19*('Cash Drivers'!BH23+'Cash Drivers'!BH24)/('Cash Drivers'!BH17+'Cash Drivers'!BH18),0)))&lt;0.01),ABS('Cash Drivers'!BI25-IF('Cash Drivers'!BI17+'Cash Drivers'!BI18=0,0,ROUND('Cash Drivers'!BI19*('Cash Drivers'!BI23+'Cash Drivers'!BI24)/('Cash Drivers'!BI17+'Cash Drivers'!BI18),0)))&lt;0.01,OR('Cash Drivers'!BE$26,ABS('Cash Drivers'!BE25-IF('Cash Drivers'!BE17+'Cash Drivers'!BE18=0,0,ROUND('Cash Drivers'!BE19*('Cash Drivers'!BE23+'Cash Drivers'!BE24)/('Cash Drivers'!BE17+'Cash Drivers'!BE18),0)))&lt;0.01),ABS('Cash Drivers'!BF25-IF('Cash Drivers'!BF17+'Cash Drivers'!BF18=0,0,ROUND('Cash Drivers'!BF19*('Cash Drivers'!BF23+'Cash Drivers'!BF24)/('Cash Drivers'!BF17+'Cash Drivers'!BF18),0)))&lt;0.01,OR('Cash Drivers'!BB$26,ABS('Cash Drivers'!BB25-IF('Cash Drivers'!BB17+'Cash Drivers'!BB18=0,0,ROUND('Cash Drivers'!BB19*('Cash Drivers'!BB23+'Cash Drivers'!BB24)/('Cash Drivers'!BB17+'Cash Drivers'!BB18),0)))&lt;0.01),ABS('Cash Drivers'!BC25-IF('Cash Drivers'!BC17+'Cash Drivers'!BC18=0,0,ROUND('Cash Drivers'!BC19*('Cash Drivers'!BC23+'Cash Drivers'!BC24)/('Cash Drivers'!BC17+'Cash Drivers'!BC18),0)))&lt;0.01,OR('Cash Drivers'!AY$26,ABS('Cash Drivers'!AY25-IF('Cash Drivers'!AY17+'Cash Drivers'!AY18=0,0,ROUND('Cash Drivers'!AY19*('Cash Drivers'!AY23+'Cash Drivers'!AY24)/('Cash Drivers'!AY17+'Cash Drivers'!AY18),0)))&lt;0.01),ABS('Cash Drivers'!AZ25-IF('Cash Drivers'!AZ17+'Cash Drivers'!AZ18=0,0,ROUND('Cash Drivers'!AZ19*('Cash Drivers'!AZ23+'Cash Drivers'!AZ24)/('Cash Drivers'!AZ17+'Cash Drivers'!AZ18),0)))&lt;0.01,OR('Cash Drivers'!AV$26,ABS('Cash Drivers'!AV25-IF('Cash Drivers'!AV17+'Cash Drivers'!AV18=0,0,ROUND('Cash Drivers'!AV19*('Cash Drivers'!AV23+'Cash Drivers'!AV24)/('Cash Drivers'!AV17+'Cash Drivers'!AV18),0)))&lt;0.01),ABS('Cash Drivers'!AW25-IF('Cash Drivers'!AW17+'Cash Drivers'!AW18=0,0,ROUND('Cash Drivers'!AW19*('Cash Drivers'!AW23+'Cash Drivers'!AW24)/('Cash Drivers'!AW17+'Cash Drivers'!AW18),0)))&lt;0.01,OR('Cash Drivers'!AS$26,ABS('Cash Drivers'!AS25-IF('Cash Drivers'!AS17+'Cash Drivers'!AS18=0,0,ROUND('Cash Drivers'!AS19*('Cash Drivers'!AS23+'Cash Drivers'!AS24)/('Cash Drivers'!AS17+'Cash Drivers'!AS18),0)))&lt;0.01),ABS('Cash Drivers'!AT25-IF('Cash Drivers'!AT17+'Cash Drivers'!AT18=0,0,ROUND('Cash Drivers'!AT19*('Cash Drivers'!AT23+'Cash Drivers'!AT24)/('Cash Drivers'!AT17+'Cash Drivers'!AT18),0)))&lt;0.01,OR('Cash Drivers'!AP$26,ABS('Cash Drivers'!AP25-IF('Cash Drivers'!AP17+'Cash Drivers'!AP18=0,0,ROUND('Cash Drivers'!AP19*('Cash Drivers'!AP23+'Cash Drivers'!AP24)/('Cash Drivers'!AP17+'Cash Drivers'!AP18),0)))&lt;0.01),ABS('Cash Drivers'!AQ25-IF('Cash Drivers'!AQ17+'Cash Drivers'!AQ18=0,0,ROUND('Cash Drivers'!AQ19*('Cash Drivers'!AQ23+'Cash Drivers'!AQ24)/('Cash Drivers'!AQ17+'Cash Drivers'!AQ18),0)))&lt;0.01,OR('Cash Drivers'!AM$26,ABS('Cash Drivers'!AM25-IF('Cash Drivers'!AM17+'Cash Drivers'!AM18=0,0,ROUND('Cash Drivers'!AM19*('Cash Drivers'!AM23+'Cash Drivers'!AM24)/('Cash Drivers'!AM17+'Cash Drivers'!AM18),0)))&lt;0.01),ABS('Cash Drivers'!AN25-IF('Cash Drivers'!AN17+'Cash Drivers'!AN18=0,0,ROUND('Cash Drivers'!AN19*('Cash Drivers'!AN23+'Cash Drivers'!AN24)/('Cash Drivers'!AN17+'Cash Drivers'!AN18),0)))&lt;0.01,OR('Cash Drivers'!AJ$26,ABS('Cash Drivers'!AJ25-IF('Cash Drivers'!AJ17+'Cash Drivers'!AJ18=0,0,ROUND('Cash Drivers'!AJ19*('Cash Drivers'!AJ23+'Cash Drivers'!AJ24)/('Cash Drivers'!AJ17+'Cash Drivers'!AJ18),0)))&lt;0.01),ABS('Cash Drivers'!AK25-IF('Cash Drivers'!AK17+'Cash Drivers'!AK18=0,0,ROUND('Cash Drivers'!AK19*('Cash Drivers'!AK23+'Cash Drivers'!AK24)/('Cash Drivers'!AK17+'Cash Drivers'!AK18),0)))&lt;0.01,OR('Cash Drivers'!AG$26,ABS('Cash Drivers'!AG25-IF('Cash Drivers'!AG17+'Cash Drivers'!AG18=0,0,ROUND('Cash Drivers'!AG19*('Cash Drivers'!AG23+'Cash Drivers'!AG24)/('Cash Drivers'!AG17+'Cash Drivers'!AG18),0)))&lt;0.01),ABS('Cash Drivers'!AH25-IF('Cash Drivers'!AH17+'Cash Drivers'!AH18=0,0,ROUND('Cash Drivers'!AH19*('Cash Drivers'!AH23+'Cash Drivers'!AH24)/('Cash Drivers'!AH17+'Cash Drivers'!AH18),0)))&lt;0.01,OR('Cash Drivers'!AD$26,ABS('Cash Drivers'!AD25-IF('Cash Drivers'!AD17+'Cash Drivers'!AD18=0,0,ROUND('Cash Drivers'!AD19*('Cash Drivers'!AD23+'Cash Drivers'!AD24)/('Cash Drivers'!AD17+'Cash Drivers'!AD18),0)))&lt;0.01),ABS('Cash Drivers'!AE25-IF('Cash Drivers'!AE17+'Cash Drivers'!AE18=0,0,ROUND('Cash Drivers'!AE19*('Cash Drivers'!AE23+'Cash Drivers'!AE24)/('Cash Drivers'!AE17+'Cash Drivers'!AE18),0)))&lt;0.01,OR('Cash Drivers'!AA$26,ABS('Cash Drivers'!AA25-IF('Cash Drivers'!AA17+'Cash Drivers'!AA18=0,0,ROUND('Cash Drivers'!AA19*('Cash Drivers'!AA23+'Cash Drivers'!AA24)/('Cash Drivers'!AA17+'Cash Drivers'!AA18),0)))&lt;0.01),ABS('Cash Drivers'!AB25-IF('Cash Drivers'!AB17+'Cash Drivers'!AB18=0,0,ROUND('Cash Drivers'!AB19*('Cash Drivers'!AB23+'Cash Drivers'!AB24)/('Cash Drivers'!AB17+'Cash Drivers'!AB18),0)))&lt;0.01,OR('Cash Drivers'!X$26,ABS('Cash Drivers'!X25-IF('Cash Drivers'!X17+'Cash Drivers'!X18=0,0,ROUND('Cash Drivers'!X19*('Cash Drivers'!X23+'Cash Drivers'!X24)/('Cash Drivers'!X17+'Cash Drivers'!X18),0)))&lt;0.01),ABS('Cash Drivers'!Y25-IF('Cash Drivers'!Y17+'Cash Drivers'!Y18=0,0,ROUND('Cash Drivers'!Y19*('Cash Drivers'!Y23+'Cash Drivers'!Y24)/('Cash Drivers'!Y17+'Cash Drivers'!Y18),0)))&lt;0.01,OR('Cash Drivers'!U$26,ABS('Cash Drivers'!U25-IF('Cash Drivers'!U17+'Cash Drivers'!U18=0,0,ROUND('Cash Drivers'!U19*('Cash Drivers'!U23+'Cash Drivers'!U24)/('Cash Drivers'!U17+'Cash Drivers'!U18),0)))&lt;0.01),ABS('Cash Drivers'!V25-IF('Cash Drivers'!V17+'Cash Drivers'!V18=0,0,ROUND('Cash Drivers'!V19*('Cash Drivers'!V23+'Cash Drivers'!V24)/('Cash Drivers'!V17+'Cash Drivers'!V18),0)))&lt;0.01,OR('Cash Drivers'!R$26,ABS('Cash Drivers'!R25-IF('Cash Drivers'!R17+'Cash Drivers'!R18=0,0,ROUND('Cash Drivers'!R19*('Cash Drivers'!R23+'Cash Drivers'!R24)/('Cash Drivers'!R17+'Cash Drivers'!R18),0)))&lt;0.01),ABS('Cash Drivers'!S25-IF('Cash Drivers'!S17+'Cash Drivers'!S18=0,0,ROUND('Cash Drivers'!S19*('Cash Drivers'!S23+'Cash Drivers'!S24)/('Cash Drivers'!S17+'Cash Drivers'!S18),0)))&lt;0.01,OR('Cash Drivers'!O$26,ABS('Cash Drivers'!O25-IF('Cash Drivers'!O17+'Cash Drivers'!O18=0,0,ROUND('Cash Drivers'!O19*('Cash Drivers'!O23+'Cash Drivers'!O24)/('Cash Drivers'!O17+'Cash Drivers'!O18),0)))&lt;0.01),ABS('Cash Drivers'!P25-IF('Cash Drivers'!P17+'Cash Drivers'!P18=0,0,ROUND('Cash Drivers'!P19*('Cash Drivers'!P23+'Cash Drivers'!P24)/('Cash Drivers'!P17+'Cash Drivers'!P18),0)))&lt;0.01,OR('Cash Drivers'!L$26,ABS('Cash Drivers'!L25-IF('Cash Drivers'!L17+'Cash Drivers'!L18=0,0,ROUND('Cash Drivers'!L19*('Cash Drivers'!L23+'Cash Drivers'!L24)/('Cash Drivers'!L17+'Cash Drivers'!L18),0)))&lt;0.01),ABS('Cash Drivers'!M25-IF('Cash Drivers'!M17+'Cash Drivers'!M18=0,0,ROUND('Cash Drivers'!M19*('Cash Drivers'!M23+'Cash Drivers'!M24)/('Cash Drivers'!M17+'Cash Drivers'!M18),0)))&lt;0.01),"OK","CHECK")</f>
        <v>OK</v>
      </c>
    </row>
    <row r="31" customFormat="false" ht="15.75" hidden="false" customHeight="true" outlineLevel="0" collapsed="false">
      <c r="A31" s="154" t="s">
        <v>342</v>
      </c>
      <c r="B31" s="155" t="str">
        <f aca="false">IF(COUNT(Finance!DM5,Finance!DN5,Finance!DJ5,Finance!DK5,Finance!DG5,Finance!DH5,Finance!DD5,Finance!DE5,Finance!DA5,Finance!DB5,Finance!CX5,Finance!CY5,Finance!CU5,Finance!CV5,Finance!CR5,Finance!CS5,Finance!CO5,Finance!CP5,Finance!CL5,Finance!CM5,Finance!CI5,Finance!CJ5,Finance!CF5,Finance!CG5,Finance!CC5,Finance!CD5,Finance!BZ5,Finance!CA5,Finance!BW5,Finance!BX5,Finance!BT5,Finance!BU5,Finance!BQ5,Finance!BR5,Finance!BN5,Finance!BO5,Finance!BK5,Finance!BL5,Finance!BH5,Finance!BI5,Finance!BE5,Finance!BF5,Finance!BB5,Finance!BC5,Finance!AY5,Finance!AZ5,Finance!AV5,Finance!AW5,Finance!AS5,Finance!AT5,Finance!AP5,Finance!AQ5,Finance!AM5,Finance!AN5,Finance!AJ5,Finance!AK5,Finance!AG5,Finance!AH5,Finance!AD5,Finance!AE5,Finance!AA5,Finance!AB5,Finance!X5,Finance!Y5,Finance!U5,Finance!V5,Finance!R5,Finance!S5,Finance!O5,Finance!P5,Finance!L5,Finance!M5)=72,"OK","CHECK")</f>
        <v>OK</v>
      </c>
    </row>
    <row r="32" customFormat="false" ht="15.75" hidden="false" customHeight="true" outlineLevel="0" collapsed="false">
      <c r="A32" s="154" t="s">
        <v>343</v>
      </c>
      <c r="B32" s="155" t="str">
        <f aca="false">IF(AND('Cash Drivers'!DM7=IF('Cash Drivers'!DM$26,'Cash Drivers'!DL7,'Cash Drivers'!DN7),'Cash Drivers'!DM13=IF('Cash Drivers'!DM$26,'Cash Drivers'!DL13,'Cash Drivers'!DN13),'Cash Drivers'!DM14=IF('Cash Drivers'!DM$26,'Cash Drivers'!DL14,'Cash Drivers'!DN14),'Cash Drivers'!DM15=IF('Cash Drivers'!DM$26,'Cash Drivers'!DL15,'Cash Drivers'!DN15),Sales!DM4=IF('Cash Drivers'!DM$26,Sales!DL4,Sales!DN4),Finance!DM4=IF('Cash Drivers'!DM$26,Finance!DL4,Finance!DN4),'Cash Drivers'!DJ7=IF('Cash Drivers'!DJ$26,'Cash Drivers'!DI7,'Cash Drivers'!DK7),'Cash Drivers'!DJ13=IF('Cash Drivers'!DJ$26,'Cash Drivers'!DI13,'Cash Drivers'!DK13),'Cash Drivers'!DJ14=IF('Cash Drivers'!DJ$26,'Cash Drivers'!DI14,'Cash Drivers'!DK14),'Cash Drivers'!DJ15=IF('Cash Drivers'!DJ$26,'Cash Drivers'!DI15,'Cash Drivers'!DK15),Sales!DJ4=IF('Cash Drivers'!DJ$26,Sales!DI4,Sales!DK4),Finance!DJ4=IF('Cash Drivers'!DJ$26,Finance!DI4,Finance!DK4),'Cash Drivers'!DG7=IF('Cash Drivers'!DG$26,'Cash Drivers'!DF7,'Cash Drivers'!DH7),'Cash Drivers'!DG13=IF('Cash Drivers'!DG$26,'Cash Drivers'!DF13,'Cash Drivers'!DH13),'Cash Drivers'!DG14=IF('Cash Drivers'!DG$26,'Cash Drivers'!DF14,'Cash Drivers'!DH14),'Cash Drivers'!DG15=IF('Cash Drivers'!DG$26,'Cash Drivers'!DF15,'Cash Drivers'!DH15),Sales!DG4=IF('Cash Drivers'!DG$26,Sales!DF4,Sales!DH4),Finance!DG4=IF('Cash Drivers'!DG$26,Finance!DF4,Finance!DH4),'Cash Drivers'!DD7=IF('Cash Drivers'!DD$26,'Cash Drivers'!DC7,'Cash Drivers'!DE7),'Cash Drivers'!DD13=IF('Cash Drivers'!DD$26,'Cash Drivers'!DC13,'Cash Drivers'!DE13),'Cash Drivers'!DD14=IF('Cash Drivers'!DD$26,'Cash Drivers'!DC14,'Cash Drivers'!DE14),'Cash Drivers'!DD15=IF('Cash Drivers'!DD$26,'Cash Drivers'!DC15,'Cash Drivers'!DE15),Sales!DD4=IF('Cash Drivers'!DD$26,Sales!DC4,Sales!DE4),Finance!DD4=IF('Cash Drivers'!DD$26,Finance!DC4,Finance!DE4),'Cash Drivers'!DA7=IF('Cash Drivers'!DA$26,'Cash Drivers'!CZ7,'Cash Drivers'!DB7),'Cash Drivers'!DA13=IF('Cash Drivers'!DA$26,'Cash Drivers'!CZ13,'Cash Drivers'!DB13),'Cash Drivers'!DA14=IF('Cash Drivers'!DA$26,'Cash Drivers'!CZ14,'Cash Drivers'!DB14),'Cash Drivers'!DA15=IF('Cash Drivers'!DA$26,'Cash Drivers'!CZ15,'Cash Drivers'!DB15),Sales!DA4=IF('Cash Drivers'!DA$26,Sales!CZ4,Sales!DB4),Finance!DA4=IF('Cash Drivers'!DA$26,Finance!CZ4,Finance!DB4),'Cash Drivers'!CX7=IF('Cash Drivers'!CX$26,'Cash Drivers'!CW7,'Cash Drivers'!CY7),'Cash Drivers'!CX13=IF('Cash Drivers'!CX$26,'Cash Drivers'!CW13,'Cash Drivers'!CY13),'Cash Drivers'!CX14=IF('Cash Drivers'!CX$26,'Cash Drivers'!CW14,'Cash Drivers'!CY14),'Cash Drivers'!CX15=IF('Cash Drivers'!CX$26,'Cash Drivers'!CW15,'Cash Drivers'!CY15),Sales!CX4=IF('Cash Drivers'!CX$26,Sales!CW4,Sales!CY4),Finance!CX4=IF('Cash Drivers'!CX$26,Finance!CW4,Finance!CY4),'Cash Drivers'!CU7=IF('Cash Drivers'!CU$26,'Cash Drivers'!CT7,'Cash Drivers'!CV7),'Cash Drivers'!CU13=IF('Cash Drivers'!CU$26,'Cash Drivers'!CT13,'Cash Drivers'!CV13),'Cash Drivers'!CU14=IF('Cash Drivers'!CU$26,'Cash Drivers'!CT14,'Cash Drivers'!CV14),'Cash Drivers'!CU15=IF('Cash Drivers'!CU$26,'Cash Drivers'!CT15,'Cash Drivers'!CV15),Sales!CU4=IF('Cash Drivers'!CU$26,Sales!CT4,Sales!CV4),Finance!CU4=IF('Cash Drivers'!CU$26,Finance!CT4,Finance!CV4),'Cash Drivers'!CR7=IF('Cash Drivers'!CR$26,'Cash Drivers'!CQ7,'Cash Drivers'!CS7),'Cash Drivers'!CR13=IF('Cash Drivers'!CR$26,'Cash Drivers'!CQ13,'Cash Drivers'!CS13),'Cash Drivers'!CR14=IF('Cash Drivers'!CR$26,'Cash Drivers'!CQ14,'Cash Drivers'!CS14),'Cash Drivers'!CR15=IF('Cash Drivers'!CR$26,'Cash Drivers'!CQ15,'Cash Drivers'!CS15),Sales!CR4=IF('Cash Drivers'!CR$26,Sales!CQ4,Sales!CS4),Finance!CR4=IF('Cash Drivers'!CR$26,Finance!CQ4,Finance!CS4),'Cash Drivers'!CO7=IF('Cash Drivers'!CO$26,'Cash Drivers'!CN7,'Cash Drivers'!CP7),'Cash Drivers'!CO13=IF('Cash Drivers'!CO$26,'Cash Drivers'!CN13,'Cash Drivers'!CP13),'Cash Drivers'!CO14=IF('Cash Drivers'!CO$26,'Cash Drivers'!CN14,'Cash Drivers'!CP14),'Cash Drivers'!CO15=IF('Cash Drivers'!CO$26,'Cash Drivers'!CN15,'Cash Drivers'!CP15),Sales!CO4=IF('Cash Drivers'!CO$26,Sales!CN4,Sales!CP4),Finance!CO4=IF('Cash Drivers'!CO$26,Finance!CN4,Finance!CP4),'Cash Drivers'!CL7=IF('Cash Drivers'!CL$26,'Cash Drivers'!CK7,'Cash Drivers'!CM7),'Cash Drivers'!CL13=IF('Cash Drivers'!CL$26,'Cash Drivers'!CK13,'Cash Drivers'!CM13),'Cash Drivers'!CL14=IF('Cash Drivers'!CL$26,'Cash Drivers'!CK14,'Cash Drivers'!CM14),'Cash Drivers'!CL15=IF('Cash Drivers'!CL$26,'Cash Drivers'!CK15,'Cash Drivers'!CM15),Sales!CL4=IF('Cash Drivers'!CL$26,Sales!CK4,Sales!CM4),Finance!CL4=IF('Cash Drivers'!CL$26,Finance!CK4,Finance!CM4),'Cash Drivers'!CI7=IF('Cash Drivers'!CI$26,'Cash Drivers'!CH7,'Cash Drivers'!CJ7),'Cash Drivers'!CI13=IF('Cash Drivers'!CI$26,'Cash Drivers'!CH13,'Cash Drivers'!CJ13),'Cash Drivers'!CI14=IF('Cash Drivers'!CI$26,'Cash Drivers'!CH14,'Cash Drivers'!CJ14),'Cash Drivers'!CI15=IF('Cash Drivers'!CI$26,'Cash Drivers'!CH15,'Cash Drivers'!CJ15),Sales!CI4=IF('Cash Drivers'!CI$26,Sales!CH4,Sales!CJ4),Finance!CI4=IF('Cash Drivers'!CI$26,Finance!CH4,Finance!CJ4),'Cash Drivers'!CF7=IF('Cash Drivers'!CF$26,'Cash Drivers'!CE7,'Cash Drivers'!CG7),'Cash Drivers'!CF13=IF('Cash Drivers'!CF$26,'Cash Drivers'!CE13,'Cash Drivers'!CG13),'Cash Drivers'!CF14=IF('Cash Drivers'!CF$26,'Cash Drivers'!CE14,'Cash Drivers'!CG14),'Cash Drivers'!CF15=IF('Cash Drivers'!CF$26,'Cash Drivers'!CE15,'Cash Drivers'!CG15),Sales!CF4=IF('Cash Drivers'!CF$26,Sales!CE4,Sales!CG4),Finance!CF4=IF('Cash Drivers'!CF$26,Finance!CE4,Finance!CG4),'Cash Drivers'!CC7=IF('Cash Drivers'!CC$26,'Cash Drivers'!CB7,'Cash Drivers'!CD7),'Cash Drivers'!CC13=IF('Cash Drivers'!CC$26,'Cash Drivers'!CB13,'Cash Drivers'!CD13),'Cash Drivers'!CC14=IF('Cash Drivers'!CC$26,'Cash Drivers'!CB14,'Cash Drivers'!CD14),'Cash Drivers'!CC15=IF('Cash Drivers'!CC$26,'Cash Drivers'!CB15,'Cash Drivers'!CD15),Sales!CC4=IF('Cash Drivers'!CC$26,Sales!CB4,Sales!CD4),Finance!CC4=IF('Cash Drivers'!CC$26,Finance!CB4,Finance!CD4),'Cash Drivers'!BZ7=IF('Cash Drivers'!BZ$26,'Cash Drivers'!BY7,'Cash Drivers'!CA7),'Cash Drivers'!BZ13=IF('Cash Drivers'!BZ$26,'Cash Drivers'!BY13,'Cash Drivers'!CA13),'Cash Drivers'!BZ14=IF('Cash Drivers'!BZ$26,'Cash Drivers'!BY14,'Cash Drivers'!CA14),'Cash Drivers'!BZ15=IF('Cash Drivers'!BZ$26,'Cash Drivers'!BY15,'Cash Drivers'!CA15),Sales!BZ4=IF('Cash Drivers'!BZ$26,Sales!BY4,Sales!CA4),Finance!BZ4=IF('Cash Drivers'!BZ$26,Finance!BY4,Finance!CA4),'Cash Drivers'!BW7=IF('Cash Drivers'!BW$26,'Cash Drivers'!BV7,'Cash Drivers'!BX7),'Cash Drivers'!BW13=IF('Cash Drivers'!BW$26,'Cash Drivers'!BV13,'Cash Drivers'!BX13),'Cash Drivers'!BW14=IF('Cash Drivers'!BW$26,'Cash Drivers'!BV14,'Cash Drivers'!BX14),'Cash Drivers'!BW15=IF('Cash Drivers'!BW$26,'Cash Drivers'!BV15,'Cash Drivers'!BX15),Sales!BW4=IF('Cash Drivers'!BW$26,Sales!BV4,Sales!BX4),Finance!BW4=IF('Cash Drivers'!BW$26,Finance!BV4,Finance!BX4),'Cash Drivers'!BT7=IF('Cash Drivers'!BT$26,'Cash Drivers'!BS7,'Cash Drivers'!BU7),'Cash Drivers'!BT13=IF('Cash Drivers'!BT$26,'Cash Drivers'!BS13,'Cash Drivers'!BU13),'Cash Drivers'!BT14=IF('Cash Drivers'!BT$26,'Cash Drivers'!BS14,'Cash Drivers'!BU14),'Cash Drivers'!BT15=IF('Cash Drivers'!BT$26,'Cash Drivers'!BS15,'Cash Drivers'!BU15),Sales!BT4=IF('Cash Drivers'!BT$26,Sales!BS4,Sales!BU4),Finance!BT4=IF('Cash Drivers'!BT$26,Finance!BS4,Finance!BU4),'Cash Drivers'!BQ7=IF('Cash Drivers'!BQ$26,'Cash Drivers'!BP7,'Cash Drivers'!BR7),'Cash Drivers'!BQ13=IF('Cash Drivers'!BQ$26,'Cash Drivers'!BP13,'Cash Drivers'!BR13),'Cash Drivers'!BQ14=IF('Cash Drivers'!BQ$26,'Cash Drivers'!BP14,'Cash Drivers'!BR14),'Cash Drivers'!BQ15=IF('Cash Drivers'!BQ$26,'Cash Drivers'!BP15,'Cash Drivers'!BR15),Sales!BQ4=IF('Cash Drivers'!BQ$26,Sales!BP4,Sales!BR4),Finance!BQ4=IF('Cash Drivers'!BQ$26,Finance!BP4,Finance!BR4),'Cash Drivers'!BN7=IF('Cash Drivers'!BN$26,'Cash Drivers'!BM7,'Cash Drivers'!BO7),'Cash Drivers'!BN13=IF('Cash Drivers'!BN$26,'Cash Drivers'!BM13,'Cash Drivers'!BO13),'Cash Drivers'!BN14=IF('Cash Drivers'!BN$26,'Cash Drivers'!BM14,'Cash Drivers'!BO14),'Cash Drivers'!BN15=IF('Cash Drivers'!BN$26,'Cash Drivers'!BM15,'Cash Drivers'!BO15),Sales!BN4=IF('Cash Drivers'!BN$26,Sales!BM4,Sales!BO4),Finance!BN4=IF('Cash Drivers'!BN$26,Finance!BM4,Finance!BO4),'Cash Drivers'!BK7=IF('Cash Drivers'!BK$26,'Cash Drivers'!BJ7,'Cash Drivers'!BL7),'Cash Drivers'!BK13=IF('Cash Drivers'!BK$26,'Cash Drivers'!BJ13,'Cash Drivers'!BL13),'Cash Drivers'!BK14=IF('Cash Drivers'!BK$26,'Cash Drivers'!BJ14,'Cash Drivers'!BL14),'Cash Drivers'!BK15=IF('Cash Drivers'!BK$26,'Cash Drivers'!BJ15,'Cash Drivers'!BL15),Sales!BK4=IF('Cash Drivers'!BK$26,Sales!BJ4,Sales!BL4),Finance!BK4=IF('Cash Drivers'!BK$26,Finance!BJ4,Finance!BL4),'Cash Drivers'!BH7=IF('Cash Drivers'!BH$26,'Cash Drivers'!BG7,'Cash Drivers'!BI7),'Cash Drivers'!BH13=IF('Cash Drivers'!BH$26,'Cash Drivers'!BG13,'Cash Drivers'!BI13),'Cash Drivers'!BH14=IF('Cash Drivers'!BH$26,'Cash Drivers'!BG14,'Cash Drivers'!BI14),'Cash Drivers'!BH15=IF('Cash Drivers'!BH$26,'Cash Drivers'!BG15,'Cash Drivers'!BI15),Sales!BH4=IF('Cash Drivers'!BH$26,Sales!BG4,Sales!BI4),Finance!BH4=IF('Cash Drivers'!BH$26,Finance!BG4,Finance!BI4),'Cash Drivers'!BE7=IF('Cash Drivers'!BE$26,'Cash Drivers'!BD7,'Cash Drivers'!BF7),'Cash Drivers'!BE13=IF('Cash Drivers'!BE$26,'Cash Drivers'!BD13,'Cash Drivers'!BF13),'Cash Drivers'!BE14=IF('Cash Drivers'!BE$26,'Cash Drivers'!BD14,'Cash Drivers'!BF14),'Cash Drivers'!BE15=IF('Cash Drivers'!BE$26,'Cash Drivers'!BD15,'Cash Drivers'!BF15),Sales!BE4=IF('Cash Drivers'!BE$26,Sales!BD4,Sales!BF4),Finance!BE4=IF('Cash Drivers'!BE$26,Finance!BD4,Finance!BF4),'Cash Drivers'!BB7=IF('Cash Drivers'!BB$26,'Cash Drivers'!BA7,'Cash Drivers'!BC7),'Cash Drivers'!BB13=IF('Cash Drivers'!BB$26,'Cash Drivers'!BA13,'Cash Drivers'!BC13),'Cash Drivers'!BB14=IF('Cash Drivers'!BB$26,'Cash Drivers'!BA14,'Cash Drivers'!BC14),'Cash Drivers'!BB15=IF('Cash Drivers'!BB$26,'Cash Drivers'!BA15,'Cash Drivers'!BC15),Sales!BB4=IF('Cash Drivers'!BB$26,Sales!BA4,Sales!BC4),Finance!BB4=IF('Cash Drivers'!BB$26,Finance!BA4,Finance!BC4),'Cash Drivers'!AY7=IF('Cash Drivers'!AY$26,'Cash Drivers'!AX7,'Cash Drivers'!AZ7),'Cash Drivers'!AY13=IF('Cash Drivers'!AY$26,'Cash Drivers'!AX13,'Cash Drivers'!AZ13),'Cash Drivers'!AY14=IF('Cash Drivers'!AY$26,'Cash Drivers'!AX14,'Cash Drivers'!AZ14),'Cash Drivers'!AY15=IF('Cash Drivers'!AY$26,'Cash Drivers'!AX15,'Cash Drivers'!AZ15),Sales!AY4=IF('Cash Drivers'!AY$26,Sales!AX4,Sales!AZ4),Finance!AY4=IF('Cash Drivers'!AY$26,Finance!AX4,Finance!AZ4),'Cash Drivers'!AV7=IF('Cash Drivers'!AV$26,'Cash Drivers'!AU7,'Cash Drivers'!AW7),'Cash Drivers'!AV13=IF('Cash Drivers'!AV$26,'Cash Drivers'!AU13,'Cash Drivers'!AW13),'Cash Drivers'!AV14=IF('Cash Drivers'!AV$26,'Cash Drivers'!AU14,'Cash Drivers'!AW14),'Cash Drivers'!AV15=IF('Cash Drivers'!AV$26,'Cash Drivers'!AU15,'Cash Drivers'!AW15),Sales!AV4=IF('Cash Drivers'!AV$26,Sales!AU4,Sales!AW4),Finance!AV4=IF('Cash Drivers'!AV$26,Finance!AU4,Finance!AW4),'Cash Drivers'!AS7=IF('Cash Drivers'!AS$26,'Cash Drivers'!AR7,'Cash Drivers'!AT7),'Cash Drivers'!AS13=IF('Cash Drivers'!AS$26,'Cash Drivers'!AR13,'Cash Drivers'!AT13),'Cash Drivers'!AS14=IF('Cash Drivers'!AS$26,'Cash Drivers'!AR14,'Cash Drivers'!AT14),'Cash Drivers'!AS15=IF('Cash Drivers'!AS$26,'Cash Drivers'!AR15,'Cash Drivers'!AT15),Sales!AS4=IF('Cash Drivers'!AS$26,Sales!AR4,Sales!AT4),Finance!AS4=IF('Cash Drivers'!AS$26,Finance!AR4,Finance!AT4),'Cash Drivers'!AP7=IF('Cash Drivers'!AP$26,'Cash Drivers'!AO7,'Cash Drivers'!AQ7),'Cash Drivers'!AP13=IF('Cash Drivers'!AP$26,'Cash Drivers'!AO13,'Cash Drivers'!AQ13),'Cash Drivers'!AP14=IF('Cash Drivers'!AP$26,'Cash Drivers'!AO14,'Cash Drivers'!AQ14),'Cash Drivers'!AP15=IF('Cash Drivers'!AP$26,'Cash Drivers'!AO15,'Cash Drivers'!AQ15),Sales!AP4=IF('Cash Drivers'!AP$26,Sales!AO4,Sales!AQ4),Finance!AP4=IF('Cash Drivers'!AP$26,Finance!AO4,Finance!AQ4),'Cash Drivers'!AM7=IF('Cash Drivers'!AM$26,'Cash Drivers'!AL7,'Cash Drivers'!AN7),'Cash Drivers'!AM13=IF('Cash Drivers'!AM$26,'Cash Drivers'!AL13,'Cash Drivers'!AN13),'Cash Drivers'!AM14=IF('Cash Drivers'!AM$26,'Cash Drivers'!AL14,'Cash Drivers'!AN14),'Cash Drivers'!AM15=IF('Cash Drivers'!AM$26,'Cash Drivers'!AL15,'Cash Drivers'!AN15),Sales!AM4=IF('Cash Drivers'!AM$26,Sales!AL4,Sales!AN4),Finance!AM4=IF('Cash Drivers'!AM$26,Finance!AL4,Finance!AN4),'Cash Drivers'!AJ7=IF('Cash Drivers'!AJ$26,'Cash Drivers'!AI7,'Cash Drivers'!AK7),'Cash Drivers'!AJ13=IF('Cash Drivers'!AJ$26,'Cash Drivers'!AI13,'Cash Drivers'!AK13),'Cash Drivers'!AJ14=IF('Cash Drivers'!AJ$26,'Cash Drivers'!AI14,'Cash Drivers'!AK14),'Cash Drivers'!AJ15=IF('Cash Drivers'!AJ$26,'Cash Drivers'!AI15,'Cash Drivers'!AK15),Sales!AJ4=IF('Cash Drivers'!AJ$26,Sales!AI4,Sales!AK4),Finance!AJ4=IF('Cash Drivers'!AJ$26,Finance!AI4,Finance!AK4),'Cash Drivers'!AG7=IF('Cash Drivers'!AG$26,'Cash Drivers'!AF7,'Cash Drivers'!AH7),'Cash Drivers'!AG13=IF('Cash Drivers'!AG$26,'Cash Drivers'!AF13,'Cash Drivers'!AH13),'Cash Drivers'!AG14=IF('Cash Drivers'!AG$26,'Cash Drivers'!AF14,'Cash Drivers'!AH14),'Cash Drivers'!AG15=IF('Cash Drivers'!AG$26,'Cash Drivers'!AF15,'Cash Drivers'!AH15),Sales!AG4=IF('Cash Drivers'!AG$26,Sales!AF4,Sales!AH4),Finance!AG4=IF('Cash Drivers'!AG$26,Finance!AF4,Finance!AH4),'Cash Drivers'!AD7=IF('Cash Drivers'!AD$26,'Cash Drivers'!AC7,'Cash Drivers'!AE7),'Cash Drivers'!AD13=IF('Cash Drivers'!AD$26,'Cash Drivers'!AC13,'Cash Drivers'!AE13),'Cash Drivers'!AD14=IF('Cash Drivers'!AD$26,'Cash Drivers'!AC14,'Cash Drivers'!AE14),'Cash Drivers'!AD15=IF('Cash Drivers'!AD$26,'Cash Drivers'!AC15,'Cash Drivers'!AE15),Sales!AD4=IF('Cash Drivers'!AD$26,Sales!AC4,Sales!AE4),Finance!AD4=IF('Cash Drivers'!AD$26,Finance!AC4,Finance!AE4),'Cash Drivers'!AA7=IF('Cash Drivers'!AA$26,'Cash Drivers'!Z7,'Cash Drivers'!AB7),'Cash Drivers'!AA13=IF('Cash Drivers'!AA$26,'Cash Drivers'!Z13,'Cash Drivers'!AB13),'Cash Drivers'!AA14=IF('Cash Drivers'!AA$26,'Cash Drivers'!Z14,'Cash Drivers'!AB14),'Cash Drivers'!AA15=IF('Cash Drivers'!AA$26,'Cash Drivers'!Z15,'Cash Drivers'!AB15),Sales!AA4=IF('Cash Drivers'!AA$26,Sales!Z4,Sales!AB4),Finance!AA4=IF('Cash Drivers'!AA$26,Finance!Z4,Finance!AB4),'Cash Drivers'!X7=IF('Cash Drivers'!X$26,'Cash Drivers'!W7,'Cash Drivers'!Y7),'Cash Drivers'!X13=IF('Cash Drivers'!X$26,'Cash Drivers'!W13,'Cash Drivers'!Y13),'Cash Drivers'!X14=IF('Cash Drivers'!X$26,'Cash Drivers'!W14,'Cash Drivers'!Y14),'Cash Drivers'!X15=IF('Cash Drivers'!X$26,'Cash Drivers'!W15,'Cash Drivers'!Y15),Sales!X4=IF('Cash Drivers'!X$26,Sales!W4,Sales!Y4),Finance!X4=IF('Cash Drivers'!X$26,Finance!W4,Finance!Y4),'Cash Drivers'!U7=IF('Cash Drivers'!U$26,'Cash Drivers'!T7,'Cash Drivers'!V7),'Cash Drivers'!U13=IF('Cash Drivers'!U$26,'Cash Drivers'!T13,'Cash Drivers'!V13),'Cash Drivers'!U14=IF('Cash Drivers'!U$26,'Cash Drivers'!T14,'Cash Drivers'!V14),'Cash Drivers'!U15=IF('Cash Drivers'!U$26,'Cash Drivers'!T15,'Cash Drivers'!V15),Sales!U4=IF('Cash Drivers'!U$26,Sales!T4,Sales!V4),Finance!U4=IF('Cash Drivers'!U$26,Finance!T4,Finance!V4),'Cash Drivers'!R7=IF('Cash Drivers'!R$26,'Cash Drivers'!Q7,'Cash Drivers'!S7),'Cash Drivers'!R13=IF('Cash Drivers'!R$26,'Cash Drivers'!Q13,'Cash Drivers'!S13),'Cash Drivers'!R14=IF('Cash Drivers'!R$26,'Cash Drivers'!Q14,'Cash Drivers'!S14),'Cash Drivers'!R15=IF('Cash Drivers'!R$26,'Cash Drivers'!Q15,'Cash Drivers'!S15),Sales!R4=IF('Cash Drivers'!R$26,Sales!Q4,Sales!S4),Finance!R4=IF('Cash Drivers'!R$26,Finance!Q4,Finance!S4),'Cash Drivers'!O7=IF('Cash Drivers'!O$26,'Cash Drivers'!N7,'Cash Drivers'!P7),'Cash Drivers'!O13=IF('Cash Drivers'!O$26,'Cash Drivers'!N13,'Cash Drivers'!P13),'Cash Drivers'!O14=IF('Cash Drivers'!O$26,'Cash Drivers'!N14,'Cash Drivers'!P14),'Cash Drivers'!O15=IF('Cash Drivers'!O$26,'Cash Drivers'!N15,'Cash Drivers'!P15),Sales!O4=IF('Cash Drivers'!O$26,Sales!N4,Sales!P4),Finance!O4=IF('Cash Drivers'!O$26,Finance!N4,Finance!P4),'Cash Drivers'!L7=IF('Cash Drivers'!L$26,'Cash Drivers'!K7,'Cash Drivers'!M7),'Cash Drivers'!L13=IF('Cash Drivers'!L$26,'Cash Drivers'!K13,'Cash Drivers'!M13),'Cash Drivers'!L14=IF('Cash Drivers'!L$26,'Cash Drivers'!K14,'Cash Drivers'!M14),'Cash Drivers'!L15=IF('Cash Drivers'!L$26,'Cash Drivers'!K15,'Cash Drivers'!M15),Sales!L4=IF('Cash Drivers'!L$26,Sales!K4,Sales!M4),Finance!L4=IF('Cash Drivers'!L$26,Finance!K4,Finance!M4)),"OK","CHECK")</f>
        <v>OK</v>
      </c>
    </row>
    <row r="33" customFormat="false" ht="15.75" hidden="false" customHeight="true" outlineLevel="0" collapsed="false">
      <c r="A33" s="154" t="s">
        <v>344</v>
      </c>
      <c r="B33" s="155" t="str">
        <f aca="false">IF(AND(ISNUMBER('Cash Drivers'!DL30),COUNT('Cash Drivers'!DL31:DL35)=5,MIN('Cash Drivers'!DL31:DL35)&gt;=0),"OK","CHECK")</f>
        <v>OK</v>
      </c>
    </row>
    <row r="34" customFormat="false" ht="15.75" hidden="false" customHeight="true" outlineLevel="0" collapsed="false">
      <c r="A34" s="154" t="s">
        <v>345</v>
      </c>
      <c r="B34" s="155" t="str">
        <f aca="false">IF(COUNTIF(B3:B33,"OK")=31,"PASS","CHECK")</f>
        <v>PASS</v>
      </c>
    </row>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LibreOffice/26.2.3.2$MacOSX_AARCH64 LibreOffice_project/70e089b17412e4cb7773e41413306b17a2328c34</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en-CA</dc:language>
  <cp:lastModifiedBy/>
  <cp:revision>0</cp:revision>
  <dc:subject/>
  <dc:title/>
</cp:coreProperties>
</file>