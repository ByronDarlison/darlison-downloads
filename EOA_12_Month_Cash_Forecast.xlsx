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409f01db214d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2-Month Cash Forecast" sheetId="1" r:id="R8e8991e45a9648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mmm yyyy"/>
    <x:numFmt numFmtId="201" formatCode="$#,##0;[Red]($#,##0);-"/>
    <x:numFmt numFmtId="202" formatCode="#,##0;[Red](#,##0);-"/>
    <x:numFmt numFmtId="203" formatCode="0.0%;[Red](0.0%);-"/>
  </x:numFmts>
  <x:fonts count="9">
    <x:font>
      <x:sz val="11"/>
      <x:name val="Carlito"/>
    </x:font>
    <x:font>
      <x:b/>
      <x:sz val="20"/>
      <x:color rgb="FFFFFFFF"/>
      <x:name val="Carlito"/>
    </x:font>
    <x:font>
      <x:b/>
      <x:sz val="11"/>
      <x:color rgb="FF303030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  <x:font>
      <x:sz val="11"/>
      <x:color rgb="FF0000FF"/>
      <x:name val="Carlito"/>
    </x:font>
    <x:font>
      <x:sz val="11"/>
      <x:color rgb="FF303030"/>
      <x:name val="Carlito"/>
    </x:font>
    <x:font>
      <x:b/>
      <x:sz val="10"/>
      <x:color rgb="FF303030"/>
      <x:name val="Carlito"/>
    </x:font>
    <x:font>
      <x:b/>
      <x:sz val="11"/>
      <x:color rgb="FF2E7F49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303030"/>
      </x:patternFill>
    </x:fill>
    <x:fill>
      <x:patternFill patternType="solid">
        <x:fgColor rgb="FFFFFFFF"/>
      </x:patternFill>
    </x:fill>
    <x:fill>
      <x:patternFill patternType="solid">
        <x:fgColor rgb="FFF7F7F4"/>
      </x:patternFill>
    </x:fill>
    <x:fill>
      <x:patternFill patternType="solid">
        <x:fgColor rgb="FFB7B7B2"/>
      </x:patternFill>
    </x:fill>
    <x:fill>
      <x:patternFill patternType="solid">
        <x:fgColor rgb="FF2E7F49"/>
      </x:patternFill>
    </x:fill>
    <x:fill>
      <x:patternFill patternType="solid">
        <x:fgColor rgb="FF326AB5"/>
      </x:patternFill>
    </x:fill>
    <x:fill>
      <x:patternFill patternType="solid">
        <x:fgColor rgb="FFEAF1FA"/>
      </x:patternFill>
    </x:fill>
    <x:fill>
      <x:patternFill patternType="solid">
        <x:fgColor rgb="FFF0F0ED"/>
      </x:patternFill>
    </x:fill>
    <x:fill>
      <x:patternFill patternType="solid">
        <x:fgColor rgb="FFEAF6ED"/>
      </x:patternFill>
    </x:fill>
  </x:fills>
  <x:borders count="5">
    <x:border/>
    <x:border>
      <x:bottom style="thin">
        <x:color rgb="FFD9D9D4"/>
      </x:bottom>
    </x:border>
    <x:border>
      <x:left style="thin">
        <x:color rgb="FFD9D9D4"/>
      </x:left>
      <x:right style="thin">
        <x:color rgb="FFD9D9D4"/>
      </x:right>
      <x:top style="thin">
        <x:color rgb="FFD9D9D4"/>
      </x:top>
    </x:border>
    <x:border>
      <x:left style="thin">
        <x:color rgb="FFD9D9D4"/>
      </x:left>
      <x:right style="thin">
        <x:color rgb="FFD9D9D4"/>
      </x:right>
    </x:border>
    <x:border>
      <x:left style="thin">
        <x:color rgb="FFD9D9D4"/>
      </x:left>
      <x:right style="thin">
        <x:color rgb="FFD9D9D4"/>
      </x:right>
      <x:bottom style="thin">
        <x:color rgb="FFD9D9D4"/>
      </x:bottom>
    </x:border>
  </x:borders>
  <x:cellStyleXfs count="1">
    <x:xf numFmtId="0" fontId="0" fillId="0" borderId="0"/>
  </x:cellStyleXfs>
  <x:cellXfs count="1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/>
    <x:xf numFmtId="200" fontId="2" fillId="4" borderId="1" xfId="0" applyNumberFormat="1" applyFont="1" applyFill="1" applyBorder="1"/>
    <x:xf numFmtId="200" fontId="2" fillId="4" borderId="1" xfId="0" applyNumberFormat="1" applyFont="1" applyFill="1" applyBorder="1" applyAlignment="1">
      <x:alignment horizontal="center"/>
    </x:xf>
    <x:xf numFmtId="200" fontId="2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200" fontId="2" fillId="3" borderId="1" xfId="0" applyNumberFormat="1" applyFont="1" applyFill="1" applyBorder="1"/>
    <x:xf numFmtId="200" fontId="2" fillId="3" borderId="1" xfId="0" applyNumberFormat="1" applyFont="1" applyFill="1" applyBorder="1" applyAlignment="1">
      <x:alignment horizontal="center"/>
    </x:xf>
    <x:xf numFmtId="200" fontId="2" fillId="3" borderId="1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2" xfId="0" applyNumberFormat="1" applyFont="1" applyFill="1" applyBorder="1"/>
    <x:xf numFmtId="0" fontId="5" fillId="8" borderId="3" xfId="0" applyNumberFormat="1" applyFont="1" applyFill="1" applyBorder="1"/>
    <x:xf numFmtId="0" fontId="5" fillId="8" borderId="4" xfId="0" applyNumberFormat="1" applyFont="1" applyFill="1" applyBorder="1"/>
    <x:xf numFmtId="200" fontId="5" fillId="8" borderId="2" xfId="0" applyNumberFormat="1" applyFont="1" applyFill="1" applyBorder="1"/>
    <x:xf numFmtId="201" fontId="5" fillId="8" borderId="3" xfId="0" applyNumberFormat="1" applyFont="1" applyFill="1" applyBorder="1"/>
    <x:xf numFmtId="202" fontId="5" fillId="8" borderId="3" xfId="0" applyNumberFormat="1" applyFont="1" applyFill="1" applyBorder="1"/>
    <x:xf numFmtId="202" fontId="5" fillId="8" borderId="4" xfId="0" applyNumberFormat="1" applyFont="1" applyFill="1" applyBorder="1"/>
    <x:xf numFmtId="0" fontId="6" fillId="0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/>
    <x:xf numFmtId="0" fontId="2" fillId="0" borderId="0" xfId="0" applyNumberFormat="1" applyFont="1" applyFill="1" applyBorder="1"/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5" fillId="9" borderId="0" xfId="0" applyNumberFormat="1" applyFont="1" applyFill="1" applyBorder="1"/>
    <x:xf numFmtId="0" fontId="5" fillId="10" borderId="0" xfId="0" applyNumberFormat="1" applyFont="1" applyFill="1" applyBorder="1"/>
    <x:xf numFmtId="0" fontId="0" fillId="9" borderId="1" xfId="0" applyNumberFormat="1" applyFont="1" applyFill="1" applyBorder="1"/>
    <x:xf numFmtId="0" fontId="0" fillId="10" borderId="1" xfId="0" applyNumberFormat="1" applyFont="1" applyFill="1" applyBorder="1"/>
    <x:xf numFmtId="0" fontId="0" fillId="8" borderId="1" xfId="0" applyNumberFormat="1" applyFont="1" applyFill="1" applyBorder="1"/>
    <x:xf numFmtId="0" fontId="5" fillId="9" borderId="0" xfId="0" applyNumberFormat="1" applyFont="1" applyFill="1" applyBorder="1" applyAlignment="1">
      <x:alignment horizontal="right"/>
    </x:xf>
    <x:xf numFmtId="0" fontId="5" fillId="10" borderId="0" xfId="0" applyNumberFormat="1" applyFont="1" applyFill="1" applyBorder="1" applyAlignment="1">
      <x:alignment horizontal="right"/>
    </x:xf>
    <x:xf numFmtId="0" fontId="5" fillId="8" borderId="0" xfId="0" applyNumberFormat="1" applyFont="1" applyFill="1" applyBorder="1" applyAlignment="1">
      <x:alignment horizontal="right"/>
    </x:xf>
    <x:xf numFmtId="0" fontId="0" fillId="9" borderId="0" xfId="0" applyNumberFormat="1" applyFont="1" applyFill="1" applyBorder="1" applyAlignment="1">
      <x:alignment horizontal="right"/>
    </x:xf>
    <x:xf numFmtId="0" fontId="0" fillId="10" borderId="0" xfId="0" applyNumberFormat="1" applyFont="1" applyFill="1" applyBorder="1" applyAlignment="1">
      <x:alignment horizontal="right"/>
    </x:xf>
    <x:xf numFmtId="0" fontId="0" fillId="8" borderId="0" xfId="0" applyNumberFormat="1" applyFont="1" applyFill="1" applyBorder="1" applyAlignment="1">
      <x:alignment horizontal="right"/>
    </x:xf>
    <x:xf numFmtId="0" fontId="4" fillId="9" borderId="0" xfId="0" applyNumberFormat="1" applyFont="1" applyFill="1" applyBorder="1" applyAlignment="1">
      <x:alignment horizontal="right" vertical="center"/>
    </x:xf>
    <x:xf numFmtId="0" fontId="4" fillId="10" borderId="0" xfId="0" applyNumberFormat="1" applyFont="1" applyFill="1" applyBorder="1" applyAlignment="1">
      <x:alignment horizontal="right" vertical="center"/>
    </x:xf>
    <x:xf numFmtId="0" fontId="4" fillId="8" borderId="0" xfId="0" applyNumberFormat="1" applyFont="1" applyFill="1" applyBorder="1" applyAlignment="1">
      <x:alignment horizontal="right" vertical="center"/>
    </x:xf>
    <x:xf numFmtId="0" fontId="0" fillId="9" borderId="1" xfId="0" applyNumberFormat="1" applyFont="1" applyFill="1" applyBorder="1" applyAlignment="1">
      <x:alignment horizontal="right"/>
    </x:xf>
    <x:xf numFmtId="0" fontId="0" fillId="10" borderId="1" xfId="0" applyNumberFormat="1" applyFont="1" applyFill="1" applyBorder="1" applyAlignment="1">
      <x:alignment horizontal="right"/>
    </x:xf>
    <x:xf numFmtId="0" fontId="0" fillId="8" borderId="1" xfId="0" applyNumberFormat="1" applyFont="1" applyFill="1" applyBorder="1" applyAlignment="1">
      <x:alignment horizontal="right"/>
    </x:xf>
    <x:xf numFmtId="202" fontId="5" fillId="9" borderId="0" xfId="0" applyNumberFormat="1" applyFont="1" applyFill="1" applyBorder="1" applyAlignment="1">
      <x:alignment horizontal="right"/>
    </x:xf>
    <x:xf numFmtId="202" fontId="5" fillId="10" borderId="0" xfId="0" applyNumberFormat="1" applyFont="1" applyFill="1" applyBorder="1" applyAlignment="1">
      <x:alignment horizontal="right"/>
    </x:xf>
    <x:xf numFmtId="202" fontId="5" fillId="8" borderId="0" xfId="0" applyNumberFormat="1" applyFont="1" applyFill="1" applyBorder="1" applyAlignment="1">
      <x:alignment horizontal="right"/>
    </x:xf>
    <x:xf numFmtId="202" fontId="0" fillId="9" borderId="0" xfId="0" applyNumberFormat="1" applyFont="1" applyFill="1" applyBorder="1" applyAlignment="1">
      <x:alignment horizontal="right"/>
    </x:xf>
    <x:xf numFmtId="202" fontId="0" fillId="10" borderId="0" xfId="0" applyNumberFormat="1" applyFont="1" applyFill="1" applyBorder="1" applyAlignment="1">
      <x:alignment horizontal="right"/>
    </x:xf>
    <x:xf numFmtId="202" fontId="0" fillId="8" borderId="0" xfId="0" applyNumberFormat="1" applyFont="1" applyFill="1" applyBorder="1" applyAlignment="1">
      <x:alignment horizontal="right"/>
    </x:xf>
    <x:xf numFmtId="203" fontId="0" fillId="9" borderId="0" xfId="0" applyNumberFormat="1" applyFont="1" applyFill="1" applyBorder="1" applyAlignment="1">
      <x:alignment horizontal="right"/>
    </x:xf>
    <x:xf numFmtId="203" fontId="5" fillId="10" borderId="0" xfId="0" applyNumberFormat="1" applyFont="1" applyFill="1" applyBorder="1" applyAlignment="1">
      <x:alignment horizontal="right"/>
    </x:xf>
    <x:xf numFmtId="203" fontId="5" fillId="8" borderId="0" xfId="0" applyNumberFormat="1" applyFont="1" applyFill="1" applyBorder="1" applyAlignment="1">
      <x:alignment horizontal="right"/>
    </x:xf>
    <x:xf numFmtId="201" fontId="5" fillId="9" borderId="0" xfId="0" applyNumberFormat="1" applyFont="1" applyFill="1" applyBorder="1" applyAlignment="1">
      <x:alignment horizontal="right"/>
    </x:xf>
    <x:xf numFmtId="201" fontId="5" fillId="10" borderId="0" xfId="0" applyNumberFormat="1" applyFont="1" applyFill="1" applyBorder="1" applyAlignment="1">
      <x:alignment horizontal="right"/>
    </x:xf>
    <x:xf numFmtId="201" fontId="5" fillId="8" borderId="0" xfId="0" applyNumberFormat="1" applyFont="1" applyFill="1" applyBorder="1" applyAlignment="1">
      <x:alignment horizontal="right"/>
    </x:xf>
    <x:xf numFmtId="201" fontId="0" fillId="9" borderId="0" xfId="0" applyNumberFormat="1" applyFont="1" applyFill="1" applyBorder="1" applyAlignment="1">
      <x:alignment horizontal="right"/>
    </x:xf>
    <x:xf numFmtId="201" fontId="0" fillId="10" borderId="0" xfId="0" applyNumberFormat="1" applyFont="1" applyFill="1" applyBorder="1" applyAlignment="1">
      <x:alignment horizontal="right"/>
    </x:xf>
    <x:xf numFmtId="201" fontId="0" fillId="8" borderId="0" xfId="0" applyNumberFormat="1" applyFont="1" applyFill="1" applyBorder="1" applyAlignment="1">
      <x:alignment horizontal="right"/>
    </x:xf>
    <x:xf numFmtId="202" fontId="4" fillId="9" borderId="0" xfId="0" applyNumberFormat="1" applyFont="1" applyFill="1" applyBorder="1" applyAlignment="1">
      <x:alignment horizontal="right" vertical="center"/>
    </x:xf>
    <x:xf numFmtId="202" fontId="4" fillId="10" borderId="0" xfId="0" applyNumberFormat="1" applyFont="1" applyFill="1" applyBorder="1" applyAlignment="1">
      <x:alignment horizontal="right" vertical="center"/>
    </x:xf>
    <x:xf numFmtId="202" fontId="4" fillId="8" borderId="0" xfId="0" applyNumberFormat="1" applyFont="1" applyFill="1" applyBorder="1" applyAlignment="1">
      <x:alignment horizontal="right" vertical="center"/>
    </x:xf>
    <x:xf numFmtId="201" fontId="4" fillId="9" borderId="0" xfId="0" applyNumberFormat="1" applyFont="1" applyFill="1" applyBorder="1" applyAlignment="1">
      <x:alignment horizontal="right" vertical="center"/>
    </x:xf>
    <x:xf numFmtId="201" fontId="4" fillId="10" borderId="0" xfId="0" applyNumberFormat="1" applyFont="1" applyFill="1" applyBorder="1" applyAlignment="1">
      <x:alignment horizontal="right" vertical="center"/>
    </x:xf>
    <x:xf numFmtId="201" fontId="4" fillId="8" borderId="0" xfId="0" applyNumberFormat="1" applyFont="1" applyFill="1" applyBorder="1" applyAlignment="1">
      <x:alignment horizontal="right" vertical="center"/>
    </x:xf>
    <x:xf numFmtId="0" fontId="0" fillId="9" borderId="1" xfId="0" applyNumberFormat="1" applyFont="1" applyFill="1" applyBorder="1" applyAlignment="1">
      <x:alignment horizontal="center"/>
    </x:xf>
    <x:xf numFmtId="0" fontId="0" fillId="10" borderId="1" xfId="0" applyNumberFormat="1" applyFont="1" applyFill="1" applyBorder="1" applyAlignment="1">
      <x:alignment horizontal="center"/>
    </x:xf>
    <x:xf numFmtId="0" fontId="0" fillId="8" borderId="1" xfId="0" applyNumberFormat="1" applyFont="1" applyFill="1" applyBorder="1" applyAlignment="1">
      <x:alignment horizontal="center"/>
    </x:xf>
    <x:xf numFmtId="0" fontId="8" fillId="9" borderId="1" xfId="0" applyNumberFormat="1" applyFont="1" applyFill="1" applyBorder="1" applyAlignment="1">
      <x:alignment horizontal="center"/>
    </x:xf>
    <x:xf numFmtId="0" fontId="8" fillId="10" borderId="1" xfId="0" applyNumberFormat="1" applyFont="1" applyFill="1" applyBorder="1" applyAlignment="1">
      <x:alignment horizontal="center"/>
    </x:xf>
    <x:xf numFmtId="0" fontId="8" fillId="8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202" fontId="5" fillId="9" borderId="0" xfId="0" applyNumberFormat="1" applyFont="1" applyFill="1" applyBorder="1" applyAlignment="1">
      <x:alignment horizontal="right" vertical="center"/>
    </x:xf>
    <x:xf numFmtId="202" fontId="5" fillId="10" borderId="0" xfId="0" applyNumberFormat="1" applyFont="1" applyFill="1" applyBorder="1" applyAlignment="1">
      <x:alignment horizontal="right" vertical="center"/>
    </x:xf>
    <x:xf numFmtId="202" fontId="5" fillId="8" borderId="0" xfId="0" applyNumberFormat="1" applyFont="1" applyFill="1" applyBorder="1" applyAlignment="1">
      <x:alignment horizontal="right" vertical="center"/>
    </x:xf>
    <x:xf numFmtId="203" fontId="0" fillId="9" borderId="0" xfId="0" applyNumberFormat="1" applyFont="1" applyFill="1" applyBorder="1" applyAlignment="1">
      <x:alignment horizontal="right" vertical="center"/>
    </x:xf>
    <x:xf numFmtId="203" fontId="5" fillId="10" borderId="0" xfId="0" applyNumberFormat="1" applyFont="1" applyFill="1" applyBorder="1" applyAlignment="1">
      <x:alignment horizontal="right" vertical="center"/>
    </x:xf>
    <x:xf numFmtId="203" fontId="5" fillId="8" borderId="0" xfId="0" applyNumberFormat="1" applyFont="1" applyFill="1" applyBorder="1" applyAlignment="1">
      <x:alignment horizontal="right" vertical="center"/>
    </x:xf>
    <x:xf numFmtId="202" fontId="0" fillId="10" borderId="0" xfId="0" applyNumberFormat="1" applyFont="1" applyFill="1" applyBorder="1" applyAlignment="1">
      <x:alignment horizontal="right" vertical="center"/>
    </x:xf>
    <x:xf numFmtId="202" fontId="0" fillId="8" borderId="0" xfId="0" applyNumberFormat="1" applyFont="1" applyFill="1" applyBorder="1" applyAlignment="1">
      <x:alignment horizontal="right" vertical="center"/>
    </x:xf>
    <x:xf numFmtId="201" fontId="5" fillId="9" borderId="0" xfId="0" applyNumberFormat="1" applyFont="1" applyFill="1" applyBorder="1" applyAlignment="1">
      <x:alignment horizontal="right" vertical="center"/>
    </x:xf>
    <x:xf numFmtId="201" fontId="5" fillId="10" borderId="0" xfId="0" applyNumberFormat="1" applyFont="1" applyFill="1" applyBorder="1" applyAlignment="1">
      <x:alignment horizontal="right" vertical="center"/>
    </x:xf>
    <x:xf numFmtId="201" fontId="5" fillId="8" borderId="0" xfId="0" applyNumberFormat="1" applyFont="1" applyFill="1" applyBorder="1" applyAlignment="1">
      <x:alignment horizontal="right" vertical="center"/>
    </x:xf>
    <x:xf numFmtId="201" fontId="0" fillId="9" borderId="0" xfId="0" applyNumberFormat="1" applyFont="1" applyFill="1" applyBorder="1" applyAlignment="1">
      <x:alignment horizontal="right" vertical="center"/>
    </x:xf>
    <x:xf numFmtId="201" fontId="0" fillId="10" borderId="0" xfId="0" applyNumberFormat="1" applyFont="1" applyFill="1" applyBorder="1" applyAlignment="1">
      <x:alignment horizontal="right" vertical="center"/>
    </x:xf>
    <x:xf numFmtId="201" fontId="0" fillId="8" borderId="0" xfId="0" applyNumberFormat="1" applyFont="1" applyFill="1" applyBorder="1" applyAlignment="1">
      <x:alignment horizontal="right" vertical="center"/>
    </x:xf>
    <x:xf numFmtId="0" fontId="0" fillId="9" borderId="0" xfId="0" applyNumberFormat="1" applyFont="1" applyFill="1" applyBorder="1" applyAlignment="1">
      <x:alignment horizontal="right" vertical="center"/>
    </x:xf>
    <x:xf numFmtId="0" fontId="0" fillId="10" borderId="0" xfId="0" applyNumberFormat="1" applyFont="1" applyFill="1" applyBorder="1" applyAlignment="1">
      <x:alignment horizontal="right" vertical="center"/>
    </x:xf>
    <x:xf numFmtId="0" fontId="0" fillId="8" borderId="0" xfId="0" applyNumberFormat="1" applyFont="1" applyFill="1" applyBorder="1" applyAlignment="1">
      <x:alignment horizontal="right" vertical="center"/>
    </x:xf>
    <x:xf numFmtId="202" fontId="0" fillId="9" borderId="0" xfId="0" applyNumberFormat="1" applyFont="1" applyFill="1" applyBorder="1" applyAlignment="1">
      <x:alignment horizontal="right" vertical="center"/>
    </x:xf>
    <x:xf numFmtId="0" fontId="6" fillId="0" borderId="1" xfId="0" applyNumberFormat="1" applyFont="1" applyFill="1" applyBorder="1" applyAlignment="1">
      <x:alignment vertical="center"/>
    </x:xf>
    <x:xf numFmtId="0" fontId="8" fillId="9" borderId="1" xfId="0" applyNumberFormat="1" applyFont="1" applyFill="1" applyBorder="1" applyAlignment="1">
      <x:alignment horizontal="center" vertical="center"/>
    </x:xf>
    <x:xf numFmtId="0" fontId="8" fillId="10" borderId="1" xfId="0" applyNumberFormat="1" applyFont="1" applyFill="1" applyBorder="1" applyAlignment="1">
      <x:alignment horizontal="center" vertical="center"/>
    </x:xf>
    <x:xf numFmtId="0" fontId="8" fillId="8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5" fillId="8" borderId="2" xfId="0" applyNumberFormat="1" applyFont="1" applyFill="1" applyBorder="1" applyAlignment="1">
      <x:alignment vertical="center"/>
    </x:xf>
    <x:xf numFmtId="201" fontId="5" fillId="8" borderId="3" xfId="0" applyNumberFormat="1" applyFont="1" applyFill="1" applyBorder="1" applyAlignment="1">
      <x:alignment vertical="center"/>
    </x:xf>
    <x:xf numFmtId="202" fontId="5" fillId="8" borderId="3" xfId="0" applyNumberFormat="1" applyFont="1" applyFill="1" applyBorder="1" applyAlignment="1">
      <x:alignment vertical="center"/>
    </x:xf>
    <x:xf numFmtId="202" fontId="5" fillId="8" borderId="4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4"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  <x:dxf>
      <x:font>
        <x:b/>
        <x:color rgb="FFB64A4A"/>
      </x:font>
      <x:fill>
        <x:patternFill patternType="solid">
          <x:bgColor rgb="FFFAEE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ee1d6c2dd74bcb" /><Relationship Type="http://schemas.openxmlformats.org/officeDocument/2006/relationships/theme" Target="/xl/theme/theme1.xml" Id="R6aac0919c419468e" /><Relationship Type="http://schemas.openxmlformats.org/officeDocument/2006/relationships/sharedStrings" Target="/xl/sharedStrings.xml" Id="R182f3dd4c76a40b8" /><Relationship Type="http://schemas.openxmlformats.org/officeDocument/2006/relationships/worksheet" Target="/xl/worksheets/sheet1.xml" Id="R8e8991e45a9648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33000183105469" hidden="0" customWidth="1"/>
    <x:col min="2" max="2" width="9.109999656677246" hidden="0" customWidth="1"/>
    <x:col min="3" max="3" width="9.109999656677246" hidden="0" customWidth="1"/>
    <x:col min="4" max="4" width="9.109999656677246" hidden="0" customWidth="1"/>
    <x:col min="5" max="5" width="9.109999656677246" hidden="0" customWidth="1"/>
    <x:col min="6" max="6" width="9.109999656677246" hidden="0" customWidth="1"/>
    <x:col min="7" max="7" width="9.109999656677246" hidden="0" customWidth="1"/>
    <x:col min="8" max="8" width="9.109999656677246" hidden="0" customWidth="1"/>
    <x:col min="9" max="9" width="9.109999656677246" hidden="0" customWidth="1"/>
    <x:col min="10" max="10" width="9.109999656677246" hidden="0" customWidth="1"/>
    <x:col min="11" max="11" width="9.109999656677246" hidden="0" customWidth="1"/>
    <x:col min="12" max="12" width="9.109999656677246" hidden="0" customWidth="1"/>
    <x:col min="13" max="13" width="9.109999656677246" hidden="0" customWidth="1"/>
    <x:col min="14" max="14" width="9.109999656677246" hidden="0" customWidth="1"/>
    <x:col min="15" max="15" width="9.109999656677246" hidden="0" customWidth="1"/>
    <x:col min="16" max="16" width="9.109999656677246" hidden="0" customWidth="1"/>
    <x:col min="17" max="17" width="9.109999656677246" hidden="0" customWidth="1"/>
    <x:col min="18" max="18" width="9.109999656677246" hidden="0" customWidth="1"/>
    <x:col min="19" max="19" width="9.109999656677246" hidden="0" customWidth="1"/>
    <x:col min="20" max="20" width="9.109999656677246" hidden="0" customWidth="1"/>
    <x:col min="21" max="21" width="9.109999656677246" hidden="0" customWidth="1"/>
    <x:col min="22" max="22" width="9.109999656677246" hidden="0" customWidth="1"/>
    <x:col min="23" max="23" width="9.109999656677246" hidden="0" customWidth="1"/>
    <x:col min="24" max="24" width="9.109999656677246" hidden="0" customWidth="1"/>
    <x:col min="25" max="25" width="9.109999656677246" hidden="0" customWidth="1"/>
    <x:col min="26" max="26" width="9.109999656677246" hidden="0" customWidth="1"/>
    <x:col min="27" max="27" width="9.109999656677246" hidden="0" customWidth="1"/>
    <x:col min="28" max="28" width="9.109999656677246" hidden="0" customWidth="1"/>
    <x:col min="29" max="29" width="9.109999656677246" hidden="0" customWidth="1"/>
    <x:col min="30" max="30" width="9.109999656677246" hidden="0" customWidth="1"/>
    <x:col min="31" max="31" width="9.109999656677246" hidden="0" customWidth="1"/>
    <x:col min="32" max="32" width="9.109999656677246" hidden="0" customWidth="1"/>
    <x:col min="33" max="33" width="9.109999656677246" hidden="0" customWidth="1"/>
    <x:col min="34" max="34" width="9.109999656677246" hidden="0" customWidth="1"/>
    <x:col min="35" max="35" width="9.109999656677246" hidden="0" customWidth="1"/>
    <x:col min="36" max="36" width="9.109999656677246" hidden="0" customWidth="1"/>
    <x:col min="37" max="37" width="9.109999656677246" hidden="0" customWidth="1"/>
  </x:cols>
  <x:sheetData>
    <x:row r="1" ht="34" customHeight="1">
      <x:c r="A1" s="3" t="str">
        <x:v>EO Accelerator 12-Month Cash Forecast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</x:row>
    <x:row r="2" ht="8" customHeight="1">
      <x:c r="A2" s="92"/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  <x:c r="Q2" s="92"/>
      <x:c r="R2" s="92"/>
      <x:c r="S2" s="92"/>
      <x:c r="T2" s="92"/>
      <x:c r="U2" s="92"/>
      <x:c r="V2" s="92"/>
      <x:c r="W2" s="92"/>
      <x:c r="X2" s="92"/>
      <x:c r="Y2" s="92"/>
      <x:c r="Z2" s="92"/>
      <x:c r="AA2" s="92"/>
      <x:c r="AB2" s="92"/>
      <x:c r="AC2" s="92"/>
      <x:c r="AD2" s="92"/>
      <x:c r="AE2" s="92"/>
      <x:c r="AF2" s="92"/>
      <x:c r="AG2" s="92"/>
      <x:c r="AH2" s="92"/>
      <x:c r="AI2" s="92"/>
      <x:c r="AJ2" s="92"/>
      <x:c r="AK2" s="92"/>
    </x:row>
    <x:row r="3">
      <x:c r="A3" s="7" t="str">
        <x:v>Model row</x:v>
      </x:c>
      <x:c r="B3" s="25" t="n">
        <x:v>46722</x:v>
      </x:c>
      <x:c r="C3" s="25" t="n">
        <x:v>46722</x:v>
      </x:c>
      <x:c r="D3" s="25" t="n">
        <x:v>46722</x:v>
      </x:c>
      <x:c r="E3" s="11" t="n">
        <x:v>46692</x:v>
      </x:c>
      <x:c r="F3" s="11" t="n">
        <x:v>46692</x:v>
      </x:c>
      <x:c r="G3" s="11" t="n">
        <x:v>46692</x:v>
      </x:c>
      <x:c r="H3" s="25" t="n">
        <x:v>46661</x:v>
      </x:c>
      <x:c r="I3" s="25" t="n">
        <x:v>46661</x:v>
      </x:c>
      <x:c r="J3" s="25" t="n">
        <x:v>46661</x:v>
      </x:c>
      <x:c r="K3" s="11" t="n">
        <x:v>46631</x:v>
      </x:c>
      <x:c r="L3" s="11" t="n">
        <x:v>46631</x:v>
      </x:c>
      <x:c r="M3" s="11" t="n">
        <x:v>46631</x:v>
      </x:c>
      <x:c r="N3" s="25" t="n">
        <x:v>46600</x:v>
      </x:c>
      <x:c r="O3" s="25" t="n">
        <x:v>46600</x:v>
      </x:c>
      <x:c r="P3" s="25" t="n">
        <x:v>46600</x:v>
      </x:c>
      <x:c r="Q3" s="11" t="n">
        <x:v>46569</x:v>
      </x:c>
      <x:c r="R3" s="11" t="n">
        <x:v>46569</x:v>
      </x:c>
      <x:c r="S3" s="11" t="n">
        <x:v>46569</x:v>
      </x:c>
      <x:c r="T3" s="25" t="n">
        <x:v>46539</x:v>
      </x:c>
      <x:c r="U3" s="25" t="n">
        <x:v>46539</x:v>
      </x:c>
      <x:c r="V3" s="25" t="n">
        <x:v>46539</x:v>
      </x:c>
      <x:c r="W3" s="11" t="n">
        <x:v>46508</x:v>
      </x:c>
      <x:c r="X3" s="11" t="n">
        <x:v>46508</x:v>
      </x:c>
      <x:c r="Y3" s="11" t="n">
        <x:v>46508</x:v>
      </x:c>
      <x:c r="Z3" s="25" t="n">
        <x:v>46478</x:v>
      </x:c>
      <x:c r="AA3" s="25" t="n">
        <x:v>46478</x:v>
      </x:c>
      <x:c r="AB3" s="25" t="n">
        <x:v>46478</x:v>
      </x:c>
      <x:c r="AC3" s="11" t="n">
        <x:v>46447</x:v>
      </x:c>
      <x:c r="AD3" s="11" t="n">
        <x:v>46447</x:v>
      </x:c>
      <x:c r="AE3" s="11" t="n">
        <x:v>46447</x:v>
      </x:c>
      <x:c r="AF3" s="25" t="n">
        <x:v>46419</x:v>
      </x:c>
      <x:c r="AG3" s="25" t="n">
        <x:v>46419</x:v>
      </x:c>
      <x:c r="AH3" s="25" t="n">
        <x:v>46419</x:v>
      </x:c>
      <x:c r="AI3" s="11" t="n">
        <x:v>46388</x:v>
      </x:c>
      <x:c r="AJ3" s="11" t="n">
        <x:v>46388</x:v>
      </x:c>
      <x:c r="AK3" s="11" t="n">
        <x:v>46388</x:v>
      </x:c>
    </x:row>
    <x:row r="4">
      <x:c r="A4" s="7"/>
      <x:c r="B4" s="93" t="str">
        <x:v>Actual</x:v>
      </x:c>
      <x:c r="C4" s="94" t="str">
        <x:v>Rolling</x:v>
      </x:c>
      <x:c r="D4" s="95" t="str">
        <x:v>Approved</x:v>
      </x:c>
      <x:c r="E4" s="93" t="str">
        <x:v>Actual</x:v>
      </x:c>
      <x:c r="F4" s="94" t="str">
        <x:v>Rolling</x:v>
      </x:c>
      <x:c r="G4" s="95" t="str">
        <x:v>Approved</x:v>
      </x:c>
      <x:c r="H4" s="93" t="str">
        <x:v>Actual</x:v>
      </x:c>
      <x:c r="I4" s="94" t="str">
        <x:v>Rolling</x:v>
      </x:c>
      <x:c r="J4" s="95" t="str">
        <x:v>Approved</x:v>
      </x:c>
      <x:c r="K4" s="93" t="str">
        <x:v>Actual</x:v>
      </x:c>
      <x:c r="L4" s="94" t="str">
        <x:v>Rolling</x:v>
      </x:c>
      <x:c r="M4" s="95" t="str">
        <x:v>Approved</x:v>
      </x:c>
      <x:c r="N4" s="93" t="str">
        <x:v>Actual</x:v>
      </x:c>
      <x:c r="O4" s="94" t="str">
        <x:v>Rolling</x:v>
      </x:c>
      <x:c r="P4" s="95" t="str">
        <x:v>Approved</x:v>
      </x:c>
      <x:c r="Q4" s="93" t="str">
        <x:v>Actual</x:v>
      </x:c>
      <x:c r="R4" s="94" t="str">
        <x:v>Rolling</x:v>
      </x:c>
      <x:c r="S4" s="95" t="str">
        <x:v>Approved</x:v>
      </x:c>
      <x:c r="T4" s="93" t="str">
        <x:v>Actual</x:v>
      </x:c>
      <x:c r="U4" s="94" t="str">
        <x:v>Rolling</x:v>
      </x:c>
      <x:c r="V4" s="95" t="str">
        <x:v>Approved</x:v>
      </x:c>
      <x:c r="W4" s="93" t="str">
        <x:v>Actual</x:v>
      </x:c>
      <x:c r="X4" s="94" t="str">
        <x:v>Rolling</x:v>
      </x:c>
      <x:c r="Y4" s="95" t="str">
        <x:v>Approved</x:v>
      </x:c>
      <x:c r="Z4" s="93" t="str">
        <x:v>Actual</x:v>
      </x:c>
      <x:c r="AA4" s="94" t="str">
        <x:v>Rolling</x:v>
      </x:c>
      <x:c r="AB4" s="95" t="str">
        <x:v>Approved</x:v>
      </x:c>
      <x:c r="AC4" s="93" t="str">
        <x:v>Actual</x:v>
      </x:c>
      <x:c r="AD4" s="94" t="str">
        <x:v>Rolling</x:v>
      </x:c>
      <x:c r="AE4" s="95" t="str">
        <x:v>Approved</x:v>
      </x:c>
      <x:c r="AF4" s="93" t="str">
        <x:v>Actual</x:v>
      </x:c>
      <x:c r="AG4" s="94" t="str">
        <x:v>Rolling</x:v>
      </x:c>
      <x:c r="AH4" s="95" t="str">
        <x:v>Approved</x:v>
      </x:c>
      <x:c r="AI4" s="93" t="str">
        <x:v>Actual</x:v>
      </x:c>
      <x:c r="AJ4" s="94" t="str">
        <x:v>Rolling</x:v>
      </x:c>
      <x:c r="AK4" s="95" t="str">
        <x:v>Approved</x:v>
      </x:c>
    </x:row>
    <x:row r="5" ht="22" customHeight="1">
      <x:c r="A5" s="27" t="str">
        <x:v>WIDGETS</x:v>
      </x:c>
      <x:c r="B5" s="27" t="str">
        <x:v>WIDGETS</x:v>
      </x:c>
      <x:c r="C5" s="27" t="str">
        <x:v>WIDGETS</x:v>
      </x:c>
      <x:c r="D5" s="27" t="str">
        <x:v>WIDGETS</x:v>
      </x:c>
      <x:c r="E5" s="27" t="str">
        <x:v>WIDGETS</x:v>
      </x:c>
      <x:c r="F5" s="27" t="str">
        <x:v>WIDGETS</x:v>
      </x:c>
      <x:c r="G5" s="27" t="str">
        <x:v>WIDGETS</x:v>
      </x:c>
      <x:c r="H5" s="27" t="str">
        <x:v>WIDGETS</x:v>
      </x:c>
      <x:c r="I5" s="27" t="str">
        <x:v>WIDGETS</x:v>
      </x:c>
      <x:c r="J5" s="27" t="str">
        <x:v>WIDGETS</x:v>
      </x:c>
      <x:c r="K5" s="27" t="str">
        <x:v>WIDGETS</x:v>
      </x:c>
      <x:c r="L5" s="27" t="str">
        <x:v>WIDGETS</x:v>
      </x:c>
      <x:c r="M5" s="27" t="str">
        <x:v>WIDGETS</x:v>
      </x:c>
      <x:c r="N5" s="27" t="str">
        <x:v>WIDGETS</x:v>
      </x:c>
      <x:c r="O5" s="27" t="str">
        <x:v>WIDGETS</x:v>
      </x:c>
      <x:c r="P5" s="27" t="str">
        <x:v>WIDGETS</x:v>
      </x:c>
      <x:c r="Q5" s="27" t="str">
        <x:v>WIDGETS</x:v>
      </x:c>
      <x:c r="R5" s="27" t="str">
        <x:v>WIDGETS</x:v>
      </x:c>
      <x:c r="S5" s="27" t="str">
        <x:v>WIDGETS</x:v>
      </x:c>
      <x:c r="T5" s="27" t="str">
        <x:v>WIDGETS</x:v>
      </x:c>
      <x:c r="U5" s="27" t="str">
        <x:v>WIDGETS</x:v>
      </x:c>
      <x:c r="V5" s="27" t="str">
        <x:v>WIDGETS</x:v>
      </x:c>
      <x:c r="W5" s="27" t="str">
        <x:v>WIDGETS</x:v>
      </x:c>
      <x:c r="X5" s="27" t="str">
        <x:v>WIDGETS</x:v>
      </x:c>
      <x:c r="Y5" s="27" t="str">
        <x:v>WIDGETS</x:v>
      </x:c>
      <x:c r="Z5" s="27" t="str">
        <x:v>WIDGETS</x:v>
      </x:c>
      <x:c r="AA5" s="27" t="str">
        <x:v>WIDGETS</x:v>
      </x:c>
      <x:c r="AB5" s="27" t="str">
        <x:v>WIDGETS</x:v>
      </x:c>
      <x:c r="AC5" s="27" t="str">
        <x:v>WIDGETS</x:v>
      </x:c>
      <x:c r="AD5" s="27" t="str">
        <x:v>WIDGETS</x:v>
      </x:c>
      <x:c r="AE5" s="27" t="str">
        <x:v>WIDGETS</x:v>
      </x:c>
      <x:c r="AF5" s="27" t="str">
        <x:v>WIDGETS</x:v>
      </x:c>
      <x:c r="AG5" s="27" t="str">
        <x:v>WIDGETS</x:v>
      </x:c>
      <x:c r="AH5" s="27" t="str">
        <x:v>WIDGETS</x:v>
      </x:c>
      <x:c r="AI5" s="27" t="str">
        <x:v>WIDGETS</x:v>
      </x:c>
      <x:c r="AJ5" s="27" t="str">
        <x:v>WIDGETS</x:v>
      </x:c>
      <x:c r="AK5" s="27" t="str">
        <x:v>WIDGETS</x:v>
      </x:c>
    </x:row>
    <x:row r="6" ht="22" customHeight="1">
      <x:c r="A6" s="96" t="str">
        <x:v>Qualified leads</x:v>
      </x:c>
      <x:c r="B6" s="97"/>
      <x:c r="C6" s="98" t="n">
        <x:v>51</x:v>
      </x:c>
      <x:c r="D6" s="99" t="n">
        <x:v>51</x:v>
      </x:c>
      <x:c r="E6" s="97"/>
      <x:c r="F6" s="98" t="n">
        <x:v>50</x:v>
      </x:c>
      <x:c r="G6" s="99" t="n">
        <x:v>50</x:v>
      </x:c>
      <x:c r="H6" s="97"/>
      <x:c r="I6" s="98" t="n">
        <x:v>49</x:v>
      </x:c>
      <x:c r="J6" s="99" t="n">
        <x:v>49</x:v>
      </x:c>
      <x:c r="K6" s="97"/>
      <x:c r="L6" s="98" t="n">
        <x:v>48</x:v>
      </x:c>
      <x:c r="M6" s="99" t="n">
        <x:v>48</x:v>
      </x:c>
      <x:c r="N6" s="97"/>
      <x:c r="O6" s="98" t="n">
        <x:v>47</x:v>
      </x:c>
      <x:c r="P6" s="99" t="n">
        <x:v>47</x:v>
      </x:c>
      <x:c r="Q6" s="97"/>
      <x:c r="R6" s="98" t="n">
        <x:v>46</x:v>
      </x:c>
      <x:c r="S6" s="99" t="n">
        <x:v>46</x:v>
      </x:c>
      <x:c r="T6" s="97"/>
      <x:c r="U6" s="98" t="n">
        <x:v>45</x:v>
      </x:c>
      <x:c r="V6" s="99" t="n">
        <x:v>45</x:v>
      </x:c>
      <x:c r="W6" s="97"/>
      <x:c r="X6" s="98" t="n">
        <x:v>44</x:v>
      </x:c>
      <x:c r="Y6" s="99" t="n">
        <x:v>44</x:v>
      </x:c>
      <x:c r="Z6" s="97"/>
      <x:c r="AA6" s="98" t="n">
        <x:v>43</x:v>
      </x:c>
      <x:c r="AB6" s="99" t="n">
        <x:v>43</x:v>
      </x:c>
      <x:c r="AC6" s="97"/>
      <x:c r="AD6" s="98" t="n">
        <x:v>42</x:v>
      </x:c>
      <x:c r="AE6" s="99" t="n">
        <x:v>42</x:v>
      </x:c>
      <x:c r="AF6" s="97" t="n">
        <x:v>38</x:v>
      </x:c>
      <x:c r="AG6" s="98" t="n">
        <x:v>41</x:v>
      </x:c>
      <x:c r="AH6" s="99" t="n">
        <x:v>41</x:v>
      </x:c>
      <x:c r="AI6" s="97" t="n">
        <x:v>36</x:v>
      </x:c>
      <x:c r="AJ6" s="98" t="n">
        <x:v>40</x:v>
      </x:c>
      <x:c r="AK6" s="99" t="n">
        <x:v>40</x:v>
      </x:c>
    </x:row>
    <x:row r="7" ht="22" customHeight="1">
      <x:c r="A7" s="96" t="str">
        <x:v>Sales cycle in months</x:v>
      </x:c>
      <x:c r="B7" s="97"/>
      <x:c r="C7" s="98" t="n">
        <x:v>1</x:v>
      </x:c>
      <x:c r="D7" s="99" t="n">
        <x:v>1</x:v>
      </x:c>
      <x:c r="E7" s="97"/>
      <x:c r="F7" s="98" t="n">
        <x:v>1</x:v>
      </x:c>
      <x:c r="G7" s="99" t="n">
        <x:v>1</x:v>
      </x:c>
      <x:c r="H7" s="97"/>
      <x:c r="I7" s="98" t="n">
        <x:v>1</x:v>
      </x:c>
      <x:c r="J7" s="99" t="n">
        <x:v>1</x:v>
      </x:c>
      <x:c r="K7" s="97"/>
      <x:c r="L7" s="98" t="n">
        <x:v>1</x:v>
      </x:c>
      <x:c r="M7" s="99" t="n">
        <x:v>1</x:v>
      </x:c>
      <x:c r="N7" s="97"/>
      <x:c r="O7" s="98" t="n">
        <x:v>1</x:v>
      </x:c>
      <x:c r="P7" s="99" t="n">
        <x:v>1</x:v>
      </x:c>
      <x:c r="Q7" s="97"/>
      <x:c r="R7" s="98" t="n">
        <x:v>1</x:v>
      </x:c>
      <x:c r="S7" s="99" t="n">
        <x:v>1</x:v>
      </x:c>
      <x:c r="T7" s="97"/>
      <x:c r="U7" s="98" t="n">
        <x:v>1</x:v>
      </x:c>
      <x:c r="V7" s="99" t="n">
        <x:v>1</x:v>
      </x:c>
      <x:c r="W7" s="97"/>
      <x:c r="X7" s="98" t="n">
        <x:v>1</x:v>
      </x:c>
      <x:c r="Y7" s="99" t="n">
        <x:v>1</x:v>
      </x:c>
      <x:c r="Z7" s="97"/>
      <x:c r="AA7" s="98" t="n">
        <x:v>1</x:v>
      </x:c>
      <x:c r="AB7" s="99" t="n">
        <x:v>1</x:v>
      </x:c>
      <x:c r="AC7" s="97"/>
      <x:c r="AD7" s="98" t="n">
        <x:v>1</x:v>
      </x:c>
      <x:c r="AE7" s="99" t="n">
        <x:v>1</x:v>
      </x:c>
      <x:c r="AF7" s="97" t="n">
        <x:v>1</x:v>
      </x:c>
      <x:c r="AG7" s="98" t="n">
        <x:v>1</x:v>
      </x:c>
      <x:c r="AH7" s="99" t="n">
        <x:v>1</x:v>
      </x:c>
      <x:c r="AI7" s="97" t="n">
        <x:v>1</x:v>
      </x:c>
      <x:c r="AJ7" s="98" t="n">
        <x:v>1</x:v>
      </x:c>
      <x:c r="AK7" s="99" t="n">
        <x:v>1</x:v>
      </x:c>
    </x:row>
    <x:row r="8" ht="22" customHeight="1">
      <x:c r="A8" s="96" t="str">
        <x:v>Close rate</x:v>
      </x:c>
      <x:c r="B8" s="100" t="str">
        <x:f>IFERROR(IF(B9="","",B9/IF(B7&gt;=12,$B$41,INDEX($B$6:$AK$6,1,MIN(36,MAX(1,1+3*B$7+0))))),"")</x:f>
      </x:c>
      <x:c r="C8" s="101" t="n">
        <x:v>0.25</x:v>
      </x:c>
      <x:c r="D8" s="102" t="n">
        <x:v>0.25</x:v>
      </x:c>
      <x:c r="E8" s="100" t="str">
        <x:f>IFERROR(IF(E9="","",E9/IF(E7&gt;=11,$B$41,INDEX($B$6:$AK$6,1,MIN(36,MAX(1,4+3*E$7+0))))),"")</x:f>
      </x:c>
      <x:c r="F8" s="101" t="n">
        <x:v>0.25</x:v>
      </x:c>
      <x:c r="G8" s="102" t="n">
        <x:v>0.25</x:v>
      </x:c>
      <x:c r="H8" s="100" t="str">
        <x:f>IFERROR(IF(H9="","",H9/IF(H7&gt;=10,$B$41,INDEX($B$6:$AK$6,1,MIN(36,MAX(1,7+3*H$7+0))))),"")</x:f>
      </x:c>
      <x:c r="I8" s="101" t="n">
        <x:v>0.25</x:v>
      </x:c>
      <x:c r="J8" s="102" t="n">
        <x:v>0.25</x:v>
      </x:c>
      <x:c r="K8" s="100" t="str">
        <x:f>IFERROR(IF(K9="","",K9/IF(K7&gt;=9,$B$41,INDEX($B$6:$AK$6,1,MIN(36,MAX(1,10+3*K$7+0))))),"")</x:f>
      </x:c>
      <x:c r="L8" s="101" t="n">
        <x:v>0.25</x:v>
      </x:c>
      <x:c r="M8" s="102" t="n">
        <x:v>0.25</x:v>
      </x:c>
      <x:c r="N8" s="100" t="str">
        <x:f>IFERROR(IF(N9="","",N9/IF(N7&gt;=8,$B$41,INDEX($B$6:$AK$6,1,MIN(36,MAX(1,13+3*N$7+0))))),"")</x:f>
      </x:c>
      <x:c r="O8" s="101" t="n">
        <x:v>0.25</x:v>
      </x:c>
      <x:c r="P8" s="102" t="n">
        <x:v>0.25</x:v>
      </x:c>
      <x:c r="Q8" s="100" t="str">
        <x:f>IFERROR(IF(Q9="","",Q9/IF(Q7&gt;=7,$B$41,INDEX($B$6:$AK$6,1,MIN(36,MAX(1,16+3*Q$7+0))))),"")</x:f>
      </x:c>
      <x:c r="R8" s="101" t="n">
        <x:v>0.25</x:v>
      </x:c>
      <x:c r="S8" s="102" t="n">
        <x:v>0.25</x:v>
      </x:c>
      <x:c r="T8" s="100" t="str">
        <x:f>IFERROR(IF(T9="","",T9/IF(T7&gt;=6,$B$41,INDEX($B$6:$AK$6,1,MIN(36,MAX(1,19+3*T$7+0))))),"")</x:f>
      </x:c>
      <x:c r="U8" s="101" t="n">
        <x:v>0.25</x:v>
      </x:c>
      <x:c r="V8" s="102" t="n">
        <x:v>0.25</x:v>
      </x:c>
      <x:c r="W8" s="100" t="str">
        <x:f>IFERROR(IF(W9="","",W9/IF(W7&gt;=5,$B$41,INDEX($B$6:$AK$6,1,MIN(36,MAX(1,22+3*W$7+0))))),"")</x:f>
      </x:c>
      <x:c r="X8" s="101" t="n">
        <x:v>0.25</x:v>
      </x:c>
      <x:c r="Y8" s="102" t="n">
        <x:v>0.25</x:v>
      </x:c>
      <x:c r="Z8" s="100" t="str">
        <x:f>IFERROR(IF(Z9="","",Z9/IF(Z7&gt;=4,$B$41,INDEX($B$6:$AK$6,1,MIN(36,MAX(1,25+3*Z$7+0))))),"")</x:f>
      </x:c>
      <x:c r="AA8" s="101" t="n">
        <x:v>0.25</x:v>
      </x:c>
      <x:c r="AB8" s="102" t="n">
        <x:v>0.25</x:v>
      </x:c>
      <x:c r="AC8" s="100" t="str">
        <x:f>IFERROR(IF(AC9="","",AC9/IF(AC7&gt;=3,$B$41,INDEX($B$6:$AK$6,1,MIN(36,MAX(1,28+3*AC$7+0))))),"")</x:f>
      </x:c>
      <x:c r="AD8" s="101" t="n">
        <x:v>0.25</x:v>
      </x:c>
      <x:c r="AE8" s="102" t="n">
        <x:v>0.25</x:v>
      </x:c>
      <x:c r="AF8" s="100" t="n">
        <x:f>IFERROR(IF(AF9="","",AF9/IF(AF7&gt;=2,$B$41,INDEX($B$6:$AK$6,1,MIN(36,MAX(1,31+3*AF$7+0))))),"")</x:f>
        <x:v>0.2222222222222222</x:v>
      </x:c>
      <x:c r="AG8" s="101" t="n">
        <x:v>0.25</x:v>
      </x:c>
      <x:c r="AH8" s="102" t="n">
        <x:v>0.25</x:v>
      </x:c>
      <x:c r="AI8" s="100" t="n">
        <x:f>IFERROR(IF(AI9="","",AI9/IF(AI7&gt;=1,$B$41,INDEX($B$6:$AK$6,1,MIN(36,MAX(1,34+3*AI$7+0))))),"")</x:f>
        <x:v>0.175</x:v>
      </x:c>
      <x:c r="AJ8" s="101" t="n">
        <x:v>0.25</x:v>
      </x:c>
      <x:c r="AK8" s="102" t="n">
        <x:v>0.25</x:v>
      </x:c>
    </x:row>
    <x:row r="9" ht="22" customHeight="1">
      <x:c r="A9" s="96" t="str">
        <x:v>Signed contracts</x:v>
      </x:c>
      <x:c r="B9" s="97"/>
      <x:c r="C9" s="103" t="n">
        <x:f>IF(B9&lt;&gt;"",B9,ROUND(IF(C$7&gt;=12,$B$41,IF(INDEX($B$6:$AK$6,1,MIN(36,MAX(1,1+3*C$7+0)))&lt;&gt;"",INDEX($B$6:$AK$6,1,MIN(36,MAX(1,1+3*C$7+0))),INDEX($B$6:$AK$6,1,MIN(36,MAX(1,1+3*C$7+1)))))*C8,0))</x:f>
        <x:v>13</x:v>
      </x:c>
      <x:c r="D9" s="104" t="n">
        <x:f>ROUND(IF(D$7&gt;=12,$B$41,INDEX($B$6:$AK$6,1,MIN(36,MAX(1,1+3*D$7+2))))*D8,0)</x:f>
        <x:v>13</x:v>
      </x:c>
      <x:c r="E9" s="97"/>
      <x:c r="F9" s="103" t="n">
        <x:f>IF(E9&lt;&gt;"",E9,ROUND(IF(F$7&gt;=11,$B$41,IF(INDEX($B$6:$AK$6,1,MIN(36,MAX(1,4+3*F$7+0)))&lt;&gt;"",INDEX($B$6:$AK$6,1,MIN(36,MAX(1,4+3*F$7+0))),INDEX($B$6:$AK$6,1,MIN(36,MAX(1,4+3*F$7+1)))))*F8,0))</x:f>
        <x:v>12</x:v>
      </x:c>
      <x:c r="G9" s="104" t="n">
        <x:f>ROUND(IF(G$7&gt;=11,$B$41,INDEX($B$6:$AK$6,1,MIN(36,MAX(1,4+3*G$7+2))))*G8,0)</x:f>
        <x:v>12</x:v>
      </x:c>
      <x:c r="H9" s="97"/>
      <x:c r="I9" s="103" t="n">
        <x:f>IF(H9&lt;&gt;"",H9,ROUND(IF(I$7&gt;=10,$B$41,IF(INDEX($B$6:$AK$6,1,MIN(36,MAX(1,7+3*I$7+0)))&lt;&gt;"",INDEX($B$6:$AK$6,1,MIN(36,MAX(1,7+3*I$7+0))),INDEX($B$6:$AK$6,1,MIN(36,MAX(1,7+3*I$7+1)))))*I8,0))</x:f>
        <x:v>12</x:v>
      </x:c>
      <x:c r="J9" s="104" t="n">
        <x:f>ROUND(IF(J$7&gt;=10,$B$41,INDEX($B$6:$AK$6,1,MIN(36,MAX(1,7+3*J$7+2))))*J8,0)</x:f>
        <x:v>12</x:v>
      </x:c>
      <x:c r="K9" s="97"/>
      <x:c r="L9" s="103" t="n">
        <x:f>IF(K9&lt;&gt;"",K9,ROUND(IF(L$7&gt;=9,$B$41,IF(INDEX($B$6:$AK$6,1,MIN(36,MAX(1,10+3*L$7+0)))&lt;&gt;"",INDEX($B$6:$AK$6,1,MIN(36,MAX(1,10+3*L$7+0))),INDEX($B$6:$AK$6,1,MIN(36,MAX(1,10+3*L$7+1)))))*L8,0))</x:f>
        <x:v>12</x:v>
      </x:c>
      <x:c r="M9" s="104" t="n">
        <x:f>ROUND(IF(M$7&gt;=9,$B$41,INDEX($B$6:$AK$6,1,MIN(36,MAX(1,10+3*M$7+2))))*M8,0)</x:f>
        <x:v>12</x:v>
      </x:c>
      <x:c r="N9" s="97"/>
      <x:c r="O9" s="103" t="n">
        <x:f>IF(N9&lt;&gt;"",N9,ROUND(IF(O$7&gt;=8,$B$41,IF(INDEX($B$6:$AK$6,1,MIN(36,MAX(1,13+3*O$7+0)))&lt;&gt;"",INDEX($B$6:$AK$6,1,MIN(36,MAX(1,13+3*O$7+0))),INDEX($B$6:$AK$6,1,MIN(36,MAX(1,13+3*O$7+1)))))*O8,0))</x:f>
        <x:v>12</x:v>
      </x:c>
      <x:c r="P9" s="104" t="n">
        <x:f>ROUND(IF(P$7&gt;=8,$B$41,INDEX($B$6:$AK$6,1,MIN(36,MAX(1,13+3*P$7+2))))*P8,0)</x:f>
        <x:v>12</x:v>
      </x:c>
      <x:c r="Q9" s="97"/>
      <x:c r="R9" s="103" t="n">
        <x:f>IF(Q9&lt;&gt;"",Q9,ROUND(IF(R$7&gt;=7,$B$41,IF(INDEX($B$6:$AK$6,1,MIN(36,MAX(1,16+3*R$7+0)))&lt;&gt;"",INDEX($B$6:$AK$6,1,MIN(36,MAX(1,16+3*R$7+0))),INDEX($B$6:$AK$6,1,MIN(36,MAX(1,16+3*R$7+1)))))*R8,0))</x:f>
        <x:v>11</x:v>
      </x:c>
      <x:c r="S9" s="104" t="n">
        <x:f>ROUND(IF(S$7&gt;=7,$B$41,INDEX($B$6:$AK$6,1,MIN(36,MAX(1,16+3*S$7+2))))*S8,0)</x:f>
        <x:v>11</x:v>
      </x:c>
      <x:c r="T9" s="97"/>
      <x:c r="U9" s="103" t="n">
        <x:f>IF(T9&lt;&gt;"",T9,ROUND(IF(U$7&gt;=6,$B$41,IF(INDEX($B$6:$AK$6,1,MIN(36,MAX(1,19+3*U$7+0)))&lt;&gt;"",INDEX($B$6:$AK$6,1,MIN(36,MAX(1,19+3*U$7+0))),INDEX($B$6:$AK$6,1,MIN(36,MAX(1,19+3*U$7+1)))))*U8,0))</x:f>
        <x:v>11</x:v>
      </x:c>
      <x:c r="V9" s="104" t="n">
        <x:f>ROUND(IF(V$7&gt;=6,$B$41,INDEX($B$6:$AK$6,1,MIN(36,MAX(1,19+3*V$7+2))))*V8,0)</x:f>
        <x:v>11</x:v>
      </x:c>
      <x:c r="W9" s="97"/>
      <x:c r="X9" s="103" t="n">
        <x:f>IF(W9&lt;&gt;"",W9,ROUND(IF(X$7&gt;=5,$B$41,IF(INDEX($B$6:$AK$6,1,MIN(36,MAX(1,22+3*X$7+0)))&lt;&gt;"",INDEX($B$6:$AK$6,1,MIN(36,MAX(1,22+3*X$7+0))),INDEX($B$6:$AK$6,1,MIN(36,MAX(1,22+3*X$7+1)))))*X8,0))</x:f>
        <x:v>11</x:v>
      </x:c>
      <x:c r="Y9" s="104" t="n">
        <x:f>ROUND(IF(Y$7&gt;=5,$B$41,INDEX($B$6:$AK$6,1,MIN(36,MAX(1,22+3*Y$7+2))))*Y8,0)</x:f>
        <x:v>11</x:v>
      </x:c>
      <x:c r="Z9" s="97"/>
      <x:c r="AA9" s="103" t="n">
        <x:f>IF(Z9&lt;&gt;"",Z9,ROUND(IF(AA$7&gt;=4,$B$41,IF(INDEX($B$6:$AK$6,1,MIN(36,MAX(1,25+3*AA$7+0)))&lt;&gt;"",INDEX($B$6:$AK$6,1,MIN(36,MAX(1,25+3*AA$7+0))),INDEX($B$6:$AK$6,1,MIN(36,MAX(1,25+3*AA$7+1)))))*AA8,0))</x:f>
        <x:v>11</x:v>
      </x:c>
      <x:c r="AB9" s="104" t="n">
        <x:f>ROUND(IF(AB$7&gt;=4,$B$41,INDEX($B$6:$AK$6,1,MIN(36,MAX(1,25+3*AB$7+2))))*AB8,0)</x:f>
        <x:v>11</x:v>
      </x:c>
      <x:c r="AC9" s="97"/>
      <x:c r="AD9" s="103" t="n">
        <x:f>IF(AC9&lt;&gt;"",AC9,ROUND(IF(AD$7&gt;=3,$B$41,IF(INDEX($B$6:$AK$6,1,MIN(36,MAX(1,28+3*AD$7+0)))&lt;&gt;"",INDEX($B$6:$AK$6,1,MIN(36,MAX(1,28+3*AD$7+0))),INDEX($B$6:$AK$6,1,MIN(36,MAX(1,28+3*AD$7+1)))))*AD8,0))</x:f>
        <x:v>10</x:v>
      </x:c>
      <x:c r="AE9" s="104" t="n">
        <x:f>ROUND(IF(AE$7&gt;=3,$B$41,INDEX($B$6:$AK$6,1,MIN(36,MAX(1,28+3*AE$7+2))))*AE8,0)</x:f>
        <x:v>10</x:v>
      </x:c>
      <x:c r="AF9" s="97" t="n">
        <x:v>8</x:v>
      </x:c>
      <x:c r="AG9" s="103" t="n">
        <x:f>IF(AF9&lt;&gt;"",AF9,ROUND(IF(AG$7&gt;=2,$B$41,IF(INDEX($B$6:$AK$6,1,MIN(36,MAX(1,31+3*AG$7+0)))&lt;&gt;"",INDEX($B$6:$AK$6,1,MIN(36,MAX(1,31+3*AG$7+0))),INDEX($B$6:$AK$6,1,MIN(36,MAX(1,31+3*AG$7+1)))))*AG8,0))</x:f>
        <x:v>8</x:v>
      </x:c>
      <x:c r="AH9" s="104" t="n">
        <x:f>ROUND(IF(AH$7&gt;=2,$B$41,INDEX($B$6:$AK$6,1,MIN(36,MAX(1,31+3*AH$7+2))))*AH8,0)</x:f>
        <x:v>10</x:v>
      </x:c>
      <x:c r="AI9" s="97" t="n">
        <x:v>7</x:v>
      </x:c>
      <x:c r="AJ9" s="103" t="n">
        <x:f>IF(AI9&lt;&gt;"",AI9,ROUND(IF(AJ$7&gt;=1,$B$41,IF(INDEX($B$6:$AK$6,1,MIN(36,MAX(1,34+3*AJ$7+0)))&lt;&gt;"",INDEX($B$6:$AK$6,1,MIN(36,MAX(1,34+3*AJ$7+0))),INDEX($B$6:$AK$6,1,MIN(36,MAX(1,34+3*AJ$7+1)))))*AJ8,0))</x:f>
        <x:v>7</x:v>
      </x:c>
      <x:c r="AK9" s="104" t="n">
        <x:f>ROUND(IF(AK$7&gt;=1,$B$41,INDEX($B$6:$AK$6,1,MIN(36,MAX(1,34+3*AK$7+2))))*AK8,0)</x:f>
        <x:v>10</x:v>
      </x:c>
    </x:row>
    <x:row r="10" ht="22" customHeight="1">
      <x:c r="A10" s="96" t="str">
        <x:v>Average contract value</x:v>
      </x:c>
      <x:c r="B10" s="105"/>
      <x:c r="C10" s="106" t="n">
        <x:v>5000</x:v>
      </x:c>
      <x:c r="D10" s="107" t="n">
        <x:v>5000</x:v>
      </x:c>
      <x:c r="E10" s="105"/>
      <x:c r="F10" s="106" t="n">
        <x:v>5000</x:v>
      </x:c>
      <x:c r="G10" s="107" t="n">
        <x:v>5000</x:v>
      </x:c>
      <x:c r="H10" s="105"/>
      <x:c r="I10" s="106" t="n">
        <x:v>5000</x:v>
      </x:c>
      <x:c r="J10" s="107" t="n">
        <x:v>5000</x:v>
      </x:c>
      <x:c r="K10" s="105"/>
      <x:c r="L10" s="106" t="n">
        <x:v>5000</x:v>
      </x:c>
      <x:c r="M10" s="107" t="n">
        <x:v>5000</x:v>
      </x:c>
      <x:c r="N10" s="105"/>
      <x:c r="O10" s="106" t="n">
        <x:v>5000</x:v>
      </x:c>
      <x:c r="P10" s="107" t="n">
        <x:v>5000</x:v>
      </x:c>
      <x:c r="Q10" s="105"/>
      <x:c r="R10" s="106" t="n">
        <x:v>5000</x:v>
      </x:c>
      <x:c r="S10" s="107" t="n">
        <x:v>5000</x:v>
      </x:c>
      <x:c r="T10" s="105"/>
      <x:c r="U10" s="106" t="n">
        <x:v>5000</x:v>
      </x:c>
      <x:c r="V10" s="107" t="n">
        <x:v>5000</x:v>
      </x:c>
      <x:c r="W10" s="105"/>
      <x:c r="X10" s="106" t="n">
        <x:v>5000</x:v>
      </x:c>
      <x:c r="Y10" s="107" t="n">
        <x:v>5000</x:v>
      </x:c>
      <x:c r="Z10" s="105"/>
      <x:c r="AA10" s="106" t="n">
        <x:v>5000</x:v>
      </x:c>
      <x:c r="AB10" s="107" t="n">
        <x:v>5000</x:v>
      </x:c>
      <x:c r="AC10" s="105"/>
      <x:c r="AD10" s="106" t="n">
        <x:v>5000</x:v>
      </x:c>
      <x:c r="AE10" s="107" t="n">
        <x:v>5000</x:v>
      </x:c>
      <x:c r="AF10" s="105" t="n">
        <x:v>5000</x:v>
      </x:c>
      <x:c r="AG10" s="106" t="n">
        <x:v>5000</x:v>
      </x:c>
      <x:c r="AH10" s="107" t="n">
        <x:v>5000</x:v>
      </x:c>
      <x:c r="AI10" s="105" t="n">
        <x:v>5000</x:v>
      </x:c>
      <x:c r="AJ10" s="106" t="n">
        <x:v>5000</x:v>
      </x:c>
      <x:c r="AK10" s="107" t="n">
        <x:v>5000</x:v>
      </x:c>
    </x:row>
    <x:row r="11" ht="22" customHeight="1">
      <x:c r="A11" s="96" t="str">
        <x:v>Contract value signed</x:v>
      </x:c>
      <x:c r="B11" s="108" t="str">
        <x:f>IF(COUNT(B9,B10)=2,B9*B10,"")</x:f>
      </x:c>
      <x:c r="C11" s="109" t="n">
        <x:f>C9*IF(B10&lt;&gt;"",B10,C10)</x:f>
        <x:v>65000</x:v>
      </x:c>
      <x:c r="D11" s="110" t="n">
        <x:f>D9*D10</x:f>
        <x:v>65000</x:v>
      </x:c>
      <x:c r="E11" s="108" t="str">
        <x:f>IF(COUNT(E9,E10)=2,E9*E10,"")</x:f>
      </x:c>
      <x:c r="F11" s="109" t="n">
        <x:f>F9*IF(E10&lt;&gt;"",E10,F10)</x:f>
        <x:v>60000</x:v>
      </x:c>
      <x:c r="G11" s="110" t="n">
        <x:f>G9*G10</x:f>
        <x:v>60000</x:v>
      </x:c>
      <x:c r="H11" s="108" t="str">
        <x:f>IF(COUNT(H9,H10)=2,H9*H10,"")</x:f>
      </x:c>
      <x:c r="I11" s="109" t="n">
        <x:f>I9*IF(H10&lt;&gt;"",H10,I10)</x:f>
        <x:v>60000</x:v>
      </x:c>
      <x:c r="J11" s="110" t="n">
        <x:f>J9*J10</x:f>
        <x:v>60000</x:v>
      </x:c>
      <x:c r="K11" s="108" t="str">
        <x:f>IF(COUNT(K9,K10)=2,K9*K10,"")</x:f>
      </x:c>
      <x:c r="L11" s="109" t="n">
        <x:f>L9*IF(K10&lt;&gt;"",K10,L10)</x:f>
        <x:v>60000</x:v>
      </x:c>
      <x:c r="M11" s="110" t="n">
        <x:f>M9*M10</x:f>
        <x:v>60000</x:v>
      </x:c>
      <x:c r="N11" s="108" t="str">
        <x:f>IF(COUNT(N9,N10)=2,N9*N10,"")</x:f>
      </x:c>
      <x:c r="O11" s="109" t="n">
        <x:f>O9*IF(N10&lt;&gt;"",N10,O10)</x:f>
        <x:v>60000</x:v>
      </x:c>
      <x:c r="P11" s="110" t="n">
        <x:f>P9*P10</x:f>
        <x:v>60000</x:v>
      </x:c>
      <x:c r="Q11" s="108" t="str">
        <x:f>IF(COUNT(Q9,Q10)=2,Q9*Q10,"")</x:f>
      </x:c>
      <x:c r="R11" s="109" t="n">
        <x:f>R9*IF(Q10&lt;&gt;"",Q10,R10)</x:f>
        <x:v>55000</x:v>
      </x:c>
      <x:c r="S11" s="110" t="n">
        <x:f>S9*S10</x:f>
        <x:v>55000</x:v>
      </x:c>
      <x:c r="T11" s="108" t="str">
        <x:f>IF(COUNT(T9,T10)=2,T9*T10,"")</x:f>
      </x:c>
      <x:c r="U11" s="109" t="n">
        <x:f>U9*IF(T10&lt;&gt;"",T10,U10)</x:f>
        <x:v>55000</x:v>
      </x:c>
      <x:c r="V11" s="110" t="n">
        <x:f>V9*V10</x:f>
        <x:v>55000</x:v>
      </x:c>
      <x:c r="W11" s="108" t="str">
        <x:f>IF(COUNT(W9,W10)=2,W9*W10,"")</x:f>
      </x:c>
      <x:c r="X11" s="109" t="n">
        <x:f>X9*IF(W10&lt;&gt;"",W10,X10)</x:f>
        <x:v>55000</x:v>
      </x:c>
      <x:c r="Y11" s="110" t="n">
        <x:f>Y9*Y10</x:f>
        <x:v>55000</x:v>
      </x:c>
      <x:c r="Z11" s="108" t="str">
        <x:f>IF(COUNT(Z9,Z10)=2,Z9*Z10,"")</x:f>
      </x:c>
      <x:c r="AA11" s="109" t="n">
        <x:f>AA9*IF(Z10&lt;&gt;"",Z10,AA10)</x:f>
        <x:v>55000</x:v>
      </x:c>
      <x:c r="AB11" s="110" t="n">
        <x:f>AB9*AB10</x:f>
        <x:v>55000</x:v>
      </x:c>
      <x:c r="AC11" s="108" t="str">
        <x:f>IF(COUNT(AC9,AC10)=2,AC9*AC10,"")</x:f>
      </x:c>
      <x:c r="AD11" s="109" t="n">
        <x:f>AD9*IF(AC10&lt;&gt;"",AC10,AD10)</x:f>
        <x:v>50000</x:v>
      </x:c>
      <x:c r="AE11" s="110" t="n">
        <x:f>AE9*AE10</x:f>
        <x:v>50000</x:v>
      </x:c>
      <x:c r="AF11" s="108" t="n">
        <x:f>IF(COUNT(AF9,AF10)=2,AF9*AF10,"")</x:f>
        <x:v>40000</x:v>
      </x:c>
      <x:c r="AG11" s="109" t="n">
        <x:f>AG9*IF(AF10&lt;&gt;"",AF10,AG10)</x:f>
        <x:v>40000</x:v>
      </x:c>
      <x:c r="AH11" s="110" t="n">
        <x:f>AH9*AH10</x:f>
        <x:v>50000</x:v>
      </x:c>
      <x:c r="AI11" s="108" t="n">
        <x:f>IF(COUNT(AI9,AI10)=2,AI9*AI10,"")</x:f>
        <x:v>35000</x:v>
      </x:c>
      <x:c r="AJ11" s="109" t="n">
        <x:f>AJ9*IF(AI10&lt;&gt;"",AI10,AJ10)</x:f>
        <x:v>35000</x:v>
      </x:c>
      <x:c r="AK11" s="110" t="n">
        <x:f>AK9*AK10</x:f>
        <x:v>50000</x:v>
      </x:c>
    </x:row>
    <x:row r="12" ht="22" customHeight="1">
      <x:c r="A12" s="96"/>
      <x:c r="B12" s="111"/>
      <x:c r="C12" s="112"/>
      <x:c r="D12" s="113"/>
      <x:c r="E12" s="111"/>
      <x:c r="F12" s="112"/>
      <x:c r="G12" s="113"/>
      <x:c r="H12" s="111"/>
      <x:c r="I12" s="112"/>
      <x:c r="J12" s="113"/>
      <x:c r="K12" s="111"/>
      <x:c r="L12" s="112"/>
      <x:c r="M12" s="113"/>
      <x:c r="N12" s="111"/>
      <x:c r="O12" s="112"/>
      <x:c r="P12" s="113"/>
      <x:c r="Q12" s="111"/>
      <x:c r="R12" s="112"/>
      <x:c r="S12" s="113"/>
      <x:c r="T12" s="111"/>
      <x:c r="U12" s="112"/>
      <x:c r="V12" s="113"/>
      <x:c r="W12" s="111"/>
      <x:c r="X12" s="112"/>
      <x:c r="Y12" s="113"/>
      <x:c r="Z12" s="111"/>
      <x:c r="AA12" s="112"/>
      <x:c r="AB12" s="113"/>
      <x:c r="AC12" s="111"/>
      <x:c r="AD12" s="112"/>
      <x:c r="AE12" s="113"/>
      <x:c r="AF12" s="111"/>
      <x:c r="AG12" s="112"/>
      <x:c r="AH12" s="113"/>
      <x:c r="AI12" s="111"/>
      <x:c r="AJ12" s="112"/>
      <x:c r="AK12" s="113"/>
    </x:row>
    <x:row r="13" ht="22" customHeight="1">
      <x:c r="A13" s="38" t="str">
        <x:v>DELIVERY</x:v>
      </x:c>
      <x:c r="B13" s="59" t="str">
        <x:v>DELIVERY</x:v>
      </x:c>
      <x:c r="C13" s="60" t="str">
        <x:v>DELIVERY</x:v>
      </x:c>
      <x:c r="D13" s="61" t="str">
        <x:v>DELIVERY</x:v>
      </x:c>
      <x:c r="E13" s="59" t="str">
        <x:v>DELIVERY</x:v>
      </x:c>
      <x:c r="F13" s="60" t="str">
        <x:v>DELIVERY</x:v>
      </x:c>
      <x:c r="G13" s="61" t="str">
        <x:v>DELIVERY</x:v>
      </x:c>
      <x:c r="H13" s="59" t="str">
        <x:v>DELIVERY</x:v>
      </x:c>
      <x:c r="I13" s="60" t="str">
        <x:v>DELIVERY</x:v>
      </x:c>
      <x:c r="J13" s="61" t="str">
        <x:v>DELIVERY</x:v>
      </x:c>
      <x:c r="K13" s="59" t="str">
        <x:v>DELIVERY</x:v>
      </x:c>
      <x:c r="L13" s="60" t="str">
        <x:v>DELIVERY</x:v>
      </x:c>
      <x:c r="M13" s="61" t="str">
        <x:v>DELIVERY</x:v>
      </x:c>
      <x:c r="N13" s="59" t="str">
        <x:v>DELIVERY</x:v>
      </x:c>
      <x:c r="O13" s="60" t="str">
        <x:v>DELIVERY</x:v>
      </x:c>
      <x:c r="P13" s="61" t="str">
        <x:v>DELIVERY</x:v>
      </x:c>
      <x:c r="Q13" s="59" t="str">
        <x:v>DELIVERY</x:v>
      </x:c>
      <x:c r="R13" s="60" t="str">
        <x:v>DELIVERY</x:v>
      </x:c>
      <x:c r="S13" s="61" t="str">
        <x:v>DELIVERY</x:v>
      </x:c>
      <x:c r="T13" s="59" t="str">
        <x:v>DELIVERY</x:v>
      </x:c>
      <x:c r="U13" s="60" t="str">
        <x:v>DELIVERY</x:v>
      </x:c>
      <x:c r="V13" s="61" t="str">
        <x:v>DELIVERY</x:v>
      </x:c>
      <x:c r="W13" s="59" t="str">
        <x:v>DELIVERY</x:v>
      </x:c>
      <x:c r="X13" s="60" t="str">
        <x:v>DELIVERY</x:v>
      </x:c>
      <x:c r="Y13" s="61" t="str">
        <x:v>DELIVERY</x:v>
      </x:c>
      <x:c r="Z13" s="59" t="str">
        <x:v>DELIVERY</x:v>
      </x:c>
      <x:c r="AA13" s="60" t="str">
        <x:v>DELIVERY</x:v>
      </x:c>
      <x:c r="AB13" s="61" t="str">
        <x:v>DELIVERY</x:v>
      </x:c>
      <x:c r="AC13" s="59" t="str">
        <x:v>DELIVERY</x:v>
      </x:c>
      <x:c r="AD13" s="60" t="str">
        <x:v>DELIVERY</x:v>
      </x:c>
      <x:c r="AE13" s="61" t="str">
        <x:v>DELIVERY</x:v>
      </x:c>
      <x:c r="AF13" s="59" t="str">
        <x:v>DELIVERY</x:v>
      </x:c>
      <x:c r="AG13" s="60" t="str">
        <x:v>DELIVERY</x:v>
      </x:c>
      <x:c r="AH13" s="61" t="str">
        <x:v>DELIVERY</x:v>
      </x:c>
      <x:c r="AI13" s="59" t="str">
        <x:v>DELIVERY</x:v>
      </x:c>
      <x:c r="AJ13" s="60" t="str">
        <x:v>DELIVERY</x:v>
      </x:c>
      <x:c r="AK13" s="61" t="str">
        <x:v>DELIVERY</x:v>
      </x:c>
    </x:row>
    <x:row r="14" ht="22" customHeight="1">
      <x:c r="A14" s="96" t="str">
        <x:v>Delivery timing in months</x:v>
      </x:c>
      <x:c r="B14" s="97"/>
      <x:c r="C14" s="98" t="n">
        <x:v>1</x:v>
      </x:c>
      <x:c r="D14" s="99" t="n">
        <x:v>1</x:v>
      </x:c>
      <x:c r="E14" s="97"/>
      <x:c r="F14" s="98" t="n">
        <x:v>1</x:v>
      </x:c>
      <x:c r="G14" s="99" t="n">
        <x:v>1</x:v>
      </x:c>
      <x:c r="H14" s="97"/>
      <x:c r="I14" s="98" t="n">
        <x:v>1</x:v>
      </x:c>
      <x:c r="J14" s="99" t="n">
        <x:v>1</x:v>
      </x:c>
      <x:c r="K14" s="97"/>
      <x:c r="L14" s="98" t="n">
        <x:v>1</x:v>
      </x:c>
      <x:c r="M14" s="99" t="n">
        <x:v>1</x:v>
      </x:c>
      <x:c r="N14" s="97"/>
      <x:c r="O14" s="98" t="n">
        <x:v>1</x:v>
      </x:c>
      <x:c r="P14" s="99" t="n">
        <x:v>1</x:v>
      </x:c>
      <x:c r="Q14" s="97"/>
      <x:c r="R14" s="98" t="n">
        <x:v>1</x:v>
      </x:c>
      <x:c r="S14" s="99" t="n">
        <x:v>1</x:v>
      </x:c>
      <x:c r="T14" s="97"/>
      <x:c r="U14" s="98" t="n">
        <x:v>1</x:v>
      </x:c>
      <x:c r="V14" s="99" t="n">
        <x:v>1</x:v>
      </x:c>
      <x:c r="W14" s="97"/>
      <x:c r="X14" s="98" t="n">
        <x:v>1</x:v>
      </x:c>
      <x:c r="Y14" s="99" t="n">
        <x:v>1</x:v>
      </x:c>
      <x:c r="Z14" s="97"/>
      <x:c r="AA14" s="98" t="n">
        <x:v>1</x:v>
      </x:c>
      <x:c r="AB14" s="99" t="n">
        <x:v>1</x:v>
      </x:c>
      <x:c r="AC14" s="97"/>
      <x:c r="AD14" s="98" t="n">
        <x:v>1</x:v>
      </x:c>
      <x:c r="AE14" s="99" t="n">
        <x:v>1</x:v>
      </x:c>
      <x:c r="AF14" s="97" t="n">
        <x:v>1</x:v>
      </x:c>
      <x:c r="AG14" s="98" t="n">
        <x:v>1</x:v>
      </x:c>
      <x:c r="AH14" s="99" t="n">
        <x:v>1</x:v>
      </x:c>
      <x:c r="AI14" s="97" t="n">
        <x:v>1</x:v>
      </x:c>
      <x:c r="AJ14" s="98" t="n">
        <x:v>1</x:v>
      </x:c>
      <x:c r="AK14" s="99" t="n">
        <x:v>1</x:v>
      </x:c>
    </x:row>
    <x:row r="15" ht="22" customHeight="1">
      <x:c r="A15" s="96" t="str">
        <x:v>Resources available</x:v>
      </x:c>
      <x:c r="B15" s="97"/>
      <x:c r="C15" s="98" t="n">
        <x:v>3</x:v>
      </x:c>
      <x:c r="D15" s="99" t="n">
        <x:v>3</x:v>
      </x:c>
      <x:c r="E15" s="97"/>
      <x:c r="F15" s="98" t="n">
        <x:v>3</x:v>
      </x:c>
      <x:c r="G15" s="99" t="n">
        <x:v>3</x:v>
      </x:c>
      <x:c r="H15" s="97"/>
      <x:c r="I15" s="98" t="n">
        <x:v>3</x:v>
      </x:c>
      <x:c r="J15" s="99" t="n">
        <x:v>3</x:v>
      </x:c>
      <x:c r="K15" s="97"/>
      <x:c r="L15" s="98" t="n">
        <x:v>3</x:v>
      </x:c>
      <x:c r="M15" s="99" t="n">
        <x:v>3</x:v>
      </x:c>
      <x:c r="N15" s="97"/>
      <x:c r="O15" s="98" t="n">
        <x:v>3</x:v>
      </x:c>
      <x:c r="P15" s="99" t="n">
        <x:v>3</x:v>
      </x:c>
      <x:c r="Q15" s="97"/>
      <x:c r="R15" s="98" t="n">
        <x:v>3</x:v>
      </x:c>
      <x:c r="S15" s="99" t="n">
        <x:v>3</x:v>
      </x:c>
      <x:c r="T15" s="97"/>
      <x:c r="U15" s="98" t="n">
        <x:v>3</x:v>
      </x:c>
      <x:c r="V15" s="99" t="n">
        <x:v>3</x:v>
      </x:c>
      <x:c r="W15" s="97"/>
      <x:c r="X15" s="98" t="n">
        <x:v>3</x:v>
      </x:c>
      <x:c r="Y15" s="99" t="n">
        <x:v>3</x:v>
      </x:c>
      <x:c r="Z15" s="97"/>
      <x:c r="AA15" s="98" t="n">
        <x:v>3</x:v>
      </x:c>
      <x:c r="AB15" s="99" t="n">
        <x:v>3</x:v>
      </x:c>
      <x:c r="AC15" s="97"/>
      <x:c r="AD15" s="98" t="n">
        <x:v>3</x:v>
      </x:c>
      <x:c r="AE15" s="99" t="n">
        <x:v>3</x:v>
      </x:c>
      <x:c r="AF15" s="97" t="n">
        <x:v>3</x:v>
      </x:c>
      <x:c r="AG15" s="98" t="n">
        <x:v>3</x:v>
      </x:c>
      <x:c r="AH15" s="99" t="n">
        <x:v>3</x:v>
      </x:c>
      <x:c r="AI15" s="97" t="n">
        <x:v>3</x:v>
      </x:c>
      <x:c r="AJ15" s="98" t="n">
        <x:v>3</x:v>
      </x:c>
      <x:c r="AK15" s="99" t="n">
        <x:v>3</x:v>
      </x:c>
    </x:row>
    <x:row r="16" ht="22" customHeight="1">
      <x:c r="A16" s="96" t="str">
        <x:v>Completed work per resource</x:v>
      </x:c>
      <x:c r="B16" s="97"/>
      <x:c r="C16" s="98" t="n">
        <x:v>8</x:v>
      </x:c>
      <x:c r="D16" s="99" t="n">
        <x:v>8</x:v>
      </x:c>
      <x:c r="E16" s="97"/>
      <x:c r="F16" s="98" t="n">
        <x:v>8</x:v>
      </x:c>
      <x:c r="G16" s="99" t="n">
        <x:v>8</x:v>
      </x:c>
      <x:c r="H16" s="97"/>
      <x:c r="I16" s="98" t="n">
        <x:v>8</x:v>
      </x:c>
      <x:c r="J16" s="99" t="n">
        <x:v>8</x:v>
      </x:c>
      <x:c r="K16" s="97"/>
      <x:c r="L16" s="98" t="n">
        <x:v>8</x:v>
      </x:c>
      <x:c r="M16" s="99" t="n">
        <x:v>8</x:v>
      </x:c>
      <x:c r="N16" s="97"/>
      <x:c r="O16" s="98" t="n">
        <x:v>8</x:v>
      </x:c>
      <x:c r="P16" s="99" t="n">
        <x:v>8</x:v>
      </x:c>
      <x:c r="Q16" s="97"/>
      <x:c r="R16" s="98" t="n">
        <x:v>8</x:v>
      </x:c>
      <x:c r="S16" s="99" t="n">
        <x:v>8</x:v>
      </x:c>
      <x:c r="T16" s="97"/>
      <x:c r="U16" s="98" t="n">
        <x:v>8</x:v>
      </x:c>
      <x:c r="V16" s="99" t="n">
        <x:v>8</x:v>
      </x:c>
      <x:c r="W16" s="97"/>
      <x:c r="X16" s="98" t="n">
        <x:v>8</x:v>
      </x:c>
      <x:c r="Y16" s="99" t="n">
        <x:v>8</x:v>
      </x:c>
      <x:c r="Z16" s="97"/>
      <x:c r="AA16" s="98" t="n">
        <x:v>8</x:v>
      </x:c>
      <x:c r="AB16" s="99" t="n">
        <x:v>8</x:v>
      </x:c>
      <x:c r="AC16" s="97"/>
      <x:c r="AD16" s="98" t="n">
        <x:v>8</x:v>
      </x:c>
      <x:c r="AE16" s="99" t="n">
        <x:v>8</x:v>
      </x:c>
      <x:c r="AF16" s="97" t="n">
        <x:v>8</x:v>
      </x:c>
      <x:c r="AG16" s="98" t="n">
        <x:v>8</x:v>
      </x:c>
      <x:c r="AH16" s="99" t="n">
        <x:v>8</x:v>
      </x:c>
      <x:c r="AI16" s="97" t="n">
        <x:v>8</x:v>
      </x:c>
      <x:c r="AJ16" s="98" t="n">
        <x:v>8</x:v>
      </x:c>
      <x:c r="AK16" s="99" t="n">
        <x:v>8</x:v>
      </x:c>
    </x:row>
    <x:row r="17" ht="22" customHeight="1">
      <x:c r="A17" s="96" t="str">
        <x:v>Delivery capacity</x:v>
      </x:c>
      <x:c r="B17" s="114" t="str">
        <x:f>IF(COUNT(B15,B16)=2,B15*B16,"")</x:f>
      </x:c>
      <x:c r="C17" s="103" t="n">
        <x:f>IF(B15&lt;&gt;"",B15,C15)*IF(B16&lt;&gt;"",B16,C16)</x:f>
        <x:v>24</x:v>
      </x:c>
      <x:c r="D17" s="104" t="n">
        <x:f>D15*D16</x:f>
        <x:v>24</x:v>
      </x:c>
      <x:c r="E17" s="114" t="str">
        <x:f>IF(COUNT(E15,E16)=2,E15*E16,"")</x:f>
      </x:c>
      <x:c r="F17" s="103" t="n">
        <x:f>IF(E15&lt;&gt;"",E15,F15)*IF(E16&lt;&gt;"",E16,F16)</x:f>
        <x:v>24</x:v>
      </x:c>
      <x:c r="G17" s="104" t="n">
        <x:f>G15*G16</x:f>
        <x:v>24</x:v>
      </x:c>
      <x:c r="H17" s="114" t="str">
        <x:f>IF(COUNT(H15,H16)=2,H15*H16,"")</x:f>
      </x:c>
      <x:c r="I17" s="103" t="n">
        <x:f>IF(H15&lt;&gt;"",H15,I15)*IF(H16&lt;&gt;"",H16,I16)</x:f>
        <x:v>24</x:v>
      </x:c>
      <x:c r="J17" s="104" t="n">
        <x:f>J15*J16</x:f>
        <x:v>24</x:v>
      </x:c>
      <x:c r="K17" s="114" t="str">
        <x:f>IF(COUNT(K15,K16)=2,K15*K16,"")</x:f>
      </x:c>
      <x:c r="L17" s="103" t="n">
        <x:f>IF(K15&lt;&gt;"",K15,L15)*IF(K16&lt;&gt;"",K16,L16)</x:f>
        <x:v>24</x:v>
      </x:c>
      <x:c r="M17" s="104" t="n">
        <x:f>M15*M16</x:f>
        <x:v>24</x:v>
      </x:c>
      <x:c r="N17" s="114" t="str">
        <x:f>IF(COUNT(N15,N16)=2,N15*N16,"")</x:f>
      </x:c>
      <x:c r="O17" s="103" t="n">
        <x:f>IF(N15&lt;&gt;"",N15,O15)*IF(N16&lt;&gt;"",N16,O16)</x:f>
        <x:v>24</x:v>
      </x:c>
      <x:c r="P17" s="104" t="n">
        <x:f>P15*P16</x:f>
        <x:v>24</x:v>
      </x:c>
      <x:c r="Q17" s="114" t="str">
        <x:f>IF(COUNT(Q15,Q16)=2,Q15*Q16,"")</x:f>
      </x:c>
      <x:c r="R17" s="103" t="n">
        <x:f>IF(Q15&lt;&gt;"",Q15,R15)*IF(Q16&lt;&gt;"",Q16,R16)</x:f>
        <x:v>24</x:v>
      </x:c>
      <x:c r="S17" s="104" t="n">
        <x:f>S15*S16</x:f>
        <x:v>24</x:v>
      </x:c>
      <x:c r="T17" s="114" t="str">
        <x:f>IF(COUNT(T15,T16)=2,T15*T16,"")</x:f>
      </x:c>
      <x:c r="U17" s="103" t="n">
        <x:f>IF(T15&lt;&gt;"",T15,U15)*IF(T16&lt;&gt;"",T16,U16)</x:f>
        <x:v>24</x:v>
      </x:c>
      <x:c r="V17" s="104" t="n">
        <x:f>V15*V16</x:f>
        <x:v>24</x:v>
      </x:c>
      <x:c r="W17" s="114" t="str">
        <x:f>IF(COUNT(W15,W16)=2,W15*W16,"")</x:f>
      </x:c>
      <x:c r="X17" s="103" t="n">
        <x:f>IF(W15&lt;&gt;"",W15,X15)*IF(W16&lt;&gt;"",W16,X16)</x:f>
        <x:v>24</x:v>
      </x:c>
      <x:c r="Y17" s="104" t="n">
        <x:f>Y15*Y16</x:f>
        <x:v>24</x:v>
      </x:c>
      <x:c r="Z17" s="114" t="str">
        <x:f>IF(COUNT(Z15,Z16)=2,Z15*Z16,"")</x:f>
      </x:c>
      <x:c r="AA17" s="103" t="n">
        <x:f>IF(Z15&lt;&gt;"",Z15,AA15)*IF(Z16&lt;&gt;"",Z16,AA16)</x:f>
        <x:v>24</x:v>
      </x:c>
      <x:c r="AB17" s="104" t="n">
        <x:f>AB15*AB16</x:f>
        <x:v>24</x:v>
      </x:c>
      <x:c r="AC17" s="114" t="str">
        <x:f>IF(COUNT(AC15,AC16)=2,AC15*AC16,"")</x:f>
      </x:c>
      <x:c r="AD17" s="103" t="n">
        <x:f>IF(AC15&lt;&gt;"",AC15,AD15)*IF(AC16&lt;&gt;"",AC16,AD16)</x:f>
        <x:v>24</x:v>
      </x:c>
      <x:c r="AE17" s="104" t="n">
        <x:f>AE15*AE16</x:f>
        <x:v>24</x:v>
      </x:c>
      <x:c r="AF17" s="114" t="n">
        <x:f>IF(COUNT(AF15,AF16)=2,AF15*AF16,"")</x:f>
        <x:v>24</x:v>
      </x:c>
      <x:c r="AG17" s="103" t="n">
        <x:f>IF(AF15&lt;&gt;"",AF15,AG15)*IF(AF16&lt;&gt;"",AF16,AG16)</x:f>
        <x:v>24</x:v>
      </x:c>
      <x:c r="AH17" s="104" t="n">
        <x:f>AH15*AH16</x:f>
        <x:v>24</x:v>
      </x:c>
      <x:c r="AI17" s="114" t="n">
        <x:f>IF(COUNT(AI15,AI16)=2,AI15*AI16,"")</x:f>
        <x:v>24</x:v>
      </x:c>
      <x:c r="AJ17" s="103" t="n">
        <x:f>IF(AI15&lt;&gt;"",AI15,AJ15)*IF(AI16&lt;&gt;"",AI16,AJ16)</x:f>
        <x:v>24</x:v>
      </x:c>
      <x:c r="AK17" s="104" t="n">
        <x:f>AK15*AK16</x:f>
        <x:v>24</x:v>
      </x:c>
    </x:row>
    <x:row r="18" ht="22" customHeight="1">
      <x:c r="A18" s="96" t="str">
        <x:v>Opening delivery backlog</x:v>
      </x:c>
      <x:c r="B18" s="114" t="str">
        <x:f>IF(E21&lt;&gt;"",E21,"")</x:f>
      </x:c>
      <x:c r="C18" s="103" t="n">
        <x:f>IF(E21&lt;&gt;"",E21,F21)</x:f>
        <x:v>0</x:v>
      </x:c>
      <x:c r="D18" s="104" t="n">
        <x:f>G21</x:f>
        <x:v>0</x:v>
      </x:c>
      <x:c r="E18" s="114" t="str">
        <x:f>IF(H21&lt;&gt;"",H21,"")</x:f>
      </x:c>
      <x:c r="F18" s="103" t="n">
        <x:f>IF(H21&lt;&gt;"",H21,I21)</x:f>
        <x:v>0</x:v>
      </x:c>
      <x:c r="G18" s="104" t="n">
        <x:f>J21</x:f>
        <x:v>0</x:v>
      </x:c>
      <x:c r="H18" s="114" t="str">
        <x:f>IF(K21&lt;&gt;"",K21,"")</x:f>
      </x:c>
      <x:c r="I18" s="103" t="n">
        <x:f>IF(K21&lt;&gt;"",K21,L21)</x:f>
        <x:v>0</x:v>
      </x:c>
      <x:c r="J18" s="104" t="n">
        <x:f>M21</x:f>
        <x:v>0</x:v>
      </x:c>
      <x:c r="K18" s="114" t="str">
        <x:f>IF(N21&lt;&gt;"",N21,"")</x:f>
      </x:c>
      <x:c r="L18" s="103" t="n">
        <x:f>IF(N21&lt;&gt;"",N21,O21)</x:f>
        <x:v>0</x:v>
      </x:c>
      <x:c r="M18" s="104" t="n">
        <x:f>P21</x:f>
        <x:v>0</x:v>
      </x:c>
      <x:c r="N18" s="114" t="str">
        <x:f>IF(Q21&lt;&gt;"",Q21,"")</x:f>
      </x:c>
      <x:c r="O18" s="103" t="n">
        <x:f>IF(Q21&lt;&gt;"",Q21,R21)</x:f>
        <x:v>0</x:v>
      </x:c>
      <x:c r="P18" s="104" t="n">
        <x:f>S21</x:f>
        <x:v>0</x:v>
      </x:c>
      <x:c r="Q18" s="114" t="str">
        <x:f>IF(T21&lt;&gt;"",T21,"")</x:f>
      </x:c>
      <x:c r="R18" s="103" t="n">
        <x:f>IF(T21&lt;&gt;"",T21,U21)</x:f>
        <x:v>0</x:v>
      </x:c>
      <x:c r="S18" s="104" t="n">
        <x:f>V21</x:f>
        <x:v>0</x:v>
      </x:c>
      <x:c r="T18" s="114" t="str">
        <x:f>IF(W21&lt;&gt;"",W21,"")</x:f>
      </x:c>
      <x:c r="U18" s="103" t="n">
        <x:f>IF(W21&lt;&gt;"",W21,X21)</x:f>
        <x:v>0</x:v>
      </x:c>
      <x:c r="V18" s="104" t="n">
        <x:f>Y21</x:f>
        <x:v>0</x:v>
      </x:c>
      <x:c r="W18" s="114" t="str">
        <x:f>IF(Z21&lt;&gt;"",Z21,"")</x:f>
      </x:c>
      <x:c r="X18" s="103" t="n">
        <x:f>IF(Z21&lt;&gt;"",Z21,AA21)</x:f>
        <x:v>0</x:v>
      </x:c>
      <x:c r="Y18" s="104" t="n">
        <x:f>AB21</x:f>
        <x:v>0</x:v>
      </x:c>
      <x:c r="Z18" s="114" t="str">
        <x:f>IF(AC21&lt;&gt;"",AC21,"")</x:f>
      </x:c>
      <x:c r="AA18" s="103" t="n">
        <x:f>IF(AC21&lt;&gt;"",AC21,AD21)</x:f>
        <x:v>0</x:v>
      </x:c>
      <x:c r="AB18" s="104" t="n">
        <x:f>AE21</x:f>
        <x:v>0</x:v>
      </x:c>
      <x:c r="AC18" s="114" t="str">
        <x:f>IF(AF21&lt;&gt;"",AF21,"")</x:f>
      </x:c>
      <x:c r="AD18" s="103" t="n">
        <x:f>IF(AF21&lt;&gt;"",AF21,AG21)</x:f>
        <x:v>0</x:v>
      </x:c>
      <x:c r="AE18" s="104" t="n">
        <x:f>AH21</x:f>
        <x:v>0</x:v>
      </x:c>
      <x:c r="AF18" s="114" t="n">
        <x:f>IF(AI21&lt;&gt;"",AI21,"")</x:f>
        <x:v>3</x:v>
      </x:c>
      <x:c r="AG18" s="103" t="n">
        <x:f>IF(AI21&lt;&gt;"",AI21,AJ21)</x:f>
        <x:v>3</x:v>
      </x:c>
      <x:c r="AH18" s="104" t="n">
        <x:f>AK21</x:f>
        <x:v>0</x:v>
      </x:c>
      <x:c r="AI18" s="114" t="n">
        <x:f>$B$44</x:f>
        <x:v>5</x:v>
      </x:c>
      <x:c r="AJ18" s="103" t="n">
        <x:f>$B$44</x:f>
        <x:v>5</x:v>
      </x:c>
      <x:c r="AK18" s="104" t="n">
        <x:f>$B$44</x:f>
        <x:v>5</x:v>
      </x:c>
    </x:row>
    <x:row r="19" ht="22" customHeight="1">
      <x:c r="A19" s="96" t="str">
        <x:v>Contracts ready for delivery</x:v>
      </x:c>
      <x:c r="B19" s="114" t="str">
        <x:f>IF(B14&gt;=12,$B$42,IFERROR(INDEX($B$9:$AK$9,1,MIN(36,MAX(1,1+3*B$14+0))),""))</x:f>
      </x:c>
      <x:c r="C19" s="103" t="n">
        <x:f>IF(C$14&gt;=12,$B$42,IF(INDEX($B$9:$AK$9,1,MIN(36,MAX(1,1+3*C$14+0)))&lt;&gt;"",INDEX($B$9:$AK$9,1,MIN(36,MAX(1,1+3*C$14+0))),INDEX($B$9:$AK$9,1,MIN(36,MAX(1,1+3*C$14+1)))))</x:f>
        <x:v>12</x:v>
      </x:c>
      <x:c r="D19" s="104" t="n">
        <x:f>IF(D$14&gt;=12,$B$42,INDEX($B$9:$AK$9,1,MIN(36,MAX(1,1+3*D$14+2))))</x:f>
        <x:v>12</x:v>
      </x:c>
      <x:c r="E19" s="114" t="str">
        <x:f>IF(E14&gt;=11,$B$42,IFERROR(INDEX($B$9:$AK$9,1,MIN(36,MAX(1,4+3*E$14+0))),""))</x:f>
      </x:c>
      <x:c r="F19" s="103" t="n">
        <x:f>IF(F$14&gt;=11,$B$42,IF(INDEX($B$9:$AK$9,1,MIN(36,MAX(1,4+3*F$14+0)))&lt;&gt;"",INDEX($B$9:$AK$9,1,MIN(36,MAX(1,4+3*F$14+0))),INDEX($B$9:$AK$9,1,MIN(36,MAX(1,4+3*F$14+1)))))</x:f>
        <x:v>12</x:v>
      </x:c>
      <x:c r="G19" s="104" t="n">
        <x:f>IF(G$14&gt;=11,$B$42,INDEX($B$9:$AK$9,1,MIN(36,MAX(1,4+3*G$14+2))))</x:f>
        <x:v>12</x:v>
      </x:c>
      <x:c r="H19" s="114" t="str">
        <x:f>IF(H14&gt;=10,$B$42,IFERROR(INDEX($B$9:$AK$9,1,MIN(36,MAX(1,7+3*H$14+0))),""))</x:f>
      </x:c>
      <x:c r="I19" s="103" t="n">
        <x:f>IF(I$14&gt;=10,$B$42,IF(INDEX($B$9:$AK$9,1,MIN(36,MAX(1,7+3*I$14+0)))&lt;&gt;"",INDEX($B$9:$AK$9,1,MIN(36,MAX(1,7+3*I$14+0))),INDEX($B$9:$AK$9,1,MIN(36,MAX(1,7+3*I$14+1)))))</x:f>
        <x:v>12</x:v>
      </x:c>
      <x:c r="J19" s="104" t="n">
        <x:f>IF(J$14&gt;=10,$B$42,INDEX($B$9:$AK$9,1,MIN(36,MAX(1,7+3*J$14+2))))</x:f>
        <x:v>12</x:v>
      </x:c>
      <x:c r="K19" s="114" t="str">
        <x:f>IF(K14&gt;=9,$B$42,IFERROR(INDEX($B$9:$AK$9,1,MIN(36,MAX(1,10+3*K$14+0))),""))</x:f>
      </x:c>
      <x:c r="L19" s="103" t="n">
        <x:f>IF(L$14&gt;=9,$B$42,IF(INDEX($B$9:$AK$9,1,MIN(36,MAX(1,10+3*L$14+0)))&lt;&gt;"",INDEX($B$9:$AK$9,1,MIN(36,MAX(1,10+3*L$14+0))),INDEX($B$9:$AK$9,1,MIN(36,MAX(1,10+3*L$14+1)))))</x:f>
        <x:v>12</x:v>
      </x:c>
      <x:c r="M19" s="104" t="n">
        <x:f>IF(M$14&gt;=9,$B$42,INDEX($B$9:$AK$9,1,MIN(36,MAX(1,10+3*M$14+2))))</x:f>
        <x:v>12</x:v>
      </x:c>
      <x:c r="N19" s="114" t="str">
        <x:f>IF(N14&gt;=8,$B$42,IFERROR(INDEX($B$9:$AK$9,1,MIN(36,MAX(1,13+3*N$14+0))),""))</x:f>
      </x:c>
      <x:c r="O19" s="103" t="n">
        <x:f>IF(O$14&gt;=8,$B$42,IF(INDEX($B$9:$AK$9,1,MIN(36,MAX(1,13+3*O$14+0)))&lt;&gt;"",INDEX($B$9:$AK$9,1,MIN(36,MAX(1,13+3*O$14+0))),INDEX($B$9:$AK$9,1,MIN(36,MAX(1,13+3*O$14+1)))))</x:f>
        <x:v>11</x:v>
      </x:c>
      <x:c r="P19" s="104" t="n">
        <x:f>IF(P$14&gt;=8,$B$42,INDEX($B$9:$AK$9,1,MIN(36,MAX(1,13+3*P$14+2))))</x:f>
        <x:v>11</x:v>
      </x:c>
      <x:c r="Q19" s="114" t="str">
        <x:f>IF(Q14&gt;=7,$B$42,IFERROR(INDEX($B$9:$AK$9,1,MIN(36,MAX(1,16+3*Q$14+0))),""))</x:f>
      </x:c>
      <x:c r="R19" s="103" t="n">
        <x:f>IF(R$14&gt;=7,$B$42,IF(INDEX($B$9:$AK$9,1,MIN(36,MAX(1,16+3*R$14+0)))&lt;&gt;"",INDEX($B$9:$AK$9,1,MIN(36,MAX(1,16+3*R$14+0))),INDEX($B$9:$AK$9,1,MIN(36,MAX(1,16+3*R$14+1)))))</x:f>
        <x:v>11</x:v>
      </x:c>
      <x:c r="S19" s="104" t="n">
        <x:f>IF(S$14&gt;=7,$B$42,INDEX($B$9:$AK$9,1,MIN(36,MAX(1,16+3*S$14+2))))</x:f>
        <x:v>11</x:v>
      </x:c>
      <x:c r="T19" s="114" t="str">
        <x:f>IF(T14&gt;=6,$B$42,IFERROR(INDEX($B$9:$AK$9,1,MIN(36,MAX(1,19+3*T$14+0))),""))</x:f>
      </x:c>
      <x:c r="U19" s="103" t="n">
        <x:f>IF(U$14&gt;=6,$B$42,IF(INDEX($B$9:$AK$9,1,MIN(36,MAX(1,19+3*U$14+0)))&lt;&gt;"",INDEX($B$9:$AK$9,1,MIN(36,MAX(1,19+3*U$14+0))),INDEX($B$9:$AK$9,1,MIN(36,MAX(1,19+3*U$14+1)))))</x:f>
        <x:v>11</x:v>
      </x:c>
      <x:c r="V19" s="104" t="n">
        <x:f>IF(V$14&gt;=6,$B$42,INDEX($B$9:$AK$9,1,MIN(36,MAX(1,19+3*V$14+2))))</x:f>
        <x:v>11</x:v>
      </x:c>
      <x:c r="W19" s="114" t="str">
        <x:f>IF(W14&gt;=5,$B$42,IFERROR(INDEX($B$9:$AK$9,1,MIN(36,MAX(1,22+3*W$14+0))),""))</x:f>
      </x:c>
      <x:c r="X19" s="103" t="n">
        <x:f>IF(X$14&gt;=5,$B$42,IF(INDEX($B$9:$AK$9,1,MIN(36,MAX(1,22+3*X$14+0)))&lt;&gt;"",INDEX($B$9:$AK$9,1,MIN(36,MAX(1,22+3*X$14+0))),INDEX($B$9:$AK$9,1,MIN(36,MAX(1,22+3*X$14+1)))))</x:f>
        <x:v>11</x:v>
      </x:c>
      <x:c r="Y19" s="104" t="n">
        <x:f>IF(Y$14&gt;=5,$B$42,INDEX($B$9:$AK$9,1,MIN(36,MAX(1,22+3*Y$14+2))))</x:f>
        <x:v>11</x:v>
      </x:c>
      <x:c r="Z19" s="114" t="str">
        <x:f>IF(Z14&gt;=4,$B$42,IFERROR(INDEX($B$9:$AK$9,1,MIN(36,MAX(1,25+3*Z$14+0))),""))</x:f>
      </x:c>
      <x:c r="AA19" s="103" t="n">
        <x:f>IF(AA$14&gt;=4,$B$42,IF(INDEX($B$9:$AK$9,1,MIN(36,MAX(1,25+3*AA$14+0)))&lt;&gt;"",INDEX($B$9:$AK$9,1,MIN(36,MAX(1,25+3*AA$14+0))),INDEX($B$9:$AK$9,1,MIN(36,MAX(1,25+3*AA$14+1)))))</x:f>
        <x:v>10</x:v>
      </x:c>
      <x:c r="AB19" s="104" t="n">
        <x:f>IF(AB$14&gt;=4,$B$42,INDEX($B$9:$AK$9,1,MIN(36,MAX(1,25+3*AB$14+2))))</x:f>
        <x:v>10</x:v>
      </x:c>
      <x:c r="AC19" s="114" t="str">
        <x:f>IF(AC14&gt;=3,$B$42,IFERROR(INDEX($B$9:$AK$9,1,MIN(36,MAX(1,28+3*AC$14+0))),""))</x:f>
      </x:c>
      <x:c r="AD19" s="103" t="n">
        <x:f>IF(AD$14&gt;=3,$B$42,IF(INDEX($B$9:$AK$9,1,MIN(36,MAX(1,28+3*AD$14+0)))&lt;&gt;"",INDEX($B$9:$AK$9,1,MIN(36,MAX(1,28+3*AD$14+0))),INDEX($B$9:$AK$9,1,MIN(36,MAX(1,28+3*AD$14+1)))))</x:f>
        <x:v>8</x:v>
      </x:c>
      <x:c r="AE19" s="104" t="n">
        <x:f>IF(AE$14&gt;=3,$B$42,INDEX($B$9:$AK$9,1,MIN(36,MAX(1,28+3*AE$14+2))))</x:f>
        <x:v>10</x:v>
      </x:c>
      <x:c r="AF19" s="114" t="n">
        <x:f>IF(AF14&gt;=2,$B$42,IFERROR(INDEX($B$9:$AK$9,1,MIN(36,MAX(1,31+3*AF$14+0))),""))</x:f>
        <x:v>7</x:v>
      </x:c>
      <x:c r="AG19" s="103" t="n">
        <x:f>IF(AG$14&gt;=2,$B$42,IF(INDEX($B$9:$AK$9,1,MIN(36,MAX(1,31+3*AG$14+0)))&lt;&gt;"",INDEX($B$9:$AK$9,1,MIN(36,MAX(1,31+3*AG$14+0))),INDEX($B$9:$AK$9,1,MIN(36,MAX(1,31+3*AG$14+1)))))</x:f>
        <x:v>7</x:v>
      </x:c>
      <x:c r="AH19" s="104" t="n">
        <x:f>IF(AH$14&gt;=2,$B$42,INDEX($B$9:$AK$9,1,MIN(36,MAX(1,31+3*AH$14+2))))</x:f>
        <x:v>10</x:v>
      </x:c>
      <x:c r="AI19" s="114" t="n">
        <x:f>IF(AI14&gt;=1,$B$42,IFERROR(INDEX($B$9:$AK$9,1,MIN(36,MAX(1,34+3*AI$14+0))),""))</x:f>
        <x:v>10</x:v>
      </x:c>
      <x:c r="AJ19" s="103" t="n">
        <x:f>IF(AJ$14&gt;=1,$B$42,IF(INDEX($B$9:$AK$9,1,MIN(36,MAX(1,34+3*AJ$14+0)))&lt;&gt;"",INDEX($B$9:$AK$9,1,MIN(36,MAX(1,34+3*AJ$14+0))),INDEX($B$9:$AK$9,1,MIN(36,MAX(1,34+3*AJ$14+1)))))</x:f>
        <x:v>10</x:v>
      </x:c>
      <x:c r="AK19" s="104" t="n">
        <x:f>IF(AK$14&gt;=1,$B$42,INDEX($B$9:$AK$9,1,MIN(36,MAX(1,34+3*AK$14+2))))</x:f>
        <x:v>10</x:v>
      </x:c>
    </x:row>
    <x:row r="20" ht="22" customHeight="1">
      <x:c r="A20" s="96" t="str">
        <x:v>Completed work</x:v>
      </x:c>
      <x:c r="B20" s="97"/>
      <x:c r="C20" s="103" t="n">
        <x:f>IF(B20&lt;&gt;"",B20,MIN(C18+C19,C17))</x:f>
        <x:v>12</x:v>
      </x:c>
      <x:c r="D20" s="104" t="n">
        <x:f>MIN(D18+D19,D17)</x:f>
        <x:v>12</x:v>
      </x:c>
      <x:c r="E20" s="97"/>
      <x:c r="F20" s="103" t="n">
        <x:f>IF(E20&lt;&gt;"",E20,MIN(F18+F19,F17))</x:f>
        <x:v>12</x:v>
      </x:c>
      <x:c r="G20" s="104" t="n">
        <x:f>MIN(G18+G19,G17)</x:f>
        <x:v>12</x:v>
      </x:c>
      <x:c r="H20" s="97"/>
      <x:c r="I20" s="103" t="n">
        <x:f>IF(H20&lt;&gt;"",H20,MIN(I18+I19,I17))</x:f>
        <x:v>12</x:v>
      </x:c>
      <x:c r="J20" s="104" t="n">
        <x:f>MIN(J18+J19,J17)</x:f>
        <x:v>12</x:v>
      </x:c>
      <x:c r="K20" s="97"/>
      <x:c r="L20" s="103" t="n">
        <x:f>IF(K20&lt;&gt;"",K20,MIN(L18+L19,L17))</x:f>
        <x:v>12</x:v>
      </x:c>
      <x:c r="M20" s="104" t="n">
        <x:f>MIN(M18+M19,M17)</x:f>
        <x:v>12</x:v>
      </x:c>
      <x:c r="N20" s="97"/>
      <x:c r="O20" s="103" t="n">
        <x:f>IF(N20&lt;&gt;"",N20,MIN(O18+O19,O17))</x:f>
        <x:v>11</x:v>
      </x:c>
      <x:c r="P20" s="104" t="n">
        <x:f>MIN(P18+P19,P17)</x:f>
        <x:v>11</x:v>
      </x:c>
      <x:c r="Q20" s="97"/>
      <x:c r="R20" s="103" t="n">
        <x:f>IF(Q20&lt;&gt;"",Q20,MIN(R18+R19,R17))</x:f>
        <x:v>11</x:v>
      </x:c>
      <x:c r="S20" s="104" t="n">
        <x:f>MIN(S18+S19,S17)</x:f>
        <x:v>11</x:v>
      </x:c>
      <x:c r="T20" s="97"/>
      <x:c r="U20" s="103" t="n">
        <x:f>IF(T20&lt;&gt;"",T20,MIN(U18+U19,U17))</x:f>
        <x:v>11</x:v>
      </x:c>
      <x:c r="V20" s="104" t="n">
        <x:f>MIN(V18+V19,V17)</x:f>
        <x:v>11</x:v>
      </x:c>
      <x:c r="W20" s="97"/>
      <x:c r="X20" s="103" t="n">
        <x:f>IF(W20&lt;&gt;"",W20,MIN(X18+X19,X17))</x:f>
        <x:v>11</x:v>
      </x:c>
      <x:c r="Y20" s="104" t="n">
        <x:f>MIN(Y18+Y19,Y17)</x:f>
        <x:v>11</x:v>
      </x:c>
      <x:c r="Z20" s="97"/>
      <x:c r="AA20" s="103" t="n">
        <x:f>IF(Z20&lt;&gt;"",Z20,MIN(AA18+AA19,AA17))</x:f>
        <x:v>10</x:v>
      </x:c>
      <x:c r="AB20" s="104" t="n">
        <x:f>MIN(AB18+AB19,AB17)</x:f>
        <x:v>10</x:v>
      </x:c>
      <x:c r="AC20" s="97"/>
      <x:c r="AD20" s="103" t="n">
        <x:f>IF(AC20&lt;&gt;"",AC20,MIN(AD18+AD19,AD17))</x:f>
        <x:v>8</x:v>
      </x:c>
      <x:c r="AE20" s="104" t="n">
        <x:f>MIN(AE18+AE19,AE17)</x:f>
        <x:v>10</x:v>
      </x:c>
      <x:c r="AF20" s="97" t="n">
        <x:v>10</x:v>
      </x:c>
      <x:c r="AG20" s="103" t="n">
        <x:f>IF(AF20&lt;&gt;"",AF20,MIN(AG18+AG19,AG17))</x:f>
        <x:v>10</x:v>
      </x:c>
      <x:c r="AH20" s="104" t="n">
        <x:f>MIN(AH18+AH19,AH17)</x:f>
        <x:v>10</x:v>
      </x:c>
      <x:c r="AI20" s="97" t="n">
        <x:v>12</x:v>
      </x:c>
      <x:c r="AJ20" s="103" t="n">
        <x:f>IF(AI20&lt;&gt;"",AI20,MIN(AJ18+AJ19,AJ17))</x:f>
        <x:v>12</x:v>
      </x:c>
      <x:c r="AK20" s="104" t="n">
        <x:f>MIN(AK18+AK19,AK17)</x:f>
        <x:v>15</x:v>
      </x:c>
    </x:row>
    <x:row r="21" ht="22" customHeight="1">
      <x:c r="A21" s="96" t="str">
        <x:v>Closing delivery backlog</x:v>
      </x:c>
      <x:c r="B21" s="114" t="str">
        <x:f>IF(COUNT(B18,B19,B20)=3,MAX(0,B18+B19-B20),"")</x:f>
      </x:c>
      <x:c r="C21" s="103" t="n">
        <x:f>MAX(0,C18+C19-C20)</x:f>
        <x:v>0</x:v>
      </x:c>
      <x:c r="D21" s="104" t="n">
        <x:f>MAX(0,D18+D19-D20)</x:f>
        <x:v>0</x:v>
      </x:c>
      <x:c r="E21" s="114" t="str">
        <x:f>IF(COUNT(E18,E19,E20)=3,MAX(0,E18+E19-E20),"")</x:f>
      </x:c>
      <x:c r="F21" s="103" t="n">
        <x:f>MAX(0,F18+F19-F20)</x:f>
        <x:v>0</x:v>
      </x:c>
      <x:c r="G21" s="104" t="n">
        <x:f>MAX(0,G18+G19-G20)</x:f>
        <x:v>0</x:v>
      </x:c>
      <x:c r="H21" s="114" t="str">
        <x:f>IF(COUNT(H18,H19,H20)=3,MAX(0,H18+H19-H20),"")</x:f>
      </x:c>
      <x:c r="I21" s="103" t="n">
        <x:f>MAX(0,I18+I19-I20)</x:f>
        <x:v>0</x:v>
      </x:c>
      <x:c r="J21" s="104" t="n">
        <x:f>MAX(0,J18+J19-J20)</x:f>
        <x:v>0</x:v>
      </x:c>
      <x:c r="K21" s="114" t="str">
        <x:f>IF(COUNT(K18,K19,K20)=3,MAX(0,K18+K19-K20),"")</x:f>
      </x:c>
      <x:c r="L21" s="103" t="n">
        <x:f>MAX(0,L18+L19-L20)</x:f>
        <x:v>0</x:v>
      </x:c>
      <x:c r="M21" s="104" t="n">
        <x:f>MAX(0,M18+M19-M20)</x:f>
        <x:v>0</x:v>
      </x:c>
      <x:c r="N21" s="114" t="str">
        <x:f>IF(COUNT(N18,N19,N20)=3,MAX(0,N18+N19-N20),"")</x:f>
      </x:c>
      <x:c r="O21" s="103" t="n">
        <x:f>MAX(0,O18+O19-O20)</x:f>
        <x:v>0</x:v>
      </x:c>
      <x:c r="P21" s="104" t="n">
        <x:f>MAX(0,P18+P19-P20)</x:f>
        <x:v>0</x:v>
      </x:c>
      <x:c r="Q21" s="114" t="str">
        <x:f>IF(COUNT(Q18,Q19,Q20)=3,MAX(0,Q18+Q19-Q20),"")</x:f>
      </x:c>
      <x:c r="R21" s="103" t="n">
        <x:f>MAX(0,R18+R19-R20)</x:f>
        <x:v>0</x:v>
      </x:c>
      <x:c r="S21" s="104" t="n">
        <x:f>MAX(0,S18+S19-S20)</x:f>
        <x:v>0</x:v>
      </x:c>
      <x:c r="T21" s="114" t="str">
        <x:f>IF(COUNT(T18,T19,T20)=3,MAX(0,T18+T19-T20),"")</x:f>
      </x:c>
      <x:c r="U21" s="103" t="n">
        <x:f>MAX(0,U18+U19-U20)</x:f>
        <x:v>0</x:v>
      </x:c>
      <x:c r="V21" s="104" t="n">
        <x:f>MAX(0,V18+V19-V20)</x:f>
        <x:v>0</x:v>
      </x:c>
      <x:c r="W21" s="114" t="str">
        <x:f>IF(COUNT(W18,W19,W20)=3,MAX(0,W18+W19-W20),"")</x:f>
      </x:c>
      <x:c r="X21" s="103" t="n">
        <x:f>MAX(0,X18+X19-X20)</x:f>
        <x:v>0</x:v>
      </x:c>
      <x:c r="Y21" s="104" t="n">
        <x:f>MAX(0,Y18+Y19-Y20)</x:f>
        <x:v>0</x:v>
      </x:c>
      <x:c r="Z21" s="114" t="str">
        <x:f>IF(COUNT(Z18,Z19,Z20)=3,MAX(0,Z18+Z19-Z20),"")</x:f>
      </x:c>
      <x:c r="AA21" s="103" t="n">
        <x:f>MAX(0,AA18+AA19-AA20)</x:f>
        <x:v>0</x:v>
      </x:c>
      <x:c r="AB21" s="104" t="n">
        <x:f>MAX(0,AB18+AB19-AB20)</x:f>
        <x:v>0</x:v>
      </x:c>
      <x:c r="AC21" s="114" t="str">
        <x:f>IF(COUNT(AC18,AC19,AC20)=3,MAX(0,AC18+AC19-AC20),"")</x:f>
      </x:c>
      <x:c r="AD21" s="103" t="n">
        <x:f>MAX(0,AD18+AD19-AD20)</x:f>
        <x:v>0</x:v>
      </x:c>
      <x:c r="AE21" s="104" t="n">
        <x:f>MAX(0,AE18+AE19-AE20)</x:f>
        <x:v>0</x:v>
      </x:c>
      <x:c r="AF21" s="114" t="n">
        <x:f>IF(COUNT(AF18,AF19,AF20)=3,MAX(0,AF18+AF19-AF20),"")</x:f>
        <x:v>0</x:v>
      </x:c>
      <x:c r="AG21" s="103" t="n">
        <x:f>MAX(0,AG18+AG19-AG20)</x:f>
        <x:v>0</x:v>
      </x:c>
      <x:c r="AH21" s="104" t="n">
        <x:f>MAX(0,AH18+AH19-AH20)</x:f>
        <x:v>0</x:v>
      </x:c>
      <x:c r="AI21" s="114" t="n">
        <x:f>IF(COUNT(AI18,AI19,AI20)=3,MAX(0,AI18+AI19-AI20),"")</x:f>
        <x:v>3</x:v>
      </x:c>
      <x:c r="AJ21" s="103" t="n">
        <x:f>MAX(0,AJ18+AJ19-AJ20)</x:f>
        <x:v>3</x:v>
      </x:c>
      <x:c r="AK21" s="104" t="n">
        <x:f>MAX(0,AK18+AK19-AK20)</x:f>
        <x:v>0</x:v>
      </x:c>
    </x:row>
    <x:row r="22" ht="22" customHeight="1">
      <x:c r="A22" s="96"/>
      <x:c r="B22" s="114"/>
      <x:c r="C22" s="103"/>
      <x:c r="D22" s="104"/>
      <x:c r="E22" s="114"/>
      <x:c r="F22" s="103"/>
      <x:c r="G22" s="104"/>
      <x:c r="H22" s="114"/>
      <x:c r="I22" s="103"/>
      <x:c r="J22" s="104"/>
      <x:c r="K22" s="114"/>
      <x:c r="L22" s="103"/>
      <x:c r="M22" s="104"/>
      <x:c r="N22" s="114"/>
      <x:c r="O22" s="103"/>
      <x:c r="P22" s="104"/>
      <x:c r="Q22" s="114"/>
      <x:c r="R22" s="103"/>
      <x:c r="S22" s="104"/>
      <x:c r="T22" s="114"/>
      <x:c r="U22" s="103"/>
      <x:c r="V22" s="104"/>
      <x:c r="W22" s="114"/>
      <x:c r="X22" s="103"/>
      <x:c r="Y22" s="104"/>
      <x:c r="Z22" s="114"/>
      <x:c r="AA22" s="103"/>
      <x:c r="AB22" s="104"/>
      <x:c r="AC22" s="114"/>
      <x:c r="AD22" s="103"/>
      <x:c r="AE22" s="104"/>
      <x:c r="AF22" s="114"/>
      <x:c r="AG22" s="103"/>
      <x:c r="AH22" s="104"/>
      <x:c r="AI22" s="114"/>
      <x:c r="AJ22" s="103"/>
      <x:c r="AK22" s="104"/>
    </x:row>
    <x:row r="23" ht="22" customHeight="1">
      <x:c r="A23" s="38" t="str">
        <x:v>COLLECTION</x:v>
      </x:c>
      <x:c r="B23" s="80" t="str">
        <x:v>COLLECTION</x:v>
      </x:c>
      <x:c r="C23" s="81" t="str">
        <x:v>COLLECTION</x:v>
      </x:c>
      <x:c r="D23" s="82" t="str">
        <x:v>COLLECTION</x:v>
      </x:c>
      <x:c r="E23" s="80" t="str">
        <x:v>COLLECTION</x:v>
      </x:c>
      <x:c r="F23" s="81" t="str">
        <x:v>COLLECTION</x:v>
      </x:c>
      <x:c r="G23" s="82" t="str">
        <x:v>COLLECTION</x:v>
      </x:c>
      <x:c r="H23" s="80" t="str">
        <x:v>COLLECTION</x:v>
      </x:c>
      <x:c r="I23" s="81" t="str">
        <x:v>COLLECTION</x:v>
      </x:c>
      <x:c r="J23" s="82" t="str">
        <x:v>COLLECTION</x:v>
      </x:c>
      <x:c r="K23" s="80" t="str">
        <x:v>COLLECTION</x:v>
      </x:c>
      <x:c r="L23" s="81" t="str">
        <x:v>COLLECTION</x:v>
      </x:c>
      <x:c r="M23" s="82" t="str">
        <x:v>COLLECTION</x:v>
      </x:c>
      <x:c r="N23" s="80" t="str">
        <x:v>COLLECTION</x:v>
      </x:c>
      <x:c r="O23" s="81" t="str">
        <x:v>COLLECTION</x:v>
      </x:c>
      <x:c r="P23" s="82" t="str">
        <x:v>COLLECTION</x:v>
      </x:c>
      <x:c r="Q23" s="80" t="str">
        <x:v>COLLECTION</x:v>
      </x:c>
      <x:c r="R23" s="81" t="str">
        <x:v>COLLECTION</x:v>
      </x:c>
      <x:c r="S23" s="82" t="str">
        <x:v>COLLECTION</x:v>
      </x:c>
      <x:c r="T23" s="80" t="str">
        <x:v>COLLECTION</x:v>
      </x:c>
      <x:c r="U23" s="81" t="str">
        <x:v>COLLECTION</x:v>
      </x:c>
      <x:c r="V23" s="82" t="str">
        <x:v>COLLECTION</x:v>
      </x:c>
      <x:c r="W23" s="80" t="str">
        <x:v>COLLECTION</x:v>
      </x:c>
      <x:c r="X23" s="81" t="str">
        <x:v>COLLECTION</x:v>
      </x:c>
      <x:c r="Y23" s="82" t="str">
        <x:v>COLLECTION</x:v>
      </x:c>
      <x:c r="Z23" s="80" t="str">
        <x:v>COLLECTION</x:v>
      </x:c>
      <x:c r="AA23" s="81" t="str">
        <x:v>COLLECTION</x:v>
      </x:c>
      <x:c r="AB23" s="82" t="str">
        <x:v>COLLECTION</x:v>
      </x:c>
      <x:c r="AC23" s="80" t="str">
        <x:v>COLLECTION</x:v>
      </x:c>
      <x:c r="AD23" s="81" t="str">
        <x:v>COLLECTION</x:v>
      </x:c>
      <x:c r="AE23" s="82" t="str">
        <x:v>COLLECTION</x:v>
      </x:c>
      <x:c r="AF23" s="80" t="str">
        <x:v>COLLECTION</x:v>
      </x:c>
      <x:c r="AG23" s="81" t="str">
        <x:v>COLLECTION</x:v>
      </x:c>
      <x:c r="AH23" s="82" t="str">
        <x:v>COLLECTION</x:v>
      </x:c>
      <x:c r="AI23" s="80" t="str">
        <x:v>COLLECTION</x:v>
      </x:c>
      <x:c r="AJ23" s="81" t="str">
        <x:v>COLLECTION</x:v>
      </x:c>
      <x:c r="AK23" s="82" t="str">
        <x:v>COLLECTION</x:v>
      </x:c>
    </x:row>
    <x:row r="24" ht="22" customHeight="1">
      <x:c r="A24" s="96" t="str">
        <x:v>Collection timing in months</x:v>
      </x:c>
      <x:c r="B24" s="97"/>
      <x:c r="C24" s="98" t="n">
        <x:v>1</x:v>
      </x:c>
      <x:c r="D24" s="99" t="n">
        <x:v>1</x:v>
      </x:c>
      <x:c r="E24" s="97"/>
      <x:c r="F24" s="98" t="n">
        <x:v>1</x:v>
      </x:c>
      <x:c r="G24" s="99" t="n">
        <x:v>1</x:v>
      </x:c>
      <x:c r="H24" s="97"/>
      <x:c r="I24" s="98" t="n">
        <x:v>1</x:v>
      </x:c>
      <x:c r="J24" s="99" t="n">
        <x:v>1</x:v>
      </x:c>
      <x:c r="K24" s="97"/>
      <x:c r="L24" s="98" t="n">
        <x:v>1</x:v>
      </x:c>
      <x:c r="M24" s="99" t="n">
        <x:v>1</x:v>
      </x:c>
      <x:c r="N24" s="97"/>
      <x:c r="O24" s="98" t="n">
        <x:v>1</x:v>
      </x:c>
      <x:c r="P24" s="99" t="n">
        <x:v>1</x:v>
      </x:c>
      <x:c r="Q24" s="97"/>
      <x:c r="R24" s="98" t="n">
        <x:v>1</x:v>
      </x:c>
      <x:c r="S24" s="99" t="n">
        <x:v>1</x:v>
      </x:c>
      <x:c r="T24" s="97"/>
      <x:c r="U24" s="98" t="n">
        <x:v>1</x:v>
      </x:c>
      <x:c r="V24" s="99" t="n">
        <x:v>1</x:v>
      </x:c>
      <x:c r="W24" s="97"/>
      <x:c r="X24" s="98" t="n">
        <x:v>1</x:v>
      </x:c>
      <x:c r="Y24" s="99" t="n">
        <x:v>1</x:v>
      </x:c>
      <x:c r="Z24" s="97"/>
      <x:c r="AA24" s="98" t="n">
        <x:v>1</x:v>
      </x:c>
      <x:c r="AB24" s="99" t="n">
        <x:v>1</x:v>
      </x:c>
      <x:c r="AC24" s="97"/>
      <x:c r="AD24" s="98" t="n">
        <x:v>1</x:v>
      </x:c>
      <x:c r="AE24" s="99" t="n">
        <x:v>1</x:v>
      </x:c>
      <x:c r="AF24" s="97" t="n">
        <x:v>1</x:v>
      </x:c>
      <x:c r="AG24" s="98" t="n">
        <x:v>1</x:v>
      </x:c>
      <x:c r="AH24" s="99" t="n">
        <x:v>1</x:v>
      </x:c>
      <x:c r="AI24" s="97" t="n">
        <x:v>1</x:v>
      </x:c>
      <x:c r="AJ24" s="98" t="n">
        <x:v>1</x:v>
      </x:c>
      <x:c r="AK24" s="99" t="n">
        <x:v>1</x:v>
      </x:c>
    </x:row>
    <x:row r="25" ht="22" customHeight="1">
      <x:c r="A25" s="96" t="str">
        <x:v>Completed work ready to collect</x:v>
      </x:c>
      <x:c r="B25" s="114" t="str">
        <x:f>IF(B24&gt;=12,$B$43,IFERROR(INDEX($B$20:$AK$20,1,MIN(36,MAX(1,1+3*B$24+0))),""))</x:f>
      </x:c>
      <x:c r="C25" s="103" t="n">
        <x:f>IF(C$24&gt;=12,$B$43,IF(INDEX($B$20:$AK$20,1,MIN(36,MAX(1,1+3*C$24+0)))&lt;&gt;"",INDEX($B$20:$AK$20,1,MIN(36,MAX(1,1+3*C$24+0))),INDEX($B$20:$AK$20,1,MIN(36,MAX(1,1+3*C$24+1)))))</x:f>
        <x:v>12</x:v>
      </x:c>
      <x:c r="D25" s="104" t="n">
        <x:f>IF(D$24&gt;=12,$B$43,INDEX($B$20:$AK$20,1,MIN(36,MAX(1,1+3*D$24+2))))</x:f>
        <x:v>12</x:v>
      </x:c>
      <x:c r="E25" s="114" t="str">
        <x:f>IF(E24&gt;=11,$B$43,IFERROR(INDEX($B$20:$AK$20,1,MIN(36,MAX(1,4+3*E$24+0))),""))</x:f>
      </x:c>
      <x:c r="F25" s="103" t="n">
        <x:f>IF(F$24&gt;=11,$B$43,IF(INDEX($B$20:$AK$20,1,MIN(36,MAX(1,4+3*F$24+0)))&lt;&gt;"",INDEX($B$20:$AK$20,1,MIN(36,MAX(1,4+3*F$24+0))),INDEX($B$20:$AK$20,1,MIN(36,MAX(1,4+3*F$24+1)))))</x:f>
        <x:v>12</x:v>
      </x:c>
      <x:c r="G25" s="104" t="n">
        <x:f>IF(G$24&gt;=11,$B$43,INDEX($B$20:$AK$20,1,MIN(36,MAX(1,4+3*G$24+2))))</x:f>
        <x:v>12</x:v>
      </x:c>
      <x:c r="H25" s="114" t="str">
        <x:f>IF(H24&gt;=10,$B$43,IFERROR(INDEX($B$20:$AK$20,1,MIN(36,MAX(1,7+3*H$24+0))),""))</x:f>
      </x:c>
      <x:c r="I25" s="103" t="n">
        <x:f>IF(I$24&gt;=10,$B$43,IF(INDEX($B$20:$AK$20,1,MIN(36,MAX(1,7+3*I$24+0)))&lt;&gt;"",INDEX($B$20:$AK$20,1,MIN(36,MAX(1,7+3*I$24+0))),INDEX($B$20:$AK$20,1,MIN(36,MAX(1,7+3*I$24+1)))))</x:f>
        <x:v>12</x:v>
      </x:c>
      <x:c r="J25" s="104" t="n">
        <x:f>IF(J$24&gt;=10,$B$43,INDEX($B$20:$AK$20,1,MIN(36,MAX(1,7+3*J$24+2))))</x:f>
        <x:v>12</x:v>
      </x:c>
      <x:c r="K25" s="114" t="str">
        <x:f>IF(K24&gt;=9,$B$43,IFERROR(INDEX($B$20:$AK$20,1,MIN(36,MAX(1,10+3*K$24+0))),""))</x:f>
      </x:c>
      <x:c r="L25" s="103" t="n">
        <x:f>IF(L$24&gt;=9,$B$43,IF(INDEX($B$20:$AK$20,1,MIN(36,MAX(1,10+3*L$24+0)))&lt;&gt;"",INDEX($B$20:$AK$20,1,MIN(36,MAX(1,10+3*L$24+0))),INDEX($B$20:$AK$20,1,MIN(36,MAX(1,10+3*L$24+1)))))</x:f>
        <x:v>11</x:v>
      </x:c>
      <x:c r="M25" s="104" t="n">
        <x:f>IF(M$24&gt;=9,$B$43,INDEX($B$20:$AK$20,1,MIN(36,MAX(1,10+3*M$24+2))))</x:f>
        <x:v>11</x:v>
      </x:c>
      <x:c r="N25" s="114" t="str">
        <x:f>IF(N24&gt;=8,$B$43,IFERROR(INDEX($B$20:$AK$20,1,MIN(36,MAX(1,13+3*N$24+0))),""))</x:f>
      </x:c>
      <x:c r="O25" s="103" t="n">
        <x:f>IF(O$24&gt;=8,$B$43,IF(INDEX($B$20:$AK$20,1,MIN(36,MAX(1,13+3*O$24+0)))&lt;&gt;"",INDEX($B$20:$AK$20,1,MIN(36,MAX(1,13+3*O$24+0))),INDEX($B$20:$AK$20,1,MIN(36,MAX(1,13+3*O$24+1)))))</x:f>
        <x:v>11</x:v>
      </x:c>
      <x:c r="P25" s="104" t="n">
        <x:f>IF(P$24&gt;=8,$B$43,INDEX($B$20:$AK$20,1,MIN(36,MAX(1,13+3*P$24+2))))</x:f>
        <x:v>11</x:v>
      </x:c>
      <x:c r="Q25" s="114" t="str">
        <x:f>IF(Q24&gt;=7,$B$43,IFERROR(INDEX($B$20:$AK$20,1,MIN(36,MAX(1,16+3*Q$24+0))),""))</x:f>
      </x:c>
      <x:c r="R25" s="103" t="n">
        <x:f>IF(R$24&gt;=7,$B$43,IF(INDEX($B$20:$AK$20,1,MIN(36,MAX(1,16+3*R$24+0)))&lt;&gt;"",INDEX($B$20:$AK$20,1,MIN(36,MAX(1,16+3*R$24+0))),INDEX($B$20:$AK$20,1,MIN(36,MAX(1,16+3*R$24+1)))))</x:f>
        <x:v>11</x:v>
      </x:c>
      <x:c r="S25" s="104" t="n">
        <x:f>IF(S$24&gt;=7,$B$43,INDEX($B$20:$AK$20,1,MIN(36,MAX(1,16+3*S$24+2))))</x:f>
        <x:v>11</x:v>
      </x:c>
      <x:c r="T25" s="114" t="str">
        <x:f>IF(T24&gt;=6,$B$43,IFERROR(INDEX($B$20:$AK$20,1,MIN(36,MAX(1,19+3*T$24+0))),""))</x:f>
      </x:c>
      <x:c r="U25" s="103" t="n">
        <x:f>IF(U$24&gt;=6,$B$43,IF(INDEX($B$20:$AK$20,1,MIN(36,MAX(1,19+3*U$24+0)))&lt;&gt;"",INDEX($B$20:$AK$20,1,MIN(36,MAX(1,19+3*U$24+0))),INDEX($B$20:$AK$20,1,MIN(36,MAX(1,19+3*U$24+1)))))</x:f>
        <x:v>11</x:v>
      </x:c>
      <x:c r="V25" s="104" t="n">
        <x:f>IF(V$24&gt;=6,$B$43,INDEX($B$20:$AK$20,1,MIN(36,MAX(1,19+3*V$24+2))))</x:f>
        <x:v>11</x:v>
      </x:c>
      <x:c r="W25" s="114" t="str">
        <x:f>IF(W24&gt;=5,$B$43,IFERROR(INDEX($B$20:$AK$20,1,MIN(36,MAX(1,22+3*W$24+0))),""))</x:f>
      </x:c>
      <x:c r="X25" s="103" t="n">
        <x:f>IF(X$24&gt;=5,$B$43,IF(INDEX($B$20:$AK$20,1,MIN(36,MAX(1,22+3*X$24+0)))&lt;&gt;"",INDEX($B$20:$AK$20,1,MIN(36,MAX(1,22+3*X$24+0))),INDEX($B$20:$AK$20,1,MIN(36,MAX(1,22+3*X$24+1)))))</x:f>
        <x:v>10</x:v>
      </x:c>
      <x:c r="Y25" s="104" t="n">
        <x:f>IF(Y$24&gt;=5,$B$43,INDEX($B$20:$AK$20,1,MIN(36,MAX(1,22+3*Y$24+2))))</x:f>
        <x:v>10</x:v>
      </x:c>
      <x:c r="Z25" s="114" t="str">
        <x:f>IF(Z24&gt;=4,$B$43,IFERROR(INDEX($B$20:$AK$20,1,MIN(36,MAX(1,25+3*Z$24+0))),""))</x:f>
      </x:c>
      <x:c r="AA25" s="103" t="n">
        <x:f>IF(AA$24&gt;=4,$B$43,IF(INDEX($B$20:$AK$20,1,MIN(36,MAX(1,25+3*AA$24+0)))&lt;&gt;"",INDEX($B$20:$AK$20,1,MIN(36,MAX(1,25+3*AA$24+0))),INDEX($B$20:$AK$20,1,MIN(36,MAX(1,25+3*AA$24+1)))))</x:f>
        <x:v>8</x:v>
      </x:c>
      <x:c r="AB25" s="104" t="n">
        <x:f>IF(AB$24&gt;=4,$B$43,INDEX($B$20:$AK$20,1,MIN(36,MAX(1,25+3*AB$24+2))))</x:f>
        <x:v>10</x:v>
      </x:c>
      <x:c r="AC25" s="114" t="str">
        <x:f>IF(AC24&gt;=3,$B$43,IFERROR(INDEX($B$20:$AK$20,1,MIN(36,MAX(1,28+3*AC$24+0))),""))</x:f>
      </x:c>
      <x:c r="AD25" s="103" t="n">
        <x:f>IF(AD$24&gt;=3,$B$43,IF(INDEX($B$20:$AK$20,1,MIN(36,MAX(1,28+3*AD$24+0)))&lt;&gt;"",INDEX($B$20:$AK$20,1,MIN(36,MAX(1,28+3*AD$24+0))),INDEX($B$20:$AK$20,1,MIN(36,MAX(1,28+3*AD$24+1)))))</x:f>
        <x:v>10</x:v>
      </x:c>
      <x:c r="AE25" s="104" t="n">
        <x:f>IF(AE$24&gt;=3,$B$43,INDEX($B$20:$AK$20,1,MIN(36,MAX(1,28+3*AE$24+2))))</x:f>
        <x:v>10</x:v>
      </x:c>
      <x:c r="AF25" s="114" t="n">
        <x:f>IF(AF24&gt;=2,$B$43,IFERROR(INDEX($B$20:$AK$20,1,MIN(36,MAX(1,31+3*AF$24+0))),""))</x:f>
        <x:v>12</x:v>
      </x:c>
      <x:c r="AG25" s="103" t="n">
        <x:f>IF(AG$24&gt;=2,$B$43,IF(INDEX($B$20:$AK$20,1,MIN(36,MAX(1,31+3*AG$24+0)))&lt;&gt;"",INDEX($B$20:$AK$20,1,MIN(36,MAX(1,31+3*AG$24+0))),INDEX($B$20:$AK$20,1,MIN(36,MAX(1,31+3*AG$24+1)))))</x:f>
        <x:v>12</x:v>
      </x:c>
      <x:c r="AH25" s="104" t="n">
        <x:f>IF(AH$24&gt;=2,$B$43,INDEX($B$20:$AK$20,1,MIN(36,MAX(1,31+3*AH$24+2))))</x:f>
        <x:v>15</x:v>
      </x:c>
      <x:c r="AI25" s="114" t="n">
        <x:f>IF(AI24&gt;=1,$B$43,IFERROR(INDEX($B$20:$AK$20,1,MIN(36,MAX(1,34+3*AI$24+0))),""))</x:f>
        <x:v>10</x:v>
      </x:c>
      <x:c r="AJ25" s="103" t="n">
        <x:f>IF(AJ$24&gt;=1,$B$43,IF(INDEX($B$20:$AK$20,1,MIN(36,MAX(1,34+3*AJ$24+0)))&lt;&gt;"",INDEX($B$20:$AK$20,1,MIN(36,MAX(1,34+3*AJ$24+0))),INDEX($B$20:$AK$20,1,MIN(36,MAX(1,34+3*AJ$24+1)))))</x:f>
        <x:v>10</x:v>
      </x:c>
      <x:c r="AK25" s="104" t="n">
        <x:f>IF(AK$24&gt;=1,$B$43,INDEX($B$20:$AK$20,1,MIN(36,MAX(1,34+3*AK$24+2))))</x:f>
        <x:v>10</x:v>
      </x:c>
    </x:row>
    <x:row r="26" ht="22" customHeight="1">
      <x:c r="A26" s="96" t="str">
        <x:v>Collected invoices</x:v>
      </x:c>
      <x:c r="B26" s="97"/>
      <x:c r="C26" s="103" t="n">
        <x:f>IF(B26&lt;&gt;"",B26,C25)</x:f>
        <x:v>12</x:v>
      </x:c>
      <x:c r="D26" s="104" t="n">
        <x:f>D25</x:f>
        <x:v>12</x:v>
      </x:c>
      <x:c r="E26" s="97"/>
      <x:c r="F26" s="103" t="n">
        <x:f>IF(E26&lt;&gt;"",E26,F25)</x:f>
        <x:v>12</x:v>
      </x:c>
      <x:c r="G26" s="104" t="n">
        <x:f>G25</x:f>
        <x:v>12</x:v>
      </x:c>
      <x:c r="H26" s="97"/>
      <x:c r="I26" s="103" t="n">
        <x:f>IF(H26&lt;&gt;"",H26,I25)</x:f>
        <x:v>12</x:v>
      </x:c>
      <x:c r="J26" s="104" t="n">
        <x:f>J25</x:f>
        <x:v>12</x:v>
      </x:c>
      <x:c r="K26" s="97"/>
      <x:c r="L26" s="103" t="n">
        <x:f>IF(K26&lt;&gt;"",K26,L25)</x:f>
        <x:v>11</x:v>
      </x:c>
      <x:c r="M26" s="104" t="n">
        <x:f>M25</x:f>
        <x:v>11</x:v>
      </x:c>
      <x:c r="N26" s="97"/>
      <x:c r="O26" s="103" t="n">
        <x:f>IF(N26&lt;&gt;"",N26,O25)</x:f>
        <x:v>11</x:v>
      </x:c>
      <x:c r="P26" s="104" t="n">
        <x:f>P25</x:f>
        <x:v>11</x:v>
      </x:c>
      <x:c r="Q26" s="97"/>
      <x:c r="R26" s="103" t="n">
        <x:f>IF(Q26&lt;&gt;"",Q26,R25)</x:f>
        <x:v>11</x:v>
      </x:c>
      <x:c r="S26" s="104" t="n">
        <x:f>S25</x:f>
        <x:v>11</x:v>
      </x:c>
      <x:c r="T26" s="97"/>
      <x:c r="U26" s="103" t="n">
        <x:f>IF(T26&lt;&gt;"",T26,U25)</x:f>
        <x:v>11</x:v>
      </x:c>
      <x:c r="V26" s="104" t="n">
        <x:f>V25</x:f>
        <x:v>11</x:v>
      </x:c>
      <x:c r="W26" s="97"/>
      <x:c r="X26" s="103" t="n">
        <x:f>IF(W26&lt;&gt;"",W26,X25)</x:f>
        <x:v>10</x:v>
      </x:c>
      <x:c r="Y26" s="104" t="n">
        <x:f>Y25</x:f>
        <x:v>10</x:v>
      </x:c>
      <x:c r="Z26" s="97"/>
      <x:c r="AA26" s="103" t="n">
        <x:f>IF(Z26&lt;&gt;"",Z26,AA25)</x:f>
        <x:v>8</x:v>
      </x:c>
      <x:c r="AB26" s="104" t="n">
        <x:f>AB25</x:f>
        <x:v>10</x:v>
      </x:c>
      <x:c r="AC26" s="97"/>
      <x:c r="AD26" s="103" t="n">
        <x:f>IF(AC26&lt;&gt;"",AC26,AD25)</x:f>
        <x:v>10</x:v>
      </x:c>
      <x:c r="AE26" s="104" t="n">
        <x:f>AE25</x:f>
        <x:v>10</x:v>
      </x:c>
      <x:c r="AF26" s="97" t="n">
        <x:v>12</x:v>
      </x:c>
      <x:c r="AG26" s="103" t="n">
        <x:f>IF(AF26&lt;&gt;"",AF26,AG25)</x:f>
        <x:v>12</x:v>
      </x:c>
      <x:c r="AH26" s="104" t="n">
        <x:f>AH25</x:f>
        <x:v>15</x:v>
      </x:c>
      <x:c r="AI26" s="97" t="n">
        <x:v>10</x:v>
      </x:c>
      <x:c r="AJ26" s="103" t="n">
        <x:f>IF(AI26&lt;&gt;"",AI26,AJ25)</x:f>
        <x:v>10</x:v>
      </x:c>
      <x:c r="AK26" s="104" t="n">
        <x:f>AK25</x:f>
        <x:v>10</x:v>
      </x:c>
    </x:row>
    <x:row r="27" ht="22" customHeight="1">
      <x:c r="A27" s="96" t="str">
        <x:v>Cash in</x:v>
      </x:c>
      <x:c r="B27" s="105"/>
      <x:c r="C27" s="109" t="n">
        <x:f>IF(B27&lt;&gt;"",B27,C26*IF(B10&lt;&gt;"",B10,C10))</x:f>
        <x:v>60000</x:v>
      </x:c>
      <x:c r="D27" s="110" t="n">
        <x:f>D26*D10</x:f>
        <x:v>60000</x:v>
      </x:c>
      <x:c r="E27" s="105"/>
      <x:c r="F27" s="109" t="n">
        <x:f>IF(E27&lt;&gt;"",E27,F26*IF(E10&lt;&gt;"",E10,F10))</x:f>
        <x:v>60000</x:v>
      </x:c>
      <x:c r="G27" s="110" t="n">
        <x:f>G26*G10</x:f>
        <x:v>60000</x:v>
      </x:c>
      <x:c r="H27" s="105"/>
      <x:c r="I27" s="109" t="n">
        <x:f>IF(H27&lt;&gt;"",H27,I26*IF(H10&lt;&gt;"",H10,I10))</x:f>
        <x:v>60000</x:v>
      </x:c>
      <x:c r="J27" s="110" t="n">
        <x:f>J26*J10</x:f>
        <x:v>60000</x:v>
      </x:c>
      <x:c r="K27" s="105"/>
      <x:c r="L27" s="109" t="n">
        <x:f>IF(K27&lt;&gt;"",K27,L26*IF(K10&lt;&gt;"",K10,L10))</x:f>
        <x:v>55000</x:v>
      </x:c>
      <x:c r="M27" s="110" t="n">
        <x:f>M26*M10</x:f>
        <x:v>55000</x:v>
      </x:c>
      <x:c r="N27" s="105"/>
      <x:c r="O27" s="109" t="n">
        <x:f>IF(N27&lt;&gt;"",N27,O26*IF(N10&lt;&gt;"",N10,O10))</x:f>
        <x:v>55000</x:v>
      </x:c>
      <x:c r="P27" s="110" t="n">
        <x:f>P26*P10</x:f>
        <x:v>55000</x:v>
      </x:c>
      <x:c r="Q27" s="105"/>
      <x:c r="R27" s="109" t="n">
        <x:f>IF(Q27&lt;&gt;"",Q27,R26*IF(Q10&lt;&gt;"",Q10,R10))</x:f>
        <x:v>55000</x:v>
      </x:c>
      <x:c r="S27" s="110" t="n">
        <x:f>S26*S10</x:f>
        <x:v>55000</x:v>
      </x:c>
      <x:c r="T27" s="105"/>
      <x:c r="U27" s="109" t="n">
        <x:f>IF(T27&lt;&gt;"",T27,U26*IF(T10&lt;&gt;"",T10,U10))</x:f>
        <x:v>55000</x:v>
      </x:c>
      <x:c r="V27" s="110" t="n">
        <x:f>V26*V10</x:f>
        <x:v>55000</x:v>
      </x:c>
      <x:c r="W27" s="105"/>
      <x:c r="X27" s="109" t="n">
        <x:f>IF(W27&lt;&gt;"",W27,X26*IF(W10&lt;&gt;"",W10,X10))</x:f>
        <x:v>50000</x:v>
      </x:c>
      <x:c r="Y27" s="110" t="n">
        <x:f>Y26*Y10</x:f>
        <x:v>50000</x:v>
      </x:c>
      <x:c r="Z27" s="105"/>
      <x:c r="AA27" s="109" t="n">
        <x:f>IF(Z27&lt;&gt;"",Z27,AA26*IF(Z10&lt;&gt;"",Z10,AA10))</x:f>
        <x:v>40000</x:v>
      </x:c>
      <x:c r="AB27" s="110" t="n">
        <x:f>AB26*AB10</x:f>
        <x:v>50000</x:v>
      </x:c>
      <x:c r="AC27" s="105"/>
      <x:c r="AD27" s="109" t="n">
        <x:f>IF(AC27&lt;&gt;"",AC27,AD26*IF(AC10&lt;&gt;"",AC10,AD10))</x:f>
        <x:v>50000</x:v>
      </x:c>
      <x:c r="AE27" s="110" t="n">
        <x:f>AE26*AE10</x:f>
        <x:v>50000</x:v>
      </x:c>
      <x:c r="AF27" s="105" t="n">
        <x:v>60000</x:v>
      </x:c>
      <x:c r="AG27" s="109" t="n">
        <x:f>IF(AF27&lt;&gt;"",AF27,AG26*IF(AF10&lt;&gt;"",AF10,AG10))</x:f>
        <x:v>60000</x:v>
      </x:c>
      <x:c r="AH27" s="110" t="n">
        <x:f>AH26*AH10</x:f>
        <x:v>75000</x:v>
      </x:c>
      <x:c r="AI27" s="105" t="n">
        <x:v>50000</x:v>
      </x:c>
      <x:c r="AJ27" s="109" t="n">
        <x:f>IF(AI27&lt;&gt;"",AI27,AJ26*IF(AI10&lt;&gt;"",AI10,AJ10))</x:f>
        <x:v>50000</x:v>
      </x:c>
      <x:c r="AK27" s="110" t="n">
        <x:f>AK26*AK10</x:f>
        <x:v>50000</x:v>
      </x:c>
    </x:row>
    <x:row r="28" ht="22" customHeight="1">
      <x:c r="A28" s="96"/>
      <x:c r="B28" s="108"/>
      <x:c r="C28" s="109"/>
      <x:c r="D28" s="110"/>
      <x:c r="E28" s="108"/>
      <x:c r="F28" s="109"/>
      <x:c r="G28" s="110"/>
      <x:c r="H28" s="108"/>
      <x:c r="I28" s="109"/>
      <x:c r="J28" s="110"/>
      <x:c r="K28" s="108"/>
      <x:c r="L28" s="109"/>
      <x:c r="M28" s="110"/>
      <x:c r="N28" s="108"/>
      <x:c r="O28" s="109"/>
      <x:c r="P28" s="110"/>
      <x:c r="Q28" s="108"/>
      <x:c r="R28" s="109"/>
      <x:c r="S28" s="110"/>
      <x:c r="T28" s="108"/>
      <x:c r="U28" s="109"/>
      <x:c r="V28" s="110"/>
      <x:c r="W28" s="108"/>
      <x:c r="X28" s="109"/>
      <x:c r="Y28" s="110"/>
      <x:c r="Z28" s="108"/>
      <x:c r="AA28" s="109"/>
      <x:c r="AB28" s="110"/>
      <x:c r="AC28" s="108"/>
      <x:c r="AD28" s="109"/>
      <x:c r="AE28" s="110"/>
      <x:c r="AF28" s="108"/>
      <x:c r="AG28" s="109"/>
      <x:c r="AH28" s="110"/>
      <x:c r="AI28" s="108"/>
      <x:c r="AJ28" s="109"/>
      <x:c r="AK28" s="110"/>
    </x:row>
    <x:row r="29" ht="22" customHeight="1">
      <x:c r="A29" s="38" t="str">
        <x:v>CASH</x:v>
      </x:c>
      <x:c r="B29" s="83" t="str">
        <x:v>CASH</x:v>
      </x:c>
      <x:c r="C29" s="84" t="str">
        <x:v>CASH</x:v>
      </x:c>
      <x:c r="D29" s="85" t="str">
        <x:v>CASH</x:v>
      </x:c>
      <x:c r="E29" s="83" t="str">
        <x:v>CASH</x:v>
      </x:c>
      <x:c r="F29" s="84" t="str">
        <x:v>CASH</x:v>
      </x:c>
      <x:c r="G29" s="85" t="str">
        <x:v>CASH</x:v>
      </x:c>
      <x:c r="H29" s="83" t="str">
        <x:v>CASH</x:v>
      </x:c>
      <x:c r="I29" s="84" t="str">
        <x:v>CASH</x:v>
      </x:c>
      <x:c r="J29" s="85" t="str">
        <x:v>CASH</x:v>
      </x:c>
      <x:c r="K29" s="83" t="str">
        <x:v>CASH</x:v>
      </x:c>
      <x:c r="L29" s="84" t="str">
        <x:v>CASH</x:v>
      </x:c>
      <x:c r="M29" s="85" t="str">
        <x:v>CASH</x:v>
      </x:c>
      <x:c r="N29" s="83" t="str">
        <x:v>CASH</x:v>
      </x:c>
      <x:c r="O29" s="84" t="str">
        <x:v>CASH</x:v>
      </x:c>
      <x:c r="P29" s="85" t="str">
        <x:v>CASH</x:v>
      </x:c>
      <x:c r="Q29" s="83" t="str">
        <x:v>CASH</x:v>
      </x:c>
      <x:c r="R29" s="84" t="str">
        <x:v>CASH</x:v>
      </x:c>
      <x:c r="S29" s="85" t="str">
        <x:v>CASH</x:v>
      </x:c>
      <x:c r="T29" s="83" t="str">
        <x:v>CASH</x:v>
      </x:c>
      <x:c r="U29" s="84" t="str">
        <x:v>CASH</x:v>
      </x:c>
      <x:c r="V29" s="85" t="str">
        <x:v>CASH</x:v>
      </x:c>
      <x:c r="W29" s="83" t="str">
        <x:v>CASH</x:v>
      </x:c>
      <x:c r="X29" s="84" t="str">
        <x:v>CASH</x:v>
      </x:c>
      <x:c r="Y29" s="85" t="str">
        <x:v>CASH</x:v>
      </x:c>
      <x:c r="Z29" s="83" t="str">
        <x:v>CASH</x:v>
      </x:c>
      <x:c r="AA29" s="84" t="str">
        <x:v>CASH</x:v>
      </x:c>
      <x:c r="AB29" s="85" t="str">
        <x:v>CASH</x:v>
      </x:c>
      <x:c r="AC29" s="83" t="str">
        <x:v>CASH</x:v>
      </x:c>
      <x:c r="AD29" s="84" t="str">
        <x:v>CASH</x:v>
      </x:c>
      <x:c r="AE29" s="85" t="str">
        <x:v>CASH</x:v>
      </x:c>
      <x:c r="AF29" s="83" t="str">
        <x:v>CASH</x:v>
      </x:c>
      <x:c r="AG29" s="84" t="str">
        <x:v>CASH</x:v>
      </x:c>
      <x:c r="AH29" s="85" t="str">
        <x:v>CASH</x:v>
      </x:c>
      <x:c r="AI29" s="83" t="str">
        <x:v>CASH</x:v>
      </x:c>
      <x:c r="AJ29" s="84" t="str">
        <x:v>CASH</x:v>
      </x:c>
      <x:c r="AK29" s="85" t="str">
        <x:v>CASH</x:v>
      </x:c>
    </x:row>
    <x:row r="30" ht="22" customHeight="1">
      <x:c r="A30" s="96" t="str">
        <x:v>Cash out</x:v>
      </x:c>
      <x:c r="B30" s="105"/>
      <x:c r="C30" s="106" t="n">
        <x:v>70000</x:v>
      </x:c>
      <x:c r="D30" s="107" t="n">
        <x:v>70000</x:v>
      </x:c>
      <x:c r="E30" s="105"/>
      <x:c r="F30" s="106" t="n">
        <x:v>70000</x:v>
      </x:c>
      <x:c r="G30" s="107" t="n">
        <x:v>70000</x:v>
      </x:c>
      <x:c r="H30" s="105"/>
      <x:c r="I30" s="106" t="n">
        <x:v>70000</x:v>
      </x:c>
      <x:c r="J30" s="107" t="n">
        <x:v>70000</x:v>
      </x:c>
      <x:c r="K30" s="105"/>
      <x:c r="L30" s="106" t="n">
        <x:v>70000</x:v>
      </x:c>
      <x:c r="M30" s="107" t="n">
        <x:v>70000</x:v>
      </x:c>
      <x:c r="N30" s="105"/>
      <x:c r="O30" s="106" t="n">
        <x:v>70000</x:v>
      </x:c>
      <x:c r="P30" s="107" t="n">
        <x:v>70000</x:v>
      </x:c>
      <x:c r="Q30" s="105"/>
      <x:c r="R30" s="106" t="n">
        <x:v>70000</x:v>
      </x:c>
      <x:c r="S30" s="107" t="n">
        <x:v>70000</x:v>
      </x:c>
      <x:c r="T30" s="105"/>
      <x:c r="U30" s="106" t="n">
        <x:v>70000</x:v>
      </x:c>
      <x:c r="V30" s="107" t="n">
        <x:v>70000</x:v>
      </x:c>
      <x:c r="W30" s="105"/>
      <x:c r="X30" s="106" t="n">
        <x:v>70000</x:v>
      </x:c>
      <x:c r="Y30" s="107" t="n">
        <x:v>70000</x:v>
      </x:c>
      <x:c r="Z30" s="105"/>
      <x:c r="AA30" s="106" t="n">
        <x:v>70000</x:v>
      </x:c>
      <x:c r="AB30" s="107" t="n">
        <x:v>70000</x:v>
      </x:c>
      <x:c r="AC30" s="105"/>
      <x:c r="AD30" s="106" t="n">
        <x:v>70000</x:v>
      </x:c>
      <x:c r="AE30" s="107" t="n">
        <x:v>70000</x:v>
      </x:c>
      <x:c r="AF30" s="105" t="n">
        <x:v>72000</x:v>
      </x:c>
      <x:c r="AG30" s="106" t="n">
        <x:v>70000</x:v>
      </x:c>
      <x:c r="AH30" s="107" t="n">
        <x:v>70000</x:v>
      </x:c>
      <x:c r="AI30" s="105" t="n">
        <x:v>78000</x:v>
      </x:c>
      <x:c r="AJ30" s="106" t="n">
        <x:v>70000</x:v>
      </x:c>
      <x:c r="AK30" s="107" t="n">
        <x:v>70000</x:v>
      </x:c>
    </x:row>
    <x:row r="31" ht="22" customHeight="1">
      <x:c r="A31" s="96" t="str">
        <x:v>Net cash movement</x:v>
      </x:c>
      <x:c r="B31" s="108" t="str">
        <x:f>IF(COUNT(B27,B30)=2,B27-B30,"")</x:f>
      </x:c>
      <x:c r="C31" s="109" t="n">
        <x:f>C27-IF(B30&lt;&gt;"",B30,C30)</x:f>
        <x:v>-10000</x:v>
      </x:c>
      <x:c r="D31" s="110" t="n">
        <x:f>D27-D30</x:f>
        <x:v>-10000</x:v>
      </x:c>
      <x:c r="E31" s="108" t="str">
        <x:f>IF(COUNT(E27,E30)=2,E27-E30,"")</x:f>
      </x:c>
      <x:c r="F31" s="109" t="n">
        <x:f>F27-IF(E30&lt;&gt;"",E30,F30)</x:f>
        <x:v>-10000</x:v>
      </x:c>
      <x:c r="G31" s="110" t="n">
        <x:f>G27-G30</x:f>
        <x:v>-10000</x:v>
      </x:c>
      <x:c r="H31" s="108" t="str">
        <x:f>IF(COUNT(H27,H30)=2,H27-H30,"")</x:f>
      </x:c>
      <x:c r="I31" s="109" t="n">
        <x:f>I27-IF(H30&lt;&gt;"",H30,I30)</x:f>
        <x:v>-10000</x:v>
      </x:c>
      <x:c r="J31" s="110" t="n">
        <x:f>J27-J30</x:f>
        <x:v>-10000</x:v>
      </x:c>
      <x:c r="K31" s="108" t="str">
        <x:f>IF(COUNT(K27,K30)=2,K27-K30,"")</x:f>
      </x:c>
      <x:c r="L31" s="109" t="n">
        <x:f>L27-IF(K30&lt;&gt;"",K30,L30)</x:f>
        <x:v>-15000</x:v>
      </x:c>
      <x:c r="M31" s="110" t="n">
        <x:f>M27-M30</x:f>
        <x:v>-15000</x:v>
      </x:c>
      <x:c r="N31" s="108" t="str">
        <x:f>IF(COUNT(N27,N30)=2,N27-N30,"")</x:f>
      </x:c>
      <x:c r="O31" s="109" t="n">
        <x:f>O27-IF(N30&lt;&gt;"",N30,O30)</x:f>
        <x:v>-15000</x:v>
      </x:c>
      <x:c r="P31" s="110" t="n">
        <x:f>P27-P30</x:f>
        <x:v>-15000</x:v>
      </x:c>
      <x:c r="Q31" s="108" t="str">
        <x:f>IF(COUNT(Q27,Q30)=2,Q27-Q30,"")</x:f>
      </x:c>
      <x:c r="R31" s="109" t="n">
        <x:f>R27-IF(Q30&lt;&gt;"",Q30,R30)</x:f>
        <x:v>-15000</x:v>
      </x:c>
      <x:c r="S31" s="110" t="n">
        <x:f>S27-S30</x:f>
        <x:v>-15000</x:v>
      </x:c>
      <x:c r="T31" s="108" t="str">
        <x:f>IF(COUNT(T27,T30)=2,T27-T30,"")</x:f>
      </x:c>
      <x:c r="U31" s="109" t="n">
        <x:f>U27-IF(T30&lt;&gt;"",T30,U30)</x:f>
        <x:v>-15000</x:v>
      </x:c>
      <x:c r="V31" s="110" t="n">
        <x:f>V27-V30</x:f>
        <x:v>-15000</x:v>
      </x:c>
      <x:c r="W31" s="108" t="str">
        <x:f>IF(COUNT(W27,W30)=2,W27-W30,"")</x:f>
      </x:c>
      <x:c r="X31" s="109" t="n">
        <x:f>X27-IF(W30&lt;&gt;"",W30,X30)</x:f>
        <x:v>-20000</x:v>
      </x:c>
      <x:c r="Y31" s="110" t="n">
        <x:f>Y27-Y30</x:f>
        <x:v>-20000</x:v>
      </x:c>
      <x:c r="Z31" s="108" t="str">
        <x:f>IF(COUNT(Z27,Z30)=2,Z27-Z30,"")</x:f>
      </x:c>
      <x:c r="AA31" s="109" t="n">
        <x:f>AA27-IF(Z30&lt;&gt;"",Z30,AA30)</x:f>
        <x:v>-30000</x:v>
      </x:c>
      <x:c r="AB31" s="110" t="n">
        <x:f>AB27-AB30</x:f>
        <x:v>-20000</x:v>
      </x:c>
      <x:c r="AC31" s="108" t="str">
        <x:f>IF(COUNT(AC27,AC30)=2,AC27-AC30,"")</x:f>
      </x:c>
      <x:c r="AD31" s="109" t="n">
        <x:f>AD27-IF(AC30&lt;&gt;"",AC30,AD30)</x:f>
        <x:v>-20000</x:v>
      </x:c>
      <x:c r="AE31" s="110" t="n">
        <x:f>AE27-AE30</x:f>
        <x:v>-20000</x:v>
      </x:c>
      <x:c r="AF31" s="108" t="n">
        <x:f>IF(COUNT(AF27,AF30)=2,AF27-AF30,"")</x:f>
        <x:v>-12000</x:v>
      </x:c>
      <x:c r="AG31" s="109" t="n">
        <x:f>AG27-IF(AF30&lt;&gt;"",AF30,AG30)</x:f>
        <x:v>-12000</x:v>
      </x:c>
      <x:c r="AH31" s="110" t="n">
        <x:f>AH27-AH30</x:f>
        <x:v>5000</x:v>
      </x:c>
      <x:c r="AI31" s="108" t="n">
        <x:f>IF(COUNT(AI27,AI30)=2,AI27-AI30,"")</x:f>
        <x:v>-28000</x:v>
      </x:c>
      <x:c r="AJ31" s="109" t="n">
        <x:f>AJ27-IF(AI30&lt;&gt;"",AI30,AJ30)</x:f>
        <x:v>-28000</x:v>
      </x:c>
      <x:c r="AK31" s="110" t="n">
        <x:f>AK27-AK30</x:f>
        <x:v>-20000</x:v>
      </x:c>
    </x:row>
    <x:row r="32" ht="22" customHeight="1">
      <x:c r="A32" s="96" t="str">
        <x:v>Opening cash</x:v>
      </x:c>
      <x:c r="B32" s="108" t="str">
        <x:f>IF(E33&lt;&gt;"",E33,"")</x:f>
      </x:c>
      <x:c r="C32" s="109" t="n">
        <x:f>IF(E33&lt;&gt;"",E33,F33)</x:f>
        <x:v>60000</x:v>
      </x:c>
      <x:c r="D32" s="110" t="n">
        <x:f>G33</x:f>
        <x:v>95000</x:v>
      </x:c>
      <x:c r="E32" s="108" t="str">
        <x:f>IF(H33&lt;&gt;"",H33,"")</x:f>
      </x:c>
      <x:c r="F32" s="109" t="n">
        <x:f>IF(H33&lt;&gt;"",H33,I33)</x:f>
        <x:v>70000</x:v>
      </x:c>
      <x:c r="G32" s="110" t="n">
        <x:f>J33</x:f>
        <x:v>105000</x:v>
      </x:c>
      <x:c r="H32" s="108" t="str">
        <x:f>IF(K33&lt;&gt;"",K33,"")</x:f>
      </x:c>
      <x:c r="I32" s="109" t="n">
        <x:f>IF(K33&lt;&gt;"",K33,L33)</x:f>
        <x:v>80000</x:v>
      </x:c>
      <x:c r="J32" s="110" t="n">
        <x:f>M33</x:f>
        <x:v>115000</x:v>
      </x:c>
      <x:c r="K32" s="108" t="str">
        <x:f>IF(N33&lt;&gt;"",N33,"")</x:f>
      </x:c>
      <x:c r="L32" s="109" t="n">
        <x:f>IF(N33&lt;&gt;"",N33,O33)</x:f>
        <x:v>95000</x:v>
      </x:c>
      <x:c r="M32" s="110" t="n">
        <x:f>P33</x:f>
        <x:v>130000</x:v>
      </x:c>
      <x:c r="N32" s="108" t="str">
        <x:f>IF(Q33&lt;&gt;"",Q33,"")</x:f>
      </x:c>
      <x:c r="O32" s="109" t="n">
        <x:f>IF(Q33&lt;&gt;"",Q33,R33)</x:f>
        <x:v>110000</x:v>
      </x:c>
      <x:c r="P32" s="110" t="n">
        <x:f>S33</x:f>
        <x:v>145000</x:v>
      </x:c>
      <x:c r="Q32" s="108" t="str">
        <x:f>IF(T33&lt;&gt;"",T33,"")</x:f>
      </x:c>
      <x:c r="R32" s="109" t="n">
        <x:f>IF(T33&lt;&gt;"",T33,U33)</x:f>
        <x:v>125000</x:v>
      </x:c>
      <x:c r="S32" s="110" t="n">
        <x:f>V33</x:f>
        <x:v>160000</x:v>
      </x:c>
      <x:c r="T32" s="108" t="str">
        <x:f>IF(W33&lt;&gt;"",W33,"")</x:f>
      </x:c>
      <x:c r="U32" s="109" t="n">
        <x:f>IF(W33&lt;&gt;"",W33,X33)</x:f>
        <x:v>140000</x:v>
      </x:c>
      <x:c r="V32" s="110" t="n">
        <x:f>Y33</x:f>
        <x:v>175000</x:v>
      </x:c>
      <x:c r="W32" s="108" t="str">
        <x:f>IF(Z33&lt;&gt;"",Z33,"")</x:f>
      </x:c>
      <x:c r="X32" s="109" t="n">
        <x:f>IF(Z33&lt;&gt;"",Z33,AA33)</x:f>
        <x:v>160000</x:v>
      </x:c>
      <x:c r="Y32" s="110" t="n">
        <x:f>AB33</x:f>
        <x:v>195000</x:v>
      </x:c>
      <x:c r="Z32" s="108" t="str">
        <x:f>IF(AC33&lt;&gt;"",AC33,"")</x:f>
      </x:c>
      <x:c r="AA32" s="109" t="n">
        <x:f>IF(AC33&lt;&gt;"",AC33,AD33)</x:f>
        <x:v>190000</x:v>
      </x:c>
      <x:c r="AB32" s="110" t="n">
        <x:f>AE33</x:f>
        <x:v>215000</x:v>
      </x:c>
      <x:c r="AC32" s="108" t="n">
        <x:f>IF(AF33&lt;&gt;"",AF33,"")</x:f>
        <x:v>210000</x:v>
      </x:c>
      <x:c r="AD32" s="109" t="n">
        <x:f>IF(AF33&lt;&gt;"",AF33,AG33)</x:f>
        <x:v>210000</x:v>
      </x:c>
      <x:c r="AE32" s="110" t="n">
        <x:f>AH33</x:f>
        <x:v>235000</x:v>
      </x:c>
      <x:c r="AF32" s="108" t="n">
        <x:f>IF(AI33&lt;&gt;"",AI33,"")</x:f>
        <x:v>222000</x:v>
      </x:c>
      <x:c r="AG32" s="109" t="n">
        <x:f>IF(AI33&lt;&gt;"",AI33,AJ33)</x:f>
        <x:v>222000</x:v>
      </x:c>
      <x:c r="AH32" s="110" t="n">
        <x:f>AK33</x:f>
        <x:v>230000</x:v>
      </x:c>
      <x:c r="AI32" s="108" t="n">
        <x:f>$B$40</x:f>
        <x:v>250000</x:v>
      </x:c>
      <x:c r="AJ32" s="109" t="n">
        <x:f>$B$40</x:f>
        <x:v>250000</x:v>
      </x:c>
      <x:c r="AK32" s="110" t="n">
        <x:f>$B$40</x:f>
        <x:v>250000</x:v>
      </x:c>
    </x:row>
    <x:row r="33" ht="22" customHeight="1">
      <x:c r="A33" s="96" t="str">
        <x:v>Closing cash</x:v>
      </x:c>
      <x:c r="B33" s="108" t="str">
        <x:f>IF(COUNT(B32,B31)=2,B32+B31,"")</x:f>
      </x:c>
      <x:c r="C33" s="109" t="n">
        <x:f>C32+C31</x:f>
        <x:v>50000</x:v>
      </x:c>
      <x:c r="D33" s="110" t="n">
        <x:f>D32+D31</x:f>
        <x:v>85000</x:v>
      </x:c>
      <x:c r="E33" s="108" t="str">
        <x:f>IF(COUNT(E32,E31)=2,E32+E31,"")</x:f>
      </x:c>
      <x:c r="F33" s="109" t="n">
        <x:f>F32+F31</x:f>
        <x:v>60000</x:v>
      </x:c>
      <x:c r="G33" s="110" t="n">
        <x:f>G32+G31</x:f>
        <x:v>95000</x:v>
      </x:c>
      <x:c r="H33" s="108" t="str">
        <x:f>IF(COUNT(H32,H31)=2,H32+H31,"")</x:f>
      </x:c>
      <x:c r="I33" s="109" t="n">
        <x:f>I32+I31</x:f>
        <x:v>70000</x:v>
      </x:c>
      <x:c r="J33" s="110" t="n">
        <x:f>J32+J31</x:f>
        <x:v>105000</x:v>
      </x:c>
      <x:c r="K33" s="108" t="str">
        <x:f>IF(COUNT(K32,K31)=2,K32+K31,"")</x:f>
      </x:c>
      <x:c r="L33" s="109" t="n">
        <x:f>L32+L31</x:f>
        <x:v>80000</x:v>
      </x:c>
      <x:c r="M33" s="110" t="n">
        <x:f>M32+M31</x:f>
        <x:v>115000</x:v>
      </x:c>
      <x:c r="N33" s="108" t="str">
        <x:f>IF(COUNT(N32,N31)=2,N32+N31,"")</x:f>
      </x:c>
      <x:c r="O33" s="109" t="n">
        <x:f>O32+O31</x:f>
        <x:v>95000</x:v>
      </x:c>
      <x:c r="P33" s="110" t="n">
        <x:f>P32+P31</x:f>
        <x:v>130000</x:v>
      </x:c>
      <x:c r="Q33" s="108" t="str">
        <x:f>IF(COUNT(Q32,Q31)=2,Q32+Q31,"")</x:f>
      </x:c>
      <x:c r="R33" s="109" t="n">
        <x:f>R32+R31</x:f>
        <x:v>110000</x:v>
      </x:c>
      <x:c r="S33" s="110" t="n">
        <x:f>S32+S31</x:f>
        <x:v>145000</x:v>
      </x:c>
      <x:c r="T33" s="108" t="str">
        <x:f>IF(COUNT(T32,T31)=2,T32+T31,"")</x:f>
      </x:c>
      <x:c r="U33" s="109" t="n">
        <x:f>U32+U31</x:f>
        <x:v>125000</x:v>
      </x:c>
      <x:c r="V33" s="110" t="n">
        <x:f>V32+V31</x:f>
        <x:v>160000</x:v>
      </x:c>
      <x:c r="W33" s="108" t="str">
        <x:f>IF(COUNT(W32,W31)=2,W32+W31,"")</x:f>
      </x:c>
      <x:c r="X33" s="109" t="n">
        <x:f>X32+X31</x:f>
        <x:v>140000</x:v>
      </x:c>
      <x:c r="Y33" s="110" t="n">
        <x:f>Y32+Y31</x:f>
        <x:v>175000</x:v>
      </x:c>
      <x:c r="Z33" s="108" t="str">
        <x:f>IF(COUNT(Z32,Z31)=2,Z32+Z31,"")</x:f>
      </x:c>
      <x:c r="AA33" s="109" t="n">
        <x:f>AA32+AA31</x:f>
        <x:v>160000</x:v>
      </x:c>
      <x:c r="AB33" s="110" t="n">
        <x:f>AB32+AB31</x:f>
        <x:v>195000</x:v>
      </x:c>
      <x:c r="AC33" s="108" t="str">
        <x:f>IF(COUNT(AC32,AC31)=2,AC32+AC31,"")</x:f>
      </x:c>
      <x:c r="AD33" s="109" t="n">
        <x:f>AD32+AD31</x:f>
        <x:v>190000</x:v>
      </x:c>
      <x:c r="AE33" s="110" t="n">
        <x:f>AE32+AE31</x:f>
        <x:v>215000</x:v>
      </x:c>
      <x:c r="AF33" s="108" t="n">
        <x:f>IF(COUNT(AF32,AF31)=2,AF32+AF31,"")</x:f>
        <x:v>210000</x:v>
      </x:c>
      <x:c r="AG33" s="109" t="n">
        <x:f>AG32+AG31</x:f>
        <x:v>210000</x:v>
      </x:c>
      <x:c r="AH33" s="110" t="n">
        <x:f>AH32+AH31</x:f>
        <x:v>235000</x:v>
      </x:c>
      <x:c r="AI33" s="108" t="n">
        <x:f>IF(COUNT(AI32,AI31)=2,AI32+AI31,"")</x:f>
        <x:v>222000</x:v>
      </x:c>
      <x:c r="AJ33" s="109" t="n">
        <x:f>AJ32+AJ31</x:f>
        <x:v>222000</x:v>
      </x:c>
      <x:c r="AK33" s="110" t="n">
        <x:f>AK32+AK31</x:f>
        <x:v>230000</x:v>
      </x:c>
    </x:row>
    <x:row r="34" ht="22" customHeight="1">
      <x:c r="A34" s="96" t="str">
        <x:v>Minimum cash reserve</x:v>
      </x:c>
      <x:c r="B34" s="105"/>
      <x:c r="C34" s="106" t="n">
        <x:v>100000</x:v>
      </x:c>
      <x:c r="D34" s="107" t="n">
        <x:v>100000</x:v>
      </x:c>
      <x:c r="E34" s="105"/>
      <x:c r="F34" s="106" t="n">
        <x:v>100000</x:v>
      </x:c>
      <x:c r="G34" s="107" t="n">
        <x:v>100000</x:v>
      </x:c>
      <x:c r="H34" s="105"/>
      <x:c r="I34" s="106" t="n">
        <x:v>100000</x:v>
      </x:c>
      <x:c r="J34" s="107" t="n">
        <x:v>100000</x:v>
      </x:c>
      <x:c r="K34" s="105"/>
      <x:c r="L34" s="106" t="n">
        <x:v>100000</x:v>
      </x:c>
      <x:c r="M34" s="107" t="n">
        <x:v>100000</x:v>
      </x:c>
      <x:c r="N34" s="105"/>
      <x:c r="O34" s="106" t="n">
        <x:v>100000</x:v>
      </x:c>
      <x:c r="P34" s="107" t="n">
        <x:v>100000</x:v>
      </x:c>
      <x:c r="Q34" s="105"/>
      <x:c r="R34" s="106" t="n">
        <x:v>100000</x:v>
      </x:c>
      <x:c r="S34" s="107" t="n">
        <x:v>100000</x:v>
      </x:c>
      <x:c r="T34" s="105"/>
      <x:c r="U34" s="106" t="n">
        <x:v>100000</x:v>
      </x:c>
      <x:c r="V34" s="107" t="n">
        <x:v>100000</x:v>
      </x:c>
      <x:c r="W34" s="105"/>
      <x:c r="X34" s="106" t="n">
        <x:v>100000</x:v>
      </x:c>
      <x:c r="Y34" s="107" t="n">
        <x:v>100000</x:v>
      </x:c>
      <x:c r="Z34" s="105"/>
      <x:c r="AA34" s="106" t="n">
        <x:v>100000</x:v>
      </x:c>
      <x:c r="AB34" s="107" t="n">
        <x:v>100000</x:v>
      </x:c>
      <x:c r="AC34" s="105"/>
      <x:c r="AD34" s="106" t="n">
        <x:v>100000</x:v>
      </x:c>
      <x:c r="AE34" s="107" t="n">
        <x:v>100000</x:v>
      </x:c>
      <x:c r="AF34" s="105" t="n">
        <x:v>100000</x:v>
      </x:c>
      <x:c r="AG34" s="106" t="n">
        <x:v>100000</x:v>
      </x:c>
      <x:c r="AH34" s="107" t="n">
        <x:v>100000</x:v>
      </x:c>
      <x:c r="AI34" s="105" t="n">
        <x:v>100000</x:v>
      </x:c>
      <x:c r="AJ34" s="106" t="n">
        <x:v>100000</x:v>
      </x:c>
      <x:c r="AK34" s="107" t="n">
        <x:v>100000</x:v>
      </x:c>
    </x:row>
    <x:row r="35" ht="22" customHeight="1">
      <x:c r="A35" s="96" t="str">
        <x:v>Cash above / (below) reserve</x:v>
      </x:c>
      <x:c r="B35" s="108" t="str">
        <x:f>IF(COUNT(B33,B34)=2,B33-B34,"")</x:f>
      </x:c>
      <x:c r="C35" s="109" t="n">
        <x:f>C33-IF(B34&lt;&gt;"",B34,C34)</x:f>
        <x:v>-50000</x:v>
      </x:c>
      <x:c r="D35" s="110" t="n">
        <x:f>D33-D34</x:f>
        <x:v>-15000</x:v>
      </x:c>
      <x:c r="E35" s="108" t="str">
        <x:f>IF(COUNT(E33,E34)=2,E33-E34,"")</x:f>
      </x:c>
      <x:c r="F35" s="109" t="n">
        <x:f>F33-IF(E34&lt;&gt;"",E34,F34)</x:f>
        <x:v>-40000</x:v>
      </x:c>
      <x:c r="G35" s="110" t="n">
        <x:f>G33-G34</x:f>
        <x:v>-5000</x:v>
      </x:c>
      <x:c r="H35" s="108" t="str">
        <x:f>IF(COUNT(H33,H34)=2,H33-H34,"")</x:f>
      </x:c>
      <x:c r="I35" s="109" t="n">
        <x:f>I33-IF(H34&lt;&gt;"",H34,I34)</x:f>
        <x:v>-30000</x:v>
      </x:c>
      <x:c r="J35" s="110" t="n">
        <x:f>J33-J34</x:f>
        <x:v>5000</x:v>
      </x:c>
      <x:c r="K35" s="108" t="str">
        <x:f>IF(COUNT(K33,K34)=2,K33-K34,"")</x:f>
      </x:c>
      <x:c r="L35" s="109" t="n">
        <x:f>L33-IF(K34&lt;&gt;"",K34,L34)</x:f>
        <x:v>-20000</x:v>
      </x:c>
      <x:c r="M35" s="110" t="n">
        <x:f>M33-M34</x:f>
        <x:v>15000</x:v>
      </x:c>
      <x:c r="N35" s="108" t="str">
        <x:f>IF(COUNT(N33,N34)=2,N33-N34,"")</x:f>
      </x:c>
      <x:c r="O35" s="109" t="n">
        <x:f>O33-IF(N34&lt;&gt;"",N34,O34)</x:f>
        <x:v>-5000</x:v>
      </x:c>
      <x:c r="P35" s="110" t="n">
        <x:f>P33-P34</x:f>
        <x:v>30000</x:v>
      </x:c>
      <x:c r="Q35" s="108" t="str">
        <x:f>IF(COUNT(Q33,Q34)=2,Q33-Q34,"")</x:f>
      </x:c>
      <x:c r="R35" s="109" t="n">
        <x:f>R33-IF(Q34&lt;&gt;"",Q34,R34)</x:f>
        <x:v>10000</x:v>
      </x:c>
      <x:c r="S35" s="110" t="n">
        <x:f>S33-S34</x:f>
        <x:v>45000</x:v>
      </x:c>
      <x:c r="T35" s="108" t="str">
        <x:f>IF(COUNT(T33,T34)=2,T33-T34,"")</x:f>
      </x:c>
      <x:c r="U35" s="109" t="n">
        <x:f>U33-IF(T34&lt;&gt;"",T34,U34)</x:f>
        <x:v>25000</x:v>
      </x:c>
      <x:c r="V35" s="110" t="n">
        <x:f>V33-V34</x:f>
        <x:v>60000</x:v>
      </x:c>
      <x:c r="W35" s="108" t="str">
        <x:f>IF(COUNT(W33,W34)=2,W33-W34,"")</x:f>
      </x:c>
      <x:c r="X35" s="109" t="n">
        <x:f>X33-IF(W34&lt;&gt;"",W34,X34)</x:f>
        <x:v>40000</x:v>
      </x:c>
      <x:c r="Y35" s="110" t="n">
        <x:f>Y33-Y34</x:f>
        <x:v>75000</x:v>
      </x:c>
      <x:c r="Z35" s="108" t="str">
        <x:f>IF(COUNT(Z33,Z34)=2,Z33-Z34,"")</x:f>
      </x:c>
      <x:c r="AA35" s="109" t="n">
        <x:f>AA33-IF(Z34&lt;&gt;"",Z34,AA34)</x:f>
        <x:v>60000</x:v>
      </x:c>
      <x:c r="AB35" s="110" t="n">
        <x:f>AB33-AB34</x:f>
        <x:v>95000</x:v>
      </x:c>
      <x:c r="AC35" s="108" t="str">
        <x:f>IF(COUNT(AC33,AC34)=2,AC33-AC34,"")</x:f>
      </x:c>
      <x:c r="AD35" s="109" t="n">
        <x:f>AD33-IF(AC34&lt;&gt;"",AC34,AD34)</x:f>
        <x:v>90000</x:v>
      </x:c>
      <x:c r="AE35" s="110" t="n">
        <x:f>AE33-AE34</x:f>
        <x:v>115000</x:v>
      </x:c>
      <x:c r="AF35" s="108" t="n">
        <x:f>IF(COUNT(AF33,AF34)=2,AF33-AF34,"")</x:f>
        <x:v>110000</x:v>
      </x:c>
      <x:c r="AG35" s="109" t="n">
        <x:f>AG33-IF(AF34&lt;&gt;"",AF34,AG34)</x:f>
        <x:v>110000</x:v>
      </x:c>
      <x:c r="AH35" s="110" t="n">
        <x:f>AH33-AH34</x:f>
        <x:v>135000</x:v>
      </x:c>
      <x:c r="AI35" s="108" t="n">
        <x:f>IF(COUNT(AI33,AI34)=2,AI33-AI34,"")</x:f>
        <x:v>122000</x:v>
      </x:c>
      <x:c r="AJ35" s="109" t="n">
        <x:f>AJ33-IF(AI34&lt;&gt;"",AI34,AJ34)</x:f>
        <x:v>122000</x:v>
      </x:c>
      <x:c r="AK35" s="110" t="n">
        <x:f>AK33-AK34</x:f>
        <x:v>130000</x:v>
      </x:c>
    </x:row>
    <x:row r="36" ht="22" customHeight="1">
      <x:c r="A36" s="115" t="str">
        <x:v>Status</x:v>
      </x:c>
      <x:c r="B36" s="116" t="str">
        <x:f>IF(B35="","",IF(B35&lt;0,"ACTION","OK"))</x:f>
      </x:c>
      <x:c r="C36" s="117" t="str">
        <x:f>IF(C35&lt;0,"ACTION","OK")</x:f>
        <x:v>ACTION</x:v>
      </x:c>
      <x:c r="D36" s="118" t="str">
        <x:f>IF(D35&lt;0,"ACTION","OK")</x:f>
        <x:v>ACTION</x:v>
      </x:c>
      <x:c r="E36" s="116" t="str">
        <x:f>IF(E35="","",IF(E35&lt;0,"ACTION","OK"))</x:f>
      </x:c>
      <x:c r="F36" s="117" t="str">
        <x:f>IF(F35&lt;0,"ACTION","OK")</x:f>
        <x:v>ACTION</x:v>
      </x:c>
      <x:c r="G36" s="118" t="str">
        <x:f>IF(G35&lt;0,"ACTION","OK")</x:f>
        <x:v>ACTION</x:v>
      </x:c>
      <x:c r="H36" s="116" t="str">
        <x:f>IF(H35="","",IF(H35&lt;0,"ACTION","OK"))</x:f>
      </x:c>
      <x:c r="I36" s="117" t="str">
        <x:f>IF(I35&lt;0,"ACTION","OK")</x:f>
        <x:v>ACTION</x:v>
      </x:c>
      <x:c r="J36" s="118" t="str">
        <x:f>IF(J35&lt;0,"ACTION","OK")</x:f>
        <x:v>OK</x:v>
      </x:c>
      <x:c r="K36" s="116" t="str">
        <x:f>IF(K35="","",IF(K35&lt;0,"ACTION","OK"))</x:f>
      </x:c>
      <x:c r="L36" s="117" t="str">
        <x:f>IF(L35&lt;0,"ACTION","OK")</x:f>
        <x:v>ACTION</x:v>
      </x:c>
      <x:c r="M36" s="118" t="str">
        <x:f>IF(M35&lt;0,"ACTION","OK")</x:f>
        <x:v>OK</x:v>
      </x:c>
      <x:c r="N36" s="116" t="str">
        <x:f>IF(N35="","",IF(N35&lt;0,"ACTION","OK"))</x:f>
      </x:c>
      <x:c r="O36" s="117" t="str">
        <x:f>IF(O35&lt;0,"ACTION","OK")</x:f>
        <x:v>ACTION</x:v>
      </x:c>
      <x:c r="P36" s="118" t="str">
        <x:f>IF(P35&lt;0,"ACTION","OK")</x:f>
        <x:v>OK</x:v>
      </x:c>
      <x:c r="Q36" s="116" t="str">
        <x:f>IF(Q35="","",IF(Q35&lt;0,"ACTION","OK"))</x:f>
      </x:c>
      <x:c r="R36" s="117" t="str">
        <x:f>IF(R35&lt;0,"ACTION","OK")</x:f>
        <x:v>OK</x:v>
      </x:c>
      <x:c r="S36" s="118" t="str">
        <x:f>IF(S35&lt;0,"ACTION","OK")</x:f>
        <x:v>OK</x:v>
      </x:c>
      <x:c r="T36" s="116" t="str">
        <x:f>IF(T35="","",IF(T35&lt;0,"ACTION","OK"))</x:f>
      </x:c>
      <x:c r="U36" s="117" t="str">
        <x:f>IF(U35&lt;0,"ACTION","OK")</x:f>
        <x:v>OK</x:v>
      </x:c>
      <x:c r="V36" s="118" t="str">
        <x:f>IF(V35&lt;0,"ACTION","OK")</x:f>
        <x:v>OK</x:v>
      </x:c>
      <x:c r="W36" s="116" t="str">
        <x:f>IF(W35="","",IF(W35&lt;0,"ACTION","OK"))</x:f>
      </x:c>
      <x:c r="X36" s="117" t="str">
        <x:f>IF(X35&lt;0,"ACTION","OK")</x:f>
        <x:v>OK</x:v>
      </x:c>
      <x:c r="Y36" s="118" t="str">
        <x:f>IF(Y35&lt;0,"ACTION","OK")</x:f>
        <x:v>OK</x:v>
      </x:c>
      <x:c r="Z36" s="116" t="str">
        <x:f>IF(Z35="","",IF(Z35&lt;0,"ACTION","OK"))</x:f>
      </x:c>
      <x:c r="AA36" s="117" t="str">
        <x:f>IF(AA35&lt;0,"ACTION","OK")</x:f>
        <x:v>OK</x:v>
      </x:c>
      <x:c r="AB36" s="118" t="str">
        <x:f>IF(AB35&lt;0,"ACTION","OK")</x:f>
        <x:v>OK</x:v>
      </x:c>
      <x:c r="AC36" s="116" t="str">
        <x:f>IF(AC35="","",IF(AC35&lt;0,"ACTION","OK"))</x:f>
      </x:c>
      <x:c r="AD36" s="117" t="str">
        <x:f>IF(AD35&lt;0,"ACTION","OK")</x:f>
        <x:v>OK</x:v>
      </x:c>
      <x:c r="AE36" s="118" t="str">
        <x:f>IF(AE35&lt;0,"ACTION","OK")</x:f>
        <x:v>OK</x:v>
      </x:c>
      <x:c r="AF36" s="116" t="str">
        <x:f>IF(AF35="","",IF(AF35&lt;0,"ACTION","OK"))</x:f>
        <x:v>OK</x:v>
      </x:c>
      <x:c r="AG36" s="117" t="str">
        <x:f>IF(AG35&lt;0,"ACTION","OK")</x:f>
        <x:v>OK</x:v>
      </x:c>
      <x:c r="AH36" s="118" t="str">
        <x:f>IF(AH35&lt;0,"ACTION","OK")</x:f>
        <x:v>OK</x:v>
      </x:c>
      <x:c r="AI36" s="116" t="str">
        <x:f>IF(AI35="","",IF(AI35&lt;0,"ACTION","OK"))</x:f>
        <x:v>OK</x:v>
      </x:c>
      <x:c r="AJ36" s="117" t="str">
        <x:f>IF(AJ35&lt;0,"ACTION","OK")</x:f>
        <x:v>OK</x:v>
      </x:c>
      <x:c r="AK36" s="118" t="str">
        <x:f>IF(AK35&lt;0,"ACTION","OK")</x:f>
        <x:v>OK</x:v>
      </x:c>
    </x:row>
    <x:row r="37" ht="22" customHeight="1">
      <x:c r="A37" s="96"/>
      <x:c r="B37" s="119"/>
      <x:c r="C37" s="119"/>
      <x:c r="D37" s="119"/>
      <x:c r="E37" s="119"/>
      <x:c r="F37" s="119"/>
      <x:c r="G37" s="119"/>
      <x:c r="H37" s="119"/>
      <x:c r="I37" s="119"/>
      <x:c r="J37" s="119"/>
      <x:c r="K37" s="119"/>
      <x:c r="L37" s="119"/>
      <x:c r="M37" s="119"/>
      <x:c r="N37" s="119"/>
      <x:c r="O37" s="119"/>
      <x:c r="P37" s="119"/>
      <x:c r="Q37" s="119"/>
      <x:c r="R37" s="119"/>
      <x:c r="S37" s="119"/>
      <x:c r="T37" s="119"/>
      <x:c r="U37" s="119"/>
      <x:c r="V37" s="119"/>
      <x:c r="W37" s="119"/>
      <x:c r="X37" s="119"/>
      <x:c r="Y37" s="119"/>
      <x:c r="Z37" s="119"/>
      <x:c r="AA37" s="119"/>
      <x:c r="AB37" s="119"/>
      <x:c r="AC37" s="119"/>
      <x:c r="AD37" s="119"/>
      <x:c r="AE37" s="119"/>
      <x:c r="AF37" s="119"/>
      <x:c r="AG37" s="119"/>
      <x:c r="AH37" s="119"/>
      <x:c r="AI37" s="119"/>
      <x:c r="AJ37" s="119"/>
      <x:c r="AK37" s="119"/>
    </x:row>
    <x:row r="38" ht="22" customHeight="1">
      <x:c r="A38" s="38" t="str">
        <x:v>OPENING POSITION</x:v>
      </x:c>
      <x:c r="B38" s="27" t="str">
        <x:v>OPENING POSITION</x:v>
      </x:c>
      <x:c r="C38" s="27" t="str">
        <x:v>OPENING POSITION</x:v>
      </x:c>
      <x:c r="D38" s="27" t="str">
        <x:v>OPENING POSITION</x:v>
      </x:c>
      <x:c r="E38" s="27" t="str">
        <x:v>OPENING POSITION</x:v>
      </x:c>
      <x:c r="F38" s="27" t="str">
        <x:v>OPENING POSITION</x:v>
      </x:c>
      <x:c r="G38" s="27" t="str">
        <x:v>OPENING POSITION</x:v>
      </x:c>
      <x:c r="H38" s="27" t="str">
        <x:v>OPENING POSITION</x:v>
      </x:c>
      <x:c r="I38" s="27" t="str">
        <x:v>OPENING POSITION</x:v>
      </x:c>
      <x:c r="J38" s="27" t="str">
        <x:v>OPENING POSITION</x:v>
      </x:c>
      <x:c r="K38" s="27" t="str">
        <x:v>OPENING POSITION</x:v>
      </x:c>
      <x:c r="L38" s="27" t="str">
        <x:v>OPENING POSITION</x:v>
      </x:c>
      <x:c r="M38" s="27" t="str">
        <x:v>OPENING POSITION</x:v>
      </x:c>
      <x:c r="N38" s="27" t="str">
        <x:v>OPENING POSITION</x:v>
      </x:c>
      <x:c r="O38" s="27" t="str">
        <x:v>OPENING POSITION</x:v>
      </x:c>
      <x:c r="P38" s="27" t="str">
        <x:v>OPENING POSITION</x:v>
      </x:c>
      <x:c r="Q38" s="27" t="str">
        <x:v>OPENING POSITION</x:v>
      </x:c>
      <x:c r="R38" s="27" t="str">
        <x:v>OPENING POSITION</x:v>
      </x:c>
      <x:c r="S38" s="27" t="str">
        <x:v>OPENING POSITION</x:v>
      </x:c>
      <x:c r="T38" s="27" t="str">
        <x:v>OPENING POSITION</x:v>
      </x:c>
      <x:c r="U38" s="27" t="str">
        <x:v>OPENING POSITION</x:v>
      </x:c>
      <x:c r="V38" s="27" t="str">
        <x:v>OPENING POSITION</x:v>
      </x:c>
      <x:c r="W38" s="27" t="str">
        <x:v>OPENING POSITION</x:v>
      </x:c>
      <x:c r="X38" s="27" t="str">
        <x:v>OPENING POSITION</x:v>
      </x:c>
      <x:c r="Y38" s="27" t="str">
        <x:v>OPENING POSITION</x:v>
      </x:c>
      <x:c r="Z38" s="27" t="str">
        <x:v>OPENING POSITION</x:v>
      </x:c>
      <x:c r="AA38" s="27" t="str">
        <x:v>OPENING POSITION</x:v>
      </x:c>
      <x:c r="AB38" s="27" t="str">
        <x:v>OPENING POSITION</x:v>
      </x:c>
      <x:c r="AC38" s="27" t="str">
        <x:v>OPENING POSITION</x:v>
      </x:c>
      <x:c r="AD38" s="27" t="str">
        <x:v>OPENING POSITION</x:v>
      </x:c>
      <x:c r="AE38" s="27" t="str">
        <x:v>OPENING POSITION</x:v>
      </x:c>
      <x:c r="AF38" s="27" t="str">
        <x:v>OPENING POSITION</x:v>
      </x:c>
      <x:c r="AG38" s="27" t="str">
        <x:v>OPENING POSITION</x:v>
      </x:c>
      <x:c r="AH38" s="27" t="str">
        <x:v>OPENING POSITION</x:v>
      </x:c>
      <x:c r="AI38" s="27" t="str">
        <x:v>OPENING POSITION</x:v>
      </x:c>
      <x:c r="AJ38" s="27" t="str">
        <x:v>OPENING POSITION</x:v>
      </x:c>
      <x:c r="AK38" s="27" t="str">
        <x:v>OPENING POSITION</x:v>
      </x:c>
    </x:row>
    <x:row r="39" ht="22" customHeight="1">
      <x:c r="A39" s="120" t="str">
        <x:v>First month of the model</x:v>
      </x:c>
      <x:c r="B39" s="121" t="n">
        <x:v>46388</x:v>
      </x:c>
      <x:c r="C39" s="119"/>
      <x:c r="D39" s="119"/>
      <x:c r="E39" s="119"/>
      <x:c r="F39" s="119"/>
      <x:c r="G39" s="119"/>
      <x:c r="H39" s="119"/>
      <x:c r="I39" s="119"/>
      <x:c r="J39" s="119"/>
      <x:c r="K39" s="119"/>
      <x:c r="L39" s="119"/>
      <x:c r="M39" s="119"/>
      <x:c r="N39" s="119"/>
      <x:c r="O39" s="119"/>
      <x:c r="P39" s="119"/>
      <x:c r="Q39" s="119"/>
      <x:c r="R39" s="119"/>
      <x:c r="S39" s="119"/>
      <x:c r="T39" s="119"/>
      <x:c r="U39" s="119"/>
      <x:c r="V39" s="119"/>
      <x:c r="W39" s="119"/>
      <x:c r="X39" s="119"/>
      <x:c r="Y39" s="119"/>
      <x:c r="Z39" s="119"/>
      <x:c r="AA39" s="119"/>
      <x:c r="AB39" s="119"/>
      <x:c r="AC39" s="119"/>
      <x:c r="AD39" s="119"/>
      <x:c r="AE39" s="119"/>
      <x:c r="AF39" s="119"/>
      <x:c r="AG39" s="119"/>
      <x:c r="AH39" s="119"/>
      <x:c r="AI39" s="119"/>
      <x:c r="AJ39" s="119"/>
      <x:c r="AK39" s="119"/>
    </x:row>
    <x:row r="40" ht="22" customHeight="1">
      <x:c r="A40" s="120" t="str">
        <x:v>Cash at start</x:v>
      </x:c>
      <x:c r="B40" s="122" t="n">
        <x:v>250000</x:v>
      </x:c>
      <x:c r="C40" s="119"/>
      <x:c r="D40" s="119"/>
      <x:c r="E40" s="119"/>
      <x:c r="F40" s="119"/>
      <x:c r="G40" s="119"/>
      <x:c r="H40" s="119"/>
      <x:c r="I40" s="119"/>
      <x:c r="J40" s="119"/>
      <x:c r="K40" s="119"/>
      <x:c r="L40" s="119"/>
      <x:c r="M40" s="119"/>
      <x:c r="N40" s="119"/>
      <x:c r="O40" s="119"/>
      <x:c r="P40" s="119"/>
      <x:c r="Q40" s="119"/>
      <x:c r="R40" s="119"/>
      <x:c r="S40" s="119"/>
      <x:c r="T40" s="119"/>
      <x:c r="U40" s="119"/>
      <x:c r="V40" s="119"/>
      <x:c r="W40" s="119"/>
      <x:c r="X40" s="119"/>
      <x:c r="Y40" s="119"/>
      <x:c r="Z40" s="119"/>
      <x:c r="AA40" s="119"/>
      <x:c r="AB40" s="119"/>
      <x:c r="AC40" s="119"/>
      <x:c r="AD40" s="119"/>
      <x:c r="AE40" s="119"/>
      <x:c r="AF40" s="119"/>
      <x:c r="AG40" s="119"/>
      <x:c r="AH40" s="119"/>
      <x:c r="AI40" s="119"/>
      <x:c r="AJ40" s="119"/>
      <x:c r="AK40" s="119"/>
    </x:row>
    <x:row r="41" ht="22" customHeight="1">
      <x:c r="A41" s="120" t="str">
        <x:v>Qualified leads before the model opens</x:v>
      </x:c>
      <x:c r="B41" s="123" t="n">
        <x:v>40</x:v>
      </x:c>
      <x:c r="C41" s="119"/>
      <x:c r="D41" s="119"/>
      <x:c r="E41" s="119"/>
      <x:c r="F41" s="119"/>
      <x:c r="G41" s="119"/>
      <x:c r="H41" s="119"/>
      <x:c r="I41" s="119"/>
      <x:c r="J41" s="119"/>
      <x:c r="K41" s="119"/>
      <x:c r="L41" s="119"/>
      <x:c r="M41" s="119"/>
      <x:c r="N41" s="119"/>
      <x:c r="O41" s="119"/>
      <x:c r="P41" s="119"/>
      <x:c r="Q41" s="119"/>
      <x:c r="R41" s="119"/>
      <x:c r="S41" s="119"/>
      <x:c r="T41" s="119"/>
      <x:c r="U41" s="119"/>
      <x:c r="V41" s="119"/>
      <x:c r="W41" s="119"/>
      <x:c r="X41" s="119"/>
      <x:c r="Y41" s="119"/>
      <x:c r="Z41" s="119"/>
      <x:c r="AA41" s="119"/>
      <x:c r="AB41" s="119"/>
      <x:c r="AC41" s="119"/>
      <x:c r="AD41" s="119"/>
      <x:c r="AE41" s="119"/>
      <x:c r="AF41" s="119"/>
      <x:c r="AG41" s="119"/>
      <x:c r="AH41" s="119"/>
      <x:c r="AI41" s="119"/>
      <x:c r="AJ41" s="119"/>
      <x:c r="AK41" s="119"/>
    </x:row>
    <x:row r="42" ht="22" customHeight="1">
      <x:c r="A42" s="120" t="str">
        <x:v>Signed contracts ready before the model</x:v>
      </x:c>
      <x:c r="B42" s="123" t="n">
        <x:v>10</x:v>
      </x:c>
      <x:c r="C42" s="119"/>
      <x:c r="D42" s="119"/>
      <x:c r="E42" s="119"/>
      <x:c r="F42" s="119"/>
      <x:c r="G42" s="119"/>
      <x:c r="H42" s="119"/>
      <x:c r="I42" s="119"/>
      <x:c r="J42" s="119"/>
      <x:c r="K42" s="119"/>
      <x:c r="L42" s="119"/>
      <x:c r="M42" s="119"/>
      <x:c r="N42" s="119"/>
      <x:c r="O42" s="119"/>
      <x:c r="P42" s="119"/>
      <x:c r="Q42" s="119"/>
      <x:c r="R42" s="119"/>
      <x:c r="S42" s="119"/>
      <x:c r="T42" s="119"/>
      <x:c r="U42" s="119"/>
      <x:c r="V42" s="119"/>
      <x:c r="W42" s="119"/>
      <x:c r="X42" s="119"/>
      <x:c r="Y42" s="119"/>
      <x:c r="Z42" s="119"/>
      <x:c r="AA42" s="119"/>
      <x:c r="AB42" s="119"/>
      <x:c r="AC42" s="119"/>
      <x:c r="AD42" s="119"/>
      <x:c r="AE42" s="119"/>
      <x:c r="AF42" s="119"/>
      <x:c r="AG42" s="119"/>
      <x:c r="AH42" s="119"/>
      <x:c r="AI42" s="119"/>
      <x:c r="AJ42" s="119"/>
      <x:c r="AK42" s="119"/>
    </x:row>
    <x:row r="43" ht="22" customHeight="1">
      <x:c r="A43" s="120" t="str">
        <x:v>Completed work ready before the model</x:v>
      </x:c>
      <x:c r="B43" s="123" t="n">
        <x:v>10</x:v>
      </x:c>
      <x:c r="C43" s="119"/>
      <x:c r="D43" s="119"/>
      <x:c r="E43" s="119"/>
      <x:c r="F43" s="119"/>
      <x:c r="G43" s="119"/>
      <x:c r="H43" s="119"/>
      <x:c r="I43" s="119"/>
      <x:c r="J43" s="119"/>
      <x:c r="K43" s="119"/>
      <x:c r="L43" s="119"/>
      <x:c r="M43" s="119"/>
      <x:c r="N43" s="119"/>
      <x:c r="O43" s="119"/>
      <x:c r="P43" s="119"/>
      <x:c r="Q43" s="119"/>
      <x:c r="R43" s="119"/>
      <x:c r="S43" s="119"/>
      <x:c r="T43" s="119"/>
      <x:c r="U43" s="119"/>
      <x:c r="V43" s="119"/>
      <x:c r="W43" s="119"/>
      <x:c r="X43" s="119"/>
      <x:c r="Y43" s="119"/>
      <x:c r="Z43" s="119"/>
      <x:c r="AA43" s="119"/>
      <x:c r="AB43" s="119"/>
      <x:c r="AC43" s="119"/>
      <x:c r="AD43" s="119"/>
      <x:c r="AE43" s="119"/>
      <x:c r="AF43" s="119"/>
      <x:c r="AG43" s="119"/>
      <x:c r="AH43" s="119"/>
      <x:c r="AI43" s="119"/>
      <x:c r="AJ43" s="119"/>
      <x:c r="AK43" s="119"/>
    </x:row>
    <x:row r="44" ht="22" customHeight="1">
      <x:c r="A44" s="120" t="str">
        <x:v>Opening delivery backlog</x:v>
      </x:c>
      <x:c r="B44" s="124" t="n">
        <x:v>5</x:v>
      </x:c>
      <x:c r="C44" s="119"/>
      <x:c r="D44" s="119"/>
      <x:c r="E44" s="119"/>
      <x:c r="F44" s="119"/>
      <x:c r="G44" s="119"/>
      <x:c r="H44" s="119"/>
      <x:c r="I44" s="119"/>
      <x:c r="J44" s="119"/>
      <x:c r="K44" s="119"/>
      <x:c r="L44" s="119"/>
      <x:c r="M44" s="119"/>
      <x:c r="N44" s="119"/>
      <x:c r="O44" s="119"/>
      <x:c r="P44" s="119"/>
      <x:c r="Q44" s="119"/>
      <x:c r="R44" s="119"/>
      <x:c r="S44" s="119"/>
      <x:c r="T44" s="119"/>
      <x:c r="U44" s="119"/>
      <x:c r="V44" s="119"/>
      <x:c r="W44" s="119"/>
      <x:c r="X44" s="119"/>
      <x:c r="Y44" s="119"/>
      <x:c r="Z44" s="119"/>
      <x:c r="AA44" s="119"/>
      <x:c r="AB44" s="119"/>
      <x:c r="AC44" s="119"/>
      <x:c r="AD44" s="119"/>
      <x:c r="AE44" s="119"/>
      <x:c r="AF44" s="119"/>
      <x:c r="AG44" s="119"/>
      <x:c r="AH44" s="119"/>
      <x:c r="AI44" s="119"/>
      <x:c r="AJ44" s="119"/>
      <x:c r="AK44" s="119"/>
    </x:row>
    <x:row r="45" ht="22" customHeight="1">
      <x:c r="A45" s="96"/>
      <x:c r="B45" s="119"/>
      <x:c r="C45" s="119"/>
      <x:c r="D45" s="119"/>
      <x:c r="E45" s="119"/>
      <x:c r="F45" s="119"/>
      <x:c r="G45" s="119"/>
      <x:c r="H45" s="119"/>
      <x:c r="I45" s="119"/>
      <x:c r="J45" s="119"/>
      <x:c r="K45" s="119"/>
      <x:c r="L45" s="119"/>
      <x:c r="M45" s="119"/>
      <x:c r="N45" s="119"/>
      <x:c r="O45" s="119"/>
      <x:c r="P45" s="119"/>
      <x:c r="Q45" s="119"/>
      <x:c r="R45" s="119"/>
      <x:c r="S45" s="119"/>
      <x:c r="T45" s="119"/>
      <x:c r="U45" s="119"/>
      <x:c r="V45" s="119"/>
      <x:c r="W45" s="119"/>
      <x:c r="X45" s="119"/>
      <x:c r="Y45" s="119"/>
      <x:c r="Z45" s="119"/>
      <x:c r="AA45" s="119"/>
      <x:c r="AB45" s="119"/>
      <x:c r="AC45" s="119"/>
      <x:c r="AD45" s="119"/>
      <x:c r="AE45" s="119"/>
      <x:c r="AF45" s="119"/>
      <x:c r="AG45" s="119"/>
      <x:c r="AH45" s="119"/>
      <x:c r="AI45" s="119"/>
      <x:c r="AJ45" s="119"/>
      <x:c r="AK45" s="119"/>
    </x:row>
    <x:row r="46" ht="22" customHeight="1">
      <x:c r="A46" s="38" t="str">
        <x:v>MODEL CHECKS</x:v>
      </x:c>
      <x:c r="B46" s="27" t="str">
        <x:v>MODEL CHECKS</x:v>
      </x:c>
      <x:c r="C46" s="27" t="str">
        <x:v>MODEL CHECKS</x:v>
      </x:c>
      <x:c r="D46" s="27" t="str">
        <x:v>MODEL CHECKS</x:v>
      </x:c>
      <x:c r="E46" s="27" t="str">
        <x:v>MODEL CHECKS</x:v>
      </x:c>
      <x:c r="F46" s="27" t="str">
        <x:v>MODEL CHECKS</x:v>
      </x:c>
      <x:c r="G46" s="27" t="str">
        <x:v>MODEL CHECKS</x:v>
      </x:c>
      <x:c r="H46" s="27" t="str">
        <x:v>MODEL CHECKS</x:v>
      </x:c>
      <x:c r="I46" s="27" t="str">
        <x:v>MODEL CHECKS</x:v>
      </x:c>
      <x:c r="J46" s="27" t="str">
        <x:v>MODEL CHECKS</x:v>
      </x:c>
      <x:c r="K46" s="27" t="str">
        <x:v>MODEL CHECKS</x:v>
      </x:c>
      <x:c r="L46" s="27" t="str">
        <x:v>MODEL CHECKS</x:v>
      </x:c>
      <x:c r="M46" s="27" t="str">
        <x:v>MODEL CHECKS</x:v>
      </x:c>
      <x:c r="N46" s="27" t="str">
        <x:v>MODEL CHECKS</x:v>
      </x:c>
      <x:c r="O46" s="27" t="str">
        <x:v>MODEL CHECKS</x:v>
      </x:c>
      <x:c r="P46" s="27" t="str">
        <x:v>MODEL CHECKS</x:v>
      </x:c>
      <x:c r="Q46" s="27" t="str">
        <x:v>MODEL CHECKS</x:v>
      </x:c>
      <x:c r="R46" s="27" t="str">
        <x:v>MODEL CHECKS</x:v>
      </x:c>
      <x:c r="S46" s="27" t="str">
        <x:v>MODEL CHECKS</x:v>
      </x:c>
      <x:c r="T46" s="27" t="str">
        <x:v>MODEL CHECKS</x:v>
      </x:c>
      <x:c r="U46" s="27" t="str">
        <x:v>MODEL CHECKS</x:v>
      </x:c>
      <x:c r="V46" s="27" t="str">
        <x:v>MODEL CHECKS</x:v>
      </x:c>
      <x:c r="W46" s="27" t="str">
        <x:v>MODEL CHECKS</x:v>
      </x:c>
      <x:c r="X46" s="27" t="str">
        <x:v>MODEL CHECKS</x:v>
      </x:c>
      <x:c r="Y46" s="27" t="str">
        <x:v>MODEL CHECKS</x:v>
      </x:c>
      <x:c r="Z46" s="27" t="str">
        <x:v>MODEL CHECKS</x:v>
      </x:c>
      <x:c r="AA46" s="27" t="str">
        <x:v>MODEL CHECKS</x:v>
      </x:c>
      <x:c r="AB46" s="27" t="str">
        <x:v>MODEL CHECKS</x:v>
      </x:c>
      <x:c r="AC46" s="27" t="str">
        <x:v>MODEL CHECKS</x:v>
      </x:c>
      <x:c r="AD46" s="27" t="str">
        <x:v>MODEL CHECKS</x:v>
      </x:c>
      <x:c r="AE46" s="27" t="str">
        <x:v>MODEL CHECKS</x:v>
      </x:c>
      <x:c r="AF46" s="27" t="str">
        <x:v>MODEL CHECKS</x:v>
      </x:c>
      <x:c r="AG46" s="27" t="str">
        <x:v>MODEL CHECKS</x:v>
      </x:c>
      <x:c r="AH46" s="27" t="str">
        <x:v>MODEL CHECKS</x:v>
      </x:c>
      <x:c r="AI46" s="27" t="str">
        <x:v>MODEL CHECKS</x:v>
      </x:c>
      <x:c r="AJ46" s="27" t="str">
        <x:v>MODEL CHECKS</x:v>
      </x:c>
      <x:c r="AK46" s="27" t="str">
        <x:v>MODEL CHECKS</x:v>
      </x:c>
    </x:row>
    <x:row r="47" ht="22" customHeight="1">
      <x:c r="A47" s="120" t="str">
        <x:v>Closed months: Rolling cash equals Actual cash</x:v>
      </x:c>
      <x:c r="B47" s="125" t="str">
        <x:f>IF(AND(IF(AI33="",TRUE,ABS(AJ33-AI33)&lt;0.01),IF(AF33="",TRUE,ABS(AG33-AF33)&lt;0.01),IF(AC33="",TRUE,ABS(AD33-AC33)&lt;0.01),IF(Z33="",TRUE,ABS(AA33-Z33)&lt;0.01),IF(W33="",TRUE,ABS(X33-W33)&lt;0.01),IF(T33="",TRUE,ABS(U33-T33)&lt;0.01),IF(Q33="",TRUE,ABS(R33-Q33)&lt;0.01),IF(N33="",TRUE,ABS(O33-N33)&lt;0.01),IF(K33="",TRUE,ABS(L33-K33)&lt;0.01),IF(H33="",TRUE,ABS(I33-H33)&lt;0.01),IF(E33="",TRUE,ABS(F33-E33)&lt;0.01),IF(B33="",TRUE,ABS(C33-B33)&lt;0.01)),"OK","CHECK")</x:f>
        <x:v>OK</x:v>
      </x:c>
      <x:c r="C47" s="119"/>
      <x:c r="D47" s="119"/>
      <x:c r="E47" s="119"/>
      <x:c r="F47" s="119"/>
      <x:c r="G47" s="119"/>
      <x:c r="H47" s="119"/>
      <x:c r="I47" s="119"/>
      <x:c r="J47" s="119"/>
      <x:c r="K47" s="119"/>
      <x:c r="L47" s="119"/>
      <x:c r="M47" s="119"/>
      <x:c r="N47" s="119"/>
      <x:c r="O47" s="119"/>
      <x:c r="P47" s="119"/>
      <x:c r="Q47" s="119"/>
      <x:c r="R47" s="119"/>
      <x:c r="S47" s="119"/>
      <x:c r="T47" s="119"/>
      <x:c r="U47" s="119"/>
      <x:c r="V47" s="119"/>
      <x:c r="W47" s="119"/>
      <x:c r="X47" s="119"/>
      <x:c r="Y47" s="119"/>
      <x:c r="Z47" s="119"/>
      <x:c r="AA47" s="119"/>
      <x:c r="AB47" s="119"/>
      <x:c r="AC47" s="119"/>
      <x:c r="AD47" s="119"/>
      <x:c r="AE47" s="119"/>
      <x:c r="AF47" s="119"/>
      <x:c r="AG47" s="119"/>
      <x:c r="AH47" s="119"/>
      <x:c r="AI47" s="119"/>
      <x:c r="AJ47" s="119"/>
      <x:c r="AK47" s="119"/>
    </x:row>
    <x:row r="48" ht="22" customHeight="1">
      <x:c r="A48" s="120" t="str">
        <x:v>Rolling cash carries from the previous month</x:v>
      </x:c>
      <x:c r="B48" s="125" t="str">
        <x:f>IF(AND(ABS(AG32-IF(AI33&lt;&gt;"",AI33,AJ33))&lt;0.01,ABS(AD32-IF(AF33&lt;&gt;"",AF33,AG33))&lt;0.01,ABS(AA32-IF(AC33&lt;&gt;"",AC33,AD33))&lt;0.01,ABS(X32-IF(Z33&lt;&gt;"",Z33,AA33))&lt;0.01,ABS(U32-IF(W33&lt;&gt;"",W33,X33))&lt;0.01,ABS(R32-IF(T33&lt;&gt;"",T33,U33))&lt;0.01,ABS(O32-IF(Q33&lt;&gt;"",Q33,R33))&lt;0.01,ABS(L32-IF(N33&lt;&gt;"",N33,O33))&lt;0.01,ABS(I32-IF(K33&lt;&gt;"",K33,L33))&lt;0.01,ABS(F32-IF(H33&lt;&gt;"",H33,I33))&lt;0.01,ABS(C32-IF(E33&lt;&gt;"",E33,F33))&lt;0.01),"OK","CHECK")</x:f>
        <x:v>OK</x:v>
      </x:c>
      <x:c r="C48" s="119"/>
      <x:c r="D48" s="119"/>
      <x:c r="E48" s="119"/>
      <x:c r="F48" s="119"/>
      <x:c r="G48" s="119"/>
      <x:c r="H48" s="119"/>
      <x:c r="I48" s="119"/>
      <x:c r="J48" s="119"/>
      <x:c r="K48" s="119"/>
      <x:c r="L48" s="119"/>
      <x:c r="M48" s="119"/>
      <x:c r="N48" s="119"/>
      <x:c r="O48" s="119"/>
      <x:c r="P48" s="119"/>
      <x:c r="Q48" s="119"/>
      <x:c r="R48" s="119"/>
      <x:c r="S48" s="119"/>
      <x:c r="T48" s="119"/>
      <x:c r="U48" s="119"/>
      <x:c r="V48" s="119"/>
      <x:c r="W48" s="119"/>
      <x:c r="X48" s="119"/>
      <x:c r="Y48" s="119"/>
      <x:c r="Z48" s="119"/>
      <x:c r="AA48" s="119"/>
      <x:c r="AB48" s="119"/>
      <x:c r="AC48" s="119"/>
      <x:c r="AD48" s="119"/>
      <x:c r="AE48" s="119"/>
      <x:c r="AF48" s="119"/>
      <x:c r="AG48" s="119"/>
      <x:c r="AH48" s="119"/>
      <x:c r="AI48" s="119"/>
      <x:c r="AJ48" s="119"/>
      <x:c r="AK48" s="119"/>
    </x:row>
    <x:row r="49" ht="22" customHeight="1">
      <x:c r="A49" s="120" t="str">
        <x:v>Rolling delivery backlog carries from the previous month</x:v>
      </x:c>
      <x:c r="B49" s="125" t="str">
        <x:f>IF(AND(ABS(AG18-IF(AI21&lt;&gt;"",AI21,AJ21))&lt;0.01,ABS(AD18-IF(AF21&lt;&gt;"",AF21,AG21))&lt;0.01,ABS(AA18-IF(AC21&lt;&gt;"",AC21,AD21))&lt;0.01,ABS(X18-IF(Z21&lt;&gt;"",Z21,AA21))&lt;0.01,ABS(U18-IF(W21&lt;&gt;"",W21,X21))&lt;0.01,ABS(R18-IF(T21&lt;&gt;"",T21,U21))&lt;0.01,ABS(O18-IF(Q21&lt;&gt;"",Q21,R21))&lt;0.01,ABS(L18-IF(N21&lt;&gt;"",N21,O21))&lt;0.01,ABS(I18-IF(K21&lt;&gt;"",K21,L21))&lt;0.01,ABS(F18-IF(H21&lt;&gt;"",H21,I21))&lt;0.01,ABS(C18-IF(E21&lt;&gt;"",E21,F21))&lt;0.01),"OK","CHECK")</x:f>
        <x:v>OK</x:v>
      </x:c>
      <x:c r="C49" s="119"/>
      <x:c r="D49" s="119"/>
      <x:c r="E49" s="119"/>
      <x:c r="F49" s="119"/>
      <x:c r="G49" s="119"/>
      <x:c r="H49" s="119"/>
      <x:c r="I49" s="119"/>
      <x:c r="J49" s="119"/>
      <x:c r="K49" s="119"/>
      <x:c r="L49" s="119"/>
      <x:c r="M49" s="119"/>
      <x:c r="N49" s="119"/>
      <x:c r="O49" s="119"/>
      <x:c r="P49" s="119"/>
      <x:c r="Q49" s="119"/>
      <x:c r="R49" s="119"/>
      <x:c r="S49" s="119"/>
      <x:c r="T49" s="119"/>
      <x:c r="U49" s="119"/>
      <x:c r="V49" s="119"/>
      <x:c r="W49" s="119"/>
      <x:c r="X49" s="119"/>
      <x:c r="Y49" s="119"/>
      <x:c r="Z49" s="119"/>
      <x:c r="AA49" s="119"/>
      <x:c r="AB49" s="119"/>
      <x:c r="AC49" s="119"/>
      <x:c r="AD49" s="119"/>
      <x:c r="AE49" s="119"/>
      <x:c r="AF49" s="119"/>
      <x:c r="AG49" s="119"/>
      <x:c r="AH49" s="119"/>
      <x:c r="AI49" s="119"/>
      <x:c r="AJ49" s="119"/>
      <x:c r="AK49" s="119"/>
    </x:row>
    <x:row r="50" ht="22" customHeight="1">
      <x:c r="A50" s="120" t="str">
        <x:v>Model status</x:v>
      </x:c>
      <x:c r="B50" s="125" t="str">
        <x:f>IF(COUNTIF(B47:B49,"OK")=3,"PASS","CHECK")</x:f>
        <x:v>PASS</x:v>
      </x:c>
      <x:c r="C50" s="119"/>
      <x:c r="D50" s="119"/>
      <x:c r="E50" s="119"/>
      <x:c r="F50" s="119"/>
      <x:c r="G50" s="119"/>
      <x:c r="H50" s="119"/>
      <x:c r="I50" s="119"/>
      <x:c r="J50" s="119"/>
      <x:c r="K50" s="119"/>
      <x:c r="L50" s="119"/>
      <x:c r="M50" s="119"/>
      <x:c r="N50" s="119"/>
      <x:c r="O50" s="119"/>
      <x:c r="P50" s="119"/>
      <x:c r="Q50" s="119"/>
      <x:c r="R50" s="119"/>
      <x:c r="S50" s="119"/>
      <x:c r="T50" s="119"/>
      <x:c r="U50" s="119"/>
      <x:c r="V50" s="119"/>
      <x:c r="W50" s="119"/>
      <x:c r="X50" s="119"/>
      <x:c r="Y50" s="119"/>
      <x:c r="Z50" s="119"/>
      <x:c r="AA50" s="119"/>
      <x:c r="AB50" s="119"/>
      <x:c r="AC50" s="119"/>
      <x:c r="AD50" s="119"/>
      <x:c r="AE50" s="119"/>
      <x:c r="AF50" s="119"/>
      <x:c r="AG50" s="119"/>
      <x:c r="AH50" s="119"/>
      <x:c r="AI50" s="119"/>
      <x:c r="AJ50" s="119"/>
      <x:c r="AK50" s="119"/>
    </x:row>
  </x:sheetData>
  <x:mergeCells>
    <x:mergeCell ref="A1:AK1"/>
    <x:mergeCell ref="A2:AK2"/>
    <x:mergeCell ref="A3:A4"/>
    <x:mergeCell ref="AI3:AK3"/>
    <x:mergeCell ref="AF3:AH3"/>
    <x:mergeCell ref="AC3:AE3"/>
    <x:mergeCell ref="Z3:AB3"/>
    <x:mergeCell ref="W3:Y3"/>
    <x:mergeCell ref="T3:V3"/>
    <x:mergeCell ref="Q3:S3"/>
    <x:mergeCell ref="N3:P3"/>
    <x:mergeCell ref="K3:M3"/>
    <x:mergeCell ref="H3:J3"/>
    <x:mergeCell ref="E3:G3"/>
    <x:mergeCell ref="B3:D3"/>
    <x:mergeCell ref="A5:AK5"/>
    <x:mergeCell ref="A13:AK13"/>
    <x:mergeCell ref="A23:AK23"/>
    <x:mergeCell ref="A29:AK29"/>
    <x:mergeCell ref="A38:AK38"/>
    <x:mergeCell ref="A46:AK46"/>
  </x:mergeCells>
  <x:conditionalFormatting sqref="AJ35:AJ35">
    <x:cfRule type="cellIs" dxfId="0" priority="1" operator="lessThan">
      <x:formula>0</x:formula>
    </x:cfRule>
  </x:conditionalFormatting>
  <x:conditionalFormatting sqref="AJ36:AJ36">
    <x:cfRule type="containsText" dxfId="1" priority="2" operator="containsText" text="ACTION"/>
  </x:conditionalFormatting>
  <x:conditionalFormatting sqref="AG35:AG35">
    <x:cfRule type="cellIs" dxfId="2" priority="3" operator="lessThan">
      <x:formula>0</x:formula>
    </x:cfRule>
  </x:conditionalFormatting>
  <x:conditionalFormatting sqref="AG36:AG36">
    <x:cfRule type="containsText" dxfId="3" priority="4" operator="containsText" text="ACTION"/>
  </x:conditionalFormatting>
  <x:conditionalFormatting sqref="AD35:AD35">
    <x:cfRule type="cellIs" dxfId="4" priority="5" operator="lessThan">
      <x:formula>0</x:formula>
    </x:cfRule>
  </x:conditionalFormatting>
  <x:conditionalFormatting sqref="AD36:AD36">
    <x:cfRule type="containsText" dxfId="5" priority="6" operator="containsText" text="ACTION"/>
  </x:conditionalFormatting>
  <x:conditionalFormatting sqref="AA35:AA35">
    <x:cfRule type="cellIs" dxfId="6" priority="7" operator="lessThan">
      <x:formula>0</x:formula>
    </x:cfRule>
  </x:conditionalFormatting>
  <x:conditionalFormatting sqref="AA36:AA36">
    <x:cfRule type="containsText" dxfId="7" priority="8" operator="containsText" text="ACTION"/>
  </x:conditionalFormatting>
  <x:conditionalFormatting sqref="X35:X35">
    <x:cfRule type="cellIs" dxfId="8" priority="9" operator="lessThan">
      <x:formula>0</x:formula>
    </x:cfRule>
  </x:conditionalFormatting>
  <x:conditionalFormatting sqref="X36:X36">
    <x:cfRule type="containsText" dxfId="9" priority="10" operator="containsText" text="ACTION"/>
  </x:conditionalFormatting>
  <x:conditionalFormatting sqref="U35:U35">
    <x:cfRule type="cellIs" dxfId="10" priority="11" operator="lessThan">
      <x:formula>0</x:formula>
    </x:cfRule>
  </x:conditionalFormatting>
  <x:conditionalFormatting sqref="U36:U36">
    <x:cfRule type="containsText" dxfId="11" priority="12" operator="containsText" text="ACTION"/>
  </x:conditionalFormatting>
  <x:conditionalFormatting sqref="R35:R35">
    <x:cfRule type="cellIs" dxfId="12" priority="13" operator="lessThan">
      <x:formula>0</x:formula>
    </x:cfRule>
  </x:conditionalFormatting>
  <x:conditionalFormatting sqref="R36:R36">
    <x:cfRule type="containsText" dxfId="13" priority="14" operator="containsText" text="ACTION"/>
  </x:conditionalFormatting>
  <x:conditionalFormatting sqref="O35:O35">
    <x:cfRule type="cellIs" dxfId="14" priority="15" operator="lessThan">
      <x:formula>0</x:formula>
    </x:cfRule>
  </x:conditionalFormatting>
  <x:conditionalFormatting sqref="O36:O36">
    <x:cfRule type="containsText" dxfId="15" priority="16" operator="containsText" text="ACTION"/>
  </x:conditionalFormatting>
  <x:conditionalFormatting sqref="L35:L35">
    <x:cfRule type="cellIs" dxfId="16" priority="17" operator="lessThan">
      <x:formula>0</x:formula>
    </x:cfRule>
  </x:conditionalFormatting>
  <x:conditionalFormatting sqref="L36:L36">
    <x:cfRule type="containsText" dxfId="17" priority="18" operator="containsText" text="ACTION"/>
  </x:conditionalFormatting>
  <x:conditionalFormatting sqref="I35:I35">
    <x:cfRule type="cellIs" dxfId="18" priority="19" operator="lessThan">
      <x:formula>0</x:formula>
    </x:cfRule>
  </x:conditionalFormatting>
  <x:conditionalFormatting sqref="I36:I36">
    <x:cfRule type="containsText" dxfId="19" priority="20" operator="containsText" text="ACTION"/>
  </x:conditionalFormatting>
  <x:conditionalFormatting sqref="F35:F35">
    <x:cfRule type="cellIs" dxfId="20" priority="21" operator="lessThan">
      <x:formula>0</x:formula>
    </x:cfRule>
  </x:conditionalFormatting>
  <x:conditionalFormatting sqref="F36:F36">
    <x:cfRule type="containsText" dxfId="21" priority="22" operator="containsText" text="ACTION"/>
  </x:conditionalFormatting>
  <x:conditionalFormatting sqref="C35:C35">
    <x:cfRule type="cellIs" dxfId="22" priority="23" operator="lessThan">
      <x:formula>0</x:formula>
    </x:cfRule>
  </x:conditionalFormatting>
  <x:conditionalFormatting sqref="C36:C36">
    <x:cfRule type="containsText" dxfId="23" priority="24" operator="containsText" text="ACTION"/>
  </x:conditionalFormatting>
  <x:pageMargins left="0.7" right="0.7" top="0.75" bottom="0.75" header="0.3" footer="0.3"/>
</x:worksheet>
</file>